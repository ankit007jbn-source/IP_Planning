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7.xml" ContentType="application/vnd.openxmlformats-officedocument.drawing+xml"/>
  <Override PartName="/xl/comments18.xml" ContentType="application/vnd.openxmlformats-officedocument.spreadsheetml.comments+xml"/>
  <Override PartName="/xl/comments1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autoCompressPictures="0" defaultThemeVersion="124226"/>
  <mc:AlternateContent xmlns:mc="http://schemas.openxmlformats.org/markup-compatibility/2006">
    <mc:Choice Requires="x15">
      <x15ac:absPath xmlns:x15ac="http://schemas.microsoft.com/office/spreadsheetml/2010/11/ac" url="C:\Users\jnyysson\Downloads\"/>
    </mc:Choice>
  </mc:AlternateContent>
  <xr:revisionPtr revIDLastSave="45" documentId="8_{77B06C59-FB8E-4157-9505-75A14D671BC9}" xr6:coauthVersionLast="47" xr6:coauthVersionMax="47" xr10:uidLastSave="{E2555F7E-D382-414F-81B4-8FBF3772957D}"/>
  <bookViews>
    <workbookView xWindow="-110" yWindow="-110" windowWidth="19420" windowHeight="10420" tabRatio="694" firstSheet="1" activeTab="1" xr2:uid="{00000000-000D-0000-FFFF-FFFF00000000}"/>
  </bookViews>
  <sheets>
    <sheet name="Front Page" sheetId="36" r:id="rId1"/>
    <sheet name="Summary" sheetId="15" r:id="rId2"/>
    <sheet name="Shortcuts" sheetId="96" r:id="rId3"/>
    <sheet name="Virtual Machines" sheetId="35" r:id="rId4"/>
    <sheet name="Cloud Configuration" sheetId="199" r:id="rId5"/>
    <sheet name="Resource Pools" sheetId="71" r:id="rId6"/>
    <sheet name="Number of Servers Required" sheetId="72" r:id="rId7"/>
    <sheet name="Compact Single Node 24R3-NM" sheetId="218" r:id="rId8"/>
    <sheet name="Small 24R3-NM" sheetId="219" r:id="rId9"/>
    <sheet name="Mainstream 24R3-NM" sheetId="220" r:id="rId10"/>
    <sheet name="Large 24R3-NM" sheetId="221" r:id="rId11"/>
    <sheet name="XXL 24R3-NM" sheetId="222" r:id="rId12"/>
    <sheet name="3XL 24R3-NM" sheetId="223" r:id="rId13"/>
    <sheet name="3XL 24R3-NM 100K" sheetId="224" r:id="rId14"/>
    <sheet name="Compact 24R3-NM SW on VMware" sheetId="206" r:id="rId15"/>
    <sheet name="Small 24R3-NM SW on VMware" sheetId="207" r:id="rId16"/>
    <sheet name="Small 24R3-NM SW on OpenStack" sheetId="208" r:id="rId17"/>
    <sheet name="Mainstream 24R3-NM SW on VMware" sheetId="209" r:id="rId18"/>
    <sheet name="Mainstream 24R3-NM SW OpenStack" sheetId="210" r:id="rId19"/>
    <sheet name="Large 24R3-NM SW on VMware" sheetId="211" r:id="rId20"/>
    <sheet name="Large 24R3-NM SW on OpenStack" sheetId="212" r:id="rId21"/>
    <sheet name="XXL 24R3-NM SW on VMware" sheetId="213" r:id="rId22"/>
    <sheet name="XXL 24R3-NM SW on OpenStack" sheetId="214" r:id="rId23"/>
    <sheet name="3XL 24R3-NM SW on VMware" sheetId="215" r:id="rId24"/>
    <sheet name="3XL 24R3-NM SW OpenStack-CBIS" sheetId="216" r:id="rId25"/>
  </sheets>
  <externalReferences>
    <externalReference r:id="rId26"/>
    <externalReference r:id="rId27"/>
  </externalReferences>
  <definedNames>
    <definedName name="_2TB" localSheetId="12">'3XL 24R3-NM'!$I$65</definedName>
    <definedName name="_2TB" localSheetId="13">'3XL 24R3-NM 100K'!$I$65</definedName>
    <definedName name="_2TB" localSheetId="23">'3XL 24R3-NM SW on VMware'!$I$52</definedName>
    <definedName name="_2TB" localSheetId="4">#REF!</definedName>
    <definedName name="_2TB">#REF!</definedName>
    <definedName name="_xlnm._FilterDatabase" localSheetId="4" hidden="1">'Cloud Configuration'!$B$3:$E$15</definedName>
    <definedName name="_xlnm._FilterDatabase" localSheetId="14" hidden="1">'Compact 24R3-NM SW on VMware'!$K$1:$K$69</definedName>
    <definedName name="_xlnm._FilterDatabase" localSheetId="7" hidden="1">'Compact Single Node 24R3-NM'!$K$1:$K$82</definedName>
    <definedName name="_xlnm._FilterDatabase" localSheetId="10" hidden="1">'Large 24R3-NM'!$A$3:$AV$44</definedName>
    <definedName name="_xlnm._FilterDatabase" localSheetId="18" hidden="1">'Mainstream 24R3-NM SW OpenStack'!$A$7:$CI$39</definedName>
    <definedName name="_xlnm._FilterDatabase" localSheetId="8" hidden="1">'Small 24R3-NM'!$A$7:$AV$30</definedName>
    <definedName name="A_4TB" localSheetId="12">'3XL 24R3-NM'!$H$65:$H$66</definedName>
    <definedName name="A_4TB" localSheetId="13">'3XL 24R3-NM 100K'!$H$65:$H$66</definedName>
    <definedName name="A_4TB" localSheetId="23">'3XL 24R3-NM SW on VMware'!$H$52:$H$53</definedName>
    <definedName name="A_4TB" localSheetId="4">#REF!</definedName>
    <definedName name="A_4TB">#REF!</definedName>
    <definedName name="BackupNA16.2" localSheetId="15">'[1]Small 16.2'!$B$75:$B$76</definedName>
    <definedName name="BackupNA16.5" localSheetId="12">'[1]Small 16.5'!$B$75:$B$76</definedName>
    <definedName name="BackupNA16.5" localSheetId="13">'[1]Small 16.5'!$B$75:$B$76</definedName>
    <definedName name="BackupNA16.5" localSheetId="4">'[2]Small 16.5'!$B$75:$B$76</definedName>
    <definedName name="BackupNA16.5" localSheetId="7">'[1]Small 16.5'!$B$75:$B$76</definedName>
    <definedName name="BackupNA16.5" localSheetId="10">'[1]Small 16.5'!$B$75:$B$76</definedName>
    <definedName name="BackupNA16.5" localSheetId="9">'[1]Small 16.5'!$B$75:$B$76</definedName>
    <definedName name="BackupNA16.5" localSheetId="8">'[1]Small 16.5'!$B$75:$B$76</definedName>
    <definedName name="BackupNA16.5" localSheetId="11">'[1]Small 16.5'!$B$75:$B$76</definedName>
    <definedName name="BackupNA16.5">#REF!</definedName>
    <definedName name="BackupNA16.8" localSheetId="12">'[1]Small 16.8'!$B$76:$B$77</definedName>
    <definedName name="BackupNA16.8" localSheetId="13">'[1]Small 16.8'!$B$76:$B$77</definedName>
    <definedName name="BackupNA16.8" localSheetId="4">'[2]Small 16.8'!$B$76:$B$77</definedName>
    <definedName name="BackupNA16.8" localSheetId="7">'[1]Small 16.8'!$B$76:$B$77</definedName>
    <definedName name="BackupNA16.8" localSheetId="10">'[1]Small 16.8'!$B$76:$B$77</definedName>
    <definedName name="BackupNA16.8" localSheetId="9">'[1]Small 16.8'!$B$76:$B$77</definedName>
    <definedName name="BackupNA16.8" localSheetId="8">'[1]Small 16.8'!$B$76:$B$77</definedName>
    <definedName name="BackupNA16.8" localSheetId="11">'[1]Small 16.8'!$B$76:$B$77</definedName>
    <definedName name="BackupNA16.8">#REF!</definedName>
    <definedName name="BackupNA17" localSheetId="14">'Compact 24R3-NM SW on VMware'!#REF!</definedName>
    <definedName name="BackupNA17" localSheetId="7">'Compact Single Node 24R3-NM'!#REF!</definedName>
    <definedName name="BackupNA17" localSheetId="8">'Small 24R3-NM'!$B$131:$B$132</definedName>
    <definedName name="BTSMediationOpenStack" localSheetId="4">'Cloud Configuration'!$V$22</definedName>
    <definedName name="BTSMediationOpenStack">#REF!</definedName>
    <definedName name="BTSMediationVMware" localSheetId="4">'Cloud Configuration'!$V$25:$V$26</definedName>
    <definedName name="BTSMediationVMware">#REF!</definedName>
    <definedName name="Configuration16.5" localSheetId="4">#REF!</definedName>
    <definedName name="Configuration16.5">#REF!</definedName>
    <definedName name="Configuration16.8" localSheetId="4">#REF!</definedName>
    <definedName name="Configuration16.8">#REF!</definedName>
    <definedName name="Configuration17.2" localSheetId="4">#REF!</definedName>
    <definedName name="Configuration17.2">#REF!</definedName>
    <definedName name="Configuration17.8" localSheetId="4">#REF!</definedName>
    <definedName name="Configuration17.8">#REF!</definedName>
    <definedName name="Configuration18" localSheetId="4">#REF!</definedName>
    <definedName name="Configuration18">#REF!</definedName>
    <definedName name="Configuration18A" localSheetId="4">#REF!</definedName>
    <definedName name="Configuration18A">#REF!</definedName>
    <definedName name="Configuration19" localSheetId="4">#REF!</definedName>
    <definedName name="Configuration19">#REF!</definedName>
    <definedName name="Configuration19A" localSheetId="4">#REF!</definedName>
    <definedName name="Configuration19A">#REF!</definedName>
    <definedName name="LargeADMOpenStack" localSheetId="4">'Cloud Configuration'!$AC$45</definedName>
    <definedName name="LargeADMOpenStack">#REF!</definedName>
    <definedName name="LargeADMVmware" localSheetId="4">'Cloud Configuration'!$AJ$45</definedName>
    <definedName name="LargeADMVmware">#REF!</definedName>
    <definedName name="LargeCustomer16.5VMware" localSheetId="4">#REF!</definedName>
    <definedName name="LargeCustomer16.5VMware">#REF!</definedName>
    <definedName name="LargeCustomer16.8VMware" localSheetId="4">#REF!</definedName>
    <definedName name="LargeCustomer16.8VMware">#REF!</definedName>
    <definedName name="LargeCustomer17.2OpenStack" localSheetId="4">#REF!</definedName>
    <definedName name="LargeCustomer17.2OpenStack">#REF!</definedName>
    <definedName name="LargeCustomer17.2VMware" localSheetId="4">#REF!</definedName>
    <definedName name="LargeCustomer17.2VMware">#REF!</definedName>
    <definedName name="LargeCustomer17.8OpenStack" localSheetId="4">#REF!</definedName>
    <definedName name="LargeCustomer17.8OpenStack">#REF!</definedName>
    <definedName name="LargeCustomer17.8VMware" localSheetId="4">#REF!</definedName>
    <definedName name="LargeCustomer17.8VMware">#REF!</definedName>
    <definedName name="LargeCustomer18AOpenStack" localSheetId="4">#REF!</definedName>
    <definedName name="LargeCustomer18AOpenStack">#REF!</definedName>
    <definedName name="LargeCustomer18AVMware" localSheetId="4">#REF!</definedName>
    <definedName name="LargeCustomer18AVMware">#REF!</definedName>
    <definedName name="LargeCustomer18OpenStack" localSheetId="4">#REF!</definedName>
    <definedName name="LargeCustomer18OpenStack">#REF!</definedName>
    <definedName name="LargeCustomer18VMware" localSheetId="4">#REF!</definedName>
    <definedName name="LargeCustomer18VMware">#REF!</definedName>
    <definedName name="LargeCustomer19AOpenStack" localSheetId="4">#REF!</definedName>
    <definedName name="LargeCustomer19AOpenStack">#REF!</definedName>
    <definedName name="LargeCustomer19AVMware" localSheetId="4">#REF!</definedName>
    <definedName name="LargeCustomer19AVMware">#REF!</definedName>
    <definedName name="LargeCustomer19OpenStack" localSheetId="4">#REF!</definedName>
    <definedName name="LargeCustomer19OpenStack">#REF!</definedName>
    <definedName name="LargeCustomer19VMware" localSheetId="4">#REF!</definedName>
    <definedName name="LargeCustomer19VMware">#REF!</definedName>
    <definedName name="LargeCustomerOpenStack" localSheetId="4">'Cloud Configuration'!$AC$52</definedName>
    <definedName name="LargeCustomerOpenStack">#REF!</definedName>
    <definedName name="LargeCustomerVmware" localSheetId="4">'Cloud Configuration'!$AJ$52</definedName>
    <definedName name="LargeCustomerVmware">#REF!</definedName>
    <definedName name="LargeDatabase2250Arc" localSheetId="4">'Cloud Configuration'!$AC$26</definedName>
    <definedName name="LargeDatabase2250Arc">#REF!</definedName>
    <definedName name="LargeDatabase2250Backup" localSheetId="4">'Cloud Configuration'!$AC$33</definedName>
    <definedName name="LargeDatabase2250Backup">#REF!</definedName>
    <definedName name="LargeDatabase2250Redo" localSheetId="4">'Cloud Configuration'!$AC$20</definedName>
    <definedName name="LargeDatabase2250Redo">#REF!</definedName>
    <definedName name="LargeDatabase2250vCPU" localSheetId="4">'Cloud Configuration'!$AC$8</definedName>
    <definedName name="LargeDatabase2250vCPU">#REF!</definedName>
    <definedName name="LargeDatabase2250vRAM" localSheetId="4">'Cloud Configuration'!$AC$14</definedName>
    <definedName name="LargeDatabase2250vRAM">#REF!</definedName>
    <definedName name="LargeDatabase2304Arc" localSheetId="4">#REF!</definedName>
    <definedName name="LargeDatabase2304Arc">#REF!</definedName>
    <definedName name="LargeDatabase2304BackupOpenStack17.2" localSheetId="4">#REF!</definedName>
    <definedName name="LargeDatabase2304BackupOpenStack17.2">#REF!</definedName>
    <definedName name="LargeDatabase2304BackupOpenStack17.8" localSheetId="4">#REF!</definedName>
    <definedName name="LargeDatabase2304BackupOpenStack17.8">#REF!</definedName>
    <definedName name="LargeDatabase2304BackupOpenStack18" localSheetId="4">#REF!</definedName>
    <definedName name="LargeDatabase2304BackupOpenStack18">#REF!</definedName>
    <definedName name="LargeDatabase2304BackupOpenStack18A" localSheetId="4">#REF!</definedName>
    <definedName name="LargeDatabase2304BackupOpenStack18A">#REF!</definedName>
    <definedName name="LargeDatabase2304BackupOpenStack19" localSheetId="4">#REF!</definedName>
    <definedName name="LargeDatabase2304BackupOpenStack19">#REF!</definedName>
    <definedName name="LargeDatabase2304BackupOpenStack19A" localSheetId="4">#REF!</definedName>
    <definedName name="LargeDatabase2304BackupOpenStack19A">#REF!</definedName>
    <definedName name="LargeDatabase2304Redo" localSheetId="4">#REF!</definedName>
    <definedName name="LargeDatabase2304Redo">#REF!</definedName>
    <definedName name="LargeDatabase2304vRAM" localSheetId="4">#REF!</definedName>
    <definedName name="LargeDatabase2304vRAM">#REF!</definedName>
    <definedName name="LargeDatabase2500Arc" localSheetId="4">'Cloud Configuration'!$AJ$26</definedName>
    <definedName name="LargeDatabase2500Arc">#REF!</definedName>
    <definedName name="LargeDatabase2500Backup" localSheetId="4">'Cloud Configuration'!$AJ$33</definedName>
    <definedName name="LargeDatabase2500Backup">#REF!</definedName>
    <definedName name="LargeDatabase2500BackupVMware17.2" localSheetId="4">#REF!</definedName>
    <definedName name="LargeDatabase2500BackupVMware17.2">#REF!</definedName>
    <definedName name="LargeDatabase2500BackupVMware17.8" localSheetId="4">#REF!</definedName>
    <definedName name="LargeDatabase2500BackupVMware17.8">#REF!</definedName>
    <definedName name="LargeDatabase2500BackupVMware18" localSheetId="4">#REF!</definedName>
    <definedName name="LargeDatabase2500BackupVMware18">#REF!</definedName>
    <definedName name="LargeDatabase2500BackupVMware18A" localSheetId="4">#REF!</definedName>
    <definedName name="LargeDatabase2500BackupVMware18A">#REF!</definedName>
    <definedName name="LargeDatabase2500BackupVMware19" localSheetId="4">#REF!</definedName>
    <definedName name="LargeDatabase2500BackupVMware19">#REF!</definedName>
    <definedName name="LargeDatabase2500BackupVMware19A" localSheetId="4">#REF!</definedName>
    <definedName name="LargeDatabase2500BackupVMware19A">#REF!</definedName>
    <definedName name="LargeDatabase2500Redo" localSheetId="4">'Cloud Configuration'!$AJ$20</definedName>
    <definedName name="LargeDatabase2500Redo">#REF!</definedName>
    <definedName name="LargeDatabase2500vCPU" localSheetId="4">'Cloud Configuration'!$AJ$8</definedName>
    <definedName name="LargeDatabase2500vCPU">#REF!</definedName>
    <definedName name="LargeDatabase2500vRAM" localSheetId="4">'Cloud Configuration'!$AJ$14</definedName>
    <definedName name="LargeDatabase2500vRAM">#REF!</definedName>
    <definedName name="LargeDatabase3150Arc" localSheetId="4">#REF!</definedName>
    <definedName name="LargeDatabase3150Arc">#REF!</definedName>
    <definedName name="LargeDatabase3150BackupOpenStack17.2" localSheetId="4">#REF!</definedName>
    <definedName name="LargeDatabase3150BackupOpenStack17.2">#REF!</definedName>
    <definedName name="LargeDatabase3150BackupOpenStack17.8" localSheetId="4">#REF!</definedName>
    <definedName name="LargeDatabase3150BackupOpenStack17.8">#REF!</definedName>
    <definedName name="LargeDatabase3150BackupOpenStack18" localSheetId="4">#REF!</definedName>
    <definedName name="LargeDatabase3150BackupOpenStack18">#REF!</definedName>
    <definedName name="LargeDatabase3150BackupOpenStack18A" localSheetId="4">#REF!</definedName>
    <definedName name="LargeDatabase3150BackupOpenStack18A">#REF!</definedName>
    <definedName name="LargeDatabase3150BackupOpenStack19" localSheetId="4">#REF!</definedName>
    <definedName name="LargeDatabase3150BackupOpenStack19">#REF!</definedName>
    <definedName name="LargeDatabase3150BackupOpenStack19A" localSheetId="4">#REF!</definedName>
    <definedName name="LargeDatabase3150BackupOpenStack19A">#REF!</definedName>
    <definedName name="LargeDatabase3150Redo" localSheetId="4">#REF!</definedName>
    <definedName name="LargeDatabase3150Redo">#REF!</definedName>
    <definedName name="LargeDatabase3150vRAM" localSheetId="4">#REF!</definedName>
    <definedName name="LargeDatabase3150vRAM">#REF!</definedName>
    <definedName name="LargeDatabase3418Arc" localSheetId="4">#REF!</definedName>
    <definedName name="LargeDatabase3418Arc">#REF!</definedName>
    <definedName name="LargeDatabase3418BackupVMware17.2" localSheetId="4">#REF!</definedName>
    <definedName name="LargeDatabase3418BackupVMware17.2">#REF!</definedName>
    <definedName name="LargeDatabase3418BackupVMware17.8" localSheetId="4">#REF!</definedName>
    <definedName name="LargeDatabase3418BackupVMware17.8">#REF!</definedName>
    <definedName name="LargeDatabase3418BackupVMware18" localSheetId="4">#REF!</definedName>
    <definedName name="LargeDatabase3418BackupVMware18">#REF!</definedName>
    <definedName name="LargeDatabase3418BackupVMware18A" localSheetId="4">#REF!</definedName>
    <definedName name="LargeDatabase3418BackupVMware18A">#REF!</definedName>
    <definedName name="LargeDatabase3418BackupVMware19" localSheetId="4">#REF!</definedName>
    <definedName name="LargeDatabase3418BackupVMware19">#REF!</definedName>
    <definedName name="LargeDatabase3418BackupVMware19A" localSheetId="4">#REF!</definedName>
    <definedName name="LargeDatabase3418BackupVMware19A">#REF!</definedName>
    <definedName name="LargeDatabase3418Redo" localSheetId="4">#REF!</definedName>
    <definedName name="LargeDatabase3418Redo">#REF!</definedName>
    <definedName name="LargeDatabase3418vRAM" localSheetId="4">#REF!</definedName>
    <definedName name="LargeDatabase3418vRAM">#REF!</definedName>
    <definedName name="LargeDatabase4147Arc" localSheetId="4">#REF!</definedName>
    <definedName name="LargeDatabase4147Arc">#REF!</definedName>
    <definedName name="LargeDatabase4147BackupOpenStack17.2" localSheetId="4">#REF!</definedName>
    <definedName name="LargeDatabase4147BackupOpenStack17.2">#REF!</definedName>
    <definedName name="LargeDatabase4147BackupOpenStack17.8" localSheetId="4">#REF!</definedName>
    <definedName name="LargeDatabase4147BackupOpenStack17.8">#REF!</definedName>
    <definedName name="LargeDatabase4147BackupOpenStack18" localSheetId="4">#REF!</definedName>
    <definedName name="LargeDatabase4147BackupOpenStack18">#REF!</definedName>
    <definedName name="LargeDatabase4147BackupOpenStack18A" localSheetId="4">#REF!</definedName>
    <definedName name="LargeDatabase4147BackupOpenStack18A">#REF!</definedName>
    <definedName name="LargeDatabase4147BackupOpenStack19" localSheetId="4">#REF!</definedName>
    <definedName name="LargeDatabase4147BackupOpenStack19">#REF!</definedName>
    <definedName name="LargeDatabase4147BackupOpenStack19A" localSheetId="4">#REF!</definedName>
    <definedName name="LargeDatabase4147BackupOpenStack19A">#REF!</definedName>
    <definedName name="LargeDatabase4147Redo" localSheetId="4">#REF!</definedName>
    <definedName name="LargeDatabase4147Redo">#REF!</definedName>
    <definedName name="LargeDatabase4147vRAM" localSheetId="4">#REF!</definedName>
    <definedName name="LargeDatabase4147vRAM">#REF!</definedName>
    <definedName name="LargeDatabase4500Arc" localSheetId="4">#REF!</definedName>
    <definedName name="LargeDatabase4500Arc">#REF!</definedName>
    <definedName name="LargeDatabase4500BackupVMware17.2" localSheetId="4">#REF!</definedName>
    <definedName name="LargeDatabase4500BackupVMware17.2">#REF!</definedName>
    <definedName name="LargeDatabase4500BackupVMware17.8" localSheetId="4">#REF!</definedName>
    <definedName name="LargeDatabase4500BackupVMware17.8">#REF!</definedName>
    <definedName name="LargeDatabase4500BackupVMware18" localSheetId="4">#REF!</definedName>
    <definedName name="LargeDatabase4500BackupVMware18">#REF!</definedName>
    <definedName name="LargeDatabase4500BackupVMware18A" localSheetId="4">#REF!</definedName>
    <definedName name="LargeDatabase4500BackupVMware18A">#REF!</definedName>
    <definedName name="LargeDatabase4500BackupVMware19" localSheetId="4">#REF!</definedName>
    <definedName name="LargeDatabase4500BackupVMware19">#REF!</definedName>
    <definedName name="LargeDatabase4500BackupVMware19A" localSheetId="4">#REF!</definedName>
    <definedName name="LargeDatabase4500BackupVMware19A">#REF!</definedName>
    <definedName name="LargeDatabase4500Redo" localSheetId="4">#REF!</definedName>
    <definedName name="LargeDatabase4500Redo">#REF!</definedName>
    <definedName name="LargeDatabase4500vRAM" localSheetId="4">#REF!</definedName>
    <definedName name="LargeDatabase4500vRAM">#REF!</definedName>
    <definedName name="LargeDatabase5535Arc" localSheetId="4">'Cloud Configuration'!$AC$30</definedName>
    <definedName name="LargeDatabase5535Arc">#REF!</definedName>
    <definedName name="LargeDatabase5535Backup" localSheetId="4">'Cloud Configuration'!$AC$36</definedName>
    <definedName name="LargeDatabase5535Backup">#REF!</definedName>
    <definedName name="LargeDatabase5535Redo" localSheetId="4">'Cloud Configuration'!$AC$23</definedName>
    <definedName name="LargeDatabase5535Redo">#REF!</definedName>
    <definedName name="LargeDatabase5535vCPU" localSheetId="4">'Cloud Configuration'!$AC$11</definedName>
    <definedName name="LargeDatabase5535vCPU">#REF!</definedName>
    <definedName name="LargeDatabase5535vRAM" localSheetId="4">'Cloud Configuration'!$AC$17</definedName>
    <definedName name="LargeDatabase5535vRAM">#REF!</definedName>
    <definedName name="LargeDatabase6150Arc" localSheetId="4">'Cloud Configuration'!$AJ$30</definedName>
    <definedName name="LargeDatabase6150Arc">#REF!</definedName>
    <definedName name="LargeDatabase6150Backup" localSheetId="4">'Cloud Configuration'!$AJ$36</definedName>
    <definedName name="LargeDatabase6150Backup">#REF!</definedName>
    <definedName name="LargeDatabase6150Redo" localSheetId="4">'Cloud Configuration'!$AJ$23</definedName>
    <definedName name="LargeDatabase6150Redo">#REF!</definedName>
    <definedName name="LargeDatabase6150vCPU" localSheetId="4">'Cloud Configuration'!$AJ$11</definedName>
    <definedName name="LargeDatabase6150vCPU">#REF!</definedName>
    <definedName name="LargeDatabase6150vRAM" localSheetId="4">'Cloud Configuration'!$AJ$17</definedName>
    <definedName name="LargeDatabase6150vRAM">#REF!</definedName>
    <definedName name="LargeDatabaseOpenStack" localSheetId="4">'Cloud Configuration'!$AC$4:$AC$5</definedName>
    <definedName name="LargeDatabaseOpenStack">#REF!</definedName>
    <definedName name="LargeDatabaseVmware" localSheetId="4">'Cloud Configuration'!$AJ$4:$AJ$5</definedName>
    <definedName name="LargeDatabaseVMware">#REF!</definedName>
    <definedName name="LargeExtRep16.5VMware" localSheetId="4">#REF!</definedName>
    <definedName name="LargeExtRep16.5VMware">#REF!</definedName>
    <definedName name="LargeExtRep16.8VMware" localSheetId="4">#REF!</definedName>
    <definedName name="LargeExtRep16.8VMware">#REF!</definedName>
    <definedName name="LargeExtRep17.2OpenStack" localSheetId="4">#REF!</definedName>
    <definedName name="LargeExtRep17.2OpenStack">#REF!</definedName>
    <definedName name="LargeExtRep17.2VMware" localSheetId="4">#REF!</definedName>
    <definedName name="LargeExtRep17.2VMware">#REF!</definedName>
    <definedName name="LargeExtRep17.8OpenStack" localSheetId="4">#REF!</definedName>
    <definedName name="LargeExtRep17.8OpenStack">#REF!</definedName>
    <definedName name="LargeExtRep17.8VMware" localSheetId="4">#REF!</definedName>
    <definedName name="LargeExtRep17.8VMware">#REF!</definedName>
    <definedName name="LargeExtRep18AOpenStack" localSheetId="4">#REF!</definedName>
    <definedName name="LargeExtRep18AOpenStack">#REF!</definedName>
    <definedName name="LargeExtRep18AVMware" localSheetId="4">#REF!</definedName>
    <definedName name="LargeExtRep18AVMware">#REF!</definedName>
    <definedName name="LargeExtRep18OpenStack" localSheetId="4">#REF!</definedName>
    <definedName name="LargeExtRep18OpenStack">#REF!</definedName>
    <definedName name="LargeExtRep18VMware" localSheetId="4">#REF!</definedName>
    <definedName name="LargeExtRep18VMware">#REF!</definedName>
    <definedName name="LargeExtRep19AOpenStack" localSheetId="4">#REF!</definedName>
    <definedName name="LargeExtRep19AOpenStack">#REF!</definedName>
    <definedName name="LargeExtRep19AVMware" localSheetId="4">#REF!</definedName>
    <definedName name="LargeExtRep19AVMware">#REF!</definedName>
    <definedName name="LargeExtRep19OpenStack" localSheetId="4">#REF!</definedName>
    <definedName name="LargeExtRep19OpenStack">#REF!</definedName>
    <definedName name="LargeExtRep19VMware" localSheetId="4">#REF!</definedName>
    <definedName name="LargeExtRep19VMware">#REF!</definedName>
    <definedName name="LargeExtRepOpenStack" localSheetId="4">'Cloud Configuration'!$AC$42</definedName>
    <definedName name="LargeExtRepOpenStack">#REF!</definedName>
    <definedName name="LargeExtRepVmware" localSheetId="4">'Cloud Configuration'!$AJ$42</definedName>
    <definedName name="LargeExtRepVmware">#REF!</definedName>
    <definedName name="LargeGlobal16.5VMware" localSheetId="4">#REF!</definedName>
    <definedName name="LargeGlobal16.5VMware">#REF!</definedName>
    <definedName name="LargeGlobal16.8VMware" localSheetId="4">#REF!</definedName>
    <definedName name="LargeGlobal16.8VMware">#REF!</definedName>
    <definedName name="LargeGlobal17.2OpenStack" localSheetId="4">#REF!</definedName>
    <definedName name="LargeGlobal17.2OpenStack">#REF!</definedName>
    <definedName name="LargeGlobal17.2VMware" localSheetId="4">#REF!</definedName>
    <definedName name="LargeGlobal17.2VMware">#REF!</definedName>
    <definedName name="LargeGlobal17.8OpenStack" localSheetId="4">#REF!</definedName>
    <definedName name="LargeGlobal17.8OpenStack">#REF!</definedName>
    <definedName name="LargeGlobal17.8VMware" localSheetId="4">#REF!</definedName>
    <definedName name="LargeGlobal17.8VMware">#REF!</definedName>
    <definedName name="LargeGlobal18AOpenStack" localSheetId="4">#REF!</definedName>
    <definedName name="LargeGlobal18AOpenStack">#REF!</definedName>
    <definedName name="LargeGlobal18AVMware" localSheetId="4">#REF!</definedName>
    <definedName name="LargeGlobal18AVMware">#REF!</definedName>
    <definedName name="LargeGlobal18OpenStack" localSheetId="4">#REF!</definedName>
    <definedName name="LargeGlobal18OpenStack">#REF!</definedName>
    <definedName name="LargeGlobal18VMware" localSheetId="4">#REF!</definedName>
    <definedName name="LargeGlobal18VMware">#REF!</definedName>
    <definedName name="LargeGlobal19AOpenStack" localSheetId="4">#REF!</definedName>
    <definedName name="LargeGlobal19AOpenStack">#REF!</definedName>
    <definedName name="LargeGlobal19AVMware" localSheetId="4">#REF!</definedName>
    <definedName name="LargeGlobal19AVMware">#REF!</definedName>
    <definedName name="LargeGlobal19OpenStack" localSheetId="4">#REF!</definedName>
    <definedName name="LargeGlobal19OpenStack">#REF!</definedName>
    <definedName name="LargeGlobal19VMware" localSheetId="4">#REF!</definedName>
    <definedName name="LargeGlobal19VMware">#REF!</definedName>
    <definedName name="LargeGlobalOpenStack" localSheetId="4">'Cloud Configuration'!$AC$39</definedName>
    <definedName name="LargeGlobalOpenStack">#REF!</definedName>
    <definedName name="LargeGlobalVmware" localSheetId="4">'Cloud Configuration'!$AJ$39</definedName>
    <definedName name="LargeGlobalVmware">#REF!</definedName>
    <definedName name="LargeISDKOpenStack" localSheetId="4">'Cloud Configuration'!$AC$49</definedName>
    <definedName name="LargeISDKOpenStack">#REF!</definedName>
    <definedName name="LargeISDKVmware" localSheetId="4">'Cloud Configuration'!$AJ$49</definedName>
    <definedName name="LargeISDKVmware">#REF!</definedName>
    <definedName name="LargeUsers" localSheetId="4">'Cloud Configuration'!$Y$39:$Y$42</definedName>
    <definedName name="LargeUsers">#REF!</definedName>
    <definedName name="Mainstream_24R2_NM_SW_OpenStack___D_40__D_89">'Cloud Configuration'!#REF!</definedName>
    <definedName name="MainstreamADMOpenStack" localSheetId="4">'Cloud Configuration'!$AB$45</definedName>
    <definedName name="MainstreamADMOpenStack">#REF!</definedName>
    <definedName name="MainstreamADMVmware" localSheetId="4">'Cloud Configuration'!$AI$45</definedName>
    <definedName name="MainstreamADMVmware">#REF!</definedName>
    <definedName name="MainstreamCustomer16.8VMware" localSheetId="4">#REF!</definedName>
    <definedName name="MainstreamCustomer16.8VMware">#REF!</definedName>
    <definedName name="MainstreamCustomer17.2OpenStack" localSheetId="4">#REF!</definedName>
    <definedName name="MainstreamCustomer17.2OpenStack">#REF!</definedName>
    <definedName name="MainstreamCustomer17.2VMware" localSheetId="4">#REF!</definedName>
    <definedName name="MainstreamCustomer17.2VMware">#REF!</definedName>
    <definedName name="MainstreamCustomer17.8OpenStack" localSheetId="4">#REF!</definedName>
    <definedName name="MainstreamCustomer17.8OpenStack">#REF!</definedName>
    <definedName name="MainstreamCustomer17.8VMware" localSheetId="4">#REF!</definedName>
    <definedName name="MainstreamCustomer17.8VMware">#REF!</definedName>
    <definedName name="MainstreamCustomer18AOpenStack" localSheetId="4">#REF!</definedName>
    <definedName name="MainstreamCustomer18AOpenStack">#REF!</definedName>
    <definedName name="MainstreamCustomer18AVMware" localSheetId="4">#REF!</definedName>
    <definedName name="MainstreamCustomer18AVMware">#REF!</definedName>
    <definedName name="MainstreamCustomer18OpenStack" localSheetId="4">#REF!</definedName>
    <definedName name="MainstreamCustomer18OpenStack">#REF!</definedName>
    <definedName name="MainstreamCustomer18VMware" localSheetId="4">#REF!</definedName>
    <definedName name="MainstreamCustomer18VMware">#REF!</definedName>
    <definedName name="MainstreamCustomer19AOpenStack" localSheetId="4">#REF!</definedName>
    <definedName name="MainstreamCustomer19AOpenStack">#REF!</definedName>
    <definedName name="MainstreamCustomer19AVMware" localSheetId="4">#REF!</definedName>
    <definedName name="MainstreamCustomer19AVMware">#REF!</definedName>
    <definedName name="MainstreamCustomer19OpenStack" localSheetId="4">#REF!</definedName>
    <definedName name="MainstreamCustomer19OpenStack">#REF!</definedName>
    <definedName name="MainstreamCustomer19VMware" localSheetId="4">#REF!</definedName>
    <definedName name="MainstreamCustomer19VMware">#REF!</definedName>
    <definedName name="MainstreamCustomerOpenStack" localSheetId="4">'Cloud Configuration'!$AB$52</definedName>
    <definedName name="MainstreamCustomerOpenStack">#REF!</definedName>
    <definedName name="MainstreamCustomerVmware" localSheetId="4">'Cloud Configuration'!$AI$52</definedName>
    <definedName name="MainstreamCustomerVmware">#REF!</definedName>
    <definedName name="MainstreamDatabase1350Arc" localSheetId="4">'Cloud Configuration'!$AB$26</definedName>
    <definedName name="MainstreamDatabase1350Arc">#REF!</definedName>
    <definedName name="MainstreamDatabase1350Backup" localSheetId="4">'Cloud Configuration'!$AB$33</definedName>
    <definedName name="MainstreamDatabase1350Backup">#REF!</definedName>
    <definedName name="MainstreamDatabase1350Redo" localSheetId="4">'Cloud Configuration'!$AB$20</definedName>
    <definedName name="MainstreamDatabase1350Redo">#REF!</definedName>
    <definedName name="MainstreamDatabase1350vCPU" localSheetId="4">'Cloud Configuration'!$AB$8</definedName>
    <definedName name="MainstreamDatabase1350vCPU">#REF!</definedName>
    <definedName name="MainstreamDatabase1350vRAM" localSheetId="4">'Cloud Configuration'!$AB$14</definedName>
    <definedName name="MainstreamDatabase1350vRAM">#REF!</definedName>
    <definedName name="MainstreamDatabase1382Arc" localSheetId="4">#REF!</definedName>
    <definedName name="MainstreamDatabase1382Arc">#REF!</definedName>
    <definedName name="MainstreamDatabase1382BackupOpenStack17.2" localSheetId="4">#REF!</definedName>
    <definedName name="MainstreamDatabase1382BackupOpenStack17.2">#REF!</definedName>
    <definedName name="MainstreamDatabase1382BackupOpenStack17.8" localSheetId="4">#REF!</definedName>
    <definedName name="MainstreamDatabase1382BackupOpenStack17.8">#REF!</definedName>
    <definedName name="MainstreamDatabase1382BackupOpenStack18" localSheetId="4">#REF!</definedName>
    <definedName name="MainstreamDatabase1382BackupOpenStack18">#REF!</definedName>
    <definedName name="MainstreamDatabase1382BackupOpenStack18A" localSheetId="4">#REF!</definedName>
    <definedName name="MainstreamDatabase1382BackupOpenStack18A">#REF!</definedName>
    <definedName name="MainstreamDatabase1382BackupOpenStack19" localSheetId="4">#REF!</definedName>
    <definedName name="MainstreamDatabase1382BackupOpenStack19">#REF!</definedName>
    <definedName name="MainstreamDatabase1382BackupOpenStack19A" localSheetId="4">#REF!</definedName>
    <definedName name="MainstreamDatabase1382BackupOpenStack19A">#REF!</definedName>
    <definedName name="MainstreamDatabase1382Redo" localSheetId="4">#REF!</definedName>
    <definedName name="MainstreamDatabase1382Redo">#REF!</definedName>
    <definedName name="MainstreamDatabase1382vRAM" localSheetId="4">#REF!</definedName>
    <definedName name="MainstreamDatabase1382vRAM">#REF!</definedName>
    <definedName name="MainstreamDatabase1500Arc" localSheetId="4">'Cloud Configuration'!$AI$26</definedName>
    <definedName name="MainstreamDatabase1500Arc">#REF!</definedName>
    <definedName name="MainstreamDatabase1500Backup" localSheetId="4">'Cloud Configuration'!$AI$33</definedName>
    <definedName name="MainstreamDatabase1500Backup">#REF!</definedName>
    <definedName name="MainstreamDatabase1500BackupVMware16.5" localSheetId="4">#REF!</definedName>
    <definedName name="MainstreamDatabase1500BackupVMware16.5">#REF!</definedName>
    <definedName name="MainstreamDatabase1500BackupVMware16.8" localSheetId="4">#REF!</definedName>
    <definedName name="MainstreamDatabase1500BackupVMware16.8">#REF!</definedName>
    <definedName name="MainstreamDatabase1500BackupVMware17.2" localSheetId="4">#REF!</definedName>
    <definedName name="MainstreamDatabase1500BackupVMware17.2">#REF!</definedName>
    <definedName name="MainstreamDatabase1500BackupVMware17.8" localSheetId="4">#REF!</definedName>
    <definedName name="MainstreamDatabase1500BackupVMware17.8">#REF!</definedName>
    <definedName name="MainstreamDatabase1500BackupVMware18" localSheetId="4">#REF!</definedName>
    <definedName name="MainstreamDatabase1500BackupVMware18">#REF!</definedName>
    <definedName name="MainstreamDatabase1500BackupVMware18A" localSheetId="4">#REF!</definedName>
    <definedName name="MainstreamDatabase1500BackupVMware18A">#REF!</definedName>
    <definedName name="MainstreamDatabase1500BackupVMware19" localSheetId="4">#REF!</definedName>
    <definedName name="MainstreamDatabase1500BackupVMware19">#REF!</definedName>
    <definedName name="MainstreamDatabase1500BackupVMware19A" localSheetId="4">#REF!</definedName>
    <definedName name="MainstreamDatabase1500BackupVMware19A">#REF!</definedName>
    <definedName name="MainstreamDatabase1500Redo" localSheetId="4">'Cloud Configuration'!$AI$20</definedName>
    <definedName name="MainstreamDatabase1500Redo">#REF!</definedName>
    <definedName name="MainstreamDatabase1500vCPU" localSheetId="4">'Cloud Configuration'!$AI$8</definedName>
    <definedName name="MainstreamDatabase1500vCPU">#REF!</definedName>
    <definedName name="MainstreamDatabase1500vRAM" localSheetId="4">'Cloud Configuration'!$AI$14</definedName>
    <definedName name="MainstreamDatabase1500vRAM">#REF!</definedName>
    <definedName name="MainstreamDatabase1855.79Arc" localSheetId="4">'Cloud Configuration'!$AB$30</definedName>
    <definedName name="MainstreamDatabase1855.79Arc">#REF!</definedName>
    <definedName name="MainstreamDatabase1855.79Backup" localSheetId="4">'Cloud Configuration'!$AB$36</definedName>
    <definedName name="MainstreamDatabase1855.79Backup">#REF!</definedName>
    <definedName name="MainstreamDatabase1855.79Redo" localSheetId="4">'Cloud Configuration'!$AB$23</definedName>
    <definedName name="MainstreamDatabase1855.79Redo">#REF!</definedName>
    <definedName name="MainstreamDatabase1855.79vCPU" localSheetId="4">'Cloud Configuration'!$AB$11</definedName>
    <definedName name="MainstreamDatabase1855.79vCPU">#REF!</definedName>
    <definedName name="MainstreamDatabase1855.79vRAM" localSheetId="4">'Cloud Configuration'!$AB$17</definedName>
    <definedName name="MainstreamDatabase1855.79vRAM">#REF!</definedName>
    <definedName name="MainstreamDatabase1900Arc" localSheetId="4">#REF!</definedName>
    <definedName name="MainstreamDatabase1900Arc">#REF!</definedName>
    <definedName name="MainstreamDatabase1900BackupOpenStack17.2" localSheetId="4">#REF!</definedName>
    <definedName name="MainstreamDatabase1900BackupOpenStack17.2">#REF!</definedName>
    <definedName name="MainstreamDatabase1900BackupOpenStack17.8" localSheetId="4">#REF!</definedName>
    <definedName name="MainstreamDatabase1900BackupOpenStack17.8">#REF!</definedName>
    <definedName name="MainstreamDatabase1900BackupOpenStack18" localSheetId="4">#REF!</definedName>
    <definedName name="MainstreamDatabase1900BackupOpenStack18">#REF!</definedName>
    <definedName name="MainstreamDatabase1900BackupOpenStack18A" localSheetId="4">#REF!</definedName>
    <definedName name="MainstreamDatabase1900BackupOpenStack18A">#REF!</definedName>
    <definedName name="MainstreamDatabase1900BackupOpenStack19" localSheetId="4">#REF!</definedName>
    <definedName name="MainstreamDatabase1900BackupOpenStack19">#REF!</definedName>
    <definedName name="MainstreamDatabase1900BackupOpenStack19A" localSheetId="4">#REF!</definedName>
    <definedName name="MainstreamDatabase1900BackupOpenStack19A">#REF!</definedName>
    <definedName name="MainstreamDatabase1900Redo" localSheetId="4">#REF!</definedName>
    <definedName name="MainstreamDatabase1900Redo">#REF!</definedName>
    <definedName name="MainstreamDatabase1900vRAM" localSheetId="4">#REF!</definedName>
    <definedName name="MainstreamDatabase1900vRAM">#REF!</definedName>
    <definedName name="MainstreamDatabase2062Arc" localSheetId="4">'Cloud Configuration'!$AI$30</definedName>
    <definedName name="MainstreamDatabase2062Arc">#REF!</definedName>
    <definedName name="MainstreamDatabase2062Backup" localSheetId="4">'Cloud Configuration'!$AI$36</definedName>
    <definedName name="MainstreamDatabase2062Backup">#REF!</definedName>
    <definedName name="MainstreamDatabase2062BackupVMware16.5" localSheetId="4">#REF!</definedName>
    <definedName name="MainstreamDatabase2062BackupVMware16.5">#REF!</definedName>
    <definedName name="MainstreamDatabase2062BackupVMware16.8" localSheetId="4">#REF!</definedName>
    <definedName name="MainstreamDatabase2062BackupVMware16.8">#REF!</definedName>
    <definedName name="MainstreamDatabase2062BackupVMware17.2" localSheetId="4">#REF!</definedName>
    <definedName name="MainstreamDatabase2062BackupVMware17.2">#REF!</definedName>
    <definedName name="MainstreamDatabase2062BackupVMware17.8" localSheetId="4">#REF!</definedName>
    <definedName name="MainstreamDatabase2062BackupVMware17.8">#REF!</definedName>
    <definedName name="MainstreamDatabase2062BackupVMware18" localSheetId="4">#REF!</definedName>
    <definedName name="MainstreamDatabase2062BackupVMware18">#REF!</definedName>
    <definedName name="MainstreamDatabase2062BackupVMware18A" localSheetId="4">#REF!</definedName>
    <definedName name="MainstreamDatabase2062BackupVMware18A">#REF!</definedName>
    <definedName name="MainstreamDatabase2062BackupVMware19" localSheetId="4">#REF!</definedName>
    <definedName name="MainstreamDatabase2062BackupVMware19">#REF!</definedName>
    <definedName name="MainstreamDatabase2062BackupVMware19A" localSheetId="4">#REF!</definedName>
    <definedName name="MainstreamDatabase2062BackupVMware19A">#REF!</definedName>
    <definedName name="MainstreamDatabase2062Redo" localSheetId="4">'Cloud Configuration'!$AI$23</definedName>
    <definedName name="MainstreamDatabase2062Redo">#REF!</definedName>
    <definedName name="MainstreamDatabase2062vCPU" localSheetId="4">'Cloud Configuration'!$AI$11</definedName>
    <definedName name="MainstreamDatabase2062vCPU">#REF!</definedName>
    <definedName name="MainstreamDatabase2062vRAM" localSheetId="4">'Cloud Configuration'!$AI$17</definedName>
    <definedName name="MainstreamDatabase2062vRAM">#REF!</definedName>
    <definedName name="MainstreamDatabaseOpenStack" localSheetId="4">'Cloud Configuration'!$AB$4:$AB$5</definedName>
    <definedName name="MainstreamDatabaseOpenStack">#REF!</definedName>
    <definedName name="MainstreamDatabaseVmware" localSheetId="4">'Cloud Configuration'!$AI$4:$AI$5</definedName>
    <definedName name="MainstreamDatabaseVMware">#REF!</definedName>
    <definedName name="MainstreamExtRep16.5VMware" localSheetId="4">#REF!</definedName>
    <definedName name="MainstreamExtRep16.5VMware">#REF!</definedName>
    <definedName name="MainstreamExtRep16.8VMware" localSheetId="4">#REF!</definedName>
    <definedName name="MainstreamExtRep16.8VMware">#REF!</definedName>
    <definedName name="MainstreamExtRep17.2OpenStack" localSheetId="4">#REF!</definedName>
    <definedName name="MainstreamExtRep17.2OpenStack">#REF!</definedName>
    <definedName name="MainstreamExtRep17.2VMware" localSheetId="4">#REF!</definedName>
    <definedName name="MainstreamExtRep17.2VMware">#REF!</definedName>
    <definedName name="MainstreamExtRep17.8OpenStack" localSheetId="4">#REF!</definedName>
    <definedName name="MainstreamExtRep17.8OpenStack">#REF!</definedName>
    <definedName name="MainstreamExtRep17.8VMware" localSheetId="4">#REF!</definedName>
    <definedName name="MainstreamExtRep17.8VMware">#REF!</definedName>
    <definedName name="MainstreamExtRep18AOpenStack" localSheetId="4">#REF!</definedName>
    <definedName name="MainstreamExtRep18AOpenStack">#REF!</definedName>
    <definedName name="MainstreamExtRep18AVMware" localSheetId="4">#REF!</definedName>
    <definedName name="MainstreamExtRep18AVMware">#REF!</definedName>
    <definedName name="MainstreamExtRep18OpenStack" localSheetId="4">#REF!</definedName>
    <definedName name="MainstreamExtRep18OpenStack">#REF!</definedName>
    <definedName name="MainstreamExtRep18VMware" localSheetId="4">#REF!</definedName>
    <definedName name="MainstreamExtRep18VMware">#REF!</definedName>
    <definedName name="MainstreamExtRep19AOpenStack" localSheetId="4">#REF!</definedName>
    <definedName name="MainstreamExtRep19AOpenStack">#REF!</definedName>
    <definedName name="MainstreamExtRep19AVMware" localSheetId="4">#REF!</definedName>
    <definedName name="MainstreamExtRep19AVMware">#REF!</definedName>
    <definedName name="MainstreamExtRep19OpenStack" localSheetId="4">#REF!</definedName>
    <definedName name="MainstreamExtRep19OpenStack">#REF!</definedName>
    <definedName name="MainstreamExtRep19VMware" localSheetId="4">#REF!</definedName>
    <definedName name="MainstreamExtRep19VMware">#REF!</definedName>
    <definedName name="MainstreamExtRepOpenStack" localSheetId="4">'Cloud Configuration'!$AB$42</definedName>
    <definedName name="MainstreamExtRepOpenStack">#REF!</definedName>
    <definedName name="MainstreamExtRepVmware" localSheetId="4">'Cloud Configuration'!$AI$42</definedName>
    <definedName name="MainstreamExtRepVmware">#REF!</definedName>
    <definedName name="MainstreamGlobal16.5VMware" localSheetId="4">#REF!</definedName>
    <definedName name="MainstreamGlobal16.5VMware">#REF!</definedName>
    <definedName name="MainstreamGlobal16.8VMware" localSheetId="4">#REF!</definedName>
    <definedName name="MainstreamGlobal16.8VMware">#REF!</definedName>
    <definedName name="MainstreamGlobal17.2OpenStack" localSheetId="4">#REF!</definedName>
    <definedName name="MainstreamGlobal17.2OpenStack">#REF!</definedName>
    <definedName name="MainstreamGlobal17.2VMware" localSheetId="4">#REF!</definedName>
    <definedName name="MainstreamGlobal17.2VMware">#REF!</definedName>
    <definedName name="MainstreamGlobal17.8OpenStack" localSheetId="4">#REF!</definedName>
    <definedName name="MainstreamGlobal17.8OpenStack">#REF!</definedName>
    <definedName name="MainstreamGlobal17.8VMware" localSheetId="4">#REF!</definedName>
    <definedName name="MainstreamGlobal17.8VMware">#REF!</definedName>
    <definedName name="MainstreamGlobal18AOpenStack" localSheetId="4">#REF!</definedName>
    <definedName name="MainstreamGlobal18AOpenStack">#REF!</definedName>
    <definedName name="MainstreamGlobal18AVMware" localSheetId="4">#REF!</definedName>
    <definedName name="MainstreamGlobal18AVMware">#REF!</definedName>
    <definedName name="MainstreamGlobal18OpenStack" localSheetId="4">#REF!</definedName>
    <definedName name="MainstreamGlobal18OpenStack">#REF!</definedName>
    <definedName name="MainstreamGlobal18VMware" localSheetId="4">#REF!</definedName>
    <definedName name="MainstreamGlobal18VMware">#REF!</definedName>
    <definedName name="MainstreamGlobal19AVMware" localSheetId="4">#REF!</definedName>
    <definedName name="MainstreamGlobal19AVMware">#REF!</definedName>
    <definedName name="MainstreamGlobal19OpenStack" localSheetId="4">#REF!</definedName>
    <definedName name="MainstreamGlobal19OpenStack">#REF!</definedName>
    <definedName name="MainstreamGlobal19VMware" localSheetId="4">#REF!</definedName>
    <definedName name="MainstreamGlobal19VMware">#REF!</definedName>
    <definedName name="MainstreamGlobalOpenStack" localSheetId="4">'Cloud Configuration'!$AB$39</definedName>
    <definedName name="MainstreamGlobalOpenStack">#REF!</definedName>
    <definedName name="MainstreamGlobalVmware" localSheetId="4">'Cloud Configuration'!$AI$39</definedName>
    <definedName name="MainstreamGlobalVmware">#REF!</definedName>
    <definedName name="MainstreamISDKOpenStack" localSheetId="4">'Cloud Configuration'!$AB$49</definedName>
    <definedName name="MainstreamISDKOpenStack">#REF!</definedName>
    <definedName name="MainstreamISDKVmware" localSheetId="4">'Cloud Configuration'!$AI$49</definedName>
    <definedName name="MainstreamISDKVmware">#REF!</definedName>
    <definedName name="MainstreamUsers" localSheetId="4">'Cloud Configuration'!$Y$28:$Y$31</definedName>
    <definedName name="MainstreamUsers">#REF!</definedName>
    <definedName name="OpenStack" localSheetId="4">'Cloud Configuration'!$Y$11:$Y$15</definedName>
    <definedName name="OpenStack">#REF!</definedName>
    <definedName name="q">'[1]Small 16.8'!$B$76:$B$77</definedName>
    <definedName name="Release_24R3_NM">'Cloud Configuration'!$C$3</definedName>
    <definedName name="Release16.5" localSheetId="4">#REF!</definedName>
    <definedName name="Release16.5">#REF!</definedName>
    <definedName name="Release16.8" localSheetId="4">#REF!</definedName>
    <definedName name="Release16.8">#REF!</definedName>
    <definedName name="Release17.2" localSheetId="4">#REF!</definedName>
    <definedName name="Release17.2">#REF!</definedName>
    <definedName name="Release17.8" localSheetId="4">#REF!</definedName>
    <definedName name="Release17.8">#REF!</definedName>
    <definedName name="Release18" localSheetId="4">#REF!</definedName>
    <definedName name="Release18">#REF!</definedName>
    <definedName name="Release18A" localSheetId="4">#REF!</definedName>
    <definedName name="Release18A">#REF!</definedName>
    <definedName name="Release19" localSheetId="4">#REF!</definedName>
    <definedName name="Release19">#REF!</definedName>
    <definedName name="Release19A" localSheetId="4">#REF!</definedName>
    <definedName name="Release19A">#REF!</definedName>
    <definedName name="SmallADMOpenStack" localSheetId="4">'Cloud Configuration'!$AA$45</definedName>
    <definedName name="SmallADMOpenStack">#REF!</definedName>
    <definedName name="SmallADMVmware" localSheetId="4">'Cloud Configuration'!$AH$45</definedName>
    <definedName name="SmallADMVmware">#REF!</definedName>
    <definedName name="SmallCustomer16.5VMware" localSheetId="4">#REF!</definedName>
    <definedName name="SmallCustomer16.5VMware">#REF!</definedName>
    <definedName name="SmallCustomer16.8VMware" localSheetId="4">#REF!</definedName>
    <definedName name="SmallCustomer16.8VMware">#REF!</definedName>
    <definedName name="SmallCustomer17.2OpenStack" localSheetId="4">#REF!</definedName>
    <definedName name="SmallCustomer17.2OpenStack">#REF!</definedName>
    <definedName name="SmallCustomer17.2VMware" localSheetId="4">#REF!</definedName>
    <definedName name="SmallCustomer17.2VMware">#REF!</definedName>
    <definedName name="SmallCustomer17.8OpenStack" localSheetId="4">#REF!</definedName>
    <definedName name="SmallCustomer17.8OpenStack">#REF!</definedName>
    <definedName name="SmallCustomer17.8VMware" localSheetId="4">#REF!</definedName>
    <definedName name="SmallCustomer17.8VMware">#REF!</definedName>
    <definedName name="SmallCustomer18AOpenStack" localSheetId="4">#REF!</definedName>
    <definedName name="SmallCustomer18AOpenStack">#REF!</definedName>
    <definedName name="SmallCustomer18AVMware" localSheetId="4">#REF!</definedName>
    <definedName name="SmallCustomer18AVMware">#REF!</definedName>
    <definedName name="SmallCustomer18OpenStack" localSheetId="4">#REF!</definedName>
    <definedName name="SmallCustomer18OpenStack">#REF!</definedName>
    <definedName name="SmallCustomer18VMware" localSheetId="4">#REF!</definedName>
    <definedName name="SmallCustomer18VMware">#REF!</definedName>
    <definedName name="SmallCustomer19AOpenStack" localSheetId="4">#REF!</definedName>
    <definedName name="SmallCustomer19AOpenStack">#REF!</definedName>
    <definedName name="SmallCustomer19AVMware" localSheetId="4">#REF!</definedName>
    <definedName name="SmallCustomer19AVMware">#REF!</definedName>
    <definedName name="SmallCustomer19OpenStack" localSheetId="4">#REF!</definedName>
    <definedName name="SmallCustomer19OpenStack">#REF!</definedName>
    <definedName name="SmallCustomer19VMware" localSheetId="4">#REF!</definedName>
    <definedName name="SmallCustomer19VMware">#REF!</definedName>
    <definedName name="SmallCustomerOpenStack" localSheetId="4">'Cloud Configuration'!$AA$52</definedName>
    <definedName name="SmallCustomerOpenStack">#REF!</definedName>
    <definedName name="SmallCustomerVmware" localSheetId="4">'Cloud Configuration'!$AH$52</definedName>
    <definedName name="SmallCustomerVmware">#REF!</definedName>
    <definedName name="SmallDatabase1100Arc" localSheetId="4">#REF!</definedName>
    <definedName name="SmallDatabase1100Arc">#REF!</definedName>
    <definedName name="SmallDatabase1100BackupOpenStack17.2" localSheetId="4">#REF!</definedName>
    <definedName name="SmallDatabase1100BackupOpenStack17.2">#REF!</definedName>
    <definedName name="SmallDatabase1100BackupOpenStack17.8" localSheetId="4">#REF!</definedName>
    <definedName name="SmallDatabase1100BackupOpenStack17.8">#REF!</definedName>
    <definedName name="SmallDatabase1100BackupOpenStack18" localSheetId="4">#REF!</definedName>
    <definedName name="SmallDatabase1100BackupOpenStack18">#REF!</definedName>
    <definedName name="SmallDatabase1100BackupOpenStack18A" localSheetId="4">#REF!</definedName>
    <definedName name="SmallDatabase1100BackupOpenStack18A">#REF!</definedName>
    <definedName name="SmallDatabase1100BackupOpenStack19" localSheetId="4">#REF!</definedName>
    <definedName name="SmallDatabase1100BackupOpenStack19">#REF!</definedName>
    <definedName name="SmallDatabase1100BackupOpenStack19A" localSheetId="4">#REF!</definedName>
    <definedName name="SmallDatabase1100BackupOpenStack19A">#REF!</definedName>
    <definedName name="SmallDatabase1100Redo" localSheetId="4">#REF!</definedName>
    <definedName name="SmallDatabase1100Redo">#REF!</definedName>
    <definedName name="SmallDatabase1100vRAM" localSheetId="4">#REF!</definedName>
    <definedName name="SmallDatabase1100vRAM">#REF!</definedName>
    <definedName name="SmallDatabase1194Arc" localSheetId="4">#REF!</definedName>
    <definedName name="SmallDatabase1194Arc">#REF!</definedName>
    <definedName name="SmallDatabase1194BackupVMware16.5" localSheetId="4">#REF!</definedName>
    <definedName name="SmallDatabase1194BackupVMware16.5">#REF!</definedName>
    <definedName name="SmallDatabase1194BackupVMware16.8" localSheetId="4">#REF!</definedName>
    <definedName name="SmallDatabase1194BackupVMware16.8">#REF!</definedName>
    <definedName name="SmallDatabase1194BackupVMware17.2" localSheetId="4">#REF!</definedName>
    <definedName name="SmallDatabase1194BackupVMware17.2">#REF!</definedName>
    <definedName name="SmallDatabase1194BackupVMware17.8" localSheetId="4">#REF!</definedName>
    <definedName name="SmallDatabase1194BackupVMware17.8">#REF!</definedName>
    <definedName name="SmallDatabase1194BackupVMware18" localSheetId="4">#REF!</definedName>
    <definedName name="SmallDatabase1194BackupVMware18">#REF!</definedName>
    <definedName name="SmallDatabase1194BackupVMware18A" localSheetId="4">#REF!</definedName>
    <definedName name="SmallDatabase1194BackupVMware18A">#REF!</definedName>
    <definedName name="SmallDatabase1194BackupVMware19" localSheetId="4">#REF!</definedName>
    <definedName name="SmallDatabase1194BackupVMware19">#REF!</definedName>
    <definedName name="SmallDatabase1194BackupVMware19A" localSheetId="4">#REF!</definedName>
    <definedName name="SmallDatabase1194BackupVMware19A">#REF!</definedName>
    <definedName name="SmallDatabase1194Redo" localSheetId="4">#REF!</definedName>
    <definedName name="SmallDatabase1194Redo">#REF!</definedName>
    <definedName name="SmallDatabase1194vRAM" localSheetId="4">#REF!</definedName>
    <definedName name="SmallDatabase1194vRAM">#REF!</definedName>
    <definedName name="SmallDatabase2115Arc" localSheetId="4">'Cloud Configuration'!$AA$30</definedName>
    <definedName name="SmallDatabase2115Arc">#REF!</definedName>
    <definedName name="SmallDatabase2115Backup" localSheetId="4">'Cloud Configuration'!$AA$36</definedName>
    <definedName name="SmallDatabase2115Backup">#REF!</definedName>
    <definedName name="SmallDatabase2115Redo" localSheetId="4">'Cloud Configuration'!$AA$23</definedName>
    <definedName name="SmallDatabase2115Redo">#REF!</definedName>
    <definedName name="SmallDatabase2115vCPU" localSheetId="4">'Cloud Configuration'!$AA$11</definedName>
    <definedName name="SmallDatabase2115vCPU">#REF!</definedName>
    <definedName name="SmallDatabase2115vRAM" localSheetId="4">'Cloud Configuration'!$AA$17</definedName>
    <definedName name="SmallDatabase2115vRAM">#REF!</definedName>
    <definedName name="SmallDatabase2350Arc" localSheetId="4">'Cloud Configuration'!$AH$30</definedName>
    <definedName name="SmallDatabase2350Arc">#REF!</definedName>
    <definedName name="SmallDatabase2350Backup" localSheetId="4">'Cloud Configuration'!$AH$36</definedName>
    <definedName name="SmallDatabase2350Backup">#REF!</definedName>
    <definedName name="SmallDatabase2350Redo" localSheetId="4">'Cloud Configuration'!$AH$23</definedName>
    <definedName name="SmallDatabase2350Redo">#REF!</definedName>
    <definedName name="SmallDatabase2350vCPU" localSheetId="4">'Cloud Configuration'!$AH$11</definedName>
    <definedName name="SmallDatabase2350vCPU">#REF!</definedName>
    <definedName name="SmallDatabase2350vRAM" localSheetId="4">'Cloud Configuration'!$AH$17</definedName>
    <definedName name="SmallDatabase2350vRAM">#REF!</definedName>
    <definedName name="SmallDatabase675Arc" localSheetId="4">'Cloud Configuration'!$AA$26</definedName>
    <definedName name="SmallDatabase675Arc">#REF!</definedName>
    <definedName name="SmallDatabase675Backup" localSheetId="4">'Cloud Configuration'!$AA$33</definedName>
    <definedName name="SmallDatabase675Backup">#REF!</definedName>
    <definedName name="SmallDatabase675Redo" localSheetId="4">'Cloud Configuration'!$AA$20</definedName>
    <definedName name="SmallDatabase675Redo">#REF!</definedName>
    <definedName name="SmallDatabase675vCPU" localSheetId="4">'Cloud Configuration'!$AA$8</definedName>
    <definedName name="SmallDatabase675vCPU">#REF!</definedName>
    <definedName name="SmallDatabase675vRAM" localSheetId="4">'Cloud Configuration'!$AA$14</definedName>
    <definedName name="SmallDatabase675vRAM">#REF!</definedName>
    <definedName name="SmallDatabase691Arc" localSheetId="4">#REF!</definedName>
    <definedName name="SmallDatabase691Arc">#REF!</definedName>
    <definedName name="SmallDatabase691BackupOpenStack17.2" localSheetId="4">#REF!</definedName>
    <definedName name="SmallDatabase691BackupOpenStack17.2">#REF!</definedName>
    <definedName name="SmallDatabase691BackupOpenStack17.8" localSheetId="4">#REF!</definedName>
    <definedName name="SmallDatabase691BackupOpenStack17.8">#REF!</definedName>
    <definedName name="SmallDatabase691BackupOpenStack18" localSheetId="4">#REF!</definedName>
    <definedName name="SmallDatabase691BackupOpenStack18">#REF!</definedName>
    <definedName name="SmallDatabase691BackupOpenStack18A" localSheetId="4">#REF!</definedName>
    <definedName name="SmallDatabase691BackupOpenStack18A">#REF!</definedName>
    <definedName name="SmallDatabase691BackupOpenStack19" localSheetId="4">#REF!</definedName>
    <definedName name="SmallDatabase691BackupOpenStack19">#REF!</definedName>
    <definedName name="SmallDatabase691BackupOpenStack19A" localSheetId="4">#REF!</definedName>
    <definedName name="SmallDatabase691BackupOpenStack19A">#REF!</definedName>
    <definedName name="SmallDatabase691Redo" localSheetId="4">#REF!</definedName>
    <definedName name="SmallDatabase691Redo">#REF!</definedName>
    <definedName name="SmallDatabase691vRAM" localSheetId="4">#REF!</definedName>
    <definedName name="SmallDatabase691vRAM">#REF!</definedName>
    <definedName name="SmallDatabase750Arc" localSheetId="4">'Cloud Configuration'!$AH$26</definedName>
    <definedName name="SmallDatabase750Arc">#REF!</definedName>
    <definedName name="SmallDatabase750Backup" localSheetId="4">'Cloud Configuration'!$AH$33</definedName>
    <definedName name="SmallDatabase750Backup">#REF!</definedName>
    <definedName name="SmallDatabase750BackupVMware16.5" localSheetId="4">#REF!</definedName>
    <definedName name="SmallDatabase750BackupVMware16.5">#REF!</definedName>
    <definedName name="SmallDatabase750BackupVMware16.8" localSheetId="4">#REF!</definedName>
    <definedName name="SmallDatabase750BackupVMware16.8">#REF!</definedName>
    <definedName name="SmallDatabase750BackupVMware17.2" localSheetId="4">#REF!</definedName>
    <definedName name="SmallDatabase750BackupVMware17.2">#REF!</definedName>
    <definedName name="SmallDatabase750BackupVMware17.8" localSheetId="4">#REF!</definedName>
    <definedName name="SmallDatabase750BackupVMware17.8">#REF!</definedName>
    <definedName name="SmallDatabase750BackupVMware18" localSheetId="4">#REF!</definedName>
    <definedName name="SmallDatabase750BackupVMware18">#REF!</definedName>
    <definedName name="SmallDatabase750BackupVMware18A" localSheetId="4">#REF!</definedName>
    <definedName name="SmallDatabase750BackupVMware18A">#REF!</definedName>
    <definedName name="SmallDatabase750BackupVMware19" localSheetId="4">#REF!</definedName>
    <definedName name="SmallDatabase750BackupVMware19">#REF!</definedName>
    <definedName name="SmallDatabase750BackupVMware19A" localSheetId="4">#REF!</definedName>
    <definedName name="SmallDatabase750BackupVMware19A">#REF!</definedName>
    <definedName name="SmallDatabase750Redo" localSheetId="4">'Cloud Configuration'!$AH$20</definedName>
    <definedName name="SmallDatabase750Redo">#REF!</definedName>
    <definedName name="SmallDatabase750vCPU" localSheetId="4">'Cloud Configuration'!$AH$8</definedName>
    <definedName name="SmallDatabase750vCPU">#REF!</definedName>
    <definedName name="SmallDatabase750vRAM" localSheetId="4">'Cloud Configuration'!$AH$14</definedName>
    <definedName name="SmallDatabase750vRAM">#REF!</definedName>
    <definedName name="SmallDatabaseOpenStack" localSheetId="4">'Cloud Configuration'!$AA$4:$AA$5</definedName>
    <definedName name="SmallDatabaseOpenStack">#REF!</definedName>
    <definedName name="SmallDatabaseVmware" localSheetId="4">'Cloud Configuration'!$AH$4:$AH$5</definedName>
    <definedName name="SmallDatabaseVMware">#REF!</definedName>
    <definedName name="SmallExtRep16.5VMware" localSheetId="4">#REF!</definedName>
    <definedName name="SmallExtRep16.5VMware">#REF!</definedName>
    <definedName name="SmallExtRep16.8VMware" localSheetId="4">#REF!</definedName>
    <definedName name="SmallExtRep16.8VMware">#REF!</definedName>
    <definedName name="SmallExtRep17.2OpenStack" localSheetId="4">#REF!</definedName>
    <definedName name="SmallExtRep17.2OpenStack">#REF!</definedName>
    <definedName name="SmallExtRep17.2VMware" localSheetId="4">#REF!</definedName>
    <definedName name="SmallExtRep17.2VMware">#REF!</definedName>
    <definedName name="SmallExtRep17.8OpenStack" localSheetId="4">#REF!</definedName>
    <definedName name="SmallExtRep17.8OpenStack">#REF!</definedName>
    <definedName name="SmallExtRep17.8VMware" localSheetId="4">#REF!</definedName>
    <definedName name="SmallExtRep17.8VMware">#REF!</definedName>
    <definedName name="SmallExtRep18AOpenStack" localSheetId="4">#REF!</definedName>
    <definedName name="SmallExtRep18AOpenStack">#REF!</definedName>
    <definedName name="SmallExtRep18AVMware" localSheetId="4">#REF!</definedName>
    <definedName name="SmallExtRep18AVMware">#REF!</definedName>
    <definedName name="SmallExtRep18OpenStack" localSheetId="4">#REF!</definedName>
    <definedName name="SmallExtRep18OpenStack">#REF!</definedName>
    <definedName name="SmallExtRep18VMware" localSheetId="4">#REF!</definedName>
    <definedName name="SmallExtRep18VMware">#REF!</definedName>
    <definedName name="SmallExtRep19AOpenStack" localSheetId="4">#REF!</definedName>
    <definedName name="SmallExtRep19AOpenStack">#REF!</definedName>
    <definedName name="SmallExtRep19AVMware" localSheetId="4">#REF!</definedName>
    <definedName name="SmallExtRep19AVMware">#REF!</definedName>
    <definedName name="SmallExtRep19OpenStack" localSheetId="4">#REF!</definedName>
    <definedName name="SmallExtRep19OpenStack">#REF!</definedName>
    <definedName name="SmallExtRep19VMware" localSheetId="4">#REF!</definedName>
    <definedName name="SmallExtRep19VMware">#REF!</definedName>
    <definedName name="SmallExtRepOpenStack" localSheetId="4">'Cloud Configuration'!$AA$42</definedName>
    <definedName name="SmallExtRepOpenStack">#REF!</definedName>
    <definedName name="SmallExtRepVmware" localSheetId="4">'Cloud Configuration'!$AH$42</definedName>
    <definedName name="SmallExtRepVmware">#REF!</definedName>
    <definedName name="SmallGlobal16.5VMware" localSheetId="4">#REF!</definedName>
    <definedName name="SmallGlobal16.5VMware">#REF!</definedName>
    <definedName name="SmallGlobal16.8VMware" localSheetId="4">#REF!</definedName>
    <definedName name="SmallGlobal16.8VMware">#REF!</definedName>
    <definedName name="SmallGlobal17.2OpenStack" localSheetId="4">#REF!</definedName>
    <definedName name="SmallGlobal17.2OpenStack">#REF!</definedName>
    <definedName name="SmallGlobal17.2VMware" localSheetId="4">#REF!</definedName>
    <definedName name="SmallGlobal17.2VMware">#REF!</definedName>
    <definedName name="SmallGlobal17.8OpenStack" localSheetId="4">#REF!</definedName>
    <definedName name="SmallGlobal17.8OpenStack">#REF!</definedName>
    <definedName name="SmallGlobal17.8VMware" localSheetId="4">#REF!</definedName>
    <definedName name="SmallGlobal17.8VMware">#REF!</definedName>
    <definedName name="SmallGlobal18AOpenStack" localSheetId="4">#REF!</definedName>
    <definedName name="SmallGlobal18AOpenStack">#REF!</definedName>
    <definedName name="SmallGlobal18AVMware" localSheetId="4">#REF!</definedName>
    <definedName name="SmallGlobal18AVMware">#REF!</definedName>
    <definedName name="SmallGlobal18OpenStack" localSheetId="4">#REF!</definedName>
    <definedName name="SmallGlobal18OpenStack">#REF!</definedName>
    <definedName name="SmallGlobal18VMware" localSheetId="4">#REF!</definedName>
    <definedName name="SmallGlobal18VMware">#REF!</definedName>
    <definedName name="SmallGlobal19AOpenStack" localSheetId="4">#REF!</definedName>
    <definedName name="SmallGlobal19AOpenStack">#REF!</definedName>
    <definedName name="SmallGlobal19AVMware" localSheetId="4">#REF!</definedName>
    <definedName name="SmallGlobal19AVMware">#REF!</definedName>
    <definedName name="SmallGlobal19OpenStack" localSheetId="4">#REF!</definedName>
    <definedName name="SmallGlobal19OpenStack">#REF!</definedName>
    <definedName name="SmallGlobal19VMware" localSheetId="4">#REF!</definedName>
    <definedName name="SmallGlobal19VMware">#REF!</definedName>
    <definedName name="SmallGlobalOpenStack" localSheetId="4">'Cloud Configuration'!$AA$39</definedName>
    <definedName name="SmallGlobalOpenStack">#REF!</definedName>
    <definedName name="SmallGlobalVmware" localSheetId="4">'Cloud Configuration'!$AH$39</definedName>
    <definedName name="SmallGlobalVmware">#REF!</definedName>
    <definedName name="SmallISDKOpenStack" localSheetId="4">'Cloud Configuration'!$AA$49</definedName>
    <definedName name="SmallISDKOpenStack">#REF!</definedName>
    <definedName name="SmallISDKVmware" localSheetId="4">'Cloud Configuration'!$AH$49</definedName>
    <definedName name="SmallISDKVmware">#REF!</definedName>
    <definedName name="SmallUsers" localSheetId="4">'Cloud Configuration'!$Y$20:$Y$21</definedName>
    <definedName name="SmallUsers">#REF!</definedName>
    <definedName name="Version">2</definedName>
    <definedName name="Vmware" localSheetId="4">'Cloud Configuration'!$Y$4:$Y$7</definedName>
    <definedName name="Vmware">#REF!</definedName>
    <definedName name="VMWareConfigurationType" localSheetId="4">'Cloud Configuration'!$Y$4:$Y$7</definedName>
    <definedName name="VMWareConfigurationType">#REF!</definedName>
    <definedName name="XXLADMOpenStack" localSheetId="4">'Cloud Configuration'!$AD$45</definedName>
    <definedName name="XXLADMOpenStack">#REF!</definedName>
    <definedName name="XXLADMVmware" localSheetId="4">'Cloud Configuration'!$AK$45</definedName>
    <definedName name="XXLADMVmware">#REF!</definedName>
    <definedName name="XXLCustomer18AOpenStack" localSheetId="4">#REF!</definedName>
    <definedName name="XXLCustomer18AOpenStack">#REF!</definedName>
    <definedName name="XXLCustomer18AVMware" localSheetId="4">#REF!</definedName>
    <definedName name="XXLCustomer18AVMware">#REF!</definedName>
    <definedName name="XXLCustomer18OpenStack" localSheetId="4">#REF!</definedName>
    <definedName name="XXLCustomer18OpenStack">#REF!</definedName>
    <definedName name="XXLCustomer18VMware" localSheetId="4">#REF!</definedName>
    <definedName name="XXLCustomer18VMware">#REF!</definedName>
    <definedName name="XXLCustomer19AOpenStack" localSheetId="4">#REF!</definedName>
    <definedName name="XXLCustomer19AOpenStack">#REF!</definedName>
    <definedName name="XXLCustomer19AVMware" localSheetId="4">#REF!</definedName>
    <definedName name="XXLCustomer19AVMware">#REF!</definedName>
    <definedName name="XXLCustomer19OpenStack" localSheetId="4">#REF!</definedName>
    <definedName name="XXLCustomer19OpenStack">#REF!</definedName>
    <definedName name="XXLCustomer19VMware" localSheetId="4">#REF!</definedName>
    <definedName name="XXLCustomer19VMware">#REF!</definedName>
    <definedName name="XXLCustomerOpenStack" localSheetId="4">'Cloud Configuration'!$AD$52</definedName>
    <definedName name="XXLCustomerOpenStack">#REF!</definedName>
    <definedName name="XXLCustomerVmware" localSheetId="4">'Cloud Configuration'!$AK$52</definedName>
    <definedName name="XXLCustomerVmware">#REF!</definedName>
    <definedName name="XXLDatabase8100Arc" localSheetId="4">'Cloud Configuration'!$AD$26</definedName>
    <definedName name="XXLDatabase8100Arc">#REF!</definedName>
    <definedName name="XXLDatabase8100Backup" localSheetId="4">'Cloud Configuration'!$AD$33</definedName>
    <definedName name="XXLDatabase8100Backup">#REF!</definedName>
    <definedName name="XXLDatabase8100Redo" localSheetId="4">'Cloud Configuration'!$AD$20</definedName>
    <definedName name="XXLDatabase8100Redo">#REF!</definedName>
    <definedName name="XXLDatabase8100vCPU" localSheetId="4">'Cloud Configuration'!$AD$8</definedName>
    <definedName name="XXLDatabase8100vCPU">#REF!</definedName>
    <definedName name="XXLDatabase8100vRAM" localSheetId="4">'Cloud Configuration'!$AD$14</definedName>
    <definedName name="XXLDatabase8100vRAM">#REF!</definedName>
    <definedName name="XXLDatabase8294Arc" localSheetId="4">#REF!</definedName>
    <definedName name="XXLDatabase8294Arc">#REF!</definedName>
    <definedName name="XXLDatabase8294BackupOpenStack18" localSheetId="4">#REF!</definedName>
    <definedName name="XXLDatabase8294BackupOpenStack18">#REF!</definedName>
    <definedName name="XXLDatabase8294BackupOpenStack18A" localSheetId="4">#REF!</definedName>
    <definedName name="XXLDatabase8294BackupOpenStack18A">#REF!</definedName>
    <definedName name="XXLDatabase8294BackupOpenStack19" localSheetId="4">#REF!</definedName>
    <definedName name="XXLDatabase8294BackupOpenStack19">#REF!</definedName>
    <definedName name="XXLDatabase8294BackupOpenStack19A" localSheetId="4">#REF!</definedName>
    <definedName name="XXLDatabase8294BackupOpenStack19A">#REF!</definedName>
    <definedName name="XXLDatabase8294Redo" localSheetId="4">#REF!</definedName>
    <definedName name="XXLDatabase8294Redo">#REF!</definedName>
    <definedName name="XXLDatabase8294vRAM" localSheetId="4">#REF!</definedName>
    <definedName name="XXLDatabase8294vRAM">#REF!</definedName>
    <definedName name="XXLDatabase9000Arc" localSheetId="4">'Cloud Configuration'!$AK$26</definedName>
    <definedName name="XXLDatabase9000Arc">#REF!</definedName>
    <definedName name="XXLDatabase9000Backup" localSheetId="4">'Cloud Configuration'!$AK$33</definedName>
    <definedName name="XXLDatabase9000Backup">#REF!</definedName>
    <definedName name="XXLDatabase9000BackupVMware18" localSheetId="4">#REF!</definedName>
    <definedName name="XXLDatabase9000BackupVMware18">#REF!</definedName>
    <definedName name="XXLDatabase9000BackupVMware18A" localSheetId="4">#REF!</definedName>
    <definedName name="XXLDatabase9000BackupVMware18A">#REF!</definedName>
    <definedName name="XXLDatabase9000BackupVMware19" localSheetId="4">#REF!</definedName>
    <definedName name="XXLDatabase9000BackupVMware19">#REF!</definedName>
    <definedName name="XXLDatabase9000BackupVMware19A" localSheetId="4">#REF!</definedName>
    <definedName name="XXLDatabase9000BackupVMware19A">#REF!</definedName>
    <definedName name="XXLDatabase9000Redo" localSheetId="4">'Cloud Configuration'!$AK$20</definedName>
    <definedName name="XXLDatabase9000Redo">#REF!</definedName>
    <definedName name="XXLDatabase9000vCPU" localSheetId="4">'Cloud Configuration'!$AK$8</definedName>
    <definedName name="XXLDatabase9000vCPU">#REF!</definedName>
    <definedName name="XXLDatabase9000vRAM" localSheetId="4">'Cloud Configuration'!$AK$14</definedName>
    <definedName name="XXLDatabase9000vRAM">#REF!</definedName>
    <definedName name="XXLDatabaseOpenStack" localSheetId="4">'Cloud Configuration'!$AD$4</definedName>
    <definedName name="XXLDatabaseOpenStack">#REF!</definedName>
    <definedName name="XXLDatabaseVmware" localSheetId="4">'Cloud Configuration'!$AK$4</definedName>
    <definedName name="XXLDatabaseVMware">#REF!</definedName>
    <definedName name="XXLExtRep18AOpenStack" localSheetId="4">#REF!</definedName>
    <definedName name="XXLExtRep18AOpenStack">#REF!</definedName>
    <definedName name="XXLExtRep18AVMware" localSheetId="4">#REF!</definedName>
    <definedName name="XXLExtRep18AVMware">#REF!</definedName>
    <definedName name="XXLExtRep18OpenStack" localSheetId="4">#REF!</definedName>
    <definedName name="XXLExtRep18OpenStack">#REF!</definedName>
    <definedName name="XXLExtRep18VMware" localSheetId="4">#REF!</definedName>
    <definedName name="XXLExtRep18VMware">#REF!</definedName>
    <definedName name="XXLExtRep19AOpenStack" localSheetId="4">#REF!</definedName>
    <definedName name="XXLExtRep19AOpenStack">#REF!</definedName>
    <definedName name="XXLExtRep19AVMware" localSheetId="4">#REF!</definedName>
    <definedName name="XXLExtRep19AVMware">#REF!</definedName>
    <definedName name="XXLExtRep19OpenStack" localSheetId="4">#REF!</definedName>
    <definedName name="XXLExtRep19OpenStack">#REF!</definedName>
    <definedName name="XXLExtRep19VMware" localSheetId="4">#REF!</definedName>
    <definedName name="XXLExtRep19VMware">#REF!</definedName>
    <definedName name="XXLExtRepOpenStack" localSheetId="4">'Cloud Configuration'!$AD$42</definedName>
    <definedName name="XXLExtRepOpenStack">#REF!</definedName>
    <definedName name="XXLExtRepVmware" localSheetId="4">'Cloud Configuration'!$AK$42</definedName>
    <definedName name="XXLExtRepVmware">#REF!</definedName>
    <definedName name="XXLGlobal18AOpenStack" localSheetId="4">#REF!</definedName>
    <definedName name="XXLGlobal18AOpenStack">#REF!</definedName>
    <definedName name="XXLGlobal18AVMware" localSheetId="4">#REF!</definedName>
    <definedName name="XXLGlobal18AVMware">#REF!</definedName>
    <definedName name="XXLGlobal18OpenStack" localSheetId="4">#REF!</definedName>
    <definedName name="XXLGlobal18OpenStack">#REF!</definedName>
    <definedName name="XXLGlobal18VMware" localSheetId="4">#REF!</definedName>
    <definedName name="XXLGlobal18VMware">#REF!</definedName>
    <definedName name="XXLGlobal19AOpenStack" localSheetId="4">#REF!</definedName>
    <definedName name="XXLGlobal19AOpenStack">#REF!</definedName>
    <definedName name="XXLGlobal19AVMware" localSheetId="4">#REF!</definedName>
    <definedName name="XXLGlobal19AVMware">#REF!</definedName>
    <definedName name="XXLGlobal19OpenStack" localSheetId="4">#REF!</definedName>
    <definedName name="XXLGlobal19OpenStack">#REF!</definedName>
    <definedName name="XXLGlobal19VMware" localSheetId="4">#REF!</definedName>
    <definedName name="XXLGlobal19VMware">#REF!</definedName>
    <definedName name="XXLGlobalOpenStack" localSheetId="4">'Cloud Configuration'!$AD$39</definedName>
    <definedName name="XXLGlobalOpenStack">#REF!</definedName>
    <definedName name="XXLGlobalVmware" localSheetId="4">'Cloud Configuration'!$AK$39</definedName>
    <definedName name="XXLGlobalVmware">#REF!</definedName>
    <definedName name="XXLISDKOpenStack" localSheetId="4">'Cloud Configuration'!$AD$49</definedName>
    <definedName name="XXLISDKOpenStack">#REF!</definedName>
    <definedName name="XXLISDKVmware" localSheetId="4">'Cloud Configuration'!$AK$49</definedName>
    <definedName name="XXLISDKVmware">#REF!</definedName>
    <definedName name="XXLUsers" localSheetId="4">'Cloud Configuration'!$Y$51:$Y$54</definedName>
    <definedName name="XXLUsers">#REF!</definedName>
    <definedName name="XXXLADMOpenStack" localSheetId="4">'Cloud Configuration'!$AE$45</definedName>
    <definedName name="XXXLADMOpenStack">#REF!</definedName>
    <definedName name="XXXLADMVmware" localSheetId="4">'Cloud Configuration'!$AL$45</definedName>
    <definedName name="XXXLADMVmware">#REF!</definedName>
    <definedName name="XXXLCustomerOpenStack" localSheetId="4">'Cloud Configuration'!$AE$52</definedName>
    <definedName name="XXXLCustomerOpenStack">#REF!</definedName>
    <definedName name="XXXLCustomerVmware" localSheetId="4">'Cloud Configuration'!$AL$52</definedName>
    <definedName name="XXXLCustomerVmware">#REF!</definedName>
    <definedName name="XXXLDatabase15200Arc" localSheetId="4">'Cloud Configuration'!$AE$26</definedName>
    <definedName name="XXXLDatabase15200Arc">#REF!</definedName>
    <definedName name="XXXLDatabase15200Backup" localSheetId="4">'Cloud Configuration'!$AE$33</definedName>
    <definedName name="XXXLDatabase15200Backup">#REF!</definedName>
    <definedName name="XXXLDatabase15200Redo" localSheetId="4">'Cloud Configuration'!$AE$20</definedName>
    <definedName name="XXXLDatabase15200Redo">#REF!</definedName>
    <definedName name="XXXLDatabase15200vCPU" localSheetId="4">'Cloud Configuration'!$AE$8</definedName>
    <definedName name="XXXLDatabase15200vCPU">#REF!</definedName>
    <definedName name="XXXLDatabase15200vRAM" localSheetId="4">'Cloud Configuration'!$AE$14</definedName>
    <definedName name="XXXLDatabase15200vRAM">#REF!</definedName>
    <definedName name="XXXLDatabase16400Arc" localSheetId="4">'Cloud Configuration'!$AL$26</definedName>
    <definedName name="XXXLDatabase16400Arc">#REF!</definedName>
    <definedName name="XXXLDatabase16400Backup" localSheetId="4">'Cloud Configuration'!$AL$33</definedName>
    <definedName name="XXXLDatabase16400Backup">#REF!</definedName>
    <definedName name="XXXLDatabase16400Redo" localSheetId="4">'Cloud Configuration'!$AL$20</definedName>
    <definedName name="XXXLDatabase16400Redo">#REF!</definedName>
    <definedName name="XXXLDatabase16400vCPU" localSheetId="4">'Cloud Configuration'!$AL$8</definedName>
    <definedName name="XXXLDatabase16400vCPU">#REF!</definedName>
    <definedName name="XXXLDatabase16400vRAM" localSheetId="4">'Cloud Configuration'!$AL$14</definedName>
    <definedName name="XXXLDatabase16400vRAM">#REF!</definedName>
    <definedName name="XXXLDatabaseOpenstack" localSheetId="4">'Cloud Configuration'!$AE$4</definedName>
    <definedName name="XXXLDatabaseOpenstack">#REF!</definedName>
    <definedName name="XXXLDatabaseVmware" localSheetId="4">'Cloud Configuration'!$AL$4</definedName>
    <definedName name="XXXLDatabaseVmware">#REF!</definedName>
    <definedName name="XXXLExtRepOpenStack" localSheetId="4">'Cloud Configuration'!$AE$42</definedName>
    <definedName name="XXXLExtRepOpenStack">#REF!</definedName>
    <definedName name="XXXLExtRepVmware" localSheetId="4">'Cloud Configuration'!$AL$42</definedName>
    <definedName name="XXXLExtRepVmware">#REF!</definedName>
    <definedName name="XXXLGlobalOpenStack" localSheetId="4">'Cloud Configuration'!$AE$39</definedName>
    <definedName name="XXXLGlobalOpenStack">#REF!</definedName>
    <definedName name="XXXLGlobalVmware" localSheetId="4">'Cloud Configuration'!$AL$39</definedName>
    <definedName name="XXXLGlobalVmware">#REF!</definedName>
    <definedName name="XXXLISDKOpenStack" localSheetId="4">'Cloud Configuration'!$AE$49</definedName>
    <definedName name="XXXLISDKOpenStack">#REF!</definedName>
    <definedName name="XXXLISDKVmware" localSheetId="4">'Cloud Configuration'!$AL$49</definedName>
    <definedName name="XXXLISDKVmware">#REF!</definedName>
    <definedName name="XXXLUsers" localSheetId="4">'Cloud Configuration'!$Y$61:$Y$64</definedName>
    <definedName name="XXXLUs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224" l="1"/>
  <c r="F58" i="224"/>
  <c r="G58" i="223"/>
  <c r="F58" i="223"/>
  <c r="AZ33" i="208"/>
  <c r="AZ39" i="210"/>
  <c r="AW39" i="210"/>
  <c r="AF38" i="209"/>
  <c r="AF32" i="207"/>
  <c r="AD29" i="206"/>
  <c r="AH30" i="219"/>
  <c r="AD30" i="218"/>
  <c r="AW33" i="208" l="1"/>
  <c r="V103" i="224"/>
  <c r="V102" i="223"/>
  <c r="C164" i="224"/>
  <c r="C161" i="224"/>
  <c r="B161" i="224"/>
  <c r="C160" i="224"/>
  <c r="B160" i="224"/>
  <c r="C159" i="224"/>
  <c r="B159" i="224"/>
  <c r="C158" i="224"/>
  <c r="B158" i="224"/>
  <c r="C157" i="224"/>
  <c r="B157" i="224"/>
  <c r="C156" i="224"/>
  <c r="B156" i="224"/>
  <c r="C155" i="224"/>
  <c r="B155" i="224"/>
  <c r="C154" i="224"/>
  <c r="B154" i="224"/>
  <c r="C153" i="224"/>
  <c r="B153" i="224"/>
  <c r="C149" i="224"/>
  <c r="B149" i="224"/>
  <c r="B147" i="224"/>
  <c r="B146" i="224"/>
  <c r="B145" i="224"/>
  <c r="B144" i="224"/>
  <c r="B143" i="224"/>
  <c r="B142" i="224"/>
  <c r="B141" i="224"/>
  <c r="B140" i="224"/>
  <c r="B139" i="224"/>
  <c r="B138" i="224"/>
  <c r="B137" i="224"/>
  <c r="B136" i="224"/>
  <c r="J99" i="224"/>
  <c r="J120" i="224"/>
  <c r="J119" i="224"/>
  <c r="J118" i="224"/>
  <c r="J117" i="224"/>
  <c r="J116" i="224"/>
  <c r="J115" i="224"/>
  <c r="J114" i="224"/>
  <c r="J113" i="224"/>
  <c r="J112" i="224"/>
  <c r="J111" i="224"/>
  <c r="J107" i="224"/>
  <c r="J106" i="224"/>
  <c r="J102" i="224"/>
  <c r="J101" i="224"/>
  <c r="J98" i="224"/>
  <c r="J97" i="224"/>
  <c r="F97" i="224"/>
  <c r="J96" i="224"/>
  <c r="B162" i="224" s="1"/>
  <c r="J95" i="224"/>
  <c r="J94" i="224"/>
  <c r="J93" i="224"/>
  <c r="J92" i="224"/>
  <c r="J91" i="224"/>
  <c r="J90" i="224"/>
  <c r="J89" i="224"/>
  <c r="J88" i="224"/>
  <c r="J87" i="224"/>
  <c r="J86" i="224"/>
  <c r="J85" i="224"/>
  <c r="J84" i="224"/>
  <c r="J83" i="224"/>
  <c r="J82" i="224"/>
  <c r="J68" i="224"/>
  <c r="G63" i="224"/>
  <c r="F63" i="224"/>
  <c r="G62" i="224"/>
  <c r="F62" i="224"/>
  <c r="G61" i="224"/>
  <c r="F61" i="224"/>
  <c r="G60" i="224"/>
  <c r="F60" i="224"/>
  <c r="G59" i="224"/>
  <c r="F59" i="224"/>
  <c r="H57" i="224"/>
  <c r="AR53" i="224"/>
  <c r="AV47" i="224"/>
  <c r="AV53" i="224" s="1"/>
  <c r="AV103" i="224" s="1"/>
  <c r="AV108" i="224" s="1"/>
  <c r="AV121" i="224" s="1"/>
  <c r="AU47" i="224"/>
  <c r="AU53" i="224" s="1"/>
  <c r="AU103" i="224" s="1"/>
  <c r="AU108" i="224" s="1"/>
  <c r="AU121" i="224" s="1"/>
  <c r="AT47" i="224"/>
  <c r="AT53" i="224" s="1"/>
  <c r="AT103" i="224" s="1"/>
  <c r="AT108" i="224" s="1"/>
  <c r="AT121" i="224" s="1"/>
  <c r="AP47" i="224"/>
  <c r="AP53" i="224" s="1"/>
  <c r="AP103" i="224" s="1"/>
  <c r="AP108" i="224" s="1"/>
  <c r="AP121" i="224" s="1"/>
  <c r="AN47" i="224"/>
  <c r="AN53" i="224" s="1"/>
  <c r="AN103" i="224" s="1"/>
  <c r="AN108" i="224" s="1"/>
  <c r="AN121" i="224" s="1"/>
  <c r="AL47" i="224"/>
  <c r="AL53" i="224" s="1"/>
  <c r="AL103" i="224" s="1"/>
  <c r="AL108" i="224" s="1"/>
  <c r="AL121" i="224" s="1"/>
  <c r="AJ47" i="224"/>
  <c r="AJ53" i="224" s="1"/>
  <c r="AJ103" i="224" s="1"/>
  <c r="AJ108" i="224" s="1"/>
  <c r="AJ121" i="224" s="1"/>
  <c r="AH47" i="224"/>
  <c r="AH53" i="224" s="1"/>
  <c r="AH103" i="224" s="1"/>
  <c r="AH108" i="224" s="1"/>
  <c r="AH121" i="224" s="1"/>
  <c r="AF47" i="224"/>
  <c r="AF53" i="224" s="1"/>
  <c r="AF103" i="224" s="1"/>
  <c r="AF108" i="224" s="1"/>
  <c r="AF121" i="224" s="1"/>
  <c r="AD47" i="224"/>
  <c r="AD53" i="224" s="1"/>
  <c r="AD103" i="224" s="1"/>
  <c r="AD108" i="224" s="1"/>
  <c r="AD121" i="224" s="1"/>
  <c r="AB47" i="224"/>
  <c r="AB53" i="224" s="1"/>
  <c r="AB103" i="224" s="1"/>
  <c r="AB108" i="224" s="1"/>
  <c r="AB121" i="224" s="1"/>
  <c r="Z47" i="224"/>
  <c r="Z53" i="224" s="1"/>
  <c r="Z103" i="224" s="1"/>
  <c r="Z108" i="224" s="1"/>
  <c r="Z121" i="224" s="1"/>
  <c r="V47" i="224"/>
  <c r="V53" i="224" s="1"/>
  <c r="T47" i="224"/>
  <c r="T53" i="224" s="1"/>
  <c r="T103" i="224" s="1"/>
  <c r="T108" i="224" s="1"/>
  <c r="T121" i="224" s="1"/>
  <c r="J46" i="224"/>
  <c r="J52" i="224" s="1"/>
  <c r="J45" i="224"/>
  <c r="J44" i="224"/>
  <c r="J51" i="224" s="1"/>
  <c r="J43" i="224"/>
  <c r="J42" i="224"/>
  <c r="J41" i="224"/>
  <c r="J40" i="224"/>
  <c r="J39" i="224"/>
  <c r="J38" i="224"/>
  <c r="F38" i="224"/>
  <c r="J37" i="224"/>
  <c r="J36" i="224"/>
  <c r="J35" i="224"/>
  <c r="J34" i="224"/>
  <c r="J33" i="224"/>
  <c r="J32" i="224"/>
  <c r="J31" i="224"/>
  <c r="J30" i="224"/>
  <c r="J29" i="224"/>
  <c r="J28" i="224"/>
  <c r="J27" i="224"/>
  <c r="J26" i="224"/>
  <c r="J25" i="224"/>
  <c r="J24" i="224"/>
  <c r="J23" i="224"/>
  <c r="J22" i="224"/>
  <c r="J21" i="224"/>
  <c r="J20" i="224"/>
  <c r="J19" i="224"/>
  <c r="J18" i="224"/>
  <c r="J17" i="224"/>
  <c r="J16" i="224"/>
  <c r="J15" i="224"/>
  <c r="N14" i="224"/>
  <c r="X15" i="224" s="1"/>
  <c r="J13" i="224"/>
  <c r="I12" i="224"/>
  <c r="I47" i="224" s="1"/>
  <c r="J11" i="224"/>
  <c r="C163" i="223"/>
  <c r="C160" i="223"/>
  <c r="B160" i="223"/>
  <c r="C159" i="223"/>
  <c r="B159" i="223"/>
  <c r="C158" i="223"/>
  <c r="B158" i="223"/>
  <c r="C157" i="223"/>
  <c r="B157" i="223"/>
  <c r="C156" i="223"/>
  <c r="B156" i="223"/>
  <c r="C155" i="223"/>
  <c r="B155" i="223"/>
  <c r="C154" i="223"/>
  <c r="B154" i="223"/>
  <c r="C153" i="223"/>
  <c r="B153" i="223"/>
  <c r="C152" i="223"/>
  <c r="B152" i="223"/>
  <c r="C148" i="223"/>
  <c r="B148" i="223"/>
  <c r="B146" i="223"/>
  <c r="B145" i="223"/>
  <c r="B144" i="223"/>
  <c r="B143" i="223"/>
  <c r="B142" i="223"/>
  <c r="B141" i="223"/>
  <c r="B140" i="223"/>
  <c r="B139" i="223"/>
  <c r="B138" i="223"/>
  <c r="B137" i="223"/>
  <c r="B136" i="223"/>
  <c r="B135" i="223"/>
  <c r="J98" i="223"/>
  <c r="J119" i="223"/>
  <c r="J118" i="223"/>
  <c r="J117" i="223"/>
  <c r="J116" i="223"/>
  <c r="J115" i="223"/>
  <c r="J114" i="223"/>
  <c r="J113" i="223"/>
  <c r="J112" i="223"/>
  <c r="J111" i="223"/>
  <c r="J110" i="223"/>
  <c r="J106" i="223"/>
  <c r="J105" i="223"/>
  <c r="J101" i="223"/>
  <c r="J100" i="223"/>
  <c r="J97" i="223"/>
  <c r="J96" i="223"/>
  <c r="F96" i="223"/>
  <c r="J95" i="223"/>
  <c r="B161" i="223" s="1"/>
  <c r="J94" i="223"/>
  <c r="J93" i="223"/>
  <c r="J92" i="223"/>
  <c r="J91" i="223"/>
  <c r="J90" i="223"/>
  <c r="J89" i="223"/>
  <c r="J88" i="223"/>
  <c r="J87" i="223"/>
  <c r="J86" i="223"/>
  <c r="J85" i="223"/>
  <c r="J84" i="223"/>
  <c r="J83" i="223"/>
  <c r="J82" i="223"/>
  <c r="J68" i="223"/>
  <c r="G63" i="223"/>
  <c r="F63" i="223"/>
  <c r="G62" i="223"/>
  <c r="F62" i="223"/>
  <c r="G61" i="223"/>
  <c r="F61" i="223"/>
  <c r="G60" i="223"/>
  <c r="F60" i="223"/>
  <c r="G59" i="223"/>
  <c r="F59" i="223"/>
  <c r="H57" i="223"/>
  <c r="AR53" i="223"/>
  <c r="AV47" i="223"/>
  <c r="AV53" i="223" s="1"/>
  <c r="AV102" i="223" s="1"/>
  <c r="AV107" i="223" s="1"/>
  <c r="AV120" i="223" s="1"/>
  <c r="AU47" i="223"/>
  <c r="AU53" i="223" s="1"/>
  <c r="AU102" i="223" s="1"/>
  <c r="AU107" i="223" s="1"/>
  <c r="AU120" i="223" s="1"/>
  <c r="AT47" i="223"/>
  <c r="AT53" i="223" s="1"/>
  <c r="AT102" i="223" s="1"/>
  <c r="AT107" i="223" s="1"/>
  <c r="AT120" i="223" s="1"/>
  <c r="AP47" i="223"/>
  <c r="AP53" i="223" s="1"/>
  <c r="AP102" i="223" s="1"/>
  <c r="AP107" i="223" s="1"/>
  <c r="AP120" i="223" s="1"/>
  <c r="AN47" i="223"/>
  <c r="AN53" i="223" s="1"/>
  <c r="AN102" i="223" s="1"/>
  <c r="AN107" i="223" s="1"/>
  <c r="AN120" i="223" s="1"/>
  <c r="AL47" i="223"/>
  <c r="AL53" i="223" s="1"/>
  <c r="AL102" i="223" s="1"/>
  <c r="AL107" i="223" s="1"/>
  <c r="AL120" i="223" s="1"/>
  <c r="AJ47" i="223"/>
  <c r="AJ53" i="223" s="1"/>
  <c r="AJ102" i="223" s="1"/>
  <c r="AJ107" i="223" s="1"/>
  <c r="AJ120" i="223" s="1"/>
  <c r="AH47" i="223"/>
  <c r="AH53" i="223" s="1"/>
  <c r="AH102" i="223" s="1"/>
  <c r="AH107" i="223" s="1"/>
  <c r="AH120" i="223" s="1"/>
  <c r="AF47" i="223"/>
  <c r="AF53" i="223" s="1"/>
  <c r="AF102" i="223" s="1"/>
  <c r="AF107" i="223" s="1"/>
  <c r="AF120" i="223" s="1"/>
  <c r="AD47" i="223"/>
  <c r="AD53" i="223" s="1"/>
  <c r="AD102" i="223" s="1"/>
  <c r="AD107" i="223" s="1"/>
  <c r="AD120" i="223" s="1"/>
  <c r="AB47" i="223"/>
  <c r="AB53" i="223" s="1"/>
  <c r="AB102" i="223" s="1"/>
  <c r="AB107" i="223" s="1"/>
  <c r="AB120" i="223" s="1"/>
  <c r="Z47" i="223"/>
  <c r="Z53" i="223" s="1"/>
  <c r="Z102" i="223" s="1"/>
  <c r="Z107" i="223" s="1"/>
  <c r="Z120" i="223" s="1"/>
  <c r="V47" i="223"/>
  <c r="V53" i="223" s="1"/>
  <c r="T47" i="223"/>
  <c r="T53" i="223" s="1"/>
  <c r="T102" i="223" s="1"/>
  <c r="T107" i="223" s="1"/>
  <c r="T120" i="223" s="1"/>
  <c r="J46" i="223"/>
  <c r="J49" i="223" s="1"/>
  <c r="J45" i="223"/>
  <c r="J44" i="223"/>
  <c r="J51" i="223" s="1"/>
  <c r="J43" i="223"/>
  <c r="J42" i="223"/>
  <c r="J41" i="223"/>
  <c r="J40" i="223"/>
  <c r="J39" i="223"/>
  <c r="J38" i="223"/>
  <c r="F38" i="223"/>
  <c r="J37" i="223"/>
  <c r="J36" i="223"/>
  <c r="J35" i="223"/>
  <c r="J34" i="223"/>
  <c r="J33" i="223"/>
  <c r="J32" i="223"/>
  <c r="J31" i="223"/>
  <c r="J30" i="223"/>
  <c r="J29" i="223"/>
  <c r="J28" i="223"/>
  <c r="J27" i="223"/>
  <c r="J26" i="223"/>
  <c r="J25" i="223"/>
  <c r="J24" i="223"/>
  <c r="J23" i="223"/>
  <c r="J22" i="223"/>
  <c r="J21" i="223"/>
  <c r="J20" i="223"/>
  <c r="J19" i="223"/>
  <c r="J18" i="223"/>
  <c r="J17" i="223"/>
  <c r="J16" i="223"/>
  <c r="J15" i="223"/>
  <c r="N14" i="223"/>
  <c r="C142" i="223" s="1"/>
  <c r="L14" i="223"/>
  <c r="C136" i="223" s="1"/>
  <c r="J13" i="223"/>
  <c r="I12" i="223"/>
  <c r="I47" i="223" s="1"/>
  <c r="I53" i="223" s="1"/>
  <c r="I102" i="223" s="1"/>
  <c r="I107" i="223" s="1"/>
  <c r="I120" i="223" s="1"/>
  <c r="J11" i="223"/>
  <c r="C137" i="222"/>
  <c r="C136" i="222"/>
  <c r="B136" i="222"/>
  <c r="C135" i="222"/>
  <c r="A135" i="222"/>
  <c r="J92" i="222"/>
  <c r="J113" i="222"/>
  <c r="J112" i="222"/>
  <c r="J111" i="222"/>
  <c r="J110" i="222"/>
  <c r="J109" i="222"/>
  <c r="J108" i="222"/>
  <c r="J107" i="222"/>
  <c r="J106" i="222"/>
  <c r="J105" i="222"/>
  <c r="J104" i="222"/>
  <c r="J100" i="222"/>
  <c r="J99" i="222"/>
  <c r="J95" i="222"/>
  <c r="J94" i="222"/>
  <c r="I91" i="222"/>
  <c r="G91" i="222"/>
  <c r="J91" i="222" s="1"/>
  <c r="F91" i="222"/>
  <c r="G90" i="222"/>
  <c r="J90" i="222" s="1"/>
  <c r="F90" i="222"/>
  <c r="V89" i="222"/>
  <c r="G89" i="222"/>
  <c r="J89" i="222" s="1"/>
  <c r="F89" i="222"/>
  <c r="E89" i="222"/>
  <c r="J88" i="222"/>
  <c r="J87" i="222"/>
  <c r="J86" i="222"/>
  <c r="J85" i="222"/>
  <c r="J84" i="222"/>
  <c r="J83" i="222"/>
  <c r="J82" i="222"/>
  <c r="J81" i="222"/>
  <c r="J80" i="222"/>
  <c r="J79" i="222"/>
  <c r="J78" i="222"/>
  <c r="J77" i="222"/>
  <c r="J76" i="222"/>
  <c r="J62" i="222"/>
  <c r="G56" i="222"/>
  <c r="F56" i="222"/>
  <c r="G55" i="222"/>
  <c r="F55" i="222"/>
  <c r="G54" i="222"/>
  <c r="F54" i="222"/>
  <c r="H53" i="222"/>
  <c r="AR50" i="222"/>
  <c r="AV44" i="222"/>
  <c r="AV50" i="222" s="1"/>
  <c r="AV96" i="222" s="1"/>
  <c r="AV101" i="222" s="1"/>
  <c r="AV114" i="222" s="1"/>
  <c r="AU44" i="222"/>
  <c r="AU50" i="222" s="1"/>
  <c r="AU96" i="222" s="1"/>
  <c r="AU101" i="222" s="1"/>
  <c r="AU114" i="222" s="1"/>
  <c r="AT44" i="222"/>
  <c r="AT50" i="222" s="1"/>
  <c r="AT96" i="222" s="1"/>
  <c r="AT101" i="222" s="1"/>
  <c r="AT114" i="222" s="1"/>
  <c r="AP44" i="222"/>
  <c r="AP50" i="222" s="1"/>
  <c r="AP96" i="222" s="1"/>
  <c r="AP101" i="222" s="1"/>
  <c r="AP114" i="222" s="1"/>
  <c r="AN44" i="222"/>
  <c r="AN50" i="222" s="1"/>
  <c r="AN96" i="222" s="1"/>
  <c r="AN101" i="222" s="1"/>
  <c r="AN114" i="222" s="1"/>
  <c r="AL44" i="222"/>
  <c r="AL50" i="222" s="1"/>
  <c r="AL96" i="222" s="1"/>
  <c r="AL101" i="222" s="1"/>
  <c r="AL114" i="222" s="1"/>
  <c r="AJ44" i="222"/>
  <c r="AJ50" i="222" s="1"/>
  <c r="AJ96" i="222" s="1"/>
  <c r="AJ101" i="222" s="1"/>
  <c r="AJ114" i="222" s="1"/>
  <c r="AH44" i="222"/>
  <c r="AH50" i="222" s="1"/>
  <c r="AH96" i="222" s="1"/>
  <c r="AH101" i="222" s="1"/>
  <c r="AH114" i="222" s="1"/>
  <c r="AF44" i="222"/>
  <c r="AF50" i="222" s="1"/>
  <c r="AF96" i="222" s="1"/>
  <c r="AF101" i="222" s="1"/>
  <c r="AF114" i="222" s="1"/>
  <c r="AD44" i="222"/>
  <c r="AD50" i="222" s="1"/>
  <c r="AD96" i="222" s="1"/>
  <c r="AD101" i="222" s="1"/>
  <c r="AD114" i="222" s="1"/>
  <c r="AB44" i="222"/>
  <c r="AB50" i="222" s="1"/>
  <c r="AB96" i="222" s="1"/>
  <c r="AB101" i="222" s="1"/>
  <c r="AB114" i="222" s="1"/>
  <c r="Z44" i="222"/>
  <c r="Z50" i="222" s="1"/>
  <c r="Z96" i="222" s="1"/>
  <c r="Z101" i="222" s="1"/>
  <c r="Z114" i="222" s="1"/>
  <c r="X44" i="222"/>
  <c r="X50" i="222" s="1"/>
  <c r="X96" i="222" s="1"/>
  <c r="X101" i="222" s="1"/>
  <c r="X114" i="222" s="1"/>
  <c r="V44" i="222"/>
  <c r="V50" i="222" s="1"/>
  <c r="V96" i="222" s="1"/>
  <c r="V101" i="222" s="1"/>
  <c r="V114" i="222" s="1"/>
  <c r="T44" i="222"/>
  <c r="T50" i="222" s="1"/>
  <c r="T96" i="222" s="1"/>
  <c r="T101" i="222" s="1"/>
  <c r="T114" i="222" s="1"/>
  <c r="R44" i="222"/>
  <c r="R50" i="222" s="1"/>
  <c r="R96" i="222" s="1"/>
  <c r="R101" i="222" s="1"/>
  <c r="R114" i="222" s="1"/>
  <c r="P44" i="222"/>
  <c r="P50" i="222" s="1"/>
  <c r="P96" i="222" s="1"/>
  <c r="P101" i="222" s="1"/>
  <c r="P114" i="222" s="1"/>
  <c r="N44" i="222"/>
  <c r="N50" i="222" s="1"/>
  <c r="N96" i="222" s="1"/>
  <c r="N101" i="222" s="1"/>
  <c r="N114" i="222" s="1"/>
  <c r="L44" i="222"/>
  <c r="L50" i="222" s="1"/>
  <c r="L96" i="222" s="1"/>
  <c r="L101" i="222" s="1"/>
  <c r="L114" i="222" s="1"/>
  <c r="G44" i="222"/>
  <c r="G50" i="222" s="1"/>
  <c r="G96" i="222" s="1"/>
  <c r="G101" i="222" s="1"/>
  <c r="G114" i="222" s="1"/>
  <c r="F44" i="222"/>
  <c r="F50" i="222" s="1"/>
  <c r="J43" i="222"/>
  <c r="J49" i="222" s="1"/>
  <c r="J42" i="222"/>
  <c r="J41" i="222"/>
  <c r="J48" i="222" s="1"/>
  <c r="J40" i="222"/>
  <c r="J39" i="222"/>
  <c r="J38" i="222"/>
  <c r="J37" i="222"/>
  <c r="J36" i="222"/>
  <c r="J35" i="222"/>
  <c r="J34" i="222"/>
  <c r="J33" i="222"/>
  <c r="J32" i="222"/>
  <c r="J31" i="222"/>
  <c r="J30" i="222"/>
  <c r="J29" i="222"/>
  <c r="J28" i="222"/>
  <c r="J27" i="222"/>
  <c r="J26" i="222"/>
  <c r="J25" i="222"/>
  <c r="J24" i="222"/>
  <c r="J23" i="222"/>
  <c r="J22" i="222"/>
  <c r="J21" i="222"/>
  <c r="J20" i="222"/>
  <c r="J19" i="222"/>
  <c r="J18" i="222"/>
  <c r="J17" i="222"/>
  <c r="J16" i="222"/>
  <c r="J15" i="222"/>
  <c r="J14" i="222"/>
  <c r="J13" i="222"/>
  <c r="J12" i="222"/>
  <c r="H11" i="222"/>
  <c r="H44" i="222" s="1"/>
  <c r="H50" i="222" s="1"/>
  <c r="H96" i="222" s="1"/>
  <c r="H101" i="222" s="1"/>
  <c r="H114" i="222" s="1"/>
  <c r="J10" i="222"/>
  <c r="I9" i="222"/>
  <c r="I44" i="222" s="1"/>
  <c r="I50" i="222" s="1"/>
  <c r="I96" i="222" s="1"/>
  <c r="I101" i="222" s="1"/>
  <c r="I114" i="222" s="1"/>
  <c r="J8" i="222"/>
  <c r="C142" i="221"/>
  <c r="C140" i="221"/>
  <c r="C139" i="221"/>
  <c r="A139" i="221"/>
  <c r="B135" i="221"/>
  <c r="C133" i="221"/>
  <c r="B133" i="221"/>
  <c r="C132" i="221"/>
  <c r="J95" i="221"/>
  <c r="J116" i="221"/>
  <c r="J115" i="221"/>
  <c r="J114" i="221"/>
  <c r="J113" i="221"/>
  <c r="J112" i="221"/>
  <c r="J111" i="221"/>
  <c r="J110" i="221"/>
  <c r="J109" i="221"/>
  <c r="J108" i="221"/>
  <c r="J107" i="221"/>
  <c r="J103" i="221"/>
  <c r="J102" i="221"/>
  <c r="J98" i="221"/>
  <c r="J97" i="221"/>
  <c r="I94" i="221"/>
  <c r="G94" i="221"/>
  <c r="J94" i="221" s="1"/>
  <c r="F94" i="221"/>
  <c r="G93" i="221"/>
  <c r="J93" i="221" s="1"/>
  <c r="F93" i="221"/>
  <c r="V92" i="221"/>
  <c r="G92" i="221"/>
  <c r="J92" i="221" s="1"/>
  <c r="F92" i="221"/>
  <c r="E92" i="221"/>
  <c r="J91" i="221"/>
  <c r="J90" i="221"/>
  <c r="J89" i="221"/>
  <c r="J88" i="221"/>
  <c r="J87" i="221"/>
  <c r="J86" i="221"/>
  <c r="J85" i="221"/>
  <c r="J84" i="221"/>
  <c r="J83" i="221"/>
  <c r="J82" i="221"/>
  <c r="J81" i="221"/>
  <c r="J80" i="221"/>
  <c r="J79" i="221"/>
  <c r="J65" i="221"/>
  <c r="G59" i="221"/>
  <c r="F59" i="221"/>
  <c r="G58" i="221"/>
  <c r="F58" i="221"/>
  <c r="G57" i="221"/>
  <c r="F57" i="221"/>
  <c r="G56" i="221"/>
  <c r="F56" i="221"/>
  <c r="G55" i="221"/>
  <c r="F55" i="221"/>
  <c r="G54" i="221"/>
  <c r="F54" i="221"/>
  <c r="H53" i="221"/>
  <c r="AR50" i="221"/>
  <c r="AV44" i="221"/>
  <c r="AV50" i="221" s="1"/>
  <c r="AV99" i="221" s="1"/>
  <c r="AV104" i="221" s="1"/>
  <c r="AV117" i="221" s="1"/>
  <c r="AU44" i="221"/>
  <c r="AU50" i="221" s="1"/>
  <c r="AU99" i="221" s="1"/>
  <c r="AU104" i="221" s="1"/>
  <c r="AU117" i="221" s="1"/>
  <c r="AT44" i="221"/>
  <c r="AT50" i="221" s="1"/>
  <c r="AT99" i="221" s="1"/>
  <c r="AT104" i="221" s="1"/>
  <c r="AT117" i="221" s="1"/>
  <c r="AP44" i="221"/>
  <c r="AP50" i="221" s="1"/>
  <c r="AP99" i="221" s="1"/>
  <c r="AP104" i="221" s="1"/>
  <c r="AP117" i="221" s="1"/>
  <c r="AN44" i="221"/>
  <c r="AN50" i="221" s="1"/>
  <c r="AN99" i="221" s="1"/>
  <c r="AN104" i="221" s="1"/>
  <c r="AN117" i="221" s="1"/>
  <c r="AL44" i="221"/>
  <c r="AL50" i="221" s="1"/>
  <c r="AL99" i="221" s="1"/>
  <c r="AL104" i="221" s="1"/>
  <c r="AL117" i="221" s="1"/>
  <c r="AJ44" i="221"/>
  <c r="AJ50" i="221" s="1"/>
  <c r="AJ99" i="221" s="1"/>
  <c r="AJ104" i="221" s="1"/>
  <c r="AJ117" i="221" s="1"/>
  <c r="AH44" i="221"/>
  <c r="AH50" i="221" s="1"/>
  <c r="AH99" i="221" s="1"/>
  <c r="AH104" i="221" s="1"/>
  <c r="AH117" i="221" s="1"/>
  <c r="AF44" i="221"/>
  <c r="AF50" i="221" s="1"/>
  <c r="AF99" i="221" s="1"/>
  <c r="AF104" i="221" s="1"/>
  <c r="AF117" i="221" s="1"/>
  <c r="AD44" i="221"/>
  <c r="AD50" i="221" s="1"/>
  <c r="AD99" i="221" s="1"/>
  <c r="AD104" i="221" s="1"/>
  <c r="AD117" i="221" s="1"/>
  <c r="AB44" i="221"/>
  <c r="AB50" i="221" s="1"/>
  <c r="AB99" i="221" s="1"/>
  <c r="AB104" i="221" s="1"/>
  <c r="AB117" i="221" s="1"/>
  <c r="Z44" i="221"/>
  <c r="Z50" i="221" s="1"/>
  <c r="Z99" i="221" s="1"/>
  <c r="Z104" i="221" s="1"/>
  <c r="Z117" i="221" s="1"/>
  <c r="V44" i="221"/>
  <c r="V50" i="221" s="1"/>
  <c r="V99" i="221" s="1"/>
  <c r="V104" i="221" s="1"/>
  <c r="V117" i="221" s="1"/>
  <c r="T44" i="221"/>
  <c r="T50" i="221" s="1"/>
  <c r="T99" i="221" s="1"/>
  <c r="T104" i="221" s="1"/>
  <c r="T117" i="221" s="1"/>
  <c r="R44" i="221"/>
  <c r="R50" i="221" s="1"/>
  <c r="R99" i="221" s="1"/>
  <c r="R104" i="221" s="1"/>
  <c r="R117" i="221" s="1"/>
  <c r="N44" i="221"/>
  <c r="N50" i="221" s="1"/>
  <c r="L44" i="221"/>
  <c r="L50" i="221" s="1"/>
  <c r="F44" i="221"/>
  <c r="F50" i="221" s="1" a="1"/>
  <c r="F50" i="221" s="1"/>
  <c r="F99" i="221" s="1"/>
  <c r="F104" i="221" s="1"/>
  <c r="F117" i="221" s="1"/>
  <c r="J43" i="221"/>
  <c r="J46" i="221" s="1"/>
  <c r="J42" i="221"/>
  <c r="J49" i="221" s="1"/>
  <c r="J41" i="221"/>
  <c r="J48" i="221" s="1"/>
  <c r="J40" i="221"/>
  <c r="J39" i="221"/>
  <c r="J38" i="221"/>
  <c r="J37" i="221"/>
  <c r="J36" i="221"/>
  <c r="J35" i="221"/>
  <c r="J34" i="221"/>
  <c r="J33" i="221"/>
  <c r="J32" i="221"/>
  <c r="J31" i="221"/>
  <c r="J30" i="221"/>
  <c r="J29" i="221"/>
  <c r="J28" i="221"/>
  <c r="J27" i="221"/>
  <c r="J26" i="221"/>
  <c r="J25" i="221"/>
  <c r="J24" i="221"/>
  <c r="J23" i="221"/>
  <c r="J22" i="221"/>
  <c r="J21" i="221"/>
  <c r="J20" i="221"/>
  <c r="J19" i="221"/>
  <c r="J18" i="221"/>
  <c r="J17" i="221"/>
  <c r="J16" i="221"/>
  <c r="J15" i="221"/>
  <c r="J14" i="221"/>
  <c r="J13" i="221"/>
  <c r="J12" i="221"/>
  <c r="X11" i="221"/>
  <c r="B140" i="221" s="1"/>
  <c r="P11" i="221"/>
  <c r="C134" i="221" s="1"/>
  <c r="B134" i="221" s="1"/>
  <c r="G11" i="221"/>
  <c r="H11" i="221" s="1"/>
  <c r="H44" i="221" s="1"/>
  <c r="H50" i="221" s="1"/>
  <c r="H99" i="221" s="1"/>
  <c r="H104" i="221" s="1"/>
  <c r="H117" i="221" s="1"/>
  <c r="J10" i="221"/>
  <c r="I9" i="221"/>
  <c r="I44" i="221" s="1"/>
  <c r="I50" i="221" s="1"/>
  <c r="I99" i="221" s="1"/>
  <c r="I104" i="221" s="1"/>
  <c r="I117" i="221" s="1"/>
  <c r="G44" i="221"/>
  <c r="G50" i="221" s="1"/>
  <c r="G99" i="221" s="1"/>
  <c r="G104" i="221" s="1"/>
  <c r="G117" i="221" s="1"/>
  <c r="J8" i="221"/>
  <c r="B123" i="221" s="1" a="1"/>
  <c r="B123" i="221" s="1"/>
  <c r="C127" i="220"/>
  <c r="C125" i="220"/>
  <c r="B125" i="220"/>
  <c r="C124" i="220"/>
  <c r="A124" i="220"/>
  <c r="B120" i="220"/>
  <c r="C118" i="220"/>
  <c r="B118" i="220"/>
  <c r="J79" i="220"/>
  <c r="J102" i="220"/>
  <c r="J101" i="220"/>
  <c r="J100" i="220"/>
  <c r="J99" i="220"/>
  <c r="J98" i="220"/>
  <c r="J97" i="220"/>
  <c r="J96" i="220"/>
  <c r="J95" i="220"/>
  <c r="J94" i="220"/>
  <c r="J93" i="220"/>
  <c r="J89" i="220"/>
  <c r="J88" i="220"/>
  <c r="J84" i="220"/>
  <c r="J83" i="220"/>
  <c r="J82" i="220"/>
  <c r="J81" i="220"/>
  <c r="I78" i="220"/>
  <c r="G78" i="220"/>
  <c r="J78" i="220" s="1"/>
  <c r="F78" i="220"/>
  <c r="G77" i="220"/>
  <c r="J77" i="220" s="1"/>
  <c r="F77" i="220"/>
  <c r="V76" i="220"/>
  <c r="G76" i="220"/>
  <c r="J76" i="220" s="1"/>
  <c r="F76" i="220"/>
  <c r="E76" i="220"/>
  <c r="J75" i="220"/>
  <c r="J74" i="220"/>
  <c r="J73" i="220"/>
  <c r="J72" i="220"/>
  <c r="J71" i="220"/>
  <c r="J70" i="220"/>
  <c r="J69" i="220"/>
  <c r="J68" i="220"/>
  <c r="J67" i="220"/>
  <c r="J66" i="220"/>
  <c r="J65" i="220"/>
  <c r="J64" i="220"/>
  <c r="J54" i="220"/>
  <c r="G48" i="220"/>
  <c r="F48" i="220"/>
  <c r="G47" i="220"/>
  <c r="F47" i="220"/>
  <c r="G46" i="220"/>
  <c r="F46" i="220"/>
  <c r="H45" i="220"/>
  <c r="AR42" i="220"/>
  <c r="J41" i="220"/>
  <c r="J38" i="220"/>
  <c r="AV36" i="220"/>
  <c r="AV42" i="220" s="1"/>
  <c r="AV85" i="220" s="1"/>
  <c r="AV90" i="220" s="1"/>
  <c r="AV103" i="220" s="1"/>
  <c r="AU36" i="220"/>
  <c r="AU42" i="220" s="1"/>
  <c r="AU85" i="220" s="1"/>
  <c r="AU90" i="220" s="1"/>
  <c r="AU103" i="220" s="1"/>
  <c r="AT36" i="220"/>
  <c r="AT42" i="220" s="1"/>
  <c r="AT85" i="220" s="1"/>
  <c r="AT90" i="220" s="1"/>
  <c r="AT103" i="220" s="1"/>
  <c r="AP36" i="220"/>
  <c r="AP42" i="220" s="1"/>
  <c r="AP85" i="220" s="1"/>
  <c r="AP90" i="220" s="1"/>
  <c r="AP103" i="220" s="1"/>
  <c r="AN36" i="220"/>
  <c r="AN42" i="220" s="1"/>
  <c r="AN85" i="220" s="1"/>
  <c r="AN90" i="220" s="1"/>
  <c r="AL36" i="220"/>
  <c r="AL42" i="220" s="1"/>
  <c r="AL85" i="220" s="1"/>
  <c r="AL90" i="220" s="1"/>
  <c r="AJ36" i="220"/>
  <c r="AJ42" i="220" s="1"/>
  <c r="AJ85" i="220" s="1"/>
  <c r="AJ90" i="220" s="1"/>
  <c r="AH36" i="220"/>
  <c r="AH42" i="220" s="1"/>
  <c r="AH85" i="220" s="1"/>
  <c r="AH90" i="220" s="1"/>
  <c r="AF36" i="220"/>
  <c r="AF42" i="220" s="1"/>
  <c r="AF85" i="220" s="1"/>
  <c r="AF90" i="220" s="1"/>
  <c r="AF103" i="220" s="1"/>
  <c r="AD36" i="220"/>
  <c r="AD42" i="220" s="1"/>
  <c r="AD85" i="220" s="1"/>
  <c r="AD90" i="220" s="1"/>
  <c r="AD103" i="220" s="1"/>
  <c r="AB36" i="220"/>
  <c r="AB42" i="220" s="1"/>
  <c r="AB85" i="220" s="1"/>
  <c r="AB90" i="220" s="1"/>
  <c r="AB103" i="220" s="1"/>
  <c r="Z36" i="220"/>
  <c r="Z42" i="220" s="1"/>
  <c r="Z85" i="220" s="1"/>
  <c r="Z90" i="220" s="1"/>
  <c r="Z103" i="220" s="1"/>
  <c r="X36" i="220"/>
  <c r="X42" i="220" s="1"/>
  <c r="X85" i="220" s="1"/>
  <c r="X90" i="220" s="1"/>
  <c r="X103" i="220" s="1"/>
  <c r="V36" i="220"/>
  <c r="V42" i="220" s="1"/>
  <c r="V85" i="220" s="1"/>
  <c r="V90" i="220" s="1"/>
  <c r="V103" i="220" s="1"/>
  <c r="T36" i="220"/>
  <c r="T42" i="220" s="1"/>
  <c r="T85" i="220" s="1"/>
  <c r="T90" i="220" s="1"/>
  <c r="T103" i="220" s="1"/>
  <c r="R36" i="220"/>
  <c r="R42" i="220" s="1"/>
  <c r="R85" i="220" s="1"/>
  <c r="R90" i="220" s="1"/>
  <c r="R103" i="220" s="1"/>
  <c r="P36" i="220"/>
  <c r="P42" i="220" s="1"/>
  <c r="P85" i="220" s="1"/>
  <c r="P90" i="220" s="1"/>
  <c r="P103" i="220" s="1"/>
  <c r="N36" i="220"/>
  <c r="N42" i="220" s="1"/>
  <c r="N85" i="220" s="1"/>
  <c r="N90" i="220" s="1"/>
  <c r="N103" i="220" s="1"/>
  <c r="L36" i="220"/>
  <c r="L42" i="220" s="1"/>
  <c r="L85" i="220" s="1"/>
  <c r="L90" i="220" s="1"/>
  <c r="L103" i="220" s="1"/>
  <c r="F36" i="220"/>
  <c r="F42" i="220" s="1"/>
  <c r="F85" i="220" s="1"/>
  <c r="F90" i="220" s="1"/>
  <c r="F103" i="220" s="1"/>
  <c r="J35" i="220"/>
  <c r="J40" i="220" s="1"/>
  <c r="J34" i="220"/>
  <c r="J33" i="220"/>
  <c r="J32" i="220"/>
  <c r="J31" i="220"/>
  <c r="J30" i="220"/>
  <c r="J29" i="220"/>
  <c r="J28" i="220"/>
  <c r="J27" i="220"/>
  <c r="J26" i="220"/>
  <c r="J25" i="220"/>
  <c r="J24" i="220"/>
  <c r="J23" i="220"/>
  <c r="J22" i="220"/>
  <c r="J21" i="220"/>
  <c r="J20" i="220"/>
  <c r="J19" i="220"/>
  <c r="J18" i="220"/>
  <c r="J17" i="220"/>
  <c r="J16" i="220"/>
  <c r="J15" i="220"/>
  <c r="J14" i="220"/>
  <c r="J13" i="220"/>
  <c r="J12" i="220"/>
  <c r="J11" i="220"/>
  <c r="H11" i="220"/>
  <c r="H36" i="220" s="1"/>
  <c r="H42" i="220" s="1"/>
  <c r="H85" i="220" s="1"/>
  <c r="H90" i="220" s="1"/>
  <c r="H103" i="220" s="1"/>
  <c r="J10" i="220"/>
  <c r="I9" i="220"/>
  <c r="G119" i="220" s="1"/>
  <c r="G36" i="220"/>
  <c r="G42" i="220" s="1"/>
  <c r="G85" i="220" s="1"/>
  <c r="G90" i="220" s="1"/>
  <c r="G103" i="220" s="1"/>
  <c r="J8" i="220"/>
  <c r="B127" i="220" s="1"/>
  <c r="C117" i="219"/>
  <c r="C115" i="219"/>
  <c r="C114" i="219"/>
  <c r="B109" i="219"/>
  <c r="C108" i="219"/>
  <c r="B108" i="219"/>
  <c r="C107" i="219"/>
  <c r="J71" i="219"/>
  <c r="J94" i="219"/>
  <c r="J93" i="219"/>
  <c r="J92" i="219"/>
  <c r="J91" i="219"/>
  <c r="J90" i="219"/>
  <c r="J89" i="219"/>
  <c r="J88" i="219"/>
  <c r="J87" i="219"/>
  <c r="J86" i="219"/>
  <c r="J85" i="219"/>
  <c r="J81" i="219"/>
  <c r="J80" i="219"/>
  <c r="J76" i="219"/>
  <c r="J75" i="219"/>
  <c r="J74" i="219"/>
  <c r="J73" i="219"/>
  <c r="J70" i="219"/>
  <c r="J69" i="219"/>
  <c r="J68" i="219"/>
  <c r="J67" i="219"/>
  <c r="J66" i="219"/>
  <c r="J65" i="219"/>
  <c r="J64" i="219"/>
  <c r="J63" i="219"/>
  <c r="J62" i="219"/>
  <c r="J61" i="219"/>
  <c r="J60" i="219"/>
  <c r="J59" i="219"/>
  <c r="J51" i="219"/>
  <c r="G46" i="219"/>
  <c r="F46" i="219"/>
  <c r="G45" i="219"/>
  <c r="F45" i="219"/>
  <c r="G44" i="219"/>
  <c r="F44" i="219"/>
  <c r="G43" i="219"/>
  <c r="F43" i="219"/>
  <c r="G42" i="219"/>
  <c r="F42" i="219"/>
  <c r="G41" i="219"/>
  <c r="F41" i="219"/>
  <c r="G40" i="219"/>
  <c r="F40" i="219"/>
  <c r="H39" i="219"/>
  <c r="AR36" i="219"/>
  <c r="AR77" i="219" s="1"/>
  <c r="J35" i="219"/>
  <c r="J32" i="219"/>
  <c r="AV30" i="219"/>
  <c r="AV36" i="219" s="1"/>
  <c r="AV77" i="219" s="1"/>
  <c r="AV82" i="219" s="1"/>
  <c r="AV95" i="219" s="1"/>
  <c r="AU30" i="219"/>
  <c r="AU36" i="219" s="1"/>
  <c r="AU77" i="219" s="1"/>
  <c r="AU82" i="219" s="1"/>
  <c r="AU95" i="219" s="1"/>
  <c r="AT30" i="219"/>
  <c r="AT36" i="219" s="1"/>
  <c r="AT77" i="219" s="1"/>
  <c r="AT82" i="219" s="1"/>
  <c r="AT95" i="219" s="1"/>
  <c r="AP30" i="219"/>
  <c r="AP77" i="219" s="1"/>
  <c r="AP82" i="219" s="1"/>
  <c r="AP95" i="219" s="1"/>
  <c r="AN30" i="219"/>
  <c r="AL30" i="219"/>
  <c r="AL36" i="219" s="1"/>
  <c r="AJ30" i="219"/>
  <c r="AJ77" i="219" s="1"/>
  <c r="AJ82" i="219" s="1"/>
  <c r="AJ95" i="219" s="1"/>
  <c r="AF30" i="219"/>
  <c r="AD30" i="219"/>
  <c r="AB30" i="219"/>
  <c r="AB77" i="219" s="1"/>
  <c r="AB82" i="219" s="1"/>
  <c r="AB95" i="219" s="1"/>
  <c r="Z30" i="219"/>
  <c r="Z77" i="219" s="1"/>
  <c r="Z82" i="219" s="1"/>
  <c r="Z95" i="219" s="1"/>
  <c r="V30" i="219"/>
  <c r="V77" i="219" s="1"/>
  <c r="V82" i="219" s="1"/>
  <c r="V95" i="219" s="1"/>
  <c r="T30" i="219"/>
  <c r="T77" i="219" s="1"/>
  <c r="T82" i="219" s="1"/>
  <c r="T95" i="219" s="1"/>
  <c r="R30" i="219"/>
  <c r="R36" i="219" s="1"/>
  <c r="N30" i="219"/>
  <c r="N36" i="219" s="1"/>
  <c r="N77" i="219" s="1"/>
  <c r="N82" i="219" s="1"/>
  <c r="N95" i="219" s="1"/>
  <c r="L30" i="219"/>
  <c r="L36" i="219" s="1"/>
  <c r="L77" i="219" s="1"/>
  <c r="L82" i="219" s="1"/>
  <c r="L95" i="219" s="1"/>
  <c r="J29" i="219"/>
  <c r="J34" i="219" s="1"/>
  <c r="J28" i="219"/>
  <c r="J27" i="219"/>
  <c r="J26" i="219"/>
  <c r="J25" i="219"/>
  <c r="J24" i="219"/>
  <c r="J23" i="219"/>
  <c r="J22" i="219"/>
  <c r="J21" i="219"/>
  <c r="J20" i="219"/>
  <c r="J19" i="219"/>
  <c r="J18" i="219"/>
  <c r="J17" i="219"/>
  <c r="J16" i="219"/>
  <c r="J15" i="219"/>
  <c r="J14" i="219"/>
  <c r="J13" i="219"/>
  <c r="X11" i="219"/>
  <c r="B115" i="219" s="1"/>
  <c r="P11" i="219"/>
  <c r="C109" i="219" s="1"/>
  <c r="G11" i="219"/>
  <c r="F11" i="219"/>
  <c r="F30" i="219" s="1"/>
  <c r="F36" i="219" s="1"/>
  <c r="F77" i="219" s="1"/>
  <c r="F82" i="219" s="1"/>
  <c r="F95" i="219" s="1"/>
  <c r="I9" i="219"/>
  <c r="G30" i="219"/>
  <c r="G36" i="219" s="1"/>
  <c r="G77" i="219" s="1"/>
  <c r="G82" i="219" s="1"/>
  <c r="G95" i="219" s="1"/>
  <c r="J8" i="219"/>
  <c r="B77" i="218"/>
  <c r="C72" i="218"/>
  <c r="B72" i="218" s="1"/>
  <c r="C71" i="218"/>
  <c r="B71" i="218" s="1"/>
  <c r="C70" i="218"/>
  <c r="J60" i="218"/>
  <c r="J63" i="218"/>
  <c r="J62" i="218"/>
  <c r="J35" i="218" s="1"/>
  <c r="J59" i="218"/>
  <c r="J58" i="218"/>
  <c r="B76" i="218" s="1"/>
  <c r="J57" i="218"/>
  <c r="J56" i="218"/>
  <c r="J55" i="218"/>
  <c r="J54" i="218"/>
  <c r="J53" i="218"/>
  <c r="J52" i="218"/>
  <c r="G40" i="218"/>
  <c r="F40" i="218"/>
  <c r="H39" i="218"/>
  <c r="G39" i="218"/>
  <c r="F39" i="218"/>
  <c r="AH36" i="218"/>
  <c r="J32" i="218"/>
  <c r="AL30" i="218"/>
  <c r="AL36" i="218" s="1"/>
  <c r="AL64" i="218" s="1"/>
  <c r="AK30" i="218"/>
  <c r="AK36" i="218" s="1"/>
  <c r="AK64" i="218" s="1"/>
  <c r="AJ30" i="218"/>
  <c r="AJ36" i="218" s="1"/>
  <c r="AJ64" i="218" s="1"/>
  <c r="AF30" i="218"/>
  <c r="AF36" i="218" s="1"/>
  <c r="AF64" i="218" s="1"/>
  <c r="AB30" i="218"/>
  <c r="AB36" i="218" s="1"/>
  <c r="AB64" i="218" s="1"/>
  <c r="Z30" i="218"/>
  <c r="Z36" i="218" s="1"/>
  <c r="Z64" i="218" s="1"/>
  <c r="X30" i="218"/>
  <c r="X36" i="218" s="1"/>
  <c r="X64" i="218" s="1"/>
  <c r="V30" i="218"/>
  <c r="V36" i="218" s="1"/>
  <c r="V64" i="218" s="1"/>
  <c r="T30" i="218"/>
  <c r="T36" i="218" s="1"/>
  <c r="T64" i="218" s="1"/>
  <c r="R30" i="218"/>
  <c r="R36" i="218" s="1"/>
  <c r="R64" i="218" s="1"/>
  <c r="P30" i="218"/>
  <c r="P36" i="218" s="1"/>
  <c r="P64" i="218" s="1"/>
  <c r="N30" i="218"/>
  <c r="N36" i="218" s="1"/>
  <c r="N64" i="218" s="1"/>
  <c r="L30" i="218"/>
  <c r="L36" i="218" s="1"/>
  <c r="L64" i="218" s="1"/>
  <c r="F30" i="218"/>
  <c r="F36" i="218" s="1"/>
  <c r="F64" i="218" s="1"/>
  <c r="J29" i="218"/>
  <c r="J34" i="218" s="1"/>
  <c r="J28" i="218"/>
  <c r="J27" i="218"/>
  <c r="J26" i="218"/>
  <c r="J25" i="218"/>
  <c r="J24" i="218"/>
  <c r="J23" i="218"/>
  <c r="J22" i="218"/>
  <c r="J21" i="218"/>
  <c r="J20" i="218"/>
  <c r="J19" i="218"/>
  <c r="J18" i="218"/>
  <c r="J17" i="218"/>
  <c r="J16" i="218"/>
  <c r="J15" i="218"/>
  <c r="J14" i="218"/>
  <c r="J13" i="218"/>
  <c r="J12" i="218"/>
  <c r="J11" i="218"/>
  <c r="H11" i="218"/>
  <c r="H30" i="218" s="1"/>
  <c r="H36" i="218" s="1"/>
  <c r="H64" i="218" s="1"/>
  <c r="J10" i="218"/>
  <c r="I9" i="218"/>
  <c r="I30" i="218" s="1"/>
  <c r="G30" i="218"/>
  <c r="G36" i="218" s="1"/>
  <c r="G64" i="218" s="1"/>
  <c r="D9" i="218"/>
  <c r="J8" i="218"/>
  <c r="F96" i="222" l="1"/>
  <c r="F101" i="222" s="1"/>
  <c r="F114" i="222" s="1"/>
  <c r="B117" i="219"/>
  <c r="J11" i="219"/>
  <c r="H11" i="219"/>
  <c r="H30" i="219" s="1"/>
  <c r="H36" i="219" s="1"/>
  <c r="H77" i="219" s="1"/>
  <c r="H82" i="219" s="1"/>
  <c r="H95" i="219" s="1"/>
  <c r="AD77" i="219"/>
  <c r="AD82" i="219" s="1"/>
  <c r="AD95" i="219" s="1"/>
  <c r="AD36" i="219"/>
  <c r="AF77" i="219"/>
  <c r="AF82" i="219" s="1"/>
  <c r="AF95" i="219" s="1"/>
  <c r="AF36" i="219"/>
  <c r="AN77" i="219"/>
  <c r="AN82" i="219" s="1"/>
  <c r="AN95" i="219" s="1"/>
  <c r="AN36" i="219"/>
  <c r="B114" i="219"/>
  <c r="V108" i="224"/>
  <c r="V121" i="224" s="1"/>
  <c r="V107" i="223"/>
  <c r="V120" i="223" s="1"/>
  <c r="B163" i="223"/>
  <c r="F39" i="223"/>
  <c r="F14" i="223"/>
  <c r="G14" i="223"/>
  <c r="X15" i="223"/>
  <c r="H14" i="223"/>
  <c r="H47" i="223" s="1"/>
  <c r="H53" i="223" s="1"/>
  <c r="H102" i="223" s="1"/>
  <c r="H107" i="223" s="1"/>
  <c r="H120" i="223" s="1"/>
  <c r="C135" i="223"/>
  <c r="C141" i="223"/>
  <c r="C137" i="223"/>
  <c r="F41" i="223"/>
  <c r="N47" i="223"/>
  <c r="N53" i="223" s="1"/>
  <c r="N102" i="223" s="1"/>
  <c r="N107" i="223" s="1"/>
  <c r="N120" i="223" s="1"/>
  <c r="J52" i="223"/>
  <c r="B128" i="223" s="1" a="1"/>
  <c r="B128" i="223" s="1"/>
  <c r="C143" i="223"/>
  <c r="B126" i="223" a="1"/>
  <c r="B126" i="223" s="1"/>
  <c r="L47" i="223"/>
  <c r="L53" i="223" s="1"/>
  <c r="L102" i="223" s="1"/>
  <c r="L107" i="223" s="1"/>
  <c r="L120" i="223" s="1"/>
  <c r="G47" i="223"/>
  <c r="G53" i="223" s="1"/>
  <c r="G102" i="223" s="1"/>
  <c r="G107" i="223" s="1"/>
  <c r="G120" i="223" s="1"/>
  <c r="P14" i="223"/>
  <c r="X14" i="223"/>
  <c r="C139" i="223"/>
  <c r="B164" i="224"/>
  <c r="L14" i="224"/>
  <c r="L47" i="224" s="1"/>
  <c r="L53" i="224" s="1"/>
  <c r="L103" i="224" s="1"/>
  <c r="L108" i="224" s="1"/>
  <c r="L121" i="224" s="1"/>
  <c r="I53" i="224"/>
  <c r="I103" i="224" s="1"/>
  <c r="I108" i="224" s="1"/>
  <c r="I121" i="224" s="1"/>
  <c r="F40" i="224"/>
  <c r="C145" i="224"/>
  <c r="H14" i="224"/>
  <c r="H47" i="224" s="1"/>
  <c r="H53" i="224" s="1"/>
  <c r="H103" i="224" s="1"/>
  <c r="H108" i="224" s="1"/>
  <c r="H121" i="224" s="1"/>
  <c r="F39" i="224"/>
  <c r="N47" i="224"/>
  <c r="N53" i="224" s="1"/>
  <c r="N103" i="224" s="1"/>
  <c r="N108" i="224" s="1"/>
  <c r="N121" i="224" s="1"/>
  <c r="C136" i="224"/>
  <c r="C140" i="224"/>
  <c r="C144" i="224"/>
  <c r="J49" i="224"/>
  <c r="C141" i="224"/>
  <c r="P14" i="224"/>
  <c r="X14" i="224"/>
  <c r="X47" i="224" s="1"/>
  <c r="X53" i="224" s="1"/>
  <c r="X103" i="224" s="1"/>
  <c r="X108" i="224" s="1"/>
  <c r="X121" i="224" s="1"/>
  <c r="F41" i="224"/>
  <c r="C138" i="224"/>
  <c r="C142" i="224"/>
  <c r="B129" i="224" a="1"/>
  <c r="B129" i="224" s="1"/>
  <c r="C137" i="224"/>
  <c r="F14" i="224"/>
  <c r="R15" i="224"/>
  <c r="R47" i="224" s="1"/>
  <c r="R53" i="224" s="1"/>
  <c r="R103" i="224" s="1"/>
  <c r="R108" i="224" s="1"/>
  <c r="R121" i="224" s="1"/>
  <c r="C139" i="224"/>
  <c r="C143" i="224"/>
  <c r="G14" i="224"/>
  <c r="G47" i="224" s="1"/>
  <c r="G53" i="224" s="1"/>
  <c r="G103" i="224" s="1"/>
  <c r="G108" i="224" s="1"/>
  <c r="G121" i="224" s="1"/>
  <c r="F40" i="223"/>
  <c r="F47" i="223" s="1"/>
  <c r="F53" i="223" s="1"/>
  <c r="F102" i="223" s="1"/>
  <c r="F107" i="223" s="1"/>
  <c r="F120" i="223" s="1"/>
  <c r="C140" i="223"/>
  <c r="C144" i="223"/>
  <c r="B127" i="223" a="1"/>
  <c r="B127" i="223" s="1"/>
  <c r="C145" i="223"/>
  <c r="R15" i="223"/>
  <c r="R47" i="223" s="1"/>
  <c r="R53" i="223" s="1"/>
  <c r="R102" i="223" s="1"/>
  <c r="R107" i="223" s="1"/>
  <c r="R120" i="223" s="1"/>
  <c r="C138" i="223"/>
  <c r="B135" i="222"/>
  <c r="J46" i="222"/>
  <c r="B120" i="222" a="1"/>
  <c r="B120" i="222" s="1"/>
  <c r="B137" i="222"/>
  <c r="N99" i="221"/>
  <c r="N104" i="221" s="1"/>
  <c r="N117" i="221" s="1"/>
  <c r="L99" i="221"/>
  <c r="L104" i="221" s="1"/>
  <c r="L117" i="221" s="1"/>
  <c r="P44" i="221"/>
  <c r="P50" i="221" s="1"/>
  <c r="P99" i="221" s="1"/>
  <c r="P104" i="221" s="1"/>
  <c r="P117" i="221" s="1"/>
  <c r="B124" i="221" a="1"/>
  <c r="B124" i="221" s="1"/>
  <c r="X44" i="221"/>
  <c r="X50" i="221" s="1"/>
  <c r="X99" i="221" s="1"/>
  <c r="X104" i="221" s="1"/>
  <c r="X117" i="221" s="1"/>
  <c r="B139" i="221"/>
  <c r="B122" i="221" a="1"/>
  <c r="B122" i="221" s="1"/>
  <c r="B142" i="221"/>
  <c r="B124" i="220"/>
  <c r="I36" i="220"/>
  <c r="Z36" i="219"/>
  <c r="AP36" i="219"/>
  <c r="P30" i="219"/>
  <c r="AB36" i="219"/>
  <c r="R77" i="219"/>
  <c r="R82" i="219" s="1"/>
  <c r="R95" i="219" s="1"/>
  <c r="X30" i="219"/>
  <c r="T36" i="219"/>
  <c r="AJ36" i="219"/>
  <c r="V36" i="219"/>
  <c r="AL77" i="219"/>
  <c r="AL82" i="219" s="1"/>
  <c r="AL95" i="219" s="1"/>
  <c r="I30" i="219"/>
  <c r="I36" i="218"/>
  <c r="B127" i="224" l="1" a="1"/>
  <c r="B127" i="224" s="1"/>
  <c r="B128" i="224" a="1"/>
  <c r="B128" i="224" s="1"/>
  <c r="B121" i="222" a="1"/>
  <c r="B121" i="222" s="1"/>
  <c r="B119" i="222" a="1"/>
  <c r="B119" i="222" s="1"/>
  <c r="I42" i="220"/>
  <c r="I85" i="220" s="1"/>
  <c r="I90" i="220" s="1"/>
  <c r="I103" i="220" s="1"/>
  <c r="B108" i="220" a="1"/>
  <c r="B108" i="220" s="1"/>
  <c r="I36" i="219"/>
  <c r="I77" i="219" s="1"/>
  <c r="I82" i="219" s="1"/>
  <c r="I95" i="219" s="1"/>
  <c r="B101" i="219" a="1"/>
  <c r="B101" i="219" s="1"/>
  <c r="I64" i="218"/>
  <c r="B68" i="218" a="1"/>
  <c r="B68" i="218" s="1"/>
  <c r="X47" i="223"/>
  <c r="X53" i="223" s="1"/>
  <c r="X102" i="223" s="1"/>
  <c r="X107" i="223" s="1"/>
  <c r="X120" i="223" s="1"/>
  <c r="C146" i="223"/>
  <c r="P47" i="223"/>
  <c r="P53" i="223" s="1"/>
  <c r="P102" i="223" s="1"/>
  <c r="P107" i="223" s="1"/>
  <c r="P120" i="223" s="1"/>
  <c r="C147" i="224"/>
  <c r="C146" i="224"/>
  <c r="P47" i="224"/>
  <c r="P53" i="224" s="1"/>
  <c r="P103" i="224" s="1"/>
  <c r="P108" i="224" s="1"/>
  <c r="P121" i="224" s="1"/>
  <c r="F47" i="224"/>
  <c r="F53" i="224" s="1"/>
  <c r="F103" i="224" s="1"/>
  <c r="F108" i="224" s="1"/>
  <c r="F121" i="224" s="1"/>
  <c r="B109" i="220" a="1"/>
  <c r="B109" i="220" s="1"/>
  <c r="B110" i="220" a="1"/>
  <c r="B110" i="220" s="1"/>
  <c r="B99" i="219" a="1"/>
  <c r="B99" i="219" s="1"/>
  <c r="B100" i="219" a="1"/>
  <c r="B100" i="219" s="1"/>
  <c r="X77" i="219"/>
  <c r="X82" i="219" s="1"/>
  <c r="X95" i="219" s="1"/>
  <c r="X36" i="219"/>
  <c r="P36" i="219"/>
  <c r="P77" i="219"/>
  <c r="P82" i="219" s="1"/>
  <c r="P95" i="219" s="1"/>
  <c r="W3" i="199" l="1"/>
  <c r="W13" i="199"/>
  <c r="W12" i="199"/>
  <c r="W10" i="199"/>
  <c r="W9" i="199"/>
  <c r="R9" i="199"/>
  <c r="W8" i="199"/>
  <c r="W7" i="199"/>
  <c r="R7" i="199"/>
  <c r="W6" i="199"/>
  <c r="AG9" i="216" l="1"/>
  <c r="AG10" i="216"/>
  <c r="P11" i="216"/>
  <c r="T11" i="216"/>
  <c r="X11" i="216"/>
  <c r="X47" i="216" s="1"/>
  <c r="X53" i="216" s="1"/>
  <c r="X82" i="216" s="1"/>
  <c r="X92" i="216" s="1"/>
  <c r="BH11" i="216"/>
  <c r="AG13" i="216"/>
  <c r="AG14" i="216"/>
  <c r="AG15" i="216"/>
  <c r="AG16" i="216"/>
  <c r="AG17" i="216"/>
  <c r="AG18" i="216"/>
  <c r="AG19" i="216"/>
  <c r="AR19" i="216"/>
  <c r="AG20" i="216"/>
  <c r="AG21" i="216"/>
  <c r="AG22" i="216"/>
  <c r="AG23" i="216"/>
  <c r="AV23" i="216"/>
  <c r="AG24" i="216"/>
  <c r="AV24" i="216"/>
  <c r="AV47" i="216" s="1"/>
  <c r="AV53" i="216" s="1"/>
  <c r="AG25" i="216"/>
  <c r="AG26" i="216"/>
  <c r="AG27" i="216"/>
  <c r="AG28" i="216"/>
  <c r="AG29" i="216"/>
  <c r="AG30" i="216"/>
  <c r="AG31" i="216"/>
  <c r="AG32" i="216"/>
  <c r="AG33" i="216"/>
  <c r="AG34" i="216"/>
  <c r="AG35" i="216"/>
  <c r="AG36" i="216"/>
  <c r="AG37" i="216"/>
  <c r="AG38" i="216"/>
  <c r="AN38" i="216"/>
  <c r="AG39" i="216"/>
  <c r="AN39" i="216"/>
  <c r="AG40" i="216"/>
  <c r="AN40" i="216"/>
  <c r="AN47" i="216" s="1"/>
  <c r="AN53" i="216" s="1"/>
  <c r="AN82" i="216" s="1"/>
  <c r="AN92" i="216" s="1"/>
  <c r="AG41" i="216"/>
  <c r="AN41" i="216"/>
  <c r="AG42" i="216"/>
  <c r="AG43" i="216"/>
  <c r="AG44" i="216"/>
  <c r="AZ51" i="216"/>
  <c r="BD44" i="216"/>
  <c r="BD47" i="216" s="1"/>
  <c r="AG45" i="216"/>
  <c r="AG46" i="216"/>
  <c r="F47" i="216"/>
  <c r="G47" i="216"/>
  <c r="H47" i="216"/>
  <c r="L47" i="216"/>
  <c r="L53" i="216" s="1"/>
  <c r="L82" i="216" s="1"/>
  <c r="L92" i="216" s="1"/>
  <c r="M47" i="216"/>
  <c r="P47" i="216"/>
  <c r="Q47" i="216"/>
  <c r="Q53" i="216" s="1"/>
  <c r="T47" i="216"/>
  <c r="U47" i="216"/>
  <c r="Y47" i="216"/>
  <c r="AB47" i="216"/>
  <c r="AB53" i="216" s="1"/>
  <c r="AB82" i="216" s="1"/>
  <c r="AC47" i="216"/>
  <c r="AF47" i="216"/>
  <c r="AF82" i="216" s="1"/>
  <c r="AK47" i="216"/>
  <c r="AO47" i="216"/>
  <c r="AR47" i="216"/>
  <c r="AS47" i="216"/>
  <c r="AS53" i="216" s="1"/>
  <c r="AS82" i="216" s="1"/>
  <c r="AW47" i="216"/>
  <c r="AW53" i="216" s="1"/>
  <c r="AW82" i="216" s="1"/>
  <c r="AW92" i="216" s="1"/>
  <c r="AZ47" i="216"/>
  <c r="AZ53" i="216" s="1"/>
  <c r="AZ82" i="216" s="1"/>
  <c r="AZ92" i="216" s="1"/>
  <c r="BA47" i="216"/>
  <c r="BE47" i="216"/>
  <c r="BH47" i="216"/>
  <c r="BM47" i="216"/>
  <c r="BN47" i="216"/>
  <c r="BO47" i="216"/>
  <c r="BP47" i="216"/>
  <c r="BP53" i="216" s="1"/>
  <c r="BP82" i="216" s="1"/>
  <c r="BP92" i="216" s="1"/>
  <c r="BQ47" i="216"/>
  <c r="BR47" i="216"/>
  <c r="BS47" i="216"/>
  <c r="BT47" i="216"/>
  <c r="AG49" i="216"/>
  <c r="AG51" i="216"/>
  <c r="AG52" i="216"/>
  <c r="F53" i="216"/>
  <c r="F82" i="216" s="1"/>
  <c r="F92" i="216" s="1"/>
  <c r="G53" i="216"/>
  <c r="H53" i="216"/>
  <c r="M53" i="216"/>
  <c r="P53" i="216"/>
  <c r="P82" i="216" s="1"/>
  <c r="P92" i="216" s="1"/>
  <c r="T53" i="216"/>
  <c r="U53" i="216"/>
  <c r="U82" i="216" s="1"/>
  <c r="U92" i="216" s="1"/>
  <c r="Y53" i="216"/>
  <c r="AC53" i="216"/>
  <c r="AF53" i="216"/>
  <c r="AK53" i="216"/>
  <c r="AO53" i="216"/>
  <c r="AR53" i="216"/>
  <c r="BA53" i="216"/>
  <c r="BA82" i="216" s="1"/>
  <c r="BA92" i="216" s="1"/>
  <c r="BD53" i="216"/>
  <c r="BD82" i="216" s="1"/>
  <c r="BD92" i="216" s="1"/>
  <c r="BE53" i="216"/>
  <c r="BH53" i="216"/>
  <c r="BI53" i="216"/>
  <c r="BL53" i="216"/>
  <c r="BM53" i="216"/>
  <c r="BM82" i="216" s="1"/>
  <c r="BN53" i="216"/>
  <c r="BO53" i="216"/>
  <c r="BO82" i="216" s="1"/>
  <c r="BQ53" i="216"/>
  <c r="BR53" i="216"/>
  <c r="BR82" i="216" s="1"/>
  <c r="BR92" i="216" s="1"/>
  <c r="BS53" i="216"/>
  <c r="BT53" i="216"/>
  <c r="BT82" i="216" s="1"/>
  <c r="BT92" i="216" s="1"/>
  <c r="BV53" i="216"/>
  <c r="BW53" i="216"/>
  <c r="BX53" i="216"/>
  <c r="AG57" i="216"/>
  <c r="AG58" i="216"/>
  <c r="AG59" i="216"/>
  <c r="AG60" i="216"/>
  <c r="AG61" i="216"/>
  <c r="AG62" i="216"/>
  <c r="AG63" i="216"/>
  <c r="AG64" i="216"/>
  <c r="AG65" i="216"/>
  <c r="AG66" i="216"/>
  <c r="AG67" i="216"/>
  <c r="AG68" i="216"/>
  <c r="AG69" i="216"/>
  <c r="AG70" i="216"/>
  <c r="AG71" i="216"/>
  <c r="AG72" i="216"/>
  <c r="AG73" i="216"/>
  <c r="AG74" i="216"/>
  <c r="AG75" i="216"/>
  <c r="AG76" i="216"/>
  <c r="AG77" i="216"/>
  <c r="AG78" i="216"/>
  <c r="AG79" i="216"/>
  <c r="AG80" i="216"/>
  <c r="AG81" i="216"/>
  <c r="G82" i="216"/>
  <c r="H82" i="216"/>
  <c r="M82" i="216"/>
  <c r="M92" i="216" s="1"/>
  <c r="Q82" i="216"/>
  <c r="Q92" i="216" s="1"/>
  <c r="T82" i="216"/>
  <c r="T92" i="216" s="1"/>
  <c r="Y82" i="216"/>
  <c r="AC82" i="216"/>
  <c r="AC92" i="216" s="1"/>
  <c r="AK82" i="216"/>
  <c r="AK92" i="216" s="1"/>
  <c r="AO82" i="216"/>
  <c r="AR82" i="216"/>
  <c r="AV82" i="216"/>
  <c r="AV92" i="216" s="1"/>
  <c r="BE82" i="216"/>
  <c r="BH82" i="216"/>
  <c r="BN82" i="216"/>
  <c r="BN92" i="216" s="1"/>
  <c r="BQ82" i="216"/>
  <c r="BQ92" i="216" s="1"/>
  <c r="BS82" i="216"/>
  <c r="BS92" i="216" s="1"/>
  <c r="AG86" i="216"/>
  <c r="AG87" i="216"/>
  <c r="AG88" i="216"/>
  <c r="AG89" i="216"/>
  <c r="AG90" i="216"/>
  <c r="AG91" i="216"/>
  <c r="G92" i="216"/>
  <c r="H92" i="216"/>
  <c r="Y92" i="216"/>
  <c r="AB92" i="216"/>
  <c r="AF92" i="216"/>
  <c r="AO92" i="216"/>
  <c r="AR92" i="216"/>
  <c r="AS92" i="216"/>
  <c r="BE92" i="216"/>
  <c r="BH92" i="216"/>
  <c r="BM92" i="216"/>
  <c r="BO92" i="216"/>
  <c r="J8" i="215"/>
  <c r="J9" i="215"/>
  <c r="J11" i="215"/>
  <c r="J12" i="215"/>
  <c r="J13" i="215"/>
  <c r="J14" i="215"/>
  <c r="J15" i="215"/>
  <c r="J16" i="215"/>
  <c r="J17" i="215"/>
  <c r="J18" i="215"/>
  <c r="J19" i="215"/>
  <c r="J20" i="215"/>
  <c r="J21" i="215"/>
  <c r="J22" i="215"/>
  <c r="J23" i="215"/>
  <c r="J24" i="215"/>
  <c r="J25" i="215"/>
  <c r="J26" i="215"/>
  <c r="J27" i="215"/>
  <c r="J28" i="215"/>
  <c r="J29" i="215"/>
  <c r="J30" i="215"/>
  <c r="J31" i="215"/>
  <c r="J32" i="215"/>
  <c r="J33" i="215"/>
  <c r="J37" i="215"/>
  <c r="J38" i="215"/>
  <c r="J39" i="215"/>
  <c r="J40" i="215"/>
  <c r="J41" i="215"/>
  <c r="J42" i="215"/>
  <c r="J43" i="215"/>
  <c r="J44" i="215"/>
  <c r="J45" i="215"/>
  <c r="F46" i="215"/>
  <c r="F52" i="215" s="1"/>
  <c r="G46" i="215"/>
  <c r="G52" i="215" s="1"/>
  <c r="G81" i="215" s="1"/>
  <c r="G93" i="215" s="1"/>
  <c r="H46" i="215"/>
  <c r="I46" i="215"/>
  <c r="L46" i="215"/>
  <c r="N46" i="215"/>
  <c r="N52" i="215" s="1"/>
  <c r="P46" i="215"/>
  <c r="R46" i="215"/>
  <c r="T46" i="215"/>
  <c r="T52" i="215" s="1"/>
  <c r="T81" i="215" s="1"/>
  <c r="T93" i="215" s="1"/>
  <c r="V46" i="215"/>
  <c r="V52" i="215" s="1"/>
  <c r="V81" i="215" s="1"/>
  <c r="V93" i="215" s="1"/>
  <c r="X46" i="215"/>
  <c r="Z46" i="215"/>
  <c r="AB46" i="215"/>
  <c r="AD46" i="215"/>
  <c r="AD52" i="215" s="1"/>
  <c r="AF46" i="215"/>
  <c r="AH46" i="215"/>
  <c r="AJ46" i="215"/>
  <c r="AJ52" i="215" s="1"/>
  <c r="AJ81" i="215" s="1"/>
  <c r="AJ93" i="215" s="1"/>
  <c r="AL46" i="215"/>
  <c r="AL52" i="215" s="1"/>
  <c r="AL81" i="215" s="1"/>
  <c r="AL93" i="215" s="1"/>
  <c r="AN46" i="215"/>
  <c r="AP46" i="215"/>
  <c r="AR46" i="215"/>
  <c r="AS46" i="215"/>
  <c r="AS52" i="215" s="1"/>
  <c r="AT46" i="215"/>
  <c r="J48" i="215"/>
  <c r="J50" i="215"/>
  <c r="J51" i="215"/>
  <c r="H52" i="215"/>
  <c r="H81" i="215" s="1"/>
  <c r="H93" i="215" s="1"/>
  <c r="I52" i="215"/>
  <c r="L52" i="215"/>
  <c r="L81" i="215" s="1"/>
  <c r="L93" i="215" s="1"/>
  <c r="P52" i="215"/>
  <c r="P81" i="215" s="1"/>
  <c r="R52" i="215"/>
  <c r="R81" i="215" s="1"/>
  <c r="R93" i="215" s="1"/>
  <c r="X52" i="215"/>
  <c r="X81" i="215" s="1"/>
  <c r="X93" i="215" s="1"/>
  <c r="Z52" i="215"/>
  <c r="AB52" i="215"/>
  <c r="AB81" i="215" s="1"/>
  <c r="AB93" i="215" s="1"/>
  <c r="AF52" i="215"/>
  <c r="AF81" i="215" s="1"/>
  <c r="AF93" i="215" s="1"/>
  <c r="AH52" i="215"/>
  <c r="AN52" i="215"/>
  <c r="AN81" i="215" s="1"/>
  <c r="AN93" i="215" s="1"/>
  <c r="AP52" i="215"/>
  <c r="AR52" i="215"/>
  <c r="AR81" i="215" s="1"/>
  <c r="AR93" i="215" s="1"/>
  <c r="AT52" i="215"/>
  <c r="AT81" i="215" s="1"/>
  <c r="AT93" i="215" s="1"/>
  <c r="J55" i="215"/>
  <c r="J66" i="215"/>
  <c r="J67" i="215"/>
  <c r="J68" i="215"/>
  <c r="J69" i="215"/>
  <c r="J70" i="215"/>
  <c r="J71" i="215"/>
  <c r="J72" i="215"/>
  <c r="J73" i="215"/>
  <c r="J74" i="215"/>
  <c r="J75" i="215"/>
  <c r="J76" i="215"/>
  <c r="J77" i="215"/>
  <c r="J78" i="215"/>
  <c r="J79" i="215"/>
  <c r="J80" i="215"/>
  <c r="F81" i="215"/>
  <c r="F93" i="215" s="1"/>
  <c r="I81" i="215"/>
  <c r="I93" i="215" s="1"/>
  <c r="N81" i="215"/>
  <c r="N93" i="215" s="1"/>
  <c r="Z81" i="215"/>
  <c r="Z93" i="215" s="1"/>
  <c r="AD81" i="215"/>
  <c r="AD93" i="215" s="1"/>
  <c r="AH81" i="215"/>
  <c r="AH93" i="215" s="1"/>
  <c r="AP81" i="215"/>
  <c r="AP93" i="215" s="1"/>
  <c r="AS81" i="215"/>
  <c r="AS93" i="215" s="1"/>
  <c r="J85" i="215"/>
  <c r="J86" i="215"/>
  <c r="J87" i="215"/>
  <c r="J88" i="215"/>
  <c r="J89" i="215"/>
  <c r="J90" i="215"/>
  <c r="J91" i="215"/>
  <c r="J92" i="215"/>
  <c r="P93" i="215"/>
  <c r="AG9" i="214"/>
  <c r="AG10" i="214"/>
  <c r="P11" i="214"/>
  <c r="P47" i="214" s="1"/>
  <c r="P53" i="214" s="1"/>
  <c r="P82" i="214" s="1"/>
  <c r="P92" i="214" s="1"/>
  <c r="T11" i="214"/>
  <c r="X11" i="214"/>
  <c r="BH11" i="214"/>
  <c r="AG13" i="214"/>
  <c r="AG14" i="214"/>
  <c r="AG15" i="214"/>
  <c r="AG16" i="214"/>
  <c r="AG17" i="214"/>
  <c r="AG18" i="214"/>
  <c r="AG19" i="214"/>
  <c r="AR19" i="214"/>
  <c r="AG20" i="214"/>
  <c r="AG21" i="214"/>
  <c r="AG22" i="214"/>
  <c r="AG23" i="214"/>
  <c r="AV23" i="214"/>
  <c r="AG24" i="214"/>
  <c r="AV24" i="214"/>
  <c r="AG25" i="214"/>
  <c r="AG26" i="214"/>
  <c r="AG27" i="214"/>
  <c r="AG28" i="214"/>
  <c r="AG29" i="214"/>
  <c r="AG30" i="214"/>
  <c r="AG31" i="214"/>
  <c r="AG32" i="214"/>
  <c r="AG33" i="214"/>
  <c r="AG34" i="214"/>
  <c r="AG35" i="214"/>
  <c r="AG36" i="214"/>
  <c r="AG37" i="214"/>
  <c r="AG38" i="214"/>
  <c r="AN38" i="214"/>
  <c r="AG39" i="214"/>
  <c r="AN39" i="214"/>
  <c r="AN47" i="214" s="1"/>
  <c r="AN53" i="214" s="1"/>
  <c r="AN82" i="214" s="1"/>
  <c r="AG40" i="214"/>
  <c r="AN40" i="214"/>
  <c r="AG41" i="214"/>
  <c r="AN41" i="214"/>
  <c r="AG42" i="214"/>
  <c r="AG43" i="214"/>
  <c r="AG44" i="214"/>
  <c r="AZ51" i="214"/>
  <c r="BD44" i="214"/>
  <c r="AG45" i="214"/>
  <c r="BD45" i="214"/>
  <c r="AG46" i="214"/>
  <c r="BD46" i="214"/>
  <c r="F47" i="214"/>
  <c r="G47" i="214"/>
  <c r="H47" i="214"/>
  <c r="H53" i="214" s="1"/>
  <c r="H82" i="214" s="1"/>
  <c r="H92" i="214" s="1"/>
  <c r="L47" i="214"/>
  <c r="M47" i="214"/>
  <c r="M53" i="214" s="1"/>
  <c r="M82" i="214" s="1"/>
  <c r="M92" i="214" s="1"/>
  <c r="Q47" i="214"/>
  <c r="Q53" i="214" s="1"/>
  <c r="Q82" i="214" s="1"/>
  <c r="T47" i="214"/>
  <c r="T53" i="214" s="1"/>
  <c r="U47" i="214"/>
  <c r="X47" i="214"/>
  <c r="Y47" i="214"/>
  <c r="Y53" i="214" s="1"/>
  <c r="Y82" i="214" s="1"/>
  <c r="Y92" i="214" s="1"/>
  <c r="AB47" i="214"/>
  <c r="AC47" i="214"/>
  <c r="AC53" i="214" s="1"/>
  <c r="AC82" i="214" s="1"/>
  <c r="AC92" i="214" s="1"/>
  <c r="AF47" i="214"/>
  <c r="AG47" i="214"/>
  <c r="AK47" i="214"/>
  <c r="AK53" i="214" s="1"/>
  <c r="AO47" i="214"/>
  <c r="AR47" i="214"/>
  <c r="AR53" i="214" s="1"/>
  <c r="AS47" i="214"/>
  <c r="AV47" i="214"/>
  <c r="AV53" i="214" s="1"/>
  <c r="AV82" i="214" s="1"/>
  <c r="AV92" i="214" s="1"/>
  <c r="AW47" i="214"/>
  <c r="AZ47" i="214"/>
  <c r="AZ53" i="214" s="1"/>
  <c r="AZ82" i="214" s="1"/>
  <c r="AZ92" i="214" s="1"/>
  <c r="BA47" i="214"/>
  <c r="BA53" i="214" s="1"/>
  <c r="BE47" i="214"/>
  <c r="BH47" i="214"/>
  <c r="BH53" i="214" s="1"/>
  <c r="BH82" i="214" s="1"/>
  <c r="BH92" i="214" s="1"/>
  <c r="BM47" i="214"/>
  <c r="BN47" i="214"/>
  <c r="BN53" i="214" s="1"/>
  <c r="BN82" i="214" s="1"/>
  <c r="BN92" i="214" s="1"/>
  <c r="BO47" i="214"/>
  <c r="BP47" i="214"/>
  <c r="BQ47" i="214"/>
  <c r="BR47" i="214"/>
  <c r="BS47" i="214"/>
  <c r="BT47" i="214"/>
  <c r="AG49" i="214"/>
  <c r="AG51" i="214"/>
  <c r="AG52" i="214"/>
  <c r="F53" i="214"/>
  <c r="F82" i="214" s="1"/>
  <c r="G53" i="214"/>
  <c r="L53" i="214"/>
  <c r="L82" i="214" s="1"/>
  <c r="L92" i="214" s="1"/>
  <c r="U53" i="214"/>
  <c r="U82" i="214" s="1"/>
  <c r="X53" i="214"/>
  <c r="AB53" i="214"/>
  <c r="AB82" i="214" s="1"/>
  <c r="AB92" i="214" s="1"/>
  <c r="AF53" i="214"/>
  <c r="AO53" i="214"/>
  <c r="AO82" i="214" s="1"/>
  <c r="AO92" i="214" s="1"/>
  <c r="AS53" i="214"/>
  <c r="AS82" i="214" s="1"/>
  <c r="AS92" i="214" s="1"/>
  <c r="AW53" i="214"/>
  <c r="AW82" i="214" s="1"/>
  <c r="AW92" i="214" s="1"/>
  <c r="BE53" i="214"/>
  <c r="BI53" i="214"/>
  <c r="BL53" i="214"/>
  <c r="BM53" i="214"/>
  <c r="BM82" i="214" s="1"/>
  <c r="BM92" i="214" s="1"/>
  <c r="BO53" i="214"/>
  <c r="BP53" i="214"/>
  <c r="BP82" i="214" s="1"/>
  <c r="BQ53" i="214"/>
  <c r="BR53" i="214"/>
  <c r="BS53" i="214"/>
  <c r="BT53" i="214"/>
  <c r="BV53" i="214"/>
  <c r="AG57" i="214"/>
  <c r="AG58" i="214"/>
  <c r="AG59" i="214"/>
  <c r="AG60" i="214"/>
  <c r="AG61" i="214"/>
  <c r="AG62" i="214"/>
  <c r="AG63" i="214"/>
  <c r="AG64" i="214"/>
  <c r="AG65" i="214"/>
  <c r="AG66" i="214"/>
  <c r="AG67" i="214"/>
  <c r="AG68" i="214"/>
  <c r="AG69" i="214"/>
  <c r="AG70" i="214"/>
  <c r="AG71" i="214"/>
  <c r="AG72" i="214"/>
  <c r="AG73" i="214"/>
  <c r="AG74" i="214"/>
  <c r="AG75" i="214"/>
  <c r="AG76" i="214"/>
  <c r="AG77" i="214"/>
  <c r="AG78" i="214"/>
  <c r="AG79" i="214"/>
  <c r="AG80" i="214"/>
  <c r="AG81" i="214"/>
  <c r="G82" i="214"/>
  <c r="T82" i="214"/>
  <c r="T92" i="214" s="1"/>
  <c r="X82" i="214"/>
  <c r="X92" i="214" s="1"/>
  <c r="AF82" i="214"/>
  <c r="AF92" i="214" s="1"/>
  <c r="AK82" i="214"/>
  <c r="AK92" i="214" s="1"/>
  <c r="AR82" i="214"/>
  <c r="AR92" i="214" s="1"/>
  <c r="BA82" i="214"/>
  <c r="BA92" i="214" s="1"/>
  <c r="BE82" i="214"/>
  <c r="BE92" i="214" s="1"/>
  <c r="BO82" i="214"/>
  <c r="BO92" i="214" s="1"/>
  <c r="BQ82" i="214"/>
  <c r="BQ92" i="214" s="1"/>
  <c r="BR82" i="214"/>
  <c r="BS82" i="214"/>
  <c r="BS92" i="214" s="1"/>
  <c r="BT82" i="214"/>
  <c r="BT92" i="214" s="1"/>
  <c r="AG86" i="214"/>
  <c r="AG87" i="214"/>
  <c r="AG88" i="214"/>
  <c r="AG89" i="214"/>
  <c r="AG90" i="214"/>
  <c r="AG91" i="214"/>
  <c r="F92" i="214"/>
  <c r="G92" i="214"/>
  <c r="Q92" i="214"/>
  <c r="U92" i="214"/>
  <c r="AN92" i="214"/>
  <c r="BP92" i="214"/>
  <c r="BR92" i="214"/>
  <c r="J8" i="213"/>
  <c r="J9" i="213"/>
  <c r="H10" i="213"/>
  <c r="J11" i="213"/>
  <c r="J12" i="213"/>
  <c r="J13" i="213"/>
  <c r="J14" i="213"/>
  <c r="J15" i="213"/>
  <c r="J16" i="213"/>
  <c r="J17" i="213"/>
  <c r="J18" i="213"/>
  <c r="J19" i="213"/>
  <c r="J20" i="213"/>
  <c r="J21" i="213"/>
  <c r="J22" i="213"/>
  <c r="J23" i="213"/>
  <c r="J24" i="213"/>
  <c r="J25" i="213"/>
  <c r="J26" i="213"/>
  <c r="J27" i="213"/>
  <c r="J28" i="213"/>
  <c r="J29" i="213"/>
  <c r="J30" i="213"/>
  <c r="J31" i="213"/>
  <c r="J32" i="213"/>
  <c r="J33" i="213"/>
  <c r="J37" i="213"/>
  <c r="J38" i="213"/>
  <c r="J39" i="213"/>
  <c r="J40" i="213"/>
  <c r="J41" i="213"/>
  <c r="J42" i="213"/>
  <c r="J43" i="213"/>
  <c r="J44" i="213"/>
  <c r="J45" i="213"/>
  <c r="F46" i="213"/>
  <c r="F52" i="213" s="1"/>
  <c r="F82" i="213" s="1"/>
  <c r="F94" i="213" s="1"/>
  <c r="G46" i="213"/>
  <c r="H46" i="213"/>
  <c r="I46" i="213"/>
  <c r="I52" i="213" s="1"/>
  <c r="L46" i="213"/>
  <c r="N46" i="213"/>
  <c r="P46" i="213"/>
  <c r="P52" i="213" s="1"/>
  <c r="P82" i="213" s="1"/>
  <c r="P94" i="213" s="1"/>
  <c r="R46" i="213"/>
  <c r="T46" i="213"/>
  <c r="T52" i="213" s="1"/>
  <c r="V46" i="213"/>
  <c r="X46" i="213"/>
  <c r="X52" i="213" s="1"/>
  <c r="X82" i="213" s="1"/>
  <c r="X94" i="213" s="1"/>
  <c r="Z46" i="213"/>
  <c r="Z52" i="213" s="1"/>
  <c r="Z82" i="213" s="1"/>
  <c r="Z94" i="213" s="1"/>
  <c r="AB46" i="213"/>
  <c r="AD46" i="213"/>
  <c r="AF46" i="213"/>
  <c r="AH46" i="213"/>
  <c r="AJ46" i="213"/>
  <c r="AJ52" i="213" s="1"/>
  <c r="AJ82" i="213" s="1"/>
  <c r="AJ94" i="213" s="1"/>
  <c r="AL46" i="213"/>
  <c r="AN46" i="213"/>
  <c r="AN52" i="213" s="1"/>
  <c r="AN82" i="213" s="1"/>
  <c r="AN94" i="213" s="1"/>
  <c r="AR46" i="213"/>
  <c r="AR52" i="213" s="1"/>
  <c r="AS46" i="213"/>
  <c r="AT46" i="213"/>
  <c r="AT52" i="213" s="1"/>
  <c r="AT82" i="213" s="1"/>
  <c r="AT94" i="213" s="1"/>
  <c r="J48" i="213"/>
  <c r="J50" i="213"/>
  <c r="J51" i="213"/>
  <c r="G52" i="213"/>
  <c r="G82" i="213" s="1"/>
  <c r="G94" i="213" s="1"/>
  <c r="H52" i="213"/>
  <c r="H82" i="213" s="1"/>
  <c r="L52" i="213"/>
  <c r="L82" i="213" s="1"/>
  <c r="N52" i="213"/>
  <c r="N82" i="213" s="1"/>
  <c r="R52" i="213"/>
  <c r="R82" i="213" s="1"/>
  <c r="R94" i="213" s="1"/>
  <c r="V52" i="213"/>
  <c r="V82" i="213" s="1"/>
  <c r="V94" i="213" s="1"/>
  <c r="AB52" i="213"/>
  <c r="AB82" i="213" s="1"/>
  <c r="AD52" i="213"/>
  <c r="AH52" i="213"/>
  <c r="AH82" i="213" s="1"/>
  <c r="AH94" i="213" s="1"/>
  <c r="AL52" i="213"/>
  <c r="AL82" i="213" s="1"/>
  <c r="AL94" i="213" s="1"/>
  <c r="AP52" i="213"/>
  <c r="AS52" i="213"/>
  <c r="AS82" i="213" s="1"/>
  <c r="J56" i="213"/>
  <c r="J67" i="213"/>
  <c r="J68" i="213"/>
  <c r="J69" i="213"/>
  <c r="J70" i="213"/>
  <c r="J71" i="213"/>
  <c r="J72" i="213"/>
  <c r="J73" i="213"/>
  <c r="J74" i="213"/>
  <c r="J75" i="213"/>
  <c r="J76" i="213"/>
  <c r="J77" i="213"/>
  <c r="J78" i="213"/>
  <c r="J79" i="213"/>
  <c r="J80" i="213"/>
  <c r="J81" i="213"/>
  <c r="I82" i="213"/>
  <c r="I94" i="213" s="1"/>
  <c r="T82" i="213"/>
  <c r="T94" i="213" s="1"/>
  <c r="AD82" i="213"/>
  <c r="AR82" i="213"/>
  <c r="AR94" i="213" s="1"/>
  <c r="J86" i="213"/>
  <c r="J87" i="213"/>
  <c r="J88" i="213"/>
  <c r="J89" i="213"/>
  <c r="J90" i="213"/>
  <c r="J91" i="213"/>
  <c r="J92" i="213"/>
  <c r="J93" i="213"/>
  <c r="H94" i="213"/>
  <c r="L94" i="213"/>
  <c r="N94" i="213"/>
  <c r="AB94" i="213"/>
  <c r="AD94" i="213"/>
  <c r="AS94" i="213"/>
  <c r="AG9" i="212"/>
  <c r="AG10" i="212"/>
  <c r="G11" i="212"/>
  <c r="G47" i="212" s="1"/>
  <c r="G53" i="212" s="1"/>
  <c r="G82" i="212" s="1"/>
  <c r="P11" i="212"/>
  <c r="T11" i="212"/>
  <c r="T47" i="212" s="1"/>
  <c r="T53" i="212" s="1"/>
  <c r="U11" i="212"/>
  <c r="X11" i="212"/>
  <c r="X47" i="212" s="1"/>
  <c r="X53" i="212" s="1"/>
  <c r="X82" i="212" s="1"/>
  <c r="AG11" i="212"/>
  <c r="BH11" i="212"/>
  <c r="AG13" i="212"/>
  <c r="AG14" i="212"/>
  <c r="AG15" i="212"/>
  <c r="AG16" i="212"/>
  <c r="AG17" i="212"/>
  <c r="AG18" i="212"/>
  <c r="AG19" i="212"/>
  <c r="AR19" i="212"/>
  <c r="AG20" i="212"/>
  <c r="AG21" i="212"/>
  <c r="AG22" i="212"/>
  <c r="AG23" i="212"/>
  <c r="AV23" i="212"/>
  <c r="AG24" i="212"/>
  <c r="AV24" i="212"/>
  <c r="AG25" i="212"/>
  <c r="AG26" i="212"/>
  <c r="AG27" i="212"/>
  <c r="AG28" i="212"/>
  <c r="AG29" i="212"/>
  <c r="AG30" i="212"/>
  <c r="AG31" i="212"/>
  <c r="AG32" i="212"/>
  <c r="AG33" i="212"/>
  <c r="AG34" i="212"/>
  <c r="AG35" i="212"/>
  <c r="AG36" i="212"/>
  <c r="AG37" i="212"/>
  <c r="AG38" i="212"/>
  <c r="AN38" i="212"/>
  <c r="AG39" i="212"/>
  <c r="AN39" i="212"/>
  <c r="AG40" i="212"/>
  <c r="AN40" i="212"/>
  <c r="AG41" i="212"/>
  <c r="AN41" i="212"/>
  <c r="AG42" i="212"/>
  <c r="AG43" i="212"/>
  <c r="AG44" i="212"/>
  <c r="AZ51" i="212"/>
  <c r="BD44" i="212"/>
  <c r="AG45" i="212"/>
  <c r="AG46" i="212"/>
  <c r="F47" i="212"/>
  <c r="F53" i="212" s="1"/>
  <c r="F82" i="212" s="1"/>
  <c r="F94" i="212" s="1"/>
  <c r="H47" i="212"/>
  <c r="L47" i="212"/>
  <c r="L53" i="212" s="1"/>
  <c r="L82" i="212" s="1"/>
  <c r="L94" i="212" s="1"/>
  <c r="M47" i="212"/>
  <c r="P47" i="212"/>
  <c r="Q47" i="212"/>
  <c r="U47" i="212"/>
  <c r="U53" i="212" s="1"/>
  <c r="U82" i="212" s="1"/>
  <c r="U94" i="212" s="1"/>
  <c r="Y47" i="212"/>
  <c r="Y53" i="212" s="1"/>
  <c r="Y82" i="212" s="1"/>
  <c r="Y94" i="212" s="1"/>
  <c r="AB47" i="212"/>
  <c r="AB53" i="212" s="1"/>
  <c r="AB82" i="212" s="1"/>
  <c r="AC47" i="212"/>
  <c r="AF47" i="212"/>
  <c r="AK47" i="212"/>
  <c r="AN47" i="212"/>
  <c r="AN53" i="212" s="1"/>
  <c r="AN82" i="212" s="1"/>
  <c r="AN94" i="212" s="1"/>
  <c r="AO47" i="212"/>
  <c r="AO53" i="212" s="1"/>
  <c r="AO82" i="212" s="1"/>
  <c r="AO94" i="212" s="1"/>
  <c r="AR47" i="212"/>
  <c r="AS47" i="212"/>
  <c r="AS53" i="212" s="1"/>
  <c r="AS82" i="212" s="1"/>
  <c r="AW47" i="212"/>
  <c r="AZ47" i="212"/>
  <c r="AZ53" i="212" s="1"/>
  <c r="AZ82" i="212" s="1"/>
  <c r="AZ94" i="212" s="1"/>
  <c r="BA47" i="212"/>
  <c r="BD47" i="212"/>
  <c r="BD53" i="212" s="1"/>
  <c r="BD82" i="212" s="1"/>
  <c r="BD94" i="212" s="1"/>
  <c r="BE47" i="212"/>
  <c r="BE53" i="212" s="1"/>
  <c r="BE82" i="212" s="1"/>
  <c r="BE94" i="212" s="1"/>
  <c r="BH47" i="212"/>
  <c r="BH53" i="212" s="1"/>
  <c r="BH82" i="212" s="1"/>
  <c r="BH94" i="212" s="1"/>
  <c r="BM47" i="212"/>
  <c r="BN47" i="212"/>
  <c r="BO47" i="212"/>
  <c r="BP47" i="212"/>
  <c r="BQ47" i="212"/>
  <c r="BR47" i="212"/>
  <c r="BR53" i="212" s="1"/>
  <c r="BR82" i="212" s="1"/>
  <c r="BR94" i="212" s="1"/>
  <c r="BS47" i="212"/>
  <c r="BT47" i="212"/>
  <c r="BT53" i="212" s="1"/>
  <c r="BT82" i="212" s="1"/>
  <c r="BT94" i="212" s="1"/>
  <c r="AG49" i="212"/>
  <c r="AG51" i="212"/>
  <c r="AG52" i="212"/>
  <c r="H53" i="212"/>
  <c r="H82" i="212" s="1"/>
  <c r="H94" i="212" s="1"/>
  <c r="M53" i="212"/>
  <c r="P53" i="212"/>
  <c r="P82" i="212" s="1"/>
  <c r="P94" i="212" s="1"/>
  <c r="Q53" i="212"/>
  <c r="AC53" i="212"/>
  <c r="AF53" i="212"/>
  <c r="AF82" i="212" s="1"/>
  <c r="AF94" i="212" s="1"/>
  <c r="AK53" i="212"/>
  <c r="AR53" i="212"/>
  <c r="AR82" i="212" s="1"/>
  <c r="AR94" i="212" s="1"/>
  <c r="AW53" i="212"/>
  <c r="AW82" i="212" s="1"/>
  <c r="AW94" i="212" s="1"/>
  <c r="BA53" i="212"/>
  <c r="BI53" i="212"/>
  <c r="BL53" i="212"/>
  <c r="BM53" i="212"/>
  <c r="BM82" i="212" s="1"/>
  <c r="BN53" i="212"/>
  <c r="BO53" i="212"/>
  <c r="BP53" i="212"/>
  <c r="BQ53" i="212"/>
  <c r="BS53" i="212"/>
  <c r="AG57" i="212"/>
  <c r="AG58" i="212"/>
  <c r="AG59" i="212"/>
  <c r="AG60" i="212"/>
  <c r="AG61" i="212"/>
  <c r="AG62" i="212"/>
  <c r="AG63" i="212"/>
  <c r="AG64" i="212"/>
  <c r="AG65" i="212"/>
  <c r="AG66" i="212"/>
  <c r="AG67" i="212"/>
  <c r="AG68" i="212"/>
  <c r="AG69" i="212"/>
  <c r="AG70" i="212"/>
  <c r="AG71" i="212"/>
  <c r="AG72" i="212"/>
  <c r="AG73" i="212"/>
  <c r="AG74" i="212"/>
  <c r="AG75" i="212"/>
  <c r="AG76" i="212"/>
  <c r="AG77" i="212"/>
  <c r="AG78" i="212"/>
  <c r="AG79" i="212"/>
  <c r="AG80" i="212"/>
  <c r="AG81" i="212"/>
  <c r="M82" i="212"/>
  <c r="Q82" i="212"/>
  <c r="Q94" i="212" s="1"/>
  <c r="T82" i="212"/>
  <c r="T94" i="212" s="1"/>
  <c r="AC82" i="212"/>
  <c r="AK82" i="212"/>
  <c r="AK94" i="212" s="1"/>
  <c r="BA82" i="212"/>
  <c r="BA94" i="212" s="1"/>
  <c r="BN82" i="212"/>
  <c r="BN94" i="212" s="1"/>
  <c r="BO82" i="212"/>
  <c r="BO94" i="212" s="1"/>
  <c r="BP82" i="212"/>
  <c r="BP94" i="212" s="1"/>
  <c r="BQ82" i="212"/>
  <c r="BQ94" i="212" s="1"/>
  <c r="BS82" i="212"/>
  <c r="AG86" i="212"/>
  <c r="AG87" i="212"/>
  <c r="AG88" i="212"/>
  <c r="AG89" i="212"/>
  <c r="AG90" i="212"/>
  <c r="AG91" i="212"/>
  <c r="AG92" i="212"/>
  <c r="AG93" i="212"/>
  <c r="G94" i="212"/>
  <c r="M94" i="212"/>
  <c r="X94" i="212"/>
  <c r="AB94" i="212"/>
  <c r="AC94" i="212"/>
  <c r="AS94" i="212"/>
  <c r="BM94" i="212"/>
  <c r="BS94" i="212"/>
  <c r="J8" i="211"/>
  <c r="J9" i="211"/>
  <c r="G10" i="211"/>
  <c r="J10" i="211" s="1"/>
  <c r="H10" i="211"/>
  <c r="P10" i="211"/>
  <c r="X10" i="211"/>
  <c r="X46" i="211" s="1"/>
  <c r="X52" i="211" s="1"/>
  <c r="J11" i="211"/>
  <c r="J12" i="211"/>
  <c r="J13" i="211"/>
  <c r="J14" i="211"/>
  <c r="J15" i="211"/>
  <c r="J16" i="211"/>
  <c r="J17" i="211"/>
  <c r="J18" i="211"/>
  <c r="J19" i="211"/>
  <c r="J20" i="211"/>
  <c r="J21" i="211"/>
  <c r="J22" i="211"/>
  <c r="J23" i="211"/>
  <c r="J24" i="211"/>
  <c r="J25" i="211"/>
  <c r="J26" i="211"/>
  <c r="J27" i="211"/>
  <c r="J28" i="211"/>
  <c r="J29" i="211"/>
  <c r="J30" i="211"/>
  <c r="J31" i="211"/>
  <c r="J32" i="211"/>
  <c r="J33" i="211"/>
  <c r="J37" i="211"/>
  <c r="J38" i="211"/>
  <c r="J39" i="211"/>
  <c r="J40" i="211"/>
  <c r="J41" i="211"/>
  <c r="J42" i="211"/>
  <c r="J43" i="211"/>
  <c r="J44" i="211"/>
  <c r="J45" i="211"/>
  <c r="J48" i="211" s="1"/>
  <c r="F46" i="211"/>
  <c r="G46" i="211"/>
  <c r="H46" i="211"/>
  <c r="H52" i="211" s="1"/>
  <c r="H82" i="211" s="1"/>
  <c r="I46" i="211"/>
  <c r="I52" i="211" s="1"/>
  <c r="I82" i="211" s="1"/>
  <c r="I94" i="211" s="1"/>
  <c r="L46" i="211"/>
  <c r="N46" i="211"/>
  <c r="N52" i="211" s="1"/>
  <c r="N82" i="211" s="1"/>
  <c r="P46" i="211"/>
  <c r="R46" i="211"/>
  <c r="R52" i="211" s="1"/>
  <c r="R82" i="211" s="1"/>
  <c r="R94" i="211" s="1"/>
  <c r="T46" i="211"/>
  <c r="V46" i="211"/>
  <c r="V52" i="211" s="1"/>
  <c r="V82" i="211" s="1"/>
  <c r="V94" i="211" s="1"/>
  <c r="Z46" i="211"/>
  <c r="AB46" i="211"/>
  <c r="AD46" i="211"/>
  <c r="AD52" i="211" s="1"/>
  <c r="AD82" i="211" s="1"/>
  <c r="AF46" i="211"/>
  <c r="AF52" i="211" s="1"/>
  <c r="AF82" i="211" s="1"/>
  <c r="AF94" i="211" s="1"/>
  <c r="AH46" i="211"/>
  <c r="AH52" i="211" s="1"/>
  <c r="AH82" i="211" s="1"/>
  <c r="AH94" i="211" s="1"/>
  <c r="AJ46" i="211"/>
  <c r="AL46" i="211"/>
  <c r="AL52" i="211" s="1"/>
  <c r="AN46" i="211"/>
  <c r="AN52" i="211" s="1"/>
  <c r="AN82" i="211" s="1"/>
  <c r="AN94" i="211" s="1"/>
  <c r="AR46" i="211"/>
  <c r="AR52" i="211" s="1"/>
  <c r="AS46" i="211"/>
  <c r="AS52" i="211" s="1"/>
  <c r="AS82" i="211" s="1"/>
  <c r="AS94" i="211" s="1"/>
  <c r="AT46" i="211"/>
  <c r="AT52" i="211" s="1"/>
  <c r="AT82" i="211" s="1"/>
  <c r="J50" i="211"/>
  <c r="J51" i="211"/>
  <c r="F52" i="211"/>
  <c r="G52" i="211"/>
  <c r="G82" i="211" s="1"/>
  <c r="G94" i="211" s="1"/>
  <c r="L52" i="211"/>
  <c r="P52" i="211"/>
  <c r="P82" i="211" s="1"/>
  <c r="P94" i="211" s="1"/>
  <c r="T52" i="211"/>
  <c r="Z52" i="211"/>
  <c r="AB52" i="211"/>
  <c r="AJ52" i="211"/>
  <c r="J56" i="211"/>
  <c r="J67" i="211"/>
  <c r="J68" i="211"/>
  <c r="J69" i="211"/>
  <c r="J70" i="211"/>
  <c r="J71" i="211"/>
  <c r="J72" i="211"/>
  <c r="J73" i="211"/>
  <c r="J74" i="211"/>
  <c r="J75" i="211"/>
  <c r="J76" i="211"/>
  <c r="J77" i="211"/>
  <c r="J78" i="211"/>
  <c r="J79" i="211"/>
  <c r="J80" i="211"/>
  <c r="J81" i="211"/>
  <c r="F82" i="211"/>
  <c r="F94" i="211" s="1"/>
  <c r="L82" i="211"/>
  <c r="T82" i="211"/>
  <c r="T94" i="211" s="1"/>
  <c r="X82" i="211"/>
  <c r="X94" i="211" s="1"/>
  <c r="Z82" i="211"/>
  <c r="Z94" i="211" s="1"/>
  <c r="AB82" i="211"/>
  <c r="AJ82" i="211"/>
  <c r="AJ94" i="211" s="1"/>
  <c r="AL82" i="211"/>
  <c r="AL94" i="211" s="1"/>
  <c r="AR82" i="211"/>
  <c r="AR94" i="211" s="1"/>
  <c r="J86" i="211"/>
  <c r="J87" i="211"/>
  <c r="J88" i="211"/>
  <c r="J89" i="211"/>
  <c r="J90" i="211"/>
  <c r="J91" i="211"/>
  <c r="J92" i="211"/>
  <c r="J93" i="211"/>
  <c r="H94" i="211"/>
  <c r="L94" i="211"/>
  <c r="N94" i="211"/>
  <c r="AB94" i="211"/>
  <c r="AD94" i="211"/>
  <c r="AT94" i="211"/>
  <c r="AG9" i="210"/>
  <c r="AG10" i="210"/>
  <c r="P11" i="210"/>
  <c r="T11" i="210"/>
  <c r="X11" i="210"/>
  <c r="X39" i="210" s="1"/>
  <c r="AG11" i="210"/>
  <c r="BH11" i="210"/>
  <c r="BH39" i="210" s="1"/>
  <c r="BH45" i="210" s="1"/>
  <c r="BH71" i="210" s="1"/>
  <c r="AG13" i="210"/>
  <c r="AG14" i="210"/>
  <c r="AG15" i="210"/>
  <c r="AG16" i="210"/>
  <c r="AG17" i="210"/>
  <c r="AG18" i="210"/>
  <c r="AG19" i="210"/>
  <c r="AR19" i="210"/>
  <c r="AR39" i="210" s="1"/>
  <c r="AR45" i="210" s="1"/>
  <c r="AR71" i="210" s="1"/>
  <c r="AG20" i="210"/>
  <c r="AG21" i="210"/>
  <c r="AG22" i="210"/>
  <c r="AG23" i="210"/>
  <c r="AV23" i="210"/>
  <c r="AG24" i="210"/>
  <c r="AV24" i="210"/>
  <c r="AG25" i="210"/>
  <c r="AG26" i="210"/>
  <c r="AG27" i="210"/>
  <c r="AG28" i="210"/>
  <c r="AG29" i="210"/>
  <c r="AG30" i="210"/>
  <c r="AG31" i="210"/>
  <c r="AG32" i="210"/>
  <c r="AG33" i="210"/>
  <c r="AG34" i="210"/>
  <c r="AN34" i="210"/>
  <c r="AG35" i="210"/>
  <c r="AN35" i="210"/>
  <c r="AG36" i="210"/>
  <c r="AG37" i="210"/>
  <c r="AG38" i="210"/>
  <c r="AZ43" i="210"/>
  <c r="BD38" i="210"/>
  <c r="BD39" i="210" s="1"/>
  <c r="F39" i="210"/>
  <c r="G39" i="210"/>
  <c r="H39" i="210"/>
  <c r="L39" i="210"/>
  <c r="M39" i="210"/>
  <c r="M45" i="210" s="1"/>
  <c r="M71" i="210" s="1"/>
  <c r="P39" i="210"/>
  <c r="Q39" i="210"/>
  <c r="T39" i="210"/>
  <c r="T45" i="210" s="1"/>
  <c r="T71" i="210" s="1"/>
  <c r="T81" i="210" s="1"/>
  <c r="U39" i="210"/>
  <c r="Y39" i="210"/>
  <c r="AB39" i="210"/>
  <c r="AC39" i="210"/>
  <c r="AC45" i="210" s="1"/>
  <c r="AC71" i="210" s="1"/>
  <c r="AC81" i="210" s="1"/>
  <c r="AF39" i="210"/>
  <c r="AK39" i="210"/>
  <c r="AK45" i="210" s="1"/>
  <c r="AK71" i="210" s="1"/>
  <c r="AK81" i="210" s="1"/>
  <c r="AN39" i="210"/>
  <c r="AO39" i="210"/>
  <c r="AS39" i="210"/>
  <c r="AV39" i="210"/>
  <c r="AV45" i="210" s="1"/>
  <c r="AV71" i="210" s="1"/>
  <c r="BA39" i="210"/>
  <c r="BA45" i="210" s="1"/>
  <c r="BA71" i="210" s="1"/>
  <c r="BE39" i="210"/>
  <c r="BM39" i="210"/>
  <c r="BN39" i="210"/>
  <c r="BO39" i="210"/>
  <c r="BP39" i="210"/>
  <c r="BQ39" i="210"/>
  <c r="BQ45" i="210" s="1"/>
  <c r="BQ71" i="210" s="1"/>
  <c r="BQ81" i="210" s="1"/>
  <c r="BR39" i="210"/>
  <c r="BS39" i="210"/>
  <c r="BT39" i="210"/>
  <c r="AG41" i="210"/>
  <c r="BL41" i="210"/>
  <c r="BL45" i="210" s="1"/>
  <c r="AG43" i="210"/>
  <c r="F45" i="210"/>
  <c r="G45" i="210"/>
  <c r="G71" i="210" s="1"/>
  <c r="G81" i="210" s="1"/>
  <c r="H45" i="210"/>
  <c r="H71" i="210" s="1"/>
  <c r="H81" i="210" s="1"/>
  <c r="L45" i="210"/>
  <c r="P45" i="210"/>
  <c r="Q45" i="210"/>
  <c r="U45" i="210"/>
  <c r="X45" i="210"/>
  <c r="X71" i="210" s="1"/>
  <c r="X81" i="210" s="1"/>
  <c r="Y45" i="210"/>
  <c r="Y71" i="210" s="1"/>
  <c r="AB45" i="210"/>
  <c r="AF45" i="210"/>
  <c r="AN45" i="210"/>
  <c r="AN71" i="210" s="1"/>
  <c r="AN81" i="210" s="1"/>
  <c r="AO45" i="210"/>
  <c r="AO71" i="210" s="1"/>
  <c r="AO81" i="210" s="1"/>
  <c r="AS45" i="210"/>
  <c r="BD45" i="210"/>
  <c r="BD71" i="210" s="1"/>
  <c r="BD81" i="210" s="1"/>
  <c r="BE45" i="210"/>
  <c r="BE71" i="210" s="1"/>
  <c r="BE81" i="210" s="1"/>
  <c r="BI45" i="210"/>
  <c r="BM45" i="210"/>
  <c r="BN45" i="210"/>
  <c r="BN71" i="210" s="1"/>
  <c r="BN81" i="210" s="1"/>
  <c r="BO45" i="210"/>
  <c r="BP45" i="210"/>
  <c r="BR45" i="210"/>
  <c r="BS45" i="210"/>
  <c r="BS71" i="210" s="1"/>
  <c r="BS81" i="210" s="1"/>
  <c r="BT45" i="210"/>
  <c r="BT71" i="210" s="1"/>
  <c r="AG49" i="210"/>
  <c r="AG50" i="210"/>
  <c r="AG51" i="210"/>
  <c r="AG52" i="210"/>
  <c r="AG53" i="210"/>
  <c r="AG54" i="210"/>
  <c r="AG55" i="210"/>
  <c r="AG56" i="210"/>
  <c r="AG57" i="210"/>
  <c r="AG58" i="210"/>
  <c r="AG59" i="210"/>
  <c r="AG60" i="210"/>
  <c r="AG61" i="210"/>
  <c r="AG62" i="210"/>
  <c r="AG63" i="210"/>
  <c r="AG64" i="210"/>
  <c r="AG65" i="210"/>
  <c r="AG66" i="210"/>
  <c r="AG67" i="210"/>
  <c r="AG68" i="210"/>
  <c r="AG69" i="210"/>
  <c r="AG70" i="210"/>
  <c r="F71" i="210"/>
  <c r="F81" i="210" s="1"/>
  <c r="L71" i="210"/>
  <c r="L81" i="210" s="1"/>
  <c r="P71" i="210"/>
  <c r="P81" i="210" s="1"/>
  <c r="Q71" i="210"/>
  <c r="Q81" i="210" s="1"/>
  <c r="U71" i="210"/>
  <c r="U81" i="210" s="1"/>
  <c r="AB71" i="210"/>
  <c r="AB81" i="210" s="1"/>
  <c r="AF71" i="210"/>
  <c r="AS71" i="210"/>
  <c r="AS81" i="210" s="1"/>
  <c r="BM71" i="210"/>
  <c r="BM81" i="210" s="1"/>
  <c r="BO71" i="210"/>
  <c r="BP71" i="210"/>
  <c r="BP81" i="210" s="1"/>
  <c r="BR71" i="210"/>
  <c r="BR81" i="210" s="1"/>
  <c r="AG75" i="210"/>
  <c r="AG76" i="210"/>
  <c r="AG77" i="210"/>
  <c r="AG78" i="210"/>
  <c r="AG79" i="210"/>
  <c r="AG80" i="210"/>
  <c r="M81" i="210"/>
  <c r="Y81" i="210"/>
  <c r="AF81" i="210"/>
  <c r="AR81" i="210"/>
  <c r="AV81" i="210"/>
  <c r="BA81" i="210"/>
  <c r="BH81" i="210"/>
  <c r="BO81" i="210"/>
  <c r="BT81" i="210"/>
  <c r="J8" i="209"/>
  <c r="J9" i="209"/>
  <c r="H10" i="209"/>
  <c r="H38" i="209" s="1"/>
  <c r="J10" i="209"/>
  <c r="J11" i="209"/>
  <c r="J12" i="209"/>
  <c r="J13" i="209"/>
  <c r="J14" i="209"/>
  <c r="J15" i="209"/>
  <c r="J16" i="209"/>
  <c r="J17" i="209"/>
  <c r="J18" i="209"/>
  <c r="J19" i="209"/>
  <c r="J20" i="209"/>
  <c r="J21" i="209"/>
  <c r="J22" i="209"/>
  <c r="J23" i="209"/>
  <c r="J24" i="209"/>
  <c r="J25" i="209"/>
  <c r="J26" i="209"/>
  <c r="J27" i="209"/>
  <c r="J28" i="209"/>
  <c r="J29" i="209"/>
  <c r="J33" i="209"/>
  <c r="J34" i="209"/>
  <c r="J35" i="209"/>
  <c r="J36" i="209"/>
  <c r="J37" i="209"/>
  <c r="F38" i="209"/>
  <c r="F44" i="209" s="1"/>
  <c r="F71" i="209" s="1"/>
  <c r="F83" i="209" s="1"/>
  <c r="G38" i="209"/>
  <c r="G44" i="209" s="1"/>
  <c r="G71" i="209" s="1"/>
  <c r="G83" i="209" s="1"/>
  <c r="I38" i="209"/>
  <c r="I44" i="209" s="1"/>
  <c r="I71" i="209" s="1"/>
  <c r="I83" i="209" s="1"/>
  <c r="L38" i="209"/>
  <c r="N38" i="209"/>
  <c r="N44" i="209" s="1"/>
  <c r="N71" i="209" s="1"/>
  <c r="N83" i="209" s="1"/>
  <c r="P38" i="209"/>
  <c r="P44" i="209" s="1"/>
  <c r="R38" i="209"/>
  <c r="T38" i="209"/>
  <c r="T44" i="209" s="1"/>
  <c r="T71" i="209" s="1"/>
  <c r="T83" i="209" s="1"/>
  <c r="V38" i="209"/>
  <c r="V44" i="209" s="1"/>
  <c r="V71" i="209" s="1"/>
  <c r="V83" i="209" s="1"/>
  <c r="X38" i="209"/>
  <c r="Z38" i="209"/>
  <c r="Z44" i="209" s="1"/>
  <c r="AB38" i="209"/>
  <c r="AD38" i="209"/>
  <c r="AH38" i="209"/>
  <c r="AJ38" i="209"/>
  <c r="AJ44" i="209" s="1"/>
  <c r="AJ71" i="209" s="1"/>
  <c r="AL38" i="209"/>
  <c r="AL44" i="209" s="1"/>
  <c r="AL71" i="209" s="1"/>
  <c r="AN38" i="209"/>
  <c r="AR38" i="209"/>
  <c r="AR44" i="209" s="1"/>
  <c r="AS38" i="209"/>
  <c r="AT38" i="209"/>
  <c r="AT44" i="209" s="1"/>
  <c r="AT71" i="209" s="1"/>
  <c r="AT83" i="209" s="1"/>
  <c r="J40" i="209"/>
  <c r="J42" i="209"/>
  <c r="J43" i="209"/>
  <c r="H44" i="209"/>
  <c r="H71" i="209" s="1"/>
  <c r="H83" i="209" s="1"/>
  <c r="L44" i="209"/>
  <c r="L71" i="209" s="1"/>
  <c r="L83" i="209" s="1"/>
  <c r="R44" i="209"/>
  <c r="R71" i="209" s="1"/>
  <c r="R83" i="209" s="1"/>
  <c r="X44" i="209"/>
  <c r="X71" i="209" s="1"/>
  <c r="AB44" i="209"/>
  <c r="AB71" i="209" s="1"/>
  <c r="AB83" i="209" s="1"/>
  <c r="AD44" i="209"/>
  <c r="AD71" i="209" s="1"/>
  <c r="AD83" i="209" s="1"/>
  <c r="AH44" i="209"/>
  <c r="AH71" i="209" s="1"/>
  <c r="AH83" i="209" s="1"/>
  <c r="AN44" i="209"/>
  <c r="AN71" i="209" s="1"/>
  <c r="AN83" i="209" s="1"/>
  <c r="AS44" i="209"/>
  <c r="AS71" i="209" s="1"/>
  <c r="J48" i="209"/>
  <c r="J55" i="209"/>
  <c r="J56" i="209"/>
  <c r="J57" i="209"/>
  <c r="J58" i="209"/>
  <c r="J59" i="209"/>
  <c r="J60" i="209"/>
  <c r="J61" i="209"/>
  <c r="J62" i="209"/>
  <c r="J63" i="209"/>
  <c r="J64" i="209"/>
  <c r="J65" i="209"/>
  <c r="J66" i="209"/>
  <c r="J67" i="209"/>
  <c r="J68" i="209"/>
  <c r="J69" i="209"/>
  <c r="J70" i="209"/>
  <c r="P71" i="209"/>
  <c r="P83" i="209" s="1"/>
  <c r="Z71" i="209"/>
  <c r="Z83" i="209" s="1"/>
  <c r="AR71" i="209"/>
  <c r="AR83" i="209" s="1"/>
  <c r="J75" i="209"/>
  <c r="J76" i="209"/>
  <c r="J77" i="209"/>
  <c r="J78" i="209"/>
  <c r="J79" i="209"/>
  <c r="J80" i="209"/>
  <c r="J81" i="209"/>
  <c r="J82" i="209"/>
  <c r="X83" i="209"/>
  <c r="AS83" i="209"/>
  <c r="AG9" i="208"/>
  <c r="AG10" i="208"/>
  <c r="F11" i="208"/>
  <c r="G11" i="208"/>
  <c r="G33" i="208" s="1"/>
  <c r="P11" i="208"/>
  <c r="T11" i="208"/>
  <c r="U11" i="208"/>
  <c r="U33" i="208" s="1"/>
  <c r="U39" i="208" s="1"/>
  <c r="X11" i="208"/>
  <c r="AG11" i="208"/>
  <c r="BH11" i="208"/>
  <c r="AG13" i="208"/>
  <c r="AG14" i="208"/>
  <c r="AG15" i="208"/>
  <c r="AG16" i="208"/>
  <c r="AG17" i="208"/>
  <c r="AG18" i="208"/>
  <c r="AG19" i="208"/>
  <c r="AR19" i="208"/>
  <c r="AG20" i="208"/>
  <c r="AG21" i="208"/>
  <c r="AV21" i="208"/>
  <c r="AV33" i="208" s="1"/>
  <c r="AG22" i="208"/>
  <c r="AG23" i="208"/>
  <c r="AG24" i="208"/>
  <c r="AG25" i="208"/>
  <c r="AG26" i="208"/>
  <c r="AG27" i="208"/>
  <c r="AG28" i="208"/>
  <c r="AN28" i="208"/>
  <c r="AG29" i="208"/>
  <c r="AN29" i="208"/>
  <c r="AG30" i="208"/>
  <c r="AG31" i="208"/>
  <c r="AG32" i="208"/>
  <c r="AZ37" i="208"/>
  <c r="BD32" i="208"/>
  <c r="BD33" i="208" s="1"/>
  <c r="BD39" i="208" s="1"/>
  <c r="BD61" i="208" s="1"/>
  <c r="F33" i="208"/>
  <c r="F39" i="208" s="1"/>
  <c r="F61" i="208" s="1"/>
  <c r="F71" i="208" s="1"/>
  <c r="H33" i="208"/>
  <c r="H39" i="208" s="1"/>
  <c r="H61" i="208" s="1"/>
  <c r="L33" i="208"/>
  <c r="M33" i="208"/>
  <c r="P33" i="208"/>
  <c r="P39" i="208" s="1"/>
  <c r="Q33" i="208"/>
  <c r="T33" i="208"/>
  <c r="T39" i="208" s="1"/>
  <c r="T61" i="208" s="1"/>
  <c r="T71" i="208" s="1"/>
  <c r="X33" i="208"/>
  <c r="Y33" i="208"/>
  <c r="AB33" i="208"/>
  <c r="AC33" i="208"/>
  <c r="AF33" i="208"/>
  <c r="AF39" i="208" s="1"/>
  <c r="AK33" i="208"/>
  <c r="AN33" i="208"/>
  <c r="AN39" i="208" s="1"/>
  <c r="AN61" i="208" s="1"/>
  <c r="AN71" i="208" s="1"/>
  <c r="AO33" i="208"/>
  <c r="AR33" i="208"/>
  <c r="AS33" i="208"/>
  <c r="BA33" i="208"/>
  <c r="BE33" i="208"/>
  <c r="BH33" i="208"/>
  <c r="BM33" i="208"/>
  <c r="BN33" i="208"/>
  <c r="BO33" i="208"/>
  <c r="BP33" i="208"/>
  <c r="BQ33" i="208"/>
  <c r="BQ39" i="208" s="1"/>
  <c r="BR33" i="208"/>
  <c r="BS33" i="208"/>
  <c r="BT33" i="208"/>
  <c r="BT39" i="208" s="1"/>
  <c r="BT61" i="208" s="1"/>
  <c r="BT71" i="208" s="1"/>
  <c r="AG35" i="208"/>
  <c r="BL35" i="208"/>
  <c r="BL39" i="208" s="1"/>
  <c r="AG37" i="208"/>
  <c r="G39" i="208"/>
  <c r="G61" i="208" s="1"/>
  <c r="G71" i="208" s="1"/>
  <c r="L39" i="208"/>
  <c r="M39" i="208"/>
  <c r="M61" i="208" s="1"/>
  <c r="M71" i="208" s="1"/>
  <c r="Q39" i="208"/>
  <c r="Q61" i="208" s="1"/>
  <c r="X39" i="208"/>
  <c r="Y39" i="208"/>
  <c r="Y61" i="208" s="1"/>
  <c r="AB39" i="208"/>
  <c r="AB61" i="208" s="1"/>
  <c r="AC39" i="208"/>
  <c r="AK39" i="208"/>
  <c r="AK61" i="208" s="1"/>
  <c r="AK71" i="208" s="1"/>
  <c r="AO39" i="208"/>
  <c r="AR39" i="208"/>
  <c r="AS39" i="208"/>
  <c r="AS61" i="208" s="1"/>
  <c r="AS71" i="208" s="1"/>
  <c r="AV39" i="208"/>
  <c r="AV61" i="208" s="1"/>
  <c r="AV71" i="208" s="1"/>
  <c r="BA39" i="208"/>
  <c r="BE39" i="208"/>
  <c r="BH39" i="208"/>
  <c r="BH61" i="208" s="1"/>
  <c r="BH71" i="208" s="1"/>
  <c r="BI39" i="208"/>
  <c r="BM39" i="208"/>
  <c r="BN39" i="208"/>
  <c r="BN61" i="208" s="1"/>
  <c r="BN71" i="208" s="1"/>
  <c r="BO39" i="208"/>
  <c r="BO61" i="208" s="1"/>
  <c r="BO71" i="208" s="1"/>
  <c r="BP39" i="208"/>
  <c r="BP61" i="208" s="1"/>
  <c r="BR39" i="208"/>
  <c r="BR61" i="208" s="1"/>
  <c r="BR71" i="208" s="1"/>
  <c r="BS39" i="208"/>
  <c r="BS61" i="208" s="1"/>
  <c r="BS71" i="208" s="1"/>
  <c r="AG43" i="208"/>
  <c r="AG44" i="208"/>
  <c r="AG45" i="208"/>
  <c r="AG46" i="208"/>
  <c r="AG47" i="208"/>
  <c r="AG48" i="208"/>
  <c r="AG49" i="208"/>
  <c r="AG50" i="208"/>
  <c r="AG51" i="208"/>
  <c r="AG52" i="208"/>
  <c r="AG53" i="208"/>
  <c r="AG54" i="208"/>
  <c r="AG55" i="208"/>
  <c r="AG56" i="208"/>
  <c r="AG57" i="208"/>
  <c r="AG58" i="208"/>
  <c r="AG59" i="208"/>
  <c r="AG60" i="208"/>
  <c r="L61" i="208"/>
  <c r="L71" i="208" s="1"/>
  <c r="P61" i="208"/>
  <c r="P71" i="208" s="1"/>
  <c r="U61" i="208"/>
  <c r="U71" i="208" s="1"/>
  <c r="X61" i="208"/>
  <c r="X71" i="208" s="1"/>
  <c r="AC61" i="208"/>
  <c r="AC71" i="208" s="1"/>
  <c r="AF61" i="208"/>
  <c r="AF71" i="208" s="1"/>
  <c r="AO61" i="208"/>
  <c r="AO71" i="208" s="1"/>
  <c r="AR61" i="208"/>
  <c r="AR71" i="208" s="1"/>
  <c r="BA61" i="208"/>
  <c r="BE61" i="208"/>
  <c r="BE71" i="208" s="1"/>
  <c r="BM61" i="208"/>
  <c r="BM71" i="208" s="1"/>
  <c r="BQ61" i="208"/>
  <c r="BQ71" i="208" s="1"/>
  <c r="AG65" i="208"/>
  <c r="AG66" i="208"/>
  <c r="AG67" i="208"/>
  <c r="AG68" i="208"/>
  <c r="AG69" i="208"/>
  <c r="AG70" i="208"/>
  <c r="H71" i="208"/>
  <c r="Q71" i="208"/>
  <c r="Y71" i="208"/>
  <c r="AB71" i="208"/>
  <c r="BP71" i="208"/>
  <c r="J8" i="207"/>
  <c r="J9" i="207"/>
  <c r="F10" i="207"/>
  <c r="G10" i="207"/>
  <c r="J10" i="207" s="1"/>
  <c r="H10" i="207"/>
  <c r="H32" i="207" s="1"/>
  <c r="H38" i="207" s="1"/>
  <c r="H61" i="207" s="1"/>
  <c r="H73" i="207" s="1"/>
  <c r="P10" i="207"/>
  <c r="X10" i="207"/>
  <c r="X32" i="207" s="1"/>
  <c r="X38" i="207" s="1"/>
  <c r="X61" i="207" s="1"/>
  <c r="X73" i="207" s="1"/>
  <c r="J11" i="207"/>
  <c r="J12" i="207"/>
  <c r="J13" i="207"/>
  <c r="J14" i="207"/>
  <c r="J15" i="207"/>
  <c r="J16" i="207"/>
  <c r="J17" i="207"/>
  <c r="J18" i="207"/>
  <c r="J19" i="207"/>
  <c r="J20" i="207"/>
  <c r="J21" i="207"/>
  <c r="J22" i="207"/>
  <c r="J23" i="207"/>
  <c r="J27" i="207"/>
  <c r="J28" i="207"/>
  <c r="J29" i="207"/>
  <c r="J30" i="207"/>
  <c r="J31" i="207"/>
  <c r="F32" i="207"/>
  <c r="G32" i="207"/>
  <c r="G38" i="207" s="1"/>
  <c r="I32" i="207"/>
  <c r="I38" i="207" s="1"/>
  <c r="I61" i="207" s="1"/>
  <c r="I73" i="207" s="1"/>
  <c r="L32" i="207"/>
  <c r="N32" i="207"/>
  <c r="N38" i="207" s="1"/>
  <c r="P32" i="207"/>
  <c r="R32" i="207"/>
  <c r="T32" i="207"/>
  <c r="V32" i="207"/>
  <c r="V38" i="207" s="1"/>
  <c r="V61" i="207" s="1"/>
  <c r="V73" i="207" s="1"/>
  <c r="Z32" i="207"/>
  <c r="AB32" i="207"/>
  <c r="AD32" i="207"/>
  <c r="AD38" i="207" s="1"/>
  <c r="AH32" i="207"/>
  <c r="AJ32" i="207"/>
  <c r="AL32" i="207"/>
  <c r="AL38" i="207" s="1"/>
  <c r="AN32" i="207"/>
  <c r="AN38" i="207" s="1"/>
  <c r="AP32" i="207"/>
  <c r="AR32" i="207"/>
  <c r="AS32" i="207"/>
  <c r="AS38" i="207" s="1"/>
  <c r="AT32" i="207"/>
  <c r="J36" i="207"/>
  <c r="J37" i="207"/>
  <c r="F38" i="207"/>
  <c r="F61" i="207" s="1"/>
  <c r="F73" i="207" s="1"/>
  <c r="L38" i="207"/>
  <c r="L61" i="207" s="1"/>
  <c r="L73" i="207" s="1"/>
  <c r="P38" i="207"/>
  <c r="R38" i="207"/>
  <c r="R61" i="207" s="1"/>
  <c r="R73" i="207" s="1"/>
  <c r="T38" i="207"/>
  <c r="T61" i="207" s="1"/>
  <c r="T73" i="207" s="1"/>
  <c r="Z38" i="207"/>
  <c r="Z61" i="207" s="1"/>
  <c r="AB38" i="207"/>
  <c r="AB61" i="207" s="1"/>
  <c r="AB73" i="207" s="1"/>
  <c r="AH38" i="207"/>
  <c r="AH61" i="207" s="1"/>
  <c r="AH73" i="207" s="1"/>
  <c r="AJ38" i="207"/>
  <c r="AP38" i="207"/>
  <c r="AP61" i="207" s="1"/>
  <c r="AP73" i="207" s="1"/>
  <c r="AR38" i="207"/>
  <c r="AR61" i="207" s="1"/>
  <c r="AR73" i="207" s="1"/>
  <c r="AT38" i="207"/>
  <c r="J42" i="207"/>
  <c r="J47" i="207"/>
  <c r="J48" i="207"/>
  <c r="J49" i="207"/>
  <c r="J50" i="207"/>
  <c r="J51" i="207"/>
  <c r="J52" i="207"/>
  <c r="J53" i="207"/>
  <c r="J54" i="207"/>
  <c r="J55" i="207"/>
  <c r="J56" i="207"/>
  <c r="J57" i="207"/>
  <c r="J58" i="207"/>
  <c r="J59" i="207"/>
  <c r="J60" i="207"/>
  <c r="J34" i="207" s="1"/>
  <c r="G61" i="207"/>
  <c r="G73" i="207" s="1"/>
  <c r="N61" i="207"/>
  <c r="N73" i="207" s="1"/>
  <c r="P61" i="207"/>
  <c r="AD61" i="207"/>
  <c r="AD73" i="207" s="1"/>
  <c r="AJ61" i="207"/>
  <c r="AL61" i="207"/>
  <c r="AN61" i="207"/>
  <c r="AN73" i="207" s="1"/>
  <c r="AS61" i="207"/>
  <c r="AS73" i="207" s="1"/>
  <c r="AT61" i="207"/>
  <c r="AT73" i="207" s="1"/>
  <c r="J65" i="207"/>
  <c r="J66" i="207"/>
  <c r="J67" i="207"/>
  <c r="J68" i="207"/>
  <c r="J69" i="207"/>
  <c r="J70" i="207"/>
  <c r="J71" i="207"/>
  <c r="J72" i="207"/>
  <c r="P73" i="207"/>
  <c r="Z73" i="207"/>
  <c r="J8" i="206"/>
  <c r="J9" i="206"/>
  <c r="H10" i="206"/>
  <c r="H29" i="206" s="1"/>
  <c r="J10" i="206"/>
  <c r="J11" i="206"/>
  <c r="J12" i="206"/>
  <c r="J13" i="206"/>
  <c r="J14" i="206"/>
  <c r="J15" i="206"/>
  <c r="J16" i="206"/>
  <c r="J17" i="206"/>
  <c r="J18" i="206"/>
  <c r="J19" i="206"/>
  <c r="J20" i="206"/>
  <c r="J21" i="206"/>
  <c r="J22" i="206"/>
  <c r="J23" i="206"/>
  <c r="J24" i="206"/>
  <c r="J25" i="206"/>
  <c r="J26" i="206"/>
  <c r="J27" i="206"/>
  <c r="J28" i="206"/>
  <c r="J33" i="206" s="1"/>
  <c r="F29" i="206"/>
  <c r="F35" i="206" s="1"/>
  <c r="F54" i="206" s="1"/>
  <c r="G29" i="206"/>
  <c r="I29" i="206"/>
  <c r="I35" i="206" s="1"/>
  <c r="I54" i="206" s="1"/>
  <c r="L29" i="206"/>
  <c r="L35" i="206" s="1"/>
  <c r="L54" i="206" s="1"/>
  <c r="N29" i="206"/>
  <c r="P29" i="206"/>
  <c r="R29" i="206"/>
  <c r="R35" i="206" s="1"/>
  <c r="R54" i="206" s="1"/>
  <c r="T29" i="206"/>
  <c r="T35" i="206" s="1"/>
  <c r="T54" i="206" s="1"/>
  <c r="V29" i="206"/>
  <c r="X29" i="206"/>
  <c r="Z29" i="206"/>
  <c r="AB29" i="206"/>
  <c r="AB35" i="206" s="1"/>
  <c r="AB54" i="206" s="1"/>
  <c r="AF29" i="206"/>
  <c r="AJ29" i="206"/>
  <c r="AJ35" i="206" s="1"/>
  <c r="AJ54" i="206" s="1"/>
  <c r="AK29" i="206"/>
  <c r="AK35" i="206" s="1"/>
  <c r="AK54" i="206" s="1"/>
  <c r="AL29" i="206"/>
  <c r="J34" i="206"/>
  <c r="G35" i="206"/>
  <c r="H35" i="206"/>
  <c r="H54" i="206" s="1"/>
  <c r="N35" i="206"/>
  <c r="P35" i="206"/>
  <c r="P54" i="206" s="1"/>
  <c r="V35" i="206"/>
  <c r="X35" i="206"/>
  <c r="X54" i="206" s="1"/>
  <c r="Z35" i="206"/>
  <c r="Z54" i="206" s="1"/>
  <c r="AF35" i="206"/>
  <c r="AF54" i="206" s="1"/>
  <c r="AH35" i="206"/>
  <c r="AL35" i="206"/>
  <c r="AL54" i="206" s="1"/>
  <c r="J39" i="206"/>
  <c r="J44" i="206"/>
  <c r="J45" i="206"/>
  <c r="J46" i="206"/>
  <c r="J47" i="206"/>
  <c r="J48" i="206"/>
  <c r="J49" i="206"/>
  <c r="J50" i="206"/>
  <c r="J51" i="206"/>
  <c r="J52" i="206"/>
  <c r="J53" i="206"/>
  <c r="J31" i="206" s="1"/>
  <c r="G54" i="206"/>
  <c r="N54" i="206"/>
  <c r="V54" i="206"/>
  <c r="AG39" i="210" l="1"/>
  <c r="AG45" i="210" s="1"/>
  <c r="AG71" i="210" s="1"/>
  <c r="AG81" i="210" s="1"/>
  <c r="AG47" i="216"/>
  <c r="AG53" i="216" s="1"/>
  <c r="AG82" i="216" s="1"/>
  <c r="AG92" i="216" s="1"/>
  <c r="AG53" i="214"/>
  <c r="AG82" i="214" s="1"/>
  <c r="AG92" i="214" s="1"/>
  <c r="AG47" i="212"/>
  <c r="AG53" i="212" s="1"/>
  <c r="AG82" i="212" s="1"/>
  <c r="AG94" i="212" s="1"/>
  <c r="AG33" i="208"/>
  <c r="AG39" i="208" s="1"/>
  <c r="AG61" i="208" s="1"/>
  <c r="AG71" i="208" s="1"/>
  <c r="BD47" i="214"/>
  <c r="BD53" i="214" s="1"/>
  <c r="BD82" i="214" s="1"/>
  <c r="BD92" i="214" s="1"/>
  <c r="AV47" i="212"/>
  <c r="AV53" i="212" s="1"/>
  <c r="AV82" i="212" s="1"/>
  <c r="AV94" i="212" s="1"/>
  <c r="AF52" i="213"/>
  <c r="AF82" i="213" s="1"/>
  <c r="AF94" i="213" s="1"/>
  <c r="H48" i="199"/>
  <c r="H42" i="199"/>
  <c r="H46" i="199"/>
  <c r="C48" i="199"/>
  <c r="C47" i="199"/>
  <c r="R12" i="199" l="1"/>
  <c r="E3" i="199" l="1"/>
  <c r="E4" i="199" s="1"/>
  <c r="Q14" i="199"/>
  <c r="R11" i="199"/>
  <c r="H36" i="199" l="1"/>
  <c r="W1" i="199"/>
  <c r="S2" i="199"/>
  <c r="T2" i="199"/>
  <c r="W2" i="199"/>
  <c r="U4" i="199"/>
  <c r="W4" i="199"/>
  <c r="S5" i="199"/>
  <c r="T5" i="199"/>
  <c r="U5" i="199"/>
  <c r="S6" i="199"/>
  <c r="T6" i="199"/>
  <c r="R6" i="199"/>
  <c r="R3" i="199"/>
  <c r="R5" i="199"/>
  <c r="R2" i="199"/>
  <c r="R4" i="199"/>
  <c r="R8" i="199"/>
  <c r="F47" i="199"/>
  <c r="D47" i="199"/>
  <c r="D48" i="199"/>
  <c r="F48" i="199"/>
  <c r="E47" i="199"/>
  <c r="E48" i="199"/>
  <c r="Q21" i="199" l="1"/>
  <c r="G47" i="199"/>
  <c r="G48" i="199"/>
  <c r="W11" i="199"/>
  <c r="W15" i="199"/>
  <c r="W16" i="199"/>
  <c r="S22" i="199"/>
  <c r="S26" i="199"/>
  <c r="S34" i="199"/>
  <c r="W34" i="199"/>
  <c r="Z34" i="199"/>
  <c r="C36" i="199"/>
  <c r="G36" i="199"/>
  <c r="B37" i="199"/>
  <c r="C37" i="199"/>
  <c r="R18" i="199"/>
  <c r="D45" i="199"/>
  <c r="F37" i="199"/>
  <c r="F43" i="199"/>
  <c r="D43" i="199"/>
  <c r="F39" i="199"/>
  <c r="D40" i="199"/>
  <c r="E42" i="199"/>
  <c r="D42" i="199"/>
  <c r="F40" i="199"/>
  <c r="F45" i="199"/>
  <c r="E37" i="199"/>
  <c r="E40" i="199"/>
  <c r="D46" i="199"/>
  <c r="E43" i="199"/>
  <c r="E45" i="199"/>
  <c r="E39" i="199"/>
  <c r="S16" i="199"/>
  <c r="D39" i="199"/>
  <c r="D41" i="199"/>
  <c r="F46" i="199"/>
  <c r="F41" i="199"/>
  <c r="F44" i="199"/>
  <c r="E46" i="199"/>
  <c r="F42" i="199"/>
  <c r="D37" i="199"/>
  <c r="E41" i="199"/>
  <c r="D44" i="199"/>
  <c r="G37" i="199" l="1"/>
  <c r="H37" i="199"/>
  <c r="C38" i="199"/>
  <c r="D38" i="199"/>
  <c r="E38" i="199"/>
  <c r="F38" i="199"/>
  <c r="G38" i="199" s="1"/>
  <c r="H38" i="199"/>
  <c r="B39" i="199"/>
  <c r="C39" i="199"/>
  <c r="G39" i="199"/>
  <c r="H39" i="199"/>
  <c r="B40" i="199"/>
  <c r="C40" i="199"/>
  <c r="G40" i="199"/>
  <c r="H40" i="199"/>
  <c r="B41" i="199"/>
  <c r="C41" i="199"/>
  <c r="G41" i="199"/>
  <c r="H41" i="199"/>
  <c r="C42" i="199"/>
  <c r="G42" i="199"/>
  <c r="C43" i="199"/>
  <c r="G43" i="199"/>
  <c r="H43" i="199"/>
  <c r="C44" i="199"/>
  <c r="G44" i="199"/>
  <c r="H44" i="199"/>
  <c r="C45" i="199"/>
  <c r="G45" i="199"/>
  <c r="H45" i="199"/>
  <c r="C46" i="199"/>
  <c r="G46" i="199"/>
  <c r="H47" i="199"/>
  <c r="R17" i="199"/>
  <c r="E44" i="199"/>
  <c r="C49" i="199" l="1"/>
  <c r="H49" i="199"/>
  <c r="G49" i="199"/>
  <c r="I21" i="199" s="1"/>
  <c r="I22" i="199" s="1"/>
  <c r="F36" i="199"/>
  <c r="F49" i="199" l="1"/>
  <c r="H21" i="199" s="1"/>
  <c r="H22" i="199" s="1"/>
  <c r="D36" i="199"/>
  <c r="E36" i="199"/>
  <c r="D49" i="199" l="1"/>
  <c r="F21" i="199" s="1"/>
  <c r="F22" i="199" s="1"/>
  <c r="E49" i="199"/>
  <c r="G21" i="199" s="1"/>
  <c r="G22" i="199" s="1"/>
  <c r="G9" i="71" l="1"/>
  <c r="F9" i="71"/>
  <c r="C9" i="71"/>
  <c r="B9" i="71"/>
  <c r="G8" i="71"/>
  <c r="F8" i="71"/>
  <c r="C8" i="71"/>
  <c r="B8" i="71"/>
  <c r="G6" i="71"/>
  <c r="F6" i="71"/>
  <c r="B6" i="71"/>
  <c r="C6" i="71"/>
  <c r="G7" i="71"/>
  <c r="F7" i="71"/>
  <c r="C7" i="71"/>
  <c r="B7" i="71"/>
  <c r="AW39" i="208"/>
  <c r="AW61" i="208" s="1"/>
  <c r="AD36" i="218" l="1"/>
  <c r="AD64" i="218" s="1"/>
  <c r="AH36" i="219"/>
  <c r="AH77" i="219"/>
  <c r="AH82" i="219"/>
  <c r="AH95" i="219" s="1"/>
  <c r="AD35" i="206"/>
  <c r="AD54" i="206" s="1"/>
  <c r="AF38" i="207"/>
  <c r="AF61" i="207" s="1"/>
  <c r="AF73" i="207" s="1"/>
  <c r="AF71" i="209"/>
  <c r="AF83" i="209" s="1"/>
  <c r="AF44" i="209"/>
  <c r="AW45" i="210"/>
  <c r="AW71" i="210"/>
  <c r="AW81" i="210" s="1"/>
  <c r="AZ45" i="210"/>
  <c r="AZ71" i="210"/>
  <c r="AZ81" i="210" s="1"/>
  <c r="AZ39" i="208"/>
  <c r="AZ61" i="20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Goyal, Mayank (Nokia - IN/Bangalore)</author>
    <author>Rastogi, Alok (Nokia - IN/Bangalore)</author>
    <author>tc={D90F44C2-4367-4F88-BE0B-3BC7B14AF6D5}</author>
  </authors>
  <commentList>
    <comment ref="E9" authorId="0" shapeId="0" xr:uid="{2FE11AC0-13F4-4C90-AEBD-6111ED9258D1}">
      <text>
        <r>
          <rPr>
            <b/>
            <sz val="9"/>
            <color indexed="81"/>
            <rFont val="Tahoma"/>
            <family val="2"/>
          </rPr>
          <t>Goyal, Mayank (Nokia - IN/Bangalore):</t>
        </r>
        <r>
          <rPr>
            <sz val="9"/>
            <color indexed="81"/>
            <rFont val="Tahoma"/>
            <family val="2"/>
          </rPr>
          <t xml:space="preserve">
Removed from NetAct N20</t>
        </r>
      </text>
    </comment>
    <comment ref="E15" authorId="0" shapeId="0" xr:uid="{392571CD-B4A9-4A96-9F14-5F984668699B}">
      <text>
        <r>
          <rPr>
            <b/>
            <sz val="9"/>
            <color indexed="81"/>
            <rFont val="Tahoma"/>
            <family val="2"/>
          </rPr>
          <t>Goyal, Mayank (Nokia - IN/Bangalore):</t>
        </r>
        <r>
          <rPr>
            <sz val="9"/>
            <color indexed="81"/>
            <rFont val="Tahoma"/>
            <family val="2"/>
          </rPr>
          <t xml:space="preserve">
Removed from NetAct N20</t>
        </r>
      </text>
    </comment>
    <comment ref="D20" authorId="1" shapeId="0" xr:uid="{AEEB0F3B-08B1-4647-ABE4-D23484A6350B}">
      <text>
        <r>
          <rPr>
            <b/>
            <sz val="9"/>
            <color indexed="81"/>
            <rFont val="Tahoma"/>
            <family val="2"/>
          </rPr>
          <t>Rastogi, Alok (Nokia - IN/Bangalore):
SP1911 Onwards</t>
        </r>
        <r>
          <rPr>
            <sz val="9"/>
            <color indexed="81"/>
            <rFont val="Tahoma"/>
            <family val="2"/>
          </rPr>
          <t xml:space="preserve">
</t>
        </r>
      </text>
    </comment>
    <comment ref="D21" authorId="2" shapeId="0" xr:uid="{D90F44C2-4367-4F88-BE0B-3BC7B14AF6D5}">
      <text>
        <t>[Threaded comment]
Your version of Excel allows you to read this threaded comment; however, any edits to it will get removed if the file is opened in a newer version of Excel. Learn more: https://go.microsoft.com/fwlink/?linkid=870924
Comment:
    SP2004 Onwards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Jayashree Sundaresan (Nokia)</author>
    <author>Kalkko, Vesa (Nokia - FI/Tampere)</author>
  </authors>
  <commentList>
    <comment ref="J7" authorId="0" shapeId="0" xr:uid="{9061D098-218B-46BD-A0BE-D6E5ACD3B4D5}">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9" authorId="0" shapeId="0" xr:uid="{9054A558-029F-4584-884F-EF3E2F151546}">
      <text>
        <r>
          <rPr>
            <b/>
            <sz val="9"/>
            <color indexed="81"/>
            <rFont val="Tahoma"/>
            <family val="2"/>
          </rPr>
          <t>Avuthu, Charan (EXT - IN/Bangalore):</t>
        </r>
        <r>
          <rPr>
            <sz val="9"/>
            <color indexed="81"/>
            <rFont val="Tahoma"/>
            <family val="2"/>
          </rPr>
          <t xml:space="preserve">
Select the vCSA version</t>
        </r>
      </text>
    </comment>
    <comment ref="L11" authorId="1" shapeId="0" xr:uid="{83C6598E-A829-47CF-8792-DDA9C23E9659}">
      <text>
        <r>
          <rPr>
            <b/>
            <sz val="9"/>
            <color indexed="81"/>
            <rFont val="Tahoma"/>
            <family val="2"/>
          </rPr>
          <t>jarmylly:</t>
        </r>
        <r>
          <rPr>
            <sz val="9"/>
            <color indexed="81"/>
            <rFont val="Tahoma"/>
            <family val="2"/>
          </rPr>
          <t xml:space="preserve">
Contains one disk:
DB_redo: 60825MB</t>
        </r>
      </text>
    </comment>
    <comment ref="N11" authorId="1" shapeId="0" xr:uid="{EEB6D119-F085-4B60-8844-33BA2DAC042D}">
      <text>
        <r>
          <rPr>
            <b/>
            <sz val="9"/>
            <color indexed="81"/>
            <rFont val="Tahoma"/>
            <family val="2"/>
          </rPr>
          <t>jarmylly:</t>
        </r>
        <r>
          <rPr>
            <sz val="9"/>
            <color indexed="81"/>
            <rFont val="Tahoma"/>
            <family val="2"/>
          </rPr>
          <t xml:space="preserve">
Contains one disk, either: 
 DB_data: 1244160MB
</t>
        </r>
      </text>
    </comment>
    <comment ref="P11" authorId="1" shapeId="0" xr:uid="{874B6B68-0441-4F8E-ADD1-4533C2818C95}">
      <text>
        <r>
          <rPr>
            <b/>
            <sz val="9"/>
            <color indexed="81"/>
            <rFont val="Tahoma"/>
            <family val="2"/>
          </rPr>
          <t>jarmylly:</t>
        </r>
        <r>
          <rPr>
            <sz val="9"/>
            <color indexed="81"/>
            <rFont val="Tahoma"/>
            <family val="2"/>
          </rPr>
          <t xml:space="preserve">
Contains one disk:
 DB_arc: 1520640MB
</t>
        </r>
      </text>
    </comment>
    <comment ref="V11" authorId="1" shapeId="0" xr:uid="{606619D4-0CDB-4C43-89BA-0CBAAC4E726F}">
      <text>
        <r>
          <rPr>
            <b/>
            <sz val="9"/>
            <color indexed="81"/>
            <rFont val="Tahoma"/>
            <family val="2"/>
          </rPr>
          <t>jarmylly:</t>
        </r>
        <r>
          <rPr>
            <sz val="9"/>
            <color indexed="81"/>
            <rFont val="Tahoma"/>
            <family val="2"/>
          </rPr>
          <t xml:space="preserve">
Contains one disk:
 DB_backup: 4095000MB
</t>
        </r>
      </text>
    </comment>
    <comment ref="R12" authorId="1" shapeId="0" xr:uid="{4A25929A-A2DC-4991-8AF6-684F51C7E86D}">
      <text>
        <r>
          <rPr>
            <b/>
            <sz val="9"/>
            <color indexed="81"/>
            <rFont val="Tahoma"/>
            <family val="2"/>
          </rPr>
          <t>jarmylly:</t>
        </r>
        <r>
          <rPr>
            <sz val="9"/>
            <color indexed="81"/>
            <rFont val="Tahoma"/>
            <family val="2"/>
          </rPr>
          <t xml:space="preserve">
 Contains three disks:
- NFS global: 281600 MB 
- NFS home: 12288 MB
- NFS WAS dump:25600 MB</t>
        </r>
      </text>
    </comment>
    <comment ref="V12" authorId="1" shapeId="0" xr:uid="{081EFA55-1E0D-4E90-85FB-84C9433F2A5F}">
      <text>
        <r>
          <rPr>
            <b/>
            <sz val="9"/>
            <color indexed="81"/>
            <rFont val="Tahoma"/>
            <family val="2"/>
          </rPr>
          <t>jarmylly:</t>
        </r>
        <r>
          <rPr>
            <sz val="9"/>
            <color indexed="81"/>
            <rFont val="Tahoma"/>
            <family val="2"/>
          </rPr>
          <t xml:space="preserve">
Contains one disk:
- NFS_backup: 230400MB</t>
        </r>
      </text>
    </comment>
    <comment ref="Z19" authorId="2" shapeId="0" xr:uid="{2842E699-976B-4CD2-87C9-D313AD97FBFC}">
      <text>
        <r>
          <rPr>
            <b/>
            <sz val="9"/>
            <color indexed="81"/>
            <rFont val="Tahoma"/>
            <family val="2"/>
          </rPr>
          <t>Thippeswamy, Suresh (Nokia - IN/Bangalore):</t>
        </r>
        <r>
          <rPr>
            <sz val="9"/>
            <color indexed="81"/>
            <rFont val="Tahoma"/>
            <family val="2"/>
          </rPr>
          <t xml:space="preserve">
Contains 1 disk:
adm_disk1: 51200MB</t>
        </r>
      </text>
    </comment>
    <comment ref="AB21" authorId="2" shapeId="0" xr:uid="{F0C5DE05-EF11-4ACF-9DEC-50DE4EB35C9C}">
      <text>
        <r>
          <rPr>
            <b/>
            <sz val="9"/>
            <color indexed="81"/>
            <rFont val="Tahoma"/>
            <family val="2"/>
          </rPr>
          <t>Thippeswamy, Suresh (Nokia - IN/Bangalore):</t>
        </r>
        <r>
          <rPr>
            <sz val="9"/>
            <color indexed="81"/>
            <rFont val="Tahoma"/>
            <family val="2"/>
          </rPr>
          <t xml:space="preserve">
Contains one disk:
isdk_disk1 : 66560MB</t>
        </r>
      </text>
    </comment>
    <comment ref="X25" authorId="1" shapeId="0" xr:uid="{629E4C23-A4BB-48EE-9A54-E14AA68D6A27}">
      <text>
        <r>
          <rPr>
            <b/>
            <sz val="9"/>
            <color indexed="81"/>
            <rFont val="Tahoma"/>
            <family val="2"/>
          </rPr>
          <t>jarmylly:</t>
        </r>
        <r>
          <rPr>
            <sz val="9"/>
            <color indexed="81"/>
            <rFont val="Tahoma"/>
            <family val="2"/>
          </rPr>
          <t xml:space="preserve">
Contains one disk:
- vm66_REP_disk: 46080MB
</t>
        </r>
      </text>
    </comment>
    <comment ref="X26" authorId="1" shapeId="0" xr:uid="{C8FBD0A4-3B4D-4B8E-9097-942B10BA47C7}">
      <text>
        <r>
          <rPr>
            <b/>
            <sz val="9"/>
            <color indexed="81"/>
            <rFont val="Tahoma"/>
            <family val="2"/>
          </rPr>
          <t>jarmylly:</t>
        </r>
        <r>
          <rPr>
            <sz val="9"/>
            <color indexed="81"/>
            <rFont val="Tahoma"/>
            <family val="2"/>
          </rPr>
          <t xml:space="preserve">
Contains one disk:
- vm67_REP_disk: 46080MB</t>
        </r>
      </text>
    </comment>
    <comment ref="AF29" authorId="0" shapeId="0" xr:uid="{828C6611-1596-4A58-BE42-8B868ED97649}">
      <text>
        <r>
          <rPr>
            <b/>
            <sz val="9"/>
            <color indexed="81"/>
            <rFont val="Tahoma"/>
            <family val="2"/>
          </rPr>
          <t>Avuthu, Charan (EXT - IN/Bangalore):</t>
        </r>
        <r>
          <rPr>
            <sz val="9"/>
            <color indexed="81"/>
            <rFont val="Tahoma"/>
            <family val="2"/>
          </rPr>
          <t xml:space="preserve">
Contians one disk:
-kafka_disk1: 122880 MB</t>
        </r>
      </text>
    </comment>
    <comment ref="V32" authorId="3" shapeId="0" xr:uid="{66358291-0391-48D1-83F7-1EDAB82C46D7}">
      <text>
        <r>
          <rPr>
            <b/>
            <sz val="9"/>
            <color indexed="81"/>
            <rFont val="Tahoma"/>
            <family val="2"/>
          </rPr>
          <t>Jayashree Sundaresan (Nokia):</t>
        </r>
        <r>
          <rPr>
            <sz val="9"/>
            <color indexed="81"/>
            <rFont val="Tahoma"/>
            <family val="2"/>
          </rPr>
          <t xml:space="preserve">
Contains one disk
-backup_disk1 : 204800MB</t>
        </r>
      </text>
    </comment>
    <comment ref="AH32" authorId="3" shapeId="0" xr:uid="{08B04B35-B5F5-4D6B-A894-B69C77DF9949}">
      <text>
        <r>
          <rPr>
            <b/>
            <sz val="9"/>
            <color indexed="81"/>
            <rFont val="Tahoma"/>
            <family val="2"/>
          </rPr>
          <t>Jayashree Sundaresan (Nokia):</t>
        </r>
        <r>
          <rPr>
            <sz val="9"/>
            <color indexed="81"/>
            <rFont val="Tahoma"/>
            <family val="2"/>
          </rPr>
          <t xml:space="preserve">
Contains one disk
-niv_disk: 153600</t>
        </r>
      </text>
    </comment>
    <comment ref="R34" authorId="0" shapeId="0" xr:uid="{93698BA0-B28F-4549-8662-ADC5192FA9C0}">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V34" authorId="0" shapeId="0" xr:uid="{0D7FBD03-D2A1-4C19-9C12-622C77125B5C}">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353280 MB</t>
        </r>
      </text>
    </comment>
    <comment ref="AD34" authorId="0" shapeId="0" xr:uid="{67ACA2D8-C4FB-4717-86D0-6EEBB9BDC350}">
      <text>
        <r>
          <rPr>
            <b/>
            <sz val="9"/>
            <color indexed="81"/>
            <rFont val="Tahoma"/>
            <family val="2"/>
          </rPr>
          <t>Avuthu, Charan (EXT - IN/Bangalore):</t>
        </r>
        <r>
          <rPr>
            <sz val="9"/>
            <color indexed="81"/>
            <rFont val="Tahoma"/>
            <family val="2"/>
          </rPr>
          <t xml:space="preserve">
Contains one disk:
- ccr_disk1: 153600MB</t>
        </r>
      </text>
    </comment>
    <comment ref="R35" authorId="0" shapeId="0" xr:uid="{4DA7912B-256C-472C-91A7-054AF5A62902}">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I47" authorId="2" shapeId="0" xr:uid="{69C4CCB9-FB8E-4336-92B2-EC9126CD07C7}">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48" authorId="1" shapeId="0" xr:uid="{0588F6FB-9D1A-469D-B054-B2533DF780CA}">
      <text>
        <r>
          <rPr>
            <b/>
            <sz val="9"/>
            <color indexed="81"/>
            <rFont val="Tahoma"/>
            <family val="2"/>
          </rPr>
          <t>jarmylly:</t>
        </r>
        <r>
          <rPr>
            <sz val="9"/>
            <color indexed="81"/>
            <rFont val="Tahoma"/>
            <family val="2"/>
          </rPr>
          <t xml:space="preserve">
Contains two disks:
- Disk-1: 60GB
- Disk-2: 40GB</t>
        </r>
      </text>
    </comment>
    <comment ref="I49" authorId="1" shapeId="0" xr:uid="{7D25FC23-F2E6-4B7F-B44C-EDACEF5AB0AA}">
      <text>
        <r>
          <rPr>
            <sz val="9"/>
            <color indexed="81"/>
            <rFont val="Tahoma"/>
            <family val="2"/>
          </rPr>
          <t>Contains two disks:
- Disk-1: 60GB
(NOTE: For servers intended for more than 10 concurrent users the recommended size for disk C is Disk-1 size + RAM size.)
- Disk-2: 40GB</t>
        </r>
      </text>
    </comment>
    <comment ref="I50" authorId="1" shapeId="0" xr:uid="{B21E767B-9945-4909-8181-5EE50F7F1BD5}">
      <text>
        <r>
          <rPr>
            <sz val="9"/>
            <color indexed="81"/>
            <rFont val="Tahoma"/>
            <family val="2"/>
          </rPr>
          <t>Contains two disks:
- Disk-1: 80GB
(NOTE: For servers intended for more than 10 concurrent users the recommended size for disk C is Disk-1 size + RAM size.)
- Disk-2: 40GB</t>
        </r>
      </text>
    </comment>
    <comment ref="I51" authorId="1" shapeId="0" xr:uid="{124CE32B-4B32-426B-BFBF-331932B9F492}">
      <text>
        <r>
          <rPr>
            <sz val="9"/>
            <color indexed="81"/>
            <rFont val="Tahoma"/>
            <family val="2"/>
          </rPr>
          <t>Contains two disks:
- Disk-1: 60GB
(NOTE: For servers intended for more than 10 concurrent users the recommended size for disk C is Disk-1 size + RAM size.)
- Disk-2: 40GB</t>
        </r>
      </text>
    </comment>
    <comment ref="I57" authorId="0" shapeId="0" xr:uid="{EA615666-73F2-4423-B3F9-B99FB8E5DD7A}">
      <text>
        <r>
          <rPr>
            <b/>
            <sz val="9"/>
            <color indexed="81"/>
            <rFont val="Tahoma"/>
            <family val="2"/>
          </rPr>
          <t>Avuthu, Charan (EXT - IN/Bangalore):</t>
        </r>
        <r>
          <rPr>
            <sz val="9"/>
            <color indexed="81"/>
            <rFont val="Tahoma"/>
            <family val="2"/>
          </rPr>
          <t xml:space="preserve">
Contains two disks:
- Disk-1: 30GB
- Disk-2: 80GB</t>
        </r>
      </text>
    </comment>
    <comment ref="I61" authorId="4" shapeId="0" xr:uid="{C6EBE4C4-C5E6-42D6-9FB0-4E5B1BDC67FA}">
      <text>
        <r>
          <rPr>
            <b/>
            <sz val="9"/>
            <color indexed="81"/>
            <rFont val="Tahoma"/>
            <family val="2"/>
          </rPr>
          <t>Kalkko, Vesa (Nokia - FI/Tampere):</t>
        </r>
        <r>
          <rPr>
            <sz val="9"/>
            <color indexed="81"/>
            <rFont val="Tahoma"/>
            <family val="2"/>
          </rPr>
          <t xml:space="preserve">
Contains 5 disks:
- rootVG 100GIB
- cmvVG 100GIB
- mssqlVG 100GIB
- dedupVG 70GIB
- indexVG 130GIB</t>
        </r>
      </text>
    </comment>
    <comment ref="B68" authorId="2" shapeId="0" xr:uid="{AFBC1DD3-A4E3-4FC7-8461-05A46952B651}">
      <text>
        <r>
          <rPr>
            <b/>
            <sz val="9"/>
            <color indexed="81"/>
            <rFont val="Tahoma"/>
            <family val="2"/>
          </rPr>
          <t>Thippeswamy, Suresh (Nokia - IN/Bangalore):</t>
        </r>
        <r>
          <rPr>
            <sz val="9"/>
            <color indexed="81"/>
            <rFont val="Tahoma"/>
            <family val="2"/>
          </rPr>
          <t xml:space="preserve">
The datastore(DS) usage is shown considering all optional VMs are deployed. If any optional VM is not deployed, DS usage will be reduced accordingly.</t>
        </r>
      </text>
    </comment>
    <comment ref="B73" authorId="0" shapeId="0" xr:uid="{A988120F-F580-440C-B067-67BE6D0567F2}">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C73" authorId="0" shapeId="0" xr:uid="{53BCEE18-FF5D-4A20-B497-E1AD0C7D5936}">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B75" authorId="3" shapeId="0" xr:uid="{1F0A0663-AC5F-48ED-9BAC-3968CD8EEDC9}">
      <text>
        <r>
          <rPr>
            <b/>
            <sz val="9"/>
            <color indexed="81"/>
            <rFont val="Tahoma"/>
            <family val="2"/>
          </rPr>
          <t>Jayashree Sundaresan (Nokia):</t>
        </r>
        <r>
          <rPr>
            <sz val="9"/>
            <color indexed="81"/>
            <rFont val="Tahoma"/>
            <family val="2"/>
          </rPr>
          <t xml:space="preserve">
-Increase by additional 150GB, If NIV is chosen as optional service in Compute3</t>
        </r>
      </text>
    </comment>
    <comment ref="C75" authorId="3" shapeId="0" xr:uid="{C481AF2E-008F-4C3B-8A8C-F2B90B173A83}">
      <text>
        <r>
          <rPr>
            <b/>
            <sz val="9"/>
            <color indexed="81"/>
            <rFont val="Tahoma"/>
            <family val="2"/>
          </rPr>
          <t>Jayashree Sundaresan (Nokia):</t>
        </r>
        <r>
          <rPr>
            <sz val="9"/>
            <color indexed="81"/>
            <rFont val="Tahoma"/>
            <family val="2"/>
          </rPr>
          <t xml:space="preserve">
-Increase by additional 200GB if NIV is chosen as optional service in Compute3</t>
        </r>
      </text>
    </comment>
    <comment ref="B76" authorId="0" shapeId="0" xr:uid="{0C7252DC-7600-4A35-A447-39112ED0E129}">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76" authorId="0" shapeId="0" xr:uid="{3E1635ED-E443-4969-B4DF-12EEBF64DC7C}">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B77" authorId="4" shapeId="0" xr:uid="{AB7D28F3-425C-4BAB-BC8B-E919A0F10738}">
      <text>
        <r>
          <rPr>
            <b/>
            <sz val="9"/>
            <color indexed="81"/>
            <rFont val="Tahoma"/>
            <family val="2"/>
          </rPr>
          <t>Kalkko, Vesa (Nokia - FI/Tampere):</t>
        </r>
        <r>
          <rPr>
            <sz val="9"/>
            <color indexed="81"/>
            <rFont val="Tahoma"/>
            <family val="2"/>
          </rPr>
          <t xml:space="preserve">
 -Increase by additional 320GB, If LCM+CCR chosen as optional service on Compute1
 -Increase by additional 180GB, If NIV is chosen as optional service on Compute3</t>
        </r>
      </text>
    </comment>
    <comment ref="C77" authorId="4" shapeId="0" xr:uid="{BB741531-518F-4EC0-8EB1-DC7DEDD41CA2}">
      <text>
        <r>
          <rPr>
            <b/>
            <sz val="9"/>
            <color indexed="81"/>
            <rFont val="Tahoma"/>
            <family val="2"/>
          </rPr>
          <t>Kalkko, Vesa (Nokia - FI/Tampere):</t>
        </r>
        <r>
          <rPr>
            <sz val="9"/>
            <color indexed="81"/>
            <rFont val="Tahoma"/>
            <family val="2"/>
          </rPr>
          <t xml:space="preserve">
-Increase by additional 340GB, If LCM+CCR chosen as optional service on Compute1
 -Increase by additional 200GB, If NIV is chosen as optional service on Compute3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Kalkko, Vesa (Nokia - FI/Tampere)</author>
    <author>tc={5AADD2B3-495D-4163-A3FA-BFB98FC7EEEF}</author>
    <author>tc={F62194DB-CF6E-4F5F-ABAC-BF97E4FFD055}</author>
    <author>Vesa Kalkko (Nokia)</author>
  </authors>
  <commentList>
    <comment ref="J7" authorId="0" shapeId="0" xr:uid="{ECFD07D7-CD7B-4115-AFF0-02BC82DC1AB4}">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9" authorId="1" shapeId="0" xr:uid="{22B2C4AC-B9D6-4B1D-8C2B-9E63296469A7}">
      <text>
        <r>
          <rPr>
            <b/>
            <sz val="9"/>
            <color indexed="81"/>
            <rFont val="Tahoma"/>
            <family val="2"/>
          </rPr>
          <t>Thippeswamy, Suresh (Nokia - IN/Bangalore):</t>
        </r>
        <r>
          <rPr>
            <sz val="9"/>
            <color indexed="81"/>
            <rFont val="Tahoma"/>
            <family val="2"/>
          </rPr>
          <t xml:space="preserve">
Select the vCSA version</t>
        </r>
      </text>
    </comment>
    <comment ref="L11" authorId="2" shapeId="0" xr:uid="{B952F6D8-9440-4F2A-8809-F24971E9D840}">
      <text>
        <r>
          <rPr>
            <b/>
            <sz val="9"/>
            <color indexed="81"/>
            <rFont val="Tahoma"/>
            <family val="2"/>
          </rPr>
          <t>jarmylly:</t>
        </r>
        <r>
          <rPr>
            <sz val="9"/>
            <color indexed="81"/>
            <rFont val="Tahoma"/>
            <family val="2"/>
          </rPr>
          <t xml:space="preserve">
Contains one disk:
DB_redo: 60825MB</t>
        </r>
      </text>
    </comment>
    <comment ref="N11" authorId="2" shapeId="0" xr:uid="{1AEE7AC3-89F5-4F1E-897F-E2976AA8F0D2}">
      <text>
        <r>
          <rPr>
            <b/>
            <sz val="9"/>
            <color indexed="81"/>
            <rFont val="Tahoma"/>
            <family val="2"/>
          </rPr>
          <t>jarmylly:</t>
        </r>
        <r>
          <rPr>
            <sz val="9"/>
            <color indexed="81"/>
            <rFont val="Tahoma"/>
            <family val="2"/>
          </rPr>
          <t xml:space="preserve">
Contains one disk, either: 
 DB_data(Std): 691200MB
OR
 DB_data(Extended): 2165760MB</t>
        </r>
      </text>
    </comment>
    <comment ref="P11" authorId="2" shapeId="0" xr:uid="{3386A4D9-2F2F-4496-97F5-54FA12ED3EFD}">
      <text>
        <r>
          <rPr>
            <b/>
            <sz val="9"/>
            <color indexed="81"/>
            <rFont val="Tahoma"/>
            <family val="2"/>
          </rPr>
          <t>jarmylly:</t>
        </r>
        <r>
          <rPr>
            <sz val="9"/>
            <color indexed="81"/>
            <rFont val="Tahoma"/>
            <family val="2"/>
          </rPr>
          <t xml:space="preserve">
Contains one disk:
 DB_arc(Std): 1036800MB
OR
 DB_arc(Extended): 2350080MB</t>
        </r>
      </text>
    </comment>
    <comment ref="X11" authorId="2" shapeId="0" xr:uid="{25574CEB-EE9E-452E-A8F6-9501E6221ABF}">
      <text>
        <r>
          <rPr>
            <b/>
            <sz val="9"/>
            <color indexed="81"/>
            <rFont val="Tahoma"/>
            <family val="2"/>
          </rPr>
          <t>jarmylly:</t>
        </r>
        <r>
          <rPr>
            <sz val="9"/>
            <color indexed="81"/>
            <rFont val="Tahoma"/>
            <family val="2"/>
          </rPr>
          <t xml:space="preserve">
Contains one disk:
 DB_backup(std): 2580480MB
OR
 DB_backup(Extended): 6497280MB
</t>
        </r>
      </text>
    </comment>
    <comment ref="AP11" authorId="3" shapeId="0" xr:uid="{525D48FB-B62C-4380-8289-2B1A3BA2AB15}">
      <text>
        <r>
          <rPr>
            <b/>
            <sz val="9"/>
            <color indexed="81"/>
            <rFont val="Tahoma"/>
            <family val="2"/>
          </rPr>
          <t>Goyal, Mayank (Nokia - IN/Bangalore):</t>
        </r>
        <r>
          <rPr>
            <sz val="9"/>
            <color indexed="81"/>
            <rFont val="Tahoma"/>
            <family val="2"/>
          </rPr>
          <t xml:space="preserve">
Contains one disk:
- db-fb_disk : 2097152MB</t>
        </r>
      </text>
    </comment>
    <comment ref="R12" authorId="2" shapeId="0" xr:uid="{AD429B25-685A-405B-8CE7-226D0D215BE3}">
      <text>
        <r>
          <rPr>
            <b/>
            <sz val="9"/>
            <color indexed="81"/>
            <rFont val="Tahoma"/>
            <family val="2"/>
          </rPr>
          <t>jarmylly:</t>
        </r>
        <r>
          <rPr>
            <sz val="9"/>
            <color indexed="81"/>
            <rFont val="Tahoma"/>
            <family val="2"/>
          </rPr>
          <t xml:space="preserve">
 Contains three disks:
- NFS global: 281600 MB
- NFS home: 12288 MB
- NFS WAS dump:25600 MB</t>
        </r>
      </text>
    </comment>
    <comment ref="T12" authorId="2" shapeId="0" xr:uid="{9B4BC264-6E85-451B-81BF-4A6E46C1622D}">
      <text>
        <r>
          <rPr>
            <b/>
            <sz val="9"/>
            <color indexed="81"/>
            <rFont val="Tahoma"/>
            <family val="2"/>
          </rPr>
          <t>jarmylly:</t>
        </r>
        <r>
          <rPr>
            <sz val="9"/>
            <color indexed="81"/>
            <rFont val="Tahoma"/>
            <family val="2"/>
          </rPr>
          <t xml:space="preserve">
Reserved for customer own data.</t>
        </r>
      </text>
    </comment>
    <comment ref="X12" authorId="2" shapeId="0" xr:uid="{09489683-DC75-49DA-A38B-B33483D3213E}">
      <text>
        <r>
          <rPr>
            <b/>
            <sz val="9"/>
            <color indexed="81"/>
            <rFont val="Tahoma"/>
            <family val="2"/>
          </rPr>
          <t>jarmylly:</t>
        </r>
        <r>
          <rPr>
            <sz val="9"/>
            <color indexed="81"/>
            <rFont val="Tahoma"/>
            <family val="2"/>
          </rPr>
          <t xml:space="preserve">
Contains one disk:
- NFS_backup: 230400MB</t>
        </r>
      </text>
    </comment>
    <comment ref="AB19" authorId="1" shapeId="0" xr:uid="{A51524E0-4FE5-4C45-B811-B7D21A95C597}">
      <text>
        <r>
          <rPr>
            <b/>
            <sz val="9"/>
            <color indexed="81"/>
            <rFont val="Tahoma"/>
            <family val="2"/>
          </rPr>
          <t>Thippeswamy, Suresh (Nokia - IN/Bangalore):</t>
        </r>
        <r>
          <rPr>
            <sz val="9"/>
            <color indexed="81"/>
            <rFont val="Tahoma"/>
            <family val="2"/>
          </rPr>
          <t xml:space="preserve">
Contains 1 disk:
adm_disk1: 51200MB</t>
        </r>
      </text>
    </comment>
    <comment ref="AD21" authorId="1" shapeId="0" xr:uid="{BC6212DD-CA25-465A-ABA5-7989C63B0411}">
      <text>
        <r>
          <rPr>
            <b/>
            <sz val="9"/>
            <color indexed="81"/>
            <rFont val="Tahoma"/>
            <family val="2"/>
          </rPr>
          <t>Thippeswamy, Suresh (Nokia - IN/Bangalore):</t>
        </r>
        <r>
          <rPr>
            <sz val="9"/>
            <color indexed="81"/>
            <rFont val="Tahoma"/>
            <family val="2"/>
          </rPr>
          <t xml:space="preserve">
Contains one disk:
isdk_disk1 : 66560MB</t>
        </r>
      </text>
    </comment>
    <comment ref="Z25" authorId="2" shapeId="0" xr:uid="{663686B9-4B72-4925-87A9-813BA1751170}">
      <text>
        <r>
          <rPr>
            <b/>
            <sz val="9"/>
            <color indexed="81"/>
            <rFont val="Tahoma"/>
            <family val="2"/>
          </rPr>
          <t>jarmylly:</t>
        </r>
        <r>
          <rPr>
            <sz val="9"/>
            <color indexed="81"/>
            <rFont val="Tahoma"/>
            <family val="2"/>
          </rPr>
          <t xml:space="preserve">
Contains one disk:
- vm66_REP_disk: 46080MB
</t>
        </r>
      </text>
    </comment>
    <comment ref="AA25" authorId="4" shapeId="0" xr:uid="{6914E75C-EF5A-4244-8E4D-3276520EE835}">
      <text>
        <r>
          <rPr>
            <b/>
            <sz val="9"/>
            <color indexed="81"/>
            <rFont val="Calibri"/>
            <family val="2"/>
          </rPr>
          <t>Jari Myllymaa:</t>
        </r>
        <r>
          <rPr>
            <sz val="9"/>
            <color indexed="81"/>
            <rFont val="Calibri"/>
            <family val="2"/>
          </rPr>
          <t xml:space="preserve">
PMDatastore can extend 50GB</t>
        </r>
      </text>
    </comment>
    <comment ref="Z26" authorId="2" shapeId="0" xr:uid="{8C0C6753-F030-4EC0-819B-5D21D91E41A0}">
      <text>
        <r>
          <rPr>
            <b/>
            <sz val="9"/>
            <color indexed="81"/>
            <rFont val="Tahoma"/>
            <family val="2"/>
          </rPr>
          <t>jarmylly:</t>
        </r>
        <r>
          <rPr>
            <sz val="9"/>
            <color indexed="81"/>
            <rFont val="Tahoma"/>
            <family val="2"/>
          </rPr>
          <t xml:space="preserve">
Contains one disk:
- vm67_REP_disk: 46080MB</t>
        </r>
      </text>
    </comment>
    <comment ref="AJ29" authorId="0" shapeId="0" xr:uid="{74D9FBA4-9C30-45EF-A665-59D8D93567CE}">
      <text>
        <r>
          <rPr>
            <b/>
            <sz val="9"/>
            <color indexed="81"/>
            <rFont val="Tahoma"/>
            <family val="2"/>
          </rPr>
          <t>Avuthu, Charan (EXT - IN/Bangalore):</t>
        </r>
        <r>
          <rPr>
            <sz val="9"/>
            <color indexed="81"/>
            <rFont val="Tahoma"/>
            <family val="2"/>
          </rPr>
          <t xml:space="preserve">
Contians one disk:
-kafka_disk1: 122880 MB</t>
        </r>
      </text>
    </comment>
    <comment ref="X32" authorId="5" shapeId="0" xr:uid="{64B514D9-D7BB-4D30-838E-6A57EAF0E9FE}">
      <text>
        <r>
          <rPr>
            <b/>
            <sz val="9"/>
            <color indexed="81"/>
            <rFont val="Tahoma"/>
            <family val="2"/>
          </rPr>
          <t>Jayashree Sundaresan (Nokia):</t>
        </r>
        <r>
          <rPr>
            <sz val="9"/>
            <color indexed="81"/>
            <rFont val="Tahoma"/>
            <family val="2"/>
          </rPr>
          <t xml:space="preserve">
Contains one disk:
-backup_disk1: 204800MB</t>
        </r>
      </text>
    </comment>
    <comment ref="AR32" authorId="5" shapeId="0" xr:uid="{7917404E-7E12-4E55-9F28-BE1EB895F828}">
      <text>
        <r>
          <rPr>
            <b/>
            <sz val="9"/>
            <color indexed="81"/>
            <rFont val="Tahoma"/>
            <family val="2"/>
          </rPr>
          <t>Jayashree Sundaresan (Nokia):</t>
        </r>
        <r>
          <rPr>
            <sz val="9"/>
            <color indexed="81"/>
            <rFont val="Tahoma"/>
            <family val="2"/>
          </rPr>
          <t xml:space="preserve">
Contains one disk:
-niv_disk: 153600</t>
        </r>
      </text>
    </comment>
    <comment ref="R34" authorId="0" shapeId="0" xr:uid="{42958BD9-D676-434E-82F3-CB8B33BAE247}">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X34" authorId="0" shapeId="0" xr:uid="{C15407D2-54E0-482C-A32D-30E51B7869B5}">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(If LCM chosen as optional service on Compute1): 353280 MB</t>
        </r>
      </text>
    </comment>
    <comment ref="AH34" authorId="0" shapeId="0" xr:uid="{D80A2DDF-B93E-4976-9D72-44278DC89419}">
      <text>
        <r>
          <rPr>
            <b/>
            <sz val="9"/>
            <color indexed="81"/>
            <rFont val="Tahoma"/>
            <family val="2"/>
          </rPr>
          <t>Avuthu, Charan (EXT - IN/Bangalore):</t>
        </r>
        <r>
          <rPr>
            <sz val="9"/>
            <color indexed="81"/>
            <rFont val="Tahoma"/>
            <family val="2"/>
          </rPr>
          <t xml:space="preserve">
Contains one disk:
- ccr_disk1: 153600MB</t>
        </r>
      </text>
    </comment>
    <comment ref="E44" authorId="6" shapeId="0" xr:uid="{EEDBB0C7-9C98-481B-A170-BF5D02EA9612}">
      <text>
        <r>
          <rPr>
            <b/>
            <sz val="9"/>
            <color indexed="81"/>
            <rFont val="Tahoma"/>
            <family val="2"/>
          </rPr>
          <t>Kalkko, Vesa (Nokia - FI/Tampere):</t>
        </r>
        <r>
          <rPr>
            <sz val="9"/>
            <color indexed="81"/>
            <rFont val="Tahoma"/>
            <family val="2"/>
          </rPr>
          <t xml:space="preserve">
2CPU configurations are also supported</t>
        </r>
      </text>
    </comment>
    <comment ref="E45" authorId="6" shapeId="0" xr:uid="{B454DADF-6421-4A3D-BF08-DC011D89513B}">
      <text>
        <r>
          <rPr>
            <b/>
            <sz val="9"/>
            <color indexed="81"/>
            <rFont val="Tahoma"/>
            <family val="2"/>
          </rPr>
          <t>Kalkko, Vesa (Nokia - FI/Tampere):</t>
        </r>
        <r>
          <rPr>
            <sz val="9"/>
            <color indexed="81"/>
            <rFont val="Tahoma"/>
            <family val="2"/>
          </rPr>
          <t xml:space="preserve">
2CPU configurations are also supported</t>
        </r>
      </text>
    </comment>
    <comment ref="E46" authorId="6" shapeId="0" xr:uid="{1CC3EE31-C226-4F62-B1C8-9F65EABF9FE1}">
      <text>
        <r>
          <rPr>
            <b/>
            <sz val="9"/>
            <color indexed="81"/>
            <rFont val="Tahoma"/>
            <family val="2"/>
          </rPr>
          <t>Kalkko, Vesa (Nokia - FI/Tampere):</t>
        </r>
        <r>
          <rPr>
            <sz val="9"/>
            <color indexed="81"/>
            <rFont val="Tahoma"/>
            <family val="2"/>
          </rPr>
          <t xml:space="preserve">
2CPU configurations are also supported</t>
        </r>
      </text>
    </comment>
    <comment ref="I51" authorId="1" shapeId="0" xr:uid="{1374E344-75F5-423A-B2EA-2E1F5B95B901}">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52" authorId="2" shapeId="0" xr:uid="{68AE69D1-F500-4C2F-A008-951B0BD5E874}">
      <text>
        <r>
          <rPr>
            <b/>
            <sz val="9"/>
            <color indexed="81"/>
            <rFont val="Tahoma"/>
            <family val="2"/>
          </rPr>
          <t>jarmylly:</t>
        </r>
        <r>
          <rPr>
            <sz val="9"/>
            <color indexed="81"/>
            <rFont val="Tahoma"/>
            <family val="2"/>
          </rPr>
          <t xml:space="preserve">
Contains two disks:
- Disk-1: 60GB
- Disk-2: 40GB</t>
        </r>
      </text>
    </comment>
    <comment ref="I53" authorId="2" shapeId="0" xr:uid="{505ABCC9-2D8D-4ED5-9886-A2533B469C9F}">
      <text>
        <r>
          <rPr>
            <sz val="9"/>
            <color indexed="81"/>
            <rFont val="Tahoma"/>
            <family val="2"/>
          </rPr>
          <t>Contains two disks:
- Disk-1: 60GB
(NOTE: For servers intended for more than 10 concurrent users the recommended size for disk C is Disk-1 size + RAM size.)
- Disk-2: 40GB</t>
        </r>
      </text>
    </comment>
    <comment ref="I54" authorId="2" shapeId="0" xr:uid="{AD4F35D6-4F5C-40F7-9F21-325C881068DD}">
      <text>
        <r>
          <rPr>
            <sz val="9"/>
            <color indexed="81"/>
            <rFont val="Tahoma"/>
            <family val="2"/>
          </rPr>
          <t>Contains two disks:
- Disk-1: 80GB
(NOTE: For servers intended for more than 10 concurrent users the recommended size for disk C is Disk-1 size + RAM size.)
- Disk-2: 40GB</t>
        </r>
      </text>
    </comment>
    <comment ref="I55" authorId="2" shapeId="0" xr:uid="{06151829-3645-488A-8B8E-F14325F485ED}">
      <text>
        <r>
          <rPr>
            <b/>
            <sz val="9"/>
            <color indexed="81"/>
            <rFont val="Tahoma"/>
            <family val="2"/>
          </rPr>
          <t>jarmylly:</t>
        </r>
        <r>
          <rPr>
            <sz val="9"/>
            <color indexed="81"/>
            <rFont val="Tahoma"/>
            <family val="2"/>
          </rPr>
          <t xml:space="preserve">
Contains two disks:
- Disk-1: 60GB
- Disk-2: 40GB</t>
        </r>
      </text>
    </comment>
    <comment ref="I56" authorId="2" shapeId="0" xr:uid="{144696AA-0F78-4CA9-88DB-5C9F4EF1FBCF}">
      <text>
        <r>
          <rPr>
            <sz val="9"/>
            <color indexed="81"/>
            <rFont val="Tahoma"/>
            <family val="2"/>
          </rPr>
          <t>Contains two disks:
- Disk-1: 60GB
(NOTE: For servers intended for more than 10 concurrent users the recommended size for disk C is Disk-1 size + RAM size.)
- Disk-2: 40GB</t>
        </r>
      </text>
    </comment>
    <comment ref="I57" authorId="2" shapeId="0" xr:uid="{6E367AC8-625D-45D2-A424-793683151DFB}">
      <text>
        <r>
          <rPr>
            <sz val="9"/>
            <color indexed="81"/>
            <rFont val="Tahoma"/>
            <family val="2"/>
          </rPr>
          <t>Contains two disks:
- Disk-1: 60GB
(NOTE: For servers intended for more than 10 concurrent users the recommended size for disk C is Disk-1 size + RAM size.)
- Disk-2: 40GB</t>
        </r>
      </text>
    </comment>
    <comment ref="I58" authorId="2" shapeId="0" xr:uid="{746B0EB0-C997-4CCC-84D4-F3F54E532DCB}">
      <text>
        <r>
          <rPr>
            <sz val="9"/>
            <color indexed="81"/>
            <rFont val="Tahoma"/>
            <family val="2"/>
          </rPr>
          <t>Contains two disks:
- Disk-1: 80GB
(NOTE: For servers intended for more than 10 concurrent users the recommended size for disk C is Disk-1 size + RAM size.)
- Disk-2: 40GB</t>
        </r>
      </text>
    </comment>
    <comment ref="I64" authorId="2" shapeId="0" xr:uid="{C65D0B63-F8B5-4C5A-B5C1-AABEAEA84916}">
      <text>
        <r>
          <rPr>
            <b/>
            <sz val="9"/>
            <color indexed="81"/>
            <rFont val="Tahoma"/>
            <family val="2"/>
          </rPr>
          <t>jarmylly:</t>
        </r>
        <r>
          <rPr>
            <sz val="9"/>
            <color indexed="81"/>
            <rFont val="Tahoma"/>
            <family val="2"/>
          </rPr>
          <t xml:space="preserve">
Contains two disks:
- Disk-1: 30GB
- Disk-2: 80GB</t>
        </r>
      </text>
    </comment>
    <comment ref="I72" authorId="6" shapeId="0" xr:uid="{433190D0-DB09-48F6-AF99-1577DBD07086}">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73" authorId="1" shapeId="0" xr:uid="{2125D4A9-BD3C-4119-9F37-310FDBB19AAF}">
      <text>
        <r>
          <rPr>
            <b/>
            <sz val="9"/>
            <color indexed="81"/>
            <rFont val="Tahoma"/>
            <family val="2"/>
          </rPr>
          <t>Thippeswamy, Suresh (Nokia - IN/Bangalore):</t>
        </r>
        <r>
          <rPr>
            <sz val="9"/>
            <color indexed="81"/>
            <rFont val="Tahoma"/>
            <family val="2"/>
          </rPr>
          <t xml:space="preserve">
Contains one disk:
    napd_disk1: 102400MB
</t>
        </r>
      </text>
    </comment>
    <comment ref="E91" authorId="2" shapeId="0" xr:uid="{66E9E56E-32AE-4996-B33B-1F38C5646CA9}">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E92" authorId="2" shapeId="0" xr:uid="{25A4ED43-5F54-47AD-981C-EB7DED9FD79E}">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A93" authorId="7" shapeId="0" xr:uid="{5AADD2B3-495D-4163-A3FA-BFB98FC7EEEF}">
      <text>
        <t>[Threaded comment]
Your version of Excel allows you to read this threaded comment; however, any edits to it will get removed if the file is opened in a newer version of Excel. Learn more: https://go.microsoft.com/fwlink/?linkid=870924
Comment:
    SP1911 Onwards</t>
      </text>
    </comment>
    <comment ref="A94" authorId="8" shapeId="0" xr:uid="{F62194DB-CF6E-4F5F-ABAC-BF97E4FFD055}">
      <text>
        <t>[Threaded comment]
Your version of Excel allows you to read this threaded comment; however, any edits to it will get removed if the file is opened in a newer version of Excel. Learn more: https://go.microsoft.com/fwlink/?linkid=870924
Comment:
    SP2004 onwards</t>
      </text>
    </comment>
    <comment ref="B110" authorId="0" shapeId="0" xr:uid="{FC315BED-7F42-4EA1-97EA-61C4ED668446}">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C110" authorId="0" shapeId="0" xr:uid="{C849E203-94F4-481B-82F9-EFF879346BEA}">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B113" authorId="5" shapeId="0" xr:uid="{3819D3CB-194D-4F57-BFA0-756AC7861441}">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13" authorId="5" shapeId="0" xr:uid="{DB9E80B3-C320-495D-A77E-65588EFB131F}">
      <text>
        <r>
          <rPr>
            <sz val="11"/>
            <color theme="1"/>
            <rFont val="Calibri"/>
            <family val="2"/>
            <scheme val="minor"/>
          </rPr>
          <t>Jayashree Sundaresan (Nokia):
- Increase by additional 200GB, If NIV is chosen as a optional service in Compute3.</t>
        </r>
      </text>
    </comment>
    <comment ref="B114" authorId="0" shapeId="0" xr:uid="{BF100441-E5A5-407F-9A2F-869B9A4AEBCB}">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14" authorId="0" shapeId="0" xr:uid="{8A4185CD-130F-4A8E-9BA5-9E6617798322}">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B115" authorId="0" shapeId="0" xr:uid="{1D96C918-1906-4D62-AF1B-043FF03DB9ED}">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15" authorId="0" shapeId="0" xr:uid="{AC8651D0-849E-41D2-8225-3D5AEE25A69B}">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A117" authorId="1" shapeId="0" xr:uid="{C1FECCBB-3E1F-43F5-818D-C5B6694F903C}">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17" authorId="9" shapeId="0" xr:uid="{4CA0DD11-685D-43CB-B895-52240E78153C}">
      <text>
        <r>
          <rPr>
            <sz val="11"/>
            <color theme="1"/>
            <rFont val="Calibri"/>
            <family val="2"/>
            <scheme val="minor"/>
          </rPr>
          <t>Vesa Kalkko (Nokia):
Increase by additional
200 GB, If ANB backup is used</t>
        </r>
      </text>
    </comment>
    <comment ref="C117" authorId="9" shapeId="0" xr:uid="{668A9747-462D-412D-8CF7-A2228BFFC442}">
      <text>
        <r>
          <rPr>
            <sz val="11"/>
            <color theme="1"/>
            <rFont val="Calibri"/>
            <family val="2"/>
            <scheme val="minor"/>
          </rPr>
          <t>Vesa Kalkko (Nokia):
Increase by additional
200 GB, If ANB backup is used</t>
        </r>
      </text>
    </comment>
    <comment ref="A118" authorId="1" shapeId="0" xr:uid="{1A0E7E72-87E3-42BF-A970-F33276F6FE82}">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19" authorId="1" shapeId="0" xr:uid="{F98489E3-8C0B-46AC-B956-D3EFED5F270F}">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Kalkko, Vesa (Nokia - FI/Tampere)</author>
    <author>tc={8A1D2721-1C0A-4AC6-96E4-429461B33C2B}</author>
    <author>tc={2FF51306-62A2-41C5-A5D2-9FA8C7F42F0E}</author>
    <author>Vesa Kalkko (Nokia)</author>
  </authors>
  <commentList>
    <comment ref="J7" authorId="0" shapeId="0" xr:uid="{8B3335BE-C659-4B21-8C82-1920263DA6D5}">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9" authorId="1" shapeId="0" xr:uid="{D16E6C03-A0B8-4676-BD70-3AAC84ECB52E}">
      <text>
        <r>
          <rPr>
            <b/>
            <sz val="9"/>
            <color indexed="81"/>
            <rFont val="Tahoma"/>
            <family val="2"/>
          </rPr>
          <t>Thippeswamy, Suresh (Nokia - IN/Bangalore):</t>
        </r>
        <r>
          <rPr>
            <sz val="9"/>
            <color indexed="81"/>
            <rFont val="Tahoma"/>
            <family val="2"/>
          </rPr>
          <t xml:space="preserve">
Select the vCSA version</t>
        </r>
      </text>
    </comment>
    <comment ref="L11" authorId="2" shapeId="0" xr:uid="{3564560E-52A2-435C-A1A6-71270470E3BB}">
      <text>
        <r>
          <rPr>
            <b/>
            <sz val="9"/>
            <color indexed="81"/>
            <rFont val="Tahoma"/>
            <family val="2"/>
          </rPr>
          <t>jarmylly:</t>
        </r>
        <r>
          <rPr>
            <sz val="9"/>
            <color indexed="81"/>
            <rFont val="Tahoma"/>
            <family val="2"/>
          </rPr>
          <t xml:space="preserve">
Contains one disk:
DB_redo: 60825MB</t>
        </r>
      </text>
    </comment>
    <comment ref="N11" authorId="2" shapeId="0" xr:uid="{D65106FA-B62B-4E4E-A1CD-C258619B634E}">
      <text>
        <r>
          <rPr>
            <b/>
            <sz val="9"/>
            <color indexed="81"/>
            <rFont val="Tahoma"/>
            <family val="2"/>
          </rPr>
          <t>jarmylly:</t>
        </r>
        <r>
          <rPr>
            <sz val="9"/>
            <color indexed="81"/>
            <rFont val="Tahoma"/>
            <family val="2"/>
          </rPr>
          <t xml:space="preserve">
Contains one disk, either: 
- DB_data: 1382400MB
OR
- DB_data: 1900330MB</t>
        </r>
      </text>
    </comment>
    <comment ref="P11" authorId="2" shapeId="0" xr:uid="{D2F5A965-3583-4FF1-85AD-B7DAAD11F806}">
      <text>
        <r>
          <rPr>
            <b/>
            <sz val="9"/>
            <color indexed="81"/>
            <rFont val="Tahoma"/>
            <family val="2"/>
          </rPr>
          <t>jarmylly:</t>
        </r>
        <r>
          <rPr>
            <sz val="9"/>
            <color indexed="81"/>
            <rFont val="Tahoma"/>
            <family val="2"/>
          </rPr>
          <t xml:space="preserve">
Contains one disk:
DB_arc: 2073600MB</t>
        </r>
      </text>
    </comment>
    <comment ref="X11" authorId="2" shapeId="0" xr:uid="{EA36E8F1-02F0-4D7B-8C34-0126BAC1F7A6}">
      <text>
        <r>
          <rPr>
            <b/>
            <sz val="9"/>
            <color indexed="81"/>
            <rFont val="Tahoma"/>
            <family val="2"/>
          </rPr>
          <t>jarmylly:</t>
        </r>
        <r>
          <rPr>
            <sz val="9"/>
            <color indexed="81"/>
            <rFont val="Tahoma"/>
            <family val="2"/>
          </rPr>
          <t xml:space="preserve">
Contains one disk:
- DB_backup: 6013440MB</t>
        </r>
      </text>
    </comment>
    <comment ref="AP11" authorId="3" shapeId="0" xr:uid="{48542AF1-0FA6-491F-8767-741778E68175}">
      <text>
        <r>
          <rPr>
            <b/>
            <sz val="9"/>
            <color indexed="81"/>
            <rFont val="Tahoma"/>
            <family val="2"/>
          </rPr>
          <t>Goyal, Mayank (Nokia - IN/Bangalore):</t>
        </r>
        <r>
          <rPr>
            <sz val="9"/>
            <color indexed="81"/>
            <rFont val="Tahoma"/>
            <family val="2"/>
          </rPr>
          <t xml:space="preserve">
Contains one disk:
- db-fb_disk : 2097152MB</t>
        </r>
      </text>
    </comment>
    <comment ref="R12" authorId="2" shapeId="0" xr:uid="{C0C0EF82-03EA-4A4E-9B00-AF0D06BF24A5}">
      <text>
        <r>
          <rPr>
            <b/>
            <sz val="9"/>
            <color indexed="81"/>
            <rFont val="Tahoma"/>
            <family val="2"/>
          </rPr>
          <t>jarmylly:</t>
        </r>
        <r>
          <rPr>
            <sz val="9"/>
            <color indexed="81"/>
            <rFont val="Tahoma"/>
            <family val="2"/>
          </rPr>
          <t xml:space="preserve">
Contains three disks:
- NFS global: 337920 MB
- NFS home: 18432 MB
- NFS WAS dump:46080 MB</t>
        </r>
      </text>
    </comment>
    <comment ref="T12" authorId="2" shapeId="0" xr:uid="{FE07AB70-E31E-4BF0-97BE-F9CDE6153AFE}">
      <text>
        <r>
          <rPr>
            <b/>
            <sz val="9"/>
            <color indexed="81"/>
            <rFont val="Tahoma"/>
            <family val="2"/>
          </rPr>
          <t>jarmylly:</t>
        </r>
        <r>
          <rPr>
            <sz val="9"/>
            <color indexed="81"/>
            <rFont val="Tahoma"/>
            <family val="2"/>
          </rPr>
          <t xml:space="preserve">
Reserved for customer own data.</t>
        </r>
      </text>
    </comment>
    <comment ref="X12" authorId="2" shapeId="0" xr:uid="{BC5AC051-8E7C-47D3-870F-EA1D7A56179D}">
      <text>
        <r>
          <rPr>
            <b/>
            <sz val="9"/>
            <color indexed="81"/>
            <rFont val="Tahoma"/>
            <family val="2"/>
          </rPr>
          <t>jarmylly:</t>
        </r>
        <r>
          <rPr>
            <sz val="9"/>
            <color indexed="81"/>
            <rFont val="Tahoma"/>
            <family val="2"/>
          </rPr>
          <t xml:space="preserve">
Contains one disk:
- NFS_backup: 304128MB</t>
        </r>
      </text>
    </comment>
    <comment ref="AB19" authorId="1" shapeId="0" xr:uid="{84FF23CC-4319-49C4-85DA-07194E076511}">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B83F6816-342F-429B-A414-5C70D19809CD}">
      <text>
        <r>
          <rPr>
            <b/>
            <sz val="9"/>
            <color indexed="81"/>
            <rFont val="Tahoma"/>
            <family val="2"/>
          </rPr>
          <t>Thippeswamy, Suresh (Nokia - IN/Bangalore):</t>
        </r>
        <r>
          <rPr>
            <sz val="9"/>
            <color indexed="81"/>
            <rFont val="Tahoma"/>
            <family val="2"/>
          </rPr>
          <t xml:space="preserve">
Contains one disk:
isdk_disk1 : 87040MB</t>
        </r>
      </text>
    </comment>
    <comment ref="AD24" authorId="1" shapeId="0" xr:uid="{6EFEB935-1EDF-45CD-872D-F274A99DAEF5}">
      <text>
        <r>
          <rPr>
            <b/>
            <sz val="9"/>
            <color indexed="81"/>
            <rFont val="Tahoma"/>
            <family val="2"/>
          </rPr>
          <t>Thippeswamy, Suresh (Nokia - IN/Bangalore):</t>
        </r>
        <r>
          <rPr>
            <sz val="9"/>
            <color indexed="81"/>
            <rFont val="Tahoma"/>
            <family val="2"/>
          </rPr>
          <t xml:space="preserve">
Contains one disk:
isdk_disk1 : 87040MB</t>
        </r>
      </text>
    </comment>
    <comment ref="Z31" authorId="2" shapeId="0" xr:uid="{1207EBED-F095-419C-81C3-0DA1E2C1B203}">
      <text>
        <r>
          <rPr>
            <b/>
            <sz val="9"/>
            <color indexed="81"/>
            <rFont val="Tahoma"/>
            <family val="2"/>
          </rPr>
          <t>jarmylly:</t>
        </r>
        <r>
          <rPr>
            <sz val="9"/>
            <color indexed="81"/>
            <rFont val="Tahoma"/>
            <family val="2"/>
          </rPr>
          <t xml:space="preserve">
Contains one disk:
- vm66_REP_disk: 46080MB
</t>
        </r>
      </text>
    </comment>
    <comment ref="AA31" authorId="4" shapeId="0" xr:uid="{D80EFB20-22E9-4910-B6B4-59247C884F83}">
      <text>
        <r>
          <rPr>
            <b/>
            <sz val="9"/>
            <color indexed="81"/>
            <rFont val="Calibri"/>
            <family val="2"/>
          </rPr>
          <t>Jari Myllymaa:</t>
        </r>
        <r>
          <rPr>
            <sz val="9"/>
            <color indexed="81"/>
            <rFont val="Calibri"/>
            <family val="2"/>
          </rPr>
          <t xml:space="preserve">
PMDatastore can extend 50GB</t>
        </r>
      </text>
    </comment>
    <comment ref="Z32" authorId="2" shapeId="0" xr:uid="{D8C760EB-8010-4C56-8EFD-D1BFB6175EB4}">
      <text>
        <r>
          <rPr>
            <b/>
            <sz val="9"/>
            <color indexed="81"/>
            <rFont val="Tahoma"/>
            <family val="2"/>
          </rPr>
          <t>jarmylly:</t>
        </r>
        <r>
          <rPr>
            <sz val="9"/>
            <color indexed="81"/>
            <rFont val="Tahoma"/>
            <family val="2"/>
          </rPr>
          <t xml:space="preserve">
Contains one disk:
- vm66_REP_disk: 46080MB
</t>
        </r>
      </text>
    </comment>
    <comment ref="AJ35" authorId="0" shapeId="0" xr:uid="{8968D79F-A526-41C2-8882-BFAFE4235870}">
      <text>
        <r>
          <rPr>
            <b/>
            <sz val="9"/>
            <color indexed="81"/>
            <rFont val="Tahoma"/>
            <family val="2"/>
          </rPr>
          <t>Avuthu, Charan (EXT - IN/Bangalore):</t>
        </r>
        <r>
          <rPr>
            <sz val="9"/>
            <color indexed="81"/>
            <rFont val="Tahoma"/>
            <family val="2"/>
          </rPr>
          <t xml:space="preserve">
Contians one disk:
-kafka_disk1: 122880 MB</t>
        </r>
      </text>
    </comment>
    <comment ref="X38" authorId="5" shapeId="0" xr:uid="{475D940A-7DA0-449D-A596-4EDC0410586D}">
      <text>
        <r>
          <rPr>
            <b/>
            <sz val="9"/>
            <color indexed="81"/>
            <rFont val="Tahoma"/>
            <family val="2"/>
          </rPr>
          <t>Jayashree Sundaresan (Nokia):</t>
        </r>
        <r>
          <rPr>
            <sz val="9"/>
            <color indexed="81"/>
            <rFont val="Tahoma"/>
            <family val="2"/>
          </rPr>
          <t xml:space="preserve">
Contains one disk:
-backup_disk1: 204800MB</t>
        </r>
      </text>
    </comment>
    <comment ref="AR38" authorId="5" shapeId="0" xr:uid="{D19C807E-EBFC-409C-A711-8DBEF37571E4}">
      <text>
        <r>
          <rPr>
            <b/>
            <sz val="9"/>
            <color indexed="81"/>
            <rFont val="Tahoma"/>
            <family val="2"/>
          </rPr>
          <t>Jayashree Sundaresan (Nokia):</t>
        </r>
        <r>
          <rPr>
            <sz val="9"/>
            <color indexed="81"/>
            <rFont val="Tahoma"/>
            <family val="2"/>
          </rPr>
          <t xml:space="preserve">
Contains one disk:
-niv_disk: 153600</t>
        </r>
      </text>
    </comment>
    <comment ref="R40" authorId="0" shapeId="0" xr:uid="{C0492FC8-03F1-4535-B339-6EAA144288FB}">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X40" authorId="0" shapeId="0" xr:uid="{D5F0AC3E-B6EF-4305-B181-44DB1CE83AA8}">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427008 MB</t>
        </r>
      </text>
    </comment>
    <comment ref="AH40" authorId="0" shapeId="0" xr:uid="{0D1F4C7B-A5C0-42A9-A6F0-8E663A5E23D5}">
      <text>
        <r>
          <rPr>
            <b/>
            <sz val="9"/>
            <color indexed="81"/>
            <rFont val="Tahoma"/>
            <family val="2"/>
          </rPr>
          <t>Avuthu, Charan (EXT - IN/Bangalore):</t>
        </r>
        <r>
          <rPr>
            <sz val="9"/>
            <color indexed="81"/>
            <rFont val="Tahoma"/>
            <family val="2"/>
          </rPr>
          <t xml:space="preserve">
Contains one disk:
- ccr_disk1: 153600MB</t>
        </r>
      </text>
    </comment>
    <comment ref="R41" authorId="0" shapeId="0" xr:uid="{FE45B48E-26A9-4209-9F85-2E5B838F4CAA}">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X41" authorId="0" shapeId="0" xr:uid="{771D4A1B-887A-422E-964D-3F2B2EE646A1}">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427008 MB</t>
        </r>
      </text>
    </comment>
    <comment ref="I54" authorId="1" shapeId="0" xr:uid="{6BE9D239-90DB-4FC4-AD7F-B205E0F4197E}">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55" authorId="2" shapeId="0" xr:uid="{12A1D217-2BF1-4F12-8447-9B7EDF46413B}">
      <text>
        <r>
          <rPr>
            <b/>
            <sz val="9"/>
            <color indexed="81"/>
            <rFont val="Tahoma"/>
            <family val="2"/>
          </rPr>
          <t>jarmylly:</t>
        </r>
        <r>
          <rPr>
            <sz val="9"/>
            <color indexed="81"/>
            <rFont val="Tahoma"/>
            <family val="2"/>
          </rPr>
          <t xml:space="preserve">
Contains two disks:
- Disk-1: 60GB
- Disk-2: 40GB</t>
        </r>
      </text>
    </comment>
    <comment ref="I56" authorId="2" shapeId="0" xr:uid="{923724A9-052C-4748-9A2A-829EEB1AAB72}">
      <text>
        <r>
          <rPr>
            <sz val="9"/>
            <color indexed="81"/>
            <rFont val="Tahoma"/>
            <family val="2"/>
          </rPr>
          <t>Contains two disks:
- Disk-1: 60GB
(NOTE: For servers intended for more than 10 concurrent users the recommended size for disk C is Disk-1 size + RAM size.)
- Disk-2: 50GB</t>
        </r>
      </text>
    </comment>
    <comment ref="I57" authorId="2" shapeId="0" xr:uid="{FF442D35-2F57-40D2-986C-D5FF9037E7D6}">
      <text>
        <r>
          <rPr>
            <sz val="9"/>
            <color indexed="81"/>
            <rFont val="Tahoma"/>
            <family val="2"/>
          </rPr>
          <t>Contains two disks:
- Disk-1: 80GB
(NOTE: For servers intended for more than 10 concurrent users the recommended size for disk C is Disk-1 size + RAM size.)
- Disk-2: 40GB</t>
        </r>
      </text>
    </comment>
    <comment ref="I58" authorId="2" shapeId="0" xr:uid="{744BDCB4-D1BA-4F43-A55F-3C7A4A689D84}">
      <text>
        <r>
          <rPr>
            <b/>
            <sz val="9"/>
            <color indexed="81"/>
            <rFont val="Tahoma"/>
            <family val="2"/>
          </rPr>
          <t>jarmylly:</t>
        </r>
        <r>
          <rPr>
            <sz val="9"/>
            <color indexed="81"/>
            <rFont val="Tahoma"/>
            <family val="2"/>
          </rPr>
          <t xml:space="preserve">
Contains two disks:
- Disk-1: 60GB
- Disk-2: 40GB</t>
        </r>
      </text>
    </comment>
    <comment ref="I59" authorId="2" shapeId="0" xr:uid="{1BBB4493-6E20-4E3D-B2C6-2E1961A7C718}">
      <text>
        <r>
          <rPr>
            <sz val="9"/>
            <color indexed="81"/>
            <rFont val="Tahoma"/>
            <family val="2"/>
          </rPr>
          <t>Contains two disks:
- Disk-1: 60GB
(NOTE: For servers intended for more than 10 concurrent users the recommended size for disk C is Disk-1 size + RAM size.)
- Disk-2: 40GB</t>
        </r>
      </text>
    </comment>
    <comment ref="I60" authorId="2" shapeId="0" xr:uid="{B198028D-7CCD-4B7C-B0E1-8DE14EDA200D}">
      <text>
        <r>
          <rPr>
            <sz val="9"/>
            <color indexed="81"/>
            <rFont val="Tahoma"/>
            <family val="2"/>
          </rPr>
          <t>Contains two disks:
- Disk-1: 60GB
(NOTE: For servers intended for more than 10 concurrent users the recommended size for disk C is Disk-1 size + RAM size.)
- Disk-2: 40GB</t>
        </r>
      </text>
    </comment>
    <comment ref="I61" authorId="2" shapeId="0" xr:uid="{0301B090-06BB-42A1-B24F-4E9CC6F7F6EC}">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2" authorId="2" shapeId="0" xr:uid="{04C13716-FC8A-40E2-BD47-89F7C71B942B}">
      <text>
        <r>
          <rPr>
            <b/>
            <sz val="9"/>
            <color indexed="81"/>
            <rFont val="Tahoma"/>
            <family val="2"/>
          </rPr>
          <t>jarmylly:</t>
        </r>
        <r>
          <rPr>
            <sz val="9"/>
            <color indexed="81"/>
            <rFont val="Tahoma"/>
            <family val="2"/>
          </rPr>
          <t xml:space="preserve">
Contains two disks:
- Disk-1: 60GB
(NOTE: For servers intended for more than 10 concurrent users the recommended size for disk C is Disk-1 size + RAM size.)
- Disk-2: 40GB</t>
        </r>
      </text>
    </comment>
    <comment ref="I63" authorId="2" shapeId="0" xr:uid="{1704EEAE-F5BC-4B55-8A3F-92D0D97E870D}">
      <text>
        <r>
          <rPr>
            <sz val="9"/>
            <color indexed="81"/>
            <rFont val="Tahoma"/>
            <family val="2"/>
          </rPr>
          <t>Contains two disks:
- Disk-1: 80GB
(NOTE: For servers intended for more than 10 concurrent users the recommended size for disk C is Disk-1 size + RAM size.)
- Disk-2: 40GB</t>
        </r>
      </text>
    </comment>
    <comment ref="I71" authorId="0" shapeId="0" xr:uid="{E35F9774-E7AE-474F-914A-2BEF34709727}">
      <text>
        <r>
          <rPr>
            <b/>
            <sz val="9"/>
            <color indexed="81"/>
            <rFont val="Tahoma"/>
            <family val="2"/>
          </rPr>
          <t>Avuthu, Charan (EXT - IN/Bangalore):</t>
        </r>
        <r>
          <rPr>
            <sz val="9"/>
            <color indexed="81"/>
            <rFont val="Tahoma"/>
            <family val="2"/>
          </rPr>
          <t xml:space="preserve">
Contains two disks:
- Disk-1: 30GB
- Disk-2: 80GB</t>
        </r>
      </text>
    </comment>
    <comment ref="I80" authorId="6" shapeId="0" xr:uid="{14968454-B8F8-4A10-AEE5-DE24ED996EF9}">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81" authorId="1" shapeId="0" xr:uid="{3D81D6FE-874F-4537-8B92-A7CEF70E649F}">
      <text>
        <r>
          <rPr>
            <b/>
            <sz val="9"/>
            <color indexed="81"/>
            <rFont val="Tahoma"/>
            <family val="2"/>
          </rPr>
          <t>Thippeswamy, Suresh (Nokia - IN/Bangalore):</t>
        </r>
        <r>
          <rPr>
            <sz val="9"/>
            <color indexed="81"/>
            <rFont val="Tahoma"/>
            <family val="2"/>
          </rPr>
          <t xml:space="preserve">
Contains one disk:
    napd_disk1: 153600MB
</t>
        </r>
      </text>
    </comment>
    <comment ref="E99" authorId="2" shapeId="0" xr:uid="{6EFF2F93-C2A1-4F3B-AC34-A4E911176825}">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00" authorId="2" shapeId="0" xr:uid="{E8B71DC7-AEDD-4F7E-8E74-402F0D58CDE4}">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01" authorId="7" shapeId="0" xr:uid="{8A1D2721-1C0A-4AC6-96E4-429461B33C2B}">
      <text>
        <t>[Threaded comment]
Your version of Excel allows you to read this threaded comment; however, any edits to it will get removed if the file is opened in a newer version of Excel. Learn more: https://go.microsoft.com/fwlink/?linkid=870924
Comment:
    SP1911 Onwards</t>
      </text>
    </comment>
    <comment ref="A102" authorId="8" shapeId="0" xr:uid="{2FF51306-62A2-41C5-A5D2-9FA8C7F42F0E}">
      <text>
        <t>[Threaded comment]
Your version of Excel allows you to read this threaded comment; however, any edits to it will get removed if the file is opened in a newer version of Excel. Learn more: https://go.microsoft.com/fwlink/?linkid=870924
Comment:
    SP2004 onwards</t>
      </text>
    </comment>
    <comment ref="B120" authorId="0" shapeId="0" xr:uid="{E92CD801-D0B0-4129-984C-FA325E312D46}">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C120" authorId="0" shapeId="0" xr:uid="{26274276-00B8-4E08-8C1E-B1F504B02522}">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B123" authorId="5" shapeId="0" xr:uid="{B3388486-6D78-4A7B-9806-EA0D46B8F4CF}">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23" authorId="5" shapeId="0" xr:uid="{7D741CF5-1FD2-41FA-AB0F-98FC002DDDC1}">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B124" authorId="0" shapeId="0" xr:uid="{CE7B6D45-51A8-4AA3-8663-A7D2BDBB0AAC}">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24" authorId="0" shapeId="0" xr:uid="{C7467F29-430D-4F5D-ADF2-E637EC81B098}">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B125" authorId="0" shapeId="0" xr:uid="{98148764-24BD-401C-AC37-2B70AFC9020E}">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25" authorId="0" shapeId="0" xr:uid="{5BC30E30-C527-4AA9-BE84-931F62E298C3}">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A127" authorId="1" shapeId="0" xr:uid="{1FFC7D95-16CD-4759-87A7-2B3880B9D296}">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27" authorId="9" shapeId="0" xr:uid="{0B8F44B1-DB25-462D-94D7-2A78F1023435}">
      <text>
        <r>
          <rPr>
            <sz val="11"/>
            <color theme="1"/>
            <rFont val="Calibri"/>
            <family val="2"/>
            <scheme val="minor"/>
          </rPr>
          <t>Vesa Kalkko (Nokia):
Increase by additional
200 GB, If ANB backup is used</t>
        </r>
      </text>
    </comment>
    <comment ref="C127" authorId="9" shapeId="0" xr:uid="{BFC7F0CB-EDA6-49D9-9CA2-74FE9A45BD58}">
      <text>
        <r>
          <rPr>
            <sz val="11"/>
            <color theme="1"/>
            <rFont val="Calibri"/>
            <family val="2"/>
            <scheme val="minor"/>
          </rPr>
          <t>Vesa Kalkko (Nokia):
Increase by additional
200 GB, If ANB backup is used</t>
        </r>
      </text>
    </comment>
    <comment ref="A128" authorId="1" shapeId="0" xr:uid="{B8D9C096-A761-480F-BD50-76B4E7352091}">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29" authorId="1" shapeId="0" xr:uid="{529E7406-A31A-4F73-802B-B707EE60C850}">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Kalkko, Vesa (Nokia - FI/Tampere)</author>
    <author>tc={E378E911-6591-4F0F-8CE4-A779E6A7B005}</author>
    <author>tc={3EE95748-44A4-4AA8-A321-F05D201A613E}</author>
    <author>Vesa Kalkko (Nokia)</author>
  </authors>
  <commentList>
    <comment ref="J7" authorId="0" shapeId="0" xr:uid="{CBC92B99-64D1-4F27-99FF-1125B974F01F}">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9" authorId="1" shapeId="0" xr:uid="{4172BC59-1433-4040-B708-B8275C6C37C1}">
      <text>
        <r>
          <rPr>
            <b/>
            <sz val="9"/>
            <color indexed="81"/>
            <rFont val="Tahoma"/>
            <family val="2"/>
          </rPr>
          <t>Thippeswamy, Suresh (Nokia - IN/Bangalore):</t>
        </r>
        <r>
          <rPr>
            <sz val="9"/>
            <color indexed="81"/>
            <rFont val="Tahoma"/>
            <family val="2"/>
          </rPr>
          <t xml:space="preserve">
Select the vCSA version</t>
        </r>
      </text>
    </comment>
    <comment ref="L11" authorId="1" shapeId="0" xr:uid="{EA60F239-A742-4C4A-9928-273307D3B555}">
      <text>
        <r>
          <rPr>
            <b/>
            <sz val="9"/>
            <color indexed="81"/>
            <rFont val="Tahoma"/>
            <family val="2"/>
          </rPr>
          <t>Thippeswamy, Suresh (Nokia - IN/Bangalore):</t>
        </r>
        <r>
          <rPr>
            <sz val="9"/>
            <color indexed="81"/>
            <rFont val="Tahoma"/>
            <family val="2"/>
          </rPr>
          <t xml:space="preserve">
Db_redo disk size:119800MB</t>
        </r>
      </text>
    </comment>
    <comment ref="N11" authorId="2" shapeId="0" xr:uid="{0ED10F6B-D0B3-40B2-BE1F-9E4CE746C3E6}">
      <text>
        <r>
          <rPr>
            <b/>
            <sz val="9"/>
            <color indexed="81"/>
            <rFont val="Tahoma"/>
            <family val="2"/>
          </rPr>
          <t>jarmylly:</t>
        </r>
        <r>
          <rPr>
            <sz val="9"/>
            <color indexed="81"/>
            <rFont val="Tahoma"/>
            <family val="2"/>
          </rPr>
          <t xml:space="preserve">
Contains one disk, either: 
 DB_data(Std): 2304000MB
OR
 DB_data(Extended): 5667840MB</t>
        </r>
      </text>
    </comment>
    <comment ref="P11" authorId="2" shapeId="0" xr:uid="{CB0FF8DC-B45C-428E-B18A-409118857EDD}">
      <text>
        <r>
          <rPr>
            <b/>
            <sz val="9"/>
            <color indexed="81"/>
            <rFont val="Tahoma"/>
            <family val="2"/>
          </rPr>
          <t>jarmylly:</t>
        </r>
        <r>
          <rPr>
            <sz val="9"/>
            <color indexed="81"/>
            <rFont val="Tahoma"/>
            <family val="2"/>
          </rPr>
          <t xml:space="preserve">
Contains one disk: 
 DB_arc(Std): 3456000MB
OR
 DB_arc(Extended): 4700160MB</t>
        </r>
      </text>
    </comment>
    <comment ref="X11" authorId="2" shapeId="0" xr:uid="{20CD50D6-B6E9-41BC-A195-CB3ACEC2F021}">
      <text>
        <r>
          <rPr>
            <b/>
            <sz val="9"/>
            <color indexed="81"/>
            <rFont val="Tahoma"/>
            <family val="2"/>
          </rPr>
          <t>jarmylly:</t>
        </r>
        <r>
          <rPr>
            <sz val="9"/>
            <color indexed="81"/>
            <rFont val="Tahoma"/>
            <family val="2"/>
          </rPr>
          <t xml:space="preserve">
Contains one disk:
  DB_backup(Std): 10022400MB
OR
 DB_backup(Extended):17003520MB</t>
        </r>
      </text>
    </comment>
    <comment ref="AP11" authorId="3" shapeId="0" xr:uid="{0175BDF2-9EAE-4BE4-A47D-EB5F4C803197}">
      <text>
        <r>
          <rPr>
            <b/>
            <sz val="9"/>
            <color indexed="81"/>
            <rFont val="Tahoma"/>
            <family val="2"/>
          </rPr>
          <t>Goyal, Mayank (Nokia - IN/Bangalore):</t>
        </r>
        <r>
          <rPr>
            <sz val="9"/>
            <color indexed="81"/>
            <rFont val="Tahoma"/>
            <family val="2"/>
          </rPr>
          <t xml:space="preserve">
Contains one disk:
- db-fb_disk : 3145728MB</t>
        </r>
      </text>
    </comment>
    <comment ref="R12" authorId="2" shapeId="0" xr:uid="{C77AC3D7-92A0-4AA0-9F34-81B22BC3D4C5}">
      <text>
        <r>
          <rPr>
            <b/>
            <sz val="9"/>
            <color indexed="81"/>
            <rFont val="Tahoma"/>
            <family val="2"/>
          </rPr>
          <t>jarmylly:</t>
        </r>
        <r>
          <rPr>
            <sz val="9"/>
            <color indexed="81"/>
            <rFont val="Tahoma"/>
            <family val="2"/>
          </rPr>
          <t xml:space="preserve">
Contains three disks:
- NFS global: 450560 MB
- NFS home: 24576 MB
- NFS WAS dump: 87040 MB</t>
        </r>
      </text>
    </comment>
    <comment ref="T12" authorId="2" shapeId="0" xr:uid="{FDDB1492-E6B0-4A0B-A29D-59F0AAF531A3}">
      <text>
        <r>
          <rPr>
            <b/>
            <sz val="9"/>
            <color indexed="81"/>
            <rFont val="Tahoma"/>
            <family val="2"/>
          </rPr>
          <t>jarmylly:</t>
        </r>
        <r>
          <rPr>
            <sz val="9"/>
            <color indexed="81"/>
            <rFont val="Tahoma"/>
            <family val="2"/>
          </rPr>
          <t xml:space="preserve">
Reserved for customer own data.</t>
        </r>
      </text>
    </comment>
    <comment ref="X12" authorId="2" shapeId="0" xr:uid="{B5BEA1D0-065A-4C14-BCA7-3E3F56AF875C}">
      <text>
        <r>
          <rPr>
            <b/>
            <sz val="9"/>
            <color indexed="81"/>
            <rFont val="Tahoma"/>
            <family val="2"/>
          </rPr>
          <t>jarmylly:</t>
        </r>
        <r>
          <rPr>
            <sz val="9"/>
            <color indexed="81"/>
            <rFont val="Tahoma"/>
            <family val="2"/>
          </rPr>
          <t xml:space="preserve">
Contains one disk:
- NFS_backup: 460600MB</t>
        </r>
      </text>
    </comment>
    <comment ref="AB19" authorId="1" shapeId="0" xr:uid="{0D652CB0-D091-4255-97D2-EE9085CD1C54}">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D11995AD-221C-4896-AAC6-9A6FD4518EF0}">
      <text>
        <r>
          <rPr>
            <b/>
            <sz val="9"/>
            <color indexed="81"/>
            <rFont val="Tahoma"/>
            <family val="2"/>
          </rPr>
          <t>Thippeswamy, Suresh (Nokia - IN/Bangalore):</t>
        </r>
        <r>
          <rPr>
            <sz val="9"/>
            <color indexed="81"/>
            <rFont val="Tahoma"/>
            <family val="2"/>
          </rPr>
          <t xml:space="preserve">
Contains one disk:
isdk_disk1 : 87040MB</t>
        </r>
      </text>
    </comment>
    <comment ref="AD24" authorId="1" shapeId="0" xr:uid="{77D83D3D-15CD-41D3-87DD-3FF09B9ACE4D}">
      <text>
        <r>
          <rPr>
            <b/>
            <sz val="9"/>
            <color indexed="81"/>
            <rFont val="Tahoma"/>
            <family val="2"/>
          </rPr>
          <t>Thippeswamy, Suresh (Nokia - IN/Bangalore):</t>
        </r>
        <r>
          <rPr>
            <sz val="9"/>
            <color indexed="81"/>
            <rFont val="Tahoma"/>
            <family val="2"/>
          </rPr>
          <t xml:space="preserve">
Contains one disk:
isdk_disk1 : 87040MB</t>
        </r>
      </text>
    </comment>
    <comment ref="Z35" authorId="2" shapeId="0" xr:uid="{24778893-3A1D-40DD-A2D1-2C5E2A3B86D8}">
      <text>
        <r>
          <rPr>
            <b/>
            <sz val="9"/>
            <color indexed="81"/>
            <rFont val="Tahoma"/>
            <family val="2"/>
          </rPr>
          <t>jarmylly:</t>
        </r>
        <r>
          <rPr>
            <sz val="9"/>
            <color indexed="81"/>
            <rFont val="Tahoma"/>
            <family val="2"/>
          </rPr>
          <t xml:space="preserve">
Contains one disk:
- vm66_REP_disk: 46080MB
</t>
        </r>
      </text>
    </comment>
    <comment ref="AA35" authorId="4" shapeId="0" xr:uid="{6BDDE2D2-CEFA-41F0-9FD9-32D29760A8BF}">
      <text>
        <r>
          <rPr>
            <b/>
            <sz val="9"/>
            <color indexed="81"/>
            <rFont val="Calibri"/>
            <family val="2"/>
          </rPr>
          <t>Jari Myllymaa:</t>
        </r>
        <r>
          <rPr>
            <sz val="9"/>
            <color indexed="81"/>
            <rFont val="Calibri"/>
            <family val="2"/>
          </rPr>
          <t xml:space="preserve">
PMDatastore can extend 50GB</t>
        </r>
      </text>
    </comment>
    <comment ref="Z36" authorId="2" shapeId="0" xr:uid="{4E13E187-0EF8-49A1-A41E-6FD8B6FFDA63}">
      <text>
        <r>
          <rPr>
            <b/>
            <sz val="9"/>
            <color indexed="81"/>
            <rFont val="Tahoma"/>
            <family val="2"/>
          </rPr>
          <t>jarmylly:</t>
        </r>
        <r>
          <rPr>
            <sz val="9"/>
            <color indexed="81"/>
            <rFont val="Tahoma"/>
            <family val="2"/>
          </rPr>
          <t xml:space="preserve">
Contains one disk:
- vm66_REP_disk: 46080MB
</t>
        </r>
      </text>
    </comment>
    <comment ref="Z37" authorId="2" shapeId="0" xr:uid="{5975E3DC-667F-46CA-AEBF-F1C733F513B5}">
      <text>
        <r>
          <rPr>
            <b/>
            <sz val="9"/>
            <color indexed="81"/>
            <rFont val="Tahoma"/>
            <family val="2"/>
          </rPr>
          <t>jarmylly:</t>
        </r>
        <r>
          <rPr>
            <sz val="9"/>
            <color indexed="81"/>
            <rFont val="Tahoma"/>
            <family val="2"/>
          </rPr>
          <t xml:space="preserve">
Contains one disk:
- vm66_REP_disk: 46080MB
</t>
        </r>
      </text>
    </comment>
    <comment ref="Z38" authorId="2" shapeId="0" xr:uid="{0A5F186B-114A-4D3E-9552-8B1E7C33BD5C}">
      <text>
        <r>
          <rPr>
            <b/>
            <sz val="9"/>
            <color indexed="81"/>
            <rFont val="Tahoma"/>
            <family val="2"/>
          </rPr>
          <t>jarmylly:</t>
        </r>
        <r>
          <rPr>
            <sz val="9"/>
            <color indexed="81"/>
            <rFont val="Tahoma"/>
            <family val="2"/>
          </rPr>
          <t xml:space="preserve">
Contains one disk:
- vm66_REP_disk: 46080MB
</t>
        </r>
      </text>
    </comment>
    <comment ref="AJ41" authorId="0" shapeId="0" xr:uid="{2A2BB065-F8A9-4489-880C-B14B73CB3980}">
      <text>
        <r>
          <rPr>
            <b/>
            <sz val="9"/>
            <color indexed="81"/>
            <rFont val="Tahoma"/>
            <family val="2"/>
          </rPr>
          <t>Avuthu, Charan (EXT - IN/Bangalore):</t>
        </r>
        <r>
          <rPr>
            <sz val="9"/>
            <color indexed="81"/>
            <rFont val="Tahoma"/>
            <family val="2"/>
          </rPr>
          <t xml:space="preserve">
Contians one disk:
-kafka_disk1: 122880 MB</t>
        </r>
      </text>
    </comment>
    <comment ref="AJ42" authorId="0" shapeId="0" xr:uid="{A70C1101-94FB-40ED-A15B-934733B674BE}">
      <text>
        <r>
          <rPr>
            <b/>
            <sz val="9"/>
            <color indexed="81"/>
            <rFont val="Tahoma"/>
            <family val="2"/>
          </rPr>
          <t>Avuthu, Charan (EXT - IN/Bangalore):</t>
        </r>
        <r>
          <rPr>
            <sz val="9"/>
            <color indexed="81"/>
            <rFont val="Tahoma"/>
            <family val="2"/>
          </rPr>
          <t xml:space="preserve">
Contians one disk:
-kafka_disk1: 122880 MB</t>
        </r>
      </text>
    </comment>
    <comment ref="AJ43" authorId="0" shapeId="0" xr:uid="{E61CF0A3-4DDE-427E-8712-98BB57AC4E89}">
      <text>
        <r>
          <rPr>
            <b/>
            <sz val="9"/>
            <color indexed="81"/>
            <rFont val="Tahoma"/>
            <family val="2"/>
          </rPr>
          <t>Avuthu, Charan (EXT - IN/Bangalore):</t>
        </r>
        <r>
          <rPr>
            <sz val="9"/>
            <color indexed="81"/>
            <rFont val="Tahoma"/>
            <family val="2"/>
          </rPr>
          <t xml:space="preserve">
Contians one disk:
-kafka_disk1: 122880 MB</t>
        </r>
      </text>
    </comment>
    <comment ref="X46" authorId="5" shapeId="0" xr:uid="{E74F9F38-36D8-4001-B939-001C738FA34D}">
      <text>
        <r>
          <rPr>
            <b/>
            <sz val="9"/>
            <color indexed="81"/>
            <rFont val="Tahoma"/>
            <family val="2"/>
          </rPr>
          <t>Jayashree Sundaresan (Nokia):</t>
        </r>
        <r>
          <rPr>
            <sz val="9"/>
            <color indexed="81"/>
            <rFont val="Tahoma"/>
            <family val="2"/>
          </rPr>
          <t xml:space="preserve">
Contains one disk:
- backup_disk1: 204800MB</t>
        </r>
      </text>
    </comment>
    <comment ref="AR46" authorId="5" shapeId="0" xr:uid="{2A4F6129-7021-41DE-9156-145FD45D682B}">
      <text>
        <r>
          <rPr>
            <b/>
            <sz val="9"/>
            <color indexed="81"/>
            <rFont val="Tahoma"/>
            <family val="2"/>
          </rPr>
          <t>Jayashree Sundaresan (Nokia):</t>
        </r>
        <r>
          <rPr>
            <sz val="9"/>
            <color indexed="81"/>
            <rFont val="Tahoma"/>
            <family val="2"/>
          </rPr>
          <t xml:space="preserve">
Contains one disk:
-niv_disk: 153600</t>
        </r>
      </text>
    </comment>
    <comment ref="R48" authorId="0" shapeId="0" xr:uid="{76267E7E-0A1F-41D2-96DD-AD579507FCB2}">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573440 MB</t>
        </r>
      </text>
    </comment>
    <comment ref="X48" authorId="0" shapeId="0" xr:uid="{374618CA-B2B3-4DAF-BA8A-CEDB2F1A8C39}">
      <text>
        <r>
          <rPr>
            <b/>
            <sz val="9"/>
            <color indexed="81"/>
            <rFont val="Tahoma"/>
            <family val="2"/>
          </rPr>
          <t>Avuthu, Charan (EXT - IN/Bangalore):</t>
        </r>
        <r>
          <rPr>
            <sz val="9"/>
            <color indexed="81"/>
            <rFont val="Tahoma"/>
            <family val="2"/>
          </rPr>
          <t xml:space="preserve">
Contains one disk:
- backup_disk1: 204800MB
Increase in NFS Backup disk on VM5 by 120GB
- NFS_backup (For LCM as optional service on Compute1): 583680 MB</t>
        </r>
      </text>
    </comment>
    <comment ref="AH48" authorId="0" shapeId="0" xr:uid="{3C92F97B-17C4-4549-8434-9E911C5CD34D}">
      <text>
        <r>
          <rPr>
            <b/>
            <sz val="9"/>
            <color indexed="81"/>
            <rFont val="Tahoma"/>
            <family val="2"/>
          </rPr>
          <t>Avuthu, Charan (EXT - IN/Bangalore):</t>
        </r>
        <r>
          <rPr>
            <sz val="9"/>
            <color indexed="81"/>
            <rFont val="Tahoma"/>
            <family val="2"/>
          </rPr>
          <t xml:space="preserve">
Contains one disk:
- ccr_disk1: 153600MB</t>
        </r>
      </text>
    </comment>
    <comment ref="E57" authorId="6" shapeId="0" xr:uid="{DC43485D-2989-4BBB-A77C-8680E44C176F}">
      <text>
        <r>
          <rPr>
            <b/>
            <sz val="9"/>
            <color indexed="81"/>
            <rFont val="Tahoma"/>
            <family val="2"/>
          </rPr>
          <t>Kalkko, Vesa (Nokia - FI/Tampere):</t>
        </r>
        <r>
          <rPr>
            <sz val="9"/>
            <color indexed="81"/>
            <rFont val="Tahoma"/>
            <family val="2"/>
          </rPr>
          <t xml:space="preserve">
2CPU configurations are also supported</t>
        </r>
      </text>
    </comment>
    <comment ref="E58" authorId="6" shapeId="0" xr:uid="{38CB74A5-9B17-4480-BDC5-93070F1AE50E}">
      <text>
        <r>
          <rPr>
            <b/>
            <sz val="9"/>
            <color indexed="81"/>
            <rFont val="Tahoma"/>
            <family val="2"/>
          </rPr>
          <t>Kalkko, Vesa (Nokia - FI/Tampere):</t>
        </r>
        <r>
          <rPr>
            <sz val="9"/>
            <color indexed="81"/>
            <rFont val="Tahoma"/>
            <family val="2"/>
          </rPr>
          <t xml:space="preserve">
2CPU configurations are also supported</t>
        </r>
      </text>
    </comment>
    <comment ref="E59" authorId="6" shapeId="0" xr:uid="{DD558F7A-0B65-4B3B-8D91-4B9CA1F6B25B}">
      <text>
        <r>
          <rPr>
            <b/>
            <sz val="9"/>
            <color indexed="81"/>
            <rFont val="Tahoma"/>
            <family val="2"/>
          </rPr>
          <t>Kalkko, Vesa (Nokia - FI/Tampere):</t>
        </r>
        <r>
          <rPr>
            <sz val="9"/>
            <color indexed="81"/>
            <rFont val="Tahoma"/>
            <family val="2"/>
          </rPr>
          <t xml:space="preserve">
2CPU configurations are also supported</t>
        </r>
      </text>
    </comment>
    <comment ref="I65" authorId="1" shapeId="0" xr:uid="{A386BF61-AE13-4A32-8E47-9AB533F98DAE}">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66" authorId="2" shapeId="0" xr:uid="{A4FEC0C9-BDEF-43C9-B92F-18A0D1E82554}">
      <text>
        <r>
          <rPr>
            <b/>
            <sz val="9"/>
            <color indexed="81"/>
            <rFont val="Tahoma"/>
            <family val="2"/>
          </rPr>
          <t>jarmylly:</t>
        </r>
        <r>
          <rPr>
            <sz val="9"/>
            <color indexed="81"/>
            <rFont val="Tahoma"/>
            <family val="2"/>
          </rPr>
          <t xml:space="preserve">
Contains two disks:
- Disk-1: 60GB
- Disk-2: 40GB</t>
        </r>
      </text>
    </comment>
    <comment ref="I67" authorId="2" shapeId="0" xr:uid="{473E570A-F794-40C5-AC2D-79E961C6B1A2}">
      <text>
        <r>
          <rPr>
            <sz val="9"/>
            <color indexed="81"/>
            <rFont val="Tahoma"/>
            <family val="2"/>
          </rPr>
          <t>Contains two disks:
- Disk-1: 60GB
(NOTE: For servers intended for more than 10 concurrent users the recommended size for disk C is Disk-1 size + RAM size.)
- Disk-2: 50GB</t>
        </r>
      </text>
    </comment>
    <comment ref="I68" authorId="2" shapeId="0" xr:uid="{C57DBC6F-57E7-4D6A-B112-888B0DF15D52}">
      <text>
        <r>
          <rPr>
            <sz val="9"/>
            <color indexed="81"/>
            <rFont val="Tahoma"/>
            <family val="2"/>
          </rPr>
          <t>Contains two disks:
- Disk-1: 80GB
(NOTE: For servers intended for more than 10 concurrent users the recommended size for disk C is Disk-1 size + RAM size.)
- Disk-2: 40GB</t>
        </r>
      </text>
    </comment>
    <comment ref="I69" authorId="2" shapeId="0" xr:uid="{80BDB3C2-13E1-4699-BF45-9FEC039F7283}">
      <text>
        <r>
          <rPr>
            <sz val="9"/>
            <color indexed="81"/>
            <rFont val="Tahoma"/>
            <family val="2"/>
          </rPr>
          <t>Contains two disks:
- Disk-1: 60GB
- Disk-2: 40GB</t>
        </r>
      </text>
    </comment>
    <comment ref="I70" authorId="2" shapeId="0" xr:uid="{21502F01-BCB5-4160-92B5-20A4DF91B12A}">
      <text>
        <r>
          <rPr>
            <sz val="9"/>
            <color indexed="81"/>
            <rFont val="Tahoma"/>
            <family val="2"/>
          </rPr>
          <t>Contains two disks:
- Disk-1: 60GB
(NOTE: For servers intended for more than 10 concurrent users the recommended size for disk C is Disk-1 size + RAM size.)
- Disk-2: 40GB</t>
        </r>
      </text>
    </comment>
    <comment ref="I71" authorId="2" shapeId="0" xr:uid="{6F15210C-E4AC-4C0A-982A-202C893C33DE}">
      <text>
        <r>
          <rPr>
            <sz val="9"/>
            <color indexed="81"/>
            <rFont val="Tahoma"/>
            <family val="2"/>
          </rPr>
          <t>Contains two disks:
- Disk-1: 60GB
(NOTE: For servers intended for more than 10 concurrent users the recommended size for disk C is Disk-1 size + RAM size.)
- Disk-2: 40GB</t>
        </r>
      </text>
    </comment>
    <comment ref="I72" authorId="2" shapeId="0" xr:uid="{AA48921C-0B7D-4E30-BDF8-423883EB2A5E}">
      <text>
        <r>
          <rPr>
            <sz val="9"/>
            <color indexed="81"/>
            <rFont val="Tahoma"/>
            <family val="2"/>
          </rPr>
          <t>Contains two disks:
- Disk-1: 60GB
(NOTE: For servers intended for more than 10 concurrent users the recommended size for disk C is Disk-1 size + RAM size.)
- Disk-2: 40GB</t>
        </r>
      </text>
    </comment>
    <comment ref="I73" authorId="2" shapeId="0" xr:uid="{3467D788-BE78-4EA9-8014-798C6B27D794}">
      <text>
        <r>
          <rPr>
            <sz val="9"/>
            <color indexed="81"/>
            <rFont val="Tahoma"/>
            <family val="2"/>
          </rPr>
          <t>Contains two disks:
- Disk-1: 60GB
(NOTE: For servers intended for more than 10 concurrent users the recommended size for disk C is Disk-1 size + RAM size.)
- Disk-2: 40GB</t>
        </r>
      </text>
    </comment>
    <comment ref="I74" authorId="2" shapeId="0" xr:uid="{36A63FEA-1245-4026-BF67-6FE8C7CA5481}">
      <text>
        <r>
          <rPr>
            <sz val="9"/>
            <color indexed="81"/>
            <rFont val="Tahoma"/>
            <family val="2"/>
          </rPr>
          <t>Contains two disks:
- Disk-1: 60GB
(NOTE: For servers intended for more than 10 concurrent users the recommended size for disk C is Disk-1 size + RAM size.)
- Disk-2: 40GB</t>
        </r>
      </text>
    </comment>
    <comment ref="I75" authorId="2" shapeId="0" xr:uid="{071BC37A-072F-479C-B0AF-3369C4E6CD9B}">
      <text>
        <r>
          <rPr>
            <sz val="9"/>
            <color indexed="81"/>
            <rFont val="Tahoma"/>
            <family val="2"/>
          </rPr>
          <t>Contains two disks:
- Disk-1: 60GB
(NOTE: For servers intended for more than 10 concurrent users the recommended size for disk C is Disk-1 size + RAM size.)
- Disk-2: 40GB</t>
        </r>
      </text>
    </comment>
    <comment ref="I76" authorId="2" shapeId="0" xr:uid="{531BA095-5726-4430-8927-EAEDFC7C08CF}">
      <text>
        <r>
          <rPr>
            <sz val="9"/>
            <color indexed="81"/>
            <rFont val="Tahoma"/>
            <family val="2"/>
          </rPr>
          <t>Contains two disks:
- Disk-1: 60GB
(NOTE: For servers intended for more than 10 concurrent users the recommended size for disk C is Disk-1 size + RAM size.)
- Disk-2: 40GB</t>
        </r>
      </text>
    </comment>
    <comment ref="I77" authorId="2" shapeId="0" xr:uid="{218D7324-CA7E-439B-8C55-E6E646059274}">
      <text>
        <r>
          <rPr>
            <sz val="9"/>
            <color indexed="81"/>
            <rFont val="Tahoma"/>
            <family val="2"/>
          </rPr>
          <t>Contains two disks:
- Disk-1: 80GB
(NOTE: For servers intended for more than 10 concurrent users the recommended size for disk C is Disk-1 size + RAM size.)
- Disk-2: 40GB</t>
        </r>
      </text>
    </comment>
    <comment ref="I78" authorId="2" shapeId="0" xr:uid="{5A3A42E9-73EE-4520-970B-77E8CBEAC5C6}">
      <text>
        <r>
          <rPr>
            <sz val="9"/>
            <color indexed="81"/>
            <rFont val="Tahoma"/>
            <family val="2"/>
          </rPr>
          <t>Contains two disks:
- Disk-1: 60GB
(NOTE: For servers intended for more than 10 concurrent users the recommended size for disk C is Disk-1 size + RAM size.)
- Disk-2: 40GB</t>
        </r>
      </text>
    </comment>
    <comment ref="I86" authorId="2" shapeId="0" xr:uid="{39A4CCB5-9CBA-451B-8233-27819EC6029A}">
      <text>
        <r>
          <rPr>
            <b/>
            <sz val="9"/>
            <color indexed="81"/>
            <rFont val="Tahoma"/>
            <family val="2"/>
          </rPr>
          <t>jarmylly:</t>
        </r>
        <r>
          <rPr>
            <sz val="9"/>
            <color indexed="81"/>
            <rFont val="Tahoma"/>
            <family val="2"/>
          </rPr>
          <t xml:space="preserve">
Contains two disks:
- Disk-1: 30GB
- Disk-2: 80GB</t>
        </r>
      </text>
    </comment>
    <comment ref="I87" authorId="2" shapeId="0" xr:uid="{0872689C-C622-4564-A095-3FD3DB018212}">
      <text>
        <r>
          <rPr>
            <b/>
            <sz val="9"/>
            <color indexed="81"/>
            <rFont val="Tahoma"/>
            <family val="2"/>
          </rPr>
          <t>jarmylly:</t>
        </r>
        <r>
          <rPr>
            <sz val="9"/>
            <color indexed="81"/>
            <rFont val="Tahoma"/>
            <family val="2"/>
          </rPr>
          <t xml:space="preserve">
Contains two disks:
- Disk-1: 30GB
- Disk-2: 80GB</t>
        </r>
      </text>
    </comment>
    <comment ref="I96" authorId="6" shapeId="0" xr:uid="{3AD8A077-1B3F-4A0C-9BE8-40983ADB7885}">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97" authorId="1" shapeId="0" xr:uid="{B810E75E-D108-4C92-AFA5-B06CDA387492}">
      <text>
        <r>
          <rPr>
            <b/>
            <sz val="9"/>
            <color indexed="81"/>
            <rFont val="Tahoma"/>
            <family val="2"/>
          </rPr>
          <t>Thippeswamy, Suresh (Nokia - IN/Bangalore):</t>
        </r>
        <r>
          <rPr>
            <sz val="9"/>
            <color indexed="81"/>
            <rFont val="Tahoma"/>
            <family val="2"/>
          </rPr>
          <t xml:space="preserve">
Contains one disk:
    napd_disk1: 204800MB
</t>
        </r>
      </text>
    </comment>
    <comment ref="E113" authorId="2" shapeId="0" xr:uid="{1827B201-65F3-4F72-A820-09D7F2A095BE}">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14" authorId="2" shapeId="0" xr:uid="{B8841BAE-C0B4-4701-A4BF-120CEAD5456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15" authorId="7" shapeId="0" xr:uid="{E378E911-6591-4F0F-8CE4-A779E6A7B005}">
      <text>
        <t>[Threaded comment]
Your version of Excel allows you to read this threaded comment; however, any edits to it will get removed if the file is opened in a newer version of Excel. Learn more: https://go.microsoft.com/fwlink/?linkid=870924
Comment:
    SP1911 Onwards</t>
      </text>
    </comment>
    <comment ref="A116" authorId="8" shapeId="0" xr:uid="{3EE95748-44A4-4AA8-A321-F05D201A613E}">
      <text>
        <t>[Threaded comment]
Your version of Excel allows you to read this threaded comment; however, any edits to it will get removed if the file is opened in a newer version of Excel. Learn more: https://go.microsoft.com/fwlink/?linkid=870924
Comment:
    SP2004 onwards</t>
      </text>
    </comment>
    <comment ref="B135" authorId="0" shapeId="0" xr:uid="{A9BF38BC-0153-4DD9-B8E4-B0DCA35BC228}">
      <text>
        <r>
          <rPr>
            <b/>
            <sz val="9"/>
            <color indexed="81"/>
            <rFont val="Tahoma"/>
            <family val="2"/>
          </rPr>
          <t>Avuthu, Charan (EXT - IN/Bangalore):</t>
        </r>
        <r>
          <rPr>
            <sz val="9"/>
            <color indexed="81"/>
            <rFont val="Tahoma"/>
            <family val="2"/>
          </rPr>
          <t xml:space="preserve">
-Increase by additional 120GB, If LCM chosen as optional service on Compute1
</t>
        </r>
      </text>
    </comment>
    <comment ref="C135" authorId="0" shapeId="0" xr:uid="{2CDB1B6F-941E-451D-8FBB-2661919CB3C9}">
      <text>
        <r>
          <rPr>
            <b/>
            <sz val="9"/>
            <color indexed="81"/>
            <rFont val="Tahoma"/>
            <family val="2"/>
          </rPr>
          <t>Avuthu, Charan (EXT - IN/Bangalore):</t>
        </r>
        <r>
          <rPr>
            <sz val="9"/>
            <color indexed="81"/>
            <rFont val="Tahoma"/>
            <family val="2"/>
          </rPr>
          <t xml:space="preserve">
-Increase by additional 120GB, If LCM chosen as optional service on Compute1</t>
        </r>
      </text>
    </comment>
    <comment ref="B138" authorId="5" shapeId="0" xr:uid="{E84BA619-3336-4F3D-B065-DBB3B41B1ECD}">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38" authorId="5" shapeId="0" xr:uid="{AFB3093A-8C1C-4B12-8FE4-90000DFFF7A6}">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B139" authorId="0" shapeId="0" xr:uid="{6BC2B810-26D2-483A-A6C3-B4503B135F9A}">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
</t>
        </r>
      </text>
    </comment>
    <comment ref="C139" authorId="0" shapeId="0" xr:uid="{6F1BF890-961E-4329-9ED6-E0B3871F400A}">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B140" authorId="0" shapeId="0" xr:uid="{8BF116E4-C9EF-44CE-BB6F-D6F4DA57ED94}">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
</t>
        </r>
      </text>
    </comment>
    <comment ref="C140" authorId="0" shapeId="0" xr:uid="{D70F9907-B255-461A-9F07-ECF1475D7702}">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A142" authorId="1" shapeId="0" xr:uid="{95784A00-04F9-40D4-AC3D-2ED16CE3C8E3}">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42" authorId="9" shapeId="0" xr:uid="{49F5F594-B532-4020-B011-F989070115F8}">
      <text>
        <r>
          <rPr>
            <sz val="11"/>
            <color theme="1"/>
            <rFont val="Calibri"/>
            <family val="2"/>
            <scheme val="minor"/>
          </rPr>
          <t>Vesa Kalkko (Nokia):
Increase by additional
200 GB, If ANB backup is used</t>
        </r>
      </text>
    </comment>
    <comment ref="C142" authorId="9" shapeId="0" xr:uid="{36740501-B6CA-4280-98ED-548DBA4506F5}">
      <text>
        <r>
          <rPr>
            <sz val="11"/>
            <color theme="1"/>
            <rFont val="Calibri"/>
            <family val="2"/>
            <scheme val="minor"/>
          </rPr>
          <t>Vesa Kalkko (Nokia):
Increase by additional
200 GB, If ANB backup is used</t>
        </r>
      </text>
    </comment>
    <comment ref="A143" authorId="1" shapeId="0" xr:uid="{C8A2E0D7-1B17-4C57-9FBD-91C80E1FD6ED}">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44" authorId="1" shapeId="0" xr:uid="{B56AB67D-D0CD-40C6-987E-10CAD68C2685}">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Kalkko, Vesa (Nokia - FI/Tampere)</author>
    <author>tc={4929A058-C1A5-4F80-9198-5B14C4979AB8}</author>
    <author>tc={82CF9C7D-93C1-4B71-BB14-50F7649DEB8C}</author>
    <author>Vesa Kalkko (Nokia)</author>
  </authors>
  <commentList>
    <comment ref="J7" authorId="0" shapeId="0" xr:uid="{050985BF-79F2-4D0A-B63F-F5F4C023F911}">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9" authorId="1" shapeId="0" xr:uid="{FB7BB89A-A570-4956-B482-3FB7E44EE678}">
      <text>
        <r>
          <rPr>
            <b/>
            <sz val="9"/>
            <color indexed="81"/>
            <rFont val="Tahoma"/>
            <family val="2"/>
          </rPr>
          <t>Thippeswamy, Suresh (Nokia - IN/Bangalore):</t>
        </r>
        <r>
          <rPr>
            <sz val="9"/>
            <color indexed="81"/>
            <rFont val="Tahoma"/>
            <family val="2"/>
          </rPr>
          <t xml:space="preserve">
Select the vCSA version</t>
        </r>
      </text>
    </comment>
    <comment ref="L11" authorId="2" shapeId="0" xr:uid="{4E5B7769-51FF-487B-B29E-9AFE7897018E}">
      <text>
        <r>
          <rPr>
            <b/>
            <sz val="9"/>
            <color indexed="81"/>
            <rFont val="Tahoma"/>
            <family val="2"/>
          </rPr>
          <t>vishek:</t>
        </r>
        <r>
          <rPr>
            <sz val="9"/>
            <color indexed="81"/>
            <rFont val="Tahoma"/>
            <family val="2"/>
          </rPr>
          <t xml:space="preserve">
Contains one disk:
- DB_redo: 471040MB</t>
        </r>
      </text>
    </comment>
    <comment ref="N11" authorId="2" shapeId="0" xr:uid="{86EC06CE-FB7A-429D-AA32-0874B29B48B5}">
      <text>
        <r>
          <rPr>
            <b/>
            <sz val="9"/>
            <color indexed="81"/>
            <rFont val="Tahoma"/>
            <family val="2"/>
          </rPr>
          <t>jarmylly:</t>
        </r>
        <r>
          <rPr>
            <sz val="9"/>
            <color indexed="81"/>
            <rFont val="Tahoma"/>
            <family val="2"/>
          </rPr>
          <t xml:space="preserve">
Contains one disk: 
- DB_data: 8294400MB</t>
        </r>
      </text>
    </comment>
    <comment ref="P11" authorId="2" shapeId="0" xr:uid="{FD14BE02-4F0A-4903-9431-BBF94C1A421B}">
      <text>
        <r>
          <rPr>
            <b/>
            <sz val="9"/>
            <color indexed="81"/>
            <rFont val="Tahoma"/>
            <family val="2"/>
          </rPr>
          <t>jarmylly:</t>
        </r>
        <r>
          <rPr>
            <sz val="9"/>
            <color indexed="81"/>
            <rFont val="Tahoma"/>
            <family val="2"/>
          </rPr>
          <t xml:space="preserve">
Contains one disk: 
- DB_arc: 12441600MB</t>
        </r>
      </text>
    </comment>
    <comment ref="X11" authorId="2" shapeId="0" xr:uid="{538AE81A-8610-43C7-B6E2-ABDAF85D22E3}">
      <text>
        <r>
          <rPr>
            <b/>
            <sz val="9"/>
            <color indexed="81"/>
            <rFont val="Tahoma"/>
            <family val="2"/>
          </rPr>
          <t>jarmylly:</t>
        </r>
        <r>
          <rPr>
            <sz val="9"/>
            <color indexed="81"/>
            <rFont val="Tahoma"/>
            <family val="2"/>
          </rPr>
          <t xml:space="preserve">
Contains one disk:
- DB_backup: 28160000MB</t>
        </r>
      </text>
    </comment>
    <comment ref="AP11" authorId="3" shapeId="0" xr:uid="{C0F31E1F-96F6-4C3A-A846-D511ACC1C422}">
      <text>
        <r>
          <rPr>
            <b/>
            <sz val="9"/>
            <color indexed="81"/>
            <rFont val="Tahoma"/>
            <family val="2"/>
          </rPr>
          <t>Goyal, Mayank (Nokia - IN/Bangalore):</t>
        </r>
        <r>
          <rPr>
            <sz val="9"/>
            <color indexed="81"/>
            <rFont val="Tahoma"/>
            <family val="2"/>
          </rPr>
          <t xml:space="preserve">
Contains one disk:
- db-fb_disk : 6291456MB</t>
        </r>
      </text>
    </comment>
    <comment ref="R12" authorId="2" shapeId="0" xr:uid="{2044BCB7-6543-48A1-AA9E-EA2FE7048276}">
      <text>
        <r>
          <rPr>
            <b/>
            <sz val="9"/>
            <color indexed="81"/>
            <rFont val="Tahoma"/>
            <family val="2"/>
          </rPr>
          <t>jarmylly:</t>
        </r>
        <r>
          <rPr>
            <sz val="9"/>
            <color indexed="81"/>
            <rFont val="Tahoma"/>
            <family val="2"/>
          </rPr>
          <t xml:space="preserve">
Contains three disks:
- NFS global: 717790 MB
- NFS home: 50200 MB
- NFS WAS dump: 87040 MB</t>
        </r>
      </text>
    </comment>
    <comment ref="T12" authorId="2" shapeId="0" xr:uid="{C903523A-D1A6-42E0-B0DA-D3E1BD3DA0D3}">
      <text>
        <r>
          <rPr>
            <b/>
            <sz val="9"/>
            <color indexed="81"/>
            <rFont val="Tahoma"/>
            <family val="2"/>
          </rPr>
          <t>jarmylly:</t>
        </r>
        <r>
          <rPr>
            <sz val="9"/>
            <color indexed="81"/>
            <rFont val="Tahoma"/>
            <family val="2"/>
          </rPr>
          <t xml:space="preserve">
Reserved for customer own data.</t>
        </r>
      </text>
    </comment>
    <comment ref="X12" authorId="2" shapeId="0" xr:uid="{27191786-4F3C-4ED6-8F9E-0DA13EE15A1F}">
      <text>
        <r>
          <rPr>
            <b/>
            <sz val="9"/>
            <color indexed="81"/>
            <rFont val="Tahoma"/>
            <family val="2"/>
          </rPr>
          <t>jarmylly:</t>
        </r>
        <r>
          <rPr>
            <sz val="9"/>
            <color indexed="81"/>
            <rFont val="Tahoma"/>
            <family val="2"/>
          </rPr>
          <t xml:space="preserve">
Contains one disk:
- NFS_backup: 460800MB</t>
        </r>
      </text>
    </comment>
    <comment ref="AB19" authorId="1" shapeId="0" xr:uid="{EF80D0EA-A7F1-4730-A931-DA7C63AAEE36}">
      <text>
        <r>
          <rPr>
            <b/>
            <sz val="9"/>
            <color indexed="81"/>
            <rFont val="Tahoma"/>
            <family val="2"/>
          </rPr>
          <t>Thippeswamy, Suresh (Nokia - IN/Bangalore):</t>
        </r>
        <r>
          <rPr>
            <sz val="9"/>
            <color indexed="81"/>
            <rFont val="Tahoma"/>
            <family val="2"/>
          </rPr>
          <t xml:space="preserve">
Contains 1 disk:
adm_disk1: 51200MB</t>
        </r>
      </text>
    </comment>
    <comment ref="AD23" authorId="1" shapeId="0" xr:uid="{FA552AD7-9079-4726-8770-8F4C16BD98DA}">
      <text>
        <r>
          <rPr>
            <b/>
            <sz val="9"/>
            <color indexed="81"/>
            <rFont val="Tahoma"/>
            <family val="2"/>
          </rPr>
          <t>Thippeswamy, Suresh (Nokia - IN/Bangalore):</t>
        </r>
        <r>
          <rPr>
            <sz val="9"/>
            <color indexed="81"/>
            <rFont val="Tahoma"/>
            <family val="2"/>
          </rPr>
          <t xml:space="preserve">
Contains one disk:
isdk_disk1 : 102400MB</t>
        </r>
      </text>
    </comment>
    <comment ref="AD24" authorId="1" shapeId="0" xr:uid="{0651AF84-C5C3-4590-88CF-FDCB4BDA9CFC}">
      <text>
        <r>
          <rPr>
            <b/>
            <sz val="9"/>
            <color indexed="81"/>
            <rFont val="Tahoma"/>
            <family val="2"/>
          </rPr>
          <t>Thippeswamy, Suresh (Nokia - IN/Bangalore):</t>
        </r>
        <r>
          <rPr>
            <sz val="9"/>
            <color indexed="81"/>
            <rFont val="Tahoma"/>
            <family val="2"/>
          </rPr>
          <t xml:space="preserve">
Contains one disk:
isdk_disk1 : 102400MB</t>
        </r>
      </text>
    </comment>
    <comment ref="Z35" authorId="2" shapeId="0" xr:uid="{CF88DAB7-311F-4907-9570-EA7AE416E763}">
      <text>
        <r>
          <rPr>
            <b/>
            <sz val="9"/>
            <color indexed="81"/>
            <rFont val="Tahoma"/>
            <family val="2"/>
          </rPr>
          <t>jarmylly:</t>
        </r>
        <r>
          <rPr>
            <sz val="9"/>
            <color indexed="81"/>
            <rFont val="Tahoma"/>
            <family val="2"/>
          </rPr>
          <t xml:space="preserve">
Contains one disk:
- vm66_REP_disk: 46080MB
</t>
        </r>
      </text>
    </comment>
    <comment ref="AA35" authorId="4" shapeId="0" xr:uid="{CB31178D-6727-4766-9582-05DAB4FED716}">
      <text>
        <r>
          <rPr>
            <b/>
            <sz val="9"/>
            <color indexed="81"/>
            <rFont val="Calibri"/>
            <family val="2"/>
          </rPr>
          <t>Jari Myllymaa:</t>
        </r>
        <r>
          <rPr>
            <sz val="9"/>
            <color indexed="81"/>
            <rFont val="Calibri"/>
            <family val="2"/>
          </rPr>
          <t xml:space="preserve">
PMDatastore can extend 50GB</t>
        </r>
      </text>
    </comment>
    <comment ref="Z36" authorId="2" shapeId="0" xr:uid="{1994A4E5-AE59-41A3-893D-D8BCBE0BC5E9}">
      <text>
        <r>
          <rPr>
            <b/>
            <sz val="9"/>
            <color indexed="81"/>
            <rFont val="Tahoma"/>
            <family val="2"/>
          </rPr>
          <t>jarmylly:</t>
        </r>
        <r>
          <rPr>
            <sz val="9"/>
            <color indexed="81"/>
            <rFont val="Tahoma"/>
            <family val="2"/>
          </rPr>
          <t xml:space="preserve">
Contains one disk:
- vm66_REP_disk: 46080MB
</t>
        </r>
      </text>
    </comment>
    <comment ref="Z37" authorId="2" shapeId="0" xr:uid="{6A2897BE-B203-4ECD-8032-D8C3B1D7F0AB}">
      <text>
        <r>
          <rPr>
            <b/>
            <sz val="9"/>
            <color indexed="81"/>
            <rFont val="Tahoma"/>
            <family val="2"/>
          </rPr>
          <t>jarmylly:</t>
        </r>
        <r>
          <rPr>
            <sz val="9"/>
            <color indexed="81"/>
            <rFont val="Tahoma"/>
            <family val="2"/>
          </rPr>
          <t xml:space="preserve">
Contains one disk:
- vm66_REP_disk: 46080MB
</t>
        </r>
      </text>
    </comment>
    <comment ref="Z38" authorId="2" shapeId="0" xr:uid="{3BED1155-65BD-4C99-828C-4B5ACAE46185}">
      <text>
        <r>
          <rPr>
            <b/>
            <sz val="9"/>
            <color indexed="81"/>
            <rFont val="Tahoma"/>
            <family val="2"/>
          </rPr>
          <t>jarmylly:</t>
        </r>
        <r>
          <rPr>
            <sz val="9"/>
            <color indexed="81"/>
            <rFont val="Tahoma"/>
            <family val="2"/>
          </rPr>
          <t xml:space="preserve">
Contains one disk:
- vm66_REP_disk: 46080MB
</t>
        </r>
      </text>
    </comment>
    <comment ref="AJ41" authorId="0" shapeId="0" xr:uid="{34B51C13-5C75-4C3E-A215-C898E989F43B}">
      <text>
        <r>
          <rPr>
            <b/>
            <sz val="9"/>
            <color indexed="81"/>
            <rFont val="Tahoma"/>
            <family val="2"/>
          </rPr>
          <t>Avuthu, Charan (EXT - IN/Bangalore):</t>
        </r>
        <r>
          <rPr>
            <sz val="9"/>
            <color indexed="81"/>
            <rFont val="Tahoma"/>
            <family val="2"/>
          </rPr>
          <t xml:space="preserve">
Contians one disk:
-kafka_disk1: 122880 MB</t>
        </r>
      </text>
    </comment>
    <comment ref="AJ42" authorId="0" shapeId="0" xr:uid="{4B85A7CE-929C-45C1-A047-CC41576D3787}">
      <text>
        <r>
          <rPr>
            <b/>
            <sz val="9"/>
            <color indexed="81"/>
            <rFont val="Tahoma"/>
            <family val="2"/>
          </rPr>
          <t>Avuthu, Charan (EXT - IN/Bangalore):</t>
        </r>
        <r>
          <rPr>
            <sz val="9"/>
            <color indexed="81"/>
            <rFont val="Tahoma"/>
            <family val="2"/>
          </rPr>
          <t xml:space="preserve">
Contians one disk:
-kafka_disk1: 122880 MB</t>
        </r>
      </text>
    </comment>
    <comment ref="AJ43" authorId="0" shapeId="0" xr:uid="{AF935892-BF9E-4CD6-A412-528BE3A81832}">
      <text>
        <r>
          <rPr>
            <b/>
            <sz val="9"/>
            <color indexed="81"/>
            <rFont val="Tahoma"/>
            <family val="2"/>
          </rPr>
          <t>Avuthu, Charan (EXT - IN/Bangalore):</t>
        </r>
        <r>
          <rPr>
            <sz val="9"/>
            <color indexed="81"/>
            <rFont val="Tahoma"/>
            <family val="2"/>
          </rPr>
          <t xml:space="preserve">
Contians one disk:
-kafka_disk1: 122880 MB</t>
        </r>
      </text>
    </comment>
    <comment ref="X46" authorId="5" shapeId="0" xr:uid="{2E12E906-94BB-4D10-B8A0-7A985C00B648}">
      <text>
        <r>
          <rPr>
            <b/>
            <sz val="9"/>
            <color indexed="81"/>
            <rFont val="Tahoma"/>
            <family val="2"/>
          </rPr>
          <t>Jayashree Sundaresan (Nokia):</t>
        </r>
        <r>
          <rPr>
            <sz val="9"/>
            <color indexed="81"/>
            <rFont val="Tahoma"/>
            <family val="2"/>
          </rPr>
          <t xml:space="preserve">
Contains one disk:
- backup_disk1: 204800MB</t>
        </r>
      </text>
    </comment>
    <comment ref="AR46" authorId="5" shapeId="0" xr:uid="{5206A8CB-7A7C-4EA7-B0F6-1E7AADF1534B}">
      <text>
        <r>
          <rPr>
            <b/>
            <sz val="9"/>
            <color indexed="81"/>
            <rFont val="Tahoma"/>
            <family val="2"/>
          </rPr>
          <t>Jayashree Sundaresan (Nokia):</t>
        </r>
        <r>
          <rPr>
            <sz val="9"/>
            <color indexed="81"/>
            <rFont val="Tahoma"/>
            <family val="2"/>
          </rPr>
          <t xml:space="preserve">
Contains one disk:
-niv_disk: 153600</t>
        </r>
      </text>
    </comment>
    <comment ref="R48" authorId="0" shapeId="0" xr:uid="{4DD4BB9B-D0AB-4A24-B93E-690F826F45E7}">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840670 MB</t>
        </r>
      </text>
    </comment>
    <comment ref="X48" authorId="0" shapeId="0" xr:uid="{0104B55E-236C-41A1-A1BA-8E4D9B2C58D1}">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583680 MB</t>
        </r>
      </text>
    </comment>
    <comment ref="AH48" authorId="0" shapeId="0" xr:uid="{E8D9E672-FAE9-4EB7-A070-1B8FE1EF5C6C}">
      <text>
        <r>
          <rPr>
            <b/>
            <sz val="9"/>
            <color indexed="81"/>
            <rFont val="Tahoma"/>
            <family val="2"/>
          </rPr>
          <t>Avuthu, Charan (EXT - IN/Bangalore):</t>
        </r>
        <r>
          <rPr>
            <sz val="9"/>
            <color indexed="81"/>
            <rFont val="Tahoma"/>
            <family val="2"/>
          </rPr>
          <t xml:space="preserve">
Contains one disk:
- ccr_disk1: 153600MB</t>
        </r>
      </text>
    </comment>
    <comment ref="I62" authorId="1" shapeId="0" xr:uid="{9C7D49FA-9461-41F5-8CB3-B9E0FCBF3952}">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63" authorId="2" shapeId="0" xr:uid="{E46E5E40-D435-4C05-AD87-58B5BDDDE9B6}">
      <text>
        <r>
          <rPr>
            <b/>
            <sz val="9"/>
            <color indexed="81"/>
            <rFont val="Tahoma"/>
            <family val="2"/>
          </rPr>
          <t>jarmylly:</t>
        </r>
        <r>
          <rPr>
            <sz val="9"/>
            <color indexed="81"/>
            <rFont val="Tahoma"/>
            <family val="2"/>
          </rPr>
          <t xml:space="preserve">
Contains two disks:
- Disk-1: 60GB
- Disk-2: 40GB</t>
        </r>
      </text>
    </comment>
    <comment ref="I64" authorId="2" shapeId="0" xr:uid="{23CF7547-9218-4448-B0FF-2BFDAC8B407D}">
      <text>
        <r>
          <rPr>
            <sz val="9"/>
            <color indexed="81"/>
            <rFont val="Tahoma"/>
            <family val="2"/>
          </rPr>
          <t>Contains two disks:
- Disk-1: 60GB
(NOTE: For servers intended for more than 10 concurrent users the recommended size for disk C is Disk-1 size + RAM size.)
- Disk-2: 50GB</t>
        </r>
      </text>
    </comment>
    <comment ref="I65" authorId="2" shapeId="0" xr:uid="{E407028F-A265-41C3-8FB9-A75337B17AF2}">
      <text>
        <r>
          <rPr>
            <sz val="9"/>
            <color indexed="81"/>
            <rFont val="Tahoma"/>
            <family val="2"/>
          </rPr>
          <t>Contains two disks:
- Disk-1: 80GB
(NOTE: For servers intended for more than 10 concurrent users the recommended size for disk C is Disk-1 size + RAM size.)
- Disk-2: 40GB</t>
        </r>
      </text>
    </comment>
    <comment ref="I66" authorId="2" shapeId="0" xr:uid="{002CF34A-A948-49CD-8D7D-B9460EAEDF54}">
      <text>
        <r>
          <rPr>
            <b/>
            <sz val="9"/>
            <color indexed="81"/>
            <rFont val="Tahoma"/>
            <family val="2"/>
          </rPr>
          <t>jarmylly:</t>
        </r>
        <r>
          <rPr>
            <sz val="9"/>
            <color indexed="81"/>
            <rFont val="Tahoma"/>
            <family val="2"/>
          </rPr>
          <t xml:space="preserve">
Contains two disks:
- Disk-1: 60GB
- Disk-2: 40GB</t>
        </r>
      </text>
    </comment>
    <comment ref="I67" authorId="2" shapeId="0" xr:uid="{84D24652-90B2-4007-B681-7125D1F02B90}">
      <text>
        <r>
          <rPr>
            <sz val="9"/>
            <color indexed="81"/>
            <rFont val="Tahoma"/>
            <family val="2"/>
          </rPr>
          <t>Contains two disks:
- Disk-1: 60GB
(NOTE: For servers intended for more than 10 concurrent users the recommended size for disk C is Disk-1 size + RAM size.)
- Disk-2: 40GB</t>
        </r>
      </text>
    </comment>
    <comment ref="I68" authorId="2" shapeId="0" xr:uid="{6D028862-F7E8-49AB-9B8C-46C69869AB0C}">
      <text>
        <r>
          <rPr>
            <sz val="9"/>
            <color indexed="81"/>
            <rFont val="Tahoma"/>
            <family val="2"/>
          </rPr>
          <t>Contains two disks:
- Disk-1: 60GB
(NOTE: For servers intended for more than 10 concurrent users the recommended size for disk C is Disk-1 size + RAM size.)
- Disk-2: 40GB</t>
        </r>
      </text>
    </comment>
    <comment ref="I69" authorId="2" shapeId="0" xr:uid="{3CC1873C-AEA6-47B6-A353-642FA12FDE66}">
      <text>
        <r>
          <rPr>
            <sz val="9"/>
            <color indexed="81"/>
            <rFont val="Tahoma"/>
            <family val="2"/>
          </rPr>
          <t>Contains two disks:
- Disk-1: 60GB
(NOTE: For servers intended for more than 10 concurrent users the recommended size for disk C is Disk-1 size + RAM size.)
- Disk-2: 40GB</t>
        </r>
      </text>
    </comment>
    <comment ref="I70" authorId="2" shapeId="0" xr:uid="{3A74970A-16B8-44AC-85B3-F3799614EF16}">
      <text>
        <r>
          <rPr>
            <sz val="9"/>
            <color indexed="81"/>
            <rFont val="Tahoma"/>
            <family val="2"/>
          </rPr>
          <t>Contains two disks:
- Disk-1: 60GB
(NOTE: For servers intended for more than 10 concurrent users the recommended size for disk C is Disk-1 size + RAM size.)
- Disk-2: 40GB</t>
        </r>
      </text>
    </comment>
    <comment ref="I71" authorId="2" shapeId="0" xr:uid="{4FC85390-48BB-4B33-8740-0C17F5A7B8B0}">
      <text>
        <r>
          <rPr>
            <sz val="9"/>
            <color indexed="81"/>
            <rFont val="Tahoma"/>
            <family val="2"/>
          </rPr>
          <t>Contains two disks:
- Disk-1: 60GB
(NOTE: For servers intended for more than 10 concurrent users the recommended size for disk C is Disk-1 size + RAM size.)
- Disk-2: 40GB</t>
        </r>
      </text>
    </comment>
    <comment ref="I72" authorId="2" shapeId="0" xr:uid="{805D6507-B47B-40E6-B4DE-54C9AE70C348}">
      <text>
        <r>
          <rPr>
            <sz val="9"/>
            <color indexed="81"/>
            <rFont val="Tahoma"/>
            <family val="2"/>
          </rPr>
          <t>Contains two disks:
- Disk-1: 60GB
(NOTE: For servers intended for more than 10 concurrent users the recommended size for disk C is Disk-1 size + RAM size.)
- Disk-2: 40GB</t>
        </r>
      </text>
    </comment>
    <comment ref="I73" authorId="2" shapeId="0" xr:uid="{1A21B173-B554-423B-BF6C-96FE1AC7A59A}">
      <text>
        <r>
          <rPr>
            <sz val="9"/>
            <color indexed="81"/>
            <rFont val="Tahoma"/>
            <family val="2"/>
          </rPr>
          <t>Contains two disks:
- Disk-1: 60GB
(NOTE: For servers intended for more than 10 concurrent users the recommended size for disk C is Disk-1 size + RAM size.)
- Disk-2: 40GB</t>
        </r>
      </text>
    </comment>
    <comment ref="I74" authorId="2" shapeId="0" xr:uid="{A12529FE-6347-434F-9AC1-D28E8CB425EE}">
      <text>
        <r>
          <rPr>
            <sz val="9"/>
            <color indexed="81"/>
            <rFont val="Tahoma"/>
            <family val="2"/>
          </rPr>
          <t>Contains two disks:
- Disk-1: 80GB
(NOTE: For servers intended for more than 10 concurrent users the recommended size for disk C is Disk-1 size + RAM size.)
- Disk-2: 40GB</t>
        </r>
      </text>
    </comment>
    <comment ref="I75" authorId="2" shapeId="0" xr:uid="{525EF944-B580-40C5-A335-F64223579242}">
      <text>
        <r>
          <rPr>
            <sz val="9"/>
            <color indexed="81"/>
            <rFont val="Tahoma"/>
            <family val="2"/>
          </rPr>
          <t>Contains two disks:
- Disk-1: 60GB
(NOTE: For servers intended for more than 10 concurrent users the recommended size for disk C is Disk-1 size + RAM size.)
- Disk-2: 40GB</t>
        </r>
      </text>
    </comment>
    <comment ref="I83" authorId="2" shapeId="0" xr:uid="{F29025B9-34A2-4D89-87A1-D96330635BC2}">
      <text>
        <r>
          <rPr>
            <b/>
            <sz val="9"/>
            <color indexed="81"/>
            <rFont val="Tahoma"/>
            <family val="2"/>
          </rPr>
          <t>jarmylly:</t>
        </r>
        <r>
          <rPr>
            <sz val="9"/>
            <color indexed="81"/>
            <rFont val="Tahoma"/>
            <family val="2"/>
          </rPr>
          <t xml:space="preserve">
Contains two disks:
- Disk-1: 30GB
- Disk-2: 80GB</t>
        </r>
      </text>
    </comment>
    <comment ref="I84" authorId="2" shapeId="0" xr:uid="{9BD94C37-B967-4E32-A0B0-1205FB514449}">
      <text>
        <r>
          <rPr>
            <b/>
            <sz val="9"/>
            <color indexed="81"/>
            <rFont val="Tahoma"/>
            <family val="2"/>
          </rPr>
          <t>jarmylly:</t>
        </r>
        <r>
          <rPr>
            <sz val="9"/>
            <color indexed="81"/>
            <rFont val="Tahoma"/>
            <family val="2"/>
          </rPr>
          <t xml:space="preserve">
Contains two disks:
- Disk-1: 30GB
- Disk-2: 80GB</t>
        </r>
      </text>
    </comment>
    <comment ref="I93" authorId="6" shapeId="0" xr:uid="{A8CC1302-E283-4A61-880F-3F18A12D245E}">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94" authorId="1" shapeId="0" xr:uid="{1BD0DE41-D47A-41B9-955B-95C41DA0295D}">
      <text>
        <r>
          <rPr>
            <b/>
            <sz val="9"/>
            <color indexed="81"/>
            <rFont val="Tahoma"/>
            <family val="2"/>
          </rPr>
          <t>Thippeswamy, Suresh (Nokia - IN/Bangalore):</t>
        </r>
        <r>
          <rPr>
            <sz val="9"/>
            <color indexed="81"/>
            <rFont val="Tahoma"/>
            <family val="2"/>
          </rPr>
          <t xml:space="preserve">
Contains one disk:
    napd_disk1: 204800MB
</t>
        </r>
      </text>
    </comment>
    <comment ref="E110" authorId="2" shapeId="0" xr:uid="{E3EC2F83-D34D-4C51-8D10-DECDDC743A7C}">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11" authorId="2" shapeId="0" xr:uid="{433D17DF-87AD-48A4-AC90-DA8B6A4092AC}">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12" authorId="7" shapeId="0" xr:uid="{4929A058-C1A5-4F80-9198-5B14C4979AB8}">
      <text>
        <t>[Threaded comment]
Your version of Excel allows you to read this threaded comment; however, any edits to it will get removed if the file is opened in a newer version of Excel. Learn more: https://go.microsoft.com/fwlink/?linkid=870924
Comment:
    SP1911 Onwards</t>
      </text>
    </comment>
    <comment ref="A113" authorId="8" shapeId="0" xr:uid="{82CF9C7D-93C1-4B71-BB14-50F7649DEB8C}">
      <text>
        <t>[Threaded comment]
Your version of Excel allows you to read this threaded comment; however, any edits to it will get removed if the file is opened in a newer version of Excel. Learn more: https://go.microsoft.com/fwlink/?linkid=870924
Comment:
    SP2004 onwards</t>
      </text>
    </comment>
    <comment ref="B131" authorId="0" shapeId="0" xr:uid="{B3A271E5-6B39-4EF8-A04A-37566FC932BA}">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C131" authorId="0" shapeId="0" xr:uid="{8C4FB0EB-5C5A-4A88-927F-88A9B2C225F1}">
      <text>
        <r>
          <rPr>
            <b/>
            <sz val="9"/>
            <color indexed="81"/>
            <rFont val="Tahoma"/>
            <family val="2"/>
          </rPr>
          <t>Avuthu, Charan (EXT - IN/Bangalore):</t>
        </r>
        <r>
          <rPr>
            <sz val="9"/>
            <color indexed="81"/>
            <rFont val="Tahoma"/>
            <family val="2"/>
          </rPr>
          <t xml:space="preserve">
-Increase by additional 120GB, For LCM as optional service on Compute1</t>
        </r>
      </text>
    </comment>
    <comment ref="B134" authorId="5" shapeId="0" xr:uid="{3174B1B3-40D7-4B41-B9E0-4D1927684EAD}">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34" authorId="5" shapeId="0" xr:uid="{11EB8CAA-827A-45AA-8292-058FE6EC0C48}">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B135" authorId="0" shapeId="0" xr:uid="{629DB316-775A-4E2C-9DFA-8F328E402717}">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35" authorId="0" shapeId="0" xr:uid="{D060C71B-299C-4302-B29F-6F2032B01F89}">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B136" authorId="0" shapeId="0" xr:uid="{C6F20F20-3A90-471A-9B00-C6F1E415C5DB}">
      <text>
        <r>
          <rPr>
            <b/>
            <sz val="9"/>
            <color indexed="81"/>
            <rFont val="Tahoma"/>
            <family val="2"/>
          </rPr>
          <t>Avuthu, Charan (EXT - IN/Bangalore):</t>
        </r>
        <r>
          <rPr>
            <sz val="9"/>
            <color indexed="81"/>
            <rFont val="Tahoma"/>
            <family val="2"/>
          </rPr>
          <t xml:space="preserve">
-Increase by additional 320GB, If LCM+CCR chosen as optional service on Compute1
 -Increase by additional 180GB, If NIV is chosen as optional service on Compute3</t>
        </r>
      </text>
    </comment>
    <comment ref="C136" authorId="0" shapeId="0" xr:uid="{F259D9EF-76AB-4E02-BB38-B109EF6915C9}">
      <text>
        <r>
          <rPr>
            <b/>
            <sz val="9"/>
            <color indexed="81"/>
            <rFont val="Tahoma"/>
            <family val="2"/>
          </rPr>
          <t>Avuthu, Charan (EXT - IN/Bangalore):</t>
        </r>
        <r>
          <rPr>
            <sz val="9"/>
            <color indexed="81"/>
            <rFont val="Tahoma"/>
            <family val="2"/>
          </rPr>
          <t xml:space="preserve">
-Increase by additional 340GB, If LCM+CCR chosen as optional service on Compute1
 -Increase by additional 200GB, If NIV is chosen as optional service on Compute3</t>
        </r>
      </text>
    </comment>
    <comment ref="A137" authorId="1" shapeId="0" xr:uid="{38BD7385-D287-4A17-808C-4CBE8536C7D0}">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37" authorId="9" shapeId="0" xr:uid="{993D8869-2F9E-4AD6-80B6-3342B0E244E5}">
      <text>
        <r>
          <rPr>
            <sz val="11"/>
            <color theme="1"/>
            <rFont val="Calibri"/>
            <family val="2"/>
            <scheme val="minor"/>
          </rPr>
          <t>Vesa Kalkko (Nokia):
Increase by additional
200 GB, If ANB backup is used</t>
        </r>
      </text>
    </comment>
    <comment ref="C137" authorId="9" shapeId="0" xr:uid="{EFCB7F8C-0CA5-46F2-B40F-2BDA564BB8FE}">
      <text>
        <r>
          <rPr>
            <sz val="11"/>
            <color theme="1"/>
            <rFont val="Calibri"/>
            <family val="2"/>
            <scheme val="minor"/>
          </rPr>
          <t>Vesa Kalkko (Nokia):
Increase by additional
200 GB, If ANB backup is used</t>
        </r>
      </text>
    </comment>
    <comment ref="A138" authorId="1" shapeId="0" xr:uid="{C3A62AE9-3432-4051-8318-7D4B0A86F83A}">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39" authorId="1" shapeId="0" xr:uid="{243D314C-6F93-4B4E-A3D6-47D53A61174F}">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Kalkko, Vesa (Nokia - FI/Tampere)</author>
    <author>tc={25BA50EA-53F7-4717-8BF4-F98143BE1D31}</author>
    <author>tc={791EFA12-A1F2-48A7-BE60-98A2E5B05927}</author>
    <author>Vesa Kalkko (Nokia)</author>
  </authors>
  <commentList>
    <comment ref="J10" authorId="0" shapeId="0" xr:uid="{0FCAF791-E949-4D57-9A75-FE24EC58957A}">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12" authorId="1" shapeId="0" xr:uid="{15C47E99-3E65-47F8-841E-15824900FE6F}">
      <text>
        <r>
          <rPr>
            <b/>
            <sz val="9"/>
            <color indexed="81"/>
            <rFont val="Tahoma"/>
            <family val="2"/>
          </rPr>
          <t>Thippeswamy, Suresh (Nokia - IN/Bangalore):</t>
        </r>
        <r>
          <rPr>
            <sz val="9"/>
            <color indexed="81"/>
            <rFont val="Tahoma"/>
            <family val="2"/>
          </rPr>
          <t xml:space="preserve">
Select the vCSA version</t>
        </r>
      </text>
    </comment>
    <comment ref="L14" authorId="2" shapeId="0" xr:uid="{16962A7A-2B63-41F2-A98C-DC228AD7C6CF}">
      <text>
        <r>
          <rPr>
            <b/>
            <sz val="9"/>
            <color indexed="81"/>
            <rFont val="Tahoma"/>
            <family val="2"/>
          </rPr>
          <t>vishek:</t>
        </r>
        <r>
          <rPr>
            <sz val="9"/>
            <color indexed="81"/>
            <rFont val="Tahoma"/>
            <family val="2"/>
          </rPr>
          <t xml:space="preserve">
No of Luns = 2
LUN size: 250GB each
2 Disks:
Disk size - 235520MB from each DS for stripe
or
LUN size: 650GB each
2 Disks:
Disk size - 593920MB from each DS for stripe</t>
        </r>
      </text>
    </comment>
    <comment ref="N14" authorId="2" shapeId="0" xr:uid="{331E555D-9A9F-4AE3-A5F5-C69FC496A80F}">
      <text>
        <r>
          <rPr>
            <b/>
            <sz val="9"/>
            <color indexed="81"/>
            <rFont val="Tahoma"/>
            <family val="2"/>
          </rPr>
          <t>vishek:</t>
        </r>
        <r>
          <rPr>
            <sz val="9"/>
            <color indexed="81"/>
            <rFont val="Tahoma"/>
            <family val="2"/>
          </rPr>
          <t xml:space="preserve">
No of Luns = 8
Lun size: 3400GB each.
8 disks:
Disk size: 3164160MB from each DS for stripe
or
Lun size: 2050GB each.
8 disks:
Disk size: 1945600MB from each DS for stripe</t>
        </r>
      </text>
    </comment>
    <comment ref="P14" authorId="2" shapeId="0" xr:uid="{5F0ADD99-366E-4F91-94DF-D4482D6A999D}">
      <text>
        <r>
          <rPr>
            <b/>
            <sz val="9"/>
            <color indexed="81"/>
            <rFont val="Tahoma"/>
            <family val="2"/>
          </rPr>
          <t>vishek:</t>
        </r>
        <r>
          <rPr>
            <sz val="9"/>
            <color indexed="81"/>
            <rFont val="Tahoma"/>
            <family val="2"/>
          </rPr>
          <t xml:space="preserve">
No of Luns = 2
Lun size: 9000GB each.
2 disks:
Disk size : 8499200MB from each DS for stripe
or
Lun size: 10300GB each.
2 disks:
Disk size : 9553920MB from each DS for stripe</t>
        </r>
      </text>
    </comment>
    <comment ref="X14" authorId="2" shapeId="0" xr:uid="{CAE79BB4-D940-4FCC-B263-7AE39F924282}">
      <text>
        <r>
          <rPr>
            <b/>
            <sz val="9"/>
            <color indexed="81"/>
            <rFont val="Tahoma"/>
            <family val="2"/>
          </rPr>
          <t xml:space="preserve">vishek:
</t>
        </r>
        <r>
          <rPr>
            <sz val="9"/>
            <color indexed="81"/>
            <rFont val="Tahoma"/>
            <family val="2"/>
          </rPr>
          <t>No of Luns = 8
Lun size = 5925 each
8 Disks:
Disk size: 5498880MB from each DS for stripe</t>
        </r>
      </text>
    </comment>
    <comment ref="AP14" authorId="3" shapeId="0" xr:uid="{CD648608-5B7C-4FB4-A3B1-3B39DE0BF5A6}">
      <text>
        <r>
          <rPr>
            <b/>
            <sz val="9"/>
            <color indexed="81"/>
            <rFont val="Tahoma"/>
            <family val="2"/>
          </rPr>
          <t>Goyal, Mayank (Nokia - IN/Bangalore):</t>
        </r>
        <r>
          <rPr>
            <sz val="9"/>
            <color indexed="81"/>
            <rFont val="Tahoma"/>
            <family val="2"/>
          </rPr>
          <t xml:space="preserve">
Contains one disk:
- db-fb_disk : 6291456MB</t>
        </r>
      </text>
    </comment>
    <comment ref="R15" authorId="2" shapeId="0" xr:uid="{AF77F49A-38A3-49B5-BE7E-D35F6F75F420}">
      <text>
        <r>
          <rPr>
            <sz val="9"/>
            <color indexed="81"/>
            <rFont val="Tahoma"/>
            <family val="2"/>
          </rPr>
          <t>No of Luns = 2
LUN1 size - 830GB - DS1
LUN2 size - 635GB - DS2
No of Disks = 4
1st disk from DS1 - 93184 MB(Home)
2nd disk from DS1- 585728 MB( for stripe- Global)
OR
2nd disk from DS1 (If Compute1 chosen as Optional VM) - 647168 MB( for stripe- Global)
3rd disk from DS2 - 585728 MB(for stripe- Global)
OR
3rd disk from DS2 (If Compute1 chosen as Optional VM) - 647168 MB(for stripe- Global)
4th disk from DS1 - 87040 MB(NFS WAS dump)</t>
        </r>
      </text>
    </comment>
    <comment ref="T15" authorId="2" shapeId="0" xr:uid="{82BCF639-358A-48D0-ACF7-F0596F910F62}">
      <text>
        <r>
          <rPr>
            <b/>
            <sz val="9"/>
            <color indexed="81"/>
            <rFont val="Tahoma"/>
            <family val="2"/>
          </rPr>
          <t>jarmylly:</t>
        </r>
        <r>
          <rPr>
            <sz val="9"/>
            <color indexed="81"/>
            <rFont val="Tahoma"/>
            <family val="2"/>
          </rPr>
          <t xml:space="preserve">
Reserved for customer own data.</t>
        </r>
      </text>
    </comment>
    <comment ref="X15" authorId="2" shapeId="0" xr:uid="{15FE351A-804A-40AE-A362-2C633EBFB73E}">
      <text>
        <r>
          <rPr>
            <b/>
            <sz val="9"/>
            <color indexed="81"/>
            <rFont val="Tahoma"/>
            <family val="2"/>
          </rPr>
          <t>vishek:</t>
        </r>
        <r>
          <rPr>
            <sz val="9"/>
            <color indexed="81"/>
            <rFont val="Tahoma"/>
            <family val="2"/>
          </rPr>
          <t xml:space="preserve">
Contains one disk:
- NFS_backup: 754688MB</t>
        </r>
      </text>
    </comment>
    <comment ref="AB22" authorId="1" shapeId="0" xr:uid="{36B6D454-1E8B-4469-ACE3-515B671C4590}">
      <text>
        <r>
          <rPr>
            <b/>
            <sz val="9"/>
            <color indexed="81"/>
            <rFont val="Tahoma"/>
            <family val="2"/>
          </rPr>
          <t>Thippeswamy, Suresh (Nokia - IN/Bangalore):</t>
        </r>
        <r>
          <rPr>
            <sz val="9"/>
            <color indexed="81"/>
            <rFont val="Tahoma"/>
            <family val="2"/>
          </rPr>
          <t xml:space="preserve">
Contains 1 disk:
adm_disk1: 51200MB</t>
        </r>
      </text>
    </comment>
    <comment ref="AD26" authorId="1" shapeId="0" xr:uid="{3B9E3714-22D3-4594-8F7E-B3A5295F0382}">
      <text>
        <r>
          <rPr>
            <b/>
            <sz val="9"/>
            <color indexed="81"/>
            <rFont val="Tahoma"/>
            <family val="2"/>
          </rPr>
          <t>Thippeswamy, Suresh (Nokia - IN/Bangalore):</t>
        </r>
        <r>
          <rPr>
            <sz val="9"/>
            <color indexed="81"/>
            <rFont val="Tahoma"/>
            <family val="2"/>
          </rPr>
          <t xml:space="preserve">
Contains one disk:
isdk_disk1 : 102400MB</t>
        </r>
      </text>
    </comment>
    <comment ref="AD27" authorId="1" shapeId="0" xr:uid="{02891FA5-7809-444C-97AA-F667995A6308}">
      <text>
        <r>
          <rPr>
            <b/>
            <sz val="9"/>
            <color indexed="81"/>
            <rFont val="Tahoma"/>
            <family val="2"/>
          </rPr>
          <t>Thippeswamy, Suresh (Nokia - IN/Bangalore):</t>
        </r>
        <r>
          <rPr>
            <sz val="9"/>
            <color indexed="81"/>
            <rFont val="Tahoma"/>
            <family val="2"/>
          </rPr>
          <t xml:space="preserve">
Contains one disk:
isdk_disk1 : 102400MB</t>
        </r>
      </text>
    </comment>
    <comment ref="Z38" authorId="2" shapeId="0" xr:uid="{7979133B-FBF5-452D-8919-0B6BCF4FED7F}">
      <text>
        <r>
          <rPr>
            <b/>
            <sz val="9"/>
            <color indexed="81"/>
            <rFont val="Tahoma"/>
            <family val="2"/>
          </rPr>
          <t>jarmylly:</t>
        </r>
        <r>
          <rPr>
            <sz val="9"/>
            <color indexed="81"/>
            <rFont val="Tahoma"/>
            <family val="2"/>
          </rPr>
          <t xml:space="preserve">
Contains one disk:
- vm66_REP_disk: 76800 MB
</t>
        </r>
      </text>
    </comment>
    <comment ref="AA38" authorId="4" shapeId="0" xr:uid="{3BFFEA25-B4BC-4A10-8CA9-372307D6E129}">
      <text>
        <r>
          <rPr>
            <b/>
            <sz val="9"/>
            <color indexed="81"/>
            <rFont val="Calibri"/>
            <family val="2"/>
          </rPr>
          <t>Jari Myllymaa:</t>
        </r>
        <r>
          <rPr>
            <sz val="9"/>
            <color indexed="81"/>
            <rFont val="Calibri"/>
            <family val="2"/>
          </rPr>
          <t xml:space="preserve">
PMDatastore can extend 50GB</t>
        </r>
      </text>
    </comment>
    <comment ref="Z39" authorId="2" shapeId="0" xr:uid="{9C45163A-EB5C-4DED-9932-AB96D23C98AE}">
      <text>
        <r>
          <rPr>
            <b/>
            <sz val="9"/>
            <color indexed="81"/>
            <rFont val="Tahoma"/>
            <family val="2"/>
          </rPr>
          <t>jarmylly:</t>
        </r>
        <r>
          <rPr>
            <sz val="9"/>
            <color indexed="81"/>
            <rFont val="Tahoma"/>
            <family val="2"/>
          </rPr>
          <t xml:space="preserve">
Contains one disk:
- vm66_REP_disk: 76800 MB
</t>
        </r>
      </text>
    </comment>
    <comment ref="Z40" authorId="2" shapeId="0" xr:uid="{AB7165FA-84D5-4494-8B5E-F7BC97FBEF60}">
      <text>
        <r>
          <rPr>
            <b/>
            <sz val="9"/>
            <color indexed="81"/>
            <rFont val="Tahoma"/>
            <family val="2"/>
          </rPr>
          <t>jarmylly:</t>
        </r>
        <r>
          <rPr>
            <sz val="9"/>
            <color indexed="81"/>
            <rFont val="Tahoma"/>
            <family val="2"/>
          </rPr>
          <t xml:space="preserve">
Contains one disk:
- vm66_REP_disk: 76800 MB
</t>
        </r>
      </text>
    </comment>
    <comment ref="Z41" authorId="2" shapeId="0" xr:uid="{063645CF-54BE-4F43-94E9-27D39F4C423B}">
      <text>
        <r>
          <rPr>
            <b/>
            <sz val="9"/>
            <color indexed="81"/>
            <rFont val="Tahoma"/>
            <family val="2"/>
          </rPr>
          <t>jarmylly:</t>
        </r>
        <r>
          <rPr>
            <sz val="9"/>
            <color indexed="81"/>
            <rFont val="Tahoma"/>
            <family val="2"/>
          </rPr>
          <t xml:space="preserve">
Contains one disk:
- vm66_REP_disk: 76800 MB
</t>
        </r>
      </text>
    </comment>
    <comment ref="AJ44" authorId="0" shapeId="0" xr:uid="{EE093B22-DD7C-4A12-985A-1C9FB1662033}">
      <text>
        <r>
          <rPr>
            <b/>
            <sz val="9"/>
            <color indexed="81"/>
            <rFont val="Tahoma"/>
            <family val="2"/>
          </rPr>
          <t>Avuthu, Charan (EXT - IN/Bangalore):</t>
        </r>
        <r>
          <rPr>
            <sz val="9"/>
            <color indexed="81"/>
            <rFont val="Tahoma"/>
            <family val="2"/>
          </rPr>
          <t xml:space="preserve">
Contians one disk:
-kafka_disk1: 122880 MB</t>
        </r>
      </text>
    </comment>
    <comment ref="AJ45" authorId="0" shapeId="0" xr:uid="{4367E81A-EBF4-4C36-968E-CD0872C0360D}">
      <text>
        <r>
          <rPr>
            <b/>
            <sz val="9"/>
            <color indexed="81"/>
            <rFont val="Tahoma"/>
            <family val="2"/>
          </rPr>
          <t>Avuthu, Charan (EXT - IN/Bangalore):</t>
        </r>
        <r>
          <rPr>
            <sz val="9"/>
            <color indexed="81"/>
            <rFont val="Tahoma"/>
            <family val="2"/>
          </rPr>
          <t xml:space="preserve">
Contians one disk:
-kafka_disk1: 122880 MB</t>
        </r>
      </text>
    </comment>
    <comment ref="AJ46" authorId="0" shapeId="0" xr:uid="{E6D4ED2E-C716-4144-9413-0998043DDB1A}">
      <text>
        <r>
          <rPr>
            <b/>
            <sz val="9"/>
            <color indexed="81"/>
            <rFont val="Tahoma"/>
            <family val="2"/>
          </rPr>
          <t>Avuthu, Charan (EXT - IN/Bangalore):</t>
        </r>
        <r>
          <rPr>
            <sz val="9"/>
            <color indexed="81"/>
            <rFont val="Tahoma"/>
            <family val="2"/>
          </rPr>
          <t xml:space="preserve">
Contians one disk:
-kafka_disk1: 122880 MB</t>
        </r>
      </text>
    </comment>
    <comment ref="X49" authorId="5" shapeId="0" xr:uid="{82F24487-27B2-4F6A-A740-F11AEA6A3BB3}">
      <text>
        <r>
          <rPr>
            <b/>
            <sz val="9"/>
            <color indexed="81"/>
            <rFont val="Tahoma"/>
            <family val="2"/>
          </rPr>
          <t>Jayashree Sundaresan (Nokia):</t>
        </r>
        <r>
          <rPr>
            <sz val="9"/>
            <color indexed="81"/>
            <rFont val="Tahoma"/>
            <family val="2"/>
          </rPr>
          <t xml:space="preserve">
 Contains one disk
-backup_disk: 204800MB</t>
        </r>
      </text>
    </comment>
    <comment ref="AR49" authorId="5" shapeId="0" xr:uid="{64C2F414-0860-498C-A1D2-6F33427E14A8}">
      <text>
        <r>
          <rPr>
            <b/>
            <sz val="9"/>
            <color indexed="81"/>
            <rFont val="Tahoma"/>
            <family val="2"/>
          </rPr>
          <t>Jayashree Sundaresan (Nokia):</t>
        </r>
        <r>
          <rPr>
            <sz val="9"/>
            <color indexed="81"/>
            <rFont val="Tahoma"/>
            <family val="2"/>
          </rPr>
          <t xml:space="preserve">
Contains one disk:
-niv_disk: 153600</t>
        </r>
      </text>
    </comment>
    <comment ref="R51" authorId="0" shapeId="0" xr:uid="{87BD22FC-43B7-461A-B9D0-16A62BF5749A}">
      <text>
        <r>
          <rPr>
            <b/>
            <sz val="9"/>
            <color indexed="81"/>
            <rFont val="Tahoma"/>
            <family val="2"/>
          </rPr>
          <t>Avuthu, Charan (EXT - IN/Bangalore):</t>
        </r>
        <r>
          <rPr>
            <sz val="9"/>
            <color indexed="81"/>
            <rFont val="Tahoma"/>
            <family val="2"/>
          </rPr>
          <t xml:space="preserve">
Increase for NFSGlobal disk on VM#5 by 120GB.
 (60GB for each stripe)
-2nd disk from DS1 (For LCM as optional service on Compute1) - 647168 MB (for stripe- Global)
-3rd disk from DS2 (For LCM as optional service on Compute1) - 647168 MB (for stripe- Global)</t>
        </r>
      </text>
    </comment>
    <comment ref="V51" authorId="0" shapeId="0" xr:uid="{524A43FC-5DE6-468B-9CAB-6F33FA88C7C3}">
      <text>
        <r>
          <rPr>
            <b/>
            <sz val="9"/>
            <color indexed="81"/>
            <rFont val="Tahoma"/>
            <family val="2"/>
          </rPr>
          <t>Avuthu, Charan (EXT - IN/Bangalore):</t>
        </r>
        <r>
          <rPr>
            <sz val="9"/>
            <color indexed="81"/>
            <rFont val="Tahoma"/>
            <family val="2"/>
          </rPr>
          <t xml:space="preserve">
 Contains one disk
-backup_disk: 204800MB</t>
        </r>
      </text>
    </comment>
    <comment ref="X51" authorId="0" shapeId="0" xr:uid="{68254548-1823-40FF-836C-53CEE141B130}">
      <text>
        <r>
          <rPr>
            <b/>
            <sz val="9"/>
            <color indexed="81"/>
            <rFont val="Tahoma"/>
            <family val="2"/>
          </rPr>
          <t>Avuthu, Charan (EXT - IN/Bangalore):</t>
        </r>
        <r>
          <rPr>
            <sz val="9"/>
            <color indexed="81"/>
            <rFont val="Tahoma"/>
            <family val="2"/>
          </rPr>
          <t xml:space="preserve">
Increase for NFSBackup disk on VM#5 by 120GB
- NFS_backup (For LCM as optional service on Compute1): 877568 MB</t>
        </r>
      </text>
    </comment>
    <comment ref="AH51" authorId="0" shapeId="0" xr:uid="{51638108-6C78-42F4-8313-22FA2C18B3B8}">
      <text>
        <r>
          <rPr>
            <b/>
            <sz val="9"/>
            <color indexed="81"/>
            <rFont val="Tahoma"/>
            <family val="2"/>
          </rPr>
          <t>Avuthu, Charan (EXT - IN/Bangalore):</t>
        </r>
        <r>
          <rPr>
            <sz val="9"/>
            <color indexed="81"/>
            <rFont val="Tahoma"/>
            <family val="2"/>
          </rPr>
          <t xml:space="preserve">
Contains one disk:
- ccr_disk1: 153600MB</t>
        </r>
      </text>
    </comment>
    <comment ref="I68" authorId="1" shapeId="0" xr:uid="{66738FC2-B2DF-4ACB-BC9D-2409868DCD91}">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69" authorId="2" shapeId="0" xr:uid="{A9D3D351-63BB-429D-9473-789B42E634FF}">
      <text>
        <r>
          <rPr>
            <b/>
            <sz val="9"/>
            <color indexed="81"/>
            <rFont val="Tahoma"/>
            <family val="2"/>
          </rPr>
          <t>jarmylly:</t>
        </r>
        <r>
          <rPr>
            <sz val="9"/>
            <color indexed="81"/>
            <rFont val="Tahoma"/>
            <family val="2"/>
          </rPr>
          <t xml:space="preserve">
Contains two disks:
- Disk-1: 60GB
- Disk-2: 40GB</t>
        </r>
      </text>
    </comment>
    <comment ref="I70" authorId="2" shapeId="0" xr:uid="{50A13DCA-BA91-451F-8D8A-B3AABA207110}">
      <text>
        <r>
          <rPr>
            <sz val="9"/>
            <color indexed="81"/>
            <rFont val="Tahoma"/>
            <family val="2"/>
          </rPr>
          <t>Contains two disks:
- Disk-1: 60GB
(NOTE: For servers intended for more than 10 concurrent users the recommended size for disk C is Disk-1 size + RAM size.)
- Disk-2: 50GB</t>
        </r>
      </text>
    </comment>
    <comment ref="I71" authorId="2" shapeId="0" xr:uid="{18B1F15A-F69D-4F8C-94AF-56471986F7C7}">
      <text>
        <r>
          <rPr>
            <sz val="9"/>
            <color indexed="81"/>
            <rFont val="Tahoma"/>
            <family val="2"/>
          </rPr>
          <t>Contains two disks:
- Disk-1: 80GB
(NOTE: For servers intended for more than 10 concurrent users the recommended size for disk C is Disk-1 size + RAM size.)
- Disk-2: 40GB</t>
        </r>
      </text>
    </comment>
    <comment ref="I72" authorId="2" shapeId="0" xr:uid="{A5ED658D-FDC4-463D-AFE4-18AEDBBB5817}">
      <text>
        <r>
          <rPr>
            <b/>
            <sz val="9"/>
            <color indexed="81"/>
            <rFont val="Tahoma"/>
            <family val="2"/>
          </rPr>
          <t>jarmylly:</t>
        </r>
        <r>
          <rPr>
            <sz val="9"/>
            <color indexed="81"/>
            <rFont val="Tahoma"/>
            <family val="2"/>
          </rPr>
          <t xml:space="preserve">
Contains two disks:
- Disk-1: 60GB
- Disk-2: 40GB</t>
        </r>
      </text>
    </comment>
    <comment ref="I73" authorId="2" shapeId="0" xr:uid="{AA815951-8A44-4B2B-9CB9-AFFAD2BEA030}">
      <text>
        <r>
          <rPr>
            <sz val="9"/>
            <color indexed="81"/>
            <rFont val="Tahoma"/>
            <family val="2"/>
          </rPr>
          <t>Contains two disks:
- Disk-1: 60GB
(NOTE: For servers intended for more than 10 concurrent users the recommended size for disk C is Disk-1 size + RAM size.)
- Disk-2: 40GB</t>
        </r>
      </text>
    </comment>
    <comment ref="I74" authorId="2" shapeId="0" xr:uid="{A789D274-9D13-44D7-AFAD-ADDE3F6CE549}">
      <text>
        <r>
          <rPr>
            <sz val="9"/>
            <color indexed="81"/>
            <rFont val="Tahoma"/>
            <family val="2"/>
          </rPr>
          <t>Contains two disks:
- Disk-1: 60GB
(NOTE: For servers intended for more than 10 concurrent users the recommended size for disk C is Disk-1 size + RAM size.)
- Disk-2: 40GB</t>
        </r>
      </text>
    </comment>
    <comment ref="I75" authorId="2" shapeId="0" xr:uid="{6A133F67-5F86-4302-97DD-859BAF3C366A}">
      <text>
        <r>
          <rPr>
            <sz val="9"/>
            <color indexed="81"/>
            <rFont val="Tahoma"/>
            <family val="2"/>
          </rPr>
          <t>Contains two disks:
- Disk-1: 60GB
(NOTE: For servers intended for more than 10 concurrent users the recommended size for disk C is Disk-1 size + RAM size.)
- Disk-2: 40GB</t>
        </r>
      </text>
    </comment>
    <comment ref="I76" authorId="2" shapeId="0" xr:uid="{35E518B5-A7EE-4A9D-9918-464AD1F324F7}">
      <text>
        <r>
          <rPr>
            <sz val="9"/>
            <color indexed="81"/>
            <rFont val="Tahoma"/>
            <family val="2"/>
          </rPr>
          <t>Contains two disks:
- Disk-1: 60GB
(NOTE: For servers intended for more than 10 concurrent users the recommended size for disk C is Disk-1 size + RAM size.)
- Disk-2: 40GB</t>
        </r>
      </text>
    </comment>
    <comment ref="I77" authorId="2" shapeId="0" xr:uid="{6FEE3C21-0CC5-49CF-9664-100A819CB528}">
      <text>
        <r>
          <rPr>
            <sz val="9"/>
            <color indexed="81"/>
            <rFont val="Tahoma"/>
            <family val="2"/>
          </rPr>
          <t>Contains two disks:
- Disk-1: 60GB
(NOTE: For servers intended for more than 10 concurrent users the recommended size for disk C is Disk-1 size + RAM size.)
- Disk-2: 40GB</t>
        </r>
      </text>
    </comment>
    <comment ref="I78" authorId="2" shapeId="0" xr:uid="{FFA66ACF-E9D4-4115-B2C4-164752951565}">
      <text>
        <r>
          <rPr>
            <sz val="9"/>
            <color indexed="81"/>
            <rFont val="Tahoma"/>
            <family val="2"/>
          </rPr>
          <t>Contains two disks:
- Disk-1: 60GB
(NOTE: For servers intended for more than 10 concurrent users the recommended size for disk C is Disk-1 size + RAM size.)
- Disk-2: 40GB</t>
        </r>
      </text>
    </comment>
    <comment ref="I79" authorId="2" shapeId="0" xr:uid="{11536DE3-6180-4982-A407-9DAE6904ED2B}">
      <text>
        <r>
          <rPr>
            <sz val="9"/>
            <color indexed="81"/>
            <rFont val="Tahoma"/>
            <family val="2"/>
          </rPr>
          <t>Contains two disks:
- Disk-1: 60GB
(NOTE: For servers intended for more than 10 concurrent users the recommended size for disk C is Disk-1 size + RAM size.)
- Disk-2: 40GB</t>
        </r>
      </text>
    </comment>
    <comment ref="I80" authorId="2" shapeId="0" xr:uid="{6EEFF17C-6CE1-43D3-B27B-A9637FB79554}">
      <text>
        <r>
          <rPr>
            <sz val="9"/>
            <color indexed="81"/>
            <rFont val="Tahoma"/>
            <family val="2"/>
          </rPr>
          <t>Contains two disks:
- Disk-1: 80GB
(NOTE: For servers intended for more than 10 concurrent users the recommended size for disk C is Disk-1 size + RAM size.)
- Disk-2: 40GB</t>
        </r>
      </text>
    </comment>
    <comment ref="I81" authorId="2" shapeId="0" xr:uid="{C3153FCE-3F8C-4F73-AC46-03B126A82A51}">
      <text>
        <r>
          <rPr>
            <sz val="9"/>
            <color indexed="81"/>
            <rFont val="Tahoma"/>
            <family val="2"/>
          </rPr>
          <t>Contains two disks:
- Disk-1: 60GB
(NOTE: For servers intended for more than 10 concurrent users the recommended size for disk C is Disk-1 size + RAM size.)
- Disk-2: 40GB</t>
        </r>
      </text>
    </comment>
    <comment ref="I89" authorId="2" shapeId="0" xr:uid="{2800F99B-3C8C-4EC1-9535-BA965C91AA39}">
      <text>
        <r>
          <rPr>
            <b/>
            <sz val="9"/>
            <color indexed="81"/>
            <rFont val="Tahoma"/>
            <family val="2"/>
          </rPr>
          <t>jarmylly:</t>
        </r>
        <r>
          <rPr>
            <sz val="9"/>
            <color indexed="81"/>
            <rFont val="Tahoma"/>
            <family val="2"/>
          </rPr>
          <t xml:space="preserve">
Contains two disks:
- Disk-1: 30GB
- Disk-2: 80GB</t>
        </r>
      </text>
    </comment>
    <comment ref="I90" authorId="2" shapeId="0" xr:uid="{2EEEA6C8-1E68-4B3A-A23A-D4B3D2B9746A}">
      <text>
        <r>
          <rPr>
            <b/>
            <sz val="9"/>
            <color indexed="81"/>
            <rFont val="Tahoma"/>
            <family val="2"/>
          </rPr>
          <t>jarmylly:</t>
        </r>
        <r>
          <rPr>
            <sz val="9"/>
            <color indexed="81"/>
            <rFont val="Tahoma"/>
            <family val="2"/>
          </rPr>
          <t xml:space="preserve">
Contains two disks:
- Disk-1: 30GB
- Disk-2: 80GB</t>
        </r>
      </text>
    </comment>
    <comment ref="I99" authorId="6" shapeId="0" xr:uid="{92019206-6384-440D-9E4E-F8EECE024BF0}">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100" authorId="1" shapeId="0" xr:uid="{C6F9340D-E5DA-4070-81D9-54AEA132C699}">
      <text>
        <r>
          <rPr>
            <b/>
            <sz val="9"/>
            <color indexed="81"/>
            <rFont val="Tahoma"/>
            <family val="2"/>
          </rPr>
          <t>Thippeswamy, Suresh (Nokia - IN/Bangalore):</t>
        </r>
        <r>
          <rPr>
            <sz val="9"/>
            <color indexed="81"/>
            <rFont val="Tahoma"/>
            <family val="2"/>
          </rPr>
          <t xml:space="preserve">
Contains one disk:
    napd_disk1: 204800MB
</t>
        </r>
      </text>
    </comment>
    <comment ref="E116" authorId="2" shapeId="0" xr:uid="{23364678-A121-4CC3-A6D9-3DCB726A8291}">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17" authorId="2" shapeId="0" xr:uid="{50E64C0F-FD81-4284-BAF0-23C049BC668D}">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18" authorId="7" shapeId="0" xr:uid="{25BA50EA-53F7-4717-8BF4-F98143BE1D31}">
      <text>
        <t>[Threaded comment]
Your version of Excel allows you to read this threaded comment; however, any edits to it will get removed if the file is opened in a newer version of Excel. Learn more: https://go.microsoft.com/fwlink/?linkid=870924
Comment:
    SP1911 Onwards</t>
      </text>
    </comment>
    <comment ref="A119" authorId="8" shapeId="0" xr:uid="{791EFA12-A1F2-48A7-BE60-98A2E5B05927}">
      <text>
        <t>[Threaded comment]
Your version of Excel allows you to read this threaded comment; however, any edits to it will get removed if the file is opened in a newer version of Excel. Learn more: https://go.microsoft.com/fwlink/?linkid=870924
Comment:
    SP2004 onwards</t>
      </text>
    </comment>
    <comment ref="B147" authorId="0" shapeId="0" xr:uid="{353E4732-91B5-4306-8A1C-09615A7D21F1}">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47" authorId="0" shapeId="0" xr:uid="{4BAAF3D1-9286-42F9-9DC7-B88A28B50094}">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48" authorId="0" shapeId="0" xr:uid="{5062D66B-7F29-4C93-BE1D-C0E8FE9F7C1F}">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48" authorId="0" shapeId="0" xr:uid="{8DE55C6D-A0A0-4B79-A209-EFDAA05ED951}">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50" authorId="6" shapeId="0" xr:uid="{030CA8ED-20E7-49A2-A0AD-5C6A492E59E4}">
      <text>
        <r>
          <rPr>
            <b/>
            <sz val="9"/>
            <color indexed="81"/>
            <rFont val="Tahoma"/>
            <family val="2"/>
          </rPr>
          <t>Kalkko, Vesa (Nokia - FI/Tampere):</t>
        </r>
        <r>
          <rPr>
            <sz val="9"/>
            <color indexed="81"/>
            <rFont val="Tahoma"/>
            <family val="2"/>
          </rPr>
          <t xml:space="preserve">
- Increase by additional 70GB, If ANB is is used for backup</t>
        </r>
      </text>
    </comment>
    <comment ref="B151" authorId="5" shapeId="0" xr:uid="{7D565F13-869B-4B92-9B62-7491D011EB25}">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51" authorId="5" shapeId="0" xr:uid="{6B81E85E-AEAF-47D9-A819-FA7850749EBC}">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B160" authorId="0" shapeId="0" xr:uid="{9A736058-A675-40DE-A225-5568D507031A}">
      <text>
        <r>
          <rPr>
            <b/>
            <sz val="9"/>
            <color indexed="81"/>
            <rFont val="Tahoma"/>
            <family val="2"/>
          </rPr>
          <t>Avuthu, Charan (EXT - IN/Bangalore):</t>
        </r>
        <r>
          <rPr>
            <sz val="9"/>
            <color indexed="81"/>
            <rFont val="Tahoma"/>
            <family val="2"/>
          </rPr>
          <t xml:space="preserve">
-Increase by additional 120GB, If LCM+CCR chosen as optional service on Compute1</t>
        </r>
      </text>
    </comment>
    <comment ref="C160" authorId="0" shapeId="0" xr:uid="{9A0E57F6-D0C0-4485-AE81-0F0985D0439A}">
      <text>
        <r>
          <rPr>
            <b/>
            <sz val="9"/>
            <color indexed="81"/>
            <rFont val="Tahoma"/>
            <family val="2"/>
          </rPr>
          <t>Avuthu, Charan (EXT - IN/Bangalore):</t>
        </r>
        <r>
          <rPr>
            <sz val="9"/>
            <color indexed="81"/>
            <rFont val="Tahoma"/>
            <family val="2"/>
          </rPr>
          <t xml:space="preserve">
-Increase by additional 120GB, If LCM+CCR chosen as optional service on Compute1</t>
        </r>
      </text>
    </comment>
    <comment ref="B162" authorId="5" shapeId="0" xr:uid="{2037E44F-C4E3-4816-B6EF-8EAED29DA0CD}">
      <text>
        <r>
          <rPr>
            <b/>
            <sz val="9"/>
            <color indexed="81"/>
            <rFont val="Tahoma"/>
            <family val="2"/>
          </rPr>
          <t>Jayashree Sundaresan (Nokia):</t>
        </r>
        <r>
          <rPr>
            <sz val="9"/>
            <color indexed="81"/>
            <rFont val="Tahoma"/>
            <family val="2"/>
          </rPr>
          <t xml:space="preserve">
- Increase by additional 180GB, If NIV is chosen as a optional service in Compute3.</t>
        </r>
      </text>
    </comment>
    <comment ref="C162" authorId="5" shapeId="0" xr:uid="{60CA799B-5E88-4C9A-B60F-33791979DB18}">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A163" authorId="1" shapeId="0" xr:uid="{A57DE3D0-4885-4E7D-8C49-9F9745C8857F}">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63" authorId="9" shapeId="0" xr:uid="{1324F24F-2D49-4BE1-9896-C738DFA20AC8}">
      <text>
        <r>
          <rPr>
            <sz val="11"/>
            <color theme="1"/>
            <rFont val="Calibri"/>
            <family val="2"/>
            <scheme val="minor"/>
          </rPr>
          <t>Vesa Kalkko (Nokia):
Increase by additional
200 GB, If ANB backup is used</t>
        </r>
      </text>
    </comment>
    <comment ref="C163" authorId="9" shapeId="0" xr:uid="{208C22C0-0D83-491F-B155-1FB5E2792B57}">
      <text>
        <r>
          <rPr>
            <sz val="11"/>
            <color theme="1"/>
            <rFont val="Calibri"/>
            <family val="2"/>
            <scheme val="minor"/>
          </rPr>
          <t>Vesa Kalkko (Nokia):
Increase by additional
200 GB, If ANB backup is used</t>
        </r>
      </text>
    </comment>
    <comment ref="A164" authorId="1" shapeId="0" xr:uid="{9ACC0121-3577-4EDE-9BBA-D561CD309752}">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65" authorId="1" shapeId="0" xr:uid="{D57CD681-9214-4CD4-95B9-7E8D028C2D06}">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Ollikainen, Sari (Nokia - FI/Tampere)</author>
    <author>Kalkko, Vesa (Nokia - FI/Tampere)</author>
    <author>tc={C8DC3790-9568-4467-BE51-473C1EF663A3}</author>
    <author>tc={A799CF4C-E7B3-4259-9D25-D80C09786AD2}</author>
    <author>Vesa Kalkko (Nokia)</author>
  </authors>
  <commentList>
    <comment ref="J10" authorId="0" shapeId="0" xr:uid="{3830E71D-3ED0-41F9-8ECB-BB4B8EACBD9D}">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E12" authorId="1" shapeId="0" xr:uid="{B96A2797-F0DC-4209-BE2D-BD1464A59942}">
      <text>
        <r>
          <rPr>
            <b/>
            <sz val="9"/>
            <color indexed="81"/>
            <rFont val="Tahoma"/>
            <family val="2"/>
          </rPr>
          <t>Thippeswamy, Suresh (Nokia - IN/Bangalore):</t>
        </r>
        <r>
          <rPr>
            <sz val="9"/>
            <color indexed="81"/>
            <rFont val="Tahoma"/>
            <family val="2"/>
          </rPr>
          <t xml:space="preserve">
Select the vCSA version</t>
        </r>
      </text>
    </comment>
    <comment ref="L14" authorId="2" shapeId="0" xr:uid="{9D52D20D-391D-48FF-BA3F-59B3C6B32B73}">
      <text>
        <r>
          <rPr>
            <b/>
            <sz val="9"/>
            <color indexed="81"/>
            <rFont val="Tahoma"/>
            <family val="2"/>
          </rPr>
          <t>vishek:</t>
        </r>
        <r>
          <rPr>
            <sz val="9"/>
            <color indexed="81"/>
            <rFont val="Tahoma"/>
            <family val="2"/>
          </rPr>
          <t xml:space="preserve">
No of Luns = 2
LUN size: 250GB each
2 Disks:
Disk size - 235520MB from each DS for stripe
or
LUN size: 650GB each
2 Disks:
Disk size - 593920MB from each DS for stripe</t>
        </r>
      </text>
    </comment>
    <comment ref="N14" authorId="2" shapeId="0" xr:uid="{39C35CEC-3A54-49B9-9D59-16E2B19EC5EF}">
      <text>
        <r>
          <rPr>
            <b/>
            <sz val="9"/>
            <color indexed="81"/>
            <rFont val="Tahoma"/>
            <family val="2"/>
          </rPr>
          <t>vishek:</t>
        </r>
        <r>
          <rPr>
            <sz val="9"/>
            <color indexed="81"/>
            <rFont val="Tahoma"/>
            <family val="2"/>
          </rPr>
          <t xml:space="preserve">
No of Luns = 8
Lun size: 3400GB each.
8 disks:
Disk size: 3164160MB from each DS for stripe
or
Lun size: 2050GB each.
8 disks:
Disk size: 1945600MB from each DS for stripe</t>
        </r>
      </text>
    </comment>
    <comment ref="P14" authorId="2" shapeId="0" xr:uid="{407AEC3F-2C08-42AB-98A4-B37ECC83B987}">
      <text>
        <r>
          <rPr>
            <b/>
            <sz val="9"/>
            <color indexed="81"/>
            <rFont val="Tahoma"/>
            <family val="2"/>
          </rPr>
          <t>vishek:</t>
        </r>
        <r>
          <rPr>
            <sz val="9"/>
            <color indexed="81"/>
            <rFont val="Tahoma"/>
            <family val="2"/>
          </rPr>
          <t xml:space="preserve">
No of Luns = 2
Lun size: 9000GB each.
2 disks:
Disk size : 8499200MB from each DS for stripe
or
Lun size: 10300GB each.
2 disks:
Disk size : 9553920MB from each DS for stripe</t>
        </r>
      </text>
    </comment>
    <comment ref="X14" authorId="2" shapeId="0" xr:uid="{13D2C6AF-8FAD-4F81-8A03-9F5DF82EF817}">
      <text>
        <r>
          <rPr>
            <b/>
            <sz val="9"/>
            <color indexed="81"/>
            <rFont val="Tahoma"/>
            <family val="2"/>
          </rPr>
          <t xml:space="preserve">vishek:
</t>
        </r>
        <r>
          <rPr>
            <sz val="9"/>
            <color indexed="81"/>
            <rFont val="Tahoma"/>
            <family val="2"/>
          </rPr>
          <t>No of Luns = 8
Lun size = 5925 each
8 Disks:
Disk size: 5498880MB from each DS for stripe</t>
        </r>
      </text>
    </comment>
    <comment ref="AP14" authorId="3" shapeId="0" xr:uid="{41934B79-5379-4A72-8037-2DE66B6069F6}">
      <text>
        <r>
          <rPr>
            <b/>
            <sz val="9"/>
            <color indexed="81"/>
            <rFont val="Tahoma"/>
            <family val="2"/>
          </rPr>
          <t>Goyal, Mayank (Nokia - IN/Bangalore):</t>
        </r>
        <r>
          <rPr>
            <sz val="9"/>
            <color indexed="81"/>
            <rFont val="Tahoma"/>
            <family val="2"/>
          </rPr>
          <t xml:space="preserve">
Contains one disk:
- db-fb_disk : 6291456MB</t>
        </r>
      </text>
    </comment>
    <comment ref="R15" authorId="2" shapeId="0" xr:uid="{EA8996D0-B21B-4BAE-B668-2C4627F2DF96}">
      <text>
        <r>
          <rPr>
            <b/>
            <sz val="9"/>
            <color indexed="81"/>
            <rFont val="Tahoma"/>
            <family val="2"/>
          </rPr>
          <t xml:space="preserve">vishek:
</t>
        </r>
        <r>
          <rPr>
            <sz val="9"/>
            <color indexed="81"/>
            <rFont val="Tahoma"/>
            <family val="2"/>
          </rPr>
          <t>No of Luns = 2
LUN1 size - 1800GB - DS1
LUN2 size - 1600GB - DS2
No of Disks = 4
1st disk from DS1 - 93184 MB(Home)
2nd disk from DS1- 1507328 MB (for stripe- Global)
3rd disk from DS2 - 1507328 MB (for stripe- Global)
4th disk from DS1 - 87040 MB(NFS WAS dump)</t>
        </r>
      </text>
    </comment>
    <comment ref="T15" authorId="2" shapeId="0" xr:uid="{EF3AAEC7-9328-41DF-AB6D-338E71607986}">
      <text>
        <r>
          <rPr>
            <b/>
            <sz val="9"/>
            <color indexed="81"/>
            <rFont val="Tahoma"/>
            <family val="2"/>
          </rPr>
          <t>jarmylly:</t>
        </r>
        <r>
          <rPr>
            <sz val="9"/>
            <color indexed="81"/>
            <rFont val="Tahoma"/>
            <family val="2"/>
          </rPr>
          <t xml:space="preserve">
Reserved for customer own data.</t>
        </r>
      </text>
    </comment>
    <comment ref="X15" authorId="2" shapeId="0" xr:uid="{C43D66DF-BCF7-47AE-A919-45D9E0EC26E3}">
      <text>
        <r>
          <rPr>
            <b/>
            <sz val="9"/>
            <color indexed="81"/>
            <rFont val="Tahoma"/>
            <family val="2"/>
          </rPr>
          <t>vishek:</t>
        </r>
        <r>
          <rPr>
            <sz val="9"/>
            <color indexed="81"/>
            <rFont val="Tahoma"/>
            <family val="2"/>
          </rPr>
          <t xml:space="preserve">
Contains one disk:
- NFS_backup: 754688MB</t>
        </r>
      </text>
    </comment>
    <comment ref="AB22" authorId="1" shapeId="0" xr:uid="{10F97291-C9F4-4048-89F4-D52F3E815E43}">
      <text>
        <r>
          <rPr>
            <b/>
            <sz val="9"/>
            <color indexed="81"/>
            <rFont val="Tahoma"/>
            <family val="2"/>
          </rPr>
          <t>Thippeswamy, Suresh (Nokia - IN/Bangalore):</t>
        </r>
        <r>
          <rPr>
            <sz val="9"/>
            <color indexed="81"/>
            <rFont val="Tahoma"/>
            <family val="2"/>
          </rPr>
          <t xml:space="preserve">
Contains 1 disk:
adm_disk1: 51200MB</t>
        </r>
      </text>
    </comment>
    <comment ref="AD26" authorId="1" shapeId="0" xr:uid="{B1D4C7AD-98AE-4D26-8892-B10845B7E37B}">
      <text>
        <r>
          <rPr>
            <b/>
            <sz val="9"/>
            <color indexed="81"/>
            <rFont val="Tahoma"/>
            <family val="2"/>
          </rPr>
          <t>Thippeswamy, Suresh (Nokia - IN/Bangalore):</t>
        </r>
        <r>
          <rPr>
            <sz val="9"/>
            <color indexed="81"/>
            <rFont val="Tahoma"/>
            <family val="2"/>
          </rPr>
          <t xml:space="preserve">
Contains one disk:
isdk_disk1 : 102400MB</t>
        </r>
      </text>
    </comment>
    <comment ref="AD27" authorId="1" shapeId="0" xr:uid="{B4F5B227-37CE-4BCF-B03C-BD138A3419C9}">
      <text>
        <r>
          <rPr>
            <b/>
            <sz val="9"/>
            <color indexed="81"/>
            <rFont val="Tahoma"/>
            <family val="2"/>
          </rPr>
          <t>Thippeswamy, Suresh (Nokia - IN/Bangalore):</t>
        </r>
        <r>
          <rPr>
            <sz val="9"/>
            <color indexed="81"/>
            <rFont val="Tahoma"/>
            <family val="2"/>
          </rPr>
          <t xml:space="preserve">
Contains one disk:
isdk_disk1 : 102400MB</t>
        </r>
      </text>
    </comment>
    <comment ref="Z38" authorId="2" shapeId="0" xr:uid="{F574A23C-C5F7-45DF-9501-15B83E50522F}">
      <text>
        <r>
          <rPr>
            <b/>
            <sz val="9"/>
            <color indexed="81"/>
            <rFont val="Tahoma"/>
            <family val="2"/>
          </rPr>
          <t>jarmylly:</t>
        </r>
        <r>
          <rPr>
            <sz val="9"/>
            <color indexed="81"/>
            <rFont val="Tahoma"/>
            <family val="2"/>
          </rPr>
          <t xml:space="preserve">
Contains one disk:
- vm66_REP_disk: 76800 MB
</t>
        </r>
      </text>
    </comment>
    <comment ref="AA38" authorId="4" shapeId="0" xr:uid="{F2F6D7AB-079A-4541-AA15-39232B44B5B0}">
      <text>
        <r>
          <rPr>
            <b/>
            <sz val="9"/>
            <color indexed="81"/>
            <rFont val="Calibri"/>
            <family val="2"/>
          </rPr>
          <t>Jari Myllymaa:</t>
        </r>
        <r>
          <rPr>
            <sz val="9"/>
            <color indexed="81"/>
            <rFont val="Calibri"/>
            <family val="2"/>
          </rPr>
          <t xml:space="preserve">
PMDatastore can extend 50GB</t>
        </r>
      </text>
    </comment>
    <comment ref="Z39" authorId="2" shapeId="0" xr:uid="{BF1972C6-E869-4E24-8E38-2F64673E1F99}">
      <text>
        <r>
          <rPr>
            <b/>
            <sz val="9"/>
            <color indexed="81"/>
            <rFont val="Tahoma"/>
            <family val="2"/>
          </rPr>
          <t>jarmylly:</t>
        </r>
        <r>
          <rPr>
            <sz val="9"/>
            <color indexed="81"/>
            <rFont val="Tahoma"/>
            <family val="2"/>
          </rPr>
          <t xml:space="preserve">
Contains one disk:
- vm66_REP_disk: 76800 MB
</t>
        </r>
      </text>
    </comment>
    <comment ref="Z40" authorId="2" shapeId="0" xr:uid="{17E892F9-4016-4190-AC24-CC4FFD70D4ED}">
      <text>
        <r>
          <rPr>
            <b/>
            <sz val="9"/>
            <color indexed="81"/>
            <rFont val="Tahoma"/>
            <family val="2"/>
          </rPr>
          <t>jarmylly:</t>
        </r>
        <r>
          <rPr>
            <sz val="9"/>
            <color indexed="81"/>
            <rFont val="Tahoma"/>
            <family val="2"/>
          </rPr>
          <t xml:space="preserve">
Contains one disk:
- vm66_REP_disk: 76800 MB
</t>
        </r>
      </text>
    </comment>
    <comment ref="Z41" authorId="2" shapeId="0" xr:uid="{B72F2405-53DF-4C4C-95A3-206543B1071A}">
      <text>
        <r>
          <rPr>
            <b/>
            <sz val="9"/>
            <color indexed="81"/>
            <rFont val="Tahoma"/>
            <family val="2"/>
          </rPr>
          <t>jarmylly:</t>
        </r>
        <r>
          <rPr>
            <sz val="9"/>
            <color indexed="81"/>
            <rFont val="Tahoma"/>
            <family val="2"/>
          </rPr>
          <t xml:space="preserve">
Contains one disk:
- vm66_REP_disk: 76800 MB
</t>
        </r>
      </text>
    </comment>
    <comment ref="AJ44" authorId="0" shapeId="0" xr:uid="{9DBD7A32-39B4-4B67-9CB8-F3D004F0258C}">
      <text>
        <r>
          <rPr>
            <b/>
            <sz val="9"/>
            <color indexed="81"/>
            <rFont val="Tahoma"/>
            <family val="2"/>
          </rPr>
          <t>Avuthu, Charan (EXT - IN/Bangalore):</t>
        </r>
        <r>
          <rPr>
            <sz val="9"/>
            <color indexed="81"/>
            <rFont val="Tahoma"/>
            <family val="2"/>
          </rPr>
          <t xml:space="preserve">
Contians one disk:
-kafka_disk1: 122880 MB</t>
        </r>
      </text>
    </comment>
    <comment ref="AJ45" authorId="0" shapeId="0" xr:uid="{075711E7-0E31-4B1C-AC17-9AFBAC23A4B7}">
      <text>
        <r>
          <rPr>
            <b/>
            <sz val="9"/>
            <color indexed="81"/>
            <rFont val="Tahoma"/>
            <family val="2"/>
          </rPr>
          <t>Avuthu, Charan (EXT - IN/Bangalore):</t>
        </r>
        <r>
          <rPr>
            <sz val="9"/>
            <color indexed="81"/>
            <rFont val="Tahoma"/>
            <family val="2"/>
          </rPr>
          <t xml:space="preserve">
Contians one disk:
-kafka_disk1: 122880 MB</t>
        </r>
      </text>
    </comment>
    <comment ref="AJ46" authorId="0" shapeId="0" xr:uid="{CCDBD7E0-C1C7-4888-AFB0-8C47B36A843B}">
      <text>
        <r>
          <rPr>
            <b/>
            <sz val="9"/>
            <color indexed="81"/>
            <rFont val="Tahoma"/>
            <family val="2"/>
          </rPr>
          <t>Avuthu, Charan (EXT - IN/Bangalore):</t>
        </r>
        <r>
          <rPr>
            <sz val="9"/>
            <color indexed="81"/>
            <rFont val="Tahoma"/>
            <family val="2"/>
          </rPr>
          <t xml:space="preserve">
Contians one disk:
-kafka_disk1: 122880 MB</t>
        </r>
      </text>
    </comment>
    <comment ref="X49" authorId="5" shapeId="0" xr:uid="{6D42F9C8-3847-40C6-8BA1-E59E62679359}">
      <text>
        <r>
          <rPr>
            <b/>
            <sz val="9"/>
            <color indexed="81"/>
            <rFont val="Tahoma"/>
            <family val="2"/>
          </rPr>
          <t>Jayashree Sundaresan (Nokia):</t>
        </r>
        <r>
          <rPr>
            <sz val="9"/>
            <color indexed="81"/>
            <rFont val="Tahoma"/>
            <family val="2"/>
          </rPr>
          <t xml:space="preserve">
Contains one disk:
- backup_disk1: 204800MB</t>
        </r>
      </text>
    </comment>
    <comment ref="AR49" authorId="5" shapeId="0" xr:uid="{BB1644DE-6805-4E4B-89C3-EF2AFAB97382}">
      <text>
        <r>
          <rPr>
            <b/>
            <sz val="9"/>
            <color indexed="81"/>
            <rFont val="Tahoma"/>
            <family val="2"/>
          </rPr>
          <t>Jayashree Sundaresan (Nokia):</t>
        </r>
        <r>
          <rPr>
            <sz val="9"/>
            <color indexed="81"/>
            <rFont val="Tahoma"/>
            <family val="2"/>
          </rPr>
          <t xml:space="preserve">
Contains one disk:
-niv_disk: 153600</t>
        </r>
      </text>
    </comment>
    <comment ref="R51" authorId="0" shapeId="0" xr:uid="{BF6C1F69-D668-45C0-BC08-A45D3578B541}">
      <text>
        <r>
          <rPr>
            <b/>
            <sz val="9"/>
            <color indexed="81"/>
            <rFont val="Tahoma"/>
            <family val="2"/>
          </rPr>
          <t>Avuthu, Charan (EXT - IN/Bangalore):</t>
        </r>
        <r>
          <rPr>
            <sz val="9"/>
            <color indexed="81"/>
            <rFont val="Tahoma"/>
            <family val="2"/>
          </rPr>
          <t xml:space="preserve">
Increase for NFSGlobal disk on VM#5 by 120GB.
 (60GB for each stripe)
-2nd disk from DS1 (For LCM as optional service on Compute1) - 647168 MB (for stripe- Global)
-3rd disk from DS2 (For LCM as optional service on Compute1) - 647168 MB (for stripe- Global)</t>
        </r>
      </text>
    </comment>
    <comment ref="V51" authorId="0" shapeId="0" xr:uid="{588D2EF5-9398-44BC-91AC-0730D04711DC}">
      <text>
        <r>
          <rPr>
            <b/>
            <sz val="9"/>
            <color indexed="81"/>
            <rFont val="Tahoma"/>
            <family val="2"/>
          </rPr>
          <t>Avuthu, Charan (EXT - IN/Bangalore):</t>
        </r>
        <r>
          <rPr>
            <sz val="9"/>
            <color indexed="81"/>
            <rFont val="Tahoma"/>
            <family val="2"/>
          </rPr>
          <t xml:space="preserve">
Contains one disk:
- backup_disk1: 204800MB</t>
        </r>
      </text>
    </comment>
    <comment ref="X51" authorId="0" shapeId="0" xr:uid="{FE0B5697-FFA5-4097-B4FD-5255954D809D}">
      <text>
        <r>
          <rPr>
            <b/>
            <sz val="9"/>
            <color indexed="81"/>
            <rFont val="Tahoma"/>
            <family val="2"/>
          </rPr>
          <t>Avuthu, Charan (EXT - IN/Bangalore):</t>
        </r>
        <r>
          <rPr>
            <sz val="9"/>
            <color indexed="81"/>
            <rFont val="Tahoma"/>
            <family val="2"/>
          </rPr>
          <t xml:space="preserve">
Increase for NFSBackup disk on VM#5 by 120GB
- NFS_backup (For LCM as optional service on Compute1): 877568 MB</t>
        </r>
      </text>
    </comment>
    <comment ref="AH51" authorId="0" shapeId="0" xr:uid="{AB2A8DF5-45F0-4634-AB65-E4BD23A823C3}">
      <text>
        <r>
          <rPr>
            <b/>
            <sz val="9"/>
            <color indexed="81"/>
            <rFont val="Tahoma"/>
            <family val="2"/>
          </rPr>
          <t>Avuthu, Charan (EXT - IN/Bangalore):</t>
        </r>
        <r>
          <rPr>
            <sz val="9"/>
            <color indexed="81"/>
            <rFont val="Tahoma"/>
            <family val="2"/>
          </rPr>
          <t xml:space="preserve">
Contains one disk:
- ccr_disk1: 153600MB</t>
        </r>
      </text>
    </comment>
    <comment ref="I68" authorId="1" shapeId="0" xr:uid="{2B766FB5-72B6-496D-AF34-ABB0E28EDFA0}">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automatically and attached to SWAP partition. With this, the total disk consumption will be 107GB.</t>
        </r>
      </text>
    </comment>
    <comment ref="I69" authorId="2" shapeId="0" xr:uid="{57DE6AF0-D175-461C-9EAB-801A792D3A22}">
      <text>
        <r>
          <rPr>
            <b/>
            <sz val="9"/>
            <color indexed="81"/>
            <rFont val="Tahoma"/>
            <family val="2"/>
          </rPr>
          <t>jarmylly:</t>
        </r>
        <r>
          <rPr>
            <sz val="9"/>
            <color indexed="81"/>
            <rFont val="Tahoma"/>
            <family val="2"/>
          </rPr>
          <t xml:space="preserve">
Contains two disks:
- Disk-1: 60GB
- Disk-2: 40GB</t>
        </r>
      </text>
    </comment>
    <comment ref="I70" authorId="2" shapeId="0" xr:uid="{B3A51C7D-82AF-4DE9-B7BC-B96C324A0786}">
      <text>
        <r>
          <rPr>
            <sz val="9"/>
            <color indexed="81"/>
            <rFont val="Tahoma"/>
            <family val="2"/>
          </rPr>
          <t>Contains two disks:
- Disk-1: 60GB
(NOTE: For servers intended for more than 10 concurrent users the recommended size for disk C is Disk-1 size + RAM size.)
- Disk-2: 50GB</t>
        </r>
      </text>
    </comment>
    <comment ref="I71" authorId="2" shapeId="0" xr:uid="{79AA43E4-89E7-4F32-B431-808B8DD471B8}">
      <text>
        <r>
          <rPr>
            <sz val="9"/>
            <color indexed="81"/>
            <rFont val="Tahoma"/>
            <family val="2"/>
          </rPr>
          <t>Contains two disks:
- Disk-1: 80GB
(NOTE: For servers intended for more than 10 concurrent users the recommended size for disk C is Disk-1 size + RAM size.)
- Disk-2: 40GB</t>
        </r>
      </text>
    </comment>
    <comment ref="I72" authorId="2" shapeId="0" xr:uid="{B423D0FD-FA9C-4E9A-861C-50DB448AE120}">
      <text>
        <r>
          <rPr>
            <b/>
            <sz val="9"/>
            <color indexed="81"/>
            <rFont val="Tahoma"/>
            <family val="2"/>
          </rPr>
          <t>jarmylly:</t>
        </r>
        <r>
          <rPr>
            <sz val="9"/>
            <color indexed="81"/>
            <rFont val="Tahoma"/>
            <family val="2"/>
          </rPr>
          <t xml:space="preserve">
Contains two disks:
- Disk-1: 60GB
- Disk-2: 40GB</t>
        </r>
      </text>
    </comment>
    <comment ref="I73" authorId="2" shapeId="0" xr:uid="{9965D786-67DB-4C8F-8594-3681F1559510}">
      <text>
        <r>
          <rPr>
            <sz val="9"/>
            <color indexed="81"/>
            <rFont val="Tahoma"/>
            <family val="2"/>
          </rPr>
          <t>Contains two disks:
- Disk-1: 60GB
(NOTE: For servers intended for more than 10 concurrent users the recommended size for disk C is Disk-1 size + RAM size.)
- Disk-2: 40GB</t>
        </r>
      </text>
    </comment>
    <comment ref="I74" authorId="2" shapeId="0" xr:uid="{2EC10147-8C52-4550-ADA1-F28AEDCCD80F}">
      <text>
        <r>
          <rPr>
            <sz val="9"/>
            <color indexed="81"/>
            <rFont val="Tahoma"/>
            <family val="2"/>
          </rPr>
          <t>Contains two disks:
- Disk-1: 60GB
(NOTE: For servers intended for more than 10 concurrent users the recommended size for disk C is Disk-1 size + RAM size.)
- Disk-2: 40GB</t>
        </r>
      </text>
    </comment>
    <comment ref="I75" authorId="2" shapeId="0" xr:uid="{74248F36-6D0A-48DC-87C2-E70C7DE00255}">
      <text>
        <r>
          <rPr>
            <sz val="9"/>
            <color indexed="81"/>
            <rFont val="Tahoma"/>
            <family val="2"/>
          </rPr>
          <t>Contains two disks:
- Disk-1: 60GB
(NOTE: For servers intended for more than 10 concurrent users the recommended size for disk C is Disk-1 size + RAM size.)
- Disk-2: 40GB</t>
        </r>
      </text>
    </comment>
    <comment ref="I76" authorId="2" shapeId="0" xr:uid="{1B5671F6-04EF-4666-82AC-D68DF7CFF8EA}">
      <text>
        <r>
          <rPr>
            <sz val="9"/>
            <color indexed="81"/>
            <rFont val="Tahoma"/>
            <family val="2"/>
          </rPr>
          <t>Contains two disks:
- Disk-1: 60GB
(NOTE: For servers intended for more than 10 concurrent users the recommended size for disk C is Disk-1 size + RAM size.)
- Disk-2: 40GB</t>
        </r>
      </text>
    </comment>
    <comment ref="I77" authorId="2" shapeId="0" xr:uid="{AAFF4EE4-B171-47A7-899B-CB87B4F754D5}">
      <text>
        <r>
          <rPr>
            <sz val="9"/>
            <color indexed="81"/>
            <rFont val="Tahoma"/>
            <family val="2"/>
          </rPr>
          <t>Contains two disks:
- Disk-1: 60GB
(NOTE: For servers intended for more than 10 concurrent users the recommended size for disk C is Disk-1 size + RAM size.)
- Disk-2: 40GB</t>
        </r>
      </text>
    </comment>
    <comment ref="I78" authorId="2" shapeId="0" xr:uid="{AE24ECFA-49DE-49FD-8CE2-27BF161AF4FD}">
      <text>
        <r>
          <rPr>
            <sz val="9"/>
            <color indexed="81"/>
            <rFont val="Tahoma"/>
            <family val="2"/>
          </rPr>
          <t>Contains two disks:
- Disk-1: 60GB
(NOTE: For servers intended for more than 10 concurrent users the recommended size for disk C is Disk-1 size + RAM size.)
- Disk-2: 40GB</t>
        </r>
      </text>
    </comment>
    <comment ref="I79" authorId="2" shapeId="0" xr:uid="{DDB17A83-7DCD-4DF0-9B52-1DE939DE42D2}">
      <text>
        <r>
          <rPr>
            <sz val="9"/>
            <color indexed="81"/>
            <rFont val="Tahoma"/>
            <family val="2"/>
          </rPr>
          <t>Contains two disks:
- Disk-1: 60GB
(NOTE: For servers intended for more than 10 concurrent users the recommended size for disk C is Disk-1 size + RAM size.)
- Disk-2: 40GB</t>
        </r>
      </text>
    </comment>
    <comment ref="I80" authorId="2" shapeId="0" xr:uid="{081AC4BE-3E23-4AF2-BB0A-CF421CD9AFE8}">
      <text>
        <r>
          <rPr>
            <sz val="9"/>
            <color indexed="81"/>
            <rFont val="Tahoma"/>
            <family val="2"/>
          </rPr>
          <t>Contains two disks:
- Disk-1: 80GB
(NOTE: For servers intended for more than 10 concurrent users the recommended size for disk C is Disk-1 size + RAM size.)
- Disk-2: 40GB</t>
        </r>
      </text>
    </comment>
    <comment ref="I81" authorId="2" shapeId="0" xr:uid="{8E1BE76C-1BDA-4AB0-9BDA-28695341DF85}">
      <text>
        <r>
          <rPr>
            <sz val="9"/>
            <color indexed="81"/>
            <rFont val="Tahoma"/>
            <family val="2"/>
          </rPr>
          <t>Contains two disks:
- Disk-1: 60GB
(NOTE: For servers intended for more than 10 concurrent users the recommended size for disk C is Disk-1 size + RAM size.)
- Disk-2: 40GB</t>
        </r>
      </text>
    </comment>
    <comment ref="L86" authorId="6" shapeId="0" xr:uid="{167E6851-C9B5-4E11-B08A-6542A60DB1CE}">
      <text>
        <r>
          <rPr>
            <b/>
            <sz val="9"/>
            <color indexed="81"/>
            <rFont val="Tahoma"/>
            <family val="2"/>
          </rPr>
          <t>Ollikainen, Sari (Nokia - FI/Tampere):</t>
        </r>
        <r>
          <rPr>
            <sz val="9"/>
            <color indexed="81"/>
            <rFont val="Tahoma"/>
            <family val="2"/>
          </rPr>
          <t xml:space="preserve">
No of Luns = 2
LUN size: 150GB each
2 Disks:
Disk size - 107520MB from each DS for stripe</t>
        </r>
      </text>
    </comment>
    <comment ref="N86" authorId="6" shapeId="0" xr:uid="{51569CA2-3A42-46BE-9EB8-D5DDB7F75D1E}">
      <text>
        <r>
          <rPr>
            <b/>
            <sz val="9"/>
            <color indexed="81"/>
            <rFont val="Tahoma"/>
            <family val="2"/>
          </rPr>
          <t>Ollikainen, Sari (Nokia - FI/Tampere):</t>
        </r>
        <r>
          <rPr>
            <sz val="9"/>
            <color indexed="81"/>
            <rFont val="Tahoma"/>
            <family val="2"/>
          </rPr>
          <t xml:space="preserve">
No of Luns = 2
LUN size: 1150GB each
2 Disks:
Disk size - 1049600MB from each DS for stripe</t>
        </r>
      </text>
    </comment>
    <comment ref="P86" authorId="6" shapeId="0" xr:uid="{ABB65221-B719-4CEE-BC36-6DD41ADECF4E}">
      <text>
        <r>
          <rPr>
            <b/>
            <sz val="9"/>
            <color indexed="81"/>
            <rFont val="Tahoma"/>
            <family val="2"/>
          </rPr>
          <t>Ollikainen, Sari (Nokia - FI/Tampere):</t>
        </r>
        <r>
          <rPr>
            <sz val="9"/>
            <color indexed="81"/>
            <rFont val="Tahoma"/>
            <family val="2"/>
          </rPr>
          <t xml:space="preserve">
No of Luns = 2
LUN size: 1050GB each
2 Disks:
Disk size - 972800MB from each DS for stripe</t>
        </r>
      </text>
    </comment>
    <comment ref="X86" authorId="6" shapeId="0" xr:uid="{6F2A790F-C724-47F8-8B0A-BB2D595CA61B}">
      <text>
        <r>
          <rPr>
            <b/>
            <sz val="9"/>
            <color indexed="81"/>
            <rFont val="Tahoma"/>
            <family val="2"/>
          </rPr>
          <t>Ollikainen, Sari (Nokia - FI/Tampere):</t>
        </r>
        <r>
          <rPr>
            <sz val="9"/>
            <color indexed="81"/>
            <rFont val="Tahoma"/>
            <family val="2"/>
          </rPr>
          <t xml:space="preserve">
No of Luns = 2
LUN size: 2250GB each
2 Disks:
Disk size - 2053120MB from each DS for stripe</t>
        </r>
      </text>
    </comment>
    <comment ref="I90" authorId="2" shapeId="0" xr:uid="{635B9D88-5502-4164-8E6F-CA688EFF998E}">
      <text>
        <r>
          <rPr>
            <b/>
            <sz val="9"/>
            <color indexed="81"/>
            <rFont val="Tahoma"/>
            <family val="2"/>
          </rPr>
          <t>jarmylly:</t>
        </r>
        <r>
          <rPr>
            <sz val="9"/>
            <color indexed="81"/>
            <rFont val="Tahoma"/>
            <family val="2"/>
          </rPr>
          <t xml:space="preserve">
Contains two disks:
- Disk-1: 30GB
- Disk-2: 80GB</t>
        </r>
      </text>
    </comment>
    <comment ref="I91" authorId="2" shapeId="0" xr:uid="{7541D2ED-3702-406C-B17C-0B102B3BD80A}">
      <text>
        <r>
          <rPr>
            <b/>
            <sz val="9"/>
            <color indexed="81"/>
            <rFont val="Tahoma"/>
            <family val="2"/>
          </rPr>
          <t>jarmylly:</t>
        </r>
        <r>
          <rPr>
            <sz val="9"/>
            <color indexed="81"/>
            <rFont val="Tahoma"/>
            <family val="2"/>
          </rPr>
          <t xml:space="preserve">
Contains two disks:
- Disk-1: 30GB
- Disk-2: 80GB</t>
        </r>
      </text>
    </comment>
    <comment ref="I100" authorId="7" shapeId="0" xr:uid="{0A7B97ED-C10D-44EA-A662-D0BFCDD85F3A}">
      <text>
        <r>
          <rPr>
            <b/>
            <sz val="9"/>
            <color indexed="81"/>
            <rFont val="Tahoma"/>
            <family val="2"/>
          </rPr>
          <t>Kalkko, Vesa (Nokia - FI/Tampere):</t>
        </r>
        <r>
          <rPr>
            <sz val="9"/>
            <color indexed="81"/>
            <rFont val="Tahoma"/>
            <family val="2"/>
          </rPr>
          <t xml:space="preserve">
Contains 5 disks:
- rootVG 100GIB
- cmvVG 100GIB
- mssqlVG 100GIB
- dedupVG 200GIB
- indexVG 400GIB</t>
        </r>
      </text>
    </comment>
    <comment ref="AF101" authorId="1" shapeId="0" xr:uid="{682692EB-ACBF-4CFE-91DB-78A3F2C3800D}">
      <text>
        <r>
          <rPr>
            <b/>
            <sz val="9"/>
            <color indexed="81"/>
            <rFont val="Tahoma"/>
            <family val="2"/>
          </rPr>
          <t>Thippeswamy, Suresh (Nokia - IN/Bangalore):</t>
        </r>
        <r>
          <rPr>
            <sz val="9"/>
            <color indexed="81"/>
            <rFont val="Tahoma"/>
            <family val="2"/>
          </rPr>
          <t xml:space="preserve">
Contains one disk:
    napd_disk1: 204800MB
</t>
        </r>
      </text>
    </comment>
    <comment ref="E117" authorId="2" shapeId="0" xr:uid="{D4F7509D-0937-4418-8168-09A824353056}">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118" authorId="2" shapeId="0" xr:uid="{04DB15F3-E98A-4E6A-B584-7BE32E295826}">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A119" authorId="8" shapeId="0" xr:uid="{C8DC3790-9568-4467-BE51-473C1EF663A3}">
      <text>
        <t>[Threaded comment]
Your version of Excel allows you to read this threaded comment; however, any edits to it will get removed if the file is opened in a newer version of Excel. Learn more: https://go.microsoft.com/fwlink/?linkid=870924
Comment:
    SP1911 Onwards</t>
      </text>
    </comment>
    <comment ref="A120" authorId="9" shapeId="0" xr:uid="{A799CF4C-E7B3-4259-9D25-D80C09786AD2}">
      <text>
        <t>[Threaded comment]
Your version of Excel allows you to read this threaded comment; however, any edits to it will get removed if the file is opened in a newer version of Excel. Learn more: https://go.microsoft.com/fwlink/?linkid=870924
Comment:
    SP2004 onwards</t>
      </text>
    </comment>
    <comment ref="B148" authorId="0" shapeId="0" xr:uid="{7E3D8A9F-63DD-4D30-8E0E-2FFE521F3D26}">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48" authorId="0" shapeId="0" xr:uid="{A2A2862D-BB20-4FC0-B501-1F0B57BAC741}">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49" authorId="0" shapeId="0" xr:uid="{E48AB893-8BF1-40F0-AB29-FE1D72983734}">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C149" authorId="0" shapeId="0" xr:uid="{C53FF0BB-3A68-41F8-93B9-6F13E7C4BE9F}">
      <text>
        <r>
          <rPr>
            <b/>
            <sz val="9"/>
            <color indexed="81"/>
            <rFont val="Tahoma"/>
            <family val="2"/>
          </rPr>
          <t>Avuthu, Charan (EXT - IN/Bangalore):</t>
        </r>
        <r>
          <rPr>
            <sz val="9"/>
            <color indexed="81"/>
            <rFont val="Tahoma"/>
            <family val="2"/>
          </rPr>
          <t xml:space="preserve">
-Increase by additional 60GB, For LCM as optional service on Compute1</t>
        </r>
      </text>
    </comment>
    <comment ref="B151" authorId="7" shapeId="0" xr:uid="{75B67AFC-0266-4214-90D7-455AF29DE463}">
      <text>
        <r>
          <rPr>
            <b/>
            <sz val="9"/>
            <color indexed="81"/>
            <rFont val="Tahoma"/>
            <family val="2"/>
          </rPr>
          <t>Kalkko, Vesa (Nokia - FI/Tampere):</t>
        </r>
        <r>
          <rPr>
            <sz val="9"/>
            <color indexed="81"/>
            <rFont val="Tahoma"/>
            <family val="2"/>
          </rPr>
          <t xml:space="preserve">
- Increase by additional 70GB, If ANB is is used for backup</t>
        </r>
      </text>
    </comment>
    <comment ref="C151" authorId="7" shapeId="0" xr:uid="{15B74D7C-FA76-42D8-A743-C90FCB62C9A5}">
      <text>
        <r>
          <rPr>
            <b/>
            <sz val="9"/>
            <color indexed="81"/>
            <rFont val="Tahoma"/>
            <family val="2"/>
          </rPr>
          <t>Kalkko, Vesa (Nokia - FI/Tampere):</t>
        </r>
        <r>
          <rPr>
            <sz val="9"/>
            <color indexed="81"/>
            <rFont val="Tahoma"/>
            <family val="2"/>
          </rPr>
          <t xml:space="preserve">
- Increase by additional 70GB, If ANB is is used for backup</t>
        </r>
      </text>
    </comment>
    <comment ref="B152" authorId="5" shapeId="0" xr:uid="{B9246068-930F-481D-9716-35DEC30230D0}">
      <text>
        <r>
          <rPr>
            <b/>
            <sz val="9"/>
            <color indexed="81"/>
            <rFont val="Tahoma"/>
            <family val="2"/>
          </rPr>
          <t>Jayashree Sundaresan (Nokia):</t>
        </r>
        <r>
          <rPr>
            <sz val="9"/>
            <color indexed="81"/>
            <rFont val="Tahoma"/>
            <family val="2"/>
          </rPr>
          <t xml:space="preserve">
- Increase by additional 150GB, If NIV is chosen as a optional service in Compute3.</t>
        </r>
      </text>
    </comment>
    <comment ref="C152" authorId="5" shapeId="0" xr:uid="{C692B384-1C47-4C53-8608-799FE980924C}">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B161" authorId="0" shapeId="0" xr:uid="{DCC0BC38-19E1-4B5C-92A2-EBFFB0C48B7D}">
      <text>
        <r>
          <rPr>
            <b/>
            <sz val="9"/>
            <color indexed="81"/>
            <rFont val="Tahoma"/>
            <family val="2"/>
          </rPr>
          <t>Avuthu, Charan (EXT - IN/Bangalore):</t>
        </r>
        <r>
          <rPr>
            <sz val="9"/>
            <color indexed="81"/>
            <rFont val="Tahoma"/>
            <family val="2"/>
          </rPr>
          <t xml:space="preserve">
-Increase by additional 120GB, If LCM+CCR chosen as optional service on Compute1</t>
        </r>
      </text>
    </comment>
    <comment ref="C161" authorId="0" shapeId="0" xr:uid="{3DB2F663-A86B-4452-BCA6-9F5F5AF2C03C}">
      <text>
        <r>
          <rPr>
            <b/>
            <sz val="9"/>
            <color indexed="81"/>
            <rFont val="Tahoma"/>
            <family val="2"/>
          </rPr>
          <t>Avuthu, Charan (EXT - IN/Bangalore):</t>
        </r>
        <r>
          <rPr>
            <sz val="9"/>
            <color indexed="81"/>
            <rFont val="Tahoma"/>
            <family val="2"/>
          </rPr>
          <t xml:space="preserve">
-Increase by additional 120GB, If LCM+CCR chosen as optional service on Compute1</t>
        </r>
      </text>
    </comment>
    <comment ref="B163" authorId="5" shapeId="0" xr:uid="{0CB4DA25-4124-41D0-B5F4-D41870BD43A8}">
      <text>
        <r>
          <rPr>
            <b/>
            <sz val="9"/>
            <color indexed="81"/>
            <rFont val="Tahoma"/>
            <family val="2"/>
          </rPr>
          <t>Jayashree Sundaresan (Nokia):</t>
        </r>
        <r>
          <rPr>
            <sz val="9"/>
            <color indexed="81"/>
            <rFont val="Tahoma"/>
            <family val="2"/>
          </rPr>
          <t xml:space="preserve">
- Increase by additional 180GB, If NIV is chosen as a optional service in Compute3.</t>
        </r>
      </text>
    </comment>
    <comment ref="C163" authorId="5" shapeId="0" xr:uid="{4EF92A22-9BFC-459B-ACD0-714F9169E730}">
      <text>
        <r>
          <rPr>
            <b/>
            <sz val="9"/>
            <color indexed="81"/>
            <rFont val="Tahoma"/>
            <family val="2"/>
          </rPr>
          <t>Jayashree Sundaresan (Nokia):</t>
        </r>
        <r>
          <rPr>
            <sz val="9"/>
            <color indexed="81"/>
            <rFont val="Tahoma"/>
            <family val="2"/>
          </rPr>
          <t xml:space="preserve">
- Increase by additional 200GB, If NIV is chosen as a optional service in Compute3.</t>
        </r>
      </text>
    </comment>
    <comment ref="A164" authorId="1" shapeId="0" xr:uid="{2088BC21-80D4-46E0-82D6-64A69429C0F1}">
      <text>
        <r>
          <rPr>
            <b/>
            <sz val="9"/>
            <color indexed="81"/>
            <rFont val="Tahoma"/>
            <family val="2"/>
          </rPr>
          <t>Thippeswamy, Suresh (Nokia - IN/Bangalore):</t>
        </r>
        <r>
          <rPr>
            <sz val="9"/>
            <color indexed="81"/>
            <rFont val="Tahoma"/>
            <family val="2"/>
          </rPr>
          <t xml:space="preserve">
Based on vCSA version selected, Datastore size and datastore usage  varies</t>
        </r>
      </text>
    </comment>
    <comment ref="B164" authorId="10" shapeId="0" xr:uid="{0B65014D-DCFD-4104-B75B-2C6136E6CBCE}">
      <text>
        <r>
          <rPr>
            <sz val="11"/>
            <color theme="1"/>
            <rFont val="Calibri"/>
            <family val="2"/>
            <scheme val="minor"/>
          </rPr>
          <t>Vesa Kalkko (Nokia):
Increase by additional
200 GB, If ANB backup is used</t>
        </r>
      </text>
    </comment>
    <comment ref="C164" authorId="10" shapeId="0" xr:uid="{43685F6D-575E-4ABF-A539-01B6F26C5E14}">
      <text>
        <r>
          <rPr>
            <sz val="11"/>
            <color theme="1"/>
            <rFont val="Calibri"/>
            <family val="2"/>
            <scheme val="minor"/>
          </rPr>
          <t>Vesa Kalkko (Nokia):
Increase by additional
200 GB, If ANB backup is used</t>
        </r>
      </text>
    </comment>
    <comment ref="A165" authorId="1" shapeId="0" xr:uid="{93C0DB8D-235A-4780-B32A-4AB3CA573D55}">
      <text>
        <r>
          <rPr>
            <b/>
            <sz val="9"/>
            <color indexed="81"/>
            <rFont val="Tahoma"/>
            <family val="2"/>
          </rPr>
          <t>Thippeswamy, Suresh (Nokia - IN/Bangalore):</t>
        </r>
        <r>
          <rPr>
            <sz val="9"/>
            <color indexed="81"/>
            <rFont val="Tahoma"/>
            <family val="2"/>
          </rPr>
          <t xml:space="preserve">
This datastore is needed only if NAPD optional VM is planned to deploy</t>
        </r>
      </text>
    </comment>
    <comment ref="A166" authorId="1" shapeId="0" xr:uid="{94B42B1B-66DE-4563-8606-559416527D52}">
      <text>
        <r>
          <rPr>
            <b/>
            <sz val="9"/>
            <color indexed="81"/>
            <rFont val="Tahoma"/>
            <family val="2"/>
          </rPr>
          <t>Thippeswamy, Suresh (Nokia - IN/Bangalore):</t>
        </r>
        <r>
          <rPr>
            <sz val="9"/>
            <color indexed="81"/>
            <rFont val="Tahoma"/>
            <family val="2"/>
          </rPr>
          <t xml:space="preserve">
This datastore is needed only if ARC optional VM is planned to deploy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Jayashree Sundaresan (Nokia)</author>
  </authors>
  <commentList>
    <comment ref="J7" authorId="0" shapeId="0" xr:uid="{C07517F6-2D42-4239-9AB9-7B1C09C9CEBE}">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B51F12D5-80E6-415F-970F-8A1553C768AD}">
      <text>
        <r>
          <rPr>
            <b/>
            <sz val="9"/>
            <color indexed="81"/>
            <rFont val="Tahoma"/>
            <family val="2"/>
          </rPr>
          <t>jarmylly:</t>
        </r>
        <r>
          <rPr>
            <sz val="9"/>
            <color indexed="81"/>
            <rFont val="Tahoma"/>
            <family val="2"/>
          </rPr>
          <t xml:space="preserve">
Contains one disk:
DB_redo: 60825MB</t>
        </r>
      </text>
    </comment>
    <comment ref="N10" authorId="1" shapeId="0" xr:uid="{B4762F63-8530-4081-B3CD-44CB1BBC82E9}">
      <text>
        <r>
          <rPr>
            <b/>
            <sz val="9"/>
            <color indexed="81"/>
            <rFont val="Tahoma"/>
            <family val="2"/>
          </rPr>
          <t>jarmylly:</t>
        </r>
        <r>
          <rPr>
            <sz val="9"/>
            <color indexed="81"/>
            <rFont val="Tahoma"/>
            <family val="2"/>
          </rPr>
          <t xml:space="preserve">
Contains one disk, either: 
 DB_data: 1244160MB
</t>
        </r>
      </text>
    </comment>
    <comment ref="P10" authorId="1" shapeId="0" xr:uid="{4AF05FA7-B83F-4EC1-AADA-DBF32AC23A2F}">
      <text>
        <r>
          <rPr>
            <b/>
            <sz val="9"/>
            <color indexed="81"/>
            <rFont val="Tahoma"/>
            <family val="2"/>
          </rPr>
          <t>jarmylly:</t>
        </r>
        <r>
          <rPr>
            <sz val="9"/>
            <color indexed="81"/>
            <rFont val="Tahoma"/>
            <family val="2"/>
          </rPr>
          <t xml:space="preserve">
Contains one disk:
 DB_arc: 1520640MB
</t>
        </r>
      </text>
    </comment>
    <comment ref="V10" authorId="1" shapeId="0" xr:uid="{F035F7C7-BC5C-4435-9063-47FA7FC98E5E}">
      <text>
        <r>
          <rPr>
            <b/>
            <sz val="9"/>
            <color indexed="81"/>
            <rFont val="Tahoma"/>
            <family val="2"/>
          </rPr>
          <t>jarmylly:</t>
        </r>
        <r>
          <rPr>
            <sz val="9"/>
            <color indexed="81"/>
            <rFont val="Tahoma"/>
            <family val="2"/>
          </rPr>
          <t xml:space="preserve">
Contains one disk:
 DB_backup: 4095000MB
</t>
        </r>
      </text>
    </comment>
    <comment ref="R11" authorId="1" shapeId="0" xr:uid="{5E9670DE-AEBE-4FC2-9D6D-B2619E3EC670}">
      <text>
        <r>
          <rPr>
            <b/>
            <sz val="9"/>
            <color indexed="81"/>
            <rFont val="Tahoma"/>
            <family val="2"/>
          </rPr>
          <t>jarmylly:</t>
        </r>
        <r>
          <rPr>
            <sz val="9"/>
            <color indexed="81"/>
            <rFont val="Tahoma"/>
            <family val="2"/>
          </rPr>
          <t xml:space="preserve">
 Contains three disks:
- NFS global: 281600 MB 
- NFS home: 12288 MB
- NFS WAS dump:25600 MB</t>
        </r>
      </text>
    </comment>
    <comment ref="V11" authorId="1" shapeId="0" xr:uid="{97566C32-227C-42D4-BAF2-A87438B26F1E}">
      <text>
        <r>
          <rPr>
            <b/>
            <sz val="9"/>
            <color indexed="81"/>
            <rFont val="Tahoma"/>
            <family val="2"/>
          </rPr>
          <t>jarmylly:</t>
        </r>
        <r>
          <rPr>
            <sz val="9"/>
            <color indexed="81"/>
            <rFont val="Tahoma"/>
            <family val="2"/>
          </rPr>
          <t xml:space="preserve">
Contains one disk:
- NFS_backup: 230400MB</t>
        </r>
      </text>
    </comment>
    <comment ref="Z18" authorId="2" shapeId="0" xr:uid="{E92CF396-95FA-4B8A-872F-7198B3A0C179}">
      <text>
        <r>
          <rPr>
            <b/>
            <sz val="9"/>
            <color indexed="81"/>
            <rFont val="Tahoma"/>
            <family val="2"/>
          </rPr>
          <t>Thippeswamy, Suresh (Nokia - IN/Bangalore):</t>
        </r>
        <r>
          <rPr>
            <sz val="9"/>
            <color indexed="81"/>
            <rFont val="Tahoma"/>
            <family val="2"/>
          </rPr>
          <t xml:space="preserve">
Contains 1 disk:
adm_disk1: 51200MB</t>
        </r>
      </text>
    </comment>
    <comment ref="AB20" authorId="2" shapeId="0" xr:uid="{E54606C2-8AED-4B22-B417-DBF0217E7D1C}">
      <text>
        <r>
          <rPr>
            <b/>
            <sz val="9"/>
            <color indexed="81"/>
            <rFont val="Tahoma"/>
            <family val="2"/>
          </rPr>
          <t>Thippeswamy, Suresh (Nokia - IN/Bangalore):</t>
        </r>
        <r>
          <rPr>
            <sz val="9"/>
            <color indexed="81"/>
            <rFont val="Tahoma"/>
            <family val="2"/>
          </rPr>
          <t xml:space="preserve">
Contains one disk:
isdk_disk1 : 66560MB</t>
        </r>
      </text>
    </comment>
    <comment ref="X24" authorId="1" shapeId="0" xr:uid="{6ED8B314-2187-48AD-9F7C-9CF1742C4A7E}">
      <text>
        <r>
          <rPr>
            <b/>
            <sz val="9"/>
            <color indexed="81"/>
            <rFont val="Tahoma"/>
            <family val="2"/>
          </rPr>
          <t>jarmylly:</t>
        </r>
        <r>
          <rPr>
            <sz val="9"/>
            <color indexed="81"/>
            <rFont val="Tahoma"/>
            <family val="2"/>
          </rPr>
          <t xml:space="preserve">
Contains one disk:
- vm66_REP_disk: 46080MB
</t>
        </r>
      </text>
    </comment>
    <comment ref="X25" authorId="1" shapeId="0" xr:uid="{BE08AB88-65AF-46FE-98EE-41F234537EB0}">
      <text>
        <r>
          <rPr>
            <b/>
            <sz val="9"/>
            <color indexed="81"/>
            <rFont val="Tahoma"/>
            <family val="2"/>
          </rPr>
          <t>jarmylly:</t>
        </r>
        <r>
          <rPr>
            <sz val="9"/>
            <color indexed="81"/>
            <rFont val="Tahoma"/>
            <family val="2"/>
          </rPr>
          <t xml:space="preserve">
Contains one disk:
- vm67_REP_disk: 46080MB</t>
        </r>
      </text>
    </comment>
    <comment ref="AF28" authorId="0" shapeId="0" xr:uid="{B8E9EB19-D204-4DE2-91C4-9919DDD8394F}">
      <text>
        <r>
          <rPr>
            <b/>
            <sz val="9"/>
            <color indexed="81"/>
            <rFont val="Tahoma"/>
            <family val="2"/>
          </rPr>
          <t>Avuthu, Charan (EXT - IN/Bangalore):</t>
        </r>
        <r>
          <rPr>
            <sz val="9"/>
            <color indexed="81"/>
            <rFont val="Tahoma"/>
            <family val="2"/>
          </rPr>
          <t xml:space="preserve">
Contians one disk:
-kafka_disk1: 122880 MB</t>
        </r>
      </text>
    </comment>
    <comment ref="V31" authorId="3" shapeId="0" xr:uid="{FF39C2ED-B70E-4957-AC5D-E4F4CEF399CC}">
      <text>
        <r>
          <rPr>
            <b/>
            <sz val="9"/>
            <color indexed="81"/>
            <rFont val="Tahoma"/>
            <family val="2"/>
          </rPr>
          <t>Jayashree Sundaresan (Nokia):</t>
        </r>
        <r>
          <rPr>
            <sz val="9"/>
            <color indexed="81"/>
            <rFont val="Tahoma"/>
            <family val="2"/>
          </rPr>
          <t xml:space="preserve">
Contains one disk:
- backup_disk1: 204800MB</t>
        </r>
      </text>
    </comment>
    <comment ref="AH31" authorId="3" shapeId="0" xr:uid="{D700E020-7AE4-4344-B589-3D67C4632B13}">
      <text>
        <r>
          <rPr>
            <b/>
            <sz val="9"/>
            <color indexed="81"/>
            <rFont val="Tahoma"/>
            <family val="2"/>
          </rPr>
          <t>Jayashree Sundaresan (Nokia):</t>
        </r>
        <r>
          <rPr>
            <sz val="9"/>
            <color indexed="81"/>
            <rFont val="Tahoma"/>
            <family val="2"/>
          </rPr>
          <t xml:space="preserve">
Contains one disk:
-niv_disk: 153600</t>
        </r>
      </text>
    </comment>
    <comment ref="R33" authorId="0" shapeId="0" xr:uid="{5A75E0DC-31E9-4EC4-8FE0-2C70BFABEA26}">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V33" authorId="0" shapeId="0" xr:uid="{00B8744F-144E-4619-BEF1-6D96177587EF}">
      <text>
        <r>
          <rPr>
            <b/>
            <sz val="9"/>
            <color indexed="81"/>
            <rFont val="Tahoma"/>
            <family val="2"/>
          </rPr>
          <t>Avuthu, Charan (EXT - IN/Bangalore):</t>
        </r>
        <r>
          <rPr>
            <sz val="9"/>
            <color indexed="81"/>
            <rFont val="Tahoma"/>
            <family val="2"/>
          </rPr>
          <t xml:space="preserve">
Contains one disk:
- backup_disk1: 204800MB
</t>
        </r>
        <r>
          <rPr>
            <sz val="9"/>
            <color indexed="81"/>
            <rFont val="Tahoma"/>
            <family val="2"/>
          </rPr>
          <t>Increase for NFSBackup disk on VM#5 by 120GB</t>
        </r>
        <r>
          <rPr>
            <sz val="9"/>
            <color indexed="81"/>
            <rFont val="Tahoma"/>
            <family val="2"/>
          </rPr>
          <t xml:space="preserve">
- NFS_backup (For LCM as optional service on Compute1): 353280 MB</t>
        </r>
      </text>
    </comment>
    <comment ref="AD33" authorId="0" shapeId="0" xr:uid="{7F88147F-FD63-4EF8-B966-50A8092F5FC6}">
      <text>
        <r>
          <rPr>
            <b/>
            <sz val="9"/>
            <color indexed="81"/>
            <rFont val="Tahoma"/>
            <family val="2"/>
          </rPr>
          <t>Avuthu, Charan (EXT - IN/Bangalore):</t>
        </r>
        <r>
          <rPr>
            <sz val="9"/>
            <color indexed="81"/>
            <rFont val="Tahoma"/>
            <family val="2"/>
          </rPr>
          <t xml:space="preserve">
Contains one disk:
- ccr_disk1: 153600MB</t>
        </r>
      </text>
    </comment>
    <comment ref="R34" authorId="0" shapeId="0" xr:uid="{EB9674F6-0195-4B31-878E-EC5058922DEE}">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V34" authorId="0" shapeId="0" xr:uid="{12938995-CFA9-448F-B809-2DDC0CABB178}">
      <text>
        <r>
          <rPr>
            <b/>
            <sz val="9"/>
            <color indexed="81"/>
            <rFont val="Tahoma"/>
            <family val="2"/>
          </rPr>
          <t>Avuthu, Charan (EXT - IN/Bangalore):</t>
        </r>
        <r>
          <rPr>
            <sz val="9"/>
            <color indexed="81"/>
            <rFont val="Tahoma"/>
            <family val="2"/>
          </rPr>
          <t xml:space="preserve">
Contains one disk:
- backup_disk1: 204800MB
</t>
        </r>
        <r>
          <rPr>
            <sz val="9"/>
            <color indexed="81"/>
            <rFont val="Tahoma"/>
            <family val="2"/>
          </rPr>
          <t>Increase for NFSBackup disk on VM#5 by 120GB</t>
        </r>
        <r>
          <rPr>
            <sz val="9"/>
            <color indexed="81"/>
            <rFont val="Tahoma"/>
            <family val="2"/>
          </rPr>
          <t xml:space="preserve">
- NFS_backup (For LCM as optional service on Compute1): 353280 MB</t>
        </r>
      </text>
    </comment>
    <comment ref="I39" authorId="2" shapeId="0" xr:uid="{C72407A7-A1AD-449A-B14C-48B7FC4932D5}">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40" authorId="1" shapeId="0" xr:uid="{D3956F3D-9140-4B8D-A269-273465E90A34}">
      <text>
        <r>
          <rPr>
            <b/>
            <sz val="9"/>
            <color indexed="81"/>
            <rFont val="Tahoma"/>
            <family val="2"/>
          </rPr>
          <t>jarmylly:</t>
        </r>
        <r>
          <rPr>
            <sz val="9"/>
            <color indexed="81"/>
            <rFont val="Tahoma"/>
            <family val="2"/>
          </rPr>
          <t xml:space="preserve">
Contains two disks:
- Disk-1: 60GB
- Disk-2: 40GB</t>
        </r>
      </text>
    </comment>
    <comment ref="I41" authorId="1" shapeId="0" xr:uid="{3FD0E96B-38EF-4B06-8ECC-B35061144079}">
      <text>
        <r>
          <rPr>
            <sz val="9"/>
            <color indexed="81"/>
            <rFont val="Tahoma"/>
            <family val="2"/>
          </rPr>
          <t>Contains two disks:
- Disk-1: 60GB
(NOTE: For servers intended for more than 10 concurrent users the recommended size for disk C is Disk-1 size + RAM size.)
- Disk-2: 40GB</t>
        </r>
      </text>
    </comment>
    <comment ref="I42" authorId="1" shapeId="0" xr:uid="{80CE27C4-B8D2-4835-AC1B-8DA9D04D17F0}">
      <text>
        <r>
          <rPr>
            <sz val="9"/>
            <color indexed="81"/>
            <rFont val="Tahoma"/>
            <family val="2"/>
          </rPr>
          <t>Contains two disks:
- Disk-1: 80GB
(NOTE: For servers intended for more than 10 concurrent users the recommended size for disk C is Disk-1 size + RAM size.)
- Disk-2: 40GB</t>
        </r>
      </text>
    </comment>
    <comment ref="I43" authorId="1" shapeId="0" xr:uid="{6075C166-DD48-4264-85FE-A5DBEE796632}">
      <text>
        <r>
          <rPr>
            <sz val="9"/>
            <color indexed="81"/>
            <rFont val="Tahoma"/>
            <family val="2"/>
          </rPr>
          <t>Contains two disks:
- Disk-1: 60GB
(NOTE: For servers intended for more than 10 concurrent users the recommended size for disk C is Disk-1 size + RAM size.)
- Disk-2: 40GB</t>
        </r>
      </text>
    </comment>
    <comment ref="I49" authorId="0" shapeId="0" xr:uid="{A9E95DC7-9E07-4830-AF3F-FC5ABFC5CA13}">
      <text>
        <r>
          <rPr>
            <b/>
            <sz val="9"/>
            <color indexed="81"/>
            <rFont val="Tahoma"/>
            <family val="2"/>
          </rPr>
          <t>Avuthu, Charan (EXT - IN/Bangalore):</t>
        </r>
        <r>
          <rPr>
            <sz val="9"/>
            <color indexed="81"/>
            <rFont val="Tahoma"/>
            <family val="2"/>
          </rPr>
          <t xml:space="preserve">
Contains two disks:
- Disk-1: 30GB
- Disk-2: 80GB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Jayashree Sundaresan (Nokia)</author>
  </authors>
  <commentList>
    <comment ref="J7" authorId="0" shapeId="0" xr:uid="{D6373CBE-5841-44A5-A97B-99BC7F42087D}">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BE9F2A00-E107-4255-B641-4EBAE334FC7C}">
      <text>
        <r>
          <rPr>
            <b/>
            <sz val="9"/>
            <color indexed="81"/>
            <rFont val="Tahoma"/>
            <family val="2"/>
          </rPr>
          <t>jarmylly:</t>
        </r>
        <r>
          <rPr>
            <sz val="9"/>
            <color indexed="81"/>
            <rFont val="Tahoma"/>
            <family val="2"/>
          </rPr>
          <t xml:space="preserve">
Contains one disk:
DB_redo: 60825MB</t>
        </r>
      </text>
    </comment>
    <comment ref="N10" authorId="1" shapeId="0" xr:uid="{628B3604-8B80-4F8D-853C-66EE615269BE}">
      <text>
        <r>
          <rPr>
            <b/>
            <sz val="9"/>
            <color indexed="81"/>
            <rFont val="Tahoma"/>
            <family val="2"/>
          </rPr>
          <t>jarmylly:</t>
        </r>
        <r>
          <rPr>
            <sz val="9"/>
            <color indexed="81"/>
            <rFont val="Tahoma"/>
            <family val="2"/>
          </rPr>
          <t xml:space="preserve">
Contains one disk, either: 
 DB_data(Std): 691200MB
OR
 DB_data(Extended): 2165760MB</t>
        </r>
      </text>
    </comment>
    <comment ref="P10" authorId="1" shapeId="0" xr:uid="{1EE088ED-A828-4D8B-BB02-27C042870385}">
      <text>
        <r>
          <rPr>
            <b/>
            <sz val="9"/>
            <color indexed="81"/>
            <rFont val="Tahoma"/>
            <family val="2"/>
          </rPr>
          <t>jarmylly:</t>
        </r>
        <r>
          <rPr>
            <sz val="9"/>
            <color indexed="81"/>
            <rFont val="Tahoma"/>
            <family val="2"/>
          </rPr>
          <t xml:space="preserve">
Contains one disk:
 DB_arc(Std): 1036800MB
OR
 DB_arc(Extended): 2350080MB</t>
        </r>
      </text>
    </comment>
    <comment ref="X10" authorId="1" shapeId="0" xr:uid="{B9E2D72F-EF27-4059-A431-52E309604C45}">
      <text>
        <r>
          <rPr>
            <b/>
            <sz val="9"/>
            <color indexed="81"/>
            <rFont val="Tahoma"/>
            <family val="2"/>
          </rPr>
          <t>jarmylly:</t>
        </r>
        <r>
          <rPr>
            <sz val="9"/>
            <color indexed="81"/>
            <rFont val="Tahoma"/>
            <family val="2"/>
          </rPr>
          <t xml:space="preserve">
Contains one disk:
 DB_backup(Std): 2580480MB
OR
 DB_backup(Extended): 6497280MB</t>
        </r>
      </text>
    </comment>
    <comment ref="AN10" authorId="2" shapeId="0" xr:uid="{3CE01C74-7854-48F9-B899-DDDE056AB717}">
      <text>
        <r>
          <rPr>
            <b/>
            <sz val="9"/>
            <color indexed="81"/>
            <rFont val="Tahoma"/>
            <family val="2"/>
          </rPr>
          <t>Goyal, Mayank (Nokia - IN/Bangalore):</t>
        </r>
        <r>
          <rPr>
            <sz val="9"/>
            <color indexed="81"/>
            <rFont val="Tahoma"/>
            <family val="2"/>
          </rPr>
          <t xml:space="preserve">
Contains one disk:
- db-fb_disk : 2097152MB </t>
        </r>
      </text>
    </comment>
    <comment ref="R11" authorId="1" shapeId="0" xr:uid="{6875CA1D-2EC5-45FC-BF2E-17F4E0033E61}">
      <text>
        <r>
          <rPr>
            <b/>
            <sz val="9"/>
            <color indexed="81"/>
            <rFont val="Tahoma"/>
            <family val="2"/>
          </rPr>
          <t>jarmylly:</t>
        </r>
        <r>
          <rPr>
            <sz val="9"/>
            <color indexed="81"/>
            <rFont val="Tahoma"/>
            <family val="2"/>
          </rPr>
          <t xml:space="preserve">
 Contains three disks:
- NFS global: 281600 MB
- NFS home: 12288 MB
- NFS WAS dumps: 25600 MB</t>
        </r>
      </text>
    </comment>
    <comment ref="T11" authorId="1" shapeId="0" xr:uid="{D7D61930-D324-4DC4-92B4-F58DE68399F6}">
      <text>
        <r>
          <rPr>
            <b/>
            <sz val="9"/>
            <color indexed="81"/>
            <rFont val="Tahoma"/>
            <family val="2"/>
          </rPr>
          <t>jarmylly:</t>
        </r>
        <r>
          <rPr>
            <sz val="9"/>
            <color indexed="81"/>
            <rFont val="Tahoma"/>
            <family val="2"/>
          </rPr>
          <t xml:space="preserve">
Reserved for customer own data.</t>
        </r>
      </text>
    </comment>
    <comment ref="X11" authorId="1" shapeId="0" xr:uid="{9EF234F1-7B80-4A1F-BEC4-8889B572CA30}">
      <text>
        <r>
          <rPr>
            <b/>
            <sz val="9"/>
            <color indexed="81"/>
            <rFont val="Tahoma"/>
            <family val="2"/>
          </rPr>
          <t>jarmylly:</t>
        </r>
        <r>
          <rPr>
            <sz val="9"/>
            <color indexed="81"/>
            <rFont val="Tahoma"/>
            <family val="2"/>
          </rPr>
          <t xml:space="preserve">
Contains one disk:
- NFS_backup: 230400MB</t>
        </r>
      </text>
    </comment>
    <comment ref="AB18" authorId="3" shapeId="0" xr:uid="{25E144BC-636B-4CF3-8458-BB118D229BBF}">
      <text>
        <r>
          <rPr>
            <b/>
            <sz val="9"/>
            <color indexed="81"/>
            <rFont val="Tahoma"/>
            <family val="2"/>
          </rPr>
          <t>Thippeswamy, Suresh (Nokia - IN/Bangalore):</t>
        </r>
        <r>
          <rPr>
            <sz val="9"/>
            <color indexed="81"/>
            <rFont val="Tahoma"/>
            <family val="2"/>
          </rPr>
          <t xml:space="preserve">
Contains 1 disk:
adm_disk1: 51200MB</t>
        </r>
      </text>
    </comment>
    <comment ref="AD20" authorId="3" shapeId="0" xr:uid="{60DA131F-216A-41C8-BFEA-3B433378BD4D}">
      <text>
        <r>
          <rPr>
            <b/>
            <sz val="9"/>
            <color indexed="81"/>
            <rFont val="Tahoma"/>
            <family val="2"/>
          </rPr>
          <t>Thippeswamy, Suresh (Nokia - IN/Bangalore):</t>
        </r>
        <r>
          <rPr>
            <sz val="9"/>
            <color indexed="81"/>
            <rFont val="Tahoma"/>
            <family val="2"/>
          </rPr>
          <t xml:space="preserve">
Contains one disk:
isdk_disk1 : 66560MB</t>
        </r>
      </text>
    </comment>
    <comment ref="I24" authorId="1" shapeId="0" xr:uid="{F2B1DDCE-19B7-41B0-BFDA-F038F5747220}">
      <text>
        <r>
          <rPr>
            <b/>
            <sz val="9"/>
            <color indexed="81"/>
            <rFont val="Tahoma"/>
            <family val="2"/>
          </rPr>
          <t>jarmylly:</t>
        </r>
        <r>
          <rPr>
            <sz val="9"/>
            <color indexed="81"/>
            <rFont val="Tahoma"/>
            <family val="2"/>
          </rPr>
          <t xml:space="preserve">
Contains two disks:
- Disk-1: 60GB
- Disk-2: 40GB</t>
        </r>
      </text>
    </comment>
    <comment ref="I25" authorId="1" shapeId="0" xr:uid="{8024922A-2120-4FB3-BDBF-DB586BF81DE4}">
      <text>
        <r>
          <rPr>
            <sz val="9"/>
            <color indexed="81"/>
            <rFont val="Tahoma"/>
            <family val="2"/>
          </rPr>
          <t>Contains two disks:
- Disk-1: 60GB
(NOTE: For servers intended for more than 10 concurrent users the recommended size for disk C is Disk-1 size + RAM size.)
- Disk-2: 40GB</t>
        </r>
      </text>
    </comment>
    <comment ref="I26" authorId="1" shapeId="0" xr:uid="{20F1B9E6-018A-4336-BD89-E0BFF8B05D6F}">
      <text>
        <r>
          <rPr>
            <sz val="9"/>
            <color indexed="81"/>
            <rFont val="Tahoma"/>
            <family val="2"/>
          </rPr>
          <t>Contains two disks:
- Disk-1: 80GB
(NOTE: For servers intended for more than 10 concurrent users the recommended size for disk C is Disk-1 size + RAM size.)
- Disk-2: 40GB</t>
        </r>
      </text>
    </comment>
    <comment ref="Z27" authorId="1" shapeId="0" xr:uid="{359BD5BD-BE09-46C1-98D8-F7915770BDE7}">
      <text>
        <r>
          <rPr>
            <b/>
            <sz val="9"/>
            <color indexed="81"/>
            <rFont val="Tahoma"/>
            <family val="2"/>
          </rPr>
          <t>jarmylly:</t>
        </r>
        <r>
          <rPr>
            <sz val="9"/>
            <color indexed="81"/>
            <rFont val="Tahoma"/>
            <family val="2"/>
          </rPr>
          <t xml:space="preserve">
Contains one disk:
- vm66_REP_disk: 46080MB
</t>
        </r>
      </text>
    </comment>
    <comment ref="AA27" authorId="4" shapeId="0" xr:uid="{E73EBBDA-0993-4EB0-9FCF-FF907D2BA613}">
      <text>
        <r>
          <rPr>
            <b/>
            <sz val="9"/>
            <color indexed="81"/>
            <rFont val="Calibri"/>
            <family val="2"/>
          </rPr>
          <t>Jari Myllymaa:</t>
        </r>
        <r>
          <rPr>
            <sz val="9"/>
            <color indexed="81"/>
            <rFont val="Calibri"/>
            <family val="2"/>
          </rPr>
          <t xml:space="preserve">
PMDatastore can extend 50GB</t>
        </r>
      </text>
    </comment>
    <comment ref="Z28" authorId="1" shapeId="0" xr:uid="{4CDD45B5-AE14-45F6-8CC8-1C7C034D5BDC}">
      <text>
        <r>
          <rPr>
            <b/>
            <sz val="9"/>
            <color indexed="81"/>
            <rFont val="Tahoma"/>
            <family val="2"/>
          </rPr>
          <t>jarmylly:</t>
        </r>
        <r>
          <rPr>
            <sz val="9"/>
            <color indexed="81"/>
            <rFont val="Tahoma"/>
            <family val="2"/>
          </rPr>
          <t xml:space="preserve">
Contains one disk:
- vm66_REP_disk: 46080MB</t>
        </r>
      </text>
    </comment>
    <comment ref="AH31" authorId="0" shapeId="0" xr:uid="{93BAE1A2-DF65-4D20-9A0A-CBC201FDD61E}">
      <text>
        <r>
          <rPr>
            <b/>
            <sz val="9"/>
            <color indexed="81"/>
            <rFont val="Tahoma"/>
            <family val="2"/>
          </rPr>
          <t>Avuthu, Charan (EXT - IN/Bangalore):</t>
        </r>
        <r>
          <rPr>
            <sz val="9"/>
            <color indexed="81"/>
            <rFont val="Tahoma"/>
            <family val="2"/>
          </rPr>
          <t xml:space="preserve">
Contians one disk:
-kafka_disk1: 122880 MB</t>
        </r>
      </text>
    </comment>
    <comment ref="X34" authorId="5" shapeId="0" xr:uid="{D2BE48D3-9932-4131-A556-19C3EF16FE9B}">
      <text>
        <r>
          <rPr>
            <b/>
            <sz val="9"/>
            <color indexed="81"/>
            <rFont val="Tahoma"/>
            <family val="2"/>
          </rPr>
          <t>Jayashree Sundaresan (Nokia):</t>
        </r>
        <r>
          <rPr>
            <sz val="9"/>
            <color indexed="81"/>
            <rFont val="Tahoma"/>
            <family val="2"/>
          </rPr>
          <t xml:space="preserve">
Contains one disk:
- backup_disk1: 204800MB</t>
        </r>
      </text>
    </comment>
    <comment ref="AP34" authorId="5" shapeId="0" xr:uid="{AB865E05-43E1-419D-A372-C039B66053A5}">
      <text>
        <r>
          <rPr>
            <b/>
            <sz val="9"/>
            <color indexed="81"/>
            <rFont val="Tahoma"/>
            <family val="2"/>
          </rPr>
          <t>Jayashree Sundaresan (Nokia):</t>
        </r>
        <r>
          <rPr>
            <sz val="9"/>
            <color indexed="81"/>
            <rFont val="Tahoma"/>
            <family val="2"/>
          </rPr>
          <t xml:space="preserve">
Contains one disk:
-niv_disk: 153600</t>
        </r>
      </text>
    </comment>
    <comment ref="R36" authorId="0" shapeId="0" xr:uid="{99E5C3BF-09E0-4F34-AF3B-3CB3D1F6E7FB}">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X36" authorId="0" shapeId="0" xr:uid="{7DDD69F0-E925-48B1-8096-5218202B11F4}">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(If LCM chosen as optional service on Compute1): 353280 MB</t>
        </r>
      </text>
    </comment>
    <comment ref="AF36" authorId="0" shapeId="0" xr:uid="{4A6E2289-AF7E-400B-9600-B9C9395AD25B}">
      <text>
        <r>
          <rPr>
            <b/>
            <sz val="9"/>
            <color indexed="81"/>
            <rFont val="Tahoma"/>
            <family val="2"/>
          </rPr>
          <t>Avuthu, Charan (EXT - IN/Bangalore):</t>
        </r>
        <r>
          <rPr>
            <sz val="9"/>
            <color indexed="81"/>
            <rFont val="Tahoma"/>
            <family val="2"/>
          </rPr>
          <t xml:space="preserve">
Contains one disk:
- ccr_disk1: 153600MB</t>
        </r>
      </text>
    </comment>
    <comment ref="I42" authorId="3" shapeId="0" xr:uid="{4CFF8C49-724F-4152-8E3D-827A71AB7702}">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43" authorId="1" shapeId="0" xr:uid="{3EB4B20F-554C-4FD4-B5E0-72DA8DAC43C9}">
      <text>
        <r>
          <rPr>
            <b/>
            <sz val="9"/>
            <color indexed="81"/>
            <rFont val="Tahoma"/>
            <family val="2"/>
          </rPr>
          <t>jarmylly:</t>
        </r>
        <r>
          <rPr>
            <sz val="9"/>
            <color indexed="81"/>
            <rFont val="Tahoma"/>
            <family val="2"/>
          </rPr>
          <t xml:space="preserve">
Contains two disks:
- Disk-1: 60GB
- Disk-2: 40GB</t>
        </r>
      </text>
    </comment>
    <comment ref="I44" authorId="1" shapeId="0" xr:uid="{35D2AEDD-E96C-432E-A57F-4D2D89FA0A93}">
      <text>
        <r>
          <rPr>
            <sz val="9"/>
            <color indexed="81"/>
            <rFont val="Tahoma"/>
            <family val="2"/>
          </rPr>
          <t>Contains two disks:
- Disk-1: 60GB
(NOTE: For servers intended for more than 10 concurrent users the recommended size for disk C is Disk-1 size + RAM size.)
- Disk-2: 40GB</t>
        </r>
      </text>
    </comment>
    <comment ref="I45" authorId="1" shapeId="0" xr:uid="{2692C189-DFD5-454A-9424-1258A705D02E}">
      <text>
        <r>
          <rPr>
            <sz val="9"/>
            <color indexed="81"/>
            <rFont val="Tahoma"/>
            <family val="2"/>
          </rPr>
          <t>Contains two disks:
- Disk-1: 60GB
(NOTE: For servers intended for more than 10 concurrent users the recommended size for disk C is Disk-1 size + RAM size.)
- Disk-2: 40GB</t>
        </r>
      </text>
    </comment>
    <comment ref="I46" authorId="1" shapeId="0" xr:uid="{C3E2A021-DEB2-4FB5-B1A2-59BEB226623E}">
      <text>
        <r>
          <rPr>
            <sz val="9"/>
            <color indexed="81"/>
            <rFont val="Tahoma"/>
            <family val="2"/>
          </rPr>
          <t>Contains two disks:
- Disk-1: 80GB
(NOTE: For servers intended for more than 10 concurrent users the recommended size for disk C is Disk-1 size + RAM size.)
- Disk-2: 40GB</t>
        </r>
      </text>
    </comment>
    <comment ref="I52" authorId="1" shapeId="0" xr:uid="{B018937B-475D-4711-908D-A2CB27936932}">
      <text>
        <r>
          <rPr>
            <b/>
            <sz val="9"/>
            <color indexed="81"/>
            <rFont val="Tahoma"/>
            <family val="2"/>
          </rPr>
          <t>jarmylly:</t>
        </r>
        <r>
          <rPr>
            <sz val="9"/>
            <color indexed="81"/>
            <rFont val="Tahoma"/>
            <family val="2"/>
          </rPr>
          <t xml:space="preserve">
Contains two disks:
- Disk-1: 30GB
- Disk-2: 80GB</t>
        </r>
      </text>
    </comment>
    <comment ref="I57" authorId="3" shapeId="0" xr:uid="{D689015B-E7E2-4A32-AE95-9C81BB5ED2EF}">
      <text>
        <r>
          <rPr>
            <b/>
            <sz val="9"/>
            <color indexed="81"/>
            <rFont val="Tahoma"/>
            <family val="2"/>
          </rPr>
          <t>Thippeswamy, Suresh (Nokia - IN/Bangalore):</t>
        </r>
        <r>
          <rPr>
            <sz val="9"/>
            <color indexed="81"/>
            <rFont val="Tahoma"/>
            <family val="2"/>
          </rPr>
          <t xml:space="preserve">
OS disk: 50GB
Data Disk:2048GB</t>
        </r>
      </text>
    </comment>
    <comment ref="E71" authorId="1" shapeId="0" xr:uid="{DD7A5B59-E696-4DEE-8347-2FB43A4ECE0F}">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 ref="E72" authorId="1" shapeId="0" xr:uid="{3B68DFDC-E141-4518-BBBD-6BA8A3B2FEC1}">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
In case NetAct virtual cluster contains only G8 servers, there can be only one BTSMED VM.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Jayashree Sundaresan (Nokia)</author>
  </authors>
  <commentList>
    <comment ref="I7" authorId="0" shapeId="0" xr:uid="{2154CA2A-48B4-470D-9204-59BD06806A07}">
      <text>
        <r>
          <rPr>
            <b/>
            <sz val="9"/>
            <color indexed="81"/>
            <rFont val="Tahoma"/>
            <family val="2"/>
          </rPr>
          <t>Avuthu, Charan (EXT - IN/Bangalore):</t>
        </r>
        <r>
          <rPr>
            <sz val="9"/>
            <color indexed="81"/>
            <rFont val="Tahoma"/>
            <family val="2"/>
          </rPr>
          <t xml:space="preserve">
Instance OS Level SWAP size, will derive from the flavor</t>
        </r>
      </text>
    </comment>
    <comment ref="K7" authorId="1" shapeId="0" xr:uid="{182488FB-EA85-4EA4-91FF-CE192518D764}">
      <text>
        <r>
          <rPr>
            <b/>
            <sz val="9"/>
            <color indexed="81"/>
            <rFont val="Tahoma"/>
            <family val="2"/>
          </rPr>
          <t>jarmylly:</t>
        </r>
        <r>
          <rPr>
            <sz val="9"/>
            <color indexed="81"/>
            <rFont val="Tahoma"/>
            <family val="2"/>
          </rPr>
          <t xml:space="preserve">
Only if Airframe Hardware used</t>
        </r>
      </text>
    </comment>
    <comment ref="O7" authorId="1" shapeId="0" xr:uid="{94FEB738-6B1B-4596-BA91-E3A07C03E58A}">
      <text>
        <r>
          <rPr>
            <b/>
            <sz val="9"/>
            <color indexed="81"/>
            <rFont val="Tahoma"/>
            <family val="2"/>
          </rPr>
          <t>jarmylly:</t>
        </r>
        <r>
          <rPr>
            <sz val="9"/>
            <color indexed="81"/>
            <rFont val="Tahoma"/>
            <family val="2"/>
          </rPr>
          <t xml:space="preserve">
Only if Airframe Hardware used</t>
        </r>
      </text>
    </comment>
    <comment ref="S7" authorId="1" shapeId="0" xr:uid="{B8C434D1-7595-4BFC-8FF8-5EE9F6EBEEE6}">
      <text>
        <r>
          <rPr>
            <b/>
            <sz val="9"/>
            <color indexed="81"/>
            <rFont val="Tahoma"/>
            <family val="2"/>
          </rPr>
          <t>jarmylly:</t>
        </r>
        <r>
          <rPr>
            <sz val="9"/>
            <color indexed="81"/>
            <rFont val="Tahoma"/>
            <family val="2"/>
          </rPr>
          <t xml:space="preserve">
Only if Airframe Hardware used</t>
        </r>
      </text>
    </comment>
    <comment ref="W7" authorId="1" shapeId="0" xr:uid="{5DEC72D4-D18F-4575-A630-224D6A8026F1}">
      <text>
        <r>
          <rPr>
            <b/>
            <sz val="9"/>
            <color indexed="81"/>
            <rFont val="Tahoma"/>
            <family val="2"/>
          </rPr>
          <t>jarmylly:</t>
        </r>
        <r>
          <rPr>
            <sz val="9"/>
            <color indexed="81"/>
            <rFont val="Tahoma"/>
            <family val="2"/>
          </rPr>
          <t xml:space="preserve">
Only if Airframe Hardware used</t>
        </r>
      </text>
    </comment>
    <comment ref="AA7" authorId="1" shapeId="0" xr:uid="{9DF2C223-5528-428B-83E8-143210CCDA73}">
      <text>
        <r>
          <rPr>
            <b/>
            <sz val="9"/>
            <color indexed="81"/>
            <rFont val="Tahoma"/>
            <family val="2"/>
          </rPr>
          <t>jarmylly:</t>
        </r>
        <r>
          <rPr>
            <sz val="9"/>
            <color indexed="81"/>
            <rFont val="Tahoma"/>
            <family val="2"/>
          </rPr>
          <t xml:space="preserve">
Only if Airframe Hardware used</t>
        </r>
      </text>
    </comment>
    <comment ref="AE7" authorId="1" shapeId="0" xr:uid="{E6D30B84-253F-4742-9C80-08F52C5D2CC6}">
      <text>
        <r>
          <rPr>
            <b/>
            <sz val="9"/>
            <color indexed="81"/>
            <rFont val="Tahoma"/>
            <family val="2"/>
          </rPr>
          <t>jarmylly:</t>
        </r>
        <r>
          <rPr>
            <sz val="9"/>
            <color indexed="81"/>
            <rFont val="Tahoma"/>
            <family val="2"/>
          </rPr>
          <t xml:space="preserve">
Only if Airframe Hardware used</t>
        </r>
      </text>
    </comment>
    <comment ref="AI7" authorId="1" shapeId="0" xr:uid="{C7D2CD37-46F5-48A1-A9A5-36E434CDC6DB}">
      <text>
        <r>
          <rPr>
            <b/>
            <sz val="9"/>
            <color indexed="81"/>
            <rFont val="Tahoma"/>
            <family val="2"/>
          </rPr>
          <t>jarmylly:</t>
        </r>
        <r>
          <rPr>
            <sz val="9"/>
            <color indexed="81"/>
            <rFont val="Tahoma"/>
            <family val="2"/>
          </rPr>
          <t xml:space="preserve">
Only if Airframe Hardware used</t>
        </r>
      </text>
    </comment>
    <comment ref="AM7" authorId="1" shapeId="0" xr:uid="{E48EA471-4236-4166-9877-E7626EBF8CE2}">
      <text>
        <r>
          <rPr>
            <b/>
            <sz val="9"/>
            <color indexed="81"/>
            <rFont val="Tahoma"/>
            <family val="2"/>
          </rPr>
          <t>jarmylly:</t>
        </r>
        <r>
          <rPr>
            <sz val="9"/>
            <color indexed="81"/>
            <rFont val="Tahoma"/>
            <family val="2"/>
          </rPr>
          <t xml:space="preserve">
Only if Airframe Hardware used</t>
        </r>
      </text>
    </comment>
    <comment ref="AQ7" authorId="1" shapeId="0" xr:uid="{4947BE60-15AE-4848-BBFF-191BCCB49EA5}">
      <text>
        <r>
          <rPr>
            <b/>
            <sz val="9"/>
            <color indexed="81"/>
            <rFont val="Tahoma"/>
            <family val="2"/>
          </rPr>
          <t>jarmylly:</t>
        </r>
        <r>
          <rPr>
            <sz val="9"/>
            <color indexed="81"/>
            <rFont val="Tahoma"/>
            <family val="2"/>
          </rPr>
          <t xml:space="preserve">
Only if Airframe Hardware used</t>
        </r>
      </text>
    </comment>
    <comment ref="AU7" authorId="1" shapeId="0" xr:uid="{9DB36DBB-17A3-4FF0-B6F7-AEBEA87F62B6}">
      <text>
        <r>
          <rPr>
            <b/>
            <sz val="9"/>
            <color indexed="81"/>
            <rFont val="Tahoma"/>
            <family val="2"/>
          </rPr>
          <t>jarmylly:</t>
        </r>
        <r>
          <rPr>
            <sz val="9"/>
            <color indexed="81"/>
            <rFont val="Tahoma"/>
            <family val="2"/>
          </rPr>
          <t xml:space="preserve">
Only if Airframe Hardware used</t>
        </r>
      </text>
    </comment>
    <comment ref="AY7" authorId="1" shapeId="0" xr:uid="{B0BF2924-6743-46B5-8794-811DFF3E280F}">
      <text>
        <r>
          <rPr>
            <b/>
            <sz val="9"/>
            <color indexed="81"/>
            <rFont val="Tahoma"/>
            <family val="2"/>
          </rPr>
          <t>jarmylly:</t>
        </r>
        <r>
          <rPr>
            <sz val="9"/>
            <color indexed="81"/>
            <rFont val="Tahoma"/>
            <family val="2"/>
          </rPr>
          <t xml:space="preserve">
Only if Airframe Hardware used</t>
        </r>
      </text>
    </comment>
    <comment ref="BC7" authorId="0" shapeId="0" xr:uid="{4AE5F057-0A41-4FFC-96B7-2DF1BBCC03AF}">
      <text>
        <r>
          <rPr>
            <b/>
            <sz val="9"/>
            <color indexed="81"/>
            <rFont val="Tahoma"/>
            <family val="2"/>
          </rPr>
          <t>Avuthu, Charan (EXT - IN/Bangalore):</t>
        </r>
        <r>
          <rPr>
            <sz val="9"/>
            <color indexed="81"/>
            <rFont val="Tahoma"/>
            <family val="2"/>
          </rPr>
          <t xml:space="preserve">
Only if Airframe Hardware used</t>
        </r>
      </text>
    </comment>
    <comment ref="BG7" authorId="1" shapeId="0" xr:uid="{E0FACF07-E83D-4F37-9A1C-93C34E19CCC7}">
      <text>
        <r>
          <rPr>
            <b/>
            <sz val="9"/>
            <color indexed="81"/>
            <rFont val="Tahoma"/>
            <family val="2"/>
          </rPr>
          <t>jarmylly:</t>
        </r>
        <r>
          <rPr>
            <sz val="9"/>
            <color indexed="81"/>
            <rFont val="Tahoma"/>
            <family val="2"/>
          </rPr>
          <t xml:space="preserve">
Only if Airframe Hardware used</t>
        </r>
      </text>
    </comment>
    <comment ref="L8" authorId="1" shapeId="0" xr:uid="{DE558F70-9026-45EE-91E8-E9772301D281}">
      <text>
        <r>
          <rPr>
            <b/>
            <sz val="9"/>
            <color indexed="81"/>
            <rFont val="Tahoma"/>
            <family val="2"/>
          </rPr>
          <t>jarmylly:</t>
        </r>
        <r>
          <rPr>
            <sz val="9"/>
            <color indexed="81"/>
            <rFont val="Tahoma"/>
            <family val="2"/>
          </rPr>
          <t xml:space="preserve">
Images name: rhel7_insteng</t>
        </r>
      </text>
    </comment>
    <comment ref="L9" authorId="1" shapeId="0" xr:uid="{7F227B0B-4A31-4C29-A443-5A09460647A8}">
      <text>
        <r>
          <rPr>
            <b/>
            <sz val="9"/>
            <color indexed="81"/>
            <rFont val="Tahoma"/>
            <family val="2"/>
          </rPr>
          <t>jarmylly:</t>
        </r>
        <r>
          <rPr>
            <sz val="9"/>
            <color indexed="81"/>
            <rFont val="Tahoma"/>
            <family val="2"/>
          </rPr>
          <t xml:space="preserve">
Image name: administration_server</t>
        </r>
      </text>
    </comment>
    <comment ref="L10" authorId="1" shapeId="0" xr:uid="{246FB31E-A647-4152-B714-BD3E03BB410E}">
      <text>
        <r>
          <rPr>
            <b/>
            <sz val="9"/>
            <color indexed="81"/>
            <rFont val="Tahoma"/>
            <family val="2"/>
          </rPr>
          <t>jarmylly:</t>
        </r>
        <r>
          <rPr>
            <sz val="9"/>
            <color indexed="81"/>
            <rFont val="Tahoma"/>
            <family val="2"/>
          </rPr>
          <t xml:space="preserve">
Image name: netact_rhel_base</t>
        </r>
      </text>
    </comment>
    <comment ref="L11" authorId="1" shapeId="0" xr:uid="{7E031B8A-6A40-4194-9ED8-820D9AB4F04E}">
      <text>
        <r>
          <rPr>
            <b/>
            <sz val="9"/>
            <color indexed="81"/>
            <rFont val="Tahoma"/>
            <family val="2"/>
          </rPr>
          <t>jarmylly:</t>
        </r>
        <r>
          <rPr>
            <sz val="9"/>
            <color indexed="81"/>
            <rFont val="Tahoma"/>
            <family val="2"/>
          </rPr>
          <t xml:space="preserve">
Image name: netact_rhel_base</t>
        </r>
      </text>
    </comment>
    <comment ref="P11" authorId="1" shapeId="0" xr:uid="{3CD60C43-30B1-4A28-8C73-7812A4846050}">
      <text>
        <r>
          <rPr>
            <b/>
            <sz val="9"/>
            <color indexed="81"/>
            <rFont val="Tahoma"/>
            <family val="2"/>
          </rPr>
          <t>jarmylly:</t>
        </r>
        <r>
          <rPr>
            <sz val="9"/>
            <color indexed="81"/>
            <rFont val="Tahoma"/>
            <family val="2"/>
          </rPr>
          <t xml:space="preserve">
Image name: vgredo</t>
        </r>
      </text>
    </comment>
    <comment ref="T11" authorId="1" shapeId="0" xr:uid="{71D3A6BF-21AF-4630-9DD2-BB3E7F06F760}">
      <text>
        <r>
          <rPr>
            <b/>
            <sz val="9"/>
            <color indexed="81"/>
            <rFont val="Tahoma"/>
            <family val="2"/>
          </rPr>
          <t>jarmylly:</t>
        </r>
        <r>
          <rPr>
            <sz val="9"/>
            <color indexed="81"/>
            <rFont val="Tahoma"/>
            <family val="2"/>
          </rPr>
          <t xml:space="preserve">
Image name: vgdb</t>
        </r>
      </text>
    </comment>
    <comment ref="X11" authorId="1" shapeId="0" xr:uid="{F3ECA679-347E-4199-85E8-0E841D2DCAA0}">
      <text>
        <r>
          <rPr>
            <b/>
            <sz val="9"/>
            <color indexed="81"/>
            <rFont val="Tahoma"/>
            <family val="2"/>
          </rPr>
          <t>jarmylly:</t>
        </r>
        <r>
          <rPr>
            <sz val="9"/>
            <color indexed="81"/>
            <rFont val="Tahoma"/>
            <family val="2"/>
          </rPr>
          <t xml:space="preserve">
Image name: vgarc</t>
        </r>
      </text>
    </comment>
    <comment ref="BH11" authorId="2" shapeId="0" xr:uid="{F5528F9B-7253-492B-AA82-2D0BAB3CCF47}">
      <text>
        <r>
          <rPr>
            <b/>
            <sz val="9"/>
            <color indexed="81"/>
            <rFont val="Tahoma"/>
            <family val="2"/>
          </rPr>
          <t xml:space="preserve"> Alok :name
</t>
        </r>
        <r>
          <rPr>
            <sz val="9"/>
            <color indexed="81"/>
            <rFont val="Tahoma"/>
            <family val="2"/>
          </rPr>
          <t>vgdbfb</t>
        </r>
      </text>
    </comment>
    <comment ref="BM11" authorId="3" shapeId="0" xr:uid="{E4BD9CA2-5F50-4601-AE82-B5EE0F7FE29E}">
      <text>
        <r>
          <rPr>
            <b/>
            <sz val="9"/>
            <color indexed="81"/>
            <rFont val="Tahoma"/>
            <family val="2"/>
          </rPr>
          <t>Goyal, Mayank (Nokia - IN/Bangalore):</t>
        </r>
        <r>
          <rPr>
            <sz val="9"/>
            <color indexed="81"/>
            <rFont val="Tahoma"/>
            <family val="2"/>
          </rPr>
          <t xml:space="preserve">
with FB enable 6 else 5</t>
        </r>
      </text>
    </comment>
    <comment ref="L12" authorId="1" shapeId="0" xr:uid="{C3B078C4-0039-46AF-9311-EA17332ABB86}">
      <text>
        <r>
          <rPr>
            <b/>
            <sz val="9"/>
            <color indexed="81"/>
            <rFont val="Tahoma"/>
            <family val="2"/>
          </rPr>
          <t>jarmylly:</t>
        </r>
        <r>
          <rPr>
            <sz val="9"/>
            <color indexed="81"/>
            <rFont val="Tahoma"/>
            <family val="2"/>
          </rPr>
          <t xml:space="preserve">
Image name: netact_rhel_base</t>
        </r>
      </text>
    </comment>
    <comment ref="Y12" authorId="2" shapeId="0" xr:uid="{8993C5F5-1589-4AFF-87DA-68657EBDFDFA}">
      <text>
        <r>
          <rPr>
            <b/>
            <sz val="9"/>
            <color indexed="81"/>
            <rFont val="Tahoma"/>
            <family val="2"/>
          </rPr>
          <t>Rastogi, Alok (Nokia - IN/Bangalore):</t>
        </r>
        <r>
          <rPr>
            <sz val="9"/>
            <color indexed="81"/>
            <rFont val="Tahoma"/>
            <family val="2"/>
          </rPr>
          <t xml:space="preserve">
Contains three disks:
NFS Global: 281600 MB
NFS Home :12288 MB
NFS WAS dump: 25600 MB</t>
        </r>
      </text>
    </comment>
    <comment ref="AB12" authorId="1" shapeId="0" xr:uid="{301ED238-99E8-46EF-A82B-3D9E9496A875}">
      <text>
        <r>
          <rPr>
            <b/>
            <sz val="9"/>
            <color indexed="81"/>
            <rFont val="Tahoma"/>
            <family val="2"/>
          </rPr>
          <t>jarmylly:</t>
        </r>
        <r>
          <rPr>
            <sz val="9"/>
            <color indexed="81"/>
            <rFont val="Tahoma"/>
            <family val="2"/>
          </rPr>
          <t xml:space="preserve">
Image names:
- vgglobal
- vghome</t>
        </r>
      </text>
    </comment>
    <comment ref="AC12" authorId="1" shapeId="0" xr:uid="{176DE8BB-2813-43E5-9C18-76F2E240D5D4}">
      <text>
        <r>
          <rPr>
            <b/>
            <sz val="9"/>
            <color indexed="81"/>
            <rFont val="Tahoma"/>
            <family val="2"/>
          </rPr>
          <t>jarmylly:</t>
        </r>
        <r>
          <rPr>
            <sz val="9"/>
            <color indexed="81"/>
            <rFont val="Tahoma"/>
            <family val="2"/>
          </rPr>
          <t xml:space="preserve">
Reserved for customer own data.</t>
        </r>
      </text>
    </comment>
    <comment ref="L13" authorId="1" shapeId="0" xr:uid="{7DC21895-7A4A-4664-933C-74DFBDE179EC}">
      <text>
        <r>
          <rPr>
            <b/>
            <sz val="9"/>
            <color indexed="81"/>
            <rFont val="Tahoma"/>
            <family val="2"/>
          </rPr>
          <t>jarmylly:</t>
        </r>
        <r>
          <rPr>
            <sz val="9"/>
            <color indexed="81"/>
            <rFont val="Tahoma"/>
            <family val="2"/>
          </rPr>
          <t xml:space="preserve">
Image name: netact_rhel_base</t>
        </r>
      </text>
    </comment>
    <comment ref="L14" authorId="1" shapeId="0" xr:uid="{A9774653-DF59-4240-9F7D-B75924FAC2B4}">
      <text>
        <r>
          <rPr>
            <b/>
            <sz val="9"/>
            <color indexed="81"/>
            <rFont val="Tahoma"/>
            <family val="2"/>
          </rPr>
          <t>jarmylly:</t>
        </r>
        <r>
          <rPr>
            <sz val="9"/>
            <color indexed="81"/>
            <rFont val="Tahoma"/>
            <family val="2"/>
          </rPr>
          <t xml:space="preserve">
Image name: netact_rhel_base</t>
        </r>
      </text>
    </comment>
    <comment ref="L15" authorId="1" shapeId="0" xr:uid="{CD69299D-0683-4BE5-AE7E-F90037388600}">
      <text>
        <r>
          <rPr>
            <b/>
            <sz val="9"/>
            <color indexed="81"/>
            <rFont val="Tahoma"/>
            <family val="2"/>
          </rPr>
          <t>jarmylly:</t>
        </r>
        <r>
          <rPr>
            <sz val="9"/>
            <color indexed="81"/>
            <rFont val="Tahoma"/>
            <family val="2"/>
          </rPr>
          <t xml:space="preserve">
Image name: netact_rhel_base</t>
        </r>
      </text>
    </comment>
    <comment ref="L16" authorId="1" shapeId="0" xr:uid="{90EE6868-8BA9-4C6A-BDDB-3A0F119F3499}">
      <text>
        <r>
          <rPr>
            <b/>
            <sz val="9"/>
            <color indexed="81"/>
            <rFont val="Tahoma"/>
            <family val="2"/>
          </rPr>
          <t>jarmylly:</t>
        </r>
        <r>
          <rPr>
            <sz val="9"/>
            <color indexed="81"/>
            <rFont val="Tahoma"/>
            <family val="2"/>
          </rPr>
          <t xml:space="preserve">
Image name: netact_rhel_base</t>
        </r>
      </text>
    </comment>
    <comment ref="L17" authorId="1" shapeId="0" xr:uid="{F762EBE9-514A-4C87-AE73-76080CC5B1FB}">
      <text>
        <r>
          <rPr>
            <b/>
            <sz val="9"/>
            <color indexed="81"/>
            <rFont val="Tahoma"/>
            <family val="2"/>
          </rPr>
          <t>jarmylly:</t>
        </r>
        <r>
          <rPr>
            <sz val="9"/>
            <color indexed="81"/>
            <rFont val="Tahoma"/>
            <family val="2"/>
          </rPr>
          <t xml:space="preserve">
Image name: netact_rhel_base</t>
        </r>
      </text>
    </comment>
    <comment ref="L18" authorId="1" shapeId="0" xr:uid="{2143C8F9-327C-4985-AACB-259A437F071B}">
      <text>
        <r>
          <rPr>
            <b/>
            <sz val="9"/>
            <color indexed="81"/>
            <rFont val="Tahoma"/>
            <family val="2"/>
          </rPr>
          <t>jarmylly:</t>
        </r>
        <r>
          <rPr>
            <sz val="9"/>
            <color indexed="81"/>
            <rFont val="Tahoma"/>
            <family val="2"/>
          </rPr>
          <t xml:space="preserve">
Image name: netact_rhel_base</t>
        </r>
      </text>
    </comment>
    <comment ref="L19" authorId="1" shapeId="0" xr:uid="{EA399AE2-A4BB-47EB-B4D9-392DF34DBF88}">
      <text>
        <r>
          <rPr>
            <b/>
            <sz val="9"/>
            <color indexed="81"/>
            <rFont val="Tahoma"/>
            <family val="2"/>
          </rPr>
          <t>jarmylly:</t>
        </r>
        <r>
          <rPr>
            <sz val="9"/>
            <color indexed="81"/>
            <rFont val="Tahoma"/>
            <family val="2"/>
          </rPr>
          <t xml:space="preserve">
Image name: netact_rhel_base</t>
        </r>
      </text>
    </comment>
    <comment ref="AR19" authorId="2" shapeId="0" xr:uid="{11C13C31-8E4D-4EEB-82B8-F14A2E7EC1DE}">
      <text>
        <r>
          <rPr>
            <b/>
            <sz val="9"/>
            <color indexed="81"/>
            <rFont val="Tahoma"/>
            <family val="2"/>
          </rPr>
          <t xml:space="preserve"> Alok :name
</t>
        </r>
        <r>
          <rPr>
            <sz val="9"/>
            <color indexed="81"/>
            <rFont val="Tahoma"/>
            <family val="2"/>
          </rPr>
          <t>vgadm</t>
        </r>
      </text>
    </comment>
    <comment ref="L20" authorId="1" shapeId="0" xr:uid="{BCA10E5E-5687-4205-AC51-56111EA968FE}">
      <text>
        <r>
          <rPr>
            <b/>
            <sz val="9"/>
            <color indexed="81"/>
            <rFont val="Tahoma"/>
            <family val="2"/>
          </rPr>
          <t>jarmylly:</t>
        </r>
        <r>
          <rPr>
            <sz val="9"/>
            <color indexed="81"/>
            <rFont val="Tahoma"/>
            <family val="2"/>
          </rPr>
          <t xml:space="preserve">
Image name: netact_rhel_base</t>
        </r>
      </text>
    </comment>
    <comment ref="L21" authorId="1" shapeId="0" xr:uid="{F36A1037-3C0E-43C8-9415-ABDB5620E13F}">
      <text>
        <r>
          <rPr>
            <b/>
            <sz val="9"/>
            <color indexed="81"/>
            <rFont val="Tahoma"/>
            <family val="2"/>
          </rPr>
          <t>jarmylly:</t>
        </r>
        <r>
          <rPr>
            <sz val="9"/>
            <color indexed="81"/>
            <rFont val="Tahoma"/>
            <family val="2"/>
          </rPr>
          <t xml:space="preserve">
Image name: netact_rhel_base</t>
        </r>
      </text>
    </comment>
    <comment ref="AV21" authorId="4" shapeId="0" xr:uid="{88DF5F8D-2314-472D-ABF5-094702789FCB}">
      <text>
        <r>
          <rPr>
            <b/>
            <sz val="9"/>
            <color indexed="81"/>
            <rFont val="Tahoma"/>
            <family val="2"/>
          </rPr>
          <t>Thippeswamy, Suresh (Nokia - IN/Bangalore):</t>
        </r>
        <r>
          <rPr>
            <sz val="9"/>
            <color indexed="81"/>
            <rFont val="Tahoma"/>
            <family val="2"/>
          </rPr>
          <t xml:space="preserve">
Image Name:vgisdk</t>
        </r>
      </text>
    </comment>
    <comment ref="BM21" authorId="4" shapeId="0" xr:uid="{E1E9FFBF-2FD5-4C92-B9B7-6F1A44CB5B43}">
      <text>
        <r>
          <rPr>
            <b/>
            <sz val="9"/>
            <color indexed="81"/>
            <rFont val="Tahoma"/>
            <family val="2"/>
          </rPr>
          <t>Thippeswamy, Suresh (Nokia - IN/Bangalore):</t>
        </r>
        <r>
          <rPr>
            <sz val="9"/>
            <color indexed="81"/>
            <rFont val="Tahoma"/>
            <family val="2"/>
          </rPr>
          <t xml:space="preserve">
CRSR-227: Changed to 3 from 2</t>
        </r>
      </text>
    </comment>
    <comment ref="L22" authorId="1" shapeId="0" xr:uid="{8B9D4F18-3786-4A41-95AA-73646E05BD3C}">
      <text>
        <r>
          <rPr>
            <b/>
            <sz val="9"/>
            <color indexed="81"/>
            <rFont val="Tahoma"/>
            <family val="2"/>
          </rPr>
          <t>jarmylly:</t>
        </r>
        <r>
          <rPr>
            <sz val="9"/>
            <color indexed="81"/>
            <rFont val="Tahoma"/>
            <family val="2"/>
          </rPr>
          <t xml:space="preserve">
Image name: netact_rhel_base</t>
        </r>
      </text>
    </comment>
    <comment ref="L23" authorId="1" shapeId="0" xr:uid="{F096F427-B8BA-484D-89DB-FCF451D63746}">
      <text>
        <r>
          <rPr>
            <b/>
            <sz val="9"/>
            <color indexed="81"/>
            <rFont val="Tahoma"/>
            <family val="2"/>
          </rPr>
          <t>jarmylly:</t>
        </r>
        <r>
          <rPr>
            <sz val="9"/>
            <color indexed="81"/>
            <rFont val="Tahoma"/>
            <family val="2"/>
          </rPr>
          <t xml:space="preserve">
Image name: netact_rhel_base</t>
        </r>
      </text>
    </comment>
    <comment ref="L24" authorId="1" shapeId="0" xr:uid="{44611C21-21C2-4226-A1C8-CF6848855C0E}">
      <text>
        <r>
          <rPr>
            <b/>
            <sz val="9"/>
            <color indexed="81"/>
            <rFont val="Tahoma"/>
            <family val="2"/>
          </rPr>
          <t>jarmylly:</t>
        </r>
        <r>
          <rPr>
            <sz val="9"/>
            <color indexed="81"/>
            <rFont val="Tahoma"/>
            <family val="2"/>
          </rPr>
          <t xml:space="preserve">
Image name: netact_rhel_base</t>
        </r>
      </text>
    </comment>
    <comment ref="H25" authorId="1" shapeId="0" xr:uid="{9C34C678-7DC4-4D16-AF2F-28F64DA8544A}">
      <text>
        <r>
          <rPr>
            <b/>
            <sz val="9"/>
            <color indexed="81"/>
            <rFont val="Tahoma"/>
            <family val="2"/>
          </rPr>
          <t>jarmylly:</t>
        </r>
        <r>
          <rPr>
            <sz val="9"/>
            <color indexed="81"/>
            <rFont val="Tahoma"/>
            <family val="2"/>
          </rPr>
          <t xml:space="preserve">
Contains two disks:
- Disk-1: 60GB
- Disk-2: 40GB</t>
        </r>
      </text>
    </comment>
    <comment ref="L25" authorId="1" shapeId="0" xr:uid="{AFB49F06-93F7-496E-BBDA-0390CB4CEF4D}">
      <text>
        <r>
          <rPr>
            <b/>
            <sz val="9"/>
            <color indexed="81"/>
            <rFont val="Tahoma"/>
            <family val="2"/>
          </rPr>
          <t>jarmylly:</t>
        </r>
        <r>
          <rPr>
            <sz val="9"/>
            <color indexed="81"/>
            <rFont val="Tahoma"/>
            <family val="2"/>
          </rPr>
          <t xml:space="preserve">
Image name: 
- NMS_DC_disk1
- NMS_DC_disk2</t>
        </r>
      </text>
    </comment>
    <comment ref="H26" authorId="1" shapeId="0" xr:uid="{F3B34E88-92ED-441F-A767-B9A29BF55973}">
      <text>
        <r>
          <rPr>
            <sz val="9"/>
            <color indexed="81"/>
            <rFont val="Tahoma"/>
            <family val="2"/>
          </rPr>
          <t>Contains two disks:
- Disk-1: 60GB
(NOTE: For servers intended for more than 10 concurrent users the recommended size for disk C is Disk-1 size + RAM size.)
- Disk-2: 40GB</t>
        </r>
      </text>
    </comment>
    <comment ref="L26" authorId="1" shapeId="0" xr:uid="{9DE9DE7A-B91A-4734-9964-E475961AFB00}">
      <text>
        <r>
          <rPr>
            <b/>
            <sz val="9"/>
            <color indexed="81"/>
            <rFont val="Tahoma"/>
            <family val="2"/>
          </rPr>
          <t>jarmylly:</t>
        </r>
        <r>
          <rPr>
            <sz val="9"/>
            <color indexed="81"/>
            <rFont val="Tahoma"/>
            <family val="2"/>
          </rPr>
          <t xml:space="preserve">
Image name:
- NMS_VDA_disk1
- NMS_VDA_disk2</t>
        </r>
      </text>
    </comment>
    <comment ref="H27" authorId="1" shapeId="0" xr:uid="{3A855115-9ABB-404E-8F7F-536827C4B26B}">
      <text>
        <r>
          <rPr>
            <sz val="9"/>
            <color indexed="81"/>
            <rFont val="Tahoma"/>
            <family val="2"/>
          </rPr>
          <t>Contains two disks:
- Disk-1: 80GB
(NOTE: For servers intended for more than 10 concurrent users the recommended size for disk C is Disk-1 size + RAM size.)
- Disk-2: 40GB</t>
        </r>
      </text>
    </comment>
    <comment ref="L27" authorId="1" shapeId="0" xr:uid="{7FB3777E-123A-470D-A9B8-9B5221535BE5}">
      <text>
        <r>
          <rPr>
            <b/>
            <sz val="9"/>
            <color indexed="81"/>
            <rFont val="Tahoma"/>
            <family val="2"/>
          </rPr>
          <t>jarmylly:</t>
        </r>
        <r>
          <rPr>
            <sz val="9"/>
            <color indexed="81"/>
            <rFont val="Tahoma"/>
            <family val="2"/>
          </rPr>
          <t xml:space="preserve">
Image name:
- NMS_CTXDC_disk1
- NMS_CTXDC_disk2</t>
        </r>
      </text>
    </comment>
    <comment ref="L28" authorId="1" shapeId="0" xr:uid="{9FB4940E-9D15-4057-A56A-2A340B931DF5}">
      <text>
        <r>
          <rPr>
            <b/>
            <sz val="9"/>
            <color indexed="81"/>
            <rFont val="Tahoma"/>
            <family val="2"/>
          </rPr>
          <t>jarmylly:</t>
        </r>
        <r>
          <rPr>
            <sz val="9"/>
            <color indexed="81"/>
            <rFont val="Tahoma"/>
            <family val="2"/>
          </rPr>
          <t xml:space="preserve">
Image name: netact_rhel_base</t>
        </r>
      </text>
    </comment>
    <comment ref="AN28" authorId="1" shapeId="0" xr:uid="{18960190-527E-468A-B6D5-6345C8A7DADE}">
      <text>
        <r>
          <rPr>
            <b/>
            <sz val="9"/>
            <color indexed="81"/>
            <rFont val="Tahoma"/>
            <family val="2"/>
          </rPr>
          <t>jarmylly:</t>
        </r>
        <r>
          <rPr>
            <sz val="9"/>
            <color indexed="81"/>
            <rFont val="Tahoma"/>
            <family val="2"/>
          </rPr>
          <t xml:space="preserve">
Image name: vgrep</t>
        </r>
      </text>
    </comment>
    <comment ref="L29" authorId="1" shapeId="0" xr:uid="{D2E292C5-FD82-45A7-8A76-DD3AD6984DD9}">
      <text>
        <r>
          <rPr>
            <b/>
            <sz val="9"/>
            <color indexed="81"/>
            <rFont val="Tahoma"/>
            <family val="2"/>
          </rPr>
          <t>jarmylly:</t>
        </r>
        <r>
          <rPr>
            <sz val="9"/>
            <color indexed="81"/>
            <rFont val="Tahoma"/>
            <family val="2"/>
          </rPr>
          <t xml:space="preserve">
Image name: netact_rhel_base</t>
        </r>
      </text>
    </comment>
    <comment ref="AN29" authorId="1" shapeId="0" xr:uid="{B1D53F3F-0FDE-4E62-B027-4F24F5166DE4}">
      <text>
        <r>
          <rPr>
            <b/>
            <sz val="9"/>
            <color indexed="81"/>
            <rFont val="Tahoma"/>
            <family val="2"/>
          </rPr>
          <t>jarmylly:</t>
        </r>
        <r>
          <rPr>
            <sz val="9"/>
            <color indexed="81"/>
            <rFont val="Tahoma"/>
            <family val="2"/>
          </rPr>
          <t xml:space="preserve">
Image name: vgrep</t>
        </r>
      </text>
    </comment>
    <comment ref="L30" authorId="1" shapeId="0" xr:uid="{3A5CE018-DDF3-489B-87CE-F023C9182A41}">
      <text>
        <r>
          <rPr>
            <b/>
            <sz val="9"/>
            <color indexed="81"/>
            <rFont val="Tahoma"/>
            <family val="2"/>
          </rPr>
          <t>jarmylly:</t>
        </r>
        <r>
          <rPr>
            <sz val="9"/>
            <color indexed="81"/>
            <rFont val="Tahoma"/>
            <family val="2"/>
          </rPr>
          <t xml:space="preserve">
Image name: netact_rhel_base</t>
        </r>
      </text>
    </comment>
    <comment ref="L31" authorId="1" shapeId="0" xr:uid="{5521924E-663A-47C9-9B29-CD06321472C4}">
      <text>
        <r>
          <rPr>
            <b/>
            <sz val="9"/>
            <color indexed="81"/>
            <rFont val="Tahoma"/>
            <family val="2"/>
          </rPr>
          <t>jarmylly:</t>
        </r>
        <r>
          <rPr>
            <sz val="9"/>
            <color indexed="81"/>
            <rFont val="Tahoma"/>
            <family val="2"/>
          </rPr>
          <t xml:space="preserve">
Image name: netact_rhel_base</t>
        </r>
      </text>
    </comment>
    <comment ref="L32" authorId="1" shapeId="0" xr:uid="{9A4984A4-66AD-4DC3-853A-CC739C74DA85}">
      <text>
        <r>
          <rPr>
            <b/>
            <sz val="9"/>
            <color indexed="81"/>
            <rFont val="Tahoma"/>
            <family val="2"/>
          </rPr>
          <t>jarmylly:</t>
        </r>
        <r>
          <rPr>
            <sz val="9"/>
            <color indexed="81"/>
            <rFont val="Tahoma"/>
            <family val="2"/>
          </rPr>
          <t xml:space="preserve">
Image name: netact_rhel_base</t>
        </r>
      </text>
    </comment>
    <comment ref="BD32" authorId="0" shapeId="0" xr:uid="{37896A7B-994F-44EE-86F7-92266F8EE190}">
      <text>
        <r>
          <rPr>
            <b/>
            <sz val="9"/>
            <color indexed="81"/>
            <rFont val="Tahoma"/>
            <family val="2"/>
          </rPr>
          <t>Avuthu, Charan (EXT - IN/Bangalore):</t>
        </r>
        <r>
          <rPr>
            <sz val="9"/>
            <color indexed="81"/>
            <rFont val="Tahoma"/>
            <family val="2"/>
          </rPr>
          <t xml:space="preserve">
Image Name: vgkafka</t>
        </r>
      </text>
    </comment>
    <comment ref="BU33" authorId="1" shapeId="0" xr:uid="{0A88B454-FFFD-450B-BB2E-88FE3F8A15F6}">
      <text>
        <r>
          <rPr>
            <b/>
            <sz val="9"/>
            <color indexed="81"/>
            <rFont val="Tahoma"/>
            <family val="2"/>
          </rPr>
          <t>jarmylly:</t>
        </r>
        <r>
          <rPr>
            <sz val="9"/>
            <color indexed="81"/>
            <rFont val="Tahoma"/>
            <family val="2"/>
          </rPr>
          <t xml:space="preserve">
IPv4: 3
IPv4/IPv6: 5</t>
        </r>
      </text>
    </comment>
    <comment ref="AG35" authorId="5" shapeId="0" xr:uid="{4163E84E-C6DA-4818-9CC8-711A672E91FB}">
      <text>
        <r>
          <rPr>
            <b/>
            <sz val="9"/>
            <color indexed="81"/>
            <rFont val="Tahoma"/>
            <family val="2"/>
          </rPr>
          <t>Jayashree Sundaresan (Nokia):</t>
        </r>
        <r>
          <rPr>
            <sz val="9"/>
            <color indexed="81"/>
            <rFont val="Tahoma"/>
            <family val="2"/>
          </rPr>
          <t xml:space="preserve">
-Increase by 200GB, If NIV chosen as optional service on Compute3</t>
        </r>
      </text>
    </comment>
    <comment ref="BL35" authorId="5" shapeId="0" xr:uid="{78D52785-3575-4623-9757-54A6164C24A6}">
      <text>
        <r>
          <rPr>
            <b/>
            <sz val="9"/>
            <color indexed="81"/>
            <rFont val="Tahoma"/>
            <family val="2"/>
          </rPr>
          <t>Jayashree Sundaresan (Nokia):</t>
        </r>
        <r>
          <rPr>
            <sz val="9"/>
            <color indexed="81"/>
            <rFont val="Tahoma"/>
            <family val="2"/>
          </rPr>
          <t xml:space="preserve">
Image Name: vgniv</t>
        </r>
      </text>
    </comment>
    <comment ref="Y37" authorId="0" shapeId="0" xr:uid="{627547F5-2DB7-4540-83CB-2D1AFDFEB811}">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404480 MB</t>
        </r>
      </text>
    </comment>
    <comment ref="AG37" authorId="0" shapeId="0" xr:uid="{B20606AF-367D-4260-B8FE-8F237948A167}">
      <text>
        <r>
          <rPr>
            <b/>
            <sz val="9"/>
            <color indexed="81"/>
            <rFont val="Tahoma"/>
            <family val="2"/>
          </rPr>
          <t>Avuthu, Charan (EXT - IN/Bangalore):</t>
        </r>
        <r>
          <rPr>
            <sz val="9"/>
            <color indexed="81"/>
            <rFont val="Tahoma"/>
            <family val="2"/>
          </rPr>
          <t xml:space="preserve">
-Increase by additional 320GB, If LCM+CCR chosen as optional service on Compute1
(200GB increase for backup_disk on VM#150, 120GB increase on Backup disk on VM#5)</t>
        </r>
      </text>
    </comment>
    <comment ref="AZ37" authorId="0" shapeId="0" xr:uid="{976E01F1-1F29-42DE-81E8-71EDB8BA767F}">
      <text>
        <r>
          <rPr>
            <b/>
            <sz val="9"/>
            <color indexed="81"/>
            <rFont val="Tahoma"/>
            <family val="2"/>
          </rPr>
          <t>Avuthu, Charan (EXT - IN/Bangalore):</t>
        </r>
        <r>
          <rPr>
            <sz val="9"/>
            <color indexed="81"/>
            <rFont val="Tahoma"/>
            <family val="2"/>
          </rPr>
          <t xml:space="preserve">
Image Name:vgccr</t>
        </r>
      </text>
    </comment>
    <comment ref="BU39" authorId="1" shapeId="0" xr:uid="{9D9F3624-EB26-493E-867C-D64D37ACA35D}">
      <text>
        <r>
          <rPr>
            <b/>
            <sz val="9"/>
            <color indexed="81"/>
            <rFont val="Tahoma"/>
            <family val="2"/>
          </rPr>
          <t>jarmylly:</t>
        </r>
        <r>
          <rPr>
            <sz val="9"/>
            <color indexed="81"/>
            <rFont val="Tahoma"/>
            <family val="2"/>
          </rPr>
          <t xml:space="preserve">
IPv4: 3
IPv4/IPv6: 5</t>
        </r>
      </text>
    </comment>
    <comment ref="L43" authorId="1" shapeId="0" xr:uid="{C437C0AB-8710-4152-BEA6-CC046E99FFA1}">
      <text>
        <r>
          <rPr>
            <b/>
            <sz val="9"/>
            <color indexed="81"/>
            <rFont val="Tahoma"/>
            <family val="2"/>
          </rPr>
          <t>jarmylly:</t>
        </r>
        <r>
          <rPr>
            <sz val="9"/>
            <color indexed="81"/>
            <rFont val="Tahoma"/>
            <family val="2"/>
          </rPr>
          <t xml:space="preserve">
Image name: netact_rhel_base</t>
        </r>
      </text>
    </comment>
    <comment ref="H44" authorId="1" shapeId="0" xr:uid="{AF42C340-90CD-4C50-B066-C8445BCD5E5C}">
      <text>
        <r>
          <rPr>
            <b/>
            <sz val="9"/>
            <color indexed="81"/>
            <rFont val="Tahoma"/>
            <family val="2"/>
          </rPr>
          <t>jarmylly:</t>
        </r>
        <r>
          <rPr>
            <sz val="9"/>
            <color indexed="81"/>
            <rFont val="Tahoma"/>
            <family val="2"/>
          </rPr>
          <t xml:space="preserve">
Contains two disks:
- Disk-1: 60GB
- Disk-2: 40GB</t>
        </r>
      </text>
    </comment>
    <comment ref="L44" authorId="1" shapeId="0" xr:uid="{8167A3E1-FB84-4A90-B8A7-DE4AE1CB971A}">
      <text>
        <r>
          <rPr>
            <b/>
            <sz val="9"/>
            <color indexed="81"/>
            <rFont val="Tahoma"/>
            <family val="2"/>
          </rPr>
          <t>jarmylly:</t>
        </r>
        <r>
          <rPr>
            <sz val="9"/>
            <color indexed="81"/>
            <rFont val="Tahoma"/>
            <family val="2"/>
          </rPr>
          <t xml:space="preserve">
Image name: 
- NMS_DC_disk1
- NMS_DC_disk2</t>
        </r>
      </text>
    </comment>
    <comment ref="H45" authorId="1" shapeId="0" xr:uid="{1908FE7C-07C7-47DF-9A39-8467E108699A}">
      <text>
        <r>
          <rPr>
            <sz val="9"/>
            <color indexed="81"/>
            <rFont val="Tahoma"/>
            <family val="2"/>
          </rPr>
          <t>Contains two disks:
- Disk-1: 60GB
(NOTE: For servers intended for more than 10 concurrent users the recommended size for disk C is Disk-1 size + RAM size.)
- Disk-2: 40GB</t>
        </r>
      </text>
    </comment>
    <comment ref="L45" authorId="1" shapeId="0" xr:uid="{9E290390-C334-4E20-B40B-77E193782B0A}">
      <text>
        <r>
          <rPr>
            <b/>
            <sz val="9"/>
            <color indexed="81"/>
            <rFont val="Tahoma"/>
            <family val="2"/>
          </rPr>
          <t>jarmylly:</t>
        </r>
        <r>
          <rPr>
            <sz val="9"/>
            <color indexed="81"/>
            <rFont val="Tahoma"/>
            <family val="2"/>
          </rPr>
          <t xml:space="preserve">
Image name:
- NMS_VDA_disk1
- NMS_VDA_disk2</t>
        </r>
      </text>
    </comment>
    <comment ref="H46" authorId="1" shapeId="0" xr:uid="{3D7D505D-8FE4-421B-9B28-A5ACE4D6E267}">
      <text>
        <r>
          <rPr>
            <sz val="9"/>
            <color indexed="81"/>
            <rFont val="Tahoma"/>
            <family val="2"/>
          </rPr>
          <t>Contains two disks:
- Disk-1: 60GB
(NOTE: For servers intended for more than 10 concurrent users the recommended size for disk C is Disk-1 size + RAM size.)
- Disk-2: 40GB</t>
        </r>
      </text>
    </comment>
    <comment ref="L46" authorId="1" shapeId="0" xr:uid="{800173EB-537D-4DBC-A8E8-8ED971DC1326}">
      <text>
        <r>
          <rPr>
            <b/>
            <sz val="9"/>
            <color indexed="81"/>
            <rFont val="Tahoma"/>
            <family val="2"/>
          </rPr>
          <t>jarmylly:</t>
        </r>
        <r>
          <rPr>
            <sz val="9"/>
            <color indexed="81"/>
            <rFont val="Tahoma"/>
            <family val="2"/>
          </rPr>
          <t xml:space="preserve">
Image name:
- NMS_VDA_disk1
- NMS_VDA_disk2</t>
        </r>
      </text>
    </comment>
    <comment ref="H47" authorId="1" shapeId="0" xr:uid="{C0FCE5DE-6231-440E-B8B7-869D05E5733F}">
      <text>
        <r>
          <rPr>
            <sz val="9"/>
            <color indexed="81"/>
            <rFont val="Tahoma"/>
            <family val="2"/>
          </rPr>
          <t>Contains two disks:
- Disk-1: 80GB
(NOTE: For servers intended for more than 10 concurrent users the recommended size for disk C is Disk-1 size + RAM size.)
- Disk-2: 40GB</t>
        </r>
      </text>
    </comment>
    <comment ref="L47" authorId="1" shapeId="0" xr:uid="{90C66500-4C31-4917-9583-D64D2E4E7AE5}">
      <text>
        <r>
          <rPr>
            <b/>
            <sz val="9"/>
            <color indexed="81"/>
            <rFont val="Tahoma"/>
            <family val="2"/>
          </rPr>
          <t>jarmylly:</t>
        </r>
        <r>
          <rPr>
            <sz val="9"/>
            <color indexed="81"/>
            <rFont val="Tahoma"/>
            <family val="2"/>
          </rPr>
          <t xml:space="preserve">
Image name:
- NMS_CTXDC_disk1
- NMS_CTXDC_disk2</t>
        </r>
      </text>
    </comment>
    <comment ref="L48" authorId="1" shapeId="0" xr:uid="{91804FE0-FAD7-4706-B0E1-3FDE6FB44BC4}">
      <text>
        <r>
          <rPr>
            <b/>
            <sz val="9"/>
            <color indexed="81"/>
            <rFont val="Tahoma"/>
            <family val="2"/>
          </rPr>
          <t>jarmylly:</t>
        </r>
        <r>
          <rPr>
            <sz val="9"/>
            <color indexed="81"/>
            <rFont val="Tahoma"/>
            <family val="2"/>
          </rPr>
          <t xml:space="preserve">
Image name: netact_rhel_base</t>
        </r>
      </text>
    </comment>
    <comment ref="L49" authorId="1" shapeId="0" xr:uid="{FE48A453-6DB8-4F2B-8511-B9353EB7E5B8}">
      <text>
        <r>
          <rPr>
            <b/>
            <sz val="9"/>
            <color indexed="81"/>
            <rFont val="Tahoma"/>
            <family val="2"/>
          </rPr>
          <t>jarmylly:</t>
        </r>
        <r>
          <rPr>
            <sz val="9"/>
            <color indexed="81"/>
            <rFont val="Tahoma"/>
            <family val="2"/>
          </rPr>
          <t xml:space="preserve">
Image name: netact_rhel_base</t>
        </r>
      </text>
    </comment>
    <comment ref="L50" authorId="1" shapeId="0" xr:uid="{640C442C-9BEB-4EA7-B6CA-1FF65C1F8D07}">
      <text>
        <r>
          <rPr>
            <b/>
            <sz val="9"/>
            <color indexed="81"/>
            <rFont val="Tahoma"/>
            <family val="2"/>
          </rPr>
          <t>jarmylly:</t>
        </r>
        <r>
          <rPr>
            <sz val="9"/>
            <color indexed="81"/>
            <rFont val="Tahoma"/>
            <family val="2"/>
          </rPr>
          <t xml:space="preserve">
Image name: netact_rhel_base</t>
        </r>
      </text>
    </comment>
    <comment ref="L51" authorId="1" shapeId="0" xr:uid="{050F7C0C-368B-4673-9860-64B69027EC53}">
      <text>
        <r>
          <rPr>
            <b/>
            <sz val="9"/>
            <color indexed="81"/>
            <rFont val="Tahoma"/>
            <family val="2"/>
          </rPr>
          <t>jarmylly:</t>
        </r>
        <r>
          <rPr>
            <sz val="9"/>
            <color indexed="81"/>
            <rFont val="Tahoma"/>
            <family val="2"/>
          </rPr>
          <t xml:space="preserve">
Image name: netact_rhel_base</t>
        </r>
      </text>
    </comment>
    <comment ref="L52" authorId="1" shapeId="0" xr:uid="{41E2AED7-380F-407D-8CE5-ABD2E5399069}">
      <text>
        <r>
          <rPr>
            <b/>
            <sz val="9"/>
            <color indexed="81"/>
            <rFont val="Tahoma"/>
            <family val="2"/>
          </rPr>
          <t>jarmylly:</t>
        </r>
        <r>
          <rPr>
            <sz val="9"/>
            <color indexed="81"/>
            <rFont val="Tahoma"/>
            <family val="2"/>
          </rPr>
          <t xml:space="preserve">
Image name: netact_rhel_base</t>
        </r>
      </text>
    </comment>
    <comment ref="H53" authorId="1" shapeId="0" xr:uid="{30D688FA-A0D1-4BF8-A5FF-8B6E724AA31C}">
      <text>
        <r>
          <rPr>
            <b/>
            <sz val="9"/>
            <color indexed="81"/>
            <rFont val="Tahoma"/>
            <family val="2"/>
          </rPr>
          <t>jarmylly:</t>
        </r>
        <r>
          <rPr>
            <sz val="9"/>
            <color indexed="81"/>
            <rFont val="Tahoma"/>
            <family val="2"/>
          </rPr>
          <t xml:space="preserve">
Contains two disks:
- Disk-1: 30,720GB
- Disk-2: 81,920GB</t>
        </r>
      </text>
    </comment>
    <comment ref="L53" authorId="1" shapeId="0" xr:uid="{1D689BF8-337C-4124-BB0E-B39D2B6DC73B}">
      <text>
        <r>
          <rPr>
            <b/>
            <sz val="9"/>
            <color indexed="81"/>
            <rFont val="Tahoma"/>
            <family val="2"/>
          </rPr>
          <t>jarmylly:</t>
        </r>
        <r>
          <rPr>
            <sz val="9"/>
            <color indexed="81"/>
            <rFont val="Tahoma"/>
            <family val="2"/>
          </rPr>
          <t xml:space="preserve">
Image name: netact_rhel_base</t>
        </r>
      </text>
    </comment>
    <comment ref="L54" authorId="1" shapeId="0" xr:uid="{240B3811-0C7A-4956-915C-B4E1B3AC23A6}">
      <text>
        <r>
          <rPr>
            <b/>
            <sz val="9"/>
            <color indexed="81"/>
            <rFont val="Tahoma"/>
            <family val="2"/>
          </rPr>
          <t>jarmylly:</t>
        </r>
        <r>
          <rPr>
            <sz val="9"/>
            <color indexed="81"/>
            <rFont val="Tahoma"/>
            <family val="2"/>
          </rPr>
          <t xml:space="preserve">
Image name: netact_rhel_base</t>
        </r>
      </text>
    </comment>
    <comment ref="L55" authorId="1" shapeId="0" xr:uid="{4614A177-1030-4573-AF0D-270DAF5B1867}">
      <text>
        <r>
          <rPr>
            <b/>
            <sz val="9"/>
            <color indexed="81"/>
            <rFont val="Tahoma"/>
            <family val="2"/>
          </rPr>
          <t>jarmylly:</t>
        </r>
        <r>
          <rPr>
            <sz val="9"/>
            <color indexed="81"/>
            <rFont val="Tahoma"/>
            <family val="2"/>
          </rPr>
          <t xml:space="preserve">
Image name: netact_rhel_base</t>
        </r>
      </text>
    </comment>
    <comment ref="L56" authorId="1" shapeId="0" xr:uid="{7408997F-DC26-4B5E-A3BD-5E647FC1D55F}">
      <text>
        <r>
          <rPr>
            <b/>
            <sz val="9"/>
            <color indexed="81"/>
            <rFont val="Tahoma"/>
            <family val="2"/>
          </rPr>
          <t>jarmylly:</t>
        </r>
        <r>
          <rPr>
            <sz val="9"/>
            <color indexed="81"/>
            <rFont val="Tahoma"/>
            <family val="2"/>
          </rPr>
          <t xml:space="preserve">
Image name: netact_rhel_base</t>
        </r>
      </text>
    </comment>
    <comment ref="L57" authorId="1" shapeId="0" xr:uid="{6944B2ED-F1C2-4584-9BA0-F65979F89C0B}">
      <text>
        <r>
          <rPr>
            <b/>
            <sz val="9"/>
            <color indexed="81"/>
            <rFont val="Tahoma"/>
            <family val="2"/>
          </rPr>
          <t>jarmylly:</t>
        </r>
        <r>
          <rPr>
            <sz val="9"/>
            <color indexed="81"/>
            <rFont val="Tahoma"/>
            <family val="2"/>
          </rPr>
          <t xml:space="preserve">
Image name: netact_rhel_base</t>
        </r>
      </text>
    </comment>
    <comment ref="L58" authorId="0" shapeId="0" xr:uid="{6032D857-13FB-43FB-83C3-F6014E07F438}">
      <text>
        <r>
          <rPr>
            <b/>
            <sz val="9"/>
            <color indexed="81"/>
            <rFont val="Tahoma"/>
            <family val="2"/>
          </rPr>
          <t>Avuthu, Charan (EXT - IN/Bangalore):</t>
        </r>
        <r>
          <rPr>
            <sz val="9"/>
            <color indexed="81"/>
            <rFont val="Tahoma"/>
            <family val="2"/>
          </rPr>
          <t xml:space="preserve">
Image name: netact_rhel_base</t>
        </r>
      </text>
    </comment>
    <comment ref="L59" authorId="0" shapeId="0" xr:uid="{AB98B072-EE0D-4246-861C-B2C4BFA5BADA}">
      <text>
        <r>
          <rPr>
            <b/>
            <sz val="9"/>
            <color indexed="81"/>
            <rFont val="Tahoma"/>
            <family val="2"/>
          </rPr>
          <t>Avuthu, Charan (EXT - IN/Bangalore):</t>
        </r>
        <r>
          <rPr>
            <sz val="9"/>
            <color indexed="81"/>
            <rFont val="Tahoma"/>
            <family val="2"/>
          </rPr>
          <t xml:space="preserve">
Image name: netact_rhel_base</t>
        </r>
      </text>
    </comment>
    <comment ref="L60" authorId="5" shapeId="0" xr:uid="{B893FDB4-3C39-4516-8DCC-D3CD61262544}">
      <text>
        <r>
          <rPr>
            <b/>
            <sz val="9"/>
            <color indexed="81"/>
            <rFont val="Tahoma"/>
            <family val="2"/>
          </rPr>
          <t>Jayashree Sundaresan (Nokia):</t>
        </r>
        <r>
          <rPr>
            <sz val="9"/>
            <color indexed="81"/>
            <rFont val="Tahoma"/>
            <family val="2"/>
          </rPr>
          <t xml:space="preserve">
Image name: netact_rhel_base</t>
        </r>
      </text>
    </comment>
    <comment ref="BU61" authorId="1" shapeId="0" xr:uid="{B75882B0-B174-4E17-822F-8922F4D71303}">
      <text>
        <r>
          <rPr>
            <b/>
            <sz val="9"/>
            <color indexed="81"/>
            <rFont val="Tahoma"/>
            <family val="2"/>
          </rPr>
          <t>jarmylly:</t>
        </r>
        <r>
          <rPr>
            <sz val="9"/>
            <color indexed="81"/>
            <rFont val="Tahoma"/>
            <family val="2"/>
          </rPr>
          <t xml:space="preserve">
IPv4: 3
IPv4/IPv6: 5</t>
        </r>
      </text>
    </comment>
    <comment ref="L65" authorId="1" shapeId="0" xr:uid="{2B9BBB61-3529-42AA-9BA6-8671D2A9A330}">
      <text>
        <r>
          <rPr>
            <b/>
            <sz val="9"/>
            <color indexed="81"/>
            <rFont val="Tahoma"/>
            <family val="2"/>
          </rPr>
          <t>jarmylly:</t>
        </r>
        <r>
          <rPr>
            <sz val="9"/>
            <color indexed="81"/>
            <rFont val="Tahoma"/>
            <family val="2"/>
          </rPr>
          <t xml:space="preserve">
Image name: netact_rhel_base</t>
        </r>
      </text>
    </comment>
    <comment ref="L66" authorId="1" shapeId="0" xr:uid="{0DBE908C-CC9E-4B4D-88AD-B0F346F29ADB}">
      <text>
        <r>
          <rPr>
            <b/>
            <sz val="9"/>
            <color indexed="81"/>
            <rFont val="Tahoma"/>
            <family val="2"/>
          </rPr>
          <t>jarmylly:</t>
        </r>
        <r>
          <rPr>
            <sz val="9"/>
            <color indexed="81"/>
            <rFont val="Tahoma"/>
            <family val="2"/>
          </rPr>
          <t xml:space="preserve">
Image name: netact_rhel_base</t>
        </r>
      </text>
    </comment>
    <comment ref="L67" authorId="1" shapeId="0" xr:uid="{A56F7C66-F9B5-4D22-8DD9-39F4D9EC57F1}">
      <text>
        <r>
          <rPr>
            <b/>
            <sz val="9"/>
            <color indexed="81"/>
            <rFont val="Tahoma"/>
            <family val="2"/>
          </rPr>
          <t>jarmylly:</t>
        </r>
        <r>
          <rPr>
            <sz val="9"/>
            <color indexed="81"/>
            <rFont val="Tahoma"/>
            <family val="2"/>
          </rPr>
          <t xml:space="preserve">
Image name: netact_rhel_base</t>
        </r>
      </text>
    </comment>
    <comment ref="L68" authorId="1" shapeId="0" xr:uid="{33D59BD7-9077-4A13-9B8B-755C7C167462}">
      <text>
        <r>
          <rPr>
            <b/>
            <sz val="9"/>
            <color indexed="81"/>
            <rFont val="Tahoma"/>
            <family val="2"/>
          </rPr>
          <t>jarmylly:</t>
        </r>
        <r>
          <rPr>
            <sz val="9"/>
            <color indexed="81"/>
            <rFont val="Tahoma"/>
            <family val="2"/>
          </rPr>
          <t xml:space="preserve">
Image name: netact_rhel_base</t>
        </r>
      </text>
    </comment>
    <comment ref="L69" authorId="1" shapeId="0" xr:uid="{185E3065-B272-4393-9C85-FC9074048C77}">
      <text>
        <r>
          <rPr>
            <b/>
            <sz val="9"/>
            <color indexed="81"/>
            <rFont val="Tahoma"/>
            <family val="2"/>
          </rPr>
          <t>jarmylly:</t>
        </r>
        <r>
          <rPr>
            <sz val="9"/>
            <color indexed="81"/>
            <rFont val="Tahoma"/>
            <family val="2"/>
          </rPr>
          <t xml:space="preserve">
Image name: netact_rhel_base</t>
        </r>
      </text>
    </comment>
    <comment ref="L70" authorId="1" shapeId="0" xr:uid="{3A15FE81-A625-4015-B807-68C1226A20F3}">
      <text>
        <r>
          <rPr>
            <b/>
            <sz val="9"/>
            <color indexed="81"/>
            <rFont val="Tahoma"/>
            <family val="2"/>
          </rPr>
          <t>jarmylly:</t>
        </r>
        <r>
          <rPr>
            <sz val="9"/>
            <color indexed="81"/>
            <rFont val="Tahoma"/>
            <family val="2"/>
          </rPr>
          <t xml:space="preserve">
Image name: netact_rhel_base</t>
        </r>
      </text>
    </comment>
    <comment ref="BU71" authorId="1" shapeId="0" xr:uid="{B4A10F99-DBE9-4940-9829-9CDD7B001FE3}">
      <text>
        <r>
          <rPr>
            <b/>
            <sz val="9"/>
            <color indexed="81"/>
            <rFont val="Tahoma"/>
            <family val="2"/>
          </rPr>
          <t>jarmylly:</t>
        </r>
        <r>
          <rPr>
            <sz val="9"/>
            <color indexed="81"/>
            <rFont val="Tahoma"/>
            <family val="2"/>
          </rPr>
          <t xml:space="preserve">
IPv4: 3
IPv4/IPv6: 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Ollikainen, Sari (Nokia - FI/Tampere)</author>
    <author>Thippeswamy, Suresh (Nokia - IN/Bangalore)</author>
    <author>Jari Myllymaa</author>
    <author>Jayashree Sundaresan (Nokia)</author>
  </authors>
  <commentList>
    <comment ref="J7" authorId="0" shapeId="0" xr:uid="{18DF73D9-E4A6-42AA-B44D-9B26CFF1D283}">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85E79520-3EE0-44E5-8AE4-1DD5A04B6DDD}">
      <text>
        <r>
          <rPr>
            <b/>
            <sz val="9"/>
            <color indexed="81"/>
            <rFont val="Tahoma"/>
            <family val="2"/>
          </rPr>
          <t>jarmylly:</t>
        </r>
        <r>
          <rPr>
            <sz val="9"/>
            <color indexed="81"/>
            <rFont val="Tahoma"/>
            <family val="2"/>
          </rPr>
          <t xml:space="preserve">
Contains one disk:
DB_redo: 60825MB</t>
        </r>
      </text>
    </comment>
    <comment ref="N10" authorId="1" shapeId="0" xr:uid="{F0B3DF87-7DDF-4FFC-B9EF-45CA986EDAA7}">
      <text>
        <r>
          <rPr>
            <b/>
            <sz val="9"/>
            <color indexed="81"/>
            <rFont val="Tahoma"/>
            <family val="2"/>
          </rPr>
          <t>jarmylly:</t>
        </r>
        <r>
          <rPr>
            <sz val="9"/>
            <color indexed="81"/>
            <rFont val="Tahoma"/>
            <family val="2"/>
          </rPr>
          <t xml:space="preserve">
Contains one disk, either: 
- DB_data: 1382400MB
OR
- DB_data: 1900330MB</t>
        </r>
      </text>
    </comment>
    <comment ref="P10" authorId="1" shapeId="0" xr:uid="{635D837A-D8FD-4BC2-97E2-AE6E04B00F6E}">
      <text>
        <r>
          <rPr>
            <b/>
            <sz val="9"/>
            <color indexed="81"/>
            <rFont val="Tahoma"/>
            <family val="2"/>
          </rPr>
          <t>jarmylly:</t>
        </r>
        <r>
          <rPr>
            <sz val="9"/>
            <color indexed="81"/>
            <rFont val="Tahoma"/>
            <family val="2"/>
          </rPr>
          <t xml:space="preserve">
Contains one disk:
DB_arc: 2073600MB</t>
        </r>
      </text>
    </comment>
    <comment ref="X10" authorId="1" shapeId="0" xr:uid="{DEF5CAF2-9F34-43F0-9A33-EF6C7FA60B67}">
      <text>
        <r>
          <rPr>
            <b/>
            <sz val="9"/>
            <color indexed="81"/>
            <rFont val="Tahoma"/>
            <family val="2"/>
          </rPr>
          <t>jarmylly:</t>
        </r>
        <r>
          <rPr>
            <sz val="9"/>
            <color indexed="81"/>
            <rFont val="Tahoma"/>
            <family val="2"/>
          </rPr>
          <t xml:space="preserve">
Contains one disk:
- DB_backup: 6013440MB</t>
        </r>
      </text>
    </comment>
    <comment ref="AN10" authorId="2" shapeId="0" xr:uid="{409E7292-3859-4CE2-9DE1-779390963F0D}">
      <text>
        <r>
          <rPr>
            <b/>
            <sz val="9"/>
            <color indexed="81"/>
            <rFont val="Tahoma"/>
            <family val="2"/>
          </rPr>
          <t xml:space="preserve">Goyal, Mayank (Nokia - IN/Bangalore):
</t>
        </r>
        <r>
          <rPr>
            <sz val="9"/>
            <color indexed="81"/>
            <rFont val="Tahoma"/>
            <family val="2"/>
          </rPr>
          <t>Contains one disk:
- db-fb_disk : 2097152MB</t>
        </r>
        <r>
          <rPr>
            <sz val="9"/>
            <color indexed="81"/>
            <rFont val="Tahoma"/>
            <family val="2"/>
          </rPr>
          <t xml:space="preserve">
</t>
        </r>
      </text>
    </comment>
    <comment ref="R11" authorId="1" shapeId="0" xr:uid="{658740CC-603D-48F3-91C7-00383D7891F3}">
      <text>
        <r>
          <rPr>
            <b/>
            <sz val="9"/>
            <color indexed="81"/>
            <rFont val="Tahoma"/>
            <family val="2"/>
          </rPr>
          <t>jarmylly:</t>
        </r>
        <r>
          <rPr>
            <sz val="9"/>
            <color indexed="81"/>
            <rFont val="Tahoma"/>
            <family val="2"/>
          </rPr>
          <t xml:space="preserve">
Contains three disks:
- NFS global: 337920 MB
- NFS home: 18432 MB
- NFS WAS dump: 46080 MB</t>
        </r>
      </text>
    </comment>
    <comment ref="T11" authorId="1" shapeId="0" xr:uid="{19A860C8-64D6-4818-8459-92B3E9CC2C27}">
      <text>
        <r>
          <rPr>
            <b/>
            <sz val="9"/>
            <color indexed="81"/>
            <rFont val="Tahoma"/>
            <family val="2"/>
          </rPr>
          <t>jarmylly:</t>
        </r>
        <r>
          <rPr>
            <sz val="9"/>
            <color indexed="81"/>
            <rFont val="Tahoma"/>
            <family val="2"/>
          </rPr>
          <t xml:space="preserve">
Reserved for customer own data.</t>
        </r>
      </text>
    </comment>
    <comment ref="X11" authorId="1" shapeId="0" xr:uid="{766FD342-7ECE-4A69-BAE5-4EB68C6783D0}">
      <text>
        <r>
          <rPr>
            <b/>
            <sz val="9"/>
            <color indexed="81"/>
            <rFont val="Tahoma"/>
            <family val="2"/>
          </rPr>
          <t>jarmylly:</t>
        </r>
        <r>
          <rPr>
            <sz val="9"/>
            <color indexed="81"/>
            <rFont val="Tahoma"/>
            <family val="2"/>
          </rPr>
          <t xml:space="preserve">
Contains one disk:
- NFS_backup: 304128MB</t>
        </r>
      </text>
    </comment>
    <comment ref="AB18" authorId="3" shapeId="0" xr:uid="{7BF5B7F4-C51F-40E3-B10E-61010A5AB8F9}">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61484117-B41E-43F5-8F6F-4FABC0A026EB}">
      <text>
        <r>
          <rPr>
            <b/>
            <sz val="9"/>
            <color indexed="81"/>
            <rFont val="Tahoma"/>
            <family val="2"/>
          </rPr>
          <t>Thippeswamy, Suresh (Nokia - IN/Bangalore):</t>
        </r>
        <r>
          <rPr>
            <sz val="9"/>
            <color indexed="81"/>
            <rFont val="Tahoma"/>
            <family val="2"/>
          </rPr>
          <t xml:space="preserve">
Contains one disk:
isdk_disk1 : 87040MB</t>
        </r>
      </text>
    </comment>
    <comment ref="AD23" authorId="3" shapeId="0" xr:uid="{8A4A6E43-65FC-4B8B-9E60-2E23CEBF2E93}">
      <text>
        <r>
          <rPr>
            <b/>
            <sz val="9"/>
            <color indexed="81"/>
            <rFont val="Tahoma"/>
            <family val="2"/>
          </rPr>
          <t>Thippeswamy, Suresh (Nokia - IN/Bangalore):</t>
        </r>
        <r>
          <rPr>
            <sz val="9"/>
            <color indexed="81"/>
            <rFont val="Tahoma"/>
            <family val="2"/>
          </rPr>
          <t xml:space="preserve">
Contains one disk:
isdk_disk1 : 87040MB</t>
        </r>
      </text>
    </comment>
    <comment ref="I30" authorId="1" shapeId="0" xr:uid="{58BFF225-8098-4E8C-82D0-78D4E642733A}">
      <text>
        <r>
          <rPr>
            <b/>
            <sz val="9"/>
            <color indexed="81"/>
            <rFont val="Tahoma"/>
            <family val="2"/>
          </rPr>
          <t>jarmylly:</t>
        </r>
        <r>
          <rPr>
            <sz val="9"/>
            <color indexed="81"/>
            <rFont val="Tahoma"/>
            <family val="2"/>
          </rPr>
          <t xml:space="preserve">
Contains two disks:
- Disk-1: 60GB
- Disk-2: 40GB</t>
        </r>
      </text>
    </comment>
    <comment ref="I31" authorId="1" shapeId="0" xr:uid="{7BBDA6B8-1556-4703-A0E3-7F0388C6F6F9}">
      <text>
        <r>
          <rPr>
            <sz val="9"/>
            <color indexed="81"/>
            <rFont val="Tahoma"/>
            <family val="2"/>
          </rPr>
          <t>Contains two disks:
- Disk-1: 60GB
(NOTE: For servers intended for more than 10 concurrent users the recommended size for disk C is Disk-1 size + RAM size.)
- Disk-2: 50GB</t>
        </r>
      </text>
    </comment>
    <comment ref="I32" authorId="1" shapeId="0" xr:uid="{90FF312F-4B9B-4971-BFDF-21248791FB60}">
      <text>
        <r>
          <rPr>
            <sz val="9"/>
            <color indexed="81"/>
            <rFont val="Tahoma"/>
            <family val="2"/>
          </rPr>
          <t>Contains two disks:
- Disk-1: 80GB
(NOTE: For servers intended for more than 10 concurrent users the recommended size for disk C is Disk-1 size + RAM size.)
- Disk-2: 40GB</t>
        </r>
      </text>
    </comment>
    <comment ref="Z33" authorId="1" shapeId="0" xr:uid="{67FF0594-2567-4666-B5A1-6C98F7AC9E79}">
      <text>
        <r>
          <rPr>
            <b/>
            <sz val="9"/>
            <color indexed="81"/>
            <rFont val="Tahoma"/>
            <family val="2"/>
          </rPr>
          <t>jarmylly:</t>
        </r>
        <r>
          <rPr>
            <sz val="9"/>
            <color indexed="81"/>
            <rFont val="Tahoma"/>
            <family val="2"/>
          </rPr>
          <t xml:space="preserve">
Contains one disk:
- vm66_REP_disk: 46080MB
</t>
        </r>
      </text>
    </comment>
    <comment ref="AA33" authorId="4" shapeId="0" xr:uid="{33274C8D-867C-49F4-BAA0-416B767880C9}">
      <text>
        <r>
          <rPr>
            <b/>
            <sz val="9"/>
            <color indexed="81"/>
            <rFont val="Calibri"/>
            <family val="2"/>
          </rPr>
          <t>Jari Myllymaa:</t>
        </r>
        <r>
          <rPr>
            <sz val="9"/>
            <color indexed="81"/>
            <rFont val="Calibri"/>
            <family val="2"/>
          </rPr>
          <t xml:space="preserve">
PMDatastore can extend 100GB</t>
        </r>
      </text>
    </comment>
    <comment ref="Z34" authorId="1" shapeId="0" xr:uid="{315165DA-3DA1-42A3-BD76-D84405894843}">
      <text>
        <r>
          <rPr>
            <b/>
            <sz val="9"/>
            <color indexed="81"/>
            <rFont val="Tahoma"/>
            <family val="2"/>
          </rPr>
          <t>jarmylly:</t>
        </r>
        <r>
          <rPr>
            <sz val="9"/>
            <color indexed="81"/>
            <rFont val="Tahoma"/>
            <family val="2"/>
          </rPr>
          <t xml:space="preserve">
Contains one disk:
- vm66_REP_disk: 46080MB
</t>
        </r>
      </text>
    </comment>
    <comment ref="AH37" authorId="0" shapeId="0" xr:uid="{09C0EFD4-80B8-4051-A507-331ACF6A2E24}">
      <text>
        <r>
          <rPr>
            <b/>
            <sz val="9"/>
            <color indexed="81"/>
            <rFont val="Tahoma"/>
            <family val="2"/>
          </rPr>
          <t>Avuthu, Charan (EXT - IN/Bangalore):</t>
        </r>
        <r>
          <rPr>
            <sz val="9"/>
            <color indexed="81"/>
            <rFont val="Tahoma"/>
            <family val="2"/>
          </rPr>
          <t xml:space="preserve">
Contians one disk:
-kafka_disk1: 122880 MB</t>
        </r>
      </text>
    </comment>
    <comment ref="X40" authorId="5" shapeId="0" xr:uid="{81B13AC2-1578-4898-A61E-C63A5F16A857}">
      <text>
        <r>
          <rPr>
            <b/>
            <sz val="9"/>
            <color indexed="81"/>
            <rFont val="Tahoma"/>
            <family val="2"/>
          </rPr>
          <t>Jayashree Sundaresan (Nokia):</t>
        </r>
        <r>
          <rPr>
            <sz val="9"/>
            <color indexed="81"/>
            <rFont val="Tahoma"/>
            <family val="2"/>
          </rPr>
          <t xml:space="preserve">
Contains one disk:
- backup_disk1: 204800MB</t>
        </r>
      </text>
    </comment>
    <comment ref="AP40" authorId="5" shapeId="0" xr:uid="{7184445D-0E18-4609-BD59-DC7D69962CE3}">
      <text>
        <r>
          <rPr>
            <b/>
            <sz val="9"/>
            <color indexed="81"/>
            <rFont val="Tahoma"/>
            <family val="2"/>
          </rPr>
          <t>Jayashree Sundaresan (Nokia):</t>
        </r>
        <r>
          <rPr>
            <sz val="9"/>
            <color indexed="81"/>
            <rFont val="Tahoma"/>
            <family val="2"/>
          </rPr>
          <t xml:space="preserve">
Contains one disk:
-niv_disk: 153600</t>
        </r>
      </text>
    </comment>
    <comment ref="R42" authorId="0" shapeId="0" xr:uid="{6484CBF6-C95F-4CF7-B6C2-BA02AE2FEE37}">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X42" authorId="0" shapeId="0" xr:uid="{139C464C-675B-40A7-8114-EF230AFFE83A}">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427008 MB</t>
        </r>
      </text>
    </comment>
    <comment ref="AF42" authorId="0" shapeId="0" xr:uid="{0F2C4A68-9DE3-4856-8D7C-EF88842BA9D6}">
      <text>
        <r>
          <rPr>
            <b/>
            <sz val="9"/>
            <color indexed="81"/>
            <rFont val="Tahoma"/>
            <family val="2"/>
          </rPr>
          <t>Avuthu, Charan (EXT - IN/Bangalore):</t>
        </r>
        <r>
          <rPr>
            <sz val="9"/>
            <color indexed="81"/>
            <rFont val="Tahoma"/>
            <family val="2"/>
          </rPr>
          <t xml:space="preserve">
Contains one disk:
- ccr_disk1: 153600MB</t>
        </r>
      </text>
    </comment>
    <comment ref="I48" authorId="3" shapeId="0" xr:uid="{750BEC3B-C806-4C26-BDDC-C85BDE6FC9D0}">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49" authorId="1" shapeId="0" xr:uid="{C9F15919-32A0-4726-AC1E-CEB135834701}">
      <text>
        <r>
          <rPr>
            <b/>
            <sz val="9"/>
            <color indexed="81"/>
            <rFont val="Tahoma"/>
            <family val="2"/>
          </rPr>
          <t>jarmylly:</t>
        </r>
        <r>
          <rPr>
            <sz val="9"/>
            <color indexed="81"/>
            <rFont val="Tahoma"/>
            <family val="2"/>
          </rPr>
          <t xml:space="preserve">
Contains two disks:
- Disk-1: 60GB
- Disk-2: 40GB</t>
        </r>
      </text>
    </comment>
    <comment ref="I50" authorId="1" shapeId="0" xr:uid="{0EF7E0BB-47D4-464D-8F23-DA52914219D9}">
      <text>
        <r>
          <rPr>
            <sz val="9"/>
            <color indexed="81"/>
            <rFont val="Tahoma"/>
            <family val="2"/>
          </rPr>
          <t>Contains two disks:
- Disk-1: 60GB
(NOTE: For servers intended for more than 10 concurrent users the recommended size for disk C is Disk-1 size + RAM size.)
- Disk-2: 40GB</t>
        </r>
      </text>
    </comment>
    <comment ref="I51" authorId="1" shapeId="0" xr:uid="{A6E921E5-B02D-4AC9-9175-DA2AF52C034C}">
      <text>
        <r>
          <rPr>
            <sz val="9"/>
            <color indexed="81"/>
            <rFont val="Tahoma"/>
            <family val="2"/>
          </rPr>
          <t>Contains two disks:
- Disk-1: 60GB
(NOTE: For servers intended for more than 10 concurrent users the recommended size for disk C is Disk-1 size + RAM size.)
- Disk-2: 40GB</t>
        </r>
      </text>
    </comment>
    <comment ref="I52" authorId="1" shapeId="0" xr:uid="{11ADE483-1BBA-4D27-9ED4-BEA8FB4880A4}">
      <text>
        <r>
          <rPr>
            <sz val="9"/>
            <color indexed="81"/>
            <rFont val="Tahoma"/>
            <family val="2"/>
          </rPr>
          <t>Contains two disks:
- Disk-1: 60GB
(NOTE: For servers intended for more than 10 concurrent users the recommended size for disk C is Disk-1 size + RAM size.)
- Disk-2: 40GB</t>
        </r>
      </text>
    </comment>
    <comment ref="I53" authorId="1" shapeId="0" xr:uid="{AC40CC0D-79B8-4D26-BE0E-EC88F29FBF59}">
      <text>
        <r>
          <rPr>
            <sz val="9"/>
            <color indexed="81"/>
            <rFont val="Tahoma"/>
            <family val="2"/>
          </rPr>
          <t>Contains two disks:
- Disk-1: 60GB
(NOTE: For servers intended for more than 10 concurrent users the recommended size for disk C is Disk-1 size + RAM size.)
- Disk-2: 40GB</t>
        </r>
      </text>
    </comment>
    <comment ref="I54" authorId="1" shapeId="0" xr:uid="{9B1EDB97-3FBE-4813-B0C6-84BC06628557}">
      <text>
        <r>
          <rPr>
            <sz val="9"/>
            <color indexed="81"/>
            <rFont val="Tahoma"/>
            <family val="2"/>
          </rPr>
          <t>Contains two disks:
- Disk-1: 80GB
(NOTE: For servers intended for more than 10 concurrent users the recommended size for disk C is Disk-1 size + RAM size.)
- Disk-2: 40GB</t>
        </r>
      </text>
    </comment>
    <comment ref="I62" authorId="1" shapeId="0" xr:uid="{16031D7F-73DB-4622-828B-0D170B2A66BB}">
      <text>
        <r>
          <rPr>
            <b/>
            <sz val="9"/>
            <color indexed="81"/>
            <rFont val="Tahoma"/>
            <family val="2"/>
          </rPr>
          <t>jarmylly:</t>
        </r>
        <r>
          <rPr>
            <sz val="9"/>
            <color indexed="81"/>
            <rFont val="Tahoma"/>
            <family val="2"/>
          </rPr>
          <t xml:space="preserve">
Contains two disks:
- Disk-1: 30GB
- Disk-2: 80GB</t>
        </r>
      </text>
    </comment>
    <comment ref="I67" authorId="3" shapeId="0" xr:uid="{CE330BFE-9B58-48C5-811B-98846E56230C}">
      <text>
        <r>
          <rPr>
            <b/>
            <sz val="9"/>
            <color indexed="81"/>
            <rFont val="Tahoma"/>
            <family val="2"/>
          </rPr>
          <t>Thippeswamy, Suresh (Nokia - IN/Bangalore):</t>
        </r>
        <r>
          <rPr>
            <sz val="9"/>
            <color indexed="81"/>
            <rFont val="Tahoma"/>
            <family val="2"/>
          </rPr>
          <t xml:space="preserve">
OS disk: 50GB
Data Disk:2048GB</t>
        </r>
      </text>
    </comment>
    <comment ref="E81" authorId="1" shapeId="0" xr:uid="{D4572C4F-B378-45A5-A8D8-8C76A0376202}">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82" authorId="1" shapeId="0" xr:uid="{B2CB1CD5-3545-42E8-B087-F84D99FF0F0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Jayashree Sundaresan (Nokia)</author>
  </authors>
  <commentList>
    <comment ref="I7" authorId="0" shapeId="0" xr:uid="{23B8B18B-A396-46F7-8D79-2D6885F8AC9C}">
      <text>
        <r>
          <rPr>
            <b/>
            <sz val="9"/>
            <color indexed="81"/>
            <rFont val="Tahoma"/>
            <family val="2"/>
          </rPr>
          <t>Avuthu, Charan (EXT - IN/Bangalore):</t>
        </r>
        <r>
          <rPr>
            <sz val="9"/>
            <color indexed="81"/>
            <rFont val="Tahoma"/>
            <family val="2"/>
          </rPr>
          <t xml:space="preserve">
Instance OS Level SWAP size, will derive from the flavor</t>
        </r>
      </text>
    </comment>
    <comment ref="K7" authorId="1" shapeId="0" xr:uid="{DD9D84AF-7C36-41C2-BAD3-3E39B2639869}">
      <text>
        <r>
          <rPr>
            <b/>
            <sz val="9"/>
            <color indexed="81"/>
            <rFont val="Tahoma"/>
            <family val="2"/>
          </rPr>
          <t>jarmylly:</t>
        </r>
        <r>
          <rPr>
            <sz val="9"/>
            <color indexed="81"/>
            <rFont val="Tahoma"/>
            <family val="2"/>
          </rPr>
          <t xml:space="preserve">
Only if Airframe Hardware used</t>
        </r>
      </text>
    </comment>
    <comment ref="O7" authorId="1" shapeId="0" xr:uid="{CC65DC42-BDB1-4661-9FAA-2A6E104BD31F}">
      <text>
        <r>
          <rPr>
            <b/>
            <sz val="9"/>
            <color indexed="81"/>
            <rFont val="Tahoma"/>
            <family val="2"/>
          </rPr>
          <t>jarmylly:</t>
        </r>
        <r>
          <rPr>
            <sz val="9"/>
            <color indexed="81"/>
            <rFont val="Tahoma"/>
            <family val="2"/>
          </rPr>
          <t xml:space="preserve">
Only if Airframe Hardware used</t>
        </r>
      </text>
    </comment>
    <comment ref="S7" authorId="1" shapeId="0" xr:uid="{E40C2489-A0BB-4C39-A468-2FB0017B46C3}">
      <text>
        <r>
          <rPr>
            <b/>
            <sz val="9"/>
            <color indexed="81"/>
            <rFont val="Tahoma"/>
            <family val="2"/>
          </rPr>
          <t>jarmylly:</t>
        </r>
        <r>
          <rPr>
            <sz val="9"/>
            <color indexed="81"/>
            <rFont val="Tahoma"/>
            <family val="2"/>
          </rPr>
          <t xml:space="preserve">
Only if Airframe Hardware used</t>
        </r>
      </text>
    </comment>
    <comment ref="W7" authorId="1" shapeId="0" xr:uid="{58A87E82-233E-4A26-BAA6-C19C8811CBEA}">
      <text>
        <r>
          <rPr>
            <b/>
            <sz val="9"/>
            <color indexed="81"/>
            <rFont val="Tahoma"/>
            <family val="2"/>
          </rPr>
          <t>jarmylly:</t>
        </r>
        <r>
          <rPr>
            <sz val="9"/>
            <color indexed="81"/>
            <rFont val="Tahoma"/>
            <family val="2"/>
          </rPr>
          <t xml:space="preserve">
Only if Airframe Hardware used</t>
        </r>
      </text>
    </comment>
    <comment ref="AA7" authorId="1" shapeId="0" xr:uid="{5B3748E5-9DB2-4710-BC0E-B5E67143ED05}">
      <text>
        <r>
          <rPr>
            <b/>
            <sz val="9"/>
            <color indexed="81"/>
            <rFont val="Tahoma"/>
            <family val="2"/>
          </rPr>
          <t>jarmylly:</t>
        </r>
        <r>
          <rPr>
            <sz val="9"/>
            <color indexed="81"/>
            <rFont val="Tahoma"/>
            <family val="2"/>
          </rPr>
          <t xml:space="preserve">
Only if Airframe Hardware used</t>
        </r>
      </text>
    </comment>
    <comment ref="AE7" authorId="1" shapeId="0" xr:uid="{98368002-4D52-4672-A8B0-74345F22DD36}">
      <text>
        <r>
          <rPr>
            <b/>
            <sz val="9"/>
            <color indexed="81"/>
            <rFont val="Tahoma"/>
            <family val="2"/>
          </rPr>
          <t>jarmylly:</t>
        </r>
        <r>
          <rPr>
            <sz val="9"/>
            <color indexed="81"/>
            <rFont val="Tahoma"/>
            <family val="2"/>
          </rPr>
          <t xml:space="preserve">
Only if Airframe Hardware used</t>
        </r>
      </text>
    </comment>
    <comment ref="AI7" authorId="1" shapeId="0" xr:uid="{67277298-54E3-44E3-A770-9E75D1B88B96}">
      <text>
        <r>
          <rPr>
            <b/>
            <sz val="9"/>
            <color indexed="81"/>
            <rFont val="Tahoma"/>
            <family val="2"/>
          </rPr>
          <t>jarmylly:</t>
        </r>
        <r>
          <rPr>
            <sz val="9"/>
            <color indexed="81"/>
            <rFont val="Tahoma"/>
            <family val="2"/>
          </rPr>
          <t xml:space="preserve">
Only if Airframe Hardware used</t>
        </r>
      </text>
    </comment>
    <comment ref="AM7" authorId="1" shapeId="0" xr:uid="{7DC9B63E-AE79-41CE-9675-70650946A047}">
      <text>
        <r>
          <rPr>
            <b/>
            <sz val="9"/>
            <color indexed="81"/>
            <rFont val="Tahoma"/>
            <family val="2"/>
          </rPr>
          <t>jarmylly:</t>
        </r>
        <r>
          <rPr>
            <sz val="9"/>
            <color indexed="81"/>
            <rFont val="Tahoma"/>
            <family val="2"/>
          </rPr>
          <t xml:space="preserve">
Only if Airframe Hardware used</t>
        </r>
      </text>
    </comment>
    <comment ref="AQ7" authorId="1" shapeId="0" xr:uid="{08D1069D-8B72-4223-8E3A-6A4266C14811}">
      <text>
        <r>
          <rPr>
            <b/>
            <sz val="9"/>
            <color indexed="81"/>
            <rFont val="Tahoma"/>
            <family val="2"/>
          </rPr>
          <t>jarmylly:</t>
        </r>
        <r>
          <rPr>
            <sz val="9"/>
            <color indexed="81"/>
            <rFont val="Tahoma"/>
            <family val="2"/>
          </rPr>
          <t xml:space="preserve">
Only if Airframe Hardware used</t>
        </r>
      </text>
    </comment>
    <comment ref="AU7" authorId="1" shapeId="0" xr:uid="{21474C5A-BAD6-42EA-9734-2F972237FDA5}">
      <text>
        <r>
          <rPr>
            <b/>
            <sz val="9"/>
            <color indexed="81"/>
            <rFont val="Tahoma"/>
            <family val="2"/>
          </rPr>
          <t>jarmylly:</t>
        </r>
        <r>
          <rPr>
            <sz val="9"/>
            <color indexed="81"/>
            <rFont val="Tahoma"/>
            <family val="2"/>
          </rPr>
          <t xml:space="preserve">
Only if Airframe Hardware used</t>
        </r>
      </text>
    </comment>
    <comment ref="AY7" authorId="1" shapeId="0" xr:uid="{795B5905-7417-4257-9E4F-4D5A712A19AF}">
      <text>
        <r>
          <rPr>
            <b/>
            <sz val="9"/>
            <color indexed="81"/>
            <rFont val="Tahoma"/>
            <family val="2"/>
          </rPr>
          <t>jarmylly:</t>
        </r>
        <r>
          <rPr>
            <sz val="9"/>
            <color indexed="81"/>
            <rFont val="Tahoma"/>
            <family val="2"/>
          </rPr>
          <t xml:space="preserve">
Only if Airframe Hardware used</t>
        </r>
      </text>
    </comment>
    <comment ref="BC7" authorId="0" shapeId="0" xr:uid="{983EAD43-01C2-4359-B892-06BDAA02802F}">
      <text>
        <r>
          <rPr>
            <b/>
            <sz val="9"/>
            <color indexed="81"/>
            <rFont val="Tahoma"/>
            <family val="2"/>
          </rPr>
          <t>Avuthu, Charan (EXT - IN/Bangalore):</t>
        </r>
        <r>
          <rPr>
            <sz val="9"/>
            <color indexed="81"/>
            <rFont val="Tahoma"/>
            <family val="2"/>
          </rPr>
          <t xml:space="preserve">
Only if Airframe Hardware used</t>
        </r>
      </text>
    </comment>
    <comment ref="BG7" authorId="1" shapeId="0" xr:uid="{63EB5B6E-7486-44D2-AB35-62ECCA964EB8}">
      <text>
        <r>
          <rPr>
            <b/>
            <sz val="9"/>
            <color indexed="81"/>
            <rFont val="Tahoma"/>
            <family val="2"/>
          </rPr>
          <t>jarmylly:</t>
        </r>
        <r>
          <rPr>
            <sz val="9"/>
            <color indexed="81"/>
            <rFont val="Tahoma"/>
            <family val="2"/>
          </rPr>
          <t xml:space="preserve">
Only if Airframe Hardware used</t>
        </r>
      </text>
    </comment>
    <comment ref="L8" authorId="1" shapeId="0" xr:uid="{7A4A5B93-7AA4-48C0-A415-DECCF4C2C5AA}">
      <text>
        <r>
          <rPr>
            <b/>
            <sz val="9"/>
            <color indexed="81"/>
            <rFont val="Tahoma"/>
            <family val="2"/>
          </rPr>
          <t>jarmylly:</t>
        </r>
        <r>
          <rPr>
            <sz val="9"/>
            <color indexed="81"/>
            <rFont val="Tahoma"/>
            <family val="2"/>
          </rPr>
          <t xml:space="preserve">
Images name: rhel7_insteng</t>
        </r>
      </text>
    </comment>
    <comment ref="L9" authorId="1" shapeId="0" xr:uid="{82598AC2-745A-4E24-8C17-54DB14A80AF1}">
      <text>
        <r>
          <rPr>
            <b/>
            <sz val="9"/>
            <color indexed="81"/>
            <rFont val="Tahoma"/>
            <family val="2"/>
          </rPr>
          <t>jarmylly:</t>
        </r>
        <r>
          <rPr>
            <sz val="9"/>
            <color indexed="81"/>
            <rFont val="Tahoma"/>
            <family val="2"/>
          </rPr>
          <t xml:space="preserve">
Image name: administration_server</t>
        </r>
      </text>
    </comment>
    <comment ref="L10" authorId="1" shapeId="0" xr:uid="{29BB8B4C-8A3C-4610-8840-689100E9EA94}">
      <text>
        <r>
          <rPr>
            <b/>
            <sz val="9"/>
            <color indexed="81"/>
            <rFont val="Tahoma"/>
            <family val="2"/>
          </rPr>
          <t>jarmylly:</t>
        </r>
        <r>
          <rPr>
            <sz val="9"/>
            <color indexed="81"/>
            <rFont val="Tahoma"/>
            <family val="2"/>
          </rPr>
          <t xml:space="preserve">
Image name: netact_rhel_base</t>
        </r>
      </text>
    </comment>
    <comment ref="L11" authorId="1" shapeId="0" xr:uid="{0EC410E9-F18E-40E8-888C-81E908EFD7AE}">
      <text>
        <r>
          <rPr>
            <b/>
            <sz val="9"/>
            <color indexed="81"/>
            <rFont val="Tahoma"/>
            <family val="2"/>
          </rPr>
          <t>jarmylly:</t>
        </r>
        <r>
          <rPr>
            <sz val="9"/>
            <color indexed="81"/>
            <rFont val="Tahoma"/>
            <family val="2"/>
          </rPr>
          <t xml:space="preserve">
Image name: netact_rhel_base</t>
        </r>
      </text>
    </comment>
    <comment ref="P11" authorId="1" shapeId="0" xr:uid="{51E1F065-E393-47ED-B224-23DC3ADEAC3A}">
      <text>
        <r>
          <rPr>
            <b/>
            <sz val="9"/>
            <color indexed="81"/>
            <rFont val="Tahoma"/>
            <family val="2"/>
          </rPr>
          <t>jarmylly:</t>
        </r>
        <r>
          <rPr>
            <sz val="9"/>
            <color indexed="81"/>
            <rFont val="Tahoma"/>
            <family val="2"/>
          </rPr>
          <t xml:space="preserve">
Image name: vgredo</t>
        </r>
      </text>
    </comment>
    <comment ref="T11" authorId="1" shapeId="0" xr:uid="{BDF5FF06-69B1-40A5-B91E-CB13464F0E3E}">
      <text>
        <r>
          <rPr>
            <b/>
            <sz val="9"/>
            <color indexed="81"/>
            <rFont val="Tahoma"/>
            <family val="2"/>
          </rPr>
          <t>jarmylly:</t>
        </r>
        <r>
          <rPr>
            <sz val="9"/>
            <color indexed="81"/>
            <rFont val="Tahoma"/>
            <family val="2"/>
          </rPr>
          <t xml:space="preserve">
Image name: vgdb</t>
        </r>
      </text>
    </comment>
    <comment ref="X11" authorId="1" shapeId="0" xr:uid="{404FF4C5-BB6E-4650-8DE8-B43FDC07B8FD}">
      <text>
        <r>
          <rPr>
            <b/>
            <sz val="9"/>
            <color indexed="81"/>
            <rFont val="Tahoma"/>
            <family val="2"/>
          </rPr>
          <t>jarmylly:</t>
        </r>
        <r>
          <rPr>
            <sz val="9"/>
            <color indexed="81"/>
            <rFont val="Tahoma"/>
            <family val="2"/>
          </rPr>
          <t xml:space="preserve">
Image name: vgarc</t>
        </r>
      </text>
    </comment>
    <comment ref="BH11" authorId="2" shapeId="0" xr:uid="{47A1EAB5-AB7F-466A-9DEC-2C2D6DCC7DEC}">
      <text>
        <r>
          <rPr>
            <b/>
            <sz val="9"/>
            <color indexed="81"/>
            <rFont val="Tahoma"/>
            <family val="2"/>
          </rPr>
          <t xml:space="preserve"> Alok :name
</t>
        </r>
        <r>
          <rPr>
            <sz val="9"/>
            <color indexed="81"/>
            <rFont val="Tahoma"/>
            <family val="2"/>
          </rPr>
          <t>vgdbfb</t>
        </r>
      </text>
    </comment>
    <comment ref="BM11" authorId="3" shapeId="0" xr:uid="{0751DAD6-A696-4D0C-86C8-2038757DFAC3}">
      <text>
        <r>
          <rPr>
            <b/>
            <sz val="9"/>
            <color indexed="81"/>
            <rFont val="Tahoma"/>
            <family val="2"/>
          </rPr>
          <t>Goyal, Mayank (Nokia - IN/Bangalore):</t>
        </r>
        <r>
          <rPr>
            <sz val="9"/>
            <color indexed="81"/>
            <rFont val="Tahoma"/>
            <family val="2"/>
          </rPr>
          <t xml:space="preserve">
6 with FB else 5</t>
        </r>
      </text>
    </comment>
    <comment ref="L12" authorId="1" shapeId="0" xr:uid="{9D5DFE04-376D-4E7D-BF05-0C2DAECA9094}">
      <text>
        <r>
          <rPr>
            <b/>
            <sz val="9"/>
            <color indexed="81"/>
            <rFont val="Tahoma"/>
            <family val="2"/>
          </rPr>
          <t>jarmylly:</t>
        </r>
        <r>
          <rPr>
            <sz val="9"/>
            <color indexed="81"/>
            <rFont val="Tahoma"/>
            <family val="2"/>
          </rPr>
          <t xml:space="preserve">
Image name: netact_rhel_base</t>
        </r>
      </text>
    </comment>
    <comment ref="Y12" authorId="2" shapeId="0" xr:uid="{B5DD010F-5466-4001-AC2D-B671278DA87B}">
      <text>
        <r>
          <rPr>
            <b/>
            <sz val="9"/>
            <color indexed="81"/>
            <rFont val="Tahoma"/>
            <family val="2"/>
          </rPr>
          <t>Rastogi, Alok (Nokia - IN/Bangalore):</t>
        </r>
        <r>
          <rPr>
            <sz val="9"/>
            <color indexed="81"/>
            <rFont val="Tahoma"/>
            <family val="2"/>
          </rPr>
          <t xml:space="preserve">
Contains three disks:
NFS Global :337920 MB
NFS Home :18432 MB
NFS WAS dump:46080 MB
</t>
        </r>
      </text>
    </comment>
    <comment ref="AB12" authorId="1" shapeId="0" xr:uid="{FF7D53D3-BB27-42F8-8845-B0FFD61C66E1}">
      <text>
        <r>
          <rPr>
            <b/>
            <sz val="9"/>
            <color indexed="81"/>
            <rFont val="Tahoma"/>
            <family val="2"/>
          </rPr>
          <t>jarmylly:</t>
        </r>
        <r>
          <rPr>
            <sz val="9"/>
            <color indexed="81"/>
            <rFont val="Tahoma"/>
            <family val="2"/>
          </rPr>
          <t xml:space="preserve">
Image names:
- vgglobal
- vghome</t>
        </r>
      </text>
    </comment>
    <comment ref="AC12" authorId="1" shapeId="0" xr:uid="{80F3CFD3-93ED-4441-873A-BA4CB9C4A50F}">
      <text>
        <r>
          <rPr>
            <b/>
            <sz val="9"/>
            <color indexed="81"/>
            <rFont val="Tahoma"/>
            <family val="2"/>
          </rPr>
          <t>jarmylly:</t>
        </r>
        <r>
          <rPr>
            <sz val="9"/>
            <color indexed="81"/>
            <rFont val="Tahoma"/>
            <family val="2"/>
          </rPr>
          <t xml:space="preserve">
Reserved for customer own data.</t>
        </r>
      </text>
    </comment>
    <comment ref="L13" authorId="1" shapeId="0" xr:uid="{B52592A6-60A8-4B74-B478-44699D9D7899}">
      <text>
        <r>
          <rPr>
            <b/>
            <sz val="9"/>
            <color indexed="81"/>
            <rFont val="Tahoma"/>
            <family val="2"/>
          </rPr>
          <t>jarmylly:</t>
        </r>
        <r>
          <rPr>
            <sz val="9"/>
            <color indexed="81"/>
            <rFont val="Tahoma"/>
            <family val="2"/>
          </rPr>
          <t xml:space="preserve">
Image name: netact_rhel_base</t>
        </r>
      </text>
    </comment>
    <comment ref="L14" authorId="1" shapeId="0" xr:uid="{35722910-0EA0-4B25-9507-1C0B07F765E3}">
      <text>
        <r>
          <rPr>
            <b/>
            <sz val="9"/>
            <color indexed="81"/>
            <rFont val="Tahoma"/>
            <family val="2"/>
          </rPr>
          <t>jarmylly:</t>
        </r>
        <r>
          <rPr>
            <sz val="9"/>
            <color indexed="81"/>
            <rFont val="Tahoma"/>
            <family val="2"/>
          </rPr>
          <t xml:space="preserve">
Image name: netact_rhel_base</t>
        </r>
      </text>
    </comment>
    <comment ref="L15" authorId="1" shapeId="0" xr:uid="{E9635BCC-69EA-401A-9D9E-FF1B82B9312C}">
      <text>
        <r>
          <rPr>
            <b/>
            <sz val="9"/>
            <color indexed="81"/>
            <rFont val="Tahoma"/>
            <family val="2"/>
          </rPr>
          <t>jarmylly:</t>
        </r>
        <r>
          <rPr>
            <sz val="9"/>
            <color indexed="81"/>
            <rFont val="Tahoma"/>
            <family val="2"/>
          </rPr>
          <t xml:space="preserve">
Image name: netact_rhel_base</t>
        </r>
      </text>
    </comment>
    <comment ref="L16" authorId="1" shapeId="0" xr:uid="{616A5ABA-B204-45C2-8047-EBF1696F6AC3}">
      <text>
        <r>
          <rPr>
            <b/>
            <sz val="9"/>
            <color indexed="81"/>
            <rFont val="Tahoma"/>
            <family val="2"/>
          </rPr>
          <t>jarmylly:</t>
        </r>
        <r>
          <rPr>
            <sz val="9"/>
            <color indexed="81"/>
            <rFont val="Tahoma"/>
            <family val="2"/>
          </rPr>
          <t xml:space="preserve">
Image name: netact_rhel_base</t>
        </r>
      </text>
    </comment>
    <comment ref="L17" authorId="1" shapeId="0" xr:uid="{AAF8FEC1-A17B-4783-8059-F93A81B89786}">
      <text>
        <r>
          <rPr>
            <b/>
            <sz val="9"/>
            <color indexed="81"/>
            <rFont val="Tahoma"/>
            <family val="2"/>
          </rPr>
          <t>jarmylly:</t>
        </r>
        <r>
          <rPr>
            <sz val="9"/>
            <color indexed="81"/>
            <rFont val="Tahoma"/>
            <family val="2"/>
          </rPr>
          <t xml:space="preserve">
Image name: netact_rhel_base</t>
        </r>
      </text>
    </comment>
    <comment ref="L18" authorId="1" shapeId="0" xr:uid="{4E2BE30F-78A4-4E4D-AC0B-C052388F983E}">
      <text>
        <r>
          <rPr>
            <b/>
            <sz val="9"/>
            <color indexed="81"/>
            <rFont val="Tahoma"/>
            <family val="2"/>
          </rPr>
          <t>jarmylly:</t>
        </r>
        <r>
          <rPr>
            <sz val="9"/>
            <color indexed="81"/>
            <rFont val="Tahoma"/>
            <family val="2"/>
          </rPr>
          <t xml:space="preserve">
Image name: netact_rhel_base</t>
        </r>
      </text>
    </comment>
    <comment ref="L19" authorId="1" shapeId="0" xr:uid="{5456B90A-9221-4A67-BEAC-D651A16327C1}">
      <text>
        <r>
          <rPr>
            <b/>
            <sz val="9"/>
            <color indexed="81"/>
            <rFont val="Tahoma"/>
            <family val="2"/>
          </rPr>
          <t>jarmylly:</t>
        </r>
        <r>
          <rPr>
            <sz val="9"/>
            <color indexed="81"/>
            <rFont val="Tahoma"/>
            <family val="2"/>
          </rPr>
          <t xml:space="preserve">
Image name: netact_rhel_base</t>
        </r>
      </text>
    </comment>
    <comment ref="AR19" authorId="2" shapeId="0" xr:uid="{81DBBE34-5308-490A-A567-379FE42B2630}">
      <text>
        <r>
          <rPr>
            <b/>
            <sz val="9"/>
            <color indexed="81"/>
            <rFont val="Tahoma"/>
            <family val="2"/>
          </rPr>
          <t xml:space="preserve"> Alok :name
</t>
        </r>
        <r>
          <rPr>
            <sz val="9"/>
            <color indexed="81"/>
            <rFont val="Tahoma"/>
            <family val="2"/>
          </rPr>
          <t>vgadm</t>
        </r>
      </text>
    </comment>
    <comment ref="L20" authorId="1" shapeId="0" xr:uid="{BC5821A1-8572-49C5-9E12-2A7EA3F9F1C1}">
      <text>
        <r>
          <rPr>
            <b/>
            <sz val="9"/>
            <color indexed="81"/>
            <rFont val="Tahoma"/>
            <family val="2"/>
          </rPr>
          <t>jarmylly:</t>
        </r>
        <r>
          <rPr>
            <sz val="9"/>
            <color indexed="81"/>
            <rFont val="Tahoma"/>
            <family val="2"/>
          </rPr>
          <t xml:space="preserve">
Image name: netact_rhel_base</t>
        </r>
      </text>
    </comment>
    <comment ref="L21" authorId="1" shapeId="0" xr:uid="{A6F1CF98-229F-409D-95DF-9085F129E4CB}">
      <text>
        <r>
          <rPr>
            <b/>
            <sz val="9"/>
            <color indexed="81"/>
            <rFont val="Tahoma"/>
            <family val="2"/>
          </rPr>
          <t>jarmylly:</t>
        </r>
        <r>
          <rPr>
            <sz val="9"/>
            <color indexed="81"/>
            <rFont val="Tahoma"/>
            <family val="2"/>
          </rPr>
          <t xml:space="preserve">
Image name: netact_rhel_base</t>
        </r>
      </text>
    </comment>
    <comment ref="L22" authorId="1" shapeId="0" xr:uid="{6C9CF281-60CF-4CB4-A803-E337A6D2BA4D}">
      <text>
        <r>
          <rPr>
            <b/>
            <sz val="9"/>
            <color indexed="81"/>
            <rFont val="Tahoma"/>
            <family val="2"/>
          </rPr>
          <t>jarmylly:</t>
        </r>
        <r>
          <rPr>
            <sz val="9"/>
            <color indexed="81"/>
            <rFont val="Tahoma"/>
            <family val="2"/>
          </rPr>
          <t xml:space="preserve">
Image name: netact_rhel_base</t>
        </r>
      </text>
    </comment>
    <comment ref="L23" authorId="1" shapeId="0" xr:uid="{20842F41-6A4C-4752-969B-FFDD7CF8F0A0}">
      <text>
        <r>
          <rPr>
            <b/>
            <sz val="9"/>
            <color indexed="81"/>
            <rFont val="Tahoma"/>
            <family val="2"/>
          </rPr>
          <t>jarmylly:</t>
        </r>
        <r>
          <rPr>
            <sz val="9"/>
            <color indexed="81"/>
            <rFont val="Tahoma"/>
            <family val="2"/>
          </rPr>
          <t xml:space="preserve">
Image name: netact_rhel_base</t>
        </r>
      </text>
    </comment>
    <comment ref="AV23" authorId="4" shapeId="0" xr:uid="{DB9BEEA7-6D64-4964-90BD-D2FB0033F50D}">
      <text>
        <r>
          <rPr>
            <b/>
            <sz val="9"/>
            <color indexed="81"/>
            <rFont val="Tahoma"/>
            <family val="2"/>
          </rPr>
          <t>Thippeswamy, Suresh (Nokia - IN/Bangalore):</t>
        </r>
        <r>
          <rPr>
            <sz val="9"/>
            <color indexed="81"/>
            <rFont val="Tahoma"/>
            <family val="2"/>
          </rPr>
          <t xml:space="preserve">
Image name: vgisdk</t>
        </r>
      </text>
    </comment>
    <comment ref="BM23" authorId="4" shapeId="0" xr:uid="{40087E91-30E0-44D0-91CB-1EBA00B6E645}">
      <text>
        <r>
          <rPr>
            <b/>
            <sz val="9"/>
            <color indexed="81"/>
            <rFont val="Tahoma"/>
            <family val="2"/>
          </rPr>
          <t>Thippeswamy, Suresh (Nokia - IN/Bangalore):</t>
        </r>
        <r>
          <rPr>
            <sz val="9"/>
            <color indexed="81"/>
            <rFont val="Tahoma"/>
            <family val="2"/>
          </rPr>
          <t xml:space="preserve">
CRSR-227: Changed to 3 from 2</t>
        </r>
      </text>
    </comment>
    <comment ref="L24" authorId="1" shapeId="0" xr:uid="{C531CE73-1DFF-4E4D-87C2-D8F6C90954EF}">
      <text>
        <r>
          <rPr>
            <b/>
            <sz val="9"/>
            <color indexed="81"/>
            <rFont val="Tahoma"/>
            <family val="2"/>
          </rPr>
          <t>jarmylly:</t>
        </r>
        <r>
          <rPr>
            <sz val="9"/>
            <color indexed="81"/>
            <rFont val="Tahoma"/>
            <family val="2"/>
          </rPr>
          <t xml:space="preserve">
Image name: netact_rhel_base</t>
        </r>
      </text>
    </comment>
    <comment ref="AV24" authorId="4" shapeId="0" xr:uid="{637163E2-0672-43D1-A6F8-BA8FBC4D9287}">
      <text>
        <r>
          <rPr>
            <b/>
            <sz val="9"/>
            <color indexed="81"/>
            <rFont val="Tahoma"/>
            <family val="2"/>
          </rPr>
          <t>Thippeswamy, Suresh (Nokia - IN/Bangalore):</t>
        </r>
        <r>
          <rPr>
            <sz val="9"/>
            <color indexed="81"/>
            <rFont val="Tahoma"/>
            <family val="2"/>
          </rPr>
          <t xml:space="preserve">
Image name: vgisdk</t>
        </r>
      </text>
    </comment>
    <comment ref="BM24" authorId="4" shapeId="0" xr:uid="{690DEB47-C6EE-4270-AABC-A4622F6FD0C7}">
      <text>
        <r>
          <rPr>
            <b/>
            <sz val="9"/>
            <color indexed="81"/>
            <rFont val="Tahoma"/>
            <family val="2"/>
          </rPr>
          <t>Thippeswamy, Suresh (Nokia - IN/Bangalore):</t>
        </r>
        <r>
          <rPr>
            <sz val="9"/>
            <color indexed="81"/>
            <rFont val="Tahoma"/>
            <family val="2"/>
          </rPr>
          <t xml:space="preserve">
CRSR-227: Changed to 3 from 2</t>
        </r>
      </text>
    </comment>
    <comment ref="L25" authorId="1" shapeId="0" xr:uid="{D2F47545-AA18-4856-83EE-476B002331E6}">
      <text>
        <r>
          <rPr>
            <b/>
            <sz val="9"/>
            <color indexed="81"/>
            <rFont val="Tahoma"/>
            <family val="2"/>
          </rPr>
          <t>jarmylly:</t>
        </r>
        <r>
          <rPr>
            <sz val="9"/>
            <color indexed="81"/>
            <rFont val="Tahoma"/>
            <family val="2"/>
          </rPr>
          <t xml:space="preserve">
Image name: netact_rhel_base</t>
        </r>
      </text>
    </comment>
    <comment ref="L26" authorId="1" shapeId="0" xr:uid="{F43F1D8F-473D-4A15-A264-F160ECEA5A3B}">
      <text>
        <r>
          <rPr>
            <b/>
            <sz val="9"/>
            <color indexed="81"/>
            <rFont val="Tahoma"/>
            <family val="2"/>
          </rPr>
          <t>jarmylly:</t>
        </r>
        <r>
          <rPr>
            <sz val="9"/>
            <color indexed="81"/>
            <rFont val="Tahoma"/>
            <family val="2"/>
          </rPr>
          <t xml:space="preserve">
Image name: netact_rhel_base</t>
        </r>
      </text>
    </comment>
    <comment ref="L27" authorId="1" shapeId="0" xr:uid="{8C0B9F53-2F4C-49C5-A10F-BC2F71A87F0C}">
      <text>
        <r>
          <rPr>
            <b/>
            <sz val="9"/>
            <color indexed="81"/>
            <rFont val="Tahoma"/>
            <family val="2"/>
          </rPr>
          <t>jarmylly:</t>
        </r>
        <r>
          <rPr>
            <sz val="9"/>
            <color indexed="81"/>
            <rFont val="Tahoma"/>
            <family val="2"/>
          </rPr>
          <t xml:space="preserve">
Image name: netact_rhel_base</t>
        </r>
      </text>
    </comment>
    <comment ref="L28" authorId="1" shapeId="0" xr:uid="{669A6DD3-1C17-47C5-B276-4A1CEB7DE2B6}">
      <text>
        <r>
          <rPr>
            <b/>
            <sz val="9"/>
            <color indexed="81"/>
            <rFont val="Tahoma"/>
            <family val="2"/>
          </rPr>
          <t>jarmylly:</t>
        </r>
        <r>
          <rPr>
            <sz val="9"/>
            <color indexed="81"/>
            <rFont val="Tahoma"/>
            <family val="2"/>
          </rPr>
          <t xml:space="preserve">
Image name: netact_rhel_base</t>
        </r>
      </text>
    </comment>
    <comment ref="L29" authorId="1" shapeId="0" xr:uid="{E035B8EE-82A8-4BE9-BCF8-DE07656046FC}">
      <text>
        <r>
          <rPr>
            <b/>
            <sz val="9"/>
            <color indexed="81"/>
            <rFont val="Tahoma"/>
            <family val="2"/>
          </rPr>
          <t>jarmylly:</t>
        </r>
        <r>
          <rPr>
            <sz val="9"/>
            <color indexed="81"/>
            <rFont val="Tahoma"/>
            <family val="2"/>
          </rPr>
          <t xml:space="preserve">
Image name: netact_rhel_base</t>
        </r>
      </text>
    </comment>
    <comment ref="L30" authorId="1" shapeId="0" xr:uid="{85E716CC-E434-423C-A07F-E3A4D6347C55}">
      <text>
        <r>
          <rPr>
            <b/>
            <sz val="9"/>
            <color indexed="81"/>
            <rFont val="Tahoma"/>
            <family val="2"/>
          </rPr>
          <t>jarmylly:</t>
        </r>
        <r>
          <rPr>
            <sz val="9"/>
            <color indexed="81"/>
            <rFont val="Tahoma"/>
            <family val="2"/>
          </rPr>
          <t xml:space="preserve">
Image name: netact_rhel_base</t>
        </r>
      </text>
    </comment>
    <comment ref="H31" authorId="1" shapeId="0" xr:uid="{8DA08048-BB6D-4B93-913B-59B14B092A6C}">
      <text>
        <r>
          <rPr>
            <b/>
            <sz val="9"/>
            <color indexed="81"/>
            <rFont val="Tahoma"/>
            <family val="2"/>
          </rPr>
          <t>jarmylly:</t>
        </r>
        <r>
          <rPr>
            <sz val="9"/>
            <color indexed="81"/>
            <rFont val="Tahoma"/>
            <family val="2"/>
          </rPr>
          <t xml:space="preserve">
Contains two disks:
- Disk-1: 61GB
- Disk-2: 41GB</t>
        </r>
      </text>
    </comment>
    <comment ref="L31" authorId="1" shapeId="0" xr:uid="{17705DAD-9F0B-4978-B1B4-A9956004EA9A}">
      <text>
        <r>
          <rPr>
            <b/>
            <sz val="9"/>
            <color indexed="81"/>
            <rFont val="Tahoma"/>
            <family val="2"/>
          </rPr>
          <t>jarmylly:</t>
        </r>
        <r>
          <rPr>
            <sz val="9"/>
            <color indexed="81"/>
            <rFont val="Tahoma"/>
            <family val="2"/>
          </rPr>
          <t xml:space="preserve">
Image name: 
- NMS_DC_disk1
- NMS_DC_disk2
- cdrom_nms</t>
        </r>
      </text>
    </comment>
    <comment ref="H32" authorId="1" shapeId="0" xr:uid="{56E81BC3-5CA7-424E-B130-3746B1E0E472}">
      <text>
        <r>
          <rPr>
            <sz val="9"/>
            <color indexed="81"/>
            <rFont val="Tahoma"/>
            <family val="2"/>
          </rPr>
          <t>Contains two disks:
- Disk-1: 61GB
(NOTE: For servers intended for more than 10 concurrent users the recommended size for disk C is Disk-1 size + RAM size.)
- Disk-2: 41GB</t>
        </r>
      </text>
    </comment>
    <comment ref="L32" authorId="1" shapeId="0" xr:uid="{E803DBD0-3F98-4B56-887D-6F9309FD3F5A}">
      <text>
        <r>
          <rPr>
            <b/>
            <sz val="9"/>
            <color indexed="81"/>
            <rFont val="Tahoma"/>
            <family val="2"/>
          </rPr>
          <t>jarmylly:</t>
        </r>
        <r>
          <rPr>
            <sz val="9"/>
            <color indexed="81"/>
            <rFont val="Tahoma"/>
            <family val="2"/>
          </rPr>
          <t xml:space="preserve">
Image name:
- NMS_VDA_disk1
- NMS_VDA_disk2</t>
        </r>
      </text>
    </comment>
    <comment ref="H33" authorId="1" shapeId="0" xr:uid="{9E5F6EED-AD16-4AB6-8310-F9D4B4C212F4}">
      <text>
        <r>
          <rPr>
            <sz val="9"/>
            <color indexed="81"/>
            <rFont val="Tahoma"/>
            <family val="2"/>
          </rPr>
          <t>Contains two disks:
- Disk-1: 80GB
(NOTE: For servers intended for more than 10 concurrent users the recommended size for disk C is Disk-1 size + RAM size.)
- Disk-2: 40GB</t>
        </r>
      </text>
    </comment>
    <comment ref="L33" authorId="1" shapeId="0" xr:uid="{420FD0F7-54DA-412F-A7C0-8DDFFDFAFC7D}">
      <text>
        <r>
          <rPr>
            <b/>
            <sz val="9"/>
            <color indexed="81"/>
            <rFont val="Tahoma"/>
            <family val="2"/>
          </rPr>
          <t>jarmylly:</t>
        </r>
        <r>
          <rPr>
            <sz val="9"/>
            <color indexed="81"/>
            <rFont val="Tahoma"/>
            <family val="2"/>
          </rPr>
          <t xml:space="preserve">
Image name:
- NMS_CTXDC_disk1
- NMS_CTXDC_disk2</t>
        </r>
      </text>
    </comment>
    <comment ref="L34" authorId="1" shapeId="0" xr:uid="{A8F92E62-6768-4229-9DA1-7EFDFDF9A1FC}">
      <text>
        <r>
          <rPr>
            <b/>
            <sz val="9"/>
            <color indexed="81"/>
            <rFont val="Tahoma"/>
            <family val="2"/>
          </rPr>
          <t>jarmylly:</t>
        </r>
        <r>
          <rPr>
            <sz val="9"/>
            <color indexed="81"/>
            <rFont val="Tahoma"/>
            <family val="2"/>
          </rPr>
          <t xml:space="preserve">
Image name: netact_rhel_base</t>
        </r>
      </text>
    </comment>
    <comment ref="AN34" authorId="1" shapeId="0" xr:uid="{AE426C1A-81CF-42E2-8B8C-B1564AAC6CBC}">
      <text>
        <r>
          <rPr>
            <b/>
            <sz val="9"/>
            <color indexed="81"/>
            <rFont val="Tahoma"/>
            <family val="2"/>
          </rPr>
          <t>jarmylly:</t>
        </r>
        <r>
          <rPr>
            <sz val="9"/>
            <color indexed="81"/>
            <rFont val="Tahoma"/>
            <family val="2"/>
          </rPr>
          <t xml:space="preserve">
Image name: vgrep</t>
        </r>
      </text>
    </comment>
    <comment ref="L35" authorId="1" shapeId="0" xr:uid="{5388AE73-BF80-4F16-A95F-96EC56D22D5E}">
      <text>
        <r>
          <rPr>
            <b/>
            <sz val="9"/>
            <color indexed="81"/>
            <rFont val="Tahoma"/>
            <family val="2"/>
          </rPr>
          <t>jarmylly:</t>
        </r>
        <r>
          <rPr>
            <sz val="9"/>
            <color indexed="81"/>
            <rFont val="Tahoma"/>
            <family val="2"/>
          </rPr>
          <t xml:space="preserve">
Image name: netact_rhel_base</t>
        </r>
      </text>
    </comment>
    <comment ref="AN35" authorId="1" shapeId="0" xr:uid="{17C67677-4A4D-488B-8008-3F25ED6612F9}">
      <text>
        <r>
          <rPr>
            <b/>
            <sz val="9"/>
            <color indexed="81"/>
            <rFont val="Tahoma"/>
            <family val="2"/>
          </rPr>
          <t>jarmylly:</t>
        </r>
        <r>
          <rPr>
            <sz val="9"/>
            <color indexed="81"/>
            <rFont val="Tahoma"/>
            <family val="2"/>
          </rPr>
          <t xml:space="preserve">
Image name: vgrep</t>
        </r>
      </text>
    </comment>
    <comment ref="L36" authorId="1" shapeId="0" xr:uid="{A79D5D1A-0628-4299-8DEF-3E90732458A0}">
      <text>
        <r>
          <rPr>
            <b/>
            <sz val="9"/>
            <color indexed="81"/>
            <rFont val="Tahoma"/>
            <family val="2"/>
          </rPr>
          <t>jarmylly:</t>
        </r>
        <r>
          <rPr>
            <sz val="9"/>
            <color indexed="81"/>
            <rFont val="Tahoma"/>
            <family val="2"/>
          </rPr>
          <t xml:space="preserve">
Image name: netact_rhel_base</t>
        </r>
      </text>
    </comment>
    <comment ref="L37" authorId="1" shapeId="0" xr:uid="{D8BEEB41-C8BB-43DD-8FF9-EF4652401E8B}">
      <text>
        <r>
          <rPr>
            <b/>
            <sz val="9"/>
            <color indexed="81"/>
            <rFont val="Tahoma"/>
            <family val="2"/>
          </rPr>
          <t>jarmylly:</t>
        </r>
        <r>
          <rPr>
            <sz val="9"/>
            <color indexed="81"/>
            <rFont val="Tahoma"/>
            <family val="2"/>
          </rPr>
          <t xml:space="preserve">
Image name: netact_rhel_base</t>
        </r>
      </text>
    </comment>
    <comment ref="L38" authorId="1" shapeId="0" xr:uid="{66EE2D1E-0ABF-4004-9425-32FE6C2C1431}">
      <text>
        <r>
          <rPr>
            <b/>
            <sz val="9"/>
            <color indexed="81"/>
            <rFont val="Tahoma"/>
            <family val="2"/>
          </rPr>
          <t>jarmylly:</t>
        </r>
        <r>
          <rPr>
            <sz val="9"/>
            <color indexed="81"/>
            <rFont val="Tahoma"/>
            <family val="2"/>
          </rPr>
          <t xml:space="preserve">
Image name: netact_rhel_base</t>
        </r>
      </text>
    </comment>
    <comment ref="BD38" authorId="0" shapeId="0" xr:uid="{527D7B89-90D2-4BBB-9FC1-3AF07D8ADC0A}">
      <text>
        <r>
          <rPr>
            <b/>
            <sz val="9"/>
            <color indexed="81"/>
            <rFont val="Tahoma"/>
            <family val="2"/>
          </rPr>
          <t>Avuthu, Charan (EXT - IN/Bangalore):</t>
        </r>
        <r>
          <rPr>
            <sz val="9"/>
            <color indexed="81"/>
            <rFont val="Tahoma"/>
            <family val="2"/>
          </rPr>
          <t xml:space="preserve">
Image Name: vgkafka</t>
        </r>
      </text>
    </comment>
    <comment ref="BU39" authorId="1" shapeId="0" xr:uid="{BA7EFECF-8A94-45F3-9091-B27A9FAA7068}">
      <text>
        <r>
          <rPr>
            <b/>
            <sz val="9"/>
            <color indexed="81"/>
            <rFont val="Tahoma"/>
            <family val="2"/>
          </rPr>
          <t>jarmylly:</t>
        </r>
        <r>
          <rPr>
            <sz val="9"/>
            <color indexed="81"/>
            <rFont val="Tahoma"/>
            <family val="2"/>
          </rPr>
          <t xml:space="preserve">
IPv4: 3
IPv4/IPv6: 5</t>
        </r>
      </text>
    </comment>
    <comment ref="AG41" authorId="5" shapeId="0" xr:uid="{EB4270A7-E904-4DE2-8E11-95D212DAC5EE}">
      <text>
        <r>
          <rPr>
            <b/>
            <sz val="9"/>
            <color indexed="81"/>
            <rFont val="Tahoma"/>
            <family val="2"/>
          </rPr>
          <t>Jayashree Sundaresan (Nokia):</t>
        </r>
        <r>
          <rPr>
            <sz val="9"/>
            <color indexed="81"/>
            <rFont val="Tahoma"/>
            <family val="2"/>
          </rPr>
          <t xml:space="preserve">
Contains one disk:
- backup_disk1: 204800MB</t>
        </r>
      </text>
    </comment>
    <comment ref="BL41" authorId="5" shapeId="0" xr:uid="{5044C330-A948-4B30-8988-EF4D07869B01}">
      <text>
        <r>
          <rPr>
            <b/>
            <sz val="9"/>
            <color indexed="81"/>
            <rFont val="Tahoma"/>
            <family val="2"/>
          </rPr>
          <t>Jayashree Sundaresan (Nokia):</t>
        </r>
        <r>
          <rPr>
            <sz val="9"/>
            <color indexed="81"/>
            <rFont val="Tahoma"/>
            <family val="2"/>
          </rPr>
          <t xml:space="preserve">
Image Name: vgniv</t>
        </r>
      </text>
    </comment>
    <comment ref="Y43" authorId="0" shapeId="0" xr:uid="{D69B2107-1DD8-473B-B418-A2F2933E5012}">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460800 MB</t>
        </r>
      </text>
    </comment>
    <comment ref="AG43" authorId="0" shapeId="0" xr:uid="{88FFA387-6B0B-47FF-8068-F34AB88FACFC}">
      <text>
        <r>
          <rPr>
            <b/>
            <sz val="9"/>
            <color indexed="81"/>
            <rFont val="Tahoma"/>
            <family val="2"/>
          </rPr>
          <t>Avuthu, Charan (EXT - IN/Bangalore):</t>
        </r>
        <r>
          <rPr>
            <sz val="9"/>
            <color indexed="81"/>
            <rFont val="Tahoma"/>
            <family val="2"/>
          </rPr>
          <t xml:space="preserve">
-Increase by additional 320GB, If LCM+CCR chosen as optional service on Compute1
(200GB increase for backup_disk on VM#150, 120GB increase on Backup disk on VM#5)</t>
        </r>
      </text>
    </comment>
    <comment ref="AZ43" authorId="0" shapeId="0" xr:uid="{3C0F53E9-03CD-4977-AB9B-C34610954BCA}">
      <text>
        <r>
          <rPr>
            <b/>
            <sz val="9"/>
            <color indexed="81"/>
            <rFont val="Tahoma"/>
            <family val="2"/>
          </rPr>
          <t>Avuthu, Charan (EXT - IN/Bangalore):</t>
        </r>
        <r>
          <rPr>
            <sz val="9"/>
            <color indexed="81"/>
            <rFont val="Tahoma"/>
            <family val="2"/>
          </rPr>
          <t xml:space="preserve">
Image Name:vgccr</t>
        </r>
      </text>
    </comment>
    <comment ref="BU45" authorId="1" shapeId="0" xr:uid="{0A45C88D-4285-4B33-AE9D-844CD390A864}">
      <text>
        <r>
          <rPr>
            <b/>
            <sz val="9"/>
            <color indexed="81"/>
            <rFont val="Tahoma"/>
            <family val="2"/>
          </rPr>
          <t>jarmylly:</t>
        </r>
        <r>
          <rPr>
            <sz val="9"/>
            <color indexed="81"/>
            <rFont val="Tahoma"/>
            <family val="2"/>
          </rPr>
          <t xml:space="preserve">
IPv4: 3
IPv4/IPv6: 5</t>
        </r>
      </text>
    </comment>
    <comment ref="L49" authorId="1" shapeId="0" xr:uid="{3A5EC9DD-9C08-473C-B96D-8BD505E06FF9}">
      <text>
        <r>
          <rPr>
            <b/>
            <sz val="9"/>
            <color indexed="81"/>
            <rFont val="Tahoma"/>
            <family val="2"/>
          </rPr>
          <t>jarmylly:</t>
        </r>
        <r>
          <rPr>
            <sz val="9"/>
            <color indexed="81"/>
            <rFont val="Tahoma"/>
            <family val="2"/>
          </rPr>
          <t xml:space="preserve">
Image name: netact_rhel_base</t>
        </r>
      </text>
    </comment>
    <comment ref="H50" authorId="1" shapeId="0" xr:uid="{EE8304F8-C459-47D4-B8F3-60C3636692CF}">
      <text>
        <r>
          <rPr>
            <b/>
            <sz val="9"/>
            <color indexed="81"/>
            <rFont val="Tahoma"/>
            <family val="2"/>
          </rPr>
          <t>jarmylly:</t>
        </r>
        <r>
          <rPr>
            <sz val="9"/>
            <color indexed="81"/>
            <rFont val="Tahoma"/>
            <family val="2"/>
          </rPr>
          <t xml:space="preserve">
Contains two disks:
- Disk-1: 61GB
- Disk-2: 41GB</t>
        </r>
      </text>
    </comment>
    <comment ref="L50" authorId="1" shapeId="0" xr:uid="{75D5B24D-8A18-43AE-B8CF-7425E9A884D7}">
      <text>
        <r>
          <rPr>
            <b/>
            <sz val="9"/>
            <color indexed="81"/>
            <rFont val="Tahoma"/>
            <family val="2"/>
          </rPr>
          <t>jarmylly:</t>
        </r>
        <r>
          <rPr>
            <sz val="9"/>
            <color indexed="81"/>
            <rFont val="Tahoma"/>
            <family val="2"/>
          </rPr>
          <t xml:space="preserve">
Image name: 
- NMS_DC_disk1
- NMS_DC_disk2</t>
        </r>
      </text>
    </comment>
    <comment ref="H51" authorId="1" shapeId="0" xr:uid="{8A3D98D2-0C96-4709-A39E-4008FD46879D}">
      <text>
        <r>
          <rPr>
            <sz val="9"/>
            <color indexed="81"/>
            <rFont val="Tahoma"/>
            <family val="2"/>
          </rPr>
          <t>Contains two disks:
- Disk-1: 61GB
(NOTE: For servers intended for more than 10 concurrent users the recommended size for disk C is Disk-1 size + RAM size.)
- Disk-2: 41GB</t>
        </r>
      </text>
    </comment>
    <comment ref="L51" authorId="1" shapeId="0" xr:uid="{8275D4AF-6344-44E4-A422-5DAC6D4AB8BF}">
      <text>
        <r>
          <rPr>
            <b/>
            <sz val="9"/>
            <color indexed="81"/>
            <rFont val="Tahoma"/>
            <family val="2"/>
          </rPr>
          <t>jarmylly:</t>
        </r>
        <r>
          <rPr>
            <sz val="9"/>
            <color indexed="81"/>
            <rFont val="Tahoma"/>
            <family val="2"/>
          </rPr>
          <t xml:space="preserve">
Image name:
- NMS_VDA_disk1
- NMS_VDA_disk2</t>
        </r>
      </text>
    </comment>
    <comment ref="H52" authorId="1" shapeId="0" xr:uid="{DEA5843F-D017-445F-B714-2D9C0497EEA2}">
      <text>
        <r>
          <rPr>
            <sz val="9"/>
            <color indexed="81"/>
            <rFont val="Tahoma"/>
            <family val="2"/>
          </rPr>
          <t>Contains two disks:
- Disk-1: 61GB
(NOTE: For servers intended for more than 10 concurrent users the recommended size for disk C is Disk-1 size + RAM size.)
- Disk-2: 41GB</t>
        </r>
      </text>
    </comment>
    <comment ref="L52" authorId="1" shapeId="0" xr:uid="{9424C128-1BAD-4678-BE37-A07404DE7200}">
      <text>
        <r>
          <rPr>
            <b/>
            <sz val="9"/>
            <color indexed="81"/>
            <rFont val="Tahoma"/>
            <family val="2"/>
          </rPr>
          <t>jarmylly:</t>
        </r>
        <r>
          <rPr>
            <sz val="9"/>
            <color indexed="81"/>
            <rFont val="Tahoma"/>
            <family val="2"/>
          </rPr>
          <t xml:space="preserve">
Image name:
- NMS_VDA_disk1
- NMS_VDA_disk2</t>
        </r>
      </text>
    </comment>
    <comment ref="H53" authorId="1" shapeId="0" xr:uid="{EFB49EAE-B32B-4670-8FF5-794B24F657C1}">
      <text>
        <r>
          <rPr>
            <sz val="9"/>
            <color indexed="81"/>
            <rFont val="Tahoma"/>
            <family val="2"/>
          </rPr>
          <t>Contains two disks:
- Disk-1: 61GB
(NOTE: For servers intended for more than 10 concurrent users the recommended size for disk C is Disk-1 size + RAM size.)
- Disk-2: 41GB</t>
        </r>
      </text>
    </comment>
    <comment ref="L53" authorId="1" shapeId="0" xr:uid="{B88D01A6-E18D-4B2E-A13A-DF2295F59CC7}">
      <text>
        <r>
          <rPr>
            <b/>
            <sz val="9"/>
            <color indexed="81"/>
            <rFont val="Tahoma"/>
            <family val="2"/>
          </rPr>
          <t>jarmylly:</t>
        </r>
        <r>
          <rPr>
            <sz val="9"/>
            <color indexed="81"/>
            <rFont val="Tahoma"/>
            <family val="2"/>
          </rPr>
          <t xml:space="preserve">
Image name:
- NMS_VDA_disk1
- NMS_VDA_disk2</t>
        </r>
      </text>
    </comment>
    <comment ref="H54" authorId="1" shapeId="0" xr:uid="{ECFDE818-251E-407F-A0EF-BA42F371A9DC}">
      <text>
        <r>
          <rPr>
            <sz val="9"/>
            <color indexed="81"/>
            <rFont val="Tahoma"/>
            <family val="2"/>
          </rPr>
          <t>Contains two disks:
- Disk-1: 61GB
(NOTE: For servers intended for more than 10 concurrent users the recommended size for disk C is Disk-1 size + RAM size.)
- Disk-2: 41GB</t>
        </r>
      </text>
    </comment>
    <comment ref="L54" authorId="1" shapeId="0" xr:uid="{2A6B4303-2647-41E5-9266-0B35F712EA3D}">
      <text>
        <r>
          <rPr>
            <b/>
            <sz val="9"/>
            <color indexed="81"/>
            <rFont val="Tahoma"/>
            <family val="2"/>
          </rPr>
          <t>jarmylly:</t>
        </r>
        <r>
          <rPr>
            <sz val="9"/>
            <color indexed="81"/>
            <rFont val="Tahoma"/>
            <family val="2"/>
          </rPr>
          <t xml:space="preserve">
Image name:
- NMS_VDA_disk1
- NMS_VDA_disk2</t>
        </r>
      </text>
    </comment>
    <comment ref="H55" authorId="1" shapeId="0" xr:uid="{7D8C4FAE-BF92-497D-83B5-6AFD885BE36C}">
      <text>
        <r>
          <rPr>
            <sz val="9"/>
            <color indexed="81"/>
            <rFont val="Tahoma"/>
            <family val="2"/>
          </rPr>
          <t>Contains two disks:
- Disk-1: 80GB
(NOTE: For servers intended for more than 10 concurrent users the recommended size for disk C is Disk-1 size + RAM size.)
- Disk-2: 40GB</t>
        </r>
      </text>
    </comment>
    <comment ref="L55" authorId="1" shapeId="0" xr:uid="{84174A75-258F-41EF-AE1E-0175B9E0D237}">
      <text>
        <r>
          <rPr>
            <b/>
            <sz val="9"/>
            <color indexed="81"/>
            <rFont val="Tahoma"/>
            <family val="2"/>
          </rPr>
          <t>jarmylly:</t>
        </r>
        <r>
          <rPr>
            <sz val="9"/>
            <color indexed="81"/>
            <rFont val="Tahoma"/>
            <family val="2"/>
          </rPr>
          <t xml:space="preserve">
Image name:
- NMS_CTXDC_disk1
- NMS_CTXDC_disk2</t>
        </r>
      </text>
    </comment>
    <comment ref="L56" authorId="1" shapeId="0" xr:uid="{AA57138D-2188-43E4-8112-733FB4C5D6F3}">
      <text>
        <r>
          <rPr>
            <b/>
            <sz val="9"/>
            <color indexed="81"/>
            <rFont val="Tahoma"/>
            <family val="2"/>
          </rPr>
          <t>jarmylly:</t>
        </r>
        <r>
          <rPr>
            <sz val="9"/>
            <color indexed="81"/>
            <rFont val="Tahoma"/>
            <family val="2"/>
          </rPr>
          <t xml:space="preserve">
Image name: netact_rhel_base</t>
        </r>
      </text>
    </comment>
    <comment ref="L57" authorId="1" shapeId="0" xr:uid="{AD6B803F-782E-4FAC-B7E4-17D4604269CE}">
      <text>
        <r>
          <rPr>
            <b/>
            <sz val="9"/>
            <color indexed="81"/>
            <rFont val="Tahoma"/>
            <family val="2"/>
          </rPr>
          <t>jarmylly:</t>
        </r>
        <r>
          <rPr>
            <sz val="9"/>
            <color indexed="81"/>
            <rFont val="Tahoma"/>
            <family val="2"/>
          </rPr>
          <t xml:space="preserve">
Image name: netact_rhel_base</t>
        </r>
      </text>
    </comment>
    <comment ref="L58" authorId="1" shapeId="0" xr:uid="{B2C03528-3E7A-454C-86C1-DF8B221FC6D0}">
      <text>
        <r>
          <rPr>
            <b/>
            <sz val="9"/>
            <color indexed="81"/>
            <rFont val="Tahoma"/>
            <family val="2"/>
          </rPr>
          <t>jarmylly:</t>
        </r>
        <r>
          <rPr>
            <sz val="9"/>
            <color indexed="81"/>
            <rFont val="Tahoma"/>
            <family val="2"/>
          </rPr>
          <t xml:space="preserve">
Image name: netact_rhel_base</t>
        </r>
      </text>
    </comment>
    <comment ref="L59" authorId="1" shapeId="0" xr:uid="{E3A9245D-21C7-4A51-BB72-454E98278A1B}">
      <text>
        <r>
          <rPr>
            <b/>
            <sz val="9"/>
            <color indexed="81"/>
            <rFont val="Tahoma"/>
            <family val="2"/>
          </rPr>
          <t>jarmylly:</t>
        </r>
        <r>
          <rPr>
            <sz val="9"/>
            <color indexed="81"/>
            <rFont val="Tahoma"/>
            <family val="2"/>
          </rPr>
          <t xml:space="preserve">
Image name: netact_rhel_base</t>
        </r>
      </text>
    </comment>
    <comment ref="L60" authorId="1" shapeId="0" xr:uid="{FDAFF241-43E0-4559-B88A-A004C1FD7CAE}">
      <text>
        <r>
          <rPr>
            <b/>
            <sz val="9"/>
            <color indexed="81"/>
            <rFont val="Tahoma"/>
            <family val="2"/>
          </rPr>
          <t>jarmylly:</t>
        </r>
        <r>
          <rPr>
            <sz val="9"/>
            <color indexed="81"/>
            <rFont val="Tahoma"/>
            <family val="2"/>
          </rPr>
          <t xml:space="preserve">
Image name:
- NMS_VDA_disk1
- NMS_VDA_disk2</t>
        </r>
      </text>
    </comment>
    <comment ref="L61" authorId="1" shapeId="0" xr:uid="{47F49F1D-D30D-4B15-B5F4-0EBC0AF40BD7}">
      <text>
        <r>
          <rPr>
            <b/>
            <sz val="9"/>
            <color indexed="81"/>
            <rFont val="Tahoma"/>
            <family val="2"/>
          </rPr>
          <t>jarmylly:</t>
        </r>
        <r>
          <rPr>
            <sz val="9"/>
            <color indexed="81"/>
            <rFont val="Tahoma"/>
            <family val="2"/>
          </rPr>
          <t xml:space="preserve">
Image name:
- NMS_CTXDC_disk1
- NMS_CTXDC_disk2</t>
        </r>
      </text>
    </comment>
    <comment ref="L62" authorId="1" shapeId="0" xr:uid="{C0F913EA-F27F-4DF2-84C8-93C1ABF42BB0}">
      <text>
        <r>
          <rPr>
            <b/>
            <sz val="9"/>
            <color indexed="81"/>
            <rFont val="Tahoma"/>
            <family val="2"/>
          </rPr>
          <t>jarmylly:</t>
        </r>
        <r>
          <rPr>
            <sz val="9"/>
            <color indexed="81"/>
            <rFont val="Tahoma"/>
            <family val="2"/>
          </rPr>
          <t xml:space="preserve">
Image name: netact_rhel_base</t>
        </r>
      </text>
    </comment>
    <comment ref="H63" authorId="1" shapeId="0" xr:uid="{9E1E10AE-6202-408F-8D26-837E5752C900}">
      <text>
        <r>
          <rPr>
            <b/>
            <sz val="9"/>
            <color indexed="81"/>
            <rFont val="Tahoma"/>
            <family val="2"/>
          </rPr>
          <t>jarmylly:</t>
        </r>
        <r>
          <rPr>
            <sz val="9"/>
            <color indexed="81"/>
            <rFont val="Tahoma"/>
            <family val="2"/>
          </rPr>
          <t xml:space="preserve">
Contains two disks:
- Disk-1: 30,720GB
- Disk-2: 81,920GB</t>
        </r>
      </text>
    </comment>
    <comment ref="L63" authorId="1" shapeId="0" xr:uid="{685B430D-AF2E-4413-B4E0-7A32FD45BD6D}">
      <text>
        <r>
          <rPr>
            <b/>
            <sz val="9"/>
            <color indexed="81"/>
            <rFont val="Tahoma"/>
            <family val="2"/>
          </rPr>
          <t>jarmylly:</t>
        </r>
        <r>
          <rPr>
            <sz val="9"/>
            <color indexed="81"/>
            <rFont val="Tahoma"/>
            <family val="2"/>
          </rPr>
          <t xml:space="preserve">
Image name: netact_rhel_base</t>
        </r>
      </text>
    </comment>
    <comment ref="L64" authorId="1" shapeId="0" xr:uid="{8264DA75-A56E-482E-9B9F-1516CD9DD961}">
      <text>
        <r>
          <rPr>
            <b/>
            <sz val="9"/>
            <color indexed="81"/>
            <rFont val="Tahoma"/>
            <family val="2"/>
          </rPr>
          <t>jarmylly:</t>
        </r>
        <r>
          <rPr>
            <sz val="9"/>
            <color indexed="81"/>
            <rFont val="Tahoma"/>
            <family val="2"/>
          </rPr>
          <t xml:space="preserve">
Image name: netact_rhel_base</t>
        </r>
      </text>
    </comment>
    <comment ref="L65" authorId="1" shapeId="0" xr:uid="{9228AE3F-17C1-4164-852B-C62E43B741A2}">
      <text>
        <r>
          <rPr>
            <b/>
            <sz val="9"/>
            <color indexed="81"/>
            <rFont val="Tahoma"/>
            <family val="2"/>
          </rPr>
          <t>jarmylly:</t>
        </r>
        <r>
          <rPr>
            <sz val="9"/>
            <color indexed="81"/>
            <rFont val="Tahoma"/>
            <family val="2"/>
          </rPr>
          <t xml:space="preserve">
Image name: netact_rhel_base</t>
        </r>
      </text>
    </comment>
    <comment ref="L66" authorId="1" shapeId="0" xr:uid="{19526992-0E6F-4F45-BFF5-A564B2B0693F}">
      <text>
        <r>
          <rPr>
            <b/>
            <sz val="9"/>
            <color indexed="81"/>
            <rFont val="Tahoma"/>
            <family val="2"/>
          </rPr>
          <t>jarmylly:</t>
        </r>
        <r>
          <rPr>
            <sz val="9"/>
            <color indexed="81"/>
            <rFont val="Tahoma"/>
            <family val="2"/>
          </rPr>
          <t xml:space="preserve">
Image name: netact_rhel_base</t>
        </r>
      </text>
    </comment>
    <comment ref="L67" authorId="1" shapeId="0" xr:uid="{2AF37164-37D2-46FD-B044-CD06DB6FC8B2}">
      <text>
        <r>
          <rPr>
            <b/>
            <sz val="9"/>
            <color indexed="81"/>
            <rFont val="Tahoma"/>
            <family val="2"/>
          </rPr>
          <t>jarmylly:</t>
        </r>
        <r>
          <rPr>
            <sz val="9"/>
            <color indexed="81"/>
            <rFont val="Tahoma"/>
            <family val="2"/>
          </rPr>
          <t xml:space="preserve">
Image name: netact_rhel_base</t>
        </r>
      </text>
    </comment>
    <comment ref="L68" authorId="0" shapeId="0" xr:uid="{A15A97A3-73A4-4898-AD5A-871460959B18}">
      <text>
        <r>
          <rPr>
            <b/>
            <sz val="9"/>
            <color indexed="81"/>
            <rFont val="Tahoma"/>
            <family val="2"/>
          </rPr>
          <t>Avuthu, Charan (EXT - IN/Bangalore):</t>
        </r>
        <r>
          <rPr>
            <sz val="9"/>
            <color indexed="81"/>
            <rFont val="Tahoma"/>
            <family val="2"/>
          </rPr>
          <t xml:space="preserve">
Image name: netact_rhel_base</t>
        </r>
      </text>
    </comment>
    <comment ref="L69" authorId="0" shapeId="0" xr:uid="{2B55E30D-8C93-46B0-B151-BC03915C0CC3}">
      <text>
        <r>
          <rPr>
            <b/>
            <sz val="9"/>
            <color indexed="81"/>
            <rFont val="Tahoma"/>
            <family val="2"/>
          </rPr>
          <t>Avuthu, Charan (EXT - IN/Bangalore):</t>
        </r>
        <r>
          <rPr>
            <sz val="9"/>
            <color indexed="81"/>
            <rFont val="Tahoma"/>
            <family val="2"/>
          </rPr>
          <t xml:space="preserve">
Image name: netact_rhel_base</t>
        </r>
      </text>
    </comment>
    <comment ref="L70" authorId="5" shapeId="0" xr:uid="{5B910D36-865D-4DE0-900A-F55244242F75}">
      <text>
        <r>
          <rPr>
            <b/>
            <sz val="9"/>
            <color indexed="81"/>
            <rFont val="Tahoma"/>
            <family val="2"/>
          </rPr>
          <t>Jayashree Sundaresan (Nokia):</t>
        </r>
        <r>
          <rPr>
            <sz val="9"/>
            <color indexed="81"/>
            <rFont val="Tahoma"/>
            <family val="2"/>
          </rPr>
          <t xml:space="preserve">
Image name: netact_rhel_base</t>
        </r>
      </text>
    </comment>
    <comment ref="BU71" authorId="1" shapeId="0" xr:uid="{05461ADD-7D17-46FA-ABC1-4F01090E6073}">
      <text>
        <r>
          <rPr>
            <b/>
            <sz val="9"/>
            <color indexed="81"/>
            <rFont val="Tahoma"/>
            <family val="2"/>
          </rPr>
          <t>jarmylly:</t>
        </r>
        <r>
          <rPr>
            <sz val="9"/>
            <color indexed="81"/>
            <rFont val="Tahoma"/>
            <family val="2"/>
          </rPr>
          <t xml:space="preserve">
IPv4: 3
IPv4/IPv6: 5</t>
        </r>
      </text>
    </comment>
    <comment ref="L75" authorId="1" shapeId="0" xr:uid="{8E90F8F0-A255-4BDE-9C8E-AE64A926D946}">
      <text>
        <r>
          <rPr>
            <b/>
            <sz val="9"/>
            <color indexed="81"/>
            <rFont val="Tahoma"/>
            <family val="2"/>
          </rPr>
          <t>jarmylly:</t>
        </r>
        <r>
          <rPr>
            <sz val="9"/>
            <color indexed="81"/>
            <rFont val="Tahoma"/>
            <family val="2"/>
          </rPr>
          <t xml:space="preserve">
Image name: netact_rhel_base</t>
        </r>
      </text>
    </comment>
    <comment ref="L76" authorId="1" shapeId="0" xr:uid="{920168DB-CE70-40A9-9D3D-37AEDEB033B6}">
      <text>
        <r>
          <rPr>
            <b/>
            <sz val="9"/>
            <color indexed="81"/>
            <rFont val="Tahoma"/>
            <family val="2"/>
          </rPr>
          <t>jarmylly:</t>
        </r>
        <r>
          <rPr>
            <sz val="9"/>
            <color indexed="81"/>
            <rFont val="Tahoma"/>
            <family val="2"/>
          </rPr>
          <t xml:space="preserve">
Image name: netact_rhel_base</t>
        </r>
      </text>
    </comment>
    <comment ref="L77" authorId="1" shapeId="0" xr:uid="{64A71290-1849-452C-9FA8-21A60FD0BFF5}">
      <text>
        <r>
          <rPr>
            <b/>
            <sz val="9"/>
            <color indexed="81"/>
            <rFont val="Tahoma"/>
            <family val="2"/>
          </rPr>
          <t>jarmylly:</t>
        </r>
        <r>
          <rPr>
            <sz val="9"/>
            <color indexed="81"/>
            <rFont val="Tahoma"/>
            <family val="2"/>
          </rPr>
          <t xml:space="preserve">
Image name: netact_rhel_base</t>
        </r>
      </text>
    </comment>
    <comment ref="L78" authorId="1" shapeId="0" xr:uid="{BD084884-092F-4688-BDF4-E7B6909B0233}">
      <text>
        <r>
          <rPr>
            <b/>
            <sz val="9"/>
            <color indexed="81"/>
            <rFont val="Tahoma"/>
            <family val="2"/>
          </rPr>
          <t>jarmylly:</t>
        </r>
        <r>
          <rPr>
            <sz val="9"/>
            <color indexed="81"/>
            <rFont val="Tahoma"/>
            <family val="2"/>
          </rPr>
          <t xml:space="preserve">
Image name: netact_rhel_base</t>
        </r>
      </text>
    </comment>
    <comment ref="L79" authorId="1" shapeId="0" xr:uid="{CC038E54-5F2D-4BB5-9DD6-ACA6D25BAD93}">
      <text>
        <r>
          <rPr>
            <b/>
            <sz val="9"/>
            <color indexed="81"/>
            <rFont val="Tahoma"/>
            <family val="2"/>
          </rPr>
          <t>jarmylly:</t>
        </r>
        <r>
          <rPr>
            <sz val="9"/>
            <color indexed="81"/>
            <rFont val="Tahoma"/>
            <family val="2"/>
          </rPr>
          <t xml:space="preserve">
Image name: netact_rhel_base</t>
        </r>
      </text>
    </comment>
    <comment ref="L80" authorId="1" shapeId="0" xr:uid="{2FA12396-ECB1-4401-879E-6354A9881CAB}">
      <text>
        <r>
          <rPr>
            <b/>
            <sz val="9"/>
            <color indexed="81"/>
            <rFont val="Tahoma"/>
            <family val="2"/>
          </rPr>
          <t>jarmylly:</t>
        </r>
        <r>
          <rPr>
            <sz val="9"/>
            <color indexed="81"/>
            <rFont val="Tahoma"/>
            <family val="2"/>
          </rPr>
          <t xml:space="preserve">
Image name: netact_rhel_base</t>
        </r>
      </text>
    </comment>
    <comment ref="BU81" authorId="1" shapeId="0" xr:uid="{00758C4D-63EF-41BD-9846-A853EBF03828}">
      <text>
        <r>
          <rPr>
            <b/>
            <sz val="9"/>
            <color indexed="81"/>
            <rFont val="Tahoma"/>
            <family val="2"/>
          </rPr>
          <t>jarmylly:</t>
        </r>
        <r>
          <rPr>
            <sz val="9"/>
            <color indexed="81"/>
            <rFont val="Tahoma"/>
            <family val="2"/>
          </rPr>
          <t xml:space="preserve">
IPv4: 3
IPv4/IPv6: 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Thippeswamy, Suresh (Nokia - IN/Bangalore)</author>
    <author>jarmylly</author>
    <author>Goyal, Mayank (Nokia - IN/Bangalore)</author>
    <author>Jari Myllymaa</author>
    <author>Jayashree Sundaresan (Nokia)</author>
  </authors>
  <commentList>
    <comment ref="J7" authorId="0" shapeId="0" xr:uid="{37A3013E-2BA0-489A-97A4-7C8450B96B74}">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93D5E646-A8BC-408C-8419-D8FD230EF07A}">
      <text>
        <r>
          <rPr>
            <b/>
            <sz val="9"/>
            <color indexed="81"/>
            <rFont val="Tahoma"/>
            <family val="2"/>
          </rPr>
          <t>Thippeswamy, Suresh (Nokia - IN/Bangalore):</t>
        </r>
        <r>
          <rPr>
            <sz val="9"/>
            <color indexed="81"/>
            <rFont val="Tahoma"/>
            <family val="2"/>
          </rPr>
          <t xml:space="preserve">
Db_redo disk size:119800MB</t>
        </r>
      </text>
    </comment>
    <comment ref="N10" authorId="2" shapeId="0" xr:uid="{7253DCC8-95AF-4383-A2DA-C68F6421EEA7}">
      <text>
        <r>
          <rPr>
            <b/>
            <sz val="9"/>
            <color indexed="81"/>
            <rFont val="Tahoma"/>
            <family val="2"/>
          </rPr>
          <t>jarmylly:</t>
        </r>
        <r>
          <rPr>
            <sz val="9"/>
            <color indexed="81"/>
            <rFont val="Tahoma"/>
            <family val="2"/>
          </rPr>
          <t xml:space="preserve">
Contains one disk, either: 
 DB_data(Std): 2304000MB
OR
 DB_data(Extended): 5667840MB</t>
        </r>
      </text>
    </comment>
    <comment ref="P10" authorId="2" shapeId="0" xr:uid="{57A5405A-E067-4B6C-BE0E-4B978C1E4C81}">
      <text>
        <r>
          <rPr>
            <b/>
            <sz val="9"/>
            <color indexed="81"/>
            <rFont val="Tahoma"/>
            <family val="2"/>
          </rPr>
          <t>jarmylly:</t>
        </r>
        <r>
          <rPr>
            <sz val="9"/>
            <color indexed="81"/>
            <rFont val="Tahoma"/>
            <family val="2"/>
          </rPr>
          <t xml:space="preserve">
Contains one disk, either: 
 DB_arc(Std): 3456000MB
OR
 DB_arc(Extended): 4700160MB</t>
        </r>
      </text>
    </comment>
    <comment ref="X10" authorId="2" shapeId="0" xr:uid="{3C34FB74-2780-4769-B9C5-593E5759E7E8}">
      <text>
        <r>
          <rPr>
            <b/>
            <sz val="9"/>
            <color indexed="81"/>
            <rFont val="Tahoma"/>
            <family val="2"/>
          </rPr>
          <t>jarmylly:</t>
        </r>
        <r>
          <rPr>
            <sz val="9"/>
            <color indexed="81"/>
            <rFont val="Tahoma"/>
            <family val="2"/>
          </rPr>
          <t xml:space="preserve">
Contains one disk:
 DB_backup(Std): 10022400MB
OR
  DB_backup(Extended):17003520MB</t>
        </r>
      </text>
    </comment>
    <comment ref="AN10" authorId="3" shapeId="0" xr:uid="{9A70CC97-8B75-4057-9F5E-E408A826EEF9}">
      <text>
        <r>
          <rPr>
            <b/>
            <sz val="9"/>
            <color indexed="81"/>
            <rFont val="Tahoma"/>
            <family val="2"/>
          </rPr>
          <t>Goyal, Mayank (Nokia - IN/Bangalore):</t>
        </r>
        <r>
          <rPr>
            <sz val="9"/>
            <color indexed="81"/>
            <rFont val="Tahoma"/>
            <family val="2"/>
          </rPr>
          <t xml:space="preserve">
Contains one disk:
- db-fb_disk : 3145728MB</t>
        </r>
      </text>
    </comment>
    <comment ref="R11" authorId="2" shapeId="0" xr:uid="{5794BDA0-4A7C-4C56-A536-DAFE2CD8982B}">
      <text>
        <r>
          <rPr>
            <b/>
            <sz val="9"/>
            <color indexed="81"/>
            <rFont val="Tahoma"/>
            <family val="2"/>
          </rPr>
          <t>jarmylly:</t>
        </r>
        <r>
          <rPr>
            <sz val="9"/>
            <color indexed="81"/>
            <rFont val="Tahoma"/>
            <family val="2"/>
          </rPr>
          <t xml:space="preserve">
Contains three disks:
- NFS_global: 450560 MB
- NFS_home: 24576 MB
- NFS WAS dumps: 87040 MB</t>
        </r>
      </text>
    </comment>
    <comment ref="T11" authorId="2" shapeId="0" xr:uid="{AF02746C-1A43-474E-B538-6D33649D8512}">
      <text>
        <r>
          <rPr>
            <b/>
            <sz val="9"/>
            <color indexed="81"/>
            <rFont val="Tahoma"/>
            <family val="2"/>
          </rPr>
          <t>jarmylly:</t>
        </r>
        <r>
          <rPr>
            <sz val="9"/>
            <color indexed="81"/>
            <rFont val="Tahoma"/>
            <family val="2"/>
          </rPr>
          <t xml:space="preserve">
Reserved for customer own data.</t>
        </r>
      </text>
    </comment>
    <comment ref="X11" authorId="2" shapeId="0" xr:uid="{30315BAD-E529-4F72-8D82-FB6518400598}">
      <text>
        <r>
          <rPr>
            <b/>
            <sz val="9"/>
            <color indexed="81"/>
            <rFont val="Tahoma"/>
            <family val="2"/>
          </rPr>
          <t>jarmylly:</t>
        </r>
        <r>
          <rPr>
            <sz val="9"/>
            <color indexed="81"/>
            <rFont val="Tahoma"/>
            <family val="2"/>
          </rPr>
          <t xml:space="preserve">
Contains one disk:
- NFS_backup: 460800MB</t>
        </r>
      </text>
    </comment>
    <comment ref="AB18" authorId="1" shapeId="0" xr:uid="{1AA47FAC-A852-45CC-9F8A-18F09B1B6A99}">
      <text>
        <r>
          <rPr>
            <b/>
            <sz val="9"/>
            <color indexed="81"/>
            <rFont val="Tahoma"/>
            <family val="2"/>
          </rPr>
          <t>Thippeswamy, Suresh (Nokia - IN/Bangalore):</t>
        </r>
        <r>
          <rPr>
            <sz val="9"/>
            <color indexed="81"/>
            <rFont val="Tahoma"/>
            <family val="2"/>
          </rPr>
          <t xml:space="preserve">
Contains 1 disk:
adm_disk1: 51200MB</t>
        </r>
      </text>
    </comment>
    <comment ref="AD22" authorId="1" shapeId="0" xr:uid="{7659F3FE-5CD0-4682-8210-E9C490275E43}">
      <text>
        <r>
          <rPr>
            <b/>
            <sz val="9"/>
            <color indexed="81"/>
            <rFont val="Tahoma"/>
            <family val="2"/>
          </rPr>
          <t>Thippeswamy, Suresh (Nokia - IN/Bangalore):</t>
        </r>
        <r>
          <rPr>
            <sz val="9"/>
            <color indexed="81"/>
            <rFont val="Tahoma"/>
            <family val="2"/>
          </rPr>
          <t xml:space="preserve">
Contains one disk:
isdk_disk1 : 87040MB</t>
        </r>
      </text>
    </comment>
    <comment ref="AD23" authorId="1" shapeId="0" xr:uid="{D04E00D3-F938-424B-A3BE-59F1A9462AB6}">
      <text>
        <r>
          <rPr>
            <b/>
            <sz val="9"/>
            <color indexed="81"/>
            <rFont val="Tahoma"/>
            <family val="2"/>
          </rPr>
          <t>Thippeswamy, Suresh (Nokia - IN/Bangalore):</t>
        </r>
        <r>
          <rPr>
            <sz val="9"/>
            <color indexed="81"/>
            <rFont val="Tahoma"/>
            <family val="2"/>
          </rPr>
          <t xml:space="preserve">
Contains one disk:
isdk_disk1 : 87040MB</t>
        </r>
      </text>
    </comment>
    <comment ref="I34" authorId="2" shapeId="0" xr:uid="{6EF58088-4126-4571-B793-42EC1AD286EA}">
      <text>
        <r>
          <rPr>
            <b/>
            <sz val="9"/>
            <color indexed="81"/>
            <rFont val="Tahoma"/>
            <family val="2"/>
          </rPr>
          <t>jarmylly:</t>
        </r>
        <r>
          <rPr>
            <sz val="9"/>
            <color indexed="81"/>
            <rFont val="Tahoma"/>
            <family val="2"/>
          </rPr>
          <t xml:space="preserve">
Contains two disks:
- Disk-1: 60GB
- Disk-2: 40GB</t>
        </r>
      </text>
    </comment>
    <comment ref="I35" authorId="2" shapeId="0" xr:uid="{95AC3A09-329F-4B41-9B31-4585F87F22CC}">
      <text>
        <r>
          <rPr>
            <sz val="9"/>
            <color indexed="81"/>
            <rFont val="Tahoma"/>
            <family val="2"/>
          </rPr>
          <t>Contains two disks:
- Disk-1: 60GB
(NOTE: For servers intended for more than 10 concurrent users the recommended size for disk C is Disk-1 size + RAM size.)
- Disk-2: 50GB</t>
        </r>
      </text>
    </comment>
    <comment ref="I36" authorId="2" shapeId="0" xr:uid="{59CC63F0-FCDC-45ED-9A22-2E3363EBEF6B}">
      <text>
        <r>
          <rPr>
            <sz val="9"/>
            <color indexed="81"/>
            <rFont val="Tahoma"/>
            <family val="2"/>
          </rPr>
          <t>Contains two disks:
- Disk-1: 80GB
(NOTE: For servers intended for more than 10 concurrent users the recommended size for disk C is Disk-1 size + RAM size.)
- Disk-2: 40GB</t>
        </r>
      </text>
    </comment>
    <comment ref="Z37" authorId="2" shapeId="0" xr:uid="{6B070673-812F-48CD-8BC5-E9092272095A}">
      <text>
        <r>
          <rPr>
            <b/>
            <sz val="9"/>
            <color indexed="81"/>
            <rFont val="Tahoma"/>
            <family val="2"/>
          </rPr>
          <t>jarmylly:</t>
        </r>
        <r>
          <rPr>
            <sz val="9"/>
            <color indexed="81"/>
            <rFont val="Tahoma"/>
            <family val="2"/>
          </rPr>
          <t xml:space="preserve">
Contains one disk:
- vm66_REP_disk: 46080MB
</t>
        </r>
      </text>
    </comment>
    <comment ref="AA37" authorId="4" shapeId="0" xr:uid="{F9AF418B-8FFE-460E-AE2A-A4CA7BB64D43}">
      <text>
        <r>
          <rPr>
            <b/>
            <sz val="9"/>
            <color indexed="81"/>
            <rFont val="Calibri"/>
            <family val="2"/>
          </rPr>
          <t>Jari Myllymaa:</t>
        </r>
        <r>
          <rPr>
            <sz val="9"/>
            <color indexed="81"/>
            <rFont val="Calibri"/>
            <family val="2"/>
          </rPr>
          <t xml:space="preserve">
PMDatastore can extend 50GB</t>
        </r>
      </text>
    </comment>
    <comment ref="Z38" authorId="2" shapeId="0" xr:uid="{29B79988-BF92-44BB-A2A8-4BE276AC5355}">
      <text>
        <r>
          <rPr>
            <b/>
            <sz val="9"/>
            <color indexed="81"/>
            <rFont val="Tahoma"/>
            <family val="2"/>
          </rPr>
          <t>jarmylly:</t>
        </r>
        <r>
          <rPr>
            <sz val="9"/>
            <color indexed="81"/>
            <rFont val="Tahoma"/>
            <family val="2"/>
          </rPr>
          <t xml:space="preserve">
Contains one disk:
- vm66_REP_disk: 46080MB
</t>
        </r>
      </text>
    </comment>
    <comment ref="Z39" authorId="2" shapeId="0" xr:uid="{182635BF-49CB-42BF-8488-CC9C2952B6E8}">
      <text>
        <r>
          <rPr>
            <b/>
            <sz val="9"/>
            <color indexed="81"/>
            <rFont val="Tahoma"/>
            <family val="2"/>
          </rPr>
          <t>jarmylly:</t>
        </r>
        <r>
          <rPr>
            <sz val="9"/>
            <color indexed="81"/>
            <rFont val="Tahoma"/>
            <family val="2"/>
          </rPr>
          <t xml:space="preserve">
Contains one disk:
- vm66_REP_disk: 46080MB
</t>
        </r>
      </text>
    </comment>
    <comment ref="Z40" authorId="2" shapeId="0" xr:uid="{780129BD-AB5E-41A8-A773-62390A6F88BC}">
      <text>
        <r>
          <rPr>
            <b/>
            <sz val="9"/>
            <color indexed="81"/>
            <rFont val="Tahoma"/>
            <family val="2"/>
          </rPr>
          <t>jarmylly:</t>
        </r>
        <r>
          <rPr>
            <sz val="9"/>
            <color indexed="81"/>
            <rFont val="Tahoma"/>
            <family val="2"/>
          </rPr>
          <t xml:space="preserve">
Contains one disk:
- vm66_REP_disk: 46080MB
</t>
        </r>
      </text>
    </comment>
    <comment ref="AH43" authorId="0" shapeId="0" xr:uid="{7C0D374F-F69B-4509-A382-AF5F72D1958C}">
      <text>
        <r>
          <rPr>
            <b/>
            <sz val="9"/>
            <color indexed="81"/>
            <rFont val="Tahoma"/>
            <family val="2"/>
          </rPr>
          <t>Avuthu, Charan (EXT - IN/Bangalore):</t>
        </r>
        <r>
          <rPr>
            <sz val="9"/>
            <color indexed="81"/>
            <rFont val="Tahoma"/>
            <family val="2"/>
          </rPr>
          <t xml:space="preserve">
Contians one disk:
-kafka_disk1: 122880 MB</t>
        </r>
      </text>
    </comment>
    <comment ref="AH44" authorId="0" shapeId="0" xr:uid="{7C546AD2-471D-40F2-9155-C388675D6293}">
      <text>
        <r>
          <rPr>
            <b/>
            <sz val="9"/>
            <color indexed="81"/>
            <rFont val="Tahoma"/>
            <family val="2"/>
          </rPr>
          <t>Avuthu, Charan (EXT - IN/Bangalore):</t>
        </r>
        <r>
          <rPr>
            <sz val="9"/>
            <color indexed="81"/>
            <rFont val="Tahoma"/>
            <family val="2"/>
          </rPr>
          <t xml:space="preserve">
Contians one disk:
-kafka_disk1: 122880 MB</t>
        </r>
      </text>
    </comment>
    <comment ref="AH45" authorId="0" shapeId="0" xr:uid="{0715CB6B-A149-4F61-A17C-3D0F0C7395BD}">
      <text>
        <r>
          <rPr>
            <b/>
            <sz val="9"/>
            <color indexed="81"/>
            <rFont val="Tahoma"/>
            <family val="2"/>
          </rPr>
          <t>Avuthu, Charan (EXT - IN/Bangalore):</t>
        </r>
        <r>
          <rPr>
            <sz val="9"/>
            <color indexed="81"/>
            <rFont val="Tahoma"/>
            <family val="2"/>
          </rPr>
          <t xml:space="preserve">
Contians one disk:
-kafka_disk1: 122880 MB</t>
        </r>
      </text>
    </comment>
    <comment ref="X48" authorId="5" shapeId="0" xr:uid="{19BC8DAC-C09A-4605-90EB-F15185CAF84C}">
      <text>
        <r>
          <rPr>
            <b/>
            <sz val="9"/>
            <color indexed="81"/>
            <rFont val="Tahoma"/>
            <family val="2"/>
          </rPr>
          <t>Jayashree Sundaresan (Nokia):</t>
        </r>
        <r>
          <rPr>
            <sz val="9"/>
            <color indexed="81"/>
            <rFont val="Tahoma"/>
            <family val="2"/>
          </rPr>
          <t xml:space="preserve">
Contains one disk:
- backup_disk1: 204800 MB</t>
        </r>
      </text>
    </comment>
    <comment ref="AP48" authorId="5" shapeId="0" xr:uid="{2CEE9558-2577-408B-B5EF-16C3F19E7164}">
      <text>
        <r>
          <rPr>
            <b/>
            <sz val="9"/>
            <color indexed="81"/>
            <rFont val="Tahoma"/>
            <family val="2"/>
          </rPr>
          <t>Jayashree Sundaresan (Nokia):</t>
        </r>
        <r>
          <rPr>
            <sz val="9"/>
            <color indexed="81"/>
            <rFont val="Tahoma"/>
            <family val="2"/>
          </rPr>
          <t xml:space="preserve">
Contains one disk:
-niv_disk: 153600</t>
        </r>
      </text>
    </comment>
    <comment ref="R50" authorId="0" shapeId="0" xr:uid="{73BF5E31-B61A-4BD8-A253-7853BCDE893F}">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573440 MB</t>
        </r>
      </text>
    </comment>
    <comment ref="X50" authorId="0" shapeId="0" xr:uid="{AFADBAFD-9FA6-479F-A23B-8A43E360FA21}">
      <text>
        <r>
          <rPr>
            <b/>
            <sz val="9"/>
            <color indexed="81"/>
            <rFont val="Tahoma"/>
            <family val="2"/>
          </rPr>
          <t>Avuthu, Charan (EXT - IN/Bangalore):</t>
        </r>
        <r>
          <rPr>
            <sz val="9"/>
            <color indexed="81"/>
            <rFont val="Tahoma"/>
            <family val="2"/>
          </rPr>
          <t xml:space="preserve">
Contains one disk:
- backup_disk1: 204800 MB
Increase in NFS Backup disk on VM5 by 120GB
- NFS_backup (For LCM as optional service on Compute1): 583680 MB</t>
        </r>
      </text>
    </comment>
    <comment ref="AF50" authorId="0" shapeId="0" xr:uid="{773DBCE1-763F-4E15-93AB-64EB162E9FB8}">
      <text>
        <r>
          <rPr>
            <b/>
            <sz val="9"/>
            <color indexed="81"/>
            <rFont val="Tahoma"/>
            <family val="2"/>
          </rPr>
          <t>Avuthu, Charan (EXT - IN/Bangalore):</t>
        </r>
        <r>
          <rPr>
            <sz val="9"/>
            <color indexed="81"/>
            <rFont val="Tahoma"/>
            <family val="2"/>
          </rPr>
          <t xml:space="preserve">
Contains one disk:
- ccr_disk1: 153600MB</t>
        </r>
      </text>
    </comment>
    <comment ref="I56" authorId="1" shapeId="0" xr:uid="{4CDB8766-FB68-482A-860F-883BE3A25CA6}">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7" authorId="2" shapeId="0" xr:uid="{9E92147C-6477-4F18-9CE6-C094C1390315}">
      <text>
        <r>
          <rPr>
            <b/>
            <sz val="9"/>
            <color indexed="81"/>
            <rFont val="Tahoma"/>
            <family val="2"/>
          </rPr>
          <t>jarmylly:</t>
        </r>
        <r>
          <rPr>
            <sz val="9"/>
            <color indexed="81"/>
            <rFont val="Tahoma"/>
            <family val="2"/>
          </rPr>
          <t xml:space="preserve">
Contains two disks:
- Disk-1: 60GB
- Disk-2: 40GB</t>
        </r>
      </text>
    </comment>
    <comment ref="I58" authorId="2" shapeId="0" xr:uid="{0EFC774E-F21E-4B4C-B11A-F1B3978B7DD7}">
      <text>
        <r>
          <rPr>
            <sz val="9"/>
            <color indexed="81"/>
            <rFont val="Tahoma"/>
            <family val="2"/>
          </rPr>
          <t>Contains two disks:
- Disk-1: 60GB
(NOTE: For servers intended for more than 10 concurrent users the recommended size for disk C is Disk-1 size + RAM size.)
- Disk-2: 40GB</t>
        </r>
      </text>
    </comment>
    <comment ref="I59" authorId="2" shapeId="0" xr:uid="{A0E61015-BFA0-4D0E-B3E3-B819779B5E93}">
      <text>
        <r>
          <rPr>
            <sz val="9"/>
            <color indexed="81"/>
            <rFont val="Tahoma"/>
            <family val="2"/>
          </rPr>
          <t>Contains two disks:
- Disk-1: 60GB
(NOTE: For servers intended for more than 10 concurrent users the recommended size for disk C is Disk-1 size + RAM size.)
- Disk-2: 40GB</t>
        </r>
      </text>
    </comment>
    <comment ref="I60" authorId="2" shapeId="0" xr:uid="{B79AAFEE-9C82-4550-BBD5-35C0F6521804}">
      <text>
        <r>
          <rPr>
            <sz val="9"/>
            <color indexed="81"/>
            <rFont val="Tahoma"/>
            <family val="2"/>
          </rPr>
          <t>Contains two disks:
- Disk-1: 60GB
(NOTE: For servers intended for more than 10 concurrent users the recommended size for disk C is Disk-1 size + RAM size.)
- Disk-2: 40GB</t>
        </r>
      </text>
    </comment>
    <comment ref="I61" authorId="2" shapeId="0" xr:uid="{7771F995-734F-420E-957D-8331F5DC2A12}">
      <text>
        <r>
          <rPr>
            <sz val="9"/>
            <color indexed="81"/>
            <rFont val="Tahoma"/>
            <family val="2"/>
          </rPr>
          <t>Contains two disks:
- Disk-1: 60GB
(NOTE: For servers intended for more than 10 concurrent users the recommended size for disk C is Disk-1 size + RAM size.)
- Disk-2: 40GB</t>
        </r>
      </text>
    </comment>
    <comment ref="I62" authorId="2" shapeId="0" xr:uid="{C4EF764D-080E-4B58-B607-A2B88B1155A2}">
      <text>
        <r>
          <rPr>
            <sz val="9"/>
            <color indexed="81"/>
            <rFont val="Tahoma"/>
            <family val="2"/>
          </rPr>
          <t>Contains two disks:
- Disk-1: 60GB
(NOTE: For servers intended for more than 10 concurrent users the recommended size for disk C is Disk-1 size + RAM size.)
- Disk-2: 40GB</t>
        </r>
      </text>
    </comment>
    <comment ref="I63" authorId="2" shapeId="0" xr:uid="{3EBA50E4-1CF4-4339-8D12-C488E15D81B1}">
      <text>
        <r>
          <rPr>
            <sz val="9"/>
            <color indexed="81"/>
            <rFont val="Tahoma"/>
            <family val="2"/>
          </rPr>
          <t>Contains two disks:
- Disk-1: 60GB
(NOTE: For servers intended for more than 10 concurrent users the recommended size for disk C is Disk-1 size + RAM size.)
- Disk-2: 40GB</t>
        </r>
      </text>
    </comment>
    <comment ref="I64" authorId="2" shapeId="0" xr:uid="{9183D73C-47A2-47F1-9109-2E49B6ABB0C6}">
      <text>
        <r>
          <rPr>
            <sz val="9"/>
            <color indexed="81"/>
            <rFont val="Tahoma"/>
            <family val="2"/>
          </rPr>
          <t>Contains two disks:
- Disk-1: 60GB
(NOTE: For servers intended for more than 10 concurrent users the recommended size for disk C is Disk-1 size + RAM size.)
- Disk-2: 40GB</t>
        </r>
      </text>
    </comment>
    <comment ref="I65" authorId="2" shapeId="0" xr:uid="{5F05776F-8E76-429D-B83E-33F5478ECE82}">
      <text>
        <r>
          <rPr>
            <sz val="9"/>
            <color indexed="81"/>
            <rFont val="Tahoma"/>
            <family val="2"/>
          </rPr>
          <t>Contains two disks:
- Disk-1: 80GB
(NOTE: For servers intended for more than 10 concurrent users the recommended size for disk C is Disk-1 size + RAM size.)
- Disk-2: 40GB</t>
        </r>
      </text>
    </comment>
    <comment ref="I66" authorId="2" shapeId="0" xr:uid="{B7BEE1C5-D01D-4F06-B849-728F794CCF25}">
      <text>
        <r>
          <rPr>
            <sz val="9"/>
            <color indexed="81"/>
            <rFont val="Tahoma"/>
            <family val="2"/>
          </rPr>
          <t>Contains two disks:
- Disk-1: 60GB
(NOTE: For servers intended for more than 10 concurrent users the recommended size for disk C is Disk-1 size + RAM size.)
- Disk-2: 40GB</t>
        </r>
      </text>
    </comment>
    <comment ref="I74" authorId="2" shapeId="0" xr:uid="{09CB9CEC-B6BC-4493-AB97-B052AE3F1855}">
      <text>
        <r>
          <rPr>
            <b/>
            <sz val="9"/>
            <color indexed="81"/>
            <rFont val="Tahoma"/>
            <family val="2"/>
          </rPr>
          <t>jarmylly:</t>
        </r>
        <r>
          <rPr>
            <sz val="9"/>
            <color indexed="81"/>
            <rFont val="Tahoma"/>
            <family val="2"/>
          </rPr>
          <t xml:space="preserve">
Contains two disks:
- Disk-1: 30GB
- Disk-2: 80GB</t>
        </r>
      </text>
    </comment>
    <comment ref="I75" authorId="2" shapeId="0" xr:uid="{57EC0585-0CDB-45B8-8937-9A096520893A}">
      <text>
        <r>
          <rPr>
            <b/>
            <sz val="9"/>
            <color indexed="81"/>
            <rFont val="Tahoma"/>
            <family val="2"/>
          </rPr>
          <t>jarmylly:</t>
        </r>
        <r>
          <rPr>
            <sz val="9"/>
            <color indexed="81"/>
            <rFont val="Tahoma"/>
            <family val="2"/>
          </rPr>
          <t xml:space="preserve">
Contains two disks:
- Disk-1: 30GB
- Disk-2: 80GB</t>
        </r>
      </text>
    </comment>
    <comment ref="I80" authorId="1" shapeId="0" xr:uid="{1FCAC7AF-E445-4AFE-862B-FEE1AEB51234}">
      <text>
        <r>
          <rPr>
            <b/>
            <sz val="9"/>
            <color indexed="81"/>
            <rFont val="Tahoma"/>
            <family val="2"/>
          </rPr>
          <t>Thippeswamy, Suresh (Nokia - IN/Bangalore):</t>
        </r>
        <r>
          <rPr>
            <sz val="9"/>
            <color indexed="81"/>
            <rFont val="Tahoma"/>
            <family val="2"/>
          </rPr>
          <t xml:space="preserve">
OS disk: 50GB
Data Disk:2048GB</t>
        </r>
      </text>
    </comment>
    <comment ref="E92" authorId="2" shapeId="0" xr:uid="{2DE45E95-AD70-4E3F-AAE9-F5525263F1D2}">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93" authorId="2" shapeId="0" xr:uid="{145924A4-E5AE-4F2C-82A9-5F008CA1D648}">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Rastogi, Alok (Nokia - IN/Bangalore)</author>
    <author>Goyal, Mayank (Nokia - IN/Bangalore)</author>
    <author>Thippeswamy, Suresh (Nokia - IN/Bangalore)</author>
    <author>Jayashree Sundaresan (Nokia)</author>
  </authors>
  <commentList>
    <comment ref="I7" authorId="0" shapeId="0" xr:uid="{00F8BDA7-DC59-460E-83BB-7532213916A7}">
      <text>
        <r>
          <rPr>
            <b/>
            <sz val="9"/>
            <color indexed="81"/>
            <rFont val="Tahoma"/>
            <family val="2"/>
          </rPr>
          <t>Avuthu, Charan (EXT - IN/Bangalore):</t>
        </r>
        <r>
          <rPr>
            <sz val="9"/>
            <color indexed="81"/>
            <rFont val="Tahoma"/>
            <family val="2"/>
          </rPr>
          <t xml:space="preserve">
Instance OS Level SWAP size, will derive from the flavor</t>
        </r>
      </text>
    </comment>
    <comment ref="K7" authorId="1" shapeId="0" xr:uid="{492812CC-0DF5-4B9C-A696-E81DC1484A55}">
      <text>
        <r>
          <rPr>
            <b/>
            <sz val="9"/>
            <color indexed="81"/>
            <rFont val="Tahoma"/>
            <family val="2"/>
          </rPr>
          <t>jarmylly:</t>
        </r>
        <r>
          <rPr>
            <sz val="9"/>
            <color indexed="81"/>
            <rFont val="Tahoma"/>
            <family val="2"/>
          </rPr>
          <t xml:space="preserve">
Only if Airframe Hardware used</t>
        </r>
      </text>
    </comment>
    <comment ref="O7" authorId="1" shapeId="0" xr:uid="{7E3C4DEB-389E-473A-844E-5942CAF23F3C}">
      <text>
        <r>
          <rPr>
            <b/>
            <sz val="9"/>
            <color indexed="81"/>
            <rFont val="Tahoma"/>
            <family val="2"/>
          </rPr>
          <t>jarmylly:</t>
        </r>
        <r>
          <rPr>
            <sz val="9"/>
            <color indexed="81"/>
            <rFont val="Tahoma"/>
            <family val="2"/>
          </rPr>
          <t xml:space="preserve">
Only if Airframe Hardware used</t>
        </r>
      </text>
    </comment>
    <comment ref="S7" authorId="1" shapeId="0" xr:uid="{1874D570-A01C-4B1A-A7D7-0983949E8643}">
      <text>
        <r>
          <rPr>
            <b/>
            <sz val="9"/>
            <color indexed="81"/>
            <rFont val="Tahoma"/>
            <family val="2"/>
          </rPr>
          <t>jarmylly:</t>
        </r>
        <r>
          <rPr>
            <sz val="9"/>
            <color indexed="81"/>
            <rFont val="Tahoma"/>
            <family val="2"/>
          </rPr>
          <t xml:space="preserve">
Only if Airframe Hardware used</t>
        </r>
      </text>
    </comment>
    <comment ref="W7" authorId="1" shapeId="0" xr:uid="{A9F7530F-0232-4451-B087-669376551643}">
      <text>
        <r>
          <rPr>
            <b/>
            <sz val="9"/>
            <color indexed="81"/>
            <rFont val="Tahoma"/>
            <family val="2"/>
          </rPr>
          <t>jarmylly:</t>
        </r>
        <r>
          <rPr>
            <sz val="9"/>
            <color indexed="81"/>
            <rFont val="Tahoma"/>
            <family val="2"/>
          </rPr>
          <t xml:space="preserve">
Only if Airframe Hardware used</t>
        </r>
      </text>
    </comment>
    <comment ref="AA7" authorId="1" shapeId="0" xr:uid="{8141CCBE-0F13-4763-8082-5FD62F9DDDE2}">
      <text>
        <r>
          <rPr>
            <b/>
            <sz val="9"/>
            <color indexed="81"/>
            <rFont val="Tahoma"/>
            <family val="2"/>
          </rPr>
          <t>jarmylly:</t>
        </r>
        <r>
          <rPr>
            <sz val="9"/>
            <color indexed="81"/>
            <rFont val="Tahoma"/>
            <family val="2"/>
          </rPr>
          <t xml:space="preserve">
Only if Airframe Hardware used</t>
        </r>
      </text>
    </comment>
    <comment ref="AE7" authorId="1" shapeId="0" xr:uid="{363B72CD-A53E-4CAC-BB52-FCD0F6DEDF9B}">
      <text>
        <r>
          <rPr>
            <b/>
            <sz val="9"/>
            <color indexed="81"/>
            <rFont val="Tahoma"/>
            <family val="2"/>
          </rPr>
          <t>jarmylly:</t>
        </r>
        <r>
          <rPr>
            <sz val="9"/>
            <color indexed="81"/>
            <rFont val="Tahoma"/>
            <family val="2"/>
          </rPr>
          <t xml:space="preserve">
Only if Airframe Hardware used</t>
        </r>
      </text>
    </comment>
    <comment ref="AI7" authorId="1" shapeId="0" xr:uid="{313AF989-14EF-4235-A619-17AD6CA6316D}">
      <text>
        <r>
          <rPr>
            <b/>
            <sz val="9"/>
            <color indexed="81"/>
            <rFont val="Tahoma"/>
            <family val="2"/>
          </rPr>
          <t>jarmylly:</t>
        </r>
        <r>
          <rPr>
            <sz val="9"/>
            <color indexed="81"/>
            <rFont val="Tahoma"/>
            <family val="2"/>
          </rPr>
          <t xml:space="preserve">
Only if Airframe Hardware used</t>
        </r>
      </text>
    </comment>
    <comment ref="AM7" authorId="1" shapeId="0" xr:uid="{DED4288C-6C84-4BE9-AEC4-72E63C493A25}">
      <text>
        <r>
          <rPr>
            <b/>
            <sz val="9"/>
            <color indexed="81"/>
            <rFont val="Tahoma"/>
            <family val="2"/>
          </rPr>
          <t>jarmylly:</t>
        </r>
        <r>
          <rPr>
            <sz val="9"/>
            <color indexed="81"/>
            <rFont val="Tahoma"/>
            <family val="2"/>
          </rPr>
          <t xml:space="preserve">
Only if Airframe Hardware used</t>
        </r>
      </text>
    </comment>
    <comment ref="AQ7" authorId="1" shapeId="0" xr:uid="{1C08231C-FB09-4FEB-A5A6-70544DF57C51}">
      <text>
        <r>
          <rPr>
            <b/>
            <sz val="9"/>
            <color indexed="81"/>
            <rFont val="Tahoma"/>
            <family val="2"/>
          </rPr>
          <t>jarmylly:</t>
        </r>
        <r>
          <rPr>
            <sz val="9"/>
            <color indexed="81"/>
            <rFont val="Tahoma"/>
            <family val="2"/>
          </rPr>
          <t xml:space="preserve">
Only if Airframe Hardware used</t>
        </r>
      </text>
    </comment>
    <comment ref="AU7" authorId="1" shapeId="0" xr:uid="{010A8879-16C1-4724-8CD3-27E67643F64C}">
      <text>
        <r>
          <rPr>
            <b/>
            <sz val="9"/>
            <color indexed="81"/>
            <rFont val="Tahoma"/>
            <family val="2"/>
          </rPr>
          <t>jarmylly:</t>
        </r>
        <r>
          <rPr>
            <sz val="9"/>
            <color indexed="81"/>
            <rFont val="Tahoma"/>
            <family val="2"/>
          </rPr>
          <t xml:space="preserve">
Only if Airframe Hardware used</t>
        </r>
      </text>
    </comment>
    <comment ref="AY7" authorId="1" shapeId="0" xr:uid="{C1674401-447A-4D93-8920-F2FEE885D8BC}">
      <text>
        <r>
          <rPr>
            <b/>
            <sz val="9"/>
            <color indexed="81"/>
            <rFont val="Tahoma"/>
            <family val="2"/>
          </rPr>
          <t>jarmylly:</t>
        </r>
        <r>
          <rPr>
            <sz val="9"/>
            <color indexed="81"/>
            <rFont val="Tahoma"/>
            <family val="2"/>
          </rPr>
          <t xml:space="preserve">
Only if Airframe Hardware used</t>
        </r>
      </text>
    </comment>
    <comment ref="BC7" authorId="0" shapeId="0" xr:uid="{1B195EBA-6B80-474F-91E4-92871223C414}">
      <text>
        <r>
          <rPr>
            <b/>
            <sz val="9"/>
            <color indexed="81"/>
            <rFont val="Tahoma"/>
            <family val="2"/>
          </rPr>
          <t>Avuthu, Charan (EXT - IN/Bangalore):</t>
        </r>
        <r>
          <rPr>
            <sz val="9"/>
            <color indexed="81"/>
            <rFont val="Tahoma"/>
            <family val="2"/>
          </rPr>
          <t xml:space="preserve">
Only if Airframe Hardware used</t>
        </r>
      </text>
    </comment>
    <comment ref="BG7" authorId="1" shapeId="0" xr:uid="{ABDF08A1-59A3-4945-BECE-15342CC22999}">
      <text>
        <r>
          <rPr>
            <b/>
            <sz val="9"/>
            <color indexed="81"/>
            <rFont val="Tahoma"/>
            <family val="2"/>
          </rPr>
          <t>jarmylly:</t>
        </r>
        <r>
          <rPr>
            <sz val="9"/>
            <color indexed="81"/>
            <rFont val="Tahoma"/>
            <family val="2"/>
          </rPr>
          <t xml:space="preserve">
Only if Airframe Hardware used</t>
        </r>
      </text>
    </comment>
    <comment ref="L8" authorId="1" shapeId="0" xr:uid="{2B091754-A15E-4ABB-91AF-4994329A5171}">
      <text>
        <r>
          <rPr>
            <b/>
            <sz val="9"/>
            <color indexed="81"/>
            <rFont val="Tahoma"/>
            <family val="2"/>
          </rPr>
          <t>jarmylly:</t>
        </r>
        <r>
          <rPr>
            <sz val="9"/>
            <color indexed="81"/>
            <rFont val="Tahoma"/>
            <family val="2"/>
          </rPr>
          <t xml:space="preserve">
Images name: rhel7_insteng</t>
        </r>
      </text>
    </comment>
    <comment ref="L9" authorId="1" shapeId="0" xr:uid="{7193165D-B410-40D0-AB9F-90DFA4FE9BDD}">
      <text>
        <r>
          <rPr>
            <b/>
            <sz val="9"/>
            <color indexed="81"/>
            <rFont val="Tahoma"/>
            <family val="2"/>
          </rPr>
          <t>jarmylly:</t>
        </r>
        <r>
          <rPr>
            <sz val="9"/>
            <color indexed="81"/>
            <rFont val="Tahoma"/>
            <family val="2"/>
          </rPr>
          <t xml:space="preserve">
Image name: administration_server</t>
        </r>
      </text>
    </comment>
    <comment ref="L10" authorId="1" shapeId="0" xr:uid="{B0CD5771-6A1A-4BC5-B97C-ECBFED10029A}">
      <text>
        <r>
          <rPr>
            <b/>
            <sz val="9"/>
            <color indexed="81"/>
            <rFont val="Tahoma"/>
            <family val="2"/>
          </rPr>
          <t>jarmylly:</t>
        </r>
        <r>
          <rPr>
            <sz val="9"/>
            <color indexed="81"/>
            <rFont val="Tahoma"/>
            <family val="2"/>
          </rPr>
          <t xml:space="preserve">
Image name: netact_rhel_base</t>
        </r>
      </text>
    </comment>
    <comment ref="L11" authorId="1" shapeId="0" xr:uid="{DDA1D64E-E94A-4D89-8BD5-925CE80C9443}">
      <text>
        <r>
          <rPr>
            <b/>
            <sz val="9"/>
            <color indexed="81"/>
            <rFont val="Tahoma"/>
            <family val="2"/>
          </rPr>
          <t>jarmylly:</t>
        </r>
        <r>
          <rPr>
            <sz val="9"/>
            <color indexed="81"/>
            <rFont val="Tahoma"/>
            <family val="2"/>
          </rPr>
          <t xml:space="preserve">
Image name: netact_rhel_base</t>
        </r>
      </text>
    </comment>
    <comment ref="P11" authorId="1" shapeId="0" xr:uid="{90009D87-D0F7-4C6C-A86D-A793F2FB1BA7}">
      <text>
        <r>
          <rPr>
            <b/>
            <sz val="9"/>
            <color indexed="81"/>
            <rFont val="Tahoma"/>
            <family val="2"/>
          </rPr>
          <t>jarmylly:</t>
        </r>
        <r>
          <rPr>
            <sz val="9"/>
            <color indexed="81"/>
            <rFont val="Tahoma"/>
            <family val="2"/>
          </rPr>
          <t xml:space="preserve">
Image name: vgredo</t>
        </r>
      </text>
    </comment>
    <comment ref="T11" authorId="1" shapeId="0" xr:uid="{066DDDB2-DF89-4DA6-BBD0-ACA5AD2F24C4}">
      <text>
        <r>
          <rPr>
            <b/>
            <sz val="9"/>
            <color indexed="81"/>
            <rFont val="Tahoma"/>
            <family val="2"/>
          </rPr>
          <t>jarmylly:</t>
        </r>
        <r>
          <rPr>
            <sz val="9"/>
            <color indexed="81"/>
            <rFont val="Tahoma"/>
            <family val="2"/>
          </rPr>
          <t xml:space="preserve">
Image name: vgdb</t>
        </r>
      </text>
    </comment>
    <comment ref="X11" authorId="1" shapeId="0" xr:uid="{B49190FC-59FB-4AB7-BBD0-5FAF7B3289CA}">
      <text>
        <r>
          <rPr>
            <b/>
            <sz val="9"/>
            <color indexed="81"/>
            <rFont val="Tahoma"/>
            <family val="2"/>
          </rPr>
          <t>jarmylly:</t>
        </r>
        <r>
          <rPr>
            <sz val="9"/>
            <color indexed="81"/>
            <rFont val="Tahoma"/>
            <family val="2"/>
          </rPr>
          <t xml:space="preserve">
Image name: vgarc</t>
        </r>
      </text>
    </comment>
    <comment ref="BH11" authorId="2" shapeId="0" xr:uid="{DDF91768-4E02-4CC8-AFE3-4E5D53C6FF06}">
      <text>
        <r>
          <rPr>
            <b/>
            <sz val="9"/>
            <color indexed="81"/>
            <rFont val="Tahoma"/>
            <family val="2"/>
          </rPr>
          <t xml:space="preserve"> Alok :name
</t>
        </r>
        <r>
          <rPr>
            <sz val="9"/>
            <color indexed="81"/>
            <rFont val="Tahoma"/>
            <family val="2"/>
          </rPr>
          <t>vgdbfb</t>
        </r>
      </text>
    </comment>
    <comment ref="BM11" authorId="3" shapeId="0" xr:uid="{90053DE5-D0D1-4DEE-AC4C-6EF2E9DB1416}">
      <text>
        <r>
          <rPr>
            <b/>
            <sz val="9"/>
            <color indexed="81"/>
            <rFont val="Tahoma"/>
            <family val="2"/>
          </rPr>
          <t>Goyal, Mayank (Nokia - IN/Bangalore):</t>
        </r>
        <r>
          <rPr>
            <sz val="9"/>
            <color indexed="81"/>
            <rFont val="Tahoma"/>
            <family val="2"/>
          </rPr>
          <t xml:space="preserve">
6 with FB and 5 without FB</t>
        </r>
      </text>
    </comment>
    <comment ref="L12" authorId="1" shapeId="0" xr:uid="{CAD54165-02A4-4483-AC66-46E3C98668C4}">
      <text>
        <r>
          <rPr>
            <b/>
            <sz val="9"/>
            <color indexed="81"/>
            <rFont val="Tahoma"/>
            <family val="2"/>
          </rPr>
          <t>jarmylly:</t>
        </r>
        <r>
          <rPr>
            <sz val="9"/>
            <color indexed="81"/>
            <rFont val="Tahoma"/>
            <family val="2"/>
          </rPr>
          <t xml:space="preserve">
Image name: netact_rhel_base</t>
        </r>
      </text>
    </comment>
    <comment ref="Y12" authorId="2" shapeId="0" xr:uid="{83574851-3293-47FE-A4B1-9E958D8D616F}">
      <text>
        <r>
          <rPr>
            <b/>
            <sz val="9"/>
            <color indexed="81"/>
            <rFont val="Tahoma"/>
            <family val="2"/>
          </rPr>
          <t>Rastogi, Alok (Nokia - IN/Bangalore):</t>
        </r>
        <r>
          <rPr>
            <sz val="9"/>
            <color indexed="81"/>
            <rFont val="Tahoma"/>
            <family val="2"/>
          </rPr>
          <t xml:space="preserve">
contains  three disksisks
NFS Global : 450560 MB
NFS Home :24576 MB
NFS WAS dump: 87040 MB</t>
        </r>
      </text>
    </comment>
    <comment ref="AB12" authorId="1" shapeId="0" xr:uid="{9A9EADA9-7972-403E-B4EB-84694D1138BC}">
      <text>
        <r>
          <rPr>
            <b/>
            <sz val="9"/>
            <color indexed="81"/>
            <rFont val="Tahoma"/>
            <family val="2"/>
          </rPr>
          <t>jarmylly:</t>
        </r>
        <r>
          <rPr>
            <sz val="9"/>
            <color indexed="81"/>
            <rFont val="Tahoma"/>
            <family val="2"/>
          </rPr>
          <t xml:space="preserve">
Image names:
- vgglobal
- vghome</t>
        </r>
      </text>
    </comment>
    <comment ref="AC12" authorId="1" shapeId="0" xr:uid="{CB3E7548-D5AB-437B-B46B-517E210564C7}">
      <text>
        <r>
          <rPr>
            <b/>
            <sz val="9"/>
            <color indexed="81"/>
            <rFont val="Tahoma"/>
            <family val="2"/>
          </rPr>
          <t>jarmylly:</t>
        </r>
        <r>
          <rPr>
            <sz val="9"/>
            <color indexed="81"/>
            <rFont val="Tahoma"/>
            <family val="2"/>
          </rPr>
          <t xml:space="preserve">
Reserved for customer own data.</t>
        </r>
      </text>
    </comment>
    <comment ref="L13" authorId="1" shapeId="0" xr:uid="{D26B35B3-8909-4FCC-853F-0E161378B091}">
      <text>
        <r>
          <rPr>
            <b/>
            <sz val="9"/>
            <color indexed="81"/>
            <rFont val="Tahoma"/>
            <family val="2"/>
          </rPr>
          <t>jarmylly:</t>
        </r>
        <r>
          <rPr>
            <sz val="9"/>
            <color indexed="81"/>
            <rFont val="Tahoma"/>
            <family val="2"/>
          </rPr>
          <t xml:space="preserve">
Image name: netact_rhel_base</t>
        </r>
      </text>
    </comment>
    <comment ref="L14" authorId="1" shapeId="0" xr:uid="{7C4DBE8D-ADDE-4A83-AD44-EC7032EBE7AD}">
      <text>
        <r>
          <rPr>
            <b/>
            <sz val="9"/>
            <color indexed="81"/>
            <rFont val="Tahoma"/>
            <family val="2"/>
          </rPr>
          <t>jarmylly:</t>
        </r>
        <r>
          <rPr>
            <sz val="9"/>
            <color indexed="81"/>
            <rFont val="Tahoma"/>
            <family val="2"/>
          </rPr>
          <t xml:space="preserve">
Image name: netact_rhel_base</t>
        </r>
      </text>
    </comment>
    <comment ref="L15" authorId="1" shapeId="0" xr:uid="{2104A843-455D-40CE-BFF3-B7BDC87D7456}">
      <text>
        <r>
          <rPr>
            <b/>
            <sz val="9"/>
            <color indexed="81"/>
            <rFont val="Tahoma"/>
            <family val="2"/>
          </rPr>
          <t>jarmylly:</t>
        </r>
        <r>
          <rPr>
            <sz val="9"/>
            <color indexed="81"/>
            <rFont val="Tahoma"/>
            <family val="2"/>
          </rPr>
          <t xml:space="preserve">
Image name: netact_rhel_base</t>
        </r>
      </text>
    </comment>
    <comment ref="L16" authorId="1" shapeId="0" xr:uid="{BB888C08-07EF-4B65-936F-FA8C714C84B4}">
      <text>
        <r>
          <rPr>
            <b/>
            <sz val="9"/>
            <color indexed="81"/>
            <rFont val="Tahoma"/>
            <family val="2"/>
          </rPr>
          <t>jarmylly:</t>
        </r>
        <r>
          <rPr>
            <sz val="9"/>
            <color indexed="81"/>
            <rFont val="Tahoma"/>
            <family val="2"/>
          </rPr>
          <t xml:space="preserve">
Image name: netact_rhel_base</t>
        </r>
      </text>
    </comment>
    <comment ref="L17" authorId="1" shapeId="0" xr:uid="{6B66AC0E-1C61-49A5-AD3C-60A85D59AA88}">
      <text>
        <r>
          <rPr>
            <b/>
            <sz val="9"/>
            <color indexed="81"/>
            <rFont val="Tahoma"/>
            <family val="2"/>
          </rPr>
          <t>jarmylly:</t>
        </r>
        <r>
          <rPr>
            <sz val="9"/>
            <color indexed="81"/>
            <rFont val="Tahoma"/>
            <family val="2"/>
          </rPr>
          <t xml:space="preserve">
Image name: netact_rhel_base</t>
        </r>
      </text>
    </comment>
    <comment ref="L18" authorId="1" shapeId="0" xr:uid="{FCE7D033-4AD1-4053-A355-4D7D06265A5E}">
      <text>
        <r>
          <rPr>
            <b/>
            <sz val="9"/>
            <color indexed="81"/>
            <rFont val="Tahoma"/>
            <family val="2"/>
          </rPr>
          <t>jarmylly:</t>
        </r>
        <r>
          <rPr>
            <sz val="9"/>
            <color indexed="81"/>
            <rFont val="Tahoma"/>
            <family val="2"/>
          </rPr>
          <t xml:space="preserve">
Image name: netact_rhel_base</t>
        </r>
      </text>
    </comment>
    <comment ref="L19" authorId="1" shapeId="0" xr:uid="{E5CC5B9B-E637-4B54-B274-ADBC679876E8}">
      <text>
        <r>
          <rPr>
            <b/>
            <sz val="9"/>
            <color indexed="81"/>
            <rFont val="Tahoma"/>
            <family val="2"/>
          </rPr>
          <t>jarmylly:</t>
        </r>
        <r>
          <rPr>
            <sz val="9"/>
            <color indexed="81"/>
            <rFont val="Tahoma"/>
            <family val="2"/>
          </rPr>
          <t xml:space="preserve">
Image name: netact_rhel_base</t>
        </r>
      </text>
    </comment>
    <comment ref="AR19" authorId="2" shapeId="0" xr:uid="{64D6C182-69AC-4321-B095-770C9D34ECC3}">
      <text>
        <r>
          <rPr>
            <b/>
            <sz val="9"/>
            <color indexed="81"/>
            <rFont val="Tahoma"/>
            <family val="2"/>
          </rPr>
          <t xml:space="preserve"> Alok :name
</t>
        </r>
        <r>
          <rPr>
            <sz val="9"/>
            <color indexed="81"/>
            <rFont val="Tahoma"/>
            <family val="2"/>
          </rPr>
          <t>vgadm</t>
        </r>
      </text>
    </comment>
    <comment ref="L20" authorId="1" shapeId="0" xr:uid="{76899075-A91E-44A0-B5E2-66D3F145C3A5}">
      <text>
        <r>
          <rPr>
            <b/>
            <sz val="9"/>
            <color indexed="81"/>
            <rFont val="Tahoma"/>
            <family val="2"/>
          </rPr>
          <t>jarmylly:</t>
        </r>
        <r>
          <rPr>
            <sz val="9"/>
            <color indexed="81"/>
            <rFont val="Tahoma"/>
            <family val="2"/>
          </rPr>
          <t xml:space="preserve">
Image name: netact_rhel_base</t>
        </r>
      </text>
    </comment>
    <comment ref="L21" authorId="1" shapeId="0" xr:uid="{BA017922-E68E-4FE1-9E83-597A858E5F67}">
      <text>
        <r>
          <rPr>
            <b/>
            <sz val="9"/>
            <color indexed="81"/>
            <rFont val="Tahoma"/>
            <family val="2"/>
          </rPr>
          <t>jarmylly:</t>
        </r>
        <r>
          <rPr>
            <sz val="9"/>
            <color indexed="81"/>
            <rFont val="Tahoma"/>
            <family val="2"/>
          </rPr>
          <t xml:space="preserve">
Image name: netact_rhel_base</t>
        </r>
      </text>
    </comment>
    <comment ref="L22" authorId="1" shapeId="0" xr:uid="{D525575C-96E6-4694-8F11-1B9A09D12F36}">
      <text>
        <r>
          <rPr>
            <b/>
            <sz val="9"/>
            <color indexed="81"/>
            <rFont val="Tahoma"/>
            <family val="2"/>
          </rPr>
          <t>jarmylly:</t>
        </r>
        <r>
          <rPr>
            <sz val="9"/>
            <color indexed="81"/>
            <rFont val="Tahoma"/>
            <family val="2"/>
          </rPr>
          <t xml:space="preserve">
Image name: netact_rhel_base</t>
        </r>
      </text>
    </comment>
    <comment ref="L23" authorId="1" shapeId="0" xr:uid="{9D0CBD2E-4120-48E3-833C-AE31F036D54B}">
      <text>
        <r>
          <rPr>
            <b/>
            <sz val="9"/>
            <color indexed="81"/>
            <rFont val="Tahoma"/>
            <family val="2"/>
          </rPr>
          <t>jarmylly:</t>
        </r>
        <r>
          <rPr>
            <sz val="9"/>
            <color indexed="81"/>
            <rFont val="Tahoma"/>
            <family val="2"/>
          </rPr>
          <t xml:space="preserve">
Image name: netact_rhel_base</t>
        </r>
      </text>
    </comment>
    <comment ref="AV23" authorId="4" shapeId="0" xr:uid="{3523DFF6-341D-4720-BC46-C0F2E26E1B6F}">
      <text>
        <r>
          <rPr>
            <b/>
            <sz val="9"/>
            <color indexed="81"/>
            <rFont val="Tahoma"/>
            <family val="2"/>
          </rPr>
          <t>Thippeswamy, Suresh (Nokia - IN/Bangalore):</t>
        </r>
        <r>
          <rPr>
            <sz val="9"/>
            <color indexed="81"/>
            <rFont val="Tahoma"/>
            <family val="2"/>
          </rPr>
          <t xml:space="preserve">
Image name: vgisdk</t>
        </r>
      </text>
    </comment>
    <comment ref="BM23" authorId="4" shapeId="0" xr:uid="{E697B774-2E29-4B8B-8E1A-7047C4D514A7}">
      <text>
        <r>
          <rPr>
            <b/>
            <sz val="9"/>
            <color indexed="81"/>
            <rFont val="Tahoma"/>
            <family val="2"/>
          </rPr>
          <t>Thippeswamy, Suresh (Nokia - IN/Bangalore):</t>
        </r>
        <r>
          <rPr>
            <sz val="9"/>
            <color indexed="81"/>
            <rFont val="Tahoma"/>
            <family val="2"/>
          </rPr>
          <t xml:space="preserve">
CRSR-227: Changed to 3 from 2</t>
        </r>
      </text>
    </comment>
    <comment ref="L24" authorId="1" shapeId="0" xr:uid="{BE6CD390-1AA1-4465-B71F-6555C83DDC39}">
      <text>
        <r>
          <rPr>
            <b/>
            <sz val="9"/>
            <color indexed="81"/>
            <rFont val="Tahoma"/>
            <family val="2"/>
          </rPr>
          <t>jarmylly:</t>
        </r>
        <r>
          <rPr>
            <sz val="9"/>
            <color indexed="81"/>
            <rFont val="Tahoma"/>
            <family val="2"/>
          </rPr>
          <t xml:space="preserve">
Image name: netact_rhel_base</t>
        </r>
      </text>
    </comment>
    <comment ref="AV24" authorId="4" shapeId="0" xr:uid="{DBDE2B06-A46D-444B-A1B1-13B5A3C94382}">
      <text>
        <r>
          <rPr>
            <b/>
            <sz val="9"/>
            <color indexed="81"/>
            <rFont val="Tahoma"/>
            <family val="2"/>
          </rPr>
          <t>Thippeswamy, Suresh (Nokia - IN/Bangalore):</t>
        </r>
        <r>
          <rPr>
            <sz val="9"/>
            <color indexed="81"/>
            <rFont val="Tahoma"/>
            <family val="2"/>
          </rPr>
          <t xml:space="preserve">
Image name: vgisdk</t>
        </r>
      </text>
    </comment>
    <comment ref="BM24" authorId="4" shapeId="0" xr:uid="{D6E56997-5BD8-4A5A-99AD-6D88703877E4}">
      <text>
        <r>
          <rPr>
            <b/>
            <sz val="9"/>
            <color indexed="81"/>
            <rFont val="Tahoma"/>
            <family val="2"/>
          </rPr>
          <t>Thippeswamy, Suresh (Nokia - IN/Bangalore):</t>
        </r>
        <r>
          <rPr>
            <sz val="9"/>
            <color indexed="81"/>
            <rFont val="Tahoma"/>
            <family val="2"/>
          </rPr>
          <t xml:space="preserve">
CRSR-227: Changed to 3 from 2</t>
        </r>
      </text>
    </comment>
    <comment ref="L25" authorId="1" shapeId="0" xr:uid="{874F0DEF-0BF5-446A-90A7-A61D1478D493}">
      <text>
        <r>
          <rPr>
            <b/>
            <sz val="9"/>
            <color indexed="81"/>
            <rFont val="Tahoma"/>
            <family val="2"/>
          </rPr>
          <t>jarmylly:</t>
        </r>
        <r>
          <rPr>
            <sz val="9"/>
            <color indexed="81"/>
            <rFont val="Tahoma"/>
            <family val="2"/>
          </rPr>
          <t xml:space="preserve">
Image name: netact_rhel_base</t>
        </r>
      </text>
    </comment>
    <comment ref="L26" authorId="1" shapeId="0" xr:uid="{EE2692FA-B03F-467D-8D3E-1690BA82387D}">
      <text>
        <r>
          <rPr>
            <b/>
            <sz val="9"/>
            <color indexed="81"/>
            <rFont val="Tahoma"/>
            <family val="2"/>
          </rPr>
          <t>jarmylly:</t>
        </r>
        <r>
          <rPr>
            <sz val="9"/>
            <color indexed="81"/>
            <rFont val="Tahoma"/>
            <family val="2"/>
          </rPr>
          <t xml:space="preserve">
Image name: netact_rhel_base</t>
        </r>
      </text>
    </comment>
    <comment ref="L27" authorId="1" shapeId="0" xr:uid="{19AFA972-980A-468D-8C70-FA5B66D0974A}">
      <text>
        <r>
          <rPr>
            <b/>
            <sz val="9"/>
            <color indexed="81"/>
            <rFont val="Tahoma"/>
            <family val="2"/>
          </rPr>
          <t>jarmylly:</t>
        </r>
        <r>
          <rPr>
            <sz val="9"/>
            <color indexed="81"/>
            <rFont val="Tahoma"/>
            <family val="2"/>
          </rPr>
          <t xml:space="preserve">
Image name: netact_rhel_base</t>
        </r>
      </text>
    </comment>
    <comment ref="L28" authorId="1" shapeId="0" xr:uid="{D7A56333-E507-4A24-83E9-20299FCFAD1C}">
      <text>
        <r>
          <rPr>
            <b/>
            <sz val="9"/>
            <color indexed="81"/>
            <rFont val="Tahoma"/>
            <family val="2"/>
          </rPr>
          <t>jarmylly:</t>
        </r>
        <r>
          <rPr>
            <sz val="9"/>
            <color indexed="81"/>
            <rFont val="Tahoma"/>
            <family val="2"/>
          </rPr>
          <t xml:space="preserve">
Image name: netact_rhel_base</t>
        </r>
      </text>
    </comment>
    <comment ref="L29" authorId="1" shapeId="0" xr:uid="{1EB3A9F4-CC4E-4F9C-A75C-97D6156F93AA}">
      <text>
        <r>
          <rPr>
            <b/>
            <sz val="9"/>
            <color indexed="81"/>
            <rFont val="Tahoma"/>
            <family val="2"/>
          </rPr>
          <t>jarmylly:</t>
        </r>
        <r>
          <rPr>
            <sz val="9"/>
            <color indexed="81"/>
            <rFont val="Tahoma"/>
            <family val="2"/>
          </rPr>
          <t xml:space="preserve">
Image name: netact_rhel_base</t>
        </r>
      </text>
    </comment>
    <comment ref="L30" authorId="1" shapeId="0" xr:uid="{C1040170-F206-4297-B56A-6F0179C25203}">
      <text>
        <r>
          <rPr>
            <b/>
            <sz val="9"/>
            <color indexed="81"/>
            <rFont val="Tahoma"/>
            <family val="2"/>
          </rPr>
          <t>jarmylly:</t>
        </r>
        <r>
          <rPr>
            <sz val="9"/>
            <color indexed="81"/>
            <rFont val="Tahoma"/>
            <family val="2"/>
          </rPr>
          <t xml:space="preserve">
Image name: netact_rhel_base</t>
        </r>
      </text>
    </comment>
    <comment ref="L31" authorId="1" shapeId="0" xr:uid="{9CC73F66-D0B3-47A6-AB9F-6531AC8CCBE3}">
      <text>
        <r>
          <rPr>
            <b/>
            <sz val="9"/>
            <color indexed="81"/>
            <rFont val="Tahoma"/>
            <family val="2"/>
          </rPr>
          <t>jarmylly:</t>
        </r>
        <r>
          <rPr>
            <sz val="9"/>
            <color indexed="81"/>
            <rFont val="Tahoma"/>
            <family val="2"/>
          </rPr>
          <t xml:space="preserve">
Image name: netact_rhel_base</t>
        </r>
      </text>
    </comment>
    <comment ref="L32" authorId="1" shapeId="0" xr:uid="{C9FCCD4D-29D9-4F0E-8C1D-02FCB318B355}">
      <text>
        <r>
          <rPr>
            <b/>
            <sz val="9"/>
            <color indexed="81"/>
            <rFont val="Tahoma"/>
            <family val="2"/>
          </rPr>
          <t>jarmylly:</t>
        </r>
        <r>
          <rPr>
            <sz val="9"/>
            <color indexed="81"/>
            <rFont val="Tahoma"/>
            <family val="2"/>
          </rPr>
          <t xml:space="preserve">
Image name: netact_rhel_base</t>
        </r>
      </text>
    </comment>
    <comment ref="L33" authorId="1" shapeId="0" xr:uid="{0C2AFD14-3D6F-4276-B061-7AAB7A137157}">
      <text>
        <r>
          <rPr>
            <b/>
            <sz val="9"/>
            <color indexed="81"/>
            <rFont val="Tahoma"/>
            <family val="2"/>
          </rPr>
          <t>jarmylly:</t>
        </r>
        <r>
          <rPr>
            <sz val="9"/>
            <color indexed="81"/>
            <rFont val="Tahoma"/>
            <family val="2"/>
          </rPr>
          <t xml:space="preserve">
Image name: netact_rhel_base</t>
        </r>
      </text>
    </comment>
    <comment ref="L34" authorId="1" shapeId="0" xr:uid="{96DB1F16-5867-444D-A11C-750060371672}">
      <text>
        <r>
          <rPr>
            <b/>
            <sz val="9"/>
            <color indexed="81"/>
            <rFont val="Tahoma"/>
            <family val="2"/>
          </rPr>
          <t>jarmylly:</t>
        </r>
        <r>
          <rPr>
            <sz val="9"/>
            <color indexed="81"/>
            <rFont val="Tahoma"/>
            <family val="2"/>
          </rPr>
          <t xml:space="preserve">
Image name: netact_rhel_base</t>
        </r>
      </text>
    </comment>
    <comment ref="H35" authorId="1" shapeId="0" xr:uid="{456AE85D-F037-4303-91E6-8E5AAFB07807}">
      <text>
        <r>
          <rPr>
            <b/>
            <sz val="9"/>
            <color indexed="81"/>
            <rFont val="Tahoma"/>
            <family val="2"/>
          </rPr>
          <t>jarmylly:</t>
        </r>
        <r>
          <rPr>
            <sz val="9"/>
            <color indexed="81"/>
            <rFont val="Tahoma"/>
            <family val="2"/>
          </rPr>
          <t xml:space="preserve">
Contains two disks:
- Disk-1: 60GB
- Disk-2: 40GB</t>
        </r>
      </text>
    </comment>
    <comment ref="L35" authorId="1" shapeId="0" xr:uid="{BD53B9CE-1176-4CF0-89B2-D39389E6D7CF}">
      <text>
        <r>
          <rPr>
            <b/>
            <sz val="9"/>
            <color indexed="81"/>
            <rFont val="Tahoma"/>
            <family val="2"/>
          </rPr>
          <t>jarmylly:</t>
        </r>
        <r>
          <rPr>
            <sz val="9"/>
            <color indexed="81"/>
            <rFont val="Tahoma"/>
            <family val="2"/>
          </rPr>
          <t xml:space="preserve">
Image name: 
- NMS_DC_disk1
- NMS_DC_disk2
- cdrom_nms</t>
        </r>
      </text>
    </comment>
    <comment ref="H36" authorId="1" shapeId="0" xr:uid="{4AE0CF4D-0786-472C-A989-2393502C908B}">
      <text>
        <r>
          <rPr>
            <sz val="9"/>
            <color indexed="81"/>
            <rFont val="Tahoma"/>
            <family val="2"/>
          </rPr>
          <t>Contains two disks:
- Disk-1: 60GB
(NOTE: For servers intended for more than 10 concurrent users the recommended size for disk C is Disk-1 size + RAM size.)
- Disk-2: 40GB</t>
        </r>
      </text>
    </comment>
    <comment ref="L36" authorId="1" shapeId="0" xr:uid="{D84794DB-7F37-4ED3-8CD6-3DF79EFD130B}">
      <text>
        <r>
          <rPr>
            <b/>
            <sz val="9"/>
            <color indexed="81"/>
            <rFont val="Tahoma"/>
            <family val="2"/>
          </rPr>
          <t>jarmylly:</t>
        </r>
        <r>
          <rPr>
            <sz val="9"/>
            <color indexed="81"/>
            <rFont val="Tahoma"/>
            <family val="2"/>
          </rPr>
          <t xml:space="preserve">
Image name:
- NMS_VDA_disk1
- NMS_VDA_disk2</t>
        </r>
      </text>
    </comment>
    <comment ref="H37" authorId="1" shapeId="0" xr:uid="{6B9E9A6B-4A13-4E9F-9696-3E7007CC22FB}">
      <text>
        <r>
          <rPr>
            <sz val="9"/>
            <color indexed="81"/>
            <rFont val="Tahoma"/>
            <family val="2"/>
          </rPr>
          <t>Contains two disks:
- Disk-1: 80GB
(NOTE: For servers intended for more than 10 concurrent users the recommended size for disk C is Disk-1 size + RAM size.)
- Disk-2: 40GB</t>
        </r>
      </text>
    </comment>
    <comment ref="L37" authorId="1" shapeId="0" xr:uid="{B688FC57-CBEF-4EA8-B6C1-81DCDD0AA339}">
      <text>
        <r>
          <rPr>
            <b/>
            <sz val="9"/>
            <color indexed="81"/>
            <rFont val="Tahoma"/>
            <family val="2"/>
          </rPr>
          <t>jarmylly:</t>
        </r>
        <r>
          <rPr>
            <sz val="9"/>
            <color indexed="81"/>
            <rFont val="Tahoma"/>
            <family val="2"/>
          </rPr>
          <t xml:space="preserve">
Image name:
- NMS_CTXDC_disk1
- NMS_CTXDC_disk2
- cdrom_nms</t>
        </r>
      </text>
    </comment>
    <comment ref="L38" authorId="1" shapeId="0" xr:uid="{6F545E41-259D-4BD0-B03B-A35B278BEB13}">
      <text>
        <r>
          <rPr>
            <b/>
            <sz val="9"/>
            <color indexed="81"/>
            <rFont val="Tahoma"/>
            <family val="2"/>
          </rPr>
          <t>jarmylly:</t>
        </r>
        <r>
          <rPr>
            <sz val="9"/>
            <color indexed="81"/>
            <rFont val="Tahoma"/>
            <family val="2"/>
          </rPr>
          <t xml:space="preserve">
Image name: netact_rhel_base</t>
        </r>
      </text>
    </comment>
    <comment ref="AN38" authorId="1" shapeId="0" xr:uid="{D62B6B38-9E9E-4BF0-8E14-0300350A1FFC}">
      <text>
        <r>
          <rPr>
            <b/>
            <sz val="9"/>
            <color indexed="81"/>
            <rFont val="Tahoma"/>
            <family val="2"/>
          </rPr>
          <t>jarmylly:</t>
        </r>
        <r>
          <rPr>
            <sz val="9"/>
            <color indexed="81"/>
            <rFont val="Tahoma"/>
            <family val="2"/>
          </rPr>
          <t xml:space="preserve">
Image name: vgrep</t>
        </r>
      </text>
    </comment>
    <comment ref="L39" authorId="1" shapeId="0" xr:uid="{28AE86B1-B288-49EB-B59A-6091BCAC9001}">
      <text>
        <r>
          <rPr>
            <b/>
            <sz val="9"/>
            <color indexed="81"/>
            <rFont val="Tahoma"/>
            <family val="2"/>
          </rPr>
          <t>jarmylly:</t>
        </r>
        <r>
          <rPr>
            <sz val="9"/>
            <color indexed="81"/>
            <rFont val="Tahoma"/>
            <family val="2"/>
          </rPr>
          <t xml:space="preserve">
Image name: netact_rhel_base</t>
        </r>
      </text>
    </comment>
    <comment ref="AN39" authorId="1" shapeId="0" xr:uid="{85A63F28-5C39-4D5A-B104-CB4EC5B009E0}">
      <text>
        <r>
          <rPr>
            <b/>
            <sz val="9"/>
            <color indexed="81"/>
            <rFont val="Tahoma"/>
            <family val="2"/>
          </rPr>
          <t>jarmylly:</t>
        </r>
        <r>
          <rPr>
            <sz val="9"/>
            <color indexed="81"/>
            <rFont val="Tahoma"/>
            <family val="2"/>
          </rPr>
          <t xml:space="preserve">
Image name: vgrep</t>
        </r>
      </text>
    </comment>
    <comment ref="L40" authorId="1" shapeId="0" xr:uid="{E9B41324-9AB2-4460-84AF-AE33CF77579A}">
      <text>
        <r>
          <rPr>
            <b/>
            <sz val="9"/>
            <color indexed="81"/>
            <rFont val="Tahoma"/>
            <family val="2"/>
          </rPr>
          <t>jarmylly:</t>
        </r>
        <r>
          <rPr>
            <sz val="9"/>
            <color indexed="81"/>
            <rFont val="Tahoma"/>
            <family val="2"/>
          </rPr>
          <t xml:space="preserve">
Image name: netact_rhel_base</t>
        </r>
      </text>
    </comment>
    <comment ref="AN40" authorId="1" shapeId="0" xr:uid="{F6050F31-660C-4EB1-ABD0-AC961BC2C422}">
      <text>
        <r>
          <rPr>
            <b/>
            <sz val="9"/>
            <color indexed="81"/>
            <rFont val="Tahoma"/>
            <family val="2"/>
          </rPr>
          <t>jarmylly:</t>
        </r>
        <r>
          <rPr>
            <sz val="9"/>
            <color indexed="81"/>
            <rFont val="Tahoma"/>
            <family val="2"/>
          </rPr>
          <t xml:space="preserve">
Image name: vgrep</t>
        </r>
      </text>
    </comment>
    <comment ref="L41" authorId="1" shapeId="0" xr:uid="{207ABE5E-675E-4CFE-B7DE-A1A38B7424E8}">
      <text>
        <r>
          <rPr>
            <b/>
            <sz val="9"/>
            <color indexed="81"/>
            <rFont val="Tahoma"/>
            <family val="2"/>
          </rPr>
          <t>jarmylly:</t>
        </r>
        <r>
          <rPr>
            <sz val="9"/>
            <color indexed="81"/>
            <rFont val="Tahoma"/>
            <family val="2"/>
          </rPr>
          <t xml:space="preserve">
Image name: netact_rhel_base</t>
        </r>
      </text>
    </comment>
    <comment ref="AN41" authorId="1" shapeId="0" xr:uid="{509D3B41-20D7-434D-9796-E9E88B3E8D22}">
      <text>
        <r>
          <rPr>
            <b/>
            <sz val="9"/>
            <color indexed="81"/>
            <rFont val="Tahoma"/>
            <family val="2"/>
          </rPr>
          <t>jarmylly:</t>
        </r>
        <r>
          <rPr>
            <sz val="9"/>
            <color indexed="81"/>
            <rFont val="Tahoma"/>
            <family val="2"/>
          </rPr>
          <t xml:space="preserve">
Image name: vgrep</t>
        </r>
      </text>
    </comment>
    <comment ref="L42" authorId="1" shapeId="0" xr:uid="{734430EE-74A0-4E77-8536-5BE2EC9B9A5E}">
      <text>
        <r>
          <rPr>
            <b/>
            <sz val="9"/>
            <color indexed="81"/>
            <rFont val="Tahoma"/>
            <family val="2"/>
          </rPr>
          <t>jarmylly:</t>
        </r>
        <r>
          <rPr>
            <sz val="9"/>
            <color indexed="81"/>
            <rFont val="Tahoma"/>
            <family val="2"/>
          </rPr>
          <t xml:space="preserve">
Image name: netact_rhel_base</t>
        </r>
      </text>
    </comment>
    <comment ref="L43" authorId="1" shapeId="0" xr:uid="{05562C68-5C04-47F0-A4C8-4D19E3AA60F2}">
      <text>
        <r>
          <rPr>
            <b/>
            <sz val="9"/>
            <color indexed="81"/>
            <rFont val="Tahoma"/>
            <family val="2"/>
          </rPr>
          <t>jarmylly:</t>
        </r>
        <r>
          <rPr>
            <sz val="9"/>
            <color indexed="81"/>
            <rFont val="Tahoma"/>
            <family val="2"/>
          </rPr>
          <t xml:space="preserve">
Image name: netact_rhel_base</t>
        </r>
      </text>
    </comment>
    <comment ref="L44" authorId="1" shapeId="0" xr:uid="{AB2B23C2-7B08-476A-85CB-36EA658B9481}">
      <text>
        <r>
          <rPr>
            <b/>
            <sz val="9"/>
            <color indexed="81"/>
            <rFont val="Tahoma"/>
            <family val="2"/>
          </rPr>
          <t>jarmylly:</t>
        </r>
        <r>
          <rPr>
            <sz val="9"/>
            <color indexed="81"/>
            <rFont val="Tahoma"/>
            <family val="2"/>
          </rPr>
          <t xml:space="preserve">
Image name: netact_rhel_base</t>
        </r>
      </text>
    </comment>
    <comment ref="BD44" authorId="0" shapeId="0" xr:uid="{D4DE689F-8A65-4265-936E-908840CDE28C}">
      <text>
        <r>
          <rPr>
            <b/>
            <sz val="9"/>
            <color indexed="81"/>
            <rFont val="Tahoma"/>
            <family val="2"/>
          </rPr>
          <t>Avuthu, Charan (EXT - IN/Bangalore):</t>
        </r>
        <r>
          <rPr>
            <sz val="9"/>
            <color indexed="81"/>
            <rFont val="Tahoma"/>
            <family val="2"/>
          </rPr>
          <t xml:space="preserve">
Image Name: vgkafka</t>
        </r>
      </text>
    </comment>
    <comment ref="L45" authorId="0" shapeId="0" xr:uid="{8A48C4E1-8C62-4E38-9682-8714C67E8C5C}">
      <text>
        <r>
          <rPr>
            <b/>
            <sz val="9"/>
            <color indexed="81"/>
            <rFont val="Tahoma"/>
            <family val="2"/>
          </rPr>
          <t>Avuthu, Charan (EXT - IN/Bangalore):</t>
        </r>
        <r>
          <rPr>
            <sz val="9"/>
            <color indexed="81"/>
            <rFont val="Tahoma"/>
            <family val="2"/>
          </rPr>
          <t xml:space="preserve">
Image name: netact_rhel_base</t>
        </r>
      </text>
    </comment>
    <comment ref="BD45" authorId="0" shapeId="0" xr:uid="{0C44AB00-CD4F-45CB-B6C5-4AA73AB2AB01}">
      <text>
        <r>
          <rPr>
            <b/>
            <sz val="9"/>
            <color indexed="81"/>
            <rFont val="Tahoma"/>
            <family val="2"/>
          </rPr>
          <t>Avuthu, Charan (EXT - IN/Bangalore):</t>
        </r>
        <r>
          <rPr>
            <sz val="9"/>
            <color indexed="81"/>
            <rFont val="Tahoma"/>
            <family val="2"/>
          </rPr>
          <t xml:space="preserve">
Image Name:vgkafka</t>
        </r>
      </text>
    </comment>
    <comment ref="L46" authorId="0" shapeId="0" xr:uid="{BEE0BE1C-521E-4D62-B544-F08D1F5D4C15}">
      <text>
        <r>
          <rPr>
            <b/>
            <sz val="9"/>
            <color indexed="81"/>
            <rFont val="Tahoma"/>
            <family val="2"/>
          </rPr>
          <t>Avuthu, Charan (EXT - IN/Bangalore):</t>
        </r>
        <r>
          <rPr>
            <sz val="9"/>
            <color indexed="81"/>
            <rFont val="Tahoma"/>
            <family val="2"/>
          </rPr>
          <t xml:space="preserve">
Image name: netact_rhel_base</t>
        </r>
      </text>
    </comment>
    <comment ref="BD46" authorId="0" shapeId="0" xr:uid="{4058AE99-8BBB-413E-B56A-3D06E6B187E1}">
      <text>
        <r>
          <rPr>
            <b/>
            <sz val="9"/>
            <color indexed="81"/>
            <rFont val="Tahoma"/>
            <family val="2"/>
          </rPr>
          <t>Avuthu, Charan (EXT - IN/Bangalore):</t>
        </r>
        <r>
          <rPr>
            <sz val="9"/>
            <color indexed="81"/>
            <rFont val="Tahoma"/>
            <family val="2"/>
          </rPr>
          <t xml:space="preserve">
Image Name:vgkafka</t>
        </r>
      </text>
    </comment>
    <comment ref="BU47" authorId="1" shapeId="0" xr:uid="{56802E67-65F1-40F3-820F-1B6CEFA2ED9B}">
      <text>
        <r>
          <rPr>
            <b/>
            <sz val="9"/>
            <color indexed="81"/>
            <rFont val="Tahoma"/>
            <family val="2"/>
          </rPr>
          <t>jarmylly:</t>
        </r>
        <r>
          <rPr>
            <sz val="9"/>
            <color indexed="81"/>
            <rFont val="Tahoma"/>
            <family val="2"/>
          </rPr>
          <t xml:space="preserve">
IPv4: 3
IPv4/IPv6: 5</t>
        </r>
      </text>
    </comment>
    <comment ref="AG49" authorId="5" shapeId="0" xr:uid="{D3B3F1F0-3D94-4DB6-B8B3-378CCE5E1A59}">
      <text>
        <r>
          <rPr>
            <b/>
            <sz val="9"/>
            <color indexed="81"/>
            <rFont val="Tahoma"/>
            <family val="2"/>
          </rPr>
          <t>Jayashree Sundaresan (Nokia):</t>
        </r>
        <r>
          <rPr>
            <sz val="9"/>
            <color indexed="81"/>
            <rFont val="Tahoma"/>
            <family val="2"/>
          </rPr>
          <t xml:space="preserve">
Contains one disk:
- backup_disk1: 204800 MB</t>
        </r>
      </text>
    </comment>
    <comment ref="BL49" authorId="5" shapeId="0" xr:uid="{C11DFCF5-2614-47B4-A1BE-3693E70D0B4F}">
      <text>
        <r>
          <rPr>
            <b/>
            <sz val="9"/>
            <color indexed="81"/>
            <rFont val="Tahoma"/>
            <family val="2"/>
          </rPr>
          <t>Jayashree Sundaresan (Nokia):</t>
        </r>
        <r>
          <rPr>
            <sz val="9"/>
            <color indexed="81"/>
            <rFont val="Tahoma"/>
            <family val="2"/>
          </rPr>
          <t xml:space="preserve">
Image Name:vgniv</t>
        </r>
      </text>
    </comment>
    <comment ref="Y51" authorId="0" shapeId="0" xr:uid="{23A4B4E5-E67D-4179-8800-3B062C10895C}">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573440 MB</t>
        </r>
      </text>
    </comment>
    <comment ref="AG51" authorId="0" shapeId="0" xr:uid="{23AFB39F-9F9D-4CEE-B47B-BEFD862A58A7}">
      <text>
        <r>
          <rPr>
            <b/>
            <sz val="9"/>
            <color indexed="81"/>
            <rFont val="Tahoma"/>
            <family val="2"/>
          </rPr>
          <t>Avuthu, Charan (EXT - IN/Bangalore):</t>
        </r>
        <r>
          <rPr>
            <sz val="9"/>
            <color indexed="81"/>
            <rFont val="Tahoma"/>
            <family val="2"/>
          </rPr>
          <t xml:space="preserve">
-Increase by additional 320GB, If LCM+CCR chosen as optional service on Compute1
(200GB increase for backup_disk on VM#150, 120GB increase on Backup disk on VM#5)</t>
        </r>
      </text>
    </comment>
    <comment ref="AZ51" authorId="0" shapeId="0" xr:uid="{41D1337D-46D2-4716-9B77-D49B6E77A2A7}">
      <text>
        <r>
          <rPr>
            <b/>
            <sz val="9"/>
            <color indexed="81"/>
            <rFont val="Tahoma"/>
            <family val="2"/>
          </rPr>
          <t>Avuthu, Charan (EXT - IN/Bangalore):</t>
        </r>
        <r>
          <rPr>
            <sz val="9"/>
            <color indexed="81"/>
            <rFont val="Tahoma"/>
            <family val="2"/>
          </rPr>
          <t xml:space="preserve">
Image Name:vgccr</t>
        </r>
      </text>
    </comment>
    <comment ref="BU53" authorId="1" shapeId="0" xr:uid="{18691CC4-CDC1-47B9-A3F7-12160C51225D}">
      <text>
        <r>
          <rPr>
            <b/>
            <sz val="9"/>
            <color indexed="81"/>
            <rFont val="Tahoma"/>
            <family val="2"/>
          </rPr>
          <t>jarmylly:</t>
        </r>
        <r>
          <rPr>
            <sz val="9"/>
            <color indexed="81"/>
            <rFont val="Tahoma"/>
            <family val="2"/>
          </rPr>
          <t xml:space="preserve">
IPv4: 3
IPv4/IPv6: 5</t>
        </r>
      </text>
    </comment>
    <comment ref="L57" authorId="1" shapeId="0" xr:uid="{40A0757A-03FE-424C-9D9D-D3F00CE1D336}">
      <text>
        <r>
          <rPr>
            <b/>
            <sz val="9"/>
            <color indexed="81"/>
            <rFont val="Tahoma"/>
            <family val="2"/>
          </rPr>
          <t>jarmylly:</t>
        </r>
        <r>
          <rPr>
            <sz val="9"/>
            <color indexed="81"/>
            <rFont val="Tahoma"/>
            <family val="2"/>
          </rPr>
          <t xml:space="preserve">
Image name: netact_rhel_base</t>
        </r>
      </text>
    </comment>
    <comment ref="H58" authorId="1" shapeId="0" xr:uid="{F452F8BA-3476-4A0B-A59C-60317121C247}">
      <text>
        <r>
          <rPr>
            <b/>
            <sz val="9"/>
            <color indexed="81"/>
            <rFont val="Tahoma"/>
            <family val="2"/>
          </rPr>
          <t>jarmylly:</t>
        </r>
        <r>
          <rPr>
            <sz val="9"/>
            <color indexed="81"/>
            <rFont val="Tahoma"/>
            <family val="2"/>
          </rPr>
          <t xml:space="preserve">
Contains two disks:
- Disk-1: 60GB
- Disk-2: 40GB</t>
        </r>
      </text>
    </comment>
    <comment ref="L58" authorId="1" shapeId="0" xr:uid="{736A1630-C339-41E7-B102-5802C8B28669}">
      <text>
        <r>
          <rPr>
            <b/>
            <sz val="9"/>
            <color indexed="81"/>
            <rFont val="Tahoma"/>
            <family val="2"/>
          </rPr>
          <t>jarmylly:</t>
        </r>
        <r>
          <rPr>
            <sz val="9"/>
            <color indexed="81"/>
            <rFont val="Tahoma"/>
            <family val="2"/>
          </rPr>
          <t xml:space="preserve">
Image name: 
- NMS_DC_disk1
- NMS_DC_disk2
- cdrom_nms</t>
        </r>
      </text>
    </comment>
    <comment ref="H59" authorId="1" shapeId="0" xr:uid="{A569BA76-C4C0-4E85-B14F-F9FBCAE613CC}">
      <text>
        <r>
          <rPr>
            <sz val="9"/>
            <color indexed="81"/>
            <rFont val="Tahoma"/>
            <family val="2"/>
          </rPr>
          <t>Contains two disks:
- Disk-1: 60GB
(NOTE: For servers intended for more than 10 concurrent users the recommended size for disk C is Disk-1 size + RAM size.)
- Disk-2: 40GB</t>
        </r>
      </text>
    </comment>
    <comment ref="L59" authorId="1" shapeId="0" xr:uid="{5B3265A7-2DEB-416C-922A-D275546BFFEC}">
      <text>
        <r>
          <rPr>
            <b/>
            <sz val="9"/>
            <color indexed="81"/>
            <rFont val="Tahoma"/>
            <family val="2"/>
          </rPr>
          <t>jarmylly:</t>
        </r>
        <r>
          <rPr>
            <sz val="9"/>
            <color indexed="81"/>
            <rFont val="Tahoma"/>
            <family val="2"/>
          </rPr>
          <t xml:space="preserve">
Image name:
- NMS_VDA_disk1
- NMS_VDA_disk2</t>
        </r>
      </text>
    </comment>
    <comment ref="H60" authorId="1" shapeId="0" xr:uid="{AA3BAF3D-C51E-4AB7-9753-6C8355F895ED}">
      <text>
        <r>
          <rPr>
            <sz val="9"/>
            <color indexed="81"/>
            <rFont val="Tahoma"/>
            <family val="2"/>
          </rPr>
          <t>Contains two disks:
- Disk-1: 60GB
(NOTE: For servers intended for more than 10 concurrent users the recommended size for disk C is Disk-1 size + RAM size.)
- Disk-2: 40GB</t>
        </r>
      </text>
    </comment>
    <comment ref="L60" authorId="1" shapeId="0" xr:uid="{584FCD91-5243-4314-8C71-5C3914FC78C1}">
      <text>
        <r>
          <rPr>
            <b/>
            <sz val="9"/>
            <color indexed="81"/>
            <rFont val="Tahoma"/>
            <family val="2"/>
          </rPr>
          <t>jarmylly:</t>
        </r>
        <r>
          <rPr>
            <sz val="9"/>
            <color indexed="81"/>
            <rFont val="Tahoma"/>
            <family val="2"/>
          </rPr>
          <t xml:space="preserve">
Image name:
- NMS_VDA_disk1
- NMS_VDA_disk2</t>
        </r>
      </text>
    </comment>
    <comment ref="H61" authorId="1" shapeId="0" xr:uid="{60DA152D-4675-4DD3-8A18-94CBF93BF1A1}">
      <text>
        <r>
          <rPr>
            <sz val="9"/>
            <color indexed="81"/>
            <rFont val="Tahoma"/>
            <family val="2"/>
          </rPr>
          <t>Contains two disks:
- Disk-1: 60GB
(NOTE: For servers intended for more than 10 concurrent users the recommended size for disk C is Disk-1 size + RAM size.)
- Disk-2: 40GB</t>
        </r>
      </text>
    </comment>
    <comment ref="L61" authorId="1" shapeId="0" xr:uid="{97472E80-8230-4919-BC52-A22AA8A61BE0}">
      <text>
        <r>
          <rPr>
            <b/>
            <sz val="9"/>
            <color indexed="81"/>
            <rFont val="Tahoma"/>
            <family val="2"/>
          </rPr>
          <t>jarmylly:</t>
        </r>
        <r>
          <rPr>
            <sz val="9"/>
            <color indexed="81"/>
            <rFont val="Tahoma"/>
            <family val="2"/>
          </rPr>
          <t xml:space="preserve">
Image name:
- NMS_VDA_disk1
- NMS_VDA_disk2</t>
        </r>
      </text>
    </comment>
    <comment ref="H62" authorId="1" shapeId="0" xr:uid="{33FC95EE-B21A-4C00-BB69-0783B8EB962C}">
      <text>
        <r>
          <rPr>
            <sz val="9"/>
            <color indexed="81"/>
            <rFont val="Tahoma"/>
            <family val="2"/>
          </rPr>
          <t>Contains two disks:
- Disk-1: 60GB
(NOTE: For servers intended for more than 10 concurrent users the recommended size for disk C is Disk-1 size + RAM size.)
- Disk-2: 40GB</t>
        </r>
      </text>
    </comment>
    <comment ref="L62" authorId="1" shapeId="0" xr:uid="{95DAFDDE-D618-4A42-93DF-E49710FE8D95}">
      <text>
        <r>
          <rPr>
            <b/>
            <sz val="9"/>
            <color indexed="81"/>
            <rFont val="Tahoma"/>
            <family val="2"/>
          </rPr>
          <t>jarmylly:</t>
        </r>
        <r>
          <rPr>
            <sz val="9"/>
            <color indexed="81"/>
            <rFont val="Tahoma"/>
            <family val="2"/>
          </rPr>
          <t xml:space="preserve">
Image name:
- NMS_VDA_disk1
- NMS_VDA_disk2</t>
        </r>
      </text>
    </comment>
    <comment ref="H63" authorId="1" shapeId="0" xr:uid="{751883BC-F108-4642-96C7-A705DA50408B}">
      <text>
        <r>
          <rPr>
            <sz val="9"/>
            <color indexed="81"/>
            <rFont val="Tahoma"/>
            <family val="2"/>
          </rPr>
          <t>Contains two disks:
- Disk-1: 60GB
(NOTE: For servers intended for more than 10 concurrent users the recommended size for disk C is Disk-1 size + RAM size.)
- Disk-2: 40GB</t>
        </r>
      </text>
    </comment>
    <comment ref="L63" authorId="1" shapeId="0" xr:uid="{2E2759E6-5FC4-4FCD-8C4C-D538C11BF42F}">
      <text>
        <r>
          <rPr>
            <b/>
            <sz val="9"/>
            <color indexed="81"/>
            <rFont val="Tahoma"/>
            <family val="2"/>
          </rPr>
          <t>jarmylly:</t>
        </r>
        <r>
          <rPr>
            <sz val="9"/>
            <color indexed="81"/>
            <rFont val="Tahoma"/>
            <family val="2"/>
          </rPr>
          <t xml:space="preserve">
Image name:
- NMS_VDA_disk1
- NMS_VDA_disk2</t>
        </r>
      </text>
    </comment>
    <comment ref="H64" authorId="1" shapeId="0" xr:uid="{158C4775-621C-4FFD-B66D-E05AD64028E0}">
      <text>
        <r>
          <rPr>
            <sz val="9"/>
            <color indexed="81"/>
            <rFont val="Tahoma"/>
            <family val="2"/>
          </rPr>
          <t>Contains two disks:
- Disk-1: 60GB
(NOTE: For servers intended for more than 10 concurrent users the recommended size for disk C is Disk-1 size + RAM size.)
- Disk-2: 40GB</t>
        </r>
      </text>
    </comment>
    <comment ref="L64" authorId="1" shapeId="0" xr:uid="{3E226C93-368C-4664-95EB-4300E03DF44C}">
      <text>
        <r>
          <rPr>
            <b/>
            <sz val="9"/>
            <color indexed="81"/>
            <rFont val="Tahoma"/>
            <family val="2"/>
          </rPr>
          <t>jarmylly:</t>
        </r>
        <r>
          <rPr>
            <sz val="9"/>
            <color indexed="81"/>
            <rFont val="Tahoma"/>
            <family val="2"/>
          </rPr>
          <t xml:space="preserve">
Image name:
- NMS_VDA_disk1
- NMS_VDA_disk2</t>
        </r>
      </text>
    </comment>
    <comment ref="H65" authorId="1" shapeId="0" xr:uid="{B5B56E4C-259E-4AD2-8C18-39A0C0A031B6}">
      <text>
        <r>
          <rPr>
            <sz val="9"/>
            <color indexed="81"/>
            <rFont val="Tahoma"/>
            <family val="2"/>
          </rPr>
          <t>Contains two disks:
- Disk-1: 60GB
(NOTE: For servers intended for more than 10 concurrent users the recommended size for disk C is Disk-1 size + RAM size.)
- Disk-2: 40GB</t>
        </r>
      </text>
    </comment>
    <comment ref="L65" authorId="1" shapeId="0" xr:uid="{719BB87D-BA72-41F2-85D0-AD0205316858}">
      <text>
        <r>
          <rPr>
            <b/>
            <sz val="9"/>
            <color indexed="81"/>
            <rFont val="Tahoma"/>
            <family val="2"/>
          </rPr>
          <t>jarmylly:</t>
        </r>
        <r>
          <rPr>
            <sz val="9"/>
            <color indexed="81"/>
            <rFont val="Tahoma"/>
            <family val="2"/>
          </rPr>
          <t xml:space="preserve">
Image name:
- NMS_VDA_disk1
- NMS_VDA_disk2</t>
        </r>
      </text>
    </comment>
    <comment ref="H66" authorId="1" shapeId="0" xr:uid="{A84D753B-F750-4ECF-8909-2C5B473106A0}">
      <text>
        <r>
          <rPr>
            <sz val="9"/>
            <color indexed="81"/>
            <rFont val="Tahoma"/>
            <family val="2"/>
          </rPr>
          <t>Contains two disks:
- Disk-1: 80GB
(NOTE: For servers intended for more than 10 concurrent users the recommended size for disk C is Disk-1 size + RAM size.)
- Disk-2: 40GB</t>
        </r>
      </text>
    </comment>
    <comment ref="L66" authorId="1" shapeId="0" xr:uid="{0129EAF8-D3D7-4641-820C-0371E4CF41D0}">
      <text>
        <r>
          <rPr>
            <b/>
            <sz val="9"/>
            <color indexed="81"/>
            <rFont val="Tahoma"/>
            <family val="2"/>
          </rPr>
          <t>jarmylly:</t>
        </r>
        <r>
          <rPr>
            <sz val="9"/>
            <color indexed="81"/>
            <rFont val="Tahoma"/>
            <family val="2"/>
          </rPr>
          <t xml:space="preserve">
Image name:
- NMS_CTXDC_disk1
- NMS_CTXDC_disk2
- cdrom_nms</t>
        </r>
      </text>
    </comment>
    <comment ref="H67" authorId="1" shapeId="0" xr:uid="{4168985A-53B9-4244-8448-5BDB547BE921}">
      <text>
        <r>
          <rPr>
            <sz val="9"/>
            <color indexed="81"/>
            <rFont val="Tahoma"/>
            <family val="2"/>
          </rPr>
          <t>Contains two disks:
- Disk-1: 60GB
(NOTE: For servers intended for more than 10 concurrent users the recommended size for disk C is Disk-1 size + RAM size.)
- Disk-2: 40GB</t>
        </r>
      </text>
    </comment>
    <comment ref="L67" authorId="1" shapeId="0" xr:uid="{C7D17A7A-973C-4B5B-9D2D-02FDB651F11E}">
      <text>
        <r>
          <rPr>
            <b/>
            <sz val="9"/>
            <color indexed="81"/>
            <rFont val="Tahoma"/>
            <family val="2"/>
          </rPr>
          <t>jarmylly:</t>
        </r>
        <r>
          <rPr>
            <sz val="9"/>
            <color indexed="81"/>
            <rFont val="Tahoma"/>
            <family val="2"/>
          </rPr>
          <t xml:space="preserve">
Image name:
- NMS_VDA_disk1
- NMS_VDA_disk2</t>
        </r>
      </text>
    </comment>
    <comment ref="L68" authorId="1" shapeId="0" xr:uid="{64A54FF5-48FD-45ED-88AC-34EEE7BF7A23}">
      <text>
        <r>
          <rPr>
            <b/>
            <sz val="9"/>
            <color indexed="81"/>
            <rFont val="Tahoma"/>
            <family val="2"/>
          </rPr>
          <t>jarmylly:</t>
        </r>
        <r>
          <rPr>
            <sz val="9"/>
            <color indexed="81"/>
            <rFont val="Tahoma"/>
            <family val="2"/>
          </rPr>
          <t xml:space="preserve">
Image name: netact_rhel_base</t>
        </r>
      </text>
    </comment>
    <comment ref="L69" authorId="1" shapeId="0" xr:uid="{402B1E3A-F118-4FA0-9E25-C756CA5081CA}">
      <text>
        <r>
          <rPr>
            <b/>
            <sz val="9"/>
            <color indexed="81"/>
            <rFont val="Tahoma"/>
            <family val="2"/>
          </rPr>
          <t>jarmylly:</t>
        </r>
        <r>
          <rPr>
            <sz val="9"/>
            <color indexed="81"/>
            <rFont val="Tahoma"/>
            <family val="2"/>
          </rPr>
          <t xml:space="preserve">
Image name: netact_rhel_base</t>
        </r>
      </text>
    </comment>
    <comment ref="L70" authorId="1" shapeId="0" xr:uid="{4B9B4A15-205D-4C05-98EF-CA7FDEA8AC4B}">
      <text>
        <r>
          <rPr>
            <b/>
            <sz val="9"/>
            <color indexed="81"/>
            <rFont val="Tahoma"/>
            <family val="2"/>
          </rPr>
          <t>jarmylly:</t>
        </r>
        <r>
          <rPr>
            <sz val="9"/>
            <color indexed="81"/>
            <rFont val="Tahoma"/>
            <family val="2"/>
          </rPr>
          <t xml:space="preserve">
Image name: netact_rhel_base</t>
        </r>
      </text>
    </comment>
    <comment ref="L71" authorId="1" shapeId="0" xr:uid="{D7AB31CE-18CA-4B5A-8B00-99C939EB4919}">
      <text>
        <r>
          <rPr>
            <b/>
            <sz val="9"/>
            <color indexed="81"/>
            <rFont val="Tahoma"/>
            <family val="2"/>
          </rPr>
          <t>jarmylly:</t>
        </r>
        <r>
          <rPr>
            <sz val="9"/>
            <color indexed="81"/>
            <rFont val="Tahoma"/>
            <family val="2"/>
          </rPr>
          <t xml:space="preserve">
Image name: netact_rhel_base</t>
        </r>
      </text>
    </comment>
    <comment ref="L72" authorId="1" shapeId="0" xr:uid="{0130836A-1194-4044-AC04-CEDE42275EDE}">
      <text>
        <r>
          <rPr>
            <b/>
            <sz val="9"/>
            <color indexed="81"/>
            <rFont val="Tahoma"/>
            <family val="2"/>
          </rPr>
          <t>jarmylly:</t>
        </r>
        <r>
          <rPr>
            <sz val="9"/>
            <color indexed="81"/>
            <rFont val="Tahoma"/>
            <family val="2"/>
          </rPr>
          <t xml:space="preserve">
Image name: netact_rhel_base</t>
        </r>
      </text>
    </comment>
    <comment ref="L73" authorId="1" shapeId="0" xr:uid="{359A73CE-A427-4DA5-B44A-2660518DC070}">
      <text>
        <r>
          <rPr>
            <b/>
            <sz val="9"/>
            <color indexed="81"/>
            <rFont val="Tahoma"/>
            <family val="2"/>
          </rPr>
          <t>jarmylly:</t>
        </r>
        <r>
          <rPr>
            <sz val="9"/>
            <color indexed="81"/>
            <rFont val="Tahoma"/>
            <family val="2"/>
          </rPr>
          <t xml:space="preserve">
Image name: netact_rhel_base</t>
        </r>
      </text>
    </comment>
    <comment ref="L74" authorId="1" shapeId="0" xr:uid="{6837461F-A435-4D45-91DD-4F379CE57960}">
      <text>
        <r>
          <rPr>
            <b/>
            <sz val="9"/>
            <color indexed="81"/>
            <rFont val="Tahoma"/>
            <family val="2"/>
          </rPr>
          <t>jarmylly:</t>
        </r>
        <r>
          <rPr>
            <sz val="9"/>
            <color indexed="81"/>
            <rFont val="Tahoma"/>
            <family val="2"/>
          </rPr>
          <t xml:space="preserve">
Image name: netact_rhel_base</t>
        </r>
      </text>
    </comment>
    <comment ref="H75" authorId="1" shapeId="0" xr:uid="{E24FC548-05F1-4422-87FC-B548E66308FD}">
      <text>
        <r>
          <rPr>
            <b/>
            <sz val="9"/>
            <color indexed="81"/>
            <rFont val="Tahoma"/>
            <family val="2"/>
          </rPr>
          <t>jarmylly:</t>
        </r>
        <r>
          <rPr>
            <sz val="9"/>
            <color indexed="81"/>
            <rFont val="Tahoma"/>
            <family val="2"/>
          </rPr>
          <t xml:space="preserve">
Contains two disks:
- Disk-1: 30,720GB
- Disk-2: 81,920GB</t>
        </r>
      </text>
    </comment>
    <comment ref="L75" authorId="1" shapeId="0" xr:uid="{ACD8BDF7-FA72-465F-921B-83F00ABB4C21}">
      <text>
        <r>
          <rPr>
            <b/>
            <sz val="9"/>
            <color indexed="81"/>
            <rFont val="Tahoma"/>
            <family val="2"/>
          </rPr>
          <t>jarmylly:</t>
        </r>
        <r>
          <rPr>
            <sz val="9"/>
            <color indexed="81"/>
            <rFont val="Tahoma"/>
            <family val="2"/>
          </rPr>
          <t xml:space="preserve">
Image name: netact_rhel_base</t>
        </r>
      </text>
    </comment>
    <comment ref="H76" authorId="1" shapeId="0" xr:uid="{7434657D-490E-44E4-90FC-51F6EF136A20}">
      <text>
        <r>
          <rPr>
            <b/>
            <sz val="9"/>
            <color indexed="81"/>
            <rFont val="Tahoma"/>
            <family val="2"/>
          </rPr>
          <t>jarmylly:</t>
        </r>
        <r>
          <rPr>
            <sz val="9"/>
            <color indexed="81"/>
            <rFont val="Tahoma"/>
            <family val="2"/>
          </rPr>
          <t xml:space="preserve">
Contains two disks:
- Disk-1: 30,720GB
- Disk-2: 81,920GB</t>
        </r>
      </text>
    </comment>
    <comment ref="L76" authorId="1" shapeId="0" xr:uid="{8F1DE9E9-11B5-4D7F-B986-FA2E8415B888}">
      <text>
        <r>
          <rPr>
            <b/>
            <sz val="9"/>
            <color indexed="81"/>
            <rFont val="Tahoma"/>
            <family val="2"/>
          </rPr>
          <t>jarmylly:</t>
        </r>
        <r>
          <rPr>
            <sz val="9"/>
            <color indexed="81"/>
            <rFont val="Tahoma"/>
            <family val="2"/>
          </rPr>
          <t xml:space="preserve">
Image name: netact_rhel_base</t>
        </r>
      </text>
    </comment>
    <comment ref="L77" authorId="1" shapeId="0" xr:uid="{464AAA7F-73A5-446A-A58B-677120C8585A}">
      <text>
        <r>
          <rPr>
            <b/>
            <sz val="9"/>
            <color indexed="81"/>
            <rFont val="Tahoma"/>
            <family val="2"/>
          </rPr>
          <t>jarmylly:</t>
        </r>
        <r>
          <rPr>
            <sz val="9"/>
            <color indexed="81"/>
            <rFont val="Tahoma"/>
            <family val="2"/>
          </rPr>
          <t xml:space="preserve">
Image name: netact_rhel_base</t>
        </r>
      </text>
    </comment>
    <comment ref="L78" authorId="1" shapeId="0" xr:uid="{CB1506A7-2435-4785-B53E-EE0C6F531464}">
      <text>
        <r>
          <rPr>
            <b/>
            <sz val="9"/>
            <color indexed="81"/>
            <rFont val="Tahoma"/>
            <family val="2"/>
          </rPr>
          <t>jarmylly:</t>
        </r>
        <r>
          <rPr>
            <sz val="9"/>
            <color indexed="81"/>
            <rFont val="Tahoma"/>
            <family val="2"/>
          </rPr>
          <t xml:space="preserve">
Image name: netact_rhel_base</t>
        </r>
      </text>
    </comment>
    <comment ref="L79" authorId="1" shapeId="0" xr:uid="{0A1B5882-3A5F-4F80-A5DD-5E76CFF0C980}">
      <text>
        <r>
          <rPr>
            <b/>
            <sz val="9"/>
            <color indexed="81"/>
            <rFont val="Tahoma"/>
            <family val="2"/>
          </rPr>
          <t>jarmylly:</t>
        </r>
        <r>
          <rPr>
            <sz val="9"/>
            <color indexed="81"/>
            <rFont val="Tahoma"/>
            <family val="2"/>
          </rPr>
          <t xml:space="preserve">
Image name: netact_rhel_base</t>
        </r>
      </text>
    </comment>
    <comment ref="L80" authorId="1" shapeId="0" xr:uid="{C06DE516-988E-4A39-8F0F-E238FD3F500B}">
      <text>
        <r>
          <rPr>
            <b/>
            <sz val="9"/>
            <color indexed="81"/>
            <rFont val="Tahoma"/>
            <family val="2"/>
          </rPr>
          <t>jarmylly:</t>
        </r>
        <r>
          <rPr>
            <sz val="9"/>
            <color indexed="81"/>
            <rFont val="Tahoma"/>
            <family val="2"/>
          </rPr>
          <t xml:space="preserve">
Image name: netact_rhel_base</t>
        </r>
      </text>
    </comment>
    <comment ref="L81" authorId="0" shapeId="0" xr:uid="{7FB58563-9EE4-4C15-BE1B-24BA30ACDBA4}">
      <text>
        <r>
          <rPr>
            <b/>
            <sz val="9"/>
            <color indexed="81"/>
            <rFont val="Tahoma"/>
            <family val="2"/>
          </rPr>
          <t>Avuthu, Charan (EXT - IN/Bangalore):</t>
        </r>
        <r>
          <rPr>
            <sz val="9"/>
            <color indexed="81"/>
            <rFont val="Tahoma"/>
            <family val="2"/>
          </rPr>
          <t xml:space="preserve">
Image name: netact_rhel_base</t>
        </r>
      </text>
    </comment>
    <comment ref="BU82" authorId="1" shapeId="0" xr:uid="{908F59F9-4241-49CA-9D22-68388B255704}">
      <text>
        <r>
          <rPr>
            <b/>
            <sz val="9"/>
            <color indexed="81"/>
            <rFont val="Tahoma"/>
            <family val="2"/>
          </rPr>
          <t>jarmylly:</t>
        </r>
        <r>
          <rPr>
            <sz val="9"/>
            <color indexed="81"/>
            <rFont val="Tahoma"/>
            <family val="2"/>
          </rPr>
          <t xml:space="preserve">
IPv4: 3
IPv4/IPv6: 5</t>
        </r>
      </text>
    </comment>
    <comment ref="L86" authorId="1" shapeId="0" xr:uid="{EB9B4184-9EF9-4C6D-8E2C-88EF5CDAD9C8}">
      <text>
        <r>
          <rPr>
            <b/>
            <sz val="9"/>
            <color indexed="81"/>
            <rFont val="Tahoma"/>
            <family val="2"/>
          </rPr>
          <t>jarmylly:</t>
        </r>
        <r>
          <rPr>
            <sz val="9"/>
            <color indexed="81"/>
            <rFont val="Tahoma"/>
            <family val="2"/>
          </rPr>
          <t xml:space="preserve">
Image name: netact_rhel_base</t>
        </r>
      </text>
    </comment>
    <comment ref="L87" authorId="1" shapeId="0" xr:uid="{2930BE4C-710F-447D-AAFA-50FB204D0079}">
      <text>
        <r>
          <rPr>
            <b/>
            <sz val="9"/>
            <color indexed="81"/>
            <rFont val="Tahoma"/>
            <family val="2"/>
          </rPr>
          <t>jarmylly:</t>
        </r>
        <r>
          <rPr>
            <sz val="9"/>
            <color indexed="81"/>
            <rFont val="Tahoma"/>
            <family val="2"/>
          </rPr>
          <t xml:space="preserve">
Image name: netact_rhel_base</t>
        </r>
      </text>
    </comment>
    <comment ref="L88" authorId="1" shapeId="0" xr:uid="{962E11DF-D0FE-4BF1-A188-E1AAA542AE1E}">
      <text>
        <r>
          <rPr>
            <b/>
            <sz val="9"/>
            <color indexed="81"/>
            <rFont val="Tahoma"/>
            <family val="2"/>
          </rPr>
          <t>jarmylly:</t>
        </r>
        <r>
          <rPr>
            <sz val="9"/>
            <color indexed="81"/>
            <rFont val="Tahoma"/>
            <family val="2"/>
          </rPr>
          <t xml:space="preserve">
Image name: netact_rhel_base</t>
        </r>
      </text>
    </comment>
    <comment ref="L89" authorId="1" shapeId="0" xr:uid="{90245412-2F89-4711-8327-43199048B94F}">
      <text>
        <r>
          <rPr>
            <b/>
            <sz val="9"/>
            <color indexed="81"/>
            <rFont val="Tahoma"/>
            <family val="2"/>
          </rPr>
          <t>jarmylly:</t>
        </r>
        <r>
          <rPr>
            <sz val="9"/>
            <color indexed="81"/>
            <rFont val="Tahoma"/>
            <family val="2"/>
          </rPr>
          <t xml:space="preserve">
Image name: netact_rhel_base</t>
        </r>
      </text>
    </comment>
    <comment ref="L90" authorId="1" shapeId="0" xr:uid="{0F3E4515-6555-4146-9C4B-1FB76259CC1D}">
      <text>
        <r>
          <rPr>
            <b/>
            <sz val="9"/>
            <color indexed="81"/>
            <rFont val="Tahoma"/>
            <family val="2"/>
          </rPr>
          <t>jarmylly:</t>
        </r>
        <r>
          <rPr>
            <sz val="9"/>
            <color indexed="81"/>
            <rFont val="Tahoma"/>
            <family val="2"/>
          </rPr>
          <t xml:space="preserve">
Image name: netact_rhel_base</t>
        </r>
      </text>
    </comment>
    <comment ref="L91" authorId="1" shapeId="0" xr:uid="{0D56F039-523B-4204-B9E7-46C091EA40CA}">
      <text>
        <r>
          <rPr>
            <b/>
            <sz val="9"/>
            <color indexed="81"/>
            <rFont val="Tahoma"/>
            <family val="2"/>
          </rPr>
          <t>jarmylly:</t>
        </r>
        <r>
          <rPr>
            <sz val="9"/>
            <color indexed="81"/>
            <rFont val="Tahoma"/>
            <family val="2"/>
          </rPr>
          <t xml:space="preserve">
Image name: netact_rhel_base</t>
        </r>
      </text>
    </comment>
    <comment ref="D92" authorId="1" shapeId="0" xr:uid="{EE992DC7-9AEF-4CE7-8C0B-464D1EA068A3}">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D93" authorId="1" shapeId="0" xr:uid="{60548CE2-0BA1-4B39-96F4-E61F33E6789B}">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BU94" authorId="1" shapeId="0" xr:uid="{AA3425BA-F3C9-4D01-A2F7-82576B3EADC5}">
      <text>
        <r>
          <rPr>
            <b/>
            <sz val="9"/>
            <color indexed="81"/>
            <rFont val="Tahoma"/>
            <family val="2"/>
          </rPr>
          <t>jarmylly:</t>
        </r>
        <r>
          <rPr>
            <sz val="9"/>
            <color indexed="81"/>
            <rFont val="Tahoma"/>
            <family val="2"/>
          </rPr>
          <t xml:space="preserve">
IPv4: 3
IPv4/IPv6: 5</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Jayashree Sundaresan (Nokia)</author>
  </authors>
  <commentList>
    <comment ref="J7" authorId="0" shapeId="0" xr:uid="{81E1C80F-3785-4035-BE78-FB1684136638}">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A0A2C2C3-5615-4D4B-BF07-8EE50ACA1BA4}">
      <text>
        <r>
          <rPr>
            <b/>
            <sz val="9"/>
            <color indexed="81"/>
            <rFont val="Tahoma"/>
            <family val="2"/>
          </rPr>
          <t>vishek:</t>
        </r>
        <r>
          <rPr>
            <sz val="9"/>
            <color indexed="81"/>
            <rFont val="Tahoma"/>
            <family val="2"/>
          </rPr>
          <t xml:space="preserve">
Contains one disk:
- DB_redo: 471040MB</t>
        </r>
      </text>
    </comment>
    <comment ref="N10" authorId="1" shapeId="0" xr:uid="{A4A085AD-3448-49ED-BCF5-7A4D51149520}">
      <text>
        <r>
          <rPr>
            <b/>
            <sz val="9"/>
            <color indexed="81"/>
            <rFont val="Tahoma"/>
            <family val="2"/>
          </rPr>
          <t>jarmylly:</t>
        </r>
        <r>
          <rPr>
            <sz val="9"/>
            <color indexed="81"/>
            <rFont val="Tahoma"/>
            <family val="2"/>
          </rPr>
          <t xml:space="preserve">
Contains one disk: 
- DB_data: 8294400MB</t>
        </r>
      </text>
    </comment>
    <comment ref="P10" authorId="1" shapeId="0" xr:uid="{C7BA4364-A684-49B8-9869-D805BCCEF233}">
      <text>
        <r>
          <rPr>
            <b/>
            <sz val="9"/>
            <color indexed="81"/>
            <rFont val="Tahoma"/>
            <family val="2"/>
          </rPr>
          <t>jarmylly:</t>
        </r>
        <r>
          <rPr>
            <sz val="9"/>
            <color indexed="81"/>
            <rFont val="Tahoma"/>
            <family val="2"/>
          </rPr>
          <t xml:space="preserve">
Contains one disk: 
- DB_arc: 12441600MB</t>
        </r>
      </text>
    </comment>
    <comment ref="X10" authorId="1" shapeId="0" xr:uid="{AC764E03-DE91-4EFA-92F6-57B5F10FB958}">
      <text>
        <r>
          <rPr>
            <b/>
            <sz val="9"/>
            <color indexed="81"/>
            <rFont val="Tahoma"/>
            <family val="2"/>
          </rPr>
          <t>jarmylly:</t>
        </r>
        <r>
          <rPr>
            <sz val="9"/>
            <color indexed="81"/>
            <rFont val="Tahoma"/>
            <family val="2"/>
          </rPr>
          <t xml:space="preserve">
Contains one disk:
- DB_backup: 28160000MB</t>
        </r>
      </text>
    </comment>
    <comment ref="AN10" authorId="2" shapeId="0" xr:uid="{E27C57C6-FA3A-4B38-8F16-412E81C5C288}">
      <text>
        <r>
          <rPr>
            <b/>
            <sz val="9"/>
            <color indexed="81"/>
            <rFont val="Tahoma"/>
            <family val="2"/>
          </rPr>
          <t>Goyal, Mayank (Nokia - IN/Bangalore):</t>
        </r>
        <r>
          <rPr>
            <sz val="9"/>
            <color indexed="81"/>
            <rFont val="Tahoma"/>
            <family val="2"/>
          </rPr>
          <t xml:space="preserve">
Contains one disk:
- db-fb_disk : 6291456MB</t>
        </r>
      </text>
    </comment>
    <comment ref="R11" authorId="1" shapeId="0" xr:uid="{11CDAF15-622C-45FA-83B8-F237BA79D4F3}">
      <text>
        <r>
          <rPr>
            <b/>
            <sz val="9"/>
            <color indexed="81"/>
            <rFont val="Tahoma"/>
            <family val="2"/>
          </rPr>
          <t>jarmylly:</t>
        </r>
        <r>
          <rPr>
            <sz val="9"/>
            <color indexed="81"/>
            <rFont val="Tahoma"/>
            <family val="2"/>
          </rPr>
          <t xml:space="preserve">
Contains three disks:
- NFS_global: 717790 MB
- NFS_home: 50200 MB
- NFS WAS dump: 87040 MB</t>
        </r>
      </text>
    </comment>
    <comment ref="T11" authorId="1" shapeId="0" xr:uid="{188ABC9D-8F2C-4FAA-BF76-BC7FCCF60AE6}">
      <text>
        <r>
          <rPr>
            <b/>
            <sz val="9"/>
            <color indexed="81"/>
            <rFont val="Tahoma"/>
            <family val="2"/>
          </rPr>
          <t>jarmylly:</t>
        </r>
        <r>
          <rPr>
            <sz val="9"/>
            <color indexed="81"/>
            <rFont val="Tahoma"/>
            <family val="2"/>
          </rPr>
          <t xml:space="preserve">
Reserved for customer own data.</t>
        </r>
      </text>
    </comment>
    <comment ref="X11" authorId="1" shapeId="0" xr:uid="{CDAD7204-FD01-4AB9-A0B2-0B62D1D1F308}">
      <text>
        <r>
          <rPr>
            <b/>
            <sz val="9"/>
            <color indexed="81"/>
            <rFont val="Tahoma"/>
            <family val="2"/>
          </rPr>
          <t>jarmylly:</t>
        </r>
        <r>
          <rPr>
            <sz val="9"/>
            <color indexed="81"/>
            <rFont val="Tahoma"/>
            <family val="2"/>
          </rPr>
          <t xml:space="preserve">
Contains one disk:
- NFS_backup: 460800MB</t>
        </r>
      </text>
    </comment>
    <comment ref="AB18" authorId="3" shapeId="0" xr:uid="{5355B869-8493-436D-978C-8329539B74E0}">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2BB0B87F-C067-4CA4-9FA8-2E6AD5C6B134}">
      <text>
        <r>
          <rPr>
            <b/>
            <sz val="9"/>
            <color indexed="81"/>
            <rFont val="Tahoma"/>
            <family val="2"/>
          </rPr>
          <t>Thippeswamy, Suresh (Nokia - IN/Bangalore):</t>
        </r>
        <r>
          <rPr>
            <sz val="9"/>
            <color indexed="81"/>
            <rFont val="Tahoma"/>
            <family val="2"/>
          </rPr>
          <t xml:space="preserve">
Contains one disk:
isdk_disk1 : 102400MB</t>
        </r>
      </text>
    </comment>
    <comment ref="AD23" authorId="3" shapeId="0" xr:uid="{1F8F836D-1DEE-4686-A0C2-71C1B9571F1E}">
      <text>
        <r>
          <rPr>
            <b/>
            <sz val="9"/>
            <color indexed="81"/>
            <rFont val="Tahoma"/>
            <family val="2"/>
          </rPr>
          <t>Thippeswamy, Suresh (Nokia - IN/Bangalore):</t>
        </r>
        <r>
          <rPr>
            <sz val="9"/>
            <color indexed="81"/>
            <rFont val="Tahoma"/>
            <family val="2"/>
          </rPr>
          <t xml:space="preserve">
Contains one disk:
isdk_disk1 : 102400MB</t>
        </r>
      </text>
    </comment>
    <comment ref="I34" authorId="1" shapeId="0" xr:uid="{47E432A9-EDAD-4259-A0CC-40B3B1DAADB5}">
      <text>
        <r>
          <rPr>
            <b/>
            <sz val="9"/>
            <color indexed="81"/>
            <rFont val="Tahoma"/>
            <family val="2"/>
          </rPr>
          <t>jarmylly:</t>
        </r>
        <r>
          <rPr>
            <sz val="9"/>
            <color indexed="81"/>
            <rFont val="Tahoma"/>
            <family val="2"/>
          </rPr>
          <t xml:space="preserve">
Contains two disks:
- Disk-1: 60GB
- Disk-2: 40GB</t>
        </r>
      </text>
    </comment>
    <comment ref="I35" authorId="1" shapeId="0" xr:uid="{9BF1F240-C42F-4988-9C4E-EB3EB2CE9F59}">
      <text>
        <r>
          <rPr>
            <sz val="9"/>
            <color indexed="81"/>
            <rFont val="Tahoma"/>
            <family val="2"/>
          </rPr>
          <t>Contains two disks:
- Disk-1: 60GB
(NOTE: For servers intended for more than 10 concurrent users the recommended size for disk C is Disk-1 size + RAM size.)
- Disk-2: 50GB</t>
        </r>
      </text>
    </comment>
    <comment ref="I36" authorId="1" shapeId="0" xr:uid="{E42F026F-8DD8-4DFD-873F-8350642DA25F}">
      <text>
        <r>
          <rPr>
            <sz val="9"/>
            <color indexed="81"/>
            <rFont val="Tahoma"/>
            <family val="2"/>
          </rPr>
          <t>Contains two disks:
- Disk-1: 80GB
(NOTE: For servers intended for more than 10 concurrent users the recommended size for disk C is Disk-1 size + RAM size.)
- Disk-2: 40GB</t>
        </r>
      </text>
    </comment>
    <comment ref="Z37" authorId="1" shapeId="0" xr:uid="{278F92DA-64DE-4804-A1BA-66D688E6C3B3}">
      <text>
        <r>
          <rPr>
            <b/>
            <sz val="9"/>
            <color indexed="81"/>
            <rFont val="Tahoma"/>
            <family val="2"/>
          </rPr>
          <t>jarmylly:</t>
        </r>
        <r>
          <rPr>
            <sz val="9"/>
            <color indexed="81"/>
            <rFont val="Tahoma"/>
            <family val="2"/>
          </rPr>
          <t xml:space="preserve">
Contains one disk:
- vm66_REP_disk: 46080MB
</t>
        </r>
      </text>
    </comment>
    <comment ref="AA37" authorId="4" shapeId="0" xr:uid="{A580BDDC-2981-40EA-9265-E31A58A5549F}">
      <text>
        <r>
          <rPr>
            <b/>
            <sz val="9"/>
            <color indexed="81"/>
            <rFont val="Calibri"/>
            <family val="2"/>
          </rPr>
          <t>Jari Myllymaa:</t>
        </r>
        <r>
          <rPr>
            <sz val="9"/>
            <color indexed="81"/>
            <rFont val="Calibri"/>
            <family val="2"/>
          </rPr>
          <t xml:space="preserve">
PMDatastore can extend 50GB</t>
        </r>
      </text>
    </comment>
    <comment ref="Z38" authorId="1" shapeId="0" xr:uid="{4A681DE5-BF8F-44F3-B06A-7D5ECB801C97}">
      <text>
        <r>
          <rPr>
            <b/>
            <sz val="9"/>
            <color indexed="81"/>
            <rFont val="Tahoma"/>
            <family val="2"/>
          </rPr>
          <t>jarmylly:</t>
        </r>
        <r>
          <rPr>
            <sz val="9"/>
            <color indexed="81"/>
            <rFont val="Tahoma"/>
            <family val="2"/>
          </rPr>
          <t xml:space="preserve">
Contains one disk:
- vm66_REP_disk: 46080MB
</t>
        </r>
      </text>
    </comment>
    <comment ref="Z39" authorId="1" shapeId="0" xr:uid="{63972551-750F-4044-BEA0-0BD997A88C20}">
      <text>
        <r>
          <rPr>
            <b/>
            <sz val="9"/>
            <color indexed="81"/>
            <rFont val="Tahoma"/>
            <family val="2"/>
          </rPr>
          <t>jarmylly:</t>
        </r>
        <r>
          <rPr>
            <sz val="9"/>
            <color indexed="81"/>
            <rFont val="Tahoma"/>
            <family val="2"/>
          </rPr>
          <t xml:space="preserve">
Contains one disk:
- vm66_REP_disk: 46080MB
</t>
        </r>
      </text>
    </comment>
    <comment ref="Z40" authorId="1" shapeId="0" xr:uid="{838CA0CE-8868-4071-8D66-00926C3E170E}">
      <text>
        <r>
          <rPr>
            <b/>
            <sz val="9"/>
            <color indexed="81"/>
            <rFont val="Tahoma"/>
            <family val="2"/>
          </rPr>
          <t>jarmylly:</t>
        </r>
        <r>
          <rPr>
            <sz val="9"/>
            <color indexed="81"/>
            <rFont val="Tahoma"/>
            <family val="2"/>
          </rPr>
          <t xml:space="preserve">
Contains one disk:
- vm66_REP_disk: 46080MB
</t>
        </r>
      </text>
    </comment>
    <comment ref="AH43" authorId="0" shapeId="0" xr:uid="{774140DF-8A86-4C8A-8F68-CC6B77DF774D}">
      <text>
        <r>
          <rPr>
            <b/>
            <sz val="9"/>
            <color indexed="81"/>
            <rFont val="Tahoma"/>
            <family val="2"/>
          </rPr>
          <t>Avuthu, Charan (EXT - IN/Bangalore):</t>
        </r>
        <r>
          <rPr>
            <sz val="9"/>
            <color indexed="81"/>
            <rFont val="Tahoma"/>
            <family val="2"/>
          </rPr>
          <t xml:space="preserve">
Contians one disk:
-kafka_disk1: 122880 MB</t>
        </r>
      </text>
    </comment>
    <comment ref="AH44" authorId="0" shapeId="0" xr:uid="{95F9A5D0-5F10-498B-BC7C-75F17000A235}">
      <text>
        <r>
          <rPr>
            <b/>
            <sz val="9"/>
            <color indexed="81"/>
            <rFont val="Tahoma"/>
            <family val="2"/>
          </rPr>
          <t>Avuthu, Charan (EXT - IN/Bangalore):</t>
        </r>
        <r>
          <rPr>
            <sz val="9"/>
            <color indexed="81"/>
            <rFont val="Tahoma"/>
            <family val="2"/>
          </rPr>
          <t xml:space="preserve">
Contians one disk:
-kafka_disk1: 122880 MB</t>
        </r>
      </text>
    </comment>
    <comment ref="AH45" authorId="0" shapeId="0" xr:uid="{9A12BFF0-AC6F-4FD2-8F26-11AA08544100}">
      <text>
        <r>
          <rPr>
            <b/>
            <sz val="9"/>
            <color indexed="81"/>
            <rFont val="Tahoma"/>
            <family val="2"/>
          </rPr>
          <t>Avuthu, Charan (EXT - IN/Bangalore):</t>
        </r>
        <r>
          <rPr>
            <sz val="9"/>
            <color indexed="81"/>
            <rFont val="Tahoma"/>
            <family val="2"/>
          </rPr>
          <t xml:space="preserve">
Contians one disk:
-kafka_disk1: 122880 MB</t>
        </r>
      </text>
    </comment>
    <comment ref="X48" authorId="5" shapeId="0" xr:uid="{95A5DA6F-ACE6-4246-81F1-D8F8242D52FA}">
      <text>
        <r>
          <rPr>
            <b/>
            <sz val="9"/>
            <color indexed="81"/>
            <rFont val="Tahoma"/>
            <family val="2"/>
          </rPr>
          <t>Jayashree Sundaresan (Nokia):</t>
        </r>
        <r>
          <rPr>
            <sz val="9"/>
            <color indexed="81"/>
            <rFont val="Tahoma"/>
            <family val="2"/>
          </rPr>
          <t xml:space="preserve">
Contains one disk:
- backup_disk1: 204800MB</t>
        </r>
      </text>
    </comment>
    <comment ref="AP48" authorId="5" shapeId="0" xr:uid="{B7548700-EB29-4051-A22E-8DB3278F901D}">
      <text>
        <r>
          <rPr>
            <b/>
            <sz val="9"/>
            <color indexed="81"/>
            <rFont val="Tahoma"/>
            <family val="2"/>
          </rPr>
          <t>Jayashree Sundaresan (Nokia):</t>
        </r>
        <r>
          <rPr>
            <sz val="9"/>
            <color indexed="81"/>
            <rFont val="Tahoma"/>
            <family val="2"/>
          </rPr>
          <t xml:space="preserve">
Contains one disk:
-niv_disk: 153600</t>
        </r>
      </text>
    </comment>
    <comment ref="R50" authorId="0" shapeId="0" xr:uid="{DE7358A3-EA8B-4912-A6EA-3515D14BC73E}">
      <text>
        <r>
          <rPr>
            <b/>
            <sz val="9"/>
            <color indexed="81"/>
            <rFont val="Tahoma"/>
            <family val="2"/>
          </rPr>
          <t>Avuthu, Charan (EXT - IN/Bangalore):</t>
        </r>
        <r>
          <rPr>
            <sz val="9"/>
            <color indexed="81"/>
            <rFont val="Tahoma"/>
            <family val="2"/>
          </rPr>
          <t xml:space="preserve">
Increase for NFSGlobal disk on VM#5 by 120GB
- NFS global (For LCM as optional service on Compute1): 840670 MB</t>
        </r>
      </text>
    </comment>
    <comment ref="X50" authorId="0" shapeId="0" xr:uid="{63BB913F-CF94-4D95-8364-FDAB5EF41ADA}">
      <text>
        <r>
          <rPr>
            <b/>
            <sz val="9"/>
            <color indexed="81"/>
            <rFont val="Tahoma"/>
            <family val="2"/>
          </rPr>
          <t>Avuthu, Charan (EXT - IN/Bangalore):</t>
        </r>
        <r>
          <rPr>
            <sz val="9"/>
            <color indexed="81"/>
            <rFont val="Tahoma"/>
            <family val="2"/>
          </rPr>
          <t xml:space="preserve">
Contains one disk:
- backup_disk1: 204800MB
Increase for NFSBackup disk on VM#5 by 120GB
- NFS_backup (For LCM as optional service on Compute1): 583680 MB</t>
        </r>
      </text>
    </comment>
    <comment ref="AF50" authorId="0" shapeId="0" xr:uid="{30E026ED-172F-4538-BD45-C249C7130ED9}">
      <text>
        <r>
          <rPr>
            <b/>
            <sz val="9"/>
            <color indexed="81"/>
            <rFont val="Tahoma"/>
            <family val="2"/>
          </rPr>
          <t>Avuthu, Charan (EXT - IN/Bangalore):</t>
        </r>
        <r>
          <rPr>
            <sz val="9"/>
            <color indexed="81"/>
            <rFont val="Tahoma"/>
            <family val="2"/>
          </rPr>
          <t xml:space="preserve">
Contains one disk:
- ccr_disk1: 153600MB</t>
        </r>
      </text>
    </comment>
    <comment ref="I56" authorId="3" shapeId="0" xr:uid="{2D28313B-F036-40BB-AEC9-41831D5E68BE}">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7" authorId="1" shapeId="0" xr:uid="{49F2C8F0-73F7-46D1-B841-6A6033198DFA}">
      <text>
        <r>
          <rPr>
            <b/>
            <sz val="9"/>
            <color indexed="81"/>
            <rFont val="Tahoma"/>
            <family val="2"/>
          </rPr>
          <t>jarmylly:</t>
        </r>
        <r>
          <rPr>
            <sz val="9"/>
            <color indexed="81"/>
            <rFont val="Tahoma"/>
            <family val="2"/>
          </rPr>
          <t xml:space="preserve">
Contains two disks:
- Disk-1: 60GB
- Disk-2: 40GB</t>
        </r>
      </text>
    </comment>
    <comment ref="I58" authorId="1" shapeId="0" xr:uid="{4855F3D6-0FA6-4F76-8E84-7BD2AF743CD4}">
      <text>
        <r>
          <rPr>
            <sz val="9"/>
            <color indexed="81"/>
            <rFont val="Tahoma"/>
            <family val="2"/>
          </rPr>
          <t>Contains two disks:
- Disk-1: 60GB
(NOTE: For servers intended for more than 10 concurrent users the recommended size for disk C is Disk-1 size + RAM size.)
- Disk-2: 40GB</t>
        </r>
      </text>
    </comment>
    <comment ref="I59" authorId="1" shapeId="0" xr:uid="{CD8CBE82-1C74-4BE1-82A3-B735C4909977}">
      <text>
        <r>
          <rPr>
            <sz val="9"/>
            <color indexed="81"/>
            <rFont val="Tahoma"/>
            <family val="2"/>
          </rPr>
          <t>Contains two disks:
- Disk-1: 60GB
(NOTE: For servers intended for more than 10 concurrent users the recommended size for disk C is Disk-1 size + RAM size.)
- Disk-2: 40GB</t>
        </r>
      </text>
    </comment>
    <comment ref="I60" authorId="1" shapeId="0" xr:uid="{E7F1B600-4B57-45D4-A947-7DBE610513E6}">
      <text>
        <r>
          <rPr>
            <sz val="9"/>
            <color indexed="81"/>
            <rFont val="Tahoma"/>
            <family val="2"/>
          </rPr>
          <t>Contains two disks:
- Disk-1: 60GB
(NOTE: For servers intended for more than 10 concurrent users the recommended size for disk C is Disk-1 size + RAM size.)
- Disk-2: 40GB</t>
        </r>
      </text>
    </comment>
    <comment ref="I61" authorId="1" shapeId="0" xr:uid="{8245AB42-4BE6-48A9-A9C5-181E3BD4818A}">
      <text>
        <r>
          <rPr>
            <sz val="9"/>
            <color indexed="81"/>
            <rFont val="Tahoma"/>
            <family val="2"/>
          </rPr>
          <t>Contains two disks:
- Disk-1: 60GB
(NOTE: For servers intended for more than 10 concurrent users the recommended size for disk C is Disk-1 size + RAM size.)
- Disk-2: 40GB</t>
        </r>
      </text>
    </comment>
    <comment ref="I62" authorId="1" shapeId="0" xr:uid="{6576945D-FB59-4BD4-8661-B46D99A19EA5}">
      <text>
        <r>
          <rPr>
            <sz val="9"/>
            <color indexed="81"/>
            <rFont val="Tahoma"/>
            <family val="2"/>
          </rPr>
          <t>Contains two disks:
- Disk-1: 60GB
(NOTE: For servers intended for more than 10 concurrent users the recommended size for disk C is Disk-1 size + RAM size.)
- Disk-2: 40GB</t>
        </r>
      </text>
    </comment>
    <comment ref="I63" authorId="1" shapeId="0" xr:uid="{3FC24E99-580A-42AD-B70B-F51F164D83EE}">
      <text>
        <r>
          <rPr>
            <sz val="9"/>
            <color indexed="81"/>
            <rFont val="Tahoma"/>
            <family val="2"/>
          </rPr>
          <t>Contains two disks:
- Disk-1: 60GB
(NOTE: For servers intended for more than 10 concurrent users the recommended size for disk C is Disk-1 size + RAM size.)
- Disk-2: 40GB</t>
        </r>
      </text>
    </comment>
    <comment ref="I64" authorId="1" shapeId="0" xr:uid="{58C3D539-896D-4086-9991-C63051CC632C}">
      <text>
        <r>
          <rPr>
            <sz val="9"/>
            <color indexed="81"/>
            <rFont val="Tahoma"/>
            <family val="2"/>
          </rPr>
          <t>Contains two disks:
- Disk-1: 60GB
(NOTE: For servers intended for more than 10 concurrent users the recommended size for disk C is Disk-1 size + RAM size.)
- Disk-2: 40GB</t>
        </r>
      </text>
    </comment>
    <comment ref="I65" authorId="1" shapeId="0" xr:uid="{19E2C061-6F9D-423C-9BAC-3CE74EA31C31}">
      <text>
        <r>
          <rPr>
            <sz val="9"/>
            <color indexed="81"/>
            <rFont val="Tahoma"/>
            <family val="2"/>
          </rPr>
          <t>Contains two disks:
- Disk-1: 80GB
(NOTE: For servers intended for more than 10 concurrent users the recommended size for disk C is Disk-1 size + RAM size.)
- Disk-2: 40GB</t>
        </r>
      </text>
    </comment>
    <comment ref="I66" authorId="1" shapeId="0" xr:uid="{9BCE4868-4863-42DC-A2E9-C25017CC3C90}">
      <text>
        <r>
          <rPr>
            <sz val="9"/>
            <color indexed="81"/>
            <rFont val="Tahoma"/>
            <family val="2"/>
          </rPr>
          <t>Contains two disks:
- Disk-1: 60GB
(NOTE: For servers intended for more than 10 concurrent users the recommended size for disk C is Disk-1 size + RAM size.)
- Disk-2: 40GB</t>
        </r>
      </text>
    </comment>
    <comment ref="I74" authorId="1" shapeId="0" xr:uid="{FEAA0F2A-997A-48FF-BCF5-09350D591F9A}">
      <text>
        <r>
          <rPr>
            <b/>
            <sz val="9"/>
            <color indexed="81"/>
            <rFont val="Tahoma"/>
            <family val="2"/>
          </rPr>
          <t>jarmylly:</t>
        </r>
        <r>
          <rPr>
            <sz val="9"/>
            <color indexed="81"/>
            <rFont val="Tahoma"/>
            <family val="2"/>
          </rPr>
          <t xml:space="preserve">
Contains two disks:
- Disk-1: 30GB
- Disk-2: 80GB</t>
        </r>
      </text>
    </comment>
    <comment ref="I75" authorId="1" shapeId="0" xr:uid="{03D5880F-B104-4B7A-B4F8-8B0C40445C95}">
      <text>
        <r>
          <rPr>
            <b/>
            <sz val="9"/>
            <color indexed="81"/>
            <rFont val="Tahoma"/>
            <family val="2"/>
          </rPr>
          <t>jarmylly:</t>
        </r>
        <r>
          <rPr>
            <sz val="9"/>
            <color indexed="81"/>
            <rFont val="Tahoma"/>
            <family val="2"/>
          </rPr>
          <t xml:space="preserve">
Contains two disks:
- Disk-1: 30GB
- Disk-2: 80GB</t>
        </r>
      </text>
    </comment>
    <comment ref="I80" authorId="3" shapeId="0" xr:uid="{AA667B21-B3D8-41C3-9DA4-A44C55CE707F}">
      <text>
        <r>
          <rPr>
            <b/>
            <sz val="9"/>
            <color indexed="81"/>
            <rFont val="Tahoma"/>
            <family val="2"/>
          </rPr>
          <t>Thippeswamy, Suresh (Nokia - IN/Bangalore):</t>
        </r>
        <r>
          <rPr>
            <sz val="9"/>
            <color indexed="81"/>
            <rFont val="Tahoma"/>
            <family val="2"/>
          </rPr>
          <t xml:space="preserve">
OS disk: 50GB
Data Disk:2048GB</t>
        </r>
      </text>
    </comment>
    <comment ref="E92" authorId="1" shapeId="0" xr:uid="{C65C5551-3766-4851-8644-F04F38F7A0DF}">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93" authorId="1" shapeId="0" xr:uid="{A91EDF43-528F-4D04-AE30-978688A7F51D}">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Rastogi, Alok (Nokia - IN/Bangalore)</author>
    <author>Jayashree Sundaresan (Nokia)</author>
  </authors>
  <commentList>
    <comment ref="I7" authorId="0" shapeId="0" xr:uid="{C2114DB9-6A13-4DD6-9242-F582E0B0C98F}">
      <text>
        <r>
          <rPr>
            <b/>
            <sz val="9"/>
            <color indexed="81"/>
            <rFont val="Tahoma"/>
            <family val="2"/>
          </rPr>
          <t>Avuthu, Charan (EXT - IN/Bangalore):</t>
        </r>
        <r>
          <rPr>
            <sz val="9"/>
            <color indexed="81"/>
            <rFont val="Tahoma"/>
            <family val="2"/>
          </rPr>
          <t xml:space="preserve">
Instance OS Level SWAP size, will derive from the flavor</t>
        </r>
      </text>
    </comment>
    <comment ref="K7" authorId="1" shapeId="0" xr:uid="{D16EF7B9-1AD5-469A-B6F4-CFA475E3AB89}">
      <text>
        <r>
          <rPr>
            <b/>
            <sz val="9"/>
            <color indexed="81"/>
            <rFont val="Tahoma"/>
            <family val="2"/>
          </rPr>
          <t>jarmylly:</t>
        </r>
        <r>
          <rPr>
            <sz val="9"/>
            <color indexed="81"/>
            <rFont val="Tahoma"/>
            <family val="2"/>
          </rPr>
          <t xml:space="preserve">
Only if Airframe Hardware used</t>
        </r>
      </text>
    </comment>
    <comment ref="O7" authorId="1" shapeId="0" xr:uid="{7D4E8A1B-CFD9-4E3F-809F-168EE8B3A1F0}">
      <text>
        <r>
          <rPr>
            <b/>
            <sz val="9"/>
            <color indexed="81"/>
            <rFont val="Tahoma"/>
            <family val="2"/>
          </rPr>
          <t>jarmylly:</t>
        </r>
        <r>
          <rPr>
            <sz val="9"/>
            <color indexed="81"/>
            <rFont val="Tahoma"/>
            <family val="2"/>
          </rPr>
          <t xml:space="preserve">
Only if Airframe Hardware used</t>
        </r>
      </text>
    </comment>
    <comment ref="S7" authorId="1" shapeId="0" xr:uid="{873E81A2-3CC9-4012-9E28-28460070CAC0}">
      <text>
        <r>
          <rPr>
            <b/>
            <sz val="9"/>
            <color indexed="81"/>
            <rFont val="Tahoma"/>
            <family val="2"/>
          </rPr>
          <t>jarmylly:</t>
        </r>
        <r>
          <rPr>
            <sz val="9"/>
            <color indexed="81"/>
            <rFont val="Tahoma"/>
            <family val="2"/>
          </rPr>
          <t xml:space="preserve">
Only if Airframe Hardware used</t>
        </r>
      </text>
    </comment>
    <comment ref="W7" authorId="1" shapeId="0" xr:uid="{F38FA747-6B41-4BC8-AD7C-D372674C5FD8}">
      <text>
        <r>
          <rPr>
            <b/>
            <sz val="9"/>
            <color indexed="81"/>
            <rFont val="Tahoma"/>
            <family val="2"/>
          </rPr>
          <t>jarmylly:</t>
        </r>
        <r>
          <rPr>
            <sz val="9"/>
            <color indexed="81"/>
            <rFont val="Tahoma"/>
            <family val="2"/>
          </rPr>
          <t xml:space="preserve">
Only if Airframe Hardware used</t>
        </r>
      </text>
    </comment>
    <comment ref="AA7" authorId="1" shapeId="0" xr:uid="{E7CC5D89-3310-4EC5-8137-F1184479AA5D}">
      <text>
        <r>
          <rPr>
            <b/>
            <sz val="9"/>
            <color indexed="81"/>
            <rFont val="Tahoma"/>
            <family val="2"/>
          </rPr>
          <t>jarmylly:</t>
        </r>
        <r>
          <rPr>
            <sz val="9"/>
            <color indexed="81"/>
            <rFont val="Tahoma"/>
            <family val="2"/>
          </rPr>
          <t xml:space="preserve">
Only if Airframe Hardware used</t>
        </r>
      </text>
    </comment>
    <comment ref="AE7" authorId="1" shapeId="0" xr:uid="{4E9B04AC-F30B-4F52-BB91-B6E5AA918201}">
      <text>
        <r>
          <rPr>
            <b/>
            <sz val="9"/>
            <color indexed="81"/>
            <rFont val="Tahoma"/>
            <family val="2"/>
          </rPr>
          <t>jarmylly:</t>
        </r>
        <r>
          <rPr>
            <sz val="9"/>
            <color indexed="81"/>
            <rFont val="Tahoma"/>
            <family val="2"/>
          </rPr>
          <t xml:space="preserve">
Only if Airframe Hardware used</t>
        </r>
      </text>
    </comment>
    <comment ref="AI7" authorId="1" shapeId="0" xr:uid="{26669273-48B5-48CF-9FDE-7117B9401F71}">
      <text>
        <r>
          <rPr>
            <b/>
            <sz val="9"/>
            <color indexed="81"/>
            <rFont val="Tahoma"/>
            <family val="2"/>
          </rPr>
          <t>jarmylly:</t>
        </r>
        <r>
          <rPr>
            <sz val="9"/>
            <color indexed="81"/>
            <rFont val="Tahoma"/>
            <family val="2"/>
          </rPr>
          <t xml:space="preserve">
Only if Airframe Hardware used</t>
        </r>
      </text>
    </comment>
    <comment ref="AM7" authorId="1" shapeId="0" xr:uid="{F74BA49C-E1C6-48D7-933A-07AB6F26C0B6}">
      <text>
        <r>
          <rPr>
            <b/>
            <sz val="9"/>
            <color indexed="81"/>
            <rFont val="Tahoma"/>
            <family val="2"/>
          </rPr>
          <t>jarmylly:</t>
        </r>
        <r>
          <rPr>
            <sz val="9"/>
            <color indexed="81"/>
            <rFont val="Tahoma"/>
            <family val="2"/>
          </rPr>
          <t xml:space="preserve">
Only if Airframe Hardware used</t>
        </r>
      </text>
    </comment>
    <comment ref="AQ7" authorId="1" shapeId="0" xr:uid="{1F5347BA-A1CA-4939-9928-21A96DA51FFB}">
      <text>
        <r>
          <rPr>
            <b/>
            <sz val="9"/>
            <color indexed="81"/>
            <rFont val="Tahoma"/>
            <family val="2"/>
          </rPr>
          <t>jarmylly:</t>
        </r>
        <r>
          <rPr>
            <sz val="9"/>
            <color indexed="81"/>
            <rFont val="Tahoma"/>
            <family val="2"/>
          </rPr>
          <t xml:space="preserve">
Only if Airframe Hardware used</t>
        </r>
      </text>
    </comment>
    <comment ref="AU7" authorId="1" shapeId="0" xr:uid="{B8B47E99-3609-4C3D-8C74-DB9B010373CD}">
      <text>
        <r>
          <rPr>
            <b/>
            <sz val="9"/>
            <color indexed="81"/>
            <rFont val="Tahoma"/>
            <family val="2"/>
          </rPr>
          <t>jarmylly:</t>
        </r>
        <r>
          <rPr>
            <sz val="9"/>
            <color indexed="81"/>
            <rFont val="Tahoma"/>
            <family val="2"/>
          </rPr>
          <t xml:space="preserve">
Only if Airframe Hardware used</t>
        </r>
      </text>
    </comment>
    <comment ref="AY7" authorId="1" shapeId="0" xr:uid="{DB64207C-47A9-4B66-BE14-425BEE679C40}">
      <text>
        <r>
          <rPr>
            <b/>
            <sz val="9"/>
            <color indexed="81"/>
            <rFont val="Tahoma"/>
            <family val="2"/>
          </rPr>
          <t>jarmylly:</t>
        </r>
        <r>
          <rPr>
            <sz val="9"/>
            <color indexed="81"/>
            <rFont val="Tahoma"/>
            <family val="2"/>
          </rPr>
          <t xml:space="preserve">
Only if Airframe Hardware used</t>
        </r>
      </text>
    </comment>
    <comment ref="BC7" authorId="0" shapeId="0" xr:uid="{954D5AB0-2CAD-4A04-9658-D97312D63620}">
      <text>
        <r>
          <rPr>
            <b/>
            <sz val="9"/>
            <color indexed="81"/>
            <rFont val="Tahoma"/>
            <family val="2"/>
          </rPr>
          <t>Avuthu, Charan (EXT - IN/Bangalore):</t>
        </r>
        <r>
          <rPr>
            <sz val="9"/>
            <color indexed="81"/>
            <rFont val="Tahoma"/>
            <family val="2"/>
          </rPr>
          <t xml:space="preserve">
Only if Airframe Hardware used</t>
        </r>
      </text>
    </comment>
    <comment ref="BG7" authorId="1" shapeId="0" xr:uid="{7FC6FE90-021A-429E-91B4-4AEB51851505}">
      <text>
        <r>
          <rPr>
            <b/>
            <sz val="9"/>
            <color indexed="81"/>
            <rFont val="Tahoma"/>
            <family val="2"/>
          </rPr>
          <t>jarmylly:</t>
        </r>
        <r>
          <rPr>
            <sz val="9"/>
            <color indexed="81"/>
            <rFont val="Tahoma"/>
            <family val="2"/>
          </rPr>
          <t xml:space="preserve">
Only if Airframe Hardware used</t>
        </r>
      </text>
    </comment>
    <comment ref="L8" authorId="1" shapeId="0" xr:uid="{A9EFB995-281E-420A-B395-AD10597E2E4E}">
      <text>
        <r>
          <rPr>
            <b/>
            <sz val="9"/>
            <color indexed="81"/>
            <rFont val="Tahoma"/>
            <family val="2"/>
          </rPr>
          <t>jarmylly:</t>
        </r>
        <r>
          <rPr>
            <sz val="9"/>
            <color indexed="81"/>
            <rFont val="Tahoma"/>
            <family val="2"/>
          </rPr>
          <t xml:space="preserve">
Images name: rhel7_insteng</t>
        </r>
      </text>
    </comment>
    <comment ref="L9" authorId="1" shapeId="0" xr:uid="{EA2A314A-31E2-4117-9E51-51BB66D58CDA}">
      <text>
        <r>
          <rPr>
            <b/>
            <sz val="9"/>
            <color indexed="81"/>
            <rFont val="Tahoma"/>
            <family val="2"/>
          </rPr>
          <t>jarmylly:</t>
        </r>
        <r>
          <rPr>
            <sz val="9"/>
            <color indexed="81"/>
            <rFont val="Tahoma"/>
            <family val="2"/>
          </rPr>
          <t xml:space="preserve">
Image name: administration_server</t>
        </r>
      </text>
    </comment>
    <comment ref="L10" authorId="1" shapeId="0" xr:uid="{5C69B326-E214-4233-A192-FC1D6A0C1B7E}">
      <text>
        <r>
          <rPr>
            <b/>
            <sz val="9"/>
            <color indexed="81"/>
            <rFont val="Tahoma"/>
            <family val="2"/>
          </rPr>
          <t>jarmylly:</t>
        </r>
        <r>
          <rPr>
            <sz val="9"/>
            <color indexed="81"/>
            <rFont val="Tahoma"/>
            <family val="2"/>
          </rPr>
          <t xml:space="preserve">
Image name: netact_rhel_base</t>
        </r>
      </text>
    </comment>
    <comment ref="L11" authorId="1" shapeId="0" xr:uid="{53F3E4CA-8699-4CE4-93CD-CB3E7E028042}">
      <text>
        <r>
          <rPr>
            <b/>
            <sz val="9"/>
            <color indexed="81"/>
            <rFont val="Tahoma"/>
            <family val="2"/>
          </rPr>
          <t>jarmylly:</t>
        </r>
        <r>
          <rPr>
            <sz val="9"/>
            <color indexed="81"/>
            <rFont val="Tahoma"/>
            <family val="2"/>
          </rPr>
          <t xml:space="preserve">
Image name: netact_rhel_base</t>
        </r>
      </text>
    </comment>
    <comment ref="M11" authorId="2" shapeId="0" xr:uid="{928ECF6A-EB54-4E67-A9E8-A3CB782F368F}">
      <text>
        <r>
          <rPr>
            <b/>
            <sz val="9"/>
            <color indexed="81"/>
            <rFont val="Tahoma"/>
            <family val="2"/>
          </rPr>
          <t>Thippeswamy, Suresh (Nokia - IN/Bangalore):</t>
        </r>
        <r>
          <rPr>
            <sz val="9"/>
            <color indexed="81"/>
            <rFont val="Tahoma"/>
            <family val="2"/>
          </rPr>
          <t xml:space="preserve">
Contains one disk:
- DB_redo: 471040MB</t>
        </r>
      </text>
    </comment>
    <comment ref="P11" authorId="1" shapeId="0" xr:uid="{90A6543E-D1E8-4003-9E21-B0E1CEBDD11B}">
      <text>
        <r>
          <rPr>
            <b/>
            <sz val="9"/>
            <color indexed="81"/>
            <rFont val="Tahoma"/>
            <family val="2"/>
          </rPr>
          <t>jarmylly:</t>
        </r>
        <r>
          <rPr>
            <sz val="9"/>
            <color indexed="81"/>
            <rFont val="Tahoma"/>
            <family val="2"/>
          </rPr>
          <t xml:space="preserve">
Image name: vgredo</t>
        </r>
      </text>
    </comment>
    <comment ref="T11" authorId="1" shapeId="0" xr:uid="{4931BF5F-56B2-4FBC-841A-2101E4FF449C}">
      <text>
        <r>
          <rPr>
            <b/>
            <sz val="9"/>
            <color indexed="81"/>
            <rFont val="Tahoma"/>
            <family val="2"/>
          </rPr>
          <t>jarmylly:</t>
        </r>
        <r>
          <rPr>
            <sz val="9"/>
            <color indexed="81"/>
            <rFont val="Tahoma"/>
            <family val="2"/>
          </rPr>
          <t xml:space="preserve">
Image name: vgdb</t>
        </r>
      </text>
    </comment>
    <comment ref="X11" authorId="1" shapeId="0" xr:uid="{6E79A143-4EFE-4DC3-88FB-EF4DC8FDD9A4}">
      <text>
        <r>
          <rPr>
            <b/>
            <sz val="9"/>
            <color indexed="81"/>
            <rFont val="Tahoma"/>
            <family val="2"/>
          </rPr>
          <t>jarmylly:</t>
        </r>
        <r>
          <rPr>
            <sz val="9"/>
            <color indexed="81"/>
            <rFont val="Tahoma"/>
            <family val="2"/>
          </rPr>
          <t xml:space="preserve">
Image name: vgarc</t>
        </r>
      </text>
    </comment>
    <comment ref="BH11" authorId="3" shapeId="0" xr:uid="{6E7A4929-0E9C-4ABD-A367-B2E68E2C8351}">
      <text>
        <r>
          <rPr>
            <b/>
            <sz val="9"/>
            <color indexed="81"/>
            <rFont val="Tahoma"/>
            <family val="2"/>
          </rPr>
          <t xml:space="preserve"> Alok :name
</t>
        </r>
        <r>
          <rPr>
            <sz val="9"/>
            <color indexed="81"/>
            <rFont val="Tahoma"/>
            <family val="2"/>
          </rPr>
          <t>vgdbfb</t>
        </r>
      </text>
    </comment>
    <comment ref="L12" authorId="1" shapeId="0" xr:uid="{B86FD2CD-7DAF-48F8-9029-83C479CF4E13}">
      <text>
        <r>
          <rPr>
            <b/>
            <sz val="9"/>
            <color indexed="81"/>
            <rFont val="Tahoma"/>
            <family val="2"/>
          </rPr>
          <t>jarmylly:</t>
        </r>
        <r>
          <rPr>
            <sz val="9"/>
            <color indexed="81"/>
            <rFont val="Tahoma"/>
            <family val="2"/>
          </rPr>
          <t xml:space="preserve">
Image name: netact_rhel_base</t>
        </r>
      </text>
    </comment>
    <comment ref="Y12" authorId="3" shapeId="0" xr:uid="{2FAF74F1-0688-4947-88A3-B3FF6D04E80A}">
      <text>
        <r>
          <rPr>
            <b/>
            <sz val="9"/>
            <color indexed="81"/>
            <rFont val="Tahoma"/>
            <family val="2"/>
          </rPr>
          <t>Rastogi, Alok (Nokia - IN/Bangalore):</t>
        </r>
        <r>
          <rPr>
            <sz val="9"/>
            <color indexed="81"/>
            <rFont val="Tahoma"/>
            <family val="2"/>
          </rPr>
          <t xml:space="preserve">
Contains three disks;
NFS Global : 717790 MB
NFS Home: 50200 MB
NFS WAS dump: 87040 MB</t>
        </r>
      </text>
    </comment>
    <comment ref="AB12" authorId="1" shapeId="0" xr:uid="{C73562AB-A1E6-46A2-9B90-3F7866647FA4}">
      <text>
        <r>
          <rPr>
            <b/>
            <sz val="9"/>
            <color indexed="81"/>
            <rFont val="Tahoma"/>
            <family val="2"/>
          </rPr>
          <t>jarmylly:</t>
        </r>
        <r>
          <rPr>
            <sz val="9"/>
            <color indexed="81"/>
            <rFont val="Tahoma"/>
            <family val="2"/>
          </rPr>
          <t xml:space="preserve">
Image names:
- vgglobal
- vghome</t>
        </r>
      </text>
    </comment>
    <comment ref="AC12" authorId="1" shapeId="0" xr:uid="{F613717D-63A9-4676-862B-11580378FD7E}">
      <text>
        <r>
          <rPr>
            <b/>
            <sz val="9"/>
            <color indexed="81"/>
            <rFont val="Tahoma"/>
            <family val="2"/>
          </rPr>
          <t>jarmylly:</t>
        </r>
        <r>
          <rPr>
            <sz val="9"/>
            <color indexed="81"/>
            <rFont val="Tahoma"/>
            <family val="2"/>
          </rPr>
          <t xml:space="preserve">
Reserved for customer own data.</t>
        </r>
      </text>
    </comment>
    <comment ref="L13" authorId="1" shapeId="0" xr:uid="{DD1B0298-6716-4724-9B0F-FDCFFBCC4902}">
      <text>
        <r>
          <rPr>
            <b/>
            <sz val="9"/>
            <color indexed="81"/>
            <rFont val="Tahoma"/>
            <family val="2"/>
          </rPr>
          <t>jarmylly:</t>
        </r>
        <r>
          <rPr>
            <sz val="9"/>
            <color indexed="81"/>
            <rFont val="Tahoma"/>
            <family val="2"/>
          </rPr>
          <t xml:space="preserve">
Image name: netact_rhel_base</t>
        </r>
      </text>
    </comment>
    <comment ref="L14" authorId="1" shapeId="0" xr:uid="{A55B6E21-23DA-4220-B796-15274A02F410}">
      <text>
        <r>
          <rPr>
            <b/>
            <sz val="9"/>
            <color indexed="81"/>
            <rFont val="Tahoma"/>
            <family val="2"/>
          </rPr>
          <t>jarmylly:</t>
        </r>
        <r>
          <rPr>
            <sz val="9"/>
            <color indexed="81"/>
            <rFont val="Tahoma"/>
            <family val="2"/>
          </rPr>
          <t xml:space="preserve">
Image name: netact_rhel_base</t>
        </r>
      </text>
    </comment>
    <comment ref="L15" authorId="1" shapeId="0" xr:uid="{AD591C3F-1926-4AC9-B458-E5C7BC6ED002}">
      <text>
        <r>
          <rPr>
            <b/>
            <sz val="9"/>
            <color indexed="81"/>
            <rFont val="Tahoma"/>
            <family val="2"/>
          </rPr>
          <t>jarmylly:</t>
        </r>
        <r>
          <rPr>
            <sz val="9"/>
            <color indexed="81"/>
            <rFont val="Tahoma"/>
            <family val="2"/>
          </rPr>
          <t xml:space="preserve">
Image name: netact_rhel_base</t>
        </r>
      </text>
    </comment>
    <comment ref="L16" authorId="1" shapeId="0" xr:uid="{8263825A-48C4-44E6-9387-33123EFFAB27}">
      <text>
        <r>
          <rPr>
            <b/>
            <sz val="9"/>
            <color indexed="81"/>
            <rFont val="Tahoma"/>
            <family val="2"/>
          </rPr>
          <t>jarmylly:</t>
        </r>
        <r>
          <rPr>
            <sz val="9"/>
            <color indexed="81"/>
            <rFont val="Tahoma"/>
            <family val="2"/>
          </rPr>
          <t xml:space="preserve">
Image name: netact_rhel_base</t>
        </r>
      </text>
    </comment>
    <comment ref="L17" authorId="1" shapeId="0" xr:uid="{DFD92168-70D7-4C62-ACE8-C59814C027C4}">
      <text>
        <r>
          <rPr>
            <b/>
            <sz val="9"/>
            <color indexed="81"/>
            <rFont val="Tahoma"/>
            <family val="2"/>
          </rPr>
          <t>jarmylly:</t>
        </r>
        <r>
          <rPr>
            <sz val="9"/>
            <color indexed="81"/>
            <rFont val="Tahoma"/>
            <family val="2"/>
          </rPr>
          <t xml:space="preserve">
Image name: netact_rhel_base</t>
        </r>
      </text>
    </comment>
    <comment ref="L18" authorId="1" shapeId="0" xr:uid="{94F2DF26-DD41-4B8E-9EB0-3AC43264008A}">
      <text>
        <r>
          <rPr>
            <b/>
            <sz val="9"/>
            <color indexed="81"/>
            <rFont val="Tahoma"/>
            <family val="2"/>
          </rPr>
          <t>jarmylly:</t>
        </r>
        <r>
          <rPr>
            <sz val="9"/>
            <color indexed="81"/>
            <rFont val="Tahoma"/>
            <family val="2"/>
          </rPr>
          <t xml:space="preserve">
Image name: netact_rhel_base</t>
        </r>
      </text>
    </comment>
    <comment ref="L19" authorId="1" shapeId="0" xr:uid="{5FB362DE-CF16-403A-A42B-AB857456B83A}">
      <text>
        <r>
          <rPr>
            <b/>
            <sz val="9"/>
            <color indexed="81"/>
            <rFont val="Tahoma"/>
            <family val="2"/>
          </rPr>
          <t>jarmylly:</t>
        </r>
        <r>
          <rPr>
            <sz val="9"/>
            <color indexed="81"/>
            <rFont val="Tahoma"/>
            <family val="2"/>
          </rPr>
          <t xml:space="preserve">
Image name: netact_rhel_base</t>
        </r>
      </text>
    </comment>
    <comment ref="AR19" authorId="3" shapeId="0" xr:uid="{0F22BCD2-C7CF-40A1-8C05-0F84D15D3AD3}">
      <text>
        <r>
          <rPr>
            <b/>
            <sz val="9"/>
            <color indexed="81"/>
            <rFont val="Tahoma"/>
            <family val="2"/>
          </rPr>
          <t xml:space="preserve"> Alok :name
</t>
        </r>
        <r>
          <rPr>
            <sz val="9"/>
            <color indexed="81"/>
            <rFont val="Tahoma"/>
            <family val="2"/>
          </rPr>
          <t>vgadm</t>
        </r>
      </text>
    </comment>
    <comment ref="L20" authorId="1" shapeId="0" xr:uid="{1B681623-8F2D-41C0-97AC-875A9F87C927}">
      <text>
        <r>
          <rPr>
            <b/>
            <sz val="9"/>
            <color indexed="81"/>
            <rFont val="Tahoma"/>
            <family val="2"/>
          </rPr>
          <t>jarmylly:</t>
        </r>
        <r>
          <rPr>
            <sz val="9"/>
            <color indexed="81"/>
            <rFont val="Tahoma"/>
            <family val="2"/>
          </rPr>
          <t xml:space="preserve">
Image name: netact_rhel_base</t>
        </r>
      </text>
    </comment>
    <comment ref="L21" authorId="1" shapeId="0" xr:uid="{DF0A764B-9E05-48E2-B117-6D392094CAEF}">
      <text>
        <r>
          <rPr>
            <b/>
            <sz val="9"/>
            <color indexed="81"/>
            <rFont val="Tahoma"/>
            <family val="2"/>
          </rPr>
          <t>jarmylly:</t>
        </r>
        <r>
          <rPr>
            <sz val="9"/>
            <color indexed="81"/>
            <rFont val="Tahoma"/>
            <family val="2"/>
          </rPr>
          <t xml:space="preserve">
Image name: netact_rhel_base</t>
        </r>
      </text>
    </comment>
    <comment ref="L22" authorId="1" shapeId="0" xr:uid="{683051BB-F572-4024-B3E4-65D37BA2BED6}">
      <text>
        <r>
          <rPr>
            <b/>
            <sz val="9"/>
            <color indexed="81"/>
            <rFont val="Tahoma"/>
            <family val="2"/>
          </rPr>
          <t>jarmylly:</t>
        </r>
        <r>
          <rPr>
            <sz val="9"/>
            <color indexed="81"/>
            <rFont val="Tahoma"/>
            <family val="2"/>
          </rPr>
          <t xml:space="preserve">
Image name: netact_rhel_base</t>
        </r>
      </text>
    </comment>
    <comment ref="L23" authorId="1" shapeId="0" xr:uid="{7B58C229-9F84-42FD-9ACD-779183396FAB}">
      <text>
        <r>
          <rPr>
            <b/>
            <sz val="9"/>
            <color indexed="81"/>
            <rFont val="Tahoma"/>
            <family val="2"/>
          </rPr>
          <t>jarmylly:</t>
        </r>
        <r>
          <rPr>
            <sz val="9"/>
            <color indexed="81"/>
            <rFont val="Tahoma"/>
            <family val="2"/>
          </rPr>
          <t xml:space="preserve">
Image name: netact_rhel_base</t>
        </r>
      </text>
    </comment>
    <comment ref="AV23" authorId="2" shapeId="0" xr:uid="{2408546D-ABAE-4522-973C-23ED7637AAAB}">
      <text>
        <r>
          <rPr>
            <b/>
            <sz val="9"/>
            <color indexed="81"/>
            <rFont val="Tahoma"/>
            <family val="2"/>
          </rPr>
          <t>Thippeswamy, Suresh (Nokia - IN/Bangalore):</t>
        </r>
        <r>
          <rPr>
            <sz val="9"/>
            <color indexed="81"/>
            <rFont val="Tahoma"/>
            <family val="2"/>
          </rPr>
          <t xml:space="preserve">
Image name: vgisdk</t>
        </r>
      </text>
    </comment>
    <comment ref="BM23" authorId="2" shapeId="0" xr:uid="{9EFC0E30-11FB-4DA0-A563-90B73682FD63}">
      <text>
        <r>
          <rPr>
            <b/>
            <sz val="9"/>
            <color indexed="81"/>
            <rFont val="Tahoma"/>
            <family val="2"/>
          </rPr>
          <t>Thippeswamy, Suresh (Nokia - IN/Bangalore):</t>
        </r>
        <r>
          <rPr>
            <sz val="9"/>
            <color indexed="81"/>
            <rFont val="Tahoma"/>
            <family val="2"/>
          </rPr>
          <t xml:space="preserve">
CRSR-227: Changed to 3 from 2</t>
        </r>
      </text>
    </comment>
    <comment ref="L24" authorId="1" shapeId="0" xr:uid="{415E2019-7DFD-4BF9-A720-9355A03DCD70}">
      <text>
        <r>
          <rPr>
            <b/>
            <sz val="9"/>
            <color indexed="81"/>
            <rFont val="Tahoma"/>
            <family val="2"/>
          </rPr>
          <t>jarmylly:</t>
        </r>
        <r>
          <rPr>
            <sz val="9"/>
            <color indexed="81"/>
            <rFont val="Tahoma"/>
            <family val="2"/>
          </rPr>
          <t xml:space="preserve">
Image name: netact_rhel_base</t>
        </r>
      </text>
    </comment>
    <comment ref="AV24" authorId="2" shapeId="0" xr:uid="{980CF909-8274-4FEA-9DCB-CA5CF6212474}">
      <text>
        <r>
          <rPr>
            <b/>
            <sz val="9"/>
            <color indexed="81"/>
            <rFont val="Tahoma"/>
            <family val="2"/>
          </rPr>
          <t>Thippeswamy, Suresh (Nokia - IN/Bangalore):</t>
        </r>
        <r>
          <rPr>
            <sz val="9"/>
            <color indexed="81"/>
            <rFont val="Tahoma"/>
            <family val="2"/>
          </rPr>
          <t xml:space="preserve">
Image name: vgisdk</t>
        </r>
      </text>
    </comment>
    <comment ref="BM24" authorId="2" shapeId="0" xr:uid="{944EC953-3433-4239-BE70-68DCF256EF83}">
      <text>
        <r>
          <rPr>
            <b/>
            <sz val="9"/>
            <color indexed="81"/>
            <rFont val="Tahoma"/>
            <family val="2"/>
          </rPr>
          <t>Thippeswamy, Suresh (Nokia - IN/Bangalore):</t>
        </r>
        <r>
          <rPr>
            <sz val="9"/>
            <color indexed="81"/>
            <rFont val="Tahoma"/>
            <family val="2"/>
          </rPr>
          <t xml:space="preserve">
CRSR-227: Changed to 3 from 2</t>
        </r>
      </text>
    </comment>
    <comment ref="L25" authorId="1" shapeId="0" xr:uid="{29D0E181-7A9F-4D2D-9156-1B310955AFA0}">
      <text>
        <r>
          <rPr>
            <b/>
            <sz val="9"/>
            <color indexed="81"/>
            <rFont val="Tahoma"/>
            <family val="2"/>
          </rPr>
          <t>jarmylly:</t>
        </r>
        <r>
          <rPr>
            <sz val="9"/>
            <color indexed="81"/>
            <rFont val="Tahoma"/>
            <family val="2"/>
          </rPr>
          <t xml:space="preserve">
Image name: netact_rhel_base</t>
        </r>
      </text>
    </comment>
    <comment ref="L26" authorId="1" shapeId="0" xr:uid="{FC126061-E9F1-462C-8416-3791FD7AD405}">
      <text>
        <r>
          <rPr>
            <b/>
            <sz val="9"/>
            <color indexed="81"/>
            <rFont val="Tahoma"/>
            <family val="2"/>
          </rPr>
          <t>jarmylly:</t>
        </r>
        <r>
          <rPr>
            <sz val="9"/>
            <color indexed="81"/>
            <rFont val="Tahoma"/>
            <family val="2"/>
          </rPr>
          <t xml:space="preserve">
Image name: netact_rhel_base</t>
        </r>
      </text>
    </comment>
    <comment ref="L27" authorId="1" shapeId="0" xr:uid="{0F64C8A7-F7B9-4B88-B34F-AEF2AC7035B8}">
      <text>
        <r>
          <rPr>
            <b/>
            <sz val="9"/>
            <color indexed="81"/>
            <rFont val="Tahoma"/>
            <family val="2"/>
          </rPr>
          <t>jarmylly:</t>
        </r>
        <r>
          <rPr>
            <sz val="9"/>
            <color indexed="81"/>
            <rFont val="Tahoma"/>
            <family val="2"/>
          </rPr>
          <t xml:space="preserve">
Image name: netact_rhel_base</t>
        </r>
      </text>
    </comment>
    <comment ref="L28" authorId="1" shapeId="0" xr:uid="{C3B34CC4-F593-4079-8778-F4DA4F88CD9D}">
      <text>
        <r>
          <rPr>
            <b/>
            <sz val="9"/>
            <color indexed="81"/>
            <rFont val="Tahoma"/>
            <family val="2"/>
          </rPr>
          <t>jarmylly:</t>
        </r>
        <r>
          <rPr>
            <sz val="9"/>
            <color indexed="81"/>
            <rFont val="Tahoma"/>
            <family val="2"/>
          </rPr>
          <t xml:space="preserve">
Image name: netact_rhel_base</t>
        </r>
      </text>
    </comment>
    <comment ref="L29" authorId="1" shapeId="0" xr:uid="{D685FD86-15C4-4B89-8D22-65FA7DCB468A}">
      <text>
        <r>
          <rPr>
            <b/>
            <sz val="9"/>
            <color indexed="81"/>
            <rFont val="Tahoma"/>
            <family val="2"/>
          </rPr>
          <t>jarmylly:</t>
        </r>
        <r>
          <rPr>
            <sz val="9"/>
            <color indexed="81"/>
            <rFont val="Tahoma"/>
            <family val="2"/>
          </rPr>
          <t xml:space="preserve">
Image name: netact_rhel_base</t>
        </r>
      </text>
    </comment>
    <comment ref="L30" authorId="1" shapeId="0" xr:uid="{09956501-7496-46E5-824D-12384698B8DF}">
      <text>
        <r>
          <rPr>
            <b/>
            <sz val="9"/>
            <color indexed="81"/>
            <rFont val="Tahoma"/>
            <family val="2"/>
          </rPr>
          <t>jarmylly:</t>
        </r>
        <r>
          <rPr>
            <sz val="9"/>
            <color indexed="81"/>
            <rFont val="Tahoma"/>
            <family val="2"/>
          </rPr>
          <t xml:space="preserve">
Image name: netact_rhel_base</t>
        </r>
      </text>
    </comment>
    <comment ref="L31" authorId="1" shapeId="0" xr:uid="{8933EC38-60DC-4BCC-963A-3035ECDA9815}">
      <text>
        <r>
          <rPr>
            <b/>
            <sz val="9"/>
            <color indexed="81"/>
            <rFont val="Tahoma"/>
            <family val="2"/>
          </rPr>
          <t>jarmylly:</t>
        </r>
        <r>
          <rPr>
            <sz val="9"/>
            <color indexed="81"/>
            <rFont val="Tahoma"/>
            <family val="2"/>
          </rPr>
          <t xml:space="preserve">
Image name: netact_rhel_base</t>
        </r>
      </text>
    </comment>
    <comment ref="L32" authorId="1" shapeId="0" xr:uid="{13B1FF94-B39A-49B7-B19E-1A437B115950}">
      <text>
        <r>
          <rPr>
            <b/>
            <sz val="9"/>
            <color indexed="81"/>
            <rFont val="Tahoma"/>
            <family val="2"/>
          </rPr>
          <t>jarmylly:</t>
        </r>
        <r>
          <rPr>
            <sz val="9"/>
            <color indexed="81"/>
            <rFont val="Tahoma"/>
            <family val="2"/>
          </rPr>
          <t xml:space="preserve">
Image name: netact_rhel_base</t>
        </r>
      </text>
    </comment>
    <comment ref="L33" authorId="1" shapeId="0" xr:uid="{6C23A051-6D4E-42A8-89D8-51FB3E553A8A}">
      <text>
        <r>
          <rPr>
            <b/>
            <sz val="9"/>
            <color indexed="81"/>
            <rFont val="Tahoma"/>
            <family val="2"/>
          </rPr>
          <t>jarmylly:</t>
        </r>
        <r>
          <rPr>
            <sz val="9"/>
            <color indexed="81"/>
            <rFont val="Tahoma"/>
            <family val="2"/>
          </rPr>
          <t xml:space="preserve">
Image name: netact_rhel_base</t>
        </r>
      </text>
    </comment>
    <comment ref="L34" authorId="1" shapeId="0" xr:uid="{CA26E17F-B75D-4F70-AE5C-CED77786AE5E}">
      <text>
        <r>
          <rPr>
            <b/>
            <sz val="9"/>
            <color indexed="81"/>
            <rFont val="Tahoma"/>
            <family val="2"/>
          </rPr>
          <t>jarmylly:</t>
        </r>
        <r>
          <rPr>
            <sz val="9"/>
            <color indexed="81"/>
            <rFont val="Tahoma"/>
            <family val="2"/>
          </rPr>
          <t xml:space="preserve">
Image name: netact_rhel_base</t>
        </r>
      </text>
    </comment>
    <comment ref="H35" authorId="1" shapeId="0" xr:uid="{E2D307F4-A6F4-48BD-9F97-AD5792BF4005}">
      <text>
        <r>
          <rPr>
            <b/>
            <sz val="9"/>
            <color indexed="81"/>
            <rFont val="Tahoma"/>
            <family val="2"/>
          </rPr>
          <t>jarmylly:</t>
        </r>
        <r>
          <rPr>
            <sz val="9"/>
            <color indexed="81"/>
            <rFont val="Tahoma"/>
            <family val="2"/>
          </rPr>
          <t xml:space="preserve">
Contains two disks:
- Disk-1: 60GB
- Disk-2: 40GB</t>
        </r>
      </text>
    </comment>
    <comment ref="L35" authorId="1" shapeId="0" xr:uid="{E2BAC230-B065-46BC-875D-E6ABDD9C5786}">
      <text>
        <r>
          <rPr>
            <b/>
            <sz val="9"/>
            <color indexed="81"/>
            <rFont val="Tahoma"/>
            <family val="2"/>
          </rPr>
          <t>jarmylly:</t>
        </r>
        <r>
          <rPr>
            <sz val="9"/>
            <color indexed="81"/>
            <rFont val="Tahoma"/>
            <family val="2"/>
          </rPr>
          <t xml:space="preserve">
Image name: 
- NMS_DC_disk1
- NMS_DC_disk2
- cdrom_nms</t>
        </r>
      </text>
    </comment>
    <comment ref="H36" authorId="1" shapeId="0" xr:uid="{B0CE9449-09F0-4DEE-8181-B56B9B6B7C78}">
      <text>
        <r>
          <rPr>
            <b/>
            <sz val="9"/>
            <color indexed="81"/>
            <rFont val="Tahoma"/>
            <family val="2"/>
          </rPr>
          <t>jarmylly:</t>
        </r>
        <r>
          <rPr>
            <sz val="9"/>
            <color indexed="81"/>
            <rFont val="Tahoma"/>
            <family val="2"/>
          </rPr>
          <t xml:space="preserve">
Contains two disks:
- Disk-1: 60GB
- Disk-2: 40GB</t>
        </r>
      </text>
    </comment>
    <comment ref="L36" authorId="1" shapeId="0" xr:uid="{ECC2BB6A-4374-428C-86C5-C87656F15B10}">
      <text>
        <r>
          <rPr>
            <b/>
            <sz val="9"/>
            <color indexed="81"/>
            <rFont val="Tahoma"/>
            <family val="2"/>
          </rPr>
          <t>jarmylly:</t>
        </r>
        <r>
          <rPr>
            <sz val="9"/>
            <color indexed="81"/>
            <rFont val="Tahoma"/>
            <family val="2"/>
          </rPr>
          <t xml:space="preserve">
Image name:
- NMS_VDA_disk1
- NMS_VDA_disk2</t>
        </r>
      </text>
    </comment>
    <comment ref="H37" authorId="1" shapeId="0" xr:uid="{D41B745B-E193-4C83-A925-371388DA9829}">
      <text>
        <r>
          <rPr>
            <b/>
            <sz val="9"/>
            <color indexed="81"/>
            <rFont val="Tahoma"/>
            <family val="2"/>
          </rPr>
          <t>jarmylly:</t>
        </r>
        <r>
          <rPr>
            <sz val="9"/>
            <color indexed="81"/>
            <rFont val="Tahoma"/>
            <family val="2"/>
          </rPr>
          <t xml:space="preserve">
Contains two disks:
- Disk-1: 80GB
- Disk-2: 40GB</t>
        </r>
      </text>
    </comment>
    <comment ref="L37" authorId="1" shapeId="0" xr:uid="{C8C7714E-4317-4E2C-8CA8-E714FEE13429}">
      <text>
        <r>
          <rPr>
            <b/>
            <sz val="9"/>
            <color indexed="81"/>
            <rFont val="Tahoma"/>
            <family val="2"/>
          </rPr>
          <t>jarmylly:</t>
        </r>
        <r>
          <rPr>
            <sz val="9"/>
            <color indexed="81"/>
            <rFont val="Tahoma"/>
            <family val="2"/>
          </rPr>
          <t xml:space="preserve">
Image name:
- NMS_CTXDC_disk1
- NMS_CTXDC_disk2
- cdrom_nms</t>
        </r>
      </text>
    </comment>
    <comment ref="L38" authorId="1" shapeId="0" xr:uid="{01CF9132-B6F2-42B3-8D09-83FB80BF4D61}">
      <text>
        <r>
          <rPr>
            <b/>
            <sz val="9"/>
            <color indexed="81"/>
            <rFont val="Tahoma"/>
            <family val="2"/>
          </rPr>
          <t>jarmylly:</t>
        </r>
        <r>
          <rPr>
            <sz val="9"/>
            <color indexed="81"/>
            <rFont val="Tahoma"/>
            <family val="2"/>
          </rPr>
          <t xml:space="preserve">
Image name: netact_rhel_base</t>
        </r>
      </text>
    </comment>
    <comment ref="AN38" authorId="1" shapeId="0" xr:uid="{93DFFB37-9A3A-4529-8045-24E791F7BC08}">
      <text>
        <r>
          <rPr>
            <b/>
            <sz val="9"/>
            <color indexed="81"/>
            <rFont val="Tahoma"/>
            <family val="2"/>
          </rPr>
          <t>jarmylly:</t>
        </r>
        <r>
          <rPr>
            <sz val="9"/>
            <color indexed="81"/>
            <rFont val="Tahoma"/>
            <family val="2"/>
          </rPr>
          <t xml:space="preserve">
Image name: vgrep</t>
        </r>
      </text>
    </comment>
    <comment ref="L39" authorId="1" shapeId="0" xr:uid="{ED7F310C-132C-4831-B6F7-106A39DBB0CB}">
      <text>
        <r>
          <rPr>
            <b/>
            <sz val="9"/>
            <color indexed="81"/>
            <rFont val="Tahoma"/>
            <family val="2"/>
          </rPr>
          <t>jarmylly:</t>
        </r>
        <r>
          <rPr>
            <sz val="9"/>
            <color indexed="81"/>
            <rFont val="Tahoma"/>
            <family val="2"/>
          </rPr>
          <t xml:space="preserve">
Image name: netact_rhel_base</t>
        </r>
      </text>
    </comment>
    <comment ref="AN39" authorId="1" shapeId="0" xr:uid="{153B7588-CDDD-44A3-84BF-3E025B6D85BD}">
      <text>
        <r>
          <rPr>
            <b/>
            <sz val="9"/>
            <color indexed="81"/>
            <rFont val="Tahoma"/>
            <family val="2"/>
          </rPr>
          <t>jarmylly:</t>
        </r>
        <r>
          <rPr>
            <sz val="9"/>
            <color indexed="81"/>
            <rFont val="Tahoma"/>
            <family val="2"/>
          </rPr>
          <t xml:space="preserve">
Image name: vgrep</t>
        </r>
      </text>
    </comment>
    <comment ref="L40" authorId="1" shapeId="0" xr:uid="{2BFAF6DC-B2C2-4B3A-B507-E001F7E5B26D}">
      <text>
        <r>
          <rPr>
            <b/>
            <sz val="9"/>
            <color indexed="81"/>
            <rFont val="Tahoma"/>
            <family val="2"/>
          </rPr>
          <t>jarmylly:</t>
        </r>
        <r>
          <rPr>
            <sz val="9"/>
            <color indexed="81"/>
            <rFont val="Tahoma"/>
            <family val="2"/>
          </rPr>
          <t xml:space="preserve">
Image name: netact_rhel_base</t>
        </r>
      </text>
    </comment>
    <comment ref="AN40" authorId="1" shapeId="0" xr:uid="{50070815-FD67-44BF-88E7-1C0DFDDF9EF1}">
      <text>
        <r>
          <rPr>
            <b/>
            <sz val="9"/>
            <color indexed="81"/>
            <rFont val="Tahoma"/>
            <family val="2"/>
          </rPr>
          <t>jarmylly:</t>
        </r>
        <r>
          <rPr>
            <sz val="9"/>
            <color indexed="81"/>
            <rFont val="Tahoma"/>
            <family val="2"/>
          </rPr>
          <t xml:space="preserve">
Image name: vgrep</t>
        </r>
      </text>
    </comment>
    <comment ref="L41" authorId="1" shapeId="0" xr:uid="{847AC760-0115-425B-B9CE-E95B0C2D7F47}">
      <text>
        <r>
          <rPr>
            <b/>
            <sz val="9"/>
            <color indexed="81"/>
            <rFont val="Tahoma"/>
            <family val="2"/>
          </rPr>
          <t>jarmylly:</t>
        </r>
        <r>
          <rPr>
            <sz val="9"/>
            <color indexed="81"/>
            <rFont val="Tahoma"/>
            <family val="2"/>
          </rPr>
          <t xml:space="preserve">
Image name: netact_rhel_base</t>
        </r>
      </text>
    </comment>
    <comment ref="AN41" authorId="1" shapeId="0" xr:uid="{E9DEC468-BFF8-4058-9636-D7A7124F713B}">
      <text>
        <r>
          <rPr>
            <b/>
            <sz val="9"/>
            <color indexed="81"/>
            <rFont val="Tahoma"/>
            <family val="2"/>
          </rPr>
          <t>jarmylly:</t>
        </r>
        <r>
          <rPr>
            <sz val="9"/>
            <color indexed="81"/>
            <rFont val="Tahoma"/>
            <family val="2"/>
          </rPr>
          <t xml:space="preserve">
Image name: vgrep</t>
        </r>
      </text>
    </comment>
    <comment ref="L42" authorId="1" shapeId="0" xr:uid="{937D4024-4D4F-438A-BD51-3F9558608118}">
      <text>
        <r>
          <rPr>
            <b/>
            <sz val="9"/>
            <color indexed="81"/>
            <rFont val="Tahoma"/>
            <family val="2"/>
          </rPr>
          <t>jarmylly:</t>
        </r>
        <r>
          <rPr>
            <sz val="9"/>
            <color indexed="81"/>
            <rFont val="Tahoma"/>
            <family val="2"/>
          </rPr>
          <t xml:space="preserve">
Image name: netact_rhel_base</t>
        </r>
      </text>
    </comment>
    <comment ref="L43" authorId="1" shapeId="0" xr:uid="{53CB9EE0-294E-42C8-8024-963FF4EA9BE9}">
      <text>
        <r>
          <rPr>
            <b/>
            <sz val="9"/>
            <color indexed="81"/>
            <rFont val="Tahoma"/>
            <family val="2"/>
          </rPr>
          <t>jarmylly:</t>
        </r>
        <r>
          <rPr>
            <sz val="9"/>
            <color indexed="81"/>
            <rFont val="Tahoma"/>
            <family val="2"/>
          </rPr>
          <t xml:space="preserve">
Image name: netact_rhel_base</t>
        </r>
      </text>
    </comment>
    <comment ref="L44" authorId="1" shapeId="0" xr:uid="{8A3CA5D1-4FAA-480C-8E3B-199060277FB2}">
      <text>
        <r>
          <rPr>
            <b/>
            <sz val="9"/>
            <color indexed="81"/>
            <rFont val="Tahoma"/>
            <family val="2"/>
          </rPr>
          <t>jarmylly:</t>
        </r>
        <r>
          <rPr>
            <sz val="9"/>
            <color indexed="81"/>
            <rFont val="Tahoma"/>
            <family val="2"/>
          </rPr>
          <t xml:space="preserve">
Image name: netact_rhel_base</t>
        </r>
      </text>
    </comment>
    <comment ref="BD44" authorId="0" shapeId="0" xr:uid="{050CF44A-A7BD-41BB-B127-47B027B50FCF}">
      <text>
        <r>
          <rPr>
            <b/>
            <sz val="9"/>
            <color indexed="81"/>
            <rFont val="Tahoma"/>
            <family val="2"/>
          </rPr>
          <t>Avuthu, Charan (EXT - IN/Bangalore):</t>
        </r>
        <r>
          <rPr>
            <sz val="9"/>
            <color indexed="81"/>
            <rFont val="Tahoma"/>
            <family val="2"/>
          </rPr>
          <t xml:space="preserve">
Image Name: vgkafka</t>
        </r>
      </text>
    </comment>
    <comment ref="L45" authorId="0" shapeId="0" xr:uid="{8F5BD973-09BF-46DE-B243-0551991E5259}">
      <text>
        <r>
          <rPr>
            <b/>
            <sz val="9"/>
            <color indexed="81"/>
            <rFont val="Tahoma"/>
            <family val="2"/>
          </rPr>
          <t>Avuthu, Charan (EXT - IN/Bangalore):</t>
        </r>
        <r>
          <rPr>
            <sz val="9"/>
            <color indexed="81"/>
            <rFont val="Tahoma"/>
            <family val="2"/>
          </rPr>
          <t xml:space="preserve">
Image name: netact_rhel_base</t>
        </r>
      </text>
    </comment>
    <comment ref="BD45" authorId="0" shapeId="0" xr:uid="{77F5802C-7818-46C2-A328-C29CF9DDED82}">
      <text>
        <r>
          <rPr>
            <b/>
            <sz val="9"/>
            <color indexed="81"/>
            <rFont val="Tahoma"/>
            <family val="2"/>
          </rPr>
          <t>Avuthu, Charan (EXT - IN/Bangalore):</t>
        </r>
        <r>
          <rPr>
            <sz val="9"/>
            <color indexed="81"/>
            <rFont val="Tahoma"/>
            <family val="2"/>
          </rPr>
          <t xml:space="preserve">
Image Name:vgkafka</t>
        </r>
      </text>
    </comment>
    <comment ref="L46" authorId="0" shapeId="0" xr:uid="{64AC956A-DB54-483B-AB13-A2B532362F7F}">
      <text>
        <r>
          <rPr>
            <b/>
            <sz val="9"/>
            <color indexed="81"/>
            <rFont val="Tahoma"/>
            <family val="2"/>
          </rPr>
          <t>Avuthu, Charan (EXT - IN/Bangalore):</t>
        </r>
        <r>
          <rPr>
            <sz val="9"/>
            <color indexed="81"/>
            <rFont val="Tahoma"/>
            <family val="2"/>
          </rPr>
          <t xml:space="preserve">
Image name: netact_rhel_base</t>
        </r>
      </text>
    </comment>
    <comment ref="BD46" authorId="0" shapeId="0" xr:uid="{58B1EDF4-62AC-47D5-8F45-F5796D97CE80}">
      <text>
        <r>
          <rPr>
            <b/>
            <sz val="9"/>
            <color indexed="81"/>
            <rFont val="Tahoma"/>
            <family val="2"/>
          </rPr>
          <t>Avuthu, Charan (EXT - IN/Bangalore):</t>
        </r>
        <r>
          <rPr>
            <sz val="9"/>
            <color indexed="81"/>
            <rFont val="Tahoma"/>
            <family val="2"/>
          </rPr>
          <t xml:space="preserve">
Image Name:vgkafka</t>
        </r>
      </text>
    </comment>
    <comment ref="BU47" authorId="1" shapeId="0" xr:uid="{62699E94-648F-41A0-A7B4-092765F4944B}">
      <text>
        <r>
          <rPr>
            <b/>
            <sz val="9"/>
            <color indexed="81"/>
            <rFont val="Tahoma"/>
            <family val="2"/>
          </rPr>
          <t>jarmylly:</t>
        </r>
        <r>
          <rPr>
            <sz val="9"/>
            <color indexed="81"/>
            <rFont val="Tahoma"/>
            <family val="2"/>
          </rPr>
          <t xml:space="preserve">
IPv4: 3
IPv4/IPv6: 5</t>
        </r>
      </text>
    </comment>
    <comment ref="AG49" authorId="4" shapeId="0" xr:uid="{97E5D2D0-F6D5-481C-AEAF-F6CB89BD5E27}">
      <text>
        <r>
          <rPr>
            <b/>
            <sz val="9"/>
            <color indexed="81"/>
            <rFont val="Tahoma"/>
            <family val="2"/>
          </rPr>
          <t>Jayashree Sundaresan (Nokia):</t>
        </r>
        <r>
          <rPr>
            <sz val="9"/>
            <color indexed="81"/>
            <rFont val="Tahoma"/>
            <family val="2"/>
          </rPr>
          <t xml:space="preserve">
Contains one disk:
- backup_disk1: 204800 MB</t>
        </r>
      </text>
    </comment>
    <comment ref="BL49" authorId="4" shapeId="0" xr:uid="{75BBB7B9-D3FE-4B48-BF28-FB0387A59266}">
      <text>
        <r>
          <rPr>
            <b/>
            <sz val="9"/>
            <color indexed="81"/>
            <rFont val="Tahoma"/>
            <family val="2"/>
          </rPr>
          <t>Jayashree Sundaresan (Nokia):</t>
        </r>
        <r>
          <rPr>
            <sz val="9"/>
            <color indexed="81"/>
            <rFont val="Tahoma"/>
            <family val="2"/>
          </rPr>
          <t xml:space="preserve">
Image Name:vgniv</t>
        </r>
      </text>
    </comment>
    <comment ref="Y51" authorId="3" shapeId="0" xr:uid="{B27984B5-F211-4594-85B8-ACAE81962526}">
      <text>
        <r>
          <rPr>
            <b/>
            <sz val="9"/>
            <color indexed="81"/>
            <rFont val="Tahoma"/>
            <family val="2"/>
          </rPr>
          <t>Rastogi, Alok (Nokia - IN/Bangalore):</t>
        </r>
        <r>
          <rPr>
            <sz val="9"/>
            <color indexed="81"/>
            <rFont val="Tahoma"/>
            <family val="2"/>
          </rPr>
          <t xml:space="preserve">
Increase for NFSGlobal disk on VM#5 by 120GB
- NFS global (If LCM chosen as optional service on Compute1): 840670 MB</t>
        </r>
      </text>
    </comment>
    <comment ref="AG51" authorId="0" shapeId="0" xr:uid="{850D86AB-FD26-4205-9D74-28A05E68B865}">
      <text>
        <r>
          <rPr>
            <b/>
            <sz val="9"/>
            <color indexed="81"/>
            <rFont val="Tahoma"/>
            <family val="2"/>
          </rPr>
          <t>Avuthu, Charan (EXT - IN/Bangalore):</t>
        </r>
        <r>
          <rPr>
            <sz val="9"/>
            <color indexed="81"/>
            <rFont val="Tahoma"/>
            <family val="2"/>
          </rPr>
          <t xml:space="preserve">
-Increase by additional 320GB, If LCM+CCR chosen as optional service on Compute1
(200GB increase for backup_disk on VM#150, 120GB increase on Backup disk on VM#5)</t>
        </r>
      </text>
    </comment>
    <comment ref="AZ51" authorId="0" shapeId="0" xr:uid="{2FA3DE8E-6132-44D7-BBFC-03A370671288}">
      <text>
        <r>
          <rPr>
            <b/>
            <sz val="9"/>
            <color indexed="81"/>
            <rFont val="Tahoma"/>
            <family val="2"/>
          </rPr>
          <t>Avuthu, Charan (EXT - IN/Bangalore):</t>
        </r>
        <r>
          <rPr>
            <sz val="9"/>
            <color indexed="81"/>
            <rFont val="Tahoma"/>
            <family val="2"/>
          </rPr>
          <t xml:space="preserve">
Image Name:vgccr</t>
        </r>
      </text>
    </comment>
    <comment ref="BU53" authorId="1" shapeId="0" xr:uid="{16E5094E-7D70-49B6-A494-D03217F5B624}">
      <text>
        <r>
          <rPr>
            <b/>
            <sz val="9"/>
            <color indexed="81"/>
            <rFont val="Tahoma"/>
            <family val="2"/>
          </rPr>
          <t>jarmylly:</t>
        </r>
        <r>
          <rPr>
            <sz val="9"/>
            <color indexed="81"/>
            <rFont val="Tahoma"/>
            <family val="2"/>
          </rPr>
          <t xml:space="preserve">
IPv4: 3
IPv4/IPv6: 5</t>
        </r>
      </text>
    </comment>
    <comment ref="L57" authorId="1" shapeId="0" xr:uid="{8EC6162B-DD22-4596-A9DB-BC7A8A8C21F4}">
      <text>
        <r>
          <rPr>
            <b/>
            <sz val="9"/>
            <color indexed="81"/>
            <rFont val="Tahoma"/>
            <family val="2"/>
          </rPr>
          <t>jarmylly:</t>
        </r>
        <r>
          <rPr>
            <sz val="9"/>
            <color indexed="81"/>
            <rFont val="Tahoma"/>
            <family val="2"/>
          </rPr>
          <t xml:space="preserve">
Image name: netact_rhel_base</t>
        </r>
      </text>
    </comment>
    <comment ref="H58" authorId="1" shapeId="0" xr:uid="{E44DFE34-D8BA-4524-A3AF-51D8098D1201}">
      <text>
        <r>
          <rPr>
            <b/>
            <sz val="9"/>
            <color indexed="81"/>
            <rFont val="Tahoma"/>
            <family val="2"/>
          </rPr>
          <t>jarmylly:</t>
        </r>
        <r>
          <rPr>
            <sz val="9"/>
            <color indexed="81"/>
            <rFont val="Tahoma"/>
            <family val="2"/>
          </rPr>
          <t xml:space="preserve">
Contains two disks:
- Disk-1: 60GB
- Disk-2: 40GB</t>
        </r>
      </text>
    </comment>
    <comment ref="L58" authorId="1" shapeId="0" xr:uid="{87394541-B8CA-428B-883A-47DF983C5B68}">
      <text>
        <r>
          <rPr>
            <b/>
            <sz val="9"/>
            <color indexed="81"/>
            <rFont val="Tahoma"/>
            <family val="2"/>
          </rPr>
          <t>jarmylly:</t>
        </r>
        <r>
          <rPr>
            <sz val="9"/>
            <color indexed="81"/>
            <rFont val="Tahoma"/>
            <family val="2"/>
          </rPr>
          <t xml:space="preserve">
Image name:
- NMS_CTXDC_disk1
- NMS_CTXDC_disk2
- cdrom_nms</t>
        </r>
      </text>
    </comment>
    <comment ref="H59" authorId="1" shapeId="0" xr:uid="{A433F381-83D5-41F5-A547-20FBEE6F0DDC}">
      <text>
        <r>
          <rPr>
            <b/>
            <sz val="9"/>
            <color indexed="81"/>
            <rFont val="Tahoma"/>
            <family val="2"/>
          </rPr>
          <t>jarmylly:</t>
        </r>
        <r>
          <rPr>
            <sz val="9"/>
            <color indexed="81"/>
            <rFont val="Tahoma"/>
            <family val="2"/>
          </rPr>
          <t xml:space="preserve">
Contains two disks:
- Disk-1: 60GB
- Disk-2: 40GB</t>
        </r>
      </text>
    </comment>
    <comment ref="L59" authorId="1" shapeId="0" xr:uid="{640928F7-30EE-4A31-9468-3486B629C09C}">
      <text>
        <r>
          <rPr>
            <b/>
            <sz val="9"/>
            <color indexed="81"/>
            <rFont val="Tahoma"/>
            <family val="2"/>
          </rPr>
          <t>jarmylly:</t>
        </r>
        <r>
          <rPr>
            <sz val="9"/>
            <color indexed="81"/>
            <rFont val="Tahoma"/>
            <family val="2"/>
          </rPr>
          <t xml:space="preserve">
Image name:
- NMS_VDA_disk1
- NMS_VDA_disk2</t>
        </r>
      </text>
    </comment>
    <comment ref="H60" authorId="1" shapeId="0" xr:uid="{3ED029DE-7381-40D5-B092-3BFA3B1ADAAA}">
      <text>
        <r>
          <rPr>
            <b/>
            <sz val="9"/>
            <color indexed="81"/>
            <rFont val="Tahoma"/>
            <family val="2"/>
          </rPr>
          <t>jarmylly:</t>
        </r>
        <r>
          <rPr>
            <sz val="9"/>
            <color indexed="81"/>
            <rFont val="Tahoma"/>
            <family val="2"/>
          </rPr>
          <t xml:space="preserve">
Contains two disks:
- Disk-1: 60GB
- Disk-2: 40GB</t>
        </r>
      </text>
    </comment>
    <comment ref="L60" authorId="1" shapeId="0" xr:uid="{565C3A12-801E-49CD-B5B7-28C2C36B0687}">
      <text>
        <r>
          <rPr>
            <b/>
            <sz val="9"/>
            <color indexed="81"/>
            <rFont val="Tahoma"/>
            <family val="2"/>
          </rPr>
          <t>jarmylly:</t>
        </r>
        <r>
          <rPr>
            <sz val="9"/>
            <color indexed="81"/>
            <rFont val="Tahoma"/>
            <family val="2"/>
          </rPr>
          <t xml:space="preserve">
Image name:
- NMS_VDA_disk1
- NMS_VDA_disk2</t>
        </r>
      </text>
    </comment>
    <comment ref="H61" authorId="1" shapeId="0" xr:uid="{97B75BFA-1925-425E-91F5-76BD9EB34254}">
      <text>
        <r>
          <rPr>
            <b/>
            <sz val="9"/>
            <color indexed="81"/>
            <rFont val="Tahoma"/>
            <family val="2"/>
          </rPr>
          <t>jarmylly:</t>
        </r>
        <r>
          <rPr>
            <sz val="9"/>
            <color indexed="81"/>
            <rFont val="Tahoma"/>
            <family val="2"/>
          </rPr>
          <t xml:space="preserve">
Contains two disks:
- Disk-1: 60GB
- Disk-2: 40GB</t>
        </r>
      </text>
    </comment>
    <comment ref="L61" authorId="1" shapeId="0" xr:uid="{57D4D59D-C509-4F44-A2AD-9F19A464ADE5}">
      <text>
        <r>
          <rPr>
            <b/>
            <sz val="9"/>
            <color indexed="81"/>
            <rFont val="Tahoma"/>
            <family val="2"/>
          </rPr>
          <t>jarmylly:</t>
        </r>
        <r>
          <rPr>
            <sz val="9"/>
            <color indexed="81"/>
            <rFont val="Tahoma"/>
            <family val="2"/>
          </rPr>
          <t xml:space="preserve">
Image name:
- NMS_VDA_disk1
- NMS_VDA_disk2</t>
        </r>
      </text>
    </comment>
    <comment ref="H62" authorId="1" shapeId="0" xr:uid="{8DC6FCE0-1D45-4F6D-B122-66C0CE8D46D2}">
      <text>
        <r>
          <rPr>
            <b/>
            <sz val="9"/>
            <color indexed="81"/>
            <rFont val="Tahoma"/>
            <family val="2"/>
          </rPr>
          <t>jarmylly:</t>
        </r>
        <r>
          <rPr>
            <sz val="9"/>
            <color indexed="81"/>
            <rFont val="Tahoma"/>
            <family val="2"/>
          </rPr>
          <t xml:space="preserve">
Contains two disks:
- Disk-1: 60GB
- Disk-2: 40GB</t>
        </r>
      </text>
    </comment>
    <comment ref="L62" authorId="1" shapeId="0" xr:uid="{B4D8BB44-A503-43B3-BA96-30E0B3E0B0A4}">
      <text>
        <r>
          <rPr>
            <b/>
            <sz val="9"/>
            <color indexed="81"/>
            <rFont val="Tahoma"/>
            <family val="2"/>
          </rPr>
          <t>jarmylly:</t>
        </r>
        <r>
          <rPr>
            <sz val="9"/>
            <color indexed="81"/>
            <rFont val="Tahoma"/>
            <family val="2"/>
          </rPr>
          <t xml:space="preserve">
Image name:
- NMS_VDA_disk1
- NMS_VDA_disk2</t>
        </r>
      </text>
    </comment>
    <comment ref="H63" authorId="1" shapeId="0" xr:uid="{D71D6513-D24D-401B-94FD-C6AC3A9DD392}">
      <text>
        <r>
          <rPr>
            <b/>
            <sz val="9"/>
            <color indexed="81"/>
            <rFont val="Tahoma"/>
            <family val="2"/>
          </rPr>
          <t>jarmylly:</t>
        </r>
        <r>
          <rPr>
            <sz val="9"/>
            <color indexed="81"/>
            <rFont val="Tahoma"/>
            <family val="2"/>
          </rPr>
          <t xml:space="preserve">
Contains two disks:
- Disk-1: 60GB
- Disk-2: 40GB</t>
        </r>
      </text>
    </comment>
    <comment ref="L63" authorId="1" shapeId="0" xr:uid="{2E64EB2F-6751-43B4-A531-A6FB6F527C69}">
      <text>
        <r>
          <rPr>
            <b/>
            <sz val="9"/>
            <color indexed="81"/>
            <rFont val="Tahoma"/>
            <family val="2"/>
          </rPr>
          <t>jarmylly:</t>
        </r>
        <r>
          <rPr>
            <sz val="9"/>
            <color indexed="81"/>
            <rFont val="Tahoma"/>
            <family val="2"/>
          </rPr>
          <t xml:space="preserve">
Image name:
- NMS_VDA_disk1
- NMS_VDA_disk2</t>
        </r>
      </text>
    </comment>
    <comment ref="H64" authorId="1" shapeId="0" xr:uid="{9F751539-8FAD-4A23-83DC-30D8E327EA88}">
      <text>
        <r>
          <rPr>
            <b/>
            <sz val="9"/>
            <color indexed="81"/>
            <rFont val="Tahoma"/>
            <family val="2"/>
          </rPr>
          <t>jarmylly:</t>
        </r>
        <r>
          <rPr>
            <sz val="9"/>
            <color indexed="81"/>
            <rFont val="Tahoma"/>
            <family val="2"/>
          </rPr>
          <t xml:space="preserve">
Contains two disks:
- Disk-1: 60GB
- Disk-2: 40GB</t>
        </r>
      </text>
    </comment>
    <comment ref="L64" authorId="1" shapeId="0" xr:uid="{C36E51F6-F77E-428C-9C0D-187CDDD3651A}">
      <text>
        <r>
          <rPr>
            <b/>
            <sz val="9"/>
            <color indexed="81"/>
            <rFont val="Tahoma"/>
            <family val="2"/>
          </rPr>
          <t>jarmylly:</t>
        </r>
        <r>
          <rPr>
            <sz val="9"/>
            <color indexed="81"/>
            <rFont val="Tahoma"/>
            <family val="2"/>
          </rPr>
          <t xml:space="preserve">
Image name:
- NMS_VDA_disk1
- NMS_VDA_disk2</t>
        </r>
      </text>
    </comment>
    <comment ref="H65" authorId="1" shapeId="0" xr:uid="{E477A082-9CCF-46CD-BAB0-55B8EABE558E}">
      <text>
        <r>
          <rPr>
            <b/>
            <sz val="9"/>
            <color indexed="81"/>
            <rFont val="Tahoma"/>
            <family val="2"/>
          </rPr>
          <t>jarmylly:</t>
        </r>
        <r>
          <rPr>
            <sz val="9"/>
            <color indexed="81"/>
            <rFont val="Tahoma"/>
            <family val="2"/>
          </rPr>
          <t xml:space="preserve">
Contains two disks:
- Disk-1: 60GB
- Disk-2: 40GB</t>
        </r>
      </text>
    </comment>
    <comment ref="L65" authorId="1" shapeId="0" xr:uid="{FE6C528B-59E1-4F16-B2B8-7B07E7DB3F65}">
      <text>
        <r>
          <rPr>
            <b/>
            <sz val="9"/>
            <color indexed="81"/>
            <rFont val="Tahoma"/>
            <family val="2"/>
          </rPr>
          <t>jarmylly:</t>
        </r>
        <r>
          <rPr>
            <sz val="9"/>
            <color indexed="81"/>
            <rFont val="Tahoma"/>
            <family val="2"/>
          </rPr>
          <t xml:space="preserve">
Image name:
- NMS_VDA_disk1
- NMS_VDA_disk2</t>
        </r>
      </text>
    </comment>
    <comment ref="H66" authorId="1" shapeId="0" xr:uid="{717272C1-C3C2-40AA-ADAB-73956703C34D}">
      <text>
        <r>
          <rPr>
            <b/>
            <sz val="9"/>
            <color indexed="81"/>
            <rFont val="Tahoma"/>
            <family val="2"/>
          </rPr>
          <t>jarmylly:</t>
        </r>
        <r>
          <rPr>
            <sz val="9"/>
            <color indexed="81"/>
            <rFont val="Tahoma"/>
            <family val="2"/>
          </rPr>
          <t xml:space="preserve">
Contains two disks:
- Disk-1: 80GB
- Disk-2: 40GB</t>
        </r>
      </text>
    </comment>
    <comment ref="L66" authorId="1" shapeId="0" xr:uid="{ECB77277-6565-4D69-9A10-F91D51AFBE1E}">
      <text>
        <r>
          <rPr>
            <b/>
            <sz val="9"/>
            <color indexed="81"/>
            <rFont val="Tahoma"/>
            <family val="2"/>
          </rPr>
          <t>jarmylly:</t>
        </r>
        <r>
          <rPr>
            <sz val="9"/>
            <color indexed="81"/>
            <rFont val="Tahoma"/>
            <family val="2"/>
          </rPr>
          <t xml:space="preserve">
Image name:
- NMS_CTXDC_disk1
- NMS_CTXDC_disk2
- cdrom_nms</t>
        </r>
      </text>
    </comment>
    <comment ref="H67" authorId="1" shapeId="0" xr:uid="{4684B063-FD5B-4902-922B-D826F53F5F9B}">
      <text>
        <r>
          <rPr>
            <b/>
            <sz val="9"/>
            <color indexed="81"/>
            <rFont val="Tahoma"/>
            <family val="2"/>
          </rPr>
          <t>jarmylly:</t>
        </r>
        <r>
          <rPr>
            <sz val="9"/>
            <color indexed="81"/>
            <rFont val="Tahoma"/>
            <family val="2"/>
          </rPr>
          <t xml:space="preserve">
Contains two disks:
- Disk-1: 60GB
- Disk-2: 40GB</t>
        </r>
      </text>
    </comment>
    <comment ref="L67" authorId="1" shapeId="0" xr:uid="{FE97FFA9-358A-4F57-8D9B-AF90D9A9B277}">
      <text>
        <r>
          <rPr>
            <b/>
            <sz val="9"/>
            <color indexed="81"/>
            <rFont val="Tahoma"/>
            <family val="2"/>
          </rPr>
          <t>jarmylly:</t>
        </r>
        <r>
          <rPr>
            <sz val="9"/>
            <color indexed="81"/>
            <rFont val="Tahoma"/>
            <family val="2"/>
          </rPr>
          <t xml:space="preserve">
Image name:
- NMS_VDA_disk1
- NMS_VDA_disk2</t>
        </r>
      </text>
    </comment>
    <comment ref="L68" authorId="1" shapeId="0" xr:uid="{2644C807-ED8D-4761-B3F3-BB3BB8F303CC}">
      <text>
        <r>
          <rPr>
            <b/>
            <sz val="9"/>
            <color indexed="81"/>
            <rFont val="Tahoma"/>
            <family val="2"/>
          </rPr>
          <t>jarmylly:</t>
        </r>
        <r>
          <rPr>
            <sz val="9"/>
            <color indexed="81"/>
            <rFont val="Tahoma"/>
            <family val="2"/>
          </rPr>
          <t xml:space="preserve">
Image name: netact_rhel_base</t>
        </r>
      </text>
    </comment>
    <comment ref="L69" authorId="1" shapeId="0" xr:uid="{E06CC8CB-54EF-4FB3-9B92-9F4C286DB68B}">
      <text>
        <r>
          <rPr>
            <b/>
            <sz val="9"/>
            <color indexed="81"/>
            <rFont val="Tahoma"/>
            <family val="2"/>
          </rPr>
          <t>jarmylly:</t>
        </r>
        <r>
          <rPr>
            <sz val="9"/>
            <color indexed="81"/>
            <rFont val="Tahoma"/>
            <family val="2"/>
          </rPr>
          <t xml:space="preserve">
Image name: netact_rhel_base</t>
        </r>
      </text>
    </comment>
    <comment ref="L70" authorId="1" shapeId="0" xr:uid="{55AEE319-7070-4E9A-BB85-38F5A5E8242D}">
      <text>
        <r>
          <rPr>
            <b/>
            <sz val="9"/>
            <color indexed="81"/>
            <rFont val="Tahoma"/>
            <family val="2"/>
          </rPr>
          <t>jarmylly:</t>
        </r>
        <r>
          <rPr>
            <sz val="9"/>
            <color indexed="81"/>
            <rFont val="Tahoma"/>
            <family val="2"/>
          </rPr>
          <t xml:space="preserve">
Image name: netact_rhel_base</t>
        </r>
      </text>
    </comment>
    <comment ref="L71" authorId="1" shapeId="0" xr:uid="{88EA21AF-E64F-4687-B734-0BCF829F5B6D}">
      <text>
        <r>
          <rPr>
            <b/>
            <sz val="9"/>
            <color indexed="81"/>
            <rFont val="Tahoma"/>
            <family val="2"/>
          </rPr>
          <t>jarmylly:</t>
        </r>
        <r>
          <rPr>
            <sz val="9"/>
            <color indexed="81"/>
            <rFont val="Tahoma"/>
            <family val="2"/>
          </rPr>
          <t xml:space="preserve">
Image name: netact_rhel_base</t>
        </r>
      </text>
    </comment>
    <comment ref="L72" authorId="1" shapeId="0" xr:uid="{DBF8CF0E-D9E1-4FA8-9FA3-DC2C05A00F73}">
      <text>
        <r>
          <rPr>
            <b/>
            <sz val="9"/>
            <color indexed="81"/>
            <rFont val="Tahoma"/>
            <family val="2"/>
          </rPr>
          <t>jarmylly:</t>
        </r>
        <r>
          <rPr>
            <sz val="9"/>
            <color indexed="81"/>
            <rFont val="Tahoma"/>
            <family val="2"/>
          </rPr>
          <t xml:space="preserve">
Image name: netact_rhel_base</t>
        </r>
      </text>
    </comment>
    <comment ref="L73" authorId="1" shapeId="0" xr:uid="{9B2DB81B-B48D-4AE3-85B1-A46E718BF17A}">
      <text>
        <r>
          <rPr>
            <b/>
            <sz val="9"/>
            <color indexed="81"/>
            <rFont val="Tahoma"/>
            <family val="2"/>
          </rPr>
          <t>jarmylly:</t>
        </r>
        <r>
          <rPr>
            <sz val="9"/>
            <color indexed="81"/>
            <rFont val="Tahoma"/>
            <family val="2"/>
          </rPr>
          <t xml:space="preserve">
Image name: netact_rhel_base</t>
        </r>
      </text>
    </comment>
    <comment ref="L74" authorId="1" shapeId="0" xr:uid="{F2936205-58C9-406B-A9A5-98D665C41472}">
      <text>
        <r>
          <rPr>
            <b/>
            <sz val="9"/>
            <color indexed="81"/>
            <rFont val="Tahoma"/>
            <family val="2"/>
          </rPr>
          <t>jarmylly:</t>
        </r>
        <r>
          <rPr>
            <sz val="9"/>
            <color indexed="81"/>
            <rFont val="Tahoma"/>
            <family val="2"/>
          </rPr>
          <t xml:space="preserve">
Image name: netact_rhel_base</t>
        </r>
      </text>
    </comment>
    <comment ref="H75" authorId="1" shapeId="0" xr:uid="{17A65DA7-36DD-45A5-8C97-91EA64A1C5D0}">
      <text>
        <r>
          <rPr>
            <b/>
            <sz val="9"/>
            <color indexed="81"/>
            <rFont val="Tahoma"/>
            <family val="2"/>
          </rPr>
          <t>jarmylly:</t>
        </r>
        <r>
          <rPr>
            <sz val="9"/>
            <color indexed="81"/>
            <rFont val="Tahoma"/>
            <family val="2"/>
          </rPr>
          <t xml:space="preserve">
Contains two disks:
- Disk-1: 30GB
- Disk-2: 80GB</t>
        </r>
      </text>
    </comment>
    <comment ref="L75" authorId="1" shapeId="0" xr:uid="{E9FEDF55-FCF8-4697-B645-D67564311105}">
      <text>
        <r>
          <rPr>
            <b/>
            <sz val="9"/>
            <color indexed="81"/>
            <rFont val="Tahoma"/>
            <family val="2"/>
          </rPr>
          <t>jarmylly:</t>
        </r>
        <r>
          <rPr>
            <sz val="9"/>
            <color indexed="81"/>
            <rFont val="Tahoma"/>
            <family val="2"/>
          </rPr>
          <t xml:space="preserve">
Image name: netact_rhel_base</t>
        </r>
      </text>
    </comment>
    <comment ref="H76" authorId="1" shapeId="0" xr:uid="{DE50DDBD-3FF8-4414-8E56-1348C1A79802}">
      <text>
        <r>
          <rPr>
            <b/>
            <sz val="9"/>
            <color indexed="81"/>
            <rFont val="Tahoma"/>
            <family val="2"/>
          </rPr>
          <t>jarmylly:</t>
        </r>
        <r>
          <rPr>
            <sz val="9"/>
            <color indexed="81"/>
            <rFont val="Tahoma"/>
            <family val="2"/>
          </rPr>
          <t xml:space="preserve">
Contains two disks:
- Disk-1: 30GB
- Disk-2: 80GB</t>
        </r>
      </text>
    </comment>
    <comment ref="L76" authorId="1" shapeId="0" xr:uid="{7C055434-010E-44B5-8CBD-133ACA8EF5BE}">
      <text>
        <r>
          <rPr>
            <b/>
            <sz val="9"/>
            <color indexed="81"/>
            <rFont val="Tahoma"/>
            <family val="2"/>
          </rPr>
          <t>jarmylly:</t>
        </r>
        <r>
          <rPr>
            <sz val="9"/>
            <color indexed="81"/>
            <rFont val="Tahoma"/>
            <family val="2"/>
          </rPr>
          <t xml:space="preserve">
Image name: netact_rhel_base</t>
        </r>
      </text>
    </comment>
    <comment ref="L77" authorId="1" shapeId="0" xr:uid="{86AC0584-F350-4095-90A2-CD269D6A7F9D}">
      <text>
        <r>
          <rPr>
            <b/>
            <sz val="9"/>
            <color indexed="81"/>
            <rFont val="Tahoma"/>
            <family val="2"/>
          </rPr>
          <t>jarmylly:</t>
        </r>
        <r>
          <rPr>
            <sz val="9"/>
            <color indexed="81"/>
            <rFont val="Tahoma"/>
            <family val="2"/>
          </rPr>
          <t xml:space="preserve">
Image name: netact_rhel_base</t>
        </r>
      </text>
    </comment>
    <comment ref="L78" authorId="1" shapeId="0" xr:uid="{8E6EFABF-09B7-413F-9DEB-2FD4E2BBAEB8}">
      <text>
        <r>
          <rPr>
            <b/>
            <sz val="9"/>
            <color indexed="81"/>
            <rFont val="Tahoma"/>
            <family val="2"/>
          </rPr>
          <t>jarmylly:</t>
        </r>
        <r>
          <rPr>
            <sz val="9"/>
            <color indexed="81"/>
            <rFont val="Tahoma"/>
            <family val="2"/>
          </rPr>
          <t xml:space="preserve">
Image name: netact_rhel_base</t>
        </r>
      </text>
    </comment>
    <comment ref="L79" authorId="1" shapeId="0" xr:uid="{D1A55C01-2FEF-43D0-A117-DB0D51FE1CA3}">
      <text>
        <r>
          <rPr>
            <b/>
            <sz val="9"/>
            <color indexed="81"/>
            <rFont val="Tahoma"/>
            <family val="2"/>
          </rPr>
          <t>jarmylly:</t>
        </r>
        <r>
          <rPr>
            <sz val="9"/>
            <color indexed="81"/>
            <rFont val="Tahoma"/>
            <family val="2"/>
          </rPr>
          <t xml:space="preserve">
Image name: netact_rhel_base</t>
        </r>
      </text>
    </comment>
    <comment ref="L80" authorId="1" shapeId="0" xr:uid="{9E65961E-CC49-4DA9-8FE4-C52CA355A9A1}">
      <text>
        <r>
          <rPr>
            <b/>
            <sz val="9"/>
            <color indexed="81"/>
            <rFont val="Tahoma"/>
            <family val="2"/>
          </rPr>
          <t>jarmylly:</t>
        </r>
        <r>
          <rPr>
            <sz val="9"/>
            <color indexed="81"/>
            <rFont val="Tahoma"/>
            <family val="2"/>
          </rPr>
          <t xml:space="preserve">
Image name: netact_rhel_base</t>
        </r>
      </text>
    </comment>
    <comment ref="L81" authorId="0" shapeId="0" xr:uid="{B0B025B4-01EF-4660-8D32-0310633F5F88}">
      <text>
        <r>
          <rPr>
            <b/>
            <sz val="9"/>
            <color indexed="81"/>
            <rFont val="Tahoma"/>
            <family val="2"/>
          </rPr>
          <t>Avuthu, Charan (EXT - IN/Bangalore):</t>
        </r>
        <r>
          <rPr>
            <sz val="9"/>
            <color indexed="81"/>
            <rFont val="Tahoma"/>
            <family val="2"/>
          </rPr>
          <t xml:space="preserve">
Image name: netact_rhel_base</t>
        </r>
      </text>
    </comment>
    <comment ref="BU82" authorId="1" shapeId="0" xr:uid="{47C63FB2-881D-4C78-8F9C-FF1F6B5DAFF7}">
      <text>
        <r>
          <rPr>
            <b/>
            <sz val="9"/>
            <color indexed="81"/>
            <rFont val="Tahoma"/>
            <family val="2"/>
          </rPr>
          <t>jarmylly:</t>
        </r>
        <r>
          <rPr>
            <sz val="9"/>
            <color indexed="81"/>
            <rFont val="Tahoma"/>
            <family val="2"/>
          </rPr>
          <t xml:space="preserve">
IPv4: 3
IPv4/IPv6: 5</t>
        </r>
      </text>
    </comment>
    <comment ref="L86" authorId="1" shapeId="0" xr:uid="{163CBE6C-4A26-449E-933B-66EB618FFE69}">
      <text>
        <r>
          <rPr>
            <b/>
            <sz val="9"/>
            <color indexed="81"/>
            <rFont val="Tahoma"/>
            <family val="2"/>
          </rPr>
          <t>jarmylly:</t>
        </r>
        <r>
          <rPr>
            <sz val="9"/>
            <color indexed="81"/>
            <rFont val="Tahoma"/>
            <family val="2"/>
          </rPr>
          <t xml:space="preserve">
Image name: netact_rhel_base</t>
        </r>
      </text>
    </comment>
    <comment ref="L87" authorId="1" shapeId="0" xr:uid="{25B6CB30-3013-42B7-AB7B-81F400087A0B}">
      <text>
        <r>
          <rPr>
            <b/>
            <sz val="9"/>
            <color indexed="81"/>
            <rFont val="Tahoma"/>
            <family val="2"/>
          </rPr>
          <t>jarmylly:</t>
        </r>
        <r>
          <rPr>
            <sz val="9"/>
            <color indexed="81"/>
            <rFont val="Tahoma"/>
            <family val="2"/>
          </rPr>
          <t xml:space="preserve">
Image name: netact_rhel_base</t>
        </r>
      </text>
    </comment>
    <comment ref="L88" authorId="1" shapeId="0" xr:uid="{B7CE6276-3BCA-4295-A20F-7A3985626DCB}">
      <text>
        <r>
          <rPr>
            <b/>
            <sz val="9"/>
            <color indexed="81"/>
            <rFont val="Tahoma"/>
            <family val="2"/>
          </rPr>
          <t>jarmylly:</t>
        </r>
        <r>
          <rPr>
            <sz val="9"/>
            <color indexed="81"/>
            <rFont val="Tahoma"/>
            <family val="2"/>
          </rPr>
          <t xml:space="preserve">
Image name: netact_rhel_base</t>
        </r>
      </text>
    </comment>
    <comment ref="L89" authorId="1" shapeId="0" xr:uid="{376E42FE-6288-4243-922F-4776273132CB}">
      <text>
        <r>
          <rPr>
            <b/>
            <sz val="9"/>
            <color indexed="81"/>
            <rFont val="Tahoma"/>
            <family val="2"/>
          </rPr>
          <t>jarmylly:</t>
        </r>
        <r>
          <rPr>
            <sz val="9"/>
            <color indexed="81"/>
            <rFont val="Tahoma"/>
            <family val="2"/>
          </rPr>
          <t xml:space="preserve">
Image name: netact_rhel_base</t>
        </r>
      </text>
    </comment>
    <comment ref="L90" authorId="1" shapeId="0" xr:uid="{C3A8FB71-D7E6-45D2-8799-1577D22325D5}">
      <text>
        <r>
          <rPr>
            <b/>
            <sz val="9"/>
            <color indexed="81"/>
            <rFont val="Tahoma"/>
            <family val="2"/>
          </rPr>
          <t>jarmylly:</t>
        </r>
        <r>
          <rPr>
            <sz val="9"/>
            <color indexed="81"/>
            <rFont val="Tahoma"/>
            <family val="2"/>
          </rPr>
          <t xml:space="preserve">
Image name: netact_rhel_base</t>
        </r>
      </text>
    </comment>
    <comment ref="L91" authorId="1" shapeId="0" xr:uid="{99AECA60-32F1-4743-8AB3-4A83F1A3D244}">
      <text>
        <r>
          <rPr>
            <b/>
            <sz val="9"/>
            <color indexed="81"/>
            <rFont val="Tahoma"/>
            <family val="2"/>
          </rPr>
          <t>jarmylly:</t>
        </r>
        <r>
          <rPr>
            <sz val="9"/>
            <color indexed="81"/>
            <rFont val="Tahoma"/>
            <family val="2"/>
          </rPr>
          <t xml:space="preserve">
Image name: netact_rhel_base</t>
        </r>
      </text>
    </comment>
    <comment ref="BU92" authorId="1" shapeId="0" xr:uid="{BC56D722-24E9-4F6F-9D4B-0F082C37F2DE}">
      <text>
        <r>
          <rPr>
            <b/>
            <sz val="9"/>
            <color indexed="81"/>
            <rFont val="Tahoma"/>
            <family val="2"/>
          </rPr>
          <t>jarmylly:</t>
        </r>
        <r>
          <rPr>
            <sz val="9"/>
            <color indexed="81"/>
            <rFont val="Tahoma"/>
            <family val="2"/>
          </rPr>
          <t xml:space="preserve">
IPv4: 3
IPv4/IPv6: 5</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Goyal, Mayank (Nokia - IN/Bangalore)</author>
    <author>Thippeswamy, Suresh (Nokia - IN/Bangalore)</author>
    <author>Jari Myllymaa</author>
    <author>Jayashree Sundaresan (Nokia)</author>
  </authors>
  <commentList>
    <comment ref="J7" authorId="0" shapeId="0" xr:uid="{3ABCC9FA-AD01-4FF4-9FAE-DCF7A73D01F9}">
      <text>
        <r>
          <rPr>
            <b/>
            <sz val="9"/>
            <color indexed="81"/>
            <rFont val="Tahoma"/>
            <family val="2"/>
          </rPr>
          <t>Avuthu, Charan (EXT - IN/Bangalore):</t>
        </r>
        <r>
          <rPr>
            <sz val="9"/>
            <color indexed="81"/>
            <rFont val="Tahoma"/>
            <family val="2"/>
          </rPr>
          <t xml:space="preserve">
Virtual Machine SWAP file size in VMGuestDisk data store, for Virtual Infra operations</t>
        </r>
      </text>
    </comment>
    <comment ref="L10" authorId="1" shapeId="0" xr:uid="{72DE75BD-3D7F-4B13-9F19-9779DFBD4705}">
      <text>
        <r>
          <rPr>
            <b/>
            <sz val="9"/>
            <color indexed="81"/>
            <rFont val="Tahoma"/>
            <family val="2"/>
          </rPr>
          <t>vishek:</t>
        </r>
        <r>
          <rPr>
            <sz val="9"/>
            <color indexed="81"/>
            <rFont val="Tahoma"/>
            <family val="2"/>
          </rPr>
          <t xml:space="preserve">
No of Luns = 2
LUN size: 250GB each
2 Disks:
Disk size - 235520MB from each DS for stripe</t>
        </r>
      </text>
    </comment>
    <comment ref="N10" authorId="1" shapeId="0" xr:uid="{A994380D-6DD3-41AC-9EF3-DDEECD93342A}">
      <text>
        <r>
          <rPr>
            <b/>
            <sz val="9"/>
            <color indexed="81"/>
            <rFont val="Tahoma"/>
            <family val="2"/>
          </rPr>
          <t>vishek:</t>
        </r>
        <r>
          <rPr>
            <sz val="9"/>
            <color indexed="81"/>
            <rFont val="Tahoma"/>
            <family val="2"/>
          </rPr>
          <t xml:space="preserve">
No of Luns = 8
Lun size: 2050GB each.
8 disks:
Disk size: 1945600MB from each DS for stripe</t>
        </r>
      </text>
    </comment>
    <comment ref="P10" authorId="1" shapeId="0" xr:uid="{6F7A26DB-7676-400D-9C51-D5B9744162A7}">
      <text>
        <r>
          <rPr>
            <b/>
            <sz val="9"/>
            <color indexed="81"/>
            <rFont val="Tahoma"/>
            <family val="2"/>
          </rPr>
          <t>vishek:</t>
        </r>
        <r>
          <rPr>
            <sz val="9"/>
            <color indexed="81"/>
            <rFont val="Tahoma"/>
            <family val="2"/>
          </rPr>
          <t xml:space="preserve">
No of Luns = 2
Lun size: 9000GB each.
2 disks:
Disk size : 8499200MB from each DS for stripe</t>
        </r>
      </text>
    </comment>
    <comment ref="X10" authorId="1" shapeId="0" xr:uid="{2E723048-7C2D-4BED-8CAE-7ACA3FED6EC1}">
      <text>
        <r>
          <rPr>
            <b/>
            <sz val="9"/>
            <color indexed="81"/>
            <rFont val="Tahoma"/>
            <family val="2"/>
          </rPr>
          <t xml:space="preserve">vishek:
</t>
        </r>
        <r>
          <rPr>
            <sz val="9"/>
            <color indexed="81"/>
            <rFont val="Tahoma"/>
            <family val="2"/>
          </rPr>
          <t>No of Luns = 8
Lun size = 4200 each
8 Disks:
Disk size: 3993600MB from each DS for stripe</t>
        </r>
      </text>
    </comment>
    <comment ref="AN10" authorId="2" shapeId="0" xr:uid="{DFD35AE0-B628-475C-A2D4-BC58CA1B39BA}">
      <text>
        <r>
          <rPr>
            <b/>
            <sz val="9"/>
            <color indexed="81"/>
            <rFont val="Tahoma"/>
            <family val="2"/>
          </rPr>
          <t>Goyal, Mayank (Nokia - IN/Bangalore):</t>
        </r>
        <r>
          <rPr>
            <sz val="9"/>
            <color indexed="81"/>
            <rFont val="Tahoma"/>
            <family val="2"/>
          </rPr>
          <t xml:space="preserve">
Contains one disk:
- db-fb_disk : 6291456MB</t>
        </r>
      </text>
    </comment>
    <comment ref="R11" authorId="1" shapeId="0" xr:uid="{91141C8F-EBDC-4B95-A2A7-F8837BADF148}">
      <text>
        <r>
          <rPr>
            <b/>
            <sz val="9"/>
            <color indexed="81"/>
            <rFont val="Tahoma"/>
            <family val="2"/>
          </rPr>
          <t xml:space="preserve">vishek:
</t>
        </r>
        <r>
          <rPr>
            <sz val="9"/>
            <color indexed="81"/>
            <rFont val="Tahoma"/>
            <family val="2"/>
          </rPr>
          <t>No of Luns = 2
LUN1 size - 795GB - DS1
LUN2 size - 600GB - DS2
No of Disks = 4
1st disk from DS1 - 93184 MB(Home)
2nd disk from DS1- 585728 MB( for stripe- Global)
3rd disk from DS2 - 585728 MB(for stripe- Global)
4th disk from DS1 - 87040 MB(NFS WAS dump)</t>
        </r>
      </text>
    </comment>
    <comment ref="T11" authorId="1" shapeId="0" xr:uid="{1524EFE2-41E6-4991-9152-B0B21F4565CE}">
      <text>
        <r>
          <rPr>
            <b/>
            <sz val="9"/>
            <color indexed="81"/>
            <rFont val="Tahoma"/>
            <family val="2"/>
          </rPr>
          <t>jarmylly:</t>
        </r>
        <r>
          <rPr>
            <sz val="9"/>
            <color indexed="81"/>
            <rFont val="Tahoma"/>
            <family val="2"/>
          </rPr>
          <t xml:space="preserve">
Reserved for customer own data.</t>
        </r>
      </text>
    </comment>
    <comment ref="X11" authorId="1" shapeId="0" xr:uid="{581FB73A-2295-4F9D-B079-E968C375EFFB}">
      <text>
        <r>
          <rPr>
            <b/>
            <sz val="9"/>
            <color indexed="81"/>
            <rFont val="Tahoma"/>
            <family val="2"/>
          </rPr>
          <t>vishek:</t>
        </r>
        <r>
          <rPr>
            <sz val="9"/>
            <color indexed="81"/>
            <rFont val="Tahoma"/>
            <family val="2"/>
          </rPr>
          <t xml:space="preserve">
Contains one disk:
- NFS_backup: 754688MB</t>
        </r>
      </text>
    </comment>
    <comment ref="AB18" authorId="3" shapeId="0" xr:uid="{FB061F1E-87E2-4F8C-AE30-F356772231FA}">
      <text>
        <r>
          <rPr>
            <b/>
            <sz val="9"/>
            <color indexed="81"/>
            <rFont val="Tahoma"/>
            <family val="2"/>
          </rPr>
          <t>Thippeswamy, Suresh (Nokia - IN/Bangalore):</t>
        </r>
        <r>
          <rPr>
            <sz val="9"/>
            <color indexed="81"/>
            <rFont val="Tahoma"/>
            <family val="2"/>
          </rPr>
          <t xml:space="preserve">
Contains 1 disk:
adm_disk1: 51200MB</t>
        </r>
      </text>
    </comment>
    <comment ref="AD22" authorId="3" shapeId="0" xr:uid="{13CF3A97-E3E8-4186-953D-98B28306C9CC}">
      <text>
        <r>
          <rPr>
            <b/>
            <sz val="9"/>
            <color indexed="81"/>
            <rFont val="Tahoma"/>
            <family val="2"/>
          </rPr>
          <t>Thippeswamy, Suresh (Nokia - IN/Bangalore):</t>
        </r>
        <r>
          <rPr>
            <sz val="9"/>
            <color indexed="81"/>
            <rFont val="Tahoma"/>
            <family val="2"/>
          </rPr>
          <t xml:space="preserve">
Contains one disk:
isdk_disk1 : 102400MB</t>
        </r>
      </text>
    </comment>
    <comment ref="AD23" authorId="3" shapeId="0" xr:uid="{A6B19CB2-4BCE-4ADF-B36A-6746A8F36009}">
      <text>
        <r>
          <rPr>
            <b/>
            <sz val="9"/>
            <color indexed="81"/>
            <rFont val="Tahoma"/>
            <family val="2"/>
          </rPr>
          <t>Thippeswamy, Suresh (Nokia - IN/Bangalore):</t>
        </r>
        <r>
          <rPr>
            <sz val="9"/>
            <color indexed="81"/>
            <rFont val="Tahoma"/>
            <family val="2"/>
          </rPr>
          <t xml:space="preserve">
Contains one disk:
isdk_disk1 : 102400MB</t>
        </r>
      </text>
    </comment>
    <comment ref="I34" authorId="1" shapeId="0" xr:uid="{64A6C66E-3C1C-420F-ADE6-AAAB7548A81C}">
      <text>
        <r>
          <rPr>
            <b/>
            <sz val="9"/>
            <color indexed="81"/>
            <rFont val="Tahoma"/>
            <family val="2"/>
          </rPr>
          <t>jarmylly:</t>
        </r>
        <r>
          <rPr>
            <sz val="9"/>
            <color indexed="81"/>
            <rFont val="Tahoma"/>
            <family val="2"/>
          </rPr>
          <t xml:space="preserve">
Contains two disks:
- Disk-1: 60GB
- Disk-2: 40GB</t>
        </r>
      </text>
    </comment>
    <comment ref="I35" authorId="1" shapeId="0" xr:uid="{E1A0C1C3-59FC-4CED-8A60-C510E3793109}">
      <text>
        <r>
          <rPr>
            <sz val="9"/>
            <color indexed="81"/>
            <rFont val="Tahoma"/>
            <family val="2"/>
          </rPr>
          <t>Contains two disks:
- Disk-1: 60GB
(NOTE: For servers intended for more than 10 concurrent users the recommended size for disk C is Disk-1 size + RAM size.)
- Disk-2: 50GB</t>
        </r>
      </text>
    </comment>
    <comment ref="I36" authorId="1" shapeId="0" xr:uid="{C3A311CC-183F-414C-A050-718B80BADF2D}">
      <text>
        <r>
          <rPr>
            <sz val="9"/>
            <color indexed="81"/>
            <rFont val="Tahoma"/>
            <family val="2"/>
          </rPr>
          <t>Contains two disks:
- Disk-1: 80GB
(NOTE: For servers intended for more than 10 concurrent users the recommended size for disk C is Disk-1 size + RAM size.)
- Disk-2: 40GB</t>
        </r>
      </text>
    </comment>
    <comment ref="Z37" authorId="1" shapeId="0" xr:uid="{663ED53F-0408-4B5C-ACD8-19A422ABADAB}">
      <text>
        <r>
          <rPr>
            <b/>
            <sz val="9"/>
            <color indexed="81"/>
            <rFont val="Tahoma"/>
            <family val="2"/>
          </rPr>
          <t>jarmylly:</t>
        </r>
        <r>
          <rPr>
            <sz val="9"/>
            <color indexed="81"/>
            <rFont val="Tahoma"/>
            <family val="2"/>
          </rPr>
          <t xml:space="preserve">
Contains one disk:
- vm66_REP_disk: 76800 MB
</t>
        </r>
      </text>
    </comment>
    <comment ref="AA37" authorId="4" shapeId="0" xr:uid="{74844F8C-756D-4E4B-8B7B-6AC006CB850A}">
      <text>
        <r>
          <rPr>
            <b/>
            <sz val="9"/>
            <color indexed="81"/>
            <rFont val="Calibri"/>
            <family val="2"/>
          </rPr>
          <t>Jari Myllymaa:</t>
        </r>
        <r>
          <rPr>
            <sz val="9"/>
            <color indexed="81"/>
            <rFont val="Calibri"/>
            <family val="2"/>
          </rPr>
          <t xml:space="preserve">
PMDatastore can extend 50GB</t>
        </r>
      </text>
    </comment>
    <comment ref="Z38" authorId="1" shapeId="0" xr:uid="{910E6369-8743-4133-9BC5-8A2828EBC1FE}">
      <text>
        <r>
          <rPr>
            <b/>
            <sz val="9"/>
            <color indexed="81"/>
            <rFont val="Tahoma"/>
            <family val="2"/>
          </rPr>
          <t>jarmylly:</t>
        </r>
        <r>
          <rPr>
            <sz val="9"/>
            <color indexed="81"/>
            <rFont val="Tahoma"/>
            <family val="2"/>
          </rPr>
          <t xml:space="preserve">
Contains one disk:
- vm66_REP_disk: 76800 MB
</t>
        </r>
      </text>
    </comment>
    <comment ref="Z39" authorId="1" shapeId="0" xr:uid="{CE8EC263-9420-42BC-9403-B72B28928850}">
      <text>
        <r>
          <rPr>
            <b/>
            <sz val="9"/>
            <color indexed="81"/>
            <rFont val="Tahoma"/>
            <family val="2"/>
          </rPr>
          <t>jarmylly:</t>
        </r>
        <r>
          <rPr>
            <sz val="9"/>
            <color indexed="81"/>
            <rFont val="Tahoma"/>
            <family val="2"/>
          </rPr>
          <t xml:space="preserve">
Contains one disk:
- vm66_REP_disk: 76800 MB
</t>
        </r>
      </text>
    </comment>
    <comment ref="Z40" authorId="1" shapeId="0" xr:uid="{AAF30E91-5591-451F-A7F8-00AE891D123A}">
      <text>
        <r>
          <rPr>
            <b/>
            <sz val="9"/>
            <color indexed="81"/>
            <rFont val="Tahoma"/>
            <family val="2"/>
          </rPr>
          <t>jarmylly:</t>
        </r>
        <r>
          <rPr>
            <sz val="9"/>
            <color indexed="81"/>
            <rFont val="Tahoma"/>
            <family val="2"/>
          </rPr>
          <t xml:space="preserve">
Contains one disk:
- vm66_REP_disk: 76800 MB
</t>
        </r>
      </text>
    </comment>
    <comment ref="AH43" authorId="0" shapeId="0" xr:uid="{B77E3395-A644-4740-9C9A-70F6A4A17795}">
      <text>
        <r>
          <rPr>
            <b/>
            <sz val="9"/>
            <color indexed="81"/>
            <rFont val="Tahoma"/>
            <family val="2"/>
          </rPr>
          <t>Avuthu, Charan (EXT - IN/Bangalore):</t>
        </r>
        <r>
          <rPr>
            <sz val="9"/>
            <color indexed="81"/>
            <rFont val="Tahoma"/>
            <family val="2"/>
          </rPr>
          <t xml:space="preserve">
Contians one disk:
-kafka_disk1: 122880 MB</t>
        </r>
      </text>
    </comment>
    <comment ref="AH44" authorId="0" shapeId="0" xr:uid="{B1EB0C63-7AE4-4108-9857-D88E44D678DF}">
      <text>
        <r>
          <rPr>
            <b/>
            <sz val="9"/>
            <color indexed="81"/>
            <rFont val="Tahoma"/>
            <family val="2"/>
          </rPr>
          <t>Avuthu, Charan (EXT - IN/Bangalore):</t>
        </r>
        <r>
          <rPr>
            <sz val="9"/>
            <color indexed="81"/>
            <rFont val="Tahoma"/>
            <family val="2"/>
          </rPr>
          <t xml:space="preserve">
Contians one disk:
-kafka_disk1: 122880 MB</t>
        </r>
      </text>
    </comment>
    <comment ref="AH45" authorId="0" shapeId="0" xr:uid="{54F7866C-C125-489B-938C-961AB89F8A69}">
      <text>
        <r>
          <rPr>
            <b/>
            <sz val="9"/>
            <color indexed="81"/>
            <rFont val="Tahoma"/>
            <family val="2"/>
          </rPr>
          <t>Avuthu, Charan (EXT - IN/Bangalore):</t>
        </r>
        <r>
          <rPr>
            <sz val="9"/>
            <color indexed="81"/>
            <rFont val="Tahoma"/>
            <family val="2"/>
          </rPr>
          <t xml:space="preserve">
Contians one disk:
-kafka_disk1: 122880 MB</t>
        </r>
      </text>
    </comment>
    <comment ref="X48" authorId="5" shapeId="0" xr:uid="{289AEBF0-A763-468A-862E-D67EB52368D2}">
      <text>
        <r>
          <rPr>
            <b/>
            <sz val="9"/>
            <color indexed="81"/>
            <rFont val="Tahoma"/>
            <family val="2"/>
          </rPr>
          <t>Jayashree Sundaresan (Nokia):</t>
        </r>
        <r>
          <rPr>
            <sz val="9"/>
            <color indexed="81"/>
            <rFont val="Tahoma"/>
            <family val="2"/>
          </rPr>
          <t xml:space="preserve">
Contains one disk:
- backup_disk1: 204800MB</t>
        </r>
      </text>
    </comment>
    <comment ref="AP48" authorId="5" shapeId="0" xr:uid="{88F2B7FA-9BC1-4CB4-A890-D52611CF40AA}">
      <text>
        <r>
          <rPr>
            <b/>
            <sz val="9"/>
            <color indexed="81"/>
            <rFont val="Tahoma"/>
            <family val="2"/>
          </rPr>
          <t>Jayashree Sundaresan (Nokia):</t>
        </r>
        <r>
          <rPr>
            <sz val="9"/>
            <color indexed="81"/>
            <rFont val="Tahoma"/>
            <family val="2"/>
          </rPr>
          <t xml:space="preserve">
Contains one disk:
-niv_disk: 153600</t>
        </r>
      </text>
    </comment>
    <comment ref="R50" authorId="0" shapeId="0" xr:uid="{CFEF0DDF-D91E-434D-9467-73A13039FE8B}">
      <text>
        <r>
          <rPr>
            <b/>
            <sz val="9"/>
            <color indexed="81"/>
            <rFont val="Tahoma"/>
            <family val="2"/>
          </rPr>
          <t>Avuthu, Charan (EXT - IN/Bangalore):</t>
        </r>
        <r>
          <rPr>
            <sz val="9"/>
            <color indexed="81"/>
            <rFont val="Tahoma"/>
            <family val="2"/>
          </rPr>
          <t xml:space="preserve">
Increase for NFSGlobal disk on VM#5 by 120GB.
 (60GB for each stripe)
-2nd disk from DS1 (For LCM as optional service on Compute1) - 647168 MB (for stripe- Global)
-3rd disk from DS2 (For LCM as optional service on Compute1) - 647168 MB (for stripe- Global)</t>
        </r>
      </text>
    </comment>
    <comment ref="V50" authorId="0" shapeId="0" xr:uid="{0850B632-B117-43D0-9E47-18C634C19B44}">
      <text>
        <r>
          <rPr>
            <b/>
            <sz val="9"/>
            <color indexed="81"/>
            <rFont val="Tahoma"/>
            <family val="2"/>
          </rPr>
          <t>Avuthu, Charan (EXT - IN/Bangalore):</t>
        </r>
        <r>
          <rPr>
            <sz val="9"/>
            <color indexed="81"/>
            <rFont val="Tahoma"/>
            <family val="2"/>
          </rPr>
          <t xml:space="preserve">
Contains one disk:
- backup_disk1: 204800MB</t>
        </r>
      </text>
    </comment>
    <comment ref="X50" authorId="0" shapeId="0" xr:uid="{06776CB5-0CE7-4131-B3B5-1182D170B226}">
      <text>
        <r>
          <rPr>
            <b/>
            <sz val="9"/>
            <color indexed="81"/>
            <rFont val="Tahoma"/>
            <family val="2"/>
          </rPr>
          <t>Avuthu, Charan (EXT - IN/Bangalore):</t>
        </r>
        <r>
          <rPr>
            <sz val="9"/>
            <color indexed="81"/>
            <rFont val="Tahoma"/>
            <family val="2"/>
          </rPr>
          <t xml:space="preserve">
Increase for NFSBackup disk on VM#5 by 120GB
- NFS_backup (For LCM as optional service on Compute1): 877568 MB</t>
        </r>
      </text>
    </comment>
    <comment ref="AF50" authorId="0" shapeId="0" xr:uid="{881F35F2-D051-46C0-82F3-785B652D57EA}">
      <text>
        <r>
          <rPr>
            <b/>
            <sz val="9"/>
            <color indexed="81"/>
            <rFont val="Tahoma"/>
            <family val="2"/>
          </rPr>
          <t>Avuthu, Charan (EXT - IN/Bangalore):</t>
        </r>
        <r>
          <rPr>
            <sz val="9"/>
            <color indexed="81"/>
            <rFont val="Tahoma"/>
            <family val="2"/>
          </rPr>
          <t xml:space="preserve">
Contains one disk:
- ccr_disk1: 153600MB</t>
        </r>
      </text>
    </comment>
    <comment ref="I55" authorId="3" shapeId="0" xr:uid="{37264FD1-1BDA-4807-A099-C677A4D19E3D}">
      <text>
        <r>
          <rPr>
            <b/>
            <sz val="9"/>
            <color indexed="81"/>
            <rFont val="Tahoma"/>
            <family val="2"/>
          </rPr>
          <t>Thippeswamy, Suresh (Nokia - IN/Bangalore):</t>
        </r>
        <r>
          <rPr>
            <sz val="9"/>
            <color indexed="81"/>
            <rFont val="Tahoma"/>
            <family val="2"/>
          </rPr>
          <t xml:space="preserve">
NetAct20 scratch and on top upgrade, the required disk size is 70GB
On long upgrade environment(Having NetAct19 or older in upgrade history), since /var partition requires 40GB from NetAct20 onwards, so additional 25GB disk space is automtically added and attached to /var partition. With this the total disks consumption will be 95GB 
On long upgrade environments(NetAct20 or older), from N23R3 onwards, additional 12GB would be extended and attached to SWAP partition. With this, the total disk consumption will be 107GB.</t>
        </r>
      </text>
    </comment>
    <comment ref="I56" authorId="1" shapeId="0" xr:uid="{7A794B97-C3C1-4853-A219-71599D116579}">
      <text>
        <r>
          <rPr>
            <b/>
            <sz val="9"/>
            <color indexed="81"/>
            <rFont val="Tahoma"/>
            <family val="2"/>
          </rPr>
          <t>jarmylly:</t>
        </r>
        <r>
          <rPr>
            <sz val="9"/>
            <color indexed="81"/>
            <rFont val="Tahoma"/>
            <family val="2"/>
          </rPr>
          <t xml:space="preserve">
Contains two disks:
- Disk-1: 60GB
- Disk-2: 40GB</t>
        </r>
      </text>
    </comment>
    <comment ref="I57" authorId="1" shapeId="0" xr:uid="{188B8681-C1AB-4E7B-80EA-38BCBF2B8A75}">
      <text>
        <r>
          <rPr>
            <sz val="9"/>
            <color indexed="81"/>
            <rFont val="Tahoma"/>
            <family val="2"/>
          </rPr>
          <t>Contains two disks:
- Disk-1: 60GB
(NOTE: For servers intended for more than 10 concurrent users the recommended size for disk C is Disk-1 size + RAM size.)
- Disk-2: 40GB</t>
        </r>
      </text>
    </comment>
    <comment ref="I58" authorId="1" shapeId="0" xr:uid="{35AD0D69-35B3-43B5-B8AE-4550F4253B63}">
      <text>
        <r>
          <rPr>
            <sz val="9"/>
            <color indexed="81"/>
            <rFont val="Tahoma"/>
            <family val="2"/>
          </rPr>
          <t>Contains two disks:
- Disk-1: 60GB
(NOTE: For servers intended for more than 10 concurrent users the recommended size for disk C is Disk-1 size + RAM size.)
- Disk-2: 40GB</t>
        </r>
      </text>
    </comment>
    <comment ref="I59" authorId="1" shapeId="0" xr:uid="{A1A48728-6519-4566-B6DA-CDA4E39B2192}">
      <text>
        <r>
          <rPr>
            <sz val="9"/>
            <color indexed="81"/>
            <rFont val="Tahoma"/>
            <family val="2"/>
          </rPr>
          <t>Contains two disks:
- Disk-1: 60GB
(NOTE: For servers intended for more than 10 concurrent users the recommended size for disk C is Disk-1 size + RAM size.)
- Disk-2: 40GB</t>
        </r>
      </text>
    </comment>
    <comment ref="I60" authorId="1" shapeId="0" xr:uid="{8CC8A2CD-7A61-4962-B57F-2DAB0423586C}">
      <text>
        <r>
          <rPr>
            <sz val="9"/>
            <color indexed="81"/>
            <rFont val="Tahoma"/>
            <family val="2"/>
          </rPr>
          <t>Contains two disks:
- Disk-1: 60GB
(NOTE: For servers intended for more than 10 concurrent users the recommended size for disk C is Disk-1 size + RAM size.)
- Disk-2: 40GB</t>
        </r>
      </text>
    </comment>
    <comment ref="I61" authorId="1" shapeId="0" xr:uid="{6C310D76-6B17-4517-BE09-77640C272CD7}">
      <text>
        <r>
          <rPr>
            <sz val="9"/>
            <color indexed="81"/>
            <rFont val="Tahoma"/>
            <family val="2"/>
          </rPr>
          <t>Contains two disks:
- Disk-1: 60GB
(NOTE: For servers intended for more than 10 concurrent users the recommended size for disk C is Disk-1 size + RAM size.)
- Disk-2: 40GB</t>
        </r>
      </text>
    </comment>
    <comment ref="I62" authorId="1" shapeId="0" xr:uid="{A4121E08-1856-40A7-B790-F815421F4D51}">
      <text>
        <r>
          <rPr>
            <sz val="9"/>
            <color indexed="81"/>
            <rFont val="Tahoma"/>
            <family val="2"/>
          </rPr>
          <t>Contains two disks:
- Disk-1: 60GB
(NOTE: For servers intended for more than 10 concurrent users the recommended size for disk C is Disk-1 size + RAM size.)
- Disk-2: 40GB</t>
        </r>
      </text>
    </comment>
    <comment ref="I63" authorId="1" shapeId="0" xr:uid="{57A0655C-B68C-4CB5-AA54-CC43598EFB13}">
      <text>
        <r>
          <rPr>
            <sz val="9"/>
            <color indexed="81"/>
            <rFont val="Tahoma"/>
            <family val="2"/>
          </rPr>
          <t>Contains two disks:
- Disk-1: 60GB
(NOTE: For servers intended for more than 10 concurrent users the recommended size for disk C is Disk-1 size + RAM size.)
- Disk-2: 40GB</t>
        </r>
      </text>
    </comment>
    <comment ref="I64" authorId="1" shapeId="0" xr:uid="{D61D4F8A-83EF-4096-9FA7-DB634B4AA9C8}">
      <text>
        <r>
          <rPr>
            <sz val="9"/>
            <color indexed="81"/>
            <rFont val="Tahoma"/>
            <family val="2"/>
          </rPr>
          <t>Contains two disks:
- Disk-1: 80GB
(NOTE: For servers intended for more than 10 concurrent users the recommended size for disk C is Disk-1 size + RAM size.)
- Disk-2: 40GB</t>
        </r>
      </text>
    </comment>
    <comment ref="I65" authorId="1" shapeId="0" xr:uid="{83A08B73-7B40-46D9-8357-0AA32FB7AF9C}">
      <text>
        <r>
          <rPr>
            <sz val="9"/>
            <color indexed="81"/>
            <rFont val="Tahoma"/>
            <family val="2"/>
          </rPr>
          <t>Contains two disks:
- Disk-1: 60GB
(NOTE: For servers intended for more than 10 concurrent users the recommended size for disk C is Disk-1 size + RAM size.)
- Disk-2: 40GB</t>
        </r>
      </text>
    </comment>
    <comment ref="I73" authorId="1" shapeId="0" xr:uid="{844C18B2-2EDB-4282-B30C-F78E25ACE7DC}">
      <text>
        <r>
          <rPr>
            <b/>
            <sz val="9"/>
            <color indexed="81"/>
            <rFont val="Tahoma"/>
            <family val="2"/>
          </rPr>
          <t>jarmylly:</t>
        </r>
        <r>
          <rPr>
            <sz val="9"/>
            <color indexed="81"/>
            <rFont val="Tahoma"/>
            <family val="2"/>
          </rPr>
          <t xml:space="preserve">
Contains two disks:
- Disk-1: 30GB
- Disk-2: 80GB</t>
        </r>
      </text>
    </comment>
    <comment ref="I74" authorId="1" shapeId="0" xr:uid="{61758469-B07E-4FDD-922A-B00901F30CD3}">
      <text>
        <r>
          <rPr>
            <b/>
            <sz val="9"/>
            <color indexed="81"/>
            <rFont val="Tahoma"/>
            <family val="2"/>
          </rPr>
          <t>jarmylly:</t>
        </r>
        <r>
          <rPr>
            <sz val="9"/>
            <color indexed="81"/>
            <rFont val="Tahoma"/>
            <family val="2"/>
          </rPr>
          <t xml:space="preserve">
Contains two disks:
- Disk-1: 30GB
- Disk-2: 80GB</t>
        </r>
      </text>
    </comment>
    <comment ref="I79" authorId="3" shapeId="0" xr:uid="{39BFFE74-ADCC-48F2-9738-647AB3806873}">
      <text>
        <r>
          <rPr>
            <b/>
            <sz val="9"/>
            <color indexed="81"/>
            <rFont val="Tahoma"/>
            <family val="2"/>
          </rPr>
          <t>Thippeswamy, Suresh (Nokia - IN/Bangalore):</t>
        </r>
        <r>
          <rPr>
            <sz val="9"/>
            <color indexed="81"/>
            <rFont val="Tahoma"/>
            <family val="2"/>
          </rPr>
          <t xml:space="preserve">
OS disk: 50GB
Data Disk:2048GB</t>
        </r>
      </text>
    </comment>
    <comment ref="E91" authorId="1" shapeId="0" xr:uid="{A73D502C-72AE-41BC-B833-61AE831E0C31}">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 ref="E92" authorId="1" shapeId="0" xr:uid="{B745866C-7289-4076-A39F-0E87B406F1E0}">
      <text>
        <r>
          <rPr>
            <b/>
            <sz val="9"/>
            <color indexed="81"/>
            <rFont val="Tahoma"/>
            <family val="2"/>
          </rPr>
          <t>jarmylly:</t>
        </r>
        <r>
          <rPr>
            <sz val="9"/>
            <color indexed="81"/>
            <rFont val="Tahoma"/>
            <family val="2"/>
          </rPr>
          <t xml:space="preserve">
- SBTS Adapter and BTSMED should not co-locate in same cluster i.e. SBTS Adapter and BTSMED VM usage together is not possible.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Avuthu, Charan (EXT - IN/Bangalore)</author>
    <author>jarmylly</author>
    <author>Thippeswamy, Suresh (Nokia - IN/Bangalore)</author>
    <author>Rastogi, Alok (Nokia - IN/Bangalore)</author>
    <author>Jayashree Sundaresan (Nokia)</author>
  </authors>
  <commentList>
    <comment ref="I7" authorId="0" shapeId="0" xr:uid="{A29C7CEF-8582-4CE4-A2CB-9C08F33DFC73}">
      <text>
        <r>
          <rPr>
            <b/>
            <sz val="9"/>
            <color indexed="81"/>
            <rFont val="Tahoma"/>
            <family val="2"/>
          </rPr>
          <t>Avuthu, Charan (EXT - IN/Bangalore):</t>
        </r>
        <r>
          <rPr>
            <sz val="9"/>
            <color indexed="81"/>
            <rFont val="Tahoma"/>
            <family val="2"/>
          </rPr>
          <t xml:space="preserve">
Instance OS Level SWAP size, will derive from the flavor</t>
        </r>
      </text>
    </comment>
    <comment ref="K7" authorId="1" shapeId="0" xr:uid="{311B76FC-288A-48FC-B44B-8BCD52F678F4}">
      <text>
        <r>
          <rPr>
            <b/>
            <sz val="9"/>
            <color indexed="81"/>
            <rFont val="Tahoma"/>
            <family val="2"/>
          </rPr>
          <t>jarmylly:</t>
        </r>
        <r>
          <rPr>
            <sz val="9"/>
            <color indexed="81"/>
            <rFont val="Tahoma"/>
            <family val="2"/>
          </rPr>
          <t xml:space="preserve">
Only if Airframe Hardware used</t>
        </r>
      </text>
    </comment>
    <comment ref="O7" authorId="1" shapeId="0" xr:uid="{DA780AB7-68FC-40FC-87B9-2ED56816DDFD}">
      <text>
        <r>
          <rPr>
            <b/>
            <sz val="9"/>
            <color indexed="81"/>
            <rFont val="Tahoma"/>
            <family val="2"/>
          </rPr>
          <t>jarmylly:</t>
        </r>
        <r>
          <rPr>
            <sz val="9"/>
            <color indexed="81"/>
            <rFont val="Tahoma"/>
            <family val="2"/>
          </rPr>
          <t xml:space="preserve">
Only if Airframe Hardware used</t>
        </r>
      </text>
    </comment>
    <comment ref="S7" authorId="1" shapeId="0" xr:uid="{1E96EE6E-40B3-4DAF-B0B4-417DA07C849E}">
      <text>
        <r>
          <rPr>
            <b/>
            <sz val="9"/>
            <color indexed="81"/>
            <rFont val="Tahoma"/>
            <family val="2"/>
          </rPr>
          <t>jarmylly:</t>
        </r>
        <r>
          <rPr>
            <sz val="9"/>
            <color indexed="81"/>
            <rFont val="Tahoma"/>
            <family val="2"/>
          </rPr>
          <t xml:space="preserve">
Only if Airframe Hardware used</t>
        </r>
      </text>
    </comment>
    <comment ref="W7" authorId="1" shapeId="0" xr:uid="{2194F56F-52E7-40DF-AAA9-F5CC3021B011}">
      <text>
        <r>
          <rPr>
            <b/>
            <sz val="9"/>
            <color indexed="81"/>
            <rFont val="Tahoma"/>
            <family val="2"/>
          </rPr>
          <t>jarmylly:</t>
        </r>
        <r>
          <rPr>
            <sz val="9"/>
            <color indexed="81"/>
            <rFont val="Tahoma"/>
            <family val="2"/>
          </rPr>
          <t xml:space="preserve">
Only if Airframe Hardware used</t>
        </r>
      </text>
    </comment>
    <comment ref="AA7" authorId="1" shapeId="0" xr:uid="{B9B7DDF7-E5EB-4032-8C90-3931B31EE37A}">
      <text>
        <r>
          <rPr>
            <b/>
            <sz val="9"/>
            <color indexed="81"/>
            <rFont val="Tahoma"/>
            <family val="2"/>
          </rPr>
          <t>jarmylly:</t>
        </r>
        <r>
          <rPr>
            <sz val="9"/>
            <color indexed="81"/>
            <rFont val="Tahoma"/>
            <family val="2"/>
          </rPr>
          <t xml:space="preserve">
Only if Airframe Hardware used</t>
        </r>
      </text>
    </comment>
    <comment ref="AE7" authorId="1" shapeId="0" xr:uid="{D1F10586-6927-4CFA-AC38-25D2F68EE5E3}">
      <text>
        <r>
          <rPr>
            <b/>
            <sz val="9"/>
            <color indexed="81"/>
            <rFont val="Tahoma"/>
            <family val="2"/>
          </rPr>
          <t>jarmylly:</t>
        </r>
        <r>
          <rPr>
            <sz val="9"/>
            <color indexed="81"/>
            <rFont val="Tahoma"/>
            <family val="2"/>
          </rPr>
          <t xml:space="preserve">
Only if Airframe Hardware used</t>
        </r>
      </text>
    </comment>
    <comment ref="AI7" authorId="1" shapeId="0" xr:uid="{31CF138F-3BE2-4F99-A62C-7DABFA47090A}">
      <text>
        <r>
          <rPr>
            <b/>
            <sz val="9"/>
            <color indexed="81"/>
            <rFont val="Tahoma"/>
            <family val="2"/>
          </rPr>
          <t>jarmylly:</t>
        </r>
        <r>
          <rPr>
            <sz val="9"/>
            <color indexed="81"/>
            <rFont val="Tahoma"/>
            <family val="2"/>
          </rPr>
          <t xml:space="preserve">
Only if Airframe Hardware used</t>
        </r>
      </text>
    </comment>
    <comment ref="AM7" authorId="1" shapeId="0" xr:uid="{97F0A0EC-4D14-4580-8118-9B1098840138}">
      <text>
        <r>
          <rPr>
            <b/>
            <sz val="9"/>
            <color indexed="81"/>
            <rFont val="Tahoma"/>
            <family val="2"/>
          </rPr>
          <t>jarmylly:</t>
        </r>
        <r>
          <rPr>
            <sz val="9"/>
            <color indexed="81"/>
            <rFont val="Tahoma"/>
            <family val="2"/>
          </rPr>
          <t xml:space="preserve">
Only if Airframe Hardware used</t>
        </r>
      </text>
    </comment>
    <comment ref="AQ7" authorId="1" shapeId="0" xr:uid="{10DF3616-AB85-4BEF-BE51-FB7A0C815F44}">
      <text>
        <r>
          <rPr>
            <b/>
            <sz val="9"/>
            <color indexed="81"/>
            <rFont val="Tahoma"/>
            <family val="2"/>
          </rPr>
          <t>jarmylly:</t>
        </r>
        <r>
          <rPr>
            <sz val="9"/>
            <color indexed="81"/>
            <rFont val="Tahoma"/>
            <family val="2"/>
          </rPr>
          <t xml:space="preserve">
Only if Airframe Hardware used</t>
        </r>
      </text>
    </comment>
    <comment ref="AU7" authorId="1" shapeId="0" xr:uid="{2AC2B0D2-F52F-4296-97DF-F4FBA502C5FF}">
      <text>
        <r>
          <rPr>
            <b/>
            <sz val="9"/>
            <color indexed="81"/>
            <rFont val="Tahoma"/>
            <family val="2"/>
          </rPr>
          <t>jarmylly:</t>
        </r>
        <r>
          <rPr>
            <sz val="9"/>
            <color indexed="81"/>
            <rFont val="Tahoma"/>
            <family val="2"/>
          </rPr>
          <t xml:space="preserve">
Only if Airframe Hardware used</t>
        </r>
      </text>
    </comment>
    <comment ref="AY7" authorId="1" shapeId="0" xr:uid="{9D2F731F-E677-4500-98F1-A8131699976A}">
      <text>
        <r>
          <rPr>
            <b/>
            <sz val="9"/>
            <color indexed="81"/>
            <rFont val="Tahoma"/>
            <family val="2"/>
          </rPr>
          <t>jarmylly:</t>
        </r>
        <r>
          <rPr>
            <sz val="9"/>
            <color indexed="81"/>
            <rFont val="Tahoma"/>
            <family val="2"/>
          </rPr>
          <t xml:space="preserve">
Only if Airframe Hardware used</t>
        </r>
      </text>
    </comment>
    <comment ref="BC7" authorId="1" shapeId="0" xr:uid="{F6EB3021-92A0-49B8-9F9D-3524836EB6A1}">
      <text>
        <r>
          <rPr>
            <b/>
            <sz val="9"/>
            <color indexed="81"/>
            <rFont val="Tahoma"/>
            <family val="2"/>
          </rPr>
          <t>jarmylly:</t>
        </r>
        <r>
          <rPr>
            <sz val="9"/>
            <color indexed="81"/>
            <rFont val="Tahoma"/>
            <family val="2"/>
          </rPr>
          <t xml:space="preserve">
Only if Airframe Hardware used</t>
        </r>
      </text>
    </comment>
    <comment ref="BG7" authorId="1" shapeId="0" xr:uid="{2A353CFF-2D26-404F-A4CA-553456C3FCB9}">
      <text>
        <r>
          <rPr>
            <b/>
            <sz val="9"/>
            <color indexed="81"/>
            <rFont val="Tahoma"/>
            <family val="2"/>
          </rPr>
          <t>jarmylly:</t>
        </r>
        <r>
          <rPr>
            <sz val="9"/>
            <color indexed="81"/>
            <rFont val="Tahoma"/>
            <family val="2"/>
          </rPr>
          <t xml:space="preserve">
Only if Airframe Hardware used</t>
        </r>
      </text>
    </comment>
    <comment ref="L8" authorId="1" shapeId="0" xr:uid="{F5F17A0D-859B-4E2A-BC48-29DFA13F9F94}">
      <text>
        <r>
          <rPr>
            <b/>
            <sz val="9"/>
            <color indexed="81"/>
            <rFont val="Tahoma"/>
            <family val="2"/>
          </rPr>
          <t>jarmylly:</t>
        </r>
        <r>
          <rPr>
            <sz val="9"/>
            <color indexed="81"/>
            <rFont val="Tahoma"/>
            <family val="2"/>
          </rPr>
          <t xml:space="preserve">
Images name: rhel7_insteng</t>
        </r>
      </text>
    </comment>
    <comment ref="L9" authorId="1" shapeId="0" xr:uid="{987329CB-A6E9-4195-93C1-79037444E6B3}">
      <text>
        <r>
          <rPr>
            <b/>
            <sz val="9"/>
            <color indexed="81"/>
            <rFont val="Tahoma"/>
            <family val="2"/>
          </rPr>
          <t>jarmylly:</t>
        </r>
        <r>
          <rPr>
            <sz val="9"/>
            <color indexed="81"/>
            <rFont val="Tahoma"/>
            <family val="2"/>
          </rPr>
          <t xml:space="preserve">
Image name: administration_server</t>
        </r>
      </text>
    </comment>
    <comment ref="L10" authorId="1" shapeId="0" xr:uid="{650CE480-922A-4D35-A67A-614451BA5BB4}">
      <text>
        <r>
          <rPr>
            <b/>
            <sz val="9"/>
            <color indexed="81"/>
            <rFont val="Tahoma"/>
            <family val="2"/>
          </rPr>
          <t>jarmylly:</t>
        </r>
        <r>
          <rPr>
            <sz val="9"/>
            <color indexed="81"/>
            <rFont val="Tahoma"/>
            <family val="2"/>
          </rPr>
          <t xml:space="preserve">
Image name: netact_rhel_base</t>
        </r>
      </text>
    </comment>
    <comment ref="L11" authorId="1" shapeId="0" xr:uid="{E12BF3F2-00F4-40B6-ACBA-1DC958FBAC9A}">
      <text>
        <r>
          <rPr>
            <b/>
            <sz val="9"/>
            <color indexed="81"/>
            <rFont val="Tahoma"/>
            <family val="2"/>
          </rPr>
          <t>jarmylly:</t>
        </r>
        <r>
          <rPr>
            <sz val="9"/>
            <color indexed="81"/>
            <rFont val="Tahoma"/>
            <family val="2"/>
          </rPr>
          <t xml:space="preserve">
Image name: netact_rhel_base</t>
        </r>
      </text>
    </comment>
    <comment ref="M11" authorId="2" shapeId="0" xr:uid="{0285B952-F602-430E-872E-AD5338062508}">
      <text>
        <r>
          <rPr>
            <b/>
            <sz val="9"/>
            <color indexed="81"/>
            <rFont val="Tahoma"/>
            <family val="2"/>
          </rPr>
          <t>Thippeswamy, Suresh (Nokia - IN/Bangalore):</t>
        </r>
        <r>
          <rPr>
            <sz val="9"/>
            <color indexed="81"/>
            <rFont val="Tahoma"/>
            <family val="2"/>
          </rPr>
          <t xml:space="preserve">
2 disks for striping, each disk size 235520MB</t>
        </r>
      </text>
    </comment>
    <comment ref="P11" authorId="1" shapeId="0" xr:uid="{956C8683-1977-4DE2-8005-C15E49D02A74}">
      <text>
        <r>
          <rPr>
            <b/>
            <sz val="9"/>
            <color indexed="81"/>
            <rFont val="Tahoma"/>
            <family val="2"/>
          </rPr>
          <t>jarmylly:</t>
        </r>
        <r>
          <rPr>
            <sz val="9"/>
            <color indexed="81"/>
            <rFont val="Tahoma"/>
            <family val="2"/>
          </rPr>
          <t xml:space="preserve">
Image name: vgredo</t>
        </r>
      </text>
    </comment>
    <comment ref="Q11" authorId="2" shapeId="0" xr:uid="{B12696FB-F361-44E0-94C5-956AB0184753}">
      <text>
        <r>
          <rPr>
            <b/>
            <sz val="9"/>
            <color indexed="81"/>
            <rFont val="Tahoma"/>
            <family val="2"/>
          </rPr>
          <t>Thippeswamy, Suresh (Nokia - IN/Bangalore):</t>
        </r>
        <r>
          <rPr>
            <sz val="9"/>
            <color indexed="81"/>
            <rFont val="Tahoma"/>
            <family val="2"/>
          </rPr>
          <t xml:space="preserve">
8 disks for striping, each disk size 1945600MB</t>
        </r>
      </text>
    </comment>
    <comment ref="T11" authorId="1" shapeId="0" xr:uid="{9DB0BC6A-E96E-4549-8021-6332D5ECBF9A}">
      <text>
        <r>
          <rPr>
            <b/>
            <sz val="9"/>
            <color indexed="81"/>
            <rFont val="Tahoma"/>
            <family val="2"/>
          </rPr>
          <t>jarmylly:</t>
        </r>
        <r>
          <rPr>
            <sz val="9"/>
            <color indexed="81"/>
            <rFont val="Tahoma"/>
            <family val="2"/>
          </rPr>
          <t xml:space="preserve">
Image name: vgdb</t>
        </r>
      </text>
    </comment>
    <comment ref="U11" authorId="2" shapeId="0" xr:uid="{2E89D11A-B089-4CC5-8714-F0284EE61FD6}">
      <text>
        <r>
          <rPr>
            <b/>
            <sz val="9"/>
            <color indexed="81"/>
            <rFont val="Tahoma"/>
            <family val="2"/>
          </rPr>
          <t>Thippeswamy, Suresh (Nokia - IN/Bangalore):</t>
        </r>
        <r>
          <rPr>
            <sz val="9"/>
            <color indexed="81"/>
            <rFont val="Tahoma"/>
            <family val="2"/>
          </rPr>
          <t xml:space="preserve">
2 disks for striping, each disk size 8499200MB</t>
        </r>
      </text>
    </comment>
    <comment ref="X11" authorId="1" shapeId="0" xr:uid="{A142114C-D77E-4926-BBB8-DACFD1BF08BA}">
      <text>
        <r>
          <rPr>
            <b/>
            <sz val="9"/>
            <color indexed="81"/>
            <rFont val="Tahoma"/>
            <family val="2"/>
          </rPr>
          <t>jarmylly:</t>
        </r>
        <r>
          <rPr>
            <sz val="9"/>
            <color indexed="81"/>
            <rFont val="Tahoma"/>
            <family val="2"/>
          </rPr>
          <t xml:space="preserve">
Image name: vgarc</t>
        </r>
      </text>
    </comment>
    <comment ref="AG11" authorId="2" shapeId="0" xr:uid="{F15FC059-880D-44D6-9ECB-E3FD9EF4EAB3}">
      <text>
        <r>
          <rPr>
            <b/>
            <sz val="9"/>
            <color indexed="81"/>
            <rFont val="Tahoma"/>
            <family val="2"/>
          </rPr>
          <t>Thippeswamy, Suresh (Nokia - IN/Bangalore):</t>
        </r>
        <r>
          <rPr>
            <sz val="9"/>
            <color indexed="81"/>
            <rFont val="Tahoma"/>
            <family val="2"/>
          </rPr>
          <t xml:space="preserve">
8 disks for striping, each disk size 4016640MB</t>
        </r>
      </text>
    </comment>
    <comment ref="BH11" authorId="3" shapeId="0" xr:uid="{06CC896E-4EE7-4AB0-941A-0CD640B2B2F8}">
      <text>
        <r>
          <rPr>
            <b/>
            <sz val="9"/>
            <color indexed="81"/>
            <rFont val="Tahoma"/>
            <family val="2"/>
          </rPr>
          <t xml:space="preserve"> Alok :name
</t>
        </r>
        <r>
          <rPr>
            <sz val="9"/>
            <color indexed="81"/>
            <rFont val="Tahoma"/>
            <family val="2"/>
          </rPr>
          <t>vgdbfb</t>
        </r>
      </text>
    </comment>
    <comment ref="L12" authorId="1" shapeId="0" xr:uid="{725969E9-C692-4AFA-BF98-56919F92A36E}">
      <text>
        <r>
          <rPr>
            <b/>
            <sz val="9"/>
            <color indexed="81"/>
            <rFont val="Tahoma"/>
            <family val="2"/>
          </rPr>
          <t>jarmylly:</t>
        </r>
        <r>
          <rPr>
            <sz val="9"/>
            <color indexed="81"/>
            <rFont val="Tahoma"/>
            <family val="2"/>
          </rPr>
          <t xml:space="preserve">
Image name: netact_rhel_base</t>
        </r>
      </text>
    </comment>
    <comment ref="Y12" authorId="3" shapeId="0" xr:uid="{33785F57-E38E-434B-86E4-CD42D7EEAFDE}">
      <text>
        <r>
          <rPr>
            <b/>
            <sz val="9"/>
            <color indexed="81"/>
            <rFont val="Tahoma"/>
            <family val="2"/>
          </rPr>
          <t>Rastogi, Alok (Nokia - IN/Bangalore):</t>
        </r>
        <r>
          <rPr>
            <sz val="9"/>
            <color indexed="81"/>
            <rFont val="Tahoma"/>
            <family val="2"/>
          </rPr>
          <t xml:space="preserve">
Contains four Disks;
1 Disk for Home: 93184  MB
2 Disks for Global : each disk size 585728 MB for striping
</t>
        </r>
        <r>
          <rPr>
            <b/>
            <sz val="9"/>
            <color indexed="81"/>
            <rFont val="Tahoma"/>
            <family val="2"/>
          </rPr>
          <t>OR</t>
        </r>
        <r>
          <rPr>
            <sz val="9"/>
            <color indexed="81"/>
            <rFont val="Tahoma"/>
            <family val="2"/>
          </rPr>
          <t xml:space="preserve">
2 Disks for Global  (If LCM chosen as optional service on Compute1): each disk size 647168 MB for striping
1 dDsk for WAS dump: 87040 MB</t>
        </r>
      </text>
    </comment>
    <comment ref="AB12" authorId="1" shapeId="0" xr:uid="{1D0400EC-AF89-4BA9-BF0E-C9FB1FB4CFC7}">
      <text>
        <r>
          <rPr>
            <b/>
            <sz val="9"/>
            <color indexed="81"/>
            <rFont val="Tahoma"/>
            <family val="2"/>
          </rPr>
          <t>jarmylly:</t>
        </r>
        <r>
          <rPr>
            <sz val="9"/>
            <color indexed="81"/>
            <rFont val="Tahoma"/>
            <family val="2"/>
          </rPr>
          <t xml:space="preserve">
Image names:
- vgglobal
- vghome</t>
        </r>
      </text>
    </comment>
    <comment ref="AC12" authorId="1" shapeId="0" xr:uid="{A4690197-EC34-4A5D-B290-DF938669F5CE}">
      <text>
        <r>
          <rPr>
            <b/>
            <sz val="9"/>
            <color indexed="81"/>
            <rFont val="Tahoma"/>
            <family val="2"/>
          </rPr>
          <t>jarmylly:</t>
        </r>
        <r>
          <rPr>
            <sz val="9"/>
            <color indexed="81"/>
            <rFont val="Tahoma"/>
            <family val="2"/>
          </rPr>
          <t xml:space="preserve">
Reserved for customer own data.</t>
        </r>
      </text>
    </comment>
    <comment ref="BM12" authorId="2" shapeId="0" xr:uid="{E68DBD28-0F19-4466-AC04-89181186C54D}">
      <text>
        <r>
          <rPr>
            <b/>
            <sz val="9"/>
            <color indexed="81"/>
            <rFont val="Tahoma"/>
            <family val="2"/>
          </rPr>
          <t>Thippeswamy, Suresh (Nokia - IN/Bangalore):</t>
        </r>
        <r>
          <rPr>
            <sz val="9"/>
            <color indexed="81"/>
            <rFont val="Tahoma"/>
            <family val="2"/>
          </rPr>
          <t xml:space="preserve">
6 Including Customer Volume otherwise 5</t>
        </r>
      </text>
    </comment>
    <comment ref="L13" authorId="1" shapeId="0" xr:uid="{33589AA9-89BA-4F36-92DE-F70B11B61A9B}">
      <text>
        <r>
          <rPr>
            <b/>
            <sz val="9"/>
            <color indexed="81"/>
            <rFont val="Tahoma"/>
            <family val="2"/>
          </rPr>
          <t>jarmylly:</t>
        </r>
        <r>
          <rPr>
            <sz val="9"/>
            <color indexed="81"/>
            <rFont val="Tahoma"/>
            <family val="2"/>
          </rPr>
          <t xml:space="preserve">
Image name: netact_rhel_base</t>
        </r>
      </text>
    </comment>
    <comment ref="L14" authorId="1" shapeId="0" xr:uid="{4C9423B6-16C8-4BE3-B142-FBE663FE727B}">
      <text>
        <r>
          <rPr>
            <b/>
            <sz val="9"/>
            <color indexed="81"/>
            <rFont val="Tahoma"/>
            <family val="2"/>
          </rPr>
          <t>jarmylly:</t>
        </r>
        <r>
          <rPr>
            <sz val="9"/>
            <color indexed="81"/>
            <rFont val="Tahoma"/>
            <family val="2"/>
          </rPr>
          <t xml:space="preserve">
Image name: netact_rhel_base</t>
        </r>
      </text>
    </comment>
    <comment ref="L15" authorId="1" shapeId="0" xr:uid="{ABE39A19-E43A-41AB-96B0-101B8AA05558}">
      <text>
        <r>
          <rPr>
            <b/>
            <sz val="9"/>
            <color indexed="81"/>
            <rFont val="Tahoma"/>
            <family val="2"/>
          </rPr>
          <t>jarmylly:</t>
        </r>
        <r>
          <rPr>
            <sz val="9"/>
            <color indexed="81"/>
            <rFont val="Tahoma"/>
            <family val="2"/>
          </rPr>
          <t xml:space="preserve">
Image name: netact_rhel_base</t>
        </r>
      </text>
    </comment>
    <comment ref="L16" authorId="1" shapeId="0" xr:uid="{86CF5DCA-E131-4225-84A0-13BFD635113A}">
      <text>
        <r>
          <rPr>
            <b/>
            <sz val="9"/>
            <color indexed="81"/>
            <rFont val="Tahoma"/>
            <family val="2"/>
          </rPr>
          <t>jarmylly:</t>
        </r>
        <r>
          <rPr>
            <sz val="9"/>
            <color indexed="81"/>
            <rFont val="Tahoma"/>
            <family val="2"/>
          </rPr>
          <t xml:space="preserve">
Image name: netact_rhel_base</t>
        </r>
      </text>
    </comment>
    <comment ref="L17" authorId="1" shapeId="0" xr:uid="{86C8216C-256B-427D-B914-627D3297CAA4}">
      <text>
        <r>
          <rPr>
            <b/>
            <sz val="9"/>
            <color indexed="81"/>
            <rFont val="Tahoma"/>
            <family val="2"/>
          </rPr>
          <t>jarmylly:</t>
        </r>
        <r>
          <rPr>
            <sz val="9"/>
            <color indexed="81"/>
            <rFont val="Tahoma"/>
            <family val="2"/>
          </rPr>
          <t xml:space="preserve">
Image name: netact_rhel_base</t>
        </r>
      </text>
    </comment>
    <comment ref="L18" authorId="1" shapeId="0" xr:uid="{EFA8A3C5-A1D9-4D4A-9EB7-72D9ED7C3BCE}">
      <text>
        <r>
          <rPr>
            <b/>
            <sz val="9"/>
            <color indexed="81"/>
            <rFont val="Tahoma"/>
            <family val="2"/>
          </rPr>
          <t>jarmylly:</t>
        </r>
        <r>
          <rPr>
            <sz val="9"/>
            <color indexed="81"/>
            <rFont val="Tahoma"/>
            <family val="2"/>
          </rPr>
          <t xml:space="preserve">
Image name: netact_rhel_base</t>
        </r>
      </text>
    </comment>
    <comment ref="L19" authorId="1" shapeId="0" xr:uid="{842E58D2-D028-4D0D-B78C-8639AA4F78A3}">
      <text>
        <r>
          <rPr>
            <b/>
            <sz val="9"/>
            <color indexed="81"/>
            <rFont val="Tahoma"/>
            <family val="2"/>
          </rPr>
          <t>jarmylly:</t>
        </r>
        <r>
          <rPr>
            <sz val="9"/>
            <color indexed="81"/>
            <rFont val="Tahoma"/>
            <family val="2"/>
          </rPr>
          <t xml:space="preserve">
Image name: netact_rhel_base</t>
        </r>
      </text>
    </comment>
    <comment ref="AR19" authorId="3" shapeId="0" xr:uid="{2BFDBCEA-7D0B-48CB-BA54-317EA73C8893}">
      <text>
        <r>
          <rPr>
            <b/>
            <sz val="9"/>
            <color indexed="81"/>
            <rFont val="Tahoma"/>
            <family val="2"/>
          </rPr>
          <t xml:space="preserve"> Alok :name
</t>
        </r>
        <r>
          <rPr>
            <sz val="9"/>
            <color indexed="81"/>
            <rFont val="Tahoma"/>
            <family val="2"/>
          </rPr>
          <t>vgadm</t>
        </r>
      </text>
    </comment>
    <comment ref="L20" authorId="1" shapeId="0" xr:uid="{3634BE81-8BC5-482C-9402-7185CD9D9933}">
      <text>
        <r>
          <rPr>
            <b/>
            <sz val="9"/>
            <color indexed="81"/>
            <rFont val="Tahoma"/>
            <family val="2"/>
          </rPr>
          <t>jarmylly:</t>
        </r>
        <r>
          <rPr>
            <sz val="9"/>
            <color indexed="81"/>
            <rFont val="Tahoma"/>
            <family val="2"/>
          </rPr>
          <t xml:space="preserve">
Image name: netact_rhel_base</t>
        </r>
      </text>
    </comment>
    <comment ref="L21" authorId="1" shapeId="0" xr:uid="{7E1D2F49-E99E-4798-8546-D74E71A6D43D}">
      <text>
        <r>
          <rPr>
            <b/>
            <sz val="9"/>
            <color indexed="81"/>
            <rFont val="Tahoma"/>
            <family val="2"/>
          </rPr>
          <t>jarmylly:</t>
        </r>
        <r>
          <rPr>
            <sz val="9"/>
            <color indexed="81"/>
            <rFont val="Tahoma"/>
            <family val="2"/>
          </rPr>
          <t xml:space="preserve">
Image name: netact_rhel_base</t>
        </r>
      </text>
    </comment>
    <comment ref="L22" authorId="1" shapeId="0" xr:uid="{5728125D-D2B3-4BDA-ACFF-5E36E2A36D74}">
      <text>
        <r>
          <rPr>
            <b/>
            <sz val="9"/>
            <color indexed="81"/>
            <rFont val="Tahoma"/>
            <family val="2"/>
          </rPr>
          <t>jarmylly:</t>
        </r>
        <r>
          <rPr>
            <sz val="9"/>
            <color indexed="81"/>
            <rFont val="Tahoma"/>
            <family val="2"/>
          </rPr>
          <t xml:space="preserve">
Image name: netact_rhel_base</t>
        </r>
      </text>
    </comment>
    <comment ref="L23" authorId="1" shapeId="0" xr:uid="{548F5A4D-B0A1-490A-BA8E-16166D1AD1F7}">
      <text>
        <r>
          <rPr>
            <b/>
            <sz val="9"/>
            <color indexed="81"/>
            <rFont val="Tahoma"/>
            <family val="2"/>
          </rPr>
          <t>jarmylly:</t>
        </r>
        <r>
          <rPr>
            <sz val="9"/>
            <color indexed="81"/>
            <rFont val="Tahoma"/>
            <family val="2"/>
          </rPr>
          <t xml:space="preserve">
Image name: netact_rhel_base</t>
        </r>
      </text>
    </comment>
    <comment ref="AV23" authorId="2" shapeId="0" xr:uid="{3FF31D3B-3453-4730-8ADA-C92027AC83BF}">
      <text>
        <r>
          <rPr>
            <b/>
            <sz val="9"/>
            <color indexed="81"/>
            <rFont val="Tahoma"/>
            <family val="2"/>
          </rPr>
          <t>Thippeswamy, Suresh (Nokia - IN/Bangalore):</t>
        </r>
        <r>
          <rPr>
            <sz val="9"/>
            <color indexed="81"/>
            <rFont val="Tahoma"/>
            <family val="2"/>
          </rPr>
          <t xml:space="preserve">
Image name: vgisdk</t>
        </r>
      </text>
    </comment>
    <comment ref="BM23" authorId="2" shapeId="0" xr:uid="{6099782A-3ECA-4BC8-ABB5-49D661B62138}">
      <text>
        <r>
          <rPr>
            <b/>
            <sz val="9"/>
            <color indexed="81"/>
            <rFont val="Tahoma"/>
            <family val="2"/>
          </rPr>
          <t>Thippeswamy, Suresh (Nokia - IN/Bangalore):</t>
        </r>
        <r>
          <rPr>
            <sz val="9"/>
            <color indexed="81"/>
            <rFont val="Tahoma"/>
            <family val="2"/>
          </rPr>
          <t xml:space="preserve">
CRSR-227: Changed to 3 from 2</t>
        </r>
      </text>
    </comment>
    <comment ref="L24" authorId="1" shapeId="0" xr:uid="{84D75BAA-91E6-44FD-8949-DC88140E0C94}">
      <text>
        <r>
          <rPr>
            <b/>
            <sz val="9"/>
            <color indexed="81"/>
            <rFont val="Tahoma"/>
            <family val="2"/>
          </rPr>
          <t>jarmylly:</t>
        </r>
        <r>
          <rPr>
            <sz val="9"/>
            <color indexed="81"/>
            <rFont val="Tahoma"/>
            <family val="2"/>
          </rPr>
          <t xml:space="preserve">
Image name: netact_rhel_base</t>
        </r>
      </text>
    </comment>
    <comment ref="AV24" authorId="2" shapeId="0" xr:uid="{A7A692EE-FFD3-4726-81F5-0DDBE2C7F132}">
      <text>
        <r>
          <rPr>
            <b/>
            <sz val="9"/>
            <color indexed="81"/>
            <rFont val="Tahoma"/>
            <family val="2"/>
          </rPr>
          <t>Thippeswamy, Suresh (Nokia - IN/Bangalore):</t>
        </r>
        <r>
          <rPr>
            <sz val="9"/>
            <color indexed="81"/>
            <rFont val="Tahoma"/>
            <family val="2"/>
          </rPr>
          <t xml:space="preserve">
Image name: vgisdk</t>
        </r>
      </text>
    </comment>
    <comment ref="BM24" authorId="2" shapeId="0" xr:uid="{38F9150A-1E84-46A3-8846-4531AFCE2CDA}">
      <text>
        <r>
          <rPr>
            <b/>
            <sz val="9"/>
            <color indexed="81"/>
            <rFont val="Tahoma"/>
            <family val="2"/>
          </rPr>
          <t>Thippeswamy, Suresh (Nokia - IN/Bangalore):</t>
        </r>
        <r>
          <rPr>
            <sz val="9"/>
            <color indexed="81"/>
            <rFont val="Tahoma"/>
            <family val="2"/>
          </rPr>
          <t xml:space="preserve">
CRSR-227: Changed to 3 from 2</t>
        </r>
      </text>
    </comment>
    <comment ref="L25" authorId="1" shapeId="0" xr:uid="{23019A8C-AD7F-4C33-A936-DE59E8AEE8BB}">
      <text>
        <r>
          <rPr>
            <b/>
            <sz val="9"/>
            <color indexed="81"/>
            <rFont val="Tahoma"/>
            <family val="2"/>
          </rPr>
          <t>jarmylly:</t>
        </r>
        <r>
          <rPr>
            <sz val="9"/>
            <color indexed="81"/>
            <rFont val="Tahoma"/>
            <family val="2"/>
          </rPr>
          <t xml:space="preserve">
Image name: netact_rhel_base</t>
        </r>
      </text>
    </comment>
    <comment ref="L26" authorId="1" shapeId="0" xr:uid="{9AEBA34D-902D-413D-8714-EDA737320576}">
      <text>
        <r>
          <rPr>
            <b/>
            <sz val="9"/>
            <color indexed="81"/>
            <rFont val="Tahoma"/>
            <family val="2"/>
          </rPr>
          <t>jarmylly:</t>
        </r>
        <r>
          <rPr>
            <sz val="9"/>
            <color indexed="81"/>
            <rFont val="Tahoma"/>
            <family val="2"/>
          </rPr>
          <t xml:space="preserve">
Image name: netact_rhel_base</t>
        </r>
      </text>
    </comment>
    <comment ref="L27" authorId="1" shapeId="0" xr:uid="{031C292E-20B9-4E31-B912-8876665BA40B}">
      <text>
        <r>
          <rPr>
            <b/>
            <sz val="9"/>
            <color indexed="81"/>
            <rFont val="Tahoma"/>
            <family val="2"/>
          </rPr>
          <t>jarmylly:</t>
        </r>
        <r>
          <rPr>
            <sz val="9"/>
            <color indexed="81"/>
            <rFont val="Tahoma"/>
            <family val="2"/>
          </rPr>
          <t xml:space="preserve">
Image name: netact_rhel_base</t>
        </r>
      </text>
    </comment>
    <comment ref="L28" authorId="1" shapeId="0" xr:uid="{F1544726-542E-4589-AF5C-1D795814A13A}">
      <text>
        <r>
          <rPr>
            <b/>
            <sz val="9"/>
            <color indexed="81"/>
            <rFont val="Tahoma"/>
            <family val="2"/>
          </rPr>
          <t>jarmylly:</t>
        </r>
        <r>
          <rPr>
            <sz val="9"/>
            <color indexed="81"/>
            <rFont val="Tahoma"/>
            <family val="2"/>
          </rPr>
          <t xml:space="preserve">
Image name: netact_rhel_base</t>
        </r>
      </text>
    </comment>
    <comment ref="L29" authorId="1" shapeId="0" xr:uid="{89121E98-2EE9-4D3D-800A-5D0AE94C5DE5}">
      <text>
        <r>
          <rPr>
            <b/>
            <sz val="9"/>
            <color indexed="81"/>
            <rFont val="Tahoma"/>
            <family val="2"/>
          </rPr>
          <t>jarmylly:</t>
        </r>
        <r>
          <rPr>
            <sz val="9"/>
            <color indexed="81"/>
            <rFont val="Tahoma"/>
            <family val="2"/>
          </rPr>
          <t xml:space="preserve">
Image name: netact_rhel_base</t>
        </r>
      </text>
    </comment>
    <comment ref="L30" authorId="1" shapeId="0" xr:uid="{201173C7-9D1E-4C82-B7D9-A522C0DB763C}">
      <text>
        <r>
          <rPr>
            <b/>
            <sz val="9"/>
            <color indexed="81"/>
            <rFont val="Tahoma"/>
            <family val="2"/>
          </rPr>
          <t>jarmylly:</t>
        </r>
        <r>
          <rPr>
            <sz val="9"/>
            <color indexed="81"/>
            <rFont val="Tahoma"/>
            <family val="2"/>
          </rPr>
          <t xml:space="preserve">
Image name: netact_rhel_base</t>
        </r>
      </text>
    </comment>
    <comment ref="L31" authorId="1" shapeId="0" xr:uid="{6980E3A8-1E1C-4438-9FC6-895C26107E9B}">
      <text>
        <r>
          <rPr>
            <b/>
            <sz val="9"/>
            <color indexed="81"/>
            <rFont val="Tahoma"/>
            <family val="2"/>
          </rPr>
          <t>jarmylly:</t>
        </r>
        <r>
          <rPr>
            <sz val="9"/>
            <color indexed="81"/>
            <rFont val="Tahoma"/>
            <family val="2"/>
          </rPr>
          <t xml:space="preserve">
Image name: netact_rhel_base</t>
        </r>
      </text>
    </comment>
    <comment ref="L32" authorId="1" shapeId="0" xr:uid="{14DD0A36-BA51-4C0E-A0EA-34CCC78E3148}">
      <text>
        <r>
          <rPr>
            <b/>
            <sz val="9"/>
            <color indexed="81"/>
            <rFont val="Tahoma"/>
            <family val="2"/>
          </rPr>
          <t>jarmylly:</t>
        </r>
        <r>
          <rPr>
            <sz val="9"/>
            <color indexed="81"/>
            <rFont val="Tahoma"/>
            <family val="2"/>
          </rPr>
          <t xml:space="preserve">
Image name: netact_rhel_base</t>
        </r>
      </text>
    </comment>
    <comment ref="L33" authorId="1" shapeId="0" xr:uid="{DD484479-7341-4D27-81C7-6F3E7D41AE44}">
      <text>
        <r>
          <rPr>
            <b/>
            <sz val="9"/>
            <color indexed="81"/>
            <rFont val="Tahoma"/>
            <family val="2"/>
          </rPr>
          <t>jarmylly:</t>
        </r>
        <r>
          <rPr>
            <sz val="9"/>
            <color indexed="81"/>
            <rFont val="Tahoma"/>
            <family val="2"/>
          </rPr>
          <t xml:space="preserve">
Image name: netact_rhel_base</t>
        </r>
      </text>
    </comment>
    <comment ref="L34" authorId="1" shapeId="0" xr:uid="{435412FA-AAAF-4C01-85E9-6272FF630709}">
      <text>
        <r>
          <rPr>
            <b/>
            <sz val="9"/>
            <color indexed="81"/>
            <rFont val="Tahoma"/>
            <family val="2"/>
          </rPr>
          <t>jarmylly:</t>
        </r>
        <r>
          <rPr>
            <sz val="9"/>
            <color indexed="81"/>
            <rFont val="Tahoma"/>
            <family val="2"/>
          </rPr>
          <t xml:space="preserve">
Image name: netact_rhel_base</t>
        </r>
      </text>
    </comment>
    <comment ref="H35" authorId="1" shapeId="0" xr:uid="{C0F81DC7-9869-4158-8295-53D72EFEA5BA}">
      <text>
        <r>
          <rPr>
            <b/>
            <sz val="9"/>
            <color indexed="81"/>
            <rFont val="Tahoma"/>
            <family val="2"/>
          </rPr>
          <t>jarmylly:</t>
        </r>
        <r>
          <rPr>
            <sz val="9"/>
            <color indexed="81"/>
            <rFont val="Tahoma"/>
            <family val="2"/>
          </rPr>
          <t xml:space="preserve">
Contains two disks:
- Disk-1: 60GB
- Disk-2: 40GB</t>
        </r>
      </text>
    </comment>
    <comment ref="L35" authorId="1" shapeId="0" xr:uid="{F69AEB7E-C630-4CD7-B22F-BBF57DBE4890}">
      <text>
        <r>
          <rPr>
            <b/>
            <sz val="9"/>
            <color indexed="81"/>
            <rFont val="Tahoma"/>
            <family val="2"/>
          </rPr>
          <t>jarmylly:</t>
        </r>
        <r>
          <rPr>
            <sz val="9"/>
            <color indexed="81"/>
            <rFont val="Tahoma"/>
            <family val="2"/>
          </rPr>
          <t xml:space="preserve">
Image name: 
- NMS_DC_disk1
- NMS_DC_disk2
- cdrom_nms</t>
        </r>
      </text>
    </comment>
    <comment ref="H36" authorId="1" shapeId="0" xr:uid="{AC2D0DD0-0C41-4B9C-AFC3-46AECB2FA540}">
      <text>
        <r>
          <rPr>
            <sz val="9"/>
            <color indexed="81"/>
            <rFont val="Tahoma"/>
            <family val="2"/>
          </rPr>
          <t>Contains two disks:
- Disk-1: 60GB
(NOTE: For servers intended for more than 10 concurrent users the recommended size for disk C is Disk-1 size + RAM size.)
- Disk-2: 40GB</t>
        </r>
      </text>
    </comment>
    <comment ref="L36" authorId="1" shapeId="0" xr:uid="{DD2405B1-73AE-4F36-860B-FBC5D4BFABBC}">
      <text>
        <r>
          <rPr>
            <b/>
            <sz val="9"/>
            <color indexed="81"/>
            <rFont val="Tahoma"/>
            <family val="2"/>
          </rPr>
          <t>jarmylly:</t>
        </r>
        <r>
          <rPr>
            <sz val="9"/>
            <color indexed="81"/>
            <rFont val="Tahoma"/>
            <family val="2"/>
          </rPr>
          <t xml:space="preserve">
Image name:
- NMS_VDA_disk1
- NMS_VDA_disk2</t>
        </r>
      </text>
    </comment>
    <comment ref="H37" authorId="1" shapeId="0" xr:uid="{BDF1A4EC-876F-4BDE-A4A1-78894DFA4FCF}">
      <text>
        <r>
          <rPr>
            <sz val="9"/>
            <color indexed="81"/>
            <rFont val="Tahoma"/>
            <family val="2"/>
          </rPr>
          <t>Contains two disks:
- Disk-1: 80GB
(NOTE: For servers intended for more than 10 concurrent users the recommended size for disk C is Disk-1 size + RAM size.)
- Disk-2: 40GB</t>
        </r>
      </text>
    </comment>
    <comment ref="L37" authorId="1" shapeId="0" xr:uid="{389DDA2C-3F49-467F-B067-2AE19B51E1EC}">
      <text>
        <r>
          <rPr>
            <b/>
            <sz val="9"/>
            <color indexed="81"/>
            <rFont val="Tahoma"/>
            <family val="2"/>
          </rPr>
          <t>jarmylly:</t>
        </r>
        <r>
          <rPr>
            <sz val="9"/>
            <color indexed="81"/>
            <rFont val="Tahoma"/>
            <family val="2"/>
          </rPr>
          <t xml:space="preserve">
Image name:
- NMS_CTXDC_disk1
- NMS_CTXDC_disk2
- cdrom_nms</t>
        </r>
      </text>
    </comment>
    <comment ref="L38" authorId="1" shapeId="0" xr:uid="{C98E35D7-C639-4F26-8453-4D63E6BBC9E1}">
      <text>
        <r>
          <rPr>
            <b/>
            <sz val="9"/>
            <color indexed="81"/>
            <rFont val="Tahoma"/>
            <family val="2"/>
          </rPr>
          <t>jarmylly:</t>
        </r>
        <r>
          <rPr>
            <sz val="9"/>
            <color indexed="81"/>
            <rFont val="Tahoma"/>
            <family val="2"/>
          </rPr>
          <t xml:space="preserve">
Image name: netact_rhel_base</t>
        </r>
      </text>
    </comment>
    <comment ref="AN38" authorId="1" shapeId="0" xr:uid="{B089BA79-532C-48FC-A018-7FCD55B365B0}">
      <text>
        <r>
          <rPr>
            <b/>
            <sz val="9"/>
            <color indexed="81"/>
            <rFont val="Tahoma"/>
            <family val="2"/>
          </rPr>
          <t>jarmylly:</t>
        </r>
        <r>
          <rPr>
            <sz val="9"/>
            <color indexed="81"/>
            <rFont val="Tahoma"/>
            <family val="2"/>
          </rPr>
          <t xml:space="preserve">
Image name: vgrep</t>
        </r>
      </text>
    </comment>
    <comment ref="L39" authorId="1" shapeId="0" xr:uid="{D9A1EAEB-8264-4B3D-87CA-FA421D2414E0}">
      <text>
        <r>
          <rPr>
            <b/>
            <sz val="9"/>
            <color indexed="81"/>
            <rFont val="Tahoma"/>
            <family val="2"/>
          </rPr>
          <t>jarmylly:</t>
        </r>
        <r>
          <rPr>
            <sz val="9"/>
            <color indexed="81"/>
            <rFont val="Tahoma"/>
            <family val="2"/>
          </rPr>
          <t xml:space="preserve">
Image name: netact_rhel_base</t>
        </r>
      </text>
    </comment>
    <comment ref="AN39" authorId="1" shapeId="0" xr:uid="{DE02D73B-4AC6-4B51-BA96-0691A72EC699}">
      <text>
        <r>
          <rPr>
            <b/>
            <sz val="9"/>
            <color indexed="81"/>
            <rFont val="Tahoma"/>
            <family val="2"/>
          </rPr>
          <t>jarmylly:</t>
        </r>
        <r>
          <rPr>
            <sz val="9"/>
            <color indexed="81"/>
            <rFont val="Tahoma"/>
            <family val="2"/>
          </rPr>
          <t xml:space="preserve">
Image name: vgrep</t>
        </r>
      </text>
    </comment>
    <comment ref="L40" authorId="1" shapeId="0" xr:uid="{E4D42A2D-64DB-4233-9C43-887B2EE6AC01}">
      <text>
        <r>
          <rPr>
            <b/>
            <sz val="9"/>
            <color indexed="81"/>
            <rFont val="Tahoma"/>
            <family val="2"/>
          </rPr>
          <t>jarmylly:</t>
        </r>
        <r>
          <rPr>
            <sz val="9"/>
            <color indexed="81"/>
            <rFont val="Tahoma"/>
            <family val="2"/>
          </rPr>
          <t xml:space="preserve">
Image name: netact_rhel_base</t>
        </r>
      </text>
    </comment>
    <comment ref="AN40" authorId="1" shapeId="0" xr:uid="{25010F06-879B-4D04-BC14-A55004E1C3BE}">
      <text>
        <r>
          <rPr>
            <b/>
            <sz val="9"/>
            <color indexed="81"/>
            <rFont val="Tahoma"/>
            <family val="2"/>
          </rPr>
          <t>jarmylly:</t>
        </r>
        <r>
          <rPr>
            <sz val="9"/>
            <color indexed="81"/>
            <rFont val="Tahoma"/>
            <family val="2"/>
          </rPr>
          <t xml:space="preserve">
Image name: vgrep</t>
        </r>
      </text>
    </comment>
    <comment ref="L41" authorId="1" shapeId="0" xr:uid="{01D27856-8DFB-446A-BDF7-362A3C38D675}">
      <text>
        <r>
          <rPr>
            <b/>
            <sz val="9"/>
            <color indexed="81"/>
            <rFont val="Tahoma"/>
            <family val="2"/>
          </rPr>
          <t>jarmylly:</t>
        </r>
        <r>
          <rPr>
            <sz val="9"/>
            <color indexed="81"/>
            <rFont val="Tahoma"/>
            <family val="2"/>
          </rPr>
          <t xml:space="preserve">
Image name: netact_rhel_base</t>
        </r>
      </text>
    </comment>
    <comment ref="AN41" authorId="1" shapeId="0" xr:uid="{A1BA088C-3847-4BF4-A42D-11EB7B87BBAF}">
      <text>
        <r>
          <rPr>
            <b/>
            <sz val="9"/>
            <color indexed="81"/>
            <rFont val="Tahoma"/>
            <family val="2"/>
          </rPr>
          <t>jarmylly:</t>
        </r>
        <r>
          <rPr>
            <sz val="9"/>
            <color indexed="81"/>
            <rFont val="Tahoma"/>
            <family val="2"/>
          </rPr>
          <t xml:space="preserve">
Image name: vgrep</t>
        </r>
      </text>
    </comment>
    <comment ref="L42" authorId="1" shapeId="0" xr:uid="{D9CA5AAB-3E3A-4BCA-ADEB-E404D4127553}">
      <text>
        <r>
          <rPr>
            <b/>
            <sz val="9"/>
            <color indexed="81"/>
            <rFont val="Tahoma"/>
            <family val="2"/>
          </rPr>
          <t>jarmylly:</t>
        </r>
        <r>
          <rPr>
            <sz val="9"/>
            <color indexed="81"/>
            <rFont val="Tahoma"/>
            <family val="2"/>
          </rPr>
          <t xml:space="preserve">
Image name: netact_rhel_base</t>
        </r>
      </text>
    </comment>
    <comment ref="L43" authorId="1" shapeId="0" xr:uid="{4A1920AB-13FB-4D26-A7C1-3FBBE96ACEEB}">
      <text>
        <r>
          <rPr>
            <b/>
            <sz val="9"/>
            <color indexed="81"/>
            <rFont val="Tahoma"/>
            <family val="2"/>
          </rPr>
          <t>jarmylly:</t>
        </r>
        <r>
          <rPr>
            <sz val="9"/>
            <color indexed="81"/>
            <rFont val="Tahoma"/>
            <family val="2"/>
          </rPr>
          <t xml:space="preserve">
Image name: netact_rhel_base</t>
        </r>
      </text>
    </comment>
    <comment ref="L44" authorId="1" shapeId="0" xr:uid="{41E16DC2-C668-44DE-8164-298C6D8C4438}">
      <text>
        <r>
          <rPr>
            <b/>
            <sz val="9"/>
            <color indexed="81"/>
            <rFont val="Tahoma"/>
            <family val="2"/>
          </rPr>
          <t>jarmylly:</t>
        </r>
        <r>
          <rPr>
            <sz val="9"/>
            <color indexed="81"/>
            <rFont val="Tahoma"/>
            <family val="2"/>
          </rPr>
          <t xml:space="preserve">
Image name: netact_rhel_base</t>
        </r>
      </text>
    </comment>
    <comment ref="BD44" authorId="0" shapeId="0" xr:uid="{B3EE80E2-C453-4021-A424-E97014BD7233}">
      <text>
        <r>
          <rPr>
            <b/>
            <sz val="9"/>
            <color indexed="81"/>
            <rFont val="Tahoma"/>
            <family val="2"/>
          </rPr>
          <t>Avuthu, Charan (EXT - IN/Bangalore):</t>
        </r>
        <r>
          <rPr>
            <sz val="9"/>
            <color indexed="81"/>
            <rFont val="Tahoma"/>
            <family val="2"/>
          </rPr>
          <t xml:space="preserve">
Image Name:vgkafka</t>
        </r>
      </text>
    </comment>
    <comment ref="L45" authorId="0" shapeId="0" xr:uid="{62B485B0-FF12-4EFE-BAA7-E72F0A7DE94F}">
      <text>
        <r>
          <rPr>
            <b/>
            <sz val="9"/>
            <color indexed="81"/>
            <rFont val="Tahoma"/>
            <family val="2"/>
          </rPr>
          <t>Avuthu, Charan (EXT - IN/Bangalore):</t>
        </r>
        <r>
          <rPr>
            <sz val="9"/>
            <color indexed="81"/>
            <rFont val="Tahoma"/>
            <family val="2"/>
          </rPr>
          <t xml:space="preserve">
Image name: netact_rhel_base</t>
        </r>
      </text>
    </comment>
    <comment ref="BD45" authorId="0" shapeId="0" xr:uid="{230F1F6A-4A96-4D48-98FA-488B351B42E0}">
      <text>
        <r>
          <rPr>
            <b/>
            <sz val="9"/>
            <color indexed="81"/>
            <rFont val="Tahoma"/>
            <family val="2"/>
          </rPr>
          <t>Avuthu, Charan (EXT - IN/Bangalore):</t>
        </r>
        <r>
          <rPr>
            <sz val="9"/>
            <color indexed="81"/>
            <rFont val="Tahoma"/>
            <family val="2"/>
          </rPr>
          <t xml:space="preserve">
Image Name:vgkafka</t>
        </r>
      </text>
    </comment>
    <comment ref="L46" authorId="0" shapeId="0" xr:uid="{341CC258-805D-495E-9520-1A786B55AB92}">
      <text>
        <r>
          <rPr>
            <b/>
            <sz val="9"/>
            <color indexed="81"/>
            <rFont val="Tahoma"/>
            <family val="2"/>
          </rPr>
          <t>Avuthu, Charan (EXT - IN/Bangalore):</t>
        </r>
        <r>
          <rPr>
            <sz val="9"/>
            <color indexed="81"/>
            <rFont val="Tahoma"/>
            <family val="2"/>
          </rPr>
          <t xml:space="preserve">
Image name: netact_rhel_base</t>
        </r>
      </text>
    </comment>
    <comment ref="BD46" authorId="0" shapeId="0" xr:uid="{02897906-602E-4984-908B-7845CAEE076C}">
      <text>
        <r>
          <rPr>
            <b/>
            <sz val="9"/>
            <color indexed="81"/>
            <rFont val="Tahoma"/>
            <family val="2"/>
          </rPr>
          <t>Avuthu, Charan (EXT - IN/Bangalore):</t>
        </r>
        <r>
          <rPr>
            <sz val="9"/>
            <color indexed="81"/>
            <rFont val="Tahoma"/>
            <family val="2"/>
          </rPr>
          <t xml:space="preserve">
Image Name:vgkafka</t>
        </r>
      </text>
    </comment>
    <comment ref="BU47" authorId="1" shapeId="0" xr:uid="{1AD88C89-7CFE-497B-9FDA-DDC9500CE500}">
      <text>
        <r>
          <rPr>
            <b/>
            <sz val="9"/>
            <color indexed="81"/>
            <rFont val="Tahoma"/>
            <family val="2"/>
          </rPr>
          <t>jarmylly:</t>
        </r>
        <r>
          <rPr>
            <sz val="9"/>
            <color indexed="81"/>
            <rFont val="Tahoma"/>
            <family val="2"/>
          </rPr>
          <t xml:space="preserve">
IPv4: 3
IPv4/IPv6: 5</t>
        </r>
      </text>
    </comment>
    <comment ref="AG49" authorId="4" shapeId="0" xr:uid="{82A3F9B4-FD00-4F60-AC7D-EDF174B82AD1}">
      <text>
        <r>
          <rPr>
            <b/>
            <sz val="9"/>
            <color indexed="81"/>
            <rFont val="Tahoma"/>
            <family val="2"/>
          </rPr>
          <t>Jayashree Sundaresan (Nokia):</t>
        </r>
        <r>
          <rPr>
            <sz val="9"/>
            <color indexed="81"/>
            <rFont val="Tahoma"/>
            <family val="2"/>
          </rPr>
          <t xml:space="preserve">
Contains one disk:
- backup_disk1: 204800 MB</t>
        </r>
      </text>
    </comment>
    <comment ref="BL49" authorId="4" shapeId="0" xr:uid="{B2EB2E07-EE70-47DD-A48D-6F7D339DA9C9}">
      <text>
        <r>
          <rPr>
            <b/>
            <sz val="9"/>
            <color indexed="81"/>
            <rFont val="Tahoma"/>
            <family val="2"/>
          </rPr>
          <t>Jayashree Sundaresan (Nokia):</t>
        </r>
        <r>
          <rPr>
            <sz val="9"/>
            <color indexed="81"/>
            <rFont val="Tahoma"/>
            <family val="2"/>
          </rPr>
          <t xml:space="preserve">
Image Name:vgniv</t>
        </r>
      </text>
    </comment>
    <comment ref="Y51" authorId="0" shapeId="0" xr:uid="{2A8F412E-A39E-46A7-919A-341C95CBFB7D}">
      <text>
        <r>
          <rPr>
            <b/>
            <sz val="9"/>
            <color indexed="81"/>
            <rFont val="Tahoma"/>
            <family val="2"/>
          </rPr>
          <t>Avuthu, Charan (EXT - IN/Bangalore):</t>
        </r>
        <r>
          <rPr>
            <sz val="9"/>
            <color indexed="81"/>
            <rFont val="Tahoma"/>
            <family val="2"/>
          </rPr>
          <t xml:space="preserve">
Increase for NFSGlobal disk on VM#5 by 120GB
- 2 Disks for Global  (For LCM as optional service on Compute1): each disk size 647168 MB for striping</t>
        </r>
      </text>
    </comment>
    <comment ref="AG51" authorId="0" shapeId="0" xr:uid="{0ED54FA6-3B9D-46DC-99C3-1560E27D66C7}">
      <text>
        <r>
          <rPr>
            <b/>
            <sz val="9"/>
            <color indexed="81"/>
            <rFont val="Tahoma"/>
            <family val="2"/>
          </rPr>
          <t>Avuthu, Charan (EXT - IN/Bangalore):</t>
        </r>
        <r>
          <rPr>
            <sz val="9"/>
            <color indexed="81"/>
            <rFont val="Tahoma"/>
            <family val="2"/>
          </rPr>
          <t xml:space="preserve">
If LCM&amp;CCR is selected as optional service
- Increase for NFSBackup disk on VM#5 by 120GB
- Increase of backup_disk on VM#150 by 200GB</t>
        </r>
      </text>
    </comment>
    <comment ref="AZ51" authorId="0" shapeId="0" xr:uid="{B10D8AD6-B64D-47F9-AADC-B6AEFE4899CE}">
      <text>
        <r>
          <rPr>
            <b/>
            <sz val="9"/>
            <color indexed="81"/>
            <rFont val="Tahoma"/>
            <family val="2"/>
          </rPr>
          <t>Avuthu, Charan (EXT - IN/Bangalore):</t>
        </r>
        <r>
          <rPr>
            <sz val="9"/>
            <color indexed="81"/>
            <rFont val="Tahoma"/>
            <family val="2"/>
          </rPr>
          <t xml:space="preserve">
Image Name:vgccr</t>
        </r>
      </text>
    </comment>
    <comment ref="BU53" authorId="1" shapeId="0" xr:uid="{63F00A01-A707-45B3-92E3-8129D5F7046C}">
      <text>
        <r>
          <rPr>
            <b/>
            <sz val="9"/>
            <color indexed="81"/>
            <rFont val="Tahoma"/>
            <family val="2"/>
          </rPr>
          <t>jarmylly:</t>
        </r>
        <r>
          <rPr>
            <sz val="9"/>
            <color indexed="81"/>
            <rFont val="Tahoma"/>
            <family val="2"/>
          </rPr>
          <t xml:space="preserve">
IPv4: 3
IPv4/IPv6: 5</t>
        </r>
      </text>
    </comment>
    <comment ref="L57" authorId="1" shapeId="0" xr:uid="{5B441293-FBB9-4A1A-88BC-FB412A9F1AF9}">
      <text>
        <r>
          <rPr>
            <b/>
            <sz val="9"/>
            <color indexed="81"/>
            <rFont val="Tahoma"/>
            <family val="2"/>
          </rPr>
          <t>jarmylly:</t>
        </r>
        <r>
          <rPr>
            <sz val="9"/>
            <color indexed="81"/>
            <rFont val="Tahoma"/>
            <family val="2"/>
          </rPr>
          <t xml:space="preserve">
Image name: netact_rhel_base</t>
        </r>
      </text>
    </comment>
    <comment ref="H58" authorId="1" shapeId="0" xr:uid="{68CAFB4F-2C6A-47FF-AD51-F6362F0BF8B9}">
      <text>
        <r>
          <rPr>
            <b/>
            <sz val="9"/>
            <color indexed="81"/>
            <rFont val="Tahoma"/>
            <family val="2"/>
          </rPr>
          <t>jarmylly:</t>
        </r>
        <r>
          <rPr>
            <sz val="9"/>
            <color indexed="81"/>
            <rFont val="Tahoma"/>
            <family val="2"/>
          </rPr>
          <t xml:space="preserve">
Contains two disks:
- Disk-1: 60GB
- Disk-2: 40GB</t>
        </r>
      </text>
    </comment>
    <comment ref="L58" authorId="1" shapeId="0" xr:uid="{A984ABD5-9AC8-4339-BD5F-2F68A8F0DD5A}">
      <text>
        <r>
          <rPr>
            <b/>
            <sz val="9"/>
            <color indexed="81"/>
            <rFont val="Tahoma"/>
            <family val="2"/>
          </rPr>
          <t>jarmylly:</t>
        </r>
        <r>
          <rPr>
            <sz val="9"/>
            <color indexed="81"/>
            <rFont val="Tahoma"/>
            <family val="2"/>
          </rPr>
          <t xml:space="preserve">
Image name:
- NMS_CTXDC_disk1
- NMS_CTXDC_disk2
- cdrom_nms</t>
        </r>
      </text>
    </comment>
    <comment ref="H59" authorId="1" shapeId="0" xr:uid="{5470AF05-F96A-426F-BB8C-30429A125E26}">
      <text>
        <r>
          <rPr>
            <sz val="9"/>
            <color indexed="81"/>
            <rFont val="Tahoma"/>
            <family val="2"/>
          </rPr>
          <t>Contains two disks:
- Disk-1: 60GB
(NOTE: For servers intended for more than 10 concurrent users the recommended size for disk C is Disk-1 size + RAM size.)
- Disk-2: 40GB</t>
        </r>
      </text>
    </comment>
    <comment ref="L59" authorId="1" shapeId="0" xr:uid="{800D8638-DAF6-4D8B-A7C7-13F1D2038180}">
      <text>
        <r>
          <rPr>
            <b/>
            <sz val="9"/>
            <color indexed="81"/>
            <rFont val="Tahoma"/>
            <family val="2"/>
          </rPr>
          <t>jarmylly:</t>
        </r>
        <r>
          <rPr>
            <sz val="9"/>
            <color indexed="81"/>
            <rFont val="Tahoma"/>
            <family val="2"/>
          </rPr>
          <t xml:space="preserve">
Image name:
- NMS_VDA_disk1
- NMS_VDA_disk2</t>
        </r>
      </text>
    </comment>
    <comment ref="H60" authorId="1" shapeId="0" xr:uid="{8A6481C3-2935-4767-8E9D-B029A5C67C5E}">
      <text>
        <r>
          <rPr>
            <sz val="9"/>
            <color indexed="81"/>
            <rFont val="Tahoma"/>
            <family val="2"/>
          </rPr>
          <t>Contains two disks:
- Disk-1: 60GB
(NOTE: For servers intended for more than 10 concurrent users the recommended size for disk C is Disk-1 size + RAM size.)
- Disk-2: 40GB</t>
        </r>
      </text>
    </comment>
    <comment ref="L60" authorId="1" shapeId="0" xr:uid="{8377041D-396A-4933-974B-EE760F2CAAD4}">
      <text>
        <r>
          <rPr>
            <b/>
            <sz val="9"/>
            <color indexed="81"/>
            <rFont val="Tahoma"/>
            <family val="2"/>
          </rPr>
          <t>jarmylly:</t>
        </r>
        <r>
          <rPr>
            <sz val="9"/>
            <color indexed="81"/>
            <rFont val="Tahoma"/>
            <family val="2"/>
          </rPr>
          <t xml:space="preserve">
Image name:
- NMS_VDA_disk1
- NMS_VDA_disk2</t>
        </r>
      </text>
    </comment>
    <comment ref="H61" authorId="1" shapeId="0" xr:uid="{D656BB3A-4B48-4BB8-9F98-1A5CEADAD490}">
      <text>
        <r>
          <rPr>
            <sz val="9"/>
            <color indexed="81"/>
            <rFont val="Tahoma"/>
            <family val="2"/>
          </rPr>
          <t>Contains two disks:
- Disk-1: 60GB
(NOTE: For servers intended for more than 10 concurrent users the recommended size for disk C is Disk-1 size + RAM size.)
- Disk-2: 40GB</t>
        </r>
      </text>
    </comment>
    <comment ref="L61" authorId="1" shapeId="0" xr:uid="{D155F95A-C527-4F39-A311-78497C28D5B4}">
      <text>
        <r>
          <rPr>
            <b/>
            <sz val="9"/>
            <color indexed="81"/>
            <rFont val="Tahoma"/>
            <family val="2"/>
          </rPr>
          <t>jarmylly:</t>
        </r>
        <r>
          <rPr>
            <sz val="9"/>
            <color indexed="81"/>
            <rFont val="Tahoma"/>
            <family val="2"/>
          </rPr>
          <t xml:space="preserve">
Image name:
- NMS_VDA_disk1
- NMS_VDA_disk2</t>
        </r>
      </text>
    </comment>
    <comment ref="H62" authorId="1" shapeId="0" xr:uid="{41D034B0-EF83-4DDC-8C56-3D95EA08DE0B}">
      <text>
        <r>
          <rPr>
            <sz val="9"/>
            <color indexed="81"/>
            <rFont val="Tahoma"/>
            <family val="2"/>
          </rPr>
          <t>Contains two disks:
- Disk-1: 60GB
(NOTE: For servers intended for more than 10 concurrent users the recommended size for disk C is Disk-1 size + RAM size.)
- Disk-2: 40GB</t>
        </r>
      </text>
    </comment>
    <comment ref="L62" authorId="1" shapeId="0" xr:uid="{B244D31A-2843-4727-855E-28E2C55C12F0}">
      <text>
        <r>
          <rPr>
            <b/>
            <sz val="9"/>
            <color indexed="81"/>
            <rFont val="Tahoma"/>
            <family val="2"/>
          </rPr>
          <t>jarmylly:</t>
        </r>
        <r>
          <rPr>
            <sz val="9"/>
            <color indexed="81"/>
            <rFont val="Tahoma"/>
            <family val="2"/>
          </rPr>
          <t xml:space="preserve">
Image name:
- NMS_VDA_disk1
- NMS_VDA_disk2</t>
        </r>
      </text>
    </comment>
    <comment ref="H63" authorId="1" shapeId="0" xr:uid="{D98DFC3F-8436-4F4C-86A9-8AEAF319FAA9}">
      <text>
        <r>
          <rPr>
            <sz val="9"/>
            <color indexed="81"/>
            <rFont val="Tahoma"/>
            <family val="2"/>
          </rPr>
          <t>Contains two disks:
- Disk-1: 60GB
(NOTE: For servers intended for more than 10 concurrent users the recommended size for disk C is Disk-1 size + RAM size.)
- Disk-2: 40GB</t>
        </r>
      </text>
    </comment>
    <comment ref="L63" authorId="1" shapeId="0" xr:uid="{D8CE390C-4FBB-43ED-ABE5-BAF3D17FBBC8}">
      <text>
        <r>
          <rPr>
            <b/>
            <sz val="9"/>
            <color indexed="81"/>
            <rFont val="Tahoma"/>
            <family val="2"/>
          </rPr>
          <t>jarmylly:</t>
        </r>
        <r>
          <rPr>
            <sz val="9"/>
            <color indexed="81"/>
            <rFont val="Tahoma"/>
            <family val="2"/>
          </rPr>
          <t xml:space="preserve">
Image name:
- NMS_VDA_disk1
- NMS_VDA_disk2</t>
        </r>
      </text>
    </comment>
    <comment ref="H64" authorId="1" shapeId="0" xr:uid="{D7D763CB-4781-45C4-BEDF-1683E3BB5070}">
      <text>
        <r>
          <rPr>
            <sz val="9"/>
            <color indexed="81"/>
            <rFont val="Tahoma"/>
            <family val="2"/>
          </rPr>
          <t>Contains two disks:
- Disk-1: 60GB
(NOTE: For servers intended for more than 10 concurrent users the recommended size for disk C is Disk-1 size + RAM size.)
- Disk-2: 40GB</t>
        </r>
      </text>
    </comment>
    <comment ref="L64" authorId="1" shapeId="0" xr:uid="{730DC71E-279D-408F-AEF9-2A0A09D6BBFE}">
      <text>
        <r>
          <rPr>
            <b/>
            <sz val="9"/>
            <color indexed="81"/>
            <rFont val="Tahoma"/>
            <family val="2"/>
          </rPr>
          <t>jarmylly:</t>
        </r>
        <r>
          <rPr>
            <sz val="9"/>
            <color indexed="81"/>
            <rFont val="Tahoma"/>
            <family val="2"/>
          </rPr>
          <t xml:space="preserve">
Image name:
- NMS_VDA_disk1
- NMS_VDA_disk2</t>
        </r>
      </text>
    </comment>
    <comment ref="H65" authorId="1" shapeId="0" xr:uid="{6B054276-01E0-4B36-858B-5121BAEC8308}">
      <text>
        <r>
          <rPr>
            <sz val="9"/>
            <color indexed="81"/>
            <rFont val="Tahoma"/>
            <family val="2"/>
          </rPr>
          <t>Contains two disks:
- Disk-1: 60GB
(NOTE: For servers intended for more than 10 concurrent users the recommended size for disk C is Disk-1 size + RAM size.)
- Disk-2: 40GB</t>
        </r>
      </text>
    </comment>
    <comment ref="L65" authorId="1" shapeId="0" xr:uid="{8056EA56-FE50-4D73-B445-7A0F7A1A8F39}">
      <text>
        <r>
          <rPr>
            <b/>
            <sz val="9"/>
            <color indexed="81"/>
            <rFont val="Tahoma"/>
            <family val="2"/>
          </rPr>
          <t>jarmylly:</t>
        </r>
        <r>
          <rPr>
            <sz val="9"/>
            <color indexed="81"/>
            <rFont val="Tahoma"/>
            <family val="2"/>
          </rPr>
          <t xml:space="preserve">
Image name:
- NMS_VDA_disk1
- NMS_VDA_disk2</t>
        </r>
      </text>
    </comment>
    <comment ref="H66" authorId="1" shapeId="0" xr:uid="{A8FBD50E-3EA4-459F-A444-76FEC2CDCD4C}">
      <text>
        <r>
          <rPr>
            <sz val="9"/>
            <color indexed="81"/>
            <rFont val="Tahoma"/>
            <family val="2"/>
          </rPr>
          <t>Contains two disks:
- Disk-1: 80GB
(NOTE: For servers intended for more than 10 concurrent users the recommended size for disk C is Disk-1 size + RAM size.)
- Disk-2: 40GB</t>
        </r>
      </text>
    </comment>
    <comment ref="L66" authorId="1" shapeId="0" xr:uid="{7FFBB37C-B522-4396-9132-7546972B2106}">
      <text>
        <r>
          <rPr>
            <b/>
            <sz val="9"/>
            <color indexed="81"/>
            <rFont val="Tahoma"/>
            <family val="2"/>
          </rPr>
          <t>jarmylly:</t>
        </r>
        <r>
          <rPr>
            <sz val="9"/>
            <color indexed="81"/>
            <rFont val="Tahoma"/>
            <family val="2"/>
          </rPr>
          <t xml:space="preserve">
Image name:
- NMS_CTXDC_disk1
- NMS_CTXDC_disk2
- cdrom_nms</t>
        </r>
      </text>
    </comment>
    <comment ref="H67" authorId="1" shapeId="0" xr:uid="{CA621FB6-0618-4659-82B7-709D3989A97C}">
      <text>
        <r>
          <rPr>
            <sz val="9"/>
            <color indexed="81"/>
            <rFont val="Tahoma"/>
            <family val="2"/>
          </rPr>
          <t>Contains two disks:
- Disk-1: 60GB
(NOTE: For servers intended for more than 10 concurrent users the recommended size for disk C is Disk-1 size + RAM size.)
- Disk-2: 40GB</t>
        </r>
      </text>
    </comment>
    <comment ref="L67" authorId="1" shapeId="0" xr:uid="{FB7F82EF-716C-46D2-A0B9-1150C7C5990B}">
      <text>
        <r>
          <rPr>
            <b/>
            <sz val="9"/>
            <color indexed="81"/>
            <rFont val="Tahoma"/>
            <family val="2"/>
          </rPr>
          <t>jarmylly:</t>
        </r>
        <r>
          <rPr>
            <sz val="9"/>
            <color indexed="81"/>
            <rFont val="Tahoma"/>
            <family val="2"/>
          </rPr>
          <t xml:space="preserve">
Image name:
- NMS_VDA_disk1
- NMS_VDA_disk2</t>
        </r>
      </text>
    </comment>
    <comment ref="L68" authorId="1" shapeId="0" xr:uid="{857E914B-49FC-4FD2-86F3-35B171717DA4}">
      <text>
        <r>
          <rPr>
            <b/>
            <sz val="9"/>
            <color indexed="81"/>
            <rFont val="Tahoma"/>
            <family val="2"/>
          </rPr>
          <t>jarmylly:</t>
        </r>
        <r>
          <rPr>
            <sz val="9"/>
            <color indexed="81"/>
            <rFont val="Tahoma"/>
            <family val="2"/>
          </rPr>
          <t xml:space="preserve">
Image name: netact_rhel_base</t>
        </r>
      </text>
    </comment>
    <comment ref="L69" authorId="1" shapeId="0" xr:uid="{D2A89EB9-5D3D-4B6D-ABC5-FEB5B864DF11}">
      <text>
        <r>
          <rPr>
            <b/>
            <sz val="9"/>
            <color indexed="81"/>
            <rFont val="Tahoma"/>
            <family val="2"/>
          </rPr>
          <t>jarmylly:</t>
        </r>
        <r>
          <rPr>
            <sz val="9"/>
            <color indexed="81"/>
            <rFont val="Tahoma"/>
            <family val="2"/>
          </rPr>
          <t xml:space="preserve">
Image name: netact_rhel_base</t>
        </r>
      </text>
    </comment>
    <comment ref="L70" authorId="1" shapeId="0" xr:uid="{B1353E30-7143-4670-9B70-EB9FF5E35035}">
      <text>
        <r>
          <rPr>
            <b/>
            <sz val="9"/>
            <color indexed="81"/>
            <rFont val="Tahoma"/>
            <family val="2"/>
          </rPr>
          <t>jarmylly:</t>
        </r>
        <r>
          <rPr>
            <sz val="9"/>
            <color indexed="81"/>
            <rFont val="Tahoma"/>
            <family val="2"/>
          </rPr>
          <t xml:space="preserve">
Image name: netact_rhel_base</t>
        </r>
      </text>
    </comment>
    <comment ref="L71" authorId="1" shapeId="0" xr:uid="{CE12A727-3893-4256-8575-8230B65F15AA}">
      <text>
        <r>
          <rPr>
            <b/>
            <sz val="9"/>
            <color indexed="81"/>
            <rFont val="Tahoma"/>
            <family val="2"/>
          </rPr>
          <t>jarmylly:</t>
        </r>
        <r>
          <rPr>
            <sz val="9"/>
            <color indexed="81"/>
            <rFont val="Tahoma"/>
            <family val="2"/>
          </rPr>
          <t xml:space="preserve">
Image name: netact_rhel_base</t>
        </r>
      </text>
    </comment>
    <comment ref="L72" authorId="1" shapeId="0" xr:uid="{2FE995AF-4DF0-4B8E-A976-99F159357B14}">
      <text>
        <r>
          <rPr>
            <b/>
            <sz val="9"/>
            <color indexed="81"/>
            <rFont val="Tahoma"/>
            <family val="2"/>
          </rPr>
          <t>jarmylly:</t>
        </r>
        <r>
          <rPr>
            <sz val="9"/>
            <color indexed="81"/>
            <rFont val="Tahoma"/>
            <family val="2"/>
          </rPr>
          <t xml:space="preserve">
Image name: netact_rhel_base</t>
        </r>
      </text>
    </comment>
    <comment ref="L73" authorId="1" shapeId="0" xr:uid="{FEFDD981-A28A-4D9D-BE5F-15392D987605}">
      <text>
        <r>
          <rPr>
            <b/>
            <sz val="9"/>
            <color indexed="81"/>
            <rFont val="Tahoma"/>
            <family val="2"/>
          </rPr>
          <t>jarmylly:</t>
        </r>
        <r>
          <rPr>
            <sz val="9"/>
            <color indexed="81"/>
            <rFont val="Tahoma"/>
            <family val="2"/>
          </rPr>
          <t xml:space="preserve">
Image name: netact_rhel_base</t>
        </r>
      </text>
    </comment>
    <comment ref="L74" authorId="1" shapeId="0" xr:uid="{0A6FF225-C00B-478C-AD03-BBF1FBE5583C}">
      <text>
        <r>
          <rPr>
            <b/>
            <sz val="9"/>
            <color indexed="81"/>
            <rFont val="Tahoma"/>
            <family val="2"/>
          </rPr>
          <t>jarmylly:</t>
        </r>
        <r>
          <rPr>
            <sz val="9"/>
            <color indexed="81"/>
            <rFont val="Tahoma"/>
            <family val="2"/>
          </rPr>
          <t xml:space="preserve">
Image name: netact_rhel_base</t>
        </r>
      </text>
    </comment>
    <comment ref="H75" authorId="1" shapeId="0" xr:uid="{272ED97C-E13A-4B04-AC1B-3115D0127B02}">
      <text>
        <r>
          <rPr>
            <b/>
            <sz val="9"/>
            <color indexed="81"/>
            <rFont val="Tahoma"/>
            <family val="2"/>
          </rPr>
          <t>jarmylly:</t>
        </r>
        <r>
          <rPr>
            <sz val="9"/>
            <color indexed="81"/>
            <rFont val="Tahoma"/>
            <family val="2"/>
          </rPr>
          <t xml:space="preserve">
Contains two disks:
- Disk-1: 30GB
- Disk-2: 80GB</t>
        </r>
      </text>
    </comment>
    <comment ref="L75" authorId="1" shapeId="0" xr:uid="{35104C51-6FA1-4ACE-94FC-A6491D4FCEF7}">
      <text>
        <r>
          <rPr>
            <b/>
            <sz val="9"/>
            <color indexed="81"/>
            <rFont val="Tahoma"/>
            <family val="2"/>
          </rPr>
          <t>jarmylly:</t>
        </r>
        <r>
          <rPr>
            <sz val="9"/>
            <color indexed="81"/>
            <rFont val="Tahoma"/>
            <family val="2"/>
          </rPr>
          <t xml:space="preserve">
Image name: netact_rhel_base</t>
        </r>
      </text>
    </comment>
    <comment ref="H76" authorId="1" shapeId="0" xr:uid="{C05D3616-95EF-4405-9C5F-499FCAEAB9D3}">
      <text>
        <r>
          <rPr>
            <b/>
            <sz val="9"/>
            <color indexed="81"/>
            <rFont val="Tahoma"/>
            <family val="2"/>
          </rPr>
          <t>jarmylly:</t>
        </r>
        <r>
          <rPr>
            <sz val="9"/>
            <color indexed="81"/>
            <rFont val="Tahoma"/>
            <family val="2"/>
          </rPr>
          <t xml:space="preserve">
Contains two disks:
- Disk-1: 30GB
- Disk-2: 80GB</t>
        </r>
      </text>
    </comment>
    <comment ref="L76" authorId="1" shapeId="0" xr:uid="{AD936CAD-2D03-419F-A55E-34AFC297A7A8}">
      <text>
        <r>
          <rPr>
            <b/>
            <sz val="9"/>
            <color indexed="81"/>
            <rFont val="Tahoma"/>
            <family val="2"/>
          </rPr>
          <t>jarmylly:</t>
        </r>
        <r>
          <rPr>
            <sz val="9"/>
            <color indexed="81"/>
            <rFont val="Tahoma"/>
            <family val="2"/>
          </rPr>
          <t xml:space="preserve">
Image name: netact_rhel_base</t>
        </r>
      </text>
    </comment>
    <comment ref="L77" authorId="1" shapeId="0" xr:uid="{BDC3569D-C00F-446C-98C6-54A195C13E13}">
      <text>
        <r>
          <rPr>
            <b/>
            <sz val="9"/>
            <color indexed="81"/>
            <rFont val="Tahoma"/>
            <family val="2"/>
          </rPr>
          <t>jarmylly:</t>
        </r>
        <r>
          <rPr>
            <sz val="9"/>
            <color indexed="81"/>
            <rFont val="Tahoma"/>
            <family val="2"/>
          </rPr>
          <t xml:space="preserve">
Image name: netact_rhel_base</t>
        </r>
      </text>
    </comment>
    <comment ref="L78" authorId="1" shapeId="0" xr:uid="{6ED26566-B379-48F1-BD9A-634F7E990843}">
      <text>
        <r>
          <rPr>
            <b/>
            <sz val="9"/>
            <color indexed="81"/>
            <rFont val="Tahoma"/>
            <family val="2"/>
          </rPr>
          <t>jarmylly:</t>
        </r>
        <r>
          <rPr>
            <sz val="9"/>
            <color indexed="81"/>
            <rFont val="Tahoma"/>
            <family val="2"/>
          </rPr>
          <t xml:space="preserve">
Image name: netact_rhel_base</t>
        </r>
      </text>
    </comment>
    <comment ref="L79" authorId="1" shapeId="0" xr:uid="{D9FE2120-DFC2-429E-9BF9-D026039AD3FB}">
      <text>
        <r>
          <rPr>
            <b/>
            <sz val="9"/>
            <color indexed="81"/>
            <rFont val="Tahoma"/>
            <family val="2"/>
          </rPr>
          <t>jarmylly:</t>
        </r>
        <r>
          <rPr>
            <sz val="9"/>
            <color indexed="81"/>
            <rFont val="Tahoma"/>
            <family val="2"/>
          </rPr>
          <t xml:space="preserve">
Image name: netact_rhel_base</t>
        </r>
      </text>
    </comment>
    <comment ref="L80" authorId="1" shapeId="0" xr:uid="{41F8EB74-FBA8-4245-81AE-B0C3A1AC3F10}">
      <text>
        <r>
          <rPr>
            <b/>
            <sz val="9"/>
            <color indexed="81"/>
            <rFont val="Tahoma"/>
            <family val="2"/>
          </rPr>
          <t>jarmylly:</t>
        </r>
        <r>
          <rPr>
            <sz val="9"/>
            <color indexed="81"/>
            <rFont val="Tahoma"/>
            <family val="2"/>
          </rPr>
          <t xml:space="preserve">
Image name: netact_rhel_base</t>
        </r>
      </text>
    </comment>
    <comment ref="L81" authorId="0" shapeId="0" xr:uid="{C985A404-1E07-4363-AD1B-1AD3444EDB55}">
      <text>
        <r>
          <rPr>
            <b/>
            <sz val="9"/>
            <color indexed="81"/>
            <rFont val="Tahoma"/>
            <family val="2"/>
          </rPr>
          <t>Avuthu, Charan (EXT - IN/Bangalore):</t>
        </r>
        <r>
          <rPr>
            <sz val="9"/>
            <color indexed="81"/>
            <rFont val="Tahoma"/>
            <family val="2"/>
          </rPr>
          <t xml:space="preserve">
Image name: netact_rhel_base</t>
        </r>
      </text>
    </comment>
    <comment ref="BU82" authorId="1" shapeId="0" xr:uid="{0D22F239-4EE1-4A69-98B2-7091344668B5}">
      <text>
        <r>
          <rPr>
            <b/>
            <sz val="9"/>
            <color indexed="81"/>
            <rFont val="Tahoma"/>
            <family val="2"/>
          </rPr>
          <t>jarmylly:</t>
        </r>
        <r>
          <rPr>
            <sz val="9"/>
            <color indexed="81"/>
            <rFont val="Tahoma"/>
            <family val="2"/>
          </rPr>
          <t xml:space="preserve">
IPv4: 3
IPv4/IPv6: 5</t>
        </r>
      </text>
    </comment>
    <comment ref="L86" authorId="1" shapeId="0" xr:uid="{E1064CB5-E86E-41D7-B80A-5C4026B1B619}">
      <text>
        <r>
          <rPr>
            <b/>
            <sz val="9"/>
            <color indexed="81"/>
            <rFont val="Tahoma"/>
            <family val="2"/>
          </rPr>
          <t>jarmylly:</t>
        </r>
        <r>
          <rPr>
            <sz val="9"/>
            <color indexed="81"/>
            <rFont val="Tahoma"/>
            <family val="2"/>
          </rPr>
          <t xml:space="preserve">
Image name: netact_rhel_base</t>
        </r>
      </text>
    </comment>
    <comment ref="L87" authorId="1" shapeId="0" xr:uid="{87F842E1-B0B8-4B67-90B1-62B73DDE00E6}">
      <text>
        <r>
          <rPr>
            <b/>
            <sz val="9"/>
            <color indexed="81"/>
            <rFont val="Tahoma"/>
            <family val="2"/>
          </rPr>
          <t>jarmylly:</t>
        </r>
        <r>
          <rPr>
            <sz val="9"/>
            <color indexed="81"/>
            <rFont val="Tahoma"/>
            <family val="2"/>
          </rPr>
          <t xml:space="preserve">
Image name: netact_rhel_base</t>
        </r>
      </text>
    </comment>
    <comment ref="L88" authorId="1" shapeId="0" xr:uid="{F7713630-A5B8-42A8-BE34-23FCA9F9603F}">
      <text>
        <r>
          <rPr>
            <b/>
            <sz val="9"/>
            <color indexed="81"/>
            <rFont val="Tahoma"/>
            <family val="2"/>
          </rPr>
          <t>jarmylly:</t>
        </r>
        <r>
          <rPr>
            <sz val="9"/>
            <color indexed="81"/>
            <rFont val="Tahoma"/>
            <family val="2"/>
          </rPr>
          <t xml:space="preserve">
Image name: netact_rhel_base</t>
        </r>
      </text>
    </comment>
    <comment ref="L89" authorId="1" shapeId="0" xr:uid="{EEB86C87-E0D7-489C-BFA5-46CD81B64938}">
      <text>
        <r>
          <rPr>
            <b/>
            <sz val="9"/>
            <color indexed="81"/>
            <rFont val="Tahoma"/>
            <family val="2"/>
          </rPr>
          <t>jarmylly:</t>
        </r>
        <r>
          <rPr>
            <sz val="9"/>
            <color indexed="81"/>
            <rFont val="Tahoma"/>
            <family val="2"/>
          </rPr>
          <t xml:space="preserve">
Image name: netact_rhel_base</t>
        </r>
      </text>
    </comment>
    <comment ref="L90" authorId="1" shapeId="0" xr:uid="{F813914B-DBBB-4F33-BED9-1BC64378E927}">
      <text>
        <r>
          <rPr>
            <b/>
            <sz val="9"/>
            <color indexed="81"/>
            <rFont val="Tahoma"/>
            <family val="2"/>
          </rPr>
          <t>jarmylly:</t>
        </r>
        <r>
          <rPr>
            <sz val="9"/>
            <color indexed="81"/>
            <rFont val="Tahoma"/>
            <family val="2"/>
          </rPr>
          <t xml:space="preserve">
Image name: netact_rhel_base</t>
        </r>
      </text>
    </comment>
    <comment ref="L91" authorId="1" shapeId="0" xr:uid="{C3EC37F1-F756-4AC1-B974-55B34E124D38}">
      <text>
        <r>
          <rPr>
            <b/>
            <sz val="9"/>
            <color indexed="81"/>
            <rFont val="Tahoma"/>
            <family val="2"/>
          </rPr>
          <t>jarmylly:</t>
        </r>
        <r>
          <rPr>
            <sz val="9"/>
            <color indexed="81"/>
            <rFont val="Tahoma"/>
            <family val="2"/>
          </rPr>
          <t xml:space="preserve">
Image name: netact_rhel_base</t>
        </r>
      </text>
    </comment>
    <comment ref="BU92" authorId="1" shapeId="0" xr:uid="{6E5CF606-8BF2-4E58-8419-6AD96D4CBB0B}">
      <text>
        <r>
          <rPr>
            <b/>
            <sz val="9"/>
            <color indexed="81"/>
            <rFont val="Tahoma"/>
            <family val="2"/>
          </rPr>
          <t>jarmylly:</t>
        </r>
        <r>
          <rPr>
            <sz val="9"/>
            <color indexed="81"/>
            <rFont val="Tahoma"/>
            <family val="2"/>
          </rPr>
          <t xml:space="preserve">
IPv4: 3
IPv4/IPv6: 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<sst xmlns="http://schemas.openxmlformats.org/spreadsheetml/2006/main" count="11787" uniqueCount="800">
  <si>
    <t xml:space="preserve">MantaRay NM Node Architecture and Resource Plan </t>
  </si>
  <si>
    <t>Date:</t>
  </si>
  <si>
    <t>Change history:</t>
  </si>
  <si>
    <t>First version for 24R3 P7</t>
  </si>
  <si>
    <t>*CRSR-434 Resource changes for cnf-lcm service needed for CB011054; 4 vCPU and 8 Gb ram for lcm service -&gt; one vCPU added for vm150 VMs</t>
  </si>
  <si>
    <t>NFSGlobal1 values fixed to sheets 3XL 24r3-NM and 3XL 24r3-NM 100K</t>
  </si>
  <si>
    <t>Openstack insteng root disk size fixed</t>
  </si>
  <si>
    <t>Compact 24R3-NM sheet renamed to Compact Single Node 24R3-NM</t>
  </si>
  <si>
    <t>LCM disk data moved from vm150 to optional services, on 3XL cases back data moved as well</t>
  </si>
  <si>
    <t>*CRSR-504 HW resource pool update for 3XL case for 72k and 100K cells sheets.</t>
  </si>
  <si>
    <t>3XL pmdisk total size updated to 400</t>
  </si>
  <si>
    <t>*CRSR-488 vm14,vm16 and vm17 disk soze changes for compact,small and large configurations</t>
  </si>
  <si>
    <t>Pronto 04864285 Add correct number of volumes in all OpenStack configurations for vm#150 vm#151 and vm#152</t>
  </si>
  <si>
    <t>CRSR-434, Pronto 04723246 vCPU value of vm#150 in 3XL OpenStack was wrong (7 --&gt; 8)</t>
  </si>
  <si>
    <t>CRSR-539: Increase RAM in vm#2 (vCSA) for all Bare Metal configurations</t>
  </si>
  <si>
    <t>CRSR-416 Move ANB MN &amp; ANB BE (vm120 &amp; vm121) to correct location in all Bare Metal configurations</t>
  </si>
  <si>
    <t>Shortcuts to release sheets</t>
  </si>
  <si>
    <t>General</t>
  </si>
  <si>
    <t>Cloud Configuration</t>
  </si>
  <si>
    <t>MantaRay 24R3-NM</t>
  </si>
  <si>
    <t>MantaRay 24R3 NM Compact</t>
  </si>
  <si>
    <t>MantaRay 24R3 NM Small</t>
  </si>
  <si>
    <t>MantaRay 24R3 NM Mainstream</t>
  </si>
  <si>
    <t>MantaRay 24R3 NM Large</t>
  </si>
  <si>
    <t>MantaRay 24R3 NM XXL</t>
  </si>
  <si>
    <t>MantaRay 24R3 NM 3XL</t>
  </si>
  <si>
    <t>MantaRay 24R3 NM 3XL 100K</t>
  </si>
  <si>
    <t>MantaRay 24R3 NM Compact cloud on VMware</t>
  </si>
  <si>
    <t>MantaRay 24R3 NM Small Cloud on VMware</t>
  </si>
  <si>
    <t>MantaRay 24R3 NM Small Cloud on OpenStack</t>
  </si>
  <si>
    <t>MantaRay 24R3 NM Mainstream Cloud on VMware</t>
  </si>
  <si>
    <t>MantaRay 24R3 NM Mainstream Cloud on OpenStack</t>
  </si>
  <si>
    <t>MantaRay 24R3 NM Large Cloud on VMware</t>
  </si>
  <si>
    <t>MantaRay 24R3 NM Large Cloud on OpenStack</t>
  </si>
  <si>
    <t>MantaRay 24R3 NM XXL Cloud on VMware</t>
  </si>
  <si>
    <t>MantaRay 24R3 NM XXL Cloud on OpenStack</t>
  </si>
  <si>
    <t>MantaRay 24R3 NM 3XL Cloud on Vmware</t>
  </si>
  <si>
    <t>MantaRay 24R3 NM 3XL Cloud on OpenStack CBIS</t>
  </si>
  <si>
    <t>MantaRay NM Node Architecture and Resource Plan</t>
  </si>
  <si>
    <t>Virtual Machine Name</t>
  </si>
  <si>
    <t>Description</t>
  </si>
  <si>
    <t>Optional Virtual Machines</t>
  </si>
  <si>
    <t>Admin Server</t>
  </si>
  <si>
    <t>This virtual machine (VM) hosts the Administration Server (formerly called Virtual Installation Server, ViiS), which is used in MantaRay NM deployment.</t>
  </si>
  <si>
    <t>T&amp;P</t>
  </si>
  <si>
    <t>This VM hosts the Thresholder &amp; Profiler application, which is used to set and manage thresholds for performance indicators.</t>
  </si>
  <si>
    <t>vCSA</t>
  </si>
  <si>
    <t>This VM hosts vCenter Server Appliance, which is used to manage the VMware vSphere virtual infrastructure.</t>
  </si>
  <si>
    <t>Node Mgr</t>
  </si>
  <si>
    <t xml:space="preserve">The Node Manager Server VM is the virtual machine where the Node Managers reside (Microsoft Windows-based applications used for performing configurations and O&amp;M tasks on BTS and transmission elements). Optional only in Bare metal configuration </t>
  </si>
  <si>
    <t>LDAP-1, DNS-Master</t>
  </si>
  <si>
    <t>This VM hosts Red Hat Directory Server (LDAP), the MantaRay NM DNS server, and the virtual manager.</t>
  </si>
  <si>
    <t xml:space="preserve">This VM hosts the Telco Elasticity Management application, which works with Cloud Application Manager to enable efficient resource management in a telecommunications network cloud environment. </t>
  </si>
  <si>
    <t>DB</t>
  </si>
  <si>
    <t>This VM hosts the Oracle database.</t>
  </si>
  <si>
    <t>SLC</t>
  </si>
  <si>
    <t>This VM hosts the Security Log Collector, which is used for forwarding security logs from the network managed by MantaRay NM and from MantaRay NM itself to the SIEM (Security Information and Event Management) system through secured syslog protocol.</t>
  </si>
  <si>
    <t>NFS, LDAP-2</t>
  </si>
  <si>
    <t>This VM hosts Network File System and Red Hat Directory Server (LDAP).</t>
  </si>
  <si>
    <t>*SBTS Adapter</t>
  </si>
  <si>
    <t>*27-06-2019 : removed from NA20 onwards 
This VM provides functions as a prerequisite for the plug-and-play  service to integrate virtual SBTS instances before physical ones are ready.</t>
  </si>
  <si>
    <t>LB-1</t>
  </si>
  <si>
    <t>This VM hosts the load balancer.</t>
  </si>
  <si>
    <t>CLS FrontEnd</t>
  </si>
  <si>
    <t>This VM hosts the Web server of Centralized License Server (CLS). CLS provides network-wide licensed capacity pooling.</t>
  </si>
  <si>
    <t>SelfMonitor, vManager</t>
  </si>
  <si>
    <t>This VM hosts the System Self-Monitoring application ,vManager.</t>
  </si>
  <si>
    <t>CLS BackEnd</t>
  </si>
  <si>
    <t>This VM hosts the CLS remote licensing services deployed on JBoss Application Server.</t>
  </si>
  <si>
    <t>JBI-NBI3GC, NBI INVENTORY, NTCApp</t>
  </si>
  <si>
    <t>This VM hosts NBI Mediation Framework and NBI Inventory Mediation. Also in small delivery (from NA18 onwards) it hosts NTCApp functionality, which is meant to provide CBTS On-demand Scaling.</t>
  </si>
  <si>
    <t>CLS DB</t>
  </si>
  <si>
    <t>This VM hosts the CLS database</t>
  </si>
  <si>
    <t>JBI-NWI3, SAU</t>
  </si>
  <si>
    <t>This VM hosts the NWI mediation,PnP Server and SAU, Workingset-Manager.</t>
  </si>
  <si>
    <t>NW360</t>
  </si>
  <si>
    <t xml:space="preserve">Network 360 sits on top of the Nokia MantaRay NM™ network management system to provide a single, simplified and integrated view of all the operational data from the mass of network elements. This consolidated "window of the network” enables operations personnel to finally cut through the tangle of information to see the big picture. </t>
  </si>
  <si>
    <t>JBI-Q3</t>
  </si>
  <si>
    <t>This VM hosts the Q3 mediation, FCE (Feature Configuration Engine).</t>
  </si>
  <si>
    <t xml:space="preserve">LTE-A Mediation: </t>
  </si>
  <si>
    <t>SNMP Mediator for LTE-A</t>
  </si>
  <si>
    <t>LB-2, Socks Proxy</t>
  </si>
  <si>
    <t>This VM hosts the load balancer and the SOCKS proxy for user workstations.</t>
  </si>
  <si>
    <t>*27-06-2019 : removed from NA20 onwards 
SBTS Adapter is running on a dedicated virtual machine in MantaRay NM virtual data center which controls the creation and removal of virtual SBTS OAM instances and also works as a transparent proxy to forward operation and maintenance requests from MantaRay NM to virtual SBTS OAM. Multiple virtual SBTS OAM instances can be running on the SBTS Adapter, and one virtual SBTS OAM instance represents one physical SBTS. Virtual SBTS Operation and Maintenance (OAM) provides software and configuration management functionalities for an SBTS that has not yet been integrated physically to the network.</t>
  </si>
  <si>
    <t>JBI-NX2S_XOH, JBI-GENMED, JBI-DA</t>
  </si>
  <si>
    <t>This VM hosts the NX2S and XoH mediation as well as Dynamic Adaptation.</t>
  </si>
  <si>
    <t>BTSMED</t>
  </si>
  <si>
    <t xml:space="preserve">BTS Mediator (a.k.a. BTSMED) is:
• Part of BTS OAM SW
• Loosely coupled and co-located with MantaRay NM
• Own software delivery 
• Virtualized and bare-metal deliveries
• Gets OAM metadata from BTS (minimizes SW changes due to BTS radio features )
• Maps between BTS internal object model and management object model (visible to user)
• Validates parameters
</t>
  </si>
  <si>
    <t>JBI-NBI_NSN</t>
  </si>
  <si>
    <t>This VM hosts SNMP NBI.</t>
  </si>
  <si>
    <t>NetGuard</t>
  </si>
  <si>
    <t>NetGuard Virtual Firewall Virtual Machine Appliance is targeted for the Network Segregation Solution solution (earlier called Closed Network MantaRay NM) as it provides MantaRay NM multi-homing solution.</t>
  </si>
  <si>
    <t>JBI-NBI3GCPM, NTCApp</t>
  </si>
  <si>
    <t>This VM hosts the Mediation Framework for the northbound interface. Also in mainstream, large and XL deliveries (from NA18 onwards) it hosts NTCApp functionality, which is meant to provide CBTS On-demand Scaling.</t>
  </si>
  <si>
    <t>NBIVES</t>
  </si>
  <si>
    <t xml:space="preserve">MantaRay NM API solution for integration with AT&amp;T ECOMP (REST based API with JSON payload), it will be used as temporary solution to forward NVF scaling related events to ECOMP.
</t>
  </si>
  <si>
    <t>JBI-COMMON-MEDIATION, DNS-Slave</t>
  </si>
  <si>
    <t>This VM hosts the Mediation Framework and the MantaRay NM DNS server.</t>
  </si>
  <si>
    <t>NetGuard VFM</t>
  </si>
  <si>
    <t>NetGuard Virtual Firewall Manager is an Optional Virtual Machine for the Network Segregation Solution (earlier called Closed Network MantaRay NM).  NetGuard VFM product is an administrative tool for the centralized management of one or many NetGuard Virtual Firewalls (NG VF) using a Command Line Interface (CLI).</t>
  </si>
  <si>
    <t>JBI-COMMON-MEDIATION</t>
  </si>
  <si>
    <t>This VM hosts the Mediation Framework.</t>
  </si>
  <si>
    <t xml:space="preserve">Conversion Suite </t>
  </si>
  <si>
    <t xml:space="preserve">The Conversion Suite is optional VM developed MN which is needed for the migration to LTE 19B and onwards. </t>
  </si>
  <si>
    <t>FM-PIPE</t>
  </si>
  <si>
    <t>This VM hosts the Generic Event Platform for fault management functionality.</t>
  </si>
  <si>
    <t>PDL Validator Service (PVS)</t>
  </si>
  <si>
    <t>The PVS  is optional VM developed MN which is needed for the BTS O&amp;M Purpose</t>
  </si>
  <si>
    <t>WebSphere AppSrv</t>
  </si>
  <si>
    <t>This VM hosts WebSphere Application Server (WAS) and the WAS applications in MantaRay NM.</t>
  </si>
  <si>
    <t>Network Alarm Pattern Discovery(NAPD)</t>
  </si>
  <si>
    <t>This VM is an optional VM developed for the Network Alarm Pattern Discovery(NAPD) in MantaRay NM.</t>
  </si>
  <si>
    <t>NMS Windows Domain Controller</t>
  </si>
  <si>
    <t>Manages the Windows domain and Active Directory. Amount of virtual machines: 1-2. One virtual machine non-HA configuration, 2 virtual machines HA configuration.</t>
  </si>
  <si>
    <t>TREX Analyzer VMs (TEAS)</t>
  </si>
  <si>
    <t>These VMs are optional and used for Trace Data collection and anlysis.</t>
  </si>
  <si>
    <t>NMS Citrix Delivery Controller</t>
  </si>
  <si>
    <t>Citrix Management. Amount of virtual machines: 1-2. One virtual machine non-HA configuration, 2 virtual machines HA configuration.</t>
  </si>
  <si>
    <t>Graylog</t>
  </si>
  <si>
    <t>Graylog is a SIEM system being deployed as optional extension of MantaRay NM’s SLNBI in VMWare cloud</t>
  </si>
  <si>
    <t>NMS VDA (for Node Manager) / Access server (for Applications)</t>
  </si>
  <si>
    <t>Virtual machine can have two different roles: Virtual Delivery Agent or Access Server. Virtual Delivery Agent, VDA, acts as Element Manager, EM, launch server where EM software is installed to provide EM launch functionality. Access Server, AS, is used as workstation to access MantaRay NM. No EM SW is installed on AS. 
Amount of virtual machines: 1-9.</t>
  </si>
  <si>
    <t>Oracle EMCC</t>
  </si>
  <si>
    <t>Removed NA20 onwards</t>
  </si>
  <si>
    <t>PM Backend</t>
  </si>
  <si>
    <t>This VM hosts the Performance Management backend service.</t>
  </si>
  <si>
    <t>VDP</t>
  </si>
  <si>
    <t>This VM hosts vSphere Data Protection, which is used to take backups of VM root disks and restoring them.</t>
  </si>
  <si>
    <t>IHS</t>
  </si>
  <si>
    <t>This VM hosts IBM HTTP Server and keyclock service</t>
  </si>
  <si>
    <t>Compute1</t>
  </si>
  <si>
    <t xml:space="preserve">This VM hosts Kafka, DRE, CM-history Service and optional services LCMaaS-Engine micro-service needed for CloudRAN in MantaRay NM, needed only for CloudRAN customers, LCMaaS-Engine is written in Go, and it interacts with internal MantaRay NM services (e.g. CM Operations Service, MantaRay NM NFS), as well as with external APIs (Kubernetes API, future - ImageRegistry),
Central Container Registry (CCR) is an Open Container Initiative (OCI) compliant registry which offers storage and content delivery system for OCI artifacts. CCR disk is added only when CCR optional service is selected.
</t>
  </si>
  <si>
    <t>Compute2 &amp; 3</t>
  </si>
  <si>
    <t>VMs are needed to host kafka deployed as containers in podman to provide high performance message queue functionality needed for CCN usecase in MantaRay.                                                                                                                                 In Compute3, Added NTAM (NIV Test Automation Manager) as an optional service which is part of NIV (Nokia In-Field Verifier) is the execution engine to run the automated testcases and will be used by Nokia services to run the automated testcases.</t>
  </si>
  <si>
    <t>AVE</t>
  </si>
  <si>
    <t>Avamar Virtual Edition -This VM is used for Backup Solution</t>
  </si>
  <si>
    <t>AVECP</t>
  </si>
  <si>
    <t>Avamar Virtual Edition Combined Proxy -This VM is used for Backup Solution</t>
  </si>
  <si>
    <t>ANB MN</t>
  </si>
  <si>
    <t>Automated Network Backup Management Node - This VM is used for Backup Solution</t>
  </si>
  <si>
    <t>ANB BE</t>
  </si>
  <si>
    <t>Automated Network Backup Backup Engine - This VM is used for Backup Solution</t>
  </si>
  <si>
    <t>Apukenttiä optionaalisiin laskuihin</t>
  </si>
  <si>
    <t>Column</t>
  </si>
  <si>
    <t>Ends</t>
  </si>
  <si>
    <t>NM info located</t>
  </si>
  <si>
    <t>T&amp;P Volumes</t>
  </si>
  <si>
    <t>Used stack</t>
  </si>
  <si>
    <t>Vmware</t>
  </si>
  <si>
    <t>Cloud Configurations sheet is meant for Cloud delieveries to help calculating the MantaRay NM resource requirement</t>
  </si>
  <si>
    <t>nimike</t>
  </si>
  <si>
    <t>NMS</t>
  </si>
  <si>
    <t>OpenStack reference Table</t>
  </si>
  <si>
    <t>VMWare Cloud reference Table</t>
  </si>
  <si>
    <t>MantaRay Release</t>
  </si>
  <si>
    <t>Release 24R3-NM</t>
  </si>
  <si>
    <t>Release</t>
  </si>
  <si>
    <t>vCPU</t>
  </si>
  <si>
    <t>Flexible CM Search</t>
  </si>
  <si>
    <t>SmallDatabaseOpenStack</t>
  </si>
  <si>
    <t>MainstreamDatabaseOpenStack</t>
  </si>
  <si>
    <t>LargeDatabaseOpenStack</t>
  </si>
  <si>
    <t>XXLDatabaseOpenStack</t>
  </si>
  <si>
    <t>XXXLDatabaseOpenstack</t>
  </si>
  <si>
    <t>SmallDatabaseVmware</t>
  </si>
  <si>
    <t>MainstreamDatabaseVmware</t>
  </si>
  <si>
    <t>LargeDatabaseVmware</t>
  </si>
  <si>
    <t>XXLDatabaseVmware</t>
  </si>
  <si>
    <t>XXXLDatabaseVmware</t>
  </si>
  <si>
    <t>Configuration</t>
  </si>
  <si>
    <t>3XL</t>
  </si>
  <si>
    <t>Sheet</t>
  </si>
  <si>
    <t>INSTRUCTIONS</t>
  </si>
  <si>
    <t>vRAM</t>
  </si>
  <si>
    <t>Small</t>
  </si>
  <si>
    <t>Database</t>
  </si>
  <si>
    <t>1) Select 'Used Stack'</t>
  </si>
  <si>
    <t>VMDK</t>
  </si>
  <si>
    <t>SBTS Adapter</t>
  </si>
  <si>
    <t>Mainstream</t>
  </si>
  <si>
    <t>2) Select 'MantaRay NM release'</t>
  </si>
  <si>
    <t>Network360</t>
  </si>
  <si>
    <t>CLS</t>
  </si>
  <si>
    <t>Large</t>
  </si>
  <si>
    <t>3) Select 'Configuration'</t>
  </si>
  <si>
    <t>Mandatory ending</t>
  </si>
  <si>
    <t>CAM</t>
  </si>
  <si>
    <t>XXL</t>
  </si>
  <si>
    <t>SmallDatabase675vCPU</t>
  </si>
  <si>
    <t>MainstreamDatabase1350vCPU</t>
  </si>
  <si>
    <t>LargeDatabase2250vCPU</t>
  </si>
  <si>
    <t>XXLDatabase8100vCPU</t>
  </si>
  <si>
    <t>XXXLDatabase15200vCPU</t>
  </si>
  <si>
    <t>SmallDatabase750vCPU</t>
  </si>
  <si>
    <t>MainstreamDatabase1500vCPU</t>
  </si>
  <si>
    <t>LargeDatabase2500vCPU</t>
  </si>
  <si>
    <t>XXLDatabase9000vCPU</t>
  </si>
  <si>
    <t>XXXLDatabase16400vCPU</t>
  </si>
  <si>
    <t>Redo</t>
  </si>
  <si>
    <t>4) Select 'Database' size</t>
  </si>
  <si>
    <t>Node manager</t>
  </si>
  <si>
    <t>TEM</t>
  </si>
  <si>
    <t>Arc</t>
  </si>
  <si>
    <t>5) Select separately vRAM, Redo, Arc, Backup, Global, ExtRep sizes (MUST BE DONE EVERY TIME when changing 1-4)</t>
  </si>
  <si>
    <t>Number of VMs</t>
  </si>
  <si>
    <t>Used</t>
  </si>
  <si>
    <t>Backup</t>
  </si>
  <si>
    <t>7) Select additional items</t>
  </si>
  <si>
    <t>Not used</t>
  </si>
  <si>
    <t>LTE-A Med</t>
  </si>
  <si>
    <t>OpenStack</t>
  </si>
  <si>
    <t>SmallDatabase2115vCPU</t>
  </si>
  <si>
    <t>MainstreamDatabase1855.79vCPU</t>
  </si>
  <si>
    <t>LargeDatabase5535vCPU</t>
  </si>
  <si>
    <t>SmallDatabase2350vCPU</t>
  </si>
  <si>
    <t>MainstreamDatabase2062vCPU</t>
  </si>
  <si>
    <t>LargeDatabase6150vCPU</t>
  </si>
  <si>
    <t>Global</t>
  </si>
  <si>
    <t xml:space="preserve">6) Fill the customer HW resources and remove one server (MantaRay NM needs to be able to run in one server fail situation) </t>
  </si>
  <si>
    <t>Volumes</t>
  </si>
  <si>
    <t>ExtRep</t>
  </si>
  <si>
    <t>7) Status field describes whether the infrastructure provides enough resources</t>
  </si>
  <si>
    <t>Customer</t>
  </si>
  <si>
    <t>TEAS</t>
  </si>
  <si>
    <t>SmallDatabase675vRAM</t>
  </si>
  <si>
    <t>MainstreamDatabase1350vRAM</t>
  </si>
  <si>
    <t>LargeDatabase2250vRAM</t>
  </si>
  <si>
    <t>XXLDatabase8100vRAM</t>
  </si>
  <si>
    <t>XXXLDatabase15200vRAM</t>
  </si>
  <si>
    <t>SmallDatabase750vRAM</t>
  </si>
  <si>
    <t>MainstreamDatabase1500vRAM</t>
  </si>
  <si>
    <t>LargeDatabase2500vRAM</t>
  </si>
  <si>
    <t>XXLDatabase9000vRAM</t>
  </si>
  <si>
    <t>XXXLDatabase16400vRAM</t>
  </si>
  <si>
    <t>ADM</t>
  </si>
  <si>
    <t>ISDK</t>
  </si>
  <si>
    <t>IF($C$14&gt;20;1;0)*SUMIF(INDIRECT($P$2)</t>
  </si>
  <si>
    <t>SmallDatabase2115vRAM</t>
  </si>
  <si>
    <t>MainstreamDatabase1855.79vRAM</t>
  </si>
  <si>
    <t>LargeDatabase5535vRAM</t>
  </si>
  <si>
    <t>SmallDatabase2350vRAM</t>
  </si>
  <si>
    <t>MainstreamDatabase2062vRAM</t>
  </si>
  <si>
    <t>LargeDatabase6150vRAM</t>
  </si>
  <si>
    <t>Additional items</t>
  </si>
  <si>
    <t>Thresholder and Profiler</t>
  </si>
  <si>
    <t>Operators Hardware</t>
  </si>
  <si>
    <t>Number of concurrent users</t>
  </si>
  <si>
    <t>Virtual CPU</t>
  </si>
  <si>
    <t>Virtual RAM</t>
  </si>
  <si>
    <t>Backup Storage</t>
  </si>
  <si>
    <t>SmallUsers</t>
  </si>
  <si>
    <t>SmallDatabase675Redo</t>
  </si>
  <si>
    <t>MainstreamDatabase1350Redo</t>
  </si>
  <si>
    <t>LargeDatabase2250Redo</t>
  </si>
  <si>
    <t>XXLDatabase8100Redo</t>
  </si>
  <si>
    <t>XXXLDatabase15200Redo</t>
  </si>
  <si>
    <t>SmallDatabase750Redo</t>
  </si>
  <si>
    <t>MainstreamDatabase1500Redo</t>
  </si>
  <si>
    <t>LargeDatabase2500Redo</t>
  </si>
  <si>
    <t>XXLDatabase9000Redo</t>
  </si>
  <si>
    <t>XXXLDatabase16400Redo</t>
  </si>
  <si>
    <t>Security Log Collector</t>
  </si>
  <si>
    <t>Hardware</t>
  </si>
  <si>
    <t>Single RAN BTS Adapter</t>
  </si>
  <si>
    <t>Not Used</t>
  </si>
  <si>
    <t>Required</t>
  </si>
  <si>
    <t>BTSMediationOpenStack</t>
  </si>
  <si>
    <t>Centralized license Server</t>
  </si>
  <si>
    <t>Status</t>
  </si>
  <si>
    <t>SmallDatabase2115Redo</t>
  </si>
  <si>
    <t>MainstreamDatabase1855.79Redo</t>
  </si>
  <si>
    <t>LargeDatabase5535Redo</t>
  </si>
  <si>
    <t>SmallDatabase2350Redo</t>
  </si>
  <si>
    <t>MainstreamDatabase2062Redo</t>
  </si>
  <si>
    <t>LargeDatabase6150Redo</t>
  </si>
  <si>
    <t>BTSMediation</t>
  </si>
  <si>
    <t>LTE-A Mediation</t>
  </si>
  <si>
    <t>BTSMediationVMware</t>
  </si>
  <si>
    <t>Network 360</t>
  </si>
  <si>
    <t>SmallDatabase675Arc</t>
  </si>
  <si>
    <t>MainstreamDatabase1350Arc</t>
  </si>
  <si>
    <t>LargeDatabase2250Arc</t>
  </si>
  <si>
    <t>XXLDatabase8100Arc</t>
  </si>
  <si>
    <t>XXXLDatabase15200Arc</t>
  </si>
  <si>
    <t>SmallDatabase750Arc</t>
  </si>
  <si>
    <t>MainstreamDatabase1500Arc</t>
  </si>
  <si>
    <t>LargeDatabase2500Arc</t>
  </si>
  <si>
    <t>XXLDatabase9000Arc</t>
  </si>
  <si>
    <t>XXXLDatabase16400Arc</t>
  </si>
  <si>
    <t>MainstreamUsers</t>
  </si>
  <si>
    <t>SmallDatabase2115Arc</t>
  </si>
  <si>
    <t>MainstreamDatabase1855.79Arc</t>
  </si>
  <si>
    <t>LargeDatabase5535Arc</t>
  </si>
  <si>
    <t>SmallDatabase2350Arc</t>
  </si>
  <si>
    <t>MainstreamDatabase2062Arc</t>
  </si>
  <si>
    <t>LargeDatabase6150Arc</t>
  </si>
  <si>
    <t>SmallDatabase675Backup</t>
  </si>
  <si>
    <t>MainstreamDatabase1350Backup</t>
  </si>
  <si>
    <t>LargeDatabase2250Backup</t>
  </si>
  <si>
    <t>XXLDatabase8100Backup</t>
  </si>
  <si>
    <t>XXXLDatabase15200Backup</t>
  </si>
  <si>
    <t>SmallDatabase750Backup</t>
  </si>
  <si>
    <t>MainstreamDatabase1500Backup</t>
  </si>
  <si>
    <t>LargeDatabase2500Backup</t>
  </si>
  <si>
    <t>XXLDatabase9000Backup</t>
  </si>
  <si>
    <t>XXXLDatabase16400Backup</t>
  </si>
  <si>
    <t>Selected configuration</t>
  </si>
  <si>
    <t>Column1</t>
  </si>
  <si>
    <t>Column2</t>
  </si>
  <si>
    <t>Column3</t>
  </si>
  <si>
    <t>Column4</t>
  </si>
  <si>
    <t>Column5</t>
  </si>
  <si>
    <t>Column6</t>
  </si>
  <si>
    <t>VMs</t>
  </si>
  <si>
    <t>Disk</t>
  </si>
  <si>
    <t>Backup disk</t>
  </si>
  <si>
    <t>SmallDatabase2115Backup</t>
  </si>
  <si>
    <t>MainstreamDatabase1855.79Backup</t>
  </si>
  <si>
    <t>LargeDatabase5535Backup</t>
  </si>
  <si>
    <t>SmallDatabase2350Backup</t>
  </si>
  <si>
    <t>MainstreamDatabase2062Backup</t>
  </si>
  <si>
    <t>LargeDatabase6150Backup</t>
  </si>
  <si>
    <t>Mandatory Virtual machines</t>
  </si>
  <si>
    <t>Node Managers</t>
  </si>
  <si>
    <r>
      <rPr>
        <b/>
        <sz val="11"/>
        <color theme="0"/>
        <rFont val="Calibri"/>
        <family val="2"/>
        <scheme val="minor"/>
      </rPr>
      <t>Note</t>
    </r>
    <r>
      <rPr>
        <sz val="11"/>
        <color theme="0"/>
        <rFont val="Calibri"/>
        <family val="2"/>
        <scheme val="minor"/>
      </rPr>
      <t>: First 3 VM resources are within mandatory values</t>
    </r>
  </si>
  <si>
    <t>LargeUsers</t>
  </si>
  <si>
    <t>SmallGlobalOpenStack</t>
  </si>
  <si>
    <t>MainstreamGlobalOpenStack</t>
  </si>
  <si>
    <t>LargeGlobalOpenStack</t>
  </si>
  <si>
    <t>XXLGlobalOpenStack</t>
  </si>
  <si>
    <t>XXXLGlobalOpenStack</t>
  </si>
  <si>
    <t>SmallGlobalVmware</t>
  </si>
  <si>
    <t>MainstreamGlobalVmware</t>
  </si>
  <si>
    <t>LargeGlobalVmware</t>
  </si>
  <si>
    <t>XXLGlobalVmware</t>
  </si>
  <si>
    <t>XXXLGlobalVmware</t>
  </si>
  <si>
    <t>SmallExtRepOpenStack</t>
  </si>
  <si>
    <t>MainstreamExtRepOpenStack</t>
  </si>
  <si>
    <t>LargeExtRepOpenStack</t>
  </si>
  <si>
    <t>XXLExtRepOpenStack</t>
  </si>
  <si>
    <t>XXXLExtRepOpenStack</t>
  </si>
  <si>
    <t>SmallExtRepVmware</t>
  </si>
  <si>
    <t>MainstreamExtRepVmware</t>
  </si>
  <si>
    <t>LargeExtRepVmware</t>
  </si>
  <si>
    <t>XXLExtRepVmware</t>
  </si>
  <si>
    <t>XXXLExtRepVmware</t>
  </si>
  <si>
    <t>SmallADMOpenStack</t>
  </si>
  <si>
    <t>MainstreamADMOpenStack</t>
  </si>
  <si>
    <t>LargeADMOpenStack</t>
  </si>
  <si>
    <t>XXLADMOpenStack</t>
  </si>
  <si>
    <t>XXXLADMOpenStack</t>
  </si>
  <si>
    <t>SmallADMVmware</t>
  </si>
  <si>
    <t>MainstreamADMVmware</t>
  </si>
  <si>
    <t>LargeADMVmware</t>
  </si>
  <si>
    <t>XXLADMVmware</t>
  </si>
  <si>
    <t>XXXLADMVmware</t>
  </si>
  <si>
    <t>SmallISDKOpenStack</t>
  </si>
  <si>
    <t>MainstreamISDKOpenStack</t>
  </si>
  <si>
    <t>LargeISDKOpenStack</t>
  </si>
  <si>
    <t>XXLISDKOpenStack</t>
  </si>
  <si>
    <t>XXXLISDKOpenStack</t>
  </si>
  <si>
    <t>SmallISDKVmware</t>
  </si>
  <si>
    <t>MainstreamISDKVmware</t>
  </si>
  <si>
    <t>LargeISDKVmware</t>
  </si>
  <si>
    <t>XXLISDKVmware</t>
  </si>
  <si>
    <t>XXXLISDKVmware</t>
  </si>
  <si>
    <t>Total</t>
  </si>
  <si>
    <t/>
  </si>
  <si>
    <t>XXLUsers</t>
  </si>
  <si>
    <t>SmallCustomerOpenStack</t>
  </si>
  <si>
    <t>MainstreamCustomerOpenStack</t>
  </si>
  <si>
    <t>LargeCustomerOpenStack</t>
  </si>
  <si>
    <t>XXLCustomerOpenStack</t>
  </si>
  <si>
    <t>XXXLCustomerOpenStack</t>
  </si>
  <si>
    <t>SmallCustomerVmware</t>
  </si>
  <si>
    <t>MainstreamCustomerVmware</t>
  </si>
  <si>
    <t>LargeCustomerVmware</t>
  </si>
  <si>
    <t>XXLCustomerVmware</t>
  </si>
  <si>
    <t>XXXLCustomerVmware</t>
  </si>
  <si>
    <t>XXXLUsers</t>
  </si>
  <si>
    <r>
      <rPr>
        <b/>
        <sz val="11"/>
        <color theme="1"/>
        <rFont val="Calibri"/>
        <family val="2"/>
        <scheme val="minor"/>
      </rPr>
      <t>NOTE!</t>
    </r>
    <r>
      <rPr>
        <sz val="11"/>
        <color theme="1"/>
        <rFont val="Calibri"/>
        <family val="2"/>
        <scheme val="minor"/>
      </rPr>
      <t xml:space="preserve"> Treat this as experimental before NA16.5 release. NetAct 16.5 Large values filled as an example. Replace the values with correct release and deployment information.</t>
    </r>
  </si>
  <si>
    <t>CPU</t>
  </si>
  <si>
    <t>Memory</t>
  </si>
  <si>
    <t>Resource Pool name</t>
  </si>
  <si>
    <t>Shares</t>
  </si>
  <si>
    <t>Reservation</t>
  </si>
  <si>
    <t>Reservation type</t>
  </si>
  <si>
    <t>Limit</t>
  </si>
  <si>
    <t>DC Management</t>
  </si>
  <si>
    <t>Expandable</t>
  </si>
  <si>
    <t>Unlimited</t>
  </si>
  <si>
    <t>MantaRay NM</t>
  </si>
  <si>
    <t>Replace values in below.</t>
  </si>
  <si>
    <t>Total vCPU</t>
  </si>
  <si>
    <t>Total vCPU reservation</t>
  </si>
  <si>
    <t>Total vRAM</t>
  </si>
  <si>
    <t>Total vRAM reservation</t>
  </si>
  <si>
    <t xml:space="preserve">AVECP </t>
  </si>
  <si>
    <t>NO</t>
  </si>
  <si>
    <t>YES</t>
  </si>
  <si>
    <t>Guidelines to calculate number of servers required in server pool:</t>
  </si>
  <si>
    <t xml:space="preserve">1) Calculate MantaRay NM grand total vCPU/RAM amounts
</t>
  </si>
  <si>
    <t xml:space="preserve">2) Calculate optional VMs grand total vCPU/ RAM amounts
</t>
  </si>
  <si>
    <t xml:space="preserve">3) Compare the 1 and 2 combined amount of vCPU and vRAM values against what server pool provides. If one server goes down, remaining server needs to provide enough capacity to run MantaRay NM + optional VMs. </t>
  </si>
  <si>
    <t>NOTE!  ESXi hosts needs 8GB for internal purpose and same should not be used for calculation while adding additional hosts .</t>
  </si>
  <si>
    <t>NOTE! Overcommitted number of CPUs allowed from NA20SP2011. In case of one HOST failure, the overcommitment of CPU can go above the specified ratio thereby reduced system performance</t>
  </si>
  <si>
    <t>Compact</t>
  </si>
  <si>
    <t>Extended Small</t>
  </si>
  <si>
    <t>Extended Large</t>
  </si>
  <si>
    <t>Release: MantaRay 24-NM</t>
  </si>
  <si>
    <t xml:space="preserve">1pCPU = 1vCPU  </t>
  </si>
  <si>
    <r>
      <rPr>
        <b/>
        <sz val="10"/>
        <color theme="1"/>
        <rFont val="Arial"/>
        <family val="2"/>
      </rPr>
      <t xml:space="preserve">NOTE! </t>
    </r>
    <r>
      <rPr>
        <sz val="10"/>
        <color theme="1"/>
        <rFont val="Arial"/>
        <family val="2"/>
      </rPr>
      <t>LUN and datastore sizes are equal, LUN size is given straight as datastore size.</t>
    </r>
  </si>
  <si>
    <t>1 vRAM = 1GB vRAM</t>
  </si>
  <si>
    <t>Back to shortcuts</t>
  </si>
  <si>
    <t>1 VMDK = 1GB VMDK</t>
  </si>
  <si>
    <t>1 GB = 1024 MB</t>
  </si>
  <si>
    <t>1 TB = 1024 GB</t>
  </si>
  <si>
    <t>Startup Priority</t>
  </si>
  <si>
    <t>Resource Pool</t>
  </si>
  <si>
    <t>Operating System</t>
  </si>
  <si>
    <t>Services</t>
  </si>
  <si>
    <t>Memory Reservation</t>
  </si>
  <si>
    <t>SWAP</t>
  </si>
  <si>
    <t>Datastore</t>
  </si>
  <si>
    <t>Backuptool</t>
  </si>
  <si>
    <t xml:space="preserve">Ext rep </t>
  </si>
  <si>
    <t>ADM Fastpass</t>
  </si>
  <si>
    <t>ISDK Disk</t>
  </si>
  <si>
    <t>CCR Disk</t>
  </si>
  <si>
    <t>Kafka Disk</t>
  </si>
  <si>
    <t>NIV Disk</t>
  </si>
  <si>
    <t>SB Network (default)</t>
  </si>
  <si>
    <t>NB Network</t>
  </si>
  <si>
    <t>VIP address</t>
  </si>
  <si>
    <t>VM#1</t>
  </si>
  <si>
    <t>RHEL8</t>
  </si>
  <si>
    <t>VMGuestDisk</t>
  </si>
  <si>
    <t>x</t>
  </si>
  <si>
    <t>VM#2</t>
  </si>
  <si>
    <t>vCSA8.0</t>
  </si>
  <si>
    <t>VM#3</t>
  </si>
  <si>
    <t>HIGH</t>
  </si>
  <si>
    <t>MantaRay NM VMs</t>
  </si>
  <si>
    <t>LDAP-1, DNS-M</t>
  </si>
  <si>
    <t>VM#4</t>
  </si>
  <si>
    <t>DBRedo</t>
  </si>
  <si>
    <t>DBData</t>
  </si>
  <si>
    <t>DBArc</t>
  </si>
  <si>
    <t>VM#5</t>
  </si>
  <si>
    <t>NFSGlobal</t>
  </si>
  <si>
    <t>VM#6</t>
  </si>
  <si>
    <t>VM#7</t>
  </si>
  <si>
    <t>VM#8</t>
  </si>
  <si>
    <t xml:space="preserve">JBI-NBI3GC, JBI-NBI3GCPM, NBI INVENTORY, NTCApp </t>
  </si>
  <si>
    <t>VM#9</t>
  </si>
  <si>
    <t>JBI-NWI3, SAU, Workingset-Manager</t>
  </si>
  <si>
    <t>VM#10</t>
  </si>
  <si>
    <t>VM#11</t>
  </si>
  <si>
    <t>VM#12</t>
  </si>
  <si>
    <t>JBI-NX2S_XOH, JBI-DA</t>
  </si>
  <si>
    <t>VM#13</t>
  </si>
  <si>
    <t>VM#14</t>
  </si>
  <si>
    <t>VM#15</t>
  </si>
  <si>
    <t>VM#16</t>
  </si>
  <si>
    <t>VM#17</t>
  </si>
  <si>
    <t>VM#66</t>
  </si>
  <si>
    <t>PMDatastore</t>
  </si>
  <si>
    <t>VM#67</t>
  </si>
  <si>
    <t>VM#85</t>
  </si>
  <si>
    <t>IHS-1</t>
  </si>
  <si>
    <t>VM#86</t>
  </si>
  <si>
    <t>IHS-2</t>
  </si>
  <si>
    <t>VM#150</t>
  </si>
  <si>
    <t>Compute1 (DRE, Kafka, CM History)</t>
  </si>
  <si>
    <t>CommonDatastore1</t>
  </si>
  <si>
    <t>OPTIONAL SERVICES (MantaRay NM Applications inside MantaRay NM VM):</t>
  </si>
  <si>
    <t>VM#152</t>
  </si>
  <si>
    <t>NIV</t>
  </si>
  <si>
    <t>Applicable for CloudRAN clusters</t>
  </si>
  <si>
    <t>LCM+CCR</t>
  </si>
  <si>
    <t>VM#151</t>
  </si>
  <si>
    <t>JSON Mediation</t>
  </si>
  <si>
    <t>HW RESOURCE POOL</t>
  </si>
  <si>
    <t>1 x HPE ProLiant DL360 Gen10 plus - 2p28c CPU, 512GB RAM</t>
  </si>
  <si>
    <t>1 x HPE ProLiant DL360 Gen11 - 2p32c CPU, 512GB RAM</t>
  </si>
  <si>
    <t>OPTIONAL (MantaRay NM Applications inside MantaRay NM Resource Pool):</t>
  </si>
  <si>
    <t>VM#44</t>
  </si>
  <si>
    <t>VM#18</t>
  </si>
  <si>
    <t>Microsoft Windows Server 2019 Standard</t>
  </si>
  <si>
    <t>VM#19</t>
  </si>
  <si>
    <t>VM#70</t>
  </si>
  <si>
    <t>VM#47</t>
  </si>
  <si>
    <t>VM#56</t>
  </si>
  <si>
    <t>VM#57</t>
  </si>
  <si>
    <t>VM#73</t>
  </si>
  <si>
    <t>VM#74</t>
  </si>
  <si>
    <t>VM#75</t>
  </si>
  <si>
    <t>VM#81</t>
  </si>
  <si>
    <t>VM#110</t>
  </si>
  <si>
    <t>SLES12</t>
  </si>
  <si>
    <t>AVE 2TB(Avamar Virtual Edition)</t>
  </si>
  <si>
    <t>VM#111</t>
  </si>
  <si>
    <t>AVECP( Avamar Virtual Edition Combined Proxy)</t>
  </si>
  <si>
    <t>VM#120</t>
  </si>
  <si>
    <t>RHEL</t>
  </si>
  <si>
    <t>VM#121</t>
  </si>
  <si>
    <t>Compute2</t>
  </si>
  <si>
    <t>Compute3</t>
  </si>
  <si>
    <t>Name</t>
  </si>
  <si>
    <t>Usage Size in GB</t>
  </si>
  <si>
    <t>Total Size in GB</t>
  </si>
  <si>
    <t>Bootdisk server</t>
  </si>
  <si>
    <t>DB Redo</t>
  </si>
  <si>
    <t>DB Data</t>
  </si>
  <si>
    <t>DB Arc</t>
  </si>
  <si>
    <t>PMDisk</t>
  </si>
  <si>
    <t>Backup (DB, NFS,  and AVE 2TB)</t>
  </si>
  <si>
    <t>Backup (DB,NFS and ANB)</t>
  </si>
  <si>
    <t xml:space="preserve"> = Standard / Customized sizes</t>
  </si>
  <si>
    <r>
      <rPr>
        <b/>
        <sz val="10"/>
        <color theme="1"/>
        <rFont val="Arial"/>
        <family val="2"/>
      </rPr>
      <t>NOTE:</t>
    </r>
    <r>
      <rPr>
        <sz val="10"/>
        <color theme="1"/>
        <rFont val="Arial"/>
        <family val="2"/>
      </rPr>
      <t xml:space="preserve"> NMS /Access  Server optional VMs can be scaled up based on #user upto following conifguration (16 vCPU,160 GB vRAM,450 GB disk)</t>
    </r>
  </si>
  <si>
    <r>
      <rPr>
        <b/>
        <sz val="10"/>
        <color rgb="FF000000"/>
        <rFont val="Arial"/>
        <family val="2"/>
      </rPr>
      <t>NOTE:</t>
    </r>
    <r>
      <rPr>
        <sz val="10"/>
        <color rgb="FF000000"/>
        <rFont val="Arial"/>
        <family val="2"/>
      </rPr>
      <t xml:space="preserve"> For VM#2, select the vCSA version in "Services" column to get the needed computing resources for the given vCSA version</t>
    </r>
  </si>
  <si>
    <r>
      <rPr>
        <b/>
        <sz val="10"/>
        <color rgb="FF000000"/>
        <rFont val="Arial"/>
        <family val="2"/>
      </rPr>
      <t xml:space="preserve">NOTE: </t>
    </r>
    <r>
      <rPr>
        <sz val="10"/>
        <color rgb="FF000000"/>
        <rFont val="Arial"/>
        <family val="2"/>
      </rPr>
      <t>Compact legacy system is same as Small configuration with 2 servers and external storage</t>
    </r>
  </si>
  <si>
    <t>NAPD Disk</t>
  </si>
  <si>
    <t>Cap Disk</t>
  </si>
  <si>
    <t>Click House Disk</t>
  </si>
  <si>
    <t>DB Flashback 
(optional)</t>
  </si>
  <si>
    <t>InfravmDisk</t>
  </si>
  <si>
    <t>VPOS3.0</t>
  </si>
  <si>
    <t>VMGuestDisk1</t>
  </si>
  <si>
    <t>VMGuestDisk2</t>
  </si>
  <si>
    <t>DBFB</t>
  </si>
  <si>
    <t>VMGuestDisk3</t>
  </si>
  <si>
    <t>3 x HPE BL460/Synergy Gen10 - 1p16c CPU, 192GB RAM</t>
  </si>
  <si>
    <t>2 x HPE ProLiant DL360 Gen10 - 2p16c CPU, 384GB RAM (Compact Multi Node)</t>
  </si>
  <si>
    <t>3 x Dell PowerEdge R650xs - 2p28c CPU, 512GB RAM</t>
  </si>
  <si>
    <t>3 x HPE Synergy 480 Gen10 plus - 2p28c CPU, 512GB RAM</t>
  </si>
  <si>
    <t>3 x HPE Synergy 480 Gen11 - 1p32c CPU, 512GB RAM</t>
  </si>
  <si>
    <t>3 x Dell PowerEdge R660 - 1p32c CPU, 512GB RAM</t>
  </si>
  <si>
    <t>3 x HPE ProLiant DL360 Gen11 - 1p32c CPU, 512GB RAM</t>
  </si>
  <si>
    <t>VM#46</t>
  </si>
  <si>
    <t>VM#48</t>
  </si>
  <si>
    <t>VM#71</t>
  </si>
  <si>
    <t>VM#98</t>
  </si>
  <si>
    <t>VM#99</t>
  </si>
  <si>
    <t>VM#100</t>
  </si>
  <si>
    <t>VM#102</t>
  </si>
  <si>
    <t>InfraVMDisk</t>
  </si>
  <si>
    <t>ANBSystem</t>
  </si>
  <si>
    <t>ANBBackup</t>
  </si>
  <si>
    <t>VM#130</t>
  </si>
  <si>
    <t>NAPDDisk</t>
  </si>
  <si>
    <t>VM#140</t>
  </si>
  <si>
    <t>OPTIONAL (MantaRay NM Applications outside MantaRay NM Resource Pool):</t>
  </si>
  <si>
    <t>VM#350</t>
  </si>
  <si>
    <t>ARC  VMs</t>
  </si>
  <si>
    <t>ARC Proxy #1</t>
  </si>
  <si>
    <t>ARCDisk</t>
  </si>
  <si>
    <t>VM#351</t>
  </si>
  <si>
    <t>ARC Proxy #2(Optional)</t>
  </si>
  <si>
    <t>OPTIONAL (Other Applications outside MantaRay NM Resource Pool):</t>
  </si>
  <si>
    <t>VM#76</t>
  </si>
  <si>
    <t>Network360 VMs</t>
  </si>
  <si>
    <t>RHEL6</t>
  </si>
  <si>
    <t>OoDVMGuestDisk1</t>
  </si>
  <si>
    <t>OoDDBDisk</t>
  </si>
  <si>
    <t>VM#77</t>
  </si>
  <si>
    <t>Database VM (postgres)</t>
  </si>
  <si>
    <t>VM#78</t>
  </si>
  <si>
    <t>Portal VM (tomcat,solr)</t>
  </si>
  <si>
    <t>OoDVMGuestDisk2</t>
  </si>
  <si>
    <t>VM#79</t>
  </si>
  <si>
    <t>Backend VM (jboss eap)</t>
  </si>
  <si>
    <t>VM#80</t>
  </si>
  <si>
    <t>Map VM (apache server)</t>
  </si>
  <si>
    <t>Map Disk</t>
  </si>
  <si>
    <t>NFS Disk</t>
  </si>
  <si>
    <t>VM#101</t>
  </si>
  <si>
    <t>Selfmon</t>
  </si>
  <si>
    <t>VM#84</t>
  </si>
  <si>
    <t>BTSMed VMs</t>
  </si>
  <si>
    <t>BTSMedGuestDisk1</t>
  </si>
  <si>
    <t>VM#87</t>
  </si>
  <si>
    <t>VM#201</t>
  </si>
  <si>
    <t>BTSCSVMPool</t>
  </si>
  <si>
    <t>RHEL7</t>
  </si>
  <si>
    <t>btscsvm (Conversion Suite)</t>
  </si>
  <si>
    <t>BTSCSVMDisk</t>
  </si>
  <si>
    <t>VM#202</t>
  </si>
  <si>
    <t>PdlValidationServicePool</t>
  </si>
  <si>
    <t>PdlValidationServiceDisk</t>
  </si>
  <si>
    <t>Bootdisk server 1</t>
  </si>
  <si>
    <t>Bootdisk server 2</t>
  </si>
  <si>
    <t>Bootdisk server 3</t>
  </si>
  <si>
    <t>Bootdisk server 4</t>
  </si>
  <si>
    <t>Bootdisk server 5</t>
  </si>
  <si>
    <t>Backup (DB, NFS  when ANB used)</t>
  </si>
  <si>
    <t>DB FB</t>
  </si>
  <si>
    <t>ANBSystem (ANB backup only)</t>
  </si>
  <si>
    <t>ANBBackup (ANB backup only)</t>
  </si>
  <si>
    <t>Note: The above  mentioned datastore space total size is dimensioned only for MantaRay NM VMs and not for Optional VMs. In case VMGuestDisk is used for optional VM, make sure that 11% free space is available in the associated VMGuestDisk datastores</t>
  </si>
  <si>
    <t>Scratch</t>
  </si>
  <si>
    <t>Upgrade</t>
  </si>
  <si>
    <t>DB size</t>
  </si>
  <si>
    <t>DB Disk Size</t>
  </si>
  <si>
    <t>DB Archive Disk Size</t>
  </si>
  <si>
    <t>DB Backup</t>
  </si>
  <si>
    <t>Backup DS (DB, NFS and AVE)</t>
  </si>
  <si>
    <t>Standard</t>
  </si>
  <si>
    <t>Extended</t>
  </si>
  <si>
    <r>
      <rPr>
        <b/>
        <sz val="10"/>
        <color theme="1"/>
        <rFont val="Arial"/>
        <family val="2"/>
      </rPr>
      <t>NOTE:</t>
    </r>
    <r>
      <rPr>
        <sz val="10"/>
        <color theme="1"/>
        <rFont val="Arial"/>
        <family val="2"/>
      </rPr>
      <t>For VM#2, select the vCSA version in "Services" column to get the needed computing resources for the given vCSA version</t>
    </r>
  </si>
  <si>
    <t>Ext rep</t>
  </si>
  <si>
    <t>JBI-NBI3GC, NBI INVENTORY</t>
  </si>
  <si>
    <t xml:space="preserve">JBI-NBI3GCPM, NTCApp </t>
  </si>
  <si>
    <t>VM#20</t>
  </si>
  <si>
    <t>VM#21</t>
  </si>
  <si>
    <t>VM#22</t>
  </si>
  <si>
    <t>VM#23</t>
  </si>
  <si>
    <t>4 x HPE BL460/Synergy Gen10 - 2p16c CPU, 384GB RAM</t>
  </si>
  <si>
    <t>3 x Dell PowerEdge R650 - 2p28c CPU, 512GB RAM</t>
  </si>
  <si>
    <t>Select the AVE Licence capacity from the drop down in the next column, Based on the selction, AVE resource need will be shown</t>
  </si>
  <si>
    <t>4TB</t>
  </si>
  <si>
    <t>VM#24</t>
  </si>
  <si>
    <t>VM#25</t>
  </si>
  <si>
    <t>VM#49</t>
  </si>
  <si>
    <t>VM#50</t>
  </si>
  <si>
    <t>VM#58</t>
  </si>
  <si>
    <t>VM#59</t>
  </si>
  <si>
    <t>VM#112</t>
  </si>
  <si>
    <t>AVECP( Optional)</t>
  </si>
  <si>
    <t>Vm#130</t>
  </si>
  <si>
    <t>Bootdisk server 6</t>
  </si>
  <si>
    <t>Custom</t>
  </si>
  <si>
    <t xml:space="preserve"> = Standard / Customized  sizes</t>
  </si>
  <si>
    <t>VM#26</t>
  </si>
  <si>
    <t>VM#27</t>
  </si>
  <si>
    <t>VM#68</t>
  </si>
  <si>
    <t>VM#69</t>
  </si>
  <si>
    <t>Compute2 (Kafka)</t>
  </si>
  <si>
    <t>Compute3 (Kafka)</t>
  </si>
  <si>
    <t>4 x Dell PowerEdge R650 - 2p28c CPU, 512GB RAM</t>
  </si>
  <si>
    <t>4 x HPE Synergy 480 Gen10 plus - 2p28c CPU, 512GB RAM</t>
  </si>
  <si>
    <t>4 x HPE Synergy 480 Gen11 - 1p32c CPU, 512GB RAM</t>
  </si>
  <si>
    <t>4 x Dell PowerEdge R660 - 1p32c CPU, 512GB RAM </t>
  </si>
  <si>
    <t>4 x HPE ProLiant DL360 Gen11 - 1p32c CPU, 512GB RAM</t>
  </si>
  <si>
    <t>VM#28</t>
  </si>
  <si>
    <t>VM#29</t>
  </si>
  <si>
    <t>VM#51</t>
  </si>
  <si>
    <t>VM#52</t>
  </si>
  <si>
    <t>VM#53</t>
  </si>
  <si>
    <t>VM#83</t>
  </si>
  <si>
    <t>VM#82</t>
  </si>
  <si>
    <t>40*</t>
  </si>
  <si>
    <t>Bootdisk server 7</t>
  </si>
  <si>
    <t>* Note: If you are performing MantaRay NM Scaling, the minimum Bootdisk server size must be 35 GB for all MantaRay NM configurations.</t>
  </si>
  <si>
    <t>5 x HPE BL460/Synergy Gen10 - 2p16c CPU, 384GB RAM</t>
  </si>
  <si>
    <t>2TB</t>
  </si>
  <si>
    <t>Standard 3XL</t>
  </si>
  <si>
    <t>DBRedo(1..2)</t>
  </si>
  <si>
    <t>DBData(1..8)</t>
  </si>
  <si>
    <t>DBArch(1..2)</t>
  </si>
  <si>
    <t>DBBackup(1..8)</t>
  </si>
  <si>
    <t>NFSGlobal(1..2)</t>
  </si>
  <si>
    <t>NFSBackup</t>
  </si>
  <si>
    <t>CommonBackup</t>
  </si>
  <si>
    <t>6 x HPE BL460/Synergy Gen10 - 2p16c CPU, 384GB RAM ( For 2BCPH, Additionally add one "G10 2p16c 384GB" if the cluster is not synergy G10)</t>
  </si>
  <si>
    <t>5 x Dell PowerEdge R650 - 2p28c CPU, 512GB RAM</t>
  </si>
  <si>
    <t>5 x HPE Synergy 480 Gen10 plus - 2p28c CPU, 512GB RAM</t>
  </si>
  <si>
    <t>4 x HPE Synergy 480 Gen11 - 2p32c CPU, 512GB RAM</t>
  </si>
  <si>
    <t>4 x Dell PowerEdge R660 - 2p32c CPU, 512GB RAM </t>
  </si>
  <si>
    <t>4 x HPE ProLiant DL360 Gen11 - 2p32c CPU, 512GB RAM</t>
  </si>
  <si>
    <t>AVE 4TB (Avamar Virtual Edition)</t>
  </si>
  <si>
    <t>AVEBackup</t>
  </si>
  <si>
    <t>AVECP ( Avamar Virtual Edition Combined Proxy)</t>
  </si>
  <si>
    <t>AVECP ( Optional)</t>
  </si>
  <si>
    <t>DBRedo1</t>
  </si>
  <si>
    <t>DBRedo2</t>
  </si>
  <si>
    <t>DBData1</t>
  </si>
  <si>
    <t>DBData2</t>
  </si>
  <si>
    <t>DBData3</t>
  </si>
  <si>
    <t>DBData4</t>
  </si>
  <si>
    <t>DBData5</t>
  </si>
  <si>
    <t>DBData6</t>
  </si>
  <si>
    <t>DBData7</t>
  </si>
  <si>
    <t>DBData8</t>
  </si>
  <si>
    <t>DBArch1</t>
  </si>
  <si>
    <t>DBArch2</t>
  </si>
  <si>
    <t>NFSGlobal1</t>
  </si>
  <si>
    <t>NFSGlobal2</t>
  </si>
  <si>
    <t>DBBackup1</t>
  </si>
  <si>
    <t>DBBackup2</t>
  </si>
  <si>
    <t>DBBackup3</t>
  </si>
  <si>
    <t>DBBackup4</t>
  </si>
  <si>
    <t>DBBackup5</t>
  </si>
  <si>
    <t>DBBackup6</t>
  </si>
  <si>
    <t>DBBackup7</t>
  </si>
  <si>
    <t>DBBackup8</t>
  </si>
  <si>
    <t>AVEBackup(AVE 4TB)</t>
  </si>
  <si>
    <t>DB Redo Disk Size</t>
  </si>
  <si>
    <t>NFS Global</t>
  </si>
  <si>
    <t>Backuptool DB</t>
  </si>
  <si>
    <t>Backuptool NFS</t>
  </si>
  <si>
    <t>100k 3XL</t>
  </si>
  <si>
    <t>8 x HPE BL460/Synergy Gen10 - 2p16c CPU, 384GB RAM ( For 2BCPH, Additionally add one "G10 2p16c 384GB" if the cluster is not synergy G10)</t>
  </si>
  <si>
    <t>VM#64</t>
  </si>
  <si>
    <t>CM DB (100k cell only)</t>
  </si>
  <si>
    <t>CMDBRedo(1..2)</t>
  </si>
  <si>
    <t>CMDBData(1..2)</t>
  </si>
  <si>
    <t>CMDBArc(1..2)</t>
  </si>
  <si>
    <t>CMDBBackup(1..2)</t>
  </si>
  <si>
    <t>CMDBRedo1 (100k cell only)</t>
  </si>
  <si>
    <t>CMDBRedo2 (100k cell only)</t>
  </si>
  <si>
    <t>CMDBData1 (100k cell only)</t>
  </si>
  <si>
    <t>CMDBData2 (100k cell only)</t>
  </si>
  <si>
    <t>CMDBArch1 (100k cell only)</t>
  </si>
  <si>
    <t>CMDBArch2 (100k cell only)</t>
  </si>
  <si>
    <t>CMDBBackup1 (100k cell only)</t>
  </si>
  <si>
    <t>CMDBBackup2 (100k cell only)</t>
  </si>
  <si>
    <t>Release: MantaRay 24-NM SW on Vmware</t>
  </si>
  <si>
    <t>Release: MantaRay 24-NM SW on VMware</t>
  </si>
  <si>
    <t xml:space="preserve"> = VM part of an image</t>
  </si>
  <si>
    <t>NOTE: NMS /Access  Server optional VMs can be scaled up based on #user upto following conifguration (16 vCPU,160 GB vRAM,450 GB disk)</t>
  </si>
  <si>
    <t>Est rep</t>
  </si>
  <si>
    <t>Release: MantaRay 24-NM SW on OpenStack</t>
  </si>
  <si>
    <t>Node Type</t>
  </si>
  <si>
    <t>Root</t>
  </si>
  <si>
    <t>CEPH</t>
  </si>
  <si>
    <t>Airfame</t>
  </si>
  <si>
    <t>Image</t>
  </si>
  <si>
    <t>FastPass
ADM</t>
  </si>
  <si>
    <t>Kaka
 Disk</t>
  </si>
  <si>
    <t xml:space="preserve">
DB
Flashback
Optional</t>
  </si>
  <si>
    <t>Airframe</t>
  </si>
  <si>
    <t xml:space="preserve">IP address </t>
  </si>
  <si>
    <t>Floating IPs</t>
  </si>
  <si>
    <t>Ports</t>
  </si>
  <si>
    <t>Inst Eng Network</t>
  </si>
  <si>
    <t>Internal Network</t>
  </si>
  <si>
    <t>Routable Network or
provider Network</t>
  </si>
  <si>
    <t>Subnets</t>
  </si>
  <si>
    <t>Routers</t>
  </si>
  <si>
    <t>Security Group Rules</t>
  </si>
  <si>
    <t>Security Groups</t>
  </si>
  <si>
    <t>-</t>
  </si>
  <si>
    <t>Inst Eng</t>
  </si>
  <si>
    <t>insteng</t>
  </si>
  <si>
    <t>Y</t>
  </si>
  <si>
    <t>tripleo-ceph</t>
  </si>
  <si>
    <t>as</t>
  </si>
  <si>
    <t>N</t>
  </si>
  <si>
    <t>dns</t>
  </si>
  <si>
    <t>db</t>
  </si>
  <si>
    <t>tripleo-ceph-fast</t>
  </si>
  <si>
    <t>nfs</t>
  </si>
  <si>
    <t>lb</t>
  </si>
  <si>
    <t>selfmon</t>
  </si>
  <si>
    <t>nbi3gc</t>
  </si>
  <si>
    <t>nwi3</t>
  </si>
  <si>
    <t>q3</t>
  </si>
  <si>
    <t>xoh</t>
  </si>
  <si>
    <t>nbi</t>
  </si>
  <si>
    <t>common</t>
  </si>
  <si>
    <t>fm</t>
  </si>
  <si>
    <t>was</t>
  </si>
  <si>
    <t>nsdoc</t>
  </si>
  <si>
    <t>nsda</t>
  </si>
  <si>
    <t>nsdec</t>
  </si>
  <si>
    <t>pm</t>
  </si>
  <si>
    <t>ihs</t>
  </si>
  <si>
    <t>compute1</t>
  </si>
  <si>
    <t>3 (5)</t>
  </si>
  <si>
    <t>OPTIONAL SERVICES:</t>
  </si>
  <si>
    <t>compute3</t>
  </si>
  <si>
    <t>compute2</t>
  </si>
  <si>
    <t>OPTIONAL COMPONENTS:</t>
  </si>
  <si>
    <t>tp</t>
  </si>
  <si>
    <t>slc</t>
  </si>
  <si>
    <t>cls</t>
  </si>
  <si>
    <t>ltea_med</t>
  </si>
  <si>
    <t>net_guard</t>
  </si>
  <si>
    <t>nbi_ves</t>
  </si>
  <si>
    <t>net_guard_vfm</t>
  </si>
  <si>
    <t>emcc</t>
  </si>
  <si>
    <t>OPTIONAL PRODUCTS:</t>
  </si>
  <si>
    <t>asnw360</t>
  </si>
  <si>
    <t>dbnw360</t>
  </si>
  <si>
    <t>pnw360</t>
  </si>
  <si>
    <t>bnw360</t>
  </si>
  <si>
    <t>mnw360</t>
  </si>
  <si>
    <t>snw360</t>
  </si>
  <si>
    <t>Release: MantaRay 24-NM on OpenStack</t>
  </si>
  <si>
    <t>Kafka
 Disk</t>
  </si>
  <si>
    <t xml:space="preserve">
DB
Flashback
(optional)</t>
  </si>
  <si>
    <t>nbi3gcpm</t>
  </si>
  <si>
    <t>tripelo-ceph</t>
  </si>
  <si>
    <t>nbives</t>
  </si>
  <si>
    <t>Kafka</t>
  </si>
  <si>
    <t>bts_med</t>
  </si>
  <si>
    <t>Kafka Disks</t>
  </si>
  <si>
    <t>CommonDatastore0</t>
  </si>
  <si>
    <t>NOTE: 3XL configuration is supported in CBIS and not in RHOSP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</si>
</sst>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rgb="FF0070C0"/>
      <name val="Calibri"/>
      <family val="2"/>
      <scheme val="minor"/>
    </font>
    <font>
      <b/>
      <sz val="11"/>
      <color theme="1"/>
      <name val="Calibri"/>
      <family val="2"/>
      <scheme val="minor"/>
    </font>
    <font>
      <b/>
      <sz val="9"/>
      <color indexed="81"/>
      <name val="Tahoma"/>
      <family val="2"/>
    </font>
    <font>
      <sz val="9"/>
      <color indexed="81"/>
      <name val="Tahoma"/>
      <family val="2"/>
    </font>
    <font>
      <sz val="10"/>
      <name val="Arial"/>
      <family val="2"/>
    </font>
    <font>
      <sz val="11"/>
      <color theme="1"/>
      <name val="宋体"/>
      <charset val="134"/>
    </font>
    <font>
      <b/>
      <sz val="10"/>
      <color rgb="FF0070C0"/>
      <name val="Arial"/>
      <family val="2"/>
    </font>
    <font>
      <sz val="10"/>
      <color theme="1"/>
      <name val="Arial"/>
      <family val="2"/>
    </font>
    <font>
      <b/>
      <sz val="10"/>
      <color theme="1"/>
      <name val="Arial"/>
      <family val="2"/>
    </font>
    <font>
      <sz val="9"/>
      <color indexed="81"/>
      <name val="Calibri"/>
      <family val="2"/>
    </font>
    <font>
      <b/>
      <sz val="9"/>
      <color indexed="81"/>
      <name val="Calibri"/>
      <family val="2"/>
    </font>
    <font>
      <sz val="11"/>
      <color theme="0"/>
      <name val="Calibri"/>
      <family val="2"/>
      <scheme val="minor"/>
    </font>
    <font>
      <sz val="11"/>
      <color rgb="FF92D050"/>
      <name val="Calibri"/>
      <family val="2"/>
      <scheme val="minor"/>
    </font>
    <font>
      <sz val="11"/>
      <color theme="3"/>
      <name val="Calibri"/>
      <family val="2"/>
      <scheme val="minor"/>
    </font>
    <font>
      <b/>
      <sz val="11"/>
      <color theme="3"/>
      <name val="Calibri"/>
      <family val="2"/>
      <scheme val="minor"/>
    </font>
    <font>
      <b/>
      <sz val="11"/>
      <color theme="0"/>
      <name val="Calibri"/>
      <family val="2"/>
      <scheme val="minor"/>
    </font>
    <font>
      <b/>
      <u/>
      <sz val="11"/>
      <color theme="0"/>
      <name val="Calibri"/>
      <family val="2"/>
      <scheme val="minor"/>
    </font>
    <font>
      <u/>
      <sz val="11"/>
      <color theme="10"/>
      <name val="Calibri"/>
      <family val="2"/>
      <scheme val="minor"/>
    </font>
    <font>
      <sz val="10"/>
      <color rgb="FF000000"/>
      <name val="Arial"/>
      <family val="2"/>
    </font>
    <font>
      <sz val="11"/>
      <name val="Calibri"/>
      <family val="2"/>
      <scheme val="minor"/>
    </font>
    <font>
      <sz val="14"/>
      <color rgb="FF5BB8E9"/>
      <name val="Inherit"/>
    </font>
    <font>
      <sz val="11"/>
      <color theme="1"/>
      <name val="Calibri"/>
      <family val="2"/>
      <scheme val="minor"/>
    </font>
    <font>
      <sz val="11"/>
      <color theme="1"/>
      <name val="Trebuchet MS"/>
      <family val="2"/>
    </font>
    <font>
      <sz val="11"/>
      <color theme="1"/>
      <name val="Calibri"/>
      <family val="2"/>
      <charset val="238"/>
      <scheme val="minor"/>
    </font>
    <font>
      <sz val="7"/>
      <color rgb="FF172B4D"/>
      <name val="Segoe UI"/>
      <family val="2"/>
    </font>
    <font>
      <sz val="8"/>
      <name val="Calibri"/>
      <family val="2"/>
      <scheme val="minor"/>
    </font>
    <font>
      <u/>
      <sz val="11"/>
      <color rgb="FF0070C0"/>
      <name val="Calibri"/>
      <family val="2"/>
      <scheme val="minor"/>
    </font>
    <font>
      <b/>
      <sz val="10"/>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3"/>
        <bgColor indexed="64"/>
      </patternFill>
    </fill>
    <fill>
      <patternFill patternType="solid">
        <fgColor theme="4" tint="0.79998168889431442"/>
        <bgColor indexed="64"/>
      </patternFill>
    </fill>
    <fill>
      <patternFill patternType="solid">
        <fgColor rgb="FFFF0000"/>
        <bgColor indexed="64"/>
      </patternFill>
    </fill>
    <fill>
      <patternFill patternType="solid">
        <fgColor theme="6" tint="0.79998168889431442"/>
        <bgColor indexed="64"/>
      </patternFill>
    </fill>
  </fills>
  <borders count="12">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s>
  <cellStyleXfs count="6">
    <xf numFmtId="0" fontId="0" fillId="0" borderId="0"/>
    <xf numFmtId="0" fontId="5" fillId="0" borderId="0"/>
    <xf numFmtId="0" fontId="6" fillId="0" borderId="0"/>
    <xf numFmtId="0" fontId="18" fillId="0" borderId="0" applyNumberFormat="0" applyFill="0" applyBorder="0" applyAlignment="0" applyProtection="0"/>
    <xf numFmtId="0" fontId="23" fillId="0" borderId="0"/>
    <xf numFmtId="0" fontId="22" fillId="0" borderId="0"/>
  </cellStyleXfs>
  <cellXfs count="194">
    <xf numFmtId="0" fontId="0" fillId="0" borderId="0" xfId="0"/>
    <xf numFmtId="0" fontId="1" fillId="0" borderId="1" xfId="0" applyFont="1" applyBorder="1"/>
    <xf numFmtId="0" fontId="0" fillId="0" borderId="0" xfId="0" applyAlignment="1">
      <alignment horizontal="center"/>
    </xf>
    <xf numFmtId="0" fontId="0" fillId="0" borderId="2" xfId="0" applyBorder="1"/>
    <xf numFmtId="0" fontId="2" fillId="0" borderId="0" xfId="0" applyFont="1"/>
    <xf numFmtId="0" fontId="5" fillId="0" borderId="0" xfId="1"/>
    <xf numFmtId="0" fontId="8" fillId="0" borderId="0" xfId="0" applyFont="1"/>
    <xf numFmtId="0" fontId="7" fillId="0" borderId="0" xfId="0" applyFont="1"/>
    <xf numFmtId="0" fontId="7" fillId="0" borderId="1" xfId="0" applyFont="1" applyBorder="1" applyAlignment="1">
      <alignment horizontal="center"/>
    </xf>
    <xf numFmtId="0" fontId="7" fillId="0" borderId="1" xfId="0" applyFont="1" applyBorder="1"/>
    <xf numFmtId="0" fontId="7" fillId="0" borderId="0" xfId="0" applyFont="1" applyAlignment="1">
      <alignment horizontal="center"/>
    </xf>
    <xf numFmtId="14" fontId="7" fillId="0" borderId="0" xfId="0" applyNumberFormat="1" applyFont="1" applyAlignment="1">
      <alignment horizontal="center"/>
    </xf>
    <xf numFmtId="0" fontId="5" fillId="0" borderId="0" xfId="0" applyFont="1"/>
    <xf numFmtId="0" fontId="8" fillId="0" borderId="0" xfId="0" applyFont="1" applyAlignment="1">
      <alignment wrapText="1"/>
    </xf>
    <xf numFmtId="0" fontId="8" fillId="0" borderId="0" xfId="0" applyFont="1" applyAlignment="1">
      <alignment horizontal="center"/>
    </xf>
    <xf numFmtId="0" fontId="8" fillId="0" borderId="0" xfId="0" applyFont="1" applyAlignment="1">
      <alignment vertical="top" wrapText="1"/>
    </xf>
    <xf numFmtId="0" fontId="9" fillId="0" borderId="0" xfId="0" applyFont="1"/>
    <xf numFmtId="0" fontId="8" fillId="0" borderId="1" xfId="0" applyFont="1" applyBorder="1" applyAlignment="1">
      <alignment horizontal="center"/>
    </xf>
    <xf numFmtId="0" fontId="8" fillId="0" borderId="2" xfId="0" applyFont="1" applyBorder="1" applyAlignment="1">
      <alignment horizontal="center"/>
    </xf>
    <xf numFmtId="0" fontId="8" fillId="0" borderId="1" xfId="0" applyFont="1" applyBorder="1"/>
    <xf numFmtId="0" fontId="8" fillId="0" borderId="2" xfId="0" applyFont="1" applyBorder="1"/>
    <xf numFmtId="0" fontId="8" fillId="0" borderId="0" xfId="0" applyFont="1" applyAlignment="1">
      <alignment horizontal="left"/>
    </xf>
    <xf numFmtId="0" fontId="8" fillId="4" borderId="0" xfId="0" applyFont="1" applyFill="1"/>
    <xf numFmtId="0" fontId="9" fillId="3" borderId="3" xfId="0" applyFont="1" applyFill="1" applyBorder="1" applyAlignment="1">
      <alignment horizontal="center"/>
    </xf>
    <xf numFmtId="0" fontId="8" fillId="0" borderId="0" xfId="0" applyFont="1" applyAlignment="1">
      <alignment vertical="top"/>
    </xf>
    <xf numFmtId="0" fontId="9" fillId="4" borderId="0" xfId="0" applyFont="1" applyFill="1"/>
    <xf numFmtId="0" fontId="8" fillId="5" borderId="0" xfId="0" applyFont="1" applyFill="1"/>
    <xf numFmtId="0" fontId="8" fillId="5" borderId="0" xfId="0" applyFont="1" applyFill="1" applyAlignment="1">
      <alignment horizontal="center"/>
    </xf>
    <xf numFmtId="0" fontId="8" fillId="5" borderId="0" xfId="0" applyFont="1" applyFill="1" applyAlignment="1">
      <alignment horizontal="left"/>
    </xf>
    <xf numFmtId="0" fontId="8" fillId="6" borderId="0" xfId="0" applyFont="1" applyFill="1"/>
    <xf numFmtId="0" fontId="1" fillId="0" borderId="0" xfId="0" applyFont="1" applyAlignment="1">
      <alignment horizontal="center"/>
    </xf>
    <xf numFmtId="1" fontId="8" fillId="0" borderId="0" xfId="0" applyNumberFormat="1" applyFont="1" applyAlignment="1">
      <alignment horizontal="center"/>
    </xf>
    <xf numFmtId="0" fontId="0" fillId="0" borderId="0" xfId="0" applyAlignment="1">
      <alignment vertical="top"/>
    </xf>
    <xf numFmtId="1" fontId="8" fillId="0" borderId="2" xfId="0" applyNumberFormat="1" applyFont="1" applyBorder="1" applyAlignment="1">
      <alignment horizontal="center"/>
    </xf>
    <xf numFmtId="1" fontId="8" fillId="0" borderId="0" xfId="0" applyNumberFormat="1" applyFont="1"/>
    <xf numFmtId="0" fontId="7" fillId="0" borderId="0" xfId="0" applyFont="1" applyProtection="1">
      <protection locked="0"/>
    </xf>
    <xf numFmtId="0" fontId="8" fillId="0" borderId="0" xfId="0" applyFont="1" applyProtection="1">
      <protection locked="0"/>
    </xf>
    <xf numFmtId="0" fontId="7" fillId="0" borderId="1" xfId="0" applyFont="1" applyBorder="1" applyProtection="1">
      <protection locked="0"/>
    </xf>
    <xf numFmtId="0" fontId="7" fillId="0" borderId="1" xfId="0" applyFont="1" applyBorder="1" applyAlignment="1" applyProtection="1">
      <alignment horizontal="center"/>
      <protection locked="0"/>
    </xf>
    <xf numFmtId="0" fontId="8" fillId="0" borderId="1" xfId="0" applyFont="1" applyBorder="1" applyAlignment="1" applyProtection="1">
      <alignment horizontal="center"/>
      <protection locked="0"/>
    </xf>
    <xf numFmtId="0" fontId="8" fillId="0" borderId="2" xfId="0" applyFont="1" applyBorder="1" applyProtection="1">
      <protection locked="0"/>
    </xf>
    <xf numFmtId="0" fontId="8" fillId="0" borderId="2" xfId="0" applyFont="1" applyBorder="1" applyAlignment="1" applyProtection="1">
      <alignment horizontal="center"/>
      <protection locked="0"/>
    </xf>
    <xf numFmtId="0" fontId="9" fillId="4" borderId="0" xfId="0" applyFont="1" applyFill="1" applyProtection="1">
      <protection locked="0"/>
    </xf>
    <xf numFmtId="0" fontId="8" fillId="4" borderId="0" xfId="0" applyFont="1" applyFill="1" applyProtection="1">
      <protection locked="0"/>
    </xf>
    <xf numFmtId="0" fontId="0" fillId="0" borderId="0" xfId="0" applyProtection="1">
      <protection locked="0"/>
    </xf>
    <xf numFmtId="0" fontId="0" fillId="0" borderId="0" xfId="0" applyAlignment="1" applyProtection="1">
      <alignment horizontal="center"/>
      <protection locked="0"/>
    </xf>
    <xf numFmtId="0" fontId="8" fillId="0" borderId="1" xfId="0" applyFont="1" applyBorder="1" applyProtection="1">
      <protection locked="0"/>
    </xf>
    <xf numFmtId="0" fontId="0" fillId="7" borderId="0" xfId="0" applyFill="1"/>
    <xf numFmtId="0" fontId="0" fillId="2" borderId="0" xfId="0" applyFill="1"/>
    <xf numFmtId="0" fontId="0" fillId="8" borderId="0" xfId="0" applyFill="1"/>
    <xf numFmtId="0" fontId="13" fillId="7" borderId="0" xfId="0" applyFont="1" applyFill="1"/>
    <xf numFmtId="0" fontId="12" fillId="9" borderId="0" xfId="0" applyFont="1" applyFill="1"/>
    <xf numFmtId="0" fontId="0" fillId="9" borderId="0" xfId="0" applyFill="1"/>
    <xf numFmtId="0" fontId="16" fillId="7" borderId="0" xfId="0" applyFont="1" applyFill="1"/>
    <xf numFmtId="0" fontId="16" fillId="9" borderId="0" xfId="0" applyFont="1" applyFill="1"/>
    <xf numFmtId="0" fontId="15" fillId="10" borderId="0" xfId="0" applyFont="1" applyFill="1"/>
    <xf numFmtId="0" fontId="17" fillId="7" borderId="0" xfId="0" applyFont="1" applyFill="1"/>
    <xf numFmtId="0" fontId="8" fillId="0" borderId="0" xfId="0" quotePrefix="1" applyFont="1"/>
    <xf numFmtId="1" fontId="0" fillId="2" borderId="0" xfId="0" applyNumberFormat="1" applyFill="1"/>
    <xf numFmtId="0" fontId="16" fillId="9" borderId="0" xfId="0" applyFont="1" applyFill="1" applyAlignment="1">
      <alignment horizontal="center" wrapText="1"/>
    </xf>
    <xf numFmtId="1" fontId="0" fillId="2" borderId="0" xfId="0" applyNumberFormat="1" applyFill="1" applyAlignment="1">
      <alignment horizontal="center"/>
    </xf>
    <xf numFmtId="1" fontId="14" fillId="10" borderId="0" xfId="0" applyNumberFormat="1" applyFont="1" applyFill="1" applyAlignment="1">
      <alignment horizontal="center"/>
    </xf>
    <xf numFmtId="2" fontId="8" fillId="0" borderId="0" xfId="0" applyNumberFormat="1" applyFont="1" applyAlignment="1">
      <alignment horizontal="center"/>
    </xf>
    <xf numFmtId="2" fontId="8" fillId="0" borderId="2" xfId="0" applyNumberFormat="1" applyFont="1" applyBorder="1" applyAlignment="1">
      <alignment horizontal="center"/>
    </xf>
    <xf numFmtId="2" fontId="8" fillId="0" borderId="0" xfId="0" applyNumberFormat="1" applyFont="1" applyAlignment="1" applyProtection="1">
      <alignment horizontal="center"/>
      <protection locked="0"/>
    </xf>
    <xf numFmtId="2" fontId="8" fillId="0" borderId="1" xfId="0" applyNumberFormat="1" applyFont="1" applyBorder="1" applyAlignment="1" applyProtection="1">
      <alignment horizontal="center"/>
      <protection locked="0"/>
    </xf>
    <xf numFmtId="2" fontId="8" fillId="0" borderId="0" xfId="0" applyNumberFormat="1" applyFont="1" applyProtection="1">
      <protection locked="0"/>
    </xf>
    <xf numFmtId="2" fontId="8" fillId="0" borderId="0" xfId="0" applyNumberFormat="1" applyFont="1"/>
    <xf numFmtId="2" fontId="8" fillId="0" borderId="1" xfId="0" applyNumberFormat="1" applyFont="1" applyBorder="1" applyAlignment="1">
      <alignment horizontal="center"/>
    </xf>
    <xf numFmtId="0" fontId="0" fillId="8" borderId="0" xfId="0" applyFill="1" applyAlignment="1">
      <alignment horizontal="right"/>
    </xf>
    <xf numFmtId="0" fontId="8" fillId="0" borderId="0" xfId="0" applyFont="1" applyAlignment="1">
      <alignment horizontal="right"/>
    </xf>
    <xf numFmtId="2" fontId="8" fillId="0" borderId="0" xfId="0" applyNumberFormat="1" applyFont="1" applyAlignment="1">
      <alignment horizontal="right"/>
    </xf>
    <xf numFmtId="2" fontId="8" fillId="0" borderId="0" xfId="0" applyNumberFormat="1" applyFont="1" applyAlignment="1" applyProtection="1">
      <alignment horizontal="right"/>
      <protection locked="0"/>
    </xf>
    <xf numFmtId="0" fontId="0" fillId="0" borderId="0" xfId="0" applyAlignment="1">
      <alignment horizontal="right"/>
    </xf>
    <xf numFmtId="0" fontId="18" fillId="0" borderId="0" xfId="3"/>
    <xf numFmtId="0" fontId="8" fillId="0" borderId="0" xfId="0" quotePrefix="1" applyFont="1" applyAlignment="1">
      <alignment horizontal="center"/>
    </xf>
    <xf numFmtId="0" fontId="19" fillId="0" borderId="0" xfId="0" applyFont="1" applyAlignment="1">
      <alignment vertical="top"/>
    </xf>
    <xf numFmtId="0" fontId="5" fillId="0" borderId="0" xfId="0" applyFont="1" applyAlignment="1">
      <alignment vertical="top" wrapText="1"/>
    </xf>
    <xf numFmtId="0" fontId="0" fillId="7" borderId="0" xfId="0" applyFill="1" applyAlignment="1">
      <alignment horizontal="left"/>
    </xf>
    <xf numFmtId="0" fontId="0" fillId="9" borderId="0" xfId="0" quotePrefix="1" applyFill="1"/>
    <xf numFmtId="1" fontId="8" fillId="0" borderId="1" xfId="0" applyNumberFormat="1" applyFont="1" applyBorder="1" applyAlignment="1">
      <alignment horizontal="center"/>
    </xf>
    <xf numFmtId="1" fontId="8" fillId="0" borderId="0" xfId="0" applyNumberFormat="1" applyFont="1" applyProtection="1">
      <protection locked="0"/>
    </xf>
    <xf numFmtId="0" fontId="21" fillId="0" borderId="0" xfId="0" applyFont="1" applyAlignment="1">
      <alignment vertical="center"/>
    </xf>
    <xf numFmtId="0" fontId="7" fillId="0" borderId="1" xfId="0" applyFont="1" applyBorder="1" applyAlignment="1">
      <alignment horizontal="center" wrapText="1"/>
    </xf>
    <xf numFmtId="2" fontId="24" fillId="0" borderId="0" xfId="0" applyNumberFormat="1" applyFont="1"/>
    <xf numFmtId="0" fontId="8" fillId="0" borderId="0" xfId="0" applyFont="1" applyAlignment="1" applyProtection="1">
      <alignment horizontal="center" vertical="center"/>
      <protection locked="0"/>
    </xf>
    <xf numFmtId="0" fontId="8" fillId="0" borderId="0" xfId="0" applyFont="1" applyAlignment="1" applyProtection="1">
      <alignment horizontal="center"/>
      <protection locked="0"/>
    </xf>
    <xf numFmtId="0" fontId="20" fillId="0" borderId="3" xfId="0" applyFont="1" applyBorder="1"/>
    <xf numFmtId="0" fontId="8" fillId="4" borderId="0" xfId="0" applyFont="1" applyFill="1" applyAlignment="1">
      <alignment vertical="top" wrapText="1"/>
    </xf>
    <xf numFmtId="0" fontId="9" fillId="4" borderId="0" xfId="0" applyFont="1" applyFill="1" applyAlignment="1">
      <alignment horizontal="center"/>
    </xf>
    <xf numFmtId="0" fontId="9" fillId="4" borderId="0" xfId="0" applyFont="1" applyFill="1" applyAlignment="1" applyProtection="1">
      <alignment horizontal="center"/>
      <protection locked="0"/>
    </xf>
    <xf numFmtId="0" fontId="8" fillId="0" borderId="3" xfId="0" applyFont="1" applyBorder="1" applyAlignment="1" applyProtection="1">
      <alignment horizontal="center"/>
      <protection locked="0"/>
    </xf>
    <xf numFmtId="0" fontId="8" fillId="0" borderId="3" xfId="0" applyFont="1" applyBorder="1" applyAlignment="1">
      <alignment horizontal="center"/>
    </xf>
    <xf numFmtId="0" fontId="8" fillId="0" borderId="3" xfId="0" applyFont="1" applyBorder="1"/>
    <xf numFmtId="0" fontId="8" fillId="0" borderId="3" xfId="0" applyFont="1" applyBorder="1" applyProtection="1">
      <protection locked="0"/>
    </xf>
    <xf numFmtId="0" fontId="7" fillId="6" borderId="3" xfId="0" applyFont="1" applyFill="1" applyBorder="1" applyAlignment="1">
      <alignment horizontal="center"/>
    </xf>
    <xf numFmtId="0" fontId="8" fillId="0" borderId="3" xfId="0" applyFont="1" applyBorder="1" applyAlignment="1">
      <alignment horizontal="center" vertical="center"/>
    </xf>
    <xf numFmtId="0" fontId="25" fillId="0" borderId="0" xfId="0" applyFont="1" applyAlignment="1">
      <alignment vertical="center" wrapText="1"/>
    </xf>
    <xf numFmtId="0" fontId="0" fillId="0" borderId="1" xfId="0" applyBorder="1"/>
    <xf numFmtId="0" fontId="0" fillId="0" borderId="1" xfId="0" applyBorder="1" applyAlignment="1">
      <alignment horizontal="center"/>
    </xf>
    <xf numFmtId="0" fontId="8" fillId="0" borderId="0" xfId="0" applyFont="1" applyAlignment="1">
      <alignment horizontal="center" vertical="top"/>
    </xf>
    <xf numFmtId="0" fontId="7" fillId="0" borderId="1" xfId="0" applyFont="1" applyBorder="1" applyAlignment="1">
      <alignment horizontal="center" vertical="top"/>
    </xf>
    <xf numFmtId="0" fontId="8" fillId="6" borderId="0" xfId="0" applyFont="1" applyFill="1" applyAlignment="1">
      <alignment horizontal="center" vertical="top"/>
    </xf>
    <xf numFmtId="0" fontId="7" fillId="0" borderId="1" xfId="0" applyFont="1" applyBorder="1" applyAlignment="1" applyProtection="1">
      <alignment horizontal="center" vertical="top"/>
      <protection locked="0"/>
    </xf>
    <xf numFmtId="0" fontId="8" fillId="10" borderId="0" xfId="0" applyFont="1" applyFill="1" applyAlignment="1">
      <alignment horizontal="center"/>
    </xf>
    <xf numFmtId="1" fontId="8" fillId="10" borderId="0" xfId="0" applyNumberFormat="1" applyFont="1" applyFill="1" applyAlignment="1">
      <alignment horizontal="center"/>
    </xf>
    <xf numFmtId="0" fontId="8" fillId="10" borderId="3" xfId="0" applyFont="1" applyFill="1" applyBorder="1" applyAlignment="1">
      <alignment horizontal="center"/>
    </xf>
    <xf numFmtId="0" fontId="8" fillId="0" borderId="0" xfId="0" applyFont="1" applyAlignment="1" applyProtection="1">
      <alignment horizontal="center" vertical="top"/>
      <protection locked="0"/>
    </xf>
    <xf numFmtId="0" fontId="8" fillId="10" borderId="0" xfId="0" applyFont="1" applyFill="1" applyAlignment="1" applyProtection="1">
      <alignment horizontal="center"/>
      <protection locked="0"/>
    </xf>
    <xf numFmtId="14" fontId="0" fillId="0" borderId="0" xfId="0" applyNumberFormat="1" applyAlignment="1">
      <alignment horizontal="left"/>
    </xf>
    <xf numFmtId="0" fontId="8" fillId="0" borderId="1" xfId="0" applyFont="1" applyBorder="1" applyAlignment="1">
      <alignment vertical="top" wrapText="1"/>
    </xf>
    <xf numFmtId="0" fontId="8" fillId="0" borderId="5" xfId="0" applyFont="1" applyBorder="1"/>
    <xf numFmtId="0" fontId="0" fillId="0" borderId="1" xfId="0" applyBorder="1" applyAlignment="1" applyProtection="1">
      <alignment horizontal="center"/>
      <protection locked="0"/>
    </xf>
    <xf numFmtId="0" fontId="0" fillId="0" borderId="1" xfId="0" applyBorder="1" applyProtection="1">
      <protection locked="0"/>
    </xf>
    <xf numFmtId="0" fontId="8" fillId="10" borderId="0" xfId="0" applyFont="1" applyFill="1"/>
    <xf numFmtId="0" fontId="7" fillId="0" borderId="0" xfId="0" applyFont="1" applyAlignment="1" applyProtection="1">
      <alignment horizontal="center"/>
      <protection locked="0"/>
    </xf>
    <xf numFmtId="0" fontId="7" fillId="0" borderId="0" xfId="0" applyFont="1" applyAlignment="1" applyProtection="1">
      <alignment horizontal="center" vertical="top"/>
      <protection locked="0"/>
    </xf>
    <xf numFmtId="0" fontId="5" fillId="0" borderId="0" xfId="0" applyFont="1" applyAlignment="1">
      <alignment wrapText="1"/>
    </xf>
    <xf numFmtId="0" fontId="8" fillId="0" borderId="3" xfId="0" applyFont="1" applyBorder="1" applyAlignment="1" applyProtection="1">
      <alignment horizontal="center" vertical="top"/>
      <protection locked="0"/>
    </xf>
    <xf numFmtId="0" fontId="9" fillId="0" borderId="0" xfId="0" applyFont="1" applyAlignment="1" applyProtection="1">
      <alignment horizontal="center"/>
      <protection locked="0"/>
    </xf>
    <xf numFmtId="0" fontId="8" fillId="10" borderId="3" xfId="0" applyFont="1" applyFill="1" applyBorder="1" applyAlignment="1" applyProtection="1">
      <alignment horizontal="center" vertical="top"/>
      <protection locked="0"/>
    </xf>
    <xf numFmtId="0" fontId="8" fillId="10" borderId="0" xfId="0" applyFont="1" applyFill="1" applyProtection="1">
      <protection locked="0"/>
    </xf>
    <xf numFmtId="0" fontId="8" fillId="10" borderId="3" xfId="0" applyFont="1" applyFill="1" applyBorder="1" applyAlignment="1">
      <alignment horizontal="center" vertical="top"/>
    </xf>
    <xf numFmtId="0" fontId="8" fillId="0" borderId="3" xfId="0" applyFont="1" applyBorder="1" applyAlignment="1">
      <alignment horizontal="center" vertical="top"/>
    </xf>
    <xf numFmtId="0" fontId="8" fillId="6" borderId="3" xfId="0" applyFont="1" applyFill="1" applyBorder="1" applyAlignment="1">
      <alignment horizontal="center"/>
    </xf>
    <xf numFmtId="2" fontId="8" fillId="10" borderId="0" xfId="0" applyNumberFormat="1" applyFont="1" applyFill="1" applyAlignment="1">
      <alignment horizontal="center"/>
    </xf>
    <xf numFmtId="2" fontId="8" fillId="10" borderId="0" xfId="0" applyNumberFormat="1" applyFont="1" applyFill="1" applyAlignment="1" applyProtection="1">
      <alignment horizontal="center"/>
      <protection locked="0"/>
    </xf>
    <xf numFmtId="0" fontId="8" fillId="10" borderId="0" xfId="0" applyFont="1" applyFill="1" applyAlignment="1">
      <alignment horizontal="center" vertical="top"/>
    </xf>
    <xf numFmtId="0" fontId="8" fillId="10" borderId="3" xfId="0" applyFont="1" applyFill="1" applyBorder="1" applyAlignment="1" applyProtection="1">
      <alignment horizontal="center" vertical="center"/>
      <protection locked="0"/>
    </xf>
    <xf numFmtId="0" fontId="0" fillId="0" borderId="0" xfId="0" applyAlignment="1">
      <alignment horizontal="center" vertical="center"/>
    </xf>
    <xf numFmtId="0" fontId="0" fillId="0" borderId="1" xfId="0" applyBorder="1" applyAlignment="1">
      <alignment horizontal="center" vertical="center"/>
    </xf>
    <xf numFmtId="0" fontId="27" fillId="0" borderId="0" xfId="3" applyFont="1" applyAlignment="1"/>
    <xf numFmtId="0" fontId="18" fillId="0" borderId="0" xfId="3" applyFill="1"/>
    <xf numFmtId="0" fontId="8" fillId="4" borderId="0" xfId="0" applyFont="1" applyFill="1" applyAlignment="1">
      <alignment horizontal="center"/>
    </xf>
    <xf numFmtId="0" fontId="9" fillId="11" borderId="0" xfId="0" applyFont="1" applyFill="1"/>
    <xf numFmtId="1" fontId="8" fillId="0" borderId="0" xfId="0" applyNumberFormat="1" applyFont="1" applyAlignment="1" applyProtection="1">
      <alignment horizontal="center"/>
      <protection locked="0"/>
    </xf>
    <xf numFmtId="2" fontId="8" fillId="0" borderId="0" xfId="4" applyNumberFormat="1" applyFont="1" applyAlignment="1">
      <alignment horizontal="center"/>
    </xf>
    <xf numFmtId="0" fontId="8" fillId="0" borderId="7" xfId="0" applyFont="1" applyBorder="1"/>
    <xf numFmtId="0" fontId="9" fillId="8" borderId="3" xfId="0" applyFont="1" applyFill="1" applyBorder="1" applyProtection="1">
      <protection locked="0"/>
    </xf>
    <xf numFmtId="0" fontId="8" fillId="8" borderId="3" xfId="0" applyFont="1" applyFill="1" applyBorder="1" applyProtection="1">
      <protection locked="0"/>
    </xf>
    <xf numFmtId="0" fontId="0" fillId="8" borderId="3" xfId="0" applyFill="1" applyBorder="1"/>
    <xf numFmtId="0" fontId="0" fillId="12" borderId="8" xfId="0" applyFill="1" applyBorder="1"/>
    <xf numFmtId="0" fontId="0" fillId="0" borderId="3" xfId="0" applyBorder="1"/>
    <xf numFmtId="0" fontId="0" fillId="12" borderId="3" xfId="0" applyFill="1" applyBorder="1"/>
    <xf numFmtId="0" fontId="0" fillId="8" borderId="9" xfId="0" applyFill="1" applyBorder="1"/>
    <xf numFmtId="0" fontId="2" fillId="8" borderId="3" xfId="0" applyFont="1" applyFill="1" applyBorder="1"/>
    <xf numFmtId="0" fontId="0" fillId="8" borderId="8" xfId="0" applyFill="1" applyBorder="1"/>
    <xf numFmtId="0" fontId="0" fillId="8" borderId="10" xfId="0" applyFill="1" applyBorder="1"/>
    <xf numFmtId="0" fontId="8" fillId="8" borderId="3" xfId="0" applyFont="1" applyFill="1" applyBorder="1" applyAlignment="1" applyProtection="1">
      <alignment horizontal="right"/>
      <protection locked="0"/>
    </xf>
    <xf numFmtId="0" fontId="8" fillId="8" borderId="3" xfId="0" applyFont="1" applyFill="1" applyBorder="1" applyAlignment="1">
      <alignment horizontal="right"/>
    </xf>
    <xf numFmtId="0" fontId="0" fillId="8" borderId="3" xfId="0" applyFill="1" applyBorder="1" applyAlignment="1">
      <alignment horizontal="right"/>
    </xf>
    <xf numFmtId="0" fontId="8" fillId="8" borderId="3" xfId="0" applyFont="1" applyFill="1" applyBorder="1"/>
    <xf numFmtId="0" fontId="0" fillId="12" borderId="9" xfId="0" applyFill="1" applyBorder="1"/>
    <xf numFmtId="14" fontId="5" fillId="0" borderId="0" xfId="0" applyNumberFormat="1" applyFont="1" applyAlignment="1">
      <alignment horizontal="center"/>
    </xf>
    <xf numFmtId="0" fontId="8" fillId="0" borderId="11" xfId="0" applyFont="1" applyBorder="1"/>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xf>
    <xf numFmtId="0" fontId="8" fillId="0" borderId="1" xfId="0" applyFont="1" applyBorder="1" applyAlignment="1">
      <alignment vertical="center"/>
    </xf>
    <xf numFmtId="0" fontId="8" fillId="0" borderId="7" xfId="0" applyFont="1" applyBorder="1" applyProtection="1">
      <protection locked="0"/>
    </xf>
    <xf numFmtId="11" fontId="0" fillId="8" borderId="0" xfId="0" applyNumberFormat="1" applyFill="1" applyProtection="1">
      <protection locked="0"/>
    </xf>
    <xf numFmtId="0" fontId="0" fillId="8" borderId="3" xfId="0" applyFill="1" applyBorder="1" applyProtection="1">
      <protection locked="0"/>
    </xf>
    <xf numFmtId="1" fontId="0" fillId="0" borderId="0" xfId="0" applyNumberFormat="1"/>
    <xf numFmtId="0" fontId="28" fillId="0" borderId="0" xfId="0" applyFont="1"/>
    <xf numFmtId="0" fontId="19" fillId="0" borderId="0" xfId="0" applyFont="1"/>
    <xf numFmtId="0" fontId="1" fillId="0" borderId="0" xfId="3" applyFont="1" applyAlignment="1"/>
    <xf numFmtId="0" fontId="27" fillId="0" borderId="0" xfId="3" applyFont="1" applyAlignment="1"/>
    <xf numFmtId="0" fontId="0" fillId="12" borderId="3" xfId="0" applyFill="1" applyBorder="1" applyAlignment="1">
      <alignment horizontal="center" vertical="center"/>
    </xf>
    <xf numFmtId="0" fontId="0" fillId="12" borderId="5" xfId="0" applyFill="1" applyBorder="1" applyAlignment="1">
      <alignment horizontal="center" vertical="center"/>
    </xf>
    <xf numFmtId="0" fontId="0" fillId="12" borderId="4" xfId="0" applyFill="1" applyBorder="1" applyAlignment="1">
      <alignment horizontal="center" vertical="center"/>
    </xf>
    <xf numFmtId="0" fontId="0" fillId="12" borderId="6" xfId="0" applyFill="1" applyBorder="1" applyAlignment="1">
      <alignment horizontal="center" vertical="center"/>
    </xf>
    <xf numFmtId="0" fontId="8" fillId="0" borderId="0" xfId="0" applyFont="1" applyAlignment="1">
      <alignment horizontal="center"/>
    </xf>
    <xf numFmtId="0" fontId="0" fillId="0" borderId="0" xfId="0" applyAlignment="1">
      <alignment horizontal="center"/>
    </xf>
    <xf numFmtId="0" fontId="18" fillId="0" borderId="0" xfId="3" applyAlignment="1">
      <alignment horizontal="center"/>
    </xf>
    <xf numFmtId="0" fontId="9" fillId="4" borderId="0" xfId="0" applyFont="1" applyFill="1" applyAlignment="1">
      <alignment horizontal="center"/>
    </xf>
    <xf numFmtId="0" fontId="8" fillId="4" borderId="0" xfId="0" applyFont="1" applyFill="1" applyAlignment="1">
      <alignment vertical="top" wrapText="1"/>
    </xf>
    <xf numFmtId="0" fontId="7" fillId="6" borderId="5" xfId="0" applyFont="1" applyFill="1" applyBorder="1" applyAlignment="1">
      <alignment horizontal="center"/>
    </xf>
    <xf numFmtId="0" fontId="7" fillId="6" borderId="4" xfId="0" applyFont="1" applyFill="1" applyBorder="1" applyAlignment="1">
      <alignment horizontal="center"/>
    </xf>
    <xf numFmtId="0" fontId="7" fillId="6" borderId="6" xfId="0" applyFont="1" applyFill="1" applyBorder="1" applyAlignment="1">
      <alignment horizontal="center"/>
    </xf>
    <xf numFmtId="0" fontId="7" fillId="6" borderId="3" xfId="0" applyFont="1" applyFill="1" applyBorder="1" applyAlignment="1">
      <alignment horizontal="center"/>
    </xf>
    <xf numFmtId="0" fontId="9" fillId="4" borderId="0" xfId="0" applyFont="1" applyFill="1" applyAlignment="1" applyProtection="1">
      <alignment horizontal="center"/>
      <protection locked="0"/>
    </xf>
    <xf numFmtId="0" fontId="8" fillId="6" borderId="3" xfId="0" applyFont="1" applyFill="1" applyBorder="1" applyAlignment="1">
      <alignment horizontal="center"/>
    </xf>
    <xf numFmtId="0" fontId="8" fillId="0" borderId="0" xfId="0" applyFont="1" applyAlignment="1" applyProtection="1">
      <alignment horizontal="center"/>
      <protection locked="0"/>
    </xf>
    <xf numFmtId="0" fontId="8" fillId="4" borderId="0" xfId="0" applyFont="1" applyFill="1" applyAlignment="1">
      <alignment horizontal="left" vertical="top" wrapText="1"/>
    </xf>
    <xf numFmtId="0" fontId="9" fillId="8" borderId="5" xfId="0" applyFont="1" applyFill="1" applyBorder="1" applyAlignment="1" applyProtection="1">
      <alignment horizontal="left"/>
      <protection locked="0"/>
    </xf>
    <xf numFmtId="0" fontId="9" fillId="8" borderId="6" xfId="0" applyFont="1" applyFill="1" applyBorder="1" applyAlignment="1" applyProtection="1">
      <alignment horizontal="left"/>
      <protection locked="0"/>
    </xf>
    <xf numFmtId="0" fontId="9" fillId="8" borderId="5" xfId="0" applyFont="1" applyFill="1" applyBorder="1" applyAlignment="1">
      <alignment horizontal="left"/>
    </xf>
    <xf numFmtId="0" fontId="9" fillId="8" borderId="6" xfId="0" applyFont="1" applyFill="1" applyBorder="1" applyAlignment="1">
      <alignment horizontal="left"/>
    </xf>
    <xf numFmtId="0" fontId="8" fillId="0" borderId="0" xfId="0" applyFont="1" applyBorder="1"/>
    <xf numFmtId="0" fontId="7" fillId="0" borderId="0" xfId="0" applyFont="1" applyAlignment="1"/>
    <xf numFmtId="0" fontId="8" fillId="0" borderId="0" xfId="0" applyFont="1" applyAlignment="1"/>
    <xf numFmtId="0" fontId="0" fillId="6" borderId="3" xfId="0" applyFill="1" applyBorder="1" applyAlignment="1"/>
    <xf numFmtId="0" fontId="8" fillId="8" borderId="3" xfId="0" applyFont="1" applyFill="1" applyBorder="1" applyAlignment="1" applyProtection="1">
      <protection locked="0"/>
    </xf>
    <xf numFmtId="0" fontId="0" fillId="8" borderId="3" xfId="0" applyFill="1" applyBorder="1" applyAlignment="1"/>
  </cellXfs>
  <cellStyles count="6">
    <cellStyle name="Hyperlink" xfId="3" builtinId="8"/>
    <cellStyle name="Normal" xfId="0" builtinId="0"/>
    <cellStyle name="Normal 2" xfId="1" xr:uid="{00000000-0005-0000-0000-000002000000}"/>
    <cellStyle name="Normal 3" xfId="2" xr:uid="{00000000-0005-0000-0000-000003000000}"/>
    <cellStyle name="Normal 4" xfId="5" xr:uid="{00000000-0005-0000-0000-000034000000}"/>
    <cellStyle name="Normal 5" xfId="4" xr:uid="{00000000-0005-0000-0000-000033000000}"/>
  </cellStyles>
  <dxfs count="10">
    <dxf>
      <font>
        <b val="0"/>
        <i val="0"/>
        <strike val="0"/>
        <condense val="0"/>
        <extend val="0"/>
        <outline val="0"/>
        <shadow val="0"/>
        <u val="none"/>
        <vertAlign val="baseline"/>
        <sz val="11"/>
        <color theme="0"/>
        <name val="Calibri"/>
        <family val="2"/>
        <scheme val="minor"/>
      </font>
      <fill>
        <patternFill patternType="solid">
          <fgColor indexed="64"/>
          <bgColor theme="3"/>
        </patternFill>
      </fill>
    </dxf>
    <dxf>
      <numFmt numFmtId="1" formatCode="0"/>
      <fill>
        <patternFill patternType="solid">
          <fgColor indexed="64"/>
          <bgColor theme="0"/>
        </patternFill>
      </fill>
      <alignment horizontal="center" vertical="bottom" textRotation="0" wrapText="0" indent="0" justifyLastLine="0" shrinkToFit="0" readingOrder="0"/>
    </dxf>
    <dxf>
      <numFmt numFmtId="1" formatCode="0"/>
      <fill>
        <patternFill patternType="solid">
          <fgColor indexed="64"/>
          <bgColor theme="0"/>
        </patternFill>
      </fill>
      <alignment horizontal="center" vertical="bottom" textRotation="0" wrapText="0" indent="0" justifyLastLine="0" shrinkToFit="0" readingOrder="0"/>
    </dxf>
    <dxf>
      <numFmt numFmtId="1" formatCode="0"/>
      <fill>
        <patternFill patternType="solid">
          <fgColor indexed="64"/>
          <bgColor theme="0"/>
        </patternFill>
      </fill>
      <alignment horizontal="center" vertical="bottom" textRotation="0" wrapText="0" indent="0" justifyLastLine="0" shrinkToFit="0" readingOrder="0"/>
    </dxf>
    <dxf>
      <numFmt numFmtId="1" formatCode="0"/>
      <fill>
        <patternFill patternType="solid">
          <fgColor indexed="64"/>
          <bgColor theme="0"/>
        </patternFill>
      </fill>
      <alignment horizontal="center" vertical="bottom" textRotation="0" wrapText="0" indent="0" justifyLastLine="0" shrinkToFit="0" readingOrder="0"/>
    </dxf>
    <dxf>
      <numFmt numFmtId="1" formatCode="0"/>
      <fill>
        <patternFill patternType="solid">
          <fgColor indexed="64"/>
          <bgColor theme="0"/>
        </patternFill>
      </fill>
      <alignment horizontal="center" vertical="bottom" textRotation="0" wrapText="0" indent="0" justifyLastLine="0" shrinkToFit="0" readingOrder="0"/>
    </dxf>
    <dxf>
      <numFmt numFmtId="1" formatCode="0"/>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38"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608322</xdr:colOff>
      <xdr:row>65</xdr:row>
      <xdr:rowOff>136071</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0" y="0"/>
          <a:ext cx="7466322" cy="11032671"/>
        </a:xfrm>
        <a:prstGeom prst="rect">
          <a:avLst/>
        </a:prstGeom>
        <a:solidFill>
          <a:srgbClr val="FFFFFF"/>
        </a:solidFill>
        <a:ln w="9525">
          <a:solidFill>
            <a:srgbClr val="000000"/>
          </a:solidFill>
          <a:miter lim="800000"/>
          <a:headEnd/>
          <a:tailEnd/>
        </a:ln>
      </xdr:spPr>
      <xdr:txBody>
        <a:bodyPr vertOverflow="clip" wrap="square" lIns="45720" tIns="36576" rIns="0" bIns="0" anchor="t" upright="1"/>
        <a:lstStyle/>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1800" b="0" i="0" u="none" strike="noStrike" baseline="0">
            <a:solidFill>
              <a:srgbClr val="969696"/>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808080"/>
            </a:solidFill>
            <a:latin typeface="宋体"/>
            <a:ea typeface="宋体"/>
          </a:endParaRPr>
        </a:p>
        <a:p>
          <a:pPr algn="l" rtl="0">
            <a:defRPr sz="1000"/>
          </a:pPr>
          <a:endParaRPr lang="en-US" sz="2200" b="1" i="0" u="none" strike="noStrike" baseline="0">
            <a:solidFill>
              <a:srgbClr val="333333"/>
            </a:solidFill>
            <a:latin typeface="宋体"/>
            <a:ea typeface="宋体"/>
          </a:endParaRPr>
        </a:p>
        <a:p>
          <a:pPr algn="l" rtl="0">
            <a:defRPr sz="1000"/>
          </a:pPr>
          <a:endParaRPr lang="en-US" sz="2200" b="1" i="0" u="none" strike="noStrike" baseline="0">
            <a:solidFill>
              <a:srgbClr val="808080"/>
            </a:solidFill>
            <a:latin typeface="宋体"/>
            <a:ea typeface="宋体"/>
          </a:endParaRPr>
        </a:p>
        <a:p>
          <a:pPr algn="l" rtl="0">
            <a:defRPr sz="1000"/>
          </a:pPr>
          <a:endParaRPr lang="en-US" sz="2400" b="1" i="0" u="none" strike="noStrike" baseline="0">
            <a:solidFill>
              <a:srgbClr val="1F497D"/>
            </a:solidFill>
            <a:latin typeface="宋体"/>
            <a:ea typeface="宋体"/>
          </a:endParaRPr>
        </a:p>
        <a:p>
          <a:pPr algn="l" rtl="0">
            <a:defRPr sz="1000"/>
          </a:pPr>
          <a:endParaRPr lang="en-US" sz="1400" b="1" i="0" u="none" strike="noStrike" baseline="0">
            <a:solidFill>
              <a:srgbClr val="808080"/>
            </a:solidFill>
            <a:latin typeface="宋体"/>
            <a:ea typeface="宋体"/>
          </a:endParaRPr>
        </a:p>
        <a:p>
          <a:pPr algn="l" rtl="0">
            <a:defRPr sz="1000"/>
          </a:pPr>
          <a:r>
            <a:rPr lang="en-US" sz="1400" b="1" i="0" u="none" strike="noStrike" baseline="0">
              <a:solidFill>
                <a:srgbClr val="1F497D"/>
              </a:solidFill>
              <a:latin typeface="Arial"/>
              <a:cs typeface="Arial"/>
            </a:rPr>
            <a:t>                                  </a:t>
          </a:r>
          <a:endParaRPr lang="en-US" sz="1400" b="1" i="0" u="none" strike="noStrike" baseline="0">
            <a:solidFill>
              <a:srgbClr val="1F497D"/>
            </a:solidFill>
            <a:latin typeface="宋体"/>
            <a:ea typeface="宋体"/>
          </a:endParaRPr>
        </a:p>
        <a:p>
          <a:pPr algn="l" rtl="0">
            <a:defRPr sz="1000"/>
          </a:pPr>
          <a:endParaRPr lang="en-US" sz="2200" b="1"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800" b="0" i="0" u="none" strike="noStrike" baseline="0">
            <a:solidFill>
              <a:srgbClr val="000000"/>
            </a:solidFill>
            <a:latin typeface="宋体"/>
            <a:ea typeface="宋体"/>
          </a:endParaRPr>
        </a:p>
        <a:p>
          <a:pPr algn="l" rtl="0">
            <a:defRPr sz="1000"/>
          </a:pPr>
          <a:endParaRPr lang="en-US" sz="1200" b="1" i="0" u="none" strike="noStrike" baseline="0">
            <a:solidFill>
              <a:srgbClr val="000000"/>
            </a:solidFill>
            <a:latin typeface="宋体"/>
            <a:ea typeface="宋体"/>
          </a:endParaRPr>
        </a:p>
        <a:p>
          <a:pPr algn="l" rtl="0">
            <a:defRPr sz="1000"/>
          </a:pPr>
          <a:endParaRPr lang="en-US" sz="1200" b="1" i="0" u="none" strike="noStrike" baseline="0">
            <a:solidFill>
              <a:srgbClr val="000000"/>
            </a:solidFill>
            <a:latin typeface="宋体"/>
            <a:ea typeface="宋体"/>
          </a:endParaRPr>
        </a:p>
      </xdr:txBody>
    </xdr:sp>
    <xdr:clientData/>
  </xdr:twoCellAnchor>
  <xdr:oneCellAnchor>
    <xdr:from>
      <xdr:col>2</xdr:col>
      <xdr:colOff>261893</xdr:colOff>
      <xdr:row>13</xdr:row>
      <xdr:rowOff>61079</xdr:rowOff>
    </xdr:from>
    <xdr:ext cx="4764667" cy="769501"/>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33493" y="2240399"/>
          <a:ext cx="4764667" cy="769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en-US" sz="1600" b="1" i="0" u="none" strike="noStrike" baseline="0">
              <a:solidFill>
                <a:srgbClr val="808080"/>
              </a:solidFill>
              <a:latin typeface="Arial"/>
              <a:ea typeface="Arial"/>
              <a:cs typeface="Arial"/>
            </a:rPr>
            <a:t>MantaRay NM internal document</a:t>
          </a:r>
          <a:endParaRPr lang="en-US" sz="2200" b="1" i="0" u="none" strike="noStrike" baseline="0">
            <a:solidFill>
              <a:srgbClr val="808080"/>
            </a:solidFill>
            <a:latin typeface="Arial"/>
            <a:ea typeface="Arial"/>
            <a:cs typeface="Arial"/>
          </a:endParaRPr>
        </a:p>
        <a:p>
          <a:pPr algn="l" rtl="0">
            <a:lnSpc>
              <a:spcPts val="2100"/>
            </a:lnSpc>
            <a:defRPr sz="1000"/>
          </a:pPr>
          <a:endParaRPr/>
        </a:p>
        <a:p>
          <a:pPr algn="l" rtl="0">
            <a:lnSpc>
              <a:spcPts val="2100"/>
            </a:lnSpc>
            <a:defRPr sz="1000"/>
          </a:pPr>
          <a:endParaRPr lang="en-US" sz="2200" b="1" i="0" u="none" strike="noStrike" baseline="0">
            <a:solidFill>
              <a:srgbClr val="808080"/>
            </a:solidFill>
            <a:latin typeface="Arial"/>
            <a:ea typeface="Arial"/>
            <a:cs typeface="Arial"/>
          </a:endParaRPr>
        </a:p>
      </xdr:txBody>
    </xdr:sp>
    <xdr:clientData/>
  </xdr:oneCellAnchor>
  <xdr:oneCellAnchor>
    <xdr:from>
      <xdr:col>2</xdr:col>
      <xdr:colOff>288876</xdr:colOff>
      <xdr:row>28</xdr:row>
      <xdr:rowOff>152050</xdr:rowOff>
    </xdr:from>
    <xdr:ext cx="5189904" cy="5343314"/>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669441" y="4921274"/>
          <a:ext cx="5189904" cy="5343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200" b="1" i="0" u="none" strike="noStrike" baseline="0">
              <a:solidFill>
                <a:srgbClr val="808080"/>
              </a:solidFill>
              <a:latin typeface="Arial"/>
              <a:ea typeface="Arial"/>
              <a:cs typeface="Arial"/>
            </a:rPr>
            <a:t>For following releases:</a:t>
          </a:r>
        </a:p>
        <a:p>
          <a:pPr rtl="0"/>
          <a:r>
            <a:rPr lang="en-US" sz="1200" b="1" i="0" u="none" strike="noStrike" baseline="0">
              <a:solidFill>
                <a:srgbClr val="808080"/>
              </a:solidFill>
              <a:latin typeface="Arial"/>
              <a:ea typeface="Arial"/>
              <a:cs typeface="Arial"/>
            </a:rPr>
            <a:t>MantaRay 24R3-NM</a:t>
          </a:r>
        </a:p>
        <a:p>
          <a:pPr rtl="0"/>
          <a:r>
            <a:rPr lang="en-US" sz="1200" b="1" i="0" u="none" strike="noStrike" baseline="0">
              <a:solidFill>
                <a:srgbClr val="808080"/>
              </a:solidFill>
              <a:latin typeface="Arial"/>
              <a:ea typeface="Arial"/>
              <a:cs typeface="Arial"/>
            </a:rPr>
            <a:t>MantaRay 24R3-NM SW on VMware</a:t>
          </a:r>
        </a:p>
        <a:p>
          <a:pPr rtl="0"/>
          <a:r>
            <a:rPr lang="en-US" sz="1200" b="1" i="0" u="none" strike="noStrike" baseline="0">
              <a:solidFill>
                <a:srgbClr val="808080"/>
              </a:solidFill>
              <a:latin typeface="Arial"/>
              <a:ea typeface="Arial"/>
              <a:cs typeface="Arial"/>
            </a:rPr>
            <a:t>MantaRay 24R3-NM SW on OpenStack</a:t>
          </a:r>
        </a:p>
        <a:p>
          <a:pPr rtl="0"/>
          <a:endParaRPr lang="en-US" sz="1200" b="1" i="0" u="none" strike="noStrike" baseline="0">
            <a:solidFill>
              <a:srgbClr val="808080"/>
            </a:solidFill>
            <a:latin typeface="Arial"/>
            <a:ea typeface="Arial"/>
            <a:cs typeface="Arial"/>
          </a:endParaRPr>
        </a:p>
      </xdr:txBody>
    </xdr:sp>
    <xdr:clientData/>
  </xdr:oneCellAnchor>
  <xdr:oneCellAnchor>
    <xdr:from>
      <xdr:col>2</xdr:col>
      <xdr:colOff>291354</xdr:colOff>
      <xdr:row>22</xdr:row>
      <xdr:rowOff>96934</xdr:rowOff>
    </xdr:from>
    <xdr:ext cx="5147422" cy="865091"/>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662954" y="3785014"/>
          <a:ext cx="5147422" cy="865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defRPr sz="1000"/>
          </a:pPr>
          <a:r>
            <a:rPr lang="en-US" sz="2000" b="1" i="0" u="none" strike="noStrike" baseline="0">
              <a:solidFill>
                <a:srgbClr val="1F497D"/>
              </a:solidFill>
              <a:latin typeface="Arial"/>
              <a:cs typeface="Arial"/>
            </a:rPr>
            <a:t>MantaRay NM</a:t>
          </a:r>
        </a:p>
        <a:p>
          <a:pPr algn="l" rtl="0">
            <a:defRPr sz="1000"/>
          </a:pPr>
          <a:r>
            <a:rPr lang="en-US" sz="2000" b="1" i="0" u="none" strike="noStrike" baseline="0">
              <a:solidFill>
                <a:srgbClr val="1F497D"/>
              </a:solidFill>
              <a:latin typeface="Arial"/>
              <a:cs typeface="Arial"/>
            </a:rPr>
            <a:t>Node Architecture and Resource Plan</a:t>
          </a:r>
        </a:p>
        <a:p>
          <a:pPr algn="l" rtl="0">
            <a:defRPr sz="1000"/>
          </a:pPr>
          <a:endParaRPr lang="en-US" sz="2000" b="1" i="0" u="none" strike="noStrike" baseline="0">
            <a:solidFill>
              <a:srgbClr val="1F497D"/>
            </a:solidFill>
            <a:latin typeface="Arial"/>
            <a:cs typeface="Arial"/>
          </a:endParaRPr>
        </a:p>
      </xdr:txBody>
    </xdr:sp>
    <xdr:clientData/>
  </xdr:oneCellAnchor>
  <xdr:twoCellAnchor editAs="oneCell">
    <xdr:from>
      <xdr:col>0</xdr:col>
      <xdr:colOff>582706</xdr:colOff>
      <xdr:row>2</xdr:row>
      <xdr:rowOff>59765</xdr:rowOff>
    </xdr:from>
    <xdr:to>
      <xdr:col>5</xdr:col>
      <xdr:colOff>2252</xdr:colOff>
      <xdr:row>9</xdr:row>
      <xdr:rowOff>85399</xdr:rowOff>
    </xdr:to>
    <xdr:pic>
      <xdr:nvPicPr>
        <xdr:cNvPr id="4" name="Picture 3">
          <a:extLst>
            <a:ext uri="{FF2B5EF4-FFF2-40B4-BE49-F238E27FC236}">
              <a16:creationId xmlns:a16="http://schemas.microsoft.com/office/drawing/2014/main" id="{FE5690AD-1313-1435-80C3-515AA513FE66}"/>
            </a:ext>
          </a:extLst>
        </xdr:cNvPr>
        <xdr:cNvPicPr>
          <a:picLocks noChangeAspect="1"/>
        </xdr:cNvPicPr>
      </xdr:nvPicPr>
      <xdr:blipFill>
        <a:blip xmlns:r="http://schemas.openxmlformats.org/officeDocument/2006/relationships" r:embed="rId1"/>
        <a:stretch>
          <a:fillRect/>
        </a:stretch>
      </xdr:blipFill>
      <xdr:spPr>
        <a:xfrm>
          <a:off x="582706" y="373530"/>
          <a:ext cx="2904762" cy="1123810"/>
        </a:xfrm>
        <a:prstGeom prst="rect">
          <a:avLst/>
        </a:prstGeom>
      </xdr:spPr>
    </xdr:pic>
    <xdr:clientData/>
  </xdr:twoCellAnchor>
  <xdr:twoCellAnchor>
    <xdr:from>
      <xdr:col>0</xdr:col>
      <xdr:colOff>0</xdr:colOff>
      <xdr:row>67</xdr:row>
      <xdr:rowOff>5637</xdr:rowOff>
    </xdr:from>
    <xdr:to>
      <xdr:col>10</xdr:col>
      <xdr:colOff>590176</xdr:colOff>
      <xdr:row>135</xdr:row>
      <xdr:rowOff>40932</xdr:rowOff>
    </xdr:to>
    <xdr:sp macro="" textlink="">
      <xdr:nvSpPr>
        <xdr:cNvPr id="5" name="Text Box 2">
          <a:extLst>
            <a:ext uri="{FF2B5EF4-FFF2-40B4-BE49-F238E27FC236}">
              <a16:creationId xmlns:a16="http://schemas.microsoft.com/office/drawing/2014/main" id="{A42243E8-8EA3-4B8E-B178-544E82EF8B90}"/>
            </a:ext>
          </a:extLst>
        </xdr:cNvPr>
        <xdr:cNvSpPr txBox="1">
          <a:spLocks noChangeArrowheads="1"/>
        </xdr:cNvSpPr>
      </xdr:nvSpPr>
      <xdr:spPr bwMode="auto">
        <a:xfrm>
          <a:off x="0" y="10516755"/>
          <a:ext cx="7612529" cy="1070329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pl-PL" sz="1000" b="0" i="0" u="none" strike="noStrike" baseline="0">
            <a:solidFill>
              <a:srgbClr val="000000"/>
            </a:solidFill>
            <a:latin typeface="Arial"/>
            <a:cs typeface="Arial"/>
          </a:endParaRPr>
        </a:p>
        <a:p>
          <a:pPr lvl="1"/>
          <a:endParaRPr lang="pl-PL" sz="1000" baseline="0">
            <a:latin typeface="Arial" pitchFamily="34" charset="0"/>
            <a:ea typeface="+mn-ea"/>
            <a:cs typeface="Arial" pitchFamily="34" charset="0"/>
          </a:endParaRPr>
        </a:p>
        <a:p>
          <a:pPr lvl="1"/>
          <a:endParaRPr lang="pl-PL" sz="1000" baseline="0">
            <a:latin typeface="Arial" pitchFamily="34" charset="0"/>
            <a:ea typeface="+mn-ea"/>
            <a:cs typeface="Arial" pitchFamily="34" charset="0"/>
          </a:endParaRPr>
        </a:p>
        <a:p>
          <a:pPr lvl="1"/>
          <a:endParaRPr lang="pl-PL" sz="1000" baseline="0">
            <a:latin typeface="Arial" pitchFamily="34" charset="0"/>
            <a:ea typeface="+mn-ea"/>
            <a:cs typeface="Arial" pitchFamily="34" charset="0"/>
          </a:endParaRPr>
        </a:p>
        <a:p>
          <a:r>
            <a:rPr lang="pl-PL" sz="1100" baseline="0">
              <a:latin typeface="+mn-lt"/>
              <a:ea typeface="+mn-ea"/>
              <a:cs typeface="+mn-cs"/>
            </a:rPr>
            <a:t>	</a:t>
          </a:r>
          <a:r>
            <a:rPr lang="en-US" sz="1000" baseline="0">
              <a:latin typeface="Arial" pitchFamily="34" charset="0"/>
              <a:ea typeface="+mn-ea"/>
              <a:cs typeface="Arial" pitchFamily="34" charset="0"/>
            </a:rPr>
            <a:t>The information in this document applies solely to the hardware/software product (“Product”) specified</a:t>
          </a:r>
        </a:p>
        <a:p>
          <a:r>
            <a:rPr lang="en-US" sz="1000" baseline="0">
              <a:latin typeface="Arial" pitchFamily="34" charset="0"/>
              <a:ea typeface="+mn-ea"/>
              <a:cs typeface="Arial" pitchFamily="34" charset="0"/>
            </a:rPr>
            <a:t>	herein, and only as specified herein.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information in this document applies solely to the hardware/software product (“Product”) specified</a:t>
          </a:r>
        </a:p>
        <a:p>
          <a:r>
            <a:rPr lang="en-US" sz="1000" baseline="0">
              <a:latin typeface="Arial" pitchFamily="34" charset="0"/>
              <a:ea typeface="+mn-ea"/>
              <a:cs typeface="Arial" pitchFamily="34" charset="0"/>
            </a:rPr>
            <a:t>	herein, and only as specified herein.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is intended for use by Nokia's customers (“You”) only, and it may not</a:t>
          </a:r>
        </a:p>
        <a:p>
          <a:r>
            <a:rPr lang="en-US" sz="1000" baseline="0">
              <a:latin typeface="Arial" pitchFamily="34" charset="0"/>
              <a:ea typeface="+mn-ea"/>
              <a:cs typeface="Arial" pitchFamily="34" charset="0"/>
            </a:rPr>
            <a:t>	be used except for the purposes defined in the agreement between You and Nokia</a:t>
          </a:r>
        </a:p>
        <a:p>
          <a:r>
            <a:rPr lang="en-US" sz="1000" baseline="0">
              <a:latin typeface="Arial" pitchFamily="34" charset="0"/>
              <a:ea typeface="+mn-ea"/>
              <a:cs typeface="Arial" pitchFamily="34" charset="0"/>
            </a:rPr>
            <a:t>	(“Agreement”) under which this document is distributed. No part of this document may be used, copied,</a:t>
          </a:r>
        </a:p>
        <a:p>
          <a:r>
            <a:rPr lang="en-US" sz="1000" baseline="0">
              <a:latin typeface="Arial" pitchFamily="34" charset="0"/>
              <a:ea typeface="+mn-ea"/>
              <a:cs typeface="Arial" pitchFamily="34" charset="0"/>
            </a:rPr>
            <a:t>	reproduced, modified or transmitted in any form or means without the prior written permission of Nokia. If 	         	you have not entered into an Agreement applicable to the Product, or if that</a:t>
          </a:r>
        </a:p>
        <a:p>
          <a:r>
            <a:rPr lang="en-US" sz="1000" baseline="0">
              <a:latin typeface="Arial" pitchFamily="34" charset="0"/>
              <a:ea typeface="+mn-ea"/>
              <a:cs typeface="Arial" pitchFamily="34" charset="0"/>
            </a:rPr>
            <a:t>	Agreement has expired or has been terminated, You may not use this document in any manner and You</a:t>
          </a:r>
        </a:p>
        <a:p>
          <a:r>
            <a:rPr lang="en-US" sz="1000" baseline="0">
              <a:latin typeface="Arial" pitchFamily="34" charset="0"/>
              <a:ea typeface="+mn-ea"/>
              <a:cs typeface="Arial" pitchFamily="34" charset="0"/>
            </a:rPr>
            <a:t>	are obliged to return it to Nokia and destroy or delete any copies thereof.</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document has been prepared to be used by professional and properly trained personnel, and You</a:t>
          </a:r>
        </a:p>
        <a:p>
          <a:r>
            <a:rPr lang="en-US" sz="1000" baseline="0">
              <a:latin typeface="Arial" pitchFamily="34" charset="0"/>
              <a:ea typeface="+mn-ea"/>
              <a:cs typeface="Arial" pitchFamily="34" charset="0"/>
            </a:rPr>
            <a:t>	assume full responsibility when using it. Nokia welcome Your comments as part of</a:t>
          </a:r>
        </a:p>
        <a:p>
          <a:r>
            <a:rPr lang="en-US" sz="1000" baseline="0">
              <a:latin typeface="Arial" pitchFamily="34" charset="0"/>
              <a:ea typeface="+mn-ea"/>
              <a:cs typeface="Arial" pitchFamily="34" charset="0"/>
            </a:rPr>
            <a:t>	the process of continuous development and improvement of the documentation.</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and its contents are provided as a convenience to You. Any information or statements</a:t>
          </a:r>
        </a:p>
        <a:p>
          <a:r>
            <a:rPr lang="en-US" sz="1000" baseline="0">
              <a:latin typeface="Arial" pitchFamily="34" charset="0"/>
              <a:ea typeface="+mn-ea"/>
              <a:cs typeface="Arial" pitchFamily="34" charset="0"/>
            </a:rPr>
            <a:t>	concerning the suitability, capacity, fitness for purpose or performance of the Product are given solely on</a:t>
          </a:r>
        </a:p>
        <a:p>
          <a:r>
            <a:rPr lang="en-US" sz="1000" baseline="0">
              <a:latin typeface="Arial" pitchFamily="34" charset="0"/>
              <a:ea typeface="+mn-ea"/>
              <a:cs typeface="Arial" pitchFamily="34" charset="0"/>
            </a:rPr>
            <a:t>	an “as is” and “as available” basis in this document, and Nokia reserves the right</a:t>
          </a:r>
        </a:p>
        <a:p>
          <a:r>
            <a:rPr lang="en-US" sz="1000" baseline="0">
              <a:latin typeface="Arial" pitchFamily="34" charset="0"/>
              <a:ea typeface="+mn-ea"/>
              <a:cs typeface="Arial" pitchFamily="34" charset="0"/>
            </a:rPr>
            <a:t>	to change any such information and statements without notice. Nokia has made all</a:t>
          </a:r>
        </a:p>
        <a:p>
          <a:r>
            <a:rPr lang="en-US" sz="1000" baseline="0">
              <a:latin typeface="Arial" pitchFamily="34" charset="0"/>
              <a:ea typeface="+mn-ea"/>
              <a:cs typeface="Arial" pitchFamily="34" charset="0"/>
            </a:rPr>
            <a:t>	reasonable efforts to ensure that the content of this document is adequate and free of material errors and</a:t>
          </a:r>
        </a:p>
        <a:p>
          <a:r>
            <a:rPr lang="en-US" sz="1000" baseline="0">
              <a:latin typeface="Arial" pitchFamily="34" charset="0"/>
              <a:ea typeface="+mn-ea"/>
              <a:cs typeface="Arial" pitchFamily="34" charset="0"/>
            </a:rPr>
            <a:t>	omissions, and Nokia will correct errors that You identify in this document. But,</a:t>
          </a:r>
        </a:p>
        <a:p>
          <a:r>
            <a:rPr lang="en-US" sz="1000" baseline="0">
              <a:latin typeface="Arial" pitchFamily="34" charset="0"/>
              <a:ea typeface="+mn-ea"/>
              <a:cs typeface="Arial" pitchFamily="34" charset="0"/>
            </a:rPr>
            <a:t>	Nokia's total liability for any errors in the document is strictly limited to the correction</a:t>
          </a:r>
        </a:p>
        <a:p>
          <a:r>
            <a:rPr lang="en-US" sz="1000" baseline="0">
              <a:latin typeface="Arial" pitchFamily="34" charset="0"/>
              <a:ea typeface="+mn-ea"/>
              <a:cs typeface="Arial" pitchFamily="34" charset="0"/>
            </a:rPr>
            <a:t>	of such error(s). Nokia does not warrant that the use of the software in the Product</a:t>
          </a:r>
        </a:p>
        <a:p>
          <a:r>
            <a:rPr lang="en-US" sz="1000" baseline="0">
              <a:latin typeface="Arial" pitchFamily="34" charset="0"/>
              <a:ea typeface="+mn-ea"/>
              <a:cs typeface="Arial" pitchFamily="34" charset="0"/>
            </a:rPr>
            <a:t>	will be uninterrupted or error-free.</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NO WARRANTY OF ANY KIND, EITHER EXPRESS OR IMPLIED, INCLUDING BUT NOT LIMITED TO</a:t>
          </a:r>
        </a:p>
        <a:p>
          <a:r>
            <a:rPr lang="en-US" sz="1000" baseline="0">
              <a:latin typeface="Arial" pitchFamily="34" charset="0"/>
              <a:ea typeface="+mn-ea"/>
              <a:cs typeface="Arial" pitchFamily="34" charset="0"/>
            </a:rPr>
            <a:t>	ANY WARRANTY OF AVAILABILITY, ACCURACY, RELIABILITY, TITLE, NON-INFRINGEMENT,</a:t>
          </a:r>
        </a:p>
        <a:p>
          <a:r>
            <a:rPr lang="en-US" sz="1000" baseline="0">
              <a:latin typeface="Arial" pitchFamily="34" charset="0"/>
              <a:ea typeface="+mn-ea"/>
              <a:cs typeface="Arial" pitchFamily="34" charset="0"/>
            </a:rPr>
            <a:t>	MERCHANTABILITY OR FITNESS FOR A PARTICULAR PURPOSE, IS MADE IN RELATION TO THE</a:t>
          </a:r>
        </a:p>
        <a:p>
          <a:r>
            <a:rPr lang="en-US" sz="1000" baseline="0">
              <a:latin typeface="Arial" pitchFamily="34" charset="0"/>
              <a:ea typeface="+mn-ea"/>
              <a:cs typeface="Arial" pitchFamily="34" charset="0"/>
            </a:rPr>
            <a:t>	CONTENT OF THIS DOCUMENT. IN NO EVENT WILL NOKIA BE</a:t>
          </a:r>
        </a:p>
        <a:p>
          <a:r>
            <a:rPr lang="en-US" sz="1000" baseline="0">
              <a:latin typeface="Arial" pitchFamily="34" charset="0"/>
              <a:ea typeface="+mn-ea"/>
              <a:cs typeface="Arial" pitchFamily="34" charset="0"/>
            </a:rPr>
            <a:t>	LIABLE FOR ANY DAMAGES, INCLUDING BUT NOT LIMITED TO SPECIAL, DIRECT, INDIRECT,</a:t>
          </a:r>
        </a:p>
        <a:p>
          <a:r>
            <a:rPr lang="en-US" sz="1000" baseline="0">
              <a:latin typeface="Arial" pitchFamily="34" charset="0"/>
              <a:ea typeface="+mn-ea"/>
              <a:cs typeface="Arial" pitchFamily="34" charset="0"/>
            </a:rPr>
            <a:t>	INCIDENTAL OR CONSEQUENTIAL OR ANY LOSSES, SUCH AS BUT NOT LIMITED TO LOSS OF</a:t>
          </a:r>
        </a:p>
        <a:p>
          <a:r>
            <a:rPr lang="en-US" sz="1000" baseline="0">
              <a:latin typeface="Arial" pitchFamily="34" charset="0"/>
              <a:ea typeface="+mn-ea"/>
              <a:cs typeface="Arial" pitchFamily="34" charset="0"/>
            </a:rPr>
            <a:t>	PROFIT, REVENUE, BUSINESS INTERRUPTION, BUSINESS OPPORTUNITY OR DATA THAT MAY</a:t>
          </a:r>
        </a:p>
        <a:p>
          <a:r>
            <a:rPr lang="en-US" sz="1000" baseline="0">
              <a:latin typeface="Arial" pitchFamily="34" charset="0"/>
              <a:ea typeface="+mn-ea"/>
              <a:cs typeface="Arial" pitchFamily="34" charset="0"/>
            </a:rPr>
            <a:t>	ARISE FROM THE USE OF THIS DOCUMENT OR THE INFORMATION IN IT, EVEN IN THE CASE OF</a:t>
          </a:r>
        </a:p>
        <a:p>
          <a:r>
            <a:rPr lang="en-US" sz="1000" baseline="0">
              <a:latin typeface="Arial" pitchFamily="34" charset="0"/>
              <a:ea typeface="+mn-ea"/>
              <a:cs typeface="Arial" pitchFamily="34" charset="0"/>
            </a:rPr>
            <a:t>	ERRORS IN OR OMISSIONS FROM THIS DOCUMENT OR ITS CONTENT.</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This document is Nokia's proprietary and confidential information, which may not be</a:t>
          </a:r>
        </a:p>
        <a:p>
          <a:r>
            <a:rPr lang="en-US" sz="1000" baseline="0">
              <a:latin typeface="Arial" pitchFamily="34" charset="0"/>
              <a:ea typeface="+mn-ea"/>
              <a:cs typeface="Arial" pitchFamily="34" charset="0"/>
            </a:rPr>
            <a:t>	distributed or disclosed to any third parties without the prior written consent of Nokia.</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Nokia is a registered trademark of Nokia Corporation. Other product names mentioned in this document</a:t>
          </a:r>
        </a:p>
        <a:p>
          <a:r>
            <a:rPr lang="en-US" sz="1000" baseline="0">
              <a:latin typeface="Arial" pitchFamily="34" charset="0"/>
              <a:ea typeface="+mn-ea"/>
              <a:cs typeface="Arial" pitchFamily="34" charset="0"/>
            </a:rPr>
            <a:t>	may be trademarks of their respective owners, and they are mentioned for identification purposes only.</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Copyright © 2024 Nokia. All rights reserved.</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a:t>
          </a:r>
          <a:r>
            <a:rPr lang="en-US" sz="1000" b="1" baseline="0">
              <a:latin typeface="Arial" pitchFamily="34" charset="0"/>
              <a:ea typeface="+mn-ea"/>
              <a:cs typeface="Arial" pitchFamily="34" charset="0"/>
            </a:rPr>
            <a:t>Important Notice on Product Safety</a:t>
          </a:r>
        </a:p>
        <a:p>
          <a:r>
            <a:rPr lang="en-US" sz="1000" baseline="0">
              <a:latin typeface="Arial" pitchFamily="34" charset="0"/>
              <a:ea typeface="+mn-ea"/>
              <a:cs typeface="Arial" pitchFamily="34" charset="0"/>
            </a:rPr>
            <a:t>		This product may present safety risks due to laser, electricity, heat, and other sources of </a:t>
          </a:r>
        </a:p>
        <a:p>
          <a:r>
            <a:rPr lang="en-US" sz="1000" baseline="0">
              <a:latin typeface="Arial" pitchFamily="34" charset="0"/>
              <a:ea typeface="+mn-ea"/>
              <a:cs typeface="Arial" pitchFamily="34" charset="0"/>
            </a:rPr>
            <a:t>		danger.</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Only trained and qualified personnel may install, operate, maintain or otherwise handle this</a:t>
          </a:r>
        </a:p>
        <a:p>
          <a:r>
            <a:rPr lang="en-US" sz="1000" baseline="0">
              <a:latin typeface="Arial" pitchFamily="34" charset="0"/>
              <a:ea typeface="+mn-ea"/>
              <a:cs typeface="Arial" pitchFamily="34" charset="0"/>
            </a:rPr>
            <a:t>		product and only after having carefully read the safety information applicable to this product.</a:t>
          </a:r>
        </a:p>
        <a:p>
          <a:endParaRPr lang="en-US" sz="1000" baseline="0">
            <a:latin typeface="Arial" pitchFamily="34" charset="0"/>
            <a:ea typeface="+mn-ea"/>
            <a:cs typeface="Arial" pitchFamily="34" charset="0"/>
          </a:endParaRPr>
        </a:p>
        <a:p>
          <a:r>
            <a:rPr lang="en-US" sz="1000" baseline="0">
              <a:latin typeface="Arial" pitchFamily="34" charset="0"/>
              <a:ea typeface="+mn-ea"/>
              <a:cs typeface="Arial" pitchFamily="34" charset="0"/>
            </a:rPr>
            <a:t>		The safety information is provided in the Safety Information section in the “Legal, Safety and</a:t>
          </a:r>
        </a:p>
        <a:p>
          <a:r>
            <a:rPr lang="en-US" sz="1000" baseline="0">
              <a:latin typeface="Arial" pitchFamily="34" charset="0"/>
              <a:ea typeface="+mn-ea"/>
              <a:cs typeface="Arial" pitchFamily="34" charset="0"/>
            </a:rPr>
            <a:t>		Environmental Information” part of this document or documentation set.</a:t>
          </a:r>
        </a:p>
        <a:p>
          <a:r>
            <a:rPr lang="en-US" sz="1000" baseline="0">
              <a:latin typeface="Arial" pitchFamily="34" charset="0"/>
              <a:ea typeface="+mn-ea"/>
              <a:cs typeface="Arial" pitchFamily="34" charset="0"/>
            </a:rPr>
            <a:t>	</a:t>
          </a:r>
        </a:p>
        <a:p>
          <a:r>
            <a:rPr lang="en-US" sz="1000" baseline="0">
              <a:latin typeface="Arial" pitchFamily="34" charset="0"/>
              <a:ea typeface="+mn-ea"/>
              <a:cs typeface="Arial" pitchFamily="34" charset="0"/>
            </a:rPr>
            <a:t>	Nokia is continually striving to reduce the adverse environmental effects of its</a:t>
          </a:r>
        </a:p>
        <a:p>
          <a:r>
            <a:rPr lang="en-US" sz="1000" baseline="0">
              <a:latin typeface="Arial" pitchFamily="34" charset="0"/>
              <a:ea typeface="+mn-ea"/>
              <a:cs typeface="Arial" pitchFamily="34" charset="0"/>
            </a:rPr>
            <a:t>	products and services. We would like to encourage you as our customers and users to join us in working</a:t>
          </a:r>
        </a:p>
        <a:p>
          <a:r>
            <a:rPr lang="en-US" sz="1000" baseline="0">
              <a:latin typeface="Arial" pitchFamily="34" charset="0"/>
              <a:ea typeface="+mn-ea"/>
              <a:cs typeface="Arial" pitchFamily="34" charset="0"/>
            </a:rPr>
            <a:t>	towards a cleaner, safer environment. Please recycle product packaging and follow the recommendations</a:t>
          </a:r>
        </a:p>
        <a:p>
          <a:r>
            <a:rPr lang="en-US" sz="1000" baseline="0">
              <a:latin typeface="Arial" pitchFamily="34" charset="0"/>
              <a:ea typeface="+mn-ea"/>
              <a:cs typeface="Arial" pitchFamily="34" charset="0"/>
            </a:rPr>
            <a:t>	for power use and proper disposal of our products and their components.</a:t>
          </a:r>
        </a:p>
        <a:p>
          <a:r>
            <a:rPr lang="en-US" sz="1000" baseline="0">
              <a:latin typeface="Arial" pitchFamily="34" charset="0"/>
              <a:ea typeface="+mn-ea"/>
              <a:cs typeface="Arial" pitchFamily="34" charset="0"/>
            </a:rPr>
            <a:t>	</a:t>
          </a:r>
        </a:p>
        <a:p>
          <a:r>
            <a:rPr lang="en-US" sz="1000" baseline="0">
              <a:latin typeface="Arial" pitchFamily="34" charset="0"/>
              <a:ea typeface="+mn-ea"/>
              <a:cs typeface="Arial" pitchFamily="34" charset="0"/>
            </a:rPr>
            <a:t>	If you should have questions regarding our Environmental Policy or any of the environmental services we</a:t>
          </a:r>
        </a:p>
        <a:p>
          <a:r>
            <a:rPr lang="en-US" sz="1000" baseline="0">
              <a:latin typeface="Arial" pitchFamily="34" charset="0"/>
              <a:ea typeface="+mn-ea"/>
              <a:cs typeface="Arial" pitchFamily="34" charset="0"/>
            </a:rPr>
            <a:t>	offer, please contact us at Nokia for any additional information.</a:t>
          </a:r>
          <a:endParaRPr lang="pl-PL" sz="1000" baseline="0">
            <a:latin typeface="Arial" pitchFamily="34" charset="0"/>
            <a:ea typeface="+mn-ea"/>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104588</xdr:rowOff>
    </xdr:from>
    <xdr:to>
      <xdr:col>0</xdr:col>
      <xdr:colOff>1398121</xdr:colOff>
      <xdr:row>3</xdr:row>
      <xdr:rowOff>29883</xdr:rowOff>
    </xdr:to>
    <xdr:pic>
      <xdr:nvPicPr>
        <xdr:cNvPr id="3" name="Picture 2">
          <a:extLst>
            <a:ext uri="{FF2B5EF4-FFF2-40B4-BE49-F238E27FC236}">
              <a16:creationId xmlns:a16="http://schemas.microsoft.com/office/drawing/2014/main" id="{36C6C3BA-7DF1-4FF3-908C-26F65787756B}"/>
            </a:ext>
          </a:extLst>
        </xdr:cNvPr>
        <xdr:cNvPicPr>
          <a:picLocks noChangeAspect="1"/>
        </xdr:cNvPicPr>
      </xdr:nvPicPr>
      <xdr:blipFill rotWithShape="1">
        <a:blip xmlns:r="http://schemas.openxmlformats.org/officeDocument/2006/relationships" r:embed="rId1"/>
        <a:srcRect l="5213" t="9801" r="5687" b="25274"/>
        <a:stretch/>
      </xdr:blipFill>
      <xdr:spPr>
        <a:xfrm>
          <a:off x="201704" y="104588"/>
          <a:ext cx="1404471" cy="3959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68087</xdr:colOff>
      <xdr:row>8</xdr:row>
      <xdr:rowOff>49082</xdr:rowOff>
    </xdr:from>
    <xdr:to>
      <xdr:col>7</xdr:col>
      <xdr:colOff>1341724</xdr:colOff>
      <xdr:row>13</xdr:row>
      <xdr:rowOff>10982</xdr:rowOff>
    </xdr:to>
    <xdr:sp macro="" textlink="">
      <xdr:nvSpPr>
        <xdr:cNvPr id="2" name="Text Box 29" hidden="1">
          <a:extLst>
            <a:ext uri="{FF2B5EF4-FFF2-40B4-BE49-F238E27FC236}">
              <a16:creationId xmlns:a16="http://schemas.microsoft.com/office/drawing/2014/main" id="{3C854AE7-36A9-4787-A42D-5D6D51844E61}"/>
            </a:ext>
          </a:extLst>
        </xdr:cNvPr>
        <xdr:cNvSpPr txBox="1">
          <a:spLocks noChangeArrowheads="1"/>
        </xdr:cNvSpPr>
      </xdr:nvSpPr>
      <xdr:spPr bwMode="auto">
        <a:xfrm>
          <a:off x="12755387" y="1541332"/>
          <a:ext cx="1273637"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1235421</xdr:colOff>
      <xdr:row>8</xdr:row>
      <xdr:rowOff>28822</xdr:rowOff>
    </xdr:from>
    <xdr:to>
      <xdr:col>9</xdr:col>
      <xdr:colOff>401151</xdr:colOff>
      <xdr:row>13</xdr:row>
      <xdr:rowOff>247</xdr:rowOff>
    </xdr:to>
    <xdr:sp macro="" textlink="">
      <xdr:nvSpPr>
        <xdr:cNvPr id="2" name="Text Box 29" hidden="1">
          <a:extLst>
            <a:ext uri="{FF2B5EF4-FFF2-40B4-BE49-F238E27FC236}">
              <a16:creationId xmlns:a16="http://schemas.microsoft.com/office/drawing/2014/main" id="{96C35B64-AE35-43E3-B454-B84B63736BF8}"/>
            </a:ext>
          </a:extLst>
        </xdr:cNvPr>
        <xdr:cNvSpPr txBox="1">
          <a:spLocks noChangeArrowheads="1"/>
        </xdr:cNvSpPr>
      </xdr:nvSpPr>
      <xdr:spPr bwMode="auto">
        <a:xfrm>
          <a:off x="12735271" y="1521072"/>
          <a:ext cx="1261230" cy="765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7</xdr:col>
      <xdr:colOff>743901</xdr:colOff>
      <xdr:row>14</xdr:row>
      <xdr:rowOff>84915</xdr:rowOff>
    </xdr:from>
    <xdr:to>
      <xdr:col>8</xdr:col>
      <xdr:colOff>495040</xdr:colOff>
      <xdr:row>19</xdr:row>
      <xdr:rowOff>46815</xdr:rowOff>
    </xdr:to>
    <xdr:sp macro="" textlink="">
      <xdr:nvSpPr>
        <xdr:cNvPr id="2" name="Text Box 29" hidden="1">
          <a:extLst>
            <a:ext uri="{FF2B5EF4-FFF2-40B4-BE49-F238E27FC236}">
              <a16:creationId xmlns:a16="http://schemas.microsoft.com/office/drawing/2014/main" id="{DCE3E51E-426E-499F-A96F-B4ABD1A6BB42}"/>
            </a:ext>
          </a:extLst>
        </xdr:cNvPr>
        <xdr:cNvSpPr txBox="1">
          <a:spLocks noChangeArrowheads="1"/>
        </xdr:cNvSpPr>
      </xdr:nvSpPr>
      <xdr:spPr bwMode="auto">
        <a:xfrm>
          <a:off x="12770801" y="2548715"/>
          <a:ext cx="1230689"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743901</xdr:colOff>
      <xdr:row>14</xdr:row>
      <xdr:rowOff>84915</xdr:rowOff>
    </xdr:from>
    <xdr:to>
      <xdr:col>8</xdr:col>
      <xdr:colOff>495040</xdr:colOff>
      <xdr:row>19</xdr:row>
      <xdr:rowOff>46815</xdr:rowOff>
    </xdr:to>
    <xdr:sp macro="" textlink="">
      <xdr:nvSpPr>
        <xdr:cNvPr id="2" name="Text Box 29" hidden="1">
          <a:extLst>
            <a:ext uri="{FF2B5EF4-FFF2-40B4-BE49-F238E27FC236}">
              <a16:creationId xmlns:a16="http://schemas.microsoft.com/office/drawing/2014/main" id="{57342CDA-41C0-4208-A8BC-C63B0B220CDA}"/>
            </a:ext>
          </a:extLst>
        </xdr:cNvPr>
        <xdr:cNvSpPr txBox="1">
          <a:spLocks noChangeArrowheads="1"/>
        </xdr:cNvSpPr>
      </xdr:nvSpPr>
      <xdr:spPr bwMode="auto">
        <a:xfrm>
          <a:off x="12783501" y="2545540"/>
          <a:ext cx="1227514"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absoluteAnchor>
    <xdr:pos x="12756873" y="1526570"/>
    <xdr:ext cx="1281659" cy="781360"/>
    <xdr:sp macro="" textlink="">
      <xdr:nvSpPr>
        <xdr:cNvPr id="2" name="Text Box 29" hidden="1">
          <a:extLst>
            <a:ext uri="{FF2B5EF4-FFF2-40B4-BE49-F238E27FC236}">
              <a16:creationId xmlns:a16="http://schemas.microsoft.com/office/drawing/2014/main" id="{F000E37D-96CB-47A0-AE35-39016F0604A1}"/>
            </a:ext>
          </a:extLst>
        </xdr:cNvPr>
        <xdr:cNvSpPr txBox="1">
          <a:spLocks noChangeArrowheads="1"/>
        </xdr:cNvSpPr>
      </xdr:nvSpPr>
      <xdr:spPr bwMode="auto">
        <a:xfrm>
          <a:off x="12756873" y="1526570"/>
          <a:ext cx="1281659" cy="781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okia.sharepoint.com/sites/DSS_team_site/Shared%20Documents/Resource%20Plans/MantaRay%20NM%20Node%20Architecture%20and%20Resource%20Plan%20R&amp;D.xlsx" TargetMode="External"/><Relationship Id="rId1" Type="http://schemas.openxmlformats.org/officeDocument/2006/relationships/externalLinkPath" Target="https://nokia.sharepoint.com/sites/DSS_team_site/Shared%20Documents/Resource%20Plans/MantaRay%20NM%20Node%20Architecture%20and%20Resource%20Plan%20R&amp;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hanish\Dhanish\NetAct\CRSR\NetAct22\3XL-VMware-Cloud-R&amp;D\NetAct%20Node%20Architecture%20and%20Resource%20Plan%20R&amp;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Page"/>
      <sheetName val="Summary"/>
      <sheetName val="Shortcuts"/>
      <sheetName val="Virtual Machines"/>
      <sheetName val="Details"/>
      <sheetName val="Cloud Configuration"/>
      <sheetName val="Resource Pools"/>
      <sheetName val="Number of Servers Required"/>
      <sheetName val="Compact 25-NM"/>
      <sheetName val="Small 25-NM"/>
      <sheetName val="Mainstream 25-NM"/>
      <sheetName val="Large 25-NM"/>
      <sheetName val="XXL 25-NM"/>
      <sheetName val="3XL 25-NM"/>
      <sheetName val="Compact 25-NM SW on VMware"/>
      <sheetName val="Small 25-NM SW on VMware"/>
      <sheetName val="Compact 25-NM SW on OpenStack"/>
      <sheetName val="Small 25-NM SW on OpenStack"/>
      <sheetName val="Mainstream 25-NM SW on VMware"/>
      <sheetName val="Mainstream 25-NM SW OpenStack"/>
      <sheetName val="Large 25-NM SW on VMware"/>
      <sheetName val="Large 25-NM SW on OpenStack"/>
      <sheetName val="XXL 25-NM SW on VMware"/>
      <sheetName val="XXL 25-NM SW on OpenStack"/>
      <sheetName val="3XL 25-NM SW on VMware"/>
      <sheetName val="3XL 25-NM SW on OpenStack-Cbis"/>
      <sheetName val="Compact 24-NM"/>
      <sheetName val="Small 24-NM"/>
      <sheetName val="Mainstream 24-NM"/>
      <sheetName val="Large 24-NM"/>
      <sheetName val="XXL 24-NM"/>
      <sheetName val="3XL 24-NM"/>
      <sheetName val="Compact 24-NM SW on VMware"/>
      <sheetName val="Small 24-NM SW on VMware"/>
      <sheetName val="Small 24-NM SW on OpenStack"/>
      <sheetName val="Mainstream 24-NM SW on VMware"/>
      <sheetName val="Mainstream 24-NM SW OpenStack"/>
      <sheetName val="Large 24-NM SW on VMware"/>
      <sheetName val="Large 24-NM SW on OpenStack"/>
      <sheetName val="XXL 24-NM SW on VMware"/>
      <sheetName val="XXL 24-NM SW on OpenStack"/>
      <sheetName val="3XL 24-NM SW on VMware"/>
      <sheetName val="3XL 24-NM SW on OpenStack-CBIS"/>
      <sheetName val="Compact 23-NM"/>
      <sheetName val="Small 23-NM"/>
      <sheetName val="Mainstream 23-NM"/>
      <sheetName val="Large 23-NM"/>
      <sheetName val="XXL 23-NM"/>
      <sheetName val="3XL 23-NM"/>
      <sheetName val="Compact 23-NM SW VMware"/>
      <sheetName val="Small 23-NM SW on VMware"/>
      <sheetName val="Small 23-NM SW on OpenStack"/>
      <sheetName val="Mainstream 23-NM SW on VMware"/>
      <sheetName val="Mainstream 23-NM SW OpenStack"/>
      <sheetName val="Large 23-NM SW on VMware"/>
      <sheetName val="Large 23-NM SW on OpenStack"/>
      <sheetName val="XXL 23-NM SW on VMware"/>
      <sheetName val="XXL 23-NM SW on OpenStack"/>
      <sheetName val="3XL 23-NM SW on VMware"/>
      <sheetName val="3XL 23-NM SW on OpenStack-CBIS"/>
      <sheetName val=" Compact 22"/>
      <sheetName val="Small 22"/>
      <sheetName val="Mainstream 22"/>
      <sheetName val="Large 22"/>
      <sheetName val="XXL 22"/>
      <sheetName val="3XL 22"/>
      <sheetName val="Small 22 SW on VMware"/>
      <sheetName val="Small 22 SW on OpenStack"/>
      <sheetName val="Mainstream 22 SW on VMware "/>
      <sheetName val="Mainstream 22 SW on OpenStack"/>
      <sheetName val="Large 22 SW on VMware"/>
      <sheetName val="Large 22 SW on OpenStack"/>
      <sheetName val="XXL 22 SW on VMware"/>
      <sheetName val="XXL 22 SW on OpenStack"/>
      <sheetName val="3XL 22 SW on VMware"/>
      <sheetName val="3XL 22 SW on OpenStack"/>
      <sheetName val="Small 20"/>
      <sheetName val="Mainstream 20"/>
      <sheetName val="Large 20"/>
      <sheetName val="XXL 20"/>
      <sheetName val="3XL 20"/>
      <sheetName val="Small 20 SW on VMware"/>
      <sheetName val="Small 20 SW on OpenStack"/>
      <sheetName val="Mainstream 20 SW on VMware"/>
      <sheetName val="Mainstream 20 SW on OpenStack"/>
      <sheetName val="Large 20 SW on VMware"/>
      <sheetName val="Large 20 SW on OpenStack"/>
      <sheetName val="XXL 20 SW on VMware"/>
      <sheetName val="XXL 20 SW on OpenStack"/>
      <sheetName val="3XL 20 SW on OpenStack"/>
      <sheetName val="Small 19"/>
      <sheetName val="Mainstream 19"/>
      <sheetName val="Large 19"/>
      <sheetName val="XXL 19"/>
      <sheetName val="Small 19 SW on VMware"/>
      <sheetName val="Small 19 SW on OpenStack"/>
      <sheetName val="Mainstream 19 SW on VMware"/>
      <sheetName val="Mainstream 19 SW on OpenStack"/>
      <sheetName val="Large 19 SW on VMware"/>
      <sheetName val="Large 19 SW on OpenStack"/>
      <sheetName val="XXL 19 SW on VMware"/>
      <sheetName val="XXL 19 SW on OpenStack"/>
      <sheetName val="Small 18A"/>
      <sheetName val="Mainstream 18A"/>
      <sheetName val="Large 18A"/>
      <sheetName val="XXL 18A"/>
      <sheetName val="Small 18A SW on VMware"/>
      <sheetName val="Small 18A SW on OpenStack"/>
      <sheetName val="Mainstream 18A SW on VMware"/>
      <sheetName val="Mainstream 18A SW on OpenStack"/>
      <sheetName val="Large 18A SW on VMware"/>
      <sheetName val="Large 18A SW on OpenStack"/>
      <sheetName val="XXL 18A SW on VMware"/>
      <sheetName val="XXL 18A SW on OpenStack"/>
      <sheetName val="Small 18"/>
      <sheetName val="Mainstream 18"/>
      <sheetName val="Large 18"/>
      <sheetName val="XXL 18"/>
      <sheetName val="Small 18 SW on VMware"/>
      <sheetName val="Small 18 SW on OpenStack"/>
      <sheetName val="Mainstream 18 SW on VMware"/>
      <sheetName val="Mainstream 18 SW on OpenStack"/>
      <sheetName val="Large 18 SW on VMware"/>
      <sheetName val="Large 18 SW on OpenStack"/>
      <sheetName val="XXL 18 SW on VMware"/>
      <sheetName val="XXL 18 SW on OpenStack"/>
      <sheetName val="Small 17.8"/>
      <sheetName val="Mainstream 17.8"/>
      <sheetName val="Large 17.8"/>
      <sheetName val="Small 17.8 SW on VMware"/>
      <sheetName val="Small 17.8 SW on OpenStack"/>
      <sheetName val="Mainstream 17.8 SW on VMware"/>
      <sheetName val="Mainstream 17.8 SW on OpenStack"/>
      <sheetName val="Large 17.8 SW on VMware"/>
      <sheetName val="Large 17.8 SW on OpenStack"/>
      <sheetName val="Small 17.2"/>
      <sheetName val="Mainstream 17.2"/>
      <sheetName val="Large 17.2"/>
      <sheetName val="Small 17.2 SW on VMware"/>
      <sheetName val="Small 17.2 SW on OpenStack"/>
      <sheetName val="Mainstream 17.2 SW on VMware"/>
      <sheetName val="Mainstream 17.2 SW on OpenStack"/>
      <sheetName val="Large 17.2 SW on VMware"/>
      <sheetName val="Large 17.2 SW on OpenStack"/>
      <sheetName val="Small 16.8"/>
      <sheetName val="Mainstream 16.8"/>
      <sheetName val="Large 16.8"/>
      <sheetName val="Small 16.8 SW on VMware"/>
      <sheetName val="Mainstream 16.8 SW on VMware"/>
      <sheetName val="Large 16.8 SW on VMware"/>
      <sheetName val="Small 16.5"/>
      <sheetName val="Mainstream 16.5"/>
      <sheetName val="Large 16.5"/>
      <sheetName val="Small 16.5 SW on VMware"/>
      <sheetName val="Mainstream 16.5 SW on VMware"/>
      <sheetName val="Large 16.5 SW on VMware"/>
      <sheetName val="Small 16.2"/>
      <sheetName val="Mainstream 16.2"/>
      <sheetName val="Large 16.2"/>
      <sheetName val="Small 16.2 SW on VMware"/>
      <sheetName val="Small 16.2 SW on OpenStack"/>
      <sheetName val="Mainstream 16.2 SW on VMware"/>
      <sheetName val="Mainstream 16.2 SW on OpenStack"/>
      <sheetName val="Large 16.2 SW on VMware"/>
      <sheetName val="Large 16.2 SW on OpenStack"/>
      <sheetName val="Small 16"/>
      <sheetName val="Mainstream 16"/>
      <sheetName val="Large 16"/>
      <sheetName val="Small 16 Cloud"/>
      <sheetName val="Mainstream 16 Cloud"/>
      <sheetName val="Large 16 Cloud"/>
      <sheetName val="Small 15.5"/>
      <sheetName val="Mainstream 15.5"/>
      <sheetName val="Large 15.5"/>
      <sheetName val="Small 15.2"/>
      <sheetName val="Mainstream 15.2"/>
      <sheetName val="Large 15.2"/>
      <sheetName val="Small NA8 EP2"/>
      <sheetName val="Mainstream NA8 EP2"/>
      <sheetName val="Large NA8 EP2"/>
      <sheetName val="Small NA8 EP1"/>
      <sheetName val="Mainstream NA8 EP1"/>
      <sheetName val="Large NA8 EP1"/>
      <sheetName val="Small NA8"/>
      <sheetName val="Mainstream NA8"/>
      <sheetName val="Large NA8"/>
      <sheetName val="Small NA8LTE"/>
      <sheetName val="Mainstream NA8LTE"/>
      <sheetName val="Large NA8L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Summary"/>
      <sheetName val="Shortcuts"/>
      <sheetName val="Virtual Machines"/>
      <sheetName val="Details"/>
      <sheetName val="Cloud Configuration"/>
      <sheetName val="Resource Pools"/>
      <sheetName val="Number of Servers Required"/>
      <sheetName val="Small 22"/>
      <sheetName val="Mainstream 22"/>
      <sheetName val="Large 22"/>
      <sheetName val="XXL 22"/>
      <sheetName val="3XL 22"/>
      <sheetName val="Small 22 SW on VMware"/>
      <sheetName val="Small 22 SW on OpenStack"/>
      <sheetName val="Mainstream 22 SW on VMware "/>
      <sheetName val="Mainstream 22 SW on OpenStack"/>
      <sheetName val="Large 22 SW on VMware"/>
      <sheetName val="Large 22 SW on OpenStack"/>
      <sheetName val="XXL 22 SW on VMware"/>
      <sheetName val="XXL 22 SW on OpenStack"/>
      <sheetName val="3XL 22 SW on VMware"/>
      <sheetName val="3XL 22 SW on OpenStack"/>
      <sheetName val="Small 20"/>
      <sheetName val="Mainstream 20"/>
      <sheetName val="Large 20"/>
      <sheetName val="XXL 20"/>
      <sheetName val="3XL 20"/>
      <sheetName val="Small 20 SW on VMware"/>
      <sheetName val="Small 20 SW on OpenStack"/>
      <sheetName val="Mainstream 20 SW on VMware"/>
      <sheetName val="Mainstream 20 SW on OpenStack"/>
      <sheetName val="Large 20 SW on VMware"/>
      <sheetName val="Large 20 SW on OpenStack"/>
      <sheetName val="XXL 20 SW on VMware"/>
      <sheetName val="XXL 20 SW on OpenStack"/>
      <sheetName val="3XL 20 SW on OpenStack"/>
      <sheetName val="Small 19"/>
      <sheetName val="Mainstream 19"/>
      <sheetName val="Large 19"/>
      <sheetName val="XXL 19"/>
      <sheetName val="Small 19 SW on VMware"/>
      <sheetName val="Small 19 SW on OpenStack"/>
      <sheetName val="Mainstream 19 SW on VMware"/>
      <sheetName val="Mainstream 19 SW on OpenStack"/>
      <sheetName val="Large 19 SW on VMware"/>
      <sheetName val="Large 19 SW on OpenStack"/>
      <sheetName val="XXL 19 SW on VMware"/>
      <sheetName val="XXL 19 SW on OpenStack"/>
      <sheetName val="Small 18A"/>
      <sheetName val="Mainstream 18A"/>
      <sheetName val="Large 18A"/>
      <sheetName val="XXL 18A"/>
      <sheetName val="Small 18A SW on VMware"/>
      <sheetName val="Small 18A SW on OpenStack"/>
      <sheetName val="Mainstream 18A SW on VMware"/>
      <sheetName val="Mainstream 18A SW on OpenStack"/>
      <sheetName val="Large 18A SW on VMware"/>
      <sheetName val="Large 18A SW on OpenStack"/>
      <sheetName val="XXL 18A SW on VMware"/>
      <sheetName val="XXL 18A SW on OpenStack"/>
      <sheetName val="Small 18"/>
      <sheetName val="Mainstream 18"/>
      <sheetName val="Large 18"/>
      <sheetName val="XXL 18"/>
      <sheetName val="Small 18 SW on VMware"/>
      <sheetName val="Small 18 SW on OpenStack"/>
      <sheetName val="Mainstream 18 SW on VMware"/>
      <sheetName val="Mainstream 18 SW on OpenStack"/>
      <sheetName val="Large 18 SW on VMware"/>
      <sheetName val="Large 18 SW on OpenStack"/>
      <sheetName val="XXL 18 SW on VMware"/>
      <sheetName val="XXL 18 SW on OpenStack"/>
      <sheetName val="Small 17.8"/>
      <sheetName val="Mainstream 17.8"/>
      <sheetName val="Large 17.8"/>
      <sheetName val="Small 17.8 SW on VMware"/>
      <sheetName val="Small 17.8 SW on OpenStack"/>
      <sheetName val="Mainstream 17.8 SW on VMware"/>
      <sheetName val="Mainstream 17.8 SW on OpenStack"/>
      <sheetName val="Large 17.8 SW on VMware"/>
      <sheetName val="Large 17.8 SW on OpenStack"/>
      <sheetName val="Small 17.2"/>
      <sheetName val="Mainstream 17.2"/>
      <sheetName val="Large 17.2"/>
      <sheetName val="Small 17.2 SW on VMware"/>
      <sheetName val="Small 17.2 SW on OpenStack"/>
      <sheetName val="Mainstream 17.2 SW on VMware"/>
      <sheetName val="Mainstream 17.2 SW on OpenStack"/>
      <sheetName val="Large 17.2 SW on VMware"/>
      <sheetName val="Large 17.2 SW on OpenStack"/>
      <sheetName val="Small 16.8"/>
      <sheetName val="Mainstream 16.8"/>
      <sheetName val="Large 16.8"/>
      <sheetName val="Small 16.8 SW on VMware"/>
      <sheetName val="Mainstream 16.8 SW on VMware"/>
      <sheetName val="Large 16.8 SW on VMware"/>
      <sheetName val="Small 16.5"/>
      <sheetName val="Mainstream 16.5"/>
      <sheetName val="Large 16.5"/>
      <sheetName val="Small 16.5 SW on VMware"/>
      <sheetName val="Mainstream 16.5 SW on VMware"/>
      <sheetName val="Large 16.5 SW on VMware"/>
      <sheetName val="Small 16.2"/>
      <sheetName val="Mainstream 16.2"/>
      <sheetName val="Large 16.2"/>
      <sheetName val="Small 16.2 SW on VMware"/>
      <sheetName val="Small 16.2 SW on OpenStack"/>
      <sheetName val="Mainstream 16.2 SW on VMware"/>
      <sheetName val="Mainstream 16.2 SW on OpenStack"/>
      <sheetName val="Large 16.2 SW on VMware"/>
      <sheetName val="Large 16.2 SW on OpenStack"/>
      <sheetName val="Small 16"/>
      <sheetName val="Mainstream 16"/>
      <sheetName val="Large 16"/>
      <sheetName val="Small 16 Cloud"/>
      <sheetName val="Mainstream 16 Cloud"/>
      <sheetName val="Large 16 Cloud"/>
      <sheetName val="Small 15.5"/>
      <sheetName val="Mainstream 15.5"/>
      <sheetName val="Large 15.5"/>
      <sheetName val="Small 15.2"/>
      <sheetName val="Mainstream 15.2"/>
      <sheetName val="Large 15.2"/>
      <sheetName val="Small NA8 EP2"/>
      <sheetName val="Mainstream NA8 EP2"/>
      <sheetName val="Large NA8 EP2"/>
      <sheetName val="Small NA8 EP1"/>
      <sheetName val="Mainstream NA8 EP1"/>
      <sheetName val="Large NA8 EP1"/>
      <sheetName val="Small NA8"/>
      <sheetName val="Mainstream NA8"/>
      <sheetName val="Large NA8"/>
      <sheetName val="Small NA8LTE"/>
      <sheetName val="Mainstream NA8LTE"/>
      <sheetName val="Large NA8L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Set>
  </externalBook>
</externalLink>
</file>

<file path=xl/persons/person.xml><?xml version="1.0" encoding="utf-8"?>
<personList xmlns="http://schemas.microsoft.com/office/spreadsheetml/2018/threadedcomments" xmlns:x="http://schemas.openxmlformats.org/spreadsheetml/2006/main">
  <person displayName="Singh, Vishek P. (Nokia - IN/Bangalore)" id="{8C58E055-6022-4F42-9A7F-0AC1FC125DC7}" userId="S::vishek.p.singh@nokia.com::95b975c7-b7cd-4dcf-b855-59bcbc799ac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5218C-9050-455A-910C-699059D6501A}" name="Table1" displayName="Table1" ref="B34:I50" totalsRowShown="0" headerRowDxfId="9" dataDxfId="8">
  <autoFilter ref="B34:I50" xr:uid="{7615218C-9050-455A-910C-699059D6501A}"/>
  <tableColumns count="8">
    <tableColumn id="1" xr3:uid="{C26DB9AF-1271-4CBB-86FD-90952D22D348}" name="Selected configuration" dataDxfId="7"/>
    <tableColumn id="2" xr3:uid="{F163F5D4-1E6B-4F32-A111-FFEF0B532BE9}" name="Mainstream" dataDxfId="6"/>
    <tableColumn id="3" xr3:uid="{5BBB4C82-945C-473E-9952-E3EE5831446C}" name="Column1" dataDxfId="5"/>
    <tableColumn id="4" xr3:uid="{D11E7EA8-F13C-4E4B-900D-FA3BCEE5DE60}" name="Column2" dataDxfId="4"/>
    <tableColumn id="5" xr3:uid="{E89FBC6A-1AB6-4CDA-ABE0-93E57BCBD7CF}" name="Column3" dataDxfId="3"/>
    <tableColumn id="6" xr3:uid="{D2B0C0F7-2A5B-4B8C-92A0-CA6604D54E0F}" name="Column4" dataDxfId="2"/>
    <tableColumn id="7" xr3:uid="{D6A3312E-6303-4B73-BAB3-936AFA516CBF}" name="Column5" dataDxfId="1"/>
    <tableColumn id="8" xr3:uid="{E2713F8C-48D2-403A-B4CD-7BDBD98BE620}" name="Column6"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1" dT="2020-04-28T11:05:31.25" personId="{8C58E055-6022-4F42-9A7F-0AC1FC125DC7}" id="{D90F44C2-4367-4F88-BE0B-3BC7B14AF6D5}">
    <text>SP2004 Onwards</text>
  </threadedComment>
</ThreadedComments>
</file>

<file path=xl/threadedComments/threadedComment2.xml><?xml version="1.0" encoding="utf-8"?>
<ThreadedComments xmlns="http://schemas.microsoft.com/office/spreadsheetml/2018/threadedcomments" xmlns:x="http://schemas.openxmlformats.org/spreadsheetml/2006/main">
  <threadedComment ref="A93" dT="2020-03-06T10:49:49.27" personId="{8C58E055-6022-4F42-9A7F-0AC1FC125DC7}" id="{5AADD2B3-495D-4163-A3FA-BFB98FC7EEEF}">
    <text>SP1911 Onwards</text>
  </threadedComment>
  <threadedComment ref="A94" dT="2020-04-24T13:36:44.07" personId="{8C58E055-6022-4F42-9A7F-0AC1FC125DC7}" id="{F62194DB-CF6E-4F5F-ABAC-BF97E4FFD055}">
    <text>SP2004 onwards</text>
  </threadedComment>
</ThreadedComments>
</file>

<file path=xl/threadedComments/threadedComment3.xml><?xml version="1.0" encoding="utf-8"?>
<ThreadedComments xmlns="http://schemas.microsoft.com/office/spreadsheetml/2018/threadedcomments" xmlns:x="http://schemas.openxmlformats.org/spreadsheetml/2006/main">
  <threadedComment ref="A101" dT="2020-03-06T10:49:49.27" personId="{8C58E055-6022-4F42-9A7F-0AC1FC125DC7}" id="{8A1D2721-1C0A-4AC6-96E4-429461B33C2B}">
    <text>SP1911 Onwards</text>
  </threadedComment>
  <threadedComment ref="A102" dT="2020-04-24T13:36:44.07" personId="{8C58E055-6022-4F42-9A7F-0AC1FC125DC7}" id="{2FF51306-62A2-41C5-A5D2-9FA8C7F42F0E}">
    <text>SP2004 onwards</text>
  </threadedComment>
</ThreadedComments>
</file>

<file path=xl/threadedComments/threadedComment4.xml><?xml version="1.0" encoding="utf-8"?>
<ThreadedComments xmlns="http://schemas.microsoft.com/office/spreadsheetml/2018/threadedcomments" xmlns:x="http://schemas.openxmlformats.org/spreadsheetml/2006/main">
  <threadedComment ref="A115" dT="2020-03-06T10:49:49.27" personId="{8C58E055-6022-4F42-9A7F-0AC1FC125DC7}" id="{E378E911-6591-4F0F-8CE4-A779E6A7B005}">
    <text>SP1911 Onwards</text>
  </threadedComment>
  <threadedComment ref="A116" dT="2020-04-24T13:36:44.07" personId="{8C58E055-6022-4F42-9A7F-0AC1FC125DC7}" id="{3EE95748-44A4-4AA8-A321-F05D201A613E}">
    <text>SP2004 onwards</text>
  </threadedComment>
</ThreadedComments>
</file>

<file path=xl/threadedComments/threadedComment5.xml><?xml version="1.0" encoding="utf-8"?>
<ThreadedComments xmlns="http://schemas.microsoft.com/office/spreadsheetml/2018/threadedcomments" xmlns:x="http://schemas.openxmlformats.org/spreadsheetml/2006/main">
  <threadedComment ref="A112" dT="2020-03-06T10:49:49.27" personId="{8C58E055-6022-4F42-9A7F-0AC1FC125DC7}" id="{4929A058-C1A5-4F80-9198-5B14C4979AB8}">
    <text>SP1911 Onwards</text>
  </threadedComment>
  <threadedComment ref="A113" dT="2020-04-24T13:36:44.07" personId="{8C58E055-6022-4F42-9A7F-0AC1FC125DC7}" id="{82CF9C7D-93C1-4B71-BB14-50F7649DEB8C}">
    <text>SP2004 onwards</text>
  </threadedComment>
</ThreadedComments>
</file>

<file path=xl/threadedComments/threadedComment6.xml><?xml version="1.0" encoding="utf-8"?>
<ThreadedComments xmlns="http://schemas.microsoft.com/office/spreadsheetml/2018/threadedcomments" xmlns:x="http://schemas.openxmlformats.org/spreadsheetml/2006/main">
  <threadedComment ref="A118" dT="2020-03-06T10:49:49.27" personId="{8C58E055-6022-4F42-9A7F-0AC1FC125DC7}" id="{25BA50EA-53F7-4717-8BF4-F98143BE1D31}">
    <text>SP1911 Onwards</text>
  </threadedComment>
  <threadedComment ref="A119" dT="2020-04-24T13:36:44.07" personId="{8C58E055-6022-4F42-9A7F-0AC1FC125DC7}" id="{791EFA12-A1F2-48A7-BE60-98A2E5B05927}">
    <text>SP2004 onwards</text>
  </threadedComment>
</ThreadedComments>
</file>

<file path=xl/threadedComments/threadedComment7.xml><?xml version="1.0" encoding="utf-8"?>
<ThreadedComments xmlns="http://schemas.microsoft.com/office/spreadsheetml/2018/threadedcomments" xmlns:x="http://schemas.openxmlformats.org/spreadsheetml/2006/main">
  <threadedComment ref="A119" dT="2020-03-06T10:49:49.27" personId="{8C58E055-6022-4F42-9A7F-0AC1FC125DC7}" id="{C8DC3790-9568-4467-BE51-473C1EF663A3}">
    <text>SP1911 Onwards</text>
  </threadedComment>
  <threadedComment ref="A120" dT="2020-04-24T13:36:44.07" personId="{8C58E055-6022-4F42-9A7F-0AC1FC125DC7}" id="{A799CF4C-E7B3-4259-9D25-D80C09786AD2}">
    <text>SP2004 onwards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11.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2.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3.bin"/><Relationship Id="rId5" Type="http://schemas.microsoft.com/office/2017/10/relationships/threadedComment" Target="../threadedComments/threadedComment6.xml"/><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4.bin"/><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
  <sheetViews>
    <sheetView zoomScale="85" zoomScaleNormal="85" workbookViewId="0">
      <selection activeCell="P23" sqref="P23"/>
    </sheetView>
  </sheetViews>
  <sheetFormatPr defaultColWidth="9.140625" defaultRowHeight="12.6"/>
  <cols>
    <col min="1" max="11" width="10" style="5" customWidth="1"/>
    <col min="12" max="16384" width="9.140625" style="5"/>
  </cols>
  <sheetData/>
  <pageMargins left="0.7" right="0.7" top="0.75" bottom="0.75" header="0.3" footer="0.3"/>
  <pageSetup paperSize="9" orientation="portrait" r:id="rId1"/>
  <headerFooter>
    <oddFooter>&amp;C&amp;1#&amp;"Arial"&amp;8&amp;K001753Nokia internal use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XFB459"/>
  <sheetViews>
    <sheetView tabSelected="1" zoomScale="85" zoomScaleNormal="85" zoomScalePageLayoutView="85" workbookViewId="0">
      <selection activeCell="B21" sqref="B21"/>
    </sheetView>
  </sheetViews>
  <sheetFormatPr defaultColWidth="8.85546875" defaultRowHeight="12.6"/>
  <cols>
    <col min="1" max="1" width="30.5703125" style="6" customWidth="1"/>
    <col min="2" max="2" width="163.85546875" style="6" customWidth="1"/>
    <col min="3" max="3" width="8.85546875" style="6" customWidth="1"/>
    <col min="4" max="16384" width="8.85546875" style="6"/>
  </cols>
  <sheetData>
    <row r="1" spans="1:2">
      <c r="A1" s="189"/>
    </row>
    <row r="2" spans="1:2">
      <c r="A2" s="189"/>
    </row>
    <row r="3" spans="1:2">
      <c r="A3" s="189"/>
    </row>
    <row r="4" spans="1:2">
      <c r="A4" s="189"/>
    </row>
    <row r="5" spans="1:2" ht="12.95">
      <c r="A5" s="7" t="s">
        <v>0</v>
      </c>
    </row>
    <row r="6" spans="1:2" ht="12.95">
      <c r="A6" s="7"/>
    </row>
    <row r="7" spans="1:2" ht="12.95">
      <c r="A7" s="7"/>
    </row>
    <row r="8" spans="1:2" ht="12" customHeight="1">
      <c r="A8" s="8" t="s">
        <v>1</v>
      </c>
      <c r="B8" s="9" t="s">
        <v>2</v>
      </c>
    </row>
    <row r="9" spans="1:2" ht="12" customHeight="1">
      <c r="A9" s="153">
        <v>45520</v>
      </c>
      <c r="B9" s="12" t="s">
        <v>3</v>
      </c>
    </row>
    <row r="10" spans="1:2" ht="12" customHeight="1">
      <c r="A10" s="153">
        <v>45544</v>
      </c>
      <c r="B10" s="12" t="s">
        <v>4</v>
      </c>
    </row>
    <row r="11" spans="1:2" ht="12" customHeight="1">
      <c r="A11" s="153">
        <v>45589</v>
      </c>
      <c r="B11" s="12" t="s">
        <v>5</v>
      </c>
    </row>
    <row r="12" spans="1:2" ht="12" customHeight="1">
      <c r="A12" s="153">
        <v>45591</v>
      </c>
      <c r="B12" s="12" t="s">
        <v>6</v>
      </c>
    </row>
    <row r="13" spans="1:2" ht="12" customHeight="1">
      <c r="A13" s="153">
        <v>45625</v>
      </c>
      <c r="B13" s="12" t="s">
        <v>7</v>
      </c>
    </row>
    <row r="14" spans="1:2" ht="12" customHeight="1">
      <c r="A14" s="153">
        <v>45646</v>
      </c>
      <c r="B14" s="12" t="s">
        <v>8</v>
      </c>
    </row>
    <row r="15" spans="1:2" ht="12" customHeight="1">
      <c r="A15" s="153">
        <v>45685</v>
      </c>
      <c r="B15" s="12" t="s">
        <v>9</v>
      </c>
    </row>
    <row r="16" spans="1:2" ht="12" customHeight="1">
      <c r="A16" s="153">
        <v>45757</v>
      </c>
      <c r="B16" s="12" t="s">
        <v>10</v>
      </c>
    </row>
    <row r="17" spans="1:2" ht="12" customHeight="1">
      <c r="A17" s="153">
        <v>45763</v>
      </c>
      <c r="B17" s="12" t="s">
        <v>11</v>
      </c>
    </row>
    <row r="18" spans="1:2" ht="12" customHeight="1">
      <c r="A18" s="153">
        <v>45875</v>
      </c>
      <c r="B18" s="12" t="s">
        <v>12</v>
      </c>
    </row>
    <row r="19" spans="1:2" ht="12" customHeight="1">
      <c r="A19" s="153">
        <v>45884</v>
      </c>
      <c r="B19" s="12" t="s">
        <v>13</v>
      </c>
    </row>
    <row r="20" spans="1:2" ht="12" customHeight="1">
      <c r="A20" s="153">
        <v>45929</v>
      </c>
      <c r="B20" s="12" t="s">
        <v>14</v>
      </c>
    </row>
    <row r="21" spans="1:2" ht="12" customHeight="1">
      <c r="A21" s="153">
        <v>45964</v>
      </c>
      <c r="B21" s="12" t="s">
        <v>15</v>
      </c>
    </row>
    <row r="22" spans="1:2" ht="12" customHeight="1">
      <c r="A22" s="11"/>
      <c r="B22" s="12"/>
    </row>
    <row r="23" spans="1:2" ht="12" customHeight="1">
      <c r="A23" s="11"/>
      <c r="B23" s="12"/>
    </row>
    <row r="24" spans="1:2" ht="12" customHeight="1">
      <c r="A24" s="11"/>
      <c r="B24" s="12"/>
    </row>
    <row r="25" spans="1:2" ht="12" customHeight="1">
      <c r="A25" s="11"/>
      <c r="B25" s="12"/>
    </row>
    <row r="26" spans="1:2" ht="12" customHeight="1">
      <c r="A26" s="11"/>
      <c r="B26" s="12"/>
    </row>
    <row r="27" spans="1:2" ht="12" customHeight="1">
      <c r="A27" s="11"/>
      <c r="B27" s="12"/>
    </row>
    <row r="28" spans="1:2" ht="12" customHeight="1">
      <c r="A28" s="11"/>
      <c r="B28" s="12"/>
    </row>
    <row r="29" spans="1:2" ht="12" customHeight="1">
      <c r="A29" s="11"/>
      <c r="B29" s="12"/>
    </row>
    <row r="30" spans="1:2" ht="12" customHeight="1">
      <c r="A30" s="11"/>
      <c r="B30" s="12"/>
    </row>
    <row r="31" spans="1:2" ht="12" customHeight="1">
      <c r="A31" s="11"/>
      <c r="B31" s="12"/>
    </row>
    <row r="32" spans="1:2" ht="12" customHeight="1">
      <c r="A32" s="11"/>
      <c r="B32" s="12"/>
    </row>
    <row r="33" spans="1:2" ht="12" customHeight="1">
      <c r="A33" s="11"/>
      <c r="B33" s="12"/>
    </row>
    <row r="34" spans="1:2" ht="12" customHeight="1">
      <c r="A34" s="11"/>
      <c r="B34" s="12"/>
    </row>
    <row r="35" spans="1:2" ht="12" customHeight="1">
      <c r="A35" s="11"/>
      <c r="B35" s="12"/>
    </row>
    <row r="36" spans="1:2" ht="12" customHeight="1">
      <c r="A36" s="11"/>
      <c r="B36" s="12"/>
    </row>
    <row r="37" spans="1:2" ht="12" customHeight="1">
      <c r="A37" s="11"/>
      <c r="B37" s="12"/>
    </row>
    <row r="38" spans="1:2" ht="12" customHeight="1">
      <c r="A38" s="11"/>
      <c r="B38" s="12"/>
    </row>
    <row r="39" spans="1:2" ht="12" customHeight="1">
      <c r="A39" s="11"/>
      <c r="B39" s="12"/>
    </row>
    <row r="40" spans="1:2" ht="12" customHeight="1">
      <c r="A40" s="11"/>
      <c r="B40" s="12"/>
    </row>
    <row r="41" spans="1:2" ht="12" customHeight="1">
      <c r="A41" s="11"/>
      <c r="B41" s="12"/>
    </row>
    <row r="42" spans="1:2" ht="12" customHeight="1">
      <c r="A42" s="11"/>
      <c r="B42" s="12"/>
    </row>
    <row r="43" spans="1:2" ht="12" customHeight="1">
      <c r="A43" s="11"/>
      <c r="B43" s="12"/>
    </row>
    <row r="44" spans="1:2" ht="12" customHeight="1">
      <c r="A44" s="11"/>
      <c r="B44" s="12"/>
    </row>
    <row r="45" spans="1:2" ht="12" customHeight="1">
      <c r="A45" s="11"/>
      <c r="B45" s="12"/>
    </row>
    <row r="46" spans="1:2" ht="12" customHeight="1">
      <c r="A46" s="11"/>
      <c r="B46" s="12"/>
    </row>
    <row r="47" spans="1:2" ht="12" customHeight="1">
      <c r="A47" s="11"/>
      <c r="B47" s="12"/>
    </row>
    <row r="48" spans="1:2" ht="12" customHeight="1">
      <c r="A48" s="11"/>
      <c r="B48" s="12"/>
    </row>
    <row r="49" spans="1:2" ht="12" customHeight="1">
      <c r="A49" s="11"/>
      <c r="B49" s="12"/>
    </row>
    <row r="50" spans="1:2" ht="12" customHeight="1">
      <c r="A50" s="11"/>
      <c r="B50" s="12"/>
    </row>
    <row r="51" spans="1:2" ht="12" customHeight="1">
      <c r="A51" s="11"/>
      <c r="B51" s="12"/>
    </row>
    <row r="52" spans="1:2" ht="12" customHeight="1">
      <c r="A52" s="11"/>
      <c r="B52" s="12"/>
    </row>
    <row r="53" spans="1:2" ht="12" customHeight="1">
      <c r="A53" s="11"/>
      <c r="B53" s="12"/>
    </row>
    <row r="54" spans="1:2" ht="12" customHeight="1">
      <c r="A54" s="11"/>
      <c r="B54" s="12"/>
    </row>
    <row r="55" spans="1:2" ht="12" customHeight="1">
      <c r="A55" s="11"/>
      <c r="B55" s="12"/>
    </row>
    <row r="56" spans="1:2" ht="12" customHeight="1">
      <c r="A56" s="11"/>
      <c r="B56" s="12"/>
    </row>
    <row r="57" spans="1:2" ht="12" customHeight="1">
      <c r="A57" s="11"/>
      <c r="B57" s="12"/>
    </row>
    <row r="58" spans="1:2" ht="12" customHeight="1">
      <c r="A58" s="11"/>
      <c r="B58" s="12"/>
    </row>
    <row r="59" spans="1:2" ht="12" customHeight="1">
      <c r="A59" s="11"/>
      <c r="B59" s="12"/>
    </row>
    <row r="60" spans="1:2" ht="12" customHeight="1">
      <c r="A60" s="11"/>
      <c r="B60" s="12"/>
    </row>
    <row r="61" spans="1:2" ht="12" customHeight="1">
      <c r="A61" s="11"/>
      <c r="B61" s="12"/>
    </row>
    <row r="62" spans="1:2" ht="12" customHeight="1">
      <c r="A62" s="11"/>
      <c r="B62" s="12"/>
    </row>
    <row r="63" spans="1:2" ht="12" customHeight="1">
      <c r="A63" s="11"/>
      <c r="B63" s="12"/>
    </row>
    <row r="64" spans="1:2" ht="12" customHeight="1">
      <c r="A64" s="11"/>
      <c r="B64" s="12"/>
    </row>
    <row r="65" spans="1:2" ht="12" customHeight="1">
      <c r="A65" s="11"/>
      <c r="B65" s="12"/>
    </row>
    <row r="66" spans="1:2" ht="12" customHeight="1">
      <c r="A66" s="11"/>
      <c r="B66" s="117"/>
    </row>
    <row r="67" spans="1:2" ht="12" customHeight="1">
      <c r="A67" s="11"/>
      <c r="B67" s="12"/>
    </row>
    <row r="68" spans="1:2" ht="12.95">
      <c r="A68" s="11"/>
      <c r="B68" s="117"/>
    </row>
    <row r="69" spans="1:2" ht="12" customHeight="1">
      <c r="A69" s="11"/>
      <c r="B69" s="12"/>
    </row>
    <row r="70" spans="1:2" ht="12" customHeight="1">
      <c r="A70" s="11"/>
      <c r="B70" s="12"/>
    </row>
    <row r="71" spans="1:2" ht="12" customHeight="1">
      <c r="A71" s="11"/>
      <c r="B71" s="12"/>
    </row>
    <row r="72" spans="1:2" ht="12" customHeight="1">
      <c r="A72" s="11"/>
      <c r="B72" s="12"/>
    </row>
    <row r="73" spans="1:2" ht="12" customHeight="1">
      <c r="A73" s="11"/>
      <c r="B73" s="12"/>
    </row>
    <row r="74" spans="1:2" ht="12" customHeight="1">
      <c r="A74" s="11"/>
    </row>
    <row r="75" spans="1:2" ht="12" customHeight="1">
      <c r="A75" s="11"/>
      <c r="B75" s="12"/>
    </row>
    <row r="76" spans="1:2" ht="12" customHeight="1">
      <c r="A76" s="11"/>
      <c r="B76" s="12"/>
    </row>
    <row r="77" spans="1:2" ht="12" customHeight="1">
      <c r="A77" s="11"/>
      <c r="B77" s="12"/>
    </row>
    <row r="78" spans="1:2" ht="12" customHeight="1">
      <c r="A78" s="11"/>
      <c r="B78" s="12"/>
    </row>
    <row r="79" spans="1:2" ht="12" customHeight="1">
      <c r="A79" s="11"/>
      <c r="B79" s="12"/>
    </row>
    <row r="80" spans="1:2" ht="12" customHeight="1">
      <c r="A80" s="11"/>
      <c r="B80" s="12"/>
    </row>
    <row r="81" spans="1:16382" ht="12" customHeight="1">
      <c r="A81" s="11"/>
      <c r="B81" s="12"/>
    </row>
    <row r="82" spans="1:16382" ht="12" customHeight="1">
      <c r="A82" s="11"/>
      <c r="B82" s="12"/>
    </row>
    <row r="83" spans="1:16382" ht="12" customHeight="1">
      <c r="A83" s="11"/>
      <c r="B83" s="12"/>
    </row>
    <row r="84" spans="1:16382" ht="12" customHeight="1">
      <c r="A84" s="11"/>
      <c r="B84" s="12"/>
    </row>
    <row r="85" spans="1:16382" ht="12" customHeight="1">
      <c r="A85" s="11"/>
      <c r="B85" s="12"/>
    </row>
    <row r="86" spans="1:16382" ht="12" customHeight="1">
      <c r="A86" s="11"/>
      <c r="B86" s="12"/>
    </row>
    <row r="87" spans="1:16382" ht="12" customHeight="1">
      <c r="A87" s="11"/>
      <c r="B87" s="12"/>
    </row>
    <row r="88" spans="1:16382" ht="12" customHeight="1">
      <c r="A88" s="11"/>
      <c r="B88" s="12"/>
      <c r="C88" s="109"/>
      <c r="D88" s="12"/>
      <c r="E88" s="109"/>
      <c r="F88" s="12"/>
      <c r="G88" s="109"/>
      <c r="H88" s="12"/>
      <c r="I88" s="109"/>
      <c r="J88" s="12"/>
      <c r="K88" s="109"/>
      <c r="L88" s="12"/>
      <c r="M88" s="109"/>
      <c r="N88" s="12"/>
      <c r="O88" s="109"/>
      <c r="P88" s="12"/>
      <c r="Q88" s="109"/>
      <c r="R88" s="12"/>
      <c r="S88" s="109"/>
      <c r="T88" s="12"/>
      <c r="U88" s="109"/>
      <c r="V88" s="12"/>
      <c r="W88" s="109"/>
      <c r="X88" s="12"/>
      <c r="Y88" s="109"/>
      <c r="Z88" s="12"/>
      <c r="AA88" s="109"/>
      <c r="AB88" s="12"/>
      <c r="AC88" s="109"/>
      <c r="AD88" s="12"/>
      <c r="AE88" s="109"/>
      <c r="AF88" s="12"/>
      <c r="AG88" s="109"/>
      <c r="AH88" s="12"/>
      <c r="AI88" s="109"/>
      <c r="AJ88" s="12"/>
      <c r="AK88" s="109"/>
      <c r="AL88" s="12"/>
      <c r="AM88" s="109"/>
      <c r="AN88" s="12"/>
      <c r="AO88" s="109"/>
      <c r="AP88" s="12"/>
      <c r="AQ88" s="109"/>
      <c r="AR88" s="12"/>
      <c r="AS88" s="109"/>
      <c r="AT88" s="12"/>
      <c r="AU88" s="109"/>
      <c r="AV88" s="12"/>
      <c r="AW88" s="109"/>
      <c r="AX88" s="12"/>
      <c r="AY88" s="109"/>
      <c r="AZ88" s="12"/>
      <c r="BA88" s="109"/>
      <c r="BB88" s="12"/>
      <c r="BC88" s="109"/>
      <c r="BD88" s="12"/>
      <c r="BE88" s="109"/>
      <c r="BF88" s="12"/>
      <c r="BG88" s="109"/>
      <c r="BH88" s="12"/>
      <c r="BI88" s="109"/>
      <c r="BJ88" s="12"/>
      <c r="BK88" s="109"/>
      <c r="BL88" s="12"/>
      <c r="BM88" s="109"/>
      <c r="BN88" s="12"/>
      <c r="BO88" s="109"/>
      <c r="BP88" s="12"/>
      <c r="BQ88" s="109"/>
      <c r="BR88" s="12"/>
      <c r="BS88" s="109"/>
      <c r="BT88" s="12"/>
      <c r="BU88" s="109"/>
      <c r="BV88" s="12"/>
      <c r="BW88" s="109"/>
      <c r="BX88" s="12"/>
      <c r="BY88" s="109"/>
      <c r="BZ88" s="12"/>
      <c r="CA88" s="109"/>
      <c r="CB88" s="12"/>
      <c r="CC88" s="109"/>
      <c r="CD88" s="12"/>
      <c r="CE88" s="109"/>
      <c r="CF88" s="12"/>
      <c r="CG88" s="109"/>
      <c r="CH88" s="12"/>
      <c r="CI88" s="109"/>
      <c r="CJ88" s="12"/>
      <c r="CK88" s="109"/>
      <c r="CL88" s="12"/>
      <c r="CM88" s="109"/>
      <c r="CN88" s="12"/>
      <c r="CO88" s="109"/>
      <c r="CP88" s="12"/>
      <c r="CQ88" s="109"/>
      <c r="CR88" s="12"/>
      <c r="CS88" s="109"/>
      <c r="CT88" s="12"/>
      <c r="CU88" s="109"/>
      <c r="CV88" s="12"/>
      <c r="CW88" s="109"/>
      <c r="CX88" s="12"/>
      <c r="CY88" s="109"/>
      <c r="CZ88" s="12"/>
      <c r="DA88" s="109"/>
      <c r="DB88" s="12"/>
      <c r="DC88" s="109"/>
      <c r="DD88" s="12"/>
      <c r="DE88" s="109"/>
      <c r="DF88" s="12"/>
      <c r="DG88" s="109"/>
      <c r="DH88" s="12"/>
      <c r="DI88" s="109"/>
      <c r="DJ88" s="12"/>
      <c r="DK88" s="109"/>
      <c r="DL88" s="12"/>
      <c r="DM88" s="109"/>
      <c r="DN88" s="12"/>
      <c r="DO88" s="109"/>
      <c r="DP88" s="12"/>
      <c r="DQ88" s="109"/>
      <c r="DR88" s="12"/>
      <c r="DS88" s="109"/>
      <c r="DT88" s="12"/>
      <c r="DU88" s="109"/>
      <c r="DV88" s="12"/>
      <c r="DW88" s="109"/>
      <c r="DX88" s="12"/>
      <c r="DY88" s="109"/>
      <c r="DZ88" s="12"/>
      <c r="EA88" s="109"/>
      <c r="EB88" s="12"/>
      <c r="EC88" s="109"/>
      <c r="ED88" s="12"/>
      <c r="EE88" s="109"/>
      <c r="EF88" s="12"/>
      <c r="EG88" s="109"/>
      <c r="EH88" s="12"/>
      <c r="EI88" s="109"/>
      <c r="EJ88" s="12"/>
      <c r="EK88" s="109"/>
      <c r="EL88" s="12"/>
      <c r="EM88" s="109"/>
      <c r="EN88" s="12"/>
      <c r="EO88" s="109"/>
      <c r="EP88" s="12"/>
      <c r="EQ88" s="109"/>
      <c r="ER88" s="12"/>
      <c r="ES88" s="109"/>
      <c r="ET88" s="12"/>
      <c r="EU88" s="109"/>
      <c r="EV88" s="12"/>
      <c r="EW88" s="109"/>
      <c r="EX88" s="12"/>
      <c r="EY88" s="109"/>
      <c r="EZ88" s="12"/>
      <c r="FA88" s="109"/>
      <c r="FB88" s="12"/>
      <c r="FC88" s="109"/>
      <c r="FD88" s="12"/>
      <c r="FE88" s="109"/>
      <c r="FF88" s="12"/>
      <c r="FG88" s="109"/>
      <c r="FH88" s="12"/>
      <c r="FI88" s="109"/>
      <c r="FJ88" s="12"/>
      <c r="FK88" s="109"/>
      <c r="FL88" s="12"/>
      <c r="FM88" s="109"/>
      <c r="FN88" s="12"/>
      <c r="FO88" s="109"/>
      <c r="FP88" s="12"/>
      <c r="FQ88" s="109"/>
      <c r="FR88" s="12"/>
      <c r="FS88" s="109"/>
      <c r="FT88" s="12"/>
      <c r="FU88" s="109"/>
      <c r="FV88" s="12"/>
      <c r="FW88" s="109"/>
      <c r="FX88" s="12"/>
      <c r="FY88" s="109"/>
      <c r="FZ88" s="12"/>
      <c r="GA88" s="109"/>
      <c r="GB88" s="12"/>
      <c r="GC88" s="109"/>
      <c r="GD88" s="12"/>
      <c r="GE88" s="109"/>
      <c r="GF88" s="12"/>
      <c r="GG88" s="109"/>
      <c r="GH88" s="12"/>
      <c r="GI88" s="109"/>
      <c r="GJ88" s="12"/>
      <c r="GK88" s="109"/>
      <c r="GL88" s="12"/>
      <c r="GM88" s="109"/>
      <c r="GN88" s="12"/>
      <c r="GO88" s="109"/>
      <c r="GP88" s="12"/>
      <c r="GQ88" s="109"/>
      <c r="GR88" s="12"/>
      <c r="GS88" s="109"/>
      <c r="GT88" s="12"/>
      <c r="GU88" s="109"/>
      <c r="GV88" s="12"/>
      <c r="GW88" s="109"/>
      <c r="GX88" s="12"/>
      <c r="GY88" s="109"/>
      <c r="GZ88" s="12"/>
      <c r="HA88" s="109"/>
      <c r="HB88" s="12"/>
      <c r="HC88" s="109"/>
      <c r="HD88" s="12"/>
      <c r="HE88" s="109"/>
      <c r="HF88" s="12"/>
      <c r="HG88" s="109"/>
      <c r="HH88" s="12"/>
      <c r="HI88" s="109"/>
      <c r="HJ88" s="12"/>
      <c r="HK88" s="109"/>
      <c r="HL88" s="12"/>
      <c r="HM88" s="109"/>
      <c r="HN88" s="12"/>
      <c r="HO88" s="109"/>
      <c r="HP88" s="12"/>
      <c r="HQ88" s="109"/>
      <c r="HR88" s="12"/>
      <c r="HS88" s="109"/>
      <c r="HT88" s="12"/>
      <c r="HU88" s="109"/>
      <c r="HV88" s="12"/>
      <c r="HW88" s="109"/>
      <c r="HX88" s="12"/>
      <c r="HY88" s="109"/>
      <c r="HZ88" s="12"/>
      <c r="IA88" s="109"/>
      <c r="IB88" s="12"/>
      <c r="IC88" s="109"/>
      <c r="ID88" s="12"/>
      <c r="IE88" s="109"/>
      <c r="IF88" s="12"/>
      <c r="IG88" s="109"/>
      <c r="IH88" s="12"/>
      <c r="II88" s="109"/>
      <c r="IJ88" s="12"/>
      <c r="IK88" s="109"/>
      <c r="IL88" s="12"/>
      <c r="IM88" s="109"/>
      <c r="IN88" s="12"/>
      <c r="IO88" s="109"/>
      <c r="IP88" s="12"/>
      <c r="IQ88" s="109"/>
      <c r="IR88" s="12"/>
      <c r="IS88" s="109"/>
      <c r="IT88" s="12"/>
      <c r="IU88" s="109"/>
      <c r="IV88" s="12"/>
      <c r="IW88" s="109"/>
      <c r="IX88" s="12"/>
      <c r="IY88" s="109"/>
      <c r="IZ88" s="12"/>
      <c r="JA88" s="109"/>
      <c r="JB88" s="12"/>
      <c r="JC88" s="109"/>
      <c r="JD88" s="12"/>
      <c r="JE88" s="109"/>
      <c r="JF88" s="12"/>
      <c r="JG88" s="109"/>
      <c r="JH88" s="12"/>
      <c r="JI88" s="109"/>
      <c r="JJ88" s="12"/>
      <c r="JK88" s="109"/>
      <c r="JL88" s="12"/>
      <c r="JM88" s="109"/>
      <c r="JN88" s="12"/>
      <c r="JO88" s="109"/>
      <c r="JP88" s="12"/>
      <c r="JQ88" s="109"/>
      <c r="JR88" s="12"/>
      <c r="JS88" s="109"/>
      <c r="JT88" s="12"/>
      <c r="JU88" s="109"/>
      <c r="JV88" s="12"/>
      <c r="JW88" s="109"/>
      <c r="JX88" s="12"/>
      <c r="JY88" s="109"/>
      <c r="JZ88" s="12"/>
      <c r="KA88" s="109"/>
      <c r="KB88" s="12"/>
      <c r="KC88" s="109"/>
      <c r="KD88" s="12"/>
      <c r="KE88" s="109"/>
      <c r="KF88" s="12"/>
      <c r="KG88" s="109"/>
      <c r="KH88" s="12"/>
      <c r="KI88" s="109"/>
      <c r="KJ88" s="12"/>
      <c r="KK88" s="109"/>
      <c r="KL88" s="12"/>
      <c r="KM88" s="109"/>
      <c r="KN88" s="12"/>
      <c r="KO88" s="109"/>
      <c r="KP88" s="12"/>
      <c r="KQ88" s="109"/>
      <c r="KR88" s="12"/>
      <c r="KS88" s="109"/>
      <c r="KT88" s="12"/>
      <c r="KU88" s="109"/>
      <c r="KV88" s="12"/>
      <c r="KW88" s="109"/>
      <c r="KX88" s="12"/>
      <c r="KY88" s="109"/>
      <c r="KZ88" s="12"/>
      <c r="LA88" s="109"/>
      <c r="LB88" s="12"/>
      <c r="LC88" s="109"/>
      <c r="LD88" s="12"/>
      <c r="LE88" s="109"/>
      <c r="LF88" s="12"/>
      <c r="LG88" s="109"/>
      <c r="LH88" s="12"/>
      <c r="LI88" s="109"/>
      <c r="LJ88" s="12"/>
      <c r="LK88" s="109"/>
      <c r="LL88" s="12"/>
      <c r="LM88" s="109"/>
      <c r="LN88" s="12"/>
      <c r="LO88" s="109"/>
      <c r="LP88" s="12"/>
      <c r="LQ88" s="109"/>
      <c r="LR88" s="12"/>
      <c r="LS88" s="109"/>
      <c r="LT88" s="12"/>
      <c r="LU88" s="109"/>
      <c r="LV88" s="12"/>
      <c r="LW88" s="109"/>
      <c r="LX88" s="12"/>
      <c r="LY88" s="109"/>
      <c r="LZ88" s="12"/>
      <c r="MA88" s="109"/>
      <c r="MB88" s="12"/>
      <c r="MC88" s="109"/>
      <c r="MD88" s="12"/>
      <c r="ME88" s="109"/>
      <c r="MF88" s="12"/>
      <c r="MG88" s="109"/>
      <c r="MH88" s="12"/>
      <c r="MI88" s="109"/>
      <c r="MJ88" s="12"/>
      <c r="MK88" s="109"/>
      <c r="ML88" s="12"/>
      <c r="MM88" s="109"/>
      <c r="MN88" s="12"/>
      <c r="MO88" s="109"/>
      <c r="MP88" s="12"/>
      <c r="MQ88" s="109"/>
      <c r="MR88" s="12"/>
      <c r="MS88" s="109"/>
      <c r="MT88" s="12"/>
      <c r="MU88" s="109"/>
      <c r="MV88" s="12"/>
      <c r="MW88" s="109"/>
      <c r="MX88" s="12"/>
      <c r="MY88" s="109"/>
      <c r="MZ88" s="12"/>
      <c r="NA88" s="109"/>
      <c r="NB88" s="12"/>
      <c r="NC88" s="109"/>
      <c r="ND88" s="12"/>
      <c r="NE88" s="109"/>
      <c r="NF88" s="12"/>
      <c r="NG88" s="109"/>
      <c r="NH88" s="12"/>
      <c r="NI88" s="109"/>
      <c r="NJ88" s="12"/>
      <c r="NK88" s="109"/>
      <c r="NL88" s="12"/>
      <c r="NM88" s="109"/>
      <c r="NN88" s="12"/>
      <c r="NO88" s="109"/>
      <c r="NP88" s="12"/>
      <c r="NQ88" s="109"/>
      <c r="NR88" s="12"/>
      <c r="NS88" s="109"/>
      <c r="NT88" s="12"/>
      <c r="NU88" s="109"/>
      <c r="NV88" s="12"/>
      <c r="NW88" s="109"/>
      <c r="NX88" s="12"/>
      <c r="NY88" s="109"/>
      <c r="NZ88" s="12"/>
      <c r="OA88" s="109"/>
      <c r="OB88" s="12"/>
      <c r="OC88" s="109"/>
      <c r="OD88" s="12"/>
      <c r="OE88" s="109"/>
      <c r="OF88" s="12"/>
      <c r="OG88" s="109"/>
      <c r="OH88" s="12"/>
      <c r="OI88" s="109"/>
      <c r="OJ88" s="12"/>
      <c r="OK88" s="109"/>
      <c r="OL88" s="12"/>
      <c r="OM88" s="109"/>
      <c r="ON88" s="12"/>
      <c r="OO88" s="109"/>
      <c r="OP88" s="12"/>
      <c r="OQ88" s="109"/>
      <c r="OR88" s="12"/>
      <c r="OS88" s="109"/>
      <c r="OT88" s="12"/>
      <c r="OU88" s="109"/>
      <c r="OV88" s="12"/>
      <c r="OW88" s="109"/>
      <c r="OX88" s="12"/>
      <c r="OY88" s="109"/>
      <c r="OZ88" s="12"/>
      <c r="PA88" s="109"/>
      <c r="PB88" s="12"/>
      <c r="PC88" s="109"/>
      <c r="PD88" s="12"/>
      <c r="PE88" s="109"/>
      <c r="PF88" s="12"/>
      <c r="PG88" s="109"/>
      <c r="PH88" s="12"/>
      <c r="PI88" s="109"/>
      <c r="PJ88" s="12"/>
      <c r="PK88" s="109"/>
      <c r="PL88" s="12"/>
      <c r="PM88" s="109"/>
      <c r="PN88" s="12"/>
      <c r="PO88" s="109"/>
      <c r="PP88" s="12"/>
      <c r="PQ88" s="109"/>
      <c r="PR88" s="12"/>
      <c r="PS88" s="109"/>
      <c r="PT88" s="12"/>
      <c r="PU88" s="109"/>
      <c r="PV88" s="12"/>
      <c r="PW88" s="109"/>
      <c r="PX88" s="12"/>
      <c r="PY88" s="109"/>
      <c r="PZ88" s="12"/>
      <c r="QA88" s="109"/>
      <c r="QB88" s="12"/>
      <c r="QC88" s="109"/>
      <c r="QD88" s="12"/>
      <c r="QE88" s="109"/>
      <c r="QF88" s="12"/>
      <c r="QG88" s="109"/>
      <c r="QH88" s="12"/>
      <c r="QI88" s="109"/>
      <c r="QJ88" s="12"/>
      <c r="QK88" s="109"/>
      <c r="QL88" s="12"/>
      <c r="QM88" s="109"/>
      <c r="QN88" s="12"/>
      <c r="QO88" s="109"/>
      <c r="QP88" s="12"/>
      <c r="QQ88" s="109"/>
      <c r="QR88" s="12"/>
      <c r="QS88" s="109"/>
      <c r="QT88" s="12"/>
      <c r="QU88" s="109"/>
      <c r="QV88" s="12"/>
      <c r="QW88" s="109"/>
      <c r="QX88" s="12"/>
      <c r="QY88" s="109"/>
      <c r="QZ88" s="12"/>
      <c r="RA88" s="109"/>
      <c r="RB88" s="12"/>
      <c r="RC88" s="109"/>
      <c r="RD88" s="12"/>
      <c r="RE88" s="109"/>
      <c r="RF88" s="12"/>
      <c r="RG88" s="109"/>
      <c r="RH88" s="12"/>
      <c r="RI88" s="109"/>
      <c r="RJ88" s="12"/>
      <c r="RK88" s="109"/>
      <c r="RL88" s="12"/>
      <c r="RM88" s="109"/>
      <c r="RN88" s="12"/>
      <c r="RO88" s="109"/>
      <c r="RP88" s="12"/>
      <c r="RQ88" s="109"/>
      <c r="RR88" s="12"/>
      <c r="RS88" s="109"/>
      <c r="RT88" s="12"/>
      <c r="RU88" s="109"/>
      <c r="RV88" s="12"/>
      <c r="RW88" s="109"/>
      <c r="RX88" s="12"/>
      <c r="RY88" s="109"/>
      <c r="RZ88" s="12"/>
      <c r="SA88" s="109"/>
      <c r="SB88" s="12"/>
      <c r="SC88" s="109"/>
      <c r="SD88" s="12"/>
      <c r="SE88" s="109"/>
      <c r="SF88" s="12"/>
      <c r="SG88" s="109"/>
      <c r="SH88" s="12"/>
      <c r="SI88" s="109"/>
      <c r="SJ88" s="12"/>
      <c r="SK88" s="109"/>
      <c r="SL88" s="12"/>
      <c r="SM88" s="109"/>
      <c r="SN88" s="12"/>
      <c r="SO88" s="109"/>
      <c r="SP88" s="12"/>
      <c r="SQ88" s="109"/>
      <c r="SR88" s="12"/>
      <c r="SS88" s="109"/>
      <c r="ST88" s="12"/>
      <c r="SU88" s="109"/>
      <c r="SV88" s="12"/>
      <c r="SW88" s="109"/>
      <c r="SX88" s="12"/>
      <c r="SY88" s="109"/>
      <c r="SZ88" s="12"/>
      <c r="TA88" s="109"/>
      <c r="TB88" s="12"/>
      <c r="TC88" s="109"/>
      <c r="TD88" s="12"/>
      <c r="TE88" s="109"/>
      <c r="TF88" s="12"/>
      <c r="TG88" s="109"/>
      <c r="TH88" s="12"/>
      <c r="TI88" s="109"/>
      <c r="TJ88" s="12"/>
      <c r="TK88" s="109"/>
      <c r="TL88" s="12"/>
      <c r="TM88" s="109"/>
      <c r="TN88" s="12"/>
      <c r="TO88" s="109"/>
      <c r="TP88" s="12"/>
      <c r="TQ88" s="109"/>
      <c r="TR88" s="12"/>
      <c r="TS88" s="109"/>
      <c r="TT88" s="12"/>
      <c r="TU88" s="109"/>
      <c r="TV88" s="12"/>
      <c r="TW88" s="109"/>
      <c r="TX88" s="12"/>
      <c r="TY88" s="109"/>
      <c r="TZ88" s="12"/>
      <c r="UA88" s="109"/>
      <c r="UB88" s="12"/>
      <c r="UC88" s="109"/>
      <c r="UD88" s="12"/>
      <c r="UE88" s="109"/>
      <c r="UF88" s="12"/>
      <c r="UG88" s="109"/>
      <c r="UH88" s="12"/>
      <c r="UI88" s="109"/>
      <c r="UJ88" s="12"/>
      <c r="UK88" s="109"/>
      <c r="UL88" s="12"/>
      <c r="UM88" s="109"/>
      <c r="UN88" s="12"/>
      <c r="UO88" s="109"/>
      <c r="UP88" s="12"/>
      <c r="UQ88" s="109"/>
      <c r="UR88" s="12"/>
      <c r="US88" s="109"/>
      <c r="UT88" s="12"/>
      <c r="UU88" s="109"/>
      <c r="UV88" s="12"/>
      <c r="UW88" s="109"/>
      <c r="UX88" s="12"/>
      <c r="UY88" s="109"/>
      <c r="UZ88" s="12"/>
      <c r="VA88" s="109"/>
      <c r="VB88" s="12"/>
      <c r="VC88" s="109"/>
      <c r="VD88" s="12"/>
      <c r="VE88" s="109"/>
      <c r="VF88" s="12"/>
      <c r="VG88" s="109"/>
      <c r="VH88" s="12"/>
      <c r="VI88" s="109"/>
      <c r="VJ88" s="12"/>
      <c r="VK88" s="109"/>
      <c r="VL88" s="12"/>
      <c r="VM88" s="109"/>
      <c r="VN88" s="12"/>
      <c r="VO88" s="109"/>
      <c r="VP88" s="12"/>
      <c r="VQ88" s="109"/>
      <c r="VR88" s="12"/>
      <c r="VS88" s="109"/>
      <c r="VT88" s="12"/>
      <c r="VU88" s="109"/>
      <c r="VV88" s="12"/>
      <c r="VW88" s="109"/>
      <c r="VX88" s="12"/>
      <c r="VY88" s="109"/>
      <c r="VZ88" s="12"/>
      <c r="WA88" s="109"/>
      <c r="WB88" s="12"/>
      <c r="WC88" s="109"/>
      <c r="WD88" s="12"/>
      <c r="WE88" s="109"/>
      <c r="WF88" s="12"/>
      <c r="WG88" s="109"/>
      <c r="WH88" s="12"/>
      <c r="WI88" s="109"/>
      <c r="WJ88" s="12"/>
      <c r="WK88" s="109"/>
      <c r="WL88" s="12"/>
      <c r="WM88" s="109"/>
      <c r="WN88" s="12"/>
      <c r="WO88" s="109"/>
      <c r="WP88" s="12"/>
      <c r="WQ88" s="109"/>
      <c r="WR88" s="12"/>
      <c r="WS88" s="109"/>
      <c r="WT88" s="12"/>
      <c r="WU88" s="109"/>
      <c r="WV88" s="12"/>
      <c r="WW88" s="109"/>
      <c r="WX88" s="12"/>
      <c r="WY88" s="109"/>
      <c r="WZ88" s="12"/>
      <c r="XA88" s="109"/>
      <c r="XB88" s="12"/>
      <c r="XC88" s="109"/>
      <c r="XD88" s="12"/>
      <c r="XE88" s="109"/>
      <c r="XF88" s="12"/>
      <c r="XG88" s="109"/>
      <c r="XH88" s="12"/>
      <c r="XI88" s="109"/>
      <c r="XJ88" s="12"/>
      <c r="XK88" s="109"/>
      <c r="XL88" s="12"/>
      <c r="XM88" s="109"/>
      <c r="XN88" s="12"/>
      <c r="XO88" s="109"/>
      <c r="XP88" s="12"/>
      <c r="XQ88" s="109"/>
      <c r="XR88" s="12"/>
      <c r="XS88" s="109"/>
      <c r="XT88" s="12"/>
      <c r="XU88" s="109"/>
      <c r="XV88" s="12"/>
      <c r="XW88" s="109"/>
      <c r="XX88" s="12"/>
      <c r="XY88" s="109"/>
      <c r="XZ88" s="12"/>
      <c r="YA88" s="109"/>
      <c r="YB88" s="12"/>
      <c r="YC88" s="109"/>
      <c r="YD88" s="12"/>
      <c r="YE88" s="109"/>
      <c r="YF88" s="12"/>
      <c r="YG88" s="109"/>
      <c r="YH88" s="12"/>
      <c r="YI88" s="109"/>
      <c r="YJ88" s="12"/>
      <c r="YK88" s="109"/>
      <c r="YL88" s="12"/>
      <c r="YM88" s="109"/>
      <c r="YN88" s="12"/>
      <c r="YO88" s="109"/>
      <c r="YP88" s="12"/>
      <c r="YQ88" s="109"/>
      <c r="YR88" s="12"/>
      <c r="YS88" s="109"/>
      <c r="YT88" s="12"/>
      <c r="YU88" s="109"/>
      <c r="YV88" s="12"/>
      <c r="YW88" s="109"/>
      <c r="YX88" s="12"/>
      <c r="YY88" s="109"/>
      <c r="YZ88" s="12"/>
      <c r="ZA88" s="109"/>
      <c r="ZB88" s="12"/>
      <c r="ZC88" s="109"/>
      <c r="ZD88" s="12"/>
      <c r="ZE88" s="109"/>
      <c r="ZF88" s="12"/>
      <c r="ZG88" s="109"/>
      <c r="ZH88" s="12"/>
      <c r="ZI88" s="109"/>
      <c r="ZJ88" s="12"/>
      <c r="ZK88" s="109"/>
      <c r="ZL88" s="12"/>
      <c r="ZM88" s="109"/>
      <c r="ZN88" s="12"/>
      <c r="ZO88" s="109"/>
      <c r="ZP88" s="12"/>
      <c r="ZQ88" s="109"/>
      <c r="ZR88" s="12"/>
      <c r="ZS88" s="109"/>
      <c r="ZT88" s="12"/>
      <c r="ZU88" s="109"/>
      <c r="ZV88" s="12"/>
      <c r="ZW88" s="109"/>
      <c r="ZX88" s="12"/>
      <c r="ZY88" s="109"/>
      <c r="ZZ88" s="12"/>
      <c r="AAA88" s="109"/>
      <c r="AAB88" s="12"/>
      <c r="AAC88" s="109"/>
      <c r="AAD88" s="12"/>
      <c r="AAE88" s="109"/>
      <c r="AAF88" s="12"/>
      <c r="AAG88" s="109"/>
      <c r="AAH88" s="12"/>
      <c r="AAI88" s="109"/>
      <c r="AAJ88" s="12"/>
      <c r="AAK88" s="109"/>
      <c r="AAL88" s="12"/>
      <c r="AAM88" s="109"/>
      <c r="AAN88" s="12"/>
      <c r="AAO88" s="109"/>
      <c r="AAP88" s="12"/>
      <c r="AAQ88" s="109"/>
      <c r="AAR88" s="12"/>
      <c r="AAS88" s="109"/>
      <c r="AAT88" s="12"/>
      <c r="AAU88" s="109"/>
      <c r="AAV88" s="12"/>
      <c r="AAW88" s="109"/>
      <c r="AAX88" s="12"/>
      <c r="AAY88" s="109"/>
      <c r="AAZ88" s="12"/>
      <c r="ABA88" s="109"/>
      <c r="ABB88" s="12"/>
      <c r="ABC88" s="109"/>
      <c r="ABD88" s="12"/>
      <c r="ABE88" s="109"/>
      <c r="ABF88" s="12"/>
      <c r="ABG88" s="109"/>
      <c r="ABH88" s="12"/>
      <c r="ABI88" s="109"/>
      <c r="ABJ88" s="12"/>
      <c r="ABK88" s="109"/>
      <c r="ABL88" s="12"/>
      <c r="ABM88" s="109"/>
      <c r="ABN88" s="12"/>
      <c r="ABO88" s="109"/>
      <c r="ABP88" s="12"/>
      <c r="ABQ88" s="109"/>
      <c r="ABR88" s="12"/>
      <c r="ABS88" s="109"/>
      <c r="ABT88" s="12"/>
      <c r="ABU88" s="109"/>
      <c r="ABV88" s="12"/>
      <c r="ABW88" s="109"/>
      <c r="ABX88" s="12"/>
      <c r="ABY88" s="109"/>
      <c r="ABZ88" s="12"/>
      <c r="ACA88" s="109"/>
      <c r="ACB88" s="12"/>
      <c r="ACC88" s="109"/>
      <c r="ACD88" s="12"/>
      <c r="ACE88" s="109"/>
      <c r="ACF88" s="12"/>
      <c r="ACG88" s="109"/>
      <c r="ACH88" s="12"/>
      <c r="ACI88" s="109"/>
      <c r="ACJ88" s="12"/>
      <c r="ACK88" s="109"/>
      <c r="ACL88" s="12"/>
      <c r="ACM88" s="109"/>
      <c r="ACN88" s="12"/>
      <c r="ACO88" s="109"/>
      <c r="ACP88" s="12"/>
      <c r="ACQ88" s="109"/>
      <c r="ACR88" s="12"/>
      <c r="ACS88" s="109"/>
      <c r="ACT88" s="12"/>
      <c r="ACU88" s="109"/>
      <c r="ACV88" s="12"/>
      <c r="ACW88" s="109"/>
      <c r="ACX88" s="12"/>
      <c r="ACY88" s="109"/>
      <c r="ACZ88" s="12"/>
      <c r="ADA88" s="109"/>
      <c r="ADB88" s="12"/>
      <c r="ADC88" s="109"/>
      <c r="ADD88" s="12"/>
      <c r="ADE88" s="109"/>
      <c r="ADF88" s="12"/>
      <c r="ADG88" s="109"/>
      <c r="ADH88" s="12"/>
      <c r="ADI88" s="109"/>
      <c r="ADJ88" s="12"/>
      <c r="ADK88" s="109"/>
      <c r="ADL88" s="12"/>
      <c r="ADM88" s="109"/>
      <c r="ADN88" s="12"/>
      <c r="ADO88" s="109"/>
      <c r="ADP88" s="12"/>
      <c r="ADQ88" s="109"/>
      <c r="ADR88" s="12"/>
      <c r="ADS88" s="109"/>
      <c r="ADT88" s="12"/>
      <c r="ADU88" s="109"/>
      <c r="ADV88" s="12"/>
      <c r="ADW88" s="109"/>
      <c r="ADX88" s="12"/>
      <c r="ADY88" s="109"/>
      <c r="ADZ88" s="12"/>
      <c r="AEA88" s="109"/>
      <c r="AEB88" s="12"/>
      <c r="AEC88" s="109"/>
      <c r="AED88" s="12"/>
      <c r="AEE88" s="109"/>
      <c r="AEF88" s="12"/>
      <c r="AEG88" s="109"/>
      <c r="AEH88" s="12"/>
      <c r="AEI88" s="109"/>
      <c r="AEJ88" s="12"/>
      <c r="AEK88" s="109"/>
      <c r="AEL88" s="12"/>
      <c r="AEM88" s="109"/>
      <c r="AEN88" s="12"/>
      <c r="AEO88" s="109"/>
      <c r="AEP88" s="12"/>
      <c r="AEQ88" s="109"/>
      <c r="AER88" s="12"/>
      <c r="AES88" s="109"/>
      <c r="AET88" s="12"/>
      <c r="AEU88" s="109"/>
      <c r="AEV88" s="12"/>
      <c r="AEW88" s="109"/>
      <c r="AEX88" s="12"/>
      <c r="AEY88" s="109"/>
      <c r="AEZ88" s="12"/>
      <c r="AFA88" s="109"/>
      <c r="AFB88" s="12"/>
      <c r="AFC88" s="109"/>
      <c r="AFD88" s="12"/>
      <c r="AFE88" s="109"/>
      <c r="AFF88" s="12"/>
      <c r="AFG88" s="109"/>
      <c r="AFH88" s="12"/>
      <c r="AFI88" s="109"/>
      <c r="AFJ88" s="12"/>
      <c r="AFK88" s="109"/>
      <c r="AFL88" s="12"/>
      <c r="AFM88" s="109"/>
      <c r="AFN88" s="12"/>
      <c r="AFO88" s="109"/>
      <c r="AFP88" s="12"/>
      <c r="AFQ88" s="109"/>
      <c r="AFR88" s="12"/>
      <c r="AFS88" s="109"/>
      <c r="AFT88" s="12"/>
      <c r="AFU88" s="109"/>
      <c r="AFV88" s="12"/>
      <c r="AFW88" s="109"/>
      <c r="AFX88" s="12"/>
      <c r="AFY88" s="109"/>
      <c r="AFZ88" s="12"/>
      <c r="AGA88" s="109"/>
      <c r="AGB88" s="12"/>
      <c r="AGC88" s="109"/>
      <c r="AGD88" s="12"/>
      <c r="AGE88" s="109"/>
      <c r="AGF88" s="12"/>
      <c r="AGG88" s="109"/>
      <c r="AGH88" s="12"/>
      <c r="AGI88" s="109"/>
      <c r="AGJ88" s="12"/>
      <c r="AGK88" s="109"/>
      <c r="AGL88" s="12"/>
      <c r="AGM88" s="109"/>
      <c r="AGN88" s="12"/>
      <c r="AGO88" s="109"/>
      <c r="AGP88" s="12"/>
      <c r="AGQ88" s="109"/>
      <c r="AGR88" s="12"/>
      <c r="AGS88" s="109"/>
      <c r="AGT88" s="12"/>
      <c r="AGU88" s="109"/>
      <c r="AGV88" s="12"/>
      <c r="AGW88" s="109"/>
      <c r="AGX88" s="12"/>
      <c r="AGY88" s="109"/>
      <c r="AGZ88" s="12"/>
      <c r="AHA88" s="109"/>
      <c r="AHB88" s="12"/>
      <c r="AHC88" s="109"/>
      <c r="AHD88" s="12"/>
      <c r="AHE88" s="109"/>
      <c r="AHF88" s="12"/>
      <c r="AHG88" s="109"/>
      <c r="AHH88" s="12"/>
      <c r="AHI88" s="109"/>
      <c r="AHJ88" s="12"/>
      <c r="AHK88" s="109"/>
      <c r="AHL88" s="12"/>
      <c r="AHM88" s="109"/>
      <c r="AHN88" s="12"/>
      <c r="AHO88" s="109"/>
      <c r="AHP88" s="12"/>
      <c r="AHQ88" s="109"/>
      <c r="AHR88" s="12"/>
      <c r="AHS88" s="109"/>
      <c r="AHT88" s="12"/>
      <c r="AHU88" s="109"/>
      <c r="AHV88" s="12"/>
      <c r="AHW88" s="109"/>
      <c r="AHX88" s="12"/>
      <c r="AHY88" s="109"/>
      <c r="AHZ88" s="12"/>
      <c r="AIA88" s="109"/>
      <c r="AIB88" s="12"/>
      <c r="AIC88" s="109"/>
      <c r="AID88" s="12"/>
      <c r="AIE88" s="109"/>
      <c r="AIF88" s="12"/>
      <c r="AIG88" s="109"/>
      <c r="AIH88" s="12"/>
      <c r="AII88" s="109"/>
      <c r="AIJ88" s="12"/>
      <c r="AIK88" s="109"/>
      <c r="AIL88" s="12"/>
      <c r="AIM88" s="109"/>
      <c r="AIN88" s="12"/>
      <c r="AIO88" s="109"/>
      <c r="AIP88" s="12"/>
      <c r="AIQ88" s="109"/>
      <c r="AIR88" s="12"/>
      <c r="AIS88" s="109"/>
      <c r="AIT88" s="12"/>
      <c r="AIU88" s="109"/>
      <c r="AIV88" s="12"/>
      <c r="AIW88" s="109"/>
      <c r="AIX88" s="12"/>
      <c r="AIY88" s="109"/>
      <c r="AIZ88" s="12"/>
      <c r="AJA88" s="109"/>
      <c r="AJB88" s="12"/>
      <c r="AJC88" s="109"/>
      <c r="AJD88" s="12"/>
      <c r="AJE88" s="109"/>
      <c r="AJF88" s="12"/>
      <c r="AJG88" s="109"/>
      <c r="AJH88" s="12"/>
      <c r="AJI88" s="109"/>
      <c r="AJJ88" s="12"/>
      <c r="AJK88" s="109"/>
      <c r="AJL88" s="12"/>
      <c r="AJM88" s="109"/>
      <c r="AJN88" s="12"/>
      <c r="AJO88" s="109"/>
      <c r="AJP88" s="12"/>
      <c r="AJQ88" s="109"/>
      <c r="AJR88" s="12"/>
      <c r="AJS88" s="109"/>
      <c r="AJT88" s="12"/>
      <c r="AJU88" s="109"/>
      <c r="AJV88" s="12"/>
      <c r="AJW88" s="109"/>
      <c r="AJX88" s="12"/>
      <c r="AJY88" s="109"/>
      <c r="AJZ88" s="12"/>
      <c r="AKA88" s="109"/>
      <c r="AKB88" s="12"/>
      <c r="AKC88" s="109"/>
      <c r="AKD88" s="12"/>
      <c r="AKE88" s="109"/>
      <c r="AKF88" s="12"/>
      <c r="AKG88" s="109"/>
      <c r="AKH88" s="12"/>
      <c r="AKI88" s="109"/>
      <c r="AKJ88" s="12"/>
      <c r="AKK88" s="109"/>
      <c r="AKL88" s="12"/>
      <c r="AKM88" s="109"/>
      <c r="AKN88" s="12"/>
      <c r="AKO88" s="109"/>
      <c r="AKP88" s="12"/>
      <c r="AKQ88" s="109"/>
      <c r="AKR88" s="12"/>
      <c r="AKS88" s="109"/>
      <c r="AKT88" s="12"/>
      <c r="AKU88" s="109"/>
      <c r="AKV88" s="12"/>
      <c r="AKW88" s="109"/>
      <c r="AKX88" s="12"/>
      <c r="AKY88" s="109"/>
      <c r="AKZ88" s="12"/>
      <c r="ALA88" s="109"/>
      <c r="ALB88" s="12"/>
      <c r="ALC88" s="109"/>
      <c r="ALD88" s="12"/>
      <c r="ALE88" s="109"/>
      <c r="ALF88" s="12"/>
      <c r="ALG88" s="109"/>
      <c r="ALH88" s="12"/>
      <c r="ALI88" s="109"/>
      <c r="ALJ88" s="12"/>
      <c r="ALK88" s="109"/>
      <c r="ALL88" s="12"/>
      <c r="ALM88" s="109"/>
      <c r="ALN88" s="12"/>
      <c r="ALO88" s="109"/>
      <c r="ALP88" s="12"/>
      <c r="ALQ88" s="109"/>
      <c r="ALR88" s="12"/>
      <c r="ALS88" s="109"/>
      <c r="ALT88" s="12"/>
      <c r="ALU88" s="109"/>
      <c r="ALV88" s="12"/>
      <c r="ALW88" s="109"/>
      <c r="ALX88" s="12"/>
      <c r="ALY88" s="109"/>
      <c r="ALZ88" s="12"/>
      <c r="AMA88" s="109"/>
      <c r="AMB88" s="12"/>
      <c r="AMC88" s="109"/>
      <c r="AMD88" s="12"/>
      <c r="AME88" s="109"/>
      <c r="AMF88" s="12"/>
      <c r="AMG88" s="109"/>
      <c r="AMH88" s="12"/>
      <c r="AMI88" s="109"/>
      <c r="AMJ88" s="12"/>
      <c r="AMK88" s="109"/>
      <c r="AML88" s="12"/>
      <c r="AMM88" s="109"/>
      <c r="AMN88" s="12"/>
      <c r="AMO88" s="109"/>
      <c r="AMP88" s="12"/>
      <c r="AMQ88" s="109"/>
      <c r="AMR88" s="12"/>
      <c r="AMS88" s="109"/>
      <c r="AMT88" s="12"/>
      <c r="AMU88" s="109"/>
      <c r="AMV88" s="12"/>
      <c r="AMW88" s="109"/>
      <c r="AMX88" s="12"/>
      <c r="AMY88" s="109"/>
      <c r="AMZ88" s="12"/>
      <c r="ANA88" s="109"/>
      <c r="ANB88" s="12"/>
      <c r="ANC88" s="109"/>
      <c r="AND88" s="12"/>
      <c r="ANE88" s="109"/>
      <c r="ANF88" s="12"/>
      <c r="ANG88" s="109"/>
      <c r="ANH88" s="12"/>
      <c r="ANI88" s="109"/>
      <c r="ANJ88" s="12"/>
      <c r="ANK88" s="109"/>
      <c r="ANL88" s="12"/>
      <c r="ANM88" s="109"/>
      <c r="ANN88" s="12"/>
      <c r="ANO88" s="109"/>
      <c r="ANP88" s="12"/>
      <c r="ANQ88" s="109"/>
      <c r="ANR88" s="12"/>
      <c r="ANS88" s="109"/>
      <c r="ANT88" s="12"/>
      <c r="ANU88" s="109"/>
      <c r="ANV88" s="12"/>
      <c r="ANW88" s="109"/>
      <c r="ANX88" s="12"/>
      <c r="ANY88" s="109"/>
      <c r="ANZ88" s="12"/>
      <c r="AOA88" s="109"/>
      <c r="AOB88" s="12"/>
      <c r="AOC88" s="109"/>
      <c r="AOD88" s="12"/>
      <c r="AOE88" s="109"/>
      <c r="AOF88" s="12"/>
      <c r="AOG88" s="109"/>
      <c r="AOH88" s="12"/>
      <c r="AOI88" s="109"/>
      <c r="AOJ88" s="12"/>
      <c r="AOK88" s="109"/>
      <c r="AOL88" s="12"/>
      <c r="AOM88" s="109"/>
      <c r="AON88" s="12"/>
      <c r="AOO88" s="109"/>
      <c r="AOP88" s="12"/>
      <c r="AOQ88" s="109"/>
      <c r="AOR88" s="12"/>
      <c r="AOS88" s="109"/>
      <c r="AOT88" s="12"/>
      <c r="AOU88" s="109"/>
      <c r="AOV88" s="12"/>
      <c r="AOW88" s="109"/>
      <c r="AOX88" s="12"/>
      <c r="AOY88" s="109"/>
      <c r="AOZ88" s="12"/>
      <c r="APA88" s="109"/>
      <c r="APB88" s="12"/>
      <c r="APC88" s="109"/>
      <c r="APD88" s="12"/>
      <c r="APE88" s="109"/>
      <c r="APF88" s="12"/>
      <c r="APG88" s="109"/>
      <c r="APH88" s="12"/>
      <c r="API88" s="109"/>
      <c r="APJ88" s="12"/>
      <c r="APK88" s="109"/>
      <c r="APL88" s="12"/>
      <c r="APM88" s="109"/>
      <c r="APN88" s="12"/>
      <c r="APO88" s="109"/>
      <c r="APP88" s="12"/>
      <c r="APQ88" s="109"/>
      <c r="APR88" s="12"/>
      <c r="APS88" s="109"/>
      <c r="APT88" s="12"/>
      <c r="APU88" s="109"/>
      <c r="APV88" s="12"/>
      <c r="APW88" s="109"/>
      <c r="APX88" s="12"/>
      <c r="APY88" s="109"/>
      <c r="APZ88" s="12"/>
      <c r="AQA88" s="109"/>
      <c r="AQB88" s="12"/>
      <c r="AQC88" s="109"/>
      <c r="AQD88" s="12"/>
      <c r="AQE88" s="109"/>
      <c r="AQF88" s="12"/>
      <c r="AQG88" s="109"/>
      <c r="AQH88" s="12"/>
      <c r="AQI88" s="109"/>
      <c r="AQJ88" s="12"/>
      <c r="AQK88" s="109"/>
      <c r="AQL88" s="12"/>
      <c r="AQM88" s="109"/>
      <c r="AQN88" s="12"/>
      <c r="AQO88" s="109"/>
      <c r="AQP88" s="12"/>
      <c r="AQQ88" s="109"/>
      <c r="AQR88" s="12"/>
      <c r="AQS88" s="109"/>
      <c r="AQT88" s="12"/>
      <c r="AQU88" s="109"/>
      <c r="AQV88" s="12"/>
      <c r="AQW88" s="109"/>
      <c r="AQX88" s="12"/>
      <c r="AQY88" s="109"/>
      <c r="AQZ88" s="12"/>
      <c r="ARA88" s="109"/>
      <c r="ARB88" s="12"/>
      <c r="ARC88" s="109"/>
      <c r="ARD88" s="12"/>
      <c r="ARE88" s="109"/>
      <c r="ARF88" s="12"/>
      <c r="ARG88" s="109"/>
      <c r="ARH88" s="12"/>
      <c r="ARI88" s="109"/>
      <c r="ARJ88" s="12"/>
      <c r="ARK88" s="109"/>
      <c r="ARL88" s="12"/>
      <c r="ARM88" s="109"/>
      <c r="ARN88" s="12"/>
      <c r="ARO88" s="109"/>
      <c r="ARP88" s="12"/>
      <c r="ARQ88" s="109"/>
      <c r="ARR88" s="12"/>
      <c r="ARS88" s="109"/>
      <c r="ART88" s="12"/>
      <c r="ARU88" s="109"/>
      <c r="ARV88" s="12"/>
      <c r="ARW88" s="109"/>
      <c r="ARX88" s="12"/>
      <c r="ARY88" s="109"/>
      <c r="ARZ88" s="12"/>
      <c r="ASA88" s="109"/>
      <c r="ASB88" s="12"/>
      <c r="ASC88" s="109"/>
      <c r="ASD88" s="12"/>
      <c r="ASE88" s="109"/>
      <c r="ASF88" s="12"/>
      <c r="ASG88" s="109"/>
      <c r="ASH88" s="12"/>
      <c r="ASI88" s="109"/>
      <c r="ASJ88" s="12"/>
      <c r="ASK88" s="109"/>
      <c r="ASL88" s="12"/>
      <c r="ASM88" s="109"/>
      <c r="ASN88" s="12"/>
      <c r="ASO88" s="109"/>
      <c r="ASP88" s="12"/>
      <c r="ASQ88" s="109"/>
      <c r="ASR88" s="12"/>
      <c r="ASS88" s="109"/>
      <c r="AST88" s="12"/>
      <c r="ASU88" s="109"/>
      <c r="ASV88" s="12"/>
      <c r="ASW88" s="109"/>
      <c r="ASX88" s="12"/>
      <c r="ASY88" s="109"/>
      <c r="ASZ88" s="12"/>
      <c r="ATA88" s="109"/>
      <c r="ATB88" s="12"/>
      <c r="ATC88" s="109"/>
      <c r="ATD88" s="12"/>
      <c r="ATE88" s="109"/>
      <c r="ATF88" s="12"/>
      <c r="ATG88" s="109"/>
      <c r="ATH88" s="12"/>
      <c r="ATI88" s="109"/>
      <c r="ATJ88" s="12"/>
      <c r="ATK88" s="109"/>
      <c r="ATL88" s="12"/>
      <c r="ATM88" s="109"/>
      <c r="ATN88" s="12"/>
      <c r="ATO88" s="109"/>
      <c r="ATP88" s="12"/>
      <c r="ATQ88" s="109"/>
      <c r="ATR88" s="12"/>
      <c r="ATS88" s="109"/>
      <c r="ATT88" s="12"/>
      <c r="ATU88" s="109"/>
      <c r="ATV88" s="12"/>
      <c r="ATW88" s="109"/>
      <c r="ATX88" s="12"/>
      <c r="ATY88" s="109"/>
      <c r="ATZ88" s="12"/>
      <c r="AUA88" s="109"/>
      <c r="AUB88" s="12"/>
      <c r="AUC88" s="109"/>
      <c r="AUD88" s="12"/>
      <c r="AUE88" s="109"/>
      <c r="AUF88" s="12"/>
      <c r="AUG88" s="109"/>
      <c r="AUH88" s="12"/>
      <c r="AUI88" s="109"/>
      <c r="AUJ88" s="12"/>
      <c r="AUK88" s="109"/>
      <c r="AUL88" s="12"/>
      <c r="AUM88" s="109"/>
      <c r="AUN88" s="12"/>
      <c r="AUO88" s="109"/>
      <c r="AUP88" s="12"/>
      <c r="AUQ88" s="109"/>
      <c r="AUR88" s="12"/>
      <c r="AUS88" s="109"/>
      <c r="AUT88" s="12"/>
      <c r="AUU88" s="109"/>
      <c r="AUV88" s="12"/>
      <c r="AUW88" s="109"/>
      <c r="AUX88" s="12"/>
      <c r="AUY88" s="109"/>
      <c r="AUZ88" s="12"/>
      <c r="AVA88" s="109"/>
      <c r="AVB88" s="12"/>
      <c r="AVC88" s="109"/>
      <c r="AVD88" s="12"/>
      <c r="AVE88" s="109"/>
      <c r="AVF88" s="12"/>
      <c r="AVG88" s="109"/>
      <c r="AVH88" s="12"/>
      <c r="AVI88" s="109"/>
      <c r="AVJ88" s="12"/>
      <c r="AVK88" s="109"/>
      <c r="AVL88" s="12"/>
      <c r="AVM88" s="109"/>
      <c r="AVN88" s="12"/>
      <c r="AVO88" s="109"/>
      <c r="AVP88" s="12"/>
      <c r="AVQ88" s="109"/>
      <c r="AVR88" s="12"/>
      <c r="AVS88" s="109"/>
      <c r="AVT88" s="12"/>
      <c r="AVU88" s="109"/>
      <c r="AVV88" s="12"/>
      <c r="AVW88" s="109"/>
      <c r="AVX88" s="12"/>
      <c r="AVY88" s="109"/>
      <c r="AVZ88" s="12"/>
      <c r="AWA88" s="109"/>
      <c r="AWB88" s="12"/>
      <c r="AWC88" s="109"/>
      <c r="AWD88" s="12"/>
      <c r="AWE88" s="109"/>
      <c r="AWF88" s="12"/>
      <c r="AWG88" s="109"/>
      <c r="AWH88" s="12"/>
      <c r="AWI88" s="109"/>
      <c r="AWJ88" s="12"/>
      <c r="AWK88" s="109"/>
      <c r="AWL88" s="12"/>
      <c r="AWM88" s="109"/>
      <c r="AWN88" s="12"/>
      <c r="AWO88" s="109"/>
      <c r="AWP88" s="12"/>
      <c r="AWQ88" s="109"/>
      <c r="AWR88" s="12"/>
      <c r="AWS88" s="109"/>
      <c r="AWT88" s="12"/>
      <c r="AWU88" s="109"/>
      <c r="AWV88" s="12"/>
      <c r="AWW88" s="109"/>
      <c r="AWX88" s="12"/>
      <c r="AWY88" s="109"/>
      <c r="AWZ88" s="12"/>
      <c r="AXA88" s="109"/>
      <c r="AXB88" s="12"/>
      <c r="AXC88" s="109"/>
      <c r="AXD88" s="12"/>
      <c r="AXE88" s="109"/>
      <c r="AXF88" s="12"/>
      <c r="AXG88" s="109"/>
      <c r="AXH88" s="12"/>
      <c r="AXI88" s="109"/>
      <c r="AXJ88" s="12"/>
      <c r="AXK88" s="109"/>
      <c r="AXL88" s="12"/>
      <c r="AXM88" s="109"/>
      <c r="AXN88" s="12"/>
      <c r="AXO88" s="109"/>
      <c r="AXP88" s="12"/>
      <c r="AXQ88" s="109"/>
      <c r="AXR88" s="12"/>
      <c r="AXS88" s="109"/>
      <c r="AXT88" s="12"/>
      <c r="AXU88" s="109"/>
      <c r="AXV88" s="12"/>
      <c r="AXW88" s="109"/>
      <c r="AXX88" s="12"/>
      <c r="AXY88" s="109"/>
      <c r="AXZ88" s="12"/>
      <c r="AYA88" s="109"/>
      <c r="AYB88" s="12"/>
      <c r="AYC88" s="109"/>
      <c r="AYD88" s="12"/>
      <c r="AYE88" s="109"/>
      <c r="AYF88" s="12"/>
      <c r="AYG88" s="109"/>
      <c r="AYH88" s="12"/>
      <c r="AYI88" s="109"/>
      <c r="AYJ88" s="12"/>
      <c r="AYK88" s="109"/>
      <c r="AYL88" s="12"/>
      <c r="AYM88" s="109"/>
      <c r="AYN88" s="12"/>
      <c r="AYO88" s="109"/>
      <c r="AYP88" s="12"/>
      <c r="AYQ88" s="109"/>
      <c r="AYR88" s="12"/>
      <c r="AYS88" s="109"/>
      <c r="AYT88" s="12"/>
      <c r="AYU88" s="109"/>
      <c r="AYV88" s="12"/>
      <c r="AYW88" s="109"/>
      <c r="AYX88" s="12"/>
      <c r="AYY88" s="109"/>
      <c r="AYZ88" s="12"/>
      <c r="AZA88" s="109"/>
      <c r="AZB88" s="12"/>
      <c r="AZC88" s="109"/>
      <c r="AZD88" s="12"/>
      <c r="AZE88" s="109"/>
      <c r="AZF88" s="12"/>
      <c r="AZG88" s="109"/>
      <c r="AZH88" s="12"/>
      <c r="AZI88" s="109"/>
      <c r="AZJ88" s="12"/>
      <c r="AZK88" s="109"/>
      <c r="AZL88" s="12"/>
      <c r="AZM88" s="109"/>
      <c r="AZN88" s="12"/>
      <c r="AZO88" s="109"/>
      <c r="AZP88" s="12"/>
      <c r="AZQ88" s="109"/>
      <c r="AZR88" s="12"/>
      <c r="AZS88" s="109"/>
      <c r="AZT88" s="12"/>
      <c r="AZU88" s="109"/>
      <c r="AZV88" s="12"/>
      <c r="AZW88" s="109"/>
      <c r="AZX88" s="12"/>
      <c r="AZY88" s="109"/>
      <c r="AZZ88" s="12"/>
      <c r="BAA88" s="109"/>
      <c r="BAB88" s="12"/>
      <c r="BAC88" s="109"/>
      <c r="BAD88" s="12"/>
      <c r="BAE88" s="109"/>
      <c r="BAF88" s="12"/>
      <c r="BAG88" s="109"/>
      <c r="BAH88" s="12"/>
      <c r="BAI88" s="109"/>
      <c r="BAJ88" s="12"/>
      <c r="BAK88" s="109"/>
      <c r="BAL88" s="12"/>
      <c r="BAM88" s="109"/>
      <c r="BAN88" s="12"/>
      <c r="BAO88" s="109"/>
      <c r="BAP88" s="12"/>
      <c r="BAQ88" s="109"/>
      <c r="BAR88" s="12"/>
      <c r="BAS88" s="109"/>
      <c r="BAT88" s="12"/>
      <c r="BAU88" s="109"/>
      <c r="BAV88" s="12"/>
      <c r="BAW88" s="109"/>
      <c r="BAX88" s="12"/>
      <c r="BAY88" s="109"/>
      <c r="BAZ88" s="12"/>
      <c r="BBA88" s="109"/>
      <c r="BBB88" s="12"/>
      <c r="BBC88" s="109"/>
      <c r="BBD88" s="12"/>
      <c r="BBE88" s="109"/>
      <c r="BBF88" s="12"/>
      <c r="BBG88" s="109"/>
      <c r="BBH88" s="12"/>
      <c r="BBI88" s="109"/>
      <c r="BBJ88" s="12"/>
      <c r="BBK88" s="109"/>
      <c r="BBL88" s="12"/>
      <c r="BBM88" s="109"/>
      <c r="BBN88" s="12"/>
      <c r="BBO88" s="109"/>
      <c r="BBP88" s="12"/>
      <c r="BBQ88" s="109"/>
      <c r="BBR88" s="12"/>
      <c r="BBS88" s="109"/>
      <c r="BBT88" s="12"/>
      <c r="BBU88" s="109"/>
      <c r="BBV88" s="12"/>
      <c r="BBW88" s="109"/>
      <c r="BBX88" s="12"/>
      <c r="BBY88" s="109"/>
      <c r="BBZ88" s="12"/>
      <c r="BCA88" s="109"/>
      <c r="BCB88" s="12"/>
      <c r="BCC88" s="109"/>
      <c r="BCD88" s="12"/>
      <c r="BCE88" s="109"/>
      <c r="BCF88" s="12"/>
      <c r="BCG88" s="109"/>
      <c r="BCH88" s="12"/>
      <c r="BCI88" s="109"/>
      <c r="BCJ88" s="12"/>
      <c r="BCK88" s="109"/>
      <c r="BCL88" s="12"/>
      <c r="BCM88" s="109"/>
      <c r="BCN88" s="12"/>
      <c r="BCO88" s="109"/>
      <c r="BCP88" s="12"/>
      <c r="BCQ88" s="109"/>
      <c r="BCR88" s="12"/>
      <c r="BCS88" s="109"/>
      <c r="BCT88" s="12"/>
      <c r="BCU88" s="109"/>
      <c r="BCV88" s="12"/>
      <c r="BCW88" s="109"/>
      <c r="BCX88" s="12"/>
      <c r="BCY88" s="109"/>
      <c r="BCZ88" s="12"/>
      <c r="BDA88" s="109"/>
      <c r="BDB88" s="12"/>
      <c r="BDC88" s="109"/>
      <c r="BDD88" s="12"/>
      <c r="BDE88" s="109"/>
      <c r="BDF88" s="12"/>
      <c r="BDG88" s="109"/>
      <c r="BDH88" s="12"/>
      <c r="BDI88" s="109"/>
      <c r="BDJ88" s="12"/>
      <c r="BDK88" s="109"/>
      <c r="BDL88" s="12"/>
      <c r="BDM88" s="109"/>
      <c r="BDN88" s="12"/>
      <c r="BDO88" s="109"/>
      <c r="BDP88" s="12"/>
      <c r="BDQ88" s="109"/>
      <c r="BDR88" s="12"/>
      <c r="BDS88" s="109"/>
      <c r="BDT88" s="12"/>
      <c r="BDU88" s="109"/>
      <c r="BDV88" s="12"/>
      <c r="BDW88" s="109"/>
      <c r="BDX88" s="12"/>
      <c r="BDY88" s="109"/>
      <c r="BDZ88" s="12"/>
      <c r="BEA88" s="109"/>
      <c r="BEB88" s="12"/>
      <c r="BEC88" s="109"/>
      <c r="BED88" s="12"/>
      <c r="BEE88" s="109"/>
      <c r="BEF88" s="12"/>
      <c r="BEG88" s="109"/>
      <c r="BEH88" s="12"/>
      <c r="BEI88" s="109"/>
      <c r="BEJ88" s="12"/>
      <c r="BEK88" s="109"/>
      <c r="BEL88" s="12"/>
      <c r="BEM88" s="109"/>
      <c r="BEN88" s="12"/>
      <c r="BEO88" s="109"/>
      <c r="BEP88" s="12"/>
      <c r="BEQ88" s="109"/>
      <c r="BER88" s="12"/>
      <c r="BES88" s="109"/>
      <c r="BET88" s="12"/>
      <c r="BEU88" s="109"/>
      <c r="BEV88" s="12"/>
      <c r="BEW88" s="109"/>
      <c r="BEX88" s="12"/>
      <c r="BEY88" s="109"/>
      <c r="BEZ88" s="12"/>
      <c r="BFA88" s="109"/>
      <c r="BFB88" s="12"/>
      <c r="BFC88" s="109"/>
      <c r="BFD88" s="12"/>
      <c r="BFE88" s="109"/>
      <c r="BFF88" s="12"/>
      <c r="BFG88" s="109"/>
      <c r="BFH88" s="12"/>
      <c r="BFI88" s="109"/>
      <c r="BFJ88" s="12"/>
      <c r="BFK88" s="109"/>
      <c r="BFL88" s="12"/>
      <c r="BFM88" s="109"/>
      <c r="BFN88" s="12"/>
      <c r="BFO88" s="109"/>
      <c r="BFP88" s="12"/>
      <c r="BFQ88" s="109"/>
      <c r="BFR88" s="12"/>
      <c r="BFS88" s="109"/>
      <c r="BFT88" s="12"/>
      <c r="BFU88" s="109"/>
      <c r="BFV88" s="12"/>
      <c r="BFW88" s="109"/>
      <c r="BFX88" s="12"/>
      <c r="BFY88" s="109"/>
      <c r="BFZ88" s="12"/>
      <c r="BGA88" s="109"/>
      <c r="BGB88" s="12"/>
      <c r="BGC88" s="109"/>
      <c r="BGD88" s="12"/>
      <c r="BGE88" s="109"/>
      <c r="BGF88" s="12"/>
      <c r="BGG88" s="109"/>
      <c r="BGH88" s="12"/>
      <c r="BGI88" s="109"/>
      <c r="BGJ88" s="12"/>
      <c r="BGK88" s="109"/>
      <c r="BGL88" s="12"/>
      <c r="BGM88" s="109"/>
      <c r="BGN88" s="12"/>
      <c r="BGO88" s="109"/>
      <c r="BGP88" s="12"/>
      <c r="BGQ88" s="109"/>
      <c r="BGR88" s="12"/>
      <c r="BGS88" s="109"/>
      <c r="BGT88" s="12"/>
      <c r="BGU88" s="109"/>
      <c r="BGV88" s="12"/>
      <c r="BGW88" s="109"/>
      <c r="BGX88" s="12"/>
      <c r="BGY88" s="109"/>
      <c r="BGZ88" s="12"/>
      <c r="BHA88" s="109"/>
      <c r="BHB88" s="12"/>
      <c r="BHC88" s="109"/>
      <c r="BHD88" s="12"/>
      <c r="BHE88" s="109"/>
      <c r="BHF88" s="12"/>
      <c r="BHG88" s="109"/>
      <c r="BHH88" s="12"/>
      <c r="BHI88" s="109"/>
      <c r="BHJ88" s="12"/>
      <c r="BHK88" s="109"/>
      <c r="BHL88" s="12"/>
      <c r="BHM88" s="109"/>
      <c r="BHN88" s="12"/>
      <c r="BHO88" s="109"/>
      <c r="BHP88" s="12"/>
      <c r="BHQ88" s="109"/>
      <c r="BHR88" s="12"/>
      <c r="BHS88" s="109"/>
      <c r="BHT88" s="12"/>
      <c r="BHU88" s="109"/>
      <c r="BHV88" s="12"/>
      <c r="BHW88" s="109"/>
      <c r="BHX88" s="12"/>
      <c r="BHY88" s="109"/>
      <c r="BHZ88" s="12"/>
      <c r="BIA88" s="109"/>
      <c r="BIB88" s="12"/>
      <c r="BIC88" s="109"/>
      <c r="BID88" s="12"/>
      <c r="BIE88" s="109"/>
      <c r="BIF88" s="12"/>
      <c r="BIG88" s="109"/>
      <c r="BIH88" s="12"/>
      <c r="BII88" s="109"/>
      <c r="BIJ88" s="12"/>
      <c r="BIK88" s="109"/>
      <c r="BIL88" s="12"/>
      <c r="BIM88" s="109"/>
      <c r="BIN88" s="12"/>
      <c r="BIO88" s="109"/>
      <c r="BIP88" s="12"/>
      <c r="BIQ88" s="109"/>
      <c r="BIR88" s="12"/>
      <c r="BIS88" s="109"/>
      <c r="BIT88" s="12"/>
      <c r="BIU88" s="109"/>
      <c r="BIV88" s="12"/>
      <c r="BIW88" s="109"/>
      <c r="BIX88" s="12"/>
      <c r="BIY88" s="109"/>
      <c r="BIZ88" s="12"/>
      <c r="BJA88" s="109"/>
      <c r="BJB88" s="12"/>
      <c r="BJC88" s="109"/>
      <c r="BJD88" s="12"/>
      <c r="BJE88" s="109"/>
      <c r="BJF88" s="12"/>
      <c r="BJG88" s="109"/>
      <c r="BJH88" s="12"/>
      <c r="BJI88" s="109"/>
      <c r="BJJ88" s="12"/>
      <c r="BJK88" s="109"/>
      <c r="BJL88" s="12"/>
      <c r="BJM88" s="109"/>
      <c r="BJN88" s="12"/>
      <c r="BJO88" s="109"/>
      <c r="BJP88" s="12"/>
      <c r="BJQ88" s="109"/>
      <c r="BJR88" s="12"/>
      <c r="BJS88" s="109"/>
      <c r="BJT88" s="12"/>
      <c r="BJU88" s="109"/>
      <c r="BJV88" s="12"/>
      <c r="BJW88" s="109"/>
      <c r="BJX88" s="12"/>
      <c r="BJY88" s="109"/>
      <c r="BJZ88" s="12"/>
      <c r="BKA88" s="109"/>
      <c r="BKB88" s="12"/>
      <c r="BKC88" s="109"/>
      <c r="BKD88" s="12"/>
      <c r="BKE88" s="109"/>
      <c r="BKF88" s="12"/>
      <c r="BKG88" s="109"/>
      <c r="BKH88" s="12"/>
      <c r="BKI88" s="109"/>
      <c r="BKJ88" s="12"/>
      <c r="BKK88" s="109"/>
      <c r="BKL88" s="12"/>
      <c r="BKM88" s="109"/>
      <c r="BKN88" s="12"/>
      <c r="BKO88" s="109"/>
      <c r="BKP88" s="12"/>
      <c r="BKQ88" s="109"/>
      <c r="BKR88" s="12"/>
      <c r="BKS88" s="109"/>
      <c r="BKT88" s="12"/>
      <c r="BKU88" s="109"/>
      <c r="BKV88" s="12"/>
      <c r="BKW88" s="109"/>
      <c r="BKX88" s="12"/>
      <c r="BKY88" s="109"/>
      <c r="BKZ88" s="12"/>
      <c r="BLA88" s="109"/>
      <c r="BLB88" s="12"/>
      <c r="BLC88" s="109"/>
      <c r="BLD88" s="12"/>
      <c r="BLE88" s="109"/>
      <c r="BLF88" s="12"/>
      <c r="BLG88" s="109"/>
      <c r="BLH88" s="12"/>
      <c r="BLI88" s="109"/>
      <c r="BLJ88" s="12"/>
      <c r="BLK88" s="109"/>
      <c r="BLL88" s="12"/>
      <c r="BLM88" s="109"/>
      <c r="BLN88" s="12"/>
      <c r="BLO88" s="109"/>
      <c r="BLP88" s="12"/>
      <c r="BLQ88" s="109"/>
      <c r="BLR88" s="12"/>
      <c r="BLS88" s="109"/>
      <c r="BLT88" s="12"/>
      <c r="BLU88" s="109"/>
      <c r="BLV88" s="12"/>
      <c r="BLW88" s="109"/>
      <c r="BLX88" s="12"/>
      <c r="BLY88" s="109"/>
      <c r="BLZ88" s="12"/>
      <c r="BMA88" s="109"/>
      <c r="BMB88" s="12"/>
      <c r="BMC88" s="109"/>
      <c r="BMD88" s="12"/>
      <c r="BME88" s="109"/>
      <c r="BMF88" s="12"/>
      <c r="BMG88" s="109"/>
      <c r="BMH88" s="12"/>
      <c r="BMI88" s="109"/>
      <c r="BMJ88" s="12"/>
      <c r="BMK88" s="109"/>
      <c r="BML88" s="12"/>
      <c r="BMM88" s="109"/>
      <c r="BMN88" s="12"/>
      <c r="BMO88" s="109"/>
      <c r="BMP88" s="12"/>
      <c r="BMQ88" s="109"/>
      <c r="BMR88" s="12"/>
      <c r="BMS88" s="109"/>
      <c r="BMT88" s="12"/>
      <c r="BMU88" s="109"/>
      <c r="BMV88" s="12"/>
      <c r="BMW88" s="109"/>
      <c r="BMX88" s="12"/>
      <c r="BMY88" s="109"/>
      <c r="BMZ88" s="12"/>
      <c r="BNA88" s="109"/>
      <c r="BNB88" s="12"/>
      <c r="BNC88" s="109"/>
      <c r="BND88" s="12"/>
      <c r="BNE88" s="109"/>
      <c r="BNF88" s="12"/>
      <c r="BNG88" s="109"/>
      <c r="BNH88" s="12"/>
      <c r="BNI88" s="109"/>
      <c r="BNJ88" s="12"/>
      <c r="BNK88" s="109"/>
      <c r="BNL88" s="12"/>
      <c r="BNM88" s="109"/>
      <c r="BNN88" s="12"/>
      <c r="BNO88" s="109"/>
      <c r="BNP88" s="12"/>
      <c r="BNQ88" s="109"/>
      <c r="BNR88" s="12"/>
      <c r="BNS88" s="109"/>
      <c r="BNT88" s="12"/>
      <c r="BNU88" s="109"/>
      <c r="BNV88" s="12"/>
      <c r="BNW88" s="109"/>
      <c r="BNX88" s="12"/>
      <c r="BNY88" s="109"/>
      <c r="BNZ88" s="12"/>
      <c r="BOA88" s="109"/>
      <c r="BOB88" s="12"/>
      <c r="BOC88" s="109"/>
      <c r="BOD88" s="12"/>
      <c r="BOE88" s="109"/>
      <c r="BOF88" s="12"/>
      <c r="BOG88" s="109"/>
      <c r="BOH88" s="12"/>
      <c r="BOI88" s="109"/>
      <c r="BOJ88" s="12"/>
      <c r="BOK88" s="109"/>
      <c r="BOL88" s="12"/>
      <c r="BOM88" s="109"/>
      <c r="BON88" s="12"/>
      <c r="BOO88" s="109"/>
      <c r="BOP88" s="12"/>
      <c r="BOQ88" s="109"/>
      <c r="BOR88" s="12"/>
      <c r="BOS88" s="109"/>
      <c r="BOT88" s="12"/>
      <c r="BOU88" s="109"/>
      <c r="BOV88" s="12"/>
      <c r="BOW88" s="109"/>
      <c r="BOX88" s="12"/>
      <c r="BOY88" s="109"/>
      <c r="BOZ88" s="12"/>
      <c r="BPA88" s="109"/>
      <c r="BPB88" s="12"/>
      <c r="BPC88" s="109"/>
      <c r="BPD88" s="12"/>
      <c r="BPE88" s="109"/>
      <c r="BPF88" s="12"/>
      <c r="BPG88" s="109"/>
      <c r="BPH88" s="12"/>
      <c r="BPI88" s="109"/>
      <c r="BPJ88" s="12"/>
      <c r="BPK88" s="109"/>
      <c r="BPL88" s="12"/>
      <c r="BPM88" s="109"/>
      <c r="BPN88" s="12"/>
      <c r="BPO88" s="109"/>
      <c r="BPP88" s="12"/>
      <c r="BPQ88" s="109"/>
      <c r="BPR88" s="12"/>
      <c r="BPS88" s="109"/>
      <c r="BPT88" s="12"/>
      <c r="BPU88" s="109"/>
      <c r="BPV88" s="12"/>
      <c r="BPW88" s="109"/>
      <c r="BPX88" s="12"/>
      <c r="BPY88" s="109"/>
      <c r="BPZ88" s="12"/>
      <c r="BQA88" s="109"/>
      <c r="BQB88" s="12"/>
      <c r="BQC88" s="109"/>
      <c r="BQD88" s="12"/>
      <c r="BQE88" s="109"/>
      <c r="BQF88" s="12"/>
      <c r="BQG88" s="109"/>
      <c r="BQH88" s="12"/>
      <c r="BQI88" s="109"/>
      <c r="BQJ88" s="12"/>
      <c r="BQK88" s="109"/>
      <c r="BQL88" s="12"/>
      <c r="BQM88" s="109"/>
      <c r="BQN88" s="12"/>
      <c r="BQO88" s="109"/>
      <c r="BQP88" s="12"/>
      <c r="BQQ88" s="109"/>
      <c r="BQR88" s="12"/>
      <c r="BQS88" s="109"/>
      <c r="BQT88" s="12"/>
      <c r="BQU88" s="109"/>
      <c r="BQV88" s="12"/>
      <c r="BQW88" s="109"/>
      <c r="BQX88" s="12"/>
      <c r="BQY88" s="109"/>
      <c r="BQZ88" s="12"/>
      <c r="BRA88" s="109"/>
      <c r="BRB88" s="12"/>
      <c r="BRC88" s="109"/>
      <c r="BRD88" s="12"/>
      <c r="BRE88" s="109"/>
      <c r="BRF88" s="12"/>
      <c r="BRG88" s="109"/>
      <c r="BRH88" s="12"/>
      <c r="BRI88" s="109"/>
      <c r="BRJ88" s="12"/>
      <c r="BRK88" s="109"/>
      <c r="BRL88" s="12"/>
      <c r="BRM88" s="109"/>
      <c r="BRN88" s="12"/>
      <c r="BRO88" s="109"/>
      <c r="BRP88" s="12"/>
      <c r="BRQ88" s="109"/>
      <c r="BRR88" s="12"/>
      <c r="BRS88" s="109"/>
      <c r="BRT88" s="12"/>
      <c r="BRU88" s="109"/>
      <c r="BRV88" s="12"/>
      <c r="BRW88" s="109"/>
      <c r="BRX88" s="12"/>
      <c r="BRY88" s="109"/>
      <c r="BRZ88" s="12"/>
      <c r="BSA88" s="109"/>
      <c r="BSB88" s="12"/>
      <c r="BSC88" s="109"/>
      <c r="BSD88" s="12"/>
      <c r="BSE88" s="109"/>
      <c r="BSF88" s="12"/>
      <c r="BSG88" s="109"/>
      <c r="BSH88" s="12"/>
      <c r="BSI88" s="109"/>
      <c r="BSJ88" s="12"/>
      <c r="BSK88" s="109"/>
      <c r="BSL88" s="12"/>
      <c r="BSM88" s="109"/>
      <c r="BSN88" s="12"/>
      <c r="BSO88" s="109"/>
      <c r="BSP88" s="12"/>
      <c r="BSQ88" s="109"/>
      <c r="BSR88" s="12"/>
      <c r="BSS88" s="109"/>
      <c r="BST88" s="12"/>
      <c r="BSU88" s="109"/>
      <c r="BSV88" s="12"/>
      <c r="BSW88" s="109"/>
      <c r="BSX88" s="12"/>
      <c r="BSY88" s="109"/>
      <c r="BSZ88" s="12"/>
      <c r="BTA88" s="109"/>
      <c r="BTB88" s="12"/>
      <c r="BTC88" s="109"/>
      <c r="BTD88" s="12"/>
      <c r="BTE88" s="109"/>
      <c r="BTF88" s="12"/>
      <c r="BTG88" s="109"/>
      <c r="BTH88" s="12"/>
      <c r="BTI88" s="109"/>
      <c r="BTJ88" s="12"/>
      <c r="BTK88" s="109"/>
      <c r="BTL88" s="12"/>
      <c r="BTM88" s="109"/>
      <c r="BTN88" s="12"/>
      <c r="BTO88" s="109"/>
      <c r="BTP88" s="12"/>
      <c r="BTQ88" s="109"/>
      <c r="BTR88" s="12"/>
      <c r="BTS88" s="109"/>
      <c r="BTT88" s="12"/>
      <c r="BTU88" s="109"/>
      <c r="BTV88" s="12"/>
      <c r="BTW88" s="109"/>
      <c r="BTX88" s="12"/>
      <c r="BTY88" s="109"/>
      <c r="BTZ88" s="12"/>
      <c r="BUA88" s="109"/>
      <c r="BUB88" s="12"/>
      <c r="BUC88" s="109"/>
      <c r="BUD88" s="12"/>
      <c r="BUE88" s="109"/>
      <c r="BUF88" s="12"/>
      <c r="BUG88" s="109"/>
      <c r="BUH88" s="12"/>
      <c r="BUI88" s="109"/>
      <c r="BUJ88" s="12"/>
      <c r="BUK88" s="109"/>
      <c r="BUL88" s="12"/>
      <c r="BUM88" s="109"/>
      <c r="BUN88" s="12"/>
      <c r="BUO88" s="109"/>
      <c r="BUP88" s="12"/>
      <c r="BUQ88" s="109"/>
      <c r="BUR88" s="12"/>
      <c r="BUS88" s="109"/>
      <c r="BUT88" s="12"/>
      <c r="BUU88" s="109"/>
      <c r="BUV88" s="12"/>
      <c r="BUW88" s="109"/>
      <c r="BUX88" s="12"/>
      <c r="BUY88" s="109"/>
      <c r="BUZ88" s="12"/>
      <c r="BVA88" s="109"/>
      <c r="BVB88" s="12"/>
      <c r="BVC88" s="109"/>
      <c r="BVD88" s="12"/>
      <c r="BVE88" s="109"/>
      <c r="BVF88" s="12"/>
      <c r="BVG88" s="109"/>
      <c r="BVH88" s="12"/>
      <c r="BVI88" s="109"/>
      <c r="BVJ88" s="12"/>
      <c r="BVK88" s="109"/>
      <c r="BVL88" s="12"/>
      <c r="BVM88" s="109"/>
      <c r="BVN88" s="12"/>
      <c r="BVO88" s="109"/>
      <c r="BVP88" s="12"/>
      <c r="BVQ88" s="109"/>
      <c r="BVR88" s="12"/>
      <c r="BVS88" s="109"/>
      <c r="BVT88" s="12"/>
      <c r="BVU88" s="109"/>
      <c r="BVV88" s="12"/>
      <c r="BVW88" s="109"/>
      <c r="BVX88" s="12"/>
      <c r="BVY88" s="109"/>
      <c r="BVZ88" s="12"/>
      <c r="BWA88" s="109"/>
      <c r="BWB88" s="12"/>
      <c r="BWC88" s="109"/>
      <c r="BWD88" s="12"/>
      <c r="BWE88" s="109"/>
      <c r="BWF88" s="12"/>
      <c r="BWG88" s="109"/>
      <c r="BWH88" s="12"/>
      <c r="BWI88" s="109"/>
      <c r="BWJ88" s="12"/>
      <c r="BWK88" s="109"/>
      <c r="BWL88" s="12"/>
      <c r="BWM88" s="109"/>
      <c r="BWN88" s="12"/>
      <c r="BWO88" s="109"/>
      <c r="BWP88" s="12"/>
      <c r="BWQ88" s="109"/>
      <c r="BWR88" s="12"/>
      <c r="BWS88" s="109"/>
      <c r="BWT88" s="12"/>
      <c r="BWU88" s="109"/>
      <c r="BWV88" s="12"/>
      <c r="BWW88" s="109"/>
      <c r="BWX88" s="12"/>
      <c r="BWY88" s="109"/>
      <c r="BWZ88" s="12"/>
      <c r="BXA88" s="109"/>
      <c r="BXB88" s="12"/>
      <c r="BXC88" s="109"/>
      <c r="BXD88" s="12"/>
      <c r="BXE88" s="109"/>
      <c r="BXF88" s="12"/>
      <c r="BXG88" s="109"/>
      <c r="BXH88" s="12"/>
      <c r="BXI88" s="109"/>
      <c r="BXJ88" s="12"/>
      <c r="BXK88" s="109"/>
      <c r="BXL88" s="12"/>
      <c r="BXM88" s="109"/>
      <c r="BXN88" s="12"/>
      <c r="BXO88" s="109"/>
      <c r="BXP88" s="12"/>
      <c r="BXQ88" s="109"/>
      <c r="BXR88" s="12"/>
      <c r="BXS88" s="109"/>
      <c r="BXT88" s="12"/>
      <c r="BXU88" s="109"/>
      <c r="BXV88" s="12"/>
      <c r="BXW88" s="109"/>
      <c r="BXX88" s="12"/>
      <c r="BXY88" s="109"/>
      <c r="BXZ88" s="12"/>
      <c r="BYA88" s="109"/>
      <c r="BYB88" s="12"/>
      <c r="BYC88" s="109"/>
      <c r="BYD88" s="12"/>
      <c r="BYE88" s="109"/>
      <c r="BYF88" s="12"/>
      <c r="BYG88" s="109"/>
      <c r="BYH88" s="12"/>
      <c r="BYI88" s="109"/>
      <c r="BYJ88" s="12"/>
      <c r="BYK88" s="109"/>
      <c r="BYL88" s="12"/>
      <c r="BYM88" s="109"/>
      <c r="BYN88" s="12"/>
      <c r="BYO88" s="109"/>
      <c r="BYP88" s="12"/>
      <c r="BYQ88" s="109"/>
      <c r="BYR88" s="12"/>
      <c r="BYS88" s="109"/>
      <c r="BYT88" s="12"/>
      <c r="BYU88" s="109"/>
      <c r="BYV88" s="12"/>
      <c r="BYW88" s="109"/>
      <c r="BYX88" s="12"/>
      <c r="BYY88" s="109"/>
      <c r="BYZ88" s="12"/>
      <c r="BZA88" s="109"/>
      <c r="BZB88" s="12"/>
      <c r="BZC88" s="109"/>
      <c r="BZD88" s="12"/>
      <c r="BZE88" s="109"/>
      <c r="BZF88" s="12"/>
      <c r="BZG88" s="109"/>
      <c r="BZH88" s="12"/>
      <c r="BZI88" s="109"/>
      <c r="BZJ88" s="12"/>
      <c r="BZK88" s="109"/>
      <c r="BZL88" s="12"/>
      <c r="BZM88" s="109"/>
      <c r="BZN88" s="12"/>
      <c r="BZO88" s="109"/>
      <c r="BZP88" s="12"/>
      <c r="BZQ88" s="109"/>
      <c r="BZR88" s="12"/>
      <c r="BZS88" s="109"/>
      <c r="BZT88" s="12"/>
      <c r="BZU88" s="109"/>
      <c r="BZV88" s="12"/>
      <c r="BZW88" s="109"/>
      <c r="BZX88" s="12"/>
      <c r="BZY88" s="109"/>
      <c r="BZZ88" s="12"/>
      <c r="CAA88" s="109"/>
      <c r="CAB88" s="12"/>
      <c r="CAC88" s="109"/>
      <c r="CAD88" s="12"/>
      <c r="CAE88" s="109"/>
      <c r="CAF88" s="12"/>
      <c r="CAG88" s="109"/>
      <c r="CAH88" s="12"/>
      <c r="CAI88" s="109"/>
      <c r="CAJ88" s="12"/>
      <c r="CAK88" s="109"/>
      <c r="CAL88" s="12"/>
      <c r="CAM88" s="109"/>
      <c r="CAN88" s="12"/>
      <c r="CAO88" s="109"/>
      <c r="CAP88" s="12"/>
      <c r="CAQ88" s="109"/>
      <c r="CAR88" s="12"/>
      <c r="CAS88" s="109"/>
      <c r="CAT88" s="12"/>
      <c r="CAU88" s="109"/>
      <c r="CAV88" s="12"/>
      <c r="CAW88" s="109"/>
      <c r="CAX88" s="12"/>
      <c r="CAY88" s="109"/>
      <c r="CAZ88" s="12"/>
      <c r="CBA88" s="109"/>
      <c r="CBB88" s="12"/>
      <c r="CBC88" s="109"/>
      <c r="CBD88" s="12"/>
      <c r="CBE88" s="109"/>
      <c r="CBF88" s="12"/>
      <c r="CBG88" s="109"/>
      <c r="CBH88" s="12"/>
      <c r="CBI88" s="109"/>
      <c r="CBJ88" s="12"/>
      <c r="CBK88" s="109"/>
      <c r="CBL88" s="12"/>
      <c r="CBM88" s="109"/>
      <c r="CBN88" s="12"/>
      <c r="CBO88" s="109"/>
      <c r="CBP88" s="12"/>
      <c r="CBQ88" s="109"/>
      <c r="CBR88" s="12"/>
      <c r="CBS88" s="109"/>
      <c r="CBT88" s="12"/>
      <c r="CBU88" s="109"/>
      <c r="CBV88" s="12"/>
      <c r="CBW88" s="109"/>
      <c r="CBX88" s="12"/>
      <c r="CBY88" s="109"/>
      <c r="CBZ88" s="12"/>
      <c r="CCA88" s="109"/>
      <c r="CCB88" s="12"/>
      <c r="CCC88" s="109"/>
      <c r="CCD88" s="12"/>
      <c r="CCE88" s="109"/>
      <c r="CCF88" s="12"/>
      <c r="CCG88" s="109"/>
      <c r="CCH88" s="12"/>
      <c r="CCI88" s="109"/>
      <c r="CCJ88" s="12"/>
      <c r="CCK88" s="109"/>
      <c r="CCL88" s="12"/>
      <c r="CCM88" s="109"/>
      <c r="CCN88" s="12"/>
      <c r="CCO88" s="109"/>
      <c r="CCP88" s="12"/>
      <c r="CCQ88" s="109"/>
      <c r="CCR88" s="12"/>
      <c r="CCS88" s="109"/>
      <c r="CCT88" s="12"/>
      <c r="CCU88" s="109"/>
      <c r="CCV88" s="12"/>
      <c r="CCW88" s="109"/>
      <c r="CCX88" s="12"/>
      <c r="CCY88" s="109"/>
      <c r="CCZ88" s="12"/>
      <c r="CDA88" s="109"/>
      <c r="CDB88" s="12"/>
      <c r="CDC88" s="109"/>
      <c r="CDD88" s="12"/>
      <c r="CDE88" s="109"/>
      <c r="CDF88" s="12"/>
      <c r="CDG88" s="109"/>
      <c r="CDH88" s="12"/>
      <c r="CDI88" s="109"/>
      <c r="CDJ88" s="12"/>
      <c r="CDK88" s="109"/>
      <c r="CDL88" s="12"/>
      <c r="CDM88" s="109"/>
      <c r="CDN88" s="12"/>
      <c r="CDO88" s="109"/>
      <c r="CDP88" s="12"/>
      <c r="CDQ88" s="109"/>
      <c r="CDR88" s="12"/>
      <c r="CDS88" s="109"/>
      <c r="CDT88" s="12"/>
      <c r="CDU88" s="109"/>
      <c r="CDV88" s="12"/>
      <c r="CDW88" s="109"/>
      <c r="CDX88" s="12"/>
      <c r="CDY88" s="109"/>
      <c r="CDZ88" s="12"/>
      <c r="CEA88" s="109"/>
      <c r="CEB88" s="12"/>
      <c r="CEC88" s="109"/>
      <c r="CED88" s="12"/>
      <c r="CEE88" s="109"/>
      <c r="CEF88" s="12"/>
      <c r="CEG88" s="109"/>
      <c r="CEH88" s="12"/>
      <c r="CEI88" s="109"/>
      <c r="CEJ88" s="12"/>
      <c r="CEK88" s="109"/>
      <c r="CEL88" s="12"/>
      <c r="CEM88" s="109"/>
      <c r="CEN88" s="12"/>
      <c r="CEO88" s="109"/>
      <c r="CEP88" s="12"/>
      <c r="CEQ88" s="109"/>
      <c r="CER88" s="12"/>
      <c r="CES88" s="109"/>
      <c r="CET88" s="12"/>
      <c r="CEU88" s="109"/>
      <c r="CEV88" s="12"/>
      <c r="CEW88" s="109"/>
      <c r="CEX88" s="12"/>
      <c r="CEY88" s="109"/>
      <c r="CEZ88" s="12"/>
      <c r="CFA88" s="109"/>
      <c r="CFB88" s="12"/>
      <c r="CFC88" s="109"/>
      <c r="CFD88" s="12"/>
      <c r="CFE88" s="109"/>
      <c r="CFF88" s="12"/>
      <c r="CFG88" s="109"/>
      <c r="CFH88" s="12"/>
      <c r="CFI88" s="109"/>
      <c r="CFJ88" s="12"/>
      <c r="CFK88" s="109"/>
      <c r="CFL88" s="12"/>
      <c r="CFM88" s="109"/>
      <c r="CFN88" s="12"/>
      <c r="CFO88" s="109"/>
      <c r="CFP88" s="12"/>
      <c r="CFQ88" s="109"/>
      <c r="CFR88" s="12"/>
      <c r="CFS88" s="109"/>
      <c r="CFT88" s="12"/>
      <c r="CFU88" s="109"/>
      <c r="CFV88" s="12"/>
      <c r="CFW88" s="109"/>
      <c r="CFX88" s="12"/>
      <c r="CFY88" s="109"/>
      <c r="CFZ88" s="12"/>
      <c r="CGA88" s="109"/>
      <c r="CGB88" s="12"/>
      <c r="CGC88" s="109"/>
      <c r="CGD88" s="12"/>
      <c r="CGE88" s="109"/>
      <c r="CGF88" s="12"/>
      <c r="CGG88" s="109"/>
      <c r="CGH88" s="12"/>
      <c r="CGI88" s="109"/>
      <c r="CGJ88" s="12"/>
      <c r="CGK88" s="109"/>
      <c r="CGL88" s="12"/>
      <c r="CGM88" s="109"/>
      <c r="CGN88" s="12"/>
      <c r="CGO88" s="109"/>
      <c r="CGP88" s="12"/>
      <c r="CGQ88" s="109"/>
      <c r="CGR88" s="12"/>
      <c r="CGS88" s="109"/>
      <c r="CGT88" s="12"/>
      <c r="CGU88" s="109"/>
      <c r="CGV88" s="12"/>
      <c r="CGW88" s="109"/>
      <c r="CGX88" s="12"/>
      <c r="CGY88" s="109"/>
      <c r="CGZ88" s="12"/>
      <c r="CHA88" s="109"/>
      <c r="CHB88" s="12"/>
      <c r="CHC88" s="109"/>
      <c r="CHD88" s="12"/>
      <c r="CHE88" s="109"/>
      <c r="CHF88" s="12"/>
      <c r="CHG88" s="109"/>
      <c r="CHH88" s="12"/>
      <c r="CHI88" s="109"/>
      <c r="CHJ88" s="12"/>
      <c r="CHK88" s="109"/>
      <c r="CHL88" s="12"/>
      <c r="CHM88" s="109"/>
      <c r="CHN88" s="12"/>
      <c r="CHO88" s="109"/>
      <c r="CHP88" s="12"/>
      <c r="CHQ88" s="109"/>
      <c r="CHR88" s="12"/>
      <c r="CHS88" s="109"/>
      <c r="CHT88" s="12"/>
      <c r="CHU88" s="109"/>
      <c r="CHV88" s="12"/>
      <c r="CHW88" s="109"/>
      <c r="CHX88" s="12"/>
      <c r="CHY88" s="109"/>
      <c r="CHZ88" s="12"/>
      <c r="CIA88" s="109"/>
      <c r="CIB88" s="12"/>
      <c r="CIC88" s="109"/>
      <c r="CID88" s="12"/>
      <c r="CIE88" s="109"/>
      <c r="CIF88" s="12"/>
      <c r="CIG88" s="109"/>
      <c r="CIH88" s="12"/>
      <c r="CII88" s="109"/>
      <c r="CIJ88" s="12"/>
      <c r="CIK88" s="109"/>
      <c r="CIL88" s="12"/>
      <c r="CIM88" s="109"/>
      <c r="CIN88" s="12"/>
      <c r="CIO88" s="109"/>
      <c r="CIP88" s="12"/>
      <c r="CIQ88" s="109"/>
      <c r="CIR88" s="12"/>
      <c r="CIS88" s="109"/>
      <c r="CIT88" s="12"/>
      <c r="CIU88" s="109"/>
      <c r="CIV88" s="12"/>
      <c r="CIW88" s="109"/>
      <c r="CIX88" s="12"/>
      <c r="CIY88" s="109"/>
      <c r="CIZ88" s="12"/>
      <c r="CJA88" s="109"/>
      <c r="CJB88" s="12"/>
      <c r="CJC88" s="109"/>
      <c r="CJD88" s="12"/>
      <c r="CJE88" s="109"/>
      <c r="CJF88" s="12"/>
      <c r="CJG88" s="109"/>
      <c r="CJH88" s="12"/>
      <c r="CJI88" s="109"/>
      <c r="CJJ88" s="12"/>
      <c r="CJK88" s="109"/>
      <c r="CJL88" s="12"/>
      <c r="CJM88" s="109"/>
      <c r="CJN88" s="12"/>
      <c r="CJO88" s="109"/>
      <c r="CJP88" s="12"/>
      <c r="CJQ88" s="109"/>
      <c r="CJR88" s="12"/>
      <c r="CJS88" s="109"/>
      <c r="CJT88" s="12"/>
      <c r="CJU88" s="109"/>
      <c r="CJV88" s="12"/>
      <c r="CJW88" s="109"/>
      <c r="CJX88" s="12"/>
      <c r="CJY88" s="109"/>
      <c r="CJZ88" s="12"/>
      <c r="CKA88" s="109"/>
      <c r="CKB88" s="12"/>
      <c r="CKC88" s="109"/>
      <c r="CKD88" s="12"/>
      <c r="CKE88" s="109"/>
      <c r="CKF88" s="12"/>
      <c r="CKG88" s="109"/>
      <c r="CKH88" s="12"/>
      <c r="CKI88" s="109"/>
      <c r="CKJ88" s="12"/>
      <c r="CKK88" s="109"/>
      <c r="CKL88" s="12"/>
      <c r="CKM88" s="109"/>
      <c r="CKN88" s="12"/>
      <c r="CKO88" s="109"/>
      <c r="CKP88" s="12"/>
      <c r="CKQ88" s="109"/>
      <c r="CKR88" s="12"/>
      <c r="CKS88" s="109"/>
      <c r="CKT88" s="12"/>
      <c r="CKU88" s="109"/>
      <c r="CKV88" s="12"/>
      <c r="CKW88" s="109"/>
      <c r="CKX88" s="12"/>
      <c r="CKY88" s="109"/>
      <c r="CKZ88" s="12"/>
      <c r="CLA88" s="109"/>
      <c r="CLB88" s="12"/>
      <c r="CLC88" s="109"/>
      <c r="CLD88" s="12"/>
      <c r="CLE88" s="109"/>
      <c r="CLF88" s="12"/>
      <c r="CLG88" s="109"/>
      <c r="CLH88" s="12"/>
      <c r="CLI88" s="109"/>
      <c r="CLJ88" s="12"/>
      <c r="CLK88" s="109"/>
      <c r="CLL88" s="12"/>
      <c r="CLM88" s="109"/>
      <c r="CLN88" s="12"/>
      <c r="CLO88" s="109"/>
      <c r="CLP88" s="12"/>
      <c r="CLQ88" s="109"/>
      <c r="CLR88" s="12"/>
      <c r="CLS88" s="109"/>
      <c r="CLT88" s="12"/>
      <c r="CLU88" s="109"/>
      <c r="CLV88" s="12"/>
      <c r="CLW88" s="109"/>
      <c r="CLX88" s="12"/>
      <c r="CLY88" s="109"/>
      <c r="CLZ88" s="12"/>
      <c r="CMA88" s="109"/>
      <c r="CMB88" s="12"/>
      <c r="CMC88" s="109"/>
      <c r="CMD88" s="12"/>
      <c r="CME88" s="109"/>
      <c r="CMF88" s="12"/>
      <c r="CMG88" s="109"/>
      <c r="CMH88" s="12"/>
      <c r="CMI88" s="109"/>
      <c r="CMJ88" s="12"/>
      <c r="CMK88" s="109"/>
      <c r="CML88" s="12"/>
      <c r="CMM88" s="109"/>
      <c r="CMN88" s="12"/>
      <c r="CMO88" s="109"/>
      <c r="CMP88" s="12"/>
      <c r="CMQ88" s="109"/>
      <c r="CMR88" s="12"/>
      <c r="CMS88" s="109"/>
      <c r="CMT88" s="12"/>
      <c r="CMU88" s="109"/>
      <c r="CMV88" s="12"/>
      <c r="CMW88" s="109"/>
      <c r="CMX88" s="12"/>
      <c r="CMY88" s="109"/>
      <c r="CMZ88" s="12"/>
      <c r="CNA88" s="109"/>
      <c r="CNB88" s="12"/>
      <c r="CNC88" s="109"/>
      <c r="CND88" s="12"/>
      <c r="CNE88" s="109"/>
      <c r="CNF88" s="12"/>
      <c r="CNG88" s="109"/>
      <c r="CNH88" s="12"/>
      <c r="CNI88" s="109"/>
      <c r="CNJ88" s="12"/>
      <c r="CNK88" s="109"/>
      <c r="CNL88" s="12"/>
      <c r="CNM88" s="109"/>
      <c r="CNN88" s="12"/>
      <c r="CNO88" s="109"/>
      <c r="CNP88" s="12"/>
      <c r="CNQ88" s="109"/>
      <c r="CNR88" s="12"/>
      <c r="CNS88" s="109"/>
      <c r="CNT88" s="12"/>
      <c r="CNU88" s="109"/>
      <c r="CNV88" s="12"/>
      <c r="CNW88" s="109"/>
      <c r="CNX88" s="12"/>
      <c r="CNY88" s="109"/>
      <c r="CNZ88" s="12"/>
      <c r="COA88" s="109"/>
      <c r="COB88" s="12"/>
      <c r="COC88" s="109"/>
      <c r="COD88" s="12"/>
      <c r="COE88" s="109"/>
      <c r="COF88" s="12"/>
      <c r="COG88" s="109"/>
      <c r="COH88" s="12"/>
      <c r="COI88" s="109"/>
      <c r="COJ88" s="12"/>
      <c r="COK88" s="109"/>
      <c r="COL88" s="12"/>
      <c r="COM88" s="109"/>
      <c r="CON88" s="12"/>
      <c r="COO88" s="109"/>
      <c r="COP88" s="12"/>
      <c r="COQ88" s="109"/>
      <c r="COR88" s="12"/>
      <c r="COS88" s="109"/>
      <c r="COT88" s="12"/>
      <c r="COU88" s="109"/>
      <c r="COV88" s="12"/>
      <c r="COW88" s="109"/>
      <c r="COX88" s="12"/>
      <c r="COY88" s="109"/>
      <c r="COZ88" s="12"/>
      <c r="CPA88" s="109"/>
      <c r="CPB88" s="12"/>
      <c r="CPC88" s="109"/>
      <c r="CPD88" s="12"/>
      <c r="CPE88" s="109"/>
      <c r="CPF88" s="12"/>
      <c r="CPG88" s="109"/>
      <c r="CPH88" s="12"/>
      <c r="CPI88" s="109"/>
      <c r="CPJ88" s="12"/>
      <c r="CPK88" s="109"/>
      <c r="CPL88" s="12"/>
      <c r="CPM88" s="109"/>
      <c r="CPN88" s="12"/>
      <c r="CPO88" s="109"/>
      <c r="CPP88" s="12"/>
      <c r="CPQ88" s="109"/>
      <c r="CPR88" s="12"/>
      <c r="CPS88" s="109"/>
      <c r="CPT88" s="12"/>
      <c r="CPU88" s="109"/>
      <c r="CPV88" s="12"/>
      <c r="CPW88" s="109"/>
      <c r="CPX88" s="12"/>
      <c r="CPY88" s="109"/>
      <c r="CPZ88" s="12"/>
      <c r="CQA88" s="109"/>
      <c r="CQB88" s="12"/>
      <c r="CQC88" s="109"/>
      <c r="CQD88" s="12"/>
      <c r="CQE88" s="109"/>
      <c r="CQF88" s="12"/>
      <c r="CQG88" s="109"/>
      <c r="CQH88" s="12"/>
      <c r="CQI88" s="109"/>
      <c r="CQJ88" s="12"/>
      <c r="CQK88" s="109"/>
      <c r="CQL88" s="12"/>
      <c r="CQM88" s="109"/>
      <c r="CQN88" s="12"/>
      <c r="CQO88" s="109"/>
      <c r="CQP88" s="12"/>
      <c r="CQQ88" s="109"/>
      <c r="CQR88" s="12"/>
      <c r="CQS88" s="109"/>
      <c r="CQT88" s="12"/>
      <c r="CQU88" s="109"/>
      <c r="CQV88" s="12"/>
      <c r="CQW88" s="109"/>
      <c r="CQX88" s="12"/>
      <c r="CQY88" s="109"/>
      <c r="CQZ88" s="12"/>
      <c r="CRA88" s="109"/>
      <c r="CRB88" s="12"/>
      <c r="CRC88" s="109"/>
      <c r="CRD88" s="12"/>
      <c r="CRE88" s="109"/>
      <c r="CRF88" s="12"/>
      <c r="CRG88" s="109"/>
      <c r="CRH88" s="12"/>
      <c r="CRI88" s="109"/>
      <c r="CRJ88" s="12"/>
      <c r="CRK88" s="109"/>
      <c r="CRL88" s="12"/>
      <c r="CRM88" s="109"/>
      <c r="CRN88" s="12"/>
      <c r="CRO88" s="109"/>
      <c r="CRP88" s="12"/>
      <c r="CRQ88" s="109"/>
      <c r="CRR88" s="12"/>
      <c r="CRS88" s="109"/>
      <c r="CRT88" s="12"/>
      <c r="CRU88" s="109"/>
      <c r="CRV88" s="12"/>
      <c r="CRW88" s="109"/>
      <c r="CRX88" s="12"/>
      <c r="CRY88" s="109"/>
      <c r="CRZ88" s="12"/>
      <c r="CSA88" s="109"/>
      <c r="CSB88" s="12"/>
      <c r="CSC88" s="109"/>
      <c r="CSD88" s="12"/>
      <c r="CSE88" s="109"/>
      <c r="CSF88" s="12"/>
      <c r="CSG88" s="109"/>
      <c r="CSH88" s="12"/>
      <c r="CSI88" s="109"/>
      <c r="CSJ88" s="12"/>
      <c r="CSK88" s="109"/>
      <c r="CSL88" s="12"/>
      <c r="CSM88" s="109"/>
      <c r="CSN88" s="12"/>
      <c r="CSO88" s="109"/>
      <c r="CSP88" s="12"/>
      <c r="CSQ88" s="109"/>
      <c r="CSR88" s="12"/>
      <c r="CSS88" s="109"/>
      <c r="CST88" s="12"/>
      <c r="CSU88" s="109"/>
      <c r="CSV88" s="12"/>
      <c r="CSW88" s="109"/>
      <c r="CSX88" s="12"/>
      <c r="CSY88" s="109"/>
      <c r="CSZ88" s="12"/>
      <c r="CTA88" s="109"/>
      <c r="CTB88" s="12"/>
      <c r="CTC88" s="109"/>
      <c r="CTD88" s="12"/>
      <c r="CTE88" s="109"/>
      <c r="CTF88" s="12"/>
      <c r="CTG88" s="109"/>
      <c r="CTH88" s="12"/>
      <c r="CTI88" s="109"/>
      <c r="CTJ88" s="12"/>
      <c r="CTK88" s="109"/>
      <c r="CTL88" s="12"/>
      <c r="CTM88" s="109"/>
      <c r="CTN88" s="12"/>
      <c r="CTO88" s="109"/>
      <c r="CTP88" s="12"/>
      <c r="CTQ88" s="109"/>
      <c r="CTR88" s="12"/>
      <c r="CTS88" s="109"/>
      <c r="CTT88" s="12"/>
      <c r="CTU88" s="109"/>
      <c r="CTV88" s="12"/>
      <c r="CTW88" s="109"/>
      <c r="CTX88" s="12"/>
      <c r="CTY88" s="109"/>
      <c r="CTZ88" s="12"/>
      <c r="CUA88" s="109"/>
      <c r="CUB88" s="12"/>
      <c r="CUC88" s="109"/>
      <c r="CUD88" s="12"/>
      <c r="CUE88" s="109"/>
      <c r="CUF88" s="12"/>
      <c r="CUG88" s="109"/>
      <c r="CUH88" s="12"/>
      <c r="CUI88" s="109"/>
      <c r="CUJ88" s="12"/>
      <c r="CUK88" s="109"/>
      <c r="CUL88" s="12"/>
      <c r="CUM88" s="109"/>
      <c r="CUN88" s="12"/>
      <c r="CUO88" s="109"/>
      <c r="CUP88" s="12"/>
      <c r="CUQ88" s="109"/>
      <c r="CUR88" s="12"/>
      <c r="CUS88" s="109"/>
      <c r="CUT88" s="12"/>
      <c r="CUU88" s="109"/>
      <c r="CUV88" s="12"/>
      <c r="CUW88" s="109"/>
      <c r="CUX88" s="12"/>
      <c r="CUY88" s="109"/>
      <c r="CUZ88" s="12"/>
      <c r="CVA88" s="109"/>
      <c r="CVB88" s="12"/>
      <c r="CVC88" s="109"/>
      <c r="CVD88" s="12"/>
      <c r="CVE88" s="109"/>
      <c r="CVF88" s="12"/>
      <c r="CVG88" s="109"/>
      <c r="CVH88" s="12"/>
      <c r="CVI88" s="109"/>
      <c r="CVJ88" s="12"/>
      <c r="CVK88" s="109"/>
      <c r="CVL88" s="12"/>
      <c r="CVM88" s="109"/>
      <c r="CVN88" s="12"/>
      <c r="CVO88" s="109"/>
      <c r="CVP88" s="12"/>
      <c r="CVQ88" s="109"/>
      <c r="CVR88" s="12"/>
      <c r="CVS88" s="109"/>
      <c r="CVT88" s="12"/>
      <c r="CVU88" s="109"/>
      <c r="CVV88" s="12"/>
      <c r="CVW88" s="109"/>
      <c r="CVX88" s="12"/>
      <c r="CVY88" s="109"/>
      <c r="CVZ88" s="12"/>
      <c r="CWA88" s="109"/>
      <c r="CWB88" s="12"/>
      <c r="CWC88" s="109"/>
      <c r="CWD88" s="12"/>
      <c r="CWE88" s="109"/>
      <c r="CWF88" s="12"/>
      <c r="CWG88" s="109"/>
      <c r="CWH88" s="12"/>
      <c r="CWI88" s="109"/>
      <c r="CWJ88" s="12"/>
      <c r="CWK88" s="109"/>
      <c r="CWL88" s="12"/>
      <c r="CWM88" s="109"/>
      <c r="CWN88" s="12"/>
      <c r="CWO88" s="109"/>
      <c r="CWP88" s="12"/>
      <c r="CWQ88" s="109"/>
      <c r="CWR88" s="12"/>
      <c r="CWS88" s="109"/>
      <c r="CWT88" s="12"/>
      <c r="CWU88" s="109"/>
      <c r="CWV88" s="12"/>
      <c r="CWW88" s="109"/>
      <c r="CWX88" s="12"/>
      <c r="CWY88" s="109"/>
      <c r="CWZ88" s="12"/>
      <c r="CXA88" s="109"/>
      <c r="CXB88" s="12"/>
      <c r="CXC88" s="109"/>
      <c r="CXD88" s="12"/>
      <c r="CXE88" s="109"/>
      <c r="CXF88" s="12"/>
      <c r="CXG88" s="109"/>
      <c r="CXH88" s="12"/>
      <c r="CXI88" s="109"/>
      <c r="CXJ88" s="12"/>
      <c r="CXK88" s="109"/>
      <c r="CXL88" s="12"/>
      <c r="CXM88" s="109"/>
      <c r="CXN88" s="12"/>
      <c r="CXO88" s="109"/>
      <c r="CXP88" s="12"/>
      <c r="CXQ88" s="109"/>
      <c r="CXR88" s="12"/>
      <c r="CXS88" s="109"/>
      <c r="CXT88" s="12"/>
      <c r="CXU88" s="109"/>
      <c r="CXV88" s="12"/>
      <c r="CXW88" s="109"/>
      <c r="CXX88" s="12"/>
      <c r="CXY88" s="109"/>
      <c r="CXZ88" s="12"/>
      <c r="CYA88" s="109"/>
      <c r="CYB88" s="12"/>
      <c r="CYC88" s="109"/>
      <c r="CYD88" s="12"/>
      <c r="CYE88" s="109"/>
      <c r="CYF88" s="12"/>
      <c r="CYG88" s="109"/>
      <c r="CYH88" s="12"/>
      <c r="CYI88" s="109"/>
      <c r="CYJ88" s="12"/>
      <c r="CYK88" s="109"/>
      <c r="CYL88" s="12"/>
      <c r="CYM88" s="109"/>
      <c r="CYN88" s="12"/>
      <c r="CYO88" s="109"/>
      <c r="CYP88" s="12"/>
      <c r="CYQ88" s="109"/>
      <c r="CYR88" s="12"/>
      <c r="CYS88" s="109"/>
      <c r="CYT88" s="12"/>
      <c r="CYU88" s="109"/>
      <c r="CYV88" s="12"/>
      <c r="CYW88" s="109"/>
      <c r="CYX88" s="12"/>
      <c r="CYY88" s="109"/>
      <c r="CYZ88" s="12"/>
      <c r="CZA88" s="109"/>
      <c r="CZB88" s="12"/>
      <c r="CZC88" s="109"/>
      <c r="CZD88" s="12"/>
      <c r="CZE88" s="109"/>
      <c r="CZF88" s="12"/>
      <c r="CZG88" s="109"/>
      <c r="CZH88" s="12"/>
      <c r="CZI88" s="109"/>
      <c r="CZJ88" s="12"/>
      <c r="CZK88" s="109"/>
      <c r="CZL88" s="12"/>
      <c r="CZM88" s="109"/>
      <c r="CZN88" s="12"/>
      <c r="CZO88" s="109"/>
      <c r="CZP88" s="12"/>
      <c r="CZQ88" s="109"/>
      <c r="CZR88" s="12"/>
      <c r="CZS88" s="109"/>
      <c r="CZT88" s="12"/>
      <c r="CZU88" s="109"/>
      <c r="CZV88" s="12"/>
      <c r="CZW88" s="109"/>
      <c r="CZX88" s="12"/>
      <c r="CZY88" s="109"/>
      <c r="CZZ88" s="12"/>
      <c r="DAA88" s="109"/>
      <c r="DAB88" s="12"/>
      <c r="DAC88" s="109"/>
      <c r="DAD88" s="12"/>
      <c r="DAE88" s="109"/>
      <c r="DAF88" s="12"/>
      <c r="DAG88" s="109"/>
      <c r="DAH88" s="12"/>
      <c r="DAI88" s="109"/>
      <c r="DAJ88" s="12"/>
      <c r="DAK88" s="109"/>
      <c r="DAL88" s="12"/>
      <c r="DAM88" s="109"/>
      <c r="DAN88" s="12"/>
      <c r="DAO88" s="109"/>
      <c r="DAP88" s="12"/>
      <c r="DAQ88" s="109"/>
      <c r="DAR88" s="12"/>
      <c r="DAS88" s="109"/>
      <c r="DAT88" s="12"/>
      <c r="DAU88" s="109"/>
      <c r="DAV88" s="12"/>
      <c r="DAW88" s="109"/>
      <c r="DAX88" s="12"/>
      <c r="DAY88" s="109"/>
      <c r="DAZ88" s="12"/>
      <c r="DBA88" s="109"/>
      <c r="DBB88" s="12"/>
      <c r="DBC88" s="109"/>
      <c r="DBD88" s="12"/>
      <c r="DBE88" s="109"/>
      <c r="DBF88" s="12"/>
      <c r="DBG88" s="109"/>
      <c r="DBH88" s="12"/>
      <c r="DBI88" s="109"/>
      <c r="DBJ88" s="12"/>
      <c r="DBK88" s="109"/>
      <c r="DBL88" s="12"/>
      <c r="DBM88" s="109"/>
      <c r="DBN88" s="12"/>
      <c r="DBO88" s="109"/>
      <c r="DBP88" s="12"/>
      <c r="DBQ88" s="109"/>
      <c r="DBR88" s="12"/>
      <c r="DBS88" s="109"/>
      <c r="DBT88" s="12"/>
      <c r="DBU88" s="109"/>
      <c r="DBV88" s="12"/>
      <c r="DBW88" s="109"/>
      <c r="DBX88" s="12"/>
      <c r="DBY88" s="109"/>
      <c r="DBZ88" s="12"/>
      <c r="DCA88" s="109"/>
      <c r="DCB88" s="12"/>
      <c r="DCC88" s="109"/>
      <c r="DCD88" s="12"/>
      <c r="DCE88" s="109"/>
      <c r="DCF88" s="12"/>
      <c r="DCG88" s="109"/>
      <c r="DCH88" s="12"/>
      <c r="DCI88" s="109"/>
      <c r="DCJ88" s="12"/>
      <c r="DCK88" s="109"/>
      <c r="DCL88" s="12"/>
      <c r="DCM88" s="109"/>
      <c r="DCN88" s="12"/>
      <c r="DCO88" s="109"/>
      <c r="DCP88" s="12"/>
      <c r="DCQ88" s="109"/>
      <c r="DCR88" s="12"/>
      <c r="DCS88" s="109"/>
      <c r="DCT88" s="12"/>
      <c r="DCU88" s="109"/>
      <c r="DCV88" s="12"/>
      <c r="DCW88" s="109"/>
      <c r="DCX88" s="12"/>
      <c r="DCY88" s="109"/>
      <c r="DCZ88" s="12"/>
      <c r="DDA88" s="109"/>
      <c r="DDB88" s="12"/>
      <c r="DDC88" s="109"/>
      <c r="DDD88" s="12"/>
      <c r="DDE88" s="109"/>
      <c r="DDF88" s="12"/>
      <c r="DDG88" s="109"/>
      <c r="DDH88" s="12"/>
      <c r="DDI88" s="109"/>
      <c r="DDJ88" s="12"/>
      <c r="DDK88" s="109"/>
      <c r="DDL88" s="12"/>
      <c r="DDM88" s="109"/>
      <c r="DDN88" s="12"/>
      <c r="DDO88" s="109"/>
      <c r="DDP88" s="12"/>
      <c r="DDQ88" s="109"/>
      <c r="DDR88" s="12"/>
      <c r="DDS88" s="109"/>
      <c r="DDT88" s="12"/>
      <c r="DDU88" s="109"/>
      <c r="DDV88" s="12"/>
      <c r="DDW88" s="109"/>
      <c r="DDX88" s="12"/>
      <c r="DDY88" s="109"/>
      <c r="DDZ88" s="12"/>
      <c r="DEA88" s="109"/>
      <c r="DEB88" s="12"/>
      <c r="DEC88" s="109"/>
      <c r="DED88" s="12"/>
      <c r="DEE88" s="109"/>
      <c r="DEF88" s="12"/>
      <c r="DEG88" s="109"/>
      <c r="DEH88" s="12"/>
      <c r="DEI88" s="109"/>
      <c r="DEJ88" s="12"/>
      <c r="DEK88" s="109"/>
      <c r="DEL88" s="12"/>
      <c r="DEM88" s="109"/>
      <c r="DEN88" s="12"/>
      <c r="DEO88" s="109"/>
      <c r="DEP88" s="12"/>
      <c r="DEQ88" s="109"/>
      <c r="DER88" s="12"/>
      <c r="DES88" s="109"/>
      <c r="DET88" s="12"/>
      <c r="DEU88" s="109"/>
      <c r="DEV88" s="12"/>
      <c r="DEW88" s="109"/>
      <c r="DEX88" s="12"/>
      <c r="DEY88" s="109"/>
      <c r="DEZ88" s="12"/>
      <c r="DFA88" s="109"/>
      <c r="DFB88" s="12"/>
      <c r="DFC88" s="109"/>
      <c r="DFD88" s="12"/>
      <c r="DFE88" s="109"/>
      <c r="DFF88" s="12"/>
      <c r="DFG88" s="109"/>
      <c r="DFH88" s="12"/>
      <c r="DFI88" s="109"/>
      <c r="DFJ88" s="12"/>
      <c r="DFK88" s="109"/>
      <c r="DFL88" s="12"/>
      <c r="DFM88" s="109"/>
      <c r="DFN88" s="12"/>
      <c r="DFO88" s="109"/>
      <c r="DFP88" s="12"/>
      <c r="DFQ88" s="109"/>
      <c r="DFR88" s="12"/>
      <c r="DFS88" s="109"/>
      <c r="DFT88" s="12"/>
      <c r="DFU88" s="109"/>
      <c r="DFV88" s="12"/>
      <c r="DFW88" s="109"/>
      <c r="DFX88" s="12"/>
      <c r="DFY88" s="109"/>
      <c r="DFZ88" s="12"/>
      <c r="DGA88" s="109"/>
      <c r="DGB88" s="12"/>
      <c r="DGC88" s="109"/>
      <c r="DGD88" s="12"/>
      <c r="DGE88" s="109"/>
      <c r="DGF88" s="12"/>
      <c r="DGG88" s="109"/>
      <c r="DGH88" s="12"/>
      <c r="DGI88" s="109"/>
      <c r="DGJ88" s="12"/>
      <c r="DGK88" s="109"/>
      <c r="DGL88" s="12"/>
      <c r="DGM88" s="109"/>
      <c r="DGN88" s="12"/>
      <c r="DGO88" s="109"/>
      <c r="DGP88" s="12"/>
      <c r="DGQ88" s="109"/>
      <c r="DGR88" s="12"/>
      <c r="DGS88" s="109"/>
      <c r="DGT88" s="12"/>
      <c r="DGU88" s="109"/>
      <c r="DGV88" s="12"/>
      <c r="DGW88" s="109"/>
      <c r="DGX88" s="12"/>
      <c r="DGY88" s="109"/>
      <c r="DGZ88" s="12"/>
      <c r="DHA88" s="109"/>
      <c r="DHB88" s="12"/>
      <c r="DHC88" s="109"/>
      <c r="DHD88" s="12"/>
      <c r="DHE88" s="109"/>
      <c r="DHF88" s="12"/>
      <c r="DHG88" s="109"/>
      <c r="DHH88" s="12"/>
      <c r="DHI88" s="109"/>
      <c r="DHJ88" s="12"/>
      <c r="DHK88" s="109"/>
      <c r="DHL88" s="12"/>
      <c r="DHM88" s="109"/>
      <c r="DHN88" s="12"/>
      <c r="DHO88" s="109"/>
      <c r="DHP88" s="12"/>
      <c r="DHQ88" s="109"/>
      <c r="DHR88" s="12"/>
      <c r="DHS88" s="109"/>
      <c r="DHT88" s="12"/>
      <c r="DHU88" s="109"/>
      <c r="DHV88" s="12"/>
      <c r="DHW88" s="109"/>
      <c r="DHX88" s="12"/>
      <c r="DHY88" s="109"/>
      <c r="DHZ88" s="12"/>
      <c r="DIA88" s="109"/>
      <c r="DIB88" s="12"/>
      <c r="DIC88" s="109"/>
      <c r="DID88" s="12"/>
      <c r="DIE88" s="109"/>
      <c r="DIF88" s="12"/>
      <c r="DIG88" s="109"/>
      <c r="DIH88" s="12"/>
      <c r="DII88" s="109"/>
      <c r="DIJ88" s="12"/>
      <c r="DIK88" s="109"/>
      <c r="DIL88" s="12"/>
      <c r="DIM88" s="109"/>
      <c r="DIN88" s="12"/>
      <c r="DIO88" s="109"/>
      <c r="DIP88" s="12"/>
      <c r="DIQ88" s="109"/>
      <c r="DIR88" s="12"/>
      <c r="DIS88" s="109"/>
      <c r="DIT88" s="12"/>
      <c r="DIU88" s="109"/>
      <c r="DIV88" s="12"/>
      <c r="DIW88" s="109"/>
      <c r="DIX88" s="12"/>
      <c r="DIY88" s="109"/>
      <c r="DIZ88" s="12"/>
      <c r="DJA88" s="109"/>
      <c r="DJB88" s="12"/>
      <c r="DJC88" s="109"/>
      <c r="DJD88" s="12"/>
      <c r="DJE88" s="109"/>
      <c r="DJF88" s="12"/>
      <c r="DJG88" s="109"/>
      <c r="DJH88" s="12"/>
      <c r="DJI88" s="109"/>
      <c r="DJJ88" s="12"/>
      <c r="DJK88" s="109"/>
      <c r="DJL88" s="12"/>
      <c r="DJM88" s="109"/>
      <c r="DJN88" s="12"/>
      <c r="DJO88" s="109"/>
      <c r="DJP88" s="12"/>
      <c r="DJQ88" s="109"/>
      <c r="DJR88" s="12"/>
      <c r="DJS88" s="109"/>
      <c r="DJT88" s="12"/>
      <c r="DJU88" s="109"/>
      <c r="DJV88" s="12"/>
      <c r="DJW88" s="109"/>
      <c r="DJX88" s="12"/>
      <c r="DJY88" s="109"/>
      <c r="DJZ88" s="12"/>
      <c r="DKA88" s="109"/>
      <c r="DKB88" s="12"/>
      <c r="DKC88" s="109"/>
      <c r="DKD88" s="12"/>
      <c r="DKE88" s="109"/>
      <c r="DKF88" s="12"/>
      <c r="DKG88" s="109"/>
      <c r="DKH88" s="12"/>
      <c r="DKI88" s="109"/>
      <c r="DKJ88" s="12"/>
      <c r="DKK88" s="109"/>
      <c r="DKL88" s="12"/>
      <c r="DKM88" s="109"/>
      <c r="DKN88" s="12"/>
      <c r="DKO88" s="109"/>
      <c r="DKP88" s="12"/>
      <c r="DKQ88" s="109"/>
      <c r="DKR88" s="12"/>
      <c r="DKS88" s="109"/>
      <c r="DKT88" s="12"/>
      <c r="DKU88" s="109"/>
      <c r="DKV88" s="12"/>
      <c r="DKW88" s="109"/>
      <c r="DKX88" s="12"/>
      <c r="DKY88" s="109"/>
      <c r="DKZ88" s="12"/>
      <c r="DLA88" s="109"/>
      <c r="DLB88" s="12"/>
      <c r="DLC88" s="109"/>
      <c r="DLD88" s="12"/>
      <c r="DLE88" s="109"/>
      <c r="DLF88" s="12"/>
      <c r="DLG88" s="109"/>
      <c r="DLH88" s="12"/>
      <c r="DLI88" s="109"/>
      <c r="DLJ88" s="12"/>
      <c r="DLK88" s="109"/>
      <c r="DLL88" s="12"/>
      <c r="DLM88" s="109"/>
      <c r="DLN88" s="12"/>
      <c r="DLO88" s="109"/>
      <c r="DLP88" s="12"/>
      <c r="DLQ88" s="109"/>
      <c r="DLR88" s="12"/>
      <c r="DLS88" s="109"/>
      <c r="DLT88" s="12"/>
      <c r="DLU88" s="109"/>
      <c r="DLV88" s="12"/>
      <c r="DLW88" s="109"/>
      <c r="DLX88" s="12"/>
      <c r="DLY88" s="109"/>
      <c r="DLZ88" s="12"/>
      <c r="DMA88" s="109"/>
      <c r="DMB88" s="12"/>
      <c r="DMC88" s="109"/>
      <c r="DMD88" s="12"/>
      <c r="DME88" s="109"/>
      <c r="DMF88" s="12"/>
      <c r="DMG88" s="109"/>
      <c r="DMH88" s="12"/>
      <c r="DMI88" s="109"/>
      <c r="DMJ88" s="12"/>
      <c r="DMK88" s="109"/>
      <c r="DML88" s="12"/>
      <c r="DMM88" s="109"/>
      <c r="DMN88" s="12"/>
      <c r="DMO88" s="109"/>
      <c r="DMP88" s="12"/>
      <c r="DMQ88" s="109"/>
      <c r="DMR88" s="12"/>
      <c r="DMS88" s="109"/>
      <c r="DMT88" s="12"/>
      <c r="DMU88" s="109"/>
      <c r="DMV88" s="12"/>
      <c r="DMW88" s="109"/>
      <c r="DMX88" s="12"/>
      <c r="DMY88" s="109"/>
      <c r="DMZ88" s="12"/>
      <c r="DNA88" s="109"/>
      <c r="DNB88" s="12"/>
      <c r="DNC88" s="109"/>
      <c r="DND88" s="12"/>
      <c r="DNE88" s="109"/>
      <c r="DNF88" s="12"/>
      <c r="DNG88" s="109"/>
      <c r="DNH88" s="12"/>
      <c r="DNI88" s="109"/>
      <c r="DNJ88" s="12"/>
      <c r="DNK88" s="109"/>
      <c r="DNL88" s="12"/>
      <c r="DNM88" s="109"/>
      <c r="DNN88" s="12"/>
      <c r="DNO88" s="109"/>
      <c r="DNP88" s="12"/>
      <c r="DNQ88" s="109"/>
      <c r="DNR88" s="12"/>
      <c r="DNS88" s="109"/>
      <c r="DNT88" s="12"/>
      <c r="DNU88" s="109"/>
      <c r="DNV88" s="12"/>
      <c r="DNW88" s="109"/>
      <c r="DNX88" s="12"/>
      <c r="DNY88" s="109"/>
      <c r="DNZ88" s="12"/>
      <c r="DOA88" s="109"/>
      <c r="DOB88" s="12"/>
      <c r="DOC88" s="109"/>
      <c r="DOD88" s="12"/>
      <c r="DOE88" s="109"/>
      <c r="DOF88" s="12"/>
      <c r="DOG88" s="109"/>
      <c r="DOH88" s="12"/>
      <c r="DOI88" s="109"/>
      <c r="DOJ88" s="12"/>
      <c r="DOK88" s="109"/>
      <c r="DOL88" s="12"/>
      <c r="DOM88" s="109"/>
      <c r="DON88" s="12"/>
      <c r="DOO88" s="109"/>
      <c r="DOP88" s="12"/>
      <c r="DOQ88" s="109"/>
      <c r="DOR88" s="12"/>
      <c r="DOS88" s="109"/>
      <c r="DOT88" s="12"/>
      <c r="DOU88" s="109"/>
      <c r="DOV88" s="12"/>
      <c r="DOW88" s="109"/>
      <c r="DOX88" s="12"/>
      <c r="DOY88" s="109"/>
      <c r="DOZ88" s="12"/>
      <c r="DPA88" s="109"/>
      <c r="DPB88" s="12"/>
      <c r="DPC88" s="109"/>
      <c r="DPD88" s="12"/>
      <c r="DPE88" s="109"/>
      <c r="DPF88" s="12"/>
      <c r="DPG88" s="109"/>
      <c r="DPH88" s="12"/>
      <c r="DPI88" s="109"/>
      <c r="DPJ88" s="12"/>
      <c r="DPK88" s="109"/>
      <c r="DPL88" s="12"/>
      <c r="DPM88" s="109"/>
      <c r="DPN88" s="12"/>
      <c r="DPO88" s="109"/>
      <c r="DPP88" s="12"/>
      <c r="DPQ88" s="109"/>
      <c r="DPR88" s="12"/>
      <c r="DPS88" s="109"/>
      <c r="DPT88" s="12"/>
      <c r="DPU88" s="109"/>
      <c r="DPV88" s="12"/>
      <c r="DPW88" s="109"/>
      <c r="DPX88" s="12"/>
      <c r="DPY88" s="109"/>
      <c r="DPZ88" s="12"/>
      <c r="DQA88" s="109"/>
      <c r="DQB88" s="12"/>
      <c r="DQC88" s="109"/>
      <c r="DQD88" s="12"/>
      <c r="DQE88" s="109"/>
      <c r="DQF88" s="12"/>
      <c r="DQG88" s="109"/>
      <c r="DQH88" s="12"/>
      <c r="DQI88" s="109"/>
      <c r="DQJ88" s="12"/>
      <c r="DQK88" s="109"/>
      <c r="DQL88" s="12"/>
      <c r="DQM88" s="109"/>
      <c r="DQN88" s="12"/>
      <c r="DQO88" s="109"/>
      <c r="DQP88" s="12"/>
      <c r="DQQ88" s="109"/>
      <c r="DQR88" s="12"/>
      <c r="DQS88" s="109"/>
      <c r="DQT88" s="12"/>
      <c r="DQU88" s="109"/>
      <c r="DQV88" s="12"/>
      <c r="DQW88" s="109"/>
      <c r="DQX88" s="12"/>
      <c r="DQY88" s="109"/>
      <c r="DQZ88" s="12"/>
      <c r="DRA88" s="109"/>
      <c r="DRB88" s="12"/>
      <c r="DRC88" s="109"/>
      <c r="DRD88" s="12"/>
      <c r="DRE88" s="109"/>
      <c r="DRF88" s="12"/>
      <c r="DRG88" s="109"/>
      <c r="DRH88" s="12"/>
      <c r="DRI88" s="109"/>
      <c r="DRJ88" s="12"/>
      <c r="DRK88" s="109"/>
      <c r="DRL88" s="12"/>
      <c r="DRM88" s="109"/>
      <c r="DRN88" s="12"/>
      <c r="DRO88" s="109"/>
      <c r="DRP88" s="12"/>
      <c r="DRQ88" s="109"/>
      <c r="DRR88" s="12"/>
      <c r="DRS88" s="109"/>
      <c r="DRT88" s="12"/>
      <c r="DRU88" s="109"/>
      <c r="DRV88" s="12"/>
      <c r="DRW88" s="109"/>
      <c r="DRX88" s="12"/>
      <c r="DRY88" s="109"/>
      <c r="DRZ88" s="12"/>
      <c r="DSA88" s="109"/>
      <c r="DSB88" s="12"/>
      <c r="DSC88" s="109"/>
      <c r="DSD88" s="12"/>
      <c r="DSE88" s="109"/>
      <c r="DSF88" s="12"/>
      <c r="DSG88" s="109"/>
      <c r="DSH88" s="12"/>
      <c r="DSI88" s="109"/>
      <c r="DSJ88" s="12"/>
      <c r="DSK88" s="109"/>
      <c r="DSL88" s="12"/>
      <c r="DSM88" s="109"/>
      <c r="DSN88" s="12"/>
      <c r="DSO88" s="109"/>
      <c r="DSP88" s="12"/>
      <c r="DSQ88" s="109"/>
      <c r="DSR88" s="12"/>
      <c r="DSS88" s="109"/>
      <c r="DST88" s="12"/>
      <c r="DSU88" s="109"/>
      <c r="DSV88" s="12"/>
      <c r="DSW88" s="109"/>
      <c r="DSX88" s="12"/>
      <c r="DSY88" s="109"/>
      <c r="DSZ88" s="12"/>
      <c r="DTA88" s="109"/>
      <c r="DTB88" s="12"/>
      <c r="DTC88" s="109"/>
      <c r="DTD88" s="12"/>
      <c r="DTE88" s="109"/>
      <c r="DTF88" s="12"/>
      <c r="DTG88" s="109"/>
      <c r="DTH88" s="12"/>
      <c r="DTI88" s="109"/>
      <c r="DTJ88" s="12"/>
      <c r="DTK88" s="109"/>
      <c r="DTL88" s="12"/>
      <c r="DTM88" s="109"/>
      <c r="DTN88" s="12"/>
      <c r="DTO88" s="109"/>
      <c r="DTP88" s="12"/>
      <c r="DTQ88" s="109"/>
      <c r="DTR88" s="12"/>
      <c r="DTS88" s="109"/>
      <c r="DTT88" s="12"/>
      <c r="DTU88" s="109"/>
      <c r="DTV88" s="12"/>
      <c r="DTW88" s="109"/>
      <c r="DTX88" s="12"/>
      <c r="DTY88" s="109"/>
      <c r="DTZ88" s="12"/>
      <c r="DUA88" s="109"/>
      <c r="DUB88" s="12"/>
      <c r="DUC88" s="109"/>
      <c r="DUD88" s="12"/>
      <c r="DUE88" s="109"/>
      <c r="DUF88" s="12"/>
      <c r="DUG88" s="109"/>
      <c r="DUH88" s="12"/>
      <c r="DUI88" s="109"/>
      <c r="DUJ88" s="12"/>
      <c r="DUK88" s="109"/>
      <c r="DUL88" s="12"/>
      <c r="DUM88" s="109"/>
      <c r="DUN88" s="12"/>
      <c r="DUO88" s="109"/>
      <c r="DUP88" s="12"/>
      <c r="DUQ88" s="109"/>
      <c r="DUR88" s="12"/>
      <c r="DUS88" s="109"/>
      <c r="DUT88" s="12"/>
      <c r="DUU88" s="109"/>
      <c r="DUV88" s="12"/>
      <c r="DUW88" s="109"/>
      <c r="DUX88" s="12"/>
      <c r="DUY88" s="109"/>
      <c r="DUZ88" s="12"/>
      <c r="DVA88" s="109"/>
      <c r="DVB88" s="12"/>
      <c r="DVC88" s="109"/>
      <c r="DVD88" s="12"/>
      <c r="DVE88" s="109"/>
      <c r="DVF88" s="12"/>
      <c r="DVG88" s="109"/>
      <c r="DVH88" s="12"/>
      <c r="DVI88" s="109"/>
      <c r="DVJ88" s="12"/>
      <c r="DVK88" s="109"/>
      <c r="DVL88" s="12"/>
      <c r="DVM88" s="109"/>
      <c r="DVN88" s="12"/>
      <c r="DVO88" s="109"/>
      <c r="DVP88" s="12"/>
      <c r="DVQ88" s="109"/>
      <c r="DVR88" s="12"/>
      <c r="DVS88" s="109"/>
      <c r="DVT88" s="12"/>
      <c r="DVU88" s="109"/>
      <c r="DVV88" s="12"/>
      <c r="DVW88" s="109"/>
      <c r="DVX88" s="12"/>
      <c r="DVY88" s="109"/>
      <c r="DVZ88" s="12"/>
      <c r="DWA88" s="109"/>
      <c r="DWB88" s="12"/>
      <c r="DWC88" s="109"/>
      <c r="DWD88" s="12"/>
      <c r="DWE88" s="109"/>
      <c r="DWF88" s="12"/>
      <c r="DWG88" s="109"/>
      <c r="DWH88" s="12"/>
      <c r="DWI88" s="109"/>
      <c r="DWJ88" s="12"/>
      <c r="DWK88" s="109"/>
      <c r="DWL88" s="12"/>
      <c r="DWM88" s="109"/>
      <c r="DWN88" s="12"/>
      <c r="DWO88" s="109"/>
      <c r="DWP88" s="12"/>
      <c r="DWQ88" s="109"/>
      <c r="DWR88" s="12"/>
      <c r="DWS88" s="109"/>
      <c r="DWT88" s="12"/>
      <c r="DWU88" s="109"/>
      <c r="DWV88" s="12"/>
      <c r="DWW88" s="109"/>
      <c r="DWX88" s="12"/>
      <c r="DWY88" s="109"/>
      <c r="DWZ88" s="12"/>
      <c r="DXA88" s="109"/>
      <c r="DXB88" s="12"/>
      <c r="DXC88" s="109"/>
      <c r="DXD88" s="12"/>
      <c r="DXE88" s="109"/>
      <c r="DXF88" s="12"/>
      <c r="DXG88" s="109"/>
      <c r="DXH88" s="12"/>
      <c r="DXI88" s="109"/>
      <c r="DXJ88" s="12"/>
      <c r="DXK88" s="109"/>
      <c r="DXL88" s="12"/>
      <c r="DXM88" s="109"/>
      <c r="DXN88" s="12"/>
      <c r="DXO88" s="109"/>
      <c r="DXP88" s="12"/>
      <c r="DXQ88" s="109"/>
      <c r="DXR88" s="12"/>
      <c r="DXS88" s="109"/>
      <c r="DXT88" s="12"/>
      <c r="DXU88" s="109"/>
      <c r="DXV88" s="12"/>
      <c r="DXW88" s="109"/>
      <c r="DXX88" s="12"/>
      <c r="DXY88" s="109"/>
      <c r="DXZ88" s="12"/>
      <c r="DYA88" s="109"/>
      <c r="DYB88" s="12"/>
      <c r="DYC88" s="109"/>
      <c r="DYD88" s="12"/>
      <c r="DYE88" s="109"/>
      <c r="DYF88" s="12"/>
      <c r="DYG88" s="109"/>
      <c r="DYH88" s="12"/>
      <c r="DYI88" s="109"/>
      <c r="DYJ88" s="12"/>
      <c r="DYK88" s="109"/>
      <c r="DYL88" s="12"/>
      <c r="DYM88" s="109"/>
      <c r="DYN88" s="12"/>
      <c r="DYO88" s="109"/>
      <c r="DYP88" s="12"/>
      <c r="DYQ88" s="109"/>
      <c r="DYR88" s="12"/>
      <c r="DYS88" s="109"/>
      <c r="DYT88" s="12"/>
      <c r="DYU88" s="109"/>
      <c r="DYV88" s="12"/>
      <c r="DYW88" s="109"/>
      <c r="DYX88" s="12"/>
      <c r="DYY88" s="109"/>
      <c r="DYZ88" s="12"/>
      <c r="DZA88" s="109"/>
      <c r="DZB88" s="12"/>
      <c r="DZC88" s="109"/>
      <c r="DZD88" s="12"/>
      <c r="DZE88" s="109"/>
      <c r="DZF88" s="12"/>
      <c r="DZG88" s="109"/>
      <c r="DZH88" s="12"/>
      <c r="DZI88" s="109"/>
      <c r="DZJ88" s="12"/>
      <c r="DZK88" s="109"/>
      <c r="DZL88" s="12"/>
      <c r="DZM88" s="109"/>
      <c r="DZN88" s="12"/>
      <c r="DZO88" s="109"/>
      <c r="DZP88" s="12"/>
      <c r="DZQ88" s="109"/>
      <c r="DZR88" s="12"/>
      <c r="DZS88" s="109"/>
      <c r="DZT88" s="12"/>
      <c r="DZU88" s="109"/>
      <c r="DZV88" s="12"/>
      <c r="DZW88" s="109"/>
      <c r="DZX88" s="12"/>
      <c r="DZY88" s="109"/>
      <c r="DZZ88" s="12"/>
      <c r="EAA88" s="109"/>
      <c r="EAB88" s="12"/>
      <c r="EAC88" s="109"/>
      <c r="EAD88" s="12"/>
      <c r="EAE88" s="109"/>
      <c r="EAF88" s="12"/>
      <c r="EAG88" s="109"/>
      <c r="EAH88" s="12"/>
      <c r="EAI88" s="109"/>
      <c r="EAJ88" s="12"/>
      <c r="EAK88" s="109"/>
      <c r="EAL88" s="12"/>
      <c r="EAM88" s="109"/>
      <c r="EAN88" s="12"/>
      <c r="EAO88" s="109"/>
      <c r="EAP88" s="12"/>
      <c r="EAQ88" s="109"/>
      <c r="EAR88" s="12"/>
      <c r="EAS88" s="109"/>
      <c r="EAT88" s="12"/>
      <c r="EAU88" s="109"/>
      <c r="EAV88" s="12"/>
      <c r="EAW88" s="109"/>
      <c r="EAX88" s="12"/>
      <c r="EAY88" s="109"/>
      <c r="EAZ88" s="12"/>
      <c r="EBA88" s="109"/>
      <c r="EBB88" s="12"/>
      <c r="EBC88" s="109"/>
      <c r="EBD88" s="12"/>
      <c r="EBE88" s="109"/>
      <c r="EBF88" s="12"/>
      <c r="EBG88" s="109"/>
      <c r="EBH88" s="12"/>
      <c r="EBI88" s="109"/>
      <c r="EBJ88" s="12"/>
      <c r="EBK88" s="109"/>
      <c r="EBL88" s="12"/>
      <c r="EBM88" s="109"/>
      <c r="EBN88" s="12"/>
      <c r="EBO88" s="109"/>
      <c r="EBP88" s="12"/>
      <c r="EBQ88" s="109"/>
      <c r="EBR88" s="12"/>
      <c r="EBS88" s="109"/>
      <c r="EBT88" s="12"/>
      <c r="EBU88" s="109"/>
      <c r="EBV88" s="12"/>
      <c r="EBW88" s="109"/>
      <c r="EBX88" s="12"/>
      <c r="EBY88" s="109"/>
      <c r="EBZ88" s="12"/>
      <c r="ECA88" s="109"/>
      <c r="ECB88" s="12"/>
      <c r="ECC88" s="109"/>
      <c r="ECD88" s="12"/>
      <c r="ECE88" s="109"/>
      <c r="ECF88" s="12"/>
      <c r="ECG88" s="109"/>
      <c r="ECH88" s="12"/>
      <c r="ECI88" s="109"/>
      <c r="ECJ88" s="12"/>
      <c r="ECK88" s="109"/>
      <c r="ECL88" s="12"/>
      <c r="ECM88" s="109"/>
      <c r="ECN88" s="12"/>
      <c r="ECO88" s="109"/>
      <c r="ECP88" s="12"/>
      <c r="ECQ88" s="109"/>
      <c r="ECR88" s="12"/>
      <c r="ECS88" s="109"/>
      <c r="ECT88" s="12"/>
      <c r="ECU88" s="109"/>
      <c r="ECV88" s="12"/>
      <c r="ECW88" s="109"/>
      <c r="ECX88" s="12"/>
      <c r="ECY88" s="109"/>
      <c r="ECZ88" s="12"/>
      <c r="EDA88" s="109"/>
      <c r="EDB88" s="12"/>
      <c r="EDC88" s="109"/>
      <c r="EDD88" s="12"/>
      <c r="EDE88" s="109"/>
      <c r="EDF88" s="12"/>
      <c r="EDG88" s="109"/>
      <c r="EDH88" s="12"/>
      <c r="EDI88" s="109"/>
      <c r="EDJ88" s="12"/>
      <c r="EDK88" s="109"/>
      <c r="EDL88" s="12"/>
      <c r="EDM88" s="109"/>
      <c r="EDN88" s="12"/>
      <c r="EDO88" s="109"/>
      <c r="EDP88" s="12"/>
      <c r="EDQ88" s="109"/>
      <c r="EDR88" s="12"/>
      <c r="EDS88" s="109"/>
      <c r="EDT88" s="12"/>
      <c r="EDU88" s="109"/>
      <c r="EDV88" s="12"/>
      <c r="EDW88" s="109"/>
      <c r="EDX88" s="12"/>
      <c r="EDY88" s="109"/>
      <c r="EDZ88" s="12"/>
      <c r="EEA88" s="109"/>
      <c r="EEB88" s="12"/>
      <c r="EEC88" s="109"/>
      <c r="EED88" s="12"/>
      <c r="EEE88" s="109"/>
      <c r="EEF88" s="12"/>
      <c r="EEG88" s="109"/>
      <c r="EEH88" s="12"/>
      <c r="EEI88" s="109"/>
      <c r="EEJ88" s="12"/>
      <c r="EEK88" s="109"/>
      <c r="EEL88" s="12"/>
      <c r="EEM88" s="109"/>
      <c r="EEN88" s="12"/>
      <c r="EEO88" s="109"/>
      <c r="EEP88" s="12"/>
      <c r="EEQ88" s="109"/>
      <c r="EER88" s="12"/>
      <c r="EES88" s="109"/>
      <c r="EET88" s="12"/>
      <c r="EEU88" s="109"/>
      <c r="EEV88" s="12"/>
      <c r="EEW88" s="109"/>
      <c r="EEX88" s="12"/>
      <c r="EEY88" s="109"/>
      <c r="EEZ88" s="12"/>
      <c r="EFA88" s="109"/>
      <c r="EFB88" s="12"/>
      <c r="EFC88" s="109"/>
      <c r="EFD88" s="12"/>
      <c r="EFE88" s="109"/>
      <c r="EFF88" s="12"/>
      <c r="EFG88" s="109"/>
      <c r="EFH88" s="12"/>
      <c r="EFI88" s="109"/>
      <c r="EFJ88" s="12"/>
      <c r="EFK88" s="109"/>
      <c r="EFL88" s="12"/>
      <c r="EFM88" s="109"/>
      <c r="EFN88" s="12"/>
      <c r="EFO88" s="109"/>
      <c r="EFP88" s="12"/>
      <c r="EFQ88" s="109"/>
      <c r="EFR88" s="12"/>
      <c r="EFS88" s="109"/>
      <c r="EFT88" s="12"/>
      <c r="EFU88" s="109"/>
      <c r="EFV88" s="12"/>
      <c r="EFW88" s="109"/>
      <c r="EFX88" s="12"/>
      <c r="EFY88" s="109"/>
      <c r="EFZ88" s="12"/>
      <c r="EGA88" s="109"/>
      <c r="EGB88" s="12"/>
      <c r="EGC88" s="109"/>
      <c r="EGD88" s="12"/>
      <c r="EGE88" s="109"/>
      <c r="EGF88" s="12"/>
      <c r="EGG88" s="109"/>
      <c r="EGH88" s="12"/>
      <c r="EGI88" s="109"/>
      <c r="EGJ88" s="12"/>
      <c r="EGK88" s="109"/>
      <c r="EGL88" s="12"/>
      <c r="EGM88" s="109"/>
      <c r="EGN88" s="12"/>
      <c r="EGO88" s="109"/>
      <c r="EGP88" s="12"/>
      <c r="EGQ88" s="109"/>
      <c r="EGR88" s="12"/>
      <c r="EGS88" s="109"/>
      <c r="EGT88" s="12"/>
      <c r="EGU88" s="109"/>
      <c r="EGV88" s="12"/>
      <c r="EGW88" s="109"/>
      <c r="EGX88" s="12"/>
      <c r="EGY88" s="109"/>
      <c r="EGZ88" s="12"/>
      <c r="EHA88" s="109"/>
      <c r="EHB88" s="12"/>
      <c r="EHC88" s="109"/>
      <c r="EHD88" s="12"/>
      <c r="EHE88" s="109"/>
      <c r="EHF88" s="12"/>
      <c r="EHG88" s="109"/>
      <c r="EHH88" s="12"/>
      <c r="EHI88" s="109"/>
      <c r="EHJ88" s="12"/>
      <c r="EHK88" s="109"/>
      <c r="EHL88" s="12"/>
      <c r="EHM88" s="109"/>
      <c r="EHN88" s="12"/>
      <c r="EHO88" s="109"/>
      <c r="EHP88" s="12"/>
      <c r="EHQ88" s="109"/>
      <c r="EHR88" s="12"/>
      <c r="EHS88" s="109"/>
      <c r="EHT88" s="12"/>
      <c r="EHU88" s="109"/>
      <c r="EHV88" s="12"/>
      <c r="EHW88" s="109"/>
      <c r="EHX88" s="12"/>
      <c r="EHY88" s="109"/>
      <c r="EHZ88" s="12"/>
      <c r="EIA88" s="109"/>
      <c r="EIB88" s="12"/>
      <c r="EIC88" s="109"/>
      <c r="EID88" s="12"/>
      <c r="EIE88" s="109"/>
      <c r="EIF88" s="12"/>
      <c r="EIG88" s="109"/>
      <c r="EIH88" s="12"/>
      <c r="EII88" s="109"/>
      <c r="EIJ88" s="12"/>
      <c r="EIK88" s="109"/>
      <c r="EIL88" s="12"/>
      <c r="EIM88" s="109"/>
      <c r="EIN88" s="12"/>
      <c r="EIO88" s="109"/>
      <c r="EIP88" s="12"/>
      <c r="EIQ88" s="109"/>
      <c r="EIR88" s="12"/>
      <c r="EIS88" s="109"/>
      <c r="EIT88" s="12"/>
      <c r="EIU88" s="109"/>
      <c r="EIV88" s="12"/>
      <c r="EIW88" s="109"/>
      <c r="EIX88" s="12"/>
      <c r="EIY88" s="109"/>
      <c r="EIZ88" s="12"/>
      <c r="EJA88" s="109"/>
      <c r="EJB88" s="12"/>
      <c r="EJC88" s="109"/>
      <c r="EJD88" s="12"/>
      <c r="EJE88" s="109"/>
      <c r="EJF88" s="12"/>
      <c r="EJG88" s="109"/>
      <c r="EJH88" s="12"/>
      <c r="EJI88" s="109"/>
      <c r="EJJ88" s="12"/>
      <c r="EJK88" s="109"/>
      <c r="EJL88" s="12"/>
      <c r="EJM88" s="109"/>
      <c r="EJN88" s="12"/>
      <c r="EJO88" s="109"/>
      <c r="EJP88" s="12"/>
      <c r="EJQ88" s="109"/>
      <c r="EJR88" s="12"/>
      <c r="EJS88" s="109"/>
      <c r="EJT88" s="12"/>
      <c r="EJU88" s="109"/>
      <c r="EJV88" s="12"/>
      <c r="EJW88" s="109"/>
      <c r="EJX88" s="12"/>
      <c r="EJY88" s="109"/>
      <c r="EJZ88" s="12"/>
      <c r="EKA88" s="109"/>
      <c r="EKB88" s="12"/>
      <c r="EKC88" s="109"/>
      <c r="EKD88" s="12"/>
      <c r="EKE88" s="109"/>
      <c r="EKF88" s="12"/>
      <c r="EKG88" s="109"/>
      <c r="EKH88" s="12"/>
      <c r="EKI88" s="109"/>
      <c r="EKJ88" s="12"/>
      <c r="EKK88" s="109"/>
      <c r="EKL88" s="12"/>
      <c r="EKM88" s="109"/>
      <c r="EKN88" s="12"/>
      <c r="EKO88" s="109"/>
      <c r="EKP88" s="12"/>
      <c r="EKQ88" s="109"/>
      <c r="EKR88" s="12"/>
      <c r="EKS88" s="109"/>
      <c r="EKT88" s="12"/>
      <c r="EKU88" s="109"/>
      <c r="EKV88" s="12"/>
      <c r="EKW88" s="109"/>
      <c r="EKX88" s="12"/>
      <c r="EKY88" s="109"/>
      <c r="EKZ88" s="12"/>
      <c r="ELA88" s="109"/>
      <c r="ELB88" s="12"/>
      <c r="ELC88" s="109"/>
      <c r="ELD88" s="12"/>
      <c r="ELE88" s="109"/>
      <c r="ELF88" s="12"/>
      <c r="ELG88" s="109"/>
      <c r="ELH88" s="12"/>
      <c r="ELI88" s="109"/>
      <c r="ELJ88" s="12"/>
      <c r="ELK88" s="109"/>
      <c r="ELL88" s="12"/>
      <c r="ELM88" s="109"/>
      <c r="ELN88" s="12"/>
      <c r="ELO88" s="109"/>
      <c r="ELP88" s="12"/>
      <c r="ELQ88" s="109"/>
      <c r="ELR88" s="12"/>
      <c r="ELS88" s="109"/>
      <c r="ELT88" s="12"/>
      <c r="ELU88" s="109"/>
      <c r="ELV88" s="12"/>
      <c r="ELW88" s="109"/>
      <c r="ELX88" s="12"/>
      <c r="ELY88" s="109"/>
      <c r="ELZ88" s="12"/>
      <c r="EMA88" s="109"/>
      <c r="EMB88" s="12"/>
      <c r="EMC88" s="109"/>
      <c r="EMD88" s="12"/>
      <c r="EME88" s="109"/>
      <c r="EMF88" s="12"/>
      <c r="EMG88" s="109"/>
      <c r="EMH88" s="12"/>
      <c r="EMI88" s="109"/>
      <c r="EMJ88" s="12"/>
      <c r="EMK88" s="109"/>
      <c r="EML88" s="12"/>
      <c r="EMM88" s="109"/>
      <c r="EMN88" s="12"/>
      <c r="EMO88" s="109"/>
      <c r="EMP88" s="12"/>
      <c r="EMQ88" s="109"/>
      <c r="EMR88" s="12"/>
      <c r="EMS88" s="109"/>
      <c r="EMT88" s="12"/>
      <c r="EMU88" s="109"/>
      <c r="EMV88" s="12"/>
      <c r="EMW88" s="109"/>
      <c r="EMX88" s="12"/>
      <c r="EMY88" s="109"/>
      <c r="EMZ88" s="12"/>
      <c r="ENA88" s="109"/>
      <c r="ENB88" s="12"/>
      <c r="ENC88" s="109"/>
      <c r="END88" s="12"/>
      <c r="ENE88" s="109"/>
      <c r="ENF88" s="12"/>
      <c r="ENG88" s="109"/>
      <c r="ENH88" s="12"/>
      <c r="ENI88" s="109"/>
      <c r="ENJ88" s="12"/>
      <c r="ENK88" s="109"/>
      <c r="ENL88" s="12"/>
      <c r="ENM88" s="109"/>
      <c r="ENN88" s="12"/>
      <c r="ENO88" s="109"/>
      <c r="ENP88" s="12"/>
      <c r="ENQ88" s="109"/>
      <c r="ENR88" s="12"/>
      <c r="ENS88" s="109"/>
      <c r="ENT88" s="12"/>
      <c r="ENU88" s="109"/>
      <c r="ENV88" s="12"/>
      <c r="ENW88" s="109"/>
      <c r="ENX88" s="12"/>
      <c r="ENY88" s="109"/>
      <c r="ENZ88" s="12"/>
      <c r="EOA88" s="109"/>
      <c r="EOB88" s="12"/>
      <c r="EOC88" s="109"/>
      <c r="EOD88" s="12"/>
      <c r="EOE88" s="109"/>
      <c r="EOF88" s="12"/>
      <c r="EOG88" s="109"/>
      <c r="EOH88" s="12"/>
      <c r="EOI88" s="109"/>
      <c r="EOJ88" s="12"/>
      <c r="EOK88" s="109"/>
      <c r="EOL88" s="12"/>
      <c r="EOM88" s="109"/>
      <c r="EON88" s="12"/>
      <c r="EOO88" s="109"/>
      <c r="EOP88" s="12"/>
      <c r="EOQ88" s="109"/>
      <c r="EOR88" s="12"/>
      <c r="EOS88" s="109"/>
      <c r="EOT88" s="12"/>
      <c r="EOU88" s="109"/>
      <c r="EOV88" s="12"/>
      <c r="EOW88" s="109"/>
      <c r="EOX88" s="12"/>
      <c r="EOY88" s="109"/>
      <c r="EOZ88" s="12"/>
      <c r="EPA88" s="109"/>
      <c r="EPB88" s="12"/>
      <c r="EPC88" s="109"/>
      <c r="EPD88" s="12"/>
      <c r="EPE88" s="109"/>
      <c r="EPF88" s="12"/>
      <c r="EPG88" s="109"/>
      <c r="EPH88" s="12"/>
      <c r="EPI88" s="109"/>
      <c r="EPJ88" s="12"/>
      <c r="EPK88" s="109"/>
      <c r="EPL88" s="12"/>
      <c r="EPM88" s="109"/>
      <c r="EPN88" s="12"/>
      <c r="EPO88" s="109"/>
      <c r="EPP88" s="12"/>
      <c r="EPQ88" s="109"/>
      <c r="EPR88" s="12"/>
      <c r="EPS88" s="109"/>
      <c r="EPT88" s="12"/>
      <c r="EPU88" s="109"/>
      <c r="EPV88" s="12"/>
      <c r="EPW88" s="109"/>
      <c r="EPX88" s="12"/>
      <c r="EPY88" s="109"/>
      <c r="EPZ88" s="12"/>
      <c r="EQA88" s="109"/>
      <c r="EQB88" s="12"/>
      <c r="EQC88" s="109"/>
      <c r="EQD88" s="12"/>
      <c r="EQE88" s="109"/>
      <c r="EQF88" s="12"/>
      <c r="EQG88" s="109"/>
      <c r="EQH88" s="12"/>
      <c r="EQI88" s="109"/>
      <c r="EQJ88" s="12"/>
      <c r="EQK88" s="109"/>
      <c r="EQL88" s="12"/>
      <c r="EQM88" s="109"/>
      <c r="EQN88" s="12"/>
      <c r="EQO88" s="109"/>
      <c r="EQP88" s="12"/>
      <c r="EQQ88" s="109"/>
      <c r="EQR88" s="12"/>
      <c r="EQS88" s="109"/>
      <c r="EQT88" s="12"/>
      <c r="EQU88" s="109"/>
      <c r="EQV88" s="12"/>
      <c r="EQW88" s="109"/>
      <c r="EQX88" s="12"/>
      <c r="EQY88" s="109"/>
      <c r="EQZ88" s="12"/>
      <c r="ERA88" s="109"/>
      <c r="ERB88" s="12"/>
      <c r="ERC88" s="109"/>
      <c r="ERD88" s="12"/>
      <c r="ERE88" s="109"/>
      <c r="ERF88" s="12"/>
      <c r="ERG88" s="109"/>
      <c r="ERH88" s="12"/>
      <c r="ERI88" s="109"/>
      <c r="ERJ88" s="12"/>
      <c r="ERK88" s="109"/>
      <c r="ERL88" s="12"/>
      <c r="ERM88" s="109"/>
      <c r="ERN88" s="12"/>
      <c r="ERO88" s="109"/>
      <c r="ERP88" s="12"/>
      <c r="ERQ88" s="109"/>
      <c r="ERR88" s="12"/>
      <c r="ERS88" s="109"/>
      <c r="ERT88" s="12"/>
      <c r="ERU88" s="109"/>
      <c r="ERV88" s="12"/>
      <c r="ERW88" s="109"/>
      <c r="ERX88" s="12"/>
      <c r="ERY88" s="109"/>
      <c r="ERZ88" s="12"/>
      <c r="ESA88" s="109"/>
      <c r="ESB88" s="12"/>
      <c r="ESC88" s="109"/>
      <c r="ESD88" s="12"/>
      <c r="ESE88" s="109"/>
      <c r="ESF88" s="12"/>
      <c r="ESG88" s="109"/>
      <c r="ESH88" s="12"/>
      <c r="ESI88" s="109"/>
      <c r="ESJ88" s="12"/>
      <c r="ESK88" s="109"/>
      <c r="ESL88" s="12"/>
      <c r="ESM88" s="109"/>
      <c r="ESN88" s="12"/>
      <c r="ESO88" s="109"/>
      <c r="ESP88" s="12"/>
      <c r="ESQ88" s="109"/>
      <c r="ESR88" s="12"/>
      <c r="ESS88" s="109"/>
      <c r="EST88" s="12"/>
      <c r="ESU88" s="109"/>
      <c r="ESV88" s="12"/>
      <c r="ESW88" s="109"/>
      <c r="ESX88" s="12"/>
      <c r="ESY88" s="109"/>
      <c r="ESZ88" s="12"/>
      <c r="ETA88" s="109"/>
      <c r="ETB88" s="12"/>
      <c r="ETC88" s="109"/>
      <c r="ETD88" s="12"/>
      <c r="ETE88" s="109"/>
      <c r="ETF88" s="12"/>
      <c r="ETG88" s="109"/>
      <c r="ETH88" s="12"/>
      <c r="ETI88" s="109"/>
      <c r="ETJ88" s="12"/>
      <c r="ETK88" s="109"/>
      <c r="ETL88" s="12"/>
      <c r="ETM88" s="109"/>
      <c r="ETN88" s="12"/>
      <c r="ETO88" s="109"/>
      <c r="ETP88" s="12"/>
      <c r="ETQ88" s="109"/>
      <c r="ETR88" s="12"/>
      <c r="ETS88" s="109"/>
      <c r="ETT88" s="12"/>
      <c r="ETU88" s="109"/>
      <c r="ETV88" s="12"/>
      <c r="ETW88" s="109"/>
      <c r="ETX88" s="12"/>
      <c r="ETY88" s="109"/>
      <c r="ETZ88" s="12"/>
      <c r="EUA88" s="109"/>
      <c r="EUB88" s="12"/>
      <c r="EUC88" s="109"/>
      <c r="EUD88" s="12"/>
      <c r="EUE88" s="109"/>
      <c r="EUF88" s="12"/>
      <c r="EUG88" s="109"/>
      <c r="EUH88" s="12"/>
      <c r="EUI88" s="109"/>
      <c r="EUJ88" s="12"/>
      <c r="EUK88" s="109"/>
      <c r="EUL88" s="12"/>
      <c r="EUM88" s="109"/>
      <c r="EUN88" s="12"/>
      <c r="EUO88" s="109"/>
      <c r="EUP88" s="12"/>
      <c r="EUQ88" s="109"/>
      <c r="EUR88" s="12"/>
      <c r="EUS88" s="109"/>
      <c r="EUT88" s="12"/>
      <c r="EUU88" s="109"/>
      <c r="EUV88" s="12"/>
      <c r="EUW88" s="109"/>
      <c r="EUX88" s="12"/>
      <c r="EUY88" s="109"/>
      <c r="EUZ88" s="12"/>
      <c r="EVA88" s="109"/>
      <c r="EVB88" s="12"/>
      <c r="EVC88" s="109"/>
      <c r="EVD88" s="12"/>
      <c r="EVE88" s="109"/>
      <c r="EVF88" s="12"/>
      <c r="EVG88" s="109"/>
      <c r="EVH88" s="12"/>
      <c r="EVI88" s="109"/>
      <c r="EVJ88" s="12"/>
      <c r="EVK88" s="109"/>
      <c r="EVL88" s="12"/>
      <c r="EVM88" s="109"/>
      <c r="EVN88" s="12"/>
      <c r="EVO88" s="109"/>
      <c r="EVP88" s="12"/>
      <c r="EVQ88" s="109"/>
      <c r="EVR88" s="12"/>
      <c r="EVS88" s="109"/>
      <c r="EVT88" s="12"/>
      <c r="EVU88" s="109"/>
      <c r="EVV88" s="12"/>
      <c r="EVW88" s="109"/>
      <c r="EVX88" s="12"/>
      <c r="EVY88" s="109"/>
      <c r="EVZ88" s="12"/>
      <c r="EWA88" s="109"/>
      <c r="EWB88" s="12"/>
      <c r="EWC88" s="109"/>
      <c r="EWD88" s="12"/>
      <c r="EWE88" s="109"/>
      <c r="EWF88" s="12"/>
      <c r="EWG88" s="109"/>
      <c r="EWH88" s="12"/>
      <c r="EWI88" s="109"/>
      <c r="EWJ88" s="12"/>
      <c r="EWK88" s="109"/>
      <c r="EWL88" s="12"/>
      <c r="EWM88" s="109"/>
      <c r="EWN88" s="12"/>
      <c r="EWO88" s="109"/>
      <c r="EWP88" s="12"/>
      <c r="EWQ88" s="109"/>
      <c r="EWR88" s="12"/>
      <c r="EWS88" s="109"/>
      <c r="EWT88" s="12"/>
      <c r="EWU88" s="109"/>
      <c r="EWV88" s="12"/>
      <c r="EWW88" s="109"/>
      <c r="EWX88" s="12"/>
      <c r="EWY88" s="109"/>
      <c r="EWZ88" s="12"/>
      <c r="EXA88" s="109"/>
      <c r="EXB88" s="12"/>
      <c r="EXC88" s="109"/>
      <c r="EXD88" s="12"/>
      <c r="EXE88" s="109"/>
      <c r="EXF88" s="12"/>
      <c r="EXG88" s="109"/>
      <c r="EXH88" s="12"/>
      <c r="EXI88" s="109"/>
      <c r="EXJ88" s="12"/>
      <c r="EXK88" s="109"/>
      <c r="EXL88" s="12"/>
      <c r="EXM88" s="109"/>
      <c r="EXN88" s="12"/>
      <c r="EXO88" s="109"/>
      <c r="EXP88" s="12"/>
      <c r="EXQ88" s="109"/>
      <c r="EXR88" s="12"/>
      <c r="EXS88" s="109"/>
      <c r="EXT88" s="12"/>
      <c r="EXU88" s="109"/>
      <c r="EXV88" s="12"/>
      <c r="EXW88" s="109"/>
      <c r="EXX88" s="12"/>
      <c r="EXY88" s="109"/>
      <c r="EXZ88" s="12"/>
      <c r="EYA88" s="109"/>
      <c r="EYB88" s="12"/>
      <c r="EYC88" s="109"/>
      <c r="EYD88" s="12"/>
      <c r="EYE88" s="109"/>
      <c r="EYF88" s="12"/>
      <c r="EYG88" s="109"/>
      <c r="EYH88" s="12"/>
      <c r="EYI88" s="109"/>
      <c r="EYJ88" s="12"/>
      <c r="EYK88" s="109"/>
      <c r="EYL88" s="12"/>
      <c r="EYM88" s="109"/>
      <c r="EYN88" s="12"/>
      <c r="EYO88" s="109"/>
      <c r="EYP88" s="12"/>
      <c r="EYQ88" s="109"/>
      <c r="EYR88" s="12"/>
      <c r="EYS88" s="109"/>
      <c r="EYT88" s="12"/>
      <c r="EYU88" s="109"/>
      <c r="EYV88" s="12"/>
      <c r="EYW88" s="109"/>
      <c r="EYX88" s="12"/>
      <c r="EYY88" s="109"/>
      <c r="EYZ88" s="12"/>
      <c r="EZA88" s="109"/>
      <c r="EZB88" s="12"/>
      <c r="EZC88" s="109"/>
      <c r="EZD88" s="12"/>
      <c r="EZE88" s="109"/>
      <c r="EZF88" s="12"/>
      <c r="EZG88" s="109"/>
      <c r="EZH88" s="12"/>
      <c r="EZI88" s="109"/>
      <c r="EZJ88" s="12"/>
      <c r="EZK88" s="109"/>
      <c r="EZL88" s="12"/>
      <c r="EZM88" s="109"/>
      <c r="EZN88" s="12"/>
      <c r="EZO88" s="109"/>
      <c r="EZP88" s="12"/>
      <c r="EZQ88" s="109"/>
      <c r="EZR88" s="12"/>
      <c r="EZS88" s="109"/>
      <c r="EZT88" s="12"/>
      <c r="EZU88" s="109"/>
      <c r="EZV88" s="12"/>
      <c r="EZW88" s="109"/>
      <c r="EZX88" s="12"/>
      <c r="EZY88" s="109"/>
      <c r="EZZ88" s="12"/>
      <c r="FAA88" s="109"/>
      <c r="FAB88" s="12"/>
      <c r="FAC88" s="109"/>
      <c r="FAD88" s="12"/>
      <c r="FAE88" s="109"/>
      <c r="FAF88" s="12"/>
      <c r="FAG88" s="109"/>
      <c r="FAH88" s="12"/>
      <c r="FAI88" s="109"/>
      <c r="FAJ88" s="12"/>
      <c r="FAK88" s="109"/>
      <c r="FAL88" s="12"/>
      <c r="FAM88" s="109"/>
      <c r="FAN88" s="12"/>
      <c r="FAO88" s="109"/>
      <c r="FAP88" s="12"/>
      <c r="FAQ88" s="109"/>
      <c r="FAR88" s="12"/>
      <c r="FAS88" s="109"/>
      <c r="FAT88" s="12"/>
      <c r="FAU88" s="109"/>
      <c r="FAV88" s="12"/>
      <c r="FAW88" s="109"/>
      <c r="FAX88" s="12"/>
      <c r="FAY88" s="109"/>
      <c r="FAZ88" s="12"/>
      <c r="FBA88" s="109"/>
      <c r="FBB88" s="12"/>
      <c r="FBC88" s="109"/>
      <c r="FBD88" s="12"/>
      <c r="FBE88" s="109"/>
      <c r="FBF88" s="12"/>
      <c r="FBG88" s="109"/>
      <c r="FBH88" s="12"/>
      <c r="FBI88" s="109"/>
      <c r="FBJ88" s="12"/>
      <c r="FBK88" s="109"/>
      <c r="FBL88" s="12"/>
      <c r="FBM88" s="109"/>
      <c r="FBN88" s="12"/>
      <c r="FBO88" s="109"/>
      <c r="FBP88" s="12"/>
      <c r="FBQ88" s="109"/>
      <c r="FBR88" s="12"/>
      <c r="FBS88" s="109"/>
      <c r="FBT88" s="12"/>
      <c r="FBU88" s="109"/>
      <c r="FBV88" s="12"/>
      <c r="FBW88" s="109"/>
      <c r="FBX88" s="12"/>
      <c r="FBY88" s="109"/>
      <c r="FBZ88" s="12"/>
      <c r="FCA88" s="109"/>
      <c r="FCB88" s="12"/>
      <c r="FCC88" s="109"/>
      <c r="FCD88" s="12"/>
      <c r="FCE88" s="109"/>
      <c r="FCF88" s="12"/>
      <c r="FCG88" s="109"/>
      <c r="FCH88" s="12"/>
      <c r="FCI88" s="109"/>
      <c r="FCJ88" s="12"/>
      <c r="FCK88" s="109"/>
      <c r="FCL88" s="12"/>
      <c r="FCM88" s="109"/>
      <c r="FCN88" s="12"/>
      <c r="FCO88" s="109"/>
      <c r="FCP88" s="12"/>
      <c r="FCQ88" s="109"/>
      <c r="FCR88" s="12"/>
      <c r="FCS88" s="109"/>
      <c r="FCT88" s="12"/>
      <c r="FCU88" s="109"/>
      <c r="FCV88" s="12"/>
      <c r="FCW88" s="109"/>
      <c r="FCX88" s="12"/>
      <c r="FCY88" s="109"/>
      <c r="FCZ88" s="12"/>
      <c r="FDA88" s="109"/>
      <c r="FDB88" s="12"/>
      <c r="FDC88" s="109"/>
      <c r="FDD88" s="12"/>
      <c r="FDE88" s="109"/>
      <c r="FDF88" s="12"/>
      <c r="FDG88" s="109"/>
      <c r="FDH88" s="12"/>
      <c r="FDI88" s="109"/>
      <c r="FDJ88" s="12"/>
      <c r="FDK88" s="109"/>
      <c r="FDL88" s="12"/>
      <c r="FDM88" s="109"/>
      <c r="FDN88" s="12"/>
      <c r="FDO88" s="109"/>
      <c r="FDP88" s="12"/>
      <c r="FDQ88" s="109"/>
      <c r="FDR88" s="12"/>
      <c r="FDS88" s="109"/>
      <c r="FDT88" s="12"/>
      <c r="FDU88" s="109"/>
      <c r="FDV88" s="12"/>
      <c r="FDW88" s="109"/>
      <c r="FDX88" s="12"/>
      <c r="FDY88" s="109"/>
      <c r="FDZ88" s="12"/>
      <c r="FEA88" s="109"/>
      <c r="FEB88" s="12"/>
      <c r="FEC88" s="109"/>
      <c r="FED88" s="12"/>
      <c r="FEE88" s="109"/>
      <c r="FEF88" s="12"/>
      <c r="FEG88" s="109"/>
      <c r="FEH88" s="12"/>
      <c r="FEI88" s="109"/>
      <c r="FEJ88" s="12"/>
      <c r="FEK88" s="109"/>
      <c r="FEL88" s="12"/>
      <c r="FEM88" s="109"/>
      <c r="FEN88" s="12"/>
      <c r="FEO88" s="109"/>
      <c r="FEP88" s="12"/>
      <c r="FEQ88" s="109"/>
      <c r="FER88" s="12"/>
      <c r="FES88" s="109"/>
      <c r="FET88" s="12"/>
      <c r="FEU88" s="109"/>
      <c r="FEV88" s="12"/>
      <c r="FEW88" s="109"/>
      <c r="FEX88" s="12"/>
      <c r="FEY88" s="109"/>
      <c r="FEZ88" s="12"/>
      <c r="FFA88" s="109"/>
      <c r="FFB88" s="12"/>
      <c r="FFC88" s="109"/>
      <c r="FFD88" s="12"/>
      <c r="FFE88" s="109"/>
      <c r="FFF88" s="12"/>
      <c r="FFG88" s="109"/>
      <c r="FFH88" s="12"/>
      <c r="FFI88" s="109"/>
      <c r="FFJ88" s="12"/>
      <c r="FFK88" s="109"/>
      <c r="FFL88" s="12"/>
      <c r="FFM88" s="109"/>
      <c r="FFN88" s="12"/>
      <c r="FFO88" s="109"/>
      <c r="FFP88" s="12"/>
      <c r="FFQ88" s="109"/>
      <c r="FFR88" s="12"/>
      <c r="FFS88" s="109"/>
      <c r="FFT88" s="12"/>
      <c r="FFU88" s="109"/>
      <c r="FFV88" s="12"/>
      <c r="FFW88" s="109"/>
      <c r="FFX88" s="12"/>
      <c r="FFY88" s="109"/>
      <c r="FFZ88" s="12"/>
      <c r="FGA88" s="109"/>
      <c r="FGB88" s="12"/>
      <c r="FGC88" s="109"/>
      <c r="FGD88" s="12"/>
      <c r="FGE88" s="109"/>
      <c r="FGF88" s="12"/>
      <c r="FGG88" s="109"/>
      <c r="FGH88" s="12"/>
      <c r="FGI88" s="109"/>
      <c r="FGJ88" s="12"/>
      <c r="FGK88" s="109"/>
      <c r="FGL88" s="12"/>
      <c r="FGM88" s="109"/>
      <c r="FGN88" s="12"/>
      <c r="FGO88" s="109"/>
      <c r="FGP88" s="12"/>
      <c r="FGQ88" s="109"/>
      <c r="FGR88" s="12"/>
      <c r="FGS88" s="109"/>
      <c r="FGT88" s="12"/>
      <c r="FGU88" s="109"/>
      <c r="FGV88" s="12"/>
      <c r="FGW88" s="109"/>
      <c r="FGX88" s="12"/>
      <c r="FGY88" s="109"/>
      <c r="FGZ88" s="12"/>
      <c r="FHA88" s="109"/>
      <c r="FHB88" s="12"/>
      <c r="FHC88" s="109"/>
      <c r="FHD88" s="12"/>
      <c r="FHE88" s="109"/>
      <c r="FHF88" s="12"/>
      <c r="FHG88" s="109"/>
      <c r="FHH88" s="12"/>
      <c r="FHI88" s="109"/>
      <c r="FHJ88" s="12"/>
      <c r="FHK88" s="109"/>
      <c r="FHL88" s="12"/>
      <c r="FHM88" s="109"/>
      <c r="FHN88" s="12"/>
      <c r="FHO88" s="109"/>
      <c r="FHP88" s="12"/>
      <c r="FHQ88" s="109"/>
      <c r="FHR88" s="12"/>
      <c r="FHS88" s="109"/>
      <c r="FHT88" s="12"/>
      <c r="FHU88" s="109"/>
      <c r="FHV88" s="12"/>
      <c r="FHW88" s="109"/>
      <c r="FHX88" s="12"/>
      <c r="FHY88" s="109"/>
      <c r="FHZ88" s="12"/>
      <c r="FIA88" s="109"/>
      <c r="FIB88" s="12"/>
      <c r="FIC88" s="109"/>
      <c r="FID88" s="12"/>
      <c r="FIE88" s="109"/>
      <c r="FIF88" s="12"/>
      <c r="FIG88" s="109"/>
      <c r="FIH88" s="12"/>
      <c r="FII88" s="109"/>
      <c r="FIJ88" s="12"/>
      <c r="FIK88" s="109"/>
      <c r="FIL88" s="12"/>
      <c r="FIM88" s="109"/>
      <c r="FIN88" s="12"/>
      <c r="FIO88" s="109"/>
      <c r="FIP88" s="12"/>
      <c r="FIQ88" s="109"/>
      <c r="FIR88" s="12"/>
      <c r="FIS88" s="109"/>
      <c r="FIT88" s="12"/>
      <c r="FIU88" s="109"/>
      <c r="FIV88" s="12"/>
      <c r="FIW88" s="109"/>
      <c r="FIX88" s="12"/>
      <c r="FIY88" s="109"/>
      <c r="FIZ88" s="12"/>
      <c r="FJA88" s="109"/>
      <c r="FJB88" s="12"/>
      <c r="FJC88" s="109"/>
      <c r="FJD88" s="12"/>
      <c r="FJE88" s="109"/>
      <c r="FJF88" s="12"/>
      <c r="FJG88" s="109"/>
      <c r="FJH88" s="12"/>
      <c r="FJI88" s="109"/>
      <c r="FJJ88" s="12"/>
      <c r="FJK88" s="109"/>
      <c r="FJL88" s="12"/>
      <c r="FJM88" s="109"/>
      <c r="FJN88" s="12"/>
      <c r="FJO88" s="109"/>
      <c r="FJP88" s="12"/>
      <c r="FJQ88" s="109"/>
      <c r="FJR88" s="12"/>
      <c r="FJS88" s="109"/>
      <c r="FJT88" s="12"/>
      <c r="FJU88" s="109"/>
      <c r="FJV88" s="12"/>
      <c r="FJW88" s="109"/>
      <c r="FJX88" s="12"/>
      <c r="FJY88" s="109"/>
      <c r="FJZ88" s="12"/>
      <c r="FKA88" s="109"/>
      <c r="FKB88" s="12"/>
      <c r="FKC88" s="109"/>
      <c r="FKD88" s="12"/>
      <c r="FKE88" s="109"/>
      <c r="FKF88" s="12"/>
      <c r="FKG88" s="109"/>
      <c r="FKH88" s="12"/>
      <c r="FKI88" s="109"/>
      <c r="FKJ88" s="12"/>
      <c r="FKK88" s="109"/>
      <c r="FKL88" s="12"/>
      <c r="FKM88" s="109"/>
      <c r="FKN88" s="12"/>
      <c r="FKO88" s="109"/>
      <c r="FKP88" s="12"/>
      <c r="FKQ88" s="109"/>
      <c r="FKR88" s="12"/>
      <c r="FKS88" s="109"/>
      <c r="FKT88" s="12"/>
      <c r="FKU88" s="109"/>
      <c r="FKV88" s="12"/>
      <c r="FKW88" s="109"/>
      <c r="FKX88" s="12"/>
      <c r="FKY88" s="109"/>
      <c r="FKZ88" s="12"/>
      <c r="FLA88" s="109"/>
      <c r="FLB88" s="12"/>
      <c r="FLC88" s="109"/>
      <c r="FLD88" s="12"/>
      <c r="FLE88" s="109"/>
      <c r="FLF88" s="12"/>
      <c r="FLG88" s="109"/>
      <c r="FLH88" s="12"/>
      <c r="FLI88" s="109"/>
      <c r="FLJ88" s="12"/>
      <c r="FLK88" s="109"/>
      <c r="FLL88" s="12"/>
      <c r="FLM88" s="109"/>
      <c r="FLN88" s="12"/>
      <c r="FLO88" s="109"/>
      <c r="FLP88" s="12"/>
      <c r="FLQ88" s="109"/>
      <c r="FLR88" s="12"/>
      <c r="FLS88" s="109"/>
      <c r="FLT88" s="12"/>
      <c r="FLU88" s="109"/>
      <c r="FLV88" s="12"/>
      <c r="FLW88" s="109"/>
      <c r="FLX88" s="12"/>
      <c r="FLY88" s="109"/>
      <c r="FLZ88" s="12"/>
      <c r="FMA88" s="109"/>
      <c r="FMB88" s="12"/>
      <c r="FMC88" s="109"/>
      <c r="FMD88" s="12"/>
      <c r="FME88" s="109"/>
      <c r="FMF88" s="12"/>
      <c r="FMG88" s="109"/>
      <c r="FMH88" s="12"/>
      <c r="FMI88" s="109"/>
      <c r="FMJ88" s="12"/>
      <c r="FMK88" s="109"/>
      <c r="FML88" s="12"/>
      <c r="FMM88" s="109"/>
      <c r="FMN88" s="12"/>
      <c r="FMO88" s="109"/>
      <c r="FMP88" s="12"/>
      <c r="FMQ88" s="109"/>
      <c r="FMR88" s="12"/>
      <c r="FMS88" s="109"/>
      <c r="FMT88" s="12"/>
      <c r="FMU88" s="109"/>
      <c r="FMV88" s="12"/>
      <c r="FMW88" s="109"/>
      <c r="FMX88" s="12"/>
      <c r="FMY88" s="109"/>
      <c r="FMZ88" s="12"/>
      <c r="FNA88" s="109"/>
      <c r="FNB88" s="12"/>
      <c r="FNC88" s="109"/>
      <c r="FND88" s="12"/>
      <c r="FNE88" s="109"/>
      <c r="FNF88" s="12"/>
      <c r="FNG88" s="109"/>
      <c r="FNH88" s="12"/>
      <c r="FNI88" s="109"/>
      <c r="FNJ88" s="12"/>
      <c r="FNK88" s="109"/>
      <c r="FNL88" s="12"/>
      <c r="FNM88" s="109"/>
      <c r="FNN88" s="12"/>
      <c r="FNO88" s="109"/>
      <c r="FNP88" s="12"/>
      <c r="FNQ88" s="109"/>
      <c r="FNR88" s="12"/>
      <c r="FNS88" s="109"/>
      <c r="FNT88" s="12"/>
      <c r="FNU88" s="109"/>
      <c r="FNV88" s="12"/>
      <c r="FNW88" s="109"/>
      <c r="FNX88" s="12"/>
      <c r="FNY88" s="109"/>
      <c r="FNZ88" s="12"/>
      <c r="FOA88" s="109"/>
      <c r="FOB88" s="12"/>
      <c r="FOC88" s="109"/>
      <c r="FOD88" s="12"/>
      <c r="FOE88" s="109"/>
      <c r="FOF88" s="12"/>
      <c r="FOG88" s="109"/>
      <c r="FOH88" s="12"/>
      <c r="FOI88" s="109"/>
      <c r="FOJ88" s="12"/>
      <c r="FOK88" s="109"/>
      <c r="FOL88" s="12"/>
      <c r="FOM88" s="109"/>
      <c r="FON88" s="12"/>
      <c r="FOO88" s="109"/>
      <c r="FOP88" s="12"/>
      <c r="FOQ88" s="109"/>
      <c r="FOR88" s="12"/>
      <c r="FOS88" s="109"/>
      <c r="FOT88" s="12"/>
      <c r="FOU88" s="109"/>
      <c r="FOV88" s="12"/>
      <c r="FOW88" s="109"/>
      <c r="FOX88" s="12"/>
      <c r="FOY88" s="109"/>
      <c r="FOZ88" s="12"/>
      <c r="FPA88" s="109"/>
      <c r="FPB88" s="12"/>
      <c r="FPC88" s="109"/>
      <c r="FPD88" s="12"/>
      <c r="FPE88" s="109"/>
      <c r="FPF88" s="12"/>
      <c r="FPG88" s="109"/>
      <c r="FPH88" s="12"/>
      <c r="FPI88" s="109"/>
      <c r="FPJ88" s="12"/>
      <c r="FPK88" s="109"/>
      <c r="FPL88" s="12"/>
      <c r="FPM88" s="109"/>
      <c r="FPN88" s="12"/>
      <c r="FPO88" s="109"/>
      <c r="FPP88" s="12"/>
      <c r="FPQ88" s="109"/>
      <c r="FPR88" s="12"/>
      <c r="FPS88" s="109"/>
      <c r="FPT88" s="12"/>
      <c r="FPU88" s="109"/>
      <c r="FPV88" s="12"/>
      <c r="FPW88" s="109"/>
      <c r="FPX88" s="12"/>
      <c r="FPY88" s="109"/>
      <c r="FPZ88" s="12"/>
      <c r="FQA88" s="109"/>
      <c r="FQB88" s="12"/>
      <c r="FQC88" s="109"/>
      <c r="FQD88" s="12"/>
      <c r="FQE88" s="109"/>
      <c r="FQF88" s="12"/>
      <c r="FQG88" s="109"/>
      <c r="FQH88" s="12"/>
      <c r="FQI88" s="109"/>
      <c r="FQJ88" s="12"/>
      <c r="FQK88" s="109"/>
      <c r="FQL88" s="12"/>
      <c r="FQM88" s="109"/>
      <c r="FQN88" s="12"/>
      <c r="FQO88" s="109"/>
      <c r="FQP88" s="12"/>
      <c r="FQQ88" s="109"/>
      <c r="FQR88" s="12"/>
      <c r="FQS88" s="109"/>
      <c r="FQT88" s="12"/>
      <c r="FQU88" s="109"/>
      <c r="FQV88" s="12"/>
      <c r="FQW88" s="109"/>
      <c r="FQX88" s="12"/>
      <c r="FQY88" s="109"/>
      <c r="FQZ88" s="12"/>
      <c r="FRA88" s="109"/>
      <c r="FRB88" s="12"/>
      <c r="FRC88" s="109"/>
      <c r="FRD88" s="12"/>
      <c r="FRE88" s="109"/>
      <c r="FRF88" s="12"/>
      <c r="FRG88" s="109"/>
      <c r="FRH88" s="12"/>
      <c r="FRI88" s="109"/>
      <c r="FRJ88" s="12"/>
      <c r="FRK88" s="109"/>
      <c r="FRL88" s="12"/>
      <c r="FRM88" s="109"/>
      <c r="FRN88" s="12"/>
      <c r="FRO88" s="109"/>
      <c r="FRP88" s="12"/>
      <c r="FRQ88" s="109"/>
      <c r="FRR88" s="12"/>
      <c r="FRS88" s="109"/>
      <c r="FRT88" s="12"/>
      <c r="FRU88" s="109"/>
      <c r="FRV88" s="12"/>
      <c r="FRW88" s="109"/>
      <c r="FRX88" s="12"/>
      <c r="FRY88" s="109"/>
      <c r="FRZ88" s="12"/>
      <c r="FSA88" s="109"/>
      <c r="FSB88" s="12"/>
      <c r="FSC88" s="109"/>
      <c r="FSD88" s="12"/>
      <c r="FSE88" s="109"/>
      <c r="FSF88" s="12"/>
      <c r="FSG88" s="109"/>
      <c r="FSH88" s="12"/>
      <c r="FSI88" s="109"/>
      <c r="FSJ88" s="12"/>
      <c r="FSK88" s="109"/>
      <c r="FSL88" s="12"/>
      <c r="FSM88" s="109"/>
      <c r="FSN88" s="12"/>
      <c r="FSO88" s="109"/>
      <c r="FSP88" s="12"/>
      <c r="FSQ88" s="109"/>
      <c r="FSR88" s="12"/>
      <c r="FSS88" s="109"/>
      <c r="FST88" s="12"/>
      <c r="FSU88" s="109"/>
      <c r="FSV88" s="12"/>
      <c r="FSW88" s="109"/>
      <c r="FSX88" s="12"/>
      <c r="FSY88" s="109"/>
      <c r="FSZ88" s="12"/>
      <c r="FTA88" s="109"/>
      <c r="FTB88" s="12"/>
      <c r="FTC88" s="109"/>
      <c r="FTD88" s="12"/>
      <c r="FTE88" s="109"/>
      <c r="FTF88" s="12"/>
      <c r="FTG88" s="109"/>
      <c r="FTH88" s="12"/>
      <c r="FTI88" s="109"/>
      <c r="FTJ88" s="12"/>
      <c r="FTK88" s="109"/>
      <c r="FTL88" s="12"/>
      <c r="FTM88" s="109"/>
      <c r="FTN88" s="12"/>
      <c r="FTO88" s="109"/>
      <c r="FTP88" s="12"/>
      <c r="FTQ88" s="109"/>
      <c r="FTR88" s="12"/>
      <c r="FTS88" s="109"/>
      <c r="FTT88" s="12"/>
      <c r="FTU88" s="109"/>
      <c r="FTV88" s="12"/>
      <c r="FTW88" s="109"/>
      <c r="FTX88" s="12"/>
      <c r="FTY88" s="109"/>
      <c r="FTZ88" s="12"/>
      <c r="FUA88" s="109"/>
      <c r="FUB88" s="12"/>
      <c r="FUC88" s="109"/>
      <c r="FUD88" s="12"/>
      <c r="FUE88" s="109"/>
      <c r="FUF88" s="12"/>
      <c r="FUG88" s="109"/>
      <c r="FUH88" s="12"/>
      <c r="FUI88" s="109"/>
      <c r="FUJ88" s="12"/>
      <c r="FUK88" s="109"/>
      <c r="FUL88" s="12"/>
      <c r="FUM88" s="109"/>
      <c r="FUN88" s="12"/>
      <c r="FUO88" s="109"/>
      <c r="FUP88" s="12"/>
      <c r="FUQ88" s="109"/>
      <c r="FUR88" s="12"/>
      <c r="FUS88" s="109"/>
      <c r="FUT88" s="12"/>
      <c r="FUU88" s="109"/>
      <c r="FUV88" s="12"/>
      <c r="FUW88" s="109"/>
      <c r="FUX88" s="12"/>
      <c r="FUY88" s="109"/>
      <c r="FUZ88" s="12"/>
      <c r="FVA88" s="109"/>
      <c r="FVB88" s="12"/>
      <c r="FVC88" s="109"/>
      <c r="FVD88" s="12"/>
      <c r="FVE88" s="109"/>
      <c r="FVF88" s="12"/>
      <c r="FVG88" s="109"/>
      <c r="FVH88" s="12"/>
      <c r="FVI88" s="109"/>
      <c r="FVJ88" s="12"/>
      <c r="FVK88" s="109"/>
      <c r="FVL88" s="12"/>
      <c r="FVM88" s="109"/>
      <c r="FVN88" s="12"/>
      <c r="FVO88" s="109"/>
      <c r="FVP88" s="12"/>
      <c r="FVQ88" s="109"/>
      <c r="FVR88" s="12"/>
      <c r="FVS88" s="109"/>
      <c r="FVT88" s="12"/>
      <c r="FVU88" s="109"/>
      <c r="FVV88" s="12"/>
      <c r="FVW88" s="109"/>
      <c r="FVX88" s="12"/>
      <c r="FVY88" s="109"/>
      <c r="FVZ88" s="12"/>
      <c r="FWA88" s="109"/>
      <c r="FWB88" s="12"/>
      <c r="FWC88" s="109"/>
      <c r="FWD88" s="12"/>
      <c r="FWE88" s="109"/>
      <c r="FWF88" s="12"/>
      <c r="FWG88" s="109"/>
      <c r="FWH88" s="12"/>
      <c r="FWI88" s="109"/>
      <c r="FWJ88" s="12"/>
      <c r="FWK88" s="109"/>
      <c r="FWL88" s="12"/>
      <c r="FWM88" s="109"/>
      <c r="FWN88" s="12"/>
      <c r="FWO88" s="109"/>
      <c r="FWP88" s="12"/>
      <c r="FWQ88" s="109"/>
      <c r="FWR88" s="12"/>
      <c r="FWS88" s="109"/>
      <c r="FWT88" s="12"/>
      <c r="FWU88" s="109"/>
      <c r="FWV88" s="12"/>
      <c r="FWW88" s="109"/>
      <c r="FWX88" s="12"/>
      <c r="FWY88" s="109"/>
      <c r="FWZ88" s="12"/>
      <c r="FXA88" s="109"/>
      <c r="FXB88" s="12"/>
      <c r="FXC88" s="109"/>
      <c r="FXD88" s="12"/>
      <c r="FXE88" s="109"/>
      <c r="FXF88" s="12"/>
      <c r="FXG88" s="109"/>
      <c r="FXH88" s="12"/>
      <c r="FXI88" s="109"/>
      <c r="FXJ88" s="12"/>
      <c r="FXK88" s="109"/>
      <c r="FXL88" s="12"/>
      <c r="FXM88" s="109"/>
      <c r="FXN88" s="12"/>
      <c r="FXO88" s="109"/>
      <c r="FXP88" s="12"/>
      <c r="FXQ88" s="109"/>
      <c r="FXR88" s="12"/>
      <c r="FXS88" s="109"/>
      <c r="FXT88" s="12"/>
      <c r="FXU88" s="109"/>
      <c r="FXV88" s="12"/>
      <c r="FXW88" s="109"/>
      <c r="FXX88" s="12"/>
      <c r="FXY88" s="109"/>
      <c r="FXZ88" s="12"/>
      <c r="FYA88" s="109"/>
      <c r="FYB88" s="12"/>
      <c r="FYC88" s="109"/>
      <c r="FYD88" s="12"/>
      <c r="FYE88" s="109"/>
      <c r="FYF88" s="12"/>
      <c r="FYG88" s="109"/>
      <c r="FYH88" s="12"/>
      <c r="FYI88" s="109"/>
      <c r="FYJ88" s="12"/>
      <c r="FYK88" s="109"/>
      <c r="FYL88" s="12"/>
      <c r="FYM88" s="109"/>
      <c r="FYN88" s="12"/>
      <c r="FYO88" s="109"/>
      <c r="FYP88" s="12"/>
      <c r="FYQ88" s="109"/>
      <c r="FYR88" s="12"/>
      <c r="FYS88" s="109"/>
      <c r="FYT88" s="12"/>
      <c r="FYU88" s="109"/>
      <c r="FYV88" s="12"/>
      <c r="FYW88" s="109"/>
      <c r="FYX88" s="12"/>
      <c r="FYY88" s="109"/>
      <c r="FYZ88" s="12"/>
      <c r="FZA88" s="109"/>
      <c r="FZB88" s="12"/>
      <c r="FZC88" s="109"/>
      <c r="FZD88" s="12"/>
      <c r="FZE88" s="109"/>
      <c r="FZF88" s="12"/>
      <c r="FZG88" s="109"/>
      <c r="FZH88" s="12"/>
      <c r="FZI88" s="109"/>
      <c r="FZJ88" s="12"/>
      <c r="FZK88" s="109"/>
      <c r="FZL88" s="12"/>
      <c r="FZM88" s="109"/>
      <c r="FZN88" s="12"/>
      <c r="FZO88" s="109"/>
      <c r="FZP88" s="12"/>
      <c r="FZQ88" s="109"/>
      <c r="FZR88" s="12"/>
      <c r="FZS88" s="109"/>
      <c r="FZT88" s="12"/>
      <c r="FZU88" s="109"/>
      <c r="FZV88" s="12"/>
      <c r="FZW88" s="109"/>
      <c r="FZX88" s="12"/>
      <c r="FZY88" s="109"/>
      <c r="FZZ88" s="12"/>
      <c r="GAA88" s="109"/>
      <c r="GAB88" s="12"/>
      <c r="GAC88" s="109"/>
      <c r="GAD88" s="12"/>
      <c r="GAE88" s="109"/>
      <c r="GAF88" s="12"/>
      <c r="GAG88" s="109"/>
      <c r="GAH88" s="12"/>
      <c r="GAI88" s="109"/>
      <c r="GAJ88" s="12"/>
      <c r="GAK88" s="109"/>
      <c r="GAL88" s="12"/>
      <c r="GAM88" s="109"/>
      <c r="GAN88" s="12"/>
      <c r="GAO88" s="109"/>
      <c r="GAP88" s="12"/>
      <c r="GAQ88" s="109"/>
      <c r="GAR88" s="12"/>
      <c r="GAS88" s="109"/>
      <c r="GAT88" s="12"/>
      <c r="GAU88" s="109"/>
      <c r="GAV88" s="12"/>
      <c r="GAW88" s="109"/>
      <c r="GAX88" s="12"/>
      <c r="GAY88" s="109"/>
      <c r="GAZ88" s="12"/>
      <c r="GBA88" s="109"/>
      <c r="GBB88" s="12"/>
      <c r="GBC88" s="109"/>
      <c r="GBD88" s="12"/>
      <c r="GBE88" s="109"/>
      <c r="GBF88" s="12"/>
      <c r="GBG88" s="109"/>
      <c r="GBH88" s="12"/>
      <c r="GBI88" s="109"/>
      <c r="GBJ88" s="12"/>
      <c r="GBK88" s="109"/>
      <c r="GBL88" s="12"/>
      <c r="GBM88" s="109"/>
      <c r="GBN88" s="12"/>
      <c r="GBO88" s="109"/>
      <c r="GBP88" s="12"/>
      <c r="GBQ88" s="109"/>
      <c r="GBR88" s="12"/>
      <c r="GBS88" s="109"/>
      <c r="GBT88" s="12"/>
      <c r="GBU88" s="109"/>
      <c r="GBV88" s="12"/>
      <c r="GBW88" s="109"/>
      <c r="GBX88" s="12"/>
      <c r="GBY88" s="109"/>
      <c r="GBZ88" s="12"/>
      <c r="GCA88" s="109"/>
      <c r="GCB88" s="12"/>
      <c r="GCC88" s="109"/>
      <c r="GCD88" s="12"/>
      <c r="GCE88" s="109"/>
      <c r="GCF88" s="12"/>
      <c r="GCG88" s="109"/>
      <c r="GCH88" s="12"/>
      <c r="GCI88" s="109"/>
      <c r="GCJ88" s="12"/>
      <c r="GCK88" s="109"/>
      <c r="GCL88" s="12"/>
      <c r="GCM88" s="109"/>
      <c r="GCN88" s="12"/>
      <c r="GCO88" s="109"/>
      <c r="GCP88" s="12"/>
      <c r="GCQ88" s="109"/>
      <c r="GCR88" s="12"/>
      <c r="GCS88" s="109"/>
      <c r="GCT88" s="12"/>
      <c r="GCU88" s="109"/>
      <c r="GCV88" s="12"/>
      <c r="GCW88" s="109"/>
      <c r="GCX88" s="12"/>
      <c r="GCY88" s="109"/>
      <c r="GCZ88" s="12"/>
      <c r="GDA88" s="109"/>
      <c r="GDB88" s="12"/>
      <c r="GDC88" s="109"/>
      <c r="GDD88" s="12"/>
      <c r="GDE88" s="109"/>
      <c r="GDF88" s="12"/>
      <c r="GDG88" s="109"/>
      <c r="GDH88" s="12"/>
      <c r="GDI88" s="109"/>
      <c r="GDJ88" s="12"/>
      <c r="GDK88" s="109"/>
      <c r="GDL88" s="12"/>
      <c r="GDM88" s="109"/>
      <c r="GDN88" s="12"/>
      <c r="GDO88" s="109"/>
      <c r="GDP88" s="12"/>
      <c r="GDQ88" s="109"/>
      <c r="GDR88" s="12"/>
      <c r="GDS88" s="109"/>
      <c r="GDT88" s="12"/>
      <c r="GDU88" s="109"/>
      <c r="GDV88" s="12"/>
      <c r="GDW88" s="109"/>
      <c r="GDX88" s="12"/>
      <c r="GDY88" s="109"/>
      <c r="GDZ88" s="12"/>
      <c r="GEA88" s="109"/>
      <c r="GEB88" s="12"/>
      <c r="GEC88" s="109"/>
      <c r="GED88" s="12"/>
      <c r="GEE88" s="109"/>
      <c r="GEF88" s="12"/>
      <c r="GEG88" s="109"/>
      <c r="GEH88" s="12"/>
      <c r="GEI88" s="109"/>
      <c r="GEJ88" s="12"/>
      <c r="GEK88" s="109"/>
      <c r="GEL88" s="12"/>
      <c r="GEM88" s="109"/>
      <c r="GEN88" s="12"/>
      <c r="GEO88" s="109"/>
      <c r="GEP88" s="12"/>
      <c r="GEQ88" s="109"/>
      <c r="GER88" s="12"/>
      <c r="GES88" s="109"/>
      <c r="GET88" s="12"/>
      <c r="GEU88" s="109"/>
      <c r="GEV88" s="12"/>
      <c r="GEW88" s="109"/>
      <c r="GEX88" s="12"/>
      <c r="GEY88" s="109"/>
      <c r="GEZ88" s="12"/>
      <c r="GFA88" s="109"/>
      <c r="GFB88" s="12"/>
      <c r="GFC88" s="109"/>
      <c r="GFD88" s="12"/>
      <c r="GFE88" s="109"/>
      <c r="GFF88" s="12"/>
      <c r="GFG88" s="109"/>
      <c r="GFH88" s="12"/>
      <c r="GFI88" s="109"/>
      <c r="GFJ88" s="12"/>
      <c r="GFK88" s="109"/>
      <c r="GFL88" s="12"/>
      <c r="GFM88" s="109"/>
      <c r="GFN88" s="12"/>
      <c r="GFO88" s="109"/>
      <c r="GFP88" s="12"/>
      <c r="GFQ88" s="109"/>
      <c r="GFR88" s="12"/>
      <c r="GFS88" s="109"/>
      <c r="GFT88" s="12"/>
      <c r="GFU88" s="109"/>
      <c r="GFV88" s="12"/>
      <c r="GFW88" s="109"/>
      <c r="GFX88" s="12"/>
      <c r="GFY88" s="109"/>
      <c r="GFZ88" s="12"/>
      <c r="GGA88" s="109"/>
      <c r="GGB88" s="12"/>
      <c r="GGC88" s="109"/>
      <c r="GGD88" s="12"/>
      <c r="GGE88" s="109"/>
      <c r="GGF88" s="12"/>
      <c r="GGG88" s="109"/>
      <c r="GGH88" s="12"/>
      <c r="GGI88" s="109"/>
      <c r="GGJ88" s="12"/>
      <c r="GGK88" s="109"/>
      <c r="GGL88" s="12"/>
      <c r="GGM88" s="109"/>
      <c r="GGN88" s="12"/>
      <c r="GGO88" s="109"/>
      <c r="GGP88" s="12"/>
      <c r="GGQ88" s="109"/>
      <c r="GGR88" s="12"/>
      <c r="GGS88" s="109"/>
      <c r="GGT88" s="12"/>
      <c r="GGU88" s="109"/>
      <c r="GGV88" s="12"/>
      <c r="GGW88" s="109"/>
      <c r="GGX88" s="12"/>
      <c r="GGY88" s="109"/>
      <c r="GGZ88" s="12"/>
      <c r="GHA88" s="109"/>
      <c r="GHB88" s="12"/>
      <c r="GHC88" s="109"/>
      <c r="GHD88" s="12"/>
      <c r="GHE88" s="109"/>
      <c r="GHF88" s="12"/>
      <c r="GHG88" s="109"/>
      <c r="GHH88" s="12"/>
      <c r="GHI88" s="109"/>
      <c r="GHJ88" s="12"/>
      <c r="GHK88" s="109"/>
      <c r="GHL88" s="12"/>
      <c r="GHM88" s="109"/>
      <c r="GHN88" s="12"/>
      <c r="GHO88" s="109"/>
      <c r="GHP88" s="12"/>
      <c r="GHQ88" s="109"/>
      <c r="GHR88" s="12"/>
      <c r="GHS88" s="109"/>
      <c r="GHT88" s="12"/>
      <c r="GHU88" s="109"/>
      <c r="GHV88" s="12"/>
      <c r="GHW88" s="109"/>
      <c r="GHX88" s="12"/>
      <c r="GHY88" s="109"/>
      <c r="GHZ88" s="12"/>
      <c r="GIA88" s="109"/>
      <c r="GIB88" s="12"/>
      <c r="GIC88" s="109"/>
      <c r="GID88" s="12"/>
      <c r="GIE88" s="109"/>
      <c r="GIF88" s="12"/>
      <c r="GIG88" s="109"/>
      <c r="GIH88" s="12"/>
      <c r="GII88" s="109"/>
      <c r="GIJ88" s="12"/>
      <c r="GIK88" s="109"/>
      <c r="GIL88" s="12"/>
      <c r="GIM88" s="109"/>
      <c r="GIN88" s="12"/>
      <c r="GIO88" s="109"/>
      <c r="GIP88" s="12"/>
      <c r="GIQ88" s="109"/>
      <c r="GIR88" s="12"/>
      <c r="GIS88" s="109"/>
      <c r="GIT88" s="12"/>
      <c r="GIU88" s="109"/>
      <c r="GIV88" s="12"/>
      <c r="GIW88" s="109"/>
      <c r="GIX88" s="12"/>
      <c r="GIY88" s="109"/>
      <c r="GIZ88" s="12"/>
      <c r="GJA88" s="109"/>
      <c r="GJB88" s="12"/>
      <c r="GJC88" s="109"/>
      <c r="GJD88" s="12"/>
      <c r="GJE88" s="109"/>
      <c r="GJF88" s="12"/>
      <c r="GJG88" s="109"/>
      <c r="GJH88" s="12"/>
      <c r="GJI88" s="109"/>
      <c r="GJJ88" s="12"/>
      <c r="GJK88" s="109"/>
      <c r="GJL88" s="12"/>
      <c r="GJM88" s="109"/>
      <c r="GJN88" s="12"/>
      <c r="GJO88" s="109"/>
      <c r="GJP88" s="12"/>
      <c r="GJQ88" s="109"/>
      <c r="GJR88" s="12"/>
      <c r="GJS88" s="109"/>
      <c r="GJT88" s="12"/>
      <c r="GJU88" s="109"/>
      <c r="GJV88" s="12"/>
      <c r="GJW88" s="109"/>
      <c r="GJX88" s="12"/>
      <c r="GJY88" s="109"/>
      <c r="GJZ88" s="12"/>
      <c r="GKA88" s="109"/>
      <c r="GKB88" s="12"/>
      <c r="GKC88" s="109"/>
      <c r="GKD88" s="12"/>
      <c r="GKE88" s="109"/>
      <c r="GKF88" s="12"/>
      <c r="GKG88" s="109"/>
      <c r="GKH88" s="12"/>
      <c r="GKI88" s="109"/>
      <c r="GKJ88" s="12"/>
      <c r="GKK88" s="109"/>
      <c r="GKL88" s="12"/>
      <c r="GKM88" s="109"/>
      <c r="GKN88" s="12"/>
      <c r="GKO88" s="109"/>
      <c r="GKP88" s="12"/>
      <c r="GKQ88" s="109"/>
      <c r="GKR88" s="12"/>
      <c r="GKS88" s="109"/>
      <c r="GKT88" s="12"/>
      <c r="GKU88" s="109"/>
      <c r="GKV88" s="12"/>
      <c r="GKW88" s="109"/>
      <c r="GKX88" s="12"/>
      <c r="GKY88" s="109"/>
      <c r="GKZ88" s="12"/>
      <c r="GLA88" s="109"/>
      <c r="GLB88" s="12"/>
      <c r="GLC88" s="109"/>
      <c r="GLD88" s="12"/>
      <c r="GLE88" s="109"/>
      <c r="GLF88" s="12"/>
      <c r="GLG88" s="109"/>
      <c r="GLH88" s="12"/>
      <c r="GLI88" s="109"/>
      <c r="GLJ88" s="12"/>
      <c r="GLK88" s="109"/>
      <c r="GLL88" s="12"/>
      <c r="GLM88" s="109"/>
      <c r="GLN88" s="12"/>
      <c r="GLO88" s="109"/>
      <c r="GLP88" s="12"/>
      <c r="GLQ88" s="109"/>
      <c r="GLR88" s="12"/>
      <c r="GLS88" s="109"/>
      <c r="GLT88" s="12"/>
      <c r="GLU88" s="109"/>
      <c r="GLV88" s="12"/>
      <c r="GLW88" s="109"/>
      <c r="GLX88" s="12"/>
      <c r="GLY88" s="109"/>
      <c r="GLZ88" s="12"/>
      <c r="GMA88" s="109"/>
      <c r="GMB88" s="12"/>
      <c r="GMC88" s="109"/>
      <c r="GMD88" s="12"/>
      <c r="GME88" s="109"/>
      <c r="GMF88" s="12"/>
      <c r="GMG88" s="109"/>
      <c r="GMH88" s="12"/>
      <c r="GMI88" s="109"/>
      <c r="GMJ88" s="12"/>
      <c r="GMK88" s="109"/>
      <c r="GML88" s="12"/>
      <c r="GMM88" s="109"/>
      <c r="GMN88" s="12"/>
      <c r="GMO88" s="109"/>
      <c r="GMP88" s="12"/>
      <c r="GMQ88" s="109"/>
      <c r="GMR88" s="12"/>
      <c r="GMS88" s="109"/>
      <c r="GMT88" s="12"/>
      <c r="GMU88" s="109"/>
      <c r="GMV88" s="12"/>
      <c r="GMW88" s="109"/>
      <c r="GMX88" s="12"/>
      <c r="GMY88" s="109"/>
      <c r="GMZ88" s="12"/>
      <c r="GNA88" s="109"/>
      <c r="GNB88" s="12"/>
      <c r="GNC88" s="109"/>
      <c r="GND88" s="12"/>
      <c r="GNE88" s="109"/>
      <c r="GNF88" s="12"/>
      <c r="GNG88" s="109"/>
      <c r="GNH88" s="12"/>
      <c r="GNI88" s="109"/>
      <c r="GNJ88" s="12"/>
      <c r="GNK88" s="109"/>
      <c r="GNL88" s="12"/>
      <c r="GNM88" s="109"/>
      <c r="GNN88" s="12"/>
      <c r="GNO88" s="109"/>
      <c r="GNP88" s="12"/>
      <c r="GNQ88" s="109"/>
      <c r="GNR88" s="12"/>
      <c r="GNS88" s="109"/>
      <c r="GNT88" s="12"/>
      <c r="GNU88" s="109"/>
      <c r="GNV88" s="12"/>
      <c r="GNW88" s="109"/>
      <c r="GNX88" s="12"/>
      <c r="GNY88" s="109"/>
      <c r="GNZ88" s="12"/>
      <c r="GOA88" s="109"/>
      <c r="GOB88" s="12"/>
      <c r="GOC88" s="109"/>
      <c r="GOD88" s="12"/>
      <c r="GOE88" s="109"/>
      <c r="GOF88" s="12"/>
      <c r="GOG88" s="109"/>
      <c r="GOH88" s="12"/>
      <c r="GOI88" s="109"/>
      <c r="GOJ88" s="12"/>
      <c r="GOK88" s="109"/>
      <c r="GOL88" s="12"/>
      <c r="GOM88" s="109"/>
      <c r="GON88" s="12"/>
      <c r="GOO88" s="109"/>
      <c r="GOP88" s="12"/>
      <c r="GOQ88" s="109"/>
      <c r="GOR88" s="12"/>
      <c r="GOS88" s="109"/>
      <c r="GOT88" s="12"/>
      <c r="GOU88" s="109"/>
      <c r="GOV88" s="12"/>
      <c r="GOW88" s="109"/>
      <c r="GOX88" s="12"/>
      <c r="GOY88" s="109"/>
      <c r="GOZ88" s="12"/>
      <c r="GPA88" s="109"/>
      <c r="GPB88" s="12"/>
      <c r="GPC88" s="109"/>
      <c r="GPD88" s="12"/>
      <c r="GPE88" s="109"/>
      <c r="GPF88" s="12"/>
      <c r="GPG88" s="109"/>
      <c r="GPH88" s="12"/>
      <c r="GPI88" s="109"/>
      <c r="GPJ88" s="12"/>
      <c r="GPK88" s="109"/>
      <c r="GPL88" s="12"/>
      <c r="GPM88" s="109"/>
      <c r="GPN88" s="12"/>
      <c r="GPO88" s="109"/>
      <c r="GPP88" s="12"/>
      <c r="GPQ88" s="109"/>
      <c r="GPR88" s="12"/>
      <c r="GPS88" s="109"/>
      <c r="GPT88" s="12"/>
      <c r="GPU88" s="109"/>
      <c r="GPV88" s="12"/>
      <c r="GPW88" s="109"/>
      <c r="GPX88" s="12"/>
      <c r="GPY88" s="109"/>
      <c r="GPZ88" s="12"/>
      <c r="GQA88" s="109"/>
      <c r="GQB88" s="12"/>
      <c r="GQC88" s="109"/>
      <c r="GQD88" s="12"/>
      <c r="GQE88" s="109"/>
      <c r="GQF88" s="12"/>
      <c r="GQG88" s="109"/>
      <c r="GQH88" s="12"/>
      <c r="GQI88" s="109"/>
      <c r="GQJ88" s="12"/>
      <c r="GQK88" s="109"/>
      <c r="GQL88" s="12"/>
      <c r="GQM88" s="109"/>
      <c r="GQN88" s="12"/>
      <c r="GQO88" s="109"/>
      <c r="GQP88" s="12"/>
      <c r="GQQ88" s="109"/>
      <c r="GQR88" s="12"/>
      <c r="GQS88" s="109"/>
      <c r="GQT88" s="12"/>
      <c r="GQU88" s="109"/>
      <c r="GQV88" s="12"/>
      <c r="GQW88" s="109"/>
      <c r="GQX88" s="12"/>
      <c r="GQY88" s="109"/>
      <c r="GQZ88" s="12"/>
      <c r="GRA88" s="109"/>
      <c r="GRB88" s="12"/>
      <c r="GRC88" s="109"/>
      <c r="GRD88" s="12"/>
      <c r="GRE88" s="109"/>
      <c r="GRF88" s="12"/>
      <c r="GRG88" s="109"/>
      <c r="GRH88" s="12"/>
      <c r="GRI88" s="109"/>
      <c r="GRJ88" s="12"/>
      <c r="GRK88" s="109"/>
      <c r="GRL88" s="12"/>
      <c r="GRM88" s="109"/>
      <c r="GRN88" s="12"/>
      <c r="GRO88" s="109"/>
      <c r="GRP88" s="12"/>
      <c r="GRQ88" s="109"/>
      <c r="GRR88" s="12"/>
      <c r="GRS88" s="109"/>
      <c r="GRT88" s="12"/>
      <c r="GRU88" s="109"/>
      <c r="GRV88" s="12"/>
      <c r="GRW88" s="109"/>
      <c r="GRX88" s="12"/>
      <c r="GRY88" s="109"/>
      <c r="GRZ88" s="12"/>
      <c r="GSA88" s="109"/>
      <c r="GSB88" s="12"/>
      <c r="GSC88" s="109"/>
      <c r="GSD88" s="12"/>
      <c r="GSE88" s="109"/>
      <c r="GSF88" s="12"/>
      <c r="GSG88" s="109"/>
      <c r="GSH88" s="12"/>
      <c r="GSI88" s="109"/>
      <c r="GSJ88" s="12"/>
      <c r="GSK88" s="109"/>
      <c r="GSL88" s="12"/>
      <c r="GSM88" s="109"/>
      <c r="GSN88" s="12"/>
      <c r="GSO88" s="109"/>
      <c r="GSP88" s="12"/>
      <c r="GSQ88" s="109"/>
      <c r="GSR88" s="12"/>
      <c r="GSS88" s="109"/>
      <c r="GST88" s="12"/>
      <c r="GSU88" s="109"/>
      <c r="GSV88" s="12"/>
      <c r="GSW88" s="109"/>
      <c r="GSX88" s="12"/>
      <c r="GSY88" s="109"/>
      <c r="GSZ88" s="12"/>
      <c r="GTA88" s="109"/>
      <c r="GTB88" s="12"/>
      <c r="GTC88" s="109"/>
      <c r="GTD88" s="12"/>
      <c r="GTE88" s="109"/>
      <c r="GTF88" s="12"/>
      <c r="GTG88" s="109"/>
      <c r="GTH88" s="12"/>
      <c r="GTI88" s="109"/>
      <c r="GTJ88" s="12"/>
      <c r="GTK88" s="109"/>
      <c r="GTL88" s="12"/>
      <c r="GTM88" s="109"/>
      <c r="GTN88" s="12"/>
      <c r="GTO88" s="109"/>
      <c r="GTP88" s="12"/>
      <c r="GTQ88" s="109"/>
      <c r="GTR88" s="12"/>
      <c r="GTS88" s="109"/>
      <c r="GTT88" s="12"/>
      <c r="GTU88" s="109"/>
      <c r="GTV88" s="12"/>
      <c r="GTW88" s="109"/>
      <c r="GTX88" s="12"/>
      <c r="GTY88" s="109"/>
      <c r="GTZ88" s="12"/>
      <c r="GUA88" s="109"/>
      <c r="GUB88" s="12"/>
      <c r="GUC88" s="109"/>
      <c r="GUD88" s="12"/>
      <c r="GUE88" s="109"/>
      <c r="GUF88" s="12"/>
      <c r="GUG88" s="109"/>
      <c r="GUH88" s="12"/>
      <c r="GUI88" s="109"/>
      <c r="GUJ88" s="12"/>
      <c r="GUK88" s="109"/>
      <c r="GUL88" s="12"/>
      <c r="GUM88" s="109"/>
      <c r="GUN88" s="12"/>
      <c r="GUO88" s="109"/>
      <c r="GUP88" s="12"/>
      <c r="GUQ88" s="109"/>
      <c r="GUR88" s="12"/>
      <c r="GUS88" s="109"/>
      <c r="GUT88" s="12"/>
      <c r="GUU88" s="109"/>
      <c r="GUV88" s="12"/>
      <c r="GUW88" s="109"/>
      <c r="GUX88" s="12"/>
      <c r="GUY88" s="109"/>
      <c r="GUZ88" s="12"/>
      <c r="GVA88" s="109"/>
      <c r="GVB88" s="12"/>
      <c r="GVC88" s="109"/>
      <c r="GVD88" s="12"/>
      <c r="GVE88" s="109"/>
      <c r="GVF88" s="12"/>
      <c r="GVG88" s="109"/>
      <c r="GVH88" s="12"/>
      <c r="GVI88" s="109"/>
      <c r="GVJ88" s="12"/>
      <c r="GVK88" s="109"/>
      <c r="GVL88" s="12"/>
      <c r="GVM88" s="109"/>
      <c r="GVN88" s="12"/>
      <c r="GVO88" s="109"/>
      <c r="GVP88" s="12"/>
      <c r="GVQ88" s="109"/>
      <c r="GVR88" s="12"/>
      <c r="GVS88" s="109"/>
      <c r="GVT88" s="12"/>
      <c r="GVU88" s="109"/>
      <c r="GVV88" s="12"/>
      <c r="GVW88" s="109"/>
      <c r="GVX88" s="12"/>
      <c r="GVY88" s="109"/>
      <c r="GVZ88" s="12"/>
      <c r="GWA88" s="109"/>
      <c r="GWB88" s="12"/>
      <c r="GWC88" s="109"/>
      <c r="GWD88" s="12"/>
      <c r="GWE88" s="109"/>
      <c r="GWF88" s="12"/>
      <c r="GWG88" s="109"/>
      <c r="GWH88" s="12"/>
      <c r="GWI88" s="109"/>
      <c r="GWJ88" s="12"/>
      <c r="GWK88" s="109"/>
      <c r="GWL88" s="12"/>
      <c r="GWM88" s="109"/>
      <c r="GWN88" s="12"/>
      <c r="GWO88" s="109"/>
      <c r="GWP88" s="12"/>
      <c r="GWQ88" s="109"/>
      <c r="GWR88" s="12"/>
      <c r="GWS88" s="109"/>
      <c r="GWT88" s="12"/>
      <c r="GWU88" s="109"/>
      <c r="GWV88" s="12"/>
      <c r="GWW88" s="109"/>
      <c r="GWX88" s="12"/>
      <c r="GWY88" s="109"/>
      <c r="GWZ88" s="12"/>
      <c r="GXA88" s="109"/>
      <c r="GXB88" s="12"/>
      <c r="GXC88" s="109"/>
      <c r="GXD88" s="12"/>
      <c r="GXE88" s="109"/>
      <c r="GXF88" s="12"/>
      <c r="GXG88" s="109"/>
      <c r="GXH88" s="12"/>
      <c r="GXI88" s="109"/>
      <c r="GXJ88" s="12"/>
      <c r="GXK88" s="109"/>
      <c r="GXL88" s="12"/>
      <c r="GXM88" s="109"/>
      <c r="GXN88" s="12"/>
      <c r="GXO88" s="109"/>
      <c r="GXP88" s="12"/>
      <c r="GXQ88" s="109"/>
      <c r="GXR88" s="12"/>
      <c r="GXS88" s="109"/>
      <c r="GXT88" s="12"/>
      <c r="GXU88" s="109"/>
      <c r="GXV88" s="12"/>
      <c r="GXW88" s="109"/>
      <c r="GXX88" s="12"/>
      <c r="GXY88" s="109"/>
      <c r="GXZ88" s="12"/>
      <c r="GYA88" s="109"/>
      <c r="GYB88" s="12"/>
      <c r="GYC88" s="109"/>
      <c r="GYD88" s="12"/>
      <c r="GYE88" s="109"/>
      <c r="GYF88" s="12"/>
      <c r="GYG88" s="109"/>
      <c r="GYH88" s="12"/>
      <c r="GYI88" s="109"/>
      <c r="GYJ88" s="12"/>
      <c r="GYK88" s="109"/>
      <c r="GYL88" s="12"/>
      <c r="GYM88" s="109"/>
      <c r="GYN88" s="12"/>
      <c r="GYO88" s="109"/>
      <c r="GYP88" s="12"/>
      <c r="GYQ88" s="109"/>
      <c r="GYR88" s="12"/>
      <c r="GYS88" s="109"/>
      <c r="GYT88" s="12"/>
      <c r="GYU88" s="109"/>
      <c r="GYV88" s="12"/>
      <c r="GYW88" s="109"/>
      <c r="GYX88" s="12"/>
      <c r="GYY88" s="109"/>
      <c r="GYZ88" s="12"/>
      <c r="GZA88" s="109"/>
      <c r="GZB88" s="12"/>
      <c r="GZC88" s="109"/>
      <c r="GZD88" s="12"/>
      <c r="GZE88" s="109"/>
      <c r="GZF88" s="12"/>
      <c r="GZG88" s="109"/>
      <c r="GZH88" s="12"/>
      <c r="GZI88" s="109"/>
      <c r="GZJ88" s="12"/>
      <c r="GZK88" s="109"/>
      <c r="GZL88" s="12"/>
      <c r="GZM88" s="109"/>
      <c r="GZN88" s="12"/>
      <c r="GZO88" s="109"/>
      <c r="GZP88" s="12"/>
      <c r="GZQ88" s="109"/>
      <c r="GZR88" s="12"/>
      <c r="GZS88" s="109"/>
      <c r="GZT88" s="12"/>
      <c r="GZU88" s="109"/>
      <c r="GZV88" s="12"/>
      <c r="GZW88" s="109"/>
      <c r="GZX88" s="12"/>
      <c r="GZY88" s="109"/>
      <c r="GZZ88" s="12"/>
      <c r="HAA88" s="109"/>
      <c r="HAB88" s="12"/>
      <c r="HAC88" s="109"/>
      <c r="HAD88" s="12"/>
      <c r="HAE88" s="109"/>
      <c r="HAF88" s="12"/>
      <c r="HAG88" s="109"/>
      <c r="HAH88" s="12"/>
      <c r="HAI88" s="109"/>
      <c r="HAJ88" s="12"/>
      <c r="HAK88" s="109"/>
      <c r="HAL88" s="12"/>
      <c r="HAM88" s="109"/>
      <c r="HAN88" s="12"/>
      <c r="HAO88" s="109"/>
      <c r="HAP88" s="12"/>
      <c r="HAQ88" s="109"/>
      <c r="HAR88" s="12"/>
      <c r="HAS88" s="109"/>
      <c r="HAT88" s="12"/>
      <c r="HAU88" s="109"/>
      <c r="HAV88" s="12"/>
      <c r="HAW88" s="109"/>
      <c r="HAX88" s="12"/>
      <c r="HAY88" s="109"/>
      <c r="HAZ88" s="12"/>
      <c r="HBA88" s="109"/>
      <c r="HBB88" s="12"/>
      <c r="HBC88" s="109"/>
      <c r="HBD88" s="12"/>
      <c r="HBE88" s="109"/>
      <c r="HBF88" s="12"/>
      <c r="HBG88" s="109"/>
      <c r="HBH88" s="12"/>
      <c r="HBI88" s="109"/>
      <c r="HBJ88" s="12"/>
      <c r="HBK88" s="109"/>
      <c r="HBL88" s="12"/>
      <c r="HBM88" s="109"/>
      <c r="HBN88" s="12"/>
      <c r="HBO88" s="109"/>
      <c r="HBP88" s="12"/>
      <c r="HBQ88" s="109"/>
      <c r="HBR88" s="12"/>
      <c r="HBS88" s="109"/>
      <c r="HBT88" s="12"/>
      <c r="HBU88" s="109"/>
      <c r="HBV88" s="12"/>
      <c r="HBW88" s="109"/>
      <c r="HBX88" s="12"/>
      <c r="HBY88" s="109"/>
      <c r="HBZ88" s="12"/>
      <c r="HCA88" s="109"/>
      <c r="HCB88" s="12"/>
      <c r="HCC88" s="109"/>
      <c r="HCD88" s="12"/>
      <c r="HCE88" s="109"/>
      <c r="HCF88" s="12"/>
      <c r="HCG88" s="109"/>
      <c r="HCH88" s="12"/>
      <c r="HCI88" s="109"/>
      <c r="HCJ88" s="12"/>
      <c r="HCK88" s="109"/>
      <c r="HCL88" s="12"/>
      <c r="HCM88" s="109"/>
      <c r="HCN88" s="12"/>
      <c r="HCO88" s="109"/>
      <c r="HCP88" s="12"/>
      <c r="HCQ88" s="109"/>
      <c r="HCR88" s="12"/>
      <c r="HCS88" s="109"/>
      <c r="HCT88" s="12"/>
      <c r="HCU88" s="109"/>
      <c r="HCV88" s="12"/>
      <c r="HCW88" s="109"/>
      <c r="HCX88" s="12"/>
      <c r="HCY88" s="109"/>
      <c r="HCZ88" s="12"/>
      <c r="HDA88" s="109"/>
      <c r="HDB88" s="12"/>
      <c r="HDC88" s="109"/>
      <c r="HDD88" s="12"/>
      <c r="HDE88" s="109"/>
      <c r="HDF88" s="12"/>
      <c r="HDG88" s="109"/>
      <c r="HDH88" s="12"/>
      <c r="HDI88" s="109"/>
      <c r="HDJ88" s="12"/>
      <c r="HDK88" s="109"/>
      <c r="HDL88" s="12"/>
      <c r="HDM88" s="109"/>
      <c r="HDN88" s="12"/>
      <c r="HDO88" s="109"/>
      <c r="HDP88" s="12"/>
      <c r="HDQ88" s="109"/>
      <c r="HDR88" s="12"/>
      <c r="HDS88" s="109"/>
      <c r="HDT88" s="12"/>
      <c r="HDU88" s="109"/>
      <c r="HDV88" s="12"/>
      <c r="HDW88" s="109"/>
      <c r="HDX88" s="12"/>
      <c r="HDY88" s="109"/>
      <c r="HDZ88" s="12"/>
      <c r="HEA88" s="109"/>
      <c r="HEB88" s="12"/>
      <c r="HEC88" s="109"/>
      <c r="HED88" s="12"/>
      <c r="HEE88" s="109"/>
      <c r="HEF88" s="12"/>
      <c r="HEG88" s="109"/>
      <c r="HEH88" s="12"/>
      <c r="HEI88" s="109"/>
      <c r="HEJ88" s="12"/>
      <c r="HEK88" s="109"/>
      <c r="HEL88" s="12"/>
      <c r="HEM88" s="109"/>
      <c r="HEN88" s="12"/>
      <c r="HEO88" s="109"/>
      <c r="HEP88" s="12"/>
      <c r="HEQ88" s="109"/>
      <c r="HER88" s="12"/>
      <c r="HES88" s="109"/>
      <c r="HET88" s="12"/>
      <c r="HEU88" s="109"/>
      <c r="HEV88" s="12"/>
      <c r="HEW88" s="109"/>
      <c r="HEX88" s="12"/>
      <c r="HEY88" s="109"/>
      <c r="HEZ88" s="12"/>
      <c r="HFA88" s="109"/>
      <c r="HFB88" s="12"/>
      <c r="HFC88" s="109"/>
      <c r="HFD88" s="12"/>
      <c r="HFE88" s="109"/>
      <c r="HFF88" s="12"/>
      <c r="HFG88" s="109"/>
      <c r="HFH88" s="12"/>
      <c r="HFI88" s="109"/>
      <c r="HFJ88" s="12"/>
      <c r="HFK88" s="109"/>
      <c r="HFL88" s="12"/>
      <c r="HFM88" s="109"/>
      <c r="HFN88" s="12"/>
      <c r="HFO88" s="109"/>
      <c r="HFP88" s="12"/>
      <c r="HFQ88" s="109"/>
      <c r="HFR88" s="12"/>
      <c r="HFS88" s="109"/>
      <c r="HFT88" s="12"/>
      <c r="HFU88" s="109"/>
      <c r="HFV88" s="12"/>
      <c r="HFW88" s="109"/>
      <c r="HFX88" s="12"/>
      <c r="HFY88" s="109"/>
      <c r="HFZ88" s="12"/>
      <c r="HGA88" s="109"/>
      <c r="HGB88" s="12"/>
      <c r="HGC88" s="109"/>
      <c r="HGD88" s="12"/>
      <c r="HGE88" s="109"/>
      <c r="HGF88" s="12"/>
      <c r="HGG88" s="109"/>
      <c r="HGH88" s="12"/>
      <c r="HGI88" s="109"/>
      <c r="HGJ88" s="12"/>
      <c r="HGK88" s="109"/>
      <c r="HGL88" s="12"/>
      <c r="HGM88" s="109"/>
      <c r="HGN88" s="12"/>
      <c r="HGO88" s="109"/>
      <c r="HGP88" s="12"/>
      <c r="HGQ88" s="109"/>
      <c r="HGR88" s="12"/>
      <c r="HGS88" s="109"/>
      <c r="HGT88" s="12"/>
      <c r="HGU88" s="109"/>
      <c r="HGV88" s="12"/>
      <c r="HGW88" s="109"/>
      <c r="HGX88" s="12"/>
      <c r="HGY88" s="109"/>
      <c r="HGZ88" s="12"/>
      <c r="HHA88" s="109"/>
      <c r="HHB88" s="12"/>
      <c r="HHC88" s="109"/>
      <c r="HHD88" s="12"/>
      <c r="HHE88" s="109"/>
      <c r="HHF88" s="12"/>
      <c r="HHG88" s="109"/>
      <c r="HHH88" s="12"/>
      <c r="HHI88" s="109"/>
      <c r="HHJ88" s="12"/>
      <c r="HHK88" s="109"/>
      <c r="HHL88" s="12"/>
      <c r="HHM88" s="109"/>
      <c r="HHN88" s="12"/>
      <c r="HHO88" s="109"/>
      <c r="HHP88" s="12"/>
      <c r="HHQ88" s="109"/>
      <c r="HHR88" s="12"/>
      <c r="HHS88" s="109"/>
      <c r="HHT88" s="12"/>
      <c r="HHU88" s="109"/>
      <c r="HHV88" s="12"/>
      <c r="HHW88" s="109"/>
      <c r="HHX88" s="12"/>
      <c r="HHY88" s="109"/>
      <c r="HHZ88" s="12"/>
      <c r="HIA88" s="109"/>
      <c r="HIB88" s="12"/>
      <c r="HIC88" s="109"/>
      <c r="HID88" s="12"/>
      <c r="HIE88" s="109"/>
      <c r="HIF88" s="12"/>
      <c r="HIG88" s="109"/>
      <c r="HIH88" s="12"/>
      <c r="HII88" s="109"/>
      <c r="HIJ88" s="12"/>
      <c r="HIK88" s="109"/>
      <c r="HIL88" s="12"/>
      <c r="HIM88" s="109"/>
      <c r="HIN88" s="12"/>
      <c r="HIO88" s="109"/>
      <c r="HIP88" s="12"/>
      <c r="HIQ88" s="109"/>
      <c r="HIR88" s="12"/>
      <c r="HIS88" s="109"/>
      <c r="HIT88" s="12"/>
      <c r="HIU88" s="109"/>
      <c r="HIV88" s="12"/>
      <c r="HIW88" s="109"/>
      <c r="HIX88" s="12"/>
      <c r="HIY88" s="109"/>
      <c r="HIZ88" s="12"/>
      <c r="HJA88" s="109"/>
      <c r="HJB88" s="12"/>
      <c r="HJC88" s="109"/>
      <c r="HJD88" s="12"/>
      <c r="HJE88" s="109"/>
      <c r="HJF88" s="12"/>
      <c r="HJG88" s="109"/>
      <c r="HJH88" s="12"/>
      <c r="HJI88" s="109"/>
      <c r="HJJ88" s="12"/>
      <c r="HJK88" s="109"/>
      <c r="HJL88" s="12"/>
      <c r="HJM88" s="109"/>
      <c r="HJN88" s="12"/>
      <c r="HJO88" s="109"/>
      <c r="HJP88" s="12"/>
      <c r="HJQ88" s="109"/>
      <c r="HJR88" s="12"/>
      <c r="HJS88" s="109"/>
      <c r="HJT88" s="12"/>
      <c r="HJU88" s="109"/>
      <c r="HJV88" s="12"/>
      <c r="HJW88" s="109"/>
      <c r="HJX88" s="12"/>
      <c r="HJY88" s="109"/>
      <c r="HJZ88" s="12"/>
      <c r="HKA88" s="109"/>
      <c r="HKB88" s="12"/>
      <c r="HKC88" s="109"/>
      <c r="HKD88" s="12"/>
      <c r="HKE88" s="109"/>
      <c r="HKF88" s="12"/>
      <c r="HKG88" s="109"/>
      <c r="HKH88" s="12"/>
      <c r="HKI88" s="109"/>
      <c r="HKJ88" s="12"/>
      <c r="HKK88" s="109"/>
      <c r="HKL88" s="12"/>
      <c r="HKM88" s="109"/>
      <c r="HKN88" s="12"/>
      <c r="HKO88" s="109"/>
      <c r="HKP88" s="12"/>
      <c r="HKQ88" s="109"/>
      <c r="HKR88" s="12"/>
      <c r="HKS88" s="109"/>
      <c r="HKT88" s="12"/>
      <c r="HKU88" s="109"/>
      <c r="HKV88" s="12"/>
      <c r="HKW88" s="109"/>
      <c r="HKX88" s="12"/>
      <c r="HKY88" s="109"/>
      <c r="HKZ88" s="12"/>
      <c r="HLA88" s="109"/>
      <c r="HLB88" s="12"/>
      <c r="HLC88" s="109"/>
      <c r="HLD88" s="12"/>
      <c r="HLE88" s="109"/>
      <c r="HLF88" s="12"/>
      <c r="HLG88" s="109"/>
      <c r="HLH88" s="12"/>
      <c r="HLI88" s="109"/>
      <c r="HLJ88" s="12"/>
      <c r="HLK88" s="109"/>
      <c r="HLL88" s="12"/>
      <c r="HLM88" s="109"/>
      <c r="HLN88" s="12"/>
      <c r="HLO88" s="109"/>
      <c r="HLP88" s="12"/>
      <c r="HLQ88" s="109"/>
      <c r="HLR88" s="12"/>
      <c r="HLS88" s="109"/>
      <c r="HLT88" s="12"/>
      <c r="HLU88" s="109"/>
      <c r="HLV88" s="12"/>
      <c r="HLW88" s="109"/>
      <c r="HLX88" s="12"/>
      <c r="HLY88" s="109"/>
      <c r="HLZ88" s="12"/>
      <c r="HMA88" s="109"/>
      <c r="HMB88" s="12"/>
      <c r="HMC88" s="109"/>
      <c r="HMD88" s="12"/>
      <c r="HME88" s="109"/>
      <c r="HMF88" s="12"/>
      <c r="HMG88" s="109"/>
      <c r="HMH88" s="12"/>
      <c r="HMI88" s="109"/>
      <c r="HMJ88" s="12"/>
      <c r="HMK88" s="109"/>
      <c r="HML88" s="12"/>
      <c r="HMM88" s="109"/>
      <c r="HMN88" s="12"/>
      <c r="HMO88" s="109"/>
      <c r="HMP88" s="12"/>
      <c r="HMQ88" s="109"/>
      <c r="HMR88" s="12"/>
      <c r="HMS88" s="109"/>
      <c r="HMT88" s="12"/>
      <c r="HMU88" s="109"/>
      <c r="HMV88" s="12"/>
      <c r="HMW88" s="109"/>
      <c r="HMX88" s="12"/>
      <c r="HMY88" s="109"/>
      <c r="HMZ88" s="12"/>
      <c r="HNA88" s="109"/>
      <c r="HNB88" s="12"/>
      <c r="HNC88" s="109"/>
      <c r="HND88" s="12"/>
      <c r="HNE88" s="109"/>
      <c r="HNF88" s="12"/>
      <c r="HNG88" s="109"/>
      <c r="HNH88" s="12"/>
      <c r="HNI88" s="109"/>
      <c r="HNJ88" s="12"/>
      <c r="HNK88" s="109"/>
      <c r="HNL88" s="12"/>
      <c r="HNM88" s="109"/>
      <c r="HNN88" s="12"/>
      <c r="HNO88" s="109"/>
      <c r="HNP88" s="12"/>
      <c r="HNQ88" s="109"/>
      <c r="HNR88" s="12"/>
      <c r="HNS88" s="109"/>
      <c r="HNT88" s="12"/>
      <c r="HNU88" s="109"/>
      <c r="HNV88" s="12"/>
      <c r="HNW88" s="109"/>
      <c r="HNX88" s="12"/>
      <c r="HNY88" s="109"/>
      <c r="HNZ88" s="12"/>
      <c r="HOA88" s="109"/>
      <c r="HOB88" s="12"/>
      <c r="HOC88" s="109"/>
      <c r="HOD88" s="12"/>
      <c r="HOE88" s="109"/>
      <c r="HOF88" s="12"/>
      <c r="HOG88" s="109"/>
      <c r="HOH88" s="12"/>
      <c r="HOI88" s="109"/>
      <c r="HOJ88" s="12"/>
      <c r="HOK88" s="109"/>
      <c r="HOL88" s="12"/>
      <c r="HOM88" s="109"/>
      <c r="HON88" s="12"/>
      <c r="HOO88" s="109"/>
      <c r="HOP88" s="12"/>
      <c r="HOQ88" s="109"/>
      <c r="HOR88" s="12"/>
      <c r="HOS88" s="109"/>
      <c r="HOT88" s="12"/>
      <c r="HOU88" s="109"/>
      <c r="HOV88" s="12"/>
      <c r="HOW88" s="109"/>
      <c r="HOX88" s="12"/>
      <c r="HOY88" s="109"/>
      <c r="HOZ88" s="12"/>
      <c r="HPA88" s="109"/>
      <c r="HPB88" s="12"/>
      <c r="HPC88" s="109"/>
      <c r="HPD88" s="12"/>
      <c r="HPE88" s="109"/>
      <c r="HPF88" s="12"/>
      <c r="HPG88" s="109"/>
      <c r="HPH88" s="12"/>
      <c r="HPI88" s="109"/>
      <c r="HPJ88" s="12"/>
      <c r="HPK88" s="109"/>
      <c r="HPL88" s="12"/>
      <c r="HPM88" s="109"/>
      <c r="HPN88" s="12"/>
      <c r="HPO88" s="109"/>
      <c r="HPP88" s="12"/>
      <c r="HPQ88" s="109"/>
      <c r="HPR88" s="12"/>
      <c r="HPS88" s="109"/>
      <c r="HPT88" s="12"/>
      <c r="HPU88" s="109"/>
      <c r="HPV88" s="12"/>
      <c r="HPW88" s="109"/>
      <c r="HPX88" s="12"/>
      <c r="HPY88" s="109"/>
      <c r="HPZ88" s="12"/>
      <c r="HQA88" s="109"/>
      <c r="HQB88" s="12"/>
      <c r="HQC88" s="109"/>
      <c r="HQD88" s="12"/>
      <c r="HQE88" s="109"/>
      <c r="HQF88" s="12"/>
      <c r="HQG88" s="109"/>
      <c r="HQH88" s="12"/>
      <c r="HQI88" s="109"/>
      <c r="HQJ88" s="12"/>
      <c r="HQK88" s="109"/>
      <c r="HQL88" s="12"/>
      <c r="HQM88" s="109"/>
      <c r="HQN88" s="12"/>
      <c r="HQO88" s="109"/>
      <c r="HQP88" s="12"/>
      <c r="HQQ88" s="109"/>
      <c r="HQR88" s="12"/>
      <c r="HQS88" s="109"/>
      <c r="HQT88" s="12"/>
      <c r="HQU88" s="109"/>
      <c r="HQV88" s="12"/>
      <c r="HQW88" s="109"/>
      <c r="HQX88" s="12"/>
      <c r="HQY88" s="109"/>
      <c r="HQZ88" s="12"/>
      <c r="HRA88" s="109"/>
      <c r="HRB88" s="12"/>
      <c r="HRC88" s="109"/>
      <c r="HRD88" s="12"/>
      <c r="HRE88" s="109"/>
      <c r="HRF88" s="12"/>
      <c r="HRG88" s="109"/>
      <c r="HRH88" s="12"/>
      <c r="HRI88" s="109"/>
      <c r="HRJ88" s="12"/>
      <c r="HRK88" s="109"/>
      <c r="HRL88" s="12"/>
      <c r="HRM88" s="109"/>
      <c r="HRN88" s="12"/>
      <c r="HRO88" s="109"/>
      <c r="HRP88" s="12"/>
      <c r="HRQ88" s="109"/>
      <c r="HRR88" s="12"/>
      <c r="HRS88" s="109"/>
      <c r="HRT88" s="12"/>
      <c r="HRU88" s="109"/>
      <c r="HRV88" s="12"/>
      <c r="HRW88" s="109"/>
      <c r="HRX88" s="12"/>
      <c r="HRY88" s="109"/>
      <c r="HRZ88" s="12"/>
      <c r="HSA88" s="109"/>
      <c r="HSB88" s="12"/>
      <c r="HSC88" s="109"/>
      <c r="HSD88" s="12"/>
      <c r="HSE88" s="109"/>
      <c r="HSF88" s="12"/>
      <c r="HSG88" s="109"/>
      <c r="HSH88" s="12"/>
      <c r="HSI88" s="109"/>
      <c r="HSJ88" s="12"/>
      <c r="HSK88" s="109"/>
      <c r="HSL88" s="12"/>
      <c r="HSM88" s="109"/>
      <c r="HSN88" s="12"/>
      <c r="HSO88" s="109"/>
      <c r="HSP88" s="12"/>
      <c r="HSQ88" s="109"/>
      <c r="HSR88" s="12"/>
      <c r="HSS88" s="109"/>
      <c r="HST88" s="12"/>
      <c r="HSU88" s="109"/>
      <c r="HSV88" s="12"/>
      <c r="HSW88" s="109"/>
      <c r="HSX88" s="12"/>
      <c r="HSY88" s="109"/>
      <c r="HSZ88" s="12"/>
      <c r="HTA88" s="109"/>
      <c r="HTB88" s="12"/>
      <c r="HTC88" s="109"/>
      <c r="HTD88" s="12"/>
      <c r="HTE88" s="109"/>
      <c r="HTF88" s="12"/>
      <c r="HTG88" s="109"/>
      <c r="HTH88" s="12"/>
      <c r="HTI88" s="109"/>
      <c r="HTJ88" s="12"/>
      <c r="HTK88" s="109"/>
      <c r="HTL88" s="12"/>
      <c r="HTM88" s="109"/>
      <c r="HTN88" s="12"/>
      <c r="HTO88" s="109"/>
      <c r="HTP88" s="12"/>
      <c r="HTQ88" s="109"/>
      <c r="HTR88" s="12"/>
      <c r="HTS88" s="109"/>
      <c r="HTT88" s="12"/>
      <c r="HTU88" s="109"/>
      <c r="HTV88" s="12"/>
      <c r="HTW88" s="109"/>
      <c r="HTX88" s="12"/>
      <c r="HTY88" s="109"/>
      <c r="HTZ88" s="12"/>
      <c r="HUA88" s="109"/>
      <c r="HUB88" s="12"/>
      <c r="HUC88" s="109"/>
      <c r="HUD88" s="12"/>
      <c r="HUE88" s="109"/>
      <c r="HUF88" s="12"/>
      <c r="HUG88" s="109"/>
      <c r="HUH88" s="12"/>
      <c r="HUI88" s="109"/>
      <c r="HUJ88" s="12"/>
      <c r="HUK88" s="109"/>
      <c r="HUL88" s="12"/>
      <c r="HUM88" s="109"/>
      <c r="HUN88" s="12"/>
      <c r="HUO88" s="109"/>
      <c r="HUP88" s="12"/>
      <c r="HUQ88" s="109"/>
      <c r="HUR88" s="12"/>
      <c r="HUS88" s="109"/>
      <c r="HUT88" s="12"/>
      <c r="HUU88" s="109"/>
      <c r="HUV88" s="12"/>
      <c r="HUW88" s="109"/>
      <c r="HUX88" s="12"/>
      <c r="HUY88" s="109"/>
      <c r="HUZ88" s="12"/>
      <c r="HVA88" s="109"/>
      <c r="HVB88" s="12"/>
      <c r="HVC88" s="109"/>
      <c r="HVD88" s="12"/>
      <c r="HVE88" s="109"/>
      <c r="HVF88" s="12"/>
      <c r="HVG88" s="109"/>
      <c r="HVH88" s="12"/>
      <c r="HVI88" s="109"/>
      <c r="HVJ88" s="12"/>
      <c r="HVK88" s="109"/>
      <c r="HVL88" s="12"/>
      <c r="HVM88" s="109"/>
      <c r="HVN88" s="12"/>
      <c r="HVO88" s="109"/>
      <c r="HVP88" s="12"/>
      <c r="HVQ88" s="109"/>
      <c r="HVR88" s="12"/>
      <c r="HVS88" s="109"/>
      <c r="HVT88" s="12"/>
      <c r="HVU88" s="109"/>
      <c r="HVV88" s="12"/>
      <c r="HVW88" s="109"/>
      <c r="HVX88" s="12"/>
      <c r="HVY88" s="109"/>
      <c r="HVZ88" s="12"/>
      <c r="HWA88" s="109"/>
      <c r="HWB88" s="12"/>
      <c r="HWC88" s="109"/>
      <c r="HWD88" s="12"/>
      <c r="HWE88" s="109"/>
      <c r="HWF88" s="12"/>
      <c r="HWG88" s="109"/>
      <c r="HWH88" s="12"/>
      <c r="HWI88" s="109"/>
      <c r="HWJ88" s="12"/>
      <c r="HWK88" s="109"/>
      <c r="HWL88" s="12"/>
      <c r="HWM88" s="109"/>
      <c r="HWN88" s="12"/>
      <c r="HWO88" s="109"/>
      <c r="HWP88" s="12"/>
      <c r="HWQ88" s="109"/>
      <c r="HWR88" s="12"/>
      <c r="HWS88" s="109"/>
      <c r="HWT88" s="12"/>
      <c r="HWU88" s="109"/>
      <c r="HWV88" s="12"/>
      <c r="HWW88" s="109"/>
      <c r="HWX88" s="12"/>
      <c r="HWY88" s="109"/>
      <c r="HWZ88" s="12"/>
      <c r="HXA88" s="109"/>
      <c r="HXB88" s="12"/>
      <c r="HXC88" s="109"/>
      <c r="HXD88" s="12"/>
      <c r="HXE88" s="109"/>
      <c r="HXF88" s="12"/>
      <c r="HXG88" s="109"/>
      <c r="HXH88" s="12"/>
      <c r="HXI88" s="109"/>
      <c r="HXJ88" s="12"/>
      <c r="HXK88" s="109"/>
      <c r="HXL88" s="12"/>
      <c r="HXM88" s="109"/>
      <c r="HXN88" s="12"/>
      <c r="HXO88" s="109"/>
      <c r="HXP88" s="12"/>
      <c r="HXQ88" s="109"/>
      <c r="HXR88" s="12"/>
      <c r="HXS88" s="109"/>
      <c r="HXT88" s="12"/>
      <c r="HXU88" s="109"/>
      <c r="HXV88" s="12"/>
      <c r="HXW88" s="109"/>
      <c r="HXX88" s="12"/>
      <c r="HXY88" s="109"/>
      <c r="HXZ88" s="12"/>
      <c r="HYA88" s="109"/>
      <c r="HYB88" s="12"/>
      <c r="HYC88" s="109"/>
      <c r="HYD88" s="12"/>
      <c r="HYE88" s="109"/>
      <c r="HYF88" s="12"/>
      <c r="HYG88" s="109"/>
      <c r="HYH88" s="12"/>
      <c r="HYI88" s="109"/>
      <c r="HYJ88" s="12"/>
      <c r="HYK88" s="109"/>
      <c r="HYL88" s="12"/>
      <c r="HYM88" s="109"/>
      <c r="HYN88" s="12"/>
      <c r="HYO88" s="109"/>
      <c r="HYP88" s="12"/>
      <c r="HYQ88" s="109"/>
      <c r="HYR88" s="12"/>
      <c r="HYS88" s="109"/>
      <c r="HYT88" s="12"/>
      <c r="HYU88" s="109"/>
      <c r="HYV88" s="12"/>
      <c r="HYW88" s="109"/>
      <c r="HYX88" s="12"/>
      <c r="HYY88" s="109"/>
      <c r="HYZ88" s="12"/>
      <c r="HZA88" s="109"/>
      <c r="HZB88" s="12"/>
      <c r="HZC88" s="109"/>
      <c r="HZD88" s="12"/>
      <c r="HZE88" s="109"/>
      <c r="HZF88" s="12"/>
      <c r="HZG88" s="109"/>
      <c r="HZH88" s="12"/>
      <c r="HZI88" s="109"/>
      <c r="HZJ88" s="12"/>
      <c r="HZK88" s="109"/>
      <c r="HZL88" s="12"/>
      <c r="HZM88" s="109"/>
      <c r="HZN88" s="12"/>
      <c r="HZO88" s="109"/>
      <c r="HZP88" s="12"/>
      <c r="HZQ88" s="109"/>
      <c r="HZR88" s="12"/>
      <c r="HZS88" s="109"/>
      <c r="HZT88" s="12"/>
      <c r="HZU88" s="109"/>
      <c r="HZV88" s="12"/>
      <c r="HZW88" s="109"/>
      <c r="HZX88" s="12"/>
      <c r="HZY88" s="109"/>
      <c r="HZZ88" s="12"/>
      <c r="IAA88" s="109"/>
      <c r="IAB88" s="12"/>
      <c r="IAC88" s="109"/>
      <c r="IAD88" s="12"/>
      <c r="IAE88" s="109"/>
      <c r="IAF88" s="12"/>
      <c r="IAG88" s="109"/>
      <c r="IAH88" s="12"/>
      <c r="IAI88" s="109"/>
      <c r="IAJ88" s="12"/>
      <c r="IAK88" s="109"/>
      <c r="IAL88" s="12"/>
      <c r="IAM88" s="109"/>
      <c r="IAN88" s="12"/>
      <c r="IAO88" s="109"/>
      <c r="IAP88" s="12"/>
      <c r="IAQ88" s="109"/>
      <c r="IAR88" s="12"/>
      <c r="IAS88" s="109"/>
      <c r="IAT88" s="12"/>
      <c r="IAU88" s="109"/>
      <c r="IAV88" s="12"/>
      <c r="IAW88" s="109"/>
      <c r="IAX88" s="12"/>
      <c r="IAY88" s="109"/>
      <c r="IAZ88" s="12"/>
      <c r="IBA88" s="109"/>
      <c r="IBB88" s="12"/>
      <c r="IBC88" s="109"/>
      <c r="IBD88" s="12"/>
      <c r="IBE88" s="109"/>
      <c r="IBF88" s="12"/>
      <c r="IBG88" s="109"/>
      <c r="IBH88" s="12"/>
      <c r="IBI88" s="109"/>
      <c r="IBJ88" s="12"/>
      <c r="IBK88" s="109"/>
      <c r="IBL88" s="12"/>
      <c r="IBM88" s="109"/>
      <c r="IBN88" s="12"/>
      <c r="IBO88" s="109"/>
      <c r="IBP88" s="12"/>
      <c r="IBQ88" s="109"/>
      <c r="IBR88" s="12"/>
      <c r="IBS88" s="109"/>
      <c r="IBT88" s="12"/>
      <c r="IBU88" s="109"/>
      <c r="IBV88" s="12"/>
      <c r="IBW88" s="109"/>
      <c r="IBX88" s="12"/>
      <c r="IBY88" s="109"/>
      <c r="IBZ88" s="12"/>
      <c r="ICA88" s="109"/>
      <c r="ICB88" s="12"/>
      <c r="ICC88" s="109"/>
      <c r="ICD88" s="12"/>
      <c r="ICE88" s="109"/>
      <c r="ICF88" s="12"/>
      <c r="ICG88" s="109"/>
      <c r="ICH88" s="12"/>
      <c r="ICI88" s="109"/>
      <c r="ICJ88" s="12"/>
      <c r="ICK88" s="109"/>
      <c r="ICL88" s="12"/>
      <c r="ICM88" s="109"/>
      <c r="ICN88" s="12"/>
      <c r="ICO88" s="109"/>
      <c r="ICP88" s="12"/>
      <c r="ICQ88" s="109"/>
      <c r="ICR88" s="12"/>
      <c r="ICS88" s="109"/>
      <c r="ICT88" s="12"/>
      <c r="ICU88" s="109"/>
      <c r="ICV88" s="12"/>
      <c r="ICW88" s="109"/>
      <c r="ICX88" s="12"/>
      <c r="ICY88" s="109"/>
      <c r="ICZ88" s="12"/>
      <c r="IDA88" s="109"/>
      <c r="IDB88" s="12"/>
      <c r="IDC88" s="109"/>
      <c r="IDD88" s="12"/>
      <c r="IDE88" s="109"/>
      <c r="IDF88" s="12"/>
      <c r="IDG88" s="109"/>
      <c r="IDH88" s="12"/>
      <c r="IDI88" s="109"/>
      <c r="IDJ88" s="12"/>
      <c r="IDK88" s="109"/>
      <c r="IDL88" s="12"/>
      <c r="IDM88" s="109"/>
      <c r="IDN88" s="12"/>
      <c r="IDO88" s="109"/>
      <c r="IDP88" s="12"/>
      <c r="IDQ88" s="109"/>
      <c r="IDR88" s="12"/>
      <c r="IDS88" s="109"/>
      <c r="IDT88" s="12"/>
      <c r="IDU88" s="109"/>
      <c r="IDV88" s="12"/>
      <c r="IDW88" s="109"/>
      <c r="IDX88" s="12"/>
      <c r="IDY88" s="109"/>
      <c r="IDZ88" s="12"/>
      <c r="IEA88" s="109"/>
      <c r="IEB88" s="12"/>
      <c r="IEC88" s="109"/>
      <c r="IED88" s="12"/>
      <c r="IEE88" s="109"/>
      <c r="IEF88" s="12"/>
      <c r="IEG88" s="109"/>
      <c r="IEH88" s="12"/>
      <c r="IEI88" s="109"/>
      <c r="IEJ88" s="12"/>
      <c r="IEK88" s="109"/>
      <c r="IEL88" s="12"/>
      <c r="IEM88" s="109"/>
      <c r="IEN88" s="12"/>
      <c r="IEO88" s="109"/>
      <c r="IEP88" s="12"/>
      <c r="IEQ88" s="109"/>
      <c r="IER88" s="12"/>
      <c r="IES88" s="109"/>
      <c r="IET88" s="12"/>
      <c r="IEU88" s="109"/>
      <c r="IEV88" s="12"/>
      <c r="IEW88" s="109"/>
      <c r="IEX88" s="12"/>
      <c r="IEY88" s="109"/>
      <c r="IEZ88" s="12"/>
      <c r="IFA88" s="109"/>
      <c r="IFB88" s="12"/>
      <c r="IFC88" s="109"/>
      <c r="IFD88" s="12"/>
      <c r="IFE88" s="109"/>
      <c r="IFF88" s="12"/>
      <c r="IFG88" s="109"/>
      <c r="IFH88" s="12"/>
      <c r="IFI88" s="109"/>
      <c r="IFJ88" s="12"/>
      <c r="IFK88" s="109"/>
      <c r="IFL88" s="12"/>
      <c r="IFM88" s="109"/>
      <c r="IFN88" s="12"/>
      <c r="IFO88" s="109"/>
      <c r="IFP88" s="12"/>
      <c r="IFQ88" s="109"/>
      <c r="IFR88" s="12"/>
      <c r="IFS88" s="109"/>
      <c r="IFT88" s="12"/>
      <c r="IFU88" s="109"/>
      <c r="IFV88" s="12"/>
      <c r="IFW88" s="109"/>
      <c r="IFX88" s="12"/>
      <c r="IFY88" s="109"/>
      <c r="IFZ88" s="12"/>
      <c r="IGA88" s="109"/>
      <c r="IGB88" s="12"/>
      <c r="IGC88" s="109"/>
      <c r="IGD88" s="12"/>
      <c r="IGE88" s="109"/>
      <c r="IGF88" s="12"/>
      <c r="IGG88" s="109"/>
      <c r="IGH88" s="12"/>
      <c r="IGI88" s="109"/>
      <c r="IGJ88" s="12"/>
      <c r="IGK88" s="109"/>
      <c r="IGL88" s="12"/>
      <c r="IGM88" s="109"/>
      <c r="IGN88" s="12"/>
      <c r="IGO88" s="109"/>
      <c r="IGP88" s="12"/>
      <c r="IGQ88" s="109"/>
      <c r="IGR88" s="12"/>
      <c r="IGS88" s="109"/>
      <c r="IGT88" s="12"/>
      <c r="IGU88" s="109"/>
      <c r="IGV88" s="12"/>
      <c r="IGW88" s="109"/>
      <c r="IGX88" s="12"/>
      <c r="IGY88" s="109"/>
      <c r="IGZ88" s="12"/>
      <c r="IHA88" s="109"/>
      <c r="IHB88" s="12"/>
      <c r="IHC88" s="109"/>
      <c r="IHD88" s="12"/>
      <c r="IHE88" s="109"/>
      <c r="IHF88" s="12"/>
      <c r="IHG88" s="109"/>
      <c r="IHH88" s="12"/>
      <c r="IHI88" s="109"/>
      <c r="IHJ88" s="12"/>
      <c r="IHK88" s="109"/>
      <c r="IHL88" s="12"/>
      <c r="IHM88" s="109"/>
      <c r="IHN88" s="12"/>
      <c r="IHO88" s="109"/>
      <c r="IHP88" s="12"/>
      <c r="IHQ88" s="109"/>
      <c r="IHR88" s="12"/>
      <c r="IHS88" s="109"/>
      <c r="IHT88" s="12"/>
      <c r="IHU88" s="109"/>
      <c r="IHV88" s="12"/>
      <c r="IHW88" s="109"/>
      <c r="IHX88" s="12"/>
      <c r="IHY88" s="109"/>
      <c r="IHZ88" s="12"/>
      <c r="IIA88" s="109"/>
      <c r="IIB88" s="12"/>
      <c r="IIC88" s="109"/>
      <c r="IID88" s="12"/>
      <c r="IIE88" s="109"/>
      <c r="IIF88" s="12"/>
      <c r="IIG88" s="109"/>
      <c r="IIH88" s="12"/>
      <c r="III88" s="109"/>
      <c r="IIJ88" s="12"/>
      <c r="IIK88" s="109"/>
      <c r="IIL88" s="12"/>
      <c r="IIM88" s="109"/>
      <c r="IIN88" s="12"/>
      <c r="IIO88" s="109"/>
      <c r="IIP88" s="12"/>
      <c r="IIQ88" s="109"/>
      <c r="IIR88" s="12"/>
      <c r="IIS88" s="109"/>
      <c r="IIT88" s="12"/>
      <c r="IIU88" s="109"/>
      <c r="IIV88" s="12"/>
      <c r="IIW88" s="109"/>
      <c r="IIX88" s="12"/>
      <c r="IIY88" s="109"/>
      <c r="IIZ88" s="12"/>
      <c r="IJA88" s="109"/>
      <c r="IJB88" s="12"/>
      <c r="IJC88" s="109"/>
      <c r="IJD88" s="12"/>
      <c r="IJE88" s="109"/>
      <c r="IJF88" s="12"/>
      <c r="IJG88" s="109"/>
      <c r="IJH88" s="12"/>
      <c r="IJI88" s="109"/>
      <c r="IJJ88" s="12"/>
      <c r="IJK88" s="109"/>
      <c r="IJL88" s="12"/>
      <c r="IJM88" s="109"/>
      <c r="IJN88" s="12"/>
      <c r="IJO88" s="109"/>
      <c r="IJP88" s="12"/>
      <c r="IJQ88" s="109"/>
      <c r="IJR88" s="12"/>
      <c r="IJS88" s="109"/>
      <c r="IJT88" s="12"/>
      <c r="IJU88" s="109"/>
      <c r="IJV88" s="12"/>
      <c r="IJW88" s="109"/>
      <c r="IJX88" s="12"/>
      <c r="IJY88" s="109"/>
      <c r="IJZ88" s="12"/>
      <c r="IKA88" s="109"/>
      <c r="IKB88" s="12"/>
      <c r="IKC88" s="109"/>
      <c r="IKD88" s="12"/>
      <c r="IKE88" s="109"/>
      <c r="IKF88" s="12"/>
      <c r="IKG88" s="109"/>
      <c r="IKH88" s="12"/>
      <c r="IKI88" s="109"/>
      <c r="IKJ88" s="12"/>
      <c r="IKK88" s="109"/>
      <c r="IKL88" s="12"/>
      <c r="IKM88" s="109"/>
      <c r="IKN88" s="12"/>
      <c r="IKO88" s="109"/>
      <c r="IKP88" s="12"/>
      <c r="IKQ88" s="109"/>
      <c r="IKR88" s="12"/>
      <c r="IKS88" s="109"/>
      <c r="IKT88" s="12"/>
      <c r="IKU88" s="109"/>
      <c r="IKV88" s="12"/>
      <c r="IKW88" s="109"/>
      <c r="IKX88" s="12"/>
      <c r="IKY88" s="109"/>
      <c r="IKZ88" s="12"/>
      <c r="ILA88" s="109"/>
      <c r="ILB88" s="12"/>
      <c r="ILC88" s="109"/>
      <c r="ILD88" s="12"/>
      <c r="ILE88" s="109"/>
      <c r="ILF88" s="12"/>
      <c r="ILG88" s="109"/>
      <c r="ILH88" s="12"/>
      <c r="ILI88" s="109"/>
      <c r="ILJ88" s="12"/>
      <c r="ILK88" s="109"/>
      <c r="ILL88" s="12"/>
      <c r="ILM88" s="109"/>
      <c r="ILN88" s="12"/>
      <c r="ILO88" s="109"/>
      <c r="ILP88" s="12"/>
      <c r="ILQ88" s="109"/>
      <c r="ILR88" s="12"/>
      <c r="ILS88" s="109"/>
      <c r="ILT88" s="12"/>
      <c r="ILU88" s="109"/>
      <c r="ILV88" s="12"/>
      <c r="ILW88" s="109"/>
      <c r="ILX88" s="12"/>
      <c r="ILY88" s="109"/>
      <c r="ILZ88" s="12"/>
      <c r="IMA88" s="109"/>
      <c r="IMB88" s="12"/>
      <c r="IMC88" s="109"/>
      <c r="IMD88" s="12"/>
      <c r="IME88" s="109"/>
      <c r="IMF88" s="12"/>
      <c r="IMG88" s="109"/>
      <c r="IMH88" s="12"/>
      <c r="IMI88" s="109"/>
      <c r="IMJ88" s="12"/>
      <c r="IMK88" s="109"/>
      <c r="IML88" s="12"/>
      <c r="IMM88" s="109"/>
      <c r="IMN88" s="12"/>
      <c r="IMO88" s="109"/>
      <c r="IMP88" s="12"/>
      <c r="IMQ88" s="109"/>
      <c r="IMR88" s="12"/>
      <c r="IMS88" s="109"/>
      <c r="IMT88" s="12"/>
      <c r="IMU88" s="109"/>
      <c r="IMV88" s="12"/>
      <c r="IMW88" s="109"/>
      <c r="IMX88" s="12"/>
      <c r="IMY88" s="109"/>
      <c r="IMZ88" s="12"/>
      <c r="INA88" s="109"/>
      <c r="INB88" s="12"/>
      <c r="INC88" s="109"/>
      <c r="IND88" s="12"/>
      <c r="INE88" s="109"/>
      <c r="INF88" s="12"/>
      <c r="ING88" s="109"/>
      <c r="INH88" s="12"/>
      <c r="INI88" s="109"/>
      <c r="INJ88" s="12"/>
      <c r="INK88" s="109"/>
      <c r="INL88" s="12"/>
      <c r="INM88" s="109"/>
      <c r="INN88" s="12"/>
      <c r="INO88" s="109"/>
      <c r="INP88" s="12"/>
      <c r="INQ88" s="109"/>
      <c r="INR88" s="12"/>
      <c r="INS88" s="109"/>
      <c r="INT88" s="12"/>
      <c r="INU88" s="109"/>
      <c r="INV88" s="12"/>
      <c r="INW88" s="109"/>
      <c r="INX88" s="12"/>
      <c r="INY88" s="109"/>
      <c r="INZ88" s="12"/>
      <c r="IOA88" s="109"/>
      <c r="IOB88" s="12"/>
      <c r="IOC88" s="109"/>
      <c r="IOD88" s="12"/>
      <c r="IOE88" s="109"/>
      <c r="IOF88" s="12"/>
      <c r="IOG88" s="109"/>
      <c r="IOH88" s="12"/>
      <c r="IOI88" s="109"/>
      <c r="IOJ88" s="12"/>
      <c r="IOK88" s="109"/>
      <c r="IOL88" s="12"/>
      <c r="IOM88" s="109"/>
      <c r="ION88" s="12"/>
      <c r="IOO88" s="109"/>
      <c r="IOP88" s="12"/>
      <c r="IOQ88" s="109"/>
      <c r="IOR88" s="12"/>
      <c r="IOS88" s="109"/>
      <c r="IOT88" s="12"/>
      <c r="IOU88" s="109"/>
      <c r="IOV88" s="12"/>
      <c r="IOW88" s="109"/>
      <c r="IOX88" s="12"/>
      <c r="IOY88" s="109"/>
      <c r="IOZ88" s="12"/>
      <c r="IPA88" s="109"/>
      <c r="IPB88" s="12"/>
      <c r="IPC88" s="109"/>
      <c r="IPD88" s="12"/>
      <c r="IPE88" s="109"/>
      <c r="IPF88" s="12"/>
      <c r="IPG88" s="109"/>
      <c r="IPH88" s="12"/>
      <c r="IPI88" s="109"/>
      <c r="IPJ88" s="12"/>
      <c r="IPK88" s="109"/>
      <c r="IPL88" s="12"/>
      <c r="IPM88" s="109"/>
      <c r="IPN88" s="12"/>
      <c r="IPO88" s="109"/>
      <c r="IPP88" s="12"/>
      <c r="IPQ88" s="109"/>
      <c r="IPR88" s="12"/>
      <c r="IPS88" s="109"/>
      <c r="IPT88" s="12"/>
      <c r="IPU88" s="109"/>
      <c r="IPV88" s="12"/>
      <c r="IPW88" s="109"/>
      <c r="IPX88" s="12"/>
      <c r="IPY88" s="109"/>
      <c r="IPZ88" s="12"/>
      <c r="IQA88" s="109"/>
      <c r="IQB88" s="12"/>
      <c r="IQC88" s="109"/>
      <c r="IQD88" s="12"/>
      <c r="IQE88" s="109"/>
      <c r="IQF88" s="12"/>
      <c r="IQG88" s="109"/>
      <c r="IQH88" s="12"/>
      <c r="IQI88" s="109"/>
      <c r="IQJ88" s="12"/>
      <c r="IQK88" s="109"/>
      <c r="IQL88" s="12"/>
      <c r="IQM88" s="109"/>
      <c r="IQN88" s="12"/>
      <c r="IQO88" s="109"/>
      <c r="IQP88" s="12"/>
      <c r="IQQ88" s="109"/>
      <c r="IQR88" s="12"/>
      <c r="IQS88" s="109"/>
      <c r="IQT88" s="12"/>
      <c r="IQU88" s="109"/>
      <c r="IQV88" s="12"/>
      <c r="IQW88" s="109"/>
      <c r="IQX88" s="12"/>
      <c r="IQY88" s="109"/>
      <c r="IQZ88" s="12"/>
      <c r="IRA88" s="109"/>
      <c r="IRB88" s="12"/>
      <c r="IRC88" s="109"/>
      <c r="IRD88" s="12"/>
      <c r="IRE88" s="109"/>
      <c r="IRF88" s="12"/>
      <c r="IRG88" s="109"/>
      <c r="IRH88" s="12"/>
      <c r="IRI88" s="109"/>
      <c r="IRJ88" s="12"/>
      <c r="IRK88" s="109"/>
      <c r="IRL88" s="12"/>
      <c r="IRM88" s="109"/>
      <c r="IRN88" s="12"/>
      <c r="IRO88" s="109"/>
      <c r="IRP88" s="12"/>
      <c r="IRQ88" s="109"/>
      <c r="IRR88" s="12"/>
      <c r="IRS88" s="109"/>
      <c r="IRT88" s="12"/>
      <c r="IRU88" s="109"/>
      <c r="IRV88" s="12"/>
      <c r="IRW88" s="109"/>
      <c r="IRX88" s="12"/>
      <c r="IRY88" s="109"/>
      <c r="IRZ88" s="12"/>
      <c r="ISA88" s="109"/>
      <c r="ISB88" s="12"/>
      <c r="ISC88" s="109"/>
      <c r="ISD88" s="12"/>
      <c r="ISE88" s="109"/>
      <c r="ISF88" s="12"/>
      <c r="ISG88" s="109"/>
      <c r="ISH88" s="12"/>
      <c r="ISI88" s="109"/>
      <c r="ISJ88" s="12"/>
      <c r="ISK88" s="109"/>
      <c r="ISL88" s="12"/>
      <c r="ISM88" s="109"/>
      <c r="ISN88" s="12"/>
      <c r="ISO88" s="109"/>
      <c r="ISP88" s="12"/>
      <c r="ISQ88" s="109"/>
      <c r="ISR88" s="12"/>
      <c r="ISS88" s="109"/>
      <c r="IST88" s="12"/>
      <c r="ISU88" s="109"/>
      <c r="ISV88" s="12"/>
      <c r="ISW88" s="109"/>
      <c r="ISX88" s="12"/>
      <c r="ISY88" s="109"/>
      <c r="ISZ88" s="12"/>
      <c r="ITA88" s="109"/>
      <c r="ITB88" s="12"/>
      <c r="ITC88" s="109"/>
      <c r="ITD88" s="12"/>
      <c r="ITE88" s="109"/>
      <c r="ITF88" s="12"/>
      <c r="ITG88" s="109"/>
      <c r="ITH88" s="12"/>
      <c r="ITI88" s="109"/>
      <c r="ITJ88" s="12"/>
      <c r="ITK88" s="109"/>
      <c r="ITL88" s="12"/>
      <c r="ITM88" s="109"/>
      <c r="ITN88" s="12"/>
      <c r="ITO88" s="109"/>
      <c r="ITP88" s="12"/>
      <c r="ITQ88" s="109"/>
      <c r="ITR88" s="12"/>
      <c r="ITS88" s="109"/>
      <c r="ITT88" s="12"/>
      <c r="ITU88" s="109"/>
      <c r="ITV88" s="12"/>
      <c r="ITW88" s="109"/>
      <c r="ITX88" s="12"/>
      <c r="ITY88" s="109"/>
      <c r="ITZ88" s="12"/>
      <c r="IUA88" s="109"/>
      <c r="IUB88" s="12"/>
      <c r="IUC88" s="109"/>
      <c r="IUD88" s="12"/>
      <c r="IUE88" s="109"/>
      <c r="IUF88" s="12"/>
      <c r="IUG88" s="109"/>
      <c r="IUH88" s="12"/>
      <c r="IUI88" s="109"/>
      <c r="IUJ88" s="12"/>
      <c r="IUK88" s="109"/>
      <c r="IUL88" s="12"/>
      <c r="IUM88" s="109"/>
      <c r="IUN88" s="12"/>
      <c r="IUO88" s="109"/>
      <c r="IUP88" s="12"/>
      <c r="IUQ88" s="109"/>
      <c r="IUR88" s="12"/>
      <c r="IUS88" s="109"/>
      <c r="IUT88" s="12"/>
      <c r="IUU88" s="109"/>
      <c r="IUV88" s="12"/>
      <c r="IUW88" s="109"/>
      <c r="IUX88" s="12"/>
      <c r="IUY88" s="109"/>
      <c r="IUZ88" s="12"/>
      <c r="IVA88" s="109"/>
      <c r="IVB88" s="12"/>
      <c r="IVC88" s="109"/>
      <c r="IVD88" s="12"/>
      <c r="IVE88" s="109"/>
      <c r="IVF88" s="12"/>
      <c r="IVG88" s="109"/>
      <c r="IVH88" s="12"/>
      <c r="IVI88" s="109"/>
      <c r="IVJ88" s="12"/>
      <c r="IVK88" s="109"/>
      <c r="IVL88" s="12"/>
      <c r="IVM88" s="109"/>
      <c r="IVN88" s="12"/>
      <c r="IVO88" s="109"/>
      <c r="IVP88" s="12"/>
      <c r="IVQ88" s="109"/>
      <c r="IVR88" s="12"/>
      <c r="IVS88" s="109"/>
      <c r="IVT88" s="12"/>
      <c r="IVU88" s="109"/>
      <c r="IVV88" s="12"/>
      <c r="IVW88" s="109"/>
      <c r="IVX88" s="12"/>
      <c r="IVY88" s="109"/>
      <c r="IVZ88" s="12"/>
      <c r="IWA88" s="109"/>
      <c r="IWB88" s="12"/>
      <c r="IWC88" s="109"/>
      <c r="IWD88" s="12"/>
      <c r="IWE88" s="109"/>
      <c r="IWF88" s="12"/>
      <c r="IWG88" s="109"/>
      <c r="IWH88" s="12"/>
      <c r="IWI88" s="109"/>
      <c r="IWJ88" s="12"/>
      <c r="IWK88" s="109"/>
      <c r="IWL88" s="12"/>
      <c r="IWM88" s="109"/>
      <c r="IWN88" s="12"/>
      <c r="IWO88" s="109"/>
      <c r="IWP88" s="12"/>
      <c r="IWQ88" s="109"/>
      <c r="IWR88" s="12"/>
      <c r="IWS88" s="109"/>
      <c r="IWT88" s="12"/>
      <c r="IWU88" s="109"/>
      <c r="IWV88" s="12"/>
      <c r="IWW88" s="109"/>
      <c r="IWX88" s="12"/>
      <c r="IWY88" s="109"/>
      <c r="IWZ88" s="12"/>
      <c r="IXA88" s="109"/>
      <c r="IXB88" s="12"/>
      <c r="IXC88" s="109"/>
      <c r="IXD88" s="12"/>
      <c r="IXE88" s="109"/>
      <c r="IXF88" s="12"/>
      <c r="IXG88" s="109"/>
      <c r="IXH88" s="12"/>
      <c r="IXI88" s="109"/>
      <c r="IXJ88" s="12"/>
      <c r="IXK88" s="109"/>
      <c r="IXL88" s="12"/>
      <c r="IXM88" s="109"/>
      <c r="IXN88" s="12"/>
      <c r="IXO88" s="109"/>
      <c r="IXP88" s="12"/>
      <c r="IXQ88" s="109"/>
      <c r="IXR88" s="12"/>
      <c r="IXS88" s="109"/>
      <c r="IXT88" s="12"/>
      <c r="IXU88" s="109"/>
      <c r="IXV88" s="12"/>
      <c r="IXW88" s="109"/>
      <c r="IXX88" s="12"/>
      <c r="IXY88" s="109"/>
      <c r="IXZ88" s="12"/>
      <c r="IYA88" s="109"/>
      <c r="IYB88" s="12"/>
      <c r="IYC88" s="109"/>
      <c r="IYD88" s="12"/>
      <c r="IYE88" s="109"/>
      <c r="IYF88" s="12"/>
      <c r="IYG88" s="109"/>
      <c r="IYH88" s="12"/>
      <c r="IYI88" s="109"/>
      <c r="IYJ88" s="12"/>
      <c r="IYK88" s="109"/>
      <c r="IYL88" s="12"/>
      <c r="IYM88" s="109"/>
      <c r="IYN88" s="12"/>
      <c r="IYO88" s="109"/>
      <c r="IYP88" s="12"/>
      <c r="IYQ88" s="109"/>
      <c r="IYR88" s="12"/>
      <c r="IYS88" s="109"/>
      <c r="IYT88" s="12"/>
      <c r="IYU88" s="109"/>
      <c r="IYV88" s="12"/>
      <c r="IYW88" s="109"/>
      <c r="IYX88" s="12"/>
      <c r="IYY88" s="109"/>
      <c r="IYZ88" s="12"/>
      <c r="IZA88" s="109"/>
      <c r="IZB88" s="12"/>
      <c r="IZC88" s="109"/>
      <c r="IZD88" s="12"/>
      <c r="IZE88" s="109"/>
      <c r="IZF88" s="12"/>
      <c r="IZG88" s="109"/>
      <c r="IZH88" s="12"/>
      <c r="IZI88" s="109"/>
      <c r="IZJ88" s="12"/>
      <c r="IZK88" s="109"/>
      <c r="IZL88" s="12"/>
      <c r="IZM88" s="109"/>
      <c r="IZN88" s="12"/>
      <c r="IZO88" s="109"/>
      <c r="IZP88" s="12"/>
      <c r="IZQ88" s="109"/>
      <c r="IZR88" s="12"/>
      <c r="IZS88" s="109"/>
      <c r="IZT88" s="12"/>
      <c r="IZU88" s="109"/>
      <c r="IZV88" s="12"/>
      <c r="IZW88" s="109"/>
      <c r="IZX88" s="12"/>
      <c r="IZY88" s="109"/>
      <c r="IZZ88" s="12"/>
      <c r="JAA88" s="109"/>
      <c r="JAB88" s="12"/>
      <c r="JAC88" s="109"/>
      <c r="JAD88" s="12"/>
      <c r="JAE88" s="109"/>
      <c r="JAF88" s="12"/>
      <c r="JAG88" s="109"/>
      <c r="JAH88" s="12"/>
      <c r="JAI88" s="109"/>
      <c r="JAJ88" s="12"/>
      <c r="JAK88" s="109"/>
      <c r="JAL88" s="12"/>
      <c r="JAM88" s="109"/>
      <c r="JAN88" s="12"/>
      <c r="JAO88" s="109"/>
      <c r="JAP88" s="12"/>
      <c r="JAQ88" s="109"/>
      <c r="JAR88" s="12"/>
      <c r="JAS88" s="109"/>
      <c r="JAT88" s="12"/>
      <c r="JAU88" s="109"/>
      <c r="JAV88" s="12"/>
      <c r="JAW88" s="109"/>
      <c r="JAX88" s="12"/>
      <c r="JAY88" s="109"/>
      <c r="JAZ88" s="12"/>
      <c r="JBA88" s="109"/>
      <c r="JBB88" s="12"/>
      <c r="JBC88" s="109"/>
      <c r="JBD88" s="12"/>
      <c r="JBE88" s="109"/>
      <c r="JBF88" s="12"/>
      <c r="JBG88" s="109"/>
      <c r="JBH88" s="12"/>
      <c r="JBI88" s="109"/>
      <c r="JBJ88" s="12"/>
      <c r="JBK88" s="109"/>
      <c r="JBL88" s="12"/>
      <c r="JBM88" s="109"/>
      <c r="JBN88" s="12"/>
      <c r="JBO88" s="109"/>
      <c r="JBP88" s="12"/>
      <c r="JBQ88" s="109"/>
      <c r="JBR88" s="12"/>
      <c r="JBS88" s="109"/>
      <c r="JBT88" s="12"/>
      <c r="JBU88" s="109"/>
      <c r="JBV88" s="12"/>
      <c r="JBW88" s="109"/>
      <c r="JBX88" s="12"/>
      <c r="JBY88" s="109"/>
      <c r="JBZ88" s="12"/>
      <c r="JCA88" s="109"/>
      <c r="JCB88" s="12"/>
      <c r="JCC88" s="109"/>
      <c r="JCD88" s="12"/>
      <c r="JCE88" s="109"/>
      <c r="JCF88" s="12"/>
      <c r="JCG88" s="109"/>
      <c r="JCH88" s="12"/>
      <c r="JCI88" s="109"/>
      <c r="JCJ88" s="12"/>
      <c r="JCK88" s="109"/>
      <c r="JCL88" s="12"/>
      <c r="JCM88" s="109"/>
      <c r="JCN88" s="12"/>
      <c r="JCO88" s="109"/>
      <c r="JCP88" s="12"/>
      <c r="JCQ88" s="109"/>
      <c r="JCR88" s="12"/>
      <c r="JCS88" s="109"/>
      <c r="JCT88" s="12"/>
      <c r="JCU88" s="109"/>
      <c r="JCV88" s="12"/>
      <c r="JCW88" s="109"/>
      <c r="JCX88" s="12"/>
      <c r="JCY88" s="109"/>
      <c r="JCZ88" s="12"/>
      <c r="JDA88" s="109"/>
      <c r="JDB88" s="12"/>
      <c r="JDC88" s="109"/>
      <c r="JDD88" s="12"/>
      <c r="JDE88" s="109"/>
      <c r="JDF88" s="12"/>
      <c r="JDG88" s="109"/>
      <c r="JDH88" s="12"/>
      <c r="JDI88" s="109"/>
      <c r="JDJ88" s="12"/>
      <c r="JDK88" s="109"/>
      <c r="JDL88" s="12"/>
      <c r="JDM88" s="109"/>
      <c r="JDN88" s="12"/>
      <c r="JDO88" s="109"/>
      <c r="JDP88" s="12"/>
      <c r="JDQ88" s="109"/>
      <c r="JDR88" s="12"/>
      <c r="JDS88" s="109"/>
      <c r="JDT88" s="12"/>
      <c r="JDU88" s="109"/>
      <c r="JDV88" s="12"/>
      <c r="JDW88" s="109"/>
      <c r="JDX88" s="12"/>
      <c r="JDY88" s="109"/>
      <c r="JDZ88" s="12"/>
      <c r="JEA88" s="109"/>
      <c r="JEB88" s="12"/>
      <c r="JEC88" s="109"/>
      <c r="JED88" s="12"/>
      <c r="JEE88" s="109"/>
      <c r="JEF88" s="12"/>
      <c r="JEG88" s="109"/>
      <c r="JEH88" s="12"/>
      <c r="JEI88" s="109"/>
      <c r="JEJ88" s="12"/>
      <c r="JEK88" s="109"/>
      <c r="JEL88" s="12"/>
      <c r="JEM88" s="109"/>
      <c r="JEN88" s="12"/>
      <c r="JEO88" s="109"/>
      <c r="JEP88" s="12"/>
      <c r="JEQ88" s="109"/>
      <c r="JER88" s="12"/>
      <c r="JES88" s="109"/>
      <c r="JET88" s="12"/>
      <c r="JEU88" s="109"/>
      <c r="JEV88" s="12"/>
      <c r="JEW88" s="109"/>
      <c r="JEX88" s="12"/>
      <c r="JEY88" s="109"/>
      <c r="JEZ88" s="12"/>
      <c r="JFA88" s="109"/>
      <c r="JFB88" s="12"/>
      <c r="JFC88" s="109"/>
      <c r="JFD88" s="12"/>
      <c r="JFE88" s="109"/>
      <c r="JFF88" s="12"/>
      <c r="JFG88" s="109"/>
      <c r="JFH88" s="12"/>
      <c r="JFI88" s="109"/>
      <c r="JFJ88" s="12"/>
      <c r="JFK88" s="109"/>
      <c r="JFL88" s="12"/>
      <c r="JFM88" s="109"/>
      <c r="JFN88" s="12"/>
      <c r="JFO88" s="109"/>
      <c r="JFP88" s="12"/>
      <c r="JFQ88" s="109"/>
      <c r="JFR88" s="12"/>
      <c r="JFS88" s="109"/>
      <c r="JFT88" s="12"/>
      <c r="JFU88" s="109"/>
      <c r="JFV88" s="12"/>
      <c r="JFW88" s="109"/>
      <c r="JFX88" s="12"/>
      <c r="JFY88" s="109"/>
      <c r="JFZ88" s="12"/>
      <c r="JGA88" s="109"/>
      <c r="JGB88" s="12"/>
      <c r="JGC88" s="109"/>
      <c r="JGD88" s="12"/>
      <c r="JGE88" s="109"/>
      <c r="JGF88" s="12"/>
      <c r="JGG88" s="109"/>
      <c r="JGH88" s="12"/>
      <c r="JGI88" s="109"/>
      <c r="JGJ88" s="12"/>
      <c r="JGK88" s="109"/>
      <c r="JGL88" s="12"/>
      <c r="JGM88" s="109"/>
      <c r="JGN88" s="12"/>
      <c r="JGO88" s="109"/>
      <c r="JGP88" s="12"/>
      <c r="JGQ88" s="109"/>
      <c r="JGR88" s="12"/>
      <c r="JGS88" s="109"/>
      <c r="JGT88" s="12"/>
      <c r="JGU88" s="109"/>
      <c r="JGV88" s="12"/>
      <c r="JGW88" s="109"/>
      <c r="JGX88" s="12"/>
      <c r="JGY88" s="109"/>
      <c r="JGZ88" s="12"/>
      <c r="JHA88" s="109"/>
      <c r="JHB88" s="12"/>
      <c r="JHC88" s="109"/>
      <c r="JHD88" s="12"/>
      <c r="JHE88" s="109"/>
      <c r="JHF88" s="12"/>
      <c r="JHG88" s="109"/>
      <c r="JHH88" s="12"/>
      <c r="JHI88" s="109"/>
      <c r="JHJ88" s="12"/>
      <c r="JHK88" s="109"/>
      <c r="JHL88" s="12"/>
      <c r="JHM88" s="109"/>
      <c r="JHN88" s="12"/>
      <c r="JHO88" s="109"/>
      <c r="JHP88" s="12"/>
      <c r="JHQ88" s="109"/>
      <c r="JHR88" s="12"/>
      <c r="JHS88" s="109"/>
      <c r="JHT88" s="12"/>
      <c r="JHU88" s="109"/>
      <c r="JHV88" s="12"/>
      <c r="JHW88" s="109"/>
      <c r="JHX88" s="12"/>
      <c r="JHY88" s="109"/>
      <c r="JHZ88" s="12"/>
      <c r="JIA88" s="109"/>
      <c r="JIB88" s="12"/>
      <c r="JIC88" s="109"/>
      <c r="JID88" s="12"/>
      <c r="JIE88" s="109"/>
      <c r="JIF88" s="12"/>
      <c r="JIG88" s="109"/>
      <c r="JIH88" s="12"/>
      <c r="JII88" s="109"/>
      <c r="JIJ88" s="12"/>
      <c r="JIK88" s="109"/>
      <c r="JIL88" s="12"/>
      <c r="JIM88" s="109"/>
      <c r="JIN88" s="12"/>
      <c r="JIO88" s="109"/>
      <c r="JIP88" s="12"/>
      <c r="JIQ88" s="109"/>
      <c r="JIR88" s="12"/>
      <c r="JIS88" s="109"/>
      <c r="JIT88" s="12"/>
      <c r="JIU88" s="109"/>
      <c r="JIV88" s="12"/>
      <c r="JIW88" s="109"/>
      <c r="JIX88" s="12"/>
      <c r="JIY88" s="109"/>
      <c r="JIZ88" s="12"/>
      <c r="JJA88" s="109"/>
      <c r="JJB88" s="12"/>
      <c r="JJC88" s="109"/>
      <c r="JJD88" s="12"/>
      <c r="JJE88" s="109"/>
      <c r="JJF88" s="12"/>
      <c r="JJG88" s="109"/>
      <c r="JJH88" s="12"/>
      <c r="JJI88" s="109"/>
      <c r="JJJ88" s="12"/>
      <c r="JJK88" s="109"/>
      <c r="JJL88" s="12"/>
      <c r="JJM88" s="109"/>
      <c r="JJN88" s="12"/>
      <c r="JJO88" s="109"/>
      <c r="JJP88" s="12"/>
      <c r="JJQ88" s="109"/>
      <c r="JJR88" s="12"/>
      <c r="JJS88" s="109"/>
      <c r="JJT88" s="12"/>
      <c r="JJU88" s="109"/>
      <c r="JJV88" s="12"/>
      <c r="JJW88" s="109"/>
      <c r="JJX88" s="12"/>
      <c r="JJY88" s="109"/>
      <c r="JJZ88" s="12"/>
      <c r="JKA88" s="109"/>
      <c r="JKB88" s="12"/>
      <c r="JKC88" s="109"/>
      <c r="JKD88" s="12"/>
      <c r="JKE88" s="109"/>
      <c r="JKF88" s="12"/>
      <c r="JKG88" s="109"/>
      <c r="JKH88" s="12"/>
      <c r="JKI88" s="109"/>
      <c r="JKJ88" s="12"/>
      <c r="JKK88" s="109"/>
      <c r="JKL88" s="12"/>
      <c r="JKM88" s="109"/>
      <c r="JKN88" s="12"/>
      <c r="JKO88" s="109"/>
      <c r="JKP88" s="12"/>
      <c r="JKQ88" s="109"/>
      <c r="JKR88" s="12"/>
      <c r="JKS88" s="109"/>
      <c r="JKT88" s="12"/>
      <c r="JKU88" s="109"/>
      <c r="JKV88" s="12"/>
      <c r="JKW88" s="109"/>
      <c r="JKX88" s="12"/>
      <c r="JKY88" s="109"/>
      <c r="JKZ88" s="12"/>
      <c r="JLA88" s="109"/>
      <c r="JLB88" s="12"/>
      <c r="JLC88" s="109"/>
      <c r="JLD88" s="12"/>
      <c r="JLE88" s="109"/>
      <c r="JLF88" s="12"/>
      <c r="JLG88" s="109"/>
      <c r="JLH88" s="12"/>
      <c r="JLI88" s="109"/>
      <c r="JLJ88" s="12"/>
      <c r="JLK88" s="109"/>
      <c r="JLL88" s="12"/>
      <c r="JLM88" s="109"/>
      <c r="JLN88" s="12"/>
      <c r="JLO88" s="109"/>
      <c r="JLP88" s="12"/>
      <c r="JLQ88" s="109"/>
      <c r="JLR88" s="12"/>
      <c r="JLS88" s="109"/>
      <c r="JLT88" s="12"/>
      <c r="JLU88" s="109"/>
      <c r="JLV88" s="12"/>
      <c r="JLW88" s="109"/>
      <c r="JLX88" s="12"/>
      <c r="JLY88" s="109"/>
      <c r="JLZ88" s="12"/>
      <c r="JMA88" s="109"/>
      <c r="JMB88" s="12"/>
      <c r="JMC88" s="109"/>
      <c r="JMD88" s="12"/>
      <c r="JME88" s="109"/>
      <c r="JMF88" s="12"/>
      <c r="JMG88" s="109"/>
      <c r="JMH88" s="12"/>
      <c r="JMI88" s="109"/>
      <c r="JMJ88" s="12"/>
      <c r="JMK88" s="109"/>
      <c r="JML88" s="12"/>
      <c r="JMM88" s="109"/>
      <c r="JMN88" s="12"/>
      <c r="JMO88" s="109"/>
      <c r="JMP88" s="12"/>
      <c r="JMQ88" s="109"/>
      <c r="JMR88" s="12"/>
      <c r="JMS88" s="109"/>
      <c r="JMT88" s="12"/>
      <c r="JMU88" s="109"/>
      <c r="JMV88" s="12"/>
      <c r="JMW88" s="109"/>
      <c r="JMX88" s="12"/>
      <c r="JMY88" s="109"/>
      <c r="JMZ88" s="12"/>
      <c r="JNA88" s="109"/>
      <c r="JNB88" s="12"/>
      <c r="JNC88" s="109"/>
      <c r="JND88" s="12"/>
      <c r="JNE88" s="109"/>
      <c r="JNF88" s="12"/>
      <c r="JNG88" s="109"/>
      <c r="JNH88" s="12"/>
      <c r="JNI88" s="109"/>
      <c r="JNJ88" s="12"/>
      <c r="JNK88" s="109"/>
      <c r="JNL88" s="12"/>
      <c r="JNM88" s="109"/>
      <c r="JNN88" s="12"/>
      <c r="JNO88" s="109"/>
      <c r="JNP88" s="12"/>
      <c r="JNQ88" s="109"/>
      <c r="JNR88" s="12"/>
      <c r="JNS88" s="109"/>
      <c r="JNT88" s="12"/>
      <c r="JNU88" s="109"/>
      <c r="JNV88" s="12"/>
      <c r="JNW88" s="109"/>
      <c r="JNX88" s="12"/>
      <c r="JNY88" s="109"/>
      <c r="JNZ88" s="12"/>
      <c r="JOA88" s="109"/>
      <c r="JOB88" s="12"/>
      <c r="JOC88" s="109"/>
      <c r="JOD88" s="12"/>
      <c r="JOE88" s="109"/>
      <c r="JOF88" s="12"/>
      <c r="JOG88" s="109"/>
      <c r="JOH88" s="12"/>
      <c r="JOI88" s="109"/>
      <c r="JOJ88" s="12"/>
      <c r="JOK88" s="109"/>
      <c r="JOL88" s="12"/>
      <c r="JOM88" s="109"/>
      <c r="JON88" s="12"/>
      <c r="JOO88" s="109"/>
      <c r="JOP88" s="12"/>
      <c r="JOQ88" s="109"/>
      <c r="JOR88" s="12"/>
      <c r="JOS88" s="109"/>
      <c r="JOT88" s="12"/>
      <c r="JOU88" s="109"/>
      <c r="JOV88" s="12"/>
      <c r="JOW88" s="109"/>
      <c r="JOX88" s="12"/>
      <c r="JOY88" s="109"/>
      <c r="JOZ88" s="12"/>
      <c r="JPA88" s="109"/>
      <c r="JPB88" s="12"/>
      <c r="JPC88" s="109"/>
      <c r="JPD88" s="12"/>
      <c r="JPE88" s="109"/>
      <c r="JPF88" s="12"/>
      <c r="JPG88" s="109"/>
      <c r="JPH88" s="12"/>
      <c r="JPI88" s="109"/>
      <c r="JPJ88" s="12"/>
      <c r="JPK88" s="109"/>
      <c r="JPL88" s="12"/>
      <c r="JPM88" s="109"/>
      <c r="JPN88" s="12"/>
      <c r="JPO88" s="109"/>
      <c r="JPP88" s="12"/>
      <c r="JPQ88" s="109"/>
      <c r="JPR88" s="12"/>
      <c r="JPS88" s="109"/>
      <c r="JPT88" s="12"/>
      <c r="JPU88" s="109"/>
      <c r="JPV88" s="12"/>
      <c r="JPW88" s="109"/>
      <c r="JPX88" s="12"/>
      <c r="JPY88" s="109"/>
      <c r="JPZ88" s="12"/>
      <c r="JQA88" s="109"/>
      <c r="JQB88" s="12"/>
      <c r="JQC88" s="109"/>
      <c r="JQD88" s="12"/>
      <c r="JQE88" s="109"/>
      <c r="JQF88" s="12"/>
      <c r="JQG88" s="109"/>
      <c r="JQH88" s="12"/>
      <c r="JQI88" s="109"/>
      <c r="JQJ88" s="12"/>
      <c r="JQK88" s="109"/>
      <c r="JQL88" s="12"/>
      <c r="JQM88" s="109"/>
      <c r="JQN88" s="12"/>
      <c r="JQO88" s="109"/>
      <c r="JQP88" s="12"/>
      <c r="JQQ88" s="109"/>
      <c r="JQR88" s="12"/>
      <c r="JQS88" s="109"/>
      <c r="JQT88" s="12"/>
      <c r="JQU88" s="109"/>
      <c r="JQV88" s="12"/>
      <c r="JQW88" s="109"/>
      <c r="JQX88" s="12"/>
      <c r="JQY88" s="109"/>
      <c r="JQZ88" s="12"/>
      <c r="JRA88" s="109"/>
      <c r="JRB88" s="12"/>
      <c r="JRC88" s="109"/>
      <c r="JRD88" s="12"/>
      <c r="JRE88" s="109"/>
      <c r="JRF88" s="12"/>
      <c r="JRG88" s="109"/>
      <c r="JRH88" s="12"/>
      <c r="JRI88" s="109"/>
      <c r="JRJ88" s="12"/>
      <c r="JRK88" s="109"/>
      <c r="JRL88" s="12"/>
      <c r="JRM88" s="109"/>
      <c r="JRN88" s="12"/>
      <c r="JRO88" s="109"/>
      <c r="JRP88" s="12"/>
      <c r="JRQ88" s="109"/>
      <c r="JRR88" s="12"/>
      <c r="JRS88" s="109"/>
      <c r="JRT88" s="12"/>
      <c r="JRU88" s="109"/>
      <c r="JRV88" s="12"/>
      <c r="JRW88" s="109"/>
      <c r="JRX88" s="12"/>
      <c r="JRY88" s="109"/>
      <c r="JRZ88" s="12"/>
      <c r="JSA88" s="109"/>
      <c r="JSB88" s="12"/>
      <c r="JSC88" s="109"/>
      <c r="JSD88" s="12"/>
      <c r="JSE88" s="109"/>
      <c r="JSF88" s="12"/>
      <c r="JSG88" s="109"/>
      <c r="JSH88" s="12"/>
      <c r="JSI88" s="109"/>
      <c r="JSJ88" s="12"/>
      <c r="JSK88" s="109"/>
      <c r="JSL88" s="12"/>
      <c r="JSM88" s="109"/>
      <c r="JSN88" s="12"/>
      <c r="JSO88" s="109"/>
      <c r="JSP88" s="12"/>
      <c r="JSQ88" s="109"/>
      <c r="JSR88" s="12"/>
      <c r="JSS88" s="109"/>
      <c r="JST88" s="12"/>
      <c r="JSU88" s="109"/>
      <c r="JSV88" s="12"/>
      <c r="JSW88" s="109"/>
      <c r="JSX88" s="12"/>
      <c r="JSY88" s="109"/>
      <c r="JSZ88" s="12"/>
      <c r="JTA88" s="109"/>
      <c r="JTB88" s="12"/>
      <c r="JTC88" s="109"/>
      <c r="JTD88" s="12"/>
      <c r="JTE88" s="109"/>
      <c r="JTF88" s="12"/>
      <c r="JTG88" s="109"/>
      <c r="JTH88" s="12"/>
      <c r="JTI88" s="109"/>
      <c r="JTJ88" s="12"/>
      <c r="JTK88" s="109"/>
      <c r="JTL88" s="12"/>
      <c r="JTM88" s="109"/>
      <c r="JTN88" s="12"/>
      <c r="JTO88" s="109"/>
      <c r="JTP88" s="12"/>
      <c r="JTQ88" s="109"/>
      <c r="JTR88" s="12"/>
      <c r="JTS88" s="109"/>
      <c r="JTT88" s="12"/>
      <c r="JTU88" s="109"/>
      <c r="JTV88" s="12"/>
      <c r="JTW88" s="109"/>
      <c r="JTX88" s="12"/>
      <c r="JTY88" s="109"/>
      <c r="JTZ88" s="12"/>
      <c r="JUA88" s="109"/>
      <c r="JUB88" s="12"/>
      <c r="JUC88" s="109"/>
      <c r="JUD88" s="12"/>
      <c r="JUE88" s="109"/>
      <c r="JUF88" s="12"/>
      <c r="JUG88" s="109"/>
      <c r="JUH88" s="12"/>
      <c r="JUI88" s="109"/>
      <c r="JUJ88" s="12"/>
      <c r="JUK88" s="109"/>
      <c r="JUL88" s="12"/>
      <c r="JUM88" s="109"/>
      <c r="JUN88" s="12"/>
      <c r="JUO88" s="109"/>
      <c r="JUP88" s="12"/>
      <c r="JUQ88" s="109"/>
      <c r="JUR88" s="12"/>
      <c r="JUS88" s="109"/>
      <c r="JUT88" s="12"/>
      <c r="JUU88" s="109"/>
      <c r="JUV88" s="12"/>
      <c r="JUW88" s="109"/>
      <c r="JUX88" s="12"/>
      <c r="JUY88" s="109"/>
      <c r="JUZ88" s="12"/>
      <c r="JVA88" s="109"/>
      <c r="JVB88" s="12"/>
      <c r="JVC88" s="109"/>
      <c r="JVD88" s="12"/>
      <c r="JVE88" s="109"/>
      <c r="JVF88" s="12"/>
      <c r="JVG88" s="109"/>
      <c r="JVH88" s="12"/>
      <c r="JVI88" s="109"/>
      <c r="JVJ88" s="12"/>
      <c r="JVK88" s="109"/>
      <c r="JVL88" s="12"/>
      <c r="JVM88" s="109"/>
      <c r="JVN88" s="12"/>
      <c r="JVO88" s="109"/>
      <c r="JVP88" s="12"/>
      <c r="JVQ88" s="109"/>
      <c r="JVR88" s="12"/>
      <c r="JVS88" s="109"/>
      <c r="JVT88" s="12"/>
      <c r="JVU88" s="109"/>
      <c r="JVV88" s="12"/>
      <c r="JVW88" s="109"/>
      <c r="JVX88" s="12"/>
      <c r="JVY88" s="109"/>
      <c r="JVZ88" s="12"/>
      <c r="JWA88" s="109"/>
      <c r="JWB88" s="12"/>
      <c r="JWC88" s="109"/>
      <c r="JWD88" s="12"/>
      <c r="JWE88" s="109"/>
      <c r="JWF88" s="12"/>
      <c r="JWG88" s="109"/>
      <c r="JWH88" s="12"/>
      <c r="JWI88" s="109"/>
      <c r="JWJ88" s="12"/>
      <c r="JWK88" s="109"/>
      <c r="JWL88" s="12"/>
      <c r="JWM88" s="109"/>
      <c r="JWN88" s="12"/>
      <c r="JWO88" s="109"/>
      <c r="JWP88" s="12"/>
      <c r="JWQ88" s="109"/>
      <c r="JWR88" s="12"/>
      <c r="JWS88" s="109"/>
      <c r="JWT88" s="12"/>
      <c r="JWU88" s="109"/>
      <c r="JWV88" s="12"/>
      <c r="JWW88" s="109"/>
      <c r="JWX88" s="12"/>
      <c r="JWY88" s="109"/>
      <c r="JWZ88" s="12"/>
      <c r="JXA88" s="109"/>
      <c r="JXB88" s="12"/>
      <c r="JXC88" s="109"/>
      <c r="JXD88" s="12"/>
      <c r="JXE88" s="109"/>
      <c r="JXF88" s="12"/>
      <c r="JXG88" s="109"/>
      <c r="JXH88" s="12"/>
      <c r="JXI88" s="109"/>
      <c r="JXJ88" s="12"/>
      <c r="JXK88" s="109"/>
      <c r="JXL88" s="12"/>
      <c r="JXM88" s="109"/>
      <c r="JXN88" s="12"/>
      <c r="JXO88" s="109"/>
      <c r="JXP88" s="12"/>
      <c r="JXQ88" s="109"/>
      <c r="JXR88" s="12"/>
      <c r="JXS88" s="109"/>
      <c r="JXT88" s="12"/>
      <c r="JXU88" s="109"/>
      <c r="JXV88" s="12"/>
      <c r="JXW88" s="109"/>
      <c r="JXX88" s="12"/>
      <c r="JXY88" s="109"/>
      <c r="JXZ88" s="12"/>
      <c r="JYA88" s="109"/>
      <c r="JYB88" s="12"/>
      <c r="JYC88" s="109"/>
      <c r="JYD88" s="12"/>
      <c r="JYE88" s="109"/>
      <c r="JYF88" s="12"/>
      <c r="JYG88" s="109"/>
      <c r="JYH88" s="12"/>
      <c r="JYI88" s="109"/>
      <c r="JYJ88" s="12"/>
      <c r="JYK88" s="109"/>
      <c r="JYL88" s="12"/>
      <c r="JYM88" s="109"/>
      <c r="JYN88" s="12"/>
      <c r="JYO88" s="109"/>
      <c r="JYP88" s="12"/>
      <c r="JYQ88" s="109"/>
      <c r="JYR88" s="12"/>
      <c r="JYS88" s="109"/>
      <c r="JYT88" s="12"/>
      <c r="JYU88" s="109"/>
      <c r="JYV88" s="12"/>
      <c r="JYW88" s="109"/>
      <c r="JYX88" s="12"/>
      <c r="JYY88" s="109"/>
      <c r="JYZ88" s="12"/>
      <c r="JZA88" s="109"/>
      <c r="JZB88" s="12"/>
      <c r="JZC88" s="109"/>
      <c r="JZD88" s="12"/>
      <c r="JZE88" s="109"/>
      <c r="JZF88" s="12"/>
      <c r="JZG88" s="109"/>
      <c r="JZH88" s="12"/>
      <c r="JZI88" s="109"/>
      <c r="JZJ88" s="12"/>
      <c r="JZK88" s="109"/>
      <c r="JZL88" s="12"/>
      <c r="JZM88" s="109"/>
      <c r="JZN88" s="12"/>
      <c r="JZO88" s="109"/>
      <c r="JZP88" s="12"/>
      <c r="JZQ88" s="109"/>
      <c r="JZR88" s="12"/>
      <c r="JZS88" s="109"/>
      <c r="JZT88" s="12"/>
      <c r="JZU88" s="109"/>
      <c r="JZV88" s="12"/>
      <c r="JZW88" s="109"/>
      <c r="JZX88" s="12"/>
      <c r="JZY88" s="109"/>
      <c r="JZZ88" s="12"/>
      <c r="KAA88" s="109"/>
      <c r="KAB88" s="12"/>
      <c r="KAC88" s="109"/>
      <c r="KAD88" s="12"/>
      <c r="KAE88" s="109"/>
      <c r="KAF88" s="12"/>
      <c r="KAG88" s="109"/>
      <c r="KAH88" s="12"/>
      <c r="KAI88" s="109"/>
      <c r="KAJ88" s="12"/>
      <c r="KAK88" s="109"/>
      <c r="KAL88" s="12"/>
      <c r="KAM88" s="109"/>
      <c r="KAN88" s="12"/>
      <c r="KAO88" s="109"/>
      <c r="KAP88" s="12"/>
      <c r="KAQ88" s="109"/>
      <c r="KAR88" s="12"/>
      <c r="KAS88" s="109"/>
      <c r="KAT88" s="12"/>
      <c r="KAU88" s="109"/>
      <c r="KAV88" s="12"/>
      <c r="KAW88" s="109"/>
      <c r="KAX88" s="12"/>
      <c r="KAY88" s="109"/>
      <c r="KAZ88" s="12"/>
      <c r="KBA88" s="109"/>
      <c r="KBB88" s="12"/>
      <c r="KBC88" s="109"/>
      <c r="KBD88" s="12"/>
      <c r="KBE88" s="109"/>
      <c r="KBF88" s="12"/>
      <c r="KBG88" s="109"/>
      <c r="KBH88" s="12"/>
      <c r="KBI88" s="109"/>
      <c r="KBJ88" s="12"/>
      <c r="KBK88" s="109"/>
      <c r="KBL88" s="12"/>
      <c r="KBM88" s="109"/>
      <c r="KBN88" s="12"/>
      <c r="KBO88" s="109"/>
      <c r="KBP88" s="12"/>
      <c r="KBQ88" s="109"/>
      <c r="KBR88" s="12"/>
      <c r="KBS88" s="109"/>
      <c r="KBT88" s="12"/>
      <c r="KBU88" s="109"/>
      <c r="KBV88" s="12"/>
      <c r="KBW88" s="109"/>
      <c r="KBX88" s="12"/>
      <c r="KBY88" s="109"/>
      <c r="KBZ88" s="12"/>
      <c r="KCA88" s="109"/>
      <c r="KCB88" s="12"/>
      <c r="KCC88" s="109"/>
      <c r="KCD88" s="12"/>
      <c r="KCE88" s="109"/>
      <c r="KCF88" s="12"/>
      <c r="KCG88" s="109"/>
      <c r="KCH88" s="12"/>
      <c r="KCI88" s="109"/>
      <c r="KCJ88" s="12"/>
      <c r="KCK88" s="109"/>
      <c r="KCL88" s="12"/>
      <c r="KCM88" s="109"/>
      <c r="KCN88" s="12"/>
      <c r="KCO88" s="109"/>
      <c r="KCP88" s="12"/>
      <c r="KCQ88" s="109"/>
      <c r="KCR88" s="12"/>
      <c r="KCS88" s="109"/>
      <c r="KCT88" s="12"/>
      <c r="KCU88" s="109"/>
      <c r="KCV88" s="12"/>
      <c r="KCW88" s="109"/>
      <c r="KCX88" s="12"/>
      <c r="KCY88" s="109"/>
      <c r="KCZ88" s="12"/>
      <c r="KDA88" s="109"/>
      <c r="KDB88" s="12"/>
      <c r="KDC88" s="109"/>
      <c r="KDD88" s="12"/>
      <c r="KDE88" s="109"/>
      <c r="KDF88" s="12"/>
      <c r="KDG88" s="109"/>
      <c r="KDH88" s="12"/>
      <c r="KDI88" s="109"/>
      <c r="KDJ88" s="12"/>
      <c r="KDK88" s="109"/>
      <c r="KDL88" s="12"/>
      <c r="KDM88" s="109"/>
      <c r="KDN88" s="12"/>
      <c r="KDO88" s="109"/>
      <c r="KDP88" s="12"/>
      <c r="KDQ88" s="109"/>
      <c r="KDR88" s="12"/>
      <c r="KDS88" s="109"/>
      <c r="KDT88" s="12"/>
      <c r="KDU88" s="109"/>
      <c r="KDV88" s="12"/>
      <c r="KDW88" s="109"/>
      <c r="KDX88" s="12"/>
      <c r="KDY88" s="109"/>
      <c r="KDZ88" s="12"/>
      <c r="KEA88" s="109"/>
      <c r="KEB88" s="12"/>
      <c r="KEC88" s="109"/>
      <c r="KED88" s="12"/>
      <c r="KEE88" s="109"/>
      <c r="KEF88" s="12"/>
      <c r="KEG88" s="109"/>
      <c r="KEH88" s="12"/>
      <c r="KEI88" s="109"/>
      <c r="KEJ88" s="12"/>
      <c r="KEK88" s="109"/>
      <c r="KEL88" s="12"/>
      <c r="KEM88" s="109"/>
      <c r="KEN88" s="12"/>
      <c r="KEO88" s="109"/>
      <c r="KEP88" s="12"/>
      <c r="KEQ88" s="109"/>
      <c r="KER88" s="12"/>
      <c r="KES88" s="109"/>
      <c r="KET88" s="12"/>
      <c r="KEU88" s="109"/>
      <c r="KEV88" s="12"/>
      <c r="KEW88" s="109"/>
      <c r="KEX88" s="12"/>
      <c r="KEY88" s="109"/>
      <c r="KEZ88" s="12"/>
      <c r="KFA88" s="109"/>
      <c r="KFB88" s="12"/>
      <c r="KFC88" s="109"/>
      <c r="KFD88" s="12"/>
      <c r="KFE88" s="109"/>
      <c r="KFF88" s="12"/>
      <c r="KFG88" s="109"/>
      <c r="KFH88" s="12"/>
      <c r="KFI88" s="109"/>
      <c r="KFJ88" s="12"/>
      <c r="KFK88" s="109"/>
      <c r="KFL88" s="12"/>
      <c r="KFM88" s="109"/>
      <c r="KFN88" s="12"/>
      <c r="KFO88" s="109"/>
      <c r="KFP88" s="12"/>
      <c r="KFQ88" s="109"/>
      <c r="KFR88" s="12"/>
      <c r="KFS88" s="109"/>
      <c r="KFT88" s="12"/>
      <c r="KFU88" s="109"/>
      <c r="KFV88" s="12"/>
      <c r="KFW88" s="109"/>
      <c r="KFX88" s="12"/>
      <c r="KFY88" s="109"/>
      <c r="KFZ88" s="12"/>
      <c r="KGA88" s="109"/>
      <c r="KGB88" s="12"/>
      <c r="KGC88" s="109"/>
      <c r="KGD88" s="12"/>
      <c r="KGE88" s="109"/>
      <c r="KGF88" s="12"/>
      <c r="KGG88" s="109"/>
      <c r="KGH88" s="12"/>
      <c r="KGI88" s="109"/>
      <c r="KGJ88" s="12"/>
      <c r="KGK88" s="109"/>
      <c r="KGL88" s="12"/>
      <c r="KGM88" s="109"/>
      <c r="KGN88" s="12"/>
      <c r="KGO88" s="109"/>
      <c r="KGP88" s="12"/>
      <c r="KGQ88" s="109"/>
      <c r="KGR88" s="12"/>
      <c r="KGS88" s="109"/>
      <c r="KGT88" s="12"/>
      <c r="KGU88" s="109"/>
      <c r="KGV88" s="12"/>
      <c r="KGW88" s="109"/>
      <c r="KGX88" s="12"/>
      <c r="KGY88" s="109"/>
      <c r="KGZ88" s="12"/>
      <c r="KHA88" s="109"/>
      <c r="KHB88" s="12"/>
      <c r="KHC88" s="109"/>
      <c r="KHD88" s="12"/>
      <c r="KHE88" s="109"/>
      <c r="KHF88" s="12"/>
      <c r="KHG88" s="109"/>
      <c r="KHH88" s="12"/>
      <c r="KHI88" s="109"/>
      <c r="KHJ88" s="12"/>
      <c r="KHK88" s="109"/>
      <c r="KHL88" s="12"/>
      <c r="KHM88" s="109"/>
      <c r="KHN88" s="12"/>
      <c r="KHO88" s="109"/>
      <c r="KHP88" s="12"/>
      <c r="KHQ88" s="109"/>
      <c r="KHR88" s="12"/>
      <c r="KHS88" s="109"/>
      <c r="KHT88" s="12"/>
      <c r="KHU88" s="109"/>
      <c r="KHV88" s="12"/>
      <c r="KHW88" s="109"/>
      <c r="KHX88" s="12"/>
      <c r="KHY88" s="109"/>
      <c r="KHZ88" s="12"/>
      <c r="KIA88" s="109"/>
      <c r="KIB88" s="12"/>
      <c r="KIC88" s="109"/>
      <c r="KID88" s="12"/>
      <c r="KIE88" s="109"/>
      <c r="KIF88" s="12"/>
      <c r="KIG88" s="109"/>
      <c r="KIH88" s="12"/>
      <c r="KII88" s="109"/>
      <c r="KIJ88" s="12"/>
      <c r="KIK88" s="109"/>
      <c r="KIL88" s="12"/>
      <c r="KIM88" s="109"/>
      <c r="KIN88" s="12"/>
      <c r="KIO88" s="109"/>
      <c r="KIP88" s="12"/>
      <c r="KIQ88" s="109"/>
      <c r="KIR88" s="12"/>
      <c r="KIS88" s="109"/>
      <c r="KIT88" s="12"/>
      <c r="KIU88" s="109"/>
      <c r="KIV88" s="12"/>
      <c r="KIW88" s="109"/>
      <c r="KIX88" s="12"/>
      <c r="KIY88" s="109"/>
      <c r="KIZ88" s="12"/>
      <c r="KJA88" s="109"/>
      <c r="KJB88" s="12"/>
      <c r="KJC88" s="109"/>
      <c r="KJD88" s="12"/>
      <c r="KJE88" s="109"/>
      <c r="KJF88" s="12"/>
      <c r="KJG88" s="109"/>
      <c r="KJH88" s="12"/>
      <c r="KJI88" s="109"/>
      <c r="KJJ88" s="12"/>
      <c r="KJK88" s="109"/>
      <c r="KJL88" s="12"/>
      <c r="KJM88" s="109"/>
      <c r="KJN88" s="12"/>
      <c r="KJO88" s="109"/>
      <c r="KJP88" s="12"/>
      <c r="KJQ88" s="109"/>
      <c r="KJR88" s="12"/>
      <c r="KJS88" s="109"/>
      <c r="KJT88" s="12"/>
      <c r="KJU88" s="109"/>
      <c r="KJV88" s="12"/>
      <c r="KJW88" s="109"/>
      <c r="KJX88" s="12"/>
      <c r="KJY88" s="109"/>
      <c r="KJZ88" s="12"/>
      <c r="KKA88" s="109"/>
      <c r="KKB88" s="12"/>
      <c r="KKC88" s="109"/>
      <c r="KKD88" s="12"/>
      <c r="KKE88" s="109"/>
      <c r="KKF88" s="12"/>
      <c r="KKG88" s="109"/>
      <c r="KKH88" s="12"/>
      <c r="KKI88" s="109"/>
      <c r="KKJ88" s="12"/>
      <c r="KKK88" s="109"/>
      <c r="KKL88" s="12"/>
      <c r="KKM88" s="109"/>
      <c r="KKN88" s="12"/>
      <c r="KKO88" s="109"/>
      <c r="KKP88" s="12"/>
      <c r="KKQ88" s="109"/>
      <c r="KKR88" s="12"/>
      <c r="KKS88" s="109"/>
      <c r="KKT88" s="12"/>
      <c r="KKU88" s="109"/>
      <c r="KKV88" s="12"/>
      <c r="KKW88" s="109"/>
      <c r="KKX88" s="12"/>
      <c r="KKY88" s="109"/>
      <c r="KKZ88" s="12"/>
      <c r="KLA88" s="109"/>
      <c r="KLB88" s="12"/>
      <c r="KLC88" s="109"/>
      <c r="KLD88" s="12"/>
      <c r="KLE88" s="109"/>
      <c r="KLF88" s="12"/>
      <c r="KLG88" s="109"/>
      <c r="KLH88" s="12"/>
      <c r="KLI88" s="109"/>
      <c r="KLJ88" s="12"/>
      <c r="KLK88" s="109"/>
      <c r="KLL88" s="12"/>
      <c r="KLM88" s="109"/>
      <c r="KLN88" s="12"/>
      <c r="KLO88" s="109"/>
      <c r="KLP88" s="12"/>
      <c r="KLQ88" s="109"/>
      <c r="KLR88" s="12"/>
      <c r="KLS88" s="109"/>
      <c r="KLT88" s="12"/>
      <c r="KLU88" s="109"/>
      <c r="KLV88" s="12"/>
      <c r="KLW88" s="109"/>
      <c r="KLX88" s="12"/>
      <c r="KLY88" s="109"/>
      <c r="KLZ88" s="12"/>
      <c r="KMA88" s="109"/>
      <c r="KMB88" s="12"/>
      <c r="KMC88" s="109"/>
      <c r="KMD88" s="12"/>
      <c r="KME88" s="109"/>
      <c r="KMF88" s="12"/>
      <c r="KMG88" s="109"/>
      <c r="KMH88" s="12"/>
      <c r="KMI88" s="109"/>
      <c r="KMJ88" s="12"/>
      <c r="KMK88" s="109"/>
      <c r="KML88" s="12"/>
      <c r="KMM88" s="109"/>
      <c r="KMN88" s="12"/>
      <c r="KMO88" s="109"/>
      <c r="KMP88" s="12"/>
      <c r="KMQ88" s="109"/>
      <c r="KMR88" s="12"/>
      <c r="KMS88" s="109"/>
      <c r="KMT88" s="12"/>
      <c r="KMU88" s="109"/>
      <c r="KMV88" s="12"/>
      <c r="KMW88" s="109"/>
      <c r="KMX88" s="12"/>
      <c r="KMY88" s="109"/>
      <c r="KMZ88" s="12"/>
      <c r="KNA88" s="109"/>
      <c r="KNB88" s="12"/>
      <c r="KNC88" s="109"/>
      <c r="KND88" s="12"/>
      <c r="KNE88" s="109"/>
      <c r="KNF88" s="12"/>
      <c r="KNG88" s="109"/>
      <c r="KNH88" s="12"/>
      <c r="KNI88" s="109"/>
      <c r="KNJ88" s="12"/>
      <c r="KNK88" s="109"/>
      <c r="KNL88" s="12"/>
      <c r="KNM88" s="109"/>
      <c r="KNN88" s="12"/>
      <c r="KNO88" s="109"/>
      <c r="KNP88" s="12"/>
      <c r="KNQ88" s="109"/>
      <c r="KNR88" s="12"/>
      <c r="KNS88" s="109"/>
      <c r="KNT88" s="12"/>
      <c r="KNU88" s="109"/>
      <c r="KNV88" s="12"/>
      <c r="KNW88" s="109"/>
      <c r="KNX88" s="12"/>
      <c r="KNY88" s="109"/>
      <c r="KNZ88" s="12"/>
      <c r="KOA88" s="109"/>
      <c r="KOB88" s="12"/>
      <c r="KOC88" s="109"/>
      <c r="KOD88" s="12"/>
      <c r="KOE88" s="109"/>
      <c r="KOF88" s="12"/>
      <c r="KOG88" s="109"/>
      <c r="KOH88" s="12"/>
      <c r="KOI88" s="109"/>
      <c r="KOJ88" s="12"/>
      <c r="KOK88" s="109"/>
      <c r="KOL88" s="12"/>
      <c r="KOM88" s="109"/>
      <c r="KON88" s="12"/>
      <c r="KOO88" s="109"/>
      <c r="KOP88" s="12"/>
      <c r="KOQ88" s="109"/>
      <c r="KOR88" s="12"/>
      <c r="KOS88" s="109"/>
      <c r="KOT88" s="12"/>
      <c r="KOU88" s="109"/>
      <c r="KOV88" s="12"/>
      <c r="KOW88" s="109"/>
      <c r="KOX88" s="12"/>
      <c r="KOY88" s="109"/>
      <c r="KOZ88" s="12"/>
      <c r="KPA88" s="109"/>
      <c r="KPB88" s="12"/>
      <c r="KPC88" s="109"/>
      <c r="KPD88" s="12"/>
      <c r="KPE88" s="109"/>
      <c r="KPF88" s="12"/>
      <c r="KPG88" s="109"/>
      <c r="KPH88" s="12"/>
      <c r="KPI88" s="109"/>
      <c r="KPJ88" s="12"/>
      <c r="KPK88" s="109"/>
      <c r="KPL88" s="12"/>
      <c r="KPM88" s="109"/>
      <c r="KPN88" s="12"/>
      <c r="KPO88" s="109"/>
      <c r="KPP88" s="12"/>
      <c r="KPQ88" s="109"/>
      <c r="KPR88" s="12"/>
      <c r="KPS88" s="109"/>
      <c r="KPT88" s="12"/>
      <c r="KPU88" s="109"/>
      <c r="KPV88" s="12"/>
      <c r="KPW88" s="109"/>
      <c r="KPX88" s="12"/>
      <c r="KPY88" s="109"/>
      <c r="KPZ88" s="12"/>
      <c r="KQA88" s="109"/>
      <c r="KQB88" s="12"/>
      <c r="KQC88" s="109"/>
      <c r="KQD88" s="12"/>
      <c r="KQE88" s="109"/>
      <c r="KQF88" s="12"/>
      <c r="KQG88" s="109"/>
      <c r="KQH88" s="12"/>
      <c r="KQI88" s="109"/>
      <c r="KQJ88" s="12"/>
      <c r="KQK88" s="109"/>
      <c r="KQL88" s="12"/>
      <c r="KQM88" s="109"/>
      <c r="KQN88" s="12"/>
      <c r="KQO88" s="109"/>
      <c r="KQP88" s="12"/>
      <c r="KQQ88" s="109"/>
      <c r="KQR88" s="12"/>
      <c r="KQS88" s="109"/>
      <c r="KQT88" s="12"/>
      <c r="KQU88" s="109"/>
      <c r="KQV88" s="12"/>
      <c r="KQW88" s="109"/>
      <c r="KQX88" s="12"/>
      <c r="KQY88" s="109"/>
      <c r="KQZ88" s="12"/>
      <c r="KRA88" s="109"/>
      <c r="KRB88" s="12"/>
      <c r="KRC88" s="109"/>
      <c r="KRD88" s="12"/>
      <c r="KRE88" s="109"/>
      <c r="KRF88" s="12"/>
      <c r="KRG88" s="109"/>
      <c r="KRH88" s="12"/>
      <c r="KRI88" s="109"/>
      <c r="KRJ88" s="12"/>
      <c r="KRK88" s="109"/>
      <c r="KRL88" s="12"/>
      <c r="KRM88" s="109"/>
      <c r="KRN88" s="12"/>
      <c r="KRO88" s="109"/>
      <c r="KRP88" s="12"/>
      <c r="KRQ88" s="109"/>
      <c r="KRR88" s="12"/>
      <c r="KRS88" s="109"/>
      <c r="KRT88" s="12"/>
      <c r="KRU88" s="109"/>
      <c r="KRV88" s="12"/>
      <c r="KRW88" s="109"/>
      <c r="KRX88" s="12"/>
      <c r="KRY88" s="109"/>
      <c r="KRZ88" s="12"/>
      <c r="KSA88" s="109"/>
      <c r="KSB88" s="12"/>
      <c r="KSC88" s="109"/>
      <c r="KSD88" s="12"/>
      <c r="KSE88" s="109"/>
      <c r="KSF88" s="12"/>
      <c r="KSG88" s="109"/>
      <c r="KSH88" s="12"/>
      <c r="KSI88" s="109"/>
      <c r="KSJ88" s="12"/>
      <c r="KSK88" s="109"/>
      <c r="KSL88" s="12"/>
      <c r="KSM88" s="109"/>
      <c r="KSN88" s="12"/>
      <c r="KSO88" s="109"/>
      <c r="KSP88" s="12"/>
      <c r="KSQ88" s="109"/>
      <c r="KSR88" s="12"/>
      <c r="KSS88" s="109"/>
      <c r="KST88" s="12"/>
      <c r="KSU88" s="109"/>
      <c r="KSV88" s="12"/>
      <c r="KSW88" s="109"/>
      <c r="KSX88" s="12"/>
      <c r="KSY88" s="109"/>
      <c r="KSZ88" s="12"/>
      <c r="KTA88" s="109"/>
      <c r="KTB88" s="12"/>
      <c r="KTC88" s="109"/>
      <c r="KTD88" s="12"/>
      <c r="KTE88" s="109"/>
      <c r="KTF88" s="12"/>
      <c r="KTG88" s="109"/>
      <c r="KTH88" s="12"/>
      <c r="KTI88" s="109"/>
      <c r="KTJ88" s="12"/>
      <c r="KTK88" s="109"/>
      <c r="KTL88" s="12"/>
      <c r="KTM88" s="109"/>
      <c r="KTN88" s="12"/>
      <c r="KTO88" s="109"/>
      <c r="KTP88" s="12"/>
      <c r="KTQ88" s="109"/>
      <c r="KTR88" s="12"/>
      <c r="KTS88" s="109"/>
      <c r="KTT88" s="12"/>
      <c r="KTU88" s="109"/>
      <c r="KTV88" s="12"/>
      <c r="KTW88" s="109"/>
      <c r="KTX88" s="12"/>
      <c r="KTY88" s="109"/>
      <c r="KTZ88" s="12"/>
      <c r="KUA88" s="109"/>
      <c r="KUB88" s="12"/>
      <c r="KUC88" s="109"/>
      <c r="KUD88" s="12"/>
      <c r="KUE88" s="109"/>
      <c r="KUF88" s="12"/>
      <c r="KUG88" s="109"/>
      <c r="KUH88" s="12"/>
      <c r="KUI88" s="109"/>
      <c r="KUJ88" s="12"/>
      <c r="KUK88" s="109"/>
      <c r="KUL88" s="12"/>
      <c r="KUM88" s="109"/>
      <c r="KUN88" s="12"/>
      <c r="KUO88" s="109"/>
      <c r="KUP88" s="12"/>
      <c r="KUQ88" s="109"/>
      <c r="KUR88" s="12"/>
      <c r="KUS88" s="109"/>
      <c r="KUT88" s="12"/>
      <c r="KUU88" s="109"/>
      <c r="KUV88" s="12"/>
      <c r="KUW88" s="109"/>
      <c r="KUX88" s="12"/>
      <c r="KUY88" s="109"/>
      <c r="KUZ88" s="12"/>
      <c r="KVA88" s="109"/>
      <c r="KVB88" s="12"/>
      <c r="KVC88" s="109"/>
      <c r="KVD88" s="12"/>
      <c r="KVE88" s="109"/>
      <c r="KVF88" s="12"/>
      <c r="KVG88" s="109"/>
      <c r="KVH88" s="12"/>
      <c r="KVI88" s="109"/>
      <c r="KVJ88" s="12"/>
      <c r="KVK88" s="109"/>
      <c r="KVL88" s="12"/>
      <c r="KVM88" s="109"/>
      <c r="KVN88" s="12"/>
      <c r="KVO88" s="109"/>
      <c r="KVP88" s="12"/>
      <c r="KVQ88" s="109"/>
      <c r="KVR88" s="12"/>
      <c r="KVS88" s="109"/>
      <c r="KVT88" s="12"/>
      <c r="KVU88" s="109"/>
      <c r="KVV88" s="12"/>
      <c r="KVW88" s="109"/>
      <c r="KVX88" s="12"/>
      <c r="KVY88" s="109"/>
      <c r="KVZ88" s="12"/>
      <c r="KWA88" s="109"/>
      <c r="KWB88" s="12"/>
      <c r="KWC88" s="109"/>
      <c r="KWD88" s="12"/>
      <c r="KWE88" s="109"/>
      <c r="KWF88" s="12"/>
      <c r="KWG88" s="109"/>
      <c r="KWH88" s="12"/>
      <c r="KWI88" s="109"/>
      <c r="KWJ88" s="12"/>
      <c r="KWK88" s="109"/>
      <c r="KWL88" s="12"/>
      <c r="KWM88" s="109"/>
      <c r="KWN88" s="12"/>
      <c r="KWO88" s="109"/>
      <c r="KWP88" s="12"/>
      <c r="KWQ88" s="109"/>
      <c r="KWR88" s="12"/>
      <c r="KWS88" s="109"/>
      <c r="KWT88" s="12"/>
      <c r="KWU88" s="109"/>
      <c r="KWV88" s="12"/>
      <c r="KWW88" s="109"/>
      <c r="KWX88" s="12"/>
      <c r="KWY88" s="109"/>
      <c r="KWZ88" s="12"/>
      <c r="KXA88" s="109"/>
      <c r="KXB88" s="12"/>
      <c r="KXC88" s="109"/>
      <c r="KXD88" s="12"/>
      <c r="KXE88" s="109"/>
      <c r="KXF88" s="12"/>
      <c r="KXG88" s="109"/>
      <c r="KXH88" s="12"/>
      <c r="KXI88" s="109"/>
      <c r="KXJ88" s="12"/>
      <c r="KXK88" s="109"/>
      <c r="KXL88" s="12"/>
      <c r="KXM88" s="109"/>
      <c r="KXN88" s="12"/>
      <c r="KXO88" s="109"/>
      <c r="KXP88" s="12"/>
      <c r="KXQ88" s="109"/>
      <c r="KXR88" s="12"/>
      <c r="KXS88" s="109"/>
      <c r="KXT88" s="12"/>
      <c r="KXU88" s="109"/>
      <c r="KXV88" s="12"/>
      <c r="KXW88" s="109"/>
      <c r="KXX88" s="12"/>
      <c r="KXY88" s="109"/>
      <c r="KXZ88" s="12"/>
      <c r="KYA88" s="109"/>
      <c r="KYB88" s="12"/>
      <c r="KYC88" s="109"/>
      <c r="KYD88" s="12"/>
      <c r="KYE88" s="109"/>
      <c r="KYF88" s="12"/>
      <c r="KYG88" s="109"/>
      <c r="KYH88" s="12"/>
      <c r="KYI88" s="109"/>
      <c r="KYJ88" s="12"/>
      <c r="KYK88" s="109"/>
      <c r="KYL88" s="12"/>
      <c r="KYM88" s="109"/>
      <c r="KYN88" s="12"/>
      <c r="KYO88" s="109"/>
      <c r="KYP88" s="12"/>
      <c r="KYQ88" s="109"/>
      <c r="KYR88" s="12"/>
      <c r="KYS88" s="109"/>
      <c r="KYT88" s="12"/>
      <c r="KYU88" s="109"/>
      <c r="KYV88" s="12"/>
      <c r="KYW88" s="109"/>
      <c r="KYX88" s="12"/>
      <c r="KYY88" s="109"/>
      <c r="KYZ88" s="12"/>
      <c r="KZA88" s="109"/>
      <c r="KZB88" s="12"/>
      <c r="KZC88" s="109"/>
      <c r="KZD88" s="12"/>
      <c r="KZE88" s="109"/>
      <c r="KZF88" s="12"/>
      <c r="KZG88" s="109"/>
      <c r="KZH88" s="12"/>
      <c r="KZI88" s="109"/>
      <c r="KZJ88" s="12"/>
      <c r="KZK88" s="109"/>
      <c r="KZL88" s="12"/>
      <c r="KZM88" s="109"/>
      <c r="KZN88" s="12"/>
      <c r="KZO88" s="109"/>
      <c r="KZP88" s="12"/>
      <c r="KZQ88" s="109"/>
      <c r="KZR88" s="12"/>
      <c r="KZS88" s="109"/>
      <c r="KZT88" s="12"/>
      <c r="KZU88" s="109"/>
      <c r="KZV88" s="12"/>
      <c r="KZW88" s="109"/>
      <c r="KZX88" s="12"/>
      <c r="KZY88" s="109"/>
      <c r="KZZ88" s="12"/>
      <c r="LAA88" s="109"/>
      <c r="LAB88" s="12"/>
      <c r="LAC88" s="109"/>
      <c r="LAD88" s="12"/>
      <c r="LAE88" s="109"/>
      <c r="LAF88" s="12"/>
      <c r="LAG88" s="109"/>
      <c r="LAH88" s="12"/>
      <c r="LAI88" s="109"/>
      <c r="LAJ88" s="12"/>
      <c r="LAK88" s="109"/>
      <c r="LAL88" s="12"/>
      <c r="LAM88" s="109"/>
      <c r="LAN88" s="12"/>
      <c r="LAO88" s="109"/>
      <c r="LAP88" s="12"/>
      <c r="LAQ88" s="109"/>
      <c r="LAR88" s="12"/>
      <c r="LAS88" s="109"/>
      <c r="LAT88" s="12"/>
      <c r="LAU88" s="109"/>
      <c r="LAV88" s="12"/>
      <c r="LAW88" s="109"/>
      <c r="LAX88" s="12"/>
      <c r="LAY88" s="109"/>
      <c r="LAZ88" s="12"/>
      <c r="LBA88" s="109"/>
      <c r="LBB88" s="12"/>
      <c r="LBC88" s="109"/>
      <c r="LBD88" s="12"/>
      <c r="LBE88" s="109"/>
      <c r="LBF88" s="12"/>
      <c r="LBG88" s="109"/>
      <c r="LBH88" s="12"/>
      <c r="LBI88" s="109"/>
      <c r="LBJ88" s="12"/>
      <c r="LBK88" s="109"/>
      <c r="LBL88" s="12"/>
      <c r="LBM88" s="109"/>
      <c r="LBN88" s="12"/>
      <c r="LBO88" s="109"/>
      <c r="LBP88" s="12"/>
      <c r="LBQ88" s="109"/>
      <c r="LBR88" s="12"/>
      <c r="LBS88" s="109"/>
      <c r="LBT88" s="12"/>
      <c r="LBU88" s="109"/>
      <c r="LBV88" s="12"/>
      <c r="LBW88" s="109"/>
      <c r="LBX88" s="12"/>
      <c r="LBY88" s="109"/>
      <c r="LBZ88" s="12"/>
      <c r="LCA88" s="109"/>
      <c r="LCB88" s="12"/>
      <c r="LCC88" s="109"/>
      <c r="LCD88" s="12"/>
      <c r="LCE88" s="109"/>
      <c r="LCF88" s="12"/>
      <c r="LCG88" s="109"/>
      <c r="LCH88" s="12"/>
      <c r="LCI88" s="109"/>
      <c r="LCJ88" s="12"/>
      <c r="LCK88" s="109"/>
      <c r="LCL88" s="12"/>
      <c r="LCM88" s="109"/>
      <c r="LCN88" s="12"/>
      <c r="LCO88" s="109"/>
      <c r="LCP88" s="12"/>
      <c r="LCQ88" s="109"/>
      <c r="LCR88" s="12"/>
      <c r="LCS88" s="109"/>
      <c r="LCT88" s="12"/>
      <c r="LCU88" s="109"/>
      <c r="LCV88" s="12"/>
      <c r="LCW88" s="109"/>
      <c r="LCX88" s="12"/>
      <c r="LCY88" s="109"/>
      <c r="LCZ88" s="12"/>
      <c r="LDA88" s="109"/>
      <c r="LDB88" s="12"/>
      <c r="LDC88" s="109"/>
      <c r="LDD88" s="12"/>
      <c r="LDE88" s="109"/>
      <c r="LDF88" s="12"/>
      <c r="LDG88" s="109"/>
      <c r="LDH88" s="12"/>
      <c r="LDI88" s="109"/>
      <c r="LDJ88" s="12"/>
      <c r="LDK88" s="109"/>
      <c r="LDL88" s="12"/>
      <c r="LDM88" s="109"/>
      <c r="LDN88" s="12"/>
      <c r="LDO88" s="109"/>
      <c r="LDP88" s="12"/>
      <c r="LDQ88" s="109"/>
      <c r="LDR88" s="12"/>
      <c r="LDS88" s="109"/>
      <c r="LDT88" s="12"/>
      <c r="LDU88" s="109"/>
      <c r="LDV88" s="12"/>
      <c r="LDW88" s="109"/>
      <c r="LDX88" s="12"/>
      <c r="LDY88" s="109"/>
      <c r="LDZ88" s="12"/>
      <c r="LEA88" s="109"/>
      <c r="LEB88" s="12"/>
      <c r="LEC88" s="109"/>
      <c r="LED88" s="12"/>
      <c r="LEE88" s="109"/>
      <c r="LEF88" s="12"/>
      <c r="LEG88" s="109"/>
      <c r="LEH88" s="12"/>
      <c r="LEI88" s="109"/>
      <c r="LEJ88" s="12"/>
      <c r="LEK88" s="109"/>
      <c r="LEL88" s="12"/>
      <c r="LEM88" s="109"/>
      <c r="LEN88" s="12"/>
      <c r="LEO88" s="109"/>
      <c r="LEP88" s="12"/>
      <c r="LEQ88" s="109"/>
      <c r="LER88" s="12"/>
      <c r="LES88" s="109"/>
      <c r="LET88" s="12"/>
      <c r="LEU88" s="109"/>
      <c r="LEV88" s="12"/>
      <c r="LEW88" s="109"/>
      <c r="LEX88" s="12"/>
      <c r="LEY88" s="109"/>
      <c r="LEZ88" s="12"/>
      <c r="LFA88" s="109"/>
      <c r="LFB88" s="12"/>
      <c r="LFC88" s="109"/>
      <c r="LFD88" s="12"/>
      <c r="LFE88" s="109"/>
      <c r="LFF88" s="12"/>
      <c r="LFG88" s="109"/>
      <c r="LFH88" s="12"/>
      <c r="LFI88" s="109"/>
      <c r="LFJ88" s="12"/>
      <c r="LFK88" s="109"/>
      <c r="LFL88" s="12"/>
      <c r="LFM88" s="109"/>
      <c r="LFN88" s="12"/>
      <c r="LFO88" s="109"/>
      <c r="LFP88" s="12"/>
      <c r="LFQ88" s="109"/>
      <c r="LFR88" s="12"/>
      <c r="LFS88" s="109"/>
      <c r="LFT88" s="12"/>
      <c r="LFU88" s="109"/>
      <c r="LFV88" s="12"/>
      <c r="LFW88" s="109"/>
      <c r="LFX88" s="12"/>
      <c r="LFY88" s="109"/>
      <c r="LFZ88" s="12"/>
      <c r="LGA88" s="109"/>
      <c r="LGB88" s="12"/>
      <c r="LGC88" s="109"/>
      <c r="LGD88" s="12"/>
      <c r="LGE88" s="109"/>
      <c r="LGF88" s="12"/>
      <c r="LGG88" s="109"/>
      <c r="LGH88" s="12"/>
      <c r="LGI88" s="109"/>
      <c r="LGJ88" s="12"/>
      <c r="LGK88" s="109"/>
      <c r="LGL88" s="12"/>
      <c r="LGM88" s="109"/>
      <c r="LGN88" s="12"/>
      <c r="LGO88" s="109"/>
      <c r="LGP88" s="12"/>
      <c r="LGQ88" s="109"/>
      <c r="LGR88" s="12"/>
      <c r="LGS88" s="109"/>
      <c r="LGT88" s="12"/>
      <c r="LGU88" s="109"/>
      <c r="LGV88" s="12"/>
      <c r="LGW88" s="109"/>
      <c r="LGX88" s="12"/>
      <c r="LGY88" s="109"/>
      <c r="LGZ88" s="12"/>
      <c r="LHA88" s="109"/>
      <c r="LHB88" s="12"/>
      <c r="LHC88" s="109"/>
      <c r="LHD88" s="12"/>
      <c r="LHE88" s="109"/>
      <c r="LHF88" s="12"/>
      <c r="LHG88" s="109"/>
      <c r="LHH88" s="12"/>
      <c r="LHI88" s="109"/>
      <c r="LHJ88" s="12"/>
      <c r="LHK88" s="109"/>
      <c r="LHL88" s="12"/>
      <c r="LHM88" s="109"/>
      <c r="LHN88" s="12"/>
      <c r="LHO88" s="109"/>
      <c r="LHP88" s="12"/>
      <c r="LHQ88" s="109"/>
      <c r="LHR88" s="12"/>
      <c r="LHS88" s="109"/>
      <c r="LHT88" s="12"/>
      <c r="LHU88" s="109"/>
      <c r="LHV88" s="12"/>
      <c r="LHW88" s="109"/>
      <c r="LHX88" s="12"/>
      <c r="LHY88" s="109"/>
      <c r="LHZ88" s="12"/>
      <c r="LIA88" s="109"/>
      <c r="LIB88" s="12"/>
      <c r="LIC88" s="109"/>
      <c r="LID88" s="12"/>
      <c r="LIE88" s="109"/>
      <c r="LIF88" s="12"/>
      <c r="LIG88" s="109"/>
      <c r="LIH88" s="12"/>
      <c r="LII88" s="109"/>
      <c r="LIJ88" s="12"/>
      <c r="LIK88" s="109"/>
      <c r="LIL88" s="12"/>
      <c r="LIM88" s="109"/>
      <c r="LIN88" s="12"/>
      <c r="LIO88" s="109"/>
      <c r="LIP88" s="12"/>
      <c r="LIQ88" s="109"/>
      <c r="LIR88" s="12"/>
      <c r="LIS88" s="109"/>
      <c r="LIT88" s="12"/>
      <c r="LIU88" s="109"/>
      <c r="LIV88" s="12"/>
      <c r="LIW88" s="109"/>
      <c r="LIX88" s="12"/>
      <c r="LIY88" s="109"/>
      <c r="LIZ88" s="12"/>
      <c r="LJA88" s="109"/>
      <c r="LJB88" s="12"/>
      <c r="LJC88" s="109"/>
      <c r="LJD88" s="12"/>
      <c r="LJE88" s="109"/>
      <c r="LJF88" s="12"/>
      <c r="LJG88" s="109"/>
      <c r="LJH88" s="12"/>
      <c r="LJI88" s="109"/>
      <c r="LJJ88" s="12"/>
      <c r="LJK88" s="109"/>
      <c r="LJL88" s="12"/>
      <c r="LJM88" s="109"/>
      <c r="LJN88" s="12"/>
      <c r="LJO88" s="109"/>
      <c r="LJP88" s="12"/>
      <c r="LJQ88" s="109"/>
      <c r="LJR88" s="12"/>
      <c r="LJS88" s="109"/>
      <c r="LJT88" s="12"/>
      <c r="LJU88" s="109"/>
      <c r="LJV88" s="12"/>
      <c r="LJW88" s="109"/>
      <c r="LJX88" s="12"/>
      <c r="LJY88" s="109"/>
      <c r="LJZ88" s="12"/>
      <c r="LKA88" s="109"/>
      <c r="LKB88" s="12"/>
      <c r="LKC88" s="109"/>
      <c r="LKD88" s="12"/>
      <c r="LKE88" s="109"/>
      <c r="LKF88" s="12"/>
      <c r="LKG88" s="109"/>
      <c r="LKH88" s="12"/>
      <c r="LKI88" s="109"/>
      <c r="LKJ88" s="12"/>
      <c r="LKK88" s="109"/>
      <c r="LKL88" s="12"/>
      <c r="LKM88" s="109"/>
      <c r="LKN88" s="12"/>
      <c r="LKO88" s="109"/>
      <c r="LKP88" s="12"/>
      <c r="LKQ88" s="109"/>
      <c r="LKR88" s="12"/>
      <c r="LKS88" s="109"/>
      <c r="LKT88" s="12"/>
      <c r="LKU88" s="109"/>
      <c r="LKV88" s="12"/>
      <c r="LKW88" s="109"/>
      <c r="LKX88" s="12"/>
      <c r="LKY88" s="109"/>
      <c r="LKZ88" s="12"/>
      <c r="LLA88" s="109"/>
      <c r="LLB88" s="12"/>
      <c r="LLC88" s="109"/>
      <c r="LLD88" s="12"/>
      <c r="LLE88" s="109"/>
      <c r="LLF88" s="12"/>
      <c r="LLG88" s="109"/>
      <c r="LLH88" s="12"/>
      <c r="LLI88" s="109"/>
      <c r="LLJ88" s="12"/>
      <c r="LLK88" s="109"/>
      <c r="LLL88" s="12"/>
      <c r="LLM88" s="109"/>
      <c r="LLN88" s="12"/>
      <c r="LLO88" s="109"/>
      <c r="LLP88" s="12"/>
      <c r="LLQ88" s="109"/>
      <c r="LLR88" s="12"/>
      <c r="LLS88" s="109"/>
      <c r="LLT88" s="12"/>
      <c r="LLU88" s="109"/>
      <c r="LLV88" s="12"/>
      <c r="LLW88" s="109"/>
      <c r="LLX88" s="12"/>
      <c r="LLY88" s="109"/>
      <c r="LLZ88" s="12"/>
      <c r="LMA88" s="109"/>
      <c r="LMB88" s="12"/>
      <c r="LMC88" s="109"/>
      <c r="LMD88" s="12"/>
      <c r="LME88" s="109"/>
      <c r="LMF88" s="12"/>
      <c r="LMG88" s="109"/>
      <c r="LMH88" s="12"/>
      <c r="LMI88" s="109"/>
      <c r="LMJ88" s="12"/>
      <c r="LMK88" s="109"/>
      <c r="LML88" s="12"/>
      <c r="LMM88" s="109"/>
      <c r="LMN88" s="12"/>
      <c r="LMO88" s="109"/>
      <c r="LMP88" s="12"/>
      <c r="LMQ88" s="109"/>
      <c r="LMR88" s="12"/>
      <c r="LMS88" s="109"/>
      <c r="LMT88" s="12"/>
      <c r="LMU88" s="109"/>
      <c r="LMV88" s="12"/>
      <c r="LMW88" s="109"/>
      <c r="LMX88" s="12"/>
      <c r="LMY88" s="109"/>
      <c r="LMZ88" s="12"/>
      <c r="LNA88" s="109"/>
      <c r="LNB88" s="12"/>
      <c r="LNC88" s="109"/>
      <c r="LND88" s="12"/>
      <c r="LNE88" s="109"/>
      <c r="LNF88" s="12"/>
      <c r="LNG88" s="109"/>
      <c r="LNH88" s="12"/>
      <c r="LNI88" s="109"/>
      <c r="LNJ88" s="12"/>
      <c r="LNK88" s="109"/>
      <c r="LNL88" s="12"/>
      <c r="LNM88" s="109"/>
      <c r="LNN88" s="12"/>
      <c r="LNO88" s="109"/>
      <c r="LNP88" s="12"/>
      <c r="LNQ88" s="109"/>
      <c r="LNR88" s="12"/>
      <c r="LNS88" s="109"/>
      <c r="LNT88" s="12"/>
      <c r="LNU88" s="109"/>
      <c r="LNV88" s="12"/>
      <c r="LNW88" s="109"/>
      <c r="LNX88" s="12"/>
      <c r="LNY88" s="109"/>
      <c r="LNZ88" s="12"/>
      <c r="LOA88" s="109"/>
      <c r="LOB88" s="12"/>
      <c r="LOC88" s="109"/>
      <c r="LOD88" s="12"/>
      <c r="LOE88" s="109"/>
      <c r="LOF88" s="12"/>
      <c r="LOG88" s="109"/>
      <c r="LOH88" s="12"/>
      <c r="LOI88" s="109"/>
      <c r="LOJ88" s="12"/>
      <c r="LOK88" s="109"/>
      <c r="LOL88" s="12"/>
      <c r="LOM88" s="109"/>
      <c r="LON88" s="12"/>
      <c r="LOO88" s="109"/>
      <c r="LOP88" s="12"/>
      <c r="LOQ88" s="109"/>
      <c r="LOR88" s="12"/>
      <c r="LOS88" s="109"/>
      <c r="LOT88" s="12"/>
      <c r="LOU88" s="109"/>
      <c r="LOV88" s="12"/>
      <c r="LOW88" s="109"/>
      <c r="LOX88" s="12"/>
      <c r="LOY88" s="109"/>
      <c r="LOZ88" s="12"/>
      <c r="LPA88" s="109"/>
      <c r="LPB88" s="12"/>
      <c r="LPC88" s="109"/>
      <c r="LPD88" s="12"/>
      <c r="LPE88" s="109"/>
      <c r="LPF88" s="12"/>
      <c r="LPG88" s="109"/>
      <c r="LPH88" s="12"/>
      <c r="LPI88" s="109"/>
      <c r="LPJ88" s="12"/>
      <c r="LPK88" s="109"/>
      <c r="LPL88" s="12"/>
      <c r="LPM88" s="109"/>
      <c r="LPN88" s="12"/>
      <c r="LPO88" s="109"/>
      <c r="LPP88" s="12"/>
      <c r="LPQ88" s="109"/>
      <c r="LPR88" s="12"/>
      <c r="LPS88" s="109"/>
      <c r="LPT88" s="12"/>
      <c r="LPU88" s="109"/>
      <c r="LPV88" s="12"/>
      <c r="LPW88" s="109"/>
      <c r="LPX88" s="12"/>
      <c r="LPY88" s="109"/>
      <c r="LPZ88" s="12"/>
      <c r="LQA88" s="109"/>
      <c r="LQB88" s="12"/>
      <c r="LQC88" s="109"/>
      <c r="LQD88" s="12"/>
      <c r="LQE88" s="109"/>
      <c r="LQF88" s="12"/>
      <c r="LQG88" s="109"/>
      <c r="LQH88" s="12"/>
      <c r="LQI88" s="109"/>
      <c r="LQJ88" s="12"/>
      <c r="LQK88" s="109"/>
      <c r="LQL88" s="12"/>
      <c r="LQM88" s="109"/>
      <c r="LQN88" s="12"/>
      <c r="LQO88" s="109"/>
      <c r="LQP88" s="12"/>
      <c r="LQQ88" s="109"/>
      <c r="LQR88" s="12"/>
      <c r="LQS88" s="109"/>
      <c r="LQT88" s="12"/>
      <c r="LQU88" s="109"/>
      <c r="LQV88" s="12"/>
      <c r="LQW88" s="109"/>
      <c r="LQX88" s="12"/>
      <c r="LQY88" s="109"/>
      <c r="LQZ88" s="12"/>
      <c r="LRA88" s="109"/>
      <c r="LRB88" s="12"/>
      <c r="LRC88" s="109"/>
      <c r="LRD88" s="12"/>
      <c r="LRE88" s="109"/>
      <c r="LRF88" s="12"/>
      <c r="LRG88" s="109"/>
      <c r="LRH88" s="12"/>
      <c r="LRI88" s="109"/>
      <c r="LRJ88" s="12"/>
      <c r="LRK88" s="109"/>
      <c r="LRL88" s="12"/>
      <c r="LRM88" s="109"/>
      <c r="LRN88" s="12"/>
      <c r="LRO88" s="109"/>
      <c r="LRP88" s="12"/>
      <c r="LRQ88" s="109"/>
      <c r="LRR88" s="12"/>
      <c r="LRS88" s="109"/>
      <c r="LRT88" s="12"/>
      <c r="LRU88" s="109"/>
      <c r="LRV88" s="12"/>
      <c r="LRW88" s="109"/>
      <c r="LRX88" s="12"/>
      <c r="LRY88" s="109"/>
      <c r="LRZ88" s="12"/>
      <c r="LSA88" s="109"/>
      <c r="LSB88" s="12"/>
      <c r="LSC88" s="109"/>
      <c r="LSD88" s="12"/>
      <c r="LSE88" s="109"/>
      <c r="LSF88" s="12"/>
      <c r="LSG88" s="109"/>
      <c r="LSH88" s="12"/>
      <c r="LSI88" s="109"/>
      <c r="LSJ88" s="12"/>
      <c r="LSK88" s="109"/>
      <c r="LSL88" s="12"/>
      <c r="LSM88" s="109"/>
      <c r="LSN88" s="12"/>
      <c r="LSO88" s="109"/>
      <c r="LSP88" s="12"/>
      <c r="LSQ88" s="109"/>
      <c r="LSR88" s="12"/>
      <c r="LSS88" s="109"/>
      <c r="LST88" s="12"/>
      <c r="LSU88" s="109"/>
      <c r="LSV88" s="12"/>
      <c r="LSW88" s="109"/>
      <c r="LSX88" s="12"/>
      <c r="LSY88" s="109"/>
      <c r="LSZ88" s="12"/>
      <c r="LTA88" s="109"/>
      <c r="LTB88" s="12"/>
      <c r="LTC88" s="109"/>
      <c r="LTD88" s="12"/>
      <c r="LTE88" s="109"/>
      <c r="LTF88" s="12"/>
      <c r="LTG88" s="109"/>
      <c r="LTH88" s="12"/>
      <c r="LTI88" s="109"/>
      <c r="LTJ88" s="12"/>
      <c r="LTK88" s="109"/>
      <c r="LTL88" s="12"/>
      <c r="LTM88" s="109"/>
      <c r="LTN88" s="12"/>
      <c r="LTO88" s="109"/>
      <c r="LTP88" s="12"/>
      <c r="LTQ88" s="109"/>
      <c r="LTR88" s="12"/>
      <c r="LTS88" s="109"/>
      <c r="LTT88" s="12"/>
      <c r="LTU88" s="109"/>
      <c r="LTV88" s="12"/>
      <c r="LTW88" s="109"/>
      <c r="LTX88" s="12"/>
      <c r="LTY88" s="109"/>
      <c r="LTZ88" s="12"/>
      <c r="LUA88" s="109"/>
      <c r="LUB88" s="12"/>
      <c r="LUC88" s="109"/>
      <c r="LUD88" s="12"/>
      <c r="LUE88" s="109"/>
      <c r="LUF88" s="12"/>
      <c r="LUG88" s="109"/>
      <c r="LUH88" s="12"/>
      <c r="LUI88" s="109"/>
      <c r="LUJ88" s="12"/>
      <c r="LUK88" s="109"/>
      <c r="LUL88" s="12"/>
      <c r="LUM88" s="109"/>
      <c r="LUN88" s="12"/>
      <c r="LUO88" s="109"/>
      <c r="LUP88" s="12"/>
      <c r="LUQ88" s="109"/>
      <c r="LUR88" s="12"/>
      <c r="LUS88" s="109"/>
      <c r="LUT88" s="12"/>
      <c r="LUU88" s="109"/>
      <c r="LUV88" s="12"/>
      <c r="LUW88" s="109"/>
      <c r="LUX88" s="12"/>
      <c r="LUY88" s="109"/>
      <c r="LUZ88" s="12"/>
      <c r="LVA88" s="109"/>
      <c r="LVB88" s="12"/>
      <c r="LVC88" s="109"/>
      <c r="LVD88" s="12"/>
      <c r="LVE88" s="109"/>
      <c r="LVF88" s="12"/>
      <c r="LVG88" s="109"/>
      <c r="LVH88" s="12"/>
      <c r="LVI88" s="109"/>
      <c r="LVJ88" s="12"/>
      <c r="LVK88" s="109"/>
      <c r="LVL88" s="12"/>
      <c r="LVM88" s="109"/>
      <c r="LVN88" s="12"/>
      <c r="LVO88" s="109"/>
      <c r="LVP88" s="12"/>
      <c r="LVQ88" s="109"/>
      <c r="LVR88" s="12"/>
      <c r="LVS88" s="109"/>
      <c r="LVT88" s="12"/>
      <c r="LVU88" s="109"/>
      <c r="LVV88" s="12"/>
      <c r="LVW88" s="109"/>
      <c r="LVX88" s="12"/>
      <c r="LVY88" s="109"/>
      <c r="LVZ88" s="12"/>
      <c r="LWA88" s="109"/>
      <c r="LWB88" s="12"/>
      <c r="LWC88" s="109"/>
      <c r="LWD88" s="12"/>
      <c r="LWE88" s="109"/>
      <c r="LWF88" s="12"/>
      <c r="LWG88" s="109"/>
      <c r="LWH88" s="12"/>
      <c r="LWI88" s="109"/>
      <c r="LWJ88" s="12"/>
      <c r="LWK88" s="109"/>
      <c r="LWL88" s="12"/>
      <c r="LWM88" s="109"/>
      <c r="LWN88" s="12"/>
      <c r="LWO88" s="109"/>
      <c r="LWP88" s="12"/>
      <c r="LWQ88" s="109"/>
      <c r="LWR88" s="12"/>
      <c r="LWS88" s="109"/>
      <c r="LWT88" s="12"/>
      <c r="LWU88" s="109"/>
      <c r="LWV88" s="12"/>
      <c r="LWW88" s="109"/>
      <c r="LWX88" s="12"/>
      <c r="LWY88" s="109"/>
      <c r="LWZ88" s="12"/>
      <c r="LXA88" s="109"/>
      <c r="LXB88" s="12"/>
      <c r="LXC88" s="109"/>
      <c r="LXD88" s="12"/>
      <c r="LXE88" s="109"/>
      <c r="LXF88" s="12"/>
      <c r="LXG88" s="109"/>
      <c r="LXH88" s="12"/>
      <c r="LXI88" s="109"/>
      <c r="LXJ88" s="12"/>
      <c r="LXK88" s="109"/>
      <c r="LXL88" s="12"/>
      <c r="LXM88" s="109"/>
      <c r="LXN88" s="12"/>
      <c r="LXO88" s="109"/>
      <c r="LXP88" s="12"/>
      <c r="LXQ88" s="109"/>
      <c r="LXR88" s="12"/>
      <c r="LXS88" s="109"/>
      <c r="LXT88" s="12"/>
      <c r="LXU88" s="109"/>
      <c r="LXV88" s="12"/>
      <c r="LXW88" s="109"/>
      <c r="LXX88" s="12"/>
      <c r="LXY88" s="109"/>
      <c r="LXZ88" s="12"/>
      <c r="LYA88" s="109"/>
      <c r="LYB88" s="12"/>
      <c r="LYC88" s="109"/>
      <c r="LYD88" s="12"/>
      <c r="LYE88" s="109"/>
      <c r="LYF88" s="12"/>
      <c r="LYG88" s="109"/>
      <c r="LYH88" s="12"/>
      <c r="LYI88" s="109"/>
      <c r="LYJ88" s="12"/>
      <c r="LYK88" s="109"/>
      <c r="LYL88" s="12"/>
      <c r="LYM88" s="109"/>
      <c r="LYN88" s="12"/>
      <c r="LYO88" s="109"/>
      <c r="LYP88" s="12"/>
      <c r="LYQ88" s="109"/>
      <c r="LYR88" s="12"/>
      <c r="LYS88" s="109"/>
      <c r="LYT88" s="12"/>
      <c r="LYU88" s="109"/>
      <c r="LYV88" s="12"/>
      <c r="LYW88" s="109"/>
      <c r="LYX88" s="12"/>
      <c r="LYY88" s="109"/>
      <c r="LYZ88" s="12"/>
      <c r="LZA88" s="109"/>
      <c r="LZB88" s="12"/>
      <c r="LZC88" s="109"/>
      <c r="LZD88" s="12"/>
      <c r="LZE88" s="109"/>
      <c r="LZF88" s="12"/>
      <c r="LZG88" s="109"/>
      <c r="LZH88" s="12"/>
      <c r="LZI88" s="109"/>
      <c r="LZJ88" s="12"/>
      <c r="LZK88" s="109"/>
      <c r="LZL88" s="12"/>
      <c r="LZM88" s="109"/>
      <c r="LZN88" s="12"/>
      <c r="LZO88" s="109"/>
      <c r="LZP88" s="12"/>
      <c r="LZQ88" s="109"/>
      <c r="LZR88" s="12"/>
      <c r="LZS88" s="109"/>
      <c r="LZT88" s="12"/>
      <c r="LZU88" s="109"/>
      <c r="LZV88" s="12"/>
      <c r="LZW88" s="109"/>
      <c r="LZX88" s="12"/>
      <c r="LZY88" s="109"/>
      <c r="LZZ88" s="12"/>
      <c r="MAA88" s="109"/>
      <c r="MAB88" s="12"/>
      <c r="MAC88" s="109"/>
      <c r="MAD88" s="12"/>
      <c r="MAE88" s="109"/>
      <c r="MAF88" s="12"/>
      <c r="MAG88" s="109"/>
      <c r="MAH88" s="12"/>
      <c r="MAI88" s="109"/>
      <c r="MAJ88" s="12"/>
      <c r="MAK88" s="109"/>
      <c r="MAL88" s="12"/>
      <c r="MAM88" s="109"/>
      <c r="MAN88" s="12"/>
      <c r="MAO88" s="109"/>
      <c r="MAP88" s="12"/>
      <c r="MAQ88" s="109"/>
      <c r="MAR88" s="12"/>
      <c r="MAS88" s="109"/>
      <c r="MAT88" s="12"/>
      <c r="MAU88" s="109"/>
      <c r="MAV88" s="12"/>
      <c r="MAW88" s="109"/>
      <c r="MAX88" s="12"/>
      <c r="MAY88" s="109"/>
      <c r="MAZ88" s="12"/>
      <c r="MBA88" s="109"/>
      <c r="MBB88" s="12"/>
      <c r="MBC88" s="109"/>
      <c r="MBD88" s="12"/>
      <c r="MBE88" s="109"/>
      <c r="MBF88" s="12"/>
      <c r="MBG88" s="109"/>
      <c r="MBH88" s="12"/>
      <c r="MBI88" s="109"/>
      <c r="MBJ88" s="12"/>
      <c r="MBK88" s="109"/>
      <c r="MBL88" s="12"/>
      <c r="MBM88" s="109"/>
      <c r="MBN88" s="12"/>
      <c r="MBO88" s="109"/>
      <c r="MBP88" s="12"/>
      <c r="MBQ88" s="109"/>
      <c r="MBR88" s="12"/>
      <c r="MBS88" s="109"/>
      <c r="MBT88" s="12"/>
      <c r="MBU88" s="109"/>
      <c r="MBV88" s="12"/>
      <c r="MBW88" s="109"/>
      <c r="MBX88" s="12"/>
      <c r="MBY88" s="109"/>
      <c r="MBZ88" s="12"/>
      <c r="MCA88" s="109"/>
      <c r="MCB88" s="12"/>
      <c r="MCC88" s="109"/>
      <c r="MCD88" s="12"/>
      <c r="MCE88" s="109"/>
      <c r="MCF88" s="12"/>
      <c r="MCG88" s="109"/>
      <c r="MCH88" s="12"/>
      <c r="MCI88" s="109"/>
      <c r="MCJ88" s="12"/>
      <c r="MCK88" s="109"/>
      <c r="MCL88" s="12"/>
      <c r="MCM88" s="109"/>
      <c r="MCN88" s="12"/>
      <c r="MCO88" s="109"/>
      <c r="MCP88" s="12"/>
      <c r="MCQ88" s="109"/>
      <c r="MCR88" s="12"/>
      <c r="MCS88" s="109"/>
      <c r="MCT88" s="12"/>
      <c r="MCU88" s="109"/>
      <c r="MCV88" s="12"/>
      <c r="MCW88" s="109"/>
      <c r="MCX88" s="12"/>
      <c r="MCY88" s="109"/>
      <c r="MCZ88" s="12"/>
      <c r="MDA88" s="109"/>
      <c r="MDB88" s="12"/>
      <c r="MDC88" s="109"/>
      <c r="MDD88" s="12"/>
      <c r="MDE88" s="109"/>
      <c r="MDF88" s="12"/>
      <c r="MDG88" s="109"/>
      <c r="MDH88" s="12"/>
      <c r="MDI88" s="109"/>
      <c r="MDJ88" s="12"/>
      <c r="MDK88" s="109"/>
      <c r="MDL88" s="12"/>
      <c r="MDM88" s="109"/>
      <c r="MDN88" s="12"/>
      <c r="MDO88" s="109"/>
      <c r="MDP88" s="12"/>
      <c r="MDQ88" s="109"/>
      <c r="MDR88" s="12"/>
      <c r="MDS88" s="109"/>
      <c r="MDT88" s="12"/>
      <c r="MDU88" s="109"/>
      <c r="MDV88" s="12"/>
      <c r="MDW88" s="109"/>
      <c r="MDX88" s="12"/>
      <c r="MDY88" s="109"/>
      <c r="MDZ88" s="12"/>
      <c r="MEA88" s="109"/>
      <c r="MEB88" s="12"/>
      <c r="MEC88" s="109"/>
      <c r="MED88" s="12"/>
      <c r="MEE88" s="109"/>
      <c r="MEF88" s="12"/>
      <c r="MEG88" s="109"/>
      <c r="MEH88" s="12"/>
      <c r="MEI88" s="109"/>
      <c r="MEJ88" s="12"/>
      <c r="MEK88" s="109"/>
      <c r="MEL88" s="12"/>
      <c r="MEM88" s="109"/>
      <c r="MEN88" s="12"/>
      <c r="MEO88" s="109"/>
      <c r="MEP88" s="12"/>
      <c r="MEQ88" s="109"/>
      <c r="MER88" s="12"/>
      <c r="MES88" s="109"/>
      <c r="MET88" s="12"/>
      <c r="MEU88" s="109"/>
      <c r="MEV88" s="12"/>
      <c r="MEW88" s="109"/>
      <c r="MEX88" s="12"/>
      <c r="MEY88" s="109"/>
      <c r="MEZ88" s="12"/>
      <c r="MFA88" s="109"/>
      <c r="MFB88" s="12"/>
      <c r="MFC88" s="109"/>
      <c r="MFD88" s="12"/>
      <c r="MFE88" s="109"/>
      <c r="MFF88" s="12"/>
      <c r="MFG88" s="109"/>
      <c r="MFH88" s="12"/>
      <c r="MFI88" s="109"/>
      <c r="MFJ88" s="12"/>
      <c r="MFK88" s="109"/>
      <c r="MFL88" s="12"/>
      <c r="MFM88" s="109"/>
      <c r="MFN88" s="12"/>
      <c r="MFO88" s="109"/>
      <c r="MFP88" s="12"/>
      <c r="MFQ88" s="109"/>
      <c r="MFR88" s="12"/>
      <c r="MFS88" s="109"/>
      <c r="MFT88" s="12"/>
      <c r="MFU88" s="109"/>
      <c r="MFV88" s="12"/>
      <c r="MFW88" s="109"/>
      <c r="MFX88" s="12"/>
      <c r="MFY88" s="109"/>
      <c r="MFZ88" s="12"/>
      <c r="MGA88" s="109"/>
      <c r="MGB88" s="12"/>
      <c r="MGC88" s="109"/>
      <c r="MGD88" s="12"/>
      <c r="MGE88" s="109"/>
      <c r="MGF88" s="12"/>
      <c r="MGG88" s="109"/>
      <c r="MGH88" s="12"/>
      <c r="MGI88" s="109"/>
      <c r="MGJ88" s="12"/>
      <c r="MGK88" s="109"/>
      <c r="MGL88" s="12"/>
      <c r="MGM88" s="109"/>
      <c r="MGN88" s="12"/>
      <c r="MGO88" s="109"/>
      <c r="MGP88" s="12"/>
      <c r="MGQ88" s="109"/>
      <c r="MGR88" s="12"/>
      <c r="MGS88" s="109"/>
      <c r="MGT88" s="12"/>
      <c r="MGU88" s="109"/>
      <c r="MGV88" s="12"/>
      <c r="MGW88" s="109"/>
      <c r="MGX88" s="12"/>
      <c r="MGY88" s="109"/>
      <c r="MGZ88" s="12"/>
      <c r="MHA88" s="109"/>
      <c r="MHB88" s="12"/>
      <c r="MHC88" s="109"/>
      <c r="MHD88" s="12"/>
      <c r="MHE88" s="109"/>
      <c r="MHF88" s="12"/>
      <c r="MHG88" s="109"/>
      <c r="MHH88" s="12"/>
      <c r="MHI88" s="109"/>
      <c r="MHJ88" s="12"/>
      <c r="MHK88" s="109"/>
      <c r="MHL88" s="12"/>
      <c r="MHM88" s="109"/>
      <c r="MHN88" s="12"/>
      <c r="MHO88" s="109"/>
      <c r="MHP88" s="12"/>
      <c r="MHQ88" s="109"/>
      <c r="MHR88" s="12"/>
      <c r="MHS88" s="109"/>
      <c r="MHT88" s="12"/>
      <c r="MHU88" s="109"/>
      <c r="MHV88" s="12"/>
      <c r="MHW88" s="109"/>
      <c r="MHX88" s="12"/>
      <c r="MHY88" s="109"/>
      <c r="MHZ88" s="12"/>
      <c r="MIA88" s="109"/>
      <c r="MIB88" s="12"/>
      <c r="MIC88" s="109"/>
      <c r="MID88" s="12"/>
      <c r="MIE88" s="109"/>
      <c r="MIF88" s="12"/>
      <c r="MIG88" s="109"/>
      <c r="MIH88" s="12"/>
      <c r="MII88" s="109"/>
      <c r="MIJ88" s="12"/>
      <c r="MIK88" s="109"/>
      <c r="MIL88" s="12"/>
      <c r="MIM88" s="109"/>
      <c r="MIN88" s="12"/>
      <c r="MIO88" s="109"/>
      <c r="MIP88" s="12"/>
      <c r="MIQ88" s="109"/>
      <c r="MIR88" s="12"/>
      <c r="MIS88" s="109"/>
      <c r="MIT88" s="12"/>
      <c r="MIU88" s="109"/>
      <c r="MIV88" s="12"/>
      <c r="MIW88" s="109"/>
      <c r="MIX88" s="12"/>
      <c r="MIY88" s="109"/>
      <c r="MIZ88" s="12"/>
      <c r="MJA88" s="109"/>
      <c r="MJB88" s="12"/>
      <c r="MJC88" s="109"/>
      <c r="MJD88" s="12"/>
      <c r="MJE88" s="109"/>
      <c r="MJF88" s="12"/>
      <c r="MJG88" s="109"/>
      <c r="MJH88" s="12"/>
      <c r="MJI88" s="109"/>
      <c r="MJJ88" s="12"/>
      <c r="MJK88" s="109"/>
      <c r="MJL88" s="12"/>
      <c r="MJM88" s="109"/>
      <c r="MJN88" s="12"/>
      <c r="MJO88" s="109"/>
      <c r="MJP88" s="12"/>
      <c r="MJQ88" s="109"/>
      <c r="MJR88" s="12"/>
      <c r="MJS88" s="109"/>
      <c r="MJT88" s="12"/>
      <c r="MJU88" s="109"/>
      <c r="MJV88" s="12"/>
      <c r="MJW88" s="109"/>
      <c r="MJX88" s="12"/>
      <c r="MJY88" s="109"/>
      <c r="MJZ88" s="12"/>
      <c r="MKA88" s="109"/>
      <c r="MKB88" s="12"/>
      <c r="MKC88" s="109"/>
      <c r="MKD88" s="12"/>
      <c r="MKE88" s="109"/>
      <c r="MKF88" s="12"/>
      <c r="MKG88" s="109"/>
      <c r="MKH88" s="12"/>
      <c r="MKI88" s="109"/>
      <c r="MKJ88" s="12"/>
      <c r="MKK88" s="109"/>
      <c r="MKL88" s="12"/>
      <c r="MKM88" s="109"/>
      <c r="MKN88" s="12"/>
      <c r="MKO88" s="109"/>
      <c r="MKP88" s="12"/>
      <c r="MKQ88" s="109"/>
      <c r="MKR88" s="12"/>
      <c r="MKS88" s="109"/>
      <c r="MKT88" s="12"/>
      <c r="MKU88" s="109"/>
      <c r="MKV88" s="12"/>
      <c r="MKW88" s="109"/>
      <c r="MKX88" s="12"/>
      <c r="MKY88" s="109"/>
      <c r="MKZ88" s="12"/>
      <c r="MLA88" s="109"/>
      <c r="MLB88" s="12"/>
      <c r="MLC88" s="109"/>
      <c r="MLD88" s="12"/>
      <c r="MLE88" s="109"/>
      <c r="MLF88" s="12"/>
      <c r="MLG88" s="109"/>
      <c r="MLH88" s="12"/>
      <c r="MLI88" s="109"/>
      <c r="MLJ88" s="12"/>
      <c r="MLK88" s="109"/>
      <c r="MLL88" s="12"/>
      <c r="MLM88" s="109"/>
      <c r="MLN88" s="12"/>
      <c r="MLO88" s="109"/>
      <c r="MLP88" s="12"/>
      <c r="MLQ88" s="109"/>
      <c r="MLR88" s="12"/>
      <c r="MLS88" s="109"/>
      <c r="MLT88" s="12"/>
      <c r="MLU88" s="109"/>
      <c r="MLV88" s="12"/>
      <c r="MLW88" s="109"/>
      <c r="MLX88" s="12"/>
      <c r="MLY88" s="109"/>
      <c r="MLZ88" s="12"/>
      <c r="MMA88" s="109"/>
      <c r="MMB88" s="12"/>
      <c r="MMC88" s="109"/>
      <c r="MMD88" s="12"/>
      <c r="MME88" s="109"/>
      <c r="MMF88" s="12"/>
      <c r="MMG88" s="109"/>
      <c r="MMH88" s="12"/>
      <c r="MMI88" s="109"/>
      <c r="MMJ88" s="12"/>
      <c r="MMK88" s="109"/>
      <c r="MML88" s="12"/>
      <c r="MMM88" s="109"/>
      <c r="MMN88" s="12"/>
      <c r="MMO88" s="109"/>
      <c r="MMP88" s="12"/>
      <c r="MMQ88" s="109"/>
      <c r="MMR88" s="12"/>
      <c r="MMS88" s="109"/>
      <c r="MMT88" s="12"/>
      <c r="MMU88" s="109"/>
      <c r="MMV88" s="12"/>
      <c r="MMW88" s="109"/>
      <c r="MMX88" s="12"/>
      <c r="MMY88" s="109"/>
      <c r="MMZ88" s="12"/>
      <c r="MNA88" s="109"/>
      <c r="MNB88" s="12"/>
      <c r="MNC88" s="109"/>
      <c r="MND88" s="12"/>
      <c r="MNE88" s="109"/>
      <c r="MNF88" s="12"/>
      <c r="MNG88" s="109"/>
      <c r="MNH88" s="12"/>
      <c r="MNI88" s="109"/>
      <c r="MNJ88" s="12"/>
      <c r="MNK88" s="109"/>
      <c r="MNL88" s="12"/>
      <c r="MNM88" s="109"/>
      <c r="MNN88" s="12"/>
      <c r="MNO88" s="109"/>
      <c r="MNP88" s="12"/>
      <c r="MNQ88" s="109"/>
      <c r="MNR88" s="12"/>
      <c r="MNS88" s="109"/>
      <c r="MNT88" s="12"/>
      <c r="MNU88" s="109"/>
      <c r="MNV88" s="12"/>
      <c r="MNW88" s="109"/>
      <c r="MNX88" s="12"/>
      <c r="MNY88" s="109"/>
      <c r="MNZ88" s="12"/>
      <c r="MOA88" s="109"/>
      <c r="MOB88" s="12"/>
      <c r="MOC88" s="109"/>
      <c r="MOD88" s="12"/>
      <c r="MOE88" s="109"/>
      <c r="MOF88" s="12"/>
      <c r="MOG88" s="109"/>
      <c r="MOH88" s="12"/>
      <c r="MOI88" s="109"/>
      <c r="MOJ88" s="12"/>
      <c r="MOK88" s="109"/>
      <c r="MOL88" s="12"/>
      <c r="MOM88" s="109"/>
      <c r="MON88" s="12"/>
      <c r="MOO88" s="109"/>
      <c r="MOP88" s="12"/>
      <c r="MOQ88" s="109"/>
      <c r="MOR88" s="12"/>
      <c r="MOS88" s="109"/>
      <c r="MOT88" s="12"/>
      <c r="MOU88" s="109"/>
      <c r="MOV88" s="12"/>
      <c r="MOW88" s="109"/>
      <c r="MOX88" s="12"/>
      <c r="MOY88" s="109"/>
      <c r="MOZ88" s="12"/>
      <c r="MPA88" s="109"/>
      <c r="MPB88" s="12"/>
      <c r="MPC88" s="109"/>
      <c r="MPD88" s="12"/>
      <c r="MPE88" s="109"/>
      <c r="MPF88" s="12"/>
      <c r="MPG88" s="109"/>
      <c r="MPH88" s="12"/>
      <c r="MPI88" s="109"/>
      <c r="MPJ88" s="12"/>
      <c r="MPK88" s="109"/>
      <c r="MPL88" s="12"/>
      <c r="MPM88" s="109"/>
      <c r="MPN88" s="12"/>
      <c r="MPO88" s="109"/>
      <c r="MPP88" s="12"/>
      <c r="MPQ88" s="109"/>
      <c r="MPR88" s="12"/>
      <c r="MPS88" s="109"/>
      <c r="MPT88" s="12"/>
      <c r="MPU88" s="109"/>
      <c r="MPV88" s="12"/>
      <c r="MPW88" s="109"/>
      <c r="MPX88" s="12"/>
      <c r="MPY88" s="109"/>
      <c r="MPZ88" s="12"/>
      <c r="MQA88" s="109"/>
      <c r="MQB88" s="12"/>
      <c r="MQC88" s="109"/>
      <c r="MQD88" s="12"/>
      <c r="MQE88" s="109"/>
      <c r="MQF88" s="12"/>
      <c r="MQG88" s="109"/>
      <c r="MQH88" s="12"/>
      <c r="MQI88" s="109"/>
      <c r="MQJ88" s="12"/>
      <c r="MQK88" s="109"/>
      <c r="MQL88" s="12"/>
      <c r="MQM88" s="109"/>
      <c r="MQN88" s="12"/>
      <c r="MQO88" s="109"/>
      <c r="MQP88" s="12"/>
      <c r="MQQ88" s="109"/>
      <c r="MQR88" s="12"/>
      <c r="MQS88" s="109"/>
      <c r="MQT88" s="12"/>
      <c r="MQU88" s="109"/>
      <c r="MQV88" s="12"/>
      <c r="MQW88" s="109"/>
      <c r="MQX88" s="12"/>
      <c r="MQY88" s="109"/>
      <c r="MQZ88" s="12"/>
      <c r="MRA88" s="109"/>
      <c r="MRB88" s="12"/>
      <c r="MRC88" s="109"/>
      <c r="MRD88" s="12"/>
      <c r="MRE88" s="109"/>
      <c r="MRF88" s="12"/>
      <c r="MRG88" s="109"/>
      <c r="MRH88" s="12"/>
      <c r="MRI88" s="109"/>
      <c r="MRJ88" s="12"/>
      <c r="MRK88" s="109"/>
      <c r="MRL88" s="12"/>
      <c r="MRM88" s="109"/>
      <c r="MRN88" s="12"/>
      <c r="MRO88" s="109"/>
      <c r="MRP88" s="12"/>
      <c r="MRQ88" s="109"/>
      <c r="MRR88" s="12"/>
      <c r="MRS88" s="109"/>
      <c r="MRT88" s="12"/>
      <c r="MRU88" s="109"/>
      <c r="MRV88" s="12"/>
      <c r="MRW88" s="109"/>
      <c r="MRX88" s="12"/>
      <c r="MRY88" s="109"/>
      <c r="MRZ88" s="12"/>
      <c r="MSA88" s="109"/>
      <c r="MSB88" s="12"/>
      <c r="MSC88" s="109"/>
      <c r="MSD88" s="12"/>
      <c r="MSE88" s="109"/>
      <c r="MSF88" s="12"/>
      <c r="MSG88" s="109"/>
      <c r="MSH88" s="12"/>
      <c r="MSI88" s="109"/>
      <c r="MSJ88" s="12"/>
      <c r="MSK88" s="109"/>
      <c r="MSL88" s="12"/>
      <c r="MSM88" s="109"/>
      <c r="MSN88" s="12"/>
      <c r="MSO88" s="109"/>
      <c r="MSP88" s="12"/>
      <c r="MSQ88" s="109"/>
      <c r="MSR88" s="12"/>
      <c r="MSS88" s="109"/>
      <c r="MST88" s="12"/>
      <c r="MSU88" s="109"/>
      <c r="MSV88" s="12"/>
      <c r="MSW88" s="109"/>
      <c r="MSX88" s="12"/>
      <c r="MSY88" s="109"/>
      <c r="MSZ88" s="12"/>
      <c r="MTA88" s="109"/>
      <c r="MTB88" s="12"/>
      <c r="MTC88" s="109"/>
      <c r="MTD88" s="12"/>
      <c r="MTE88" s="109"/>
      <c r="MTF88" s="12"/>
      <c r="MTG88" s="109"/>
      <c r="MTH88" s="12"/>
      <c r="MTI88" s="109"/>
      <c r="MTJ88" s="12"/>
      <c r="MTK88" s="109"/>
      <c r="MTL88" s="12"/>
      <c r="MTM88" s="109"/>
      <c r="MTN88" s="12"/>
      <c r="MTO88" s="109"/>
      <c r="MTP88" s="12"/>
      <c r="MTQ88" s="109"/>
      <c r="MTR88" s="12"/>
      <c r="MTS88" s="109"/>
      <c r="MTT88" s="12"/>
      <c r="MTU88" s="109"/>
      <c r="MTV88" s="12"/>
      <c r="MTW88" s="109"/>
      <c r="MTX88" s="12"/>
      <c r="MTY88" s="109"/>
      <c r="MTZ88" s="12"/>
      <c r="MUA88" s="109"/>
      <c r="MUB88" s="12"/>
      <c r="MUC88" s="109"/>
      <c r="MUD88" s="12"/>
      <c r="MUE88" s="109"/>
      <c r="MUF88" s="12"/>
      <c r="MUG88" s="109"/>
      <c r="MUH88" s="12"/>
      <c r="MUI88" s="109"/>
      <c r="MUJ88" s="12"/>
      <c r="MUK88" s="109"/>
      <c r="MUL88" s="12"/>
      <c r="MUM88" s="109"/>
      <c r="MUN88" s="12"/>
      <c r="MUO88" s="109"/>
      <c r="MUP88" s="12"/>
      <c r="MUQ88" s="109"/>
      <c r="MUR88" s="12"/>
      <c r="MUS88" s="109"/>
      <c r="MUT88" s="12"/>
      <c r="MUU88" s="109"/>
      <c r="MUV88" s="12"/>
      <c r="MUW88" s="109"/>
      <c r="MUX88" s="12"/>
      <c r="MUY88" s="109"/>
      <c r="MUZ88" s="12"/>
      <c r="MVA88" s="109"/>
      <c r="MVB88" s="12"/>
      <c r="MVC88" s="109"/>
      <c r="MVD88" s="12"/>
      <c r="MVE88" s="109"/>
      <c r="MVF88" s="12"/>
      <c r="MVG88" s="109"/>
      <c r="MVH88" s="12"/>
      <c r="MVI88" s="109"/>
      <c r="MVJ88" s="12"/>
      <c r="MVK88" s="109"/>
      <c r="MVL88" s="12"/>
      <c r="MVM88" s="109"/>
      <c r="MVN88" s="12"/>
      <c r="MVO88" s="109"/>
      <c r="MVP88" s="12"/>
      <c r="MVQ88" s="109"/>
      <c r="MVR88" s="12"/>
      <c r="MVS88" s="109"/>
      <c r="MVT88" s="12"/>
      <c r="MVU88" s="109"/>
      <c r="MVV88" s="12"/>
      <c r="MVW88" s="109"/>
      <c r="MVX88" s="12"/>
      <c r="MVY88" s="109"/>
      <c r="MVZ88" s="12"/>
      <c r="MWA88" s="109"/>
      <c r="MWB88" s="12"/>
      <c r="MWC88" s="109"/>
      <c r="MWD88" s="12"/>
      <c r="MWE88" s="109"/>
      <c r="MWF88" s="12"/>
      <c r="MWG88" s="109"/>
      <c r="MWH88" s="12"/>
      <c r="MWI88" s="109"/>
      <c r="MWJ88" s="12"/>
      <c r="MWK88" s="109"/>
      <c r="MWL88" s="12"/>
      <c r="MWM88" s="109"/>
      <c r="MWN88" s="12"/>
      <c r="MWO88" s="109"/>
      <c r="MWP88" s="12"/>
      <c r="MWQ88" s="109"/>
      <c r="MWR88" s="12"/>
      <c r="MWS88" s="109"/>
      <c r="MWT88" s="12"/>
      <c r="MWU88" s="109"/>
      <c r="MWV88" s="12"/>
      <c r="MWW88" s="109"/>
      <c r="MWX88" s="12"/>
      <c r="MWY88" s="109"/>
      <c r="MWZ88" s="12"/>
      <c r="MXA88" s="109"/>
      <c r="MXB88" s="12"/>
      <c r="MXC88" s="109"/>
      <c r="MXD88" s="12"/>
      <c r="MXE88" s="109"/>
      <c r="MXF88" s="12"/>
      <c r="MXG88" s="109"/>
      <c r="MXH88" s="12"/>
      <c r="MXI88" s="109"/>
      <c r="MXJ88" s="12"/>
      <c r="MXK88" s="109"/>
      <c r="MXL88" s="12"/>
      <c r="MXM88" s="109"/>
      <c r="MXN88" s="12"/>
      <c r="MXO88" s="109"/>
      <c r="MXP88" s="12"/>
      <c r="MXQ88" s="109"/>
      <c r="MXR88" s="12"/>
      <c r="MXS88" s="109"/>
      <c r="MXT88" s="12"/>
      <c r="MXU88" s="109"/>
      <c r="MXV88" s="12"/>
      <c r="MXW88" s="109"/>
      <c r="MXX88" s="12"/>
      <c r="MXY88" s="109"/>
      <c r="MXZ88" s="12"/>
      <c r="MYA88" s="109"/>
      <c r="MYB88" s="12"/>
      <c r="MYC88" s="109"/>
      <c r="MYD88" s="12"/>
      <c r="MYE88" s="109"/>
      <c r="MYF88" s="12"/>
      <c r="MYG88" s="109"/>
      <c r="MYH88" s="12"/>
      <c r="MYI88" s="109"/>
      <c r="MYJ88" s="12"/>
      <c r="MYK88" s="109"/>
      <c r="MYL88" s="12"/>
      <c r="MYM88" s="109"/>
      <c r="MYN88" s="12"/>
      <c r="MYO88" s="109"/>
      <c r="MYP88" s="12"/>
      <c r="MYQ88" s="109"/>
      <c r="MYR88" s="12"/>
      <c r="MYS88" s="109"/>
      <c r="MYT88" s="12"/>
      <c r="MYU88" s="109"/>
      <c r="MYV88" s="12"/>
      <c r="MYW88" s="109"/>
      <c r="MYX88" s="12"/>
      <c r="MYY88" s="109"/>
      <c r="MYZ88" s="12"/>
      <c r="MZA88" s="109"/>
      <c r="MZB88" s="12"/>
      <c r="MZC88" s="109"/>
      <c r="MZD88" s="12"/>
      <c r="MZE88" s="109"/>
      <c r="MZF88" s="12"/>
      <c r="MZG88" s="109"/>
      <c r="MZH88" s="12"/>
      <c r="MZI88" s="109"/>
      <c r="MZJ88" s="12"/>
      <c r="MZK88" s="109"/>
      <c r="MZL88" s="12"/>
      <c r="MZM88" s="109"/>
      <c r="MZN88" s="12"/>
      <c r="MZO88" s="109"/>
      <c r="MZP88" s="12"/>
      <c r="MZQ88" s="109"/>
      <c r="MZR88" s="12"/>
      <c r="MZS88" s="109"/>
      <c r="MZT88" s="12"/>
      <c r="MZU88" s="109"/>
      <c r="MZV88" s="12"/>
      <c r="MZW88" s="109"/>
      <c r="MZX88" s="12"/>
      <c r="MZY88" s="109"/>
      <c r="MZZ88" s="12"/>
      <c r="NAA88" s="109"/>
      <c r="NAB88" s="12"/>
      <c r="NAC88" s="109"/>
      <c r="NAD88" s="12"/>
      <c r="NAE88" s="109"/>
      <c r="NAF88" s="12"/>
      <c r="NAG88" s="109"/>
      <c r="NAH88" s="12"/>
      <c r="NAI88" s="109"/>
      <c r="NAJ88" s="12"/>
      <c r="NAK88" s="109"/>
      <c r="NAL88" s="12"/>
      <c r="NAM88" s="109"/>
      <c r="NAN88" s="12"/>
      <c r="NAO88" s="109"/>
      <c r="NAP88" s="12"/>
      <c r="NAQ88" s="109"/>
      <c r="NAR88" s="12"/>
      <c r="NAS88" s="109"/>
      <c r="NAT88" s="12"/>
      <c r="NAU88" s="109"/>
      <c r="NAV88" s="12"/>
      <c r="NAW88" s="109"/>
      <c r="NAX88" s="12"/>
      <c r="NAY88" s="109"/>
      <c r="NAZ88" s="12"/>
      <c r="NBA88" s="109"/>
      <c r="NBB88" s="12"/>
      <c r="NBC88" s="109"/>
      <c r="NBD88" s="12"/>
      <c r="NBE88" s="109"/>
      <c r="NBF88" s="12"/>
      <c r="NBG88" s="109"/>
      <c r="NBH88" s="12"/>
      <c r="NBI88" s="109"/>
      <c r="NBJ88" s="12"/>
      <c r="NBK88" s="109"/>
      <c r="NBL88" s="12"/>
      <c r="NBM88" s="109"/>
      <c r="NBN88" s="12"/>
      <c r="NBO88" s="109"/>
      <c r="NBP88" s="12"/>
      <c r="NBQ88" s="109"/>
      <c r="NBR88" s="12"/>
      <c r="NBS88" s="109"/>
      <c r="NBT88" s="12"/>
      <c r="NBU88" s="109"/>
      <c r="NBV88" s="12"/>
      <c r="NBW88" s="109"/>
      <c r="NBX88" s="12"/>
      <c r="NBY88" s="109"/>
      <c r="NBZ88" s="12"/>
      <c r="NCA88" s="109"/>
      <c r="NCB88" s="12"/>
      <c r="NCC88" s="109"/>
      <c r="NCD88" s="12"/>
      <c r="NCE88" s="109"/>
      <c r="NCF88" s="12"/>
      <c r="NCG88" s="109"/>
      <c r="NCH88" s="12"/>
      <c r="NCI88" s="109"/>
      <c r="NCJ88" s="12"/>
      <c r="NCK88" s="109"/>
      <c r="NCL88" s="12"/>
      <c r="NCM88" s="109"/>
      <c r="NCN88" s="12"/>
      <c r="NCO88" s="109"/>
      <c r="NCP88" s="12"/>
      <c r="NCQ88" s="109"/>
      <c r="NCR88" s="12"/>
      <c r="NCS88" s="109"/>
      <c r="NCT88" s="12"/>
      <c r="NCU88" s="109"/>
      <c r="NCV88" s="12"/>
      <c r="NCW88" s="109"/>
      <c r="NCX88" s="12"/>
      <c r="NCY88" s="109"/>
      <c r="NCZ88" s="12"/>
      <c r="NDA88" s="109"/>
      <c r="NDB88" s="12"/>
      <c r="NDC88" s="109"/>
      <c r="NDD88" s="12"/>
      <c r="NDE88" s="109"/>
      <c r="NDF88" s="12"/>
      <c r="NDG88" s="109"/>
      <c r="NDH88" s="12"/>
      <c r="NDI88" s="109"/>
      <c r="NDJ88" s="12"/>
      <c r="NDK88" s="109"/>
      <c r="NDL88" s="12"/>
      <c r="NDM88" s="109"/>
      <c r="NDN88" s="12"/>
      <c r="NDO88" s="109"/>
      <c r="NDP88" s="12"/>
      <c r="NDQ88" s="109"/>
      <c r="NDR88" s="12"/>
      <c r="NDS88" s="109"/>
      <c r="NDT88" s="12"/>
      <c r="NDU88" s="109"/>
      <c r="NDV88" s="12"/>
      <c r="NDW88" s="109"/>
      <c r="NDX88" s="12"/>
      <c r="NDY88" s="109"/>
      <c r="NDZ88" s="12"/>
      <c r="NEA88" s="109"/>
      <c r="NEB88" s="12"/>
      <c r="NEC88" s="109"/>
      <c r="NED88" s="12"/>
      <c r="NEE88" s="109"/>
      <c r="NEF88" s="12"/>
      <c r="NEG88" s="109"/>
      <c r="NEH88" s="12"/>
      <c r="NEI88" s="109"/>
      <c r="NEJ88" s="12"/>
      <c r="NEK88" s="109"/>
      <c r="NEL88" s="12"/>
      <c r="NEM88" s="109"/>
      <c r="NEN88" s="12"/>
      <c r="NEO88" s="109"/>
      <c r="NEP88" s="12"/>
      <c r="NEQ88" s="109"/>
      <c r="NER88" s="12"/>
      <c r="NES88" s="109"/>
      <c r="NET88" s="12"/>
      <c r="NEU88" s="109"/>
      <c r="NEV88" s="12"/>
      <c r="NEW88" s="109"/>
      <c r="NEX88" s="12"/>
      <c r="NEY88" s="109"/>
      <c r="NEZ88" s="12"/>
      <c r="NFA88" s="109"/>
      <c r="NFB88" s="12"/>
      <c r="NFC88" s="109"/>
      <c r="NFD88" s="12"/>
      <c r="NFE88" s="109"/>
      <c r="NFF88" s="12"/>
      <c r="NFG88" s="109"/>
      <c r="NFH88" s="12"/>
      <c r="NFI88" s="109"/>
      <c r="NFJ88" s="12"/>
      <c r="NFK88" s="109"/>
      <c r="NFL88" s="12"/>
      <c r="NFM88" s="109"/>
      <c r="NFN88" s="12"/>
      <c r="NFO88" s="109"/>
      <c r="NFP88" s="12"/>
      <c r="NFQ88" s="109"/>
      <c r="NFR88" s="12"/>
      <c r="NFS88" s="109"/>
      <c r="NFT88" s="12"/>
      <c r="NFU88" s="109"/>
      <c r="NFV88" s="12"/>
      <c r="NFW88" s="109"/>
      <c r="NFX88" s="12"/>
      <c r="NFY88" s="109"/>
      <c r="NFZ88" s="12"/>
      <c r="NGA88" s="109"/>
      <c r="NGB88" s="12"/>
      <c r="NGC88" s="109"/>
      <c r="NGD88" s="12"/>
      <c r="NGE88" s="109"/>
      <c r="NGF88" s="12"/>
      <c r="NGG88" s="109"/>
      <c r="NGH88" s="12"/>
      <c r="NGI88" s="109"/>
      <c r="NGJ88" s="12"/>
      <c r="NGK88" s="109"/>
      <c r="NGL88" s="12"/>
      <c r="NGM88" s="109"/>
      <c r="NGN88" s="12"/>
      <c r="NGO88" s="109"/>
      <c r="NGP88" s="12"/>
      <c r="NGQ88" s="109"/>
      <c r="NGR88" s="12"/>
      <c r="NGS88" s="109"/>
      <c r="NGT88" s="12"/>
      <c r="NGU88" s="109"/>
      <c r="NGV88" s="12"/>
      <c r="NGW88" s="109"/>
      <c r="NGX88" s="12"/>
      <c r="NGY88" s="109"/>
      <c r="NGZ88" s="12"/>
      <c r="NHA88" s="109"/>
      <c r="NHB88" s="12"/>
      <c r="NHC88" s="109"/>
      <c r="NHD88" s="12"/>
      <c r="NHE88" s="109"/>
      <c r="NHF88" s="12"/>
      <c r="NHG88" s="109"/>
      <c r="NHH88" s="12"/>
      <c r="NHI88" s="109"/>
      <c r="NHJ88" s="12"/>
      <c r="NHK88" s="109"/>
      <c r="NHL88" s="12"/>
      <c r="NHM88" s="109"/>
      <c r="NHN88" s="12"/>
      <c r="NHO88" s="109"/>
      <c r="NHP88" s="12"/>
      <c r="NHQ88" s="109"/>
      <c r="NHR88" s="12"/>
      <c r="NHS88" s="109"/>
      <c r="NHT88" s="12"/>
      <c r="NHU88" s="109"/>
      <c r="NHV88" s="12"/>
      <c r="NHW88" s="109"/>
      <c r="NHX88" s="12"/>
      <c r="NHY88" s="109"/>
      <c r="NHZ88" s="12"/>
      <c r="NIA88" s="109"/>
      <c r="NIB88" s="12"/>
      <c r="NIC88" s="109"/>
      <c r="NID88" s="12"/>
      <c r="NIE88" s="109"/>
      <c r="NIF88" s="12"/>
      <c r="NIG88" s="109"/>
      <c r="NIH88" s="12"/>
      <c r="NII88" s="109"/>
      <c r="NIJ88" s="12"/>
      <c r="NIK88" s="109"/>
      <c r="NIL88" s="12"/>
      <c r="NIM88" s="109"/>
      <c r="NIN88" s="12"/>
      <c r="NIO88" s="109"/>
      <c r="NIP88" s="12"/>
      <c r="NIQ88" s="109"/>
      <c r="NIR88" s="12"/>
      <c r="NIS88" s="109"/>
      <c r="NIT88" s="12"/>
      <c r="NIU88" s="109"/>
      <c r="NIV88" s="12"/>
      <c r="NIW88" s="109"/>
      <c r="NIX88" s="12"/>
      <c r="NIY88" s="109"/>
      <c r="NIZ88" s="12"/>
      <c r="NJA88" s="109"/>
      <c r="NJB88" s="12"/>
      <c r="NJC88" s="109"/>
      <c r="NJD88" s="12"/>
      <c r="NJE88" s="109"/>
      <c r="NJF88" s="12"/>
      <c r="NJG88" s="109"/>
      <c r="NJH88" s="12"/>
      <c r="NJI88" s="109"/>
      <c r="NJJ88" s="12"/>
      <c r="NJK88" s="109"/>
      <c r="NJL88" s="12"/>
      <c r="NJM88" s="109"/>
      <c r="NJN88" s="12"/>
      <c r="NJO88" s="109"/>
      <c r="NJP88" s="12"/>
      <c r="NJQ88" s="109"/>
      <c r="NJR88" s="12"/>
      <c r="NJS88" s="109"/>
      <c r="NJT88" s="12"/>
      <c r="NJU88" s="109"/>
      <c r="NJV88" s="12"/>
      <c r="NJW88" s="109"/>
      <c r="NJX88" s="12"/>
      <c r="NJY88" s="109"/>
      <c r="NJZ88" s="12"/>
      <c r="NKA88" s="109"/>
      <c r="NKB88" s="12"/>
      <c r="NKC88" s="109"/>
      <c r="NKD88" s="12"/>
      <c r="NKE88" s="109"/>
      <c r="NKF88" s="12"/>
      <c r="NKG88" s="109"/>
      <c r="NKH88" s="12"/>
      <c r="NKI88" s="109"/>
      <c r="NKJ88" s="12"/>
      <c r="NKK88" s="109"/>
      <c r="NKL88" s="12"/>
      <c r="NKM88" s="109"/>
      <c r="NKN88" s="12"/>
      <c r="NKO88" s="109"/>
      <c r="NKP88" s="12"/>
      <c r="NKQ88" s="109"/>
      <c r="NKR88" s="12"/>
      <c r="NKS88" s="109"/>
      <c r="NKT88" s="12"/>
      <c r="NKU88" s="109"/>
      <c r="NKV88" s="12"/>
      <c r="NKW88" s="109"/>
      <c r="NKX88" s="12"/>
      <c r="NKY88" s="109"/>
      <c r="NKZ88" s="12"/>
      <c r="NLA88" s="109"/>
      <c r="NLB88" s="12"/>
      <c r="NLC88" s="109"/>
      <c r="NLD88" s="12"/>
      <c r="NLE88" s="109"/>
      <c r="NLF88" s="12"/>
      <c r="NLG88" s="109"/>
      <c r="NLH88" s="12"/>
      <c r="NLI88" s="109"/>
      <c r="NLJ88" s="12"/>
      <c r="NLK88" s="109"/>
      <c r="NLL88" s="12"/>
      <c r="NLM88" s="109"/>
      <c r="NLN88" s="12"/>
      <c r="NLO88" s="109"/>
      <c r="NLP88" s="12"/>
      <c r="NLQ88" s="109"/>
      <c r="NLR88" s="12"/>
      <c r="NLS88" s="109"/>
      <c r="NLT88" s="12"/>
      <c r="NLU88" s="109"/>
      <c r="NLV88" s="12"/>
      <c r="NLW88" s="109"/>
      <c r="NLX88" s="12"/>
      <c r="NLY88" s="109"/>
      <c r="NLZ88" s="12"/>
      <c r="NMA88" s="109"/>
      <c r="NMB88" s="12"/>
      <c r="NMC88" s="109"/>
      <c r="NMD88" s="12"/>
      <c r="NME88" s="109"/>
      <c r="NMF88" s="12"/>
      <c r="NMG88" s="109"/>
      <c r="NMH88" s="12"/>
      <c r="NMI88" s="109"/>
      <c r="NMJ88" s="12"/>
      <c r="NMK88" s="109"/>
      <c r="NML88" s="12"/>
      <c r="NMM88" s="109"/>
      <c r="NMN88" s="12"/>
      <c r="NMO88" s="109"/>
      <c r="NMP88" s="12"/>
      <c r="NMQ88" s="109"/>
      <c r="NMR88" s="12"/>
      <c r="NMS88" s="109"/>
      <c r="NMT88" s="12"/>
      <c r="NMU88" s="109"/>
      <c r="NMV88" s="12"/>
      <c r="NMW88" s="109"/>
      <c r="NMX88" s="12"/>
      <c r="NMY88" s="109"/>
      <c r="NMZ88" s="12"/>
      <c r="NNA88" s="109"/>
      <c r="NNB88" s="12"/>
      <c r="NNC88" s="109"/>
      <c r="NND88" s="12"/>
      <c r="NNE88" s="109"/>
      <c r="NNF88" s="12"/>
      <c r="NNG88" s="109"/>
      <c r="NNH88" s="12"/>
      <c r="NNI88" s="109"/>
      <c r="NNJ88" s="12"/>
      <c r="NNK88" s="109"/>
      <c r="NNL88" s="12"/>
      <c r="NNM88" s="109"/>
      <c r="NNN88" s="12"/>
      <c r="NNO88" s="109"/>
      <c r="NNP88" s="12"/>
      <c r="NNQ88" s="109"/>
      <c r="NNR88" s="12"/>
      <c r="NNS88" s="109"/>
      <c r="NNT88" s="12"/>
      <c r="NNU88" s="109"/>
      <c r="NNV88" s="12"/>
      <c r="NNW88" s="109"/>
      <c r="NNX88" s="12"/>
      <c r="NNY88" s="109"/>
      <c r="NNZ88" s="12"/>
      <c r="NOA88" s="109"/>
      <c r="NOB88" s="12"/>
      <c r="NOC88" s="109"/>
      <c r="NOD88" s="12"/>
      <c r="NOE88" s="109"/>
      <c r="NOF88" s="12"/>
      <c r="NOG88" s="109"/>
      <c r="NOH88" s="12"/>
      <c r="NOI88" s="109"/>
      <c r="NOJ88" s="12"/>
      <c r="NOK88" s="109"/>
      <c r="NOL88" s="12"/>
      <c r="NOM88" s="109"/>
      <c r="NON88" s="12"/>
      <c r="NOO88" s="109"/>
      <c r="NOP88" s="12"/>
      <c r="NOQ88" s="109"/>
      <c r="NOR88" s="12"/>
      <c r="NOS88" s="109"/>
      <c r="NOT88" s="12"/>
      <c r="NOU88" s="109"/>
      <c r="NOV88" s="12"/>
      <c r="NOW88" s="109"/>
      <c r="NOX88" s="12"/>
      <c r="NOY88" s="109"/>
      <c r="NOZ88" s="12"/>
      <c r="NPA88" s="109"/>
      <c r="NPB88" s="12"/>
      <c r="NPC88" s="109"/>
      <c r="NPD88" s="12"/>
      <c r="NPE88" s="109"/>
      <c r="NPF88" s="12"/>
      <c r="NPG88" s="109"/>
      <c r="NPH88" s="12"/>
      <c r="NPI88" s="109"/>
      <c r="NPJ88" s="12"/>
      <c r="NPK88" s="109"/>
      <c r="NPL88" s="12"/>
      <c r="NPM88" s="109"/>
      <c r="NPN88" s="12"/>
      <c r="NPO88" s="109"/>
      <c r="NPP88" s="12"/>
      <c r="NPQ88" s="109"/>
      <c r="NPR88" s="12"/>
      <c r="NPS88" s="109"/>
      <c r="NPT88" s="12"/>
      <c r="NPU88" s="109"/>
      <c r="NPV88" s="12"/>
      <c r="NPW88" s="109"/>
      <c r="NPX88" s="12"/>
      <c r="NPY88" s="109"/>
      <c r="NPZ88" s="12"/>
      <c r="NQA88" s="109"/>
      <c r="NQB88" s="12"/>
      <c r="NQC88" s="109"/>
      <c r="NQD88" s="12"/>
      <c r="NQE88" s="109"/>
      <c r="NQF88" s="12"/>
      <c r="NQG88" s="109"/>
      <c r="NQH88" s="12"/>
      <c r="NQI88" s="109"/>
      <c r="NQJ88" s="12"/>
      <c r="NQK88" s="109"/>
      <c r="NQL88" s="12"/>
      <c r="NQM88" s="109"/>
      <c r="NQN88" s="12"/>
      <c r="NQO88" s="109"/>
      <c r="NQP88" s="12"/>
      <c r="NQQ88" s="109"/>
      <c r="NQR88" s="12"/>
      <c r="NQS88" s="109"/>
      <c r="NQT88" s="12"/>
      <c r="NQU88" s="109"/>
      <c r="NQV88" s="12"/>
      <c r="NQW88" s="109"/>
      <c r="NQX88" s="12"/>
      <c r="NQY88" s="109"/>
      <c r="NQZ88" s="12"/>
      <c r="NRA88" s="109"/>
      <c r="NRB88" s="12"/>
      <c r="NRC88" s="109"/>
      <c r="NRD88" s="12"/>
      <c r="NRE88" s="109"/>
      <c r="NRF88" s="12"/>
      <c r="NRG88" s="109"/>
      <c r="NRH88" s="12"/>
      <c r="NRI88" s="109"/>
      <c r="NRJ88" s="12"/>
      <c r="NRK88" s="109"/>
      <c r="NRL88" s="12"/>
      <c r="NRM88" s="109"/>
      <c r="NRN88" s="12"/>
      <c r="NRO88" s="109"/>
      <c r="NRP88" s="12"/>
      <c r="NRQ88" s="109"/>
      <c r="NRR88" s="12"/>
      <c r="NRS88" s="109"/>
      <c r="NRT88" s="12"/>
      <c r="NRU88" s="109"/>
      <c r="NRV88" s="12"/>
      <c r="NRW88" s="109"/>
      <c r="NRX88" s="12"/>
      <c r="NRY88" s="109"/>
      <c r="NRZ88" s="12"/>
      <c r="NSA88" s="109"/>
      <c r="NSB88" s="12"/>
      <c r="NSC88" s="109"/>
      <c r="NSD88" s="12"/>
      <c r="NSE88" s="109"/>
      <c r="NSF88" s="12"/>
      <c r="NSG88" s="109"/>
      <c r="NSH88" s="12"/>
      <c r="NSI88" s="109"/>
      <c r="NSJ88" s="12"/>
      <c r="NSK88" s="109"/>
      <c r="NSL88" s="12"/>
      <c r="NSM88" s="109"/>
      <c r="NSN88" s="12"/>
      <c r="NSO88" s="109"/>
      <c r="NSP88" s="12"/>
      <c r="NSQ88" s="109"/>
      <c r="NSR88" s="12"/>
      <c r="NSS88" s="109"/>
      <c r="NST88" s="12"/>
      <c r="NSU88" s="109"/>
      <c r="NSV88" s="12"/>
      <c r="NSW88" s="109"/>
      <c r="NSX88" s="12"/>
      <c r="NSY88" s="109"/>
      <c r="NSZ88" s="12"/>
      <c r="NTA88" s="109"/>
      <c r="NTB88" s="12"/>
      <c r="NTC88" s="109"/>
      <c r="NTD88" s="12"/>
      <c r="NTE88" s="109"/>
      <c r="NTF88" s="12"/>
      <c r="NTG88" s="109"/>
      <c r="NTH88" s="12"/>
      <c r="NTI88" s="109"/>
      <c r="NTJ88" s="12"/>
      <c r="NTK88" s="109"/>
      <c r="NTL88" s="12"/>
      <c r="NTM88" s="109"/>
      <c r="NTN88" s="12"/>
      <c r="NTO88" s="109"/>
      <c r="NTP88" s="12"/>
      <c r="NTQ88" s="109"/>
      <c r="NTR88" s="12"/>
      <c r="NTS88" s="109"/>
      <c r="NTT88" s="12"/>
      <c r="NTU88" s="109"/>
      <c r="NTV88" s="12"/>
      <c r="NTW88" s="109"/>
      <c r="NTX88" s="12"/>
      <c r="NTY88" s="109"/>
      <c r="NTZ88" s="12"/>
      <c r="NUA88" s="109"/>
      <c r="NUB88" s="12"/>
      <c r="NUC88" s="109"/>
      <c r="NUD88" s="12"/>
      <c r="NUE88" s="109"/>
      <c r="NUF88" s="12"/>
      <c r="NUG88" s="109"/>
      <c r="NUH88" s="12"/>
      <c r="NUI88" s="109"/>
      <c r="NUJ88" s="12"/>
      <c r="NUK88" s="109"/>
      <c r="NUL88" s="12"/>
      <c r="NUM88" s="109"/>
      <c r="NUN88" s="12"/>
      <c r="NUO88" s="109"/>
      <c r="NUP88" s="12"/>
      <c r="NUQ88" s="109"/>
      <c r="NUR88" s="12"/>
      <c r="NUS88" s="109"/>
      <c r="NUT88" s="12"/>
      <c r="NUU88" s="109"/>
      <c r="NUV88" s="12"/>
      <c r="NUW88" s="109"/>
      <c r="NUX88" s="12"/>
      <c r="NUY88" s="109"/>
      <c r="NUZ88" s="12"/>
      <c r="NVA88" s="109"/>
      <c r="NVB88" s="12"/>
      <c r="NVC88" s="109"/>
      <c r="NVD88" s="12"/>
      <c r="NVE88" s="109"/>
      <c r="NVF88" s="12"/>
      <c r="NVG88" s="109"/>
      <c r="NVH88" s="12"/>
      <c r="NVI88" s="109"/>
      <c r="NVJ88" s="12"/>
      <c r="NVK88" s="109"/>
      <c r="NVL88" s="12"/>
      <c r="NVM88" s="109"/>
      <c r="NVN88" s="12"/>
      <c r="NVO88" s="109"/>
      <c r="NVP88" s="12"/>
      <c r="NVQ88" s="109"/>
      <c r="NVR88" s="12"/>
      <c r="NVS88" s="109"/>
      <c r="NVT88" s="12"/>
      <c r="NVU88" s="109"/>
      <c r="NVV88" s="12"/>
      <c r="NVW88" s="109"/>
      <c r="NVX88" s="12"/>
      <c r="NVY88" s="109"/>
      <c r="NVZ88" s="12"/>
      <c r="NWA88" s="109"/>
      <c r="NWB88" s="12"/>
      <c r="NWC88" s="109"/>
      <c r="NWD88" s="12"/>
      <c r="NWE88" s="109"/>
      <c r="NWF88" s="12"/>
      <c r="NWG88" s="109"/>
      <c r="NWH88" s="12"/>
      <c r="NWI88" s="109"/>
      <c r="NWJ88" s="12"/>
      <c r="NWK88" s="109"/>
      <c r="NWL88" s="12"/>
      <c r="NWM88" s="109"/>
      <c r="NWN88" s="12"/>
      <c r="NWO88" s="109"/>
      <c r="NWP88" s="12"/>
      <c r="NWQ88" s="109"/>
      <c r="NWR88" s="12"/>
      <c r="NWS88" s="109"/>
      <c r="NWT88" s="12"/>
      <c r="NWU88" s="109"/>
      <c r="NWV88" s="12"/>
      <c r="NWW88" s="109"/>
      <c r="NWX88" s="12"/>
      <c r="NWY88" s="109"/>
      <c r="NWZ88" s="12"/>
      <c r="NXA88" s="109"/>
      <c r="NXB88" s="12"/>
      <c r="NXC88" s="109"/>
      <c r="NXD88" s="12"/>
      <c r="NXE88" s="109"/>
      <c r="NXF88" s="12"/>
      <c r="NXG88" s="109"/>
      <c r="NXH88" s="12"/>
      <c r="NXI88" s="109"/>
      <c r="NXJ88" s="12"/>
      <c r="NXK88" s="109"/>
      <c r="NXL88" s="12"/>
      <c r="NXM88" s="109"/>
      <c r="NXN88" s="12"/>
      <c r="NXO88" s="109"/>
      <c r="NXP88" s="12"/>
      <c r="NXQ88" s="109"/>
      <c r="NXR88" s="12"/>
      <c r="NXS88" s="109"/>
      <c r="NXT88" s="12"/>
      <c r="NXU88" s="109"/>
      <c r="NXV88" s="12"/>
      <c r="NXW88" s="109"/>
      <c r="NXX88" s="12"/>
      <c r="NXY88" s="109"/>
      <c r="NXZ88" s="12"/>
      <c r="NYA88" s="109"/>
      <c r="NYB88" s="12"/>
      <c r="NYC88" s="109"/>
      <c r="NYD88" s="12"/>
      <c r="NYE88" s="109"/>
      <c r="NYF88" s="12"/>
      <c r="NYG88" s="109"/>
      <c r="NYH88" s="12"/>
      <c r="NYI88" s="109"/>
      <c r="NYJ88" s="12"/>
      <c r="NYK88" s="109"/>
      <c r="NYL88" s="12"/>
      <c r="NYM88" s="109"/>
      <c r="NYN88" s="12"/>
      <c r="NYO88" s="109"/>
      <c r="NYP88" s="12"/>
      <c r="NYQ88" s="109"/>
      <c r="NYR88" s="12"/>
      <c r="NYS88" s="109"/>
      <c r="NYT88" s="12"/>
      <c r="NYU88" s="109"/>
      <c r="NYV88" s="12"/>
      <c r="NYW88" s="109"/>
      <c r="NYX88" s="12"/>
      <c r="NYY88" s="109"/>
      <c r="NYZ88" s="12"/>
      <c r="NZA88" s="109"/>
      <c r="NZB88" s="12"/>
      <c r="NZC88" s="109"/>
      <c r="NZD88" s="12"/>
      <c r="NZE88" s="109"/>
      <c r="NZF88" s="12"/>
      <c r="NZG88" s="109"/>
      <c r="NZH88" s="12"/>
      <c r="NZI88" s="109"/>
      <c r="NZJ88" s="12"/>
      <c r="NZK88" s="109"/>
      <c r="NZL88" s="12"/>
      <c r="NZM88" s="109"/>
      <c r="NZN88" s="12"/>
      <c r="NZO88" s="109"/>
      <c r="NZP88" s="12"/>
      <c r="NZQ88" s="109"/>
      <c r="NZR88" s="12"/>
      <c r="NZS88" s="109"/>
      <c r="NZT88" s="12"/>
      <c r="NZU88" s="109"/>
      <c r="NZV88" s="12"/>
      <c r="NZW88" s="109"/>
      <c r="NZX88" s="12"/>
      <c r="NZY88" s="109"/>
      <c r="NZZ88" s="12"/>
      <c r="OAA88" s="109"/>
      <c r="OAB88" s="12"/>
      <c r="OAC88" s="109"/>
      <c r="OAD88" s="12"/>
      <c r="OAE88" s="109"/>
      <c r="OAF88" s="12"/>
      <c r="OAG88" s="109"/>
      <c r="OAH88" s="12"/>
      <c r="OAI88" s="109"/>
      <c r="OAJ88" s="12"/>
      <c r="OAK88" s="109"/>
      <c r="OAL88" s="12"/>
      <c r="OAM88" s="109"/>
      <c r="OAN88" s="12"/>
      <c r="OAO88" s="109"/>
      <c r="OAP88" s="12"/>
      <c r="OAQ88" s="109"/>
      <c r="OAR88" s="12"/>
      <c r="OAS88" s="109"/>
      <c r="OAT88" s="12"/>
      <c r="OAU88" s="109"/>
      <c r="OAV88" s="12"/>
      <c r="OAW88" s="109"/>
      <c r="OAX88" s="12"/>
      <c r="OAY88" s="109"/>
      <c r="OAZ88" s="12"/>
      <c r="OBA88" s="109"/>
      <c r="OBB88" s="12"/>
      <c r="OBC88" s="109"/>
      <c r="OBD88" s="12"/>
      <c r="OBE88" s="109"/>
      <c r="OBF88" s="12"/>
      <c r="OBG88" s="109"/>
      <c r="OBH88" s="12"/>
      <c r="OBI88" s="109"/>
      <c r="OBJ88" s="12"/>
      <c r="OBK88" s="109"/>
      <c r="OBL88" s="12"/>
      <c r="OBM88" s="109"/>
      <c r="OBN88" s="12"/>
      <c r="OBO88" s="109"/>
      <c r="OBP88" s="12"/>
      <c r="OBQ88" s="109"/>
      <c r="OBR88" s="12"/>
      <c r="OBS88" s="109"/>
      <c r="OBT88" s="12"/>
      <c r="OBU88" s="109"/>
      <c r="OBV88" s="12"/>
      <c r="OBW88" s="109"/>
      <c r="OBX88" s="12"/>
      <c r="OBY88" s="109"/>
      <c r="OBZ88" s="12"/>
      <c r="OCA88" s="109"/>
      <c r="OCB88" s="12"/>
      <c r="OCC88" s="109"/>
      <c r="OCD88" s="12"/>
      <c r="OCE88" s="109"/>
      <c r="OCF88" s="12"/>
      <c r="OCG88" s="109"/>
      <c r="OCH88" s="12"/>
      <c r="OCI88" s="109"/>
      <c r="OCJ88" s="12"/>
      <c r="OCK88" s="109"/>
      <c r="OCL88" s="12"/>
      <c r="OCM88" s="109"/>
      <c r="OCN88" s="12"/>
      <c r="OCO88" s="109"/>
      <c r="OCP88" s="12"/>
      <c r="OCQ88" s="109"/>
      <c r="OCR88" s="12"/>
      <c r="OCS88" s="109"/>
      <c r="OCT88" s="12"/>
      <c r="OCU88" s="109"/>
      <c r="OCV88" s="12"/>
      <c r="OCW88" s="109"/>
      <c r="OCX88" s="12"/>
      <c r="OCY88" s="109"/>
      <c r="OCZ88" s="12"/>
      <c r="ODA88" s="109"/>
      <c r="ODB88" s="12"/>
      <c r="ODC88" s="109"/>
      <c r="ODD88" s="12"/>
      <c r="ODE88" s="109"/>
      <c r="ODF88" s="12"/>
      <c r="ODG88" s="109"/>
      <c r="ODH88" s="12"/>
      <c r="ODI88" s="109"/>
      <c r="ODJ88" s="12"/>
      <c r="ODK88" s="109"/>
      <c r="ODL88" s="12"/>
      <c r="ODM88" s="109"/>
      <c r="ODN88" s="12"/>
      <c r="ODO88" s="109"/>
      <c r="ODP88" s="12"/>
      <c r="ODQ88" s="109"/>
      <c r="ODR88" s="12"/>
      <c r="ODS88" s="109"/>
      <c r="ODT88" s="12"/>
      <c r="ODU88" s="109"/>
      <c r="ODV88" s="12"/>
      <c r="ODW88" s="109"/>
      <c r="ODX88" s="12"/>
      <c r="ODY88" s="109"/>
      <c r="ODZ88" s="12"/>
      <c r="OEA88" s="109"/>
      <c r="OEB88" s="12"/>
      <c r="OEC88" s="109"/>
      <c r="OED88" s="12"/>
      <c r="OEE88" s="109"/>
      <c r="OEF88" s="12"/>
      <c r="OEG88" s="109"/>
      <c r="OEH88" s="12"/>
      <c r="OEI88" s="109"/>
      <c r="OEJ88" s="12"/>
      <c r="OEK88" s="109"/>
      <c r="OEL88" s="12"/>
      <c r="OEM88" s="109"/>
      <c r="OEN88" s="12"/>
      <c r="OEO88" s="109"/>
      <c r="OEP88" s="12"/>
      <c r="OEQ88" s="109"/>
      <c r="OER88" s="12"/>
      <c r="OES88" s="109"/>
      <c r="OET88" s="12"/>
      <c r="OEU88" s="109"/>
      <c r="OEV88" s="12"/>
      <c r="OEW88" s="109"/>
      <c r="OEX88" s="12"/>
      <c r="OEY88" s="109"/>
      <c r="OEZ88" s="12"/>
      <c r="OFA88" s="109"/>
      <c r="OFB88" s="12"/>
      <c r="OFC88" s="109"/>
      <c r="OFD88" s="12"/>
      <c r="OFE88" s="109"/>
      <c r="OFF88" s="12"/>
      <c r="OFG88" s="109"/>
      <c r="OFH88" s="12"/>
      <c r="OFI88" s="109"/>
      <c r="OFJ88" s="12"/>
      <c r="OFK88" s="109"/>
      <c r="OFL88" s="12"/>
      <c r="OFM88" s="109"/>
      <c r="OFN88" s="12"/>
      <c r="OFO88" s="109"/>
      <c r="OFP88" s="12"/>
      <c r="OFQ88" s="109"/>
      <c r="OFR88" s="12"/>
      <c r="OFS88" s="109"/>
      <c r="OFT88" s="12"/>
      <c r="OFU88" s="109"/>
      <c r="OFV88" s="12"/>
      <c r="OFW88" s="109"/>
      <c r="OFX88" s="12"/>
      <c r="OFY88" s="109"/>
      <c r="OFZ88" s="12"/>
      <c r="OGA88" s="109"/>
      <c r="OGB88" s="12"/>
      <c r="OGC88" s="109"/>
      <c r="OGD88" s="12"/>
      <c r="OGE88" s="109"/>
      <c r="OGF88" s="12"/>
      <c r="OGG88" s="109"/>
      <c r="OGH88" s="12"/>
      <c r="OGI88" s="109"/>
      <c r="OGJ88" s="12"/>
      <c r="OGK88" s="109"/>
      <c r="OGL88" s="12"/>
      <c r="OGM88" s="109"/>
      <c r="OGN88" s="12"/>
      <c r="OGO88" s="109"/>
      <c r="OGP88" s="12"/>
      <c r="OGQ88" s="109"/>
      <c r="OGR88" s="12"/>
      <c r="OGS88" s="109"/>
      <c r="OGT88" s="12"/>
      <c r="OGU88" s="109"/>
      <c r="OGV88" s="12"/>
      <c r="OGW88" s="109"/>
      <c r="OGX88" s="12"/>
      <c r="OGY88" s="109"/>
      <c r="OGZ88" s="12"/>
      <c r="OHA88" s="109"/>
      <c r="OHB88" s="12"/>
      <c r="OHC88" s="109"/>
      <c r="OHD88" s="12"/>
      <c r="OHE88" s="109"/>
      <c r="OHF88" s="12"/>
      <c r="OHG88" s="109"/>
      <c r="OHH88" s="12"/>
      <c r="OHI88" s="109"/>
      <c r="OHJ88" s="12"/>
      <c r="OHK88" s="109"/>
      <c r="OHL88" s="12"/>
      <c r="OHM88" s="109"/>
      <c r="OHN88" s="12"/>
      <c r="OHO88" s="109"/>
      <c r="OHP88" s="12"/>
      <c r="OHQ88" s="109"/>
      <c r="OHR88" s="12"/>
      <c r="OHS88" s="109"/>
      <c r="OHT88" s="12"/>
      <c r="OHU88" s="109"/>
      <c r="OHV88" s="12"/>
      <c r="OHW88" s="109"/>
      <c r="OHX88" s="12"/>
      <c r="OHY88" s="109"/>
      <c r="OHZ88" s="12"/>
      <c r="OIA88" s="109"/>
      <c r="OIB88" s="12"/>
      <c r="OIC88" s="109"/>
      <c r="OID88" s="12"/>
      <c r="OIE88" s="109"/>
      <c r="OIF88" s="12"/>
      <c r="OIG88" s="109"/>
      <c r="OIH88" s="12"/>
      <c r="OII88" s="109"/>
      <c r="OIJ88" s="12"/>
      <c r="OIK88" s="109"/>
      <c r="OIL88" s="12"/>
      <c r="OIM88" s="109"/>
      <c r="OIN88" s="12"/>
      <c r="OIO88" s="109"/>
      <c r="OIP88" s="12"/>
      <c r="OIQ88" s="109"/>
      <c r="OIR88" s="12"/>
      <c r="OIS88" s="109"/>
      <c r="OIT88" s="12"/>
      <c r="OIU88" s="109"/>
      <c r="OIV88" s="12"/>
      <c r="OIW88" s="109"/>
      <c r="OIX88" s="12"/>
      <c r="OIY88" s="109"/>
      <c r="OIZ88" s="12"/>
      <c r="OJA88" s="109"/>
      <c r="OJB88" s="12"/>
      <c r="OJC88" s="109"/>
      <c r="OJD88" s="12"/>
      <c r="OJE88" s="109"/>
      <c r="OJF88" s="12"/>
      <c r="OJG88" s="109"/>
      <c r="OJH88" s="12"/>
      <c r="OJI88" s="109"/>
      <c r="OJJ88" s="12"/>
      <c r="OJK88" s="109"/>
      <c r="OJL88" s="12"/>
      <c r="OJM88" s="109"/>
      <c r="OJN88" s="12"/>
      <c r="OJO88" s="109"/>
      <c r="OJP88" s="12"/>
      <c r="OJQ88" s="109"/>
      <c r="OJR88" s="12"/>
      <c r="OJS88" s="109"/>
      <c r="OJT88" s="12"/>
      <c r="OJU88" s="109"/>
      <c r="OJV88" s="12"/>
      <c r="OJW88" s="109"/>
      <c r="OJX88" s="12"/>
      <c r="OJY88" s="109"/>
      <c r="OJZ88" s="12"/>
      <c r="OKA88" s="109"/>
      <c r="OKB88" s="12"/>
      <c r="OKC88" s="109"/>
      <c r="OKD88" s="12"/>
      <c r="OKE88" s="109"/>
      <c r="OKF88" s="12"/>
      <c r="OKG88" s="109"/>
      <c r="OKH88" s="12"/>
      <c r="OKI88" s="109"/>
      <c r="OKJ88" s="12"/>
      <c r="OKK88" s="109"/>
      <c r="OKL88" s="12"/>
      <c r="OKM88" s="109"/>
      <c r="OKN88" s="12"/>
      <c r="OKO88" s="109"/>
      <c r="OKP88" s="12"/>
      <c r="OKQ88" s="109"/>
      <c r="OKR88" s="12"/>
      <c r="OKS88" s="109"/>
      <c r="OKT88" s="12"/>
      <c r="OKU88" s="109"/>
      <c r="OKV88" s="12"/>
      <c r="OKW88" s="109"/>
      <c r="OKX88" s="12"/>
      <c r="OKY88" s="109"/>
      <c r="OKZ88" s="12"/>
      <c r="OLA88" s="109"/>
      <c r="OLB88" s="12"/>
      <c r="OLC88" s="109"/>
      <c r="OLD88" s="12"/>
      <c r="OLE88" s="109"/>
      <c r="OLF88" s="12"/>
      <c r="OLG88" s="109"/>
      <c r="OLH88" s="12"/>
      <c r="OLI88" s="109"/>
      <c r="OLJ88" s="12"/>
      <c r="OLK88" s="109"/>
      <c r="OLL88" s="12"/>
      <c r="OLM88" s="109"/>
      <c r="OLN88" s="12"/>
      <c r="OLO88" s="109"/>
      <c r="OLP88" s="12"/>
      <c r="OLQ88" s="109"/>
      <c r="OLR88" s="12"/>
      <c r="OLS88" s="109"/>
      <c r="OLT88" s="12"/>
      <c r="OLU88" s="109"/>
      <c r="OLV88" s="12"/>
      <c r="OLW88" s="109"/>
      <c r="OLX88" s="12"/>
      <c r="OLY88" s="109"/>
      <c r="OLZ88" s="12"/>
      <c r="OMA88" s="109"/>
      <c r="OMB88" s="12"/>
      <c r="OMC88" s="109"/>
      <c r="OMD88" s="12"/>
      <c r="OME88" s="109"/>
      <c r="OMF88" s="12"/>
      <c r="OMG88" s="109"/>
      <c r="OMH88" s="12"/>
      <c r="OMI88" s="109"/>
      <c r="OMJ88" s="12"/>
      <c r="OMK88" s="109"/>
      <c r="OML88" s="12"/>
      <c r="OMM88" s="109"/>
      <c r="OMN88" s="12"/>
      <c r="OMO88" s="109"/>
      <c r="OMP88" s="12"/>
      <c r="OMQ88" s="109"/>
      <c r="OMR88" s="12"/>
      <c r="OMS88" s="109"/>
      <c r="OMT88" s="12"/>
      <c r="OMU88" s="109"/>
      <c r="OMV88" s="12"/>
      <c r="OMW88" s="109"/>
      <c r="OMX88" s="12"/>
      <c r="OMY88" s="109"/>
      <c r="OMZ88" s="12"/>
      <c r="ONA88" s="109"/>
      <c r="ONB88" s="12"/>
      <c r="ONC88" s="109"/>
      <c r="OND88" s="12"/>
      <c r="ONE88" s="109"/>
      <c r="ONF88" s="12"/>
      <c r="ONG88" s="109"/>
      <c r="ONH88" s="12"/>
      <c r="ONI88" s="109"/>
      <c r="ONJ88" s="12"/>
      <c r="ONK88" s="109"/>
      <c r="ONL88" s="12"/>
      <c r="ONM88" s="109"/>
      <c r="ONN88" s="12"/>
      <c r="ONO88" s="109"/>
      <c r="ONP88" s="12"/>
      <c r="ONQ88" s="109"/>
      <c r="ONR88" s="12"/>
      <c r="ONS88" s="109"/>
      <c r="ONT88" s="12"/>
      <c r="ONU88" s="109"/>
      <c r="ONV88" s="12"/>
      <c r="ONW88" s="109"/>
      <c r="ONX88" s="12"/>
      <c r="ONY88" s="109"/>
      <c r="ONZ88" s="12"/>
      <c r="OOA88" s="109"/>
      <c r="OOB88" s="12"/>
      <c r="OOC88" s="109"/>
      <c r="OOD88" s="12"/>
      <c r="OOE88" s="109"/>
      <c r="OOF88" s="12"/>
      <c r="OOG88" s="109"/>
      <c r="OOH88" s="12"/>
      <c r="OOI88" s="109"/>
      <c r="OOJ88" s="12"/>
      <c r="OOK88" s="109"/>
      <c r="OOL88" s="12"/>
      <c r="OOM88" s="109"/>
      <c r="OON88" s="12"/>
      <c r="OOO88" s="109"/>
      <c r="OOP88" s="12"/>
      <c r="OOQ88" s="109"/>
      <c r="OOR88" s="12"/>
      <c r="OOS88" s="109"/>
      <c r="OOT88" s="12"/>
      <c r="OOU88" s="109"/>
      <c r="OOV88" s="12"/>
      <c r="OOW88" s="109"/>
      <c r="OOX88" s="12"/>
      <c r="OOY88" s="109"/>
      <c r="OOZ88" s="12"/>
      <c r="OPA88" s="109"/>
      <c r="OPB88" s="12"/>
      <c r="OPC88" s="109"/>
      <c r="OPD88" s="12"/>
      <c r="OPE88" s="109"/>
      <c r="OPF88" s="12"/>
      <c r="OPG88" s="109"/>
      <c r="OPH88" s="12"/>
      <c r="OPI88" s="109"/>
      <c r="OPJ88" s="12"/>
      <c r="OPK88" s="109"/>
      <c r="OPL88" s="12"/>
      <c r="OPM88" s="109"/>
      <c r="OPN88" s="12"/>
      <c r="OPO88" s="109"/>
      <c r="OPP88" s="12"/>
      <c r="OPQ88" s="109"/>
      <c r="OPR88" s="12"/>
      <c r="OPS88" s="109"/>
      <c r="OPT88" s="12"/>
      <c r="OPU88" s="109"/>
      <c r="OPV88" s="12"/>
      <c r="OPW88" s="109"/>
      <c r="OPX88" s="12"/>
      <c r="OPY88" s="109"/>
      <c r="OPZ88" s="12"/>
      <c r="OQA88" s="109"/>
      <c r="OQB88" s="12"/>
      <c r="OQC88" s="109"/>
      <c r="OQD88" s="12"/>
      <c r="OQE88" s="109"/>
      <c r="OQF88" s="12"/>
      <c r="OQG88" s="109"/>
      <c r="OQH88" s="12"/>
      <c r="OQI88" s="109"/>
      <c r="OQJ88" s="12"/>
      <c r="OQK88" s="109"/>
      <c r="OQL88" s="12"/>
      <c r="OQM88" s="109"/>
      <c r="OQN88" s="12"/>
      <c r="OQO88" s="109"/>
      <c r="OQP88" s="12"/>
      <c r="OQQ88" s="109"/>
      <c r="OQR88" s="12"/>
      <c r="OQS88" s="109"/>
      <c r="OQT88" s="12"/>
      <c r="OQU88" s="109"/>
      <c r="OQV88" s="12"/>
      <c r="OQW88" s="109"/>
      <c r="OQX88" s="12"/>
      <c r="OQY88" s="109"/>
      <c r="OQZ88" s="12"/>
      <c r="ORA88" s="109"/>
      <c r="ORB88" s="12"/>
      <c r="ORC88" s="109"/>
      <c r="ORD88" s="12"/>
      <c r="ORE88" s="109"/>
      <c r="ORF88" s="12"/>
      <c r="ORG88" s="109"/>
      <c r="ORH88" s="12"/>
      <c r="ORI88" s="109"/>
      <c r="ORJ88" s="12"/>
      <c r="ORK88" s="109"/>
      <c r="ORL88" s="12"/>
      <c r="ORM88" s="109"/>
      <c r="ORN88" s="12"/>
      <c r="ORO88" s="109"/>
      <c r="ORP88" s="12"/>
      <c r="ORQ88" s="109"/>
      <c r="ORR88" s="12"/>
      <c r="ORS88" s="109"/>
      <c r="ORT88" s="12"/>
      <c r="ORU88" s="109"/>
      <c r="ORV88" s="12"/>
      <c r="ORW88" s="109"/>
      <c r="ORX88" s="12"/>
      <c r="ORY88" s="109"/>
      <c r="ORZ88" s="12"/>
      <c r="OSA88" s="109"/>
      <c r="OSB88" s="12"/>
      <c r="OSC88" s="109"/>
      <c r="OSD88" s="12"/>
      <c r="OSE88" s="109"/>
      <c r="OSF88" s="12"/>
      <c r="OSG88" s="109"/>
      <c r="OSH88" s="12"/>
      <c r="OSI88" s="109"/>
      <c r="OSJ88" s="12"/>
      <c r="OSK88" s="109"/>
      <c r="OSL88" s="12"/>
      <c r="OSM88" s="109"/>
      <c r="OSN88" s="12"/>
      <c r="OSO88" s="109"/>
      <c r="OSP88" s="12"/>
      <c r="OSQ88" s="109"/>
      <c r="OSR88" s="12"/>
      <c r="OSS88" s="109"/>
      <c r="OST88" s="12"/>
      <c r="OSU88" s="109"/>
      <c r="OSV88" s="12"/>
      <c r="OSW88" s="109"/>
      <c r="OSX88" s="12"/>
      <c r="OSY88" s="109"/>
      <c r="OSZ88" s="12"/>
      <c r="OTA88" s="109"/>
      <c r="OTB88" s="12"/>
      <c r="OTC88" s="109"/>
      <c r="OTD88" s="12"/>
      <c r="OTE88" s="109"/>
      <c r="OTF88" s="12"/>
      <c r="OTG88" s="109"/>
      <c r="OTH88" s="12"/>
      <c r="OTI88" s="109"/>
      <c r="OTJ88" s="12"/>
      <c r="OTK88" s="109"/>
      <c r="OTL88" s="12"/>
      <c r="OTM88" s="109"/>
      <c r="OTN88" s="12"/>
      <c r="OTO88" s="109"/>
      <c r="OTP88" s="12"/>
      <c r="OTQ88" s="109"/>
      <c r="OTR88" s="12"/>
      <c r="OTS88" s="109"/>
      <c r="OTT88" s="12"/>
      <c r="OTU88" s="109"/>
      <c r="OTV88" s="12"/>
      <c r="OTW88" s="109"/>
      <c r="OTX88" s="12"/>
      <c r="OTY88" s="109"/>
      <c r="OTZ88" s="12"/>
      <c r="OUA88" s="109"/>
      <c r="OUB88" s="12"/>
      <c r="OUC88" s="109"/>
      <c r="OUD88" s="12"/>
      <c r="OUE88" s="109"/>
      <c r="OUF88" s="12"/>
      <c r="OUG88" s="109"/>
      <c r="OUH88" s="12"/>
      <c r="OUI88" s="109"/>
      <c r="OUJ88" s="12"/>
      <c r="OUK88" s="109"/>
      <c r="OUL88" s="12"/>
      <c r="OUM88" s="109"/>
      <c r="OUN88" s="12"/>
      <c r="OUO88" s="109"/>
      <c r="OUP88" s="12"/>
      <c r="OUQ88" s="109"/>
      <c r="OUR88" s="12"/>
      <c r="OUS88" s="109"/>
      <c r="OUT88" s="12"/>
      <c r="OUU88" s="109"/>
      <c r="OUV88" s="12"/>
      <c r="OUW88" s="109"/>
      <c r="OUX88" s="12"/>
      <c r="OUY88" s="109"/>
      <c r="OUZ88" s="12"/>
      <c r="OVA88" s="109"/>
      <c r="OVB88" s="12"/>
      <c r="OVC88" s="109"/>
      <c r="OVD88" s="12"/>
      <c r="OVE88" s="109"/>
      <c r="OVF88" s="12"/>
      <c r="OVG88" s="109"/>
      <c r="OVH88" s="12"/>
      <c r="OVI88" s="109"/>
      <c r="OVJ88" s="12"/>
      <c r="OVK88" s="109"/>
      <c r="OVL88" s="12"/>
      <c r="OVM88" s="109"/>
      <c r="OVN88" s="12"/>
      <c r="OVO88" s="109"/>
      <c r="OVP88" s="12"/>
      <c r="OVQ88" s="109"/>
      <c r="OVR88" s="12"/>
      <c r="OVS88" s="109"/>
      <c r="OVT88" s="12"/>
      <c r="OVU88" s="109"/>
      <c r="OVV88" s="12"/>
      <c r="OVW88" s="109"/>
      <c r="OVX88" s="12"/>
      <c r="OVY88" s="109"/>
      <c r="OVZ88" s="12"/>
      <c r="OWA88" s="109"/>
      <c r="OWB88" s="12"/>
      <c r="OWC88" s="109"/>
      <c r="OWD88" s="12"/>
      <c r="OWE88" s="109"/>
      <c r="OWF88" s="12"/>
      <c r="OWG88" s="109"/>
      <c r="OWH88" s="12"/>
      <c r="OWI88" s="109"/>
      <c r="OWJ88" s="12"/>
      <c r="OWK88" s="109"/>
      <c r="OWL88" s="12"/>
      <c r="OWM88" s="109"/>
      <c r="OWN88" s="12"/>
      <c r="OWO88" s="109"/>
      <c r="OWP88" s="12"/>
      <c r="OWQ88" s="109"/>
      <c r="OWR88" s="12"/>
      <c r="OWS88" s="109"/>
      <c r="OWT88" s="12"/>
      <c r="OWU88" s="109"/>
      <c r="OWV88" s="12"/>
      <c r="OWW88" s="109"/>
      <c r="OWX88" s="12"/>
      <c r="OWY88" s="109"/>
      <c r="OWZ88" s="12"/>
      <c r="OXA88" s="109"/>
      <c r="OXB88" s="12"/>
      <c r="OXC88" s="109"/>
      <c r="OXD88" s="12"/>
      <c r="OXE88" s="109"/>
      <c r="OXF88" s="12"/>
      <c r="OXG88" s="109"/>
      <c r="OXH88" s="12"/>
      <c r="OXI88" s="109"/>
      <c r="OXJ88" s="12"/>
      <c r="OXK88" s="109"/>
      <c r="OXL88" s="12"/>
      <c r="OXM88" s="109"/>
      <c r="OXN88" s="12"/>
      <c r="OXO88" s="109"/>
      <c r="OXP88" s="12"/>
      <c r="OXQ88" s="109"/>
      <c r="OXR88" s="12"/>
      <c r="OXS88" s="109"/>
      <c r="OXT88" s="12"/>
      <c r="OXU88" s="109"/>
      <c r="OXV88" s="12"/>
      <c r="OXW88" s="109"/>
      <c r="OXX88" s="12"/>
      <c r="OXY88" s="109"/>
      <c r="OXZ88" s="12"/>
      <c r="OYA88" s="109"/>
      <c r="OYB88" s="12"/>
      <c r="OYC88" s="109"/>
      <c r="OYD88" s="12"/>
      <c r="OYE88" s="109"/>
      <c r="OYF88" s="12"/>
      <c r="OYG88" s="109"/>
      <c r="OYH88" s="12"/>
      <c r="OYI88" s="109"/>
      <c r="OYJ88" s="12"/>
      <c r="OYK88" s="109"/>
      <c r="OYL88" s="12"/>
      <c r="OYM88" s="109"/>
      <c r="OYN88" s="12"/>
      <c r="OYO88" s="109"/>
      <c r="OYP88" s="12"/>
      <c r="OYQ88" s="109"/>
      <c r="OYR88" s="12"/>
      <c r="OYS88" s="109"/>
      <c r="OYT88" s="12"/>
      <c r="OYU88" s="109"/>
      <c r="OYV88" s="12"/>
      <c r="OYW88" s="109"/>
      <c r="OYX88" s="12"/>
      <c r="OYY88" s="109"/>
      <c r="OYZ88" s="12"/>
      <c r="OZA88" s="109"/>
      <c r="OZB88" s="12"/>
      <c r="OZC88" s="109"/>
      <c r="OZD88" s="12"/>
      <c r="OZE88" s="109"/>
      <c r="OZF88" s="12"/>
      <c r="OZG88" s="109"/>
      <c r="OZH88" s="12"/>
      <c r="OZI88" s="109"/>
      <c r="OZJ88" s="12"/>
      <c r="OZK88" s="109"/>
      <c r="OZL88" s="12"/>
      <c r="OZM88" s="109"/>
      <c r="OZN88" s="12"/>
      <c r="OZO88" s="109"/>
      <c r="OZP88" s="12"/>
      <c r="OZQ88" s="109"/>
      <c r="OZR88" s="12"/>
      <c r="OZS88" s="109"/>
      <c r="OZT88" s="12"/>
      <c r="OZU88" s="109"/>
      <c r="OZV88" s="12"/>
      <c r="OZW88" s="109"/>
      <c r="OZX88" s="12"/>
      <c r="OZY88" s="109"/>
      <c r="OZZ88" s="12"/>
      <c r="PAA88" s="109"/>
      <c r="PAB88" s="12"/>
      <c r="PAC88" s="109"/>
      <c r="PAD88" s="12"/>
      <c r="PAE88" s="109"/>
      <c r="PAF88" s="12"/>
      <c r="PAG88" s="109"/>
      <c r="PAH88" s="12"/>
      <c r="PAI88" s="109"/>
      <c r="PAJ88" s="12"/>
      <c r="PAK88" s="109"/>
      <c r="PAL88" s="12"/>
      <c r="PAM88" s="109"/>
      <c r="PAN88" s="12"/>
      <c r="PAO88" s="109"/>
      <c r="PAP88" s="12"/>
      <c r="PAQ88" s="109"/>
      <c r="PAR88" s="12"/>
      <c r="PAS88" s="109"/>
      <c r="PAT88" s="12"/>
      <c r="PAU88" s="109"/>
      <c r="PAV88" s="12"/>
      <c r="PAW88" s="109"/>
      <c r="PAX88" s="12"/>
      <c r="PAY88" s="109"/>
      <c r="PAZ88" s="12"/>
      <c r="PBA88" s="109"/>
      <c r="PBB88" s="12"/>
      <c r="PBC88" s="109"/>
      <c r="PBD88" s="12"/>
      <c r="PBE88" s="109"/>
      <c r="PBF88" s="12"/>
      <c r="PBG88" s="109"/>
      <c r="PBH88" s="12"/>
      <c r="PBI88" s="109"/>
      <c r="PBJ88" s="12"/>
      <c r="PBK88" s="109"/>
      <c r="PBL88" s="12"/>
      <c r="PBM88" s="109"/>
      <c r="PBN88" s="12"/>
      <c r="PBO88" s="109"/>
      <c r="PBP88" s="12"/>
      <c r="PBQ88" s="109"/>
      <c r="PBR88" s="12"/>
      <c r="PBS88" s="109"/>
      <c r="PBT88" s="12"/>
      <c r="PBU88" s="109"/>
      <c r="PBV88" s="12"/>
      <c r="PBW88" s="109"/>
      <c r="PBX88" s="12"/>
      <c r="PBY88" s="109"/>
      <c r="PBZ88" s="12"/>
      <c r="PCA88" s="109"/>
      <c r="PCB88" s="12"/>
      <c r="PCC88" s="109"/>
      <c r="PCD88" s="12"/>
      <c r="PCE88" s="109"/>
      <c r="PCF88" s="12"/>
      <c r="PCG88" s="109"/>
      <c r="PCH88" s="12"/>
      <c r="PCI88" s="109"/>
      <c r="PCJ88" s="12"/>
      <c r="PCK88" s="109"/>
      <c r="PCL88" s="12"/>
      <c r="PCM88" s="109"/>
      <c r="PCN88" s="12"/>
      <c r="PCO88" s="109"/>
      <c r="PCP88" s="12"/>
      <c r="PCQ88" s="109"/>
      <c r="PCR88" s="12"/>
      <c r="PCS88" s="109"/>
      <c r="PCT88" s="12"/>
      <c r="PCU88" s="109"/>
      <c r="PCV88" s="12"/>
      <c r="PCW88" s="109"/>
      <c r="PCX88" s="12"/>
      <c r="PCY88" s="109"/>
      <c r="PCZ88" s="12"/>
      <c r="PDA88" s="109"/>
      <c r="PDB88" s="12"/>
      <c r="PDC88" s="109"/>
      <c r="PDD88" s="12"/>
      <c r="PDE88" s="109"/>
      <c r="PDF88" s="12"/>
      <c r="PDG88" s="109"/>
      <c r="PDH88" s="12"/>
      <c r="PDI88" s="109"/>
      <c r="PDJ88" s="12"/>
      <c r="PDK88" s="109"/>
      <c r="PDL88" s="12"/>
      <c r="PDM88" s="109"/>
      <c r="PDN88" s="12"/>
      <c r="PDO88" s="109"/>
      <c r="PDP88" s="12"/>
      <c r="PDQ88" s="109"/>
      <c r="PDR88" s="12"/>
      <c r="PDS88" s="109"/>
      <c r="PDT88" s="12"/>
      <c r="PDU88" s="109"/>
      <c r="PDV88" s="12"/>
      <c r="PDW88" s="109"/>
      <c r="PDX88" s="12"/>
      <c r="PDY88" s="109"/>
      <c r="PDZ88" s="12"/>
      <c r="PEA88" s="109"/>
      <c r="PEB88" s="12"/>
      <c r="PEC88" s="109"/>
      <c r="PED88" s="12"/>
      <c r="PEE88" s="109"/>
      <c r="PEF88" s="12"/>
      <c r="PEG88" s="109"/>
      <c r="PEH88" s="12"/>
      <c r="PEI88" s="109"/>
      <c r="PEJ88" s="12"/>
      <c r="PEK88" s="109"/>
      <c r="PEL88" s="12"/>
      <c r="PEM88" s="109"/>
      <c r="PEN88" s="12"/>
      <c r="PEO88" s="109"/>
      <c r="PEP88" s="12"/>
      <c r="PEQ88" s="109"/>
      <c r="PER88" s="12"/>
      <c r="PES88" s="109"/>
      <c r="PET88" s="12"/>
      <c r="PEU88" s="109"/>
      <c r="PEV88" s="12"/>
      <c r="PEW88" s="109"/>
      <c r="PEX88" s="12"/>
      <c r="PEY88" s="109"/>
      <c r="PEZ88" s="12"/>
      <c r="PFA88" s="109"/>
      <c r="PFB88" s="12"/>
      <c r="PFC88" s="109"/>
      <c r="PFD88" s="12"/>
      <c r="PFE88" s="109"/>
      <c r="PFF88" s="12"/>
      <c r="PFG88" s="109"/>
      <c r="PFH88" s="12"/>
      <c r="PFI88" s="109"/>
      <c r="PFJ88" s="12"/>
      <c r="PFK88" s="109"/>
      <c r="PFL88" s="12"/>
      <c r="PFM88" s="109"/>
      <c r="PFN88" s="12"/>
      <c r="PFO88" s="109"/>
      <c r="PFP88" s="12"/>
      <c r="PFQ88" s="109"/>
      <c r="PFR88" s="12"/>
      <c r="PFS88" s="109"/>
      <c r="PFT88" s="12"/>
      <c r="PFU88" s="109"/>
      <c r="PFV88" s="12"/>
      <c r="PFW88" s="109"/>
      <c r="PFX88" s="12"/>
      <c r="PFY88" s="109"/>
      <c r="PFZ88" s="12"/>
      <c r="PGA88" s="109"/>
      <c r="PGB88" s="12"/>
      <c r="PGC88" s="109"/>
      <c r="PGD88" s="12"/>
      <c r="PGE88" s="109"/>
      <c r="PGF88" s="12"/>
      <c r="PGG88" s="109"/>
      <c r="PGH88" s="12"/>
      <c r="PGI88" s="109"/>
      <c r="PGJ88" s="12"/>
      <c r="PGK88" s="109"/>
      <c r="PGL88" s="12"/>
      <c r="PGM88" s="109"/>
      <c r="PGN88" s="12"/>
      <c r="PGO88" s="109"/>
      <c r="PGP88" s="12"/>
      <c r="PGQ88" s="109"/>
      <c r="PGR88" s="12"/>
      <c r="PGS88" s="109"/>
      <c r="PGT88" s="12"/>
      <c r="PGU88" s="109"/>
      <c r="PGV88" s="12"/>
      <c r="PGW88" s="109"/>
      <c r="PGX88" s="12"/>
      <c r="PGY88" s="109"/>
      <c r="PGZ88" s="12"/>
      <c r="PHA88" s="109"/>
      <c r="PHB88" s="12"/>
      <c r="PHC88" s="109"/>
      <c r="PHD88" s="12"/>
      <c r="PHE88" s="109"/>
      <c r="PHF88" s="12"/>
      <c r="PHG88" s="109"/>
      <c r="PHH88" s="12"/>
      <c r="PHI88" s="109"/>
      <c r="PHJ88" s="12"/>
      <c r="PHK88" s="109"/>
      <c r="PHL88" s="12"/>
      <c r="PHM88" s="109"/>
      <c r="PHN88" s="12"/>
      <c r="PHO88" s="109"/>
      <c r="PHP88" s="12"/>
      <c r="PHQ88" s="109"/>
      <c r="PHR88" s="12"/>
      <c r="PHS88" s="109"/>
      <c r="PHT88" s="12"/>
      <c r="PHU88" s="109"/>
      <c r="PHV88" s="12"/>
      <c r="PHW88" s="109"/>
      <c r="PHX88" s="12"/>
      <c r="PHY88" s="109"/>
      <c r="PHZ88" s="12"/>
      <c r="PIA88" s="109"/>
      <c r="PIB88" s="12"/>
      <c r="PIC88" s="109"/>
      <c r="PID88" s="12"/>
      <c r="PIE88" s="109"/>
      <c r="PIF88" s="12"/>
      <c r="PIG88" s="109"/>
      <c r="PIH88" s="12"/>
      <c r="PII88" s="109"/>
      <c r="PIJ88" s="12"/>
      <c r="PIK88" s="109"/>
      <c r="PIL88" s="12"/>
      <c r="PIM88" s="109"/>
      <c r="PIN88" s="12"/>
      <c r="PIO88" s="109"/>
      <c r="PIP88" s="12"/>
      <c r="PIQ88" s="109"/>
      <c r="PIR88" s="12"/>
      <c r="PIS88" s="109"/>
      <c r="PIT88" s="12"/>
      <c r="PIU88" s="109"/>
      <c r="PIV88" s="12"/>
      <c r="PIW88" s="109"/>
      <c r="PIX88" s="12"/>
      <c r="PIY88" s="109"/>
      <c r="PIZ88" s="12"/>
      <c r="PJA88" s="109"/>
      <c r="PJB88" s="12"/>
      <c r="PJC88" s="109"/>
      <c r="PJD88" s="12"/>
      <c r="PJE88" s="109"/>
      <c r="PJF88" s="12"/>
      <c r="PJG88" s="109"/>
      <c r="PJH88" s="12"/>
      <c r="PJI88" s="109"/>
      <c r="PJJ88" s="12"/>
      <c r="PJK88" s="109"/>
      <c r="PJL88" s="12"/>
      <c r="PJM88" s="109"/>
      <c r="PJN88" s="12"/>
      <c r="PJO88" s="109"/>
      <c r="PJP88" s="12"/>
      <c r="PJQ88" s="109"/>
      <c r="PJR88" s="12"/>
      <c r="PJS88" s="109"/>
      <c r="PJT88" s="12"/>
      <c r="PJU88" s="109"/>
      <c r="PJV88" s="12"/>
      <c r="PJW88" s="109"/>
      <c r="PJX88" s="12"/>
      <c r="PJY88" s="109"/>
      <c r="PJZ88" s="12"/>
      <c r="PKA88" s="109"/>
      <c r="PKB88" s="12"/>
      <c r="PKC88" s="109"/>
      <c r="PKD88" s="12"/>
      <c r="PKE88" s="109"/>
      <c r="PKF88" s="12"/>
      <c r="PKG88" s="109"/>
      <c r="PKH88" s="12"/>
      <c r="PKI88" s="109"/>
      <c r="PKJ88" s="12"/>
      <c r="PKK88" s="109"/>
      <c r="PKL88" s="12"/>
      <c r="PKM88" s="109"/>
      <c r="PKN88" s="12"/>
      <c r="PKO88" s="109"/>
      <c r="PKP88" s="12"/>
      <c r="PKQ88" s="109"/>
      <c r="PKR88" s="12"/>
      <c r="PKS88" s="109"/>
      <c r="PKT88" s="12"/>
      <c r="PKU88" s="109"/>
      <c r="PKV88" s="12"/>
      <c r="PKW88" s="109"/>
      <c r="PKX88" s="12"/>
      <c r="PKY88" s="109"/>
      <c r="PKZ88" s="12"/>
      <c r="PLA88" s="109"/>
      <c r="PLB88" s="12"/>
      <c r="PLC88" s="109"/>
      <c r="PLD88" s="12"/>
      <c r="PLE88" s="109"/>
      <c r="PLF88" s="12"/>
      <c r="PLG88" s="109"/>
      <c r="PLH88" s="12"/>
      <c r="PLI88" s="109"/>
      <c r="PLJ88" s="12"/>
      <c r="PLK88" s="109"/>
      <c r="PLL88" s="12"/>
      <c r="PLM88" s="109"/>
      <c r="PLN88" s="12"/>
      <c r="PLO88" s="109"/>
      <c r="PLP88" s="12"/>
      <c r="PLQ88" s="109"/>
      <c r="PLR88" s="12"/>
      <c r="PLS88" s="109"/>
      <c r="PLT88" s="12"/>
      <c r="PLU88" s="109"/>
      <c r="PLV88" s="12"/>
      <c r="PLW88" s="109"/>
      <c r="PLX88" s="12"/>
      <c r="PLY88" s="109"/>
      <c r="PLZ88" s="12"/>
      <c r="PMA88" s="109"/>
      <c r="PMB88" s="12"/>
      <c r="PMC88" s="109"/>
      <c r="PMD88" s="12"/>
      <c r="PME88" s="109"/>
      <c r="PMF88" s="12"/>
      <c r="PMG88" s="109"/>
      <c r="PMH88" s="12"/>
      <c r="PMI88" s="109"/>
      <c r="PMJ88" s="12"/>
      <c r="PMK88" s="109"/>
      <c r="PML88" s="12"/>
      <c r="PMM88" s="109"/>
      <c r="PMN88" s="12"/>
      <c r="PMO88" s="109"/>
      <c r="PMP88" s="12"/>
      <c r="PMQ88" s="109"/>
      <c r="PMR88" s="12"/>
      <c r="PMS88" s="109"/>
      <c r="PMT88" s="12"/>
      <c r="PMU88" s="109"/>
      <c r="PMV88" s="12"/>
      <c r="PMW88" s="109"/>
      <c r="PMX88" s="12"/>
      <c r="PMY88" s="109"/>
      <c r="PMZ88" s="12"/>
      <c r="PNA88" s="109"/>
      <c r="PNB88" s="12"/>
      <c r="PNC88" s="109"/>
      <c r="PND88" s="12"/>
      <c r="PNE88" s="109"/>
      <c r="PNF88" s="12"/>
      <c r="PNG88" s="109"/>
      <c r="PNH88" s="12"/>
      <c r="PNI88" s="109"/>
      <c r="PNJ88" s="12"/>
      <c r="PNK88" s="109"/>
      <c r="PNL88" s="12"/>
      <c r="PNM88" s="109"/>
      <c r="PNN88" s="12"/>
      <c r="PNO88" s="109"/>
      <c r="PNP88" s="12"/>
      <c r="PNQ88" s="109"/>
      <c r="PNR88" s="12"/>
      <c r="PNS88" s="109"/>
      <c r="PNT88" s="12"/>
      <c r="PNU88" s="109"/>
      <c r="PNV88" s="12"/>
      <c r="PNW88" s="109"/>
      <c r="PNX88" s="12"/>
      <c r="PNY88" s="109"/>
      <c r="PNZ88" s="12"/>
      <c r="POA88" s="109"/>
      <c r="POB88" s="12"/>
      <c r="POC88" s="109"/>
      <c r="POD88" s="12"/>
      <c r="POE88" s="109"/>
      <c r="POF88" s="12"/>
      <c r="POG88" s="109"/>
      <c r="POH88" s="12"/>
      <c r="POI88" s="109"/>
      <c r="POJ88" s="12"/>
      <c r="POK88" s="109"/>
      <c r="POL88" s="12"/>
      <c r="POM88" s="109"/>
      <c r="PON88" s="12"/>
      <c r="POO88" s="109"/>
      <c r="POP88" s="12"/>
      <c r="POQ88" s="109"/>
      <c r="POR88" s="12"/>
      <c r="POS88" s="109"/>
      <c r="POT88" s="12"/>
      <c r="POU88" s="109"/>
      <c r="POV88" s="12"/>
      <c r="POW88" s="109"/>
      <c r="POX88" s="12"/>
      <c r="POY88" s="109"/>
      <c r="POZ88" s="12"/>
      <c r="PPA88" s="109"/>
      <c r="PPB88" s="12"/>
      <c r="PPC88" s="109"/>
      <c r="PPD88" s="12"/>
      <c r="PPE88" s="109"/>
      <c r="PPF88" s="12"/>
      <c r="PPG88" s="109"/>
      <c r="PPH88" s="12"/>
      <c r="PPI88" s="109"/>
      <c r="PPJ88" s="12"/>
      <c r="PPK88" s="109"/>
      <c r="PPL88" s="12"/>
      <c r="PPM88" s="109"/>
      <c r="PPN88" s="12"/>
      <c r="PPO88" s="109"/>
      <c r="PPP88" s="12"/>
      <c r="PPQ88" s="109"/>
      <c r="PPR88" s="12"/>
      <c r="PPS88" s="109"/>
      <c r="PPT88" s="12"/>
      <c r="PPU88" s="109"/>
      <c r="PPV88" s="12"/>
      <c r="PPW88" s="109"/>
      <c r="PPX88" s="12"/>
      <c r="PPY88" s="109"/>
      <c r="PPZ88" s="12"/>
      <c r="PQA88" s="109"/>
      <c r="PQB88" s="12"/>
      <c r="PQC88" s="109"/>
      <c r="PQD88" s="12"/>
      <c r="PQE88" s="109"/>
      <c r="PQF88" s="12"/>
      <c r="PQG88" s="109"/>
      <c r="PQH88" s="12"/>
      <c r="PQI88" s="109"/>
      <c r="PQJ88" s="12"/>
      <c r="PQK88" s="109"/>
      <c r="PQL88" s="12"/>
      <c r="PQM88" s="109"/>
      <c r="PQN88" s="12"/>
      <c r="PQO88" s="109"/>
      <c r="PQP88" s="12"/>
      <c r="PQQ88" s="109"/>
      <c r="PQR88" s="12"/>
      <c r="PQS88" s="109"/>
      <c r="PQT88" s="12"/>
      <c r="PQU88" s="109"/>
      <c r="PQV88" s="12"/>
      <c r="PQW88" s="109"/>
      <c r="PQX88" s="12"/>
      <c r="PQY88" s="109"/>
      <c r="PQZ88" s="12"/>
      <c r="PRA88" s="109"/>
      <c r="PRB88" s="12"/>
      <c r="PRC88" s="109"/>
      <c r="PRD88" s="12"/>
      <c r="PRE88" s="109"/>
      <c r="PRF88" s="12"/>
      <c r="PRG88" s="109"/>
      <c r="PRH88" s="12"/>
      <c r="PRI88" s="109"/>
      <c r="PRJ88" s="12"/>
      <c r="PRK88" s="109"/>
      <c r="PRL88" s="12"/>
      <c r="PRM88" s="109"/>
      <c r="PRN88" s="12"/>
      <c r="PRO88" s="109"/>
      <c r="PRP88" s="12"/>
      <c r="PRQ88" s="109"/>
      <c r="PRR88" s="12"/>
      <c r="PRS88" s="109"/>
      <c r="PRT88" s="12"/>
      <c r="PRU88" s="109"/>
      <c r="PRV88" s="12"/>
      <c r="PRW88" s="109"/>
      <c r="PRX88" s="12"/>
      <c r="PRY88" s="109"/>
      <c r="PRZ88" s="12"/>
      <c r="PSA88" s="109"/>
      <c r="PSB88" s="12"/>
      <c r="PSC88" s="109"/>
      <c r="PSD88" s="12"/>
      <c r="PSE88" s="109"/>
      <c r="PSF88" s="12"/>
      <c r="PSG88" s="109"/>
      <c r="PSH88" s="12"/>
      <c r="PSI88" s="109"/>
      <c r="PSJ88" s="12"/>
      <c r="PSK88" s="109"/>
      <c r="PSL88" s="12"/>
      <c r="PSM88" s="109"/>
      <c r="PSN88" s="12"/>
      <c r="PSO88" s="109"/>
      <c r="PSP88" s="12"/>
      <c r="PSQ88" s="109"/>
      <c r="PSR88" s="12"/>
      <c r="PSS88" s="109"/>
      <c r="PST88" s="12"/>
      <c r="PSU88" s="109"/>
      <c r="PSV88" s="12"/>
      <c r="PSW88" s="109"/>
      <c r="PSX88" s="12"/>
      <c r="PSY88" s="109"/>
      <c r="PSZ88" s="12"/>
      <c r="PTA88" s="109"/>
      <c r="PTB88" s="12"/>
      <c r="PTC88" s="109"/>
      <c r="PTD88" s="12"/>
      <c r="PTE88" s="109"/>
      <c r="PTF88" s="12"/>
      <c r="PTG88" s="109"/>
      <c r="PTH88" s="12"/>
      <c r="PTI88" s="109"/>
      <c r="PTJ88" s="12"/>
      <c r="PTK88" s="109"/>
      <c r="PTL88" s="12"/>
      <c r="PTM88" s="109"/>
      <c r="PTN88" s="12"/>
      <c r="PTO88" s="109"/>
      <c r="PTP88" s="12"/>
      <c r="PTQ88" s="109"/>
      <c r="PTR88" s="12"/>
      <c r="PTS88" s="109"/>
      <c r="PTT88" s="12"/>
      <c r="PTU88" s="109"/>
      <c r="PTV88" s="12"/>
      <c r="PTW88" s="109"/>
      <c r="PTX88" s="12"/>
      <c r="PTY88" s="109"/>
      <c r="PTZ88" s="12"/>
      <c r="PUA88" s="109"/>
      <c r="PUB88" s="12"/>
      <c r="PUC88" s="109"/>
      <c r="PUD88" s="12"/>
      <c r="PUE88" s="109"/>
      <c r="PUF88" s="12"/>
      <c r="PUG88" s="109"/>
      <c r="PUH88" s="12"/>
      <c r="PUI88" s="109"/>
      <c r="PUJ88" s="12"/>
      <c r="PUK88" s="109"/>
      <c r="PUL88" s="12"/>
      <c r="PUM88" s="109"/>
      <c r="PUN88" s="12"/>
      <c r="PUO88" s="109"/>
      <c r="PUP88" s="12"/>
      <c r="PUQ88" s="109"/>
      <c r="PUR88" s="12"/>
      <c r="PUS88" s="109"/>
      <c r="PUT88" s="12"/>
      <c r="PUU88" s="109"/>
      <c r="PUV88" s="12"/>
      <c r="PUW88" s="109"/>
      <c r="PUX88" s="12"/>
      <c r="PUY88" s="109"/>
      <c r="PUZ88" s="12"/>
      <c r="PVA88" s="109"/>
      <c r="PVB88" s="12"/>
      <c r="PVC88" s="109"/>
      <c r="PVD88" s="12"/>
      <c r="PVE88" s="109"/>
      <c r="PVF88" s="12"/>
      <c r="PVG88" s="109"/>
      <c r="PVH88" s="12"/>
      <c r="PVI88" s="109"/>
      <c r="PVJ88" s="12"/>
      <c r="PVK88" s="109"/>
      <c r="PVL88" s="12"/>
      <c r="PVM88" s="109"/>
      <c r="PVN88" s="12"/>
      <c r="PVO88" s="109"/>
      <c r="PVP88" s="12"/>
      <c r="PVQ88" s="109"/>
      <c r="PVR88" s="12"/>
      <c r="PVS88" s="109"/>
      <c r="PVT88" s="12"/>
      <c r="PVU88" s="109"/>
      <c r="PVV88" s="12"/>
      <c r="PVW88" s="109"/>
      <c r="PVX88" s="12"/>
      <c r="PVY88" s="109"/>
      <c r="PVZ88" s="12"/>
      <c r="PWA88" s="109"/>
      <c r="PWB88" s="12"/>
      <c r="PWC88" s="109"/>
      <c r="PWD88" s="12"/>
      <c r="PWE88" s="109"/>
      <c r="PWF88" s="12"/>
      <c r="PWG88" s="109"/>
      <c r="PWH88" s="12"/>
      <c r="PWI88" s="109"/>
      <c r="PWJ88" s="12"/>
      <c r="PWK88" s="109"/>
      <c r="PWL88" s="12"/>
      <c r="PWM88" s="109"/>
      <c r="PWN88" s="12"/>
      <c r="PWO88" s="109"/>
      <c r="PWP88" s="12"/>
      <c r="PWQ88" s="109"/>
      <c r="PWR88" s="12"/>
      <c r="PWS88" s="109"/>
      <c r="PWT88" s="12"/>
      <c r="PWU88" s="109"/>
      <c r="PWV88" s="12"/>
      <c r="PWW88" s="109"/>
      <c r="PWX88" s="12"/>
      <c r="PWY88" s="109"/>
      <c r="PWZ88" s="12"/>
      <c r="PXA88" s="109"/>
      <c r="PXB88" s="12"/>
      <c r="PXC88" s="109"/>
      <c r="PXD88" s="12"/>
      <c r="PXE88" s="109"/>
      <c r="PXF88" s="12"/>
      <c r="PXG88" s="109"/>
      <c r="PXH88" s="12"/>
      <c r="PXI88" s="109"/>
      <c r="PXJ88" s="12"/>
      <c r="PXK88" s="109"/>
      <c r="PXL88" s="12"/>
      <c r="PXM88" s="109"/>
      <c r="PXN88" s="12"/>
      <c r="PXO88" s="109"/>
      <c r="PXP88" s="12"/>
      <c r="PXQ88" s="109"/>
      <c r="PXR88" s="12"/>
      <c r="PXS88" s="109"/>
      <c r="PXT88" s="12"/>
      <c r="PXU88" s="109"/>
      <c r="PXV88" s="12"/>
      <c r="PXW88" s="109"/>
      <c r="PXX88" s="12"/>
      <c r="PXY88" s="109"/>
      <c r="PXZ88" s="12"/>
      <c r="PYA88" s="109"/>
      <c r="PYB88" s="12"/>
      <c r="PYC88" s="109"/>
      <c r="PYD88" s="12"/>
      <c r="PYE88" s="109"/>
      <c r="PYF88" s="12"/>
      <c r="PYG88" s="109"/>
      <c r="PYH88" s="12"/>
      <c r="PYI88" s="109"/>
      <c r="PYJ88" s="12"/>
      <c r="PYK88" s="109"/>
      <c r="PYL88" s="12"/>
      <c r="PYM88" s="109"/>
      <c r="PYN88" s="12"/>
      <c r="PYO88" s="109"/>
      <c r="PYP88" s="12"/>
      <c r="PYQ88" s="109"/>
      <c r="PYR88" s="12"/>
      <c r="PYS88" s="109"/>
      <c r="PYT88" s="12"/>
      <c r="PYU88" s="109"/>
      <c r="PYV88" s="12"/>
      <c r="PYW88" s="109"/>
      <c r="PYX88" s="12"/>
      <c r="PYY88" s="109"/>
      <c r="PYZ88" s="12"/>
      <c r="PZA88" s="109"/>
      <c r="PZB88" s="12"/>
      <c r="PZC88" s="109"/>
      <c r="PZD88" s="12"/>
      <c r="PZE88" s="109"/>
      <c r="PZF88" s="12"/>
      <c r="PZG88" s="109"/>
      <c r="PZH88" s="12"/>
      <c r="PZI88" s="109"/>
      <c r="PZJ88" s="12"/>
      <c r="PZK88" s="109"/>
      <c r="PZL88" s="12"/>
      <c r="PZM88" s="109"/>
      <c r="PZN88" s="12"/>
      <c r="PZO88" s="109"/>
      <c r="PZP88" s="12"/>
      <c r="PZQ88" s="109"/>
      <c r="PZR88" s="12"/>
      <c r="PZS88" s="109"/>
      <c r="PZT88" s="12"/>
      <c r="PZU88" s="109"/>
      <c r="PZV88" s="12"/>
      <c r="PZW88" s="109"/>
      <c r="PZX88" s="12"/>
      <c r="PZY88" s="109"/>
      <c r="PZZ88" s="12"/>
      <c r="QAA88" s="109"/>
      <c r="QAB88" s="12"/>
      <c r="QAC88" s="109"/>
      <c r="QAD88" s="12"/>
      <c r="QAE88" s="109"/>
      <c r="QAF88" s="12"/>
      <c r="QAG88" s="109"/>
      <c r="QAH88" s="12"/>
      <c r="QAI88" s="109"/>
      <c r="QAJ88" s="12"/>
      <c r="QAK88" s="109"/>
      <c r="QAL88" s="12"/>
      <c r="QAM88" s="109"/>
      <c r="QAN88" s="12"/>
      <c r="QAO88" s="109"/>
      <c r="QAP88" s="12"/>
      <c r="QAQ88" s="109"/>
      <c r="QAR88" s="12"/>
      <c r="QAS88" s="109"/>
      <c r="QAT88" s="12"/>
      <c r="QAU88" s="109"/>
      <c r="QAV88" s="12"/>
      <c r="QAW88" s="109"/>
      <c r="QAX88" s="12"/>
      <c r="QAY88" s="109"/>
      <c r="QAZ88" s="12"/>
      <c r="QBA88" s="109"/>
      <c r="QBB88" s="12"/>
      <c r="QBC88" s="109"/>
      <c r="QBD88" s="12"/>
      <c r="QBE88" s="109"/>
      <c r="QBF88" s="12"/>
      <c r="QBG88" s="109"/>
      <c r="QBH88" s="12"/>
      <c r="QBI88" s="109"/>
      <c r="QBJ88" s="12"/>
      <c r="QBK88" s="109"/>
      <c r="QBL88" s="12"/>
      <c r="QBM88" s="109"/>
      <c r="QBN88" s="12"/>
      <c r="QBO88" s="109"/>
      <c r="QBP88" s="12"/>
      <c r="QBQ88" s="109"/>
      <c r="QBR88" s="12"/>
      <c r="QBS88" s="109"/>
      <c r="QBT88" s="12"/>
      <c r="QBU88" s="109"/>
      <c r="QBV88" s="12"/>
      <c r="QBW88" s="109"/>
      <c r="QBX88" s="12"/>
      <c r="QBY88" s="109"/>
      <c r="QBZ88" s="12"/>
      <c r="QCA88" s="109"/>
      <c r="QCB88" s="12"/>
      <c r="QCC88" s="109"/>
      <c r="QCD88" s="12"/>
      <c r="QCE88" s="109"/>
      <c r="QCF88" s="12"/>
      <c r="QCG88" s="109"/>
      <c r="QCH88" s="12"/>
      <c r="QCI88" s="109"/>
      <c r="QCJ88" s="12"/>
      <c r="QCK88" s="109"/>
      <c r="QCL88" s="12"/>
      <c r="QCM88" s="109"/>
      <c r="QCN88" s="12"/>
      <c r="QCO88" s="109"/>
      <c r="QCP88" s="12"/>
      <c r="QCQ88" s="109"/>
      <c r="QCR88" s="12"/>
      <c r="QCS88" s="109"/>
      <c r="QCT88" s="12"/>
      <c r="QCU88" s="109"/>
      <c r="QCV88" s="12"/>
      <c r="QCW88" s="109"/>
      <c r="QCX88" s="12"/>
      <c r="QCY88" s="109"/>
      <c r="QCZ88" s="12"/>
      <c r="QDA88" s="109"/>
      <c r="QDB88" s="12"/>
      <c r="QDC88" s="109"/>
      <c r="QDD88" s="12"/>
      <c r="QDE88" s="109"/>
      <c r="QDF88" s="12"/>
      <c r="QDG88" s="109"/>
      <c r="QDH88" s="12"/>
      <c r="QDI88" s="109"/>
      <c r="QDJ88" s="12"/>
      <c r="QDK88" s="109"/>
      <c r="QDL88" s="12"/>
      <c r="QDM88" s="109"/>
      <c r="QDN88" s="12"/>
      <c r="QDO88" s="109"/>
      <c r="QDP88" s="12"/>
      <c r="QDQ88" s="109"/>
      <c r="QDR88" s="12"/>
      <c r="QDS88" s="109"/>
      <c r="QDT88" s="12"/>
      <c r="QDU88" s="109"/>
      <c r="QDV88" s="12"/>
      <c r="QDW88" s="109"/>
      <c r="QDX88" s="12"/>
      <c r="QDY88" s="109"/>
      <c r="QDZ88" s="12"/>
      <c r="QEA88" s="109"/>
      <c r="QEB88" s="12"/>
      <c r="QEC88" s="109"/>
      <c r="QED88" s="12"/>
      <c r="QEE88" s="109"/>
      <c r="QEF88" s="12"/>
      <c r="QEG88" s="109"/>
      <c r="QEH88" s="12"/>
      <c r="QEI88" s="109"/>
      <c r="QEJ88" s="12"/>
      <c r="QEK88" s="109"/>
      <c r="QEL88" s="12"/>
      <c r="QEM88" s="109"/>
      <c r="QEN88" s="12"/>
      <c r="QEO88" s="109"/>
      <c r="QEP88" s="12"/>
      <c r="QEQ88" s="109"/>
      <c r="QER88" s="12"/>
      <c r="QES88" s="109"/>
      <c r="QET88" s="12"/>
      <c r="QEU88" s="109"/>
      <c r="QEV88" s="12"/>
      <c r="QEW88" s="109"/>
      <c r="QEX88" s="12"/>
      <c r="QEY88" s="109"/>
      <c r="QEZ88" s="12"/>
      <c r="QFA88" s="109"/>
      <c r="QFB88" s="12"/>
      <c r="QFC88" s="109"/>
      <c r="QFD88" s="12"/>
      <c r="QFE88" s="109"/>
      <c r="QFF88" s="12"/>
      <c r="QFG88" s="109"/>
      <c r="QFH88" s="12"/>
      <c r="QFI88" s="109"/>
      <c r="QFJ88" s="12"/>
      <c r="QFK88" s="109"/>
      <c r="QFL88" s="12"/>
      <c r="QFM88" s="109"/>
      <c r="QFN88" s="12"/>
      <c r="QFO88" s="109"/>
      <c r="QFP88" s="12"/>
      <c r="QFQ88" s="109"/>
      <c r="QFR88" s="12"/>
      <c r="QFS88" s="109"/>
      <c r="QFT88" s="12"/>
      <c r="QFU88" s="109"/>
      <c r="QFV88" s="12"/>
      <c r="QFW88" s="109"/>
      <c r="QFX88" s="12"/>
      <c r="QFY88" s="109"/>
      <c r="QFZ88" s="12"/>
      <c r="QGA88" s="109"/>
      <c r="QGB88" s="12"/>
      <c r="QGC88" s="109"/>
      <c r="QGD88" s="12"/>
      <c r="QGE88" s="109"/>
      <c r="QGF88" s="12"/>
      <c r="QGG88" s="109"/>
      <c r="QGH88" s="12"/>
      <c r="QGI88" s="109"/>
      <c r="QGJ88" s="12"/>
      <c r="QGK88" s="109"/>
      <c r="QGL88" s="12"/>
      <c r="QGM88" s="109"/>
      <c r="QGN88" s="12"/>
      <c r="QGO88" s="109"/>
      <c r="QGP88" s="12"/>
      <c r="QGQ88" s="109"/>
      <c r="QGR88" s="12"/>
      <c r="QGS88" s="109"/>
      <c r="QGT88" s="12"/>
      <c r="QGU88" s="109"/>
      <c r="QGV88" s="12"/>
      <c r="QGW88" s="109"/>
      <c r="QGX88" s="12"/>
      <c r="QGY88" s="109"/>
      <c r="QGZ88" s="12"/>
      <c r="QHA88" s="109"/>
      <c r="QHB88" s="12"/>
      <c r="QHC88" s="109"/>
      <c r="QHD88" s="12"/>
      <c r="QHE88" s="109"/>
      <c r="QHF88" s="12"/>
      <c r="QHG88" s="109"/>
      <c r="QHH88" s="12"/>
      <c r="QHI88" s="109"/>
      <c r="QHJ88" s="12"/>
      <c r="QHK88" s="109"/>
      <c r="QHL88" s="12"/>
      <c r="QHM88" s="109"/>
      <c r="QHN88" s="12"/>
      <c r="QHO88" s="109"/>
      <c r="QHP88" s="12"/>
      <c r="QHQ88" s="109"/>
      <c r="QHR88" s="12"/>
      <c r="QHS88" s="109"/>
      <c r="QHT88" s="12"/>
      <c r="QHU88" s="109"/>
      <c r="QHV88" s="12"/>
      <c r="QHW88" s="109"/>
      <c r="QHX88" s="12"/>
      <c r="QHY88" s="109"/>
      <c r="QHZ88" s="12"/>
      <c r="QIA88" s="109"/>
      <c r="QIB88" s="12"/>
      <c r="QIC88" s="109"/>
      <c r="QID88" s="12"/>
      <c r="QIE88" s="109"/>
      <c r="QIF88" s="12"/>
      <c r="QIG88" s="109"/>
      <c r="QIH88" s="12"/>
      <c r="QII88" s="109"/>
      <c r="QIJ88" s="12"/>
      <c r="QIK88" s="109"/>
      <c r="QIL88" s="12"/>
      <c r="QIM88" s="109"/>
      <c r="QIN88" s="12"/>
      <c r="QIO88" s="109"/>
      <c r="QIP88" s="12"/>
      <c r="QIQ88" s="109"/>
      <c r="QIR88" s="12"/>
      <c r="QIS88" s="109"/>
      <c r="QIT88" s="12"/>
      <c r="QIU88" s="109"/>
      <c r="QIV88" s="12"/>
      <c r="QIW88" s="109"/>
      <c r="QIX88" s="12"/>
      <c r="QIY88" s="109"/>
      <c r="QIZ88" s="12"/>
      <c r="QJA88" s="109"/>
      <c r="QJB88" s="12"/>
      <c r="QJC88" s="109"/>
      <c r="QJD88" s="12"/>
      <c r="QJE88" s="109"/>
      <c r="QJF88" s="12"/>
      <c r="QJG88" s="109"/>
      <c r="QJH88" s="12"/>
      <c r="QJI88" s="109"/>
      <c r="QJJ88" s="12"/>
      <c r="QJK88" s="109"/>
      <c r="QJL88" s="12"/>
      <c r="QJM88" s="109"/>
      <c r="QJN88" s="12"/>
      <c r="QJO88" s="109"/>
      <c r="QJP88" s="12"/>
      <c r="QJQ88" s="109"/>
      <c r="QJR88" s="12"/>
      <c r="QJS88" s="109"/>
      <c r="QJT88" s="12"/>
      <c r="QJU88" s="109"/>
      <c r="QJV88" s="12"/>
      <c r="QJW88" s="109"/>
      <c r="QJX88" s="12"/>
      <c r="QJY88" s="109"/>
      <c r="QJZ88" s="12"/>
      <c r="QKA88" s="109"/>
      <c r="QKB88" s="12"/>
      <c r="QKC88" s="109"/>
      <c r="QKD88" s="12"/>
      <c r="QKE88" s="109"/>
      <c r="QKF88" s="12"/>
      <c r="QKG88" s="109"/>
      <c r="QKH88" s="12"/>
      <c r="QKI88" s="109"/>
      <c r="QKJ88" s="12"/>
      <c r="QKK88" s="109"/>
      <c r="QKL88" s="12"/>
      <c r="QKM88" s="109"/>
      <c r="QKN88" s="12"/>
      <c r="QKO88" s="109"/>
      <c r="QKP88" s="12"/>
      <c r="QKQ88" s="109"/>
      <c r="QKR88" s="12"/>
      <c r="QKS88" s="109"/>
      <c r="QKT88" s="12"/>
      <c r="QKU88" s="109"/>
      <c r="QKV88" s="12"/>
      <c r="QKW88" s="109"/>
      <c r="QKX88" s="12"/>
      <c r="QKY88" s="109"/>
      <c r="QKZ88" s="12"/>
      <c r="QLA88" s="109"/>
      <c r="QLB88" s="12"/>
      <c r="QLC88" s="109"/>
      <c r="QLD88" s="12"/>
      <c r="QLE88" s="109"/>
      <c r="QLF88" s="12"/>
      <c r="QLG88" s="109"/>
      <c r="QLH88" s="12"/>
      <c r="QLI88" s="109"/>
      <c r="QLJ88" s="12"/>
      <c r="QLK88" s="109"/>
      <c r="QLL88" s="12"/>
      <c r="QLM88" s="109"/>
      <c r="QLN88" s="12"/>
      <c r="QLO88" s="109"/>
      <c r="QLP88" s="12"/>
      <c r="QLQ88" s="109"/>
      <c r="QLR88" s="12"/>
      <c r="QLS88" s="109"/>
      <c r="QLT88" s="12"/>
      <c r="QLU88" s="109"/>
      <c r="QLV88" s="12"/>
      <c r="QLW88" s="109"/>
      <c r="QLX88" s="12"/>
      <c r="QLY88" s="109"/>
      <c r="QLZ88" s="12"/>
      <c r="QMA88" s="109"/>
      <c r="QMB88" s="12"/>
      <c r="QMC88" s="109"/>
      <c r="QMD88" s="12"/>
      <c r="QME88" s="109"/>
      <c r="QMF88" s="12"/>
      <c r="QMG88" s="109"/>
      <c r="QMH88" s="12"/>
      <c r="QMI88" s="109"/>
      <c r="QMJ88" s="12"/>
      <c r="QMK88" s="109"/>
      <c r="QML88" s="12"/>
      <c r="QMM88" s="109"/>
      <c r="QMN88" s="12"/>
      <c r="QMO88" s="109"/>
      <c r="QMP88" s="12"/>
      <c r="QMQ88" s="109"/>
      <c r="QMR88" s="12"/>
      <c r="QMS88" s="109"/>
      <c r="QMT88" s="12"/>
      <c r="QMU88" s="109"/>
      <c r="QMV88" s="12"/>
      <c r="QMW88" s="109"/>
      <c r="QMX88" s="12"/>
      <c r="QMY88" s="109"/>
      <c r="QMZ88" s="12"/>
      <c r="QNA88" s="109"/>
      <c r="QNB88" s="12"/>
      <c r="QNC88" s="109"/>
      <c r="QND88" s="12"/>
      <c r="QNE88" s="109"/>
      <c r="QNF88" s="12"/>
      <c r="QNG88" s="109"/>
      <c r="QNH88" s="12"/>
      <c r="QNI88" s="109"/>
      <c r="QNJ88" s="12"/>
      <c r="QNK88" s="109"/>
      <c r="QNL88" s="12"/>
      <c r="QNM88" s="109"/>
      <c r="QNN88" s="12"/>
      <c r="QNO88" s="109"/>
      <c r="QNP88" s="12"/>
      <c r="QNQ88" s="109"/>
      <c r="QNR88" s="12"/>
      <c r="QNS88" s="109"/>
      <c r="QNT88" s="12"/>
      <c r="QNU88" s="109"/>
      <c r="QNV88" s="12"/>
      <c r="QNW88" s="109"/>
      <c r="QNX88" s="12"/>
      <c r="QNY88" s="109"/>
      <c r="QNZ88" s="12"/>
      <c r="QOA88" s="109"/>
      <c r="QOB88" s="12"/>
      <c r="QOC88" s="109"/>
      <c r="QOD88" s="12"/>
      <c r="QOE88" s="109"/>
      <c r="QOF88" s="12"/>
      <c r="QOG88" s="109"/>
      <c r="QOH88" s="12"/>
      <c r="QOI88" s="109"/>
      <c r="QOJ88" s="12"/>
      <c r="QOK88" s="109"/>
      <c r="QOL88" s="12"/>
      <c r="QOM88" s="109"/>
      <c r="QON88" s="12"/>
      <c r="QOO88" s="109"/>
      <c r="QOP88" s="12"/>
      <c r="QOQ88" s="109"/>
      <c r="QOR88" s="12"/>
      <c r="QOS88" s="109"/>
      <c r="QOT88" s="12"/>
      <c r="QOU88" s="109"/>
      <c r="QOV88" s="12"/>
      <c r="QOW88" s="109"/>
      <c r="QOX88" s="12"/>
      <c r="QOY88" s="109"/>
      <c r="QOZ88" s="12"/>
      <c r="QPA88" s="109"/>
      <c r="QPB88" s="12"/>
      <c r="QPC88" s="109"/>
      <c r="QPD88" s="12"/>
      <c r="QPE88" s="109"/>
      <c r="QPF88" s="12"/>
      <c r="QPG88" s="109"/>
      <c r="QPH88" s="12"/>
      <c r="QPI88" s="109"/>
      <c r="QPJ88" s="12"/>
      <c r="QPK88" s="109"/>
      <c r="QPL88" s="12"/>
      <c r="QPM88" s="109"/>
      <c r="QPN88" s="12"/>
      <c r="QPO88" s="109"/>
      <c r="QPP88" s="12"/>
      <c r="QPQ88" s="109"/>
      <c r="QPR88" s="12"/>
      <c r="QPS88" s="109"/>
      <c r="QPT88" s="12"/>
      <c r="QPU88" s="109"/>
      <c r="QPV88" s="12"/>
      <c r="QPW88" s="109"/>
      <c r="QPX88" s="12"/>
      <c r="QPY88" s="109"/>
      <c r="QPZ88" s="12"/>
      <c r="QQA88" s="109"/>
      <c r="QQB88" s="12"/>
      <c r="QQC88" s="109"/>
      <c r="QQD88" s="12"/>
      <c r="QQE88" s="109"/>
      <c r="QQF88" s="12"/>
      <c r="QQG88" s="109"/>
      <c r="QQH88" s="12"/>
      <c r="QQI88" s="109"/>
      <c r="QQJ88" s="12"/>
      <c r="QQK88" s="109"/>
      <c r="QQL88" s="12"/>
      <c r="QQM88" s="109"/>
      <c r="QQN88" s="12"/>
      <c r="QQO88" s="109"/>
      <c r="QQP88" s="12"/>
      <c r="QQQ88" s="109"/>
      <c r="QQR88" s="12"/>
      <c r="QQS88" s="109"/>
      <c r="QQT88" s="12"/>
      <c r="QQU88" s="109"/>
      <c r="QQV88" s="12"/>
      <c r="QQW88" s="109"/>
      <c r="QQX88" s="12"/>
      <c r="QQY88" s="109"/>
      <c r="QQZ88" s="12"/>
      <c r="QRA88" s="109"/>
      <c r="QRB88" s="12"/>
      <c r="QRC88" s="109"/>
      <c r="QRD88" s="12"/>
      <c r="QRE88" s="109"/>
      <c r="QRF88" s="12"/>
      <c r="QRG88" s="109"/>
      <c r="QRH88" s="12"/>
      <c r="QRI88" s="109"/>
      <c r="QRJ88" s="12"/>
      <c r="QRK88" s="109"/>
      <c r="QRL88" s="12"/>
      <c r="QRM88" s="109"/>
      <c r="QRN88" s="12"/>
      <c r="QRO88" s="109"/>
      <c r="QRP88" s="12"/>
      <c r="QRQ88" s="109"/>
      <c r="QRR88" s="12"/>
      <c r="QRS88" s="109"/>
      <c r="QRT88" s="12"/>
      <c r="QRU88" s="109"/>
      <c r="QRV88" s="12"/>
      <c r="QRW88" s="109"/>
      <c r="QRX88" s="12"/>
      <c r="QRY88" s="109"/>
      <c r="QRZ88" s="12"/>
      <c r="QSA88" s="109"/>
      <c r="QSB88" s="12"/>
      <c r="QSC88" s="109"/>
      <c r="QSD88" s="12"/>
      <c r="QSE88" s="109"/>
      <c r="QSF88" s="12"/>
      <c r="QSG88" s="109"/>
      <c r="QSH88" s="12"/>
      <c r="QSI88" s="109"/>
      <c r="QSJ88" s="12"/>
      <c r="QSK88" s="109"/>
      <c r="QSL88" s="12"/>
      <c r="QSM88" s="109"/>
      <c r="QSN88" s="12"/>
      <c r="QSO88" s="109"/>
      <c r="QSP88" s="12"/>
      <c r="QSQ88" s="109"/>
      <c r="QSR88" s="12"/>
      <c r="QSS88" s="109"/>
      <c r="QST88" s="12"/>
      <c r="QSU88" s="109"/>
      <c r="QSV88" s="12"/>
      <c r="QSW88" s="109"/>
      <c r="QSX88" s="12"/>
      <c r="QSY88" s="109"/>
      <c r="QSZ88" s="12"/>
      <c r="QTA88" s="109"/>
      <c r="QTB88" s="12"/>
      <c r="QTC88" s="109"/>
      <c r="QTD88" s="12"/>
      <c r="QTE88" s="109"/>
      <c r="QTF88" s="12"/>
      <c r="QTG88" s="109"/>
      <c r="QTH88" s="12"/>
      <c r="QTI88" s="109"/>
      <c r="QTJ88" s="12"/>
      <c r="QTK88" s="109"/>
      <c r="QTL88" s="12"/>
      <c r="QTM88" s="109"/>
      <c r="QTN88" s="12"/>
      <c r="QTO88" s="109"/>
      <c r="QTP88" s="12"/>
      <c r="QTQ88" s="109"/>
      <c r="QTR88" s="12"/>
      <c r="QTS88" s="109"/>
      <c r="QTT88" s="12"/>
      <c r="QTU88" s="109"/>
      <c r="QTV88" s="12"/>
      <c r="QTW88" s="109"/>
      <c r="QTX88" s="12"/>
      <c r="QTY88" s="109"/>
      <c r="QTZ88" s="12"/>
      <c r="QUA88" s="109"/>
      <c r="QUB88" s="12"/>
      <c r="QUC88" s="109"/>
      <c r="QUD88" s="12"/>
      <c r="QUE88" s="109"/>
      <c r="QUF88" s="12"/>
      <c r="QUG88" s="109"/>
      <c r="QUH88" s="12"/>
      <c r="QUI88" s="109"/>
      <c r="QUJ88" s="12"/>
      <c r="QUK88" s="109"/>
      <c r="QUL88" s="12"/>
      <c r="QUM88" s="109"/>
      <c r="QUN88" s="12"/>
      <c r="QUO88" s="109"/>
      <c r="QUP88" s="12"/>
      <c r="QUQ88" s="109"/>
      <c r="QUR88" s="12"/>
      <c r="QUS88" s="109"/>
      <c r="QUT88" s="12"/>
      <c r="QUU88" s="109"/>
      <c r="QUV88" s="12"/>
      <c r="QUW88" s="109"/>
      <c r="QUX88" s="12"/>
      <c r="QUY88" s="109"/>
      <c r="QUZ88" s="12"/>
      <c r="QVA88" s="109"/>
      <c r="QVB88" s="12"/>
      <c r="QVC88" s="109"/>
      <c r="QVD88" s="12"/>
      <c r="QVE88" s="109"/>
      <c r="QVF88" s="12"/>
      <c r="QVG88" s="109"/>
      <c r="QVH88" s="12"/>
      <c r="QVI88" s="109"/>
      <c r="QVJ88" s="12"/>
      <c r="QVK88" s="109"/>
      <c r="QVL88" s="12"/>
      <c r="QVM88" s="109"/>
      <c r="QVN88" s="12"/>
      <c r="QVO88" s="109"/>
      <c r="QVP88" s="12"/>
      <c r="QVQ88" s="109"/>
      <c r="QVR88" s="12"/>
      <c r="QVS88" s="109"/>
      <c r="QVT88" s="12"/>
      <c r="QVU88" s="109"/>
      <c r="QVV88" s="12"/>
      <c r="QVW88" s="109"/>
      <c r="QVX88" s="12"/>
      <c r="QVY88" s="109"/>
      <c r="QVZ88" s="12"/>
      <c r="QWA88" s="109"/>
      <c r="QWB88" s="12"/>
      <c r="QWC88" s="109"/>
      <c r="QWD88" s="12"/>
      <c r="QWE88" s="109"/>
      <c r="QWF88" s="12"/>
      <c r="QWG88" s="109"/>
      <c r="QWH88" s="12"/>
      <c r="QWI88" s="109"/>
      <c r="QWJ88" s="12"/>
      <c r="QWK88" s="109"/>
      <c r="QWL88" s="12"/>
      <c r="QWM88" s="109"/>
      <c r="QWN88" s="12"/>
      <c r="QWO88" s="109"/>
      <c r="QWP88" s="12"/>
      <c r="QWQ88" s="109"/>
      <c r="QWR88" s="12"/>
      <c r="QWS88" s="109"/>
      <c r="QWT88" s="12"/>
      <c r="QWU88" s="109"/>
      <c r="QWV88" s="12"/>
      <c r="QWW88" s="109"/>
      <c r="QWX88" s="12"/>
      <c r="QWY88" s="109"/>
      <c r="QWZ88" s="12"/>
      <c r="QXA88" s="109"/>
      <c r="QXB88" s="12"/>
      <c r="QXC88" s="109"/>
      <c r="QXD88" s="12"/>
      <c r="QXE88" s="109"/>
      <c r="QXF88" s="12"/>
      <c r="QXG88" s="109"/>
      <c r="QXH88" s="12"/>
      <c r="QXI88" s="109"/>
      <c r="QXJ88" s="12"/>
      <c r="QXK88" s="109"/>
      <c r="QXL88" s="12"/>
      <c r="QXM88" s="109"/>
      <c r="QXN88" s="12"/>
      <c r="QXO88" s="109"/>
      <c r="QXP88" s="12"/>
      <c r="QXQ88" s="109"/>
      <c r="QXR88" s="12"/>
      <c r="QXS88" s="109"/>
      <c r="QXT88" s="12"/>
      <c r="QXU88" s="109"/>
      <c r="QXV88" s="12"/>
      <c r="QXW88" s="109"/>
      <c r="QXX88" s="12"/>
      <c r="QXY88" s="109"/>
      <c r="QXZ88" s="12"/>
      <c r="QYA88" s="109"/>
      <c r="QYB88" s="12"/>
      <c r="QYC88" s="109"/>
      <c r="QYD88" s="12"/>
      <c r="QYE88" s="109"/>
      <c r="QYF88" s="12"/>
      <c r="QYG88" s="109"/>
      <c r="QYH88" s="12"/>
      <c r="QYI88" s="109"/>
      <c r="QYJ88" s="12"/>
      <c r="QYK88" s="109"/>
      <c r="QYL88" s="12"/>
      <c r="QYM88" s="109"/>
      <c r="QYN88" s="12"/>
      <c r="QYO88" s="109"/>
      <c r="QYP88" s="12"/>
      <c r="QYQ88" s="109"/>
      <c r="QYR88" s="12"/>
      <c r="QYS88" s="109"/>
      <c r="QYT88" s="12"/>
      <c r="QYU88" s="109"/>
      <c r="QYV88" s="12"/>
      <c r="QYW88" s="109"/>
      <c r="QYX88" s="12"/>
      <c r="QYY88" s="109"/>
      <c r="QYZ88" s="12"/>
      <c r="QZA88" s="109"/>
      <c r="QZB88" s="12"/>
      <c r="QZC88" s="109"/>
      <c r="QZD88" s="12"/>
      <c r="QZE88" s="109"/>
      <c r="QZF88" s="12"/>
      <c r="QZG88" s="109"/>
      <c r="QZH88" s="12"/>
      <c r="QZI88" s="109"/>
      <c r="QZJ88" s="12"/>
      <c r="QZK88" s="109"/>
      <c r="QZL88" s="12"/>
      <c r="QZM88" s="109"/>
      <c r="QZN88" s="12"/>
      <c r="QZO88" s="109"/>
      <c r="QZP88" s="12"/>
      <c r="QZQ88" s="109"/>
      <c r="QZR88" s="12"/>
      <c r="QZS88" s="109"/>
      <c r="QZT88" s="12"/>
      <c r="QZU88" s="109"/>
      <c r="QZV88" s="12"/>
      <c r="QZW88" s="109"/>
      <c r="QZX88" s="12"/>
      <c r="QZY88" s="109"/>
      <c r="QZZ88" s="12"/>
      <c r="RAA88" s="109"/>
      <c r="RAB88" s="12"/>
      <c r="RAC88" s="109"/>
      <c r="RAD88" s="12"/>
      <c r="RAE88" s="109"/>
      <c r="RAF88" s="12"/>
      <c r="RAG88" s="109"/>
      <c r="RAH88" s="12"/>
      <c r="RAI88" s="109"/>
      <c r="RAJ88" s="12"/>
      <c r="RAK88" s="109"/>
      <c r="RAL88" s="12"/>
      <c r="RAM88" s="109"/>
      <c r="RAN88" s="12"/>
      <c r="RAO88" s="109"/>
      <c r="RAP88" s="12"/>
      <c r="RAQ88" s="109"/>
      <c r="RAR88" s="12"/>
      <c r="RAS88" s="109"/>
      <c r="RAT88" s="12"/>
      <c r="RAU88" s="109"/>
      <c r="RAV88" s="12"/>
      <c r="RAW88" s="109"/>
      <c r="RAX88" s="12"/>
      <c r="RAY88" s="109"/>
      <c r="RAZ88" s="12"/>
      <c r="RBA88" s="109"/>
      <c r="RBB88" s="12"/>
      <c r="RBC88" s="109"/>
      <c r="RBD88" s="12"/>
      <c r="RBE88" s="109"/>
      <c r="RBF88" s="12"/>
      <c r="RBG88" s="109"/>
      <c r="RBH88" s="12"/>
      <c r="RBI88" s="109"/>
      <c r="RBJ88" s="12"/>
      <c r="RBK88" s="109"/>
      <c r="RBL88" s="12"/>
      <c r="RBM88" s="109"/>
      <c r="RBN88" s="12"/>
      <c r="RBO88" s="109"/>
      <c r="RBP88" s="12"/>
      <c r="RBQ88" s="109"/>
      <c r="RBR88" s="12"/>
      <c r="RBS88" s="109"/>
      <c r="RBT88" s="12"/>
      <c r="RBU88" s="109"/>
      <c r="RBV88" s="12"/>
      <c r="RBW88" s="109"/>
      <c r="RBX88" s="12"/>
      <c r="RBY88" s="109"/>
      <c r="RBZ88" s="12"/>
      <c r="RCA88" s="109"/>
      <c r="RCB88" s="12"/>
      <c r="RCC88" s="109"/>
      <c r="RCD88" s="12"/>
      <c r="RCE88" s="109"/>
      <c r="RCF88" s="12"/>
      <c r="RCG88" s="109"/>
      <c r="RCH88" s="12"/>
      <c r="RCI88" s="109"/>
      <c r="RCJ88" s="12"/>
      <c r="RCK88" s="109"/>
      <c r="RCL88" s="12"/>
      <c r="RCM88" s="109"/>
      <c r="RCN88" s="12"/>
      <c r="RCO88" s="109"/>
      <c r="RCP88" s="12"/>
      <c r="RCQ88" s="109"/>
      <c r="RCR88" s="12"/>
      <c r="RCS88" s="109"/>
      <c r="RCT88" s="12"/>
      <c r="RCU88" s="109"/>
      <c r="RCV88" s="12"/>
      <c r="RCW88" s="109"/>
      <c r="RCX88" s="12"/>
      <c r="RCY88" s="109"/>
      <c r="RCZ88" s="12"/>
      <c r="RDA88" s="109"/>
      <c r="RDB88" s="12"/>
      <c r="RDC88" s="109"/>
      <c r="RDD88" s="12"/>
      <c r="RDE88" s="109"/>
      <c r="RDF88" s="12"/>
      <c r="RDG88" s="109"/>
      <c r="RDH88" s="12"/>
      <c r="RDI88" s="109"/>
      <c r="RDJ88" s="12"/>
      <c r="RDK88" s="109"/>
      <c r="RDL88" s="12"/>
      <c r="RDM88" s="109"/>
      <c r="RDN88" s="12"/>
      <c r="RDO88" s="109"/>
      <c r="RDP88" s="12"/>
      <c r="RDQ88" s="109"/>
      <c r="RDR88" s="12"/>
      <c r="RDS88" s="109"/>
      <c r="RDT88" s="12"/>
      <c r="RDU88" s="109"/>
      <c r="RDV88" s="12"/>
      <c r="RDW88" s="109"/>
      <c r="RDX88" s="12"/>
      <c r="RDY88" s="109"/>
      <c r="RDZ88" s="12"/>
      <c r="REA88" s="109"/>
      <c r="REB88" s="12"/>
      <c r="REC88" s="109"/>
      <c r="RED88" s="12"/>
      <c r="REE88" s="109"/>
      <c r="REF88" s="12"/>
      <c r="REG88" s="109"/>
      <c r="REH88" s="12"/>
      <c r="REI88" s="109"/>
      <c r="REJ88" s="12"/>
      <c r="REK88" s="109"/>
      <c r="REL88" s="12"/>
      <c r="REM88" s="109"/>
      <c r="REN88" s="12"/>
      <c r="REO88" s="109"/>
      <c r="REP88" s="12"/>
      <c r="REQ88" s="109"/>
      <c r="RER88" s="12"/>
      <c r="RES88" s="109"/>
      <c r="RET88" s="12"/>
      <c r="REU88" s="109"/>
      <c r="REV88" s="12"/>
      <c r="REW88" s="109"/>
      <c r="REX88" s="12"/>
      <c r="REY88" s="109"/>
      <c r="REZ88" s="12"/>
      <c r="RFA88" s="109"/>
      <c r="RFB88" s="12"/>
      <c r="RFC88" s="109"/>
      <c r="RFD88" s="12"/>
      <c r="RFE88" s="109"/>
      <c r="RFF88" s="12"/>
      <c r="RFG88" s="109"/>
      <c r="RFH88" s="12"/>
      <c r="RFI88" s="109"/>
      <c r="RFJ88" s="12"/>
      <c r="RFK88" s="109"/>
      <c r="RFL88" s="12"/>
      <c r="RFM88" s="109"/>
      <c r="RFN88" s="12"/>
      <c r="RFO88" s="109"/>
      <c r="RFP88" s="12"/>
      <c r="RFQ88" s="109"/>
      <c r="RFR88" s="12"/>
      <c r="RFS88" s="109"/>
      <c r="RFT88" s="12"/>
      <c r="RFU88" s="109"/>
      <c r="RFV88" s="12"/>
      <c r="RFW88" s="109"/>
      <c r="RFX88" s="12"/>
      <c r="RFY88" s="109"/>
      <c r="RFZ88" s="12"/>
      <c r="RGA88" s="109"/>
      <c r="RGB88" s="12"/>
      <c r="RGC88" s="109"/>
      <c r="RGD88" s="12"/>
      <c r="RGE88" s="109"/>
      <c r="RGF88" s="12"/>
      <c r="RGG88" s="109"/>
      <c r="RGH88" s="12"/>
      <c r="RGI88" s="109"/>
      <c r="RGJ88" s="12"/>
      <c r="RGK88" s="109"/>
      <c r="RGL88" s="12"/>
      <c r="RGM88" s="109"/>
      <c r="RGN88" s="12"/>
      <c r="RGO88" s="109"/>
      <c r="RGP88" s="12"/>
      <c r="RGQ88" s="109"/>
      <c r="RGR88" s="12"/>
      <c r="RGS88" s="109"/>
      <c r="RGT88" s="12"/>
      <c r="RGU88" s="109"/>
      <c r="RGV88" s="12"/>
      <c r="RGW88" s="109"/>
      <c r="RGX88" s="12"/>
      <c r="RGY88" s="109"/>
      <c r="RGZ88" s="12"/>
      <c r="RHA88" s="109"/>
      <c r="RHB88" s="12"/>
      <c r="RHC88" s="109"/>
      <c r="RHD88" s="12"/>
      <c r="RHE88" s="109"/>
      <c r="RHF88" s="12"/>
      <c r="RHG88" s="109"/>
      <c r="RHH88" s="12"/>
      <c r="RHI88" s="109"/>
      <c r="RHJ88" s="12"/>
      <c r="RHK88" s="109"/>
      <c r="RHL88" s="12"/>
      <c r="RHM88" s="109"/>
      <c r="RHN88" s="12"/>
      <c r="RHO88" s="109"/>
      <c r="RHP88" s="12"/>
      <c r="RHQ88" s="109"/>
      <c r="RHR88" s="12"/>
      <c r="RHS88" s="109"/>
      <c r="RHT88" s="12"/>
      <c r="RHU88" s="109"/>
      <c r="RHV88" s="12"/>
      <c r="RHW88" s="109"/>
      <c r="RHX88" s="12"/>
      <c r="RHY88" s="109"/>
      <c r="RHZ88" s="12"/>
      <c r="RIA88" s="109"/>
      <c r="RIB88" s="12"/>
      <c r="RIC88" s="109"/>
      <c r="RID88" s="12"/>
      <c r="RIE88" s="109"/>
      <c r="RIF88" s="12"/>
      <c r="RIG88" s="109"/>
      <c r="RIH88" s="12"/>
      <c r="RII88" s="109"/>
      <c r="RIJ88" s="12"/>
      <c r="RIK88" s="109"/>
      <c r="RIL88" s="12"/>
      <c r="RIM88" s="109"/>
      <c r="RIN88" s="12"/>
      <c r="RIO88" s="109"/>
      <c r="RIP88" s="12"/>
      <c r="RIQ88" s="109"/>
      <c r="RIR88" s="12"/>
      <c r="RIS88" s="109"/>
      <c r="RIT88" s="12"/>
      <c r="RIU88" s="109"/>
      <c r="RIV88" s="12"/>
      <c r="RIW88" s="109"/>
      <c r="RIX88" s="12"/>
      <c r="RIY88" s="109"/>
      <c r="RIZ88" s="12"/>
      <c r="RJA88" s="109"/>
      <c r="RJB88" s="12"/>
      <c r="RJC88" s="109"/>
      <c r="RJD88" s="12"/>
      <c r="RJE88" s="109"/>
      <c r="RJF88" s="12"/>
      <c r="RJG88" s="109"/>
      <c r="RJH88" s="12"/>
      <c r="RJI88" s="109"/>
      <c r="RJJ88" s="12"/>
      <c r="RJK88" s="109"/>
      <c r="RJL88" s="12"/>
      <c r="RJM88" s="109"/>
      <c r="RJN88" s="12"/>
      <c r="RJO88" s="109"/>
      <c r="RJP88" s="12"/>
      <c r="RJQ88" s="109"/>
      <c r="RJR88" s="12"/>
      <c r="RJS88" s="109"/>
      <c r="RJT88" s="12"/>
      <c r="RJU88" s="109"/>
      <c r="RJV88" s="12"/>
      <c r="RJW88" s="109"/>
      <c r="RJX88" s="12"/>
      <c r="RJY88" s="109"/>
      <c r="RJZ88" s="12"/>
      <c r="RKA88" s="109"/>
      <c r="RKB88" s="12"/>
      <c r="RKC88" s="109"/>
      <c r="RKD88" s="12"/>
      <c r="RKE88" s="109"/>
      <c r="RKF88" s="12"/>
      <c r="RKG88" s="109"/>
      <c r="RKH88" s="12"/>
      <c r="RKI88" s="109"/>
      <c r="RKJ88" s="12"/>
      <c r="RKK88" s="109"/>
      <c r="RKL88" s="12"/>
      <c r="RKM88" s="109"/>
      <c r="RKN88" s="12"/>
      <c r="RKO88" s="109"/>
      <c r="RKP88" s="12"/>
      <c r="RKQ88" s="109"/>
      <c r="RKR88" s="12"/>
      <c r="RKS88" s="109"/>
      <c r="RKT88" s="12"/>
      <c r="RKU88" s="109"/>
      <c r="RKV88" s="12"/>
      <c r="RKW88" s="109"/>
      <c r="RKX88" s="12"/>
      <c r="RKY88" s="109"/>
      <c r="RKZ88" s="12"/>
      <c r="RLA88" s="109"/>
      <c r="RLB88" s="12"/>
      <c r="RLC88" s="109"/>
      <c r="RLD88" s="12"/>
      <c r="RLE88" s="109"/>
      <c r="RLF88" s="12"/>
      <c r="RLG88" s="109"/>
      <c r="RLH88" s="12"/>
      <c r="RLI88" s="109"/>
      <c r="RLJ88" s="12"/>
      <c r="RLK88" s="109"/>
      <c r="RLL88" s="12"/>
      <c r="RLM88" s="109"/>
      <c r="RLN88" s="12"/>
      <c r="RLO88" s="109"/>
      <c r="RLP88" s="12"/>
      <c r="RLQ88" s="109"/>
      <c r="RLR88" s="12"/>
      <c r="RLS88" s="109"/>
      <c r="RLT88" s="12"/>
      <c r="RLU88" s="109"/>
      <c r="RLV88" s="12"/>
      <c r="RLW88" s="109"/>
      <c r="RLX88" s="12"/>
      <c r="RLY88" s="109"/>
      <c r="RLZ88" s="12"/>
      <c r="RMA88" s="109"/>
      <c r="RMB88" s="12"/>
      <c r="RMC88" s="109"/>
      <c r="RMD88" s="12"/>
      <c r="RME88" s="109"/>
      <c r="RMF88" s="12"/>
      <c r="RMG88" s="109"/>
      <c r="RMH88" s="12"/>
      <c r="RMI88" s="109"/>
      <c r="RMJ88" s="12"/>
      <c r="RMK88" s="109"/>
      <c r="RML88" s="12"/>
      <c r="RMM88" s="109"/>
      <c r="RMN88" s="12"/>
      <c r="RMO88" s="109"/>
      <c r="RMP88" s="12"/>
      <c r="RMQ88" s="109"/>
      <c r="RMR88" s="12"/>
      <c r="RMS88" s="109"/>
      <c r="RMT88" s="12"/>
      <c r="RMU88" s="109"/>
      <c r="RMV88" s="12"/>
      <c r="RMW88" s="109"/>
      <c r="RMX88" s="12"/>
      <c r="RMY88" s="109"/>
      <c r="RMZ88" s="12"/>
      <c r="RNA88" s="109"/>
      <c r="RNB88" s="12"/>
      <c r="RNC88" s="109"/>
      <c r="RND88" s="12"/>
      <c r="RNE88" s="109"/>
      <c r="RNF88" s="12"/>
      <c r="RNG88" s="109"/>
      <c r="RNH88" s="12"/>
      <c r="RNI88" s="109"/>
      <c r="RNJ88" s="12"/>
      <c r="RNK88" s="109"/>
      <c r="RNL88" s="12"/>
      <c r="RNM88" s="109"/>
      <c r="RNN88" s="12"/>
      <c r="RNO88" s="109"/>
      <c r="RNP88" s="12"/>
      <c r="RNQ88" s="109"/>
      <c r="RNR88" s="12"/>
      <c r="RNS88" s="109"/>
      <c r="RNT88" s="12"/>
      <c r="RNU88" s="109"/>
      <c r="RNV88" s="12"/>
      <c r="RNW88" s="109"/>
      <c r="RNX88" s="12"/>
      <c r="RNY88" s="109"/>
      <c r="RNZ88" s="12"/>
      <c r="ROA88" s="109"/>
      <c r="ROB88" s="12"/>
      <c r="ROC88" s="109"/>
      <c r="ROD88" s="12"/>
      <c r="ROE88" s="109"/>
      <c r="ROF88" s="12"/>
      <c r="ROG88" s="109"/>
      <c r="ROH88" s="12"/>
      <c r="ROI88" s="109"/>
      <c r="ROJ88" s="12"/>
      <c r="ROK88" s="109"/>
      <c r="ROL88" s="12"/>
      <c r="ROM88" s="109"/>
      <c r="RON88" s="12"/>
      <c r="ROO88" s="109"/>
      <c r="ROP88" s="12"/>
      <c r="ROQ88" s="109"/>
      <c r="ROR88" s="12"/>
      <c r="ROS88" s="109"/>
      <c r="ROT88" s="12"/>
      <c r="ROU88" s="109"/>
      <c r="ROV88" s="12"/>
      <c r="ROW88" s="109"/>
      <c r="ROX88" s="12"/>
      <c r="ROY88" s="109"/>
      <c r="ROZ88" s="12"/>
      <c r="RPA88" s="109"/>
      <c r="RPB88" s="12"/>
      <c r="RPC88" s="109"/>
      <c r="RPD88" s="12"/>
      <c r="RPE88" s="109"/>
      <c r="RPF88" s="12"/>
      <c r="RPG88" s="109"/>
      <c r="RPH88" s="12"/>
      <c r="RPI88" s="109"/>
      <c r="RPJ88" s="12"/>
      <c r="RPK88" s="109"/>
      <c r="RPL88" s="12"/>
      <c r="RPM88" s="109"/>
      <c r="RPN88" s="12"/>
      <c r="RPO88" s="109"/>
      <c r="RPP88" s="12"/>
      <c r="RPQ88" s="109"/>
      <c r="RPR88" s="12"/>
      <c r="RPS88" s="109"/>
      <c r="RPT88" s="12"/>
      <c r="RPU88" s="109"/>
      <c r="RPV88" s="12"/>
      <c r="RPW88" s="109"/>
      <c r="RPX88" s="12"/>
      <c r="RPY88" s="109"/>
      <c r="RPZ88" s="12"/>
      <c r="RQA88" s="109"/>
      <c r="RQB88" s="12"/>
      <c r="RQC88" s="109"/>
      <c r="RQD88" s="12"/>
      <c r="RQE88" s="109"/>
      <c r="RQF88" s="12"/>
      <c r="RQG88" s="109"/>
      <c r="RQH88" s="12"/>
      <c r="RQI88" s="109"/>
      <c r="RQJ88" s="12"/>
      <c r="RQK88" s="109"/>
      <c r="RQL88" s="12"/>
      <c r="RQM88" s="109"/>
      <c r="RQN88" s="12"/>
      <c r="RQO88" s="109"/>
      <c r="RQP88" s="12"/>
      <c r="RQQ88" s="109"/>
      <c r="RQR88" s="12"/>
      <c r="RQS88" s="109"/>
      <c r="RQT88" s="12"/>
      <c r="RQU88" s="109"/>
      <c r="RQV88" s="12"/>
      <c r="RQW88" s="109"/>
      <c r="RQX88" s="12"/>
      <c r="RQY88" s="109"/>
      <c r="RQZ88" s="12"/>
      <c r="RRA88" s="109"/>
      <c r="RRB88" s="12"/>
      <c r="RRC88" s="109"/>
      <c r="RRD88" s="12"/>
      <c r="RRE88" s="109"/>
      <c r="RRF88" s="12"/>
      <c r="RRG88" s="109"/>
      <c r="RRH88" s="12"/>
      <c r="RRI88" s="109"/>
      <c r="RRJ88" s="12"/>
      <c r="RRK88" s="109"/>
      <c r="RRL88" s="12"/>
      <c r="RRM88" s="109"/>
      <c r="RRN88" s="12"/>
      <c r="RRO88" s="109"/>
      <c r="RRP88" s="12"/>
      <c r="RRQ88" s="109"/>
      <c r="RRR88" s="12"/>
      <c r="RRS88" s="109"/>
      <c r="RRT88" s="12"/>
      <c r="RRU88" s="109"/>
      <c r="RRV88" s="12"/>
      <c r="RRW88" s="109"/>
      <c r="RRX88" s="12"/>
      <c r="RRY88" s="109"/>
      <c r="RRZ88" s="12"/>
      <c r="RSA88" s="109"/>
      <c r="RSB88" s="12"/>
      <c r="RSC88" s="109"/>
      <c r="RSD88" s="12"/>
      <c r="RSE88" s="109"/>
      <c r="RSF88" s="12"/>
      <c r="RSG88" s="109"/>
      <c r="RSH88" s="12"/>
      <c r="RSI88" s="109"/>
      <c r="RSJ88" s="12"/>
      <c r="RSK88" s="109"/>
      <c r="RSL88" s="12"/>
      <c r="RSM88" s="109"/>
      <c r="RSN88" s="12"/>
      <c r="RSO88" s="109"/>
      <c r="RSP88" s="12"/>
      <c r="RSQ88" s="109"/>
      <c r="RSR88" s="12"/>
      <c r="RSS88" s="109"/>
      <c r="RST88" s="12"/>
      <c r="RSU88" s="109"/>
      <c r="RSV88" s="12"/>
      <c r="RSW88" s="109"/>
      <c r="RSX88" s="12"/>
      <c r="RSY88" s="109"/>
      <c r="RSZ88" s="12"/>
      <c r="RTA88" s="109"/>
      <c r="RTB88" s="12"/>
      <c r="RTC88" s="109"/>
      <c r="RTD88" s="12"/>
      <c r="RTE88" s="109"/>
      <c r="RTF88" s="12"/>
      <c r="RTG88" s="109"/>
      <c r="RTH88" s="12"/>
      <c r="RTI88" s="109"/>
      <c r="RTJ88" s="12"/>
      <c r="RTK88" s="109"/>
      <c r="RTL88" s="12"/>
      <c r="RTM88" s="109"/>
      <c r="RTN88" s="12"/>
      <c r="RTO88" s="109"/>
      <c r="RTP88" s="12"/>
      <c r="RTQ88" s="109"/>
      <c r="RTR88" s="12"/>
      <c r="RTS88" s="109"/>
      <c r="RTT88" s="12"/>
      <c r="RTU88" s="109"/>
      <c r="RTV88" s="12"/>
      <c r="RTW88" s="109"/>
      <c r="RTX88" s="12"/>
      <c r="RTY88" s="109"/>
      <c r="RTZ88" s="12"/>
      <c r="RUA88" s="109"/>
      <c r="RUB88" s="12"/>
      <c r="RUC88" s="109"/>
      <c r="RUD88" s="12"/>
      <c r="RUE88" s="109"/>
      <c r="RUF88" s="12"/>
      <c r="RUG88" s="109"/>
      <c r="RUH88" s="12"/>
      <c r="RUI88" s="109"/>
      <c r="RUJ88" s="12"/>
      <c r="RUK88" s="109"/>
      <c r="RUL88" s="12"/>
      <c r="RUM88" s="109"/>
      <c r="RUN88" s="12"/>
      <c r="RUO88" s="109"/>
      <c r="RUP88" s="12"/>
      <c r="RUQ88" s="109"/>
      <c r="RUR88" s="12"/>
      <c r="RUS88" s="109"/>
      <c r="RUT88" s="12"/>
      <c r="RUU88" s="109"/>
      <c r="RUV88" s="12"/>
      <c r="RUW88" s="109"/>
      <c r="RUX88" s="12"/>
      <c r="RUY88" s="109"/>
      <c r="RUZ88" s="12"/>
      <c r="RVA88" s="109"/>
      <c r="RVB88" s="12"/>
      <c r="RVC88" s="109"/>
      <c r="RVD88" s="12"/>
      <c r="RVE88" s="109"/>
      <c r="RVF88" s="12"/>
      <c r="RVG88" s="109"/>
      <c r="RVH88" s="12"/>
      <c r="RVI88" s="109"/>
      <c r="RVJ88" s="12"/>
      <c r="RVK88" s="109"/>
      <c r="RVL88" s="12"/>
      <c r="RVM88" s="109"/>
      <c r="RVN88" s="12"/>
      <c r="RVO88" s="109"/>
      <c r="RVP88" s="12"/>
      <c r="RVQ88" s="109"/>
      <c r="RVR88" s="12"/>
      <c r="RVS88" s="109"/>
      <c r="RVT88" s="12"/>
      <c r="RVU88" s="109"/>
      <c r="RVV88" s="12"/>
      <c r="RVW88" s="109"/>
      <c r="RVX88" s="12"/>
      <c r="RVY88" s="109"/>
      <c r="RVZ88" s="12"/>
      <c r="RWA88" s="109"/>
      <c r="RWB88" s="12"/>
      <c r="RWC88" s="109"/>
      <c r="RWD88" s="12"/>
      <c r="RWE88" s="109"/>
      <c r="RWF88" s="12"/>
      <c r="RWG88" s="109"/>
      <c r="RWH88" s="12"/>
      <c r="RWI88" s="109"/>
      <c r="RWJ88" s="12"/>
      <c r="RWK88" s="109"/>
      <c r="RWL88" s="12"/>
      <c r="RWM88" s="109"/>
      <c r="RWN88" s="12"/>
      <c r="RWO88" s="109"/>
      <c r="RWP88" s="12"/>
      <c r="RWQ88" s="109"/>
      <c r="RWR88" s="12"/>
      <c r="RWS88" s="109"/>
      <c r="RWT88" s="12"/>
      <c r="RWU88" s="109"/>
      <c r="RWV88" s="12"/>
      <c r="RWW88" s="109"/>
      <c r="RWX88" s="12"/>
      <c r="RWY88" s="109"/>
      <c r="RWZ88" s="12"/>
      <c r="RXA88" s="109"/>
      <c r="RXB88" s="12"/>
      <c r="RXC88" s="109"/>
      <c r="RXD88" s="12"/>
      <c r="RXE88" s="109"/>
      <c r="RXF88" s="12"/>
      <c r="RXG88" s="109"/>
      <c r="RXH88" s="12"/>
      <c r="RXI88" s="109"/>
      <c r="RXJ88" s="12"/>
      <c r="RXK88" s="109"/>
      <c r="RXL88" s="12"/>
      <c r="RXM88" s="109"/>
      <c r="RXN88" s="12"/>
      <c r="RXO88" s="109"/>
      <c r="RXP88" s="12"/>
      <c r="RXQ88" s="109"/>
      <c r="RXR88" s="12"/>
      <c r="RXS88" s="109"/>
      <c r="RXT88" s="12"/>
      <c r="RXU88" s="109"/>
      <c r="RXV88" s="12"/>
      <c r="RXW88" s="109"/>
      <c r="RXX88" s="12"/>
      <c r="RXY88" s="109"/>
      <c r="RXZ88" s="12"/>
      <c r="RYA88" s="109"/>
      <c r="RYB88" s="12"/>
      <c r="RYC88" s="109"/>
      <c r="RYD88" s="12"/>
      <c r="RYE88" s="109"/>
      <c r="RYF88" s="12"/>
      <c r="RYG88" s="109"/>
      <c r="RYH88" s="12"/>
      <c r="RYI88" s="109"/>
      <c r="RYJ88" s="12"/>
      <c r="RYK88" s="109"/>
      <c r="RYL88" s="12"/>
      <c r="RYM88" s="109"/>
      <c r="RYN88" s="12"/>
      <c r="RYO88" s="109"/>
      <c r="RYP88" s="12"/>
      <c r="RYQ88" s="109"/>
      <c r="RYR88" s="12"/>
      <c r="RYS88" s="109"/>
      <c r="RYT88" s="12"/>
      <c r="RYU88" s="109"/>
      <c r="RYV88" s="12"/>
      <c r="RYW88" s="109"/>
      <c r="RYX88" s="12"/>
      <c r="RYY88" s="109"/>
      <c r="RYZ88" s="12"/>
      <c r="RZA88" s="109"/>
      <c r="RZB88" s="12"/>
      <c r="RZC88" s="109"/>
      <c r="RZD88" s="12"/>
      <c r="RZE88" s="109"/>
      <c r="RZF88" s="12"/>
      <c r="RZG88" s="109"/>
      <c r="RZH88" s="12"/>
      <c r="RZI88" s="109"/>
      <c r="RZJ88" s="12"/>
      <c r="RZK88" s="109"/>
      <c r="RZL88" s="12"/>
      <c r="RZM88" s="109"/>
      <c r="RZN88" s="12"/>
      <c r="RZO88" s="109"/>
      <c r="RZP88" s="12"/>
      <c r="RZQ88" s="109"/>
      <c r="RZR88" s="12"/>
      <c r="RZS88" s="109"/>
      <c r="RZT88" s="12"/>
      <c r="RZU88" s="109"/>
      <c r="RZV88" s="12"/>
      <c r="RZW88" s="109"/>
      <c r="RZX88" s="12"/>
      <c r="RZY88" s="109"/>
      <c r="RZZ88" s="12"/>
      <c r="SAA88" s="109"/>
      <c r="SAB88" s="12"/>
      <c r="SAC88" s="109"/>
      <c r="SAD88" s="12"/>
      <c r="SAE88" s="109"/>
      <c r="SAF88" s="12"/>
      <c r="SAG88" s="109"/>
      <c r="SAH88" s="12"/>
      <c r="SAI88" s="109"/>
      <c r="SAJ88" s="12"/>
      <c r="SAK88" s="109"/>
      <c r="SAL88" s="12"/>
      <c r="SAM88" s="109"/>
      <c r="SAN88" s="12"/>
      <c r="SAO88" s="109"/>
      <c r="SAP88" s="12"/>
      <c r="SAQ88" s="109"/>
      <c r="SAR88" s="12"/>
      <c r="SAS88" s="109"/>
      <c r="SAT88" s="12"/>
      <c r="SAU88" s="109"/>
      <c r="SAV88" s="12"/>
      <c r="SAW88" s="109"/>
      <c r="SAX88" s="12"/>
      <c r="SAY88" s="109"/>
      <c r="SAZ88" s="12"/>
      <c r="SBA88" s="109"/>
      <c r="SBB88" s="12"/>
      <c r="SBC88" s="109"/>
      <c r="SBD88" s="12"/>
      <c r="SBE88" s="109"/>
      <c r="SBF88" s="12"/>
      <c r="SBG88" s="109"/>
      <c r="SBH88" s="12"/>
      <c r="SBI88" s="109"/>
      <c r="SBJ88" s="12"/>
      <c r="SBK88" s="109"/>
      <c r="SBL88" s="12"/>
      <c r="SBM88" s="109"/>
      <c r="SBN88" s="12"/>
      <c r="SBO88" s="109"/>
      <c r="SBP88" s="12"/>
      <c r="SBQ88" s="109"/>
      <c r="SBR88" s="12"/>
      <c r="SBS88" s="109"/>
      <c r="SBT88" s="12"/>
      <c r="SBU88" s="109"/>
      <c r="SBV88" s="12"/>
      <c r="SBW88" s="109"/>
      <c r="SBX88" s="12"/>
      <c r="SBY88" s="109"/>
      <c r="SBZ88" s="12"/>
      <c r="SCA88" s="109"/>
      <c r="SCB88" s="12"/>
      <c r="SCC88" s="109"/>
      <c r="SCD88" s="12"/>
      <c r="SCE88" s="109"/>
      <c r="SCF88" s="12"/>
      <c r="SCG88" s="109"/>
      <c r="SCH88" s="12"/>
      <c r="SCI88" s="109"/>
      <c r="SCJ88" s="12"/>
      <c r="SCK88" s="109"/>
      <c r="SCL88" s="12"/>
      <c r="SCM88" s="109"/>
      <c r="SCN88" s="12"/>
      <c r="SCO88" s="109"/>
      <c r="SCP88" s="12"/>
      <c r="SCQ88" s="109"/>
      <c r="SCR88" s="12"/>
      <c r="SCS88" s="109"/>
      <c r="SCT88" s="12"/>
      <c r="SCU88" s="109"/>
      <c r="SCV88" s="12"/>
      <c r="SCW88" s="109"/>
      <c r="SCX88" s="12"/>
      <c r="SCY88" s="109"/>
      <c r="SCZ88" s="12"/>
      <c r="SDA88" s="109"/>
      <c r="SDB88" s="12"/>
      <c r="SDC88" s="109"/>
      <c r="SDD88" s="12"/>
      <c r="SDE88" s="109"/>
      <c r="SDF88" s="12"/>
      <c r="SDG88" s="109"/>
      <c r="SDH88" s="12"/>
      <c r="SDI88" s="109"/>
      <c r="SDJ88" s="12"/>
      <c r="SDK88" s="109"/>
      <c r="SDL88" s="12"/>
      <c r="SDM88" s="109"/>
      <c r="SDN88" s="12"/>
      <c r="SDO88" s="109"/>
      <c r="SDP88" s="12"/>
      <c r="SDQ88" s="109"/>
      <c r="SDR88" s="12"/>
      <c r="SDS88" s="109"/>
      <c r="SDT88" s="12"/>
      <c r="SDU88" s="109"/>
      <c r="SDV88" s="12"/>
      <c r="SDW88" s="109"/>
      <c r="SDX88" s="12"/>
      <c r="SDY88" s="109"/>
      <c r="SDZ88" s="12"/>
      <c r="SEA88" s="109"/>
      <c r="SEB88" s="12"/>
      <c r="SEC88" s="109"/>
      <c r="SED88" s="12"/>
      <c r="SEE88" s="109"/>
      <c r="SEF88" s="12"/>
      <c r="SEG88" s="109"/>
      <c r="SEH88" s="12"/>
      <c r="SEI88" s="109"/>
      <c r="SEJ88" s="12"/>
      <c r="SEK88" s="109"/>
      <c r="SEL88" s="12"/>
      <c r="SEM88" s="109"/>
      <c r="SEN88" s="12"/>
      <c r="SEO88" s="109"/>
      <c r="SEP88" s="12"/>
      <c r="SEQ88" s="109"/>
      <c r="SER88" s="12"/>
      <c r="SES88" s="109"/>
      <c r="SET88" s="12"/>
      <c r="SEU88" s="109"/>
      <c r="SEV88" s="12"/>
      <c r="SEW88" s="109"/>
      <c r="SEX88" s="12"/>
      <c r="SEY88" s="109"/>
      <c r="SEZ88" s="12"/>
      <c r="SFA88" s="109"/>
      <c r="SFB88" s="12"/>
      <c r="SFC88" s="109"/>
      <c r="SFD88" s="12"/>
      <c r="SFE88" s="109"/>
      <c r="SFF88" s="12"/>
      <c r="SFG88" s="109"/>
      <c r="SFH88" s="12"/>
      <c r="SFI88" s="109"/>
      <c r="SFJ88" s="12"/>
      <c r="SFK88" s="109"/>
      <c r="SFL88" s="12"/>
      <c r="SFM88" s="109"/>
      <c r="SFN88" s="12"/>
      <c r="SFO88" s="109"/>
      <c r="SFP88" s="12"/>
      <c r="SFQ88" s="109"/>
      <c r="SFR88" s="12"/>
      <c r="SFS88" s="109"/>
      <c r="SFT88" s="12"/>
      <c r="SFU88" s="109"/>
      <c r="SFV88" s="12"/>
      <c r="SFW88" s="109"/>
      <c r="SFX88" s="12"/>
      <c r="SFY88" s="109"/>
      <c r="SFZ88" s="12"/>
      <c r="SGA88" s="109"/>
      <c r="SGB88" s="12"/>
      <c r="SGC88" s="109"/>
      <c r="SGD88" s="12"/>
      <c r="SGE88" s="109"/>
      <c r="SGF88" s="12"/>
      <c r="SGG88" s="109"/>
      <c r="SGH88" s="12"/>
      <c r="SGI88" s="109"/>
      <c r="SGJ88" s="12"/>
      <c r="SGK88" s="109"/>
      <c r="SGL88" s="12"/>
      <c r="SGM88" s="109"/>
      <c r="SGN88" s="12"/>
      <c r="SGO88" s="109"/>
      <c r="SGP88" s="12"/>
      <c r="SGQ88" s="109"/>
      <c r="SGR88" s="12"/>
      <c r="SGS88" s="109"/>
      <c r="SGT88" s="12"/>
      <c r="SGU88" s="109"/>
      <c r="SGV88" s="12"/>
      <c r="SGW88" s="109"/>
      <c r="SGX88" s="12"/>
      <c r="SGY88" s="109"/>
      <c r="SGZ88" s="12"/>
      <c r="SHA88" s="109"/>
      <c r="SHB88" s="12"/>
      <c r="SHC88" s="109"/>
      <c r="SHD88" s="12"/>
      <c r="SHE88" s="109"/>
      <c r="SHF88" s="12"/>
      <c r="SHG88" s="109"/>
      <c r="SHH88" s="12"/>
      <c r="SHI88" s="109"/>
      <c r="SHJ88" s="12"/>
      <c r="SHK88" s="109"/>
      <c r="SHL88" s="12"/>
      <c r="SHM88" s="109"/>
      <c r="SHN88" s="12"/>
      <c r="SHO88" s="109"/>
      <c r="SHP88" s="12"/>
      <c r="SHQ88" s="109"/>
      <c r="SHR88" s="12"/>
      <c r="SHS88" s="109"/>
      <c r="SHT88" s="12"/>
      <c r="SHU88" s="109"/>
      <c r="SHV88" s="12"/>
      <c r="SHW88" s="109"/>
      <c r="SHX88" s="12"/>
      <c r="SHY88" s="109"/>
      <c r="SHZ88" s="12"/>
      <c r="SIA88" s="109"/>
      <c r="SIB88" s="12"/>
      <c r="SIC88" s="109"/>
      <c r="SID88" s="12"/>
      <c r="SIE88" s="109"/>
      <c r="SIF88" s="12"/>
      <c r="SIG88" s="109"/>
      <c r="SIH88" s="12"/>
      <c r="SII88" s="109"/>
      <c r="SIJ88" s="12"/>
      <c r="SIK88" s="109"/>
      <c r="SIL88" s="12"/>
      <c r="SIM88" s="109"/>
      <c r="SIN88" s="12"/>
      <c r="SIO88" s="109"/>
      <c r="SIP88" s="12"/>
      <c r="SIQ88" s="109"/>
      <c r="SIR88" s="12"/>
      <c r="SIS88" s="109"/>
      <c r="SIT88" s="12"/>
      <c r="SIU88" s="109"/>
      <c r="SIV88" s="12"/>
      <c r="SIW88" s="109"/>
      <c r="SIX88" s="12"/>
      <c r="SIY88" s="109"/>
      <c r="SIZ88" s="12"/>
      <c r="SJA88" s="109"/>
      <c r="SJB88" s="12"/>
      <c r="SJC88" s="109"/>
      <c r="SJD88" s="12"/>
      <c r="SJE88" s="109"/>
      <c r="SJF88" s="12"/>
      <c r="SJG88" s="109"/>
      <c r="SJH88" s="12"/>
      <c r="SJI88" s="109"/>
      <c r="SJJ88" s="12"/>
      <c r="SJK88" s="109"/>
      <c r="SJL88" s="12"/>
      <c r="SJM88" s="109"/>
      <c r="SJN88" s="12"/>
      <c r="SJO88" s="109"/>
      <c r="SJP88" s="12"/>
      <c r="SJQ88" s="109"/>
      <c r="SJR88" s="12"/>
      <c r="SJS88" s="109"/>
      <c r="SJT88" s="12"/>
      <c r="SJU88" s="109"/>
      <c r="SJV88" s="12"/>
      <c r="SJW88" s="109"/>
      <c r="SJX88" s="12"/>
      <c r="SJY88" s="109"/>
      <c r="SJZ88" s="12"/>
      <c r="SKA88" s="109"/>
      <c r="SKB88" s="12"/>
      <c r="SKC88" s="109"/>
      <c r="SKD88" s="12"/>
      <c r="SKE88" s="109"/>
      <c r="SKF88" s="12"/>
      <c r="SKG88" s="109"/>
      <c r="SKH88" s="12"/>
      <c r="SKI88" s="109"/>
      <c r="SKJ88" s="12"/>
      <c r="SKK88" s="109"/>
      <c r="SKL88" s="12"/>
      <c r="SKM88" s="109"/>
      <c r="SKN88" s="12"/>
      <c r="SKO88" s="109"/>
      <c r="SKP88" s="12"/>
      <c r="SKQ88" s="109"/>
      <c r="SKR88" s="12"/>
      <c r="SKS88" s="109"/>
      <c r="SKT88" s="12"/>
      <c r="SKU88" s="109"/>
      <c r="SKV88" s="12"/>
      <c r="SKW88" s="109"/>
      <c r="SKX88" s="12"/>
      <c r="SKY88" s="109"/>
      <c r="SKZ88" s="12"/>
      <c r="SLA88" s="109"/>
      <c r="SLB88" s="12"/>
      <c r="SLC88" s="109"/>
      <c r="SLD88" s="12"/>
      <c r="SLE88" s="109"/>
      <c r="SLF88" s="12"/>
      <c r="SLG88" s="109"/>
      <c r="SLH88" s="12"/>
      <c r="SLI88" s="109"/>
      <c r="SLJ88" s="12"/>
      <c r="SLK88" s="109"/>
      <c r="SLL88" s="12"/>
      <c r="SLM88" s="109"/>
      <c r="SLN88" s="12"/>
      <c r="SLO88" s="109"/>
      <c r="SLP88" s="12"/>
      <c r="SLQ88" s="109"/>
      <c r="SLR88" s="12"/>
      <c r="SLS88" s="109"/>
      <c r="SLT88" s="12"/>
      <c r="SLU88" s="109"/>
      <c r="SLV88" s="12"/>
      <c r="SLW88" s="109"/>
      <c r="SLX88" s="12"/>
      <c r="SLY88" s="109"/>
      <c r="SLZ88" s="12"/>
      <c r="SMA88" s="109"/>
      <c r="SMB88" s="12"/>
      <c r="SMC88" s="109"/>
      <c r="SMD88" s="12"/>
      <c r="SME88" s="109"/>
      <c r="SMF88" s="12"/>
      <c r="SMG88" s="109"/>
      <c r="SMH88" s="12"/>
      <c r="SMI88" s="109"/>
      <c r="SMJ88" s="12"/>
      <c r="SMK88" s="109"/>
      <c r="SML88" s="12"/>
      <c r="SMM88" s="109"/>
      <c r="SMN88" s="12"/>
      <c r="SMO88" s="109"/>
      <c r="SMP88" s="12"/>
      <c r="SMQ88" s="109"/>
      <c r="SMR88" s="12"/>
      <c r="SMS88" s="109"/>
      <c r="SMT88" s="12"/>
      <c r="SMU88" s="109"/>
      <c r="SMV88" s="12"/>
      <c r="SMW88" s="109"/>
      <c r="SMX88" s="12"/>
      <c r="SMY88" s="109"/>
      <c r="SMZ88" s="12"/>
      <c r="SNA88" s="109"/>
      <c r="SNB88" s="12"/>
      <c r="SNC88" s="109"/>
      <c r="SND88" s="12"/>
      <c r="SNE88" s="109"/>
      <c r="SNF88" s="12"/>
      <c r="SNG88" s="109"/>
      <c r="SNH88" s="12"/>
      <c r="SNI88" s="109"/>
      <c r="SNJ88" s="12"/>
      <c r="SNK88" s="109"/>
      <c r="SNL88" s="12"/>
      <c r="SNM88" s="109"/>
      <c r="SNN88" s="12"/>
      <c r="SNO88" s="109"/>
      <c r="SNP88" s="12"/>
      <c r="SNQ88" s="109"/>
      <c r="SNR88" s="12"/>
      <c r="SNS88" s="109"/>
      <c r="SNT88" s="12"/>
      <c r="SNU88" s="109"/>
      <c r="SNV88" s="12"/>
      <c r="SNW88" s="109"/>
      <c r="SNX88" s="12"/>
      <c r="SNY88" s="109"/>
      <c r="SNZ88" s="12"/>
      <c r="SOA88" s="109"/>
      <c r="SOB88" s="12"/>
      <c r="SOC88" s="109"/>
      <c r="SOD88" s="12"/>
      <c r="SOE88" s="109"/>
      <c r="SOF88" s="12"/>
      <c r="SOG88" s="109"/>
      <c r="SOH88" s="12"/>
      <c r="SOI88" s="109"/>
      <c r="SOJ88" s="12"/>
      <c r="SOK88" s="109"/>
      <c r="SOL88" s="12"/>
      <c r="SOM88" s="109"/>
      <c r="SON88" s="12"/>
      <c r="SOO88" s="109"/>
      <c r="SOP88" s="12"/>
      <c r="SOQ88" s="109"/>
      <c r="SOR88" s="12"/>
      <c r="SOS88" s="109"/>
      <c r="SOT88" s="12"/>
      <c r="SOU88" s="109"/>
      <c r="SOV88" s="12"/>
      <c r="SOW88" s="109"/>
      <c r="SOX88" s="12"/>
      <c r="SOY88" s="109"/>
      <c r="SOZ88" s="12"/>
      <c r="SPA88" s="109"/>
      <c r="SPB88" s="12"/>
      <c r="SPC88" s="109"/>
      <c r="SPD88" s="12"/>
      <c r="SPE88" s="109"/>
      <c r="SPF88" s="12"/>
      <c r="SPG88" s="109"/>
      <c r="SPH88" s="12"/>
      <c r="SPI88" s="109"/>
      <c r="SPJ88" s="12"/>
      <c r="SPK88" s="109"/>
      <c r="SPL88" s="12"/>
      <c r="SPM88" s="109"/>
      <c r="SPN88" s="12"/>
      <c r="SPO88" s="109"/>
      <c r="SPP88" s="12"/>
      <c r="SPQ88" s="109"/>
      <c r="SPR88" s="12"/>
      <c r="SPS88" s="109"/>
      <c r="SPT88" s="12"/>
      <c r="SPU88" s="109"/>
      <c r="SPV88" s="12"/>
      <c r="SPW88" s="109"/>
      <c r="SPX88" s="12"/>
      <c r="SPY88" s="109"/>
      <c r="SPZ88" s="12"/>
      <c r="SQA88" s="109"/>
      <c r="SQB88" s="12"/>
      <c r="SQC88" s="109"/>
      <c r="SQD88" s="12"/>
      <c r="SQE88" s="109"/>
      <c r="SQF88" s="12"/>
      <c r="SQG88" s="109"/>
      <c r="SQH88" s="12"/>
      <c r="SQI88" s="109"/>
      <c r="SQJ88" s="12"/>
      <c r="SQK88" s="109"/>
      <c r="SQL88" s="12"/>
      <c r="SQM88" s="109"/>
      <c r="SQN88" s="12"/>
      <c r="SQO88" s="109"/>
      <c r="SQP88" s="12"/>
      <c r="SQQ88" s="109"/>
      <c r="SQR88" s="12"/>
      <c r="SQS88" s="109"/>
      <c r="SQT88" s="12"/>
      <c r="SQU88" s="109"/>
      <c r="SQV88" s="12"/>
      <c r="SQW88" s="109"/>
      <c r="SQX88" s="12"/>
      <c r="SQY88" s="109"/>
      <c r="SQZ88" s="12"/>
      <c r="SRA88" s="109"/>
      <c r="SRB88" s="12"/>
      <c r="SRC88" s="109"/>
      <c r="SRD88" s="12"/>
      <c r="SRE88" s="109"/>
      <c r="SRF88" s="12"/>
      <c r="SRG88" s="109"/>
      <c r="SRH88" s="12"/>
      <c r="SRI88" s="109"/>
      <c r="SRJ88" s="12"/>
      <c r="SRK88" s="109"/>
      <c r="SRL88" s="12"/>
      <c r="SRM88" s="109"/>
      <c r="SRN88" s="12"/>
      <c r="SRO88" s="109"/>
      <c r="SRP88" s="12"/>
      <c r="SRQ88" s="109"/>
      <c r="SRR88" s="12"/>
      <c r="SRS88" s="109"/>
      <c r="SRT88" s="12"/>
      <c r="SRU88" s="109"/>
      <c r="SRV88" s="12"/>
      <c r="SRW88" s="109"/>
      <c r="SRX88" s="12"/>
      <c r="SRY88" s="109"/>
      <c r="SRZ88" s="12"/>
      <c r="SSA88" s="109"/>
      <c r="SSB88" s="12"/>
      <c r="SSC88" s="109"/>
      <c r="SSD88" s="12"/>
      <c r="SSE88" s="109"/>
      <c r="SSF88" s="12"/>
      <c r="SSG88" s="109"/>
      <c r="SSH88" s="12"/>
      <c r="SSI88" s="109"/>
      <c r="SSJ88" s="12"/>
      <c r="SSK88" s="109"/>
      <c r="SSL88" s="12"/>
      <c r="SSM88" s="109"/>
      <c r="SSN88" s="12"/>
      <c r="SSO88" s="109"/>
      <c r="SSP88" s="12"/>
      <c r="SSQ88" s="109"/>
      <c r="SSR88" s="12"/>
      <c r="SSS88" s="109"/>
      <c r="SST88" s="12"/>
      <c r="SSU88" s="109"/>
      <c r="SSV88" s="12"/>
      <c r="SSW88" s="109"/>
      <c r="SSX88" s="12"/>
      <c r="SSY88" s="109"/>
      <c r="SSZ88" s="12"/>
      <c r="STA88" s="109"/>
      <c r="STB88" s="12"/>
      <c r="STC88" s="109"/>
      <c r="STD88" s="12"/>
      <c r="STE88" s="109"/>
      <c r="STF88" s="12"/>
      <c r="STG88" s="109"/>
      <c r="STH88" s="12"/>
      <c r="STI88" s="109"/>
      <c r="STJ88" s="12"/>
      <c r="STK88" s="109"/>
      <c r="STL88" s="12"/>
      <c r="STM88" s="109"/>
      <c r="STN88" s="12"/>
      <c r="STO88" s="109"/>
      <c r="STP88" s="12"/>
      <c r="STQ88" s="109"/>
      <c r="STR88" s="12"/>
      <c r="STS88" s="109"/>
      <c r="STT88" s="12"/>
      <c r="STU88" s="109"/>
      <c r="STV88" s="12"/>
      <c r="STW88" s="109"/>
      <c r="STX88" s="12"/>
      <c r="STY88" s="109"/>
      <c r="STZ88" s="12"/>
      <c r="SUA88" s="109"/>
      <c r="SUB88" s="12"/>
      <c r="SUC88" s="109"/>
      <c r="SUD88" s="12"/>
      <c r="SUE88" s="109"/>
      <c r="SUF88" s="12"/>
      <c r="SUG88" s="109"/>
      <c r="SUH88" s="12"/>
      <c r="SUI88" s="109"/>
      <c r="SUJ88" s="12"/>
      <c r="SUK88" s="109"/>
      <c r="SUL88" s="12"/>
      <c r="SUM88" s="109"/>
      <c r="SUN88" s="12"/>
      <c r="SUO88" s="109"/>
      <c r="SUP88" s="12"/>
      <c r="SUQ88" s="109"/>
      <c r="SUR88" s="12"/>
      <c r="SUS88" s="109"/>
      <c r="SUT88" s="12"/>
      <c r="SUU88" s="109"/>
      <c r="SUV88" s="12"/>
      <c r="SUW88" s="109"/>
      <c r="SUX88" s="12"/>
      <c r="SUY88" s="109"/>
      <c r="SUZ88" s="12"/>
      <c r="SVA88" s="109"/>
      <c r="SVB88" s="12"/>
      <c r="SVC88" s="109"/>
      <c r="SVD88" s="12"/>
      <c r="SVE88" s="109"/>
      <c r="SVF88" s="12"/>
      <c r="SVG88" s="109"/>
      <c r="SVH88" s="12"/>
      <c r="SVI88" s="109"/>
      <c r="SVJ88" s="12"/>
      <c r="SVK88" s="109"/>
      <c r="SVL88" s="12"/>
      <c r="SVM88" s="109"/>
      <c r="SVN88" s="12"/>
      <c r="SVO88" s="109"/>
      <c r="SVP88" s="12"/>
      <c r="SVQ88" s="109"/>
      <c r="SVR88" s="12"/>
      <c r="SVS88" s="109"/>
      <c r="SVT88" s="12"/>
      <c r="SVU88" s="109"/>
      <c r="SVV88" s="12"/>
      <c r="SVW88" s="109"/>
      <c r="SVX88" s="12"/>
      <c r="SVY88" s="109"/>
      <c r="SVZ88" s="12"/>
      <c r="SWA88" s="109"/>
      <c r="SWB88" s="12"/>
      <c r="SWC88" s="109"/>
      <c r="SWD88" s="12"/>
      <c r="SWE88" s="109"/>
      <c r="SWF88" s="12"/>
      <c r="SWG88" s="109"/>
      <c r="SWH88" s="12"/>
      <c r="SWI88" s="109"/>
      <c r="SWJ88" s="12"/>
      <c r="SWK88" s="109"/>
      <c r="SWL88" s="12"/>
      <c r="SWM88" s="109"/>
      <c r="SWN88" s="12"/>
      <c r="SWO88" s="109"/>
      <c r="SWP88" s="12"/>
      <c r="SWQ88" s="109"/>
      <c r="SWR88" s="12"/>
      <c r="SWS88" s="109"/>
      <c r="SWT88" s="12"/>
      <c r="SWU88" s="109"/>
      <c r="SWV88" s="12"/>
      <c r="SWW88" s="109"/>
      <c r="SWX88" s="12"/>
      <c r="SWY88" s="109"/>
      <c r="SWZ88" s="12"/>
      <c r="SXA88" s="109"/>
      <c r="SXB88" s="12"/>
      <c r="SXC88" s="109"/>
      <c r="SXD88" s="12"/>
      <c r="SXE88" s="109"/>
      <c r="SXF88" s="12"/>
      <c r="SXG88" s="109"/>
      <c r="SXH88" s="12"/>
      <c r="SXI88" s="109"/>
      <c r="SXJ88" s="12"/>
      <c r="SXK88" s="109"/>
      <c r="SXL88" s="12"/>
      <c r="SXM88" s="109"/>
      <c r="SXN88" s="12"/>
      <c r="SXO88" s="109"/>
      <c r="SXP88" s="12"/>
      <c r="SXQ88" s="109"/>
      <c r="SXR88" s="12"/>
      <c r="SXS88" s="109"/>
      <c r="SXT88" s="12"/>
      <c r="SXU88" s="109"/>
      <c r="SXV88" s="12"/>
      <c r="SXW88" s="109"/>
      <c r="SXX88" s="12"/>
      <c r="SXY88" s="109"/>
      <c r="SXZ88" s="12"/>
      <c r="SYA88" s="109"/>
      <c r="SYB88" s="12"/>
      <c r="SYC88" s="109"/>
      <c r="SYD88" s="12"/>
      <c r="SYE88" s="109"/>
      <c r="SYF88" s="12"/>
      <c r="SYG88" s="109"/>
      <c r="SYH88" s="12"/>
      <c r="SYI88" s="109"/>
      <c r="SYJ88" s="12"/>
      <c r="SYK88" s="109"/>
      <c r="SYL88" s="12"/>
      <c r="SYM88" s="109"/>
      <c r="SYN88" s="12"/>
      <c r="SYO88" s="109"/>
      <c r="SYP88" s="12"/>
      <c r="SYQ88" s="109"/>
      <c r="SYR88" s="12"/>
      <c r="SYS88" s="109"/>
      <c r="SYT88" s="12"/>
      <c r="SYU88" s="109"/>
      <c r="SYV88" s="12"/>
      <c r="SYW88" s="109"/>
      <c r="SYX88" s="12"/>
      <c r="SYY88" s="109"/>
      <c r="SYZ88" s="12"/>
      <c r="SZA88" s="109"/>
      <c r="SZB88" s="12"/>
      <c r="SZC88" s="109"/>
      <c r="SZD88" s="12"/>
      <c r="SZE88" s="109"/>
      <c r="SZF88" s="12"/>
      <c r="SZG88" s="109"/>
      <c r="SZH88" s="12"/>
      <c r="SZI88" s="109"/>
      <c r="SZJ88" s="12"/>
      <c r="SZK88" s="109"/>
      <c r="SZL88" s="12"/>
      <c r="SZM88" s="109"/>
      <c r="SZN88" s="12"/>
      <c r="SZO88" s="109"/>
      <c r="SZP88" s="12"/>
      <c r="SZQ88" s="109"/>
      <c r="SZR88" s="12"/>
      <c r="SZS88" s="109"/>
      <c r="SZT88" s="12"/>
      <c r="SZU88" s="109"/>
      <c r="SZV88" s="12"/>
      <c r="SZW88" s="109"/>
      <c r="SZX88" s="12"/>
      <c r="SZY88" s="109"/>
      <c r="SZZ88" s="12"/>
      <c r="TAA88" s="109"/>
      <c r="TAB88" s="12"/>
      <c r="TAC88" s="109"/>
      <c r="TAD88" s="12"/>
      <c r="TAE88" s="109"/>
      <c r="TAF88" s="12"/>
      <c r="TAG88" s="109"/>
      <c r="TAH88" s="12"/>
      <c r="TAI88" s="109"/>
      <c r="TAJ88" s="12"/>
      <c r="TAK88" s="109"/>
      <c r="TAL88" s="12"/>
      <c r="TAM88" s="109"/>
      <c r="TAN88" s="12"/>
      <c r="TAO88" s="109"/>
      <c r="TAP88" s="12"/>
      <c r="TAQ88" s="109"/>
      <c r="TAR88" s="12"/>
      <c r="TAS88" s="109"/>
      <c r="TAT88" s="12"/>
      <c r="TAU88" s="109"/>
      <c r="TAV88" s="12"/>
      <c r="TAW88" s="109"/>
      <c r="TAX88" s="12"/>
      <c r="TAY88" s="109"/>
      <c r="TAZ88" s="12"/>
      <c r="TBA88" s="109"/>
      <c r="TBB88" s="12"/>
      <c r="TBC88" s="109"/>
      <c r="TBD88" s="12"/>
      <c r="TBE88" s="109"/>
      <c r="TBF88" s="12"/>
      <c r="TBG88" s="109"/>
      <c r="TBH88" s="12"/>
      <c r="TBI88" s="109"/>
      <c r="TBJ88" s="12"/>
      <c r="TBK88" s="109"/>
      <c r="TBL88" s="12"/>
      <c r="TBM88" s="109"/>
      <c r="TBN88" s="12"/>
      <c r="TBO88" s="109"/>
      <c r="TBP88" s="12"/>
      <c r="TBQ88" s="109"/>
      <c r="TBR88" s="12"/>
      <c r="TBS88" s="109"/>
      <c r="TBT88" s="12"/>
      <c r="TBU88" s="109"/>
      <c r="TBV88" s="12"/>
      <c r="TBW88" s="109"/>
      <c r="TBX88" s="12"/>
      <c r="TBY88" s="109"/>
      <c r="TBZ88" s="12"/>
      <c r="TCA88" s="109"/>
      <c r="TCB88" s="12"/>
      <c r="TCC88" s="109"/>
      <c r="TCD88" s="12"/>
      <c r="TCE88" s="109"/>
      <c r="TCF88" s="12"/>
      <c r="TCG88" s="109"/>
      <c r="TCH88" s="12"/>
      <c r="TCI88" s="109"/>
      <c r="TCJ88" s="12"/>
      <c r="TCK88" s="109"/>
      <c r="TCL88" s="12"/>
      <c r="TCM88" s="109"/>
      <c r="TCN88" s="12"/>
      <c r="TCO88" s="109"/>
      <c r="TCP88" s="12"/>
      <c r="TCQ88" s="109"/>
      <c r="TCR88" s="12"/>
      <c r="TCS88" s="109"/>
      <c r="TCT88" s="12"/>
      <c r="TCU88" s="109"/>
      <c r="TCV88" s="12"/>
      <c r="TCW88" s="109"/>
      <c r="TCX88" s="12"/>
      <c r="TCY88" s="109"/>
      <c r="TCZ88" s="12"/>
      <c r="TDA88" s="109"/>
      <c r="TDB88" s="12"/>
      <c r="TDC88" s="109"/>
      <c r="TDD88" s="12"/>
      <c r="TDE88" s="109"/>
      <c r="TDF88" s="12"/>
      <c r="TDG88" s="109"/>
      <c r="TDH88" s="12"/>
      <c r="TDI88" s="109"/>
      <c r="TDJ88" s="12"/>
      <c r="TDK88" s="109"/>
      <c r="TDL88" s="12"/>
      <c r="TDM88" s="109"/>
      <c r="TDN88" s="12"/>
      <c r="TDO88" s="109"/>
      <c r="TDP88" s="12"/>
      <c r="TDQ88" s="109"/>
      <c r="TDR88" s="12"/>
      <c r="TDS88" s="109"/>
      <c r="TDT88" s="12"/>
      <c r="TDU88" s="109"/>
      <c r="TDV88" s="12"/>
      <c r="TDW88" s="109"/>
      <c r="TDX88" s="12"/>
      <c r="TDY88" s="109"/>
      <c r="TDZ88" s="12"/>
      <c r="TEA88" s="109"/>
      <c r="TEB88" s="12"/>
      <c r="TEC88" s="109"/>
      <c r="TED88" s="12"/>
      <c r="TEE88" s="109"/>
      <c r="TEF88" s="12"/>
      <c r="TEG88" s="109"/>
      <c r="TEH88" s="12"/>
      <c r="TEI88" s="109"/>
      <c r="TEJ88" s="12"/>
      <c r="TEK88" s="109"/>
      <c r="TEL88" s="12"/>
      <c r="TEM88" s="109"/>
      <c r="TEN88" s="12"/>
      <c r="TEO88" s="109"/>
      <c r="TEP88" s="12"/>
      <c r="TEQ88" s="109"/>
      <c r="TER88" s="12"/>
      <c r="TES88" s="109"/>
      <c r="TET88" s="12"/>
      <c r="TEU88" s="109"/>
      <c r="TEV88" s="12"/>
      <c r="TEW88" s="109"/>
      <c r="TEX88" s="12"/>
      <c r="TEY88" s="109"/>
      <c r="TEZ88" s="12"/>
      <c r="TFA88" s="109"/>
      <c r="TFB88" s="12"/>
      <c r="TFC88" s="109"/>
      <c r="TFD88" s="12"/>
      <c r="TFE88" s="109"/>
      <c r="TFF88" s="12"/>
      <c r="TFG88" s="109"/>
      <c r="TFH88" s="12"/>
      <c r="TFI88" s="109"/>
      <c r="TFJ88" s="12"/>
      <c r="TFK88" s="109"/>
      <c r="TFL88" s="12"/>
      <c r="TFM88" s="109"/>
      <c r="TFN88" s="12"/>
      <c r="TFO88" s="109"/>
      <c r="TFP88" s="12"/>
      <c r="TFQ88" s="109"/>
      <c r="TFR88" s="12"/>
      <c r="TFS88" s="109"/>
      <c r="TFT88" s="12"/>
      <c r="TFU88" s="109"/>
      <c r="TFV88" s="12"/>
      <c r="TFW88" s="109"/>
      <c r="TFX88" s="12"/>
      <c r="TFY88" s="109"/>
      <c r="TFZ88" s="12"/>
      <c r="TGA88" s="109"/>
      <c r="TGB88" s="12"/>
      <c r="TGC88" s="109"/>
      <c r="TGD88" s="12"/>
      <c r="TGE88" s="109"/>
      <c r="TGF88" s="12"/>
      <c r="TGG88" s="109"/>
      <c r="TGH88" s="12"/>
      <c r="TGI88" s="109"/>
      <c r="TGJ88" s="12"/>
      <c r="TGK88" s="109"/>
      <c r="TGL88" s="12"/>
      <c r="TGM88" s="109"/>
      <c r="TGN88" s="12"/>
      <c r="TGO88" s="109"/>
      <c r="TGP88" s="12"/>
      <c r="TGQ88" s="109"/>
      <c r="TGR88" s="12"/>
      <c r="TGS88" s="109"/>
      <c r="TGT88" s="12"/>
      <c r="TGU88" s="109"/>
      <c r="TGV88" s="12"/>
      <c r="TGW88" s="109"/>
      <c r="TGX88" s="12"/>
      <c r="TGY88" s="109"/>
      <c r="TGZ88" s="12"/>
      <c r="THA88" s="109"/>
      <c r="THB88" s="12"/>
      <c r="THC88" s="109"/>
      <c r="THD88" s="12"/>
      <c r="THE88" s="109"/>
      <c r="THF88" s="12"/>
      <c r="THG88" s="109"/>
      <c r="THH88" s="12"/>
      <c r="THI88" s="109"/>
      <c r="THJ88" s="12"/>
      <c r="THK88" s="109"/>
      <c r="THL88" s="12"/>
      <c r="THM88" s="109"/>
      <c r="THN88" s="12"/>
      <c r="THO88" s="109"/>
      <c r="THP88" s="12"/>
      <c r="THQ88" s="109"/>
      <c r="THR88" s="12"/>
      <c r="THS88" s="109"/>
      <c r="THT88" s="12"/>
      <c r="THU88" s="109"/>
      <c r="THV88" s="12"/>
      <c r="THW88" s="109"/>
      <c r="THX88" s="12"/>
      <c r="THY88" s="109"/>
      <c r="THZ88" s="12"/>
      <c r="TIA88" s="109"/>
      <c r="TIB88" s="12"/>
      <c r="TIC88" s="109"/>
      <c r="TID88" s="12"/>
      <c r="TIE88" s="109"/>
      <c r="TIF88" s="12"/>
      <c r="TIG88" s="109"/>
      <c r="TIH88" s="12"/>
      <c r="TII88" s="109"/>
      <c r="TIJ88" s="12"/>
      <c r="TIK88" s="109"/>
      <c r="TIL88" s="12"/>
      <c r="TIM88" s="109"/>
      <c r="TIN88" s="12"/>
      <c r="TIO88" s="109"/>
      <c r="TIP88" s="12"/>
      <c r="TIQ88" s="109"/>
      <c r="TIR88" s="12"/>
      <c r="TIS88" s="109"/>
      <c r="TIT88" s="12"/>
      <c r="TIU88" s="109"/>
      <c r="TIV88" s="12"/>
      <c r="TIW88" s="109"/>
      <c r="TIX88" s="12"/>
      <c r="TIY88" s="109"/>
      <c r="TIZ88" s="12"/>
      <c r="TJA88" s="109"/>
      <c r="TJB88" s="12"/>
      <c r="TJC88" s="109"/>
      <c r="TJD88" s="12"/>
      <c r="TJE88" s="109"/>
      <c r="TJF88" s="12"/>
      <c r="TJG88" s="109"/>
      <c r="TJH88" s="12"/>
      <c r="TJI88" s="109"/>
      <c r="TJJ88" s="12"/>
      <c r="TJK88" s="109"/>
      <c r="TJL88" s="12"/>
      <c r="TJM88" s="109"/>
      <c r="TJN88" s="12"/>
      <c r="TJO88" s="109"/>
      <c r="TJP88" s="12"/>
      <c r="TJQ88" s="109"/>
      <c r="TJR88" s="12"/>
      <c r="TJS88" s="109"/>
      <c r="TJT88" s="12"/>
      <c r="TJU88" s="109"/>
      <c r="TJV88" s="12"/>
      <c r="TJW88" s="109"/>
      <c r="TJX88" s="12"/>
      <c r="TJY88" s="109"/>
      <c r="TJZ88" s="12"/>
      <c r="TKA88" s="109"/>
      <c r="TKB88" s="12"/>
      <c r="TKC88" s="109"/>
      <c r="TKD88" s="12"/>
      <c r="TKE88" s="109"/>
      <c r="TKF88" s="12"/>
      <c r="TKG88" s="109"/>
      <c r="TKH88" s="12"/>
      <c r="TKI88" s="109"/>
      <c r="TKJ88" s="12"/>
      <c r="TKK88" s="109"/>
      <c r="TKL88" s="12"/>
      <c r="TKM88" s="109"/>
      <c r="TKN88" s="12"/>
      <c r="TKO88" s="109"/>
      <c r="TKP88" s="12"/>
      <c r="TKQ88" s="109"/>
      <c r="TKR88" s="12"/>
      <c r="TKS88" s="109"/>
      <c r="TKT88" s="12"/>
      <c r="TKU88" s="109"/>
      <c r="TKV88" s="12"/>
      <c r="TKW88" s="109"/>
      <c r="TKX88" s="12"/>
      <c r="TKY88" s="109"/>
      <c r="TKZ88" s="12"/>
      <c r="TLA88" s="109"/>
      <c r="TLB88" s="12"/>
      <c r="TLC88" s="109"/>
      <c r="TLD88" s="12"/>
      <c r="TLE88" s="109"/>
      <c r="TLF88" s="12"/>
      <c r="TLG88" s="109"/>
      <c r="TLH88" s="12"/>
      <c r="TLI88" s="109"/>
      <c r="TLJ88" s="12"/>
      <c r="TLK88" s="109"/>
      <c r="TLL88" s="12"/>
      <c r="TLM88" s="109"/>
      <c r="TLN88" s="12"/>
      <c r="TLO88" s="109"/>
      <c r="TLP88" s="12"/>
      <c r="TLQ88" s="109"/>
      <c r="TLR88" s="12"/>
      <c r="TLS88" s="109"/>
      <c r="TLT88" s="12"/>
      <c r="TLU88" s="109"/>
      <c r="TLV88" s="12"/>
      <c r="TLW88" s="109"/>
      <c r="TLX88" s="12"/>
      <c r="TLY88" s="109"/>
      <c r="TLZ88" s="12"/>
      <c r="TMA88" s="109"/>
      <c r="TMB88" s="12"/>
      <c r="TMC88" s="109"/>
      <c r="TMD88" s="12"/>
      <c r="TME88" s="109"/>
      <c r="TMF88" s="12"/>
      <c r="TMG88" s="109"/>
      <c r="TMH88" s="12"/>
      <c r="TMI88" s="109"/>
      <c r="TMJ88" s="12"/>
      <c r="TMK88" s="109"/>
      <c r="TML88" s="12"/>
      <c r="TMM88" s="109"/>
      <c r="TMN88" s="12"/>
      <c r="TMO88" s="109"/>
      <c r="TMP88" s="12"/>
      <c r="TMQ88" s="109"/>
      <c r="TMR88" s="12"/>
      <c r="TMS88" s="109"/>
      <c r="TMT88" s="12"/>
      <c r="TMU88" s="109"/>
      <c r="TMV88" s="12"/>
      <c r="TMW88" s="109"/>
      <c r="TMX88" s="12"/>
      <c r="TMY88" s="109"/>
      <c r="TMZ88" s="12"/>
      <c r="TNA88" s="109"/>
      <c r="TNB88" s="12"/>
      <c r="TNC88" s="109"/>
      <c r="TND88" s="12"/>
      <c r="TNE88" s="109"/>
      <c r="TNF88" s="12"/>
      <c r="TNG88" s="109"/>
      <c r="TNH88" s="12"/>
      <c r="TNI88" s="109"/>
      <c r="TNJ88" s="12"/>
      <c r="TNK88" s="109"/>
      <c r="TNL88" s="12"/>
      <c r="TNM88" s="109"/>
      <c r="TNN88" s="12"/>
      <c r="TNO88" s="109"/>
      <c r="TNP88" s="12"/>
      <c r="TNQ88" s="109"/>
      <c r="TNR88" s="12"/>
      <c r="TNS88" s="109"/>
      <c r="TNT88" s="12"/>
      <c r="TNU88" s="109"/>
      <c r="TNV88" s="12"/>
      <c r="TNW88" s="109"/>
      <c r="TNX88" s="12"/>
      <c r="TNY88" s="109"/>
      <c r="TNZ88" s="12"/>
      <c r="TOA88" s="109"/>
      <c r="TOB88" s="12"/>
      <c r="TOC88" s="109"/>
      <c r="TOD88" s="12"/>
      <c r="TOE88" s="109"/>
      <c r="TOF88" s="12"/>
      <c r="TOG88" s="109"/>
      <c r="TOH88" s="12"/>
      <c r="TOI88" s="109"/>
      <c r="TOJ88" s="12"/>
      <c r="TOK88" s="109"/>
      <c r="TOL88" s="12"/>
      <c r="TOM88" s="109"/>
      <c r="TON88" s="12"/>
      <c r="TOO88" s="109"/>
      <c r="TOP88" s="12"/>
      <c r="TOQ88" s="109"/>
      <c r="TOR88" s="12"/>
      <c r="TOS88" s="109"/>
      <c r="TOT88" s="12"/>
      <c r="TOU88" s="109"/>
      <c r="TOV88" s="12"/>
      <c r="TOW88" s="109"/>
      <c r="TOX88" s="12"/>
      <c r="TOY88" s="109"/>
      <c r="TOZ88" s="12"/>
      <c r="TPA88" s="109"/>
      <c r="TPB88" s="12"/>
      <c r="TPC88" s="109"/>
      <c r="TPD88" s="12"/>
      <c r="TPE88" s="109"/>
      <c r="TPF88" s="12"/>
      <c r="TPG88" s="109"/>
      <c r="TPH88" s="12"/>
      <c r="TPI88" s="109"/>
      <c r="TPJ88" s="12"/>
      <c r="TPK88" s="109"/>
      <c r="TPL88" s="12"/>
      <c r="TPM88" s="109"/>
      <c r="TPN88" s="12"/>
      <c r="TPO88" s="109"/>
      <c r="TPP88" s="12"/>
      <c r="TPQ88" s="109"/>
      <c r="TPR88" s="12"/>
      <c r="TPS88" s="109"/>
      <c r="TPT88" s="12"/>
      <c r="TPU88" s="109"/>
      <c r="TPV88" s="12"/>
      <c r="TPW88" s="109"/>
      <c r="TPX88" s="12"/>
      <c r="TPY88" s="109"/>
      <c r="TPZ88" s="12"/>
      <c r="TQA88" s="109"/>
      <c r="TQB88" s="12"/>
      <c r="TQC88" s="109"/>
      <c r="TQD88" s="12"/>
      <c r="TQE88" s="109"/>
      <c r="TQF88" s="12"/>
      <c r="TQG88" s="109"/>
      <c r="TQH88" s="12"/>
      <c r="TQI88" s="109"/>
      <c r="TQJ88" s="12"/>
      <c r="TQK88" s="109"/>
      <c r="TQL88" s="12"/>
      <c r="TQM88" s="109"/>
      <c r="TQN88" s="12"/>
      <c r="TQO88" s="109"/>
      <c r="TQP88" s="12"/>
      <c r="TQQ88" s="109"/>
      <c r="TQR88" s="12"/>
      <c r="TQS88" s="109"/>
      <c r="TQT88" s="12"/>
      <c r="TQU88" s="109"/>
      <c r="TQV88" s="12"/>
      <c r="TQW88" s="109"/>
      <c r="TQX88" s="12"/>
      <c r="TQY88" s="109"/>
      <c r="TQZ88" s="12"/>
      <c r="TRA88" s="109"/>
      <c r="TRB88" s="12"/>
      <c r="TRC88" s="109"/>
      <c r="TRD88" s="12"/>
      <c r="TRE88" s="109"/>
      <c r="TRF88" s="12"/>
      <c r="TRG88" s="109"/>
      <c r="TRH88" s="12"/>
      <c r="TRI88" s="109"/>
      <c r="TRJ88" s="12"/>
      <c r="TRK88" s="109"/>
      <c r="TRL88" s="12"/>
      <c r="TRM88" s="109"/>
      <c r="TRN88" s="12"/>
      <c r="TRO88" s="109"/>
      <c r="TRP88" s="12"/>
      <c r="TRQ88" s="109"/>
      <c r="TRR88" s="12"/>
      <c r="TRS88" s="109"/>
      <c r="TRT88" s="12"/>
      <c r="TRU88" s="109"/>
      <c r="TRV88" s="12"/>
      <c r="TRW88" s="109"/>
      <c r="TRX88" s="12"/>
      <c r="TRY88" s="109"/>
      <c r="TRZ88" s="12"/>
      <c r="TSA88" s="109"/>
      <c r="TSB88" s="12"/>
      <c r="TSC88" s="109"/>
      <c r="TSD88" s="12"/>
      <c r="TSE88" s="109"/>
      <c r="TSF88" s="12"/>
      <c r="TSG88" s="109"/>
      <c r="TSH88" s="12"/>
      <c r="TSI88" s="109"/>
      <c r="TSJ88" s="12"/>
      <c r="TSK88" s="109"/>
      <c r="TSL88" s="12"/>
      <c r="TSM88" s="109"/>
      <c r="TSN88" s="12"/>
      <c r="TSO88" s="109"/>
      <c r="TSP88" s="12"/>
      <c r="TSQ88" s="109"/>
      <c r="TSR88" s="12"/>
      <c r="TSS88" s="109"/>
      <c r="TST88" s="12"/>
      <c r="TSU88" s="109"/>
      <c r="TSV88" s="12"/>
      <c r="TSW88" s="109"/>
      <c r="TSX88" s="12"/>
      <c r="TSY88" s="109"/>
      <c r="TSZ88" s="12"/>
      <c r="TTA88" s="109"/>
      <c r="TTB88" s="12"/>
      <c r="TTC88" s="109"/>
      <c r="TTD88" s="12"/>
      <c r="TTE88" s="109"/>
      <c r="TTF88" s="12"/>
      <c r="TTG88" s="109"/>
      <c r="TTH88" s="12"/>
      <c r="TTI88" s="109"/>
      <c r="TTJ88" s="12"/>
      <c r="TTK88" s="109"/>
      <c r="TTL88" s="12"/>
      <c r="TTM88" s="109"/>
      <c r="TTN88" s="12"/>
      <c r="TTO88" s="109"/>
      <c r="TTP88" s="12"/>
      <c r="TTQ88" s="109"/>
      <c r="TTR88" s="12"/>
      <c r="TTS88" s="109"/>
      <c r="TTT88" s="12"/>
      <c r="TTU88" s="109"/>
      <c r="TTV88" s="12"/>
      <c r="TTW88" s="109"/>
      <c r="TTX88" s="12"/>
      <c r="TTY88" s="109"/>
      <c r="TTZ88" s="12"/>
      <c r="TUA88" s="109"/>
      <c r="TUB88" s="12"/>
      <c r="TUC88" s="109"/>
      <c r="TUD88" s="12"/>
      <c r="TUE88" s="109"/>
      <c r="TUF88" s="12"/>
      <c r="TUG88" s="109"/>
      <c r="TUH88" s="12"/>
      <c r="TUI88" s="109"/>
      <c r="TUJ88" s="12"/>
      <c r="TUK88" s="109"/>
      <c r="TUL88" s="12"/>
      <c r="TUM88" s="109"/>
      <c r="TUN88" s="12"/>
      <c r="TUO88" s="109"/>
      <c r="TUP88" s="12"/>
      <c r="TUQ88" s="109"/>
      <c r="TUR88" s="12"/>
      <c r="TUS88" s="109"/>
      <c r="TUT88" s="12"/>
      <c r="TUU88" s="109"/>
      <c r="TUV88" s="12"/>
      <c r="TUW88" s="109"/>
      <c r="TUX88" s="12"/>
      <c r="TUY88" s="109"/>
      <c r="TUZ88" s="12"/>
      <c r="TVA88" s="109"/>
      <c r="TVB88" s="12"/>
      <c r="TVC88" s="109"/>
      <c r="TVD88" s="12"/>
      <c r="TVE88" s="109"/>
      <c r="TVF88" s="12"/>
      <c r="TVG88" s="109"/>
      <c r="TVH88" s="12"/>
      <c r="TVI88" s="109"/>
      <c r="TVJ88" s="12"/>
      <c r="TVK88" s="109"/>
      <c r="TVL88" s="12"/>
      <c r="TVM88" s="109"/>
      <c r="TVN88" s="12"/>
      <c r="TVO88" s="109"/>
      <c r="TVP88" s="12"/>
      <c r="TVQ88" s="109"/>
      <c r="TVR88" s="12"/>
      <c r="TVS88" s="109"/>
      <c r="TVT88" s="12"/>
      <c r="TVU88" s="109"/>
      <c r="TVV88" s="12"/>
      <c r="TVW88" s="109"/>
      <c r="TVX88" s="12"/>
      <c r="TVY88" s="109"/>
      <c r="TVZ88" s="12"/>
      <c r="TWA88" s="109"/>
      <c r="TWB88" s="12"/>
      <c r="TWC88" s="109"/>
      <c r="TWD88" s="12"/>
      <c r="TWE88" s="109"/>
      <c r="TWF88" s="12"/>
      <c r="TWG88" s="109"/>
      <c r="TWH88" s="12"/>
      <c r="TWI88" s="109"/>
      <c r="TWJ88" s="12"/>
      <c r="TWK88" s="109"/>
      <c r="TWL88" s="12"/>
      <c r="TWM88" s="109"/>
      <c r="TWN88" s="12"/>
      <c r="TWO88" s="109"/>
      <c r="TWP88" s="12"/>
      <c r="TWQ88" s="109"/>
      <c r="TWR88" s="12"/>
      <c r="TWS88" s="109"/>
      <c r="TWT88" s="12"/>
      <c r="TWU88" s="109"/>
      <c r="TWV88" s="12"/>
      <c r="TWW88" s="109"/>
      <c r="TWX88" s="12"/>
      <c r="TWY88" s="109"/>
      <c r="TWZ88" s="12"/>
      <c r="TXA88" s="109"/>
      <c r="TXB88" s="12"/>
      <c r="TXC88" s="109"/>
      <c r="TXD88" s="12"/>
      <c r="TXE88" s="109"/>
      <c r="TXF88" s="12"/>
      <c r="TXG88" s="109"/>
      <c r="TXH88" s="12"/>
      <c r="TXI88" s="109"/>
      <c r="TXJ88" s="12"/>
      <c r="TXK88" s="109"/>
      <c r="TXL88" s="12"/>
      <c r="TXM88" s="109"/>
      <c r="TXN88" s="12"/>
      <c r="TXO88" s="109"/>
      <c r="TXP88" s="12"/>
      <c r="TXQ88" s="109"/>
      <c r="TXR88" s="12"/>
      <c r="TXS88" s="109"/>
      <c r="TXT88" s="12"/>
      <c r="TXU88" s="109"/>
      <c r="TXV88" s="12"/>
      <c r="TXW88" s="109"/>
      <c r="TXX88" s="12"/>
      <c r="TXY88" s="109"/>
      <c r="TXZ88" s="12"/>
      <c r="TYA88" s="109"/>
      <c r="TYB88" s="12"/>
      <c r="TYC88" s="109"/>
      <c r="TYD88" s="12"/>
      <c r="TYE88" s="109"/>
      <c r="TYF88" s="12"/>
      <c r="TYG88" s="109"/>
      <c r="TYH88" s="12"/>
      <c r="TYI88" s="109"/>
      <c r="TYJ88" s="12"/>
      <c r="TYK88" s="109"/>
      <c r="TYL88" s="12"/>
      <c r="TYM88" s="109"/>
      <c r="TYN88" s="12"/>
      <c r="TYO88" s="109"/>
      <c r="TYP88" s="12"/>
      <c r="TYQ88" s="109"/>
      <c r="TYR88" s="12"/>
      <c r="TYS88" s="109"/>
      <c r="TYT88" s="12"/>
      <c r="TYU88" s="109"/>
      <c r="TYV88" s="12"/>
      <c r="TYW88" s="109"/>
      <c r="TYX88" s="12"/>
      <c r="TYY88" s="109"/>
      <c r="TYZ88" s="12"/>
      <c r="TZA88" s="109"/>
      <c r="TZB88" s="12"/>
      <c r="TZC88" s="109"/>
      <c r="TZD88" s="12"/>
      <c r="TZE88" s="109"/>
      <c r="TZF88" s="12"/>
      <c r="TZG88" s="109"/>
      <c r="TZH88" s="12"/>
      <c r="TZI88" s="109"/>
      <c r="TZJ88" s="12"/>
      <c r="TZK88" s="109"/>
      <c r="TZL88" s="12"/>
      <c r="TZM88" s="109"/>
      <c r="TZN88" s="12"/>
      <c r="TZO88" s="109"/>
      <c r="TZP88" s="12"/>
      <c r="TZQ88" s="109"/>
      <c r="TZR88" s="12"/>
      <c r="TZS88" s="109"/>
      <c r="TZT88" s="12"/>
      <c r="TZU88" s="109"/>
      <c r="TZV88" s="12"/>
      <c r="TZW88" s="109"/>
      <c r="TZX88" s="12"/>
      <c r="TZY88" s="109"/>
      <c r="TZZ88" s="12"/>
      <c r="UAA88" s="109"/>
      <c r="UAB88" s="12"/>
      <c r="UAC88" s="109"/>
      <c r="UAD88" s="12"/>
      <c r="UAE88" s="109"/>
      <c r="UAF88" s="12"/>
      <c r="UAG88" s="109"/>
      <c r="UAH88" s="12"/>
      <c r="UAI88" s="109"/>
      <c r="UAJ88" s="12"/>
      <c r="UAK88" s="109"/>
      <c r="UAL88" s="12"/>
      <c r="UAM88" s="109"/>
      <c r="UAN88" s="12"/>
      <c r="UAO88" s="109"/>
      <c r="UAP88" s="12"/>
      <c r="UAQ88" s="109"/>
      <c r="UAR88" s="12"/>
      <c r="UAS88" s="109"/>
      <c r="UAT88" s="12"/>
      <c r="UAU88" s="109"/>
      <c r="UAV88" s="12"/>
      <c r="UAW88" s="109"/>
      <c r="UAX88" s="12"/>
      <c r="UAY88" s="109"/>
      <c r="UAZ88" s="12"/>
      <c r="UBA88" s="109"/>
      <c r="UBB88" s="12"/>
      <c r="UBC88" s="109"/>
      <c r="UBD88" s="12"/>
      <c r="UBE88" s="109"/>
      <c r="UBF88" s="12"/>
      <c r="UBG88" s="109"/>
      <c r="UBH88" s="12"/>
      <c r="UBI88" s="109"/>
      <c r="UBJ88" s="12"/>
      <c r="UBK88" s="109"/>
      <c r="UBL88" s="12"/>
      <c r="UBM88" s="109"/>
      <c r="UBN88" s="12"/>
      <c r="UBO88" s="109"/>
      <c r="UBP88" s="12"/>
      <c r="UBQ88" s="109"/>
      <c r="UBR88" s="12"/>
      <c r="UBS88" s="109"/>
      <c r="UBT88" s="12"/>
      <c r="UBU88" s="109"/>
      <c r="UBV88" s="12"/>
      <c r="UBW88" s="109"/>
      <c r="UBX88" s="12"/>
      <c r="UBY88" s="109"/>
      <c r="UBZ88" s="12"/>
      <c r="UCA88" s="109"/>
      <c r="UCB88" s="12"/>
      <c r="UCC88" s="109"/>
      <c r="UCD88" s="12"/>
      <c r="UCE88" s="109"/>
      <c r="UCF88" s="12"/>
      <c r="UCG88" s="109"/>
      <c r="UCH88" s="12"/>
      <c r="UCI88" s="109"/>
      <c r="UCJ88" s="12"/>
      <c r="UCK88" s="109"/>
      <c r="UCL88" s="12"/>
      <c r="UCM88" s="109"/>
      <c r="UCN88" s="12"/>
      <c r="UCO88" s="109"/>
      <c r="UCP88" s="12"/>
      <c r="UCQ88" s="109"/>
      <c r="UCR88" s="12"/>
      <c r="UCS88" s="109"/>
      <c r="UCT88" s="12"/>
      <c r="UCU88" s="109"/>
      <c r="UCV88" s="12"/>
      <c r="UCW88" s="109"/>
      <c r="UCX88" s="12"/>
      <c r="UCY88" s="109"/>
      <c r="UCZ88" s="12"/>
      <c r="UDA88" s="109"/>
      <c r="UDB88" s="12"/>
      <c r="UDC88" s="109"/>
      <c r="UDD88" s="12"/>
      <c r="UDE88" s="109"/>
      <c r="UDF88" s="12"/>
      <c r="UDG88" s="109"/>
      <c r="UDH88" s="12"/>
      <c r="UDI88" s="109"/>
      <c r="UDJ88" s="12"/>
      <c r="UDK88" s="109"/>
      <c r="UDL88" s="12"/>
      <c r="UDM88" s="109"/>
      <c r="UDN88" s="12"/>
      <c r="UDO88" s="109"/>
      <c r="UDP88" s="12"/>
      <c r="UDQ88" s="109"/>
      <c r="UDR88" s="12"/>
      <c r="UDS88" s="109"/>
      <c r="UDT88" s="12"/>
      <c r="UDU88" s="109"/>
      <c r="UDV88" s="12"/>
      <c r="UDW88" s="109"/>
      <c r="UDX88" s="12"/>
      <c r="UDY88" s="109"/>
      <c r="UDZ88" s="12"/>
      <c r="UEA88" s="109"/>
      <c r="UEB88" s="12"/>
      <c r="UEC88" s="109"/>
      <c r="UED88" s="12"/>
      <c r="UEE88" s="109"/>
      <c r="UEF88" s="12"/>
      <c r="UEG88" s="109"/>
      <c r="UEH88" s="12"/>
      <c r="UEI88" s="109"/>
      <c r="UEJ88" s="12"/>
      <c r="UEK88" s="109"/>
      <c r="UEL88" s="12"/>
      <c r="UEM88" s="109"/>
      <c r="UEN88" s="12"/>
      <c r="UEO88" s="109"/>
      <c r="UEP88" s="12"/>
      <c r="UEQ88" s="109"/>
      <c r="UER88" s="12"/>
      <c r="UES88" s="109"/>
      <c r="UET88" s="12"/>
      <c r="UEU88" s="109"/>
      <c r="UEV88" s="12"/>
      <c r="UEW88" s="109"/>
      <c r="UEX88" s="12"/>
      <c r="UEY88" s="109"/>
      <c r="UEZ88" s="12"/>
      <c r="UFA88" s="109"/>
      <c r="UFB88" s="12"/>
      <c r="UFC88" s="109"/>
      <c r="UFD88" s="12"/>
      <c r="UFE88" s="109"/>
      <c r="UFF88" s="12"/>
      <c r="UFG88" s="109"/>
      <c r="UFH88" s="12"/>
      <c r="UFI88" s="109"/>
      <c r="UFJ88" s="12"/>
      <c r="UFK88" s="109"/>
      <c r="UFL88" s="12"/>
      <c r="UFM88" s="109"/>
      <c r="UFN88" s="12"/>
      <c r="UFO88" s="109"/>
      <c r="UFP88" s="12"/>
      <c r="UFQ88" s="109"/>
      <c r="UFR88" s="12"/>
      <c r="UFS88" s="109"/>
      <c r="UFT88" s="12"/>
      <c r="UFU88" s="109"/>
      <c r="UFV88" s="12"/>
      <c r="UFW88" s="109"/>
      <c r="UFX88" s="12"/>
      <c r="UFY88" s="109"/>
      <c r="UFZ88" s="12"/>
      <c r="UGA88" s="109"/>
      <c r="UGB88" s="12"/>
      <c r="UGC88" s="109"/>
      <c r="UGD88" s="12"/>
      <c r="UGE88" s="109"/>
      <c r="UGF88" s="12"/>
      <c r="UGG88" s="109"/>
      <c r="UGH88" s="12"/>
      <c r="UGI88" s="109"/>
      <c r="UGJ88" s="12"/>
      <c r="UGK88" s="109"/>
      <c r="UGL88" s="12"/>
      <c r="UGM88" s="109"/>
      <c r="UGN88" s="12"/>
      <c r="UGO88" s="109"/>
      <c r="UGP88" s="12"/>
      <c r="UGQ88" s="109"/>
      <c r="UGR88" s="12"/>
      <c r="UGS88" s="109"/>
      <c r="UGT88" s="12"/>
      <c r="UGU88" s="109"/>
      <c r="UGV88" s="12"/>
      <c r="UGW88" s="109"/>
      <c r="UGX88" s="12"/>
      <c r="UGY88" s="109"/>
      <c r="UGZ88" s="12"/>
      <c r="UHA88" s="109"/>
      <c r="UHB88" s="12"/>
      <c r="UHC88" s="109"/>
      <c r="UHD88" s="12"/>
      <c r="UHE88" s="109"/>
      <c r="UHF88" s="12"/>
      <c r="UHG88" s="109"/>
      <c r="UHH88" s="12"/>
      <c r="UHI88" s="109"/>
      <c r="UHJ88" s="12"/>
      <c r="UHK88" s="109"/>
      <c r="UHL88" s="12"/>
      <c r="UHM88" s="109"/>
      <c r="UHN88" s="12"/>
      <c r="UHO88" s="109"/>
      <c r="UHP88" s="12"/>
      <c r="UHQ88" s="109"/>
      <c r="UHR88" s="12"/>
      <c r="UHS88" s="109"/>
      <c r="UHT88" s="12"/>
      <c r="UHU88" s="109"/>
      <c r="UHV88" s="12"/>
      <c r="UHW88" s="109"/>
      <c r="UHX88" s="12"/>
      <c r="UHY88" s="109"/>
      <c r="UHZ88" s="12"/>
      <c r="UIA88" s="109"/>
      <c r="UIB88" s="12"/>
      <c r="UIC88" s="109"/>
      <c r="UID88" s="12"/>
      <c r="UIE88" s="109"/>
      <c r="UIF88" s="12"/>
      <c r="UIG88" s="109"/>
      <c r="UIH88" s="12"/>
      <c r="UII88" s="109"/>
      <c r="UIJ88" s="12"/>
      <c r="UIK88" s="109"/>
      <c r="UIL88" s="12"/>
      <c r="UIM88" s="109"/>
      <c r="UIN88" s="12"/>
      <c r="UIO88" s="109"/>
      <c r="UIP88" s="12"/>
      <c r="UIQ88" s="109"/>
      <c r="UIR88" s="12"/>
      <c r="UIS88" s="109"/>
      <c r="UIT88" s="12"/>
      <c r="UIU88" s="109"/>
      <c r="UIV88" s="12"/>
      <c r="UIW88" s="109"/>
      <c r="UIX88" s="12"/>
      <c r="UIY88" s="109"/>
      <c r="UIZ88" s="12"/>
      <c r="UJA88" s="109"/>
      <c r="UJB88" s="12"/>
      <c r="UJC88" s="109"/>
      <c r="UJD88" s="12"/>
      <c r="UJE88" s="109"/>
      <c r="UJF88" s="12"/>
      <c r="UJG88" s="109"/>
      <c r="UJH88" s="12"/>
      <c r="UJI88" s="109"/>
      <c r="UJJ88" s="12"/>
      <c r="UJK88" s="109"/>
      <c r="UJL88" s="12"/>
      <c r="UJM88" s="109"/>
      <c r="UJN88" s="12"/>
      <c r="UJO88" s="109"/>
      <c r="UJP88" s="12"/>
      <c r="UJQ88" s="109"/>
      <c r="UJR88" s="12"/>
      <c r="UJS88" s="109"/>
      <c r="UJT88" s="12"/>
      <c r="UJU88" s="109"/>
      <c r="UJV88" s="12"/>
      <c r="UJW88" s="109"/>
      <c r="UJX88" s="12"/>
      <c r="UJY88" s="109"/>
      <c r="UJZ88" s="12"/>
      <c r="UKA88" s="109"/>
      <c r="UKB88" s="12"/>
      <c r="UKC88" s="109"/>
      <c r="UKD88" s="12"/>
      <c r="UKE88" s="109"/>
      <c r="UKF88" s="12"/>
      <c r="UKG88" s="109"/>
      <c r="UKH88" s="12"/>
      <c r="UKI88" s="109"/>
      <c r="UKJ88" s="12"/>
      <c r="UKK88" s="109"/>
      <c r="UKL88" s="12"/>
      <c r="UKM88" s="109"/>
      <c r="UKN88" s="12"/>
      <c r="UKO88" s="109"/>
      <c r="UKP88" s="12"/>
      <c r="UKQ88" s="109"/>
      <c r="UKR88" s="12"/>
      <c r="UKS88" s="109"/>
      <c r="UKT88" s="12"/>
      <c r="UKU88" s="109"/>
      <c r="UKV88" s="12"/>
      <c r="UKW88" s="109"/>
      <c r="UKX88" s="12"/>
      <c r="UKY88" s="109"/>
      <c r="UKZ88" s="12"/>
      <c r="ULA88" s="109"/>
      <c r="ULB88" s="12"/>
      <c r="ULC88" s="109"/>
      <c r="ULD88" s="12"/>
      <c r="ULE88" s="109"/>
      <c r="ULF88" s="12"/>
      <c r="ULG88" s="109"/>
      <c r="ULH88" s="12"/>
      <c r="ULI88" s="109"/>
      <c r="ULJ88" s="12"/>
      <c r="ULK88" s="109"/>
      <c r="ULL88" s="12"/>
      <c r="ULM88" s="109"/>
      <c r="ULN88" s="12"/>
      <c r="ULO88" s="109"/>
      <c r="ULP88" s="12"/>
      <c r="ULQ88" s="109"/>
      <c r="ULR88" s="12"/>
      <c r="ULS88" s="109"/>
      <c r="ULT88" s="12"/>
      <c r="ULU88" s="109"/>
      <c r="ULV88" s="12"/>
      <c r="ULW88" s="109"/>
      <c r="ULX88" s="12"/>
      <c r="ULY88" s="109"/>
      <c r="ULZ88" s="12"/>
      <c r="UMA88" s="109"/>
      <c r="UMB88" s="12"/>
      <c r="UMC88" s="109"/>
      <c r="UMD88" s="12"/>
      <c r="UME88" s="109"/>
      <c r="UMF88" s="12"/>
      <c r="UMG88" s="109"/>
      <c r="UMH88" s="12"/>
      <c r="UMI88" s="109"/>
      <c r="UMJ88" s="12"/>
      <c r="UMK88" s="109"/>
      <c r="UML88" s="12"/>
      <c r="UMM88" s="109"/>
      <c r="UMN88" s="12"/>
      <c r="UMO88" s="109"/>
      <c r="UMP88" s="12"/>
      <c r="UMQ88" s="109"/>
      <c r="UMR88" s="12"/>
      <c r="UMS88" s="109"/>
      <c r="UMT88" s="12"/>
      <c r="UMU88" s="109"/>
      <c r="UMV88" s="12"/>
      <c r="UMW88" s="109"/>
      <c r="UMX88" s="12"/>
      <c r="UMY88" s="109"/>
      <c r="UMZ88" s="12"/>
      <c r="UNA88" s="109"/>
      <c r="UNB88" s="12"/>
      <c r="UNC88" s="109"/>
      <c r="UND88" s="12"/>
      <c r="UNE88" s="109"/>
      <c r="UNF88" s="12"/>
      <c r="UNG88" s="109"/>
      <c r="UNH88" s="12"/>
      <c r="UNI88" s="109"/>
      <c r="UNJ88" s="12"/>
      <c r="UNK88" s="109"/>
      <c r="UNL88" s="12"/>
      <c r="UNM88" s="109"/>
      <c r="UNN88" s="12"/>
      <c r="UNO88" s="109"/>
      <c r="UNP88" s="12"/>
      <c r="UNQ88" s="109"/>
      <c r="UNR88" s="12"/>
      <c r="UNS88" s="109"/>
      <c r="UNT88" s="12"/>
      <c r="UNU88" s="109"/>
      <c r="UNV88" s="12"/>
      <c r="UNW88" s="109"/>
      <c r="UNX88" s="12"/>
      <c r="UNY88" s="109"/>
      <c r="UNZ88" s="12"/>
      <c r="UOA88" s="109"/>
      <c r="UOB88" s="12"/>
      <c r="UOC88" s="109"/>
      <c r="UOD88" s="12"/>
      <c r="UOE88" s="109"/>
      <c r="UOF88" s="12"/>
      <c r="UOG88" s="109"/>
      <c r="UOH88" s="12"/>
      <c r="UOI88" s="109"/>
      <c r="UOJ88" s="12"/>
      <c r="UOK88" s="109"/>
      <c r="UOL88" s="12"/>
      <c r="UOM88" s="109"/>
      <c r="UON88" s="12"/>
      <c r="UOO88" s="109"/>
      <c r="UOP88" s="12"/>
      <c r="UOQ88" s="109"/>
      <c r="UOR88" s="12"/>
      <c r="UOS88" s="109"/>
      <c r="UOT88" s="12"/>
      <c r="UOU88" s="109"/>
      <c r="UOV88" s="12"/>
      <c r="UOW88" s="109"/>
      <c r="UOX88" s="12"/>
      <c r="UOY88" s="109"/>
      <c r="UOZ88" s="12"/>
      <c r="UPA88" s="109"/>
      <c r="UPB88" s="12"/>
      <c r="UPC88" s="109"/>
      <c r="UPD88" s="12"/>
      <c r="UPE88" s="109"/>
      <c r="UPF88" s="12"/>
      <c r="UPG88" s="109"/>
      <c r="UPH88" s="12"/>
      <c r="UPI88" s="109"/>
      <c r="UPJ88" s="12"/>
      <c r="UPK88" s="109"/>
      <c r="UPL88" s="12"/>
      <c r="UPM88" s="109"/>
      <c r="UPN88" s="12"/>
      <c r="UPO88" s="109"/>
      <c r="UPP88" s="12"/>
      <c r="UPQ88" s="109"/>
      <c r="UPR88" s="12"/>
      <c r="UPS88" s="109"/>
      <c r="UPT88" s="12"/>
      <c r="UPU88" s="109"/>
      <c r="UPV88" s="12"/>
      <c r="UPW88" s="109"/>
      <c r="UPX88" s="12"/>
      <c r="UPY88" s="109"/>
      <c r="UPZ88" s="12"/>
      <c r="UQA88" s="109"/>
      <c r="UQB88" s="12"/>
      <c r="UQC88" s="109"/>
      <c r="UQD88" s="12"/>
      <c r="UQE88" s="109"/>
      <c r="UQF88" s="12"/>
      <c r="UQG88" s="109"/>
      <c r="UQH88" s="12"/>
      <c r="UQI88" s="109"/>
      <c r="UQJ88" s="12"/>
      <c r="UQK88" s="109"/>
      <c r="UQL88" s="12"/>
      <c r="UQM88" s="109"/>
      <c r="UQN88" s="12"/>
      <c r="UQO88" s="109"/>
      <c r="UQP88" s="12"/>
      <c r="UQQ88" s="109"/>
      <c r="UQR88" s="12"/>
      <c r="UQS88" s="109"/>
      <c r="UQT88" s="12"/>
      <c r="UQU88" s="109"/>
      <c r="UQV88" s="12"/>
      <c r="UQW88" s="109"/>
      <c r="UQX88" s="12"/>
      <c r="UQY88" s="109"/>
      <c r="UQZ88" s="12"/>
      <c r="URA88" s="109"/>
      <c r="URB88" s="12"/>
      <c r="URC88" s="109"/>
      <c r="URD88" s="12"/>
      <c r="URE88" s="109"/>
      <c r="URF88" s="12"/>
      <c r="URG88" s="109"/>
      <c r="URH88" s="12"/>
      <c r="URI88" s="109"/>
      <c r="URJ88" s="12"/>
      <c r="URK88" s="109"/>
      <c r="URL88" s="12"/>
      <c r="URM88" s="109"/>
      <c r="URN88" s="12"/>
      <c r="URO88" s="109"/>
      <c r="URP88" s="12"/>
      <c r="URQ88" s="109"/>
      <c r="URR88" s="12"/>
      <c r="URS88" s="109"/>
      <c r="URT88" s="12"/>
      <c r="URU88" s="109"/>
      <c r="URV88" s="12"/>
      <c r="URW88" s="109"/>
      <c r="URX88" s="12"/>
      <c r="URY88" s="109"/>
      <c r="URZ88" s="12"/>
      <c r="USA88" s="109"/>
      <c r="USB88" s="12"/>
      <c r="USC88" s="109"/>
      <c r="USD88" s="12"/>
      <c r="USE88" s="109"/>
      <c r="USF88" s="12"/>
      <c r="USG88" s="109"/>
      <c r="USH88" s="12"/>
      <c r="USI88" s="109"/>
      <c r="USJ88" s="12"/>
      <c r="USK88" s="109"/>
      <c r="USL88" s="12"/>
      <c r="USM88" s="109"/>
      <c r="USN88" s="12"/>
      <c r="USO88" s="109"/>
      <c r="USP88" s="12"/>
      <c r="USQ88" s="109"/>
      <c r="USR88" s="12"/>
      <c r="USS88" s="109"/>
      <c r="UST88" s="12"/>
      <c r="USU88" s="109"/>
      <c r="USV88" s="12"/>
      <c r="USW88" s="109"/>
      <c r="USX88" s="12"/>
      <c r="USY88" s="109"/>
      <c r="USZ88" s="12"/>
      <c r="UTA88" s="109"/>
      <c r="UTB88" s="12"/>
      <c r="UTC88" s="109"/>
      <c r="UTD88" s="12"/>
      <c r="UTE88" s="109"/>
      <c r="UTF88" s="12"/>
      <c r="UTG88" s="109"/>
      <c r="UTH88" s="12"/>
      <c r="UTI88" s="109"/>
      <c r="UTJ88" s="12"/>
      <c r="UTK88" s="109"/>
      <c r="UTL88" s="12"/>
      <c r="UTM88" s="109"/>
      <c r="UTN88" s="12"/>
      <c r="UTO88" s="109"/>
      <c r="UTP88" s="12"/>
      <c r="UTQ88" s="109"/>
      <c r="UTR88" s="12"/>
      <c r="UTS88" s="109"/>
      <c r="UTT88" s="12"/>
      <c r="UTU88" s="109"/>
      <c r="UTV88" s="12"/>
      <c r="UTW88" s="109"/>
      <c r="UTX88" s="12"/>
      <c r="UTY88" s="109"/>
      <c r="UTZ88" s="12"/>
      <c r="UUA88" s="109"/>
      <c r="UUB88" s="12"/>
      <c r="UUC88" s="109"/>
      <c r="UUD88" s="12"/>
      <c r="UUE88" s="109"/>
      <c r="UUF88" s="12"/>
      <c r="UUG88" s="109"/>
      <c r="UUH88" s="12"/>
      <c r="UUI88" s="109"/>
      <c r="UUJ88" s="12"/>
      <c r="UUK88" s="109"/>
      <c r="UUL88" s="12"/>
      <c r="UUM88" s="109"/>
      <c r="UUN88" s="12"/>
      <c r="UUO88" s="109"/>
      <c r="UUP88" s="12"/>
      <c r="UUQ88" s="109"/>
      <c r="UUR88" s="12"/>
      <c r="UUS88" s="109"/>
      <c r="UUT88" s="12"/>
      <c r="UUU88" s="109"/>
      <c r="UUV88" s="12"/>
      <c r="UUW88" s="109"/>
      <c r="UUX88" s="12"/>
      <c r="UUY88" s="109"/>
      <c r="UUZ88" s="12"/>
      <c r="UVA88" s="109"/>
      <c r="UVB88" s="12"/>
      <c r="UVC88" s="109"/>
      <c r="UVD88" s="12"/>
      <c r="UVE88" s="109"/>
      <c r="UVF88" s="12"/>
      <c r="UVG88" s="109"/>
      <c r="UVH88" s="12"/>
      <c r="UVI88" s="109"/>
      <c r="UVJ88" s="12"/>
      <c r="UVK88" s="109"/>
      <c r="UVL88" s="12"/>
      <c r="UVM88" s="109"/>
      <c r="UVN88" s="12"/>
      <c r="UVO88" s="109"/>
      <c r="UVP88" s="12"/>
      <c r="UVQ88" s="109"/>
      <c r="UVR88" s="12"/>
      <c r="UVS88" s="109"/>
      <c r="UVT88" s="12"/>
      <c r="UVU88" s="109"/>
      <c r="UVV88" s="12"/>
      <c r="UVW88" s="109"/>
      <c r="UVX88" s="12"/>
      <c r="UVY88" s="109"/>
      <c r="UVZ88" s="12"/>
      <c r="UWA88" s="109"/>
      <c r="UWB88" s="12"/>
      <c r="UWC88" s="109"/>
      <c r="UWD88" s="12"/>
      <c r="UWE88" s="109"/>
      <c r="UWF88" s="12"/>
      <c r="UWG88" s="109"/>
      <c r="UWH88" s="12"/>
      <c r="UWI88" s="109"/>
      <c r="UWJ88" s="12"/>
      <c r="UWK88" s="109"/>
      <c r="UWL88" s="12"/>
      <c r="UWM88" s="109"/>
      <c r="UWN88" s="12"/>
      <c r="UWO88" s="109"/>
      <c r="UWP88" s="12"/>
      <c r="UWQ88" s="109"/>
      <c r="UWR88" s="12"/>
      <c r="UWS88" s="109"/>
      <c r="UWT88" s="12"/>
      <c r="UWU88" s="109"/>
      <c r="UWV88" s="12"/>
      <c r="UWW88" s="109"/>
      <c r="UWX88" s="12"/>
      <c r="UWY88" s="109"/>
      <c r="UWZ88" s="12"/>
      <c r="UXA88" s="109"/>
      <c r="UXB88" s="12"/>
      <c r="UXC88" s="109"/>
      <c r="UXD88" s="12"/>
      <c r="UXE88" s="109"/>
      <c r="UXF88" s="12"/>
      <c r="UXG88" s="109"/>
      <c r="UXH88" s="12"/>
      <c r="UXI88" s="109"/>
      <c r="UXJ88" s="12"/>
      <c r="UXK88" s="109"/>
      <c r="UXL88" s="12"/>
      <c r="UXM88" s="109"/>
      <c r="UXN88" s="12"/>
      <c r="UXO88" s="109"/>
      <c r="UXP88" s="12"/>
      <c r="UXQ88" s="109"/>
      <c r="UXR88" s="12"/>
      <c r="UXS88" s="109"/>
      <c r="UXT88" s="12"/>
      <c r="UXU88" s="109"/>
      <c r="UXV88" s="12"/>
      <c r="UXW88" s="109"/>
      <c r="UXX88" s="12"/>
      <c r="UXY88" s="109"/>
      <c r="UXZ88" s="12"/>
      <c r="UYA88" s="109"/>
      <c r="UYB88" s="12"/>
      <c r="UYC88" s="109"/>
      <c r="UYD88" s="12"/>
      <c r="UYE88" s="109"/>
      <c r="UYF88" s="12"/>
      <c r="UYG88" s="109"/>
      <c r="UYH88" s="12"/>
      <c r="UYI88" s="109"/>
      <c r="UYJ88" s="12"/>
      <c r="UYK88" s="109"/>
      <c r="UYL88" s="12"/>
      <c r="UYM88" s="109"/>
      <c r="UYN88" s="12"/>
      <c r="UYO88" s="109"/>
      <c r="UYP88" s="12"/>
      <c r="UYQ88" s="109"/>
      <c r="UYR88" s="12"/>
      <c r="UYS88" s="109"/>
      <c r="UYT88" s="12"/>
      <c r="UYU88" s="109"/>
      <c r="UYV88" s="12"/>
      <c r="UYW88" s="109"/>
      <c r="UYX88" s="12"/>
      <c r="UYY88" s="109"/>
      <c r="UYZ88" s="12"/>
      <c r="UZA88" s="109"/>
      <c r="UZB88" s="12"/>
      <c r="UZC88" s="109"/>
      <c r="UZD88" s="12"/>
      <c r="UZE88" s="109"/>
      <c r="UZF88" s="12"/>
      <c r="UZG88" s="109"/>
      <c r="UZH88" s="12"/>
      <c r="UZI88" s="109"/>
      <c r="UZJ88" s="12"/>
      <c r="UZK88" s="109"/>
      <c r="UZL88" s="12"/>
      <c r="UZM88" s="109"/>
      <c r="UZN88" s="12"/>
      <c r="UZO88" s="109"/>
      <c r="UZP88" s="12"/>
      <c r="UZQ88" s="109"/>
      <c r="UZR88" s="12"/>
      <c r="UZS88" s="109"/>
      <c r="UZT88" s="12"/>
      <c r="UZU88" s="109"/>
      <c r="UZV88" s="12"/>
      <c r="UZW88" s="109"/>
      <c r="UZX88" s="12"/>
      <c r="UZY88" s="109"/>
      <c r="UZZ88" s="12"/>
      <c r="VAA88" s="109"/>
      <c r="VAB88" s="12"/>
      <c r="VAC88" s="109"/>
      <c r="VAD88" s="12"/>
      <c r="VAE88" s="109"/>
      <c r="VAF88" s="12"/>
      <c r="VAG88" s="109"/>
      <c r="VAH88" s="12"/>
      <c r="VAI88" s="109"/>
      <c r="VAJ88" s="12"/>
      <c r="VAK88" s="109"/>
      <c r="VAL88" s="12"/>
      <c r="VAM88" s="109"/>
      <c r="VAN88" s="12"/>
      <c r="VAO88" s="109"/>
      <c r="VAP88" s="12"/>
      <c r="VAQ88" s="109"/>
      <c r="VAR88" s="12"/>
      <c r="VAS88" s="109"/>
      <c r="VAT88" s="12"/>
      <c r="VAU88" s="109"/>
      <c r="VAV88" s="12"/>
      <c r="VAW88" s="109"/>
      <c r="VAX88" s="12"/>
      <c r="VAY88" s="109"/>
      <c r="VAZ88" s="12"/>
      <c r="VBA88" s="109"/>
      <c r="VBB88" s="12"/>
      <c r="VBC88" s="109"/>
      <c r="VBD88" s="12"/>
      <c r="VBE88" s="109"/>
      <c r="VBF88" s="12"/>
      <c r="VBG88" s="109"/>
      <c r="VBH88" s="12"/>
      <c r="VBI88" s="109"/>
      <c r="VBJ88" s="12"/>
      <c r="VBK88" s="109"/>
      <c r="VBL88" s="12"/>
      <c r="VBM88" s="109"/>
      <c r="VBN88" s="12"/>
      <c r="VBO88" s="109"/>
      <c r="VBP88" s="12"/>
      <c r="VBQ88" s="109"/>
      <c r="VBR88" s="12"/>
      <c r="VBS88" s="109"/>
      <c r="VBT88" s="12"/>
      <c r="VBU88" s="109"/>
      <c r="VBV88" s="12"/>
      <c r="VBW88" s="109"/>
      <c r="VBX88" s="12"/>
      <c r="VBY88" s="109"/>
      <c r="VBZ88" s="12"/>
      <c r="VCA88" s="109"/>
      <c r="VCB88" s="12"/>
      <c r="VCC88" s="109"/>
      <c r="VCD88" s="12"/>
      <c r="VCE88" s="109"/>
      <c r="VCF88" s="12"/>
      <c r="VCG88" s="109"/>
      <c r="VCH88" s="12"/>
      <c r="VCI88" s="109"/>
      <c r="VCJ88" s="12"/>
      <c r="VCK88" s="109"/>
      <c r="VCL88" s="12"/>
      <c r="VCM88" s="109"/>
      <c r="VCN88" s="12"/>
      <c r="VCO88" s="109"/>
      <c r="VCP88" s="12"/>
      <c r="VCQ88" s="109"/>
      <c r="VCR88" s="12"/>
      <c r="VCS88" s="109"/>
      <c r="VCT88" s="12"/>
      <c r="VCU88" s="109"/>
      <c r="VCV88" s="12"/>
      <c r="VCW88" s="109"/>
      <c r="VCX88" s="12"/>
      <c r="VCY88" s="109"/>
      <c r="VCZ88" s="12"/>
      <c r="VDA88" s="109"/>
      <c r="VDB88" s="12"/>
      <c r="VDC88" s="109"/>
      <c r="VDD88" s="12"/>
      <c r="VDE88" s="109"/>
      <c r="VDF88" s="12"/>
      <c r="VDG88" s="109"/>
      <c r="VDH88" s="12"/>
      <c r="VDI88" s="109"/>
      <c r="VDJ88" s="12"/>
      <c r="VDK88" s="109"/>
      <c r="VDL88" s="12"/>
      <c r="VDM88" s="109"/>
      <c r="VDN88" s="12"/>
      <c r="VDO88" s="109"/>
      <c r="VDP88" s="12"/>
      <c r="VDQ88" s="109"/>
      <c r="VDR88" s="12"/>
      <c r="VDS88" s="109"/>
      <c r="VDT88" s="12"/>
      <c r="VDU88" s="109"/>
      <c r="VDV88" s="12"/>
      <c r="VDW88" s="109"/>
      <c r="VDX88" s="12"/>
      <c r="VDY88" s="109"/>
      <c r="VDZ88" s="12"/>
      <c r="VEA88" s="109"/>
      <c r="VEB88" s="12"/>
      <c r="VEC88" s="109"/>
      <c r="VED88" s="12"/>
      <c r="VEE88" s="109"/>
      <c r="VEF88" s="12"/>
      <c r="VEG88" s="109"/>
      <c r="VEH88" s="12"/>
      <c r="VEI88" s="109"/>
      <c r="VEJ88" s="12"/>
      <c r="VEK88" s="109"/>
      <c r="VEL88" s="12"/>
      <c r="VEM88" s="109"/>
      <c r="VEN88" s="12"/>
      <c r="VEO88" s="109"/>
      <c r="VEP88" s="12"/>
      <c r="VEQ88" s="109"/>
      <c r="VER88" s="12"/>
      <c r="VES88" s="109"/>
      <c r="VET88" s="12"/>
      <c r="VEU88" s="109"/>
      <c r="VEV88" s="12"/>
      <c r="VEW88" s="109"/>
      <c r="VEX88" s="12"/>
      <c r="VEY88" s="109"/>
      <c r="VEZ88" s="12"/>
      <c r="VFA88" s="109"/>
      <c r="VFB88" s="12"/>
      <c r="VFC88" s="109"/>
      <c r="VFD88" s="12"/>
      <c r="VFE88" s="109"/>
      <c r="VFF88" s="12"/>
      <c r="VFG88" s="109"/>
      <c r="VFH88" s="12"/>
      <c r="VFI88" s="109"/>
      <c r="VFJ88" s="12"/>
      <c r="VFK88" s="109"/>
      <c r="VFL88" s="12"/>
      <c r="VFM88" s="109"/>
      <c r="VFN88" s="12"/>
      <c r="VFO88" s="109"/>
      <c r="VFP88" s="12"/>
      <c r="VFQ88" s="109"/>
      <c r="VFR88" s="12"/>
      <c r="VFS88" s="109"/>
      <c r="VFT88" s="12"/>
      <c r="VFU88" s="109"/>
      <c r="VFV88" s="12"/>
      <c r="VFW88" s="109"/>
      <c r="VFX88" s="12"/>
      <c r="VFY88" s="109"/>
      <c r="VFZ88" s="12"/>
      <c r="VGA88" s="109"/>
      <c r="VGB88" s="12"/>
      <c r="VGC88" s="109"/>
      <c r="VGD88" s="12"/>
      <c r="VGE88" s="109"/>
      <c r="VGF88" s="12"/>
      <c r="VGG88" s="109"/>
      <c r="VGH88" s="12"/>
      <c r="VGI88" s="109"/>
      <c r="VGJ88" s="12"/>
      <c r="VGK88" s="109"/>
      <c r="VGL88" s="12"/>
      <c r="VGM88" s="109"/>
      <c r="VGN88" s="12"/>
      <c r="VGO88" s="109"/>
      <c r="VGP88" s="12"/>
      <c r="VGQ88" s="109"/>
      <c r="VGR88" s="12"/>
      <c r="VGS88" s="109"/>
      <c r="VGT88" s="12"/>
      <c r="VGU88" s="109"/>
      <c r="VGV88" s="12"/>
      <c r="VGW88" s="109"/>
      <c r="VGX88" s="12"/>
      <c r="VGY88" s="109"/>
      <c r="VGZ88" s="12"/>
      <c r="VHA88" s="109"/>
      <c r="VHB88" s="12"/>
      <c r="VHC88" s="109"/>
      <c r="VHD88" s="12"/>
      <c r="VHE88" s="109"/>
      <c r="VHF88" s="12"/>
      <c r="VHG88" s="109"/>
      <c r="VHH88" s="12"/>
      <c r="VHI88" s="109"/>
      <c r="VHJ88" s="12"/>
      <c r="VHK88" s="109"/>
      <c r="VHL88" s="12"/>
      <c r="VHM88" s="109"/>
      <c r="VHN88" s="12"/>
      <c r="VHO88" s="109"/>
      <c r="VHP88" s="12"/>
      <c r="VHQ88" s="109"/>
      <c r="VHR88" s="12"/>
      <c r="VHS88" s="109"/>
      <c r="VHT88" s="12"/>
      <c r="VHU88" s="109"/>
      <c r="VHV88" s="12"/>
      <c r="VHW88" s="109"/>
      <c r="VHX88" s="12"/>
      <c r="VHY88" s="109"/>
      <c r="VHZ88" s="12"/>
      <c r="VIA88" s="109"/>
      <c r="VIB88" s="12"/>
      <c r="VIC88" s="109"/>
      <c r="VID88" s="12"/>
      <c r="VIE88" s="109"/>
      <c r="VIF88" s="12"/>
      <c r="VIG88" s="109"/>
      <c r="VIH88" s="12"/>
      <c r="VII88" s="109"/>
      <c r="VIJ88" s="12"/>
      <c r="VIK88" s="109"/>
      <c r="VIL88" s="12"/>
      <c r="VIM88" s="109"/>
      <c r="VIN88" s="12"/>
      <c r="VIO88" s="109"/>
      <c r="VIP88" s="12"/>
      <c r="VIQ88" s="109"/>
      <c r="VIR88" s="12"/>
      <c r="VIS88" s="109"/>
      <c r="VIT88" s="12"/>
      <c r="VIU88" s="109"/>
      <c r="VIV88" s="12"/>
      <c r="VIW88" s="109"/>
      <c r="VIX88" s="12"/>
      <c r="VIY88" s="109"/>
      <c r="VIZ88" s="12"/>
      <c r="VJA88" s="109"/>
      <c r="VJB88" s="12"/>
      <c r="VJC88" s="109"/>
      <c r="VJD88" s="12"/>
      <c r="VJE88" s="109"/>
      <c r="VJF88" s="12"/>
      <c r="VJG88" s="109"/>
      <c r="VJH88" s="12"/>
      <c r="VJI88" s="109"/>
      <c r="VJJ88" s="12"/>
      <c r="VJK88" s="109"/>
      <c r="VJL88" s="12"/>
      <c r="VJM88" s="109"/>
      <c r="VJN88" s="12"/>
      <c r="VJO88" s="109"/>
      <c r="VJP88" s="12"/>
      <c r="VJQ88" s="109"/>
      <c r="VJR88" s="12"/>
      <c r="VJS88" s="109"/>
      <c r="VJT88" s="12"/>
      <c r="VJU88" s="109"/>
      <c r="VJV88" s="12"/>
      <c r="VJW88" s="109"/>
      <c r="VJX88" s="12"/>
      <c r="VJY88" s="109"/>
      <c r="VJZ88" s="12"/>
      <c r="VKA88" s="109"/>
      <c r="VKB88" s="12"/>
      <c r="VKC88" s="109"/>
      <c r="VKD88" s="12"/>
      <c r="VKE88" s="109"/>
      <c r="VKF88" s="12"/>
      <c r="VKG88" s="109"/>
      <c r="VKH88" s="12"/>
      <c r="VKI88" s="109"/>
      <c r="VKJ88" s="12"/>
      <c r="VKK88" s="109"/>
      <c r="VKL88" s="12"/>
      <c r="VKM88" s="109"/>
      <c r="VKN88" s="12"/>
      <c r="VKO88" s="109"/>
      <c r="VKP88" s="12"/>
      <c r="VKQ88" s="109"/>
      <c r="VKR88" s="12"/>
      <c r="VKS88" s="109"/>
      <c r="VKT88" s="12"/>
      <c r="VKU88" s="109"/>
      <c r="VKV88" s="12"/>
      <c r="VKW88" s="109"/>
      <c r="VKX88" s="12"/>
      <c r="VKY88" s="109"/>
      <c r="VKZ88" s="12"/>
      <c r="VLA88" s="109"/>
      <c r="VLB88" s="12"/>
      <c r="VLC88" s="109"/>
      <c r="VLD88" s="12"/>
      <c r="VLE88" s="109"/>
      <c r="VLF88" s="12"/>
      <c r="VLG88" s="109"/>
      <c r="VLH88" s="12"/>
      <c r="VLI88" s="109"/>
      <c r="VLJ88" s="12"/>
      <c r="VLK88" s="109"/>
      <c r="VLL88" s="12"/>
      <c r="VLM88" s="109"/>
      <c r="VLN88" s="12"/>
      <c r="VLO88" s="109"/>
      <c r="VLP88" s="12"/>
      <c r="VLQ88" s="109"/>
      <c r="VLR88" s="12"/>
      <c r="VLS88" s="109"/>
      <c r="VLT88" s="12"/>
      <c r="VLU88" s="109"/>
      <c r="VLV88" s="12"/>
      <c r="VLW88" s="109"/>
      <c r="VLX88" s="12"/>
      <c r="VLY88" s="109"/>
      <c r="VLZ88" s="12"/>
      <c r="VMA88" s="109"/>
      <c r="VMB88" s="12"/>
      <c r="VMC88" s="109"/>
      <c r="VMD88" s="12"/>
      <c r="VME88" s="109"/>
      <c r="VMF88" s="12"/>
      <c r="VMG88" s="109"/>
      <c r="VMH88" s="12"/>
      <c r="VMI88" s="109"/>
      <c r="VMJ88" s="12"/>
      <c r="VMK88" s="109"/>
      <c r="VML88" s="12"/>
      <c r="VMM88" s="109"/>
      <c r="VMN88" s="12"/>
      <c r="VMO88" s="109"/>
      <c r="VMP88" s="12"/>
      <c r="VMQ88" s="109"/>
      <c r="VMR88" s="12"/>
      <c r="VMS88" s="109"/>
      <c r="VMT88" s="12"/>
      <c r="VMU88" s="109"/>
      <c r="VMV88" s="12"/>
      <c r="VMW88" s="109"/>
      <c r="VMX88" s="12"/>
      <c r="VMY88" s="109"/>
      <c r="VMZ88" s="12"/>
      <c r="VNA88" s="109"/>
      <c r="VNB88" s="12"/>
      <c r="VNC88" s="109"/>
      <c r="VND88" s="12"/>
      <c r="VNE88" s="109"/>
      <c r="VNF88" s="12"/>
      <c r="VNG88" s="109"/>
      <c r="VNH88" s="12"/>
      <c r="VNI88" s="109"/>
      <c r="VNJ88" s="12"/>
      <c r="VNK88" s="109"/>
      <c r="VNL88" s="12"/>
      <c r="VNM88" s="109"/>
      <c r="VNN88" s="12"/>
      <c r="VNO88" s="109"/>
      <c r="VNP88" s="12"/>
      <c r="VNQ88" s="109"/>
      <c r="VNR88" s="12"/>
      <c r="VNS88" s="109"/>
      <c r="VNT88" s="12"/>
      <c r="VNU88" s="109"/>
      <c r="VNV88" s="12"/>
      <c r="VNW88" s="109"/>
      <c r="VNX88" s="12"/>
      <c r="VNY88" s="109"/>
      <c r="VNZ88" s="12"/>
      <c r="VOA88" s="109"/>
      <c r="VOB88" s="12"/>
      <c r="VOC88" s="109"/>
      <c r="VOD88" s="12"/>
      <c r="VOE88" s="109"/>
      <c r="VOF88" s="12"/>
      <c r="VOG88" s="109"/>
      <c r="VOH88" s="12"/>
      <c r="VOI88" s="109"/>
      <c r="VOJ88" s="12"/>
      <c r="VOK88" s="109"/>
      <c r="VOL88" s="12"/>
      <c r="VOM88" s="109"/>
      <c r="VON88" s="12"/>
      <c r="VOO88" s="109"/>
      <c r="VOP88" s="12"/>
      <c r="VOQ88" s="109"/>
      <c r="VOR88" s="12"/>
      <c r="VOS88" s="109"/>
      <c r="VOT88" s="12"/>
      <c r="VOU88" s="109"/>
      <c r="VOV88" s="12"/>
      <c r="VOW88" s="109"/>
      <c r="VOX88" s="12"/>
      <c r="VOY88" s="109"/>
      <c r="VOZ88" s="12"/>
      <c r="VPA88" s="109"/>
      <c r="VPB88" s="12"/>
      <c r="VPC88" s="109"/>
      <c r="VPD88" s="12"/>
      <c r="VPE88" s="109"/>
      <c r="VPF88" s="12"/>
      <c r="VPG88" s="109"/>
      <c r="VPH88" s="12"/>
      <c r="VPI88" s="109"/>
      <c r="VPJ88" s="12"/>
      <c r="VPK88" s="109"/>
      <c r="VPL88" s="12"/>
      <c r="VPM88" s="109"/>
      <c r="VPN88" s="12"/>
      <c r="VPO88" s="109"/>
      <c r="VPP88" s="12"/>
      <c r="VPQ88" s="109"/>
      <c r="VPR88" s="12"/>
      <c r="VPS88" s="109"/>
      <c r="VPT88" s="12"/>
      <c r="VPU88" s="109"/>
      <c r="VPV88" s="12"/>
      <c r="VPW88" s="109"/>
      <c r="VPX88" s="12"/>
      <c r="VPY88" s="109"/>
      <c r="VPZ88" s="12"/>
      <c r="VQA88" s="109"/>
      <c r="VQB88" s="12"/>
      <c r="VQC88" s="109"/>
      <c r="VQD88" s="12"/>
      <c r="VQE88" s="109"/>
      <c r="VQF88" s="12"/>
      <c r="VQG88" s="109"/>
      <c r="VQH88" s="12"/>
      <c r="VQI88" s="109"/>
      <c r="VQJ88" s="12"/>
      <c r="VQK88" s="109"/>
      <c r="VQL88" s="12"/>
      <c r="VQM88" s="109"/>
      <c r="VQN88" s="12"/>
      <c r="VQO88" s="109"/>
      <c r="VQP88" s="12"/>
      <c r="VQQ88" s="109"/>
      <c r="VQR88" s="12"/>
      <c r="VQS88" s="109"/>
      <c r="VQT88" s="12"/>
      <c r="VQU88" s="109"/>
      <c r="VQV88" s="12"/>
      <c r="VQW88" s="109"/>
      <c r="VQX88" s="12"/>
      <c r="VQY88" s="109"/>
      <c r="VQZ88" s="12"/>
      <c r="VRA88" s="109"/>
      <c r="VRB88" s="12"/>
      <c r="VRC88" s="109"/>
      <c r="VRD88" s="12"/>
      <c r="VRE88" s="109"/>
      <c r="VRF88" s="12"/>
      <c r="VRG88" s="109"/>
      <c r="VRH88" s="12"/>
      <c r="VRI88" s="109"/>
      <c r="VRJ88" s="12"/>
      <c r="VRK88" s="109"/>
      <c r="VRL88" s="12"/>
      <c r="VRM88" s="109"/>
      <c r="VRN88" s="12"/>
      <c r="VRO88" s="109"/>
      <c r="VRP88" s="12"/>
      <c r="VRQ88" s="109"/>
      <c r="VRR88" s="12"/>
      <c r="VRS88" s="109"/>
      <c r="VRT88" s="12"/>
      <c r="VRU88" s="109"/>
      <c r="VRV88" s="12"/>
      <c r="VRW88" s="109"/>
      <c r="VRX88" s="12"/>
      <c r="VRY88" s="109"/>
      <c r="VRZ88" s="12"/>
      <c r="VSA88" s="109"/>
      <c r="VSB88" s="12"/>
      <c r="VSC88" s="109"/>
      <c r="VSD88" s="12"/>
      <c r="VSE88" s="109"/>
      <c r="VSF88" s="12"/>
      <c r="VSG88" s="109"/>
      <c r="VSH88" s="12"/>
      <c r="VSI88" s="109"/>
      <c r="VSJ88" s="12"/>
      <c r="VSK88" s="109"/>
      <c r="VSL88" s="12"/>
      <c r="VSM88" s="109"/>
      <c r="VSN88" s="12"/>
      <c r="VSO88" s="109"/>
      <c r="VSP88" s="12"/>
      <c r="VSQ88" s="109"/>
      <c r="VSR88" s="12"/>
      <c r="VSS88" s="109"/>
      <c r="VST88" s="12"/>
      <c r="VSU88" s="109"/>
      <c r="VSV88" s="12"/>
      <c r="VSW88" s="109"/>
      <c r="VSX88" s="12"/>
      <c r="VSY88" s="109"/>
      <c r="VSZ88" s="12"/>
      <c r="VTA88" s="109"/>
      <c r="VTB88" s="12"/>
      <c r="VTC88" s="109"/>
      <c r="VTD88" s="12"/>
      <c r="VTE88" s="109"/>
      <c r="VTF88" s="12"/>
      <c r="VTG88" s="109"/>
      <c r="VTH88" s="12"/>
      <c r="VTI88" s="109"/>
      <c r="VTJ88" s="12"/>
      <c r="VTK88" s="109"/>
      <c r="VTL88" s="12"/>
      <c r="VTM88" s="109"/>
      <c r="VTN88" s="12"/>
      <c r="VTO88" s="109"/>
      <c r="VTP88" s="12"/>
      <c r="VTQ88" s="109"/>
      <c r="VTR88" s="12"/>
      <c r="VTS88" s="109"/>
      <c r="VTT88" s="12"/>
      <c r="VTU88" s="109"/>
      <c r="VTV88" s="12"/>
      <c r="VTW88" s="109"/>
      <c r="VTX88" s="12"/>
      <c r="VTY88" s="109"/>
      <c r="VTZ88" s="12"/>
      <c r="VUA88" s="109"/>
      <c r="VUB88" s="12"/>
      <c r="VUC88" s="109"/>
      <c r="VUD88" s="12"/>
      <c r="VUE88" s="109"/>
      <c r="VUF88" s="12"/>
      <c r="VUG88" s="109"/>
      <c r="VUH88" s="12"/>
      <c r="VUI88" s="109"/>
      <c r="VUJ88" s="12"/>
      <c r="VUK88" s="109"/>
      <c r="VUL88" s="12"/>
      <c r="VUM88" s="109"/>
      <c r="VUN88" s="12"/>
      <c r="VUO88" s="109"/>
      <c r="VUP88" s="12"/>
      <c r="VUQ88" s="109"/>
      <c r="VUR88" s="12"/>
      <c r="VUS88" s="109"/>
      <c r="VUT88" s="12"/>
      <c r="VUU88" s="109"/>
      <c r="VUV88" s="12"/>
      <c r="VUW88" s="109"/>
      <c r="VUX88" s="12"/>
      <c r="VUY88" s="109"/>
      <c r="VUZ88" s="12"/>
      <c r="VVA88" s="109"/>
      <c r="VVB88" s="12"/>
      <c r="VVC88" s="109"/>
      <c r="VVD88" s="12"/>
      <c r="VVE88" s="109"/>
      <c r="VVF88" s="12"/>
      <c r="VVG88" s="109"/>
      <c r="VVH88" s="12"/>
      <c r="VVI88" s="109"/>
      <c r="VVJ88" s="12"/>
      <c r="VVK88" s="109"/>
      <c r="VVL88" s="12"/>
      <c r="VVM88" s="109"/>
      <c r="VVN88" s="12"/>
      <c r="VVO88" s="109"/>
      <c r="VVP88" s="12"/>
      <c r="VVQ88" s="109"/>
      <c r="VVR88" s="12"/>
      <c r="VVS88" s="109"/>
      <c r="VVT88" s="12"/>
      <c r="VVU88" s="109"/>
      <c r="VVV88" s="12"/>
      <c r="VVW88" s="109"/>
      <c r="VVX88" s="12"/>
      <c r="VVY88" s="109"/>
      <c r="VVZ88" s="12"/>
      <c r="VWA88" s="109"/>
      <c r="VWB88" s="12"/>
      <c r="VWC88" s="109"/>
      <c r="VWD88" s="12"/>
      <c r="VWE88" s="109"/>
      <c r="VWF88" s="12"/>
      <c r="VWG88" s="109"/>
      <c r="VWH88" s="12"/>
      <c r="VWI88" s="109"/>
      <c r="VWJ88" s="12"/>
      <c r="VWK88" s="109"/>
      <c r="VWL88" s="12"/>
      <c r="VWM88" s="109"/>
      <c r="VWN88" s="12"/>
      <c r="VWO88" s="109"/>
      <c r="VWP88" s="12"/>
      <c r="VWQ88" s="109"/>
      <c r="VWR88" s="12"/>
      <c r="VWS88" s="109"/>
      <c r="VWT88" s="12"/>
      <c r="VWU88" s="109"/>
      <c r="VWV88" s="12"/>
      <c r="VWW88" s="109"/>
      <c r="VWX88" s="12"/>
      <c r="VWY88" s="109"/>
      <c r="VWZ88" s="12"/>
      <c r="VXA88" s="109"/>
      <c r="VXB88" s="12"/>
      <c r="VXC88" s="109"/>
      <c r="VXD88" s="12"/>
      <c r="VXE88" s="109"/>
      <c r="VXF88" s="12"/>
      <c r="VXG88" s="109"/>
      <c r="VXH88" s="12"/>
      <c r="VXI88" s="109"/>
      <c r="VXJ88" s="12"/>
      <c r="VXK88" s="109"/>
      <c r="VXL88" s="12"/>
      <c r="VXM88" s="109"/>
      <c r="VXN88" s="12"/>
      <c r="VXO88" s="109"/>
      <c r="VXP88" s="12"/>
      <c r="VXQ88" s="109"/>
      <c r="VXR88" s="12"/>
      <c r="VXS88" s="109"/>
      <c r="VXT88" s="12"/>
      <c r="VXU88" s="109"/>
      <c r="VXV88" s="12"/>
      <c r="VXW88" s="109"/>
      <c r="VXX88" s="12"/>
      <c r="VXY88" s="109"/>
      <c r="VXZ88" s="12"/>
      <c r="VYA88" s="109"/>
      <c r="VYB88" s="12"/>
      <c r="VYC88" s="109"/>
      <c r="VYD88" s="12"/>
      <c r="VYE88" s="109"/>
      <c r="VYF88" s="12"/>
      <c r="VYG88" s="109"/>
      <c r="VYH88" s="12"/>
      <c r="VYI88" s="109"/>
      <c r="VYJ88" s="12"/>
      <c r="VYK88" s="109"/>
      <c r="VYL88" s="12"/>
      <c r="VYM88" s="109"/>
      <c r="VYN88" s="12"/>
      <c r="VYO88" s="109"/>
      <c r="VYP88" s="12"/>
      <c r="VYQ88" s="109"/>
      <c r="VYR88" s="12"/>
      <c r="VYS88" s="109"/>
      <c r="VYT88" s="12"/>
      <c r="VYU88" s="109"/>
      <c r="VYV88" s="12"/>
      <c r="VYW88" s="109"/>
      <c r="VYX88" s="12"/>
      <c r="VYY88" s="109"/>
      <c r="VYZ88" s="12"/>
      <c r="VZA88" s="109"/>
      <c r="VZB88" s="12"/>
      <c r="VZC88" s="109"/>
      <c r="VZD88" s="12"/>
      <c r="VZE88" s="109"/>
      <c r="VZF88" s="12"/>
      <c r="VZG88" s="109"/>
      <c r="VZH88" s="12"/>
      <c r="VZI88" s="109"/>
      <c r="VZJ88" s="12"/>
      <c r="VZK88" s="109"/>
      <c r="VZL88" s="12"/>
      <c r="VZM88" s="109"/>
      <c r="VZN88" s="12"/>
      <c r="VZO88" s="109"/>
      <c r="VZP88" s="12"/>
      <c r="VZQ88" s="109"/>
      <c r="VZR88" s="12"/>
      <c r="VZS88" s="109"/>
      <c r="VZT88" s="12"/>
      <c r="VZU88" s="109"/>
      <c r="VZV88" s="12"/>
      <c r="VZW88" s="109"/>
      <c r="VZX88" s="12"/>
      <c r="VZY88" s="109"/>
      <c r="VZZ88" s="12"/>
      <c r="WAA88" s="109"/>
      <c r="WAB88" s="12"/>
      <c r="WAC88" s="109"/>
      <c r="WAD88" s="12"/>
      <c r="WAE88" s="109"/>
      <c r="WAF88" s="12"/>
      <c r="WAG88" s="109"/>
      <c r="WAH88" s="12"/>
      <c r="WAI88" s="109"/>
      <c r="WAJ88" s="12"/>
      <c r="WAK88" s="109"/>
      <c r="WAL88" s="12"/>
      <c r="WAM88" s="109"/>
      <c r="WAN88" s="12"/>
      <c r="WAO88" s="109"/>
      <c r="WAP88" s="12"/>
      <c r="WAQ88" s="109"/>
      <c r="WAR88" s="12"/>
      <c r="WAS88" s="109"/>
      <c r="WAT88" s="12"/>
      <c r="WAU88" s="109"/>
      <c r="WAV88" s="12"/>
      <c r="WAW88" s="109"/>
      <c r="WAX88" s="12"/>
      <c r="WAY88" s="109"/>
      <c r="WAZ88" s="12"/>
      <c r="WBA88" s="109"/>
      <c r="WBB88" s="12"/>
      <c r="WBC88" s="109"/>
      <c r="WBD88" s="12"/>
      <c r="WBE88" s="109"/>
      <c r="WBF88" s="12"/>
      <c r="WBG88" s="109"/>
      <c r="WBH88" s="12"/>
      <c r="WBI88" s="109"/>
      <c r="WBJ88" s="12"/>
      <c r="WBK88" s="109"/>
      <c r="WBL88" s="12"/>
      <c r="WBM88" s="109"/>
      <c r="WBN88" s="12"/>
      <c r="WBO88" s="109"/>
      <c r="WBP88" s="12"/>
      <c r="WBQ88" s="109"/>
      <c r="WBR88" s="12"/>
      <c r="WBS88" s="109"/>
      <c r="WBT88" s="12"/>
      <c r="WBU88" s="109"/>
      <c r="WBV88" s="12"/>
      <c r="WBW88" s="109"/>
      <c r="WBX88" s="12"/>
      <c r="WBY88" s="109"/>
      <c r="WBZ88" s="12"/>
      <c r="WCA88" s="109"/>
      <c r="WCB88" s="12"/>
      <c r="WCC88" s="109"/>
      <c r="WCD88" s="12"/>
      <c r="WCE88" s="109"/>
      <c r="WCF88" s="12"/>
      <c r="WCG88" s="109"/>
      <c r="WCH88" s="12"/>
      <c r="WCI88" s="109"/>
      <c r="WCJ88" s="12"/>
      <c r="WCK88" s="109"/>
      <c r="WCL88" s="12"/>
      <c r="WCM88" s="109"/>
      <c r="WCN88" s="12"/>
      <c r="WCO88" s="109"/>
      <c r="WCP88" s="12"/>
      <c r="WCQ88" s="109"/>
      <c r="WCR88" s="12"/>
      <c r="WCS88" s="109"/>
      <c r="WCT88" s="12"/>
      <c r="WCU88" s="109"/>
      <c r="WCV88" s="12"/>
      <c r="WCW88" s="109"/>
      <c r="WCX88" s="12"/>
      <c r="WCY88" s="109"/>
      <c r="WCZ88" s="12"/>
      <c r="WDA88" s="109"/>
      <c r="WDB88" s="12"/>
      <c r="WDC88" s="109"/>
      <c r="WDD88" s="12"/>
      <c r="WDE88" s="109"/>
      <c r="WDF88" s="12"/>
      <c r="WDG88" s="109"/>
      <c r="WDH88" s="12"/>
      <c r="WDI88" s="109"/>
      <c r="WDJ88" s="12"/>
      <c r="WDK88" s="109"/>
      <c r="WDL88" s="12"/>
      <c r="WDM88" s="109"/>
      <c r="WDN88" s="12"/>
      <c r="WDO88" s="109"/>
      <c r="WDP88" s="12"/>
      <c r="WDQ88" s="109"/>
      <c r="WDR88" s="12"/>
      <c r="WDS88" s="109"/>
      <c r="WDT88" s="12"/>
      <c r="WDU88" s="109"/>
      <c r="WDV88" s="12"/>
      <c r="WDW88" s="109"/>
      <c r="WDX88" s="12"/>
      <c r="WDY88" s="109"/>
      <c r="WDZ88" s="12"/>
      <c r="WEA88" s="109"/>
      <c r="WEB88" s="12"/>
      <c r="WEC88" s="109"/>
      <c r="WED88" s="12"/>
      <c r="WEE88" s="109"/>
      <c r="WEF88" s="12"/>
      <c r="WEG88" s="109"/>
      <c r="WEH88" s="12"/>
      <c r="WEI88" s="109"/>
      <c r="WEJ88" s="12"/>
      <c r="WEK88" s="109"/>
      <c r="WEL88" s="12"/>
      <c r="WEM88" s="109"/>
      <c r="WEN88" s="12"/>
      <c r="WEO88" s="109"/>
      <c r="WEP88" s="12"/>
      <c r="WEQ88" s="109"/>
      <c r="WER88" s="12"/>
      <c r="WES88" s="109"/>
      <c r="WET88" s="12"/>
      <c r="WEU88" s="109"/>
      <c r="WEV88" s="12"/>
      <c r="WEW88" s="109"/>
      <c r="WEX88" s="12"/>
      <c r="WEY88" s="109"/>
      <c r="WEZ88" s="12"/>
      <c r="WFA88" s="109"/>
      <c r="WFB88" s="12"/>
      <c r="WFC88" s="109"/>
      <c r="WFD88" s="12"/>
      <c r="WFE88" s="109"/>
      <c r="WFF88" s="12"/>
      <c r="WFG88" s="109"/>
      <c r="WFH88" s="12"/>
      <c r="WFI88" s="109"/>
      <c r="WFJ88" s="12"/>
      <c r="WFK88" s="109"/>
      <c r="WFL88" s="12"/>
      <c r="WFM88" s="109"/>
      <c r="WFN88" s="12"/>
      <c r="WFO88" s="109"/>
      <c r="WFP88" s="12"/>
      <c r="WFQ88" s="109"/>
      <c r="WFR88" s="12"/>
      <c r="WFS88" s="109"/>
      <c r="WFT88" s="12"/>
      <c r="WFU88" s="109"/>
      <c r="WFV88" s="12"/>
      <c r="WFW88" s="109"/>
      <c r="WFX88" s="12"/>
      <c r="WFY88" s="109"/>
      <c r="WFZ88" s="12"/>
      <c r="WGA88" s="109"/>
      <c r="WGB88" s="12"/>
      <c r="WGC88" s="109"/>
      <c r="WGD88" s="12"/>
      <c r="WGE88" s="109"/>
      <c r="WGF88" s="12"/>
      <c r="WGG88" s="109"/>
      <c r="WGH88" s="12"/>
      <c r="WGI88" s="109"/>
      <c r="WGJ88" s="12"/>
      <c r="WGK88" s="109"/>
      <c r="WGL88" s="12"/>
      <c r="WGM88" s="109"/>
      <c r="WGN88" s="12"/>
      <c r="WGO88" s="109"/>
      <c r="WGP88" s="12"/>
      <c r="WGQ88" s="109"/>
      <c r="WGR88" s="12"/>
      <c r="WGS88" s="109"/>
      <c r="WGT88" s="12"/>
      <c r="WGU88" s="109"/>
      <c r="WGV88" s="12"/>
      <c r="WGW88" s="109"/>
      <c r="WGX88" s="12"/>
      <c r="WGY88" s="109"/>
      <c r="WGZ88" s="12"/>
      <c r="WHA88" s="109"/>
      <c r="WHB88" s="12"/>
      <c r="WHC88" s="109"/>
      <c r="WHD88" s="12"/>
      <c r="WHE88" s="109"/>
      <c r="WHF88" s="12"/>
      <c r="WHG88" s="109"/>
      <c r="WHH88" s="12"/>
      <c r="WHI88" s="109"/>
      <c r="WHJ88" s="12"/>
      <c r="WHK88" s="109"/>
      <c r="WHL88" s="12"/>
      <c r="WHM88" s="109"/>
      <c r="WHN88" s="12"/>
      <c r="WHO88" s="109"/>
      <c r="WHP88" s="12"/>
      <c r="WHQ88" s="109"/>
      <c r="WHR88" s="12"/>
      <c r="WHS88" s="109"/>
      <c r="WHT88" s="12"/>
      <c r="WHU88" s="109"/>
      <c r="WHV88" s="12"/>
      <c r="WHW88" s="109"/>
      <c r="WHX88" s="12"/>
      <c r="WHY88" s="109"/>
      <c r="WHZ88" s="12"/>
      <c r="WIA88" s="109"/>
      <c r="WIB88" s="12"/>
      <c r="WIC88" s="109"/>
      <c r="WID88" s="12"/>
      <c r="WIE88" s="109"/>
      <c r="WIF88" s="12"/>
      <c r="WIG88" s="109"/>
      <c r="WIH88" s="12"/>
      <c r="WII88" s="109"/>
      <c r="WIJ88" s="12"/>
      <c r="WIK88" s="109"/>
      <c r="WIL88" s="12"/>
      <c r="WIM88" s="109"/>
      <c r="WIN88" s="12"/>
      <c r="WIO88" s="109"/>
      <c r="WIP88" s="12"/>
      <c r="WIQ88" s="109"/>
      <c r="WIR88" s="12"/>
      <c r="WIS88" s="109"/>
      <c r="WIT88" s="12"/>
      <c r="WIU88" s="109"/>
      <c r="WIV88" s="12"/>
      <c r="WIW88" s="109"/>
      <c r="WIX88" s="12"/>
      <c r="WIY88" s="109"/>
      <c r="WIZ88" s="12"/>
      <c r="WJA88" s="109"/>
      <c r="WJB88" s="12"/>
      <c r="WJC88" s="109"/>
      <c r="WJD88" s="12"/>
      <c r="WJE88" s="109"/>
      <c r="WJF88" s="12"/>
      <c r="WJG88" s="109"/>
      <c r="WJH88" s="12"/>
      <c r="WJI88" s="109"/>
      <c r="WJJ88" s="12"/>
      <c r="WJK88" s="109"/>
      <c r="WJL88" s="12"/>
      <c r="WJM88" s="109"/>
      <c r="WJN88" s="12"/>
      <c r="WJO88" s="109"/>
      <c r="WJP88" s="12"/>
      <c r="WJQ88" s="109"/>
      <c r="WJR88" s="12"/>
      <c r="WJS88" s="109"/>
      <c r="WJT88" s="12"/>
      <c r="WJU88" s="109"/>
      <c r="WJV88" s="12"/>
      <c r="WJW88" s="109"/>
      <c r="WJX88" s="12"/>
      <c r="WJY88" s="109"/>
      <c r="WJZ88" s="12"/>
      <c r="WKA88" s="109"/>
      <c r="WKB88" s="12"/>
      <c r="WKC88" s="109"/>
      <c r="WKD88" s="12"/>
      <c r="WKE88" s="109"/>
      <c r="WKF88" s="12"/>
      <c r="WKG88" s="109"/>
      <c r="WKH88" s="12"/>
      <c r="WKI88" s="109"/>
      <c r="WKJ88" s="12"/>
      <c r="WKK88" s="109"/>
      <c r="WKL88" s="12"/>
      <c r="WKM88" s="109"/>
      <c r="WKN88" s="12"/>
      <c r="WKO88" s="109"/>
      <c r="WKP88" s="12"/>
      <c r="WKQ88" s="109"/>
      <c r="WKR88" s="12"/>
      <c r="WKS88" s="109"/>
      <c r="WKT88" s="12"/>
      <c r="WKU88" s="109"/>
      <c r="WKV88" s="12"/>
      <c r="WKW88" s="109"/>
      <c r="WKX88" s="12"/>
      <c r="WKY88" s="109"/>
      <c r="WKZ88" s="12"/>
      <c r="WLA88" s="109"/>
      <c r="WLB88" s="12"/>
      <c r="WLC88" s="109"/>
      <c r="WLD88" s="12"/>
      <c r="WLE88" s="109"/>
      <c r="WLF88" s="12"/>
      <c r="WLG88" s="109"/>
      <c r="WLH88" s="12"/>
      <c r="WLI88" s="109"/>
      <c r="WLJ88" s="12"/>
      <c r="WLK88" s="109"/>
      <c r="WLL88" s="12"/>
      <c r="WLM88" s="109"/>
      <c r="WLN88" s="12"/>
      <c r="WLO88" s="109"/>
      <c r="WLP88" s="12"/>
      <c r="WLQ88" s="109"/>
      <c r="WLR88" s="12"/>
      <c r="WLS88" s="109"/>
      <c r="WLT88" s="12"/>
      <c r="WLU88" s="109"/>
      <c r="WLV88" s="12"/>
      <c r="WLW88" s="109"/>
      <c r="WLX88" s="12"/>
      <c r="WLY88" s="109"/>
      <c r="WLZ88" s="12"/>
      <c r="WMA88" s="109"/>
      <c r="WMB88" s="12"/>
      <c r="WMC88" s="109"/>
      <c r="WMD88" s="12"/>
      <c r="WME88" s="109"/>
      <c r="WMF88" s="12"/>
      <c r="WMG88" s="109"/>
      <c r="WMH88" s="12"/>
      <c r="WMI88" s="109"/>
      <c r="WMJ88" s="12"/>
      <c r="WMK88" s="109"/>
      <c r="WML88" s="12"/>
      <c r="WMM88" s="109"/>
      <c r="WMN88" s="12"/>
      <c r="WMO88" s="109"/>
      <c r="WMP88" s="12"/>
      <c r="WMQ88" s="109"/>
      <c r="WMR88" s="12"/>
      <c r="WMS88" s="109"/>
      <c r="WMT88" s="12"/>
      <c r="WMU88" s="109"/>
      <c r="WMV88" s="12"/>
      <c r="WMW88" s="109"/>
      <c r="WMX88" s="12"/>
      <c r="WMY88" s="109"/>
      <c r="WMZ88" s="12"/>
      <c r="WNA88" s="109"/>
      <c r="WNB88" s="12"/>
      <c r="WNC88" s="109"/>
      <c r="WND88" s="12"/>
      <c r="WNE88" s="109"/>
      <c r="WNF88" s="12"/>
      <c r="WNG88" s="109"/>
      <c r="WNH88" s="12"/>
      <c r="WNI88" s="109"/>
      <c r="WNJ88" s="12"/>
      <c r="WNK88" s="109"/>
      <c r="WNL88" s="12"/>
      <c r="WNM88" s="109"/>
      <c r="WNN88" s="12"/>
      <c r="WNO88" s="109"/>
      <c r="WNP88" s="12"/>
      <c r="WNQ88" s="109"/>
      <c r="WNR88" s="12"/>
      <c r="WNS88" s="109"/>
      <c r="WNT88" s="12"/>
      <c r="WNU88" s="109"/>
      <c r="WNV88" s="12"/>
      <c r="WNW88" s="109"/>
      <c r="WNX88" s="12"/>
      <c r="WNY88" s="109"/>
      <c r="WNZ88" s="12"/>
      <c r="WOA88" s="109"/>
      <c r="WOB88" s="12"/>
      <c r="WOC88" s="109"/>
      <c r="WOD88" s="12"/>
      <c r="WOE88" s="109"/>
      <c r="WOF88" s="12"/>
      <c r="WOG88" s="109"/>
      <c r="WOH88" s="12"/>
      <c r="WOI88" s="109"/>
      <c r="WOJ88" s="12"/>
      <c r="WOK88" s="109"/>
      <c r="WOL88" s="12"/>
      <c r="WOM88" s="109"/>
      <c r="WON88" s="12"/>
      <c r="WOO88" s="109"/>
      <c r="WOP88" s="12"/>
      <c r="WOQ88" s="109"/>
      <c r="WOR88" s="12"/>
      <c r="WOS88" s="109"/>
      <c r="WOT88" s="12"/>
      <c r="WOU88" s="109"/>
      <c r="WOV88" s="12"/>
      <c r="WOW88" s="109"/>
      <c r="WOX88" s="12"/>
      <c r="WOY88" s="109"/>
      <c r="WOZ88" s="12"/>
      <c r="WPA88" s="109"/>
      <c r="WPB88" s="12"/>
      <c r="WPC88" s="109"/>
      <c r="WPD88" s="12"/>
      <c r="WPE88" s="109"/>
      <c r="WPF88" s="12"/>
      <c r="WPG88" s="109"/>
      <c r="WPH88" s="12"/>
      <c r="WPI88" s="109"/>
      <c r="WPJ88" s="12"/>
      <c r="WPK88" s="109"/>
      <c r="WPL88" s="12"/>
      <c r="WPM88" s="109"/>
      <c r="WPN88" s="12"/>
      <c r="WPO88" s="109"/>
      <c r="WPP88" s="12"/>
      <c r="WPQ88" s="109"/>
      <c r="WPR88" s="12"/>
      <c r="WPS88" s="109"/>
      <c r="WPT88" s="12"/>
      <c r="WPU88" s="109"/>
      <c r="WPV88" s="12"/>
      <c r="WPW88" s="109"/>
      <c r="WPX88" s="12"/>
      <c r="WPY88" s="109"/>
      <c r="WPZ88" s="12"/>
      <c r="WQA88" s="109"/>
      <c r="WQB88" s="12"/>
      <c r="WQC88" s="109"/>
      <c r="WQD88" s="12"/>
      <c r="WQE88" s="109"/>
      <c r="WQF88" s="12"/>
      <c r="WQG88" s="109"/>
      <c r="WQH88" s="12"/>
      <c r="WQI88" s="109"/>
      <c r="WQJ88" s="12"/>
      <c r="WQK88" s="109"/>
      <c r="WQL88" s="12"/>
      <c r="WQM88" s="109"/>
      <c r="WQN88" s="12"/>
      <c r="WQO88" s="109"/>
      <c r="WQP88" s="12"/>
      <c r="WQQ88" s="109"/>
      <c r="WQR88" s="12"/>
      <c r="WQS88" s="109"/>
      <c r="WQT88" s="12"/>
      <c r="WQU88" s="109"/>
      <c r="WQV88" s="12"/>
      <c r="WQW88" s="109"/>
      <c r="WQX88" s="12"/>
      <c r="WQY88" s="109"/>
      <c r="WQZ88" s="12"/>
      <c r="WRA88" s="109"/>
      <c r="WRB88" s="12"/>
      <c r="WRC88" s="109"/>
      <c r="WRD88" s="12"/>
      <c r="WRE88" s="109"/>
      <c r="WRF88" s="12"/>
      <c r="WRG88" s="109"/>
      <c r="WRH88" s="12"/>
      <c r="WRI88" s="109"/>
      <c r="WRJ88" s="12"/>
      <c r="WRK88" s="109"/>
      <c r="WRL88" s="12"/>
      <c r="WRM88" s="109"/>
      <c r="WRN88" s="12"/>
      <c r="WRO88" s="109"/>
      <c r="WRP88" s="12"/>
      <c r="WRQ88" s="109"/>
      <c r="WRR88" s="12"/>
      <c r="WRS88" s="109"/>
      <c r="WRT88" s="12"/>
      <c r="WRU88" s="109"/>
      <c r="WRV88" s="12"/>
      <c r="WRW88" s="109"/>
      <c r="WRX88" s="12"/>
      <c r="WRY88" s="109"/>
      <c r="WRZ88" s="12"/>
      <c r="WSA88" s="109"/>
      <c r="WSB88" s="12"/>
      <c r="WSC88" s="109"/>
      <c r="WSD88" s="12"/>
      <c r="WSE88" s="109"/>
      <c r="WSF88" s="12"/>
      <c r="WSG88" s="109"/>
      <c r="WSH88" s="12"/>
      <c r="WSI88" s="109"/>
      <c r="WSJ88" s="12"/>
      <c r="WSK88" s="109"/>
      <c r="WSL88" s="12"/>
      <c r="WSM88" s="109"/>
      <c r="WSN88" s="12"/>
      <c r="WSO88" s="109"/>
      <c r="WSP88" s="12"/>
      <c r="WSQ88" s="109"/>
      <c r="WSR88" s="12"/>
      <c r="WSS88" s="109"/>
      <c r="WST88" s="12"/>
      <c r="WSU88" s="109"/>
      <c r="WSV88" s="12"/>
      <c r="WSW88" s="109"/>
      <c r="WSX88" s="12"/>
      <c r="WSY88" s="109"/>
      <c r="WSZ88" s="12"/>
      <c r="WTA88" s="109"/>
      <c r="WTB88" s="12"/>
      <c r="WTC88" s="109"/>
      <c r="WTD88" s="12"/>
      <c r="WTE88" s="109"/>
      <c r="WTF88" s="12"/>
      <c r="WTG88" s="109"/>
      <c r="WTH88" s="12"/>
      <c r="WTI88" s="109"/>
      <c r="WTJ88" s="12"/>
      <c r="WTK88" s="109"/>
      <c r="WTL88" s="12"/>
      <c r="WTM88" s="109"/>
      <c r="WTN88" s="12"/>
      <c r="WTO88" s="109"/>
      <c r="WTP88" s="12"/>
      <c r="WTQ88" s="109"/>
      <c r="WTR88" s="12"/>
      <c r="WTS88" s="109"/>
      <c r="WTT88" s="12"/>
      <c r="WTU88" s="109"/>
      <c r="WTV88" s="12"/>
      <c r="WTW88" s="109"/>
      <c r="WTX88" s="12"/>
      <c r="WTY88" s="109"/>
      <c r="WTZ88" s="12"/>
      <c r="WUA88" s="109"/>
      <c r="WUB88" s="12"/>
      <c r="WUC88" s="109"/>
      <c r="WUD88" s="12"/>
      <c r="WUE88" s="109"/>
      <c r="WUF88" s="12"/>
      <c r="WUG88" s="109"/>
      <c r="WUH88" s="12"/>
      <c r="WUI88" s="109"/>
      <c r="WUJ88" s="12"/>
      <c r="WUK88" s="109"/>
      <c r="WUL88" s="12"/>
      <c r="WUM88" s="109"/>
      <c r="WUN88" s="12"/>
      <c r="WUO88" s="109"/>
      <c r="WUP88" s="12"/>
      <c r="WUQ88" s="109"/>
      <c r="WUR88" s="12"/>
      <c r="WUS88" s="109"/>
      <c r="WUT88" s="12"/>
      <c r="WUU88" s="109"/>
      <c r="WUV88" s="12"/>
      <c r="WUW88" s="109"/>
      <c r="WUX88" s="12"/>
      <c r="WUY88" s="109"/>
      <c r="WUZ88" s="12"/>
      <c r="WVA88" s="109"/>
      <c r="WVB88" s="12"/>
      <c r="WVC88" s="109"/>
      <c r="WVD88" s="12"/>
      <c r="WVE88" s="109"/>
      <c r="WVF88" s="12"/>
      <c r="WVG88" s="109"/>
      <c r="WVH88" s="12"/>
      <c r="WVI88" s="109"/>
      <c r="WVJ88" s="12"/>
      <c r="WVK88" s="109"/>
      <c r="WVL88" s="12"/>
      <c r="WVM88" s="109"/>
      <c r="WVN88" s="12"/>
      <c r="WVO88" s="109"/>
      <c r="WVP88" s="12"/>
      <c r="WVQ88" s="109"/>
      <c r="WVR88" s="12"/>
      <c r="WVS88" s="109"/>
      <c r="WVT88" s="12"/>
      <c r="WVU88" s="109"/>
      <c r="WVV88" s="12"/>
      <c r="WVW88" s="109"/>
      <c r="WVX88" s="12"/>
      <c r="WVY88" s="109"/>
      <c r="WVZ88" s="12"/>
      <c r="WWA88" s="109"/>
      <c r="WWB88" s="12"/>
      <c r="WWC88" s="109"/>
      <c r="WWD88" s="12"/>
      <c r="WWE88" s="109"/>
      <c r="WWF88" s="12"/>
      <c r="WWG88" s="109"/>
      <c r="WWH88" s="12"/>
      <c r="WWI88" s="109"/>
      <c r="WWJ88" s="12"/>
      <c r="WWK88" s="109"/>
      <c r="WWL88" s="12"/>
      <c r="WWM88" s="109"/>
      <c r="WWN88" s="12"/>
      <c r="WWO88" s="109"/>
      <c r="WWP88" s="12"/>
      <c r="WWQ88" s="109"/>
      <c r="WWR88" s="12"/>
      <c r="WWS88" s="109"/>
      <c r="WWT88" s="12"/>
      <c r="WWU88" s="109"/>
      <c r="WWV88" s="12"/>
      <c r="WWW88" s="109"/>
      <c r="WWX88" s="12"/>
      <c r="WWY88" s="109"/>
      <c r="WWZ88" s="12"/>
      <c r="WXA88" s="109"/>
      <c r="WXB88" s="12"/>
      <c r="WXC88" s="109"/>
      <c r="WXD88" s="12"/>
      <c r="WXE88" s="109"/>
      <c r="WXF88" s="12"/>
      <c r="WXG88" s="109"/>
      <c r="WXH88" s="12"/>
      <c r="WXI88" s="109"/>
      <c r="WXJ88" s="12"/>
      <c r="WXK88" s="109"/>
      <c r="WXL88" s="12"/>
      <c r="WXM88" s="109"/>
      <c r="WXN88" s="12"/>
      <c r="WXO88" s="109"/>
      <c r="WXP88" s="12"/>
      <c r="WXQ88" s="109"/>
      <c r="WXR88" s="12"/>
      <c r="WXS88" s="109"/>
      <c r="WXT88" s="12"/>
      <c r="WXU88" s="109"/>
      <c r="WXV88" s="12"/>
      <c r="WXW88" s="109"/>
      <c r="WXX88" s="12"/>
      <c r="WXY88" s="109"/>
      <c r="WXZ88" s="12"/>
      <c r="WYA88" s="109"/>
      <c r="WYB88" s="12"/>
      <c r="WYC88" s="109"/>
      <c r="WYD88" s="12"/>
      <c r="WYE88" s="109"/>
      <c r="WYF88" s="12"/>
      <c r="WYG88" s="109"/>
      <c r="WYH88" s="12"/>
      <c r="WYI88" s="109"/>
      <c r="WYJ88" s="12"/>
      <c r="WYK88" s="109"/>
      <c r="WYL88" s="12"/>
      <c r="WYM88" s="109"/>
      <c r="WYN88" s="12"/>
      <c r="WYO88" s="109"/>
      <c r="WYP88" s="12"/>
      <c r="WYQ88" s="109"/>
      <c r="WYR88" s="12"/>
      <c r="WYS88" s="109"/>
      <c r="WYT88" s="12"/>
      <c r="WYU88" s="109"/>
      <c r="WYV88" s="12"/>
      <c r="WYW88" s="109"/>
      <c r="WYX88" s="12"/>
      <c r="WYY88" s="109"/>
      <c r="WYZ88" s="12"/>
      <c r="WZA88" s="109"/>
      <c r="WZB88" s="12"/>
      <c r="WZC88" s="109"/>
      <c r="WZD88" s="12"/>
      <c r="WZE88" s="109"/>
      <c r="WZF88" s="12"/>
      <c r="WZG88" s="109"/>
      <c r="WZH88" s="12"/>
      <c r="WZI88" s="109"/>
      <c r="WZJ88" s="12"/>
      <c r="WZK88" s="109"/>
      <c r="WZL88" s="12"/>
      <c r="WZM88" s="109"/>
      <c r="WZN88" s="12"/>
      <c r="WZO88" s="109"/>
      <c r="WZP88" s="12"/>
      <c r="WZQ88" s="109"/>
      <c r="WZR88" s="12"/>
      <c r="WZS88" s="109"/>
      <c r="WZT88" s="12"/>
      <c r="WZU88" s="109"/>
      <c r="WZV88" s="12"/>
      <c r="WZW88" s="109"/>
      <c r="WZX88" s="12"/>
      <c r="WZY88" s="109"/>
      <c r="WZZ88" s="12"/>
      <c r="XAA88" s="109"/>
      <c r="XAB88" s="12"/>
      <c r="XAC88" s="109"/>
      <c r="XAD88" s="12"/>
      <c r="XAE88" s="109"/>
      <c r="XAF88" s="12"/>
      <c r="XAG88" s="109"/>
      <c r="XAH88" s="12"/>
      <c r="XAI88" s="109"/>
      <c r="XAJ88" s="12"/>
      <c r="XAK88" s="109"/>
      <c r="XAL88" s="12"/>
      <c r="XAM88" s="109"/>
      <c r="XAN88" s="12"/>
      <c r="XAO88" s="109"/>
      <c r="XAP88" s="12"/>
      <c r="XAQ88" s="109"/>
      <c r="XAR88" s="12"/>
      <c r="XAS88" s="109"/>
      <c r="XAT88" s="12"/>
      <c r="XAU88" s="109"/>
      <c r="XAV88" s="12"/>
      <c r="XAW88" s="109"/>
      <c r="XAX88" s="12"/>
      <c r="XAY88" s="109"/>
      <c r="XAZ88" s="12"/>
      <c r="XBA88" s="109"/>
      <c r="XBB88" s="12"/>
      <c r="XBC88" s="109"/>
      <c r="XBD88" s="12"/>
      <c r="XBE88" s="109"/>
      <c r="XBF88" s="12"/>
      <c r="XBG88" s="109"/>
      <c r="XBH88" s="12"/>
      <c r="XBI88" s="109"/>
      <c r="XBJ88" s="12"/>
      <c r="XBK88" s="109"/>
      <c r="XBL88" s="12"/>
      <c r="XBM88" s="109"/>
      <c r="XBN88" s="12"/>
      <c r="XBO88" s="109"/>
      <c r="XBP88" s="12"/>
      <c r="XBQ88" s="109"/>
      <c r="XBR88" s="12"/>
      <c r="XBS88" s="109"/>
      <c r="XBT88" s="12"/>
      <c r="XBU88" s="109"/>
      <c r="XBV88" s="12"/>
      <c r="XBW88" s="109"/>
      <c r="XBX88" s="12"/>
      <c r="XBY88" s="109"/>
      <c r="XBZ88" s="12"/>
      <c r="XCA88" s="109"/>
      <c r="XCB88" s="12"/>
      <c r="XCC88" s="109"/>
      <c r="XCD88" s="12"/>
      <c r="XCE88" s="109"/>
      <c r="XCF88" s="12"/>
      <c r="XCG88" s="109"/>
      <c r="XCH88" s="12"/>
      <c r="XCI88" s="109"/>
      <c r="XCJ88" s="12"/>
      <c r="XCK88" s="109"/>
      <c r="XCL88" s="12"/>
      <c r="XCM88" s="109"/>
      <c r="XCN88" s="12"/>
      <c r="XCO88" s="109"/>
      <c r="XCP88" s="12"/>
      <c r="XCQ88" s="109"/>
      <c r="XCR88" s="12"/>
      <c r="XCS88" s="109"/>
      <c r="XCT88" s="12"/>
      <c r="XCU88" s="109"/>
      <c r="XCV88" s="12"/>
      <c r="XCW88" s="109"/>
      <c r="XCX88" s="12"/>
      <c r="XCY88" s="109"/>
      <c r="XCZ88" s="12"/>
      <c r="XDA88" s="109"/>
      <c r="XDB88" s="12"/>
      <c r="XDC88" s="109"/>
      <c r="XDD88" s="12"/>
      <c r="XDE88" s="109"/>
      <c r="XDF88" s="12"/>
      <c r="XDG88" s="109"/>
      <c r="XDH88" s="12"/>
      <c r="XDI88" s="109"/>
      <c r="XDJ88" s="12"/>
      <c r="XDK88" s="109"/>
      <c r="XDL88" s="12"/>
      <c r="XDM88" s="109"/>
      <c r="XDN88" s="12"/>
      <c r="XDO88" s="109"/>
      <c r="XDP88" s="12"/>
      <c r="XDQ88" s="109"/>
      <c r="XDR88" s="12"/>
      <c r="XDS88" s="109"/>
      <c r="XDT88" s="12"/>
      <c r="XDU88" s="109"/>
      <c r="XDV88" s="12"/>
      <c r="XDW88" s="109"/>
      <c r="XDX88" s="12"/>
      <c r="XDY88" s="109"/>
      <c r="XDZ88" s="12"/>
      <c r="XEA88" s="109"/>
      <c r="XEB88" s="12"/>
      <c r="XEC88" s="109"/>
      <c r="XED88" s="12"/>
      <c r="XEE88" s="109"/>
      <c r="XEF88" s="12"/>
      <c r="XEG88" s="109"/>
      <c r="XEH88" s="12"/>
      <c r="XEI88" s="109"/>
      <c r="XEJ88" s="12"/>
      <c r="XEK88" s="109"/>
      <c r="XEL88" s="12"/>
      <c r="XEM88" s="109"/>
      <c r="XEN88" s="12"/>
      <c r="XEO88" s="109"/>
      <c r="XEP88" s="12"/>
      <c r="XEQ88" s="109"/>
      <c r="XER88" s="12"/>
      <c r="XES88" s="109"/>
      <c r="XET88" s="12"/>
      <c r="XEU88" s="109"/>
      <c r="XEV88" s="12"/>
      <c r="XEW88" s="109"/>
      <c r="XEX88" s="12"/>
      <c r="XEY88" s="109"/>
      <c r="XEZ88" s="12"/>
      <c r="XFA88" s="109"/>
      <c r="XFB88" s="12"/>
    </row>
    <row r="89" spans="1:16382" ht="12" customHeight="1">
      <c r="A89" s="11"/>
      <c r="B89" s="12"/>
    </row>
    <row r="90" spans="1:16382" ht="12" customHeight="1">
      <c r="A90" s="11"/>
      <c r="B90" s="12"/>
    </row>
    <row r="91" spans="1:16382" ht="12" customHeight="1">
      <c r="A91" s="11"/>
      <c r="B91" s="12"/>
    </row>
    <row r="92" spans="1:16382" ht="12" customHeight="1">
      <c r="A92" s="11"/>
      <c r="B92" s="12"/>
    </row>
    <row r="93" spans="1:16382" ht="12" customHeight="1">
      <c r="A93" s="11"/>
      <c r="B93" s="12"/>
    </row>
    <row r="94" spans="1:16382" ht="12" customHeight="1">
      <c r="A94" s="11"/>
      <c r="B94" s="12"/>
    </row>
    <row r="95" spans="1:16382" ht="12" customHeight="1">
      <c r="A95" s="11"/>
      <c r="B95" s="12"/>
    </row>
    <row r="96" spans="1:16382" ht="12" customHeight="1">
      <c r="A96" s="11"/>
      <c r="B96" s="12"/>
    </row>
    <row r="97" spans="1:3" ht="12" customHeight="1">
      <c r="A97" s="11"/>
      <c r="B97" s="12"/>
    </row>
    <row r="98" spans="1:3" ht="12" customHeight="1">
      <c r="A98" s="11"/>
      <c r="B98" s="12"/>
    </row>
    <row r="99" spans="1:3" ht="12" customHeight="1">
      <c r="A99" s="11"/>
      <c r="B99" s="12"/>
    </row>
    <row r="100" spans="1:3" ht="12" customHeight="1">
      <c r="A100" s="11"/>
      <c r="B100" s="12"/>
    </row>
    <row r="101" spans="1:3" ht="12" customHeight="1">
      <c r="A101" s="11"/>
      <c r="B101" s="12"/>
    </row>
    <row r="102" spans="1:3" ht="12" customHeight="1">
      <c r="A102" s="11"/>
      <c r="B102" s="12"/>
    </row>
    <row r="103" spans="1:3" ht="12" customHeight="1">
      <c r="A103" s="11"/>
      <c r="B103" s="12"/>
    </row>
    <row r="104" spans="1:3" ht="12" customHeight="1">
      <c r="A104" s="11"/>
      <c r="B104" s="12"/>
    </row>
    <row r="105" spans="1:3" s="87" customFormat="1" ht="12" customHeight="1">
      <c r="A105" s="11"/>
      <c r="B105" s="12"/>
      <c r="C105" s="6"/>
    </row>
    <row r="106" spans="1:3" s="87" customFormat="1" ht="12" customHeight="1">
      <c r="A106" s="11"/>
      <c r="B106" s="12"/>
      <c r="C106" s="6"/>
    </row>
    <row r="107" spans="1:3" s="87" customFormat="1" ht="12" customHeight="1">
      <c r="A107" s="11"/>
      <c r="B107" s="12"/>
      <c r="C107" s="6"/>
    </row>
    <row r="108" spans="1:3" s="87" customFormat="1" ht="12" customHeight="1">
      <c r="A108" s="11"/>
      <c r="B108" s="12"/>
      <c r="C108" s="6"/>
    </row>
    <row r="109" spans="1:3" ht="12" customHeight="1">
      <c r="A109" s="11"/>
      <c r="B109" s="12"/>
    </row>
    <row r="110" spans="1:3" ht="12" customHeight="1">
      <c r="A110" s="11"/>
      <c r="B110" s="12"/>
    </row>
    <row r="111" spans="1:3" ht="12" customHeight="1">
      <c r="A111" s="11"/>
      <c r="B111" s="12"/>
    </row>
    <row r="112" spans="1:3" ht="12" customHeight="1">
      <c r="A112" s="11"/>
      <c r="B112" s="12"/>
    </row>
    <row r="113" spans="1:2" ht="12" customHeight="1">
      <c r="A113" s="11"/>
      <c r="B113" s="12"/>
    </row>
    <row r="114" spans="1:2" ht="12" customHeight="1">
      <c r="A114" s="11"/>
      <c r="B114" s="12"/>
    </row>
    <row r="115" spans="1:2" ht="12" customHeight="1">
      <c r="A115" s="11"/>
      <c r="B115" s="12"/>
    </row>
    <row r="116" spans="1:2" ht="12" customHeight="1">
      <c r="A116" s="11"/>
      <c r="B116" s="12"/>
    </row>
    <row r="117" spans="1:2" ht="12" customHeight="1">
      <c r="A117" s="11"/>
      <c r="B117" s="12"/>
    </row>
    <row r="118" spans="1:2" ht="12" customHeight="1">
      <c r="A118" s="11"/>
      <c r="B118" s="12"/>
    </row>
    <row r="119" spans="1:2" ht="12" customHeight="1">
      <c r="A119" s="11"/>
      <c r="B119" s="12"/>
    </row>
    <row r="120" spans="1:2" ht="12" customHeight="1">
      <c r="A120" s="11"/>
      <c r="B120" s="12"/>
    </row>
    <row r="121" spans="1:2" ht="12" customHeight="1">
      <c r="A121" s="11"/>
      <c r="B121" s="12"/>
    </row>
    <row r="122" spans="1:2" ht="12" customHeight="1">
      <c r="A122" s="11"/>
      <c r="B122" s="12"/>
    </row>
    <row r="123" spans="1:2" ht="12" customHeight="1">
      <c r="A123" s="11"/>
      <c r="B123" s="12"/>
    </row>
    <row r="124" spans="1:2" ht="12" customHeight="1">
      <c r="A124" s="11"/>
      <c r="B124" s="12"/>
    </row>
    <row r="125" spans="1:2" ht="12" customHeight="1">
      <c r="A125" s="11"/>
      <c r="B125" s="12"/>
    </row>
    <row r="126" spans="1:2" ht="12" customHeight="1">
      <c r="A126" s="11"/>
      <c r="B126" s="12"/>
    </row>
    <row r="127" spans="1:2" ht="12" customHeight="1">
      <c r="A127" s="11"/>
      <c r="B127" s="12"/>
    </row>
    <row r="128" spans="1:2" ht="12" customHeight="1">
      <c r="A128" s="11"/>
      <c r="B128" s="12"/>
    </row>
    <row r="129" spans="1:16382" ht="12" customHeight="1">
      <c r="A129" s="11"/>
      <c r="B129" s="12"/>
    </row>
    <row r="130" spans="1:16382" ht="12" customHeight="1">
      <c r="A130" s="11"/>
      <c r="B130" s="12"/>
    </row>
    <row r="131" spans="1:16382" ht="12" customHeight="1">
      <c r="A131" s="11"/>
      <c r="B131" s="12"/>
    </row>
    <row r="132" spans="1:16382" ht="12" customHeight="1">
      <c r="A132" s="11"/>
      <c r="B132" s="12"/>
    </row>
    <row r="133" spans="1:16382" ht="12" customHeight="1">
      <c r="A133" s="11"/>
      <c r="B133" s="12"/>
    </row>
    <row r="134" spans="1:16382" ht="12" customHeight="1">
      <c r="A134" s="11"/>
      <c r="B134" s="57"/>
    </row>
    <row r="135" spans="1:16382" ht="12" customHeight="1">
      <c r="A135" s="11"/>
      <c r="B135" s="57"/>
    </row>
    <row r="136" spans="1:16382" ht="12" customHeight="1">
      <c r="A136" s="11"/>
      <c r="B136" s="57"/>
    </row>
    <row r="137" spans="1:16382" ht="12" customHeight="1">
      <c r="A137" s="11"/>
      <c r="B137" s="57"/>
    </row>
    <row r="138" spans="1:16382" ht="12" customHeight="1">
      <c r="A138" s="11"/>
      <c r="B138" s="57"/>
    </row>
    <row r="139" spans="1:16382" ht="12" customHeight="1">
      <c r="A139" s="11"/>
      <c r="B139" s="57"/>
    </row>
    <row r="140" spans="1:16382" ht="12" customHeight="1">
      <c r="A140" s="11"/>
      <c r="B140" s="57"/>
    </row>
    <row r="141" spans="1:16382" ht="12" customHeight="1">
      <c r="A141" s="11"/>
      <c r="B141" s="57"/>
    </row>
    <row r="142" spans="1:16382" ht="12" customHeight="1">
      <c r="A142" s="11"/>
      <c r="B142" s="57"/>
      <c r="C142" s="10"/>
      <c r="D142" s="57"/>
      <c r="E142" s="10"/>
      <c r="F142" s="57"/>
      <c r="G142" s="10"/>
      <c r="H142" s="57"/>
      <c r="I142" s="10"/>
      <c r="J142" s="57"/>
      <c r="K142" s="10"/>
      <c r="L142" s="57"/>
      <c r="M142" s="10"/>
      <c r="N142" s="57"/>
      <c r="O142" s="10"/>
      <c r="P142" s="57"/>
      <c r="Q142" s="10"/>
      <c r="R142" s="57"/>
      <c r="S142" s="10"/>
      <c r="T142" s="57"/>
      <c r="U142" s="10"/>
      <c r="V142" s="57"/>
      <c r="W142" s="10"/>
      <c r="X142" s="57"/>
      <c r="Y142" s="10"/>
      <c r="Z142" s="57"/>
      <c r="AA142" s="10"/>
      <c r="AB142" s="57"/>
      <c r="AC142" s="10"/>
      <c r="AD142" s="57"/>
      <c r="AE142" s="10"/>
      <c r="AF142" s="57"/>
      <c r="AG142" s="10"/>
      <c r="AH142" s="57"/>
      <c r="AI142" s="10"/>
      <c r="AJ142" s="57"/>
      <c r="AK142" s="10"/>
      <c r="AL142" s="57"/>
      <c r="AM142" s="10"/>
      <c r="AN142" s="57"/>
      <c r="AO142" s="10"/>
      <c r="AP142" s="57"/>
      <c r="AQ142" s="10"/>
      <c r="AR142" s="57"/>
      <c r="AS142" s="10"/>
      <c r="AT142" s="57"/>
      <c r="AU142" s="10"/>
      <c r="AV142" s="57"/>
      <c r="AW142" s="10"/>
      <c r="AX142" s="57"/>
      <c r="AY142" s="10"/>
      <c r="AZ142" s="57"/>
      <c r="BA142" s="10"/>
      <c r="BB142" s="57"/>
      <c r="BC142" s="10"/>
      <c r="BD142" s="57"/>
      <c r="BE142" s="10"/>
      <c r="BF142" s="57"/>
      <c r="BG142" s="10"/>
      <c r="BH142" s="57"/>
      <c r="BI142" s="10"/>
      <c r="BJ142" s="57"/>
      <c r="BK142" s="10"/>
      <c r="BL142" s="57"/>
      <c r="BM142" s="10"/>
      <c r="BN142" s="57"/>
      <c r="BO142" s="10"/>
      <c r="BP142" s="57"/>
      <c r="BQ142" s="10"/>
      <c r="BR142" s="57"/>
      <c r="BS142" s="10"/>
      <c r="BT142" s="57"/>
      <c r="BU142" s="10"/>
      <c r="BV142" s="57"/>
      <c r="BW142" s="10"/>
      <c r="BX142" s="57"/>
      <c r="BY142" s="10"/>
      <c r="BZ142" s="57"/>
      <c r="CA142" s="10"/>
      <c r="CB142" s="57"/>
      <c r="CC142" s="10"/>
      <c r="CD142" s="57"/>
      <c r="CE142" s="10"/>
      <c r="CF142" s="57"/>
      <c r="CG142" s="10"/>
      <c r="CH142" s="57"/>
      <c r="CI142" s="10"/>
      <c r="CJ142" s="57"/>
      <c r="CK142" s="10"/>
      <c r="CL142" s="57"/>
      <c r="CM142" s="10"/>
      <c r="CN142" s="57"/>
      <c r="CO142" s="10"/>
      <c r="CP142" s="57"/>
      <c r="CQ142" s="10"/>
      <c r="CR142" s="57"/>
      <c r="CS142" s="10"/>
      <c r="CT142" s="57"/>
      <c r="CU142" s="10"/>
      <c r="CV142" s="57"/>
      <c r="CW142" s="10"/>
      <c r="CX142" s="57"/>
      <c r="CY142" s="10"/>
      <c r="CZ142" s="57"/>
      <c r="DA142" s="10"/>
      <c r="DB142" s="57"/>
      <c r="DC142" s="10"/>
      <c r="DD142" s="57"/>
      <c r="DE142" s="10"/>
      <c r="DF142" s="57"/>
      <c r="DG142" s="10"/>
      <c r="DH142" s="57"/>
      <c r="DI142" s="10"/>
      <c r="DJ142" s="57"/>
      <c r="DK142" s="10"/>
      <c r="DL142" s="57"/>
      <c r="DM142" s="10"/>
      <c r="DN142" s="57"/>
      <c r="DO142" s="10"/>
      <c r="DP142" s="57"/>
      <c r="DQ142" s="10"/>
      <c r="DR142" s="57"/>
      <c r="DS142" s="10"/>
      <c r="DT142" s="57"/>
      <c r="DU142" s="10"/>
      <c r="DV142" s="57"/>
      <c r="DW142" s="10"/>
      <c r="DX142" s="57"/>
      <c r="DY142" s="10"/>
      <c r="DZ142" s="57"/>
      <c r="EA142" s="10"/>
      <c r="EB142" s="57"/>
      <c r="EC142" s="10"/>
      <c r="ED142" s="57"/>
      <c r="EE142" s="10"/>
      <c r="EF142" s="57"/>
      <c r="EG142" s="10"/>
      <c r="EH142" s="57"/>
      <c r="EI142" s="10"/>
      <c r="EJ142" s="57"/>
      <c r="EK142" s="10"/>
      <c r="EL142" s="57"/>
      <c r="EM142" s="10"/>
      <c r="EN142" s="57"/>
      <c r="EO142" s="10"/>
      <c r="EP142" s="57"/>
      <c r="EQ142" s="10"/>
      <c r="ER142" s="57"/>
      <c r="ES142" s="10"/>
      <c r="ET142" s="57"/>
      <c r="EU142" s="10"/>
      <c r="EV142" s="57"/>
      <c r="EW142" s="10"/>
      <c r="EX142" s="57"/>
      <c r="EY142" s="10"/>
      <c r="EZ142" s="57"/>
      <c r="FA142" s="10"/>
      <c r="FB142" s="57"/>
      <c r="FC142" s="10"/>
      <c r="FD142" s="57"/>
      <c r="FE142" s="10"/>
      <c r="FF142" s="57"/>
      <c r="FG142" s="10"/>
      <c r="FH142" s="57"/>
      <c r="FI142" s="10"/>
      <c r="FJ142" s="57"/>
      <c r="FK142" s="10"/>
      <c r="FL142" s="57"/>
      <c r="FM142" s="10"/>
      <c r="FN142" s="57"/>
      <c r="FO142" s="10"/>
      <c r="FP142" s="57"/>
      <c r="FQ142" s="10"/>
      <c r="FR142" s="57"/>
      <c r="FS142" s="10"/>
      <c r="FT142" s="57"/>
      <c r="FU142" s="10"/>
      <c r="FV142" s="57"/>
      <c r="FW142" s="10"/>
      <c r="FX142" s="57"/>
      <c r="FY142" s="10"/>
      <c r="FZ142" s="57"/>
      <c r="GA142" s="10"/>
      <c r="GB142" s="57"/>
      <c r="GC142" s="10"/>
      <c r="GD142" s="57"/>
      <c r="GE142" s="10"/>
      <c r="GF142" s="57"/>
      <c r="GG142" s="10"/>
      <c r="GH142" s="57"/>
      <c r="GI142" s="10"/>
      <c r="GJ142" s="57"/>
      <c r="GK142" s="10"/>
      <c r="GL142" s="57"/>
      <c r="GM142" s="10"/>
      <c r="GN142" s="57"/>
      <c r="GO142" s="10"/>
      <c r="GP142" s="57"/>
      <c r="GQ142" s="10"/>
      <c r="GR142" s="57"/>
      <c r="GS142" s="10"/>
      <c r="GT142" s="57"/>
      <c r="GU142" s="10"/>
      <c r="GV142" s="57"/>
      <c r="GW142" s="10"/>
      <c r="GX142" s="57"/>
      <c r="GY142" s="10"/>
      <c r="GZ142" s="57"/>
      <c r="HA142" s="10"/>
      <c r="HB142" s="57"/>
      <c r="HC142" s="10"/>
      <c r="HD142" s="57"/>
      <c r="HE142" s="10"/>
      <c r="HF142" s="57"/>
      <c r="HG142" s="10"/>
      <c r="HH142" s="57"/>
      <c r="HI142" s="10"/>
      <c r="HJ142" s="57"/>
      <c r="HK142" s="10"/>
      <c r="HL142" s="57"/>
      <c r="HM142" s="10"/>
      <c r="HN142" s="57"/>
      <c r="HO142" s="10"/>
      <c r="HP142" s="57"/>
      <c r="HQ142" s="10"/>
      <c r="HR142" s="57"/>
      <c r="HS142" s="10"/>
      <c r="HT142" s="57"/>
      <c r="HU142" s="10"/>
      <c r="HV142" s="57"/>
      <c r="HW142" s="10"/>
      <c r="HX142" s="57"/>
      <c r="HY142" s="10"/>
      <c r="HZ142" s="57"/>
      <c r="IA142" s="10"/>
      <c r="IB142" s="57"/>
      <c r="IC142" s="10"/>
      <c r="ID142" s="57"/>
      <c r="IE142" s="10"/>
      <c r="IF142" s="57"/>
      <c r="IG142" s="10"/>
      <c r="IH142" s="57"/>
      <c r="II142" s="10"/>
      <c r="IJ142" s="57"/>
      <c r="IK142" s="10"/>
      <c r="IL142" s="57"/>
      <c r="IM142" s="10"/>
      <c r="IN142" s="57"/>
      <c r="IO142" s="10"/>
      <c r="IP142" s="57"/>
      <c r="IQ142" s="10"/>
      <c r="IR142" s="57"/>
      <c r="IS142" s="10"/>
      <c r="IT142" s="57"/>
      <c r="IU142" s="10"/>
      <c r="IV142" s="57"/>
      <c r="IW142" s="10"/>
      <c r="IX142" s="57"/>
      <c r="IY142" s="10"/>
      <c r="IZ142" s="57"/>
      <c r="JA142" s="10"/>
      <c r="JB142" s="57"/>
      <c r="JC142" s="10"/>
      <c r="JD142" s="57"/>
      <c r="JE142" s="10"/>
      <c r="JF142" s="57"/>
      <c r="JG142" s="10"/>
      <c r="JH142" s="57"/>
      <c r="JI142" s="10"/>
      <c r="JJ142" s="57"/>
      <c r="JK142" s="10"/>
      <c r="JL142" s="57"/>
      <c r="JM142" s="10"/>
      <c r="JN142" s="57"/>
      <c r="JO142" s="10"/>
      <c r="JP142" s="57"/>
      <c r="JQ142" s="10"/>
      <c r="JR142" s="57"/>
      <c r="JS142" s="10"/>
      <c r="JT142" s="57"/>
      <c r="JU142" s="10"/>
      <c r="JV142" s="57"/>
      <c r="JW142" s="10"/>
      <c r="JX142" s="57"/>
      <c r="JY142" s="10"/>
      <c r="JZ142" s="57"/>
      <c r="KA142" s="10"/>
      <c r="KB142" s="57"/>
      <c r="KC142" s="10"/>
      <c r="KD142" s="57"/>
      <c r="KE142" s="10"/>
      <c r="KF142" s="57"/>
      <c r="KG142" s="10"/>
      <c r="KH142" s="57"/>
      <c r="KI142" s="10"/>
      <c r="KJ142" s="57"/>
      <c r="KK142" s="10"/>
      <c r="KL142" s="57"/>
      <c r="KM142" s="10"/>
      <c r="KN142" s="57"/>
      <c r="KO142" s="10"/>
      <c r="KP142" s="57"/>
      <c r="KQ142" s="10"/>
      <c r="KR142" s="57"/>
      <c r="KS142" s="10"/>
      <c r="KT142" s="57"/>
      <c r="KU142" s="10"/>
      <c r="KV142" s="57"/>
      <c r="KW142" s="10"/>
      <c r="KX142" s="57"/>
      <c r="KY142" s="10"/>
      <c r="KZ142" s="57"/>
      <c r="LA142" s="10"/>
      <c r="LB142" s="57"/>
      <c r="LC142" s="10"/>
      <c r="LD142" s="57"/>
      <c r="LE142" s="10"/>
      <c r="LF142" s="57"/>
      <c r="LG142" s="10"/>
      <c r="LH142" s="57"/>
      <c r="LI142" s="10"/>
      <c r="LJ142" s="57"/>
      <c r="LK142" s="10"/>
      <c r="LL142" s="57"/>
      <c r="LM142" s="10"/>
      <c r="LN142" s="57"/>
      <c r="LO142" s="10"/>
      <c r="LP142" s="57"/>
      <c r="LQ142" s="10"/>
      <c r="LR142" s="57"/>
      <c r="LS142" s="10"/>
      <c r="LT142" s="57"/>
      <c r="LU142" s="10"/>
      <c r="LV142" s="57"/>
      <c r="LW142" s="10"/>
      <c r="LX142" s="57"/>
      <c r="LY142" s="10"/>
      <c r="LZ142" s="57"/>
      <c r="MA142" s="10"/>
      <c r="MB142" s="57"/>
      <c r="MC142" s="10"/>
      <c r="MD142" s="57"/>
      <c r="ME142" s="10"/>
      <c r="MF142" s="57"/>
      <c r="MG142" s="10"/>
      <c r="MH142" s="57"/>
      <c r="MI142" s="10"/>
      <c r="MJ142" s="57"/>
      <c r="MK142" s="10"/>
      <c r="ML142" s="57"/>
      <c r="MM142" s="10"/>
      <c r="MN142" s="57"/>
      <c r="MO142" s="10"/>
      <c r="MP142" s="57"/>
      <c r="MQ142" s="10"/>
      <c r="MR142" s="57"/>
      <c r="MS142" s="10"/>
      <c r="MT142" s="57"/>
      <c r="MU142" s="10"/>
      <c r="MV142" s="57"/>
      <c r="MW142" s="10"/>
      <c r="MX142" s="57"/>
      <c r="MY142" s="10"/>
      <c r="MZ142" s="57"/>
      <c r="NA142" s="10"/>
      <c r="NB142" s="57"/>
      <c r="NC142" s="10"/>
      <c r="ND142" s="57"/>
      <c r="NE142" s="10"/>
      <c r="NF142" s="57"/>
      <c r="NG142" s="10"/>
      <c r="NH142" s="57"/>
      <c r="NI142" s="10"/>
      <c r="NJ142" s="57"/>
      <c r="NK142" s="10"/>
      <c r="NL142" s="57"/>
      <c r="NM142" s="10"/>
      <c r="NN142" s="57"/>
      <c r="NO142" s="10"/>
      <c r="NP142" s="57"/>
      <c r="NQ142" s="10"/>
      <c r="NR142" s="57"/>
      <c r="NS142" s="10"/>
      <c r="NT142" s="57"/>
      <c r="NU142" s="10"/>
      <c r="NV142" s="57"/>
      <c r="NW142" s="10"/>
      <c r="NX142" s="57"/>
      <c r="NY142" s="10"/>
      <c r="NZ142" s="57"/>
      <c r="OA142" s="10"/>
      <c r="OB142" s="57"/>
      <c r="OC142" s="10"/>
      <c r="OD142" s="57"/>
      <c r="OE142" s="10"/>
      <c r="OF142" s="57"/>
      <c r="OG142" s="10"/>
      <c r="OH142" s="57"/>
      <c r="OI142" s="10"/>
      <c r="OJ142" s="57"/>
      <c r="OK142" s="10"/>
      <c r="OL142" s="57"/>
      <c r="OM142" s="10"/>
      <c r="ON142" s="57"/>
      <c r="OO142" s="10"/>
      <c r="OP142" s="57"/>
      <c r="OQ142" s="10"/>
      <c r="OR142" s="57"/>
      <c r="OS142" s="10"/>
      <c r="OT142" s="57"/>
      <c r="OU142" s="10"/>
      <c r="OV142" s="57"/>
      <c r="OW142" s="10"/>
      <c r="OX142" s="57"/>
      <c r="OY142" s="10"/>
      <c r="OZ142" s="57"/>
      <c r="PA142" s="10"/>
      <c r="PB142" s="57"/>
      <c r="PC142" s="10"/>
      <c r="PD142" s="57"/>
      <c r="PE142" s="10"/>
      <c r="PF142" s="57"/>
      <c r="PG142" s="10"/>
      <c r="PH142" s="57"/>
      <c r="PI142" s="10"/>
      <c r="PJ142" s="57"/>
      <c r="PK142" s="10"/>
      <c r="PL142" s="57"/>
      <c r="PM142" s="10"/>
      <c r="PN142" s="57"/>
      <c r="PO142" s="10"/>
      <c r="PP142" s="57"/>
      <c r="PQ142" s="10"/>
      <c r="PR142" s="57"/>
      <c r="PS142" s="10"/>
      <c r="PT142" s="57"/>
      <c r="PU142" s="10"/>
      <c r="PV142" s="57"/>
      <c r="PW142" s="10"/>
      <c r="PX142" s="57"/>
      <c r="PY142" s="10"/>
      <c r="PZ142" s="57"/>
      <c r="QA142" s="10"/>
      <c r="QB142" s="57"/>
      <c r="QC142" s="10"/>
      <c r="QD142" s="57"/>
      <c r="QE142" s="10"/>
      <c r="QF142" s="57"/>
      <c r="QG142" s="10"/>
      <c r="QH142" s="57"/>
      <c r="QI142" s="10"/>
      <c r="QJ142" s="57"/>
      <c r="QK142" s="10"/>
      <c r="QL142" s="57"/>
      <c r="QM142" s="10"/>
      <c r="QN142" s="57"/>
      <c r="QO142" s="10"/>
      <c r="QP142" s="57"/>
      <c r="QQ142" s="10"/>
      <c r="QR142" s="57"/>
      <c r="QS142" s="10"/>
      <c r="QT142" s="57"/>
      <c r="QU142" s="10"/>
      <c r="QV142" s="57"/>
      <c r="QW142" s="10"/>
      <c r="QX142" s="57"/>
      <c r="QY142" s="10"/>
      <c r="QZ142" s="57"/>
      <c r="RA142" s="10"/>
      <c r="RB142" s="57"/>
      <c r="RC142" s="10"/>
      <c r="RD142" s="57"/>
      <c r="RE142" s="10"/>
      <c r="RF142" s="57"/>
      <c r="RG142" s="10"/>
      <c r="RH142" s="57"/>
      <c r="RI142" s="10"/>
      <c r="RJ142" s="57"/>
      <c r="RK142" s="10"/>
      <c r="RL142" s="57"/>
      <c r="RM142" s="10"/>
      <c r="RN142" s="57"/>
      <c r="RO142" s="10"/>
      <c r="RP142" s="57"/>
      <c r="RQ142" s="10"/>
      <c r="RR142" s="57"/>
      <c r="RS142" s="10"/>
      <c r="RT142" s="57"/>
      <c r="RU142" s="10"/>
      <c r="RV142" s="57"/>
      <c r="RW142" s="10"/>
      <c r="RX142" s="57"/>
      <c r="RY142" s="10"/>
      <c r="RZ142" s="57"/>
      <c r="SA142" s="10"/>
      <c r="SB142" s="57"/>
      <c r="SC142" s="10"/>
      <c r="SD142" s="57"/>
      <c r="SE142" s="10"/>
      <c r="SF142" s="57"/>
      <c r="SG142" s="10"/>
      <c r="SH142" s="57"/>
      <c r="SI142" s="10"/>
      <c r="SJ142" s="57"/>
      <c r="SK142" s="10"/>
      <c r="SL142" s="57"/>
      <c r="SM142" s="10"/>
      <c r="SN142" s="57"/>
      <c r="SO142" s="10"/>
      <c r="SP142" s="57"/>
      <c r="SQ142" s="10"/>
      <c r="SR142" s="57"/>
      <c r="SS142" s="10"/>
      <c r="ST142" s="57"/>
      <c r="SU142" s="10"/>
      <c r="SV142" s="57"/>
      <c r="SW142" s="10"/>
      <c r="SX142" s="57"/>
      <c r="SY142" s="10"/>
      <c r="SZ142" s="57"/>
      <c r="TA142" s="10"/>
      <c r="TB142" s="57"/>
      <c r="TC142" s="10"/>
      <c r="TD142" s="57"/>
      <c r="TE142" s="10"/>
      <c r="TF142" s="57"/>
      <c r="TG142" s="10"/>
      <c r="TH142" s="57"/>
      <c r="TI142" s="10"/>
      <c r="TJ142" s="57"/>
      <c r="TK142" s="10"/>
      <c r="TL142" s="57"/>
      <c r="TM142" s="10"/>
      <c r="TN142" s="57"/>
      <c r="TO142" s="10"/>
      <c r="TP142" s="57"/>
      <c r="TQ142" s="10"/>
      <c r="TR142" s="57"/>
      <c r="TS142" s="10"/>
      <c r="TT142" s="57"/>
      <c r="TU142" s="10"/>
      <c r="TV142" s="57"/>
      <c r="TW142" s="10"/>
      <c r="TX142" s="57"/>
      <c r="TY142" s="10"/>
      <c r="TZ142" s="57"/>
      <c r="UA142" s="10"/>
      <c r="UB142" s="57"/>
      <c r="UC142" s="10"/>
      <c r="UD142" s="57"/>
      <c r="UE142" s="10"/>
      <c r="UF142" s="57"/>
      <c r="UG142" s="10"/>
      <c r="UH142" s="57"/>
      <c r="UI142" s="10"/>
      <c r="UJ142" s="57"/>
      <c r="UK142" s="10"/>
      <c r="UL142" s="57"/>
      <c r="UM142" s="10"/>
      <c r="UN142" s="57"/>
      <c r="UO142" s="10"/>
      <c r="UP142" s="57"/>
      <c r="UQ142" s="10"/>
      <c r="UR142" s="57"/>
      <c r="US142" s="10"/>
      <c r="UT142" s="57"/>
      <c r="UU142" s="10"/>
      <c r="UV142" s="57"/>
      <c r="UW142" s="10"/>
      <c r="UX142" s="57"/>
      <c r="UY142" s="10"/>
      <c r="UZ142" s="57"/>
      <c r="VA142" s="10"/>
      <c r="VB142" s="57"/>
      <c r="VC142" s="10"/>
      <c r="VD142" s="57"/>
      <c r="VE142" s="10"/>
      <c r="VF142" s="57"/>
      <c r="VG142" s="10"/>
      <c r="VH142" s="57"/>
      <c r="VI142" s="10"/>
      <c r="VJ142" s="57"/>
      <c r="VK142" s="10"/>
      <c r="VL142" s="57"/>
      <c r="VM142" s="10"/>
      <c r="VN142" s="57"/>
      <c r="VO142" s="10"/>
      <c r="VP142" s="57"/>
      <c r="VQ142" s="10"/>
      <c r="VR142" s="57"/>
      <c r="VS142" s="10"/>
      <c r="VT142" s="57"/>
      <c r="VU142" s="10"/>
      <c r="VV142" s="57"/>
      <c r="VW142" s="10"/>
      <c r="VX142" s="57"/>
      <c r="VY142" s="10"/>
      <c r="VZ142" s="57"/>
      <c r="WA142" s="10"/>
      <c r="WB142" s="57"/>
      <c r="WC142" s="10"/>
      <c r="WD142" s="57"/>
      <c r="WE142" s="10"/>
      <c r="WF142" s="57"/>
      <c r="WG142" s="10"/>
      <c r="WH142" s="57"/>
      <c r="WI142" s="10"/>
      <c r="WJ142" s="57"/>
      <c r="WK142" s="10"/>
      <c r="WL142" s="57"/>
      <c r="WM142" s="10"/>
      <c r="WN142" s="57"/>
      <c r="WO142" s="10"/>
      <c r="WP142" s="57"/>
      <c r="WQ142" s="10"/>
      <c r="WR142" s="57"/>
      <c r="WS142" s="10"/>
      <c r="WT142" s="57"/>
      <c r="WU142" s="10"/>
      <c r="WV142" s="57"/>
      <c r="WW142" s="10"/>
      <c r="WX142" s="57"/>
      <c r="WY142" s="10"/>
      <c r="WZ142" s="57"/>
      <c r="XA142" s="10"/>
      <c r="XB142" s="57"/>
      <c r="XC142" s="10"/>
      <c r="XD142" s="57"/>
      <c r="XE142" s="10"/>
      <c r="XF142" s="57"/>
      <c r="XG142" s="10"/>
      <c r="XH142" s="57"/>
      <c r="XI142" s="10"/>
      <c r="XJ142" s="57"/>
      <c r="XK142" s="10"/>
      <c r="XL142" s="57"/>
      <c r="XM142" s="10"/>
      <c r="XN142" s="57"/>
      <c r="XO142" s="10"/>
      <c r="XP142" s="57"/>
      <c r="XQ142" s="10"/>
      <c r="XR142" s="57"/>
      <c r="XS142" s="10"/>
      <c r="XT142" s="57"/>
      <c r="XU142" s="10"/>
      <c r="XV142" s="57"/>
      <c r="XW142" s="10"/>
      <c r="XX142" s="57"/>
      <c r="XY142" s="10"/>
      <c r="XZ142" s="57"/>
      <c r="YA142" s="10"/>
      <c r="YB142" s="57"/>
      <c r="YC142" s="10"/>
      <c r="YD142" s="57"/>
      <c r="YE142" s="10"/>
      <c r="YF142" s="57"/>
      <c r="YG142" s="10"/>
      <c r="YH142" s="57"/>
      <c r="YI142" s="10"/>
      <c r="YJ142" s="57"/>
      <c r="YK142" s="10"/>
      <c r="YL142" s="57"/>
      <c r="YM142" s="10"/>
      <c r="YN142" s="57"/>
      <c r="YO142" s="10"/>
      <c r="YP142" s="57"/>
      <c r="YQ142" s="10"/>
      <c r="YR142" s="57"/>
      <c r="YS142" s="10"/>
      <c r="YT142" s="57"/>
      <c r="YU142" s="10"/>
      <c r="YV142" s="57"/>
      <c r="YW142" s="10"/>
      <c r="YX142" s="57"/>
      <c r="YY142" s="10"/>
      <c r="YZ142" s="57"/>
      <c r="ZA142" s="10"/>
      <c r="ZB142" s="57"/>
      <c r="ZC142" s="10"/>
      <c r="ZD142" s="57"/>
      <c r="ZE142" s="10"/>
      <c r="ZF142" s="57"/>
      <c r="ZG142" s="10"/>
      <c r="ZH142" s="57"/>
      <c r="ZI142" s="10"/>
      <c r="ZJ142" s="57"/>
      <c r="ZK142" s="10"/>
      <c r="ZL142" s="57"/>
      <c r="ZM142" s="10"/>
      <c r="ZN142" s="57"/>
      <c r="ZO142" s="10"/>
      <c r="ZP142" s="57"/>
      <c r="ZQ142" s="10"/>
      <c r="ZR142" s="57"/>
      <c r="ZS142" s="10"/>
      <c r="ZT142" s="57"/>
      <c r="ZU142" s="10"/>
      <c r="ZV142" s="57"/>
      <c r="ZW142" s="10"/>
      <c r="ZX142" s="57"/>
      <c r="ZY142" s="10"/>
      <c r="ZZ142" s="57"/>
      <c r="AAA142" s="10"/>
      <c r="AAB142" s="57"/>
      <c r="AAC142" s="10"/>
      <c r="AAD142" s="57"/>
      <c r="AAE142" s="10"/>
      <c r="AAF142" s="57"/>
      <c r="AAG142" s="10"/>
      <c r="AAH142" s="57"/>
      <c r="AAI142" s="10"/>
      <c r="AAJ142" s="57"/>
      <c r="AAK142" s="10"/>
      <c r="AAL142" s="57"/>
      <c r="AAM142" s="10"/>
      <c r="AAN142" s="57"/>
      <c r="AAO142" s="10"/>
      <c r="AAP142" s="57"/>
      <c r="AAQ142" s="10"/>
      <c r="AAR142" s="57"/>
      <c r="AAS142" s="10"/>
      <c r="AAT142" s="57"/>
      <c r="AAU142" s="10"/>
      <c r="AAV142" s="57"/>
      <c r="AAW142" s="10"/>
      <c r="AAX142" s="57"/>
      <c r="AAY142" s="10"/>
      <c r="AAZ142" s="57"/>
      <c r="ABA142" s="10"/>
      <c r="ABB142" s="57"/>
      <c r="ABC142" s="10"/>
      <c r="ABD142" s="57"/>
      <c r="ABE142" s="10"/>
      <c r="ABF142" s="57"/>
      <c r="ABG142" s="10"/>
      <c r="ABH142" s="57"/>
      <c r="ABI142" s="10"/>
      <c r="ABJ142" s="57"/>
      <c r="ABK142" s="10"/>
      <c r="ABL142" s="57"/>
      <c r="ABM142" s="10"/>
      <c r="ABN142" s="57"/>
      <c r="ABO142" s="10"/>
      <c r="ABP142" s="57"/>
      <c r="ABQ142" s="10"/>
      <c r="ABR142" s="57"/>
      <c r="ABS142" s="10"/>
      <c r="ABT142" s="57"/>
      <c r="ABU142" s="10"/>
      <c r="ABV142" s="57"/>
      <c r="ABW142" s="10"/>
      <c r="ABX142" s="57"/>
      <c r="ABY142" s="10"/>
      <c r="ABZ142" s="57"/>
      <c r="ACA142" s="10"/>
      <c r="ACB142" s="57"/>
      <c r="ACC142" s="10"/>
      <c r="ACD142" s="57"/>
      <c r="ACE142" s="10"/>
      <c r="ACF142" s="57"/>
      <c r="ACG142" s="10"/>
      <c r="ACH142" s="57"/>
      <c r="ACI142" s="10"/>
      <c r="ACJ142" s="57"/>
      <c r="ACK142" s="10"/>
      <c r="ACL142" s="57"/>
      <c r="ACM142" s="10"/>
      <c r="ACN142" s="57"/>
      <c r="ACO142" s="10"/>
      <c r="ACP142" s="57"/>
      <c r="ACQ142" s="10"/>
      <c r="ACR142" s="57"/>
      <c r="ACS142" s="10"/>
      <c r="ACT142" s="57"/>
      <c r="ACU142" s="10"/>
      <c r="ACV142" s="57"/>
      <c r="ACW142" s="10"/>
      <c r="ACX142" s="57"/>
      <c r="ACY142" s="10"/>
      <c r="ACZ142" s="57"/>
      <c r="ADA142" s="10"/>
      <c r="ADB142" s="57"/>
      <c r="ADC142" s="10"/>
      <c r="ADD142" s="57"/>
      <c r="ADE142" s="10"/>
      <c r="ADF142" s="57"/>
      <c r="ADG142" s="10"/>
      <c r="ADH142" s="57"/>
      <c r="ADI142" s="10"/>
      <c r="ADJ142" s="57"/>
      <c r="ADK142" s="10"/>
      <c r="ADL142" s="57"/>
      <c r="ADM142" s="10"/>
      <c r="ADN142" s="57"/>
      <c r="ADO142" s="10"/>
      <c r="ADP142" s="57"/>
      <c r="ADQ142" s="10"/>
      <c r="ADR142" s="57"/>
      <c r="ADS142" s="10"/>
      <c r="ADT142" s="57"/>
      <c r="ADU142" s="10"/>
      <c r="ADV142" s="57"/>
      <c r="ADW142" s="10"/>
      <c r="ADX142" s="57"/>
      <c r="ADY142" s="10"/>
      <c r="ADZ142" s="57"/>
      <c r="AEA142" s="10"/>
      <c r="AEB142" s="57"/>
      <c r="AEC142" s="10"/>
      <c r="AED142" s="57"/>
      <c r="AEE142" s="10"/>
      <c r="AEF142" s="57"/>
      <c r="AEG142" s="10"/>
      <c r="AEH142" s="57"/>
      <c r="AEI142" s="10"/>
      <c r="AEJ142" s="57"/>
      <c r="AEK142" s="10"/>
      <c r="AEL142" s="57"/>
      <c r="AEM142" s="10"/>
      <c r="AEN142" s="57"/>
      <c r="AEO142" s="10"/>
      <c r="AEP142" s="57"/>
      <c r="AEQ142" s="10"/>
      <c r="AER142" s="57"/>
      <c r="AES142" s="10"/>
      <c r="AET142" s="57"/>
      <c r="AEU142" s="10"/>
      <c r="AEV142" s="57"/>
      <c r="AEW142" s="10"/>
      <c r="AEX142" s="57"/>
      <c r="AEY142" s="10"/>
      <c r="AEZ142" s="57"/>
      <c r="AFA142" s="10"/>
      <c r="AFB142" s="57"/>
      <c r="AFC142" s="10"/>
      <c r="AFD142" s="57"/>
      <c r="AFE142" s="10"/>
      <c r="AFF142" s="57"/>
      <c r="AFG142" s="10"/>
      <c r="AFH142" s="57"/>
      <c r="AFI142" s="10"/>
      <c r="AFJ142" s="57"/>
      <c r="AFK142" s="10"/>
      <c r="AFL142" s="57"/>
      <c r="AFM142" s="10"/>
      <c r="AFN142" s="57"/>
      <c r="AFO142" s="10"/>
      <c r="AFP142" s="57"/>
      <c r="AFQ142" s="10"/>
      <c r="AFR142" s="57"/>
      <c r="AFS142" s="10"/>
      <c r="AFT142" s="57"/>
      <c r="AFU142" s="10"/>
      <c r="AFV142" s="57"/>
      <c r="AFW142" s="10"/>
      <c r="AFX142" s="57"/>
      <c r="AFY142" s="10"/>
      <c r="AFZ142" s="57"/>
      <c r="AGA142" s="10"/>
      <c r="AGB142" s="57"/>
      <c r="AGC142" s="10"/>
      <c r="AGD142" s="57"/>
      <c r="AGE142" s="10"/>
      <c r="AGF142" s="57"/>
      <c r="AGG142" s="10"/>
      <c r="AGH142" s="57"/>
      <c r="AGI142" s="10"/>
      <c r="AGJ142" s="57"/>
      <c r="AGK142" s="10"/>
      <c r="AGL142" s="57"/>
      <c r="AGM142" s="10"/>
      <c r="AGN142" s="57"/>
      <c r="AGO142" s="10"/>
      <c r="AGP142" s="57"/>
      <c r="AGQ142" s="10"/>
      <c r="AGR142" s="57"/>
      <c r="AGS142" s="10"/>
      <c r="AGT142" s="57"/>
      <c r="AGU142" s="10"/>
      <c r="AGV142" s="57"/>
      <c r="AGW142" s="10"/>
      <c r="AGX142" s="57"/>
      <c r="AGY142" s="10"/>
      <c r="AGZ142" s="57"/>
      <c r="AHA142" s="10"/>
      <c r="AHB142" s="57"/>
      <c r="AHC142" s="10"/>
      <c r="AHD142" s="57"/>
      <c r="AHE142" s="10"/>
      <c r="AHF142" s="57"/>
      <c r="AHG142" s="10"/>
      <c r="AHH142" s="57"/>
      <c r="AHI142" s="10"/>
      <c r="AHJ142" s="57"/>
      <c r="AHK142" s="10"/>
      <c r="AHL142" s="57"/>
      <c r="AHM142" s="10"/>
      <c r="AHN142" s="57"/>
      <c r="AHO142" s="10"/>
      <c r="AHP142" s="57"/>
      <c r="AHQ142" s="10"/>
      <c r="AHR142" s="57"/>
      <c r="AHS142" s="10"/>
      <c r="AHT142" s="57"/>
      <c r="AHU142" s="10"/>
      <c r="AHV142" s="57"/>
      <c r="AHW142" s="10"/>
      <c r="AHX142" s="57"/>
      <c r="AHY142" s="10"/>
      <c r="AHZ142" s="57"/>
      <c r="AIA142" s="10"/>
      <c r="AIB142" s="57"/>
      <c r="AIC142" s="10"/>
      <c r="AID142" s="57"/>
      <c r="AIE142" s="10"/>
      <c r="AIF142" s="57"/>
      <c r="AIG142" s="10"/>
      <c r="AIH142" s="57"/>
      <c r="AII142" s="10"/>
      <c r="AIJ142" s="57"/>
      <c r="AIK142" s="10"/>
      <c r="AIL142" s="57"/>
      <c r="AIM142" s="10"/>
      <c r="AIN142" s="57"/>
      <c r="AIO142" s="10"/>
      <c r="AIP142" s="57"/>
      <c r="AIQ142" s="10"/>
      <c r="AIR142" s="57"/>
      <c r="AIS142" s="10"/>
      <c r="AIT142" s="57"/>
      <c r="AIU142" s="10"/>
      <c r="AIV142" s="57"/>
      <c r="AIW142" s="10"/>
      <c r="AIX142" s="57"/>
      <c r="AIY142" s="10"/>
      <c r="AIZ142" s="57"/>
      <c r="AJA142" s="10"/>
      <c r="AJB142" s="57"/>
      <c r="AJC142" s="10"/>
      <c r="AJD142" s="57"/>
      <c r="AJE142" s="10"/>
      <c r="AJF142" s="57"/>
      <c r="AJG142" s="10"/>
      <c r="AJH142" s="57"/>
      <c r="AJI142" s="10"/>
      <c r="AJJ142" s="57"/>
      <c r="AJK142" s="10"/>
      <c r="AJL142" s="57"/>
      <c r="AJM142" s="10"/>
      <c r="AJN142" s="57"/>
      <c r="AJO142" s="10"/>
      <c r="AJP142" s="57"/>
      <c r="AJQ142" s="10"/>
      <c r="AJR142" s="57"/>
      <c r="AJS142" s="10"/>
      <c r="AJT142" s="57"/>
      <c r="AJU142" s="10"/>
      <c r="AJV142" s="57"/>
      <c r="AJW142" s="10"/>
      <c r="AJX142" s="57"/>
      <c r="AJY142" s="10"/>
      <c r="AJZ142" s="57"/>
      <c r="AKA142" s="10"/>
      <c r="AKB142" s="57"/>
      <c r="AKC142" s="10"/>
      <c r="AKD142" s="57"/>
      <c r="AKE142" s="10"/>
      <c r="AKF142" s="57"/>
      <c r="AKG142" s="10"/>
      <c r="AKH142" s="57"/>
      <c r="AKI142" s="10"/>
      <c r="AKJ142" s="57"/>
      <c r="AKK142" s="10"/>
      <c r="AKL142" s="57"/>
      <c r="AKM142" s="10"/>
      <c r="AKN142" s="57"/>
      <c r="AKO142" s="10"/>
      <c r="AKP142" s="57"/>
      <c r="AKQ142" s="10"/>
      <c r="AKR142" s="57"/>
      <c r="AKS142" s="10"/>
      <c r="AKT142" s="57"/>
      <c r="AKU142" s="10"/>
      <c r="AKV142" s="57"/>
      <c r="AKW142" s="10"/>
      <c r="AKX142" s="57"/>
      <c r="AKY142" s="10"/>
      <c r="AKZ142" s="57"/>
      <c r="ALA142" s="10"/>
      <c r="ALB142" s="57"/>
      <c r="ALC142" s="10"/>
      <c r="ALD142" s="57"/>
      <c r="ALE142" s="10"/>
      <c r="ALF142" s="57"/>
      <c r="ALG142" s="10"/>
      <c r="ALH142" s="57"/>
      <c r="ALI142" s="10"/>
      <c r="ALJ142" s="57"/>
      <c r="ALK142" s="10"/>
      <c r="ALL142" s="57"/>
      <c r="ALM142" s="10"/>
      <c r="ALN142" s="57"/>
      <c r="ALO142" s="10"/>
      <c r="ALP142" s="57"/>
      <c r="ALQ142" s="10"/>
      <c r="ALR142" s="57"/>
      <c r="ALS142" s="10"/>
      <c r="ALT142" s="57"/>
      <c r="ALU142" s="10"/>
      <c r="ALV142" s="57"/>
      <c r="ALW142" s="10"/>
      <c r="ALX142" s="57"/>
      <c r="ALY142" s="10"/>
      <c r="ALZ142" s="57"/>
      <c r="AMA142" s="10"/>
      <c r="AMB142" s="57"/>
      <c r="AMC142" s="10"/>
      <c r="AMD142" s="57"/>
      <c r="AME142" s="10"/>
      <c r="AMF142" s="57"/>
      <c r="AMG142" s="10"/>
      <c r="AMH142" s="57"/>
      <c r="AMI142" s="10"/>
      <c r="AMJ142" s="57"/>
      <c r="AMK142" s="10"/>
      <c r="AML142" s="57"/>
      <c r="AMM142" s="10"/>
      <c r="AMN142" s="57"/>
      <c r="AMO142" s="10"/>
      <c r="AMP142" s="57"/>
      <c r="AMQ142" s="10"/>
      <c r="AMR142" s="57"/>
      <c r="AMS142" s="10"/>
      <c r="AMT142" s="57"/>
      <c r="AMU142" s="10"/>
      <c r="AMV142" s="57"/>
      <c r="AMW142" s="10"/>
      <c r="AMX142" s="57"/>
      <c r="AMY142" s="10"/>
      <c r="AMZ142" s="57"/>
      <c r="ANA142" s="10"/>
      <c r="ANB142" s="57"/>
      <c r="ANC142" s="10"/>
      <c r="AND142" s="57"/>
      <c r="ANE142" s="10"/>
      <c r="ANF142" s="57"/>
      <c r="ANG142" s="10"/>
      <c r="ANH142" s="57"/>
      <c r="ANI142" s="10"/>
      <c r="ANJ142" s="57"/>
      <c r="ANK142" s="10"/>
      <c r="ANL142" s="57"/>
      <c r="ANM142" s="10"/>
      <c r="ANN142" s="57"/>
      <c r="ANO142" s="10"/>
      <c r="ANP142" s="57"/>
      <c r="ANQ142" s="10"/>
      <c r="ANR142" s="57"/>
      <c r="ANS142" s="10"/>
      <c r="ANT142" s="57"/>
      <c r="ANU142" s="10"/>
      <c r="ANV142" s="57"/>
      <c r="ANW142" s="10"/>
      <c r="ANX142" s="57"/>
      <c r="ANY142" s="10"/>
      <c r="ANZ142" s="57"/>
      <c r="AOA142" s="10"/>
      <c r="AOB142" s="57"/>
      <c r="AOC142" s="10"/>
      <c r="AOD142" s="57"/>
      <c r="AOE142" s="10"/>
      <c r="AOF142" s="57"/>
      <c r="AOG142" s="10"/>
      <c r="AOH142" s="57"/>
      <c r="AOI142" s="10"/>
      <c r="AOJ142" s="57"/>
      <c r="AOK142" s="10"/>
      <c r="AOL142" s="57"/>
      <c r="AOM142" s="10"/>
      <c r="AON142" s="57"/>
      <c r="AOO142" s="10"/>
      <c r="AOP142" s="57"/>
      <c r="AOQ142" s="10"/>
      <c r="AOR142" s="57"/>
      <c r="AOS142" s="10"/>
      <c r="AOT142" s="57"/>
      <c r="AOU142" s="10"/>
      <c r="AOV142" s="57"/>
      <c r="AOW142" s="10"/>
      <c r="AOX142" s="57"/>
      <c r="AOY142" s="10"/>
      <c r="AOZ142" s="57"/>
      <c r="APA142" s="10"/>
      <c r="APB142" s="57"/>
      <c r="APC142" s="10"/>
      <c r="APD142" s="57"/>
      <c r="APE142" s="10"/>
      <c r="APF142" s="57"/>
      <c r="APG142" s="10"/>
      <c r="APH142" s="57"/>
      <c r="API142" s="10"/>
      <c r="APJ142" s="57"/>
      <c r="APK142" s="10"/>
      <c r="APL142" s="57"/>
      <c r="APM142" s="10"/>
      <c r="APN142" s="57"/>
      <c r="APO142" s="10"/>
      <c r="APP142" s="57"/>
      <c r="APQ142" s="10"/>
      <c r="APR142" s="57"/>
      <c r="APS142" s="10"/>
      <c r="APT142" s="57"/>
      <c r="APU142" s="10"/>
      <c r="APV142" s="57"/>
      <c r="APW142" s="10"/>
      <c r="APX142" s="57"/>
      <c r="APY142" s="10"/>
      <c r="APZ142" s="57"/>
      <c r="AQA142" s="10"/>
      <c r="AQB142" s="57"/>
      <c r="AQC142" s="10"/>
      <c r="AQD142" s="57"/>
      <c r="AQE142" s="10"/>
      <c r="AQF142" s="57"/>
      <c r="AQG142" s="10"/>
      <c r="AQH142" s="57"/>
      <c r="AQI142" s="10"/>
      <c r="AQJ142" s="57"/>
      <c r="AQK142" s="10"/>
      <c r="AQL142" s="57"/>
      <c r="AQM142" s="10"/>
      <c r="AQN142" s="57"/>
      <c r="AQO142" s="10"/>
      <c r="AQP142" s="57"/>
      <c r="AQQ142" s="10"/>
      <c r="AQR142" s="57"/>
      <c r="AQS142" s="10"/>
      <c r="AQT142" s="57"/>
      <c r="AQU142" s="10"/>
      <c r="AQV142" s="57"/>
      <c r="AQW142" s="10"/>
      <c r="AQX142" s="57"/>
      <c r="AQY142" s="10"/>
      <c r="AQZ142" s="57"/>
      <c r="ARA142" s="10"/>
      <c r="ARB142" s="57"/>
      <c r="ARC142" s="10"/>
      <c r="ARD142" s="57"/>
      <c r="ARE142" s="10"/>
      <c r="ARF142" s="57"/>
      <c r="ARG142" s="10"/>
      <c r="ARH142" s="57"/>
      <c r="ARI142" s="10"/>
      <c r="ARJ142" s="57"/>
      <c r="ARK142" s="10"/>
      <c r="ARL142" s="57"/>
      <c r="ARM142" s="10"/>
      <c r="ARN142" s="57"/>
      <c r="ARO142" s="10"/>
      <c r="ARP142" s="57"/>
      <c r="ARQ142" s="10"/>
      <c r="ARR142" s="57"/>
      <c r="ARS142" s="10"/>
      <c r="ART142" s="57"/>
      <c r="ARU142" s="10"/>
      <c r="ARV142" s="57"/>
      <c r="ARW142" s="10"/>
      <c r="ARX142" s="57"/>
      <c r="ARY142" s="10"/>
      <c r="ARZ142" s="57"/>
      <c r="ASA142" s="10"/>
      <c r="ASB142" s="57"/>
      <c r="ASC142" s="10"/>
      <c r="ASD142" s="57"/>
      <c r="ASE142" s="10"/>
      <c r="ASF142" s="57"/>
      <c r="ASG142" s="10"/>
      <c r="ASH142" s="57"/>
      <c r="ASI142" s="10"/>
      <c r="ASJ142" s="57"/>
      <c r="ASK142" s="10"/>
      <c r="ASL142" s="57"/>
      <c r="ASM142" s="10"/>
      <c r="ASN142" s="57"/>
      <c r="ASO142" s="10"/>
      <c r="ASP142" s="57"/>
      <c r="ASQ142" s="10"/>
      <c r="ASR142" s="57"/>
      <c r="ASS142" s="10"/>
      <c r="AST142" s="57"/>
      <c r="ASU142" s="10"/>
      <c r="ASV142" s="57"/>
      <c r="ASW142" s="10"/>
      <c r="ASX142" s="57"/>
      <c r="ASY142" s="10"/>
      <c r="ASZ142" s="57"/>
      <c r="ATA142" s="10"/>
      <c r="ATB142" s="57"/>
      <c r="ATC142" s="10"/>
      <c r="ATD142" s="57"/>
      <c r="ATE142" s="10"/>
      <c r="ATF142" s="57"/>
      <c r="ATG142" s="10"/>
      <c r="ATH142" s="57"/>
      <c r="ATI142" s="10"/>
      <c r="ATJ142" s="57"/>
      <c r="ATK142" s="10"/>
      <c r="ATL142" s="57"/>
      <c r="ATM142" s="10"/>
      <c r="ATN142" s="57"/>
      <c r="ATO142" s="10"/>
      <c r="ATP142" s="57"/>
      <c r="ATQ142" s="10"/>
      <c r="ATR142" s="57"/>
      <c r="ATS142" s="10"/>
      <c r="ATT142" s="57"/>
      <c r="ATU142" s="10"/>
      <c r="ATV142" s="57"/>
      <c r="ATW142" s="10"/>
      <c r="ATX142" s="57"/>
      <c r="ATY142" s="10"/>
      <c r="ATZ142" s="57"/>
      <c r="AUA142" s="10"/>
      <c r="AUB142" s="57"/>
      <c r="AUC142" s="10"/>
      <c r="AUD142" s="57"/>
      <c r="AUE142" s="10"/>
      <c r="AUF142" s="57"/>
      <c r="AUG142" s="10"/>
      <c r="AUH142" s="57"/>
      <c r="AUI142" s="10"/>
      <c r="AUJ142" s="57"/>
      <c r="AUK142" s="10"/>
      <c r="AUL142" s="57"/>
      <c r="AUM142" s="10"/>
      <c r="AUN142" s="57"/>
      <c r="AUO142" s="10"/>
      <c r="AUP142" s="57"/>
      <c r="AUQ142" s="10"/>
      <c r="AUR142" s="57"/>
      <c r="AUS142" s="10"/>
      <c r="AUT142" s="57"/>
      <c r="AUU142" s="10"/>
      <c r="AUV142" s="57"/>
      <c r="AUW142" s="10"/>
      <c r="AUX142" s="57"/>
      <c r="AUY142" s="10"/>
      <c r="AUZ142" s="57"/>
      <c r="AVA142" s="10"/>
      <c r="AVB142" s="57"/>
      <c r="AVC142" s="10"/>
      <c r="AVD142" s="57"/>
      <c r="AVE142" s="10"/>
      <c r="AVF142" s="57"/>
      <c r="AVG142" s="10"/>
      <c r="AVH142" s="57"/>
      <c r="AVI142" s="10"/>
      <c r="AVJ142" s="57"/>
      <c r="AVK142" s="10"/>
      <c r="AVL142" s="57"/>
      <c r="AVM142" s="10"/>
      <c r="AVN142" s="57"/>
      <c r="AVO142" s="10"/>
      <c r="AVP142" s="57"/>
      <c r="AVQ142" s="10"/>
      <c r="AVR142" s="57"/>
      <c r="AVS142" s="10"/>
      <c r="AVT142" s="57"/>
      <c r="AVU142" s="10"/>
      <c r="AVV142" s="57"/>
      <c r="AVW142" s="10"/>
      <c r="AVX142" s="57"/>
      <c r="AVY142" s="10"/>
      <c r="AVZ142" s="57"/>
      <c r="AWA142" s="10"/>
      <c r="AWB142" s="57"/>
      <c r="AWC142" s="10"/>
      <c r="AWD142" s="57"/>
      <c r="AWE142" s="10"/>
      <c r="AWF142" s="57"/>
      <c r="AWG142" s="10"/>
      <c r="AWH142" s="57"/>
      <c r="AWI142" s="10"/>
      <c r="AWJ142" s="57"/>
      <c r="AWK142" s="10"/>
      <c r="AWL142" s="57"/>
      <c r="AWM142" s="10"/>
      <c r="AWN142" s="57"/>
      <c r="AWO142" s="10"/>
      <c r="AWP142" s="57"/>
      <c r="AWQ142" s="10"/>
      <c r="AWR142" s="57"/>
      <c r="AWS142" s="10"/>
      <c r="AWT142" s="57"/>
      <c r="AWU142" s="10"/>
      <c r="AWV142" s="57"/>
      <c r="AWW142" s="10"/>
      <c r="AWX142" s="57"/>
      <c r="AWY142" s="10"/>
      <c r="AWZ142" s="57"/>
      <c r="AXA142" s="10"/>
      <c r="AXB142" s="57"/>
      <c r="AXC142" s="10"/>
      <c r="AXD142" s="57"/>
      <c r="AXE142" s="10"/>
      <c r="AXF142" s="57"/>
      <c r="AXG142" s="10"/>
      <c r="AXH142" s="57"/>
      <c r="AXI142" s="10"/>
      <c r="AXJ142" s="57"/>
      <c r="AXK142" s="10"/>
      <c r="AXL142" s="57"/>
      <c r="AXM142" s="10"/>
      <c r="AXN142" s="57"/>
      <c r="AXO142" s="10"/>
      <c r="AXP142" s="57"/>
      <c r="AXQ142" s="10"/>
      <c r="AXR142" s="57"/>
      <c r="AXS142" s="10"/>
      <c r="AXT142" s="57"/>
      <c r="AXU142" s="10"/>
      <c r="AXV142" s="57"/>
      <c r="AXW142" s="10"/>
      <c r="AXX142" s="57"/>
      <c r="AXY142" s="10"/>
      <c r="AXZ142" s="57"/>
      <c r="AYA142" s="10"/>
      <c r="AYB142" s="57"/>
      <c r="AYC142" s="10"/>
      <c r="AYD142" s="57"/>
      <c r="AYE142" s="10"/>
      <c r="AYF142" s="57"/>
      <c r="AYG142" s="10"/>
      <c r="AYH142" s="57"/>
      <c r="AYI142" s="10"/>
      <c r="AYJ142" s="57"/>
      <c r="AYK142" s="10"/>
      <c r="AYL142" s="57"/>
      <c r="AYM142" s="10"/>
      <c r="AYN142" s="57"/>
      <c r="AYO142" s="10"/>
      <c r="AYP142" s="57"/>
      <c r="AYQ142" s="10"/>
      <c r="AYR142" s="57"/>
      <c r="AYS142" s="10"/>
      <c r="AYT142" s="57"/>
      <c r="AYU142" s="10"/>
      <c r="AYV142" s="57"/>
      <c r="AYW142" s="10"/>
      <c r="AYX142" s="57"/>
      <c r="AYY142" s="10"/>
      <c r="AYZ142" s="57"/>
      <c r="AZA142" s="10"/>
      <c r="AZB142" s="57"/>
      <c r="AZC142" s="10"/>
      <c r="AZD142" s="57"/>
      <c r="AZE142" s="10"/>
      <c r="AZF142" s="57"/>
      <c r="AZG142" s="10"/>
      <c r="AZH142" s="57"/>
      <c r="AZI142" s="10"/>
      <c r="AZJ142" s="57"/>
      <c r="AZK142" s="10"/>
      <c r="AZL142" s="57"/>
      <c r="AZM142" s="10"/>
      <c r="AZN142" s="57"/>
      <c r="AZO142" s="10"/>
      <c r="AZP142" s="57"/>
      <c r="AZQ142" s="10"/>
      <c r="AZR142" s="57"/>
      <c r="AZS142" s="10"/>
      <c r="AZT142" s="57"/>
      <c r="AZU142" s="10"/>
      <c r="AZV142" s="57"/>
      <c r="AZW142" s="10"/>
      <c r="AZX142" s="57"/>
      <c r="AZY142" s="10"/>
      <c r="AZZ142" s="57"/>
      <c r="BAA142" s="10"/>
      <c r="BAB142" s="57"/>
      <c r="BAC142" s="10"/>
      <c r="BAD142" s="57"/>
      <c r="BAE142" s="10"/>
      <c r="BAF142" s="57"/>
      <c r="BAG142" s="10"/>
      <c r="BAH142" s="57"/>
      <c r="BAI142" s="10"/>
      <c r="BAJ142" s="57"/>
      <c r="BAK142" s="10"/>
      <c r="BAL142" s="57"/>
      <c r="BAM142" s="10"/>
      <c r="BAN142" s="57"/>
      <c r="BAO142" s="10"/>
      <c r="BAP142" s="57"/>
      <c r="BAQ142" s="10"/>
      <c r="BAR142" s="57"/>
      <c r="BAS142" s="10"/>
      <c r="BAT142" s="57"/>
      <c r="BAU142" s="10"/>
      <c r="BAV142" s="57"/>
      <c r="BAW142" s="10"/>
      <c r="BAX142" s="57"/>
      <c r="BAY142" s="10"/>
      <c r="BAZ142" s="57"/>
      <c r="BBA142" s="10"/>
      <c r="BBB142" s="57"/>
      <c r="BBC142" s="10"/>
      <c r="BBD142" s="57"/>
      <c r="BBE142" s="10"/>
      <c r="BBF142" s="57"/>
      <c r="BBG142" s="10"/>
      <c r="BBH142" s="57"/>
      <c r="BBI142" s="10"/>
      <c r="BBJ142" s="57"/>
      <c r="BBK142" s="10"/>
      <c r="BBL142" s="57"/>
      <c r="BBM142" s="10"/>
      <c r="BBN142" s="57"/>
      <c r="BBO142" s="10"/>
      <c r="BBP142" s="57"/>
      <c r="BBQ142" s="10"/>
      <c r="BBR142" s="57"/>
      <c r="BBS142" s="10"/>
      <c r="BBT142" s="57"/>
      <c r="BBU142" s="10"/>
      <c r="BBV142" s="57"/>
      <c r="BBW142" s="10"/>
      <c r="BBX142" s="57"/>
      <c r="BBY142" s="10"/>
      <c r="BBZ142" s="57"/>
      <c r="BCA142" s="10"/>
      <c r="BCB142" s="57"/>
      <c r="BCC142" s="10"/>
      <c r="BCD142" s="57"/>
      <c r="BCE142" s="10"/>
      <c r="BCF142" s="57"/>
      <c r="BCG142" s="10"/>
      <c r="BCH142" s="57"/>
      <c r="BCI142" s="10"/>
      <c r="BCJ142" s="57"/>
      <c r="BCK142" s="10"/>
      <c r="BCL142" s="57"/>
      <c r="BCM142" s="10"/>
      <c r="BCN142" s="57"/>
      <c r="BCO142" s="10"/>
      <c r="BCP142" s="57"/>
      <c r="BCQ142" s="10"/>
      <c r="BCR142" s="57"/>
      <c r="BCS142" s="10"/>
      <c r="BCT142" s="57"/>
      <c r="BCU142" s="10"/>
      <c r="BCV142" s="57"/>
      <c r="BCW142" s="10"/>
      <c r="BCX142" s="57"/>
      <c r="BCY142" s="10"/>
      <c r="BCZ142" s="57"/>
      <c r="BDA142" s="10"/>
      <c r="BDB142" s="57"/>
      <c r="BDC142" s="10"/>
      <c r="BDD142" s="57"/>
      <c r="BDE142" s="10"/>
      <c r="BDF142" s="57"/>
      <c r="BDG142" s="10"/>
      <c r="BDH142" s="57"/>
      <c r="BDI142" s="10"/>
      <c r="BDJ142" s="57"/>
      <c r="BDK142" s="10"/>
      <c r="BDL142" s="57"/>
      <c r="BDM142" s="10"/>
      <c r="BDN142" s="57"/>
      <c r="BDO142" s="10"/>
      <c r="BDP142" s="57"/>
      <c r="BDQ142" s="10"/>
      <c r="BDR142" s="57"/>
      <c r="BDS142" s="10"/>
      <c r="BDT142" s="57"/>
      <c r="BDU142" s="10"/>
      <c r="BDV142" s="57"/>
      <c r="BDW142" s="10"/>
      <c r="BDX142" s="57"/>
      <c r="BDY142" s="10"/>
      <c r="BDZ142" s="57"/>
      <c r="BEA142" s="10"/>
      <c r="BEB142" s="57"/>
      <c r="BEC142" s="10"/>
      <c r="BED142" s="57"/>
      <c r="BEE142" s="10"/>
      <c r="BEF142" s="57"/>
      <c r="BEG142" s="10"/>
      <c r="BEH142" s="57"/>
      <c r="BEI142" s="10"/>
      <c r="BEJ142" s="57"/>
      <c r="BEK142" s="10"/>
      <c r="BEL142" s="57"/>
      <c r="BEM142" s="10"/>
      <c r="BEN142" s="57"/>
      <c r="BEO142" s="10"/>
      <c r="BEP142" s="57"/>
      <c r="BEQ142" s="10"/>
      <c r="BER142" s="57"/>
      <c r="BES142" s="10"/>
      <c r="BET142" s="57"/>
      <c r="BEU142" s="10"/>
      <c r="BEV142" s="57"/>
      <c r="BEW142" s="10"/>
      <c r="BEX142" s="57"/>
      <c r="BEY142" s="10"/>
      <c r="BEZ142" s="57"/>
      <c r="BFA142" s="10"/>
      <c r="BFB142" s="57"/>
      <c r="BFC142" s="10"/>
      <c r="BFD142" s="57"/>
      <c r="BFE142" s="10"/>
      <c r="BFF142" s="57"/>
      <c r="BFG142" s="10"/>
      <c r="BFH142" s="57"/>
      <c r="BFI142" s="10"/>
      <c r="BFJ142" s="57"/>
      <c r="BFK142" s="10"/>
      <c r="BFL142" s="57"/>
      <c r="BFM142" s="10"/>
      <c r="BFN142" s="57"/>
      <c r="BFO142" s="10"/>
      <c r="BFP142" s="57"/>
      <c r="BFQ142" s="10"/>
      <c r="BFR142" s="57"/>
      <c r="BFS142" s="10"/>
      <c r="BFT142" s="57"/>
      <c r="BFU142" s="10"/>
      <c r="BFV142" s="57"/>
      <c r="BFW142" s="10"/>
      <c r="BFX142" s="57"/>
      <c r="BFY142" s="10"/>
      <c r="BFZ142" s="57"/>
      <c r="BGA142" s="10"/>
      <c r="BGB142" s="57"/>
      <c r="BGC142" s="10"/>
      <c r="BGD142" s="57"/>
      <c r="BGE142" s="10"/>
      <c r="BGF142" s="57"/>
      <c r="BGG142" s="10"/>
      <c r="BGH142" s="57"/>
      <c r="BGI142" s="10"/>
      <c r="BGJ142" s="57"/>
      <c r="BGK142" s="10"/>
      <c r="BGL142" s="57"/>
      <c r="BGM142" s="10"/>
      <c r="BGN142" s="57"/>
      <c r="BGO142" s="10"/>
      <c r="BGP142" s="57"/>
      <c r="BGQ142" s="10"/>
      <c r="BGR142" s="57"/>
      <c r="BGS142" s="10"/>
      <c r="BGT142" s="57"/>
      <c r="BGU142" s="10"/>
      <c r="BGV142" s="57"/>
      <c r="BGW142" s="10"/>
      <c r="BGX142" s="57"/>
      <c r="BGY142" s="10"/>
      <c r="BGZ142" s="57"/>
      <c r="BHA142" s="10"/>
      <c r="BHB142" s="57"/>
      <c r="BHC142" s="10"/>
      <c r="BHD142" s="57"/>
      <c r="BHE142" s="10"/>
      <c r="BHF142" s="57"/>
      <c r="BHG142" s="10"/>
      <c r="BHH142" s="57"/>
      <c r="BHI142" s="10"/>
      <c r="BHJ142" s="57"/>
      <c r="BHK142" s="10"/>
      <c r="BHL142" s="57"/>
      <c r="BHM142" s="10"/>
      <c r="BHN142" s="57"/>
      <c r="BHO142" s="10"/>
      <c r="BHP142" s="57"/>
      <c r="BHQ142" s="10"/>
      <c r="BHR142" s="57"/>
      <c r="BHS142" s="10"/>
      <c r="BHT142" s="57"/>
      <c r="BHU142" s="10"/>
      <c r="BHV142" s="57"/>
      <c r="BHW142" s="10"/>
      <c r="BHX142" s="57"/>
      <c r="BHY142" s="10"/>
      <c r="BHZ142" s="57"/>
      <c r="BIA142" s="10"/>
      <c r="BIB142" s="57"/>
      <c r="BIC142" s="10"/>
      <c r="BID142" s="57"/>
      <c r="BIE142" s="10"/>
      <c r="BIF142" s="57"/>
      <c r="BIG142" s="10"/>
      <c r="BIH142" s="57"/>
      <c r="BII142" s="10"/>
      <c r="BIJ142" s="57"/>
      <c r="BIK142" s="10"/>
      <c r="BIL142" s="57"/>
      <c r="BIM142" s="10"/>
      <c r="BIN142" s="57"/>
      <c r="BIO142" s="10"/>
      <c r="BIP142" s="57"/>
      <c r="BIQ142" s="10"/>
      <c r="BIR142" s="57"/>
      <c r="BIS142" s="10"/>
      <c r="BIT142" s="57"/>
      <c r="BIU142" s="10"/>
      <c r="BIV142" s="57"/>
      <c r="BIW142" s="10"/>
      <c r="BIX142" s="57"/>
      <c r="BIY142" s="10"/>
      <c r="BIZ142" s="57"/>
      <c r="BJA142" s="10"/>
      <c r="BJB142" s="57"/>
      <c r="BJC142" s="10"/>
      <c r="BJD142" s="57"/>
      <c r="BJE142" s="10"/>
      <c r="BJF142" s="57"/>
      <c r="BJG142" s="10"/>
      <c r="BJH142" s="57"/>
      <c r="BJI142" s="10"/>
      <c r="BJJ142" s="57"/>
      <c r="BJK142" s="10"/>
      <c r="BJL142" s="57"/>
      <c r="BJM142" s="10"/>
      <c r="BJN142" s="57"/>
      <c r="BJO142" s="10"/>
      <c r="BJP142" s="57"/>
      <c r="BJQ142" s="10"/>
      <c r="BJR142" s="57"/>
      <c r="BJS142" s="10"/>
      <c r="BJT142" s="57"/>
      <c r="BJU142" s="10"/>
      <c r="BJV142" s="57"/>
      <c r="BJW142" s="10"/>
      <c r="BJX142" s="57"/>
      <c r="BJY142" s="10"/>
      <c r="BJZ142" s="57"/>
      <c r="BKA142" s="10"/>
      <c r="BKB142" s="57"/>
      <c r="BKC142" s="10"/>
      <c r="BKD142" s="57"/>
      <c r="BKE142" s="10"/>
      <c r="BKF142" s="57"/>
      <c r="BKG142" s="10"/>
      <c r="BKH142" s="57"/>
      <c r="BKI142" s="10"/>
      <c r="BKJ142" s="57"/>
      <c r="BKK142" s="10"/>
      <c r="BKL142" s="57"/>
      <c r="BKM142" s="10"/>
      <c r="BKN142" s="57"/>
      <c r="BKO142" s="10"/>
      <c r="BKP142" s="57"/>
      <c r="BKQ142" s="10"/>
      <c r="BKR142" s="57"/>
      <c r="BKS142" s="10"/>
      <c r="BKT142" s="57"/>
      <c r="BKU142" s="10"/>
      <c r="BKV142" s="57"/>
      <c r="BKW142" s="10"/>
      <c r="BKX142" s="57"/>
      <c r="BKY142" s="10"/>
      <c r="BKZ142" s="57"/>
      <c r="BLA142" s="10"/>
      <c r="BLB142" s="57"/>
      <c r="BLC142" s="10"/>
      <c r="BLD142" s="57"/>
      <c r="BLE142" s="10"/>
      <c r="BLF142" s="57"/>
      <c r="BLG142" s="10"/>
      <c r="BLH142" s="57"/>
      <c r="BLI142" s="10"/>
      <c r="BLJ142" s="57"/>
      <c r="BLK142" s="10"/>
      <c r="BLL142" s="57"/>
      <c r="BLM142" s="10"/>
      <c r="BLN142" s="57"/>
      <c r="BLO142" s="10"/>
      <c r="BLP142" s="57"/>
      <c r="BLQ142" s="10"/>
      <c r="BLR142" s="57"/>
      <c r="BLS142" s="10"/>
      <c r="BLT142" s="57"/>
      <c r="BLU142" s="10"/>
      <c r="BLV142" s="57"/>
      <c r="BLW142" s="10"/>
      <c r="BLX142" s="57"/>
      <c r="BLY142" s="10"/>
      <c r="BLZ142" s="57"/>
      <c r="BMA142" s="10"/>
      <c r="BMB142" s="57"/>
      <c r="BMC142" s="10"/>
      <c r="BMD142" s="57"/>
      <c r="BME142" s="10"/>
      <c r="BMF142" s="57"/>
      <c r="BMG142" s="10"/>
      <c r="BMH142" s="57"/>
      <c r="BMI142" s="10"/>
      <c r="BMJ142" s="57"/>
      <c r="BMK142" s="10"/>
      <c r="BML142" s="57"/>
      <c r="BMM142" s="10"/>
      <c r="BMN142" s="57"/>
      <c r="BMO142" s="10"/>
      <c r="BMP142" s="57"/>
      <c r="BMQ142" s="10"/>
      <c r="BMR142" s="57"/>
      <c r="BMS142" s="10"/>
      <c r="BMT142" s="57"/>
      <c r="BMU142" s="10"/>
      <c r="BMV142" s="57"/>
      <c r="BMW142" s="10"/>
      <c r="BMX142" s="57"/>
      <c r="BMY142" s="10"/>
      <c r="BMZ142" s="57"/>
      <c r="BNA142" s="10"/>
      <c r="BNB142" s="57"/>
      <c r="BNC142" s="10"/>
      <c r="BND142" s="57"/>
      <c r="BNE142" s="10"/>
      <c r="BNF142" s="57"/>
      <c r="BNG142" s="10"/>
      <c r="BNH142" s="57"/>
      <c r="BNI142" s="10"/>
      <c r="BNJ142" s="57"/>
      <c r="BNK142" s="10"/>
      <c r="BNL142" s="57"/>
      <c r="BNM142" s="10"/>
      <c r="BNN142" s="57"/>
      <c r="BNO142" s="10"/>
      <c r="BNP142" s="57"/>
      <c r="BNQ142" s="10"/>
      <c r="BNR142" s="57"/>
      <c r="BNS142" s="10"/>
      <c r="BNT142" s="57"/>
      <c r="BNU142" s="10"/>
      <c r="BNV142" s="57"/>
      <c r="BNW142" s="10"/>
      <c r="BNX142" s="57"/>
      <c r="BNY142" s="10"/>
      <c r="BNZ142" s="57"/>
      <c r="BOA142" s="10"/>
      <c r="BOB142" s="57"/>
      <c r="BOC142" s="10"/>
      <c r="BOD142" s="57"/>
      <c r="BOE142" s="10"/>
      <c r="BOF142" s="57"/>
      <c r="BOG142" s="10"/>
      <c r="BOH142" s="57"/>
      <c r="BOI142" s="10"/>
      <c r="BOJ142" s="57"/>
      <c r="BOK142" s="10"/>
      <c r="BOL142" s="57"/>
      <c r="BOM142" s="10"/>
      <c r="BON142" s="57"/>
      <c r="BOO142" s="10"/>
      <c r="BOP142" s="57"/>
      <c r="BOQ142" s="10"/>
      <c r="BOR142" s="57"/>
      <c r="BOS142" s="10"/>
      <c r="BOT142" s="57"/>
      <c r="BOU142" s="10"/>
      <c r="BOV142" s="57"/>
      <c r="BOW142" s="10"/>
      <c r="BOX142" s="57"/>
      <c r="BOY142" s="10"/>
      <c r="BOZ142" s="57"/>
      <c r="BPA142" s="10"/>
      <c r="BPB142" s="57"/>
      <c r="BPC142" s="10"/>
      <c r="BPD142" s="57"/>
      <c r="BPE142" s="10"/>
      <c r="BPF142" s="57"/>
      <c r="BPG142" s="10"/>
      <c r="BPH142" s="57"/>
      <c r="BPI142" s="10"/>
      <c r="BPJ142" s="57"/>
      <c r="BPK142" s="10"/>
      <c r="BPL142" s="57"/>
      <c r="BPM142" s="10"/>
      <c r="BPN142" s="57"/>
      <c r="BPO142" s="10"/>
      <c r="BPP142" s="57"/>
      <c r="BPQ142" s="10"/>
      <c r="BPR142" s="57"/>
      <c r="BPS142" s="10"/>
      <c r="BPT142" s="57"/>
      <c r="BPU142" s="10"/>
      <c r="BPV142" s="57"/>
      <c r="BPW142" s="10"/>
      <c r="BPX142" s="57"/>
      <c r="BPY142" s="10"/>
      <c r="BPZ142" s="57"/>
      <c r="BQA142" s="10"/>
      <c r="BQB142" s="57"/>
      <c r="BQC142" s="10"/>
      <c r="BQD142" s="57"/>
      <c r="BQE142" s="10"/>
      <c r="BQF142" s="57"/>
      <c r="BQG142" s="10"/>
      <c r="BQH142" s="57"/>
      <c r="BQI142" s="10"/>
      <c r="BQJ142" s="57"/>
      <c r="BQK142" s="10"/>
      <c r="BQL142" s="57"/>
      <c r="BQM142" s="10"/>
      <c r="BQN142" s="57"/>
      <c r="BQO142" s="10"/>
      <c r="BQP142" s="57"/>
      <c r="BQQ142" s="10"/>
      <c r="BQR142" s="57"/>
      <c r="BQS142" s="10"/>
      <c r="BQT142" s="57"/>
      <c r="BQU142" s="10"/>
      <c r="BQV142" s="57"/>
      <c r="BQW142" s="10"/>
      <c r="BQX142" s="57"/>
      <c r="BQY142" s="10"/>
      <c r="BQZ142" s="57"/>
      <c r="BRA142" s="10"/>
      <c r="BRB142" s="57"/>
      <c r="BRC142" s="10"/>
      <c r="BRD142" s="57"/>
      <c r="BRE142" s="10"/>
      <c r="BRF142" s="57"/>
      <c r="BRG142" s="10"/>
      <c r="BRH142" s="57"/>
      <c r="BRI142" s="10"/>
      <c r="BRJ142" s="57"/>
      <c r="BRK142" s="10"/>
      <c r="BRL142" s="57"/>
      <c r="BRM142" s="10"/>
      <c r="BRN142" s="57"/>
      <c r="BRO142" s="10"/>
      <c r="BRP142" s="57"/>
      <c r="BRQ142" s="10"/>
      <c r="BRR142" s="57"/>
      <c r="BRS142" s="10"/>
      <c r="BRT142" s="57"/>
      <c r="BRU142" s="10"/>
      <c r="BRV142" s="57"/>
      <c r="BRW142" s="10"/>
      <c r="BRX142" s="57"/>
      <c r="BRY142" s="10"/>
      <c r="BRZ142" s="57"/>
      <c r="BSA142" s="10"/>
      <c r="BSB142" s="57"/>
      <c r="BSC142" s="10"/>
      <c r="BSD142" s="57"/>
      <c r="BSE142" s="10"/>
      <c r="BSF142" s="57"/>
      <c r="BSG142" s="10"/>
      <c r="BSH142" s="57"/>
      <c r="BSI142" s="10"/>
      <c r="BSJ142" s="57"/>
      <c r="BSK142" s="10"/>
      <c r="BSL142" s="57"/>
      <c r="BSM142" s="10"/>
      <c r="BSN142" s="57"/>
      <c r="BSO142" s="10"/>
      <c r="BSP142" s="57"/>
      <c r="BSQ142" s="10"/>
      <c r="BSR142" s="57"/>
      <c r="BSS142" s="10"/>
      <c r="BST142" s="57"/>
      <c r="BSU142" s="10"/>
      <c r="BSV142" s="57"/>
      <c r="BSW142" s="10"/>
      <c r="BSX142" s="57"/>
      <c r="BSY142" s="10"/>
      <c r="BSZ142" s="57"/>
      <c r="BTA142" s="10"/>
      <c r="BTB142" s="57"/>
      <c r="BTC142" s="10"/>
      <c r="BTD142" s="57"/>
      <c r="BTE142" s="10"/>
      <c r="BTF142" s="57"/>
      <c r="BTG142" s="10"/>
      <c r="BTH142" s="57"/>
      <c r="BTI142" s="10"/>
      <c r="BTJ142" s="57"/>
      <c r="BTK142" s="10"/>
      <c r="BTL142" s="57"/>
      <c r="BTM142" s="10"/>
      <c r="BTN142" s="57"/>
      <c r="BTO142" s="10"/>
      <c r="BTP142" s="57"/>
      <c r="BTQ142" s="10"/>
      <c r="BTR142" s="57"/>
      <c r="BTS142" s="10"/>
      <c r="BTT142" s="57"/>
      <c r="BTU142" s="10"/>
      <c r="BTV142" s="57"/>
      <c r="BTW142" s="10"/>
      <c r="BTX142" s="57"/>
      <c r="BTY142" s="10"/>
      <c r="BTZ142" s="57"/>
      <c r="BUA142" s="10"/>
      <c r="BUB142" s="57"/>
      <c r="BUC142" s="10"/>
      <c r="BUD142" s="57"/>
      <c r="BUE142" s="10"/>
      <c r="BUF142" s="57"/>
      <c r="BUG142" s="10"/>
      <c r="BUH142" s="57"/>
      <c r="BUI142" s="10"/>
      <c r="BUJ142" s="57"/>
      <c r="BUK142" s="10"/>
      <c r="BUL142" s="57"/>
      <c r="BUM142" s="10"/>
      <c r="BUN142" s="57"/>
      <c r="BUO142" s="10"/>
      <c r="BUP142" s="57"/>
      <c r="BUQ142" s="10"/>
      <c r="BUR142" s="57"/>
      <c r="BUS142" s="10"/>
      <c r="BUT142" s="57"/>
      <c r="BUU142" s="10"/>
      <c r="BUV142" s="57"/>
      <c r="BUW142" s="10"/>
      <c r="BUX142" s="57"/>
      <c r="BUY142" s="10"/>
      <c r="BUZ142" s="57"/>
      <c r="BVA142" s="10"/>
      <c r="BVB142" s="57"/>
      <c r="BVC142" s="10"/>
      <c r="BVD142" s="57"/>
      <c r="BVE142" s="10"/>
      <c r="BVF142" s="57"/>
      <c r="BVG142" s="10"/>
      <c r="BVH142" s="57"/>
      <c r="BVI142" s="10"/>
      <c r="BVJ142" s="57"/>
      <c r="BVK142" s="10"/>
      <c r="BVL142" s="57"/>
      <c r="BVM142" s="10"/>
      <c r="BVN142" s="57"/>
      <c r="BVO142" s="10"/>
      <c r="BVP142" s="57"/>
      <c r="BVQ142" s="10"/>
      <c r="BVR142" s="57"/>
      <c r="BVS142" s="10"/>
      <c r="BVT142" s="57"/>
      <c r="BVU142" s="10"/>
      <c r="BVV142" s="57"/>
      <c r="BVW142" s="10"/>
      <c r="BVX142" s="57"/>
      <c r="BVY142" s="10"/>
      <c r="BVZ142" s="57"/>
      <c r="BWA142" s="10"/>
      <c r="BWB142" s="57"/>
      <c r="BWC142" s="10"/>
      <c r="BWD142" s="57"/>
      <c r="BWE142" s="10"/>
      <c r="BWF142" s="57"/>
      <c r="BWG142" s="10"/>
      <c r="BWH142" s="57"/>
      <c r="BWI142" s="10"/>
      <c r="BWJ142" s="57"/>
      <c r="BWK142" s="10"/>
      <c r="BWL142" s="57"/>
      <c r="BWM142" s="10"/>
      <c r="BWN142" s="57"/>
      <c r="BWO142" s="10"/>
      <c r="BWP142" s="57"/>
      <c r="BWQ142" s="10"/>
      <c r="BWR142" s="57"/>
      <c r="BWS142" s="10"/>
      <c r="BWT142" s="57"/>
      <c r="BWU142" s="10"/>
      <c r="BWV142" s="57"/>
      <c r="BWW142" s="10"/>
      <c r="BWX142" s="57"/>
      <c r="BWY142" s="10"/>
      <c r="BWZ142" s="57"/>
      <c r="BXA142" s="10"/>
      <c r="BXB142" s="57"/>
      <c r="BXC142" s="10"/>
      <c r="BXD142" s="57"/>
      <c r="BXE142" s="10"/>
      <c r="BXF142" s="57"/>
      <c r="BXG142" s="10"/>
      <c r="BXH142" s="57"/>
      <c r="BXI142" s="10"/>
      <c r="BXJ142" s="57"/>
      <c r="BXK142" s="10"/>
      <c r="BXL142" s="57"/>
      <c r="BXM142" s="10"/>
      <c r="BXN142" s="57"/>
      <c r="BXO142" s="10"/>
      <c r="BXP142" s="57"/>
      <c r="BXQ142" s="10"/>
      <c r="BXR142" s="57"/>
      <c r="BXS142" s="10"/>
      <c r="BXT142" s="57"/>
      <c r="BXU142" s="10"/>
      <c r="BXV142" s="57"/>
      <c r="BXW142" s="10"/>
      <c r="BXX142" s="57"/>
      <c r="BXY142" s="10"/>
      <c r="BXZ142" s="57"/>
      <c r="BYA142" s="10"/>
      <c r="BYB142" s="57"/>
      <c r="BYC142" s="10"/>
      <c r="BYD142" s="57"/>
      <c r="BYE142" s="10"/>
      <c r="BYF142" s="57"/>
      <c r="BYG142" s="10"/>
      <c r="BYH142" s="57"/>
      <c r="BYI142" s="10"/>
      <c r="BYJ142" s="57"/>
      <c r="BYK142" s="10"/>
      <c r="BYL142" s="57"/>
      <c r="BYM142" s="10"/>
      <c r="BYN142" s="57"/>
      <c r="BYO142" s="10"/>
      <c r="BYP142" s="57"/>
      <c r="BYQ142" s="10"/>
      <c r="BYR142" s="57"/>
      <c r="BYS142" s="10"/>
      <c r="BYT142" s="57"/>
      <c r="BYU142" s="10"/>
      <c r="BYV142" s="57"/>
      <c r="BYW142" s="10"/>
      <c r="BYX142" s="57"/>
      <c r="BYY142" s="10"/>
      <c r="BYZ142" s="57"/>
      <c r="BZA142" s="10"/>
      <c r="BZB142" s="57"/>
      <c r="BZC142" s="10"/>
      <c r="BZD142" s="57"/>
      <c r="BZE142" s="10"/>
      <c r="BZF142" s="57"/>
      <c r="BZG142" s="10"/>
      <c r="BZH142" s="57"/>
      <c r="BZI142" s="10"/>
      <c r="BZJ142" s="57"/>
      <c r="BZK142" s="10"/>
      <c r="BZL142" s="57"/>
      <c r="BZM142" s="10"/>
      <c r="BZN142" s="57"/>
      <c r="BZO142" s="10"/>
      <c r="BZP142" s="57"/>
      <c r="BZQ142" s="10"/>
      <c r="BZR142" s="57"/>
      <c r="BZS142" s="10"/>
      <c r="BZT142" s="57"/>
      <c r="BZU142" s="10"/>
      <c r="BZV142" s="57"/>
      <c r="BZW142" s="10"/>
      <c r="BZX142" s="57"/>
      <c r="BZY142" s="10"/>
      <c r="BZZ142" s="57"/>
      <c r="CAA142" s="10"/>
      <c r="CAB142" s="57"/>
      <c r="CAC142" s="10"/>
      <c r="CAD142" s="57"/>
      <c r="CAE142" s="10"/>
      <c r="CAF142" s="57"/>
      <c r="CAG142" s="10"/>
      <c r="CAH142" s="57"/>
      <c r="CAI142" s="10"/>
      <c r="CAJ142" s="57"/>
      <c r="CAK142" s="10"/>
      <c r="CAL142" s="57"/>
      <c r="CAM142" s="10"/>
      <c r="CAN142" s="57"/>
      <c r="CAO142" s="10"/>
      <c r="CAP142" s="57"/>
      <c r="CAQ142" s="10"/>
      <c r="CAR142" s="57"/>
      <c r="CAS142" s="10"/>
      <c r="CAT142" s="57"/>
      <c r="CAU142" s="10"/>
      <c r="CAV142" s="57"/>
      <c r="CAW142" s="10"/>
      <c r="CAX142" s="57"/>
      <c r="CAY142" s="10"/>
      <c r="CAZ142" s="57"/>
      <c r="CBA142" s="10"/>
      <c r="CBB142" s="57"/>
      <c r="CBC142" s="10"/>
      <c r="CBD142" s="57"/>
      <c r="CBE142" s="10"/>
      <c r="CBF142" s="57"/>
      <c r="CBG142" s="10"/>
      <c r="CBH142" s="57"/>
      <c r="CBI142" s="10"/>
      <c r="CBJ142" s="57"/>
      <c r="CBK142" s="10"/>
      <c r="CBL142" s="57"/>
      <c r="CBM142" s="10"/>
      <c r="CBN142" s="57"/>
      <c r="CBO142" s="10"/>
      <c r="CBP142" s="57"/>
      <c r="CBQ142" s="10"/>
      <c r="CBR142" s="57"/>
      <c r="CBS142" s="10"/>
      <c r="CBT142" s="57"/>
      <c r="CBU142" s="10"/>
      <c r="CBV142" s="57"/>
      <c r="CBW142" s="10"/>
      <c r="CBX142" s="57"/>
      <c r="CBY142" s="10"/>
      <c r="CBZ142" s="57"/>
      <c r="CCA142" s="10"/>
      <c r="CCB142" s="57"/>
      <c r="CCC142" s="10"/>
      <c r="CCD142" s="57"/>
      <c r="CCE142" s="10"/>
      <c r="CCF142" s="57"/>
      <c r="CCG142" s="10"/>
      <c r="CCH142" s="57"/>
      <c r="CCI142" s="10"/>
      <c r="CCJ142" s="57"/>
      <c r="CCK142" s="10"/>
      <c r="CCL142" s="57"/>
      <c r="CCM142" s="10"/>
      <c r="CCN142" s="57"/>
      <c r="CCO142" s="10"/>
      <c r="CCP142" s="57"/>
      <c r="CCQ142" s="10"/>
      <c r="CCR142" s="57"/>
      <c r="CCS142" s="10"/>
      <c r="CCT142" s="57"/>
      <c r="CCU142" s="10"/>
      <c r="CCV142" s="57"/>
      <c r="CCW142" s="10"/>
      <c r="CCX142" s="57"/>
      <c r="CCY142" s="10"/>
      <c r="CCZ142" s="57"/>
      <c r="CDA142" s="10"/>
      <c r="CDB142" s="57"/>
      <c r="CDC142" s="10"/>
      <c r="CDD142" s="57"/>
      <c r="CDE142" s="10"/>
      <c r="CDF142" s="57"/>
      <c r="CDG142" s="10"/>
      <c r="CDH142" s="57"/>
      <c r="CDI142" s="10"/>
      <c r="CDJ142" s="57"/>
      <c r="CDK142" s="10"/>
      <c r="CDL142" s="57"/>
      <c r="CDM142" s="10"/>
      <c r="CDN142" s="57"/>
      <c r="CDO142" s="10"/>
      <c r="CDP142" s="57"/>
      <c r="CDQ142" s="10"/>
      <c r="CDR142" s="57"/>
      <c r="CDS142" s="10"/>
      <c r="CDT142" s="57"/>
      <c r="CDU142" s="10"/>
      <c r="CDV142" s="57"/>
      <c r="CDW142" s="10"/>
      <c r="CDX142" s="57"/>
      <c r="CDY142" s="10"/>
      <c r="CDZ142" s="57"/>
      <c r="CEA142" s="10"/>
      <c r="CEB142" s="57"/>
      <c r="CEC142" s="10"/>
      <c r="CED142" s="57"/>
      <c r="CEE142" s="10"/>
      <c r="CEF142" s="57"/>
      <c r="CEG142" s="10"/>
      <c r="CEH142" s="57"/>
      <c r="CEI142" s="10"/>
      <c r="CEJ142" s="57"/>
      <c r="CEK142" s="10"/>
      <c r="CEL142" s="57"/>
      <c r="CEM142" s="10"/>
      <c r="CEN142" s="57"/>
      <c r="CEO142" s="10"/>
      <c r="CEP142" s="57"/>
      <c r="CEQ142" s="10"/>
      <c r="CER142" s="57"/>
      <c r="CES142" s="10"/>
      <c r="CET142" s="57"/>
      <c r="CEU142" s="10"/>
      <c r="CEV142" s="57"/>
      <c r="CEW142" s="10"/>
      <c r="CEX142" s="57"/>
      <c r="CEY142" s="10"/>
      <c r="CEZ142" s="57"/>
      <c r="CFA142" s="10"/>
      <c r="CFB142" s="57"/>
      <c r="CFC142" s="10"/>
      <c r="CFD142" s="57"/>
      <c r="CFE142" s="10"/>
      <c r="CFF142" s="57"/>
      <c r="CFG142" s="10"/>
      <c r="CFH142" s="57"/>
      <c r="CFI142" s="10"/>
      <c r="CFJ142" s="57"/>
      <c r="CFK142" s="10"/>
      <c r="CFL142" s="57"/>
      <c r="CFM142" s="10"/>
      <c r="CFN142" s="57"/>
      <c r="CFO142" s="10"/>
      <c r="CFP142" s="57"/>
      <c r="CFQ142" s="10"/>
      <c r="CFR142" s="57"/>
      <c r="CFS142" s="10"/>
      <c r="CFT142" s="57"/>
      <c r="CFU142" s="10"/>
      <c r="CFV142" s="57"/>
      <c r="CFW142" s="10"/>
      <c r="CFX142" s="57"/>
      <c r="CFY142" s="10"/>
      <c r="CFZ142" s="57"/>
      <c r="CGA142" s="10"/>
      <c r="CGB142" s="57"/>
      <c r="CGC142" s="10"/>
      <c r="CGD142" s="57"/>
      <c r="CGE142" s="10"/>
      <c r="CGF142" s="57"/>
      <c r="CGG142" s="10"/>
      <c r="CGH142" s="57"/>
      <c r="CGI142" s="10"/>
      <c r="CGJ142" s="57"/>
      <c r="CGK142" s="10"/>
      <c r="CGL142" s="57"/>
      <c r="CGM142" s="10"/>
      <c r="CGN142" s="57"/>
      <c r="CGO142" s="10"/>
      <c r="CGP142" s="57"/>
      <c r="CGQ142" s="10"/>
      <c r="CGR142" s="57"/>
      <c r="CGS142" s="10"/>
      <c r="CGT142" s="57"/>
      <c r="CGU142" s="10"/>
      <c r="CGV142" s="57"/>
      <c r="CGW142" s="10"/>
      <c r="CGX142" s="57"/>
      <c r="CGY142" s="10"/>
      <c r="CGZ142" s="57"/>
      <c r="CHA142" s="10"/>
      <c r="CHB142" s="57"/>
      <c r="CHC142" s="10"/>
      <c r="CHD142" s="57"/>
      <c r="CHE142" s="10"/>
      <c r="CHF142" s="57"/>
      <c r="CHG142" s="10"/>
      <c r="CHH142" s="57"/>
      <c r="CHI142" s="10"/>
      <c r="CHJ142" s="57"/>
      <c r="CHK142" s="10"/>
      <c r="CHL142" s="57"/>
      <c r="CHM142" s="10"/>
      <c r="CHN142" s="57"/>
      <c r="CHO142" s="10"/>
      <c r="CHP142" s="57"/>
      <c r="CHQ142" s="10"/>
      <c r="CHR142" s="57"/>
      <c r="CHS142" s="10"/>
      <c r="CHT142" s="57"/>
      <c r="CHU142" s="10"/>
      <c r="CHV142" s="57"/>
      <c r="CHW142" s="10"/>
      <c r="CHX142" s="57"/>
      <c r="CHY142" s="10"/>
      <c r="CHZ142" s="57"/>
      <c r="CIA142" s="10"/>
      <c r="CIB142" s="57"/>
      <c r="CIC142" s="10"/>
      <c r="CID142" s="57"/>
      <c r="CIE142" s="10"/>
      <c r="CIF142" s="57"/>
      <c r="CIG142" s="10"/>
      <c r="CIH142" s="57"/>
      <c r="CII142" s="10"/>
      <c r="CIJ142" s="57"/>
      <c r="CIK142" s="10"/>
      <c r="CIL142" s="57"/>
      <c r="CIM142" s="10"/>
      <c r="CIN142" s="57"/>
      <c r="CIO142" s="10"/>
      <c r="CIP142" s="57"/>
      <c r="CIQ142" s="10"/>
      <c r="CIR142" s="57"/>
      <c r="CIS142" s="10"/>
      <c r="CIT142" s="57"/>
      <c r="CIU142" s="10"/>
      <c r="CIV142" s="57"/>
      <c r="CIW142" s="10"/>
      <c r="CIX142" s="57"/>
      <c r="CIY142" s="10"/>
      <c r="CIZ142" s="57"/>
      <c r="CJA142" s="10"/>
      <c r="CJB142" s="57"/>
      <c r="CJC142" s="10"/>
      <c r="CJD142" s="57"/>
      <c r="CJE142" s="10"/>
      <c r="CJF142" s="57"/>
      <c r="CJG142" s="10"/>
      <c r="CJH142" s="57"/>
      <c r="CJI142" s="10"/>
      <c r="CJJ142" s="57"/>
      <c r="CJK142" s="10"/>
      <c r="CJL142" s="57"/>
      <c r="CJM142" s="10"/>
      <c r="CJN142" s="57"/>
      <c r="CJO142" s="10"/>
      <c r="CJP142" s="57"/>
      <c r="CJQ142" s="10"/>
      <c r="CJR142" s="57"/>
      <c r="CJS142" s="10"/>
      <c r="CJT142" s="57"/>
      <c r="CJU142" s="10"/>
      <c r="CJV142" s="57"/>
      <c r="CJW142" s="10"/>
      <c r="CJX142" s="57"/>
      <c r="CJY142" s="10"/>
      <c r="CJZ142" s="57"/>
      <c r="CKA142" s="10"/>
      <c r="CKB142" s="57"/>
      <c r="CKC142" s="10"/>
      <c r="CKD142" s="57"/>
      <c r="CKE142" s="10"/>
      <c r="CKF142" s="57"/>
      <c r="CKG142" s="10"/>
      <c r="CKH142" s="57"/>
      <c r="CKI142" s="10"/>
      <c r="CKJ142" s="57"/>
      <c r="CKK142" s="10"/>
      <c r="CKL142" s="57"/>
      <c r="CKM142" s="10"/>
      <c r="CKN142" s="57"/>
      <c r="CKO142" s="10"/>
      <c r="CKP142" s="57"/>
      <c r="CKQ142" s="10"/>
      <c r="CKR142" s="57"/>
      <c r="CKS142" s="10"/>
      <c r="CKT142" s="57"/>
      <c r="CKU142" s="10"/>
      <c r="CKV142" s="57"/>
      <c r="CKW142" s="10"/>
      <c r="CKX142" s="57"/>
      <c r="CKY142" s="10"/>
      <c r="CKZ142" s="57"/>
      <c r="CLA142" s="10"/>
      <c r="CLB142" s="57"/>
      <c r="CLC142" s="10"/>
      <c r="CLD142" s="57"/>
      <c r="CLE142" s="10"/>
      <c r="CLF142" s="57"/>
      <c r="CLG142" s="10"/>
      <c r="CLH142" s="57"/>
      <c r="CLI142" s="10"/>
      <c r="CLJ142" s="57"/>
      <c r="CLK142" s="10"/>
      <c r="CLL142" s="57"/>
      <c r="CLM142" s="10"/>
      <c r="CLN142" s="57"/>
      <c r="CLO142" s="10"/>
      <c r="CLP142" s="57"/>
      <c r="CLQ142" s="10"/>
      <c r="CLR142" s="57"/>
      <c r="CLS142" s="10"/>
      <c r="CLT142" s="57"/>
      <c r="CLU142" s="10"/>
      <c r="CLV142" s="57"/>
      <c r="CLW142" s="10"/>
      <c r="CLX142" s="57"/>
      <c r="CLY142" s="10"/>
      <c r="CLZ142" s="57"/>
      <c r="CMA142" s="10"/>
      <c r="CMB142" s="57"/>
      <c r="CMC142" s="10"/>
      <c r="CMD142" s="57"/>
      <c r="CME142" s="10"/>
      <c r="CMF142" s="57"/>
      <c r="CMG142" s="10"/>
      <c r="CMH142" s="57"/>
      <c r="CMI142" s="10"/>
      <c r="CMJ142" s="57"/>
      <c r="CMK142" s="10"/>
      <c r="CML142" s="57"/>
      <c r="CMM142" s="10"/>
      <c r="CMN142" s="57"/>
      <c r="CMO142" s="10"/>
      <c r="CMP142" s="57"/>
      <c r="CMQ142" s="10"/>
      <c r="CMR142" s="57"/>
      <c r="CMS142" s="10"/>
      <c r="CMT142" s="57"/>
      <c r="CMU142" s="10"/>
      <c r="CMV142" s="57"/>
      <c r="CMW142" s="10"/>
      <c r="CMX142" s="57"/>
      <c r="CMY142" s="10"/>
      <c r="CMZ142" s="57"/>
      <c r="CNA142" s="10"/>
      <c r="CNB142" s="57"/>
      <c r="CNC142" s="10"/>
      <c r="CND142" s="57"/>
      <c r="CNE142" s="10"/>
      <c r="CNF142" s="57"/>
      <c r="CNG142" s="10"/>
      <c r="CNH142" s="57"/>
      <c r="CNI142" s="10"/>
      <c r="CNJ142" s="57"/>
      <c r="CNK142" s="10"/>
      <c r="CNL142" s="57"/>
      <c r="CNM142" s="10"/>
      <c r="CNN142" s="57"/>
      <c r="CNO142" s="10"/>
      <c r="CNP142" s="57"/>
      <c r="CNQ142" s="10"/>
      <c r="CNR142" s="57"/>
      <c r="CNS142" s="10"/>
      <c r="CNT142" s="57"/>
      <c r="CNU142" s="10"/>
      <c r="CNV142" s="57"/>
      <c r="CNW142" s="10"/>
      <c r="CNX142" s="57"/>
      <c r="CNY142" s="10"/>
      <c r="CNZ142" s="57"/>
      <c r="COA142" s="10"/>
      <c r="COB142" s="57"/>
      <c r="COC142" s="10"/>
      <c r="COD142" s="57"/>
      <c r="COE142" s="10"/>
      <c r="COF142" s="57"/>
      <c r="COG142" s="10"/>
      <c r="COH142" s="57"/>
      <c r="COI142" s="10"/>
      <c r="COJ142" s="57"/>
      <c r="COK142" s="10"/>
      <c r="COL142" s="57"/>
      <c r="COM142" s="10"/>
      <c r="CON142" s="57"/>
      <c r="COO142" s="10"/>
      <c r="COP142" s="57"/>
      <c r="COQ142" s="10"/>
      <c r="COR142" s="57"/>
      <c r="COS142" s="10"/>
      <c r="COT142" s="57"/>
      <c r="COU142" s="10"/>
      <c r="COV142" s="57"/>
      <c r="COW142" s="10"/>
      <c r="COX142" s="57"/>
      <c r="COY142" s="10"/>
      <c r="COZ142" s="57"/>
      <c r="CPA142" s="10"/>
      <c r="CPB142" s="57"/>
      <c r="CPC142" s="10"/>
      <c r="CPD142" s="57"/>
      <c r="CPE142" s="10"/>
      <c r="CPF142" s="57"/>
      <c r="CPG142" s="10"/>
      <c r="CPH142" s="57"/>
      <c r="CPI142" s="10"/>
      <c r="CPJ142" s="57"/>
      <c r="CPK142" s="10"/>
      <c r="CPL142" s="57"/>
      <c r="CPM142" s="10"/>
      <c r="CPN142" s="57"/>
      <c r="CPO142" s="10"/>
      <c r="CPP142" s="57"/>
      <c r="CPQ142" s="10"/>
      <c r="CPR142" s="57"/>
      <c r="CPS142" s="10"/>
      <c r="CPT142" s="57"/>
      <c r="CPU142" s="10"/>
      <c r="CPV142" s="57"/>
      <c r="CPW142" s="10"/>
      <c r="CPX142" s="57"/>
      <c r="CPY142" s="10"/>
      <c r="CPZ142" s="57"/>
      <c r="CQA142" s="10"/>
      <c r="CQB142" s="57"/>
      <c r="CQC142" s="10"/>
      <c r="CQD142" s="57"/>
      <c r="CQE142" s="10"/>
      <c r="CQF142" s="57"/>
      <c r="CQG142" s="10"/>
      <c r="CQH142" s="57"/>
      <c r="CQI142" s="10"/>
      <c r="CQJ142" s="57"/>
      <c r="CQK142" s="10"/>
      <c r="CQL142" s="57"/>
      <c r="CQM142" s="10"/>
      <c r="CQN142" s="57"/>
      <c r="CQO142" s="10"/>
      <c r="CQP142" s="57"/>
      <c r="CQQ142" s="10"/>
      <c r="CQR142" s="57"/>
      <c r="CQS142" s="10"/>
      <c r="CQT142" s="57"/>
      <c r="CQU142" s="10"/>
      <c r="CQV142" s="57"/>
      <c r="CQW142" s="10"/>
      <c r="CQX142" s="57"/>
      <c r="CQY142" s="10"/>
      <c r="CQZ142" s="57"/>
      <c r="CRA142" s="10"/>
      <c r="CRB142" s="57"/>
      <c r="CRC142" s="10"/>
      <c r="CRD142" s="57"/>
      <c r="CRE142" s="10"/>
      <c r="CRF142" s="57"/>
      <c r="CRG142" s="10"/>
      <c r="CRH142" s="57"/>
      <c r="CRI142" s="10"/>
      <c r="CRJ142" s="57"/>
      <c r="CRK142" s="10"/>
      <c r="CRL142" s="57"/>
      <c r="CRM142" s="10"/>
      <c r="CRN142" s="57"/>
      <c r="CRO142" s="10"/>
      <c r="CRP142" s="57"/>
      <c r="CRQ142" s="10"/>
      <c r="CRR142" s="57"/>
      <c r="CRS142" s="10"/>
      <c r="CRT142" s="57"/>
      <c r="CRU142" s="10"/>
      <c r="CRV142" s="57"/>
      <c r="CRW142" s="10"/>
      <c r="CRX142" s="57"/>
      <c r="CRY142" s="10"/>
      <c r="CRZ142" s="57"/>
      <c r="CSA142" s="10"/>
      <c r="CSB142" s="57"/>
      <c r="CSC142" s="10"/>
      <c r="CSD142" s="57"/>
      <c r="CSE142" s="10"/>
      <c r="CSF142" s="57"/>
      <c r="CSG142" s="10"/>
      <c r="CSH142" s="57"/>
      <c r="CSI142" s="10"/>
      <c r="CSJ142" s="57"/>
      <c r="CSK142" s="10"/>
      <c r="CSL142" s="57"/>
      <c r="CSM142" s="10"/>
      <c r="CSN142" s="57"/>
      <c r="CSO142" s="10"/>
      <c r="CSP142" s="57"/>
      <c r="CSQ142" s="10"/>
      <c r="CSR142" s="57"/>
      <c r="CSS142" s="10"/>
      <c r="CST142" s="57"/>
      <c r="CSU142" s="10"/>
      <c r="CSV142" s="57"/>
      <c r="CSW142" s="10"/>
      <c r="CSX142" s="57"/>
      <c r="CSY142" s="10"/>
      <c r="CSZ142" s="57"/>
      <c r="CTA142" s="10"/>
      <c r="CTB142" s="57"/>
      <c r="CTC142" s="10"/>
      <c r="CTD142" s="57"/>
      <c r="CTE142" s="10"/>
      <c r="CTF142" s="57"/>
      <c r="CTG142" s="10"/>
      <c r="CTH142" s="57"/>
      <c r="CTI142" s="10"/>
      <c r="CTJ142" s="57"/>
      <c r="CTK142" s="10"/>
      <c r="CTL142" s="57"/>
      <c r="CTM142" s="10"/>
      <c r="CTN142" s="57"/>
      <c r="CTO142" s="10"/>
      <c r="CTP142" s="57"/>
      <c r="CTQ142" s="10"/>
      <c r="CTR142" s="57"/>
      <c r="CTS142" s="10"/>
      <c r="CTT142" s="57"/>
      <c r="CTU142" s="10"/>
      <c r="CTV142" s="57"/>
      <c r="CTW142" s="10"/>
      <c r="CTX142" s="57"/>
      <c r="CTY142" s="10"/>
      <c r="CTZ142" s="57"/>
      <c r="CUA142" s="10"/>
      <c r="CUB142" s="57"/>
      <c r="CUC142" s="10"/>
      <c r="CUD142" s="57"/>
      <c r="CUE142" s="10"/>
      <c r="CUF142" s="57"/>
      <c r="CUG142" s="10"/>
      <c r="CUH142" s="57"/>
      <c r="CUI142" s="10"/>
      <c r="CUJ142" s="57"/>
      <c r="CUK142" s="10"/>
      <c r="CUL142" s="57"/>
      <c r="CUM142" s="10"/>
      <c r="CUN142" s="57"/>
      <c r="CUO142" s="10"/>
      <c r="CUP142" s="57"/>
      <c r="CUQ142" s="10"/>
      <c r="CUR142" s="57"/>
      <c r="CUS142" s="10"/>
      <c r="CUT142" s="57"/>
      <c r="CUU142" s="10"/>
      <c r="CUV142" s="57"/>
      <c r="CUW142" s="10"/>
      <c r="CUX142" s="57"/>
      <c r="CUY142" s="10"/>
      <c r="CUZ142" s="57"/>
      <c r="CVA142" s="10"/>
      <c r="CVB142" s="57"/>
      <c r="CVC142" s="10"/>
      <c r="CVD142" s="57"/>
      <c r="CVE142" s="10"/>
      <c r="CVF142" s="57"/>
      <c r="CVG142" s="10"/>
      <c r="CVH142" s="57"/>
      <c r="CVI142" s="10"/>
      <c r="CVJ142" s="57"/>
      <c r="CVK142" s="10"/>
      <c r="CVL142" s="57"/>
      <c r="CVM142" s="10"/>
      <c r="CVN142" s="57"/>
      <c r="CVO142" s="10"/>
      <c r="CVP142" s="57"/>
      <c r="CVQ142" s="10"/>
      <c r="CVR142" s="57"/>
      <c r="CVS142" s="10"/>
      <c r="CVT142" s="57"/>
      <c r="CVU142" s="10"/>
      <c r="CVV142" s="57"/>
      <c r="CVW142" s="10"/>
      <c r="CVX142" s="57"/>
      <c r="CVY142" s="10"/>
      <c r="CVZ142" s="57"/>
      <c r="CWA142" s="10"/>
      <c r="CWB142" s="57"/>
      <c r="CWC142" s="10"/>
      <c r="CWD142" s="57"/>
      <c r="CWE142" s="10"/>
      <c r="CWF142" s="57"/>
      <c r="CWG142" s="10"/>
      <c r="CWH142" s="57"/>
      <c r="CWI142" s="10"/>
      <c r="CWJ142" s="57"/>
      <c r="CWK142" s="10"/>
      <c r="CWL142" s="57"/>
      <c r="CWM142" s="10"/>
      <c r="CWN142" s="57"/>
      <c r="CWO142" s="10"/>
      <c r="CWP142" s="57"/>
      <c r="CWQ142" s="10"/>
      <c r="CWR142" s="57"/>
      <c r="CWS142" s="10"/>
      <c r="CWT142" s="57"/>
      <c r="CWU142" s="10"/>
      <c r="CWV142" s="57"/>
      <c r="CWW142" s="10"/>
      <c r="CWX142" s="57"/>
      <c r="CWY142" s="10"/>
      <c r="CWZ142" s="57"/>
      <c r="CXA142" s="10"/>
      <c r="CXB142" s="57"/>
      <c r="CXC142" s="10"/>
      <c r="CXD142" s="57"/>
      <c r="CXE142" s="10"/>
      <c r="CXF142" s="57"/>
      <c r="CXG142" s="10"/>
      <c r="CXH142" s="57"/>
      <c r="CXI142" s="10"/>
      <c r="CXJ142" s="57"/>
      <c r="CXK142" s="10"/>
      <c r="CXL142" s="57"/>
      <c r="CXM142" s="10"/>
      <c r="CXN142" s="57"/>
      <c r="CXO142" s="10"/>
      <c r="CXP142" s="57"/>
      <c r="CXQ142" s="10"/>
      <c r="CXR142" s="57"/>
      <c r="CXS142" s="10"/>
      <c r="CXT142" s="57"/>
      <c r="CXU142" s="10"/>
      <c r="CXV142" s="57"/>
      <c r="CXW142" s="10"/>
      <c r="CXX142" s="57"/>
      <c r="CXY142" s="10"/>
      <c r="CXZ142" s="57"/>
      <c r="CYA142" s="10"/>
      <c r="CYB142" s="57"/>
      <c r="CYC142" s="10"/>
      <c r="CYD142" s="57"/>
      <c r="CYE142" s="10"/>
      <c r="CYF142" s="57"/>
      <c r="CYG142" s="10"/>
      <c r="CYH142" s="57"/>
      <c r="CYI142" s="10"/>
      <c r="CYJ142" s="57"/>
      <c r="CYK142" s="10"/>
      <c r="CYL142" s="57"/>
      <c r="CYM142" s="10"/>
      <c r="CYN142" s="57"/>
      <c r="CYO142" s="10"/>
      <c r="CYP142" s="57"/>
      <c r="CYQ142" s="10"/>
      <c r="CYR142" s="57"/>
      <c r="CYS142" s="10"/>
      <c r="CYT142" s="57"/>
      <c r="CYU142" s="10"/>
      <c r="CYV142" s="57"/>
      <c r="CYW142" s="10"/>
      <c r="CYX142" s="57"/>
      <c r="CYY142" s="10"/>
      <c r="CYZ142" s="57"/>
      <c r="CZA142" s="10"/>
      <c r="CZB142" s="57"/>
      <c r="CZC142" s="10"/>
      <c r="CZD142" s="57"/>
      <c r="CZE142" s="10"/>
      <c r="CZF142" s="57"/>
      <c r="CZG142" s="10"/>
      <c r="CZH142" s="57"/>
      <c r="CZI142" s="10"/>
      <c r="CZJ142" s="57"/>
      <c r="CZK142" s="10"/>
      <c r="CZL142" s="57"/>
      <c r="CZM142" s="10"/>
      <c r="CZN142" s="57"/>
      <c r="CZO142" s="10"/>
      <c r="CZP142" s="57"/>
      <c r="CZQ142" s="10"/>
      <c r="CZR142" s="57"/>
      <c r="CZS142" s="10"/>
      <c r="CZT142" s="57"/>
      <c r="CZU142" s="10"/>
      <c r="CZV142" s="57"/>
      <c r="CZW142" s="10"/>
      <c r="CZX142" s="57"/>
      <c r="CZY142" s="10"/>
      <c r="CZZ142" s="57"/>
      <c r="DAA142" s="10"/>
      <c r="DAB142" s="57"/>
      <c r="DAC142" s="10"/>
      <c r="DAD142" s="57"/>
      <c r="DAE142" s="10"/>
      <c r="DAF142" s="57"/>
      <c r="DAG142" s="10"/>
      <c r="DAH142" s="57"/>
      <c r="DAI142" s="10"/>
      <c r="DAJ142" s="57"/>
      <c r="DAK142" s="10"/>
      <c r="DAL142" s="57"/>
      <c r="DAM142" s="10"/>
      <c r="DAN142" s="57"/>
      <c r="DAO142" s="10"/>
      <c r="DAP142" s="57"/>
      <c r="DAQ142" s="10"/>
      <c r="DAR142" s="57"/>
      <c r="DAS142" s="10"/>
      <c r="DAT142" s="57"/>
      <c r="DAU142" s="10"/>
      <c r="DAV142" s="57"/>
      <c r="DAW142" s="10"/>
      <c r="DAX142" s="57"/>
      <c r="DAY142" s="10"/>
      <c r="DAZ142" s="57"/>
      <c r="DBA142" s="10"/>
      <c r="DBB142" s="57"/>
      <c r="DBC142" s="10"/>
      <c r="DBD142" s="57"/>
      <c r="DBE142" s="10"/>
      <c r="DBF142" s="57"/>
      <c r="DBG142" s="10"/>
      <c r="DBH142" s="57"/>
      <c r="DBI142" s="10"/>
      <c r="DBJ142" s="57"/>
      <c r="DBK142" s="10"/>
      <c r="DBL142" s="57"/>
      <c r="DBM142" s="10"/>
      <c r="DBN142" s="57"/>
      <c r="DBO142" s="10"/>
      <c r="DBP142" s="57"/>
      <c r="DBQ142" s="10"/>
      <c r="DBR142" s="57"/>
      <c r="DBS142" s="10"/>
      <c r="DBT142" s="57"/>
      <c r="DBU142" s="10"/>
      <c r="DBV142" s="57"/>
      <c r="DBW142" s="10"/>
      <c r="DBX142" s="57"/>
      <c r="DBY142" s="10"/>
      <c r="DBZ142" s="57"/>
      <c r="DCA142" s="10"/>
      <c r="DCB142" s="57"/>
      <c r="DCC142" s="10"/>
      <c r="DCD142" s="57"/>
      <c r="DCE142" s="10"/>
      <c r="DCF142" s="57"/>
      <c r="DCG142" s="10"/>
      <c r="DCH142" s="57"/>
      <c r="DCI142" s="10"/>
      <c r="DCJ142" s="57"/>
      <c r="DCK142" s="10"/>
      <c r="DCL142" s="57"/>
      <c r="DCM142" s="10"/>
      <c r="DCN142" s="57"/>
      <c r="DCO142" s="10"/>
      <c r="DCP142" s="57"/>
      <c r="DCQ142" s="10"/>
      <c r="DCR142" s="57"/>
      <c r="DCS142" s="10"/>
      <c r="DCT142" s="57"/>
      <c r="DCU142" s="10"/>
      <c r="DCV142" s="57"/>
      <c r="DCW142" s="10"/>
      <c r="DCX142" s="57"/>
      <c r="DCY142" s="10"/>
      <c r="DCZ142" s="57"/>
      <c r="DDA142" s="10"/>
      <c r="DDB142" s="57"/>
      <c r="DDC142" s="10"/>
      <c r="DDD142" s="57"/>
      <c r="DDE142" s="10"/>
      <c r="DDF142" s="57"/>
      <c r="DDG142" s="10"/>
      <c r="DDH142" s="57"/>
      <c r="DDI142" s="10"/>
      <c r="DDJ142" s="57"/>
      <c r="DDK142" s="10"/>
      <c r="DDL142" s="57"/>
      <c r="DDM142" s="10"/>
      <c r="DDN142" s="57"/>
      <c r="DDO142" s="10"/>
      <c r="DDP142" s="57"/>
      <c r="DDQ142" s="10"/>
      <c r="DDR142" s="57"/>
      <c r="DDS142" s="10"/>
      <c r="DDT142" s="57"/>
      <c r="DDU142" s="10"/>
      <c r="DDV142" s="57"/>
      <c r="DDW142" s="10"/>
      <c r="DDX142" s="57"/>
      <c r="DDY142" s="10"/>
      <c r="DDZ142" s="57"/>
      <c r="DEA142" s="10"/>
      <c r="DEB142" s="57"/>
      <c r="DEC142" s="10"/>
      <c r="DED142" s="57"/>
      <c r="DEE142" s="10"/>
      <c r="DEF142" s="57"/>
      <c r="DEG142" s="10"/>
      <c r="DEH142" s="57"/>
      <c r="DEI142" s="10"/>
      <c r="DEJ142" s="57"/>
      <c r="DEK142" s="10"/>
      <c r="DEL142" s="57"/>
      <c r="DEM142" s="10"/>
      <c r="DEN142" s="57"/>
      <c r="DEO142" s="10"/>
      <c r="DEP142" s="57"/>
      <c r="DEQ142" s="10"/>
      <c r="DER142" s="57"/>
      <c r="DES142" s="10"/>
      <c r="DET142" s="57"/>
      <c r="DEU142" s="10"/>
      <c r="DEV142" s="57"/>
      <c r="DEW142" s="10"/>
      <c r="DEX142" s="57"/>
      <c r="DEY142" s="10"/>
      <c r="DEZ142" s="57"/>
      <c r="DFA142" s="10"/>
      <c r="DFB142" s="57"/>
      <c r="DFC142" s="10"/>
      <c r="DFD142" s="57"/>
      <c r="DFE142" s="10"/>
      <c r="DFF142" s="57"/>
      <c r="DFG142" s="10"/>
      <c r="DFH142" s="57"/>
      <c r="DFI142" s="10"/>
      <c r="DFJ142" s="57"/>
      <c r="DFK142" s="10"/>
      <c r="DFL142" s="57"/>
      <c r="DFM142" s="10"/>
      <c r="DFN142" s="57"/>
      <c r="DFO142" s="10"/>
      <c r="DFP142" s="57"/>
      <c r="DFQ142" s="10"/>
      <c r="DFR142" s="57"/>
      <c r="DFS142" s="10"/>
      <c r="DFT142" s="57"/>
      <c r="DFU142" s="10"/>
      <c r="DFV142" s="57"/>
      <c r="DFW142" s="10"/>
      <c r="DFX142" s="57"/>
      <c r="DFY142" s="10"/>
      <c r="DFZ142" s="57"/>
      <c r="DGA142" s="10"/>
      <c r="DGB142" s="57"/>
      <c r="DGC142" s="10"/>
      <c r="DGD142" s="57"/>
      <c r="DGE142" s="10"/>
      <c r="DGF142" s="57"/>
      <c r="DGG142" s="10"/>
      <c r="DGH142" s="57"/>
      <c r="DGI142" s="10"/>
      <c r="DGJ142" s="57"/>
      <c r="DGK142" s="10"/>
      <c r="DGL142" s="57"/>
      <c r="DGM142" s="10"/>
      <c r="DGN142" s="57"/>
      <c r="DGO142" s="10"/>
      <c r="DGP142" s="57"/>
      <c r="DGQ142" s="10"/>
      <c r="DGR142" s="57"/>
      <c r="DGS142" s="10"/>
      <c r="DGT142" s="57"/>
      <c r="DGU142" s="10"/>
      <c r="DGV142" s="57"/>
      <c r="DGW142" s="10"/>
      <c r="DGX142" s="57"/>
      <c r="DGY142" s="10"/>
      <c r="DGZ142" s="57"/>
      <c r="DHA142" s="10"/>
      <c r="DHB142" s="57"/>
      <c r="DHC142" s="10"/>
      <c r="DHD142" s="57"/>
      <c r="DHE142" s="10"/>
      <c r="DHF142" s="57"/>
      <c r="DHG142" s="10"/>
      <c r="DHH142" s="57"/>
      <c r="DHI142" s="10"/>
      <c r="DHJ142" s="57"/>
      <c r="DHK142" s="10"/>
      <c r="DHL142" s="57"/>
      <c r="DHM142" s="10"/>
      <c r="DHN142" s="57"/>
      <c r="DHO142" s="10"/>
      <c r="DHP142" s="57"/>
      <c r="DHQ142" s="10"/>
      <c r="DHR142" s="57"/>
      <c r="DHS142" s="10"/>
      <c r="DHT142" s="57"/>
      <c r="DHU142" s="10"/>
      <c r="DHV142" s="57"/>
      <c r="DHW142" s="10"/>
      <c r="DHX142" s="57"/>
      <c r="DHY142" s="10"/>
      <c r="DHZ142" s="57"/>
      <c r="DIA142" s="10"/>
      <c r="DIB142" s="57"/>
      <c r="DIC142" s="10"/>
      <c r="DID142" s="57"/>
      <c r="DIE142" s="10"/>
      <c r="DIF142" s="57"/>
      <c r="DIG142" s="10"/>
      <c r="DIH142" s="57"/>
      <c r="DII142" s="10"/>
      <c r="DIJ142" s="57"/>
      <c r="DIK142" s="10"/>
      <c r="DIL142" s="57"/>
      <c r="DIM142" s="10"/>
      <c r="DIN142" s="57"/>
      <c r="DIO142" s="10"/>
      <c r="DIP142" s="57"/>
      <c r="DIQ142" s="10"/>
      <c r="DIR142" s="57"/>
      <c r="DIS142" s="10"/>
      <c r="DIT142" s="57"/>
      <c r="DIU142" s="10"/>
      <c r="DIV142" s="57"/>
      <c r="DIW142" s="10"/>
      <c r="DIX142" s="57"/>
      <c r="DIY142" s="10"/>
      <c r="DIZ142" s="57"/>
      <c r="DJA142" s="10"/>
      <c r="DJB142" s="57"/>
      <c r="DJC142" s="10"/>
      <c r="DJD142" s="57"/>
      <c r="DJE142" s="10"/>
      <c r="DJF142" s="57"/>
      <c r="DJG142" s="10"/>
      <c r="DJH142" s="57"/>
      <c r="DJI142" s="10"/>
      <c r="DJJ142" s="57"/>
      <c r="DJK142" s="10"/>
      <c r="DJL142" s="57"/>
      <c r="DJM142" s="10"/>
      <c r="DJN142" s="57"/>
      <c r="DJO142" s="10"/>
      <c r="DJP142" s="57"/>
      <c r="DJQ142" s="10"/>
      <c r="DJR142" s="57"/>
      <c r="DJS142" s="10"/>
      <c r="DJT142" s="57"/>
      <c r="DJU142" s="10"/>
      <c r="DJV142" s="57"/>
      <c r="DJW142" s="10"/>
      <c r="DJX142" s="57"/>
      <c r="DJY142" s="10"/>
      <c r="DJZ142" s="57"/>
      <c r="DKA142" s="10"/>
      <c r="DKB142" s="57"/>
      <c r="DKC142" s="10"/>
      <c r="DKD142" s="57"/>
      <c r="DKE142" s="10"/>
      <c r="DKF142" s="57"/>
      <c r="DKG142" s="10"/>
      <c r="DKH142" s="57"/>
      <c r="DKI142" s="10"/>
      <c r="DKJ142" s="57"/>
      <c r="DKK142" s="10"/>
      <c r="DKL142" s="57"/>
      <c r="DKM142" s="10"/>
      <c r="DKN142" s="57"/>
      <c r="DKO142" s="10"/>
      <c r="DKP142" s="57"/>
      <c r="DKQ142" s="10"/>
      <c r="DKR142" s="57"/>
      <c r="DKS142" s="10"/>
      <c r="DKT142" s="57"/>
      <c r="DKU142" s="10"/>
      <c r="DKV142" s="57"/>
      <c r="DKW142" s="10"/>
      <c r="DKX142" s="57"/>
      <c r="DKY142" s="10"/>
      <c r="DKZ142" s="57"/>
      <c r="DLA142" s="10"/>
      <c r="DLB142" s="57"/>
      <c r="DLC142" s="10"/>
      <c r="DLD142" s="57"/>
      <c r="DLE142" s="10"/>
      <c r="DLF142" s="57"/>
      <c r="DLG142" s="10"/>
      <c r="DLH142" s="57"/>
      <c r="DLI142" s="10"/>
      <c r="DLJ142" s="57"/>
      <c r="DLK142" s="10"/>
      <c r="DLL142" s="57"/>
      <c r="DLM142" s="10"/>
      <c r="DLN142" s="57"/>
      <c r="DLO142" s="10"/>
      <c r="DLP142" s="57"/>
      <c r="DLQ142" s="10"/>
      <c r="DLR142" s="57"/>
      <c r="DLS142" s="10"/>
      <c r="DLT142" s="57"/>
      <c r="DLU142" s="10"/>
      <c r="DLV142" s="57"/>
      <c r="DLW142" s="10"/>
      <c r="DLX142" s="57"/>
      <c r="DLY142" s="10"/>
      <c r="DLZ142" s="57"/>
      <c r="DMA142" s="10"/>
      <c r="DMB142" s="57"/>
      <c r="DMC142" s="10"/>
      <c r="DMD142" s="57"/>
      <c r="DME142" s="10"/>
      <c r="DMF142" s="57"/>
      <c r="DMG142" s="10"/>
      <c r="DMH142" s="57"/>
      <c r="DMI142" s="10"/>
      <c r="DMJ142" s="57"/>
      <c r="DMK142" s="10"/>
      <c r="DML142" s="57"/>
      <c r="DMM142" s="10"/>
      <c r="DMN142" s="57"/>
      <c r="DMO142" s="10"/>
      <c r="DMP142" s="57"/>
      <c r="DMQ142" s="10"/>
      <c r="DMR142" s="57"/>
      <c r="DMS142" s="10"/>
      <c r="DMT142" s="57"/>
      <c r="DMU142" s="10"/>
      <c r="DMV142" s="57"/>
      <c r="DMW142" s="10"/>
      <c r="DMX142" s="57"/>
      <c r="DMY142" s="10"/>
      <c r="DMZ142" s="57"/>
      <c r="DNA142" s="10"/>
      <c r="DNB142" s="57"/>
      <c r="DNC142" s="10"/>
      <c r="DND142" s="57"/>
      <c r="DNE142" s="10"/>
      <c r="DNF142" s="57"/>
      <c r="DNG142" s="10"/>
      <c r="DNH142" s="57"/>
      <c r="DNI142" s="10"/>
      <c r="DNJ142" s="57"/>
      <c r="DNK142" s="10"/>
      <c r="DNL142" s="57"/>
      <c r="DNM142" s="10"/>
      <c r="DNN142" s="57"/>
      <c r="DNO142" s="10"/>
      <c r="DNP142" s="57"/>
      <c r="DNQ142" s="10"/>
      <c r="DNR142" s="57"/>
      <c r="DNS142" s="10"/>
      <c r="DNT142" s="57"/>
      <c r="DNU142" s="10"/>
      <c r="DNV142" s="57"/>
      <c r="DNW142" s="10"/>
      <c r="DNX142" s="57"/>
      <c r="DNY142" s="10"/>
      <c r="DNZ142" s="57"/>
      <c r="DOA142" s="10"/>
      <c r="DOB142" s="57"/>
      <c r="DOC142" s="10"/>
      <c r="DOD142" s="57"/>
      <c r="DOE142" s="10"/>
      <c r="DOF142" s="57"/>
      <c r="DOG142" s="10"/>
      <c r="DOH142" s="57"/>
      <c r="DOI142" s="10"/>
      <c r="DOJ142" s="57"/>
      <c r="DOK142" s="10"/>
      <c r="DOL142" s="57"/>
      <c r="DOM142" s="10"/>
      <c r="DON142" s="57"/>
      <c r="DOO142" s="10"/>
      <c r="DOP142" s="57"/>
      <c r="DOQ142" s="10"/>
      <c r="DOR142" s="57"/>
      <c r="DOS142" s="10"/>
      <c r="DOT142" s="57"/>
      <c r="DOU142" s="10"/>
      <c r="DOV142" s="57"/>
      <c r="DOW142" s="10"/>
      <c r="DOX142" s="57"/>
      <c r="DOY142" s="10"/>
      <c r="DOZ142" s="57"/>
      <c r="DPA142" s="10"/>
      <c r="DPB142" s="57"/>
      <c r="DPC142" s="10"/>
      <c r="DPD142" s="57"/>
      <c r="DPE142" s="10"/>
      <c r="DPF142" s="57"/>
      <c r="DPG142" s="10"/>
      <c r="DPH142" s="57"/>
      <c r="DPI142" s="10"/>
      <c r="DPJ142" s="57"/>
      <c r="DPK142" s="10"/>
      <c r="DPL142" s="57"/>
      <c r="DPM142" s="10"/>
      <c r="DPN142" s="57"/>
      <c r="DPO142" s="10"/>
      <c r="DPP142" s="57"/>
      <c r="DPQ142" s="10"/>
      <c r="DPR142" s="57"/>
      <c r="DPS142" s="10"/>
      <c r="DPT142" s="57"/>
      <c r="DPU142" s="10"/>
      <c r="DPV142" s="57"/>
      <c r="DPW142" s="10"/>
      <c r="DPX142" s="57"/>
      <c r="DPY142" s="10"/>
      <c r="DPZ142" s="57"/>
      <c r="DQA142" s="10"/>
      <c r="DQB142" s="57"/>
      <c r="DQC142" s="10"/>
      <c r="DQD142" s="57"/>
      <c r="DQE142" s="10"/>
      <c r="DQF142" s="57"/>
      <c r="DQG142" s="10"/>
      <c r="DQH142" s="57"/>
      <c r="DQI142" s="10"/>
      <c r="DQJ142" s="57"/>
      <c r="DQK142" s="10"/>
      <c r="DQL142" s="57"/>
      <c r="DQM142" s="10"/>
      <c r="DQN142" s="57"/>
      <c r="DQO142" s="10"/>
      <c r="DQP142" s="57"/>
      <c r="DQQ142" s="10"/>
      <c r="DQR142" s="57"/>
      <c r="DQS142" s="10"/>
      <c r="DQT142" s="57"/>
      <c r="DQU142" s="10"/>
      <c r="DQV142" s="57"/>
      <c r="DQW142" s="10"/>
      <c r="DQX142" s="57"/>
      <c r="DQY142" s="10"/>
      <c r="DQZ142" s="57"/>
      <c r="DRA142" s="10"/>
      <c r="DRB142" s="57"/>
      <c r="DRC142" s="10"/>
      <c r="DRD142" s="57"/>
      <c r="DRE142" s="10"/>
      <c r="DRF142" s="57"/>
      <c r="DRG142" s="10"/>
      <c r="DRH142" s="57"/>
      <c r="DRI142" s="10"/>
      <c r="DRJ142" s="57"/>
      <c r="DRK142" s="10"/>
      <c r="DRL142" s="57"/>
      <c r="DRM142" s="10"/>
      <c r="DRN142" s="57"/>
      <c r="DRO142" s="10"/>
      <c r="DRP142" s="57"/>
      <c r="DRQ142" s="10"/>
      <c r="DRR142" s="57"/>
      <c r="DRS142" s="10"/>
      <c r="DRT142" s="57"/>
      <c r="DRU142" s="10"/>
      <c r="DRV142" s="57"/>
      <c r="DRW142" s="10"/>
      <c r="DRX142" s="57"/>
      <c r="DRY142" s="10"/>
      <c r="DRZ142" s="57"/>
      <c r="DSA142" s="10"/>
      <c r="DSB142" s="57"/>
      <c r="DSC142" s="10"/>
      <c r="DSD142" s="57"/>
      <c r="DSE142" s="10"/>
      <c r="DSF142" s="57"/>
      <c r="DSG142" s="10"/>
      <c r="DSH142" s="57"/>
      <c r="DSI142" s="10"/>
      <c r="DSJ142" s="57"/>
      <c r="DSK142" s="10"/>
      <c r="DSL142" s="57"/>
      <c r="DSM142" s="10"/>
      <c r="DSN142" s="57"/>
      <c r="DSO142" s="10"/>
      <c r="DSP142" s="57"/>
      <c r="DSQ142" s="10"/>
      <c r="DSR142" s="57"/>
      <c r="DSS142" s="10"/>
      <c r="DST142" s="57"/>
      <c r="DSU142" s="10"/>
      <c r="DSV142" s="57"/>
      <c r="DSW142" s="10"/>
      <c r="DSX142" s="57"/>
      <c r="DSY142" s="10"/>
      <c r="DSZ142" s="57"/>
      <c r="DTA142" s="10"/>
      <c r="DTB142" s="57"/>
      <c r="DTC142" s="10"/>
      <c r="DTD142" s="57"/>
      <c r="DTE142" s="10"/>
      <c r="DTF142" s="57"/>
      <c r="DTG142" s="10"/>
      <c r="DTH142" s="57"/>
      <c r="DTI142" s="10"/>
      <c r="DTJ142" s="57"/>
      <c r="DTK142" s="10"/>
      <c r="DTL142" s="57"/>
      <c r="DTM142" s="10"/>
      <c r="DTN142" s="57"/>
      <c r="DTO142" s="10"/>
      <c r="DTP142" s="57"/>
      <c r="DTQ142" s="10"/>
      <c r="DTR142" s="57"/>
      <c r="DTS142" s="10"/>
      <c r="DTT142" s="57"/>
      <c r="DTU142" s="10"/>
      <c r="DTV142" s="57"/>
      <c r="DTW142" s="10"/>
      <c r="DTX142" s="57"/>
      <c r="DTY142" s="10"/>
      <c r="DTZ142" s="57"/>
      <c r="DUA142" s="10"/>
      <c r="DUB142" s="57"/>
      <c r="DUC142" s="10"/>
      <c r="DUD142" s="57"/>
      <c r="DUE142" s="10"/>
      <c r="DUF142" s="57"/>
      <c r="DUG142" s="10"/>
      <c r="DUH142" s="57"/>
      <c r="DUI142" s="10"/>
      <c r="DUJ142" s="57"/>
      <c r="DUK142" s="10"/>
      <c r="DUL142" s="57"/>
      <c r="DUM142" s="10"/>
      <c r="DUN142" s="57"/>
      <c r="DUO142" s="10"/>
      <c r="DUP142" s="57"/>
      <c r="DUQ142" s="10"/>
      <c r="DUR142" s="57"/>
      <c r="DUS142" s="10"/>
      <c r="DUT142" s="57"/>
      <c r="DUU142" s="10"/>
      <c r="DUV142" s="57"/>
      <c r="DUW142" s="10"/>
      <c r="DUX142" s="57"/>
      <c r="DUY142" s="10"/>
      <c r="DUZ142" s="57"/>
      <c r="DVA142" s="10"/>
      <c r="DVB142" s="57"/>
      <c r="DVC142" s="10"/>
      <c r="DVD142" s="57"/>
      <c r="DVE142" s="10"/>
      <c r="DVF142" s="57"/>
      <c r="DVG142" s="10"/>
      <c r="DVH142" s="57"/>
      <c r="DVI142" s="10"/>
      <c r="DVJ142" s="57"/>
      <c r="DVK142" s="10"/>
      <c r="DVL142" s="57"/>
      <c r="DVM142" s="10"/>
      <c r="DVN142" s="57"/>
      <c r="DVO142" s="10"/>
      <c r="DVP142" s="57"/>
      <c r="DVQ142" s="10"/>
      <c r="DVR142" s="57"/>
      <c r="DVS142" s="10"/>
      <c r="DVT142" s="57"/>
      <c r="DVU142" s="10"/>
      <c r="DVV142" s="57"/>
      <c r="DVW142" s="10"/>
      <c r="DVX142" s="57"/>
      <c r="DVY142" s="10"/>
      <c r="DVZ142" s="57"/>
      <c r="DWA142" s="10"/>
      <c r="DWB142" s="57"/>
      <c r="DWC142" s="10"/>
      <c r="DWD142" s="57"/>
      <c r="DWE142" s="10"/>
      <c r="DWF142" s="57"/>
      <c r="DWG142" s="10"/>
      <c r="DWH142" s="57"/>
      <c r="DWI142" s="10"/>
      <c r="DWJ142" s="57"/>
      <c r="DWK142" s="10"/>
      <c r="DWL142" s="57"/>
      <c r="DWM142" s="10"/>
      <c r="DWN142" s="57"/>
      <c r="DWO142" s="10"/>
      <c r="DWP142" s="57"/>
      <c r="DWQ142" s="10"/>
      <c r="DWR142" s="57"/>
      <c r="DWS142" s="10"/>
      <c r="DWT142" s="57"/>
      <c r="DWU142" s="10"/>
      <c r="DWV142" s="57"/>
      <c r="DWW142" s="10"/>
      <c r="DWX142" s="57"/>
      <c r="DWY142" s="10"/>
      <c r="DWZ142" s="57"/>
      <c r="DXA142" s="10"/>
      <c r="DXB142" s="57"/>
      <c r="DXC142" s="10"/>
      <c r="DXD142" s="57"/>
      <c r="DXE142" s="10"/>
      <c r="DXF142" s="57"/>
      <c r="DXG142" s="10"/>
      <c r="DXH142" s="57"/>
      <c r="DXI142" s="10"/>
      <c r="DXJ142" s="57"/>
      <c r="DXK142" s="10"/>
      <c r="DXL142" s="57"/>
      <c r="DXM142" s="10"/>
      <c r="DXN142" s="57"/>
      <c r="DXO142" s="10"/>
      <c r="DXP142" s="57"/>
      <c r="DXQ142" s="10"/>
      <c r="DXR142" s="57"/>
      <c r="DXS142" s="10"/>
      <c r="DXT142" s="57"/>
      <c r="DXU142" s="10"/>
      <c r="DXV142" s="57"/>
      <c r="DXW142" s="10"/>
      <c r="DXX142" s="57"/>
      <c r="DXY142" s="10"/>
      <c r="DXZ142" s="57"/>
      <c r="DYA142" s="10"/>
      <c r="DYB142" s="57"/>
      <c r="DYC142" s="10"/>
      <c r="DYD142" s="57"/>
      <c r="DYE142" s="10"/>
      <c r="DYF142" s="57"/>
      <c r="DYG142" s="10"/>
      <c r="DYH142" s="57"/>
      <c r="DYI142" s="10"/>
      <c r="DYJ142" s="57"/>
      <c r="DYK142" s="10"/>
      <c r="DYL142" s="57"/>
      <c r="DYM142" s="10"/>
      <c r="DYN142" s="57"/>
      <c r="DYO142" s="10"/>
      <c r="DYP142" s="57"/>
      <c r="DYQ142" s="10"/>
      <c r="DYR142" s="57"/>
      <c r="DYS142" s="10"/>
      <c r="DYT142" s="57"/>
      <c r="DYU142" s="10"/>
      <c r="DYV142" s="57"/>
      <c r="DYW142" s="10"/>
      <c r="DYX142" s="57"/>
      <c r="DYY142" s="10"/>
      <c r="DYZ142" s="57"/>
      <c r="DZA142" s="10"/>
      <c r="DZB142" s="57"/>
      <c r="DZC142" s="10"/>
      <c r="DZD142" s="57"/>
      <c r="DZE142" s="10"/>
      <c r="DZF142" s="57"/>
      <c r="DZG142" s="10"/>
      <c r="DZH142" s="57"/>
      <c r="DZI142" s="10"/>
      <c r="DZJ142" s="57"/>
      <c r="DZK142" s="10"/>
      <c r="DZL142" s="57"/>
      <c r="DZM142" s="10"/>
      <c r="DZN142" s="57"/>
      <c r="DZO142" s="10"/>
      <c r="DZP142" s="57"/>
      <c r="DZQ142" s="10"/>
      <c r="DZR142" s="57"/>
      <c r="DZS142" s="10"/>
      <c r="DZT142" s="57"/>
      <c r="DZU142" s="10"/>
      <c r="DZV142" s="57"/>
      <c r="DZW142" s="10"/>
      <c r="DZX142" s="57"/>
      <c r="DZY142" s="10"/>
      <c r="DZZ142" s="57"/>
      <c r="EAA142" s="10"/>
      <c r="EAB142" s="57"/>
      <c r="EAC142" s="10"/>
      <c r="EAD142" s="57"/>
      <c r="EAE142" s="10"/>
      <c r="EAF142" s="57"/>
      <c r="EAG142" s="10"/>
      <c r="EAH142" s="57"/>
      <c r="EAI142" s="10"/>
      <c r="EAJ142" s="57"/>
      <c r="EAK142" s="10"/>
      <c r="EAL142" s="57"/>
      <c r="EAM142" s="10"/>
      <c r="EAN142" s="57"/>
      <c r="EAO142" s="10"/>
      <c r="EAP142" s="57"/>
      <c r="EAQ142" s="10"/>
      <c r="EAR142" s="57"/>
      <c r="EAS142" s="10"/>
      <c r="EAT142" s="57"/>
      <c r="EAU142" s="10"/>
      <c r="EAV142" s="57"/>
      <c r="EAW142" s="10"/>
      <c r="EAX142" s="57"/>
      <c r="EAY142" s="10"/>
      <c r="EAZ142" s="57"/>
      <c r="EBA142" s="10"/>
      <c r="EBB142" s="57"/>
      <c r="EBC142" s="10"/>
      <c r="EBD142" s="57"/>
      <c r="EBE142" s="10"/>
      <c r="EBF142" s="57"/>
      <c r="EBG142" s="10"/>
      <c r="EBH142" s="57"/>
      <c r="EBI142" s="10"/>
      <c r="EBJ142" s="57"/>
      <c r="EBK142" s="10"/>
      <c r="EBL142" s="57"/>
      <c r="EBM142" s="10"/>
      <c r="EBN142" s="57"/>
      <c r="EBO142" s="10"/>
      <c r="EBP142" s="57"/>
      <c r="EBQ142" s="10"/>
      <c r="EBR142" s="57"/>
      <c r="EBS142" s="10"/>
      <c r="EBT142" s="57"/>
      <c r="EBU142" s="10"/>
      <c r="EBV142" s="57"/>
      <c r="EBW142" s="10"/>
      <c r="EBX142" s="57"/>
      <c r="EBY142" s="10"/>
      <c r="EBZ142" s="57"/>
      <c r="ECA142" s="10"/>
      <c r="ECB142" s="57"/>
      <c r="ECC142" s="10"/>
      <c r="ECD142" s="57"/>
      <c r="ECE142" s="10"/>
      <c r="ECF142" s="57"/>
      <c r="ECG142" s="10"/>
      <c r="ECH142" s="57"/>
      <c r="ECI142" s="10"/>
      <c r="ECJ142" s="57"/>
      <c r="ECK142" s="10"/>
      <c r="ECL142" s="57"/>
      <c r="ECM142" s="10"/>
      <c r="ECN142" s="57"/>
      <c r="ECO142" s="10"/>
      <c r="ECP142" s="57"/>
      <c r="ECQ142" s="10"/>
      <c r="ECR142" s="57"/>
      <c r="ECS142" s="10"/>
      <c r="ECT142" s="57"/>
      <c r="ECU142" s="10"/>
      <c r="ECV142" s="57"/>
      <c r="ECW142" s="10"/>
      <c r="ECX142" s="57"/>
      <c r="ECY142" s="10"/>
      <c r="ECZ142" s="57"/>
      <c r="EDA142" s="10"/>
      <c r="EDB142" s="57"/>
      <c r="EDC142" s="10"/>
      <c r="EDD142" s="57"/>
      <c r="EDE142" s="10"/>
      <c r="EDF142" s="57"/>
      <c r="EDG142" s="10"/>
      <c r="EDH142" s="57"/>
      <c r="EDI142" s="10"/>
      <c r="EDJ142" s="57"/>
      <c r="EDK142" s="10"/>
      <c r="EDL142" s="57"/>
      <c r="EDM142" s="10"/>
      <c r="EDN142" s="57"/>
      <c r="EDO142" s="10"/>
      <c r="EDP142" s="57"/>
      <c r="EDQ142" s="10"/>
      <c r="EDR142" s="57"/>
      <c r="EDS142" s="10"/>
      <c r="EDT142" s="57"/>
      <c r="EDU142" s="10"/>
      <c r="EDV142" s="57"/>
      <c r="EDW142" s="10"/>
      <c r="EDX142" s="57"/>
      <c r="EDY142" s="10"/>
      <c r="EDZ142" s="57"/>
      <c r="EEA142" s="10"/>
      <c r="EEB142" s="57"/>
      <c r="EEC142" s="10"/>
      <c r="EED142" s="57"/>
      <c r="EEE142" s="10"/>
      <c r="EEF142" s="57"/>
      <c r="EEG142" s="10"/>
      <c r="EEH142" s="57"/>
      <c r="EEI142" s="10"/>
      <c r="EEJ142" s="57"/>
      <c r="EEK142" s="10"/>
      <c r="EEL142" s="57"/>
      <c r="EEM142" s="10"/>
      <c r="EEN142" s="57"/>
      <c r="EEO142" s="10"/>
      <c r="EEP142" s="57"/>
      <c r="EEQ142" s="10"/>
      <c r="EER142" s="57"/>
      <c r="EES142" s="10"/>
      <c r="EET142" s="57"/>
      <c r="EEU142" s="10"/>
      <c r="EEV142" s="57"/>
      <c r="EEW142" s="10"/>
      <c r="EEX142" s="57"/>
      <c r="EEY142" s="10"/>
      <c r="EEZ142" s="57"/>
      <c r="EFA142" s="10"/>
      <c r="EFB142" s="57"/>
      <c r="EFC142" s="10"/>
      <c r="EFD142" s="57"/>
      <c r="EFE142" s="10"/>
      <c r="EFF142" s="57"/>
      <c r="EFG142" s="10"/>
      <c r="EFH142" s="57"/>
      <c r="EFI142" s="10"/>
      <c r="EFJ142" s="57"/>
      <c r="EFK142" s="10"/>
      <c r="EFL142" s="57"/>
      <c r="EFM142" s="10"/>
      <c r="EFN142" s="57"/>
      <c r="EFO142" s="10"/>
      <c r="EFP142" s="57"/>
      <c r="EFQ142" s="10"/>
      <c r="EFR142" s="57"/>
      <c r="EFS142" s="10"/>
      <c r="EFT142" s="57"/>
      <c r="EFU142" s="10"/>
      <c r="EFV142" s="57"/>
      <c r="EFW142" s="10"/>
      <c r="EFX142" s="57"/>
      <c r="EFY142" s="10"/>
      <c r="EFZ142" s="57"/>
      <c r="EGA142" s="10"/>
      <c r="EGB142" s="57"/>
      <c r="EGC142" s="10"/>
      <c r="EGD142" s="57"/>
      <c r="EGE142" s="10"/>
      <c r="EGF142" s="57"/>
      <c r="EGG142" s="10"/>
      <c r="EGH142" s="57"/>
      <c r="EGI142" s="10"/>
      <c r="EGJ142" s="57"/>
      <c r="EGK142" s="10"/>
      <c r="EGL142" s="57"/>
      <c r="EGM142" s="10"/>
      <c r="EGN142" s="57"/>
      <c r="EGO142" s="10"/>
      <c r="EGP142" s="57"/>
      <c r="EGQ142" s="10"/>
      <c r="EGR142" s="57"/>
      <c r="EGS142" s="10"/>
      <c r="EGT142" s="57"/>
      <c r="EGU142" s="10"/>
      <c r="EGV142" s="57"/>
      <c r="EGW142" s="10"/>
      <c r="EGX142" s="57"/>
      <c r="EGY142" s="10"/>
      <c r="EGZ142" s="57"/>
      <c r="EHA142" s="10"/>
      <c r="EHB142" s="57"/>
      <c r="EHC142" s="10"/>
      <c r="EHD142" s="57"/>
      <c r="EHE142" s="10"/>
      <c r="EHF142" s="57"/>
      <c r="EHG142" s="10"/>
      <c r="EHH142" s="57"/>
      <c r="EHI142" s="10"/>
      <c r="EHJ142" s="57"/>
      <c r="EHK142" s="10"/>
      <c r="EHL142" s="57"/>
      <c r="EHM142" s="10"/>
      <c r="EHN142" s="57"/>
      <c r="EHO142" s="10"/>
      <c r="EHP142" s="57"/>
      <c r="EHQ142" s="10"/>
      <c r="EHR142" s="57"/>
      <c r="EHS142" s="10"/>
      <c r="EHT142" s="57"/>
      <c r="EHU142" s="10"/>
      <c r="EHV142" s="57"/>
      <c r="EHW142" s="10"/>
      <c r="EHX142" s="57"/>
      <c r="EHY142" s="10"/>
      <c r="EHZ142" s="57"/>
      <c r="EIA142" s="10"/>
      <c r="EIB142" s="57"/>
      <c r="EIC142" s="10"/>
      <c r="EID142" s="57"/>
      <c r="EIE142" s="10"/>
      <c r="EIF142" s="57"/>
      <c r="EIG142" s="10"/>
      <c r="EIH142" s="57"/>
      <c r="EII142" s="10"/>
      <c r="EIJ142" s="57"/>
      <c r="EIK142" s="10"/>
      <c r="EIL142" s="57"/>
      <c r="EIM142" s="10"/>
      <c r="EIN142" s="57"/>
      <c r="EIO142" s="10"/>
      <c r="EIP142" s="57"/>
      <c r="EIQ142" s="10"/>
      <c r="EIR142" s="57"/>
      <c r="EIS142" s="10"/>
      <c r="EIT142" s="57"/>
      <c r="EIU142" s="10"/>
      <c r="EIV142" s="57"/>
      <c r="EIW142" s="10"/>
      <c r="EIX142" s="57"/>
      <c r="EIY142" s="10"/>
      <c r="EIZ142" s="57"/>
      <c r="EJA142" s="10"/>
      <c r="EJB142" s="57"/>
      <c r="EJC142" s="10"/>
      <c r="EJD142" s="57"/>
      <c r="EJE142" s="10"/>
      <c r="EJF142" s="57"/>
      <c r="EJG142" s="10"/>
      <c r="EJH142" s="57"/>
      <c r="EJI142" s="10"/>
      <c r="EJJ142" s="57"/>
      <c r="EJK142" s="10"/>
      <c r="EJL142" s="57"/>
      <c r="EJM142" s="10"/>
      <c r="EJN142" s="57"/>
      <c r="EJO142" s="10"/>
      <c r="EJP142" s="57"/>
      <c r="EJQ142" s="10"/>
      <c r="EJR142" s="57"/>
      <c r="EJS142" s="10"/>
      <c r="EJT142" s="57"/>
      <c r="EJU142" s="10"/>
      <c r="EJV142" s="57"/>
      <c r="EJW142" s="10"/>
      <c r="EJX142" s="57"/>
      <c r="EJY142" s="10"/>
      <c r="EJZ142" s="57"/>
      <c r="EKA142" s="10"/>
      <c r="EKB142" s="57"/>
      <c r="EKC142" s="10"/>
      <c r="EKD142" s="57"/>
      <c r="EKE142" s="10"/>
      <c r="EKF142" s="57"/>
      <c r="EKG142" s="10"/>
      <c r="EKH142" s="57"/>
      <c r="EKI142" s="10"/>
      <c r="EKJ142" s="57"/>
      <c r="EKK142" s="10"/>
      <c r="EKL142" s="57"/>
      <c r="EKM142" s="10"/>
      <c r="EKN142" s="57"/>
      <c r="EKO142" s="10"/>
      <c r="EKP142" s="57"/>
      <c r="EKQ142" s="10"/>
      <c r="EKR142" s="57"/>
      <c r="EKS142" s="10"/>
      <c r="EKT142" s="57"/>
      <c r="EKU142" s="10"/>
      <c r="EKV142" s="57"/>
      <c r="EKW142" s="10"/>
      <c r="EKX142" s="57"/>
      <c r="EKY142" s="10"/>
      <c r="EKZ142" s="57"/>
      <c r="ELA142" s="10"/>
      <c r="ELB142" s="57"/>
      <c r="ELC142" s="10"/>
      <c r="ELD142" s="57"/>
      <c r="ELE142" s="10"/>
      <c r="ELF142" s="57"/>
      <c r="ELG142" s="10"/>
      <c r="ELH142" s="57"/>
      <c r="ELI142" s="10"/>
      <c r="ELJ142" s="57"/>
      <c r="ELK142" s="10"/>
      <c r="ELL142" s="57"/>
      <c r="ELM142" s="10"/>
      <c r="ELN142" s="57"/>
      <c r="ELO142" s="10"/>
      <c r="ELP142" s="57"/>
      <c r="ELQ142" s="10"/>
      <c r="ELR142" s="57"/>
      <c r="ELS142" s="10"/>
      <c r="ELT142" s="57"/>
      <c r="ELU142" s="10"/>
      <c r="ELV142" s="57"/>
      <c r="ELW142" s="10"/>
      <c r="ELX142" s="57"/>
      <c r="ELY142" s="10"/>
      <c r="ELZ142" s="57"/>
      <c r="EMA142" s="10"/>
      <c r="EMB142" s="57"/>
      <c r="EMC142" s="10"/>
      <c r="EMD142" s="57"/>
      <c r="EME142" s="10"/>
      <c r="EMF142" s="57"/>
      <c r="EMG142" s="10"/>
      <c r="EMH142" s="57"/>
      <c r="EMI142" s="10"/>
      <c r="EMJ142" s="57"/>
      <c r="EMK142" s="10"/>
      <c r="EML142" s="57"/>
      <c r="EMM142" s="10"/>
      <c r="EMN142" s="57"/>
      <c r="EMO142" s="10"/>
      <c r="EMP142" s="57"/>
      <c r="EMQ142" s="10"/>
      <c r="EMR142" s="57"/>
      <c r="EMS142" s="10"/>
      <c r="EMT142" s="57"/>
      <c r="EMU142" s="10"/>
      <c r="EMV142" s="57"/>
      <c r="EMW142" s="10"/>
      <c r="EMX142" s="57"/>
      <c r="EMY142" s="10"/>
      <c r="EMZ142" s="57"/>
      <c r="ENA142" s="10"/>
      <c r="ENB142" s="57"/>
      <c r="ENC142" s="10"/>
      <c r="END142" s="57"/>
      <c r="ENE142" s="10"/>
      <c r="ENF142" s="57"/>
      <c r="ENG142" s="10"/>
      <c r="ENH142" s="57"/>
      <c r="ENI142" s="10"/>
      <c r="ENJ142" s="57"/>
      <c r="ENK142" s="10"/>
      <c r="ENL142" s="57"/>
      <c r="ENM142" s="10"/>
      <c r="ENN142" s="57"/>
      <c r="ENO142" s="10"/>
      <c r="ENP142" s="57"/>
      <c r="ENQ142" s="10"/>
      <c r="ENR142" s="57"/>
      <c r="ENS142" s="10"/>
      <c r="ENT142" s="57"/>
      <c r="ENU142" s="10"/>
      <c r="ENV142" s="57"/>
      <c r="ENW142" s="10"/>
      <c r="ENX142" s="57"/>
      <c r="ENY142" s="10"/>
      <c r="ENZ142" s="57"/>
      <c r="EOA142" s="10"/>
      <c r="EOB142" s="57"/>
      <c r="EOC142" s="10"/>
      <c r="EOD142" s="57"/>
      <c r="EOE142" s="10"/>
      <c r="EOF142" s="57"/>
      <c r="EOG142" s="10"/>
      <c r="EOH142" s="57"/>
      <c r="EOI142" s="10"/>
      <c r="EOJ142" s="57"/>
      <c r="EOK142" s="10"/>
      <c r="EOL142" s="57"/>
      <c r="EOM142" s="10"/>
      <c r="EON142" s="57"/>
      <c r="EOO142" s="10"/>
      <c r="EOP142" s="57"/>
      <c r="EOQ142" s="10"/>
      <c r="EOR142" s="57"/>
      <c r="EOS142" s="10"/>
      <c r="EOT142" s="57"/>
      <c r="EOU142" s="10"/>
      <c r="EOV142" s="57"/>
      <c r="EOW142" s="10"/>
      <c r="EOX142" s="57"/>
      <c r="EOY142" s="10"/>
      <c r="EOZ142" s="57"/>
      <c r="EPA142" s="10"/>
      <c r="EPB142" s="57"/>
      <c r="EPC142" s="10"/>
      <c r="EPD142" s="57"/>
      <c r="EPE142" s="10"/>
      <c r="EPF142" s="57"/>
      <c r="EPG142" s="10"/>
      <c r="EPH142" s="57"/>
      <c r="EPI142" s="10"/>
      <c r="EPJ142" s="57"/>
      <c r="EPK142" s="10"/>
      <c r="EPL142" s="57"/>
      <c r="EPM142" s="10"/>
      <c r="EPN142" s="57"/>
      <c r="EPO142" s="10"/>
      <c r="EPP142" s="57"/>
      <c r="EPQ142" s="10"/>
      <c r="EPR142" s="57"/>
      <c r="EPS142" s="10"/>
      <c r="EPT142" s="57"/>
      <c r="EPU142" s="10"/>
      <c r="EPV142" s="57"/>
      <c r="EPW142" s="10"/>
      <c r="EPX142" s="57"/>
      <c r="EPY142" s="10"/>
      <c r="EPZ142" s="57"/>
      <c r="EQA142" s="10"/>
      <c r="EQB142" s="57"/>
      <c r="EQC142" s="10"/>
      <c r="EQD142" s="57"/>
      <c r="EQE142" s="10"/>
      <c r="EQF142" s="57"/>
      <c r="EQG142" s="10"/>
      <c r="EQH142" s="57"/>
      <c r="EQI142" s="10"/>
      <c r="EQJ142" s="57"/>
      <c r="EQK142" s="10"/>
      <c r="EQL142" s="57"/>
      <c r="EQM142" s="10"/>
      <c r="EQN142" s="57"/>
      <c r="EQO142" s="10"/>
      <c r="EQP142" s="57"/>
      <c r="EQQ142" s="10"/>
      <c r="EQR142" s="57"/>
      <c r="EQS142" s="10"/>
      <c r="EQT142" s="57"/>
      <c r="EQU142" s="10"/>
      <c r="EQV142" s="57"/>
      <c r="EQW142" s="10"/>
      <c r="EQX142" s="57"/>
      <c r="EQY142" s="10"/>
      <c r="EQZ142" s="57"/>
      <c r="ERA142" s="10"/>
      <c r="ERB142" s="57"/>
      <c r="ERC142" s="10"/>
      <c r="ERD142" s="57"/>
      <c r="ERE142" s="10"/>
      <c r="ERF142" s="57"/>
      <c r="ERG142" s="10"/>
      <c r="ERH142" s="57"/>
      <c r="ERI142" s="10"/>
      <c r="ERJ142" s="57"/>
      <c r="ERK142" s="10"/>
      <c r="ERL142" s="57"/>
      <c r="ERM142" s="10"/>
      <c r="ERN142" s="57"/>
      <c r="ERO142" s="10"/>
      <c r="ERP142" s="57"/>
      <c r="ERQ142" s="10"/>
      <c r="ERR142" s="57"/>
      <c r="ERS142" s="10"/>
      <c r="ERT142" s="57"/>
      <c r="ERU142" s="10"/>
      <c r="ERV142" s="57"/>
      <c r="ERW142" s="10"/>
      <c r="ERX142" s="57"/>
      <c r="ERY142" s="10"/>
      <c r="ERZ142" s="57"/>
      <c r="ESA142" s="10"/>
      <c r="ESB142" s="57"/>
      <c r="ESC142" s="10"/>
      <c r="ESD142" s="57"/>
      <c r="ESE142" s="10"/>
      <c r="ESF142" s="57"/>
      <c r="ESG142" s="10"/>
      <c r="ESH142" s="57"/>
      <c r="ESI142" s="10"/>
      <c r="ESJ142" s="57"/>
      <c r="ESK142" s="10"/>
      <c r="ESL142" s="57"/>
      <c r="ESM142" s="10"/>
      <c r="ESN142" s="57"/>
      <c r="ESO142" s="10"/>
      <c r="ESP142" s="57"/>
      <c r="ESQ142" s="10"/>
      <c r="ESR142" s="57"/>
      <c r="ESS142" s="10"/>
      <c r="EST142" s="57"/>
      <c r="ESU142" s="10"/>
      <c r="ESV142" s="57"/>
      <c r="ESW142" s="10"/>
      <c r="ESX142" s="57"/>
      <c r="ESY142" s="10"/>
      <c r="ESZ142" s="57"/>
      <c r="ETA142" s="10"/>
      <c r="ETB142" s="57"/>
      <c r="ETC142" s="10"/>
      <c r="ETD142" s="57"/>
      <c r="ETE142" s="10"/>
      <c r="ETF142" s="57"/>
      <c r="ETG142" s="10"/>
      <c r="ETH142" s="57"/>
      <c r="ETI142" s="10"/>
      <c r="ETJ142" s="57"/>
      <c r="ETK142" s="10"/>
      <c r="ETL142" s="57"/>
      <c r="ETM142" s="10"/>
      <c r="ETN142" s="57"/>
      <c r="ETO142" s="10"/>
      <c r="ETP142" s="57"/>
      <c r="ETQ142" s="10"/>
      <c r="ETR142" s="57"/>
      <c r="ETS142" s="10"/>
      <c r="ETT142" s="57"/>
      <c r="ETU142" s="10"/>
      <c r="ETV142" s="57"/>
      <c r="ETW142" s="10"/>
      <c r="ETX142" s="57"/>
      <c r="ETY142" s="10"/>
      <c r="ETZ142" s="57"/>
      <c r="EUA142" s="10"/>
      <c r="EUB142" s="57"/>
      <c r="EUC142" s="10"/>
      <c r="EUD142" s="57"/>
      <c r="EUE142" s="10"/>
      <c r="EUF142" s="57"/>
      <c r="EUG142" s="10"/>
      <c r="EUH142" s="57"/>
      <c r="EUI142" s="10"/>
      <c r="EUJ142" s="57"/>
      <c r="EUK142" s="10"/>
      <c r="EUL142" s="57"/>
      <c r="EUM142" s="10"/>
      <c r="EUN142" s="57"/>
      <c r="EUO142" s="10"/>
      <c r="EUP142" s="57"/>
      <c r="EUQ142" s="10"/>
      <c r="EUR142" s="57"/>
      <c r="EUS142" s="10"/>
      <c r="EUT142" s="57"/>
      <c r="EUU142" s="10"/>
      <c r="EUV142" s="57"/>
      <c r="EUW142" s="10"/>
      <c r="EUX142" s="57"/>
      <c r="EUY142" s="10"/>
      <c r="EUZ142" s="57"/>
      <c r="EVA142" s="10"/>
      <c r="EVB142" s="57"/>
      <c r="EVC142" s="10"/>
      <c r="EVD142" s="57"/>
      <c r="EVE142" s="10"/>
      <c r="EVF142" s="57"/>
      <c r="EVG142" s="10"/>
      <c r="EVH142" s="57"/>
      <c r="EVI142" s="10"/>
      <c r="EVJ142" s="57"/>
      <c r="EVK142" s="10"/>
      <c r="EVL142" s="57"/>
      <c r="EVM142" s="10"/>
      <c r="EVN142" s="57"/>
      <c r="EVO142" s="10"/>
      <c r="EVP142" s="57"/>
      <c r="EVQ142" s="10"/>
      <c r="EVR142" s="57"/>
      <c r="EVS142" s="10"/>
      <c r="EVT142" s="57"/>
      <c r="EVU142" s="10"/>
      <c r="EVV142" s="57"/>
      <c r="EVW142" s="10"/>
      <c r="EVX142" s="57"/>
      <c r="EVY142" s="10"/>
      <c r="EVZ142" s="57"/>
      <c r="EWA142" s="10"/>
      <c r="EWB142" s="57"/>
      <c r="EWC142" s="10"/>
      <c r="EWD142" s="57"/>
      <c r="EWE142" s="10"/>
      <c r="EWF142" s="57"/>
      <c r="EWG142" s="10"/>
      <c r="EWH142" s="57"/>
      <c r="EWI142" s="10"/>
      <c r="EWJ142" s="57"/>
      <c r="EWK142" s="10"/>
      <c r="EWL142" s="57"/>
      <c r="EWM142" s="10"/>
      <c r="EWN142" s="57"/>
      <c r="EWO142" s="10"/>
      <c r="EWP142" s="57"/>
      <c r="EWQ142" s="10"/>
      <c r="EWR142" s="57"/>
      <c r="EWS142" s="10"/>
      <c r="EWT142" s="57"/>
      <c r="EWU142" s="10"/>
      <c r="EWV142" s="57"/>
      <c r="EWW142" s="10"/>
      <c r="EWX142" s="57"/>
      <c r="EWY142" s="10"/>
      <c r="EWZ142" s="57"/>
      <c r="EXA142" s="10"/>
      <c r="EXB142" s="57"/>
      <c r="EXC142" s="10"/>
      <c r="EXD142" s="57"/>
      <c r="EXE142" s="10"/>
      <c r="EXF142" s="57"/>
      <c r="EXG142" s="10"/>
      <c r="EXH142" s="57"/>
      <c r="EXI142" s="10"/>
      <c r="EXJ142" s="57"/>
      <c r="EXK142" s="10"/>
      <c r="EXL142" s="57"/>
      <c r="EXM142" s="10"/>
      <c r="EXN142" s="57"/>
      <c r="EXO142" s="10"/>
      <c r="EXP142" s="57"/>
      <c r="EXQ142" s="10"/>
      <c r="EXR142" s="57"/>
      <c r="EXS142" s="10"/>
      <c r="EXT142" s="57"/>
      <c r="EXU142" s="10"/>
      <c r="EXV142" s="57"/>
      <c r="EXW142" s="10"/>
      <c r="EXX142" s="57"/>
      <c r="EXY142" s="10"/>
      <c r="EXZ142" s="57"/>
      <c r="EYA142" s="10"/>
      <c r="EYB142" s="57"/>
      <c r="EYC142" s="10"/>
      <c r="EYD142" s="57"/>
      <c r="EYE142" s="10"/>
      <c r="EYF142" s="57"/>
      <c r="EYG142" s="10"/>
      <c r="EYH142" s="57"/>
      <c r="EYI142" s="10"/>
      <c r="EYJ142" s="57"/>
      <c r="EYK142" s="10"/>
      <c r="EYL142" s="57"/>
      <c r="EYM142" s="10"/>
      <c r="EYN142" s="57"/>
      <c r="EYO142" s="10"/>
      <c r="EYP142" s="57"/>
      <c r="EYQ142" s="10"/>
      <c r="EYR142" s="57"/>
      <c r="EYS142" s="10"/>
      <c r="EYT142" s="57"/>
      <c r="EYU142" s="10"/>
      <c r="EYV142" s="57"/>
      <c r="EYW142" s="10"/>
      <c r="EYX142" s="57"/>
      <c r="EYY142" s="10"/>
      <c r="EYZ142" s="57"/>
      <c r="EZA142" s="10"/>
      <c r="EZB142" s="57"/>
      <c r="EZC142" s="10"/>
      <c r="EZD142" s="57"/>
      <c r="EZE142" s="10"/>
      <c r="EZF142" s="57"/>
      <c r="EZG142" s="10"/>
      <c r="EZH142" s="57"/>
      <c r="EZI142" s="10"/>
      <c r="EZJ142" s="57"/>
      <c r="EZK142" s="10"/>
      <c r="EZL142" s="57"/>
      <c r="EZM142" s="10"/>
      <c r="EZN142" s="57"/>
      <c r="EZO142" s="10"/>
      <c r="EZP142" s="57"/>
      <c r="EZQ142" s="10"/>
      <c r="EZR142" s="57"/>
      <c r="EZS142" s="10"/>
      <c r="EZT142" s="57"/>
      <c r="EZU142" s="10"/>
      <c r="EZV142" s="57"/>
      <c r="EZW142" s="10"/>
      <c r="EZX142" s="57"/>
      <c r="EZY142" s="10"/>
      <c r="EZZ142" s="57"/>
      <c r="FAA142" s="10"/>
      <c r="FAB142" s="57"/>
      <c r="FAC142" s="10"/>
      <c r="FAD142" s="57"/>
      <c r="FAE142" s="10"/>
      <c r="FAF142" s="57"/>
      <c r="FAG142" s="10"/>
      <c r="FAH142" s="57"/>
      <c r="FAI142" s="10"/>
      <c r="FAJ142" s="57"/>
      <c r="FAK142" s="10"/>
      <c r="FAL142" s="57"/>
      <c r="FAM142" s="10"/>
      <c r="FAN142" s="57"/>
      <c r="FAO142" s="10"/>
      <c r="FAP142" s="57"/>
      <c r="FAQ142" s="10"/>
      <c r="FAR142" s="57"/>
      <c r="FAS142" s="10"/>
      <c r="FAT142" s="57"/>
      <c r="FAU142" s="10"/>
      <c r="FAV142" s="57"/>
      <c r="FAW142" s="10"/>
      <c r="FAX142" s="57"/>
      <c r="FAY142" s="10"/>
      <c r="FAZ142" s="57"/>
      <c r="FBA142" s="10"/>
      <c r="FBB142" s="57"/>
      <c r="FBC142" s="10"/>
      <c r="FBD142" s="57"/>
      <c r="FBE142" s="10"/>
      <c r="FBF142" s="57"/>
      <c r="FBG142" s="10"/>
      <c r="FBH142" s="57"/>
      <c r="FBI142" s="10"/>
      <c r="FBJ142" s="57"/>
      <c r="FBK142" s="10"/>
      <c r="FBL142" s="57"/>
      <c r="FBM142" s="10"/>
      <c r="FBN142" s="57"/>
      <c r="FBO142" s="10"/>
      <c r="FBP142" s="57"/>
      <c r="FBQ142" s="10"/>
      <c r="FBR142" s="57"/>
      <c r="FBS142" s="10"/>
      <c r="FBT142" s="57"/>
      <c r="FBU142" s="10"/>
      <c r="FBV142" s="57"/>
      <c r="FBW142" s="10"/>
      <c r="FBX142" s="57"/>
      <c r="FBY142" s="10"/>
      <c r="FBZ142" s="57"/>
      <c r="FCA142" s="10"/>
      <c r="FCB142" s="57"/>
      <c r="FCC142" s="10"/>
      <c r="FCD142" s="57"/>
      <c r="FCE142" s="10"/>
      <c r="FCF142" s="57"/>
      <c r="FCG142" s="10"/>
      <c r="FCH142" s="57"/>
      <c r="FCI142" s="10"/>
      <c r="FCJ142" s="57"/>
      <c r="FCK142" s="10"/>
      <c r="FCL142" s="57"/>
      <c r="FCM142" s="10"/>
      <c r="FCN142" s="57"/>
      <c r="FCO142" s="10"/>
      <c r="FCP142" s="57"/>
      <c r="FCQ142" s="10"/>
      <c r="FCR142" s="57"/>
      <c r="FCS142" s="10"/>
      <c r="FCT142" s="57"/>
      <c r="FCU142" s="10"/>
      <c r="FCV142" s="57"/>
      <c r="FCW142" s="10"/>
      <c r="FCX142" s="57"/>
      <c r="FCY142" s="10"/>
      <c r="FCZ142" s="57"/>
      <c r="FDA142" s="10"/>
      <c r="FDB142" s="57"/>
      <c r="FDC142" s="10"/>
      <c r="FDD142" s="57"/>
      <c r="FDE142" s="10"/>
      <c r="FDF142" s="57"/>
      <c r="FDG142" s="10"/>
      <c r="FDH142" s="57"/>
      <c r="FDI142" s="10"/>
      <c r="FDJ142" s="57"/>
      <c r="FDK142" s="10"/>
      <c r="FDL142" s="57"/>
      <c r="FDM142" s="10"/>
      <c r="FDN142" s="57"/>
      <c r="FDO142" s="10"/>
      <c r="FDP142" s="57"/>
      <c r="FDQ142" s="10"/>
      <c r="FDR142" s="57"/>
      <c r="FDS142" s="10"/>
      <c r="FDT142" s="57"/>
      <c r="FDU142" s="10"/>
      <c r="FDV142" s="57"/>
      <c r="FDW142" s="10"/>
      <c r="FDX142" s="57"/>
      <c r="FDY142" s="10"/>
      <c r="FDZ142" s="57"/>
      <c r="FEA142" s="10"/>
      <c r="FEB142" s="57"/>
      <c r="FEC142" s="10"/>
      <c r="FED142" s="57"/>
      <c r="FEE142" s="10"/>
      <c r="FEF142" s="57"/>
      <c r="FEG142" s="10"/>
      <c r="FEH142" s="57"/>
      <c r="FEI142" s="10"/>
      <c r="FEJ142" s="57"/>
      <c r="FEK142" s="10"/>
      <c r="FEL142" s="57"/>
      <c r="FEM142" s="10"/>
      <c r="FEN142" s="57"/>
      <c r="FEO142" s="10"/>
      <c r="FEP142" s="57"/>
      <c r="FEQ142" s="10"/>
      <c r="FER142" s="57"/>
      <c r="FES142" s="10"/>
      <c r="FET142" s="57"/>
      <c r="FEU142" s="10"/>
      <c r="FEV142" s="57"/>
      <c r="FEW142" s="10"/>
      <c r="FEX142" s="57"/>
      <c r="FEY142" s="10"/>
      <c r="FEZ142" s="57"/>
      <c r="FFA142" s="10"/>
      <c r="FFB142" s="57"/>
      <c r="FFC142" s="10"/>
      <c r="FFD142" s="57"/>
      <c r="FFE142" s="10"/>
      <c r="FFF142" s="57"/>
      <c r="FFG142" s="10"/>
      <c r="FFH142" s="57"/>
      <c r="FFI142" s="10"/>
      <c r="FFJ142" s="57"/>
      <c r="FFK142" s="10"/>
      <c r="FFL142" s="57"/>
      <c r="FFM142" s="10"/>
      <c r="FFN142" s="57"/>
      <c r="FFO142" s="10"/>
      <c r="FFP142" s="57"/>
      <c r="FFQ142" s="10"/>
      <c r="FFR142" s="57"/>
      <c r="FFS142" s="10"/>
      <c r="FFT142" s="57"/>
      <c r="FFU142" s="10"/>
      <c r="FFV142" s="57"/>
      <c r="FFW142" s="10"/>
      <c r="FFX142" s="57"/>
      <c r="FFY142" s="10"/>
      <c r="FFZ142" s="57"/>
      <c r="FGA142" s="10"/>
      <c r="FGB142" s="57"/>
      <c r="FGC142" s="10"/>
      <c r="FGD142" s="57"/>
      <c r="FGE142" s="10"/>
      <c r="FGF142" s="57"/>
      <c r="FGG142" s="10"/>
      <c r="FGH142" s="57"/>
      <c r="FGI142" s="10"/>
      <c r="FGJ142" s="57"/>
      <c r="FGK142" s="10"/>
      <c r="FGL142" s="57"/>
      <c r="FGM142" s="10"/>
      <c r="FGN142" s="57"/>
      <c r="FGO142" s="10"/>
      <c r="FGP142" s="57"/>
      <c r="FGQ142" s="10"/>
      <c r="FGR142" s="57"/>
      <c r="FGS142" s="10"/>
      <c r="FGT142" s="57"/>
      <c r="FGU142" s="10"/>
      <c r="FGV142" s="57"/>
      <c r="FGW142" s="10"/>
      <c r="FGX142" s="57"/>
      <c r="FGY142" s="10"/>
      <c r="FGZ142" s="57"/>
      <c r="FHA142" s="10"/>
      <c r="FHB142" s="57"/>
      <c r="FHC142" s="10"/>
      <c r="FHD142" s="57"/>
      <c r="FHE142" s="10"/>
      <c r="FHF142" s="57"/>
      <c r="FHG142" s="10"/>
      <c r="FHH142" s="57"/>
      <c r="FHI142" s="10"/>
      <c r="FHJ142" s="57"/>
      <c r="FHK142" s="10"/>
      <c r="FHL142" s="57"/>
      <c r="FHM142" s="10"/>
      <c r="FHN142" s="57"/>
      <c r="FHO142" s="10"/>
      <c r="FHP142" s="57"/>
      <c r="FHQ142" s="10"/>
      <c r="FHR142" s="57"/>
      <c r="FHS142" s="10"/>
      <c r="FHT142" s="57"/>
      <c r="FHU142" s="10"/>
      <c r="FHV142" s="57"/>
      <c r="FHW142" s="10"/>
      <c r="FHX142" s="57"/>
      <c r="FHY142" s="10"/>
      <c r="FHZ142" s="57"/>
      <c r="FIA142" s="10"/>
      <c r="FIB142" s="57"/>
      <c r="FIC142" s="10"/>
      <c r="FID142" s="57"/>
      <c r="FIE142" s="10"/>
      <c r="FIF142" s="57"/>
      <c r="FIG142" s="10"/>
      <c r="FIH142" s="57"/>
      <c r="FII142" s="10"/>
      <c r="FIJ142" s="57"/>
      <c r="FIK142" s="10"/>
      <c r="FIL142" s="57"/>
      <c r="FIM142" s="10"/>
      <c r="FIN142" s="57"/>
      <c r="FIO142" s="10"/>
      <c r="FIP142" s="57"/>
      <c r="FIQ142" s="10"/>
      <c r="FIR142" s="57"/>
      <c r="FIS142" s="10"/>
      <c r="FIT142" s="57"/>
      <c r="FIU142" s="10"/>
      <c r="FIV142" s="57"/>
      <c r="FIW142" s="10"/>
      <c r="FIX142" s="57"/>
      <c r="FIY142" s="10"/>
      <c r="FIZ142" s="57"/>
      <c r="FJA142" s="10"/>
      <c r="FJB142" s="57"/>
      <c r="FJC142" s="10"/>
      <c r="FJD142" s="57"/>
      <c r="FJE142" s="10"/>
      <c r="FJF142" s="57"/>
      <c r="FJG142" s="10"/>
      <c r="FJH142" s="57"/>
      <c r="FJI142" s="10"/>
      <c r="FJJ142" s="57"/>
      <c r="FJK142" s="10"/>
      <c r="FJL142" s="57"/>
      <c r="FJM142" s="10"/>
      <c r="FJN142" s="57"/>
      <c r="FJO142" s="10"/>
      <c r="FJP142" s="57"/>
      <c r="FJQ142" s="10"/>
      <c r="FJR142" s="57"/>
      <c r="FJS142" s="10"/>
      <c r="FJT142" s="57"/>
      <c r="FJU142" s="10"/>
      <c r="FJV142" s="57"/>
      <c r="FJW142" s="10"/>
      <c r="FJX142" s="57"/>
      <c r="FJY142" s="10"/>
      <c r="FJZ142" s="57"/>
      <c r="FKA142" s="10"/>
      <c r="FKB142" s="57"/>
      <c r="FKC142" s="10"/>
      <c r="FKD142" s="57"/>
      <c r="FKE142" s="10"/>
      <c r="FKF142" s="57"/>
      <c r="FKG142" s="10"/>
      <c r="FKH142" s="57"/>
      <c r="FKI142" s="10"/>
      <c r="FKJ142" s="57"/>
      <c r="FKK142" s="10"/>
      <c r="FKL142" s="57"/>
      <c r="FKM142" s="10"/>
      <c r="FKN142" s="57"/>
      <c r="FKO142" s="10"/>
      <c r="FKP142" s="57"/>
      <c r="FKQ142" s="10"/>
      <c r="FKR142" s="57"/>
      <c r="FKS142" s="10"/>
      <c r="FKT142" s="57"/>
      <c r="FKU142" s="10"/>
      <c r="FKV142" s="57"/>
      <c r="FKW142" s="10"/>
      <c r="FKX142" s="57"/>
      <c r="FKY142" s="10"/>
      <c r="FKZ142" s="57"/>
      <c r="FLA142" s="10"/>
      <c r="FLB142" s="57"/>
      <c r="FLC142" s="10"/>
      <c r="FLD142" s="57"/>
      <c r="FLE142" s="10"/>
      <c r="FLF142" s="57"/>
      <c r="FLG142" s="10"/>
      <c r="FLH142" s="57"/>
      <c r="FLI142" s="10"/>
      <c r="FLJ142" s="57"/>
      <c r="FLK142" s="10"/>
      <c r="FLL142" s="57"/>
      <c r="FLM142" s="10"/>
      <c r="FLN142" s="57"/>
      <c r="FLO142" s="10"/>
      <c r="FLP142" s="57"/>
      <c r="FLQ142" s="10"/>
      <c r="FLR142" s="57"/>
      <c r="FLS142" s="10"/>
      <c r="FLT142" s="57"/>
      <c r="FLU142" s="10"/>
      <c r="FLV142" s="57"/>
      <c r="FLW142" s="10"/>
      <c r="FLX142" s="57"/>
      <c r="FLY142" s="10"/>
      <c r="FLZ142" s="57"/>
      <c r="FMA142" s="10"/>
      <c r="FMB142" s="57"/>
      <c r="FMC142" s="10"/>
      <c r="FMD142" s="57"/>
      <c r="FME142" s="10"/>
      <c r="FMF142" s="57"/>
      <c r="FMG142" s="10"/>
      <c r="FMH142" s="57"/>
      <c r="FMI142" s="10"/>
      <c r="FMJ142" s="57"/>
      <c r="FMK142" s="10"/>
      <c r="FML142" s="57"/>
      <c r="FMM142" s="10"/>
      <c r="FMN142" s="57"/>
      <c r="FMO142" s="10"/>
      <c r="FMP142" s="57"/>
      <c r="FMQ142" s="10"/>
      <c r="FMR142" s="57"/>
      <c r="FMS142" s="10"/>
      <c r="FMT142" s="57"/>
      <c r="FMU142" s="10"/>
      <c r="FMV142" s="57"/>
      <c r="FMW142" s="10"/>
      <c r="FMX142" s="57"/>
      <c r="FMY142" s="10"/>
      <c r="FMZ142" s="57"/>
      <c r="FNA142" s="10"/>
      <c r="FNB142" s="57"/>
      <c r="FNC142" s="10"/>
      <c r="FND142" s="57"/>
      <c r="FNE142" s="10"/>
      <c r="FNF142" s="57"/>
      <c r="FNG142" s="10"/>
      <c r="FNH142" s="57"/>
      <c r="FNI142" s="10"/>
      <c r="FNJ142" s="57"/>
      <c r="FNK142" s="10"/>
      <c r="FNL142" s="57"/>
      <c r="FNM142" s="10"/>
      <c r="FNN142" s="57"/>
      <c r="FNO142" s="10"/>
      <c r="FNP142" s="57"/>
      <c r="FNQ142" s="10"/>
      <c r="FNR142" s="57"/>
      <c r="FNS142" s="10"/>
      <c r="FNT142" s="57"/>
      <c r="FNU142" s="10"/>
      <c r="FNV142" s="57"/>
      <c r="FNW142" s="10"/>
      <c r="FNX142" s="57"/>
      <c r="FNY142" s="10"/>
      <c r="FNZ142" s="57"/>
      <c r="FOA142" s="10"/>
      <c r="FOB142" s="57"/>
      <c r="FOC142" s="10"/>
      <c r="FOD142" s="57"/>
      <c r="FOE142" s="10"/>
      <c r="FOF142" s="57"/>
      <c r="FOG142" s="10"/>
      <c r="FOH142" s="57"/>
      <c r="FOI142" s="10"/>
      <c r="FOJ142" s="57"/>
      <c r="FOK142" s="10"/>
      <c r="FOL142" s="57"/>
      <c r="FOM142" s="10"/>
      <c r="FON142" s="57"/>
      <c r="FOO142" s="10"/>
      <c r="FOP142" s="57"/>
      <c r="FOQ142" s="10"/>
      <c r="FOR142" s="57"/>
      <c r="FOS142" s="10"/>
      <c r="FOT142" s="57"/>
      <c r="FOU142" s="10"/>
      <c r="FOV142" s="57"/>
      <c r="FOW142" s="10"/>
      <c r="FOX142" s="57"/>
      <c r="FOY142" s="10"/>
      <c r="FOZ142" s="57"/>
      <c r="FPA142" s="10"/>
      <c r="FPB142" s="57"/>
      <c r="FPC142" s="10"/>
      <c r="FPD142" s="57"/>
      <c r="FPE142" s="10"/>
      <c r="FPF142" s="57"/>
      <c r="FPG142" s="10"/>
      <c r="FPH142" s="57"/>
      <c r="FPI142" s="10"/>
      <c r="FPJ142" s="57"/>
      <c r="FPK142" s="10"/>
      <c r="FPL142" s="57"/>
      <c r="FPM142" s="10"/>
      <c r="FPN142" s="57"/>
      <c r="FPO142" s="10"/>
      <c r="FPP142" s="57"/>
      <c r="FPQ142" s="10"/>
      <c r="FPR142" s="57"/>
      <c r="FPS142" s="10"/>
      <c r="FPT142" s="57"/>
      <c r="FPU142" s="10"/>
      <c r="FPV142" s="57"/>
      <c r="FPW142" s="10"/>
      <c r="FPX142" s="57"/>
      <c r="FPY142" s="10"/>
      <c r="FPZ142" s="57"/>
      <c r="FQA142" s="10"/>
      <c r="FQB142" s="57"/>
      <c r="FQC142" s="10"/>
      <c r="FQD142" s="57"/>
      <c r="FQE142" s="10"/>
      <c r="FQF142" s="57"/>
      <c r="FQG142" s="10"/>
      <c r="FQH142" s="57"/>
      <c r="FQI142" s="10"/>
      <c r="FQJ142" s="57"/>
      <c r="FQK142" s="10"/>
      <c r="FQL142" s="57"/>
      <c r="FQM142" s="10"/>
      <c r="FQN142" s="57"/>
      <c r="FQO142" s="10"/>
      <c r="FQP142" s="57"/>
      <c r="FQQ142" s="10"/>
      <c r="FQR142" s="57"/>
      <c r="FQS142" s="10"/>
      <c r="FQT142" s="57"/>
      <c r="FQU142" s="10"/>
      <c r="FQV142" s="57"/>
      <c r="FQW142" s="10"/>
      <c r="FQX142" s="57"/>
      <c r="FQY142" s="10"/>
      <c r="FQZ142" s="57"/>
      <c r="FRA142" s="10"/>
      <c r="FRB142" s="57"/>
      <c r="FRC142" s="10"/>
      <c r="FRD142" s="57"/>
      <c r="FRE142" s="10"/>
      <c r="FRF142" s="57"/>
      <c r="FRG142" s="10"/>
      <c r="FRH142" s="57"/>
      <c r="FRI142" s="10"/>
      <c r="FRJ142" s="57"/>
      <c r="FRK142" s="10"/>
      <c r="FRL142" s="57"/>
      <c r="FRM142" s="10"/>
      <c r="FRN142" s="57"/>
      <c r="FRO142" s="10"/>
      <c r="FRP142" s="57"/>
      <c r="FRQ142" s="10"/>
      <c r="FRR142" s="57"/>
      <c r="FRS142" s="10"/>
      <c r="FRT142" s="57"/>
      <c r="FRU142" s="10"/>
      <c r="FRV142" s="57"/>
      <c r="FRW142" s="10"/>
      <c r="FRX142" s="57"/>
      <c r="FRY142" s="10"/>
      <c r="FRZ142" s="57"/>
      <c r="FSA142" s="10"/>
      <c r="FSB142" s="57"/>
      <c r="FSC142" s="10"/>
      <c r="FSD142" s="57"/>
      <c r="FSE142" s="10"/>
      <c r="FSF142" s="57"/>
      <c r="FSG142" s="10"/>
      <c r="FSH142" s="57"/>
      <c r="FSI142" s="10"/>
      <c r="FSJ142" s="57"/>
      <c r="FSK142" s="10"/>
      <c r="FSL142" s="57"/>
      <c r="FSM142" s="10"/>
      <c r="FSN142" s="57"/>
      <c r="FSO142" s="10"/>
      <c r="FSP142" s="57"/>
      <c r="FSQ142" s="10"/>
      <c r="FSR142" s="57"/>
      <c r="FSS142" s="10"/>
      <c r="FST142" s="57"/>
      <c r="FSU142" s="10"/>
      <c r="FSV142" s="57"/>
      <c r="FSW142" s="10"/>
      <c r="FSX142" s="57"/>
      <c r="FSY142" s="10"/>
      <c r="FSZ142" s="57"/>
      <c r="FTA142" s="10"/>
      <c r="FTB142" s="57"/>
      <c r="FTC142" s="10"/>
      <c r="FTD142" s="57"/>
      <c r="FTE142" s="10"/>
      <c r="FTF142" s="57"/>
      <c r="FTG142" s="10"/>
      <c r="FTH142" s="57"/>
      <c r="FTI142" s="10"/>
      <c r="FTJ142" s="57"/>
      <c r="FTK142" s="10"/>
      <c r="FTL142" s="57"/>
      <c r="FTM142" s="10"/>
      <c r="FTN142" s="57"/>
      <c r="FTO142" s="10"/>
      <c r="FTP142" s="57"/>
      <c r="FTQ142" s="10"/>
      <c r="FTR142" s="57"/>
      <c r="FTS142" s="10"/>
      <c r="FTT142" s="57"/>
      <c r="FTU142" s="10"/>
      <c r="FTV142" s="57"/>
      <c r="FTW142" s="10"/>
      <c r="FTX142" s="57"/>
      <c r="FTY142" s="10"/>
      <c r="FTZ142" s="57"/>
      <c r="FUA142" s="10"/>
      <c r="FUB142" s="57"/>
      <c r="FUC142" s="10"/>
      <c r="FUD142" s="57"/>
      <c r="FUE142" s="10"/>
      <c r="FUF142" s="57"/>
      <c r="FUG142" s="10"/>
      <c r="FUH142" s="57"/>
      <c r="FUI142" s="10"/>
      <c r="FUJ142" s="57"/>
      <c r="FUK142" s="10"/>
      <c r="FUL142" s="57"/>
      <c r="FUM142" s="10"/>
      <c r="FUN142" s="57"/>
      <c r="FUO142" s="10"/>
      <c r="FUP142" s="57"/>
      <c r="FUQ142" s="10"/>
      <c r="FUR142" s="57"/>
      <c r="FUS142" s="10"/>
      <c r="FUT142" s="57"/>
      <c r="FUU142" s="10"/>
      <c r="FUV142" s="57"/>
      <c r="FUW142" s="10"/>
      <c r="FUX142" s="57"/>
      <c r="FUY142" s="10"/>
      <c r="FUZ142" s="57"/>
      <c r="FVA142" s="10"/>
      <c r="FVB142" s="57"/>
      <c r="FVC142" s="10"/>
      <c r="FVD142" s="57"/>
      <c r="FVE142" s="10"/>
      <c r="FVF142" s="57"/>
      <c r="FVG142" s="10"/>
      <c r="FVH142" s="57"/>
      <c r="FVI142" s="10"/>
      <c r="FVJ142" s="57"/>
      <c r="FVK142" s="10"/>
      <c r="FVL142" s="57"/>
      <c r="FVM142" s="10"/>
      <c r="FVN142" s="57"/>
      <c r="FVO142" s="10"/>
      <c r="FVP142" s="57"/>
      <c r="FVQ142" s="10"/>
      <c r="FVR142" s="57"/>
      <c r="FVS142" s="10"/>
      <c r="FVT142" s="57"/>
      <c r="FVU142" s="10"/>
      <c r="FVV142" s="57"/>
      <c r="FVW142" s="10"/>
      <c r="FVX142" s="57"/>
      <c r="FVY142" s="10"/>
      <c r="FVZ142" s="57"/>
      <c r="FWA142" s="10"/>
      <c r="FWB142" s="57"/>
      <c r="FWC142" s="10"/>
      <c r="FWD142" s="57"/>
      <c r="FWE142" s="10"/>
      <c r="FWF142" s="57"/>
      <c r="FWG142" s="10"/>
      <c r="FWH142" s="57"/>
      <c r="FWI142" s="10"/>
      <c r="FWJ142" s="57"/>
      <c r="FWK142" s="10"/>
      <c r="FWL142" s="57"/>
      <c r="FWM142" s="10"/>
      <c r="FWN142" s="57"/>
      <c r="FWO142" s="10"/>
      <c r="FWP142" s="57"/>
      <c r="FWQ142" s="10"/>
      <c r="FWR142" s="57"/>
      <c r="FWS142" s="10"/>
      <c r="FWT142" s="57"/>
      <c r="FWU142" s="10"/>
      <c r="FWV142" s="57"/>
      <c r="FWW142" s="10"/>
      <c r="FWX142" s="57"/>
      <c r="FWY142" s="10"/>
      <c r="FWZ142" s="57"/>
      <c r="FXA142" s="10"/>
      <c r="FXB142" s="57"/>
      <c r="FXC142" s="10"/>
      <c r="FXD142" s="57"/>
      <c r="FXE142" s="10"/>
      <c r="FXF142" s="57"/>
      <c r="FXG142" s="10"/>
      <c r="FXH142" s="57"/>
      <c r="FXI142" s="10"/>
      <c r="FXJ142" s="57"/>
      <c r="FXK142" s="10"/>
      <c r="FXL142" s="57"/>
      <c r="FXM142" s="10"/>
      <c r="FXN142" s="57"/>
      <c r="FXO142" s="10"/>
      <c r="FXP142" s="57"/>
      <c r="FXQ142" s="10"/>
      <c r="FXR142" s="57"/>
      <c r="FXS142" s="10"/>
      <c r="FXT142" s="57"/>
      <c r="FXU142" s="10"/>
      <c r="FXV142" s="57"/>
      <c r="FXW142" s="10"/>
      <c r="FXX142" s="57"/>
      <c r="FXY142" s="10"/>
      <c r="FXZ142" s="57"/>
      <c r="FYA142" s="10"/>
      <c r="FYB142" s="57"/>
      <c r="FYC142" s="10"/>
      <c r="FYD142" s="57"/>
      <c r="FYE142" s="10"/>
      <c r="FYF142" s="57"/>
      <c r="FYG142" s="10"/>
      <c r="FYH142" s="57"/>
      <c r="FYI142" s="10"/>
      <c r="FYJ142" s="57"/>
      <c r="FYK142" s="10"/>
      <c r="FYL142" s="57"/>
      <c r="FYM142" s="10"/>
      <c r="FYN142" s="57"/>
      <c r="FYO142" s="10"/>
      <c r="FYP142" s="57"/>
      <c r="FYQ142" s="10"/>
      <c r="FYR142" s="57"/>
      <c r="FYS142" s="10"/>
      <c r="FYT142" s="57"/>
      <c r="FYU142" s="10"/>
      <c r="FYV142" s="57"/>
      <c r="FYW142" s="10"/>
      <c r="FYX142" s="57"/>
      <c r="FYY142" s="10"/>
      <c r="FYZ142" s="57"/>
      <c r="FZA142" s="10"/>
      <c r="FZB142" s="57"/>
      <c r="FZC142" s="10"/>
      <c r="FZD142" s="57"/>
      <c r="FZE142" s="10"/>
      <c r="FZF142" s="57"/>
      <c r="FZG142" s="10"/>
      <c r="FZH142" s="57"/>
      <c r="FZI142" s="10"/>
      <c r="FZJ142" s="57"/>
      <c r="FZK142" s="10"/>
      <c r="FZL142" s="57"/>
      <c r="FZM142" s="10"/>
      <c r="FZN142" s="57"/>
      <c r="FZO142" s="10"/>
      <c r="FZP142" s="57"/>
      <c r="FZQ142" s="10"/>
      <c r="FZR142" s="57"/>
      <c r="FZS142" s="10"/>
      <c r="FZT142" s="57"/>
      <c r="FZU142" s="10"/>
      <c r="FZV142" s="57"/>
      <c r="FZW142" s="10"/>
      <c r="FZX142" s="57"/>
      <c r="FZY142" s="10"/>
      <c r="FZZ142" s="57"/>
      <c r="GAA142" s="10"/>
      <c r="GAB142" s="57"/>
      <c r="GAC142" s="10"/>
      <c r="GAD142" s="57"/>
      <c r="GAE142" s="10"/>
      <c r="GAF142" s="57"/>
      <c r="GAG142" s="10"/>
      <c r="GAH142" s="57"/>
      <c r="GAI142" s="10"/>
      <c r="GAJ142" s="57"/>
      <c r="GAK142" s="10"/>
      <c r="GAL142" s="57"/>
      <c r="GAM142" s="10"/>
      <c r="GAN142" s="57"/>
      <c r="GAO142" s="10"/>
      <c r="GAP142" s="57"/>
      <c r="GAQ142" s="10"/>
      <c r="GAR142" s="57"/>
      <c r="GAS142" s="10"/>
      <c r="GAT142" s="57"/>
      <c r="GAU142" s="10"/>
      <c r="GAV142" s="57"/>
      <c r="GAW142" s="10"/>
      <c r="GAX142" s="57"/>
      <c r="GAY142" s="10"/>
      <c r="GAZ142" s="57"/>
      <c r="GBA142" s="10"/>
      <c r="GBB142" s="57"/>
      <c r="GBC142" s="10"/>
      <c r="GBD142" s="57"/>
      <c r="GBE142" s="10"/>
      <c r="GBF142" s="57"/>
      <c r="GBG142" s="10"/>
      <c r="GBH142" s="57"/>
      <c r="GBI142" s="10"/>
      <c r="GBJ142" s="57"/>
      <c r="GBK142" s="10"/>
      <c r="GBL142" s="57"/>
      <c r="GBM142" s="10"/>
      <c r="GBN142" s="57"/>
      <c r="GBO142" s="10"/>
      <c r="GBP142" s="57"/>
      <c r="GBQ142" s="10"/>
      <c r="GBR142" s="57"/>
      <c r="GBS142" s="10"/>
      <c r="GBT142" s="57"/>
      <c r="GBU142" s="10"/>
      <c r="GBV142" s="57"/>
      <c r="GBW142" s="10"/>
      <c r="GBX142" s="57"/>
      <c r="GBY142" s="10"/>
      <c r="GBZ142" s="57"/>
      <c r="GCA142" s="10"/>
      <c r="GCB142" s="57"/>
      <c r="GCC142" s="10"/>
      <c r="GCD142" s="57"/>
      <c r="GCE142" s="10"/>
      <c r="GCF142" s="57"/>
      <c r="GCG142" s="10"/>
      <c r="GCH142" s="57"/>
      <c r="GCI142" s="10"/>
      <c r="GCJ142" s="57"/>
      <c r="GCK142" s="10"/>
      <c r="GCL142" s="57"/>
      <c r="GCM142" s="10"/>
      <c r="GCN142" s="57"/>
      <c r="GCO142" s="10"/>
      <c r="GCP142" s="57"/>
      <c r="GCQ142" s="10"/>
      <c r="GCR142" s="57"/>
      <c r="GCS142" s="10"/>
      <c r="GCT142" s="57"/>
      <c r="GCU142" s="10"/>
      <c r="GCV142" s="57"/>
      <c r="GCW142" s="10"/>
      <c r="GCX142" s="57"/>
      <c r="GCY142" s="10"/>
      <c r="GCZ142" s="57"/>
      <c r="GDA142" s="10"/>
      <c r="GDB142" s="57"/>
      <c r="GDC142" s="10"/>
      <c r="GDD142" s="57"/>
      <c r="GDE142" s="10"/>
      <c r="GDF142" s="57"/>
      <c r="GDG142" s="10"/>
      <c r="GDH142" s="57"/>
      <c r="GDI142" s="10"/>
      <c r="GDJ142" s="57"/>
      <c r="GDK142" s="10"/>
      <c r="GDL142" s="57"/>
      <c r="GDM142" s="10"/>
      <c r="GDN142" s="57"/>
      <c r="GDO142" s="10"/>
      <c r="GDP142" s="57"/>
      <c r="GDQ142" s="10"/>
      <c r="GDR142" s="57"/>
      <c r="GDS142" s="10"/>
      <c r="GDT142" s="57"/>
      <c r="GDU142" s="10"/>
      <c r="GDV142" s="57"/>
      <c r="GDW142" s="10"/>
      <c r="GDX142" s="57"/>
      <c r="GDY142" s="10"/>
      <c r="GDZ142" s="57"/>
      <c r="GEA142" s="10"/>
      <c r="GEB142" s="57"/>
      <c r="GEC142" s="10"/>
      <c r="GED142" s="57"/>
      <c r="GEE142" s="10"/>
      <c r="GEF142" s="57"/>
      <c r="GEG142" s="10"/>
      <c r="GEH142" s="57"/>
      <c r="GEI142" s="10"/>
      <c r="GEJ142" s="57"/>
      <c r="GEK142" s="10"/>
      <c r="GEL142" s="57"/>
      <c r="GEM142" s="10"/>
      <c r="GEN142" s="57"/>
      <c r="GEO142" s="10"/>
      <c r="GEP142" s="57"/>
      <c r="GEQ142" s="10"/>
      <c r="GER142" s="57"/>
      <c r="GES142" s="10"/>
      <c r="GET142" s="57"/>
      <c r="GEU142" s="10"/>
      <c r="GEV142" s="57"/>
      <c r="GEW142" s="10"/>
      <c r="GEX142" s="57"/>
      <c r="GEY142" s="10"/>
      <c r="GEZ142" s="57"/>
      <c r="GFA142" s="10"/>
      <c r="GFB142" s="57"/>
      <c r="GFC142" s="10"/>
      <c r="GFD142" s="57"/>
      <c r="GFE142" s="10"/>
      <c r="GFF142" s="57"/>
      <c r="GFG142" s="10"/>
      <c r="GFH142" s="57"/>
      <c r="GFI142" s="10"/>
      <c r="GFJ142" s="57"/>
      <c r="GFK142" s="10"/>
      <c r="GFL142" s="57"/>
      <c r="GFM142" s="10"/>
      <c r="GFN142" s="57"/>
      <c r="GFO142" s="10"/>
      <c r="GFP142" s="57"/>
      <c r="GFQ142" s="10"/>
      <c r="GFR142" s="57"/>
      <c r="GFS142" s="10"/>
      <c r="GFT142" s="57"/>
      <c r="GFU142" s="10"/>
      <c r="GFV142" s="57"/>
      <c r="GFW142" s="10"/>
      <c r="GFX142" s="57"/>
      <c r="GFY142" s="10"/>
      <c r="GFZ142" s="57"/>
      <c r="GGA142" s="10"/>
      <c r="GGB142" s="57"/>
      <c r="GGC142" s="10"/>
      <c r="GGD142" s="57"/>
      <c r="GGE142" s="10"/>
      <c r="GGF142" s="57"/>
      <c r="GGG142" s="10"/>
      <c r="GGH142" s="57"/>
      <c r="GGI142" s="10"/>
      <c r="GGJ142" s="57"/>
      <c r="GGK142" s="10"/>
      <c r="GGL142" s="57"/>
      <c r="GGM142" s="10"/>
      <c r="GGN142" s="57"/>
      <c r="GGO142" s="10"/>
      <c r="GGP142" s="57"/>
      <c r="GGQ142" s="10"/>
      <c r="GGR142" s="57"/>
      <c r="GGS142" s="10"/>
      <c r="GGT142" s="57"/>
      <c r="GGU142" s="10"/>
      <c r="GGV142" s="57"/>
      <c r="GGW142" s="10"/>
      <c r="GGX142" s="57"/>
      <c r="GGY142" s="10"/>
      <c r="GGZ142" s="57"/>
      <c r="GHA142" s="10"/>
      <c r="GHB142" s="57"/>
      <c r="GHC142" s="10"/>
      <c r="GHD142" s="57"/>
      <c r="GHE142" s="10"/>
      <c r="GHF142" s="57"/>
      <c r="GHG142" s="10"/>
      <c r="GHH142" s="57"/>
      <c r="GHI142" s="10"/>
      <c r="GHJ142" s="57"/>
      <c r="GHK142" s="10"/>
      <c r="GHL142" s="57"/>
      <c r="GHM142" s="10"/>
      <c r="GHN142" s="57"/>
      <c r="GHO142" s="10"/>
      <c r="GHP142" s="57"/>
      <c r="GHQ142" s="10"/>
      <c r="GHR142" s="57"/>
      <c r="GHS142" s="10"/>
      <c r="GHT142" s="57"/>
      <c r="GHU142" s="10"/>
      <c r="GHV142" s="57"/>
      <c r="GHW142" s="10"/>
      <c r="GHX142" s="57"/>
      <c r="GHY142" s="10"/>
      <c r="GHZ142" s="57"/>
      <c r="GIA142" s="10"/>
      <c r="GIB142" s="57"/>
      <c r="GIC142" s="10"/>
      <c r="GID142" s="57"/>
      <c r="GIE142" s="10"/>
      <c r="GIF142" s="57"/>
      <c r="GIG142" s="10"/>
      <c r="GIH142" s="57"/>
      <c r="GII142" s="10"/>
      <c r="GIJ142" s="57"/>
      <c r="GIK142" s="10"/>
      <c r="GIL142" s="57"/>
      <c r="GIM142" s="10"/>
      <c r="GIN142" s="57"/>
      <c r="GIO142" s="10"/>
      <c r="GIP142" s="57"/>
      <c r="GIQ142" s="10"/>
      <c r="GIR142" s="57"/>
      <c r="GIS142" s="10"/>
      <c r="GIT142" s="57"/>
      <c r="GIU142" s="10"/>
      <c r="GIV142" s="57"/>
      <c r="GIW142" s="10"/>
      <c r="GIX142" s="57"/>
      <c r="GIY142" s="10"/>
      <c r="GIZ142" s="57"/>
      <c r="GJA142" s="10"/>
      <c r="GJB142" s="57"/>
      <c r="GJC142" s="10"/>
      <c r="GJD142" s="57"/>
      <c r="GJE142" s="10"/>
      <c r="GJF142" s="57"/>
      <c r="GJG142" s="10"/>
      <c r="GJH142" s="57"/>
      <c r="GJI142" s="10"/>
      <c r="GJJ142" s="57"/>
      <c r="GJK142" s="10"/>
      <c r="GJL142" s="57"/>
      <c r="GJM142" s="10"/>
      <c r="GJN142" s="57"/>
      <c r="GJO142" s="10"/>
      <c r="GJP142" s="57"/>
      <c r="GJQ142" s="10"/>
      <c r="GJR142" s="57"/>
      <c r="GJS142" s="10"/>
      <c r="GJT142" s="57"/>
      <c r="GJU142" s="10"/>
      <c r="GJV142" s="57"/>
      <c r="GJW142" s="10"/>
      <c r="GJX142" s="57"/>
      <c r="GJY142" s="10"/>
      <c r="GJZ142" s="57"/>
      <c r="GKA142" s="10"/>
      <c r="GKB142" s="57"/>
      <c r="GKC142" s="10"/>
      <c r="GKD142" s="57"/>
      <c r="GKE142" s="10"/>
      <c r="GKF142" s="57"/>
      <c r="GKG142" s="10"/>
      <c r="GKH142" s="57"/>
      <c r="GKI142" s="10"/>
      <c r="GKJ142" s="57"/>
      <c r="GKK142" s="10"/>
      <c r="GKL142" s="57"/>
      <c r="GKM142" s="10"/>
      <c r="GKN142" s="57"/>
      <c r="GKO142" s="10"/>
      <c r="GKP142" s="57"/>
      <c r="GKQ142" s="10"/>
      <c r="GKR142" s="57"/>
      <c r="GKS142" s="10"/>
      <c r="GKT142" s="57"/>
      <c r="GKU142" s="10"/>
      <c r="GKV142" s="57"/>
      <c r="GKW142" s="10"/>
      <c r="GKX142" s="57"/>
      <c r="GKY142" s="10"/>
      <c r="GKZ142" s="57"/>
      <c r="GLA142" s="10"/>
      <c r="GLB142" s="57"/>
      <c r="GLC142" s="10"/>
      <c r="GLD142" s="57"/>
      <c r="GLE142" s="10"/>
      <c r="GLF142" s="57"/>
      <c r="GLG142" s="10"/>
      <c r="GLH142" s="57"/>
      <c r="GLI142" s="10"/>
      <c r="GLJ142" s="57"/>
      <c r="GLK142" s="10"/>
      <c r="GLL142" s="57"/>
      <c r="GLM142" s="10"/>
      <c r="GLN142" s="57"/>
      <c r="GLO142" s="10"/>
      <c r="GLP142" s="57"/>
      <c r="GLQ142" s="10"/>
      <c r="GLR142" s="57"/>
      <c r="GLS142" s="10"/>
      <c r="GLT142" s="57"/>
      <c r="GLU142" s="10"/>
      <c r="GLV142" s="57"/>
      <c r="GLW142" s="10"/>
      <c r="GLX142" s="57"/>
      <c r="GLY142" s="10"/>
      <c r="GLZ142" s="57"/>
      <c r="GMA142" s="10"/>
      <c r="GMB142" s="57"/>
      <c r="GMC142" s="10"/>
      <c r="GMD142" s="57"/>
      <c r="GME142" s="10"/>
      <c r="GMF142" s="57"/>
      <c r="GMG142" s="10"/>
      <c r="GMH142" s="57"/>
      <c r="GMI142" s="10"/>
      <c r="GMJ142" s="57"/>
      <c r="GMK142" s="10"/>
      <c r="GML142" s="57"/>
      <c r="GMM142" s="10"/>
      <c r="GMN142" s="57"/>
      <c r="GMO142" s="10"/>
      <c r="GMP142" s="57"/>
      <c r="GMQ142" s="10"/>
      <c r="GMR142" s="57"/>
      <c r="GMS142" s="10"/>
      <c r="GMT142" s="57"/>
      <c r="GMU142" s="10"/>
      <c r="GMV142" s="57"/>
      <c r="GMW142" s="10"/>
      <c r="GMX142" s="57"/>
      <c r="GMY142" s="10"/>
      <c r="GMZ142" s="57"/>
      <c r="GNA142" s="10"/>
      <c r="GNB142" s="57"/>
      <c r="GNC142" s="10"/>
      <c r="GND142" s="57"/>
      <c r="GNE142" s="10"/>
      <c r="GNF142" s="57"/>
      <c r="GNG142" s="10"/>
      <c r="GNH142" s="57"/>
      <c r="GNI142" s="10"/>
      <c r="GNJ142" s="57"/>
      <c r="GNK142" s="10"/>
      <c r="GNL142" s="57"/>
      <c r="GNM142" s="10"/>
      <c r="GNN142" s="57"/>
      <c r="GNO142" s="10"/>
      <c r="GNP142" s="57"/>
      <c r="GNQ142" s="10"/>
      <c r="GNR142" s="57"/>
      <c r="GNS142" s="10"/>
      <c r="GNT142" s="57"/>
      <c r="GNU142" s="10"/>
      <c r="GNV142" s="57"/>
      <c r="GNW142" s="10"/>
      <c r="GNX142" s="57"/>
      <c r="GNY142" s="10"/>
      <c r="GNZ142" s="57"/>
      <c r="GOA142" s="10"/>
      <c r="GOB142" s="57"/>
      <c r="GOC142" s="10"/>
      <c r="GOD142" s="57"/>
      <c r="GOE142" s="10"/>
      <c r="GOF142" s="57"/>
      <c r="GOG142" s="10"/>
      <c r="GOH142" s="57"/>
      <c r="GOI142" s="10"/>
      <c r="GOJ142" s="57"/>
      <c r="GOK142" s="10"/>
      <c r="GOL142" s="57"/>
      <c r="GOM142" s="10"/>
      <c r="GON142" s="57"/>
      <c r="GOO142" s="10"/>
      <c r="GOP142" s="57"/>
      <c r="GOQ142" s="10"/>
      <c r="GOR142" s="57"/>
      <c r="GOS142" s="10"/>
      <c r="GOT142" s="57"/>
      <c r="GOU142" s="10"/>
      <c r="GOV142" s="57"/>
      <c r="GOW142" s="10"/>
      <c r="GOX142" s="57"/>
      <c r="GOY142" s="10"/>
      <c r="GOZ142" s="57"/>
      <c r="GPA142" s="10"/>
      <c r="GPB142" s="57"/>
      <c r="GPC142" s="10"/>
      <c r="GPD142" s="57"/>
      <c r="GPE142" s="10"/>
      <c r="GPF142" s="57"/>
      <c r="GPG142" s="10"/>
      <c r="GPH142" s="57"/>
      <c r="GPI142" s="10"/>
      <c r="GPJ142" s="57"/>
      <c r="GPK142" s="10"/>
      <c r="GPL142" s="57"/>
      <c r="GPM142" s="10"/>
      <c r="GPN142" s="57"/>
      <c r="GPO142" s="10"/>
      <c r="GPP142" s="57"/>
      <c r="GPQ142" s="10"/>
      <c r="GPR142" s="57"/>
      <c r="GPS142" s="10"/>
      <c r="GPT142" s="57"/>
      <c r="GPU142" s="10"/>
      <c r="GPV142" s="57"/>
      <c r="GPW142" s="10"/>
      <c r="GPX142" s="57"/>
      <c r="GPY142" s="10"/>
      <c r="GPZ142" s="57"/>
      <c r="GQA142" s="10"/>
      <c r="GQB142" s="57"/>
      <c r="GQC142" s="10"/>
      <c r="GQD142" s="57"/>
      <c r="GQE142" s="10"/>
      <c r="GQF142" s="57"/>
      <c r="GQG142" s="10"/>
      <c r="GQH142" s="57"/>
      <c r="GQI142" s="10"/>
      <c r="GQJ142" s="57"/>
      <c r="GQK142" s="10"/>
      <c r="GQL142" s="57"/>
      <c r="GQM142" s="10"/>
      <c r="GQN142" s="57"/>
      <c r="GQO142" s="10"/>
      <c r="GQP142" s="57"/>
      <c r="GQQ142" s="10"/>
      <c r="GQR142" s="57"/>
      <c r="GQS142" s="10"/>
      <c r="GQT142" s="57"/>
      <c r="GQU142" s="10"/>
      <c r="GQV142" s="57"/>
      <c r="GQW142" s="10"/>
      <c r="GQX142" s="57"/>
      <c r="GQY142" s="10"/>
      <c r="GQZ142" s="57"/>
      <c r="GRA142" s="10"/>
      <c r="GRB142" s="57"/>
      <c r="GRC142" s="10"/>
      <c r="GRD142" s="57"/>
      <c r="GRE142" s="10"/>
      <c r="GRF142" s="57"/>
      <c r="GRG142" s="10"/>
      <c r="GRH142" s="57"/>
      <c r="GRI142" s="10"/>
      <c r="GRJ142" s="57"/>
      <c r="GRK142" s="10"/>
      <c r="GRL142" s="57"/>
      <c r="GRM142" s="10"/>
      <c r="GRN142" s="57"/>
      <c r="GRO142" s="10"/>
      <c r="GRP142" s="57"/>
      <c r="GRQ142" s="10"/>
      <c r="GRR142" s="57"/>
      <c r="GRS142" s="10"/>
      <c r="GRT142" s="57"/>
      <c r="GRU142" s="10"/>
      <c r="GRV142" s="57"/>
      <c r="GRW142" s="10"/>
      <c r="GRX142" s="57"/>
      <c r="GRY142" s="10"/>
      <c r="GRZ142" s="57"/>
      <c r="GSA142" s="10"/>
      <c r="GSB142" s="57"/>
      <c r="GSC142" s="10"/>
      <c r="GSD142" s="57"/>
      <c r="GSE142" s="10"/>
      <c r="GSF142" s="57"/>
      <c r="GSG142" s="10"/>
      <c r="GSH142" s="57"/>
      <c r="GSI142" s="10"/>
      <c r="GSJ142" s="57"/>
      <c r="GSK142" s="10"/>
      <c r="GSL142" s="57"/>
      <c r="GSM142" s="10"/>
      <c r="GSN142" s="57"/>
      <c r="GSO142" s="10"/>
      <c r="GSP142" s="57"/>
      <c r="GSQ142" s="10"/>
      <c r="GSR142" s="57"/>
      <c r="GSS142" s="10"/>
      <c r="GST142" s="57"/>
      <c r="GSU142" s="10"/>
      <c r="GSV142" s="57"/>
      <c r="GSW142" s="10"/>
      <c r="GSX142" s="57"/>
      <c r="GSY142" s="10"/>
      <c r="GSZ142" s="57"/>
      <c r="GTA142" s="10"/>
      <c r="GTB142" s="57"/>
      <c r="GTC142" s="10"/>
      <c r="GTD142" s="57"/>
      <c r="GTE142" s="10"/>
      <c r="GTF142" s="57"/>
      <c r="GTG142" s="10"/>
      <c r="GTH142" s="57"/>
      <c r="GTI142" s="10"/>
      <c r="GTJ142" s="57"/>
      <c r="GTK142" s="10"/>
      <c r="GTL142" s="57"/>
      <c r="GTM142" s="10"/>
      <c r="GTN142" s="57"/>
      <c r="GTO142" s="10"/>
      <c r="GTP142" s="57"/>
      <c r="GTQ142" s="10"/>
      <c r="GTR142" s="57"/>
      <c r="GTS142" s="10"/>
      <c r="GTT142" s="57"/>
      <c r="GTU142" s="10"/>
      <c r="GTV142" s="57"/>
      <c r="GTW142" s="10"/>
      <c r="GTX142" s="57"/>
      <c r="GTY142" s="10"/>
      <c r="GTZ142" s="57"/>
      <c r="GUA142" s="10"/>
      <c r="GUB142" s="57"/>
      <c r="GUC142" s="10"/>
      <c r="GUD142" s="57"/>
      <c r="GUE142" s="10"/>
      <c r="GUF142" s="57"/>
      <c r="GUG142" s="10"/>
      <c r="GUH142" s="57"/>
      <c r="GUI142" s="10"/>
      <c r="GUJ142" s="57"/>
      <c r="GUK142" s="10"/>
      <c r="GUL142" s="57"/>
      <c r="GUM142" s="10"/>
      <c r="GUN142" s="57"/>
      <c r="GUO142" s="10"/>
      <c r="GUP142" s="57"/>
      <c r="GUQ142" s="10"/>
      <c r="GUR142" s="57"/>
      <c r="GUS142" s="10"/>
      <c r="GUT142" s="57"/>
      <c r="GUU142" s="10"/>
      <c r="GUV142" s="57"/>
      <c r="GUW142" s="10"/>
      <c r="GUX142" s="57"/>
      <c r="GUY142" s="10"/>
      <c r="GUZ142" s="57"/>
      <c r="GVA142" s="10"/>
      <c r="GVB142" s="57"/>
      <c r="GVC142" s="10"/>
      <c r="GVD142" s="57"/>
      <c r="GVE142" s="10"/>
      <c r="GVF142" s="57"/>
      <c r="GVG142" s="10"/>
      <c r="GVH142" s="57"/>
      <c r="GVI142" s="10"/>
      <c r="GVJ142" s="57"/>
      <c r="GVK142" s="10"/>
      <c r="GVL142" s="57"/>
      <c r="GVM142" s="10"/>
      <c r="GVN142" s="57"/>
      <c r="GVO142" s="10"/>
      <c r="GVP142" s="57"/>
      <c r="GVQ142" s="10"/>
      <c r="GVR142" s="57"/>
      <c r="GVS142" s="10"/>
      <c r="GVT142" s="57"/>
      <c r="GVU142" s="10"/>
      <c r="GVV142" s="57"/>
      <c r="GVW142" s="10"/>
      <c r="GVX142" s="57"/>
      <c r="GVY142" s="10"/>
      <c r="GVZ142" s="57"/>
      <c r="GWA142" s="10"/>
      <c r="GWB142" s="57"/>
      <c r="GWC142" s="10"/>
      <c r="GWD142" s="57"/>
      <c r="GWE142" s="10"/>
      <c r="GWF142" s="57"/>
      <c r="GWG142" s="10"/>
      <c r="GWH142" s="57"/>
      <c r="GWI142" s="10"/>
      <c r="GWJ142" s="57"/>
      <c r="GWK142" s="10"/>
      <c r="GWL142" s="57"/>
      <c r="GWM142" s="10"/>
      <c r="GWN142" s="57"/>
      <c r="GWO142" s="10"/>
      <c r="GWP142" s="57"/>
      <c r="GWQ142" s="10"/>
      <c r="GWR142" s="57"/>
      <c r="GWS142" s="10"/>
      <c r="GWT142" s="57"/>
      <c r="GWU142" s="10"/>
      <c r="GWV142" s="57"/>
      <c r="GWW142" s="10"/>
      <c r="GWX142" s="57"/>
      <c r="GWY142" s="10"/>
      <c r="GWZ142" s="57"/>
      <c r="GXA142" s="10"/>
      <c r="GXB142" s="57"/>
      <c r="GXC142" s="10"/>
      <c r="GXD142" s="57"/>
      <c r="GXE142" s="10"/>
      <c r="GXF142" s="57"/>
      <c r="GXG142" s="10"/>
      <c r="GXH142" s="57"/>
      <c r="GXI142" s="10"/>
      <c r="GXJ142" s="57"/>
      <c r="GXK142" s="10"/>
      <c r="GXL142" s="57"/>
      <c r="GXM142" s="10"/>
      <c r="GXN142" s="57"/>
      <c r="GXO142" s="10"/>
      <c r="GXP142" s="57"/>
      <c r="GXQ142" s="10"/>
      <c r="GXR142" s="57"/>
      <c r="GXS142" s="10"/>
      <c r="GXT142" s="57"/>
      <c r="GXU142" s="10"/>
      <c r="GXV142" s="57"/>
      <c r="GXW142" s="10"/>
      <c r="GXX142" s="57"/>
      <c r="GXY142" s="10"/>
      <c r="GXZ142" s="57"/>
      <c r="GYA142" s="10"/>
      <c r="GYB142" s="57"/>
      <c r="GYC142" s="10"/>
      <c r="GYD142" s="57"/>
      <c r="GYE142" s="10"/>
      <c r="GYF142" s="57"/>
      <c r="GYG142" s="10"/>
      <c r="GYH142" s="57"/>
      <c r="GYI142" s="10"/>
      <c r="GYJ142" s="57"/>
      <c r="GYK142" s="10"/>
      <c r="GYL142" s="57"/>
      <c r="GYM142" s="10"/>
      <c r="GYN142" s="57"/>
      <c r="GYO142" s="10"/>
      <c r="GYP142" s="57"/>
      <c r="GYQ142" s="10"/>
      <c r="GYR142" s="57"/>
      <c r="GYS142" s="10"/>
      <c r="GYT142" s="57"/>
      <c r="GYU142" s="10"/>
      <c r="GYV142" s="57"/>
      <c r="GYW142" s="10"/>
      <c r="GYX142" s="57"/>
      <c r="GYY142" s="10"/>
      <c r="GYZ142" s="57"/>
      <c r="GZA142" s="10"/>
      <c r="GZB142" s="57"/>
      <c r="GZC142" s="10"/>
      <c r="GZD142" s="57"/>
      <c r="GZE142" s="10"/>
      <c r="GZF142" s="57"/>
      <c r="GZG142" s="10"/>
      <c r="GZH142" s="57"/>
      <c r="GZI142" s="10"/>
      <c r="GZJ142" s="57"/>
      <c r="GZK142" s="10"/>
      <c r="GZL142" s="57"/>
      <c r="GZM142" s="10"/>
      <c r="GZN142" s="57"/>
      <c r="GZO142" s="10"/>
      <c r="GZP142" s="57"/>
      <c r="GZQ142" s="10"/>
      <c r="GZR142" s="57"/>
      <c r="GZS142" s="10"/>
      <c r="GZT142" s="57"/>
      <c r="GZU142" s="10"/>
      <c r="GZV142" s="57"/>
      <c r="GZW142" s="10"/>
      <c r="GZX142" s="57"/>
      <c r="GZY142" s="10"/>
      <c r="GZZ142" s="57"/>
      <c r="HAA142" s="10"/>
      <c r="HAB142" s="57"/>
      <c r="HAC142" s="10"/>
      <c r="HAD142" s="57"/>
      <c r="HAE142" s="10"/>
      <c r="HAF142" s="57"/>
      <c r="HAG142" s="10"/>
      <c r="HAH142" s="57"/>
      <c r="HAI142" s="10"/>
      <c r="HAJ142" s="57"/>
      <c r="HAK142" s="10"/>
      <c r="HAL142" s="57"/>
      <c r="HAM142" s="10"/>
      <c r="HAN142" s="57"/>
      <c r="HAO142" s="10"/>
      <c r="HAP142" s="57"/>
      <c r="HAQ142" s="10"/>
      <c r="HAR142" s="57"/>
      <c r="HAS142" s="10"/>
      <c r="HAT142" s="57"/>
      <c r="HAU142" s="10"/>
      <c r="HAV142" s="57"/>
      <c r="HAW142" s="10"/>
      <c r="HAX142" s="57"/>
      <c r="HAY142" s="10"/>
      <c r="HAZ142" s="57"/>
      <c r="HBA142" s="10"/>
      <c r="HBB142" s="57"/>
      <c r="HBC142" s="10"/>
      <c r="HBD142" s="57"/>
      <c r="HBE142" s="10"/>
      <c r="HBF142" s="57"/>
      <c r="HBG142" s="10"/>
      <c r="HBH142" s="57"/>
      <c r="HBI142" s="10"/>
      <c r="HBJ142" s="57"/>
      <c r="HBK142" s="10"/>
      <c r="HBL142" s="57"/>
      <c r="HBM142" s="10"/>
      <c r="HBN142" s="57"/>
      <c r="HBO142" s="10"/>
      <c r="HBP142" s="57"/>
      <c r="HBQ142" s="10"/>
      <c r="HBR142" s="57"/>
      <c r="HBS142" s="10"/>
      <c r="HBT142" s="57"/>
      <c r="HBU142" s="10"/>
      <c r="HBV142" s="57"/>
      <c r="HBW142" s="10"/>
      <c r="HBX142" s="57"/>
      <c r="HBY142" s="10"/>
      <c r="HBZ142" s="57"/>
      <c r="HCA142" s="10"/>
      <c r="HCB142" s="57"/>
      <c r="HCC142" s="10"/>
      <c r="HCD142" s="57"/>
      <c r="HCE142" s="10"/>
      <c r="HCF142" s="57"/>
      <c r="HCG142" s="10"/>
      <c r="HCH142" s="57"/>
      <c r="HCI142" s="10"/>
      <c r="HCJ142" s="57"/>
      <c r="HCK142" s="10"/>
      <c r="HCL142" s="57"/>
      <c r="HCM142" s="10"/>
      <c r="HCN142" s="57"/>
      <c r="HCO142" s="10"/>
      <c r="HCP142" s="57"/>
      <c r="HCQ142" s="10"/>
      <c r="HCR142" s="57"/>
      <c r="HCS142" s="10"/>
      <c r="HCT142" s="57"/>
      <c r="HCU142" s="10"/>
      <c r="HCV142" s="57"/>
      <c r="HCW142" s="10"/>
      <c r="HCX142" s="57"/>
      <c r="HCY142" s="10"/>
      <c r="HCZ142" s="57"/>
      <c r="HDA142" s="10"/>
      <c r="HDB142" s="57"/>
      <c r="HDC142" s="10"/>
      <c r="HDD142" s="57"/>
      <c r="HDE142" s="10"/>
      <c r="HDF142" s="57"/>
      <c r="HDG142" s="10"/>
      <c r="HDH142" s="57"/>
      <c r="HDI142" s="10"/>
      <c r="HDJ142" s="57"/>
      <c r="HDK142" s="10"/>
      <c r="HDL142" s="57"/>
      <c r="HDM142" s="10"/>
      <c r="HDN142" s="57"/>
      <c r="HDO142" s="10"/>
      <c r="HDP142" s="57"/>
      <c r="HDQ142" s="10"/>
      <c r="HDR142" s="57"/>
      <c r="HDS142" s="10"/>
      <c r="HDT142" s="57"/>
      <c r="HDU142" s="10"/>
      <c r="HDV142" s="57"/>
      <c r="HDW142" s="10"/>
      <c r="HDX142" s="57"/>
      <c r="HDY142" s="10"/>
      <c r="HDZ142" s="57"/>
      <c r="HEA142" s="10"/>
      <c r="HEB142" s="57"/>
      <c r="HEC142" s="10"/>
      <c r="HED142" s="57"/>
      <c r="HEE142" s="10"/>
      <c r="HEF142" s="57"/>
      <c r="HEG142" s="10"/>
      <c r="HEH142" s="57"/>
      <c r="HEI142" s="10"/>
      <c r="HEJ142" s="57"/>
      <c r="HEK142" s="10"/>
      <c r="HEL142" s="57"/>
      <c r="HEM142" s="10"/>
      <c r="HEN142" s="57"/>
      <c r="HEO142" s="10"/>
      <c r="HEP142" s="57"/>
      <c r="HEQ142" s="10"/>
      <c r="HER142" s="57"/>
      <c r="HES142" s="10"/>
      <c r="HET142" s="57"/>
      <c r="HEU142" s="10"/>
      <c r="HEV142" s="57"/>
      <c r="HEW142" s="10"/>
      <c r="HEX142" s="57"/>
      <c r="HEY142" s="10"/>
      <c r="HEZ142" s="57"/>
      <c r="HFA142" s="10"/>
      <c r="HFB142" s="57"/>
      <c r="HFC142" s="10"/>
      <c r="HFD142" s="57"/>
      <c r="HFE142" s="10"/>
      <c r="HFF142" s="57"/>
      <c r="HFG142" s="10"/>
      <c r="HFH142" s="57"/>
      <c r="HFI142" s="10"/>
      <c r="HFJ142" s="57"/>
      <c r="HFK142" s="10"/>
      <c r="HFL142" s="57"/>
      <c r="HFM142" s="10"/>
      <c r="HFN142" s="57"/>
      <c r="HFO142" s="10"/>
      <c r="HFP142" s="57"/>
      <c r="HFQ142" s="10"/>
      <c r="HFR142" s="57"/>
      <c r="HFS142" s="10"/>
      <c r="HFT142" s="57"/>
      <c r="HFU142" s="10"/>
      <c r="HFV142" s="57"/>
      <c r="HFW142" s="10"/>
      <c r="HFX142" s="57"/>
      <c r="HFY142" s="10"/>
      <c r="HFZ142" s="57"/>
      <c r="HGA142" s="10"/>
      <c r="HGB142" s="57"/>
      <c r="HGC142" s="10"/>
      <c r="HGD142" s="57"/>
      <c r="HGE142" s="10"/>
      <c r="HGF142" s="57"/>
      <c r="HGG142" s="10"/>
      <c r="HGH142" s="57"/>
      <c r="HGI142" s="10"/>
      <c r="HGJ142" s="57"/>
      <c r="HGK142" s="10"/>
      <c r="HGL142" s="57"/>
      <c r="HGM142" s="10"/>
      <c r="HGN142" s="57"/>
      <c r="HGO142" s="10"/>
      <c r="HGP142" s="57"/>
      <c r="HGQ142" s="10"/>
      <c r="HGR142" s="57"/>
      <c r="HGS142" s="10"/>
      <c r="HGT142" s="57"/>
      <c r="HGU142" s="10"/>
      <c r="HGV142" s="57"/>
      <c r="HGW142" s="10"/>
      <c r="HGX142" s="57"/>
      <c r="HGY142" s="10"/>
      <c r="HGZ142" s="57"/>
      <c r="HHA142" s="10"/>
      <c r="HHB142" s="57"/>
      <c r="HHC142" s="10"/>
      <c r="HHD142" s="57"/>
      <c r="HHE142" s="10"/>
      <c r="HHF142" s="57"/>
      <c r="HHG142" s="10"/>
      <c r="HHH142" s="57"/>
      <c r="HHI142" s="10"/>
      <c r="HHJ142" s="57"/>
      <c r="HHK142" s="10"/>
      <c r="HHL142" s="57"/>
      <c r="HHM142" s="10"/>
      <c r="HHN142" s="57"/>
      <c r="HHO142" s="10"/>
      <c r="HHP142" s="57"/>
      <c r="HHQ142" s="10"/>
      <c r="HHR142" s="57"/>
      <c r="HHS142" s="10"/>
      <c r="HHT142" s="57"/>
      <c r="HHU142" s="10"/>
      <c r="HHV142" s="57"/>
      <c r="HHW142" s="10"/>
      <c r="HHX142" s="57"/>
      <c r="HHY142" s="10"/>
      <c r="HHZ142" s="57"/>
      <c r="HIA142" s="10"/>
      <c r="HIB142" s="57"/>
      <c r="HIC142" s="10"/>
      <c r="HID142" s="57"/>
      <c r="HIE142" s="10"/>
      <c r="HIF142" s="57"/>
      <c r="HIG142" s="10"/>
      <c r="HIH142" s="57"/>
      <c r="HII142" s="10"/>
      <c r="HIJ142" s="57"/>
      <c r="HIK142" s="10"/>
      <c r="HIL142" s="57"/>
      <c r="HIM142" s="10"/>
      <c r="HIN142" s="57"/>
      <c r="HIO142" s="10"/>
      <c r="HIP142" s="57"/>
      <c r="HIQ142" s="10"/>
      <c r="HIR142" s="57"/>
      <c r="HIS142" s="10"/>
      <c r="HIT142" s="57"/>
      <c r="HIU142" s="10"/>
      <c r="HIV142" s="57"/>
      <c r="HIW142" s="10"/>
      <c r="HIX142" s="57"/>
      <c r="HIY142" s="10"/>
      <c r="HIZ142" s="57"/>
      <c r="HJA142" s="10"/>
      <c r="HJB142" s="57"/>
      <c r="HJC142" s="10"/>
      <c r="HJD142" s="57"/>
      <c r="HJE142" s="10"/>
      <c r="HJF142" s="57"/>
      <c r="HJG142" s="10"/>
      <c r="HJH142" s="57"/>
      <c r="HJI142" s="10"/>
      <c r="HJJ142" s="57"/>
      <c r="HJK142" s="10"/>
      <c r="HJL142" s="57"/>
      <c r="HJM142" s="10"/>
      <c r="HJN142" s="57"/>
      <c r="HJO142" s="10"/>
      <c r="HJP142" s="57"/>
      <c r="HJQ142" s="10"/>
      <c r="HJR142" s="57"/>
      <c r="HJS142" s="10"/>
      <c r="HJT142" s="57"/>
      <c r="HJU142" s="10"/>
      <c r="HJV142" s="57"/>
      <c r="HJW142" s="10"/>
      <c r="HJX142" s="57"/>
      <c r="HJY142" s="10"/>
      <c r="HJZ142" s="57"/>
      <c r="HKA142" s="10"/>
      <c r="HKB142" s="57"/>
      <c r="HKC142" s="10"/>
      <c r="HKD142" s="57"/>
      <c r="HKE142" s="10"/>
      <c r="HKF142" s="57"/>
      <c r="HKG142" s="10"/>
      <c r="HKH142" s="57"/>
      <c r="HKI142" s="10"/>
      <c r="HKJ142" s="57"/>
      <c r="HKK142" s="10"/>
      <c r="HKL142" s="57"/>
      <c r="HKM142" s="10"/>
      <c r="HKN142" s="57"/>
      <c r="HKO142" s="10"/>
      <c r="HKP142" s="57"/>
      <c r="HKQ142" s="10"/>
      <c r="HKR142" s="57"/>
      <c r="HKS142" s="10"/>
      <c r="HKT142" s="57"/>
      <c r="HKU142" s="10"/>
      <c r="HKV142" s="57"/>
      <c r="HKW142" s="10"/>
      <c r="HKX142" s="57"/>
      <c r="HKY142" s="10"/>
      <c r="HKZ142" s="57"/>
      <c r="HLA142" s="10"/>
      <c r="HLB142" s="57"/>
      <c r="HLC142" s="10"/>
      <c r="HLD142" s="57"/>
      <c r="HLE142" s="10"/>
      <c r="HLF142" s="57"/>
      <c r="HLG142" s="10"/>
      <c r="HLH142" s="57"/>
      <c r="HLI142" s="10"/>
      <c r="HLJ142" s="57"/>
      <c r="HLK142" s="10"/>
      <c r="HLL142" s="57"/>
      <c r="HLM142" s="10"/>
      <c r="HLN142" s="57"/>
      <c r="HLO142" s="10"/>
      <c r="HLP142" s="57"/>
      <c r="HLQ142" s="10"/>
      <c r="HLR142" s="57"/>
      <c r="HLS142" s="10"/>
      <c r="HLT142" s="57"/>
      <c r="HLU142" s="10"/>
      <c r="HLV142" s="57"/>
      <c r="HLW142" s="10"/>
      <c r="HLX142" s="57"/>
      <c r="HLY142" s="10"/>
      <c r="HLZ142" s="57"/>
      <c r="HMA142" s="10"/>
      <c r="HMB142" s="57"/>
      <c r="HMC142" s="10"/>
      <c r="HMD142" s="57"/>
      <c r="HME142" s="10"/>
      <c r="HMF142" s="57"/>
      <c r="HMG142" s="10"/>
      <c r="HMH142" s="57"/>
      <c r="HMI142" s="10"/>
      <c r="HMJ142" s="57"/>
      <c r="HMK142" s="10"/>
      <c r="HML142" s="57"/>
      <c r="HMM142" s="10"/>
      <c r="HMN142" s="57"/>
      <c r="HMO142" s="10"/>
      <c r="HMP142" s="57"/>
      <c r="HMQ142" s="10"/>
      <c r="HMR142" s="57"/>
      <c r="HMS142" s="10"/>
      <c r="HMT142" s="57"/>
      <c r="HMU142" s="10"/>
      <c r="HMV142" s="57"/>
      <c r="HMW142" s="10"/>
      <c r="HMX142" s="57"/>
      <c r="HMY142" s="10"/>
      <c r="HMZ142" s="57"/>
      <c r="HNA142" s="10"/>
      <c r="HNB142" s="57"/>
      <c r="HNC142" s="10"/>
      <c r="HND142" s="57"/>
      <c r="HNE142" s="10"/>
      <c r="HNF142" s="57"/>
      <c r="HNG142" s="10"/>
      <c r="HNH142" s="57"/>
      <c r="HNI142" s="10"/>
      <c r="HNJ142" s="57"/>
      <c r="HNK142" s="10"/>
      <c r="HNL142" s="57"/>
      <c r="HNM142" s="10"/>
      <c r="HNN142" s="57"/>
      <c r="HNO142" s="10"/>
      <c r="HNP142" s="57"/>
      <c r="HNQ142" s="10"/>
      <c r="HNR142" s="57"/>
      <c r="HNS142" s="10"/>
      <c r="HNT142" s="57"/>
      <c r="HNU142" s="10"/>
      <c r="HNV142" s="57"/>
      <c r="HNW142" s="10"/>
      <c r="HNX142" s="57"/>
      <c r="HNY142" s="10"/>
      <c r="HNZ142" s="57"/>
      <c r="HOA142" s="10"/>
      <c r="HOB142" s="57"/>
      <c r="HOC142" s="10"/>
      <c r="HOD142" s="57"/>
      <c r="HOE142" s="10"/>
      <c r="HOF142" s="57"/>
      <c r="HOG142" s="10"/>
      <c r="HOH142" s="57"/>
      <c r="HOI142" s="10"/>
      <c r="HOJ142" s="57"/>
      <c r="HOK142" s="10"/>
      <c r="HOL142" s="57"/>
      <c r="HOM142" s="10"/>
      <c r="HON142" s="57"/>
      <c r="HOO142" s="10"/>
      <c r="HOP142" s="57"/>
      <c r="HOQ142" s="10"/>
      <c r="HOR142" s="57"/>
      <c r="HOS142" s="10"/>
      <c r="HOT142" s="57"/>
      <c r="HOU142" s="10"/>
      <c r="HOV142" s="57"/>
      <c r="HOW142" s="10"/>
      <c r="HOX142" s="57"/>
      <c r="HOY142" s="10"/>
      <c r="HOZ142" s="57"/>
      <c r="HPA142" s="10"/>
      <c r="HPB142" s="57"/>
      <c r="HPC142" s="10"/>
      <c r="HPD142" s="57"/>
      <c r="HPE142" s="10"/>
      <c r="HPF142" s="57"/>
      <c r="HPG142" s="10"/>
      <c r="HPH142" s="57"/>
      <c r="HPI142" s="10"/>
      <c r="HPJ142" s="57"/>
      <c r="HPK142" s="10"/>
      <c r="HPL142" s="57"/>
      <c r="HPM142" s="10"/>
      <c r="HPN142" s="57"/>
      <c r="HPO142" s="10"/>
      <c r="HPP142" s="57"/>
      <c r="HPQ142" s="10"/>
      <c r="HPR142" s="57"/>
      <c r="HPS142" s="10"/>
      <c r="HPT142" s="57"/>
      <c r="HPU142" s="10"/>
      <c r="HPV142" s="57"/>
      <c r="HPW142" s="10"/>
      <c r="HPX142" s="57"/>
      <c r="HPY142" s="10"/>
      <c r="HPZ142" s="57"/>
      <c r="HQA142" s="10"/>
      <c r="HQB142" s="57"/>
      <c r="HQC142" s="10"/>
      <c r="HQD142" s="57"/>
      <c r="HQE142" s="10"/>
      <c r="HQF142" s="57"/>
      <c r="HQG142" s="10"/>
      <c r="HQH142" s="57"/>
      <c r="HQI142" s="10"/>
      <c r="HQJ142" s="57"/>
      <c r="HQK142" s="10"/>
      <c r="HQL142" s="57"/>
      <c r="HQM142" s="10"/>
      <c r="HQN142" s="57"/>
      <c r="HQO142" s="10"/>
      <c r="HQP142" s="57"/>
      <c r="HQQ142" s="10"/>
      <c r="HQR142" s="57"/>
      <c r="HQS142" s="10"/>
      <c r="HQT142" s="57"/>
      <c r="HQU142" s="10"/>
      <c r="HQV142" s="57"/>
      <c r="HQW142" s="10"/>
      <c r="HQX142" s="57"/>
      <c r="HQY142" s="10"/>
      <c r="HQZ142" s="57"/>
      <c r="HRA142" s="10"/>
      <c r="HRB142" s="57"/>
      <c r="HRC142" s="10"/>
      <c r="HRD142" s="57"/>
      <c r="HRE142" s="10"/>
      <c r="HRF142" s="57"/>
      <c r="HRG142" s="10"/>
      <c r="HRH142" s="57"/>
      <c r="HRI142" s="10"/>
      <c r="HRJ142" s="57"/>
      <c r="HRK142" s="10"/>
      <c r="HRL142" s="57"/>
      <c r="HRM142" s="10"/>
      <c r="HRN142" s="57"/>
      <c r="HRO142" s="10"/>
      <c r="HRP142" s="57"/>
      <c r="HRQ142" s="10"/>
      <c r="HRR142" s="57"/>
      <c r="HRS142" s="10"/>
      <c r="HRT142" s="57"/>
      <c r="HRU142" s="10"/>
      <c r="HRV142" s="57"/>
      <c r="HRW142" s="10"/>
      <c r="HRX142" s="57"/>
      <c r="HRY142" s="10"/>
      <c r="HRZ142" s="57"/>
      <c r="HSA142" s="10"/>
      <c r="HSB142" s="57"/>
      <c r="HSC142" s="10"/>
      <c r="HSD142" s="57"/>
      <c r="HSE142" s="10"/>
      <c r="HSF142" s="57"/>
      <c r="HSG142" s="10"/>
      <c r="HSH142" s="57"/>
      <c r="HSI142" s="10"/>
      <c r="HSJ142" s="57"/>
      <c r="HSK142" s="10"/>
      <c r="HSL142" s="57"/>
      <c r="HSM142" s="10"/>
      <c r="HSN142" s="57"/>
      <c r="HSO142" s="10"/>
      <c r="HSP142" s="57"/>
      <c r="HSQ142" s="10"/>
      <c r="HSR142" s="57"/>
      <c r="HSS142" s="10"/>
      <c r="HST142" s="57"/>
      <c r="HSU142" s="10"/>
      <c r="HSV142" s="57"/>
      <c r="HSW142" s="10"/>
      <c r="HSX142" s="57"/>
      <c r="HSY142" s="10"/>
      <c r="HSZ142" s="57"/>
      <c r="HTA142" s="10"/>
      <c r="HTB142" s="57"/>
      <c r="HTC142" s="10"/>
      <c r="HTD142" s="57"/>
      <c r="HTE142" s="10"/>
      <c r="HTF142" s="57"/>
      <c r="HTG142" s="10"/>
      <c r="HTH142" s="57"/>
      <c r="HTI142" s="10"/>
      <c r="HTJ142" s="57"/>
      <c r="HTK142" s="10"/>
      <c r="HTL142" s="57"/>
      <c r="HTM142" s="10"/>
      <c r="HTN142" s="57"/>
      <c r="HTO142" s="10"/>
      <c r="HTP142" s="57"/>
      <c r="HTQ142" s="10"/>
      <c r="HTR142" s="57"/>
      <c r="HTS142" s="10"/>
      <c r="HTT142" s="57"/>
      <c r="HTU142" s="10"/>
      <c r="HTV142" s="57"/>
      <c r="HTW142" s="10"/>
      <c r="HTX142" s="57"/>
      <c r="HTY142" s="10"/>
      <c r="HTZ142" s="57"/>
      <c r="HUA142" s="10"/>
      <c r="HUB142" s="57"/>
      <c r="HUC142" s="10"/>
      <c r="HUD142" s="57"/>
      <c r="HUE142" s="10"/>
      <c r="HUF142" s="57"/>
      <c r="HUG142" s="10"/>
      <c r="HUH142" s="57"/>
      <c r="HUI142" s="10"/>
      <c r="HUJ142" s="57"/>
      <c r="HUK142" s="10"/>
      <c r="HUL142" s="57"/>
      <c r="HUM142" s="10"/>
      <c r="HUN142" s="57"/>
      <c r="HUO142" s="10"/>
      <c r="HUP142" s="57"/>
      <c r="HUQ142" s="10"/>
      <c r="HUR142" s="57"/>
      <c r="HUS142" s="10"/>
      <c r="HUT142" s="57"/>
      <c r="HUU142" s="10"/>
      <c r="HUV142" s="57"/>
      <c r="HUW142" s="10"/>
      <c r="HUX142" s="57"/>
      <c r="HUY142" s="10"/>
      <c r="HUZ142" s="57"/>
      <c r="HVA142" s="10"/>
      <c r="HVB142" s="57"/>
      <c r="HVC142" s="10"/>
      <c r="HVD142" s="57"/>
      <c r="HVE142" s="10"/>
      <c r="HVF142" s="57"/>
      <c r="HVG142" s="10"/>
      <c r="HVH142" s="57"/>
      <c r="HVI142" s="10"/>
      <c r="HVJ142" s="57"/>
      <c r="HVK142" s="10"/>
      <c r="HVL142" s="57"/>
      <c r="HVM142" s="10"/>
      <c r="HVN142" s="57"/>
      <c r="HVO142" s="10"/>
      <c r="HVP142" s="57"/>
      <c r="HVQ142" s="10"/>
      <c r="HVR142" s="57"/>
      <c r="HVS142" s="10"/>
      <c r="HVT142" s="57"/>
      <c r="HVU142" s="10"/>
      <c r="HVV142" s="57"/>
      <c r="HVW142" s="10"/>
      <c r="HVX142" s="57"/>
      <c r="HVY142" s="10"/>
      <c r="HVZ142" s="57"/>
      <c r="HWA142" s="10"/>
      <c r="HWB142" s="57"/>
      <c r="HWC142" s="10"/>
      <c r="HWD142" s="57"/>
      <c r="HWE142" s="10"/>
      <c r="HWF142" s="57"/>
      <c r="HWG142" s="10"/>
      <c r="HWH142" s="57"/>
      <c r="HWI142" s="10"/>
      <c r="HWJ142" s="57"/>
      <c r="HWK142" s="10"/>
      <c r="HWL142" s="57"/>
      <c r="HWM142" s="10"/>
      <c r="HWN142" s="57"/>
      <c r="HWO142" s="10"/>
      <c r="HWP142" s="57"/>
      <c r="HWQ142" s="10"/>
      <c r="HWR142" s="57"/>
      <c r="HWS142" s="10"/>
      <c r="HWT142" s="57"/>
      <c r="HWU142" s="10"/>
      <c r="HWV142" s="57"/>
      <c r="HWW142" s="10"/>
      <c r="HWX142" s="57"/>
      <c r="HWY142" s="10"/>
      <c r="HWZ142" s="57"/>
      <c r="HXA142" s="10"/>
      <c r="HXB142" s="57"/>
      <c r="HXC142" s="10"/>
      <c r="HXD142" s="57"/>
      <c r="HXE142" s="10"/>
      <c r="HXF142" s="57"/>
      <c r="HXG142" s="10"/>
      <c r="HXH142" s="57"/>
      <c r="HXI142" s="10"/>
      <c r="HXJ142" s="57"/>
      <c r="HXK142" s="10"/>
      <c r="HXL142" s="57"/>
      <c r="HXM142" s="10"/>
      <c r="HXN142" s="57"/>
      <c r="HXO142" s="10"/>
      <c r="HXP142" s="57"/>
      <c r="HXQ142" s="10"/>
      <c r="HXR142" s="57"/>
      <c r="HXS142" s="10"/>
      <c r="HXT142" s="57"/>
      <c r="HXU142" s="10"/>
      <c r="HXV142" s="57"/>
      <c r="HXW142" s="10"/>
      <c r="HXX142" s="57"/>
      <c r="HXY142" s="10"/>
      <c r="HXZ142" s="57"/>
      <c r="HYA142" s="10"/>
      <c r="HYB142" s="57"/>
      <c r="HYC142" s="10"/>
      <c r="HYD142" s="57"/>
      <c r="HYE142" s="10"/>
      <c r="HYF142" s="57"/>
      <c r="HYG142" s="10"/>
      <c r="HYH142" s="57"/>
      <c r="HYI142" s="10"/>
      <c r="HYJ142" s="57"/>
      <c r="HYK142" s="10"/>
      <c r="HYL142" s="57"/>
      <c r="HYM142" s="10"/>
      <c r="HYN142" s="57"/>
      <c r="HYO142" s="10"/>
      <c r="HYP142" s="57"/>
      <c r="HYQ142" s="10"/>
      <c r="HYR142" s="57"/>
      <c r="HYS142" s="10"/>
      <c r="HYT142" s="57"/>
      <c r="HYU142" s="10"/>
      <c r="HYV142" s="57"/>
      <c r="HYW142" s="10"/>
      <c r="HYX142" s="57"/>
      <c r="HYY142" s="10"/>
      <c r="HYZ142" s="57"/>
      <c r="HZA142" s="10"/>
      <c r="HZB142" s="57"/>
      <c r="HZC142" s="10"/>
      <c r="HZD142" s="57"/>
      <c r="HZE142" s="10"/>
      <c r="HZF142" s="57"/>
      <c r="HZG142" s="10"/>
      <c r="HZH142" s="57"/>
      <c r="HZI142" s="10"/>
      <c r="HZJ142" s="57"/>
      <c r="HZK142" s="10"/>
      <c r="HZL142" s="57"/>
      <c r="HZM142" s="10"/>
      <c r="HZN142" s="57"/>
      <c r="HZO142" s="10"/>
      <c r="HZP142" s="57"/>
      <c r="HZQ142" s="10"/>
      <c r="HZR142" s="57"/>
      <c r="HZS142" s="10"/>
      <c r="HZT142" s="57"/>
      <c r="HZU142" s="10"/>
      <c r="HZV142" s="57"/>
      <c r="HZW142" s="10"/>
      <c r="HZX142" s="57"/>
      <c r="HZY142" s="10"/>
      <c r="HZZ142" s="57"/>
      <c r="IAA142" s="10"/>
      <c r="IAB142" s="57"/>
      <c r="IAC142" s="10"/>
      <c r="IAD142" s="57"/>
      <c r="IAE142" s="10"/>
      <c r="IAF142" s="57"/>
      <c r="IAG142" s="10"/>
      <c r="IAH142" s="57"/>
      <c r="IAI142" s="10"/>
      <c r="IAJ142" s="57"/>
      <c r="IAK142" s="10"/>
      <c r="IAL142" s="57"/>
      <c r="IAM142" s="10"/>
      <c r="IAN142" s="57"/>
      <c r="IAO142" s="10"/>
      <c r="IAP142" s="57"/>
      <c r="IAQ142" s="10"/>
      <c r="IAR142" s="57"/>
      <c r="IAS142" s="10"/>
      <c r="IAT142" s="57"/>
      <c r="IAU142" s="10"/>
      <c r="IAV142" s="57"/>
      <c r="IAW142" s="10"/>
      <c r="IAX142" s="57"/>
      <c r="IAY142" s="10"/>
      <c r="IAZ142" s="57"/>
      <c r="IBA142" s="10"/>
      <c r="IBB142" s="57"/>
      <c r="IBC142" s="10"/>
      <c r="IBD142" s="57"/>
      <c r="IBE142" s="10"/>
      <c r="IBF142" s="57"/>
      <c r="IBG142" s="10"/>
      <c r="IBH142" s="57"/>
      <c r="IBI142" s="10"/>
      <c r="IBJ142" s="57"/>
      <c r="IBK142" s="10"/>
      <c r="IBL142" s="57"/>
      <c r="IBM142" s="10"/>
      <c r="IBN142" s="57"/>
      <c r="IBO142" s="10"/>
      <c r="IBP142" s="57"/>
      <c r="IBQ142" s="10"/>
      <c r="IBR142" s="57"/>
      <c r="IBS142" s="10"/>
      <c r="IBT142" s="57"/>
      <c r="IBU142" s="10"/>
      <c r="IBV142" s="57"/>
      <c r="IBW142" s="10"/>
      <c r="IBX142" s="57"/>
      <c r="IBY142" s="10"/>
      <c r="IBZ142" s="57"/>
      <c r="ICA142" s="10"/>
      <c r="ICB142" s="57"/>
      <c r="ICC142" s="10"/>
      <c r="ICD142" s="57"/>
      <c r="ICE142" s="10"/>
      <c r="ICF142" s="57"/>
      <c r="ICG142" s="10"/>
      <c r="ICH142" s="57"/>
      <c r="ICI142" s="10"/>
      <c r="ICJ142" s="57"/>
      <c r="ICK142" s="10"/>
      <c r="ICL142" s="57"/>
      <c r="ICM142" s="10"/>
      <c r="ICN142" s="57"/>
      <c r="ICO142" s="10"/>
      <c r="ICP142" s="57"/>
      <c r="ICQ142" s="10"/>
      <c r="ICR142" s="57"/>
      <c r="ICS142" s="10"/>
      <c r="ICT142" s="57"/>
      <c r="ICU142" s="10"/>
      <c r="ICV142" s="57"/>
      <c r="ICW142" s="10"/>
      <c r="ICX142" s="57"/>
      <c r="ICY142" s="10"/>
      <c r="ICZ142" s="57"/>
      <c r="IDA142" s="10"/>
      <c r="IDB142" s="57"/>
      <c r="IDC142" s="10"/>
      <c r="IDD142" s="57"/>
      <c r="IDE142" s="10"/>
      <c r="IDF142" s="57"/>
      <c r="IDG142" s="10"/>
      <c r="IDH142" s="57"/>
      <c r="IDI142" s="10"/>
      <c r="IDJ142" s="57"/>
      <c r="IDK142" s="10"/>
      <c r="IDL142" s="57"/>
      <c r="IDM142" s="10"/>
      <c r="IDN142" s="57"/>
      <c r="IDO142" s="10"/>
      <c r="IDP142" s="57"/>
      <c r="IDQ142" s="10"/>
      <c r="IDR142" s="57"/>
      <c r="IDS142" s="10"/>
      <c r="IDT142" s="57"/>
      <c r="IDU142" s="10"/>
      <c r="IDV142" s="57"/>
      <c r="IDW142" s="10"/>
      <c r="IDX142" s="57"/>
      <c r="IDY142" s="10"/>
      <c r="IDZ142" s="57"/>
      <c r="IEA142" s="10"/>
      <c r="IEB142" s="57"/>
      <c r="IEC142" s="10"/>
      <c r="IED142" s="57"/>
      <c r="IEE142" s="10"/>
      <c r="IEF142" s="57"/>
      <c r="IEG142" s="10"/>
      <c r="IEH142" s="57"/>
      <c r="IEI142" s="10"/>
      <c r="IEJ142" s="57"/>
      <c r="IEK142" s="10"/>
      <c r="IEL142" s="57"/>
      <c r="IEM142" s="10"/>
      <c r="IEN142" s="57"/>
      <c r="IEO142" s="10"/>
      <c r="IEP142" s="57"/>
      <c r="IEQ142" s="10"/>
      <c r="IER142" s="57"/>
      <c r="IES142" s="10"/>
      <c r="IET142" s="57"/>
      <c r="IEU142" s="10"/>
      <c r="IEV142" s="57"/>
      <c r="IEW142" s="10"/>
      <c r="IEX142" s="57"/>
      <c r="IEY142" s="10"/>
      <c r="IEZ142" s="57"/>
      <c r="IFA142" s="10"/>
      <c r="IFB142" s="57"/>
      <c r="IFC142" s="10"/>
      <c r="IFD142" s="57"/>
      <c r="IFE142" s="10"/>
      <c r="IFF142" s="57"/>
      <c r="IFG142" s="10"/>
      <c r="IFH142" s="57"/>
      <c r="IFI142" s="10"/>
      <c r="IFJ142" s="57"/>
      <c r="IFK142" s="10"/>
      <c r="IFL142" s="57"/>
      <c r="IFM142" s="10"/>
      <c r="IFN142" s="57"/>
      <c r="IFO142" s="10"/>
      <c r="IFP142" s="57"/>
      <c r="IFQ142" s="10"/>
      <c r="IFR142" s="57"/>
      <c r="IFS142" s="10"/>
      <c r="IFT142" s="57"/>
      <c r="IFU142" s="10"/>
      <c r="IFV142" s="57"/>
      <c r="IFW142" s="10"/>
      <c r="IFX142" s="57"/>
      <c r="IFY142" s="10"/>
      <c r="IFZ142" s="57"/>
      <c r="IGA142" s="10"/>
      <c r="IGB142" s="57"/>
      <c r="IGC142" s="10"/>
      <c r="IGD142" s="57"/>
      <c r="IGE142" s="10"/>
      <c r="IGF142" s="57"/>
      <c r="IGG142" s="10"/>
      <c r="IGH142" s="57"/>
      <c r="IGI142" s="10"/>
      <c r="IGJ142" s="57"/>
      <c r="IGK142" s="10"/>
      <c r="IGL142" s="57"/>
      <c r="IGM142" s="10"/>
      <c r="IGN142" s="57"/>
      <c r="IGO142" s="10"/>
      <c r="IGP142" s="57"/>
      <c r="IGQ142" s="10"/>
      <c r="IGR142" s="57"/>
      <c r="IGS142" s="10"/>
      <c r="IGT142" s="57"/>
      <c r="IGU142" s="10"/>
      <c r="IGV142" s="57"/>
      <c r="IGW142" s="10"/>
      <c r="IGX142" s="57"/>
      <c r="IGY142" s="10"/>
      <c r="IGZ142" s="57"/>
      <c r="IHA142" s="10"/>
      <c r="IHB142" s="57"/>
      <c r="IHC142" s="10"/>
      <c r="IHD142" s="57"/>
      <c r="IHE142" s="10"/>
      <c r="IHF142" s="57"/>
      <c r="IHG142" s="10"/>
      <c r="IHH142" s="57"/>
      <c r="IHI142" s="10"/>
      <c r="IHJ142" s="57"/>
      <c r="IHK142" s="10"/>
      <c r="IHL142" s="57"/>
      <c r="IHM142" s="10"/>
      <c r="IHN142" s="57"/>
      <c r="IHO142" s="10"/>
      <c r="IHP142" s="57"/>
      <c r="IHQ142" s="10"/>
      <c r="IHR142" s="57"/>
      <c r="IHS142" s="10"/>
      <c r="IHT142" s="57"/>
      <c r="IHU142" s="10"/>
      <c r="IHV142" s="57"/>
      <c r="IHW142" s="10"/>
      <c r="IHX142" s="57"/>
      <c r="IHY142" s="10"/>
      <c r="IHZ142" s="57"/>
      <c r="IIA142" s="10"/>
      <c r="IIB142" s="57"/>
      <c r="IIC142" s="10"/>
      <c r="IID142" s="57"/>
      <c r="IIE142" s="10"/>
      <c r="IIF142" s="57"/>
      <c r="IIG142" s="10"/>
      <c r="IIH142" s="57"/>
      <c r="III142" s="10"/>
      <c r="IIJ142" s="57"/>
      <c r="IIK142" s="10"/>
      <c r="IIL142" s="57"/>
      <c r="IIM142" s="10"/>
      <c r="IIN142" s="57"/>
      <c r="IIO142" s="10"/>
      <c r="IIP142" s="57"/>
      <c r="IIQ142" s="10"/>
      <c r="IIR142" s="57"/>
      <c r="IIS142" s="10"/>
      <c r="IIT142" s="57"/>
      <c r="IIU142" s="10"/>
      <c r="IIV142" s="57"/>
      <c r="IIW142" s="10"/>
      <c r="IIX142" s="57"/>
      <c r="IIY142" s="10"/>
      <c r="IIZ142" s="57"/>
      <c r="IJA142" s="10"/>
      <c r="IJB142" s="57"/>
      <c r="IJC142" s="10"/>
      <c r="IJD142" s="57"/>
      <c r="IJE142" s="10"/>
      <c r="IJF142" s="57"/>
      <c r="IJG142" s="10"/>
      <c r="IJH142" s="57"/>
      <c r="IJI142" s="10"/>
      <c r="IJJ142" s="57"/>
      <c r="IJK142" s="10"/>
      <c r="IJL142" s="57"/>
      <c r="IJM142" s="10"/>
      <c r="IJN142" s="57"/>
      <c r="IJO142" s="10"/>
      <c r="IJP142" s="57"/>
      <c r="IJQ142" s="10"/>
      <c r="IJR142" s="57"/>
      <c r="IJS142" s="10"/>
      <c r="IJT142" s="57"/>
      <c r="IJU142" s="10"/>
      <c r="IJV142" s="57"/>
      <c r="IJW142" s="10"/>
      <c r="IJX142" s="57"/>
      <c r="IJY142" s="10"/>
      <c r="IJZ142" s="57"/>
      <c r="IKA142" s="10"/>
      <c r="IKB142" s="57"/>
      <c r="IKC142" s="10"/>
      <c r="IKD142" s="57"/>
      <c r="IKE142" s="10"/>
      <c r="IKF142" s="57"/>
      <c r="IKG142" s="10"/>
      <c r="IKH142" s="57"/>
      <c r="IKI142" s="10"/>
      <c r="IKJ142" s="57"/>
      <c r="IKK142" s="10"/>
      <c r="IKL142" s="57"/>
      <c r="IKM142" s="10"/>
      <c r="IKN142" s="57"/>
      <c r="IKO142" s="10"/>
      <c r="IKP142" s="57"/>
      <c r="IKQ142" s="10"/>
      <c r="IKR142" s="57"/>
      <c r="IKS142" s="10"/>
      <c r="IKT142" s="57"/>
      <c r="IKU142" s="10"/>
      <c r="IKV142" s="57"/>
      <c r="IKW142" s="10"/>
      <c r="IKX142" s="57"/>
      <c r="IKY142" s="10"/>
      <c r="IKZ142" s="57"/>
      <c r="ILA142" s="10"/>
      <c r="ILB142" s="57"/>
      <c r="ILC142" s="10"/>
      <c r="ILD142" s="57"/>
      <c r="ILE142" s="10"/>
      <c r="ILF142" s="57"/>
      <c r="ILG142" s="10"/>
      <c r="ILH142" s="57"/>
      <c r="ILI142" s="10"/>
      <c r="ILJ142" s="57"/>
      <c r="ILK142" s="10"/>
      <c r="ILL142" s="57"/>
      <c r="ILM142" s="10"/>
      <c r="ILN142" s="57"/>
      <c r="ILO142" s="10"/>
      <c r="ILP142" s="57"/>
      <c r="ILQ142" s="10"/>
      <c r="ILR142" s="57"/>
      <c r="ILS142" s="10"/>
      <c r="ILT142" s="57"/>
      <c r="ILU142" s="10"/>
      <c r="ILV142" s="57"/>
      <c r="ILW142" s="10"/>
      <c r="ILX142" s="57"/>
      <c r="ILY142" s="10"/>
      <c r="ILZ142" s="57"/>
      <c r="IMA142" s="10"/>
      <c r="IMB142" s="57"/>
      <c r="IMC142" s="10"/>
      <c r="IMD142" s="57"/>
      <c r="IME142" s="10"/>
      <c r="IMF142" s="57"/>
      <c r="IMG142" s="10"/>
      <c r="IMH142" s="57"/>
      <c r="IMI142" s="10"/>
      <c r="IMJ142" s="57"/>
      <c r="IMK142" s="10"/>
      <c r="IML142" s="57"/>
      <c r="IMM142" s="10"/>
      <c r="IMN142" s="57"/>
      <c r="IMO142" s="10"/>
      <c r="IMP142" s="57"/>
      <c r="IMQ142" s="10"/>
      <c r="IMR142" s="57"/>
      <c r="IMS142" s="10"/>
      <c r="IMT142" s="57"/>
      <c r="IMU142" s="10"/>
      <c r="IMV142" s="57"/>
      <c r="IMW142" s="10"/>
      <c r="IMX142" s="57"/>
      <c r="IMY142" s="10"/>
      <c r="IMZ142" s="57"/>
      <c r="INA142" s="10"/>
      <c r="INB142" s="57"/>
      <c r="INC142" s="10"/>
      <c r="IND142" s="57"/>
      <c r="INE142" s="10"/>
      <c r="INF142" s="57"/>
      <c r="ING142" s="10"/>
      <c r="INH142" s="57"/>
      <c r="INI142" s="10"/>
      <c r="INJ142" s="57"/>
      <c r="INK142" s="10"/>
      <c r="INL142" s="57"/>
      <c r="INM142" s="10"/>
      <c r="INN142" s="57"/>
      <c r="INO142" s="10"/>
      <c r="INP142" s="57"/>
      <c r="INQ142" s="10"/>
      <c r="INR142" s="57"/>
      <c r="INS142" s="10"/>
      <c r="INT142" s="57"/>
      <c r="INU142" s="10"/>
      <c r="INV142" s="57"/>
      <c r="INW142" s="10"/>
      <c r="INX142" s="57"/>
      <c r="INY142" s="10"/>
      <c r="INZ142" s="57"/>
      <c r="IOA142" s="10"/>
      <c r="IOB142" s="57"/>
      <c r="IOC142" s="10"/>
      <c r="IOD142" s="57"/>
      <c r="IOE142" s="10"/>
      <c r="IOF142" s="57"/>
      <c r="IOG142" s="10"/>
      <c r="IOH142" s="57"/>
      <c r="IOI142" s="10"/>
      <c r="IOJ142" s="57"/>
      <c r="IOK142" s="10"/>
      <c r="IOL142" s="57"/>
      <c r="IOM142" s="10"/>
      <c r="ION142" s="57"/>
      <c r="IOO142" s="10"/>
      <c r="IOP142" s="57"/>
      <c r="IOQ142" s="10"/>
      <c r="IOR142" s="57"/>
      <c r="IOS142" s="10"/>
      <c r="IOT142" s="57"/>
      <c r="IOU142" s="10"/>
      <c r="IOV142" s="57"/>
      <c r="IOW142" s="10"/>
      <c r="IOX142" s="57"/>
      <c r="IOY142" s="10"/>
      <c r="IOZ142" s="57"/>
      <c r="IPA142" s="10"/>
      <c r="IPB142" s="57"/>
      <c r="IPC142" s="10"/>
      <c r="IPD142" s="57"/>
      <c r="IPE142" s="10"/>
      <c r="IPF142" s="57"/>
      <c r="IPG142" s="10"/>
      <c r="IPH142" s="57"/>
      <c r="IPI142" s="10"/>
      <c r="IPJ142" s="57"/>
      <c r="IPK142" s="10"/>
      <c r="IPL142" s="57"/>
      <c r="IPM142" s="10"/>
      <c r="IPN142" s="57"/>
      <c r="IPO142" s="10"/>
      <c r="IPP142" s="57"/>
      <c r="IPQ142" s="10"/>
      <c r="IPR142" s="57"/>
      <c r="IPS142" s="10"/>
      <c r="IPT142" s="57"/>
      <c r="IPU142" s="10"/>
      <c r="IPV142" s="57"/>
      <c r="IPW142" s="10"/>
      <c r="IPX142" s="57"/>
      <c r="IPY142" s="10"/>
      <c r="IPZ142" s="57"/>
      <c r="IQA142" s="10"/>
      <c r="IQB142" s="57"/>
      <c r="IQC142" s="10"/>
      <c r="IQD142" s="57"/>
      <c r="IQE142" s="10"/>
      <c r="IQF142" s="57"/>
      <c r="IQG142" s="10"/>
      <c r="IQH142" s="57"/>
      <c r="IQI142" s="10"/>
      <c r="IQJ142" s="57"/>
      <c r="IQK142" s="10"/>
      <c r="IQL142" s="57"/>
      <c r="IQM142" s="10"/>
      <c r="IQN142" s="57"/>
      <c r="IQO142" s="10"/>
      <c r="IQP142" s="57"/>
      <c r="IQQ142" s="10"/>
      <c r="IQR142" s="57"/>
      <c r="IQS142" s="10"/>
      <c r="IQT142" s="57"/>
      <c r="IQU142" s="10"/>
      <c r="IQV142" s="57"/>
      <c r="IQW142" s="10"/>
      <c r="IQX142" s="57"/>
      <c r="IQY142" s="10"/>
      <c r="IQZ142" s="57"/>
      <c r="IRA142" s="10"/>
      <c r="IRB142" s="57"/>
      <c r="IRC142" s="10"/>
      <c r="IRD142" s="57"/>
      <c r="IRE142" s="10"/>
      <c r="IRF142" s="57"/>
      <c r="IRG142" s="10"/>
      <c r="IRH142" s="57"/>
      <c r="IRI142" s="10"/>
      <c r="IRJ142" s="57"/>
      <c r="IRK142" s="10"/>
      <c r="IRL142" s="57"/>
      <c r="IRM142" s="10"/>
      <c r="IRN142" s="57"/>
      <c r="IRO142" s="10"/>
      <c r="IRP142" s="57"/>
      <c r="IRQ142" s="10"/>
      <c r="IRR142" s="57"/>
      <c r="IRS142" s="10"/>
      <c r="IRT142" s="57"/>
      <c r="IRU142" s="10"/>
      <c r="IRV142" s="57"/>
      <c r="IRW142" s="10"/>
      <c r="IRX142" s="57"/>
      <c r="IRY142" s="10"/>
      <c r="IRZ142" s="57"/>
      <c r="ISA142" s="10"/>
      <c r="ISB142" s="57"/>
      <c r="ISC142" s="10"/>
      <c r="ISD142" s="57"/>
      <c r="ISE142" s="10"/>
      <c r="ISF142" s="57"/>
      <c r="ISG142" s="10"/>
      <c r="ISH142" s="57"/>
      <c r="ISI142" s="10"/>
      <c r="ISJ142" s="57"/>
      <c r="ISK142" s="10"/>
      <c r="ISL142" s="57"/>
      <c r="ISM142" s="10"/>
      <c r="ISN142" s="57"/>
      <c r="ISO142" s="10"/>
      <c r="ISP142" s="57"/>
      <c r="ISQ142" s="10"/>
      <c r="ISR142" s="57"/>
      <c r="ISS142" s="10"/>
      <c r="IST142" s="57"/>
      <c r="ISU142" s="10"/>
      <c r="ISV142" s="57"/>
      <c r="ISW142" s="10"/>
      <c r="ISX142" s="57"/>
      <c r="ISY142" s="10"/>
      <c r="ISZ142" s="57"/>
      <c r="ITA142" s="10"/>
      <c r="ITB142" s="57"/>
      <c r="ITC142" s="10"/>
      <c r="ITD142" s="57"/>
      <c r="ITE142" s="10"/>
      <c r="ITF142" s="57"/>
      <c r="ITG142" s="10"/>
      <c r="ITH142" s="57"/>
      <c r="ITI142" s="10"/>
      <c r="ITJ142" s="57"/>
      <c r="ITK142" s="10"/>
      <c r="ITL142" s="57"/>
      <c r="ITM142" s="10"/>
      <c r="ITN142" s="57"/>
      <c r="ITO142" s="10"/>
      <c r="ITP142" s="57"/>
      <c r="ITQ142" s="10"/>
      <c r="ITR142" s="57"/>
      <c r="ITS142" s="10"/>
      <c r="ITT142" s="57"/>
      <c r="ITU142" s="10"/>
      <c r="ITV142" s="57"/>
      <c r="ITW142" s="10"/>
      <c r="ITX142" s="57"/>
      <c r="ITY142" s="10"/>
      <c r="ITZ142" s="57"/>
      <c r="IUA142" s="10"/>
      <c r="IUB142" s="57"/>
      <c r="IUC142" s="10"/>
      <c r="IUD142" s="57"/>
      <c r="IUE142" s="10"/>
      <c r="IUF142" s="57"/>
      <c r="IUG142" s="10"/>
      <c r="IUH142" s="57"/>
      <c r="IUI142" s="10"/>
      <c r="IUJ142" s="57"/>
      <c r="IUK142" s="10"/>
      <c r="IUL142" s="57"/>
      <c r="IUM142" s="10"/>
      <c r="IUN142" s="57"/>
      <c r="IUO142" s="10"/>
      <c r="IUP142" s="57"/>
      <c r="IUQ142" s="10"/>
      <c r="IUR142" s="57"/>
      <c r="IUS142" s="10"/>
      <c r="IUT142" s="57"/>
      <c r="IUU142" s="10"/>
      <c r="IUV142" s="57"/>
      <c r="IUW142" s="10"/>
      <c r="IUX142" s="57"/>
      <c r="IUY142" s="10"/>
      <c r="IUZ142" s="57"/>
      <c r="IVA142" s="10"/>
      <c r="IVB142" s="57"/>
      <c r="IVC142" s="10"/>
      <c r="IVD142" s="57"/>
      <c r="IVE142" s="10"/>
      <c r="IVF142" s="57"/>
      <c r="IVG142" s="10"/>
      <c r="IVH142" s="57"/>
      <c r="IVI142" s="10"/>
      <c r="IVJ142" s="57"/>
      <c r="IVK142" s="10"/>
      <c r="IVL142" s="57"/>
      <c r="IVM142" s="10"/>
      <c r="IVN142" s="57"/>
      <c r="IVO142" s="10"/>
      <c r="IVP142" s="57"/>
      <c r="IVQ142" s="10"/>
      <c r="IVR142" s="57"/>
      <c r="IVS142" s="10"/>
      <c r="IVT142" s="57"/>
      <c r="IVU142" s="10"/>
      <c r="IVV142" s="57"/>
      <c r="IVW142" s="10"/>
      <c r="IVX142" s="57"/>
      <c r="IVY142" s="10"/>
      <c r="IVZ142" s="57"/>
      <c r="IWA142" s="10"/>
      <c r="IWB142" s="57"/>
      <c r="IWC142" s="10"/>
      <c r="IWD142" s="57"/>
      <c r="IWE142" s="10"/>
      <c r="IWF142" s="57"/>
      <c r="IWG142" s="10"/>
      <c r="IWH142" s="57"/>
      <c r="IWI142" s="10"/>
      <c r="IWJ142" s="57"/>
      <c r="IWK142" s="10"/>
      <c r="IWL142" s="57"/>
      <c r="IWM142" s="10"/>
      <c r="IWN142" s="57"/>
      <c r="IWO142" s="10"/>
      <c r="IWP142" s="57"/>
      <c r="IWQ142" s="10"/>
      <c r="IWR142" s="57"/>
      <c r="IWS142" s="10"/>
      <c r="IWT142" s="57"/>
      <c r="IWU142" s="10"/>
      <c r="IWV142" s="57"/>
      <c r="IWW142" s="10"/>
      <c r="IWX142" s="57"/>
      <c r="IWY142" s="10"/>
      <c r="IWZ142" s="57"/>
      <c r="IXA142" s="10"/>
      <c r="IXB142" s="57"/>
      <c r="IXC142" s="10"/>
      <c r="IXD142" s="57"/>
      <c r="IXE142" s="10"/>
      <c r="IXF142" s="57"/>
      <c r="IXG142" s="10"/>
      <c r="IXH142" s="57"/>
      <c r="IXI142" s="10"/>
      <c r="IXJ142" s="57"/>
      <c r="IXK142" s="10"/>
      <c r="IXL142" s="57"/>
      <c r="IXM142" s="10"/>
      <c r="IXN142" s="57"/>
      <c r="IXO142" s="10"/>
      <c r="IXP142" s="57"/>
      <c r="IXQ142" s="10"/>
      <c r="IXR142" s="57"/>
      <c r="IXS142" s="10"/>
      <c r="IXT142" s="57"/>
      <c r="IXU142" s="10"/>
      <c r="IXV142" s="57"/>
      <c r="IXW142" s="10"/>
      <c r="IXX142" s="57"/>
      <c r="IXY142" s="10"/>
      <c r="IXZ142" s="57"/>
      <c r="IYA142" s="10"/>
      <c r="IYB142" s="57"/>
      <c r="IYC142" s="10"/>
      <c r="IYD142" s="57"/>
      <c r="IYE142" s="10"/>
      <c r="IYF142" s="57"/>
      <c r="IYG142" s="10"/>
      <c r="IYH142" s="57"/>
      <c r="IYI142" s="10"/>
      <c r="IYJ142" s="57"/>
      <c r="IYK142" s="10"/>
      <c r="IYL142" s="57"/>
      <c r="IYM142" s="10"/>
      <c r="IYN142" s="57"/>
      <c r="IYO142" s="10"/>
      <c r="IYP142" s="57"/>
      <c r="IYQ142" s="10"/>
      <c r="IYR142" s="57"/>
      <c r="IYS142" s="10"/>
      <c r="IYT142" s="57"/>
      <c r="IYU142" s="10"/>
      <c r="IYV142" s="57"/>
      <c r="IYW142" s="10"/>
      <c r="IYX142" s="57"/>
      <c r="IYY142" s="10"/>
      <c r="IYZ142" s="57"/>
      <c r="IZA142" s="10"/>
      <c r="IZB142" s="57"/>
      <c r="IZC142" s="10"/>
      <c r="IZD142" s="57"/>
      <c r="IZE142" s="10"/>
      <c r="IZF142" s="57"/>
      <c r="IZG142" s="10"/>
      <c r="IZH142" s="57"/>
      <c r="IZI142" s="10"/>
      <c r="IZJ142" s="57"/>
      <c r="IZK142" s="10"/>
      <c r="IZL142" s="57"/>
      <c r="IZM142" s="10"/>
      <c r="IZN142" s="57"/>
      <c r="IZO142" s="10"/>
      <c r="IZP142" s="57"/>
      <c r="IZQ142" s="10"/>
      <c r="IZR142" s="57"/>
      <c r="IZS142" s="10"/>
      <c r="IZT142" s="57"/>
      <c r="IZU142" s="10"/>
      <c r="IZV142" s="57"/>
      <c r="IZW142" s="10"/>
      <c r="IZX142" s="57"/>
      <c r="IZY142" s="10"/>
      <c r="IZZ142" s="57"/>
      <c r="JAA142" s="10"/>
      <c r="JAB142" s="57"/>
      <c r="JAC142" s="10"/>
      <c r="JAD142" s="57"/>
      <c r="JAE142" s="10"/>
      <c r="JAF142" s="57"/>
      <c r="JAG142" s="10"/>
      <c r="JAH142" s="57"/>
      <c r="JAI142" s="10"/>
      <c r="JAJ142" s="57"/>
      <c r="JAK142" s="10"/>
      <c r="JAL142" s="57"/>
      <c r="JAM142" s="10"/>
      <c r="JAN142" s="57"/>
      <c r="JAO142" s="10"/>
      <c r="JAP142" s="57"/>
      <c r="JAQ142" s="10"/>
      <c r="JAR142" s="57"/>
      <c r="JAS142" s="10"/>
      <c r="JAT142" s="57"/>
      <c r="JAU142" s="10"/>
      <c r="JAV142" s="57"/>
      <c r="JAW142" s="10"/>
      <c r="JAX142" s="57"/>
      <c r="JAY142" s="10"/>
      <c r="JAZ142" s="57"/>
      <c r="JBA142" s="10"/>
      <c r="JBB142" s="57"/>
      <c r="JBC142" s="10"/>
      <c r="JBD142" s="57"/>
      <c r="JBE142" s="10"/>
      <c r="JBF142" s="57"/>
      <c r="JBG142" s="10"/>
      <c r="JBH142" s="57"/>
      <c r="JBI142" s="10"/>
      <c r="JBJ142" s="57"/>
      <c r="JBK142" s="10"/>
      <c r="JBL142" s="57"/>
      <c r="JBM142" s="10"/>
      <c r="JBN142" s="57"/>
      <c r="JBO142" s="10"/>
      <c r="JBP142" s="57"/>
      <c r="JBQ142" s="10"/>
      <c r="JBR142" s="57"/>
      <c r="JBS142" s="10"/>
      <c r="JBT142" s="57"/>
      <c r="JBU142" s="10"/>
      <c r="JBV142" s="57"/>
      <c r="JBW142" s="10"/>
      <c r="JBX142" s="57"/>
      <c r="JBY142" s="10"/>
      <c r="JBZ142" s="57"/>
      <c r="JCA142" s="10"/>
      <c r="JCB142" s="57"/>
      <c r="JCC142" s="10"/>
      <c r="JCD142" s="57"/>
      <c r="JCE142" s="10"/>
      <c r="JCF142" s="57"/>
      <c r="JCG142" s="10"/>
      <c r="JCH142" s="57"/>
      <c r="JCI142" s="10"/>
      <c r="JCJ142" s="57"/>
      <c r="JCK142" s="10"/>
      <c r="JCL142" s="57"/>
      <c r="JCM142" s="10"/>
      <c r="JCN142" s="57"/>
      <c r="JCO142" s="10"/>
      <c r="JCP142" s="57"/>
      <c r="JCQ142" s="10"/>
      <c r="JCR142" s="57"/>
      <c r="JCS142" s="10"/>
      <c r="JCT142" s="57"/>
      <c r="JCU142" s="10"/>
      <c r="JCV142" s="57"/>
      <c r="JCW142" s="10"/>
      <c r="JCX142" s="57"/>
      <c r="JCY142" s="10"/>
      <c r="JCZ142" s="57"/>
      <c r="JDA142" s="10"/>
      <c r="JDB142" s="57"/>
      <c r="JDC142" s="10"/>
      <c r="JDD142" s="57"/>
      <c r="JDE142" s="10"/>
      <c r="JDF142" s="57"/>
      <c r="JDG142" s="10"/>
      <c r="JDH142" s="57"/>
      <c r="JDI142" s="10"/>
      <c r="JDJ142" s="57"/>
      <c r="JDK142" s="10"/>
      <c r="JDL142" s="57"/>
      <c r="JDM142" s="10"/>
      <c r="JDN142" s="57"/>
      <c r="JDO142" s="10"/>
      <c r="JDP142" s="57"/>
      <c r="JDQ142" s="10"/>
      <c r="JDR142" s="57"/>
      <c r="JDS142" s="10"/>
      <c r="JDT142" s="57"/>
      <c r="JDU142" s="10"/>
      <c r="JDV142" s="57"/>
      <c r="JDW142" s="10"/>
      <c r="JDX142" s="57"/>
      <c r="JDY142" s="10"/>
      <c r="JDZ142" s="57"/>
      <c r="JEA142" s="10"/>
      <c r="JEB142" s="57"/>
      <c r="JEC142" s="10"/>
      <c r="JED142" s="57"/>
      <c r="JEE142" s="10"/>
      <c r="JEF142" s="57"/>
      <c r="JEG142" s="10"/>
      <c r="JEH142" s="57"/>
      <c r="JEI142" s="10"/>
      <c r="JEJ142" s="57"/>
      <c r="JEK142" s="10"/>
      <c r="JEL142" s="57"/>
      <c r="JEM142" s="10"/>
      <c r="JEN142" s="57"/>
      <c r="JEO142" s="10"/>
      <c r="JEP142" s="57"/>
      <c r="JEQ142" s="10"/>
      <c r="JER142" s="57"/>
      <c r="JES142" s="10"/>
      <c r="JET142" s="57"/>
      <c r="JEU142" s="10"/>
      <c r="JEV142" s="57"/>
      <c r="JEW142" s="10"/>
      <c r="JEX142" s="57"/>
      <c r="JEY142" s="10"/>
      <c r="JEZ142" s="57"/>
      <c r="JFA142" s="10"/>
      <c r="JFB142" s="57"/>
      <c r="JFC142" s="10"/>
      <c r="JFD142" s="57"/>
      <c r="JFE142" s="10"/>
      <c r="JFF142" s="57"/>
      <c r="JFG142" s="10"/>
      <c r="JFH142" s="57"/>
      <c r="JFI142" s="10"/>
      <c r="JFJ142" s="57"/>
      <c r="JFK142" s="10"/>
      <c r="JFL142" s="57"/>
      <c r="JFM142" s="10"/>
      <c r="JFN142" s="57"/>
      <c r="JFO142" s="10"/>
      <c r="JFP142" s="57"/>
      <c r="JFQ142" s="10"/>
      <c r="JFR142" s="57"/>
      <c r="JFS142" s="10"/>
      <c r="JFT142" s="57"/>
      <c r="JFU142" s="10"/>
      <c r="JFV142" s="57"/>
      <c r="JFW142" s="10"/>
      <c r="JFX142" s="57"/>
      <c r="JFY142" s="10"/>
      <c r="JFZ142" s="57"/>
      <c r="JGA142" s="10"/>
      <c r="JGB142" s="57"/>
      <c r="JGC142" s="10"/>
      <c r="JGD142" s="57"/>
      <c r="JGE142" s="10"/>
      <c r="JGF142" s="57"/>
      <c r="JGG142" s="10"/>
      <c r="JGH142" s="57"/>
      <c r="JGI142" s="10"/>
      <c r="JGJ142" s="57"/>
      <c r="JGK142" s="10"/>
      <c r="JGL142" s="57"/>
      <c r="JGM142" s="10"/>
      <c r="JGN142" s="57"/>
      <c r="JGO142" s="10"/>
      <c r="JGP142" s="57"/>
      <c r="JGQ142" s="10"/>
      <c r="JGR142" s="57"/>
      <c r="JGS142" s="10"/>
      <c r="JGT142" s="57"/>
      <c r="JGU142" s="10"/>
      <c r="JGV142" s="57"/>
      <c r="JGW142" s="10"/>
      <c r="JGX142" s="57"/>
      <c r="JGY142" s="10"/>
      <c r="JGZ142" s="57"/>
      <c r="JHA142" s="10"/>
      <c r="JHB142" s="57"/>
      <c r="JHC142" s="10"/>
      <c r="JHD142" s="57"/>
      <c r="JHE142" s="10"/>
      <c r="JHF142" s="57"/>
      <c r="JHG142" s="10"/>
      <c r="JHH142" s="57"/>
      <c r="JHI142" s="10"/>
      <c r="JHJ142" s="57"/>
      <c r="JHK142" s="10"/>
      <c r="JHL142" s="57"/>
      <c r="JHM142" s="10"/>
      <c r="JHN142" s="57"/>
      <c r="JHO142" s="10"/>
      <c r="JHP142" s="57"/>
      <c r="JHQ142" s="10"/>
      <c r="JHR142" s="57"/>
      <c r="JHS142" s="10"/>
      <c r="JHT142" s="57"/>
      <c r="JHU142" s="10"/>
      <c r="JHV142" s="57"/>
      <c r="JHW142" s="10"/>
      <c r="JHX142" s="57"/>
      <c r="JHY142" s="10"/>
      <c r="JHZ142" s="57"/>
      <c r="JIA142" s="10"/>
      <c r="JIB142" s="57"/>
      <c r="JIC142" s="10"/>
      <c r="JID142" s="57"/>
      <c r="JIE142" s="10"/>
      <c r="JIF142" s="57"/>
      <c r="JIG142" s="10"/>
      <c r="JIH142" s="57"/>
      <c r="JII142" s="10"/>
      <c r="JIJ142" s="57"/>
      <c r="JIK142" s="10"/>
      <c r="JIL142" s="57"/>
      <c r="JIM142" s="10"/>
      <c r="JIN142" s="57"/>
      <c r="JIO142" s="10"/>
      <c r="JIP142" s="57"/>
      <c r="JIQ142" s="10"/>
      <c r="JIR142" s="57"/>
      <c r="JIS142" s="10"/>
      <c r="JIT142" s="57"/>
      <c r="JIU142" s="10"/>
      <c r="JIV142" s="57"/>
      <c r="JIW142" s="10"/>
      <c r="JIX142" s="57"/>
      <c r="JIY142" s="10"/>
      <c r="JIZ142" s="57"/>
      <c r="JJA142" s="10"/>
      <c r="JJB142" s="57"/>
      <c r="JJC142" s="10"/>
      <c r="JJD142" s="57"/>
      <c r="JJE142" s="10"/>
      <c r="JJF142" s="57"/>
      <c r="JJG142" s="10"/>
      <c r="JJH142" s="57"/>
      <c r="JJI142" s="10"/>
      <c r="JJJ142" s="57"/>
      <c r="JJK142" s="10"/>
      <c r="JJL142" s="57"/>
      <c r="JJM142" s="10"/>
      <c r="JJN142" s="57"/>
      <c r="JJO142" s="10"/>
      <c r="JJP142" s="57"/>
      <c r="JJQ142" s="10"/>
      <c r="JJR142" s="57"/>
      <c r="JJS142" s="10"/>
      <c r="JJT142" s="57"/>
      <c r="JJU142" s="10"/>
      <c r="JJV142" s="57"/>
      <c r="JJW142" s="10"/>
      <c r="JJX142" s="57"/>
      <c r="JJY142" s="10"/>
      <c r="JJZ142" s="57"/>
      <c r="JKA142" s="10"/>
      <c r="JKB142" s="57"/>
      <c r="JKC142" s="10"/>
      <c r="JKD142" s="57"/>
      <c r="JKE142" s="10"/>
      <c r="JKF142" s="57"/>
      <c r="JKG142" s="10"/>
      <c r="JKH142" s="57"/>
      <c r="JKI142" s="10"/>
      <c r="JKJ142" s="57"/>
      <c r="JKK142" s="10"/>
      <c r="JKL142" s="57"/>
      <c r="JKM142" s="10"/>
      <c r="JKN142" s="57"/>
      <c r="JKO142" s="10"/>
      <c r="JKP142" s="57"/>
      <c r="JKQ142" s="10"/>
      <c r="JKR142" s="57"/>
      <c r="JKS142" s="10"/>
      <c r="JKT142" s="57"/>
      <c r="JKU142" s="10"/>
      <c r="JKV142" s="57"/>
      <c r="JKW142" s="10"/>
      <c r="JKX142" s="57"/>
      <c r="JKY142" s="10"/>
      <c r="JKZ142" s="57"/>
      <c r="JLA142" s="10"/>
      <c r="JLB142" s="57"/>
      <c r="JLC142" s="10"/>
      <c r="JLD142" s="57"/>
      <c r="JLE142" s="10"/>
      <c r="JLF142" s="57"/>
      <c r="JLG142" s="10"/>
      <c r="JLH142" s="57"/>
      <c r="JLI142" s="10"/>
      <c r="JLJ142" s="57"/>
      <c r="JLK142" s="10"/>
      <c r="JLL142" s="57"/>
      <c r="JLM142" s="10"/>
      <c r="JLN142" s="57"/>
      <c r="JLO142" s="10"/>
      <c r="JLP142" s="57"/>
      <c r="JLQ142" s="10"/>
      <c r="JLR142" s="57"/>
      <c r="JLS142" s="10"/>
      <c r="JLT142" s="57"/>
      <c r="JLU142" s="10"/>
      <c r="JLV142" s="57"/>
      <c r="JLW142" s="10"/>
      <c r="JLX142" s="57"/>
      <c r="JLY142" s="10"/>
      <c r="JLZ142" s="57"/>
      <c r="JMA142" s="10"/>
      <c r="JMB142" s="57"/>
      <c r="JMC142" s="10"/>
      <c r="JMD142" s="57"/>
      <c r="JME142" s="10"/>
      <c r="JMF142" s="57"/>
      <c r="JMG142" s="10"/>
      <c r="JMH142" s="57"/>
      <c r="JMI142" s="10"/>
      <c r="JMJ142" s="57"/>
      <c r="JMK142" s="10"/>
      <c r="JML142" s="57"/>
      <c r="JMM142" s="10"/>
      <c r="JMN142" s="57"/>
      <c r="JMO142" s="10"/>
      <c r="JMP142" s="57"/>
      <c r="JMQ142" s="10"/>
      <c r="JMR142" s="57"/>
      <c r="JMS142" s="10"/>
      <c r="JMT142" s="57"/>
      <c r="JMU142" s="10"/>
      <c r="JMV142" s="57"/>
      <c r="JMW142" s="10"/>
      <c r="JMX142" s="57"/>
      <c r="JMY142" s="10"/>
      <c r="JMZ142" s="57"/>
      <c r="JNA142" s="10"/>
      <c r="JNB142" s="57"/>
      <c r="JNC142" s="10"/>
      <c r="JND142" s="57"/>
      <c r="JNE142" s="10"/>
      <c r="JNF142" s="57"/>
      <c r="JNG142" s="10"/>
      <c r="JNH142" s="57"/>
      <c r="JNI142" s="10"/>
      <c r="JNJ142" s="57"/>
      <c r="JNK142" s="10"/>
      <c r="JNL142" s="57"/>
      <c r="JNM142" s="10"/>
      <c r="JNN142" s="57"/>
      <c r="JNO142" s="10"/>
      <c r="JNP142" s="57"/>
      <c r="JNQ142" s="10"/>
      <c r="JNR142" s="57"/>
      <c r="JNS142" s="10"/>
      <c r="JNT142" s="57"/>
      <c r="JNU142" s="10"/>
      <c r="JNV142" s="57"/>
      <c r="JNW142" s="10"/>
      <c r="JNX142" s="57"/>
      <c r="JNY142" s="10"/>
      <c r="JNZ142" s="57"/>
      <c r="JOA142" s="10"/>
      <c r="JOB142" s="57"/>
      <c r="JOC142" s="10"/>
      <c r="JOD142" s="57"/>
      <c r="JOE142" s="10"/>
      <c r="JOF142" s="57"/>
      <c r="JOG142" s="10"/>
      <c r="JOH142" s="57"/>
      <c r="JOI142" s="10"/>
      <c r="JOJ142" s="57"/>
      <c r="JOK142" s="10"/>
      <c r="JOL142" s="57"/>
      <c r="JOM142" s="10"/>
      <c r="JON142" s="57"/>
      <c r="JOO142" s="10"/>
      <c r="JOP142" s="57"/>
      <c r="JOQ142" s="10"/>
      <c r="JOR142" s="57"/>
      <c r="JOS142" s="10"/>
      <c r="JOT142" s="57"/>
      <c r="JOU142" s="10"/>
      <c r="JOV142" s="57"/>
      <c r="JOW142" s="10"/>
      <c r="JOX142" s="57"/>
      <c r="JOY142" s="10"/>
      <c r="JOZ142" s="57"/>
      <c r="JPA142" s="10"/>
      <c r="JPB142" s="57"/>
      <c r="JPC142" s="10"/>
      <c r="JPD142" s="57"/>
      <c r="JPE142" s="10"/>
      <c r="JPF142" s="57"/>
      <c r="JPG142" s="10"/>
      <c r="JPH142" s="57"/>
      <c r="JPI142" s="10"/>
      <c r="JPJ142" s="57"/>
      <c r="JPK142" s="10"/>
      <c r="JPL142" s="57"/>
      <c r="JPM142" s="10"/>
      <c r="JPN142" s="57"/>
      <c r="JPO142" s="10"/>
      <c r="JPP142" s="57"/>
      <c r="JPQ142" s="10"/>
      <c r="JPR142" s="57"/>
      <c r="JPS142" s="10"/>
      <c r="JPT142" s="57"/>
      <c r="JPU142" s="10"/>
      <c r="JPV142" s="57"/>
      <c r="JPW142" s="10"/>
      <c r="JPX142" s="57"/>
      <c r="JPY142" s="10"/>
      <c r="JPZ142" s="57"/>
      <c r="JQA142" s="10"/>
      <c r="JQB142" s="57"/>
      <c r="JQC142" s="10"/>
      <c r="JQD142" s="57"/>
      <c r="JQE142" s="10"/>
      <c r="JQF142" s="57"/>
      <c r="JQG142" s="10"/>
      <c r="JQH142" s="57"/>
      <c r="JQI142" s="10"/>
      <c r="JQJ142" s="57"/>
      <c r="JQK142" s="10"/>
      <c r="JQL142" s="57"/>
      <c r="JQM142" s="10"/>
      <c r="JQN142" s="57"/>
      <c r="JQO142" s="10"/>
      <c r="JQP142" s="57"/>
      <c r="JQQ142" s="10"/>
      <c r="JQR142" s="57"/>
      <c r="JQS142" s="10"/>
      <c r="JQT142" s="57"/>
      <c r="JQU142" s="10"/>
      <c r="JQV142" s="57"/>
      <c r="JQW142" s="10"/>
      <c r="JQX142" s="57"/>
      <c r="JQY142" s="10"/>
      <c r="JQZ142" s="57"/>
      <c r="JRA142" s="10"/>
      <c r="JRB142" s="57"/>
      <c r="JRC142" s="10"/>
      <c r="JRD142" s="57"/>
      <c r="JRE142" s="10"/>
      <c r="JRF142" s="57"/>
      <c r="JRG142" s="10"/>
      <c r="JRH142" s="57"/>
      <c r="JRI142" s="10"/>
      <c r="JRJ142" s="57"/>
      <c r="JRK142" s="10"/>
      <c r="JRL142" s="57"/>
      <c r="JRM142" s="10"/>
      <c r="JRN142" s="57"/>
      <c r="JRO142" s="10"/>
      <c r="JRP142" s="57"/>
      <c r="JRQ142" s="10"/>
      <c r="JRR142" s="57"/>
      <c r="JRS142" s="10"/>
      <c r="JRT142" s="57"/>
      <c r="JRU142" s="10"/>
      <c r="JRV142" s="57"/>
      <c r="JRW142" s="10"/>
      <c r="JRX142" s="57"/>
      <c r="JRY142" s="10"/>
      <c r="JRZ142" s="57"/>
      <c r="JSA142" s="10"/>
      <c r="JSB142" s="57"/>
      <c r="JSC142" s="10"/>
      <c r="JSD142" s="57"/>
      <c r="JSE142" s="10"/>
      <c r="JSF142" s="57"/>
      <c r="JSG142" s="10"/>
      <c r="JSH142" s="57"/>
      <c r="JSI142" s="10"/>
      <c r="JSJ142" s="57"/>
      <c r="JSK142" s="10"/>
      <c r="JSL142" s="57"/>
      <c r="JSM142" s="10"/>
      <c r="JSN142" s="57"/>
      <c r="JSO142" s="10"/>
      <c r="JSP142" s="57"/>
      <c r="JSQ142" s="10"/>
      <c r="JSR142" s="57"/>
      <c r="JSS142" s="10"/>
      <c r="JST142" s="57"/>
      <c r="JSU142" s="10"/>
      <c r="JSV142" s="57"/>
      <c r="JSW142" s="10"/>
      <c r="JSX142" s="57"/>
      <c r="JSY142" s="10"/>
      <c r="JSZ142" s="57"/>
      <c r="JTA142" s="10"/>
      <c r="JTB142" s="57"/>
      <c r="JTC142" s="10"/>
      <c r="JTD142" s="57"/>
      <c r="JTE142" s="10"/>
      <c r="JTF142" s="57"/>
      <c r="JTG142" s="10"/>
      <c r="JTH142" s="57"/>
      <c r="JTI142" s="10"/>
      <c r="JTJ142" s="57"/>
      <c r="JTK142" s="10"/>
      <c r="JTL142" s="57"/>
      <c r="JTM142" s="10"/>
      <c r="JTN142" s="57"/>
      <c r="JTO142" s="10"/>
      <c r="JTP142" s="57"/>
      <c r="JTQ142" s="10"/>
      <c r="JTR142" s="57"/>
      <c r="JTS142" s="10"/>
      <c r="JTT142" s="57"/>
      <c r="JTU142" s="10"/>
      <c r="JTV142" s="57"/>
      <c r="JTW142" s="10"/>
      <c r="JTX142" s="57"/>
      <c r="JTY142" s="10"/>
      <c r="JTZ142" s="57"/>
      <c r="JUA142" s="10"/>
      <c r="JUB142" s="57"/>
      <c r="JUC142" s="10"/>
      <c r="JUD142" s="57"/>
      <c r="JUE142" s="10"/>
      <c r="JUF142" s="57"/>
      <c r="JUG142" s="10"/>
      <c r="JUH142" s="57"/>
      <c r="JUI142" s="10"/>
      <c r="JUJ142" s="57"/>
      <c r="JUK142" s="10"/>
      <c r="JUL142" s="57"/>
      <c r="JUM142" s="10"/>
      <c r="JUN142" s="57"/>
      <c r="JUO142" s="10"/>
      <c r="JUP142" s="57"/>
      <c r="JUQ142" s="10"/>
      <c r="JUR142" s="57"/>
      <c r="JUS142" s="10"/>
      <c r="JUT142" s="57"/>
      <c r="JUU142" s="10"/>
      <c r="JUV142" s="57"/>
      <c r="JUW142" s="10"/>
      <c r="JUX142" s="57"/>
      <c r="JUY142" s="10"/>
      <c r="JUZ142" s="57"/>
      <c r="JVA142" s="10"/>
      <c r="JVB142" s="57"/>
      <c r="JVC142" s="10"/>
      <c r="JVD142" s="57"/>
      <c r="JVE142" s="10"/>
      <c r="JVF142" s="57"/>
      <c r="JVG142" s="10"/>
      <c r="JVH142" s="57"/>
      <c r="JVI142" s="10"/>
      <c r="JVJ142" s="57"/>
      <c r="JVK142" s="10"/>
      <c r="JVL142" s="57"/>
      <c r="JVM142" s="10"/>
      <c r="JVN142" s="57"/>
      <c r="JVO142" s="10"/>
      <c r="JVP142" s="57"/>
      <c r="JVQ142" s="10"/>
      <c r="JVR142" s="57"/>
      <c r="JVS142" s="10"/>
      <c r="JVT142" s="57"/>
      <c r="JVU142" s="10"/>
      <c r="JVV142" s="57"/>
      <c r="JVW142" s="10"/>
      <c r="JVX142" s="57"/>
      <c r="JVY142" s="10"/>
      <c r="JVZ142" s="57"/>
      <c r="JWA142" s="10"/>
      <c r="JWB142" s="57"/>
      <c r="JWC142" s="10"/>
      <c r="JWD142" s="57"/>
      <c r="JWE142" s="10"/>
      <c r="JWF142" s="57"/>
      <c r="JWG142" s="10"/>
      <c r="JWH142" s="57"/>
      <c r="JWI142" s="10"/>
      <c r="JWJ142" s="57"/>
      <c r="JWK142" s="10"/>
      <c r="JWL142" s="57"/>
      <c r="JWM142" s="10"/>
      <c r="JWN142" s="57"/>
      <c r="JWO142" s="10"/>
      <c r="JWP142" s="57"/>
      <c r="JWQ142" s="10"/>
      <c r="JWR142" s="57"/>
      <c r="JWS142" s="10"/>
      <c r="JWT142" s="57"/>
      <c r="JWU142" s="10"/>
      <c r="JWV142" s="57"/>
      <c r="JWW142" s="10"/>
      <c r="JWX142" s="57"/>
      <c r="JWY142" s="10"/>
      <c r="JWZ142" s="57"/>
      <c r="JXA142" s="10"/>
      <c r="JXB142" s="57"/>
      <c r="JXC142" s="10"/>
      <c r="JXD142" s="57"/>
      <c r="JXE142" s="10"/>
      <c r="JXF142" s="57"/>
      <c r="JXG142" s="10"/>
      <c r="JXH142" s="57"/>
      <c r="JXI142" s="10"/>
      <c r="JXJ142" s="57"/>
      <c r="JXK142" s="10"/>
      <c r="JXL142" s="57"/>
      <c r="JXM142" s="10"/>
      <c r="JXN142" s="57"/>
      <c r="JXO142" s="10"/>
      <c r="JXP142" s="57"/>
      <c r="JXQ142" s="10"/>
      <c r="JXR142" s="57"/>
      <c r="JXS142" s="10"/>
      <c r="JXT142" s="57"/>
      <c r="JXU142" s="10"/>
      <c r="JXV142" s="57"/>
      <c r="JXW142" s="10"/>
      <c r="JXX142" s="57"/>
      <c r="JXY142" s="10"/>
      <c r="JXZ142" s="57"/>
      <c r="JYA142" s="10"/>
      <c r="JYB142" s="57"/>
      <c r="JYC142" s="10"/>
      <c r="JYD142" s="57"/>
      <c r="JYE142" s="10"/>
      <c r="JYF142" s="57"/>
      <c r="JYG142" s="10"/>
      <c r="JYH142" s="57"/>
      <c r="JYI142" s="10"/>
      <c r="JYJ142" s="57"/>
      <c r="JYK142" s="10"/>
      <c r="JYL142" s="57"/>
      <c r="JYM142" s="10"/>
      <c r="JYN142" s="57"/>
      <c r="JYO142" s="10"/>
      <c r="JYP142" s="57"/>
      <c r="JYQ142" s="10"/>
      <c r="JYR142" s="57"/>
      <c r="JYS142" s="10"/>
      <c r="JYT142" s="57"/>
      <c r="JYU142" s="10"/>
      <c r="JYV142" s="57"/>
      <c r="JYW142" s="10"/>
      <c r="JYX142" s="57"/>
      <c r="JYY142" s="10"/>
      <c r="JYZ142" s="57"/>
      <c r="JZA142" s="10"/>
      <c r="JZB142" s="57"/>
      <c r="JZC142" s="10"/>
      <c r="JZD142" s="57"/>
      <c r="JZE142" s="10"/>
      <c r="JZF142" s="57"/>
      <c r="JZG142" s="10"/>
      <c r="JZH142" s="57"/>
      <c r="JZI142" s="10"/>
      <c r="JZJ142" s="57"/>
      <c r="JZK142" s="10"/>
      <c r="JZL142" s="57"/>
      <c r="JZM142" s="10"/>
      <c r="JZN142" s="57"/>
      <c r="JZO142" s="10"/>
      <c r="JZP142" s="57"/>
      <c r="JZQ142" s="10"/>
      <c r="JZR142" s="57"/>
      <c r="JZS142" s="10"/>
      <c r="JZT142" s="57"/>
      <c r="JZU142" s="10"/>
      <c r="JZV142" s="57"/>
      <c r="JZW142" s="10"/>
      <c r="JZX142" s="57"/>
      <c r="JZY142" s="10"/>
      <c r="JZZ142" s="57"/>
      <c r="KAA142" s="10"/>
      <c r="KAB142" s="57"/>
      <c r="KAC142" s="10"/>
      <c r="KAD142" s="57"/>
      <c r="KAE142" s="10"/>
      <c r="KAF142" s="57"/>
      <c r="KAG142" s="10"/>
      <c r="KAH142" s="57"/>
      <c r="KAI142" s="10"/>
      <c r="KAJ142" s="57"/>
      <c r="KAK142" s="10"/>
      <c r="KAL142" s="57"/>
      <c r="KAM142" s="10"/>
      <c r="KAN142" s="57"/>
      <c r="KAO142" s="10"/>
      <c r="KAP142" s="57"/>
      <c r="KAQ142" s="10"/>
      <c r="KAR142" s="57"/>
      <c r="KAS142" s="10"/>
      <c r="KAT142" s="57"/>
      <c r="KAU142" s="10"/>
      <c r="KAV142" s="57"/>
      <c r="KAW142" s="10"/>
      <c r="KAX142" s="57"/>
      <c r="KAY142" s="10"/>
      <c r="KAZ142" s="57"/>
      <c r="KBA142" s="10"/>
      <c r="KBB142" s="57"/>
      <c r="KBC142" s="10"/>
      <c r="KBD142" s="57"/>
      <c r="KBE142" s="10"/>
      <c r="KBF142" s="57"/>
      <c r="KBG142" s="10"/>
      <c r="KBH142" s="57"/>
      <c r="KBI142" s="10"/>
      <c r="KBJ142" s="57"/>
      <c r="KBK142" s="10"/>
      <c r="KBL142" s="57"/>
      <c r="KBM142" s="10"/>
      <c r="KBN142" s="57"/>
      <c r="KBO142" s="10"/>
      <c r="KBP142" s="57"/>
      <c r="KBQ142" s="10"/>
      <c r="KBR142" s="57"/>
      <c r="KBS142" s="10"/>
      <c r="KBT142" s="57"/>
      <c r="KBU142" s="10"/>
      <c r="KBV142" s="57"/>
      <c r="KBW142" s="10"/>
      <c r="KBX142" s="57"/>
      <c r="KBY142" s="10"/>
      <c r="KBZ142" s="57"/>
      <c r="KCA142" s="10"/>
      <c r="KCB142" s="57"/>
      <c r="KCC142" s="10"/>
      <c r="KCD142" s="57"/>
      <c r="KCE142" s="10"/>
      <c r="KCF142" s="57"/>
      <c r="KCG142" s="10"/>
      <c r="KCH142" s="57"/>
      <c r="KCI142" s="10"/>
      <c r="KCJ142" s="57"/>
      <c r="KCK142" s="10"/>
      <c r="KCL142" s="57"/>
      <c r="KCM142" s="10"/>
      <c r="KCN142" s="57"/>
      <c r="KCO142" s="10"/>
      <c r="KCP142" s="57"/>
      <c r="KCQ142" s="10"/>
      <c r="KCR142" s="57"/>
      <c r="KCS142" s="10"/>
      <c r="KCT142" s="57"/>
      <c r="KCU142" s="10"/>
      <c r="KCV142" s="57"/>
      <c r="KCW142" s="10"/>
      <c r="KCX142" s="57"/>
      <c r="KCY142" s="10"/>
      <c r="KCZ142" s="57"/>
      <c r="KDA142" s="10"/>
      <c r="KDB142" s="57"/>
      <c r="KDC142" s="10"/>
      <c r="KDD142" s="57"/>
      <c r="KDE142" s="10"/>
      <c r="KDF142" s="57"/>
      <c r="KDG142" s="10"/>
      <c r="KDH142" s="57"/>
      <c r="KDI142" s="10"/>
      <c r="KDJ142" s="57"/>
      <c r="KDK142" s="10"/>
      <c r="KDL142" s="57"/>
      <c r="KDM142" s="10"/>
      <c r="KDN142" s="57"/>
      <c r="KDO142" s="10"/>
      <c r="KDP142" s="57"/>
      <c r="KDQ142" s="10"/>
      <c r="KDR142" s="57"/>
      <c r="KDS142" s="10"/>
      <c r="KDT142" s="57"/>
      <c r="KDU142" s="10"/>
      <c r="KDV142" s="57"/>
      <c r="KDW142" s="10"/>
      <c r="KDX142" s="57"/>
      <c r="KDY142" s="10"/>
      <c r="KDZ142" s="57"/>
      <c r="KEA142" s="10"/>
      <c r="KEB142" s="57"/>
      <c r="KEC142" s="10"/>
      <c r="KED142" s="57"/>
      <c r="KEE142" s="10"/>
      <c r="KEF142" s="57"/>
      <c r="KEG142" s="10"/>
      <c r="KEH142" s="57"/>
      <c r="KEI142" s="10"/>
      <c r="KEJ142" s="57"/>
      <c r="KEK142" s="10"/>
      <c r="KEL142" s="57"/>
      <c r="KEM142" s="10"/>
      <c r="KEN142" s="57"/>
      <c r="KEO142" s="10"/>
      <c r="KEP142" s="57"/>
      <c r="KEQ142" s="10"/>
      <c r="KER142" s="57"/>
      <c r="KES142" s="10"/>
      <c r="KET142" s="57"/>
      <c r="KEU142" s="10"/>
      <c r="KEV142" s="57"/>
      <c r="KEW142" s="10"/>
      <c r="KEX142" s="57"/>
      <c r="KEY142" s="10"/>
      <c r="KEZ142" s="57"/>
      <c r="KFA142" s="10"/>
      <c r="KFB142" s="57"/>
      <c r="KFC142" s="10"/>
      <c r="KFD142" s="57"/>
      <c r="KFE142" s="10"/>
      <c r="KFF142" s="57"/>
      <c r="KFG142" s="10"/>
      <c r="KFH142" s="57"/>
      <c r="KFI142" s="10"/>
      <c r="KFJ142" s="57"/>
      <c r="KFK142" s="10"/>
      <c r="KFL142" s="57"/>
      <c r="KFM142" s="10"/>
      <c r="KFN142" s="57"/>
      <c r="KFO142" s="10"/>
      <c r="KFP142" s="57"/>
      <c r="KFQ142" s="10"/>
      <c r="KFR142" s="57"/>
      <c r="KFS142" s="10"/>
      <c r="KFT142" s="57"/>
      <c r="KFU142" s="10"/>
      <c r="KFV142" s="57"/>
      <c r="KFW142" s="10"/>
      <c r="KFX142" s="57"/>
      <c r="KFY142" s="10"/>
      <c r="KFZ142" s="57"/>
      <c r="KGA142" s="10"/>
      <c r="KGB142" s="57"/>
      <c r="KGC142" s="10"/>
      <c r="KGD142" s="57"/>
      <c r="KGE142" s="10"/>
      <c r="KGF142" s="57"/>
      <c r="KGG142" s="10"/>
      <c r="KGH142" s="57"/>
      <c r="KGI142" s="10"/>
      <c r="KGJ142" s="57"/>
      <c r="KGK142" s="10"/>
      <c r="KGL142" s="57"/>
      <c r="KGM142" s="10"/>
      <c r="KGN142" s="57"/>
      <c r="KGO142" s="10"/>
      <c r="KGP142" s="57"/>
      <c r="KGQ142" s="10"/>
      <c r="KGR142" s="57"/>
      <c r="KGS142" s="10"/>
      <c r="KGT142" s="57"/>
      <c r="KGU142" s="10"/>
      <c r="KGV142" s="57"/>
      <c r="KGW142" s="10"/>
      <c r="KGX142" s="57"/>
      <c r="KGY142" s="10"/>
      <c r="KGZ142" s="57"/>
      <c r="KHA142" s="10"/>
      <c r="KHB142" s="57"/>
      <c r="KHC142" s="10"/>
      <c r="KHD142" s="57"/>
      <c r="KHE142" s="10"/>
      <c r="KHF142" s="57"/>
      <c r="KHG142" s="10"/>
      <c r="KHH142" s="57"/>
      <c r="KHI142" s="10"/>
      <c r="KHJ142" s="57"/>
      <c r="KHK142" s="10"/>
      <c r="KHL142" s="57"/>
      <c r="KHM142" s="10"/>
      <c r="KHN142" s="57"/>
      <c r="KHO142" s="10"/>
      <c r="KHP142" s="57"/>
      <c r="KHQ142" s="10"/>
      <c r="KHR142" s="57"/>
      <c r="KHS142" s="10"/>
      <c r="KHT142" s="57"/>
      <c r="KHU142" s="10"/>
      <c r="KHV142" s="57"/>
      <c r="KHW142" s="10"/>
      <c r="KHX142" s="57"/>
      <c r="KHY142" s="10"/>
      <c r="KHZ142" s="57"/>
      <c r="KIA142" s="10"/>
      <c r="KIB142" s="57"/>
      <c r="KIC142" s="10"/>
      <c r="KID142" s="57"/>
      <c r="KIE142" s="10"/>
      <c r="KIF142" s="57"/>
      <c r="KIG142" s="10"/>
      <c r="KIH142" s="57"/>
      <c r="KII142" s="10"/>
      <c r="KIJ142" s="57"/>
      <c r="KIK142" s="10"/>
      <c r="KIL142" s="57"/>
      <c r="KIM142" s="10"/>
      <c r="KIN142" s="57"/>
      <c r="KIO142" s="10"/>
      <c r="KIP142" s="57"/>
      <c r="KIQ142" s="10"/>
      <c r="KIR142" s="57"/>
      <c r="KIS142" s="10"/>
      <c r="KIT142" s="57"/>
      <c r="KIU142" s="10"/>
      <c r="KIV142" s="57"/>
      <c r="KIW142" s="10"/>
      <c r="KIX142" s="57"/>
      <c r="KIY142" s="10"/>
      <c r="KIZ142" s="57"/>
      <c r="KJA142" s="10"/>
      <c r="KJB142" s="57"/>
      <c r="KJC142" s="10"/>
      <c r="KJD142" s="57"/>
      <c r="KJE142" s="10"/>
      <c r="KJF142" s="57"/>
      <c r="KJG142" s="10"/>
      <c r="KJH142" s="57"/>
      <c r="KJI142" s="10"/>
      <c r="KJJ142" s="57"/>
      <c r="KJK142" s="10"/>
      <c r="KJL142" s="57"/>
      <c r="KJM142" s="10"/>
      <c r="KJN142" s="57"/>
      <c r="KJO142" s="10"/>
      <c r="KJP142" s="57"/>
      <c r="KJQ142" s="10"/>
      <c r="KJR142" s="57"/>
      <c r="KJS142" s="10"/>
      <c r="KJT142" s="57"/>
      <c r="KJU142" s="10"/>
      <c r="KJV142" s="57"/>
      <c r="KJW142" s="10"/>
      <c r="KJX142" s="57"/>
      <c r="KJY142" s="10"/>
      <c r="KJZ142" s="57"/>
      <c r="KKA142" s="10"/>
      <c r="KKB142" s="57"/>
      <c r="KKC142" s="10"/>
      <c r="KKD142" s="57"/>
      <c r="KKE142" s="10"/>
      <c r="KKF142" s="57"/>
      <c r="KKG142" s="10"/>
      <c r="KKH142" s="57"/>
      <c r="KKI142" s="10"/>
      <c r="KKJ142" s="57"/>
      <c r="KKK142" s="10"/>
      <c r="KKL142" s="57"/>
      <c r="KKM142" s="10"/>
      <c r="KKN142" s="57"/>
      <c r="KKO142" s="10"/>
      <c r="KKP142" s="57"/>
      <c r="KKQ142" s="10"/>
      <c r="KKR142" s="57"/>
      <c r="KKS142" s="10"/>
      <c r="KKT142" s="57"/>
      <c r="KKU142" s="10"/>
      <c r="KKV142" s="57"/>
      <c r="KKW142" s="10"/>
      <c r="KKX142" s="57"/>
      <c r="KKY142" s="10"/>
      <c r="KKZ142" s="57"/>
      <c r="KLA142" s="10"/>
      <c r="KLB142" s="57"/>
      <c r="KLC142" s="10"/>
      <c r="KLD142" s="57"/>
      <c r="KLE142" s="10"/>
      <c r="KLF142" s="57"/>
      <c r="KLG142" s="10"/>
      <c r="KLH142" s="57"/>
      <c r="KLI142" s="10"/>
      <c r="KLJ142" s="57"/>
      <c r="KLK142" s="10"/>
      <c r="KLL142" s="57"/>
      <c r="KLM142" s="10"/>
      <c r="KLN142" s="57"/>
      <c r="KLO142" s="10"/>
      <c r="KLP142" s="57"/>
      <c r="KLQ142" s="10"/>
      <c r="KLR142" s="57"/>
      <c r="KLS142" s="10"/>
      <c r="KLT142" s="57"/>
      <c r="KLU142" s="10"/>
      <c r="KLV142" s="57"/>
      <c r="KLW142" s="10"/>
      <c r="KLX142" s="57"/>
      <c r="KLY142" s="10"/>
      <c r="KLZ142" s="57"/>
      <c r="KMA142" s="10"/>
      <c r="KMB142" s="57"/>
      <c r="KMC142" s="10"/>
      <c r="KMD142" s="57"/>
      <c r="KME142" s="10"/>
      <c r="KMF142" s="57"/>
      <c r="KMG142" s="10"/>
      <c r="KMH142" s="57"/>
      <c r="KMI142" s="10"/>
      <c r="KMJ142" s="57"/>
      <c r="KMK142" s="10"/>
      <c r="KML142" s="57"/>
      <c r="KMM142" s="10"/>
      <c r="KMN142" s="57"/>
      <c r="KMO142" s="10"/>
      <c r="KMP142" s="57"/>
      <c r="KMQ142" s="10"/>
      <c r="KMR142" s="57"/>
      <c r="KMS142" s="10"/>
      <c r="KMT142" s="57"/>
      <c r="KMU142" s="10"/>
      <c r="KMV142" s="57"/>
      <c r="KMW142" s="10"/>
      <c r="KMX142" s="57"/>
      <c r="KMY142" s="10"/>
      <c r="KMZ142" s="57"/>
      <c r="KNA142" s="10"/>
      <c r="KNB142" s="57"/>
      <c r="KNC142" s="10"/>
      <c r="KND142" s="57"/>
      <c r="KNE142" s="10"/>
      <c r="KNF142" s="57"/>
      <c r="KNG142" s="10"/>
      <c r="KNH142" s="57"/>
      <c r="KNI142" s="10"/>
      <c r="KNJ142" s="57"/>
      <c r="KNK142" s="10"/>
      <c r="KNL142" s="57"/>
      <c r="KNM142" s="10"/>
      <c r="KNN142" s="57"/>
      <c r="KNO142" s="10"/>
      <c r="KNP142" s="57"/>
      <c r="KNQ142" s="10"/>
      <c r="KNR142" s="57"/>
      <c r="KNS142" s="10"/>
      <c r="KNT142" s="57"/>
      <c r="KNU142" s="10"/>
      <c r="KNV142" s="57"/>
      <c r="KNW142" s="10"/>
      <c r="KNX142" s="57"/>
      <c r="KNY142" s="10"/>
      <c r="KNZ142" s="57"/>
      <c r="KOA142" s="10"/>
      <c r="KOB142" s="57"/>
      <c r="KOC142" s="10"/>
      <c r="KOD142" s="57"/>
      <c r="KOE142" s="10"/>
      <c r="KOF142" s="57"/>
      <c r="KOG142" s="10"/>
      <c r="KOH142" s="57"/>
      <c r="KOI142" s="10"/>
      <c r="KOJ142" s="57"/>
      <c r="KOK142" s="10"/>
      <c r="KOL142" s="57"/>
      <c r="KOM142" s="10"/>
      <c r="KON142" s="57"/>
      <c r="KOO142" s="10"/>
      <c r="KOP142" s="57"/>
      <c r="KOQ142" s="10"/>
      <c r="KOR142" s="57"/>
      <c r="KOS142" s="10"/>
      <c r="KOT142" s="57"/>
      <c r="KOU142" s="10"/>
      <c r="KOV142" s="57"/>
      <c r="KOW142" s="10"/>
      <c r="KOX142" s="57"/>
      <c r="KOY142" s="10"/>
      <c r="KOZ142" s="57"/>
      <c r="KPA142" s="10"/>
      <c r="KPB142" s="57"/>
      <c r="KPC142" s="10"/>
      <c r="KPD142" s="57"/>
      <c r="KPE142" s="10"/>
      <c r="KPF142" s="57"/>
      <c r="KPG142" s="10"/>
      <c r="KPH142" s="57"/>
      <c r="KPI142" s="10"/>
      <c r="KPJ142" s="57"/>
      <c r="KPK142" s="10"/>
      <c r="KPL142" s="57"/>
      <c r="KPM142" s="10"/>
      <c r="KPN142" s="57"/>
      <c r="KPO142" s="10"/>
      <c r="KPP142" s="57"/>
      <c r="KPQ142" s="10"/>
      <c r="KPR142" s="57"/>
      <c r="KPS142" s="10"/>
      <c r="KPT142" s="57"/>
      <c r="KPU142" s="10"/>
      <c r="KPV142" s="57"/>
      <c r="KPW142" s="10"/>
      <c r="KPX142" s="57"/>
      <c r="KPY142" s="10"/>
      <c r="KPZ142" s="57"/>
      <c r="KQA142" s="10"/>
      <c r="KQB142" s="57"/>
      <c r="KQC142" s="10"/>
      <c r="KQD142" s="57"/>
      <c r="KQE142" s="10"/>
      <c r="KQF142" s="57"/>
      <c r="KQG142" s="10"/>
      <c r="KQH142" s="57"/>
      <c r="KQI142" s="10"/>
      <c r="KQJ142" s="57"/>
      <c r="KQK142" s="10"/>
      <c r="KQL142" s="57"/>
      <c r="KQM142" s="10"/>
      <c r="KQN142" s="57"/>
      <c r="KQO142" s="10"/>
      <c r="KQP142" s="57"/>
      <c r="KQQ142" s="10"/>
      <c r="KQR142" s="57"/>
      <c r="KQS142" s="10"/>
      <c r="KQT142" s="57"/>
      <c r="KQU142" s="10"/>
      <c r="KQV142" s="57"/>
      <c r="KQW142" s="10"/>
      <c r="KQX142" s="57"/>
      <c r="KQY142" s="10"/>
      <c r="KQZ142" s="57"/>
      <c r="KRA142" s="10"/>
      <c r="KRB142" s="57"/>
      <c r="KRC142" s="10"/>
      <c r="KRD142" s="57"/>
      <c r="KRE142" s="10"/>
      <c r="KRF142" s="57"/>
      <c r="KRG142" s="10"/>
      <c r="KRH142" s="57"/>
      <c r="KRI142" s="10"/>
      <c r="KRJ142" s="57"/>
      <c r="KRK142" s="10"/>
      <c r="KRL142" s="57"/>
      <c r="KRM142" s="10"/>
      <c r="KRN142" s="57"/>
      <c r="KRO142" s="10"/>
      <c r="KRP142" s="57"/>
      <c r="KRQ142" s="10"/>
      <c r="KRR142" s="57"/>
      <c r="KRS142" s="10"/>
      <c r="KRT142" s="57"/>
      <c r="KRU142" s="10"/>
      <c r="KRV142" s="57"/>
      <c r="KRW142" s="10"/>
      <c r="KRX142" s="57"/>
      <c r="KRY142" s="10"/>
      <c r="KRZ142" s="57"/>
      <c r="KSA142" s="10"/>
      <c r="KSB142" s="57"/>
      <c r="KSC142" s="10"/>
      <c r="KSD142" s="57"/>
      <c r="KSE142" s="10"/>
      <c r="KSF142" s="57"/>
      <c r="KSG142" s="10"/>
      <c r="KSH142" s="57"/>
      <c r="KSI142" s="10"/>
      <c r="KSJ142" s="57"/>
      <c r="KSK142" s="10"/>
      <c r="KSL142" s="57"/>
      <c r="KSM142" s="10"/>
      <c r="KSN142" s="57"/>
      <c r="KSO142" s="10"/>
      <c r="KSP142" s="57"/>
      <c r="KSQ142" s="10"/>
      <c r="KSR142" s="57"/>
      <c r="KSS142" s="10"/>
      <c r="KST142" s="57"/>
      <c r="KSU142" s="10"/>
      <c r="KSV142" s="57"/>
      <c r="KSW142" s="10"/>
      <c r="KSX142" s="57"/>
      <c r="KSY142" s="10"/>
      <c r="KSZ142" s="57"/>
      <c r="KTA142" s="10"/>
      <c r="KTB142" s="57"/>
      <c r="KTC142" s="10"/>
      <c r="KTD142" s="57"/>
      <c r="KTE142" s="10"/>
      <c r="KTF142" s="57"/>
      <c r="KTG142" s="10"/>
      <c r="KTH142" s="57"/>
      <c r="KTI142" s="10"/>
      <c r="KTJ142" s="57"/>
      <c r="KTK142" s="10"/>
      <c r="KTL142" s="57"/>
      <c r="KTM142" s="10"/>
      <c r="KTN142" s="57"/>
      <c r="KTO142" s="10"/>
      <c r="KTP142" s="57"/>
      <c r="KTQ142" s="10"/>
      <c r="KTR142" s="57"/>
      <c r="KTS142" s="10"/>
      <c r="KTT142" s="57"/>
      <c r="KTU142" s="10"/>
      <c r="KTV142" s="57"/>
      <c r="KTW142" s="10"/>
      <c r="KTX142" s="57"/>
      <c r="KTY142" s="10"/>
      <c r="KTZ142" s="57"/>
      <c r="KUA142" s="10"/>
      <c r="KUB142" s="57"/>
      <c r="KUC142" s="10"/>
      <c r="KUD142" s="57"/>
      <c r="KUE142" s="10"/>
      <c r="KUF142" s="57"/>
      <c r="KUG142" s="10"/>
      <c r="KUH142" s="57"/>
      <c r="KUI142" s="10"/>
      <c r="KUJ142" s="57"/>
      <c r="KUK142" s="10"/>
      <c r="KUL142" s="57"/>
      <c r="KUM142" s="10"/>
      <c r="KUN142" s="57"/>
      <c r="KUO142" s="10"/>
      <c r="KUP142" s="57"/>
      <c r="KUQ142" s="10"/>
      <c r="KUR142" s="57"/>
      <c r="KUS142" s="10"/>
      <c r="KUT142" s="57"/>
      <c r="KUU142" s="10"/>
      <c r="KUV142" s="57"/>
      <c r="KUW142" s="10"/>
      <c r="KUX142" s="57"/>
      <c r="KUY142" s="10"/>
      <c r="KUZ142" s="57"/>
      <c r="KVA142" s="10"/>
      <c r="KVB142" s="57"/>
      <c r="KVC142" s="10"/>
      <c r="KVD142" s="57"/>
      <c r="KVE142" s="10"/>
      <c r="KVF142" s="57"/>
      <c r="KVG142" s="10"/>
      <c r="KVH142" s="57"/>
      <c r="KVI142" s="10"/>
      <c r="KVJ142" s="57"/>
      <c r="KVK142" s="10"/>
      <c r="KVL142" s="57"/>
      <c r="KVM142" s="10"/>
      <c r="KVN142" s="57"/>
      <c r="KVO142" s="10"/>
      <c r="KVP142" s="57"/>
      <c r="KVQ142" s="10"/>
      <c r="KVR142" s="57"/>
      <c r="KVS142" s="10"/>
      <c r="KVT142" s="57"/>
      <c r="KVU142" s="10"/>
      <c r="KVV142" s="57"/>
      <c r="KVW142" s="10"/>
      <c r="KVX142" s="57"/>
      <c r="KVY142" s="10"/>
      <c r="KVZ142" s="57"/>
      <c r="KWA142" s="10"/>
      <c r="KWB142" s="57"/>
      <c r="KWC142" s="10"/>
      <c r="KWD142" s="57"/>
      <c r="KWE142" s="10"/>
      <c r="KWF142" s="57"/>
      <c r="KWG142" s="10"/>
      <c r="KWH142" s="57"/>
      <c r="KWI142" s="10"/>
      <c r="KWJ142" s="57"/>
      <c r="KWK142" s="10"/>
      <c r="KWL142" s="57"/>
      <c r="KWM142" s="10"/>
      <c r="KWN142" s="57"/>
      <c r="KWO142" s="10"/>
      <c r="KWP142" s="57"/>
      <c r="KWQ142" s="10"/>
      <c r="KWR142" s="57"/>
      <c r="KWS142" s="10"/>
      <c r="KWT142" s="57"/>
      <c r="KWU142" s="10"/>
      <c r="KWV142" s="57"/>
      <c r="KWW142" s="10"/>
      <c r="KWX142" s="57"/>
      <c r="KWY142" s="10"/>
      <c r="KWZ142" s="57"/>
      <c r="KXA142" s="10"/>
      <c r="KXB142" s="57"/>
      <c r="KXC142" s="10"/>
      <c r="KXD142" s="57"/>
      <c r="KXE142" s="10"/>
      <c r="KXF142" s="57"/>
      <c r="KXG142" s="10"/>
      <c r="KXH142" s="57"/>
      <c r="KXI142" s="10"/>
      <c r="KXJ142" s="57"/>
      <c r="KXK142" s="10"/>
      <c r="KXL142" s="57"/>
      <c r="KXM142" s="10"/>
      <c r="KXN142" s="57"/>
      <c r="KXO142" s="10"/>
      <c r="KXP142" s="57"/>
      <c r="KXQ142" s="10"/>
      <c r="KXR142" s="57"/>
      <c r="KXS142" s="10"/>
      <c r="KXT142" s="57"/>
      <c r="KXU142" s="10"/>
      <c r="KXV142" s="57"/>
      <c r="KXW142" s="10"/>
      <c r="KXX142" s="57"/>
      <c r="KXY142" s="10"/>
      <c r="KXZ142" s="57"/>
      <c r="KYA142" s="10"/>
      <c r="KYB142" s="57"/>
      <c r="KYC142" s="10"/>
      <c r="KYD142" s="57"/>
      <c r="KYE142" s="10"/>
      <c r="KYF142" s="57"/>
      <c r="KYG142" s="10"/>
      <c r="KYH142" s="57"/>
      <c r="KYI142" s="10"/>
      <c r="KYJ142" s="57"/>
      <c r="KYK142" s="10"/>
      <c r="KYL142" s="57"/>
      <c r="KYM142" s="10"/>
      <c r="KYN142" s="57"/>
      <c r="KYO142" s="10"/>
      <c r="KYP142" s="57"/>
      <c r="KYQ142" s="10"/>
      <c r="KYR142" s="57"/>
      <c r="KYS142" s="10"/>
      <c r="KYT142" s="57"/>
      <c r="KYU142" s="10"/>
      <c r="KYV142" s="57"/>
      <c r="KYW142" s="10"/>
      <c r="KYX142" s="57"/>
      <c r="KYY142" s="10"/>
      <c r="KYZ142" s="57"/>
      <c r="KZA142" s="10"/>
      <c r="KZB142" s="57"/>
      <c r="KZC142" s="10"/>
      <c r="KZD142" s="57"/>
      <c r="KZE142" s="10"/>
      <c r="KZF142" s="57"/>
      <c r="KZG142" s="10"/>
      <c r="KZH142" s="57"/>
      <c r="KZI142" s="10"/>
      <c r="KZJ142" s="57"/>
      <c r="KZK142" s="10"/>
      <c r="KZL142" s="57"/>
      <c r="KZM142" s="10"/>
      <c r="KZN142" s="57"/>
      <c r="KZO142" s="10"/>
      <c r="KZP142" s="57"/>
      <c r="KZQ142" s="10"/>
      <c r="KZR142" s="57"/>
      <c r="KZS142" s="10"/>
      <c r="KZT142" s="57"/>
      <c r="KZU142" s="10"/>
      <c r="KZV142" s="57"/>
      <c r="KZW142" s="10"/>
      <c r="KZX142" s="57"/>
      <c r="KZY142" s="10"/>
      <c r="KZZ142" s="57"/>
      <c r="LAA142" s="10"/>
      <c r="LAB142" s="57"/>
      <c r="LAC142" s="10"/>
      <c r="LAD142" s="57"/>
      <c r="LAE142" s="10"/>
      <c r="LAF142" s="57"/>
      <c r="LAG142" s="10"/>
      <c r="LAH142" s="57"/>
      <c r="LAI142" s="10"/>
      <c r="LAJ142" s="57"/>
      <c r="LAK142" s="10"/>
      <c r="LAL142" s="57"/>
      <c r="LAM142" s="10"/>
      <c r="LAN142" s="57"/>
      <c r="LAO142" s="10"/>
      <c r="LAP142" s="57"/>
      <c r="LAQ142" s="10"/>
      <c r="LAR142" s="57"/>
      <c r="LAS142" s="10"/>
      <c r="LAT142" s="57"/>
      <c r="LAU142" s="10"/>
      <c r="LAV142" s="57"/>
      <c r="LAW142" s="10"/>
      <c r="LAX142" s="57"/>
      <c r="LAY142" s="10"/>
      <c r="LAZ142" s="57"/>
      <c r="LBA142" s="10"/>
      <c r="LBB142" s="57"/>
      <c r="LBC142" s="10"/>
      <c r="LBD142" s="57"/>
      <c r="LBE142" s="10"/>
      <c r="LBF142" s="57"/>
      <c r="LBG142" s="10"/>
      <c r="LBH142" s="57"/>
      <c r="LBI142" s="10"/>
      <c r="LBJ142" s="57"/>
      <c r="LBK142" s="10"/>
      <c r="LBL142" s="57"/>
      <c r="LBM142" s="10"/>
      <c r="LBN142" s="57"/>
      <c r="LBO142" s="10"/>
      <c r="LBP142" s="57"/>
      <c r="LBQ142" s="10"/>
      <c r="LBR142" s="57"/>
      <c r="LBS142" s="10"/>
      <c r="LBT142" s="57"/>
      <c r="LBU142" s="10"/>
      <c r="LBV142" s="57"/>
      <c r="LBW142" s="10"/>
      <c r="LBX142" s="57"/>
      <c r="LBY142" s="10"/>
      <c r="LBZ142" s="57"/>
      <c r="LCA142" s="10"/>
      <c r="LCB142" s="57"/>
      <c r="LCC142" s="10"/>
      <c r="LCD142" s="57"/>
      <c r="LCE142" s="10"/>
      <c r="LCF142" s="57"/>
      <c r="LCG142" s="10"/>
      <c r="LCH142" s="57"/>
      <c r="LCI142" s="10"/>
      <c r="LCJ142" s="57"/>
      <c r="LCK142" s="10"/>
      <c r="LCL142" s="57"/>
      <c r="LCM142" s="10"/>
      <c r="LCN142" s="57"/>
      <c r="LCO142" s="10"/>
      <c r="LCP142" s="57"/>
      <c r="LCQ142" s="10"/>
      <c r="LCR142" s="57"/>
      <c r="LCS142" s="10"/>
      <c r="LCT142" s="57"/>
      <c r="LCU142" s="10"/>
      <c r="LCV142" s="57"/>
      <c r="LCW142" s="10"/>
      <c r="LCX142" s="57"/>
      <c r="LCY142" s="10"/>
      <c r="LCZ142" s="57"/>
      <c r="LDA142" s="10"/>
      <c r="LDB142" s="57"/>
      <c r="LDC142" s="10"/>
      <c r="LDD142" s="57"/>
      <c r="LDE142" s="10"/>
      <c r="LDF142" s="57"/>
      <c r="LDG142" s="10"/>
      <c r="LDH142" s="57"/>
      <c r="LDI142" s="10"/>
      <c r="LDJ142" s="57"/>
      <c r="LDK142" s="10"/>
      <c r="LDL142" s="57"/>
      <c r="LDM142" s="10"/>
      <c r="LDN142" s="57"/>
      <c r="LDO142" s="10"/>
      <c r="LDP142" s="57"/>
      <c r="LDQ142" s="10"/>
      <c r="LDR142" s="57"/>
      <c r="LDS142" s="10"/>
      <c r="LDT142" s="57"/>
      <c r="LDU142" s="10"/>
      <c r="LDV142" s="57"/>
      <c r="LDW142" s="10"/>
      <c r="LDX142" s="57"/>
      <c r="LDY142" s="10"/>
      <c r="LDZ142" s="57"/>
      <c r="LEA142" s="10"/>
      <c r="LEB142" s="57"/>
      <c r="LEC142" s="10"/>
      <c r="LED142" s="57"/>
      <c r="LEE142" s="10"/>
      <c r="LEF142" s="57"/>
      <c r="LEG142" s="10"/>
      <c r="LEH142" s="57"/>
      <c r="LEI142" s="10"/>
      <c r="LEJ142" s="57"/>
      <c r="LEK142" s="10"/>
      <c r="LEL142" s="57"/>
      <c r="LEM142" s="10"/>
      <c r="LEN142" s="57"/>
      <c r="LEO142" s="10"/>
      <c r="LEP142" s="57"/>
      <c r="LEQ142" s="10"/>
      <c r="LER142" s="57"/>
      <c r="LES142" s="10"/>
      <c r="LET142" s="57"/>
      <c r="LEU142" s="10"/>
      <c r="LEV142" s="57"/>
      <c r="LEW142" s="10"/>
      <c r="LEX142" s="57"/>
      <c r="LEY142" s="10"/>
      <c r="LEZ142" s="57"/>
      <c r="LFA142" s="10"/>
      <c r="LFB142" s="57"/>
      <c r="LFC142" s="10"/>
      <c r="LFD142" s="57"/>
      <c r="LFE142" s="10"/>
      <c r="LFF142" s="57"/>
      <c r="LFG142" s="10"/>
      <c r="LFH142" s="57"/>
      <c r="LFI142" s="10"/>
      <c r="LFJ142" s="57"/>
      <c r="LFK142" s="10"/>
      <c r="LFL142" s="57"/>
      <c r="LFM142" s="10"/>
      <c r="LFN142" s="57"/>
      <c r="LFO142" s="10"/>
      <c r="LFP142" s="57"/>
      <c r="LFQ142" s="10"/>
      <c r="LFR142" s="57"/>
      <c r="LFS142" s="10"/>
      <c r="LFT142" s="57"/>
      <c r="LFU142" s="10"/>
      <c r="LFV142" s="57"/>
      <c r="LFW142" s="10"/>
      <c r="LFX142" s="57"/>
      <c r="LFY142" s="10"/>
      <c r="LFZ142" s="57"/>
      <c r="LGA142" s="10"/>
      <c r="LGB142" s="57"/>
      <c r="LGC142" s="10"/>
      <c r="LGD142" s="57"/>
      <c r="LGE142" s="10"/>
      <c r="LGF142" s="57"/>
      <c r="LGG142" s="10"/>
      <c r="LGH142" s="57"/>
      <c r="LGI142" s="10"/>
      <c r="LGJ142" s="57"/>
      <c r="LGK142" s="10"/>
      <c r="LGL142" s="57"/>
      <c r="LGM142" s="10"/>
      <c r="LGN142" s="57"/>
      <c r="LGO142" s="10"/>
      <c r="LGP142" s="57"/>
      <c r="LGQ142" s="10"/>
      <c r="LGR142" s="57"/>
      <c r="LGS142" s="10"/>
      <c r="LGT142" s="57"/>
      <c r="LGU142" s="10"/>
      <c r="LGV142" s="57"/>
      <c r="LGW142" s="10"/>
      <c r="LGX142" s="57"/>
      <c r="LGY142" s="10"/>
      <c r="LGZ142" s="57"/>
      <c r="LHA142" s="10"/>
      <c r="LHB142" s="57"/>
      <c r="LHC142" s="10"/>
      <c r="LHD142" s="57"/>
      <c r="LHE142" s="10"/>
      <c r="LHF142" s="57"/>
      <c r="LHG142" s="10"/>
      <c r="LHH142" s="57"/>
      <c r="LHI142" s="10"/>
      <c r="LHJ142" s="57"/>
      <c r="LHK142" s="10"/>
      <c r="LHL142" s="57"/>
      <c r="LHM142" s="10"/>
      <c r="LHN142" s="57"/>
      <c r="LHO142" s="10"/>
      <c r="LHP142" s="57"/>
      <c r="LHQ142" s="10"/>
      <c r="LHR142" s="57"/>
      <c r="LHS142" s="10"/>
      <c r="LHT142" s="57"/>
      <c r="LHU142" s="10"/>
      <c r="LHV142" s="57"/>
      <c r="LHW142" s="10"/>
      <c r="LHX142" s="57"/>
      <c r="LHY142" s="10"/>
      <c r="LHZ142" s="57"/>
      <c r="LIA142" s="10"/>
      <c r="LIB142" s="57"/>
      <c r="LIC142" s="10"/>
      <c r="LID142" s="57"/>
      <c r="LIE142" s="10"/>
      <c r="LIF142" s="57"/>
      <c r="LIG142" s="10"/>
      <c r="LIH142" s="57"/>
      <c r="LII142" s="10"/>
      <c r="LIJ142" s="57"/>
      <c r="LIK142" s="10"/>
      <c r="LIL142" s="57"/>
      <c r="LIM142" s="10"/>
      <c r="LIN142" s="57"/>
      <c r="LIO142" s="10"/>
      <c r="LIP142" s="57"/>
      <c r="LIQ142" s="10"/>
      <c r="LIR142" s="57"/>
      <c r="LIS142" s="10"/>
      <c r="LIT142" s="57"/>
      <c r="LIU142" s="10"/>
      <c r="LIV142" s="57"/>
      <c r="LIW142" s="10"/>
      <c r="LIX142" s="57"/>
      <c r="LIY142" s="10"/>
      <c r="LIZ142" s="57"/>
      <c r="LJA142" s="10"/>
      <c r="LJB142" s="57"/>
      <c r="LJC142" s="10"/>
      <c r="LJD142" s="57"/>
      <c r="LJE142" s="10"/>
      <c r="LJF142" s="57"/>
      <c r="LJG142" s="10"/>
      <c r="LJH142" s="57"/>
      <c r="LJI142" s="10"/>
      <c r="LJJ142" s="57"/>
      <c r="LJK142" s="10"/>
      <c r="LJL142" s="57"/>
      <c r="LJM142" s="10"/>
      <c r="LJN142" s="57"/>
      <c r="LJO142" s="10"/>
      <c r="LJP142" s="57"/>
      <c r="LJQ142" s="10"/>
      <c r="LJR142" s="57"/>
      <c r="LJS142" s="10"/>
      <c r="LJT142" s="57"/>
      <c r="LJU142" s="10"/>
      <c r="LJV142" s="57"/>
      <c r="LJW142" s="10"/>
      <c r="LJX142" s="57"/>
      <c r="LJY142" s="10"/>
      <c r="LJZ142" s="57"/>
      <c r="LKA142" s="10"/>
      <c r="LKB142" s="57"/>
      <c r="LKC142" s="10"/>
      <c r="LKD142" s="57"/>
      <c r="LKE142" s="10"/>
      <c r="LKF142" s="57"/>
      <c r="LKG142" s="10"/>
      <c r="LKH142" s="57"/>
      <c r="LKI142" s="10"/>
      <c r="LKJ142" s="57"/>
      <c r="LKK142" s="10"/>
      <c r="LKL142" s="57"/>
      <c r="LKM142" s="10"/>
      <c r="LKN142" s="57"/>
      <c r="LKO142" s="10"/>
      <c r="LKP142" s="57"/>
      <c r="LKQ142" s="10"/>
      <c r="LKR142" s="57"/>
      <c r="LKS142" s="10"/>
      <c r="LKT142" s="57"/>
      <c r="LKU142" s="10"/>
      <c r="LKV142" s="57"/>
      <c r="LKW142" s="10"/>
      <c r="LKX142" s="57"/>
      <c r="LKY142" s="10"/>
      <c r="LKZ142" s="57"/>
      <c r="LLA142" s="10"/>
      <c r="LLB142" s="57"/>
      <c r="LLC142" s="10"/>
      <c r="LLD142" s="57"/>
      <c r="LLE142" s="10"/>
      <c r="LLF142" s="57"/>
      <c r="LLG142" s="10"/>
      <c r="LLH142" s="57"/>
      <c r="LLI142" s="10"/>
      <c r="LLJ142" s="57"/>
      <c r="LLK142" s="10"/>
      <c r="LLL142" s="57"/>
      <c r="LLM142" s="10"/>
      <c r="LLN142" s="57"/>
      <c r="LLO142" s="10"/>
      <c r="LLP142" s="57"/>
      <c r="LLQ142" s="10"/>
      <c r="LLR142" s="57"/>
      <c r="LLS142" s="10"/>
      <c r="LLT142" s="57"/>
      <c r="LLU142" s="10"/>
      <c r="LLV142" s="57"/>
      <c r="LLW142" s="10"/>
      <c r="LLX142" s="57"/>
      <c r="LLY142" s="10"/>
      <c r="LLZ142" s="57"/>
      <c r="LMA142" s="10"/>
      <c r="LMB142" s="57"/>
      <c r="LMC142" s="10"/>
      <c r="LMD142" s="57"/>
      <c r="LME142" s="10"/>
      <c r="LMF142" s="57"/>
      <c r="LMG142" s="10"/>
      <c r="LMH142" s="57"/>
      <c r="LMI142" s="10"/>
      <c r="LMJ142" s="57"/>
      <c r="LMK142" s="10"/>
      <c r="LML142" s="57"/>
      <c r="LMM142" s="10"/>
      <c r="LMN142" s="57"/>
      <c r="LMO142" s="10"/>
      <c r="LMP142" s="57"/>
      <c r="LMQ142" s="10"/>
      <c r="LMR142" s="57"/>
      <c r="LMS142" s="10"/>
      <c r="LMT142" s="57"/>
      <c r="LMU142" s="10"/>
      <c r="LMV142" s="57"/>
      <c r="LMW142" s="10"/>
      <c r="LMX142" s="57"/>
      <c r="LMY142" s="10"/>
      <c r="LMZ142" s="57"/>
      <c r="LNA142" s="10"/>
      <c r="LNB142" s="57"/>
      <c r="LNC142" s="10"/>
      <c r="LND142" s="57"/>
      <c r="LNE142" s="10"/>
      <c r="LNF142" s="57"/>
      <c r="LNG142" s="10"/>
      <c r="LNH142" s="57"/>
      <c r="LNI142" s="10"/>
      <c r="LNJ142" s="57"/>
      <c r="LNK142" s="10"/>
      <c r="LNL142" s="57"/>
      <c r="LNM142" s="10"/>
      <c r="LNN142" s="57"/>
      <c r="LNO142" s="10"/>
      <c r="LNP142" s="57"/>
      <c r="LNQ142" s="10"/>
      <c r="LNR142" s="57"/>
      <c r="LNS142" s="10"/>
      <c r="LNT142" s="57"/>
      <c r="LNU142" s="10"/>
      <c r="LNV142" s="57"/>
      <c r="LNW142" s="10"/>
      <c r="LNX142" s="57"/>
      <c r="LNY142" s="10"/>
      <c r="LNZ142" s="57"/>
      <c r="LOA142" s="10"/>
      <c r="LOB142" s="57"/>
      <c r="LOC142" s="10"/>
      <c r="LOD142" s="57"/>
      <c r="LOE142" s="10"/>
      <c r="LOF142" s="57"/>
      <c r="LOG142" s="10"/>
      <c r="LOH142" s="57"/>
      <c r="LOI142" s="10"/>
      <c r="LOJ142" s="57"/>
      <c r="LOK142" s="10"/>
      <c r="LOL142" s="57"/>
      <c r="LOM142" s="10"/>
      <c r="LON142" s="57"/>
      <c r="LOO142" s="10"/>
      <c r="LOP142" s="57"/>
      <c r="LOQ142" s="10"/>
      <c r="LOR142" s="57"/>
      <c r="LOS142" s="10"/>
      <c r="LOT142" s="57"/>
      <c r="LOU142" s="10"/>
      <c r="LOV142" s="57"/>
      <c r="LOW142" s="10"/>
      <c r="LOX142" s="57"/>
      <c r="LOY142" s="10"/>
      <c r="LOZ142" s="57"/>
      <c r="LPA142" s="10"/>
      <c r="LPB142" s="57"/>
      <c r="LPC142" s="10"/>
      <c r="LPD142" s="57"/>
      <c r="LPE142" s="10"/>
      <c r="LPF142" s="57"/>
      <c r="LPG142" s="10"/>
      <c r="LPH142" s="57"/>
      <c r="LPI142" s="10"/>
      <c r="LPJ142" s="57"/>
      <c r="LPK142" s="10"/>
      <c r="LPL142" s="57"/>
      <c r="LPM142" s="10"/>
      <c r="LPN142" s="57"/>
      <c r="LPO142" s="10"/>
      <c r="LPP142" s="57"/>
      <c r="LPQ142" s="10"/>
      <c r="LPR142" s="57"/>
      <c r="LPS142" s="10"/>
      <c r="LPT142" s="57"/>
      <c r="LPU142" s="10"/>
      <c r="LPV142" s="57"/>
      <c r="LPW142" s="10"/>
      <c r="LPX142" s="57"/>
      <c r="LPY142" s="10"/>
      <c r="LPZ142" s="57"/>
      <c r="LQA142" s="10"/>
      <c r="LQB142" s="57"/>
      <c r="LQC142" s="10"/>
      <c r="LQD142" s="57"/>
      <c r="LQE142" s="10"/>
      <c r="LQF142" s="57"/>
      <c r="LQG142" s="10"/>
      <c r="LQH142" s="57"/>
      <c r="LQI142" s="10"/>
      <c r="LQJ142" s="57"/>
      <c r="LQK142" s="10"/>
      <c r="LQL142" s="57"/>
      <c r="LQM142" s="10"/>
      <c r="LQN142" s="57"/>
      <c r="LQO142" s="10"/>
      <c r="LQP142" s="57"/>
      <c r="LQQ142" s="10"/>
      <c r="LQR142" s="57"/>
      <c r="LQS142" s="10"/>
      <c r="LQT142" s="57"/>
      <c r="LQU142" s="10"/>
      <c r="LQV142" s="57"/>
      <c r="LQW142" s="10"/>
      <c r="LQX142" s="57"/>
      <c r="LQY142" s="10"/>
      <c r="LQZ142" s="57"/>
      <c r="LRA142" s="10"/>
      <c r="LRB142" s="57"/>
      <c r="LRC142" s="10"/>
      <c r="LRD142" s="57"/>
      <c r="LRE142" s="10"/>
      <c r="LRF142" s="57"/>
      <c r="LRG142" s="10"/>
      <c r="LRH142" s="57"/>
      <c r="LRI142" s="10"/>
      <c r="LRJ142" s="57"/>
      <c r="LRK142" s="10"/>
      <c r="LRL142" s="57"/>
      <c r="LRM142" s="10"/>
      <c r="LRN142" s="57"/>
      <c r="LRO142" s="10"/>
      <c r="LRP142" s="57"/>
      <c r="LRQ142" s="10"/>
      <c r="LRR142" s="57"/>
      <c r="LRS142" s="10"/>
      <c r="LRT142" s="57"/>
      <c r="LRU142" s="10"/>
      <c r="LRV142" s="57"/>
      <c r="LRW142" s="10"/>
      <c r="LRX142" s="57"/>
      <c r="LRY142" s="10"/>
      <c r="LRZ142" s="57"/>
      <c r="LSA142" s="10"/>
      <c r="LSB142" s="57"/>
      <c r="LSC142" s="10"/>
      <c r="LSD142" s="57"/>
      <c r="LSE142" s="10"/>
      <c r="LSF142" s="57"/>
      <c r="LSG142" s="10"/>
      <c r="LSH142" s="57"/>
      <c r="LSI142" s="10"/>
      <c r="LSJ142" s="57"/>
      <c r="LSK142" s="10"/>
      <c r="LSL142" s="57"/>
      <c r="LSM142" s="10"/>
      <c r="LSN142" s="57"/>
      <c r="LSO142" s="10"/>
      <c r="LSP142" s="57"/>
      <c r="LSQ142" s="10"/>
      <c r="LSR142" s="57"/>
      <c r="LSS142" s="10"/>
      <c r="LST142" s="57"/>
      <c r="LSU142" s="10"/>
      <c r="LSV142" s="57"/>
      <c r="LSW142" s="10"/>
      <c r="LSX142" s="57"/>
      <c r="LSY142" s="10"/>
      <c r="LSZ142" s="57"/>
      <c r="LTA142" s="10"/>
      <c r="LTB142" s="57"/>
      <c r="LTC142" s="10"/>
      <c r="LTD142" s="57"/>
      <c r="LTE142" s="10"/>
      <c r="LTF142" s="57"/>
      <c r="LTG142" s="10"/>
      <c r="LTH142" s="57"/>
      <c r="LTI142" s="10"/>
      <c r="LTJ142" s="57"/>
      <c r="LTK142" s="10"/>
      <c r="LTL142" s="57"/>
      <c r="LTM142" s="10"/>
      <c r="LTN142" s="57"/>
      <c r="LTO142" s="10"/>
      <c r="LTP142" s="57"/>
      <c r="LTQ142" s="10"/>
      <c r="LTR142" s="57"/>
      <c r="LTS142" s="10"/>
      <c r="LTT142" s="57"/>
      <c r="LTU142" s="10"/>
      <c r="LTV142" s="57"/>
      <c r="LTW142" s="10"/>
      <c r="LTX142" s="57"/>
      <c r="LTY142" s="10"/>
      <c r="LTZ142" s="57"/>
      <c r="LUA142" s="10"/>
      <c r="LUB142" s="57"/>
      <c r="LUC142" s="10"/>
      <c r="LUD142" s="57"/>
      <c r="LUE142" s="10"/>
      <c r="LUF142" s="57"/>
      <c r="LUG142" s="10"/>
      <c r="LUH142" s="57"/>
      <c r="LUI142" s="10"/>
      <c r="LUJ142" s="57"/>
      <c r="LUK142" s="10"/>
      <c r="LUL142" s="57"/>
      <c r="LUM142" s="10"/>
      <c r="LUN142" s="57"/>
      <c r="LUO142" s="10"/>
      <c r="LUP142" s="57"/>
      <c r="LUQ142" s="10"/>
      <c r="LUR142" s="57"/>
      <c r="LUS142" s="10"/>
      <c r="LUT142" s="57"/>
      <c r="LUU142" s="10"/>
      <c r="LUV142" s="57"/>
      <c r="LUW142" s="10"/>
      <c r="LUX142" s="57"/>
      <c r="LUY142" s="10"/>
      <c r="LUZ142" s="57"/>
      <c r="LVA142" s="10"/>
      <c r="LVB142" s="57"/>
      <c r="LVC142" s="10"/>
      <c r="LVD142" s="57"/>
      <c r="LVE142" s="10"/>
      <c r="LVF142" s="57"/>
      <c r="LVG142" s="10"/>
      <c r="LVH142" s="57"/>
      <c r="LVI142" s="10"/>
      <c r="LVJ142" s="57"/>
      <c r="LVK142" s="10"/>
      <c r="LVL142" s="57"/>
      <c r="LVM142" s="10"/>
      <c r="LVN142" s="57"/>
      <c r="LVO142" s="10"/>
      <c r="LVP142" s="57"/>
      <c r="LVQ142" s="10"/>
      <c r="LVR142" s="57"/>
      <c r="LVS142" s="10"/>
      <c r="LVT142" s="57"/>
      <c r="LVU142" s="10"/>
      <c r="LVV142" s="57"/>
      <c r="LVW142" s="10"/>
      <c r="LVX142" s="57"/>
      <c r="LVY142" s="10"/>
      <c r="LVZ142" s="57"/>
      <c r="LWA142" s="10"/>
      <c r="LWB142" s="57"/>
      <c r="LWC142" s="10"/>
      <c r="LWD142" s="57"/>
      <c r="LWE142" s="10"/>
      <c r="LWF142" s="57"/>
      <c r="LWG142" s="10"/>
      <c r="LWH142" s="57"/>
      <c r="LWI142" s="10"/>
      <c r="LWJ142" s="57"/>
      <c r="LWK142" s="10"/>
      <c r="LWL142" s="57"/>
      <c r="LWM142" s="10"/>
      <c r="LWN142" s="57"/>
      <c r="LWO142" s="10"/>
      <c r="LWP142" s="57"/>
      <c r="LWQ142" s="10"/>
      <c r="LWR142" s="57"/>
      <c r="LWS142" s="10"/>
      <c r="LWT142" s="57"/>
      <c r="LWU142" s="10"/>
      <c r="LWV142" s="57"/>
      <c r="LWW142" s="10"/>
      <c r="LWX142" s="57"/>
      <c r="LWY142" s="10"/>
      <c r="LWZ142" s="57"/>
      <c r="LXA142" s="10"/>
      <c r="LXB142" s="57"/>
      <c r="LXC142" s="10"/>
      <c r="LXD142" s="57"/>
      <c r="LXE142" s="10"/>
      <c r="LXF142" s="57"/>
      <c r="LXG142" s="10"/>
      <c r="LXH142" s="57"/>
      <c r="LXI142" s="10"/>
      <c r="LXJ142" s="57"/>
      <c r="LXK142" s="10"/>
      <c r="LXL142" s="57"/>
      <c r="LXM142" s="10"/>
      <c r="LXN142" s="57"/>
      <c r="LXO142" s="10"/>
      <c r="LXP142" s="57"/>
      <c r="LXQ142" s="10"/>
      <c r="LXR142" s="57"/>
      <c r="LXS142" s="10"/>
      <c r="LXT142" s="57"/>
      <c r="LXU142" s="10"/>
      <c r="LXV142" s="57"/>
      <c r="LXW142" s="10"/>
      <c r="LXX142" s="57"/>
      <c r="LXY142" s="10"/>
      <c r="LXZ142" s="57"/>
      <c r="LYA142" s="10"/>
      <c r="LYB142" s="57"/>
      <c r="LYC142" s="10"/>
      <c r="LYD142" s="57"/>
      <c r="LYE142" s="10"/>
      <c r="LYF142" s="57"/>
      <c r="LYG142" s="10"/>
      <c r="LYH142" s="57"/>
      <c r="LYI142" s="10"/>
      <c r="LYJ142" s="57"/>
      <c r="LYK142" s="10"/>
      <c r="LYL142" s="57"/>
      <c r="LYM142" s="10"/>
      <c r="LYN142" s="57"/>
      <c r="LYO142" s="10"/>
      <c r="LYP142" s="57"/>
      <c r="LYQ142" s="10"/>
      <c r="LYR142" s="57"/>
      <c r="LYS142" s="10"/>
      <c r="LYT142" s="57"/>
      <c r="LYU142" s="10"/>
      <c r="LYV142" s="57"/>
      <c r="LYW142" s="10"/>
      <c r="LYX142" s="57"/>
      <c r="LYY142" s="10"/>
      <c r="LYZ142" s="57"/>
      <c r="LZA142" s="10"/>
      <c r="LZB142" s="57"/>
      <c r="LZC142" s="10"/>
      <c r="LZD142" s="57"/>
      <c r="LZE142" s="10"/>
      <c r="LZF142" s="57"/>
      <c r="LZG142" s="10"/>
      <c r="LZH142" s="57"/>
      <c r="LZI142" s="10"/>
      <c r="LZJ142" s="57"/>
      <c r="LZK142" s="10"/>
      <c r="LZL142" s="57"/>
      <c r="LZM142" s="10"/>
      <c r="LZN142" s="57"/>
      <c r="LZO142" s="10"/>
      <c r="LZP142" s="57"/>
      <c r="LZQ142" s="10"/>
      <c r="LZR142" s="57"/>
      <c r="LZS142" s="10"/>
      <c r="LZT142" s="57"/>
      <c r="LZU142" s="10"/>
      <c r="LZV142" s="57"/>
      <c r="LZW142" s="10"/>
      <c r="LZX142" s="57"/>
      <c r="LZY142" s="10"/>
      <c r="LZZ142" s="57"/>
      <c r="MAA142" s="10"/>
      <c r="MAB142" s="57"/>
      <c r="MAC142" s="10"/>
      <c r="MAD142" s="57"/>
      <c r="MAE142" s="10"/>
      <c r="MAF142" s="57"/>
      <c r="MAG142" s="10"/>
      <c r="MAH142" s="57"/>
      <c r="MAI142" s="10"/>
      <c r="MAJ142" s="57"/>
      <c r="MAK142" s="10"/>
      <c r="MAL142" s="57"/>
      <c r="MAM142" s="10"/>
      <c r="MAN142" s="57"/>
      <c r="MAO142" s="10"/>
      <c r="MAP142" s="57"/>
      <c r="MAQ142" s="10"/>
      <c r="MAR142" s="57"/>
      <c r="MAS142" s="10"/>
      <c r="MAT142" s="57"/>
      <c r="MAU142" s="10"/>
      <c r="MAV142" s="57"/>
      <c r="MAW142" s="10"/>
      <c r="MAX142" s="57"/>
      <c r="MAY142" s="10"/>
      <c r="MAZ142" s="57"/>
      <c r="MBA142" s="10"/>
      <c r="MBB142" s="57"/>
      <c r="MBC142" s="10"/>
      <c r="MBD142" s="57"/>
      <c r="MBE142" s="10"/>
      <c r="MBF142" s="57"/>
      <c r="MBG142" s="10"/>
      <c r="MBH142" s="57"/>
      <c r="MBI142" s="10"/>
      <c r="MBJ142" s="57"/>
      <c r="MBK142" s="10"/>
      <c r="MBL142" s="57"/>
      <c r="MBM142" s="10"/>
      <c r="MBN142" s="57"/>
      <c r="MBO142" s="10"/>
      <c r="MBP142" s="57"/>
      <c r="MBQ142" s="10"/>
      <c r="MBR142" s="57"/>
      <c r="MBS142" s="10"/>
      <c r="MBT142" s="57"/>
      <c r="MBU142" s="10"/>
      <c r="MBV142" s="57"/>
      <c r="MBW142" s="10"/>
      <c r="MBX142" s="57"/>
      <c r="MBY142" s="10"/>
      <c r="MBZ142" s="57"/>
      <c r="MCA142" s="10"/>
      <c r="MCB142" s="57"/>
      <c r="MCC142" s="10"/>
      <c r="MCD142" s="57"/>
      <c r="MCE142" s="10"/>
      <c r="MCF142" s="57"/>
      <c r="MCG142" s="10"/>
      <c r="MCH142" s="57"/>
      <c r="MCI142" s="10"/>
      <c r="MCJ142" s="57"/>
      <c r="MCK142" s="10"/>
      <c r="MCL142" s="57"/>
      <c r="MCM142" s="10"/>
      <c r="MCN142" s="57"/>
      <c r="MCO142" s="10"/>
      <c r="MCP142" s="57"/>
      <c r="MCQ142" s="10"/>
      <c r="MCR142" s="57"/>
      <c r="MCS142" s="10"/>
      <c r="MCT142" s="57"/>
      <c r="MCU142" s="10"/>
      <c r="MCV142" s="57"/>
      <c r="MCW142" s="10"/>
      <c r="MCX142" s="57"/>
      <c r="MCY142" s="10"/>
      <c r="MCZ142" s="57"/>
      <c r="MDA142" s="10"/>
      <c r="MDB142" s="57"/>
      <c r="MDC142" s="10"/>
      <c r="MDD142" s="57"/>
      <c r="MDE142" s="10"/>
      <c r="MDF142" s="57"/>
      <c r="MDG142" s="10"/>
      <c r="MDH142" s="57"/>
      <c r="MDI142" s="10"/>
      <c r="MDJ142" s="57"/>
      <c r="MDK142" s="10"/>
      <c r="MDL142" s="57"/>
      <c r="MDM142" s="10"/>
      <c r="MDN142" s="57"/>
      <c r="MDO142" s="10"/>
      <c r="MDP142" s="57"/>
      <c r="MDQ142" s="10"/>
      <c r="MDR142" s="57"/>
      <c r="MDS142" s="10"/>
      <c r="MDT142" s="57"/>
      <c r="MDU142" s="10"/>
      <c r="MDV142" s="57"/>
      <c r="MDW142" s="10"/>
      <c r="MDX142" s="57"/>
      <c r="MDY142" s="10"/>
      <c r="MDZ142" s="57"/>
      <c r="MEA142" s="10"/>
      <c r="MEB142" s="57"/>
      <c r="MEC142" s="10"/>
      <c r="MED142" s="57"/>
      <c r="MEE142" s="10"/>
      <c r="MEF142" s="57"/>
      <c r="MEG142" s="10"/>
      <c r="MEH142" s="57"/>
      <c r="MEI142" s="10"/>
      <c r="MEJ142" s="57"/>
      <c r="MEK142" s="10"/>
      <c r="MEL142" s="57"/>
      <c r="MEM142" s="10"/>
      <c r="MEN142" s="57"/>
      <c r="MEO142" s="10"/>
      <c r="MEP142" s="57"/>
      <c r="MEQ142" s="10"/>
      <c r="MER142" s="57"/>
      <c r="MES142" s="10"/>
      <c r="MET142" s="57"/>
      <c r="MEU142" s="10"/>
      <c r="MEV142" s="57"/>
      <c r="MEW142" s="10"/>
      <c r="MEX142" s="57"/>
      <c r="MEY142" s="10"/>
      <c r="MEZ142" s="57"/>
      <c r="MFA142" s="10"/>
      <c r="MFB142" s="57"/>
      <c r="MFC142" s="10"/>
      <c r="MFD142" s="57"/>
      <c r="MFE142" s="10"/>
      <c r="MFF142" s="57"/>
      <c r="MFG142" s="10"/>
      <c r="MFH142" s="57"/>
      <c r="MFI142" s="10"/>
      <c r="MFJ142" s="57"/>
      <c r="MFK142" s="10"/>
      <c r="MFL142" s="57"/>
      <c r="MFM142" s="10"/>
      <c r="MFN142" s="57"/>
      <c r="MFO142" s="10"/>
      <c r="MFP142" s="57"/>
      <c r="MFQ142" s="10"/>
      <c r="MFR142" s="57"/>
      <c r="MFS142" s="10"/>
      <c r="MFT142" s="57"/>
      <c r="MFU142" s="10"/>
      <c r="MFV142" s="57"/>
      <c r="MFW142" s="10"/>
      <c r="MFX142" s="57"/>
      <c r="MFY142" s="10"/>
      <c r="MFZ142" s="57"/>
      <c r="MGA142" s="10"/>
      <c r="MGB142" s="57"/>
      <c r="MGC142" s="10"/>
      <c r="MGD142" s="57"/>
      <c r="MGE142" s="10"/>
      <c r="MGF142" s="57"/>
      <c r="MGG142" s="10"/>
      <c r="MGH142" s="57"/>
      <c r="MGI142" s="10"/>
      <c r="MGJ142" s="57"/>
      <c r="MGK142" s="10"/>
      <c r="MGL142" s="57"/>
      <c r="MGM142" s="10"/>
      <c r="MGN142" s="57"/>
      <c r="MGO142" s="10"/>
      <c r="MGP142" s="57"/>
      <c r="MGQ142" s="10"/>
      <c r="MGR142" s="57"/>
      <c r="MGS142" s="10"/>
      <c r="MGT142" s="57"/>
      <c r="MGU142" s="10"/>
      <c r="MGV142" s="57"/>
      <c r="MGW142" s="10"/>
      <c r="MGX142" s="57"/>
      <c r="MGY142" s="10"/>
      <c r="MGZ142" s="57"/>
      <c r="MHA142" s="10"/>
      <c r="MHB142" s="57"/>
      <c r="MHC142" s="10"/>
      <c r="MHD142" s="57"/>
      <c r="MHE142" s="10"/>
      <c r="MHF142" s="57"/>
      <c r="MHG142" s="10"/>
      <c r="MHH142" s="57"/>
      <c r="MHI142" s="10"/>
      <c r="MHJ142" s="57"/>
      <c r="MHK142" s="10"/>
      <c r="MHL142" s="57"/>
      <c r="MHM142" s="10"/>
      <c r="MHN142" s="57"/>
      <c r="MHO142" s="10"/>
      <c r="MHP142" s="57"/>
      <c r="MHQ142" s="10"/>
      <c r="MHR142" s="57"/>
      <c r="MHS142" s="10"/>
      <c r="MHT142" s="57"/>
      <c r="MHU142" s="10"/>
      <c r="MHV142" s="57"/>
      <c r="MHW142" s="10"/>
      <c r="MHX142" s="57"/>
      <c r="MHY142" s="10"/>
      <c r="MHZ142" s="57"/>
      <c r="MIA142" s="10"/>
      <c r="MIB142" s="57"/>
      <c r="MIC142" s="10"/>
      <c r="MID142" s="57"/>
      <c r="MIE142" s="10"/>
      <c r="MIF142" s="57"/>
      <c r="MIG142" s="10"/>
      <c r="MIH142" s="57"/>
      <c r="MII142" s="10"/>
      <c r="MIJ142" s="57"/>
      <c r="MIK142" s="10"/>
      <c r="MIL142" s="57"/>
      <c r="MIM142" s="10"/>
      <c r="MIN142" s="57"/>
      <c r="MIO142" s="10"/>
      <c r="MIP142" s="57"/>
      <c r="MIQ142" s="10"/>
      <c r="MIR142" s="57"/>
      <c r="MIS142" s="10"/>
      <c r="MIT142" s="57"/>
      <c r="MIU142" s="10"/>
      <c r="MIV142" s="57"/>
      <c r="MIW142" s="10"/>
      <c r="MIX142" s="57"/>
      <c r="MIY142" s="10"/>
      <c r="MIZ142" s="57"/>
      <c r="MJA142" s="10"/>
      <c r="MJB142" s="57"/>
      <c r="MJC142" s="10"/>
      <c r="MJD142" s="57"/>
      <c r="MJE142" s="10"/>
      <c r="MJF142" s="57"/>
      <c r="MJG142" s="10"/>
      <c r="MJH142" s="57"/>
      <c r="MJI142" s="10"/>
      <c r="MJJ142" s="57"/>
      <c r="MJK142" s="10"/>
      <c r="MJL142" s="57"/>
      <c r="MJM142" s="10"/>
      <c r="MJN142" s="57"/>
      <c r="MJO142" s="10"/>
      <c r="MJP142" s="57"/>
      <c r="MJQ142" s="10"/>
      <c r="MJR142" s="57"/>
      <c r="MJS142" s="10"/>
      <c r="MJT142" s="57"/>
      <c r="MJU142" s="10"/>
      <c r="MJV142" s="57"/>
      <c r="MJW142" s="10"/>
      <c r="MJX142" s="57"/>
      <c r="MJY142" s="10"/>
      <c r="MJZ142" s="57"/>
      <c r="MKA142" s="10"/>
      <c r="MKB142" s="57"/>
      <c r="MKC142" s="10"/>
      <c r="MKD142" s="57"/>
      <c r="MKE142" s="10"/>
      <c r="MKF142" s="57"/>
      <c r="MKG142" s="10"/>
      <c r="MKH142" s="57"/>
      <c r="MKI142" s="10"/>
      <c r="MKJ142" s="57"/>
      <c r="MKK142" s="10"/>
      <c r="MKL142" s="57"/>
      <c r="MKM142" s="10"/>
      <c r="MKN142" s="57"/>
      <c r="MKO142" s="10"/>
      <c r="MKP142" s="57"/>
      <c r="MKQ142" s="10"/>
      <c r="MKR142" s="57"/>
      <c r="MKS142" s="10"/>
      <c r="MKT142" s="57"/>
      <c r="MKU142" s="10"/>
      <c r="MKV142" s="57"/>
      <c r="MKW142" s="10"/>
      <c r="MKX142" s="57"/>
      <c r="MKY142" s="10"/>
      <c r="MKZ142" s="57"/>
      <c r="MLA142" s="10"/>
      <c r="MLB142" s="57"/>
      <c r="MLC142" s="10"/>
      <c r="MLD142" s="57"/>
      <c r="MLE142" s="10"/>
      <c r="MLF142" s="57"/>
      <c r="MLG142" s="10"/>
      <c r="MLH142" s="57"/>
      <c r="MLI142" s="10"/>
      <c r="MLJ142" s="57"/>
      <c r="MLK142" s="10"/>
      <c r="MLL142" s="57"/>
      <c r="MLM142" s="10"/>
      <c r="MLN142" s="57"/>
      <c r="MLO142" s="10"/>
      <c r="MLP142" s="57"/>
      <c r="MLQ142" s="10"/>
      <c r="MLR142" s="57"/>
      <c r="MLS142" s="10"/>
      <c r="MLT142" s="57"/>
      <c r="MLU142" s="10"/>
      <c r="MLV142" s="57"/>
      <c r="MLW142" s="10"/>
      <c r="MLX142" s="57"/>
      <c r="MLY142" s="10"/>
      <c r="MLZ142" s="57"/>
      <c r="MMA142" s="10"/>
      <c r="MMB142" s="57"/>
      <c r="MMC142" s="10"/>
      <c r="MMD142" s="57"/>
      <c r="MME142" s="10"/>
      <c r="MMF142" s="57"/>
      <c r="MMG142" s="10"/>
      <c r="MMH142" s="57"/>
      <c r="MMI142" s="10"/>
      <c r="MMJ142" s="57"/>
      <c r="MMK142" s="10"/>
      <c r="MML142" s="57"/>
      <c r="MMM142" s="10"/>
      <c r="MMN142" s="57"/>
      <c r="MMO142" s="10"/>
      <c r="MMP142" s="57"/>
      <c r="MMQ142" s="10"/>
      <c r="MMR142" s="57"/>
      <c r="MMS142" s="10"/>
      <c r="MMT142" s="57"/>
      <c r="MMU142" s="10"/>
      <c r="MMV142" s="57"/>
      <c r="MMW142" s="10"/>
      <c r="MMX142" s="57"/>
      <c r="MMY142" s="10"/>
      <c r="MMZ142" s="57"/>
      <c r="MNA142" s="10"/>
      <c r="MNB142" s="57"/>
      <c r="MNC142" s="10"/>
      <c r="MND142" s="57"/>
      <c r="MNE142" s="10"/>
      <c r="MNF142" s="57"/>
      <c r="MNG142" s="10"/>
      <c r="MNH142" s="57"/>
      <c r="MNI142" s="10"/>
      <c r="MNJ142" s="57"/>
      <c r="MNK142" s="10"/>
      <c r="MNL142" s="57"/>
      <c r="MNM142" s="10"/>
      <c r="MNN142" s="57"/>
      <c r="MNO142" s="10"/>
      <c r="MNP142" s="57"/>
      <c r="MNQ142" s="10"/>
      <c r="MNR142" s="57"/>
      <c r="MNS142" s="10"/>
      <c r="MNT142" s="57"/>
      <c r="MNU142" s="10"/>
      <c r="MNV142" s="57"/>
      <c r="MNW142" s="10"/>
      <c r="MNX142" s="57"/>
      <c r="MNY142" s="10"/>
      <c r="MNZ142" s="57"/>
      <c r="MOA142" s="10"/>
      <c r="MOB142" s="57"/>
      <c r="MOC142" s="10"/>
      <c r="MOD142" s="57"/>
      <c r="MOE142" s="10"/>
      <c r="MOF142" s="57"/>
      <c r="MOG142" s="10"/>
      <c r="MOH142" s="57"/>
      <c r="MOI142" s="10"/>
      <c r="MOJ142" s="57"/>
      <c r="MOK142" s="10"/>
      <c r="MOL142" s="57"/>
      <c r="MOM142" s="10"/>
      <c r="MON142" s="57"/>
      <c r="MOO142" s="10"/>
      <c r="MOP142" s="57"/>
      <c r="MOQ142" s="10"/>
      <c r="MOR142" s="57"/>
      <c r="MOS142" s="10"/>
      <c r="MOT142" s="57"/>
      <c r="MOU142" s="10"/>
      <c r="MOV142" s="57"/>
      <c r="MOW142" s="10"/>
      <c r="MOX142" s="57"/>
      <c r="MOY142" s="10"/>
      <c r="MOZ142" s="57"/>
      <c r="MPA142" s="10"/>
      <c r="MPB142" s="57"/>
      <c r="MPC142" s="10"/>
      <c r="MPD142" s="57"/>
      <c r="MPE142" s="10"/>
      <c r="MPF142" s="57"/>
      <c r="MPG142" s="10"/>
      <c r="MPH142" s="57"/>
      <c r="MPI142" s="10"/>
      <c r="MPJ142" s="57"/>
      <c r="MPK142" s="10"/>
      <c r="MPL142" s="57"/>
      <c r="MPM142" s="10"/>
      <c r="MPN142" s="57"/>
      <c r="MPO142" s="10"/>
      <c r="MPP142" s="57"/>
      <c r="MPQ142" s="10"/>
      <c r="MPR142" s="57"/>
      <c r="MPS142" s="10"/>
      <c r="MPT142" s="57"/>
      <c r="MPU142" s="10"/>
      <c r="MPV142" s="57"/>
      <c r="MPW142" s="10"/>
      <c r="MPX142" s="57"/>
      <c r="MPY142" s="10"/>
      <c r="MPZ142" s="57"/>
      <c r="MQA142" s="10"/>
      <c r="MQB142" s="57"/>
      <c r="MQC142" s="10"/>
      <c r="MQD142" s="57"/>
      <c r="MQE142" s="10"/>
      <c r="MQF142" s="57"/>
      <c r="MQG142" s="10"/>
      <c r="MQH142" s="57"/>
      <c r="MQI142" s="10"/>
      <c r="MQJ142" s="57"/>
      <c r="MQK142" s="10"/>
      <c r="MQL142" s="57"/>
      <c r="MQM142" s="10"/>
      <c r="MQN142" s="57"/>
      <c r="MQO142" s="10"/>
      <c r="MQP142" s="57"/>
      <c r="MQQ142" s="10"/>
      <c r="MQR142" s="57"/>
      <c r="MQS142" s="10"/>
      <c r="MQT142" s="57"/>
      <c r="MQU142" s="10"/>
      <c r="MQV142" s="57"/>
      <c r="MQW142" s="10"/>
      <c r="MQX142" s="57"/>
      <c r="MQY142" s="10"/>
      <c r="MQZ142" s="57"/>
      <c r="MRA142" s="10"/>
      <c r="MRB142" s="57"/>
      <c r="MRC142" s="10"/>
      <c r="MRD142" s="57"/>
      <c r="MRE142" s="10"/>
      <c r="MRF142" s="57"/>
      <c r="MRG142" s="10"/>
      <c r="MRH142" s="57"/>
      <c r="MRI142" s="10"/>
      <c r="MRJ142" s="57"/>
      <c r="MRK142" s="10"/>
      <c r="MRL142" s="57"/>
      <c r="MRM142" s="10"/>
      <c r="MRN142" s="57"/>
      <c r="MRO142" s="10"/>
      <c r="MRP142" s="57"/>
      <c r="MRQ142" s="10"/>
      <c r="MRR142" s="57"/>
      <c r="MRS142" s="10"/>
      <c r="MRT142" s="57"/>
      <c r="MRU142" s="10"/>
      <c r="MRV142" s="57"/>
      <c r="MRW142" s="10"/>
      <c r="MRX142" s="57"/>
      <c r="MRY142" s="10"/>
      <c r="MRZ142" s="57"/>
      <c r="MSA142" s="10"/>
      <c r="MSB142" s="57"/>
      <c r="MSC142" s="10"/>
      <c r="MSD142" s="57"/>
      <c r="MSE142" s="10"/>
      <c r="MSF142" s="57"/>
      <c r="MSG142" s="10"/>
      <c r="MSH142" s="57"/>
      <c r="MSI142" s="10"/>
      <c r="MSJ142" s="57"/>
      <c r="MSK142" s="10"/>
      <c r="MSL142" s="57"/>
      <c r="MSM142" s="10"/>
      <c r="MSN142" s="57"/>
      <c r="MSO142" s="10"/>
      <c r="MSP142" s="57"/>
      <c r="MSQ142" s="10"/>
      <c r="MSR142" s="57"/>
      <c r="MSS142" s="10"/>
      <c r="MST142" s="57"/>
      <c r="MSU142" s="10"/>
      <c r="MSV142" s="57"/>
      <c r="MSW142" s="10"/>
      <c r="MSX142" s="57"/>
      <c r="MSY142" s="10"/>
      <c r="MSZ142" s="57"/>
      <c r="MTA142" s="10"/>
      <c r="MTB142" s="57"/>
      <c r="MTC142" s="10"/>
      <c r="MTD142" s="57"/>
      <c r="MTE142" s="10"/>
      <c r="MTF142" s="57"/>
      <c r="MTG142" s="10"/>
      <c r="MTH142" s="57"/>
      <c r="MTI142" s="10"/>
      <c r="MTJ142" s="57"/>
      <c r="MTK142" s="10"/>
      <c r="MTL142" s="57"/>
      <c r="MTM142" s="10"/>
      <c r="MTN142" s="57"/>
      <c r="MTO142" s="10"/>
      <c r="MTP142" s="57"/>
      <c r="MTQ142" s="10"/>
      <c r="MTR142" s="57"/>
      <c r="MTS142" s="10"/>
      <c r="MTT142" s="57"/>
      <c r="MTU142" s="10"/>
      <c r="MTV142" s="57"/>
      <c r="MTW142" s="10"/>
      <c r="MTX142" s="57"/>
      <c r="MTY142" s="10"/>
      <c r="MTZ142" s="57"/>
      <c r="MUA142" s="10"/>
      <c r="MUB142" s="57"/>
      <c r="MUC142" s="10"/>
      <c r="MUD142" s="57"/>
      <c r="MUE142" s="10"/>
      <c r="MUF142" s="57"/>
      <c r="MUG142" s="10"/>
      <c r="MUH142" s="57"/>
      <c r="MUI142" s="10"/>
      <c r="MUJ142" s="57"/>
      <c r="MUK142" s="10"/>
      <c r="MUL142" s="57"/>
      <c r="MUM142" s="10"/>
      <c r="MUN142" s="57"/>
      <c r="MUO142" s="10"/>
      <c r="MUP142" s="57"/>
      <c r="MUQ142" s="10"/>
      <c r="MUR142" s="57"/>
      <c r="MUS142" s="10"/>
      <c r="MUT142" s="57"/>
      <c r="MUU142" s="10"/>
      <c r="MUV142" s="57"/>
      <c r="MUW142" s="10"/>
      <c r="MUX142" s="57"/>
      <c r="MUY142" s="10"/>
      <c r="MUZ142" s="57"/>
      <c r="MVA142" s="10"/>
      <c r="MVB142" s="57"/>
      <c r="MVC142" s="10"/>
      <c r="MVD142" s="57"/>
      <c r="MVE142" s="10"/>
      <c r="MVF142" s="57"/>
      <c r="MVG142" s="10"/>
      <c r="MVH142" s="57"/>
      <c r="MVI142" s="10"/>
      <c r="MVJ142" s="57"/>
      <c r="MVK142" s="10"/>
      <c r="MVL142" s="57"/>
      <c r="MVM142" s="10"/>
      <c r="MVN142" s="57"/>
      <c r="MVO142" s="10"/>
      <c r="MVP142" s="57"/>
      <c r="MVQ142" s="10"/>
      <c r="MVR142" s="57"/>
      <c r="MVS142" s="10"/>
      <c r="MVT142" s="57"/>
      <c r="MVU142" s="10"/>
      <c r="MVV142" s="57"/>
      <c r="MVW142" s="10"/>
      <c r="MVX142" s="57"/>
      <c r="MVY142" s="10"/>
      <c r="MVZ142" s="57"/>
      <c r="MWA142" s="10"/>
      <c r="MWB142" s="57"/>
      <c r="MWC142" s="10"/>
      <c r="MWD142" s="57"/>
      <c r="MWE142" s="10"/>
      <c r="MWF142" s="57"/>
      <c r="MWG142" s="10"/>
      <c r="MWH142" s="57"/>
      <c r="MWI142" s="10"/>
      <c r="MWJ142" s="57"/>
      <c r="MWK142" s="10"/>
      <c r="MWL142" s="57"/>
      <c r="MWM142" s="10"/>
      <c r="MWN142" s="57"/>
      <c r="MWO142" s="10"/>
      <c r="MWP142" s="57"/>
      <c r="MWQ142" s="10"/>
      <c r="MWR142" s="57"/>
      <c r="MWS142" s="10"/>
      <c r="MWT142" s="57"/>
      <c r="MWU142" s="10"/>
      <c r="MWV142" s="57"/>
      <c r="MWW142" s="10"/>
      <c r="MWX142" s="57"/>
      <c r="MWY142" s="10"/>
      <c r="MWZ142" s="57"/>
      <c r="MXA142" s="10"/>
      <c r="MXB142" s="57"/>
      <c r="MXC142" s="10"/>
      <c r="MXD142" s="57"/>
      <c r="MXE142" s="10"/>
      <c r="MXF142" s="57"/>
      <c r="MXG142" s="10"/>
      <c r="MXH142" s="57"/>
      <c r="MXI142" s="10"/>
      <c r="MXJ142" s="57"/>
      <c r="MXK142" s="10"/>
      <c r="MXL142" s="57"/>
      <c r="MXM142" s="10"/>
      <c r="MXN142" s="57"/>
      <c r="MXO142" s="10"/>
      <c r="MXP142" s="57"/>
      <c r="MXQ142" s="10"/>
      <c r="MXR142" s="57"/>
      <c r="MXS142" s="10"/>
      <c r="MXT142" s="57"/>
      <c r="MXU142" s="10"/>
      <c r="MXV142" s="57"/>
      <c r="MXW142" s="10"/>
      <c r="MXX142" s="57"/>
      <c r="MXY142" s="10"/>
      <c r="MXZ142" s="57"/>
      <c r="MYA142" s="10"/>
      <c r="MYB142" s="57"/>
      <c r="MYC142" s="10"/>
      <c r="MYD142" s="57"/>
      <c r="MYE142" s="10"/>
      <c r="MYF142" s="57"/>
      <c r="MYG142" s="10"/>
      <c r="MYH142" s="57"/>
      <c r="MYI142" s="10"/>
      <c r="MYJ142" s="57"/>
      <c r="MYK142" s="10"/>
      <c r="MYL142" s="57"/>
      <c r="MYM142" s="10"/>
      <c r="MYN142" s="57"/>
      <c r="MYO142" s="10"/>
      <c r="MYP142" s="57"/>
      <c r="MYQ142" s="10"/>
      <c r="MYR142" s="57"/>
      <c r="MYS142" s="10"/>
      <c r="MYT142" s="57"/>
      <c r="MYU142" s="10"/>
      <c r="MYV142" s="57"/>
      <c r="MYW142" s="10"/>
      <c r="MYX142" s="57"/>
      <c r="MYY142" s="10"/>
      <c r="MYZ142" s="57"/>
      <c r="MZA142" s="10"/>
      <c r="MZB142" s="57"/>
      <c r="MZC142" s="10"/>
      <c r="MZD142" s="57"/>
      <c r="MZE142" s="10"/>
      <c r="MZF142" s="57"/>
      <c r="MZG142" s="10"/>
      <c r="MZH142" s="57"/>
      <c r="MZI142" s="10"/>
      <c r="MZJ142" s="57"/>
      <c r="MZK142" s="10"/>
      <c r="MZL142" s="57"/>
      <c r="MZM142" s="10"/>
      <c r="MZN142" s="57"/>
      <c r="MZO142" s="10"/>
      <c r="MZP142" s="57"/>
      <c r="MZQ142" s="10"/>
      <c r="MZR142" s="57"/>
      <c r="MZS142" s="10"/>
      <c r="MZT142" s="57"/>
      <c r="MZU142" s="10"/>
      <c r="MZV142" s="57"/>
      <c r="MZW142" s="10"/>
      <c r="MZX142" s="57"/>
      <c r="MZY142" s="10"/>
      <c r="MZZ142" s="57"/>
      <c r="NAA142" s="10"/>
      <c r="NAB142" s="57"/>
      <c r="NAC142" s="10"/>
      <c r="NAD142" s="57"/>
      <c r="NAE142" s="10"/>
      <c r="NAF142" s="57"/>
      <c r="NAG142" s="10"/>
      <c r="NAH142" s="57"/>
      <c r="NAI142" s="10"/>
      <c r="NAJ142" s="57"/>
      <c r="NAK142" s="10"/>
      <c r="NAL142" s="57"/>
      <c r="NAM142" s="10"/>
      <c r="NAN142" s="57"/>
      <c r="NAO142" s="10"/>
      <c r="NAP142" s="57"/>
      <c r="NAQ142" s="10"/>
      <c r="NAR142" s="57"/>
      <c r="NAS142" s="10"/>
      <c r="NAT142" s="57"/>
      <c r="NAU142" s="10"/>
      <c r="NAV142" s="57"/>
      <c r="NAW142" s="10"/>
      <c r="NAX142" s="57"/>
      <c r="NAY142" s="10"/>
      <c r="NAZ142" s="57"/>
      <c r="NBA142" s="10"/>
      <c r="NBB142" s="57"/>
      <c r="NBC142" s="10"/>
      <c r="NBD142" s="57"/>
      <c r="NBE142" s="10"/>
      <c r="NBF142" s="57"/>
      <c r="NBG142" s="10"/>
      <c r="NBH142" s="57"/>
      <c r="NBI142" s="10"/>
      <c r="NBJ142" s="57"/>
      <c r="NBK142" s="10"/>
      <c r="NBL142" s="57"/>
      <c r="NBM142" s="10"/>
      <c r="NBN142" s="57"/>
      <c r="NBO142" s="10"/>
      <c r="NBP142" s="57"/>
      <c r="NBQ142" s="10"/>
      <c r="NBR142" s="57"/>
      <c r="NBS142" s="10"/>
      <c r="NBT142" s="57"/>
      <c r="NBU142" s="10"/>
      <c r="NBV142" s="57"/>
      <c r="NBW142" s="10"/>
      <c r="NBX142" s="57"/>
      <c r="NBY142" s="10"/>
      <c r="NBZ142" s="57"/>
      <c r="NCA142" s="10"/>
      <c r="NCB142" s="57"/>
      <c r="NCC142" s="10"/>
      <c r="NCD142" s="57"/>
      <c r="NCE142" s="10"/>
      <c r="NCF142" s="57"/>
      <c r="NCG142" s="10"/>
      <c r="NCH142" s="57"/>
      <c r="NCI142" s="10"/>
      <c r="NCJ142" s="57"/>
      <c r="NCK142" s="10"/>
      <c r="NCL142" s="57"/>
      <c r="NCM142" s="10"/>
      <c r="NCN142" s="57"/>
      <c r="NCO142" s="10"/>
      <c r="NCP142" s="57"/>
      <c r="NCQ142" s="10"/>
      <c r="NCR142" s="57"/>
      <c r="NCS142" s="10"/>
      <c r="NCT142" s="57"/>
      <c r="NCU142" s="10"/>
      <c r="NCV142" s="57"/>
      <c r="NCW142" s="10"/>
      <c r="NCX142" s="57"/>
      <c r="NCY142" s="10"/>
      <c r="NCZ142" s="57"/>
      <c r="NDA142" s="10"/>
      <c r="NDB142" s="57"/>
      <c r="NDC142" s="10"/>
      <c r="NDD142" s="57"/>
      <c r="NDE142" s="10"/>
      <c r="NDF142" s="57"/>
      <c r="NDG142" s="10"/>
      <c r="NDH142" s="57"/>
      <c r="NDI142" s="10"/>
      <c r="NDJ142" s="57"/>
      <c r="NDK142" s="10"/>
      <c r="NDL142" s="57"/>
      <c r="NDM142" s="10"/>
      <c r="NDN142" s="57"/>
      <c r="NDO142" s="10"/>
      <c r="NDP142" s="57"/>
      <c r="NDQ142" s="10"/>
      <c r="NDR142" s="57"/>
      <c r="NDS142" s="10"/>
      <c r="NDT142" s="57"/>
      <c r="NDU142" s="10"/>
      <c r="NDV142" s="57"/>
      <c r="NDW142" s="10"/>
      <c r="NDX142" s="57"/>
      <c r="NDY142" s="10"/>
      <c r="NDZ142" s="57"/>
      <c r="NEA142" s="10"/>
      <c r="NEB142" s="57"/>
      <c r="NEC142" s="10"/>
      <c r="NED142" s="57"/>
      <c r="NEE142" s="10"/>
      <c r="NEF142" s="57"/>
      <c r="NEG142" s="10"/>
      <c r="NEH142" s="57"/>
      <c r="NEI142" s="10"/>
      <c r="NEJ142" s="57"/>
      <c r="NEK142" s="10"/>
      <c r="NEL142" s="57"/>
      <c r="NEM142" s="10"/>
      <c r="NEN142" s="57"/>
      <c r="NEO142" s="10"/>
      <c r="NEP142" s="57"/>
      <c r="NEQ142" s="10"/>
      <c r="NER142" s="57"/>
      <c r="NES142" s="10"/>
      <c r="NET142" s="57"/>
      <c r="NEU142" s="10"/>
      <c r="NEV142" s="57"/>
      <c r="NEW142" s="10"/>
      <c r="NEX142" s="57"/>
      <c r="NEY142" s="10"/>
      <c r="NEZ142" s="57"/>
      <c r="NFA142" s="10"/>
      <c r="NFB142" s="57"/>
      <c r="NFC142" s="10"/>
      <c r="NFD142" s="57"/>
      <c r="NFE142" s="10"/>
      <c r="NFF142" s="57"/>
      <c r="NFG142" s="10"/>
      <c r="NFH142" s="57"/>
      <c r="NFI142" s="10"/>
      <c r="NFJ142" s="57"/>
      <c r="NFK142" s="10"/>
      <c r="NFL142" s="57"/>
      <c r="NFM142" s="10"/>
      <c r="NFN142" s="57"/>
      <c r="NFO142" s="10"/>
      <c r="NFP142" s="57"/>
      <c r="NFQ142" s="10"/>
      <c r="NFR142" s="57"/>
      <c r="NFS142" s="10"/>
      <c r="NFT142" s="57"/>
      <c r="NFU142" s="10"/>
      <c r="NFV142" s="57"/>
      <c r="NFW142" s="10"/>
      <c r="NFX142" s="57"/>
      <c r="NFY142" s="10"/>
      <c r="NFZ142" s="57"/>
      <c r="NGA142" s="10"/>
      <c r="NGB142" s="57"/>
      <c r="NGC142" s="10"/>
      <c r="NGD142" s="57"/>
      <c r="NGE142" s="10"/>
      <c r="NGF142" s="57"/>
      <c r="NGG142" s="10"/>
      <c r="NGH142" s="57"/>
      <c r="NGI142" s="10"/>
      <c r="NGJ142" s="57"/>
      <c r="NGK142" s="10"/>
      <c r="NGL142" s="57"/>
      <c r="NGM142" s="10"/>
      <c r="NGN142" s="57"/>
      <c r="NGO142" s="10"/>
      <c r="NGP142" s="57"/>
      <c r="NGQ142" s="10"/>
      <c r="NGR142" s="57"/>
      <c r="NGS142" s="10"/>
      <c r="NGT142" s="57"/>
      <c r="NGU142" s="10"/>
      <c r="NGV142" s="57"/>
      <c r="NGW142" s="10"/>
      <c r="NGX142" s="57"/>
      <c r="NGY142" s="10"/>
      <c r="NGZ142" s="57"/>
      <c r="NHA142" s="10"/>
      <c r="NHB142" s="57"/>
      <c r="NHC142" s="10"/>
      <c r="NHD142" s="57"/>
      <c r="NHE142" s="10"/>
      <c r="NHF142" s="57"/>
      <c r="NHG142" s="10"/>
      <c r="NHH142" s="57"/>
      <c r="NHI142" s="10"/>
      <c r="NHJ142" s="57"/>
      <c r="NHK142" s="10"/>
      <c r="NHL142" s="57"/>
      <c r="NHM142" s="10"/>
      <c r="NHN142" s="57"/>
      <c r="NHO142" s="10"/>
      <c r="NHP142" s="57"/>
      <c r="NHQ142" s="10"/>
      <c r="NHR142" s="57"/>
      <c r="NHS142" s="10"/>
      <c r="NHT142" s="57"/>
      <c r="NHU142" s="10"/>
      <c r="NHV142" s="57"/>
      <c r="NHW142" s="10"/>
      <c r="NHX142" s="57"/>
      <c r="NHY142" s="10"/>
      <c r="NHZ142" s="57"/>
      <c r="NIA142" s="10"/>
      <c r="NIB142" s="57"/>
      <c r="NIC142" s="10"/>
      <c r="NID142" s="57"/>
      <c r="NIE142" s="10"/>
      <c r="NIF142" s="57"/>
      <c r="NIG142" s="10"/>
      <c r="NIH142" s="57"/>
      <c r="NII142" s="10"/>
      <c r="NIJ142" s="57"/>
      <c r="NIK142" s="10"/>
      <c r="NIL142" s="57"/>
      <c r="NIM142" s="10"/>
      <c r="NIN142" s="57"/>
      <c r="NIO142" s="10"/>
      <c r="NIP142" s="57"/>
      <c r="NIQ142" s="10"/>
      <c r="NIR142" s="57"/>
      <c r="NIS142" s="10"/>
      <c r="NIT142" s="57"/>
      <c r="NIU142" s="10"/>
      <c r="NIV142" s="57"/>
      <c r="NIW142" s="10"/>
      <c r="NIX142" s="57"/>
      <c r="NIY142" s="10"/>
      <c r="NIZ142" s="57"/>
      <c r="NJA142" s="10"/>
      <c r="NJB142" s="57"/>
      <c r="NJC142" s="10"/>
      <c r="NJD142" s="57"/>
      <c r="NJE142" s="10"/>
      <c r="NJF142" s="57"/>
      <c r="NJG142" s="10"/>
      <c r="NJH142" s="57"/>
      <c r="NJI142" s="10"/>
      <c r="NJJ142" s="57"/>
      <c r="NJK142" s="10"/>
      <c r="NJL142" s="57"/>
      <c r="NJM142" s="10"/>
      <c r="NJN142" s="57"/>
      <c r="NJO142" s="10"/>
      <c r="NJP142" s="57"/>
      <c r="NJQ142" s="10"/>
      <c r="NJR142" s="57"/>
      <c r="NJS142" s="10"/>
      <c r="NJT142" s="57"/>
      <c r="NJU142" s="10"/>
      <c r="NJV142" s="57"/>
      <c r="NJW142" s="10"/>
      <c r="NJX142" s="57"/>
      <c r="NJY142" s="10"/>
      <c r="NJZ142" s="57"/>
      <c r="NKA142" s="10"/>
      <c r="NKB142" s="57"/>
      <c r="NKC142" s="10"/>
      <c r="NKD142" s="57"/>
      <c r="NKE142" s="10"/>
      <c r="NKF142" s="57"/>
      <c r="NKG142" s="10"/>
      <c r="NKH142" s="57"/>
      <c r="NKI142" s="10"/>
      <c r="NKJ142" s="57"/>
      <c r="NKK142" s="10"/>
      <c r="NKL142" s="57"/>
      <c r="NKM142" s="10"/>
      <c r="NKN142" s="57"/>
      <c r="NKO142" s="10"/>
      <c r="NKP142" s="57"/>
      <c r="NKQ142" s="10"/>
      <c r="NKR142" s="57"/>
      <c r="NKS142" s="10"/>
      <c r="NKT142" s="57"/>
      <c r="NKU142" s="10"/>
      <c r="NKV142" s="57"/>
      <c r="NKW142" s="10"/>
      <c r="NKX142" s="57"/>
      <c r="NKY142" s="10"/>
      <c r="NKZ142" s="57"/>
      <c r="NLA142" s="10"/>
      <c r="NLB142" s="57"/>
      <c r="NLC142" s="10"/>
      <c r="NLD142" s="57"/>
      <c r="NLE142" s="10"/>
      <c r="NLF142" s="57"/>
      <c r="NLG142" s="10"/>
      <c r="NLH142" s="57"/>
      <c r="NLI142" s="10"/>
      <c r="NLJ142" s="57"/>
      <c r="NLK142" s="10"/>
      <c r="NLL142" s="57"/>
      <c r="NLM142" s="10"/>
      <c r="NLN142" s="57"/>
      <c r="NLO142" s="10"/>
      <c r="NLP142" s="57"/>
      <c r="NLQ142" s="10"/>
      <c r="NLR142" s="57"/>
      <c r="NLS142" s="10"/>
      <c r="NLT142" s="57"/>
      <c r="NLU142" s="10"/>
      <c r="NLV142" s="57"/>
      <c r="NLW142" s="10"/>
      <c r="NLX142" s="57"/>
      <c r="NLY142" s="10"/>
      <c r="NLZ142" s="57"/>
      <c r="NMA142" s="10"/>
      <c r="NMB142" s="57"/>
      <c r="NMC142" s="10"/>
      <c r="NMD142" s="57"/>
      <c r="NME142" s="10"/>
      <c r="NMF142" s="57"/>
      <c r="NMG142" s="10"/>
      <c r="NMH142" s="57"/>
      <c r="NMI142" s="10"/>
      <c r="NMJ142" s="57"/>
      <c r="NMK142" s="10"/>
      <c r="NML142" s="57"/>
      <c r="NMM142" s="10"/>
      <c r="NMN142" s="57"/>
      <c r="NMO142" s="10"/>
      <c r="NMP142" s="57"/>
      <c r="NMQ142" s="10"/>
      <c r="NMR142" s="57"/>
      <c r="NMS142" s="10"/>
      <c r="NMT142" s="57"/>
      <c r="NMU142" s="10"/>
      <c r="NMV142" s="57"/>
      <c r="NMW142" s="10"/>
      <c r="NMX142" s="57"/>
      <c r="NMY142" s="10"/>
      <c r="NMZ142" s="57"/>
      <c r="NNA142" s="10"/>
      <c r="NNB142" s="57"/>
      <c r="NNC142" s="10"/>
      <c r="NND142" s="57"/>
      <c r="NNE142" s="10"/>
      <c r="NNF142" s="57"/>
      <c r="NNG142" s="10"/>
      <c r="NNH142" s="57"/>
      <c r="NNI142" s="10"/>
      <c r="NNJ142" s="57"/>
      <c r="NNK142" s="10"/>
      <c r="NNL142" s="57"/>
      <c r="NNM142" s="10"/>
      <c r="NNN142" s="57"/>
      <c r="NNO142" s="10"/>
      <c r="NNP142" s="57"/>
      <c r="NNQ142" s="10"/>
      <c r="NNR142" s="57"/>
      <c r="NNS142" s="10"/>
      <c r="NNT142" s="57"/>
      <c r="NNU142" s="10"/>
      <c r="NNV142" s="57"/>
      <c r="NNW142" s="10"/>
      <c r="NNX142" s="57"/>
      <c r="NNY142" s="10"/>
      <c r="NNZ142" s="57"/>
      <c r="NOA142" s="10"/>
      <c r="NOB142" s="57"/>
      <c r="NOC142" s="10"/>
      <c r="NOD142" s="57"/>
      <c r="NOE142" s="10"/>
      <c r="NOF142" s="57"/>
      <c r="NOG142" s="10"/>
      <c r="NOH142" s="57"/>
      <c r="NOI142" s="10"/>
      <c r="NOJ142" s="57"/>
      <c r="NOK142" s="10"/>
      <c r="NOL142" s="57"/>
      <c r="NOM142" s="10"/>
      <c r="NON142" s="57"/>
      <c r="NOO142" s="10"/>
      <c r="NOP142" s="57"/>
      <c r="NOQ142" s="10"/>
      <c r="NOR142" s="57"/>
      <c r="NOS142" s="10"/>
      <c r="NOT142" s="57"/>
      <c r="NOU142" s="10"/>
      <c r="NOV142" s="57"/>
      <c r="NOW142" s="10"/>
      <c r="NOX142" s="57"/>
      <c r="NOY142" s="10"/>
      <c r="NOZ142" s="57"/>
      <c r="NPA142" s="10"/>
      <c r="NPB142" s="57"/>
      <c r="NPC142" s="10"/>
      <c r="NPD142" s="57"/>
      <c r="NPE142" s="10"/>
      <c r="NPF142" s="57"/>
      <c r="NPG142" s="10"/>
      <c r="NPH142" s="57"/>
      <c r="NPI142" s="10"/>
      <c r="NPJ142" s="57"/>
      <c r="NPK142" s="10"/>
      <c r="NPL142" s="57"/>
      <c r="NPM142" s="10"/>
      <c r="NPN142" s="57"/>
      <c r="NPO142" s="10"/>
      <c r="NPP142" s="57"/>
      <c r="NPQ142" s="10"/>
      <c r="NPR142" s="57"/>
      <c r="NPS142" s="10"/>
      <c r="NPT142" s="57"/>
      <c r="NPU142" s="10"/>
      <c r="NPV142" s="57"/>
      <c r="NPW142" s="10"/>
      <c r="NPX142" s="57"/>
      <c r="NPY142" s="10"/>
      <c r="NPZ142" s="57"/>
      <c r="NQA142" s="10"/>
      <c r="NQB142" s="57"/>
      <c r="NQC142" s="10"/>
      <c r="NQD142" s="57"/>
      <c r="NQE142" s="10"/>
      <c r="NQF142" s="57"/>
      <c r="NQG142" s="10"/>
      <c r="NQH142" s="57"/>
      <c r="NQI142" s="10"/>
      <c r="NQJ142" s="57"/>
      <c r="NQK142" s="10"/>
      <c r="NQL142" s="57"/>
      <c r="NQM142" s="10"/>
      <c r="NQN142" s="57"/>
      <c r="NQO142" s="10"/>
      <c r="NQP142" s="57"/>
      <c r="NQQ142" s="10"/>
      <c r="NQR142" s="57"/>
      <c r="NQS142" s="10"/>
      <c r="NQT142" s="57"/>
      <c r="NQU142" s="10"/>
      <c r="NQV142" s="57"/>
      <c r="NQW142" s="10"/>
      <c r="NQX142" s="57"/>
      <c r="NQY142" s="10"/>
      <c r="NQZ142" s="57"/>
      <c r="NRA142" s="10"/>
      <c r="NRB142" s="57"/>
      <c r="NRC142" s="10"/>
      <c r="NRD142" s="57"/>
      <c r="NRE142" s="10"/>
      <c r="NRF142" s="57"/>
      <c r="NRG142" s="10"/>
      <c r="NRH142" s="57"/>
      <c r="NRI142" s="10"/>
      <c r="NRJ142" s="57"/>
      <c r="NRK142" s="10"/>
      <c r="NRL142" s="57"/>
      <c r="NRM142" s="10"/>
      <c r="NRN142" s="57"/>
      <c r="NRO142" s="10"/>
      <c r="NRP142" s="57"/>
      <c r="NRQ142" s="10"/>
      <c r="NRR142" s="57"/>
      <c r="NRS142" s="10"/>
      <c r="NRT142" s="57"/>
      <c r="NRU142" s="10"/>
      <c r="NRV142" s="57"/>
      <c r="NRW142" s="10"/>
      <c r="NRX142" s="57"/>
      <c r="NRY142" s="10"/>
      <c r="NRZ142" s="57"/>
      <c r="NSA142" s="10"/>
      <c r="NSB142" s="57"/>
      <c r="NSC142" s="10"/>
      <c r="NSD142" s="57"/>
      <c r="NSE142" s="10"/>
      <c r="NSF142" s="57"/>
      <c r="NSG142" s="10"/>
      <c r="NSH142" s="57"/>
      <c r="NSI142" s="10"/>
      <c r="NSJ142" s="57"/>
      <c r="NSK142" s="10"/>
      <c r="NSL142" s="57"/>
      <c r="NSM142" s="10"/>
      <c r="NSN142" s="57"/>
      <c r="NSO142" s="10"/>
      <c r="NSP142" s="57"/>
      <c r="NSQ142" s="10"/>
      <c r="NSR142" s="57"/>
      <c r="NSS142" s="10"/>
      <c r="NST142" s="57"/>
      <c r="NSU142" s="10"/>
      <c r="NSV142" s="57"/>
      <c r="NSW142" s="10"/>
      <c r="NSX142" s="57"/>
      <c r="NSY142" s="10"/>
      <c r="NSZ142" s="57"/>
      <c r="NTA142" s="10"/>
      <c r="NTB142" s="57"/>
      <c r="NTC142" s="10"/>
      <c r="NTD142" s="57"/>
      <c r="NTE142" s="10"/>
      <c r="NTF142" s="57"/>
      <c r="NTG142" s="10"/>
      <c r="NTH142" s="57"/>
      <c r="NTI142" s="10"/>
      <c r="NTJ142" s="57"/>
      <c r="NTK142" s="10"/>
      <c r="NTL142" s="57"/>
      <c r="NTM142" s="10"/>
      <c r="NTN142" s="57"/>
      <c r="NTO142" s="10"/>
      <c r="NTP142" s="57"/>
      <c r="NTQ142" s="10"/>
      <c r="NTR142" s="57"/>
      <c r="NTS142" s="10"/>
      <c r="NTT142" s="57"/>
      <c r="NTU142" s="10"/>
      <c r="NTV142" s="57"/>
      <c r="NTW142" s="10"/>
      <c r="NTX142" s="57"/>
      <c r="NTY142" s="10"/>
      <c r="NTZ142" s="57"/>
      <c r="NUA142" s="10"/>
      <c r="NUB142" s="57"/>
      <c r="NUC142" s="10"/>
      <c r="NUD142" s="57"/>
      <c r="NUE142" s="10"/>
      <c r="NUF142" s="57"/>
      <c r="NUG142" s="10"/>
      <c r="NUH142" s="57"/>
      <c r="NUI142" s="10"/>
      <c r="NUJ142" s="57"/>
      <c r="NUK142" s="10"/>
      <c r="NUL142" s="57"/>
      <c r="NUM142" s="10"/>
      <c r="NUN142" s="57"/>
      <c r="NUO142" s="10"/>
      <c r="NUP142" s="57"/>
      <c r="NUQ142" s="10"/>
      <c r="NUR142" s="57"/>
      <c r="NUS142" s="10"/>
      <c r="NUT142" s="57"/>
      <c r="NUU142" s="10"/>
      <c r="NUV142" s="57"/>
      <c r="NUW142" s="10"/>
      <c r="NUX142" s="57"/>
      <c r="NUY142" s="10"/>
      <c r="NUZ142" s="57"/>
      <c r="NVA142" s="10"/>
      <c r="NVB142" s="57"/>
      <c r="NVC142" s="10"/>
      <c r="NVD142" s="57"/>
      <c r="NVE142" s="10"/>
      <c r="NVF142" s="57"/>
      <c r="NVG142" s="10"/>
      <c r="NVH142" s="57"/>
      <c r="NVI142" s="10"/>
      <c r="NVJ142" s="57"/>
      <c r="NVK142" s="10"/>
      <c r="NVL142" s="57"/>
      <c r="NVM142" s="10"/>
      <c r="NVN142" s="57"/>
      <c r="NVO142" s="10"/>
      <c r="NVP142" s="57"/>
      <c r="NVQ142" s="10"/>
      <c r="NVR142" s="57"/>
      <c r="NVS142" s="10"/>
      <c r="NVT142" s="57"/>
      <c r="NVU142" s="10"/>
      <c r="NVV142" s="57"/>
      <c r="NVW142" s="10"/>
      <c r="NVX142" s="57"/>
      <c r="NVY142" s="10"/>
      <c r="NVZ142" s="57"/>
      <c r="NWA142" s="10"/>
      <c r="NWB142" s="57"/>
      <c r="NWC142" s="10"/>
      <c r="NWD142" s="57"/>
      <c r="NWE142" s="10"/>
      <c r="NWF142" s="57"/>
      <c r="NWG142" s="10"/>
      <c r="NWH142" s="57"/>
      <c r="NWI142" s="10"/>
      <c r="NWJ142" s="57"/>
      <c r="NWK142" s="10"/>
      <c r="NWL142" s="57"/>
      <c r="NWM142" s="10"/>
      <c r="NWN142" s="57"/>
      <c r="NWO142" s="10"/>
      <c r="NWP142" s="57"/>
      <c r="NWQ142" s="10"/>
      <c r="NWR142" s="57"/>
      <c r="NWS142" s="10"/>
      <c r="NWT142" s="57"/>
      <c r="NWU142" s="10"/>
      <c r="NWV142" s="57"/>
      <c r="NWW142" s="10"/>
      <c r="NWX142" s="57"/>
      <c r="NWY142" s="10"/>
      <c r="NWZ142" s="57"/>
      <c r="NXA142" s="10"/>
      <c r="NXB142" s="57"/>
      <c r="NXC142" s="10"/>
      <c r="NXD142" s="57"/>
      <c r="NXE142" s="10"/>
      <c r="NXF142" s="57"/>
      <c r="NXG142" s="10"/>
      <c r="NXH142" s="57"/>
      <c r="NXI142" s="10"/>
      <c r="NXJ142" s="57"/>
      <c r="NXK142" s="10"/>
      <c r="NXL142" s="57"/>
      <c r="NXM142" s="10"/>
      <c r="NXN142" s="57"/>
      <c r="NXO142" s="10"/>
      <c r="NXP142" s="57"/>
      <c r="NXQ142" s="10"/>
      <c r="NXR142" s="57"/>
      <c r="NXS142" s="10"/>
      <c r="NXT142" s="57"/>
      <c r="NXU142" s="10"/>
      <c r="NXV142" s="57"/>
      <c r="NXW142" s="10"/>
      <c r="NXX142" s="57"/>
      <c r="NXY142" s="10"/>
      <c r="NXZ142" s="57"/>
      <c r="NYA142" s="10"/>
      <c r="NYB142" s="57"/>
      <c r="NYC142" s="10"/>
      <c r="NYD142" s="57"/>
      <c r="NYE142" s="10"/>
      <c r="NYF142" s="57"/>
      <c r="NYG142" s="10"/>
      <c r="NYH142" s="57"/>
      <c r="NYI142" s="10"/>
      <c r="NYJ142" s="57"/>
      <c r="NYK142" s="10"/>
      <c r="NYL142" s="57"/>
      <c r="NYM142" s="10"/>
      <c r="NYN142" s="57"/>
      <c r="NYO142" s="10"/>
      <c r="NYP142" s="57"/>
      <c r="NYQ142" s="10"/>
      <c r="NYR142" s="57"/>
      <c r="NYS142" s="10"/>
      <c r="NYT142" s="57"/>
      <c r="NYU142" s="10"/>
      <c r="NYV142" s="57"/>
      <c r="NYW142" s="10"/>
      <c r="NYX142" s="57"/>
      <c r="NYY142" s="10"/>
      <c r="NYZ142" s="57"/>
      <c r="NZA142" s="10"/>
      <c r="NZB142" s="57"/>
      <c r="NZC142" s="10"/>
      <c r="NZD142" s="57"/>
      <c r="NZE142" s="10"/>
      <c r="NZF142" s="57"/>
      <c r="NZG142" s="10"/>
      <c r="NZH142" s="57"/>
      <c r="NZI142" s="10"/>
      <c r="NZJ142" s="57"/>
      <c r="NZK142" s="10"/>
      <c r="NZL142" s="57"/>
      <c r="NZM142" s="10"/>
      <c r="NZN142" s="57"/>
      <c r="NZO142" s="10"/>
      <c r="NZP142" s="57"/>
      <c r="NZQ142" s="10"/>
      <c r="NZR142" s="57"/>
      <c r="NZS142" s="10"/>
      <c r="NZT142" s="57"/>
      <c r="NZU142" s="10"/>
      <c r="NZV142" s="57"/>
      <c r="NZW142" s="10"/>
      <c r="NZX142" s="57"/>
      <c r="NZY142" s="10"/>
      <c r="NZZ142" s="57"/>
      <c r="OAA142" s="10"/>
      <c r="OAB142" s="57"/>
      <c r="OAC142" s="10"/>
      <c r="OAD142" s="57"/>
      <c r="OAE142" s="10"/>
      <c r="OAF142" s="57"/>
      <c r="OAG142" s="10"/>
      <c r="OAH142" s="57"/>
      <c r="OAI142" s="10"/>
      <c r="OAJ142" s="57"/>
      <c r="OAK142" s="10"/>
      <c r="OAL142" s="57"/>
      <c r="OAM142" s="10"/>
      <c r="OAN142" s="57"/>
      <c r="OAO142" s="10"/>
      <c r="OAP142" s="57"/>
      <c r="OAQ142" s="10"/>
      <c r="OAR142" s="57"/>
      <c r="OAS142" s="10"/>
      <c r="OAT142" s="57"/>
      <c r="OAU142" s="10"/>
      <c r="OAV142" s="57"/>
      <c r="OAW142" s="10"/>
      <c r="OAX142" s="57"/>
      <c r="OAY142" s="10"/>
      <c r="OAZ142" s="57"/>
      <c r="OBA142" s="10"/>
      <c r="OBB142" s="57"/>
      <c r="OBC142" s="10"/>
      <c r="OBD142" s="57"/>
      <c r="OBE142" s="10"/>
      <c r="OBF142" s="57"/>
      <c r="OBG142" s="10"/>
      <c r="OBH142" s="57"/>
      <c r="OBI142" s="10"/>
      <c r="OBJ142" s="57"/>
      <c r="OBK142" s="10"/>
      <c r="OBL142" s="57"/>
      <c r="OBM142" s="10"/>
      <c r="OBN142" s="57"/>
      <c r="OBO142" s="10"/>
      <c r="OBP142" s="57"/>
      <c r="OBQ142" s="10"/>
      <c r="OBR142" s="57"/>
      <c r="OBS142" s="10"/>
      <c r="OBT142" s="57"/>
      <c r="OBU142" s="10"/>
      <c r="OBV142" s="57"/>
      <c r="OBW142" s="10"/>
      <c r="OBX142" s="57"/>
      <c r="OBY142" s="10"/>
      <c r="OBZ142" s="57"/>
      <c r="OCA142" s="10"/>
      <c r="OCB142" s="57"/>
      <c r="OCC142" s="10"/>
      <c r="OCD142" s="57"/>
      <c r="OCE142" s="10"/>
      <c r="OCF142" s="57"/>
      <c r="OCG142" s="10"/>
      <c r="OCH142" s="57"/>
      <c r="OCI142" s="10"/>
      <c r="OCJ142" s="57"/>
      <c r="OCK142" s="10"/>
      <c r="OCL142" s="57"/>
      <c r="OCM142" s="10"/>
      <c r="OCN142" s="57"/>
      <c r="OCO142" s="10"/>
      <c r="OCP142" s="57"/>
      <c r="OCQ142" s="10"/>
      <c r="OCR142" s="57"/>
      <c r="OCS142" s="10"/>
      <c r="OCT142" s="57"/>
      <c r="OCU142" s="10"/>
      <c r="OCV142" s="57"/>
      <c r="OCW142" s="10"/>
      <c r="OCX142" s="57"/>
      <c r="OCY142" s="10"/>
      <c r="OCZ142" s="57"/>
      <c r="ODA142" s="10"/>
      <c r="ODB142" s="57"/>
      <c r="ODC142" s="10"/>
      <c r="ODD142" s="57"/>
      <c r="ODE142" s="10"/>
      <c r="ODF142" s="57"/>
      <c r="ODG142" s="10"/>
      <c r="ODH142" s="57"/>
      <c r="ODI142" s="10"/>
      <c r="ODJ142" s="57"/>
      <c r="ODK142" s="10"/>
      <c r="ODL142" s="57"/>
      <c r="ODM142" s="10"/>
      <c r="ODN142" s="57"/>
      <c r="ODO142" s="10"/>
      <c r="ODP142" s="57"/>
      <c r="ODQ142" s="10"/>
      <c r="ODR142" s="57"/>
      <c r="ODS142" s="10"/>
      <c r="ODT142" s="57"/>
      <c r="ODU142" s="10"/>
      <c r="ODV142" s="57"/>
      <c r="ODW142" s="10"/>
      <c r="ODX142" s="57"/>
      <c r="ODY142" s="10"/>
      <c r="ODZ142" s="57"/>
      <c r="OEA142" s="10"/>
      <c r="OEB142" s="57"/>
      <c r="OEC142" s="10"/>
      <c r="OED142" s="57"/>
      <c r="OEE142" s="10"/>
      <c r="OEF142" s="57"/>
      <c r="OEG142" s="10"/>
      <c r="OEH142" s="57"/>
      <c r="OEI142" s="10"/>
      <c r="OEJ142" s="57"/>
      <c r="OEK142" s="10"/>
      <c r="OEL142" s="57"/>
      <c r="OEM142" s="10"/>
      <c r="OEN142" s="57"/>
      <c r="OEO142" s="10"/>
      <c r="OEP142" s="57"/>
      <c r="OEQ142" s="10"/>
      <c r="OER142" s="57"/>
      <c r="OES142" s="10"/>
      <c r="OET142" s="57"/>
      <c r="OEU142" s="10"/>
      <c r="OEV142" s="57"/>
      <c r="OEW142" s="10"/>
      <c r="OEX142" s="57"/>
      <c r="OEY142" s="10"/>
      <c r="OEZ142" s="57"/>
      <c r="OFA142" s="10"/>
      <c r="OFB142" s="57"/>
      <c r="OFC142" s="10"/>
      <c r="OFD142" s="57"/>
      <c r="OFE142" s="10"/>
      <c r="OFF142" s="57"/>
      <c r="OFG142" s="10"/>
      <c r="OFH142" s="57"/>
      <c r="OFI142" s="10"/>
      <c r="OFJ142" s="57"/>
      <c r="OFK142" s="10"/>
      <c r="OFL142" s="57"/>
      <c r="OFM142" s="10"/>
      <c r="OFN142" s="57"/>
      <c r="OFO142" s="10"/>
      <c r="OFP142" s="57"/>
      <c r="OFQ142" s="10"/>
      <c r="OFR142" s="57"/>
      <c r="OFS142" s="10"/>
      <c r="OFT142" s="57"/>
      <c r="OFU142" s="10"/>
      <c r="OFV142" s="57"/>
      <c r="OFW142" s="10"/>
      <c r="OFX142" s="57"/>
      <c r="OFY142" s="10"/>
      <c r="OFZ142" s="57"/>
      <c r="OGA142" s="10"/>
      <c r="OGB142" s="57"/>
      <c r="OGC142" s="10"/>
      <c r="OGD142" s="57"/>
      <c r="OGE142" s="10"/>
      <c r="OGF142" s="57"/>
      <c r="OGG142" s="10"/>
      <c r="OGH142" s="57"/>
      <c r="OGI142" s="10"/>
      <c r="OGJ142" s="57"/>
      <c r="OGK142" s="10"/>
      <c r="OGL142" s="57"/>
      <c r="OGM142" s="10"/>
      <c r="OGN142" s="57"/>
      <c r="OGO142" s="10"/>
      <c r="OGP142" s="57"/>
      <c r="OGQ142" s="10"/>
      <c r="OGR142" s="57"/>
      <c r="OGS142" s="10"/>
      <c r="OGT142" s="57"/>
      <c r="OGU142" s="10"/>
      <c r="OGV142" s="57"/>
      <c r="OGW142" s="10"/>
      <c r="OGX142" s="57"/>
      <c r="OGY142" s="10"/>
      <c r="OGZ142" s="57"/>
      <c r="OHA142" s="10"/>
      <c r="OHB142" s="57"/>
      <c r="OHC142" s="10"/>
      <c r="OHD142" s="57"/>
      <c r="OHE142" s="10"/>
      <c r="OHF142" s="57"/>
      <c r="OHG142" s="10"/>
      <c r="OHH142" s="57"/>
      <c r="OHI142" s="10"/>
      <c r="OHJ142" s="57"/>
      <c r="OHK142" s="10"/>
      <c r="OHL142" s="57"/>
      <c r="OHM142" s="10"/>
      <c r="OHN142" s="57"/>
      <c r="OHO142" s="10"/>
      <c r="OHP142" s="57"/>
      <c r="OHQ142" s="10"/>
      <c r="OHR142" s="57"/>
      <c r="OHS142" s="10"/>
      <c r="OHT142" s="57"/>
      <c r="OHU142" s="10"/>
      <c r="OHV142" s="57"/>
      <c r="OHW142" s="10"/>
      <c r="OHX142" s="57"/>
      <c r="OHY142" s="10"/>
      <c r="OHZ142" s="57"/>
      <c r="OIA142" s="10"/>
      <c r="OIB142" s="57"/>
      <c r="OIC142" s="10"/>
      <c r="OID142" s="57"/>
      <c r="OIE142" s="10"/>
      <c r="OIF142" s="57"/>
      <c r="OIG142" s="10"/>
      <c r="OIH142" s="57"/>
      <c r="OII142" s="10"/>
      <c r="OIJ142" s="57"/>
      <c r="OIK142" s="10"/>
      <c r="OIL142" s="57"/>
      <c r="OIM142" s="10"/>
      <c r="OIN142" s="57"/>
      <c r="OIO142" s="10"/>
      <c r="OIP142" s="57"/>
      <c r="OIQ142" s="10"/>
      <c r="OIR142" s="57"/>
      <c r="OIS142" s="10"/>
      <c r="OIT142" s="57"/>
      <c r="OIU142" s="10"/>
      <c r="OIV142" s="57"/>
      <c r="OIW142" s="10"/>
      <c r="OIX142" s="57"/>
      <c r="OIY142" s="10"/>
      <c r="OIZ142" s="57"/>
      <c r="OJA142" s="10"/>
      <c r="OJB142" s="57"/>
      <c r="OJC142" s="10"/>
      <c r="OJD142" s="57"/>
      <c r="OJE142" s="10"/>
      <c r="OJF142" s="57"/>
      <c r="OJG142" s="10"/>
      <c r="OJH142" s="57"/>
      <c r="OJI142" s="10"/>
      <c r="OJJ142" s="57"/>
      <c r="OJK142" s="10"/>
      <c r="OJL142" s="57"/>
      <c r="OJM142" s="10"/>
      <c r="OJN142" s="57"/>
      <c r="OJO142" s="10"/>
      <c r="OJP142" s="57"/>
      <c r="OJQ142" s="10"/>
      <c r="OJR142" s="57"/>
      <c r="OJS142" s="10"/>
      <c r="OJT142" s="57"/>
      <c r="OJU142" s="10"/>
      <c r="OJV142" s="57"/>
      <c r="OJW142" s="10"/>
      <c r="OJX142" s="57"/>
      <c r="OJY142" s="10"/>
      <c r="OJZ142" s="57"/>
      <c r="OKA142" s="10"/>
      <c r="OKB142" s="57"/>
      <c r="OKC142" s="10"/>
      <c r="OKD142" s="57"/>
      <c r="OKE142" s="10"/>
      <c r="OKF142" s="57"/>
      <c r="OKG142" s="10"/>
      <c r="OKH142" s="57"/>
      <c r="OKI142" s="10"/>
      <c r="OKJ142" s="57"/>
      <c r="OKK142" s="10"/>
      <c r="OKL142" s="57"/>
      <c r="OKM142" s="10"/>
      <c r="OKN142" s="57"/>
      <c r="OKO142" s="10"/>
      <c r="OKP142" s="57"/>
      <c r="OKQ142" s="10"/>
      <c r="OKR142" s="57"/>
      <c r="OKS142" s="10"/>
      <c r="OKT142" s="57"/>
      <c r="OKU142" s="10"/>
      <c r="OKV142" s="57"/>
      <c r="OKW142" s="10"/>
      <c r="OKX142" s="57"/>
      <c r="OKY142" s="10"/>
      <c r="OKZ142" s="57"/>
      <c r="OLA142" s="10"/>
      <c r="OLB142" s="57"/>
      <c r="OLC142" s="10"/>
      <c r="OLD142" s="57"/>
      <c r="OLE142" s="10"/>
      <c r="OLF142" s="57"/>
      <c r="OLG142" s="10"/>
      <c r="OLH142" s="57"/>
      <c r="OLI142" s="10"/>
      <c r="OLJ142" s="57"/>
      <c r="OLK142" s="10"/>
      <c r="OLL142" s="57"/>
      <c r="OLM142" s="10"/>
      <c r="OLN142" s="57"/>
      <c r="OLO142" s="10"/>
      <c r="OLP142" s="57"/>
      <c r="OLQ142" s="10"/>
      <c r="OLR142" s="57"/>
      <c r="OLS142" s="10"/>
      <c r="OLT142" s="57"/>
      <c r="OLU142" s="10"/>
      <c r="OLV142" s="57"/>
      <c r="OLW142" s="10"/>
      <c r="OLX142" s="57"/>
      <c r="OLY142" s="10"/>
      <c r="OLZ142" s="57"/>
      <c r="OMA142" s="10"/>
      <c r="OMB142" s="57"/>
      <c r="OMC142" s="10"/>
      <c r="OMD142" s="57"/>
      <c r="OME142" s="10"/>
      <c r="OMF142" s="57"/>
      <c r="OMG142" s="10"/>
      <c r="OMH142" s="57"/>
      <c r="OMI142" s="10"/>
      <c r="OMJ142" s="57"/>
      <c r="OMK142" s="10"/>
      <c r="OML142" s="57"/>
      <c r="OMM142" s="10"/>
      <c r="OMN142" s="57"/>
      <c r="OMO142" s="10"/>
      <c r="OMP142" s="57"/>
      <c r="OMQ142" s="10"/>
      <c r="OMR142" s="57"/>
      <c r="OMS142" s="10"/>
      <c r="OMT142" s="57"/>
      <c r="OMU142" s="10"/>
      <c r="OMV142" s="57"/>
      <c r="OMW142" s="10"/>
      <c r="OMX142" s="57"/>
      <c r="OMY142" s="10"/>
      <c r="OMZ142" s="57"/>
      <c r="ONA142" s="10"/>
      <c r="ONB142" s="57"/>
      <c r="ONC142" s="10"/>
      <c r="OND142" s="57"/>
      <c r="ONE142" s="10"/>
      <c r="ONF142" s="57"/>
      <c r="ONG142" s="10"/>
      <c r="ONH142" s="57"/>
      <c r="ONI142" s="10"/>
      <c r="ONJ142" s="57"/>
      <c r="ONK142" s="10"/>
      <c r="ONL142" s="57"/>
      <c r="ONM142" s="10"/>
      <c r="ONN142" s="57"/>
      <c r="ONO142" s="10"/>
      <c r="ONP142" s="57"/>
      <c r="ONQ142" s="10"/>
      <c r="ONR142" s="57"/>
      <c r="ONS142" s="10"/>
      <c r="ONT142" s="57"/>
      <c r="ONU142" s="10"/>
      <c r="ONV142" s="57"/>
      <c r="ONW142" s="10"/>
      <c r="ONX142" s="57"/>
      <c r="ONY142" s="10"/>
      <c r="ONZ142" s="57"/>
      <c r="OOA142" s="10"/>
      <c r="OOB142" s="57"/>
      <c r="OOC142" s="10"/>
      <c r="OOD142" s="57"/>
      <c r="OOE142" s="10"/>
      <c r="OOF142" s="57"/>
      <c r="OOG142" s="10"/>
      <c r="OOH142" s="57"/>
      <c r="OOI142" s="10"/>
      <c r="OOJ142" s="57"/>
      <c r="OOK142" s="10"/>
      <c r="OOL142" s="57"/>
      <c r="OOM142" s="10"/>
      <c r="OON142" s="57"/>
      <c r="OOO142" s="10"/>
      <c r="OOP142" s="57"/>
      <c r="OOQ142" s="10"/>
      <c r="OOR142" s="57"/>
      <c r="OOS142" s="10"/>
      <c r="OOT142" s="57"/>
      <c r="OOU142" s="10"/>
      <c r="OOV142" s="57"/>
      <c r="OOW142" s="10"/>
      <c r="OOX142" s="57"/>
      <c r="OOY142" s="10"/>
      <c r="OOZ142" s="57"/>
      <c r="OPA142" s="10"/>
      <c r="OPB142" s="57"/>
      <c r="OPC142" s="10"/>
      <c r="OPD142" s="57"/>
      <c r="OPE142" s="10"/>
      <c r="OPF142" s="57"/>
      <c r="OPG142" s="10"/>
      <c r="OPH142" s="57"/>
      <c r="OPI142" s="10"/>
      <c r="OPJ142" s="57"/>
      <c r="OPK142" s="10"/>
      <c r="OPL142" s="57"/>
      <c r="OPM142" s="10"/>
      <c r="OPN142" s="57"/>
      <c r="OPO142" s="10"/>
      <c r="OPP142" s="57"/>
      <c r="OPQ142" s="10"/>
      <c r="OPR142" s="57"/>
      <c r="OPS142" s="10"/>
      <c r="OPT142" s="57"/>
      <c r="OPU142" s="10"/>
      <c r="OPV142" s="57"/>
      <c r="OPW142" s="10"/>
      <c r="OPX142" s="57"/>
      <c r="OPY142" s="10"/>
      <c r="OPZ142" s="57"/>
      <c r="OQA142" s="10"/>
      <c r="OQB142" s="57"/>
      <c r="OQC142" s="10"/>
      <c r="OQD142" s="57"/>
      <c r="OQE142" s="10"/>
      <c r="OQF142" s="57"/>
      <c r="OQG142" s="10"/>
      <c r="OQH142" s="57"/>
      <c r="OQI142" s="10"/>
      <c r="OQJ142" s="57"/>
      <c r="OQK142" s="10"/>
      <c r="OQL142" s="57"/>
      <c r="OQM142" s="10"/>
      <c r="OQN142" s="57"/>
      <c r="OQO142" s="10"/>
      <c r="OQP142" s="57"/>
      <c r="OQQ142" s="10"/>
      <c r="OQR142" s="57"/>
      <c r="OQS142" s="10"/>
      <c r="OQT142" s="57"/>
      <c r="OQU142" s="10"/>
      <c r="OQV142" s="57"/>
      <c r="OQW142" s="10"/>
      <c r="OQX142" s="57"/>
      <c r="OQY142" s="10"/>
      <c r="OQZ142" s="57"/>
      <c r="ORA142" s="10"/>
      <c r="ORB142" s="57"/>
      <c r="ORC142" s="10"/>
      <c r="ORD142" s="57"/>
      <c r="ORE142" s="10"/>
      <c r="ORF142" s="57"/>
      <c r="ORG142" s="10"/>
      <c r="ORH142" s="57"/>
      <c r="ORI142" s="10"/>
      <c r="ORJ142" s="57"/>
      <c r="ORK142" s="10"/>
      <c r="ORL142" s="57"/>
      <c r="ORM142" s="10"/>
      <c r="ORN142" s="57"/>
      <c r="ORO142" s="10"/>
      <c r="ORP142" s="57"/>
      <c r="ORQ142" s="10"/>
      <c r="ORR142" s="57"/>
      <c r="ORS142" s="10"/>
      <c r="ORT142" s="57"/>
      <c r="ORU142" s="10"/>
      <c r="ORV142" s="57"/>
      <c r="ORW142" s="10"/>
      <c r="ORX142" s="57"/>
      <c r="ORY142" s="10"/>
      <c r="ORZ142" s="57"/>
      <c r="OSA142" s="10"/>
      <c r="OSB142" s="57"/>
      <c r="OSC142" s="10"/>
      <c r="OSD142" s="57"/>
      <c r="OSE142" s="10"/>
      <c r="OSF142" s="57"/>
      <c r="OSG142" s="10"/>
      <c r="OSH142" s="57"/>
      <c r="OSI142" s="10"/>
      <c r="OSJ142" s="57"/>
      <c r="OSK142" s="10"/>
      <c r="OSL142" s="57"/>
      <c r="OSM142" s="10"/>
      <c r="OSN142" s="57"/>
      <c r="OSO142" s="10"/>
      <c r="OSP142" s="57"/>
      <c r="OSQ142" s="10"/>
      <c r="OSR142" s="57"/>
      <c r="OSS142" s="10"/>
      <c r="OST142" s="57"/>
      <c r="OSU142" s="10"/>
      <c r="OSV142" s="57"/>
      <c r="OSW142" s="10"/>
      <c r="OSX142" s="57"/>
      <c r="OSY142" s="10"/>
      <c r="OSZ142" s="57"/>
      <c r="OTA142" s="10"/>
      <c r="OTB142" s="57"/>
      <c r="OTC142" s="10"/>
      <c r="OTD142" s="57"/>
      <c r="OTE142" s="10"/>
      <c r="OTF142" s="57"/>
      <c r="OTG142" s="10"/>
      <c r="OTH142" s="57"/>
      <c r="OTI142" s="10"/>
      <c r="OTJ142" s="57"/>
      <c r="OTK142" s="10"/>
      <c r="OTL142" s="57"/>
      <c r="OTM142" s="10"/>
      <c r="OTN142" s="57"/>
      <c r="OTO142" s="10"/>
      <c r="OTP142" s="57"/>
      <c r="OTQ142" s="10"/>
      <c r="OTR142" s="57"/>
      <c r="OTS142" s="10"/>
      <c r="OTT142" s="57"/>
      <c r="OTU142" s="10"/>
      <c r="OTV142" s="57"/>
      <c r="OTW142" s="10"/>
      <c r="OTX142" s="57"/>
      <c r="OTY142" s="10"/>
      <c r="OTZ142" s="57"/>
      <c r="OUA142" s="10"/>
      <c r="OUB142" s="57"/>
      <c r="OUC142" s="10"/>
      <c r="OUD142" s="57"/>
      <c r="OUE142" s="10"/>
      <c r="OUF142" s="57"/>
      <c r="OUG142" s="10"/>
      <c r="OUH142" s="57"/>
      <c r="OUI142" s="10"/>
      <c r="OUJ142" s="57"/>
      <c r="OUK142" s="10"/>
      <c r="OUL142" s="57"/>
      <c r="OUM142" s="10"/>
      <c r="OUN142" s="57"/>
      <c r="OUO142" s="10"/>
      <c r="OUP142" s="57"/>
      <c r="OUQ142" s="10"/>
      <c r="OUR142" s="57"/>
      <c r="OUS142" s="10"/>
      <c r="OUT142" s="57"/>
      <c r="OUU142" s="10"/>
      <c r="OUV142" s="57"/>
      <c r="OUW142" s="10"/>
      <c r="OUX142" s="57"/>
      <c r="OUY142" s="10"/>
      <c r="OUZ142" s="57"/>
      <c r="OVA142" s="10"/>
      <c r="OVB142" s="57"/>
      <c r="OVC142" s="10"/>
      <c r="OVD142" s="57"/>
      <c r="OVE142" s="10"/>
      <c r="OVF142" s="57"/>
      <c r="OVG142" s="10"/>
      <c r="OVH142" s="57"/>
      <c r="OVI142" s="10"/>
      <c r="OVJ142" s="57"/>
      <c r="OVK142" s="10"/>
      <c r="OVL142" s="57"/>
      <c r="OVM142" s="10"/>
      <c r="OVN142" s="57"/>
      <c r="OVO142" s="10"/>
      <c r="OVP142" s="57"/>
      <c r="OVQ142" s="10"/>
      <c r="OVR142" s="57"/>
      <c r="OVS142" s="10"/>
      <c r="OVT142" s="57"/>
      <c r="OVU142" s="10"/>
      <c r="OVV142" s="57"/>
      <c r="OVW142" s="10"/>
      <c r="OVX142" s="57"/>
      <c r="OVY142" s="10"/>
      <c r="OVZ142" s="57"/>
      <c r="OWA142" s="10"/>
      <c r="OWB142" s="57"/>
      <c r="OWC142" s="10"/>
      <c r="OWD142" s="57"/>
      <c r="OWE142" s="10"/>
      <c r="OWF142" s="57"/>
      <c r="OWG142" s="10"/>
      <c r="OWH142" s="57"/>
      <c r="OWI142" s="10"/>
      <c r="OWJ142" s="57"/>
      <c r="OWK142" s="10"/>
      <c r="OWL142" s="57"/>
      <c r="OWM142" s="10"/>
      <c r="OWN142" s="57"/>
      <c r="OWO142" s="10"/>
      <c r="OWP142" s="57"/>
      <c r="OWQ142" s="10"/>
      <c r="OWR142" s="57"/>
      <c r="OWS142" s="10"/>
      <c r="OWT142" s="57"/>
      <c r="OWU142" s="10"/>
      <c r="OWV142" s="57"/>
      <c r="OWW142" s="10"/>
      <c r="OWX142" s="57"/>
      <c r="OWY142" s="10"/>
      <c r="OWZ142" s="57"/>
      <c r="OXA142" s="10"/>
      <c r="OXB142" s="57"/>
      <c r="OXC142" s="10"/>
      <c r="OXD142" s="57"/>
      <c r="OXE142" s="10"/>
      <c r="OXF142" s="57"/>
      <c r="OXG142" s="10"/>
      <c r="OXH142" s="57"/>
      <c r="OXI142" s="10"/>
      <c r="OXJ142" s="57"/>
      <c r="OXK142" s="10"/>
      <c r="OXL142" s="57"/>
      <c r="OXM142" s="10"/>
      <c r="OXN142" s="57"/>
      <c r="OXO142" s="10"/>
      <c r="OXP142" s="57"/>
      <c r="OXQ142" s="10"/>
      <c r="OXR142" s="57"/>
      <c r="OXS142" s="10"/>
      <c r="OXT142" s="57"/>
      <c r="OXU142" s="10"/>
      <c r="OXV142" s="57"/>
      <c r="OXW142" s="10"/>
      <c r="OXX142" s="57"/>
      <c r="OXY142" s="10"/>
      <c r="OXZ142" s="57"/>
      <c r="OYA142" s="10"/>
      <c r="OYB142" s="57"/>
      <c r="OYC142" s="10"/>
      <c r="OYD142" s="57"/>
      <c r="OYE142" s="10"/>
      <c r="OYF142" s="57"/>
      <c r="OYG142" s="10"/>
      <c r="OYH142" s="57"/>
      <c r="OYI142" s="10"/>
      <c r="OYJ142" s="57"/>
      <c r="OYK142" s="10"/>
      <c r="OYL142" s="57"/>
      <c r="OYM142" s="10"/>
      <c r="OYN142" s="57"/>
      <c r="OYO142" s="10"/>
      <c r="OYP142" s="57"/>
      <c r="OYQ142" s="10"/>
      <c r="OYR142" s="57"/>
      <c r="OYS142" s="10"/>
      <c r="OYT142" s="57"/>
      <c r="OYU142" s="10"/>
      <c r="OYV142" s="57"/>
      <c r="OYW142" s="10"/>
      <c r="OYX142" s="57"/>
      <c r="OYY142" s="10"/>
      <c r="OYZ142" s="57"/>
      <c r="OZA142" s="10"/>
      <c r="OZB142" s="57"/>
      <c r="OZC142" s="10"/>
      <c r="OZD142" s="57"/>
      <c r="OZE142" s="10"/>
      <c r="OZF142" s="57"/>
      <c r="OZG142" s="10"/>
      <c r="OZH142" s="57"/>
      <c r="OZI142" s="10"/>
      <c r="OZJ142" s="57"/>
      <c r="OZK142" s="10"/>
      <c r="OZL142" s="57"/>
      <c r="OZM142" s="10"/>
      <c r="OZN142" s="57"/>
      <c r="OZO142" s="10"/>
      <c r="OZP142" s="57"/>
      <c r="OZQ142" s="10"/>
      <c r="OZR142" s="57"/>
      <c r="OZS142" s="10"/>
      <c r="OZT142" s="57"/>
      <c r="OZU142" s="10"/>
      <c r="OZV142" s="57"/>
      <c r="OZW142" s="10"/>
      <c r="OZX142" s="57"/>
      <c r="OZY142" s="10"/>
      <c r="OZZ142" s="57"/>
      <c r="PAA142" s="10"/>
      <c r="PAB142" s="57"/>
      <c r="PAC142" s="10"/>
      <c r="PAD142" s="57"/>
      <c r="PAE142" s="10"/>
      <c r="PAF142" s="57"/>
      <c r="PAG142" s="10"/>
      <c r="PAH142" s="57"/>
      <c r="PAI142" s="10"/>
      <c r="PAJ142" s="57"/>
      <c r="PAK142" s="10"/>
      <c r="PAL142" s="57"/>
      <c r="PAM142" s="10"/>
      <c r="PAN142" s="57"/>
      <c r="PAO142" s="10"/>
      <c r="PAP142" s="57"/>
      <c r="PAQ142" s="10"/>
      <c r="PAR142" s="57"/>
      <c r="PAS142" s="10"/>
      <c r="PAT142" s="57"/>
      <c r="PAU142" s="10"/>
      <c r="PAV142" s="57"/>
      <c r="PAW142" s="10"/>
      <c r="PAX142" s="57"/>
      <c r="PAY142" s="10"/>
      <c r="PAZ142" s="57"/>
      <c r="PBA142" s="10"/>
      <c r="PBB142" s="57"/>
      <c r="PBC142" s="10"/>
      <c r="PBD142" s="57"/>
      <c r="PBE142" s="10"/>
      <c r="PBF142" s="57"/>
      <c r="PBG142" s="10"/>
      <c r="PBH142" s="57"/>
      <c r="PBI142" s="10"/>
      <c r="PBJ142" s="57"/>
      <c r="PBK142" s="10"/>
      <c r="PBL142" s="57"/>
      <c r="PBM142" s="10"/>
      <c r="PBN142" s="57"/>
      <c r="PBO142" s="10"/>
      <c r="PBP142" s="57"/>
      <c r="PBQ142" s="10"/>
      <c r="PBR142" s="57"/>
      <c r="PBS142" s="10"/>
      <c r="PBT142" s="57"/>
      <c r="PBU142" s="10"/>
      <c r="PBV142" s="57"/>
      <c r="PBW142" s="10"/>
      <c r="PBX142" s="57"/>
      <c r="PBY142" s="10"/>
      <c r="PBZ142" s="57"/>
      <c r="PCA142" s="10"/>
      <c r="PCB142" s="57"/>
      <c r="PCC142" s="10"/>
      <c r="PCD142" s="57"/>
      <c r="PCE142" s="10"/>
      <c r="PCF142" s="57"/>
      <c r="PCG142" s="10"/>
      <c r="PCH142" s="57"/>
      <c r="PCI142" s="10"/>
      <c r="PCJ142" s="57"/>
      <c r="PCK142" s="10"/>
      <c r="PCL142" s="57"/>
      <c r="PCM142" s="10"/>
      <c r="PCN142" s="57"/>
      <c r="PCO142" s="10"/>
      <c r="PCP142" s="57"/>
      <c r="PCQ142" s="10"/>
      <c r="PCR142" s="57"/>
      <c r="PCS142" s="10"/>
      <c r="PCT142" s="57"/>
      <c r="PCU142" s="10"/>
      <c r="PCV142" s="57"/>
      <c r="PCW142" s="10"/>
      <c r="PCX142" s="57"/>
      <c r="PCY142" s="10"/>
      <c r="PCZ142" s="57"/>
      <c r="PDA142" s="10"/>
      <c r="PDB142" s="57"/>
      <c r="PDC142" s="10"/>
      <c r="PDD142" s="57"/>
      <c r="PDE142" s="10"/>
      <c r="PDF142" s="57"/>
      <c r="PDG142" s="10"/>
      <c r="PDH142" s="57"/>
      <c r="PDI142" s="10"/>
      <c r="PDJ142" s="57"/>
      <c r="PDK142" s="10"/>
      <c r="PDL142" s="57"/>
      <c r="PDM142" s="10"/>
      <c r="PDN142" s="57"/>
      <c r="PDO142" s="10"/>
      <c r="PDP142" s="57"/>
      <c r="PDQ142" s="10"/>
      <c r="PDR142" s="57"/>
      <c r="PDS142" s="10"/>
      <c r="PDT142" s="57"/>
      <c r="PDU142" s="10"/>
      <c r="PDV142" s="57"/>
      <c r="PDW142" s="10"/>
      <c r="PDX142" s="57"/>
      <c r="PDY142" s="10"/>
      <c r="PDZ142" s="57"/>
      <c r="PEA142" s="10"/>
      <c r="PEB142" s="57"/>
      <c r="PEC142" s="10"/>
      <c r="PED142" s="57"/>
      <c r="PEE142" s="10"/>
      <c r="PEF142" s="57"/>
      <c r="PEG142" s="10"/>
      <c r="PEH142" s="57"/>
      <c r="PEI142" s="10"/>
      <c r="PEJ142" s="57"/>
      <c r="PEK142" s="10"/>
      <c r="PEL142" s="57"/>
      <c r="PEM142" s="10"/>
      <c r="PEN142" s="57"/>
      <c r="PEO142" s="10"/>
      <c r="PEP142" s="57"/>
      <c r="PEQ142" s="10"/>
      <c r="PER142" s="57"/>
      <c r="PES142" s="10"/>
      <c r="PET142" s="57"/>
      <c r="PEU142" s="10"/>
      <c r="PEV142" s="57"/>
      <c r="PEW142" s="10"/>
      <c r="PEX142" s="57"/>
      <c r="PEY142" s="10"/>
      <c r="PEZ142" s="57"/>
      <c r="PFA142" s="10"/>
      <c r="PFB142" s="57"/>
      <c r="PFC142" s="10"/>
      <c r="PFD142" s="57"/>
      <c r="PFE142" s="10"/>
      <c r="PFF142" s="57"/>
      <c r="PFG142" s="10"/>
      <c r="PFH142" s="57"/>
      <c r="PFI142" s="10"/>
      <c r="PFJ142" s="57"/>
      <c r="PFK142" s="10"/>
      <c r="PFL142" s="57"/>
      <c r="PFM142" s="10"/>
      <c r="PFN142" s="57"/>
      <c r="PFO142" s="10"/>
      <c r="PFP142" s="57"/>
      <c r="PFQ142" s="10"/>
      <c r="PFR142" s="57"/>
      <c r="PFS142" s="10"/>
      <c r="PFT142" s="57"/>
      <c r="PFU142" s="10"/>
      <c r="PFV142" s="57"/>
      <c r="PFW142" s="10"/>
      <c r="PFX142" s="57"/>
      <c r="PFY142" s="10"/>
      <c r="PFZ142" s="57"/>
      <c r="PGA142" s="10"/>
      <c r="PGB142" s="57"/>
      <c r="PGC142" s="10"/>
      <c r="PGD142" s="57"/>
      <c r="PGE142" s="10"/>
      <c r="PGF142" s="57"/>
      <c r="PGG142" s="10"/>
      <c r="PGH142" s="57"/>
      <c r="PGI142" s="10"/>
      <c r="PGJ142" s="57"/>
      <c r="PGK142" s="10"/>
      <c r="PGL142" s="57"/>
      <c r="PGM142" s="10"/>
      <c r="PGN142" s="57"/>
      <c r="PGO142" s="10"/>
      <c r="PGP142" s="57"/>
      <c r="PGQ142" s="10"/>
      <c r="PGR142" s="57"/>
      <c r="PGS142" s="10"/>
      <c r="PGT142" s="57"/>
      <c r="PGU142" s="10"/>
      <c r="PGV142" s="57"/>
      <c r="PGW142" s="10"/>
      <c r="PGX142" s="57"/>
      <c r="PGY142" s="10"/>
      <c r="PGZ142" s="57"/>
      <c r="PHA142" s="10"/>
      <c r="PHB142" s="57"/>
      <c r="PHC142" s="10"/>
      <c r="PHD142" s="57"/>
      <c r="PHE142" s="10"/>
      <c r="PHF142" s="57"/>
      <c r="PHG142" s="10"/>
      <c r="PHH142" s="57"/>
      <c r="PHI142" s="10"/>
      <c r="PHJ142" s="57"/>
      <c r="PHK142" s="10"/>
      <c r="PHL142" s="57"/>
      <c r="PHM142" s="10"/>
      <c r="PHN142" s="57"/>
      <c r="PHO142" s="10"/>
      <c r="PHP142" s="57"/>
      <c r="PHQ142" s="10"/>
      <c r="PHR142" s="57"/>
      <c r="PHS142" s="10"/>
      <c r="PHT142" s="57"/>
      <c r="PHU142" s="10"/>
      <c r="PHV142" s="57"/>
      <c r="PHW142" s="10"/>
      <c r="PHX142" s="57"/>
      <c r="PHY142" s="10"/>
      <c r="PHZ142" s="57"/>
      <c r="PIA142" s="10"/>
      <c r="PIB142" s="57"/>
      <c r="PIC142" s="10"/>
      <c r="PID142" s="57"/>
      <c r="PIE142" s="10"/>
      <c r="PIF142" s="57"/>
      <c r="PIG142" s="10"/>
      <c r="PIH142" s="57"/>
      <c r="PII142" s="10"/>
      <c r="PIJ142" s="57"/>
      <c r="PIK142" s="10"/>
      <c r="PIL142" s="57"/>
      <c r="PIM142" s="10"/>
      <c r="PIN142" s="57"/>
      <c r="PIO142" s="10"/>
      <c r="PIP142" s="57"/>
      <c r="PIQ142" s="10"/>
      <c r="PIR142" s="57"/>
      <c r="PIS142" s="10"/>
      <c r="PIT142" s="57"/>
      <c r="PIU142" s="10"/>
      <c r="PIV142" s="57"/>
      <c r="PIW142" s="10"/>
      <c r="PIX142" s="57"/>
      <c r="PIY142" s="10"/>
      <c r="PIZ142" s="57"/>
      <c r="PJA142" s="10"/>
      <c r="PJB142" s="57"/>
      <c r="PJC142" s="10"/>
      <c r="PJD142" s="57"/>
      <c r="PJE142" s="10"/>
      <c r="PJF142" s="57"/>
      <c r="PJG142" s="10"/>
      <c r="PJH142" s="57"/>
      <c r="PJI142" s="10"/>
      <c r="PJJ142" s="57"/>
      <c r="PJK142" s="10"/>
      <c r="PJL142" s="57"/>
      <c r="PJM142" s="10"/>
      <c r="PJN142" s="57"/>
      <c r="PJO142" s="10"/>
      <c r="PJP142" s="57"/>
      <c r="PJQ142" s="10"/>
      <c r="PJR142" s="57"/>
      <c r="PJS142" s="10"/>
      <c r="PJT142" s="57"/>
      <c r="PJU142" s="10"/>
      <c r="PJV142" s="57"/>
      <c r="PJW142" s="10"/>
      <c r="PJX142" s="57"/>
      <c r="PJY142" s="10"/>
      <c r="PJZ142" s="57"/>
      <c r="PKA142" s="10"/>
      <c r="PKB142" s="57"/>
      <c r="PKC142" s="10"/>
      <c r="PKD142" s="57"/>
      <c r="PKE142" s="10"/>
      <c r="PKF142" s="57"/>
      <c r="PKG142" s="10"/>
      <c r="PKH142" s="57"/>
      <c r="PKI142" s="10"/>
      <c r="PKJ142" s="57"/>
      <c r="PKK142" s="10"/>
      <c r="PKL142" s="57"/>
      <c r="PKM142" s="10"/>
      <c r="PKN142" s="57"/>
      <c r="PKO142" s="10"/>
      <c r="PKP142" s="57"/>
      <c r="PKQ142" s="10"/>
      <c r="PKR142" s="57"/>
      <c r="PKS142" s="10"/>
      <c r="PKT142" s="57"/>
      <c r="PKU142" s="10"/>
      <c r="PKV142" s="57"/>
      <c r="PKW142" s="10"/>
      <c r="PKX142" s="57"/>
      <c r="PKY142" s="10"/>
      <c r="PKZ142" s="57"/>
      <c r="PLA142" s="10"/>
      <c r="PLB142" s="57"/>
      <c r="PLC142" s="10"/>
      <c r="PLD142" s="57"/>
      <c r="PLE142" s="10"/>
      <c r="PLF142" s="57"/>
      <c r="PLG142" s="10"/>
      <c r="PLH142" s="57"/>
      <c r="PLI142" s="10"/>
      <c r="PLJ142" s="57"/>
      <c r="PLK142" s="10"/>
      <c r="PLL142" s="57"/>
      <c r="PLM142" s="10"/>
      <c r="PLN142" s="57"/>
      <c r="PLO142" s="10"/>
      <c r="PLP142" s="57"/>
      <c r="PLQ142" s="10"/>
      <c r="PLR142" s="57"/>
      <c r="PLS142" s="10"/>
      <c r="PLT142" s="57"/>
      <c r="PLU142" s="10"/>
      <c r="PLV142" s="57"/>
      <c r="PLW142" s="10"/>
      <c r="PLX142" s="57"/>
      <c r="PLY142" s="10"/>
      <c r="PLZ142" s="57"/>
      <c r="PMA142" s="10"/>
      <c r="PMB142" s="57"/>
      <c r="PMC142" s="10"/>
      <c r="PMD142" s="57"/>
      <c r="PME142" s="10"/>
      <c r="PMF142" s="57"/>
      <c r="PMG142" s="10"/>
      <c r="PMH142" s="57"/>
      <c r="PMI142" s="10"/>
      <c r="PMJ142" s="57"/>
      <c r="PMK142" s="10"/>
      <c r="PML142" s="57"/>
      <c r="PMM142" s="10"/>
      <c r="PMN142" s="57"/>
      <c r="PMO142" s="10"/>
      <c r="PMP142" s="57"/>
      <c r="PMQ142" s="10"/>
      <c r="PMR142" s="57"/>
      <c r="PMS142" s="10"/>
      <c r="PMT142" s="57"/>
      <c r="PMU142" s="10"/>
      <c r="PMV142" s="57"/>
      <c r="PMW142" s="10"/>
      <c r="PMX142" s="57"/>
      <c r="PMY142" s="10"/>
      <c r="PMZ142" s="57"/>
      <c r="PNA142" s="10"/>
      <c r="PNB142" s="57"/>
      <c r="PNC142" s="10"/>
      <c r="PND142" s="57"/>
      <c r="PNE142" s="10"/>
      <c r="PNF142" s="57"/>
      <c r="PNG142" s="10"/>
      <c r="PNH142" s="57"/>
      <c r="PNI142" s="10"/>
      <c r="PNJ142" s="57"/>
      <c r="PNK142" s="10"/>
      <c r="PNL142" s="57"/>
      <c r="PNM142" s="10"/>
      <c r="PNN142" s="57"/>
      <c r="PNO142" s="10"/>
      <c r="PNP142" s="57"/>
      <c r="PNQ142" s="10"/>
      <c r="PNR142" s="57"/>
      <c r="PNS142" s="10"/>
      <c r="PNT142" s="57"/>
      <c r="PNU142" s="10"/>
      <c r="PNV142" s="57"/>
      <c r="PNW142" s="10"/>
      <c r="PNX142" s="57"/>
      <c r="PNY142" s="10"/>
      <c r="PNZ142" s="57"/>
      <c r="POA142" s="10"/>
      <c r="POB142" s="57"/>
      <c r="POC142" s="10"/>
      <c r="POD142" s="57"/>
      <c r="POE142" s="10"/>
      <c r="POF142" s="57"/>
      <c r="POG142" s="10"/>
      <c r="POH142" s="57"/>
      <c r="POI142" s="10"/>
      <c r="POJ142" s="57"/>
      <c r="POK142" s="10"/>
      <c r="POL142" s="57"/>
      <c r="POM142" s="10"/>
      <c r="PON142" s="57"/>
      <c r="POO142" s="10"/>
      <c r="POP142" s="57"/>
      <c r="POQ142" s="10"/>
      <c r="POR142" s="57"/>
      <c r="POS142" s="10"/>
      <c r="POT142" s="57"/>
      <c r="POU142" s="10"/>
      <c r="POV142" s="57"/>
      <c r="POW142" s="10"/>
      <c r="POX142" s="57"/>
      <c r="POY142" s="10"/>
      <c r="POZ142" s="57"/>
      <c r="PPA142" s="10"/>
      <c r="PPB142" s="57"/>
      <c r="PPC142" s="10"/>
      <c r="PPD142" s="57"/>
      <c r="PPE142" s="10"/>
      <c r="PPF142" s="57"/>
      <c r="PPG142" s="10"/>
      <c r="PPH142" s="57"/>
      <c r="PPI142" s="10"/>
      <c r="PPJ142" s="57"/>
      <c r="PPK142" s="10"/>
      <c r="PPL142" s="57"/>
      <c r="PPM142" s="10"/>
      <c r="PPN142" s="57"/>
      <c r="PPO142" s="10"/>
      <c r="PPP142" s="57"/>
      <c r="PPQ142" s="10"/>
      <c r="PPR142" s="57"/>
      <c r="PPS142" s="10"/>
      <c r="PPT142" s="57"/>
      <c r="PPU142" s="10"/>
      <c r="PPV142" s="57"/>
      <c r="PPW142" s="10"/>
      <c r="PPX142" s="57"/>
      <c r="PPY142" s="10"/>
      <c r="PPZ142" s="57"/>
      <c r="PQA142" s="10"/>
      <c r="PQB142" s="57"/>
      <c r="PQC142" s="10"/>
      <c r="PQD142" s="57"/>
      <c r="PQE142" s="10"/>
      <c r="PQF142" s="57"/>
      <c r="PQG142" s="10"/>
      <c r="PQH142" s="57"/>
      <c r="PQI142" s="10"/>
      <c r="PQJ142" s="57"/>
      <c r="PQK142" s="10"/>
      <c r="PQL142" s="57"/>
      <c r="PQM142" s="10"/>
      <c r="PQN142" s="57"/>
      <c r="PQO142" s="10"/>
      <c r="PQP142" s="57"/>
      <c r="PQQ142" s="10"/>
      <c r="PQR142" s="57"/>
      <c r="PQS142" s="10"/>
      <c r="PQT142" s="57"/>
      <c r="PQU142" s="10"/>
      <c r="PQV142" s="57"/>
      <c r="PQW142" s="10"/>
      <c r="PQX142" s="57"/>
      <c r="PQY142" s="10"/>
      <c r="PQZ142" s="57"/>
      <c r="PRA142" s="10"/>
      <c r="PRB142" s="57"/>
      <c r="PRC142" s="10"/>
      <c r="PRD142" s="57"/>
      <c r="PRE142" s="10"/>
      <c r="PRF142" s="57"/>
      <c r="PRG142" s="10"/>
      <c r="PRH142" s="57"/>
      <c r="PRI142" s="10"/>
      <c r="PRJ142" s="57"/>
      <c r="PRK142" s="10"/>
      <c r="PRL142" s="57"/>
      <c r="PRM142" s="10"/>
      <c r="PRN142" s="57"/>
      <c r="PRO142" s="10"/>
      <c r="PRP142" s="57"/>
      <c r="PRQ142" s="10"/>
      <c r="PRR142" s="57"/>
      <c r="PRS142" s="10"/>
      <c r="PRT142" s="57"/>
      <c r="PRU142" s="10"/>
      <c r="PRV142" s="57"/>
      <c r="PRW142" s="10"/>
      <c r="PRX142" s="57"/>
      <c r="PRY142" s="10"/>
      <c r="PRZ142" s="57"/>
      <c r="PSA142" s="10"/>
      <c r="PSB142" s="57"/>
      <c r="PSC142" s="10"/>
      <c r="PSD142" s="57"/>
      <c r="PSE142" s="10"/>
      <c r="PSF142" s="57"/>
      <c r="PSG142" s="10"/>
      <c r="PSH142" s="57"/>
      <c r="PSI142" s="10"/>
      <c r="PSJ142" s="57"/>
      <c r="PSK142" s="10"/>
      <c r="PSL142" s="57"/>
      <c r="PSM142" s="10"/>
      <c r="PSN142" s="57"/>
      <c r="PSO142" s="10"/>
      <c r="PSP142" s="57"/>
      <c r="PSQ142" s="10"/>
      <c r="PSR142" s="57"/>
      <c r="PSS142" s="10"/>
      <c r="PST142" s="57"/>
      <c r="PSU142" s="10"/>
      <c r="PSV142" s="57"/>
      <c r="PSW142" s="10"/>
      <c r="PSX142" s="57"/>
      <c r="PSY142" s="10"/>
      <c r="PSZ142" s="57"/>
      <c r="PTA142" s="10"/>
      <c r="PTB142" s="57"/>
      <c r="PTC142" s="10"/>
      <c r="PTD142" s="57"/>
      <c r="PTE142" s="10"/>
      <c r="PTF142" s="57"/>
      <c r="PTG142" s="10"/>
      <c r="PTH142" s="57"/>
      <c r="PTI142" s="10"/>
      <c r="PTJ142" s="57"/>
      <c r="PTK142" s="10"/>
      <c r="PTL142" s="57"/>
      <c r="PTM142" s="10"/>
      <c r="PTN142" s="57"/>
      <c r="PTO142" s="10"/>
      <c r="PTP142" s="57"/>
      <c r="PTQ142" s="10"/>
      <c r="PTR142" s="57"/>
      <c r="PTS142" s="10"/>
      <c r="PTT142" s="57"/>
      <c r="PTU142" s="10"/>
      <c r="PTV142" s="57"/>
      <c r="PTW142" s="10"/>
      <c r="PTX142" s="57"/>
      <c r="PTY142" s="10"/>
      <c r="PTZ142" s="57"/>
      <c r="PUA142" s="10"/>
      <c r="PUB142" s="57"/>
      <c r="PUC142" s="10"/>
      <c r="PUD142" s="57"/>
      <c r="PUE142" s="10"/>
      <c r="PUF142" s="57"/>
      <c r="PUG142" s="10"/>
      <c r="PUH142" s="57"/>
      <c r="PUI142" s="10"/>
      <c r="PUJ142" s="57"/>
      <c r="PUK142" s="10"/>
      <c r="PUL142" s="57"/>
      <c r="PUM142" s="10"/>
      <c r="PUN142" s="57"/>
      <c r="PUO142" s="10"/>
      <c r="PUP142" s="57"/>
      <c r="PUQ142" s="10"/>
      <c r="PUR142" s="57"/>
      <c r="PUS142" s="10"/>
      <c r="PUT142" s="57"/>
      <c r="PUU142" s="10"/>
      <c r="PUV142" s="57"/>
      <c r="PUW142" s="10"/>
      <c r="PUX142" s="57"/>
      <c r="PUY142" s="10"/>
      <c r="PUZ142" s="57"/>
      <c r="PVA142" s="10"/>
      <c r="PVB142" s="57"/>
      <c r="PVC142" s="10"/>
      <c r="PVD142" s="57"/>
      <c r="PVE142" s="10"/>
      <c r="PVF142" s="57"/>
      <c r="PVG142" s="10"/>
      <c r="PVH142" s="57"/>
      <c r="PVI142" s="10"/>
      <c r="PVJ142" s="57"/>
      <c r="PVK142" s="10"/>
      <c r="PVL142" s="57"/>
      <c r="PVM142" s="10"/>
      <c r="PVN142" s="57"/>
      <c r="PVO142" s="10"/>
      <c r="PVP142" s="57"/>
      <c r="PVQ142" s="10"/>
      <c r="PVR142" s="57"/>
      <c r="PVS142" s="10"/>
      <c r="PVT142" s="57"/>
      <c r="PVU142" s="10"/>
      <c r="PVV142" s="57"/>
      <c r="PVW142" s="10"/>
      <c r="PVX142" s="57"/>
      <c r="PVY142" s="10"/>
      <c r="PVZ142" s="57"/>
      <c r="PWA142" s="10"/>
      <c r="PWB142" s="57"/>
      <c r="PWC142" s="10"/>
      <c r="PWD142" s="57"/>
      <c r="PWE142" s="10"/>
      <c r="PWF142" s="57"/>
      <c r="PWG142" s="10"/>
      <c r="PWH142" s="57"/>
      <c r="PWI142" s="10"/>
      <c r="PWJ142" s="57"/>
      <c r="PWK142" s="10"/>
      <c r="PWL142" s="57"/>
      <c r="PWM142" s="10"/>
      <c r="PWN142" s="57"/>
      <c r="PWO142" s="10"/>
      <c r="PWP142" s="57"/>
      <c r="PWQ142" s="10"/>
      <c r="PWR142" s="57"/>
      <c r="PWS142" s="10"/>
      <c r="PWT142" s="57"/>
      <c r="PWU142" s="10"/>
      <c r="PWV142" s="57"/>
      <c r="PWW142" s="10"/>
      <c r="PWX142" s="57"/>
      <c r="PWY142" s="10"/>
      <c r="PWZ142" s="57"/>
      <c r="PXA142" s="10"/>
      <c r="PXB142" s="57"/>
      <c r="PXC142" s="10"/>
      <c r="PXD142" s="57"/>
      <c r="PXE142" s="10"/>
      <c r="PXF142" s="57"/>
      <c r="PXG142" s="10"/>
      <c r="PXH142" s="57"/>
      <c r="PXI142" s="10"/>
      <c r="PXJ142" s="57"/>
      <c r="PXK142" s="10"/>
      <c r="PXL142" s="57"/>
      <c r="PXM142" s="10"/>
      <c r="PXN142" s="57"/>
      <c r="PXO142" s="10"/>
      <c r="PXP142" s="57"/>
      <c r="PXQ142" s="10"/>
      <c r="PXR142" s="57"/>
      <c r="PXS142" s="10"/>
      <c r="PXT142" s="57"/>
      <c r="PXU142" s="10"/>
      <c r="PXV142" s="57"/>
      <c r="PXW142" s="10"/>
      <c r="PXX142" s="57"/>
      <c r="PXY142" s="10"/>
      <c r="PXZ142" s="57"/>
      <c r="PYA142" s="10"/>
      <c r="PYB142" s="57"/>
      <c r="PYC142" s="10"/>
      <c r="PYD142" s="57"/>
      <c r="PYE142" s="10"/>
      <c r="PYF142" s="57"/>
      <c r="PYG142" s="10"/>
      <c r="PYH142" s="57"/>
      <c r="PYI142" s="10"/>
      <c r="PYJ142" s="57"/>
      <c r="PYK142" s="10"/>
      <c r="PYL142" s="57"/>
      <c r="PYM142" s="10"/>
      <c r="PYN142" s="57"/>
      <c r="PYO142" s="10"/>
      <c r="PYP142" s="57"/>
      <c r="PYQ142" s="10"/>
      <c r="PYR142" s="57"/>
      <c r="PYS142" s="10"/>
      <c r="PYT142" s="57"/>
      <c r="PYU142" s="10"/>
      <c r="PYV142" s="57"/>
      <c r="PYW142" s="10"/>
      <c r="PYX142" s="57"/>
      <c r="PYY142" s="10"/>
      <c r="PYZ142" s="57"/>
      <c r="PZA142" s="10"/>
      <c r="PZB142" s="57"/>
      <c r="PZC142" s="10"/>
      <c r="PZD142" s="57"/>
      <c r="PZE142" s="10"/>
      <c r="PZF142" s="57"/>
      <c r="PZG142" s="10"/>
      <c r="PZH142" s="57"/>
      <c r="PZI142" s="10"/>
      <c r="PZJ142" s="57"/>
      <c r="PZK142" s="10"/>
      <c r="PZL142" s="57"/>
      <c r="PZM142" s="10"/>
      <c r="PZN142" s="57"/>
      <c r="PZO142" s="10"/>
      <c r="PZP142" s="57"/>
      <c r="PZQ142" s="10"/>
      <c r="PZR142" s="57"/>
      <c r="PZS142" s="10"/>
      <c r="PZT142" s="57"/>
      <c r="PZU142" s="10"/>
      <c r="PZV142" s="57"/>
      <c r="PZW142" s="10"/>
      <c r="PZX142" s="57"/>
      <c r="PZY142" s="10"/>
      <c r="PZZ142" s="57"/>
      <c r="QAA142" s="10"/>
      <c r="QAB142" s="57"/>
      <c r="QAC142" s="10"/>
      <c r="QAD142" s="57"/>
      <c r="QAE142" s="10"/>
      <c r="QAF142" s="57"/>
      <c r="QAG142" s="10"/>
      <c r="QAH142" s="57"/>
      <c r="QAI142" s="10"/>
      <c r="QAJ142" s="57"/>
      <c r="QAK142" s="10"/>
      <c r="QAL142" s="57"/>
      <c r="QAM142" s="10"/>
      <c r="QAN142" s="57"/>
      <c r="QAO142" s="10"/>
      <c r="QAP142" s="57"/>
      <c r="QAQ142" s="10"/>
      <c r="QAR142" s="57"/>
      <c r="QAS142" s="10"/>
      <c r="QAT142" s="57"/>
      <c r="QAU142" s="10"/>
      <c r="QAV142" s="57"/>
      <c r="QAW142" s="10"/>
      <c r="QAX142" s="57"/>
      <c r="QAY142" s="10"/>
      <c r="QAZ142" s="57"/>
      <c r="QBA142" s="10"/>
      <c r="QBB142" s="57"/>
      <c r="QBC142" s="10"/>
      <c r="QBD142" s="57"/>
      <c r="QBE142" s="10"/>
      <c r="QBF142" s="57"/>
      <c r="QBG142" s="10"/>
      <c r="QBH142" s="57"/>
      <c r="QBI142" s="10"/>
      <c r="QBJ142" s="57"/>
      <c r="QBK142" s="10"/>
      <c r="QBL142" s="57"/>
      <c r="QBM142" s="10"/>
      <c r="QBN142" s="57"/>
      <c r="QBO142" s="10"/>
      <c r="QBP142" s="57"/>
      <c r="QBQ142" s="10"/>
      <c r="QBR142" s="57"/>
      <c r="QBS142" s="10"/>
      <c r="QBT142" s="57"/>
      <c r="QBU142" s="10"/>
      <c r="QBV142" s="57"/>
      <c r="QBW142" s="10"/>
      <c r="QBX142" s="57"/>
      <c r="QBY142" s="10"/>
      <c r="QBZ142" s="57"/>
      <c r="QCA142" s="10"/>
      <c r="QCB142" s="57"/>
      <c r="QCC142" s="10"/>
      <c r="QCD142" s="57"/>
      <c r="QCE142" s="10"/>
      <c r="QCF142" s="57"/>
      <c r="QCG142" s="10"/>
      <c r="QCH142" s="57"/>
      <c r="QCI142" s="10"/>
      <c r="QCJ142" s="57"/>
      <c r="QCK142" s="10"/>
      <c r="QCL142" s="57"/>
      <c r="QCM142" s="10"/>
      <c r="QCN142" s="57"/>
      <c r="QCO142" s="10"/>
      <c r="QCP142" s="57"/>
      <c r="QCQ142" s="10"/>
      <c r="QCR142" s="57"/>
      <c r="QCS142" s="10"/>
      <c r="QCT142" s="57"/>
      <c r="QCU142" s="10"/>
      <c r="QCV142" s="57"/>
      <c r="QCW142" s="10"/>
      <c r="QCX142" s="57"/>
      <c r="QCY142" s="10"/>
      <c r="QCZ142" s="57"/>
      <c r="QDA142" s="10"/>
      <c r="QDB142" s="57"/>
      <c r="QDC142" s="10"/>
      <c r="QDD142" s="57"/>
      <c r="QDE142" s="10"/>
      <c r="QDF142" s="57"/>
      <c r="QDG142" s="10"/>
      <c r="QDH142" s="57"/>
      <c r="QDI142" s="10"/>
      <c r="QDJ142" s="57"/>
      <c r="QDK142" s="10"/>
      <c r="QDL142" s="57"/>
      <c r="QDM142" s="10"/>
      <c r="QDN142" s="57"/>
      <c r="QDO142" s="10"/>
      <c r="QDP142" s="57"/>
      <c r="QDQ142" s="10"/>
      <c r="QDR142" s="57"/>
      <c r="QDS142" s="10"/>
      <c r="QDT142" s="57"/>
      <c r="QDU142" s="10"/>
      <c r="QDV142" s="57"/>
      <c r="QDW142" s="10"/>
      <c r="QDX142" s="57"/>
      <c r="QDY142" s="10"/>
      <c r="QDZ142" s="57"/>
      <c r="QEA142" s="10"/>
      <c r="QEB142" s="57"/>
      <c r="QEC142" s="10"/>
      <c r="QED142" s="57"/>
      <c r="QEE142" s="10"/>
      <c r="QEF142" s="57"/>
      <c r="QEG142" s="10"/>
      <c r="QEH142" s="57"/>
      <c r="QEI142" s="10"/>
      <c r="QEJ142" s="57"/>
      <c r="QEK142" s="10"/>
      <c r="QEL142" s="57"/>
      <c r="QEM142" s="10"/>
      <c r="QEN142" s="57"/>
      <c r="QEO142" s="10"/>
      <c r="QEP142" s="57"/>
      <c r="QEQ142" s="10"/>
      <c r="QER142" s="57"/>
      <c r="QES142" s="10"/>
      <c r="QET142" s="57"/>
      <c r="QEU142" s="10"/>
      <c r="QEV142" s="57"/>
      <c r="QEW142" s="10"/>
      <c r="QEX142" s="57"/>
      <c r="QEY142" s="10"/>
      <c r="QEZ142" s="57"/>
      <c r="QFA142" s="10"/>
      <c r="QFB142" s="57"/>
      <c r="QFC142" s="10"/>
      <c r="QFD142" s="57"/>
      <c r="QFE142" s="10"/>
      <c r="QFF142" s="57"/>
      <c r="QFG142" s="10"/>
      <c r="QFH142" s="57"/>
      <c r="QFI142" s="10"/>
      <c r="QFJ142" s="57"/>
      <c r="QFK142" s="10"/>
      <c r="QFL142" s="57"/>
      <c r="QFM142" s="10"/>
      <c r="QFN142" s="57"/>
      <c r="QFO142" s="10"/>
      <c r="QFP142" s="57"/>
      <c r="QFQ142" s="10"/>
      <c r="QFR142" s="57"/>
      <c r="QFS142" s="10"/>
      <c r="QFT142" s="57"/>
      <c r="QFU142" s="10"/>
      <c r="QFV142" s="57"/>
      <c r="QFW142" s="10"/>
      <c r="QFX142" s="57"/>
      <c r="QFY142" s="10"/>
      <c r="QFZ142" s="57"/>
      <c r="QGA142" s="10"/>
      <c r="QGB142" s="57"/>
      <c r="QGC142" s="10"/>
      <c r="QGD142" s="57"/>
      <c r="QGE142" s="10"/>
      <c r="QGF142" s="57"/>
      <c r="QGG142" s="10"/>
      <c r="QGH142" s="57"/>
      <c r="QGI142" s="10"/>
      <c r="QGJ142" s="57"/>
      <c r="QGK142" s="10"/>
      <c r="QGL142" s="57"/>
      <c r="QGM142" s="10"/>
      <c r="QGN142" s="57"/>
      <c r="QGO142" s="10"/>
      <c r="QGP142" s="57"/>
      <c r="QGQ142" s="10"/>
      <c r="QGR142" s="57"/>
      <c r="QGS142" s="10"/>
      <c r="QGT142" s="57"/>
      <c r="QGU142" s="10"/>
      <c r="QGV142" s="57"/>
      <c r="QGW142" s="10"/>
      <c r="QGX142" s="57"/>
      <c r="QGY142" s="10"/>
      <c r="QGZ142" s="57"/>
      <c r="QHA142" s="10"/>
      <c r="QHB142" s="57"/>
      <c r="QHC142" s="10"/>
      <c r="QHD142" s="57"/>
      <c r="QHE142" s="10"/>
      <c r="QHF142" s="57"/>
      <c r="QHG142" s="10"/>
      <c r="QHH142" s="57"/>
      <c r="QHI142" s="10"/>
      <c r="QHJ142" s="57"/>
      <c r="QHK142" s="10"/>
      <c r="QHL142" s="57"/>
      <c r="QHM142" s="10"/>
      <c r="QHN142" s="57"/>
      <c r="QHO142" s="10"/>
      <c r="QHP142" s="57"/>
      <c r="QHQ142" s="10"/>
      <c r="QHR142" s="57"/>
      <c r="QHS142" s="10"/>
      <c r="QHT142" s="57"/>
      <c r="QHU142" s="10"/>
      <c r="QHV142" s="57"/>
      <c r="QHW142" s="10"/>
      <c r="QHX142" s="57"/>
      <c r="QHY142" s="10"/>
      <c r="QHZ142" s="57"/>
      <c r="QIA142" s="10"/>
      <c r="QIB142" s="57"/>
      <c r="QIC142" s="10"/>
      <c r="QID142" s="57"/>
      <c r="QIE142" s="10"/>
      <c r="QIF142" s="57"/>
      <c r="QIG142" s="10"/>
      <c r="QIH142" s="57"/>
      <c r="QII142" s="10"/>
      <c r="QIJ142" s="57"/>
      <c r="QIK142" s="10"/>
      <c r="QIL142" s="57"/>
      <c r="QIM142" s="10"/>
      <c r="QIN142" s="57"/>
      <c r="QIO142" s="10"/>
      <c r="QIP142" s="57"/>
      <c r="QIQ142" s="10"/>
      <c r="QIR142" s="57"/>
      <c r="QIS142" s="10"/>
      <c r="QIT142" s="57"/>
      <c r="QIU142" s="10"/>
      <c r="QIV142" s="57"/>
      <c r="QIW142" s="10"/>
      <c r="QIX142" s="57"/>
      <c r="QIY142" s="10"/>
      <c r="QIZ142" s="57"/>
      <c r="QJA142" s="10"/>
      <c r="QJB142" s="57"/>
      <c r="QJC142" s="10"/>
      <c r="QJD142" s="57"/>
      <c r="QJE142" s="10"/>
      <c r="QJF142" s="57"/>
      <c r="QJG142" s="10"/>
      <c r="QJH142" s="57"/>
      <c r="QJI142" s="10"/>
      <c r="QJJ142" s="57"/>
      <c r="QJK142" s="10"/>
      <c r="QJL142" s="57"/>
      <c r="QJM142" s="10"/>
      <c r="QJN142" s="57"/>
      <c r="QJO142" s="10"/>
      <c r="QJP142" s="57"/>
      <c r="QJQ142" s="10"/>
      <c r="QJR142" s="57"/>
      <c r="QJS142" s="10"/>
      <c r="QJT142" s="57"/>
      <c r="QJU142" s="10"/>
      <c r="QJV142" s="57"/>
      <c r="QJW142" s="10"/>
      <c r="QJX142" s="57"/>
      <c r="QJY142" s="10"/>
      <c r="QJZ142" s="57"/>
      <c r="QKA142" s="10"/>
      <c r="QKB142" s="57"/>
      <c r="QKC142" s="10"/>
      <c r="QKD142" s="57"/>
      <c r="QKE142" s="10"/>
      <c r="QKF142" s="57"/>
      <c r="QKG142" s="10"/>
      <c r="QKH142" s="57"/>
      <c r="QKI142" s="10"/>
      <c r="QKJ142" s="57"/>
      <c r="QKK142" s="10"/>
      <c r="QKL142" s="57"/>
      <c r="QKM142" s="10"/>
      <c r="QKN142" s="57"/>
      <c r="QKO142" s="10"/>
      <c r="QKP142" s="57"/>
      <c r="QKQ142" s="10"/>
      <c r="QKR142" s="57"/>
      <c r="QKS142" s="10"/>
      <c r="QKT142" s="57"/>
      <c r="QKU142" s="10"/>
      <c r="QKV142" s="57"/>
      <c r="QKW142" s="10"/>
      <c r="QKX142" s="57"/>
      <c r="QKY142" s="10"/>
      <c r="QKZ142" s="57"/>
      <c r="QLA142" s="10"/>
      <c r="QLB142" s="57"/>
      <c r="QLC142" s="10"/>
      <c r="QLD142" s="57"/>
      <c r="QLE142" s="10"/>
      <c r="QLF142" s="57"/>
      <c r="QLG142" s="10"/>
      <c r="QLH142" s="57"/>
      <c r="QLI142" s="10"/>
      <c r="QLJ142" s="57"/>
      <c r="QLK142" s="10"/>
      <c r="QLL142" s="57"/>
      <c r="QLM142" s="10"/>
      <c r="QLN142" s="57"/>
      <c r="QLO142" s="10"/>
      <c r="QLP142" s="57"/>
      <c r="QLQ142" s="10"/>
      <c r="QLR142" s="57"/>
      <c r="QLS142" s="10"/>
      <c r="QLT142" s="57"/>
      <c r="QLU142" s="10"/>
      <c r="QLV142" s="57"/>
      <c r="QLW142" s="10"/>
      <c r="QLX142" s="57"/>
      <c r="QLY142" s="10"/>
      <c r="QLZ142" s="57"/>
      <c r="QMA142" s="10"/>
      <c r="QMB142" s="57"/>
      <c r="QMC142" s="10"/>
      <c r="QMD142" s="57"/>
      <c r="QME142" s="10"/>
      <c r="QMF142" s="57"/>
      <c r="QMG142" s="10"/>
      <c r="QMH142" s="57"/>
      <c r="QMI142" s="10"/>
      <c r="QMJ142" s="57"/>
      <c r="QMK142" s="10"/>
      <c r="QML142" s="57"/>
      <c r="QMM142" s="10"/>
      <c r="QMN142" s="57"/>
      <c r="QMO142" s="10"/>
      <c r="QMP142" s="57"/>
      <c r="QMQ142" s="10"/>
      <c r="QMR142" s="57"/>
      <c r="QMS142" s="10"/>
      <c r="QMT142" s="57"/>
      <c r="QMU142" s="10"/>
      <c r="QMV142" s="57"/>
      <c r="QMW142" s="10"/>
      <c r="QMX142" s="57"/>
      <c r="QMY142" s="10"/>
      <c r="QMZ142" s="57"/>
      <c r="QNA142" s="10"/>
      <c r="QNB142" s="57"/>
      <c r="QNC142" s="10"/>
      <c r="QND142" s="57"/>
      <c r="QNE142" s="10"/>
      <c r="QNF142" s="57"/>
      <c r="QNG142" s="10"/>
      <c r="QNH142" s="57"/>
      <c r="QNI142" s="10"/>
      <c r="QNJ142" s="57"/>
      <c r="QNK142" s="10"/>
      <c r="QNL142" s="57"/>
      <c r="QNM142" s="10"/>
      <c r="QNN142" s="57"/>
      <c r="QNO142" s="10"/>
      <c r="QNP142" s="57"/>
      <c r="QNQ142" s="10"/>
      <c r="QNR142" s="57"/>
      <c r="QNS142" s="10"/>
      <c r="QNT142" s="57"/>
      <c r="QNU142" s="10"/>
      <c r="QNV142" s="57"/>
      <c r="QNW142" s="10"/>
      <c r="QNX142" s="57"/>
      <c r="QNY142" s="10"/>
      <c r="QNZ142" s="57"/>
      <c r="QOA142" s="10"/>
      <c r="QOB142" s="57"/>
      <c r="QOC142" s="10"/>
      <c r="QOD142" s="57"/>
      <c r="QOE142" s="10"/>
      <c r="QOF142" s="57"/>
      <c r="QOG142" s="10"/>
      <c r="QOH142" s="57"/>
      <c r="QOI142" s="10"/>
      <c r="QOJ142" s="57"/>
      <c r="QOK142" s="10"/>
      <c r="QOL142" s="57"/>
      <c r="QOM142" s="10"/>
      <c r="QON142" s="57"/>
      <c r="QOO142" s="10"/>
      <c r="QOP142" s="57"/>
      <c r="QOQ142" s="10"/>
      <c r="QOR142" s="57"/>
      <c r="QOS142" s="10"/>
      <c r="QOT142" s="57"/>
      <c r="QOU142" s="10"/>
      <c r="QOV142" s="57"/>
      <c r="QOW142" s="10"/>
      <c r="QOX142" s="57"/>
      <c r="QOY142" s="10"/>
      <c r="QOZ142" s="57"/>
      <c r="QPA142" s="10"/>
      <c r="QPB142" s="57"/>
      <c r="QPC142" s="10"/>
      <c r="QPD142" s="57"/>
      <c r="QPE142" s="10"/>
      <c r="QPF142" s="57"/>
      <c r="QPG142" s="10"/>
      <c r="QPH142" s="57"/>
      <c r="QPI142" s="10"/>
      <c r="QPJ142" s="57"/>
      <c r="QPK142" s="10"/>
      <c r="QPL142" s="57"/>
      <c r="QPM142" s="10"/>
      <c r="QPN142" s="57"/>
      <c r="QPO142" s="10"/>
      <c r="QPP142" s="57"/>
      <c r="QPQ142" s="10"/>
      <c r="QPR142" s="57"/>
      <c r="QPS142" s="10"/>
      <c r="QPT142" s="57"/>
      <c r="QPU142" s="10"/>
      <c r="QPV142" s="57"/>
      <c r="QPW142" s="10"/>
      <c r="QPX142" s="57"/>
      <c r="QPY142" s="10"/>
      <c r="QPZ142" s="57"/>
      <c r="QQA142" s="10"/>
      <c r="QQB142" s="57"/>
      <c r="QQC142" s="10"/>
      <c r="QQD142" s="57"/>
      <c r="QQE142" s="10"/>
      <c r="QQF142" s="57"/>
      <c r="QQG142" s="10"/>
      <c r="QQH142" s="57"/>
      <c r="QQI142" s="10"/>
      <c r="QQJ142" s="57"/>
      <c r="QQK142" s="10"/>
      <c r="QQL142" s="57"/>
      <c r="QQM142" s="10"/>
      <c r="QQN142" s="57"/>
      <c r="QQO142" s="10"/>
      <c r="QQP142" s="57"/>
      <c r="QQQ142" s="10"/>
      <c r="QQR142" s="57"/>
      <c r="QQS142" s="10"/>
      <c r="QQT142" s="57"/>
      <c r="QQU142" s="10"/>
      <c r="QQV142" s="57"/>
      <c r="QQW142" s="10"/>
      <c r="QQX142" s="57"/>
      <c r="QQY142" s="10"/>
      <c r="QQZ142" s="57"/>
      <c r="QRA142" s="10"/>
      <c r="QRB142" s="57"/>
      <c r="QRC142" s="10"/>
      <c r="QRD142" s="57"/>
      <c r="QRE142" s="10"/>
      <c r="QRF142" s="57"/>
      <c r="QRG142" s="10"/>
      <c r="QRH142" s="57"/>
      <c r="QRI142" s="10"/>
      <c r="QRJ142" s="57"/>
      <c r="QRK142" s="10"/>
      <c r="QRL142" s="57"/>
      <c r="QRM142" s="10"/>
      <c r="QRN142" s="57"/>
      <c r="QRO142" s="10"/>
      <c r="QRP142" s="57"/>
      <c r="QRQ142" s="10"/>
      <c r="QRR142" s="57"/>
      <c r="QRS142" s="10"/>
      <c r="QRT142" s="57"/>
      <c r="QRU142" s="10"/>
      <c r="QRV142" s="57"/>
      <c r="QRW142" s="10"/>
      <c r="QRX142" s="57"/>
      <c r="QRY142" s="10"/>
      <c r="QRZ142" s="57"/>
      <c r="QSA142" s="10"/>
      <c r="QSB142" s="57"/>
      <c r="QSC142" s="10"/>
      <c r="QSD142" s="57"/>
      <c r="QSE142" s="10"/>
      <c r="QSF142" s="57"/>
      <c r="QSG142" s="10"/>
      <c r="QSH142" s="57"/>
      <c r="QSI142" s="10"/>
      <c r="QSJ142" s="57"/>
      <c r="QSK142" s="10"/>
      <c r="QSL142" s="57"/>
      <c r="QSM142" s="10"/>
      <c r="QSN142" s="57"/>
      <c r="QSO142" s="10"/>
      <c r="QSP142" s="57"/>
      <c r="QSQ142" s="10"/>
      <c r="QSR142" s="57"/>
      <c r="QSS142" s="10"/>
      <c r="QST142" s="57"/>
      <c r="QSU142" s="10"/>
      <c r="QSV142" s="57"/>
      <c r="QSW142" s="10"/>
      <c r="QSX142" s="57"/>
      <c r="QSY142" s="10"/>
      <c r="QSZ142" s="57"/>
      <c r="QTA142" s="10"/>
      <c r="QTB142" s="57"/>
      <c r="QTC142" s="10"/>
      <c r="QTD142" s="57"/>
      <c r="QTE142" s="10"/>
      <c r="QTF142" s="57"/>
      <c r="QTG142" s="10"/>
      <c r="QTH142" s="57"/>
      <c r="QTI142" s="10"/>
      <c r="QTJ142" s="57"/>
      <c r="QTK142" s="10"/>
      <c r="QTL142" s="57"/>
      <c r="QTM142" s="10"/>
      <c r="QTN142" s="57"/>
      <c r="QTO142" s="10"/>
      <c r="QTP142" s="57"/>
      <c r="QTQ142" s="10"/>
      <c r="QTR142" s="57"/>
      <c r="QTS142" s="10"/>
      <c r="QTT142" s="57"/>
      <c r="QTU142" s="10"/>
      <c r="QTV142" s="57"/>
      <c r="QTW142" s="10"/>
      <c r="QTX142" s="57"/>
      <c r="QTY142" s="10"/>
      <c r="QTZ142" s="57"/>
      <c r="QUA142" s="10"/>
      <c r="QUB142" s="57"/>
      <c r="QUC142" s="10"/>
      <c r="QUD142" s="57"/>
      <c r="QUE142" s="10"/>
      <c r="QUF142" s="57"/>
      <c r="QUG142" s="10"/>
      <c r="QUH142" s="57"/>
      <c r="QUI142" s="10"/>
      <c r="QUJ142" s="57"/>
      <c r="QUK142" s="10"/>
      <c r="QUL142" s="57"/>
      <c r="QUM142" s="10"/>
      <c r="QUN142" s="57"/>
      <c r="QUO142" s="10"/>
      <c r="QUP142" s="57"/>
      <c r="QUQ142" s="10"/>
      <c r="QUR142" s="57"/>
      <c r="QUS142" s="10"/>
      <c r="QUT142" s="57"/>
      <c r="QUU142" s="10"/>
      <c r="QUV142" s="57"/>
      <c r="QUW142" s="10"/>
      <c r="QUX142" s="57"/>
      <c r="QUY142" s="10"/>
      <c r="QUZ142" s="57"/>
      <c r="QVA142" s="10"/>
      <c r="QVB142" s="57"/>
      <c r="QVC142" s="10"/>
      <c r="QVD142" s="57"/>
      <c r="QVE142" s="10"/>
      <c r="QVF142" s="57"/>
      <c r="QVG142" s="10"/>
      <c r="QVH142" s="57"/>
      <c r="QVI142" s="10"/>
      <c r="QVJ142" s="57"/>
      <c r="QVK142" s="10"/>
      <c r="QVL142" s="57"/>
      <c r="QVM142" s="10"/>
      <c r="QVN142" s="57"/>
      <c r="QVO142" s="10"/>
      <c r="QVP142" s="57"/>
      <c r="QVQ142" s="10"/>
      <c r="QVR142" s="57"/>
      <c r="QVS142" s="10"/>
      <c r="QVT142" s="57"/>
      <c r="QVU142" s="10"/>
      <c r="QVV142" s="57"/>
      <c r="QVW142" s="10"/>
      <c r="QVX142" s="57"/>
      <c r="QVY142" s="10"/>
      <c r="QVZ142" s="57"/>
      <c r="QWA142" s="10"/>
      <c r="QWB142" s="57"/>
      <c r="QWC142" s="10"/>
      <c r="QWD142" s="57"/>
      <c r="QWE142" s="10"/>
      <c r="QWF142" s="57"/>
      <c r="QWG142" s="10"/>
      <c r="QWH142" s="57"/>
      <c r="QWI142" s="10"/>
      <c r="QWJ142" s="57"/>
      <c r="QWK142" s="10"/>
      <c r="QWL142" s="57"/>
      <c r="QWM142" s="10"/>
      <c r="QWN142" s="57"/>
      <c r="QWO142" s="10"/>
      <c r="QWP142" s="57"/>
      <c r="QWQ142" s="10"/>
      <c r="QWR142" s="57"/>
      <c r="QWS142" s="10"/>
      <c r="QWT142" s="57"/>
      <c r="QWU142" s="10"/>
      <c r="QWV142" s="57"/>
      <c r="QWW142" s="10"/>
      <c r="QWX142" s="57"/>
      <c r="QWY142" s="10"/>
      <c r="QWZ142" s="57"/>
      <c r="QXA142" s="10"/>
      <c r="QXB142" s="57"/>
      <c r="QXC142" s="10"/>
      <c r="QXD142" s="57"/>
      <c r="QXE142" s="10"/>
      <c r="QXF142" s="57"/>
      <c r="QXG142" s="10"/>
      <c r="QXH142" s="57"/>
      <c r="QXI142" s="10"/>
      <c r="QXJ142" s="57"/>
      <c r="QXK142" s="10"/>
      <c r="QXL142" s="57"/>
      <c r="QXM142" s="10"/>
      <c r="QXN142" s="57"/>
      <c r="QXO142" s="10"/>
      <c r="QXP142" s="57"/>
      <c r="QXQ142" s="10"/>
      <c r="QXR142" s="57"/>
      <c r="QXS142" s="10"/>
      <c r="QXT142" s="57"/>
      <c r="QXU142" s="10"/>
      <c r="QXV142" s="57"/>
      <c r="QXW142" s="10"/>
      <c r="QXX142" s="57"/>
      <c r="QXY142" s="10"/>
      <c r="QXZ142" s="57"/>
      <c r="QYA142" s="10"/>
      <c r="QYB142" s="57"/>
      <c r="QYC142" s="10"/>
      <c r="QYD142" s="57"/>
      <c r="QYE142" s="10"/>
      <c r="QYF142" s="57"/>
      <c r="QYG142" s="10"/>
      <c r="QYH142" s="57"/>
      <c r="QYI142" s="10"/>
      <c r="QYJ142" s="57"/>
      <c r="QYK142" s="10"/>
      <c r="QYL142" s="57"/>
      <c r="QYM142" s="10"/>
      <c r="QYN142" s="57"/>
      <c r="QYO142" s="10"/>
      <c r="QYP142" s="57"/>
      <c r="QYQ142" s="10"/>
      <c r="QYR142" s="57"/>
      <c r="QYS142" s="10"/>
      <c r="QYT142" s="57"/>
      <c r="QYU142" s="10"/>
      <c r="QYV142" s="57"/>
      <c r="QYW142" s="10"/>
      <c r="QYX142" s="57"/>
      <c r="QYY142" s="10"/>
      <c r="QYZ142" s="57"/>
      <c r="QZA142" s="10"/>
      <c r="QZB142" s="57"/>
      <c r="QZC142" s="10"/>
      <c r="QZD142" s="57"/>
      <c r="QZE142" s="10"/>
      <c r="QZF142" s="57"/>
      <c r="QZG142" s="10"/>
      <c r="QZH142" s="57"/>
      <c r="QZI142" s="10"/>
      <c r="QZJ142" s="57"/>
      <c r="QZK142" s="10"/>
      <c r="QZL142" s="57"/>
      <c r="QZM142" s="10"/>
      <c r="QZN142" s="57"/>
      <c r="QZO142" s="10"/>
      <c r="QZP142" s="57"/>
      <c r="QZQ142" s="10"/>
      <c r="QZR142" s="57"/>
      <c r="QZS142" s="10"/>
      <c r="QZT142" s="57"/>
      <c r="QZU142" s="10"/>
      <c r="QZV142" s="57"/>
      <c r="QZW142" s="10"/>
      <c r="QZX142" s="57"/>
      <c r="QZY142" s="10"/>
      <c r="QZZ142" s="57"/>
      <c r="RAA142" s="10"/>
      <c r="RAB142" s="57"/>
      <c r="RAC142" s="10"/>
      <c r="RAD142" s="57"/>
      <c r="RAE142" s="10"/>
      <c r="RAF142" s="57"/>
      <c r="RAG142" s="10"/>
      <c r="RAH142" s="57"/>
      <c r="RAI142" s="10"/>
      <c r="RAJ142" s="57"/>
      <c r="RAK142" s="10"/>
      <c r="RAL142" s="57"/>
      <c r="RAM142" s="10"/>
      <c r="RAN142" s="57"/>
      <c r="RAO142" s="10"/>
      <c r="RAP142" s="57"/>
      <c r="RAQ142" s="10"/>
      <c r="RAR142" s="57"/>
      <c r="RAS142" s="10"/>
      <c r="RAT142" s="57"/>
      <c r="RAU142" s="10"/>
      <c r="RAV142" s="57"/>
      <c r="RAW142" s="10"/>
      <c r="RAX142" s="57"/>
      <c r="RAY142" s="10"/>
      <c r="RAZ142" s="57"/>
      <c r="RBA142" s="10"/>
      <c r="RBB142" s="57"/>
      <c r="RBC142" s="10"/>
      <c r="RBD142" s="57"/>
      <c r="RBE142" s="10"/>
      <c r="RBF142" s="57"/>
      <c r="RBG142" s="10"/>
      <c r="RBH142" s="57"/>
      <c r="RBI142" s="10"/>
      <c r="RBJ142" s="57"/>
      <c r="RBK142" s="10"/>
      <c r="RBL142" s="57"/>
      <c r="RBM142" s="10"/>
      <c r="RBN142" s="57"/>
      <c r="RBO142" s="10"/>
      <c r="RBP142" s="57"/>
      <c r="RBQ142" s="10"/>
      <c r="RBR142" s="57"/>
      <c r="RBS142" s="10"/>
      <c r="RBT142" s="57"/>
      <c r="RBU142" s="10"/>
      <c r="RBV142" s="57"/>
      <c r="RBW142" s="10"/>
      <c r="RBX142" s="57"/>
      <c r="RBY142" s="10"/>
      <c r="RBZ142" s="57"/>
      <c r="RCA142" s="10"/>
      <c r="RCB142" s="57"/>
      <c r="RCC142" s="10"/>
      <c r="RCD142" s="57"/>
      <c r="RCE142" s="10"/>
      <c r="RCF142" s="57"/>
      <c r="RCG142" s="10"/>
      <c r="RCH142" s="57"/>
      <c r="RCI142" s="10"/>
      <c r="RCJ142" s="57"/>
      <c r="RCK142" s="10"/>
      <c r="RCL142" s="57"/>
      <c r="RCM142" s="10"/>
      <c r="RCN142" s="57"/>
      <c r="RCO142" s="10"/>
      <c r="RCP142" s="57"/>
      <c r="RCQ142" s="10"/>
      <c r="RCR142" s="57"/>
      <c r="RCS142" s="10"/>
      <c r="RCT142" s="57"/>
      <c r="RCU142" s="10"/>
      <c r="RCV142" s="57"/>
      <c r="RCW142" s="10"/>
      <c r="RCX142" s="57"/>
      <c r="RCY142" s="10"/>
      <c r="RCZ142" s="57"/>
      <c r="RDA142" s="10"/>
      <c r="RDB142" s="57"/>
      <c r="RDC142" s="10"/>
      <c r="RDD142" s="57"/>
      <c r="RDE142" s="10"/>
      <c r="RDF142" s="57"/>
      <c r="RDG142" s="10"/>
      <c r="RDH142" s="57"/>
      <c r="RDI142" s="10"/>
      <c r="RDJ142" s="57"/>
      <c r="RDK142" s="10"/>
      <c r="RDL142" s="57"/>
      <c r="RDM142" s="10"/>
      <c r="RDN142" s="57"/>
      <c r="RDO142" s="10"/>
      <c r="RDP142" s="57"/>
      <c r="RDQ142" s="10"/>
      <c r="RDR142" s="57"/>
      <c r="RDS142" s="10"/>
      <c r="RDT142" s="57"/>
      <c r="RDU142" s="10"/>
      <c r="RDV142" s="57"/>
      <c r="RDW142" s="10"/>
      <c r="RDX142" s="57"/>
      <c r="RDY142" s="10"/>
      <c r="RDZ142" s="57"/>
      <c r="REA142" s="10"/>
      <c r="REB142" s="57"/>
      <c r="REC142" s="10"/>
      <c r="RED142" s="57"/>
      <c r="REE142" s="10"/>
      <c r="REF142" s="57"/>
      <c r="REG142" s="10"/>
      <c r="REH142" s="57"/>
      <c r="REI142" s="10"/>
      <c r="REJ142" s="57"/>
      <c r="REK142" s="10"/>
      <c r="REL142" s="57"/>
      <c r="REM142" s="10"/>
      <c r="REN142" s="57"/>
      <c r="REO142" s="10"/>
      <c r="REP142" s="57"/>
      <c r="REQ142" s="10"/>
      <c r="RER142" s="57"/>
      <c r="RES142" s="10"/>
      <c r="RET142" s="57"/>
      <c r="REU142" s="10"/>
      <c r="REV142" s="57"/>
      <c r="REW142" s="10"/>
      <c r="REX142" s="57"/>
      <c r="REY142" s="10"/>
      <c r="REZ142" s="57"/>
      <c r="RFA142" s="10"/>
      <c r="RFB142" s="57"/>
      <c r="RFC142" s="10"/>
      <c r="RFD142" s="57"/>
      <c r="RFE142" s="10"/>
      <c r="RFF142" s="57"/>
      <c r="RFG142" s="10"/>
      <c r="RFH142" s="57"/>
      <c r="RFI142" s="10"/>
      <c r="RFJ142" s="57"/>
      <c r="RFK142" s="10"/>
      <c r="RFL142" s="57"/>
      <c r="RFM142" s="10"/>
      <c r="RFN142" s="57"/>
      <c r="RFO142" s="10"/>
      <c r="RFP142" s="57"/>
      <c r="RFQ142" s="10"/>
      <c r="RFR142" s="57"/>
      <c r="RFS142" s="10"/>
      <c r="RFT142" s="57"/>
      <c r="RFU142" s="10"/>
      <c r="RFV142" s="57"/>
      <c r="RFW142" s="10"/>
      <c r="RFX142" s="57"/>
      <c r="RFY142" s="10"/>
      <c r="RFZ142" s="57"/>
      <c r="RGA142" s="10"/>
      <c r="RGB142" s="57"/>
      <c r="RGC142" s="10"/>
      <c r="RGD142" s="57"/>
      <c r="RGE142" s="10"/>
      <c r="RGF142" s="57"/>
      <c r="RGG142" s="10"/>
      <c r="RGH142" s="57"/>
      <c r="RGI142" s="10"/>
      <c r="RGJ142" s="57"/>
      <c r="RGK142" s="10"/>
      <c r="RGL142" s="57"/>
      <c r="RGM142" s="10"/>
      <c r="RGN142" s="57"/>
      <c r="RGO142" s="10"/>
      <c r="RGP142" s="57"/>
      <c r="RGQ142" s="10"/>
      <c r="RGR142" s="57"/>
      <c r="RGS142" s="10"/>
      <c r="RGT142" s="57"/>
      <c r="RGU142" s="10"/>
      <c r="RGV142" s="57"/>
      <c r="RGW142" s="10"/>
      <c r="RGX142" s="57"/>
      <c r="RGY142" s="10"/>
      <c r="RGZ142" s="57"/>
      <c r="RHA142" s="10"/>
      <c r="RHB142" s="57"/>
      <c r="RHC142" s="10"/>
      <c r="RHD142" s="57"/>
      <c r="RHE142" s="10"/>
      <c r="RHF142" s="57"/>
      <c r="RHG142" s="10"/>
      <c r="RHH142" s="57"/>
      <c r="RHI142" s="10"/>
      <c r="RHJ142" s="57"/>
      <c r="RHK142" s="10"/>
      <c r="RHL142" s="57"/>
      <c r="RHM142" s="10"/>
      <c r="RHN142" s="57"/>
      <c r="RHO142" s="10"/>
      <c r="RHP142" s="57"/>
      <c r="RHQ142" s="10"/>
      <c r="RHR142" s="57"/>
      <c r="RHS142" s="10"/>
      <c r="RHT142" s="57"/>
      <c r="RHU142" s="10"/>
      <c r="RHV142" s="57"/>
      <c r="RHW142" s="10"/>
      <c r="RHX142" s="57"/>
      <c r="RHY142" s="10"/>
      <c r="RHZ142" s="57"/>
      <c r="RIA142" s="10"/>
      <c r="RIB142" s="57"/>
      <c r="RIC142" s="10"/>
      <c r="RID142" s="57"/>
      <c r="RIE142" s="10"/>
      <c r="RIF142" s="57"/>
      <c r="RIG142" s="10"/>
      <c r="RIH142" s="57"/>
      <c r="RII142" s="10"/>
      <c r="RIJ142" s="57"/>
      <c r="RIK142" s="10"/>
      <c r="RIL142" s="57"/>
      <c r="RIM142" s="10"/>
      <c r="RIN142" s="57"/>
      <c r="RIO142" s="10"/>
      <c r="RIP142" s="57"/>
      <c r="RIQ142" s="10"/>
      <c r="RIR142" s="57"/>
      <c r="RIS142" s="10"/>
      <c r="RIT142" s="57"/>
      <c r="RIU142" s="10"/>
      <c r="RIV142" s="57"/>
      <c r="RIW142" s="10"/>
      <c r="RIX142" s="57"/>
      <c r="RIY142" s="10"/>
      <c r="RIZ142" s="57"/>
      <c r="RJA142" s="10"/>
      <c r="RJB142" s="57"/>
      <c r="RJC142" s="10"/>
      <c r="RJD142" s="57"/>
      <c r="RJE142" s="10"/>
      <c r="RJF142" s="57"/>
      <c r="RJG142" s="10"/>
      <c r="RJH142" s="57"/>
      <c r="RJI142" s="10"/>
      <c r="RJJ142" s="57"/>
      <c r="RJK142" s="10"/>
      <c r="RJL142" s="57"/>
      <c r="RJM142" s="10"/>
      <c r="RJN142" s="57"/>
      <c r="RJO142" s="10"/>
      <c r="RJP142" s="57"/>
      <c r="RJQ142" s="10"/>
      <c r="RJR142" s="57"/>
      <c r="RJS142" s="10"/>
      <c r="RJT142" s="57"/>
      <c r="RJU142" s="10"/>
      <c r="RJV142" s="57"/>
      <c r="RJW142" s="10"/>
      <c r="RJX142" s="57"/>
      <c r="RJY142" s="10"/>
      <c r="RJZ142" s="57"/>
      <c r="RKA142" s="10"/>
      <c r="RKB142" s="57"/>
      <c r="RKC142" s="10"/>
      <c r="RKD142" s="57"/>
      <c r="RKE142" s="10"/>
      <c r="RKF142" s="57"/>
      <c r="RKG142" s="10"/>
      <c r="RKH142" s="57"/>
      <c r="RKI142" s="10"/>
      <c r="RKJ142" s="57"/>
      <c r="RKK142" s="10"/>
      <c r="RKL142" s="57"/>
      <c r="RKM142" s="10"/>
      <c r="RKN142" s="57"/>
      <c r="RKO142" s="10"/>
      <c r="RKP142" s="57"/>
      <c r="RKQ142" s="10"/>
      <c r="RKR142" s="57"/>
      <c r="RKS142" s="10"/>
      <c r="RKT142" s="57"/>
      <c r="RKU142" s="10"/>
      <c r="RKV142" s="57"/>
      <c r="RKW142" s="10"/>
      <c r="RKX142" s="57"/>
      <c r="RKY142" s="10"/>
      <c r="RKZ142" s="57"/>
      <c r="RLA142" s="10"/>
      <c r="RLB142" s="57"/>
      <c r="RLC142" s="10"/>
      <c r="RLD142" s="57"/>
      <c r="RLE142" s="10"/>
      <c r="RLF142" s="57"/>
      <c r="RLG142" s="10"/>
      <c r="RLH142" s="57"/>
      <c r="RLI142" s="10"/>
      <c r="RLJ142" s="57"/>
      <c r="RLK142" s="10"/>
      <c r="RLL142" s="57"/>
      <c r="RLM142" s="10"/>
      <c r="RLN142" s="57"/>
      <c r="RLO142" s="10"/>
      <c r="RLP142" s="57"/>
      <c r="RLQ142" s="10"/>
      <c r="RLR142" s="57"/>
      <c r="RLS142" s="10"/>
      <c r="RLT142" s="57"/>
      <c r="RLU142" s="10"/>
      <c r="RLV142" s="57"/>
      <c r="RLW142" s="10"/>
      <c r="RLX142" s="57"/>
      <c r="RLY142" s="10"/>
      <c r="RLZ142" s="57"/>
      <c r="RMA142" s="10"/>
      <c r="RMB142" s="57"/>
      <c r="RMC142" s="10"/>
      <c r="RMD142" s="57"/>
      <c r="RME142" s="10"/>
      <c r="RMF142" s="57"/>
      <c r="RMG142" s="10"/>
      <c r="RMH142" s="57"/>
      <c r="RMI142" s="10"/>
      <c r="RMJ142" s="57"/>
      <c r="RMK142" s="10"/>
      <c r="RML142" s="57"/>
      <c r="RMM142" s="10"/>
      <c r="RMN142" s="57"/>
      <c r="RMO142" s="10"/>
      <c r="RMP142" s="57"/>
      <c r="RMQ142" s="10"/>
      <c r="RMR142" s="57"/>
      <c r="RMS142" s="10"/>
      <c r="RMT142" s="57"/>
      <c r="RMU142" s="10"/>
      <c r="RMV142" s="57"/>
      <c r="RMW142" s="10"/>
      <c r="RMX142" s="57"/>
      <c r="RMY142" s="10"/>
      <c r="RMZ142" s="57"/>
      <c r="RNA142" s="10"/>
      <c r="RNB142" s="57"/>
      <c r="RNC142" s="10"/>
      <c r="RND142" s="57"/>
      <c r="RNE142" s="10"/>
      <c r="RNF142" s="57"/>
      <c r="RNG142" s="10"/>
      <c r="RNH142" s="57"/>
      <c r="RNI142" s="10"/>
      <c r="RNJ142" s="57"/>
      <c r="RNK142" s="10"/>
      <c r="RNL142" s="57"/>
      <c r="RNM142" s="10"/>
      <c r="RNN142" s="57"/>
      <c r="RNO142" s="10"/>
      <c r="RNP142" s="57"/>
      <c r="RNQ142" s="10"/>
      <c r="RNR142" s="57"/>
      <c r="RNS142" s="10"/>
      <c r="RNT142" s="57"/>
      <c r="RNU142" s="10"/>
      <c r="RNV142" s="57"/>
      <c r="RNW142" s="10"/>
      <c r="RNX142" s="57"/>
      <c r="RNY142" s="10"/>
      <c r="RNZ142" s="57"/>
      <c r="ROA142" s="10"/>
      <c r="ROB142" s="57"/>
      <c r="ROC142" s="10"/>
      <c r="ROD142" s="57"/>
      <c r="ROE142" s="10"/>
      <c r="ROF142" s="57"/>
      <c r="ROG142" s="10"/>
      <c r="ROH142" s="57"/>
      <c r="ROI142" s="10"/>
      <c r="ROJ142" s="57"/>
      <c r="ROK142" s="10"/>
      <c r="ROL142" s="57"/>
      <c r="ROM142" s="10"/>
      <c r="RON142" s="57"/>
      <c r="ROO142" s="10"/>
      <c r="ROP142" s="57"/>
      <c r="ROQ142" s="10"/>
      <c r="ROR142" s="57"/>
      <c r="ROS142" s="10"/>
      <c r="ROT142" s="57"/>
      <c r="ROU142" s="10"/>
      <c r="ROV142" s="57"/>
      <c r="ROW142" s="10"/>
      <c r="ROX142" s="57"/>
      <c r="ROY142" s="10"/>
      <c r="ROZ142" s="57"/>
      <c r="RPA142" s="10"/>
      <c r="RPB142" s="57"/>
      <c r="RPC142" s="10"/>
      <c r="RPD142" s="57"/>
      <c r="RPE142" s="10"/>
      <c r="RPF142" s="57"/>
      <c r="RPG142" s="10"/>
      <c r="RPH142" s="57"/>
      <c r="RPI142" s="10"/>
      <c r="RPJ142" s="57"/>
      <c r="RPK142" s="10"/>
      <c r="RPL142" s="57"/>
      <c r="RPM142" s="10"/>
      <c r="RPN142" s="57"/>
      <c r="RPO142" s="10"/>
      <c r="RPP142" s="57"/>
      <c r="RPQ142" s="10"/>
      <c r="RPR142" s="57"/>
      <c r="RPS142" s="10"/>
      <c r="RPT142" s="57"/>
      <c r="RPU142" s="10"/>
      <c r="RPV142" s="57"/>
      <c r="RPW142" s="10"/>
      <c r="RPX142" s="57"/>
      <c r="RPY142" s="10"/>
      <c r="RPZ142" s="57"/>
      <c r="RQA142" s="10"/>
      <c r="RQB142" s="57"/>
      <c r="RQC142" s="10"/>
      <c r="RQD142" s="57"/>
      <c r="RQE142" s="10"/>
      <c r="RQF142" s="57"/>
      <c r="RQG142" s="10"/>
      <c r="RQH142" s="57"/>
      <c r="RQI142" s="10"/>
      <c r="RQJ142" s="57"/>
      <c r="RQK142" s="10"/>
      <c r="RQL142" s="57"/>
      <c r="RQM142" s="10"/>
      <c r="RQN142" s="57"/>
      <c r="RQO142" s="10"/>
      <c r="RQP142" s="57"/>
      <c r="RQQ142" s="10"/>
      <c r="RQR142" s="57"/>
      <c r="RQS142" s="10"/>
      <c r="RQT142" s="57"/>
      <c r="RQU142" s="10"/>
      <c r="RQV142" s="57"/>
      <c r="RQW142" s="10"/>
      <c r="RQX142" s="57"/>
      <c r="RQY142" s="10"/>
      <c r="RQZ142" s="57"/>
      <c r="RRA142" s="10"/>
      <c r="RRB142" s="57"/>
      <c r="RRC142" s="10"/>
      <c r="RRD142" s="57"/>
      <c r="RRE142" s="10"/>
      <c r="RRF142" s="57"/>
      <c r="RRG142" s="10"/>
      <c r="RRH142" s="57"/>
      <c r="RRI142" s="10"/>
      <c r="RRJ142" s="57"/>
      <c r="RRK142" s="10"/>
      <c r="RRL142" s="57"/>
      <c r="RRM142" s="10"/>
      <c r="RRN142" s="57"/>
      <c r="RRO142" s="10"/>
      <c r="RRP142" s="57"/>
      <c r="RRQ142" s="10"/>
      <c r="RRR142" s="57"/>
      <c r="RRS142" s="10"/>
      <c r="RRT142" s="57"/>
      <c r="RRU142" s="10"/>
      <c r="RRV142" s="57"/>
      <c r="RRW142" s="10"/>
      <c r="RRX142" s="57"/>
      <c r="RRY142" s="10"/>
      <c r="RRZ142" s="57"/>
      <c r="RSA142" s="10"/>
      <c r="RSB142" s="57"/>
      <c r="RSC142" s="10"/>
      <c r="RSD142" s="57"/>
      <c r="RSE142" s="10"/>
      <c r="RSF142" s="57"/>
      <c r="RSG142" s="10"/>
      <c r="RSH142" s="57"/>
      <c r="RSI142" s="10"/>
      <c r="RSJ142" s="57"/>
      <c r="RSK142" s="10"/>
      <c r="RSL142" s="57"/>
      <c r="RSM142" s="10"/>
      <c r="RSN142" s="57"/>
      <c r="RSO142" s="10"/>
      <c r="RSP142" s="57"/>
      <c r="RSQ142" s="10"/>
      <c r="RSR142" s="57"/>
      <c r="RSS142" s="10"/>
      <c r="RST142" s="57"/>
      <c r="RSU142" s="10"/>
      <c r="RSV142" s="57"/>
      <c r="RSW142" s="10"/>
      <c r="RSX142" s="57"/>
      <c r="RSY142" s="10"/>
      <c r="RSZ142" s="57"/>
      <c r="RTA142" s="10"/>
      <c r="RTB142" s="57"/>
      <c r="RTC142" s="10"/>
      <c r="RTD142" s="57"/>
      <c r="RTE142" s="10"/>
      <c r="RTF142" s="57"/>
      <c r="RTG142" s="10"/>
      <c r="RTH142" s="57"/>
      <c r="RTI142" s="10"/>
      <c r="RTJ142" s="57"/>
      <c r="RTK142" s="10"/>
      <c r="RTL142" s="57"/>
      <c r="RTM142" s="10"/>
      <c r="RTN142" s="57"/>
      <c r="RTO142" s="10"/>
      <c r="RTP142" s="57"/>
      <c r="RTQ142" s="10"/>
      <c r="RTR142" s="57"/>
      <c r="RTS142" s="10"/>
      <c r="RTT142" s="57"/>
      <c r="RTU142" s="10"/>
      <c r="RTV142" s="57"/>
      <c r="RTW142" s="10"/>
      <c r="RTX142" s="57"/>
      <c r="RTY142" s="10"/>
      <c r="RTZ142" s="57"/>
      <c r="RUA142" s="10"/>
      <c r="RUB142" s="57"/>
      <c r="RUC142" s="10"/>
      <c r="RUD142" s="57"/>
      <c r="RUE142" s="10"/>
      <c r="RUF142" s="57"/>
      <c r="RUG142" s="10"/>
      <c r="RUH142" s="57"/>
      <c r="RUI142" s="10"/>
      <c r="RUJ142" s="57"/>
      <c r="RUK142" s="10"/>
      <c r="RUL142" s="57"/>
      <c r="RUM142" s="10"/>
      <c r="RUN142" s="57"/>
      <c r="RUO142" s="10"/>
      <c r="RUP142" s="57"/>
      <c r="RUQ142" s="10"/>
      <c r="RUR142" s="57"/>
      <c r="RUS142" s="10"/>
      <c r="RUT142" s="57"/>
      <c r="RUU142" s="10"/>
      <c r="RUV142" s="57"/>
      <c r="RUW142" s="10"/>
      <c r="RUX142" s="57"/>
      <c r="RUY142" s="10"/>
      <c r="RUZ142" s="57"/>
      <c r="RVA142" s="10"/>
      <c r="RVB142" s="57"/>
      <c r="RVC142" s="10"/>
      <c r="RVD142" s="57"/>
      <c r="RVE142" s="10"/>
      <c r="RVF142" s="57"/>
      <c r="RVG142" s="10"/>
      <c r="RVH142" s="57"/>
      <c r="RVI142" s="10"/>
      <c r="RVJ142" s="57"/>
      <c r="RVK142" s="10"/>
      <c r="RVL142" s="57"/>
      <c r="RVM142" s="10"/>
      <c r="RVN142" s="57"/>
      <c r="RVO142" s="10"/>
      <c r="RVP142" s="57"/>
      <c r="RVQ142" s="10"/>
      <c r="RVR142" s="57"/>
      <c r="RVS142" s="10"/>
      <c r="RVT142" s="57"/>
      <c r="RVU142" s="10"/>
      <c r="RVV142" s="57"/>
      <c r="RVW142" s="10"/>
      <c r="RVX142" s="57"/>
      <c r="RVY142" s="10"/>
      <c r="RVZ142" s="57"/>
      <c r="RWA142" s="10"/>
      <c r="RWB142" s="57"/>
      <c r="RWC142" s="10"/>
      <c r="RWD142" s="57"/>
      <c r="RWE142" s="10"/>
      <c r="RWF142" s="57"/>
      <c r="RWG142" s="10"/>
      <c r="RWH142" s="57"/>
      <c r="RWI142" s="10"/>
      <c r="RWJ142" s="57"/>
      <c r="RWK142" s="10"/>
      <c r="RWL142" s="57"/>
      <c r="RWM142" s="10"/>
      <c r="RWN142" s="57"/>
      <c r="RWO142" s="10"/>
      <c r="RWP142" s="57"/>
      <c r="RWQ142" s="10"/>
      <c r="RWR142" s="57"/>
      <c r="RWS142" s="10"/>
      <c r="RWT142" s="57"/>
      <c r="RWU142" s="10"/>
      <c r="RWV142" s="57"/>
      <c r="RWW142" s="10"/>
      <c r="RWX142" s="57"/>
      <c r="RWY142" s="10"/>
      <c r="RWZ142" s="57"/>
      <c r="RXA142" s="10"/>
      <c r="RXB142" s="57"/>
      <c r="RXC142" s="10"/>
      <c r="RXD142" s="57"/>
      <c r="RXE142" s="10"/>
      <c r="RXF142" s="57"/>
      <c r="RXG142" s="10"/>
      <c r="RXH142" s="57"/>
      <c r="RXI142" s="10"/>
      <c r="RXJ142" s="57"/>
      <c r="RXK142" s="10"/>
      <c r="RXL142" s="57"/>
      <c r="RXM142" s="10"/>
      <c r="RXN142" s="57"/>
      <c r="RXO142" s="10"/>
      <c r="RXP142" s="57"/>
      <c r="RXQ142" s="10"/>
      <c r="RXR142" s="57"/>
      <c r="RXS142" s="10"/>
      <c r="RXT142" s="57"/>
      <c r="RXU142" s="10"/>
      <c r="RXV142" s="57"/>
      <c r="RXW142" s="10"/>
      <c r="RXX142" s="57"/>
      <c r="RXY142" s="10"/>
      <c r="RXZ142" s="57"/>
      <c r="RYA142" s="10"/>
      <c r="RYB142" s="57"/>
      <c r="RYC142" s="10"/>
      <c r="RYD142" s="57"/>
      <c r="RYE142" s="10"/>
      <c r="RYF142" s="57"/>
      <c r="RYG142" s="10"/>
      <c r="RYH142" s="57"/>
      <c r="RYI142" s="10"/>
      <c r="RYJ142" s="57"/>
      <c r="RYK142" s="10"/>
      <c r="RYL142" s="57"/>
      <c r="RYM142" s="10"/>
      <c r="RYN142" s="57"/>
      <c r="RYO142" s="10"/>
      <c r="RYP142" s="57"/>
      <c r="RYQ142" s="10"/>
      <c r="RYR142" s="57"/>
      <c r="RYS142" s="10"/>
      <c r="RYT142" s="57"/>
      <c r="RYU142" s="10"/>
      <c r="RYV142" s="57"/>
      <c r="RYW142" s="10"/>
      <c r="RYX142" s="57"/>
      <c r="RYY142" s="10"/>
      <c r="RYZ142" s="57"/>
      <c r="RZA142" s="10"/>
      <c r="RZB142" s="57"/>
      <c r="RZC142" s="10"/>
      <c r="RZD142" s="57"/>
      <c r="RZE142" s="10"/>
      <c r="RZF142" s="57"/>
      <c r="RZG142" s="10"/>
      <c r="RZH142" s="57"/>
      <c r="RZI142" s="10"/>
      <c r="RZJ142" s="57"/>
      <c r="RZK142" s="10"/>
      <c r="RZL142" s="57"/>
      <c r="RZM142" s="10"/>
      <c r="RZN142" s="57"/>
      <c r="RZO142" s="10"/>
      <c r="RZP142" s="57"/>
      <c r="RZQ142" s="10"/>
      <c r="RZR142" s="57"/>
      <c r="RZS142" s="10"/>
      <c r="RZT142" s="57"/>
      <c r="RZU142" s="10"/>
      <c r="RZV142" s="57"/>
      <c r="RZW142" s="10"/>
      <c r="RZX142" s="57"/>
      <c r="RZY142" s="10"/>
      <c r="RZZ142" s="57"/>
      <c r="SAA142" s="10"/>
      <c r="SAB142" s="57"/>
      <c r="SAC142" s="10"/>
      <c r="SAD142" s="57"/>
      <c r="SAE142" s="10"/>
      <c r="SAF142" s="57"/>
      <c r="SAG142" s="10"/>
      <c r="SAH142" s="57"/>
      <c r="SAI142" s="10"/>
      <c r="SAJ142" s="57"/>
      <c r="SAK142" s="10"/>
      <c r="SAL142" s="57"/>
      <c r="SAM142" s="10"/>
      <c r="SAN142" s="57"/>
      <c r="SAO142" s="10"/>
      <c r="SAP142" s="57"/>
      <c r="SAQ142" s="10"/>
      <c r="SAR142" s="57"/>
      <c r="SAS142" s="10"/>
      <c r="SAT142" s="57"/>
      <c r="SAU142" s="10"/>
      <c r="SAV142" s="57"/>
      <c r="SAW142" s="10"/>
      <c r="SAX142" s="57"/>
      <c r="SAY142" s="10"/>
      <c r="SAZ142" s="57"/>
      <c r="SBA142" s="10"/>
      <c r="SBB142" s="57"/>
      <c r="SBC142" s="10"/>
      <c r="SBD142" s="57"/>
      <c r="SBE142" s="10"/>
      <c r="SBF142" s="57"/>
      <c r="SBG142" s="10"/>
      <c r="SBH142" s="57"/>
      <c r="SBI142" s="10"/>
      <c r="SBJ142" s="57"/>
      <c r="SBK142" s="10"/>
      <c r="SBL142" s="57"/>
      <c r="SBM142" s="10"/>
      <c r="SBN142" s="57"/>
      <c r="SBO142" s="10"/>
      <c r="SBP142" s="57"/>
      <c r="SBQ142" s="10"/>
      <c r="SBR142" s="57"/>
      <c r="SBS142" s="10"/>
      <c r="SBT142" s="57"/>
      <c r="SBU142" s="10"/>
      <c r="SBV142" s="57"/>
      <c r="SBW142" s="10"/>
      <c r="SBX142" s="57"/>
      <c r="SBY142" s="10"/>
      <c r="SBZ142" s="57"/>
      <c r="SCA142" s="10"/>
      <c r="SCB142" s="57"/>
      <c r="SCC142" s="10"/>
      <c r="SCD142" s="57"/>
      <c r="SCE142" s="10"/>
      <c r="SCF142" s="57"/>
      <c r="SCG142" s="10"/>
      <c r="SCH142" s="57"/>
      <c r="SCI142" s="10"/>
      <c r="SCJ142" s="57"/>
      <c r="SCK142" s="10"/>
      <c r="SCL142" s="57"/>
      <c r="SCM142" s="10"/>
      <c r="SCN142" s="57"/>
      <c r="SCO142" s="10"/>
      <c r="SCP142" s="57"/>
      <c r="SCQ142" s="10"/>
      <c r="SCR142" s="57"/>
      <c r="SCS142" s="10"/>
      <c r="SCT142" s="57"/>
      <c r="SCU142" s="10"/>
      <c r="SCV142" s="57"/>
      <c r="SCW142" s="10"/>
      <c r="SCX142" s="57"/>
      <c r="SCY142" s="10"/>
      <c r="SCZ142" s="57"/>
      <c r="SDA142" s="10"/>
      <c r="SDB142" s="57"/>
      <c r="SDC142" s="10"/>
      <c r="SDD142" s="57"/>
      <c r="SDE142" s="10"/>
      <c r="SDF142" s="57"/>
      <c r="SDG142" s="10"/>
      <c r="SDH142" s="57"/>
      <c r="SDI142" s="10"/>
      <c r="SDJ142" s="57"/>
      <c r="SDK142" s="10"/>
      <c r="SDL142" s="57"/>
      <c r="SDM142" s="10"/>
      <c r="SDN142" s="57"/>
      <c r="SDO142" s="10"/>
      <c r="SDP142" s="57"/>
      <c r="SDQ142" s="10"/>
      <c r="SDR142" s="57"/>
      <c r="SDS142" s="10"/>
      <c r="SDT142" s="57"/>
      <c r="SDU142" s="10"/>
      <c r="SDV142" s="57"/>
      <c r="SDW142" s="10"/>
      <c r="SDX142" s="57"/>
      <c r="SDY142" s="10"/>
      <c r="SDZ142" s="57"/>
      <c r="SEA142" s="10"/>
      <c r="SEB142" s="57"/>
      <c r="SEC142" s="10"/>
      <c r="SED142" s="57"/>
      <c r="SEE142" s="10"/>
      <c r="SEF142" s="57"/>
      <c r="SEG142" s="10"/>
      <c r="SEH142" s="57"/>
      <c r="SEI142" s="10"/>
      <c r="SEJ142" s="57"/>
      <c r="SEK142" s="10"/>
      <c r="SEL142" s="57"/>
      <c r="SEM142" s="10"/>
      <c r="SEN142" s="57"/>
      <c r="SEO142" s="10"/>
      <c r="SEP142" s="57"/>
      <c r="SEQ142" s="10"/>
      <c r="SER142" s="57"/>
      <c r="SES142" s="10"/>
      <c r="SET142" s="57"/>
      <c r="SEU142" s="10"/>
      <c r="SEV142" s="57"/>
      <c r="SEW142" s="10"/>
      <c r="SEX142" s="57"/>
      <c r="SEY142" s="10"/>
      <c r="SEZ142" s="57"/>
      <c r="SFA142" s="10"/>
      <c r="SFB142" s="57"/>
      <c r="SFC142" s="10"/>
      <c r="SFD142" s="57"/>
      <c r="SFE142" s="10"/>
      <c r="SFF142" s="57"/>
      <c r="SFG142" s="10"/>
      <c r="SFH142" s="57"/>
      <c r="SFI142" s="10"/>
      <c r="SFJ142" s="57"/>
      <c r="SFK142" s="10"/>
      <c r="SFL142" s="57"/>
      <c r="SFM142" s="10"/>
      <c r="SFN142" s="57"/>
      <c r="SFO142" s="10"/>
      <c r="SFP142" s="57"/>
      <c r="SFQ142" s="10"/>
      <c r="SFR142" s="57"/>
      <c r="SFS142" s="10"/>
      <c r="SFT142" s="57"/>
      <c r="SFU142" s="10"/>
      <c r="SFV142" s="57"/>
      <c r="SFW142" s="10"/>
      <c r="SFX142" s="57"/>
      <c r="SFY142" s="10"/>
      <c r="SFZ142" s="57"/>
      <c r="SGA142" s="10"/>
      <c r="SGB142" s="57"/>
      <c r="SGC142" s="10"/>
      <c r="SGD142" s="57"/>
      <c r="SGE142" s="10"/>
      <c r="SGF142" s="57"/>
      <c r="SGG142" s="10"/>
      <c r="SGH142" s="57"/>
      <c r="SGI142" s="10"/>
      <c r="SGJ142" s="57"/>
      <c r="SGK142" s="10"/>
      <c r="SGL142" s="57"/>
      <c r="SGM142" s="10"/>
      <c r="SGN142" s="57"/>
      <c r="SGO142" s="10"/>
      <c r="SGP142" s="57"/>
      <c r="SGQ142" s="10"/>
      <c r="SGR142" s="57"/>
      <c r="SGS142" s="10"/>
      <c r="SGT142" s="57"/>
      <c r="SGU142" s="10"/>
      <c r="SGV142" s="57"/>
      <c r="SGW142" s="10"/>
      <c r="SGX142" s="57"/>
      <c r="SGY142" s="10"/>
      <c r="SGZ142" s="57"/>
      <c r="SHA142" s="10"/>
      <c r="SHB142" s="57"/>
      <c r="SHC142" s="10"/>
      <c r="SHD142" s="57"/>
      <c r="SHE142" s="10"/>
      <c r="SHF142" s="57"/>
      <c r="SHG142" s="10"/>
      <c r="SHH142" s="57"/>
      <c r="SHI142" s="10"/>
      <c r="SHJ142" s="57"/>
      <c r="SHK142" s="10"/>
      <c r="SHL142" s="57"/>
      <c r="SHM142" s="10"/>
      <c r="SHN142" s="57"/>
      <c r="SHO142" s="10"/>
      <c r="SHP142" s="57"/>
      <c r="SHQ142" s="10"/>
      <c r="SHR142" s="57"/>
      <c r="SHS142" s="10"/>
      <c r="SHT142" s="57"/>
      <c r="SHU142" s="10"/>
      <c r="SHV142" s="57"/>
      <c r="SHW142" s="10"/>
      <c r="SHX142" s="57"/>
      <c r="SHY142" s="10"/>
      <c r="SHZ142" s="57"/>
      <c r="SIA142" s="10"/>
      <c r="SIB142" s="57"/>
      <c r="SIC142" s="10"/>
      <c r="SID142" s="57"/>
      <c r="SIE142" s="10"/>
      <c r="SIF142" s="57"/>
      <c r="SIG142" s="10"/>
      <c r="SIH142" s="57"/>
      <c r="SII142" s="10"/>
      <c r="SIJ142" s="57"/>
      <c r="SIK142" s="10"/>
      <c r="SIL142" s="57"/>
      <c r="SIM142" s="10"/>
      <c r="SIN142" s="57"/>
      <c r="SIO142" s="10"/>
      <c r="SIP142" s="57"/>
      <c r="SIQ142" s="10"/>
      <c r="SIR142" s="57"/>
      <c r="SIS142" s="10"/>
      <c r="SIT142" s="57"/>
      <c r="SIU142" s="10"/>
      <c r="SIV142" s="57"/>
      <c r="SIW142" s="10"/>
      <c r="SIX142" s="57"/>
      <c r="SIY142" s="10"/>
      <c r="SIZ142" s="57"/>
      <c r="SJA142" s="10"/>
      <c r="SJB142" s="57"/>
      <c r="SJC142" s="10"/>
      <c r="SJD142" s="57"/>
      <c r="SJE142" s="10"/>
      <c r="SJF142" s="57"/>
      <c r="SJG142" s="10"/>
      <c r="SJH142" s="57"/>
      <c r="SJI142" s="10"/>
      <c r="SJJ142" s="57"/>
      <c r="SJK142" s="10"/>
      <c r="SJL142" s="57"/>
      <c r="SJM142" s="10"/>
      <c r="SJN142" s="57"/>
      <c r="SJO142" s="10"/>
      <c r="SJP142" s="57"/>
      <c r="SJQ142" s="10"/>
      <c r="SJR142" s="57"/>
      <c r="SJS142" s="10"/>
      <c r="SJT142" s="57"/>
      <c r="SJU142" s="10"/>
      <c r="SJV142" s="57"/>
      <c r="SJW142" s="10"/>
      <c r="SJX142" s="57"/>
      <c r="SJY142" s="10"/>
      <c r="SJZ142" s="57"/>
      <c r="SKA142" s="10"/>
      <c r="SKB142" s="57"/>
      <c r="SKC142" s="10"/>
      <c r="SKD142" s="57"/>
      <c r="SKE142" s="10"/>
      <c r="SKF142" s="57"/>
      <c r="SKG142" s="10"/>
      <c r="SKH142" s="57"/>
      <c r="SKI142" s="10"/>
      <c r="SKJ142" s="57"/>
      <c r="SKK142" s="10"/>
      <c r="SKL142" s="57"/>
      <c r="SKM142" s="10"/>
      <c r="SKN142" s="57"/>
      <c r="SKO142" s="10"/>
      <c r="SKP142" s="57"/>
      <c r="SKQ142" s="10"/>
      <c r="SKR142" s="57"/>
      <c r="SKS142" s="10"/>
      <c r="SKT142" s="57"/>
      <c r="SKU142" s="10"/>
      <c r="SKV142" s="57"/>
      <c r="SKW142" s="10"/>
      <c r="SKX142" s="57"/>
      <c r="SKY142" s="10"/>
      <c r="SKZ142" s="57"/>
      <c r="SLA142" s="10"/>
      <c r="SLB142" s="57"/>
      <c r="SLC142" s="10"/>
      <c r="SLD142" s="57"/>
      <c r="SLE142" s="10"/>
      <c r="SLF142" s="57"/>
      <c r="SLG142" s="10"/>
      <c r="SLH142" s="57"/>
      <c r="SLI142" s="10"/>
      <c r="SLJ142" s="57"/>
      <c r="SLK142" s="10"/>
      <c r="SLL142" s="57"/>
      <c r="SLM142" s="10"/>
      <c r="SLN142" s="57"/>
      <c r="SLO142" s="10"/>
      <c r="SLP142" s="57"/>
      <c r="SLQ142" s="10"/>
      <c r="SLR142" s="57"/>
      <c r="SLS142" s="10"/>
      <c r="SLT142" s="57"/>
      <c r="SLU142" s="10"/>
      <c r="SLV142" s="57"/>
      <c r="SLW142" s="10"/>
      <c r="SLX142" s="57"/>
      <c r="SLY142" s="10"/>
      <c r="SLZ142" s="57"/>
      <c r="SMA142" s="10"/>
      <c r="SMB142" s="57"/>
      <c r="SMC142" s="10"/>
      <c r="SMD142" s="57"/>
      <c r="SME142" s="10"/>
      <c r="SMF142" s="57"/>
      <c r="SMG142" s="10"/>
      <c r="SMH142" s="57"/>
      <c r="SMI142" s="10"/>
      <c r="SMJ142" s="57"/>
      <c r="SMK142" s="10"/>
      <c r="SML142" s="57"/>
      <c r="SMM142" s="10"/>
      <c r="SMN142" s="57"/>
      <c r="SMO142" s="10"/>
      <c r="SMP142" s="57"/>
      <c r="SMQ142" s="10"/>
      <c r="SMR142" s="57"/>
      <c r="SMS142" s="10"/>
      <c r="SMT142" s="57"/>
      <c r="SMU142" s="10"/>
      <c r="SMV142" s="57"/>
      <c r="SMW142" s="10"/>
      <c r="SMX142" s="57"/>
      <c r="SMY142" s="10"/>
      <c r="SMZ142" s="57"/>
      <c r="SNA142" s="10"/>
      <c r="SNB142" s="57"/>
      <c r="SNC142" s="10"/>
      <c r="SND142" s="57"/>
      <c r="SNE142" s="10"/>
      <c r="SNF142" s="57"/>
      <c r="SNG142" s="10"/>
      <c r="SNH142" s="57"/>
      <c r="SNI142" s="10"/>
      <c r="SNJ142" s="57"/>
      <c r="SNK142" s="10"/>
      <c r="SNL142" s="57"/>
      <c r="SNM142" s="10"/>
      <c r="SNN142" s="57"/>
      <c r="SNO142" s="10"/>
      <c r="SNP142" s="57"/>
      <c r="SNQ142" s="10"/>
      <c r="SNR142" s="57"/>
      <c r="SNS142" s="10"/>
      <c r="SNT142" s="57"/>
      <c r="SNU142" s="10"/>
      <c r="SNV142" s="57"/>
      <c r="SNW142" s="10"/>
      <c r="SNX142" s="57"/>
      <c r="SNY142" s="10"/>
      <c r="SNZ142" s="57"/>
      <c r="SOA142" s="10"/>
      <c r="SOB142" s="57"/>
      <c r="SOC142" s="10"/>
      <c r="SOD142" s="57"/>
      <c r="SOE142" s="10"/>
      <c r="SOF142" s="57"/>
      <c r="SOG142" s="10"/>
      <c r="SOH142" s="57"/>
      <c r="SOI142" s="10"/>
      <c r="SOJ142" s="57"/>
      <c r="SOK142" s="10"/>
      <c r="SOL142" s="57"/>
      <c r="SOM142" s="10"/>
      <c r="SON142" s="57"/>
      <c r="SOO142" s="10"/>
      <c r="SOP142" s="57"/>
      <c r="SOQ142" s="10"/>
      <c r="SOR142" s="57"/>
      <c r="SOS142" s="10"/>
      <c r="SOT142" s="57"/>
      <c r="SOU142" s="10"/>
      <c r="SOV142" s="57"/>
      <c r="SOW142" s="10"/>
      <c r="SOX142" s="57"/>
      <c r="SOY142" s="10"/>
      <c r="SOZ142" s="57"/>
      <c r="SPA142" s="10"/>
      <c r="SPB142" s="57"/>
      <c r="SPC142" s="10"/>
      <c r="SPD142" s="57"/>
      <c r="SPE142" s="10"/>
      <c r="SPF142" s="57"/>
      <c r="SPG142" s="10"/>
      <c r="SPH142" s="57"/>
      <c r="SPI142" s="10"/>
      <c r="SPJ142" s="57"/>
      <c r="SPK142" s="10"/>
      <c r="SPL142" s="57"/>
      <c r="SPM142" s="10"/>
      <c r="SPN142" s="57"/>
      <c r="SPO142" s="10"/>
      <c r="SPP142" s="57"/>
      <c r="SPQ142" s="10"/>
      <c r="SPR142" s="57"/>
      <c r="SPS142" s="10"/>
      <c r="SPT142" s="57"/>
      <c r="SPU142" s="10"/>
      <c r="SPV142" s="57"/>
      <c r="SPW142" s="10"/>
      <c r="SPX142" s="57"/>
      <c r="SPY142" s="10"/>
      <c r="SPZ142" s="57"/>
      <c r="SQA142" s="10"/>
      <c r="SQB142" s="57"/>
      <c r="SQC142" s="10"/>
      <c r="SQD142" s="57"/>
      <c r="SQE142" s="10"/>
      <c r="SQF142" s="57"/>
      <c r="SQG142" s="10"/>
      <c r="SQH142" s="57"/>
      <c r="SQI142" s="10"/>
      <c r="SQJ142" s="57"/>
      <c r="SQK142" s="10"/>
      <c r="SQL142" s="57"/>
      <c r="SQM142" s="10"/>
      <c r="SQN142" s="57"/>
      <c r="SQO142" s="10"/>
      <c r="SQP142" s="57"/>
      <c r="SQQ142" s="10"/>
      <c r="SQR142" s="57"/>
      <c r="SQS142" s="10"/>
      <c r="SQT142" s="57"/>
      <c r="SQU142" s="10"/>
      <c r="SQV142" s="57"/>
      <c r="SQW142" s="10"/>
      <c r="SQX142" s="57"/>
      <c r="SQY142" s="10"/>
      <c r="SQZ142" s="57"/>
      <c r="SRA142" s="10"/>
      <c r="SRB142" s="57"/>
      <c r="SRC142" s="10"/>
      <c r="SRD142" s="57"/>
      <c r="SRE142" s="10"/>
      <c r="SRF142" s="57"/>
      <c r="SRG142" s="10"/>
      <c r="SRH142" s="57"/>
      <c r="SRI142" s="10"/>
      <c r="SRJ142" s="57"/>
      <c r="SRK142" s="10"/>
      <c r="SRL142" s="57"/>
      <c r="SRM142" s="10"/>
      <c r="SRN142" s="57"/>
      <c r="SRO142" s="10"/>
      <c r="SRP142" s="57"/>
      <c r="SRQ142" s="10"/>
      <c r="SRR142" s="57"/>
      <c r="SRS142" s="10"/>
      <c r="SRT142" s="57"/>
      <c r="SRU142" s="10"/>
      <c r="SRV142" s="57"/>
      <c r="SRW142" s="10"/>
      <c r="SRX142" s="57"/>
      <c r="SRY142" s="10"/>
      <c r="SRZ142" s="57"/>
      <c r="SSA142" s="10"/>
      <c r="SSB142" s="57"/>
      <c r="SSC142" s="10"/>
      <c r="SSD142" s="57"/>
      <c r="SSE142" s="10"/>
      <c r="SSF142" s="57"/>
      <c r="SSG142" s="10"/>
      <c r="SSH142" s="57"/>
      <c r="SSI142" s="10"/>
      <c r="SSJ142" s="57"/>
      <c r="SSK142" s="10"/>
      <c r="SSL142" s="57"/>
      <c r="SSM142" s="10"/>
      <c r="SSN142" s="57"/>
      <c r="SSO142" s="10"/>
      <c r="SSP142" s="57"/>
      <c r="SSQ142" s="10"/>
      <c r="SSR142" s="57"/>
      <c r="SSS142" s="10"/>
      <c r="SST142" s="57"/>
      <c r="SSU142" s="10"/>
      <c r="SSV142" s="57"/>
      <c r="SSW142" s="10"/>
      <c r="SSX142" s="57"/>
      <c r="SSY142" s="10"/>
      <c r="SSZ142" s="57"/>
      <c r="STA142" s="10"/>
      <c r="STB142" s="57"/>
      <c r="STC142" s="10"/>
      <c r="STD142" s="57"/>
      <c r="STE142" s="10"/>
      <c r="STF142" s="57"/>
      <c r="STG142" s="10"/>
      <c r="STH142" s="57"/>
      <c r="STI142" s="10"/>
      <c r="STJ142" s="57"/>
      <c r="STK142" s="10"/>
      <c r="STL142" s="57"/>
      <c r="STM142" s="10"/>
      <c r="STN142" s="57"/>
      <c r="STO142" s="10"/>
      <c r="STP142" s="57"/>
      <c r="STQ142" s="10"/>
      <c r="STR142" s="57"/>
      <c r="STS142" s="10"/>
      <c r="STT142" s="57"/>
      <c r="STU142" s="10"/>
      <c r="STV142" s="57"/>
      <c r="STW142" s="10"/>
      <c r="STX142" s="57"/>
      <c r="STY142" s="10"/>
      <c r="STZ142" s="57"/>
      <c r="SUA142" s="10"/>
      <c r="SUB142" s="57"/>
      <c r="SUC142" s="10"/>
      <c r="SUD142" s="57"/>
      <c r="SUE142" s="10"/>
      <c r="SUF142" s="57"/>
      <c r="SUG142" s="10"/>
      <c r="SUH142" s="57"/>
      <c r="SUI142" s="10"/>
      <c r="SUJ142" s="57"/>
      <c r="SUK142" s="10"/>
      <c r="SUL142" s="57"/>
      <c r="SUM142" s="10"/>
      <c r="SUN142" s="57"/>
      <c r="SUO142" s="10"/>
      <c r="SUP142" s="57"/>
      <c r="SUQ142" s="10"/>
      <c r="SUR142" s="57"/>
      <c r="SUS142" s="10"/>
      <c r="SUT142" s="57"/>
      <c r="SUU142" s="10"/>
      <c r="SUV142" s="57"/>
      <c r="SUW142" s="10"/>
      <c r="SUX142" s="57"/>
      <c r="SUY142" s="10"/>
      <c r="SUZ142" s="57"/>
      <c r="SVA142" s="10"/>
      <c r="SVB142" s="57"/>
      <c r="SVC142" s="10"/>
      <c r="SVD142" s="57"/>
      <c r="SVE142" s="10"/>
      <c r="SVF142" s="57"/>
      <c r="SVG142" s="10"/>
      <c r="SVH142" s="57"/>
      <c r="SVI142" s="10"/>
      <c r="SVJ142" s="57"/>
      <c r="SVK142" s="10"/>
      <c r="SVL142" s="57"/>
      <c r="SVM142" s="10"/>
      <c r="SVN142" s="57"/>
      <c r="SVO142" s="10"/>
      <c r="SVP142" s="57"/>
      <c r="SVQ142" s="10"/>
      <c r="SVR142" s="57"/>
      <c r="SVS142" s="10"/>
      <c r="SVT142" s="57"/>
      <c r="SVU142" s="10"/>
      <c r="SVV142" s="57"/>
      <c r="SVW142" s="10"/>
      <c r="SVX142" s="57"/>
      <c r="SVY142" s="10"/>
      <c r="SVZ142" s="57"/>
      <c r="SWA142" s="10"/>
      <c r="SWB142" s="57"/>
      <c r="SWC142" s="10"/>
      <c r="SWD142" s="57"/>
      <c r="SWE142" s="10"/>
      <c r="SWF142" s="57"/>
      <c r="SWG142" s="10"/>
      <c r="SWH142" s="57"/>
      <c r="SWI142" s="10"/>
      <c r="SWJ142" s="57"/>
      <c r="SWK142" s="10"/>
      <c r="SWL142" s="57"/>
      <c r="SWM142" s="10"/>
      <c r="SWN142" s="57"/>
      <c r="SWO142" s="10"/>
      <c r="SWP142" s="57"/>
      <c r="SWQ142" s="10"/>
      <c r="SWR142" s="57"/>
      <c r="SWS142" s="10"/>
      <c r="SWT142" s="57"/>
      <c r="SWU142" s="10"/>
      <c r="SWV142" s="57"/>
      <c r="SWW142" s="10"/>
      <c r="SWX142" s="57"/>
      <c r="SWY142" s="10"/>
      <c r="SWZ142" s="57"/>
      <c r="SXA142" s="10"/>
      <c r="SXB142" s="57"/>
      <c r="SXC142" s="10"/>
      <c r="SXD142" s="57"/>
      <c r="SXE142" s="10"/>
      <c r="SXF142" s="57"/>
      <c r="SXG142" s="10"/>
      <c r="SXH142" s="57"/>
      <c r="SXI142" s="10"/>
      <c r="SXJ142" s="57"/>
      <c r="SXK142" s="10"/>
      <c r="SXL142" s="57"/>
      <c r="SXM142" s="10"/>
      <c r="SXN142" s="57"/>
      <c r="SXO142" s="10"/>
      <c r="SXP142" s="57"/>
      <c r="SXQ142" s="10"/>
      <c r="SXR142" s="57"/>
      <c r="SXS142" s="10"/>
      <c r="SXT142" s="57"/>
      <c r="SXU142" s="10"/>
      <c r="SXV142" s="57"/>
      <c r="SXW142" s="10"/>
      <c r="SXX142" s="57"/>
      <c r="SXY142" s="10"/>
      <c r="SXZ142" s="57"/>
      <c r="SYA142" s="10"/>
      <c r="SYB142" s="57"/>
      <c r="SYC142" s="10"/>
      <c r="SYD142" s="57"/>
      <c r="SYE142" s="10"/>
      <c r="SYF142" s="57"/>
      <c r="SYG142" s="10"/>
      <c r="SYH142" s="57"/>
      <c r="SYI142" s="10"/>
      <c r="SYJ142" s="57"/>
      <c r="SYK142" s="10"/>
      <c r="SYL142" s="57"/>
      <c r="SYM142" s="10"/>
      <c r="SYN142" s="57"/>
      <c r="SYO142" s="10"/>
      <c r="SYP142" s="57"/>
      <c r="SYQ142" s="10"/>
      <c r="SYR142" s="57"/>
      <c r="SYS142" s="10"/>
      <c r="SYT142" s="57"/>
      <c r="SYU142" s="10"/>
      <c r="SYV142" s="57"/>
      <c r="SYW142" s="10"/>
      <c r="SYX142" s="57"/>
      <c r="SYY142" s="10"/>
      <c r="SYZ142" s="57"/>
      <c r="SZA142" s="10"/>
      <c r="SZB142" s="57"/>
      <c r="SZC142" s="10"/>
      <c r="SZD142" s="57"/>
      <c r="SZE142" s="10"/>
      <c r="SZF142" s="57"/>
      <c r="SZG142" s="10"/>
      <c r="SZH142" s="57"/>
      <c r="SZI142" s="10"/>
      <c r="SZJ142" s="57"/>
      <c r="SZK142" s="10"/>
      <c r="SZL142" s="57"/>
      <c r="SZM142" s="10"/>
      <c r="SZN142" s="57"/>
      <c r="SZO142" s="10"/>
      <c r="SZP142" s="57"/>
      <c r="SZQ142" s="10"/>
      <c r="SZR142" s="57"/>
      <c r="SZS142" s="10"/>
      <c r="SZT142" s="57"/>
      <c r="SZU142" s="10"/>
      <c r="SZV142" s="57"/>
      <c r="SZW142" s="10"/>
      <c r="SZX142" s="57"/>
      <c r="SZY142" s="10"/>
      <c r="SZZ142" s="57"/>
      <c r="TAA142" s="10"/>
      <c r="TAB142" s="57"/>
      <c r="TAC142" s="10"/>
      <c r="TAD142" s="57"/>
      <c r="TAE142" s="10"/>
      <c r="TAF142" s="57"/>
      <c r="TAG142" s="10"/>
      <c r="TAH142" s="57"/>
      <c r="TAI142" s="10"/>
      <c r="TAJ142" s="57"/>
      <c r="TAK142" s="10"/>
      <c r="TAL142" s="57"/>
      <c r="TAM142" s="10"/>
      <c r="TAN142" s="57"/>
      <c r="TAO142" s="10"/>
      <c r="TAP142" s="57"/>
      <c r="TAQ142" s="10"/>
      <c r="TAR142" s="57"/>
      <c r="TAS142" s="10"/>
      <c r="TAT142" s="57"/>
      <c r="TAU142" s="10"/>
      <c r="TAV142" s="57"/>
      <c r="TAW142" s="10"/>
      <c r="TAX142" s="57"/>
      <c r="TAY142" s="10"/>
      <c r="TAZ142" s="57"/>
      <c r="TBA142" s="10"/>
      <c r="TBB142" s="57"/>
      <c r="TBC142" s="10"/>
      <c r="TBD142" s="57"/>
      <c r="TBE142" s="10"/>
      <c r="TBF142" s="57"/>
      <c r="TBG142" s="10"/>
      <c r="TBH142" s="57"/>
      <c r="TBI142" s="10"/>
      <c r="TBJ142" s="57"/>
      <c r="TBK142" s="10"/>
      <c r="TBL142" s="57"/>
      <c r="TBM142" s="10"/>
      <c r="TBN142" s="57"/>
      <c r="TBO142" s="10"/>
      <c r="TBP142" s="57"/>
      <c r="TBQ142" s="10"/>
      <c r="TBR142" s="57"/>
      <c r="TBS142" s="10"/>
      <c r="TBT142" s="57"/>
      <c r="TBU142" s="10"/>
      <c r="TBV142" s="57"/>
      <c r="TBW142" s="10"/>
      <c r="TBX142" s="57"/>
      <c r="TBY142" s="10"/>
      <c r="TBZ142" s="57"/>
      <c r="TCA142" s="10"/>
      <c r="TCB142" s="57"/>
      <c r="TCC142" s="10"/>
      <c r="TCD142" s="57"/>
      <c r="TCE142" s="10"/>
      <c r="TCF142" s="57"/>
      <c r="TCG142" s="10"/>
      <c r="TCH142" s="57"/>
      <c r="TCI142" s="10"/>
      <c r="TCJ142" s="57"/>
      <c r="TCK142" s="10"/>
      <c r="TCL142" s="57"/>
      <c r="TCM142" s="10"/>
      <c r="TCN142" s="57"/>
      <c r="TCO142" s="10"/>
      <c r="TCP142" s="57"/>
      <c r="TCQ142" s="10"/>
      <c r="TCR142" s="57"/>
      <c r="TCS142" s="10"/>
      <c r="TCT142" s="57"/>
      <c r="TCU142" s="10"/>
      <c r="TCV142" s="57"/>
      <c r="TCW142" s="10"/>
      <c r="TCX142" s="57"/>
      <c r="TCY142" s="10"/>
      <c r="TCZ142" s="57"/>
      <c r="TDA142" s="10"/>
      <c r="TDB142" s="57"/>
      <c r="TDC142" s="10"/>
      <c r="TDD142" s="57"/>
      <c r="TDE142" s="10"/>
      <c r="TDF142" s="57"/>
      <c r="TDG142" s="10"/>
      <c r="TDH142" s="57"/>
      <c r="TDI142" s="10"/>
      <c r="TDJ142" s="57"/>
      <c r="TDK142" s="10"/>
      <c r="TDL142" s="57"/>
      <c r="TDM142" s="10"/>
      <c r="TDN142" s="57"/>
      <c r="TDO142" s="10"/>
      <c r="TDP142" s="57"/>
      <c r="TDQ142" s="10"/>
      <c r="TDR142" s="57"/>
      <c r="TDS142" s="10"/>
      <c r="TDT142" s="57"/>
      <c r="TDU142" s="10"/>
      <c r="TDV142" s="57"/>
      <c r="TDW142" s="10"/>
      <c r="TDX142" s="57"/>
      <c r="TDY142" s="10"/>
      <c r="TDZ142" s="57"/>
      <c r="TEA142" s="10"/>
      <c r="TEB142" s="57"/>
      <c r="TEC142" s="10"/>
      <c r="TED142" s="57"/>
      <c r="TEE142" s="10"/>
      <c r="TEF142" s="57"/>
      <c r="TEG142" s="10"/>
      <c r="TEH142" s="57"/>
      <c r="TEI142" s="10"/>
      <c r="TEJ142" s="57"/>
      <c r="TEK142" s="10"/>
      <c r="TEL142" s="57"/>
      <c r="TEM142" s="10"/>
      <c r="TEN142" s="57"/>
      <c r="TEO142" s="10"/>
      <c r="TEP142" s="57"/>
      <c r="TEQ142" s="10"/>
      <c r="TER142" s="57"/>
      <c r="TES142" s="10"/>
      <c r="TET142" s="57"/>
      <c r="TEU142" s="10"/>
      <c r="TEV142" s="57"/>
      <c r="TEW142" s="10"/>
      <c r="TEX142" s="57"/>
      <c r="TEY142" s="10"/>
      <c r="TEZ142" s="57"/>
      <c r="TFA142" s="10"/>
      <c r="TFB142" s="57"/>
      <c r="TFC142" s="10"/>
      <c r="TFD142" s="57"/>
      <c r="TFE142" s="10"/>
      <c r="TFF142" s="57"/>
      <c r="TFG142" s="10"/>
      <c r="TFH142" s="57"/>
      <c r="TFI142" s="10"/>
      <c r="TFJ142" s="57"/>
      <c r="TFK142" s="10"/>
      <c r="TFL142" s="57"/>
      <c r="TFM142" s="10"/>
      <c r="TFN142" s="57"/>
      <c r="TFO142" s="10"/>
      <c r="TFP142" s="57"/>
      <c r="TFQ142" s="10"/>
      <c r="TFR142" s="57"/>
      <c r="TFS142" s="10"/>
      <c r="TFT142" s="57"/>
      <c r="TFU142" s="10"/>
      <c r="TFV142" s="57"/>
      <c r="TFW142" s="10"/>
      <c r="TFX142" s="57"/>
      <c r="TFY142" s="10"/>
      <c r="TFZ142" s="57"/>
      <c r="TGA142" s="10"/>
      <c r="TGB142" s="57"/>
      <c r="TGC142" s="10"/>
      <c r="TGD142" s="57"/>
      <c r="TGE142" s="10"/>
      <c r="TGF142" s="57"/>
      <c r="TGG142" s="10"/>
      <c r="TGH142" s="57"/>
      <c r="TGI142" s="10"/>
      <c r="TGJ142" s="57"/>
      <c r="TGK142" s="10"/>
      <c r="TGL142" s="57"/>
      <c r="TGM142" s="10"/>
      <c r="TGN142" s="57"/>
      <c r="TGO142" s="10"/>
      <c r="TGP142" s="57"/>
      <c r="TGQ142" s="10"/>
      <c r="TGR142" s="57"/>
      <c r="TGS142" s="10"/>
      <c r="TGT142" s="57"/>
      <c r="TGU142" s="10"/>
      <c r="TGV142" s="57"/>
      <c r="TGW142" s="10"/>
      <c r="TGX142" s="57"/>
      <c r="TGY142" s="10"/>
      <c r="TGZ142" s="57"/>
      <c r="THA142" s="10"/>
      <c r="THB142" s="57"/>
      <c r="THC142" s="10"/>
      <c r="THD142" s="57"/>
      <c r="THE142" s="10"/>
      <c r="THF142" s="57"/>
      <c r="THG142" s="10"/>
      <c r="THH142" s="57"/>
      <c r="THI142" s="10"/>
      <c r="THJ142" s="57"/>
      <c r="THK142" s="10"/>
      <c r="THL142" s="57"/>
      <c r="THM142" s="10"/>
      <c r="THN142" s="57"/>
      <c r="THO142" s="10"/>
      <c r="THP142" s="57"/>
      <c r="THQ142" s="10"/>
      <c r="THR142" s="57"/>
      <c r="THS142" s="10"/>
      <c r="THT142" s="57"/>
      <c r="THU142" s="10"/>
      <c r="THV142" s="57"/>
      <c r="THW142" s="10"/>
      <c r="THX142" s="57"/>
      <c r="THY142" s="10"/>
      <c r="THZ142" s="57"/>
      <c r="TIA142" s="10"/>
      <c r="TIB142" s="57"/>
      <c r="TIC142" s="10"/>
      <c r="TID142" s="57"/>
      <c r="TIE142" s="10"/>
      <c r="TIF142" s="57"/>
      <c r="TIG142" s="10"/>
      <c r="TIH142" s="57"/>
      <c r="TII142" s="10"/>
      <c r="TIJ142" s="57"/>
      <c r="TIK142" s="10"/>
      <c r="TIL142" s="57"/>
      <c r="TIM142" s="10"/>
      <c r="TIN142" s="57"/>
      <c r="TIO142" s="10"/>
      <c r="TIP142" s="57"/>
      <c r="TIQ142" s="10"/>
      <c r="TIR142" s="57"/>
      <c r="TIS142" s="10"/>
      <c r="TIT142" s="57"/>
      <c r="TIU142" s="10"/>
      <c r="TIV142" s="57"/>
      <c r="TIW142" s="10"/>
      <c r="TIX142" s="57"/>
      <c r="TIY142" s="10"/>
      <c r="TIZ142" s="57"/>
      <c r="TJA142" s="10"/>
      <c r="TJB142" s="57"/>
      <c r="TJC142" s="10"/>
      <c r="TJD142" s="57"/>
      <c r="TJE142" s="10"/>
      <c r="TJF142" s="57"/>
      <c r="TJG142" s="10"/>
      <c r="TJH142" s="57"/>
      <c r="TJI142" s="10"/>
      <c r="TJJ142" s="57"/>
      <c r="TJK142" s="10"/>
      <c r="TJL142" s="57"/>
      <c r="TJM142" s="10"/>
      <c r="TJN142" s="57"/>
      <c r="TJO142" s="10"/>
      <c r="TJP142" s="57"/>
      <c r="TJQ142" s="10"/>
      <c r="TJR142" s="57"/>
      <c r="TJS142" s="10"/>
      <c r="TJT142" s="57"/>
      <c r="TJU142" s="10"/>
      <c r="TJV142" s="57"/>
      <c r="TJW142" s="10"/>
      <c r="TJX142" s="57"/>
      <c r="TJY142" s="10"/>
      <c r="TJZ142" s="57"/>
      <c r="TKA142" s="10"/>
      <c r="TKB142" s="57"/>
      <c r="TKC142" s="10"/>
      <c r="TKD142" s="57"/>
      <c r="TKE142" s="10"/>
      <c r="TKF142" s="57"/>
      <c r="TKG142" s="10"/>
      <c r="TKH142" s="57"/>
      <c r="TKI142" s="10"/>
      <c r="TKJ142" s="57"/>
      <c r="TKK142" s="10"/>
      <c r="TKL142" s="57"/>
      <c r="TKM142" s="10"/>
      <c r="TKN142" s="57"/>
      <c r="TKO142" s="10"/>
      <c r="TKP142" s="57"/>
      <c r="TKQ142" s="10"/>
      <c r="TKR142" s="57"/>
      <c r="TKS142" s="10"/>
      <c r="TKT142" s="57"/>
      <c r="TKU142" s="10"/>
      <c r="TKV142" s="57"/>
      <c r="TKW142" s="10"/>
      <c r="TKX142" s="57"/>
      <c r="TKY142" s="10"/>
      <c r="TKZ142" s="57"/>
      <c r="TLA142" s="10"/>
      <c r="TLB142" s="57"/>
      <c r="TLC142" s="10"/>
      <c r="TLD142" s="57"/>
      <c r="TLE142" s="10"/>
      <c r="TLF142" s="57"/>
      <c r="TLG142" s="10"/>
      <c r="TLH142" s="57"/>
      <c r="TLI142" s="10"/>
      <c r="TLJ142" s="57"/>
      <c r="TLK142" s="10"/>
      <c r="TLL142" s="57"/>
      <c r="TLM142" s="10"/>
      <c r="TLN142" s="57"/>
      <c r="TLO142" s="10"/>
      <c r="TLP142" s="57"/>
      <c r="TLQ142" s="10"/>
      <c r="TLR142" s="57"/>
      <c r="TLS142" s="10"/>
      <c r="TLT142" s="57"/>
      <c r="TLU142" s="10"/>
      <c r="TLV142" s="57"/>
      <c r="TLW142" s="10"/>
      <c r="TLX142" s="57"/>
      <c r="TLY142" s="10"/>
      <c r="TLZ142" s="57"/>
      <c r="TMA142" s="10"/>
      <c r="TMB142" s="57"/>
      <c r="TMC142" s="10"/>
      <c r="TMD142" s="57"/>
      <c r="TME142" s="10"/>
      <c r="TMF142" s="57"/>
      <c r="TMG142" s="10"/>
      <c r="TMH142" s="57"/>
      <c r="TMI142" s="10"/>
      <c r="TMJ142" s="57"/>
      <c r="TMK142" s="10"/>
      <c r="TML142" s="57"/>
      <c r="TMM142" s="10"/>
      <c r="TMN142" s="57"/>
      <c r="TMO142" s="10"/>
      <c r="TMP142" s="57"/>
      <c r="TMQ142" s="10"/>
      <c r="TMR142" s="57"/>
      <c r="TMS142" s="10"/>
      <c r="TMT142" s="57"/>
      <c r="TMU142" s="10"/>
      <c r="TMV142" s="57"/>
      <c r="TMW142" s="10"/>
      <c r="TMX142" s="57"/>
      <c r="TMY142" s="10"/>
      <c r="TMZ142" s="57"/>
      <c r="TNA142" s="10"/>
      <c r="TNB142" s="57"/>
      <c r="TNC142" s="10"/>
      <c r="TND142" s="57"/>
      <c r="TNE142" s="10"/>
      <c r="TNF142" s="57"/>
      <c r="TNG142" s="10"/>
      <c r="TNH142" s="57"/>
      <c r="TNI142" s="10"/>
      <c r="TNJ142" s="57"/>
      <c r="TNK142" s="10"/>
      <c r="TNL142" s="57"/>
      <c r="TNM142" s="10"/>
      <c r="TNN142" s="57"/>
      <c r="TNO142" s="10"/>
      <c r="TNP142" s="57"/>
      <c r="TNQ142" s="10"/>
      <c r="TNR142" s="57"/>
      <c r="TNS142" s="10"/>
      <c r="TNT142" s="57"/>
      <c r="TNU142" s="10"/>
      <c r="TNV142" s="57"/>
      <c r="TNW142" s="10"/>
      <c r="TNX142" s="57"/>
      <c r="TNY142" s="10"/>
      <c r="TNZ142" s="57"/>
      <c r="TOA142" s="10"/>
      <c r="TOB142" s="57"/>
      <c r="TOC142" s="10"/>
      <c r="TOD142" s="57"/>
      <c r="TOE142" s="10"/>
      <c r="TOF142" s="57"/>
      <c r="TOG142" s="10"/>
      <c r="TOH142" s="57"/>
      <c r="TOI142" s="10"/>
      <c r="TOJ142" s="57"/>
      <c r="TOK142" s="10"/>
      <c r="TOL142" s="57"/>
      <c r="TOM142" s="10"/>
      <c r="TON142" s="57"/>
      <c r="TOO142" s="10"/>
      <c r="TOP142" s="57"/>
      <c r="TOQ142" s="10"/>
      <c r="TOR142" s="57"/>
      <c r="TOS142" s="10"/>
      <c r="TOT142" s="57"/>
      <c r="TOU142" s="10"/>
      <c r="TOV142" s="57"/>
      <c r="TOW142" s="10"/>
      <c r="TOX142" s="57"/>
      <c r="TOY142" s="10"/>
      <c r="TOZ142" s="57"/>
      <c r="TPA142" s="10"/>
      <c r="TPB142" s="57"/>
      <c r="TPC142" s="10"/>
      <c r="TPD142" s="57"/>
      <c r="TPE142" s="10"/>
      <c r="TPF142" s="57"/>
      <c r="TPG142" s="10"/>
      <c r="TPH142" s="57"/>
      <c r="TPI142" s="10"/>
      <c r="TPJ142" s="57"/>
      <c r="TPK142" s="10"/>
      <c r="TPL142" s="57"/>
      <c r="TPM142" s="10"/>
      <c r="TPN142" s="57"/>
      <c r="TPO142" s="10"/>
      <c r="TPP142" s="57"/>
      <c r="TPQ142" s="10"/>
      <c r="TPR142" s="57"/>
      <c r="TPS142" s="10"/>
      <c r="TPT142" s="57"/>
      <c r="TPU142" s="10"/>
      <c r="TPV142" s="57"/>
      <c r="TPW142" s="10"/>
      <c r="TPX142" s="57"/>
      <c r="TPY142" s="10"/>
      <c r="TPZ142" s="57"/>
      <c r="TQA142" s="10"/>
      <c r="TQB142" s="57"/>
      <c r="TQC142" s="10"/>
      <c r="TQD142" s="57"/>
      <c r="TQE142" s="10"/>
      <c r="TQF142" s="57"/>
      <c r="TQG142" s="10"/>
      <c r="TQH142" s="57"/>
      <c r="TQI142" s="10"/>
      <c r="TQJ142" s="57"/>
      <c r="TQK142" s="10"/>
      <c r="TQL142" s="57"/>
      <c r="TQM142" s="10"/>
      <c r="TQN142" s="57"/>
      <c r="TQO142" s="10"/>
      <c r="TQP142" s="57"/>
      <c r="TQQ142" s="10"/>
      <c r="TQR142" s="57"/>
      <c r="TQS142" s="10"/>
      <c r="TQT142" s="57"/>
      <c r="TQU142" s="10"/>
      <c r="TQV142" s="57"/>
      <c r="TQW142" s="10"/>
      <c r="TQX142" s="57"/>
      <c r="TQY142" s="10"/>
      <c r="TQZ142" s="57"/>
      <c r="TRA142" s="10"/>
      <c r="TRB142" s="57"/>
      <c r="TRC142" s="10"/>
      <c r="TRD142" s="57"/>
      <c r="TRE142" s="10"/>
      <c r="TRF142" s="57"/>
      <c r="TRG142" s="10"/>
      <c r="TRH142" s="57"/>
      <c r="TRI142" s="10"/>
      <c r="TRJ142" s="57"/>
      <c r="TRK142" s="10"/>
      <c r="TRL142" s="57"/>
      <c r="TRM142" s="10"/>
      <c r="TRN142" s="57"/>
      <c r="TRO142" s="10"/>
      <c r="TRP142" s="57"/>
      <c r="TRQ142" s="10"/>
      <c r="TRR142" s="57"/>
      <c r="TRS142" s="10"/>
      <c r="TRT142" s="57"/>
      <c r="TRU142" s="10"/>
      <c r="TRV142" s="57"/>
      <c r="TRW142" s="10"/>
      <c r="TRX142" s="57"/>
      <c r="TRY142" s="10"/>
      <c r="TRZ142" s="57"/>
      <c r="TSA142" s="10"/>
      <c r="TSB142" s="57"/>
      <c r="TSC142" s="10"/>
      <c r="TSD142" s="57"/>
      <c r="TSE142" s="10"/>
      <c r="TSF142" s="57"/>
      <c r="TSG142" s="10"/>
      <c r="TSH142" s="57"/>
      <c r="TSI142" s="10"/>
      <c r="TSJ142" s="57"/>
      <c r="TSK142" s="10"/>
      <c r="TSL142" s="57"/>
      <c r="TSM142" s="10"/>
      <c r="TSN142" s="57"/>
      <c r="TSO142" s="10"/>
      <c r="TSP142" s="57"/>
      <c r="TSQ142" s="10"/>
      <c r="TSR142" s="57"/>
      <c r="TSS142" s="10"/>
      <c r="TST142" s="57"/>
      <c r="TSU142" s="10"/>
      <c r="TSV142" s="57"/>
      <c r="TSW142" s="10"/>
      <c r="TSX142" s="57"/>
      <c r="TSY142" s="10"/>
      <c r="TSZ142" s="57"/>
      <c r="TTA142" s="10"/>
      <c r="TTB142" s="57"/>
      <c r="TTC142" s="10"/>
      <c r="TTD142" s="57"/>
      <c r="TTE142" s="10"/>
      <c r="TTF142" s="57"/>
      <c r="TTG142" s="10"/>
      <c r="TTH142" s="57"/>
      <c r="TTI142" s="10"/>
      <c r="TTJ142" s="57"/>
      <c r="TTK142" s="10"/>
      <c r="TTL142" s="57"/>
      <c r="TTM142" s="10"/>
      <c r="TTN142" s="57"/>
      <c r="TTO142" s="10"/>
      <c r="TTP142" s="57"/>
      <c r="TTQ142" s="10"/>
      <c r="TTR142" s="57"/>
      <c r="TTS142" s="10"/>
      <c r="TTT142" s="57"/>
      <c r="TTU142" s="10"/>
      <c r="TTV142" s="57"/>
      <c r="TTW142" s="10"/>
      <c r="TTX142" s="57"/>
      <c r="TTY142" s="10"/>
      <c r="TTZ142" s="57"/>
      <c r="TUA142" s="10"/>
      <c r="TUB142" s="57"/>
      <c r="TUC142" s="10"/>
      <c r="TUD142" s="57"/>
      <c r="TUE142" s="10"/>
      <c r="TUF142" s="57"/>
      <c r="TUG142" s="10"/>
      <c r="TUH142" s="57"/>
      <c r="TUI142" s="10"/>
      <c r="TUJ142" s="57"/>
      <c r="TUK142" s="10"/>
      <c r="TUL142" s="57"/>
      <c r="TUM142" s="10"/>
      <c r="TUN142" s="57"/>
      <c r="TUO142" s="10"/>
      <c r="TUP142" s="57"/>
      <c r="TUQ142" s="10"/>
      <c r="TUR142" s="57"/>
      <c r="TUS142" s="10"/>
      <c r="TUT142" s="57"/>
      <c r="TUU142" s="10"/>
      <c r="TUV142" s="57"/>
      <c r="TUW142" s="10"/>
      <c r="TUX142" s="57"/>
      <c r="TUY142" s="10"/>
      <c r="TUZ142" s="57"/>
      <c r="TVA142" s="10"/>
      <c r="TVB142" s="57"/>
      <c r="TVC142" s="10"/>
      <c r="TVD142" s="57"/>
      <c r="TVE142" s="10"/>
      <c r="TVF142" s="57"/>
      <c r="TVG142" s="10"/>
      <c r="TVH142" s="57"/>
      <c r="TVI142" s="10"/>
      <c r="TVJ142" s="57"/>
      <c r="TVK142" s="10"/>
      <c r="TVL142" s="57"/>
      <c r="TVM142" s="10"/>
      <c r="TVN142" s="57"/>
      <c r="TVO142" s="10"/>
      <c r="TVP142" s="57"/>
      <c r="TVQ142" s="10"/>
      <c r="TVR142" s="57"/>
      <c r="TVS142" s="10"/>
      <c r="TVT142" s="57"/>
      <c r="TVU142" s="10"/>
      <c r="TVV142" s="57"/>
      <c r="TVW142" s="10"/>
      <c r="TVX142" s="57"/>
      <c r="TVY142" s="10"/>
      <c r="TVZ142" s="57"/>
      <c r="TWA142" s="10"/>
      <c r="TWB142" s="57"/>
      <c r="TWC142" s="10"/>
      <c r="TWD142" s="57"/>
      <c r="TWE142" s="10"/>
      <c r="TWF142" s="57"/>
      <c r="TWG142" s="10"/>
      <c r="TWH142" s="57"/>
      <c r="TWI142" s="10"/>
      <c r="TWJ142" s="57"/>
      <c r="TWK142" s="10"/>
      <c r="TWL142" s="57"/>
      <c r="TWM142" s="10"/>
      <c r="TWN142" s="57"/>
      <c r="TWO142" s="10"/>
      <c r="TWP142" s="57"/>
      <c r="TWQ142" s="10"/>
      <c r="TWR142" s="57"/>
      <c r="TWS142" s="10"/>
      <c r="TWT142" s="57"/>
      <c r="TWU142" s="10"/>
      <c r="TWV142" s="57"/>
      <c r="TWW142" s="10"/>
      <c r="TWX142" s="57"/>
      <c r="TWY142" s="10"/>
      <c r="TWZ142" s="57"/>
      <c r="TXA142" s="10"/>
      <c r="TXB142" s="57"/>
      <c r="TXC142" s="10"/>
      <c r="TXD142" s="57"/>
      <c r="TXE142" s="10"/>
      <c r="TXF142" s="57"/>
      <c r="TXG142" s="10"/>
      <c r="TXH142" s="57"/>
      <c r="TXI142" s="10"/>
      <c r="TXJ142" s="57"/>
      <c r="TXK142" s="10"/>
      <c r="TXL142" s="57"/>
      <c r="TXM142" s="10"/>
      <c r="TXN142" s="57"/>
      <c r="TXO142" s="10"/>
      <c r="TXP142" s="57"/>
      <c r="TXQ142" s="10"/>
      <c r="TXR142" s="57"/>
      <c r="TXS142" s="10"/>
      <c r="TXT142" s="57"/>
      <c r="TXU142" s="10"/>
      <c r="TXV142" s="57"/>
      <c r="TXW142" s="10"/>
      <c r="TXX142" s="57"/>
      <c r="TXY142" s="10"/>
      <c r="TXZ142" s="57"/>
      <c r="TYA142" s="10"/>
      <c r="TYB142" s="57"/>
      <c r="TYC142" s="10"/>
      <c r="TYD142" s="57"/>
      <c r="TYE142" s="10"/>
      <c r="TYF142" s="57"/>
      <c r="TYG142" s="10"/>
      <c r="TYH142" s="57"/>
      <c r="TYI142" s="10"/>
      <c r="TYJ142" s="57"/>
      <c r="TYK142" s="10"/>
      <c r="TYL142" s="57"/>
      <c r="TYM142" s="10"/>
      <c r="TYN142" s="57"/>
      <c r="TYO142" s="10"/>
      <c r="TYP142" s="57"/>
      <c r="TYQ142" s="10"/>
      <c r="TYR142" s="57"/>
      <c r="TYS142" s="10"/>
      <c r="TYT142" s="57"/>
      <c r="TYU142" s="10"/>
      <c r="TYV142" s="57"/>
      <c r="TYW142" s="10"/>
      <c r="TYX142" s="57"/>
      <c r="TYY142" s="10"/>
      <c r="TYZ142" s="57"/>
      <c r="TZA142" s="10"/>
      <c r="TZB142" s="57"/>
      <c r="TZC142" s="10"/>
      <c r="TZD142" s="57"/>
      <c r="TZE142" s="10"/>
      <c r="TZF142" s="57"/>
      <c r="TZG142" s="10"/>
      <c r="TZH142" s="57"/>
      <c r="TZI142" s="10"/>
      <c r="TZJ142" s="57"/>
      <c r="TZK142" s="10"/>
      <c r="TZL142" s="57"/>
      <c r="TZM142" s="10"/>
      <c r="TZN142" s="57"/>
      <c r="TZO142" s="10"/>
      <c r="TZP142" s="57"/>
      <c r="TZQ142" s="10"/>
      <c r="TZR142" s="57"/>
      <c r="TZS142" s="10"/>
      <c r="TZT142" s="57"/>
      <c r="TZU142" s="10"/>
      <c r="TZV142" s="57"/>
      <c r="TZW142" s="10"/>
      <c r="TZX142" s="57"/>
      <c r="TZY142" s="10"/>
      <c r="TZZ142" s="57"/>
      <c r="UAA142" s="10"/>
      <c r="UAB142" s="57"/>
      <c r="UAC142" s="10"/>
      <c r="UAD142" s="57"/>
      <c r="UAE142" s="10"/>
      <c r="UAF142" s="57"/>
      <c r="UAG142" s="10"/>
      <c r="UAH142" s="57"/>
      <c r="UAI142" s="10"/>
      <c r="UAJ142" s="57"/>
      <c r="UAK142" s="10"/>
      <c r="UAL142" s="57"/>
      <c r="UAM142" s="10"/>
      <c r="UAN142" s="57"/>
      <c r="UAO142" s="10"/>
      <c r="UAP142" s="57"/>
      <c r="UAQ142" s="10"/>
      <c r="UAR142" s="57"/>
      <c r="UAS142" s="10"/>
      <c r="UAT142" s="57"/>
      <c r="UAU142" s="10"/>
      <c r="UAV142" s="57"/>
      <c r="UAW142" s="10"/>
      <c r="UAX142" s="57"/>
      <c r="UAY142" s="10"/>
      <c r="UAZ142" s="57"/>
      <c r="UBA142" s="10"/>
      <c r="UBB142" s="57"/>
      <c r="UBC142" s="10"/>
      <c r="UBD142" s="57"/>
      <c r="UBE142" s="10"/>
      <c r="UBF142" s="57"/>
      <c r="UBG142" s="10"/>
      <c r="UBH142" s="57"/>
      <c r="UBI142" s="10"/>
      <c r="UBJ142" s="57"/>
      <c r="UBK142" s="10"/>
      <c r="UBL142" s="57"/>
      <c r="UBM142" s="10"/>
      <c r="UBN142" s="57"/>
      <c r="UBO142" s="10"/>
      <c r="UBP142" s="57"/>
      <c r="UBQ142" s="10"/>
      <c r="UBR142" s="57"/>
      <c r="UBS142" s="10"/>
      <c r="UBT142" s="57"/>
      <c r="UBU142" s="10"/>
      <c r="UBV142" s="57"/>
      <c r="UBW142" s="10"/>
      <c r="UBX142" s="57"/>
      <c r="UBY142" s="10"/>
      <c r="UBZ142" s="57"/>
      <c r="UCA142" s="10"/>
      <c r="UCB142" s="57"/>
      <c r="UCC142" s="10"/>
      <c r="UCD142" s="57"/>
      <c r="UCE142" s="10"/>
      <c r="UCF142" s="57"/>
      <c r="UCG142" s="10"/>
      <c r="UCH142" s="57"/>
      <c r="UCI142" s="10"/>
      <c r="UCJ142" s="57"/>
      <c r="UCK142" s="10"/>
      <c r="UCL142" s="57"/>
      <c r="UCM142" s="10"/>
      <c r="UCN142" s="57"/>
      <c r="UCO142" s="10"/>
      <c r="UCP142" s="57"/>
      <c r="UCQ142" s="10"/>
      <c r="UCR142" s="57"/>
      <c r="UCS142" s="10"/>
      <c r="UCT142" s="57"/>
      <c r="UCU142" s="10"/>
      <c r="UCV142" s="57"/>
      <c r="UCW142" s="10"/>
      <c r="UCX142" s="57"/>
      <c r="UCY142" s="10"/>
      <c r="UCZ142" s="57"/>
      <c r="UDA142" s="10"/>
      <c r="UDB142" s="57"/>
      <c r="UDC142" s="10"/>
      <c r="UDD142" s="57"/>
      <c r="UDE142" s="10"/>
      <c r="UDF142" s="57"/>
      <c r="UDG142" s="10"/>
      <c r="UDH142" s="57"/>
      <c r="UDI142" s="10"/>
      <c r="UDJ142" s="57"/>
      <c r="UDK142" s="10"/>
      <c r="UDL142" s="57"/>
      <c r="UDM142" s="10"/>
      <c r="UDN142" s="57"/>
      <c r="UDO142" s="10"/>
      <c r="UDP142" s="57"/>
      <c r="UDQ142" s="10"/>
      <c r="UDR142" s="57"/>
      <c r="UDS142" s="10"/>
      <c r="UDT142" s="57"/>
      <c r="UDU142" s="10"/>
      <c r="UDV142" s="57"/>
      <c r="UDW142" s="10"/>
      <c r="UDX142" s="57"/>
      <c r="UDY142" s="10"/>
      <c r="UDZ142" s="57"/>
      <c r="UEA142" s="10"/>
      <c r="UEB142" s="57"/>
      <c r="UEC142" s="10"/>
      <c r="UED142" s="57"/>
      <c r="UEE142" s="10"/>
      <c r="UEF142" s="57"/>
      <c r="UEG142" s="10"/>
      <c r="UEH142" s="57"/>
      <c r="UEI142" s="10"/>
      <c r="UEJ142" s="57"/>
      <c r="UEK142" s="10"/>
      <c r="UEL142" s="57"/>
      <c r="UEM142" s="10"/>
      <c r="UEN142" s="57"/>
      <c r="UEO142" s="10"/>
      <c r="UEP142" s="57"/>
      <c r="UEQ142" s="10"/>
      <c r="UER142" s="57"/>
      <c r="UES142" s="10"/>
      <c r="UET142" s="57"/>
      <c r="UEU142" s="10"/>
      <c r="UEV142" s="57"/>
      <c r="UEW142" s="10"/>
      <c r="UEX142" s="57"/>
      <c r="UEY142" s="10"/>
      <c r="UEZ142" s="57"/>
      <c r="UFA142" s="10"/>
      <c r="UFB142" s="57"/>
      <c r="UFC142" s="10"/>
      <c r="UFD142" s="57"/>
      <c r="UFE142" s="10"/>
      <c r="UFF142" s="57"/>
      <c r="UFG142" s="10"/>
      <c r="UFH142" s="57"/>
      <c r="UFI142" s="10"/>
      <c r="UFJ142" s="57"/>
      <c r="UFK142" s="10"/>
      <c r="UFL142" s="57"/>
      <c r="UFM142" s="10"/>
      <c r="UFN142" s="57"/>
      <c r="UFO142" s="10"/>
      <c r="UFP142" s="57"/>
      <c r="UFQ142" s="10"/>
      <c r="UFR142" s="57"/>
      <c r="UFS142" s="10"/>
      <c r="UFT142" s="57"/>
      <c r="UFU142" s="10"/>
      <c r="UFV142" s="57"/>
      <c r="UFW142" s="10"/>
      <c r="UFX142" s="57"/>
      <c r="UFY142" s="10"/>
      <c r="UFZ142" s="57"/>
      <c r="UGA142" s="10"/>
      <c r="UGB142" s="57"/>
      <c r="UGC142" s="10"/>
      <c r="UGD142" s="57"/>
      <c r="UGE142" s="10"/>
      <c r="UGF142" s="57"/>
      <c r="UGG142" s="10"/>
      <c r="UGH142" s="57"/>
      <c r="UGI142" s="10"/>
      <c r="UGJ142" s="57"/>
      <c r="UGK142" s="10"/>
      <c r="UGL142" s="57"/>
      <c r="UGM142" s="10"/>
      <c r="UGN142" s="57"/>
      <c r="UGO142" s="10"/>
      <c r="UGP142" s="57"/>
      <c r="UGQ142" s="10"/>
      <c r="UGR142" s="57"/>
      <c r="UGS142" s="10"/>
      <c r="UGT142" s="57"/>
      <c r="UGU142" s="10"/>
      <c r="UGV142" s="57"/>
      <c r="UGW142" s="10"/>
      <c r="UGX142" s="57"/>
      <c r="UGY142" s="10"/>
      <c r="UGZ142" s="57"/>
      <c r="UHA142" s="10"/>
      <c r="UHB142" s="57"/>
      <c r="UHC142" s="10"/>
      <c r="UHD142" s="57"/>
      <c r="UHE142" s="10"/>
      <c r="UHF142" s="57"/>
      <c r="UHG142" s="10"/>
      <c r="UHH142" s="57"/>
      <c r="UHI142" s="10"/>
      <c r="UHJ142" s="57"/>
      <c r="UHK142" s="10"/>
      <c r="UHL142" s="57"/>
      <c r="UHM142" s="10"/>
      <c r="UHN142" s="57"/>
      <c r="UHO142" s="10"/>
      <c r="UHP142" s="57"/>
      <c r="UHQ142" s="10"/>
      <c r="UHR142" s="57"/>
      <c r="UHS142" s="10"/>
      <c r="UHT142" s="57"/>
      <c r="UHU142" s="10"/>
      <c r="UHV142" s="57"/>
      <c r="UHW142" s="10"/>
      <c r="UHX142" s="57"/>
      <c r="UHY142" s="10"/>
      <c r="UHZ142" s="57"/>
      <c r="UIA142" s="10"/>
      <c r="UIB142" s="57"/>
      <c r="UIC142" s="10"/>
      <c r="UID142" s="57"/>
      <c r="UIE142" s="10"/>
      <c r="UIF142" s="57"/>
      <c r="UIG142" s="10"/>
      <c r="UIH142" s="57"/>
      <c r="UII142" s="10"/>
      <c r="UIJ142" s="57"/>
      <c r="UIK142" s="10"/>
      <c r="UIL142" s="57"/>
      <c r="UIM142" s="10"/>
      <c r="UIN142" s="57"/>
      <c r="UIO142" s="10"/>
      <c r="UIP142" s="57"/>
      <c r="UIQ142" s="10"/>
      <c r="UIR142" s="57"/>
      <c r="UIS142" s="10"/>
      <c r="UIT142" s="57"/>
      <c r="UIU142" s="10"/>
      <c r="UIV142" s="57"/>
      <c r="UIW142" s="10"/>
      <c r="UIX142" s="57"/>
      <c r="UIY142" s="10"/>
      <c r="UIZ142" s="57"/>
      <c r="UJA142" s="10"/>
      <c r="UJB142" s="57"/>
      <c r="UJC142" s="10"/>
      <c r="UJD142" s="57"/>
      <c r="UJE142" s="10"/>
      <c r="UJF142" s="57"/>
      <c r="UJG142" s="10"/>
      <c r="UJH142" s="57"/>
      <c r="UJI142" s="10"/>
      <c r="UJJ142" s="57"/>
      <c r="UJK142" s="10"/>
      <c r="UJL142" s="57"/>
      <c r="UJM142" s="10"/>
      <c r="UJN142" s="57"/>
      <c r="UJO142" s="10"/>
      <c r="UJP142" s="57"/>
      <c r="UJQ142" s="10"/>
      <c r="UJR142" s="57"/>
      <c r="UJS142" s="10"/>
      <c r="UJT142" s="57"/>
      <c r="UJU142" s="10"/>
      <c r="UJV142" s="57"/>
      <c r="UJW142" s="10"/>
      <c r="UJX142" s="57"/>
      <c r="UJY142" s="10"/>
      <c r="UJZ142" s="57"/>
      <c r="UKA142" s="10"/>
      <c r="UKB142" s="57"/>
      <c r="UKC142" s="10"/>
      <c r="UKD142" s="57"/>
      <c r="UKE142" s="10"/>
      <c r="UKF142" s="57"/>
      <c r="UKG142" s="10"/>
      <c r="UKH142" s="57"/>
      <c r="UKI142" s="10"/>
      <c r="UKJ142" s="57"/>
      <c r="UKK142" s="10"/>
      <c r="UKL142" s="57"/>
      <c r="UKM142" s="10"/>
      <c r="UKN142" s="57"/>
      <c r="UKO142" s="10"/>
      <c r="UKP142" s="57"/>
      <c r="UKQ142" s="10"/>
      <c r="UKR142" s="57"/>
      <c r="UKS142" s="10"/>
      <c r="UKT142" s="57"/>
      <c r="UKU142" s="10"/>
      <c r="UKV142" s="57"/>
      <c r="UKW142" s="10"/>
      <c r="UKX142" s="57"/>
      <c r="UKY142" s="10"/>
      <c r="UKZ142" s="57"/>
      <c r="ULA142" s="10"/>
      <c r="ULB142" s="57"/>
      <c r="ULC142" s="10"/>
      <c r="ULD142" s="57"/>
      <c r="ULE142" s="10"/>
      <c r="ULF142" s="57"/>
      <c r="ULG142" s="10"/>
      <c r="ULH142" s="57"/>
      <c r="ULI142" s="10"/>
      <c r="ULJ142" s="57"/>
      <c r="ULK142" s="10"/>
      <c r="ULL142" s="57"/>
      <c r="ULM142" s="10"/>
      <c r="ULN142" s="57"/>
      <c r="ULO142" s="10"/>
      <c r="ULP142" s="57"/>
      <c r="ULQ142" s="10"/>
      <c r="ULR142" s="57"/>
      <c r="ULS142" s="10"/>
      <c r="ULT142" s="57"/>
      <c r="ULU142" s="10"/>
      <c r="ULV142" s="57"/>
      <c r="ULW142" s="10"/>
      <c r="ULX142" s="57"/>
      <c r="ULY142" s="10"/>
      <c r="ULZ142" s="57"/>
      <c r="UMA142" s="10"/>
      <c r="UMB142" s="57"/>
      <c r="UMC142" s="10"/>
      <c r="UMD142" s="57"/>
      <c r="UME142" s="10"/>
      <c r="UMF142" s="57"/>
      <c r="UMG142" s="10"/>
      <c r="UMH142" s="57"/>
      <c r="UMI142" s="10"/>
      <c r="UMJ142" s="57"/>
      <c r="UMK142" s="10"/>
      <c r="UML142" s="57"/>
      <c r="UMM142" s="10"/>
      <c r="UMN142" s="57"/>
      <c r="UMO142" s="10"/>
      <c r="UMP142" s="57"/>
      <c r="UMQ142" s="10"/>
      <c r="UMR142" s="57"/>
      <c r="UMS142" s="10"/>
      <c r="UMT142" s="57"/>
      <c r="UMU142" s="10"/>
      <c r="UMV142" s="57"/>
      <c r="UMW142" s="10"/>
      <c r="UMX142" s="57"/>
      <c r="UMY142" s="10"/>
      <c r="UMZ142" s="57"/>
      <c r="UNA142" s="10"/>
      <c r="UNB142" s="57"/>
      <c r="UNC142" s="10"/>
      <c r="UND142" s="57"/>
      <c r="UNE142" s="10"/>
      <c r="UNF142" s="57"/>
      <c r="UNG142" s="10"/>
      <c r="UNH142" s="57"/>
      <c r="UNI142" s="10"/>
      <c r="UNJ142" s="57"/>
      <c r="UNK142" s="10"/>
      <c r="UNL142" s="57"/>
      <c r="UNM142" s="10"/>
      <c r="UNN142" s="57"/>
      <c r="UNO142" s="10"/>
      <c r="UNP142" s="57"/>
      <c r="UNQ142" s="10"/>
      <c r="UNR142" s="57"/>
      <c r="UNS142" s="10"/>
      <c r="UNT142" s="57"/>
      <c r="UNU142" s="10"/>
      <c r="UNV142" s="57"/>
      <c r="UNW142" s="10"/>
      <c r="UNX142" s="57"/>
      <c r="UNY142" s="10"/>
      <c r="UNZ142" s="57"/>
      <c r="UOA142" s="10"/>
      <c r="UOB142" s="57"/>
      <c r="UOC142" s="10"/>
      <c r="UOD142" s="57"/>
      <c r="UOE142" s="10"/>
      <c r="UOF142" s="57"/>
      <c r="UOG142" s="10"/>
      <c r="UOH142" s="57"/>
      <c r="UOI142" s="10"/>
      <c r="UOJ142" s="57"/>
      <c r="UOK142" s="10"/>
      <c r="UOL142" s="57"/>
      <c r="UOM142" s="10"/>
      <c r="UON142" s="57"/>
      <c r="UOO142" s="10"/>
      <c r="UOP142" s="57"/>
      <c r="UOQ142" s="10"/>
      <c r="UOR142" s="57"/>
      <c r="UOS142" s="10"/>
      <c r="UOT142" s="57"/>
      <c r="UOU142" s="10"/>
      <c r="UOV142" s="57"/>
      <c r="UOW142" s="10"/>
      <c r="UOX142" s="57"/>
      <c r="UOY142" s="10"/>
      <c r="UOZ142" s="57"/>
      <c r="UPA142" s="10"/>
      <c r="UPB142" s="57"/>
      <c r="UPC142" s="10"/>
      <c r="UPD142" s="57"/>
      <c r="UPE142" s="10"/>
      <c r="UPF142" s="57"/>
      <c r="UPG142" s="10"/>
      <c r="UPH142" s="57"/>
      <c r="UPI142" s="10"/>
      <c r="UPJ142" s="57"/>
      <c r="UPK142" s="10"/>
      <c r="UPL142" s="57"/>
      <c r="UPM142" s="10"/>
      <c r="UPN142" s="57"/>
      <c r="UPO142" s="10"/>
      <c r="UPP142" s="57"/>
      <c r="UPQ142" s="10"/>
      <c r="UPR142" s="57"/>
      <c r="UPS142" s="10"/>
      <c r="UPT142" s="57"/>
      <c r="UPU142" s="10"/>
      <c r="UPV142" s="57"/>
      <c r="UPW142" s="10"/>
      <c r="UPX142" s="57"/>
      <c r="UPY142" s="10"/>
      <c r="UPZ142" s="57"/>
      <c r="UQA142" s="10"/>
      <c r="UQB142" s="57"/>
      <c r="UQC142" s="10"/>
      <c r="UQD142" s="57"/>
      <c r="UQE142" s="10"/>
      <c r="UQF142" s="57"/>
      <c r="UQG142" s="10"/>
      <c r="UQH142" s="57"/>
      <c r="UQI142" s="10"/>
      <c r="UQJ142" s="57"/>
      <c r="UQK142" s="10"/>
      <c r="UQL142" s="57"/>
      <c r="UQM142" s="10"/>
      <c r="UQN142" s="57"/>
      <c r="UQO142" s="10"/>
      <c r="UQP142" s="57"/>
      <c r="UQQ142" s="10"/>
      <c r="UQR142" s="57"/>
      <c r="UQS142" s="10"/>
      <c r="UQT142" s="57"/>
      <c r="UQU142" s="10"/>
      <c r="UQV142" s="57"/>
      <c r="UQW142" s="10"/>
      <c r="UQX142" s="57"/>
      <c r="UQY142" s="10"/>
      <c r="UQZ142" s="57"/>
      <c r="URA142" s="10"/>
      <c r="URB142" s="57"/>
      <c r="URC142" s="10"/>
      <c r="URD142" s="57"/>
      <c r="URE142" s="10"/>
      <c r="URF142" s="57"/>
      <c r="URG142" s="10"/>
      <c r="URH142" s="57"/>
      <c r="URI142" s="10"/>
      <c r="URJ142" s="57"/>
      <c r="URK142" s="10"/>
      <c r="URL142" s="57"/>
      <c r="URM142" s="10"/>
      <c r="URN142" s="57"/>
      <c r="URO142" s="10"/>
      <c r="URP142" s="57"/>
      <c r="URQ142" s="10"/>
      <c r="URR142" s="57"/>
      <c r="URS142" s="10"/>
      <c r="URT142" s="57"/>
      <c r="URU142" s="10"/>
      <c r="URV142" s="57"/>
      <c r="URW142" s="10"/>
      <c r="URX142" s="57"/>
      <c r="URY142" s="10"/>
      <c r="URZ142" s="57"/>
      <c r="USA142" s="10"/>
      <c r="USB142" s="57"/>
      <c r="USC142" s="10"/>
      <c r="USD142" s="57"/>
      <c r="USE142" s="10"/>
      <c r="USF142" s="57"/>
      <c r="USG142" s="10"/>
      <c r="USH142" s="57"/>
      <c r="USI142" s="10"/>
      <c r="USJ142" s="57"/>
      <c r="USK142" s="10"/>
      <c r="USL142" s="57"/>
      <c r="USM142" s="10"/>
      <c r="USN142" s="57"/>
      <c r="USO142" s="10"/>
      <c r="USP142" s="57"/>
      <c r="USQ142" s="10"/>
      <c r="USR142" s="57"/>
      <c r="USS142" s="10"/>
      <c r="UST142" s="57"/>
      <c r="USU142" s="10"/>
      <c r="USV142" s="57"/>
      <c r="USW142" s="10"/>
      <c r="USX142" s="57"/>
      <c r="USY142" s="10"/>
      <c r="USZ142" s="57"/>
      <c r="UTA142" s="10"/>
      <c r="UTB142" s="57"/>
      <c r="UTC142" s="10"/>
      <c r="UTD142" s="57"/>
      <c r="UTE142" s="10"/>
      <c r="UTF142" s="57"/>
      <c r="UTG142" s="10"/>
      <c r="UTH142" s="57"/>
      <c r="UTI142" s="10"/>
      <c r="UTJ142" s="57"/>
      <c r="UTK142" s="10"/>
      <c r="UTL142" s="57"/>
      <c r="UTM142" s="10"/>
      <c r="UTN142" s="57"/>
      <c r="UTO142" s="10"/>
      <c r="UTP142" s="57"/>
      <c r="UTQ142" s="10"/>
      <c r="UTR142" s="57"/>
      <c r="UTS142" s="10"/>
      <c r="UTT142" s="57"/>
      <c r="UTU142" s="10"/>
      <c r="UTV142" s="57"/>
      <c r="UTW142" s="10"/>
      <c r="UTX142" s="57"/>
      <c r="UTY142" s="10"/>
      <c r="UTZ142" s="57"/>
      <c r="UUA142" s="10"/>
      <c r="UUB142" s="57"/>
      <c r="UUC142" s="10"/>
      <c r="UUD142" s="57"/>
      <c r="UUE142" s="10"/>
      <c r="UUF142" s="57"/>
      <c r="UUG142" s="10"/>
      <c r="UUH142" s="57"/>
      <c r="UUI142" s="10"/>
      <c r="UUJ142" s="57"/>
      <c r="UUK142" s="10"/>
      <c r="UUL142" s="57"/>
      <c r="UUM142" s="10"/>
      <c r="UUN142" s="57"/>
      <c r="UUO142" s="10"/>
      <c r="UUP142" s="57"/>
      <c r="UUQ142" s="10"/>
      <c r="UUR142" s="57"/>
      <c r="UUS142" s="10"/>
      <c r="UUT142" s="57"/>
      <c r="UUU142" s="10"/>
      <c r="UUV142" s="57"/>
      <c r="UUW142" s="10"/>
      <c r="UUX142" s="57"/>
      <c r="UUY142" s="10"/>
      <c r="UUZ142" s="57"/>
      <c r="UVA142" s="10"/>
      <c r="UVB142" s="57"/>
      <c r="UVC142" s="10"/>
      <c r="UVD142" s="57"/>
      <c r="UVE142" s="10"/>
      <c r="UVF142" s="57"/>
      <c r="UVG142" s="10"/>
      <c r="UVH142" s="57"/>
      <c r="UVI142" s="10"/>
      <c r="UVJ142" s="57"/>
      <c r="UVK142" s="10"/>
      <c r="UVL142" s="57"/>
      <c r="UVM142" s="10"/>
      <c r="UVN142" s="57"/>
      <c r="UVO142" s="10"/>
      <c r="UVP142" s="57"/>
      <c r="UVQ142" s="10"/>
      <c r="UVR142" s="57"/>
      <c r="UVS142" s="10"/>
      <c r="UVT142" s="57"/>
      <c r="UVU142" s="10"/>
      <c r="UVV142" s="57"/>
      <c r="UVW142" s="10"/>
      <c r="UVX142" s="57"/>
      <c r="UVY142" s="10"/>
      <c r="UVZ142" s="57"/>
      <c r="UWA142" s="10"/>
      <c r="UWB142" s="57"/>
      <c r="UWC142" s="10"/>
      <c r="UWD142" s="57"/>
      <c r="UWE142" s="10"/>
      <c r="UWF142" s="57"/>
      <c r="UWG142" s="10"/>
      <c r="UWH142" s="57"/>
      <c r="UWI142" s="10"/>
      <c r="UWJ142" s="57"/>
      <c r="UWK142" s="10"/>
      <c r="UWL142" s="57"/>
      <c r="UWM142" s="10"/>
      <c r="UWN142" s="57"/>
      <c r="UWO142" s="10"/>
      <c r="UWP142" s="57"/>
      <c r="UWQ142" s="10"/>
      <c r="UWR142" s="57"/>
      <c r="UWS142" s="10"/>
      <c r="UWT142" s="57"/>
      <c r="UWU142" s="10"/>
      <c r="UWV142" s="57"/>
      <c r="UWW142" s="10"/>
      <c r="UWX142" s="57"/>
      <c r="UWY142" s="10"/>
      <c r="UWZ142" s="57"/>
      <c r="UXA142" s="10"/>
      <c r="UXB142" s="57"/>
      <c r="UXC142" s="10"/>
      <c r="UXD142" s="57"/>
      <c r="UXE142" s="10"/>
      <c r="UXF142" s="57"/>
      <c r="UXG142" s="10"/>
      <c r="UXH142" s="57"/>
      <c r="UXI142" s="10"/>
      <c r="UXJ142" s="57"/>
      <c r="UXK142" s="10"/>
      <c r="UXL142" s="57"/>
      <c r="UXM142" s="10"/>
      <c r="UXN142" s="57"/>
      <c r="UXO142" s="10"/>
      <c r="UXP142" s="57"/>
      <c r="UXQ142" s="10"/>
      <c r="UXR142" s="57"/>
      <c r="UXS142" s="10"/>
      <c r="UXT142" s="57"/>
      <c r="UXU142" s="10"/>
      <c r="UXV142" s="57"/>
      <c r="UXW142" s="10"/>
      <c r="UXX142" s="57"/>
      <c r="UXY142" s="10"/>
      <c r="UXZ142" s="57"/>
      <c r="UYA142" s="10"/>
      <c r="UYB142" s="57"/>
      <c r="UYC142" s="10"/>
      <c r="UYD142" s="57"/>
      <c r="UYE142" s="10"/>
      <c r="UYF142" s="57"/>
      <c r="UYG142" s="10"/>
      <c r="UYH142" s="57"/>
      <c r="UYI142" s="10"/>
      <c r="UYJ142" s="57"/>
      <c r="UYK142" s="10"/>
      <c r="UYL142" s="57"/>
      <c r="UYM142" s="10"/>
      <c r="UYN142" s="57"/>
      <c r="UYO142" s="10"/>
      <c r="UYP142" s="57"/>
      <c r="UYQ142" s="10"/>
      <c r="UYR142" s="57"/>
      <c r="UYS142" s="10"/>
      <c r="UYT142" s="57"/>
      <c r="UYU142" s="10"/>
      <c r="UYV142" s="57"/>
      <c r="UYW142" s="10"/>
      <c r="UYX142" s="57"/>
      <c r="UYY142" s="10"/>
      <c r="UYZ142" s="57"/>
      <c r="UZA142" s="10"/>
      <c r="UZB142" s="57"/>
      <c r="UZC142" s="10"/>
      <c r="UZD142" s="57"/>
      <c r="UZE142" s="10"/>
      <c r="UZF142" s="57"/>
      <c r="UZG142" s="10"/>
      <c r="UZH142" s="57"/>
      <c r="UZI142" s="10"/>
      <c r="UZJ142" s="57"/>
      <c r="UZK142" s="10"/>
      <c r="UZL142" s="57"/>
      <c r="UZM142" s="10"/>
      <c r="UZN142" s="57"/>
      <c r="UZO142" s="10"/>
      <c r="UZP142" s="57"/>
      <c r="UZQ142" s="10"/>
      <c r="UZR142" s="57"/>
      <c r="UZS142" s="10"/>
      <c r="UZT142" s="57"/>
      <c r="UZU142" s="10"/>
      <c r="UZV142" s="57"/>
      <c r="UZW142" s="10"/>
      <c r="UZX142" s="57"/>
      <c r="UZY142" s="10"/>
      <c r="UZZ142" s="57"/>
      <c r="VAA142" s="10"/>
      <c r="VAB142" s="57"/>
      <c r="VAC142" s="10"/>
      <c r="VAD142" s="57"/>
      <c r="VAE142" s="10"/>
      <c r="VAF142" s="57"/>
      <c r="VAG142" s="10"/>
      <c r="VAH142" s="57"/>
      <c r="VAI142" s="10"/>
      <c r="VAJ142" s="57"/>
      <c r="VAK142" s="10"/>
      <c r="VAL142" s="57"/>
      <c r="VAM142" s="10"/>
      <c r="VAN142" s="57"/>
      <c r="VAO142" s="10"/>
      <c r="VAP142" s="57"/>
      <c r="VAQ142" s="10"/>
      <c r="VAR142" s="57"/>
      <c r="VAS142" s="10"/>
      <c r="VAT142" s="57"/>
      <c r="VAU142" s="10"/>
      <c r="VAV142" s="57"/>
      <c r="VAW142" s="10"/>
      <c r="VAX142" s="57"/>
      <c r="VAY142" s="10"/>
      <c r="VAZ142" s="57"/>
      <c r="VBA142" s="10"/>
      <c r="VBB142" s="57"/>
      <c r="VBC142" s="10"/>
      <c r="VBD142" s="57"/>
      <c r="VBE142" s="10"/>
      <c r="VBF142" s="57"/>
      <c r="VBG142" s="10"/>
      <c r="VBH142" s="57"/>
      <c r="VBI142" s="10"/>
      <c r="VBJ142" s="57"/>
      <c r="VBK142" s="10"/>
      <c r="VBL142" s="57"/>
      <c r="VBM142" s="10"/>
      <c r="VBN142" s="57"/>
      <c r="VBO142" s="10"/>
      <c r="VBP142" s="57"/>
      <c r="VBQ142" s="10"/>
      <c r="VBR142" s="57"/>
      <c r="VBS142" s="10"/>
      <c r="VBT142" s="57"/>
      <c r="VBU142" s="10"/>
      <c r="VBV142" s="57"/>
      <c r="VBW142" s="10"/>
      <c r="VBX142" s="57"/>
      <c r="VBY142" s="10"/>
      <c r="VBZ142" s="57"/>
      <c r="VCA142" s="10"/>
      <c r="VCB142" s="57"/>
      <c r="VCC142" s="10"/>
      <c r="VCD142" s="57"/>
      <c r="VCE142" s="10"/>
      <c r="VCF142" s="57"/>
      <c r="VCG142" s="10"/>
      <c r="VCH142" s="57"/>
      <c r="VCI142" s="10"/>
      <c r="VCJ142" s="57"/>
      <c r="VCK142" s="10"/>
      <c r="VCL142" s="57"/>
      <c r="VCM142" s="10"/>
      <c r="VCN142" s="57"/>
      <c r="VCO142" s="10"/>
      <c r="VCP142" s="57"/>
      <c r="VCQ142" s="10"/>
      <c r="VCR142" s="57"/>
      <c r="VCS142" s="10"/>
      <c r="VCT142" s="57"/>
      <c r="VCU142" s="10"/>
      <c r="VCV142" s="57"/>
      <c r="VCW142" s="10"/>
      <c r="VCX142" s="57"/>
      <c r="VCY142" s="10"/>
      <c r="VCZ142" s="57"/>
      <c r="VDA142" s="10"/>
      <c r="VDB142" s="57"/>
      <c r="VDC142" s="10"/>
      <c r="VDD142" s="57"/>
      <c r="VDE142" s="10"/>
      <c r="VDF142" s="57"/>
      <c r="VDG142" s="10"/>
      <c r="VDH142" s="57"/>
      <c r="VDI142" s="10"/>
      <c r="VDJ142" s="57"/>
      <c r="VDK142" s="10"/>
      <c r="VDL142" s="57"/>
      <c r="VDM142" s="10"/>
      <c r="VDN142" s="57"/>
      <c r="VDO142" s="10"/>
      <c r="VDP142" s="57"/>
      <c r="VDQ142" s="10"/>
      <c r="VDR142" s="57"/>
      <c r="VDS142" s="10"/>
      <c r="VDT142" s="57"/>
      <c r="VDU142" s="10"/>
      <c r="VDV142" s="57"/>
      <c r="VDW142" s="10"/>
      <c r="VDX142" s="57"/>
      <c r="VDY142" s="10"/>
      <c r="VDZ142" s="57"/>
      <c r="VEA142" s="10"/>
      <c r="VEB142" s="57"/>
      <c r="VEC142" s="10"/>
      <c r="VED142" s="57"/>
      <c r="VEE142" s="10"/>
      <c r="VEF142" s="57"/>
      <c r="VEG142" s="10"/>
      <c r="VEH142" s="57"/>
      <c r="VEI142" s="10"/>
      <c r="VEJ142" s="57"/>
      <c r="VEK142" s="10"/>
      <c r="VEL142" s="57"/>
      <c r="VEM142" s="10"/>
      <c r="VEN142" s="57"/>
      <c r="VEO142" s="10"/>
      <c r="VEP142" s="57"/>
      <c r="VEQ142" s="10"/>
      <c r="VER142" s="57"/>
      <c r="VES142" s="10"/>
      <c r="VET142" s="57"/>
      <c r="VEU142" s="10"/>
      <c r="VEV142" s="57"/>
      <c r="VEW142" s="10"/>
      <c r="VEX142" s="57"/>
      <c r="VEY142" s="10"/>
      <c r="VEZ142" s="57"/>
      <c r="VFA142" s="10"/>
      <c r="VFB142" s="57"/>
      <c r="VFC142" s="10"/>
      <c r="VFD142" s="57"/>
      <c r="VFE142" s="10"/>
      <c r="VFF142" s="57"/>
      <c r="VFG142" s="10"/>
      <c r="VFH142" s="57"/>
      <c r="VFI142" s="10"/>
      <c r="VFJ142" s="57"/>
      <c r="VFK142" s="10"/>
      <c r="VFL142" s="57"/>
      <c r="VFM142" s="10"/>
      <c r="VFN142" s="57"/>
      <c r="VFO142" s="10"/>
      <c r="VFP142" s="57"/>
      <c r="VFQ142" s="10"/>
      <c r="VFR142" s="57"/>
      <c r="VFS142" s="10"/>
      <c r="VFT142" s="57"/>
      <c r="VFU142" s="10"/>
      <c r="VFV142" s="57"/>
      <c r="VFW142" s="10"/>
      <c r="VFX142" s="57"/>
      <c r="VFY142" s="10"/>
      <c r="VFZ142" s="57"/>
      <c r="VGA142" s="10"/>
      <c r="VGB142" s="57"/>
      <c r="VGC142" s="10"/>
      <c r="VGD142" s="57"/>
      <c r="VGE142" s="10"/>
      <c r="VGF142" s="57"/>
      <c r="VGG142" s="10"/>
      <c r="VGH142" s="57"/>
      <c r="VGI142" s="10"/>
      <c r="VGJ142" s="57"/>
      <c r="VGK142" s="10"/>
      <c r="VGL142" s="57"/>
      <c r="VGM142" s="10"/>
      <c r="VGN142" s="57"/>
      <c r="VGO142" s="10"/>
      <c r="VGP142" s="57"/>
      <c r="VGQ142" s="10"/>
      <c r="VGR142" s="57"/>
      <c r="VGS142" s="10"/>
      <c r="VGT142" s="57"/>
      <c r="VGU142" s="10"/>
      <c r="VGV142" s="57"/>
      <c r="VGW142" s="10"/>
      <c r="VGX142" s="57"/>
      <c r="VGY142" s="10"/>
      <c r="VGZ142" s="57"/>
      <c r="VHA142" s="10"/>
      <c r="VHB142" s="57"/>
      <c r="VHC142" s="10"/>
      <c r="VHD142" s="57"/>
      <c r="VHE142" s="10"/>
      <c r="VHF142" s="57"/>
      <c r="VHG142" s="10"/>
      <c r="VHH142" s="57"/>
      <c r="VHI142" s="10"/>
      <c r="VHJ142" s="57"/>
      <c r="VHK142" s="10"/>
      <c r="VHL142" s="57"/>
      <c r="VHM142" s="10"/>
      <c r="VHN142" s="57"/>
      <c r="VHO142" s="10"/>
      <c r="VHP142" s="57"/>
      <c r="VHQ142" s="10"/>
      <c r="VHR142" s="57"/>
      <c r="VHS142" s="10"/>
      <c r="VHT142" s="57"/>
      <c r="VHU142" s="10"/>
      <c r="VHV142" s="57"/>
      <c r="VHW142" s="10"/>
      <c r="VHX142" s="57"/>
      <c r="VHY142" s="10"/>
      <c r="VHZ142" s="57"/>
      <c r="VIA142" s="10"/>
      <c r="VIB142" s="57"/>
      <c r="VIC142" s="10"/>
      <c r="VID142" s="57"/>
      <c r="VIE142" s="10"/>
      <c r="VIF142" s="57"/>
      <c r="VIG142" s="10"/>
      <c r="VIH142" s="57"/>
      <c r="VII142" s="10"/>
      <c r="VIJ142" s="57"/>
      <c r="VIK142" s="10"/>
      <c r="VIL142" s="57"/>
      <c r="VIM142" s="10"/>
      <c r="VIN142" s="57"/>
      <c r="VIO142" s="10"/>
      <c r="VIP142" s="57"/>
      <c r="VIQ142" s="10"/>
      <c r="VIR142" s="57"/>
      <c r="VIS142" s="10"/>
      <c r="VIT142" s="57"/>
      <c r="VIU142" s="10"/>
      <c r="VIV142" s="57"/>
      <c r="VIW142" s="10"/>
      <c r="VIX142" s="57"/>
      <c r="VIY142" s="10"/>
      <c r="VIZ142" s="57"/>
      <c r="VJA142" s="10"/>
      <c r="VJB142" s="57"/>
      <c r="VJC142" s="10"/>
      <c r="VJD142" s="57"/>
      <c r="VJE142" s="10"/>
      <c r="VJF142" s="57"/>
      <c r="VJG142" s="10"/>
      <c r="VJH142" s="57"/>
      <c r="VJI142" s="10"/>
      <c r="VJJ142" s="57"/>
      <c r="VJK142" s="10"/>
      <c r="VJL142" s="57"/>
      <c r="VJM142" s="10"/>
      <c r="VJN142" s="57"/>
      <c r="VJO142" s="10"/>
      <c r="VJP142" s="57"/>
      <c r="VJQ142" s="10"/>
      <c r="VJR142" s="57"/>
      <c r="VJS142" s="10"/>
      <c r="VJT142" s="57"/>
      <c r="VJU142" s="10"/>
      <c r="VJV142" s="57"/>
      <c r="VJW142" s="10"/>
      <c r="VJX142" s="57"/>
      <c r="VJY142" s="10"/>
      <c r="VJZ142" s="57"/>
      <c r="VKA142" s="10"/>
      <c r="VKB142" s="57"/>
      <c r="VKC142" s="10"/>
      <c r="VKD142" s="57"/>
      <c r="VKE142" s="10"/>
      <c r="VKF142" s="57"/>
      <c r="VKG142" s="10"/>
      <c r="VKH142" s="57"/>
      <c r="VKI142" s="10"/>
      <c r="VKJ142" s="57"/>
      <c r="VKK142" s="10"/>
      <c r="VKL142" s="57"/>
      <c r="VKM142" s="10"/>
      <c r="VKN142" s="57"/>
      <c r="VKO142" s="10"/>
      <c r="VKP142" s="57"/>
      <c r="VKQ142" s="10"/>
      <c r="VKR142" s="57"/>
      <c r="VKS142" s="10"/>
      <c r="VKT142" s="57"/>
      <c r="VKU142" s="10"/>
      <c r="VKV142" s="57"/>
      <c r="VKW142" s="10"/>
      <c r="VKX142" s="57"/>
      <c r="VKY142" s="10"/>
      <c r="VKZ142" s="57"/>
      <c r="VLA142" s="10"/>
      <c r="VLB142" s="57"/>
      <c r="VLC142" s="10"/>
      <c r="VLD142" s="57"/>
      <c r="VLE142" s="10"/>
      <c r="VLF142" s="57"/>
      <c r="VLG142" s="10"/>
      <c r="VLH142" s="57"/>
      <c r="VLI142" s="10"/>
      <c r="VLJ142" s="57"/>
      <c r="VLK142" s="10"/>
      <c r="VLL142" s="57"/>
      <c r="VLM142" s="10"/>
      <c r="VLN142" s="57"/>
      <c r="VLO142" s="10"/>
      <c r="VLP142" s="57"/>
      <c r="VLQ142" s="10"/>
      <c r="VLR142" s="57"/>
      <c r="VLS142" s="10"/>
      <c r="VLT142" s="57"/>
      <c r="VLU142" s="10"/>
      <c r="VLV142" s="57"/>
      <c r="VLW142" s="10"/>
      <c r="VLX142" s="57"/>
      <c r="VLY142" s="10"/>
      <c r="VLZ142" s="57"/>
      <c r="VMA142" s="10"/>
      <c r="VMB142" s="57"/>
      <c r="VMC142" s="10"/>
      <c r="VMD142" s="57"/>
      <c r="VME142" s="10"/>
      <c r="VMF142" s="57"/>
      <c r="VMG142" s="10"/>
      <c r="VMH142" s="57"/>
      <c r="VMI142" s="10"/>
      <c r="VMJ142" s="57"/>
      <c r="VMK142" s="10"/>
      <c r="VML142" s="57"/>
      <c r="VMM142" s="10"/>
      <c r="VMN142" s="57"/>
      <c r="VMO142" s="10"/>
      <c r="VMP142" s="57"/>
      <c r="VMQ142" s="10"/>
      <c r="VMR142" s="57"/>
      <c r="VMS142" s="10"/>
      <c r="VMT142" s="57"/>
      <c r="VMU142" s="10"/>
      <c r="VMV142" s="57"/>
      <c r="VMW142" s="10"/>
      <c r="VMX142" s="57"/>
      <c r="VMY142" s="10"/>
      <c r="VMZ142" s="57"/>
      <c r="VNA142" s="10"/>
      <c r="VNB142" s="57"/>
      <c r="VNC142" s="10"/>
      <c r="VND142" s="57"/>
      <c r="VNE142" s="10"/>
      <c r="VNF142" s="57"/>
      <c r="VNG142" s="10"/>
      <c r="VNH142" s="57"/>
      <c r="VNI142" s="10"/>
      <c r="VNJ142" s="57"/>
      <c r="VNK142" s="10"/>
      <c r="VNL142" s="57"/>
      <c r="VNM142" s="10"/>
      <c r="VNN142" s="57"/>
      <c r="VNO142" s="10"/>
      <c r="VNP142" s="57"/>
      <c r="VNQ142" s="10"/>
      <c r="VNR142" s="57"/>
      <c r="VNS142" s="10"/>
      <c r="VNT142" s="57"/>
      <c r="VNU142" s="10"/>
      <c r="VNV142" s="57"/>
      <c r="VNW142" s="10"/>
      <c r="VNX142" s="57"/>
      <c r="VNY142" s="10"/>
      <c r="VNZ142" s="57"/>
      <c r="VOA142" s="10"/>
      <c r="VOB142" s="57"/>
      <c r="VOC142" s="10"/>
      <c r="VOD142" s="57"/>
      <c r="VOE142" s="10"/>
      <c r="VOF142" s="57"/>
      <c r="VOG142" s="10"/>
      <c r="VOH142" s="57"/>
      <c r="VOI142" s="10"/>
      <c r="VOJ142" s="57"/>
      <c r="VOK142" s="10"/>
      <c r="VOL142" s="57"/>
      <c r="VOM142" s="10"/>
      <c r="VON142" s="57"/>
      <c r="VOO142" s="10"/>
      <c r="VOP142" s="57"/>
      <c r="VOQ142" s="10"/>
      <c r="VOR142" s="57"/>
      <c r="VOS142" s="10"/>
      <c r="VOT142" s="57"/>
      <c r="VOU142" s="10"/>
      <c r="VOV142" s="57"/>
      <c r="VOW142" s="10"/>
      <c r="VOX142" s="57"/>
      <c r="VOY142" s="10"/>
      <c r="VOZ142" s="57"/>
      <c r="VPA142" s="10"/>
      <c r="VPB142" s="57"/>
      <c r="VPC142" s="10"/>
      <c r="VPD142" s="57"/>
      <c r="VPE142" s="10"/>
      <c r="VPF142" s="57"/>
      <c r="VPG142" s="10"/>
      <c r="VPH142" s="57"/>
      <c r="VPI142" s="10"/>
      <c r="VPJ142" s="57"/>
      <c r="VPK142" s="10"/>
      <c r="VPL142" s="57"/>
      <c r="VPM142" s="10"/>
      <c r="VPN142" s="57"/>
      <c r="VPO142" s="10"/>
      <c r="VPP142" s="57"/>
      <c r="VPQ142" s="10"/>
      <c r="VPR142" s="57"/>
      <c r="VPS142" s="10"/>
      <c r="VPT142" s="57"/>
      <c r="VPU142" s="10"/>
      <c r="VPV142" s="57"/>
      <c r="VPW142" s="10"/>
      <c r="VPX142" s="57"/>
      <c r="VPY142" s="10"/>
      <c r="VPZ142" s="57"/>
      <c r="VQA142" s="10"/>
      <c r="VQB142" s="57"/>
      <c r="VQC142" s="10"/>
      <c r="VQD142" s="57"/>
      <c r="VQE142" s="10"/>
      <c r="VQF142" s="57"/>
      <c r="VQG142" s="10"/>
      <c r="VQH142" s="57"/>
      <c r="VQI142" s="10"/>
      <c r="VQJ142" s="57"/>
      <c r="VQK142" s="10"/>
      <c r="VQL142" s="57"/>
      <c r="VQM142" s="10"/>
      <c r="VQN142" s="57"/>
      <c r="VQO142" s="10"/>
      <c r="VQP142" s="57"/>
      <c r="VQQ142" s="10"/>
      <c r="VQR142" s="57"/>
      <c r="VQS142" s="10"/>
      <c r="VQT142" s="57"/>
      <c r="VQU142" s="10"/>
      <c r="VQV142" s="57"/>
      <c r="VQW142" s="10"/>
      <c r="VQX142" s="57"/>
      <c r="VQY142" s="10"/>
      <c r="VQZ142" s="57"/>
      <c r="VRA142" s="10"/>
      <c r="VRB142" s="57"/>
      <c r="VRC142" s="10"/>
      <c r="VRD142" s="57"/>
      <c r="VRE142" s="10"/>
      <c r="VRF142" s="57"/>
      <c r="VRG142" s="10"/>
      <c r="VRH142" s="57"/>
      <c r="VRI142" s="10"/>
      <c r="VRJ142" s="57"/>
      <c r="VRK142" s="10"/>
      <c r="VRL142" s="57"/>
      <c r="VRM142" s="10"/>
      <c r="VRN142" s="57"/>
      <c r="VRO142" s="10"/>
      <c r="VRP142" s="57"/>
      <c r="VRQ142" s="10"/>
      <c r="VRR142" s="57"/>
      <c r="VRS142" s="10"/>
      <c r="VRT142" s="57"/>
      <c r="VRU142" s="10"/>
      <c r="VRV142" s="57"/>
      <c r="VRW142" s="10"/>
      <c r="VRX142" s="57"/>
      <c r="VRY142" s="10"/>
      <c r="VRZ142" s="57"/>
      <c r="VSA142" s="10"/>
      <c r="VSB142" s="57"/>
      <c r="VSC142" s="10"/>
      <c r="VSD142" s="57"/>
      <c r="VSE142" s="10"/>
      <c r="VSF142" s="57"/>
      <c r="VSG142" s="10"/>
      <c r="VSH142" s="57"/>
      <c r="VSI142" s="10"/>
      <c r="VSJ142" s="57"/>
      <c r="VSK142" s="10"/>
      <c r="VSL142" s="57"/>
      <c r="VSM142" s="10"/>
      <c r="VSN142" s="57"/>
      <c r="VSO142" s="10"/>
      <c r="VSP142" s="57"/>
      <c r="VSQ142" s="10"/>
      <c r="VSR142" s="57"/>
      <c r="VSS142" s="10"/>
      <c r="VST142" s="57"/>
      <c r="VSU142" s="10"/>
      <c r="VSV142" s="57"/>
      <c r="VSW142" s="10"/>
      <c r="VSX142" s="57"/>
      <c r="VSY142" s="10"/>
      <c r="VSZ142" s="57"/>
      <c r="VTA142" s="10"/>
      <c r="VTB142" s="57"/>
      <c r="VTC142" s="10"/>
      <c r="VTD142" s="57"/>
      <c r="VTE142" s="10"/>
      <c r="VTF142" s="57"/>
      <c r="VTG142" s="10"/>
      <c r="VTH142" s="57"/>
      <c r="VTI142" s="10"/>
      <c r="VTJ142" s="57"/>
      <c r="VTK142" s="10"/>
      <c r="VTL142" s="57"/>
      <c r="VTM142" s="10"/>
      <c r="VTN142" s="57"/>
      <c r="VTO142" s="10"/>
      <c r="VTP142" s="57"/>
      <c r="VTQ142" s="10"/>
      <c r="VTR142" s="57"/>
      <c r="VTS142" s="10"/>
      <c r="VTT142" s="57"/>
      <c r="VTU142" s="10"/>
      <c r="VTV142" s="57"/>
      <c r="VTW142" s="10"/>
      <c r="VTX142" s="57"/>
      <c r="VTY142" s="10"/>
      <c r="VTZ142" s="57"/>
      <c r="VUA142" s="10"/>
      <c r="VUB142" s="57"/>
      <c r="VUC142" s="10"/>
      <c r="VUD142" s="57"/>
      <c r="VUE142" s="10"/>
      <c r="VUF142" s="57"/>
      <c r="VUG142" s="10"/>
      <c r="VUH142" s="57"/>
      <c r="VUI142" s="10"/>
      <c r="VUJ142" s="57"/>
      <c r="VUK142" s="10"/>
      <c r="VUL142" s="57"/>
      <c r="VUM142" s="10"/>
      <c r="VUN142" s="57"/>
      <c r="VUO142" s="10"/>
      <c r="VUP142" s="57"/>
      <c r="VUQ142" s="10"/>
      <c r="VUR142" s="57"/>
      <c r="VUS142" s="10"/>
      <c r="VUT142" s="57"/>
      <c r="VUU142" s="10"/>
      <c r="VUV142" s="57"/>
      <c r="VUW142" s="10"/>
      <c r="VUX142" s="57"/>
      <c r="VUY142" s="10"/>
      <c r="VUZ142" s="57"/>
      <c r="VVA142" s="10"/>
      <c r="VVB142" s="57"/>
      <c r="VVC142" s="10"/>
      <c r="VVD142" s="57"/>
      <c r="VVE142" s="10"/>
      <c r="VVF142" s="57"/>
      <c r="VVG142" s="10"/>
      <c r="VVH142" s="57"/>
      <c r="VVI142" s="10"/>
      <c r="VVJ142" s="57"/>
      <c r="VVK142" s="10"/>
      <c r="VVL142" s="57"/>
      <c r="VVM142" s="10"/>
      <c r="VVN142" s="57"/>
      <c r="VVO142" s="10"/>
      <c r="VVP142" s="57"/>
      <c r="VVQ142" s="10"/>
      <c r="VVR142" s="57"/>
      <c r="VVS142" s="10"/>
      <c r="VVT142" s="57"/>
      <c r="VVU142" s="10"/>
      <c r="VVV142" s="57"/>
      <c r="VVW142" s="10"/>
      <c r="VVX142" s="57"/>
      <c r="VVY142" s="10"/>
      <c r="VVZ142" s="57"/>
      <c r="VWA142" s="10"/>
      <c r="VWB142" s="57"/>
      <c r="VWC142" s="10"/>
      <c r="VWD142" s="57"/>
      <c r="VWE142" s="10"/>
      <c r="VWF142" s="57"/>
      <c r="VWG142" s="10"/>
      <c r="VWH142" s="57"/>
      <c r="VWI142" s="10"/>
      <c r="VWJ142" s="57"/>
      <c r="VWK142" s="10"/>
      <c r="VWL142" s="57"/>
      <c r="VWM142" s="10"/>
      <c r="VWN142" s="57"/>
      <c r="VWO142" s="10"/>
      <c r="VWP142" s="57"/>
      <c r="VWQ142" s="10"/>
      <c r="VWR142" s="57"/>
      <c r="VWS142" s="10"/>
      <c r="VWT142" s="57"/>
      <c r="VWU142" s="10"/>
      <c r="VWV142" s="57"/>
      <c r="VWW142" s="10"/>
      <c r="VWX142" s="57"/>
      <c r="VWY142" s="10"/>
      <c r="VWZ142" s="57"/>
      <c r="VXA142" s="10"/>
      <c r="VXB142" s="57"/>
      <c r="VXC142" s="10"/>
      <c r="VXD142" s="57"/>
      <c r="VXE142" s="10"/>
      <c r="VXF142" s="57"/>
      <c r="VXG142" s="10"/>
      <c r="VXH142" s="57"/>
      <c r="VXI142" s="10"/>
      <c r="VXJ142" s="57"/>
      <c r="VXK142" s="10"/>
      <c r="VXL142" s="57"/>
      <c r="VXM142" s="10"/>
      <c r="VXN142" s="57"/>
      <c r="VXO142" s="10"/>
      <c r="VXP142" s="57"/>
      <c r="VXQ142" s="10"/>
      <c r="VXR142" s="57"/>
      <c r="VXS142" s="10"/>
      <c r="VXT142" s="57"/>
      <c r="VXU142" s="10"/>
      <c r="VXV142" s="57"/>
      <c r="VXW142" s="10"/>
      <c r="VXX142" s="57"/>
      <c r="VXY142" s="10"/>
      <c r="VXZ142" s="57"/>
      <c r="VYA142" s="10"/>
      <c r="VYB142" s="57"/>
      <c r="VYC142" s="10"/>
      <c r="VYD142" s="57"/>
      <c r="VYE142" s="10"/>
      <c r="VYF142" s="57"/>
      <c r="VYG142" s="10"/>
      <c r="VYH142" s="57"/>
      <c r="VYI142" s="10"/>
      <c r="VYJ142" s="57"/>
      <c r="VYK142" s="10"/>
      <c r="VYL142" s="57"/>
      <c r="VYM142" s="10"/>
      <c r="VYN142" s="57"/>
      <c r="VYO142" s="10"/>
      <c r="VYP142" s="57"/>
      <c r="VYQ142" s="10"/>
      <c r="VYR142" s="57"/>
      <c r="VYS142" s="10"/>
      <c r="VYT142" s="57"/>
      <c r="VYU142" s="10"/>
      <c r="VYV142" s="57"/>
      <c r="VYW142" s="10"/>
      <c r="VYX142" s="57"/>
      <c r="VYY142" s="10"/>
      <c r="VYZ142" s="57"/>
      <c r="VZA142" s="10"/>
      <c r="VZB142" s="57"/>
      <c r="VZC142" s="10"/>
      <c r="VZD142" s="57"/>
      <c r="VZE142" s="10"/>
      <c r="VZF142" s="57"/>
      <c r="VZG142" s="10"/>
      <c r="VZH142" s="57"/>
      <c r="VZI142" s="10"/>
      <c r="VZJ142" s="57"/>
      <c r="VZK142" s="10"/>
      <c r="VZL142" s="57"/>
      <c r="VZM142" s="10"/>
      <c r="VZN142" s="57"/>
      <c r="VZO142" s="10"/>
      <c r="VZP142" s="57"/>
      <c r="VZQ142" s="10"/>
      <c r="VZR142" s="57"/>
      <c r="VZS142" s="10"/>
      <c r="VZT142" s="57"/>
      <c r="VZU142" s="10"/>
      <c r="VZV142" s="57"/>
      <c r="VZW142" s="10"/>
      <c r="VZX142" s="57"/>
      <c r="VZY142" s="10"/>
      <c r="VZZ142" s="57"/>
      <c r="WAA142" s="10"/>
      <c r="WAB142" s="57"/>
      <c r="WAC142" s="10"/>
      <c r="WAD142" s="57"/>
      <c r="WAE142" s="10"/>
      <c r="WAF142" s="57"/>
      <c r="WAG142" s="10"/>
      <c r="WAH142" s="57"/>
      <c r="WAI142" s="10"/>
      <c r="WAJ142" s="57"/>
      <c r="WAK142" s="10"/>
      <c r="WAL142" s="57"/>
      <c r="WAM142" s="10"/>
      <c r="WAN142" s="57"/>
      <c r="WAO142" s="10"/>
      <c r="WAP142" s="57"/>
      <c r="WAQ142" s="10"/>
      <c r="WAR142" s="57"/>
      <c r="WAS142" s="10"/>
      <c r="WAT142" s="57"/>
      <c r="WAU142" s="10"/>
      <c r="WAV142" s="57"/>
      <c r="WAW142" s="10"/>
      <c r="WAX142" s="57"/>
      <c r="WAY142" s="10"/>
      <c r="WAZ142" s="57"/>
      <c r="WBA142" s="10"/>
      <c r="WBB142" s="57"/>
      <c r="WBC142" s="10"/>
      <c r="WBD142" s="57"/>
      <c r="WBE142" s="10"/>
      <c r="WBF142" s="57"/>
      <c r="WBG142" s="10"/>
      <c r="WBH142" s="57"/>
      <c r="WBI142" s="10"/>
      <c r="WBJ142" s="57"/>
      <c r="WBK142" s="10"/>
      <c r="WBL142" s="57"/>
      <c r="WBM142" s="10"/>
      <c r="WBN142" s="57"/>
      <c r="WBO142" s="10"/>
      <c r="WBP142" s="57"/>
      <c r="WBQ142" s="10"/>
      <c r="WBR142" s="57"/>
      <c r="WBS142" s="10"/>
      <c r="WBT142" s="57"/>
      <c r="WBU142" s="10"/>
      <c r="WBV142" s="57"/>
      <c r="WBW142" s="10"/>
      <c r="WBX142" s="57"/>
      <c r="WBY142" s="10"/>
      <c r="WBZ142" s="57"/>
      <c r="WCA142" s="10"/>
      <c r="WCB142" s="57"/>
      <c r="WCC142" s="10"/>
      <c r="WCD142" s="57"/>
      <c r="WCE142" s="10"/>
      <c r="WCF142" s="57"/>
      <c r="WCG142" s="10"/>
      <c r="WCH142" s="57"/>
      <c r="WCI142" s="10"/>
      <c r="WCJ142" s="57"/>
      <c r="WCK142" s="10"/>
      <c r="WCL142" s="57"/>
      <c r="WCM142" s="10"/>
      <c r="WCN142" s="57"/>
      <c r="WCO142" s="10"/>
      <c r="WCP142" s="57"/>
      <c r="WCQ142" s="10"/>
      <c r="WCR142" s="57"/>
      <c r="WCS142" s="10"/>
      <c r="WCT142" s="57"/>
      <c r="WCU142" s="10"/>
      <c r="WCV142" s="57"/>
      <c r="WCW142" s="10"/>
      <c r="WCX142" s="57"/>
      <c r="WCY142" s="10"/>
      <c r="WCZ142" s="57"/>
      <c r="WDA142" s="10"/>
      <c r="WDB142" s="57"/>
      <c r="WDC142" s="10"/>
      <c r="WDD142" s="57"/>
      <c r="WDE142" s="10"/>
      <c r="WDF142" s="57"/>
      <c r="WDG142" s="10"/>
      <c r="WDH142" s="57"/>
      <c r="WDI142" s="10"/>
      <c r="WDJ142" s="57"/>
      <c r="WDK142" s="10"/>
      <c r="WDL142" s="57"/>
      <c r="WDM142" s="10"/>
      <c r="WDN142" s="57"/>
      <c r="WDO142" s="10"/>
      <c r="WDP142" s="57"/>
      <c r="WDQ142" s="10"/>
      <c r="WDR142" s="57"/>
      <c r="WDS142" s="10"/>
      <c r="WDT142" s="57"/>
      <c r="WDU142" s="10"/>
      <c r="WDV142" s="57"/>
      <c r="WDW142" s="10"/>
      <c r="WDX142" s="57"/>
      <c r="WDY142" s="10"/>
      <c r="WDZ142" s="57"/>
      <c r="WEA142" s="10"/>
      <c r="WEB142" s="57"/>
      <c r="WEC142" s="10"/>
      <c r="WED142" s="57"/>
      <c r="WEE142" s="10"/>
      <c r="WEF142" s="57"/>
      <c r="WEG142" s="10"/>
      <c r="WEH142" s="57"/>
      <c r="WEI142" s="10"/>
      <c r="WEJ142" s="57"/>
      <c r="WEK142" s="10"/>
      <c r="WEL142" s="57"/>
      <c r="WEM142" s="10"/>
      <c r="WEN142" s="57"/>
      <c r="WEO142" s="10"/>
      <c r="WEP142" s="57"/>
      <c r="WEQ142" s="10"/>
      <c r="WER142" s="57"/>
      <c r="WES142" s="10"/>
      <c r="WET142" s="57"/>
      <c r="WEU142" s="10"/>
      <c r="WEV142" s="57"/>
      <c r="WEW142" s="10"/>
      <c r="WEX142" s="57"/>
      <c r="WEY142" s="10"/>
      <c r="WEZ142" s="57"/>
      <c r="WFA142" s="10"/>
      <c r="WFB142" s="57"/>
      <c r="WFC142" s="10"/>
      <c r="WFD142" s="57"/>
      <c r="WFE142" s="10"/>
      <c r="WFF142" s="57"/>
      <c r="WFG142" s="10"/>
      <c r="WFH142" s="57"/>
      <c r="WFI142" s="10"/>
      <c r="WFJ142" s="57"/>
      <c r="WFK142" s="10"/>
      <c r="WFL142" s="57"/>
      <c r="WFM142" s="10"/>
      <c r="WFN142" s="57"/>
      <c r="WFO142" s="10"/>
      <c r="WFP142" s="57"/>
      <c r="WFQ142" s="10"/>
      <c r="WFR142" s="57"/>
      <c r="WFS142" s="10"/>
      <c r="WFT142" s="57"/>
      <c r="WFU142" s="10"/>
      <c r="WFV142" s="57"/>
      <c r="WFW142" s="10"/>
      <c r="WFX142" s="57"/>
      <c r="WFY142" s="10"/>
      <c r="WFZ142" s="57"/>
      <c r="WGA142" s="10"/>
      <c r="WGB142" s="57"/>
      <c r="WGC142" s="10"/>
      <c r="WGD142" s="57"/>
      <c r="WGE142" s="10"/>
      <c r="WGF142" s="57"/>
      <c r="WGG142" s="10"/>
      <c r="WGH142" s="57"/>
      <c r="WGI142" s="10"/>
      <c r="WGJ142" s="57"/>
      <c r="WGK142" s="10"/>
      <c r="WGL142" s="57"/>
      <c r="WGM142" s="10"/>
      <c r="WGN142" s="57"/>
      <c r="WGO142" s="10"/>
      <c r="WGP142" s="57"/>
      <c r="WGQ142" s="10"/>
      <c r="WGR142" s="57"/>
      <c r="WGS142" s="10"/>
      <c r="WGT142" s="57"/>
      <c r="WGU142" s="10"/>
      <c r="WGV142" s="57"/>
      <c r="WGW142" s="10"/>
      <c r="WGX142" s="57"/>
      <c r="WGY142" s="10"/>
      <c r="WGZ142" s="57"/>
      <c r="WHA142" s="10"/>
      <c r="WHB142" s="57"/>
      <c r="WHC142" s="10"/>
      <c r="WHD142" s="57"/>
      <c r="WHE142" s="10"/>
      <c r="WHF142" s="57"/>
      <c r="WHG142" s="10"/>
      <c r="WHH142" s="57"/>
      <c r="WHI142" s="10"/>
      <c r="WHJ142" s="57"/>
      <c r="WHK142" s="10"/>
      <c r="WHL142" s="57"/>
      <c r="WHM142" s="10"/>
      <c r="WHN142" s="57"/>
      <c r="WHO142" s="10"/>
      <c r="WHP142" s="57"/>
      <c r="WHQ142" s="10"/>
      <c r="WHR142" s="57"/>
      <c r="WHS142" s="10"/>
      <c r="WHT142" s="57"/>
      <c r="WHU142" s="10"/>
      <c r="WHV142" s="57"/>
      <c r="WHW142" s="10"/>
      <c r="WHX142" s="57"/>
      <c r="WHY142" s="10"/>
      <c r="WHZ142" s="57"/>
      <c r="WIA142" s="10"/>
      <c r="WIB142" s="57"/>
      <c r="WIC142" s="10"/>
      <c r="WID142" s="57"/>
      <c r="WIE142" s="10"/>
      <c r="WIF142" s="57"/>
      <c r="WIG142" s="10"/>
      <c r="WIH142" s="57"/>
      <c r="WII142" s="10"/>
      <c r="WIJ142" s="57"/>
      <c r="WIK142" s="10"/>
      <c r="WIL142" s="57"/>
      <c r="WIM142" s="10"/>
      <c r="WIN142" s="57"/>
      <c r="WIO142" s="10"/>
      <c r="WIP142" s="57"/>
      <c r="WIQ142" s="10"/>
      <c r="WIR142" s="57"/>
      <c r="WIS142" s="10"/>
      <c r="WIT142" s="57"/>
      <c r="WIU142" s="10"/>
      <c r="WIV142" s="57"/>
      <c r="WIW142" s="10"/>
      <c r="WIX142" s="57"/>
      <c r="WIY142" s="10"/>
      <c r="WIZ142" s="57"/>
      <c r="WJA142" s="10"/>
      <c r="WJB142" s="57"/>
      <c r="WJC142" s="10"/>
      <c r="WJD142" s="57"/>
      <c r="WJE142" s="10"/>
      <c r="WJF142" s="57"/>
      <c r="WJG142" s="10"/>
      <c r="WJH142" s="57"/>
      <c r="WJI142" s="10"/>
      <c r="WJJ142" s="57"/>
      <c r="WJK142" s="10"/>
      <c r="WJL142" s="57"/>
      <c r="WJM142" s="10"/>
      <c r="WJN142" s="57"/>
      <c r="WJO142" s="10"/>
      <c r="WJP142" s="57"/>
      <c r="WJQ142" s="10"/>
      <c r="WJR142" s="57"/>
      <c r="WJS142" s="10"/>
      <c r="WJT142" s="57"/>
      <c r="WJU142" s="10"/>
      <c r="WJV142" s="57"/>
      <c r="WJW142" s="10"/>
      <c r="WJX142" s="57"/>
      <c r="WJY142" s="10"/>
      <c r="WJZ142" s="57"/>
      <c r="WKA142" s="10"/>
      <c r="WKB142" s="57"/>
      <c r="WKC142" s="10"/>
      <c r="WKD142" s="57"/>
      <c r="WKE142" s="10"/>
      <c r="WKF142" s="57"/>
      <c r="WKG142" s="10"/>
      <c r="WKH142" s="57"/>
      <c r="WKI142" s="10"/>
      <c r="WKJ142" s="57"/>
      <c r="WKK142" s="10"/>
      <c r="WKL142" s="57"/>
      <c r="WKM142" s="10"/>
      <c r="WKN142" s="57"/>
      <c r="WKO142" s="10"/>
      <c r="WKP142" s="57"/>
      <c r="WKQ142" s="10"/>
      <c r="WKR142" s="57"/>
      <c r="WKS142" s="10"/>
      <c r="WKT142" s="57"/>
      <c r="WKU142" s="10"/>
      <c r="WKV142" s="57"/>
      <c r="WKW142" s="10"/>
      <c r="WKX142" s="57"/>
      <c r="WKY142" s="10"/>
      <c r="WKZ142" s="57"/>
      <c r="WLA142" s="10"/>
      <c r="WLB142" s="57"/>
      <c r="WLC142" s="10"/>
      <c r="WLD142" s="57"/>
      <c r="WLE142" s="10"/>
      <c r="WLF142" s="57"/>
      <c r="WLG142" s="10"/>
      <c r="WLH142" s="57"/>
      <c r="WLI142" s="10"/>
      <c r="WLJ142" s="57"/>
      <c r="WLK142" s="10"/>
      <c r="WLL142" s="57"/>
      <c r="WLM142" s="10"/>
      <c r="WLN142" s="57"/>
      <c r="WLO142" s="10"/>
      <c r="WLP142" s="57"/>
      <c r="WLQ142" s="10"/>
      <c r="WLR142" s="57"/>
      <c r="WLS142" s="10"/>
      <c r="WLT142" s="57"/>
      <c r="WLU142" s="10"/>
      <c r="WLV142" s="57"/>
      <c r="WLW142" s="10"/>
      <c r="WLX142" s="57"/>
      <c r="WLY142" s="10"/>
      <c r="WLZ142" s="57"/>
      <c r="WMA142" s="10"/>
      <c r="WMB142" s="57"/>
      <c r="WMC142" s="10"/>
      <c r="WMD142" s="57"/>
      <c r="WME142" s="10"/>
      <c r="WMF142" s="57"/>
      <c r="WMG142" s="10"/>
      <c r="WMH142" s="57"/>
      <c r="WMI142" s="10"/>
      <c r="WMJ142" s="57"/>
      <c r="WMK142" s="10"/>
      <c r="WML142" s="57"/>
      <c r="WMM142" s="10"/>
      <c r="WMN142" s="57"/>
      <c r="WMO142" s="10"/>
      <c r="WMP142" s="57"/>
      <c r="WMQ142" s="10"/>
      <c r="WMR142" s="57"/>
      <c r="WMS142" s="10"/>
      <c r="WMT142" s="57"/>
      <c r="WMU142" s="10"/>
      <c r="WMV142" s="57"/>
      <c r="WMW142" s="10"/>
      <c r="WMX142" s="57"/>
      <c r="WMY142" s="10"/>
      <c r="WMZ142" s="57"/>
      <c r="WNA142" s="10"/>
      <c r="WNB142" s="57"/>
      <c r="WNC142" s="10"/>
      <c r="WND142" s="57"/>
      <c r="WNE142" s="10"/>
      <c r="WNF142" s="57"/>
      <c r="WNG142" s="10"/>
      <c r="WNH142" s="57"/>
      <c r="WNI142" s="10"/>
      <c r="WNJ142" s="57"/>
      <c r="WNK142" s="10"/>
      <c r="WNL142" s="57"/>
      <c r="WNM142" s="10"/>
      <c r="WNN142" s="57"/>
      <c r="WNO142" s="10"/>
      <c r="WNP142" s="57"/>
      <c r="WNQ142" s="10"/>
      <c r="WNR142" s="57"/>
      <c r="WNS142" s="10"/>
      <c r="WNT142" s="57"/>
      <c r="WNU142" s="10"/>
      <c r="WNV142" s="57"/>
      <c r="WNW142" s="10"/>
      <c r="WNX142" s="57"/>
      <c r="WNY142" s="10"/>
      <c r="WNZ142" s="57"/>
      <c r="WOA142" s="10"/>
      <c r="WOB142" s="57"/>
      <c r="WOC142" s="10"/>
      <c r="WOD142" s="57"/>
      <c r="WOE142" s="10"/>
      <c r="WOF142" s="57"/>
      <c r="WOG142" s="10"/>
      <c r="WOH142" s="57"/>
      <c r="WOI142" s="10"/>
      <c r="WOJ142" s="57"/>
      <c r="WOK142" s="10"/>
      <c r="WOL142" s="57"/>
      <c r="WOM142" s="10"/>
      <c r="WON142" s="57"/>
      <c r="WOO142" s="10"/>
      <c r="WOP142" s="57"/>
      <c r="WOQ142" s="10"/>
      <c r="WOR142" s="57"/>
      <c r="WOS142" s="10"/>
      <c r="WOT142" s="57"/>
      <c r="WOU142" s="10"/>
      <c r="WOV142" s="57"/>
      <c r="WOW142" s="10"/>
      <c r="WOX142" s="57"/>
      <c r="WOY142" s="10"/>
      <c r="WOZ142" s="57"/>
      <c r="WPA142" s="10"/>
      <c r="WPB142" s="57"/>
      <c r="WPC142" s="10"/>
      <c r="WPD142" s="57"/>
      <c r="WPE142" s="10"/>
      <c r="WPF142" s="57"/>
      <c r="WPG142" s="10"/>
      <c r="WPH142" s="57"/>
      <c r="WPI142" s="10"/>
      <c r="WPJ142" s="57"/>
      <c r="WPK142" s="10"/>
      <c r="WPL142" s="57"/>
      <c r="WPM142" s="10"/>
      <c r="WPN142" s="57"/>
      <c r="WPO142" s="10"/>
      <c r="WPP142" s="57"/>
      <c r="WPQ142" s="10"/>
      <c r="WPR142" s="57"/>
      <c r="WPS142" s="10"/>
      <c r="WPT142" s="57"/>
      <c r="WPU142" s="10"/>
      <c r="WPV142" s="57"/>
      <c r="WPW142" s="10"/>
      <c r="WPX142" s="57"/>
      <c r="WPY142" s="10"/>
      <c r="WPZ142" s="57"/>
      <c r="WQA142" s="10"/>
      <c r="WQB142" s="57"/>
      <c r="WQC142" s="10"/>
      <c r="WQD142" s="57"/>
      <c r="WQE142" s="10"/>
      <c r="WQF142" s="57"/>
      <c r="WQG142" s="10"/>
      <c r="WQH142" s="57"/>
      <c r="WQI142" s="10"/>
      <c r="WQJ142" s="57"/>
      <c r="WQK142" s="10"/>
      <c r="WQL142" s="57"/>
      <c r="WQM142" s="10"/>
      <c r="WQN142" s="57"/>
      <c r="WQO142" s="10"/>
      <c r="WQP142" s="57"/>
      <c r="WQQ142" s="10"/>
      <c r="WQR142" s="57"/>
      <c r="WQS142" s="10"/>
      <c r="WQT142" s="57"/>
      <c r="WQU142" s="10"/>
      <c r="WQV142" s="57"/>
      <c r="WQW142" s="10"/>
      <c r="WQX142" s="57"/>
      <c r="WQY142" s="10"/>
      <c r="WQZ142" s="57"/>
      <c r="WRA142" s="10"/>
      <c r="WRB142" s="57"/>
      <c r="WRC142" s="10"/>
      <c r="WRD142" s="57"/>
      <c r="WRE142" s="10"/>
      <c r="WRF142" s="57"/>
      <c r="WRG142" s="10"/>
      <c r="WRH142" s="57"/>
      <c r="WRI142" s="10"/>
      <c r="WRJ142" s="57"/>
      <c r="WRK142" s="10"/>
      <c r="WRL142" s="57"/>
      <c r="WRM142" s="10"/>
      <c r="WRN142" s="57"/>
      <c r="WRO142" s="10"/>
      <c r="WRP142" s="57"/>
      <c r="WRQ142" s="10"/>
      <c r="WRR142" s="57"/>
      <c r="WRS142" s="10"/>
      <c r="WRT142" s="57"/>
      <c r="WRU142" s="10"/>
      <c r="WRV142" s="57"/>
      <c r="WRW142" s="10"/>
      <c r="WRX142" s="57"/>
      <c r="WRY142" s="10"/>
      <c r="WRZ142" s="57"/>
      <c r="WSA142" s="10"/>
      <c r="WSB142" s="57"/>
      <c r="WSC142" s="10"/>
      <c r="WSD142" s="57"/>
      <c r="WSE142" s="10"/>
      <c r="WSF142" s="57"/>
      <c r="WSG142" s="10"/>
      <c r="WSH142" s="57"/>
      <c r="WSI142" s="10"/>
      <c r="WSJ142" s="57"/>
      <c r="WSK142" s="10"/>
      <c r="WSL142" s="57"/>
      <c r="WSM142" s="10"/>
      <c r="WSN142" s="57"/>
      <c r="WSO142" s="10"/>
      <c r="WSP142" s="57"/>
      <c r="WSQ142" s="10"/>
      <c r="WSR142" s="57"/>
      <c r="WSS142" s="10"/>
      <c r="WST142" s="57"/>
      <c r="WSU142" s="10"/>
      <c r="WSV142" s="57"/>
      <c r="WSW142" s="10"/>
      <c r="WSX142" s="57"/>
      <c r="WSY142" s="10"/>
      <c r="WSZ142" s="57"/>
      <c r="WTA142" s="10"/>
      <c r="WTB142" s="57"/>
      <c r="WTC142" s="10"/>
      <c r="WTD142" s="57"/>
      <c r="WTE142" s="10"/>
      <c r="WTF142" s="57"/>
      <c r="WTG142" s="10"/>
      <c r="WTH142" s="57"/>
      <c r="WTI142" s="10"/>
      <c r="WTJ142" s="57"/>
      <c r="WTK142" s="10"/>
      <c r="WTL142" s="57"/>
      <c r="WTM142" s="10"/>
      <c r="WTN142" s="57"/>
      <c r="WTO142" s="10"/>
      <c r="WTP142" s="57"/>
      <c r="WTQ142" s="10"/>
      <c r="WTR142" s="57"/>
      <c r="WTS142" s="10"/>
      <c r="WTT142" s="57"/>
      <c r="WTU142" s="10"/>
      <c r="WTV142" s="57"/>
      <c r="WTW142" s="10"/>
      <c r="WTX142" s="57"/>
      <c r="WTY142" s="10"/>
      <c r="WTZ142" s="57"/>
      <c r="WUA142" s="10"/>
      <c r="WUB142" s="57"/>
      <c r="WUC142" s="10"/>
      <c r="WUD142" s="57"/>
      <c r="WUE142" s="10"/>
      <c r="WUF142" s="57"/>
      <c r="WUG142" s="10"/>
      <c r="WUH142" s="57"/>
      <c r="WUI142" s="10"/>
      <c r="WUJ142" s="57"/>
      <c r="WUK142" s="10"/>
      <c r="WUL142" s="57"/>
      <c r="WUM142" s="10"/>
      <c r="WUN142" s="57"/>
      <c r="WUO142" s="10"/>
      <c r="WUP142" s="57"/>
      <c r="WUQ142" s="10"/>
      <c r="WUR142" s="57"/>
      <c r="WUS142" s="10"/>
      <c r="WUT142" s="57"/>
      <c r="WUU142" s="10"/>
      <c r="WUV142" s="57"/>
      <c r="WUW142" s="10"/>
      <c r="WUX142" s="57"/>
      <c r="WUY142" s="10"/>
      <c r="WUZ142" s="57"/>
      <c r="WVA142" s="10"/>
      <c r="WVB142" s="57"/>
      <c r="WVC142" s="10"/>
      <c r="WVD142" s="57"/>
      <c r="WVE142" s="10"/>
      <c r="WVF142" s="57"/>
      <c r="WVG142" s="10"/>
      <c r="WVH142" s="57"/>
      <c r="WVI142" s="10"/>
      <c r="WVJ142" s="57"/>
      <c r="WVK142" s="10"/>
      <c r="WVL142" s="57"/>
      <c r="WVM142" s="10"/>
      <c r="WVN142" s="57"/>
      <c r="WVO142" s="10"/>
      <c r="WVP142" s="57"/>
      <c r="WVQ142" s="10"/>
      <c r="WVR142" s="57"/>
      <c r="WVS142" s="10"/>
      <c r="WVT142" s="57"/>
      <c r="WVU142" s="10"/>
      <c r="WVV142" s="57"/>
      <c r="WVW142" s="10"/>
      <c r="WVX142" s="57"/>
      <c r="WVY142" s="10"/>
      <c r="WVZ142" s="57"/>
      <c r="WWA142" s="10"/>
      <c r="WWB142" s="57"/>
      <c r="WWC142" s="10"/>
      <c r="WWD142" s="57"/>
      <c r="WWE142" s="10"/>
      <c r="WWF142" s="57"/>
      <c r="WWG142" s="10"/>
      <c r="WWH142" s="57"/>
      <c r="WWI142" s="10"/>
      <c r="WWJ142" s="57"/>
      <c r="WWK142" s="10"/>
      <c r="WWL142" s="57"/>
      <c r="WWM142" s="10"/>
      <c r="WWN142" s="57"/>
      <c r="WWO142" s="10"/>
      <c r="WWP142" s="57"/>
      <c r="WWQ142" s="10"/>
      <c r="WWR142" s="57"/>
      <c r="WWS142" s="10"/>
      <c r="WWT142" s="57"/>
      <c r="WWU142" s="10"/>
      <c r="WWV142" s="57"/>
      <c r="WWW142" s="10"/>
      <c r="WWX142" s="57"/>
      <c r="WWY142" s="10"/>
      <c r="WWZ142" s="57"/>
      <c r="WXA142" s="10"/>
      <c r="WXB142" s="57"/>
      <c r="WXC142" s="10"/>
      <c r="WXD142" s="57"/>
      <c r="WXE142" s="10"/>
      <c r="WXF142" s="57"/>
      <c r="WXG142" s="10"/>
      <c r="WXH142" s="57"/>
      <c r="WXI142" s="10"/>
      <c r="WXJ142" s="57"/>
      <c r="WXK142" s="10"/>
      <c r="WXL142" s="57"/>
      <c r="WXM142" s="10"/>
      <c r="WXN142" s="57"/>
      <c r="WXO142" s="10"/>
      <c r="WXP142" s="57"/>
      <c r="WXQ142" s="10"/>
      <c r="WXR142" s="57"/>
      <c r="WXS142" s="10"/>
      <c r="WXT142" s="57"/>
      <c r="WXU142" s="10"/>
      <c r="WXV142" s="57"/>
      <c r="WXW142" s="10"/>
      <c r="WXX142" s="57"/>
      <c r="WXY142" s="10"/>
      <c r="WXZ142" s="57"/>
      <c r="WYA142" s="10"/>
      <c r="WYB142" s="57"/>
      <c r="WYC142" s="10"/>
      <c r="WYD142" s="57"/>
      <c r="WYE142" s="10"/>
      <c r="WYF142" s="57"/>
      <c r="WYG142" s="10"/>
      <c r="WYH142" s="57"/>
      <c r="WYI142" s="10"/>
      <c r="WYJ142" s="57"/>
      <c r="WYK142" s="10"/>
      <c r="WYL142" s="57"/>
      <c r="WYM142" s="10"/>
      <c r="WYN142" s="57"/>
      <c r="WYO142" s="10"/>
      <c r="WYP142" s="57"/>
      <c r="WYQ142" s="10"/>
      <c r="WYR142" s="57"/>
      <c r="WYS142" s="10"/>
      <c r="WYT142" s="57"/>
      <c r="WYU142" s="10"/>
      <c r="WYV142" s="57"/>
      <c r="WYW142" s="10"/>
      <c r="WYX142" s="57"/>
      <c r="WYY142" s="10"/>
      <c r="WYZ142" s="57"/>
      <c r="WZA142" s="10"/>
      <c r="WZB142" s="57"/>
      <c r="WZC142" s="10"/>
      <c r="WZD142" s="57"/>
      <c r="WZE142" s="10"/>
      <c r="WZF142" s="57"/>
      <c r="WZG142" s="10"/>
      <c r="WZH142" s="57"/>
      <c r="WZI142" s="10"/>
      <c r="WZJ142" s="57"/>
      <c r="WZK142" s="10"/>
      <c r="WZL142" s="57"/>
      <c r="WZM142" s="10"/>
      <c r="WZN142" s="57"/>
      <c r="WZO142" s="10"/>
      <c r="WZP142" s="57"/>
      <c r="WZQ142" s="10"/>
      <c r="WZR142" s="57"/>
      <c r="WZS142" s="10"/>
      <c r="WZT142" s="57"/>
      <c r="WZU142" s="10"/>
      <c r="WZV142" s="57"/>
      <c r="WZW142" s="10"/>
      <c r="WZX142" s="57"/>
      <c r="WZY142" s="10"/>
      <c r="WZZ142" s="57"/>
      <c r="XAA142" s="10"/>
      <c r="XAB142" s="57"/>
      <c r="XAC142" s="10"/>
      <c r="XAD142" s="57"/>
      <c r="XAE142" s="10"/>
      <c r="XAF142" s="57"/>
      <c r="XAG142" s="10"/>
      <c r="XAH142" s="57"/>
      <c r="XAI142" s="10"/>
      <c r="XAJ142" s="57"/>
      <c r="XAK142" s="10"/>
      <c r="XAL142" s="57"/>
      <c r="XAM142" s="10"/>
      <c r="XAN142" s="57"/>
      <c r="XAO142" s="10"/>
      <c r="XAP142" s="57"/>
      <c r="XAQ142" s="10"/>
      <c r="XAR142" s="57"/>
      <c r="XAS142" s="10"/>
      <c r="XAT142" s="57"/>
      <c r="XAU142" s="10"/>
      <c r="XAV142" s="57"/>
      <c r="XAW142" s="10"/>
      <c r="XAX142" s="57"/>
      <c r="XAY142" s="10"/>
      <c r="XAZ142" s="57"/>
      <c r="XBA142" s="10"/>
      <c r="XBB142" s="57"/>
      <c r="XBC142" s="10"/>
      <c r="XBD142" s="57"/>
      <c r="XBE142" s="10"/>
      <c r="XBF142" s="57"/>
      <c r="XBG142" s="10"/>
      <c r="XBH142" s="57"/>
      <c r="XBI142" s="10"/>
      <c r="XBJ142" s="57"/>
      <c r="XBK142" s="10"/>
      <c r="XBL142" s="57"/>
      <c r="XBM142" s="10"/>
      <c r="XBN142" s="57"/>
      <c r="XBO142" s="10"/>
      <c r="XBP142" s="57"/>
      <c r="XBQ142" s="10"/>
      <c r="XBR142" s="57"/>
      <c r="XBS142" s="10"/>
      <c r="XBT142" s="57"/>
      <c r="XBU142" s="10"/>
      <c r="XBV142" s="57"/>
      <c r="XBW142" s="10"/>
      <c r="XBX142" s="57"/>
      <c r="XBY142" s="10"/>
      <c r="XBZ142" s="57"/>
      <c r="XCA142" s="10"/>
      <c r="XCB142" s="57"/>
      <c r="XCC142" s="10"/>
      <c r="XCD142" s="57"/>
      <c r="XCE142" s="10"/>
      <c r="XCF142" s="57"/>
      <c r="XCG142" s="10"/>
      <c r="XCH142" s="57"/>
      <c r="XCI142" s="10"/>
      <c r="XCJ142" s="57"/>
      <c r="XCK142" s="10"/>
      <c r="XCL142" s="57"/>
      <c r="XCM142" s="10"/>
      <c r="XCN142" s="57"/>
      <c r="XCO142" s="10"/>
      <c r="XCP142" s="57"/>
      <c r="XCQ142" s="10"/>
      <c r="XCR142" s="57"/>
      <c r="XCS142" s="10"/>
      <c r="XCT142" s="57"/>
      <c r="XCU142" s="10"/>
      <c r="XCV142" s="57"/>
      <c r="XCW142" s="10"/>
      <c r="XCX142" s="57"/>
      <c r="XCY142" s="10"/>
      <c r="XCZ142" s="57"/>
      <c r="XDA142" s="10"/>
      <c r="XDB142" s="57"/>
      <c r="XDC142" s="10"/>
      <c r="XDD142" s="57"/>
      <c r="XDE142" s="10"/>
      <c r="XDF142" s="57"/>
      <c r="XDG142" s="10"/>
      <c r="XDH142" s="57"/>
      <c r="XDI142" s="10"/>
      <c r="XDJ142" s="57"/>
      <c r="XDK142" s="10"/>
      <c r="XDL142" s="57"/>
      <c r="XDM142" s="10"/>
      <c r="XDN142" s="57"/>
      <c r="XDO142" s="10"/>
      <c r="XDP142" s="57"/>
      <c r="XDQ142" s="10"/>
      <c r="XDR142" s="57"/>
      <c r="XDS142" s="10"/>
      <c r="XDT142" s="57"/>
      <c r="XDU142" s="10"/>
      <c r="XDV142" s="57"/>
      <c r="XDW142" s="10"/>
      <c r="XDX142" s="57"/>
      <c r="XDY142" s="10"/>
      <c r="XDZ142" s="57"/>
      <c r="XEA142" s="10"/>
      <c r="XEB142" s="57"/>
      <c r="XEC142" s="10"/>
      <c r="XED142" s="57"/>
      <c r="XEE142" s="10"/>
      <c r="XEF142" s="57"/>
      <c r="XEG142" s="10"/>
      <c r="XEH142" s="57"/>
      <c r="XEI142" s="10"/>
      <c r="XEJ142" s="57"/>
      <c r="XEK142" s="10"/>
      <c r="XEL142" s="57"/>
      <c r="XEM142" s="10"/>
      <c r="XEN142" s="57"/>
      <c r="XEO142" s="10"/>
      <c r="XEP142" s="57"/>
      <c r="XEQ142" s="10"/>
      <c r="XER142" s="57"/>
      <c r="XES142" s="10"/>
      <c r="XET142" s="57"/>
      <c r="XEU142" s="10"/>
      <c r="XEV142" s="57"/>
      <c r="XEW142" s="10"/>
      <c r="XEX142" s="57"/>
      <c r="XEY142" s="10"/>
      <c r="XEZ142" s="57"/>
      <c r="XFA142" s="10"/>
      <c r="XFB142" s="57"/>
    </row>
    <row r="143" spans="1:16382" ht="12" customHeight="1">
      <c r="A143" s="11"/>
      <c r="B143" s="57"/>
    </row>
    <row r="144" spans="1:16382" ht="12" customHeight="1">
      <c r="A144" s="11"/>
      <c r="B144" s="57"/>
    </row>
    <row r="145" spans="1:2" ht="12" customHeight="1">
      <c r="A145" s="11"/>
      <c r="B145" s="57"/>
    </row>
    <row r="146" spans="1:2" ht="12" customHeight="1">
      <c r="A146" s="11"/>
      <c r="B146" s="57"/>
    </row>
    <row r="147" spans="1:2" ht="12" customHeight="1">
      <c r="A147" s="11"/>
      <c r="B147" s="57"/>
    </row>
    <row r="148" spans="1:2" ht="12" customHeight="1">
      <c r="A148" s="11"/>
      <c r="B148" s="57"/>
    </row>
    <row r="149" spans="1:2" ht="12" customHeight="1">
      <c r="A149" s="11"/>
      <c r="B149" s="57"/>
    </row>
    <row r="150" spans="1:2" ht="12" customHeight="1">
      <c r="A150" s="11"/>
      <c r="B150" s="57"/>
    </row>
    <row r="151" spans="1:2" ht="12" customHeight="1">
      <c r="A151" s="11"/>
      <c r="B151" s="57"/>
    </row>
    <row r="152" spans="1:2" ht="12" customHeight="1">
      <c r="A152" s="11"/>
      <c r="B152" s="57"/>
    </row>
    <row r="153" spans="1:2" ht="12" customHeight="1">
      <c r="A153" s="11"/>
      <c r="B153" s="57"/>
    </row>
    <row r="154" spans="1:2" ht="12" customHeight="1">
      <c r="A154" s="11"/>
      <c r="B154" s="57"/>
    </row>
    <row r="155" spans="1:2" ht="12" customHeight="1">
      <c r="A155" s="11"/>
      <c r="B155" s="57"/>
    </row>
    <row r="156" spans="1:2" ht="12" customHeight="1">
      <c r="A156" s="11"/>
      <c r="B156" s="57"/>
    </row>
    <row r="157" spans="1:2" ht="12" customHeight="1">
      <c r="A157" s="11"/>
      <c r="B157" s="57"/>
    </row>
    <row r="158" spans="1:2" ht="12" customHeight="1">
      <c r="A158" s="11"/>
      <c r="B158" s="57"/>
    </row>
    <row r="159" spans="1:2" ht="12" customHeight="1">
      <c r="A159" s="11"/>
      <c r="B159" s="57"/>
    </row>
    <row r="160" spans="1:2" ht="12" customHeight="1">
      <c r="A160" s="11"/>
      <c r="B160" s="57"/>
    </row>
    <row r="161" spans="1:4" ht="12" customHeight="1">
      <c r="A161" s="11"/>
      <c r="B161" s="57"/>
    </row>
    <row r="162" spans="1:4" ht="12" customHeight="1">
      <c r="A162" s="11"/>
      <c r="B162" s="57"/>
    </row>
    <row r="163" spans="1:4" ht="12" customHeight="1">
      <c r="A163" s="11"/>
      <c r="B163" s="57"/>
    </row>
    <row r="164" spans="1:4" ht="12" customHeight="1">
      <c r="A164" s="11"/>
      <c r="B164" s="57"/>
    </row>
    <row r="165" spans="1:4" ht="12" customHeight="1">
      <c r="A165" s="11"/>
      <c r="B165" s="57"/>
    </row>
    <row r="166" spans="1:4" ht="12" customHeight="1">
      <c r="A166" s="10"/>
      <c r="B166" s="57"/>
    </row>
    <row r="167" spans="1:4" ht="12" customHeight="1">
      <c r="A167" s="10"/>
      <c r="B167" s="57"/>
      <c r="D167" s="57"/>
    </row>
    <row r="168" spans="1:4" ht="12" customHeight="1">
      <c r="A168" s="11"/>
      <c r="B168" s="57"/>
    </row>
    <row r="169" spans="1:4" ht="12" customHeight="1">
      <c r="A169" s="10"/>
      <c r="B169" s="57"/>
    </row>
    <row r="170" spans="1:4" ht="12" customHeight="1">
      <c r="A170" s="11"/>
      <c r="B170" s="57"/>
    </row>
    <row r="171" spans="1:4" ht="12" customHeight="1">
      <c r="A171" s="11"/>
      <c r="B171" s="57"/>
    </row>
    <row r="172" spans="1:4" ht="12" customHeight="1">
      <c r="A172" s="11"/>
      <c r="B172" s="57"/>
    </row>
    <row r="173" spans="1:4" ht="12" customHeight="1">
      <c r="A173" s="11"/>
      <c r="B173" s="57"/>
    </row>
    <row r="174" spans="1:4" ht="12" customHeight="1">
      <c r="A174" s="11"/>
      <c r="B174" s="57"/>
    </row>
    <row r="175" spans="1:4" ht="12" customHeight="1">
      <c r="A175" s="11"/>
      <c r="B175" s="57"/>
    </row>
    <row r="176" spans="1:4" ht="12" customHeight="1">
      <c r="A176" s="10"/>
      <c r="B176" s="57"/>
    </row>
    <row r="177" spans="1:2" ht="12" customHeight="1">
      <c r="A177" s="10"/>
      <c r="B177" s="57"/>
    </row>
    <row r="178" spans="1:2" ht="12" customHeight="1">
      <c r="A178" s="10"/>
      <c r="B178" s="57"/>
    </row>
    <row r="179" spans="1:2" ht="12" customHeight="1">
      <c r="A179" s="10"/>
      <c r="B179" s="57"/>
    </row>
    <row r="180" spans="1:2" ht="12.95">
      <c r="A180" s="11"/>
      <c r="B180" s="57"/>
    </row>
    <row r="181" spans="1:2" ht="12.95">
      <c r="A181" s="11"/>
      <c r="B181" s="57"/>
    </row>
    <row r="182" spans="1:2" ht="12.95">
      <c r="A182" s="11"/>
      <c r="B182" s="57"/>
    </row>
    <row r="183" spans="1:2" ht="12.95">
      <c r="A183" s="11"/>
      <c r="B183" s="57"/>
    </row>
    <row r="184" spans="1:2" ht="12.95">
      <c r="A184" s="11"/>
      <c r="B184" s="57"/>
    </row>
    <row r="185" spans="1:2" ht="12.95">
      <c r="A185" s="11"/>
      <c r="B185" s="57"/>
    </row>
    <row r="186" spans="1:2" ht="12.95">
      <c r="A186" s="11"/>
      <c r="B186" s="57"/>
    </row>
    <row r="187" spans="1:2" ht="12.95">
      <c r="A187" s="11"/>
      <c r="B187" s="57"/>
    </row>
    <row r="188" spans="1:2" ht="12.95">
      <c r="A188" s="11"/>
      <c r="B188" s="57"/>
    </row>
    <row r="189" spans="1:2" ht="12.95">
      <c r="A189" s="11"/>
      <c r="B189" s="57"/>
    </row>
    <row r="190" spans="1:2" ht="12.95">
      <c r="A190" s="11"/>
      <c r="B190" s="57"/>
    </row>
    <row r="191" spans="1:2" ht="12.95">
      <c r="A191" s="11"/>
      <c r="B191" s="57"/>
    </row>
    <row r="192" spans="1:2" ht="12.95">
      <c r="A192" s="11"/>
      <c r="B192" s="57"/>
    </row>
    <row r="193" spans="1:2" ht="12.95">
      <c r="A193" s="11"/>
      <c r="B193" s="57"/>
    </row>
    <row r="194" spans="1:2" ht="12.95">
      <c r="A194" s="11"/>
      <c r="B194" s="57"/>
    </row>
    <row r="195" spans="1:2" ht="12.95">
      <c r="A195" s="11"/>
      <c r="B195" s="57"/>
    </row>
    <row r="196" spans="1:2" ht="12.95">
      <c r="A196" s="11"/>
      <c r="B196" s="57"/>
    </row>
    <row r="197" spans="1:2" ht="12.95">
      <c r="A197" s="11"/>
      <c r="B197" s="57"/>
    </row>
    <row r="198" spans="1:2" ht="12.95">
      <c r="A198" s="10"/>
      <c r="B198" s="57"/>
    </row>
    <row r="199" spans="1:2" ht="12.95">
      <c r="A199" s="11"/>
      <c r="B199" s="57"/>
    </row>
    <row r="200" spans="1:2" ht="12.95">
      <c r="A200" s="11"/>
      <c r="B200" s="57"/>
    </row>
    <row r="201" spans="1:2" ht="12.95">
      <c r="A201" s="10"/>
      <c r="B201" s="57"/>
    </row>
    <row r="202" spans="1:2" ht="12.95">
      <c r="A202" s="10"/>
      <c r="B202" s="57"/>
    </row>
    <row r="203" spans="1:2" ht="12.95">
      <c r="A203" s="11"/>
      <c r="B203" s="57"/>
    </row>
    <row r="204" spans="1:2" ht="12.95">
      <c r="A204" s="11"/>
      <c r="B204" s="57"/>
    </row>
    <row r="205" spans="1:2" ht="12.95">
      <c r="A205" s="11"/>
      <c r="B205" s="57"/>
    </row>
    <row r="206" spans="1:2" ht="12.95">
      <c r="A206" s="11"/>
      <c r="B206" s="57"/>
    </row>
    <row r="207" spans="1:2" ht="12.95">
      <c r="A207" s="11"/>
      <c r="B207" s="57"/>
    </row>
    <row r="208" spans="1:2" ht="12.95">
      <c r="A208" s="11"/>
      <c r="B208" s="57"/>
    </row>
    <row r="209" spans="1:2" ht="12.95">
      <c r="A209" s="10"/>
      <c r="B209" s="57"/>
    </row>
    <row r="210" spans="1:2" ht="12.95">
      <c r="A210" s="10"/>
      <c r="B210" s="57"/>
    </row>
    <row r="211" spans="1:2" ht="12.95">
      <c r="A211" s="10"/>
      <c r="B211" s="57"/>
    </row>
    <row r="212" spans="1:2" ht="12.95">
      <c r="A212" s="11"/>
      <c r="B212" s="57"/>
    </row>
    <row r="213" spans="1:2" ht="12.95">
      <c r="A213" s="11"/>
      <c r="B213" s="57"/>
    </row>
    <row r="214" spans="1:2" ht="12.95">
      <c r="A214" s="11"/>
      <c r="B214" s="57"/>
    </row>
    <row r="215" spans="1:2" ht="12.95">
      <c r="A215" s="11"/>
      <c r="B215" s="57"/>
    </row>
    <row r="216" spans="1:2" ht="12.95">
      <c r="A216" s="11"/>
      <c r="B216" s="57"/>
    </row>
    <row r="217" spans="1:2" ht="12.95">
      <c r="A217" s="11"/>
      <c r="B217" s="57"/>
    </row>
    <row r="218" spans="1:2" ht="12.95">
      <c r="A218" s="11"/>
      <c r="B218" s="57"/>
    </row>
    <row r="219" spans="1:2" ht="12.95">
      <c r="A219" s="11"/>
      <c r="B219" s="57"/>
    </row>
    <row r="220" spans="1:2" ht="12.95">
      <c r="A220" s="11"/>
      <c r="B220" s="57"/>
    </row>
    <row r="221" spans="1:2" ht="12.95">
      <c r="A221" s="11"/>
      <c r="B221" s="57"/>
    </row>
    <row r="222" spans="1:2" ht="12.95">
      <c r="A222" s="11"/>
      <c r="B222" s="57"/>
    </row>
    <row r="223" spans="1:2" ht="12.95">
      <c r="A223" s="11"/>
      <c r="B223" s="57"/>
    </row>
    <row r="224" spans="1:2" ht="12.95">
      <c r="A224" s="11"/>
      <c r="B224" s="57"/>
    </row>
    <row r="225" spans="1:2" ht="12.95">
      <c r="A225" s="11"/>
      <c r="B225" s="57"/>
    </row>
    <row r="226" spans="1:2" ht="12.95">
      <c r="A226" s="10"/>
      <c r="B226" s="57"/>
    </row>
    <row r="227" spans="1:2" ht="12.95">
      <c r="A227" s="10"/>
      <c r="B227" s="57"/>
    </row>
    <row r="228" spans="1:2" ht="12.95">
      <c r="A228" s="11"/>
      <c r="B228" s="57"/>
    </row>
    <row r="229" spans="1:2" ht="12.95">
      <c r="A229" s="11"/>
      <c r="B229" s="57"/>
    </row>
    <row r="230" spans="1:2" ht="12.95">
      <c r="A230" s="11"/>
      <c r="B230" s="57"/>
    </row>
    <row r="231" spans="1:2" ht="12.95">
      <c r="A231" s="11"/>
      <c r="B231" s="57"/>
    </row>
    <row r="232" spans="1:2" ht="12.95">
      <c r="A232" s="11"/>
      <c r="B232" s="57"/>
    </row>
    <row r="233" spans="1:2" ht="12.95">
      <c r="A233" s="11"/>
      <c r="B233" s="57"/>
    </row>
    <row r="234" spans="1:2" ht="12.95">
      <c r="A234" s="11"/>
      <c r="B234" s="57"/>
    </row>
    <row r="235" spans="1:2" ht="12.95">
      <c r="A235" s="11"/>
      <c r="B235" s="57"/>
    </row>
    <row r="236" spans="1:2" ht="12.95">
      <c r="A236" s="11"/>
      <c r="B236" s="57"/>
    </row>
    <row r="237" spans="1:2" ht="12.95">
      <c r="A237" s="11"/>
      <c r="B237" s="57"/>
    </row>
    <row r="238" spans="1:2" ht="12.95">
      <c r="A238" s="11"/>
      <c r="B238" s="57"/>
    </row>
    <row r="239" spans="1:2" ht="12.95">
      <c r="A239" s="11"/>
      <c r="B239" s="57"/>
    </row>
    <row r="240" spans="1:2" ht="12.95">
      <c r="A240" s="11"/>
      <c r="B240" s="57"/>
    </row>
    <row r="241" spans="1:16382" ht="12.95">
      <c r="A241" s="11"/>
      <c r="B241" s="57"/>
    </row>
    <row r="242" spans="1:16382" ht="12.95">
      <c r="A242" s="10"/>
      <c r="B242" s="57"/>
    </row>
    <row r="243" spans="1:16382" ht="12.95">
      <c r="A243" s="11"/>
      <c r="B243" s="57"/>
    </row>
    <row r="244" spans="1:16382" ht="12.95">
      <c r="A244" s="11"/>
      <c r="B244" s="57"/>
    </row>
    <row r="245" spans="1:16382" ht="12.95">
      <c r="A245" s="11"/>
      <c r="B245" s="57"/>
    </row>
    <row r="246" spans="1:16382" ht="12.95">
      <c r="A246" s="11"/>
      <c r="B246" s="57"/>
    </row>
    <row r="247" spans="1:16382" ht="12.95">
      <c r="A247" s="10"/>
      <c r="B247" s="57"/>
    </row>
    <row r="248" spans="1:16382" ht="12.95">
      <c r="A248" s="57"/>
      <c r="B248" s="57"/>
      <c r="C248" s="10"/>
      <c r="D248" s="57"/>
      <c r="E248" s="10"/>
      <c r="F248" s="57"/>
      <c r="G248" s="10"/>
      <c r="H248" s="57"/>
      <c r="I248" s="10"/>
      <c r="J248" s="57"/>
      <c r="K248" s="10"/>
      <c r="L248" s="57"/>
      <c r="M248" s="10"/>
      <c r="N248" s="57"/>
      <c r="O248" s="10"/>
      <c r="P248" s="57"/>
      <c r="Q248" s="10"/>
      <c r="R248" s="57"/>
      <c r="S248" s="10"/>
      <c r="T248" s="57"/>
      <c r="U248" s="10"/>
      <c r="V248" s="57"/>
      <c r="W248" s="10"/>
      <c r="X248" s="57"/>
      <c r="Y248" s="10"/>
      <c r="Z248" s="57"/>
      <c r="AA248" s="10"/>
      <c r="AB248" s="57"/>
      <c r="AC248" s="10"/>
      <c r="AD248" s="57"/>
      <c r="AE248" s="10"/>
      <c r="AF248" s="57"/>
      <c r="AG248" s="10"/>
      <c r="AH248" s="57"/>
      <c r="AI248" s="10"/>
      <c r="AJ248" s="57"/>
      <c r="AK248" s="10"/>
      <c r="AL248" s="57"/>
      <c r="AM248" s="10"/>
      <c r="AN248" s="57"/>
      <c r="AO248" s="10"/>
      <c r="AP248" s="57"/>
      <c r="AQ248" s="10"/>
      <c r="AR248" s="57"/>
      <c r="AS248" s="10"/>
      <c r="AT248" s="57"/>
      <c r="AU248" s="10"/>
      <c r="AV248" s="57"/>
      <c r="AW248" s="10"/>
      <c r="AX248" s="57"/>
      <c r="AY248" s="10"/>
      <c r="AZ248" s="57"/>
      <c r="BA248" s="10"/>
      <c r="BB248" s="57"/>
      <c r="BC248" s="10"/>
      <c r="BD248" s="57"/>
      <c r="BE248" s="10"/>
      <c r="BF248" s="57"/>
      <c r="BG248" s="10"/>
      <c r="BH248" s="57"/>
      <c r="BI248" s="10"/>
      <c r="BJ248" s="57"/>
      <c r="BK248" s="10"/>
      <c r="BL248" s="57"/>
      <c r="BM248" s="10"/>
      <c r="BN248" s="57"/>
      <c r="BO248" s="10"/>
      <c r="BP248" s="57"/>
      <c r="BQ248" s="10"/>
      <c r="BR248" s="57"/>
      <c r="BS248" s="10"/>
      <c r="BT248" s="57"/>
      <c r="BU248" s="10"/>
      <c r="BV248" s="57"/>
      <c r="BW248" s="10"/>
      <c r="BX248" s="57"/>
      <c r="BY248" s="10"/>
      <c r="BZ248" s="57"/>
      <c r="CA248" s="10"/>
      <c r="CB248" s="57"/>
      <c r="CC248" s="10"/>
      <c r="CD248" s="57"/>
      <c r="CE248" s="10"/>
      <c r="CF248" s="57"/>
      <c r="CG248" s="10"/>
      <c r="CH248" s="57"/>
      <c r="CI248" s="10"/>
      <c r="CJ248" s="57"/>
      <c r="CK248" s="10"/>
      <c r="CL248" s="57"/>
      <c r="CM248" s="10"/>
      <c r="CN248" s="57"/>
      <c r="CO248" s="10"/>
      <c r="CP248" s="57"/>
      <c r="CQ248" s="10"/>
      <c r="CR248" s="57"/>
      <c r="CS248" s="10"/>
      <c r="CT248" s="57"/>
      <c r="CU248" s="10"/>
      <c r="CV248" s="57"/>
      <c r="CW248" s="10"/>
      <c r="CX248" s="57"/>
      <c r="CY248" s="10"/>
      <c r="CZ248" s="57"/>
      <c r="DA248" s="10"/>
      <c r="DB248" s="57"/>
      <c r="DC248" s="10"/>
      <c r="DD248" s="57"/>
      <c r="DE248" s="10"/>
      <c r="DF248" s="57"/>
      <c r="DG248" s="10"/>
      <c r="DH248" s="57"/>
      <c r="DI248" s="10"/>
      <c r="DJ248" s="57"/>
      <c r="DK248" s="10"/>
      <c r="DL248" s="57"/>
      <c r="DM248" s="10"/>
      <c r="DN248" s="57"/>
      <c r="DO248" s="10"/>
      <c r="DP248" s="57"/>
      <c r="DQ248" s="10"/>
      <c r="DR248" s="57"/>
      <c r="DS248" s="10"/>
      <c r="DT248" s="57"/>
      <c r="DU248" s="10"/>
      <c r="DV248" s="57"/>
      <c r="DW248" s="10"/>
      <c r="DX248" s="57"/>
      <c r="DY248" s="10"/>
      <c r="DZ248" s="57"/>
      <c r="EA248" s="10"/>
      <c r="EB248" s="57"/>
      <c r="EC248" s="10"/>
      <c r="ED248" s="57"/>
      <c r="EE248" s="10"/>
      <c r="EF248" s="57"/>
      <c r="EG248" s="10"/>
      <c r="EH248" s="57"/>
      <c r="EI248" s="10"/>
      <c r="EJ248" s="57"/>
      <c r="EK248" s="10"/>
      <c r="EL248" s="57"/>
      <c r="EM248" s="10"/>
      <c r="EN248" s="57"/>
      <c r="EO248" s="10"/>
      <c r="EP248" s="57"/>
      <c r="EQ248" s="10"/>
      <c r="ER248" s="57"/>
      <c r="ES248" s="10"/>
      <c r="ET248" s="57"/>
      <c r="EU248" s="10"/>
      <c r="EV248" s="57"/>
      <c r="EW248" s="10"/>
      <c r="EX248" s="57"/>
      <c r="EY248" s="10"/>
      <c r="EZ248" s="57"/>
      <c r="FA248" s="10"/>
      <c r="FB248" s="57"/>
      <c r="FC248" s="10"/>
      <c r="FD248" s="57"/>
      <c r="FE248" s="10"/>
      <c r="FF248" s="57"/>
      <c r="FG248" s="10"/>
      <c r="FH248" s="57"/>
      <c r="FI248" s="10"/>
      <c r="FJ248" s="57"/>
      <c r="FK248" s="10"/>
      <c r="FL248" s="57"/>
      <c r="FM248" s="10"/>
      <c r="FN248" s="57"/>
      <c r="FO248" s="10"/>
      <c r="FP248" s="57"/>
      <c r="FQ248" s="10"/>
      <c r="FR248" s="57"/>
      <c r="FS248" s="10"/>
      <c r="FT248" s="57"/>
      <c r="FU248" s="10"/>
      <c r="FV248" s="57"/>
      <c r="FW248" s="10"/>
      <c r="FX248" s="57"/>
      <c r="FY248" s="10"/>
      <c r="FZ248" s="57"/>
      <c r="GA248" s="10"/>
      <c r="GB248" s="57"/>
      <c r="GC248" s="10"/>
      <c r="GD248" s="57"/>
      <c r="GE248" s="10"/>
      <c r="GF248" s="57"/>
      <c r="GG248" s="10"/>
      <c r="GH248" s="57"/>
      <c r="GI248" s="10"/>
      <c r="GJ248" s="57"/>
      <c r="GK248" s="10"/>
      <c r="GL248" s="57"/>
      <c r="GM248" s="10"/>
      <c r="GN248" s="57"/>
      <c r="GO248" s="10"/>
      <c r="GP248" s="57"/>
      <c r="GQ248" s="10"/>
      <c r="GR248" s="57"/>
      <c r="GS248" s="10"/>
      <c r="GT248" s="57"/>
      <c r="GU248" s="10"/>
      <c r="GV248" s="57"/>
      <c r="GW248" s="10"/>
      <c r="GX248" s="57"/>
      <c r="GY248" s="10"/>
      <c r="GZ248" s="57"/>
      <c r="HA248" s="10"/>
      <c r="HB248" s="57"/>
      <c r="HC248" s="10"/>
      <c r="HD248" s="57"/>
      <c r="HE248" s="10"/>
      <c r="HF248" s="57"/>
      <c r="HG248" s="10"/>
      <c r="HH248" s="57"/>
      <c r="HI248" s="10"/>
      <c r="HJ248" s="57"/>
      <c r="HK248" s="10"/>
      <c r="HL248" s="57"/>
      <c r="HM248" s="10"/>
      <c r="HN248" s="57"/>
      <c r="HO248" s="10"/>
      <c r="HP248" s="57"/>
      <c r="HQ248" s="10"/>
      <c r="HR248" s="57"/>
      <c r="HS248" s="10"/>
      <c r="HT248" s="57"/>
      <c r="HU248" s="10"/>
      <c r="HV248" s="57"/>
      <c r="HW248" s="10"/>
      <c r="HX248" s="57"/>
      <c r="HY248" s="10"/>
      <c r="HZ248" s="57"/>
      <c r="IA248" s="10"/>
      <c r="IB248" s="57"/>
      <c r="IC248" s="10"/>
      <c r="ID248" s="57"/>
      <c r="IE248" s="10"/>
      <c r="IF248" s="57"/>
      <c r="IG248" s="10"/>
      <c r="IH248" s="57"/>
      <c r="II248" s="10"/>
      <c r="IJ248" s="57"/>
      <c r="IK248" s="10"/>
      <c r="IL248" s="57"/>
      <c r="IM248" s="10"/>
      <c r="IN248" s="57"/>
      <c r="IO248" s="10"/>
      <c r="IP248" s="57"/>
      <c r="IQ248" s="10"/>
      <c r="IR248" s="57"/>
      <c r="IS248" s="10"/>
      <c r="IT248" s="57"/>
      <c r="IU248" s="10"/>
      <c r="IV248" s="57"/>
      <c r="IW248" s="10"/>
      <c r="IX248" s="57"/>
      <c r="IY248" s="10"/>
      <c r="IZ248" s="57"/>
      <c r="JA248" s="10"/>
      <c r="JB248" s="57"/>
      <c r="JC248" s="10"/>
      <c r="JD248" s="57"/>
      <c r="JE248" s="10"/>
      <c r="JF248" s="57"/>
      <c r="JG248" s="10"/>
      <c r="JH248" s="57"/>
      <c r="JI248" s="10"/>
      <c r="JJ248" s="57"/>
      <c r="JK248" s="10"/>
      <c r="JL248" s="57"/>
      <c r="JM248" s="10"/>
      <c r="JN248" s="57"/>
      <c r="JO248" s="10"/>
      <c r="JP248" s="57"/>
      <c r="JQ248" s="10"/>
      <c r="JR248" s="57"/>
      <c r="JS248" s="10"/>
      <c r="JT248" s="57"/>
      <c r="JU248" s="10"/>
      <c r="JV248" s="57"/>
      <c r="JW248" s="10"/>
      <c r="JX248" s="57"/>
      <c r="JY248" s="10"/>
      <c r="JZ248" s="57"/>
      <c r="KA248" s="10"/>
      <c r="KB248" s="57"/>
      <c r="KC248" s="10"/>
      <c r="KD248" s="57"/>
      <c r="KE248" s="10"/>
      <c r="KF248" s="57"/>
      <c r="KG248" s="10"/>
      <c r="KH248" s="57"/>
      <c r="KI248" s="10"/>
      <c r="KJ248" s="57"/>
      <c r="KK248" s="10"/>
      <c r="KL248" s="57"/>
      <c r="KM248" s="10"/>
      <c r="KN248" s="57"/>
      <c r="KO248" s="10"/>
      <c r="KP248" s="57"/>
      <c r="KQ248" s="10"/>
      <c r="KR248" s="57"/>
      <c r="KS248" s="10"/>
      <c r="KT248" s="57"/>
      <c r="KU248" s="10"/>
      <c r="KV248" s="57"/>
      <c r="KW248" s="10"/>
      <c r="KX248" s="57"/>
      <c r="KY248" s="10"/>
      <c r="KZ248" s="57"/>
      <c r="LA248" s="10"/>
      <c r="LB248" s="57"/>
      <c r="LC248" s="10"/>
      <c r="LD248" s="57"/>
      <c r="LE248" s="10"/>
      <c r="LF248" s="57"/>
      <c r="LG248" s="10"/>
      <c r="LH248" s="57"/>
      <c r="LI248" s="10"/>
      <c r="LJ248" s="57"/>
      <c r="LK248" s="10"/>
      <c r="LL248" s="57"/>
      <c r="LM248" s="10"/>
      <c r="LN248" s="57"/>
      <c r="LO248" s="10"/>
      <c r="LP248" s="57"/>
      <c r="LQ248" s="10"/>
      <c r="LR248" s="57"/>
      <c r="LS248" s="10"/>
      <c r="LT248" s="57"/>
      <c r="LU248" s="10"/>
      <c r="LV248" s="57"/>
      <c r="LW248" s="10"/>
      <c r="LX248" s="57"/>
      <c r="LY248" s="10"/>
      <c r="LZ248" s="57"/>
      <c r="MA248" s="10"/>
      <c r="MB248" s="57"/>
      <c r="MC248" s="10"/>
      <c r="MD248" s="57"/>
      <c r="ME248" s="10"/>
      <c r="MF248" s="57"/>
      <c r="MG248" s="10"/>
      <c r="MH248" s="57"/>
      <c r="MI248" s="10"/>
      <c r="MJ248" s="57"/>
      <c r="MK248" s="10"/>
      <c r="ML248" s="57"/>
      <c r="MM248" s="10"/>
      <c r="MN248" s="57"/>
      <c r="MO248" s="10"/>
      <c r="MP248" s="57"/>
      <c r="MQ248" s="10"/>
      <c r="MR248" s="57"/>
      <c r="MS248" s="10"/>
      <c r="MT248" s="57"/>
      <c r="MU248" s="10"/>
      <c r="MV248" s="57"/>
      <c r="MW248" s="10"/>
      <c r="MX248" s="57"/>
      <c r="MY248" s="10"/>
      <c r="MZ248" s="57"/>
      <c r="NA248" s="10"/>
      <c r="NB248" s="57"/>
      <c r="NC248" s="10"/>
      <c r="ND248" s="57"/>
      <c r="NE248" s="10"/>
      <c r="NF248" s="57"/>
      <c r="NG248" s="10"/>
      <c r="NH248" s="57"/>
      <c r="NI248" s="10"/>
      <c r="NJ248" s="57"/>
      <c r="NK248" s="10"/>
      <c r="NL248" s="57"/>
      <c r="NM248" s="10"/>
      <c r="NN248" s="57"/>
      <c r="NO248" s="10"/>
      <c r="NP248" s="57"/>
      <c r="NQ248" s="10"/>
      <c r="NR248" s="57"/>
      <c r="NS248" s="10"/>
      <c r="NT248" s="57"/>
      <c r="NU248" s="10"/>
      <c r="NV248" s="57"/>
      <c r="NW248" s="10"/>
      <c r="NX248" s="57"/>
      <c r="NY248" s="10"/>
      <c r="NZ248" s="57"/>
      <c r="OA248" s="10"/>
      <c r="OB248" s="57"/>
      <c r="OC248" s="10"/>
      <c r="OD248" s="57"/>
      <c r="OE248" s="10"/>
      <c r="OF248" s="57"/>
      <c r="OG248" s="10"/>
      <c r="OH248" s="57"/>
      <c r="OI248" s="10"/>
      <c r="OJ248" s="57"/>
      <c r="OK248" s="10"/>
      <c r="OL248" s="57"/>
      <c r="OM248" s="10"/>
      <c r="ON248" s="57"/>
      <c r="OO248" s="10"/>
      <c r="OP248" s="57"/>
      <c r="OQ248" s="10"/>
      <c r="OR248" s="57"/>
      <c r="OS248" s="10"/>
      <c r="OT248" s="57"/>
      <c r="OU248" s="10"/>
      <c r="OV248" s="57"/>
      <c r="OW248" s="10"/>
      <c r="OX248" s="57"/>
      <c r="OY248" s="10"/>
      <c r="OZ248" s="57"/>
      <c r="PA248" s="10"/>
      <c r="PB248" s="57"/>
      <c r="PC248" s="10"/>
      <c r="PD248" s="57"/>
      <c r="PE248" s="10"/>
      <c r="PF248" s="57"/>
      <c r="PG248" s="10"/>
      <c r="PH248" s="57"/>
      <c r="PI248" s="10"/>
      <c r="PJ248" s="57"/>
      <c r="PK248" s="10"/>
      <c r="PL248" s="57"/>
      <c r="PM248" s="10"/>
      <c r="PN248" s="57"/>
      <c r="PO248" s="10"/>
      <c r="PP248" s="57"/>
      <c r="PQ248" s="10"/>
      <c r="PR248" s="57"/>
      <c r="PS248" s="10"/>
      <c r="PT248" s="57"/>
      <c r="PU248" s="10"/>
      <c r="PV248" s="57"/>
      <c r="PW248" s="10"/>
      <c r="PX248" s="57"/>
      <c r="PY248" s="10"/>
      <c r="PZ248" s="57"/>
      <c r="QA248" s="10"/>
      <c r="QB248" s="57"/>
      <c r="QC248" s="10"/>
      <c r="QD248" s="57"/>
      <c r="QE248" s="10"/>
      <c r="QF248" s="57"/>
      <c r="QG248" s="10"/>
      <c r="QH248" s="57"/>
      <c r="QI248" s="10"/>
      <c r="QJ248" s="57"/>
      <c r="QK248" s="10"/>
      <c r="QL248" s="57"/>
      <c r="QM248" s="10"/>
      <c r="QN248" s="57"/>
      <c r="QO248" s="10"/>
      <c r="QP248" s="57"/>
      <c r="QQ248" s="10"/>
      <c r="QR248" s="57"/>
      <c r="QS248" s="10"/>
      <c r="QT248" s="57"/>
      <c r="QU248" s="10"/>
      <c r="QV248" s="57"/>
      <c r="QW248" s="10"/>
      <c r="QX248" s="57"/>
      <c r="QY248" s="10"/>
      <c r="QZ248" s="57"/>
      <c r="RA248" s="10"/>
      <c r="RB248" s="57"/>
      <c r="RC248" s="10"/>
      <c r="RD248" s="57"/>
      <c r="RE248" s="10"/>
      <c r="RF248" s="57"/>
      <c r="RG248" s="10"/>
      <c r="RH248" s="57"/>
      <c r="RI248" s="10"/>
      <c r="RJ248" s="57"/>
      <c r="RK248" s="10"/>
      <c r="RL248" s="57"/>
      <c r="RM248" s="10"/>
      <c r="RN248" s="57"/>
      <c r="RO248" s="10"/>
      <c r="RP248" s="57"/>
      <c r="RQ248" s="10"/>
      <c r="RR248" s="57"/>
      <c r="RS248" s="10"/>
      <c r="RT248" s="57"/>
      <c r="RU248" s="10"/>
      <c r="RV248" s="57"/>
      <c r="RW248" s="10"/>
      <c r="RX248" s="57"/>
      <c r="RY248" s="10"/>
      <c r="RZ248" s="57"/>
      <c r="SA248" s="10"/>
      <c r="SB248" s="57"/>
      <c r="SC248" s="10"/>
      <c r="SD248" s="57"/>
      <c r="SE248" s="10"/>
      <c r="SF248" s="57"/>
      <c r="SG248" s="10"/>
      <c r="SH248" s="57"/>
      <c r="SI248" s="10"/>
      <c r="SJ248" s="57"/>
      <c r="SK248" s="10"/>
      <c r="SL248" s="57"/>
      <c r="SM248" s="10"/>
      <c r="SN248" s="57"/>
      <c r="SO248" s="10"/>
      <c r="SP248" s="57"/>
      <c r="SQ248" s="10"/>
      <c r="SR248" s="57"/>
      <c r="SS248" s="10"/>
      <c r="ST248" s="57"/>
      <c r="SU248" s="10"/>
      <c r="SV248" s="57"/>
      <c r="SW248" s="10"/>
      <c r="SX248" s="57"/>
      <c r="SY248" s="10"/>
      <c r="SZ248" s="57"/>
      <c r="TA248" s="10"/>
      <c r="TB248" s="57"/>
      <c r="TC248" s="10"/>
      <c r="TD248" s="57"/>
      <c r="TE248" s="10"/>
      <c r="TF248" s="57"/>
      <c r="TG248" s="10"/>
      <c r="TH248" s="57"/>
      <c r="TI248" s="10"/>
      <c r="TJ248" s="57"/>
      <c r="TK248" s="10"/>
      <c r="TL248" s="57"/>
      <c r="TM248" s="10"/>
      <c r="TN248" s="57"/>
      <c r="TO248" s="10"/>
      <c r="TP248" s="57"/>
      <c r="TQ248" s="10"/>
      <c r="TR248" s="57"/>
      <c r="TS248" s="10"/>
      <c r="TT248" s="57"/>
      <c r="TU248" s="10"/>
      <c r="TV248" s="57"/>
      <c r="TW248" s="10"/>
      <c r="TX248" s="57"/>
      <c r="TY248" s="10"/>
      <c r="TZ248" s="57"/>
      <c r="UA248" s="10"/>
      <c r="UB248" s="57"/>
      <c r="UC248" s="10"/>
      <c r="UD248" s="57"/>
      <c r="UE248" s="10"/>
      <c r="UF248" s="57"/>
      <c r="UG248" s="10"/>
      <c r="UH248" s="57"/>
      <c r="UI248" s="10"/>
      <c r="UJ248" s="57"/>
      <c r="UK248" s="10"/>
      <c r="UL248" s="57"/>
      <c r="UM248" s="10"/>
      <c r="UN248" s="57"/>
      <c r="UO248" s="10"/>
      <c r="UP248" s="57"/>
      <c r="UQ248" s="10"/>
      <c r="UR248" s="57"/>
      <c r="US248" s="10"/>
      <c r="UT248" s="57"/>
      <c r="UU248" s="10"/>
      <c r="UV248" s="57"/>
      <c r="UW248" s="10"/>
      <c r="UX248" s="57"/>
      <c r="UY248" s="10"/>
      <c r="UZ248" s="57"/>
      <c r="VA248" s="10"/>
      <c r="VB248" s="57"/>
      <c r="VC248" s="10"/>
      <c r="VD248" s="57"/>
      <c r="VE248" s="10"/>
      <c r="VF248" s="57"/>
      <c r="VG248" s="10"/>
      <c r="VH248" s="57"/>
      <c r="VI248" s="10"/>
      <c r="VJ248" s="57"/>
      <c r="VK248" s="10"/>
      <c r="VL248" s="57"/>
      <c r="VM248" s="10"/>
      <c r="VN248" s="57"/>
      <c r="VO248" s="10"/>
      <c r="VP248" s="57"/>
      <c r="VQ248" s="10"/>
      <c r="VR248" s="57"/>
      <c r="VS248" s="10"/>
      <c r="VT248" s="57"/>
      <c r="VU248" s="10"/>
      <c r="VV248" s="57"/>
      <c r="VW248" s="10"/>
      <c r="VX248" s="57"/>
      <c r="VY248" s="10"/>
      <c r="VZ248" s="57"/>
      <c r="WA248" s="10"/>
      <c r="WB248" s="57"/>
      <c r="WC248" s="10"/>
      <c r="WD248" s="57"/>
      <c r="WE248" s="10"/>
      <c r="WF248" s="57"/>
      <c r="WG248" s="10"/>
      <c r="WH248" s="57"/>
      <c r="WI248" s="10"/>
      <c r="WJ248" s="57"/>
      <c r="WK248" s="10"/>
      <c r="WL248" s="57"/>
      <c r="WM248" s="10"/>
      <c r="WN248" s="57"/>
      <c r="WO248" s="10"/>
      <c r="WP248" s="57"/>
      <c r="WQ248" s="10"/>
      <c r="WR248" s="57"/>
      <c r="WS248" s="10"/>
      <c r="WT248" s="57"/>
      <c r="WU248" s="10"/>
      <c r="WV248" s="57"/>
      <c r="WW248" s="10"/>
      <c r="WX248" s="57"/>
      <c r="WY248" s="10"/>
      <c r="WZ248" s="57"/>
      <c r="XA248" s="10"/>
      <c r="XB248" s="57"/>
      <c r="XC248" s="10"/>
      <c r="XD248" s="57"/>
      <c r="XE248" s="10"/>
      <c r="XF248" s="57"/>
      <c r="XG248" s="10"/>
      <c r="XH248" s="57"/>
      <c r="XI248" s="10"/>
      <c r="XJ248" s="57"/>
      <c r="XK248" s="10"/>
      <c r="XL248" s="57"/>
      <c r="XM248" s="10"/>
      <c r="XN248" s="57"/>
      <c r="XO248" s="10"/>
      <c r="XP248" s="57"/>
      <c r="XQ248" s="10"/>
      <c r="XR248" s="57"/>
      <c r="XS248" s="10"/>
      <c r="XT248" s="57"/>
      <c r="XU248" s="10"/>
      <c r="XV248" s="57"/>
      <c r="XW248" s="10"/>
      <c r="XX248" s="57"/>
      <c r="XY248" s="10"/>
      <c r="XZ248" s="57"/>
      <c r="YA248" s="10"/>
      <c r="YB248" s="57"/>
      <c r="YC248" s="10"/>
      <c r="YD248" s="57"/>
      <c r="YE248" s="10"/>
      <c r="YF248" s="57"/>
      <c r="YG248" s="10"/>
      <c r="YH248" s="57"/>
      <c r="YI248" s="10"/>
      <c r="YJ248" s="57"/>
      <c r="YK248" s="10"/>
      <c r="YL248" s="57"/>
      <c r="YM248" s="10"/>
      <c r="YN248" s="57"/>
      <c r="YO248" s="10"/>
      <c r="YP248" s="57"/>
      <c r="YQ248" s="10"/>
      <c r="YR248" s="57"/>
      <c r="YS248" s="10"/>
      <c r="YT248" s="57"/>
      <c r="YU248" s="10"/>
      <c r="YV248" s="57"/>
      <c r="YW248" s="10"/>
      <c r="YX248" s="57"/>
      <c r="YY248" s="10"/>
      <c r="YZ248" s="57"/>
      <c r="ZA248" s="10"/>
      <c r="ZB248" s="57"/>
      <c r="ZC248" s="10"/>
      <c r="ZD248" s="57"/>
      <c r="ZE248" s="10"/>
      <c r="ZF248" s="57"/>
      <c r="ZG248" s="10"/>
      <c r="ZH248" s="57"/>
      <c r="ZI248" s="10"/>
      <c r="ZJ248" s="57"/>
      <c r="ZK248" s="10"/>
      <c r="ZL248" s="57"/>
      <c r="ZM248" s="10"/>
      <c r="ZN248" s="57"/>
      <c r="ZO248" s="10"/>
      <c r="ZP248" s="57"/>
      <c r="ZQ248" s="10"/>
      <c r="ZR248" s="57"/>
      <c r="ZS248" s="10"/>
      <c r="ZT248" s="57"/>
      <c r="ZU248" s="10"/>
      <c r="ZV248" s="57"/>
      <c r="ZW248" s="10"/>
      <c r="ZX248" s="57"/>
      <c r="ZY248" s="10"/>
      <c r="ZZ248" s="57"/>
      <c r="AAA248" s="10"/>
      <c r="AAB248" s="57"/>
      <c r="AAC248" s="10"/>
      <c r="AAD248" s="57"/>
      <c r="AAE248" s="10"/>
      <c r="AAF248" s="57"/>
      <c r="AAG248" s="10"/>
      <c r="AAH248" s="57"/>
      <c r="AAI248" s="10"/>
      <c r="AAJ248" s="57"/>
      <c r="AAK248" s="10"/>
      <c r="AAL248" s="57"/>
      <c r="AAM248" s="10"/>
      <c r="AAN248" s="57"/>
      <c r="AAO248" s="10"/>
      <c r="AAP248" s="57"/>
      <c r="AAQ248" s="10"/>
      <c r="AAR248" s="57"/>
      <c r="AAS248" s="10"/>
      <c r="AAT248" s="57"/>
      <c r="AAU248" s="10"/>
      <c r="AAV248" s="57"/>
      <c r="AAW248" s="10"/>
      <c r="AAX248" s="57"/>
      <c r="AAY248" s="10"/>
      <c r="AAZ248" s="57"/>
      <c r="ABA248" s="10"/>
      <c r="ABB248" s="57"/>
      <c r="ABC248" s="10"/>
      <c r="ABD248" s="57"/>
      <c r="ABE248" s="10"/>
      <c r="ABF248" s="57"/>
      <c r="ABG248" s="10"/>
      <c r="ABH248" s="57"/>
      <c r="ABI248" s="10"/>
      <c r="ABJ248" s="57"/>
      <c r="ABK248" s="10"/>
      <c r="ABL248" s="57"/>
      <c r="ABM248" s="10"/>
      <c r="ABN248" s="57"/>
      <c r="ABO248" s="10"/>
      <c r="ABP248" s="57"/>
      <c r="ABQ248" s="10"/>
      <c r="ABR248" s="57"/>
      <c r="ABS248" s="10"/>
      <c r="ABT248" s="57"/>
      <c r="ABU248" s="10"/>
      <c r="ABV248" s="57"/>
      <c r="ABW248" s="10"/>
      <c r="ABX248" s="57"/>
      <c r="ABY248" s="10"/>
      <c r="ABZ248" s="57"/>
      <c r="ACA248" s="10"/>
      <c r="ACB248" s="57"/>
      <c r="ACC248" s="10"/>
      <c r="ACD248" s="57"/>
      <c r="ACE248" s="10"/>
      <c r="ACF248" s="57"/>
      <c r="ACG248" s="10"/>
      <c r="ACH248" s="57"/>
      <c r="ACI248" s="10"/>
      <c r="ACJ248" s="57"/>
      <c r="ACK248" s="10"/>
      <c r="ACL248" s="57"/>
      <c r="ACM248" s="10"/>
      <c r="ACN248" s="57"/>
      <c r="ACO248" s="10"/>
      <c r="ACP248" s="57"/>
      <c r="ACQ248" s="10"/>
      <c r="ACR248" s="57"/>
      <c r="ACS248" s="10"/>
      <c r="ACT248" s="57"/>
      <c r="ACU248" s="10"/>
      <c r="ACV248" s="57"/>
      <c r="ACW248" s="10"/>
      <c r="ACX248" s="57"/>
      <c r="ACY248" s="10"/>
      <c r="ACZ248" s="57"/>
      <c r="ADA248" s="10"/>
      <c r="ADB248" s="57"/>
      <c r="ADC248" s="10"/>
      <c r="ADD248" s="57"/>
      <c r="ADE248" s="10"/>
      <c r="ADF248" s="57"/>
      <c r="ADG248" s="10"/>
      <c r="ADH248" s="57"/>
      <c r="ADI248" s="10"/>
      <c r="ADJ248" s="57"/>
      <c r="ADK248" s="10"/>
      <c r="ADL248" s="57"/>
      <c r="ADM248" s="10"/>
      <c r="ADN248" s="57"/>
      <c r="ADO248" s="10"/>
      <c r="ADP248" s="57"/>
      <c r="ADQ248" s="10"/>
      <c r="ADR248" s="57"/>
      <c r="ADS248" s="10"/>
      <c r="ADT248" s="57"/>
      <c r="ADU248" s="10"/>
      <c r="ADV248" s="57"/>
      <c r="ADW248" s="10"/>
      <c r="ADX248" s="57"/>
      <c r="ADY248" s="10"/>
      <c r="ADZ248" s="57"/>
      <c r="AEA248" s="10"/>
      <c r="AEB248" s="57"/>
      <c r="AEC248" s="10"/>
      <c r="AED248" s="57"/>
      <c r="AEE248" s="10"/>
      <c r="AEF248" s="57"/>
      <c r="AEG248" s="10"/>
      <c r="AEH248" s="57"/>
      <c r="AEI248" s="10"/>
      <c r="AEJ248" s="57"/>
      <c r="AEK248" s="10"/>
      <c r="AEL248" s="57"/>
      <c r="AEM248" s="10"/>
      <c r="AEN248" s="57"/>
      <c r="AEO248" s="10"/>
      <c r="AEP248" s="57"/>
      <c r="AEQ248" s="10"/>
      <c r="AER248" s="57"/>
      <c r="AES248" s="10"/>
      <c r="AET248" s="57"/>
      <c r="AEU248" s="10"/>
      <c r="AEV248" s="57"/>
      <c r="AEW248" s="10"/>
      <c r="AEX248" s="57"/>
      <c r="AEY248" s="10"/>
      <c r="AEZ248" s="57"/>
      <c r="AFA248" s="10"/>
      <c r="AFB248" s="57"/>
      <c r="AFC248" s="10"/>
      <c r="AFD248" s="57"/>
      <c r="AFE248" s="10"/>
      <c r="AFF248" s="57"/>
      <c r="AFG248" s="10"/>
      <c r="AFH248" s="57"/>
      <c r="AFI248" s="10"/>
      <c r="AFJ248" s="57"/>
      <c r="AFK248" s="10"/>
      <c r="AFL248" s="57"/>
      <c r="AFM248" s="10"/>
      <c r="AFN248" s="57"/>
      <c r="AFO248" s="10"/>
      <c r="AFP248" s="57"/>
      <c r="AFQ248" s="10"/>
      <c r="AFR248" s="57"/>
      <c r="AFS248" s="10"/>
      <c r="AFT248" s="57"/>
      <c r="AFU248" s="10"/>
      <c r="AFV248" s="57"/>
      <c r="AFW248" s="10"/>
      <c r="AFX248" s="57"/>
      <c r="AFY248" s="10"/>
      <c r="AFZ248" s="57"/>
      <c r="AGA248" s="10"/>
      <c r="AGB248" s="57"/>
      <c r="AGC248" s="10"/>
      <c r="AGD248" s="57"/>
      <c r="AGE248" s="10"/>
      <c r="AGF248" s="57"/>
      <c r="AGG248" s="10"/>
      <c r="AGH248" s="57"/>
      <c r="AGI248" s="10"/>
      <c r="AGJ248" s="57"/>
      <c r="AGK248" s="10"/>
      <c r="AGL248" s="57"/>
      <c r="AGM248" s="10"/>
      <c r="AGN248" s="57"/>
      <c r="AGO248" s="10"/>
      <c r="AGP248" s="57"/>
      <c r="AGQ248" s="10"/>
      <c r="AGR248" s="57"/>
      <c r="AGS248" s="10"/>
      <c r="AGT248" s="57"/>
      <c r="AGU248" s="10"/>
      <c r="AGV248" s="57"/>
      <c r="AGW248" s="10"/>
      <c r="AGX248" s="57"/>
      <c r="AGY248" s="10"/>
      <c r="AGZ248" s="57"/>
      <c r="AHA248" s="10"/>
      <c r="AHB248" s="57"/>
      <c r="AHC248" s="10"/>
      <c r="AHD248" s="57"/>
      <c r="AHE248" s="10"/>
      <c r="AHF248" s="57"/>
      <c r="AHG248" s="10"/>
      <c r="AHH248" s="57"/>
      <c r="AHI248" s="10"/>
      <c r="AHJ248" s="57"/>
      <c r="AHK248" s="10"/>
      <c r="AHL248" s="57"/>
      <c r="AHM248" s="10"/>
      <c r="AHN248" s="57"/>
      <c r="AHO248" s="10"/>
      <c r="AHP248" s="57"/>
      <c r="AHQ248" s="10"/>
      <c r="AHR248" s="57"/>
      <c r="AHS248" s="10"/>
      <c r="AHT248" s="57"/>
      <c r="AHU248" s="10"/>
      <c r="AHV248" s="57"/>
      <c r="AHW248" s="10"/>
      <c r="AHX248" s="57"/>
      <c r="AHY248" s="10"/>
      <c r="AHZ248" s="57"/>
      <c r="AIA248" s="10"/>
      <c r="AIB248" s="57"/>
      <c r="AIC248" s="10"/>
      <c r="AID248" s="57"/>
      <c r="AIE248" s="10"/>
      <c r="AIF248" s="57"/>
      <c r="AIG248" s="10"/>
      <c r="AIH248" s="57"/>
      <c r="AII248" s="10"/>
      <c r="AIJ248" s="57"/>
      <c r="AIK248" s="10"/>
      <c r="AIL248" s="57"/>
      <c r="AIM248" s="10"/>
      <c r="AIN248" s="57"/>
      <c r="AIO248" s="10"/>
      <c r="AIP248" s="57"/>
      <c r="AIQ248" s="10"/>
      <c r="AIR248" s="57"/>
      <c r="AIS248" s="10"/>
      <c r="AIT248" s="57"/>
      <c r="AIU248" s="10"/>
      <c r="AIV248" s="57"/>
      <c r="AIW248" s="10"/>
      <c r="AIX248" s="57"/>
      <c r="AIY248" s="10"/>
      <c r="AIZ248" s="57"/>
      <c r="AJA248" s="10"/>
      <c r="AJB248" s="57"/>
      <c r="AJC248" s="10"/>
      <c r="AJD248" s="57"/>
      <c r="AJE248" s="10"/>
      <c r="AJF248" s="57"/>
      <c r="AJG248" s="10"/>
      <c r="AJH248" s="57"/>
      <c r="AJI248" s="10"/>
      <c r="AJJ248" s="57"/>
      <c r="AJK248" s="10"/>
      <c r="AJL248" s="57"/>
      <c r="AJM248" s="10"/>
      <c r="AJN248" s="57"/>
      <c r="AJO248" s="10"/>
      <c r="AJP248" s="57"/>
      <c r="AJQ248" s="10"/>
      <c r="AJR248" s="57"/>
      <c r="AJS248" s="10"/>
      <c r="AJT248" s="57"/>
      <c r="AJU248" s="10"/>
      <c r="AJV248" s="57"/>
      <c r="AJW248" s="10"/>
      <c r="AJX248" s="57"/>
      <c r="AJY248" s="10"/>
      <c r="AJZ248" s="57"/>
      <c r="AKA248" s="10"/>
      <c r="AKB248" s="57"/>
      <c r="AKC248" s="10"/>
      <c r="AKD248" s="57"/>
      <c r="AKE248" s="10"/>
      <c r="AKF248" s="57"/>
      <c r="AKG248" s="10"/>
      <c r="AKH248" s="57"/>
      <c r="AKI248" s="10"/>
      <c r="AKJ248" s="57"/>
      <c r="AKK248" s="10"/>
      <c r="AKL248" s="57"/>
      <c r="AKM248" s="10"/>
      <c r="AKN248" s="57"/>
      <c r="AKO248" s="10"/>
      <c r="AKP248" s="57"/>
      <c r="AKQ248" s="10"/>
      <c r="AKR248" s="57"/>
      <c r="AKS248" s="10"/>
      <c r="AKT248" s="57"/>
      <c r="AKU248" s="10"/>
      <c r="AKV248" s="57"/>
      <c r="AKW248" s="10"/>
      <c r="AKX248" s="57"/>
      <c r="AKY248" s="10"/>
      <c r="AKZ248" s="57"/>
      <c r="ALA248" s="10"/>
      <c r="ALB248" s="57"/>
      <c r="ALC248" s="10"/>
      <c r="ALD248" s="57"/>
      <c r="ALE248" s="10"/>
      <c r="ALF248" s="57"/>
      <c r="ALG248" s="10"/>
      <c r="ALH248" s="57"/>
      <c r="ALI248" s="10"/>
      <c r="ALJ248" s="57"/>
      <c r="ALK248" s="10"/>
      <c r="ALL248" s="57"/>
      <c r="ALM248" s="10"/>
      <c r="ALN248" s="57"/>
      <c r="ALO248" s="10"/>
      <c r="ALP248" s="57"/>
      <c r="ALQ248" s="10"/>
      <c r="ALR248" s="57"/>
      <c r="ALS248" s="10"/>
      <c r="ALT248" s="57"/>
      <c r="ALU248" s="10"/>
      <c r="ALV248" s="57"/>
      <c r="ALW248" s="10"/>
      <c r="ALX248" s="57"/>
      <c r="ALY248" s="10"/>
      <c r="ALZ248" s="57"/>
      <c r="AMA248" s="10"/>
      <c r="AMB248" s="57"/>
      <c r="AMC248" s="10"/>
      <c r="AMD248" s="57"/>
      <c r="AME248" s="10"/>
      <c r="AMF248" s="57"/>
      <c r="AMG248" s="10"/>
      <c r="AMH248" s="57"/>
      <c r="AMI248" s="10"/>
      <c r="AMJ248" s="57"/>
      <c r="AMK248" s="10"/>
      <c r="AML248" s="57"/>
      <c r="AMM248" s="10"/>
      <c r="AMN248" s="57"/>
      <c r="AMO248" s="10"/>
      <c r="AMP248" s="57"/>
      <c r="AMQ248" s="10"/>
      <c r="AMR248" s="57"/>
      <c r="AMS248" s="10"/>
      <c r="AMT248" s="57"/>
      <c r="AMU248" s="10"/>
      <c r="AMV248" s="57"/>
      <c r="AMW248" s="10"/>
      <c r="AMX248" s="57"/>
      <c r="AMY248" s="10"/>
      <c r="AMZ248" s="57"/>
      <c r="ANA248" s="10"/>
      <c r="ANB248" s="57"/>
      <c r="ANC248" s="10"/>
      <c r="AND248" s="57"/>
      <c r="ANE248" s="10"/>
      <c r="ANF248" s="57"/>
      <c r="ANG248" s="10"/>
      <c r="ANH248" s="57"/>
      <c r="ANI248" s="10"/>
      <c r="ANJ248" s="57"/>
      <c r="ANK248" s="10"/>
      <c r="ANL248" s="57"/>
      <c r="ANM248" s="10"/>
      <c r="ANN248" s="57"/>
      <c r="ANO248" s="10"/>
      <c r="ANP248" s="57"/>
      <c r="ANQ248" s="10"/>
      <c r="ANR248" s="57"/>
      <c r="ANS248" s="10"/>
      <c r="ANT248" s="57"/>
      <c r="ANU248" s="10"/>
      <c r="ANV248" s="57"/>
      <c r="ANW248" s="10"/>
      <c r="ANX248" s="57"/>
      <c r="ANY248" s="10"/>
      <c r="ANZ248" s="57"/>
      <c r="AOA248" s="10"/>
      <c r="AOB248" s="57"/>
      <c r="AOC248" s="10"/>
      <c r="AOD248" s="57"/>
      <c r="AOE248" s="10"/>
      <c r="AOF248" s="57"/>
      <c r="AOG248" s="10"/>
      <c r="AOH248" s="57"/>
      <c r="AOI248" s="10"/>
      <c r="AOJ248" s="57"/>
      <c r="AOK248" s="10"/>
      <c r="AOL248" s="57"/>
      <c r="AOM248" s="10"/>
      <c r="AON248" s="57"/>
      <c r="AOO248" s="10"/>
      <c r="AOP248" s="57"/>
      <c r="AOQ248" s="10"/>
      <c r="AOR248" s="57"/>
      <c r="AOS248" s="10"/>
      <c r="AOT248" s="57"/>
      <c r="AOU248" s="10"/>
      <c r="AOV248" s="57"/>
      <c r="AOW248" s="10"/>
      <c r="AOX248" s="57"/>
      <c r="AOY248" s="10"/>
      <c r="AOZ248" s="57"/>
      <c r="APA248" s="10"/>
      <c r="APB248" s="57"/>
      <c r="APC248" s="10"/>
      <c r="APD248" s="57"/>
      <c r="APE248" s="10"/>
      <c r="APF248" s="57"/>
      <c r="APG248" s="10"/>
      <c r="APH248" s="57"/>
      <c r="API248" s="10"/>
      <c r="APJ248" s="57"/>
      <c r="APK248" s="10"/>
      <c r="APL248" s="57"/>
      <c r="APM248" s="10"/>
      <c r="APN248" s="57"/>
      <c r="APO248" s="10"/>
      <c r="APP248" s="57"/>
      <c r="APQ248" s="10"/>
      <c r="APR248" s="57"/>
      <c r="APS248" s="10"/>
      <c r="APT248" s="57"/>
      <c r="APU248" s="10"/>
      <c r="APV248" s="57"/>
      <c r="APW248" s="10"/>
      <c r="APX248" s="57"/>
      <c r="APY248" s="10"/>
      <c r="APZ248" s="57"/>
      <c r="AQA248" s="10"/>
      <c r="AQB248" s="57"/>
      <c r="AQC248" s="10"/>
      <c r="AQD248" s="57"/>
      <c r="AQE248" s="10"/>
      <c r="AQF248" s="57"/>
      <c r="AQG248" s="10"/>
      <c r="AQH248" s="57"/>
      <c r="AQI248" s="10"/>
      <c r="AQJ248" s="57"/>
      <c r="AQK248" s="10"/>
      <c r="AQL248" s="57"/>
      <c r="AQM248" s="10"/>
      <c r="AQN248" s="57"/>
      <c r="AQO248" s="10"/>
      <c r="AQP248" s="57"/>
      <c r="AQQ248" s="10"/>
      <c r="AQR248" s="57"/>
      <c r="AQS248" s="10"/>
      <c r="AQT248" s="57"/>
      <c r="AQU248" s="10"/>
      <c r="AQV248" s="57"/>
      <c r="AQW248" s="10"/>
      <c r="AQX248" s="57"/>
      <c r="AQY248" s="10"/>
      <c r="AQZ248" s="57"/>
      <c r="ARA248" s="10"/>
      <c r="ARB248" s="57"/>
      <c r="ARC248" s="10"/>
      <c r="ARD248" s="57"/>
      <c r="ARE248" s="10"/>
      <c r="ARF248" s="57"/>
      <c r="ARG248" s="10"/>
      <c r="ARH248" s="57"/>
      <c r="ARI248" s="10"/>
      <c r="ARJ248" s="57"/>
      <c r="ARK248" s="10"/>
      <c r="ARL248" s="57"/>
      <c r="ARM248" s="10"/>
      <c r="ARN248" s="57"/>
      <c r="ARO248" s="10"/>
      <c r="ARP248" s="57"/>
      <c r="ARQ248" s="10"/>
      <c r="ARR248" s="57"/>
      <c r="ARS248" s="10"/>
      <c r="ART248" s="57"/>
      <c r="ARU248" s="10"/>
      <c r="ARV248" s="57"/>
      <c r="ARW248" s="10"/>
      <c r="ARX248" s="57"/>
      <c r="ARY248" s="10"/>
      <c r="ARZ248" s="57"/>
      <c r="ASA248" s="10"/>
      <c r="ASB248" s="57"/>
      <c r="ASC248" s="10"/>
      <c r="ASD248" s="57"/>
      <c r="ASE248" s="10"/>
      <c r="ASF248" s="57"/>
      <c r="ASG248" s="10"/>
      <c r="ASH248" s="57"/>
      <c r="ASI248" s="10"/>
      <c r="ASJ248" s="57"/>
      <c r="ASK248" s="10"/>
      <c r="ASL248" s="57"/>
      <c r="ASM248" s="10"/>
      <c r="ASN248" s="57"/>
      <c r="ASO248" s="10"/>
      <c r="ASP248" s="57"/>
      <c r="ASQ248" s="10"/>
      <c r="ASR248" s="57"/>
      <c r="ASS248" s="10"/>
      <c r="AST248" s="57"/>
      <c r="ASU248" s="10"/>
      <c r="ASV248" s="57"/>
      <c r="ASW248" s="10"/>
      <c r="ASX248" s="57"/>
      <c r="ASY248" s="10"/>
      <c r="ASZ248" s="57"/>
      <c r="ATA248" s="10"/>
      <c r="ATB248" s="57"/>
      <c r="ATC248" s="10"/>
      <c r="ATD248" s="57"/>
      <c r="ATE248" s="10"/>
      <c r="ATF248" s="57"/>
      <c r="ATG248" s="10"/>
      <c r="ATH248" s="57"/>
      <c r="ATI248" s="10"/>
      <c r="ATJ248" s="57"/>
      <c r="ATK248" s="10"/>
      <c r="ATL248" s="57"/>
      <c r="ATM248" s="10"/>
      <c r="ATN248" s="57"/>
      <c r="ATO248" s="10"/>
      <c r="ATP248" s="57"/>
      <c r="ATQ248" s="10"/>
      <c r="ATR248" s="57"/>
      <c r="ATS248" s="10"/>
      <c r="ATT248" s="57"/>
      <c r="ATU248" s="10"/>
      <c r="ATV248" s="57"/>
      <c r="ATW248" s="10"/>
      <c r="ATX248" s="57"/>
      <c r="ATY248" s="10"/>
      <c r="ATZ248" s="57"/>
      <c r="AUA248" s="10"/>
      <c r="AUB248" s="57"/>
      <c r="AUC248" s="10"/>
      <c r="AUD248" s="57"/>
      <c r="AUE248" s="10"/>
      <c r="AUF248" s="57"/>
      <c r="AUG248" s="10"/>
      <c r="AUH248" s="57"/>
      <c r="AUI248" s="10"/>
      <c r="AUJ248" s="57"/>
      <c r="AUK248" s="10"/>
      <c r="AUL248" s="57"/>
      <c r="AUM248" s="10"/>
      <c r="AUN248" s="57"/>
      <c r="AUO248" s="10"/>
      <c r="AUP248" s="57"/>
      <c r="AUQ248" s="10"/>
      <c r="AUR248" s="57"/>
      <c r="AUS248" s="10"/>
      <c r="AUT248" s="57"/>
      <c r="AUU248" s="10"/>
      <c r="AUV248" s="57"/>
      <c r="AUW248" s="10"/>
      <c r="AUX248" s="57"/>
      <c r="AUY248" s="10"/>
      <c r="AUZ248" s="57"/>
      <c r="AVA248" s="10"/>
      <c r="AVB248" s="57"/>
      <c r="AVC248" s="10"/>
      <c r="AVD248" s="57"/>
      <c r="AVE248" s="10"/>
      <c r="AVF248" s="57"/>
      <c r="AVG248" s="10"/>
      <c r="AVH248" s="57"/>
      <c r="AVI248" s="10"/>
      <c r="AVJ248" s="57"/>
      <c r="AVK248" s="10"/>
      <c r="AVL248" s="57"/>
      <c r="AVM248" s="10"/>
      <c r="AVN248" s="57"/>
      <c r="AVO248" s="10"/>
      <c r="AVP248" s="57"/>
      <c r="AVQ248" s="10"/>
      <c r="AVR248" s="57"/>
      <c r="AVS248" s="10"/>
      <c r="AVT248" s="57"/>
      <c r="AVU248" s="10"/>
      <c r="AVV248" s="57"/>
      <c r="AVW248" s="10"/>
      <c r="AVX248" s="57"/>
      <c r="AVY248" s="10"/>
      <c r="AVZ248" s="57"/>
      <c r="AWA248" s="10"/>
      <c r="AWB248" s="57"/>
      <c r="AWC248" s="10"/>
      <c r="AWD248" s="57"/>
      <c r="AWE248" s="10"/>
      <c r="AWF248" s="57"/>
      <c r="AWG248" s="10"/>
      <c r="AWH248" s="57"/>
      <c r="AWI248" s="10"/>
      <c r="AWJ248" s="57"/>
      <c r="AWK248" s="10"/>
      <c r="AWL248" s="57"/>
      <c r="AWM248" s="10"/>
      <c r="AWN248" s="57"/>
      <c r="AWO248" s="10"/>
      <c r="AWP248" s="57"/>
      <c r="AWQ248" s="10"/>
      <c r="AWR248" s="57"/>
      <c r="AWS248" s="10"/>
      <c r="AWT248" s="57"/>
      <c r="AWU248" s="10"/>
      <c r="AWV248" s="57"/>
      <c r="AWW248" s="10"/>
      <c r="AWX248" s="57"/>
      <c r="AWY248" s="10"/>
      <c r="AWZ248" s="57"/>
      <c r="AXA248" s="10"/>
      <c r="AXB248" s="57"/>
      <c r="AXC248" s="10"/>
      <c r="AXD248" s="57"/>
      <c r="AXE248" s="10"/>
      <c r="AXF248" s="57"/>
      <c r="AXG248" s="10"/>
      <c r="AXH248" s="57"/>
      <c r="AXI248" s="10"/>
      <c r="AXJ248" s="57"/>
      <c r="AXK248" s="10"/>
      <c r="AXL248" s="57"/>
      <c r="AXM248" s="10"/>
      <c r="AXN248" s="57"/>
      <c r="AXO248" s="10"/>
      <c r="AXP248" s="57"/>
      <c r="AXQ248" s="10"/>
      <c r="AXR248" s="57"/>
      <c r="AXS248" s="10"/>
      <c r="AXT248" s="57"/>
      <c r="AXU248" s="10"/>
      <c r="AXV248" s="57"/>
      <c r="AXW248" s="10"/>
      <c r="AXX248" s="57"/>
      <c r="AXY248" s="10"/>
      <c r="AXZ248" s="57"/>
      <c r="AYA248" s="10"/>
      <c r="AYB248" s="57"/>
      <c r="AYC248" s="10"/>
      <c r="AYD248" s="57"/>
      <c r="AYE248" s="10"/>
      <c r="AYF248" s="57"/>
      <c r="AYG248" s="10"/>
      <c r="AYH248" s="57"/>
      <c r="AYI248" s="10"/>
      <c r="AYJ248" s="57"/>
      <c r="AYK248" s="10"/>
      <c r="AYL248" s="57"/>
      <c r="AYM248" s="10"/>
      <c r="AYN248" s="57"/>
      <c r="AYO248" s="10"/>
      <c r="AYP248" s="57"/>
      <c r="AYQ248" s="10"/>
      <c r="AYR248" s="57"/>
      <c r="AYS248" s="10"/>
      <c r="AYT248" s="57"/>
      <c r="AYU248" s="10"/>
      <c r="AYV248" s="57"/>
      <c r="AYW248" s="10"/>
      <c r="AYX248" s="57"/>
      <c r="AYY248" s="10"/>
      <c r="AYZ248" s="57"/>
      <c r="AZA248" s="10"/>
      <c r="AZB248" s="57"/>
      <c r="AZC248" s="10"/>
      <c r="AZD248" s="57"/>
      <c r="AZE248" s="10"/>
      <c r="AZF248" s="57"/>
      <c r="AZG248" s="10"/>
      <c r="AZH248" s="57"/>
      <c r="AZI248" s="10"/>
      <c r="AZJ248" s="57"/>
      <c r="AZK248" s="10"/>
      <c r="AZL248" s="57"/>
      <c r="AZM248" s="10"/>
      <c r="AZN248" s="57"/>
      <c r="AZO248" s="10"/>
      <c r="AZP248" s="57"/>
      <c r="AZQ248" s="10"/>
      <c r="AZR248" s="57"/>
      <c r="AZS248" s="10"/>
      <c r="AZT248" s="57"/>
      <c r="AZU248" s="10"/>
      <c r="AZV248" s="57"/>
      <c r="AZW248" s="10"/>
      <c r="AZX248" s="57"/>
      <c r="AZY248" s="10"/>
      <c r="AZZ248" s="57"/>
      <c r="BAA248" s="10"/>
      <c r="BAB248" s="57"/>
      <c r="BAC248" s="10"/>
      <c r="BAD248" s="57"/>
      <c r="BAE248" s="10"/>
      <c r="BAF248" s="57"/>
      <c r="BAG248" s="10"/>
      <c r="BAH248" s="57"/>
      <c r="BAI248" s="10"/>
      <c r="BAJ248" s="57"/>
      <c r="BAK248" s="10"/>
      <c r="BAL248" s="57"/>
      <c r="BAM248" s="10"/>
      <c r="BAN248" s="57"/>
      <c r="BAO248" s="10"/>
      <c r="BAP248" s="57"/>
      <c r="BAQ248" s="10"/>
      <c r="BAR248" s="57"/>
      <c r="BAS248" s="10"/>
      <c r="BAT248" s="57"/>
      <c r="BAU248" s="10"/>
      <c r="BAV248" s="57"/>
      <c r="BAW248" s="10"/>
      <c r="BAX248" s="57"/>
      <c r="BAY248" s="10"/>
      <c r="BAZ248" s="57"/>
      <c r="BBA248" s="10"/>
      <c r="BBB248" s="57"/>
      <c r="BBC248" s="10"/>
      <c r="BBD248" s="57"/>
      <c r="BBE248" s="10"/>
      <c r="BBF248" s="57"/>
      <c r="BBG248" s="10"/>
      <c r="BBH248" s="57"/>
      <c r="BBI248" s="10"/>
      <c r="BBJ248" s="57"/>
      <c r="BBK248" s="10"/>
      <c r="BBL248" s="57"/>
      <c r="BBM248" s="10"/>
      <c r="BBN248" s="57"/>
      <c r="BBO248" s="10"/>
      <c r="BBP248" s="57"/>
      <c r="BBQ248" s="10"/>
      <c r="BBR248" s="57"/>
      <c r="BBS248" s="10"/>
      <c r="BBT248" s="57"/>
      <c r="BBU248" s="10"/>
      <c r="BBV248" s="57"/>
      <c r="BBW248" s="10"/>
      <c r="BBX248" s="57"/>
      <c r="BBY248" s="10"/>
      <c r="BBZ248" s="57"/>
      <c r="BCA248" s="10"/>
      <c r="BCB248" s="57"/>
      <c r="BCC248" s="10"/>
      <c r="BCD248" s="57"/>
      <c r="BCE248" s="10"/>
      <c r="BCF248" s="57"/>
      <c r="BCG248" s="10"/>
      <c r="BCH248" s="57"/>
      <c r="BCI248" s="10"/>
      <c r="BCJ248" s="57"/>
      <c r="BCK248" s="10"/>
      <c r="BCL248" s="57"/>
      <c r="BCM248" s="10"/>
      <c r="BCN248" s="57"/>
      <c r="BCO248" s="10"/>
      <c r="BCP248" s="57"/>
      <c r="BCQ248" s="10"/>
      <c r="BCR248" s="57"/>
      <c r="BCS248" s="10"/>
      <c r="BCT248" s="57"/>
      <c r="BCU248" s="10"/>
      <c r="BCV248" s="57"/>
      <c r="BCW248" s="10"/>
      <c r="BCX248" s="57"/>
      <c r="BCY248" s="10"/>
      <c r="BCZ248" s="57"/>
      <c r="BDA248" s="10"/>
      <c r="BDB248" s="57"/>
      <c r="BDC248" s="10"/>
      <c r="BDD248" s="57"/>
      <c r="BDE248" s="10"/>
      <c r="BDF248" s="57"/>
      <c r="BDG248" s="10"/>
      <c r="BDH248" s="57"/>
      <c r="BDI248" s="10"/>
      <c r="BDJ248" s="57"/>
      <c r="BDK248" s="10"/>
      <c r="BDL248" s="57"/>
      <c r="BDM248" s="10"/>
      <c r="BDN248" s="57"/>
      <c r="BDO248" s="10"/>
      <c r="BDP248" s="57"/>
      <c r="BDQ248" s="10"/>
      <c r="BDR248" s="57"/>
      <c r="BDS248" s="10"/>
      <c r="BDT248" s="57"/>
      <c r="BDU248" s="10"/>
      <c r="BDV248" s="57"/>
      <c r="BDW248" s="10"/>
      <c r="BDX248" s="57"/>
      <c r="BDY248" s="10"/>
      <c r="BDZ248" s="57"/>
      <c r="BEA248" s="10"/>
      <c r="BEB248" s="57"/>
      <c r="BEC248" s="10"/>
      <c r="BED248" s="57"/>
      <c r="BEE248" s="10"/>
      <c r="BEF248" s="57"/>
      <c r="BEG248" s="10"/>
      <c r="BEH248" s="57"/>
      <c r="BEI248" s="10"/>
      <c r="BEJ248" s="57"/>
      <c r="BEK248" s="10"/>
      <c r="BEL248" s="57"/>
      <c r="BEM248" s="10"/>
      <c r="BEN248" s="57"/>
      <c r="BEO248" s="10"/>
      <c r="BEP248" s="57"/>
      <c r="BEQ248" s="10"/>
      <c r="BER248" s="57"/>
      <c r="BES248" s="10"/>
      <c r="BET248" s="57"/>
      <c r="BEU248" s="10"/>
      <c r="BEV248" s="57"/>
      <c r="BEW248" s="10"/>
      <c r="BEX248" s="57"/>
      <c r="BEY248" s="10"/>
      <c r="BEZ248" s="57"/>
      <c r="BFA248" s="10"/>
      <c r="BFB248" s="57"/>
      <c r="BFC248" s="10"/>
      <c r="BFD248" s="57"/>
      <c r="BFE248" s="10"/>
      <c r="BFF248" s="57"/>
      <c r="BFG248" s="10"/>
      <c r="BFH248" s="57"/>
      <c r="BFI248" s="10"/>
      <c r="BFJ248" s="57"/>
      <c r="BFK248" s="10"/>
      <c r="BFL248" s="57"/>
      <c r="BFM248" s="10"/>
      <c r="BFN248" s="57"/>
      <c r="BFO248" s="10"/>
      <c r="BFP248" s="57"/>
      <c r="BFQ248" s="10"/>
      <c r="BFR248" s="57"/>
      <c r="BFS248" s="10"/>
      <c r="BFT248" s="57"/>
      <c r="BFU248" s="10"/>
      <c r="BFV248" s="57"/>
      <c r="BFW248" s="10"/>
      <c r="BFX248" s="57"/>
      <c r="BFY248" s="10"/>
      <c r="BFZ248" s="57"/>
      <c r="BGA248" s="10"/>
      <c r="BGB248" s="57"/>
      <c r="BGC248" s="10"/>
      <c r="BGD248" s="57"/>
      <c r="BGE248" s="10"/>
      <c r="BGF248" s="57"/>
      <c r="BGG248" s="10"/>
      <c r="BGH248" s="57"/>
      <c r="BGI248" s="10"/>
      <c r="BGJ248" s="57"/>
      <c r="BGK248" s="10"/>
      <c r="BGL248" s="57"/>
      <c r="BGM248" s="10"/>
      <c r="BGN248" s="57"/>
      <c r="BGO248" s="10"/>
      <c r="BGP248" s="57"/>
      <c r="BGQ248" s="10"/>
      <c r="BGR248" s="57"/>
      <c r="BGS248" s="10"/>
      <c r="BGT248" s="57"/>
      <c r="BGU248" s="10"/>
      <c r="BGV248" s="57"/>
      <c r="BGW248" s="10"/>
      <c r="BGX248" s="57"/>
      <c r="BGY248" s="10"/>
      <c r="BGZ248" s="57"/>
      <c r="BHA248" s="10"/>
      <c r="BHB248" s="57"/>
      <c r="BHC248" s="10"/>
      <c r="BHD248" s="57"/>
      <c r="BHE248" s="10"/>
      <c r="BHF248" s="57"/>
      <c r="BHG248" s="10"/>
      <c r="BHH248" s="57"/>
      <c r="BHI248" s="10"/>
      <c r="BHJ248" s="57"/>
      <c r="BHK248" s="10"/>
      <c r="BHL248" s="57"/>
      <c r="BHM248" s="10"/>
      <c r="BHN248" s="57"/>
      <c r="BHO248" s="10"/>
      <c r="BHP248" s="57"/>
      <c r="BHQ248" s="10"/>
      <c r="BHR248" s="57"/>
      <c r="BHS248" s="10"/>
      <c r="BHT248" s="57"/>
      <c r="BHU248" s="10"/>
      <c r="BHV248" s="57"/>
      <c r="BHW248" s="10"/>
      <c r="BHX248" s="57"/>
      <c r="BHY248" s="10"/>
      <c r="BHZ248" s="57"/>
      <c r="BIA248" s="10"/>
      <c r="BIB248" s="57"/>
      <c r="BIC248" s="10"/>
      <c r="BID248" s="57"/>
      <c r="BIE248" s="10"/>
      <c r="BIF248" s="57"/>
      <c r="BIG248" s="10"/>
      <c r="BIH248" s="57"/>
      <c r="BII248" s="10"/>
      <c r="BIJ248" s="57"/>
      <c r="BIK248" s="10"/>
      <c r="BIL248" s="57"/>
      <c r="BIM248" s="10"/>
      <c r="BIN248" s="57"/>
      <c r="BIO248" s="10"/>
      <c r="BIP248" s="57"/>
      <c r="BIQ248" s="10"/>
      <c r="BIR248" s="57"/>
      <c r="BIS248" s="10"/>
      <c r="BIT248" s="57"/>
      <c r="BIU248" s="10"/>
      <c r="BIV248" s="57"/>
      <c r="BIW248" s="10"/>
      <c r="BIX248" s="57"/>
      <c r="BIY248" s="10"/>
      <c r="BIZ248" s="57"/>
      <c r="BJA248" s="10"/>
      <c r="BJB248" s="57"/>
      <c r="BJC248" s="10"/>
      <c r="BJD248" s="57"/>
      <c r="BJE248" s="10"/>
      <c r="BJF248" s="57"/>
      <c r="BJG248" s="10"/>
      <c r="BJH248" s="57"/>
      <c r="BJI248" s="10"/>
      <c r="BJJ248" s="57"/>
      <c r="BJK248" s="10"/>
      <c r="BJL248" s="57"/>
      <c r="BJM248" s="10"/>
      <c r="BJN248" s="57"/>
      <c r="BJO248" s="10"/>
      <c r="BJP248" s="57"/>
      <c r="BJQ248" s="10"/>
      <c r="BJR248" s="57"/>
      <c r="BJS248" s="10"/>
      <c r="BJT248" s="57"/>
      <c r="BJU248" s="10"/>
      <c r="BJV248" s="57"/>
      <c r="BJW248" s="10"/>
      <c r="BJX248" s="57"/>
      <c r="BJY248" s="10"/>
      <c r="BJZ248" s="57"/>
      <c r="BKA248" s="10"/>
      <c r="BKB248" s="57"/>
      <c r="BKC248" s="10"/>
      <c r="BKD248" s="57"/>
      <c r="BKE248" s="10"/>
      <c r="BKF248" s="57"/>
      <c r="BKG248" s="10"/>
      <c r="BKH248" s="57"/>
      <c r="BKI248" s="10"/>
      <c r="BKJ248" s="57"/>
      <c r="BKK248" s="10"/>
      <c r="BKL248" s="57"/>
      <c r="BKM248" s="10"/>
      <c r="BKN248" s="57"/>
      <c r="BKO248" s="10"/>
      <c r="BKP248" s="57"/>
      <c r="BKQ248" s="10"/>
      <c r="BKR248" s="57"/>
      <c r="BKS248" s="10"/>
      <c r="BKT248" s="57"/>
      <c r="BKU248" s="10"/>
      <c r="BKV248" s="57"/>
      <c r="BKW248" s="10"/>
      <c r="BKX248" s="57"/>
      <c r="BKY248" s="10"/>
      <c r="BKZ248" s="57"/>
      <c r="BLA248" s="10"/>
      <c r="BLB248" s="57"/>
      <c r="BLC248" s="10"/>
      <c r="BLD248" s="57"/>
      <c r="BLE248" s="10"/>
      <c r="BLF248" s="57"/>
      <c r="BLG248" s="10"/>
      <c r="BLH248" s="57"/>
      <c r="BLI248" s="10"/>
      <c r="BLJ248" s="57"/>
      <c r="BLK248" s="10"/>
      <c r="BLL248" s="57"/>
      <c r="BLM248" s="10"/>
      <c r="BLN248" s="57"/>
      <c r="BLO248" s="10"/>
      <c r="BLP248" s="57"/>
      <c r="BLQ248" s="10"/>
      <c r="BLR248" s="57"/>
      <c r="BLS248" s="10"/>
      <c r="BLT248" s="57"/>
      <c r="BLU248" s="10"/>
      <c r="BLV248" s="57"/>
      <c r="BLW248" s="10"/>
      <c r="BLX248" s="57"/>
      <c r="BLY248" s="10"/>
      <c r="BLZ248" s="57"/>
      <c r="BMA248" s="10"/>
      <c r="BMB248" s="57"/>
      <c r="BMC248" s="10"/>
      <c r="BMD248" s="57"/>
      <c r="BME248" s="10"/>
      <c r="BMF248" s="57"/>
      <c r="BMG248" s="10"/>
      <c r="BMH248" s="57"/>
      <c r="BMI248" s="10"/>
      <c r="BMJ248" s="57"/>
      <c r="BMK248" s="10"/>
      <c r="BML248" s="57"/>
      <c r="BMM248" s="10"/>
      <c r="BMN248" s="57"/>
      <c r="BMO248" s="10"/>
      <c r="BMP248" s="57"/>
      <c r="BMQ248" s="10"/>
      <c r="BMR248" s="57"/>
      <c r="BMS248" s="10"/>
      <c r="BMT248" s="57"/>
      <c r="BMU248" s="10"/>
      <c r="BMV248" s="57"/>
      <c r="BMW248" s="10"/>
      <c r="BMX248" s="57"/>
      <c r="BMY248" s="10"/>
      <c r="BMZ248" s="57"/>
      <c r="BNA248" s="10"/>
      <c r="BNB248" s="57"/>
      <c r="BNC248" s="10"/>
      <c r="BND248" s="57"/>
      <c r="BNE248" s="10"/>
      <c r="BNF248" s="57"/>
      <c r="BNG248" s="10"/>
      <c r="BNH248" s="57"/>
      <c r="BNI248" s="10"/>
      <c r="BNJ248" s="57"/>
      <c r="BNK248" s="10"/>
      <c r="BNL248" s="57"/>
      <c r="BNM248" s="10"/>
      <c r="BNN248" s="57"/>
      <c r="BNO248" s="10"/>
      <c r="BNP248" s="57"/>
      <c r="BNQ248" s="10"/>
      <c r="BNR248" s="57"/>
      <c r="BNS248" s="10"/>
      <c r="BNT248" s="57"/>
      <c r="BNU248" s="10"/>
      <c r="BNV248" s="57"/>
      <c r="BNW248" s="10"/>
      <c r="BNX248" s="57"/>
      <c r="BNY248" s="10"/>
      <c r="BNZ248" s="57"/>
      <c r="BOA248" s="10"/>
      <c r="BOB248" s="57"/>
      <c r="BOC248" s="10"/>
      <c r="BOD248" s="57"/>
      <c r="BOE248" s="10"/>
      <c r="BOF248" s="57"/>
      <c r="BOG248" s="10"/>
      <c r="BOH248" s="57"/>
      <c r="BOI248" s="10"/>
      <c r="BOJ248" s="57"/>
      <c r="BOK248" s="10"/>
      <c r="BOL248" s="57"/>
      <c r="BOM248" s="10"/>
      <c r="BON248" s="57"/>
      <c r="BOO248" s="10"/>
      <c r="BOP248" s="57"/>
      <c r="BOQ248" s="10"/>
      <c r="BOR248" s="57"/>
      <c r="BOS248" s="10"/>
      <c r="BOT248" s="57"/>
      <c r="BOU248" s="10"/>
      <c r="BOV248" s="57"/>
      <c r="BOW248" s="10"/>
      <c r="BOX248" s="57"/>
      <c r="BOY248" s="10"/>
      <c r="BOZ248" s="57"/>
      <c r="BPA248" s="10"/>
      <c r="BPB248" s="57"/>
      <c r="BPC248" s="10"/>
      <c r="BPD248" s="57"/>
      <c r="BPE248" s="10"/>
      <c r="BPF248" s="57"/>
      <c r="BPG248" s="10"/>
      <c r="BPH248" s="57"/>
      <c r="BPI248" s="10"/>
      <c r="BPJ248" s="57"/>
      <c r="BPK248" s="10"/>
      <c r="BPL248" s="57"/>
      <c r="BPM248" s="10"/>
      <c r="BPN248" s="57"/>
      <c r="BPO248" s="10"/>
      <c r="BPP248" s="57"/>
      <c r="BPQ248" s="10"/>
      <c r="BPR248" s="57"/>
      <c r="BPS248" s="10"/>
      <c r="BPT248" s="57"/>
      <c r="BPU248" s="10"/>
      <c r="BPV248" s="57"/>
      <c r="BPW248" s="10"/>
      <c r="BPX248" s="57"/>
      <c r="BPY248" s="10"/>
      <c r="BPZ248" s="57"/>
      <c r="BQA248" s="10"/>
      <c r="BQB248" s="57"/>
      <c r="BQC248" s="10"/>
      <c r="BQD248" s="57"/>
      <c r="BQE248" s="10"/>
      <c r="BQF248" s="57"/>
      <c r="BQG248" s="10"/>
      <c r="BQH248" s="57"/>
      <c r="BQI248" s="10"/>
      <c r="BQJ248" s="57"/>
      <c r="BQK248" s="10"/>
      <c r="BQL248" s="57"/>
      <c r="BQM248" s="10"/>
      <c r="BQN248" s="57"/>
      <c r="BQO248" s="10"/>
      <c r="BQP248" s="57"/>
      <c r="BQQ248" s="10"/>
      <c r="BQR248" s="57"/>
      <c r="BQS248" s="10"/>
      <c r="BQT248" s="57"/>
      <c r="BQU248" s="10"/>
      <c r="BQV248" s="57"/>
      <c r="BQW248" s="10"/>
      <c r="BQX248" s="57"/>
      <c r="BQY248" s="10"/>
      <c r="BQZ248" s="57"/>
      <c r="BRA248" s="10"/>
      <c r="BRB248" s="57"/>
      <c r="BRC248" s="10"/>
      <c r="BRD248" s="57"/>
      <c r="BRE248" s="10"/>
      <c r="BRF248" s="57"/>
      <c r="BRG248" s="10"/>
      <c r="BRH248" s="57"/>
      <c r="BRI248" s="10"/>
      <c r="BRJ248" s="57"/>
      <c r="BRK248" s="10"/>
      <c r="BRL248" s="57"/>
      <c r="BRM248" s="10"/>
      <c r="BRN248" s="57"/>
      <c r="BRO248" s="10"/>
      <c r="BRP248" s="57"/>
      <c r="BRQ248" s="10"/>
      <c r="BRR248" s="57"/>
      <c r="BRS248" s="10"/>
      <c r="BRT248" s="57"/>
      <c r="BRU248" s="10"/>
      <c r="BRV248" s="57"/>
      <c r="BRW248" s="10"/>
      <c r="BRX248" s="57"/>
      <c r="BRY248" s="10"/>
      <c r="BRZ248" s="57"/>
      <c r="BSA248" s="10"/>
      <c r="BSB248" s="57"/>
      <c r="BSC248" s="10"/>
      <c r="BSD248" s="57"/>
      <c r="BSE248" s="10"/>
      <c r="BSF248" s="57"/>
      <c r="BSG248" s="10"/>
      <c r="BSH248" s="57"/>
      <c r="BSI248" s="10"/>
      <c r="BSJ248" s="57"/>
      <c r="BSK248" s="10"/>
      <c r="BSL248" s="57"/>
      <c r="BSM248" s="10"/>
      <c r="BSN248" s="57"/>
      <c r="BSO248" s="10"/>
      <c r="BSP248" s="57"/>
      <c r="BSQ248" s="10"/>
      <c r="BSR248" s="57"/>
      <c r="BSS248" s="10"/>
      <c r="BST248" s="57"/>
      <c r="BSU248" s="10"/>
      <c r="BSV248" s="57"/>
      <c r="BSW248" s="10"/>
      <c r="BSX248" s="57"/>
      <c r="BSY248" s="10"/>
      <c r="BSZ248" s="57"/>
      <c r="BTA248" s="10"/>
      <c r="BTB248" s="57"/>
      <c r="BTC248" s="10"/>
      <c r="BTD248" s="57"/>
      <c r="BTE248" s="10"/>
      <c r="BTF248" s="57"/>
      <c r="BTG248" s="10"/>
      <c r="BTH248" s="57"/>
      <c r="BTI248" s="10"/>
      <c r="BTJ248" s="57"/>
      <c r="BTK248" s="10"/>
      <c r="BTL248" s="57"/>
      <c r="BTM248" s="10"/>
      <c r="BTN248" s="57"/>
      <c r="BTO248" s="10"/>
      <c r="BTP248" s="57"/>
      <c r="BTQ248" s="10"/>
      <c r="BTR248" s="57"/>
      <c r="BTS248" s="10"/>
      <c r="BTT248" s="57"/>
      <c r="BTU248" s="10"/>
      <c r="BTV248" s="57"/>
      <c r="BTW248" s="10"/>
      <c r="BTX248" s="57"/>
      <c r="BTY248" s="10"/>
      <c r="BTZ248" s="57"/>
      <c r="BUA248" s="10"/>
      <c r="BUB248" s="57"/>
      <c r="BUC248" s="10"/>
      <c r="BUD248" s="57"/>
      <c r="BUE248" s="10"/>
      <c r="BUF248" s="57"/>
      <c r="BUG248" s="10"/>
      <c r="BUH248" s="57"/>
      <c r="BUI248" s="10"/>
      <c r="BUJ248" s="57"/>
      <c r="BUK248" s="10"/>
      <c r="BUL248" s="57"/>
      <c r="BUM248" s="10"/>
      <c r="BUN248" s="57"/>
      <c r="BUO248" s="10"/>
      <c r="BUP248" s="57"/>
      <c r="BUQ248" s="10"/>
      <c r="BUR248" s="57"/>
      <c r="BUS248" s="10"/>
      <c r="BUT248" s="57"/>
      <c r="BUU248" s="10"/>
      <c r="BUV248" s="57"/>
      <c r="BUW248" s="10"/>
      <c r="BUX248" s="57"/>
      <c r="BUY248" s="10"/>
      <c r="BUZ248" s="57"/>
      <c r="BVA248" s="10"/>
      <c r="BVB248" s="57"/>
      <c r="BVC248" s="10"/>
      <c r="BVD248" s="57"/>
      <c r="BVE248" s="10"/>
      <c r="BVF248" s="57"/>
      <c r="BVG248" s="10"/>
      <c r="BVH248" s="57"/>
      <c r="BVI248" s="10"/>
      <c r="BVJ248" s="57"/>
      <c r="BVK248" s="10"/>
      <c r="BVL248" s="57"/>
      <c r="BVM248" s="10"/>
      <c r="BVN248" s="57"/>
      <c r="BVO248" s="10"/>
      <c r="BVP248" s="57"/>
      <c r="BVQ248" s="10"/>
      <c r="BVR248" s="57"/>
      <c r="BVS248" s="10"/>
      <c r="BVT248" s="57"/>
      <c r="BVU248" s="10"/>
      <c r="BVV248" s="57"/>
      <c r="BVW248" s="10"/>
      <c r="BVX248" s="57"/>
      <c r="BVY248" s="10"/>
      <c r="BVZ248" s="57"/>
      <c r="BWA248" s="10"/>
      <c r="BWB248" s="57"/>
      <c r="BWC248" s="10"/>
      <c r="BWD248" s="57"/>
      <c r="BWE248" s="10"/>
      <c r="BWF248" s="57"/>
      <c r="BWG248" s="10"/>
      <c r="BWH248" s="57"/>
      <c r="BWI248" s="10"/>
      <c r="BWJ248" s="57"/>
      <c r="BWK248" s="10"/>
      <c r="BWL248" s="57"/>
      <c r="BWM248" s="10"/>
      <c r="BWN248" s="57"/>
      <c r="BWO248" s="10"/>
      <c r="BWP248" s="57"/>
      <c r="BWQ248" s="10"/>
      <c r="BWR248" s="57"/>
      <c r="BWS248" s="10"/>
      <c r="BWT248" s="57"/>
      <c r="BWU248" s="10"/>
      <c r="BWV248" s="57"/>
      <c r="BWW248" s="10"/>
      <c r="BWX248" s="57"/>
      <c r="BWY248" s="10"/>
      <c r="BWZ248" s="57"/>
      <c r="BXA248" s="10"/>
      <c r="BXB248" s="57"/>
      <c r="BXC248" s="10"/>
      <c r="BXD248" s="57"/>
      <c r="BXE248" s="10"/>
      <c r="BXF248" s="57"/>
      <c r="BXG248" s="10"/>
      <c r="BXH248" s="57"/>
      <c r="BXI248" s="10"/>
      <c r="BXJ248" s="57"/>
      <c r="BXK248" s="10"/>
      <c r="BXL248" s="57"/>
      <c r="BXM248" s="10"/>
      <c r="BXN248" s="57"/>
      <c r="BXO248" s="10"/>
      <c r="BXP248" s="57"/>
      <c r="BXQ248" s="10"/>
      <c r="BXR248" s="57"/>
      <c r="BXS248" s="10"/>
      <c r="BXT248" s="57"/>
      <c r="BXU248" s="10"/>
      <c r="BXV248" s="57"/>
      <c r="BXW248" s="10"/>
      <c r="BXX248" s="57"/>
      <c r="BXY248" s="10"/>
      <c r="BXZ248" s="57"/>
      <c r="BYA248" s="10"/>
      <c r="BYB248" s="57"/>
      <c r="BYC248" s="10"/>
      <c r="BYD248" s="57"/>
      <c r="BYE248" s="10"/>
      <c r="BYF248" s="57"/>
      <c r="BYG248" s="10"/>
      <c r="BYH248" s="57"/>
      <c r="BYI248" s="10"/>
      <c r="BYJ248" s="57"/>
      <c r="BYK248" s="10"/>
      <c r="BYL248" s="57"/>
      <c r="BYM248" s="10"/>
      <c r="BYN248" s="57"/>
      <c r="BYO248" s="10"/>
      <c r="BYP248" s="57"/>
      <c r="BYQ248" s="10"/>
      <c r="BYR248" s="57"/>
      <c r="BYS248" s="10"/>
      <c r="BYT248" s="57"/>
      <c r="BYU248" s="10"/>
      <c r="BYV248" s="57"/>
      <c r="BYW248" s="10"/>
      <c r="BYX248" s="57"/>
      <c r="BYY248" s="10"/>
      <c r="BYZ248" s="57"/>
      <c r="BZA248" s="10"/>
      <c r="BZB248" s="57"/>
      <c r="BZC248" s="10"/>
      <c r="BZD248" s="57"/>
      <c r="BZE248" s="10"/>
      <c r="BZF248" s="57"/>
      <c r="BZG248" s="10"/>
      <c r="BZH248" s="57"/>
      <c r="BZI248" s="10"/>
      <c r="BZJ248" s="57"/>
      <c r="BZK248" s="10"/>
      <c r="BZL248" s="57"/>
      <c r="BZM248" s="10"/>
      <c r="BZN248" s="57"/>
      <c r="BZO248" s="10"/>
      <c r="BZP248" s="57"/>
      <c r="BZQ248" s="10"/>
      <c r="BZR248" s="57"/>
      <c r="BZS248" s="10"/>
      <c r="BZT248" s="57"/>
      <c r="BZU248" s="10"/>
      <c r="BZV248" s="57"/>
      <c r="BZW248" s="10"/>
      <c r="BZX248" s="57"/>
      <c r="BZY248" s="10"/>
      <c r="BZZ248" s="57"/>
      <c r="CAA248" s="10"/>
      <c r="CAB248" s="57"/>
      <c r="CAC248" s="10"/>
      <c r="CAD248" s="57"/>
      <c r="CAE248" s="10"/>
      <c r="CAF248" s="57"/>
      <c r="CAG248" s="10"/>
      <c r="CAH248" s="57"/>
      <c r="CAI248" s="10"/>
      <c r="CAJ248" s="57"/>
      <c r="CAK248" s="10"/>
      <c r="CAL248" s="57"/>
      <c r="CAM248" s="10"/>
      <c r="CAN248" s="57"/>
      <c r="CAO248" s="10"/>
      <c r="CAP248" s="57"/>
      <c r="CAQ248" s="10"/>
      <c r="CAR248" s="57"/>
      <c r="CAS248" s="10"/>
      <c r="CAT248" s="57"/>
      <c r="CAU248" s="10"/>
      <c r="CAV248" s="57"/>
      <c r="CAW248" s="10"/>
      <c r="CAX248" s="57"/>
      <c r="CAY248" s="10"/>
      <c r="CAZ248" s="57"/>
      <c r="CBA248" s="10"/>
      <c r="CBB248" s="57"/>
      <c r="CBC248" s="10"/>
      <c r="CBD248" s="57"/>
      <c r="CBE248" s="10"/>
      <c r="CBF248" s="57"/>
      <c r="CBG248" s="10"/>
      <c r="CBH248" s="57"/>
      <c r="CBI248" s="10"/>
      <c r="CBJ248" s="57"/>
      <c r="CBK248" s="10"/>
      <c r="CBL248" s="57"/>
      <c r="CBM248" s="10"/>
      <c r="CBN248" s="57"/>
      <c r="CBO248" s="10"/>
      <c r="CBP248" s="57"/>
      <c r="CBQ248" s="10"/>
      <c r="CBR248" s="57"/>
      <c r="CBS248" s="10"/>
      <c r="CBT248" s="57"/>
      <c r="CBU248" s="10"/>
      <c r="CBV248" s="57"/>
      <c r="CBW248" s="10"/>
      <c r="CBX248" s="57"/>
      <c r="CBY248" s="10"/>
      <c r="CBZ248" s="57"/>
      <c r="CCA248" s="10"/>
      <c r="CCB248" s="57"/>
      <c r="CCC248" s="10"/>
      <c r="CCD248" s="57"/>
      <c r="CCE248" s="10"/>
      <c r="CCF248" s="57"/>
      <c r="CCG248" s="10"/>
      <c r="CCH248" s="57"/>
      <c r="CCI248" s="10"/>
      <c r="CCJ248" s="57"/>
      <c r="CCK248" s="10"/>
      <c r="CCL248" s="57"/>
      <c r="CCM248" s="10"/>
      <c r="CCN248" s="57"/>
      <c r="CCO248" s="10"/>
      <c r="CCP248" s="57"/>
      <c r="CCQ248" s="10"/>
      <c r="CCR248" s="57"/>
      <c r="CCS248" s="10"/>
      <c r="CCT248" s="57"/>
      <c r="CCU248" s="10"/>
      <c r="CCV248" s="57"/>
      <c r="CCW248" s="10"/>
      <c r="CCX248" s="57"/>
      <c r="CCY248" s="10"/>
      <c r="CCZ248" s="57"/>
      <c r="CDA248" s="10"/>
      <c r="CDB248" s="57"/>
      <c r="CDC248" s="10"/>
      <c r="CDD248" s="57"/>
      <c r="CDE248" s="10"/>
      <c r="CDF248" s="57"/>
      <c r="CDG248" s="10"/>
      <c r="CDH248" s="57"/>
      <c r="CDI248" s="10"/>
      <c r="CDJ248" s="57"/>
      <c r="CDK248" s="10"/>
      <c r="CDL248" s="57"/>
      <c r="CDM248" s="10"/>
      <c r="CDN248" s="57"/>
      <c r="CDO248" s="10"/>
      <c r="CDP248" s="57"/>
      <c r="CDQ248" s="10"/>
      <c r="CDR248" s="57"/>
      <c r="CDS248" s="10"/>
      <c r="CDT248" s="57"/>
      <c r="CDU248" s="10"/>
      <c r="CDV248" s="57"/>
      <c r="CDW248" s="10"/>
      <c r="CDX248" s="57"/>
      <c r="CDY248" s="10"/>
      <c r="CDZ248" s="57"/>
      <c r="CEA248" s="10"/>
      <c r="CEB248" s="57"/>
      <c r="CEC248" s="10"/>
      <c r="CED248" s="57"/>
      <c r="CEE248" s="10"/>
      <c r="CEF248" s="57"/>
      <c r="CEG248" s="10"/>
      <c r="CEH248" s="57"/>
      <c r="CEI248" s="10"/>
      <c r="CEJ248" s="57"/>
      <c r="CEK248" s="10"/>
      <c r="CEL248" s="57"/>
      <c r="CEM248" s="10"/>
      <c r="CEN248" s="57"/>
      <c r="CEO248" s="10"/>
      <c r="CEP248" s="57"/>
      <c r="CEQ248" s="10"/>
      <c r="CER248" s="57"/>
      <c r="CES248" s="10"/>
      <c r="CET248" s="57"/>
      <c r="CEU248" s="10"/>
      <c r="CEV248" s="57"/>
      <c r="CEW248" s="10"/>
      <c r="CEX248" s="57"/>
      <c r="CEY248" s="10"/>
      <c r="CEZ248" s="57"/>
      <c r="CFA248" s="10"/>
      <c r="CFB248" s="57"/>
      <c r="CFC248" s="10"/>
      <c r="CFD248" s="57"/>
      <c r="CFE248" s="10"/>
      <c r="CFF248" s="57"/>
      <c r="CFG248" s="10"/>
      <c r="CFH248" s="57"/>
      <c r="CFI248" s="10"/>
      <c r="CFJ248" s="57"/>
      <c r="CFK248" s="10"/>
      <c r="CFL248" s="57"/>
      <c r="CFM248" s="10"/>
      <c r="CFN248" s="57"/>
      <c r="CFO248" s="10"/>
      <c r="CFP248" s="57"/>
      <c r="CFQ248" s="10"/>
      <c r="CFR248" s="57"/>
      <c r="CFS248" s="10"/>
      <c r="CFT248" s="57"/>
      <c r="CFU248" s="10"/>
      <c r="CFV248" s="57"/>
      <c r="CFW248" s="10"/>
      <c r="CFX248" s="57"/>
      <c r="CFY248" s="10"/>
      <c r="CFZ248" s="57"/>
      <c r="CGA248" s="10"/>
      <c r="CGB248" s="57"/>
      <c r="CGC248" s="10"/>
      <c r="CGD248" s="57"/>
      <c r="CGE248" s="10"/>
      <c r="CGF248" s="57"/>
      <c r="CGG248" s="10"/>
      <c r="CGH248" s="57"/>
      <c r="CGI248" s="10"/>
      <c r="CGJ248" s="57"/>
      <c r="CGK248" s="10"/>
      <c r="CGL248" s="57"/>
      <c r="CGM248" s="10"/>
      <c r="CGN248" s="57"/>
      <c r="CGO248" s="10"/>
      <c r="CGP248" s="57"/>
      <c r="CGQ248" s="10"/>
      <c r="CGR248" s="57"/>
      <c r="CGS248" s="10"/>
      <c r="CGT248" s="57"/>
      <c r="CGU248" s="10"/>
      <c r="CGV248" s="57"/>
      <c r="CGW248" s="10"/>
      <c r="CGX248" s="57"/>
      <c r="CGY248" s="10"/>
      <c r="CGZ248" s="57"/>
      <c r="CHA248" s="10"/>
      <c r="CHB248" s="57"/>
      <c r="CHC248" s="10"/>
      <c r="CHD248" s="57"/>
      <c r="CHE248" s="10"/>
      <c r="CHF248" s="57"/>
      <c r="CHG248" s="10"/>
      <c r="CHH248" s="57"/>
      <c r="CHI248" s="10"/>
      <c r="CHJ248" s="57"/>
      <c r="CHK248" s="10"/>
      <c r="CHL248" s="57"/>
      <c r="CHM248" s="10"/>
      <c r="CHN248" s="57"/>
      <c r="CHO248" s="10"/>
      <c r="CHP248" s="57"/>
      <c r="CHQ248" s="10"/>
      <c r="CHR248" s="57"/>
      <c r="CHS248" s="10"/>
      <c r="CHT248" s="57"/>
      <c r="CHU248" s="10"/>
      <c r="CHV248" s="57"/>
      <c r="CHW248" s="10"/>
      <c r="CHX248" s="57"/>
      <c r="CHY248" s="10"/>
      <c r="CHZ248" s="57"/>
      <c r="CIA248" s="10"/>
      <c r="CIB248" s="57"/>
      <c r="CIC248" s="10"/>
      <c r="CID248" s="57"/>
      <c r="CIE248" s="10"/>
      <c r="CIF248" s="57"/>
      <c r="CIG248" s="10"/>
      <c r="CIH248" s="57"/>
      <c r="CII248" s="10"/>
      <c r="CIJ248" s="57"/>
      <c r="CIK248" s="10"/>
      <c r="CIL248" s="57"/>
      <c r="CIM248" s="10"/>
      <c r="CIN248" s="57"/>
      <c r="CIO248" s="10"/>
      <c r="CIP248" s="57"/>
      <c r="CIQ248" s="10"/>
      <c r="CIR248" s="57"/>
      <c r="CIS248" s="10"/>
      <c r="CIT248" s="57"/>
      <c r="CIU248" s="10"/>
      <c r="CIV248" s="57"/>
      <c r="CIW248" s="10"/>
      <c r="CIX248" s="57"/>
      <c r="CIY248" s="10"/>
      <c r="CIZ248" s="57"/>
      <c r="CJA248" s="10"/>
      <c r="CJB248" s="57"/>
      <c r="CJC248" s="10"/>
      <c r="CJD248" s="57"/>
      <c r="CJE248" s="10"/>
      <c r="CJF248" s="57"/>
      <c r="CJG248" s="10"/>
      <c r="CJH248" s="57"/>
      <c r="CJI248" s="10"/>
      <c r="CJJ248" s="57"/>
      <c r="CJK248" s="10"/>
      <c r="CJL248" s="57"/>
      <c r="CJM248" s="10"/>
      <c r="CJN248" s="57"/>
      <c r="CJO248" s="10"/>
      <c r="CJP248" s="57"/>
      <c r="CJQ248" s="10"/>
      <c r="CJR248" s="57"/>
      <c r="CJS248" s="10"/>
      <c r="CJT248" s="57"/>
      <c r="CJU248" s="10"/>
      <c r="CJV248" s="57"/>
      <c r="CJW248" s="10"/>
      <c r="CJX248" s="57"/>
      <c r="CJY248" s="10"/>
      <c r="CJZ248" s="57"/>
      <c r="CKA248" s="10"/>
      <c r="CKB248" s="57"/>
      <c r="CKC248" s="10"/>
      <c r="CKD248" s="57"/>
      <c r="CKE248" s="10"/>
      <c r="CKF248" s="57"/>
      <c r="CKG248" s="10"/>
      <c r="CKH248" s="57"/>
      <c r="CKI248" s="10"/>
      <c r="CKJ248" s="57"/>
      <c r="CKK248" s="10"/>
      <c r="CKL248" s="57"/>
      <c r="CKM248" s="10"/>
      <c r="CKN248" s="57"/>
      <c r="CKO248" s="10"/>
      <c r="CKP248" s="57"/>
      <c r="CKQ248" s="10"/>
      <c r="CKR248" s="57"/>
      <c r="CKS248" s="10"/>
      <c r="CKT248" s="57"/>
      <c r="CKU248" s="10"/>
      <c r="CKV248" s="57"/>
      <c r="CKW248" s="10"/>
      <c r="CKX248" s="57"/>
      <c r="CKY248" s="10"/>
      <c r="CKZ248" s="57"/>
      <c r="CLA248" s="10"/>
      <c r="CLB248" s="57"/>
      <c r="CLC248" s="10"/>
      <c r="CLD248" s="57"/>
      <c r="CLE248" s="10"/>
      <c r="CLF248" s="57"/>
      <c r="CLG248" s="10"/>
      <c r="CLH248" s="57"/>
      <c r="CLI248" s="10"/>
      <c r="CLJ248" s="57"/>
      <c r="CLK248" s="10"/>
      <c r="CLL248" s="57"/>
      <c r="CLM248" s="10"/>
      <c r="CLN248" s="57"/>
      <c r="CLO248" s="10"/>
      <c r="CLP248" s="57"/>
      <c r="CLQ248" s="10"/>
      <c r="CLR248" s="57"/>
      <c r="CLS248" s="10"/>
      <c r="CLT248" s="57"/>
      <c r="CLU248" s="10"/>
      <c r="CLV248" s="57"/>
      <c r="CLW248" s="10"/>
      <c r="CLX248" s="57"/>
      <c r="CLY248" s="10"/>
      <c r="CLZ248" s="57"/>
      <c r="CMA248" s="10"/>
      <c r="CMB248" s="57"/>
      <c r="CMC248" s="10"/>
      <c r="CMD248" s="57"/>
      <c r="CME248" s="10"/>
      <c r="CMF248" s="57"/>
      <c r="CMG248" s="10"/>
      <c r="CMH248" s="57"/>
      <c r="CMI248" s="10"/>
      <c r="CMJ248" s="57"/>
      <c r="CMK248" s="10"/>
      <c r="CML248" s="57"/>
      <c r="CMM248" s="10"/>
      <c r="CMN248" s="57"/>
      <c r="CMO248" s="10"/>
      <c r="CMP248" s="57"/>
      <c r="CMQ248" s="10"/>
      <c r="CMR248" s="57"/>
      <c r="CMS248" s="10"/>
      <c r="CMT248" s="57"/>
      <c r="CMU248" s="10"/>
      <c r="CMV248" s="57"/>
      <c r="CMW248" s="10"/>
      <c r="CMX248" s="57"/>
      <c r="CMY248" s="10"/>
      <c r="CMZ248" s="57"/>
      <c r="CNA248" s="10"/>
      <c r="CNB248" s="57"/>
      <c r="CNC248" s="10"/>
      <c r="CND248" s="57"/>
      <c r="CNE248" s="10"/>
      <c r="CNF248" s="57"/>
      <c r="CNG248" s="10"/>
      <c r="CNH248" s="57"/>
      <c r="CNI248" s="10"/>
      <c r="CNJ248" s="57"/>
      <c r="CNK248" s="10"/>
      <c r="CNL248" s="57"/>
      <c r="CNM248" s="10"/>
      <c r="CNN248" s="57"/>
      <c r="CNO248" s="10"/>
      <c r="CNP248" s="57"/>
      <c r="CNQ248" s="10"/>
      <c r="CNR248" s="57"/>
      <c r="CNS248" s="10"/>
      <c r="CNT248" s="57"/>
      <c r="CNU248" s="10"/>
      <c r="CNV248" s="57"/>
      <c r="CNW248" s="10"/>
      <c r="CNX248" s="57"/>
      <c r="CNY248" s="10"/>
      <c r="CNZ248" s="57"/>
      <c r="COA248" s="10"/>
      <c r="COB248" s="57"/>
      <c r="COC248" s="10"/>
      <c r="COD248" s="57"/>
      <c r="COE248" s="10"/>
      <c r="COF248" s="57"/>
      <c r="COG248" s="10"/>
      <c r="COH248" s="57"/>
      <c r="COI248" s="10"/>
      <c r="COJ248" s="57"/>
      <c r="COK248" s="10"/>
      <c r="COL248" s="57"/>
      <c r="COM248" s="10"/>
      <c r="CON248" s="57"/>
      <c r="COO248" s="10"/>
      <c r="COP248" s="57"/>
      <c r="COQ248" s="10"/>
      <c r="COR248" s="57"/>
      <c r="COS248" s="10"/>
      <c r="COT248" s="57"/>
      <c r="COU248" s="10"/>
      <c r="COV248" s="57"/>
      <c r="COW248" s="10"/>
      <c r="COX248" s="57"/>
      <c r="COY248" s="10"/>
      <c r="COZ248" s="57"/>
      <c r="CPA248" s="10"/>
      <c r="CPB248" s="57"/>
      <c r="CPC248" s="10"/>
      <c r="CPD248" s="57"/>
      <c r="CPE248" s="10"/>
      <c r="CPF248" s="57"/>
      <c r="CPG248" s="10"/>
      <c r="CPH248" s="57"/>
      <c r="CPI248" s="10"/>
      <c r="CPJ248" s="57"/>
      <c r="CPK248" s="10"/>
      <c r="CPL248" s="57"/>
      <c r="CPM248" s="10"/>
      <c r="CPN248" s="57"/>
      <c r="CPO248" s="10"/>
      <c r="CPP248" s="57"/>
      <c r="CPQ248" s="10"/>
      <c r="CPR248" s="57"/>
      <c r="CPS248" s="10"/>
      <c r="CPT248" s="57"/>
      <c r="CPU248" s="10"/>
      <c r="CPV248" s="57"/>
      <c r="CPW248" s="10"/>
      <c r="CPX248" s="57"/>
      <c r="CPY248" s="10"/>
      <c r="CPZ248" s="57"/>
      <c r="CQA248" s="10"/>
      <c r="CQB248" s="57"/>
      <c r="CQC248" s="10"/>
      <c r="CQD248" s="57"/>
      <c r="CQE248" s="10"/>
      <c r="CQF248" s="57"/>
      <c r="CQG248" s="10"/>
      <c r="CQH248" s="57"/>
      <c r="CQI248" s="10"/>
      <c r="CQJ248" s="57"/>
      <c r="CQK248" s="10"/>
      <c r="CQL248" s="57"/>
      <c r="CQM248" s="10"/>
      <c r="CQN248" s="57"/>
      <c r="CQO248" s="10"/>
      <c r="CQP248" s="57"/>
      <c r="CQQ248" s="10"/>
      <c r="CQR248" s="57"/>
      <c r="CQS248" s="10"/>
      <c r="CQT248" s="57"/>
      <c r="CQU248" s="10"/>
      <c r="CQV248" s="57"/>
      <c r="CQW248" s="10"/>
      <c r="CQX248" s="57"/>
      <c r="CQY248" s="10"/>
      <c r="CQZ248" s="57"/>
      <c r="CRA248" s="10"/>
      <c r="CRB248" s="57"/>
      <c r="CRC248" s="10"/>
      <c r="CRD248" s="57"/>
      <c r="CRE248" s="10"/>
      <c r="CRF248" s="57"/>
      <c r="CRG248" s="10"/>
      <c r="CRH248" s="57"/>
      <c r="CRI248" s="10"/>
      <c r="CRJ248" s="57"/>
      <c r="CRK248" s="10"/>
      <c r="CRL248" s="57"/>
      <c r="CRM248" s="10"/>
      <c r="CRN248" s="57"/>
      <c r="CRO248" s="10"/>
      <c r="CRP248" s="57"/>
      <c r="CRQ248" s="10"/>
      <c r="CRR248" s="57"/>
      <c r="CRS248" s="10"/>
      <c r="CRT248" s="57"/>
      <c r="CRU248" s="10"/>
      <c r="CRV248" s="57"/>
      <c r="CRW248" s="10"/>
      <c r="CRX248" s="57"/>
      <c r="CRY248" s="10"/>
      <c r="CRZ248" s="57"/>
      <c r="CSA248" s="10"/>
      <c r="CSB248" s="57"/>
      <c r="CSC248" s="10"/>
      <c r="CSD248" s="57"/>
      <c r="CSE248" s="10"/>
      <c r="CSF248" s="57"/>
      <c r="CSG248" s="10"/>
      <c r="CSH248" s="57"/>
      <c r="CSI248" s="10"/>
      <c r="CSJ248" s="57"/>
      <c r="CSK248" s="10"/>
      <c r="CSL248" s="57"/>
      <c r="CSM248" s="10"/>
      <c r="CSN248" s="57"/>
      <c r="CSO248" s="10"/>
      <c r="CSP248" s="57"/>
      <c r="CSQ248" s="10"/>
      <c r="CSR248" s="57"/>
      <c r="CSS248" s="10"/>
      <c r="CST248" s="57"/>
      <c r="CSU248" s="10"/>
      <c r="CSV248" s="57"/>
      <c r="CSW248" s="10"/>
      <c r="CSX248" s="57"/>
      <c r="CSY248" s="10"/>
      <c r="CSZ248" s="57"/>
      <c r="CTA248" s="10"/>
      <c r="CTB248" s="57"/>
      <c r="CTC248" s="10"/>
      <c r="CTD248" s="57"/>
      <c r="CTE248" s="10"/>
      <c r="CTF248" s="57"/>
      <c r="CTG248" s="10"/>
      <c r="CTH248" s="57"/>
      <c r="CTI248" s="10"/>
      <c r="CTJ248" s="57"/>
      <c r="CTK248" s="10"/>
      <c r="CTL248" s="57"/>
      <c r="CTM248" s="10"/>
      <c r="CTN248" s="57"/>
      <c r="CTO248" s="10"/>
      <c r="CTP248" s="57"/>
      <c r="CTQ248" s="10"/>
      <c r="CTR248" s="57"/>
      <c r="CTS248" s="10"/>
      <c r="CTT248" s="57"/>
      <c r="CTU248" s="10"/>
      <c r="CTV248" s="57"/>
      <c r="CTW248" s="10"/>
      <c r="CTX248" s="57"/>
      <c r="CTY248" s="10"/>
      <c r="CTZ248" s="57"/>
      <c r="CUA248" s="10"/>
      <c r="CUB248" s="57"/>
      <c r="CUC248" s="10"/>
      <c r="CUD248" s="57"/>
      <c r="CUE248" s="10"/>
      <c r="CUF248" s="57"/>
      <c r="CUG248" s="10"/>
      <c r="CUH248" s="57"/>
      <c r="CUI248" s="10"/>
      <c r="CUJ248" s="57"/>
      <c r="CUK248" s="10"/>
      <c r="CUL248" s="57"/>
      <c r="CUM248" s="10"/>
      <c r="CUN248" s="57"/>
      <c r="CUO248" s="10"/>
      <c r="CUP248" s="57"/>
      <c r="CUQ248" s="10"/>
      <c r="CUR248" s="57"/>
      <c r="CUS248" s="10"/>
      <c r="CUT248" s="57"/>
      <c r="CUU248" s="10"/>
      <c r="CUV248" s="57"/>
      <c r="CUW248" s="10"/>
      <c r="CUX248" s="57"/>
      <c r="CUY248" s="10"/>
      <c r="CUZ248" s="57"/>
      <c r="CVA248" s="10"/>
      <c r="CVB248" s="57"/>
      <c r="CVC248" s="10"/>
      <c r="CVD248" s="57"/>
      <c r="CVE248" s="10"/>
      <c r="CVF248" s="57"/>
      <c r="CVG248" s="10"/>
      <c r="CVH248" s="57"/>
      <c r="CVI248" s="10"/>
      <c r="CVJ248" s="57"/>
      <c r="CVK248" s="10"/>
      <c r="CVL248" s="57"/>
      <c r="CVM248" s="10"/>
      <c r="CVN248" s="57"/>
      <c r="CVO248" s="10"/>
      <c r="CVP248" s="57"/>
      <c r="CVQ248" s="10"/>
      <c r="CVR248" s="57"/>
      <c r="CVS248" s="10"/>
      <c r="CVT248" s="57"/>
      <c r="CVU248" s="10"/>
      <c r="CVV248" s="57"/>
      <c r="CVW248" s="10"/>
      <c r="CVX248" s="57"/>
      <c r="CVY248" s="10"/>
      <c r="CVZ248" s="57"/>
      <c r="CWA248" s="10"/>
      <c r="CWB248" s="57"/>
      <c r="CWC248" s="10"/>
      <c r="CWD248" s="57"/>
      <c r="CWE248" s="10"/>
      <c r="CWF248" s="57"/>
      <c r="CWG248" s="10"/>
      <c r="CWH248" s="57"/>
      <c r="CWI248" s="10"/>
      <c r="CWJ248" s="57"/>
      <c r="CWK248" s="10"/>
      <c r="CWL248" s="57"/>
      <c r="CWM248" s="10"/>
      <c r="CWN248" s="57"/>
      <c r="CWO248" s="10"/>
      <c r="CWP248" s="57"/>
      <c r="CWQ248" s="10"/>
      <c r="CWR248" s="57"/>
      <c r="CWS248" s="10"/>
      <c r="CWT248" s="57"/>
      <c r="CWU248" s="10"/>
      <c r="CWV248" s="57"/>
      <c r="CWW248" s="10"/>
      <c r="CWX248" s="57"/>
      <c r="CWY248" s="10"/>
      <c r="CWZ248" s="57"/>
      <c r="CXA248" s="10"/>
      <c r="CXB248" s="57"/>
      <c r="CXC248" s="10"/>
      <c r="CXD248" s="57"/>
      <c r="CXE248" s="10"/>
      <c r="CXF248" s="57"/>
      <c r="CXG248" s="10"/>
      <c r="CXH248" s="57"/>
      <c r="CXI248" s="10"/>
      <c r="CXJ248" s="57"/>
      <c r="CXK248" s="10"/>
      <c r="CXL248" s="57"/>
      <c r="CXM248" s="10"/>
      <c r="CXN248" s="57"/>
      <c r="CXO248" s="10"/>
      <c r="CXP248" s="57"/>
      <c r="CXQ248" s="10"/>
      <c r="CXR248" s="57"/>
      <c r="CXS248" s="10"/>
      <c r="CXT248" s="57"/>
      <c r="CXU248" s="10"/>
      <c r="CXV248" s="57"/>
      <c r="CXW248" s="10"/>
      <c r="CXX248" s="57"/>
      <c r="CXY248" s="10"/>
      <c r="CXZ248" s="57"/>
      <c r="CYA248" s="10"/>
      <c r="CYB248" s="57"/>
      <c r="CYC248" s="10"/>
      <c r="CYD248" s="57"/>
      <c r="CYE248" s="10"/>
      <c r="CYF248" s="57"/>
      <c r="CYG248" s="10"/>
      <c r="CYH248" s="57"/>
      <c r="CYI248" s="10"/>
      <c r="CYJ248" s="57"/>
      <c r="CYK248" s="10"/>
      <c r="CYL248" s="57"/>
      <c r="CYM248" s="10"/>
      <c r="CYN248" s="57"/>
      <c r="CYO248" s="10"/>
      <c r="CYP248" s="57"/>
      <c r="CYQ248" s="10"/>
      <c r="CYR248" s="57"/>
      <c r="CYS248" s="10"/>
      <c r="CYT248" s="57"/>
      <c r="CYU248" s="10"/>
      <c r="CYV248" s="57"/>
      <c r="CYW248" s="10"/>
      <c r="CYX248" s="57"/>
      <c r="CYY248" s="10"/>
      <c r="CYZ248" s="57"/>
      <c r="CZA248" s="10"/>
      <c r="CZB248" s="57"/>
      <c r="CZC248" s="10"/>
      <c r="CZD248" s="57"/>
      <c r="CZE248" s="10"/>
      <c r="CZF248" s="57"/>
      <c r="CZG248" s="10"/>
      <c r="CZH248" s="57"/>
      <c r="CZI248" s="10"/>
      <c r="CZJ248" s="57"/>
      <c r="CZK248" s="10"/>
      <c r="CZL248" s="57"/>
      <c r="CZM248" s="10"/>
      <c r="CZN248" s="57"/>
      <c r="CZO248" s="10"/>
      <c r="CZP248" s="57"/>
      <c r="CZQ248" s="10"/>
      <c r="CZR248" s="57"/>
      <c r="CZS248" s="10"/>
      <c r="CZT248" s="57"/>
      <c r="CZU248" s="10"/>
      <c r="CZV248" s="57"/>
      <c r="CZW248" s="10"/>
      <c r="CZX248" s="57"/>
      <c r="CZY248" s="10"/>
      <c r="CZZ248" s="57"/>
      <c r="DAA248" s="10"/>
      <c r="DAB248" s="57"/>
      <c r="DAC248" s="10"/>
      <c r="DAD248" s="57"/>
      <c r="DAE248" s="10"/>
      <c r="DAF248" s="57"/>
      <c r="DAG248" s="10"/>
      <c r="DAH248" s="57"/>
      <c r="DAI248" s="10"/>
      <c r="DAJ248" s="57"/>
      <c r="DAK248" s="10"/>
      <c r="DAL248" s="57"/>
      <c r="DAM248" s="10"/>
      <c r="DAN248" s="57"/>
      <c r="DAO248" s="10"/>
      <c r="DAP248" s="57"/>
      <c r="DAQ248" s="10"/>
      <c r="DAR248" s="57"/>
      <c r="DAS248" s="10"/>
      <c r="DAT248" s="57"/>
      <c r="DAU248" s="10"/>
      <c r="DAV248" s="57"/>
      <c r="DAW248" s="10"/>
      <c r="DAX248" s="57"/>
      <c r="DAY248" s="10"/>
      <c r="DAZ248" s="57"/>
      <c r="DBA248" s="10"/>
      <c r="DBB248" s="57"/>
      <c r="DBC248" s="10"/>
      <c r="DBD248" s="57"/>
      <c r="DBE248" s="10"/>
      <c r="DBF248" s="57"/>
      <c r="DBG248" s="10"/>
      <c r="DBH248" s="57"/>
      <c r="DBI248" s="10"/>
      <c r="DBJ248" s="57"/>
      <c r="DBK248" s="10"/>
      <c r="DBL248" s="57"/>
      <c r="DBM248" s="10"/>
      <c r="DBN248" s="57"/>
      <c r="DBO248" s="10"/>
      <c r="DBP248" s="57"/>
      <c r="DBQ248" s="10"/>
      <c r="DBR248" s="57"/>
      <c r="DBS248" s="10"/>
      <c r="DBT248" s="57"/>
      <c r="DBU248" s="10"/>
      <c r="DBV248" s="57"/>
      <c r="DBW248" s="10"/>
      <c r="DBX248" s="57"/>
      <c r="DBY248" s="10"/>
      <c r="DBZ248" s="57"/>
      <c r="DCA248" s="10"/>
      <c r="DCB248" s="57"/>
      <c r="DCC248" s="10"/>
      <c r="DCD248" s="57"/>
      <c r="DCE248" s="10"/>
      <c r="DCF248" s="57"/>
      <c r="DCG248" s="10"/>
      <c r="DCH248" s="57"/>
      <c r="DCI248" s="10"/>
      <c r="DCJ248" s="57"/>
      <c r="DCK248" s="10"/>
      <c r="DCL248" s="57"/>
      <c r="DCM248" s="10"/>
      <c r="DCN248" s="57"/>
      <c r="DCO248" s="10"/>
      <c r="DCP248" s="57"/>
      <c r="DCQ248" s="10"/>
      <c r="DCR248" s="57"/>
      <c r="DCS248" s="10"/>
      <c r="DCT248" s="57"/>
      <c r="DCU248" s="10"/>
      <c r="DCV248" s="57"/>
      <c r="DCW248" s="10"/>
      <c r="DCX248" s="57"/>
      <c r="DCY248" s="10"/>
      <c r="DCZ248" s="57"/>
      <c r="DDA248" s="10"/>
      <c r="DDB248" s="57"/>
      <c r="DDC248" s="10"/>
      <c r="DDD248" s="57"/>
      <c r="DDE248" s="10"/>
      <c r="DDF248" s="57"/>
      <c r="DDG248" s="10"/>
      <c r="DDH248" s="57"/>
      <c r="DDI248" s="10"/>
      <c r="DDJ248" s="57"/>
      <c r="DDK248" s="10"/>
      <c r="DDL248" s="57"/>
      <c r="DDM248" s="10"/>
      <c r="DDN248" s="57"/>
      <c r="DDO248" s="10"/>
      <c r="DDP248" s="57"/>
      <c r="DDQ248" s="10"/>
      <c r="DDR248" s="57"/>
      <c r="DDS248" s="10"/>
      <c r="DDT248" s="57"/>
      <c r="DDU248" s="10"/>
      <c r="DDV248" s="57"/>
      <c r="DDW248" s="10"/>
      <c r="DDX248" s="57"/>
      <c r="DDY248" s="10"/>
      <c r="DDZ248" s="57"/>
      <c r="DEA248" s="10"/>
      <c r="DEB248" s="57"/>
      <c r="DEC248" s="10"/>
      <c r="DED248" s="57"/>
      <c r="DEE248" s="10"/>
      <c r="DEF248" s="57"/>
      <c r="DEG248" s="10"/>
      <c r="DEH248" s="57"/>
      <c r="DEI248" s="10"/>
      <c r="DEJ248" s="57"/>
      <c r="DEK248" s="10"/>
      <c r="DEL248" s="57"/>
      <c r="DEM248" s="10"/>
      <c r="DEN248" s="57"/>
      <c r="DEO248" s="10"/>
      <c r="DEP248" s="57"/>
      <c r="DEQ248" s="10"/>
      <c r="DER248" s="57"/>
      <c r="DES248" s="10"/>
      <c r="DET248" s="57"/>
      <c r="DEU248" s="10"/>
      <c r="DEV248" s="57"/>
      <c r="DEW248" s="10"/>
      <c r="DEX248" s="57"/>
      <c r="DEY248" s="10"/>
      <c r="DEZ248" s="57"/>
      <c r="DFA248" s="10"/>
      <c r="DFB248" s="57"/>
      <c r="DFC248" s="10"/>
      <c r="DFD248" s="57"/>
      <c r="DFE248" s="10"/>
      <c r="DFF248" s="57"/>
      <c r="DFG248" s="10"/>
      <c r="DFH248" s="57"/>
      <c r="DFI248" s="10"/>
      <c r="DFJ248" s="57"/>
      <c r="DFK248" s="10"/>
      <c r="DFL248" s="57"/>
      <c r="DFM248" s="10"/>
      <c r="DFN248" s="57"/>
      <c r="DFO248" s="10"/>
      <c r="DFP248" s="57"/>
      <c r="DFQ248" s="10"/>
      <c r="DFR248" s="57"/>
      <c r="DFS248" s="10"/>
      <c r="DFT248" s="57"/>
      <c r="DFU248" s="10"/>
      <c r="DFV248" s="57"/>
      <c r="DFW248" s="10"/>
      <c r="DFX248" s="57"/>
      <c r="DFY248" s="10"/>
      <c r="DFZ248" s="57"/>
      <c r="DGA248" s="10"/>
      <c r="DGB248" s="57"/>
      <c r="DGC248" s="10"/>
      <c r="DGD248" s="57"/>
      <c r="DGE248" s="10"/>
      <c r="DGF248" s="57"/>
      <c r="DGG248" s="10"/>
      <c r="DGH248" s="57"/>
      <c r="DGI248" s="10"/>
      <c r="DGJ248" s="57"/>
      <c r="DGK248" s="10"/>
      <c r="DGL248" s="57"/>
      <c r="DGM248" s="10"/>
      <c r="DGN248" s="57"/>
      <c r="DGO248" s="10"/>
      <c r="DGP248" s="57"/>
      <c r="DGQ248" s="10"/>
      <c r="DGR248" s="57"/>
      <c r="DGS248" s="10"/>
      <c r="DGT248" s="57"/>
      <c r="DGU248" s="10"/>
      <c r="DGV248" s="57"/>
      <c r="DGW248" s="10"/>
      <c r="DGX248" s="57"/>
      <c r="DGY248" s="10"/>
      <c r="DGZ248" s="57"/>
      <c r="DHA248" s="10"/>
      <c r="DHB248" s="57"/>
      <c r="DHC248" s="10"/>
      <c r="DHD248" s="57"/>
      <c r="DHE248" s="10"/>
      <c r="DHF248" s="57"/>
      <c r="DHG248" s="10"/>
      <c r="DHH248" s="57"/>
      <c r="DHI248" s="10"/>
      <c r="DHJ248" s="57"/>
      <c r="DHK248" s="10"/>
      <c r="DHL248" s="57"/>
      <c r="DHM248" s="10"/>
      <c r="DHN248" s="57"/>
      <c r="DHO248" s="10"/>
      <c r="DHP248" s="57"/>
      <c r="DHQ248" s="10"/>
      <c r="DHR248" s="57"/>
      <c r="DHS248" s="10"/>
      <c r="DHT248" s="57"/>
      <c r="DHU248" s="10"/>
      <c r="DHV248" s="57"/>
      <c r="DHW248" s="10"/>
      <c r="DHX248" s="57"/>
      <c r="DHY248" s="10"/>
      <c r="DHZ248" s="57"/>
      <c r="DIA248" s="10"/>
      <c r="DIB248" s="57"/>
      <c r="DIC248" s="10"/>
      <c r="DID248" s="57"/>
      <c r="DIE248" s="10"/>
      <c r="DIF248" s="57"/>
      <c r="DIG248" s="10"/>
      <c r="DIH248" s="57"/>
      <c r="DII248" s="10"/>
      <c r="DIJ248" s="57"/>
      <c r="DIK248" s="10"/>
      <c r="DIL248" s="57"/>
      <c r="DIM248" s="10"/>
      <c r="DIN248" s="57"/>
      <c r="DIO248" s="10"/>
      <c r="DIP248" s="57"/>
      <c r="DIQ248" s="10"/>
      <c r="DIR248" s="57"/>
      <c r="DIS248" s="10"/>
      <c r="DIT248" s="57"/>
      <c r="DIU248" s="10"/>
      <c r="DIV248" s="57"/>
      <c r="DIW248" s="10"/>
      <c r="DIX248" s="57"/>
      <c r="DIY248" s="10"/>
      <c r="DIZ248" s="57"/>
      <c r="DJA248" s="10"/>
      <c r="DJB248" s="57"/>
      <c r="DJC248" s="10"/>
      <c r="DJD248" s="57"/>
      <c r="DJE248" s="10"/>
      <c r="DJF248" s="57"/>
      <c r="DJG248" s="10"/>
      <c r="DJH248" s="57"/>
      <c r="DJI248" s="10"/>
      <c r="DJJ248" s="57"/>
      <c r="DJK248" s="10"/>
      <c r="DJL248" s="57"/>
      <c r="DJM248" s="10"/>
      <c r="DJN248" s="57"/>
      <c r="DJO248" s="10"/>
      <c r="DJP248" s="57"/>
      <c r="DJQ248" s="10"/>
      <c r="DJR248" s="57"/>
      <c r="DJS248" s="10"/>
      <c r="DJT248" s="57"/>
      <c r="DJU248" s="10"/>
      <c r="DJV248" s="57"/>
      <c r="DJW248" s="10"/>
      <c r="DJX248" s="57"/>
      <c r="DJY248" s="10"/>
      <c r="DJZ248" s="57"/>
      <c r="DKA248" s="10"/>
      <c r="DKB248" s="57"/>
      <c r="DKC248" s="10"/>
      <c r="DKD248" s="57"/>
      <c r="DKE248" s="10"/>
      <c r="DKF248" s="57"/>
      <c r="DKG248" s="10"/>
      <c r="DKH248" s="57"/>
      <c r="DKI248" s="10"/>
      <c r="DKJ248" s="57"/>
      <c r="DKK248" s="10"/>
      <c r="DKL248" s="57"/>
      <c r="DKM248" s="10"/>
      <c r="DKN248" s="57"/>
      <c r="DKO248" s="10"/>
      <c r="DKP248" s="57"/>
      <c r="DKQ248" s="10"/>
      <c r="DKR248" s="57"/>
      <c r="DKS248" s="10"/>
      <c r="DKT248" s="57"/>
      <c r="DKU248" s="10"/>
      <c r="DKV248" s="57"/>
      <c r="DKW248" s="10"/>
      <c r="DKX248" s="57"/>
      <c r="DKY248" s="10"/>
      <c r="DKZ248" s="57"/>
      <c r="DLA248" s="10"/>
      <c r="DLB248" s="57"/>
      <c r="DLC248" s="10"/>
      <c r="DLD248" s="57"/>
      <c r="DLE248" s="10"/>
      <c r="DLF248" s="57"/>
      <c r="DLG248" s="10"/>
      <c r="DLH248" s="57"/>
      <c r="DLI248" s="10"/>
      <c r="DLJ248" s="57"/>
      <c r="DLK248" s="10"/>
      <c r="DLL248" s="57"/>
      <c r="DLM248" s="10"/>
      <c r="DLN248" s="57"/>
      <c r="DLO248" s="10"/>
      <c r="DLP248" s="57"/>
      <c r="DLQ248" s="10"/>
      <c r="DLR248" s="57"/>
      <c r="DLS248" s="10"/>
      <c r="DLT248" s="57"/>
      <c r="DLU248" s="10"/>
      <c r="DLV248" s="57"/>
      <c r="DLW248" s="10"/>
      <c r="DLX248" s="57"/>
      <c r="DLY248" s="10"/>
      <c r="DLZ248" s="57"/>
      <c r="DMA248" s="10"/>
      <c r="DMB248" s="57"/>
      <c r="DMC248" s="10"/>
      <c r="DMD248" s="57"/>
      <c r="DME248" s="10"/>
      <c r="DMF248" s="57"/>
      <c r="DMG248" s="10"/>
      <c r="DMH248" s="57"/>
      <c r="DMI248" s="10"/>
      <c r="DMJ248" s="57"/>
      <c r="DMK248" s="10"/>
      <c r="DML248" s="57"/>
      <c r="DMM248" s="10"/>
      <c r="DMN248" s="57"/>
      <c r="DMO248" s="10"/>
      <c r="DMP248" s="57"/>
      <c r="DMQ248" s="10"/>
      <c r="DMR248" s="57"/>
      <c r="DMS248" s="10"/>
      <c r="DMT248" s="57"/>
      <c r="DMU248" s="10"/>
      <c r="DMV248" s="57"/>
      <c r="DMW248" s="10"/>
      <c r="DMX248" s="57"/>
      <c r="DMY248" s="10"/>
      <c r="DMZ248" s="57"/>
      <c r="DNA248" s="10"/>
      <c r="DNB248" s="57"/>
      <c r="DNC248" s="10"/>
      <c r="DND248" s="57"/>
      <c r="DNE248" s="10"/>
      <c r="DNF248" s="57"/>
      <c r="DNG248" s="10"/>
      <c r="DNH248" s="57"/>
      <c r="DNI248" s="10"/>
      <c r="DNJ248" s="57"/>
      <c r="DNK248" s="10"/>
      <c r="DNL248" s="57"/>
      <c r="DNM248" s="10"/>
      <c r="DNN248" s="57"/>
      <c r="DNO248" s="10"/>
      <c r="DNP248" s="57"/>
      <c r="DNQ248" s="10"/>
      <c r="DNR248" s="57"/>
      <c r="DNS248" s="10"/>
      <c r="DNT248" s="57"/>
      <c r="DNU248" s="10"/>
      <c r="DNV248" s="57"/>
      <c r="DNW248" s="10"/>
      <c r="DNX248" s="57"/>
      <c r="DNY248" s="10"/>
      <c r="DNZ248" s="57"/>
      <c r="DOA248" s="10"/>
      <c r="DOB248" s="57"/>
      <c r="DOC248" s="10"/>
      <c r="DOD248" s="57"/>
      <c r="DOE248" s="10"/>
      <c r="DOF248" s="57"/>
      <c r="DOG248" s="10"/>
      <c r="DOH248" s="57"/>
      <c r="DOI248" s="10"/>
      <c r="DOJ248" s="57"/>
      <c r="DOK248" s="10"/>
      <c r="DOL248" s="57"/>
      <c r="DOM248" s="10"/>
      <c r="DON248" s="57"/>
      <c r="DOO248" s="10"/>
      <c r="DOP248" s="57"/>
      <c r="DOQ248" s="10"/>
      <c r="DOR248" s="57"/>
      <c r="DOS248" s="10"/>
      <c r="DOT248" s="57"/>
      <c r="DOU248" s="10"/>
      <c r="DOV248" s="57"/>
      <c r="DOW248" s="10"/>
      <c r="DOX248" s="57"/>
      <c r="DOY248" s="10"/>
      <c r="DOZ248" s="57"/>
      <c r="DPA248" s="10"/>
      <c r="DPB248" s="57"/>
      <c r="DPC248" s="10"/>
      <c r="DPD248" s="57"/>
      <c r="DPE248" s="10"/>
      <c r="DPF248" s="57"/>
      <c r="DPG248" s="10"/>
      <c r="DPH248" s="57"/>
      <c r="DPI248" s="10"/>
      <c r="DPJ248" s="57"/>
      <c r="DPK248" s="10"/>
      <c r="DPL248" s="57"/>
      <c r="DPM248" s="10"/>
      <c r="DPN248" s="57"/>
      <c r="DPO248" s="10"/>
      <c r="DPP248" s="57"/>
      <c r="DPQ248" s="10"/>
      <c r="DPR248" s="57"/>
      <c r="DPS248" s="10"/>
      <c r="DPT248" s="57"/>
      <c r="DPU248" s="10"/>
      <c r="DPV248" s="57"/>
      <c r="DPW248" s="10"/>
      <c r="DPX248" s="57"/>
      <c r="DPY248" s="10"/>
      <c r="DPZ248" s="57"/>
      <c r="DQA248" s="10"/>
      <c r="DQB248" s="57"/>
      <c r="DQC248" s="10"/>
      <c r="DQD248" s="57"/>
      <c r="DQE248" s="10"/>
      <c r="DQF248" s="57"/>
      <c r="DQG248" s="10"/>
      <c r="DQH248" s="57"/>
      <c r="DQI248" s="10"/>
      <c r="DQJ248" s="57"/>
      <c r="DQK248" s="10"/>
      <c r="DQL248" s="57"/>
      <c r="DQM248" s="10"/>
      <c r="DQN248" s="57"/>
      <c r="DQO248" s="10"/>
      <c r="DQP248" s="57"/>
      <c r="DQQ248" s="10"/>
      <c r="DQR248" s="57"/>
      <c r="DQS248" s="10"/>
      <c r="DQT248" s="57"/>
      <c r="DQU248" s="10"/>
      <c r="DQV248" s="57"/>
      <c r="DQW248" s="10"/>
      <c r="DQX248" s="57"/>
      <c r="DQY248" s="10"/>
      <c r="DQZ248" s="57"/>
      <c r="DRA248" s="10"/>
      <c r="DRB248" s="57"/>
      <c r="DRC248" s="10"/>
      <c r="DRD248" s="57"/>
      <c r="DRE248" s="10"/>
      <c r="DRF248" s="57"/>
      <c r="DRG248" s="10"/>
      <c r="DRH248" s="57"/>
      <c r="DRI248" s="10"/>
      <c r="DRJ248" s="57"/>
      <c r="DRK248" s="10"/>
      <c r="DRL248" s="57"/>
      <c r="DRM248" s="10"/>
      <c r="DRN248" s="57"/>
      <c r="DRO248" s="10"/>
      <c r="DRP248" s="57"/>
      <c r="DRQ248" s="10"/>
      <c r="DRR248" s="57"/>
      <c r="DRS248" s="10"/>
      <c r="DRT248" s="57"/>
      <c r="DRU248" s="10"/>
      <c r="DRV248" s="57"/>
      <c r="DRW248" s="10"/>
      <c r="DRX248" s="57"/>
      <c r="DRY248" s="10"/>
      <c r="DRZ248" s="57"/>
      <c r="DSA248" s="10"/>
      <c r="DSB248" s="57"/>
      <c r="DSC248" s="10"/>
      <c r="DSD248" s="57"/>
      <c r="DSE248" s="10"/>
      <c r="DSF248" s="57"/>
      <c r="DSG248" s="10"/>
      <c r="DSH248" s="57"/>
      <c r="DSI248" s="10"/>
      <c r="DSJ248" s="57"/>
      <c r="DSK248" s="10"/>
      <c r="DSL248" s="57"/>
      <c r="DSM248" s="10"/>
      <c r="DSN248" s="57"/>
      <c r="DSO248" s="10"/>
      <c r="DSP248" s="57"/>
      <c r="DSQ248" s="10"/>
      <c r="DSR248" s="57"/>
      <c r="DSS248" s="10"/>
      <c r="DST248" s="57"/>
      <c r="DSU248" s="10"/>
      <c r="DSV248" s="57"/>
      <c r="DSW248" s="10"/>
      <c r="DSX248" s="57"/>
      <c r="DSY248" s="10"/>
      <c r="DSZ248" s="57"/>
      <c r="DTA248" s="10"/>
      <c r="DTB248" s="57"/>
      <c r="DTC248" s="10"/>
      <c r="DTD248" s="57"/>
      <c r="DTE248" s="10"/>
      <c r="DTF248" s="57"/>
      <c r="DTG248" s="10"/>
      <c r="DTH248" s="57"/>
      <c r="DTI248" s="10"/>
      <c r="DTJ248" s="57"/>
      <c r="DTK248" s="10"/>
      <c r="DTL248" s="57"/>
      <c r="DTM248" s="10"/>
      <c r="DTN248" s="57"/>
      <c r="DTO248" s="10"/>
      <c r="DTP248" s="57"/>
      <c r="DTQ248" s="10"/>
      <c r="DTR248" s="57"/>
      <c r="DTS248" s="10"/>
      <c r="DTT248" s="57"/>
      <c r="DTU248" s="10"/>
      <c r="DTV248" s="57"/>
      <c r="DTW248" s="10"/>
      <c r="DTX248" s="57"/>
      <c r="DTY248" s="10"/>
      <c r="DTZ248" s="57"/>
      <c r="DUA248" s="10"/>
      <c r="DUB248" s="57"/>
      <c r="DUC248" s="10"/>
      <c r="DUD248" s="57"/>
      <c r="DUE248" s="10"/>
      <c r="DUF248" s="57"/>
      <c r="DUG248" s="10"/>
      <c r="DUH248" s="57"/>
      <c r="DUI248" s="10"/>
      <c r="DUJ248" s="57"/>
      <c r="DUK248" s="10"/>
      <c r="DUL248" s="57"/>
      <c r="DUM248" s="10"/>
      <c r="DUN248" s="57"/>
      <c r="DUO248" s="10"/>
      <c r="DUP248" s="57"/>
      <c r="DUQ248" s="10"/>
      <c r="DUR248" s="57"/>
      <c r="DUS248" s="10"/>
      <c r="DUT248" s="57"/>
      <c r="DUU248" s="10"/>
      <c r="DUV248" s="57"/>
      <c r="DUW248" s="10"/>
      <c r="DUX248" s="57"/>
      <c r="DUY248" s="10"/>
      <c r="DUZ248" s="57"/>
      <c r="DVA248" s="10"/>
      <c r="DVB248" s="57"/>
      <c r="DVC248" s="10"/>
      <c r="DVD248" s="57"/>
      <c r="DVE248" s="10"/>
      <c r="DVF248" s="57"/>
      <c r="DVG248" s="10"/>
      <c r="DVH248" s="57"/>
      <c r="DVI248" s="10"/>
      <c r="DVJ248" s="57"/>
      <c r="DVK248" s="10"/>
      <c r="DVL248" s="57"/>
      <c r="DVM248" s="10"/>
      <c r="DVN248" s="57"/>
      <c r="DVO248" s="10"/>
      <c r="DVP248" s="57"/>
      <c r="DVQ248" s="10"/>
      <c r="DVR248" s="57"/>
      <c r="DVS248" s="10"/>
      <c r="DVT248" s="57"/>
      <c r="DVU248" s="10"/>
      <c r="DVV248" s="57"/>
      <c r="DVW248" s="10"/>
      <c r="DVX248" s="57"/>
      <c r="DVY248" s="10"/>
      <c r="DVZ248" s="57"/>
      <c r="DWA248" s="10"/>
      <c r="DWB248" s="57"/>
      <c r="DWC248" s="10"/>
      <c r="DWD248" s="57"/>
      <c r="DWE248" s="10"/>
      <c r="DWF248" s="57"/>
      <c r="DWG248" s="10"/>
      <c r="DWH248" s="57"/>
      <c r="DWI248" s="10"/>
      <c r="DWJ248" s="57"/>
      <c r="DWK248" s="10"/>
      <c r="DWL248" s="57"/>
      <c r="DWM248" s="10"/>
      <c r="DWN248" s="57"/>
      <c r="DWO248" s="10"/>
      <c r="DWP248" s="57"/>
      <c r="DWQ248" s="10"/>
      <c r="DWR248" s="57"/>
      <c r="DWS248" s="10"/>
      <c r="DWT248" s="57"/>
      <c r="DWU248" s="10"/>
      <c r="DWV248" s="57"/>
      <c r="DWW248" s="10"/>
      <c r="DWX248" s="57"/>
      <c r="DWY248" s="10"/>
      <c r="DWZ248" s="57"/>
      <c r="DXA248" s="10"/>
      <c r="DXB248" s="57"/>
      <c r="DXC248" s="10"/>
      <c r="DXD248" s="57"/>
      <c r="DXE248" s="10"/>
      <c r="DXF248" s="57"/>
      <c r="DXG248" s="10"/>
      <c r="DXH248" s="57"/>
      <c r="DXI248" s="10"/>
      <c r="DXJ248" s="57"/>
      <c r="DXK248" s="10"/>
      <c r="DXL248" s="57"/>
      <c r="DXM248" s="10"/>
      <c r="DXN248" s="57"/>
      <c r="DXO248" s="10"/>
      <c r="DXP248" s="57"/>
      <c r="DXQ248" s="10"/>
      <c r="DXR248" s="57"/>
      <c r="DXS248" s="10"/>
      <c r="DXT248" s="57"/>
      <c r="DXU248" s="10"/>
      <c r="DXV248" s="57"/>
      <c r="DXW248" s="10"/>
      <c r="DXX248" s="57"/>
      <c r="DXY248" s="10"/>
      <c r="DXZ248" s="57"/>
      <c r="DYA248" s="10"/>
      <c r="DYB248" s="57"/>
      <c r="DYC248" s="10"/>
      <c r="DYD248" s="57"/>
      <c r="DYE248" s="10"/>
      <c r="DYF248" s="57"/>
      <c r="DYG248" s="10"/>
      <c r="DYH248" s="57"/>
      <c r="DYI248" s="10"/>
      <c r="DYJ248" s="57"/>
      <c r="DYK248" s="10"/>
      <c r="DYL248" s="57"/>
      <c r="DYM248" s="10"/>
      <c r="DYN248" s="57"/>
      <c r="DYO248" s="10"/>
      <c r="DYP248" s="57"/>
      <c r="DYQ248" s="10"/>
      <c r="DYR248" s="57"/>
      <c r="DYS248" s="10"/>
      <c r="DYT248" s="57"/>
      <c r="DYU248" s="10"/>
      <c r="DYV248" s="57"/>
      <c r="DYW248" s="10"/>
      <c r="DYX248" s="57"/>
      <c r="DYY248" s="10"/>
      <c r="DYZ248" s="57"/>
      <c r="DZA248" s="10"/>
      <c r="DZB248" s="57"/>
      <c r="DZC248" s="10"/>
      <c r="DZD248" s="57"/>
      <c r="DZE248" s="10"/>
      <c r="DZF248" s="57"/>
      <c r="DZG248" s="10"/>
      <c r="DZH248" s="57"/>
      <c r="DZI248" s="10"/>
      <c r="DZJ248" s="57"/>
      <c r="DZK248" s="10"/>
      <c r="DZL248" s="57"/>
      <c r="DZM248" s="10"/>
      <c r="DZN248" s="57"/>
      <c r="DZO248" s="10"/>
      <c r="DZP248" s="57"/>
      <c r="DZQ248" s="10"/>
      <c r="DZR248" s="57"/>
      <c r="DZS248" s="10"/>
      <c r="DZT248" s="57"/>
      <c r="DZU248" s="10"/>
      <c r="DZV248" s="57"/>
      <c r="DZW248" s="10"/>
      <c r="DZX248" s="57"/>
      <c r="DZY248" s="10"/>
      <c r="DZZ248" s="57"/>
      <c r="EAA248" s="10"/>
      <c r="EAB248" s="57"/>
      <c r="EAC248" s="10"/>
      <c r="EAD248" s="57"/>
      <c r="EAE248" s="10"/>
      <c r="EAF248" s="57"/>
      <c r="EAG248" s="10"/>
      <c r="EAH248" s="57"/>
      <c r="EAI248" s="10"/>
      <c r="EAJ248" s="57"/>
      <c r="EAK248" s="10"/>
      <c r="EAL248" s="57"/>
      <c r="EAM248" s="10"/>
      <c r="EAN248" s="57"/>
      <c r="EAO248" s="10"/>
      <c r="EAP248" s="57"/>
      <c r="EAQ248" s="10"/>
      <c r="EAR248" s="57"/>
      <c r="EAS248" s="10"/>
      <c r="EAT248" s="57"/>
      <c r="EAU248" s="10"/>
      <c r="EAV248" s="57"/>
      <c r="EAW248" s="10"/>
      <c r="EAX248" s="57"/>
      <c r="EAY248" s="10"/>
      <c r="EAZ248" s="57"/>
      <c r="EBA248" s="10"/>
      <c r="EBB248" s="57"/>
      <c r="EBC248" s="10"/>
      <c r="EBD248" s="57"/>
      <c r="EBE248" s="10"/>
      <c r="EBF248" s="57"/>
      <c r="EBG248" s="10"/>
      <c r="EBH248" s="57"/>
      <c r="EBI248" s="10"/>
      <c r="EBJ248" s="57"/>
      <c r="EBK248" s="10"/>
      <c r="EBL248" s="57"/>
      <c r="EBM248" s="10"/>
      <c r="EBN248" s="57"/>
      <c r="EBO248" s="10"/>
      <c r="EBP248" s="57"/>
      <c r="EBQ248" s="10"/>
      <c r="EBR248" s="57"/>
      <c r="EBS248" s="10"/>
      <c r="EBT248" s="57"/>
      <c r="EBU248" s="10"/>
      <c r="EBV248" s="57"/>
      <c r="EBW248" s="10"/>
      <c r="EBX248" s="57"/>
      <c r="EBY248" s="10"/>
      <c r="EBZ248" s="57"/>
      <c r="ECA248" s="10"/>
      <c r="ECB248" s="57"/>
      <c r="ECC248" s="10"/>
      <c r="ECD248" s="57"/>
      <c r="ECE248" s="10"/>
      <c r="ECF248" s="57"/>
      <c r="ECG248" s="10"/>
      <c r="ECH248" s="57"/>
      <c r="ECI248" s="10"/>
      <c r="ECJ248" s="57"/>
      <c r="ECK248" s="10"/>
      <c r="ECL248" s="57"/>
      <c r="ECM248" s="10"/>
      <c r="ECN248" s="57"/>
      <c r="ECO248" s="10"/>
      <c r="ECP248" s="57"/>
      <c r="ECQ248" s="10"/>
      <c r="ECR248" s="57"/>
      <c r="ECS248" s="10"/>
      <c r="ECT248" s="57"/>
      <c r="ECU248" s="10"/>
      <c r="ECV248" s="57"/>
      <c r="ECW248" s="10"/>
      <c r="ECX248" s="57"/>
      <c r="ECY248" s="10"/>
      <c r="ECZ248" s="57"/>
      <c r="EDA248" s="10"/>
      <c r="EDB248" s="57"/>
      <c r="EDC248" s="10"/>
      <c r="EDD248" s="57"/>
      <c r="EDE248" s="10"/>
      <c r="EDF248" s="57"/>
      <c r="EDG248" s="10"/>
      <c r="EDH248" s="57"/>
      <c r="EDI248" s="10"/>
      <c r="EDJ248" s="57"/>
      <c r="EDK248" s="10"/>
      <c r="EDL248" s="57"/>
      <c r="EDM248" s="10"/>
      <c r="EDN248" s="57"/>
      <c r="EDO248" s="10"/>
      <c r="EDP248" s="57"/>
      <c r="EDQ248" s="10"/>
      <c r="EDR248" s="57"/>
      <c r="EDS248" s="10"/>
      <c r="EDT248" s="57"/>
      <c r="EDU248" s="10"/>
      <c r="EDV248" s="57"/>
      <c r="EDW248" s="10"/>
      <c r="EDX248" s="57"/>
      <c r="EDY248" s="10"/>
      <c r="EDZ248" s="57"/>
      <c r="EEA248" s="10"/>
      <c r="EEB248" s="57"/>
      <c r="EEC248" s="10"/>
      <c r="EED248" s="57"/>
      <c r="EEE248" s="10"/>
      <c r="EEF248" s="57"/>
      <c r="EEG248" s="10"/>
      <c r="EEH248" s="57"/>
      <c r="EEI248" s="10"/>
      <c r="EEJ248" s="57"/>
      <c r="EEK248" s="10"/>
      <c r="EEL248" s="57"/>
      <c r="EEM248" s="10"/>
      <c r="EEN248" s="57"/>
      <c r="EEO248" s="10"/>
      <c r="EEP248" s="57"/>
      <c r="EEQ248" s="10"/>
      <c r="EER248" s="57"/>
      <c r="EES248" s="10"/>
      <c r="EET248" s="57"/>
      <c r="EEU248" s="10"/>
      <c r="EEV248" s="57"/>
      <c r="EEW248" s="10"/>
      <c r="EEX248" s="57"/>
      <c r="EEY248" s="10"/>
      <c r="EEZ248" s="57"/>
      <c r="EFA248" s="10"/>
      <c r="EFB248" s="57"/>
      <c r="EFC248" s="10"/>
      <c r="EFD248" s="57"/>
      <c r="EFE248" s="10"/>
      <c r="EFF248" s="57"/>
      <c r="EFG248" s="10"/>
      <c r="EFH248" s="57"/>
      <c r="EFI248" s="10"/>
      <c r="EFJ248" s="57"/>
      <c r="EFK248" s="10"/>
      <c r="EFL248" s="57"/>
      <c r="EFM248" s="10"/>
      <c r="EFN248" s="57"/>
      <c r="EFO248" s="10"/>
      <c r="EFP248" s="57"/>
      <c r="EFQ248" s="10"/>
      <c r="EFR248" s="57"/>
      <c r="EFS248" s="10"/>
      <c r="EFT248" s="57"/>
      <c r="EFU248" s="10"/>
      <c r="EFV248" s="57"/>
      <c r="EFW248" s="10"/>
      <c r="EFX248" s="57"/>
      <c r="EFY248" s="10"/>
      <c r="EFZ248" s="57"/>
      <c r="EGA248" s="10"/>
      <c r="EGB248" s="57"/>
      <c r="EGC248" s="10"/>
      <c r="EGD248" s="57"/>
      <c r="EGE248" s="10"/>
      <c r="EGF248" s="57"/>
      <c r="EGG248" s="10"/>
      <c r="EGH248" s="57"/>
      <c r="EGI248" s="10"/>
      <c r="EGJ248" s="57"/>
      <c r="EGK248" s="10"/>
      <c r="EGL248" s="57"/>
      <c r="EGM248" s="10"/>
      <c r="EGN248" s="57"/>
      <c r="EGO248" s="10"/>
      <c r="EGP248" s="57"/>
      <c r="EGQ248" s="10"/>
      <c r="EGR248" s="57"/>
      <c r="EGS248" s="10"/>
      <c r="EGT248" s="57"/>
      <c r="EGU248" s="10"/>
      <c r="EGV248" s="57"/>
      <c r="EGW248" s="10"/>
      <c r="EGX248" s="57"/>
      <c r="EGY248" s="10"/>
      <c r="EGZ248" s="57"/>
      <c r="EHA248" s="10"/>
      <c r="EHB248" s="57"/>
      <c r="EHC248" s="10"/>
      <c r="EHD248" s="57"/>
      <c r="EHE248" s="10"/>
      <c r="EHF248" s="57"/>
      <c r="EHG248" s="10"/>
      <c r="EHH248" s="57"/>
      <c r="EHI248" s="10"/>
      <c r="EHJ248" s="57"/>
      <c r="EHK248" s="10"/>
      <c r="EHL248" s="57"/>
      <c r="EHM248" s="10"/>
      <c r="EHN248" s="57"/>
      <c r="EHO248" s="10"/>
      <c r="EHP248" s="57"/>
      <c r="EHQ248" s="10"/>
      <c r="EHR248" s="57"/>
      <c r="EHS248" s="10"/>
      <c r="EHT248" s="57"/>
      <c r="EHU248" s="10"/>
      <c r="EHV248" s="57"/>
      <c r="EHW248" s="10"/>
      <c r="EHX248" s="57"/>
      <c r="EHY248" s="10"/>
      <c r="EHZ248" s="57"/>
      <c r="EIA248" s="10"/>
      <c r="EIB248" s="57"/>
      <c r="EIC248" s="10"/>
      <c r="EID248" s="57"/>
      <c r="EIE248" s="10"/>
      <c r="EIF248" s="57"/>
      <c r="EIG248" s="10"/>
      <c r="EIH248" s="57"/>
      <c r="EII248" s="10"/>
      <c r="EIJ248" s="57"/>
      <c r="EIK248" s="10"/>
      <c r="EIL248" s="57"/>
      <c r="EIM248" s="10"/>
      <c r="EIN248" s="57"/>
      <c r="EIO248" s="10"/>
      <c r="EIP248" s="57"/>
      <c r="EIQ248" s="10"/>
      <c r="EIR248" s="57"/>
      <c r="EIS248" s="10"/>
      <c r="EIT248" s="57"/>
      <c r="EIU248" s="10"/>
      <c r="EIV248" s="57"/>
      <c r="EIW248" s="10"/>
      <c r="EIX248" s="57"/>
      <c r="EIY248" s="10"/>
      <c r="EIZ248" s="57"/>
      <c r="EJA248" s="10"/>
      <c r="EJB248" s="57"/>
      <c r="EJC248" s="10"/>
      <c r="EJD248" s="57"/>
      <c r="EJE248" s="10"/>
      <c r="EJF248" s="57"/>
      <c r="EJG248" s="10"/>
      <c r="EJH248" s="57"/>
      <c r="EJI248" s="10"/>
      <c r="EJJ248" s="57"/>
      <c r="EJK248" s="10"/>
      <c r="EJL248" s="57"/>
      <c r="EJM248" s="10"/>
      <c r="EJN248" s="57"/>
      <c r="EJO248" s="10"/>
      <c r="EJP248" s="57"/>
      <c r="EJQ248" s="10"/>
      <c r="EJR248" s="57"/>
      <c r="EJS248" s="10"/>
      <c r="EJT248" s="57"/>
      <c r="EJU248" s="10"/>
      <c r="EJV248" s="57"/>
      <c r="EJW248" s="10"/>
      <c r="EJX248" s="57"/>
      <c r="EJY248" s="10"/>
      <c r="EJZ248" s="57"/>
      <c r="EKA248" s="10"/>
      <c r="EKB248" s="57"/>
      <c r="EKC248" s="10"/>
      <c r="EKD248" s="57"/>
      <c r="EKE248" s="10"/>
      <c r="EKF248" s="57"/>
      <c r="EKG248" s="10"/>
      <c r="EKH248" s="57"/>
      <c r="EKI248" s="10"/>
      <c r="EKJ248" s="57"/>
      <c r="EKK248" s="10"/>
      <c r="EKL248" s="57"/>
      <c r="EKM248" s="10"/>
      <c r="EKN248" s="57"/>
      <c r="EKO248" s="10"/>
      <c r="EKP248" s="57"/>
      <c r="EKQ248" s="10"/>
      <c r="EKR248" s="57"/>
      <c r="EKS248" s="10"/>
      <c r="EKT248" s="57"/>
      <c r="EKU248" s="10"/>
      <c r="EKV248" s="57"/>
      <c r="EKW248" s="10"/>
      <c r="EKX248" s="57"/>
      <c r="EKY248" s="10"/>
      <c r="EKZ248" s="57"/>
      <c r="ELA248" s="10"/>
      <c r="ELB248" s="57"/>
      <c r="ELC248" s="10"/>
      <c r="ELD248" s="57"/>
      <c r="ELE248" s="10"/>
      <c r="ELF248" s="57"/>
      <c r="ELG248" s="10"/>
      <c r="ELH248" s="57"/>
      <c r="ELI248" s="10"/>
      <c r="ELJ248" s="57"/>
      <c r="ELK248" s="10"/>
      <c r="ELL248" s="57"/>
      <c r="ELM248" s="10"/>
      <c r="ELN248" s="57"/>
      <c r="ELO248" s="10"/>
      <c r="ELP248" s="57"/>
      <c r="ELQ248" s="10"/>
      <c r="ELR248" s="57"/>
      <c r="ELS248" s="10"/>
      <c r="ELT248" s="57"/>
      <c r="ELU248" s="10"/>
      <c r="ELV248" s="57"/>
      <c r="ELW248" s="10"/>
      <c r="ELX248" s="57"/>
      <c r="ELY248" s="10"/>
      <c r="ELZ248" s="57"/>
      <c r="EMA248" s="10"/>
      <c r="EMB248" s="57"/>
      <c r="EMC248" s="10"/>
      <c r="EMD248" s="57"/>
      <c r="EME248" s="10"/>
      <c r="EMF248" s="57"/>
      <c r="EMG248" s="10"/>
      <c r="EMH248" s="57"/>
      <c r="EMI248" s="10"/>
      <c r="EMJ248" s="57"/>
      <c r="EMK248" s="10"/>
      <c r="EML248" s="57"/>
      <c r="EMM248" s="10"/>
      <c r="EMN248" s="57"/>
      <c r="EMO248" s="10"/>
      <c r="EMP248" s="57"/>
      <c r="EMQ248" s="10"/>
      <c r="EMR248" s="57"/>
      <c r="EMS248" s="10"/>
      <c r="EMT248" s="57"/>
      <c r="EMU248" s="10"/>
      <c r="EMV248" s="57"/>
      <c r="EMW248" s="10"/>
      <c r="EMX248" s="57"/>
      <c r="EMY248" s="10"/>
      <c r="EMZ248" s="57"/>
      <c r="ENA248" s="10"/>
      <c r="ENB248" s="57"/>
      <c r="ENC248" s="10"/>
      <c r="END248" s="57"/>
      <c r="ENE248" s="10"/>
      <c r="ENF248" s="57"/>
      <c r="ENG248" s="10"/>
      <c r="ENH248" s="57"/>
      <c r="ENI248" s="10"/>
      <c r="ENJ248" s="57"/>
      <c r="ENK248" s="10"/>
      <c r="ENL248" s="57"/>
      <c r="ENM248" s="10"/>
      <c r="ENN248" s="57"/>
      <c r="ENO248" s="10"/>
      <c r="ENP248" s="57"/>
      <c r="ENQ248" s="10"/>
      <c r="ENR248" s="57"/>
      <c r="ENS248" s="10"/>
      <c r="ENT248" s="57"/>
      <c r="ENU248" s="10"/>
      <c r="ENV248" s="57"/>
      <c r="ENW248" s="10"/>
      <c r="ENX248" s="57"/>
      <c r="ENY248" s="10"/>
      <c r="ENZ248" s="57"/>
      <c r="EOA248" s="10"/>
      <c r="EOB248" s="57"/>
      <c r="EOC248" s="10"/>
      <c r="EOD248" s="57"/>
      <c r="EOE248" s="10"/>
      <c r="EOF248" s="57"/>
      <c r="EOG248" s="10"/>
      <c r="EOH248" s="57"/>
      <c r="EOI248" s="10"/>
      <c r="EOJ248" s="57"/>
      <c r="EOK248" s="10"/>
      <c r="EOL248" s="57"/>
      <c r="EOM248" s="10"/>
      <c r="EON248" s="57"/>
      <c r="EOO248" s="10"/>
      <c r="EOP248" s="57"/>
      <c r="EOQ248" s="10"/>
      <c r="EOR248" s="57"/>
      <c r="EOS248" s="10"/>
      <c r="EOT248" s="57"/>
      <c r="EOU248" s="10"/>
      <c r="EOV248" s="57"/>
      <c r="EOW248" s="10"/>
      <c r="EOX248" s="57"/>
      <c r="EOY248" s="10"/>
      <c r="EOZ248" s="57"/>
      <c r="EPA248" s="10"/>
      <c r="EPB248" s="57"/>
      <c r="EPC248" s="10"/>
      <c r="EPD248" s="57"/>
      <c r="EPE248" s="10"/>
      <c r="EPF248" s="57"/>
      <c r="EPG248" s="10"/>
      <c r="EPH248" s="57"/>
      <c r="EPI248" s="10"/>
      <c r="EPJ248" s="57"/>
      <c r="EPK248" s="10"/>
      <c r="EPL248" s="57"/>
      <c r="EPM248" s="10"/>
      <c r="EPN248" s="57"/>
      <c r="EPO248" s="10"/>
      <c r="EPP248" s="57"/>
      <c r="EPQ248" s="10"/>
      <c r="EPR248" s="57"/>
      <c r="EPS248" s="10"/>
      <c r="EPT248" s="57"/>
      <c r="EPU248" s="10"/>
      <c r="EPV248" s="57"/>
      <c r="EPW248" s="10"/>
      <c r="EPX248" s="57"/>
      <c r="EPY248" s="10"/>
      <c r="EPZ248" s="57"/>
      <c r="EQA248" s="10"/>
      <c r="EQB248" s="57"/>
      <c r="EQC248" s="10"/>
      <c r="EQD248" s="57"/>
      <c r="EQE248" s="10"/>
      <c r="EQF248" s="57"/>
      <c r="EQG248" s="10"/>
      <c r="EQH248" s="57"/>
      <c r="EQI248" s="10"/>
      <c r="EQJ248" s="57"/>
      <c r="EQK248" s="10"/>
      <c r="EQL248" s="57"/>
      <c r="EQM248" s="10"/>
      <c r="EQN248" s="57"/>
      <c r="EQO248" s="10"/>
      <c r="EQP248" s="57"/>
      <c r="EQQ248" s="10"/>
      <c r="EQR248" s="57"/>
      <c r="EQS248" s="10"/>
      <c r="EQT248" s="57"/>
      <c r="EQU248" s="10"/>
      <c r="EQV248" s="57"/>
      <c r="EQW248" s="10"/>
      <c r="EQX248" s="57"/>
      <c r="EQY248" s="10"/>
      <c r="EQZ248" s="57"/>
      <c r="ERA248" s="10"/>
      <c r="ERB248" s="57"/>
      <c r="ERC248" s="10"/>
      <c r="ERD248" s="57"/>
      <c r="ERE248" s="10"/>
      <c r="ERF248" s="57"/>
      <c r="ERG248" s="10"/>
      <c r="ERH248" s="57"/>
      <c r="ERI248" s="10"/>
      <c r="ERJ248" s="57"/>
      <c r="ERK248" s="10"/>
      <c r="ERL248" s="57"/>
      <c r="ERM248" s="10"/>
      <c r="ERN248" s="57"/>
      <c r="ERO248" s="10"/>
      <c r="ERP248" s="57"/>
      <c r="ERQ248" s="10"/>
      <c r="ERR248" s="57"/>
      <c r="ERS248" s="10"/>
      <c r="ERT248" s="57"/>
      <c r="ERU248" s="10"/>
      <c r="ERV248" s="57"/>
      <c r="ERW248" s="10"/>
      <c r="ERX248" s="57"/>
      <c r="ERY248" s="10"/>
      <c r="ERZ248" s="57"/>
      <c r="ESA248" s="10"/>
      <c r="ESB248" s="57"/>
      <c r="ESC248" s="10"/>
      <c r="ESD248" s="57"/>
      <c r="ESE248" s="10"/>
      <c r="ESF248" s="57"/>
      <c r="ESG248" s="10"/>
      <c r="ESH248" s="57"/>
      <c r="ESI248" s="10"/>
      <c r="ESJ248" s="57"/>
      <c r="ESK248" s="10"/>
      <c r="ESL248" s="57"/>
      <c r="ESM248" s="10"/>
      <c r="ESN248" s="57"/>
      <c r="ESO248" s="10"/>
      <c r="ESP248" s="57"/>
      <c r="ESQ248" s="10"/>
      <c r="ESR248" s="57"/>
      <c r="ESS248" s="10"/>
      <c r="EST248" s="57"/>
      <c r="ESU248" s="10"/>
      <c r="ESV248" s="57"/>
      <c r="ESW248" s="10"/>
      <c r="ESX248" s="57"/>
      <c r="ESY248" s="10"/>
      <c r="ESZ248" s="57"/>
      <c r="ETA248" s="10"/>
      <c r="ETB248" s="57"/>
      <c r="ETC248" s="10"/>
      <c r="ETD248" s="57"/>
      <c r="ETE248" s="10"/>
      <c r="ETF248" s="57"/>
      <c r="ETG248" s="10"/>
      <c r="ETH248" s="57"/>
      <c r="ETI248" s="10"/>
      <c r="ETJ248" s="57"/>
      <c r="ETK248" s="10"/>
      <c r="ETL248" s="57"/>
      <c r="ETM248" s="10"/>
      <c r="ETN248" s="57"/>
      <c r="ETO248" s="10"/>
      <c r="ETP248" s="57"/>
      <c r="ETQ248" s="10"/>
      <c r="ETR248" s="57"/>
      <c r="ETS248" s="10"/>
      <c r="ETT248" s="57"/>
      <c r="ETU248" s="10"/>
      <c r="ETV248" s="57"/>
      <c r="ETW248" s="10"/>
      <c r="ETX248" s="57"/>
      <c r="ETY248" s="10"/>
      <c r="ETZ248" s="57"/>
      <c r="EUA248" s="10"/>
      <c r="EUB248" s="57"/>
      <c r="EUC248" s="10"/>
      <c r="EUD248" s="57"/>
      <c r="EUE248" s="10"/>
      <c r="EUF248" s="57"/>
      <c r="EUG248" s="10"/>
      <c r="EUH248" s="57"/>
      <c r="EUI248" s="10"/>
      <c r="EUJ248" s="57"/>
      <c r="EUK248" s="10"/>
      <c r="EUL248" s="57"/>
      <c r="EUM248" s="10"/>
      <c r="EUN248" s="57"/>
      <c r="EUO248" s="10"/>
      <c r="EUP248" s="57"/>
      <c r="EUQ248" s="10"/>
      <c r="EUR248" s="57"/>
      <c r="EUS248" s="10"/>
      <c r="EUT248" s="57"/>
      <c r="EUU248" s="10"/>
      <c r="EUV248" s="57"/>
      <c r="EUW248" s="10"/>
      <c r="EUX248" s="57"/>
      <c r="EUY248" s="10"/>
      <c r="EUZ248" s="57"/>
      <c r="EVA248" s="10"/>
      <c r="EVB248" s="57"/>
      <c r="EVC248" s="10"/>
      <c r="EVD248" s="57"/>
      <c r="EVE248" s="10"/>
      <c r="EVF248" s="57"/>
      <c r="EVG248" s="10"/>
      <c r="EVH248" s="57"/>
      <c r="EVI248" s="10"/>
      <c r="EVJ248" s="57"/>
      <c r="EVK248" s="10"/>
      <c r="EVL248" s="57"/>
      <c r="EVM248" s="10"/>
      <c r="EVN248" s="57"/>
      <c r="EVO248" s="10"/>
      <c r="EVP248" s="57"/>
      <c r="EVQ248" s="10"/>
      <c r="EVR248" s="57"/>
      <c r="EVS248" s="10"/>
      <c r="EVT248" s="57"/>
      <c r="EVU248" s="10"/>
      <c r="EVV248" s="57"/>
      <c r="EVW248" s="10"/>
      <c r="EVX248" s="57"/>
      <c r="EVY248" s="10"/>
      <c r="EVZ248" s="57"/>
      <c r="EWA248" s="10"/>
      <c r="EWB248" s="57"/>
      <c r="EWC248" s="10"/>
      <c r="EWD248" s="57"/>
      <c r="EWE248" s="10"/>
      <c r="EWF248" s="57"/>
      <c r="EWG248" s="10"/>
      <c r="EWH248" s="57"/>
      <c r="EWI248" s="10"/>
      <c r="EWJ248" s="57"/>
      <c r="EWK248" s="10"/>
      <c r="EWL248" s="57"/>
      <c r="EWM248" s="10"/>
      <c r="EWN248" s="57"/>
      <c r="EWO248" s="10"/>
      <c r="EWP248" s="57"/>
      <c r="EWQ248" s="10"/>
      <c r="EWR248" s="57"/>
      <c r="EWS248" s="10"/>
      <c r="EWT248" s="57"/>
      <c r="EWU248" s="10"/>
      <c r="EWV248" s="57"/>
      <c r="EWW248" s="10"/>
      <c r="EWX248" s="57"/>
      <c r="EWY248" s="10"/>
      <c r="EWZ248" s="57"/>
      <c r="EXA248" s="10"/>
      <c r="EXB248" s="57"/>
      <c r="EXC248" s="10"/>
      <c r="EXD248" s="57"/>
      <c r="EXE248" s="10"/>
      <c r="EXF248" s="57"/>
      <c r="EXG248" s="10"/>
      <c r="EXH248" s="57"/>
      <c r="EXI248" s="10"/>
      <c r="EXJ248" s="57"/>
      <c r="EXK248" s="10"/>
      <c r="EXL248" s="57"/>
      <c r="EXM248" s="10"/>
      <c r="EXN248" s="57"/>
      <c r="EXO248" s="10"/>
      <c r="EXP248" s="57"/>
      <c r="EXQ248" s="10"/>
      <c r="EXR248" s="57"/>
      <c r="EXS248" s="10"/>
      <c r="EXT248" s="57"/>
      <c r="EXU248" s="10"/>
      <c r="EXV248" s="57"/>
      <c r="EXW248" s="10"/>
      <c r="EXX248" s="57"/>
      <c r="EXY248" s="10"/>
      <c r="EXZ248" s="57"/>
      <c r="EYA248" s="10"/>
      <c r="EYB248" s="57"/>
      <c r="EYC248" s="10"/>
      <c r="EYD248" s="57"/>
      <c r="EYE248" s="10"/>
      <c r="EYF248" s="57"/>
      <c r="EYG248" s="10"/>
      <c r="EYH248" s="57"/>
      <c r="EYI248" s="10"/>
      <c r="EYJ248" s="57"/>
      <c r="EYK248" s="10"/>
      <c r="EYL248" s="57"/>
      <c r="EYM248" s="10"/>
      <c r="EYN248" s="57"/>
      <c r="EYO248" s="10"/>
      <c r="EYP248" s="57"/>
      <c r="EYQ248" s="10"/>
      <c r="EYR248" s="57"/>
      <c r="EYS248" s="10"/>
      <c r="EYT248" s="57"/>
      <c r="EYU248" s="10"/>
      <c r="EYV248" s="57"/>
      <c r="EYW248" s="10"/>
      <c r="EYX248" s="57"/>
      <c r="EYY248" s="10"/>
      <c r="EYZ248" s="57"/>
      <c r="EZA248" s="10"/>
      <c r="EZB248" s="57"/>
      <c r="EZC248" s="10"/>
      <c r="EZD248" s="57"/>
      <c r="EZE248" s="10"/>
      <c r="EZF248" s="57"/>
      <c r="EZG248" s="10"/>
      <c r="EZH248" s="57"/>
      <c r="EZI248" s="10"/>
      <c r="EZJ248" s="57"/>
      <c r="EZK248" s="10"/>
      <c r="EZL248" s="57"/>
      <c r="EZM248" s="10"/>
      <c r="EZN248" s="57"/>
      <c r="EZO248" s="10"/>
      <c r="EZP248" s="57"/>
      <c r="EZQ248" s="10"/>
      <c r="EZR248" s="57"/>
      <c r="EZS248" s="10"/>
      <c r="EZT248" s="57"/>
      <c r="EZU248" s="10"/>
      <c r="EZV248" s="57"/>
      <c r="EZW248" s="10"/>
      <c r="EZX248" s="57"/>
      <c r="EZY248" s="10"/>
      <c r="EZZ248" s="57"/>
      <c r="FAA248" s="10"/>
      <c r="FAB248" s="57"/>
      <c r="FAC248" s="10"/>
      <c r="FAD248" s="57"/>
      <c r="FAE248" s="10"/>
      <c r="FAF248" s="57"/>
      <c r="FAG248" s="10"/>
      <c r="FAH248" s="57"/>
      <c r="FAI248" s="10"/>
      <c r="FAJ248" s="57"/>
      <c r="FAK248" s="10"/>
      <c r="FAL248" s="57"/>
      <c r="FAM248" s="10"/>
      <c r="FAN248" s="57"/>
      <c r="FAO248" s="10"/>
      <c r="FAP248" s="57"/>
      <c r="FAQ248" s="10"/>
      <c r="FAR248" s="57"/>
      <c r="FAS248" s="10"/>
      <c r="FAT248" s="57"/>
      <c r="FAU248" s="10"/>
      <c r="FAV248" s="57"/>
      <c r="FAW248" s="10"/>
      <c r="FAX248" s="57"/>
      <c r="FAY248" s="10"/>
      <c r="FAZ248" s="57"/>
      <c r="FBA248" s="10"/>
      <c r="FBB248" s="57"/>
      <c r="FBC248" s="10"/>
      <c r="FBD248" s="57"/>
      <c r="FBE248" s="10"/>
      <c r="FBF248" s="57"/>
      <c r="FBG248" s="10"/>
      <c r="FBH248" s="57"/>
      <c r="FBI248" s="10"/>
      <c r="FBJ248" s="57"/>
      <c r="FBK248" s="10"/>
      <c r="FBL248" s="57"/>
      <c r="FBM248" s="10"/>
      <c r="FBN248" s="57"/>
      <c r="FBO248" s="10"/>
      <c r="FBP248" s="57"/>
      <c r="FBQ248" s="10"/>
      <c r="FBR248" s="57"/>
      <c r="FBS248" s="10"/>
      <c r="FBT248" s="57"/>
      <c r="FBU248" s="10"/>
      <c r="FBV248" s="57"/>
      <c r="FBW248" s="10"/>
      <c r="FBX248" s="57"/>
      <c r="FBY248" s="10"/>
      <c r="FBZ248" s="57"/>
      <c r="FCA248" s="10"/>
      <c r="FCB248" s="57"/>
      <c r="FCC248" s="10"/>
      <c r="FCD248" s="57"/>
      <c r="FCE248" s="10"/>
      <c r="FCF248" s="57"/>
      <c r="FCG248" s="10"/>
      <c r="FCH248" s="57"/>
      <c r="FCI248" s="10"/>
      <c r="FCJ248" s="57"/>
      <c r="FCK248" s="10"/>
      <c r="FCL248" s="57"/>
      <c r="FCM248" s="10"/>
      <c r="FCN248" s="57"/>
      <c r="FCO248" s="10"/>
      <c r="FCP248" s="57"/>
      <c r="FCQ248" s="10"/>
      <c r="FCR248" s="57"/>
      <c r="FCS248" s="10"/>
      <c r="FCT248" s="57"/>
      <c r="FCU248" s="10"/>
      <c r="FCV248" s="57"/>
      <c r="FCW248" s="10"/>
      <c r="FCX248" s="57"/>
      <c r="FCY248" s="10"/>
      <c r="FCZ248" s="57"/>
      <c r="FDA248" s="10"/>
      <c r="FDB248" s="57"/>
      <c r="FDC248" s="10"/>
      <c r="FDD248" s="57"/>
      <c r="FDE248" s="10"/>
      <c r="FDF248" s="57"/>
      <c r="FDG248" s="10"/>
      <c r="FDH248" s="57"/>
      <c r="FDI248" s="10"/>
      <c r="FDJ248" s="57"/>
      <c r="FDK248" s="10"/>
      <c r="FDL248" s="57"/>
      <c r="FDM248" s="10"/>
      <c r="FDN248" s="57"/>
      <c r="FDO248" s="10"/>
      <c r="FDP248" s="57"/>
      <c r="FDQ248" s="10"/>
      <c r="FDR248" s="57"/>
      <c r="FDS248" s="10"/>
      <c r="FDT248" s="57"/>
      <c r="FDU248" s="10"/>
      <c r="FDV248" s="57"/>
      <c r="FDW248" s="10"/>
      <c r="FDX248" s="57"/>
      <c r="FDY248" s="10"/>
      <c r="FDZ248" s="57"/>
      <c r="FEA248" s="10"/>
      <c r="FEB248" s="57"/>
      <c r="FEC248" s="10"/>
      <c r="FED248" s="57"/>
      <c r="FEE248" s="10"/>
      <c r="FEF248" s="57"/>
      <c r="FEG248" s="10"/>
      <c r="FEH248" s="57"/>
      <c r="FEI248" s="10"/>
      <c r="FEJ248" s="57"/>
      <c r="FEK248" s="10"/>
      <c r="FEL248" s="57"/>
      <c r="FEM248" s="10"/>
      <c r="FEN248" s="57"/>
      <c r="FEO248" s="10"/>
      <c r="FEP248" s="57"/>
      <c r="FEQ248" s="10"/>
      <c r="FER248" s="57"/>
      <c r="FES248" s="10"/>
      <c r="FET248" s="57"/>
      <c r="FEU248" s="10"/>
      <c r="FEV248" s="57"/>
      <c r="FEW248" s="10"/>
      <c r="FEX248" s="57"/>
      <c r="FEY248" s="10"/>
      <c r="FEZ248" s="57"/>
      <c r="FFA248" s="10"/>
      <c r="FFB248" s="57"/>
      <c r="FFC248" s="10"/>
      <c r="FFD248" s="57"/>
      <c r="FFE248" s="10"/>
      <c r="FFF248" s="57"/>
      <c r="FFG248" s="10"/>
      <c r="FFH248" s="57"/>
      <c r="FFI248" s="10"/>
      <c r="FFJ248" s="57"/>
      <c r="FFK248" s="10"/>
      <c r="FFL248" s="57"/>
      <c r="FFM248" s="10"/>
      <c r="FFN248" s="57"/>
      <c r="FFO248" s="10"/>
      <c r="FFP248" s="57"/>
      <c r="FFQ248" s="10"/>
      <c r="FFR248" s="57"/>
      <c r="FFS248" s="10"/>
      <c r="FFT248" s="57"/>
      <c r="FFU248" s="10"/>
      <c r="FFV248" s="57"/>
      <c r="FFW248" s="10"/>
      <c r="FFX248" s="57"/>
      <c r="FFY248" s="10"/>
      <c r="FFZ248" s="57"/>
      <c r="FGA248" s="10"/>
      <c r="FGB248" s="57"/>
      <c r="FGC248" s="10"/>
      <c r="FGD248" s="57"/>
      <c r="FGE248" s="10"/>
      <c r="FGF248" s="57"/>
      <c r="FGG248" s="10"/>
      <c r="FGH248" s="57"/>
      <c r="FGI248" s="10"/>
      <c r="FGJ248" s="57"/>
      <c r="FGK248" s="10"/>
      <c r="FGL248" s="57"/>
      <c r="FGM248" s="10"/>
      <c r="FGN248" s="57"/>
      <c r="FGO248" s="10"/>
      <c r="FGP248" s="57"/>
      <c r="FGQ248" s="10"/>
      <c r="FGR248" s="57"/>
      <c r="FGS248" s="10"/>
      <c r="FGT248" s="57"/>
      <c r="FGU248" s="10"/>
      <c r="FGV248" s="57"/>
      <c r="FGW248" s="10"/>
      <c r="FGX248" s="57"/>
      <c r="FGY248" s="10"/>
      <c r="FGZ248" s="57"/>
      <c r="FHA248" s="10"/>
      <c r="FHB248" s="57"/>
      <c r="FHC248" s="10"/>
      <c r="FHD248" s="57"/>
      <c r="FHE248" s="10"/>
      <c r="FHF248" s="57"/>
      <c r="FHG248" s="10"/>
      <c r="FHH248" s="57"/>
      <c r="FHI248" s="10"/>
      <c r="FHJ248" s="57"/>
      <c r="FHK248" s="10"/>
      <c r="FHL248" s="57"/>
      <c r="FHM248" s="10"/>
      <c r="FHN248" s="57"/>
      <c r="FHO248" s="10"/>
      <c r="FHP248" s="57"/>
      <c r="FHQ248" s="10"/>
      <c r="FHR248" s="57"/>
      <c r="FHS248" s="10"/>
      <c r="FHT248" s="57"/>
      <c r="FHU248" s="10"/>
      <c r="FHV248" s="57"/>
      <c r="FHW248" s="10"/>
      <c r="FHX248" s="57"/>
      <c r="FHY248" s="10"/>
      <c r="FHZ248" s="57"/>
      <c r="FIA248" s="10"/>
      <c r="FIB248" s="57"/>
      <c r="FIC248" s="10"/>
      <c r="FID248" s="57"/>
      <c r="FIE248" s="10"/>
      <c r="FIF248" s="57"/>
      <c r="FIG248" s="10"/>
      <c r="FIH248" s="57"/>
      <c r="FII248" s="10"/>
      <c r="FIJ248" s="57"/>
      <c r="FIK248" s="10"/>
      <c r="FIL248" s="57"/>
      <c r="FIM248" s="10"/>
      <c r="FIN248" s="57"/>
      <c r="FIO248" s="10"/>
      <c r="FIP248" s="57"/>
      <c r="FIQ248" s="10"/>
      <c r="FIR248" s="57"/>
      <c r="FIS248" s="10"/>
      <c r="FIT248" s="57"/>
      <c r="FIU248" s="10"/>
      <c r="FIV248" s="57"/>
      <c r="FIW248" s="10"/>
      <c r="FIX248" s="57"/>
      <c r="FIY248" s="10"/>
      <c r="FIZ248" s="57"/>
      <c r="FJA248" s="10"/>
      <c r="FJB248" s="57"/>
      <c r="FJC248" s="10"/>
      <c r="FJD248" s="57"/>
      <c r="FJE248" s="10"/>
      <c r="FJF248" s="57"/>
      <c r="FJG248" s="10"/>
      <c r="FJH248" s="57"/>
      <c r="FJI248" s="10"/>
      <c r="FJJ248" s="57"/>
      <c r="FJK248" s="10"/>
      <c r="FJL248" s="57"/>
      <c r="FJM248" s="10"/>
      <c r="FJN248" s="57"/>
      <c r="FJO248" s="10"/>
      <c r="FJP248" s="57"/>
      <c r="FJQ248" s="10"/>
      <c r="FJR248" s="57"/>
      <c r="FJS248" s="10"/>
      <c r="FJT248" s="57"/>
      <c r="FJU248" s="10"/>
      <c r="FJV248" s="57"/>
      <c r="FJW248" s="10"/>
      <c r="FJX248" s="57"/>
      <c r="FJY248" s="10"/>
      <c r="FJZ248" s="57"/>
      <c r="FKA248" s="10"/>
      <c r="FKB248" s="57"/>
      <c r="FKC248" s="10"/>
      <c r="FKD248" s="57"/>
      <c r="FKE248" s="10"/>
      <c r="FKF248" s="57"/>
      <c r="FKG248" s="10"/>
      <c r="FKH248" s="57"/>
      <c r="FKI248" s="10"/>
      <c r="FKJ248" s="57"/>
      <c r="FKK248" s="10"/>
      <c r="FKL248" s="57"/>
      <c r="FKM248" s="10"/>
      <c r="FKN248" s="57"/>
      <c r="FKO248" s="10"/>
      <c r="FKP248" s="57"/>
      <c r="FKQ248" s="10"/>
      <c r="FKR248" s="57"/>
      <c r="FKS248" s="10"/>
      <c r="FKT248" s="57"/>
      <c r="FKU248" s="10"/>
      <c r="FKV248" s="57"/>
      <c r="FKW248" s="10"/>
      <c r="FKX248" s="57"/>
      <c r="FKY248" s="10"/>
      <c r="FKZ248" s="57"/>
      <c r="FLA248" s="10"/>
      <c r="FLB248" s="57"/>
      <c r="FLC248" s="10"/>
      <c r="FLD248" s="57"/>
      <c r="FLE248" s="10"/>
      <c r="FLF248" s="57"/>
      <c r="FLG248" s="10"/>
      <c r="FLH248" s="57"/>
      <c r="FLI248" s="10"/>
      <c r="FLJ248" s="57"/>
      <c r="FLK248" s="10"/>
      <c r="FLL248" s="57"/>
      <c r="FLM248" s="10"/>
      <c r="FLN248" s="57"/>
      <c r="FLO248" s="10"/>
      <c r="FLP248" s="57"/>
      <c r="FLQ248" s="10"/>
      <c r="FLR248" s="57"/>
      <c r="FLS248" s="10"/>
      <c r="FLT248" s="57"/>
      <c r="FLU248" s="10"/>
      <c r="FLV248" s="57"/>
      <c r="FLW248" s="10"/>
      <c r="FLX248" s="57"/>
      <c r="FLY248" s="10"/>
      <c r="FLZ248" s="57"/>
      <c r="FMA248" s="10"/>
      <c r="FMB248" s="57"/>
      <c r="FMC248" s="10"/>
      <c r="FMD248" s="57"/>
      <c r="FME248" s="10"/>
      <c r="FMF248" s="57"/>
      <c r="FMG248" s="10"/>
      <c r="FMH248" s="57"/>
      <c r="FMI248" s="10"/>
      <c r="FMJ248" s="57"/>
      <c r="FMK248" s="10"/>
      <c r="FML248" s="57"/>
      <c r="FMM248" s="10"/>
      <c r="FMN248" s="57"/>
      <c r="FMO248" s="10"/>
      <c r="FMP248" s="57"/>
      <c r="FMQ248" s="10"/>
      <c r="FMR248" s="57"/>
      <c r="FMS248" s="10"/>
      <c r="FMT248" s="57"/>
      <c r="FMU248" s="10"/>
      <c r="FMV248" s="57"/>
      <c r="FMW248" s="10"/>
      <c r="FMX248" s="57"/>
      <c r="FMY248" s="10"/>
      <c r="FMZ248" s="57"/>
      <c r="FNA248" s="10"/>
      <c r="FNB248" s="57"/>
      <c r="FNC248" s="10"/>
      <c r="FND248" s="57"/>
      <c r="FNE248" s="10"/>
      <c r="FNF248" s="57"/>
      <c r="FNG248" s="10"/>
      <c r="FNH248" s="57"/>
      <c r="FNI248" s="10"/>
      <c r="FNJ248" s="57"/>
      <c r="FNK248" s="10"/>
      <c r="FNL248" s="57"/>
      <c r="FNM248" s="10"/>
      <c r="FNN248" s="57"/>
      <c r="FNO248" s="10"/>
      <c r="FNP248" s="57"/>
      <c r="FNQ248" s="10"/>
      <c r="FNR248" s="57"/>
      <c r="FNS248" s="10"/>
      <c r="FNT248" s="57"/>
      <c r="FNU248" s="10"/>
      <c r="FNV248" s="57"/>
      <c r="FNW248" s="10"/>
      <c r="FNX248" s="57"/>
      <c r="FNY248" s="10"/>
      <c r="FNZ248" s="57"/>
      <c r="FOA248" s="10"/>
      <c r="FOB248" s="57"/>
      <c r="FOC248" s="10"/>
      <c r="FOD248" s="57"/>
      <c r="FOE248" s="10"/>
      <c r="FOF248" s="57"/>
      <c r="FOG248" s="10"/>
      <c r="FOH248" s="57"/>
      <c r="FOI248" s="10"/>
      <c r="FOJ248" s="57"/>
      <c r="FOK248" s="10"/>
      <c r="FOL248" s="57"/>
      <c r="FOM248" s="10"/>
      <c r="FON248" s="57"/>
      <c r="FOO248" s="10"/>
      <c r="FOP248" s="57"/>
      <c r="FOQ248" s="10"/>
      <c r="FOR248" s="57"/>
      <c r="FOS248" s="10"/>
      <c r="FOT248" s="57"/>
      <c r="FOU248" s="10"/>
      <c r="FOV248" s="57"/>
      <c r="FOW248" s="10"/>
      <c r="FOX248" s="57"/>
      <c r="FOY248" s="10"/>
      <c r="FOZ248" s="57"/>
      <c r="FPA248" s="10"/>
      <c r="FPB248" s="57"/>
      <c r="FPC248" s="10"/>
      <c r="FPD248" s="57"/>
      <c r="FPE248" s="10"/>
      <c r="FPF248" s="57"/>
      <c r="FPG248" s="10"/>
      <c r="FPH248" s="57"/>
      <c r="FPI248" s="10"/>
      <c r="FPJ248" s="57"/>
      <c r="FPK248" s="10"/>
      <c r="FPL248" s="57"/>
      <c r="FPM248" s="10"/>
      <c r="FPN248" s="57"/>
      <c r="FPO248" s="10"/>
      <c r="FPP248" s="57"/>
      <c r="FPQ248" s="10"/>
      <c r="FPR248" s="57"/>
      <c r="FPS248" s="10"/>
      <c r="FPT248" s="57"/>
      <c r="FPU248" s="10"/>
      <c r="FPV248" s="57"/>
      <c r="FPW248" s="10"/>
      <c r="FPX248" s="57"/>
      <c r="FPY248" s="10"/>
      <c r="FPZ248" s="57"/>
      <c r="FQA248" s="10"/>
      <c r="FQB248" s="57"/>
      <c r="FQC248" s="10"/>
      <c r="FQD248" s="57"/>
      <c r="FQE248" s="10"/>
      <c r="FQF248" s="57"/>
      <c r="FQG248" s="10"/>
      <c r="FQH248" s="57"/>
      <c r="FQI248" s="10"/>
      <c r="FQJ248" s="57"/>
      <c r="FQK248" s="10"/>
      <c r="FQL248" s="57"/>
      <c r="FQM248" s="10"/>
      <c r="FQN248" s="57"/>
      <c r="FQO248" s="10"/>
      <c r="FQP248" s="57"/>
      <c r="FQQ248" s="10"/>
      <c r="FQR248" s="57"/>
      <c r="FQS248" s="10"/>
      <c r="FQT248" s="57"/>
      <c r="FQU248" s="10"/>
      <c r="FQV248" s="57"/>
      <c r="FQW248" s="10"/>
      <c r="FQX248" s="57"/>
      <c r="FQY248" s="10"/>
      <c r="FQZ248" s="57"/>
      <c r="FRA248" s="10"/>
      <c r="FRB248" s="57"/>
      <c r="FRC248" s="10"/>
      <c r="FRD248" s="57"/>
      <c r="FRE248" s="10"/>
      <c r="FRF248" s="57"/>
      <c r="FRG248" s="10"/>
      <c r="FRH248" s="57"/>
      <c r="FRI248" s="10"/>
      <c r="FRJ248" s="57"/>
      <c r="FRK248" s="10"/>
      <c r="FRL248" s="57"/>
      <c r="FRM248" s="10"/>
      <c r="FRN248" s="57"/>
      <c r="FRO248" s="10"/>
      <c r="FRP248" s="57"/>
      <c r="FRQ248" s="10"/>
      <c r="FRR248" s="57"/>
      <c r="FRS248" s="10"/>
      <c r="FRT248" s="57"/>
      <c r="FRU248" s="10"/>
      <c r="FRV248" s="57"/>
      <c r="FRW248" s="10"/>
      <c r="FRX248" s="57"/>
      <c r="FRY248" s="10"/>
      <c r="FRZ248" s="57"/>
      <c r="FSA248" s="10"/>
      <c r="FSB248" s="57"/>
      <c r="FSC248" s="10"/>
      <c r="FSD248" s="57"/>
      <c r="FSE248" s="10"/>
      <c r="FSF248" s="57"/>
      <c r="FSG248" s="10"/>
      <c r="FSH248" s="57"/>
      <c r="FSI248" s="10"/>
      <c r="FSJ248" s="57"/>
      <c r="FSK248" s="10"/>
      <c r="FSL248" s="57"/>
      <c r="FSM248" s="10"/>
      <c r="FSN248" s="57"/>
      <c r="FSO248" s="10"/>
      <c r="FSP248" s="57"/>
      <c r="FSQ248" s="10"/>
      <c r="FSR248" s="57"/>
      <c r="FSS248" s="10"/>
      <c r="FST248" s="57"/>
      <c r="FSU248" s="10"/>
      <c r="FSV248" s="57"/>
      <c r="FSW248" s="10"/>
      <c r="FSX248" s="57"/>
      <c r="FSY248" s="10"/>
      <c r="FSZ248" s="57"/>
      <c r="FTA248" s="10"/>
      <c r="FTB248" s="57"/>
      <c r="FTC248" s="10"/>
      <c r="FTD248" s="57"/>
      <c r="FTE248" s="10"/>
      <c r="FTF248" s="57"/>
      <c r="FTG248" s="10"/>
      <c r="FTH248" s="57"/>
      <c r="FTI248" s="10"/>
      <c r="FTJ248" s="57"/>
      <c r="FTK248" s="10"/>
      <c r="FTL248" s="57"/>
      <c r="FTM248" s="10"/>
      <c r="FTN248" s="57"/>
      <c r="FTO248" s="10"/>
      <c r="FTP248" s="57"/>
      <c r="FTQ248" s="10"/>
      <c r="FTR248" s="57"/>
      <c r="FTS248" s="10"/>
      <c r="FTT248" s="57"/>
      <c r="FTU248" s="10"/>
      <c r="FTV248" s="57"/>
      <c r="FTW248" s="10"/>
      <c r="FTX248" s="57"/>
      <c r="FTY248" s="10"/>
      <c r="FTZ248" s="57"/>
      <c r="FUA248" s="10"/>
      <c r="FUB248" s="57"/>
      <c r="FUC248" s="10"/>
      <c r="FUD248" s="57"/>
      <c r="FUE248" s="10"/>
      <c r="FUF248" s="57"/>
      <c r="FUG248" s="10"/>
      <c r="FUH248" s="57"/>
      <c r="FUI248" s="10"/>
      <c r="FUJ248" s="57"/>
      <c r="FUK248" s="10"/>
      <c r="FUL248" s="57"/>
      <c r="FUM248" s="10"/>
      <c r="FUN248" s="57"/>
      <c r="FUO248" s="10"/>
      <c r="FUP248" s="57"/>
      <c r="FUQ248" s="10"/>
      <c r="FUR248" s="57"/>
      <c r="FUS248" s="10"/>
      <c r="FUT248" s="57"/>
      <c r="FUU248" s="10"/>
      <c r="FUV248" s="57"/>
      <c r="FUW248" s="10"/>
      <c r="FUX248" s="57"/>
      <c r="FUY248" s="10"/>
      <c r="FUZ248" s="57"/>
      <c r="FVA248" s="10"/>
      <c r="FVB248" s="57"/>
      <c r="FVC248" s="10"/>
      <c r="FVD248" s="57"/>
      <c r="FVE248" s="10"/>
      <c r="FVF248" s="57"/>
      <c r="FVG248" s="10"/>
      <c r="FVH248" s="57"/>
      <c r="FVI248" s="10"/>
      <c r="FVJ248" s="57"/>
      <c r="FVK248" s="10"/>
      <c r="FVL248" s="57"/>
      <c r="FVM248" s="10"/>
      <c r="FVN248" s="57"/>
      <c r="FVO248" s="10"/>
      <c r="FVP248" s="57"/>
      <c r="FVQ248" s="10"/>
      <c r="FVR248" s="57"/>
      <c r="FVS248" s="10"/>
      <c r="FVT248" s="57"/>
      <c r="FVU248" s="10"/>
      <c r="FVV248" s="57"/>
      <c r="FVW248" s="10"/>
      <c r="FVX248" s="57"/>
      <c r="FVY248" s="10"/>
      <c r="FVZ248" s="57"/>
      <c r="FWA248" s="10"/>
      <c r="FWB248" s="57"/>
      <c r="FWC248" s="10"/>
      <c r="FWD248" s="57"/>
      <c r="FWE248" s="10"/>
      <c r="FWF248" s="57"/>
      <c r="FWG248" s="10"/>
      <c r="FWH248" s="57"/>
      <c r="FWI248" s="10"/>
      <c r="FWJ248" s="57"/>
      <c r="FWK248" s="10"/>
      <c r="FWL248" s="57"/>
      <c r="FWM248" s="10"/>
      <c r="FWN248" s="57"/>
      <c r="FWO248" s="10"/>
      <c r="FWP248" s="57"/>
      <c r="FWQ248" s="10"/>
      <c r="FWR248" s="57"/>
      <c r="FWS248" s="10"/>
      <c r="FWT248" s="57"/>
      <c r="FWU248" s="10"/>
      <c r="FWV248" s="57"/>
      <c r="FWW248" s="10"/>
      <c r="FWX248" s="57"/>
      <c r="FWY248" s="10"/>
      <c r="FWZ248" s="57"/>
      <c r="FXA248" s="10"/>
      <c r="FXB248" s="57"/>
      <c r="FXC248" s="10"/>
      <c r="FXD248" s="57"/>
      <c r="FXE248" s="10"/>
      <c r="FXF248" s="57"/>
      <c r="FXG248" s="10"/>
      <c r="FXH248" s="57"/>
      <c r="FXI248" s="10"/>
      <c r="FXJ248" s="57"/>
      <c r="FXK248" s="10"/>
      <c r="FXL248" s="57"/>
      <c r="FXM248" s="10"/>
      <c r="FXN248" s="57"/>
      <c r="FXO248" s="10"/>
      <c r="FXP248" s="57"/>
      <c r="FXQ248" s="10"/>
      <c r="FXR248" s="57"/>
      <c r="FXS248" s="10"/>
      <c r="FXT248" s="57"/>
      <c r="FXU248" s="10"/>
      <c r="FXV248" s="57"/>
      <c r="FXW248" s="10"/>
      <c r="FXX248" s="57"/>
      <c r="FXY248" s="10"/>
      <c r="FXZ248" s="57"/>
      <c r="FYA248" s="10"/>
      <c r="FYB248" s="57"/>
      <c r="FYC248" s="10"/>
      <c r="FYD248" s="57"/>
      <c r="FYE248" s="10"/>
      <c r="FYF248" s="57"/>
      <c r="FYG248" s="10"/>
      <c r="FYH248" s="57"/>
      <c r="FYI248" s="10"/>
      <c r="FYJ248" s="57"/>
      <c r="FYK248" s="10"/>
      <c r="FYL248" s="57"/>
      <c r="FYM248" s="10"/>
      <c r="FYN248" s="57"/>
      <c r="FYO248" s="10"/>
      <c r="FYP248" s="57"/>
      <c r="FYQ248" s="10"/>
      <c r="FYR248" s="57"/>
      <c r="FYS248" s="10"/>
      <c r="FYT248" s="57"/>
      <c r="FYU248" s="10"/>
      <c r="FYV248" s="57"/>
      <c r="FYW248" s="10"/>
      <c r="FYX248" s="57"/>
      <c r="FYY248" s="10"/>
      <c r="FYZ248" s="57"/>
      <c r="FZA248" s="10"/>
      <c r="FZB248" s="57"/>
      <c r="FZC248" s="10"/>
      <c r="FZD248" s="57"/>
      <c r="FZE248" s="10"/>
      <c r="FZF248" s="57"/>
      <c r="FZG248" s="10"/>
      <c r="FZH248" s="57"/>
      <c r="FZI248" s="10"/>
      <c r="FZJ248" s="57"/>
      <c r="FZK248" s="10"/>
      <c r="FZL248" s="57"/>
      <c r="FZM248" s="10"/>
      <c r="FZN248" s="57"/>
      <c r="FZO248" s="10"/>
      <c r="FZP248" s="57"/>
      <c r="FZQ248" s="10"/>
      <c r="FZR248" s="57"/>
      <c r="FZS248" s="10"/>
      <c r="FZT248" s="57"/>
      <c r="FZU248" s="10"/>
      <c r="FZV248" s="57"/>
      <c r="FZW248" s="10"/>
      <c r="FZX248" s="57"/>
      <c r="FZY248" s="10"/>
      <c r="FZZ248" s="57"/>
      <c r="GAA248" s="10"/>
      <c r="GAB248" s="57"/>
      <c r="GAC248" s="10"/>
      <c r="GAD248" s="57"/>
      <c r="GAE248" s="10"/>
      <c r="GAF248" s="57"/>
      <c r="GAG248" s="10"/>
      <c r="GAH248" s="57"/>
      <c r="GAI248" s="10"/>
      <c r="GAJ248" s="57"/>
      <c r="GAK248" s="10"/>
      <c r="GAL248" s="57"/>
      <c r="GAM248" s="10"/>
      <c r="GAN248" s="57"/>
      <c r="GAO248" s="10"/>
      <c r="GAP248" s="57"/>
      <c r="GAQ248" s="10"/>
      <c r="GAR248" s="57"/>
      <c r="GAS248" s="10"/>
      <c r="GAT248" s="57"/>
      <c r="GAU248" s="10"/>
      <c r="GAV248" s="57"/>
      <c r="GAW248" s="10"/>
      <c r="GAX248" s="57"/>
      <c r="GAY248" s="10"/>
      <c r="GAZ248" s="57"/>
      <c r="GBA248" s="10"/>
      <c r="GBB248" s="57"/>
      <c r="GBC248" s="10"/>
      <c r="GBD248" s="57"/>
      <c r="GBE248" s="10"/>
      <c r="GBF248" s="57"/>
      <c r="GBG248" s="10"/>
      <c r="GBH248" s="57"/>
      <c r="GBI248" s="10"/>
      <c r="GBJ248" s="57"/>
      <c r="GBK248" s="10"/>
      <c r="GBL248" s="57"/>
      <c r="GBM248" s="10"/>
      <c r="GBN248" s="57"/>
      <c r="GBO248" s="10"/>
      <c r="GBP248" s="57"/>
      <c r="GBQ248" s="10"/>
      <c r="GBR248" s="57"/>
      <c r="GBS248" s="10"/>
      <c r="GBT248" s="57"/>
      <c r="GBU248" s="10"/>
      <c r="GBV248" s="57"/>
      <c r="GBW248" s="10"/>
      <c r="GBX248" s="57"/>
      <c r="GBY248" s="10"/>
      <c r="GBZ248" s="57"/>
      <c r="GCA248" s="10"/>
      <c r="GCB248" s="57"/>
      <c r="GCC248" s="10"/>
      <c r="GCD248" s="57"/>
      <c r="GCE248" s="10"/>
      <c r="GCF248" s="57"/>
      <c r="GCG248" s="10"/>
      <c r="GCH248" s="57"/>
      <c r="GCI248" s="10"/>
      <c r="GCJ248" s="57"/>
      <c r="GCK248" s="10"/>
      <c r="GCL248" s="57"/>
      <c r="GCM248" s="10"/>
      <c r="GCN248" s="57"/>
      <c r="GCO248" s="10"/>
      <c r="GCP248" s="57"/>
      <c r="GCQ248" s="10"/>
      <c r="GCR248" s="57"/>
      <c r="GCS248" s="10"/>
      <c r="GCT248" s="57"/>
      <c r="GCU248" s="10"/>
      <c r="GCV248" s="57"/>
      <c r="GCW248" s="10"/>
      <c r="GCX248" s="57"/>
      <c r="GCY248" s="10"/>
      <c r="GCZ248" s="57"/>
      <c r="GDA248" s="10"/>
      <c r="GDB248" s="57"/>
      <c r="GDC248" s="10"/>
      <c r="GDD248" s="57"/>
      <c r="GDE248" s="10"/>
      <c r="GDF248" s="57"/>
      <c r="GDG248" s="10"/>
      <c r="GDH248" s="57"/>
      <c r="GDI248" s="10"/>
      <c r="GDJ248" s="57"/>
      <c r="GDK248" s="10"/>
      <c r="GDL248" s="57"/>
      <c r="GDM248" s="10"/>
      <c r="GDN248" s="57"/>
      <c r="GDO248" s="10"/>
      <c r="GDP248" s="57"/>
      <c r="GDQ248" s="10"/>
      <c r="GDR248" s="57"/>
      <c r="GDS248" s="10"/>
      <c r="GDT248" s="57"/>
      <c r="GDU248" s="10"/>
      <c r="GDV248" s="57"/>
      <c r="GDW248" s="10"/>
      <c r="GDX248" s="57"/>
      <c r="GDY248" s="10"/>
      <c r="GDZ248" s="57"/>
      <c r="GEA248" s="10"/>
      <c r="GEB248" s="57"/>
      <c r="GEC248" s="10"/>
      <c r="GED248" s="57"/>
      <c r="GEE248" s="10"/>
      <c r="GEF248" s="57"/>
      <c r="GEG248" s="10"/>
      <c r="GEH248" s="57"/>
      <c r="GEI248" s="10"/>
      <c r="GEJ248" s="57"/>
      <c r="GEK248" s="10"/>
      <c r="GEL248" s="57"/>
      <c r="GEM248" s="10"/>
      <c r="GEN248" s="57"/>
      <c r="GEO248" s="10"/>
      <c r="GEP248" s="57"/>
      <c r="GEQ248" s="10"/>
      <c r="GER248" s="57"/>
      <c r="GES248" s="10"/>
      <c r="GET248" s="57"/>
      <c r="GEU248" s="10"/>
      <c r="GEV248" s="57"/>
      <c r="GEW248" s="10"/>
      <c r="GEX248" s="57"/>
      <c r="GEY248" s="10"/>
      <c r="GEZ248" s="57"/>
      <c r="GFA248" s="10"/>
      <c r="GFB248" s="57"/>
      <c r="GFC248" s="10"/>
      <c r="GFD248" s="57"/>
      <c r="GFE248" s="10"/>
      <c r="GFF248" s="57"/>
      <c r="GFG248" s="10"/>
      <c r="GFH248" s="57"/>
      <c r="GFI248" s="10"/>
      <c r="GFJ248" s="57"/>
      <c r="GFK248" s="10"/>
      <c r="GFL248" s="57"/>
      <c r="GFM248" s="10"/>
      <c r="GFN248" s="57"/>
      <c r="GFO248" s="10"/>
      <c r="GFP248" s="57"/>
      <c r="GFQ248" s="10"/>
      <c r="GFR248" s="57"/>
      <c r="GFS248" s="10"/>
      <c r="GFT248" s="57"/>
      <c r="GFU248" s="10"/>
      <c r="GFV248" s="57"/>
      <c r="GFW248" s="10"/>
      <c r="GFX248" s="57"/>
      <c r="GFY248" s="10"/>
      <c r="GFZ248" s="57"/>
      <c r="GGA248" s="10"/>
      <c r="GGB248" s="57"/>
      <c r="GGC248" s="10"/>
      <c r="GGD248" s="57"/>
      <c r="GGE248" s="10"/>
      <c r="GGF248" s="57"/>
      <c r="GGG248" s="10"/>
      <c r="GGH248" s="57"/>
      <c r="GGI248" s="10"/>
      <c r="GGJ248" s="57"/>
      <c r="GGK248" s="10"/>
      <c r="GGL248" s="57"/>
      <c r="GGM248" s="10"/>
      <c r="GGN248" s="57"/>
      <c r="GGO248" s="10"/>
      <c r="GGP248" s="57"/>
      <c r="GGQ248" s="10"/>
      <c r="GGR248" s="57"/>
      <c r="GGS248" s="10"/>
      <c r="GGT248" s="57"/>
      <c r="GGU248" s="10"/>
      <c r="GGV248" s="57"/>
      <c r="GGW248" s="10"/>
      <c r="GGX248" s="57"/>
      <c r="GGY248" s="10"/>
      <c r="GGZ248" s="57"/>
      <c r="GHA248" s="10"/>
      <c r="GHB248" s="57"/>
      <c r="GHC248" s="10"/>
      <c r="GHD248" s="57"/>
      <c r="GHE248" s="10"/>
      <c r="GHF248" s="57"/>
      <c r="GHG248" s="10"/>
      <c r="GHH248" s="57"/>
      <c r="GHI248" s="10"/>
      <c r="GHJ248" s="57"/>
      <c r="GHK248" s="10"/>
      <c r="GHL248" s="57"/>
      <c r="GHM248" s="10"/>
      <c r="GHN248" s="57"/>
      <c r="GHO248" s="10"/>
      <c r="GHP248" s="57"/>
      <c r="GHQ248" s="10"/>
      <c r="GHR248" s="57"/>
      <c r="GHS248" s="10"/>
      <c r="GHT248" s="57"/>
      <c r="GHU248" s="10"/>
      <c r="GHV248" s="57"/>
      <c r="GHW248" s="10"/>
      <c r="GHX248" s="57"/>
      <c r="GHY248" s="10"/>
      <c r="GHZ248" s="57"/>
      <c r="GIA248" s="10"/>
      <c r="GIB248" s="57"/>
      <c r="GIC248" s="10"/>
      <c r="GID248" s="57"/>
      <c r="GIE248" s="10"/>
      <c r="GIF248" s="57"/>
      <c r="GIG248" s="10"/>
      <c r="GIH248" s="57"/>
      <c r="GII248" s="10"/>
      <c r="GIJ248" s="57"/>
      <c r="GIK248" s="10"/>
      <c r="GIL248" s="57"/>
      <c r="GIM248" s="10"/>
      <c r="GIN248" s="57"/>
      <c r="GIO248" s="10"/>
      <c r="GIP248" s="57"/>
      <c r="GIQ248" s="10"/>
      <c r="GIR248" s="57"/>
      <c r="GIS248" s="10"/>
      <c r="GIT248" s="57"/>
      <c r="GIU248" s="10"/>
      <c r="GIV248" s="57"/>
      <c r="GIW248" s="10"/>
      <c r="GIX248" s="57"/>
      <c r="GIY248" s="10"/>
      <c r="GIZ248" s="57"/>
      <c r="GJA248" s="10"/>
      <c r="GJB248" s="57"/>
      <c r="GJC248" s="10"/>
      <c r="GJD248" s="57"/>
      <c r="GJE248" s="10"/>
      <c r="GJF248" s="57"/>
      <c r="GJG248" s="10"/>
      <c r="GJH248" s="57"/>
      <c r="GJI248" s="10"/>
      <c r="GJJ248" s="57"/>
      <c r="GJK248" s="10"/>
      <c r="GJL248" s="57"/>
      <c r="GJM248" s="10"/>
      <c r="GJN248" s="57"/>
      <c r="GJO248" s="10"/>
      <c r="GJP248" s="57"/>
      <c r="GJQ248" s="10"/>
      <c r="GJR248" s="57"/>
      <c r="GJS248" s="10"/>
      <c r="GJT248" s="57"/>
      <c r="GJU248" s="10"/>
      <c r="GJV248" s="57"/>
      <c r="GJW248" s="10"/>
      <c r="GJX248" s="57"/>
      <c r="GJY248" s="10"/>
      <c r="GJZ248" s="57"/>
      <c r="GKA248" s="10"/>
      <c r="GKB248" s="57"/>
      <c r="GKC248" s="10"/>
      <c r="GKD248" s="57"/>
      <c r="GKE248" s="10"/>
      <c r="GKF248" s="57"/>
      <c r="GKG248" s="10"/>
      <c r="GKH248" s="57"/>
      <c r="GKI248" s="10"/>
      <c r="GKJ248" s="57"/>
      <c r="GKK248" s="10"/>
      <c r="GKL248" s="57"/>
      <c r="GKM248" s="10"/>
      <c r="GKN248" s="57"/>
      <c r="GKO248" s="10"/>
      <c r="GKP248" s="57"/>
      <c r="GKQ248" s="10"/>
      <c r="GKR248" s="57"/>
      <c r="GKS248" s="10"/>
      <c r="GKT248" s="57"/>
      <c r="GKU248" s="10"/>
      <c r="GKV248" s="57"/>
      <c r="GKW248" s="10"/>
      <c r="GKX248" s="57"/>
      <c r="GKY248" s="10"/>
      <c r="GKZ248" s="57"/>
      <c r="GLA248" s="10"/>
      <c r="GLB248" s="57"/>
      <c r="GLC248" s="10"/>
      <c r="GLD248" s="57"/>
      <c r="GLE248" s="10"/>
      <c r="GLF248" s="57"/>
      <c r="GLG248" s="10"/>
      <c r="GLH248" s="57"/>
      <c r="GLI248" s="10"/>
      <c r="GLJ248" s="57"/>
      <c r="GLK248" s="10"/>
      <c r="GLL248" s="57"/>
      <c r="GLM248" s="10"/>
      <c r="GLN248" s="57"/>
      <c r="GLO248" s="10"/>
      <c r="GLP248" s="57"/>
      <c r="GLQ248" s="10"/>
      <c r="GLR248" s="57"/>
      <c r="GLS248" s="10"/>
      <c r="GLT248" s="57"/>
      <c r="GLU248" s="10"/>
      <c r="GLV248" s="57"/>
      <c r="GLW248" s="10"/>
      <c r="GLX248" s="57"/>
      <c r="GLY248" s="10"/>
      <c r="GLZ248" s="57"/>
      <c r="GMA248" s="10"/>
      <c r="GMB248" s="57"/>
      <c r="GMC248" s="10"/>
      <c r="GMD248" s="57"/>
      <c r="GME248" s="10"/>
      <c r="GMF248" s="57"/>
      <c r="GMG248" s="10"/>
      <c r="GMH248" s="57"/>
      <c r="GMI248" s="10"/>
      <c r="GMJ248" s="57"/>
      <c r="GMK248" s="10"/>
      <c r="GML248" s="57"/>
      <c r="GMM248" s="10"/>
      <c r="GMN248" s="57"/>
      <c r="GMO248" s="10"/>
      <c r="GMP248" s="57"/>
      <c r="GMQ248" s="10"/>
      <c r="GMR248" s="57"/>
      <c r="GMS248" s="10"/>
      <c r="GMT248" s="57"/>
      <c r="GMU248" s="10"/>
      <c r="GMV248" s="57"/>
      <c r="GMW248" s="10"/>
      <c r="GMX248" s="57"/>
      <c r="GMY248" s="10"/>
      <c r="GMZ248" s="57"/>
      <c r="GNA248" s="10"/>
      <c r="GNB248" s="57"/>
      <c r="GNC248" s="10"/>
      <c r="GND248" s="57"/>
      <c r="GNE248" s="10"/>
      <c r="GNF248" s="57"/>
      <c r="GNG248" s="10"/>
      <c r="GNH248" s="57"/>
      <c r="GNI248" s="10"/>
      <c r="GNJ248" s="57"/>
      <c r="GNK248" s="10"/>
      <c r="GNL248" s="57"/>
      <c r="GNM248" s="10"/>
      <c r="GNN248" s="57"/>
      <c r="GNO248" s="10"/>
      <c r="GNP248" s="57"/>
      <c r="GNQ248" s="10"/>
      <c r="GNR248" s="57"/>
      <c r="GNS248" s="10"/>
      <c r="GNT248" s="57"/>
      <c r="GNU248" s="10"/>
      <c r="GNV248" s="57"/>
      <c r="GNW248" s="10"/>
      <c r="GNX248" s="57"/>
      <c r="GNY248" s="10"/>
      <c r="GNZ248" s="57"/>
      <c r="GOA248" s="10"/>
      <c r="GOB248" s="57"/>
      <c r="GOC248" s="10"/>
      <c r="GOD248" s="57"/>
      <c r="GOE248" s="10"/>
      <c r="GOF248" s="57"/>
      <c r="GOG248" s="10"/>
      <c r="GOH248" s="57"/>
      <c r="GOI248" s="10"/>
      <c r="GOJ248" s="57"/>
      <c r="GOK248" s="10"/>
      <c r="GOL248" s="57"/>
      <c r="GOM248" s="10"/>
      <c r="GON248" s="57"/>
      <c r="GOO248" s="10"/>
      <c r="GOP248" s="57"/>
      <c r="GOQ248" s="10"/>
      <c r="GOR248" s="57"/>
      <c r="GOS248" s="10"/>
      <c r="GOT248" s="57"/>
      <c r="GOU248" s="10"/>
      <c r="GOV248" s="57"/>
      <c r="GOW248" s="10"/>
      <c r="GOX248" s="57"/>
      <c r="GOY248" s="10"/>
      <c r="GOZ248" s="57"/>
      <c r="GPA248" s="10"/>
      <c r="GPB248" s="57"/>
      <c r="GPC248" s="10"/>
      <c r="GPD248" s="57"/>
      <c r="GPE248" s="10"/>
      <c r="GPF248" s="57"/>
      <c r="GPG248" s="10"/>
      <c r="GPH248" s="57"/>
      <c r="GPI248" s="10"/>
      <c r="GPJ248" s="57"/>
      <c r="GPK248" s="10"/>
      <c r="GPL248" s="57"/>
      <c r="GPM248" s="10"/>
      <c r="GPN248" s="57"/>
      <c r="GPO248" s="10"/>
      <c r="GPP248" s="57"/>
      <c r="GPQ248" s="10"/>
      <c r="GPR248" s="57"/>
      <c r="GPS248" s="10"/>
      <c r="GPT248" s="57"/>
      <c r="GPU248" s="10"/>
      <c r="GPV248" s="57"/>
      <c r="GPW248" s="10"/>
      <c r="GPX248" s="57"/>
      <c r="GPY248" s="10"/>
      <c r="GPZ248" s="57"/>
      <c r="GQA248" s="10"/>
      <c r="GQB248" s="57"/>
      <c r="GQC248" s="10"/>
      <c r="GQD248" s="57"/>
      <c r="GQE248" s="10"/>
      <c r="GQF248" s="57"/>
      <c r="GQG248" s="10"/>
      <c r="GQH248" s="57"/>
      <c r="GQI248" s="10"/>
      <c r="GQJ248" s="57"/>
      <c r="GQK248" s="10"/>
      <c r="GQL248" s="57"/>
      <c r="GQM248" s="10"/>
      <c r="GQN248" s="57"/>
      <c r="GQO248" s="10"/>
      <c r="GQP248" s="57"/>
      <c r="GQQ248" s="10"/>
      <c r="GQR248" s="57"/>
      <c r="GQS248" s="10"/>
      <c r="GQT248" s="57"/>
      <c r="GQU248" s="10"/>
      <c r="GQV248" s="57"/>
      <c r="GQW248" s="10"/>
      <c r="GQX248" s="57"/>
      <c r="GQY248" s="10"/>
      <c r="GQZ248" s="57"/>
      <c r="GRA248" s="10"/>
      <c r="GRB248" s="57"/>
      <c r="GRC248" s="10"/>
      <c r="GRD248" s="57"/>
      <c r="GRE248" s="10"/>
      <c r="GRF248" s="57"/>
      <c r="GRG248" s="10"/>
      <c r="GRH248" s="57"/>
      <c r="GRI248" s="10"/>
      <c r="GRJ248" s="57"/>
      <c r="GRK248" s="10"/>
      <c r="GRL248" s="57"/>
      <c r="GRM248" s="10"/>
      <c r="GRN248" s="57"/>
      <c r="GRO248" s="10"/>
      <c r="GRP248" s="57"/>
      <c r="GRQ248" s="10"/>
      <c r="GRR248" s="57"/>
      <c r="GRS248" s="10"/>
      <c r="GRT248" s="57"/>
      <c r="GRU248" s="10"/>
      <c r="GRV248" s="57"/>
      <c r="GRW248" s="10"/>
      <c r="GRX248" s="57"/>
      <c r="GRY248" s="10"/>
      <c r="GRZ248" s="57"/>
      <c r="GSA248" s="10"/>
      <c r="GSB248" s="57"/>
      <c r="GSC248" s="10"/>
      <c r="GSD248" s="57"/>
      <c r="GSE248" s="10"/>
      <c r="GSF248" s="57"/>
      <c r="GSG248" s="10"/>
      <c r="GSH248" s="57"/>
      <c r="GSI248" s="10"/>
      <c r="GSJ248" s="57"/>
      <c r="GSK248" s="10"/>
      <c r="GSL248" s="57"/>
      <c r="GSM248" s="10"/>
      <c r="GSN248" s="57"/>
      <c r="GSO248" s="10"/>
      <c r="GSP248" s="57"/>
      <c r="GSQ248" s="10"/>
      <c r="GSR248" s="57"/>
      <c r="GSS248" s="10"/>
      <c r="GST248" s="57"/>
      <c r="GSU248" s="10"/>
      <c r="GSV248" s="57"/>
      <c r="GSW248" s="10"/>
      <c r="GSX248" s="57"/>
      <c r="GSY248" s="10"/>
      <c r="GSZ248" s="57"/>
      <c r="GTA248" s="10"/>
      <c r="GTB248" s="57"/>
      <c r="GTC248" s="10"/>
      <c r="GTD248" s="57"/>
      <c r="GTE248" s="10"/>
      <c r="GTF248" s="57"/>
      <c r="GTG248" s="10"/>
      <c r="GTH248" s="57"/>
      <c r="GTI248" s="10"/>
      <c r="GTJ248" s="57"/>
      <c r="GTK248" s="10"/>
      <c r="GTL248" s="57"/>
      <c r="GTM248" s="10"/>
      <c r="GTN248" s="57"/>
      <c r="GTO248" s="10"/>
      <c r="GTP248" s="57"/>
      <c r="GTQ248" s="10"/>
      <c r="GTR248" s="57"/>
      <c r="GTS248" s="10"/>
      <c r="GTT248" s="57"/>
      <c r="GTU248" s="10"/>
      <c r="GTV248" s="57"/>
      <c r="GTW248" s="10"/>
      <c r="GTX248" s="57"/>
      <c r="GTY248" s="10"/>
      <c r="GTZ248" s="57"/>
      <c r="GUA248" s="10"/>
      <c r="GUB248" s="57"/>
      <c r="GUC248" s="10"/>
      <c r="GUD248" s="57"/>
      <c r="GUE248" s="10"/>
      <c r="GUF248" s="57"/>
      <c r="GUG248" s="10"/>
      <c r="GUH248" s="57"/>
      <c r="GUI248" s="10"/>
      <c r="GUJ248" s="57"/>
      <c r="GUK248" s="10"/>
      <c r="GUL248" s="57"/>
      <c r="GUM248" s="10"/>
      <c r="GUN248" s="57"/>
      <c r="GUO248" s="10"/>
      <c r="GUP248" s="57"/>
      <c r="GUQ248" s="10"/>
      <c r="GUR248" s="57"/>
      <c r="GUS248" s="10"/>
      <c r="GUT248" s="57"/>
      <c r="GUU248" s="10"/>
      <c r="GUV248" s="57"/>
      <c r="GUW248" s="10"/>
      <c r="GUX248" s="57"/>
      <c r="GUY248" s="10"/>
      <c r="GUZ248" s="57"/>
      <c r="GVA248" s="10"/>
      <c r="GVB248" s="57"/>
      <c r="GVC248" s="10"/>
      <c r="GVD248" s="57"/>
      <c r="GVE248" s="10"/>
      <c r="GVF248" s="57"/>
      <c r="GVG248" s="10"/>
      <c r="GVH248" s="57"/>
      <c r="GVI248" s="10"/>
      <c r="GVJ248" s="57"/>
      <c r="GVK248" s="10"/>
      <c r="GVL248" s="57"/>
      <c r="GVM248" s="10"/>
      <c r="GVN248" s="57"/>
      <c r="GVO248" s="10"/>
      <c r="GVP248" s="57"/>
      <c r="GVQ248" s="10"/>
      <c r="GVR248" s="57"/>
      <c r="GVS248" s="10"/>
      <c r="GVT248" s="57"/>
      <c r="GVU248" s="10"/>
      <c r="GVV248" s="57"/>
      <c r="GVW248" s="10"/>
      <c r="GVX248" s="57"/>
      <c r="GVY248" s="10"/>
      <c r="GVZ248" s="57"/>
      <c r="GWA248" s="10"/>
      <c r="GWB248" s="57"/>
      <c r="GWC248" s="10"/>
      <c r="GWD248" s="57"/>
      <c r="GWE248" s="10"/>
      <c r="GWF248" s="57"/>
      <c r="GWG248" s="10"/>
      <c r="GWH248" s="57"/>
      <c r="GWI248" s="10"/>
      <c r="GWJ248" s="57"/>
      <c r="GWK248" s="10"/>
      <c r="GWL248" s="57"/>
      <c r="GWM248" s="10"/>
      <c r="GWN248" s="57"/>
      <c r="GWO248" s="10"/>
      <c r="GWP248" s="57"/>
      <c r="GWQ248" s="10"/>
      <c r="GWR248" s="57"/>
      <c r="GWS248" s="10"/>
      <c r="GWT248" s="57"/>
      <c r="GWU248" s="10"/>
      <c r="GWV248" s="57"/>
      <c r="GWW248" s="10"/>
      <c r="GWX248" s="57"/>
      <c r="GWY248" s="10"/>
      <c r="GWZ248" s="57"/>
      <c r="GXA248" s="10"/>
      <c r="GXB248" s="57"/>
      <c r="GXC248" s="10"/>
      <c r="GXD248" s="57"/>
      <c r="GXE248" s="10"/>
      <c r="GXF248" s="57"/>
      <c r="GXG248" s="10"/>
      <c r="GXH248" s="57"/>
      <c r="GXI248" s="10"/>
      <c r="GXJ248" s="57"/>
      <c r="GXK248" s="10"/>
      <c r="GXL248" s="57"/>
      <c r="GXM248" s="10"/>
      <c r="GXN248" s="57"/>
      <c r="GXO248" s="10"/>
      <c r="GXP248" s="57"/>
      <c r="GXQ248" s="10"/>
      <c r="GXR248" s="57"/>
      <c r="GXS248" s="10"/>
      <c r="GXT248" s="57"/>
      <c r="GXU248" s="10"/>
      <c r="GXV248" s="57"/>
      <c r="GXW248" s="10"/>
      <c r="GXX248" s="57"/>
      <c r="GXY248" s="10"/>
      <c r="GXZ248" s="57"/>
      <c r="GYA248" s="10"/>
      <c r="GYB248" s="57"/>
      <c r="GYC248" s="10"/>
      <c r="GYD248" s="57"/>
      <c r="GYE248" s="10"/>
      <c r="GYF248" s="57"/>
      <c r="GYG248" s="10"/>
      <c r="GYH248" s="57"/>
      <c r="GYI248" s="10"/>
      <c r="GYJ248" s="57"/>
      <c r="GYK248" s="10"/>
      <c r="GYL248" s="57"/>
      <c r="GYM248" s="10"/>
      <c r="GYN248" s="57"/>
      <c r="GYO248" s="10"/>
      <c r="GYP248" s="57"/>
      <c r="GYQ248" s="10"/>
      <c r="GYR248" s="57"/>
      <c r="GYS248" s="10"/>
      <c r="GYT248" s="57"/>
      <c r="GYU248" s="10"/>
      <c r="GYV248" s="57"/>
      <c r="GYW248" s="10"/>
      <c r="GYX248" s="57"/>
      <c r="GYY248" s="10"/>
      <c r="GYZ248" s="57"/>
      <c r="GZA248" s="10"/>
      <c r="GZB248" s="57"/>
      <c r="GZC248" s="10"/>
      <c r="GZD248" s="57"/>
      <c r="GZE248" s="10"/>
      <c r="GZF248" s="57"/>
      <c r="GZG248" s="10"/>
      <c r="GZH248" s="57"/>
      <c r="GZI248" s="10"/>
      <c r="GZJ248" s="57"/>
      <c r="GZK248" s="10"/>
      <c r="GZL248" s="57"/>
      <c r="GZM248" s="10"/>
      <c r="GZN248" s="57"/>
      <c r="GZO248" s="10"/>
      <c r="GZP248" s="57"/>
      <c r="GZQ248" s="10"/>
      <c r="GZR248" s="57"/>
      <c r="GZS248" s="10"/>
      <c r="GZT248" s="57"/>
      <c r="GZU248" s="10"/>
      <c r="GZV248" s="57"/>
      <c r="GZW248" s="10"/>
      <c r="GZX248" s="57"/>
      <c r="GZY248" s="10"/>
      <c r="GZZ248" s="57"/>
      <c r="HAA248" s="10"/>
      <c r="HAB248" s="57"/>
      <c r="HAC248" s="10"/>
      <c r="HAD248" s="57"/>
      <c r="HAE248" s="10"/>
      <c r="HAF248" s="57"/>
      <c r="HAG248" s="10"/>
      <c r="HAH248" s="57"/>
      <c r="HAI248" s="10"/>
      <c r="HAJ248" s="57"/>
      <c r="HAK248" s="10"/>
      <c r="HAL248" s="57"/>
      <c r="HAM248" s="10"/>
      <c r="HAN248" s="57"/>
      <c r="HAO248" s="10"/>
      <c r="HAP248" s="57"/>
      <c r="HAQ248" s="10"/>
      <c r="HAR248" s="57"/>
      <c r="HAS248" s="10"/>
      <c r="HAT248" s="57"/>
      <c r="HAU248" s="10"/>
      <c r="HAV248" s="57"/>
      <c r="HAW248" s="10"/>
      <c r="HAX248" s="57"/>
      <c r="HAY248" s="10"/>
      <c r="HAZ248" s="57"/>
      <c r="HBA248" s="10"/>
      <c r="HBB248" s="57"/>
      <c r="HBC248" s="10"/>
      <c r="HBD248" s="57"/>
      <c r="HBE248" s="10"/>
      <c r="HBF248" s="57"/>
      <c r="HBG248" s="10"/>
      <c r="HBH248" s="57"/>
      <c r="HBI248" s="10"/>
      <c r="HBJ248" s="57"/>
      <c r="HBK248" s="10"/>
      <c r="HBL248" s="57"/>
      <c r="HBM248" s="10"/>
      <c r="HBN248" s="57"/>
      <c r="HBO248" s="10"/>
      <c r="HBP248" s="57"/>
      <c r="HBQ248" s="10"/>
      <c r="HBR248" s="57"/>
      <c r="HBS248" s="10"/>
      <c r="HBT248" s="57"/>
      <c r="HBU248" s="10"/>
      <c r="HBV248" s="57"/>
      <c r="HBW248" s="10"/>
      <c r="HBX248" s="57"/>
      <c r="HBY248" s="10"/>
      <c r="HBZ248" s="57"/>
      <c r="HCA248" s="10"/>
      <c r="HCB248" s="57"/>
      <c r="HCC248" s="10"/>
      <c r="HCD248" s="57"/>
      <c r="HCE248" s="10"/>
      <c r="HCF248" s="57"/>
      <c r="HCG248" s="10"/>
      <c r="HCH248" s="57"/>
      <c r="HCI248" s="10"/>
      <c r="HCJ248" s="57"/>
      <c r="HCK248" s="10"/>
      <c r="HCL248" s="57"/>
      <c r="HCM248" s="10"/>
      <c r="HCN248" s="57"/>
      <c r="HCO248" s="10"/>
      <c r="HCP248" s="57"/>
      <c r="HCQ248" s="10"/>
      <c r="HCR248" s="57"/>
      <c r="HCS248" s="10"/>
      <c r="HCT248" s="57"/>
      <c r="HCU248" s="10"/>
      <c r="HCV248" s="57"/>
      <c r="HCW248" s="10"/>
      <c r="HCX248" s="57"/>
      <c r="HCY248" s="10"/>
      <c r="HCZ248" s="57"/>
      <c r="HDA248" s="10"/>
      <c r="HDB248" s="57"/>
      <c r="HDC248" s="10"/>
      <c r="HDD248" s="57"/>
      <c r="HDE248" s="10"/>
      <c r="HDF248" s="57"/>
      <c r="HDG248" s="10"/>
      <c r="HDH248" s="57"/>
      <c r="HDI248" s="10"/>
      <c r="HDJ248" s="57"/>
      <c r="HDK248" s="10"/>
      <c r="HDL248" s="57"/>
      <c r="HDM248" s="10"/>
      <c r="HDN248" s="57"/>
      <c r="HDO248" s="10"/>
      <c r="HDP248" s="57"/>
      <c r="HDQ248" s="10"/>
      <c r="HDR248" s="57"/>
      <c r="HDS248" s="10"/>
      <c r="HDT248" s="57"/>
      <c r="HDU248" s="10"/>
      <c r="HDV248" s="57"/>
      <c r="HDW248" s="10"/>
      <c r="HDX248" s="57"/>
      <c r="HDY248" s="10"/>
      <c r="HDZ248" s="57"/>
      <c r="HEA248" s="10"/>
      <c r="HEB248" s="57"/>
      <c r="HEC248" s="10"/>
      <c r="HED248" s="57"/>
      <c r="HEE248" s="10"/>
      <c r="HEF248" s="57"/>
      <c r="HEG248" s="10"/>
      <c r="HEH248" s="57"/>
      <c r="HEI248" s="10"/>
      <c r="HEJ248" s="57"/>
      <c r="HEK248" s="10"/>
      <c r="HEL248" s="57"/>
      <c r="HEM248" s="10"/>
      <c r="HEN248" s="57"/>
      <c r="HEO248" s="10"/>
      <c r="HEP248" s="57"/>
      <c r="HEQ248" s="10"/>
      <c r="HER248" s="57"/>
      <c r="HES248" s="10"/>
      <c r="HET248" s="57"/>
      <c r="HEU248" s="10"/>
      <c r="HEV248" s="57"/>
      <c r="HEW248" s="10"/>
      <c r="HEX248" s="57"/>
      <c r="HEY248" s="10"/>
      <c r="HEZ248" s="57"/>
      <c r="HFA248" s="10"/>
      <c r="HFB248" s="57"/>
      <c r="HFC248" s="10"/>
      <c r="HFD248" s="57"/>
      <c r="HFE248" s="10"/>
      <c r="HFF248" s="57"/>
      <c r="HFG248" s="10"/>
      <c r="HFH248" s="57"/>
      <c r="HFI248" s="10"/>
      <c r="HFJ248" s="57"/>
      <c r="HFK248" s="10"/>
      <c r="HFL248" s="57"/>
      <c r="HFM248" s="10"/>
      <c r="HFN248" s="57"/>
      <c r="HFO248" s="10"/>
      <c r="HFP248" s="57"/>
      <c r="HFQ248" s="10"/>
      <c r="HFR248" s="57"/>
      <c r="HFS248" s="10"/>
      <c r="HFT248" s="57"/>
      <c r="HFU248" s="10"/>
      <c r="HFV248" s="57"/>
      <c r="HFW248" s="10"/>
      <c r="HFX248" s="57"/>
      <c r="HFY248" s="10"/>
      <c r="HFZ248" s="57"/>
      <c r="HGA248" s="10"/>
      <c r="HGB248" s="57"/>
      <c r="HGC248" s="10"/>
      <c r="HGD248" s="57"/>
      <c r="HGE248" s="10"/>
      <c r="HGF248" s="57"/>
      <c r="HGG248" s="10"/>
      <c r="HGH248" s="57"/>
      <c r="HGI248" s="10"/>
      <c r="HGJ248" s="57"/>
      <c r="HGK248" s="10"/>
      <c r="HGL248" s="57"/>
      <c r="HGM248" s="10"/>
      <c r="HGN248" s="57"/>
      <c r="HGO248" s="10"/>
      <c r="HGP248" s="57"/>
      <c r="HGQ248" s="10"/>
      <c r="HGR248" s="57"/>
      <c r="HGS248" s="10"/>
      <c r="HGT248" s="57"/>
      <c r="HGU248" s="10"/>
      <c r="HGV248" s="57"/>
      <c r="HGW248" s="10"/>
      <c r="HGX248" s="57"/>
      <c r="HGY248" s="10"/>
      <c r="HGZ248" s="57"/>
      <c r="HHA248" s="10"/>
      <c r="HHB248" s="57"/>
      <c r="HHC248" s="10"/>
      <c r="HHD248" s="57"/>
      <c r="HHE248" s="10"/>
      <c r="HHF248" s="57"/>
      <c r="HHG248" s="10"/>
      <c r="HHH248" s="57"/>
      <c r="HHI248" s="10"/>
      <c r="HHJ248" s="57"/>
      <c r="HHK248" s="10"/>
      <c r="HHL248" s="57"/>
      <c r="HHM248" s="10"/>
      <c r="HHN248" s="57"/>
      <c r="HHO248" s="10"/>
      <c r="HHP248" s="57"/>
      <c r="HHQ248" s="10"/>
      <c r="HHR248" s="57"/>
      <c r="HHS248" s="10"/>
      <c r="HHT248" s="57"/>
      <c r="HHU248" s="10"/>
      <c r="HHV248" s="57"/>
      <c r="HHW248" s="10"/>
      <c r="HHX248" s="57"/>
      <c r="HHY248" s="10"/>
      <c r="HHZ248" s="57"/>
      <c r="HIA248" s="10"/>
      <c r="HIB248" s="57"/>
      <c r="HIC248" s="10"/>
      <c r="HID248" s="57"/>
      <c r="HIE248" s="10"/>
      <c r="HIF248" s="57"/>
      <c r="HIG248" s="10"/>
      <c r="HIH248" s="57"/>
      <c r="HII248" s="10"/>
      <c r="HIJ248" s="57"/>
      <c r="HIK248" s="10"/>
      <c r="HIL248" s="57"/>
      <c r="HIM248" s="10"/>
      <c r="HIN248" s="57"/>
      <c r="HIO248" s="10"/>
      <c r="HIP248" s="57"/>
      <c r="HIQ248" s="10"/>
      <c r="HIR248" s="57"/>
      <c r="HIS248" s="10"/>
      <c r="HIT248" s="57"/>
      <c r="HIU248" s="10"/>
      <c r="HIV248" s="57"/>
      <c r="HIW248" s="10"/>
      <c r="HIX248" s="57"/>
      <c r="HIY248" s="10"/>
      <c r="HIZ248" s="57"/>
      <c r="HJA248" s="10"/>
      <c r="HJB248" s="57"/>
      <c r="HJC248" s="10"/>
      <c r="HJD248" s="57"/>
      <c r="HJE248" s="10"/>
      <c r="HJF248" s="57"/>
      <c r="HJG248" s="10"/>
      <c r="HJH248" s="57"/>
      <c r="HJI248" s="10"/>
      <c r="HJJ248" s="57"/>
      <c r="HJK248" s="10"/>
      <c r="HJL248" s="57"/>
      <c r="HJM248" s="10"/>
      <c r="HJN248" s="57"/>
      <c r="HJO248" s="10"/>
      <c r="HJP248" s="57"/>
      <c r="HJQ248" s="10"/>
      <c r="HJR248" s="57"/>
      <c r="HJS248" s="10"/>
      <c r="HJT248" s="57"/>
      <c r="HJU248" s="10"/>
      <c r="HJV248" s="57"/>
      <c r="HJW248" s="10"/>
      <c r="HJX248" s="57"/>
      <c r="HJY248" s="10"/>
      <c r="HJZ248" s="57"/>
      <c r="HKA248" s="10"/>
      <c r="HKB248" s="57"/>
      <c r="HKC248" s="10"/>
      <c r="HKD248" s="57"/>
      <c r="HKE248" s="10"/>
      <c r="HKF248" s="57"/>
      <c r="HKG248" s="10"/>
      <c r="HKH248" s="57"/>
      <c r="HKI248" s="10"/>
      <c r="HKJ248" s="57"/>
      <c r="HKK248" s="10"/>
      <c r="HKL248" s="57"/>
      <c r="HKM248" s="10"/>
      <c r="HKN248" s="57"/>
      <c r="HKO248" s="10"/>
      <c r="HKP248" s="57"/>
      <c r="HKQ248" s="10"/>
      <c r="HKR248" s="57"/>
      <c r="HKS248" s="10"/>
      <c r="HKT248" s="57"/>
      <c r="HKU248" s="10"/>
      <c r="HKV248" s="57"/>
      <c r="HKW248" s="10"/>
      <c r="HKX248" s="57"/>
      <c r="HKY248" s="10"/>
      <c r="HKZ248" s="57"/>
      <c r="HLA248" s="10"/>
      <c r="HLB248" s="57"/>
      <c r="HLC248" s="10"/>
      <c r="HLD248" s="57"/>
      <c r="HLE248" s="10"/>
      <c r="HLF248" s="57"/>
      <c r="HLG248" s="10"/>
      <c r="HLH248" s="57"/>
      <c r="HLI248" s="10"/>
      <c r="HLJ248" s="57"/>
      <c r="HLK248" s="10"/>
      <c r="HLL248" s="57"/>
      <c r="HLM248" s="10"/>
      <c r="HLN248" s="57"/>
      <c r="HLO248" s="10"/>
      <c r="HLP248" s="57"/>
      <c r="HLQ248" s="10"/>
      <c r="HLR248" s="57"/>
      <c r="HLS248" s="10"/>
      <c r="HLT248" s="57"/>
      <c r="HLU248" s="10"/>
      <c r="HLV248" s="57"/>
      <c r="HLW248" s="10"/>
      <c r="HLX248" s="57"/>
      <c r="HLY248" s="10"/>
      <c r="HLZ248" s="57"/>
      <c r="HMA248" s="10"/>
      <c r="HMB248" s="57"/>
      <c r="HMC248" s="10"/>
      <c r="HMD248" s="57"/>
      <c r="HME248" s="10"/>
      <c r="HMF248" s="57"/>
      <c r="HMG248" s="10"/>
      <c r="HMH248" s="57"/>
      <c r="HMI248" s="10"/>
      <c r="HMJ248" s="57"/>
      <c r="HMK248" s="10"/>
      <c r="HML248" s="57"/>
      <c r="HMM248" s="10"/>
      <c r="HMN248" s="57"/>
      <c r="HMO248" s="10"/>
      <c r="HMP248" s="57"/>
      <c r="HMQ248" s="10"/>
      <c r="HMR248" s="57"/>
      <c r="HMS248" s="10"/>
      <c r="HMT248" s="57"/>
      <c r="HMU248" s="10"/>
      <c r="HMV248" s="57"/>
      <c r="HMW248" s="10"/>
      <c r="HMX248" s="57"/>
      <c r="HMY248" s="10"/>
      <c r="HMZ248" s="57"/>
      <c r="HNA248" s="10"/>
      <c r="HNB248" s="57"/>
      <c r="HNC248" s="10"/>
      <c r="HND248" s="57"/>
      <c r="HNE248" s="10"/>
      <c r="HNF248" s="57"/>
      <c r="HNG248" s="10"/>
      <c r="HNH248" s="57"/>
      <c r="HNI248" s="10"/>
      <c r="HNJ248" s="57"/>
      <c r="HNK248" s="10"/>
      <c r="HNL248" s="57"/>
      <c r="HNM248" s="10"/>
      <c r="HNN248" s="57"/>
      <c r="HNO248" s="10"/>
      <c r="HNP248" s="57"/>
      <c r="HNQ248" s="10"/>
      <c r="HNR248" s="57"/>
      <c r="HNS248" s="10"/>
      <c r="HNT248" s="57"/>
      <c r="HNU248" s="10"/>
      <c r="HNV248" s="57"/>
      <c r="HNW248" s="10"/>
      <c r="HNX248" s="57"/>
      <c r="HNY248" s="10"/>
      <c r="HNZ248" s="57"/>
      <c r="HOA248" s="10"/>
      <c r="HOB248" s="57"/>
      <c r="HOC248" s="10"/>
      <c r="HOD248" s="57"/>
      <c r="HOE248" s="10"/>
      <c r="HOF248" s="57"/>
      <c r="HOG248" s="10"/>
      <c r="HOH248" s="57"/>
      <c r="HOI248" s="10"/>
      <c r="HOJ248" s="57"/>
      <c r="HOK248" s="10"/>
      <c r="HOL248" s="57"/>
      <c r="HOM248" s="10"/>
      <c r="HON248" s="57"/>
      <c r="HOO248" s="10"/>
      <c r="HOP248" s="57"/>
      <c r="HOQ248" s="10"/>
      <c r="HOR248" s="57"/>
      <c r="HOS248" s="10"/>
      <c r="HOT248" s="57"/>
      <c r="HOU248" s="10"/>
      <c r="HOV248" s="57"/>
      <c r="HOW248" s="10"/>
      <c r="HOX248" s="57"/>
      <c r="HOY248" s="10"/>
      <c r="HOZ248" s="57"/>
      <c r="HPA248" s="10"/>
      <c r="HPB248" s="57"/>
      <c r="HPC248" s="10"/>
      <c r="HPD248" s="57"/>
      <c r="HPE248" s="10"/>
      <c r="HPF248" s="57"/>
      <c r="HPG248" s="10"/>
      <c r="HPH248" s="57"/>
      <c r="HPI248" s="10"/>
      <c r="HPJ248" s="57"/>
      <c r="HPK248" s="10"/>
      <c r="HPL248" s="57"/>
      <c r="HPM248" s="10"/>
      <c r="HPN248" s="57"/>
      <c r="HPO248" s="10"/>
      <c r="HPP248" s="57"/>
      <c r="HPQ248" s="10"/>
      <c r="HPR248" s="57"/>
      <c r="HPS248" s="10"/>
      <c r="HPT248" s="57"/>
      <c r="HPU248" s="10"/>
      <c r="HPV248" s="57"/>
      <c r="HPW248" s="10"/>
      <c r="HPX248" s="57"/>
      <c r="HPY248" s="10"/>
      <c r="HPZ248" s="57"/>
      <c r="HQA248" s="10"/>
      <c r="HQB248" s="57"/>
      <c r="HQC248" s="10"/>
      <c r="HQD248" s="57"/>
      <c r="HQE248" s="10"/>
      <c r="HQF248" s="57"/>
      <c r="HQG248" s="10"/>
      <c r="HQH248" s="57"/>
      <c r="HQI248" s="10"/>
      <c r="HQJ248" s="57"/>
      <c r="HQK248" s="10"/>
      <c r="HQL248" s="57"/>
      <c r="HQM248" s="10"/>
      <c r="HQN248" s="57"/>
      <c r="HQO248" s="10"/>
      <c r="HQP248" s="57"/>
      <c r="HQQ248" s="10"/>
      <c r="HQR248" s="57"/>
      <c r="HQS248" s="10"/>
      <c r="HQT248" s="57"/>
      <c r="HQU248" s="10"/>
      <c r="HQV248" s="57"/>
      <c r="HQW248" s="10"/>
      <c r="HQX248" s="57"/>
      <c r="HQY248" s="10"/>
      <c r="HQZ248" s="57"/>
      <c r="HRA248" s="10"/>
      <c r="HRB248" s="57"/>
      <c r="HRC248" s="10"/>
      <c r="HRD248" s="57"/>
      <c r="HRE248" s="10"/>
      <c r="HRF248" s="57"/>
      <c r="HRG248" s="10"/>
      <c r="HRH248" s="57"/>
      <c r="HRI248" s="10"/>
      <c r="HRJ248" s="57"/>
      <c r="HRK248" s="10"/>
      <c r="HRL248" s="57"/>
      <c r="HRM248" s="10"/>
      <c r="HRN248" s="57"/>
      <c r="HRO248" s="10"/>
      <c r="HRP248" s="57"/>
      <c r="HRQ248" s="10"/>
      <c r="HRR248" s="57"/>
      <c r="HRS248" s="10"/>
      <c r="HRT248" s="57"/>
      <c r="HRU248" s="10"/>
      <c r="HRV248" s="57"/>
      <c r="HRW248" s="10"/>
      <c r="HRX248" s="57"/>
      <c r="HRY248" s="10"/>
      <c r="HRZ248" s="57"/>
      <c r="HSA248" s="10"/>
      <c r="HSB248" s="57"/>
      <c r="HSC248" s="10"/>
      <c r="HSD248" s="57"/>
      <c r="HSE248" s="10"/>
      <c r="HSF248" s="57"/>
      <c r="HSG248" s="10"/>
      <c r="HSH248" s="57"/>
      <c r="HSI248" s="10"/>
      <c r="HSJ248" s="57"/>
      <c r="HSK248" s="10"/>
      <c r="HSL248" s="57"/>
      <c r="HSM248" s="10"/>
      <c r="HSN248" s="57"/>
      <c r="HSO248" s="10"/>
      <c r="HSP248" s="57"/>
      <c r="HSQ248" s="10"/>
      <c r="HSR248" s="57"/>
      <c r="HSS248" s="10"/>
      <c r="HST248" s="57"/>
      <c r="HSU248" s="10"/>
      <c r="HSV248" s="57"/>
      <c r="HSW248" s="10"/>
      <c r="HSX248" s="57"/>
      <c r="HSY248" s="10"/>
      <c r="HSZ248" s="57"/>
      <c r="HTA248" s="10"/>
      <c r="HTB248" s="57"/>
      <c r="HTC248" s="10"/>
      <c r="HTD248" s="57"/>
      <c r="HTE248" s="10"/>
      <c r="HTF248" s="57"/>
      <c r="HTG248" s="10"/>
      <c r="HTH248" s="57"/>
      <c r="HTI248" s="10"/>
      <c r="HTJ248" s="57"/>
      <c r="HTK248" s="10"/>
      <c r="HTL248" s="57"/>
      <c r="HTM248" s="10"/>
      <c r="HTN248" s="57"/>
      <c r="HTO248" s="10"/>
      <c r="HTP248" s="57"/>
      <c r="HTQ248" s="10"/>
      <c r="HTR248" s="57"/>
      <c r="HTS248" s="10"/>
      <c r="HTT248" s="57"/>
      <c r="HTU248" s="10"/>
      <c r="HTV248" s="57"/>
      <c r="HTW248" s="10"/>
      <c r="HTX248" s="57"/>
      <c r="HTY248" s="10"/>
      <c r="HTZ248" s="57"/>
      <c r="HUA248" s="10"/>
      <c r="HUB248" s="57"/>
      <c r="HUC248" s="10"/>
      <c r="HUD248" s="57"/>
      <c r="HUE248" s="10"/>
      <c r="HUF248" s="57"/>
      <c r="HUG248" s="10"/>
      <c r="HUH248" s="57"/>
      <c r="HUI248" s="10"/>
      <c r="HUJ248" s="57"/>
      <c r="HUK248" s="10"/>
      <c r="HUL248" s="57"/>
      <c r="HUM248" s="10"/>
      <c r="HUN248" s="57"/>
      <c r="HUO248" s="10"/>
      <c r="HUP248" s="57"/>
      <c r="HUQ248" s="10"/>
      <c r="HUR248" s="57"/>
      <c r="HUS248" s="10"/>
      <c r="HUT248" s="57"/>
      <c r="HUU248" s="10"/>
      <c r="HUV248" s="57"/>
      <c r="HUW248" s="10"/>
      <c r="HUX248" s="57"/>
      <c r="HUY248" s="10"/>
      <c r="HUZ248" s="57"/>
      <c r="HVA248" s="10"/>
      <c r="HVB248" s="57"/>
      <c r="HVC248" s="10"/>
      <c r="HVD248" s="57"/>
      <c r="HVE248" s="10"/>
      <c r="HVF248" s="57"/>
      <c r="HVG248" s="10"/>
      <c r="HVH248" s="57"/>
      <c r="HVI248" s="10"/>
      <c r="HVJ248" s="57"/>
      <c r="HVK248" s="10"/>
      <c r="HVL248" s="57"/>
      <c r="HVM248" s="10"/>
      <c r="HVN248" s="57"/>
      <c r="HVO248" s="10"/>
      <c r="HVP248" s="57"/>
      <c r="HVQ248" s="10"/>
      <c r="HVR248" s="57"/>
      <c r="HVS248" s="10"/>
      <c r="HVT248" s="57"/>
      <c r="HVU248" s="10"/>
      <c r="HVV248" s="57"/>
      <c r="HVW248" s="10"/>
      <c r="HVX248" s="57"/>
      <c r="HVY248" s="10"/>
      <c r="HVZ248" s="57"/>
      <c r="HWA248" s="10"/>
      <c r="HWB248" s="57"/>
      <c r="HWC248" s="10"/>
      <c r="HWD248" s="57"/>
      <c r="HWE248" s="10"/>
      <c r="HWF248" s="57"/>
      <c r="HWG248" s="10"/>
      <c r="HWH248" s="57"/>
      <c r="HWI248" s="10"/>
      <c r="HWJ248" s="57"/>
      <c r="HWK248" s="10"/>
      <c r="HWL248" s="57"/>
      <c r="HWM248" s="10"/>
      <c r="HWN248" s="57"/>
      <c r="HWO248" s="10"/>
      <c r="HWP248" s="57"/>
      <c r="HWQ248" s="10"/>
      <c r="HWR248" s="57"/>
      <c r="HWS248" s="10"/>
      <c r="HWT248" s="57"/>
      <c r="HWU248" s="10"/>
      <c r="HWV248" s="57"/>
      <c r="HWW248" s="10"/>
      <c r="HWX248" s="57"/>
      <c r="HWY248" s="10"/>
      <c r="HWZ248" s="57"/>
      <c r="HXA248" s="10"/>
      <c r="HXB248" s="57"/>
      <c r="HXC248" s="10"/>
      <c r="HXD248" s="57"/>
      <c r="HXE248" s="10"/>
      <c r="HXF248" s="57"/>
      <c r="HXG248" s="10"/>
      <c r="HXH248" s="57"/>
      <c r="HXI248" s="10"/>
      <c r="HXJ248" s="57"/>
      <c r="HXK248" s="10"/>
      <c r="HXL248" s="57"/>
      <c r="HXM248" s="10"/>
      <c r="HXN248" s="57"/>
      <c r="HXO248" s="10"/>
      <c r="HXP248" s="57"/>
      <c r="HXQ248" s="10"/>
      <c r="HXR248" s="57"/>
      <c r="HXS248" s="10"/>
      <c r="HXT248" s="57"/>
      <c r="HXU248" s="10"/>
      <c r="HXV248" s="57"/>
      <c r="HXW248" s="10"/>
      <c r="HXX248" s="57"/>
      <c r="HXY248" s="10"/>
      <c r="HXZ248" s="57"/>
      <c r="HYA248" s="10"/>
      <c r="HYB248" s="57"/>
      <c r="HYC248" s="10"/>
      <c r="HYD248" s="57"/>
      <c r="HYE248" s="10"/>
      <c r="HYF248" s="57"/>
      <c r="HYG248" s="10"/>
      <c r="HYH248" s="57"/>
      <c r="HYI248" s="10"/>
      <c r="HYJ248" s="57"/>
      <c r="HYK248" s="10"/>
      <c r="HYL248" s="57"/>
      <c r="HYM248" s="10"/>
      <c r="HYN248" s="57"/>
      <c r="HYO248" s="10"/>
      <c r="HYP248" s="57"/>
      <c r="HYQ248" s="10"/>
      <c r="HYR248" s="57"/>
      <c r="HYS248" s="10"/>
      <c r="HYT248" s="57"/>
      <c r="HYU248" s="10"/>
      <c r="HYV248" s="57"/>
      <c r="HYW248" s="10"/>
      <c r="HYX248" s="57"/>
      <c r="HYY248" s="10"/>
      <c r="HYZ248" s="57"/>
      <c r="HZA248" s="10"/>
      <c r="HZB248" s="57"/>
      <c r="HZC248" s="10"/>
      <c r="HZD248" s="57"/>
      <c r="HZE248" s="10"/>
      <c r="HZF248" s="57"/>
      <c r="HZG248" s="10"/>
      <c r="HZH248" s="57"/>
      <c r="HZI248" s="10"/>
      <c r="HZJ248" s="57"/>
      <c r="HZK248" s="10"/>
      <c r="HZL248" s="57"/>
      <c r="HZM248" s="10"/>
      <c r="HZN248" s="57"/>
      <c r="HZO248" s="10"/>
      <c r="HZP248" s="57"/>
      <c r="HZQ248" s="10"/>
      <c r="HZR248" s="57"/>
      <c r="HZS248" s="10"/>
      <c r="HZT248" s="57"/>
      <c r="HZU248" s="10"/>
      <c r="HZV248" s="57"/>
      <c r="HZW248" s="10"/>
      <c r="HZX248" s="57"/>
      <c r="HZY248" s="10"/>
      <c r="HZZ248" s="57"/>
      <c r="IAA248" s="10"/>
      <c r="IAB248" s="57"/>
      <c r="IAC248" s="10"/>
      <c r="IAD248" s="57"/>
      <c r="IAE248" s="10"/>
      <c r="IAF248" s="57"/>
      <c r="IAG248" s="10"/>
      <c r="IAH248" s="57"/>
      <c r="IAI248" s="10"/>
      <c r="IAJ248" s="57"/>
      <c r="IAK248" s="10"/>
      <c r="IAL248" s="57"/>
      <c r="IAM248" s="10"/>
      <c r="IAN248" s="57"/>
      <c r="IAO248" s="10"/>
      <c r="IAP248" s="57"/>
      <c r="IAQ248" s="10"/>
      <c r="IAR248" s="57"/>
      <c r="IAS248" s="10"/>
      <c r="IAT248" s="57"/>
      <c r="IAU248" s="10"/>
      <c r="IAV248" s="57"/>
      <c r="IAW248" s="10"/>
      <c r="IAX248" s="57"/>
      <c r="IAY248" s="10"/>
      <c r="IAZ248" s="57"/>
      <c r="IBA248" s="10"/>
      <c r="IBB248" s="57"/>
      <c r="IBC248" s="10"/>
      <c r="IBD248" s="57"/>
      <c r="IBE248" s="10"/>
      <c r="IBF248" s="57"/>
      <c r="IBG248" s="10"/>
      <c r="IBH248" s="57"/>
      <c r="IBI248" s="10"/>
      <c r="IBJ248" s="57"/>
      <c r="IBK248" s="10"/>
      <c r="IBL248" s="57"/>
      <c r="IBM248" s="10"/>
      <c r="IBN248" s="57"/>
      <c r="IBO248" s="10"/>
      <c r="IBP248" s="57"/>
      <c r="IBQ248" s="10"/>
      <c r="IBR248" s="57"/>
      <c r="IBS248" s="10"/>
      <c r="IBT248" s="57"/>
      <c r="IBU248" s="10"/>
      <c r="IBV248" s="57"/>
      <c r="IBW248" s="10"/>
      <c r="IBX248" s="57"/>
      <c r="IBY248" s="10"/>
      <c r="IBZ248" s="57"/>
      <c r="ICA248" s="10"/>
      <c r="ICB248" s="57"/>
      <c r="ICC248" s="10"/>
      <c r="ICD248" s="57"/>
      <c r="ICE248" s="10"/>
      <c r="ICF248" s="57"/>
      <c r="ICG248" s="10"/>
      <c r="ICH248" s="57"/>
      <c r="ICI248" s="10"/>
      <c r="ICJ248" s="57"/>
      <c r="ICK248" s="10"/>
      <c r="ICL248" s="57"/>
      <c r="ICM248" s="10"/>
      <c r="ICN248" s="57"/>
      <c r="ICO248" s="10"/>
      <c r="ICP248" s="57"/>
      <c r="ICQ248" s="10"/>
      <c r="ICR248" s="57"/>
      <c r="ICS248" s="10"/>
      <c r="ICT248" s="57"/>
      <c r="ICU248" s="10"/>
      <c r="ICV248" s="57"/>
      <c r="ICW248" s="10"/>
      <c r="ICX248" s="57"/>
      <c r="ICY248" s="10"/>
      <c r="ICZ248" s="57"/>
      <c r="IDA248" s="10"/>
      <c r="IDB248" s="57"/>
      <c r="IDC248" s="10"/>
      <c r="IDD248" s="57"/>
      <c r="IDE248" s="10"/>
      <c r="IDF248" s="57"/>
      <c r="IDG248" s="10"/>
      <c r="IDH248" s="57"/>
      <c r="IDI248" s="10"/>
      <c r="IDJ248" s="57"/>
      <c r="IDK248" s="10"/>
      <c r="IDL248" s="57"/>
      <c r="IDM248" s="10"/>
      <c r="IDN248" s="57"/>
      <c r="IDO248" s="10"/>
      <c r="IDP248" s="57"/>
      <c r="IDQ248" s="10"/>
      <c r="IDR248" s="57"/>
      <c r="IDS248" s="10"/>
      <c r="IDT248" s="57"/>
      <c r="IDU248" s="10"/>
      <c r="IDV248" s="57"/>
      <c r="IDW248" s="10"/>
      <c r="IDX248" s="57"/>
      <c r="IDY248" s="10"/>
      <c r="IDZ248" s="57"/>
      <c r="IEA248" s="10"/>
      <c r="IEB248" s="57"/>
      <c r="IEC248" s="10"/>
      <c r="IED248" s="57"/>
      <c r="IEE248" s="10"/>
      <c r="IEF248" s="57"/>
      <c r="IEG248" s="10"/>
      <c r="IEH248" s="57"/>
      <c r="IEI248" s="10"/>
      <c r="IEJ248" s="57"/>
      <c r="IEK248" s="10"/>
      <c r="IEL248" s="57"/>
      <c r="IEM248" s="10"/>
      <c r="IEN248" s="57"/>
      <c r="IEO248" s="10"/>
      <c r="IEP248" s="57"/>
      <c r="IEQ248" s="10"/>
      <c r="IER248" s="57"/>
      <c r="IES248" s="10"/>
      <c r="IET248" s="57"/>
      <c r="IEU248" s="10"/>
      <c r="IEV248" s="57"/>
      <c r="IEW248" s="10"/>
      <c r="IEX248" s="57"/>
      <c r="IEY248" s="10"/>
      <c r="IEZ248" s="57"/>
      <c r="IFA248" s="10"/>
      <c r="IFB248" s="57"/>
      <c r="IFC248" s="10"/>
      <c r="IFD248" s="57"/>
      <c r="IFE248" s="10"/>
      <c r="IFF248" s="57"/>
      <c r="IFG248" s="10"/>
      <c r="IFH248" s="57"/>
      <c r="IFI248" s="10"/>
      <c r="IFJ248" s="57"/>
      <c r="IFK248" s="10"/>
      <c r="IFL248" s="57"/>
      <c r="IFM248" s="10"/>
      <c r="IFN248" s="57"/>
      <c r="IFO248" s="10"/>
      <c r="IFP248" s="57"/>
      <c r="IFQ248" s="10"/>
      <c r="IFR248" s="57"/>
      <c r="IFS248" s="10"/>
      <c r="IFT248" s="57"/>
      <c r="IFU248" s="10"/>
      <c r="IFV248" s="57"/>
      <c r="IFW248" s="10"/>
      <c r="IFX248" s="57"/>
      <c r="IFY248" s="10"/>
      <c r="IFZ248" s="57"/>
      <c r="IGA248" s="10"/>
      <c r="IGB248" s="57"/>
      <c r="IGC248" s="10"/>
      <c r="IGD248" s="57"/>
      <c r="IGE248" s="10"/>
      <c r="IGF248" s="57"/>
      <c r="IGG248" s="10"/>
      <c r="IGH248" s="57"/>
      <c r="IGI248" s="10"/>
      <c r="IGJ248" s="57"/>
      <c r="IGK248" s="10"/>
      <c r="IGL248" s="57"/>
      <c r="IGM248" s="10"/>
      <c r="IGN248" s="57"/>
      <c r="IGO248" s="10"/>
      <c r="IGP248" s="57"/>
      <c r="IGQ248" s="10"/>
      <c r="IGR248" s="57"/>
      <c r="IGS248" s="10"/>
      <c r="IGT248" s="57"/>
      <c r="IGU248" s="10"/>
      <c r="IGV248" s="57"/>
      <c r="IGW248" s="10"/>
      <c r="IGX248" s="57"/>
      <c r="IGY248" s="10"/>
      <c r="IGZ248" s="57"/>
      <c r="IHA248" s="10"/>
      <c r="IHB248" s="57"/>
      <c r="IHC248" s="10"/>
      <c r="IHD248" s="57"/>
      <c r="IHE248" s="10"/>
      <c r="IHF248" s="57"/>
      <c r="IHG248" s="10"/>
      <c r="IHH248" s="57"/>
      <c r="IHI248" s="10"/>
      <c r="IHJ248" s="57"/>
      <c r="IHK248" s="10"/>
      <c r="IHL248" s="57"/>
      <c r="IHM248" s="10"/>
      <c r="IHN248" s="57"/>
      <c r="IHO248" s="10"/>
      <c r="IHP248" s="57"/>
      <c r="IHQ248" s="10"/>
      <c r="IHR248" s="57"/>
      <c r="IHS248" s="10"/>
      <c r="IHT248" s="57"/>
      <c r="IHU248" s="10"/>
      <c r="IHV248" s="57"/>
      <c r="IHW248" s="10"/>
      <c r="IHX248" s="57"/>
      <c r="IHY248" s="10"/>
      <c r="IHZ248" s="57"/>
      <c r="IIA248" s="10"/>
      <c r="IIB248" s="57"/>
      <c r="IIC248" s="10"/>
      <c r="IID248" s="57"/>
      <c r="IIE248" s="10"/>
      <c r="IIF248" s="57"/>
      <c r="IIG248" s="10"/>
      <c r="IIH248" s="57"/>
      <c r="III248" s="10"/>
      <c r="IIJ248" s="57"/>
      <c r="IIK248" s="10"/>
      <c r="IIL248" s="57"/>
      <c r="IIM248" s="10"/>
      <c r="IIN248" s="57"/>
      <c r="IIO248" s="10"/>
      <c r="IIP248" s="57"/>
      <c r="IIQ248" s="10"/>
      <c r="IIR248" s="57"/>
      <c r="IIS248" s="10"/>
      <c r="IIT248" s="57"/>
      <c r="IIU248" s="10"/>
      <c r="IIV248" s="57"/>
      <c r="IIW248" s="10"/>
      <c r="IIX248" s="57"/>
      <c r="IIY248" s="10"/>
      <c r="IIZ248" s="57"/>
      <c r="IJA248" s="10"/>
      <c r="IJB248" s="57"/>
      <c r="IJC248" s="10"/>
      <c r="IJD248" s="57"/>
      <c r="IJE248" s="10"/>
      <c r="IJF248" s="57"/>
      <c r="IJG248" s="10"/>
      <c r="IJH248" s="57"/>
      <c r="IJI248" s="10"/>
      <c r="IJJ248" s="57"/>
      <c r="IJK248" s="10"/>
      <c r="IJL248" s="57"/>
      <c r="IJM248" s="10"/>
      <c r="IJN248" s="57"/>
      <c r="IJO248" s="10"/>
      <c r="IJP248" s="57"/>
      <c r="IJQ248" s="10"/>
      <c r="IJR248" s="57"/>
      <c r="IJS248" s="10"/>
      <c r="IJT248" s="57"/>
      <c r="IJU248" s="10"/>
      <c r="IJV248" s="57"/>
      <c r="IJW248" s="10"/>
      <c r="IJX248" s="57"/>
      <c r="IJY248" s="10"/>
      <c r="IJZ248" s="57"/>
      <c r="IKA248" s="10"/>
      <c r="IKB248" s="57"/>
      <c r="IKC248" s="10"/>
      <c r="IKD248" s="57"/>
      <c r="IKE248" s="10"/>
      <c r="IKF248" s="57"/>
      <c r="IKG248" s="10"/>
      <c r="IKH248" s="57"/>
      <c r="IKI248" s="10"/>
      <c r="IKJ248" s="57"/>
      <c r="IKK248" s="10"/>
      <c r="IKL248" s="57"/>
      <c r="IKM248" s="10"/>
      <c r="IKN248" s="57"/>
      <c r="IKO248" s="10"/>
      <c r="IKP248" s="57"/>
      <c r="IKQ248" s="10"/>
      <c r="IKR248" s="57"/>
      <c r="IKS248" s="10"/>
      <c r="IKT248" s="57"/>
      <c r="IKU248" s="10"/>
      <c r="IKV248" s="57"/>
      <c r="IKW248" s="10"/>
      <c r="IKX248" s="57"/>
      <c r="IKY248" s="10"/>
      <c r="IKZ248" s="57"/>
      <c r="ILA248" s="10"/>
      <c r="ILB248" s="57"/>
      <c r="ILC248" s="10"/>
      <c r="ILD248" s="57"/>
      <c r="ILE248" s="10"/>
      <c r="ILF248" s="57"/>
      <c r="ILG248" s="10"/>
      <c r="ILH248" s="57"/>
      <c r="ILI248" s="10"/>
      <c r="ILJ248" s="57"/>
      <c r="ILK248" s="10"/>
      <c r="ILL248" s="57"/>
      <c r="ILM248" s="10"/>
      <c r="ILN248" s="57"/>
      <c r="ILO248" s="10"/>
      <c r="ILP248" s="57"/>
      <c r="ILQ248" s="10"/>
      <c r="ILR248" s="57"/>
      <c r="ILS248" s="10"/>
      <c r="ILT248" s="57"/>
      <c r="ILU248" s="10"/>
      <c r="ILV248" s="57"/>
      <c r="ILW248" s="10"/>
      <c r="ILX248" s="57"/>
      <c r="ILY248" s="10"/>
      <c r="ILZ248" s="57"/>
      <c r="IMA248" s="10"/>
      <c r="IMB248" s="57"/>
      <c r="IMC248" s="10"/>
      <c r="IMD248" s="57"/>
      <c r="IME248" s="10"/>
      <c r="IMF248" s="57"/>
      <c r="IMG248" s="10"/>
      <c r="IMH248" s="57"/>
      <c r="IMI248" s="10"/>
      <c r="IMJ248" s="57"/>
      <c r="IMK248" s="10"/>
      <c r="IML248" s="57"/>
      <c r="IMM248" s="10"/>
      <c r="IMN248" s="57"/>
      <c r="IMO248" s="10"/>
      <c r="IMP248" s="57"/>
      <c r="IMQ248" s="10"/>
      <c r="IMR248" s="57"/>
      <c r="IMS248" s="10"/>
      <c r="IMT248" s="57"/>
      <c r="IMU248" s="10"/>
      <c r="IMV248" s="57"/>
      <c r="IMW248" s="10"/>
      <c r="IMX248" s="57"/>
      <c r="IMY248" s="10"/>
      <c r="IMZ248" s="57"/>
      <c r="INA248" s="10"/>
      <c r="INB248" s="57"/>
      <c r="INC248" s="10"/>
      <c r="IND248" s="57"/>
      <c r="INE248" s="10"/>
      <c r="INF248" s="57"/>
      <c r="ING248" s="10"/>
      <c r="INH248" s="57"/>
      <c r="INI248" s="10"/>
      <c r="INJ248" s="57"/>
      <c r="INK248" s="10"/>
      <c r="INL248" s="57"/>
      <c r="INM248" s="10"/>
      <c r="INN248" s="57"/>
      <c r="INO248" s="10"/>
      <c r="INP248" s="57"/>
      <c r="INQ248" s="10"/>
      <c r="INR248" s="57"/>
      <c r="INS248" s="10"/>
      <c r="INT248" s="57"/>
      <c r="INU248" s="10"/>
      <c r="INV248" s="57"/>
      <c r="INW248" s="10"/>
      <c r="INX248" s="57"/>
      <c r="INY248" s="10"/>
      <c r="INZ248" s="57"/>
      <c r="IOA248" s="10"/>
      <c r="IOB248" s="57"/>
      <c r="IOC248" s="10"/>
      <c r="IOD248" s="57"/>
      <c r="IOE248" s="10"/>
      <c r="IOF248" s="57"/>
      <c r="IOG248" s="10"/>
      <c r="IOH248" s="57"/>
      <c r="IOI248" s="10"/>
      <c r="IOJ248" s="57"/>
      <c r="IOK248" s="10"/>
      <c r="IOL248" s="57"/>
      <c r="IOM248" s="10"/>
      <c r="ION248" s="57"/>
      <c r="IOO248" s="10"/>
      <c r="IOP248" s="57"/>
      <c r="IOQ248" s="10"/>
      <c r="IOR248" s="57"/>
      <c r="IOS248" s="10"/>
      <c r="IOT248" s="57"/>
      <c r="IOU248" s="10"/>
      <c r="IOV248" s="57"/>
      <c r="IOW248" s="10"/>
      <c r="IOX248" s="57"/>
      <c r="IOY248" s="10"/>
      <c r="IOZ248" s="57"/>
      <c r="IPA248" s="10"/>
      <c r="IPB248" s="57"/>
      <c r="IPC248" s="10"/>
      <c r="IPD248" s="57"/>
      <c r="IPE248" s="10"/>
      <c r="IPF248" s="57"/>
      <c r="IPG248" s="10"/>
      <c r="IPH248" s="57"/>
      <c r="IPI248" s="10"/>
      <c r="IPJ248" s="57"/>
      <c r="IPK248" s="10"/>
      <c r="IPL248" s="57"/>
      <c r="IPM248" s="10"/>
      <c r="IPN248" s="57"/>
      <c r="IPO248" s="10"/>
      <c r="IPP248" s="57"/>
      <c r="IPQ248" s="10"/>
      <c r="IPR248" s="57"/>
      <c r="IPS248" s="10"/>
      <c r="IPT248" s="57"/>
      <c r="IPU248" s="10"/>
      <c r="IPV248" s="57"/>
      <c r="IPW248" s="10"/>
      <c r="IPX248" s="57"/>
      <c r="IPY248" s="10"/>
      <c r="IPZ248" s="57"/>
      <c r="IQA248" s="10"/>
      <c r="IQB248" s="57"/>
      <c r="IQC248" s="10"/>
      <c r="IQD248" s="57"/>
      <c r="IQE248" s="10"/>
      <c r="IQF248" s="57"/>
      <c r="IQG248" s="10"/>
      <c r="IQH248" s="57"/>
      <c r="IQI248" s="10"/>
      <c r="IQJ248" s="57"/>
      <c r="IQK248" s="10"/>
      <c r="IQL248" s="57"/>
      <c r="IQM248" s="10"/>
      <c r="IQN248" s="57"/>
      <c r="IQO248" s="10"/>
      <c r="IQP248" s="57"/>
      <c r="IQQ248" s="10"/>
      <c r="IQR248" s="57"/>
      <c r="IQS248" s="10"/>
      <c r="IQT248" s="57"/>
      <c r="IQU248" s="10"/>
      <c r="IQV248" s="57"/>
      <c r="IQW248" s="10"/>
      <c r="IQX248" s="57"/>
      <c r="IQY248" s="10"/>
      <c r="IQZ248" s="57"/>
      <c r="IRA248" s="10"/>
      <c r="IRB248" s="57"/>
      <c r="IRC248" s="10"/>
      <c r="IRD248" s="57"/>
      <c r="IRE248" s="10"/>
      <c r="IRF248" s="57"/>
      <c r="IRG248" s="10"/>
      <c r="IRH248" s="57"/>
      <c r="IRI248" s="10"/>
      <c r="IRJ248" s="57"/>
      <c r="IRK248" s="10"/>
      <c r="IRL248" s="57"/>
      <c r="IRM248" s="10"/>
      <c r="IRN248" s="57"/>
      <c r="IRO248" s="10"/>
      <c r="IRP248" s="57"/>
      <c r="IRQ248" s="10"/>
      <c r="IRR248" s="57"/>
      <c r="IRS248" s="10"/>
      <c r="IRT248" s="57"/>
      <c r="IRU248" s="10"/>
      <c r="IRV248" s="57"/>
      <c r="IRW248" s="10"/>
      <c r="IRX248" s="57"/>
      <c r="IRY248" s="10"/>
      <c r="IRZ248" s="57"/>
      <c r="ISA248" s="10"/>
      <c r="ISB248" s="57"/>
      <c r="ISC248" s="10"/>
      <c r="ISD248" s="57"/>
      <c r="ISE248" s="10"/>
      <c r="ISF248" s="57"/>
      <c r="ISG248" s="10"/>
      <c r="ISH248" s="57"/>
      <c r="ISI248" s="10"/>
      <c r="ISJ248" s="57"/>
      <c r="ISK248" s="10"/>
      <c r="ISL248" s="57"/>
      <c r="ISM248" s="10"/>
      <c r="ISN248" s="57"/>
      <c r="ISO248" s="10"/>
      <c r="ISP248" s="57"/>
      <c r="ISQ248" s="10"/>
      <c r="ISR248" s="57"/>
      <c r="ISS248" s="10"/>
      <c r="IST248" s="57"/>
      <c r="ISU248" s="10"/>
      <c r="ISV248" s="57"/>
      <c r="ISW248" s="10"/>
      <c r="ISX248" s="57"/>
      <c r="ISY248" s="10"/>
      <c r="ISZ248" s="57"/>
      <c r="ITA248" s="10"/>
      <c r="ITB248" s="57"/>
      <c r="ITC248" s="10"/>
      <c r="ITD248" s="57"/>
      <c r="ITE248" s="10"/>
      <c r="ITF248" s="57"/>
      <c r="ITG248" s="10"/>
      <c r="ITH248" s="57"/>
      <c r="ITI248" s="10"/>
      <c r="ITJ248" s="57"/>
      <c r="ITK248" s="10"/>
      <c r="ITL248" s="57"/>
      <c r="ITM248" s="10"/>
      <c r="ITN248" s="57"/>
      <c r="ITO248" s="10"/>
      <c r="ITP248" s="57"/>
      <c r="ITQ248" s="10"/>
      <c r="ITR248" s="57"/>
      <c r="ITS248" s="10"/>
      <c r="ITT248" s="57"/>
      <c r="ITU248" s="10"/>
      <c r="ITV248" s="57"/>
      <c r="ITW248" s="10"/>
      <c r="ITX248" s="57"/>
      <c r="ITY248" s="10"/>
      <c r="ITZ248" s="57"/>
      <c r="IUA248" s="10"/>
      <c r="IUB248" s="57"/>
      <c r="IUC248" s="10"/>
      <c r="IUD248" s="57"/>
      <c r="IUE248" s="10"/>
      <c r="IUF248" s="57"/>
      <c r="IUG248" s="10"/>
      <c r="IUH248" s="57"/>
      <c r="IUI248" s="10"/>
      <c r="IUJ248" s="57"/>
      <c r="IUK248" s="10"/>
      <c r="IUL248" s="57"/>
      <c r="IUM248" s="10"/>
      <c r="IUN248" s="57"/>
      <c r="IUO248" s="10"/>
      <c r="IUP248" s="57"/>
      <c r="IUQ248" s="10"/>
      <c r="IUR248" s="57"/>
      <c r="IUS248" s="10"/>
      <c r="IUT248" s="57"/>
      <c r="IUU248" s="10"/>
      <c r="IUV248" s="57"/>
      <c r="IUW248" s="10"/>
      <c r="IUX248" s="57"/>
      <c r="IUY248" s="10"/>
      <c r="IUZ248" s="57"/>
      <c r="IVA248" s="10"/>
      <c r="IVB248" s="57"/>
      <c r="IVC248" s="10"/>
      <c r="IVD248" s="57"/>
      <c r="IVE248" s="10"/>
      <c r="IVF248" s="57"/>
      <c r="IVG248" s="10"/>
      <c r="IVH248" s="57"/>
      <c r="IVI248" s="10"/>
      <c r="IVJ248" s="57"/>
      <c r="IVK248" s="10"/>
      <c r="IVL248" s="57"/>
      <c r="IVM248" s="10"/>
      <c r="IVN248" s="57"/>
      <c r="IVO248" s="10"/>
      <c r="IVP248" s="57"/>
      <c r="IVQ248" s="10"/>
      <c r="IVR248" s="57"/>
      <c r="IVS248" s="10"/>
      <c r="IVT248" s="57"/>
      <c r="IVU248" s="10"/>
      <c r="IVV248" s="57"/>
      <c r="IVW248" s="10"/>
      <c r="IVX248" s="57"/>
      <c r="IVY248" s="10"/>
      <c r="IVZ248" s="57"/>
      <c r="IWA248" s="10"/>
      <c r="IWB248" s="57"/>
      <c r="IWC248" s="10"/>
      <c r="IWD248" s="57"/>
      <c r="IWE248" s="10"/>
      <c r="IWF248" s="57"/>
      <c r="IWG248" s="10"/>
      <c r="IWH248" s="57"/>
      <c r="IWI248" s="10"/>
      <c r="IWJ248" s="57"/>
      <c r="IWK248" s="10"/>
      <c r="IWL248" s="57"/>
      <c r="IWM248" s="10"/>
      <c r="IWN248" s="57"/>
      <c r="IWO248" s="10"/>
      <c r="IWP248" s="57"/>
      <c r="IWQ248" s="10"/>
      <c r="IWR248" s="57"/>
      <c r="IWS248" s="10"/>
      <c r="IWT248" s="57"/>
      <c r="IWU248" s="10"/>
      <c r="IWV248" s="57"/>
      <c r="IWW248" s="10"/>
      <c r="IWX248" s="57"/>
      <c r="IWY248" s="10"/>
      <c r="IWZ248" s="57"/>
      <c r="IXA248" s="10"/>
      <c r="IXB248" s="57"/>
      <c r="IXC248" s="10"/>
      <c r="IXD248" s="57"/>
      <c r="IXE248" s="10"/>
      <c r="IXF248" s="57"/>
      <c r="IXG248" s="10"/>
      <c r="IXH248" s="57"/>
      <c r="IXI248" s="10"/>
      <c r="IXJ248" s="57"/>
      <c r="IXK248" s="10"/>
      <c r="IXL248" s="57"/>
      <c r="IXM248" s="10"/>
      <c r="IXN248" s="57"/>
      <c r="IXO248" s="10"/>
      <c r="IXP248" s="57"/>
      <c r="IXQ248" s="10"/>
      <c r="IXR248" s="57"/>
      <c r="IXS248" s="10"/>
      <c r="IXT248" s="57"/>
      <c r="IXU248" s="10"/>
      <c r="IXV248" s="57"/>
      <c r="IXW248" s="10"/>
      <c r="IXX248" s="57"/>
      <c r="IXY248" s="10"/>
      <c r="IXZ248" s="57"/>
      <c r="IYA248" s="10"/>
      <c r="IYB248" s="57"/>
      <c r="IYC248" s="10"/>
      <c r="IYD248" s="57"/>
      <c r="IYE248" s="10"/>
      <c r="IYF248" s="57"/>
      <c r="IYG248" s="10"/>
      <c r="IYH248" s="57"/>
      <c r="IYI248" s="10"/>
      <c r="IYJ248" s="57"/>
      <c r="IYK248" s="10"/>
      <c r="IYL248" s="57"/>
      <c r="IYM248" s="10"/>
      <c r="IYN248" s="57"/>
      <c r="IYO248" s="10"/>
      <c r="IYP248" s="57"/>
      <c r="IYQ248" s="10"/>
      <c r="IYR248" s="57"/>
      <c r="IYS248" s="10"/>
      <c r="IYT248" s="57"/>
      <c r="IYU248" s="10"/>
      <c r="IYV248" s="57"/>
      <c r="IYW248" s="10"/>
      <c r="IYX248" s="57"/>
      <c r="IYY248" s="10"/>
      <c r="IYZ248" s="57"/>
      <c r="IZA248" s="10"/>
      <c r="IZB248" s="57"/>
      <c r="IZC248" s="10"/>
      <c r="IZD248" s="57"/>
      <c r="IZE248" s="10"/>
      <c r="IZF248" s="57"/>
      <c r="IZG248" s="10"/>
      <c r="IZH248" s="57"/>
      <c r="IZI248" s="10"/>
      <c r="IZJ248" s="57"/>
      <c r="IZK248" s="10"/>
      <c r="IZL248" s="57"/>
      <c r="IZM248" s="10"/>
      <c r="IZN248" s="57"/>
      <c r="IZO248" s="10"/>
      <c r="IZP248" s="57"/>
      <c r="IZQ248" s="10"/>
      <c r="IZR248" s="57"/>
      <c r="IZS248" s="10"/>
      <c r="IZT248" s="57"/>
      <c r="IZU248" s="10"/>
      <c r="IZV248" s="57"/>
      <c r="IZW248" s="10"/>
      <c r="IZX248" s="57"/>
      <c r="IZY248" s="10"/>
      <c r="IZZ248" s="57"/>
      <c r="JAA248" s="10"/>
      <c r="JAB248" s="57"/>
      <c r="JAC248" s="10"/>
      <c r="JAD248" s="57"/>
      <c r="JAE248" s="10"/>
      <c r="JAF248" s="57"/>
      <c r="JAG248" s="10"/>
      <c r="JAH248" s="57"/>
      <c r="JAI248" s="10"/>
      <c r="JAJ248" s="57"/>
      <c r="JAK248" s="10"/>
      <c r="JAL248" s="57"/>
      <c r="JAM248" s="10"/>
      <c r="JAN248" s="57"/>
      <c r="JAO248" s="10"/>
      <c r="JAP248" s="57"/>
      <c r="JAQ248" s="10"/>
      <c r="JAR248" s="57"/>
      <c r="JAS248" s="10"/>
      <c r="JAT248" s="57"/>
      <c r="JAU248" s="10"/>
      <c r="JAV248" s="57"/>
      <c r="JAW248" s="10"/>
      <c r="JAX248" s="57"/>
      <c r="JAY248" s="10"/>
      <c r="JAZ248" s="57"/>
      <c r="JBA248" s="10"/>
      <c r="JBB248" s="57"/>
      <c r="JBC248" s="10"/>
      <c r="JBD248" s="57"/>
      <c r="JBE248" s="10"/>
      <c r="JBF248" s="57"/>
      <c r="JBG248" s="10"/>
      <c r="JBH248" s="57"/>
      <c r="JBI248" s="10"/>
      <c r="JBJ248" s="57"/>
      <c r="JBK248" s="10"/>
      <c r="JBL248" s="57"/>
      <c r="JBM248" s="10"/>
      <c r="JBN248" s="57"/>
      <c r="JBO248" s="10"/>
      <c r="JBP248" s="57"/>
      <c r="JBQ248" s="10"/>
      <c r="JBR248" s="57"/>
      <c r="JBS248" s="10"/>
      <c r="JBT248" s="57"/>
      <c r="JBU248" s="10"/>
      <c r="JBV248" s="57"/>
      <c r="JBW248" s="10"/>
      <c r="JBX248" s="57"/>
      <c r="JBY248" s="10"/>
      <c r="JBZ248" s="57"/>
      <c r="JCA248" s="10"/>
      <c r="JCB248" s="57"/>
      <c r="JCC248" s="10"/>
      <c r="JCD248" s="57"/>
      <c r="JCE248" s="10"/>
      <c r="JCF248" s="57"/>
      <c r="JCG248" s="10"/>
      <c r="JCH248" s="57"/>
      <c r="JCI248" s="10"/>
      <c r="JCJ248" s="57"/>
      <c r="JCK248" s="10"/>
      <c r="JCL248" s="57"/>
      <c r="JCM248" s="10"/>
      <c r="JCN248" s="57"/>
      <c r="JCO248" s="10"/>
      <c r="JCP248" s="57"/>
      <c r="JCQ248" s="10"/>
      <c r="JCR248" s="57"/>
      <c r="JCS248" s="10"/>
      <c r="JCT248" s="57"/>
      <c r="JCU248" s="10"/>
      <c r="JCV248" s="57"/>
      <c r="JCW248" s="10"/>
      <c r="JCX248" s="57"/>
      <c r="JCY248" s="10"/>
      <c r="JCZ248" s="57"/>
      <c r="JDA248" s="10"/>
      <c r="JDB248" s="57"/>
      <c r="JDC248" s="10"/>
      <c r="JDD248" s="57"/>
      <c r="JDE248" s="10"/>
      <c r="JDF248" s="57"/>
      <c r="JDG248" s="10"/>
      <c r="JDH248" s="57"/>
      <c r="JDI248" s="10"/>
      <c r="JDJ248" s="57"/>
      <c r="JDK248" s="10"/>
      <c r="JDL248" s="57"/>
      <c r="JDM248" s="10"/>
      <c r="JDN248" s="57"/>
      <c r="JDO248" s="10"/>
      <c r="JDP248" s="57"/>
      <c r="JDQ248" s="10"/>
      <c r="JDR248" s="57"/>
      <c r="JDS248" s="10"/>
      <c r="JDT248" s="57"/>
      <c r="JDU248" s="10"/>
      <c r="JDV248" s="57"/>
      <c r="JDW248" s="10"/>
      <c r="JDX248" s="57"/>
      <c r="JDY248" s="10"/>
      <c r="JDZ248" s="57"/>
      <c r="JEA248" s="10"/>
      <c r="JEB248" s="57"/>
      <c r="JEC248" s="10"/>
      <c r="JED248" s="57"/>
      <c r="JEE248" s="10"/>
      <c r="JEF248" s="57"/>
      <c r="JEG248" s="10"/>
      <c r="JEH248" s="57"/>
      <c r="JEI248" s="10"/>
      <c r="JEJ248" s="57"/>
      <c r="JEK248" s="10"/>
      <c r="JEL248" s="57"/>
      <c r="JEM248" s="10"/>
      <c r="JEN248" s="57"/>
      <c r="JEO248" s="10"/>
      <c r="JEP248" s="57"/>
      <c r="JEQ248" s="10"/>
      <c r="JER248" s="57"/>
      <c r="JES248" s="10"/>
      <c r="JET248" s="57"/>
      <c r="JEU248" s="10"/>
      <c r="JEV248" s="57"/>
      <c r="JEW248" s="10"/>
      <c r="JEX248" s="57"/>
      <c r="JEY248" s="10"/>
      <c r="JEZ248" s="57"/>
      <c r="JFA248" s="10"/>
      <c r="JFB248" s="57"/>
      <c r="JFC248" s="10"/>
      <c r="JFD248" s="57"/>
      <c r="JFE248" s="10"/>
      <c r="JFF248" s="57"/>
      <c r="JFG248" s="10"/>
      <c r="JFH248" s="57"/>
      <c r="JFI248" s="10"/>
      <c r="JFJ248" s="57"/>
      <c r="JFK248" s="10"/>
      <c r="JFL248" s="57"/>
      <c r="JFM248" s="10"/>
      <c r="JFN248" s="57"/>
      <c r="JFO248" s="10"/>
      <c r="JFP248" s="57"/>
      <c r="JFQ248" s="10"/>
      <c r="JFR248" s="57"/>
      <c r="JFS248" s="10"/>
      <c r="JFT248" s="57"/>
      <c r="JFU248" s="10"/>
      <c r="JFV248" s="57"/>
      <c r="JFW248" s="10"/>
      <c r="JFX248" s="57"/>
      <c r="JFY248" s="10"/>
      <c r="JFZ248" s="57"/>
      <c r="JGA248" s="10"/>
      <c r="JGB248" s="57"/>
      <c r="JGC248" s="10"/>
      <c r="JGD248" s="57"/>
      <c r="JGE248" s="10"/>
      <c r="JGF248" s="57"/>
      <c r="JGG248" s="10"/>
      <c r="JGH248" s="57"/>
      <c r="JGI248" s="10"/>
      <c r="JGJ248" s="57"/>
      <c r="JGK248" s="10"/>
      <c r="JGL248" s="57"/>
      <c r="JGM248" s="10"/>
      <c r="JGN248" s="57"/>
      <c r="JGO248" s="10"/>
      <c r="JGP248" s="57"/>
      <c r="JGQ248" s="10"/>
      <c r="JGR248" s="57"/>
      <c r="JGS248" s="10"/>
      <c r="JGT248" s="57"/>
      <c r="JGU248" s="10"/>
      <c r="JGV248" s="57"/>
      <c r="JGW248" s="10"/>
      <c r="JGX248" s="57"/>
      <c r="JGY248" s="10"/>
      <c r="JGZ248" s="57"/>
      <c r="JHA248" s="10"/>
      <c r="JHB248" s="57"/>
      <c r="JHC248" s="10"/>
      <c r="JHD248" s="57"/>
      <c r="JHE248" s="10"/>
      <c r="JHF248" s="57"/>
      <c r="JHG248" s="10"/>
      <c r="JHH248" s="57"/>
      <c r="JHI248" s="10"/>
      <c r="JHJ248" s="57"/>
      <c r="JHK248" s="10"/>
      <c r="JHL248" s="57"/>
      <c r="JHM248" s="10"/>
      <c r="JHN248" s="57"/>
      <c r="JHO248" s="10"/>
      <c r="JHP248" s="57"/>
      <c r="JHQ248" s="10"/>
      <c r="JHR248" s="57"/>
      <c r="JHS248" s="10"/>
      <c r="JHT248" s="57"/>
      <c r="JHU248" s="10"/>
      <c r="JHV248" s="57"/>
      <c r="JHW248" s="10"/>
      <c r="JHX248" s="57"/>
      <c r="JHY248" s="10"/>
      <c r="JHZ248" s="57"/>
      <c r="JIA248" s="10"/>
      <c r="JIB248" s="57"/>
      <c r="JIC248" s="10"/>
      <c r="JID248" s="57"/>
      <c r="JIE248" s="10"/>
      <c r="JIF248" s="57"/>
      <c r="JIG248" s="10"/>
      <c r="JIH248" s="57"/>
      <c r="JII248" s="10"/>
      <c r="JIJ248" s="57"/>
      <c r="JIK248" s="10"/>
      <c r="JIL248" s="57"/>
      <c r="JIM248" s="10"/>
      <c r="JIN248" s="57"/>
      <c r="JIO248" s="10"/>
      <c r="JIP248" s="57"/>
      <c r="JIQ248" s="10"/>
      <c r="JIR248" s="57"/>
      <c r="JIS248" s="10"/>
      <c r="JIT248" s="57"/>
      <c r="JIU248" s="10"/>
      <c r="JIV248" s="57"/>
      <c r="JIW248" s="10"/>
      <c r="JIX248" s="57"/>
      <c r="JIY248" s="10"/>
      <c r="JIZ248" s="57"/>
      <c r="JJA248" s="10"/>
      <c r="JJB248" s="57"/>
      <c r="JJC248" s="10"/>
      <c r="JJD248" s="57"/>
      <c r="JJE248" s="10"/>
      <c r="JJF248" s="57"/>
      <c r="JJG248" s="10"/>
      <c r="JJH248" s="57"/>
      <c r="JJI248" s="10"/>
      <c r="JJJ248" s="57"/>
      <c r="JJK248" s="10"/>
      <c r="JJL248" s="57"/>
      <c r="JJM248" s="10"/>
      <c r="JJN248" s="57"/>
      <c r="JJO248" s="10"/>
      <c r="JJP248" s="57"/>
      <c r="JJQ248" s="10"/>
      <c r="JJR248" s="57"/>
      <c r="JJS248" s="10"/>
      <c r="JJT248" s="57"/>
      <c r="JJU248" s="10"/>
      <c r="JJV248" s="57"/>
      <c r="JJW248" s="10"/>
      <c r="JJX248" s="57"/>
      <c r="JJY248" s="10"/>
      <c r="JJZ248" s="57"/>
      <c r="JKA248" s="10"/>
      <c r="JKB248" s="57"/>
      <c r="JKC248" s="10"/>
      <c r="JKD248" s="57"/>
      <c r="JKE248" s="10"/>
      <c r="JKF248" s="57"/>
      <c r="JKG248" s="10"/>
      <c r="JKH248" s="57"/>
      <c r="JKI248" s="10"/>
      <c r="JKJ248" s="57"/>
      <c r="JKK248" s="10"/>
      <c r="JKL248" s="57"/>
      <c r="JKM248" s="10"/>
      <c r="JKN248" s="57"/>
      <c r="JKO248" s="10"/>
      <c r="JKP248" s="57"/>
      <c r="JKQ248" s="10"/>
      <c r="JKR248" s="57"/>
      <c r="JKS248" s="10"/>
      <c r="JKT248" s="57"/>
      <c r="JKU248" s="10"/>
      <c r="JKV248" s="57"/>
      <c r="JKW248" s="10"/>
      <c r="JKX248" s="57"/>
      <c r="JKY248" s="10"/>
      <c r="JKZ248" s="57"/>
      <c r="JLA248" s="10"/>
      <c r="JLB248" s="57"/>
      <c r="JLC248" s="10"/>
      <c r="JLD248" s="57"/>
      <c r="JLE248" s="10"/>
      <c r="JLF248" s="57"/>
      <c r="JLG248" s="10"/>
      <c r="JLH248" s="57"/>
      <c r="JLI248" s="10"/>
      <c r="JLJ248" s="57"/>
      <c r="JLK248" s="10"/>
      <c r="JLL248" s="57"/>
      <c r="JLM248" s="10"/>
      <c r="JLN248" s="57"/>
      <c r="JLO248" s="10"/>
      <c r="JLP248" s="57"/>
      <c r="JLQ248" s="10"/>
      <c r="JLR248" s="57"/>
      <c r="JLS248" s="10"/>
      <c r="JLT248" s="57"/>
      <c r="JLU248" s="10"/>
      <c r="JLV248" s="57"/>
      <c r="JLW248" s="10"/>
      <c r="JLX248" s="57"/>
      <c r="JLY248" s="10"/>
      <c r="JLZ248" s="57"/>
      <c r="JMA248" s="10"/>
      <c r="JMB248" s="57"/>
      <c r="JMC248" s="10"/>
      <c r="JMD248" s="57"/>
      <c r="JME248" s="10"/>
      <c r="JMF248" s="57"/>
      <c r="JMG248" s="10"/>
      <c r="JMH248" s="57"/>
      <c r="JMI248" s="10"/>
      <c r="JMJ248" s="57"/>
      <c r="JMK248" s="10"/>
      <c r="JML248" s="57"/>
      <c r="JMM248" s="10"/>
      <c r="JMN248" s="57"/>
      <c r="JMO248" s="10"/>
      <c r="JMP248" s="57"/>
      <c r="JMQ248" s="10"/>
      <c r="JMR248" s="57"/>
      <c r="JMS248" s="10"/>
      <c r="JMT248" s="57"/>
      <c r="JMU248" s="10"/>
      <c r="JMV248" s="57"/>
      <c r="JMW248" s="10"/>
      <c r="JMX248" s="57"/>
      <c r="JMY248" s="10"/>
      <c r="JMZ248" s="57"/>
      <c r="JNA248" s="10"/>
      <c r="JNB248" s="57"/>
      <c r="JNC248" s="10"/>
      <c r="JND248" s="57"/>
      <c r="JNE248" s="10"/>
      <c r="JNF248" s="57"/>
      <c r="JNG248" s="10"/>
      <c r="JNH248" s="57"/>
      <c r="JNI248" s="10"/>
      <c r="JNJ248" s="57"/>
      <c r="JNK248" s="10"/>
      <c r="JNL248" s="57"/>
      <c r="JNM248" s="10"/>
      <c r="JNN248" s="57"/>
      <c r="JNO248" s="10"/>
      <c r="JNP248" s="57"/>
      <c r="JNQ248" s="10"/>
      <c r="JNR248" s="57"/>
      <c r="JNS248" s="10"/>
      <c r="JNT248" s="57"/>
      <c r="JNU248" s="10"/>
      <c r="JNV248" s="57"/>
      <c r="JNW248" s="10"/>
      <c r="JNX248" s="57"/>
      <c r="JNY248" s="10"/>
      <c r="JNZ248" s="57"/>
      <c r="JOA248" s="10"/>
      <c r="JOB248" s="57"/>
      <c r="JOC248" s="10"/>
      <c r="JOD248" s="57"/>
      <c r="JOE248" s="10"/>
      <c r="JOF248" s="57"/>
      <c r="JOG248" s="10"/>
      <c r="JOH248" s="57"/>
      <c r="JOI248" s="10"/>
      <c r="JOJ248" s="57"/>
      <c r="JOK248" s="10"/>
      <c r="JOL248" s="57"/>
      <c r="JOM248" s="10"/>
      <c r="JON248" s="57"/>
      <c r="JOO248" s="10"/>
      <c r="JOP248" s="57"/>
      <c r="JOQ248" s="10"/>
      <c r="JOR248" s="57"/>
      <c r="JOS248" s="10"/>
      <c r="JOT248" s="57"/>
      <c r="JOU248" s="10"/>
      <c r="JOV248" s="57"/>
      <c r="JOW248" s="10"/>
      <c r="JOX248" s="57"/>
      <c r="JOY248" s="10"/>
      <c r="JOZ248" s="57"/>
      <c r="JPA248" s="10"/>
      <c r="JPB248" s="57"/>
      <c r="JPC248" s="10"/>
      <c r="JPD248" s="57"/>
      <c r="JPE248" s="10"/>
      <c r="JPF248" s="57"/>
      <c r="JPG248" s="10"/>
      <c r="JPH248" s="57"/>
      <c r="JPI248" s="10"/>
      <c r="JPJ248" s="57"/>
      <c r="JPK248" s="10"/>
      <c r="JPL248" s="57"/>
      <c r="JPM248" s="10"/>
      <c r="JPN248" s="57"/>
      <c r="JPO248" s="10"/>
      <c r="JPP248" s="57"/>
      <c r="JPQ248" s="10"/>
      <c r="JPR248" s="57"/>
      <c r="JPS248" s="10"/>
      <c r="JPT248" s="57"/>
      <c r="JPU248" s="10"/>
      <c r="JPV248" s="57"/>
      <c r="JPW248" s="10"/>
      <c r="JPX248" s="57"/>
      <c r="JPY248" s="10"/>
      <c r="JPZ248" s="57"/>
      <c r="JQA248" s="10"/>
      <c r="JQB248" s="57"/>
      <c r="JQC248" s="10"/>
      <c r="JQD248" s="57"/>
      <c r="JQE248" s="10"/>
      <c r="JQF248" s="57"/>
      <c r="JQG248" s="10"/>
      <c r="JQH248" s="57"/>
      <c r="JQI248" s="10"/>
      <c r="JQJ248" s="57"/>
      <c r="JQK248" s="10"/>
      <c r="JQL248" s="57"/>
      <c r="JQM248" s="10"/>
      <c r="JQN248" s="57"/>
      <c r="JQO248" s="10"/>
      <c r="JQP248" s="57"/>
      <c r="JQQ248" s="10"/>
      <c r="JQR248" s="57"/>
      <c r="JQS248" s="10"/>
      <c r="JQT248" s="57"/>
      <c r="JQU248" s="10"/>
      <c r="JQV248" s="57"/>
      <c r="JQW248" s="10"/>
      <c r="JQX248" s="57"/>
      <c r="JQY248" s="10"/>
      <c r="JQZ248" s="57"/>
      <c r="JRA248" s="10"/>
      <c r="JRB248" s="57"/>
      <c r="JRC248" s="10"/>
      <c r="JRD248" s="57"/>
      <c r="JRE248" s="10"/>
      <c r="JRF248" s="57"/>
      <c r="JRG248" s="10"/>
      <c r="JRH248" s="57"/>
      <c r="JRI248" s="10"/>
      <c r="JRJ248" s="57"/>
      <c r="JRK248" s="10"/>
      <c r="JRL248" s="57"/>
      <c r="JRM248" s="10"/>
      <c r="JRN248" s="57"/>
      <c r="JRO248" s="10"/>
      <c r="JRP248" s="57"/>
      <c r="JRQ248" s="10"/>
      <c r="JRR248" s="57"/>
      <c r="JRS248" s="10"/>
      <c r="JRT248" s="57"/>
      <c r="JRU248" s="10"/>
      <c r="JRV248" s="57"/>
      <c r="JRW248" s="10"/>
      <c r="JRX248" s="57"/>
      <c r="JRY248" s="10"/>
      <c r="JRZ248" s="57"/>
      <c r="JSA248" s="10"/>
      <c r="JSB248" s="57"/>
      <c r="JSC248" s="10"/>
      <c r="JSD248" s="57"/>
      <c r="JSE248" s="10"/>
      <c r="JSF248" s="57"/>
      <c r="JSG248" s="10"/>
      <c r="JSH248" s="57"/>
      <c r="JSI248" s="10"/>
      <c r="JSJ248" s="57"/>
      <c r="JSK248" s="10"/>
      <c r="JSL248" s="57"/>
      <c r="JSM248" s="10"/>
      <c r="JSN248" s="57"/>
      <c r="JSO248" s="10"/>
      <c r="JSP248" s="57"/>
      <c r="JSQ248" s="10"/>
      <c r="JSR248" s="57"/>
      <c r="JSS248" s="10"/>
      <c r="JST248" s="57"/>
      <c r="JSU248" s="10"/>
      <c r="JSV248" s="57"/>
      <c r="JSW248" s="10"/>
      <c r="JSX248" s="57"/>
      <c r="JSY248" s="10"/>
      <c r="JSZ248" s="57"/>
      <c r="JTA248" s="10"/>
      <c r="JTB248" s="57"/>
      <c r="JTC248" s="10"/>
      <c r="JTD248" s="57"/>
      <c r="JTE248" s="10"/>
      <c r="JTF248" s="57"/>
      <c r="JTG248" s="10"/>
      <c r="JTH248" s="57"/>
      <c r="JTI248" s="10"/>
      <c r="JTJ248" s="57"/>
      <c r="JTK248" s="10"/>
      <c r="JTL248" s="57"/>
      <c r="JTM248" s="10"/>
      <c r="JTN248" s="57"/>
      <c r="JTO248" s="10"/>
      <c r="JTP248" s="57"/>
      <c r="JTQ248" s="10"/>
      <c r="JTR248" s="57"/>
      <c r="JTS248" s="10"/>
      <c r="JTT248" s="57"/>
      <c r="JTU248" s="10"/>
      <c r="JTV248" s="57"/>
      <c r="JTW248" s="10"/>
      <c r="JTX248" s="57"/>
      <c r="JTY248" s="10"/>
      <c r="JTZ248" s="57"/>
      <c r="JUA248" s="10"/>
      <c r="JUB248" s="57"/>
      <c r="JUC248" s="10"/>
      <c r="JUD248" s="57"/>
      <c r="JUE248" s="10"/>
      <c r="JUF248" s="57"/>
      <c r="JUG248" s="10"/>
      <c r="JUH248" s="57"/>
      <c r="JUI248" s="10"/>
      <c r="JUJ248" s="57"/>
      <c r="JUK248" s="10"/>
      <c r="JUL248" s="57"/>
      <c r="JUM248" s="10"/>
      <c r="JUN248" s="57"/>
      <c r="JUO248" s="10"/>
      <c r="JUP248" s="57"/>
      <c r="JUQ248" s="10"/>
      <c r="JUR248" s="57"/>
      <c r="JUS248" s="10"/>
      <c r="JUT248" s="57"/>
      <c r="JUU248" s="10"/>
      <c r="JUV248" s="57"/>
      <c r="JUW248" s="10"/>
      <c r="JUX248" s="57"/>
      <c r="JUY248" s="10"/>
      <c r="JUZ248" s="57"/>
      <c r="JVA248" s="10"/>
      <c r="JVB248" s="57"/>
      <c r="JVC248" s="10"/>
      <c r="JVD248" s="57"/>
      <c r="JVE248" s="10"/>
      <c r="JVF248" s="57"/>
      <c r="JVG248" s="10"/>
      <c r="JVH248" s="57"/>
      <c r="JVI248" s="10"/>
      <c r="JVJ248" s="57"/>
      <c r="JVK248" s="10"/>
      <c r="JVL248" s="57"/>
      <c r="JVM248" s="10"/>
      <c r="JVN248" s="57"/>
      <c r="JVO248" s="10"/>
      <c r="JVP248" s="57"/>
      <c r="JVQ248" s="10"/>
      <c r="JVR248" s="57"/>
      <c r="JVS248" s="10"/>
      <c r="JVT248" s="57"/>
      <c r="JVU248" s="10"/>
      <c r="JVV248" s="57"/>
      <c r="JVW248" s="10"/>
      <c r="JVX248" s="57"/>
      <c r="JVY248" s="10"/>
      <c r="JVZ248" s="57"/>
      <c r="JWA248" s="10"/>
      <c r="JWB248" s="57"/>
      <c r="JWC248" s="10"/>
      <c r="JWD248" s="57"/>
      <c r="JWE248" s="10"/>
      <c r="JWF248" s="57"/>
      <c r="JWG248" s="10"/>
      <c r="JWH248" s="57"/>
      <c r="JWI248" s="10"/>
      <c r="JWJ248" s="57"/>
      <c r="JWK248" s="10"/>
      <c r="JWL248" s="57"/>
      <c r="JWM248" s="10"/>
      <c r="JWN248" s="57"/>
      <c r="JWO248" s="10"/>
      <c r="JWP248" s="57"/>
      <c r="JWQ248" s="10"/>
      <c r="JWR248" s="57"/>
      <c r="JWS248" s="10"/>
      <c r="JWT248" s="57"/>
      <c r="JWU248" s="10"/>
      <c r="JWV248" s="57"/>
      <c r="JWW248" s="10"/>
      <c r="JWX248" s="57"/>
      <c r="JWY248" s="10"/>
      <c r="JWZ248" s="57"/>
      <c r="JXA248" s="10"/>
      <c r="JXB248" s="57"/>
      <c r="JXC248" s="10"/>
      <c r="JXD248" s="57"/>
      <c r="JXE248" s="10"/>
      <c r="JXF248" s="57"/>
      <c r="JXG248" s="10"/>
      <c r="JXH248" s="57"/>
      <c r="JXI248" s="10"/>
      <c r="JXJ248" s="57"/>
      <c r="JXK248" s="10"/>
      <c r="JXL248" s="57"/>
      <c r="JXM248" s="10"/>
      <c r="JXN248" s="57"/>
      <c r="JXO248" s="10"/>
      <c r="JXP248" s="57"/>
      <c r="JXQ248" s="10"/>
      <c r="JXR248" s="57"/>
      <c r="JXS248" s="10"/>
      <c r="JXT248" s="57"/>
      <c r="JXU248" s="10"/>
      <c r="JXV248" s="57"/>
      <c r="JXW248" s="10"/>
      <c r="JXX248" s="57"/>
      <c r="JXY248" s="10"/>
      <c r="JXZ248" s="57"/>
      <c r="JYA248" s="10"/>
      <c r="JYB248" s="57"/>
      <c r="JYC248" s="10"/>
      <c r="JYD248" s="57"/>
      <c r="JYE248" s="10"/>
      <c r="JYF248" s="57"/>
      <c r="JYG248" s="10"/>
      <c r="JYH248" s="57"/>
      <c r="JYI248" s="10"/>
      <c r="JYJ248" s="57"/>
      <c r="JYK248" s="10"/>
      <c r="JYL248" s="57"/>
      <c r="JYM248" s="10"/>
      <c r="JYN248" s="57"/>
      <c r="JYO248" s="10"/>
      <c r="JYP248" s="57"/>
      <c r="JYQ248" s="10"/>
      <c r="JYR248" s="57"/>
      <c r="JYS248" s="10"/>
      <c r="JYT248" s="57"/>
      <c r="JYU248" s="10"/>
      <c r="JYV248" s="57"/>
      <c r="JYW248" s="10"/>
      <c r="JYX248" s="57"/>
      <c r="JYY248" s="10"/>
      <c r="JYZ248" s="57"/>
      <c r="JZA248" s="10"/>
      <c r="JZB248" s="57"/>
      <c r="JZC248" s="10"/>
      <c r="JZD248" s="57"/>
      <c r="JZE248" s="10"/>
      <c r="JZF248" s="57"/>
      <c r="JZG248" s="10"/>
      <c r="JZH248" s="57"/>
      <c r="JZI248" s="10"/>
      <c r="JZJ248" s="57"/>
      <c r="JZK248" s="10"/>
      <c r="JZL248" s="57"/>
      <c r="JZM248" s="10"/>
      <c r="JZN248" s="57"/>
      <c r="JZO248" s="10"/>
      <c r="JZP248" s="57"/>
      <c r="JZQ248" s="10"/>
      <c r="JZR248" s="57"/>
      <c r="JZS248" s="10"/>
      <c r="JZT248" s="57"/>
      <c r="JZU248" s="10"/>
      <c r="JZV248" s="57"/>
      <c r="JZW248" s="10"/>
      <c r="JZX248" s="57"/>
      <c r="JZY248" s="10"/>
      <c r="JZZ248" s="57"/>
      <c r="KAA248" s="10"/>
      <c r="KAB248" s="57"/>
      <c r="KAC248" s="10"/>
      <c r="KAD248" s="57"/>
      <c r="KAE248" s="10"/>
      <c r="KAF248" s="57"/>
      <c r="KAG248" s="10"/>
      <c r="KAH248" s="57"/>
      <c r="KAI248" s="10"/>
      <c r="KAJ248" s="57"/>
      <c r="KAK248" s="10"/>
      <c r="KAL248" s="57"/>
      <c r="KAM248" s="10"/>
      <c r="KAN248" s="57"/>
      <c r="KAO248" s="10"/>
      <c r="KAP248" s="57"/>
      <c r="KAQ248" s="10"/>
      <c r="KAR248" s="57"/>
      <c r="KAS248" s="10"/>
      <c r="KAT248" s="57"/>
      <c r="KAU248" s="10"/>
      <c r="KAV248" s="57"/>
      <c r="KAW248" s="10"/>
      <c r="KAX248" s="57"/>
      <c r="KAY248" s="10"/>
      <c r="KAZ248" s="57"/>
      <c r="KBA248" s="10"/>
      <c r="KBB248" s="57"/>
      <c r="KBC248" s="10"/>
      <c r="KBD248" s="57"/>
      <c r="KBE248" s="10"/>
      <c r="KBF248" s="57"/>
      <c r="KBG248" s="10"/>
      <c r="KBH248" s="57"/>
      <c r="KBI248" s="10"/>
      <c r="KBJ248" s="57"/>
      <c r="KBK248" s="10"/>
      <c r="KBL248" s="57"/>
      <c r="KBM248" s="10"/>
      <c r="KBN248" s="57"/>
      <c r="KBO248" s="10"/>
      <c r="KBP248" s="57"/>
      <c r="KBQ248" s="10"/>
      <c r="KBR248" s="57"/>
      <c r="KBS248" s="10"/>
      <c r="KBT248" s="57"/>
      <c r="KBU248" s="10"/>
      <c r="KBV248" s="57"/>
      <c r="KBW248" s="10"/>
      <c r="KBX248" s="57"/>
      <c r="KBY248" s="10"/>
      <c r="KBZ248" s="57"/>
      <c r="KCA248" s="10"/>
      <c r="KCB248" s="57"/>
      <c r="KCC248" s="10"/>
      <c r="KCD248" s="57"/>
      <c r="KCE248" s="10"/>
      <c r="KCF248" s="57"/>
      <c r="KCG248" s="10"/>
      <c r="KCH248" s="57"/>
      <c r="KCI248" s="10"/>
      <c r="KCJ248" s="57"/>
      <c r="KCK248" s="10"/>
      <c r="KCL248" s="57"/>
      <c r="KCM248" s="10"/>
      <c r="KCN248" s="57"/>
      <c r="KCO248" s="10"/>
      <c r="KCP248" s="57"/>
      <c r="KCQ248" s="10"/>
      <c r="KCR248" s="57"/>
      <c r="KCS248" s="10"/>
      <c r="KCT248" s="57"/>
      <c r="KCU248" s="10"/>
      <c r="KCV248" s="57"/>
      <c r="KCW248" s="10"/>
      <c r="KCX248" s="57"/>
      <c r="KCY248" s="10"/>
      <c r="KCZ248" s="57"/>
      <c r="KDA248" s="10"/>
      <c r="KDB248" s="57"/>
      <c r="KDC248" s="10"/>
      <c r="KDD248" s="57"/>
      <c r="KDE248" s="10"/>
      <c r="KDF248" s="57"/>
      <c r="KDG248" s="10"/>
      <c r="KDH248" s="57"/>
      <c r="KDI248" s="10"/>
      <c r="KDJ248" s="57"/>
      <c r="KDK248" s="10"/>
      <c r="KDL248" s="57"/>
      <c r="KDM248" s="10"/>
      <c r="KDN248" s="57"/>
      <c r="KDO248" s="10"/>
      <c r="KDP248" s="57"/>
      <c r="KDQ248" s="10"/>
      <c r="KDR248" s="57"/>
      <c r="KDS248" s="10"/>
      <c r="KDT248" s="57"/>
      <c r="KDU248" s="10"/>
      <c r="KDV248" s="57"/>
      <c r="KDW248" s="10"/>
      <c r="KDX248" s="57"/>
      <c r="KDY248" s="10"/>
      <c r="KDZ248" s="57"/>
      <c r="KEA248" s="10"/>
      <c r="KEB248" s="57"/>
      <c r="KEC248" s="10"/>
      <c r="KED248" s="57"/>
      <c r="KEE248" s="10"/>
      <c r="KEF248" s="57"/>
      <c r="KEG248" s="10"/>
      <c r="KEH248" s="57"/>
      <c r="KEI248" s="10"/>
      <c r="KEJ248" s="57"/>
      <c r="KEK248" s="10"/>
      <c r="KEL248" s="57"/>
      <c r="KEM248" s="10"/>
      <c r="KEN248" s="57"/>
      <c r="KEO248" s="10"/>
      <c r="KEP248" s="57"/>
      <c r="KEQ248" s="10"/>
      <c r="KER248" s="57"/>
      <c r="KES248" s="10"/>
      <c r="KET248" s="57"/>
      <c r="KEU248" s="10"/>
      <c r="KEV248" s="57"/>
      <c r="KEW248" s="10"/>
      <c r="KEX248" s="57"/>
      <c r="KEY248" s="10"/>
      <c r="KEZ248" s="57"/>
      <c r="KFA248" s="10"/>
      <c r="KFB248" s="57"/>
      <c r="KFC248" s="10"/>
      <c r="KFD248" s="57"/>
      <c r="KFE248" s="10"/>
      <c r="KFF248" s="57"/>
      <c r="KFG248" s="10"/>
      <c r="KFH248" s="57"/>
      <c r="KFI248" s="10"/>
      <c r="KFJ248" s="57"/>
      <c r="KFK248" s="10"/>
      <c r="KFL248" s="57"/>
      <c r="KFM248" s="10"/>
      <c r="KFN248" s="57"/>
      <c r="KFO248" s="10"/>
      <c r="KFP248" s="57"/>
      <c r="KFQ248" s="10"/>
      <c r="KFR248" s="57"/>
      <c r="KFS248" s="10"/>
      <c r="KFT248" s="57"/>
      <c r="KFU248" s="10"/>
      <c r="KFV248" s="57"/>
      <c r="KFW248" s="10"/>
      <c r="KFX248" s="57"/>
      <c r="KFY248" s="10"/>
      <c r="KFZ248" s="57"/>
      <c r="KGA248" s="10"/>
      <c r="KGB248" s="57"/>
      <c r="KGC248" s="10"/>
      <c r="KGD248" s="57"/>
      <c r="KGE248" s="10"/>
      <c r="KGF248" s="57"/>
      <c r="KGG248" s="10"/>
      <c r="KGH248" s="57"/>
      <c r="KGI248" s="10"/>
      <c r="KGJ248" s="57"/>
      <c r="KGK248" s="10"/>
      <c r="KGL248" s="57"/>
      <c r="KGM248" s="10"/>
      <c r="KGN248" s="57"/>
      <c r="KGO248" s="10"/>
      <c r="KGP248" s="57"/>
      <c r="KGQ248" s="10"/>
      <c r="KGR248" s="57"/>
      <c r="KGS248" s="10"/>
      <c r="KGT248" s="57"/>
      <c r="KGU248" s="10"/>
      <c r="KGV248" s="57"/>
      <c r="KGW248" s="10"/>
      <c r="KGX248" s="57"/>
      <c r="KGY248" s="10"/>
      <c r="KGZ248" s="57"/>
      <c r="KHA248" s="10"/>
      <c r="KHB248" s="57"/>
      <c r="KHC248" s="10"/>
      <c r="KHD248" s="57"/>
      <c r="KHE248" s="10"/>
      <c r="KHF248" s="57"/>
      <c r="KHG248" s="10"/>
      <c r="KHH248" s="57"/>
      <c r="KHI248" s="10"/>
      <c r="KHJ248" s="57"/>
      <c r="KHK248" s="10"/>
      <c r="KHL248" s="57"/>
      <c r="KHM248" s="10"/>
      <c r="KHN248" s="57"/>
      <c r="KHO248" s="10"/>
      <c r="KHP248" s="57"/>
      <c r="KHQ248" s="10"/>
      <c r="KHR248" s="57"/>
      <c r="KHS248" s="10"/>
      <c r="KHT248" s="57"/>
      <c r="KHU248" s="10"/>
      <c r="KHV248" s="57"/>
      <c r="KHW248" s="10"/>
      <c r="KHX248" s="57"/>
      <c r="KHY248" s="10"/>
      <c r="KHZ248" s="57"/>
      <c r="KIA248" s="10"/>
      <c r="KIB248" s="57"/>
      <c r="KIC248" s="10"/>
      <c r="KID248" s="57"/>
      <c r="KIE248" s="10"/>
      <c r="KIF248" s="57"/>
      <c r="KIG248" s="10"/>
      <c r="KIH248" s="57"/>
      <c r="KII248" s="10"/>
      <c r="KIJ248" s="57"/>
      <c r="KIK248" s="10"/>
      <c r="KIL248" s="57"/>
      <c r="KIM248" s="10"/>
      <c r="KIN248" s="57"/>
      <c r="KIO248" s="10"/>
      <c r="KIP248" s="57"/>
      <c r="KIQ248" s="10"/>
      <c r="KIR248" s="57"/>
      <c r="KIS248" s="10"/>
      <c r="KIT248" s="57"/>
      <c r="KIU248" s="10"/>
      <c r="KIV248" s="57"/>
      <c r="KIW248" s="10"/>
      <c r="KIX248" s="57"/>
      <c r="KIY248" s="10"/>
      <c r="KIZ248" s="57"/>
      <c r="KJA248" s="10"/>
      <c r="KJB248" s="57"/>
      <c r="KJC248" s="10"/>
      <c r="KJD248" s="57"/>
      <c r="KJE248" s="10"/>
      <c r="KJF248" s="57"/>
      <c r="KJG248" s="10"/>
      <c r="KJH248" s="57"/>
      <c r="KJI248" s="10"/>
      <c r="KJJ248" s="57"/>
      <c r="KJK248" s="10"/>
      <c r="KJL248" s="57"/>
      <c r="KJM248" s="10"/>
      <c r="KJN248" s="57"/>
      <c r="KJO248" s="10"/>
      <c r="KJP248" s="57"/>
      <c r="KJQ248" s="10"/>
      <c r="KJR248" s="57"/>
      <c r="KJS248" s="10"/>
      <c r="KJT248" s="57"/>
      <c r="KJU248" s="10"/>
      <c r="KJV248" s="57"/>
      <c r="KJW248" s="10"/>
      <c r="KJX248" s="57"/>
      <c r="KJY248" s="10"/>
      <c r="KJZ248" s="57"/>
      <c r="KKA248" s="10"/>
      <c r="KKB248" s="57"/>
      <c r="KKC248" s="10"/>
      <c r="KKD248" s="57"/>
      <c r="KKE248" s="10"/>
      <c r="KKF248" s="57"/>
      <c r="KKG248" s="10"/>
      <c r="KKH248" s="57"/>
      <c r="KKI248" s="10"/>
      <c r="KKJ248" s="57"/>
      <c r="KKK248" s="10"/>
      <c r="KKL248" s="57"/>
      <c r="KKM248" s="10"/>
      <c r="KKN248" s="57"/>
      <c r="KKO248" s="10"/>
      <c r="KKP248" s="57"/>
      <c r="KKQ248" s="10"/>
      <c r="KKR248" s="57"/>
      <c r="KKS248" s="10"/>
      <c r="KKT248" s="57"/>
      <c r="KKU248" s="10"/>
      <c r="KKV248" s="57"/>
      <c r="KKW248" s="10"/>
      <c r="KKX248" s="57"/>
      <c r="KKY248" s="10"/>
      <c r="KKZ248" s="57"/>
      <c r="KLA248" s="10"/>
      <c r="KLB248" s="57"/>
      <c r="KLC248" s="10"/>
      <c r="KLD248" s="57"/>
      <c r="KLE248" s="10"/>
      <c r="KLF248" s="57"/>
      <c r="KLG248" s="10"/>
      <c r="KLH248" s="57"/>
      <c r="KLI248" s="10"/>
      <c r="KLJ248" s="57"/>
      <c r="KLK248" s="10"/>
      <c r="KLL248" s="57"/>
      <c r="KLM248" s="10"/>
      <c r="KLN248" s="57"/>
      <c r="KLO248" s="10"/>
      <c r="KLP248" s="57"/>
      <c r="KLQ248" s="10"/>
      <c r="KLR248" s="57"/>
      <c r="KLS248" s="10"/>
      <c r="KLT248" s="57"/>
      <c r="KLU248" s="10"/>
      <c r="KLV248" s="57"/>
      <c r="KLW248" s="10"/>
      <c r="KLX248" s="57"/>
      <c r="KLY248" s="10"/>
      <c r="KLZ248" s="57"/>
      <c r="KMA248" s="10"/>
      <c r="KMB248" s="57"/>
      <c r="KMC248" s="10"/>
      <c r="KMD248" s="57"/>
      <c r="KME248" s="10"/>
      <c r="KMF248" s="57"/>
      <c r="KMG248" s="10"/>
      <c r="KMH248" s="57"/>
      <c r="KMI248" s="10"/>
      <c r="KMJ248" s="57"/>
      <c r="KMK248" s="10"/>
      <c r="KML248" s="57"/>
      <c r="KMM248" s="10"/>
      <c r="KMN248" s="57"/>
      <c r="KMO248" s="10"/>
      <c r="KMP248" s="57"/>
      <c r="KMQ248" s="10"/>
      <c r="KMR248" s="57"/>
      <c r="KMS248" s="10"/>
      <c r="KMT248" s="57"/>
      <c r="KMU248" s="10"/>
      <c r="KMV248" s="57"/>
      <c r="KMW248" s="10"/>
      <c r="KMX248" s="57"/>
      <c r="KMY248" s="10"/>
      <c r="KMZ248" s="57"/>
      <c r="KNA248" s="10"/>
      <c r="KNB248" s="57"/>
      <c r="KNC248" s="10"/>
      <c r="KND248" s="57"/>
      <c r="KNE248" s="10"/>
      <c r="KNF248" s="57"/>
      <c r="KNG248" s="10"/>
      <c r="KNH248" s="57"/>
      <c r="KNI248" s="10"/>
      <c r="KNJ248" s="57"/>
      <c r="KNK248" s="10"/>
      <c r="KNL248" s="57"/>
      <c r="KNM248" s="10"/>
      <c r="KNN248" s="57"/>
      <c r="KNO248" s="10"/>
      <c r="KNP248" s="57"/>
      <c r="KNQ248" s="10"/>
      <c r="KNR248" s="57"/>
      <c r="KNS248" s="10"/>
      <c r="KNT248" s="57"/>
      <c r="KNU248" s="10"/>
      <c r="KNV248" s="57"/>
      <c r="KNW248" s="10"/>
      <c r="KNX248" s="57"/>
      <c r="KNY248" s="10"/>
      <c r="KNZ248" s="57"/>
      <c r="KOA248" s="10"/>
      <c r="KOB248" s="57"/>
      <c r="KOC248" s="10"/>
      <c r="KOD248" s="57"/>
      <c r="KOE248" s="10"/>
      <c r="KOF248" s="57"/>
      <c r="KOG248" s="10"/>
      <c r="KOH248" s="57"/>
      <c r="KOI248" s="10"/>
      <c r="KOJ248" s="57"/>
      <c r="KOK248" s="10"/>
      <c r="KOL248" s="57"/>
      <c r="KOM248" s="10"/>
      <c r="KON248" s="57"/>
      <c r="KOO248" s="10"/>
      <c r="KOP248" s="57"/>
      <c r="KOQ248" s="10"/>
      <c r="KOR248" s="57"/>
      <c r="KOS248" s="10"/>
      <c r="KOT248" s="57"/>
      <c r="KOU248" s="10"/>
      <c r="KOV248" s="57"/>
      <c r="KOW248" s="10"/>
      <c r="KOX248" s="57"/>
      <c r="KOY248" s="10"/>
      <c r="KOZ248" s="57"/>
      <c r="KPA248" s="10"/>
      <c r="KPB248" s="57"/>
      <c r="KPC248" s="10"/>
      <c r="KPD248" s="57"/>
      <c r="KPE248" s="10"/>
      <c r="KPF248" s="57"/>
      <c r="KPG248" s="10"/>
      <c r="KPH248" s="57"/>
      <c r="KPI248" s="10"/>
      <c r="KPJ248" s="57"/>
      <c r="KPK248" s="10"/>
      <c r="KPL248" s="57"/>
      <c r="KPM248" s="10"/>
      <c r="KPN248" s="57"/>
      <c r="KPO248" s="10"/>
      <c r="KPP248" s="57"/>
      <c r="KPQ248" s="10"/>
      <c r="KPR248" s="57"/>
      <c r="KPS248" s="10"/>
      <c r="KPT248" s="57"/>
      <c r="KPU248" s="10"/>
      <c r="KPV248" s="57"/>
      <c r="KPW248" s="10"/>
      <c r="KPX248" s="57"/>
      <c r="KPY248" s="10"/>
      <c r="KPZ248" s="57"/>
      <c r="KQA248" s="10"/>
      <c r="KQB248" s="57"/>
      <c r="KQC248" s="10"/>
      <c r="KQD248" s="57"/>
      <c r="KQE248" s="10"/>
      <c r="KQF248" s="57"/>
      <c r="KQG248" s="10"/>
      <c r="KQH248" s="57"/>
      <c r="KQI248" s="10"/>
      <c r="KQJ248" s="57"/>
      <c r="KQK248" s="10"/>
      <c r="KQL248" s="57"/>
      <c r="KQM248" s="10"/>
      <c r="KQN248" s="57"/>
      <c r="KQO248" s="10"/>
      <c r="KQP248" s="57"/>
      <c r="KQQ248" s="10"/>
      <c r="KQR248" s="57"/>
      <c r="KQS248" s="10"/>
      <c r="KQT248" s="57"/>
      <c r="KQU248" s="10"/>
      <c r="KQV248" s="57"/>
      <c r="KQW248" s="10"/>
      <c r="KQX248" s="57"/>
      <c r="KQY248" s="10"/>
      <c r="KQZ248" s="57"/>
      <c r="KRA248" s="10"/>
      <c r="KRB248" s="57"/>
      <c r="KRC248" s="10"/>
      <c r="KRD248" s="57"/>
      <c r="KRE248" s="10"/>
      <c r="KRF248" s="57"/>
      <c r="KRG248" s="10"/>
      <c r="KRH248" s="57"/>
      <c r="KRI248" s="10"/>
      <c r="KRJ248" s="57"/>
      <c r="KRK248" s="10"/>
      <c r="KRL248" s="57"/>
      <c r="KRM248" s="10"/>
      <c r="KRN248" s="57"/>
      <c r="KRO248" s="10"/>
      <c r="KRP248" s="57"/>
      <c r="KRQ248" s="10"/>
      <c r="KRR248" s="57"/>
      <c r="KRS248" s="10"/>
      <c r="KRT248" s="57"/>
      <c r="KRU248" s="10"/>
      <c r="KRV248" s="57"/>
      <c r="KRW248" s="10"/>
      <c r="KRX248" s="57"/>
      <c r="KRY248" s="10"/>
      <c r="KRZ248" s="57"/>
      <c r="KSA248" s="10"/>
      <c r="KSB248" s="57"/>
      <c r="KSC248" s="10"/>
      <c r="KSD248" s="57"/>
      <c r="KSE248" s="10"/>
      <c r="KSF248" s="57"/>
      <c r="KSG248" s="10"/>
      <c r="KSH248" s="57"/>
      <c r="KSI248" s="10"/>
      <c r="KSJ248" s="57"/>
      <c r="KSK248" s="10"/>
      <c r="KSL248" s="57"/>
      <c r="KSM248" s="10"/>
      <c r="KSN248" s="57"/>
      <c r="KSO248" s="10"/>
      <c r="KSP248" s="57"/>
      <c r="KSQ248" s="10"/>
      <c r="KSR248" s="57"/>
      <c r="KSS248" s="10"/>
      <c r="KST248" s="57"/>
      <c r="KSU248" s="10"/>
      <c r="KSV248" s="57"/>
      <c r="KSW248" s="10"/>
      <c r="KSX248" s="57"/>
      <c r="KSY248" s="10"/>
      <c r="KSZ248" s="57"/>
      <c r="KTA248" s="10"/>
      <c r="KTB248" s="57"/>
      <c r="KTC248" s="10"/>
      <c r="KTD248" s="57"/>
      <c r="KTE248" s="10"/>
      <c r="KTF248" s="57"/>
      <c r="KTG248" s="10"/>
      <c r="KTH248" s="57"/>
      <c r="KTI248" s="10"/>
      <c r="KTJ248" s="57"/>
      <c r="KTK248" s="10"/>
      <c r="KTL248" s="57"/>
      <c r="KTM248" s="10"/>
      <c r="KTN248" s="57"/>
      <c r="KTO248" s="10"/>
      <c r="KTP248" s="57"/>
      <c r="KTQ248" s="10"/>
      <c r="KTR248" s="57"/>
      <c r="KTS248" s="10"/>
      <c r="KTT248" s="57"/>
      <c r="KTU248" s="10"/>
      <c r="KTV248" s="57"/>
      <c r="KTW248" s="10"/>
      <c r="KTX248" s="57"/>
      <c r="KTY248" s="10"/>
      <c r="KTZ248" s="57"/>
      <c r="KUA248" s="10"/>
      <c r="KUB248" s="57"/>
      <c r="KUC248" s="10"/>
      <c r="KUD248" s="57"/>
      <c r="KUE248" s="10"/>
      <c r="KUF248" s="57"/>
      <c r="KUG248" s="10"/>
      <c r="KUH248" s="57"/>
      <c r="KUI248" s="10"/>
      <c r="KUJ248" s="57"/>
      <c r="KUK248" s="10"/>
      <c r="KUL248" s="57"/>
      <c r="KUM248" s="10"/>
      <c r="KUN248" s="57"/>
      <c r="KUO248" s="10"/>
      <c r="KUP248" s="57"/>
      <c r="KUQ248" s="10"/>
      <c r="KUR248" s="57"/>
      <c r="KUS248" s="10"/>
      <c r="KUT248" s="57"/>
      <c r="KUU248" s="10"/>
      <c r="KUV248" s="57"/>
      <c r="KUW248" s="10"/>
      <c r="KUX248" s="57"/>
      <c r="KUY248" s="10"/>
      <c r="KUZ248" s="57"/>
      <c r="KVA248" s="10"/>
      <c r="KVB248" s="57"/>
      <c r="KVC248" s="10"/>
      <c r="KVD248" s="57"/>
      <c r="KVE248" s="10"/>
      <c r="KVF248" s="57"/>
      <c r="KVG248" s="10"/>
      <c r="KVH248" s="57"/>
      <c r="KVI248" s="10"/>
      <c r="KVJ248" s="57"/>
      <c r="KVK248" s="10"/>
      <c r="KVL248" s="57"/>
      <c r="KVM248" s="10"/>
      <c r="KVN248" s="57"/>
      <c r="KVO248" s="10"/>
      <c r="KVP248" s="57"/>
      <c r="KVQ248" s="10"/>
      <c r="KVR248" s="57"/>
      <c r="KVS248" s="10"/>
      <c r="KVT248" s="57"/>
      <c r="KVU248" s="10"/>
      <c r="KVV248" s="57"/>
      <c r="KVW248" s="10"/>
      <c r="KVX248" s="57"/>
      <c r="KVY248" s="10"/>
      <c r="KVZ248" s="57"/>
      <c r="KWA248" s="10"/>
      <c r="KWB248" s="57"/>
      <c r="KWC248" s="10"/>
      <c r="KWD248" s="57"/>
      <c r="KWE248" s="10"/>
      <c r="KWF248" s="57"/>
      <c r="KWG248" s="10"/>
      <c r="KWH248" s="57"/>
      <c r="KWI248" s="10"/>
      <c r="KWJ248" s="57"/>
      <c r="KWK248" s="10"/>
      <c r="KWL248" s="57"/>
      <c r="KWM248" s="10"/>
      <c r="KWN248" s="57"/>
      <c r="KWO248" s="10"/>
      <c r="KWP248" s="57"/>
      <c r="KWQ248" s="10"/>
      <c r="KWR248" s="57"/>
      <c r="KWS248" s="10"/>
      <c r="KWT248" s="57"/>
      <c r="KWU248" s="10"/>
      <c r="KWV248" s="57"/>
      <c r="KWW248" s="10"/>
      <c r="KWX248" s="57"/>
      <c r="KWY248" s="10"/>
      <c r="KWZ248" s="57"/>
      <c r="KXA248" s="10"/>
      <c r="KXB248" s="57"/>
      <c r="KXC248" s="10"/>
      <c r="KXD248" s="57"/>
      <c r="KXE248" s="10"/>
      <c r="KXF248" s="57"/>
      <c r="KXG248" s="10"/>
      <c r="KXH248" s="57"/>
      <c r="KXI248" s="10"/>
      <c r="KXJ248" s="57"/>
      <c r="KXK248" s="10"/>
      <c r="KXL248" s="57"/>
      <c r="KXM248" s="10"/>
      <c r="KXN248" s="57"/>
      <c r="KXO248" s="10"/>
      <c r="KXP248" s="57"/>
      <c r="KXQ248" s="10"/>
      <c r="KXR248" s="57"/>
      <c r="KXS248" s="10"/>
      <c r="KXT248" s="57"/>
      <c r="KXU248" s="10"/>
      <c r="KXV248" s="57"/>
      <c r="KXW248" s="10"/>
      <c r="KXX248" s="57"/>
      <c r="KXY248" s="10"/>
      <c r="KXZ248" s="57"/>
      <c r="KYA248" s="10"/>
      <c r="KYB248" s="57"/>
      <c r="KYC248" s="10"/>
      <c r="KYD248" s="57"/>
      <c r="KYE248" s="10"/>
      <c r="KYF248" s="57"/>
      <c r="KYG248" s="10"/>
      <c r="KYH248" s="57"/>
      <c r="KYI248" s="10"/>
      <c r="KYJ248" s="57"/>
      <c r="KYK248" s="10"/>
      <c r="KYL248" s="57"/>
      <c r="KYM248" s="10"/>
      <c r="KYN248" s="57"/>
      <c r="KYO248" s="10"/>
      <c r="KYP248" s="57"/>
      <c r="KYQ248" s="10"/>
      <c r="KYR248" s="57"/>
      <c r="KYS248" s="10"/>
      <c r="KYT248" s="57"/>
      <c r="KYU248" s="10"/>
      <c r="KYV248" s="57"/>
      <c r="KYW248" s="10"/>
      <c r="KYX248" s="57"/>
      <c r="KYY248" s="10"/>
      <c r="KYZ248" s="57"/>
      <c r="KZA248" s="10"/>
      <c r="KZB248" s="57"/>
      <c r="KZC248" s="10"/>
      <c r="KZD248" s="57"/>
      <c r="KZE248" s="10"/>
      <c r="KZF248" s="57"/>
      <c r="KZG248" s="10"/>
      <c r="KZH248" s="57"/>
      <c r="KZI248" s="10"/>
      <c r="KZJ248" s="57"/>
      <c r="KZK248" s="10"/>
      <c r="KZL248" s="57"/>
      <c r="KZM248" s="10"/>
      <c r="KZN248" s="57"/>
      <c r="KZO248" s="10"/>
      <c r="KZP248" s="57"/>
      <c r="KZQ248" s="10"/>
      <c r="KZR248" s="57"/>
      <c r="KZS248" s="10"/>
      <c r="KZT248" s="57"/>
      <c r="KZU248" s="10"/>
      <c r="KZV248" s="57"/>
      <c r="KZW248" s="10"/>
      <c r="KZX248" s="57"/>
      <c r="KZY248" s="10"/>
      <c r="KZZ248" s="57"/>
      <c r="LAA248" s="10"/>
      <c r="LAB248" s="57"/>
      <c r="LAC248" s="10"/>
      <c r="LAD248" s="57"/>
      <c r="LAE248" s="10"/>
      <c r="LAF248" s="57"/>
      <c r="LAG248" s="10"/>
      <c r="LAH248" s="57"/>
      <c r="LAI248" s="10"/>
      <c r="LAJ248" s="57"/>
      <c r="LAK248" s="10"/>
      <c r="LAL248" s="57"/>
      <c r="LAM248" s="10"/>
      <c r="LAN248" s="57"/>
      <c r="LAO248" s="10"/>
      <c r="LAP248" s="57"/>
      <c r="LAQ248" s="10"/>
      <c r="LAR248" s="57"/>
      <c r="LAS248" s="10"/>
      <c r="LAT248" s="57"/>
      <c r="LAU248" s="10"/>
      <c r="LAV248" s="57"/>
      <c r="LAW248" s="10"/>
      <c r="LAX248" s="57"/>
      <c r="LAY248" s="10"/>
      <c r="LAZ248" s="57"/>
      <c r="LBA248" s="10"/>
      <c r="LBB248" s="57"/>
      <c r="LBC248" s="10"/>
      <c r="LBD248" s="57"/>
      <c r="LBE248" s="10"/>
      <c r="LBF248" s="57"/>
      <c r="LBG248" s="10"/>
      <c r="LBH248" s="57"/>
      <c r="LBI248" s="10"/>
      <c r="LBJ248" s="57"/>
      <c r="LBK248" s="10"/>
      <c r="LBL248" s="57"/>
      <c r="LBM248" s="10"/>
      <c r="LBN248" s="57"/>
      <c r="LBO248" s="10"/>
      <c r="LBP248" s="57"/>
      <c r="LBQ248" s="10"/>
      <c r="LBR248" s="57"/>
      <c r="LBS248" s="10"/>
      <c r="LBT248" s="57"/>
      <c r="LBU248" s="10"/>
      <c r="LBV248" s="57"/>
      <c r="LBW248" s="10"/>
      <c r="LBX248" s="57"/>
      <c r="LBY248" s="10"/>
      <c r="LBZ248" s="57"/>
      <c r="LCA248" s="10"/>
      <c r="LCB248" s="57"/>
      <c r="LCC248" s="10"/>
      <c r="LCD248" s="57"/>
      <c r="LCE248" s="10"/>
      <c r="LCF248" s="57"/>
      <c r="LCG248" s="10"/>
      <c r="LCH248" s="57"/>
      <c r="LCI248" s="10"/>
      <c r="LCJ248" s="57"/>
      <c r="LCK248" s="10"/>
      <c r="LCL248" s="57"/>
      <c r="LCM248" s="10"/>
      <c r="LCN248" s="57"/>
      <c r="LCO248" s="10"/>
      <c r="LCP248" s="57"/>
      <c r="LCQ248" s="10"/>
      <c r="LCR248" s="57"/>
      <c r="LCS248" s="10"/>
      <c r="LCT248" s="57"/>
      <c r="LCU248" s="10"/>
      <c r="LCV248" s="57"/>
      <c r="LCW248" s="10"/>
      <c r="LCX248" s="57"/>
      <c r="LCY248" s="10"/>
      <c r="LCZ248" s="57"/>
      <c r="LDA248" s="10"/>
      <c r="LDB248" s="57"/>
      <c r="LDC248" s="10"/>
      <c r="LDD248" s="57"/>
      <c r="LDE248" s="10"/>
      <c r="LDF248" s="57"/>
      <c r="LDG248" s="10"/>
      <c r="LDH248" s="57"/>
      <c r="LDI248" s="10"/>
      <c r="LDJ248" s="57"/>
      <c r="LDK248" s="10"/>
      <c r="LDL248" s="57"/>
      <c r="LDM248" s="10"/>
      <c r="LDN248" s="57"/>
      <c r="LDO248" s="10"/>
      <c r="LDP248" s="57"/>
      <c r="LDQ248" s="10"/>
      <c r="LDR248" s="57"/>
      <c r="LDS248" s="10"/>
      <c r="LDT248" s="57"/>
      <c r="LDU248" s="10"/>
      <c r="LDV248" s="57"/>
      <c r="LDW248" s="10"/>
      <c r="LDX248" s="57"/>
      <c r="LDY248" s="10"/>
      <c r="LDZ248" s="57"/>
      <c r="LEA248" s="10"/>
      <c r="LEB248" s="57"/>
      <c r="LEC248" s="10"/>
      <c r="LED248" s="57"/>
      <c r="LEE248" s="10"/>
      <c r="LEF248" s="57"/>
      <c r="LEG248" s="10"/>
      <c r="LEH248" s="57"/>
      <c r="LEI248" s="10"/>
      <c r="LEJ248" s="57"/>
      <c r="LEK248" s="10"/>
      <c r="LEL248" s="57"/>
      <c r="LEM248" s="10"/>
      <c r="LEN248" s="57"/>
      <c r="LEO248" s="10"/>
      <c r="LEP248" s="57"/>
      <c r="LEQ248" s="10"/>
      <c r="LER248" s="57"/>
      <c r="LES248" s="10"/>
      <c r="LET248" s="57"/>
      <c r="LEU248" s="10"/>
      <c r="LEV248" s="57"/>
      <c r="LEW248" s="10"/>
      <c r="LEX248" s="57"/>
      <c r="LEY248" s="10"/>
      <c r="LEZ248" s="57"/>
      <c r="LFA248" s="10"/>
      <c r="LFB248" s="57"/>
      <c r="LFC248" s="10"/>
      <c r="LFD248" s="57"/>
      <c r="LFE248" s="10"/>
      <c r="LFF248" s="57"/>
      <c r="LFG248" s="10"/>
      <c r="LFH248" s="57"/>
      <c r="LFI248" s="10"/>
      <c r="LFJ248" s="57"/>
      <c r="LFK248" s="10"/>
      <c r="LFL248" s="57"/>
      <c r="LFM248" s="10"/>
      <c r="LFN248" s="57"/>
      <c r="LFO248" s="10"/>
      <c r="LFP248" s="57"/>
      <c r="LFQ248" s="10"/>
      <c r="LFR248" s="57"/>
      <c r="LFS248" s="10"/>
      <c r="LFT248" s="57"/>
      <c r="LFU248" s="10"/>
      <c r="LFV248" s="57"/>
      <c r="LFW248" s="10"/>
      <c r="LFX248" s="57"/>
      <c r="LFY248" s="10"/>
      <c r="LFZ248" s="57"/>
      <c r="LGA248" s="10"/>
      <c r="LGB248" s="57"/>
      <c r="LGC248" s="10"/>
      <c r="LGD248" s="57"/>
      <c r="LGE248" s="10"/>
      <c r="LGF248" s="57"/>
      <c r="LGG248" s="10"/>
      <c r="LGH248" s="57"/>
      <c r="LGI248" s="10"/>
      <c r="LGJ248" s="57"/>
      <c r="LGK248" s="10"/>
      <c r="LGL248" s="57"/>
      <c r="LGM248" s="10"/>
      <c r="LGN248" s="57"/>
      <c r="LGO248" s="10"/>
      <c r="LGP248" s="57"/>
      <c r="LGQ248" s="10"/>
      <c r="LGR248" s="57"/>
      <c r="LGS248" s="10"/>
      <c r="LGT248" s="57"/>
      <c r="LGU248" s="10"/>
      <c r="LGV248" s="57"/>
      <c r="LGW248" s="10"/>
      <c r="LGX248" s="57"/>
      <c r="LGY248" s="10"/>
      <c r="LGZ248" s="57"/>
      <c r="LHA248" s="10"/>
      <c r="LHB248" s="57"/>
      <c r="LHC248" s="10"/>
      <c r="LHD248" s="57"/>
      <c r="LHE248" s="10"/>
      <c r="LHF248" s="57"/>
      <c r="LHG248" s="10"/>
      <c r="LHH248" s="57"/>
      <c r="LHI248" s="10"/>
      <c r="LHJ248" s="57"/>
      <c r="LHK248" s="10"/>
      <c r="LHL248" s="57"/>
      <c r="LHM248" s="10"/>
      <c r="LHN248" s="57"/>
      <c r="LHO248" s="10"/>
      <c r="LHP248" s="57"/>
      <c r="LHQ248" s="10"/>
      <c r="LHR248" s="57"/>
      <c r="LHS248" s="10"/>
      <c r="LHT248" s="57"/>
      <c r="LHU248" s="10"/>
      <c r="LHV248" s="57"/>
      <c r="LHW248" s="10"/>
      <c r="LHX248" s="57"/>
      <c r="LHY248" s="10"/>
      <c r="LHZ248" s="57"/>
      <c r="LIA248" s="10"/>
      <c r="LIB248" s="57"/>
      <c r="LIC248" s="10"/>
      <c r="LID248" s="57"/>
      <c r="LIE248" s="10"/>
      <c r="LIF248" s="57"/>
      <c r="LIG248" s="10"/>
      <c r="LIH248" s="57"/>
      <c r="LII248" s="10"/>
      <c r="LIJ248" s="57"/>
      <c r="LIK248" s="10"/>
      <c r="LIL248" s="57"/>
      <c r="LIM248" s="10"/>
      <c r="LIN248" s="57"/>
      <c r="LIO248" s="10"/>
      <c r="LIP248" s="57"/>
      <c r="LIQ248" s="10"/>
      <c r="LIR248" s="57"/>
      <c r="LIS248" s="10"/>
      <c r="LIT248" s="57"/>
      <c r="LIU248" s="10"/>
      <c r="LIV248" s="57"/>
      <c r="LIW248" s="10"/>
      <c r="LIX248" s="57"/>
      <c r="LIY248" s="10"/>
      <c r="LIZ248" s="57"/>
      <c r="LJA248" s="10"/>
      <c r="LJB248" s="57"/>
      <c r="LJC248" s="10"/>
      <c r="LJD248" s="57"/>
      <c r="LJE248" s="10"/>
      <c r="LJF248" s="57"/>
      <c r="LJG248" s="10"/>
      <c r="LJH248" s="57"/>
      <c r="LJI248" s="10"/>
      <c r="LJJ248" s="57"/>
      <c r="LJK248" s="10"/>
      <c r="LJL248" s="57"/>
      <c r="LJM248" s="10"/>
      <c r="LJN248" s="57"/>
      <c r="LJO248" s="10"/>
      <c r="LJP248" s="57"/>
      <c r="LJQ248" s="10"/>
      <c r="LJR248" s="57"/>
      <c r="LJS248" s="10"/>
      <c r="LJT248" s="57"/>
      <c r="LJU248" s="10"/>
      <c r="LJV248" s="57"/>
      <c r="LJW248" s="10"/>
      <c r="LJX248" s="57"/>
      <c r="LJY248" s="10"/>
      <c r="LJZ248" s="57"/>
      <c r="LKA248" s="10"/>
      <c r="LKB248" s="57"/>
      <c r="LKC248" s="10"/>
      <c r="LKD248" s="57"/>
      <c r="LKE248" s="10"/>
      <c r="LKF248" s="57"/>
      <c r="LKG248" s="10"/>
      <c r="LKH248" s="57"/>
      <c r="LKI248" s="10"/>
      <c r="LKJ248" s="57"/>
      <c r="LKK248" s="10"/>
      <c r="LKL248" s="57"/>
      <c r="LKM248" s="10"/>
      <c r="LKN248" s="57"/>
      <c r="LKO248" s="10"/>
      <c r="LKP248" s="57"/>
      <c r="LKQ248" s="10"/>
      <c r="LKR248" s="57"/>
      <c r="LKS248" s="10"/>
      <c r="LKT248" s="57"/>
      <c r="LKU248" s="10"/>
      <c r="LKV248" s="57"/>
      <c r="LKW248" s="10"/>
      <c r="LKX248" s="57"/>
      <c r="LKY248" s="10"/>
      <c r="LKZ248" s="57"/>
      <c r="LLA248" s="10"/>
      <c r="LLB248" s="57"/>
      <c r="LLC248" s="10"/>
      <c r="LLD248" s="57"/>
      <c r="LLE248" s="10"/>
      <c r="LLF248" s="57"/>
      <c r="LLG248" s="10"/>
      <c r="LLH248" s="57"/>
      <c r="LLI248" s="10"/>
      <c r="LLJ248" s="57"/>
      <c r="LLK248" s="10"/>
      <c r="LLL248" s="57"/>
      <c r="LLM248" s="10"/>
      <c r="LLN248" s="57"/>
      <c r="LLO248" s="10"/>
      <c r="LLP248" s="57"/>
      <c r="LLQ248" s="10"/>
      <c r="LLR248" s="57"/>
      <c r="LLS248" s="10"/>
      <c r="LLT248" s="57"/>
      <c r="LLU248" s="10"/>
      <c r="LLV248" s="57"/>
      <c r="LLW248" s="10"/>
      <c r="LLX248" s="57"/>
      <c r="LLY248" s="10"/>
      <c r="LLZ248" s="57"/>
      <c r="LMA248" s="10"/>
      <c r="LMB248" s="57"/>
      <c r="LMC248" s="10"/>
      <c r="LMD248" s="57"/>
      <c r="LME248" s="10"/>
      <c r="LMF248" s="57"/>
      <c r="LMG248" s="10"/>
      <c r="LMH248" s="57"/>
      <c r="LMI248" s="10"/>
      <c r="LMJ248" s="57"/>
      <c r="LMK248" s="10"/>
      <c r="LML248" s="57"/>
      <c r="LMM248" s="10"/>
      <c r="LMN248" s="57"/>
      <c r="LMO248" s="10"/>
      <c r="LMP248" s="57"/>
      <c r="LMQ248" s="10"/>
      <c r="LMR248" s="57"/>
      <c r="LMS248" s="10"/>
      <c r="LMT248" s="57"/>
      <c r="LMU248" s="10"/>
      <c r="LMV248" s="57"/>
      <c r="LMW248" s="10"/>
      <c r="LMX248" s="57"/>
      <c r="LMY248" s="10"/>
      <c r="LMZ248" s="57"/>
      <c r="LNA248" s="10"/>
      <c r="LNB248" s="57"/>
      <c r="LNC248" s="10"/>
      <c r="LND248" s="57"/>
      <c r="LNE248" s="10"/>
      <c r="LNF248" s="57"/>
      <c r="LNG248" s="10"/>
      <c r="LNH248" s="57"/>
      <c r="LNI248" s="10"/>
      <c r="LNJ248" s="57"/>
      <c r="LNK248" s="10"/>
      <c r="LNL248" s="57"/>
      <c r="LNM248" s="10"/>
      <c r="LNN248" s="57"/>
      <c r="LNO248" s="10"/>
      <c r="LNP248" s="57"/>
      <c r="LNQ248" s="10"/>
      <c r="LNR248" s="57"/>
      <c r="LNS248" s="10"/>
      <c r="LNT248" s="57"/>
      <c r="LNU248" s="10"/>
      <c r="LNV248" s="57"/>
      <c r="LNW248" s="10"/>
      <c r="LNX248" s="57"/>
      <c r="LNY248" s="10"/>
      <c r="LNZ248" s="57"/>
      <c r="LOA248" s="10"/>
      <c r="LOB248" s="57"/>
      <c r="LOC248" s="10"/>
      <c r="LOD248" s="57"/>
      <c r="LOE248" s="10"/>
      <c r="LOF248" s="57"/>
      <c r="LOG248" s="10"/>
      <c r="LOH248" s="57"/>
      <c r="LOI248" s="10"/>
      <c r="LOJ248" s="57"/>
      <c r="LOK248" s="10"/>
      <c r="LOL248" s="57"/>
      <c r="LOM248" s="10"/>
      <c r="LON248" s="57"/>
      <c r="LOO248" s="10"/>
      <c r="LOP248" s="57"/>
      <c r="LOQ248" s="10"/>
      <c r="LOR248" s="57"/>
      <c r="LOS248" s="10"/>
      <c r="LOT248" s="57"/>
      <c r="LOU248" s="10"/>
      <c r="LOV248" s="57"/>
      <c r="LOW248" s="10"/>
      <c r="LOX248" s="57"/>
      <c r="LOY248" s="10"/>
      <c r="LOZ248" s="57"/>
      <c r="LPA248" s="10"/>
      <c r="LPB248" s="57"/>
      <c r="LPC248" s="10"/>
      <c r="LPD248" s="57"/>
      <c r="LPE248" s="10"/>
      <c r="LPF248" s="57"/>
      <c r="LPG248" s="10"/>
      <c r="LPH248" s="57"/>
      <c r="LPI248" s="10"/>
      <c r="LPJ248" s="57"/>
      <c r="LPK248" s="10"/>
      <c r="LPL248" s="57"/>
      <c r="LPM248" s="10"/>
      <c r="LPN248" s="57"/>
      <c r="LPO248" s="10"/>
      <c r="LPP248" s="57"/>
      <c r="LPQ248" s="10"/>
      <c r="LPR248" s="57"/>
      <c r="LPS248" s="10"/>
      <c r="LPT248" s="57"/>
      <c r="LPU248" s="10"/>
      <c r="LPV248" s="57"/>
      <c r="LPW248" s="10"/>
      <c r="LPX248" s="57"/>
      <c r="LPY248" s="10"/>
      <c r="LPZ248" s="57"/>
      <c r="LQA248" s="10"/>
      <c r="LQB248" s="57"/>
      <c r="LQC248" s="10"/>
      <c r="LQD248" s="57"/>
      <c r="LQE248" s="10"/>
      <c r="LQF248" s="57"/>
      <c r="LQG248" s="10"/>
      <c r="LQH248" s="57"/>
      <c r="LQI248" s="10"/>
      <c r="LQJ248" s="57"/>
      <c r="LQK248" s="10"/>
      <c r="LQL248" s="57"/>
      <c r="LQM248" s="10"/>
      <c r="LQN248" s="57"/>
      <c r="LQO248" s="10"/>
      <c r="LQP248" s="57"/>
      <c r="LQQ248" s="10"/>
      <c r="LQR248" s="57"/>
      <c r="LQS248" s="10"/>
      <c r="LQT248" s="57"/>
      <c r="LQU248" s="10"/>
      <c r="LQV248" s="57"/>
      <c r="LQW248" s="10"/>
      <c r="LQX248" s="57"/>
      <c r="LQY248" s="10"/>
      <c r="LQZ248" s="57"/>
      <c r="LRA248" s="10"/>
      <c r="LRB248" s="57"/>
      <c r="LRC248" s="10"/>
      <c r="LRD248" s="57"/>
      <c r="LRE248" s="10"/>
      <c r="LRF248" s="57"/>
      <c r="LRG248" s="10"/>
      <c r="LRH248" s="57"/>
      <c r="LRI248" s="10"/>
      <c r="LRJ248" s="57"/>
      <c r="LRK248" s="10"/>
      <c r="LRL248" s="57"/>
      <c r="LRM248" s="10"/>
      <c r="LRN248" s="57"/>
      <c r="LRO248" s="10"/>
      <c r="LRP248" s="57"/>
      <c r="LRQ248" s="10"/>
      <c r="LRR248" s="57"/>
      <c r="LRS248" s="10"/>
      <c r="LRT248" s="57"/>
      <c r="LRU248" s="10"/>
      <c r="LRV248" s="57"/>
      <c r="LRW248" s="10"/>
      <c r="LRX248" s="57"/>
      <c r="LRY248" s="10"/>
      <c r="LRZ248" s="57"/>
      <c r="LSA248" s="10"/>
      <c r="LSB248" s="57"/>
      <c r="LSC248" s="10"/>
      <c r="LSD248" s="57"/>
      <c r="LSE248" s="10"/>
      <c r="LSF248" s="57"/>
      <c r="LSG248" s="10"/>
      <c r="LSH248" s="57"/>
      <c r="LSI248" s="10"/>
      <c r="LSJ248" s="57"/>
      <c r="LSK248" s="10"/>
      <c r="LSL248" s="57"/>
      <c r="LSM248" s="10"/>
      <c r="LSN248" s="57"/>
      <c r="LSO248" s="10"/>
      <c r="LSP248" s="57"/>
      <c r="LSQ248" s="10"/>
      <c r="LSR248" s="57"/>
      <c r="LSS248" s="10"/>
      <c r="LST248" s="57"/>
      <c r="LSU248" s="10"/>
      <c r="LSV248" s="57"/>
      <c r="LSW248" s="10"/>
      <c r="LSX248" s="57"/>
      <c r="LSY248" s="10"/>
      <c r="LSZ248" s="57"/>
      <c r="LTA248" s="10"/>
      <c r="LTB248" s="57"/>
      <c r="LTC248" s="10"/>
      <c r="LTD248" s="57"/>
      <c r="LTE248" s="10"/>
      <c r="LTF248" s="57"/>
      <c r="LTG248" s="10"/>
      <c r="LTH248" s="57"/>
      <c r="LTI248" s="10"/>
      <c r="LTJ248" s="57"/>
      <c r="LTK248" s="10"/>
      <c r="LTL248" s="57"/>
      <c r="LTM248" s="10"/>
      <c r="LTN248" s="57"/>
      <c r="LTO248" s="10"/>
      <c r="LTP248" s="57"/>
      <c r="LTQ248" s="10"/>
      <c r="LTR248" s="57"/>
      <c r="LTS248" s="10"/>
      <c r="LTT248" s="57"/>
      <c r="LTU248" s="10"/>
      <c r="LTV248" s="57"/>
      <c r="LTW248" s="10"/>
      <c r="LTX248" s="57"/>
      <c r="LTY248" s="10"/>
      <c r="LTZ248" s="57"/>
      <c r="LUA248" s="10"/>
      <c r="LUB248" s="57"/>
      <c r="LUC248" s="10"/>
      <c r="LUD248" s="57"/>
      <c r="LUE248" s="10"/>
      <c r="LUF248" s="57"/>
      <c r="LUG248" s="10"/>
      <c r="LUH248" s="57"/>
      <c r="LUI248" s="10"/>
      <c r="LUJ248" s="57"/>
      <c r="LUK248" s="10"/>
      <c r="LUL248" s="57"/>
      <c r="LUM248" s="10"/>
      <c r="LUN248" s="57"/>
      <c r="LUO248" s="10"/>
      <c r="LUP248" s="57"/>
      <c r="LUQ248" s="10"/>
      <c r="LUR248" s="57"/>
      <c r="LUS248" s="10"/>
      <c r="LUT248" s="57"/>
      <c r="LUU248" s="10"/>
      <c r="LUV248" s="57"/>
      <c r="LUW248" s="10"/>
      <c r="LUX248" s="57"/>
      <c r="LUY248" s="10"/>
      <c r="LUZ248" s="57"/>
      <c r="LVA248" s="10"/>
      <c r="LVB248" s="57"/>
      <c r="LVC248" s="10"/>
      <c r="LVD248" s="57"/>
      <c r="LVE248" s="10"/>
      <c r="LVF248" s="57"/>
      <c r="LVG248" s="10"/>
      <c r="LVH248" s="57"/>
      <c r="LVI248" s="10"/>
      <c r="LVJ248" s="57"/>
      <c r="LVK248" s="10"/>
      <c r="LVL248" s="57"/>
      <c r="LVM248" s="10"/>
      <c r="LVN248" s="57"/>
      <c r="LVO248" s="10"/>
      <c r="LVP248" s="57"/>
      <c r="LVQ248" s="10"/>
      <c r="LVR248" s="57"/>
      <c r="LVS248" s="10"/>
      <c r="LVT248" s="57"/>
      <c r="LVU248" s="10"/>
      <c r="LVV248" s="57"/>
      <c r="LVW248" s="10"/>
      <c r="LVX248" s="57"/>
      <c r="LVY248" s="10"/>
      <c r="LVZ248" s="57"/>
      <c r="LWA248" s="10"/>
      <c r="LWB248" s="57"/>
      <c r="LWC248" s="10"/>
      <c r="LWD248" s="57"/>
      <c r="LWE248" s="10"/>
      <c r="LWF248" s="57"/>
      <c r="LWG248" s="10"/>
      <c r="LWH248" s="57"/>
      <c r="LWI248" s="10"/>
      <c r="LWJ248" s="57"/>
      <c r="LWK248" s="10"/>
      <c r="LWL248" s="57"/>
      <c r="LWM248" s="10"/>
      <c r="LWN248" s="57"/>
      <c r="LWO248" s="10"/>
      <c r="LWP248" s="57"/>
      <c r="LWQ248" s="10"/>
      <c r="LWR248" s="57"/>
      <c r="LWS248" s="10"/>
      <c r="LWT248" s="57"/>
      <c r="LWU248" s="10"/>
      <c r="LWV248" s="57"/>
      <c r="LWW248" s="10"/>
      <c r="LWX248" s="57"/>
      <c r="LWY248" s="10"/>
      <c r="LWZ248" s="57"/>
      <c r="LXA248" s="10"/>
      <c r="LXB248" s="57"/>
      <c r="LXC248" s="10"/>
      <c r="LXD248" s="57"/>
      <c r="LXE248" s="10"/>
      <c r="LXF248" s="57"/>
      <c r="LXG248" s="10"/>
      <c r="LXH248" s="57"/>
      <c r="LXI248" s="10"/>
      <c r="LXJ248" s="57"/>
      <c r="LXK248" s="10"/>
      <c r="LXL248" s="57"/>
      <c r="LXM248" s="10"/>
      <c r="LXN248" s="57"/>
      <c r="LXO248" s="10"/>
      <c r="LXP248" s="57"/>
      <c r="LXQ248" s="10"/>
      <c r="LXR248" s="57"/>
      <c r="LXS248" s="10"/>
      <c r="LXT248" s="57"/>
      <c r="LXU248" s="10"/>
      <c r="LXV248" s="57"/>
      <c r="LXW248" s="10"/>
      <c r="LXX248" s="57"/>
      <c r="LXY248" s="10"/>
      <c r="LXZ248" s="57"/>
      <c r="LYA248" s="10"/>
      <c r="LYB248" s="57"/>
      <c r="LYC248" s="10"/>
      <c r="LYD248" s="57"/>
      <c r="LYE248" s="10"/>
      <c r="LYF248" s="57"/>
      <c r="LYG248" s="10"/>
      <c r="LYH248" s="57"/>
      <c r="LYI248" s="10"/>
      <c r="LYJ248" s="57"/>
      <c r="LYK248" s="10"/>
      <c r="LYL248" s="57"/>
      <c r="LYM248" s="10"/>
      <c r="LYN248" s="57"/>
      <c r="LYO248" s="10"/>
      <c r="LYP248" s="57"/>
      <c r="LYQ248" s="10"/>
      <c r="LYR248" s="57"/>
      <c r="LYS248" s="10"/>
      <c r="LYT248" s="57"/>
      <c r="LYU248" s="10"/>
      <c r="LYV248" s="57"/>
      <c r="LYW248" s="10"/>
      <c r="LYX248" s="57"/>
      <c r="LYY248" s="10"/>
      <c r="LYZ248" s="57"/>
      <c r="LZA248" s="10"/>
      <c r="LZB248" s="57"/>
      <c r="LZC248" s="10"/>
      <c r="LZD248" s="57"/>
      <c r="LZE248" s="10"/>
      <c r="LZF248" s="57"/>
      <c r="LZG248" s="10"/>
      <c r="LZH248" s="57"/>
      <c r="LZI248" s="10"/>
      <c r="LZJ248" s="57"/>
      <c r="LZK248" s="10"/>
      <c r="LZL248" s="57"/>
      <c r="LZM248" s="10"/>
      <c r="LZN248" s="57"/>
      <c r="LZO248" s="10"/>
      <c r="LZP248" s="57"/>
      <c r="LZQ248" s="10"/>
      <c r="LZR248" s="57"/>
      <c r="LZS248" s="10"/>
      <c r="LZT248" s="57"/>
      <c r="LZU248" s="10"/>
      <c r="LZV248" s="57"/>
      <c r="LZW248" s="10"/>
      <c r="LZX248" s="57"/>
      <c r="LZY248" s="10"/>
      <c r="LZZ248" s="57"/>
      <c r="MAA248" s="10"/>
      <c r="MAB248" s="57"/>
      <c r="MAC248" s="10"/>
      <c r="MAD248" s="57"/>
      <c r="MAE248" s="10"/>
      <c r="MAF248" s="57"/>
      <c r="MAG248" s="10"/>
      <c r="MAH248" s="57"/>
      <c r="MAI248" s="10"/>
      <c r="MAJ248" s="57"/>
      <c r="MAK248" s="10"/>
      <c r="MAL248" s="57"/>
      <c r="MAM248" s="10"/>
      <c r="MAN248" s="57"/>
      <c r="MAO248" s="10"/>
      <c r="MAP248" s="57"/>
      <c r="MAQ248" s="10"/>
      <c r="MAR248" s="57"/>
      <c r="MAS248" s="10"/>
      <c r="MAT248" s="57"/>
      <c r="MAU248" s="10"/>
      <c r="MAV248" s="57"/>
      <c r="MAW248" s="10"/>
      <c r="MAX248" s="57"/>
      <c r="MAY248" s="10"/>
      <c r="MAZ248" s="57"/>
      <c r="MBA248" s="10"/>
      <c r="MBB248" s="57"/>
      <c r="MBC248" s="10"/>
      <c r="MBD248" s="57"/>
      <c r="MBE248" s="10"/>
      <c r="MBF248" s="57"/>
      <c r="MBG248" s="10"/>
      <c r="MBH248" s="57"/>
      <c r="MBI248" s="10"/>
      <c r="MBJ248" s="57"/>
      <c r="MBK248" s="10"/>
      <c r="MBL248" s="57"/>
      <c r="MBM248" s="10"/>
      <c r="MBN248" s="57"/>
      <c r="MBO248" s="10"/>
      <c r="MBP248" s="57"/>
      <c r="MBQ248" s="10"/>
      <c r="MBR248" s="57"/>
      <c r="MBS248" s="10"/>
      <c r="MBT248" s="57"/>
      <c r="MBU248" s="10"/>
      <c r="MBV248" s="57"/>
      <c r="MBW248" s="10"/>
      <c r="MBX248" s="57"/>
      <c r="MBY248" s="10"/>
      <c r="MBZ248" s="57"/>
      <c r="MCA248" s="10"/>
      <c r="MCB248" s="57"/>
      <c r="MCC248" s="10"/>
      <c r="MCD248" s="57"/>
      <c r="MCE248" s="10"/>
      <c r="MCF248" s="57"/>
      <c r="MCG248" s="10"/>
      <c r="MCH248" s="57"/>
      <c r="MCI248" s="10"/>
      <c r="MCJ248" s="57"/>
      <c r="MCK248" s="10"/>
      <c r="MCL248" s="57"/>
      <c r="MCM248" s="10"/>
      <c r="MCN248" s="57"/>
      <c r="MCO248" s="10"/>
      <c r="MCP248" s="57"/>
      <c r="MCQ248" s="10"/>
      <c r="MCR248" s="57"/>
      <c r="MCS248" s="10"/>
      <c r="MCT248" s="57"/>
      <c r="MCU248" s="10"/>
      <c r="MCV248" s="57"/>
      <c r="MCW248" s="10"/>
      <c r="MCX248" s="57"/>
      <c r="MCY248" s="10"/>
      <c r="MCZ248" s="57"/>
      <c r="MDA248" s="10"/>
      <c r="MDB248" s="57"/>
      <c r="MDC248" s="10"/>
      <c r="MDD248" s="57"/>
      <c r="MDE248" s="10"/>
      <c r="MDF248" s="57"/>
      <c r="MDG248" s="10"/>
      <c r="MDH248" s="57"/>
      <c r="MDI248" s="10"/>
      <c r="MDJ248" s="57"/>
      <c r="MDK248" s="10"/>
      <c r="MDL248" s="57"/>
      <c r="MDM248" s="10"/>
      <c r="MDN248" s="57"/>
      <c r="MDO248" s="10"/>
      <c r="MDP248" s="57"/>
      <c r="MDQ248" s="10"/>
      <c r="MDR248" s="57"/>
      <c r="MDS248" s="10"/>
      <c r="MDT248" s="57"/>
      <c r="MDU248" s="10"/>
      <c r="MDV248" s="57"/>
      <c r="MDW248" s="10"/>
      <c r="MDX248" s="57"/>
      <c r="MDY248" s="10"/>
      <c r="MDZ248" s="57"/>
      <c r="MEA248" s="10"/>
      <c r="MEB248" s="57"/>
      <c r="MEC248" s="10"/>
      <c r="MED248" s="57"/>
      <c r="MEE248" s="10"/>
      <c r="MEF248" s="57"/>
      <c r="MEG248" s="10"/>
      <c r="MEH248" s="57"/>
      <c r="MEI248" s="10"/>
      <c r="MEJ248" s="57"/>
      <c r="MEK248" s="10"/>
      <c r="MEL248" s="57"/>
      <c r="MEM248" s="10"/>
      <c r="MEN248" s="57"/>
      <c r="MEO248" s="10"/>
      <c r="MEP248" s="57"/>
      <c r="MEQ248" s="10"/>
      <c r="MER248" s="57"/>
      <c r="MES248" s="10"/>
      <c r="MET248" s="57"/>
      <c r="MEU248" s="10"/>
      <c r="MEV248" s="57"/>
      <c r="MEW248" s="10"/>
      <c r="MEX248" s="57"/>
      <c r="MEY248" s="10"/>
      <c r="MEZ248" s="57"/>
      <c r="MFA248" s="10"/>
      <c r="MFB248" s="57"/>
      <c r="MFC248" s="10"/>
      <c r="MFD248" s="57"/>
      <c r="MFE248" s="10"/>
      <c r="MFF248" s="57"/>
      <c r="MFG248" s="10"/>
      <c r="MFH248" s="57"/>
      <c r="MFI248" s="10"/>
      <c r="MFJ248" s="57"/>
      <c r="MFK248" s="10"/>
      <c r="MFL248" s="57"/>
      <c r="MFM248" s="10"/>
      <c r="MFN248" s="57"/>
      <c r="MFO248" s="10"/>
      <c r="MFP248" s="57"/>
      <c r="MFQ248" s="10"/>
      <c r="MFR248" s="57"/>
      <c r="MFS248" s="10"/>
      <c r="MFT248" s="57"/>
      <c r="MFU248" s="10"/>
      <c r="MFV248" s="57"/>
      <c r="MFW248" s="10"/>
      <c r="MFX248" s="57"/>
      <c r="MFY248" s="10"/>
      <c r="MFZ248" s="57"/>
      <c r="MGA248" s="10"/>
      <c r="MGB248" s="57"/>
      <c r="MGC248" s="10"/>
      <c r="MGD248" s="57"/>
      <c r="MGE248" s="10"/>
      <c r="MGF248" s="57"/>
      <c r="MGG248" s="10"/>
      <c r="MGH248" s="57"/>
      <c r="MGI248" s="10"/>
      <c r="MGJ248" s="57"/>
      <c r="MGK248" s="10"/>
      <c r="MGL248" s="57"/>
      <c r="MGM248" s="10"/>
      <c r="MGN248" s="57"/>
      <c r="MGO248" s="10"/>
      <c r="MGP248" s="57"/>
      <c r="MGQ248" s="10"/>
      <c r="MGR248" s="57"/>
      <c r="MGS248" s="10"/>
      <c r="MGT248" s="57"/>
      <c r="MGU248" s="10"/>
      <c r="MGV248" s="57"/>
      <c r="MGW248" s="10"/>
      <c r="MGX248" s="57"/>
      <c r="MGY248" s="10"/>
      <c r="MGZ248" s="57"/>
      <c r="MHA248" s="10"/>
      <c r="MHB248" s="57"/>
      <c r="MHC248" s="10"/>
      <c r="MHD248" s="57"/>
      <c r="MHE248" s="10"/>
      <c r="MHF248" s="57"/>
      <c r="MHG248" s="10"/>
      <c r="MHH248" s="57"/>
      <c r="MHI248" s="10"/>
      <c r="MHJ248" s="57"/>
      <c r="MHK248" s="10"/>
      <c r="MHL248" s="57"/>
      <c r="MHM248" s="10"/>
      <c r="MHN248" s="57"/>
      <c r="MHO248" s="10"/>
      <c r="MHP248" s="57"/>
      <c r="MHQ248" s="10"/>
      <c r="MHR248" s="57"/>
      <c r="MHS248" s="10"/>
      <c r="MHT248" s="57"/>
      <c r="MHU248" s="10"/>
      <c r="MHV248" s="57"/>
      <c r="MHW248" s="10"/>
      <c r="MHX248" s="57"/>
      <c r="MHY248" s="10"/>
      <c r="MHZ248" s="57"/>
      <c r="MIA248" s="10"/>
      <c r="MIB248" s="57"/>
      <c r="MIC248" s="10"/>
      <c r="MID248" s="57"/>
      <c r="MIE248" s="10"/>
      <c r="MIF248" s="57"/>
      <c r="MIG248" s="10"/>
      <c r="MIH248" s="57"/>
      <c r="MII248" s="10"/>
      <c r="MIJ248" s="57"/>
      <c r="MIK248" s="10"/>
      <c r="MIL248" s="57"/>
      <c r="MIM248" s="10"/>
      <c r="MIN248" s="57"/>
      <c r="MIO248" s="10"/>
      <c r="MIP248" s="57"/>
      <c r="MIQ248" s="10"/>
      <c r="MIR248" s="57"/>
      <c r="MIS248" s="10"/>
      <c r="MIT248" s="57"/>
      <c r="MIU248" s="10"/>
      <c r="MIV248" s="57"/>
      <c r="MIW248" s="10"/>
      <c r="MIX248" s="57"/>
      <c r="MIY248" s="10"/>
      <c r="MIZ248" s="57"/>
      <c r="MJA248" s="10"/>
      <c r="MJB248" s="57"/>
      <c r="MJC248" s="10"/>
      <c r="MJD248" s="57"/>
      <c r="MJE248" s="10"/>
      <c r="MJF248" s="57"/>
      <c r="MJG248" s="10"/>
      <c r="MJH248" s="57"/>
      <c r="MJI248" s="10"/>
      <c r="MJJ248" s="57"/>
      <c r="MJK248" s="10"/>
      <c r="MJL248" s="57"/>
      <c r="MJM248" s="10"/>
      <c r="MJN248" s="57"/>
      <c r="MJO248" s="10"/>
      <c r="MJP248" s="57"/>
      <c r="MJQ248" s="10"/>
      <c r="MJR248" s="57"/>
      <c r="MJS248" s="10"/>
      <c r="MJT248" s="57"/>
      <c r="MJU248" s="10"/>
      <c r="MJV248" s="57"/>
      <c r="MJW248" s="10"/>
      <c r="MJX248" s="57"/>
      <c r="MJY248" s="10"/>
      <c r="MJZ248" s="57"/>
      <c r="MKA248" s="10"/>
      <c r="MKB248" s="57"/>
      <c r="MKC248" s="10"/>
      <c r="MKD248" s="57"/>
      <c r="MKE248" s="10"/>
      <c r="MKF248" s="57"/>
      <c r="MKG248" s="10"/>
      <c r="MKH248" s="57"/>
      <c r="MKI248" s="10"/>
      <c r="MKJ248" s="57"/>
      <c r="MKK248" s="10"/>
      <c r="MKL248" s="57"/>
      <c r="MKM248" s="10"/>
      <c r="MKN248" s="57"/>
      <c r="MKO248" s="10"/>
      <c r="MKP248" s="57"/>
      <c r="MKQ248" s="10"/>
      <c r="MKR248" s="57"/>
      <c r="MKS248" s="10"/>
      <c r="MKT248" s="57"/>
      <c r="MKU248" s="10"/>
      <c r="MKV248" s="57"/>
      <c r="MKW248" s="10"/>
      <c r="MKX248" s="57"/>
      <c r="MKY248" s="10"/>
      <c r="MKZ248" s="57"/>
      <c r="MLA248" s="10"/>
      <c r="MLB248" s="57"/>
      <c r="MLC248" s="10"/>
      <c r="MLD248" s="57"/>
      <c r="MLE248" s="10"/>
      <c r="MLF248" s="57"/>
      <c r="MLG248" s="10"/>
      <c r="MLH248" s="57"/>
      <c r="MLI248" s="10"/>
      <c r="MLJ248" s="57"/>
      <c r="MLK248" s="10"/>
      <c r="MLL248" s="57"/>
      <c r="MLM248" s="10"/>
      <c r="MLN248" s="57"/>
      <c r="MLO248" s="10"/>
      <c r="MLP248" s="57"/>
      <c r="MLQ248" s="10"/>
      <c r="MLR248" s="57"/>
      <c r="MLS248" s="10"/>
      <c r="MLT248" s="57"/>
      <c r="MLU248" s="10"/>
      <c r="MLV248" s="57"/>
      <c r="MLW248" s="10"/>
      <c r="MLX248" s="57"/>
      <c r="MLY248" s="10"/>
      <c r="MLZ248" s="57"/>
      <c r="MMA248" s="10"/>
      <c r="MMB248" s="57"/>
      <c r="MMC248" s="10"/>
      <c r="MMD248" s="57"/>
      <c r="MME248" s="10"/>
      <c r="MMF248" s="57"/>
      <c r="MMG248" s="10"/>
      <c r="MMH248" s="57"/>
      <c r="MMI248" s="10"/>
      <c r="MMJ248" s="57"/>
      <c r="MMK248" s="10"/>
      <c r="MML248" s="57"/>
      <c r="MMM248" s="10"/>
      <c r="MMN248" s="57"/>
      <c r="MMO248" s="10"/>
      <c r="MMP248" s="57"/>
      <c r="MMQ248" s="10"/>
      <c r="MMR248" s="57"/>
      <c r="MMS248" s="10"/>
      <c r="MMT248" s="57"/>
      <c r="MMU248" s="10"/>
      <c r="MMV248" s="57"/>
      <c r="MMW248" s="10"/>
      <c r="MMX248" s="57"/>
      <c r="MMY248" s="10"/>
      <c r="MMZ248" s="57"/>
      <c r="MNA248" s="10"/>
      <c r="MNB248" s="57"/>
      <c r="MNC248" s="10"/>
      <c r="MND248" s="57"/>
      <c r="MNE248" s="10"/>
      <c r="MNF248" s="57"/>
      <c r="MNG248" s="10"/>
      <c r="MNH248" s="57"/>
      <c r="MNI248" s="10"/>
      <c r="MNJ248" s="57"/>
      <c r="MNK248" s="10"/>
      <c r="MNL248" s="57"/>
      <c r="MNM248" s="10"/>
      <c r="MNN248" s="57"/>
      <c r="MNO248" s="10"/>
      <c r="MNP248" s="57"/>
      <c r="MNQ248" s="10"/>
      <c r="MNR248" s="57"/>
      <c r="MNS248" s="10"/>
      <c r="MNT248" s="57"/>
      <c r="MNU248" s="10"/>
      <c r="MNV248" s="57"/>
      <c r="MNW248" s="10"/>
      <c r="MNX248" s="57"/>
      <c r="MNY248" s="10"/>
      <c r="MNZ248" s="57"/>
      <c r="MOA248" s="10"/>
      <c r="MOB248" s="57"/>
      <c r="MOC248" s="10"/>
      <c r="MOD248" s="57"/>
      <c r="MOE248" s="10"/>
      <c r="MOF248" s="57"/>
      <c r="MOG248" s="10"/>
      <c r="MOH248" s="57"/>
      <c r="MOI248" s="10"/>
      <c r="MOJ248" s="57"/>
      <c r="MOK248" s="10"/>
      <c r="MOL248" s="57"/>
      <c r="MOM248" s="10"/>
      <c r="MON248" s="57"/>
      <c r="MOO248" s="10"/>
      <c r="MOP248" s="57"/>
      <c r="MOQ248" s="10"/>
      <c r="MOR248" s="57"/>
      <c r="MOS248" s="10"/>
      <c r="MOT248" s="57"/>
      <c r="MOU248" s="10"/>
      <c r="MOV248" s="57"/>
      <c r="MOW248" s="10"/>
      <c r="MOX248" s="57"/>
      <c r="MOY248" s="10"/>
      <c r="MOZ248" s="57"/>
      <c r="MPA248" s="10"/>
      <c r="MPB248" s="57"/>
      <c r="MPC248" s="10"/>
      <c r="MPD248" s="57"/>
      <c r="MPE248" s="10"/>
      <c r="MPF248" s="57"/>
      <c r="MPG248" s="10"/>
      <c r="MPH248" s="57"/>
      <c r="MPI248" s="10"/>
      <c r="MPJ248" s="57"/>
      <c r="MPK248" s="10"/>
      <c r="MPL248" s="57"/>
      <c r="MPM248" s="10"/>
      <c r="MPN248" s="57"/>
      <c r="MPO248" s="10"/>
      <c r="MPP248" s="57"/>
      <c r="MPQ248" s="10"/>
      <c r="MPR248" s="57"/>
      <c r="MPS248" s="10"/>
      <c r="MPT248" s="57"/>
      <c r="MPU248" s="10"/>
      <c r="MPV248" s="57"/>
      <c r="MPW248" s="10"/>
      <c r="MPX248" s="57"/>
      <c r="MPY248" s="10"/>
      <c r="MPZ248" s="57"/>
      <c r="MQA248" s="10"/>
      <c r="MQB248" s="57"/>
      <c r="MQC248" s="10"/>
      <c r="MQD248" s="57"/>
      <c r="MQE248" s="10"/>
      <c r="MQF248" s="57"/>
      <c r="MQG248" s="10"/>
      <c r="MQH248" s="57"/>
      <c r="MQI248" s="10"/>
      <c r="MQJ248" s="57"/>
      <c r="MQK248" s="10"/>
      <c r="MQL248" s="57"/>
      <c r="MQM248" s="10"/>
      <c r="MQN248" s="57"/>
      <c r="MQO248" s="10"/>
      <c r="MQP248" s="57"/>
      <c r="MQQ248" s="10"/>
      <c r="MQR248" s="57"/>
      <c r="MQS248" s="10"/>
      <c r="MQT248" s="57"/>
      <c r="MQU248" s="10"/>
      <c r="MQV248" s="57"/>
      <c r="MQW248" s="10"/>
      <c r="MQX248" s="57"/>
      <c r="MQY248" s="10"/>
      <c r="MQZ248" s="57"/>
      <c r="MRA248" s="10"/>
      <c r="MRB248" s="57"/>
      <c r="MRC248" s="10"/>
      <c r="MRD248" s="57"/>
      <c r="MRE248" s="10"/>
      <c r="MRF248" s="57"/>
      <c r="MRG248" s="10"/>
      <c r="MRH248" s="57"/>
      <c r="MRI248" s="10"/>
      <c r="MRJ248" s="57"/>
      <c r="MRK248" s="10"/>
      <c r="MRL248" s="57"/>
      <c r="MRM248" s="10"/>
      <c r="MRN248" s="57"/>
      <c r="MRO248" s="10"/>
      <c r="MRP248" s="57"/>
      <c r="MRQ248" s="10"/>
      <c r="MRR248" s="57"/>
      <c r="MRS248" s="10"/>
      <c r="MRT248" s="57"/>
      <c r="MRU248" s="10"/>
      <c r="MRV248" s="57"/>
      <c r="MRW248" s="10"/>
      <c r="MRX248" s="57"/>
      <c r="MRY248" s="10"/>
      <c r="MRZ248" s="57"/>
      <c r="MSA248" s="10"/>
      <c r="MSB248" s="57"/>
      <c r="MSC248" s="10"/>
      <c r="MSD248" s="57"/>
      <c r="MSE248" s="10"/>
      <c r="MSF248" s="57"/>
      <c r="MSG248" s="10"/>
      <c r="MSH248" s="57"/>
      <c r="MSI248" s="10"/>
      <c r="MSJ248" s="57"/>
      <c r="MSK248" s="10"/>
      <c r="MSL248" s="57"/>
      <c r="MSM248" s="10"/>
      <c r="MSN248" s="57"/>
      <c r="MSO248" s="10"/>
      <c r="MSP248" s="57"/>
      <c r="MSQ248" s="10"/>
      <c r="MSR248" s="57"/>
      <c r="MSS248" s="10"/>
      <c r="MST248" s="57"/>
      <c r="MSU248" s="10"/>
      <c r="MSV248" s="57"/>
      <c r="MSW248" s="10"/>
      <c r="MSX248" s="57"/>
      <c r="MSY248" s="10"/>
      <c r="MSZ248" s="57"/>
      <c r="MTA248" s="10"/>
      <c r="MTB248" s="57"/>
      <c r="MTC248" s="10"/>
      <c r="MTD248" s="57"/>
      <c r="MTE248" s="10"/>
      <c r="MTF248" s="57"/>
      <c r="MTG248" s="10"/>
      <c r="MTH248" s="57"/>
      <c r="MTI248" s="10"/>
      <c r="MTJ248" s="57"/>
      <c r="MTK248" s="10"/>
      <c r="MTL248" s="57"/>
      <c r="MTM248" s="10"/>
      <c r="MTN248" s="57"/>
      <c r="MTO248" s="10"/>
      <c r="MTP248" s="57"/>
      <c r="MTQ248" s="10"/>
      <c r="MTR248" s="57"/>
      <c r="MTS248" s="10"/>
      <c r="MTT248" s="57"/>
      <c r="MTU248" s="10"/>
      <c r="MTV248" s="57"/>
      <c r="MTW248" s="10"/>
      <c r="MTX248" s="57"/>
      <c r="MTY248" s="10"/>
      <c r="MTZ248" s="57"/>
      <c r="MUA248" s="10"/>
      <c r="MUB248" s="57"/>
      <c r="MUC248" s="10"/>
      <c r="MUD248" s="57"/>
      <c r="MUE248" s="10"/>
      <c r="MUF248" s="57"/>
      <c r="MUG248" s="10"/>
      <c r="MUH248" s="57"/>
      <c r="MUI248" s="10"/>
      <c r="MUJ248" s="57"/>
      <c r="MUK248" s="10"/>
      <c r="MUL248" s="57"/>
      <c r="MUM248" s="10"/>
      <c r="MUN248" s="57"/>
      <c r="MUO248" s="10"/>
      <c r="MUP248" s="57"/>
      <c r="MUQ248" s="10"/>
      <c r="MUR248" s="57"/>
      <c r="MUS248" s="10"/>
      <c r="MUT248" s="57"/>
      <c r="MUU248" s="10"/>
      <c r="MUV248" s="57"/>
      <c r="MUW248" s="10"/>
      <c r="MUX248" s="57"/>
      <c r="MUY248" s="10"/>
      <c r="MUZ248" s="57"/>
      <c r="MVA248" s="10"/>
      <c r="MVB248" s="57"/>
      <c r="MVC248" s="10"/>
      <c r="MVD248" s="57"/>
      <c r="MVE248" s="10"/>
      <c r="MVF248" s="57"/>
      <c r="MVG248" s="10"/>
      <c r="MVH248" s="57"/>
      <c r="MVI248" s="10"/>
      <c r="MVJ248" s="57"/>
      <c r="MVK248" s="10"/>
      <c r="MVL248" s="57"/>
      <c r="MVM248" s="10"/>
      <c r="MVN248" s="57"/>
      <c r="MVO248" s="10"/>
      <c r="MVP248" s="57"/>
      <c r="MVQ248" s="10"/>
      <c r="MVR248" s="57"/>
      <c r="MVS248" s="10"/>
      <c r="MVT248" s="57"/>
      <c r="MVU248" s="10"/>
      <c r="MVV248" s="57"/>
      <c r="MVW248" s="10"/>
      <c r="MVX248" s="57"/>
      <c r="MVY248" s="10"/>
      <c r="MVZ248" s="57"/>
      <c r="MWA248" s="10"/>
      <c r="MWB248" s="57"/>
      <c r="MWC248" s="10"/>
      <c r="MWD248" s="57"/>
      <c r="MWE248" s="10"/>
      <c r="MWF248" s="57"/>
      <c r="MWG248" s="10"/>
      <c r="MWH248" s="57"/>
      <c r="MWI248" s="10"/>
      <c r="MWJ248" s="57"/>
      <c r="MWK248" s="10"/>
      <c r="MWL248" s="57"/>
      <c r="MWM248" s="10"/>
      <c r="MWN248" s="57"/>
      <c r="MWO248" s="10"/>
      <c r="MWP248" s="57"/>
      <c r="MWQ248" s="10"/>
      <c r="MWR248" s="57"/>
      <c r="MWS248" s="10"/>
      <c r="MWT248" s="57"/>
      <c r="MWU248" s="10"/>
      <c r="MWV248" s="57"/>
      <c r="MWW248" s="10"/>
      <c r="MWX248" s="57"/>
      <c r="MWY248" s="10"/>
      <c r="MWZ248" s="57"/>
      <c r="MXA248" s="10"/>
      <c r="MXB248" s="57"/>
      <c r="MXC248" s="10"/>
      <c r="MXD248" s="57"/>
      <c r="MXE248" s="10"/>
      <c r="MXF248" s="57"/>
      <c r="MXG248" s="10"/>
      <c r="MXH248" s="57"/>
      <c r="MXI248" s="10"/>
      <c r="MXJ248" s="57"/>
      <c r="MXK248" s="10"/>
      <c r="MXL248" s="57"/>
      <c r="MXM248" s="10"/>
      <c r="MXN248" s="57"/>
      <c r="MXO248" s="10"/>
      <c r="MXP248" s="57"/>
      <c r="MXQ248" s="10"/>
      <c r="MXR248" s="57"/>
      <c r="MXS248" s="10"/>
      <c r="MXT248" s="57"/>
      <c r="MXU248" s="10"/>
      <c r="MXV248" s="57"/>
      <c r="MXW248" s="10"/>
      <c r="MXX248" s="57"/>
      <c r="MXY248" s="10"/>
      <c r="MXZ248" s="57"/>
      <c r="MYA248" s="10"/>
      <c r="MYB248" s="57"/>
      <c r="MYC248" s="10"/>
      <c r="MYD248" s="57"/>
      <c r="MYE248" s="10"/>
      <c r="MYF248" s="57"/>
      <c r="MYG248" s="10"/>
      <c r="MYH248" s="57"/>
      <c r="MYI248" s="10"/>
      <c r="MYJ248" s="57"/>
      <c r="MYK248" s="10"/>
      <c r="MYL248" s="57"/>
      <c r="MYM248" s="10"/>
      <c r="MYN248" s="57"/>
      <c r="MYO248" s="10"/>
      <c r="MYP248" s="57"/>
      <c r="MYQ248" s="10"/>
      <c r="MYR248" s="57"/>
      <c r="MYS248" s="10"/>
      <c r="MYT248" s="57"/>
      <c r="MYU248" s="10"/>
      <c r="MYV248" s="57"/>
      <c r="MYW248" s="10"/>
      <c r="MYX248" s="57"/>
      <c r="MYY248" s="10"/>
      <c r="MYZ248" s="57"/>
      <c r="MZA248" s="10"/>
      <c r="MZB248" s="57"/>
      <c r="MZC248" s="10"/>
      <c r="MZD248" s="57"/>
      <c r="MZE248" s="10"/>
      <c r="MZF248" s="57"/>
      <c r="MZG248" s="10"/>
      <c r="MZH248" s="57"/>
      <c r="MZI248" s="10"/>
      <c r="MZJ248" s="57"/>
      <c r="MZK248" s="10"/>
      <c r="MZL248" s="57"/>
      <c r="MZM248" s="10"/>
      <c r="MZN248" s="57"/>
      <c r="MZO248" s="10"/>
      <c r="MZP248" s="57"/>
      <c r="MZQ248" s="10"/>
      <c r="MZR248" s="57"/>
      <c r="MZS248" s="10"/>
      <c r="MZT248" s="57"/>
      <c r="MZU248" s="10"/>
      <c r="MZV248" s="57"/>
      <c r="MZW248" s="10"/>
      <c r="MZX248" s="57"/>
      <c r="MZY248" s="10"/>
      <c r="MZZ248" s="57"/>
      <c r="NAA248" s="10"/>
      <c r="NAB248" s="57"/>
      <c r="NAC248" s="10"/>
      <c r="NAD248" s="57"/>
      <c r="NAE248" s="10"/>
      <c r="NAF248" s="57"/>
      <c r="NAG248" s="10"/>
      <c r="NAH248" s="57"/>
      <c r="NAI248" s="10"/>
      <c r="NAJ248" s="57"/>
      <c r="NAK248" s="10"/>
      <c r="NAL248" s="57"/>
      <c r="NAM248" s="10"/>
      <c r="NAN248" s="57"/>
      <c r="NAO248" s="10"/>
      <c r="NAP248" s="57"/>
      <c r="NAQ248" s="10"/>
      <c r="NAR248" s="57"/>
      <c r="NAS248" s="10"/>
      <c r="NAT248" s="57"/>
      <c r="NAU248" s="10"/>
      <c r="NAV248" s="57"/>
      <c r="NAW248" s="10"/>
      <c r="NAX248" s="57"/>
      <c r="NAY248" s="10"/>
      <c r="NAZ248" s="57"/>
      <c r="NBA248" s="10"/>
      <c r="NBB248" s="57"/>
      <c r="NBC248" s="10"/>
      <c r="NBD248" s="57"/>
      <c r="NBE248" s="10"/>
      <c r="NBF248" s="57"/>
      <c r="NBG248" s="10"/>
      <c r="NBH248" s="57"/>
      <c r="NBI248" s="10"/>
      <c r="NBJ248" s="57"/>
      <c r="NBK248" s="10"/>
      <c r="NBL248" s="57"/>
      <c r="NBM248" s="10"/>
      <c r="NBN248" s="57"/>
      <c r="NBO248" s="10"/>
      <c r="NBP248" s="57"/>
      <c r="NBQ248" s="10"/>
      <c r="NBR248" s="57"/>
      <c r="NBS248" s="10"/>
      <c r="NBT248" s="57"/>
      <c r="NBU248" s="10"/>
      <c r="NBV248" s="57"/>
      <c r="NBW248" s="10"/>
      <c r="NBX248" s="57"/>
      <c r="NBY248" s="10"/>
      <c r="NBZ248" s="57"/>
      <c r="NCA248" s="10"/>
      <c r="NCB248" s="57"/>
      <c r="NCC248" s="10"/>
      <c r="NCD248" s="57"/>
      <c r="NCE248" s="10"/>
      <c r="NCF248" s="57"/>
      <c r="NCG248" s="10"/>
      <c r="NCH248" s="57"/>
      <c r="NCI248" s="10"/>
      <c r="NCJ248" s="57"/>
      <c r="NCK248" s="10"/>
      <c r="NCL248" s="57"/>
      <c r="NCM248" s="10"/>
      <c r="NCN248" s="57"/>
      <c r="NCO248" s="10"/>
      <c r="NCP248" s="57"/>
      <c r="NCQ248" s="10"/>
      <c r="NCR248" s="57"/>
      <c r="NCS248" s="10"/>
      <c r="NCT248" s="57"/>
      <c r="NCU248" s="10"/>
      <c r="NCV248" s="57"/>
      <c r="NCW248" s="10"/>
      <c r="NCX248" s="57"/>
      <c r="NCY248" s="10"/>
      <c r="NCZ248" s="57"/>
      <c r="NDA248" s="10"/>
      <c r="NDB248" s="57"/>
      <c r="NDC248" s="10"/>
      <c r="NDD248" s="57"/>
      <c r="NDE248" s="10"/>
      <c r="NDF248" s="57"/>
      <c r="NDG248" s="10"/>
      <c r="NDH248" s="57"/>
      <c r="NDI248" s="10"/>
      <c r="NDJ248" s="57"/>
      <c r="NDK248" s="10"/>
      <c r="NDL248" s="57"/>
      <c r="NDM248" s="10"/>
      <c r="NDN248" s="57"/>
      <c r="NDO248" s="10"/>
      <c r="NDP248" s="57"/>
      <c r="NDQ248" s="10"/>
      <c r="NDR248" s="57"/>
      <c r="NDS248" s="10"/>
      <c r="NDT248" s="57"/>
      <c r="NDU248" s="10"/>
      <c r="NDV248" s="57"/>
      <c r="NDW248" s="10"/>
      <c r="NDX248" s="57"/>
      <c r="NDY248" s="10"/>
      <c r="NDZ248" s="57"/>
      <c r="NEA248" s="10"/>
      <c r="NEB248" s="57"/>
      <c r="NEC248" s="10"/>
      <c r="NED248" s="57"/>
      <c r="NEE248" s="10"/>
      <c r="NEF248" s="57"/>
      <c r="NEG248" s="10"/>
      <c r="NEH248" s="57"/>
      <c r="NEI248" s="10"/>
      <c r="NEJ248" s="57"/>
      <c r="NEK248" s="10"/>
      <c r="NEL248" s="57"/>
      <c r="NEM248" s="10"/>
      <c r="NEN248" s="57"/>
      <c r="NEO248" s="10"/>
      <c r="NEP248" s="57"/>
      <c r="NEQ248" s="10"/>
      <c r="NER248" s="57"/>
      <c r="NES248" s="10"/>
      <c r="NET248" s="57"/>
      <c r="NEU248" s="10"/>
      <c r="NEV248" s="57"/>
      <c r="NEW248" s="10"/>
      <c r="NEX248" s="57"/>
      <c r="NEY248" s="10"/>
      <c r="NEZ248" s="57"/>
      <c r="NFA248" s="10"/>
      <c r="NFB248" s="57"/>
      <c r="NFC248" s="10"/>
      <c r="NFD248" s="57"/>
      <c r="NFE248" s="10"/>
      <c r="NFF248" s="57"/>
      <c r="NFG248" s="10"/>
      <c r="NFH248" s="57"/>
      <c r="NFI248" s="10"/>
      <c r="NFJ248" s="57"/>
      <c r="NFK248" s="10"/>
      <c r="NFL248" s="57"/>
      <c r="NFM248" s="10"/>
      <c r="NFN248" s="57"/>
      <c r="NFO248" s="10"/>
      <c r="NFP248" s="57"/>
      <c r="NFQ248" s="10"/>
      <c r="NFR248" s="57"/>
      <c r="NFS248" s="10"/>
      <c r="NFT248" s="57"/>
      <c r="NFU248" s="10"/>
      <c r="NFV248" s="57"/>
      <c r="NFW248" s="10"/>
      <c r="NFX248" s="57"/>
      <c r="NFY248" s="10"/>
      <c r="NFZ248" s="57"/>
      <c r="NGA248" s="10"/>
      <c r="NGB248" s="57"/>
      <c r="NGC248" s="10"/>
      <c r="NGD248" s="57"/>
      <c r="NGE248" s="10"/>
      <c r="NGF248" s="57"/>
      <c r="NGG248" s="10"/>
      <c r="NGH248" s="57"/>
      <c r="NGI248" s="10"/>
      <c r="NGJ248" s="57"/>
      <c r="NGK248" s="10"/>
      <c r="NGL248" s="57"/>
      <c r="NGM248" s="10"/>
      <c r="NGN248" s="57"/>
      <c r="NGO248" s="10"/>
      <c r="NGP248" s="57"/>
      <c r="NGQ248" s="10"/>
      <c r="NGR248" s="57"/>
      <c r="NGS248" s="10"/>
      <c r="NGT248" s="57"/>
      <c r="NGU248" s="10"/>
      <c r="NGV248" s="57"/>
      <c r="NGW248" s="10"/>
      <c r="NGX248" s="57"/>
      <c r="NGY248" s="10"/>
      <c r="NGZ248" s="57"/>
      <c r="NHA248" s="10"/>
      <c r="NHB248" s="57"/>
      <c r="NHC248" s="10"/>
      <c r="NHD248" s="57"/>
      <c r="NHE248" s="10"/>
      <c r="NHF248" s="57"/>
      <c r="NHG248" s="10"/>
      <c r="NHH248" s="57"/>
      <c r="NHI248" s="10"/>
      <c r="NHJ248" s="57"/>
      <c r="NHK248" s="10"/>
      <c r="NHL248" s="57"/>
      <c r="NHM248" s="10"/>
      <c r="NHN248" s="57"/>
      <c r="NHO248" s="10"/>
      <c r="NHP248" s="57"/>
      <c r="NHQ248" s="10"/>
      <c r="NHR248" s="57"/>
      <c r="NHS248" s="10"/>
      <c r="NHT248" s="57"/>
      <c r="NHU248" s="10"/>
      <c r="NHV248" s="57"/>
      <c r="NHW248" s="10"/>
      <c r="NHX248" s="57"/>
      <c r="NHY248" s="10"/>
      <c r="NHZ248" s="57"/>
      <c r="NIA248" s="10"/>
      <c r="NIB248" s="57"/>
      <c r="NIC248" s="10"/>
      <c r="NID248" s="57"/>
      <c r="NIE248" s="10"/>
      <c r="NIF248" s="57"/>
      <c r="NIG248" s="10"/>
      <c r="NIH248" s="57"/>
      <c r="NII248" s="10"/>
      <c r="NIJ248" s="57"/>
      <c r="NIK248" s="10"/>
      <c r="NIL248" s="57"/>
      <c r="NIM248" s="10"/>
      <c r="NIN248" s="57"/>
      <c r="NIO248" s="10"/>
      <c r="NIP248" s="57"/>
      <c r="NIQ248" s="10"/>
      <c r="NIR248" s="57"/>
      <c r="NIS248" s="10"/>
      <c r="NIT248" s="57"/>
      <c r="NIU248" s="10"/>
      <c r="NIV248" s="57"/>
      <c r="NIW248" s="10"/>
      <c r="NIX248" s="57"/>
      <c r="NIY248" s="10"/>
      <c r="NIZ248" s="57"/>
      <c r="NJA248" s="10"/>
      <c r="NJB248" s="57"/>
      <c r="NJC248" s="10"/>
      <c r="NJD248" s="57"/>
      <c r="NJE248" s="10"/>
      <c r="NJF248" s="57"/>
      <c r="NJG248" s="10"/>
      <c r="NJH248" s="57"/>
      <c r="NJI248" s="10"/>
      <c r="NJJ248" s="57"/>
      <c r="NJK248" s="10"/>
      <c r="NJL248" s="57"/>
      <c r="NJM248" s="10"/>
      <c r="NJN248" s="57"/>
      <c r="NJO248" s="10"/>
      <c r="NJP248" s="57"/>
      <c r="NJQ248" s="10"/>
      <c r="NJR248" s="57"/>
      <c r="NJS248" s="10"/>
      <c r="NJT248" s="57"/>
      <c r="NJU248" s="10"/>
      <c r="NJV248" s="57"/>
      <c r="NJW248" s="10"/>
      <c r="NJX248" s="57"/>
      <c r="NJY248" s="10"/>
      <c r="NJZ248" s="57"/>
      <c r="NKA248" s="10"/>
      <c r="NKB248" s="57"/>
      <c r="NKC248" s="10"/>
      <c r="NKD248" s="57"/>
      <c r="NKE248" s="10"/>
      <c r="NKF248" s="57"/>
      <c r="NKG248" s="10"/>
      <c r="NKH248" s="57"/>
      <c r="NKI248" s="10"/>
      <c r="NKJ248" s="57"/>
      <c r="NKK248" s="10"/>
      <c r="NKL248" s="57"/>
      <c r="NKM248" s="10"/>
      <c r="NKN248" s="57"/>
      <c r="NKO248" s="10"/>
      <c r="NKP248" s="57"/>
      <c r="NKQ248" s="10"/>
      <c r="NKR248" s="57"/>
      <c r="NKS248" s="10"/>
      <c r="NKT248" s="57"/>
      <c r="NKU248" s="10"/>
      <c r="NKV248" s="57"/>
      <c r="NKW248" s="10"/>
      <c r="NKX248" s="57"/>
      <c r="NKY248" s="10"/>
      <c r="NKZ248" s="57"/>
      <c r="NLA248" s="10"/>
      <c r="NLB248" s="57"/>
      <c r="NLC248" s="10"/>
      <c r="NLD248" s="57"/>
      <c r="NLE248" s="10"/>
      <c r="NLF248" s="57"/>
      <c r="NLG248" s="10"/>
      <c r="NLH248" s="57"/>
      <c r="NLI248" s="10"/>
      <c r="NLJ248" s="57"/>
      <c r="NLK248" s="10"/>
      <c r="NLL248" s="57"/>
      <c r="NLM248" s="10"/>
      <c r="NLN248" s="57"/>
      <c r="NLO248" s="10"/>
      <c r="NLP248" s="57"/>
      <c r="NLQ248" s="10"/>
      <c r="NLR248" s="57"/>
      <c r="NLS248" s="10"/>
      <c r="NLT248" s="57"/>
      <c r="NLU248" s="10"/>
      <c r="NLV248" s="57"/>
      <c r="NLW248" s="10"/>
      <c r="NLX248" s="57"/>
      <c r="NLY248" s="10"/>
      <c r="NLZ248" s="57"/>
      <c r="NMA248" s="10"/>
      <c r="NMB248" s="57"/>
      <c r="NMC248" s="10"/>
      <c r="NMD248" s="57"/>
      <c r="NME248" s="10"/>
      <c r="NMF248" s="57"/>
      <c r="NMG248" s="10"/>
      <c r="NMH248" s="57"/>
      <c r="NMI248" s="10"/>
      <c r="NMJ248" s="57"/>
      <c r="NMK248" s="10"/>
      <c r="NML248" s="57"/>
      <c r="NMM248" s="10"/>
      <c r="NMN248" s="57"/>
      <c r="NMO248" s="10"/>
      <c r="NMP248" s="57"/>
      <c r="NMQ248" s="10"/>
      <c r="NMR248" s="57"/>
      <c r="NMS248" s="10"/>
      <c r="NMT248" s="57"/>
      <c r="NMU248" s="10"/>
      <c r="NMV248" s="57"/>
      <c r="NMW248" s="10"/>
      <c r="NMX248" s="57"/>
      <c r="NMY248" s="10"/>
      <c r="NMZ248" s="57"/>
      <c r="NNA248" s="10"/>
      <c r="NNB248" s="57"/>
      <c r="NNC248" s="10"/>
      <c r="NND248" s="57"/>
      <c r="NNE248" s="10"/>
      <c r="NNF248" s="57"/>
      <c r="NNG248" s="10"/>
      <c r="NNH248" s="57"/>
      <c r="NNI248" s="10"/>
      <c r="NNJ248" s="57"/>
      <c r="NNK248" s="10"/>
      <c r="NNL248" s="57"/>
      <c r="NNM248" s="10"/>
      <c r="NNN248" s="57"/>
      <c r="NNO248" s="10"/>
      <c r="NNP248" s="57"/>
      <c r="NNQ248" s="10"/>
      <c r="NNR248" s="57"/>
      <c r="NNS248" s="10"/>
      <c r="NNT248" s="57"/>
      <c r="NNU248" s="10"/>
      <c r="NNV248" s="57"/>
      <c r="NNW248" s="10"/>
      <c r="NNX248" s="57"/>
      <c r="NNY248" s="10"/>
      <c r="NNZ248" s="57"/>
      <c r="NOA248" s="10"/>
      <c r="NOB248" s="57"/>
      <c r="NOC248" s="10"/>
      <c r="NOD248" s="57"/>
      <c r="NOE248" s="10"/>
      <c r="NOF248" s="57"/>
      <c r="NOG248" s="10"/>
      <c r="NOH248" s="57"/>
      <c r="NOI248" s="10"/>
      <c r="NOJ248" s="57"/>
      <c r="NOK248" s="10"/>
      <c r="NOL248" s="57"/>
      <c r="NOM248" s="10"/>
      <c r="NON248" s="57"/>
      <c r="NOO248" s="10"/>
      <c r="NOP248" s="57"/>
      <c r="NOQ248" s="10"/>
      <c r="NOR248" s="57"/>
      <c r="NOS248" s="10"/>
      <c r="NOT248" s="57"/>
      <c r="NOU248" s="10"/>
      <c r="NOV248" s="57"/>
      <c r="NOW248" s="10"/>
      <c r="NOX248" s="57"/>
      <c r="NOY248" s="10"/>
      <c r="NOZ248" s="57"/>
      <c r="NPA248" s="10"/>
      <c r="NPB248" s="57"/>
      <c r="NPC248" s="10"/>
      <c r="NPD248" s="57"/>
      <c r="NPE248" s="10"/>
      <c r="NPF248" s="57"/>
      <c r="NPG248" s="10"/>
      <c r="NPH248" s="57"/>
      <c r="NPI248" s="10"/>
      <c r="NPJ248" s="57"/>
      <c r="NPK248" s="10"/>
      <c r="NPL248" s="57"/>
      <c r="NPM248" s="10"/>
      <c r="NPN248" s="57"/>
      <c r="NPO248" s="10"/>
      <c r="NPP248" s="57"/>
      <c r="NPQ248" s="10"/>
      <c r="NPR248" s="57"/>
      <c r="NPS248" s="10"/>
      <c r="NPT248" s="57"/>
      <c r="NPU248" s="10"/>
      <c r="NPV248" s="57"/>
      <c r="NPW248" s="10"/>
      <c r="NPX248" s="57"/>
      <c r="NPY248" s="10"/>
      <c r="NPZ248" s="57"/>
      <c r="NQA248" s="10"/>
      <c r="NQB248" s="57"/>
      <c r="NQC248" s="10"/>
      <c r="NQD248" s="57"/>
      <c r="NQE248" s="10"/>
      <c r="NQF248" s="57"/>
      <c r="NQG248" s="10"/>
      <c r="NQH248" s="57"/>
      <c r="NQI248" s="10"/>
      <c r="NQJ248" s="57"/>
      <c r="NQK248" s="10"/>
      <c r="NQL248" s="57"/>
      <c r="NQM248" s="10"/>
      <c r="NQN248" s="57"/>
      <c r="NQO248" s="10"/>
      <c r="NQP248" s="57"/>
      <c r="NQQ248" s="10"/>
      <c r="NQR248" s="57"/>
      <c r="NQS248" s="10"/>
      <c r="NQT248" s="57"/>
      <c r="NQU248" s="10"/>
      <c r="NQV248" s="57"/>
      <c r="NQW248" s="10"/>
      <c r="NQX248" s="57"/>
      <c r="NQY248" s="10"/>
      <c r="NQZ248" s="57"/>
      <c r="NRA248" s="10"/>
      <c r="NRB248" s="57"/>
      <c r="NRC248" s="10"/>
      <c r="NRD248" s="57"/>
      <c r="NRE248" s="10"/>
      <c r="NRF248" s="57"/>
      <c r="NRG248" s="10"/>
      <c r="NRH248" s="57"/>
      <c r="NRI248" s="10"/>
      <c r="NRJ248" s="57"/>
      <c r="NRK248" s="10"/>
      <c r="NRL248" s="57"/>
      <c r="NRM248" s="10"/>
      <c r="NRN248" s="57"/>
      <c r="NRO248" s="10"/>
      <c r="NRP248" s="57"/>
      <c r="NRQ248" s="10"/>
      <c r="NRR248" s="57"/>
      <c r="NRS248" s="10"/>
      <c r="NRT248" s="57"/>
      <c r="NRU248" s="10"/>
      <c r="NRV248" s="57"/>
      <c r="NRW248" s="10"/>
      <c r="NRX248" s="57"/>
      <c r="NRY248" s="10"/>
      <c r="NRZ248" s="57"/>
      <c r="NSA248" s="10"/>
      <c r="NSB248" s="57"/>
      <c r="NSC248" s="10"/>
      <c r="NSD248" s="57"/>
      <c r="NSE248" s="10"/>
      <c r="NSF248" s="57"/>
      <c r="NSG248" s="10"/>
      <c r="NSH248" s="57"/>
      <c r="NSI248" s="10"/>
      <c r="NSJ248" s="57"/>
      <c r="NSK248" s="10"/>
      <c r="NSL248" s="57"/>
      <c r="NSM248" s="10"/>
      <c r="NSN248" s="57"/>
      <c r="NSO248" s="10"/>
      <c r="NSP248" s="57"/>
      <c r="NSQ248" s="10"/>
      <c r="NSR248" s="57"/>
      <c r="NSS248" s="10"/>
      <c r="NST248" s="57"/>
      <c r="NSU248" s="10"/>
      <c r="NSV248" s="57"/>
      <c r="NSW248" s="10"/>
      <c r="NSX248" s="57"/>
      <c r="NSY248" s="10"/>
      <c r="NSZ248" s="57"/>
      <c r="NTA248" s="10"/>
      <c r="NTB248" s="57"/>
      <c r="NTC248" s="10"/>
      <c r="NTD248" s="57"/>
      <c r="NTE248" s="10"/>
      <c r="NTF248" s="57"/>
      <c r="NTG248" s="10"/>
      <c r="NTH248" s="57"/>
      <c r="NTI248" s="10"/>
      <c r="NTJ248" s="57"/>
      <c r="NTK248" s="10"/>
      <c r="NTL248" s="57"/>
      <c r="NTM248" s="10"/>
      <c r="NTN248" s="57"/>
      <c r="NTO248" s="10"/>
      <c r="NTP248" s="57"/>
      <c r="NTQ248" s="10"/>
      <c r="NTR248" s="57"/>
      <c r="NTS248" s="10"/>
      <c r="NTT248" s="57"/>
      <c r="NTU248" s="10"/>
      <c r="NTV248" s="57"/>
      <c r="NTW248" s="10"/>
      <c r="NTX248" s="57"/>
      <c r="NTY248" s="10"/>
      <c r="NTZ248" s="57"/>
      <c r="NUA248" s="10"/>
      <c r="NUB248" s="57"/>
      <c r="NUC248" s="10"/>
      <c r="NUD248" s="57"/>
      <c r="NUE248" s="10"/>
      <c r="NUF248" s="57"/>
      <c r="NUG248" s="10"/>
      <c r="NUH248" s="57"/>
      <c r="NUI248" s="10"/>
      <c r="NUJ248" s="57"/>
      <c r="NUK248" s="10"/>
      <c r="NUL248" s="57"/>
      <c r="NUM248" s="10"/>
      <c r="NUN248" s="57"/>
      <c r="NUO248" s="10"/>
      <c r="NUP248" s="57"/>
      <c r="NUQ248" s="10"/>
      <c r="NUR248" s="57"/>
      <c r="NUS248" s="10"/>
      <c r="NUT248" s="57"/>
      <c r="NUU248" s="10"/>
      <c r="NUV248" s="57"/>
      <c r="NUW248" s="10"/>
      <c r="NUX248" s="57"/>
      <c r="NUY248" s="10"/>
      <c r="NUZ248" s="57"/>
      <c r="NVA248" s="10"/>
      <c r="NVB248" s="57"/>
      <c r="NVC248" s="10"/>
      <c r="NVD248" s="57"/>
      <c r="NVE248" s="10"/>
      <c r="NVF248" s="57"/>
      <c r="NVG248" s="10"/>
      <c r="NVH248" s="57"/>
      <c r="NVI248" s="10"/>
      <c r="NVJ248" s="57"/>
      <c r="NVK248" s="10"/>
      <c r="NVL248" s="57"/>
      <c r="NVM248" s="10"/>
      <c r="NVN248" s="57"/>
      <c r="NVO248" s="10"/>
      <c r="NVP248" s="57"/>
      <c r="NVQ248" s="10"/>
      <c r="NVR248" s="57"/>
      <c r="NVS248" s="10"/>
      <c r="NVT248" s="57"/>
      <c r="NVU248" s="10"/>
      <c r="NVV248" s="57"/>
      <c r="NVW248" s="10"/>
      <c r="NVX248" s="57"/>
      <c r="NVY248" s="10"/>
      <c r="NVZ248" s="57"/>
      <c r="NWA248" s="10"/>
      <c r="NWB248" s="57"/>
      <c r="NWC248" s="10"/>
      <c r="NWD248" s="57"/>
      <c r="NWE248" s="10"/>
      <c r="NWF248" s="57"/>
      <c r="NWG248" s="10"/>
      <c r="NWH248" s="57"/>
      <c r="NWI248" s="10"/>
      <c r="NWJ248" s="57"/>
      <c r="NWK248" s="10"/>
      <c r="NWL248" s="57"/>
      <c r="NWM248" s="10"/>
      <c r="NWN248" s="57"/>
      <c r="NWO248" s="10"/>
      <c r="NWP248" s="57"/>
      <c r="NWQ248" s="10"/>
      <c r="NWR248" s="57"/>
      <c r="NWS248" s="10"/>
      <c r="NWT248" s="57"/>
      <c r="NWU248" s="10"/>
      <c r="NWV248" s="57"/>
      <c r="NWW248" s="10"/>
      <c r="NWX248" s="57"/>
      <c r="NWY248" s="10"/>
      <c r="NWZ248" s="57"/>
      <c r="NXA248" s="10"/>
      <c r="NXB248" s="57"/>
      <c r="NXC248" s="10"/>
      <c r="NXD248" s="57"/>
      <c r="NXE248" s="10"/>
      <c r="NXF248" s="57"/>
      <c r="NXG248" s="10"/>
      <c r="NXH248" s="57"/>
      <c r="NXI248" s="10"/>
      <c r="NXJ248" s="57"/>
      <c r="NXK248" s="10"/>
      <c r="NXL248" s="57"/>
      <c r="NXM248" s="10"/>
      <c r="NXN248" s="57"/>
      <c r="NXO248" s="10"/>
      <c r="NXP248" s="57"/>
      <c r="NXQ248" s="10"/>
      <c r="NXR248" s="57"/>
      <c r="NXS248" s="10"/>
      <c r="NXT248" s="57"/>
      <c r="NXU248" s="10"/>
      <c r="NXV248" s="57"/>
      <c r="NXW248" s="10"/>
      <c r="NXX248" s="57"/>
      <c r="NXY248" s="10"/>
      <c r="NXZ248" s="57"/>
      <c r="NYA248" s="10"/>
      <c r="NYB248" s="57"/>
      <c r="NYC248" s="10"/>
      <c r="NYD248" s="57"/>
      <c r="NYE248" s="10"/>
      <c r="NYF248" s="57"/>
      <c r="NYG248" s="10"/>
      <c r="NYH248" s="57"/>
      <c r="NYI248" s="10"/>
      <c r="NYJ248" s="57"/>
      <c r="NYK248" s="10"/>
      <c r="NYL248" s="57"/>
      <c r="NYM248" s="10"/>
      <c r="NYN248" s="57"/>
      <c r="NYO248" s="10"/>
      <c r="NYP248" s="57"/>
      <c r="NYQ248" s="10"/>
      <c r="NYR248" s="57"/>
      <c r="NYS248" s="10"/>
      <c r="NYT248" s="57"/>
      <c r="NYU248" s="10"/>
      <c r="NYV248" s="57"/>
      <c r="NYW248" s="10"/>
      <c r="NYX248" s="57"/>
      <c r="NYY248" s="10"/>
      <c r="NYZ248" s="57"/>
      <c r="NZA248" s="10"/>
      <c r="NZB248" s="57"/>
      <c r="NZC248" s="10"/>
      <c r="NZD248" s="57"/>
      <c r="NZE248" s="10"/>
      <c r="NZF248" s="57"/>
      <c r="NZG248" s="10"/>
      <c r="NZH248" s="57"/>
      <c r="NZI248" s="10"/>
      <c r="NZJ248" s="57"/>
      <c r="NZK248" s="10"/>
      <c r="NZL248" s="57"/>
      <c r="NZM248" s="10"/>
      <c r="NZN248" s="57"/>
      <c r="NZO248" s="10"/>
      <c r="NZP248" s="57"/>
      <c r="NZQ248" s="10"/>
      <c r="NZR248" s="57"/>
      <c r="NZS248" s="10"/>
      <c r="NZT248" s="57"/>
      <c r="NZU248" s="10"/>
      <c r="NZV248" s="57"/>
      <c r="NZW248" s="10"/>
      <c r="NZX248" s="57"/>
      <c r="NZY248" s="10"/>
      <c r="NZZ248" s="57"/>
      <c r="OAA248" s="10"/>
      <c r="OAB248" s="57"/>
      <c r="OAC248" s="10"/>
      <c r="OAD248" s="57"/>
      <c r="OAE248" s="10"/>
      <c r="OAF248" s="57"/>
      <c r="OAG248" s="10"/>
      <c r="OAH248" s="57"/>
      <c r="OAI248" s="10"/>
      <c r="OAJ248" s="57"/>
      <c r="OAK248" s="10"/>
      <c r="OAL248" s="57"/>
      <c r="OAM248" s="10"/>
      <c r="OAN248" s="57"/>
      <c r="OAO248" s="10"/>
      <c r="OAP248" s="57"/>
      <c r="OAQ248" s="10"/>
      <c r="OAR248" s="57"/>
      <c r="OAS248" s="10"/>
      <c r="OAT248" s="57"/>
      <c r="OAU248" s="10"/>
      <c r="OAV248" s="57"/>
      <c r="OAW248" s="10"/>
      <c r="OAX248" s="57"/>
      <c r="OAY248" s="10"/>
      <c r="OAZ248" s="57"/>
      <c r="OBA248" s="10"/>
      <c r="OBB248" s="57"/>
      <c r="OBC248" s="10"/>
      <c r="OBD248" s="57"/>
      <c r="OBE248" s="10"/>
      <c r="OBF248" s="57"/>
      <c r="OBG248" s="10"/>
      <c r="OBH248" s="57"/>
      <c r="OBI248" s="10"/>
      <c r="OBJ248" s="57"/>
      <c r="OBK248" s="10"/>
      <c r="OBL248" s="57"/>
      <c r="OBM248" s="10"/>
      <c r="OBN248" s="57"/>
      <c r="OBO248" s="10"/>
      <c r="OBP248" s="57"/>
      <c r="OBQ248" s="10"/>
      <c r="OBR248" s="57"/>
      <c r="OBS248" s="10"/>
      <c r="OBT248" s="57"/>
      <c r="OBU248" s="10"/>
      <c r="OBV248" s="57"/>
      <c r="OBW248" s="10"/>
      <c r="OBX248" s="57"/>
      <c r="OBY248" s="10"/>
      <c r="OBZ248" s="57"/>
      <c r="OCA248" s="10"/>
      <c r="OCB248" s="57"/>
      <c r="OCC248" s="10"/>
      <c r="OCD248" s="57"/>
      <c r="OCE248" s="10"/>
      <c r="OCF248" s="57"/>
      <c r="OCG248" s="10"/>
      <c r="OCH248" s="57"/>
      <c r="OCI248" s="10"/>
      <c r="OCJ248" s="57"/>
      <c r="OCK248" s="10"/>
      <c r="OCL248" s="57"/>
      <c r="OCM248" s="10"/>
      <c r="OCN248" s="57"/>
      <c r="OCO248" s="10"/>
      <c r="OCP248" s="57"/>
      <c r="OCQ248" s="10"/>
      <c r="OCR248" s="57"/>
      <c r="OCS248" s="10"/>
      <c r="OCT248" s="57"/>
      <c r="OCU248" s="10"/>
      <c r="OCV248" s="57"/>
      <c r="OCW248" s="10"/>
      <c r="OCX248" s="57"/>
      <c r="OCY248" s="10"/>
      <c r="OCZ248" s="57"/>
      <c r="ODA248" s="10"/>
      <c r="ODB248" s="57"/>
      <c r="ODC248" s="10"/>
      <c r="ODD248" s="57"/>
      <c r="ODE248" s="10"/>
      <c r="ODF248" s="57"/>
      <c r="ODG248" s="10"/>
      <c r="ODH248" s="57"/>
      <c r="ODI248" s="10"/>
      <c r="ODJ248" s="57"/>
      <c r="ODK248" s="10"/>
      <c r="ODL248" s="57"/>
      <c r="ODM248" s="10"/>
      <c r="ODN248" s="57"/>
      <c r="ODO248" s="10"/>
      <c r="ODP248" s="57"/>
      <c r="ODQ248" s="10"/>
      <c r="ODR248" s="57"/>
      <c r="ODS248" s="10"/>
      <c r="ODT248" s="57"/>
      <c r="ODU248" s="10"/>
      <c r="ODV248" s="57"/>
      <c r="ODW248" s="10"/>
      <c r="ODX248" s="57"/>
      <c r="ODY248" s="10"/>
      <c r="ODZ248" s="57"/>
      <c r="OEA248" s="10"/>
      <c r="OEB248" s="57"/>
      <c r="OEC248" s="10"/>
      <c r="OED248" s="57"/>
      <c r="OEE248" s="10"/>
      <c r="OEF248" s="57"/>
      <c r="OEG248" s="10"/>
      <c r="OEH248" s="57"/>
      <c r="OEI248" s="10"/>
      <c r="OEJ248" s="57"/>
      <c r="OEK248" s="10"/>
      <c r="OEL248" s="57"/>
      <c r="OEM248" s="10"/>
      <c r="OEN248" s="57"/>
      <c r="OEO248" s="10"/>
      <c r="OEP248" s="57"/>
      <c r="OEQ248" s="10"/>
      <c r="OER248" s="57"/>
      <c r="OES248" s="10"/>
      <c r="OET248" s="57"/>
      <c r="OEU248" s="10"/>
      <c r="OEV248" s="57"/>
      <c r="OEW248" s="10"/>
      <c r="OEX248" s="57"/>
      <c r="OEY248" s="10"/>
      <c r="OEZ248" s="57"/>
      <c r="OFA248" s="10"/>
      <c r="OFB248" s="57"/>
      <c r="OFC248" s="10"/>
      <c r="OFD248" s="57"/>
      <c r="OFE248" s="10"/>
      <c r="OFF248" s="57"/>
      <c r="OFG248" s="10"/>
      <c r="OFH248" s="57"/>
      <c r="OFI248" s="10"/>
      <c r="OFJ248" s="57"/>
      <c r="OFK248" s="10"/>
      <c r="OFL248" s="57"/>
      <c r="OFM248" s="10"/>
      <c r="OFN248" s="57"/>
      <c r="OFO248" s="10"/>
      <c r="OFP248" s="57"/>
      <c r="OFQ248" s="10"/>
      <c r="OFR248" s="57"/>
      <c r="OFS248" s="10"/>
      <c r="OFT248" s="57"/>
      <c r="OFU248" s="10"/>
      <c r="OFV248" s="57"/>
      <c r="OFW248" s="10"/>
      <c r="OFX248" s="57"/>
      <c r="OFY248" s="10"/>
      <c r="OFZ248" s="57"/>
      <c r="OGA248" s="10"/>
      <c r="OGB248" s="57"/>
      <c r="OGC248" s="10"/>
      <c r="OGD248" s="57"/>
      <c r="OGE248" s="10"/>
      <c r="OGF248" s="57"/>
      <c r="OGG248" s="10"/>
      <c r="OGH248" s="57"/>
      <c r="OGI248" s="10"/>
      <c r="OGJ248" s="57"/>
      <c r="OGK248" s="10"/>
      <c r="OGL248" s="57"/>
      <c r="OGM248" s="10"/>
      <c r="OGN248" s="57"/>
      <c r="OGO248" s="10"/>
      <c r="OGP248" s="57"/>
      <c r="OGQ248" s="10"/>
      <c r="OGR248" s="57"/>
      <c r="OGS248" s="10"/>
      <c r="OGT248" s="57"/>
      <c r="OGU248" s="10"/>
      <c r="OGV248" s="57"/>
      <c r="OGW248" s="10"/>
      <c r="OGX248" s="57"/>
      <c r="OGY248" s="10"/>
      <c r="OGZ248" s="57"/>
      <c r="OHA248" s="10"/>
      <c r="OHB248" s="57"/>
      <c r="OHC248" s="10"/>
      <c r="OHD248" s="57"/>
      <c r="OHE248" s="10"/>
      <c r="OHF248" s="57"/>
      <c r="OHG248" s="10"/>
      <c r="OHH248" s="57"/>
      <c r="OHI248" s="10"/>
      <c r="OHJ248" s="57"/>
      <c r="OHK248" s="10"/>
      <c r="OHL248" s="57"/>
      <c r="OHM248" s="10"/>
      <c r="OHN248" s="57"/>
      <c r="OHO248" s="10"/>
      <c r="OHP248" s="57"/>
      <c r="OHQ248" s="10"/>
      <c r="OHR248" s="57"/>
      <c r="OHS248" s="10"/>
      <c r="OHT248" s="57"/>
      <c r="OHU248" s="10"/>
      <c r="OHV248" s="57"/>
      <c r="OHW248" s="10"/>
      <c r="OHX248" s="57"/>
      <c r="OHY248" s="10"/>
      <c r="OHZ248" s="57"/>
      <c r="OIA248" s="10"/>
      <c r="OIB248" s="57"/>
      <c r="OIC248" s="10"/>
      <c r="OID248" s="57"/>
      <c r="OIE248" s="10"/>
      <c r="OIF248" s="57"/>
      <c r="OIG248" s="10"/>
      <c r="OIH248" s="57"/>
      <c r="OII248" s="10"/>
      <c r="OIJ248" s="57"/>
      <c r="OIK248" s="10"/>
      <c r="OIL248" s="57"/>
      <c r="OIM248" s="10"/>
      <c r="OIN248" s="57"/>
      <c r="OIO248" s="10"/>
      <c r="OIP248" s="57"/>
      <c r="OIQ248" s="10"/>
      <c r="OIR248" s="57"/>
      <c r="OIS248" s="10"/>
      <c r="OIT248" s="57"/>
      <c r="OIU248" s="10"/>
      <c r="OIV248" s="57"/>
      <c r="OIW248" s="10"/>
      <c r="OIX248" s="57"/>
      <c r="OIY248" s="10"/>
      <c r="OIZ248" s="57"/>
      <c r="OJA248" s="10"/>
      <c r="OJB248" s="57"/>
      <c r="OJC248" s="10"/>
      <c r="OJD248" s="57"/>
      <c r="OJE248" s="10"/>
      <c r="OJF248" s="57"/>
      <c r="OJG248" s="10"/>
      <c r="OJH248" s="57"/>
      <c r="OJI248" s="10"/>
      <c r="OJJ248" s="57"/>
      <c r="OJK248" s="10"/>
      <c r="OJL248" s="57"/>
      <c r="OJM248" s="10"/>
      <c r="OJN248" s="57"/>
      <c r="OJO248" s="10"/>
      <c r="OJP248" s="57"/>
      <c r="OJQ248" s="10"/>
      <c r="OJR248" s="57"/>
      <c r="OJS248" s="10"/>
      <c r="OJT248" s="57"/>
      <c r="OJU248" s="10"/>
      <c r="OJV248" s="57"/>
      <c r="OJW248" s="10"/>
      <c r="OJX248" s="57"/>
      <c r="OJY248" s="10"/>
      <c r="OJZ248" s="57"/>
      <c r="OKA248" s="10"/>
      <c r="OKB248" s="57"/>
      <c r="OKC248" s="10"/>
      <c r="OKD248" s="57"/>
      <c r="OKE248" s="10"/>
      <c r="OKF248" s="57"/>
      <c r="OKG248" s="10"/>
      <c r="OKH248" s="57"/>
      <c r="OKI248" s="10"/>
      <c r="OKJ248" s="57"/>
      <c r="OKK248" s="10"/>
      <c r="OKL248" s="57"/>
      <c r="OKM248" s="10"/>
      <c r="OKN248" s="57"/>
      <c r="OKO248" s="10"/>
      <c r="OKP248" s="57"/>
      <c r="OKQ248" s="10"/>
      <c r="OKR248" s="57"/>
      <c r="OKS248" s="10"/>
      <c r="OKT248" s="57"/>
      <c r="OKU248" s="10"/>
      <c r="OKV248" s="57"/>
      <c r="OKW248" s="10"/>
      <c r="OKX248" s="57"/>
      <c r="OKY248" s="10"/>
      <c r="OKZ248" s="57"/>
      <c r="OLA248" s="10"/>
      <c r="OLB248" s="57"/>
      <c r="OLC248" s="10"/>
      <c r="OLD248" s="57"/>
      <c r="OLE248" s="10"/>
      <c r="OLF248" s="57"/>
      <c r="OLG248" s="10"/>
      <c r="OLH248" s="57"/>
      <c r="OLI248" s="10"/>
      <c r="OLJ248" s="57"/>
      <c r="OLK248" s="10"/>
      <c r="OLL248" s="57"/>
      <c r="OLM248" s="10"/>
      <c r="OLN248" s="57"/>
      <c r="OLO248" s="10"/>
      <c r="OLP248" s="57"/>
      <c r="OLQ248" s="10"/>
      <c r="OLR248" s="57"/>
      <c r="OLS248" s="10"/>
      <c r="OLT248" s="57"/>
      <c r="OLU248" s="10"/>
      <c r="OLV248" s="57"/>
      <c r="OLW248" s="10"/>
      <c r="OLX248" s="57"/>
      <c r="OLY248" s="10"/>
      <c r="OLZ248" s="57"/>
      <c r="OMA248" s="10"/>
      <c r="OMB248" s="57"/>
      <c r="OMC248" s="10"/>
      <c r="OMD248" s="57"/>
      <c r="OME248" s="10"/>
      <c r="OMF248" s="57"/>
      <c r="OMG248" s="10"/>
      <c r="OMH248" s="57"/>
      <c r="OMI248" s="10"/>
      <c r="OMJ248" s="57"/>
      <c r="OMK248" s="10"/>
      <c r="OML248" s="57"/>
      <c r="OMM248" s="10"/>
      <c r="OMN248" s="57"/>
      <c r="OMO248" s="10"/>
      <c r="OMP248" s="57"/>
      <c r="OMQ248" s="10"/>
      <c r="OMR248" s="57"/>
      <c r="OMS248" s="10"/>
      <c r="OMT248" s="57"/>
      <c r="OMU248" s="10"/>
      <c r="OMV248" s="57"/>
      <c r="OMW248" s="10"/>
      <c r="OMX248" s="57"/>
      <c r="OMY248" s="10"/>
      <c r="OMZ248" s="57"/>
      <c r="ONA248" s="10"/>
      <c r="ONB248" s="57"/>
      <c r="ONC248" s="10"/>
      <c r="OND248" s="57"/>
      <c r="ONE248" s="10"/>
      <c r="ONF248" s="57"/>
      <c r="ONG248" s="10"/>
      <c r="ONH248" s="57"/>
      <c r="ONI248" s="10"/>
      <c r="ONJ248" s="57"/>
      <c r="ONK248" s="10"/>
      <c r="ONL248" s="57"/>
      <c r="ONM248" s="10"/>
      <c r="ONN248" s="57"/>
      <c r="ONO248" s="10"/>
      <c r="ONP248" s="57"/>
      <c r="ONQ248" s="10"/>
      <c r="ONR248" s="57"/>
      <c r="ONS248" s="10"/>
      <c r="ONT248" s="57"/>
      <c r="ONU248" s="10"/>
      <c r="ONV248" s="57"/>
      <c r="ONW248" s="10"/>
      <c r="ONX248" s="57"/>
      <c r="ONY248" s="10"/>
      <c r="ONZ248" s="57"/>
      <c r="OOA248" s="10"/>
      <c r="OOB248" s="57"/>
      <c r="OOC248" s="10"/>
      <c r="OOD248" s="57"/>
      <c r="OOE248" s="10"/>
      <c r="OOF248" s="57"/>
      <c r="OOG248" s="10"/>
      <c r="OOH248" s="57"/>
      <c r="OOI248" s="10"/>
      <c r="OOJ248" s="57"/>
      <c r="OOK248" s="10"/>
      <c r="OOL248" s="57"/>
      <c r="OOM248" s="10"/>
      <c r="OON248" s="57"/>
      <c r="OOO248" s="10"/>
      <c r="OOP248" s="57"/>
      <c r="OOQ248" s="10"/>
      <c r="OOR248" s="57"/>
      <c r="OOS248" s="10"/>
      <c r="OOT248" s="57"/>
      <c r="OOU248" s="10"/>
      <c r="OOV248" s="57"/>
      <c r="OOW248" s="10"/>
      <c r="OOX248" s="57"/>
      <c r="OOY248" s="10"/>
      <c r="OOZ248" s="57"/>
      <c r="OPA248" s="10"/>
      <c r="OPB248" s="57"/>
      <c r="OPC248" s="10"/>
      <c r="OPD248" s="57"/>
      <c r="OPE248" s="10"/>
      <c r="OPF248" s="57"/>
      <c r="OPG248" s="10"/>
      <c r="OPH248" s="57"/>
      <c r="OPI248" s="10"/>
      <c r="OPJ248" s="57"/>
      <c r="OPK248" s="10"/>
      <c r="OPL248" s="57"/>
      <c r="OPM248" s="10"/>
      <c r="OPN248" s="57"/>
      <c r="OPO248" s="10"/>
      <c r="OPP248" s="57"/>
      <c r="OPQ248" s="10"/>
      <c r="OPR248" s="57"/>
      <c r="OPS248" s="10"/>
      <c r="OPT248" s="57"/>
      <c r="OPU248" s="10"/>
      <c r="OPV248" s="57"/>
      <c r="OPW248" s="10"/>
      <c r="OPX248" s="57"/>
      <c r="OPY248" s="10"/>
      <c r="OPZ248" s="57"/>
      <c r="OQA248" s="10"/>
      <c r="OQB248" s="57"/>
      <c r="OQC248" s="10"/>
      <c r="OQD248" s="57"/>
      <c r="OQE248" s="10"/>
      <c r="OQF248" s="57"/>
      <c r="OQG248" s="10"/>
      <c r="OQH248" s="57"/>
      <c r="OQI248" s="10"/>
      <c r="OQJ248" s="57"/>
      <c r="OQK248" s="10"/>
      <c r="OQL248" s="57"/>
      <c r="OQM248" s="10"/>
      <c r="OQN248" s="57"/>
      <c r="OQO248" s="10"/>
      <c r="OQP248" s="57"/>
      <c r="OQQ248" s="10"/>
      <c r="OQR248" s="57"/>
      <c r="OQS248" s="10"/>
      <c r="OQT248" s="57"/>
      <c r="OQU248" s="10"/>
      <c r="OQV248" s="57"/>
      <c r="OQW248" s="10"/>
      <c r="OQX248" s="57"/>
      <c r="OQY248" s="10"/>
      <c r="OQZ248" s="57"/>
      <c r="ORA248" s="10"/>
      <c r="ORB248" s="57"/>
      <c r="ORC248" s="10"/>
      <c r="ORD248" s="57"/>
      <c r="ORE248" s="10"/>
      <c r="ORF248" s="57"/>
      <c r="ORG248" s="10"/>
      <c r="ORH248" s="57"/>
      <c r="ORI248" s="10"/>
      <c r="ORJ248" s="57"/>
      <c r="ORK248" s="10"/>
      <c r="ORL248" s="57"/>
      <c r="ORM248" s="10"/>
      <c r="ORN248" s="57"/>
      <c r="ORO248" s="10"/>
      <c r="ORP248" s="57"/>
      <c r="ORQ248" s="10"/>
      <c r="ORR248" s="57"/>
      <c r="ORS248" s="10"/>
      <c r="ORT248" s="57"/>
      <c r="ORU248" s="10"/>
      <c r="ORV248" s="57"/>
      <c r="ORW248" s="10"/>
      <c r="ORX248" s="57"/>
      <c r="ORY248" s="10"/>
      <c r="ORZ248" s="57"/>
      <c r="OSA248" s="10"/>
      <c r="OSB248" s="57"/>
      <c r="OSC248" s="10"/>
      <c r="OSD248" s="57"/>
      <c r="OSE248" s="10"/>
      <c r="OSF248" s="57"/>
      <c r="OSG248" s="10"/>
      <c r="OSH248" s="57"/>
      <c r="OSI248" s="10"/>
      <c r="OSJ248" s="57"/>
      <c r="OSK248" s="10"/>
      <c r="OSL248" s="57"/>
      <c r="OSM248" s="10"/>
      <c r="OSN248" s="57"/>
      <c r="OSO248" s="10"/>
      <c r="OSP248" s="57"/>
      <c r="OSQ248" s="10"/>
      <c r="OSR248" s="57"/>
      <c r="OSS248" s="10"/>
      <c r="OST248" s="57"/>
      <c r="OSU248" s="10"/>
      <c r="OSV248" s="57"/>
      <c r="OSW248" s="10"/>
      <c r="OSX248" s="57"/>
      <c r="OSY248" s="10"/>
      <c r="OSZ248" s="57"/>
      <c r="OTA248" s="10"/>
      <c r="OTB248" s="57"/>
      <c r="OTC248" s="10"/>
      <c r="OTD248" s="57"/>
      <c r="OTE248" s="10"/>
      <c r="OTF248" s="57"/>
      <c r="OTG248" s="10"/>
      <c r="OTH248" s="57"/>
      <c r="OTI248" s="10"/>
      <c r="OTJ248" s="57"/>
      <c r="OTK248" s="10"/>
      <c r="OTL248" s="57"/>
      <c r="OTM248" s="10"/>
      <c r="OTN248" s="57"/>
      <c r="OTO248" s="10"/>
      <c r="OTP248" s="57"/>
      <c r="OTQ248" s="10"/>
      <c r="OTR248" s="57"/>
      <c r="OTS248" s="10"/>
      <c r="OTT248" s="57"/>
      <c r="OTU248" s="10"/>
      <c r="OTV248" s="57"/>
      <c r="OTW248" s="10"/>
      <c r="OTX248" s="57"/>
      <c r="OTY248" s="10"/>
      <c r="OTZ248" s="57"/>
      <c r="OUA248" s="10"/>
      <c r="OUB248" s="57"/>
      <c r="OUC248" s="10"/>
      <c r="OUD248" s="57"/>
      <c r="OUE248" s="10"/>
      <c r="OUF248" s="57"/>
      <c r="OUG248" s="10"/>
      <c r="OUH248" s="57"/>
      <c r="OUI248" s="10"/>
      <c r="OUJ248" s="57"/>
      <c r="OUK248" s="10"/>
      <c r="OUL248" s="57"/>
      <c r="OUM248" s="10"/>
      <c r="OUN248" s="57"/>
      <c r="OUO248" s="10"/>
      <c r="OUP248" s="57"/>
      <c r="OUQ248" s="10"/>
      <c r="OUR248" s="57"/>
      <c r="OUS248" s="10"/>
      <c r="OUT248" s="57"/>
      <c r="OUU248" s="10"/>
      <c r="OUV248" s="57"/>
      <c r="OUW248" s="10"/>
      <c r="OUX248" s="57"/>
      <c r="OUY248" s="10"/>
      <c r="OUZ248" s="57"/>
      <c r="OVA248" s="10"/>
      <c r="OVB248" s="57"/>
      <c r="OVC248" s="10"/>
      <c r="OVD248" s="57"/>
      <c r="OVE248" s="10"/>
      <c r="OVF248" s="57"/>
      <c r="OVG248" s="10"/>
      <c r="OVH248" s="57"/>
      <c r="OVI248" s="10"/>
      <c r="OVJ248" s="57"/>
      <c r="OVK248" s="10"/>
      <c r="OVL248" s="57"/>
      <c r="OVM248" s="10"/>
      <c r="OVN248" s="57"/>
      <c r="OVO248" s="10"/>
      <c r="OVP248" s="57"/>
      <c r="OVQ248" s="10"/>
      <c r="OVR248" s="57"/>
      <c r="OVS248" s="10"/>
      <c r="OVT248" s="57"/>
      <c r="OVU248" s="10"/>
      <c r="OVV248" s="57"/>
      <c r="OVW248" s="10"/>
      <c r="OVX248" s="57"/>
      <c r="OVY248" s="10"/>
      <c r="OVZ248" s="57"/>
      <c r="OWA248" s="10"/>
      <c r="OWB248" s="57"/>
      <c r="OWC248" s="10"/>
      <c r="OWD248" s="57"/>
      <c r="OWE248" s="10"/>
      <c r="OWF248" s="57"/>
      <c r="OWG248" s="10"/>
      <c r="OWH248" s="57"/>
      <c r="OWI248" s="10"/>
      <c r="OWJ248" s="57"/>
      <c r="OWK248" s="10"/>
      <c r="OWL248" s="57"/>
      <c r="OWM248" s="10"/>
      <c r="OWN248" s="57"/>
      <c r="OWO248" s="10"/>
      <c r="OWP248" s="57"/>
      <c r="OWQ248" s="10"/>
      <c r="OWR248" s="57"/>
      <c r="OWS248" s="10"/>
      <c r="OWT248" s="57"/>
      <c r="OWU248" s="10"/>
      <c r="OWV248" s="57"/>
      <c r="OWW248" s="10"/>
      <c r="OWX248" s="57"/>
      <c r="OWY248" s="10"/>
      <c r="OWZ248" s="57"/>
      <c r="OXA248" s="10"/>
      <c r="OXB248" s="57"/>
      <c r="OXC248" s="10"/>
      <c r="OXD248" s="57"/>
      <c r="OXE248" s="10"/>
      <c r="OXF248" s="57"/>
      <c r="OXG248" s="10"/>
      <c r="OXH248" s="57"/>
      <c r="OXI248" s="10"/>
      <c r="OXJ248" s="57"/>
      <c r="OXK248" s="10"/>
      <c r="OXL248" s="57"/>
      <c r="OXM248" s="10"/>
      <c r="OXN248" s="57"/>
      <c r="OXO248" s="10"/>
      <c r="OXP248" s="57"/>
      <c r="OXQ248" s="10"/>
      <c r="OXR248" s="57"/>
      <c r="OXS248" s="10"/>
      <c r="OXT248" s="57"/>
      <c r="OXU248" s="10"/>
      <c r="OXV248" s="57"/>
      <c r="OXW248" s="10"/>
      <c r="OXX248" s="57"/>
      <c r="OXY248" s="10"/>
      <c r="OXZ248" s="57"/>
      <c r="OYA248" s="10"/>
      <c r="OYB248" s="57"/>
      <c r="OYC248" s="10"/>
      <c r="OYD248" s="57"/>
      <c r="OYE248" s="10"/>
      <c r="OYF248" s="57"/>
      <c r="OYG248" s="10"/>
      <c r="OYH248" s="57"/>
      <c r="OYI248" s="10"/>
      <c r="OYJ248" s="57"/>
      <c r="OYK248" s="10"/>
      <c r="OYL248" s="57"/>
      <c r="OYM248" s="10"/>
      <c r="OYN248" s="57"/>
      <c r="OYO248" s="10"/>
      <c r="OYP248" s="57"/>
      <c r="OYQ248" s="10"/>
      <c r="OYR248" s="57"/>
      <c r="OYS248" s="10"/>
      <c r="OYT248" s="57"/>
      <c r="OYU248" s="10"/>
      <c r="OYV248" s="57"/>
      <c r="OYW248" s="10"/>
      <c r="OYX248" s="57"/>
      <c r="OYY248" s="10"/>
      <c r="OYZ248" s="57"/>
      <c r="OZA248" s="10"/>
      <c r="OZB248" s="57"/>
      <c r="OZC248" s="10"/>
      <c r="OZD248" s="57"/>
      <c r="OZE248" s="10"/>
      <c r="OZF248" s="57"/>
      <c r="OZG248" s="10"/>
      <c r="OZH248" s="57"/>
      <c r="OZI248" s="10"/>
      <c r="OZJ248" s="57"/>
      <c r="OZK248" s="10"/>
      <c r="OZL248" s="57"/>
      <c r="OZM248" s="10"/>
      <c r="OZN248" s="57"/>
      <c r="OZO248" s="10"/>
      <c r="OZP248" s="57"/>
      <c r="OZQ248" s="10"/>
      <c r="OZR248" s="57"/>
      <c r="OZS248" s="10"/>
      <c r="OZT248" s="57"/>
      <c r="OZU248" s="10"/>
      <c r="OZV248" s="57"/>
      <c r="OZW248" s="10"/>
      <c r="OZX248" s="57"/>
      <c r="OZY248" s="10"/>
      <c r="OZZ248" s="57"/>
      <c r="PAA248" s="10"/>
      <c r="PAB248" s="57"/>
      <c r="PAC248" s="10"/>
      <c r="PAD248" s="57"/>
      <c r="PAE248" s="10"/>
      <c r="PAF248" s="57"/>
      <c r="PAG248" s="10"/>
      <c r="PAH248" s="57"/>
      <c r="PAI248" s="10"/>
      <c r="PAJ248" s="57"/>
      <c r="PAK248" s="10"/>
      <c r="PAL248" s="57"/>
      <c r="PAM248" s="10"/>
      <c r="PAN248" s="57"/>
      <c r="PAO248" s="10"/>
      <c r="PAP248" s="57"/>
      <c r="PAQ248" s="10"/>
      <c r="PAR248" s="57"/>
      <c r="PAS248" s="10"/>
      <c r="PAT248" s="57"/>
      <c r="PAU248" s="10"/>
      <c r="PAV248" s="57"/>
      <c r="PAW248" s="10"/>
      <c r="PAX248" s="57"/>
      <c r="PAY248" s="10"/>
      <c r="PAZ248" s="57"/>
      <c r="PBA248" s="10"/>
      <c r="PBB248" s="57"/>
      <c r="PBC248" s="10"/>
      <c r="PBD248" s="57"/>
      <c r="PBE248" s="10"/>
      <c r="PBF248" s="57"/>
      <c r="PBG248" s="10"/>
      <c r="PBH248" s="57"/>
      <c r="PBI248" s="10"/>
      <c r="PBJ248" s="57"/>
      <c r="PBK248" s="10"/>
      <c r="PBL248" s="57"/>
      <c r="PBM248" s="10"/>
      <c r="PBN248" s="57"/>
      <c r="PBO248" s="10"/>
      <c r="PBP248" s="57"/>
      <c r="PBQ248" s="10"/>
      <c r="PBR248" s="57"/>
      <c r="PBS248" s="10"/>
      <c r="PBT248" s="57"/>
      <c r="PBU248" s="10"/>
      <c r="PBV248" s="57"/>
      <c r="PBW248" s="10"/>
      <c r="PBX248" s="57"/>
      <c r="PBY248" s="10"/>
      <c r="PBZ248" s="57"/>
      <c r="PCA248" s="10"/>
      <c r="PCB248" s="57"/>
      <c r="PCC248" s="10"/>
      <c r="PCD248" s="57"/>
      <c r="PCE248" s="10"/>
      <c r="PCF248" s="57"/>
      <c r="PCG248" s="10"/>
      <c r="PCH248" s="57"/>
      <c r="PCI248" s="10"/>
      <c r="PCJ248" s="57"/>
      <c r="PCK248" s="10"/>
      <c r="PCL248" s="57"/>
      <c r="PCM248" s="10"/>
      <c r="PCN248" s="57"/>
      <c r="PCO248" s="10"/>
      <c r="PCP248" s="57"/>
      <c r="PCQ248" s="10"/>
      <c r="PCR248" s="57"/>
      <c r="PCS248" s="10"/>
      <c r="PCT248" s="57"/>
      <c r="PCU248" s="10"/>
      <c r="PCV248" s="57"/>
      <c r="PCW248" s="10"/>
      <c r="PCX248" s="57"/>
      <c r="PCY248" s="10"/>
      <c r="PCZ248" s="57"/>
      <c r="PDA248" s="10"/>
      <c r="PDB248" s="57"/>
      <c r="PDC248" s="10"/>
      <c r="PDD248" s="57"/>
      <c r="PDE248" s="10"/>
      <c r="PDF248" s="57"/>
      <c r="PDG248" s="10"/>
      <c r="PDH248" s="57"/>
      <c r="PDI248" s="10"/>
      <c r="PDJ248" s="57"/>
      <c r="PDK248" s="10"/>
      <c r="PDL248" s="57"/>
      <c r="PDM248" s="10"/>
      <c r="PDN248" s="57"/>
      <c r="PDO248" s="10"/>
      <c r="PDP248" s="57"/>
      <c r="PDQ248" s="10"/>
      <c r="PDR248" s="57"/>
      <c r="PDS248" s="10"/>
      <c r="PDT248" s="57"/>
      <c r="PDU248" s="10"/>
      <c r="PDV248" s="57"/>
      <c r="PDW248" s="10"/>
      <c r="PDX248" s="57"/>
      <c r="PDY248" s="10"/>
      <c r="PDZ248" s="57"/>
      <c r="PEA248" s="10"/>
      <c r="PEB248" s="57"/>
      <c r="PEC248" s="10"/>
      <c r="PED248" s="57"/>
      <c r="PEE248" s="10"/>
      <c r="PEF248" s="57"/>
      <c r="PEG248" s="10"/>
      <c r="PEH248" s="57"/>
      <c r="PEI248" s="10"/>
      <c r="PEJ248" s="57"/>
      <c r="PEK248" s="10"/>
      <c r="PEL248" s="57"/>
      <c r="PEM248" s="10"/>
      <c r="PEN248" s="57"/>
      <c r="PEO248" s="10"/>
      <c r="PEP248" s="57"/>
      <c r="PEQ248" s="10"/>
      <c r="PER248" s="57"/>
      <c r="PES248" s="10"/>
      <c r="PET248" s="57"/>
      <c r="PEU248" s="10"/>
      <c r="PEV248" s="57"/>
      <c r="PEW248" s="10"/>
      <c r="PEX248" s="57"/>
      <c r="PEY248" s="10"/>
      <c r="PEZ248" s="57"/>
      <c r="PFA248" s="10"/>
      <c r="PFB248" s="57"/>
      <c r="PFC248" s="10"/>
      <c r="PFD248" s="57"/>
      <c r="PFE248" s="10"/>
      <c r="PFF248" s="57"/>
      <c r="PFG248" s="10"/>
      <c r="PFH248" s="57"/>
      <c r="PFI248" s="10"/>
      <c r="PFJ248" s="57"/>
      <c r="PFK248" s="10"/>
      <c r="PFL248" s="57"/>
      <c r="PFM248" s="10"/>
      <c r="PFN248" s="57"/>
      <c r="PFO248" s="10"/>
      <c r="PFP248" s="57"/>
      <c r="PFQ248" s="10"/>
      <c r="PFR248" s="57"/>
      <c r="PFS248" s="10"/>
      <c r="PFT248" s="57"/>
      <c r="PFU248" s="10"/>
      <c r="PFV248" s="57"/>
      <c r="PFW248" s="10"/>
      <c r="PFX248" s="57"/>
      <c r="PFY248" s="10"/>
      <c r="PFZ248" s="57"/>
      <c r="PGA248" s="10"/>
      <c r="PGB248" s="57"/>
      <c r="PGC248" s="10"/>
      <c r="PGD248" s="57"/>
      <c r="PGE248" s="10"/>
      <c r="PGF248" s="57"/>
      <c r="PGG248" s="10"/>
      <c r="PGH248" s="57"/>
      <c r="PGI248" s="10"/>
      <c r="PGJ248" s="57"/>
      <c r="PGK248" s="10"/>
      <c r="PGL248" s="57"/>
      <c r="PGM248" s="10"/>
      <c r="PGN248" s="57"/>
      <c r="PGO248" s="10"/>
      <c r="PGP248" s="57"/>
      <c r="PGQ248" s="10"/>
      <c r="PGR248" s="57"/>
      <c r="PGS248" s="10"/>
      <c r="PGT248" s="57"/>
      <c r="PGU248" s="10"/>
      <c r="PGV248" s="57"/>
      <c r="PGW248" s="10"/>
      <c r="PGX248" s="57"/>
      <c r="PGY248" s="10"/>
      <c r="PGZ248" s="57"/>
      <c r="PHA248" s="10"/>
      <c r="PHB248" s="57"/>
      <c r="PHC248" s="10"/>
      <c r="PHD248" s="57"/>
      <c r="PHE248" s="10"/>
      <c r="PHF248" s="57"/>
      <c r="PHG248" s="10"/>
      <c r="PHH248" s="57"/>
      <c r="PHI248" s="10"/>
      <c r="PHJ248" s="57"/>
      <c r="PHK248" s="10"/>
      <c r="PHL248" s="57"/>
      <c r="PHM248" s="10"/>
      <c r="PHN248" s="57"/>
      <c r="PHO248" s="10"/>
      <c r="PHP248" s="57"/>
      <c r="PHQ248" s="10"/>
      <c r="PHR248" s="57"/>
      <c r="PHS248" s="10"/>
      <c r="PHT248" s="57"/>
      <c r="PHU248" s="10"/>
      <c r="PHV248" s="57"/>
      <c r="PHW248" s="10"/>
      <c r="PHX248" s="57"/>
      <c r="PHY248" s="10"/>
      <c r="PHZ248" s="57"/>
      <c r="PIA248" s="10"/>
      <c r="PIB248" s="57"/>
      <c r="PIC248" s="10"/>
      <c r="PID248" s="57"/>
      <c r="PIE248" s="10"/>
      <c r="PIF248" s="57"/>
      <c r="PIG248" s="10"/>
      <c r="PIH248" s="57"/>
      <c r="PII248" s="10"/>
      <c r="PIJ248" s="57"/>
      <c r="PIK248" s="10"/>
      <c r="PIL248" s="57"/>
      <c r="PIM248" s="10"/>
      <c r="PIN248" s="57"/>
      <c r="PIO248" s="10"/>
      <c r="PIP248" s="57"/>
      <c r="PIQ248" s="10"/>
      <c r="PIR248" s="57"/>
      <c r="PIS248" s="10"/>
      <c r="PIT248" s="57"/>
      <c r="PIU248" s="10"/>
      <c r="PIV248" s="57"/>
      <c r="PIW248" s="10"/>
      <c r="PIX248" s="57"/>
      <c r="PIY248" s="10"/>
      <c r="PIZ248" s="57"/>
      <c r="PJA248" s="10"/>
      <c r="PJB248" s="57"/>
      <c r="PJC248" s="10"/>
      <c r="PJD248" s="57"/>
      <c r="PJE248" s="10"/>
      <c r="PJF248" s="57"/>
      <c r="PJG248" s="10"/>
      <c r="PJH248" s="57"/>
      <c r="PJI248" s="10"/>
      <c r="PJJ248" s="57"/>
      <c r="PJK248" s="10"/>
      <c r="PJL248" s="57"/>
      <c r="PJM248" s="10"/>
      <c r="PJN248" s="57"/>
      <c r="PJO248" s="10"/>
      <c r="PJP248" s="57"/>
      <c r="PJQ248" s="10"/>
      <c r="PJR248" s="57"/>
      <c r="PJS248" s="10"/>
      <c r="PJT248" s="57"/>
      <c r="PJU248" s="10"/>
      <c r="PJV248" s="57"/>
      <c r="PJW248" s="10"/>
      <c r="PJX248" s="57"/>
      <c r="PJY248" s="10"/>
      <c r="PJZ248" s="57"/>
      <c r="PKA248" s="10"/>
      <c r="PKB248" s="57"/>
      <c r="PKC248" s="10"/>
      <c r="PKD248" s="57"/>
      <c r="PKE248" s="10"/>
      <c r="PKF248" s="57"/>
      <c r="PKG248" s="10"/>
      <c r="PKH248" s="57"/>
      <c r="PKI248" s="10"/>
      <c r="PKJ248" s="57"/>
      <c r="PKK248" s="10"/>
      <c r="PKL248" s="57"/>
      <c r="PKM248" s="10"/>
      <c r="PKN248" s="57"/>
      <c r="PKO248" s="10"/>
      <c r="PKP248" s="57"/>
      <c r="PKQ248" s="10"/>
      <c r="PKR248" s="57"/>
      <c r="PKS248" s="10"/>
      <c r="PKT248" s="57"/>
      <c r="PKU248" s="10"/>
      <c r="PKV248" s="57"/>
      <c r="PKW248" s="10"/>
      <c r="PKX248" s="57"/>
      <c r="PKY248" s="10"/>
      <c r="PKZ248" s="57"/>
      <c r="PLA248" s="10"/>
      <c r="PLB248" s="57"/>
      <c r="PLC248" s="10"/>
      <c r="PLD248" s="57"/>
      <c r="PLE248" s="10"/>
      <c r="PLF248" s="57"/>
      <c r="PLG248" s="10"/>
      <c r="PLH248" s="57"/>
      <c r="PLI248" s="10"/>
      <c r="PLJ248" s="57"/>
      <c r="PLK248" s="10"/>
      <c r="PLL248" s="57"/>
      <c r="PLM248" s="10"/>
      <c r="PLN248" s="57"/>
      <c r="PLO248" s="10"/>
      <c r="PLP248" s="57"/>
      <c r="PLQ248" s="10"/>
      <c r="PLR248" s="57"/>
      <c r="PLS248" s="10"/>
      <c r="PLT248" s="57"/>
      <c r="PLU248" s="10"/>
      <c r="PLV248" s="57"/>
      <c r="PLW248" s="10"/>
      <c r="PLX248" s="57"/>
      <c r="PLY248" s="10"/>
      <c r="PLZ248" s="57"/>
      <c r="PMA248" s="10"/>
      <c r="PMB248" s="57"/>
      <c r="PMC248" s="10"/>
      <c r="PMD248" s="57"/>
      <c r="PME248" s="10"/>
      <c r="PMF248" s="57"/>
      <c r="PMG248" s="10"/>
      <c r="PMH248" s="57"/>
      <c r="PMI248" s="10"/>
      <c r="PMJ248" s="57"/>
      <c r="PMK248" s="10"/>
      <c r="PML248" s="57"/>
      <c r="PMM248" s="10"/>
      <c r="PMN248" s="57"/>
      <c r="PMO248" s="10"/>
      <c r="PMP248" s="57"/>
      <c r="PMQ248" s="10"/>
      <c r="PMR248" s="57"/>
      <c r="PMS248" s="10"/>
      <c r="PMT248" s="57"/>
      <c r="PMU248" s="10"/>
      <c r="PMV248" s="57"/>
      <c r="PMW248" s="10"/>
      <c r="PMX248" s="57"/>
      <c r="PMY248" s="10"/>
      <c r="PMZ248" s="57"/>
      <c r="PNA248" s="10"/>
      <c r="PNB248" s="57"/>
      <c r="PNC248" s="10"/>
      <c r="PND248" s="57"/>
      <c r="PNE248" s="10"/>
      <c r="PNF248" s="57"/>
      <c r="PNG248" s="10"/>
      <c r="PNH248" s="57"/>
      <c r="PNI248" s="10"/>
      <c r="PNJ248" s="57"/>
      <c r="PNK248" s="10"/>
      <c r="PNL248" s="57"/>
      <c r="PNM248" s="10"/>
      <c r="PNN248" s="57"/>
      <c r="PNO248" s="10"/>
      <c r="PNP248" s="57"/>
      <c r="PNQ248" s="10"/>
      <c r="PNR248" s="57"/>
      <c r="PNS248" s="10"/>
      <c r="PNT248" s="57"/>
      <c r="PNU248" s="10"/>
      <c r="PNV248" s="57"/>
      <c r="PNW248" s="10"/>
      <c r="PNX248" s="57"/>
      <c r="PNY248" s="10"/>
      <c r="PNZ248" s="57"/>
      <c r="POA248" s="10"/>
      <c r="POB248" s="57"/>
      <c r="POC248" s="10"/>
      <c r="POD248" s="57"/>
      <c r="POE248" s="10"/>
      <c r="POF248" s="57"/>
      <c r="POG248" s="10"/>
      <c r="POH248" s="57"/>
      <c r="POI248" s="10"/>
      <c r="POJ248" s="57"/>
      <c r="POK248" s="10"/>
      <c r="POL248" s="57"/>
      <c r="POM248" s="10"/>
      <c r="PON248" s="57"/>
      <c r="POO248" s="10"/>
      <c r="POP248" s="57"/>
      <c r="POQ248" s="10"/>
      <c r="POR248" s="57"/>
      <c r="POS248" s="10"/>
      <c r="POT248" s="57"/>
      <c r="POU248" s="10"/>
      <c r="POV248" s="57"/>
      <c r="POW248" s="10"/>
      <c r="POX248" s="57"/>
      <c r="POY248" s="10"/>
      <c r="POZ248" s="57"/>
      <c r="PPA248" s="10"/>
      <c r="PPB248" s="57"/>
      <c r="PPC248" s="10"/>
      <c r="PPD248" s="57"/>
      <c r="PPE248" s="10"/>
      <c r="PPF248" s="57"/>
      <c r="PPG248" s="10"/>
      <c r="PPH248" s="57"/>
      <c r="PPI248" s="10"/>
      <c r="PPJ248" s="57"/>
      <c r="PPK248" s="10"/>
      <c r="PPL248" s="57"/>
      <c r="PPM248" s="10"/>
      <c r="PPN248" s="57"/>
      <c r="PPO248" s="10"/>
      <c r="PPP248" s="57"/>
      <c r="PPQ248" s="10"/>
      <c r="PPR248" s="57"/>
      <c r="PPS248" s="10"/>
      <c r="PPT248" s="57"/>
      <c r="PPU248" s="10"/>
      <c r="PPV248" s="57"/>
      <c r="PPW248" s="10"/>
      <c r="PPX248" s="57"/>
      <c r="PPY248" s="10"/>
      <c r="PPZ248" s="57"/>
      <c r="PQA248" s="10"/>
      <c r="PQB248" s="57"/>
      <c r="PQC248" s="10"/>
      <c r="PQD248" s="57"/>
      <c r="PQE248" s="10"/>
      <c r="PQF248" s="57"/>
      <c r="PQG248" s="10"/>
      <c r="PQH248" s="57"/>
      <c r="PQI248" s="10"/>
      <c r="PQJ248" s="57"/>
      <c r="PQK248" s="10"/>
      <c r="PQL248" s="57"/>
      <c r="PQM248" s="10"/>
      <c r="PQN248" s="57"/>
      <c r="PQO248" s="10"/>
      <c r="PQP248" s="57"/>
      <c r="PQQ248" s="10"/>
      <c r="PQR248" s="57"/>
      <c r="PQS248" s="10"/>
      <c r="PQT248" s="57"/>
      <c r="PQU248" s="10"/>
      <c r="PQV248" s="57"/>
      <c r="PQW248" s="10"/>
      <c r="PQX248" s="57"/>
      <c r="PQY248" s="10"/>
      <c r="PQZ248" s="57"/>
      <c r="PRA248" s="10"/>
      <c r="PRB248" s="57"/>
      <c r="PRC248" s="10"/>
      <c r="PRD248" s="57"/>
      <c r="PRE248" s="10"/>
      <c r="PRF248" s="57"/>
      <c r="PRG248" s="10"/>
      <c r="PRH248" s="57"/>
      <c r="PRI248" s="10"/>
      <c r="PRJ248" s="57"/>
      <c r="PRK248" s="10"/>
      <c r="PRL248" s="57"/>
      <c r="PRM248" s="10"/>
      <c r="PRN248" s="57"/>
      <c r="PRO248" s="10"/>
      <c r="PRP248" s="57"/>
      <c r="PRQ248" s="10"/>
      <c r="PRR248" s="57"/>
      <c r="PRS248" s="10"/>
      <c r="PRT248" s="57"/>
      <c r="PRU248" s="10"/>
      <c r="PRV248" s="57"/>
      <c r="PRW248" s="10"/>
      <c r="PRX248" s="57"/>
      <c r="PRY248" s="10"/>
      <c r="PRZ248" s="57"/>
      <c r="PSA248" s="10"/>
      <c r="PSB248" s="57"/>
      <c r="PSC248" s="10"/>
      <c r="PSD248" s="57"/>
      <c r="PSE248" s="10"/>
      <c r="PSF248" s="57"/>
      <c r="PSG248" s="10"/>
      <c r="PSH248" s="57"/>
      <c r="PSI248" s="10"/>
      <c r="PSJ248" s="57"/>
      <c r="PSK248" s="10"/>
      <c r="PSL248" s="57"/>
      <c r="PSM248" s="10"/>
      <c r="PSN248" s="57"/>
      <c r="PSO248" s="10"/>
      <c r="PSP248" s="57"/>
      <c r="PSQ248" s="10"/>
      <c r="PSR248" s="57"/>
      <c r="PSS248" s="10"/>
      <c r="PST248" s="57"/>
      <c r="PSU248" s="10"/>
      <c r="PSV248" s="57"/>
      <c r="PSW248" s="10"/>
      <c r="PSX248" s="57"/>
      <c r="PSY248" s="10"/>
      <c r="PSZ248" s="57"/>
      <c r="PTA248" s="10"/>
      <c r="PTB248" s="57"/>
      <c r="PTC248" s="10"/>
      <c r="PTD248" s="57"/>
      <c r="PTE248" s="10"/>
      <c r="PTF248" s="57"/>
      <c r="PTG248" s="10"/>
      <c r="PTH248" s="57"/>
      <c r="PTI248" s="10"/>
      <c r="PTJ248" s="57"/>
      <c r="PTK248" s="10"/>
      <c r="PTL248" s="57"/>
      <c r="PTM248" s="10"/>
      <c r="PTN248" s="57"/>
      <c r="PTO248" s="10"/>
      <c r="PTP248" s="57"/>
      <c r="PTQ248" s="10"/>
      <c r="PTR248" s="57"/>
      <c r="PTS248" s="10"/>
      <c r="PTT248" s="57"/>
      <c r="PTU248" s="10"/>
      <c r="PTV248" s="57"/>
      <c r="PTW248" s="10"/>
      <c r="PTX248" s="57"/>
      <c r="PTY248" s="10"/>
      <c r="PTZ248" s="57"/>
      <c r="PUA248" s="10"/>
      <c r="PUB248" s="57"/>
      <c r="PUC248" s="10"/>
      <c r="PUD248" s="57"/>
      <c r="PUE248" s="10"/>
      <c r="PUF248" s="57"/>
      <c r="PUG248" s="10"/>
      <c r="PUH248" s="57"/>
      <c r="PUI248" s="10"/>
      <c r="PUJ248" s="57"/>
      <c r="PUK248" s="10"/>
      <c r="PUL248" s="57"/>
      <c r="PUM248" s="10"/>
      <c r="PUN248" s="57"/>
      <c r="PUO248" s="10"/>
      <c r="PUP248" s="57"/>
      <c r="PUQ248" s="10"/>
      <c r="PUR248" s="57"/>
      <c r="PUS248" s="10"/>
      <c r="PUT248" s="57"/>
      <c r="PUU248" s="10"/>
      <c r="PUV248" s="57"/>
      <c r="PUW248" s="10"/>
      <c r="PUX248" s="57"/>
      <c r="PUY248" s="10"/>
      <c r="PUZ248" s="57"/>
      <c r="PVA248" s="10"/>
      <c r="PVB248" s="57"/>
      <c r="PVC248" s="10"/>
      <c r="PVD248" s="57"/>
      <c r="PVE248" s="10"/>
      <c r="PVF248" s="57"/>
      <c r="PVG248" s="10"/>
      <c r="PVH248" s="57"/>
      <c r="PVI248" s="10"/>
      <c r="PVJ248" s="57"/>
      <c r="PVK248" s="10"/>
      <c r="PVL248" s="57"/>
      <c r="PVM248" s="10"/>
      <c r="PVN248" s="57"/>
      <c r="PVO248" s="10"/>
      <c r="PVP248" s="57"/>
      <c r="PVQ248" s="10"/>
      <c r="PVR248" s="57"/>
      <c r="PVS248" s="10"/>
      <c r="PVT248" s="57"/>
      <c r="PVU248" s="10"/>
      <c r="PVV248" s="57"/>
      <c r="PVW248" s="10"/>
      <c r="PVX248" s="57"/>
      <c r="PVY248" s="10"/>
      <c r="PVZ248" s="57"/>
      <c r="PWA248" s="10"/>
      <c r="PWB248" s="57"/>
      <c r="PWC248" s="10"/>
      <c r="PWD248" s="57"/>
      <c r="PWE248" s="10"/>
      <c r="PWF248" s="57"/>
      <c r="PWG248" s="10"/>
      <c r="PWH248" s="57"/>
      <c r="PWI248" s="10"/>
      <c r="PWJ248" s="57"/>
      <c r="PWK248" s="10"/>
      <c r="PWL248" s="57"/>
      <c r="PWM248" s="10"/>
      <c r="PWN248" s="57"/>
      <c r="PWO248" s="10"/>
      <c r="PWP248" s="57"/>
      <c r="PWQ248" s="10"/>
      <c r="PWR248" s="57"/>
      <c r="PWS248" s="10"/>
      <c r="PWT248" s="57"/>
      <c r="PWU248" s="10"/>
      <c r="PWV248" s="57"/>
      <c r="PWW248" s="10"/>
      <c r="PWX248" s="57"/>
      <c r="PWY248" s="10"/>
      <c r="PWZ248" s="57"/>
      <c r="PXA248" s="10"/>
      <c r="PXB248" s="57"/>
      <c r="PXC248" s="10"/>
      <c r="PXD248" s="57"/>
      <c r="PXE248" s="10"/>
      <c r="PXF248" s="57"/>
      <c r="PXG248" s="10"/>
      <c r="PXH248" s="57"/>
      <c r="PXI248" s="10"/>
      <c r="PXJ248" s="57"/>
      <c r="PXK248" s="10"/>
      <c r="PXL248" s="57"/>
      <c r="PXM248" s="10"/>
      <c r="PXN248" s="57"/>
      <c r="PXO248" s="10"/>
      <c r="PXP248" s="57"/>
      <c r="PXQ248" s="10"/>
      <c r="PXR248" s="57"/>
      <c r="PXS248" s="10"/>
      <c r="PXT248" s="57"/>
      <c r="PXU248" s="10"/>
      <c r="PXV248" s="57"/>
      <c r="PXW248" s="10"/>
      <c r="PXX248" s="57"/>
      <c r="PXY248" s="10"/>
      <c r="PXZ248" s="57"/>
      <c r="PYA248" s="10"/>
      <c r="PYB248" s="57"/>
      <c r="PYC248" s="10"/>
      <c r="PYD248" s="57"/>
      <c r="PYE248" s="10"/>
      <c r="PYF248" s="57"/>
      <c r="PYG248" s="10"/>
      <c r="PYH248" s="57"/>
      <c r="PYI248" s="10"/>
      <c r="PYJ248" s="57"/>
      <c r="PYK248" s="10"/>
      <c r="PYL248" s="57"/>
      <c r="PYM248" s="10"/>
      <c r="PYN248" s="57"/>
      <c r="PYO248" s="10"/>
      <c r="PYP248" s="57"/>
      <c r="PYQ248" s="10"/>
      <c r="PYR248" s="57"/>
      <c r="PYS248" s="10"/>
      <c r="PYT248" s="57"/>
      <c r="PYU248" s="10"/>
      <c r="PYV248" s="57"/>
      <c r="PYW248" s="10"/>
      <c r="PYX248" s="57"/>
      <c r="PYY248" s="10"/>
      <c r="PYZ248" s="57"/>
      <c r="PZA248" s="10"/>
      <c r="PZB248" s="57"/>
      <c r="PZC248" s="10"/>
      <c r="PZD248" s="57"/>
      <c r="PZE248" s="10"/>
      <c r="PZF248" s="57"/>
      <c r="PZG248" s="10"/>
      <c r="PZH248" s="57"/>
      <c r="PZI248" s="10"/>
      <c r="PZJ248" s="57"/>
      <c r="PZK248" s="10"/>
      <c r="PZL248" s="57"/>
      <c r="PZM248" s="10"/>
      <c r="PZN248" s="57"/>
      <c r="PZO248" s="10"/>
      <c r="PZP248" s="57"/>
      <c r="PZQ248" s="10"/>
      <c r="PZR248" s="57"/>
      <c r="PZS248" s="10"/>
      <c r="PZT248" s="57"/>
      <c r="PZU248" s="10"/>
      <c r="PZV248" s="57"/>
      <c r="PZW248" s="10"/>
      <c r="PZX248" s="57"/>
      <c r="PZY248" s="10"/>
      <c r="PZZ248" s="57"/>
      <c r="QAA248" s="10"/>
      <c r="QAB248" s="57"/>
      <c r="QAC248" s="10"/>
      <c r="QAD248" s="57"/>
      <c r="QAE248" s="10"/>
      <c r="QAF248" s="57"/>
      <c r="QAG248" s="10"/>
      <c r="QAH248" s="57"/>
      <c r="QAI248" s="10"/>
      <c r="QAJ248" s="57"/>
      <c r="QAK248" s="10"/>
      <c r="QAL248" s="57"/>
      <c r="QAM248" s="10"/>
      <c r="QAN248" s="57"/>
      <c r="QAO248" s="10"/>
      <c r="QAP248" s="57"/>
      <c r="QAQ248" s="10"/>
      <c r="QAR248" s="57"/>
      <c r="QAS248" s="10"/>
      <c r="QAT248" s="57"/>
      <c r="QAU248" s="10"/>
      <c r="QAV248" s="57"/>
      <c r="QAW248" s="10"/>
      <c r="QAX248" s="57"/>
      <c r="QAY248" s="10"/>
      <c r="QAZ248" s="57"/>
      <c r="QBA248" s="10"/>
      <c r="QBB248" s="57"/>
      <c r="QBC248" s="10"/>
      <c r="QBD248" s="57"/>
      <c r="QBE248" s="10"/>
      <c r="QBF248" s="57"/>
      <c r="QBG248" s="10"/>
      <c r="QBH248" s="57"/>
      <c r="QBI248" s="10"/>
      <c r="QBJ248" s="57"/>
      <c r="QBK248" s="10"/>
      <c r="QBL248" s="57"/>
      <c r="QBM248" s="10"/>
      <c r="QBN248" s="57"/>
      <c r="QBO248" s="10"/>
      <c r="QBP248" s="57"/>
      <c r="QBQ248" s="10"/>
      <c r="QBR248" s="57"/>
      <c r="QBS248" s="10"/>
      <c r="QBT248" s="57"/>
      <c r="QBU248" s="10"/>
      <c r="QBV248" s="57"/>
      <c r="QBW248" s="10"/>
      <c r="QBX248" s="57"/>
      <c r="QBY248" s="10"/>
      <c r="QBZ248" s="57"/>
      <c r="QCA248" s="10"/>
      <c r="QCB248" s="57"/>
      <c r="QCC248" s="10"/>
      <c r="QCD248" s="57"/>
      <c r="QCE248" s="10"/>
      <c r="QCF248" s="57"/>
      <c r="QCG248" s="10"/>
      <c r="QCH248" s="57"/>
      <c r="QCI248" s="10"/>
      <c r="QCJ248" s="57"/>
      <c r="QCK248" s="10"/>
      <c r="QCL248" s="57"/>
      <c r="QCM248" s="10"/>
      <c r="QCN248" s="57"/>
      <c r="QCO248" s="10"/>
      <c r="QCP248" s="57"/>
      <c r="QCQ248" s="10"/>
      <c r="QCR248" s="57"/>
      <c r="QCS248" s="10"/>
      <c r="QCT248" s="57"/>
      <c r="QCU248" s="10"/>
      <c r="QCV248" s="57"/>
      <c r="QCW248" s="10"/>
      <c r="QCX248" s="57"/>
      <c r="QCY248" s="10"/>
      <c r="QCZ248" s="57"/>
      <c r="QDA248" s="10"/>
      <c r="QDB248" s="57"/>
      <c r="QDC248" s="10"/>
      <c r="QDD248" s="57"/>
      <c r="QDE248" s="10"/>
      <c r="QDF248" s="57"/>
      <c r="QDG248" s="10"/>
      <c r="QDH248" s="57"/>
      <c r="QDI248" s="10"/>
      <c r="QDJ248" s="57"/>
      <c r="QDK248" s="10"/>
      <c r="QDL248" s="57"/>
      <c r="QDM248" s="10"/>
      <c r="QDN248" s="57"/>
      <c r="QDO248" s="10"/>
      <c r="QDP248" s="57"/>
      <c r="QDQ248" s="10"/>
      <c r="QDR248" s="57"/>
      <c r="QDS248" s="10"/>
      <c r="QDT248" s="57"/>
      <c r="QDU248" s="10"/>
      <c r="QDV248" s="57"/>
      <c r="QDW248" s="10"/>
      <c r="QDX248" s="57"/>
      <c r="QDY248" s="10"/>
      <c r="QDZ248" s="57"/>
      <c r="QEA248" s="10"/>
      <c r="QEB248" s="57"/>
      <c r="QEC248" s="10"/>
      <c r="QED248" s="57"/>
      <c r="QEE248" s="10"/>
      <c r="QEF248" s="57"/>
      <c r="QEG248" s="10"/>
      <c r="QEH248" s="57"/>
      <c r="QEI248" s="10"/>
      <c r="QEJ248" s="57"/>
      <c r="QEK248" s="10"/>
      <c r="QEL248" s="57"/>
      <c r="QEM248" s="10"/>
      <c r="QEN248" s="57"/>
      <c r="QEO248" s="10"/>
      <c r="QEP248" s="57"/>
      <c r="QEQ248" s="10"/>
      <c r="QER248" s="57"/>
      <c r="QES248" s="10"/>
      <c r="QET248" s="57"/>
      <c r="QEU248" s="10"/>
      <c r="QEV248" s="57"/>
      <c r="QEW248" s="10"/>
      <c r="QEX248" s="57"/>
      <c r="QEY248" s="10"/>
      <c r="QEZ248" s="57"/>
      <c r="QFA248" s="10"/>
      <c r="QFB248" s="57"/>
      <c r="QFC248" s="10"/>
      <c r="QFD248" s="57"/>
      <c r="QFE248" s="10"/>
      <c r="QFF248" s="57"/>
      <c r="QFG248" s="10"/>
      <c r="QFH248" s="57"/>
      <c r="QFI248" s="10"/>
      <c r="QFJ248" s="57"/>
      <c r="QFK248" s="10"/>
      <c r="QFL248" s="57"/>
      <c r="QFM248" s="10"/>
      <c r="QFN248" s="57"/>
      <c r="QFO248" s="10"/>
      <c r="QFP248" s="57"/>
      <c r="QFQ248" s="10"/>
      <c r="QFR248" s="57"/>
      <c r="QFS248" s="10"/>
      <c r="QFT248" s="57"/>
      <c r="QFU248" s="10"/>
      <c r="QFV248" s="57"/>
      <c r="QFW248" s="10"/>
      <c r="QFX248" s="57"/>
      <c r="QFY248" s="10"/>
      <c r="QFZ248" s="57"/>
      <c r="QGA248" s="10"/>
      <c r="QGB248" s="57"/>
      <c r="QGC248" s="10"/>
      <c r="QGD248" s="57"/>
      <c r="QGE248" s="10"/>
      <c r="QGF248" s="57"/>
      <c r="QGG248" s="10"/>
      <c r="QGH248" s="57"/>
      <c r="QGI248" s="10"/>
      <c r="QGJ248" s="57"/>
      <c r="QGK248" s="10"/>
      <c r="QGL248" s="57"/>
      <c r="QGM248" s="10"/>
      <c r="QGN248" s="57"/>
      <c r="QGO248" s="10"/>
      <c r="QGP248" s="57"/>
      <c r="QGQ248" s="10"/>
      <c r="QGR248" s="57"/>
      <c r="QGS248" s="10"/>
      <c r="QGT248" s="57"/>
      <c r="QGU248" s="10"/>
      <c r="QGV248" s="57"/>
      <c r="QGW248" s="10"/>
      <c r="QGX248" s="57"/>
      <c r="QGY248" s="10"/>
      <c r="QGZ248" s="57"/>
      <c r="QHA248" s="10"/>
      <c r="QHB248" s="57"/>
      <c r="QHC248" s="10"/>
      <c r="QHD248" s="57"/>
      <c r="QHE248" s="10"/>
      <c r="QHF248" s="57"/>
      <c r="QHG248" s="10"/>
      <c r="QHH248" s="57"/>
      <c r="QHI248" s="10"/>
      <c r="QHJ248" s="57"/>
      <c r="QHK248" s="10"/>
      <c r="QHL248" s="57"/>
      <c r="QHM248" s="10"/>
      <c r="QHN248" s="57"/>
      <c r="QHO248" s="10"/>
      <c r="QHP248" s="57"/>
      <c r="QHQ248" s="10"/>
      <c r="QHR248" s="57"/>
      <c r="QHS248" s="10"/>
      <c r="QHT248" s="57"/>
      <c r="QHU248" s="10"/>
      <c r="QHV248" s="57"/>
      <c r="QHW248" s="10"/>
      <c r="QHX248" s="57"/>
      <c r="QHY248" s="10"/>
      <c r="QHZ248" s="57"/>
      <c r="QIA248" s="10"/>
      <c r="QIB248" s="57"/>
      <c r="QIC248" s="10"/>
      <c r="QID248" s="57"/>
      <c r="QIE248" s="10"/>
      <c r="QIF248" s="57"/>
      <c r="QIG248" s="10"/>
      <c r="QIH248" s="57"/>
      <c r="QII248" s="10"/>
      <c r="QIJ248" s="57"/>
      <c r="QIK248" s="10"/>
      <c r="QIL248" s="57"/>
      <c r="QIM248" s="10"/>
      <c r="QIN248" s="57"/>
      <c r="QIO248" s="10"/>
      <c r="QIP248" s="57"/>
      <c r="QIQ248" s="10"/>
      <c r="QIR248" s="57"/>
      <c r="QIS248" s="10"/>
      <c r="QIT248" s="57"/>
      <c r="QIU248" s="10"/>
      <c r="QIV248" s="57"/>
      <c r="QIW248" s="10"/>
      <c r="QIX248" s="57"/>
      <c r="QIY248" s="10"/>
      <c r="QIZ248" s="57"/>
      <c r="QJA248" s="10"/>
      <c r="QJB248" s="57"/>
      <c r="QJC248" s="10"/>
      <c r="QJD248" s="57"/>
      <c r="QJE248" s="10"/>
      <c r="QJF248" s="57"/>
      <c r="QJG248" s="10"/>
      <c r="QJH248" s="57"/>
      <c r="QJI248" s="10"/>
      <c r="QJJ248" s="57"/>
      <c r="QJK248" s="10"/>
      <c r="QJL248" s="57"/>
      <c r="QJM248" s="10"/>
      <c r="QJN248" s="57"/>
      <c r="QJO248" s="10"/>
      <c r="QJP248" s="57"/>
      <c r="QJQ248" s="10"/>
      <c r="QJR248" s="57"/>
      <c r="QJS248" s="10"/>
      <c r="QJT248" s="57"/>
      <c r="QJU248" s="10"/>
      <c r="QJV248" s="57"/>
      <c r="QJW248" s="10"/>
      <c r="QJX248" s="57"/>
      <c r="QJY248" s="10"/>
      <c r="QJZ248" s="57"/>
      <c r="QKA248" s="10"/>
      <c r="QKB248" s="57"/>
      <c r="QKC248" s="10"/>
      <c r="QKD248" s="57"/>
      <c r="QKE248" s="10"/>
      <c r="QKF248" s="57"/>
      <c r="QKG248" s="10"/>
      <c r="QKH248" s="57"/>
      <c r="QKI248" s="10"/>
      <c r="QKJ248" s="57"/>
      <c r="QKK248" s="10"/>
      <c r="QKL248" s="57"/>
      <c r="QKM248" s="10"/>
      <c r="QKN248" s="57"/>
      <c r="QKO248" s="10"/>
      <c r="QKP248" s="57"/>
      <c r="QKQ248" s="10"/>
      <c r="QKR248" s="57"/>
      <c r="QKS248" s="10"/>
      <c r="QKT248" s="57"/>
      <c r="QKU248" s="10"/>
      <c r="QKV248" s="57"/>
      <c r="QKW248" s="10"/>
      <c r="QKX248" s="57"/>
      <c r="QKY248" s="10"/>
      <c r="QKZ248" s="57"/>
      <c r="QLA248" s="10"/>
      <c r="QLB248" s="57"/>
      <c r="QLC248" s="10"/>
      <c r="QLD248" s="57"/>
      <c r="QLE248" s="10"/>
      <c r="QLF248" s="57"/>
      <c r="QLG248" s="10"/>
      <c r="QLH248" s="57"/>
      <c r="QLI248" s="10"/>
      <c r="QLJ248" s="57"/>
      <c r="QLK248" s="10"/>
      <c r="QLL248" s="57"/>
      <c r="QLM248" s="10"/>
      <c r="QLN248" s="57"/>
      <c r="QLO248" s="10"/>
      <c r="QLP248" s="57"/>
      <c r="QLQ248" s="10"/>
      <c r="QLR248" s="57"/>
      <c r="QLS248" s="10"/>
      <c r="QLT248" s="57"/>
      <c r="QLU248" s="10"/>
      <c r="QLV248" s="57"/>
      <c r="QLW248" s="10"/>
      <c r="QLX248" s="57"/>
      <c r="QLY248" s="10"/>
      <c r="QLZ248" s="57"/>
      <c r="QMA248" s="10"/>
      <c r="QMB248" s="57"/>
      <c r="QMC248" s="10"/>
      <c r="QMD248" s="57"/>
      <c r="QME248" s="10"/>
      <c r="QMF248" s="57"/>
      <c r="QMG248" s="10"/>
      <c r="QMH248" s="57"/>
      <c r="QMI248" s="10"/>
      <c r="QMJ248" s="57"/>
      <c r="QMK248" s="10"/>
      <c r="QML248" s="57"/>
      <c r="QMM248" s="10"/>
      <c r="QMN248" s="57"/>
      <c r="QMO248" s="10"/>
      <c r="QMP248" s="57"/>
      <c r="QMQ248" s="10"/>
      <c r="QMR248" s="57"/>
      <c r="QMS248" s="10"/>
      <c r="QMT248" s="57"/>
      <c r="QMU248" s="10"/>
      <c r="QMV248" s="57"/>
      <c r="QMW248" s="10"/>
      <c r="QMX248" s="57"/>
      <c r="QMY248" s="10"/>
      <c r="QMZ248" s="57"/>
      <c r="QNA248" s="10"/>
      <c r="QNB248" s="57"/>
      <c r="QNC248" s="10"/>
      <c r="QND248" s="57"/>
      <c r="QNE248" s="10"/>
      <c r="QNF248" s="57"/>
      <c r="QNG248" s="10"/>
      <c r="QNH248" s="57"/>
      <c r="QNI248" s="10"/>
      <c r="QNJ248" s="57"/>
      <c r="QNK248" s="10"/>
      <c r="QNL248" s="57"/>
      <c r="QNM248" s="10"/>
      <c r="QNN248" s="57"/>
      <c r="QNO248" s="10"/>
      <c r="QNP248" s="57"/>
      <c r="QNQ248" s="10"/>
      <c r="QNR248" s="57"/>
      <c r="QNS248" s="10"/>
      <c r="QNT248" s="57"/>
      <c r="QNU248" s="10"/>
      <c r="QNV248" s="57"/>
      <c r="QNW248" s="10"/>
      <c r="QNX248" s="57"/>
      <c r="QNY248" s="10"/>
      <c r="QNZ248" s="57"/>
      <c r="QOA248" s="10"/>
      <c r="QOB248" s="57"/>
      <c r="QOC248" s="10"/>
      <c r="QOD248" s="57"/>
      <c r="QOE248" s="10"/>
      <c r="QOF248" s="57"/>
      <c r="QOG248" s="10"/>
      <c r="QOH248" s="57"/>
      <c r="QOI248" s="10"/>
      <c r="QOJ248" s="57"/>
      <c r="QOK248" s="10"/>
      <c r="QOL248" s="57"/>
      <c r="QOM248" s="10"/>
      <c r="QON248" s="57"/>
      <c r="QOO248" s="10"/>
      <c r="QOP248" s="57"/>
      <c r="QOQ248" s="10"/>
      <c r="QOR248" s="57"/>
      <c r="QOS248" s="10"/>
      <c r="QOT248" s="57"/>
      <c r="QOU248" s="10"/>
      <c r="QOV248" s="57"/>
      <c r="QOW248" s="10"/>
      <c r="QOX248" s="57"/>
      <c r="QOY248" s="10"/>
      <c r="QOZ248" s="57"/>
      <c r="QPA248" s="10"/>
      <c r="QPB248" s="57"/>
      <c r="QPC248" s="10"/>
      <c r="QPD248" s="57"/>
      <c r="QPE248" s="10"/>
      <c r="QPF248" s="57"/>
      <c r="QPG248" s="10"/>
      <c r="QPH248" s="57"/>
      <c r="QPI248" s="10"/>
      <c r="QPJ248" s="57"/>
      <c r="QPK248" s="10"/>
      <c r="QPL248" s="57"/>
      <c r="QPM248" s="10"/>
      <c r="QPN248" s="57"/>
      <c r="QPO248" s="10"/>
      <c r="QPP248" s="57"/>
      <c r="QPQ248" s="10"/>
      <c r="QPR248" s="57"/>
      <c r="QPS248" s="10"/>
      <c r="QPT248" s="57"/>
      <c r="QPU248" s="10"/>
      <c r="QPV248" s="57"/>
      <c r="QPW248" s="10"/>
      <c r="QPX248" s="57"/>
      <c r="QPY248" s="10"/>
      <c r="QPZ248" s="57"/>
      <c r="QQA248" s="10"/>
      <c r="QQB248" s="57"/>
      <c r="QQC248" s="10"/>
      <c r="QQD248" s="57"/>
      <c r="QQE248" s="10"/>
      <c r="QQF248" s="57"/>
      <c r="QQG248" s="10"/>
      <c r="QQH248" s="57"/>
      <c r="QQI248" s="10"/>
      <c r="QQJ248" s="57"/>
      <c r="QQK248" s="10"/>
      <c r="QQL248" s="57"/>
      <c r="QQM248" s="10"/>
      <c r="QQN248" s="57"/>
      <c r="QQO248" s="10"/>
      <c r="QQP248" s="57"/>
      <c r="QQQ248" s="10"/>
      <c r="QQR248" s="57"/>
      <c r="QQS248" s="10"/>
      <c r="QQT248" s="57"/>
      <c r="QQU248" s="10"/>
      <c r="QQV248" s="57"/>
      <c r="QQW248" s="10"/>
      <c r="QQX248" s="57"/>
      <c r="QQY248" s="10"/>
      <c r="QQZ248" s="57"/>
      <c r="QRA248" s="10"/>
      <c r="QRB248" s="57"/>
      <c r="QRC248" s="10"/>
      <c r="QRD248" s="57"/>
      <c r="QRE248" s="10"/>
      <c r="QRF248" s="57"/>
      <c r="QRG248" s="10"/>
      <c r="QRH248" s="57"/>
      <c r="QRI248" s="10"/>
      <c r="QRJ248" s="57"/>
      <c r="QRK248" s="10"/>
      <c r="QRL248" s="57"/>
      <c r="QRM248" s="10"/>
      <c r="QRN248" s="57"/>
      <c r="QRO248" s="10"/>
      <c r="QRP248" s="57"/>
      <c r="QRQ248" s="10"/>
      <c r="QRR248" s="57"/>
      <c r="QRS248" s="10"/>
      <c r="QRT248" s="57"/>
      <c r="QRU248" s="10"/>
      <c r="QRV248" s="57"/>
      <c r="QRW248" s="10"/>
      <c r="QRX248" s="57"/>
      <c r="QRY248" s="10"/>
      <c r="QRZ248" s="57"/>
      <c r="QSA248" s="10"/>
      <c r="QSB248" s="57"/>
      <c r="QSC248" s="10"/>
      <c r="QSD248" s="57"/>
      <c r="QSE248" s="10"/>
      <c r="QSF248" s="57"/>
      <c r="QSG248" s="10"/>
      <c r="QSH248" s="57"/>
      <c r="QSI248" s="10"/>
      <c r="QSJ248" s="57"/>
      <c r="QSK248" s="10"/>
      <c r="QSL248" s="57"/>
      <c r="QSM248" s="10"/>
      <c r="QSN248" s="57"/>
      <c r="QSO248" s="10"/>
      <c r="QSP248" s="57"/>
      <c r="QSQ248" s="10"/>
      <c r="QSR248" s="57"/>
      <c r="QSS248" s="10"/>
      <c r="QST248" s="57"/>
      <c r="QSU248" s="10"/>
      <c r="QSV248" s="57"/>
      <c r="QSW248" s="10"/>
      <c r="QSX248" s="57"/>
      <c r="QSY248" s="10"/>
      <c r="QSZ248" s="57"/>
      <c r="QTA248" s="10"/>
      <c r="QTB248" s="57"/>
      <c r="QTC248" s="10"/>
      <c r="QTD248" s="57"/>
      <c r="QTE248" s="10"/>
      <c r="QTF248" s="57"/>
      <c r="QTG248" s="10"/>
      <c r="QTH248" s="57"/>
      <c r="QTI248" s="10"/>
      <c r="QTJ248" s="57"/>
      <c r="QTK248" s="10"/>
      <c r="QTL248" s="57"/>
      <c r="QTM248" s="10"/>
      <c r="QTN248" s="57"/>
      <c r="QTO248" s="10"/>
      <c r="QTP248" s="57"/>
      <c r="QTQ248" s="10"/>
      <c r="QTR248" s="57"/>
      <c r="QTS248" s="10"/>
      <c r="QTT248" s="57"/>
      <c r="QTU248" s="10"/>
      <c r="QTV248" s="57"/>
      <c r="QTW248" s="10"/>
      <c r="QTX248" s="57"/>
      <c r="QTY248" s="10"/>
      <c r="QTZ248" s="57"/>
      <c r="QUA248" s="10"/>
      <c r="QUB248" s="57"/>
      <c r="QUC248" s="10"/>
      <c r="QUD248" s="57"/>
      <c r="QUE248" s="10"/>
      <c r="QUF248" s="57"/>
      <c r="QUG248" s="10"/>
      <c r="QUH248" s="57"/>
      <c r="QUI248" s="10"/>
      <c r="QUJ248" s="57"/>
      <c r="QUK248" s="10"/>
      <c r="QUL248" s="57"/>
      <c r="QUM248" s="10"/>
      <c r="QUN248" s="57"/>
      <c r="QUO248" s="10"/>
      <c r="QUP248" s="57"/>
      <c r="QUQ248" s="10"/>
      <c r="QUR248" s="57"/>
      <c r="QUS248" s="10"/>
      <c r="QUT248" s="57"/>
      <c r="QUU248" s="10"/>
      <c r="QUV248" s="57"/>
      <c r="QUW248" s="10"/>
      <c r="QUX248" s="57"/>
      <c r="QUY248" s="10"/>
      <c r="QUZ248" s="57"/>
      <c r="QVA248" s="10"/>
      <c r="QVB248" s="57"/>
      <c r="QVC248" s="10"/>
      <c r="QVD248" s="57"/>
      <c r="QVE248" s="10"/>
      <c r="QVF248" s="57"/>
      <c r="QVG248" s="10"/>
      <c r="QVH248" s="57"/>
      <c r="QVI248" s="10"/>
      <c r="QVJ248" s="57"/>
      <c r="QVK248" s="10"/>
      <c r="QVL248" s="57"/>
      <c r="QVM248" s="10"/>
      <c r="QVN248" s="57"/>
      <c r="QVO248" s="10"/>
      <c r="QVP248" s="57"/>
      <c r="QVQ248" s="10"/>
      <c r="QVR248" s="57"/>
      <c r="QVS248" s="10"/>
      <c r="QVT248" s="57"/>
      <c r="QVU248" s="10"/>
      <c r="QVV248" s="57"/>
      <c r="QVW248" s="10"/>
      <c r="QVX248" s="57"/>
      <c r="QVY248" s="10"/>
      <c r="QVZ248" s="57"/>
      <c r="QWA248" s="10"/>
      <c r="QWB248" s="57"/>
      <c r="QWC248" s="10"/>
      <c r="QWD248" s="57"/>
      <c r="QWE248" s="10"/>
      <c r="QWF248" s="57"/>
      <c r="QWG248" s="10"/>
      <c r="QWH248" s="57"/>
      <c r="QWI248" s="10"/>
      <c r="QWJ248" s="57"/>
      <c r="QWK248" s="10"/>
      <c r="QWL248" s="57"/>
      <c r="QWM248" s="10"/>
      <c r="QWN248" s="57"/>
      <c r="QWO248" s="10"/>
      <c r="QWP248" s="57"/>
      <c r="QWQ248" s="10"/>
      <c r="QWR248" s="57"/>
      <c r="QWS248" s="10"/>
      <c r="QWT248" s="57"/>
      <c r="QWU248" s="10"/>
      <c r="QWV248" s="57"/>
      <c r="QWW248" s="10"/>
      <c r="QWX248" s="57"/>
      <c r="QWY248" s="10"/>
      <c r="QWZ248" s="57"/>
      <c r="QXA248" s="10"/>
      <c r="QXB248" s="57"/>
      <c r="QXC248" s="10"/>
      <c r="QXD248" s="57"/>
      <c r="QXE248" s="10"/>
      <c r="QXF248" s="57"/>
      <c r="QXG248" s="10"/>
      <c r="QXH248" s="57"/>
      <c r="QXI248" s="10"/>
      <c r="QXJ248" s="57"/>
      <c r="QXK248" s="10"/>
      <c r="QXL248" s="57"/>
      <c r="QXM248" s="10"/>
      <c r="QXN248" s="57"/>
      <c r="QXO248" s="10"/>
      <c r="QXP248" s="57"/>
      <c r="QXQ248" s="10"/>
      <c r="QXR248" s="57"/>
      <c r="QXS248" s="10"/>
      <c r="QXT248" s="57"/>
      <c r="QXU248" s="10"/>
      <c r="QXV248" s="57"/>
      <c r="QXW248" s="10"/>
      <c r="QXX248" s="57"/>
      <c r="QXY248" s="10"/>
      <c r="QXZ248" s="57"/>
      <c r="QYA248" s="10"/>
      <c r="QYB248" s="57"/>
      <c r="QYC248" s="10"/>
      <c r="QYD248" s="57"/>
      <c r="QYE248" s="10"/>
      <c r="QYF248" s="57"/>
      <c r="QYG248" s="10"/>
      <c r="QYH248" s="57"/>
      <c r="QYI248" s="10"/>
      <c r="QYJ248" s="57"/>
      <c r="QYK248" s="10"/>
      <c r="QYL248" s="57"/>
      <c r="QYM248" s="10"/>
      <c r="QYN248" s="57"/>
      <c r="QYO248" s="10"/>
      <c r="QYP248" s="57"/>
      <c r="QYQ248" s="10"/>
      <c r="QYR248" s="57"/>
      <c r="QYS248" s="10"/>
      <c r="QYT248" s="57"/>
      <c r="QYU248" s="10"/>
      <c r="QYV248" s="57"/>
      <c r="QYW248" s="10"/>
      <c r="QYX248" s="57"/>
      <c r="QYY248" s="10"/>
      <c r="QYZ248" s="57"/>
      <c r="QZA248" s="10"/>
      <c r="QZB248" s="57"/>
      <c r="QZC248" s="10"/>
      <c r="QZD248" s="57"/>
      <c r="QZE248" s="10"/>
      <c r="QZF248" s="57"/>
      <c r="QZG248" s="10"/>
      <c r="QZH248" s="57"/>
      <c r="QZI248" s="10"/>
      <c r="QZJ248" s="57"/>
      <c r="QZK248" s="10"/>
      <c r="QZL248" s="57"/>
      <c r="QZM248" s="10"/>
      <c r="QZN248" s="57"/>
      <c r="QZO248" s="10"/>
      <c r="QZP248" s="57"/>
      <c r="QZQ248" s="10"/>
      <c r="QZR248" s="57"/>
      <c r="QZS248" s="10"/>
      <c r="QZT248" s="57"/>
      <c r="QZU248" s="10"/>
      <c r="QZV248" s="57"/>
      <c r="QZW248" s="10"/>
      <c r="QZX248" s="57"/>
      <c r="QZY248" s="10"/>
      <c r="QZZ248" s="57"/>
      <c r="RAA248" s="10"/>
      <c r="RAB248" s="57"/>
      <c r="RAC248" s="10"/>
      <c r="RAD248" s="57"/>
      <c r="RAE248" s="10"/>
      <c r="RAF248" s="57"/>
      <c r="RAG248" s="10"/>
      <c r="RAH248" s="57"/>
      <c r="RAI248" s="10"/>
      <c r="RAJ248" s="57"/>
      <c r="RAK248" s="10"/>
      <c r="RAL248" s="57"/>
      <c r="RAM248" s="10"/>
      <c r="RAN248" s="57"/>
      <c r="RAO248" s="10"/>
      <c r="RAP248" s="57"/>
      <c r="RAQ248" s="10"/>
      <c r="RAR248" s="57"/>
      <c r="RAS248" s="10"/>
      <c r="RAT248" s="57"/>
      <c r="RAU248" s="10"/>
      <c r="RAV248" s="57"/>
      <c r="RAW248" s="10"/>
      <c r="RAX248" s="57"/>
      <c r="RAY248" s="10"/>
      <c r="RAZ248" s="57"/>
      <c r="RBA248" s="10"/>
      <c r="RBB248" s="57"/>
      <c r="RBC248" s="10"/>
      <c r="RBD248" s="57"/>
      <c r="RBE248" s="10"/>
      <c r="RBF248" s="57"/>
      <c r="RBG248" s="10"/>
      <c r="RBH248" s="57"/>
      <c r="RBI248" s="10"/>
      <c r="RBJ248" s="57"/>
      <c r="RBK248" s="10"/>
      <c r="RBL248" s="57"/>
      <c r="RBM248" s="10"/>
      <c r="RBN248" s="57"/>
      <c r="RBO248" s="10"/>
      <c r="RBP248" s="57"/>
      <c r="RBQ248" s="10"/>
      <c r="RBR248" s="57"/>
      <c r="RBS248" s="10"/>
      <c r="RBT248" s="57"/>
      <c r="RBU248" s="10"/>
      <c r="RBV248" s="57"/>
      <c r="RBW248" s="10"/>
      <c r="RBX248" s="57"/>
      <c r="RBY248" s="10"/>
      <c r="RBZ248" s="57"/>
      <c r="RCA248" s="10"/>
      <c r="RCB248" s="57"/>
      <c r="RCC248" s="10"/>
      <c r="RCD248" s="57"/>
      <c r="RCE248" s="10"/>
      <c r="RCF248" s="57"/>
      <c r="RCG248" s="10"/>
      <c r="RCH248" s="57"/>
      <c r="RCI248" s="10"/>
      <c r="RCJ248" s="57"/>
      <c r="RCK248" s="10"/>
      <c r="RCL248" s="57"/>
      <c r="RCM248" s="10"/>
      <c r="RCN248" s="57"/>
      <c r="RCO248" s="10"/>
      <c r="RCP248" s="57"/>
      <c r="RCQ248" s="10"/>
      <c r="RCR248" s="57"/>
      <c r="RCS248" s="10"/>
      <c r="RCT248" s="57"/>
      <c r="RCU248" s="10"/>
      <c r="RCV248" s="57"/>
      <c r="RCW248" s="10"/>
      <c r="RCX248" s="57"/>
      <c r="RCY248" s="10"/>
      <c r="RCZ248" s="57"/>
      <c r="RDA248" s="10"/>
      <c r="RDB248" s="57"/>
      <c r="RDC248" s="10"/>
      <c r="RDD248" s="57"/>
      <c r="RDE248" s="10"/>
      <c r="RDF248" s="57"/>
      <c r="RDG248" s="10"/>
      <c r="RDH248" s="57"/>
      <c r="RDI248" s="10"/>
      <c r="RDJ248" s="57"/>
      <c r="RDK248" s="10"/>
      <c r="RDL248" s="57"/>
      <c r="RDM248" s="10"/>
      <c r="RDN248" s="57"/>
      <c r="RDO248" s="10"/>
      <c r="RDP248" s="57"/>
      <c r="RDQ248" s="10"/>
      <c r="RDR248" s="57"/>
      <c r="RDS248" s="10"/>
      <c r="RDT248" s="57"/>
      <c r="RDU248" s="10"/>
      <c r="RDV248" s="57"/>
      <c r="RDW248" s="10"/>
      <c r="RDX248" s="57"/>
      <c r="RDY248" s="10"/>
      <c r="RDZ248" s="57"/>
      <c r="REA248" s="10"/>
      <c r="REB248" s="57"/>
      <c r="REC248" s="10"/>
      <c r="RED248" s="57"/>
      <c r="REE248" s="10"/>
      <c r="REF248" s="57"/>
      <c r="REG248" s="10"/>
      <c r="REH248" s="57"/>
      <c r="REI248" s="10"/>
      <c r="REJ248" s="57"/>
      <c r="REK248" s="10"/>
      <c r="REL248" s="57"/>
      <c r="REM248" s="10"/>
      <c r="REN248" s="57"/>
      <c r="REO248" s="10"/>
      <c r="REP248" s="57"/>
      <c r="REQ248" s="10"/>
      <c r="RER248" s="57"/>
      <c r="RES248" s="10"/>
      <c r="RET248" s="57"/>
      <c r="REU248" s="10"/>
      <c r="REV248" s="57"/>
      <c r="REW248" s="10"/>
      <c r="REX248" s="57"/>
      <c r="REY248" s="10"/>
      <c r="REZ248" s="57"/>
      <c r="RFA248" s="10"/>
      <c r="RFB248" s="57"/>
      <c r="RFC248" s="10"/>
      <c r="RFD248" s="57"/>
      <c r="RFE248" s="10"/>
      <c r="RFF248" s="57"/>
      <c r="RFG248" s="10"/>
      <c r="RFH248" s="57"/>
      <c r="RFI248" s="10"/>
      <c r="RFJ248" s="57"/>
      <c r="RFK248" s="10"/>
      <c r="RFL248" s="57"/>
      <c r="RFM248" s="10"/>
      <c r="RFN248" s="57"/>
      <c r="RFO248" s="10"/>
      <c r="RFP248" s="57"/>
      <c r="RFQ248" s="10"/>
      <c r="RFR248" s="57"/>
      <c r="RFS248" s="10"/>
      <c r="RFT248" s="57"/>
      <c r="RFU248" s="10"/>
      <c r="RFV248" s="57"/>
      <c r="RFW248" s="10"/>
      <c r="RFX248" s="57"/>
      <c r="RFY248" s="10"/>
      <c r="RFZ248" s="57"/>
      <c r="RGA248" s="10"/>
      <c r="RGB248" s="57"/>
      <c r="RGC248" s="10"/>
      <c r="RGD248" s="57"/>
      <c r="RGE248" s="10"/>
      <c r="RGF248" s="57"/>
      <c r="RGG248" s="10"/>
      <c r="RGH248" s="57"/>
      <c r="RGI248" s="10"/>
      <c r="RGJ248" s="57"/>
      <c r="RGK248" s="10"/>
      <c r="RGL248" s="57"/>
      <c r="RGM248" s="10"/>
      <c r="RGN248" s="57"/>
      <c r="RGO248" s="10"/>
      <c r="RGP248" s="57"/>
      <c r="RGQ248" s="10"/>
      <c r="RGR248" s="57"/>
      <c r="RGS248" s="10"/>
      <c r="RGT248" s="57"/>
      <c r="RGU248" s="10"/>
      <c r="RGV248" s="57"/>
      <c r="RGW248" s="10"/>
      <c r="RGX248" s="57"/>
      <c r="RGY248" s="10"/>
      <c r="RGZ248" s="57"/>
      <c r="RHA248" s="10"/>
      <c r="RHB248" s="57"/>
      <c r="RHC248" s="10"/>
      <c r="RHD248" s="57"/>
      <c r="RHE248" s="10"/>
      <c r="RHF248" s="57"/>
      <c r="RHG248" s="10"/>
      <c r="RHH248" s="57"/>
      <c r="RHI248" s="10"/>
      <c r="RHJ248" s="57"/>
      <c r="RHK248" s="10"/>
      <c r="RHL248" s="57"/>
      <c r="RHM248" s="10"/>
      <c r="RHN248" s="57"/>
      <c r="RHO248" s="10"/>
      <c r="RHP248" s="57"/>
      <c r="RHQ248" s="10"/>
      <c r="RHR248" s="57"/>
      <c r="RHS248" s="10"/>
      <c r="RHT248" s="57"/>
      <c r="RHU248" s="10"/>
      <c r="RHV248" s="57"/>
      <c r="RHW248" s="10"/>
      <c r="RHX248" s="57"/>
      <c r="RHY248" s="10"/>
      <c r="RHZ248" s="57"/>
      <c r="RIA248" s="10"/>
      <c r="RIB248" s="57"/>
      <c r="RIC248" s="10"/>
      <c r="RID248" s="57"/>
      <c r="RIE248" s="10"/>
      <c r="RIF248" s="57"/>
      <c r="RIG248" s="10"/>
      <c r="RIH248" s="57"/>
      <c r="RII248" s="10"/>
      <c r="RIJ248" s="57"/>
      <c r="RIK248" s="10"/>
      <c r="RIL248" s="57"/>
      <c r="RIM248" s="10"/>
      <c r="RIN248" s="57"/>
      <c r="RIO248" s="10"/>
      <c r="RIP248" s="57"/>
      <c r="RIQ248" s="10"/>
      <c r="RIR248" s="57"/>
      <c r="RIS248" s="10"/>
      <c r="RIT248" s="57"/>
      <c r="RIU248" s="10"/>
      <c r="RIV248" s="57"/>
      <c r="RIW248" s="10"/>
      <c r="RIX248" s="57"/>
      <c r="RIY248" s="10"/>
      <c r="RIZ248" s="57"/>
      <c r="RJA248" s="10"/>
      <c r="RJB248" s="57"/>
      <c r="RJC248" s="10"/>
      <c r="RJD248" s="57"/>
      <c r="RJE248" s="10"/>
      <c r="RJF248" s="57"/>
      <c r="RJG248" s="10"/>
      <c r="RJH248" s="57"/>
      <c r="RJI248" s="10"/>
      <c r="RJJ248" s="57"/>
      <c r="RJK248" s="10"/>
      <c r="RJL248" s="57"/>
      <c r="RJM248" s="10"/>
      <c r="RJN248" s="57"/>
      <c r="RJO248" s="10"/>
      <c r="RJP248" s="57"/>
      <c r="RJQ248" s="10"/>
      <c r="RJR248" s="57"/>
      <c r="RJS248" s="10"/>
      <c r="RJT248" s="57"/>
      <c r="RJU248" s="10"/>
      <c r="RJV248" s="57"/>
      <c r="RJW248" s="10"/>
      <c r="RJX248" s="57"/>
      <c r="RJY248" s="10"/>
      <c r="RJZ248" s="57"/>
      <c r="RKA248" s="10"/>
      <c r="RKB248" s="57"/>
      <c r="RKC248" s="10"/>
      <c r="RKD248" s="57"/>
      <c r="RKE248" s="10"/>
      <c r="RKF248" s="57"/>
      <c r="RKG248" s="10"/>
      <c r="RKH248" s="57"/>
      <c r="RKI248" s="10"/>
      <c r="RKJ248" s="57"/>
      <c r="RKK248" s="10"/>
      <c r="RKL248" s="57"/>
      <c r="RKM248" s="10"/>
      <c r="RKN248" s="57"/>
      <c r="RKO248" s="10"/>
      <c r="RKP248" s="57"/>
      <c r="RKQ248" s="10"/>
      <c r="RKR248" s="57"/>
      <c r="RKS248" s="10"/>
      <c r="RKT248" s="57"/>
      <c r="RKU248" s="10"/>
      <c r="RKV248" s="57"/>
      <c r="RKW248" s="10"/>
      <c r="RKX248" s="57"/>
      <c r="RKY248" s="10"/>
      <c r="RKZ248" s="57"/>
      <c r="RLA248" s="10"/>
      <c r="RLB248" s="57"/>
      <c r="RLC248" s="10"/>
      <c r="RLD248" s="57"/>
      <c r="RLE248" s="10"/>
      <c r="RLF248" s="57"/>
      <c r="RLG248" s="10"/>
      <c r="RLH248" s="57"/>
      <c r="RLI248" s="10"/>
      <c r="RLJ248" s="57"/>
      <c r="RLK248" s="10"/>
      <c r="RLL248" s="57"/>
      <c r="RLM248" s="10"/>
      <c r="RLN248" s="57"/>
      <c r="RLO248" s="10"/>
      <c r="RLP248" s="57"/>
      <c r="RLQ248" s="10"/>
      <c r="RLR248" s="57"/>
      <c r="RLS248" s="10"/>
      <c r="RLT248" s="57"/>
      <c r="RLU248" s="10"/>
      <c r="RLV248" s="57"/>
      <c r="RLW248" s="10"/>
      <c r="RLX248" s="57"/>
      <c r="RLY248" s="10"/>
      <c r="RLZ248" s="57"/>
      <c r="RMA248" s="10"/>
      <c r="RMB248" s="57"/>
      <c r="RMC248" s="10"/>
      <c r="RMD248" s="57"/>
      <c r="RME248" s="10"/>
      <c r="RMF248" s="57"/>
      <c r="RMG248" s="10"/>
      <c r="RMH248" s="57"/>
      <c r="RMI248" s="10"/>
      <c r="RMJ248" s="57"/>
      <c r="RMK248" s="10"/>
      <c r="RML248" s="57"/>
      <c r="RMM248" s="10"/>
      <c r="RMN248" s="57"/>
      <c r="RMO248" s="10"/>
      <c r="RMP248" s="57"/>
      <c r="RMQ248" s="10"/>
      <c r="RMR248" s="57"/>
      <c r="RMS248" s="10"/>
      <c r="RMT248" s="57"/>
      <c r="RMU248" s="10"/>
      <c r="RMV248" s="57"/>
      <c r="RMW248" s="10"/>
      <c r="RMX248" s="57"/>
      <c r="RMY248" s="10"/>
      <c r="RMZ248" s="57"/>
      <c r="RNA248" s="10"/>
      <c r="RNB248" s="57"/>
      <c r="RNC248" s="10"/>
      <c r="RND248" s="57"/>
      <c r="RNE248" s="10"/>
      <c r="RNF248" s="57"/>
      <c r="RNG248" s="10"/>
      <c r="RNH248" s="57"/>
      <c r="RNI248" s="10"/>
      <c r="RNJ248" s="57"/>
      <c r="RNK248" s="10"/>
      <c r="RNL248" s="57"/>
      <c r="RNM248" s="10"/>
      <c r="RNN248" s="57"/>
      <c r="RNO248" s="10"/>
      <c r="RNP248" s="57"/>
      <c r="RNQ248" s="10"/>
      <c r="RNR248" s="57"/>
      <c r="RNS248" s="10"/>
      <c r="RNT248" s="57"/>
      <c r="RNU248" s="10"/>
      <c r="RNV248" s="57"/>
      <c r="RNW248" s="10"/>
      <c r="RNX248" s="57"/>
      <c r="RNY248" s="10"/>
      <c r="RNZ248" s="57"/>
      <c r="ROA248" s="10"/>
      <c r="ROB248" s="57"/>
      <c r="ROC248" s="10"/>
      <c r="ROD248" s="57"/>
      <c r="ROE248" s="10"/>
      <c r="ROF248" s="57"/>
      <c r="ROG248" s="10"/>
      <c r="ROH248" s="57"/>
      <c r="ROI248" s="10"/>
      <c r="ROJ248" s="57"/>
      <c r="ROK248" s="10"/>
      <c r="ROL248" s="57"/>
      <c r="ROM248" s="10"/>
      <c r="RON248" s="57"/>
      <c r="ROO248" s="10"/>
      <c r="ROP248" s="57"/>
      <c r="ROQ248" s="10"/>
      <c r="ROR248" s="57"/>
      <c r="ROS248" s="10"/>
      <c r="ROT248" s="57"/>
      <c r="ROU248" s="10"/>
      <c r="ROV248" s="57"/>
      <c r="ROW248" s="10"/>
      <c r="ROX248" s="57"/>
      <c r="ROY248" s="10"/>
      <c r="ROZ248" s="57"/>
      <c r="RPA248" s="10"/>
      <c r="RPB248" s="57"/>
      <c r="RPC248" s="10"/>
      <c r="RPD248" s="57"/>
      <c r="RPE248" s="10"/>
      <c r="RPF248" s="57"/>
      <c r="RPG248" s="10"/>
      <c r="RPH248" s="57"/>
      <c r="RPI248" s="10"/>
      <c r="RPJ248" s="57"/>
      <c r="RPK248" s="10"/>
      <c r="RPL248" s="57"/>
      <c r="RPM248" s="10"/>
      <c r="RPN248" s="57"/>
      <c r="RPO248" s="10"/>
      <c r="RPP248" s="57"/>
      <c r="RPQ248" s="10"/>
      <c r="RPR248" s="57"/>
      <c r="RPS248" s="10"/>
      <c r="RPT248" s="57"/>
      <c r="RPU248" s="10"/>
      <c r="RPV248" s="57"/>
      <c r="RPW248" s="10"/>
      <c r="RPX248" s="57"/>
      <c r="RPY248" s="10"/>
      <c r="RPZ248" s="57"/>
      <c r="RQA248" s="10"/>
      <c r="RQB248" s="57"/>
      <c r="RQC248" s="10"/>
      <c r="RQD248" s="57"/>
      <c r="RQE248" s="10"/>
      <c r="RQF248" s="57"/>
      <c r="RQG248" s="10"/>
      <c r="RQH248" s="57"/>
      <c r="RQI248" s="10"/>
      <c r="RQJ248" s="57"/>
      <c r="RQK248" s="10"/>
      <c r="RQL248" s="57"/>
      <c r="RQM248" s="10"/>
      <c r="RQN248" s="57"/>
      <c r="RQO248" s="10"/>
      <c r="RQP248" s="57"/>
      <c r="RQQ248" s="10"/>
      <c r="RQR248" s="57"/>
      <c r="RQS248" s="10"/>
      <c r="RQT248" s="57"/>
      <c r="RQU248" s="10"/>
      <c r="RQV248" s="57"/>
      <c r="RQW248" s="10"/>
      <c r="RQX248" s="57"/>
      <c r="RQY248" s="10"/>
      <c r="RQZ248" s="57"/>
      <c r="RRA248" s="10"/>
      <c r="RRB248" s="57"/>
      <c r="RRC248" s="10"/>
      <c r="RRD248" s="57"/>
      <c r="RRE248" s="10"/>
      <c r="RRF248" s="57"/>
      <c r="RRG248" s="10"/>
      <c r="RRH248" s="57"/>
      <c r="RRI248" s="10"/>
      <c r="RRJ248" s="57"/>
      <c r="RRK248" s="10"/>
      <c r="RRL248" s="57"/>
      <c r="RRM248" s="10"/>
      <c r="RRN248" s="57"/>
      <c r="RRO248" s="10"/>
      <c r="RRP248" s="57"/>
      <c r="RRQ248" s="10"/>
      <c r="RRR248" s="57"/>
      <c r="RRS248" s="10"/>
      <c r="RRT248" s="57"/>
      <c r="RRU248" s="10"/>
      <c r="RRV248" s="57"/>
      <c r="RRW248" s="10"/>
      <c r="RRX248" s="57"/>
      <c r="RRY248" s="10"/>
      <c r="RRZ248" s="57"/>
      <c r="RSA248" s="10"/>
      <c r="RSB248" s="57"/>
      <c r="RSC248" s="10"/>
      <c r="RSD248" s="57"/>
      <c r="RSE248" s="10"/>
      <c r="RSF248" s="57"/>
      <c r="RSG248" s="10"/>
      <c r="RSH248" s="57"/>
      <c r="RSI248" s="10"/>
      <c r="RSJ248" s="57"/>
      <c r="RSK248" s="10"/>
      <c r="RSL248" s="57"/>
      <c r="RSM248" s="10"/>
      <c r="RSN248" s="57"/>
      <c r="RSO248" s="10"/>
      <c r="RSP248" s="57"/>
      <c r="RSQ248" s="10"/>
      <c r="RSR248" s="57"/>
      <c r="RSS248" s="10"/>
      <c r="RST248" s="57"/>
      <c r="RSU248" s="10"/>
      <c r="RSV248" s="57"/>
      <c r="RSW248" s="10"/>
      <c r="RSX248" s="57"/>
      <c r="RSY248" s="10"/>
      <c r="RSZ248" s="57"/>
      <c r="RTA248" s="10"/>
      <c r="RTB248" s="57"/>
      <c r="RTC248" s="10"/>
      <c r="RTD248" s="57"/>
      <c r="RTE248" s="10"/>
      <c r="RTF248" s="57"/>
      <c r="RTG248" s="10"/>
      <c r="RTH248" s="57"/>
      <c r="RTI248" s="10"/>
      <c r="RTJ248" s="57"/>
      <c r="RTK248" s="10"/>
      <c r="RTL248" s="57"/>
      <c r="RTM248" s="10"/>
      <c r="RTN248" s="57"/>
      <c r="RTO248" s="10"/>
      <c r="RTP248" s="57"/>
      <c r="RTQ248" s="10"/>
      <c r="RTR248" s="57"/>
      <c r="RTS248" s="10"/>
      <c r="RTT248" s="57"/>
      <c r="RTU248" s="10"/>
      <c r="RTV248" s="57"/>
      <c r="RTW248" s="10"/>
      <c r="RTX248" s="57"/>
      <c r="RTY248" s="10"/>
      <c r="RTZ248" s="57"/>
      <c r="RUA248" s="10"/>
      <c r="RUB248" s="57"/>
      <c r="RUC248" s="10"/>
      <c r="RUD248" s="57"/>
      <c r="RUE248" s="10"/>
      <c r="RUF248" s="57"/>
      <c r="RUG248" s="10"/>
      <c r="RUH248" s="57"/>
      <c r="RUI248" s="10"/>
      <c r="RUJ248" s="57"/>
      <c r="RUK248" s="10"/>
      <c r="RUL248" s="57"/>
      <c r="RUM248" s="10"/>
      <c r="RUN248" s="57"/>
      <c r="RUO248" s="10"/>
      <c r="RUP248" s="57"/>
      <c r="RUQ248" s="10"/>
      <c r="RUR248" s="57"/>
      <c r="RUS248" s="10"/>
      <c r="RUT248" s="57"/>
      <c r="RUU248" s="10"/>
      <c r="RUV248" s="57"/>
      <c r="RUW248" s="10"/>
      <c r="RUX248" s="57"/>
      <c r="RUY248" s="10"/>
      <c r="RUZ248" s="57"/>
      <c r="RVA248" s="10"/>
      <c r="RVB248" s="57"/>
      <c r="RVC248" s="10"/>
      <c r="RVD248" s="57"/>
      <c r="RVE248" s="10"/>
      <c r="RVF248" s="57"/>
      <c r="RVG248" s="10"/>
      <c r="RVH248" s="57"/>
      <c r="RVI248" s="10"/>
      <c r="RVJ248" s="57"/>
      <c r="RVK248" s="10"/>
      <c r="RVL248" s="57"/>
      <c r="RVM248" s="10"/>
      <c r="RVN248" s="57"/>
      <c r="RVO248" s="10"/>
      <c r="RVP248" s="57"/>
      <c r="RVQ248" s="10"/>
      <c r="RVR248" s="57"/>
      <c r="RVS248" s="10"/>
      <c r="RVT248" s="57"/>
      <c r="RVU248" s="10"/>
      <c r="RVV248" s="57"/>
      <c r="RVW248" s="10"/>
      <c r="RVX248" s="57"/>
      <c r="RVY248" s="10"/>
      <c r="RVZ248" s="57"/>
      <c r="RWA248" s="10"/>
      <c r="RWB248" s="57"/>
      <c r="RWC248" s="10"/>
      <c r="RWD248" s="57"/>
      <c r="RWE248" s="10"/>
      <c r="RWF248" s="57"/>
      <c r="RWG248" s="10"/>
      <c r="RWH248" s="57"/>
      <c r="RWI248" s="10"/>
      <c r="RWJ248" s="57"/>
      <c r="RWK248" s="10"/>
      <c r="RWL248" s="57"/>
      <c r="RWM248" s="10"/>
      <c r="RWN248" s="57"/>
      <c r="RWO248" s="10"/>
      <c r="RWP248" s="57"/>
      <c r="RWQ248" s="10"/>
      <c r="RWR248" s="57"/>
      <c r="RWS248" s="10"/>
      <c r="RWT248" s="57"/>
      <c r="RWU248" s="10"/>
      <c r="RWV248" s="57"/>
      <c r="RWW248" s="10"/>
      <c r="RWX248" s="57"/>
      <c r="RWY248" s="10"/>
      <c r="RWZ248" s="57"/>
      <c r="RXA248" s="10"/>
      <c r="RXB248" s="57"/>
      <c r="RXC248" s="10"/>
      <c r="RXD248" s="57"/>
      <c r="RXE248" s="10"/>
      <c r="RXF248" s="57"/>
      <c r="RXG248" s="10"/>
      <c r="RXH248" s="57"/>
      <c r="RXI248" s="10"/>
      <c r="RXJ248" s="57"/>
      <c r="RXK248" s="10"/>
      <c r="RXL248" s="57"/>
      <c r="RXM248" s="10"/>
      <c r="RXN248" s="57"/>
      <c r="RXO248" s="10"/>
      <c r="RXP248" s="57"/>
      <c r="RXQ248" s="10"/>
      <c r="RXR248" s="57"/>
      <c r="RXS248" s="10"/>
      <c r="RXT248" s="57"/>
      <c r="RXU248" s="10"/>
      <c r="RXV248" s="57"/>
      <c r="RXW248" s="10"/>
      <c r="RXX248" s="57"/>
      <c r="RXY248" s="10"/>
      <c r="RXZ248" s="57"/>
      <c r="RYA248" s="10"/>
      <c r="RYB248" s="57"/>
      <c r="RYC248" s="10"/>
      <c r="RYD248" s="57"/>
      <c r="RYE248" s="10"/>
      <c r="RYF248" s="57"/>
      <c r="RYG248" s="10"/>
      <c r="RYH248" s="57"/>
      <c r="RYI248" s="10"/>
      <c r="RYJ248" s="57"/>
      <c r="RYK248" s="10"/>
      <c r="RYL248" s="57"/>
      <c r="RYM248" s="10"/>
      <c r="RYN248" s="57"/>
      <c r="RYO248" s="10"/>
      <c r="RYP248" s="57"/>
      <c r="RYQ248" s="10"/>
      <c r="RYR248" s="57"/>
      <c r="RYS248" s="10"/>
      <c r="RYT248" s="57"/>
      <c r="RYU248" s="10"/>
      <c r="RYV248" s="57"/>
      <c r="RYW248" s="10"/>
      <c r="RYX248" s="57"/>
      <c r="RYY248" s="10"/>
      <c r="RYZ248" s="57"/>
      <c r="RZA248" s="10"/>
      <c r="RZB248" s="57"/>
      <c r="RZC248" s="10"/>
      <c r="RZD248" s="57"/>
      <c r="RZE248" s="10"/>
      <c r="RZF248" s="57"/>
      <c r="RZG248" s="10"/>
      <c r="RZH248" s="57"/>
      <c r="RZI248" s="10"/>
      <c r="RZJ248" s="57"/>
      <c r="RZK248" s="10"/>
      <c r="RZL248" s="57"/>
      <c r="RZM248" s="10"/>
      <c r="RZN248" s="57"/>
      <c r="RZO248" s="10"/>
      <c r="RZP248" s="57"/>
      <c r="RZQ248" s="10"/>
      <c r="RZR248" s="57"/>
      <c r="RZS248" s="10"/>
      <c r="RZT248" s="57"/>
      <c r="RZU248" s="10"/>
      <c r="RZV248" s="57"/>
      <c r="RZW248" s="10"/>
      <c r="RZX248" s="57"/>
      <c r="RZY248" s="10"/>
      <c r="RZZ248" s="57"/>
      <c r="SAA248" s="10"/>
      <c r="SAB248" s="57"/>
      <c r="SAC248" s="10"/>
      <c r="SAD248" s="57"/>
      <c r="SAE248" s="10"/>
      <c r="SAF248" s="57"/>
      <c r="SAG248" s="10"/>
      <c r="SAH248" s="57"/>
      <c r="SAI248" s="10"/>
      <c r="SAJ248" s="57"/>
      <c r="SAK248" s="10"/>
      <c r="SAL248" s="57"/>
      <c r="SAM248" s="10"/>
      <c r="SAN248" s="57"/>
      <c r="SAO248" s="10"/>
      <c r="SAP248" s="57"/>
      <c r="SAQ248" s="10"/>
      <c r="SAR248" s="57"/>
      <c r="SAS248" s="10"/>
      <c r="SAT248" s="57"/>
      <c r="SAU248" s="10"/>
      <c r="SAV248" s="57"/>
      <c r="SAW248" s="10"/>
      <c r="SAX248" s="57"/>
      <c r="SAY248" s="10"/>
      <c r="SAZ248" s="57"/>
      <c r="SBA248" s="10"/>
      <c r="SBB248" s="57"/>
      <c r="SBC248" s="10"/>
      <c r="SBD248" s="57"/>
      <c r="SBE248" s="10"/>
      <c r="SBF248" s="57"/>
      <c r="SBG248" s="10"/>
      <c r="SBH248" s="57"/>
      <c r="SBI248" s="10"/>
      <c r="SBJ248" s="57"/>
      <c r="SBK248" s="10"/>
      <c r="SBL248" s="57"/>
      <c r="SBM248" s="10"/>
      <c r="SBN248" s="57"/>
      <c r="SBO248" s="10"/>
      <c r="SBP248" s="57"/>
      <c r="SBQ248" s="10"/>
      <c r="SBR248" s="57"/>
      <c r="SBS248" s="10"/>
      <c r="SBT248" s="57"/>
      <c r="SBU248" s="10"/>
      <c r="SBV248" s="57"/>
      <c r="SBW248" s="10"/>
      <c r="SBX248" s="57"/>
      <c r="SBY248" s="10"/>
      <c r="SBZ248" s="57"/>
      <c r="SCA248" s="10"/>
      <c r="SCB248" s="57"/>
      <c r="SCC248" s="10"/>
      <c r="SCD248" s="57"/>
      <c r="SCE248" s="10"/>
      <c r="SCF248" s="57"/>
      <c r="SCG248" s="10"/>
      <c r="SCH248" s="57"/>
      <c r="SCI248" s="10"/>
      <c r="SCJ248" s="57"/>
      <c r="SCK248" s="10"/>
      <c r="SCL248" s="57"/>
      <c r="SCM248" s="10"/>
      <c r="SCN248" s="57"/>
      <c r="SCO248" s="10"/>
      <c r="SCP248" s="57"/>
      <c r="SCQ248" s="10"/>
      <c r="SCR248" s="57"/>
      <c r="SCS248" s="10"/>
      <c r="SCT248" s="57"/>
      <c r="SCU248" s="10"/>
      <c r="SCV248" s="57"/>
      <c r="SCW248" s="10"/>
      <c r="SCX248" s="57"/>
      <c r="SCY248" s="10"/>
      <c r="SCZ248" s="57"/>
      <c r="SDA248" s="10"/>
      <c r="SDB248" s="57"/>
      <c r="SDC248" s="10"/>
      <c r="SDD248" s="57"/>
      <c r="SDE248" s="10"/>
      <c r="SDF248" s="57"/>
      <c r="SDG248" s="10"/>
      <c r="SDH248" s="57"/>
      <c r="SDI248" s="10"/>
      <c r="SDJ248" s="57"/>
      <c r="SDK248" s="10"/>
      <c r="SDL248" s="57"/>
      <c r="SDM248" s="10"/>
      <c r="SDN248" s="57"/>
      <c r="SDO248" s="10"/>
      <c r="SDP248" s="57"/>
      <c r="SDQ248" s="10"/>
      <c r="SDR248" s="57"/>
      <c r="SDS248" s="10"/>
      <c r="SDT248" s="57"/>
      <c r="SDU248" s="10"/>
      <c r="SDV248" s="57"/>
      <c r="SDW248" s="10"/>
      <c r="SDX248" s="57"/>
      <c r="SDY248" s="10"/>
      <c r="SDZ248" s="57"/>
      <c r="SEA248" s="10"/>
      <c r="SEB248" s="57"/>
      <c r="SEC248" s="10"/>
      <c r="SED248" s="57"/>
      <c r="SEE248" s="10"/>
      <c r="SEF248" s="57"/>
      <c r="SEG248" s="10"/>
      <c r="SEH248" s="57"/>
      <c r="SEI248" s="10"/>
      <c r="SEJ248" s="57"/>
      <c r="SEK248" s="10"/>
      <c r="SEL248" s="57"/>
      <c r="SEM248" s="10"/>
      <c r="SEN248" s="57"/>
      <c r="SEO248" s="10"/>
      <c r="SEP248" s="57"/>
      <c r="SEQ248" s="10"/>
      <c r="SER248" s="57"/>
      <c r="SES248" s="10"/>
      <c r="SET248" s="57"/>
      <c r="SEU248" s="10"/>
      <c r="SEV248" s="57"/>
      <c r="SEW248" s="10"/>
      <c r="SEX248" s="57"/>
      <c r="SEY248" s="10"/>
      <c r="SEZ248" s="57"/>
      <c r="SFA248" s="10"/>
      <c r="SFB248" s="57"/>
      <c r="SFC248" s="10"/>
      <c r="SFD248" s="57"/>
      <c r="SFE248" s="10"/>
      <c r="SFF248" s="57"/>
      <c r="SFG248" s="10"/>
      <c r="SFH248" s="57"/>
      <c r="SFI248" s="10"/>
      <c r="SFJ248" s="57"/>
      <c r="SFK248" s="10"/>
      <c r="SFL248" s="57"/>
      <c r="SFM248" s="10"/>
      <c r="SFN248" s="57"/>
      <c r="SFO248" s="10"/>
      <c r="SFP248" s="57"/>
      <c r="SFQ248" s="10"/>
      <c r="SFR248" s="57"/>
      <c r="SFS248" s="10"/>
      <c r="SFT248" s="57"/>
      <c r="SFU248" s="10"/>
      <c r="SFV248" s="57"/>
      <c r="SFW248" s="10"/>
      <c r="SFX248" s="57"/>
      <c r="SFY248" s="10"/>
      <c r="SFZ248" s="57"/>
      <c r="SGA248" s="10"/>
      <c r="SGB248" s="57"/>
      <c r="SGC248" s="10"/>
      <c r="SGD248" s="57"/>
      <c r="SGE248" s="10"/>
      <c r="SGF248" s="57"/>
      <c r="SGG248" s="10"/>
      <c r="SGH248" s="57"/>
      <c r="SGI248" s="10"/>
      <c r="SGJ248" s="57"/>
      <c r="SGK248" s="10"/>
      <c r="SGL248" s="57"/>
      <c r="SGM248" s="10"/>
      <c r="SGN248" s="57"/>
      <c r="SGO248" s="10"/>
      <c r="SGP248" s="57"/>
      <c r="SGQ248" s="10"/>
      <c r="SGR248" s="57"/>
      <c r="SGS248" s="10"/>
      <c r="SGT248" s="57"/>
      <c r="SGU248" s="10"/>
      <c r="SGV248" s="57"/>
      <c r="SGW248" s="10"/>
      <c r="SGX248" s="57"/>
      <c r="SGY248" s="10"/>
      <c r="SGZ248" s="57"/>
      <c r="SHA248" s="10"/>
      <c r="SHB248" s="57"/>
      <c r="SHC248" s="10"/>
      <c r="SHD248" s="57"/>
      <c r="SHE248" s="10"/>
      <c r="SHF248" s="57"/>
      <c r="SHG248" s="10"/>
      <c r="SHH248" s="57"/>
      <c r="SHI248" s="10"/>
      <c r="SHJ248" s="57"/>
      <c r="SHK248" s="10"/>
      <c r="SHL248" s="57"/>
      <c r="SHM248" s="10"/>
      <c r="SHN248" s="57"/>
      <c r="SHO248" s="10"/>
      <c r="SHP248" s="57"/>
      <c r="SHQ248" s="10"/>
      <c r="SHR248" s="57"/>
      <c r="SHS248" s="10"/>
      <c r="SHT248" s="57"/>
      <c r="SHU248" s="10"/>
      <c r="SHV248" s="57"/>
      <c r="SHW248" s="10"/>
      <c r="SHX248" s="57"/>
      <c r="SHY248" s="10"/>
      <c r="SHZ248" s="57"/>
      <c r="SIA248" s="10"/>
      <c r="SIB248" s="57"/>
      <c r="SIC248" s="10"/>
      <c r="SID248" s="57"/>
      <c r="SIE248" s="10"/>
      <c r="SIF248" s="57"/>
      <c r="SIG248" s="10"/>
      <c r="SIH248" s="57"/>
      <c r="SII248" s="10"/>
      <c r="SIJ248" s="57"/>
      <c r="SIK248" s="10"/>
      <c r="SIL248" s="57"/>
      <c r="SIM248" s="10"/>
      <c r="SIN248" s="57"/>
      <c r="SIO248" s="10"/>
      <c r="SIP248" s="57"/>
      <c r="SIQ248" s="10"/>
      <c r="SIR248" s="57"/>
      <c r="SIS248" s="10"/>
      <c r="SIT248" s="57"/>
      <c r="SIU248" s="10"/>
      <c r="SIV248" s="57"/>
      <c r="SIW248" s="10"/>
      <c r="SIX248" s="57"/>
      <c r="SIY248" s="10"/>
      <c r="SIZ248" s="57"/>
      <c r="SJA248" s="10"/>
      <c r="SJB248" s="57"/>
      <c r="SJC248" s="10"/>
      <c r="SJD248" s="57"/>
      <c r="SJE248" s="10"/>
      <c r="SJF248" s="57"/>
      <c r="SJG248" s="10"/>
      <c r="SJH248" s="57"/>
      <c r="SJI248" s="10"/>
      <c r="SJJ248" s="57"/>
      <c r="SJK248" s="10"/>
      <c r="SJL248" s="57"/>
      <c r="SJM248" s="10"/>
      <c r="SJN248" s="57"/>
      <c r="SJO248" s="10"/>
      <c r="SJP248" s="57"/>
      <c r="SJQ248" s="10"/>
      <c r="SJR248" s="57"/>
      <c r="SJS248" s="10"/>
      <c r="SJT248" s="57"/>
      <c r="SJU248" s="10"/>
      <c r="SJV248" s="57"/>
      <c r="SJW248" s="10"/>
      <c r="SJX248" s="57"/>
      <c r="SJY248" s="10"/>
      <c r="SJZ248" s="57"/>
      <c r="SKA248" s="10"/>
      <c r="SKB248" s="57"/>
      <c r="SKC248" s="10"/>
      <c r="SKD248" s="57"/>
      <c r="SKE248" s="10"/>
      <c r="SKF248" s="57"/>
      <c r="SKG248" s="10"/>
      <c r="SKH248" s="57"/>
      <c r="SKI248" s="10"/>
      <c r="SKJ248" s="57"/>
      <c r="SKK248" s="10"/>
      <c r="SKL248" s="57"/>
      <c r="SKM248" s="10"/>
      <c r="SKN248" s="57"/>
      <c r="SKO248" s="10"/>
      <c r="SKP248" s="57"/>
      <c r="SKQ248" s="10"/>
      <c r="SKR248" s="57"/>
      <c r="SKS248" s="10"/>
      <c r="SKT248" s="57"/>
      <c r="SKU248" s="10"/>
      <c r="SKV248" s="57"/>
      <c r="SKW248" s="10"/>
      <c r="SKX248" s="57"/>
      <c r="SKY248" s="10"/>
      <c r="SKZ248" s="57"/>
      <c r="SLA248" s="10"/>
      <c r="SLB248" s="57"/>
      <c r="SLC248" s="10"/>
      <c r="SLD248" s="57"/>
      <c r="SLE248" s="10"/>
      <c r="SLF248" s="57"/>
      <c r="SLG248" s="10"/>
      <c r="SLH248" s="57"/>
      <c r="SLI248" s="10"/>
      <c r="SLJ248" s="57"/>
      <c r="SLK248" s="10"/>
      <c r="SLL248" s="57"/>
      <c r="SLM248" s="10"/>
      <c r="SLN248" s="57"/>
      <c r="SLO248" s="10"/>
      <c r="SLP248" s="57"/>
      <c r="SLQ248" s="10"/>
      <c r="SLR248" s="57"/>
      <c r="SLS248" s="10"/>
      <c r="SLT248" s="57"/>
      <c r="SLU248" s="10"/>
      <c r="SLV248" s="57"/>
      <c r="SLW248" s="10"/>
      <c r="SLX248" s="57"/>
      <c r="SLY248" s="10"/>
      <c r="SLZ248" s="57"/>
      <c r="SMA248" s="10"/>
      <c r="SMB248" s="57"/>
      <c r="SMC248" s="10"/>
      <c r="SMD248" s="57"/>
      <c r="SME248" s="10"/>
      <c r="SMF248" s="57"/>
      <c r="SMG248" s="10"/>
      <c r="SMH248" s="57"/>
      <c r="SMI248" s="10"/>
      <c r="SMJ248" s="57"/>
      <c r="SMK248" s="10"/>
      <c r="SML248" s="57"/>
      <c r="SMM248" s="10"/>
      <c r="SMN248" s="57"/>
      <c r="SMO248" s="10"/>
      <c r="SMP248" s="57"/>
      <c r="SMQ248" s="10"/>
      <c r="SMR248" s="57"/>
      <c r="SMS248" s="10"/>
      <c r="SMT248" s="57"/>
      <c r="SMU248" s="10"/>
      <c r="SMV248" s="57"/>
      <c r="SMW248" s="10"/>
      <c r="SMX248" s="57"/>
      <c r="SMY248" s="10"/>
      <c r="SMZ248" s="57"/>
      <c r="SNA248" s="10"/>
      <c r="SNB248" s="57"/>
      <c r="SNC248" s="10"/>
      <c r="SND248" s="57"/>
      <c r="SNE248" s="10"/>
      <c r="SNF248" s="57"/>
      <c r="SNG248" s="10"/>
      <c r="SNH248" s="57"/>
      <c r="SNI248" s="10"/>
      <c r="SNJ248" s="57"/>
      <c r="SNK248" s="10"/>
      <c r="SNL248" s="57"/>
      <c r="SNM248" s="10"/>
      <c r="SNN248" s="57"/>
      <c r="SNO248" s="10"/>
      <c r="SNP248" s="57"/>
      <c r="SNQ248" s="10"/>
      <c r="SNR248" s="57"/>
      <c r="SNS248" s="10"/>
      <c r="SNT248" s="57"/>
      <c r="SNU248" s="10"/>
      <c r="SNV248" s="57"/>
      <c r="SNW248" s="10"/>
      <c r="SNX248" s="57"/>
      <c r="SNY248" s="10"/>
      <c r="SNZ248" s="57"/>
      <c r="SOA248" s="10"/>
      <c r="SOB248" s="57"/>
      <c r="SOC248" s="10"/>
      <c r="SOD248" s="57"/>
      <c r="SOE248" s="10"/>
      <c r="SOF248" s="57"/>
      <c r="SOG248" s="10"/>
      <c r="SOH248" s="57"/>
      <c r="SOI248" s="10"/>
      <c r="SOJ248" s="57"/>
      <c r="SOK248" s="10"/>
      <c r="SOL248" s="57"/>
      <c r="SOM248" s="10"/>
      <c r="SON248" s="57"/>
      <c r="SOO248" s="10"/>
      <c r="SOP248" s="57"/>
      <c r="SOQ248" s="10"/>
      <c r="SOR248" s="57"/>
      <c r="SOS248" s="10"/>
      <c r="SOT248" s="57"/>
      <c r="SOU248" s="10"/>
      <c r="SOV248" s="57"/>
      <c r="SOW248" s="10"/>
      <c r="SOX248" s="57"/>
      <c r="SOY248" s="10"/>
      <c r="SOZ248" s="57"/>
      <c r="SPA248" s="10"/>
      <c r="SPB248" s="57"/>
      <c r="SPC248" s="10"/>
      <c r="SPD248" s="57"/>
      <c r="SPE248" s="10"/>
      <c r="SPF248" s="57"/>
      <c r="SPG248" s="10"/>
      <c r="SPH248" s="57"/>
      <c r="SPI248" s="10"/>
      <c r="SPJ248" s="57"/>
      <c r="SPK248" s="10"/>
      <c r="SPL248" s="57"/>
      <c r="SPM248" s="10"/>
      <c r="SPN248" s="57"/>
      <c r="SPO248" s="10"/>
      <c r="SPP248" s="57"/>
      <c r="SPQ248" s="10"/>
      <c r="SPR248" s="57"/>
      <c r="SPS248" s="10"/>
      <c r="SPT248" s="57"/>
      <c r="SPU248" s="10"/>
      <c r="SPV248" s="57"/>
      <c r="SPW248" s="10"/>
      <c r="SPX248" s="57"/>
      <c r="SPY248" s="10"/>
      <c r="SPZ248" s="57"/>
      <c r="SQA248" s="10"/>
      <c r="SQB248" s="57"/>
      <c r="SQC248" s="10"/>
      <c r="SQD248" s="57"/>
      <c r="SQE248" s="10"/>
      <c r="SQF248" s="57"/>
      <c r="SQG248" s="10"/>
      <c r="SQH248" s="57"/>
      <c r="SQI248" s="10"/>
      <c r="SQJ248" s="57"/>
      <c r="SQK248" s="10"/>
      <c r="SQL248" s="57"/>
      <c r="SQM248" s="10"/>
      <c r="SQN248" s="57"/>
      <c r="SQO248" s="10"/>
      <c r="SQP248" s="57"/>
      <c r="SQQ248" s="10"/>
      <c r="SQR248" s="57"/>
      <c r="SQS248" s="10"/>
      <c r="SQT248" s="57"/>
      <c r="SQU248" s="10"/>
      <c r="SQV248" s="57"/>
      <c r="SQW248" s="10"/>
      <c r="SQX248" s="57"/>
      <c r="SQY248" s="10"/>
      <c r="SQZ248" s="57"/>
      <c r="SRA248" s="10"/>
      <c r="SRB248" s="57"/>
      <c r="SRC248" s="10"/>
      <c r="SRD248" s="57"/>
      <c r="SRE248" s="10"/>
      <c r="SRF248" s="57"/>
      <c r="SRG248" s="10"/>
      <c r="SRH248" s="57"/>
      <c r="SRI248" s="10"/>
      <c r="SRJ248" s="57"/>
      <c r="SRK248" s="10"/>
      <c r="SRL248" s="57"/>
      <c r="SRM248" s="10"/>
      <c r="SRN248" s="57"/>
      <c r="SRO248" s="10"/>
      <c r="SRP248" s="57"/>
      <c r="SRQ248" s="10"/>
      <c r="SRR248" s="57"/>
      <c r="SRS248" s="10"/>
      <c r="SRT248" s="57"/>
      <c r="SRU248" s="10"/>
      <c r="SRV248" s="57"/>
      <c r="SRW248" s="10"/>
      <c r="SRX248" s="57"/>
      <c r="SRY248" s="10"/>
      <c r="SRZ248" s="57"/>
      <c r="SSA248" s="10"/>
      <c r="SSB248" s="57"/>
      <c r="SSC248" s="10"/>
      <c r="SSD248" s="57"/>
      <c r="SSE248" s="10"/>
      <c r="SSF248" s="57"/>
      <c r="SSG248" s="10"/>
      <c r="SSH248" s="57"/>
      <c r="SSI248" s="10"/>
      <c r="SSJ248" s="57"/>
      <c r="SSK248" s="10"/>
      <c r="SSL248" s="57"/>
      <c r="SSM248" s="10"/>
      <c r="SSN248" s="57"/>
      <c r="SSO248" s="10"/>
      <c r="SSP248" s="57"/>
      <c r="SSQ248" s="10"/>
      <c r="SSR248" s="57"/>
      <c r="SSS248" s="10"/>
      <c r="SST248" s="57"/>
      <c r="SSU248" s="10"/>
      <c r="SSV248" s="57"/>
      <c r="SSW248" s="10"/>
      <c r="SSX248" s="57"/>
      <c r="SSY248" s="10"/>
      <c r="SSZ248" s="57"/>
      <c r="STA248" s="10"/>
      <c r="STB248" s="57"/>
      <c r="STC248" s="10"/>
      <c r="STD248" s="57"/>
      <c r="STE248" s="10"/>
      <c r="STF248" s="57"/>
      <c r="STG248" s="10"/>
      <c r="STH248" s="57"/>
      <c r="STI248" s="10"/>
      <c r="STJ248" s="57"/>
      <c r="STK248" s="10"/>
      <c r="STL248" s="57"/>
      <c r="STM248" s="10"/>
      <c r="STN248" s="57"/>
      <c r="STO248" s="10"/>
      <c r="STP248" s="57"/>
      <c r="STQ248" s="10"/>
      <c r="STR248" s="57"/>
      <c r="STS248" s="10"/>
      <c r="STT248" s="57"/>
      <c r="STU248" s="10"/>
      <c r="STV248" s="57"/>
      <c r="STW248" s="10"/>
      <c r="STX248" s="57"/>
      <c r="STY248" s="10"/>
      <c r="STZ248" s="57"/>
      <c r="SUA248" s="10"/>
      <c r="SUB248" s="57"/>
      <c r="SUC248" s="10"/>
      <c r="SUD248" s="57"/>
      <c r="SUE248" s="10"/>
      <c r="SUF248" s="57"/>
      <c r="SUG248" s="10"/>
      <c r="SUH248" s="57"/>
      <c r="SUI248" s="10"/>
      <c r="SUJ248" s="57"/>
      <c r="SUK248" s="10"/>
      <c r="SUL248" s="57"/>
      <c r="SUM248" s="10"/>
      <c r="SUN248" s="57"/>
      <c r="SUO248" s="10"/>
      <c r="SUP248" s="57"/>
      <c r="SUQ248" s="10"/>
      <c r="SUR248" s="57"/>
      <c r="SUS248" s="10"/>
      <c r="SUT248" s="57"/>
      <c r="SUU248" s="10"/>
      <c r="SUV248" s="57"/>
      <c r="SUW248" s="10"/>
      <c r="SUX248" s="57"/>
      <c r="SUY248" s="10"/>
      <c r="SUZ248" s="57"/>
      <c r="SVA248" s="10"/>
      <c r="SVB248" s="57"/>
      <c r="SVC248" s="10"/>
      <c r="SVD248" s="57"/>
      <c r="SVE248" s="10"/>
      <c r="SVF248" s="57"/>
      <c r="SVG248" s="10"/>
      <c r="SVH248" s="57"/>
      <c r="SVI248" s="10"/>
      <c r="SVJ248" s="57"/>
      <c r="SVK248" s="10"/>
      <c r="SVL248" s="57"/>
      <c r="SVM248" s="10"/>
      <c r="SVN248" s="57"/>
      <c r="SVO248" s="10"/>
      <c r="SVP248" s="57"/>
      <c r="SVQ248" s="10"/>
      <c r="SVR248" s="57"/>
      <c r="SVS248" s="10"/>
      <c r="SVT248" s="57"/>
      <c r="SVU248" s="10"/>
      <c r="SVV248" s="57"/>
      <c r="SVW248" s="10"/>
      <c r="SVX248" s="57"/>
      <c r="SVY248" s="10"/>
      <c r="SVZ248" s="57"/>
      <c r="SWA248" s="10"/>
      <c r="SWB248" s="57"/>
      <c r="SWC248" s="10"/>
      <c r="SWD248" s="57"/>
      <c r="SWE248" s="10"/>
      <c r="SWF248" s="57"/>
      <c r="SWG248" s="10"/>
      <c r="SWH248" s="57"/>
      <c r="SWI248" s="10"/>
      <c r="SWJ248" s="57"/>
      <c r="SWK248" s="10"/>
      <c r="SWL248" s="57"/>
      <c r="SWM248" s="10"/>
      <c r="SWN248" s="57"/>
      <c r="SWO248" s="10"/>
      <c r="SWP248" s="57"/>
      <c r="SWQ248" s="10"/>
      <c r="SWR248" s="57"/>
      <c r="SWS248" s="10"/>
      <c r="SWT248" s="57"/>
      <c r="SWU248" s="10"/>
      <c r="SWV248" s="57"/>
      <c r="SWW248" s="10"/>
      <c r="SWX248" s="57"/>
      <c r="SWY248" s="10"/>
      <c r="SWZ248" s="57"/>
      <c r="SXA248" s="10"/>
      <c r="SXB248" s="57"/>
      <c r="SXC248" s="10"/>
      <c r="SXD248" s="57"/>
      <c r="SXE248" s="10"/>
      <c r="SXF248" s="57"/>
      <c r="SXG248" s="10"/>
      <c r="SXH248" s="57"/>
      <c r="SXI248" s="10"/>
      <c r="SXJ248" s="57"/>
      <c r="SXK248" s="10"/>
      <c r="SXL248" s="57"/>
      <c r="SXM248" s="10"/>
      <c r="SXN248" s="57"/>
      <c r="SXO248" s="10"/>
      <c r="SXP248" s="57"/>
      <c r="SXQ248" s="10"/>
      <c r="SXR248" s="57"/>
      <c r="SXS248" s="10"/>
      <c r="SXT248" s="57"/>
      <c r="SXU248" s="10"/>
      <c r="SXV248" s="57"/>
      <c r="SXW248" s="10"/>
      <c r="SXX248" s="57"/>
      <c r="SXY248" s="10"/>
      <c r="SXZ248" s="57"/>
      <c r="SYA248" s="10"/>
      <c r="SYB248" s="57"/>
      <c r="SYC248" s="10"/>
      <c r="SYD248" s="57"/>
      <c r="SYE248" s="10"/>
      <c r="SYF248" s="57"/>
      <c r="SYG248" s="10"/>
      <c r="SYH248" s="57"/>
      <c r="SYI248" s="10"/>
      <c r="SYJ248" s="57"/>
      <c r="SYK248" s="10"/>
      <c r="SYL248" s="57"/>
      <c r="SYM248" s="10"/>
      <c r="SYN248" s="57"/>
      <c r="SYO248" s="10"/>
      <c r="SYP248" s="57"/>
      <c r="SYQ248" s="10"/>
      <c r="SYR248" s="57"/>
      <c r="SYS248" s="10"/>
      <c r="SYT248" s="57"/>
      <c r="SYU248" s="10"/>
      <c r="SYV248" s="57"/>
      <c r="SYW248" s="10"/>
      <c r="SYX248" s="57"/>
      <c r="SYY248" s="10"/>
      <c r="SYZ248" s="57"/>
      <c r="SZA248" s="10"/>
      <c r="SZB248" s="57"/>
      <c r="SZC248" s="10"/>
      <c r="SZD248" s="57"/>
      <c r="SZE248" s="10"/>
      <c r="SZF248" s="57"/>
      <c r="SZG248" s="10"/>
      <c r="SZH248" s="57"/>
      <c r="SZI248" s="10"/>
      <c r="SZJ248" s="57"/>
      <c r="SZK248" s="10"/>
      <c r="SZL248" s="57"/>
      <c r="SZM248" s="10"/>
      <c r="SZN248" s="57"/>
      <c r="SZO248" s="10"/>
      <c r="SZP248" s="57"/>
      <c r="SZQ248" s="10"/>
      <c r="SZR248" s="57"/>
      <c r="SZS248" s="10"/>
      <c r="SZT248" s="57"/>
      <c r="SZU248" s="10"/>
      <c r="SZV248" s="57"/>
      <c r="SZW248" s="10"/>
      <c r="SZX248" s="57"/>
      <c r="SZY248" s="10"/>
      <c r="SZZ248" s="57"/>
      <c r="TAA248" s="10"/>
      <c r="TAB248" s="57"/>
      <c r="TAC248" s="10"/>
      <c r="TAD248" s="57"/>
      <c r="TAE248" s="10"/>
      <c r="TAF248" s="57"/>
      <c r="TAG248" s="10"/>
      <c r="TAH248" s="57"/>
      <c r="TAI248" s="10"/>
      <c r="TAJ248" s="57"/>
      <c r="TAK248" s="10"/>
      <c r="TAL248" s="57"/>
      <c r="TAM248" s="10"/>
      <c r="TAN248" s="57"/>
      <c r="TAO248" s="10"/>
      <c r="TAP248" s="57"/>
      <c r="TAQ248" s="10"/>
      <c r="TAR248" s="57"/>
      <c r="TAS248" s="10"/>
      <c r="TAT248" s="57"/>
      <c r="TAU248" s="10"/>
      <c r="TAV248" s="57"/>
      <c r="TAW248" s="10"/>
      <c r="TAX248" s="57"/>
      <c r="TAY248" s="10"/>
      <c r="TAZ248" s="57"/>
      <c r="TBA248" s="10"/>
      <c r="TBB248" s="57"/>
      <c r="TBC248" s="10"/>
      <c r="TBD248" s="57"/>
      <c r="TBE248" s="10"/>
      <c r="TBF248" s="57"/>
      <c r="TBG248" s="10"/>
      <c r="TBH248" s="57"/>
      <c r="TBI248" s="10"/>
      <c r="TBJ248" s="57"/>
      <c r="TBK248" s="10"/>
      <c r="TBL248" s="57"/>
      <c r="TBM248" s="10"/>
      <c r="TBN248" s="57"/>
      <c r="TBO248" s="10"/>
      <c r="TBP248" s="57"/>
      <c r="TBQ248" s="10"/>
      <c r="TBR248" s="57"/>
      <c r="TBS248" s="10"/>
      <c r="TBT248" s="57"/>
      <c r="TBU248" s="10"/>
      <c r="TBV248" s="57"/>
      <c r="TBW248" s="10"/>
      <c r="TBX248" s="57"/>
      <c r="TBY248" s="10"/>
      <c r="TBZ248" s="57"/>
      <c r="TCA248" s="10"/>
      <c r="TCB248" s="57"/>
      <c r="TCC248" s="10"/>
      <c r="TCD248" s="57"/>
      <c r="TCE248" s="10"/>
      <c r="TCF248" s="57"/>
      <c r="TCG248" s="10"/>
      <c r="TCH248" s="57"/>
      <c r="TCI248" s="10"/>
      <c r="TCJ248" s="57"/>
      <c r="TCK248" s="10"/>
      <c r="TCL248" s="57"/>
      <c r="TCM248" s="10"/>
      <c r="TCN248" s="57"/>
      <c r="TCO248" s="10"/>
      <c r="TCP248" s="57"/>
      <c r="TCQ248" s="10"/>
      <c r="TCR248" s="57"/>
      <c r="TCS248" s="10"/>
      <c r="TCT248" s="57"/>
      <c r="TCU248" s="10"/>
      <c r="TCV248" s="57"/>
      <c r="TCW248" s="10"/>
      <c r="TCX248" s="57"/>
      <c r="TCY248" s="10"/>
      <c r="TCZ248" s="57"/>
      <c r="TDA248" s="10"/>
      <c r="TDB248" s="57"/>
      <c r="TDC248" s="10"/>
      <c r="TDD248" s="57"/>
      <c r="TDE248" s="10"/>
      <c r="TDF248" s="57"/>
      <c r="TDG248" s="10"/>
      <c r="TDH248" s="57"/>
      <c r="TDI248" s="10"/>
      <c r="TDJ248" s="57"/>
      <c r="TDK248" s="10"/>
      <c r="TDL248" s="57"/>
      <c r="TDM248" s="10"/>
      <c r="TDN248" s="57"/>
      <c r="TDO248" s="10"/>
      <c r="TDP248" s="57"/>
      <c r="TDQ248" s="10"/>
      <c r="TDR248" s="57"/>
      <c r="TDS248" s="10"/>
      <c r="TDT248" s="57"/>
      <c r="TDU248" s="10"/>
      <c r="TDV248" s="57"/>
      <c r="TDW248" s="10"/>
      <c r="TDX248" s="57"/>
      <c r="TDY248" s="10"/>
      <c r="TDZ248" s="57"/>
      <c r="TEA248" s="10"/>
      <c r="TEB248" s="57"/>
      <c r="TEC248" s="10"/>
      <c r="TED248" s="57"/>
      <c r="TEE248" s="10"/>
      <c r="TEF248" s="57"/>
      <c r="TEG248" s="10"/>
      <c r="TEH248" s="57"/>
      <c r="TEI248" s="10"/>
      <c r="TEJ248" s="57"/>
      <c r="TEK248" s="10"/>
      <c r="TEL248" s="57"/>
      <c r="TEM248" s="10"/>
      <c r="TEN248" s="57"/>
      <c r="TEO248" s="10"/>
      <c r="TEP248" s="57"/>
      <c r="TEQ248" s="10"/>
      <c r="TER248" s="57"/>
      <c r="TES248" s="10"/>
      <c r="TET248" s="57"/>
      <c r="TEU248" s="10"/>
      <c r="TEV248" s="57"/>
      <c r="TEW248" s="10"/>
      <c r="TEX248" s="57"/>
      <c r="TEY248" s="10"/>
      <c r="TEZ248" s="57"/>
      <c r="TFA248" s="10"/>
      <c r="TFB248" s="57"/>
      <c r="TFC248" s="10"/>
      <c r="TFD248" s="57"/>
      <c r="TFE248" s="10"/>
      <c r="TFF248" s="57"/>
      <c r="TFG248" s="10"/>
      <c r="TFH248" s="57"/>
      <c r="TFI248" s="10"/>
      <c r="TFJ248" s="57"/>
      <c r="TFK248" s="10"/>
      <c r="TFL248" s="57"/>
      <c r="TFM248" s="10"/>
      <c r="TFN248" s="57"/>
      <c r="TFO248" s="10"/>
      <c r="TFP248" s="57"/>
      <c r="TFQ248" s="10"/>
      <c r="TFR248" s="57"/>
      <c r="TFS248" s="10"/>
      <c r="TFT248" s="57"/>
      <c r="TFU248" s="10"/>
      <c r="TFV248" s="57"/>
      <c r="TFW248" s="10"/>
      <c r="TFX248" s="57"/>
      <c r="TFY248" s="10"/>
      <c r="TFZ248" s="57"/>
      <c r="TGA248" s="10"/>
      <c r="TGB248" s="57"/>
      <c r="TGC248" s="10"/>
      <c r="TGD248" s="57"/>
      <c r="TGE248" s="10"/>
      <c r="TGF248" s="57"/>
      <c r="TGG248" s="10"/>
      <c r="TGH248" s="57"/>
      <c r="TGI248" s="10"/>
      <c r="TGJ248" s="57"/>
      <c r="TGK248" s="10"/>
      <c r="TGL248" s="57"/>
      <c r="TGM248" s="10"/>
      <c r="TGN248" s="57"/>
      <c r="TGO248" s="10"/>
      <c r="TGP248" s="57"/>
      <c r="TGQ248" s="10"/>
      <c r="TGR248" s="57"/>
      <c r="TGS248" s="10"/>
      <c r="TGT248" s="57"/>
      <c r="TGU248" s="10"/>
      <c r="TGV248" s="57"/>
      <c r="TGW248" s="10"/>
      <c r="TGX248" s="57"/>
      <c r="TGY248" s="10"/>
      <c r="TGZ248" s="57"/>
      <c r="THA248" s="10"/>
      <c r="THB248" s="57"/>
      <c r="THC248" s="10"/>
      <c r="THD248" s="57"/>
      <c r="THE248" s="10"/>
      <c r="THF248" s="57"/>
      <c r="THG248" s="10"/>
      <c r="THH248" s="57"/>
      <c r="THI248" s="10"/>
      <c r="THJ248" s="57"/>
      <c r="THK248" s="10"/>
      <c r="THL248" s="57"/>
      <c r="THM248" s="10"/>
      <c r="THN248" s="57"/>
      <c r="THO248" s="10"/>
      <c r="THP248" s="57"/>
      <c r="THQ248" s="10"/>
      <c r="THR248" s="57"/>
      <c r="THS248" s="10"/>
      <c r="THT248" s="57"/>
      <c r="THU248" s="10"/>
      <c r="THV248" s="57"/>
      <c r="THW248" s="10"/>
      <c r="THX248" s="57"/>
      <c r="THY248" s="10"/>
      <c r="THZ248" s="57"/>
      <c r="TIA248" s="10"/>
      <c r="TIB248" s="57"/>
      <c r="TIC248" s="10"/>
      <c r="TID248" s="57"/>
      <c r="TIE248" s="10"/>
      <c r="TIF248" s="57"/>
      <c r="TIG248" s="10"/>
      <c r="TIH248" s="57"/>
      <c r="TII248" s="10"/>
      <c r="TIJ248" s="57"/>
      <c r="TIK248" s="10"/>
      <c r="TIL248" s="57"/>
      <c r="TIM248" s="10"/>
      <c r="TIN248" s="57"/>
      <c r="TIO248" s="10"/>
      <c r="TIP248" s="57"/>
      <c r="TIQ248" s="10"/>
      <c r="TIR248" s="57"/>
      <c r="TIS248" s="10"/>
      <c r="TIT248" s="57"/>
      <c r="TIU248" s="10"/>
      <c r="TIV248" s="57"/>
      <c r="TIW248" s="10"/>
      <c r="TIX248" s="57"/>
      <c r="TIY248" s="10"/>
      <c r="TIZ248" s="57"/>
      <c r="TJA248" s="10"/>
      <c r="TJB248" s="57"/>
      <c r="TJC248" s="10"/>
      <c r="TJD248" s="57"/>
      <c r="TJE248" s="10"/>
      <c r="TJF248" s="57"/>
      <c r="TJG248" s="10"/>
      <c r="TJH248" s="57"/>
      <c r="TJI248" s="10"/>
      <c r="TJJ248" s="57"/>
      <c r="TJK248" s="10"/>
      <c r="TJL248" s="57"/>
      <c r="TJM248" s="10"/>
      <c r="TJN248" s="57"/>
      <c r="TJO248" s="10"/>
      <c r="TJP248" s="57"/>
      <c r="TJQ248" s="10"/>
      <c r="TJR248" s="57"/>
      <c r="TJS248" s="10"/>
      <c r="TJT248" s="57"/>
      <c r="TJU248" s="10"/>
      <c r="TJV248" s="57"/>
      <c r="TJW248" s="10"/>
      <c r="TJX248" s="57"/>
      <c r="TJY248" s="10"/>
      <c r="TJZ248" s="57"/>
      <c r="TKA248" s="10"/>
      <c r="TKB248" s="57"/>
      <c r="TKC248" s="10"/>
      <c r="TKD248" s="57"/>
      <c r="TKE248" s="10"/>
      <c r="TKF248" s="57"/>
      <c r="TKG248" s="10"/>
      <c r="TKH248" s="57"/>
      <c r="TKI248" s="10"/>
      <c r="TKJ248" s="57"/>
      <c r="TKK248" s="10"/>
      <c r="TKL248" s="57"/>
      <c r="TKM248" s="10"/>
      <c r="TKN248" s="57"/>
      <c r="TKO248" s="10"/>
      <c r="TKP248" s="57"/>
      <c r="TKQ248" s="10"/>
      <c r="TKR248" s="57"/>
      <c r="TKS248" s="10"/>
      <c r="TKT248" s="57"/>
      <c r="TKU248" s="10"/>
      <c r="TKV248" s="57"/>
      <c r="TKW248" s="10"/>
      <c r="TKX248" s="57"/>
      <c r="TKY248" s="10"/>
      <c r="TKZ248" s="57"/>
      <c r="TLA248" s="10"/>
      <c r="TLB248" s="57"/>
      <c r="TLC248" s="10"/>
      <c r="TLD248" s="57"/>
      <c r="TLE248" s="10"/>
      <c r="TLF248" s="57"/>
      <c r="TLG248" s="10"/>
      <c r="TLH248" s="57"/>
      <c r="TLI248" s="10"/>
      <c r="TLJ248" s="57"/>
      <c r="TLK248" s="10"/>
      <c r="TLL248" s="57"/>
      <c r="TLM248" s="10"/>
      <c r="TLN248" s="57"/>
      <c r="TLO248" s="10"/>
      <c r="TLP248" s="57"/>
      <c r="TLQ248" s="10"/>
      <c r="TLR248" s="57"/>
      <c r="TLS248" s="10"/>
      <c r="TLT248" s="57"/>
      <c r="TLU248" s="10"/>
      <c r="TLV248" s="57"/>
      <c r="TLW248" s="10"/>
      <c r="TLX248" s="57"/>
      <c r="TLY248" s="10"/>
      <c r="TLZ248" s="57"/>
      <c r="TMA248" s="10"/>
      <c r="TMB248" s="57"/>
      <c r="TMC248" s="10"/>
      <c r="TMD248" s="57"/>
      <c r="TME248" s="10"/>
      <c r="TMF248" s="57"/>
      <c r="TMG248" s="10"/>
      <c r="TMH248" s="57"/>
      <c r="TMI248" s="10"/>
      <c r="TMJ248" s="57"/>
      <c r="TMK248" s="10"/>
      <c r="TML248" s="57"/>
      <c r="TMM248" s="10"/>
      <c r="TMN248" s="57"/>
      <c r="TMO248" s="10"/>
      <c r="TMP248" s="57"/>
      <c r="TMQ248" s="10"/>
      <c r="TMR248" s="57"/>
      <c r="TMS248" s="10"/>
      <c r="TMT248" s="57"/>
      <c r="TMU248" s="10"/>
      <c r="TMV248" s="57"/>
      <c r="TMW248" s="10"/>
      <c r="TMX248" s="57"/>
      <c r="TMY248" s="10"/>
      <c r="TMZ248" s="57"/>
      <c r="TNA248" s="10"/>
      <c r="TNB248" s="57"/>
      <c r="TNC248" s="10"/>
      <c r="TND248" s="57"/>
      <c r="TNE248" s="10"/>
      <c r="TNF248" s="57"/>
      <c r="TNG248" s="10"/>
      <c r="TNH248" s="57"/>
      <c r="TNI248" s="10"/>
      <c r="TNJ248" s="57"/>
      <c r="TNK248" s="10"/>
      <c r="TNL248" s="57"/>
      <c r="TNM248" s="10"/>
      <c r="TNN248" s="57"/>
      <c r="TNO248" s="10"/>
      <c r="TNP248" s="57"/>
      <c r="TNQ248" s="10"/>
      <c r="TNR248" s="57"/>
      <c r="TNS248" s="10"/>
      <c r="TNT248" s="57"/>
      <c r="TNU248" s="10"/>
      <c r="TNV248" s="57"/>
      <c r="TNW248" s="10"/>
      <c r="TNX248" s="57"/>
      <c r="TNY248" s="10"/>
      <c r="TNZ248" s="57"/>
      <c r="TOA248" s="10"/>
      <c r="TOB248" s="57"/>
      <c r="TOC248" s="10"/>
      <c r="TOD248" s="57"/>
      <c r="TOE248" s="10"/>
      <c r="TOF248" s="57"/>
      <c r="TOG248" s="10"/>
      <c r="TOH248" s="57"/>
      <c r="TOI248" s="10"/>
      <c r="TOJ248" s="57"/>
      <c r="TOK248" s="10"/>
      <c r="TOL248" s="57"/>
      <c r="TOM248" s="10"/>
      <c r="TON248" s="57"/>
      <c r="TOO248" s="10"/>
      <c r="TOP248" s="57"/>
      <c r="TOQ248" s="10"/>
      <c r="TOR248" s="57"/>
      <c r="TOS248" s="10"/>
      <c r="TOT248" s="57"/>
      <c r="TOU248" s="10"/>
      <c r="TOV248" s="57"/>
      <c r="TOW248" s="10"/>
      <c r="TOX248" s="57"/>
      <c r="TOY248" s="10"/>
      <c r="TOZ248" s="57"/>
      <c r="TPA248" s="10"/>
      <c r="TPB248" s="57"/>
      <c r="TPC248" s="10"/>
      <c r="TPD248" s="57"/>
      <c r="TPE248" s="10"/>
      <c r="TPF248" s="57"/>
      <c r="TPG248" s="10"/>
      <c r="TPH248" s="57"/>
      <c r="TPI248" s="10"/>
      <c r="TPJ248" s="57"/>
      <c r="TPK248" s="10"/>
      <c r="TPL248" s="57"/>
      <c r="TPM248" s="10"/>
      <c r="TPN248" s="57"/>
      <c r="TPO248" s="10"/>
      <c r="TPP248" s="57"/>
      <c r="TPQ248" s="10"/>
      <c r="TPR248" s="57"/>
      <c r="TPS248" s="10"/>
      <c r="TPT248" s="57"/>
      <c r="TPU248" s="10"/>
      <c r="TPV248" s="57"/>
      <c r="TPW248" s="10"/>
      <c r="TPX248" s="57"/>
      <c r="TPY248" s="10"/>
      <c r="TPZ248" s="57"/>
      <c r="TQA248" s="10"/>
      <c r="TQB248" s="57"/>
      <c r="TQC248" s="10"/>
      <c r="TQD248" s="57"/>
      <c r="TQE248" s="10"/>
      <c r="TQF248" s="57"/>
      <c r="TQG248" s="10"/>
      <c r="TQH248" s="57"/>
      <c r="TQI248" s="10"/>
      <c r="TQJ248" s="57"/>
      <c r="TQK248" s="10"/>
      <c r="TQL248" s="57"/>
      <c r="TQM248" s="10"/>
      <c r="TQN248" s="57"/>
      <c r="TQO248" s="10"/>
      <c r="TQP248" s="57"/>
      <c r="TQQ248" s="10"/>
      <c r="TQR248" s="57"/>
      <c r="TQS248" s="10"/>
      <c r="TQT248" s="57"/>
      <c r="TQU248" s="10"/>
      <c r="TQV248" s="57"/>
      <c r="TQW248" s="10"/>
      <c r="TQX248" s="57"/>
      <c r="TQY248" s="10"/>
      <c r="TQZ248" s="57"/>
      <c r="TRA248" s="10"/>
      <c r="TRB248" s="57"/>
      <c r="TRC248" s="10"/>
      <c r="TRD248" s="57"/>
      <c r="TRE248" s="10"/>
      <c r="TRF248" s="57"/>
      <c r="TRG248" s="10"/>
      <c r="TRH248" s="57"/>
      <c r="TRI248" s="10"/>
      <c r="TRJ248" s="57"/>
      <c r="TRK248" s="10"/>
      <c r="TRL248" s="57"/>
      <c r="TRM248" s="10"/>
      <c r="TRN248" s="57"/>
      <c r="TRO248" s="10"/>
      <c r="TRP248" s="57"/>
      <c r="TRQ248" s="10"/>
      <c r="TRR248" s="57"/>
      <c r="TRS248" s="10"/>
      <c r="TRT248" s="57"/>
      <c r="TRU248" s="10"/>
      <c r="TRV248" s="57"/>
      <c r="TRW248" s="10"/>
      <c r="TRX248" s="57"/>
      <c r="TRY248" s="10"/>
      <c r="TRZ248" s="57"/>
      <c r="TSA248" s="10"/>
      <c r="TSB248" s="57"/>
      <c r="TSC248" s="10"/>
      <c r="TSD248" s="57"/>
      <c r="TSE248" s="10"/>
      <c r="TSF248" s="57"/>
      <c r="TSG248" s="10"/>
      <c r="TSH248" s="57"/>
      <c r="TSI248" s="10"/>
      <c r="TSJ248" s="57"/>
      <c r="TSK248" s="10"/>
      <c r="TSL248" s="57"/>
      <c r="TSM248" s="10"/>
      <c r="TSN248" s="57"/>
      <c r="TSO248" s="10"/>
      <c r="TSP248" s="57"/>
      <c r="TSQ248" s="10"/>
      <c r="TSR248" s="57"/>
      <c r="TSS248" s="10"/>
      <c r="TST248" s="57"/>
      <c r="TSU248" s="10"/>
      <c r="TSV248" s="57"/>
      <c r="TSW248" s="10"/>
      <c r="TSX248" s="57"/>
      <c r="TSY248" s="10"/>
      <c r="TSZ248" s="57"/>
      <c r="TTA248" s="10"/>
      <c r="TTB248" s="57"/>
      <c r="TTC248" s="10"/>
      <c r="TTD248" s="57"/>
      <c r="TTE248" s="10"/>
      <c r="TTF248" s="57"/>
      <c r="TTG248" s="10"/>
      <c r="TTH248" s="57"/>
      <c r="TTI248" s="10"/>
      <c r="TTJ248" s="57"/>
      <c r="TTK248" s="10"/>
      <c r="TTL248" s="57"/>
      <c r="TTM248" s="10"/>
      <c r="TTN248" s="57"/>
      <c r="TTO248" s="10"/>
      <c r="TTP248" s="57"/>
      <c r="TTQ248" s="10"/>
      <c r="TTR248" s="57"/>
      <c r="TTS248" s="10"/>
      <c r="TTT248" s="57"/>
      <c r="TTU248" s="10"/>
      <c r="TTV248" s="57"/>
      <c r="TTW248" s="10"/>
      <c r="TTX248" s="57"/>
      <c r="TTY248" s="10"/>
      <c r="TTZ248" s="57"/>
      <c r="TUA248" s="10"/>
      <c r="TUB248" s="57"/>
      <c r="TUC248" s="10"/>
      <c r="TUD248" s="57"/>
      <c r="TUE248" s="10"/>
      <c r="TUF248" s="57"/>
      <c r="TUG248" s="10"/>
      <c r="TUH248" s="57"/>
      <c r="TUI248" s="10"/>
      <c r="TUJ248" s="57"/>
      <c r="TUK248" s="10"/>
      <c r="TUL248" s="57"/>
      <c r="TUM248" s="10"/>
      <c r="TUN248" s="57"/>
      <c r="TUO248" s="10"/>
      <c r="TUP248" s="57"/>
      <c r="TUQ248" s="10"/>
      <c r="TUR248" s="57"/>
      <c r="TUS248" s="10"/>
      <c r="TUT248" s="57"/>
      <c r="TUU248" s="10"/>
      <c r="TUV248" s="57"/>
      <c r="TUW248" s="10"/>
      <c r="TUX248" s="57"/>
      <c r="TUY248" s="10"/>
      <c r="TUZ248" s="57"/>
      <c r="TVA248" s="10"/>
      <c r="TVB248" s="57"/>
      <c r="TVC248" s="10"/>
      <c r="TVD248" s="57"/>
      <c r="TVE248" s="10"/>
      <c r="TVF248" s="57"/>
      <c r="TVG248" s="10"/>
      <c r="TVH248" s="57"/>
      <c r="TVI248" s="10"/>
      <c r="TVJ248" s="57"/>
      <c r="TVK248" s="10"/>
      <c r="TVL248" s="57"/>
      <c r="TVM248" s="10"/>
      <c r="TVN248" s="57"/>
      <c r="TVO248" s="10"/>
      <c r="TVP248" s="57"/>
      <c r="TVQ248" s="10"/>
      <c r="TVR248" s="57"/>
      <c r="TVS248" s="10"/>
      <c r="TVT248" s="57"/>
      <c r="TVU248" s="10"/>
      <c r="TVV248" s="57"/>
      <c r="TVW248" s="10"/>
      <c r="TVX248" s="57"/>
      <c r="TVY248" s="10"/>
      <c r="TVZ248" s="57"/>
      <c r="TWA248" s="10"/>
      <c r="TWB248" s="57"/>
      <c r="TWC248" s="10"/>
      <c r="TWD248" s="57"/>
      <c r="TWE248" s="10"/>
      <c r="TWF248" s="57"/>
      <c r="TWG248" s="10"/>
      <c r="TWH248" s="57"/>
      <c r="TWI248" s="10"/>
      <c r="TWJ248" s="57"/>
      <c r="TWK248" s="10"/>
      <c r="TWL248" s="57"/>
      <c r="TWM248" s="10"/>
      <c r="TWN248" s="57"/>
      <c r="TWO248" s="10"/>
      <c r="TWP248" s="57"/>
      <c r="TWQ248" s="10"/>
      <c r="TWR248" s="57"/>
      <c r="TWS248" s="10"/>
      <c r="TWT248" s="57"/>
      <c r="TWU248" s="10"/>
      <c r="TWV248" s="57"/>
      <c r="TWW248" s="10"/>
      <c r="TWX248" s="57"/>
      <c r="TWY248" s="10"/>
      <c r="TWZ248" s="57"/>
      <c r="TXA248" s="10"/>
      <c r="TXB248" s="57"/>
      <c r="TXC248" s="10"/>
      <c r="TXD248" s="57"/>
      <c r="TXE248" s="10"/>
      <c r="TXF248" s="57"/>
      <c r="TXG248" s="10"/>
      <c r="TXH248" s="57"/>
      <c r="TXI248" s="10"/>
      <c r="TXJ248" s="57"/>
      <c r="TXK248" s="10"/>
      <c r="TXL248" s="57"/>
      <c r="TXM248" s="10"/>
      <c r="TXN248" s="57"/>
      <c r="TXO248" s="10"/>
      <c r="TXP248" s="57"/>
      <c r="TXQ248" s="10"/>
      <c r="TXR248" s="57"/>
      <c r="TXS248" s="10"/>
      <c r="TXT248" s="57"/>
      <c r="TXU248" s="10"/>
      <c r="TXV248" s="57"/>
      <c r="TXW248" s="10"/>
      <c r="TXX248" s="57"/>
      <c r="TXY248" s="10"/>
      <c r="TXZ248" s="57"/>
      <c r="TYA248" s="10"/>
      <c r="TYB248" s="57"/>
      <c r="TYC248" s="10"/>
      <c r="TYD248" s="57"/>
      <c r="TYE248" s="10"/>
      <c r="TYF248" s="57"/>
      <c r="TYG248" s="10"/>
      <c r="TYH248" s="57"/>
      <c r="TYI248" s="10"/>
      <c r="TYJ248" s="57"/>
      <c r="TYK248" s="10"/>
      <c r="TYL248" s="57"/>
      <c r="TYM248" s="10"/>
      <c r="TYN248" s="57"/>
      <c r="TYO248" s="10"/>
      <c r="TYP248" s="57"/>
      <c r="TYQ248" s="10"/>
      <c r="TYR248" s="57"/>
      <c r="TYS248" s="10"/>
      <c r="TYT248" s="57"/>
      <c r="TYU248" s="10"/>
      <c r="TYV248" s="57"/>
      <c r="TYW248" s="10"/>
      <c r="TYX248" s="57"/>
      <c r="TYY248" s="10"/>
      <c r="TYZ248" s="57"/>
      <c r="TZA248" s="10"/>
      <c r="TZB248" s="57"/>
      <c r="TZC248" s="10"/>
      <c r="TZD248" s="57"/>
      <c r="TZE248" s="10"/>
      <c r="TZF248" s="57"/>
      <c r="TZG248" s="10"/>
      <c r="TZH248" s="57"/>
      <c r="TZI248" s="10"/>
      <c r="TZJ248" s="57"/>
      <c r="TZK248" s="10"/>
      <c r="TZL248" s="57"/>
      <c r="TZM248" s="10"/>
      <c r="TZN248" s="57"/>
      <c r="TZO248" s="10"/>
      <c r="TZP248" s="57"/>
      <c r="TZQ248" s="10"/>
      <c r="TZR248" s="57"/>
      <c r="TZS248" s="10"/>
      <c r="TZT248" s="57"/>
      <c r="TZU248" s="10"/>
      <c r="TZV248" s="57"/>
      <c r="TZW248" s="10"/>
      <c r="TZX248" s="57"/>
      <c r="TZY248" s="10"/>
      <c r="TZZ248" s="57"/>
      <c r="UAA248" s="10"/>
      <c r="UAB248" s="57"/>
      <c r="UAC248" s="10"/>
      <c r="UAD248" s="57"/>
      <c r="UAE248" s="10"/>
      <c r="UAF248" s="57"/>
      <c r="UAG248" s="10"/>
      <c r="UAH248" s="57"/>
      <c r="UAI248" s="10"/>
      <c r="UAJ248" s="57"/>
      <c r="UAK248" s="10"/>
      <c r="UAL248" s="57"/>
      <c r="UAM248" s="10"/>
      <c r="UAN248" s="57"/>
      <c r="UAO248" s="10"/>
      <c r="UAP248" s="57"/>
      <c r="UAQ248" s="10"/>
      <c r="UAR248" s="57"/>
      <c r="UAS248" s="10"/>
      <c r="UAT248" s="57"/>
      <c r="UAU248" s="10"/>
      <c r="UAV248" s="57"/>
      <c r="UAW248" s="10"/>
      <c r="UAX248" s="57"/>
      <c r="UAY248" s="10"/>
      <c r="UAZ248" s="57"/>
      <c r="UBA248" s="10"/>
      <c r="UBB248" s="57"/>
      <c r="UBC248" s="10"/>
      <c r="UBD248" s="57"/>
      <c r="UBE248" s="10"/>
      <c r="UBF248" s="57"/>
      <c r="UBG248" s="10"/>
      <c r="UBH248" s="57"/>
      <c r="UBI248" s="10"/>
      <c r="UBJ248" s="57"/>
      <c r="UBK248" s="10"/>
      <c r="UBL248" s="57"/>
      <c r="UBM248" s="10"/>
      <c r="UBN248" s="57"/>
      <c r="UBO248" s="10"/>
      <c r="UBP248" s="57"/>
      <c r="UBQ248" s="10"/>
      <c r="UBR248" s="57"/>
      <c r="UBS248" s="10"/>
      <c r="UBT248" s="57"/>
      <c r="UBU248" s="10"/>
      <c r="UBV248" s="57"/>
      <c r="UBW248" s="10"/>
      <c r="UBX248" s="57"/>
      <c r="UBY248" s="10"/>
      <c r="UBZ248" s="57"/>
      <c r="UCA248" s="10"/>
      <c r="UCB248" s="57"/>
      <c r="UCC248" s="10"/>
      <c r="UCD248" s="57"/>
      <c r="UCE248" s="10"/>
      <c r="UCF248" s="57"/>
      <c r="UCG248" s="10"/>
      <c r="UCH248" s="57"/>
      <c r="UCI248" s="10"/>
      <c r="UCJ248" s="57"/>
      <c r="UCK248" s="10"/>
      <c r="UCL248" s="57"/>
      <c r="UCM248" s="10"/>
      <c r="UCN248" s="57"/>
      <c r="UCO248" s="10"/>
      <c r="UCP248" s="57"/>
      <c r="UCQ248" s="10"/>
      <c r="UCR248" s="57"/>
      <c r="UCS248" s="10"/>
      <c r="UCT248" s="57"/>
      <c r="UCU248" s="10"/>
      <c r="UCV248" s="57"/>
      <c r="UCW248" s="10"/>
      <c r="UCX248" s="57"/>
      <c r="UCY248" s="10"/>
      <c r="UCZ248" s="57"/>
      <c r="UDA248" s="10"/>
      <c r="UDB248" s="57"/>
      <c r="UDC248" s="10"/>
      <c r="UDD248" s="57"/>
      <c r="UDE248" s="10"/>
      <c r="UDF248" s="57"/>
      <c r="UDG248" s="10"/>
      <c r="UDH248" s="57"/>
      <c r="UDI248" s="10"/>
      <c r="UDJ248" s="57"/>
      <c r="UDK248" s="10"/>
      <c r="UDL248" s="57"/>
      <c r="UDM248" s="10"/>
      <c r="UDN248" s="57"/>
      <c r="UDO248" s="10"/>
      <c r="UDP248" s="57"/>
      <c r="UDQ248" s="10"/>
      <c r="UDR248" s="57"/>
      <c r="UDS248" s="10"/>
      <c r="UDT248" s="57"/>
      <c r="UDU248" s="10"/>
      <c r="UDV248" s="57"/>
      <c r="UDW248" s="10"/>
      <c r="UDX248" s="57"/>
      <c r="UDY248" s="10"/>
      <c r="UDZ248" s="57"/>
      <c r="UEA248" s="10"/>
      <c r="UEB248" s="57"/>
      <c r="UEC248" s="10"/>
      <c r="UED248" s="57"/>
      <c r="UEE248" s="10"/>
      <c r="UEF248" s="57"/>
      <c r="UEG248" s="10"/>
      <c r="UEH248" s="57"/>
      <c r="UEI248" s="10"/>
      <c r="UEJ248" s="57"/>
      <c r="UEK248" s="10"/>
      <c r="UEL248" s="57"/>
      <c r="UEM248" s="10"/>
      <c r="UEN248" s="57"/>
      <c r="UEO248" s="10"/>
      <c r="UEP248" s="57"/>
      <c r="UEQ248" s="10"/>
      <c r="UER248" s="57"/>
      <c r="UES248" s="10"/>
      <c r="UET248" s="57"/>
      <c r="UEU248" s="10"/>
      <c r="UEV248" s="57"/>
      <c r="UEW248" s="10"/>
      <c r="UEX248" s="57"/>
      <c r="UEY248" s="10"/>
      <c r="UEZ248" s="57"/>
      <c r="UFA248" s="10"/>
      <c r="UFB248" s="57"/>
      <c r="UFC248" s="10"/>
      <c r="UFD248" s="57"/>
      <c r="UFE248" s="10"/>
      <c r="UFF248" s="57"/>
      <c r="UFG248" s="10"/>
      <c r="UFH248" s="57"/>
      <c r="UFI248" s="10"/>
      <c r="UFJ248" s="57"/>
      <c r="UFK248" s="10"/>
      <c r="UFL248" s="57"/>
      <c r="UFM248" s="10"/>
      <c r="UFN248" s="57"/>
      <c r="UFO248" s="10"/>
      <c r="UFP248" s="57"/>
      <c r="UFQ248" s="10"/>
      <c r="UFR248" s="57"/>
      <c r="UFS248" s="10"/>
      <c r="UFT248" s="57"/>
      <c r="UFU248" s="10"/>
      <c r="UFV248" s="57"/>
      <c r="UFW248" s="10"/>
      <c r="UFX248" s="57"/>
      <c r="UFY248" s="10"/>
      <c r="UFZ248" s="57"/>
      <c r="UGA248" s="10"/>
      <c r="UGB248" s="57"/>
      <c r="UGC248" s="10"/>
      <c r="UGD248" s="57"/>
      <c r="UGE248" s="10"/>
      <c r="UGF248" s="57"/>
      <c r="UGG248" s="10"/>
      <c r="UGH248" s="57"/>
      <c r="UGI248" s="10"/>
      <c r="UGJ248" s="57"/>
      <c r="UGK248" s="10"/>
      <c r="UGL248" s="57"/>
      <c r="UGM248" s="10"/>
      <c r="UGN248" s="57"/>
      <c r="UGO248" s="10"/>
      <c r="UGP248" s="57"/>
      <c r="UGQ248" s="10"/>
      <c r="UGR248" s="57"/>
      <c r="UGS248" s="10"/>
      <c r="UGT248" s="57"/>
      <c r="UGU248" s="10"/>
      <c r="UGV248" s="57"/>
      <c r="UGW248" s="10"/>
      <c r="UGX248" s="57"/>
      <c r="UGY248" s="10"/>
      <c r="UGZ248" s="57"/>
      <c r="UHA248" s="10"/>
      <c r="UHB248" s="57"/>
      <c r="UHC248" s="10"/>
      <c r="UHD248" s="57"/>
      <c r="UHE248" s="10"/>
      <c r="UHF248" s="57"/>
      <c r="UHG248" s="10"/>
      <c r="UHH248" s="57"/>
      <c r="UHI248" s="10"/>
      <c r="UHJ248" s="57"/>
      <c r="UHK248" s="10"/>
      <c r="UHL248" s="57"/>
      <c r="UHM248" s="10"/>
      <c r="UHN248" s="57"/>
      <c r="UHO248" s="10"/>
      <c r="UHP248" s="57"/>
      <c r="UHQ248" s="10"/>
      <c r="UHR248" s="57"/>
      <c r="UHS248" s="10"/>
      <c r="UHT248" s="57"/>
      <c r="UHU248" s="10"/>
      <c r="UHV248" s="57"/>
      <c r="UHW248" s="10"/>
      <c r="UHX248" s="57"/>
      <c r="UHY248" s="10"/>
      <c r="UHZ248" s="57"/>
      <c r="UIA248" s="10"/>
      <c r="UIB248" s="57"/>
      <c r="UIC248" s="10"/>
      <c r="UID248" s="57"/>
      <c r="UIE248" s="10"/>
      <c r="UIF248" s="57"/>
      <c r="UIG248" s="10"/>
      <c r="UIH248" s="57"/>
      <c r="UII248" s="10"/>
      <c r="UIJ248" s="57"/>
      <c r="UIK248" s="10"/>
      <c r="UIL248" s="57"/>
      <c r="UIM248" s="10"/>
      <c r="UIN248" s="57"/>
      <c r="UIO248" s="10"/>
      <c r="UIP248" s="57"/>
      <c r="UIQ248" s="10"/>
      <c r="UIR248" s="57"/>
      <c r="UIS248" s="10"/>
      <c r="UIT248" s="57"/>
      <c r="UIU248" s="10"/>
      <c r="UIV248" s="57"/>
      <c r="UIW248" s="10"/>
      <c r="UIX248" s="57"/>
      <c r="UIY248" s="10"/>
      <c r="UIZ248" s="57"/>
      <c r="UJA248" s="10"/>
      <c r="UJB248" s="57"/>
      <c r="UJC248" s="10"/>
      <c r="UJD248" s="57"/>
      <c r="UJE248" s="10"/>
      <c r="UJF248" s="57"/>
      <c r="UJG248" s="10"/>
      <c r="UJH248" s="57"/>
      <c r="UJI248" s="10"/>
      <c r="UJJ248" s="57"/>
      <c r="UJK248" s="10"/>
      <c r="UJL248" s="57"/>
      <c r="UJM248" s="10"/>
      <c r="UJN248" s="57"/>
      <c r="UJO248" s="10"/>
      <c r="UJP248" s="57"/>
      <c r="UJQ248" s="10"/>
      <c r="UJR248" s="57"/>
      <c r="UJS248" s="10"/>
      <c r="UJT248" s="57"/>
      <c r="UJU248" s="10"/>
      <c r="UJV248" s="57"/>
      <c r="UJW248" s="10"/>
      <c r="UJX248" s="57"/>
      <c r="UJY248" s="10"/>
      <c r="UJZ248" s="57"/>
      <c r="UKA248" s="10"/>
      <c r="UKB248" s="57"/>
      <c r="UKC248" s="10"/>
      <c r="UKD248" s="57"/>
      <c r="UKE248" s="10"/>
      <c r="UKF248" s="57"/>
      <c r="UKG248" s="10"/>
      <c r="UKH248" s="57"/>
      <c r="UKI248" s="10"/>
      <c r="UKJ248" s="57"/>
      <c r="UKK248" s="10"/>
      <c r="UKL248" s="57"/>
      <c r="UKM248" s="10"/>
      <c r="UKN248" s="57"/>
      <c r="UKO248" s="10"/>
      <c r="UKP248" s="57"/>
      <c r="UKQ248" s="10"/>
      <c r="UKR248" s="57"/>
      <c r="UKS248" s="10"/>
      <c r="UKT248" s="57"/>
      <c r="UKU248" s="10"/>
      <c r="UKV248" s="57"/>
      <c r="UKW248" s="10"/>
      <c r="UKX248" s="57"/>
      <c r="UKY248" s="10"/>
      <c r="UKZ248" s="57"/>
      <c r="ULA248" s="10"/>
      <c r="ULB248" s="57"/>
      <c r="ULC248" s="10"/>
      <c r="ULD248" s="57"/>
      <c r="ULE248" s="10"/>
      <c r="ULF248" s="57"/>
      <c r="ULG248" s="10"/>
      <c r="ULH248" s="57"/>
      <c r="ULI248" s="10"/>
      <c r="ULJ248" s="57"/>
      <c r="ULK248" s="10"/>
      <c r="ULL248" s="57"/>
      <c r="ULM248" s="10"/>
      <c r="ULN248" s="57"/>
      <c r="ULO248" s="10"/>
      <c r="ULP248" s="57"/>
      <c r="ULQ248" s="10"/>
      <c r="ULR248" s="57"/>
      <c r="ULS248" s="10"/>
      <c r="ULT248" s="57"/>
      <c r="ULU248" s="10"/>
      <c r="ULV248" s="57"/>
      <c r="ULW248" s="10"/>
      <c r="ULX248" s="57"/>
      <c r="ULY248" s="10"/>
      <c r="ULZ248" s="57"/>
      <c r="UMA248" s="10"/>
      <c r="UMB248" s="57"/>
      <c r="UMC248" s="10"/>
      <c r="UMD248" s="57"/>
      <c r="UME248" s="10"/>
      <c r="UMF248" s="57"/>
      <c r="UMG248" s="10"/>
      <c r="UMH248" s="57"/>
      <c r="UMI248" s="10"/>
      <c r="UMJ248" s="57"/>
      <c r="UMK248" s="10"/>
      <c r="UML248" s="57"/>
      <c r="UMM248" s="10"/>
      <c r="UMN248" s="57"/>
      <c r="UMO248" s="10"/>
      <c r="UMP248" s="57"/>
      <c r="UMQ248" s="10"/>
      <c r="UMR248" s="57"/>
      <c r="UMS248" s="10"/>
      <c r="UMT248" s="57"/>
      <c r="UMU248" s="10"/>
      <c r="UMV248" s="57"/>
      <c r="UMW248" s="10"/>
      <c r="UMX248" s="57"/>
      <c r="UMY248" s="10"/>
      <c r="UMZ248" s="57"/>
      <c r="UNA248" s="10"/>
      <c r="UNB248" s="57"/>
      <c r="UNC248" s="10"/>
      <c r="UND248" s="57"/>
      <c r="UNE248" s="10"/>
      <c r="UNF248" s="57"/>
      <c r="UNG248" s="10"/>
      <c r="UNH248" s="57"/>
      <c r="UNI248" s="10"/>
      <c r="UNJ248" s="57"/>
      <c r="UNK248" s="10"/>
      <c r="UNL248" s="57"/>
      <c r="UNM248" s="10"/>
      <c r="UNN248" s="57"/>
      <c r="UNO248" s="10"/>
      <c r="UNP248" s="57"/>
      <c r="UNQ248" s="10"/>
      <c r="UNR248" s="57"/>
      <c r="UNS248" s="10"/>
      <c r="UNT248" s="57"/>
      <c r="UNU248" s="10"/>
      <c r="UNV248" s="57"/>
      <c r="UNW248" s="10"/>
      <c r="UNX248" s="57"/>
      <c r="UNY248" s="10"/>
      <c r="UNZ248" s="57"/>
      <c r="UOA248" s="10"/>
      <c r="UOB248" s="57"/>
      <c r="UOC248" s="10"/>
      <c r="UOD248" s="57"/>
      <c r="UOE248" s="10"/>
      <c r="UOF248" s="57"/>
      <c r="UOG248" s="10"/>
      <c r="UOH248" s="57"/>
      <c r="UOI248" s="10"/>
      <c r="UOJ248" s="57"/>
      <c r="UOK248" s="10"/>
      <c r="UOL248" s="57"/>
      <c r="UOM248" s="10"/>
      <c r="UON248" s="57"/>
      <c r="UOO248" s="10"/>
      <c r="UOP248" s="57"/>
      <c r="UOQ248" s="10"/>
      <c r="UOR248" s="57"/>
      <c r="UOS248" s="10"/>
      <c r="UOT248" s="57"/>
      <c r="UOU248" s="10"/>
      <c r="UOV248" s="57"/>
      <c r="UOW248" s="10"/>
      <c r="UOX248" s="57"/>
      <c r="UOY248" s="10"/>
      <c r="UOZ248" s="57"/>
      <c r="UPA248" s="10"/>
      <c r="UPB248" s="57"/>
      <c r="UPC248" s="10"/>
      <c r="UPD248" s="57"/>
      <c r="UPE248" s="10"/>
      <c r="UPF248" s="57"/>
      <c r="UPG248" s="10"/>
      <c r="UPH248" s="57"/>
      <c r="UPI248" s="10"/>
      <c r="UPJ248" s="57"/>
      <c r="UPK248" s="10"/>
      <c r="UPL248" s="57"/>
      <c r="UPM248" s="10"/>
      <c r="UPN248" s="57"/>
      <c r="UPO248" s="10"/>
      <c r="UPP248" s="57"/>
      <c r="UPQ248" s="10"/>
      <c r="UPR248" s="57"/>
      <c r="UPS248" s="10"/>
      <c r="UPT248" s="57"/>
      <c r="UPU248" s="10"/>
      <c r="UPV248" s="57"/>
      <c r="UPW248" s="10"/>
      <c r="UPX248" s="57"/>
      <c r="UPY248" s="10"/>
      <c r="UPZ248" s="57"/>
      <c r="UQA248" s="10"/>
      <c r="UQB248" s="57"/>
      <c r="UQC248" s="10"/>
      <c r="UQD248" s="57"/>
      <c r="UQE248" s="10"/>
      <c r="UQF248" s="57"/>
      <c r="UQG248" s="10"/>
      <c r="UQH248" s="57"/>
      <c r="UQI248" s="10"/>
      <c r="UQJ248" s="57"/>
      <c r="UQK248" s="10"/>
      <c r="UQL248" s="57"/>
      <c r="UQM248" s="10"/>
      <c r="UQN248" s="57"/>
      <c r="UQO248" s="10"/>
      <c r="UQP248" s="57"/>
      <c r="UQQ248" s="10"/>
      <c r="UQR248" s="57"/>
      <c r="UQS248" s="10"/>
      <c r="UQT248" s="57"/>
      <c r="UQU248" s="10"/>
      <c r="UQV248" s="57"/>
      <c r="UQW248" s="10"/>
      <c r="UQX248" s="57"/>
      <c r="UQY248" s="10"/>
      <c r="UQZ248" s="57"/>
      <c r="URA248" s="10"/>
      <c r="URB248" s="57"/>
      <c r="URC248" s="10"/>
      <c r="URD248" s="57"/>
      <c r="URE248" s="10"/>
      <c r="URF248" s="57"/>
      <c r="URG248" s="10"/>
      <c r="URH248" s="57"/>
      <c r="URI248" s="10"/>
      <c r="URJ248" s="57"/>
      <c r="URK248" s="10"/>
      <c r="URL248" s="57"/>
      <c r="URM248" s="10"/>
      <c r="URN248" s="57"/>
      <c r="URO248" s="10"/>
      <c r="URP248" s="57"/>
      <c r="URQ248" s="10"/>
      <c r="URR248" s="57"/>
      <c r="URS248" s="10"/>
      <c r="URT248" s="57"/>
      <c r="URU248" s="10"/>
      <c r="URV248" s="57"/>
      <c r="URW248" s="10"/>
      <c r="URX248" s="57"/>
      <c r="URY248" s="10"/>
      <c r="URZ248" s="57"/>
      <c r="USA248" s="10"/>
      <c r="USB248" s="57"/>
      <c r="USC248" s="10"/>
      <c r="USD248" s="57"/>
      <c r="USE248" s="10"/>
      <c r="USF248" s="57"/>
      <c r="USG248" s="10"/>
      <c r="USH248" s="57"/>
      <c r="USI248" s="10"/>
      <c r="USJ248" s="57"/>
      <c r="USK248" s="10"/>
      <c r="USL248" s="57"/>
      <c r="USM248" s="10"/>
      <c r="USN248" s="57"/>
      <c r="USO248" s="10"/>
      <c r="USP248" s="57"/>
      <c r="USQ248" s="10"/>
      <c r="USR248" s="57"/>
      <c r="USS248" s="10"/>
      <c r="UST248" s="57"/>
      <c r="USU248" s="10"/>
      <c r="USV248" s="57"/>
      <c r="USW248" s="10"/>
      <c r="USX248" s="57"/>
      <c r="USY248" s="10"/>
      <c r="USZ248" s="57"/>
      <c r="UTA248" s="10"/>
      <c r="UTB248" s="57"/>
      <c r="UTC248" s="10"/>
      <c r="UTD248" s="57"/>
      <c r="UTE248" s="10"/>
      <c r="UTF248" s="57"/>
      <c r="UTG248" s="10"/>
      <c r="UTH248" s="57"/>
      <c r="UTI248" s="10"/>
      <c r="UTJ248" s="57"/>
      <c r="UTK248" s="10"/>
      <c r="UTL248" s="57"/>
      <c r="UTM248" s="10"/>
      <c r="UTN248" s="57"/>
      <c r="UTO248" s="10"/>
      <c r="UTP248" s="57"/>
      <c r="UTQ248" s="10"/>
      <c r="UTR248" s="57"/>
      <c r="UTS248" s="10"/>
      <c r="UTT248" s="57"/>
      <c r="UTU248" s="10"/>
      <c r="UTV248" s="57"/>
      <c r="UTW248" s="10"/>
      <c r="UTX248" s="57"/>
      <c r="UTY248" s="10"/>
      <c r="UTZ248" s="57"/>
      <c r="UUA248" s="10"/>
      <c r="UUB248" s="57"/>
      <c r="UUC248" s="10"/>
      <c r="UUD248" s="57"/>
      <c r="UUE248" s="10"/>
      <c r="UUF248" s="57"/>
      <c r="UUG248" s="10"/>
      <c r="UUH248" s="57"/>
      <c r="UUI248" s="10"/>
      <c r="UUJ248" s="57"/>
      <c r="UUK248" s="10"/>
      <c r="UUL248" s="57"/>
      <c r="UUM248" s="10"/>
      <c r="UUN248" s="57"/>
      <c r="UUO248" s="10"/>
      <c r="UUP248" s="57"/>
      <c r="UUQ248" s="10"/>
      <c r="UUR248" s="57"/>
      <c r="UUS248" s="10"/>
      <c r="UUT248" s="57"/>
      <c r="UUU248" s="10"/>
      <c r="UUV248" s="57"/>
      <c r="UUW248" s="10"/>
      <c r="UUX248" s="57"/>
      <c r="UUY248" s="10"/>
      <c r="UUZ248" s="57"/>
      <c r="UVA248" s="10"/>
      <c r="UVB248" s="57"/>
      <c r="UVC248" s="10"/>
      <c r="UVD248" s="57"/>
      <c r="UVE248" s="10"/>
      <c r="UVF248" s="57"/>
      <c r="UVG248" s="10"/>
      <c r="UVH248" s="57"/>
      <c r="UVI248" s="10"/>
      <c r="UVJ248" s="57"/>
      <c r="UVK248" s="10"/>
      <c r="UVL248" s="57"/>
      <c r="UVM248" s="10"/>
      <c r="UVN248" s="57"/>
      <c r="UVO248" s="10"/>
      <c r="UVP248" s="57"/>
      <c r="UVQ248" s="10"/>
      <c r="UVR248" s="57"/>
      <c r="UVS248" s="10"/>
      <c r="UVT248" s="57"/>
      <c r="UVU248" s="10"/>
      <c r="UVV248" s="57"/>
      <c r="UVW248" s="10"/>
      <c r="UVX248" s="57"/>
      <c r="UVY248" s="10"/>
      <c r="UVZ248" s="57"/>
      <c r="UWA248" s="10"/>
      <c r="UWB248" s="57"/>
      <c r="UWC248" s="10"/>
      <c r="UWD248" s="57"/>
      <c r="UWE248" s="10"/>
      <c r="UWF248" s="57"/>
      <c r="UWG248" s="10"/>
      <c r="UWH248" s="57"/>
      <c r="UWI248" s="10"/>
      <c r="UWJ248" s="57"/>
      <c r="UWK248" s="10"/>
      <c r="UWL248" s="57"/>
      <c r="UWM248" s="10"/>
      <c r="UWN248" s="57"/>
      <c r="UWO248" s="10"/>
      <c r="UWP248" s="57"/>
      <c r="UWQ248" s="10"/>
      <c r="UWR248" s="57"/>
      <c r="UWS248" s="10"/>
      <c r="UWT248" s="57"/>
      <c r="UWU248" s="10"/>
      <c r="UWV248" s="57"/>
      <c r="UWW248" s="10"/>
      <c r="UWX248" s="57"/>
      <c r="UWY248" s="10"/>
      <c r="UWZ248" s="57"/>
      <c r="UXA248" s="10"/>
      <c r="UXB248" s="57"/>
      <c r="UXC248" s="10"/>
      <c r="UXD248" s="57"/>
      <c r="UXE248" s="10"/>
      <c r="UXF248" s="57"/>
      <c r="UXG248" s="10"/>
      <c r="UXH248" s="57"/>
      <c r="UXI248" s="10"/>
      <c r="UXJ248" s="57"/>
      <c r="UXK248" s="10"/>
      <c r="UXL248" s="57"/>
      <c r="UXM248" s="10"/>
      <c r="UXN248" s="57"/>
      <c r="UXO248" s="10"/>
      <c r="UXP248" s="57"/>
      <c r="UXQ248" s="10"/>
      <c r="UXR248" s="57"/>
      <c r="UXS248" s="10"/>
      <c r="UXT248" s="57"/>
      <c r="UXU248" s="10"/>
      <c r="UXV248" s="57"/>
      <c r="UXW248" s="10"/>
      <c r="UXX248" s="57"/>
      <c r="UXY248" s="10"/>
      <c r="UXZ248" s="57"/>
      <c r="UYA248" s="10"/>
      <c r="UYB248" s="57"/>
      <c r="UYC248" s="10"/>
      <c r="UYD248" s="57"/>
      <c r="UYE248" s="10"/>
      <c r="UYF248" s="57"/>
      <c r="UYG248" s="10"/>
      <c r="UYH248" s="57"/>
      <c r="UYI248" s="10"/>
      <c r="UYJ248" s="57"/>
      <c r="UYK248" s="10"/>
      <c r="UYL248" s="57"/>
      <c r="UYM248" s="10"/>
      <c r="UYN248" s="57"/>
      <c r="UYO248" s="10"/>
      <c r="UYP248" s="57"/>
      <c r="UYQ248" s="10"/>
      <c r="UYR248" s="57"/>
      <c r="UYS248" s="10"/>
      <c r="UYT248" s="57"/>
      <c r="UYU248" s="10"/>
      <c r="UYV248" s="57"/>
      <c r="UYW248" s="10"/>
      <c r="UYX248" s="57"/>
      <c r="UYY248" s="10"/>
      <c r="UYZ248" s="57"/>
      <c r="UZA248" s="10"/>
      <c r="UZB248" s="57"/>
      <c r="UZC248" s="10"/>
      <c r="UZD248" s="57"/>
      <c r="UZE248" s="10"/>
      <c r="UZF248" s="57"/>
      <c r="UZG248" s="10"/>
      <c r="UZH248" s="57"/>
      <c r="UZI248" s="10"/>
      <c r="UZJ248" s="57"/>
      <c r="UZK248" s="10"/>
      <c r="UZL248" s="57"/>
      <c r="UZM248" s="10"/>
      <c r="UZN248" s="57"/>
      <c r="UZO248" s="10"/>
      <c r="UZP248" s="57"/>
      <c r="UZQ248" s="10"/>
      <c r="UZR248" s="57"/>
      <c r="UZS248" s="10"/>
      <c r="UZT248" s="57"/>
      <c r="UZU248" s="10"/>
      <c r="UZV248" s="57"/>
      <c r="UZW248" s="10"/>
      <c r="UZX248" s="57"/>
      <c r="UZY248" s="10"/>
      <c r="UZZ248" s="57"/>
      <c r="VAA248" s="10"/>
      <c r="VAB248" s="57"/>
      <c r="VAC248" s="10"/>
      <c r="VAD248" s="57"/>
      <c r="VAE248" s="10"/>
      <c r="VAF248" s="57"/>
      <c r="VAG248" s="10"/>
      <c r="VAH248" s="57"/>
      <c r="VAI248" s="10"/>
      <c r="VAJ248" s="57"/>
      <c r="VAK248" s="10"/>
      <c r="VAL248" s="57"/>
      <c r="VAM248" s="10"/>
      <c r="VAN248" s="57"/>
      <c r="VAO248" s="10"/>
      <c r="VAP248" s="57"/>
      <c r="VAQ248" s="10"/>
      <c r="VAR248" s="57"/>
      <c r="VAS248" s="10"/>
      <c r="VAT248" s="57"/>
      <c r="VAU248" s="10"/>
      <c r="VAV248" s="57"/>
      <c r="VAW248" s="10"/>
      <c r="VAX248" s="57"/>
      <c r="VAY248" s="10"/>
      <c r="VAZ248" s="57"/>
      <c r="VBA248" s="10"/>
      <c r="VBB248" s="57"/>
      <c r="VBC248" s="10"/>
      <c r="VBD248" s="57"/>
      <c r="VBE248" s="10"/>
      <c r="VBF248" s="57"/>
      <c r="VBG248" s="10"/>
      <c r="VBH248" s="57"/>
      <c r="VBI248" s="10"/>
      <c r="VBJ248" s="57"/>
      <c r="VBK248" s="10"/>
      <c r="VBL248" s="57"/>
      <c r="VBM248" s="10"/>
      <c r="VBN248" s="57"/>
      <c r="VBO248" s="10"/>
      <c r="VBP248" s="57"/>
      <c r="VBQ248" s="10"/>
      <c r="VBR248" s="57"/>
      <c r="VBS248" s="10"/>
      <c r="VBT248" s="57"/>
      <c r="VBU248" s="10"/>
      <c r="VBV248" s="57"/>
      <c r="VBW248" s="10"/>
      <c r="VBX248" s="57"/>
      <c r="VBY248" s="10"/>
      <c r="VBZ248" s="57"/>
      <c r="VCA248" s="10"/>
      <c r="VCB248" s="57"/>
      <c r="VCC248" s="10"/>
      <c r="VCD248" s="57"/>
      <c r="VCE248" s="10"/>
      <c r="VCF248" s="57"/>
      <c r="VCG248" s="10"/>
      <c r="VCH248" s="57"/>
      <c r="VCI248" s="10"/>
      <c r="VCJ248" s="57"/>
      <c r="VCK248" s="10"/>
      <c r="VCL248" s="57"/>
      <c r="VCM248" s="10"/>
      <c r="VCN248" s="57"/>
      <c r="VCO248" s="10"/>
      <c r="VCP248" s="57"/>
      <c r="VCQ248" s="10"/>
      <c r="VCR248" s="57"/>
      <c r="VCS248" s="10"/>
      <c r="VCT248" s="57"/>
      <c r="VCU248" s="10"/>
      <c r="VCV248" s="57"/>
      <c r="VCW248" s="10"/>
      <c r="VCX248" s="57"/>
      <c r="VCY248" s="10"/>
      <c r="VCZ248" s="57"/>
      <c r="VDA248" s="10"/>
      <c r="VDB248" s="57"/>
      <c r="VDC248" s="10"/>
      <c r="VDD248" s="57"/>
      <c r="VDE248" s="10"/>
      <c r="VDF248" s="57"/>
      <c r="VDG248" s="10"/>
      <c r="VDH248" s="57"/>
      <c r="VDI248" s="10"/>
      <c r="VDJ248" s="57"/>
      <c r="VDK248" s="10"/>
      <c r="VDL248" s="57"/>
      <c r="VDM248" s="10"/>
      <c r="VDN248" s="57"/>
      <c r="VDO248" s="10"/>
      <c r="VDP248" s="57"/>
      <c r="VDQ248" s="10"/>
      <c r="VDR248" s="57"/>
      <c r="VDS248" s="10"/>
      <c r="VDT248" s="57"/>
      <c r="VDU248" s="10"/>
      <c r="VDV248" s="57"/>
      <c r="VDW248" s="10"/>
      <c r="VDX248" s="57"/>
      <c r="VDY248" s="10"/>
      <c r="VDZ248" s="57"/>
      <c r="VEA248" s="10"/>
      <c r="VEB248" s="57"/>
      <c r="VEC248" s="10"/>
      <c r="VED248" s="57"/>
      <c r="VEE248" s="10"/>
      <c r="VEF248" s="57"/>
      <c r="VEG248" s="10"/>
      <c r="VEH248" s="57"/>
      <c r="VEI248" s="10"/>
      <c r="VEJ248" s="57"/>
      <c r="VEK248" s="10"/>
      <c r="VEL248" s="57"/>
      <c r="VEM248" s="10"/>
      <c r="VEN248" s="57"/>
      <c r="VEO248" s="10"/>
      <c r="VEP248" s="57"/>
      <c r="VEQ248" s="10"/>
      <c r="VER248" s="57"/>
      <c r="VES248" s="10"/>
      <c r="VET248" s="57"/>
      <c r="VEU248" s="10"/>
      <c r="VEV248" s="57"/>
      <c r="VEW248" s="10"/>
      <c r="VEX248" s="57"/>
      <c r="VEY248" s="10"/>
      <c r="VEZ248" s="57"/>
      <c r="VFA248" s="10"/>
      <c r="VFB248" s="57"/>
      <c r="VFC248" s="10"/>
      <c r="VFD248" s="57"/>
      <c r="VFE248" s="10"/>
      <c r="VFF248" s="57"/>
      <c r="VFG248" s="10"/>
      <c r="VFH248" s="57"/>
      <c r="VFI248" s="10"/>
      <c r="VFJ248" s="57"/>
      <c r="VFK248" s="10"/>
      <c r="VFL248" s="57"/>
      <c r="VFM248" s="10"/>
      <c r="VFN248" s="57"/>
      <c r="VFO248" s="10"/>
      <c r="VFP248" s="57"/>
      <c r="VFQ248" s="10"/>
      <c r="VFR248" s="57"/>
      <c r="VFS248" s="10"/>
      <c r="VFT248" s="57"/>
      <c r="VFU248" s="10"/>
      <c r="VFV248" s="57"/>
      <c r="VFW248" s="10"/>
      <c r="VFX248" s="57"/>
      <c r="VFY248" s="10"/>
      <c r="VFZ248" s="57"/>
      <c r="VGA248" s="10"/>
      <c r="VGB248" s="57"/>
      <c r="VGC248" s="10"/>
      <c r="VGD248" s="57"/>
      <c r="VGE248" s="10"/>
      <c r="VGF248" s="57"/>
      <c r="VGG248" s="10"/>
      <c r="VGH248" s="57"/>
      <c r="VGI248" s="10"/>
      <c r="VGJ248" s="57"/>
      <c r="VGK248" s="10"/>
      <c r="VGL248" s="57"/>
      <c r="VGM248" s="10"/>
      <c r="VGN248" s="57"/>
      <c r="VGO248" s="10"/>
      <c r="VGP248" s="57"/>
      <c r="VGQ248" s="10"/>
      <c r="VGR248" s="57"/>
      <c r="VGS248" s="10"/>
      <c r="VGT248" s="57"/>
      <c r="VGU248" s="10"/>
      <c r="VGV248" s="57"/>
      <c r="VGW248" s="10"/>
      <c r="VGX248" s="57"/>
      <c r="VGY248" s="10"/>
      <c r="VGZ248" s="57"/>
      <c r="VHA248" s="10"/>
      <c r="VHB248" s="57"/>
      <c r="VHC248" s="10"/>
      <c r="VHD248" s="57"/>
      <c r="VHE248" s="10"/>
      <c r="VHF248" s="57"/>
      <c r="VHG248" s="10"/>
      <c r="VHH248" s="57"/>
      <c r="VHI248" s="10"/>
      <c r="VHJ248" s="57"/>
      <c r="VHK248" s="10"/>
      <c r="VHL248" s="57"/>
      <c r="VHM248" s="10"/>
      <c r="VHN248" s="57"/>
      <c r="VHO248" s="10"/>
      <c r="VHP248" s="57"/>
      <c r="VHQ248" s="10"/>
      <c r="VHR248" s="57"/>
      <c r="VHS248" s="10"/>
      <c r="VHT248" s="57"/>
      <c r="VHU248" s="10"/>
      <c r="VHV248" s="57"/>
      <c r="VHW248" s="10"/>
      <c r="VHX248" s="57"/>
      <c r="VHY248" s="10"/>
      <c r="VHZ248" s="57"/>
      <c r="VIA248" s="10"/>
      <c r="VIB248" s="57"/>
      <c r="VIC248" s="10"/>
      <c r="VID248" s="57"/>
      <c r="VIE248" s="10"/>
      <c r="VIF248" s="57"/>
      <c r="VIG248" s="10"/>
      <c r="VIH248" s="57"/>
      <c r="VII248" s="10"/>
      <c r="VIJ248" s="57"/>
      <c r="VIK248" s="10"/>
      <c r="VIL248" s="57"/>
      <c r="VIM248" s="10"/>
      <c r="VIN248" s="57"/>
      <c r="VIO248" s="10"/>
      <c r="VIP248" s="57"/>
      <c r="VIQ248" s="10"/>
      <c r="VIR248" s="57"/>
      <c r="VIS248" s="10"/>
      <c r="VIT248" s="57"/>
      <c r="VIU248" s="10"/>
      <c r="VIV248" s="57"/>
      <c r="VIW248" s="10"/>
      <c r="VIX248" s="57"/>
      <c r="VIY248" s="10"/>
      <c r="VIZ248" s="57"/>
      <c r="VJA248" s="10"/>
      <c r="VJB248" s="57"/>
      <c r="VJC248" s="10"/>
      <c r="VJD248" s="57"/>
      <c r="VJE248" s="10"/>
      <c r="VJF248" s="57"/>
      <c r="VJG248" s="10"/>
      <c r="VJH248" s="57"/>
      <c r="VJI248" s="10"/>
      <c r="VJJ248" s="57"/>
      <c r="VJK248" s="10"/>
      <c r="VJL248" s="57"/>
      <c r="VJM248" s="10"/>
      <c r="VJN248" s="57"/>
      <c r="VJO248" s="10"/>
      <c r="VJP248" s="57"/>
      <c r="VJQ248" s="10"/>
      <c r="VJR248" s="57"/>
      <c r="VJS248" s="10"/>
      <c r="VJT248" s="57"/>
      <c r="VJU248" s="10"/>
      <c r="VJV248" s="57"/>
      <c r="VJW248" s="10"/>
      <c r="VJX248" s="57"/>
      <c r="VJY248" s="10"/>
      <c r="VJZ248" s="57"/>
      <c r="VKA248" s="10"/>
      <c r="VKB248" s="57"/>
      <c r="VKC248" s="10"/>
      <c r="VKD248" s="57"/>
      <c r="VKE248" s="10"/>
      <c r="VKF248" s="57"/>
      <c r="VKG248" s="10"/>
      <c r="VKH248" s="57"/>
      <c r="VKI248" s="10"/>
      <c r="VKJ248" s="57"/>
      <c r="VKK248" s="10"/>
      <c r="VKL248" s="57"/>
      <c r="VKM248" s="10"/>
      <c r="VKN248" s="57"/>
      <c r="VKO248" s="10"/>
      <c r="VKP248" s="57"/>
      <c r="VKQ248" s="10"/>
      <c r="VKR248" s="57"/>
      <c r="VKS248" s="10"/>
      <c r="VKT248" s="57"/>
      <c r="VKU248" s="10"/>
      <c r="VKV248" s="57"/>
      <c r="VKW248" s="10"/>
      <c r="VKX248" s="57"/>
      <c r="VKY248" s="10"/>
      <c r="VKZ248" s="57"/>
      <c r="VLA248" s="10"/>
      <c r="VLB248" s="57"/>
      <c r="VLC248" s="10"/>
      <c r="VLD248" s="57"/>
      <c r="VLE248" s="10"/>
      <c r="VLF248" s="57"/>
      <c r="VLG248" s="10"/>
      <c r="VLH248" s="57"/>
      <c r="VLI248" s="10"/>
      <c r="VLJ248" s="57"/>
      <c r="VLK248" s="10"/>
      <c r="VLL248" s="57"/>
      <c r="VLM248" s="10"/>
      <c r="VLN248" s="57"/>
      <c r="VLO248" s="10"/>
      <c r="VLP248" s="57"/>
      <c r="VLQ248" s="10"/>
      <c r="VLR248" s="57"/>
      <c r="VLS248" s="10"/>
      <c r="VLT248" s="57"/>
      <c r="VLU248" s="10"/>
      <c r="VLV248" s="57"/>
      <c r="VLW248" s="10"/>
      <c r="VLX248" s="57"/>
      <c r="VLY248" s="10"/>
      <c r="VLZ248" s="57"/>
      <c r="VMA248" s="10"/>
      <c r="VMB248" s="57"/>
      <c r="VMC248" s="10"/>
      <c r="VMD248" s="57"/>
      <c r="VME248" s="10"/>
      <c r="VMF248" s="57"/>
      <c r="VMG248" s="10"/>
      <c r="VMH248" s="57"/>
      <c r="VMI248" s="10"/>
      <c r="VMJ248" s="57"/>
      <c r="VMK248" s="10"/>
      <c r="VML248" s="57"/>
      <c r="VMM248" s="10"/>
      <c r="VMN248" s="57"/>
      <c r="VMO248" s="10"/>
      <c r="VMP248" s="57"/>
      <c r="VMQ248" s="10"/>
      <c r="VMR248" s="57"/>
      <c r="VMS248" s="10"/>
      <c r="VMT248" s="57"/>
      <c r="VMU248" s="10"/>
      <c r="VMV248" s="57"/>
      <c r="VMW248" s="10"/>
      <c r="VMX248" s="57"/>
      <c r="VMY248" s="10"/>
      <c r="VMZ248" s="57"/>
      <c r="VNA248" s="10"/>
      <c r="VNB248" s="57"/>
      <c r="VNC248" s="10"/>
      <c r="VND248" s="57"/>
      <c r="VNE248" s="10"/>
      <c r="VNF248" s="57"/>
      <c r="VNG248" s="10"/>
      <c r="VNH248" s="57"/>
      <c r="VNI248" s="10"/>
      <c r="VNJ248" s="57"/>
      <c r="VNK248" s="10"/>
      <c r="VNL248" s="57"/>
      <c r="VNM248" s="10"/>
      <c r="VNN248" s="57"/>
      <c r="VNO248" s="10"/>
      <c r="VNP248" s="57"/>
      <c r="VNQ248" s="10"/>
      <c r="VNR248" s="57"/>
      <c r="VNS248" s="10"/>
      <c r="VNT248" s="57"/>
      <c r="VNU248" s="10"/>
      <c r="VNV248" s="57"/>
      <c r="VNW248" s="10"/>
      <c r="VNX248" s="57"/>
      <c r="VNY248" s="10"/>
      <c r="VNZ248" s="57"/>
      <c r="VOA248" s="10"/>
      <c r="VOB248" s="57"/>
      <c r="VOC248" s="10"/>
      <c r="VOD248" s="57"/>
      <c r="VOE248" s="10"/>
      <c r="VOF248" s="57"/>
      <c r="VOG248" s="10"/>
      <c r="VOH248" s="57"/>
      <c r="VOI248" s="10"/>
      <c r="VOJ248" s="57"/>
      <c r="VOK248" s="10"/>
      <c r="VOL248" s="57"/>
      <c r="VOM248" s="10"/>
      <c r="VON248" s="57"/>
      <c r="VOO248" s="10"/>
      <c r="VOP248" s="57"/>
      <c r="VOQ248" s="10"/>
      <c r="VOR248" s="57"/>
      <c r="VOS248" s="10"/>
      <c r="VOT248" s="57"/>
      <c r="VOU248" s="10"/>
      <c r="VOV248" s="57"/>
      <c r="VOW248" s="10"/>
      <c r="VOX248" s="57"/>
      <c r="VOY248" s="10"/>
      <c r="VOZ248" s="57"/>
      <c r="VPA248" s="10"/>
      <c r="VPB248" s="57"/>
      <c r="VPC248" s="10"/>
      <c r="VPD248" s="57"/>
      <c r="VPE248" s="10"/>
      <c r="VPF248" s="57"/>
      <c r="VPG248" s="10"/>
      <c r="VPH248" s="57"/>
      <c r="VPI248" s="10"/>
      <c r="VPJ248" s="57"/>
      <c r="VPK248" s="10"/>
      <c r="VPL248" s="57"/>
      <c r="VPM248" s="10"/>
      <c r="VPN248" s="57"/>
      <c r="VPO248" s="10"/>
      <c r="VPP248" s="57"/>
      <c r="VPQ248" s="10"/>
      <c r="VPR248" s="57"/>
      <c r="VPS248" s="10"/>
      <c r="VPT248" s="57"/>
      <c r="VPU248" s="10"/>
      <c r="VPV248" s="57"/>
      <c r="VPW248" s="10"/>
      <c r="VPX248" s="57"/>
      <c r="VPY248" s="10"/>
      <c r="VPZ248" s="57"/>
      <c r="VQA248" s="10"/>
      <c r="VQB248" s="57"/>
      <c r="VQC248" s="10"/>
      <c r="VQD248" s="57"/>
      <c r="VQE248" s="10"/>
      <c r="VQF248" s="57"/>
      <c r="VQG248" s="10"/>
      <c r="VQH248" s="57"/>
      <c r="VQI248" s="10"/>
      <c r="VQJ248" s="57"/>
      <c r="VQK248" s="10"/>
      <c r="VQL248" s="57"/>
      <c r="VQM248" s="10"/>
      <c r="VQN248" s="57"/>
      <c r="VQO248" s="10"/>
      <c r="VQP248" s="57"/>
      <c r="VQQ248" s="10"/>
      <c r="VQR248" s="57"/>
      <c r="VQS248" s="10"/>
      <c r="VQT248" s="57"/>
      <c r="VQU248" s="10"/>
      <c r="VQV248" s="57"/>
      <c r="VQW248" s="10"/>
      <c r="VQX248" s="57"/>
      <c r="VQY248" s="10"/>
      <c r="VQZ248" s="57"/>
      <c r="VRA248" s="10"/>
      <c r="VRB248" s="57"/>
      <c r="VRC248" s="10"/>
      <c r="VRD248" s="57"/>
      <c r="VRE248" s="10"/>
      <c r="VRF248" s="57"/>
      <c r="VRG248" s="10"/>
      <c r="VRH248" s="57"/>
      <c r="VRI248" s="10"/>
      <c r="VRJ248" s="57"/>
      <c r="VRK248" s="10"/>
      <c r="VRL248" s="57"/>
      <c r="VRM248" s="10"/>
      <c r="VRN248" s="57"/>
      <c r="VRO248" s="10"/>
      <c r="VRP248" s="57"/>
      <c r="VRQ248" s="10"/>
      <c r="VRR248" s="57"/>
      <c r="VRS248" s="10"/>
      <c r="VRT248" s="57"/>
      <c r="VRU248" s="10"/>
      <c r="VRV248" s="57"/>
      <c r="VRW248" s="10"/>
      <c r="VRX248" s="57"/>
      <c r="VRY248" s="10"/>
      <c r="VRZ248" s="57"/>
      <c r="VSA248" s="10"/>
      <c r="VSB248" s="57"/>
      <c r="VSC248" s="10"/>
      <c r="VSD248" s="57"/>
      <c r="VSE248" s="10"/>
      <c r="VSF248" s="57"/>
      <c r="VSG248" s="10"/>
      <c r="VSH248" s="57"/>
      <c r="VSI248" s="10"/>
      <c r="VSJ248" s="57"/>
      <c r="VSK248" s="10"/>
      <c r="VSL248" s="57"/>
      <c r="VSM248" s="10"/>
      <c r="VSN248" s="57"/>
      <c r="VSO248" s="10"/>
      <c r="VSP248" s="57"/>
      <c r="VSQ248" s="10"/>
      <c r="VSR248" s="57"/>
      <c r="VSS248" s="10"/>
      <c r="VST248" s="57"/>
      <c r="VSU248" s="10"/>
      <c r="VSV248" s="57"/>
      <c r="VSW248" s="10"/>
      <c r="VSX248" s="57"/>
      <c r="VSY248" s="10"/>
      <c r="VSZ248" s="57"/>
      <c r="VTA248" s="10"/>
      <c r="VTB248" s="57"/>
      <c r="VTC248" s="10"/>
      <c r="VTD248" s="57"/>
      <c r="VTE248" s="10"/>
      <c r="VTF248" s="57"/>
      <c r="VTG248" s="10"/>
      <c r="VTH248" s="57"/>
      <c r="VTI248" s="10"/>
      <c r="VTJ248" s="57"/>
      <c r="VTK248" s="10"/>
      <c r="VTL248" s="57"/>
      <c r="VTM248" s="10"/>
      <c r="VTN248" s="57"/>
      <c r="VTO248" s="10"/>
      <c r="VTP248" s="57"/>
      <c r="VTQ248" s="10"/>
      <c r="VTR248" s="57"/>
      <c r="VTS248" s="10"/>
      <c r="VTT248" s="57"/>
      <c r="VTU248" s="10"/>
      <c r="VTV248" s="57"/>
      <c r="VTW248" s="10"/>
      <c r="VTX248" s="57"/>
      <c r="VTY248" s="10"/>
      <c r="VTZ248" s="57"/>
      <c r="VUA248" s="10"/>
      <c r="VUB248" s="57"/>
      <c r="VUC248" s="10"/>
      <c r="VUD248" s="57"/>
      <c r="VUE248" s="10"/>
      <c r="VUF248" s="57"/>
      <c r="VUG248" s="10"/>
      <c r="VUH248" s="57"/>
      <c r="VUI248" s="10"/>
      <c r="VUJ248" s="57"/>
      <c r="VUK248" s="10"/>
      <c r="VUL248" s="57"/>
      <c r="VUM248" s="10"/>
      <c r="VUN248" s="57"/>
      <c r="VUO248" s="10"/>
      <c r="VUP248" s="57"/>
      <c r="VUQ248" s="10"/>
      <c r="VUR248" s="57"/>
      <c r="VUS248" s="10"/>
      <c r="VUT248" s="57"/>
      <c r="VUU248" s="10"/>
      <c r="VUV248" s="57"/>
      <c r="VUW248" s="10"/>
      <c r="VUX248" s="57"/>
      <c r="VUY248" s="10"/>
      <c r="VUZ248" s="57"/>
      <c r="VVA248" s="10"/>
      <c r="VVB248" s="57"/>
      <c r="VVC248" s="10"/>
      <c r="VVD248" s="57"/>
      <c r="VVE248" s="10"/>
      <c r="VVF248" s="57"/>
      <c r="VVG248" s="10"/>
      <c r="VVH248" s="57"/>
      <c r="VVI248" s="10"/>
      <c r="VVJ248" s="57"/>
      <c r="VVK248" s="10"/>
      <c r="VVL248" s="57"/>
      <c r="VVM248" s="10"/>
      <c r="VVN248" s="57"/>
      <c r="VVO248" s="10"/>
      <c r="VVP248" s="57"/>
      <c r="VVQ248" s="10"/>
      <c r="VVR248" s="57"/>
      <c r="VVS248" s="10"/>
      <c r="VVT248" s="57"/>
      <c r="VVU248" s="10"/>
      <c r="VVV248" s="57"/>
      <c r="VVW248" s="10"/>
      <c r="VVX248" s="57"/>
      <c r="VVY248" s="10"/>
      <c r="VVZ248" s="57"/>
      <c r="VWA248" s="10"/>
      <c r="VWB248" s="57"/>
      <c r="VWC248" s="10"/>
      <c r="VWD248" s="57"/>
      <c r="VWE248" s="10"/>
      <c r="VWF248" s="57"/>
      <c r="VWG248" s="10"/>
      <c r="VWH248" s="57"/>
      <c r="VWI248" s="10"/>
      <c r="VWJ248" s="57"/>
      <c r="VWK248" s="10"/>
      <c r="VWL248" s="57"/>
      <c r="VWM248" s="10"/>
      <c r="VWN248" s="57"/>
      <c r="VWO248" s="10"/>
      <c r="VWP248" s="57"/>
      <c r="VWQ248" s="10"/>
      <c r="VWR248" s="57"/>
      <c r="VWS248" s="10"/>
      <c r="VWT248" s="57"/>
      <c r="VWU248" s="10"/>
      <c r="VWV248" s="57"/>
      <c r="VWW248" s="10"/>
      <c r="VWX248" s="57"/>
      <c r="VWY248" s="10"/>
      <c r="VWZ248" s="57"/>
      <c r="VXA248" s="10"/>
      <c r="VXB248" s="57"/>
      <c r="VXC248" s="10"/>
      <c r="VXD248" s="57"/>
      <c r="VXE248" s="10"/>
      <c r="VXF248" s="57"/>
      <c r="VXG248" s="10"/>
      <c r="VXH248" s="57"/>
      <c r="VXI248" s="10"/>
      <c r="VXJ248" s="57"/>
      <c r="VXK248" s="10"/>
      <c r="VXL248" s="57"/>
      <c r="VXM248" s="10"/>
      <c r="VXN248" s="57"/>
      <c r="VXO248" s="10"/>
      <c r="VXP248" s="57"/>
      <c r="VXQ248" s="10"/>
      <c r="VXR248" s="57"/>
      <c r="VXS248" s="10"/>
      <c r="VXT248" s="57"/>
      <c r="VXU248" s="10"/>
      <c r="VXV248" s="57"/>
      <c r="VXW248" s="10"/>
      <c r="VXX248" s="57"/>
      <c r="VXY248" s="10"/>
      <c r="VXZ248" s="57"/>
      <c r="VYA248" s="10"/>
      <c r="VYB248" s="57"/>
      <c r="VYC248" s="10"/>
      <c r="VYD248" s="57"/>
      <c r="VYE248" s="10"/>
      <c r="VYF248" s="57"/>
      <c r="VYG248" s="10"/>
      <c r="VYH248" s="57"/>
      <c r="VYI248" s="10"/>
      <c r="VYJ248" s="57"/>
      <c r="VYK248" s="10"/>
      <c r="VYL248" s="57"/>
      <c r="VYM248" s="10"/>
      <c r="VYN248" s="57"/>
      <c r="VYO248" s="10"/>
      <c r="VYP248" s="57"/>
      <c r="VYQ248" s="10"/>
      <c r="VYR248" s="57"/>
      <c r="VYS248" s="10"/>
      <c r="VYT248" s="57"/>
      <c r="VYU248" s="10"/>
      <c r="VYV248" s="57"/>
      <c r="VYW248" s="10"/>
      <c r="VYX248" s="57"/>
      <c r="VYY248" s="10"/>
      <c r="VYZ248" s="57"/>
      <c r="VZA248" s="10"/>
      <c r="VZB248" s="57"/>
      <c r="VZC248" s="10"/>
      <c r="VZD248" s="57"/>
      <c r="VZE248" s="10"/>
      <c r="VZF248" s="57"/>
      <c r="VZG248" s="10"/>
      <c r="VZH248" s="57"/>
      <c r="VZI248" s="10"/>
      <c r="VZJ248" s="57"/>
      <c r="VZK248" s="10"/>
      <c r="VZL248" s="57"/>
      <c r="VZM248" s="10"/>
      <c r="VZN248" s="57"/>
      <c r="VZO248" s="10"/>
      <c r="VZP248" s="57"/>
      <c r="VZQ248" s="10"/>
      <c r="VZR248" s="57"/>
      <c r="VZS248" s="10"/>
      <c r="VZT248" s="57"/>
      <c r="VZU248" s="10"/>
      <c r="VZV248" s="57"/>
      <c r="VZW248" s="10"/>
      <c r="VZX248" s="57"/>
      <c r="VZY248" s="10"/>
      <c r="VZZ248" s="57"/>
      <c r="WAA248" s="10"/>
      <c r="WAB248" s="57"/>
      <c r="WAC248" s="10"/>
      <c r="WAD248" s="57"/>
      <c r="WAE248" s="10"/>
      <c r="WAF248" s="57"/>
      <c r="WAG248" s="10"/>
      <c r="WAH248" s="57"/>
      <c r="WAI248" s="10"/>
      <c r="WAJ248" s="57"/>
      <c r="WAK248" s="10"/>
      <c r="WAL248" s="57"/>
      <c r="WAM248" s="10"/>
      <c r="WAN248" s="57"/>
      <c r="WAO248" s="10"/>
      <c r="WAP248" s="57"/>
      <c r="WAQ248" s="10"/>
      <c r="WAR248" s="57"/>
      <c r="WAS248" s="10"/>
      <c r="WAT248" s="57"/>
      <c r="WAU248" s="10"/>
      <c r="WAV248" s="57"/>
      <c r="WAW248" s="10"/>
      <c r="WAX248" s="57"/>
      <c r="WAY248" s="10"/>
      <c r="WAZ248" s="57"/>
      <c r="WBA248" s="10"/>
      <c r="WBB248" s="57"/>
      <c r="WBC248" s="10"/>
      <c r="WBD248" s="57"/>
      <c r="WBE248" s="10"/>
      <c r="WBF248" s="57"/>
      <c r="WBG248" s="10"/>
      <c r="WBH248" s="57"/>
      <c r="WBI248" s="10"/>
      <c r="WBJ248" s="57"/>
      <c r="WBK248" s="10"/>
      <c r="WBL248" s="57"/>
      <c r="WBM248" s="10"/>
      <c r="WBN248" s="57"/>
      <c r="WBO248" s="10"/>
      <c r="WBP248" s="57"/>
      <c r="WBQ248" s="10"/>
      <c r="WBR248" s="57"/>
      <c r="WBS248" s="10"/>
      <c r="WBT248" s="57"/>
      <c r="WBU248" s="10"/>
      <c r="WBV248" s="57"/>
      <c r="WBW248" s="10"/>
      <c r="WBX248" s="57"/>
      <c r="WBY248" s="10"/>
      <c r="WBZ248" s="57"/>
      <c r="WCA248" s="10"/>
      <c r="WCB248" s="57"/>
      <c r="WCC248" s="10"/>
      <c r="WCD248" s="57"/>
      <c r="WCE248" s="10"/>
      <c r="WCF248" s="57"/>
      <c r="WCG248" s="10"/>
      <c r="WCH248" s="57"/>
      <c r="WCI248" s="10"/>
      <c r="WCJ248" s="57"/>
      <c r="WCK248" s="10"/>
      <c r="WCL248" s="57"/>
      <c r="WCM248" s="10"/>
      <c r="WCN248" s="57"/>
      <c r="WCO248" s="10"/>
      <c r="WCP248" s="57"/>
      <c r="WCQ248" s="10"/>
      <c r="WCR248" s="57"/>
      <c r="WCS248" s="10"/>
      <c r="WCT248" s="57"/>
      <c r="WCU248" s="10"/>
      <c r="WCV248" s="57"/>
      <c r="WCW248" s="10"/>
      <c r="WCX248" s="57"/>
      <c r="WCY248" s="10"/>
      <c r="WCZ248" s="57"/>
      <c r="WDA248" s="10"/>
      <c r="WDB248" s="57"/>
      <c r="WDC248" s="10"/>
      <c r="WDD248" s="57"/>
      <c r="WDE248" s="10"/>
      <c r="WDF248" s="57"/>
      <c r="WDG248" s="10"/>
      <c r="WDH248" s="57"/>
      <c r="WDI248" s="10"/>
      <c r="WDJ248" s="57"/>
      <c r="WDK248" s="10"/>
      <c r="WDL248" s="57"/>
      <c r="WDM248" s="10"/>
      <c r="WDN248" s="57"/>
      <c r="WDO248" s="10"/>
      <c r="WDP248" s="57"/>
      <c r="WDQ248" s="10"/>
      <c r="WDR248" s="57"/>
      <c r="WDS248" s="10"/>
      <c r="WDT248" s="57"/>
      <c r="WDU248" s="10"/>
      <c r="WDV248" s="57"/>
      <c r="WDW248" s="10"/>
      <c r="WDX248" s="57"/>
      <c r="WDY248" s="10"/>
      <c r="WDZ248" s="57"/>
      <c r="WEA248" s="10"/>
      <c r="WEB248" s="57"/>
      <c r="WEC248" s="10"/>
      <c r="WED248" s="57"/>
      <c r="WEE248" s="10"/>
      <c r="WEF248" s="57"/>
      <c r="WEG248" s="10"/>
      <c r="WEH248" s="57"/>
      <c r="WEI248" s="10"/>
      <c r="WEJ248" s="57"/>
      <c r="WEK248" s="10"/>
      <c r="WEL248" s="57"/>
      <c r="WEM248" s="10"/>
      <c r="WEN248" s="57"/>
      <c r="WEO248" s="10"/>
      <c r="WEP248" s="57"/>
      <c r="WEQ248" s="10"/>
      <c r="WER248" s="57"/>
      <c r="WES248" s="10"/>
      <c r="WET248" s="57"/>
      <c r="WEU248" s="10"/>
      <c r="WEV248" s="57"/>
      <c r="WEW248" s="10"/>
      <c r="WEX248" s="57"/>
      <c r="WEY248" s="10"/>
      <c r="WEZ248" s="57"/>
      <c r="WFA248" s="10"/>
      <c r="WFB248" s="57"/>
      <c r="WFC248" s="10"/>
      <c r="WFD248" s="57"/>
      <c r="WFE248" s="10"/>
      <c r="WFF248" s="57"/>
      <c r="WFG248" s="10"/>
      <c r="WFH248" s="57"/>
      <c r="WFI248" s="10"/>
      <c r="WFJ248" s="57"/>
      <c r="WFK248" s="10"/>
      <c r="WFL248" s="57"/>
      <c r="WFM248" s="10"/>
      <c r="WFN248" s="57"/>
      <c r="WFO248" s="10"/>
      <c r="WFP248" s="57"/>
      <c r="WFQ248" s="10"/>
      <c r="WFR248" s="57"/>
      <c r="WFS248" s="10"/>
      <c r="WFT248" s="57"/>
      <c r="WFU248" s="10"/>
      <c r="WFV248" s="57"/>
      <c r="WFW248" s="10"/>
      <c r="WFX248" s="57"/>
      <c r="WFY248" s="10"/>
      <c r="WFZ248" s="57"/>
      <c r="WGA248" s="10"/>
      <c r="WGB248" s="57"/>
      <c r="WGC248" s="10"/>
      <c r="WGD248" s="57"/>
      <c r="WGE248" s="10"/>
      <c r="WGF248" s="57"/>
      <c r="WGG248" s="10"/>
      <c r="WGH248" s="57"/>
      <c r="WGI248" s="10"/>
      <c r="WGJ248" s="57"/>
      <c r="WGK248" s="10"/>
      <c r="WGL248" s="57"/>
      <c r="WGM248" s="10"/>
      <c r="WGN248" s="57"/>
      <c r="WGO248" s="10"/>
      <c r="WGP248" s="57"/>
      <c r="WGQ248" s="10"/>
      <c r="WGR248" s="57"/>
      <c r="WGS248" s="10"/>
      <c r="WGT248" s="57"/>
      <c r="WGU248" s="10"/>
      <c r="WGV248" s="57"/>
      <c r="WGW248" s="10"/>
      <c r="WGX248" s="57"/>
      <c r="WGY248" s="10"/>
      <c r="WGZ248" s="57"/>
      <c r="WHA248" s="10"/>
      <c r="WHB248" s="57"/>
      <c r="WHC248" s="10"/>
      <c r="WHD248" s="57"/>
      <c r="WHE248" s="10"/>
      <c r="WHF248" s="57"/>
      <c r="WHG248" s="10"/>
      <c r="WHH248" s="57"/>
      <c r="WHI248" s="10"/>
      <c r="WHJ248" s="57"/>
      <c r="WHK248" s="10"/>
      <c r="WHL248" s="57"/>
      <c r="WHM248" s="10"/>
      <c r="WHN248" s="57"/>
      <c r="WHO248" s="10"/>
      <c r="WHP248" s="57"/>
      <c r="WHQ248" s="10"/>
      <c r="WHR248" s="57"/>
      <c r="WHS248" s="10"/>
      <c r="WHT248" s="57"/>
      <c r="WHU248" s="10"/>
      <c r="WHV248" s="57"/>
      <c r="WHW248" s="10"/>
      <c r="WHX248" s="57"/>
      <c r="WHY248" s="10"/>
      <c r="WHZ248" s="57"/>
      <c r="WIA248" s="10"/>
      <c r="WIB248" s="57"/>
      <c r="WIC248" s="10"/>
      <c r="WID248" s="57"/>
      <c r="WIE248" s="10"/>
      <c r="WIF248" s="57"/>
      <c r="WIG248" s="10"/>
      <c r="WIH248" s="57"/>
      <c r="WII248" s="10"/>
      <c r="WIJ248" s="57"/>
      <c r="WIK248" s="10"/>
      <c r="WIL248" s="57"/>
      <c r="WIM248" s="10"/>
      <c r="WIN248" s="57"/>
      <c r="WIO248" s="10"/>
      <c r="WIP248" s="57"/>
      <c r="WIQ248" s="10"/>
      <c r="WIR248" s="57"/>
      <c r="WIS248" s="10"/>
      <c r="WIT248" s="57"/>
      <c r="WIU248" s="10"/>
      <c r="WIV248" s="57"/>
      <c r="WIW248" s="10"/>
      <c r="WIX248" s="57"/>
      <c r="WIY248" s="10"/>
      <c r="WIZ248" s="57"/>
      <c r="WJA248" s="10"/>
      <c r="WJB248" s="57"/>
      <c r="WJC248" s="10"/>
      <c r="WJD248" s="57"/>
      <c r="WJE248" s="10"/>
      <c r="WJF248" s="57"/>
      <c r="WJG248" s="10"/>
      <c r="WJH248" s="57"/>
      <c r="WJI248" s="10"/>
      <c r="WJJ248" s="57"/>
      <c r="WJK248" s="10"/>
      <c r="WJL248" s="57"/>
      <c r="WJM248" s="10"/>
      <c r="WJN248" s="57"/>
      <c r="WJO248" s="10"/>
      <c r="WJP248" s="57"/>
      <c r="WJQ248" s="10"/>
      <c r="WJR248" s="57"/>
      <c r="WJS248" s="10"/>
      <c r="WJT248" s="57"/>
      <c r="WJU248" s="10"/>
      <c r="WJV248" s="57"/>
      <c r="WJW248" s="10"/>
      <c r="WJX248" s="57"/>
      <c r="WJY248" s="10"/>
      <c r="WJZ248" s="57"/>
      <c r="WKA248" s="10"/>
      <c r="WKB248" s="57"/>
      <c r="WKC248" s="10"/>
      <c r="WKD248" s="57"/>
      <c r="WKE248" s="10"/>
      <c r="WKF248" s="57"/>
      <c r="WKG248" s="10"/>
      <c r="WKH248" s="57"/>
      <c r="WKI248" s="10"/>
      <c r="WKJ248" s="57"/>
      <c r="WKK248" s="10"/>
      <c r="WKL248" s="57"/>
      <c r="WKM248" s="10"/>
      <c r="WKN248" s="57"/>
      <c r="WKO248" s="10"/>
      <c r="WKP248" s="57"/>
      <c r="WKQ248" s="10"/>
      <c r="WKR248" s="57"/>
      <c r="WKS248" s="10"/>
      <c r="WKT248" s="57"/>
      <c r="WKU248" s="10"/>
      <c r="WKV248" s="57"/>
      <c r="WKW248" s="10"/>
      <c r="WKX248" s="57"/>
      <c r="WKY248" s="10"/>
      <c r="WKZ248" s="57"/>
      <c r="WLA248" s="10"/>
      <c r="WLB248" s="57"/>
      <c r="WLC248" s="10"/>
      <c r="WLD248" s="57"/>
      <c r="WLE248" s="10"/>
      <c r="WLF248" s="57"/>
      <c r="WLG248" s="10"/>
      <c r="WLH248" s="57"/>
      <c r="WLI248" s="10"/>
      <c r="WLJ248" s="57"/>
      <c r="WLK248" s="10"/>
      <c r="WLL248" s="57"/>
      <c r="WLM248" s="10"/>
      <c r="WLN248" s="57"/>
      <c r="WLO248" s="10"/>
      <c r="WLP248" s="57"/>
      <c r="WLQ248" s="10"/>
      <c r="WLR248" s="57"/>
      <c r="WLS248" s="10"/>
      <c r="WLT248" s="57"/>
      <c r="WLU248" s="10"/>
      <c r="WLV248" s="57"/>
      <c r="WLW248" s="10"/>
      <c r="WLX248" s="57"/>
      <c r="WLY248" s="10"/>
      <c r="WLZ248" s="57"/>
      <c r="WMA248" s="10"/>
      <c r="WMB248" s="57"/>
      <c r="WMC248" s="10"/>
      <c r="WMD248" s="57"/>
      <c r="WME248" s="10"/>
      <c r="WMF248" s="57"/>
      <c r="WMG248" s="10"/>
      <c r="WMH248" s="57"/>
      <c r="WMI248" s="10"/>
      <c r="WMJ248" s="57"/>
      <c r="WMK248" s="10"/>
      <c r="WML248" s="57"/>
      <c r="WMM248" s="10"/>
      <c r="WMN248" s="57"/>
      <c r="WMO248" s="10"/>
      <c r="WMP248" s="57"/>
      <c r="WMQ248" s="10"/>
      <c r="WMR248" s="57"/>
      <c r="WMS248" s="10"/>
      <c r="WMT248" s="57"/>
      <c r="WMU248" s="10"/>
      <c r="WMV248" s="57"/>
      <c r="WMW248" s="10"/>
      <c r="WMX248" s="57"/>
      <c r="WMY248" s="10"/>
      <c r="WMZ248" s="57"/>
      <c r="WNA248" s="10"/>
      <c r="WNB248" s="57"/>
      <c r="WNC248" s="10"/>
      <c r="WND248" s="57"/>
      <c r="WNE248" s="10"/>
      <c r="WNF248" s="57"/>
      <c r="WNG248" s="10"/>
      <c r="WNH248" s="57"/>
      <c r="WNI248" s="10"/>
      <c r="WNJ248" s="57"/>
      <c r="WNK248" s="10"/>
      <c r="WNL248" s="57"/>
      <c r="WNM248" s="10"/>
      <c r="WNN248" s="57"/>
      <c r="WNO248" s="10"/>
      <c r="WNP248" s="57"/>
      <c r="WNQ248" s="10"/>
      <c r="WNR248" s="57"/>
      <c r="WNS248" s="10"/>
      <c r="WNT248" s="57"/>
      <c r="WNU248" s="10"/>
      <c r="WNV248" s="57"/>
      <c r="WNW248" s="10"/>
      <c r="WNX248" s="57"/>
      <c r="WNY248" s="10"/>
      <c r="WNZ248" s="57"/>
      <c r="WOA248" s="10"/>
      <c r="WOB248" s="57"/>
      <c r="WOC248" s="10"/>
      <c r="WOD248" s="57"/>
      <c r="WOE248" s="10"/>
      <c r="WOF248" s="57"/>
      <c r="WOG248" s="10"/>
      <c r="WOH248" s="57"/>
      <c r="WOI248" s="10"/>
      <c r="WOJ248" s="57"/>
      <c r="WOK248" s="10"/>
      <c r="WOL248" s="57"/>
      <c r="WOM248" s="10"/>
      <c r="WON248" s="57"/>
      <c r="WOO248" s="10"/>
      <c r="WOP248" s="57"/>
      <c r="WOQ248" s="10"/>
      <c r="WOR248" s="57"/>
      <c r="WOS248" s="10"/>
      <c r="WOT248" s="57"/>
      <c r="WOU248" s="10"/>
      <c r="WOV248" s="57"/>
      <c r="WOW248" s="10"/>
      <c r="WOX248" s="57"/>
      <c r="WOY248" s="10"/>
      <c r="WOZ248" s="57"/>
      <c r="WPA248" s="10"/>
      <c r="WPB248" s="57"/>
      <c r="WPC248" s="10"/>
      <c r="WPD248" s="57"/>
      <c r="WPE248" s="10"/>
      <c r="WPF248" s="57"/>
      <c r="WPG248" s="10"/>
      <c r="WPH248" s="57"/>
      <c r="WPI248" s="10"/>
      <c r="WPJ248" s="57"/>
      <c r="WPK248" s="10"/>
      <c r="WPL248" s="57"/>
      <c r="WPM248" s="10"/>
      <c r="WPN248" s="57"/>
      <c r="WPO248" s="10"/>
      <c r="WPP248" s="57"/>
      <c r="WPQ248" s="10"/>
      <c r="WPR248" s="57"/>
      <c r="WPS248" s="10"/>
      <c r="WPT248" s="57"/>
      <c r="WPU248" s="10"/>
      <c r="WPV248" s="57"/>
      <c r="WPW248" s="10"/>
      <c r="WPX248" s="57"/>
      <c r="WPY248" s="10"/>
      <c r="WPZ248" s="57"/>
      <c r="WQA248" s="10"/>
      <c r="WQB248" s="57"/>
      <c r="WQC248" s="10"/>
      <c r="WQD248" s="57"/>
      <c r="WQE248" s="10"/>
      <c r="WQF248" s="57"/>
      <c r="WQG248" s="10"/>
      <c r="WQH248" s="57"/>
      <c r="WQI248" s="10"/>
      <c r="WQJ248" s="57"/>
      <c r="WQK248" s="10"/>
      <c r="WQL248" s="57"/>
      <c r="WQM248" s="10"/>
      <c r="WQN248" s="57"/>
      <c r="WQO248" s="10"/>
      <c r="WQP248" s="57"/>
      <c r="WQQ248" s="10"/>
      <c r="WQR248" s="57"/>
      <c r="WQS248" s="10"/>
      <c r="WQT248" s="57"/>
      <c r="WQU248" s="10"/>
      <c r="WQV248" s="57"/>
      <c r="WQW248" s="10"/>
      <c r="WQX248" s="57"/>
      <c r="WQY248" s="10"/>
      <c r="WQZ248" s="57"/>
      <c r="WRA248" s="10"/>
      <c r="WRB248" s="57"/>
      <c r="WRC248" s="10"/>
      <c r="WRD248" s="57"/>
      <c r="WRE248" s="10"/>
      <c r="WRF248" s="57"/>
      <c r="WRG248" s="10"/>
      <c r="WRH248" s="57"/>
      <c r="WRI248" s="10"/>
      <c r="WRJ248" s="57"/>
      <c r="WRK248" s="10"/>
      <c r="WRL248" s="57"/>
      <c r="WRM248" s="10"/>
      <c r="WRN248" s="57"/>
      <c r="WRO248" s="10"/>
      <c r="WRP248" s="57"/>
      <c r="WRQ248" s="10"/>
      <c r="WRR248" s="57"/>
      <c r="WRS248" s="10"/>
      <c r="WRT248" s="57"/>
      <c r="WRU248" s="10"/>
      <c r="WRV248" s="57"/>
      <c r="WRW248" s="10"/>
      <c r="WRX248" s="57"/>
      <c r="WRY248" s="10"/>
      <c r="WRZ248" s="57"/>
      <c r="WSA248" s="10"/>
      <c r="WSB248" s="57"/>
      <c r="WSC248" s="10"/>
      <c r="WSD248" s="57"/>
      <c r="WSE248" s="10"/>
      <c r="WSF248" s="57"/>
      <c r="WSG248" s="10"/>
      <c r="WSH248" s="57"/>
      <c r="WSI248" s="10"/>
      <c r="WSJ248" s="57"/>
      <c r="WSK248" s="10"/>
      <c r="WSL248" s="57"/>
      <c r="WSM248" s="10"/>
      <c r="WSN248" s="57"/>
      <c r="WSO248" s="10"/>
      <c r="WSP248" s="57"/>
      <c r="WSQ248" s="10"/>
      <c r="WSR248" s="57"/>
      <c r="WSS248" s="10"/>
      <c r="WST248" s="57"/>
      <c r="WSU248" s="10"/>
      <c r="WSV248" s="57"/>
      <c r="WSW248" s="10"/>
      <c r="WSX248" s="57"/>
      <c r="WSY248" s="10"/>
      <c r="WSZ248" s="57"/>
      <c r="WTA248" s="10"/>
      <c r="WTB248" s="57"/>
      <c r="WTC248" s="10"/>
      <c r="WTD248" s="57"/>
      <c r="WTE248" s="10"/>
      <c r="WTF248" s="57"/>
      <c r="WTG248" s="10"/>
      <c r="WTH248" s="57"/>
      <c r="WTI248" s="10"/>
      <c r="WTJ248" s="57"/>
      <c r="WTK248" s="10"/>
      <c r="WTL248" s="57"/>
      <c r="WTM248" s="10"/>
      <c r="WTN248" s="57"/>
      <c r="WTO248" s="10"/>
      <c r="WTP248" s="57"/>
      <c r="WTQ248" s="10"/>
      <c r="WTR248" s="57"/>
      <c r="WTS248" s="10"/>
      <c r="WTT248" s="57"/>
      <c r="WTU248" s="10"/>
      <c r="WTV248" s="57"/>
      <c r="WTW248" s="10"/>
      <c r="WTX248" s="57"/>
      <c r="WTY248" s="10"/>
      <c r="WTZ248" s="57"/>
      <c r="WUA248" s="10"/>
      <c r="WUB248" s="57"/>
      <c r="WUC248" s="10"/>
      <c r="WUD248" s="57"/>
      <c r="WUE248" s="10"/>
      <c r="WUF248" s="57"/>
      <c r="WUG248" s="10"/>
      <c r="WUH248" s="57"/>
      <c r="WUI248" s="10"/>
      <c r="WUJ248" s="57"/>
      <c r="WUK248" s="10"/>
      <c r="WUL248" s="57"/>
      <c r="WUM248" s="10"/>
      <c r="WUN248" s="57"/>
      <c r="WUO248" s="10"/>
      <c r="WUP248" s="57"/>
      <c r="WUQ248" s="10"/>
      <c r="WUR248" s="57"/>
      <c r="WUS248" s="10"/>
      <c r="WUT248" s="57"/>
      <c r="WUU248" s="10"/>
      <c r="WUV248" s="57"/>
      <c r="WUW248" s="10"/>
      <c r="WUX248" s="57"/>
      <c r="WUY248" s="10"/>
      <c r="WUZ248" s="57"/>
      <c r="WVA248" s="10"/>
      <c r="WVB248" s="57"/>
      <c r="WVC248" s="10"/>
      <c r="WVD248" s="57"/>
      <c r="WVE248" s="10"/>
      <c r="WVF248" s="57"/>
      <c r="WVG248" s="10"/>
      <c r="WVH248" s="57"/>
      <c r="WVI248" s="10"/>
      <c r="WVJ248" s="57"/>
      <c r="WVK248" s="10"/>
      <c r="WVL248" s="57"/>
      <c r="WVM248" s="10"/>
      <c r="WVN248" s="57"/>
      <c r="WVO248" s="10"/>
      <c r="WVP248" s="57"/>
      <c r="WVQ248" s="10"/>
      <c r="WVR248" s="57"/>
      <c r="WVS248" s="10"/>
      <c r="WVT248" s="57"/>
      <c r="WVU248" s="10"/>
      <c r="WVV248" s="57"/>
      <c r="WVW248" s="10"/>
      <c r="WVX248" s="57"/>
      <c r="WVY248" s="10"/>
      <c r="WVZ248" s="57"/>
      <c r="WWA248" s="10"/>
      <c r="WWB248" s="57"/>
      <c r="WWC248" s="10"/>
      <c r="WWD248" s="57"/>
      <c r="WWE248" s="10"/>
      <c r="WWF248" s="57"/>
      <c r="WWG248" s="10"/>
      <c r="WWH248" s="57"/>
      <c r="WWI248" s="10"/>
      <c r="WWJ248" s="57"/>
      <c r="WWK248" s="10"/>
      <c r="WWL248" s="57"/>
      <c r="WWM248" s="10"/>
      <c r="WWN248" s="57"/>
      <c r="WWO248" s="10"/>
      <c r="WWP248" s="57"/>
      <c r="WWQ248" s="10"/>
      <c r="WWR248" s="57"/>
      <c r="WWS248" s="10"/>
      <c r="WWT248" s="57"/>
      <c r="WWU248" s="10"/>
      <c r="WWV248" s="57"/>
      <c r="WWW248" s="10"/>
      <c r="WWX248" s="57"/>
      <c r="WWY248" s="10"/>
      <c r="WWZ248" s="57"/>
      <c r="WXA248" s="10"/>
      <c r="WXB248" s="57"/>
      <c r="WXC248" s="10"/>
      <c r="WXD248" s="57"/>
      <c r="WXE248" s="10"/>
      <c r="WXF248" s="57"/>
      <c r="WXG248" s="10"/>
      <c r="WXH248" s="57"/>
      <c r="WXI248" s="10"/>
      <c r="WXJ248" s="57"/>
      <c r="WXK248" s="10"/>
      <c r="WXL248" s="57"/>
      <c r="WXM248" s="10"/>
      <c r="WXN248" s="57"/>
      <c r="WXO248" s="10"/>
      <c r="WXP248" s="57"/>
      <c r="WXQ248" s="10"/>
      <c r="WXR248" s="57"/>
      <c r="WXS248" s="10"/>
      <c r="WXT248" s="57"/>
      <c r="WXU248" s="10"/>
      <c r="WXV248" s="57"/>
      <c r="WXW248" s="10"/>
      <c r="WXX248" s="57"/>
      <c r="WXY248" s="10"/>
      <c r="WXZ248" s="57"/>
      <c r="WYA248" s="10"/>
      <c r="WYB248" s="57"/>
      <c r="WYC248" s="10"/>
      <c r="WYD248" s="57"/>
      <c r="WYE248" s="10"/>
      <c r="WYF248" s="57"/>
      <c r="WYG248" s="10"/>
      <c r="WYH248" s="57"/>
      <c r="WYI248" s="10"/>
      <c r="WYJ248" s="57"/>
      <c r="WYK248" s="10"/>
      <c r="WYL248" s="57"/>
      <c r="WYM248" s="10"/>
      <c r="WYN248" s="57"/>
      <c r="WYO248" s="10"/>
      <c r="WYP248" s="57"/>
      <c r="WYQ248" s="10"/>
      <c r="WYR248" s="57"/>
      <c r="WYS248" s="10"/>
      <c r="WYT248" s="57"/>
      <c r="WYU248" s="10"/>
      <c r="WYV248" s="57"/>
      <c r="WYW248" s="10"/>
      <c r="WYX248" s="57"/>
      <c r="WYY248" s="10"/>
      <c r="WYZ248" s="57"/>
      <c r="WZA248" s="10"/>
      <c r="WZB248" s="57"/>
      <c r="WZC248" s="10"/>
      <c r="WZD248" s="57"/>
      <c r="WZE248" s="10"/>
      <c r="WZF248" s="57"/>
      <c r="WZG248" s="10"/>
      <c r="WZH248" s="57"/>
      <c r="WZI248" s="10"/>
      <c r="WZJ248" s="57"/>
      <c r="WZK248" s="10"/>
      <c r="WZL248" s="57"/>
      <c r="WZM248" s="10"/>
      <c r="WZN248" s="57"/>
      <c r="WZO248" s="10"/>
      <c r="WZP248" s="57"/>
      <c r="WZQ248" s="10"/>
      <c r="WZR248" s="57"/>
      <c r="WZS248" s="10"/>
      <c r="WZT248" s="57"/>
      <c r="WZU248" s="10"/>
      <c r="WZV248" s="57"/>
      <c r="WZW248" s="10"/>
      <c r="WZX248" s="57"/>
      <c r="WZY248" s="10"/>
      <c r="WZZ248" s="57"/>
      <c r="XAA248" s="10"/>
      <c r="XAB248" s="57"/>
      <c r="XAC248" s="10"/>
      <c r="XAD248" s="57"/>
      <c r="XAE248" s="10"/>
      <c r="XAF248" s="57"/>
      <c r="XAG248" s="10"/>
      <c r="XAH248" s="57"/>
      <c r="XAI248" s="10"/>
      <c r="XAJ248" s="57"/>
      <c r="XAK248" s="10"/>
      <c r="XAL248" s="57"/>
      <c r="XAM248" s="10"/>
      <c r="XAN248" s="57"/>
      <c r="XAO248" s="10"/>
      <c r="XAP248" s="57"/>
      <c r="XAQ248" s="10"/>
      <c r="XAR248" s="57"/>
      <c r="XAS248" s="10"/>
      <c r="XAT248" s="57"/>
      <c r="XAU248" s="10"/>
      <c r="XAV248" s="57"/>
      <c r="XAW248" s="10"/>
      <c r="XAX248" s="57"/>
      <c r="XAY248" s="10"/>
      <c r="XAZ248" s="57"/>
      <c r="XBA248" s="10"/>
      <c r="XBB248" s="57"/>
      <c r="XBC248" s="10"/>
      <c r="XBD248" s="57"/>
      <c r="XBE248" s="10"/>
      <c r="XBF248" s="57"/>
      <c r="XBG248" s="10"/>
      <c r="XBH248" s="57"/>
      <c r="XBI248" s="10"/>
      <c r="XBJ248" s="57"/>
      <c r="XBK248" s="10"/>
      <c r="XBL248" s="57"/>
      <c r="XBM248" s="10"/>
      <c r="XBN248" s="57"/>
      <c r="XBO248" s="10"/>
      <c r="XBP248" s="57"/>
      <c r="XBQ248" s="10"/>
      <c r="XBR248" s="57"/>
      <c r="XBS248" s="10"/>
      <c r="XBT248" s="57"/>
      <c r="XBU248" s="10"/>
      <c r="XBV248" s="57"/>
      <c r="XBW248" s="10"/>
      <c r="XBX248" s="57"/>
      <c r="XBY248" s="10"/>
      <c r="XBZ248" s="57"/>
      <c r="XCA248" s="10"/>
      <c r="XCB248" s="57"/>
      <c r="XCC248" s="10"/>
      <c r="XCD248" s="57"/>
      <c r="XCE248" s="10"/>
      <c r="XCF248" s="57"/>
      <c r="XCG248" s="10"/>
      <c r="XCH248" s="57"/>
      <c r="XCI248" s="10"/>
      <c r="XCJ248" s="57"/>
      <c r="XCK248" s="10"/>
      <c r="XCL248" s="57"/>
      <c r="XCM248" s="10"/>
      <c r="XCN248" s="57"/>
      <c r="XCO248" s="10"/>
      <c r="XCP248" s="57"/>
      <c r="XCQ248" s="10"/>
      <c r="XCR248" s="57"/>
      <c r="XCS248" s="10"/>
      <c r="XCT248" s="57"/>
      <c r="XCU248" s="10"/>
      <c r="XCV248" s="57"/>
      <c r="XCW248" s="10"/>
      <c r="XCX248" s="57"/>
      <c r="XCY248" s="10"/>
      <c r="XCZ248" s="57"/>
      <c r="XDA248" s="10"/>
      <c r="XDB248" s="57"/>
      <c r="XDC248" s="10"/>
      <c r="XDD248" s="57"/>
      <c r="XDE248" s="10"/>
      <c r="XDF248" s="57"/>
      <c r="XDG248" s="10"/>
      <c r="XDH248" s="57"/>
      <c r="XDI248" s="10"/>
      <c r="XDJ248" s="57"/>
      <c r="XDK248" s="10"/>
      <c r="XDL248" s="57"/>
      <c r="XDM248" s="10"/>
      <c r="XDN248" s="57"/>
      <c r="XDO248" s="10"/>
      <c r="XDP248" s="57"/>
      <c r="XDQ248" s="10"/>
      <c r="XDR248" s="57"/>
      <c r="XDS248" s="10"/>
      <c r="XDT248" s="57"/>
      <c r="XDU248" s="10"/>
      <c r="XDV248" s="57"/>
      <c r="XDW248" s="10"/>
      <c r="XDX248" s="57"/>
      <c r="XDY248" s="10"/>
      <c r="XDZ248" s="57"/>
      <c r="XEA248" s="10"/>
      <c r="XEB248" s="57"/>
      <c r="XEC248" s="10"/>
      <c r="XED248" s="57"/>
      <c r="XEE248" s="10"/>
      <c r="XEF248" s="57"/>
      <c r="XEG248" s="10"/>
      <c r="XEH248" s="57"/>
      <c r="XEI248" s="10"/>
      <c r="XEJ248" s="57"/>
      <c r="XEK248" s="10"/>
      <c r="XEL248" s="57"/>
      <c r="XEM248" s="10"/>
      <c r="XEN248" s="57"/>
      <c r="XEO248" s="10"/>
      <c r="XEP248" s="57"/>
      <c r="XEQ248" s="10"/>
      <c r="XER248" s="57"/>
      <c r="XES248" s="10"/>
      <c r="XET248" s="57"/>
      <c r="XEU248" s="10"/>
      <c r="XEV248" s="57"/>
      <c r="XEW248" s="10"/>
      <c r="XEX248" s="57"/>
      <c r="XEY248" s="10"/>
      <c r="XEZ248" s="57"/>
      <c r="XFA248" s="10"/>
      <c r="XFB248" s="57"/>
    </row>
    <row r="249" spans="1:16382" ht="12.95">
      <c r="A249" s="11"/>
      <c r="B249" s="57"/>
    </row>
    <row r="250" spans="1:16382" ht="12.95">
      <c r="A250" s="11"/>
      <c r="B250" s="57"/>
    </row>
    <row r="251" spans="1:16382" ht="12.95">
      <c r="A251" s="11"/>
      <c r="B251" s="57"/>
    </row>
    <row r="252" spans="1:16382" ht="12.95">
      <c r="A252" s="11"/>
      <c r="B252" s="57"/>
    </row>
    <row r="253" spans="1:16382" ht="12.95">
      <c r="A253" s="11"/>
      <c r="B253" s="57"/>
    </row>
    <row r="254" spans="1:16382" ht="12.95">
      <c r="A254" s="11"/>
      <c r="B254" s="57"/>
    </row>
    <row r="255" spans="1:16382" ht="12.95">
      <c r="A255" s="11"/>
      <c r="B255" s="57"/>
    </row>
    <row r="256" spans="1:16382" ht="12.95">
      <c r="A256" s="11"/>
      <c r="B256" s="57"/>
    </row>
    <row r="257" spans="1:2" ht="12.95">
      <c r="A257" s="11"/>
      <c r="B257" s="57"/>
    </row>
    <row r="258" spans="1:2" ht="12.95">
      <c r="A258" s="11"/>
      <c r="B258" s="57"/>
    </row>
    <row r="259" spans="1:2" ht="12.95">
      <c r="A259" s="10"/>
      <c r="B259" s="57"/>
    </row>
    <row r="260" spans="1:2" ht="12.95">
      <c r="A260" s="10"/>
      <c r="B260" s="57"/>
    </row>
    <row r="261" spans="1:2" ht="12.95">
      <c r="A261" s="11"/>
      <c r="B261" s="57"/>
    </row>
    <row r="262" spans="1:2" ht="12.95">
      <c r="A262" s="11"/>
      <c r="B262" s="57"/>
    </row>
    <row r="263" spans="1:2" ht="12.95">
      <c r="A263" s="11"/>
      <c r="B263" s="57"/>
    </row>
    <row r="264" spans="1:2" ht="12.95">
      <c r="A264" s="11"/>
      <c r="B264" s="57"/>
    </row>
    <row r="265" spans="1:2" ht="12.95">
      <c r="A265" s="11"/>
      <c r="B265" s="57"/>
    </row>
    <row r="266" spans="1:2" ht="12.95">
      <c r="A266" s="11"/>
      <c r="B266" s="57"/>
    </row>
    <row r="267" spans="1:2" ht="12.95">
      <c r="A267" s="11"/>
      <c r="B267" s="57"/>
    </row>
    <row r="268" spans="1:2" ht="12.95">
      <c r="A268" s="11"/>
      <c r="B268" s="57"/>
    </row>
    <row r="269" spans="1:2" ht="12.95">
      <c r="A269" s="11"/>
      <c r="B269" s="57"/>
    </row>
    <row r="270" spans="1:2" ht="12.95">
      <c r="A270" s="11"/>
      <c r="B270" s="57"/>
    </row>
    <row r="271" spans="1:2" ht="12.95">
      <c r="A271" s="11"/>
      <c r="B271" s="57"/>
    </row>
    <row r="272" spans="1:2" ht="12.95">
      <c r="A272" s="11"/>
    </row>
    <row r="273" spans="1:1" ht="12.95">
      <c r="A273" s="11"/>
    </row>
    <row r="274" spans="1:1" ht="12.95">
      <c r="A274" s="11"/>
    </row>
    <row r="275" spans="1:1" ht="12.95">
      <c r="A275" s="11"/>
    </row>
    <row r="276" spans="1:1" ht="12.95">
      <c r="A276" s="11"/>
    </row>
    <row r="277" spans="1:1" ht="12.95">
      <c r="A277" s="11"/>
    </row>
    <row r="278" spans="1:1" ht="12.95">
      <c r="A278" s="11"/>
    </row>
    <row r="279" spans="1:1" ht="12.95">
      <c r="A279" s="11"/>
    </row>
    <row r="280" spans="1:1" ht="12.95">
      <c r="A280" s="11"/>
    </row>
    <row r="281" spans="1:1" ht="12.95">
      <c r="A281" s="11"/>
    </row>
    <row r="282" spans="1:1" ht="12.95">
      <c r="A282" s="11"/>
    </row>
    <row r="283" spans="1:1" ht="12.95">
      <c r="A283" s="11"/>
    </row>
    <row r="284" spans="1:1" ht="12.95">
      <c r="A284" s="11"/>
    </row>
    <row r="285" spans="1:1" ht="12.95">
      <c r="A285" s="11"/>
    </row>
    <row r="286" spans="1:1" ht="12.95">
      <c r="A286" s="11"/>
    </row>
    <row r="287" spans="1:1" ht="12.95">
      <c r="A287" s="11"/>
    </row>
    <row r="288" spans="1:1" ht="12.95">
      <c r="A288" s="11"/>
    </row>
    <row r="289" spans="1:1" ht="12.95">
      <c r="A289" s="11"/>
    </row>
    <row r="290" spans="1:1" ht="12.95">
      <c r="A290" s="11"/>
    </row>
    <row r="291" spans="1:1" ht="12.95">
      <c r="A291" s="11"/>
    </row>
    <row r="292" spans="1:1" ht="12.95">
      <c r="A292" s="11"/>
    </row>
    <row r="293" spans="1:1" ht="12.95">
      <c r="A293" s="11"/>
    </row>
    <row r="294" spans="1:1" ht="12.95">
      <c r="A294" s="11"/>
    </row>
    <row r="295" spans="1:1" ht="12.95">
      <c r="A295" s="11"/>
    </row>
    <row r="296" spans="1:1" ht="12.95">
      <c r="A296" s="11"/>
    </row>
    <row r="297" spans="1:1" ht="12.95">
      <c r="A297" s="11"/>
    </row>
    <row r="298" spans="1:1" ht="12.95">
      <c r="A298" s="11"/>
    </row>
    <row r="299" spans="1:1" ht="12.95">
      <c r="A299" s="11"/>
    </row>
    <row r="300" spans="1:1" ht="12.95">
      <c r="A300" s="11"/>
    </row>
    <row r="301" spans="1:1" ht="12.95">
      <c r="A301" s="11"/>
    </row>
    <row r="302" spans="1:1" ht="12.95">
      <c r="A302" s="11"/>
    </row>
    <row r="303" spans="1:1" ht="12.95">
      <c r="A303" s="11"/>
    </row>
    <row r="304" spans="1:1" ht="12.95">
      <c r="A304" s="11"/>
    </row>
    <row r="305" spans="1:1" ht="12.95">
      <c r="A305" s="11"/>
    </row>
    <row r="306" spans="1:1" ht="12.95">
      <c r="A306" s="11"/>
    </row>
    <row r="307" spans="1:1" ht="12.95">
      <c r="A307" s="11"/>
    </row>
    <row r="308" spans="1:1" ht="12.95">
      <c r="A308" s="11"/>
    </row>
    <row r="309" spans="1:1" ht="12.95">
      <c r="A309" s="11"/>
    </row>
    <row r="310" spans="1:1" ht="12.95">
      <c r="A310" s="11"/>
    </row>
    <row r="311" spans="1:1" ht="12.95">
      <c r="A311" s="11"/>
    </row>
    <row r="312" spans="1:1" ht="12.95">
      <c r="A312" s="11"/>
    </row>
    <row r="313" spans="1:1" ht="12.95">
      <c r="A313" s="11"/>
    </row>
    <row r="314" spans="1:1" ht="12.95">
      <c r="A314" s="11"/>
    </row>
    <row r="315" spans="1:1" ht="12.95">
      <c r="A315" s="11"/>
    </row>
    <row r="316" spans="1:1" ht="12.95">
      <c r="A316" s="11"/>
    </row>
    <row r="317" spans="1:1" ht="12.95">
      <c r="A317" s="11"/>
    </row>
    <row r="318" spans="1:1" ht="12.95">
      <c r="A318" s="11"/>
    </row>
    <row r="319" spans="1:1" ht="12.95">
      <c r="A319" s="11"/>
    </row>
    <row r="320" spans="1:1" ht="12.95">
      <c r="A320" s="11"/>
    </row>
    <row r="321" spans="1:1" ht="12.95">
      <c r="A321" s="11"/>
    </row>
    <row r="322" spans="1:1" ht="12.95">
      <c r="A322" s="11"/>
    </row>
    <row r="323" spans="1:1" ht="12.95">
      <c r="A323" s="10"/>
    </row>
    <row r="324" spans="1:1" ht="12.95">
      <c r="A324" s="10"/>
    </row>
    <row r="325" spans="1:1" ht="12.95">
      <c r="A325" s="11"/>
    </row>
    <row r="326" spans="1:1" ht="12.95">
      <c r="A326" s="10"/>
    </row>
    <row r="327" spans="1:1" ht="12.95">
      <c r="A327" s="11"/>
    </row>
    <row r="328" spans="1:1" ht="12.95">
      <c r="A328" s="11"/>
    </row>
    <row r="329" spans="1:1" ht="12.95">
      <c r="A329" s="11"/>
    </row>
    <row r="330" spans="1:1" ht="12.95">
      <c r="A330" s="11"/>
    </row>
    <row r="331" spans="1:1" ht="12.95">
      <c r="A331" s="11"/>
    </row>
    <row r="332" spans="1:1" ht="12.95">
      <c r="A332" s="11"/>
    </row>
    <row r="333" spans="1:1" ht="12.95">
      <c r="A333" s="11"/>
    </row>
    <row r="334" spans="1:1" ht="12.95">
      <c r="A334" s="11"/>
    </row>
    <row r="335" spans="1:1" ht="12.95">
      <c r="A335" s="11"/>
    </row>
    <row r="336" spans="1:1" ht="12.95">
      <c r="A336" s="11"/>
    </row>
    <row r="337" spans="1:1" ht="12.95">
      <c r="A337" s="11"/>
    </row>
    <row r="338" spans="1:1" ht="12.95">
      <c r="A338" s="11"/>
    </row>
    <row r="339" spans="1:1" ht="12.95">
      <c r="A339" s="11"/>
    </row>
    <row r="340" spans="1:1" ht="12.95">
      <c r="A340" s="11"/>
    </row>
    <row r="341" spans="1:1" ht="12.95">
      <c r="A341" s="11"/>
    </row>
    <row r="342" spans="1:1" ht="12.95">
      <c r="A342" s="11"/>
    </row>
    <row r="343" spans="1:1" ht="12.95">
      <c r="A343" s="11"/>
    </row>
    <row r="344" spans="1:1" ht="12.95">
      <c r="A344" s="11"/>
    </row>
    <row r="345" spans="1:1" ht="12.95">
      <c r="A345" s="11"/>
    </row>
    <row r="346" spans="1:1" ht="12.95">
      <c r="A346" s="11"/>
    </row>
    <row r="347" spans="1:1" ht="12.95">
      <c r="A347" s="10"/>
    </row>
    <row r="348" spans="1:1" ht="12.95">
      <c r="A348" s="10"/>
    </row>
    <row r="349" spans="1:1" ht="12.95">
      <c r="A349" s="10"/>
    </row>
    <row r="350" spans="1:1" ht="12.95">
      <c r="A350" s="11"/>
    </row>
    <row r="351" spans="1:1" ht="12.95">
      <c r="A351" s="11"/>
    </row>
    <row r="352" spans="1:1" ht="12.95">
      <c r="A352" s="10"/>
    </row>
    <row r="353" spans="1:26" ht="12.95">
      <c r="A353" s="10"/>
    </row>
    <row r="354" spans="1:26" ht="12.95">
      <c r="A354" s="10"/>
    </row>
    <row r="355" spans="1:26" ht="12.95">
      <c r="A355" s="11"/>
    </row>
    <row r="356" spans="1:26" ht="12.95">
      <c r="A356" s="11"/>
    </row>
    <row r="357" spans="1:26" ht="12.95">
      <c r="A357" s="11"/>
    </row>
    <row r="358" spans="1:26" ht="12.95">
      <c r="A358" s="11"/>
    </row>
    <row r="359" spans="1:26" ht="12.95">
      <c r="A359" s="11"/>
    </row>
    <row r="360" spans="1:26" ht="12.95">
      <c r="A360" s="11"/>
    </row>
    <row r="361" spans="1:26" ht="12.95">
      <c r="A361" s="11"/>
    </row>
    <row r="362" spans="1:26" ht="12.95">
      <c r="A362" s="11"/>
    </row>
    <row r="363" spans="1:26" ht="12.95">
      <c r="A363" s="11"/>
    </row>
    <row r="364" spans="1:26" ht="12.95">
      <c r="A364" s="11"/>
    </row>
    <row r="365" spans="1:26" ht="12.95">
      <c r="A365" s="11"/>
    </row>
    <row r="366" spans="1:26" ht="12.95">
      <c r="A366" s="11"/>
    </row>
    <row r="367" spans="1:26" ht="12.95">
      <c r="A367" s="11"/>
    </row>
    <row r="368" spans="1:26">
      <c r="A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1" ht="12.95">
      <c r="A369" s="11"/>
    </row>
    <row r="370" spans="1:1" ht="12.95">
      <c r="A370" s="11"/>
    </row>
    <row r="371" spans="1:1" ht="12.95">
      <c r="A371" s="11"/>
    </row>
    <row r="372" spans="1:1" ht="12.95">
      <c r="A372" s="11"/>
    </row>
    <row r="373" spans="1:1" ht="12.95">
      <c r="A373" s="11"/>
    </row>
    <row r="374" spans="1:1" ht="12.95">
      <c r="A374" s="11"/>
    </row>
    <row r="375" spans="1:1" ht="12.95">
      <c r="A375" s="11"/>
    </row>
    <row r="376" spans="1:1" ht="12.95">
      <c r="A376" s="11"/>
    </row>
    <row r="377" spans="1:1" ht="12.95">
      <c r="A377" s="11"/>
    </row>
    <row r="378" spans="1:1" ht="12.95">
      <c r="A378" s="11"/>
    </row>
    <row r="379" spans="1:1" ht="12.95">
      <c r="A379" s="11"/>
    </row>
    <row r="380" spans="1:1" ht="12.95">
      <c r="A380" s="11"/>
    </row>
    <row r="381" spans="1:1" ht="12.95">
      <c r="A381" s="11"/>
    </row>
    <row r="382" spans="1:1" ht="12.95">
      <c r="A382" s="11"/>
    </row>
    <row r="383" spans="1:1" ht="12.95">
      <c r="A383" s="11"/>
    </row>
    <row r="384" spans="1:1" ht="12.95">
      <c r="A384" s="11"/>
    </row>
    <row r="385" spans="1:1" ht="12.95">
      <c r="A385" s="11"/>
    </row>
    <row r="386" spans="1:1" ht="12.95">
      <c r="A386" s="11"/>
    </row>
    <row r="387" spans="1:1" ht="12.95">
      <c r="A387" s="11"/>
    </row>
    <row r="388" spans="1:1" ht="12.95">
      <c r="A388" s="11"/>
    </row>
    <row r="389" spans="1:1" ht="12.95">
      <c r="A389" s="11"/>
    </row>
    <row r="390" spans="1:1" ht="12.95">
      <c r="A390" s="11"/>
    </row>
    <row r="391" spans="1:1" ht="12.95">
      <c r="A391" s="11"/>
    </row>
    <row r="392" spans="1:1" ht="12.95">
      <c r="A392" s="11"/>
    </row>
    <row r="393" spans="1:1" ht="12.95">
      <c r="A393" s="11"/>
    </row>
    <row r="394" spans="1:1" ht="12.95">
      <c r="A394" s="11"/>
    </row>
    <row r="395" spans="1:1" ht="12.95">
      <c r="A395" s="11"/>
    </row>
    <row r="396" spans="1:1" ht="12.95">
      <c r="A396" s="11"/>
    </row>
    <row r="397" spans="1:1" ht="12.95">
      <c r="A397" s="11"/>
    </row>
    <row r="398" spans="1:1" ht="12.95">
      <c r="A398" s="11"/>
    </row>
    <row r="399" spans="1:1" ht="12.95">
      <c r="A399" s="11"/>
    </row>
    <row r="400" spans="1:1" ht="12.95">
      <c r="A400" s="11"/>
    </row>
    <row r="401" spans="1:1" ht="12.95">
      <c r="A401" s="11"/>
    </row>
    <row r="402" spans="1:1" ht="12.95">
      <c r="A402" s="11"/>
    </row>
    <row r="403" spans="1:1" ht="12.95">
      <c r="A403" s="11"/>
    </row>
    <row r="404" spans="1:1" ht="12.95">
      <c r="A404" s="11"/>
    </row>
    <row r="405" spans="1:1" ht="12.95">
      <c r="A405" s="11"/>
    </row>
    <row r="406" spans="1:1" ht="12.95">
      <c r="A406" s="11"/>
    </row>
    <row r="407" spans="1:1" ht="12.95">
      <c r="A407" s="11"/>
    </row>
    <row r="408" spans="1:1" ht="12.95">
      <c r="A408" s="11"/>
    </row>
    <row r="409" spans="1:1" ht="12.95">
      <c r="A409" s="11"/>
    </row>
    <row r="410" spans="1:1" ht="12.95">
      <c r="A410" s="11"/>
    </row>
    <row r="411" spans="1:1" ht="12.95">
      <c r="A411" s="11"/>
    </row>
    <row r="412" spans="1:1" ht="12.95">
      <c r="A412" s="11"/>
    </row>
    <row r="413" spans="1:1" ht="12.95">
      <c r="A413" s="11"/>
    </row>
    <row r="414" spans="1:1" ht="12.95">
      <c r="A414" s="11"/>
    </row>
    <row r="415" spans="1:1" ht="12.95">
      <c r="A415" s="11"/>
    </row>
    <row r="416" spans="1:1" ht="12.95">
      <c r="A416" s="11"/>
    </row>
    <row r="417" spans="1:2" ht="12.95">
      <c r="A417" s="11"/>
    </row>
    <row r="418" spans="1:2" ht="12.95">
      <c r="A418" s="11"/>
    </row>
    <row r="419" spans="1:2" ht="12.95">
      <c r="A419" s="11"/>
      <c r="B419" s="12"/>
    </row>
    <row r="420" spans="1:2" ht="12.95">
      <c r="A420" s="11"/>
      <c r="B420" s="12"/>
    </row>
    <row r="421" spans="1:2" ht="12.95">
      <c r="A421" s="11"/>
      <c r="B421" s="12"/>
    </row>
    <row r="422" spans="1:2" ht="12.95">
      <c r="A422" s="11"/>
    </row>
    <row r="423" spans="1:2" ht="12.95">
      <c r="A423" s="11"/>
    </row>
    <row r="424" spans="1:2" ht="12.95">
      <c r="A424" s="11"/>
    </row>
    <row r="425" spans="1:2" ht="12.95">
      <c r="A425" s="11"/>
    </row>
    <row r="426" spans="1:2" ht="12.95">
      <c r="A426" s="11"/>
    </row>
    <row r="427" spans="1:2" ht="12.95">
      <c r="A427" s="11"/>
    </row>
    <row r="428" spans="1:2" ht="12.95">
      <c r="A428" s="11"/>
    </row>
    <row r="429" spans="1:2" ht="12.95">
      <c r="A429" s="11"/>
    </row>
    <row r="430" spans="1:2" ht="12.95">
      <c r="A430" s="11"/>
    </row>
    <row r="431" spans="1:2" ht="12.95">
      <c r="A431" s="11"/>
    </row>
    <row r="432" spans="1:2" ht="12.95">
      <c r="A432" s="11"/>
    </row>
    <row r="433" spans="1:1" ht="12.95">
      <c r="A433" s="11"/>
    </row>
    <row r="434" spans="1:1" ht="12.95">
      <c r="A434" s="11"/>
    </row>
    <row r="435" spans="1:1" ht="12.95">
      <c r="A435" s="11"/>
    </row>
    <row r="436" spans="1:1" ht="12.95">
      <c r="A436" s="11"/>
    </row>
    <row r="437" spans="1:1" ht="12.95">
      <c r="A437" s="11"/>
    </row>
    <row r="438" spans="1:1" ht="12.95">
      <c r="A438" s="11"/>
    </row>
    <row r="439" spans="1:1" ht="12.95">
      <c r="A439" s="11"/>
    </row>
    <row r="440" spans="1:1" ht="12.95">
      <c r="A440" s="11"/>
    </row>
    <row r="441" spans="1:1" ht="12.95">
      <c r="A441" s="11"/>
    </row>
    <row r="442" spans="1:1" ht="12.95">
      <c r="A442" s="11"/>
    </row>
    <row r="443" spans="1:1" ht="12.95">
      <c r="A443" s="11"/>
    </row>
    <row r="444" spans="1:1" ht="12.95">
      <c r="A444" s="10"/>
    </row>
    <row r="445" spans="1:1" ht="12.95">
      <c r="A445" s="11"/>
    </row>
    <row r="446" spans="1:1" ht="12.95">
      <c r="A446" s="11"/>
    </row>
    <row r="447" spans="1:1" ht="12.95">
      <c r="A447" s="11"/>
    </row>
    <row r="448" spans="1:1" ht="12.95">
      <c r="A448" s="11"/>
    </row>
    <row r="449" spans="1:2" ht="12.95">
      <c r="A449" s="11"/>
    </row>
    <row r="450" spans="1:2" ht="12.95">
      <c r="A450" s="11"/>
    </row>
    <row r="451" spans="1:2" ht="12.95">
      <c r="A451" s="11"/>
    </row>
    <row r="452" spans="1:2" ht="12.95">
      <c r="A452" s="11"/>
    </row>
    <row r="453" spans="1:2" ht="12.95">
      <c r="A453" s="11"/>
      <c r="B453" s="13"/>
    </row>
    <row r="454" spans="1:2">
      <c r="A454" s="14"/>
    </row>
    <row r="455" spans="1:2">
      <c r="A455" s="14"/>
    </row>
    <row r="456" spans="1:2">
      <c r="A456" s="14"/>
    </row>
    <row r="459" spans="1:2" ht="12.95">
      <c r="A459" s="7"/>
      <c r="B459" s="7"/>
    </row>
  </sheetData>
  <mergeCells count="1">
    <mergeCell ref="A1:A4"/>
  </mergeCells>
  <phoneticPr fontId="26" type="noConversion"/>
  <pageMargins left="0.7" right="0.7" top="0.75" bottom="0.75" header="0.3" footer="0.3"/>
  <pageSetup orientation="portrait" r:id="rId1"/>
  <headerFooter>
    <oddFooter>&amp;C&amp;1#&amp;"Arial"&amp;8&amp;K001753Nokia internal use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199"/>
  <sheetViews>
    <sheetView workbookViewId="0">
      <selection activeCell="A7" sqref="A7"/>
    </sheetView>
  </sheetViews>
  <sheetFormatPr defaultRowHeight="14.45"/>
  <cols>
    <col min="1" max="1" width="48.5703125" customWidth="1"/>
  </cols>
  <sheetData>
    <row r="1" spans="1:6">
      <c r="A1" s="189" t="s">
        <v>16</v>
      </c>
      <c r="B1" s="189"/>
      <c r="C1" s="189"/>
      <c r="D1" s="189"/>
      <c r="E1" s="189"/>
      <c r="F1" s="190"/>
    </row>
    <row r="3" spans="1:6">
      <c r="A3" s="189" t="s">
        <v>17</v>
      </c>
      <c r="B3" s="189"/>
      <c r="C3" s="189"/>
      <c r="D3" s="189"/>
      <c r="E3" s="189"/>
      <c r="F3" s="190"/>
    </row>
    <row r="4" spans="1:6">
      <c r="A4" s="74" t="s">
        <v>18</v>
      </c>
    </row>
    <row r="5" spans="1:6">
      <c r="A5" s="74"/>
    </row>
    <row r="6" spans="1:6">
      <c r="A6" s="165" t="s">
        <v>19</v>
      </c>
      <c r="B6" s="166"/>
      <c r="C6" s="166"/>
      <c r="D6" s="166"/>
      <c r="E6" s="166"/>
      <c r="F6" s="166"/>
    </row>
    <row r="7" spans="1:6">
      <c r="A7" s="132" t="s">
        <v>20</v>
      </c>
    </row>
    <row r="8" spans="1:6">
      <c r="A8" s="132" t="s">
        <v>21</v>
      </c>
    </row>
    <row r="9" spans="1:6">
      <c r="A9" s="132" t="s">
        <v>22</v>
      </c>
    </row>
    <row r="10" spans="1:6">
      <c r="A10" s="132" t="s">
        <v>23</v>
      </c>
    </row>
    <row r="11" spans="1:6">
      <c r="A11" s="132" t="s">
        <v>24</v>
      </c>
    </row>
    <row r="12" spans="1:6">
      <c r="A12" s="132" t="s">
        <v>25</v>
      </c>
    </row>
    <row r="13" spans="1:6">
      <c r="A13" s="132" t="s">
        <v>26</v>
      </c>
    </row>
    <row r="14" spans="1:6">
      <c r="A14" s="132" t="s">
        <v>27</v>
      </c>
    </row>
    <row r="15" spans="1:6">
      <c r="A15" s="132" t="s">
        <v>28</v>
      </c>
    </row>
    <row r="16" spans="1:6">
      <c r="A16" s="132" t="s">
        <v>29</v>
      </c>
    </row>
    <row r="17" spans="1:6">
      <c r="A17" s="132" t="s">
        <v>30</v>
      </c>
    </row>
    <row r="18" spans="1:6">
      <c r="A18" s="132" t="s">
        <v>31</v>
      </c>
    </row>
    <row r="19" spans="1:6">
      <c r="A19" s="132" t="s">
        <v>32</v>
      </c>
    </row>
    <row r="20" spans="1:6">
      <c r="A20" s="132" t="s">
        <v>33</v>
      </c>
    </row>
    <row r="21" spans="1:6">
      <c r="A21" s="132" t="s">
        <v>34</v>
      </c>
    </row>
    <row r="22" spans="1:6">
      <c r="A22" s="132" t="s">
        <v>35</v>
      </c>
    </row>
    <row r="23" spans="1:6">
      <c r="A23" s="132" t="s">
        <v>36</v>
      </c>
    </row>
    <row r="24" spans="1:6">
      <c r="A24" s="132" t="s">
        <v>37</v>
      </c>
    </row>
    <row r="25" spans="1:6">
      <c r="A25" s="74"/>
    </row>
    <row r="26" spans="1:6">
      <c r="A26" s="74"/>
    </row>
    <row r="27" spans="1:6">
      <c r="A27" s="74"/>
    </row>
    <row r="28" spans="1:6">
      <c r="A28" s="74"/>
    </row>
    <row r="29" spans="1:6">
      <c r="A29" s="165"/>
      <c r="B29" s="166"/>
      <c r="C29" s="166"/>
      <c r="D29" s="166"/>
      <c r="E29" s="166"/>
      <c r="F29" s="166"/>
    </row>
    <row r="30" spans="1:6">
      <c r="A30" s="132"/>
      <c r="B30" s="131"/>
      <c r="C30" s="131"/>
      <c r="D30" s="131"/>
      <c r="E30" s="131"/>
      <c r="F30" s="131"/>
    </row>
    <row r="31" spans="1:6">
      <c r="A31" s="132"/>
      <c r="B31" s="131"/>
      <c r="C31" s="131"/>
      <c r="D31" s="131"/>
      <c r="E31" s="131"/>
      <c r="F31" s="131"/>
    </row>
    <row r="32" spans="1:6">
      <c r="A32" s="132"/>
      <c r="B32" s="131"/>
      <c r="C32" s="131"/>
      <c r="D32" s="131"/>
      <c r="E32" s="131"/>
      <c r="F32" s="131"/>
    </row>
    <row r="33" spans="1:6">
      <c r="A33" s="132"/>
      <c r="B33" s="131"/>
      <c r="C33" s="131"/>
      <c r="D33" s="131"/>
      <c r="E33" s="131"/>
      <c r="F33" s="131"/>
    </row>
    <row r="34" spans="1:6">
      <c r="A34" s="132"/>
      <c r="B34" s="131"/>
      <c r="C34" s="131"/>
      <c r="D34" s="131"/>
      <c r="E34" s="131"/>
      <c r="F34" s="131"/>
    </row>
    <row r="35" spans="1:6">
      <c r="A35" s="132"/>
      <c r="B35" s="131"/>
      <c r="C35" s="131"/>
      <c r="D35" s="131"/>
      <c r="E35" s="131"/>
      <c r="F35" s="131"/>
    </row>
    <row r="36" spans="1:6">
      <c r="A36" s="132"/>
      <c r="B36" s="131"/>
      <c r="C36" s="131"/>
      <c r="D36" s="131"/>
      <c r="E36" s="131"/>
      <c r="F36" s="131"/>
    </row>
    <row r="37" spans="1:6">
      <c r="A37" s="132"/>
      <c r="B37" s="131"/>
      <c r="C37" s="131"/>
      <c r="D37" s="131"/>
      <c r="E37" s="131"/>
      <c r="F37" s="131"/>
    </row>
    <row r="38" spans="1:6">
      <c r="A38" s="132"/>
      <c r="B38" s="131"/>
      <c r="C38" s="131"/>
      <c r="D38" s="131"/>
      <c r="E38" s="131"/>
      <c r="F38" s="131"/>
    </row>
    <row r="39" spans="1:6">
      <c r="A39" s="132"/>
      <c r="B39" s="131"/>
      <c r="C39" s="131"/>
      <c r="D39" s="131"/>
      <c r="E39" s="131"/>
      <c r="F39" s="131"/>
    </row>
    <row r="40" spans="1:6">
      <c r="A40" s="132"/>
      <c r="B40" s="131"/>
      <c r="C40" s="131"/>
      <c r="D40" s="131"/>
      <c r="E40" s="131"/>
      <c r="F40" s="131"/>
    </row>
    <row r="41" spans="1:6">
      <c r="A41" s="132"/>
      <c r="B41" s="131"/>
      <c r="C41" s="131"/>
      <c r="D41" s="131"/>
      <c r="E41" s="131"/>
      <c r="F41" s="131"/>
    </row>
    <row r="42" spans="1:6">
      <c r="A42" s="132"/>
      <c r="B42" s="131"/>
      <c r="C42" s="131"/>
      <c r="D42" s="131"/>
      <c r="E42" s="131"/>
      <c r="F42" s="131"/>
    </row>
    <row r="43" spans="1:6">
      <c r="A43" s="132"/>
      <c r="B43" s="131"/>
      <c r="C43" s="131"/>
      <c r="D43" s="131"/>
      <c r="E43" s="131"/>
      <c r="F43" s="131"/>
    </row>
    <row r="44" spans="1:6">
      <c r="A44" s="132"/>
    </row>
    <row r="45" spans="1:6">
      <c r="A45" s="132"/>
    </row>
    <row r="46" spans="1:6">
      <c r="A46" s="132"/>
    </row>
    <row r="47" spans="1:6">
      <c r="A47" s="74"/>
    </row>
    <row r="48" spans="1:6">
      <c r="A48" s="165"/>
      <c r="B48" s="166"/>
      <c r="C48" s="166"/>
      <c r="D48" s="166"/>
      <c r="E48" s="166"/>
      <c r="F48" s="166"/>
    </row>
    <row r="49" spans="1:6">
      <c r="A49" s="132"/>
      <c r="B49" s="131"/>
      <c r="C49" s="131"/>
      <c r="D49" s="131"/>
      <c r="E49" s="131"/>
      <c r="F49" s="131"/>
    </row>
    <row r="50" spans="1:6">
      <c r="A50" s="132"/>
      <c r="B50" s="131"/>
      <c r="C50" s="131"/>
      <c r="D50" s="131"/>
      <c r="E50" s="131"/>
      <c r="F50" s="131"/>
    </row>
    <row r="51" spans="1:6">
      <c r="A51" s="132"/>
      <c r="B51" s="131"/>
      <c r="C51" s="131"/>
      <c r="D51" s="131"/>
      <c r="E51" s="131"/>
      <c r="F51" s="131"/>
    </row>
    <row r="52" spans="1:6">
      <c r="A52" s="132"/>
      <c r="B52" s="131"/>
      <c r="C52" s="131"/>
      <c r="D52" s="131"/>
      <c r="E52" s="131"/>
      <c r="F52" s="131"/>
    </row>
    <row r="53" spans="1:6">
      <c r="A53" s="132"/>
      <c r="B53" s="131"/>
      <c r="C53" s="131"/>
      <c r="D53" s="131"/>
      <c r="E53" s="131"/>
      <c r="F53" s="131"/>
    </row>
    <row r="54" spans="1:6">
      <c r="A54" s="132"/>
      <c r="B54" s="131"/>
      <c r="C54" s="131"/>
      <c r="D54" s="131"/>
      <c r="E54" s="131"/>
      <c r="F54" s="131"/>
    </row>
    <row r="55" spans="1:6">
      <c r="A55" s="132"/>
      <c r="B55" s="131"/>
      <c r="C55" s="131"/>
      <c r="D55" s="131"/>
      <c r="E55" s="131"/>
      <c r="F55" s="131"/>
    </row>
    <row r="56" spans="1:6">
      <c r="A56" s="132"/>
      <c r="B56" s="131"/>
      <c r="C56" s="131"/>
      <c r="D56" s="131"/>
      <c r="E56" s="131"/>
      <c r="F56" s="131"/>
    </row>
    <row r="57" spans="1:6">
      <c r="A57" s="132"/>
      <c r="B57" s="131"/>
      <c r="C57" s="131"/>
      <c r="D57" s="131"/>
      <c r="E57" s="131"/>
      <c r="F57" s="131"/>
    </row>
    <row r="58" spans="1:6">
      <c r="A58" s="132"/>
      <c r="B58" s="131"/>
      <c r="C58" s="131"/>
      <c r="D58" s="131"/>
      <c r="E58" s="131"/>
      <c r="F58" s="131"/>
    </row>
    <row r="59" spans="1:6">
      <c r="A59" s="132"/>
      <c r="B59" s="131"/>
      <c r="C59" s="131"/>
      <c r="D59" s="131"/>
      <c r="E59" s="131"/>
      <c r="F59" s="131"/>
    </row>
    <row r="60" spans="1:6">
      <c r="A60" s="132"/>
      <c r="B60" s="131"/>
      <c r="C60" s="131"/>
      <c r="D60" s="131"/>
      <c r="E60" s="131"/>
      <c r="F60" s="131"/>
    </row>
    <row r="61" spans="1:6">
      <c r="A61" s="132"/>
      <c r="B61" s="131"/>
      <c r="C61" s="131"/>
      <c r="D61" s="131"/>
      <c r="E61" s="131"/>
      <c r="F61" s="131"/>
    </row>
    <row r="62" spans="1:6">
      <c r="A62" s="132"/>
    </row>
    <row r="63" spans="1:6">
      <c r="A63" s="132"/>
    </row>
    <row r="64" spans="1:6">
      <c r="A64" s="132"/>
    </row>
    <row r="65" spans="1:6">
      <c r="A65" s="74"/>
    </row>
    <row r="66" spans="1:6">
      <c r="A66" s="189"/>
      <c r="B66" s="189"/>
      <c r="C66" s="189"/>
      <c r="D66" s="189"/>
      <c r="E66" s="189"/>
      <c r="F66" s="189"/>
    </row>
    <row r="67" spans="1:6">
      <c r="A67" s="74"/>
    </row>
    <row r="68" spans="1:6">
      <c r="A68" s="74"/>
    </row>
    <row r="69" spans="1:6">
      <c r="A69" s="74"/>
    </row>
    <row r="70" spans="1:6">
      <c r="A70" s="74"/>
    </row>
    <row r="71" spans="1:6">
      <c r="A71" s="74"/>
    </row>
    <row r="72" spans="1:6">
      <c r="A72" s="74"/>
    </row>
    <row r="73" spans="1:6">
      <c r="A73" s="74"/>
    </row>
    <row r="74" spans="1:6">
      <c r="A74" s="74"/>
    </row>
    <row r="75" spans="1:6">
      <c r="A75" s="74"/>
    </row>
    <row r="76" spans="1:6">
      <c r="A76" s="74"/>
    </row>
    <row r="77" spans="1:6">
      <c r="A77" s="74"/>
    </row>
    <row r="78" spans="1:6">
      <c r="A78" s="74"/>
    </row>
    <row r="79" spans="1:6">
      <c r="A79" s="74"/>
    </row>
    <row r="80" spans="1:6">
      <c r="A80" s="74"/>
    </row>
    <row r="81" spans="1:6">
      <c r="A81" s="189"/>
      <c r="B81" s="189"/>
      <c r="C81" s="189"/>
      <c r="D81" s="189"/>
      <c r="E81" s="189"/>
      <c r="F81" s="189"/>
    </row>
    <row r="82" spans="1:6">
      <c r="A82" s="74"/>
    </row>
    <row r="83" spans="1:6">
      <c r="A83" s="74"/>
    </row>
    <row r="84" spans="1:6">
      <c r="A84" s="74"/>
    </row>
    <row r="85" spans="1:6">
      <c r="A85" s="74"/>
    </row>
    <row r="86" spans="1:6">
      <c r="A86" s="74"/>
    </row>
    <row r="87" spans="1:6">
      <c r="A87" s="74"/>
    </row>
    <row r="88" spans="1:6">
      <c r="A88" s="74"/>
    </row>
    <row r="89" spans="1:6">
      <c r="A89" s="74"/>
    </row>
    <row r="90" spans="1:6">
      <c r="A90" s="74"/>
    </row>
    <row r="91" spans="1:6">
      <c r="A91" s="74"/>
    </row>
    <row r="92" spans="1:6">
      <c r="A92" s="74"/>
    </row>
    <row r="93" spans="1:6">
      <c r="A93" s="74"/>
    </row>
    <row r="94" spans="1:6">
      <c r="A94" s="74"/>
    </row>
    <row r="95" spans="1:6">
      <c r="A95" s="189"/>
      <c r="B95" s="189"/>
      <c r="C95" s="189"/>
      <c r="D95" s="189"/>
      <c r="E95" s="189"/>
      <c r="F95" s="190"/>
    </row>
    <row r="96" spans="1:6">
      <c r="A96" s="74"/>
    </row>
    <row r="97" spans="1:6">
      <c r="A97" s="74"/>
    </row>
    <row r="98" spans="1:6">
      <c r="A98" s="74"/>
    </row>
    <row r="99" spans="1:6">
      <c r="A99" s="74"/>
    </row>
    <row r="100" spans="1:6">
      <c r="A100" s="74"/>
    </row>
    <row r="101" spans="1:6">
      <c r="A101" s="74"/>
    </row>
    <row r="102" spans="1:6">
      <c r="A102" s="74"/>
    </row>
    <row r="103" spans="1:6">
      <c r="A103" s="74"/>
    </row>
    <row r="104" spans="1:6">
      <c r="A104" s="74"/>
    </row>
    <row r="105" spans="1:6">
      <c r="A105" s="74"/>
    </row>
    <row r="106" spans="1:6">
      <c r="A106" s="74"/>
    </row>
    <row r="107" spans="1:6">
      <c r="A107" s="74"/>
    </row>
    <row r="108" spans="1:6">
      <c r="A108" s="74"/>
    </row>
    <row r="109" spans="1:6">
      <c r="A109" s="189"/>
      <c r="B109" s="189"/>
      <c r="C109" s="189"/>
      <c r="D109" s="189"/>
      <c r="E109" s="189"/>
      <c r="F109" s="190"/>
    </row>
    <row r="110" spans="1:6">
      <c r="A110" s="74"/>
    </row>
    <row r="111" spans="1:6">
      <c r="A111" s="74"/>
    </row>
    <row r="112" spans="1:6">
      <c r="A112" s="74"/>
    </row>
    <row r="113" spans="1:6">
      <c r="A113" s="74"/>
    </row>
    <row r="114" spans="1:6">
      <c r="A114" s="74"/>
    </row>
    <row r="115" spans="1:6">
      <c r="A115" s="74"/>
    </row>
    <row r="116" spans="1:6">
      <c r="A116" s="74"/>
    </row>
    <row r="117" spans="1:6">
      <c r="A117" s="74"/>
    </row>
    <row r="118" spans="1:6">
      <c r="A118" s="74"/>
    </row>
    <row r="119" spans="1:6">
      <c r="A119" s="74"/>
    </row>
    <row r="120" spans="1:6">
      <c r="A120" s="74"/>
    </row>
    <row r="121" spans="1:6">
      <c r="A121" s="74"/>
    </row>
    <row r="123" spans="1:6">
      <c r="A123" s="189"/>
      <c r="B123" s="189"/>
      <c r="C123" s="189"/>
      <c r="D123" s="189"/>
      <c r="E123" s="189"/>
      <c r="F123" s="190"/>
    </row>
    <row r="124" spans="1:6">
      <c r="A124" s="74"/>
    </row>
    <row r="125" spans="1:6">
      <c r="A125" s="74"/>
    </row>
    <row r="126" spans="1:6">
      <c r="A126" s="74"/>
    </row>
    <row r="127" spans="1:6">
      <c r="A127" s="74"/>
    </row>
    <row r="128" spans="1:6">
      <c r="A128" s="74"/>
    </row>
    <row r="129" spans="1:6">
      <c r="A129" s="74"/>
    </row>
    <row r="130" spans="1:6">
      <c r="A130" s="74"/>
    </row>
    <row r="131" spans="1:6">
      <c r="A131" s="74"/>
    </row>
    <row r="132" spans="1:6">
      <c r="A132" s="74"/>
    </row>
    <row r="134" spans="1:6">
      <c r="A134" s="189"/>
      <c r="B134" s="189"/>
      <c r="C134" s="189"/>
      <c r="D134" s="189"/>
      <c r="E134" s="189"/>
      <c r="F134" s="190"/>
    </row>
    <row r="135" spans="1:6">
      <c r="A135" s="74"/>
    </row>
    <row r="136" spans="1:6">
      <c r="A136" s="74"/>
    </row>
    <row r="137" spans="1:6">
      <c r="A137" s="74"/>
    </row>
    <row r="138" spans="1:6">
      <c r="A138" s="74"/>
    </row>
    <row r="139" spans="1:6">
      <c r="A139" s="74"/>
    </row>
    <row r="140" spans="1:6">
      <c r="A140" s="74"/>
    </row>
    <row r="141" spans="1:6">
      <c r="A141" s="74"/>
    </row>
    <row r="142" spans="1:6">
      <c r="A142" s="74"/>
    </row>
    <row r="143" spans="1:6">
      <c r="A143" s="74"/>
    </row>
    <row r="145" spans="1:6">
      <c r="A145" s="189"/>
      <c r="B145" s="189"/>
      <c r="C145" s="189"/>
      <c r="D145" s="189"/>
      <c r="E145" s="189"/>
      <c r="F145" s="190"/>
    </row>
    <row r="146" spans="1:6">
      <c r="A146" s="74"/>
    </row>
    <row r="147" spans="1:6">
      <c r="A147" s="74"/>
    </row>
    <row r="148" spans="1:6">
      <c r="A148" s="74"/>
    </row>
    <row r="149" spans="1:6">
      <c r="A149" s="74"/>
    </row>
    <row r="150" spans="1:6">
      <c r="A150" s="74"/>
    </row>
    <row r="151" spans="1:6">
      <c r="A151" s="74"/>
    </row>
    <row r="153" spans="1:6">
      <c r="A153" s="189"/>
      <c r="B153" s="189"/>
      <c r="C153" s="189"/>
      <c r="D153" s="189"/>
      <c r="E153" s="189"/>
      <c r="F153" s="190"/>
    </row>
    <row r="154" spans="1:6">
      <c r="A154" s="74"/>
    </row>
    <row r="155" spans="1:6">
      <c r="A155" s="74"/>
    </row>
    <row r="156" spans="1:6">
      <c r="A156" s="74"/>
    </row>
    <row r="157" spans="1:6">
      <c r="A157" s="74"/>
    </row>
    <row r="158" spans="1:6">
      <c r="A158" s="74"/>
    </row>
    <row r="159" spans="1:6">
      <c r="A159" s="74"/>
    </row>
    <row r="161" spans="1:6">
      <c r="A161" s="189"/>
      <c r="B161" s="189"/>
      <c r="C161" s="189"/>
      <c r="D161" s="189"/>
      <c r="E161" s="189"/>
      <c r="F161" s="190"/>
    </row>
    <row r="162" spans="1:6">
      <c r="A162" s="74"/>
    </row>
    <row r="163" spans="1:6">
      <c r="A163" s="74"/>
    </row>
    <row r="164" spans="1:6">
      <c r="A164" s="74"/>
    </row>
    <row r="166" spans="1:6">
      <c r="A166" s="189"/>
      <c r="B166" s="189"/>
      <c r="C166" s="189"/>
      <c r="D166" s="189"/>
      <c r="E166" s="189"/>
      <c r="F166" s="190"/>
    </row>
    <row r="167" spans="1:6">
      <c r="A167" s="74"/>
    </row>
    <row r="168" spans="1:6">
      <c r="A168" s="74"/>
    </row>
    <row r="169" spans="1:6">
      <c r="A169" s="74"/>
    </row>
    <row r="171" spans="1:6">
      <c r="A171" s="189"/>
      <c r="B171" s="189"/>
      <c r="C171" s="189"/>
      <c r="D171" s="189"/>
      <c r="E171" s="189"/>
      <c r="F171" s="190"/>
    </row>
    <row r="172" spans="1:6">
      <c r="A172" s="74"/>
    </row>
    <row r="173" spans="1:6">
      <c r="A173" s="74"/>
    </row>
    <row r="174" spans="1:6">
      <c r="A174" s="74"/>
    </row>
    <row r="176" spans="1:6">
      <c r="A176" s="189"/>
      <c r="B176" s="189"/>
      <c r="C176" s="189"/>
      <c r="D176" s="189"/>
      <c r="E176" s="189"/>
      <c r="F176" s="190"/>
    </row>
    <row r="177" spans="1:6">
      <c r="A177" s="74"/>
    </row>
    <row r="178" spans="1:6">
      <c r="A178" s="74"/>
    </row>
    <row r="179" spans="1:6">
      <c r="A179" s="74"/>
    </row>
    <row r="181" spans="1:6">
      <c r="A181" s="189"/>
      <c r="B181" s="189"/>
      <c r="C181" s="189"/>
      <c r="D181" s="189"/>
      <c r="E181" s="189"/>
      <c r="F181" s="190"/>
    </row>
    <row r="182" spans="1:6">
      <c r="A182" s="74"/>
    </row>
    <row r="183" spans="1:6">
      <c r="A183" s="74"/>
    </row>
    <row r="184" spans="1:6">
      <c r="A184" s="74"/>
    </row>
    <row r="186" spans="1:6">
      <c r="A186" s="189"/>
      <c r="B186" s="189"/>
      <c r="C186" s="189"/>
      <c r="D186" s="189"/>
      <c r="E186" s="189"/>
      <c r="F186" s="190"/>
    </row>
    <row r="187" spans="1:6">
      <c r="A187" s="74"/>
    </row>
    <row r="188" spans="1:6">
      <c r="A188" s="74"/>
    </row>
    <row r="189" spans="1:6">
      <c r="A189" s="74"/>
    </row>
    <row r="190" spans="1:6">
      <c r="A190" s="74"/>
    </row>
    <row r="191" spans="1:6">
      <c r="A191" s="189"/>
      <c r="B191" s="189"/>
      <c r="C191" s="189"/>
      <c r="D191" s="189"/>
      <c r="E191" s="189"/>
      <c r="F191" s="190"/>
    </row>
    <row r="192" spans="1:6">
      <c r="A192" s="74"/>
    </row>
    <row r="193" spans="1:6">
      <c r="A193" s="74"/>
    </row>
    <row r="194" spans="1:6">
      <c r="A194" s="74"/>
    </row>
    <row r="196" spans="1:6">
      <c r="A196" s="189"/>
      <c r="B196" s="189"/>
      <c r="C196" s="189"/>
      <c r="D196" s="189"/>
      <c r="E196" s="189"/>
      <c r="F196" s="190"/>
    </row>
    <row r="197" spans="1:6">
      <c r="A197" s="74"/>
    </row>
    <row r="198" spans="1:6">
      <c r="A198" s="74"/>
    </row>
    <row r="199" spans="1:6">
      <c r="A199" s="74"/>
    </row>
  </sheetData>
  <mergeCells count="21">
    <mergeCell ref="A186:F186"/>
    <mergeCell ref="A196:F196"/>
    <mergeCell ref="A191:F191"/>
    <mergeCell ref="A123:F123"/>
    <mergeCell ref="A134:F134"/>
    <mergeCell ref="A145:F145"/>
    <mergeCell ref="A153:F153"/>
    <mergeCell ref="A161:F161"/>
    <mergeCell ref="A166:F166"/>
    <mergeCell ref="A3:F3"/>
    <mergeCell ref="A1:F1"/>
    <mergeCell ref="A171:F171"/>
    <mergeCell ref="A176:F176"/>
    <mergeCell ref="A181:F181"/>
    <mergeCell ref="A109:F109"/>
    <mergeCell ref="A95:F95"/>
    <mergeCell ref="A81:F81"/>
    <mergeCell ref="A66:F66"/>
    <mergeCell ref="A48:F48"/>
    <mergeCell ref="A29:F29"/>
    <mergeCell ref="A6:F6"/>
  </mergeCells>
  <hyperlinks>
    <hyperlink ref="A4" location="'Cloud Configuration'!A1" display="Cloud Configuration" xr:uid="{00000000-0004-0000-0200-000036000000}"/>
    <hyperlink ref="A7" location="'Compact Single Node 24r3-NM'!A1" display="MantaRay 24R3 NM Compact" xr:uid="{EC79CB08-0B40-4A17-A621-2BBA681BFD2B}"/>
    <hyperlink ref="A8" location="'Small 24R3-NM'!A1" display="MantaRay 24R3 NM Small" xr:uid="{E1A1F042-9083-4928-ADB2-26865CE6A109}"/>
    <hyperlink ref="A9" location="'Mainstream 24R3-NM'!A1" display="MantaRay 24R3 NM Mainstream" xr:uid="{F1AC3BE0-5E40-452D-BFDE-FD0DD4A798F8}"/>
    <hyperlink ref="A10" location="'Large 24R3-NM'!A1" display="MantaRay 24R3 NM Large" xr:uid="{259F912B-8D44-46B2-8F99-D17A6136C88E}"/>
    <hyperlink ref="A11" location="'XXL 24R3-NM'!A1" display="MantaRay 24R3 NM XXL" xr:uid="{ED47DCCC-F869-404D-A103-FB28C26DCA51}"/>
    <hyperlink ref="A12" location="'3XL 24R3-NM'!A1" display="MantaRay 24R3 NM 3XL" xr:uid="{EF459D86-6DA9-49CE-BB7E-63719C868701}"/>
    <hyperlink ref="A15" location="'Small 24R3-NM SW on VMware'!A1" display="MantaRay 24R3 NM Small Cloud on VMware" xr:uid="{046EDBAB-9758-4B5E-981C-01172AA383E2}"/>
    <hyperlink ref="A16" location="'Small 24R3-NM SW on OpenStack'!A1" display="MantaRay 24R3 NM Small Cloud on OpenStack" xr:uid="{3B0F7062-79E9-47BB-8CD6-44DB3AE8D01A}"/>
    <hyperlink ref="A17" location="'Mainstream 24R3-NM SW on VMware'!A1" display="MantaRay 24R3 NM Mainstream Cloud on VMware" xr:uid="{33F13386-57C0-40A5-BC2E-07BC581F4793}"/>
    <hyperlink ref="A18" location="'Mainstream 24R3-NM SW OpenStack'!A1" display="MantaRay 24R3 NM Mainstream Cloud on OpenStack" xr:uid="{1F563ACD-EEF9-4BA6-BE52-FFF8904A93FC}"/>
    <hyperlink ref="A19" location="'Large 24R3-NM SW on VMware'!A1" display="MantaRay 24R3 NM Large Cloud on VMware" xr:uid="{D85FA974-FDF9-4930-98C4-76853EF47F13}"/>
    <hyperlink ref="A20" location="'Large 24R3-NM SW on OpenStack'!A1" display="MantaRay 24R3 NM Large Cloud on OpenStack" xr:uid="{D0B92FE8-783E-4F8C-9C0C-7C4D2D1C03AC}"/>
    <hyperlink ref="A21" location="'XXL 24R3-NM SW on VMware'!A1" display="MantaRay 24R3 NM XXL Cloud on VMware" xr:uid="{EB70E9AE-D3C4-456D-A67F-08AA24B3916C}"/>
    <hyperlink ref="A22" location="'XXL 24R3-NM SW on OpenStack'!A1" display="MantaRay 24R3 NM XXL Cloud on OpenStack" xr:uid="{63DFD371-FEF4-432C-9354-ECFAA21EEED9}"/>
    <hyperlink ref="A23" location="'3XL 24R3-NM SW on VMware'!A1" display="MantaRay 24R3 NM 3XL Cloud on Vmware" xr:uid="{D31D6CCA-8654-4256-AAE9-6C442DC6D86F}"/>
    <hyperlink ref="A24" location="'3XL 24R3-NM SW OpenStack-CBIS'!A1" display="MantaRay 24R3 NM 3XL Cloud on OpenStack CBIS" xr:uid="{F80984AB-7903-4C33-B9AE-261223883289}"/>
    <hyperlink ref="A14" location="'Compact 24R3-NM SW on VMware'!A1" display="MantaRay 24R3 NM Compact cloud on VMware" xr:uid="{23FBBBAD-C143-46D2-9613-70F8D5D136F1}"/>
    <hyperlink ref="A13" location="'3XL 24R3-NM 100K'!A_4TB" display="MantaRay 24R3 NM 3XL 100K" xr:uid="{04C7C46A-1C4D-4F4F-A7B4-E3229FD3C08C}"/>
  </hyperlinks>
  <pageMargins left="0.7" right="0.7" top="0.75" bottom="0.75" header="0.3" footer="0.3"/>
  <pageSetup paperSize="9" orientation="portrait" r:id="rId1"/>
  <headerFooter>
    <oddFooter>&amp;C&amp;1#&amp;"Arial"&amp;8&amp;K001753Nokia internal use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F34"/>
  <sheetViews>
    <sheetView topLeftCell="A27" zoomScale="85" zoomScaleNormal="85" workbookViewId="0">
      <selection activeCell="B29" sqref="B29"/>
    </sheetView>
  </sheetViews>
  <sheetFormatPr defaultColWidth="8.85546875" defaultRowHeight="12.6"/>
  <cols>
    <col min="1" max="1" width="40.140625" style="6" bestFit="1" customWidth="1"/>
    <col min="2" max="2" width="57" style="6" customWidth="1"/>
    <col min="3" max="3" width="13.85546875" style="6" bestFit="1" customWidth="1"/>
    <col min="4" max="4" width="25.140625" style="6" customWidth="1"/>
    <col min="5" max="5" width="59" style="6" customWidth="1"/>
    <col min="6" max="16384" width="8.85546875" style="6"/>
  </cols>
  <sheetData>
    <row r="1" spans="1:6" ht="12.95">
      <c r="A1" s="189" t="s">
        <v>38</v>
      </c>
      <c r="B1" s="189"/>
      <c r="C1" s="189"/>
      <c r="D1" s="189"/>
      <c r="E1" s="189"/>
      <c r="F1" s="190"/>
    </row>
    <row r="4" spans="1:6" ht="12.95">
      <c r="A4" s="23" t="s">
        <v>39</v>
      </c>
      <c r="B4" s="23" t="s">
        <v>40</v>
      </c>
      <c r="D4" s="23" t="s">
        <v>41</v>
      </c>
      <c r="E4" s="23" t="s">
        <v>40</v>
      </c>
    </row>
    <row r="5" spans="1:6" ht="44.1" customHeight="1">
      <c r="A5" s="15" t="s">
        <v>42</v>
      </c>
      <c r="B5" s="15" t="s">
        <v>43</v>
      </c>
      <c r="C5" s="15"/>
      <c r="D5" s="15" t="s">
        <v>44</v>
      </c>
      <c r="E5" s="15" t="s">
        <v>45</v>
      </c>
    </row>
    <row r="6" spans="1:6" ht="50.1" customHeight="1">
      <c r="A6" s="15" t="s">
        <v>46</v>
      </c>
      <c r="B6" s="15" t="s">
        <v>47</v>
      </c>
      <c r="C6" s="15"/>
      <c r="D6" s="15" t="s">
        <v>48</v>
      </c>
      <c r="E6" s="15" t="s">
        <v>49</v>
      </c>
    </row>
    <row r="7" spans="1:6" ht="29.1" customHeight="1">
      <c r="A7" s="15" t="s">
        <v>50</v>
      </c>
      <c r="B7" s="15" t="s">
        <v>51</v>
      </c>
      <c r="C7" s="15"/>
      <c r="D7" s="15"/>
      <c r="E7" s="15" t="s">
        <v>52</v>
      </c>
    </row>
    <row r="8" spans="1:6" ht="56.1" customHeight="1">
      <c r="A8" s="15" t="s">
        <v>53</v>
      </c>
      <c r="B8" s="15" t="s">
        <v>54</v>
      </c>
      <c r="C8" s="15"/>
      <c r="D8" s="15" t="s">
        <v>55</v>
      </c>
      <c r="E8" s="15" t="s">
        <v>56</v>
      </c>
    </row>
    <row r="9" spans="1:6" ht="43.35" customHeight="1">
      <c r="A9" s="15" t="s">
        <v>57</v>
      </c>
      <c r="B9" s="15" t="s">
        <v>58</v>
      </c>
      <c r="C9" s="15"/>
      <c r="D9" s="15" t="s">
        <v>59</v>
      </c>
      <c r="E9" s="15" t="s">
        <v>60</v>
      </c>
    </row>
    <row r="10" spans="1:6" ht="31.35" customHeight="1">
      <c r="A10" s="15" t="s">
        <v>61</v>
      </c>
      <c r="B10" s="15" t="s">
        <v>62</v>
      </c>
      <c r="C10" s="15"/>
      <c r="D10" s="15" t="s">
        <v>63</v>
      </c>
      <c r="E10" s="15" t="s">
        <v>64</v>
      </c>
    </row>
    <row r="11" spans="1:6" ht="24.95">
      <c r="A11" s="15" t="s">
        <v>65</v>
      </c>
      <c r="B11" s="15" t="s">
        <v>66</v>
      </c>
      <c r="C11" s="15"/>
      <c r="D11" s="15" t="s">
        <v>67</v>
      </c>
      <c r="E11" s="15" t="s">
        <v>68</v>
      </c>
    </row>
    <row r="12" spans="1:6" ht="42" customHeight="1">
      <c r="A12" s="15" t="s">
        <v>69</v>
      </c>
      <c r="B12" s="15" t="s">
        <v>70</v>
      </c>
      <c r="C12" s="15"/>
      <c r="D12" s="15" t="s">
        <v>71</v>
      </c>
      <c r="E12" s="15" t="s">
        <v>72</v>
      </c>
    </row>
    <row r="13" spans="1:6" ht="66.95" customHeight="1">
      <c r="A13" s="15" t="s">
        <v>73</v>
      </c>
      <c r="B13" s="15" t="s">
        <v>74</v>
      </c>
      <c r="C13" s="15"/>
      <c r="D13" s="15" t="s">
        <v>75</v>
      </c>
      <c r="E13" s="77" t="s">
        <v>76</v>
      </c>
    </row>
    <row r="14" spans="1:6" ht="29.1" customHeight="1">
      <c r="A14" s="15" t="s">
        <v>77</v>
      </c>
      <c r="B14" s="15" t="s">
        <v>78</v>
      </c>
      <c r="C14" s="15"/>
      <c r="D14" s="15" t="s">
        <v>79</v>
      </c>
      <c r="E14" s="15" t="s">
        <v>80</v>
      </c>
    </row>
    <row r="15" spans="1:6" ht="115.5" customHeight="1">
      <c r="A15" s="15" t="s">
        <v>81</v>
      </c>
      <c r="B15" s="15" t="s">
        <v>82</v>
      </c>
      <c r="C15" s="15"/>
      <c r="D15" s="15" t="s">
        <v>59</v>
      </c>
      <c r="E15" s="77" t="s">
        <v>83</v>
      </c>
    </row>
    <row r="16" spans="1:6" ht="126" customHeight="1">
      <c r="A16" s="15" t="s">
        <v>84</v>
      </c>
      <c r="B16" s="15" t="s">
        <v>85</v>
      </c>
      <c r="C16" s="15"/>
      <c r="D16" s="15" t="s">
        <v>86</v>
      </c>
      <c r="E16" s="15" t="s">
        <v>87</v>
      </c>
    </row>
    <row r="17" spans="1:5" ht="44.85" customHeight="1">
      <c r="A17" s="15" t="s">
        <v>88</v>
      </c>
      <c r="B17" s="15" t="s">
        <v>89</v>
      </c>
      <c r="C17" s="15"/>
      <c r="D17" s="15" t="s">
        <v>90</v>
      </c>
      <c r="E17" s="15" t="s">
        <v>91</v>
      </c>
    </row>
    <row r="18" spans="1:5" ht="50.1">
      <c r="A18" s="15" t="s">
        <v>92</v>
      </c>
      <c r="B18" s="15" t="s">
        <v>93</v>
      </c>
      <c r="C18" s="15"/>
      <c r="D18" s="15" t="s">
        <v>94</v>
      </c>
      <c r="E18" s="15" t="s">
        <v>95</v>
      </c>
    </row>
    <row r="19" spans="1:5" ht="62.45">
      <c r="A19" s="15" t="s">
        <v>96</v>
      </c>
      <c r="B19" s="15" t="s">
        <v>97</v>
      </c>
      <c r="C19" s="15"/>
      <c r="D19" s="24" t="s">
        <v>98</v>
      </c>
      <c r="E19" s="15" t="s">
        <v>99</v>
      </c>
    </row>
    <row r="20" spans="1:5" ht="24.95">
      <c r="A20" s="15" t="s">
        <v>100</v>
      </c>
      <c r="B20" s="15" t="s">
        <v>101</v>
      </c>
      <c r="C20" s="15"/>
      <c r="D20" s="24" t="s">
        <v>102</v>
      </c>
      <c r="E20" s="15" t="s">
        <v>103</v>
      </c>
    </row>
    <row r="21" spans="1:5" ht="24.95">
      <c r="A21" s="15" t="s">
        <v>104</v>
      </c>
      <c r="B21" s="15" t="s">
        <v>105</v>
      </c>
      <c r="C21" s="15"/>
      <c r="D21" s="24" t="s">
        <v>106</v>
      </c>
      <c r="E21" s="15" t="s">
        <v>107</v>
      </c>
    </row>
    <row r="22" spans="1:5" ht="24.95">
      <c r="A22" s="15" t="s">
        <v>108</v>
      </c>
      <c r="B22" s="15" t="s">
        <v>109</v>
      </c>
      <c r="C22" s="15"/>
      <c r="D22" s="15" t="s">
        <v>110</v>
      </c>
      <c r="E22" s="15" t="s">
        <v>111</v>
      </c>
    </row>
    <row r="23" spans="1:5" ht="37.5">
      <c r="A23" s="15" t="s">
        <v>112</v>
      </c>
      <c r="B23" s="13" t="s">
        <v>113</v>
      </c>
      <c r="C23" s="15"/>
      <c r="D23" s="15" t="s">
        <v>114</v>
      </c>
      <c r="E23" s="15" t="s">
        <v>115</v>
      </c>
    </row>
    <row r="24" spans="1:5" ht="27" customHeight="1">
      <c r="A24" s="15" t="s">
        <v>116</v>
      </c>
      <c r="B24" s="15" t="s">
        <v>117</v>
      </c>
      <c r="C24" s="15"/>
      <c r="D24" s="15" t="s">
        <v>118</v>
      </c>
      <c r="E24" s="15" t="s">
        <v>119</v>
      </c>
    </row>
    <row r="25" spans="1:5" ht="80.849999999999994" customHeight="1">
      <c r="A25" s="15" t="s">
        <v>120</v>
      </c>
      <c r="B25" s="15" t="s">
        <v>121</v>
      </c>
      <c r="C25" s="15"/>
      <c r="D25" s="24" t="s">
        <v>122</v>
      </c>
      <c r="E25" s="24" t="s">
        <v>123</v>
      </c>
    </row>
    <row r="26" spans="1:5" ht="105" customHeight="1">
      <c r="A26" s="15" t="s">
        <v>124</v>
      </c>
      <c r="B26" s="15" t="s">
        <v>125</v>
      </c>
      <c r="C26" s="15"/>
      <c r="D26" s="15"/>
      <c r="E26" s="15"/>
    </row>
    <row r="27" spans="1:5" ht="24.95">
      <c r="A27" s="15" t="s">
        <v>126</v>
      </c>
      <c r="B27" s="15" t="s">
        <v>127</v>
      </c>
      <c r="C27" s="15"/>
    </row>
    <row r="28" spans="1:5">
      <c r="A28" s="24" t="s">
        <v>128</v>
      </c>
      <c r="B28" s="24" t="s">
        <v>129</v>
      </c>
      <c r="C28" s="24"/>
    </row>
    <row r="29" spans="1:5" ht="137.44999999999999">
      <c r="A29" s="15" t="s">
        <v>130</v>
      </c>
      <c r="B29" s="15" t="s">
        <v>131</v>
      </c>
      <c r="C29" s="24"/>
      <c r="D29" s="24"/>
      <c r="E29" s="15"/>
    </row>
    <row r="30" spans="1:5" ht="87.6">
      <c r="A30" s="24" t="s">
        <v>132</v>
      </c>
      <c r="B30" s="15" t="s">
        <v>133</v>
      </c>
      <c r="C30" s="24"/>
      <c r="D30" s="24"/>
      <c r="E30" s="15"/>
    </row>
    <row r="31" spans="1:5">
      <c r="A31" s="6" t="s">
        <v>134</v>
      </c>
      <c r="B31" s="6" t="s">
        <v>135</v>
      </c>
    </row>
    <row r="32" spans="1:5">
      <c r="A32" s="6" t="s">
        <v>136</v>
      </c>
      <c r="B32" s="6" t="s">
        <v>137</v>
      </c>
    </row>
    <row r="33" spans="1:2">
      <c r="A33" s="6" t="s">
        <v>138</v>
      </c>
      <c r="B33" s="6" t="s">
        <v>139</v>
      </c>
    </row>
    <row r="34" spans="1:2">
      <c r="A34" s="6" t="s">
        <v>140</v>
      </c>
      <c r="B34" s="6" t="s">
        <v>141</v>
      </c>
    </row>
  </sheetData>
  <mergeCells count="1">
    <mergeCell ref="A1:F1"/>
  </mergeCells>
  <pageMargins left="0.7" right="0.7" top="0.75" bottom="0.75" header="0.3" footer="0.3"/>
  <pageSetup orientation="portrait" horizontalDpi="200" verticalDpi="200" r:id="rId1"/>
  <headerFooter>
    <oddFooter>&amp;C&amp;1#&amp;"Arial"&amp;8&amp;K001753Nokia internal use</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A157-0A5C-4214-A13D-71C43795F813}">
  <dimension ref="A1:AL990"/>
  <sheetViews>
    <sheetView topLeftCell="M3" zoomScale="75" zoomScaleNormal="75" workbookViewId="0">
      <selection activeCell="Q21" sqref="Q21"/>
    </sheetView>
  </sheetViews>
  <sheetFormatPr defaultRowHeight="14.45"/>
  <cols>
    <col min="1" max="1" width="8.7109375" style="48"/>
    <col min="2" max="2" width="33.85546875" customWidth="1"/>
    <col min="3" max="3" width="15.140625" customWidth="1"/>
    <col min="4" max="4" width="31.5703125" customWidth="1"/>
    <col min="5" max="5" width="12.85546875" customWidth="1"/>
    <col min="6" max="6" width="11.42578125" customWidth="1"/>
    <col min="7" max="7" width="12.85546875" customWidth="1"/>
    <col min="8" max="8" width="12.42578125" customWidth="1"/>
    <col min="9" max="9" width="16.5703125" customWidth="1"/>
    <col min="10" max="11" width="14.5703125" bestFit="1" customWidth="1"/>
    <col min="13" max="13" width="71.5703125" customWidth="1"/>
    <col min="14" max="16" width="8.85546875" customWidth="1"/>
    <col min="17" max="17" width="53.5703125" customWidth="1"/>
    <col min="18" max="18" width="44.5703125" customWidth="1"/>
    <col min="19" max="20" width="8.85546875" customWidth="1"/>
    <col min="21" max="21" width="27" customWidth="1"/>
    <col min="22" max="22" width="22.42578125" customWidth="1"/>
    <col min="23" max="23" width="10.85546875" customWidth="1"/>
    <col min="24" max="24" width="8.85546875" customWidth="1"/>
    <col min="25" max="25" width="31.42578125" customWidth="1"/>
    <col min="26" max="26" width="31.85546875" customWidth="1"/>
    <col min="27" max="27" width="36" customWidth="1"/>
    <col min="28" max="28" width="31.85546875" customWidth="1"/>
    <col min="29" max="29" width="23.42578125" customWidth="1"/>
    <col min="30" max="30" width="21.85546875" customWidth="1"/>
    <col min="31" max="31" width="23.85546875" customWidth="1"/>
    <col min="34" max="34" width="23.42578125" bestFit="1" customWidth="1"/>
    <col min="35" max="35" width="31.85546875" bestFit="1" customWidth="1"/>
    <col min="36" max="36" width="23.42578125" bestFit="1" customWidth="1"/>
    <col min="37" max="37" width="21.85546875" bestFit="1" customWidth="1"/>
    <col min="38" max="38" width="25.85546875" bestFit="1" customWidth="1"/>
  </cols>
  <sheetData>
    <row r="1" spans="1:38">
      <c r="A1" s="47"/>
      <c r="B1" s="47"/>
      <c r="C1" s="47"/>
      <c r="D1" s="47"/>
      <c r="E1" s="47"/>
      <c r="F1" s="47"/>
      <c r="G1" s="47"/>
      <c r="H1" s="47"/>
      <c r="I1" s="47"/>
      <c r="J1" s="47"/>
      <c r="K1" s="47"/>
      <c r="L1" s="47"/>
      <c r="M1" s="47"/>
      <c r="N1" s="48"/>
      <c r="O1" s="48"/>
      <c r="Q1" t="s">
        <v>142</v>
      </c>
      <c r="S1" t="s">
        <v>143</v>
      </c>
      <c r="T1" t="s">
        <v>144</v>
      </c>
      <c r="U1" t="s">
        <v>145</v>
      </c>
      <c r="V1" t="s">
        <v>146</v>
      </c>
      <c r="W1">
        <f>IF($C$2="OpenStack",2,0)</f>
        <v>0</v>
      </c>
    </row>
    <row r="2" spans="1:38">
      <c r="A2" s="47"/>
      <c r="B2" s="53" t="s">
        <v>147</v>
      </c>
      <c r="C2" s="49" t="s">
        <v>148</v>
      </c>
      <c r="D2" s="47"/>
      <c r="E2" s="78"/>
      <c r="F2" s="47"/>
      <c r="G2" s="47"/>
      <c r="H2" s="56" t="s">
        <v>149</v>
      </c>
      <c r="I2" s="47"/>
      <c r="J2" s="47"/>
      <c r="K2" s="47"/>
      <c r="L2" s="47"/>
      <c r="M2" s="47"/>
      <c r="N2" s="48"/>
      <c r="Q2" t="s">
        <v>150</v>
      </c>
      <c r="R2" t="str">
        <f>CONCATENATE((ADDRESS($R$7+1,$S$2,,,$E$4)),$T$2,$R$7+50)</f>
        <v>'3XL 24R3-NM SW on Vmware'!$E$47:$E$96</v>
      </c>
      <c r="S2">
        <f>IF($C$2="OpenStack",4,5)</f>
        <v>5</v>
      </c>
      <c r="T2" t="str">
        <f>IF($C$2="OpenStack",":$D$",":$E$")</f>
        <v>:$E$</v>
      </c>
      <c r="V2" t="s">
        <v>151</v>
      </c>
      <c r="W2">
        <f>IF(C19=20,0,0)+IF(C19=40,12,0)+IF(C19=60,16,0)+IF(C19=80,20,0)+IF(C19=100,24,0)+IF(C19=120,28,0)+IF(C19=140,32,0)+IF(C19=160,36,0)+IF(C19=180,40,0)</f>
        <v>0</v>
      </c>
      <c r="AA2" s="167" t="s">
        <v>152</v>
      </c>
      <c r="AB2" s="167"/>
      <c r="AC2" s="167"/>
      <c r="AD2" s="167"/>
      <c r="AE2" s="167"/>
      <c r="AH2" s="168" t="s">
        <v>153</v>
      </c>
      <c r="AI2" s="169"/>
      <c r="AJ2" s="169"/>
      <c r="AK2" s="169"/>
      <c r="AL2" s="170"/>
    </row>
    <row r="3" spans="1:38">
      <c r="A3" s="47"/>
      <c r="B3" s="53" t="s">
        <v>154</v>
      </c>
      <c r="C3" s="160" t="s">
        <v>155</v>
      </c>
      <c r="D3" s="53" t="s">
        <v>156</v>
      </c>
      <c r="E3" s="53" t="str">
        <f>SUBSTITUTE(C3,"Release "," ")</f>
        <v xml:space="preserve"> 24R3-NM</v>
      </c>
      <c r="F3" s="47"/>
      <c r="G3" s="47"/>
      <c r="H3" s="47"/>
      <c r="I3" s="47"/>
      <c r="J3" s="47"/>
      <c r="K3" s="47"/>
      <c r="L3" s="47"/>
      <c r="M3" s="47"/>
      <c r="N3" s="48"/>
      <c r="O3" s="48"/>
      <c r="Q3" t="s">
        <v>157</v>
      </c>
      <c r="R3" t="str">
        <f>CONCATENATE((ADDRESS($R$7+1,6,,,$E$4)),":$F$",$R$7+50)</f>
        <v>'3XL 24R3-NM SW on Vmware'!$F$47:$F$96</v>
      </c>
      <c r="U3">
        <v>3</v>
      </c>
      <c r="V3" t="s">
        <v>158</v>
      </c>
      <c r="W3">
        <f>IF($C$3="Release 24R3-NM",IF($C$2="OpenStack",IF($C$4="Small",2,0)+IF($C$4="Mainstream",2,0)+IF($C$4="Large",2,0),IF($C$4="Small",0,0)+IF($C$4="Mainstream",0,0)+IF($C$4="Large",0,0)))</f>
        <v>0</v>
      </c>
      <c r="Y3" s="152" t="s">
        <v>148</v>
      </c>
      <c r="AA3" s="140" t="s">
        <v>159</v>
      </c>
      <c r="AB3" s="140" t="s">
        <v>160</v>
      </c>
      <c r="AC3" s="140" t="s">
        <v>161</v>
      </c>
      <c r="AD3" s="140" t="s">
        <v>162</v>
      </c>
      <c r="AE3" s="140" t="s">
        <v>163</v>
      </c>
      <c r="AH3" s="140" t="s">
        <v>164</v>
      </c>
      <c r="AI3" s="140" t="s">
        <v>165</v>
      </c>
      <c r="AJ3" s="140" t="s">
        <v>166</v>
      </c>
      <c r="AK3" s="140" t="s">
        <v>167</v>
      </c>
      <c r="AL3" s="161" t="s">
        <v>168</v>
      </c>
    </row>
    <row r="4" spans="1:38">
      <c r="A4" s="47"/>
      <c r="B4" s="53" t="s">
        <v>169</v>
      </c>
      <c r="C4" s="49" t="s">
        <v>170</v>
      </c>
      <c r="D4" s="53" t="s">
        <v>171</v>
      </c>
      <c r="E4" s="53" t="str">
        <f>IF($C$2="OpenStack",IF($C$4="Mainstream",CONCATENATE($C$4,$E$3," SW ",$C$2),IF($C$4="3XL",CONCATENATE($C$4,$E$3," SW ",$C$2,"-CBIS"),CONCATENATE($C$4,$E$3," SW on ",$C$2))),CONCATENATE($C$4, $E$3, " SW on ", $C$2))</f>
        <v>3XL 24R3-NM SW on Vmware</v>
      </c>
      <c r="F4" s="47"/>
      <c r="G4" s="47"/>
      <c r="H4" s="56" t="s">
        <v>172</v>
      </c>
      <c r="I4" s="47"/>
      <c r="J4" s="47"/>
      <c r="K4" s="47"/>
      <c r="L4" s="47"/>
      <c r="M4" s="47"/>
      <c r="N4" s="48"/>
      <c r="O4" s="48"/>
      <c r="Q4" t="s">
        <v>173</v>
      </c>
      <c r="R4" t="str">
        <f>CONCATENATE((ADDRESS($R$7+1,7,,,$E$4)),":$G$",$R$7+50)</f>
        <v>'3XL 24R3-NM SW on Vmware'!$G$47:$G$96</v>
      </c>
      <c r="U4">
        <f>IF($C$2="OpenStack",4,3)</f>
        <v>3</v>
      </c>
      <c r="V4" t="s">
        <v>55</v>
      </c>
      <c r="W4">
        <f>IF($C$2="OpenStack",IF($C$4="Small",4,0)+IF($C$4="Mainstream",8,0)+IF($C$4="Large",8,0)+IF($C$4="XXL",8,0)+IF($C$4="3XL",8,0),IF($C$4="Small",0,0)+IF($C$4="Mainstream",0,0)+IF($C$4="Large",0,0)+IF($C$4="XXL",0,0))</f>
        <v>0</v>
      </c>
      <c r="Y4" s="147" t="s">
        <v>174</v>
      </c>
      <c r="AA4" s="150">
        <v>675</v>
      </c>
      <c r="AB4" s="151">
        <v>1350</v>
      </c>
      <c r="AC4" s="139">
        <v>2250</v>
      </c>
      <c r="AD4" s="140">
        <v>8100</v>
      </c>
      <c r="AE4" s="150">
        <v>15200</v>
      </c>
      <c r="AH4" s="150">
        <v>750</v>
      </c>
      <c r="AI4" s="151">
        <v>1500</v>
      </c>
      <c r="AJ4" s="139">
        <v>2500</v>
      </c>
      <c r="AK4" s="140">
        <v>9000</v>
      </c>
      <c r="AL4" s="140">
        <v>16400</v>
      </c>
    </row>
    <row r="5" spans="1:38">
      <c r="A5" s="47"/>
      <c r="B5" s="53" t="s">
        <v>175</v>
      </c>
      <c r="C5" s="69">
        <v>16400</v>
      </c>
      <c r="D5" s="47"/>
      <c r="E5" s="47"/>
      <c r="F5" s="47"/>
      <c r="G5" s="47"/>
      <c r="H5" s="53" t="s">
        <v>176</v>
      </c>
      <c r="I5" s="47"/>
      <c r="J5" s="47"/>
      <c r="K5" s="47"/>
      <c r="L5" s="47"/>
      <c r="M5" s="47"/>
      <c r="N5" s="48"/>
      <c r="O5" s="48"/>
      <c r="Q5" t="s">
        <v>177</v>
      </c>
      <c r="R5" t="str">
        <f>CONCATENATE((ADDRESS($R$7+1,$S$5,,,$E$4)),$T$5,$R$7+50)</f>
        <v>'3XL 24R3-NM SW on Vmware'!$I$47:$I$96</v>
      </c>
      <c r="S5">
        <f>IF($C$2="OpenStack",8,9)</f>
        <v>9</v>
      </c>
      <c r="T5" t="str">
        <f>IF($C$2="OpenStack",":$H$",":$I$")</f>
        <v>:$I$</v>
      </c>
      <c r="U5">
        <f>IF($C$2="OpenStack",5,5)</f>
        <v>5</v>
      </c>
      <c r="V5" t="s">
        <v>178</v>
      </c>
      <c r="W5">
        <v>0</v>
      </c>
      <c r="Y5" s="147" t="s">
        <v>179</v>
      </c>
      <c r="AA5" s="150">
        <v>2115</v>
      </c>
      <c r="AB5" s="149">
        <v>1855.79</v>
      </c>
      <c r="AC5" s="148">
        <v>5535</v>
      </c>
      <c r="AD5" s="140"/>
      <c r="AE5" s="140"/>
      <c r="AH5" s="150">
        <v>2350</v>
      </c>
      <c r="AI5" s="149">
        <v>2062</v>
      </c>
      <c r="AJ5" s="148">
        <v>6150</v>
      </c>
      <c r="AK5" s="140"/>
      <c r="AL5" s="140">
        <v>27200</v>
      </c>
    </row>
    <row r="6" spans="1:38">
      <c r="A6" s="47"/>
      <c r="B6" s="53" t="s">
        <v>173</v>
      </c>
      <c r="C6" s="69">
        <v>40</v>
      </c>
      <c r="D6" s="47"/>
      <c r="E6" s="47"/>
      <c r="F6" s="47"/>
      <c r="G6" s="47"/>
      <c r="H6" s="53" t="s">
        <v>180</v>
      </c>
      <c r="I6" s="47"/>
      <c r="J6" s="47"/>
      <c r="K6" s="47"/>
      <c r="L6" s="47"/>
      <c r="M6" s="47"/>
      <c r="N6" s="48"/>
      <c r="O6" s="48"/>
      <c r="Q6" t="s">
        <v>181</v>
      </c>
      <c r="R6" t="str">
        <f>CONCATENATE((ADDRESS($R$7+1,$S$6,,,$E$4)),$T$6,$R$7+50)</f>
        <v>'3XL 24R3-NM SW on Vmware'!$C$47:$C$96</v>
      </c>
      <c r="S6">
        <f>IF($C$2="OpenStack",5,3)</f>
        <v>3</v>
      </c>
      <c r="T6" t="str">
        <f>IF($C$2="OpenStack",":$E$",":$C$")</f>
        <v>:$C$</v>
      </c>
      <c r="V6" t="s">
        <v>182</v>
      </c>
      <c r="W6">
        <f>IF($C$3="Release 24R3-NM",IF($C$2="OpenStack",IF($C$4="Small",6,0)+IF($C$4="Mainstream",6,0)+IF($C$4="Large",6,0)+IF($C$4="XXL",6,0)+IF($C$4="3XL",6,0),IF($C$4="Small",0,0)+IF($C$4="Mainstream",0,0)+IF($C$4="Large",0,0)+IF($C$4="XXL",0,0)))</f>
        <v>0</v>
      </c>
      <c r="Y6" s="147" t="s">
        <v>183</v>
      </c>
      <c r="AA6" s="142"/>
      <c r="AB6" s="142"/>
      <c r="AC6" s="142"/>
      <c r="AD6" s="142"/>
      <c r="AE6" s="142"/>
      <c r="AH6" s="142"/>
      <c r="AI6" s="142"/>
      <c r="AJ6" s="142"/>
      <c r="AK6" s="142"/>
      <c r="AL6" s="142"/>
    </row>
    <row r="7" spans="1:38">
      <c r="A7" s="47"/>
      <c r="B7" s="53" t="s">
        <v>157</v>
      </c>
      <c r="C7" s="69">
        <v>6</v>
      </c>
      <c r="D7" s="47"/>
      <c r="E7" s="53"/>
      <c r="F7" s="47"/>
      <c r="G7" s="47"/>
      <c r="H7" s="53" t="s">
        <v>184</v>
      </c>
      <c r="I7" s="47"/>
      <c r="J7" s="47"/>
      <c r="K7" s="47"/>
      <c r="L7" s="47"/>
      <c r="M7" s="47"/>
      <c r="N7" s="48"/>
      <c r="O7" s="48"/>
      <c r="Q7" t="s">
        <v>185</v>
      </c>
      <c r="R7">
        <f>IF($C$3="Release 24R3-NM",IF($C$2="OpenStack",IF($C$4="Small",33,0)+IF($C$4="Mainstream",39,0)+IF($C$4="Large",47,0)+IF($C$4="XXL",47,0)+IF($C$4="3XL",47,0),IF($C$4="Small",32,0)+IF($C$4="Mainstream",38,0)+IF($C$4="Large",46,0)+IF($C$4="XXL",46,0)+IF($C$4="3XL",46,0)),0)</f>
        <v>46</v>
      </c>
      <c r="V7" t="s">
        <v>186</v>
      </c>
      <c r="W7">
        <f>IF($C$3="Release 24R3-NM",IF($C$2="OpenStack",IF($C$4="Small",0,0)+IF($C$4="Mainstream",0,0)+IF($C$4="Large",0,0)+IF($C$4="XXL",0,0),IF($C$4="Small",0,0)+IF($C$4="Mainstream",0,0)+IF($C$4="Large",0,0)+IF($C$4="XXL",0,0)))</f>
        <v>0</v>
      </c>
      <c r="Y7" s="146" t="s">
        <v>187</v>
      </c>
      <c r="AA7" s="140" t="s">
        <v>188</v>
      </c>
      <c r="AB7" s="140" t="s">
        <v>189</v>
      </c>
      <c r="AC7" s="140" t="s">
        <v>190</v>
      </c>
      <c r="AD7" s="140" t="s">
        <v>191</v>
      </c>
      <c r="AE7" s="140" t="s">
        <v>192</v>
      </c>
      <c r="AH7" s="140" t="s">
        <v>193</v>
      </c>
      <c r="AI7" s="140" t="s">
        <v>194</v>
      </c>
      <c r="AJ7" s="140" t="s">
        <v>195</v>
      </c>
      <c r="AK7" s="140" t="s">
        <v>196</v>
      </c>
      <c r="AL7" s="140" t="s">
        <v>197</v>
      </c>
    </row>
    <row r="8" spans="1:38">
      <c r="A8" s="47"/>
      <c r="B8" s="53" t="s">
        <v>198</v>
      </c>
      <c r="C8" s="69">
        <v>59.4</v>
      </c>
      <c r="D8" s="47"/>
      <c r="E8" s="47"/>
      <c r="F8" s="47"/>
      <c r="G8" s="47"/>
      <c r="H8" s="53" t="s">
        <v>199</v>
      </c>
      <c r="I8" s="47"/>
      <c r="J8" s="47"/>
      <c r="K8" s="47"/>
      <c r="L8" s="47"/>
      <c r="M8" s="47"/>
      <c r="N8" s="48"/>
      <c r="O8" s="48"/>
      <c r="Q8" t="s">
        <v>200</v>
      </c>
      <c r="R8" t="str">
        <f>CONCATENATE((ADDRESS($R$7+1,$S$2,,,$E$4)),":$I$",$R$7+50)</f>
        <v>'3XL 24R3-NM SW on Vmware'!$E$47:$I$96</v>
      </c>
      <c r="V8" t="s">
        <v>201</v>
      </c>
      <c r="W8">
        <f>IF($C$3="Release 24R3-NM",IF($C$2="OpenStack",IF($C$4="Small",2,0)+IF($C$4="Mainstream",2,0)+IF($C$4="Large",2,0)+IF($C$4="XXL",2,0),IF($C$4="Small",0,0)+IF($C$4="Mainstream",0,0)+IF($C$4="Large",0,0)+IF($C$4="XXL",0,0)))</f>
        <v>0</v>
      </c>
      <c r="Y8" s="146" t="s">
        <v>170</v>
      </c>
      <c r="AA8" s="140">
        <v>6</v>
      </c>
      <c r="AB8" s="140">
        <v>11</v>
      </c>
      <c r="AC8" s="140">
        <v>16</v>
      </c>
      <c r="AD8" s="140">
        <v>16</v>
      </c>
      <c r="AE8" s="140">
        <v>24</v>
      </c>
      <c r="AH8" s="140">
        <v>6</v>
      </c>
      <c r="AI8" s="140">
        <v>11</v>
      </c>
      <c r="AJ8" s="140">
        <v>16</v>
      </c>
      <c r="AK8" s="140">
        <v>16</v>
      </c>
      <c r="AL8" s="140">
        <v>24</v>
      </c>
    </row>
    <row r="9" spans="1:38">
      <c r="A9" s="47"/>
      <c r="B9" s="53" t="s">
        <v>202</v>
      </c>
      <c r="C9" s="69">
        <v>1012.5</v>
      </c>
      <c r="D9" s="47"/>
      <c r="E9" s="47"/>
      <c r="F9" s="47"/>
      <c r="G9" s="47"/>
      <c r="H9" s="53" t="s">
        <v>203</v>
      </c>
      <c r="I9" s="47"/>
      <c r="J9" s="47"/>
      <c r="K9" s="47"/>
      <c r="L9" s="47"/>
      <c r="M9" s="47"/>
      <c r="N9" s="48"/>
      <c r="O9" s="48"/>
      <c r="Q9" t="s">
        <v>204</v>
      </c>
      <c r="R9">
        <f>IF($C$3="Release 24R3-NM",IF($C$2="OpenStack",IF($C$4="Small",25,0)+IF($C$4="Mainstream",31,0)+IF($C$4="Large",39,0)+IF($C$4="XXL",39,0)+IF($C$4="3XL",39,0),IF($C$4="Small",25,0)+IF($C$4="Mainstream",31,0)+IF($C$4="Large",39,0)+IF($C$4="XXL",39,0)+IF($C$4="3XL",39,0)))</f>
        <v>39</v>
      </c>
      <c r="U9" t="s">
        <v>205</v>
      </c>
      <c r="V9" t="s">
        <v>86</v>
      </c>
      <c r="W9">
        <f>IF($C$3="Release 24R3-NM",IF($C$2="OpenStack",IF($C$4="Small",2,0)+IF($C$4="Mainstream",2,0)+IF($C$4="Large",2,0)+IF($C$4="XXL",2,0),IF($C$4="Small",0,0)+IF($C$4="Mainstream",0,0)+IF($C$4="Large",0,0)+IF($C$4="XXL",0,0)))</f>
        <v>0</v>
      </c>
      <c r="AA9" s="142"/>
      <c r="AB9" s="142"/>
      <c r="AC9" s="142"/>
      <c r="AD9" s="142"/>
      <c r="AE9" s="142"/>
      <c r="AH9" s="142"/>
      <c r="AI9" s="142"/>
      <c r="AJ9" s="142"/>
      <c r="AK9" s="142"/>
      <c r="AL9" s="142"/>
    </row>
    <row r="10" spans="1:38">
      <c r="A10" s="47"/>
      <c r="B10" s="53" t="s">
        <v>206</v>
      </c>
      <c r="C10" s="69">
        <v>6735</v>
      </c>
      <c r="D10" s="47"/>
      <c r="E10" s="47"/>
      <c r="F10" s="47"/>
      <c r="G10" s="47"/>
      <c r="H10" s="53" t="s">
        <v>207</v>
      </c>
      <c r="I10" s="47"/>
      <c r="J10" s="47"/>
      <c r="K10" s="47"/>
      <c r="L10" s="47"/>
      <c r="M10" s="47"/>
      <c r="N10" s="48"/>
      <c r="O10" s="48"/>
      <c r="U10" t="s">
        <v>208</v>
      </c>
      <c r="V10" t="s">
        <v>209</v>
      </c>
      <c r="W10">
        <f>IF($C$3="Release 24R3-NM",IF($C$2="OpenStack",IF($C$4="Small",2,0)+IF($C$4="Mainstream",2,0)+IF($C$4="Large",4,0)+IF($C$4="XXL",4,0)+IF($C$4="3XL",4,0),IF($C$4="Small",0,0)+IF($C$4="Mainstream",0,0)+IF($C$4="Large",0,0)+IF($C$4="XXL",0,0)),0)</f>
        <v>0</v>
      </c>
      <c r="Y10" s="143" t="s">
        <v>210</v>
      </c>
      <c r="AA10" s="140" t="s">
        <v>211</v>
      </c>
      <c r="AB10" s="140" t="s">
        <v>212</v>
      </c>
      <c r="AC10" s="140" t="s">
        <v>213</v>
      </c>
      <c r="AD10" s="140"/>
      <c r="AE10" s="140"/>
      <c r="AH10" s="140" t="s">
        <v>214</v>
      </c>
      <c r="AI10" s="140" t="s">
        <v>215</v>
      </c>
      <c r="AJ10" s="140" t="s">
        <v>216</v>
      </c>
      <c r="AK10" s="140"/>
      <c r="AL10" s="140"/>
    </row>
    <row r="11" spans="1:38">
      <c r="A11" s="47"/>
      <c r="B11" s="53" t="s">
        <v>217</v>
      </c>
      <c r="C11" s="69">
        <v>312</v>
      </c>
      <c r="D11" s="47"/>
      <c r="E11" s="47"/>
      <c r="F11" s="47"/>
      <c r="G11" s="47"/>
      <c r="H11" s="53" t="s">
        <v>218</v>
      </c>
      <c r="I11" s="47"/>
      <c r="J11" s="47"/>
      <c r="K11" s="47"/>
      <c r="L11" s="47"/>
      <c r="M11" s="47"/>
      <c r="N11" s="48"/>
      <c r="O11" s="48"/>
      <c r="Q11" t="s">
        <v>219</v>
      </c>
      <c r="R11">
        <f ca="1">IF(C4="Small",INDIRECT(ADDRESS($R$7,61,,,$E$4)),IF(C4="Mainstream",INDIRECT(ADDRESS($R$7,61,,,$E$4)),IF(C4="Large",INDIRECT(ADDRESS($R$7,61,,,$E$4)),IF(C4="XXL",INDIRECT(ADDRESS($R$7,61,,,$E$4)),IF(C4="3XL",INDIRECT(ADDRESS($R$7,61,,,$E$4)))))))</f>
        <v>0</v>
      </c>
      <c r="V11" t="s">
        <v>75</v>
      </c>
      <c r="W11">
        <f>IF($C$2="OpenStack",14,0)</f>
        <v>0</v>
      </c>
      <c r="Y11" s="140" t="s">
        <v>174</v>
      </c>
      <c r="AA11" s="140">
        <v>11</v>
      </c>
      <c r="AB11" s="140">
        <v>11</v>
      </c>
      <c r="AC11" s="140">
        <v>16</v>
      </c>
      <c r="AD11" s="140"/>
      <c r="AE11" s="140"/>
      <c r="AH11" s="140">
        <v>11</v>
      </c>
      <c r="AI11" s="140">
        <v>11</v>
      </c>
      <c r="AJ11" s="140">
        <v>16</v>
      </c>
      <c r="AK11" s="140"/>
      <c r="AL11" s="140"/>
    </row>
    <row r="12" spans="1:38">
      <c r="A12" s="47"/>
      <c r="B12" s="53" t="s">
        <v>220</v>
      </c>
      <c r="C12" s="69">
        <v>90</v>
      </c>
      <c r="D12" s="47"/>
      <c r="E12" s="47"/>
      <c r="F12" s="47"/>
      <c r="G12" s="47"/>
      <c r="H12" s="53" t="s">
        <v>221</v>
      </c>
      <c r="I12" s="47"/>
      <c r="J12" s="47"/>
      <c r="K12" s="47"/>
      <c r="L12" s="47"/>
      <c r="M12" s="47"/>
      <c r="N12" s="48"/>
      <c r="O12" s="48"/>
      <c r="Q12" t="s">
        <v>222</v>
      </c>
      <c r="R12">
        <f>IF($C$2="OpenStack",IF($C$13&gt;0,1,0),0)</f>
        <v>0</v>
      </c>
      <c r="V12" t="s">
        <v>90</v>
      </c>
      <c r="W12">
        <f>IF($C$3="Release 24R3-NM",IF($C$2="Vmware",IF($C$4="Small",0,0)+IF($C$4="Mainstream",0,0)+IF($C$4="Large",0,0)+IF($C$4="XXL",0,0)+IF($C$4="3XL",0,0),IF($C$4="Small",0,0)+IF($C$4="Mainstream",0,0)+IF($C$4="Large",0,0)+IF($C$4="XXL",0,0)),0)</f>
        <v>0</v>
      </c>
      <c r="Y12" s="140" t="s">
        <v>179</v>
      </c>
      <c r="AA12" s="142"/>
      <c r="AB12" s="142"/>
      <c r="AC12" s="142"/>
      <c r="AD12" s="142"/>
      <c r="AE12" s="142"/>
      <c r="AH12" s="142"/>
      <c r="AI12" s="142"/>
      <c r="AJ12" s="142"/>
      <c r="AK12" s="142"/>
      <c r="AL12" s="142"/>
    </row>
    <row r="13" spans="1:38">
      <c r="A13" s="47"/>
      <c r="B13" s="53" t="s">
        <v>222</v>
      </c>
      <c r="C13" s="69">
        <v>270</v>
      </c>
      <c r="D13" s="47"/>
      <c r="E13" s="47"/>
      <c r="F13" s="47"/>
      <c r="G13" s="47"/>
      <c r="H13" s="53"/>
      <c r="I13" s="47"/>
      <c r="J13" s="47"/>
      <c r="K13" s="47"/>
      <c r="L13" s="47"/>
      <c r="M13" s="47"/>
      <c r="N13" s="48"/>
      <c r="O13" s="48"/>
      <c r="V13" t="s">
        <v>223</v>
      </c>
      <c r="W13">
        <f>IF($C$3="Release 24R3-NM",IF($C$2="Vmware",IF($C$4="Small",0,0)+IF($C$4="Mainstream",0,0)+IF($C$4="Large",0,0)+IF($C$4="XXL",0,0)+IF($C$4="3XL",0,0),IF($C$4="Small",0,0)+IF($C$4="Mainstream",0,0)+IF($C$4="Large",0,0)+IF($C$4="XXL",0,0)),0)</f>
        <v>0</v>
      </c>
      <c r="Y13" s="140" t="s">
        <v>183</v>
      </c>
      <c r="AA13" s="140" t="s">
        <v>224</v>
      </c>
      <c r="AB13" s="140" t="s">
        <v>225</v>
      </c>
      <c r="AC13" s="140" t="s">
        <v>226</v>
      </c>
      <c r="AD13" s="140" t="s">
        <v>227</v>
      </c>
      <c r="AE13" s="140" t="s">
        <v>228</v>
      </c>
      <c r="AH13" s="140" t="s">
        <v>229</v>
      </c>
      <c r="AI13" s="140" t="s">
        <v>230</v>
      </c>
      <c r="AJ13" s="140" t="s">
        <v>231</v>
      </c>
      <c r="AK13" s="140" t="s">
        <v>232</v>
      </c>
      <c r="AL13" s="140" t="s">
        <v>233</v>
      </c>
    </row>
    <row r="14" spans="1:38">
      <c r="A14" s="47"/>
      <c r="B14" s="53" t="s">
        <v>234</v>
      </c>
      <c r="C14" s="69">
        <v>50</v>
      </c>
      <c r="D14" s="47"/>
      <c r="E14" s="47"/>
      <c r="F14" s="47"/>
      <c r="G14" s="47"/>
      <c r="H14" s="53"/>
      <c r="I14" s="47"/>
      <c r="J14" s="47"/>
      <c r="K14" s="47"/>
      <c r="L14" s="47"/>
      <c r="M14" s="47"/>
      <c r="N14" s="48"/>
      <c r="O14" s="48"/>
      <c r="Q14" t="str">
        <f>ADDRESS($R$7,6,,,$E$4)</f>
        <v>'3XL 24R3-NM SW on Vmware'!$F$46</v>
      </c>
      <c r="Y14" s="140" t="s">
        <v>187</v>
      </c>
      <c r="AA14" s="140">
        <v>40</v>
      </c>
      <c r="AB14" s="140">
        <v>70</v>
      </c>
      <c r="AC14" s="140">
        <v>90</v>
      </c>
      <c r="AD14" s="140">
        <v>160</v>
      </c>
      <c r="AE14" s="140">
        <v>240</v>
      </c>
      <c r="AH14" s="140">
        <v>40</v>
      </c>
      <c r="AI14" s="140">
        <v>70</v>
      </c>
      <c r="AJ14" s="140">
        <v>90</v>
      </c>
      <c r="AK14" s="140">
        <v>160</v>
      </c>
      <c r="AL14" s="140">
        <v>240</v>
      </c>
    </row>
    <row r="15" spans="1:38">
      <c r="A15" s="47"/>
      <c r="B15" s="53" t="s">
        <v>235</v>
      </c>
      <c r="C15" s="69">
        <v>65</v>
      </c>
      <c r="D15" s="47"/>
      <c r="E15" s="47"/>
      <c r="F15" s="47"/>
      <c r="G15" s="47"/>
      <c r="H15" s="47"/>
      <c r="I15" s="47"/>
      <c r="J15" s="47"/>
      <c r="K15" s="47"/>
      <c r="L15" s="47"/>
      <c r="M15" s="47"/>
      <c r="N15" s="48"/>
      <c r="O15" s="48"/>
      <c r="V15" t="s">
        <v>94</v>
      </c>
      <c r="W15">
        <f>IF($C$3="Release 24R1-NM",IF($C$2="OpenStack",IF($C$4="Small",2,0)+IF($C$4="Mainstream",2,0)+IF($C$4="Large",2,0)+IF($C$4="XXL",2,0)+IF($C$4="3XL",2,0),IF($C$4="Small",0,0)+IF($C$4="Mainstream",0,0)+IF($C$4="Large",0,0)+IF($C$4="XXL",0,0)),0)</f>
        <v>0</v>
      </c>
      <c r="Y15" s="145" t="s">
        <v>170</v>
      </c>
      <c r="AA15" s="142"/>
      <c r="AB15" s="142"/>
      <c r="AC15" s="142"/>
      <c r="AD15" s="142"/>
      <c r="AE15" s="142"/>
      <c r="AH15" s="142"/>
      <c r="AI15" s="142"/>
      <c r="AJ15" s="142"/>
      <c r="AK15" s="142"/>
      <c r="AL15" s="142"/>
    </row>
    <row r="16" spans="1:38">
      <c r="A16" s="47"/>
      <c r="B16" s="47"/>
      <c r="C16" s="47"/>
      <c r="D16" s="47"/>
      <c r="E16" s="47"/>
      <c r="F16" s="47"/>
      <c r="G16" s="47"/>
      <c r="H16" s="47"/>
      <c r="I16" s="47"/>
      <c r="J16" s="47"/>
      <c r="K16" s="47"/>
      <c r="L16" s="47"/>
      <c r="M16" s="47"/>
      <c r="N16" s="48"/>
      <c r="O16" s="48"/>
      <c r="R16" t="s">
        <v>236</v>
      </c>
      <c r="S16">
        <f ca="1">VLOOKUP("*VDA*",INDIRECT($R$8),3,FALSE)</f>
        <v>16</v>
      </c>
      <c r="V16" t="s">
        <v>118</v>
      </c>
      <c r="W16">
        <f>IF($C$3="Release 24R1-NM",IF($C$2="OpenStack",IF($C$4="Small",2,0)+IF($C$4="Mainstream",2,0)+IF($C$4="Large",2,0)+IF($C$4="XXL",2,0)+IF($C$4="3XL",2,0),IF($C$4="Small",0,0)+IF($C$4="Mainstream",0,0)+IF($C$4="Large",0,0)+IF($C$4="XXL",0,0)),0)</f>
        <v>0</v>
      </c>
      <c r="AA16" s="140" t="s">
        <v>237</v>
      </c>
      <c r="AB16" s="140" t="s">
        <v>238</v>
      </c>
      <c r="AC16" s="140" t="s">
        <v>239</v>
      </c>
      <c r="AD16" s="140"/>
      <c r="AE16" s="140"/>
      <c r="AH16" s="140" t="s">
        <v>240</v>
      </c>
      <c r="AI16" s="140" t="s">
        <v>241</v>
      </c>
      <c r="AJ16" s="140" t="s">
        <v>242</v>
      </c>
      <c r="AK16" s="140"/>
      <c r="AL16" s="140"/>
    </row>
    <row r="17" spans="1:38">
      <c r="A17" s="47"/>
      <c r="B17" s="53" t="s">
        <v>243</v>
      </c>
      <c r="C17" s="53"/>
      <c r="D17" s="47"/>
      <c r="E17" s="47"/>
      <c r="F17" s="47"/>
      <c r="G17" s="47"/>
      <c r="H17" s="47"/>
      <c r="I17" s="47"/>
      <c r="J17" s="47"/>
      <c r="K17" s="47"/>
      <c r="L17" s="47"/>
      <c r="M17" s="47"/>
      <c r="N17" s="48"/>
      <c r="O17" s="48"/>
      <c r="R17" t="e">
        <f ca="1">IF(OR($S$22,$S$26,$S$34,$W$34),((($C$19-20)/20)*VLOOKUP("*VDA*",INDIRECT($R$8),3,FALSE)+IF($C$19&gt;20,1,0)*SUMIF(INDIRECT($R$2),"*Controller*",INDIRECT($R$3))),NA())+IF($C$19=180,2,0)</f>
        <v>#N/A</v>
      </c>
      <c r="AA17" s="140">
        <v>70</v>
      </c>
      <c r="AB17" s="140">
        <v>70</v>
      </c>
      <c r="AC17" s="140">
        <v>115</v>
      </c>
      <c r="AD17" s="140"/>
      <c r="AE17" s="140"/>
      <c r="AH17" s="140">
        <v>70</v>
      </c>
      <c r="AI17" s="140">
        <v>70</v>
      </c>
      <c r="AJ17" s="140">
        <v>115</v>
      </c>
      <c r="AK17" s="140"/>
      <c r="AL17" s="140"/>
    </row>
    <row r="18" spans="1:38">
      <c r="A18" s="47"/>
      <c r="B18" s="53" t="s">
        <v>244</v>
      </c>
      <c r="C18" s="49" t="s">
        <v>208</v>
      </c>
      <c r="D18" s="47"/>
      <c r="E18" s="47"/>
      <c r="F18" s="53" t="s">
        <v>245</v>
      </c>
      <c r="G18" s="47"/>
      <c r="H18" s="47"/>
      <c r="I18" s="47"/>
      <c r="J18" s="47"/>
      <c r="K18" s="47"/>
      <c r="L18" s="47"/>
      <c r="M18" s="47"/>
      <c r="N18" s="48"/>
      <c r="O18" s="48"/>
      <c r="R18" t="e">
        <f ca="1">IF(OR($S$22,$S$26,$S$34,$W$34),((($C$19-20)/20)*VLOOKUP("*VDA*",INDIRECT($R$8),3,FALSE)+IF($C$19&gt;20,1,0)*SUMIF(INDIRECT($R$2),"*Controller*",INDIRECT($R$3))),NA())+IF($C$19=180,2,0)</f>
        <v>#N/A</v>
      </c>
      <c r="AA18" s="142"/>
      <c r="AB18" s="142"/>
      <c r="AC18" s="142"/>
      <c r="AD18" s="142"/>
      <c r="AE18" s="142"/>
      <c r="AH18" s="142"/>
      <c r="AI18" s="142"/>
      <c r="AJ18" s="142"/>
      <c r="AK18" s="142"/>
      <c r="AL18" s="142"/>
    </row>
    <row r="19" spans="1:38">
      <c r="A19" s="47"/>
      <c r="B19" s="53" t="s">
        <v>246</v>
      </c>
      <c r="C19" s="49">
        <v>20</v>
      </c>
      <c r="D19" s="47"/>
      <c r="E19" s="47"/>
      <c r="F19" s="48" t="s">
        <v>247</v>
      </c>
      <c r="G19" s="48" t="s">
        <v>248</v>
      </c>
      <c r="H19" s="48" t="s">
        <v>177</v>
      </c>
      <c r="I19" s="48" t="s">
        <v>249</v>
      </c>
      <c r="J19" s="47"/>
      <c r="K19" s="47"/>
      <c r="L19" s="47"/>
      <c r="M19" s="47"/>
      <c r="N19" s="48"/>
      <c r="O19" s="48"/>
      <c r="Y19" s="143" t="s">
        <v>250</v>
      </c>
      <c r="AA19" s="140" t="s">
        <v>251</v>
      </c>
      <c r="AB19" s="140" t="s">
        <v>252</v>
      </c>
      <c r="AC19" s="140" t="s">
        <v>253</v>
      </c>
      <c r="AD19" s="140" t="s">
        <v>254</v>
      </c>
      <c r="AE19" s="140" t="s">
        <v>255</v>
      </c>
      <c r="AH19" s="140" t="s">
        <v>256</v>
      </c>
      <c r="AI19" s="140" t="s">
        <v>257</v>
      </c>
      <c r="AJ19" s="140" t="s">
        <v>258</v>
      </c>
      <c r="AK19" s="140" t="s">
        <v>259</v>
      </c>
      <c r="AL19" s="140" t="s">
        <v>260</v>
      </c>
    </row>
    <row r="20" spans="1:38">
      <c r="A20" s="47"/>
      <c r="B20" s="53" t="s">
        <v>261</v>
      </c>
      <c r="C20" s="49" t="s">
        <v>205</v>
      </c>
      <c r="D20" s="47"/>
      <c r="E20" s="53" t="s">
        <v>262</v>
      </c>
      <c r="F20" s="49">
        <v>0</v>
      </c>
      <c r="G20" s="49">
        <v>0</v>
      </c>
      <c r="H20" s="49">
        <v>0</v>
      </c>
      <c r="I20" s="49">
        <v>0</v>
      </c>
      <c r="J20" s="47"/>
      <c r="K20" s="47"/>
      <c r="L20" s="50"/>
      <c r="M20" s="47"/>
      <c r="N20" s="48"/>
      <c r="O20" s="48"/>
      <c r="Y20" s="140">
        <v>20</v>
      </c>
      <c r="AA20" s="140">
        <v>59.4</v>
      </c>
      <c r="AB20" s="140">
        <v>59.4</v>
      </c>
      <c r="AC20" s="140">
        <v>116.99</v>
      </c>
      <c r="AD20" s="140">
        <v>460</v>
      </c>
      <c r="AE20" s="140">
        <v>460</v>
      </c>
      <c r="AH20" s="140">
        <v>66</v>
      </c>
      <c r="AI20" s="140">
        <v>66</v>
      </c>
      <c r="AJ20" s="140">
        <v>130</v>
      </c>
      <c r="AK20" s="140">
        <v>500</v>
      </c>
      <c r="AL20" s="140">
        <v>500</v>
      </c>
    </row>
    <row r="21" spans="1:38">
      <c r="A21" s="47"/>
      <c r="B21" s="53" t="s">
        <v>263</v>
      </c>
      <c r="C21" s="49" t="s">
        <v>264</v>
      </c>
      <c r="D21" s="47"/>
      <c r="E21" s="53" t="s">
        <v>265</v>
      </c>
      <c r="F21" s="58">
        <f ca="1">$D$49</f>
        <v>288</v>
      </c>
      <c r="G21" s="58">
        <f ca="1">$E$49</f>
        <v>720</v>
      </c>
      <c r="H21" s="58">
        <f ca="1">$F$49</f>
        <v>22991.9</v>
      </c>
      <c r="I21" s="58">
        <f>$G$49</f>
        <v>6735</v>
      </c>
      <c r="J21" s="47"/>
      <c r="K21" s="47"/>
      <c r="L21" s="47"/>
      <c r="M21" s="47"/>
      <c r="N21" s="48"/>
      <c r="O21" s="48"/>
      <c r="Q21" s="162">
        <f ca="1">('Cloud Configuration'!F47)</f>
        <v>0</v>
      </c>
      <c r="V21" t="s">
        <v>266</v>
      </c>
      <c r="Y21" s="140">
        <v>60</v>
      </c>
      <c r="AA21" s="142"/>
      <c r="AB21" s="142"/>
      <c r="AC21" s="142"/>
      <c r="AD21" s="142"/>
      <c r="AE21" s="142"/>
      <c r="AH21" s="142"/>
      <c r="AI21" s="142"/>
      <c r="AJ21" s="142"/>
      <c r="AK21" s="142"/>
      <c r="AL21" s="142"/>
    </row>
    <row r="22" spans="1:38">
      <c r="A22" s="47"/>
      <c r="B22" s="53" t="s">
        <v>267</v>
      </c>
      <c r="C22" s="49" t="s">
        <v>208</v>
      </c>
      <c r="D22" s="47"/>
      <c r="E22" s="53" t="s">
        <v>268</v>
      </c>
      <c r="F22" s="48" t="str">
        <f>IF(($F$20=0),"More vCPUs",(IF($C$4="Small",IF(($F$21/$F$20)&gt;2.25,"More vCPUs","OK"),IF($C$4="Mainstream",IF(($F$21/$F$20)&gt;1.5,"More vCPUs","OK"),IF($C$4="Large",IF(($F$21/$F$20)&gt;1.5,"More vCPUs","OK"),IF($C$4="XXL",IF(($F$21/$F$20)&gt;1.5,"More vCPUs","OK")))))))</f>
        <v>More vCPUs</v>
      </c>
      <c r="G22" s="48" t="str">
        <f ca="1">IF($G$21&gt;$G$20,"More vRAMs","OK")</f>
        <v>More vRAMs</v>
      </c>
      <c r="H22" s="48" t="str">
        <f ca="1">IF($H$21&gt;$H$20,"More VMDKs","OK")</f>
        <v>More VMDKs</v>
      </c>
      <c r="I22" s="48" t="str">
        <f>IF($I$21&gt;$I$20,"More storage","OK")</f>
        <v>More storage</v>
      </c>
      <c r="J22" s="47"/>
      <c r="K22" s="47"/>
      <c r="L22" s="47"/>
      <c r="M22" s="47"/>
      <c r="N22" s="48"/>
      <c r="O22" s="48"/>
      <c r="S22" t="b">
        <f>AND($C$4="Small",$C$19&lt;61)</f>
        <v>0</v>
      </c>
      <c r="V22" t="s">
        <v>208</v>
      </c>
      <c r="AA22" s="140" t="s">
        <v>269</v>
      </c>
      <c r="AB22" s="140" t="s">
        <v>270</v>
      </c>
      <c r="AC22" s="140" t="s">
        <v>271</v>
      </c>
      <c r="AD22" s="140"/>
      <c r="AE22" s="140"/>
      <c r="AH22" s="140" t="s">
        <v>272</v>
      </c>
      <c r="AI22" s="140" t="s">
        <v>273</v>
      </c>
      <c r="AJ22" s="140" t="s">
        <v>274</v>
      </c>
      <c r="AK22" s="140"/>
      <c r="AL22" s="140"/>
    </row>
    <row r="23" spans="1:38">
      <c r="A23" s="47"/>
      <c r="B23" s="53" t="s">
        <v>275</v>
      </c>
      <c r="C23" s="49" t="s">
        <v>208</v>
      </c>
      <c r="D23" s="47"/>
      <c r="E23" s="47"/>
      <c r="F23" s="47"/>
      <c r="G23" s="47"/>
      <c r="H23" s="47"/>
      <c r="I23" s="47"/>
      <c r="J23" s="47"/>
      <c r="K23" s="47"/>
      <c r="L23" s="47"/>
      <c r="M23" s="47"/>
      <c r="N23" s="48"/>
      <c r="O23" s="48"/>
      <c r="AA23" s="140">
        <v>59.4</v>
      </c>
      <c r="AB23" s="140">
        <v>59.4</v>
      </c>
      <c r="AC23" s="140">
        <v>116.99</v>
      </c>
      <c r="AD23" s="140"/>
      <c r="AE23" s="140"/>
      <c r="AH23" s="140">
        <v>66</v>
      </c>
      <c r="AI23" s="140">
        <v>66</v>
      </c>
      <c r="AJ23" s="140">
        <v>130</v>
      </c>
      <c r="AK23" s="140"/>
      <c r="AL23" s="140"/>
    </row>
    <row r="24" spans="1:38">
      <c r="A24" s="47"/>
      <c r="B24" s="53" t="s">
        <v>276</v>
      </c>
      <c r="C24" s="49" t="s">
        <v>208</v>
      </c>
      <c r="D24" s="47"/>
      <c r="E24" s="47"/>
      <c r="F24" s="47"/>
      <c r="G24" s="47"/>
      <c r="H24" s="47"/>
      <c r="I24" s="47"/>
      <c r="J24" s="47"/>
      <c r="K24" s="47"/>
      <c r="L24" s="47"/>
      <c r="M24" s="47"/>
      <c r="N24" s="48"/>
      <c r="O24" s="48"/>
      <c r="V24" t="s">
        <v>277</v>
      </c>
      <c r="AA24" s="142"/>
      <c r="AB24" s="142"/>
      <c r="AC24" s="142"/>
      <c r="AD24" s="142"/>
      <c r="AE24" s="142"/>
      <c r="AH24" s="142"/>
      <c r="AI24" s="142"/>
      <c r="AJ24" s="142"/>
      <c r="AK24" s="142"/>
      <c r="AL24" s="142"/>
    </row>
    <row r="25" spans="1:38">
      <c r="A25" s="47"/>
      <c r="B25" s="53" t="s">
        <v>278</v>
      </c>
      <c r="C25" s="49" t="s">
        <v>208</v>
      </c>
      <c r="D25" s="47"/>
      <c r="E25" s="47"/>
      <c r="F25" s="47"/>
      <c r="G25" s="47"/>
      <c r="H25" s="47"/>
      <c r="I25" s="47"/>
      <c r="J25" s="47"/>
      <c r="K25" s="47"/>
      <c r="L25" s="47"/>
      <c r="M25" s="47"/>
      <c r="N25" s="48"/>
      <c r="O25" s="48"/>
      <c r="V25" t="s">
        <v>208</v>
      </c>
      <c r="AA25" s="140" t="s">
        <v>279</v>
      </c>
      <c r="AB25" s="140" t="s">
        <v>280</v>
      </c>
      <c r="AC25" s="140" t="s">
        <v>281</v>
      </c>
      <c r="AD25" s="140" t="s">
        <v>282</v>
      </c>
      <c r="AE25" s="140" t="s">
        <v>283</v>
      </c>
      <c r="AH25" s="140" t="s">
        <v>284</v>
      </c>
      <c r="AI25" s="140" t="s">
        <v>285</v>
      </c>
      <c r="AJ25" s="140" t="s">
        <v>286</v>
      </c>
      <c r="AK25" s="140" t="s">
        <v>287</v>
      </c>
      <c r="AL25" s="140" t="s">
        <v>288</v>
      </c>
    </row>
    <row r="26" spans="1:38">
      <c r="A26" s="47"/>
      <c r="B26" s="53" t="s">
        <v>90</v>
      </c>
      <c r="C26" s="49" t="s">
        <v>208</v>
      </c>
      <c r="D26" s="47"/>
      <c r="E26" s="47"/>
      <c r="F26" s="47"/>
      <c r="G26" s="47"/>
      <c r="H26" s="47"/>
      <c r="I26" s="47"/>
      <c r="J26" s="47"/>
      <c r="K26" s="47"/>
      <c r="L26" s="47"/>
      <c r="M26" s="47"/>
      <c r="N26" s="48"/>
      <c r="O26" s="48"/>
      <c r="S26" t="b">
        <f>AND($C$4="Mainstream",$C$19&lt;101)</f>
        <v>0</v>
      </c>
      <c r="V26" t="s">
        <v>205</v>
      </c>
      <c r="AA26" s="140">
        <v>1012.5</v>
      </c>
      <c r="AB26" s="140">
        <v>2025</v>
      </c>
      <c r="AC26" s="140">
        <v>3375</v>
      </c>
      <c r="AD26" s="140">
        <v>12150</v>
      </c>
      <c r="AE26" s="140">
        <v>16600</v>
      </c>
      <c r="AH26" s="140">
        <v>1125</v>
      </c>
      <c r="AI26" s="140">
        <v>2250</v>
      </c>
      <c r="AJ26" s="140">
        <v>3750</v>
      </c>
      <c r="AK26" s="140">
        <v>13500</v>
      </c>
      <c r="AL26" s="140">
        <v>18000</v>
      </c>
    </row>
    <row r="27" spans="1:38">
      <c r="A27" s="47"/>
      <c r="B27" s="53" t="s">
        <v>94</v>
      </c>
      <c r="C27" s="49" t="s">
        <v>208</v>
      </c>
      <c r="D27" s="47"/>
      <c r="E27" s="47"/>
      <c r="F27" s="47"/>
      <c r="G27" s="47"/>
      <c r="H27" s="47"/>
      <c r="I27" s="47"/>
      <c r="J27" s="47"/>
      <c r="K27" s="47"/>
      <c r="L27" s="47"/>
      <c r="M27" s="47"/>
      <c r="N27" s="48"/>
      <c r="O27" s="48"/>
      <c r="Y27" s="143" t="s">
        <v>289</v>
      </c>
      <c r="AA27" s="142"/>
      <c r="AB27" s="142"/>
      <c r="AC27" s="142"/>
      <c r="AD27" s="142"/>
      <c r="AE27" s="142"/>
      <c r="AH27" s="142"/>
      <c r="AI27" s="142"/>
      <c r="AJ27" s="142"/>
      <c r="AK27" s="142"/>
      <c r="AL27" s="142"/>
    </row>
    <row r="28" spans="1:38">
      <c r="A28" s="47"/>
      <c r="B28" s="53" t="s">
        <v>118</v>
      </c>
      <c r="C28" s="49" t="s">
        <v>208</v>
      </c>
      <c r="D28" s="47"/>
      <c r="E28" s="47"/>
      <c r="F28" s="47"/>
      <c r="G28" s="47"/>
      <c r="H28" s="47"/>
      <c r="I28" s="47"/>
      <c r="J28" s="47"/>
      <c r="K28" s="47"/>
      <c r="L28" s="47"/>
      <c r="M28" s="47"/>
      <c r="N28" s="48"/>
      <c r="O28" s="48"/>
      <c r="Y28" s="140">
        <v>20</v>
      </c>
      <c r="AA28" s="140" t="s">
        <v>290</v>
      </c>
      <c r="AB28" s="140" t="s">
        <v>291</v>
      </c>
      <c r="AC28" s="140" t="s">
        <v>292</v>
      </c>
      <c r="AD28" s="140"/>
      <c r="AE28" s="140"/>
      <c r="AH28" s="140" t="s">
        <v>293</v>
      </c>
      <c r="AI28" s="140" t="s">
        <v>294</v>
      </c>
      <c r="AJ28" s="140" t="s">
        <v>295</v>
      </c>
      <c r="AK28" s="140"/>
      <c r="AL28" s="140"/>
    </row>
    <row r="29" spans="1:38">
      <c r="A29" s="47"/>
      <c r="B29" s="53" t="s">
        <v>223</v>
      </c>
      <c r="C29" s="49" t="s">
        <v>208</v>
      </c>
      <c r="D29" s="47"/>
      <c r="E29" s="47"/>
      <c r="F29" s="47"/>
      <c r="G29" s="47"/>
      <c r="H29" s="47"/>
      <c r="I29" s="47"/>
      <c r="J29" s="47"/>
      <c r="K29" s="47"/>
      <c r="L29" s="47"/>
      <c r="M29" s="47"/>
      <c r="N29" s="48"/>
      <c r="O29" s="48"/>
      <c r="Y29" s="140"/>
      <c r="AA29" s="140"/>
      <c r="AB29" s="140"/>
      <c r="AC29" s="140"/>
      <c r="AD29" s="140"/>
      <c r="AE29" s="140"/>
      <c r="AH29" s="140"/>
      <c r="AI29" s="140"/>
      <c r="AJ29" s="140"/>
      <c r="AK29" s="140"/>
      <c r="AL29" s="140"/>
    </row>
    <row r="30" spans="1:38">
      <c r="A30" s="47"/>
      <c r="B30" s="47"/>
      <c r="C30" s="47"/>
      <c r="D30" s="47"/>
      <c r="E30" s="47"/>
      <c r="F30" s="47"/>
      <c r="G30" s="47"/>
      <c r="H30" s="47"/>
      <c r="I30" s="47"/>
      <c r="J30" s="47"/>
      <c r="K30" s="47"/>
      <c r="L30" s="47"/>
      <c r="M30" s="47"/>
      <c r="N30" s="48"/>
      <c r="O30" s="48"/>
      <c r="Y30" s="140">
        <v>60</v>
      </c>
      <c r="AA30" s="140">
        <v>2295</v>
      </c>
      <c r="AB30" s="140">
        <v>2025</v>
      </c>
      <c r="AC30" s="140">
        <v>4590</v>
      </c>
      <c r="AD30" s="140"/>
      <c r="AE30" s="140"/>
      <c r="AH30" s="140">
        <v>2550</v>
      </c>
      <c r="AI30" s="140">
        <v>2250</v>
      </c>
      <c r="AJ30" s="140">
        <v>5100</v>
      </c>
      <c r="AK30" s="140"/>
      <c r="AL30" s="140"/>
    </row>
    <row r="31" spans="1:38">
      <c r="A31" s="47"/>
      <c r="B31" s="47"/>
      <c r="C31" s="47"/>
      <c r="D31" s="47"/>
      <c r="E31" s="47"/>
      <c r="F31" s="47"/>
      <c r="G31" s="47"/>
      <c r="H31" s="47"/>
      <c r="I31" s="47"/>
      <c r="J31" s="47"/>
      <c r="K31" s="47"/>
      <c r="L31" s="47"/>
      <c r="M31" s="47"/>
      <c r="N31" s="48"/>
      <c r="O31" s="48"/>
      <c r="Y31" s="144">
        <v>100</v>
      </c>
      <c r="AA31" s="142"/>
      <c r="AB31" s="142"/>
      <c r="AC31" s="142"/>
      <c r="AD31" s="142"/>
      <c r="AE31" s="142"/>
      <c r="AH31" s="142"/>
      <c r="AI31" s="142"/>
      <c r="AJ31" s="142"/>
      <c r="AK31" s="142"/>
      <c r="AL31" s="142"/>
    </row>
    <row r="32" spans="1:38">
      <c r="A32" s="47"/>
      <c r="B32" s="47"/>
      <c r="C32" s="47"/>
      <c r="D32" s="47"/>
      <c r="E32" s="47"/>
      <c r="F32" s="47"/>
      <c r="G32" s="47"/>
      <c r="H32" s="47"/>
      <c r="I32" s="47"/>
      <c r="J32" s="47"/>
      <c r="K32" s="47"/>
      <c r="L32" s="47"/>
      <c r="M32" s="47"/>
      <c r="N32" s="48"/>
      <c r="O32" s="48"/>
      <c r="Y32" s="3"/>
      <c r="AA32" s="140" t="s">
        <v>296</v>
      </c>
      <c r="AB32" s="140" t="s">
        <v>297</v>
      </c>
      <c r="AC32" s="140" t="s">
        <v>298</v>
      </c>
      <c r="AD32" s="140" t="s">
        <v>299</v>
      </c>
      <c r="AE32" s="140" t="s">
        <v>300</v>
      </c>
      <c r="AH32" s="140" t="s">
        <v>301</v>
      </c>
      <c r="AI32" s="140" t="s">
        <v>302</v>
      </c>
      <c r="AJ32" s="140" t="s">
        <v>303</v>
      </c>
      <c r="AK32" s="140" t="s">
        <v>304</v>
      </c>
      <c r="AL32" s="140" t="s">
        <v>305</v>
      </c>
    </row>
    <row r="33" spans="1:38">
      <c r="A33" s="51"/>
      <c r="B33" s="51"/>
      <c r="C33" s="51"/>
      <c r="D33" s="51"/>
      <c r="E33" s="51"/>
      <c r="F33" s="51"/>
      <c r="G33" s="51"/>
      <c r="H33" s="51"/>
      <c r="I33" s="51"/>
      <c r="J33" s="52"/>
      <c r="K33" s="52"/>
      <c r="L33" s="52"/>
      <c r="M33" s="52"/>
      <c r="N33" s="48"/>
      <c r="O33" s="48"/>
      <c r="AA33" s="140">
        <v>6735</v>
      </c>
      <c r="AB33" s="140">
        <v>11249.5</v>
      </c>
      <c r="AC33" s="140">
        <v>16771.5</v>
      </c>
      <c r="AD33" s="140">
        <v>35934</v>
      </c>
      <c r="AE33" s="140">
        <v>39113</v>
      </c>
      <c r="AH33" s="140">
        <v>3050</v>
      </c>
      <c r="AI33" s="140">
        <v>6855</v>
      </c>
      <c r="AJ33" s="140">
        <v>11375</v>
      </c>
      <c r="AK33" s="140">
        <v>31056</v>
      </c>
      <c r="AL33" s="140">
        <v>34400</v>
      </c>
    </row>
    <row r="34" spans="1:38">
      <c r="A34" s="51"/>
      <c r="B34" s="54" t="s">
        <v>306</v>
      </c>
      <c r="C34" s="54" t="s">
        <v>179</v>
      </c>
      <c r="D34" s="54" t="s">
        <v>307</v>
      </c>
      <c r="E34" s="54" t="s">
        <v>308</v>
      </c>
      <c r="F34" s="54" t="s">
        <v>309</v>
      </c>
      <c r="G34" s="54" t="s">
        <v>310</v>
      </c>
      <c r="H34" s="54" t="s">
        <v>311</v>
      </c>
      <c r="I34" s="51" t="s">
        <v>312</v>
      </c>
      <c r="J34" s="52"/>
      <c r="K34" s="52"/>
      <c r="L34" s="52"/>
      <c r="M34" s="52"/>
      <c r="N34" s="48"/>
      <c r="O34" s="48"/>
      <c r="S34" t="b">
        <f>IF($C$4="Large",TRUE,FALSE)</f>
        <v>0</v>
      </c>
      <c r="W34" t="b">
        <f>IF($C$4="XXL",TRUE,FALSE)</f>
        <v>0</v>
      </c>
      <c r="Z34" t="b">
        <f>IF($C$4="3XL",TRUE,FALSE)</f>
        <v>1</v>
      </c>
      <c r="AA34" s="142"/>
      <c r="AB34" s="142"/>
      <c r="AC34" s="142"/>
      <c r="AD34" s="142"/>
      <c r="AE34" s="142"/>
      <c r="AH34" s="142"/>
      <c r="AI34" s="142"/>
      <c r="AJ34" s="142"/>
      <c r="AK34" s="142"/>
      <c r="AL34" s="142"/>
    </row>
    <row r="35" spans="1:38">
      <c r="A35" s="51"/>
      <c r="B35" s="54"/>
      <c r="C35" s="59" t="s">
        <v>313</v>
      </c>
      <c r="D35" s="59" t="s">
        <v>157</v>
      </c>
      <c r="E35" s="59" t="s">
        <v>173</v>
      </c>
      <c r="F35" s="59" t="s">
        <v>314</v>
      </c>
      <c r="G35" s="59" t="s">
        <v>315</v>
      </c>
      <c r="H35" s="59" t="s">
        <v>219</v>
      </c>
      <c r="I35" s="51"/>
      <c r="J35" s="52"/>
      <c r="K35" s="52"/>
      <c r="L35" s="52"/>
      <c r="M35" s="52"/>
      <c r="N35" s="48"/>
      <c r="O35" s="48"/>
      <c r="AA35" s="140" t="s">
        <v>316</v>
      </c>
      <c r="AB35" s="140" t="s">
        <v>317</v>
      </c>
      <c r="AC35" s="140" t="s">
        <v>318</v>
      </c>
      <c r="AD35" s="140"/>
      <c r="AE35" s="140"/>
      <c r="AH35" s="140" t="s">
        <v>319</v>
      </c>
      <c r="AI35" s="140" t="s">
        <v>320</v>
      </c>
      <c r="AJ35" s="140" t="s">
        <v>321</v>
      </c>
      <c r="AK35" s="140"/>
      <c r="AL35" s="140"/>
    </row>
    <row r="36" spans="1:38">
      <c r="A36" s="51"/>
      <c r="B36" s="54" t="s">
        <v>322</v>
      </c>
      <c r="C36" s="60">
        <f>R9</f>
        <v>39</v>
      </c>
      <c r="D36" s="60">
        <f ca="1">IF(C4="Small",INDIRECT(ADDRESS($R$7,6,,,$E$4))-6+C7,IF(C4="Mainstream",INDIRECT(ADDRESS($R$7,6,,,$E$4))-11+C7,IF(C4="Large",INDIRECT(ADDRESS($R$7,6,,,$E$4))-16+C7,IF(C4="XXL",INDIRECT(ADDRESS($R$7,6,,,$E$4))-16+C7,IF(C4="3XL",INDIRECT(ADDRESS($R$7,6,,,$E$4))-24+C7)))))</f>
        <v>252</v>
      </c>
      <c r="E36" s="60">
        <f ca="1">IF(C4="Small",INDIRECT(ADDRESS($R$7,7,,,$E$4))-40+C6,IF(C4="Mainstream",INDIRECT(ADDRESS($R$7,7,,,$E$4))-70+C6,IF(C4="Large",INDIRECT(ADDRESS($R$7,7,,,$E$4))-90+C6,IF(C4="XXL",INDIRECT(ADDRESS($R$7,7,,,$E$4))-160+C6,IF(C4="3XL",INDIRECT(ADDRESS($R$7,7,,,$E$4))-240+C6)))))</f>
        <v>606</v>
      </c>
      <c r="F36" s="60">
        <f ca="1">INDIRECT(ADDRESS($R$7,$S$5,,,$E$4))+C5+C8+C9+C11+C12+C13+C14+C15</f>
        <v>21867.9</v>
      </c>
      <c r="G36" s="60">
        <f>$C$10</f>
        <v>6735</v>
      </c>
      <c r="H36" s="60">
        <f ca="1">$R$11+$R$12</f>
        <v>0</v>
      </c>
      <c r="I36" s="51"/>
      <c r="J36" s="52"/>
      <c r="K36" s="52"/>
      <c r="L36" s="52"/>
      <c r="M36" s="52"/>
      <c r="N36" s="48"/>
      <c r="O36" s="48"/>
      <c r="AA36" s="140">
        <v>10560</v>
      </c>
      <c r="AB36" s="140">
        <v>11269.5</v>
      </c>
      <c r="AC36" s="140">
        <v>23589</v>
      </c>
      <c r="AD36" s="140"/>
      <c r="AE36" s="140"/>
      <c r="AH36" s="140">
        <v>7300</v>
      </c>
      <c r="AI36" s="140">
        <v>6855</v>
      </c>
      <c r="AJ36" s="140">
        <v>18950</v>
      </c>
      <c r="AK36" s="140"/>
      <c r="AL36" s="140"/>
    </row>
    <row r="37" spans="1:38">
      <c r="A37" s="51"/>
      <c r="B37" s="54" t="str">
        <f>B18</f>
        <v>Thresholder and Profiler</v>
      </c>
      <c r="C37" s="60">
        <f>IF($C$18="Used",IF($C$4="Small",1,0)+IF($C$4="Mainstream",1,0)+IF($C$4="Large",1,0)+IF($C$4="XXL",1,0)+IF($C$4="3XL",1,0),0)</f>
        <v>0</v>
      </c>
      <c r="D37" s="60">
        <f ca="1">IF($C$18="Used",1,0)*SUMIF(INDIRECT($R$2),"T&amp;P",INDIRECT($R$3))</f>
        <v>0</v>
      </c>
      <c r="E37" s="60">
        <f ca="1">IF($C$18="Used",1,0)*SUMIF(INDIRECT($R$2),"T&amp;P",INDIRECT($R$4))</f>
        <v>0</v>
      </c>
      <c r="F37" s="60">
        <f ca="1">IF($C$18="Used",1,0)*SUMIF(INDIRECT($R$2),"T&amp;P",INDIRECT($R$5))</f>
        <v>0</v>
      </c>
      <c r="G37" s="60">
        <f>IF($C$18="Used",IF($C$2="OpenStack",F37*2,0),0)</f>
        <v>0</v>
      </c>
      <c r="H37" s="60">
        <f>IF($C$18="Used",$W$1,0)</f>
        <v>0</v>
      </c>
      <c r="I37" s="51"/>
      <c r="J37" s="52"/>
      <c r="K37" s="52"/>
      <c r="L37" s="52"/>
      <c r="M37" s="52"/>
      <c r="N37" s="48"/>
      <c r="O37" s="48"/>
      <c r="AA37" s="142"/>
      <c r="AB37" s="142"/>
      <c r="AC37" s="142"/>
      <c r="AD37" s="142"/>
      <c r="AE37" s="142"/>
      <c r="AH37" s="142"/>
      <c r="AI37" s="142"/>
      <c r="AJ37" s="142"/>
      <c r="AK37" s="142"/>
      <c r="AL37" s="142"/>
    </row>
    <row r="38" spans="1:38">
      <c r="A38" s="51"/>
      <c r="B38" s="54" t="s">
        <v>323</v>
      </c>
      <c r="C38" s="60">
        <f>IF($C$19&gt;=20, IF(C19=20,3,0)+IF(C19=60,4,0)+IF(C19=100,6,0)+IF(C19=180,10,0),0)</f>
        <v>3</v>
      </c>
      <c r="D38" s="60">
        <f>IF($C$19&gt;=20, 4+4+4*IF($C$19=20,1,0)+4*IF($C$19=60,2,0)+4*IF($C$19=100,4,0)+4*IF($C$19=180,8,0),0)</f>
        <v>12</v>
      </c>
      <c r="E38" s="60">
        <f>IF($C$19&gt;=20, 4+14+16*IF($C$19=20,1,0)+16*IF($C$19=60,2,0)+16*IF($C$19=100,4,0)+16*IF($C$19=180,8,0),0)</f>
        <v>34</v>
      </c>
      <c r="F38" s="60">
        <f>IF($C$19&gt;=20, 100+100+100*IF($C$19=20,1.2,0)+100*IF($C$19=60,2.2,0)+100*IF($C$19=100,4.2,0)+100*IF($C$19=180,8.2,0),0)</f>
        <v>320</v>
      </c>
      <c r="G38" s="60">
        <f>IF($C$2="OpenStack",F38*2,0)</f>
        <v>0</v>
      </c>
      <c r="H38" s="60">
        <f>IF($C$2="OpenStack",$W$2,0)</f>
        <v>0</v>
      </c>
      <c r="I38" s="51" t="s">
        <v>324</v>
      </c>
      <c r="J38" s="52"/>
      <c r="K38" s="52"/>
      <c r="L38" s="52"/>
      <c r="M38" s="52"/>
      <c r="N38" s="48"/>
      <c r="O38" s="48"/>
      <c r="Y38" s="143" t="s">
        <v>325</v>
      </c>
      <c r="AA38" s="140" t="s">
        <v>326</v>
      </c>
      <c r="AB38" s="140" t="s">
        <v>327</v>
      </c>
      <c r="AC38" s="140" t="s">
        <v>328</v>
      </c>
      <c r="AD38" s="140" t="s">
        <v>329</v>
      </c>
      <c r="AE38" s="140" t="s">
        <v>330</v>
      </c>
      <c r="AH38" s="140" t="s">
        <v>331</v>
      </c>
      <c r="AI38" s="140" t="s">
        <v>332</v>
      </c>
      <c r="AJ38" s="140" t="s">
        <v>333</v>
      </c>
      <c r="AK38" s="140" t="s">
        <v>334</v>
      </c>
      <c r="AL38" s="140" t="s">
        <v>335</v>
      </c>
    </row>
    <row r="39" spans="1:38">
      <c r="A39" s="51"/>
      <c r="B39" s="54" t="str">
        <f>B20</f>
        <v>Security Log Collector</v>
      </c>
      <c r="C39" s="60">
        <f>IF($C$20="Used",IF($C$4="Small",2,0)+IF($C$4="Mainstream",4,0)+IF($C$4="Large",4,0)+IF($C$4="XXL",4,0)+IF($C$4="3XL",4,0),0)</f>
        <v>4</v>
      </c>
      <c r="D39" s="60">
        <f ca="1">IF($C$20="Used",1,0)*SUMIF(INDIRECT($R$2),"SLC*",INDIRECT($R$3))</f>
        <v>24</v>
      </c>
      <c r="E39" s="60">
        <f ca="1">IF($C$20="Used",1,0)*SUMIF(INDIRECT($R$2),"SLC*",INDIRECT($R$4))</f>
        <v>80</v>
      </c>
      <c r="F39" s="60">
        <f ca="1">IF($C$20="Used",1,0)*SUMIF(INDIRECT($R$2),"SLC",INDIRECT($R$5))</f>
        <v>804</v>
      </c>
      <c r="G39" s="60">
        <f>IF($C$20="Used",IF($C$2="OpenStack",F39*2,0),0)</f>
        <v>0</v>
      </c>
      <c r="H39" s="60">
        <f>IF($C$20="Used",$W$4,0)</f>
        <v>0</v>
      </c>
      <c r="I39" s="51"/>
      <c r="J39" s="52"/>
      <c r="K39" s="52"/>
      <c r="L39" s="52"/>
      <c r="M39" s="52"/>
      <c r="N39" s="48"/>
      <c r="O39" s="48"/>
      <c r="Y39" s="140">
        <v>20</v>
      </c>
      <c r="AA39" s="140">
        <v>312</v>
      </c>
      <c r="AB39" s="140">
        <v>393</v>
      </c>
      <c r="AC39" s="140">
        <v>549</v>
      </c>
      <c r="AD39" s="140">
        <v>834.99</v>
      </c>
      <c r="AE39" s="140">
        <v>1250</v>
      </c>
      <c r="AH39" s="140">
        <v>340</v>
      </c>
      <c r="AI39" s="140">
        <v>430</v>
      </c>
      <c r="AJ39" s="140">
        <v>600</v>
      </c>
      <c r="AK39" s="140">
        <v>920</v>
      </c>
      <c r="AL39" s="140">
        <v>1395</v>
      </c>
    </row>
    <row r="40" spans="1:38">
      <c r="A40" s="51"/>
      <c r="B40" s="54" t="str">
        <f>B21</f>
        <v>Single RAN BTS Adapter</v>
      </c>
      <c r="C40" s="60">
        <f>IF($C$21="Used",0,0)</f>
        <v>0</v>
      </c>
      <c r="D40" s="60">
        <f ca="1">IF($C$21="Used",1,0)*SUMIF(INDIRECT($R$2),"SBTS*",INDIRECT($R$3))</f>
        <v>0</v>
      </c>
      <c r="E40" s="60">
        <f ca="1">IF($C$21="Used",1,0)*SUMIF(INDIRECT($R$2),"SBTS*",INDIRECT($R$4))</f>
        <v>0</v>
      </c>
      <c r="F40" s="60">
        <f ca="1">IF($C$21="Used",1,0)*SUMIF(INDIRECT($R$2),"SBTS",INDIRECT($R$5))</f>
        <v>0</v>
      </c>
      <c r="G40" s="60">
        <f>IF($C$21="Used",IF($C$2="OpenStack",F40*2,0),0)</f>
        <v>0</v>
      </c>
      <c r="H40" s="60">
        <f>IF($C$21="Used",$W$5,0)</f>
        <v>0</v>
      </c>
      <c r="I40" s="51"/>
      <c r="J40" s="52"/>
      <c r="K40" s="52"/>
      <c r="L40" s="52"/>
      <c r="M40" s="52"/>
      <c r="N40" s="48"/>
      <c r="O40" s="48"/>
      <c r="Y40" s="140">
        <v>60</v>
      </c>
      <c r="AA40" s="142"/>
      <c r="AB40" s="142"/>
      <c r="AC40" s="142"/>
      <c r="AD40" s="142"/>
      <c r="AE40" s="142"/>
      <c r="AH40" s="142"/>
      <c r="AI40" s="142"/>
      <c r="AJ40" s="142"/>
      <c r="AK40" s="142"/>
      <c r="AL40" s="142"/>
    </row>
    <row r="41" spans="1:38">
      <c r="A41" s="51"/>
      <c r="B41" s="54" t="str">
        <f>B22</f>
        <v>Centralized license Server</v>
      </c>
      <c r="C41" s="60">
        <f>IF($C$22="Used",3,0)</f>
        <v>0</v>
      </c>
      <c r="D41" s="60">
        <f ca="1">IF($C$22="Used",1,0)*SUMIF(INDIRECT($R$2),"CLS*",INDIRECT($R$3))</f>
        <v>0</v>
      </c>
      <c r="E41" s="60">
        <f ca="1">IF($C$22="Used",1,0)*SUMIF(INDIRECT($R$2),"CLS*",INDIRECT($R$4))</f>
        <v>0</v>
      </c>
      <c r="F41" s="60">
        <f ca="1">IF($C$22="Used",1,0)*SUMIF(INDIRECT($R$2),"CLS*",INDIRECT($R$5))</f>
        <v>0</v>
      </c>
      <c r="G41" s="60">
        <f>IF($C$22="Used",IF($C$2="OpenStack",F41*2,0),0)</f>
        <v>0</v>
      </c>
      <c r="H41" s="60">
        <f>IF($C$22="Used",$W$6,0)</f>
        <v>0</v>
      </c>
      <c r="I41" s="51"/>
      <c r="J41" s="52"/>
      <c r="K41" s="52"/>
      <c r="L41" s="52"/>
      <c r="M41" s="52"/>
      <c r="N41" s="48"/>
      <c r="O41" s="48"/>
      <c r="Y41" s="140">
        <v>100</v>
      </c>
      <c r="AA41" s="140" t="s">
        <v>336</v>
      </c>
      <c r="AB41" s="140" t="s">
        <v>337</v>
      </c>
      <c r="AC41" s="140" t="s">
        <v>338</v>
      </c>
      <c r="AD41" s="140" t="s">
        <v>339</v>
      </c>
      <c r="AE41" s="140" t="s">
        <v>340</v>
      </c>
      <c r="AH41" s="140" t="s">
        <v>341</v>
      </c>
      <c r="AI41" s="140" t="s">
        <v>342</v>
      </c>
      <c r="AJ41" s="140" t="s">
        <v>343</v>
      </c>
      <c r="AK41" s="140" t="s">
        <v>344</v>
      </c>
      <c r="AL41" s="140" t="s">
        <v>345</v>
      </c>
    </row>
    <row r="42" spans="1:38">
      <c r="A42" s="51"/>
      <c r="B42" s="54" t="s">
        <v>275</v>
      </c>
      <c r="C42" s="60">
        <f>IF($C$23="Used",IF($C$4="Small",2,0)+IF($C$4="Mainstream",2,0)+IF($C$4="Large",2,0)+IF($C$4="XXL",2,0)+IF($C$4="3XL",2,0),0)</f>
        <v>0</v>
      </c>
      <c r="D42" s="60">
        <f ca="1">IF($C$23="Used",1,0)*SUMIF(INDIRECT($R$2),"BTSMED*",INDIRECT($R$3))</f>
        <v>0</v>
      </c>
      <c r="E42" s="60">
        <f ca="1">IF($C$23="Used",1,0)*SUMIF(INDIRECT($R$2),"BTSMED*",INDIRECT($R$4))</f>
        <v>0</v>
      </c>
      <c r="F42" s="60">
        <f ca="1">IF($C$23="Used",1,0)*SUMIF(INDIRECT($R$2),"BTSMED",INDIRECT($R$5))</f>
        <v>0</v>
      </c>
      <c r="G42" s="60">
        <f>IF($C$23="Used",IF($C$2="OpenStack",F42*2,0),0)</f>
        <v>0</v>
      </c>
      <c r="H42" s="60">
        <f>IF($C$23="Used",$W$9,0)</f>
        <v>0</v>
      </c>
      <c r="I42" s="51"/>
      <c r="J42" s="52"/>
      <c r="K42" s="52"/>
      <c r="L42" s="52"/>
      <c r="M42" s="52"/>
      <c r="N42" s="48"/>
      <c r="O42" s="48"/>
      <c r="Y42" s="140">
        <v>180</v>
      </c>
      <c r="AA42" s="140">
        <v>90</v>
      </c>
      <c r="AB42" s="140">
        <v>90</v>
      </c>
      <c r="AC42" s="140">
        <v>180</v>
      </c>
      <c r="AD42" s="140">
        <v>180</v>
      </c>
      <c r="AE42" s="140">
        <v>300</v>
      </c>
      <c r="AH42" s="140">
        <v>100</v>
      </c>
      <c r="AI42" s="140">
        <v>100</v>
      </c>
      <c r="AJ42" s="140">
        <v>200</v>
      </c>
      <c r="AK42" s="140">
        <v>200</v>
      </c>
      <c r="AL42" s="140">
        <v>332</v>
      </c>
    </row>
    <row r="43" spans="1:38">
      <c r="A43" s="51"/>
      <c r="B43" s="54" t="s">
        <v>276</v>
      </c>
      <c r="C43" s="60">
        <f>IF($C$24="Used",IF($C$4="Small",1,0)+IF($C$4="Mainstream",1,0)+IF($C$4="Large",2,0)+IF($C$4="XXL",2,0)+IF($C$4="3XL",2,0),0)</f>
        <v>0</v>
      </c>
      <c r="D43" s="60">
        <f ca="1">IF($C$24="Used",1,0)*SUMIF(INDIRECT($R$2),"LTE-A*",INDIRECT($R$3))</f>
        <v>0</v>
      </c>
      <c r="E43" s="60">
        <f ca="1">IF($C$24="Used",1,0)*SUMIF(INDIRECT($R$2),"LTE-A*",INDIRECT($R$4))</f>
        <v>0</v>
      </c>
      <c r="F43" s="60">
        <f ca="1">IF($C$24="Used",1,0)*SUMIF(INDIRECT($R$2),"LTE-A",INDIRECT($R$5))</f>
        <v>0</v>
      </c>
      <c r="G43" s="60">
        <f>IF($C$24="Used",IF($C$2="OpenStack",F43*2,0),0)</f>
        <v>0</v>
      </c>
      <c r="H43" s="60">
        <f>IF($C$24="Used",$W$10,0)</f>
        <v>0</v>
      </c>
      <c r="I43" s="51"/>
      <c r="J43" s="52"/>
      <c r="K43" s="52"/>
      <c r="L43" s="52"/>
      <c r="M43" s="52"/>
      <c r="N43" s="48"/>
      <c r="O43" s="48"/>
      <c r="AA43" s="142"/>
      <c r="AB43" s="142"/>
      <c r="AC43" s="142"/>
      <c r="AD43" s="142"/>
      <c r="AE43" s="142"/>
      <c r="AH43" s="142"/>
      <c r="AI43" s="142"/>
      <c r="AJ43" s="142"/>
      <c r="AK43" s="142"/>
      <c r="AL43" s="142"/>
    </row>
    <row r="44" spans="1:38">
      <c r="A44" s="51"/>
      <c r="B44" s="54" t="s">
        <v>278</v>
      </c>
      <c r="C44" s="60">
        <f>IF($C$25="Used",6,0)</f>
        <v>0</v>
      </c>
      <c r="D44" s="60">
        <f ca="1">IF($C$25="Used",1,0)*SUMIF(INDIRECT($R$2),"*360*",INDIRECT($R$3))</f>
        <v>0</v>
      </c>
      <c r="E44" s="60">
        <f ca="1">IF($C$25="Used",1,0)*SUMIF((INDIRECT($R$6)),"*360*",INDIRECT($R$4))</f>
        <v>0</v>
      </c>
      <c r="F44" s="60">
        <f ca="1">IF($C$25="Used",1,0)*SUMIF((INDIRECT($R$6)),"*360*",INDIRECT($R$5)) + IF($C$25="Used",1,0)*IF($C$2="Vmware",250,IF($C$2="OpenStack",256,0))</f>
        <v>0</v>
      </c>
      <c r="G44" s="60">
        <f>IF($C$25="Used",IF($C$2="OpenStack",F44*2,0),0)</f>
        <v>0</v>
      </c>
      <c r="H44" s="60">
        <f>IF($C$25="Used",$W$11,0)</f>
        <v>0</v>
      </c>
      <c r="I44" s="51"/>
      <c r="J44" s="52"/>
      <c r="K44" s="52"/>
      <c r="L44" s="52"/>
      <c r="M44" s="52"/>
      <c r="N44" s="48"/>
      <c r="O44" s="48"/>
      <c r="Y44" s="98"/>
      <c r="AA44" s="140" t="s">
        <v>346</v>
      </c>
      <c r="AB44" s="140" t="s">
        <v>347</v>
      </c>
      <c r="AC44" s="140" t="s">
        <v>348</v>
      </c>
      <c r="AD44" s="140" t="s">
        <v>349</v>
      </c>
      <c r="AE44" s="140" t="s">
        <v>350</v>
      </c>
      <c r="AH44" s="140" t="s">
        <v>351</v>
      </c>
      <c r="AI44" s="140" t="s">
        <v>352</v>
      </c>
      <c r="AJ44" s="140" t="s">
        <v>353</v>
      </c>
      <c r="AK44" s="140" t="s">
        <v>354</v>
      </c>
      <c r="AL44" s="140" t="s">
        <v>355</v>
      </c>
    </row>
    <row r="45" spans="1:38">
      <c r="A45" s="51"/>
      <c r="B45" s="54" t="s">
        <v>90</v>
      </c>
      <c r="C45" s="60">
        <f>IF($C$26="Used",3,0)</f>
        <v>0</v>
      </c>
      <c r="D45" s="60">
        <f ca="1">IF($C$26="Used",1,0)*SUMIF(INDIRECT($R$2),"NetGuard",INDIRECT($R$3))</f>
        <v>0</v>
      </c>
      <c r="E45" s="60">
        <f ca="1">IF($C$26="Used",1,0)*SUMIF(INDIRECT($R$2),"NetGuard*",INDIRECT($R$4))</f>
        <v>0</v>
      </c>
      <c r="F45" s="60">
        <f ca="1">IF($C$26="Used",1,0)*SUMIF(INDIRECT($R$2),"NetGuard",INDIRECT($R$5))</f>
        <v>0</v>
      </c>
      <c r="G45" s="60">
        <f>IF($C$26="Used",IF($C$2="OpenStack",F45*2,0),0)</f>
        <v>0</v>
      </c>
      <c r="H45" s="60">
        <f>IF($C$26="Used",$W$12,0)</f>
        <v>0</v>
      </c>
      <c r="I45" s="51"/>
      <c r="J45" s="52"/>
      <c r="K45" s="52"/>
      <c r="L45" s="52"/>
      <c r="M45" s="52"/>
      <c r="N45" s="48"/>
      <c r="O45" s="48"/>
      <c r="AA45" s="140">
        <v>50</v>
      </c>
      <c r="AB45" s="140">
        <v>50</v>
      </c>
      <c r="AC45" s="140">
        <v>50</v>
      </c>
      <c r="AD45" s="140">
        <v>50</v>
      </c>
      <c r="AE45" s="140">
        <v>50</v>
      </c>
      <c r="AH45" s="140">
        <v>50</v>
      </c>
      <c r="AI45" s="140">
        <v>50</v>
      </c>
      <c r="AJ45" s="140">
        <v>50</v>
      </c>
      <c r="AK45" s="140">
        <v>50</v>
      </c>
      <c r="AL45" s="140">
        <v>50</v>
      </c>
    </row>
    <row r="46" spans="1:38">
      <c r="A46" s="51"/>
      <c r="B46" s="54" t="s">
        <v>94</v>
      </c>
      <c r="C46" s="60">
        <f>IF($C$27="Used",1,0)</f>
        <v>0</v>
      </c>
      <c r="D46" s="60">
        <f ca="1">IF($C$27="Used",1,0)*SUMIF(INDIRECT($R$2),"NBIVES",INDIRECT($R$3))</f>
        <v>0</v>
      </c>
      <c r="E46" s="60">
        <f ca="1">IF($C$27="Used",1,0)*SUMIF(INDIRECT($R$2),"NBIVES*",INDIRECT($R$4))</f>
        <v>0</v>
      </c>
      <c r="F46" s="60">
        <f ca="1">IF($C$27="Used",1,0)*SUMIF(INDIRECT($R$2),"NBIVES",INDIRECT($R$5))</f>
        <v>0</v>
      </c>
      <c r="G46" s="60">
        <f>IF($C$27="Used",IF($C$2="OpenStack",F46*2,0),0)</f>
        <v>0</v>
      </c>
      <c r="H46" s="60">
        <f>IF($C$27="Used",$W$15,0)</f>
        <v>0</v>
      </c>
      <c r="I46" s="51"/>
      <c r="J46" s="52"/>
      <c r="K46" s="52"/>
      <c r="L46" s="52"/>
      <c r="M46" s="52"/>
      <c r="N46" s="48"/>
      <c r="O46" s="48"/>
      <c r="S46" s="4"/>
      <c r="U46" s="4"/>
      <c r="AA46" s="142"/>
      <c r="AB46" s="142"/>
      <c r="AC46" s="142"/>
      <c r="AD46" s="142"/>
      <c r="AE46" s="142"/>
      <c r="AH46" s="142"/>
      <c r="AI46" s="142"/>
      <c r="AJ46" s="142"/>
      <c r="AK46" s="142"/>
      <c r="AL46" s="142"/>
    </row>
    <row r="47" spans="1:38">
      <c r="A47" s="51"/>
      <c r="B47" s="54" t="s">
        <v>118</v>
      </c>
      <c r="C47" s="60">
        <f>IF($C$2="VmWare",IF($C$28="Used",1,0),0)</f>
        <v>0</v>
      </c>
      <c r="D47" s="60">
        <f ca="1">IF($C$28="Used",1,0)*SUMIF(INDIRECT($R$2),"Greylog*",INDIRECT($R$3))</f>
        <v>0</v>
      </c>
      <c r="E47" s="60">
        <f ca="1">IF($C$28="Used",1,0)*SUMIF(INDIRECT($R$2),"Graylog*",INDIRECT($R$4))</f>
        <v>0</v>
      </c>
      <c r="F47" s="60">
        <f ca="1">IF($C$28="Used",1,0)*SUMIF(INDIRECT($R$2),"GreyLog",INDIRECT($R$5))</f>
        <v>0</v>
      </c>
      <c r="G47" s="60">
        <f>IF($C$28="Used",IF($C$2="OpenStack",F47*2,0),0)</f>
        <v>0</v>
      </c>
      <c r="H47" s="60">
        <f>IF($C$2="VmWare",0,0)</f>
        <v>0</v>
      </c>
      <c r="I47" s="51"/>
      <c r="J47" s="52"/>
      <c r="K47" s="52"/>
      <c r="L47" s="52"/>
      <c r="M47" s="52"/>
      <c r="N47" s="48"/>
      <c r="O47" s="48"/>
      <c r="S47" s="4"/>
      <c r="U47" s="4"/>
      <c r="AA47" s="140" t="s">
        <v>356</v>
      </c>
      <c r="AB47" s="140" t="s">
        <v>357</v>
      </c>
      <c r="AC47" s="140" t="s">
        <v>358</v>
      </c>
      <c r="AD47" s="140" t="s">
        <v>359</v>
      </c>
      <c r="AE47" s="140" t="s">
        <v>360</v>
      </c>
      <c r="AH47" s="140" t="s">
        <v>361</v>
      </c>
      <c r="AI47" s="140" t="s">
        <v>362</v>
      </c>
      <c r="AJ47" s="140" t="s">
        <v>363</v>
      </c>
      <c r="AK47" s="140" t="s">
        <v>364</v>
      </c>
      <c r="AL47" s="140" t="s">
        <v>365</v>
      </c>
    </row>
    <row r="48" spans="1:38">
      <c r="A48" s="51"/>
      <c r="B48" s="54" t="s">
        <v>223</v>
      </c>
      <c r="C48" s="60">
        <f>IF($C$2="VmWare",IF($C$29="Used",2,0),0)</f>
        <v>0</v>
      </c>
      <c r="D48" s="60">
        <f ca="1">IF($C$29="Used",1,0)*SUMIF(INDIRECT($R$2),"TEAS*",INDIRECT($R$3))</f>
        <v>0</v>
      </c>
      <c r="E48" s="60">
        <f ca="1">IF($C$29="Used",1,0)*SUMIF(INDIRECT($R$2),"TEAS*",INDIRECT($R$4))</f>
        <v>0</v>
      </c>
      <c r="F48" s="60">
        <f ca="1">IF($C$29="Used",1,0)*SUMIF(INDIRECT($R$2),"TEAS",INDIRECT($R$5))</f>
        <v>0</v>
      </c>
      <c r="G48" s="60">
        <f>IF($C$29="Used",IF($C$2="OpenStack",F47*2,0),0)</f>
        <v>0</v>
      </c>
      <c r="H48" s="60">
        <f>IF($C$29="Used",$W$13,0)</f>
        <v>0</v>
      </c>
      <c r="I48" s="51"/>
      <c r="J48" s="52"/>
      <c r="K48" s="52"/>
      <c r="L48" s="52"/>
      <c r="M48" s="52"/>
      <c r="N48" s="48"/>
      <c r="O48" s="48"/>
      <c r="S48" s="4"/>
      <c r="U48" s="4"/>
      <c r="AA48" s="140"/>
      <c r="AB48" s="140"/>
      <c r="AC48" s="140"/>
      <c r="AD48" s="140"/>
      <c r="AE48" s="140"/>
      <c r="AH48" s="140"/>
      <c r="AI48" s="140"/>
      <c r="AJ48" s="140"/>
      <c r="AK48" s="140"/>
      <c r="AL48" s="140"/>
    </row>
    <row r="49" spans="1:38">
      <c r="A49" s="51"/>
      <c r="B49" s="55" t="s">
        <v>366</v>
      </c>
      <c r="C49" s="61">
        <f>SUM(C36:C48)</f>
        <v>46</v>
      </c>
      <c r="D49" s="61">
        <f ca="1">SUM(D36:D48)</f>
        <v>288</v>
      </c>
      <c r="E49" s="61">
        <f ca="1">SUM(E36:E48)</f>
        <v>720</v>
      </c>
      <c r="F49" s="61">
        <f ca="1">SUM(F36:F48)</f>
        <v>22991.9</v>
      </c>
      <c r="G49" s="61">
        <f>C10+SUM(G37:G48)</f>
        <v>6735</v>
      </c>
      <c r="H49" s="61">
        <f ca="1">SUM(H36:H48)</f>
        <v>0</v>
      </c>
      <c r="I49" s="51"/>
      <c r="J49" s="52"/>
      <c r="K49" s="52"/>
      <c r="L49" s="52"/>
      <c r="M49" s="52"/>
      <c r="N49" s="48"/>
      <c r="O49" s="48"/>
      <c r="AA49" s="140">
        <v>65</v>
      </c>
      <c r="AB49" s="140">
        <v>170</v>
      </c>
      <c r="AC49" s="140">
        <v>170</v>
      </c>
      <c r="AD49" s="140">
        <v>200</v>
      </c>
      <c r="AE49" s="140">
        <v>200</v>
      </c>
      <c r="AH49" s="140">
        <v>65</v>
      </c>
      <c r="AI49" s="140">
        <v>170</v>
      </c>
      <c r="AJ49" s="140">
        <v>170</v>
      </c>
      <c r="AK49" s="140">
        <v>200</v>
      </c>
      <c r="AL49" s="140">
        <v>200</v>
      </c>
    </row>
    <row r="50" spans="1:38">
      <c r="A50" s="51"/>
      <c r="B50" s="51"/>
      <c r="C50" s="51"/>
      <c r="D50" s="52"/>
      <c r="E50" s="52"/>
      <c r="F50" s="79" t="s">
        <v>367</v>
      </c>
      <c r="G50" s="52"/>
      <c r="H50" s="52"/>
      <c r="I50" s="51"/>
      <c r="J50" s="52"/>
      <c r="K50" s="52"/>
      <c r="L50" s="52"/>
      <c r="M50" s="52"/>
      <c r="N50" s="48"/>
      <c r="O50" s="48"/>
      <c r="Y50" s="141" t="s">
        <v>368</v>
      </c>
      <c r="AA50" s="142"/>
      <c r="AB50" s="142"/>
      <c r="AC50" s="142"/>
      <c r="AD50" s="142"/>
      <c r="AE50" s="142"/>
      <c r="AH50" s="142"/>
      <c r="AI50" s="142"/>
      <c r="AJ50" s="142"/>
      <c r="AK50" s="142"/>
      <c r="AL50" s="142"/>
    </row>
    <row r="51" spans="1:38">
      <c r="A51" s="51"/>
      <c r="B51" s="51"/>
      <c r="C51" s="51"/>
      <c r="D51" s="52"/>
      <c r="E51" s="52"/>
      <c r="F51" s="52"/>
      <c r="G51" s="52"/>
      <c r="H51" s="52"/>
      <c r="I51" s="51"/>
      <c r="J51" s="52"/>
      <c r="K51" s="52"/>
      <c r="L51" s="52"/>
      <c r="M51" s="52"/>
      <c r="N51" s="48"/>
      <c r="O51" s="48"/>
      <c r="Y51" s="140">
        <v>20</v>
      </c>
      <c r="AA51" s="140" t="s">
        <v>369</v>
      </c>
      <c r="AB51" s="140" t="s">
        <v>370</v>
      </c>
      <c r="AC51" s="140" t="s">
        <v>371</v>
      </c>
      <c r="AD51" s="140" t="s">
        <v>372</v>
      </c>
      <c r="AE51" s="140" t="s">
        <v>373</v>
      </c>
      <c r="AH51" s="140" t="s">
        <v>374</v>
      </c>
      <c r="AI51" s="140" t="s">
        <v>375</v>
      </c>
      <c r="AJ51" s="140" t="s">
        <v>376</v>
      </c>
      <c r="AK51" s="140" t="s">
        <v>377</v>
      </c>
      <c r="AL51" s="140" t="s">
        <v>378</v>
      </c>
    </row>
    <row r="52" spans="1:38">
      <c r="A52" s="51"/>
      <c r="B52" s="51"/>
      <c r="C52" s="51"/>
      <c r="D52" s="52"/>
      <c r="E52" s="52"/>
      <c r="F52" s="79" t="s">
        <v>367</v>
      </c>
      <c r="G52" s="52"/>
      <c r="H52" s="52"/>
      <c r="I52" s="51"/>
      <c r="J52" s="52"/>
      <c r="K52" s="52"/>
      <c r="L52" s="52"/>
      <c r="M52" s="52"/>
      <c r="N52" s="48"/>
      <c r="O52" s="48"/>
      <c r="Y52" s="140">
        <v>60</v>
      </c>
      <c r="AA52" s="140">
        <v>270</v>
      </c>
      <c r="AB52" s="140">
        <v>270</v>
      </c>
      <c r="AC52" s="140">
        <v>270</v>
      </c>
      <c r="AD52" s="140">
        <v>270</v>
      </c>
      <c r="AE52" s="140">
        <v>270</v>
      </c>
      <c r="AH52" s="140">
        <v>300</v>
      </c>
      <c r="AI52" s="140">
        <v>300</v>
      </c>
      <c r="AJ52" s="140">
        <v>300</v>
      </c>
      <c r="AK52" s="140">
        <v>300</v>
      </c>
      <c r="AL52" s="140">
        <v>300</v>
      </c>
    </row>
    <row r="53" spans="1:38">
      <c r="A53" s="51"/>
      <c r="B53" s="51"/>
      <c r="C53" s="51"/>
      <c r="D53" s="52"/>
      <c r="E53" s="52"/>
      <c r="F53" s="52"/>
      <c r="G53" s="52"/>
      <c r="H53" s="52"/>
      <c r="I53" s="51"/>
      <c r="J53" s="52"/>
      <c r="K53" s="52"/>
      <c r="L53" s="52"/>
      <c r="M53" s="52"/>
      <c r="N53" s="48"/>
      <c r="O53" s="48"/>
      <c r="S53" s="4"/>
      <c r="U53" s="4"/>
      <c r="Y53" s="140">
        <v>100</v>
      </c>
    </row>
    <row r="54" spans="1:38">
      <c r="A54" s="51"/>
      <c r="B54" s="51"/>
      <c r="C54" s="51"/>
      <c r="D54" s="52"/>
      <c r="E54" s="52"/>
      <c r="F54" s="52"/>
      <c r="G54" s="52"/>
      <c r="H54" s="52"/>
      <c r="I54" s="51"/>
      <c r="J54" s="52"/>
      <c r="K54" s="52"/>
      <c r="L54" s="52"/>
      <c r="M54" s="52"/>
      <c r="N54" s="48"/>
      <c r="O54" s="48"/>
      <c r="Y54" s="140">
        <v>180</v>
      </c>
    </row>
    <row r="55" spans="1:38">
      <c r="A55" s="51"/>
      <c r="B55" s="51"/>
      <c r="C55" s="51"/>
      <c r="D55" s="52"/>
      <c r="E55" s="52"/>
      <c r="F55" s="52"/>
      <c r="G55" s="52"/>
      <c r="H55" s="52"/>
      <c r="I55" s="51"/>
      <c r="J55" s="52"/>
      <c r="K55" s="52"/>
      <c r="L55" s="52"/>
      <c r="M55" s="52"/>
      <c r="N55" s="48"/>
      <c r="O55" s="48"/>
    </row>
    <row r="56" spans="1:38">
      <c r="B56" s="48"/>
      <c r="C56" s="48"/>
      <c r="D56" s="48"/>
      <c r="E56" s="48"/>
      <c r="F56" s="48"/>
      <c r="G56" s="48"/>
      <c r="H56" s="48"/>
      <c r="I56" s="48"/>
      <c r="J56" s="48"/>
      <c r="K56" s="48"/>
      <c r="L56" s="48"/>
      <c r="M56" s="48"/>
      <c r="N56" s="48"/>
      <c r="O56" s="48"/>
      <c r="S56" s="4"/>
      <c r="U56" s="4"/>
    </row>
    <row r="57" spans="1:38">
      <c r="B57" s="48"/>
      <c r="C57" s="48"/>
      <c r="D57" s="48"/>
      <c r="E57" s="48"/>
      <c r="F57" s="48"/>
      <c r="G57" s="48"/>
      <c r="H57" s="48"/>
      <c r="I57" s="48"/>
      <c r="J57" s="48"/>
      <c r="K57" s="48"/>
      <c r="L57" s="48"/>
      <c r="M57" s="48"/>
      <c r="N57" s="48"/>
      <c r="O57" s="48"/>
    </row>
    <row r="58" spans="1:38">
      <c r="B58" s="48"/>
      <c r="C58" s="48"/>
      <c r="D58" s="48"/>
      <c r="E58" s="48"/>
      <c r="F58" s="48"/>
      <c r="G58" s="48"/>
      <c r="H58" s="48"/>
      <c r="I58" s="48"/>
      <c r="J58" s="48"/>
      <c r="K58" s="48"/>
      <c r="L58" s="48"/>
      <c r="M58" s="48"/>
      <c r="N58" s="48"/>
      <c r="O58" s="48"/>
    </row>
    <row r="59" spans="1:38">
      <c r="B59" s="48"/>
      <c r="C59" s="48"/>
      <c r="D59" s="48"/>
      <c r="E59" s="48"/>
      <c r="F59" s="48"/>
      <c r="G59" s="48"/>
      <c r="H59" s="48"/>
      <c r="I59" s="48"/>
      <c r="J59" s="48"/>
      <c r="K59" s="48"/>
      <c r="L59" s="48"/>
      <c r="M59" s="48"/>
      <c r="N59" s="48"/>
      <c r="O59" s="48"/>
      <c r="R59" s="36"/>
    </row>
    <row r="60" spans="1:38">
      <c r="B60" s="48"/>
      <c r="C60" s="48"/>
      <c r="D60" s="48"/>
      <c r="E60" s="48"/>
      <c r="F60" s="48"/>
      <c r="G60" s="48"/>
      <c r="H60" s="48"/>
      <c r="I60" s="48"/>
      <c r="J60" s="48"/>
      <c r="K60" s="48"/>
      <c r="L60" s="48"/>
      <c r="M60" s="48"/>
      <c r="N60" s="48"/>
      <c r="O60" s="48"/>
      <c r="R60" s="36"/>
      <c r="Y60" s="141" t="s">
        <v>379</v>
      </c>
    </row>
    <row r="61" spans="1:38">
      <c r="B61" s="48"/>
      <c r="C61" s="48"/>
      <c r="D61" s="48"/>
      <c r="E61" s="48"/>
      <c r="F61" s="48"/>
      <c r="G61" s="48"/>
      <c r="H61" s="48"/>
      <c r="I61" s="48"/>
      <c r="J61" s="48"/>
      <c r="K61" s="48"/>
      <c r="L61" s="48"/>
      <c r="M61" s="48"/>
      <c r="N61" s="48"/>
      <c r="O61" s="48"/>
      <c r="Y61" s="140">
        <v>20</v>
      </c>
    </row>
    <row r="62" spans="1:38">
      <c r="B62" s="48"/>
      <c r="C62" s="48"/>
      <c r="D62" s="48"/>
      <c r="E62" s="48"/>
      <c r="F62" s="48"/>
      <c r="G62" s="48"/>
      <c r="H62" s="48"/>
      <c r="I62" s="48"/>
      <c r="J62" s="48"/>
      <c r="K62" s="48"/>
      <c r="L62" s="48"/>
      <c r="M62" s="48"/>
      <c r="N62" s="48"/>
      <c r="O62" s="48"/>
      <c r="Y62" s="140">
        <v>60</v>
      </c>
    </row>
    <row r="63" spans="1:38">
      <c r="B63" s="48"/>
      <c r="C63" s="48"/>
      <c r="D63" s="48"/>
      <c r="E63" s="48"/>
      <c r="F63" s="48"/>
      <c r="G63" s="48"/>
      <c r="H63" s="48"/>
      <c r="I63" s="48"/>
      <c r="J63" s="48"/>
      <c r="K63" s="48"/>
      <c r="L63" s="48"/>
      <c r="M63" s="48"/>
      <c r="N63" s="48"/>
      <c r="O63" s="48"/>
      <c r="Y63" s="140">
        <v>100</v>
      </c>
    </row>
    <row r="64" spans="1:38">
      <c r="B64" s="48"/>
      <c r="C64" s="48"/>
      <c r="D64" s="48"/>
      <c r="E64" s="48"/>
      <c r="F64" s="48"/>
      <c r="G64" s="48"/>
      <c r="H64" s="48"/>
      <c r="I64" s="48"/>
      <c r="J64" s="48"/>
      <c r="K64" s="48"/>
      <c r="L64" s="48"/>
      <c r="M64" s="48"/>
      <c r="N64" s="48"/>
      <c r="O64" s="48"/>
      <c r="Y64" s="140">
        <v>180</v>
      </c>
    </row>
    <row r="65" spans="2:17">
      <c r="B65" s="48"/>
      <c r="C65" s="48"/>
      <c r="D65" s="48"/>
      <c r="E65" s="48"/>
      <c r="F65" s="48"/>
      <c r="G65" s="48"/>
      <c r="H65" s="48"/>
      <c r="I65" s="48"/>
      <c r="J65" s="48"/>
      <c r="K65" s="48"/>
      <c r="L65" s="48"/>
      <c r="M65" s="48"/>
      <c r="N65" s="48"/>
      <c r="O65" s="48"/>
    </row>
    <row r="66" spans="2:17">
      <c r="B66" s="48"/>
      <c r="C66" s="48"/>
      <c r="D66" s="48"/>
      <c r="E66" s="48"/>
      <c r="F66" s="48"/>
      <c r="G66" s="48"/>
      <c r="H66" s="48"/>
      <c r="I66" s="48"/>
      <c r="J66" s="48"/>
      <c r="K66" s="48"/>
      <c r="L66" s="48"/>
      <c r="M66" s="48"/>
      <c r="N66" s="48"/>
      <c r="O66" s="48"/>
    </row>
    <row r="67" spans="2:17">
      <c r="B67" s="48"/>
      <c r="C67" s="48"/>
      <c r="D67" s="48"/>
      <c r="E67" s="48"/>
      <c r="F67" s="48"/>
      <c r="G67" s="48"/>
      <c r="H67" s="48"/>
      <c r="I67" s="48"/>
      <c r="J67" s="48"/>
      <c r="K67" s="48"/>
      <c r="L67" s="48"/>
      <c r="M67" s="48"/>
      <c r="N67" s="48"/>
      <c r="O67" s="48"/>
    </row>
    <row r="68" spans="2:17">
      <c r="B68" s="48"/>
      <c r="C68" s="48"/>
      <c r="D68" s="48"/>
      <c r="E68" s="48"/>
      <c r="F68" s="48"/>
      <c r="G68" s="48"/>
      <c r="H68" s="48"/>
      <c r="I68" s="48"/>
      <c r="J68" s="48"/>
      <c r="K68" s="48"/>
      <c r="L68" s="48"/>
      <c r="M68" s="48"/>
      <c r="N68" s="48"/>
      <c r="O68" s="48"/>
    </row>
    <row r="69" spans="2:17">
      <c r="B69" s="48"/>
      <c r="C69" s="48"/>
      <c r="D69" s="48"/>
      <c r="E69" s="48"/>
      <c r="F69" s="48"/>
      <c r="G69" s="48"/>
      <c r="H69" s="48"/>
      <c r="I69" s="48"/>
      <c r="J69" s="48"/>
      <c r="K69" s="48"/>
      <c r="L69" s="48"/>
      <c r="M69" s="48"/>
      <c r="N69" s="48"/>
      <c r="O69" s="48"/>
    </row>
    <row r="70" spans="2:17">
      <c r="B70" s="48"/>
      <c r="C70" s="48"/>
      <c r="D70" s="48"/>
      <c r="E70" s="48"/>
      <c r="F70" s="48"/>
      <c r="G70" s="48"/>
      <c r="H70" s="48"/>
      <c r="I70" s="48"/>
      <c r="J70" s="48"/>
      <c r="K70" s="48"/>
      <c r="L70" s="48"/>
      <c r="M70" s="48"/>
      <c r="N70" s="48"/>
      <c r="O70" s="48"/>
    </row>
    <row r="71" spans="2:17">
      <c r="B71" s="48"/>
      <c r="C71" s="48"/>
      <c r="D71" s="48"/>
      <c r="E71" s="48"/>
      <c r="F71" s="48"/>
      <c r="G71" s="48"/>
      <c r="H71" s="48"/>
      <c r="I71" s="48"/>
      <c r="J71" s="48"/>
      <c r="K71" s="48"/>
      <c r="L71" s="48"/>
      <c r="M71" s="48"/>
      <c r="N71" s="48"/>
      <c r="O71" s="48"/>
    </row>
    <row r="72" spans="2:17">
      <c r="B72" s="48"/>
      <c r="C72" s="48"/>
      <c r="D72" s="48"/>
      <c r="E72" s="48"/>
      <c r="F72" s="48"/>
      <c r="G72" s="48"/>
      <c r="H72" s="48"/>
      <c r="I72" s="48"/>
      <c r="J72" s="48"/>
      <c r="K72" s="48"/>
      <c r="L72" s="48"/>
      <c r="M72" s="48"/>
      <c r="N72" s="48"/>
      <c r="O72" s="48"/>
    </row>
    <row r="73" spans="2:17">
      <c r="B73" s="48"/>
      <c r="C73" s="48"/>
      <c r="D73" s="48"/>
      <c r="E73" s="48"/>
      <c r="F73" s="48"/>
      <c r="G73" s="48"/>
      <c r="H73" s="48"/>
      <c r="I73" s="48"/>
      <c r="J73" s="48"/>
      <c r="K73" s="48"/>
      <c r="L73" s="48"/>
      <c r="M73" s="48"/>
      <c r="N73" s="48"/>
      <c r="O73" s="48"/>
    </row>
    <row r="74" spans="2:17">
      <c r="B74" s="48"/>
      <c r="C74" s="48"/>
      <c r="D74" s="48"/>
      <c r="E74" s="48"/>
      <c r="F74" s="48"/>
      <c r="G74" s="48"/>
      <c r="H74" s="48"/>
      <c r="I74" s="48"/>
      <c r="J74" s="48"/>
      <c r="K74" s="48"/>
      <c r="L74" s="48"/>
      <c r="M74" s="48"/>
      <c r="N74" s="48"/>
      <c r="O74" s="48"/>
    </row>
    <row r="75" spans="2:17">
      <c r="B75" s="48"/>
      <c r="C75" s="48"/>
      <c r="D75" s="48"/>
      <c r="E75" s="48"/>
      <c r="F75" s="48"/>
      <c r="G75" s="48"/>
      <c r="H75" s="48"/>
      <c r="I75" s="48"/>
      <c r="J75" s="48"/>
      <c r="K75" s="48"/>
      <c r="L75" s="48"/>
      <c r="M75" s="48"/>
      <c r="N75" s="48"/>
      <c r="O75" s="48"/>
    </row>
    <row r="76" spans="2:17" ht="14.1" customHeight="1">
      <c r="B76" s="48"/>
      <c r="C76" s="48"/>
      <c r="D76" s="48"/>
      <c r="E76" s="48"/>
      <c r="F76" s="48"/>
      <c r="G76" s="48"/>
      <c r="H76" s="48"/>
      <c r="I76" s="48"/>
      <c r="J76" s="48"/>
      <c r="K76" s="48"/>
      <c r="L76" s="48"/>
      <c r="M76" s="48"/>
      <c r="N76" s="48"/>
      <c r="O76" s="48"/>
    </row>
    <row r="77" spans="2:17">
      <c r="B77" s="48"/>
      <c r="C77" s="48"/>
      <c r="D77" s="48"/>
      <c r="E77" s="48"/>
      <c r="F77" s="48"/>
      <c r="G77" s="48"/>
      <c r="H77" s="48"/>
      <c r="I77" s="48"/>
      <c r="J77" s="48"/>
      <c r="K77" s="48"/>
      <c r="L77" s="48"/>
      <c r="M77" s="48"/>
      <c r="N77" s="48"/>
      <c r="O77" s="48"/>
    </row>
    <row r="78" spans="2:17">
      <c r="B78" s="48"/>
      <c r="C78" s="48"/>
      <c r="D78" s="48"/>
      <c r="E78" s="48"/>
      <c r="F78" s="48"/>
      <c r="G78" s="48"/>
      <c r="H78" s="48"/>
      <c r="I78" s="48"/>
      <c r="J78" s="48"/>
      <c r="K78" s="48"/>
      <c r="L78" s="48"/>
      <c r="M78" s="48"/>
      <c r="N78" s="48"/>
      <c r="O78" s="48"/>
    </row>
    <row r="79" spans="2:17">
      <c r="B79" s="48"/>
      <c r="C79" s="48"/>
      <c r="D79" s="48"/>
      <c r="E79" s="48"/>
      <c r="F79" s="48"/>
      <c r="G79" s="48"/>
      <c r="H79" s="48"/>
      <c r="I79" s="48"/>
      <c r="J79" s="48"/>
      <c r="K79" s="48"/>
      <c r="L79" s="48"/>
      <c r="M79" s="48"/>
      <c r="N79" s="48"/>
      <c r="O79" s="48"/>
      <c r="Q79" s="4"/>
    </row>
    <row r="80" spans="2:17">
      <c r="B80" s="48"/>
      <c r="C80" s="48"/>
      <c r="D80" s="48"/>
      <c r="E80" s="48"/>
      <c r="F80" s="48"/>
      <c r="G80" s="48"/>
      <c r="H80" s="48"/>
      <c r="I80" s="48"/>
      <c r="J80" s="48"/>
      <c r="K80" s="48"/>
      <c r="L80" s="48"/>
      <c r="M80" s="48"/>
      <c r="N80" s="48"/>
      <c r="O80" s="48"/>
      <c r="Q80" s="4"/>
    </row>
    <row r="81" spans="2:17">
      <c r="B81" s="48"/>
      <c r="C81" s="48"/>
      <c r="D81" s="48"/>
      <c r="E81" s="48"/>
      <c r="F81" s="48"/>
      <c r="G81" s="48"/>
      <c r="H81" s="48"/>
      <c r="I81" s="48"/>
      <c r="J81" s="48"/>
      <c r="K81" s="48"/>
      <c r="L81" s="48"/>
      <c r="M81" s="48"/>
      <c r="N81" s="48"/>
      <c r="O81" s="48"/>
      <c r="Q81" s="4"/>
    </row>
    <row r="82" spans="2:17">
      <c r="B82" s="48"/>
      <c r="C82" s="48"/>
      <c r="D82" s="48"/>
      <c r="E82" s="48"/>
      <c r="F82" s="48"/>
      <c r="G82" s="48"/>
      <c r="H82" s="48"/>
      <c r="I82" s="48"/>
      <c r="J82" s="48"/>
      <c r="K82" s="48"/>
      <c r="L82" s="48"/>
      <c r="M82" s="48"/>
      <c r="N82" s="48"/>
      <c r="O82" s="48"/>
      <c r="Q82" s="4"/>
    </row>
    <row r="83" spans="2:17">
      <c r="B83" s="48"/>
      <c r="C83" s="48"/>
      <c r="D83" s="48"/>
      <c r="E83" s="48"/>
      <c r="F83" s="48"/>
      <c r="G83" s="48"/>
      <c r="H83" s="48"/>
      <c r="I83" s="48"/>
      <c r="J83" s="48"/>
      <c r="K83" s="48"/>
      <c r="L83" s="48"/>
      <c r="M83" s="48"/>
      <c r="N83" s="48"/>
      <c r="O83" s="48"/>
      <c r="Q83" s="4"/>
    </row>
    <row r="84" spans="2:17">
      <c r="B84" s="48"/>
      <c r="C84" s="48"/>
      <c r="D84" s="48"/>
      <c r="E84" s="48"/>
      <c r="F84" s="48"/>
      <c r="G84" s="48"/>
      <c r="H84" s="48"/>
      <c r="I84" s="48"/>
      <c r="J84" s="48"/>
      <c r="K84" s="48"/>
      <c r="L84" s="48"/>
      <c r="M84" s="48"/>
      <c r="N84" s="48"/>
      <c r="O84" s="48"/>
      <c r="Q84" s="4"/>
    </row>
    <row r="85" spans="2:17">
      <c r="B85" s="48"/>
      <c r="C85" s="48"/>
      <c r="D85" s="48"/>
      <c r="E85" s="48"/>
      <c r="F85" s="48"/>
      <c r="G85" s="48"/>
      <c r="H85" s="48"/>
      <c r="I85" s="48"/>
      <c r="J85" s="48"/>
      <c r="K85" s="48"/>
      <c r="L85" s="48"/>
      <c r="M85" s="48"/>
      <c r="N85" s="48"/>
      <c r="O85" s="48"/>
      <c r="Q85" s="4"/>
    </row>
    <row r="86" spans="2:17">
      <c r="B86" s="48"/>
      <c r="C86" s="48"/>
      <c r="D86" s="48"/>
      <c r="E86" s="48"/>
      <c r="F86" s="48"/>
      <c r="G86" s="48"/>
      <c r="H86" s="48"/>
      <c r="I86" s="48"/>
      <c r="J86" s="48"/>
      <c r="K86" s="48"/>
      <c r="L86" s="48"/>
      <c r="M86" s="48"/>
      <c r="N86" s="48"/>
      <c r="O86" s="48"/>
      <c r="Q86" s="4"/>
    </row>
    <row r="87" spans="2:17">
      <c r="B87" s="48"/>
      <c r="C87" s="48"/>
      <c r="D87" s="48"/>
      <c r="E87" s="48"/>
      <c r="F87" s="48"/>
      <c r="G87" s="48"/>
      <c r="H87" s="48"/>
      <c r="I87" s="48"/>
      <c r="J87" s="48"/>
      <c r="K87" s="48"/>
      <c r="L87" s="48"/>
      <c r="M87" s="48"/>
      <c r="N87" s="48"/>
      <c r="O87" s="48"/>
      <c r="Q87" s="4"/>
    </row>
    <row r="88" spans="2:17">
      <c r="B88" s="48"/>
      <c r="C88" s="48"/>
      <c r="D88" s="48"/>
      <c r="E88" s="48"/>
      <c r="F88" s="48"/>
      <c r="G88" s="48"/>
      <c r="H88" s="48"/>
      <c r="I88" s="48"/>
      <c r="J88" s="48"/>
      <c r="K88" s="48"/>
      <c r="L88" s="48"/>
      <c r="M88" s="48"/>
      <c r="N88" s="48"/>
      <c r="O88" s="48"/>
    </row>
    <row r="89" spans="2:17">
      <c r="B89" s="48"/>
      <c r="C89" s="48"/>
      <c r="D89" s="48"/>
      <c r="E89" s="48"/>
      <c r="F89" s="48"/>
      <c r="G89" s="48"/>
      <c r="H89" s="48"/>
      <c r="I89" s="48"/>
      <c r="J89" s="48"/>
      <c r="K89" s="48"/>
      <c r="L89" s="48"/>
      <c r="M89" s="48"/>
      <c r="N89" s="48"/>
      <c r="O89" s="48"/>
    </row>
    <row r="90" spans="2:17">
      <c r="B90" s="48"/>
      <c r="C90" s="48"/>
      <c r="D90" s="48"/>
      <c r="E90" s="48"/>
      <c r="F90" s="48"/>
      <c r="G90" s="48"/>
      <c r="H90" s="48"/>
      <c r="I90" s="48"/>
      <c r="J90" s="48"/>
      <c r="K90" s="48"/>
      <c r="L90" s="48"/>
      <c r="M90" s="48"/>
      <c r="N90" s="48"/>
      <c r="O90" s="48"/>
    </row>
    <row r="91" spans="2:17">
      <c r="B91" s="48"/>
      <c r="C91" s="48"/>
      <c r="D91" s="48"/>
      <c r="E91" s="48"/>
      <c r="F91" s="48"/>
      <c r="G91" s="48"/>
      <c r="H91" s="48"/>
      <c r="I91" s="48"/>
      <c r="J91" s="48"/>
      <c r="K91" s="48"/>
      <c r="L91" s="48"/>
      <c r="M91" s="48"/>
      <c r="N91" s="48"/>
      <c r="O91" s="48"/>
    </row>
    <row r="92" spans="2:17">
      <c r="B92" s="48"/>
      <c r="C92" s="48"/>
      <c r="D92" s="48"/>
      <c r="E92" s="48"/>
      <c r="F92" s="48"/>
      <c r="G92" s="48"/>
      <c r="H92" s="48"/>
      <c r="I92" s="48"/>
      <c r="J92" s="48"/>
      <c r="K92" s="48"/>
      <c r="L92" s="48"/>
      <c r="M92" s="48"/>
      <c r="N92" s="48"/>
      <c r="O92" s="48"/>
    </row>
    <row r="93" spans="2:17">
      <c r="M93" s="6"/>
    </row>
    <row r="94" spans="2:17">
      <c r="M94" s="6"/>
    </row>
    <row r="95" spans="2:17">
      <c r="M95" s="6"/>
    </row>
    <row r="96" spans="2:17">
      <c r="M96" s="6"/>
    </row>
    <row r="97" spans="2:18">
      <c r="R97" s="73"/>
    </row>
    <row r="98" spans="2:18">
      <c r="M98" s="6"/>
    </row>
    <row r="99" spans="2:18">
      <c r="M99" s="6"/>
    </row>
    <row r="100" spans="2:18">
      <c r="M100" s="6"/>
    </row>
    <row r="101" spans="2:18">
      <c r="M101" s="6"/>
    </row>
    <row r="102" spans="2:18" ht="17.45">
      <c r="B102" s="82"/>
      <c r="M102" s="6"/>
    </row>
    <row r="103" spans="2:18">
      <c r="M103" s="6"/>
      <c r="R103" s="73"/>
    </row>
    <row r="104" spans="2:18">
      <c r="M104" s="6"/>
    </row>
    <row r="109" spans="2:18">
      <c r="R109" s="73"/>
    </row>
    <row r="115" spans="18:18">
      <c r="R115" s="73"/>
    </row>
    <row r="116" spans="18:18">
      <c r="R116" s="73"/>
    </row>
    <row r="133" spans="18:18">
      <c r="R133" s="73"/>
    </row>
    <row r="139" spans="18:18">
      <c r="R139" s="73"/>
    </row>
    <row r="145" spans="18:18">
      <c r="R145" s="73"/>
    </row>
    <row r="151" spans="18:18">
      <c r="R151" s="73"/>
    </row>
    <row r="181" spans="18:18">
      <c r="R181" s="73"/>
    </row>
    <row r="187" spans="18:18">
      <c r="R187" s="73"/>
    </row>
    <row r="193" spans="18:18">
      <c r="R193" s="72"/>
    </row>
    <row r="194" spans="18:18">
      <c r="R194" s="72"/>
    </row>
    <row r="196" spans="18:18">
      <c r="R196" s="72"/>
    </row>
    <row r="197" spans="18:18">
      <c r="R197" s="72"/>
    </row>
    <row r="199" spans="18:18">
      <c r="R199" s="72"/>
    </row>
    <row r="217" spans="18:18">
      <c r="R217" s="72"/>
    </row>
    <row r="218" spans="18:18">
      <c r="R218" s="72"/>
    </row>
    <row r="220" spans="18:18">
      <c r="R220" s="72"/>
    </row>
    <row r="221" spans="18:18">
      <c r="R221" s="72"/>
    </row>
    <row r="223" spans="18:18">
      <c r="R223" s="72"/>
    </row>
    <row r="226" spans="18:21">
      <c r="U226" s="73"/>
    </row>
    <row r="236" spans="18:21">
      <c r="R236" s="71"/>
    </row>
    <row r="248" spans="18:21">
      <c r="R248" s="71"/>
    </row>
    <row r="256" spans="18:21">
      <c r="U256" s="73"/>
    </row>
    <row r="259" spans="18:21">
      <c r="U259" s="73"/>
    </row>
    <row r="266" spans="18:21">
      <c r="R266" s="73"/>
    </row>
    <row r="269" spans="18:21">
      <c r="R269" s="73"/>
    </row>
    <row r="275" spans="18:21">
      <c r="U275" s="73"/>
    </row>
    <row r="279" spans="18:21">
      <c r="U279" s="73"/>
    </row>
    <row r="280" spans="18:21">
      <c r="R280" s="73"/>
    </row>
    <row r="283" spans="18:21">
      <c r="U283" s="73"/>
    </row>
    <row r="286" spans="18:21">
      <c r="R286" s="73"/>
    </row>
    <row r="287" spans="18:21">
      <c r="R287" s="73"/>
      <c r="U287" s="73"/>
    </row>
    <row r="288" spans="18:21">
      <c r="R288" s="73"/>
    </row>
    <row r="296" spans="18:18">
      <c r="R296" s="73"/>
    </row>
    <row r="308" spans="18:18">
      <c r="R308" s="73"/>
    </row>
    <row r="314" spans="18:18">
      <c r="R314" s="73"/>
    </row>
    <row r="320" spans="18:18">
      <c r="R320" s="73"/>
    </row>
    <row r="326" spans="18:18">
      <c r="R326" s="73"/>
    </row>
    <row r="332" spans="18:18">
      <c r="R332" s="73"/>
    </row>
    <row r="338" spans="18:18">
      <c r="R338" s="73"/>
    </row>
    <row r="344" spans="18:18">
      <c r="R344" s="73"/>
    </row>
    <row r="353" spans="18:21">
      <c r="R353" s="73"/>
      <c r="U353" s="73"/>
    </row>
    <row r="356" spans="18:21">
      <c r="R356" s="73"/>
      <c r="U356" s="73"/>
    </row>
    <row r="359" spans="18:21">
      <c r="R359" s="73"/>
      <c r="U359" s="73"/>
    </row>
    <row r="362" spans="18:21">
      <c r="R362" s="73"/>
      <c r="U362" s="73"/>
    </row>
    <row r="363" spans="18:21">
      <c r="U363" s="70"/>
    </row>
    <row r="395" spans="18:18">
      <c r="R395" s="70"/>
    </row>
    <row r="858" spans="18:18">
      <c r="R858" s="73"/>
    </row>
    <row r="864" spans="18:18">
      <c r="R864" s="73"/>
    </row>
    <row r="870" spans="18:18">
      <c r="R870" s="73"/>
    </row>
    <row r="876" spans="18:18">
      <c r="R876" s="73"/>
    </row>
    <row r="882" spans="18:18">
      <c r="R882" s="73"/>
    </row>
    <row r="888" spans="18:18">
      <c r="R888" s="73"/>
    </row>
    <row r="894" spans="18:18">
      <c r="R894" s="73"/>
    </row>
    <row r="895" spans="18:18">
      <c r="R895" s="73"/>
    </row>
    <row r="906" spans="18:18">
      <c r="R906" s="73"/>
    </row>
    <row r="912" spans="18:18">
      <c r="R912" s="73"/>
    </row>
    <row r="918" spans="18:18">
      <c r="R918" s="73"/>
    </row>
    <row r="924" spans="18:18">
      <c r="R924" s="73"/>
    </row>
    <row r="930" spans="18:18">
      <c r="R930" s="73"/>
    </row>
    <row r="936" spans="18:18">
      <c r="R936" s="73"/>
    </row>
    <row r="942" spans="18:18">
      <c r="R942" s="73"/>
    </row>
    <row r="954" spans="18:18">
      <c r="R954" s="73"/>
    </row>
    <row r="960" spans="18:18">
      <c r="R960" s="73"/>
    </row>
    <row r="966" spans="18:18">
      <c r="R966" s="73"/>
    </row>
    <row r="972" spans="18:18">
      <c r="R972" s="73"/>
    </row>
    <row r="978" spans="18:18">
      <c r="R978" s="73"/>
    </row>
    <row r="984" spans="18:18">
      <c r="R984" s="73"/>
    </row>
    <row r="990" spans="18:18">
      <c r="R990" s="73"/>
    </row>
  </sheetData>
  <dataConsolidate/>
  <mergeCells count="2">
    <mergeCell ref="AA2:AE2"/>
    <mergeCell ref="AH2:AL2"/>
  </mergeCells>
  <dataValidations xWindow="410" yWindow="568" count="26">
    <dataValidation type="list" allowBlank="1" showInputMessage="1" showErrorMessage="1" prompt="Oracle DB VM vRAM in GB" sqref="C7" xr:uid="{BB297429-2A84-48E1-85C4-15B9BCC83652}">
      <formula1>INDIRECT(CONCATENATE(IF($C$4="3XL","XXXL",$C$4),$B$5,$C$5,$B$7))</formula1>
    </dataValidation>
    <dataValidation type="list" allowBlank="1" showInputMessage="1" showErrorMessage="1" prompt="Select if BTS mediation is used." sqref="C23" xr:uid="{D96ED763-58F9-47BC-91AB-5118E6967116}">
      <formula1>INDIRECT(CONCATENATE($B$23,$C$2))</formula1>
    </dataValidation>
    <dataValidation type="list" allowBlank="1" showInputMessage="1" showErrorMessage="1" prompt="Select if Graylog is used." sqref="C28:C29" xr:uid="{DB8B30AD-ACB0-4F29-A984-B8D5134243BD}">
      <formula1>"Not used,Used"</formula1>
    </dataValidation>
    <dataValidation type="list" allowBlank="1" showInputMessage="1" showErrorMessage="1" prompt="ISDK size in GB" sqref="C15" xr:uid="{32D95A82-9004-48F4-A5EC-18ED8BA75606}">
      <formula1>INDIRECT(CONCATENATE(IF($C$4="3XL","XXXL",$C$4),$B$15,C2))</formula1>
    </dataValidation>
    <dataValidation type="list" allowBlank="1" showInputMessage="1" showErrorMessage="1" prompt="ADM size in GB" sqref="C14" xr:uid="{CAD10CB3-A99C-4EFD-AAE0-27A17BEF93B7}">
      <formula1>INDIRECT(CONCATENATE(IF($C$4="3XL","XXXL",$C$4),$B$14,C2))</formula1>
    </dataValidation>
    <dataValidation type="list" allowBlank="1" showInputMessage="1" showErrorMessage="1" prompt="Select if CLS is used." sqref="C22" xr:uid="{EF18E024-66CB-4B36-8A5E-6D6CAA93596B}">
      <formula1>"Not used,Used"</formula1>
    </dataValidation>
    <dataValidation type="list" allowBlank="1" showInputMessage="1" showErrorMessage="1" prompt="Select if Single RAN is used." sqref="C21" xr:uid="{C8692886-ECCA-471E-B40E-2E3D730E1DDE}">
      <formula1>"Not Used"</formula1>
    </dataValidation>
    <dataValidation type="list" allowBlank="1" showInputMessage="1" showErrorMessage="1" prompt="Select if Security Log interface is used." sqref="C20" xr:uid="{F2B1B4DA-08C4-44FC-98E0-C4E8D61D429B}">
      <formula1>"Not used,Used"</formula1>
    </dataValidation>
    <dataValidation type="list" allowBlank="1" showInputMessage="1" showErrorMessage="1" prompt="Select if T&amp;P is used." sqref="C18" xr:uid="{1C64723B-2A95-4801-961F-1C7A03E8B09D}">
      <formula1>"Not used,Used"</formula1>
    </dataValidation>
    <dataValidation allowBlank="1" showErrorMessage="1" prompt="Select NetAct configuration" sqref="D15" xr:uid="{02B854C6-C9CB-4B44-B2DD-6835E2C56E12}"/>
    <dataValidation type="list" allowBlank="1" showInputMessage="1" showErrorMessage="1" prompt="Select release" sqref="C3" xr:uid="{11702486-E2D8-4D08-B3CC-D06A0ED15718}">
      <formula1>"Release 24R3-NM"</formula1>
    </dataValidation>
    <dataValidation type="list" allowBlank="1" showInputMessage="1" showErrorMessage="1" prompt="Select stack" sqref="C2" xr:uid="{3F4AF134-05AC-4AA4-90C8-1A3DB80AFEE4}">
      <formula1>"Vmware,OpenStack"</formula1>
    </dataValidation>
    <dataValidation type="list" allowBlank="1" showInputMessage="1" showErrorMessage="1" prompt="Select if Network 360 is used." sqref="C25" xr:uid="{8A0A76A8-0A12-4178-B128-DCCD57BD2013}">
      <formula1>"Not used,Used"</formula1>
    </dataValidation>
    <dataValidation type="list" allowBlank="1" showInputMessage="1" showErrorMessage="1" prompt="Select if Alcatel-Lucent LTE mediation is used." sqref="C24" xr:uid="{A38BD1B8-2DB4-48B4-9625-6466EA8709A9}">
      <formula1>"Not used,Used"</formula1>
    </dataValidation>
    <dataValidation type="list" allowBlank="1" showInputMessage="1" showErrorMessage="1" prompt="Select MantaRay NM configuration" sqref="C4" xr:uid="{61102373-BF2B-4BB1-95CD-054D11E61EC3}">
      <formula1>$Y$4:$Y$8</formula1>
    </dataValidation>
    <dataValidation type="list" allowBlank="1" showInputMessage="1" showErrorMessage="1" prompt="Number of additional node managers" sqref="C19" xr:uid="{F18C9B5B-E7F1-4CC2-BF49-54E851B95A1D}">
      <formula1>INDIRECT(CONCATENATE(IF($C$4="3XL","XXXL",$C$4),"Users"))</formula1>
    </dataValidation>
    <dataValidation type="list" allowBlank="1" showInputMessage="1" showErrorMessage="1" prompt="Global size in GB" sqref="C11" xr:uid="{B9B9A08F-59E5-473C-9680-3CF72EAED938}">
      <formula1>INDIRECT(CONCATENATE(IF($C$4="3XL","XXXL",$C$4),$B$11,C2))</formula1>
    </dataValidation>
    <dataValidation type="list" allowBlank="1" showInputMessage="1" showErrorMessage="1" prompt="Ext Rep size in GB" sqref="C12" xr:uid="{7198EC0D-B54A-454C-BD97-924FE3AC46F7}">
      <formula1>INDIRECT(CONCATENATE(IF($C$4="3XL","XXXL",$C$4),$B$12,C2))</formula1>
    </dataValidation>
    <dataValidation type="list" allowBlank="1" showInputMessage="1" showErrorMessage="1" prompt="Ext Rep size in GB" sqref="C13" xr:uid="{EADFC936-D2BC-4FCF-A564-9FCBFBF1A835}">
      <formula1>INDIRECT(CONCATENATE(IF($C$4="3XL","XXXL",$C$4),$B$13,C2))</formula1>
    </dataValidation>
    <dataValidation type="list" allowBlank="1" showInputMessage="1" showErrorMessage="1" prompt="DB size:_x000a_- standard_x000a_- customized_x000a_- XL large" sqref="C5" xr:uid="{75840C6E-E5C2-490B-AF6D-9EDA69ABAF69}">
      <formula1>INDIRECT(CONCATENATE(IF($C$4="3XL","XXXL",$C$4),$B$5,$C$2))</formula1>
    </dataValidation>
    <dataValidation type="list" allowBlank="1" showInputMessage="1" showErrorMessage="1" prompt="Oracle DB VM vRAM in GB" sqref="C6" xr:uid="{822A0CEA-7B6F-417E-B5EB-87E7B4D7B3B4}">
      <formula1>INDIRECT(CONCATENATE(IF($C$4="3XL","XXXL",$C$4),$B$5,$C$5,$B$6))</formula1>
    </dataValidation>
    <dataValidation type="list" allowBlank="1" showInputMessage="1" showErrorMessage="1" prompt="Redo in GB" sqref="C8" xr:uid="{68335867-C059-40CF-8763-37B31D8C8BA1}">
      <formula1>INDIRECT(CONCATENATE(IF($C$4="3XL","XXXL",$C$4),$B$5,C5,$B$8))</formula1>
    </dataValidation>
    <dataValidation type="list" allowBlank="1" showInputMessage="1" showErrorMessage="1" prompt="Archive in GB" sqref="C9" xr:uid="{07159D71-8012-427E-8090-17F1C9B6A9C0}">
      <formula1>INDIRECT(CONCATENATE(IF($C$4="3XL","XXXL",$C$4),$B$5,C5,$B$9))</formula1>
    </dataValidation>
    <dataValidation type="list" allowBlank="1" showInputMessage="1" showErrorMessage="1" prompt="Backup size in GB (VM root disks and data)" sqref="C10" xr:uid="{2FD44154-CE91-4C59-8192-606F2C1D9711}">
      <formula1>INDIRECT(CONCATENATE(IF($C$4="3XL","XXXL",$C$4),$B$5,C5,$B$10))</formula1>
    </dataValidation>
    <dataValidation type="list" allowBlank="1" showInputMessage="1" showErrorMessage="1" prompt="Select if NetGuard is used." sqref="C26" xr:uid="{B69256F2-EABF-4A01-A7EC-EE1C2372333E}">
      <formula1>"Not used,Used"</formula1>
    </dataValidation>
    <dataValidation type="list" allowBlank="1" showInputMessage="1" showErrorMessage="1" prompt="Select if NBIVES is used." sqref="C27" xr:uid="{88CA1E4A-DFBA-4300-B3B1-C332535DABAC}">
      <formula1>"Not used,Used"</formula1>
    </dataValidation>
  </dataValidations>
  <pageMargins left="0.7" right="0.7" top="0.75" bottom="0.75" header="0.3" footer="0.3"/>
  <pageSetup paperSize="9" orientation="portrait" r:id="rId1"/>
  <headerFooter>
    <oddFooter>&amp;C&amp;1#&amp;"Arial"&amp;8&amp;K001753Nokia internal use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I32"/>
  <sheetViews>
    <sheetView topLeftCell="A13" workbookViewId="0">
      <selection activeCell="B20" sqref="B19:B20"/>
    </sheetView>
  </sheetViews>
  <sheetFormatPr defaultRowHeight="14.45"/>
  <cols>
    <col min="1" max="1" width="18.140625" bestFit="1" customWidth="1"/>
    <col min="2" max="3" width="20.140625" bestFit="1" customWidth="1"/>
    <col min="4" max="5" width="20.85546875" bestFit="1" customWidth="1"/>
    <col min="6" max="6" width="17.140625" customWidth="1"/>
    <col min="7" max="7" width="15.140625" customWidth="1"/>
    <col min="8" max="8" width="20.140625" customWidth="1"/>
    <col min="9" max="9" width="14.85546875" customWidth="1"/>
  </cols>
  <sheetData>
    <row r="1" spans="1:9">
      <c r="A1" s="189" t="s">
        <v>38</v>
      </c>
      <c r="B1" s="189"/>
      <c r="C1" s="189"/>
      <c r="D1" s="189"/>
      <c r="E1" s="189"/>
      <c r="F1" s="190"/>
    </row>
    <row r="2" spans="1:9">
      <c r="A2" s="7"/>
      <c r="B2" s="7"/>
      <c r="C2" s="7"/>
      <c r="D2" s="7"/>
      <c r="E2" s="7"/>
      <c r="F2" s="6"/>
    </row>
    <row r="3" spans="1:9">
      <c r="A3" t="s">
        <v>380</v>
      </c>
    </row>
    <row r="4" spans="1:9">
      <c r="B4" s="30" t="s">
        <v>381</v>
      </c>
      <c r="C4" s="30"/>
      <c r="D4" s="30"/>
      <c r="E4" s="30"/>
      <c r="F4" s="30" t="s">
        <v>382</v>
      </c>
      <c r="G4" s="30"/>
      <c r="H4" s="30"/>
      <c r="I4" s="30"/>
    </row>
    <row r="5" spans="1:9">
      <c r="A5" s="1" t="s">
        <v>383</v>
      </c>
      <c r="B5" s="1" t="s">
        <v>384</v>
      </c>
      <c r="C5" s="1" t="s">
        <v>385</v>
      </c>
      <c r="D5" s="1" t="s">
        <v>386</v>
      </c>
      <c r="E5" s="1" t="s">
        <v>387</v>
      </c>
      <c r="F5" s="1" t="s">
        <v>384</v>
      </c>
      <c r="G5" s="1" t="s">
        <v>385</v>
      </c>
      <c r="H5" s="1" t="s">
        <v>386</v>
      </c>
      <c r="I5" s="1" t="s">
        <v>387</v>
      </c>
    </row>
    <row r="6" spans="1:9">
      <c r="A6" t="s">
        <v>388</v>
      </c>
      <c r="B6">
        <f>B15*1000</f>
        <v>14000</v>
      </c>
      <c r="C6">
        <f>C15</f>
        <v>0</v>
      </c>
      <c r="D6" t="s">
        <v>389</v>
      </c>
      <c r="E6" t="s">
        <v>390</v>
      </c>
      <c r="F6">
        <f>D15*1000</f>
        <v>16000</v>
      </c>
      <c r="G6">
        <f>E15</f>
        <v>0</v>
      </c>
      <c r="H6" t="s">
        <v>389</v>
      </c>
      <c r="I6" t="s">
        <v>390</v>
      </c>
    </row>
    <row r="7" spans="1:9">
      <c r="A7" t="s">
        <v>391</v>
      </c>
      <c r="B7">
        <f>B17*1000</f>
        <v>185000</v>
      </c>
      <c r="C7">
        <f>C17</f>
        <v>0</v>
      </c>
      <c r="D7" t="s">
        <v>389</v>
      </c>
      <c r="E7" t="s">
        <v>390</v>
      </c>
      <c r="F7">
        <f>D17*1000</f>
        <v>433000</v>
      </c>
      <c r="G7">
        <f>E17</f>
        <v>234</v>
      </c>
      <c r="H7" t="s">
        <v>389</v>
      </c>
      <c r="I7" t="s">
        <v>390</v>
      </c>
    </row>
    <row r="8" spans="1:9">
      <c r="A8" t="s">
        <v>75</v>
      </c>
      <c r="B8">
        <f>B19*1000</f>
        <v>16000</v>
      </c>
      <c r="C8">
        <f>C19</f>
        <v>0</v>
      </c>
      <c r="D8" t="s">
        <v>389</v>
      </c>
      <c r="E8" t="s">
        <v>390</v>
      </c>
      <c r="F8">
        <f>D19*1000</f>
        <v>40000</v>
      </c>
      <c r="G8">
        <f>E19</f>
        <v>20</v>
      </c>
      <c r="H8" t="s">
        <v>389</v>
      </c>
      <c r="I8" t="s">
        <v>390</v>
      </c>
    </row>
    <row r="9" spans="1:9">
      <c r="A9" t="s">
        <v>86</v>
      </c>
      <c r="B9">
        <f>B21*1000</f>
        <v>8000</v>
      </c>
      <c r="C9">
        <f>C21</f>
        <v>0</v>
      </c>
      <c r="D9" t="s">
        <v>389</v>
      </c>
      <c r="E9" t="s">
        <v>390</v>
      </c>
      <c r="F9">
        <f>D21*1000</f>
        <v>21000</v>
      </c>
      <c r="G9">
        <f>E21</f>
        <v>0</v>
      </c>
      <c r="H9" t="s">
        <v>389</v>
      </c>
      <c r="I9" t="s">
        <v>390</v>
      </c>
    </row>
    <row r="12" spans="1:9">
      <c r="A12" t="s">
        <v>392</v>
      </c>
    </row>
    <row r="14" spans="1:9">
      <c r="A14" s="30" t="s">
        <v>388</v>
      </c>
      <c r="B14" s="30" t="s">
        <v>393</v>
      </c>
      <c r="C14" s="30" t="s">
        <v>394</v>
      </c>
      <c r="D14" s="30" t="s">
        <v>395</v>
      </c>
      <c r="E14" s="30" t="s">
        <v>396</v>
      </c>
    </row>
    <row r="15" spans="1:9">
      <c r="B15">
        <v>14</v>
      </c>
      <c r="C15">
        <v>0</v>
      </c>
      <c r="D15">
        <v>16</v>
      </c>
      <c r="E15">
        <v>0</v>
      </c>
    </row>
    <row r="16" spans="1:9">
      <c r="A16" s="30" t="s">
        <v>391</v>
      </c>
      <c r="B16" s="30" t="s">
        <v>393</v>
      </c>
      <c r="C16" s="30" t="s">
        <v>394</v>
      </c>
      <c r="D16" s="30" t="s">
        <v>395</v>
      </c>
      <c r="E16" s="30" t="s">
        <v>396</v>
      </c>
    </row>
    <row r="17" spans="1:5">
      <c r="B17">
        <v>185</v>
      </c>
      <c r="C17">
        <v>0</v>
      </c>
      <c r="D17">
        <v>433</v>
      </c>
      <c r="E17">
        <v>234</v>
      </c>
    </row>
    <row r="18" spans="1:5">
      <c r="A18" s="30" t="s">
        <v>75</v>
      </c>
      <c r="B18" s="30" t="s">
        <v>393</v>
      </c>
      <c r="C18" s="30" t="s">
        <v>394</v>
      </c>
      <c r="D18" s="30" t="s">
        <v>395</v>
      </c>
      <c r="E18" s="30" t="s">
        <v>396</v>
      </c>
    </row>
    <row r="19" spans="1:5">
      <c r="B19">
        <v>16</v>
      </c>
      <c r="C19">
        <v>0</v>
      </c>
      <c r="D19">
        <v>40</v>
      </c>
      <c r="E19">
        <v>20</v>
      </c>
    </row>
    <row r="20" spans="1:5">
      <c r="A20" s="30" t="s">
        <v>86</v>
      </c>
      <c r="B20" s="30" t="s">
        <v>393</v>
      </c>
      <c r="C20" s="30" t="s">
        <v>394</v>
      </c>
      <c r="D20" s="30" t="s">
        <v>395</v>
      </c>
      <c r="E20" s="30" t="s">
        <v>396</v>
      </c>
    </row>
    <row r="21" spans="1:5">
      <c r="B21">
        <v>8</v>
      </c>
      <c r="C21">
        <v>0</v>
      </c>
      <c r="D21">
        <v>21</v>
      </c>
      <c r="E21">
        <v>0</v>
      </c>
    </row>
    <row r="30" spans="1:5">
      <c r="A30" t="s">
        <v>397</v>
      </c>
    </row>
    <row r="31" spans="1:5">
      <c r="A31" t="s">
        <v>398</v>
      </c>
    </row>
    <row r="32" spans="1:5">
      <c r="A32" t="s">
        <v>399</v>
      </c>
    </row>
  </sheetData>
  <mergeCells count="1">
    <mergeCell ref="A1:F1"/>
  </mergeCells>
  <pageMargins left="0.7" right="0.7" top="0.75" bottom="0.75" header="0.3" footer="0.3"/>
  <pageSetup paperSize="9" orientation="portrait" r:id="rId1"/>
  <headerFooter>
    <oddFooter>&amp;C&amp;1#&amp;"Arial"&amp;8&amp;K001753Nokia 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F17"/>
  <sheetViews>
    <sheetView workbookViewId="0">
      <selection activeCell="A4" sqref="A4"/>
    </sheetView>
  </sheetViews>
  <sheetFormatPr defaultRowHeight="14.45"/>
  <cols>
    <col min="1" max="1" width="13.5703125" customWidth="1"/>
    <col min="4" max="4" width="11.140625" bestFit="1" customWidth="1"/>
  </cols>
  <sheetData>
    <row r="1" spans="1:6">
      <c r="A1" s="189" t="s">
        <v>38</v>
      </c>
      <c r="B1" s="189"/>
      <c r="C1" s="189"/>
      <c r="D1" s="189"/>
      <c r="E1" s="189"/>
      <c r="F1" s="190"/>
    </row>
    <row r="3" spans="1:6">
      <c r="A3" s="4" t="s">
        <v>400</v>
      </c>
    </row>
    <row r="4" spans="1:6" s="32" customFormat="1">
      <c r="A4" s="32" t="s">
        <v>401</v>
      </c>
    </row>
    <row r="5" spans="1:6">
      <c r="A5" s="32" t="s">
        <v>402</v>
      </c>
    </row>
    <row r="6" spans="1:6">
      <c r="A6" t="s">
        <v>403</v>
      </c>
    </row>
    <row r="7" spans="1:6">
      <c r="A7" s="4" t="s">
        <v>404</v>
      </c>
    </row>
    <row r="8" spans="1:6">
      <c r="A8" s="4"/>
    </row>
    <row r="9" spans="1:6">
      <c r="A9" s="4" t="s">
        <v>405</v>
      </c>
    </row>
    <row r="10" spans="1:6">
      <c r="A10" s="4" t="s">
        <v>406</v>
      </c>
      <c r="B10">
        <v>4.5</v>
      </c>
      <c r="C10" s="84"/>
      <c r="D10" s="84"/>
      <c r="E10" s="84"/>
      <c r="F10" s="84"/>
    </row>
    <row r="11" spans="1:6">
      <c r="A11" s="4" t="s">
        <v>174</v>
      </c>
      <c r="B11">
        <v>4.5</v>
      </c>
      <c r="C11" s="84"/>
      <c r="D11" s="84"/>
      <c r="E11" s="84"/>
      <c r="F11" s="84"/>
    </row>
    <row r="12" spans="1:6">
      <c r="A12" s="4" t="s">
        <v>407</v>
      </c>
      <c r="B12">
        <v>2.5</v>
      </c>
      <c r="C12" s="84"/>
      <c r="D12" s="84"/>
      <c r="E12" s="84"/>
      <c r="F12" s="84"/>
    </row>
    <row r="13" spans="1:6">
      <c r="A13" s="4" t="s">
        <v>179</v>
      </c>
      <c r="B13">
        <v>3</v>
      </c>
      <c r="C13" s="84"/>
      <c r="D13" s="84"/>
      <c r="E13" s="84"/>
      <c r="F13" s="84"/>
    </row>
    <row r="14" spans="1:6">
      <c r="A14" s="4" t="s">
        <v>183</v>
      </c>
      <c r="B14">
        <v>3</v>
      </c>
      <c r="C14" s="84"/>
      <c r="D14" s="84"/>
      <c r="E14" s="84"/>
      <c r="F14" s="84"/>
    </row>
    <row r="15" spans="1:6">
      <c r="A15" s="4" t="s">
        <v>408</v>
      </c>
      <c r="B15">
        <v>3</v>
      </c>
      <c r="C15" s="84"/>
      <c r="D15" s="84"/>
      <c r="E15" s="84"/>
      <c r="F15" s="84"/>
    </row>
    <row r="16" spans="1:6">
      <c r="A16" s="4" t="s">
        <v>187</v>
      </c>
      <c r="B16">
        <v>2.5</v>
      </c>
      <c r="C16" s="84"/>
      <c r="D16" s="84"/>
      <c r="E16" s="84"/>
      <c r="F16" s="84"/>
    </row>
    <row r="17" spans="1:2">
      <c r="A17" s="4" t="s">
        <v>170</v>
      </c>
      <c r="B17">
        <v>1.5</v>
      </c>
    </row>
  </sheetData>
  <mergeCells count="1">
    <mergeCell ref="A1:F1"/>
  </mergeCells>
  <pageMargins left="0.7" right="0.7" top="0.75" bottom="0.75" header="0.3" footer="0.3"/>
  <pageSetup paperSize="9" orientation="portrait" r:id="rId1"/>
  <headerFooter>
    <oddFooter>&amp;C&amp;1#&amp;"Arial"&amp;8&amp;K001753Nokia internal use</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B50F-0891-4823-A548-3B6633016F93}">
  <dimension ref="A1:AV83"/>
  <sheetViews>
    <sheetView topLeftCell="A30" zoomScale="80" zoomScaleNormal="80" zoomScalePageLayoutView="70" workbookViewId="0">
      <selection activeCell="A64" sqref="A64:XFD65"/>
    </sheetView>
  </sheetViews>
  <sheetFormatPr defaultColWidth="30.5703125" defaultRowHeight="12.6"/>
  <cols>
    <col min="1" max="1" width="36.42578125" style="6" customWidth="1"/>
    <col min="2" max="4" width="30.5703125" style="6"/>
    <col min="5" max="5" width="54.5703125" style="6" customWidth="1"/>
    <col min="6" max="29" width="30.5703125" style="6"/>
    <col min="30" max="30" width="30.5703125" style="14"/>
    <col min="31" max="16384" width="30.5703125" style="6"/>
  </cols>
  <sheetData>
    <row r="1" spans="1:38" ht="12.95">
      <c r="A1" s="189" t="s">
        <v>38</v>
      </c>
      <c r="B1" s="189"/>
      <c r="C1" s="189"/>
      <c r="D1" s="189"/>
      <c r="E1" s="190"/>
      <c r="F1" s="7" t="s">
        <v>409</v>
      </c>
    </row>
    <row r="2" spans="1:38" ht="14.45">
      <c r="A2" s="171" t="s">
        <v>410</v>
      </c>
      <c r="B2" s="172"/>
      <c r="C2" s="6" t="s">
        <v>411</v>
      </c>
    </row>
    <row r="3" spans="1:38" ht="14.45">
      <c r="A3" s="171" t="s">
        <v>412</v>
      </c>
      <c r="B3" s="171"/>
      <c r="F3" s="173" t="s">
        <v>413</v>
      </c>
      <c r="G3" s="173"/>
    </row>
    <row r="4" spans="1:38">
      <c r="A4" s="171" t="s">
        <v>414</v>
      </c>
      <c r="B4" s="171"/>
    </row>
    <row r="5" spans="1:38">
      <c r="A5" s="171" t="s">
        <v>415</v>
      </c>
      <c r="B5" s="171"/>
    </row>
    <row r="6" spans="1:38" ht="12.95">
      <c r="A6" s="171" t="s">
        <v>416</v>
      </c>
      <c r="B6" s="171"/>
      <c r="C6" s="16"/>
    </row>
    <row r="7" spans="1:38" ht="12.95">
      <c r="A7" s="9" t="s">
        <v>174</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206</v>
      </c>
      <c r="U7" s="8" t="s">
        <v>423</v>
      </c>
      <c r="V7" s="8" t="s">
        <v>424</v>
      </c>
      <c r="W7" s="8" t="s">
        <v>423</v>
      </c>
      <c r="X7" s="8" t="s">
        <v>425</v>
      </c>
      <c r="Y7" s="8" t="s">
        <v>423</v>
      </c>
      <c r="Z7" s="8" t="s">
        <v>426</v>
      </c>
      <c r="AA7" s="8" t="s">
        <v>423</v>
      </c>
      <c r="AB7" s="8" t="s">
        <v>427</v>
      </c>
      <c r="AC7" s="8" t="s">
        <v>423</v>
      </c>
      <c r="AD7" s="8" t="s">
        <v>428</v>
      </c>
      <c r="AE7" s="8" t="s">
        <v>423</v>
      </c>
      <c r="AF7" s="8" t="s">
        <v>429</v>
      </c>
      <c r="AG7" s="8" t="s">
        <v>423</v>
      </c>
      <c r="AH7" s="8" t="s">
        <v>430</v>
      </c>
      <c r="AI7" s="8" t="s">
        <v>423</v>
      </c>
      <c r="AJ7" s="8" t="s">
        <v>431</v>
      </c>
      <c r="AK7" s="8" t="s">
        <v>432</v>
      </c>
      <c r="AL7" s="8" t="s">
        <v>433</v>
      </c>
    </row>
    <row r="8" spans="1:38">
      <c r="A8" s="6" t="s">
        <v>434</v>
      </c>
      <c r="B8" s="14"/>
      <c r="D8" s="6" t="s">
        <v>435</v>
      </c>
      <c r="E8" s="6" t="s">
        <v>42</v>
      </c>
      <c r="F8" s="14">
        <v>4</v>
      </c>
      <c r="G8" s="14">
        <v>8</v>
      </c>
      <c r="H8" s="14">
        <v>0</v>
      </c>
      <c r="I8" s="14">
        <v>351</v>
      </c>
      <c r="J8" s="14">
        <f>IF(G8&gt;=10,16, 4)</f>
        <v>4</v>
      </c>
      <c r="K8" s="14" t="s">
        <v>436</v>
      </c>
      <c r="L8" s="14"/>
      <c r="M8" s="14"/>
      <c r="N8" s="14"/>
      <c r="O8" s="14"/>
      <c r="P8" s="14"/>
      <c r="Q8" s="14"/>
      <c r="R8" s="14"/>
      <c r="S8" s="14"/>
      <c r="T8" s="14"/>
      <c r="U8" s="14"/>
      <c r="V8" s="14"/>
      <c r="W8" s="14"/>
      <c r="X8" s="14"/>
      <c r="Y8" s="14"/>
      <c r="Z8" s="14"/>
      <c r="AA8" s="14"/>
      <c r="AB8" s="14"/>
      <c r="AC8" s="14"/>
      <c r="AE8" s="14"/>
      <c r="AF8" s="14"/>
      <c r="AG8" s="14"/>
      <c r="AH8" s="14"/>
      <c r="AI8" s="14"/>
      <c r="AJ8" s="14" t="s">
        <v>437</v>
      </c>
      <c r="AK8" s="14"/>
      <c r="AL8" s="14"/>
    </row>
    <row r="9" spans="1:38">
      <c r="A9" s="6" t="s">
        <v>438</v>
      </c>
      <c r="B9" s="14"/>
      <c r="D9" s="114" t="str">
        <f>IF(E9="vCSA7.0","VPOS3.0", "VPL1.0")</f>
        <v>VPL1.0</v>
      </c>
      <c r="E9" s="114" t="s">
        <v>439</v>
      </c>
      <c r="F9" s="14">
        <v>4</v>
      </c>
      <c r="G9" s="14">
        <v>21</v>
      </c>
      <c r="H9" s="14">
        <v>0</v>
      </c>
      <c r="I9" s="104">
        <f>IF(E9="vCSA8.0", 600, 450)</f>
        <v>600</v>
      </c>
      <c r="J9" s="14">
        <v>25</v>
      </c>
      <c r="K9" s="14" t="s">
        <v>436</v>
      </c>
      <c r="L9" s="14"/>
      <c r="M9" s="14"/>
      <c r="N9" s="14"/>
      <c r="O9" s="14"/>
      <c r="P9" s="14"/>
      <c r="Q9" s="14"/>
      <c r="R9" s="14"/>
      <c r="S9" s="14"/>
      <c r="T9" s="14"/>
      <c r="U9" s="14"/>
      <c r="V9" s="14"/>
      <c r="W9" s="14"/>
      <c r="X9" s="14"/>
      <c r="Y9" s="14"/>
      <c r="Z9" s="14"/>
      <c r="AA9" s="14"/>
      <c r="AB9" s="14"/>
      <c r="AC9" s="14"/>
      <c r="AE9" s="14"/>
      <c r="AF9" s="14"/>
      <c r="AG9" s="14"/>
      <c r="AH9" s="14"/>
      <c r="AI9" s="14"/>
      <c r="AJ9" s="14" t="s">
        <v>437</v>
      </c>
      <c r="AK9" s="14"/>
      <c r="AL9" s="14"/>
    </row>
    <row r="10" spans="1:38">
      <c r="A10" s="6" t="s">
        <v>440</v>
      </c>
      <c r="B10" s="14" t="s">
        <v>441</v>
      </c>
      <c r="C10" s="6" t="s">
        <v>442</v>
      </c>
      <c r="D10" s="6" t="s">
        <v>435</v>
      </c>
      <c r="E10" s="6" t="s">
        <v>443</v>
      </c>
      <c r="F10" s="14">
        <v>4</v>
      </c>
      <c r="G10" s="14">
        <v>6</v>
      </c>
      <c r="H10" s="14">
        <v>6</v>
      </c>
      <c r="I10" s="14">
        <v>41</v>
      </c>
      <c r="J10" s="14">
        <f t="shared" ref="J10:J29" si="0">IF(G10&gt;=10,16, 4)</f>
        <v>4</v>
      </c>
      <c r="K10" s="14" t="s">
        <v>436</v>
      </c>
      <c r="L10" s="14"/>
      <c r="M10" s="14"/>
      <c r="N10" s="14"/>
      <c r="O10" s="14"/>
      <c r="P10" s="14"/>
      <c r="Q10" s="14"/>
      <c r="R10" s="14"/>
      <c r="S10" s="14"/>
      <c r="T10" s="14"/>
      <c r="U10" s="14"/>
      <c r="V10" s="14"/>
      <c r="W10" s="14"/>
      <c r="X10" s="14"/>
      <c r="Y10" s="14"/>
      <c r="Z10" s="14"/>
      <c r="AA10" s="14"/>
      <c r="AB10" s="14"/>
      <c r="AC10" s="14"/>
      <c r="AE10" s="14"/>
      <c r="AF10" s="14"/>
      <c r="AG10" s="14"/>
      <c r="AH10" s="14"/>
      <c r="AI10" s="14"/>
      <c r="AJ10" s="14" t="s">
        <v>437</v>
      </c>
      <c r="AK10" s="14"/>
      <c r="AL10" s="14"/>
    </row>
    <row r="11" spans="1:38">
      <c r="A11" s="6" t="s">
        <v>444</v>
      </c>
      <c r="B11" s="14"/>
      <c r="C11" s="6" t="s">
        <v>442</v>
      </c>
      <c r="D11" s="6" t="s">
        <v>435</v>
      </c>
      <c r="E11" s="6" t="s">
        <v>53</v>
      </c>
      <c r="F11" s="14">
        <v>6</v>
      </c>
      <c r="G11" s="14">
        <v>40</v>
      </c>
      <c r="H11" s="14">
        <f>(G11*82.5)/100</f>
        <v>33</v>
      </c>
      <c r="I11" s="14">
        <v>101</v>
      </c>
      <c r="J11" s="14">
        <f t="shared" si="0"/>
        <v>16</v>
      </c>
      <c r="K11" s="14" t="s">
        <v>436</v>
      </c>
      <c r="L11" s="14">
        <v>66</v>
      </c>
      <c r="M11" s="14" t="s">
        <v>445</v>
      </c>
      <c r="N11" s="14">
        <v>1350</v>
      </c>
      <c r="O11" s="14" t="s">
        <v>446</v>
      </c>
      <c r="P11" s="14">
        <v>1650</v>
      </c>
      <c r="Q11" s="14" t="s">
        <v>447</v>
      </c>
      <c r="R11" s="14"/>
      <c r="S11" s="14"/>
      <c r="T11" s="14"/>
      <c r="U11" s="14"/>
      <c r="V11" s="31">
        <v>4500</v>
      </c>
      <c r="W11" s="14" t="s">
        <v>206</v>
      </c>
      <c r="X11" s="14"/>
      <c r="Y11" s="14"/>
      <c r="Z11" s="14"/>
      <c r="AA11" s="14"/>
      <c r="AB11" s="14"/>
      <c r="AC11" s="14"/>
      <c r="AE11" s="14"/>
      <c r="AF11" s="14"/>
      <c r="AG11" s="14"/>
      <c r="AH11" s="14"/>
      <c r="AI11" s="14"/>
      <c r="AJ11" s="14" t="s">
        <v>437</v>
      </c>
      <c r="AK11" s="14"/>
      <c r="AL11" s="14"/>
    </row>
    <row r="12" spans="1:38">
      <c r="A12" s="6" t="s">
        <v>448</v>
      </c>
      <c r="B12" s="14" t="s">
        <v>441</v>
      </c>
      <c r="C12" s="6" t="s">
        <v>442</v>
      </c>
      <c r="D12" s="6" t="s">
        <v>435</v>
      </c>
      <c r="E12" s="6" t="s">
        <v>57</v>
      </c>
      <c r="F12" s="14">
        <v>3</v>
      </c>
      <c r="G12" s="14">
        <v>7</v>
      </c>
      <c r="H12" s="14">
        <v>7</v>
      </c>
      <c r="I12" s="14">
        <v>46</v>
      </c>
      <c r="J12" s="14">
        <f t="shared" si="0"/>
        <v>4</v>
      </c>
      <c r="K12" s="14" t="s">
        <v>436</v>
      </c>
      <c r="L12" s="14"/>
      <c r="M12" s="14"/>
      <c r="N12" s="14"/>
      <c r="O12" s="14"/>
      <c r="P12" s="14"/>
      <c r="Q12" s="14"/>
      <c r="R12" s="14">
        <v>340</v>
      </c>
      <c r="S12" s="14" t="s">
        <v>449</v>
      </c>
      <c r="T12" s="14"/>
      <c r="U12" s="14"/>
      <c r="V12" s="14">
        <v>250</v>
      </c>
      <c r="W12" s="14" t="s">
        <v>206</v>
      </c>
      <c r="X12" s="14"/>
      <c r="Y12" s="14"/>
      <c r="Z12" s="14"/>
      <c r="AA12" s="14"/>
      <c r="AB12" s="14"/>
      <c r="AC12" s="14"/>
      <c r="AE12" s="14"/>
      <c r="AF12" s="14"/>
      <c r="AG12" s="14"/>
      <c r="AH12" s="14"/>
      <c r="AI12" s="14"/>
      <c r="AJ12" s="14" t="s">
        <v>437</v>
      </c>
      <c r="AK12" s="14"/>
      <c r="AL12" s="14"/>
    </row>
    <row r="13" spans="1:38">
      <c r="A13" s="6" t="s">
        <v>450</v>
      </c>
      <c r="B13" s="14"/>
      <c r="C13" s="6" t="s">
        <v>442</v>
      </c>
      <c r="D13" s="6" t="s">
        <v>435</v>
      </c>
      <c r="E13" s="6" t="s">
        <v>61</v>
      </c>
      <c r="F13" s="14">
        <v>2</v>
      </c>
      <c r="G13" s="14">
        <v>3</v>
      </c>
      <c r="H13" s="14">
        <v>0</v>
      </c>
      <c r="I13" s="14">
        <v>31</v>
      </c>
      <c r="J13" s="14">
        <f t="shared" si="0"/>
        <v>4</v>
      </c>
      <c r="K13" s="14" t="s">
        <v>436</v>
      </c>
      <c r="L13" s="14"/>
      <c r="M13" s="14"/>
      <c r="N13" s="14"/>
      <c r="O13" s="14"/>
      <c r="P13" s="14"/>
      <c r="Q13" s="14"/>
      <c r="R13" s="14"/>
      <c r="S13" s="14"/>
      <c r="T13" s="14"/>
      <c r="U13" s="14"/>
      <c r="V13" s="14"/>
      <c r="W13" s="14"/>
      <c r="X13" s="14"/>
      <c r="Y13" s="14"/>
      <c r="Z13" s="14"/>
      <c r="AA13" s="14"/>
      <c r="AB13" s="14"/>
      <c r="AC13" s="14"/>
      <c r="AE13" s="14"/>
      <c r="AF13" s="14"/>
      <c r="AG13" s="14"/>
      <c r="AH13" s="14"/>
      <c r="AI13" s="14"/>
      <c r="AJ13" s="14" t="s">
        <v>437</v>
      </c>
      <c r="AK13" s="14" t="s">
        <v>437</v>
      </c>
      <c r="AL13" s="14" t="s">
        <v>437</v>
      </c>
    </row>
    <row r="14" spans="1:38">
      <c r="A14" s="6" t="s">
        <v>451</v>
      </c>
      <c r="B14" s="14"/>
      <c r="C14" s="6" t="s">
        <v>442</v>
      </c>
      <c r="D14" s="6" t="s">
        <v>435</v>
      </c>
      <c r="E14" s="6" t="s">
        <v>65</v>
      </c>
      <c r="F14" s="14">
        <v>2</v>
      </c>
      <c r="G14" s="14">
        <v>3</v>
      </c>
      <c r="H14" s="14">
        <v>0</v>
      </c>
      <c r="I14" s="14">
        <v>31</v>
      </c>
      <c r="J14" s="14">
        <f t="shared" si="0"/>
        <v>4</v>
      </c>
      <c r="K14" s="14" t="s">
        <v>436</v>
      </c>
      <c r="L14" s="14"/>
      <c r="M14" s="14"/>
      <c r="N14" s="14"/>
      <c r="O14" s="14"/>
      <c r="P14" s="14"/>
      <c r="Q14" s="14"/>
      <c r="R14" s="14"/>
      <c r="S14" s="14"/>
      <c r="T14" s="14"/>
      <c r="U14" s="14"/>
      <c r="V14" s="14"/>
      <c r="W14" s="14"/>
      <c r="X14" s="14"/>
      <c r="Y14" s="14"/>
      <c r="Z14" s="14"/>
      <c r="AA14" s="14"/>
      <c r="AB14" s="14"/>
      <c r="AC14" s="14"/>
      <c r="AE14" s="14"/>
      <c r="AF14" s="14"/>
      <c r="AG14" s="14"/>
      <c r="AH14" s="14"/>
      <c r="AI14" s="14"/>
      <c r="AJ14" s="14" t="s">
        <v>437</v>
      </c>
      <c r="AK14" s="14"/>
      <c r="AL14" s="14"/>
    </row>
    <row r="15" spans="1:38">
      <c r="A15" s="6" t="s">
        <v>452</v>
      </c>
      <c r="B15" s="14"/>
      <c r="C15" s="6" t="s">
        <v>442</v>
      </c>
      <c r="D15" s="6" t="s">
        <v>435</v>
      </c>
      <c r="E15" s="6" t="s">
        <v>453</v>
      </c>
      <c r="F15" s="14">
        <v>3</v>
      </c>
      <c r="G15" s="14">
        <v>6</v>
      </c>
      <c r="H15" s="14">
        <v>0</v>
      </c>
      <c r="I15" s="14">
        <v>61</v>
      </c>
      <c r="J15" s="14">
        <f t="shared" si="0"/>
        <v>4</v>
      </c>
      <c r="K15" s="14" t="s">
        <v>436</v>
      </c>
      <c r="L15" s="14"/>
      <c r="M15" s="14"/>
      <c r="N15" s="14"/>
      <c r="O15" s="14"/>
      <c r="P15" s="14"/>
      <c r="Q15" s="14"/>
      <c r="R15" s="14"/>
      <c r="S15" s="14"/>
      <c r="T15" s="14"/>
      <c r="U15" s="14"/>
      <c r="V15" s="14"/>
      <c r="W15" s="14"/>
      <c r="X15" s="14"/>
      <c r="Y15" s="14"/>
      <c r="Z15" s="14"/>
      <c r="AA15" s="14"/>
      <c r="AB15" s="14"/>
      <c r="AC15" s="14"/>
      <c r="AE15" s="14"/>
      <c r="AF15" s="14"/>
      <c r="AG15" s="14"/>
      <c r="AH15" s="14"/>
      <c r="AI15" s="14"/>
      <c r="AJ15" s="14" t="s">
        <v>437</v>
      </c>
      <c r="AK15" s="14" t="s">
        <v>437</v>
      </c>
      <c r="AL15" s="14"/>
    </row>
    <row r="16" spans="1:38">
      <c r="A16" s="6" t="s">
        <v>454</v>
      </c>
      <c r="B16" s="14"/>
      <c r="C16" s="6" t="s">
        <v>442</v>
      </c>
      <c r="D16" s="6" t="s">
        <v>435</v>
      </c>
      <c r="E16" s="6" t="s">
        <v>455</v>
      </c>
      <c r="F16" s="14">
        <v>3</v>
      </c>
      <c r="G16" s="14">
        <v>4</v>
      </c>
      <c r="H16" s="14">
        <v>0</v>
      </c>
      <c r="I16" s="14">
        <v>56</v>
      </c>
      <c r="J16" s="14">
        <f t="shared" si="0"/>
        <v>4</v>
      </c>
      <c r="K16" s="14" t="s">
        <v>436</v>
      </c>
      <c r="L16" s="14"/>
      <c r="M16" s="14"/>
      <c r="N16" s="14"/>
      <c r="O16" s="14"/>
      <c r="P16" s="14"/>
      <c r="Q16" s="14"/>
      <c r="S16" s="14"/>
      <c r="T16" s="14"/>
      <c r="U16" s="14"/>
      <c r="V16" s="14"/>
      <c r="W16" s="14"/>
      <c r="X16" s="14"/>
      <c r="Y16" s="14"/>
      <c r="Z16" s="14"/>
      <c r="AA16" s="14"/>
      <c r="AB16" s="14"/>
      <c r="AC16" s="14"/>
      <c r="AE16" s="14"/>
      <c r="AF16" s="14"/>
      <c r="AG16" s="14"/>
      <c r="AH16" s="14"/>
      <c r="AI16" s="14"/>
      <c r="AJ16" s="14" t="s">
        <v>437</v>
      </c>
      <c r="AK16" s="14" t="s">
        <v>437</v>
      </c>
      <c r="AL16" s="14"/>
    </row>
    <row r="17" spans="1:38">
      <c r="A17" s="6" t="s">
        <v>456</v>
      </c>
      <c r="B17" s="14"/>
      <c r="C17" s="6" t="s">
        <v>442</v>
      </c>
      <c r="D17" s="6" t="s">
        <v>435</v>
      </c>
      <c r="E17" s="6" t="s">
        <v>77</v>
      </c>
      <c r="F17" s="14">
        <v>5</v>
      </c>
      <c r="G17" s="14">
        <v>9</v>
      </c>
      <c r="H17" s="14">
        <v>0</v>
      </c>
      <c r="I17" s="14">
        <v>71</v>
      </c>
      <c r="J17" s="14">
        <f t="shared" si="0"/>
        <v>4</v>
      </c>
      <c r="K17" s="14" t="s">
        <v>436</v>
      </c>
      <c r="L17" s="14"/>
      <c r="M17" s="14"/>
      <c r="N17" s="14"/>
      <c r="O17" s="14"/>
      <c r="P17" s="14"/>
      <c r="Q17" s="14"/>
      <c r="R17" s="14"/>
      <c r="S17" s="14"/>
      <c r="T17" s="14"/>
      <c r="U17" s="14"/>
      <c r="V17" s="14"/>
      <c r="W17" s="14"/>
      <c r="X17" s="14"/>
      <c r="Y17" s="14"/>
      <c r="Z17" s="14"/>
      <c r="AA17" s="14"/>
      <c r="AB17" s="14"/>
      <c r="AC17" s="14"/>
      <c r="AE17" s="14"/>
      <c r="AF17" s="14"/>
      <c r="AG17" s="14"/>
      <c r="AH17" s="14"/>
      <c r="AI17" s="14"/>
      <c r="AJ17" s="14" t="s">
        <v>437</v>
      </c>
      <c r="AK17" s="14" t="s">
        <v>437</v>
      </c>
      <c r="AL17" s="14"/>
    </row>
    <row r="18" spans="1:38">
      <c r="A18" s="6" t="s">
        <v>457</v>
      </c>
      <c r="B18" s="14"/>
      <c r="C18" s="6" t="s">
        <v>442</v>
      </c>
      <c r="D18" s="6" t="s">
        <v>435</v>
      </c>
      <c r="E18" s="6" t="s">
        <v>81</v>
      </c>
      <c r="F18" s="14">
        <v>2</v>
      </c>
      <c r="G18" s="14">
        <v>4</v>
      </c>
      <c r="H18" s="14">
        <v>0</v>
      </c>
      <c r="I18" s="14">
        <v>31</v>
      </c>
      <c r="J18" s="14">
        <f t="shared" si="0"/>
        <v>4</v>
      </c>
      <c r="K18" s="14" t="s">
        <v>436</v>
      </c>
      <c r="L18" s="14"/>
      <c r="M18" s="14"/>
      <c r="N18" s="14"/>
      <c r="O18" s="14"/>
      <c r="P18" s="14"/>
      <c r="Q18" s="14"/>
      <c r="R18" s="14"/>
      <c r="S18" s="14"/>
      <c r="T18" s="14"/>
      <c r="U18" s="14"/>
      <c r="V18" s="14"/>
      <c r="W18" s="14"/>
      <c r="X18" s="14"/>
      <c r="Y18" s="14"/>
      <c r="Z18" s="14"/>
      <c r="AA18" s="14"/>
      <c r="AB18" s="14"/>
      <c r="AC18" s="14"/>
      <c r="AE18" s="14"/>
      <c r="AF18" s="14"/>
      <c r="AG18" s="14"/>
      <c r="AH18" s="14"/>
      <c r="AI18" s="14"/>
      <c r="AJ18" s="14" t="s">
        <v>437</v>
      </c>
      <c r="AK18" s="14" t="s">
        <v>437</v>
      </c>
      <c r="AL18" s="14" t="s">
        <v>437</v>
      </c>
    </row>
    <row r="19" spans="1:38">
      <c r="A19" s="6" t="s">
        <v>458</v>
      </c>
      <c r="B19" s="14"/>
      <c r="C19" s="6" t="s">
        <v>442</v>
      </c>
      <c r="D19" s="6" t="s">
        <v>435</v>
      </c>
      <c r="E19" s="6" t="s">
        <v>459</v>
      </c>
      <c r="F19" s="14">
        <v>6</v>
      </c>
      <c r="G19" s="14">
        <v>9</v>
      </c>
      <c r="H19" s="14">
        <v>0</v>
      </c>
      <c r="I19" s="14">
        <v>101</v>
      </c>
      <c r="J19" s="14">
        <f t="shared" si="0"/>
        <v>4</v>
      </c>
      <c r="K19" s="14" t="s">
        <v>436</v>
      </c>
      <c r="L19" s="14"/>
      <c r="M19" s="14"/>
      <c r="N19" s="14"/>
      <c r="O19" s="14"/>
      <c r="P19" s="14"/>
      <c r="Q19" s="14"/>
      <c r="R19" s="14"/>
      <c r="S19" s="14"/>
      <c r="T19" s="14"/>
      <c r="U19" s="14"/>
      <c r="V19" s="14"/>
      <c r="W19" s="14"/>
      <c r="X19" s="14"/>
      <c r="Y19" s="14"/>
      <c r="Z19" s="14">
        <v>50</v>
      </c>
      <c r="AA19" s="14" t="s">
        <v>436</v>
      </c>
      <c r="AB19" s="14"/>
      <c r="AC19" s="14"/>
      <c r="AE19" s="14"/>
      <c r="AF19" s="14"/>
      <c r="AG19" s="14"/>
      <c r="AH19" s="14"/>
      <c r="AI19" s="14"/>
      <c r="AJ19" s="14" t="s">
        <v>437</v>
      </c>
      <c r="AK19" s="14"/>
      <c r="AL19" s="14"/>
    </row>
    <row r="20" spans="1:38">
      <c r="A20" s="6" t="s">
        <v>460</v>
      </c>
      <c r="B20" s="14"/>
      <c r="C20" s="6" t="s">
        <v>442</v>
      </c>
      <c r="D20" s="6" t="s">
        <v>435</v>
      </c>
      <c r="E20" s="6" t="s">
        <v>88</v>
      </c>
      <c r="F20" s="14">
        <v>2</v>
      </c>
      <c r="G20" s="14">
        <v>5</v>
      </c>
      <c r="H20" s="14">
        <v>0</v>
      </c>
      <c r="I20" s="14">
        <v>51</v>
      </c>
      <c r="J20" s="14">
        <f t="shared" si="0"/>
        <v>4</v>
      </c>
      <c r="K20" s="14" t="s">
        <v>436</v>
      </c>
      <c r="L20" s="14"/>
      <c r="M20" s="14"/>
      <c r="N20" s="14"/>
      <c r="O20" s="14"/>
      <c r="P20" s="14"/>
      <c r="Q20" s="14"/>
      <c r="R20" s="14"/>
      <c r="S20" s="14"/>
      <c r="T20" s="14"/>
      <c r="U20" s="14"/>
      <c r="V20" s="14"/>
      <c r="W20" s="14"/>
      <c r="X20" s="14"/>
      <c r="Y20" s="14"/>
      <c r="Z20" s="14"/>
      <c r="AA20" s="14"/>
      <c r="AB20" s="14"/>
      <c r="AC20" s="14"/>
      <c r="AE20" s="14"/>
      <c r="AF20" s="14"/>
      <c r="AG20" s="14"/>
      <c r="AH20" s="14"/>
      <c r="AI20" s="14"/>
      <c r="AJ20" s="14" t="s">
        <v>437</v>
      </c>
      <c r="AK20" s="14" t="s">
        <v>437</v>
      </c>
      <c r="AL20" s="14"/>
    </row>
    <row r="21" spans="1:38">
      <c r="A21" s="6" t="s">
        <v>461</v>
      </c>
      <c r="B21" s="14"/>
      <c r="C21" s="6" t="s">
        <v>442</v>
      </c>
      <c r="D21" s="6" t="s">
        <v>435</v>
      </c>
      <c r="E21" s="6" t="s">
        <v>96</v>
      </c>
      <c r="F21" s="14">
        <v>5</v>
      </c>
      <c r="G21" s="14">
        <v>12</v>
      </c>
      <c r="H21" s="14">
        <v>0</v>
      </c>
      <c r="I21" s="14">
        <v>63</v>
      </c>
      <c r="J21" s="14">
        <f t="shared" si="0"/>
        <v>16</v>
      </c>
      <c r="K21" s="14" t="s">
        <v>436</v>
      </c>
      <c r="L21" s="14"/>
      <c r="M21" s="14"/>
      <c r="N21" s="14"/>
      <c r="O21" s="14"/>
      <c r="P21" s="14"/>
      <c r="Q21" s="14"/>
      <c r="R21" s="14"/>
      <c r="S21" s="14"/>
      <c r="T21" s="14"/>
      <c r="U21" s="14"/>
      <c r="V21" s="14"/>
      <c r="W21" s="14"/>
      <c r="X21" s="14"/>
      <c r="Y21" s="14"/>
      <c r="Z21" s="14"/>
      <c r="AA21" s="14"/>
      <c r="AB21" s="14">
        <v>65</v>
      </c>
      <c r="AC21" s="14" t="s">
        <v>436</v>
      </c>
      <c r="AE21" s="14"/>
      <c r="AF21" s="14"/>
      <c r="AG21" s="14"/>
      <c r="AH21" s="14"/>
      <c r="AI21" s="14"/>
      <c r="AJ21" s="14" t="s">
        <v>437</v>
      </c>
      <c r="AK21" s="14"/>
      <c r="AL21" s="14"/>
    </row>
    <row r="22" spans="1:38">
      <c r="A22" s="6" t="s">
        <v>462</v>
      </c>
      <c r="B22" s="14"/>
      <c r="C22" s="6" t="s">
        <v>442</v>
      </c>
      <c r="D22" s="6" t="s">
        <v>435</v>
      </c>
      <c r="E22" s="6" t="s">
        <v>104</v>
      </c>
      <c r="F22" s="14">
        <v>4</v>
      </c>
      <c r="G22" s="14">
        <v>7</v>
      </c>
      <c r="H22" s="14">
        <v>0</v>
      </c>
      <c r="I22" s="14">
        <v>41</v>
      </c>
      <c r="J22" s="14">
        <f t="shared" si="0"/>
        <v>4</v>
      </c>
      <c r="K22" s="14" t="s">
        <v>436</v>
      </c>
      <c r="L22" s="14"/>
      <c r="M22" s="14"/>
      <c r="N22" s="14"/>
      <c r="O22" s="14"/>
      <c r="P22" s="14"/>
      <c r="Q22" s="14"/>
      <c r="R22" s="14"/>
      <c r="S22" s="14"/>
      <c r="T22" s="14"/>
      <c r="U22" s="14"/>
      <c r="V22" s="14"/>
      <c r="W22" s="14"/>
      <c r="X22" s="14"/>
      <c r="Y22" s="14"/>
      <c r="Z22" s="14"/>
      <c r="AA22" s="14"/>
      <c r="AB22" s="14"/>
      <c r="AC22" s="14"/>
      <c r="AE22" s="14"/>
      <c r="AF22" s="14"/>
      <c r="AG22" s="14"/>
      <c r="AH22" s="14"/>
      <c r="AI22" s="14"/>
      <c r="AJ22" s="14" t="s">
        <v>437</v>
      </c>
      <c r="AK22" s="14"/>
      <c r="AL22" s="14"/>
    </row>
    <row r="23" spans="1:38">
      <c r="A23" s="6" t="s">
        <v>463</v>
      </c>
      <c r="B23" s="14"/>
      <c r="C23" s="6" t="s">
        <v>442</v>
      </c>
      <c r="D23" s="6" t="s">
        <v>435</v>
      </c>
      <c r="E23" s="6" t="s">
        <v>108</v>
      </c>
      <c r="F23" s="14">
        <v>8</v>
      </c>
      <c r="G23" s="14">
        <v>34</v>
      </c>
      <c r="H23" s="14">
        <v>34</v>
      </c>
      <c r="I23" s="14">
        <v>136</v>
      </c>
      <c r="J23" s="14">
        <f t="shared" si="0"/>
        <v>16</v>
      </c>
      <c r="K23" s="14" t="s">
        <v>436</v>
      </c>
      <c r="L23" s="14"/>
      <c r="M23" s="14"/>
      <c r="N23" s="14"/>
      <c r="O23" s="14"/>
      <c r="P23" s="14"/>
      <c r="Q23" s="14"/>
      <c r="R23" s="14"/>
      <c r="S23" s="14"/>
      <c r="T23" s="14"/>
      <c r="U23" s="14"/>
      <c r="V23" s="14"/>
      <c r="W23" s="14"/>
      <c r="X23" s="14"/>
      <c r="Y23" s="14"/>
      <c r="Z23" s="14"/>
      <c r="AA23" s="14"/>
      <c r="AB23" s="14"/>
      <c r="AC23" s="14"/>
      <c r="AE23" s="14"/>
      <c r="AF23" s="14"/>
      <c r="AG23" s="14"/>
      <c r="AH23" s="14"/>
      <c r="AI23" s="14"/>
      <c r="AJ23" s="14" t="s">
        <v>437</v>
      </c>
      <c r="AK23" s="14" t="s">
        <v>437</v>
      </c>
      <c r="AL23" s="14"/>
    </row>
    <row r="24" spans="1:38">
      <c r="A24" s="6" t="s">
        <v>464</v>
      </c>
      <c r="B24" s="14"/>
      <c r="C24" s="6" t="s">
        <v>442</v>
      </c>
      <c r="D24" s="6" t="s">
        <v>435</v>
      </c>
      <c r="E24" s="6" t="s">
        <v>108</v>
      </c>
      <c r="F24" s="14">
        <v>8</v>
      </c>
      <c r="G24" s="14">
        <v>34</v>
      </c>
      <c r="H24" s="14">
        <v>34</v>
      </c>
      <c r="I24" s="14">
        <v>136</v>
      </c>
      <c r="J24" s="14">
        <f t="shared" si="0"/>
        <v>16</v>
      </c>
      <c r="K24" s="14" t="s">
        <v>436</v>
      </c>
      <c r="L24" s="14"/>
      <c r="M24" s="14"/>
      <c r="N24" s="14"/>
      <c r="O24" s="14"/>
      <c r="P24" s="14"/>
      <c r="Q24" s="14"/>
      <c r="R24" s="14"/>
      <c r="S24" s="14"/>
      <c r="T24" s="14"/>
      <c r="U24" s="14"/>
      <c r="V24" s="14"/>
      <c r="W24" s="14"/>
      <c r="X24" s="14"/>
      <c r="Y24" s="14"/>
      <c r="Z24" s="14"/>
      <c r="AA24" s="14"/>
      <c r="AB24" s="14"/>
      <c r="AC24" s="14"/>
      <c r="AE24" s="14"/>
      <c r="AF24" s="14"/>
      <c r="AG24" s="14"/>
      <c r="AH24" s="14"/>
      <c r="AI24" s="14"/>
      <c r="AJ24" s="14" t="s">
        <v>437</v>
      </c>
      <c r="AK24" s="14" t="s">
        <v>437</v>
      </c>
      <c r="AL24" s="14"/>
    </row>
    <row r="25" spans="1:38">
      <c r="A25" s="6" t="s">
        <v>465</v>
      </c>
      <c r="B25" s="14"/>
      <c r="C25" s="6" t="s">
        <v>442</v>
      </c>
      <c r="D25" s="6" t="s">
        <v>435</v>
      </c>
      <c r="E25" s="6" t="s">
        <v>124</v>
      </c>
      <c r="F25" s="14">
        <v>6</v>
      </c>
      <c r="G25" s="14">
        <v>6</v>
      </c>
      <c r="H25" s="14">
        <v>0</v>
      </c>
      <c r="I25" s="14">
        <v>56</v>
      </c>
      <c r="J25" s="14">
        <f t="shared" si="0"/>
        <v>4</v>
      </c>
      <c r="K25" s="14" t="s">
        <v>436</v>
      </c>
      <c r="L25" s="14"/>
      <c r="M25" s="14"/>
      <c r="N25" s="14"/>
      <c r="O25" s="14"/>
      <c r="P25" s="14"/>
      <c r="Q25" s="14"/>
      <c r="R25" s="14"/>
      <c r="S25" s="14"/>
      <c r="T25" s="14"/>
      <c r="U25" s="14"/>
      <c r="V25" s="14"/>
      <c r="W25" s="14"/>
      <c r="X25" s="14">
        <v>75</v>
      </c>
      <c r="Y25" s="14" t="s">
        <v>466</v>
      </c>
      <c r="Z25" s="14"/>
      <c r="AA25" s="14"/>
      <c r="AB25" s="14"/>
      <c r="AC25" s="14"/>
      <c r="AE25" s="14"/>
      <c r="AF25" s="14"/>
      <c r="AG25" s="14"/>
      <c r="AH25" s="14"/>
      <c r="AI25" s="14"/>
      <c r="AJ25" s="14" t="s">
        <v>437</v>
      </c>
      <c r="AK25" s="14"/>
      <c r="AL25" s="14"/>
    </row>
    <row r="26" spans="1:38">
      <c r="A26" s="6" t="s">
        <v>467</v>
      </c>
      <c r="B26" s="14"/>
      <c r="C26" s="6" t="s">
        <v>442</v>
      </c>
      <c r="D26" s="6" t="s">
        <v>435</v>
      </c>
      <c r="E26" s="6" t="s">
        <v>124</v>
      </c>
      <c r="F26" s="14">
        <v>6</v>
      </c>
      <c r="G26" s="14">
        <v>6</v>
      </c>
      <c r="H26" s="14">
        <v>0</v>
      </c>
      <c r="I26" s="14">
        <v>56</v>
      </c>
      <c r="J26" s="14">
        <f t="shared" si="0"/>
        <v>4</v>
      </c>
      <c r="K26" s="14" t="s">
        <v>436</v>
      </c>
      <c r="L26" s="14"/>
      <c r="M26" s="14"/>
      <c r="N26" s="14"/>
      <c r="O26" s="14"/>
      <c r="P26" s="14"/>
      <c r="Q26" s="14"/>
      <c r="R26" s="14"/>
      <c r="S26" s="14"/>
      <c r="T26" s="14"/>
      <c r="U26" s="14"/>
      <c r="V26" s="14"/>
      <c r="W26" s="14"/>
      <c r="X26" s="14">
        <v>75</v>
      </c>
      <c r="Y26" s="14" t="s">
        <v>466</v>
      </c>
      <c r="Z26" s="14"/>
      <c r="AA26" s="14"/>
      <c r="AB26" s="14"/>
      <c r="AC26" s="14"/>
      <c r="AE26" s="14"/>
      <c r="AF26" s="14"/>
      <c r="AG26" s="14"/>
      <c r="AH26" s="14"/>
      <c r="AI26" s="14"/>
      <c r="AJ26" s="14" t="s">
        <v>437</v>
      </c>
      <c r="AK26" s="14"/>
      <c r="AL26" s="14"/>
    </row>
    <row r="27" spans="1:38">
      <c r="A27" s="6" t="s">
        <v>468</v>
      </c>
      <c r="B27" s="14"/>
      <c r="C27" s="6" t="s">
        <v>442</v>
      </c>
      <c r="D27" s="6" t="s">
        <v>435</v>
      </c>
      <c r="E27" s="6" t="s">
        <v>469</v>
      </c>
      <c r="F27" s="14">
        <v>3</v>
      </c>
      <c r="G27" s="14">
        <v>3</v>
      </c>
      <c r="H27" s="14">
        <v>0</v>
      </c>
      <c r="I27" s="14">
        <v>41</v>
      </c>
      <c r="J27" s="14">
        <f t="shared" si="0"/>
        <v>4</v>
      </c>
      <c r="K27" s="14" t="s">
        <v>436</v>
      </c>
      <c r="L27" s="14"/>
      <c r="M27" s="14"/>
      <c r="N27" s="14"/>
      <c r="O27" s="14"/>
      <c r="P27" s="14"/>
      <c r="Q27" s="14"/>
      <c r="R27" s="14"/>
      <c r="S27" s="14"/>
      <c r="T27" s="14"/>
      <c r="U27" s="14"/>
      <c r="V27" s="14"/>
      <c r="W27" s="14"/>
      <c r="X27" s="14"/>
      <c r="Y27" s="14"/>
      <c r="Z27" s="14"/>
      <c r="AA27" s="14"/>
      <c r="AB27" s="14"/>
      <c r="AC27" s="14"/>
      <c r="AE27" s="14"/>
      <c r="AF27" s="14"/>
      <c r="AG27" s="14"/>
      <c r="AH27" s="14"/>
      <c r="AI27" s="14"/>
      <c r="AJ27" s="14" t="s">
        <v>437</v>
      </c>
      <c r="AK27" s="14"/>
      <c r="AL27" s="14"/>
    </row>
    <row r="28" spans="1:38">
      <c r="A28" s="6" t="s">
        <v>470</v>
      </c>
      <c r="B28" s="14"/>
      <c r="C28" s="6" t="s">
        <v>442</v>
      </c>
      <c r="D28" s="6" t="s">
        <v>435</v>
      </c>
      <c r="E28" s="6" t="s">
        <v>471</v>
      </c>
      <c r="F28" s="14">
        <v>3</v>
      </c>
      <c r="G28" s="14">
        <v>3</v>
      </c>
      <c r="H28" s="14">
        <v>0</v>
      </c>
      <c r="I28" s="14">
        <v>41</v>
      </c>
      <c r="J28" s="14">
        <f t="shared" si="0"/>
        <v>4</v>
      </c>
      <c r="K28" s="14" t="s">
        <v>436</v>
      </c>
      <c r="L28" s="14"/>
      <c r="M28" s="14"/>
      <c r="N28" s="14"/>
      <c r="O28" s="14"/>
      <c r="P28" s="14"/>
      <c r="Q28" s="14"/>
      <c r="R28" s="14"/>
      <c r="S28" s="14"/>
      <c r="T28" s="14"/>
      <c r="U28" s="14"/>
      <c r="V28" s="14"/>
      <c r="W28" s="14"/>
      <c r="X28" s="14"/>
      <c r="Y28" s="14"/>
      <c r="Z28" s="14"/>
      <c r="AA28" s="14"/>
      <c r="AB28" s="14"/>
      <c r="AC28" s="14"/>
      <c r="AE28" s="14"/>
      <c r="AF28" s="14"/>
      <c r="AG28" s="14"/>
      <c r="AH28" s="14"/>
      <c r="AI28" s="14"/>
      <c r="AJ28" s="14" t="s">
        <v>437</v>
      </c>
      <c r="AK28" s="14"/>
      <c r="AL28" s="14"/>
    </row>
    <row r="29" spans="1:38" s="19" customFormat="1" ht="13.5" customHeight="1">
      <c r="A29" s="19" t="s">
        <v>472</v>
      </c>
      <c r="C29" s="19" t="s">
        <v>442</v>
      </c>
      <c r="D29" s="19" t="s">
        <v>435</v>
      </c>
      <c r="E29" s="19" t="s">
        <v>473</v>
      </c>
      <c r="F29" s="17">
        <v>8</v>
      </c>
      <c r="G29" s="17">
        <v>11</v>
      </c>
      <c r="H29" s="17">
        <v>0</v>
      </c>
      <c r="I29" s="17">
        <v>125</v>
      </c>
      <c r="J29" s="17">
        <f t="shared" si="0"/>
        <v>16</v>
      </c>
      <c r="K29" s="17" t="s">
        <v>436</v>
      </c>
      <c r="L29" s="17"/>
      <c r="M29" s="17"/>
      <c r="N29" s="99"/>
      <c r="O29" s="98"/>
      <c r="P29" s="17"/>
      <c r="Q29" s="17"/>
      <c r="R29" s="17"/>
      <c r="S29" s="17"/>
      <c r="V29" s="17"/>
      <c r="W29" s="17"/>
      <c r="AF29" s="39">
        <v>135</v>
      </c>
      <c r="AG29" s="39" t="s">
        <v>474</v>
      </c>
      <c r="AH29" s="39"/>
      <c r="AI29" s="39"/>
      <c r="AJ29" s="17" t="s">
        <v>437</v>
      </c>
      <c r="AK29" s="17"/>
      <c r="AL29" s="17"/>
    </row>
    <row r="30" spans="1:38">
      <c r="F30" s="14">
        <f>SUM(F8:F29)</f>
        <v>97</v>
      </c>
      <c r="G30" s="14">
        <f>SUM(G8:G29)</f>
        <v>241</v>
      </c>
      <c r="H30" s="14">
        <f>SUM(H8:H29)</f>
        <v>114</v>
      </c>
      <c r="I30" s="14">
        <f>SUM(I8:I29)</f>
        <v>2267</v>
      </c>
      <c r="J30" s="14"/>
      <c r="K30" s="14"/>
      <c r="L30" s="14">
        <f>SUM(L8:L29)</f>
        <v>66</v>
      </c>
      <c r="M30" s="14"/>
      <c r="N30" s="14">
        <f>SUM(N8:N29)</f>
        <v>1350</v>
      </c>
      <c r="O30" s="14"/>
      <c r="P30" s="14">
        <f>SUM(P8:P29)</f>
        <v>1650</v>
      </c>
      <c r="Q30" s="14"/>
      <c r="R30" s="14">
        <f>SUM(R8:R29)</f>
        <v>340</v>
      </c>
      <c r="S30" s="14"/>
      <c r="T30" s="14">
        <f>SUM(T8:T29)</f>
        <v>0</v>
      </c>
      <c r="U30" s="14"/>
      <c r="V30" s="14">
        <f>SUM(V8:V29)</f>
        <v>4750</v>
      </c>
      <c r="X30" s="14">
        <f>SUM(X8:X29)</f>
        <v>150</v>
      </c>
      <c r="Z30" s="14">
        <f>SUM(Z8:Z29)</f>
        <v>50</v>
      </c>
      <c r="AB30" s="14">
        <f>SUM(AB8:AB29)</f>
        <v>65</v>
      </c>
      <c r="AD30" s="14">
        <f>SUM(AD8:AD29)</f>
        <v>0</v>
      </c>
      <c r="AF30" s="14">
        <f>SUM(AF8:AF29)</f>
        <v>135</v>
      </c>
      <c r="AJ30" s="14">
        <f>COUNTIF(AJ8:AJ29,"x")</f>
        <v>22</v>
      </c>
      <c r="AK30" s="14">
        <f>COUNTIF(AK8:AK29,"x")</f>
        <v>8</v>
      </c>
      <c r="AL30" s="14">
        <f>COUNTIF(AL8:AL29,"x")</f>
        <v>2</v>
      </c>
    </row>
    <row r="31" spans="1:38" ht="13.5" customHeight="1">
      <c r="A31" s="16" t="s">
        <v>475</v>
      </c>
      <c r="F31" s="14"/>
      <c r="G31" s="14"/>
      <c r="H31" s="14"/>
      <c r="I31" s="14"/>
      <c r="J31" s="14"/>
      <c r="K31" s="14"/>
      <c r="L31" s="14"/>
      <c r="M31" s="14"/>
      <c r="N31" s="14"/>
      <c r="O31"/>
      <c r="P31" s="14"/>
      <c r="Q31" s="14"/>
      <c r="R31" s="14"/>
      <c r="S31" s="14"/>
      <c r="T31" s="14"/>
      <c r="U31" s="14"/>
      <c r="V31" s="14"/>
      <c r="X31" s="14"/>
      <c r="Z31" s="14"/>
      <c r="AB31" s="14"/>
      <c r="AJ31" s="14"/>
      <c r="AK31" s="14"/>
      <c r="AL31" s="14"/>
    </row>
    <row r="32" spans="1:38">
      <c r="A32" s="6" t="s">
        <v>476</v>
      </c>
      <c r="B32" s="14"/>
      <c r="C32" s="6" t="s">
        <v>442</v>
      </c>
      <c r="D32" s="6" t="s">
        <v>435</v>
      </c>
      <c r="E32" s="6" t="s">
        <v>477</v>
      </c>
      <c r="F32" s="14">
        <v>8</v>
      </c>
      <c r="G32" s="14">
        <v>16</v>
      </c>
      <c r="H32" s="14">
        <v>0</v>
      </c>
      <c r="I32" s="14">
        <v>30</v>
      </c>
      <c r="J32" s="14">
        <f>IF(G32&gt;=10,16, 4)-J63</f>
        <v>12</v>
      </c>
      <c r="K32" s="14" t="s">
        <v>436</v>
      </c>
      <c r="L32" s="14"/>
      <c r="M32" s="14"/>
      <c r="N32" s="14"/>
      <c r="O32" s="14"/>
      <c r="P32" s="14"/>
      <c r="Q32" s="14"/>
      <c r="R32" s="14"/>
      <c r="S32" s="14"/>
      <c r="T32" s="14"/>
      <c r="U32" s="14"/>
      <c r="V32" s="14">
        <v>200</v>
      </c>
      <c r="W32" s="14" t="s">
        <v>206</v>
      </c>
      <c r="X32" s="14"/>
      <c r="Y32" s="14"/>
      <c r="Z32" s="14"/>
      <c r="AA32" s="14"/>
      <c r="AB32" s="14"/>
      <c r="AC32" s="14"/>
      <c r="AE32" s="14"/>
      <c r="AF32" s="14"/>
      <c r="AG32" s="14"/>
      <c r="AH32" s="14">
        <v>150</v>
      </c>
      <c r="AI32" s="14" t="s">
        <v>474</v>
      </c>
      <c r="AJ32" s="14"/>
      <c r="AK32" s="14"/>
      <c r="AL32" s="14"/>
    </row>
    <row r="33" spans="1:38" ht="12.95">
      <c r="A33" s="138" t="s">
        <v>478</v>
      </c>
      <c r="F33" s="14"/>
      <c r="G33" s="14"/>
      <c r="H33" s="14"/>
      <c r="I33" s="14"/>
      <c r="J33" s="14"/>
      <c r="K33" s="14"/>
      <c r="L33" s="14"/>
      <c r="M33" s="14"/>
      <c r="N33" s="14"/>
      <c r="O33" s="14"/>
      <c r="P33" s="14"/>
      <c r="Q33" s="14"/>
      <c r="R33" s="14"/>
      <c r="S33" s="14"/>
      <c r="T33" s="14"/>
      <c r="U33" s="14"/>
      <c r="V33" s="14"/>
      <c r="X33" s="14"/>
      <c r="Z33" s="14"/>
      <c r="AB33" s="14"/>
      <c r="AK33" s="14"/>
      <c r="AL33" s="14"/>
    </row>
    <row r="34" spans="1:38">
      <c r="A34" s="6" t="s">
        <v>472</v>
      </c>
      <c r="B34" s="14"/>
      <c r="C34" s="6" t="s">
        <v>442</v>
      </c>
      <c r="D34" s="6" t="s">
        <v>435</v>
      </c>
      <c r="E34" s="6" t="s">
        <v>479</v>
      </c>
      <c r="F34" s="14">
        <v>8</v>
      </c>
      <c r="G34" s="14">
        <v>22</v>
      </c>
      <c r="H34" s="14">
        <v>0</v>
      </c>
      <c r="I34" s="14">
        <v>28</v>
      </c>
      <c r="J34" s="14">
        <f>IF(G34&gt;=10,16, 4)-J29</f>
        <v>0</v>
      </c>
      <c r="K34" s="14" t="s">
        <v>436</v>
      </c>
      <c r="L34" s="14"/>
      <c r="M34" s="14"/>
      <c r="N34" s="14"/>
      <c r="O34" s="14"/>
      <c r="P34" s="14"/>
      <c r="Q34" s="14"/>
      <c r="R34" s="14">
        <v>120</v>
      </c>
      <c r="S34" s="14" t="s">
        <v>449</v>
      </c>
      <c r="T34" s="14"/>
      <c r="U34" s="14"/>
      <c r="V34" s="14">
        <v>340</v>
      </c>
      <c r="W34" s="14" t="s">
        <v>206</v>
      </c>
      <c r="X34" s="14"/>
      <c r="Y34" s="14"/>
      <c r="Z34" s="14"/>
      <c r="AA34" s="14"/>
      <c r="AB34" s="14"/>
      <c r="AC34" s="14"/>
      <c r="AD34" s="14">
        <v>200</v>
      </c>
      <c r="AE34" s="14" t="s">
        <v>474</v>
      </c>
      <c r="AF34" s="14"/>
      <c r="AG34" s="14"/>
      <c r="AH34" s="14"/>
      <c r="AI34" s="14"/>
      <c r="AJ34" s="14"/>
      <c r="AK34" s="14"/>
      <c r="AL34" s="14"/>
    </row>
    <row r="35" spans="1:38" s="19" customFormat="1" ht="13.5" customHeight="1">
      <c r="A35" s="19" t="s">
        <v>480</v>
      </c>
      <c r="C35" s="19" t="s">
        <v>442</v>
      </c>
      <c r="D35" s="19" t="s">
        <v>435</v>
      </c>
      <c r="E35" s="19" t="s">
        <v>481</v>
      </c>
      <c r="F35" s="17">
        <v>4</v>
      </c>
      <c r="G35" s="17">
        <v>15</v>
      </c>
      <c r="H35" s="17">
        <v>0</v>
      </c>
      <c r="I35" s="17">
        <v>0</v>
      </c>
      <c r="J35" s="17">
        <f>IF(G35&gt;=10,16, 4)-J62</f>
        <v>12</v>
      </c>
      <c r="K35" s="17" t="s">
        <v>436</v>
      </c>
      <c r="L35" s="17"/>
      <c r="M35" s="17"/>
      <c r="N35" s="99"/>
      <c r="O35" s="98"/>
      <c r="P35" s="17"/>
      <c r="Q35" s="17"/>
      <c r="R35" s="17"/>
      <c r="S35" s="17"/>
      <c r="V35" s="17"/>
      <c r="W35" s="17"/>
      <c r="AD35" s="17"/>
      <c r="AE35" s="17"/>
      <c r="AF35" s="17"/>
      <c r="AG35" s="17"/>
      <c r="AH35" s="17"/>
      <c r="AI35" s="39"/>
      <c r="AJ35" s="17"/>
      <c r="AK35" s="17"/>
      <c r="AL35" s="17"/>
    </row>
    <row r="36" spans="1:38" ht="13.5" customHeight="1">
      <c r="F36" s="14">
        <f>SUM(F32:F35)+F30</f>
        <v>117</v>
      </c>
      <c r="G36" s="14">
        <f>SUM(G32:G35)+G30</f>
        <v>294</v>
      </c>
      <c r="H36" s="14">
        <f>SUM(H32:H35)+H30</f>
        <v>114</v>
      </c>
      <c r="I36" s="14">
        <f>SUM(I32:I35)+I30</f>
        <v>2325</v>
      </c>
      <c r="J36" s="14"/>
      <c r="K36" s="14"/>
      <c r="L36" s="14">
        <f>SUM(L32:L35)+L30</f>
        <v>66</v>
      </c>
      <c r="M36" s="14"/>
      <c r="N36" s="14">
        <f>SUM(N32:N35)+N30</f>
        <v>1350</v>
      </c>
      <c r="O36"/>
      <c r="P36" s="14">
        <f>SUM(P32:P35)+P30</f>
        <v>1650</v>
      </c>
      <c r="Q36" s="14"/>
      <c r="R36" s="14">
        <f>SUM(R32:R35)+R30</f>
        <v>460</v>
      </c>
      <c r="S36" s="14"/>
      <c r="T36" s="14">
        <f>SUM(T32:T35)+T30</f>
        <v>0</v>
      </c>
      <c r="V36" s="14">
        <f>SUM(V32:V35)+V30</f>
        <v>5290</v>
      </c>
      <c r="X36" s="14">
        <f>SUM(X32:X35)+X30</f>
        <v>150</v>
      </c>
      <c r="Z36" s="14">
        <f>SUM(Z32:Z35)+Z30</f>
        <v>50</v>
      </c>
      <c r="AB36" s="14">
        <f>SUM(AB32:AB35)+AB30</f>
        <v>65</v>
      </c>
      <c r="AD36" s="14">
        <f>SUM(AD32:AD35)+AD30</f>
        <v>200</v>
      </c>
      <c r="AF36" s="14">
        <f>SUM(AF32:AF35)+AF30</f>
        <v>135</v>
      </c>
      <c r="AH36" s="14">
        <f>SUM(AH32:AH35)+AH30</f>
        <v>150</v>
      </c>
      <c r="AJ36" s="14">
        <f>COUNTIF(AJ33:AJ35,"x")+AJ30</f>
        <v>22</v>
      </c>
      <c r="AK36" s="14">
        <f>COUNTIF(AK33:AK35,"x")+AK30</f>
        <v>8</v>
      </c>
      <c r="AL36" s="14">
        <f>COUNTIF(AL33:AL35,"x")+AL30</f>
        <v>2</v>
      </c>
    </row>
    <row r="38" spans="1:38" ht="12.95" customHeight="1">
      <c r="F38" s="14"/>
      <c r="G38" s="14"/>
      <c r="H38" s="14"/>
      <c r="I38" s="14"/>
      <c r="J38" s="14"/>
      <c r="K38" s="14"/>
      <c r="L38" s="14"/>
      <c r="M38" s="14"/>
      <c r="N38" s="14"/>
      <c r="O38" s="14"/>
      <c r="P38" s="14"/>
      <c r="Q38" s="14"/>
      <c r="R38" s="14"/>
      <c r="S38" s="14"/>
      <c r="T38" s="14"/>
      <c r="U38" s="14"/>
      <c r="V38" s="14"/>
    </row>
    <row r="39" spans="1:38" ht="13.35" customHeight="1">
      <c r="A39" s="174" t="s">
        <v>482</v>
      </c>
      <c r="B39" s="174"/>
      <c r="C39" s="174"/>
      <c r="D39" s="174"/>
      <c r="E39" s="25" t="s">
        <v>483</v>
      </c>
      <c r="F39" s="89">
        <f>2*28-(IF(E9="vCSA8.0", 2, 1))</f>
        <v>54</v>
      </c>
      <c r="G39" s="89">
        <f>1*(512-(IF(E9="vCSA8.0", 12, 8)))</f>
        <v>500</v>
      </c>
      <c r="H39" s="175" t="str">
        <f>"Note1: ESXi reserves " &amp; IF(E9="vCSA8.0", 12, 8) &amp;" GB Memory for internal purpose
Note2: "&amp; IF(E9="vCSA8.0", 2, 1) &amp; " CPU is used by vSphere "&amp; IF(E9="vCSA8.0", "8.0", "7.0 U1") &amp;" onwards for internal functionality."</f>
        <v>Note1: ESXi reserves 12 GB Memory for internal purpose
Note2: 2 CPU is used by vSphere 8.0 onwards for internal functionality.</v>
      </c>
      <c r="I39" s="175"/>
      <c r="J39" s="175"/>
      <c r="K39" s="175"/>
      <c r="L39" s="175"/>
      <c r="M39" s="22"/>
      <c r="N39" s="22"/>
      <c r="O39" s="22"/>
      <c r="P39" s="22"/>
      <c r="Q39" s="22"/>
      <c r="R39" s="22"/>
      <c r="S39" s="22"/>
      <c r="T39" s="22"/>
      <c r="U39" s="22"/>
      <c r="V39" s="22"/>
      <c r="W39" s="22"/>
      <c r="X39" s="22"/>
      <c r="Y39" s="22"/>
      <c r="Z39" s="22"/>
      <c r="AA39" s="22"/>
      <c r="AB39" s="22"/>
      <c r="AC39" s="22"/>
      <c r="AD39" s="133"/>
      <c r="AE39" s="22"/>
      <c r="AF39" s="22"/>
      <c r="AG39" s="22"/>
      <c r="AH39" s="22"/>
      <c r="AI39" s="22"/>
      <c r="AJ39" s="22"/>
      <c r="AK39" s="22"/>
      <c r="AL39" s="22"/>
    </row>
    <row r="40" spans="1:38" ht="13.35" customHeight="1">
      <c r="A40" s="89"/>
      <c r="B40" s="89"/>
      <c r="C40" s="89"/>
      <c r="D40" s="89"/>
      <c r="E40" s="25" t="s">
        <v>484</v>
      </c>
      <c r="F40" s="89">
        <f>2*32-(IF(E9="vCSA8.0", 2, 1))</f>
        <v>62</v>
      </c>
      <c r="G40" s="89">
        <f>1*(512-(IF(E9="vCSA8.0", 12, 8)))</f>
        <v>500</v>
      </c>
      <c r="H40" s="175"/>
      <c r="I40" s="175"/>
      <c r="J40" s="175"/>
      <c r="K40" s="175"/>
      <c r="L40" s="175"/>
      <c r="M40" s="22"/>
      <c r="N40" s="22"/>
      <c r="O40" s="22"/>
      <c r="P40" s="22"/>
      <c r="Q40" s="22"/>
      <c r="R40" s="22"/>
      <c r="S40" s="22"/>
      <c r="T40" s="22"/>
      <c r="U40" s="22"/>
      <c r="V40" s="22"/>
      <c r="W40" s="22"/>
      <c r="X40" s="22"/>
      <c r="Y40" s="22"/>
      <c r="Z40" s="22"/>
      <c r="AA40" s="22"/>
      <c r="AB40" s="22"/>
      <c r="AC40" s="22"/>
      <c r="AD40" s="133"/>
      <c r="AE40" s="22"/>
      <c r="AF40" s="22"/>
      <c r="AG40" s="22"/>
      <c r="AH40" s="22"/>
      <c r="AI40" s="22"/>
      <c r="AJ40" s="22"/>
      <c r="AK40" s="22"/>
      <c r="AL40" s="22"/>
    </row>
    <row r="41" spans="1:38" ht="12.95">
      <c r="A41" s="174"/>
      <c r="B41" s="174"/>
      <c r="C41" s="174"/>
      <c r="D41" s="174"/>
      <c r="E41" s="25"/>
      <c r="F41" s="89"/>
      <c r="G41" s="89"/>
      <c r="H41" s="175"/>
      <c r="I41" s="175"/>
      <c r="J41" s="175"/>
      <c r="K41" s="175"/>
      <c r="L41" s="175"/>
      <c r="M41" s="22"/>
      <c r="N41" s="22"/>
      <c r="O41" s="22"/>
      <c r="P41" s="22"/>
      <c r="Q41" s="22"/>
      <c r="R41" s="22"/>
      <c r="S41" s="22"/>
      <c r="T41" s="22"/>
      <c r="U41" s="22"/>
      <c r="V41" s="22"/>
      <c r="W41" s="22"/>
      <c r="X41" s="22"/>
      <c r="Y41" s="22"/>
      <c r="Z41" s="22"/>
      <c r="AA41" s="22"/>
      <c r="AB41" s="22"/>
      <c r="AC41" s="22"/>
      <c r="AD41" s="133"/>
      <c r="AE41" s="22"/>
      <c r="AF41" s="22"/>
      <c r="AG41" s="22"/>
      <c r="AH41" s="22"/>
      <c r="AI41" s="22"/>
      <c r="AJ41" s="22"/>
      <c r="AK41" s="22"/>
      <c r="AL41" s="22"/>
    </row>
    <row r="42" spans="1:38" ht="12.95">
      <c r="A42" s="89"/>
      <c r="B42" s="89"/>
      <c r="C42" s="89"/>
      <c r="D42" s="89"/>
      <c r="E42" s="25"/>
      <c r="F42" s="89"/>
      <c r="G42" s="89"/>
      <c r="H42" s="175"/>
      <c r="I42" s="175"/>
      <c r="J42" s="175"/>
      <c r="K42" s="175"/>
      <c r="L42" s="175"/>
      <c r="M42" s="22"/>
      <c r="N42" s="22"/>
      <c r="O42" s="22"/>
      <c r="P42" s="22"/>
      <c r="Q42" s="22"/>
      <c r="R42" s="22"/>
      <c r="S42" s="22"/>
      <c r="T42" s="22"/>
      <c r="U42" s="22"/>
      <c r="V42" s="22"/>
      <c r="W42" s="22"/>
      <c r="X42" s="22"/>
      <c r="Y42" s="22"/>
      <c r="Z42" s="22"/>
      <c r="AA42" s="22"/>
      <c r="AB42" s="22"/>
      <c r="AC42" s="22"/>
      <c r="AD42" s="133"/>
      <c r="AE42" s="22"/>
      <c r="AF42" s="22"/>
      <c r="AG42" s="22"/>
      <c r="AH42" s="22"/>
      <c r="AI42" s="22"/>
      <c r="AJ42" s="22"/>
      <c r="AK42" s="22"/>
      <c r="AL42" s="22"/>
    </row>
    <row r="44" spans="1:38">
      <c r="E44" s="36"/>
    </row>
    <row r="46" spans="1:38" ht="12.95">
      <c r="A46" s="16" t="s">
        <v>485</v>
      </c>
      <c r="AL46" s="14"/>
    </row>
    <row r="47" spans="1:38">
      <c r="A47" s="6" t="s">
        <v>486</v>
      </c>
      <c r="C47" s="6" t="s">
        <v>442</v>
      </c>
      <c r="D47" s="6" t="s">
        <v>435</v>
      </c>
      <c r="E47" s="6" t="s">
        <v>44</v>
      </c>
      <c r="F47" s="14">
        <v>4</v>
      </c>
      <c r="G47" s="14">
        <v>16</v>
      </c>
      <c r="H47" s="14">
        <v>0</v>
      </c>
      <c r="I47" s="14">
        <v>71</v>
      </c>
      <c r="J47" s="14">
        <v>0</v>
      </c>
      <c r="K47" s="14" t="s">
        <v>436</v>
      </c>
      <c r="L47" s="14"/>
      <c r="M47" s="14"/>
      <c r="N47" s="14"/>
      <c r="O47" s="14"/>
      <c r="P47" s="14"/>
      <c r="Q47" s="14"/>
      <c r="R47" s="14"/>
      <c r="S47" s="14"/>
      <c r="T47" s="14"/>
      <c r="U47" s="14"/>
      <c r="V47" s="14"/>
      <c r="AJ47" s="14" t="s">
        <v>437</v>
      </c>
      <c r="AL47" s="14"/>
    </row>
    <row r="48" spans="1:38">
      <c r="A48" s="6" t="s">
        <v>487</v>
      </c>
      <c r="B48" s="14"/>
      <c r="C48" s="6" t="s">
        <v>442</v>
      </c>
      <c r="D48" s="21" t="s">
        <v>488</v>
      </c>
      <c r="E48" s="6" t="s">
        <v>112</v>
      </c>
      <c r="F48" s="14">
        <v>4</v>
      </c>
      <c r="G48" s="14">
        <v>4</v>
      </c>
      <c r="H48" s="14">
        <v>0</v>
      </c>
      <c r="I48" s="14">
        <v>100</v>
      </c>
      <c r="J48" s="14">
        <v>0</v>
      </c>
      <c r="K48" s="14" t="s">
        <v>436</v>
      </c>
      <c r="L48" s="14"/>
      <c r="M48" s="14"/>
      <c r="N48" s="14"/>
      <c r="O48" s="14"/>
      <c r="P48" s="14"/>
      <c r="Q48" s="14"/>
      <c r="R48" s="14"/>
      <c r="S48" s="14"/>
      <c r="T48" s="14"/>
      <c r="U48" s="14"/>
      <c r="V48" s="14"/>
      <c r="W48" s="14"/>
      <c r="X48" s="14"/>
      <c r="Y48" s="14"/>
      <c r="Z48" s="14"/>
      <c r="AA48" s="14"/>
      <c r="AB48" s="14"/>
      <c r="AC48" s="14"/>
      <c r="AE48" s="14"/>
      <c r="AF48" s="14"/>
      <c r="AG48" s="14"/>
      <c r="AH48" s="14"/>
      <c r="AI48" s="14"/>
      <c r="AJ48" s="14" t="s">
        <v>437</v>
      </c>
      <c r="AL48" s="14"/>
    </row>
    <row r="49" spans="1:48">
      <c r="A49" s="6" t="s">
        <v>489</v>
      </c>
      <c r="B49" s="14"/>
      <c r="C49" s="6" t="s">
        <v>442</v>
      </c>
      <c r="D49" s="21" t="s">
        <v>488</v>
      </c>
      <c r="E49" s="6" t="s">
        <v>120</v>
      </c>
      <c r="F49" s="14">
        <v>4</v>
      </c>
      <c r="G49" s="14">
        <v>16</v>
      </c>
      <c r="H49" s="14">
        <v>0</v>
      </c>
      <c r="I49" s="14">
        <v>100</v>
      </c>
      <c r="J49" s="14">
        <v>0</v>
      </c>
      <c r="K49" s="14" t="s">
        <v>436</v>
      </c>
      <c r="L49" s="14"/>
      <c r="M49" s="14"/>
      <c r="N49" s="14"/>
      <c r="O49" s="14"/>
      <c r="P49" s="14"/>
      <c r="Q49" s="14"/>
      <c r="R49" s="14"/>
      <c r="S49" s="14"/>
      <c r="T49" s="14"/>
      <c r="U49" s="14"/>
      <c r="V49" s="14"/>
      <c r="W49" s="14"/>
      <c r="X49" s="14"/>
      <c r="Y49" s="14"/>
      <c r="Z49" s="14"/>
      <c r="AA49" s="14"/>
      <c r="AB49" s="14"/>
      <c r="AC49" s="14"/>
      <c r="AE49" s="14"/>
      <c r="AF49" s="14"/>
      <c r="AG49" s="14"/>
      <c r="AH49" s="14"/>
      <c r="AI49" s="14"/>
      <c r="AJ49" s="14" t="s">
        <v>437</v>
      </c>
      <c r="AL49" s="14"/>
    </row>
    <row r="50" spans="1:48">
      <c r="A50" s="6" t="s">
        <v>490</v>
      </c>
      <c r="B50" s="14"/>
      <c r="C50" s="6" t="s">
        <v>442</v>
      </c>
      <c r="D50" s="21" t="s">
        <v>488</v>
      </c>
      <c r="E50" s="6" t="s">
        <v>116</v>
      </c>
      <c r="F50" s="14">
        <v>4</v>
      </c>
      <c r="G50" s="14">
        <v>14</v>
      </c>
      <c r="H50" s="14">
        <v>0</v>
      </c>
      <c r="I50" s="14">
        <v>120</v>
      </c>
      <c r="J50" s="14">
        <v>0</v>
      </c>
      <c r="K50" s="14" t="s">
        <v>436</v>
      </c>
      <c r="L50" s="14"/>
      <c r="M50" s="14"/>
      <c r="N50" s="14"/>
      <c r="O50" s="14"/>
      <c r="P50" s="14"/>
      <c r="Q50" s="14"/>
      <c r="R50" s="14"/>
      <c r="S50" s="14"/>
      <c r="T50" s="14"/>
      <c r="U50" s="14"/>
      <c r="V50" s="14"/>
      <c r="W50" s="14"/>
      <c r="X50" s="14"/>
      <c r="Y50" s="14"/>
      <c r="Z50" s="14"/>
      <c r="AA50" s="14"/>
      <c r="AB50" s="14"/>
      <c r="AC50" s="14"/>
      <c r="AE50" s="14"/>
      <c r="AF50" s="14"/>
      <c r="AG50" s="14"/>
      <c r="AH50" s="14"/>
      <c r="AI50" s="14"/>
      <c r="AJ50" s="14" t="s">
        <v>437</v>
      </c>
      <c r="AL50" s="14"/>
    </row>
    <row r="51" spans="1:48">
      <c r="A51" s="6" t="s">
        <v>491</v>
      </c>
      <c r="C51" s="6" t="s">
        <v>442</v>
      </c>
      <c r="D51" s="21" t="s">
        <v>488</v>
      </c>
      <c r="E51" s="6" t="s">
        <v>120</v>
      </c>
      <c r="F51" s="14">
        <v>4</v>
      </c>
      <c r="G51" s="14">
        <v>16</v>
      </c>
      <c r="H51" s="14">
        <v>0</v>
      </c>
      <c r="I51" s="14">
        <v>100</v>
      </c>
      <c r="J51" s="14">
        <v>0</v>
      </c>
      <c r="K51" s="14" t="s">
        <v>436</v>
      </c>
      <c r="L51" s="14"/>
      <c r="M51" s="14"/>
      <c r="N51" s="14"/>
      <c r="O51" s="14"/>
      <c r="P51" s="14"/>
      <c r="Q51" s="14"/>
      <c r="R51" s="14"/>
      <c r="S51" s="14"/>
      <c r="T51" s="14"/>
      <c r="U51" s="14"/>
      <c r="V51" s="14"/>
      <c r="AJ51" s="14" t="s">
        <v>437</v>
      </c>
      <c r="AL51" s="14"/>
    </row>
    <row r="52" spans="1:48">
      <c r="A52" s="6" t="s">
        <v>492</v>
      </c>
      <c r="C52" s="6" t="s">
        <v>442</v>
      </c>
      <c r="D52" s="6" t="s">
        <v>435</v>
      </c>
      <c r="E52" s="6" t="s">
        <v>55</v>
      </c>
      <c r="F52" s="14">
        <v>3</v>
      </c>
      <c r="G52" s="14">
        <v>8</v>
      </c>
      <c r="H52" s="14">
        <v>0</v>
      </c>
      <c r="I52" s="14">
        <v>121</v>
      </c>
      <c r="J52" s="14">
        <f t="shared" ref="J52:J63" si="1">IF(G52&gt;=10,16, 4)</f>
        <v>4</v>
      </c>
      <c r="K52" s="14" t="s">
        <v>436</v>
      </c>
      <c r="L52" s="14"/>
      <c r="M52" s="14"/>
      <c r="N52" s="14"/>
      <c r="O52" s="14"/>
      <c r="P52" s="14"/>
      <c r="Q52" s="14"/>
      <c r="R52" s="14"/>
      <c r="S52" s="14"/>
      <c r="T52" s="14"/>
      <c r="U52" s="14"/>
      <c r="V52" s="14"/>
      <c r="AJ52" s="14" t="s">
        <v>437</v>
      </c>
      <c r="AL52" s="14"/>
    </row>
    <row r="53" spans="1:48">
      <c r="A53" s="6" t="s">
        <v>493</v>
      </c>
      <c r="C53" s="6" t="s">
        <v>442</v>
      </c>
      <c r="D53" s="6" t="s">
        <v>435</v>
      </c>
      <c r="E53" s="6" t="s">
        <v>55</v>
      </c>
      <c r="F53" s="14">
        <v>3</v>
      </c>
      <c r="G53" s="14">
        <v>8</v>
      </c>
      <c r="H53" s="14">
        <v>0</v>
      </c>
      <c r="I53" s="14">
        <v>121</v>
      </c>
      <c r="J53" s="14">
        <f t="shared" si="1"/>
        <v>4</v>
      </c>
      <c r="K53" s="14" t="s">
        <v>436</v>
      </c>
      <c r="L53" s="14"/>
      <c r="M53" s="14"/>
      <c r="N53" s="14"/>
      <c r="O53" s="14"/>
      <c r="P53" s="14"/>
      <c r="Q53" s="14"/>
      <c r="R53" s="14"/>
      <c r="S53" s="14"/>
      <c r="T53" s="14"/>
      <c r="U53" s="14"/>
      <c r="V53" s="14"/>
      <c r="AJ53" s="14" t="s">
        <v>437</v>
      </c>
      <c r="AL53" s="14"/>
    </row>
    <row r="54" spans="1:48">
      <c r="A54" s="6" t="s">
        <v>494</v>
      </c>
      <c r="C54" s="6" t="s">
        <v>442</v>
      </c>
      <c r="D54" s="6" t="s">
        <v>435</v>
      </c>
      <c r="E54" s="6" t="s">
        <v>71</v>
      </c>
      <c r="F54" s="14">
        <v>2</v>
      </c>
      <c r="G54" s="14">
        <v>4</v>
      </c>
      <c r="H54" s="14">
        <v>0</v>
      </c>
      <c r="I54" s="14">
        <v>41</v>
      </c>
      <c r="J54" s="14">
        <f t="shared" si="1"/>
        <v>4</v>
      </c>
      <c r="K54" s="14" t="s">
        <v>436</v>
      </c>
      <c r="L54" s="14"/>
      <c r="M54" s="14"/>
      <c r="N54" s="14"/>
      <c r="O54" s="14"/>
      <c r="P54" s="14"/>
      <c r="Q54" s="14"/>
      <c r="R54" s="14"/>
      <c r="S54" s="14"/>
      <c r="T54" s="14"/>
      <c r="U54" s="14"/>
      <c r="V54" s="14"/>
      <c r="AJ54" s="14" t="s">
        <v>437</v>
      </c>
      <c r="AL54" s="14"/>
    </row>
    <row r="55" spans="1:48">
      <c r="A55" s="6" t="s">
        <v>495</v>
      </c>
      <c r="C55" s="6" t="s">
        <v>442</v>
      </c>
      <c r="D55" s="6" t="s">
        <v>435</v>
      </c>
      <c r="E55" s="6" t="s">
        <v>63</v>
      </c>
      <c r="F55" s="14">
        <v>2</v>
      </c>
      <c r="G55" s="14">
        <v>4</v>
      </c>
      <c r="H55" s="14">
        <v>0</v>
      </c>
      <c r="I55" s="14">
        <v>31</v>
      </c>
      <c r="J55" s="14">
        <f t="shared" si="1"/>
        <v>4</v>
      </c>
      <c r="K55" s="14" t="s">
        <v>436</v>
      </c>
      <c r="L55" s="14"/>
      <c r="M55" s="14"/>
      <c r="N55" s="14"/>
      <c r="O55" s="14"/>
      <c r="P55" s="14"/>
      <c r="Q55" s="14"/>
      <c r="R55" s="14"/>
      <c r="S55" s="14"/>
      <c r="T55" s="14"/>
      <c r="U55" s="14"/>
      <c r="V55" s="14"/>
      <c r="AJ55" s="14" t="s">
        <v>437</v>
      </c>
      <c r="AL55" s="14"/>
    </row>
    <row r="56" spans="1:48">
      <c r="A56" s="6" t="s">
        <v>496</v>
      </c>
      <c r="C56" s="6" t="s">
        <v>442</v>
      </c>
      <c r="D56" s="6" t="s">
        <v>435</v>
      </c>
      <c r="E56" s="6" t="s">
        <v>67</v>
      </c>
      <c r="F56" s="14">
        <v>4</v>
      </c>
      <c r="G56" s="14">
        <v>4</v>
      </c>
      <c r="H56" s="14">
        <v>0</v>
      </c>
      <c r="I56" s="14">
        <v>36</v>
      </c>
      <c r="J56" s="14">
        <f t="shared" si="1"/>
        <v>4</v>
      </c>
      <c r="K56" s="14" t="s">
        <v>436</v>
      </c>
      <c r="M56" s="14"/>
      <c r="N56" s="14"/>
      <c r="O56" s="14"/>
      <c r="P56" s="14"/>
      <c r="Q56" s="14"/>
      <c r="R56" s="14"/>
      <c r="S56" s="14"/>
      <c r="T56" s="14"/>
      <c r="U56" s="14"/>
      <c r="V56" s="14"/>
      <c r="AJ56" s="14" t="s">
        <v>437</v>
      </c>
      <c r="AL56" s="14"/>
    </row>
    <row r="57" spans="1:48" ht="14.45">
      <c r="A57" s="6" t="s">
        <v>497</v>
      </c>
      <c r="C57" s="6" t="s">
        <v>442</v>
      </c>
      <c r="D57" s="6" t="s">
        <v>435</v>
      </c>
      <c r="E57" s="6" t="s">
        <v>276</v>
      </c>
      <c r="F57" s="14">
        <v>5</v>
      </c>
      <c r="G57" s="14">
        <v>6</v>
      </c>
      <c r="H57" s="14">
        <v>0</v>
      </c>
      <c r="I57" s="14">
        <v>111</v>
      </c>
      <c r="J57" s="14">
        <f t="shared" si="1"/>
        <v>4</v>
      </c>
      <c r="K57" s="14" t="s">
        <v>436</v>
      </c>
      <c r="L57" s="14"/>
      <c r="M57" s="14"/>
      <c r="N57" s="2"/>
      <c r="O57"/>
      <c r="P57" s="14"/>
      <c r="Q57" s="14"/>
      <c r="R57" s="14"/>
      <c r="S57" s="14"/>
      <c r="T57" s="14"/>
      <c r="U57" s="14"/>
      <c r="V57" s="14"/>
      <c r="W57" s="14"/>
      <c r="X57" s="14"/>
      <c r="AD57" s="6"/>
      <c r="AJ57" s="14" t="s">
        <v>437</v>
      </c>
      <c r="AL57" s="14" t="s">
        <v>437</v>
      </c>
    </row>
    <row r="58" spans="1:48" ht="13.5" customHeight="1">
      <c r="A58" s="6" t="s">
        <v>498</v>
      </c>
      <c r="D58" s="6" t="s">
        <v>499</v>
      </c>
      <c r="E58" s="6" t="s">
        <v>500</v>
      </c>
      <c r="F58" s="14">
        <v>2</v>
      </c>
      <c r="G58" s="14">
        <v>8</v>
      </c>
      <c r="H58" s="14">
        <v>0</v>
      </c>
      <c r="I58" s="14">
        <v>150</v>
      </c>
      <c r="J58" s="14">
        <f t="shared" si="1"/>
        <v>4</v>
      </c>
      <c r="K58" s="14" t="s">
        <v>206</v>
      </c>
      <c r="L58" s="14"/>
      <c r="M58" s="14"/>
      <c r="N58" s="2"/>
      <c r="O58"/>
      <c r="P58" s="14"/>
      <c r="Q58" s="14"/>
      <c r="R58" s="14"/>
      <c r="S58" s="14"/>
      <c r="T58" s="14">
        <v>3000</v>
      </c>
      <c r="U58" s="14" t="s">
        <v>206</v>
      </c>
      <c r="V58" s="14"/>
      <c r="AJ58" s="14"/>
      <c r="AL58" s="14"/>
    </row>
    <row r="59" spans="1:48" ht="13.5" customHeight="1">
      <c r="A59" s="6" t="s">
        <v>501</v>
      </c>
      <c r="D59" s="6" t="s">
        <v>499</v>
      </c>
      <c r="E59" s="6" t="s">
        <v>502</v>
      </c>
      <c r="F59" s="14">
        <v>4</v>
      </c>
      <c r="G59" s="14">
        <v>4</v>
      </c>
      <c r="H59" s="14">
        <v>0</v>
      </c>
      <c r="I59" s="14">
        <v>21</v>
      </c>
      <c r="J59" s="14">
        <f t="shared" si="1"/>
        <v>4</v>
      </c>
      <c r="K59" s="14" t="s">
        <v>206</v>
      </c>
      <c r="L59" s="14"/>
      <c r="M59" s="14"/>
      <c r="N59" s="2"/>
      <c r="O59"/>
      <c r="P59" s="14"/>
      <c r="Q59" s="14"/>
      <c r="R59" s="14"/>
      <c r="S59" s="14"/>
      <c r="T59" s="14"/>
      <c r="U59" s="14"/>
      <c r="V59" s="14"/>
      <c r="AJ59" s="14"/>
      <c r="AL59" s="14"/>
    </row>
    <row r="60" spans="1:48" ht="13.5" customHeight="1">
      <c r="A60" s="6" t="s">
        <v>503</v>
      </c>
      <c r="D60" s="6" t="s">
        <v>504</v>
      </c>
      <c r="E60" s="6" t="s">
        <v>138</v>
      </c>
      <c r="F60" s="14">
        <v>2</v>
      </c>
      <c r="G60" s="14">
        <v>4</v>
      </c>
      <c r="H60" s="14">
        <v>0</v>
      </c>
      <c r="I60" s="14">
        <v>200</v>
      </c>
      <c r="J60" s="14">
        <f>IF(G60&gt;=10,16, 4)</f>
        <v>4</v>
      </c>
      <c r="K60" s="14" t="s">
        <v>436</v>
      </c>
      <c r="L60" s="86"/>
      <c r="M60" s="86"/>
      <c r="N60" s="86"/>
      <c r="O60" s="86"/>
      <c r="P60" s="86"/>
      <c r="Q60" s="86"/>
      <c r="R60" s="86"/>
      <c r="S60" s="86"/>
      <c r="T60" s="86"/>
      <c r="U60" s="86"/>
      <c r="V60" s="14"/>
      <c r="W60" s="14"/>
      <c r="X60" s="14"/>
      <c r="AD60" s="6"/>
      <c r="AJ60" s="14" t="s">
        <v>437</v>
      </c>
      <c r="AK60" s="14"/>
      <c r="AL60" s="14"/>
      <c r="AN60" s="14"/>
      <c r="AU60" s="14"/>
      <c r="AV60" s="14"/>
    </row>
    <row r="61" spans="1:48" ht="13.5" customHeight="1">
      <c r="A61" s="154" t="s">
        <v>505</v>
      </c>
      <c r="B61" s="19"/>
      <c r="C61" s="19"/>
      <c r="D61" s="19" t="s">
        <v>504</v>
      </c>
      <c r="E61" s="19" t="s">
        <v>140</v>
      </c>
      <c r="F61" s="17">
        <v>6</v>
      </c>
      <c r="G61" s="17">
        <v>24</v>
      </c>
      <c r="H61" s="17">
        <v>0</v>
      </c>
      <c r="I61" s="17">
        <v>500</v>
      </c>
      <c r="J61" s="17">
        <v>24</v>
      </c>
      <c r="K61" s="17" t="s">
        <v>206</v>
      </c>
      <c r="L61" s="39"/>
      <c r="M61" s="39"/>
      <c r="N61" s="39"/>
      <c r="O61" s="39"/>
      <c r="P61" s="39"/>
      <c r="Q61" s="39"/>
      <c r="R61" s="39"/>
      <c r="S61" s="39"/>
      <c r="T61" s="39">
        <v>3900</v>
      </c>
      <c r="U61" s="39" t="s">
        <v>206</v>
      </c>
      <c r="V61" s="17"/>
      <c r="W61" s="17"/>
      <c r="X61" s="17"/>
      <c r="Y61" s="19"/>
      <c r="Z61" s="19"/>
      <c r="AA61" s="19"/>
      <c r="AB61" s="19"/>
      <c r="AC61" s="19"/>
      <c r="AD61" s="19"/>
      <c r="AE61" s="19"/>
      <c r="AF61" s="19"/>
      <c r="AG61" s="19"/>
      <c r="AH61" s="19"/>
      <c r="AI61" s="19"/>
      <c r="AJ61" s="17" t="s">
        <v>437</v>
      </c>
      <c r="AK61" s="17"/>
      <c r="AL61" s="17"/>
      <c r="AM61" s="19"/>
      <c r="AN61" s="17"/>
      <c r="AO61" s="19"/>
      <c r="AP61" s="19"/>
      <c r="AQ61" s="19"/>
      <c r="AR61" s="19"/>
      <c r="AS61" s="19"/>
      <c r="AT61" s="19"/>
      <c r="AU61" s="17"/>
      <c r="AV61" s="17"/>
    </row>
    <row r="62" spans="1:48" ht="14.45">
      <c r="A62" s="6" t="s">
        <v>480</v>
      </c>
      <c r="C62" s="6" t="s">
        <v>442</v>
      </c>
      <c r="D62" s="6" t="s">
        <v>435</v>
      </c>
      <c r="E62" s="6" t="s">
        <v>506</v>
      </c>
      <c r="F62" s="14">
        <v>2</v>
      </c>
      <c r="G62" s="14">
        <v>2</v>
      </c>
      <c r="H62" s="14">
        <v>0</v>
      </c>
      <c r="I62" s="14">
        <v>50</v>
      </c>
      <c r="J62" s="14">
        <f t="shared" si="1"/>
        <v>4</v>
      </c>
      <c r="K62" s="14" t="s">
        <v>436</v>
      </c>
      <c r="L62" s="14"/>
      <c r="M62" s="14"/>
      <c r="N62" s="2"/>
      <c r="O62"/>
      <c r="P62" s="14"/>
      <c r="Q62" s="14"/>
      <c r="R62" s="14"/>
      <c r="S62" s="14"/>
      <c r="T62" s="14"/>
      <c r="U62" s="14"/>
      <c r="V62" s="14"/>
      <c r="W62" s="14"/>
      <c r="X62" s="14"/>
      <c r="AD62" s="6"/>
      <c r="AF62" s="86"/>
      <c r="AG62" s="86"/>
      <c r="AH62" s="86"/>
      <c r="AI62" s="86"/>
      <c r="AJ62" s="14" t="s">
        <v>437</v>
      </c>
      <c r="AL62" s="14"/>
    </row>
    <row r="63" spans="1:48" ht="14.45">
      <c r="A63" s="6" t="s">
        <v>476</v>
      </c>
      <c r="C63" s="6" t="s">
        <v>442</v>
      </c>
      <c r="D63" s="6" t="s">
        <v>435</v>
      </c>
      <c r="E63" s="6" t="s">
        <v>507</v>
      </c>
      <c r="F63" s="14">
        <v>2</v>
      </c>
      <c r="G63" s="14">
        <v>2</v>
      </c>
      <c r="H63" s="14">
        <v>0</v>
      </c>
      <c r="I63" s="14">
        <v>50</v>
      </c>
      <c r="J63" s="14">
        <f t="shared" si="1"/>
        <v>4</v>
      </c>
      <c r="K63" s="14" t="s">
        <v>436</v>
      </c>
      <c r="L63" s="14"/>
      <c r="M63" s="14"/>
      <c r="N63" s="2"/>
      <c r="O63"/>
      <c r="P63" s="14"/>
      <c r="Q63" s="14"/>
      <c r="R63" s="14"/>
      <c r="S63" s="14"/>
      <c r="T63" s="14"/>
      <c r="U63" s="14"/>
      <c r="V63" s="14"/>
      <c r="W63" s="14"/>
      <c r="X63" s="14"/>
      <c r="AD63" s="6"/>
      <c r="AF63" s="86"/>
      <c r="AG63" s="86"/>
      <c r="AH63" s="86"/>
      <c r="AI63" s="86"/>
      <c r="AJ63" s="14" t="s">
        <v>437</v>
      </c>
      <c r="AL63" s="14"/>
    </row>
    <row r="64" spans="1:48" ht="13.5" customHeight="1">
      <c r="F64" s="14">
        <f>SUM(F47:F63)+F36</f>
        <v>174</v>
      </c>
      <c r="G64" s="14">
        <f>SUM(G47:G63)+G36</f>
        <v>438</v>
      </c>
      <c r="H64" s="14">
        <f>SUM(H47:H63)+H36</f>
        <v>114</v>
      </c>
      <c r="I64" s="14">
        <f>SUM(I47:I63)+I36</f>
        <v>4248</v>
      </c>
      <c r="J64" s="14"/>
      <c r="K64" s="14"/>
      <c r="L64" s="14">
        <f>SUM(L47:L63)+L36</f>
        <v>66</v>
      </c>
      <c r="M64" s="14"/>
      <c r="N64" s="14">
        <f>SUM(N47:N63)+N36</f>
        <v>1350</v>
      </c>
      <c r="O64"/>
      <c r="P64" s="14">
        <f>SUM(P47:P63)+P36</f>
        <v>1650</v>
      </c>
      <c r="Q64" s="14"/>
      <c r="R64" s="14">
        <f>SUM(R47:R63)+R36</f>
        <v>460</v>
      </c>
      <c r="S64" s="14"/>
      <c r="T64" s="14">
        <f>SUM(T47:T63)+T36</f>
        <v>6900</v>
      </c>
      <c r="U64" s="14"/>
      <c r="V64" s="14">
        <f>SUM(V47:V63)+V36</f>
        <v>5290</v>
      </c>
      <c r="X64" s="14">
        <f>SUM(X47:X63)+X36</f>
        <v>150</v>
      </c>
      <c r="Z64" s="14">
        <f>SUM(Z47:Z63)+Z36</f>
        <v>50</v>
      </c>
      <c r="AB64" s="14">
        <f>SUM(AB47:AB63)+AB36</f>
        <v>65</v>
      </c>
      <c r="AD64" s="14">
        <f>SUM(AD47:AD63)+AD36</f>
        <v>200</v>
      </c>
      <c r="AF64" s="14">
        <f>SUM(AF47:AF63)+AF36</f>
        <v>135</v>
      </c>
      <c r="AJ64" s="14">
        <f>COUNTIF(AJ45:AJ63,"x")+AJ36</f>
        <v>37</v>
      </c>
      <c r="AK64" s="14">
        <f>COUNTIF(AK45:AK63,"x")+AK36</f>
        <v>8</v>
      </c>
      <c r="AL64" s="14">
        <f>COUNTIF(AL45:AL63,"x")+AL36</f>
        <v>3</v>
      </c>
    </row>
    <row r="65" spans="1:11">
      <c r="F65" s="14"/>
      <c r="G65" s="14"/>
      <c r="H65" s="14"/>
      <c r="I65" s="14"/>
      <c r="J65" s="14"/>
      <c r="K65" s="14"/>
    </row>
    <row r="66" spans="1:11" ht="12.95">
      <c r="A66" s="176" t="s">
        <v>423</v>
      </c>
      <c r="B66" s="177"/>
      <c r="C66" s="178"/>
    </row>
    <row r="67" spans="1:11" ht="12.95">
      <c r="A67" s="95" t="s">
        <v>508</v>
      </c>
      <c r="B67" s="95" t="s">
        <v>509</v>
      </c>
      <c r="C67" s="95" t="s">
        <v>510</v>
      </c>
      <c r="D67" s="10"/>
      <c r="E67" s="10"/>
    </row>
    <row r="68" spans="1:11">
      <c r="A68" s="93" t="s">
        <v>436</v>
      </c>
      <c r="B68" s="91" cm="1">
        <f t="array" ref="B68">SUM(IF(K8:K64=A68,I8:J64,""))+Z19+AB21+I60</f>
        <v>4121</v>
      </c>
      <c r="C68" s="92">
        <v>4500</v>
      </c>
    </row>
    <row r="69" spans="1:11">
      <c r="A69" s="93" t="s">
        <v>511</v>
      </c>
      <c r="B69" s="92">
        <v>0.69</v>
      </c>
      <c r="C69" s="92">
        <v>750</v>
      </c>
    </row>
    <row r="70" spans="1:11">
      <c r="A70" s="93" t="s">
        <v>512</v>
      </c>
      <c r="B70" s="92">
        <v>59.4</v>
      </c>
      <c r="C70" s="92">
        <f>L11</f>
        <v>66</v>
      </c>
    </row>
    <row r="71" spans="1:11">
      <c r="A71" s="93" t="s">
        <v>513</v>
      </c>
      <c r="B71" s="92">
        <f>0.9*C71</f>
        <v>1215</v>
      </c>
      <c r="C71" s="92">
        <f>N11</f>
        <v>1350</v>
      </c>
    </row>
    <row r="72" spans="1:11">
      <c r="A72" s="93" t="s">
        <v>514</v>
      </c>
      <c r="B72" s="92">
        <f>0.9*C72</f>
        <v>1485</v>
      </c>
      <c r="C72" s="92">
        <f>P11</f>
        <v>1650</v>
      </c>
    </row>
    <row r="73" spans="1:11">
      <c r="A73" s="93" t="s">
        <v>217</v>
      </c>
      <c r="B73" s="92">
        <v>312</v>
      </c>
      <c r="C73" s="92">
        <v>340</v>
      </c>
    </row>
    <row r="74" spans="1:11">
      <c r="A74" s="93" t="s">
        <v>515</v>
      </c>
      <c r="B74" s="92">
        <v>90</v>
      </c>
      <c r="C74" s="92">
        <v>150</v>
      </c>
    </row>
    <row r="75" spans="1:11">
      <c r="A75" s="93" t="s">
        <v>474</v>
      </c>
      <c r="B75" s="92">
        <v>270</v>
      </c>
      <c r="C75" s="92">
        <v>400</v>
      </c>
    </row>
    <row r="76" spans="1:11">
      <c r="A76" s="93" t="s">
        <v>516</v>
      </c>
      <c r="B76" s="92">
        <f>4095+V12*0.9+SUM(I58:J62) + T58</f>
        <v>8281</v>
      </c>
      <c r="C76" s="92">
        <v>8500</v>
      </c>
      <c r="D76" s="14"/>
    </row>
    <row r="77" spans="1:11">
      <c r="A77" s="93" t="s">
        <v>517</v>
      </c>
      <c r="B77" s="92">
        <f>4095+V12*0.9+I60+I61+T61</f>
        <v>8920</v>
      </c>
      <c r="C77" s="92">
        <v>10300</v>
      </c>
    </row>
    <row r="78" spans="1:11">
      <c r="B78" s="14"/>
      <c r="C78" s="14"/>
      <c r="D78" s="14"/>
    </row>
    <row r="79" spans="1:11">
      <c r="B79" s="14"/>
      <c r="C79" s="14"/>
      <c r="D79" s="14"/>
    </row>
    <row r="80" spans="1:11">
      <c r="B80" s="14"/>
      <c r="C80" s="14"/>
    </row>
    <row r="81" spans="2:7">
      <c r="B81" s="14"/>
      <c r="C81" s="14"/>
    </row>
    <row r="82" spans="2:7">
      <c r="B82" s="14"/>
      <c r="C82" s="14"/>
      <c r="D82" s="100"/>
      <c r="E82" s="100"/>
      <c r="F82" s="100"/>
      <c r="G82" s="100"/>
    </row>
    <row r="83" spans="2:7" ht="12.75"/>
  </sheetData>
  <autoFilter ref="K1:K82" xr:uid="{E7D21806-3CDB-458F-A1FF-782E3E47174C}"/>
  <mergeCells count="11">
    <mergeCell ref="A6:B6"/>
    <mergeCell ref="A39:D39"/>
    <mergeCell ref="H39:L42"/>
    <mergeCell ref="A41:D41"/>
    <mergeCell ref="A66:C66"/>
    <mergeCell ref="A5:B5"/>
    <mergeCell ref="A1:E1"/>
    <mergeCell ref="A2:B2"/>
    <mergeCell ref="A3:B3"/>
    <mergeCell ref="F3:G3"/>
    <mergeCell ref="A4:B4"/>
  </mergeCells>
  <dataValidations count="1">
    <dataValidation type="list" allowBlank="1" showInputMessage="1" showErrorMessage="1" sqref="E9" xr:uid="{80BBE9C3-9D75-45FE-AD75-15045FC15202}">
      <formula1>"vCSA8.0, vCSA7.0"</formula1>
    </dataValidation>
  </dataValidations>
  <hyperlinks>
    <hyperlink ref="F3:G3" location="Shortcuts!A1" display="Back to shortcuts" xr:uid="{F03B9F00-A9B9-4DB5-8AFD-1DE0F26B5081}"/>
  </hyperlinks>
  <pageMargins left="0.7" right="0.7" top="0.75" bottom="0.75" header="0.3" footer="0.3"/>
  <pageSetup paperSize="9" orientation="portrait" r:id="rId1"/>
  <headerFooter>
    <oddFooter>&amp;C&amp;1#&amp;"Arial"&amp;8&amp;K001753Nokia internal use</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D9D2-2CDB-445A-8280-03270144030A}">
  <dimension ref="A1:AV138"/>
  <sheetViews>
    <sheetView topLeftCell="A54" zoomScale="80" zoomScaleNormal="80" zoomScalePageLayoutView="70" workbookViewId="0">
      <selection activeCell="A95" sqref="A95:XFD96"/>
    </sheetView>
  </sheetViews>
  <sheetFormatPr defaultColWidth="8.85546875" defaultRowHeight="12.6"/>
  <cols>
    <col min="1" max="1" width="53.85546875" style="6" customWidth="1"/>
    <col min="2" max="2" width="15" style="6" customWidth="1"/>
    <col min="3" max="3" width="17.85546875" style="6" customWidth="1"/>
    <col min="4" max="4" width="28.85546875" style="6" customWidth="1"/>
    <col min="5" max="5" width="65.7109375" style="6" customWidth="1"/>
    <col min="6" max="6" width="8.85546875" style="6"/>
    <col min="7" max="7" width="19.42578125" style="6" customWidth="1"/>
    <col min="8" max="8" width="21.140625" style="6" customWidth="1"/>
    <col min="9" max="9" width="26.85546875" style="6" customWidth="1"/>
    <col min="10" max="10" width="38.5703125" style="6" customWidth="1"/>
    <col min="11" max="11" width="17.85546875" style="6" customWidth="1"/>
    <col min="12" max="12" width="8.85546875" style="6"/>
    <col min="13" max="13" width="10.140625" style="6" customWidth="1"/>
    <col min="14" max="14" width="8.85546875" style="6"/>
    <col min="15" max="15" width="10.140625" style="6" customWidth="1"/>
    <col min="16" max="16" width="8.85546875" style="6"/>
    <col min="17" max="17" width="10.140625" style="6" customWidth="1"/>
    <col min="18" max="18" width="8.85546875" style="6"/>
    <col min="19" max="19" width="10.140625" style="6" customWidth="1"/>
    <col min="20" max="20" width="11.85546875" style="6" customWidth="1"/>
    <col min="21" max="21" width="10.140625" style="6" customWidth="1"/>
    <col min="22" max="22" width="8.85546875" style="6"/>
    <col min="23" max="23" width="14.85546875" style="6" bestFit="1" customWidth="1"/>
    <col min="24" max="24" width="12.140625" style="6" customWidth="1"/>
    <col min="25" max="26" width="10.140625" style="6" customWidth="1"/>
    <col min="27" max="27" width="13.140625" style="6" customWidth="1"/>
    <col min="28" max="28" width="21.5703125" style="6" customWidth="1"/>
    <col min="29" max="29" width="18.28515625" style="6" customWidth="1"/>
    <col min="30" max="34" width="13.140625" style="6" customWidth="1"/>
    <col min="35" max="35" width="16.42578125" style="6" customWidth="1"/>
    <col min="36" max="38" width="16.42578125" style="14" customWidth="1"/>
    <col min="39" max="39" width="16.42578125" style="6" customWidth="1"/>
    <col min="40" max="40" width="16.42578125" style="14" customWidth="1"/>
    <col min="41" max="41" width="16.42578125" style="6" customWidth="1"/>
    <col min="42" max="44" width="13.140625" style="6" customWidth="1"/>
    <col min="45" max="45" width="17.7109375" style="6" customWidth="1"/>
    <col min="46" max="46" width="22" style="6" customWidth="1"/>
    <col min="47" max="47" width="12.140625" style="6" customWidth="1"/>
    <col min="48" max="48" width="13.140625" style="6" customWidth="1"/>
    <col min="49" max="16384" width="8.85546875" style="6"/>
  </cols>
  <sheetData>
    <row r="1" spans="1:48" ht="12.95">
      <c r="A1" s="189" t="s">
        <v>38</v>
      </c>
      <c r="B1" s="189"/>
      <c r="C1" s="189"/>
      <c r="D1" s="189"/>
      <c r="E1" s="190"/>
      <c r="F1" s="7" t="s">
        <v>409</v>
      </c>
    </row>
    <row r="2" spans="1:48" ht="14.45">
      <c r="A2" s="171" t="s">
        <v>410</v>
      </c>
      <c r="B2" s="172"/>
      <c r="C2" s="114"/>
      <c r="D2" s="6" t="s">
        <v>518</v>
      </c>
    </row>
    <row r="3" spans="1:48" ht="14.45">
      <c r="A3" s="171" t="s">
        <v>412</v>
      </c>
      <c r="B3" s="171"/>
      <c r="C3" s="6" t="s">
        <v>411</v>
      </c>
      <c r="F3" s="173" t="s">
        <v>413</v>
      </c>
      <c r="G3" s="173"/>
    </row>
    <row r="4" spans="1:48" ht="12.95">
      <c r="A4" s="171" t="s">
        <v>414</v>
      </c>
      <c r="B4" s="171"/>
      <c r="C4" s="6" t="s">
        <v>519</v>
      </c>
    </row>
    <row r="5" spans="1:48" ht="12.95">
      <c r="A5" s="171" t="s">
        <v>415</v>
      </c>
      <c r="B5" s="171"/>
      <c r="C5" s="164" t="s">
        <v>520</v>
      </c>
    </row>
    <row r="6" spans="1:48" ht="12.95">
      <c r="A6" s="171" t="s">
        <v>416</v>
      </c>
      <c r="B6" s="171"/>
      <c r="C6" s="163" t="s">
        <v>521</v>
      </c>
    </row>
    <row r="7" spans="1:48" ht="26.1">
      <c r="A7" s="9" t="s">
        <v>174</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425</v>
      </c>
      <c r="AA7" s="8" t="s">
        <v>423</v>
      </c>
      <c r="AB7" s="8" t="s">
        <v>426</v>
      </c>
      <c r="AC7" s="8" t="s">
        <v>423</v>
      </c>
      <c r="AD7" s="8" t="s">
        <v>427</v>
      </c>
      <c r="AE7" s="8" t="s">
        <v>423</v>
      </c>
      <c r="AF7" s="8" t="s">
        <v>522</v>
      </c>
      <c r="AG7" s="8" t="s">
        <v>423</v>
      </c>
      <c r="AH7" s="8" t="s">
        <v>428</v>
      </c>
      <c r="AI7" s="8" t="s">
        <v>423</v>
      </c>
      <c r="AJ7" s="8" t="s">
        <v>429</v>
      </c>
      <c r="AK7" s="8" t="s">
        <v>423</v>
      </c>
      <c r="AL7" s="8" t="s">
        <v>523</v>
      </c>
      <c r="AM7" s="8" t="s">
        <v>423</v>
      </c>
      <c r="AN7" s="8" t="s">
        <v>524</v>
      </c>
      <c r="AO7" s="8" t="s">
        <v>423</v>
      </c>
      <c r="AP7" s="83" t="s">
        <v>525</v>
      </c>
      <c r="AQ7" s="8" t="s">
        <v>423</v>
      </c>
      <c r="AR7" s="8" t="s">
        <v>477</v>
      </c>
      <c r="AS7" s="8" t="s">
        <v>423</v>
      </c>
      <c r="AT7" s="8" t="s">
        <v>431</v>
      </c>
      <c r="AU7" s="8" t="s">
        <v>432</v>
      </c>
      <c r="AV7" s="8" t="s">
        <v>433</v>
      </c>
    </row>
    <row r="8" spans="1:48">
      <c r="A8" s="6" t="s">
        <v>434</v>
      </c>
      <c r="B8" s="14"/>
      <c r="D8" s="6" t="s">
        <v>435</v>
      </c>
      <c r="E8" s="6" t="s">
        <v>42</v>
      </c>
      <c r="F8" s="14">
        <v>4</v>
      </c>
      <c r="G8" s="14">
        <v>8</v>
      </c>
      <c r="H8" s="14">
        <v>0</v>
      </c>
      <c r="I8" s="14">
        <v>351</v>
      </c>
      <c r="J8" s="14">
        <f>IF(G8&gt;=10,16, 4)</f>
        <v>4</v>
      </c>
      <c r="K8" s="14" t="s">
        <v>526</v>
      </c>
      <c r="L8" s="14"/>
      <c r="M8" s="14"/>
      <c r="N8" s="14"/>
      <c r="O8" s="14"/>
      <c r="P8" s="14"/>
      <c r="Q8" s="14"/>
      <c r="R8" s="14"/>
      <c r="S8" s="14"/>
      <c r="T8" s="14"/>
      <c r="U8" s="14"/>
      <c r="V8" s="14"/>
      <c r="W8" s="14"/>
      <c r="X8" s="14"/>
      <c r="Y8" s="14"/>
      <c r="Z8" s="14"/>
      <c r="AA8" s="14"/>
      <c r="AB8" s="14"/>
      <c r="AC8" s="14"/>
      <c r="AD8" s="14"/>
      <c r="AE8" s="14"/>
      <c r="AF8" s="14"/>
      <c r="AG8" s="14"/>
      <c r="AH8" s="14"/>
      <c r="AI8" s="14"/>
      <c r="AM8" s="14"/>
      <c r="AO8" s="14"/>
      <c r="AP8" s="14"/>
      <c r="AQ8" s="14"/>
      <c r="AR8" s="14"/>
      <c r="AS8" s="14"/>
      <c r="AT8" s="14" t="s">
        <v>437</v>
      </c>
      <c r="AU8" s="14"/>
      <c r="AV8" s="14"/>
    </row>
    <row r="9" spans="1:48">
      <c r="A9" s="6" t="s">
        <v>438</v>
      </c>
      <c r="B9" s="14"/>
      <c r="D9" s="114" t="s">
        <v>527</v>
      </c>
      <c r="E9" s="114" t="s">
        <v>439</v>
      </c>
      <c r="F9" s="14">
        <v>4</v>
      </c>
      <c r="G9" s="14">
        <v>21</v>
      </c>
      <c r="H9" s="14">
        <v>0</v>
      </c>
      <c r="I9" s="104">
        <f>IF(E9="vCSA8.0",600, 450)</f>
        <v>600</v>
      </c>
      <c r="J9" s="14">
        <v>25</v>
      </c>
      <c r="K9" s="14" t="s">
        <v>526</v>
      </c>
      <c r="L9" s="14"/>
      <c r="M9" s="14"/>
      <c r="N9" s="14"/>
      <c r="O9" s="14"/>
      <c r="P9" s="14"/>
      <c r="Q9" s="14"/>
      <c r="R9" s="14"/>
      <c r="S9" s="14"/>
      <c r="T9" s="14"/>
      <c r="U9" s="14"/>
      <c r="V9" s="14"/>
      <c r="W9" s="14"/>
      <c r="X9" s="14"/>
      <c r="Y9" s="14"/>
      <c r="Z9" s="14"/>
      <c r="AA9" s="14"/>
      <c r="AB9" s="14"/>
      <c r="AC9" s="14"/>
      <c r="AD9" s="14"/>
      <c r="AE9" s="14"/>
      <c r="AF9" s="14"/>
      <c r="AG9" s="14"/>
      <c r="AH9" s="14"/>
      <c r="AI9" s="14"/>
      <c r="AM9" s="14"/>
      <c r="AO9" s="14"/>
      <c r="AP9" s="14"/>
      <c r="AQ9" s="14"/>
      <c r="AR9" s="14"/>
      <c r="AS9" s="14"/>
      <c r="AT9" s="14" t="s">
        <v>437</v>
      </c>
      <c r="AU9" s="14"/>
      <c r="AV9" s="14"/>
    </row>
    <row r="10" spans="1:48">
      <c r="A10" s="6" t="s">
        <v>440</v>
      </c>
      <c r="B10" s="14" t="s">
        <v>441</v>
      </c>
      <c r="C10" s="6" t="s">
        <v>442</v>
      </c>
      <c r="D10" s="6" t="s">
        <v>435</v>
      </c>
      <c r="E10" s="6" t="s">
        <v>443</v>
      </c>
      <c r="F10" s="14">
        <v>4</v>
      </c>
      <c r="G10" s="14">
        <v>6</v>
      </c>
      <c r="H10" s="14">
        <v>6</v>
      </c>
      <c r="I10" s="14">
        <v>41</v>
      </c>
      <c r="J10" s="14">
        <v>6</v>
      </c>
      <c r="K10" s="14" t="s">
        <v>528</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M10" s="14"/>
      <c r="AO10" s="14"/>
      <c r="AP10" s="14"/>
      <c r="AQ10" s="14"/>
      <c r="AR10" s="14"/>
      <c r="AS10" s="14"/>
      <c r="AT10" s="14" t="s">
        <v>437</v>
      </c>
      <c r="AU10" s="14"/>
      <c r="AV10" s="14"/>
    </row>
    <row r="11" spans="1:48">
      <c r="A11" s="6" t="s">
        <v>444</v>
      </c>
      <c r="B11" s="14"/>
      <c r="C11" s="6" t="s">
        <v>442</v>
      </c>
      <c r="D11" s="6" t="s">
        <v>435</v>
      </c>
      <c r="E11" s="6" t="s">
        <v>53</v>
      </c>
      <c r="F11" s="104">
        <f>VLOOKUP(N11,B136:I137,3,FALSE)</f>
        <v>6</v>
      </c>
      <c r="G11" s="104">
        <f>VLOOKUP(N11,B136:I137,4,FALSE)</f>
        <v>40</v>
      </c>
      <c r="H11" s="104">
        <f>(G11*82.5)/100</f>
        <v>33</v>
      </c>
      <c r="I11" s="14">
        <v>101</v>
      </c>
      <c r="J11" s="14">
        <f t="shared" ref="J11:J29" si="0">IF(G11&gt;=10,16, 4)</f>
        <v>16</v>
      </c>
      <c r="K11" s="14" t="s">
        <v>529</v>
      </c>
      <c r="L11" s="14">
        <v>66</v>
      </c>
      <c r="M11" s="14" t="s">
        <v>445</v>
      </c>
      <c r="N11" s="104">
        <v>750</v>
      </c>
      <c r="O11" s="14" t="s">
        <v>446</v>
      </c>
      <c r="P11" s="104">
        <f>VLOOKUP(N11,B136:I137,5,FALSE)</f>
        <v>1125</v>
      </c>
      <c r="Q11" s="14" t="s">
        <v>447</v>
      </c>
      <c r="R11" s="14"/>
      <c r="S11" s="14"/>
      <c r="T11" s="14"/>
      <c r="U11" s="14"/>
      <c r="V11" s="14"/>
      <c r="W11" s="14"/>
      <c r="X11" s="105">
        <f>VLOOKUP(N11,B136:I137,7,FALSE)</f>
        <v>2800</v>
      </c>
      <c r="Y11" s="14" t="s">
        <v>206</v>
      </c>
      <c r="Z11" s="14"/>
      <c r="AA11" s="14"/>
      <c r="AB11" s="14"/>
      <c r="AC11" s="14"/>
      <c r="AD11" s="14"/>
      <c r="AE11" s="14"/>
      <c r="AF11" s="14"/>
      <c r="AG11" s="14"/>
      <c r="AH11" s="14"/>
      <c r="AI11" s="14"/>
      <c r="AM11" s="14"/>
      <c r="AO11" s="14"/>
      <c r="AP11" s="14">
        <v>2500</v>
      </c>
      <c r="AQ11" s="14" t="s">
        <v>530</v>
      </c>
      <c r="AR11" s="14"/>
      <c r="AS11" s="14"/>
      <c r="AT11" s="14" t="s">
        <v>437</v>
      </c>
      <c r="AU11" s="14"/>
      <c r="AV11" s="14"/>
    </row>
    <row r="12" spans="1:48">
      <c r="A12" s="6" t="s">
        <v>448</v>
      </c>
      <c r="B12" s="14" t="s">
        <v>441</v>
      </c>
      <c r="C12" s="6" t="s">
        <v>442</v>
      </c>
      <c r="D12" s="6" t="s">
        <v>435</v>
      </c>
      <c r="E12" s="6" t="s">
        <v>57</v>
      </c>
      <c r="F12" s="14">
        <v>3</v>
      </c>
      <c r="G12" s="14">
        <v>7</v>
      </c>
      <c r="H12" s="14">
        <v>7</v>
      </c>
      <c r="I12" s="14">
        <v>46</v>
      </c>
      <c r="J12" s="14">
        <v>7</v>
      </c>
      <c r="K12" s="14" t="s">
        <v>531</v>
      </c>
      <c r="L12" s="14"/>
      <c r="M12" s="14"/>
      <c r="N12" s="14"/>
      <c r="O12" s="14"/>
      <c r="P12" s="14"/>
      <c r="Q12" s="14"/>
      <c r="R12" s="14">
        <v>340</v>
      </c>
      <c r="S12" s="14" t="s">
        <v>449</v>
      </c>
      <c r="T12" s="14">
        <v>300</v>
      </c>
      <c r="U12" s="14" t="s">
        <v>222</v>
      </c>
      <c r="V12" s="14"/>
      <c r="W12" s="14"/>
      <c r="X12" s="14">
        <v>250</v>
      </c>
      <c r="Y12" s="14" t="s">
        <v>206</v>
      </c>
      <c r="Z12" s="14"/>
      <c r="AA12" s="14"/>
      <c r="AB12" s="14"/>
      <c r="AC12" s="14"/>
      <c r="AD12" s="14"/>
      <c r="AE12" s="14"/>
      <c r="AF12" s="14"/>
      <c r="AG12" s="14"/>
      <c r="AH12" s="14"/>
      <c r="AI12" s="14"/>
      <c r="AM12" s="14"/>
      <c r="AO12" s="14"/>
      <c r="AP12" s="14"/>
      <c r="AQ12" s="14"/>
      <c r="AR12" s="14"/>
      <c r="AS12" s="14"/>
      <c r="AT12" s="14" t="s">
        <v>437</v>
      </c>
      <c r="AU12" s="14"/>
      <c r="AV12" s="14"/>
    </row>
    <row r="13" spans="1:48">
      <c r="A13" s="6" t="s">
        <v>450</v>
      </c>
      <c r="B13" s="14"/>
      <c r="C13" s="6" t="s">
        <v>442</v>
      </c>
      <c r="D13" s="6" t="s">
        <v>435</v>
      </c>
      <c r="E13" s="6" t="s">
        <v>61</v>
      </c>
      <c r="F13" s="14">
        <v>2</v>
      </c>
      <c r="G13" s="14">
        <v>3</v>
      </c>
      <c r="H13" s="14">
        <v>0</v>
      </c>
      <c r="I13" s="14">
        <v>31</v>
      </c>
      <c r="J13" s="14">
        <f t="shared" si="0"/>
        <v>4</v>
      </c>
      <c r="K13" s="14" t="s">
        <v>528</v>
      </c>
      <c r="L13" s="14"/>
      <c r="M13" s="14"/>
      <c r="N13" s="14"/>
      <c r="O13" s="14"/>
      <c r="P13" s="14"/>
      <c r="Q13" s="14"/>
      <c r="R13" s="14"/>
      <c r="S13" s="14"/>
      <c r="T13" s="14"/>
      <c r="U13" s="14"/>
      <c r="V13" s="14"/>
      <c r="W13" s="14"/>
      <c r="X13" s="14"/>
      <c r="Y13" s="14"/>
      <c r="Z13" s="14"/>
      <c r="AA13" s="14"/>
      <c r="AB13" s="14"/>
      <c r="AC13" s="14"/>
      <c r="AD13" s="14"/>
      <c r="AE13" s="14"/>
      <c r="AF13" s="14"/>
      <c r="AG13" s="14"/>
      <c r="AH13" s="14"/>
      <c r="AI13" s="14"/>
      <c r="AM13" s="14"/>
      <c r="AO13" s="14"/>
      <c r="AP13" s="14"/>
      <c r="AQ13" s="14"/>
      <c r="AR13" s="14"/>
      <c r="AS13" s="14"/>
      <c r="AT13" s="14" t="s">
        <v>437</v>
      </c>
      <c r="AU13" s="14" t="s">
        <v>437</v>
      </c>
      <c r="AV13" s="14" t="s">
        <v>437</v>
      </c>
    </row>
    <row r="14" spans="1:48">
      <c r="A14" s="6" t="s">
        <v>451</v>
      </c>
      <c r="B14" s="14"/>
      <c r="C14" s="6" t="s">
        <v>442</v>
      </c>
      <c r="D14" s="6" t="s">
        <v>435</v>
      </c>
      <c r="E14" s="6" t="s">
        <v>65</v>
      </c>
      <c r="F14" s="14">
        <v>2</v>
      </c>
      <c r="G14" s="14">
        <v>3</v>
      </c>
      <c r="H14" s="14">
        <v>0</v>
      </c>
      <c r="I14" s="14">
        <v>31</v>
      </c>
      <c r="J14" s="14">
        <f t="shared" si="0"/>
        <v>4</v>
      </c>
      <c r="K14" s="14" t="s">
        <v>529</v>
      </c>
      <c r="L14" s="14"/>
      <c r="M14" s="14"/>
      <c r="O14" s="14"/>
      <c r="P14" s="14"/>
      <c r="Q14" s="14"/>
      <c r="R14" s="14"/>
      <c r="S14" s="14"/>
      <c r="T14" s="14"/>
      <c r="U14" s="14"/>
      <c r="V14" s="14"/>
      <c r="W14" s="14"/>
      <c r="X14" s="14"/>
      <c r="Y14" s="14"/>
      <c r="Z14" s="14"/>
      <c r="AA14" s="14"/>
      <c r="AB14" s="14"/>
      <c r="AC14" s="14"/>
      <c r="AD14" s="14"/>
      <c r="AE14" s="14"/>
      <c r="AF14" s="14"/>
      <c r="AG14" s="14"/>
      <c r="AH14" s="14"/>
      <c r="AI14" s="14"/>
      <c r="AM14" s="14"/>
      <c r="AO14" s="14"/>
      <c r="AP14" s="14"/>
      <c r="AQ14" s="14"/>
      <c r="AR14" s="14"/>
      <c r="AS14" s="14"/>
      <c r="AT14" s="14" t="s">
        <v>437</v>
      </c>
      <c r="AU14" s="14"/>
      <c r="AV14" s="14"/>
    </row>
    <row r="15" spans="1:48">
      <c r="A15" s="6" t="s">
        <v>452</v>
      </c>
      <c r="B15" s="14"/>
      <c r="C15" s="6" t="s">
        <v>442</v>
      </c>
      <c r="D15" s="6" t="s">
        <v>435</v>
      </c>
      <c r="E15" s="6" t="s">
        <v>453</v>
      </c>
      <c r="F15" s="14">
        <v>3</v>
      </c>
      <c r="G15" s="14">
        <v>6</v>
      </c>
      <c r="H15" s="14">
        <v>0</v>
      </c>
      <c r="I15" s="14">
        <v>61</v>
      </c>
      <c r="J15" s="14">
        <f t="shared" si="0"/>
        <v>4</v>
      </c>
      <c r="K15" s="14" t="s">
        <v>531</v>
      </c>
      <c r="L15" s="14"/>
      <c r="M15" s="14"/>
      <c r="N15" s="14"/>
      <c r="O15" s="14"/>
      <c r="P15" s="14"/>
      <c r="Q15" s="14"/>
      <c r="R15" s="14"/>
      <c r="S15" s="14"/>
      <c r="T15" s="14"/>
      <c r="U15" s="14"/>
      <c r="V15" s="14"/>
      <c r="W15" s="14"/>
      <c r="X15" s="14"/>
      <c r="Y15" s="14"/>
      <c r="Z15" s="14"/>
      <c r="AA15" s="14"/>
      <c r="AB15" s="14"/>
      <c r="AC15" s="14"/>
      <c r="AD15" s="14"/>
      <c r="AE15" s="14"/>
      <c r="AF15" s="14"/>
      <c r="AG15" s="14"/>
      <c r="AH15" s="14"/>
      <c r="AI15" s="14"/>
      <c r="AM15" s="14"/>
      <c r="AO15" s="14"/>
      <c r="AP15" s="14"/>
      <c r="AQ15" s="14"/>
      <c r="AR15" s="14"/>
      <c r="AS15" s="14"/>
      <c r="AT15" s="14" t="s">
        <v>437</v>
      </c>
      <c r="AU15" s="14" t="s">
        <v>437</v>
      </c>
      <c r="AV15" s="14"/>
    </row>
    <row r="16" spans="1:48">
      <c r="A16" s="6" t="s">
        <v>454</v>
      </c>
      <c r="B16" s="14"/>
      <c r="C16" s="6" t="s">
        <v>442</v>
      </c>
      <c r="D16" s="6" t="s">
        <v>435</v>
      </c>
      <c r="E16" s="6" t="s">
        <v>455</v>
      </c>
      <c r="F16" s="14">
        <v>3</v>
      </c>
      <c r="G16" s="14">
        <v>4</v>
      </c>
      <c r="H16" s="14">
        <v>0</v>
      </c>
      <c r="I16" s="14">
        <v>56</v>
      </c>
      <c r="J16" s="14">
        <f t="shared" si="0"/>
        <v>4</v>
      </c>
      <c r="K16" s="14" t="s">
        <v>528</v>
      </c>
      <c r="L16" s="14"/>
      <c r="M16" s="14"/>
      <c r="N16" s="14"/>
      <c r="O16" s="14"/>
      <c r="P16" s="14"/>
      <c r="Q16" s="14"/>
      <c r="S16" s="14"/>
      <c r="T16" s="14"/>
      <c r="U16" s="14"/>
      <c r="V16" s="14"/>
      <c r="W16" s="14"/>
      <c r="X16" s="14"/>
      <c r="Y16" s="14"/>
      <c r="Z16" s="14"/>
      <c r="AA16" s="14"/>
      <c r="AB16" s="14"/>
      <c r="AC16" s="14"/>
      <c r="AD16" s="14"/>
      <c r="AE16" s="14"/>
      <c r="AF16" s="14"/>
      <c r="AG16" s="14"/>
      <c r="AH16" s="14"/>
      <c r="AI16" s="14"/>
      <c r="AM16" s="14"/>
      <c r="AO16" s="14"/>
      <c r="AP16" s="14"/>
      <c r="AQ16" s="14"/>
      <c r="AR16" s="14"/>
      <c r="AS16" s="14"/>
      <c r="AT16" s="14" t="s">
        <v>437</v>
      </c>
      <c r="AU16" s="14" t="s">
        <v>437</v>
      </c>
      <c r="AV16" s="14"/>
    </row>
    <row r="17" spans="1:48">
      <c r="A17" s="6" t="s">
        <v>456</v>
      </c>
      <c r="B17" s="14"/>
      <c r="C17" s="6" t="s">
        <v>442</v>
      </c>
      <c r="D17" s="6" t="s">
        <v>435</v>
      </c>
      <c r="E17" s="6" t="s">
        <v>77</v>
      </c>
      <c r="F17" s="14">
        <v>5</v>
      </c>
      <c r="G17" s="14">
        <v>9</v>
      </c>
      <c r="H17" s="14">
        <v>0</v>
      </c>
      <c r="I17" s="14">
        <v>71</v>
      </c>
      <c r="J17" s="14">
        <f t="shared" si="0"/>
        <v>4</v>
      </c>
      <c r="K17" s="14" t="s">
        <v>529</v>
      </c>
      <c r="L17" s="14"/>
      <c r="M17" s="14"/>
      <c r="N17" s="14"/>
      <c r="O17" s="14"/>
      <c r="P17" s="14"/>
      <c r="Q17" s="14"/>
      <c r="R17" s="14"/>
      <c r="S17" s="14"/>
      <c r="T17" s="14"/>
      <c r="U17" s="14"/>
      <c r="V17" s="14"/>
      <c r="W17" s="14"/>
      <c r="X17" s="14"/>
      <c r="Y17" s="14"/>
      <c r="Z17" s="14"/>
      <c r="AA17" s="14"/>
      <c r="AB17" s="14"/>
      <c r="AC17" s="14"/>
      <c r="AD17" s="14"/>
      <c r="AE17" s="14"/>
      <c r="AF17" s="14"/>
      <c r="AG17" s="14"/>
      <c r="AH17" s="14"/>
      <c r="AI17" s="14"/>
      <c r="AM17" s="14"/>
      <c r="AO17" s="14"/>
      <c r="AP17" s="14"/>
      <c r="AQ17" s="14"/>
      <c r="AR17" s="14"/>
      <c r="AS17" s="14"/>
      <c r="AT17" s="14" t="s">
        <v>437</v>
      </c>
      <c r="AU17" s="14" t="s">
        <v>437</v>
      </c>
      <c r="AV17" s="14"/>
    </row>
    <row r="18" spans="1:48">
      <c r="A18" s="6" t="s">
        <v>457</v>
      </c>
      <c r="B18" s="14"/>
      <c r="C18" s="6" t="s">
        <v>442</v>
      </c>
      <c r="D18" s="6" t="s">
        <v>435</v>
      </c>
      <c r="E18" s="6" t="s">
        <v>81</v>
      </c>
      <c r="F18" s="14">
        <v>2</v>
      </c>
      <c r="G18" s="14">
        <v>4</v>
      </c>
      <c r="H18" s="14">
        <v>0</v>
      </c>
      <c r="I18" s="14">
        <v>31</v>
      </c>
      <c r="J18" s="14">
        <f t="shared" si="0"/>
        <v>4</v>
      </c>
      <c r="K18" s="14" t="s">
        <v>531</v>
      </c>
      <c r="L18" s="14"/>
      <c r="M18" s="14"/>
      <c r="N18" s="14"/>
      <c r="O18" s="14"/>
      <c r="P18" s="14"/>
      <c r="Q18" s="14"/>
      <c r="R18" s="14"/>
      <c r="S18" s="14"/>
      <c r="T18" s="14"/>
      <c r="U18" s="14"/>
      <c r="V18" s="14"/>
      <c r="W18" s="14"/>
      <c r="X18" s="14"/>
      <c r="Y18" s="14"/>
      <c r="Z18" s="14"/>
      <c r="AA18" s="14"/>
      <c r="AB18" s="14"/>
      <c r="AC18" s="14"/>
      <c r="AD18" s="14"/>
      <c r="AE18" s="14"/>
      <c r="AF18" s="14"/>
      <c r="AG18" s="14"/>
      <c r="AH18" s="14"/>
      <c r="AI18" s="14"/>
      <c r="AM18" s="14"/>
      <c r="AO18" s="14"/>
      <c r="AP18" s="14"/>
      <c r="AQ18" s="14"/>
      <c r="AR18" s="14"/>
      <c r="AS18" s="14"/>
      <c r="AT18" s="14" t="s">
        <v>437</v>
      </c>
      <c r="AU18" s="14" t="s">
        <v>437</v>
      </c>
      <c r="AV18" s="14" t="s">
        <v>437</v>
      </c>
    </row>
    <row r="19" spans="1:48">
      <c r="A19" s="6" t="s">
        <v>458</v>
      </c>
      <c r="B19" s="14"/>
      <c r="C19" s="6" t="s">
        <v>442</v>
      </c>
      <c r="D19" s="6" t="s">
        <v>435</v>
      </c>
      <c r="E19" s="6" t="s">
        <v>459</v>
      </c>
      <c r="F19" s="14">
        <v>6</v>
      </c>
      <c r="G19" s="14">
        <v>9</v>
      </c>
      <c r="H19" s="14">
        <v>0</v>
      </c>
      <c r="I19" s="14">
        <v>101</v>
      </c>
      <c r="J19" s="14">
        <f t="shared" si="0"/>
        <v>4</v>
      </c>
      <c r="K19" s="14" t="s">
        <v>528</v>
      </c>
      <c r="L19" s="14"/>
      <c r="M19" s="14"/>
      <c r="N19" s="14"/>
      <c r="O19" s="14"/>
      <c r="P19" s="14"/>
      <c r="Q19" s="14"/>
      <c r="R19" s="14"/>
      <c r="S19" s="14"/>
      <c r="T19" s="14"/>
      <c r="U19" s="14"/>
      <c r="V19" s="14"/>
      <c r="W19" s="14"/>
      <c r="X19" s="14"/>
      <c r="Y19" s="14"/>
      <c r="Z19" s="14"/>
      <c r="AA19" s="14"/>
      <c r="AB19" s="14">
        <v>50</v>
      </c>
      <c r="AC19" s="14" t="s">
        <v>531</v>
      </c>
      <c r="AD19" s="14"/>
      <c r="AE19" s="14"/>
      <c r="AF19" s="14"/>
      <c r="AG19" s="14"/>
      <c r="AH19" s="14"/>
      <c r="AI19" s="14"/>
      <c r="AM19" s="14"/>
      <c r="AO19" s="14"/>
      <c r="AP19" s="14"/>
      <c r="AQ19" s="14"/>
      <c r="AR19" s="14"/>
      <c r="AS19" s="14"/>
      <c r="AT19" s="14" t="s">
        <v>437</v>
      </c>
      <c r="AU19" s="14"/>
      <c r="AV19" s="14"/>
    </row>
    <row r="20" spans="1:48">
      <c r="A20" s="6" t="s">
        <v>460</v>
      </c>
      <c r="B20" s="14"/>
      <c r="C20" s="6" t="s">
        <v>442</v>
      </c>
      <c r="D20" s="6" t="s">
        <v>435</v>
      </c>
      <c r="E20" s="6" t="s">
        <v>88</v>
      </c>
      <c r="F20" s="14">
        <v>2</v>
      </c>
      <c r="G20" s="14">
        <v>5</v>
      </c>
      <c r="H20" s="14">
        <v>0</v>
      </c>
      <c r="I20" s="14">
        <v>51</v>
      </c>
      <c r="J20" s="14">
        <f t="shared" si="0"/>
        <v>4</v>
      </c>
      <c r="K20" s="14" t="s">
        <v>529</v>
      </c>
      <c r="L20" s="14"/>
      <c r="M20" s="14"/>
      <c r="N20" s="14"/>
      <c r="O20" s="14"/>
      <c r="P20" s="14"/>
      <c r="Q20" s="14"/>
      <c r="R20" s="14"/>
      <c r="S20" s="14"/>
      <c r="T20" s="14"/>
      <c r="U20" s="14"/>
      <c r="V20" s="14"/>
      <c r="W20" s="14"/>
      <c r="X20" s="14"/>
      <c r="Y20" s="14"/>
      <c r="Z20" s="14"/>
      <c r="AA20" s="14"/>
      <c r="AB20" s="14"/>
      <c r="AC20" s="14"/>
      <c r="AD20" s="14"/>
      <c r="AE20" s="14"/>
      <c r="AF20" s="14"/>
      <c r="AG20" s="14"/>
      <c r="AH20" s="14"/>
      <c r="AI20" s="14"/>
      <c r="AM20" s="14"/>
      <c r="AO20" s="14"/>
      <c r="AP20" s="14"/>
      <c r="AQ20" s="14"/>
      <c r="AR20" s="14"/>
      <c r="AS20" s="14"/>
      <c r="AT20" s="14" t="s">
        <v>437</v>
      </c>
      <c r="AU20" s="14" t="s">
        <v>437</v>
      </c>
      <c r="AV20" s="14"/>
    </row>
    <row r="21" spans="1:48">
      <c r="A21" s="6" t="s">
        <v>461</v>
      </c>
      <c r="B21" s="14"/>
      <c r="C21" s="6" t="s">
        <v>442</v>
      </c>
      <c r="D21" s="6" t="s">
        <v>435</v>
      </c>
      <c r="E21" s="6" t="s">
        <v>96</v>
      </c>
      <c r="F21" s="14">
        <v>5</v>
      </c>
      <c r="G21" s="14">
        <v>12</v>
      </c>
      <c r="H21" s="14">
        <v>0</v>
      </c>
      <c r="I21" s="14">
        <v>63</v>
      </c>
      <c r="J21" s="14">
        <f t="shared" si="0"/>
        <v>16</v>
      </c>
      <c r="K21" s="14" t="s">
        <v>531</v>
      </c>
      <c r="L21" s="14"/>
      <c r="M21" s="14"/>
      <c r="N21" s="14"/>
      <c r="O21" s="14"/>
      <c r="P21" s="14"/>
      <c r="Q21" s="14"/>
      <c r="R21" s="14"/>
      <c r="S21" s="14"/>
      <c r="T21" s="14"/>
      <c r="U21" s="14"/>
      <c r="V21" s="14"/>
      <c r="W21" s="14"/>
      <c r="X21" s="14"/>
      <c r="Y21" s="14"/>
      <c r="Z21" s="14"/>
      <c r="AA21" s="14"/>
      <c r="AB21" s="14"/>
      <c r="AC21" s="14"/>
      <c r="AD21" s="14">
        <v>65</v>
      </c>
      <c r="AE21" s="14" t="s">
        <v>531</v>
      </c>
      <c r="AF21" s="14"/>
      <c r="AG21" s="14"/>
      <c r="AH21" s="14"/>
      <c r="AI21" s="14"/>
      <c r="AM21" s="14"/>
      <c r="AO21" s="14"/>
      <c r="AP21" s="14"/>
      <c r="AQ21" s="14"/>
      <c r="AR21" s="14"/>
      <c r="AS21" s="14"/>
      <c r="AT21" s="14" t="s">
        <v>437</v>
      </c>
      <c r="AU21" s="14"/>
      <c r="AV21" s="14"/>
    </row>
    <row r="22" spans="1:48">
      <c r="A22" s="6" t="s">
        <v>462</v>
      </c>
      <c r="B22" s="14"/>
      <c r="C22" s="6" t="s">
        <v>442</v>
      </c>
      <c r="D22" s="6" t="s">
        <v>435</v>
      </c>
      <c r="E22" s="6" t="s">
        <v>104</v>
      </c>
      <c r="F22" s="14">
        <v>4</v>
      </c>
      <c r="G22" s="14">
        <v>7</v>
      </c>
      <c r="H22" s="14">
        <v>0</v>
      </c>
      <c r="I22" s="14">
        <v>41</v>
      </c>
      <c r="J22" s="14">
        <f t="shared" si="0"/>
        <v>4</v>
      </c>
      <c r="K22" s="14" t="s">
        <v>528</v>
      </c>
      <c r="L22" s="14"/>
      <c r="M22" s="14"/>
      <c r="N22" s="14"/>
      <c r="O22" s="14"/>
      <c r="P22" s="14"/>
      <c r="Q22" s="14"/>
      <c r="R22" s="14"/>
      <c r="S22" s="14"/>
      <c r="T22" s="14"/>
      <c r="U22" s="14"/>
      <c r="V22" s="14"/>
      <c r="W22" s="14"/>
      <c r="X22" s="14"/>
      <c r="Y22" s="14"/>
      <c r="Z22" s="14"/>
      <c r="AA22" s="14"/>
      <c r="AB22" s="14"/>
      <c r="AC22" s="14"/>
      <c r="AD22" s="14"/>
      <c r="AE22" s="14"/>
      <c r="AF22" s="14"/>
      <c r="AG22" s="14"/>
      <c r="AH22" s="14"/>
      <c r="AI22" s="14"/>
      <c r="AM22" s="14"/>
      <c r="AO22" s="14"/>
      <c r="AP22" s="14"/>
      <c r="AQ22" s="14"/>
      <c r="AR22" s="14"/>
      <c r="AS22" s="14"/>
      <c r="AT22" s="14" t="s">
        <v>437</v>
      </c>
      <c r="AU22" s="14"/>
      <c r="AV22" s="14"/>
    </row>
    <row r="23" spans="1:48">
      <c r="A23" s="6" t="s">
        <v>463</v>
      </c>
      <c r="B23" s="14"/>
      <c r="C23" s="6" t="s">
        <v>442</v>
      </c>
      <c r="D23" s="6" t="s">
        <v>435</v>
      </c>
      <c r="E23" s="6" t="s">
        <v>108</v>
      </c>
      <c r="F23" s="14">
        <v>8</v>
      </c>
      <c r="G23" s="14">
        <v>34</v>
      </c>
      <c r="H23" s="14">
        <v>34</v>
      </c>
      <c r="I23" s="14">
        <v>136</v>
      </c>
      <c r="J23" s="14">
        <f t="shared" si="0"/>
        <v>16</v>
      </c>
      <c r="K23" s="14" t="s">
        <v>529</v>
      </c>
      <c r="L23" s="14"/>
      <c r="M23" s="14"/>
      <c r="N23" s="14"/>
      <c r="O23" s="14"/>
      <c r="P23" s="14"/>
      <c r="Q23" s="14"/>
      <c r="R23" s="14"/>
      <c r="S23" s="14"/>
      <c r="T23" s="14"/>
      <c r="U23" s="14"/>
      <c r="V23" s="14"/>
      <c r="W23" s="14"/>
      <c r="X23" s="14"/>
      <c r="Y23" s="14"/>
      <c r="Z23" s="14"/>
      <c r="AA23" s="14"/>
      <c r="AB23" s="14"/>
      <c r="AC23" s="14"/>
      <c r="AD23" s="14"/>
      <c r="AE23" s="14"/>
      <c r="AF23" s="14"/>
      <c r="AG23" s="14"/>
      <c r="AH23" s="14"/>
      <c r="AI23" s="14"/>
      <c r="AM23" s="14"/>
      <c r="AO23" s="14"/>
      <c r="AP23" s="14"/>
      <c r="AQ23" s="14"/>
      <c r="AR23" s="14"/>
      <c r="AS23" s="14"/>
      <c r="AT23" s="14" t="s">
        <v>437</v>
      </c>
      <c r="AU23" s="14" t="s">
        <v>437</v>
      </c>
      <c r="AV23" s="14"/>
    </row>
    <row r="24" spans="1:48">
      <c r="A24" s="6" t="s">
        <v>464</v>
      </c>
      <c r="B24" s="14"/>
      <c r="C24" s="6" t="s">
        <v>442</v>
      </c>
      <c r="D24" s="6" t="s">
        <v>435</v>
      </c>
      <c r="E24" s="6" t="s">
        <v>108</v>
      </c>
      <c r="F24" s="14">
        <v>8</v>
      </c>
      <c r="G24" s="14">
        <v>34</v>
      </c>
      <c r="H24" s="14">
        <v>34</v>
      </c>
      <c r="I24" s="14">
        <v>136</v>
      </c>
      <c r="J24" s="14">
        <f t="shared" si="0"/>
        <v>16</v>
      </c>
      <c r="K24" s="14" t="s">
        <v>531</v>
      </c>
      <c r="L24" s="14"/>
      <c r="M24" s="14"/>
      <c r="N24" s="14"/>
      <c r="O24" s="14"/>
      <c r="P24" s="14"/>
      <c r="Q24" s="14"/>
      <c r="R24" s="14"/>
      <c r="S24" s="14"/>
      <c r="T24" s="14"/>
      <c r="U24" s="14"/>
      <c r="V24" s="14"/>
      <c r="W24" s="14"/>
      <c r="X24" s="14"/>
      <c r="Y24" s="14"/>
      <c r="Z24" s="14"/>
      <c r="AA24" s="14"/>
      <c r="AB24" s="14"/>
      <c r="AC24" s="14"/>
      <c r="AD24" s="14"/>
      <c r="AE24" s="14"/>
      <c r="AF24" s="14"/>
      <c r="AG24" s="14"/>
      <c r="AH24" s="14"/>
      <c r="AI24" s="14"/>
      <c r="AM24" s="14"/>
      <c r="AO24" s="14"/>
      <c r="AP24" s="14"/>
      <c r="AQ24" s="14"/>
      <c r="AR24" s="14"/>
      <c r="AS24" s="14"/>
      <c r="AT24" s="14" t="s">
        <v>437</v>
      </c>
      <c r="AU24" s="14" t="s">
        <v>437</v>
      </c>
      <c r="AV24" s="14"/>
    </row>
    <row r="25" spans="1:48">
      <c r="A25" s="6" t="s">
        <v>465</v>
      </c>
      <c r="B25" s="14"/>
      <c r="C25" s="6" t="s">
        <v>442</v>
      </c>
      <c r="D25" s="6" t="s">
        <v>435</v>
      </c>
      <c r="E25" s="6" t="s">
        <v>124</v>
      </c>
      <c r="F25" s="14">
        <v>6</v>
      </c>
      <c r="G25" s="14">
        <v>6</v>
      </c>
      <c r="H25" s="14">
        <v>0</v>
      </c>
      <c r="I25" s="14">
        <v>56</v>
      </c>
      <c r="J25" s="14">
        <f t="shared" si="0"/>
        <v>4</v>
      </c>
      <c r="K25" s="14" t="s">
        <v>531</v>
      </c>
      <c r="L25" s="14"/>
      <c r="M25" s="14"/>
      <c r="N25" s="14"/>
      <c r="O25" s="14"/>
      <c r="P25" s="14"/>
      <c r="Q25" s="14"/>
      <c r="R25" s="14"/>
      <c r="S25" s="14"/>
      <c r="T25" s="14"/>
      <c r="U25" s="14"/>
      <c r="V25" s="14"/>
      <c r="W25" s="14"/>
      <c r="X25" s="14"/>
      <c r="Y25" s="14"/>
      <c r="Z25" s="14">
        <v>50</v>
      </c>
      <c r="AA25" s="14" t="s">
        <v>466</v>
      </c>
      <c r="AB25" s="14"/>
      <c r="AC25" s="14"/>
      <c r="AD25" s="14"/>
      <c r="AE25" s="14"/>
      <c r="AF25" s="14"/>
      <c r="AG25" s="14"/>
      <c r="AH25" s="14"/>
      <c r="AI25" s="14"/>
      <c r="AM25" s="14"/>
      <c r="AO25" s="14"/>
      <c r="AP25" s="14"/>
      <c r="AQ25" s="14"/>
      <c r="AR25" s="14"/>
      <c r="AS25" s="14"/>
      <c r="AT25" s="14" t="s">
        <v>437</v>
      </c>
      <c r="AU25" s="14"/>
      <c r="AV25" s="14"/>
    </row>
    <row r="26" spans="1:48">
      <c r="A26" s="6" t="s">
        <v>467</v>
      </c>
      <c r="B26" s="14"/>
      <c r="C26" s="6" t="s">
        <v>442</v>
      </c>
      <c r="D26" s="6" t="s">
        <v>435</v>
      </c>
      <c r="E26" s="6" t="s">
        <v>124</v>
      </c>
      <c r="F26" s="14">
        <v>6</v>
      </c>
      <c r="G26" s="14">
        <v>6</v>
      </c>
      <c r="H26" s="14">
        <v>0</v>
      </c>
      <c r="I26" s="14">
        <v>56</v>
      </c>
      <c r="J26" s="14">
        <f t="shared" si="0"/>
        <v>4</v>
      </c>
      <c r="K26" s="14" t="s">
        <v>528</v>
      </c>
      <c r="L26" s="14"/>
      <c r="M26" s="14"/>
      <c r="N26" s="14"/>
      <c r="O26" s="14"/>
      <c r="P26" s="14"/>
      <c r="Q26" s="14"/>
      <c r="R26" s="14"/>
      <c r="S26" s="14"/>
      <c r="T26" s="14"/>
      <c r="U26" s="14"/>
      <c r="V26" s="14"/>
      <c r="W26" s="14"/>
      <c r="X26" s="14"/>
      <c r="Y26" s="14"/>
      <c r="Z26" s="14">
        <v>50</v>
      </c>
      <c r="AA26" s="14" t="s">
        <v>466</v>
      </c>
      <c r="AB26" s="14"/>
      <c r="AC26" s="14"/>
      <c r="AD26" s="14"/>
      <c r="AE26" s="14"/>
      <c r="AF26" s="14"/>
      <c r="AG26" s="14"/>
      <c r="AH26" s="14"/>
      <c r="AI26" s="14"/>
      <c r="AM26" s="14"/>
      <c r="AO26" s="14"/>
      <c r="AP26" s="14"/>
      <c r="AQ26" s="14"/>
      <c r="AR26" s="14"/>
      <c r="AS26" s="14"/>
      <c r="AT26" s="14" t="s">
        <v>437</v>
      </c>
      <c r="AU26" s="14"/>
      <c r="AV26" s="14"/>
    </row>
    <row r="27" spans="1:48">
      <c r="A27" s="6" t="s">
        <v>468</v>
      </c>
      <c r="B27" s="14"/>
      <c r="C27" s="6" t="s">
        <v>442</v>
      </c>
      <c r="D27" s="6" t="s">
        <v>435</v>
      </c>
      <c r="E27" s="6" t="s">
        <v>469</v>
      </c>
      <c r="F27" s="14">
        <v>3</v>
      </c>
      <c r="G27" s="14">
        <v>3</v>
      </c>
      <c r="H27" s="14">
        <v>0</v>
      </c>
      <c r="I27" s="14">
        <v>41</v>
      </c>
      <c r="J27" s="14">
        <f t="shared" si="0"/>
        <v>4</v>
      </c>
      <c r="K27" s="14" t="s">
        <v>531</v>
      </c>
      <c r="L27" s="14"/>
      <c r="M27" s="14"/>
      <c r="N27" s="14"/>
      <c r="O27" s="14"/>
      <c r="P27" s="14"/>
      <c r="Q27" s="14"/>
      <c r="R27" s="14"/>
      <c r="S27" s="14"/>
      <c r="T27" s="14"/>
      <c r="U27" s="14"/>
      <c r="V27" s="14"/>
      <c r="W27" s="14"/>
      <c r="X27" s="14"/>
      <c r="Y27" s="14"/>
      <c r="Z27" s="14"/>
      <c r="AA27" s="14"/>
      <c r="AB27" s="14"/>
      <c r="AC27" s="14"/>
      <c r="AD27" s="14"/>
      <c r="AE27" s="14"/>
      <c r="AF27" s="14"/>
      <c r="AG27" s="14"/>
      <c r="AH27" s="14"/>
      <c r="AI27" s="14"/>
      <c r="AM27" s="14"/>
      <c r="AO27" s="14"/>
      <c r="AP27" s="14"/>
      <c r="AQ27" s="14"/>
      <c r="AR27" s="14"/>
      <c r="AS27" s="14"/>
      <c r="AT27" s="14" t="s">
        <v>437</v>
      </c>
      <c r="AU27" s="14"/>
      <c r="AV27" s="14"/>
    </row>
    <row r="28" spans="1:48">
      <c r="A28" s="6" t="s">
        <v>470</v>
      </c>
      <c r="B28" s="14"/>
      <c r="C28" s="6" t="s">
        <v>442</v>
      </c>
      <c r="D28" s="6" t="s">
        <v>435</v>
      </c>
      <c r="E28" s="6" t="s">
        <v>471</v>
      </c>
      <c r="F28" s="14">
        <v>3</v>
      </c>
      <c r="G28" s="14">
        <v>3</v>
      </c>
      <c r="H28" s="14">
        <v>0</v>
      </c>
      <c r="I28" s="14">
        <v>41</v>
      </c>
      <c r="J28" s="14">
        <f t="shared" si="0"/>
        <v>4</v>
      </c>
      <c r="K28" s="14" t="s">
        <v>531</v>
      </c>
      <c r="L28" s="14"/>
      <c r="M28" s="14"/>
      <c r="N28" s="14"/>
      <c r="O28" s="14"/>
      <c r="P28" s="14"/>
      <c r="Q28" s="14"/>
      <c r="R28" s="14"/>
      <c r="S28" s="14"/>
      <c r="T28" s="14"/>
      <c r="U28" s="14"/>
      <c r="V28" s="14"/>
      <c r="W28" s="14"/>
      <c r="X28" s="14"/>
      <c r="Y28" s="14"/>
      <c r="Z28" s="14"/>
      <c r="AA28" s="14"/>
      <c r="AB28" s="14"/>
      <c r="AC28" s="14"/>
      <c r="AD28" s="14"/>
      <c r="AE28" s="14"/>
      <c r="AF28" s="14"/>
      <c r="AG28" s="14"/>
      <c r="AH28" s="14"/>
      <c r="AI28" s="14"/>
      <c r="AM28" s="14"/>
      <c r="AO28" s="14"/>
      <c r="AP28" s="14"/>
      <c r="AQ28" s="14"/>
      <c r="AR28" s="14"/>
      <c r="AS28" s="14"/>
      <c r="AT28" s="14" t="s">
        <v>437</v>
      </c>
      <c r="AU28" s="14"/>
      <c r="AV28" s="14"/>
    </row>
    <row r="29" spans="1:48" s="19" customFormat="1" ht="13.5" customHeight="1">
      <c r="A29" s="19" t="s">
        <v>472</v>
      </c>
      <c r="C29" s="19" t="s">
        <v>442</v>
      </c>
      <c r="D29" s="19" t="s">
        <v>435</v>
      </c>
      <c r="E29" s="110" t="s">
        <v>473</v>
      </c>
      <c r="F29" s="17">
        <v>8</v>
      </c>
      <c r="G29" s="17">
        <v>11</v>
      </c>
      <c r="H29" s="17">
        <v>0</v>
      </c>
      <c r="I29" s="17">
        <v>125</v>
      </c>
      <c r="J29" s="17">
        <f t="shared" si="0"/>
        <v>16</v>
      </c>
      <c r="K29" s="17" t="s">
        <v>528</v>
      </c>
      <c r="L29" s="17"/>
      <c r="M29" s="17"/>
      <c r="N29" s="99"/>
      <c r="O29" s="98"/>
      <c r="P29" s="17"/>
      <c r="Q29" s="17"/>
      <c r="R29" s="17"/>
      <c r="S29" s="17"/>
      <c r="T29" s="17"/>
      <c r="U29" s="17"/>
      <c r="X29" s="17"/>
      <c r="Y29" s="17"/>
      <c r="AG29" s="39"/>
      <c r="AJ29" s="39">
        <v>135</v>
      </c>
      <c r="AK29" s="39" t="s">
        <v>474</v>
      </c>
      <c r="AL29" s="39"/>
      <c r="AM29" s="39"/>
      <c r="AN29" s="39"/>
      <c r="AO29" s="39"/>
      <c r="AT29" s="17" t="s">
        <v>437</v>
      </c>
      <c r="AU29" s="17"/>
      <c r="AV29" s="17"/>
    </row>
    <row r="30" spans="1:48">
      <c r="F30" s="14">
        <f>SUM(F8:F29)</f>
        <v>97</v>
      </c>
      <c r="G30" s="14">
        <f>SUM(G8:G29)</f>
        <v>241</v>
      </c>
      <c r="H30" s="14">
        <f>SUM(H8:H29)</f>
        <v>114</v>
      </c>
      <c r="I30" s="14">
        <f>SUM(I8:I29)</f>
        <v>2267</v>
      </c>
      <c r="J30" s="14"/>
      <c r="K30" s="14"/>
      <c r="L30" s="14">
        <f>SUM(L8:L29)</f>
        <v>66</v>
      </c>
      <c r="M30" s="14"/>
      <c r="N30" s="14">
        <f>SUM(N8:N29)</f>
        <v>750</v>
      </c>
      <c r="O30" s="14"/>
      <c r="P30" s="14">
        <f>SUM(P8:P29)</f>
        <v>1125</v>
      </c>
      <c r="Q30" s="14"/>
      <c r="R30" s="14">
        <f>SUM(R8:R29)</f>
        <v>340</v>
      </c>
      <c r="S30" s="14"/>
      <c r="T30" s="14">
        <f>SUM(T8:T29)</f>
        <v>300</v>
      </c>
      <c r="U30" s="14"/>
      <c r="V30" s="14">
        <f>SUM(V8:V29)</f>
        <v>0</v>
      </c>
      <c r="W30" s="14"/>
      <c r="X30" s="14">
        <f>SUM(X8:X29)</f>
        <v>3050</v>
      </c>
      <c r="Z30" s="14">
        <f>SUM(Z8:Z29)</f>
        <v>100</v>
      </c>
      <c r="AB30" s="14">
        <f>SUM(AB8:AB29)</f>
        <v>50</v>
      </c>
      <c r="AD30" s="14">
        <f>SUM(AD8:AD29)</f>
        <v>65</v>
      </c>
      <c r="AF30" s="14">
        <f>SUM(AF8:AF29)</f>
        <v>0</v>
      </c>
      <c r="AH30" s="14">
        <f>SUM(AH8:AH29)</f>
        <v>0</v>
      </c>
      <c r="AJ30" s="14">
        <f>SUM(AJ8:AJ29)</f>
        <v>135</v>
      </c>
      <c r="AL30" s="14">
        <f>SUM(AL8:AL29)</f>
        <v>0</v>
      </c>
      <c r="AN30" s="14">
        <f>SUM(AN8:AN29)</f>
        <v>0</v>
      </c>
      <c r="AP30" s="14">
        <f>SUM(AP8:AP29)</f>
        <v>2500</v>
      </c>
      <c r="AT30" s="14">
        <f>COUNTIF(AT8:AT29,"x")</f>
        <v>22</v>
      </c>
      <c r="AU30" s="14">
        <f>COUNTIF(AU8:AU29,"x")</f>
        <v>8</v>
      </c>
      <c r="AV30" s="14">
        <f>COUNTIF(AV8:AV29,"x")</f>
        <v>2</v>
      </c>
    </row>
    <row r="31" spans="1:48" ht="13.5" customHeight="1">
      <c r="A31" s="16" t="s">
        <v>475</v>
      </c>
      <c r="F31" s="14"/>
      <c r="G31" s="14"/>
      <c r="H31" s="14"/>
      <c r="I31" s="14"/>
      <c r="J31" s="14"/>
      <c r="K31" s="14"/>
      <c r="L31" s="14"/>
      <c r="M31" s="14"/>
      <c r="N31" s="14"/>
      <c r="O31"/>
      <c r="P31" s="14"/>
      <c r="Q31" s="14"/>
      <c r="R31" s="14"/>
      <c r="S31" s="14"/>
      <c r="T31" s="14"/>
      <c r="U31" s="14"/>
      <c r="V31" s="14"/>
      <c r="X31" s="14"/>
      <c r="Z31" s="14"/>
      <c r="AB31" s="14"/>
      <c r="AD31" s="14"/>
      <c r="AF31" s="14"/>
      <c r="AG31" s="14"/>
      <c r="AH31" s="14"/>
    </row>
    <row r="32" spans="1:48">
      <c r="A32" s="6" t="s">
        <v>476</v>
      </c>
      <c r="B32" s="14"/>
      <c r="C32" s="6" t="s">
        <v>442</v>
      </c>
      <c r="D32" s="6" t="s">
        <v>435</v>
      </c>
      <c r="E32" s="6" t="s">
        <v>477</v>
      </c>
      <c r="F32" s="14">
        <v>8</v>
      </c>
      <c r="G32" s="14">
        <v>16</v>
      </c>
      <c r="H32" s="14">
        <v>0</v>
      </c>
      <c r="I32" s="14">
        <v>30</v>
      </c>
      <c r="J32" s="14">
        <f>IF(G32&gt;=10,16, 4)-J76</f>
        <v>12</v>
      </c>
      <c r="K32" s="14" t="s">
        <v>531</v>
      </c>
      <c r="L32" s="14"/>
      <c r="M32" s="14"/>
      <c r="N32" s="14"/>
      <c r="O32" s="14"/>
      <c r="P32" s="14"/>
      <c r="Q32" s="14"/>
      <c r="R32" s="14"/>
      <c r="S32" s="14"/>
      <c r="T32" s="14"/>
      <c r="U32" s="14"/>
      <c r="V32" s="14"/>
      <c r="W32" s="14"/>
      <c r="X32" s="14">
        <v>200</v>
      </c>
      <c r="Y32" s="14" t="s">
        <v>206</v>
      </c>
      <c r="Z32" s="14"/>
      <c r="AA32" s="14"/>
      <c r="AB32" s="14"/>
      <c r="AC32" s="14"/>
      <c r="AD32" s="14"/>
      <c r="AE32" s="14"/>
      <c r="AF32" s="14"/>
      <c r="AG32" s="14"/>
      <c r="AH32" s="14"/>
      <c r="AI32" s="14"/>
      <c r="AM32" s="14"/>
      <c r="AO32" s="14"/>
      <c r="AP32" s="14"/>
      <c r="AQ32" s="14"/>
      <c r="AR32" s="14">
        <v>150</v>
      </c>
      <c r="AS32" s="14" t="s">
        <v>474</v>
      </c>
      <c r="AT32" s="14"/>
      <c r="AU32" s="14"/>
      <c r="AV32" s="14"/>
    </row>
    <row r="33" spans="1:48" ht="12.95">
      <c r="A33" s="138" t="s">
        <v>478</v>
      </c>
    </row>
    <row r="34" spans="1:48">
      <c r="A34" s="6" t="s">
        <v>472</v>
      </c>
      <c r="B34" s="14"/>
      <c r="C34" s="6" t="s">
        <v>442</v>
      </c>
      <c r="D34" s="6" t="s">
        <v>435</v>
      </c>
      <c r="E34" s="6" t="s">
        <v>479</v>
      </c>
      <c r="F34" s="14">
        <v>8</v>
      </c>
      <c r="G34" s="14">
        <v>22</v>
      </c>
      <c r="H34" s="14">
        <v>0</v>
      </c>
      <c r="I34" s="14">
        <v>28</v>
      </c>
      <c r="J34" s="14">
        <f>IF(G34&gt;=10,16, 4)-J29</f>
        <v>0</v>
      </c>
      <c r="K34" s="14" t="s">
        <v>528</v>
      </c>
      <c r="L34" s="14"/>
      <c r="M34" s="14"/>
      <c r="N34" s="14"/>
      <c r="O34" s="14"/>
      <c r="P34" s="14"/>
      <c r="Q34" s="14"/>
      <c r="R34" s="14">
        <v>120</v>
      </c>
      <c r="S34" s="14" t="s">
        <v>449</v>
      </c>
      <c r="T34" s="14"/>
      <c r="U34" s="14"/>
      <c r="V34" s="14"/>
      <c r="W34" s="14"/>
      <c r="X34" s="14">
        <v>340</v>
      </c>
      <c r="Y34" s="14" t="s">
        <v>206</v>
      </c>
      <c r="Z34" s="14"/>
      <c r="AA34" s="14"/>
      <c r="AB34" s="14"/>
      <c r="AC34" s="14"/>
      <c r="AD34" s="14"/>
      <c r="AE34" s="14"/>
      <c r="AF34" s="14"/>
      <c r="AG34" s="14"/>
      <c r="AH34" s="86">
        <v>200</v>
      </c>
      <c r="AI34" s="86" t="s">
        <v>474</v>
      </c>
      <c r="AM34" s="14"/>
      <c r="AO34" s="14"/>
      <c r="AP34" s="14"/>
      <c r="AQ34" s="14"/>
      <c r="AR34" s="14"/>
      <c r="AS34" s="14"/>
      <c r="AT34" s="14"/>
      <c r="AU34" s="14"/>
      <c r="AV34" s="14"/>
    </row>
    <row r="35" spans="1:48" s="19" customFormat="1" ht="13.5" customHeight="1">
      <c r="A35" s="19" t="s">
        <v>480</v>
      </c>
      <c r="C35" s="19" t="s">
        <v>442</v>
      </c>
      <c r="D35" s="19" t="s">
        <v>435</v>
      </c>
      <c r="E35" s="19" t="s">
        <v>481</v>
      </c>
      <c r="F35" s="17">
        <v>4</v>
      </c>
      <c r="G35" s="17">
        <v>15</v>
      </c>
      <c r="H35" s="17">
        <v>0</v>
      </c>
      <c r="I35" s="17">
        <v>0</v>
      </c>
      <c r="J35" s="17">
        <f>IF(G34&gt;=10,16, 4)-J75</f>
        <v>12</v>
      </c>
      <c r="K35" s="17" t="s">
        <v>528</v>
      </c>
      <c r="L35" s="17"/>
      <c r="M35" s="17"/>
      <c r="N35" s="99"/>
      <c r="O35" s="98"/>
      <c r="P35" s="17"/>
      <c r="Q35" s="17"/>
      <c r="R35" s="17"/>
      <c r="S35" s="17"/>
      <c r="V35" s="17"/>
      <c r="W35" s="17"/>
      <c r="X35" s="17"/>
      <c r="Y35" s="17"/>
      <c r="AD35" s="17"/>
      <c r="AE35" s="17"/>
      <c r="AF35" s="17"/>
      <c r="AG35" s="17"/>
      <c r="AH35" s="17"/>
      <c r="AJ35" s="17"/>
      <c r="AK35" s="17"/>
      <c r="AL35" s="17"/>
      <c r="AN35" s="17"/>
      <c r="AR35" s="156"/>
      <c r="AT35" s="17"/>
      <c r="AU35" s="17"/>
    </row>
    <row r="36" spans="1:48" ht="13.5" customHeight="1">
      <c r="F36" s="14">
        <f>SUM(F32:F35)+F30</f>
        <v>117</v>
      </c>
      <c r="G36" s="14">
        <f>SUM(G32:G35)+G30</f>
        <v>294</v>
      </c>
      <c r="H36" s="14">
        <f>SUM(H32:H35)+H30</f>
        <v>114</v>
      </c>
      <c r="I36" s="14">
        <f>SUM(I32:I35)+I30</f>
        <v>2325</v>
      </c>
      <c r="J36" s="14"/>
      <c r="K36" s="14"/>
      <c r="L36" s="14">
        <f>SUM(L32:L35)+L30</f>
        <v>66</v>
      </c>
      <c r="M36" s="14"/>
      <c r="N36" s="14">
        <f>SUM(N32:N35)+N30</f>
        <v>750</v>
      </c>
      <c r="O36"/>
      <c r="P36" s="14">
        <f>SUM(P32:P35)+P30</f>
        <v>1125</v>
      </c>
      <c r="Q36" s="14"/>
      <c r="R36" s="14">
        <f>SUM(R32:R35)+R30</f>
        <v>460</v>
      </c>
      <c r="S36" s="14"/>
      <c r="T36" s="14">
        <f>SUM(T32:T35)+T30</f>
        <v>300</v>
      </c>
      <c r="V36" s="14">
        <f>SUM(V32:V35)+V30</f>
        <v>0</v>
      </c>
      <c r="W36" s="14"/>
      <c r="X36" s="14">
        <f>SUM(X32:X35)+X30</f>
        <v>3590</v>
      </c>
      <c r="Z36" s="14">
        <f>SUM(Z32:Z35)+Z30</f>
        <v>100</v>
      </c>
      <c r="AB36" s="14">
        <f>SUM(AB32:AB35)+AB30</f>
        <v>50</v>
      </c>
      <c r="AD36" s="14">
        <f>SUM(AD32:AD35)+AD30</f>
        <v>65</v>
      </c>
      <c r="AE36" s="14"/>
      <c r="AF36" s="14">
        <f>SUM(AF32:AF35)+AF30</f>
        <v>0</v>
      </c>
      <c r="AG36" s="14"/>
      <c r="AH36" s="14">
        <f>SUM(AH32:AH35)+AH30</f>
        <v>200</v>
      </c>
      <c r="AJ36" s="14">
        <f>SUM(AJ32:AJ35)+AJ30</f>
        <v>135</v>
      </c>
      <c r="AL36" s="14">
        <f>SUM(AL32:AL35)+AL30</f>
        <v>0</v>
      </c>
      <c r="AN36" s="14">
        <f>SUM(AN32:AN35)+AN30</f>
        <v>0</v>
      </c>
      <c r="AP36" s="14">
        <f>SUM(AP32:AP35)+AP30</f>
        <v>2500</v>
      </c>
      <c r="AR36" s="155">
        <f>SUM(AR32:AR35)+AR30</f>
        <v>150</v>
      </c>
      <c r="AT36" s="14">
        <f>COUNTIF(AT33:AT35,"x")+AT30</f>
        <v>22</v>
      </c>
      <c r="AU36" s="14">
        <f>COUNTIF(AU33:AU35,"x")+AU30</f>
        <v>8</v>
      </c>
      <c r="AV36" s="14">
        <f>COUNTIF(AV33:AV35,"x")+AV30</f>
        <v>2</v>
      </c>
    </row>
    <row r="38" spans="1:48">
      <c r="F38" s="14"/>
      <c r="G38" s="14"/>
      <c r="H38" s="14"/>
      <c r="I38" s="14"/>
      <c r="J38" s="14"/>
      <c r="K38" s="14"/>
      <c r="L38" s="14"/>
      <c r="M38" s="14"/>
      <c r="N38" s="14"/>
      <c r="O38" s="14"/>
      <c r="P38" s="14"/>
      <c r="Q38" s="14"/>
      <c r="R38" s="14"/>
      <c r="S38" s="14"/>
      <c r="T38" s="14"/>
      <c r="U38" s="14"/>
      <c r="V38" s="14"/>
      <c r="W38" s="14"/>
      <c r="X38" s="14"/>
    </row>
    <row r="39" spans="1:48" ht="13.35" customHeight="1">
      <c r="A39" s="174" t="s">
        <v>482</v>
      </c>
      <c r="B39" s="174"/>
      <c r="C39" s="174"/>
      <c r="D39" s="174"/>
      <c r="E39" s="25"/>
      <c r="F39" s="89"/>
      <c r="G39" s="89"/>
      <c r="H39" s="175"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39" s="175"/>
      <c r="J39" s="175"/>
      <c r="K39" s="175"/>
      <c r="L39" s="175"/>
      <c r="M39" s="22"/>
      <c r="N39" s="22"/>
      <c r="O39" s="22"/>
      <c r="P39" s="22"/>
      <c r="Q39" s="22"/>
      <c r="R39" s="22"/>
      <c r="S39" s="22"/>
      <c r="T39" s="22"/>
      <c r="U39" s="22"/>
      <c r="V39" s="22"/>
      <c r="W39" s="22"/>
      <c r="X39" s="22"/>
      <c r="Y39" s="22"/>
      <c r="Z39" s="22"/>
      <c r="AA39" s="22"/>
      <c r="AB39" s="22"/>
      <c r="AC39" s="22"/>
      <c r="AD39" s="22"/>
      <c r="AE39" s="22"/>
      <c r="AF39" s="22"/>
      <c r="AG39" s="22"/>
      <c r="AH39" s="22"/>
      <c r="AI39" s="22"/>
      <c r="AJ39" s="133"/>
      <c r="AK39" s="133"/>
      <c r="AL39" s="133"/>
      <c r="AM39" s="22"/>
      <c r="AN39" s="133"/>
      <c r="AO39" s="22"/>
      <c r="AP39" s="22"/>
      <c r="AQ39" s="22"/>
      <c r="AR39" s="22"/>
      <c r="AS39" s="22"/>
      <c r="AT39" s="22"/>
      <c r="AU39" s="22"/>
      <c r="AV39" s="22"/>
    </row>
    <row r="40" spans="1:48" ht="12.95">
      <c r="A40" s="174"/>
      <c r="B40" s="174"/>
      <c r="C40" s="174"/>
      <c r="D40" s="174"/>
      <c r="E40" s="25" t="s">
        <v>532</v>
      </c>
      <c r="F40" s="89">
        <f>48-(IF(E9="vCSA8.0", 2, 1))</f>
        <v>46</v>
      </c>
      <c r="G40" s="89">
        <f>3*(192-(IF(E9="vCSA8.0", 12, 8)))</f>
        <v>540</v>
      </c>
      <c r="H40" s="175"/>
      <c r="I40" s="175"/>
      <c r="J40" s="175"/>
      <c r="K40" s="175"/>
      <c r="L40" s="175"/>
      <c r="M40" s="22"/>
      <c r="N40" s="22"/>
      <c r="O40" s="22"/>
      <c r="P40" s="22"/>
      <c r="Q40" s="22"/>
      <c r="R40" s="22"/>
      <c r="S40" s="22"/>
      <c r="T40" s="22"/>
      <c r="U40" s="22"/>
      <c r="V40" s="22"/>
      <c r="W40" s="22"/>
      <c r="X40" s="22"/>
      <c r="Y40" s="22"/>
      <c r="Z40" s="22"/>
      <c r="AA40" s="22"/>
      <c r="AB40" s="22"/>
      <c r="AC40" s="22"/>
      <c r="AD40" s="22"/>
      <c r="AE40" s="22"/>
      <c r="AF40" s="22"/>
      <c r="AG40" s="22"/>
      <c r="AH40" s="22"/>
      <c r="AI40" s="22"/>
      <c r="AJ40" s="133"/>
      <c r="AK40" s="133"/>
      <c r="AL40" s="133"/>
      <c r="AM40" s="22"/>
      <c r="AN40" s="133"/>
      <c r="AO40" s="22"/>
      <c r="AP40" s="22"/>
      <c r="AQ40" s="22"/>
      <c r="AR40" s="22"/>
      <c r="AS40" s="22"/>
      <c r="AT40" s="22"/>
      <c r="AU40" s="22"/>
      <c r="AV40" s="22"/>
    </row>
    <row r="41" spans="1:48" ht="12.95">
      <c r="A41" s="89"/>
      <c r="B41" s="89"/>
      <c r="C41" s="89"/>
      <c r="D41" s="89"/>
      <c r="E41" s="25" t="s">
        <v>533</v>
      </c>
      <c r="F41" s="89">
        <f>64-(IF(E9="vCSA8.0", 2, 1))</f>
        <v>62</v>
      </c>
      <c r="G41" s="89">
        <f>2*(384-(IF(E9="vCSA8.0", 12, 8)))</f>
        <v>744</v>
      </c>
      <c r="H41" s="175"/>
      <c r="I41" s="175"/>
      <c r="J41" s="175"/>
      <c r="K41" s="175"/>
      <c r="L41" s="175"/>
      <c r="M41" s="22"/>
      <c r="N41" s="22"/>
      <c r="O41" s="22"/>
      <c r="P41" s="22"/>
      <c r="Q41" s="22"/>
      <c r="R41" s="22"/>
      <c r="S41" s="22"/>
      <c r="T41" s="22"/>
      <c r="U41" s="22"/>
      <c r="V41" s="22"/>
      <c r="W41" s="22"/>
      <c r="X41" s="22"/>
      <c r="Y41" s="22"/>
      <c r="Z41" s="22"/>
      <c r="AA41" s="22"/>
      <c r="AB41" s="22"/>
      <c r="AC41" s="22"/>
      <c r="AD41" s="22"/>
      <c r="AE41" s="22"/>
      <c r="AF41" s="22"/>
      <c r="AG41" s="22"/>
      <c r="AH41" s="22"/>
      <c r="AI41" s="22"/>
      <c r="AJ41" s="133"/>
      <c r="AK41" s="133"/>
      <c r="AL41" s="133"/>
      <c r="AM41" s="22"/>
      <c r="AN41" s="133"/>
      <c r="AO41" s="22"/>
      <c r="AP41" s="22"/>
      <c r="AQ41" s="22"/>
      <c r="AR41" s="22"/>
      <c r="AS41" s="22"/>
      <c r="AT41" s="22"/>
      <c r="AU41" s="22"/>
      <c r="AV41" s="22"/>
    </row>
    <row r="42" spans="1:48" ht="12.95" customHeight="1">
      <c r="A42" s="89"/>
      <c r="B42" s="89"/>
      <c r="C42" s="89"/>
      <c r="D42" s="89"/>
      <c r="E42" s="25" t="s">
        <v>534</v>
      </c>
      <c r="F42" s="89">
        <f>(3*2*28)-(IF(E9="vCSA8.0", 2, 1))</f>
        <v>166</v>
      </c>
      <c r="G42" s="89">
        <f>3*(512-(IF(E9="vCSA8.0", 12, 8)))</f>
        <v>1500</v>
      </c>
      <c r="H42" s="175"/>
      <c r="I42" s="175"/>
      <c r="J42" s="175"/>
      <c r="K42" s="175"/>
      <c r="L42" s="175"/>
      <c r="M42" s="22"/>
      <c r="N42" s="22"/>
      <c r="O42" s="22"/>
      <c r="P42" s="22"/>
      <c r="Q42" s="22"/>
      <c r="R42" s="22"/>
      <c r="S42" s="22"/>
      <c r="T42" s="22"/>
      <c r="U42" s="22"/>
      <c r="V42" s="22"/>
      <c r="W42" s="22"/>
      <c r="X42" s="22"/>
      <c r="Y42" s="22"/>
      <c r="Z42" s="22"/>
      <c r="AA42" s="22"/>
      <c r="AB42" s="22"/>
      <c r="AC42" s="22"/>
      <c r="AD42" s="22"/>
      <c r="AE42" s="22"/>
      <c r="AF42" s="22"/>
      <c r="AG42" s="22"/>
      <c r="AH42" s="22"/>
      <c r="AI42" s="22"/>
      <c r="AJ42" s="133"/>
      <c r="AK42" s="133"/>
      <c r="AL42" s="133"/>
      <c r="AM42" s="22"/>
      <c r="AN42" s="133"/>
      <c r="AO42" s="22"/>
      <c r="AP42" s="22"/>
      <c r="AQ42" s="22"/>
      <c r="AR42" s="22"/>
      <c r="AS42" s="22"/>
      <c r="AT42" s="22"/>
      <c r="AU42" s="22"/>
      <c r="AV42" s="22"/>
    </row>
    <row r="43" spans="1:48" ht="12.95" customHeight="1">
      <c r="A43" s="89"/>
      <c r="B43" s="89"/>
      <c r="C43" s="89"/>
      <c r="D43" s="89"/>
      <c r="E43" s="25" t="s">
        <v>535</v>
      </c>
      <c r="F43" s="89">
        <f>(3*2*28)-(IF(E9="vCSA8.0", 2, 1))</f>
        <v>166</v>
      </c>
      <c r="G43" s="89">
        <f>3*(512-(IF(E9="vCSA8.0", 12, 8)))</f>
        <v>1500</v>
      </c>
      <c r="H43" s="175"/>
      <c r="I43" s="175"/>
      <c r="J43" s="175"/>
      <c r="K43" s="175"/>
      <c r="L43" s="175"/>
      <c r="M43" s="22"/>
      <c r="N43" s="22"/>
      <c r="O43" s="22"/>
      <c r="P43" s="22"/>
      <c r="Q43" s="22"/>
      <c r="R43" s="22"/>
      <c r="S43" s="22"/>
      <c r="T43" s="22"/>
      <c r="U43" s="22"/>
      <c r="V43" s="22"/>
      <c r="W43" s="22"/>
      <c r="X43" s="22"/>
      <c r="Y43" s="22"/>
      <c r="Z43" s="22"/>
      <c r="AA43" s="22"/>
      <c r="AB43" s="22"/>
      <c r="AC43" s="22"/>
      <c r="AD43" s="22"/>
      <c r="AE43" s="22"/>
      <c r="AF43" s="22"/>
      <c r="AG43" s="22"/>
      <c r="AH43" s="22"/>
      <c r="AI43" s="22"/>
      <c r="AJ43" s="133"/>
      <c r="AK43" s="133"/>
      <c r="AL43" s="133"/>
      <c r="AM43" s="22"/>
      <c r="AN43" s="133"/>
      <c r="AO43" s="22"/>
      <c r="AP43" s="22"/>
      <c r="AQ43" s="22"/>
      <c r="AR43" s="22"/>
      <c r="AS43" s="22"/>
      <c r="AT43" s="22"/>
      <c r="AU43" s="22"/>
      <c r="AV43" s="22"/>
    </row>
    <row r="44" spans="1:48" ht="12.95" customHeight="1">
      <c r="A44" s="22"/>
      <c r="B44" s="22"/>
      <c r="C44" s="22"/>
      <c r="D44" s="22"/>
      <c r="E44" s="25" t="s">
        <v>536</v>
      </c>
      <c r="F44" s="89">
        <f>(3*1*32)-(IF(E9="vCSA8.0", 2, 1))</f>
        <v>94</v>
      </c>
      <c r="G44" s="89">
        <f>3*(512-(IF(E9="vCSA8.0", 12, 8)))</f>
        <v>1500</v>
      </c>
      <c r="H44" s="175"/>
      <c r="I44" s="175"/>
      <c r="J44" s="175"/>
      <c r="K44" s="175"/>
      <c r="L44" s="175"/>
      <c r="M44" s="22"/>
      <c r="N44" s="22"/>
      <c r="O44" s="22"/>
      <c r="P44" s="22"/>
      <c r="Q44" s="22"/>
      <c r="R44" s="22"/>
      <c r="S44" s="22"/>
      <c r="T44" s="22"/>
      <c r="U44" s="22"/>
      <c r="V44" s="22"/>
      <c r="W44" s="22"/>
      <c r="X44" s="22"/>
      <c r="Y44" s="22"/>
      <c r="Z44" s="22"/>
      <c r="AA44" s="22"/>
      <c r="AB44" s="22"/>
      <c r="AC44" s="22"/>
      <c r="AD44" s="22"/>
      <c r="AE44" s="22"/>
      <c r="AF44" s="22"/>
      <c r="AG44" s="22"/>
      <c r="AH44" s="22"/>
      <c r="AI44" s="22"/>
      <c r="AJ44" s="133"/>
      <c r="AK44" s="133"/>
      <c r="AL44" s="133"/>
      <c r="AM44" s="22"/>
      <c r="AN44" s="133"/>
      <c r="AO44" s="22"/>
      <c r="AP44" s="22"/>
      <c r="AQ44" s="22"/>
      <c r="AR44" s="22"/>
      <c r="AS44" s="22"/>
      <c r="AT44" s="22"/>
      <c r="AU44" s="22"/>
      <c r="AV44" s="22"/>
    </row>
    <row r="45" spans="1:48" ht="12.95">
      <c r="A45" s="22"/>
      <c r="B45" s="22"/>
      <c r="C45" s="22"/>
      <c r="D45" s="22"/>
      <c r="E45" s="25" t="s">
        <v>537</v>
      </c>
      <c r="F45" s="89">
        <f>(3*1*32)-(IF(E9="vCSA8.0", 2, 1))</f>
        <v>94</v>
      </c>
      <c r="G45" s="89">
        <f>3*(512-(IF(E9="vCSA8.0", 12, 8)))</f>
        <v>1500</v>
      </c>
      <c r="H45" s="175"/>
      <c r="I45" s="175"/>
      <c r="J45" s="175"/>
      <c r="K45" s="175"/>
      <c r="L45" s="175"/>
      <c r="M45" s="22"/>
    </row>
    <row r="46" spans="1:48" ht="12.95">
      <c r="A46" s="22"/>
      <c r="B46" s="22"/>
      <c r="C46" s="22"/>
      <c r="D46" s="22"/>
      <c r="E46" s="25" t="s">
        <v>538</v>
      </c>
      <c r="F46" s="89">
        <f>(3*1*32)-(IF(E9="vCSA8.0", 2, 1))</f>
        <v>94</v>
      </c>
      <c r="G46" s="89">
        <f>3*(512-(IF(E9="vCSA8.0", 12, 8)))</f>
        <v>1500</v>
      </c>
      <c r="H46" s="175"/>
      <c r="I46" s="175"/>
      <c r="J46" s="175"/>
      <c r="K46" s="175"/>
      <c r="L46" s="175"/>
      <c r="M46" s="22"/>
    </row>
    <row r="47" spans="1:48">
      <c r="A47" s="22"/>
      <c r="B47" s="22"/>
      <c r="C47" s="22"/>
      <c r="D47" s="22"/>
      <c r="H47" s="175"/>
      <c r="I47" s="175"/>
      <c r="J47" s="175"/>
      <c r="K47" s="175"/>
      <c r="L47" s="175"/>
      <c r="M47" s="22"/>
    </row>
    <row r="48" spans="1:48">
      <c r="A48" s="22"/>
      <c r="B48" s="22"/>
      <c r="C48" s="22"/>
      <c r="D48" s="22"/>
      <c r="E48" s="22"/>
      <c r="F48" s="22"/>
      <c r="G48" s="22"/>
      <c r="H48" s="175"/>
      <c r="I48" s="175"/>
      <c r="J48" s="175"/>
      <c r="K48" s="175"/>
      <c r="L48" s="175"/>
      <c r="M48" s="22"/>
    </row>
    <row r="50" spans="1:48" ht="12.95">
      <c r="A50" s="16" t="s">
        <v>485</v>
      </c>
      <c r="AV50" s="14"/>
    </row>
    <row r="51" spans="1:48">
      <c r="A51" s="6" t="s">
        <v>486</v>
      </c>
      <c r="C51" s="6" t="s">
        <v>442</v>
      </c>
      <c r="D51" s="6" t="s">
        <v>435</v>
      </c>
      <c r="E51" s="6" t="s">
        <v>44</v>
      </c>
      <c r="F51" s="14">
        <v>4</v>
      </c>
      <c r="G51" s="14">
        <v>16</v>
      </c>
      <c r="H51" s="14">
        <v>0</v>
      </c>
      <c r="I51" s="14">
        <v>71</v>
      </c>
      <c r="J51" s="14">
        <f t="shared" ref="J51:J76" si="1">IF(G51&gt;=10,16, 4)</f>
        <v>16</v>
      </c>
      <c r="K51" s="14"/>
      <c r="L51" s="14"/>
      <c r="M51" s="14"/>
      <c r="N51" s="14"/>
      <c r="O51" s="14"/>
      <c r="P51" s="14"/>
      <c r="Q51" s="14"/>
      <c r="R51" s="14"/>
      <c r="S51" s="14"/>
      <c r="T51" s="14"/>
      <c r="U51" s="14"/>
      <c r="V51" s="14"/>
      <c r="W51" s="14"/>
      <c r="X51" s="14"/>
      <c r="AT51" s="14" t="s">
        <v>437</v>
      </c>
      <c r="AU51" s="14"/>
      <c r="AV51" s="14"/>
    </row>
    <row r="52" spans="1:48">
      <c r="A52" s="6" t="s">
        <v>487</v>
      </c>
      <c r="B52" s="14"/>
      <c r="C52" s="6" t="s">
        <v>442</v>
      </c>
      <c r="D52" s="21" t="s">
        <v>488</v>
      </c>
      <c r="E52" s="6" t="s">
        <v>112</v>
      </c>
      <c r="F52" s="14">
        <v>4</v>
      </c>
      <c r="G52" s="14">
        <v>4</v>
      </c>
      <c r="H52" s="14">
        <v>0</v>
      </c>
      <c r="I52" s="14">
        <v>100</v>
      </c>
      <c r="J52" s="14">
        <v>0</v>
      </c>
      <c r="K52" s="14" t="s">
        <v>528</v>
      </c>
      <c r="L52" s="14"/>
      <c r="M52" s="14"/>
      <c r="N52" s="14"/>
      <c r="O52" s="14"/>
      <c r="P52" s="14"/>
      <c r="Q52" s="14"/>
      <c r="R52" s="14"/>
      <c r="S52" s="14"/>
      <c r="T52" s="14"/>
      <c r="U52" s="14"/>
      <c r="V52" s="14"/>
      <c r="W52" s="14"/>
      <c r="X52" s="14"/>
      <c r="Y52" s="14"/>
      <c r="Z52" s="14"/>
      <c r="AA52" s="14"/>
      <c r="AB52" s="14"/>
      <c r="AC52" s="14"/>
      <c r="AD52" s="14"/>
      <c r="AE52" s="14"/>
      <c r="AF52" s="14"/>
      <c r="AG52" s="14"/>
      <c r="AH52" s="14"/>
      <c r="AI52" s="14"/>
      <c r="AM52" s="14"/>
      <c r="AO52" s="14"/>
      <c r="AP52" s="14"/>
      <c r="AQ52" s="14"/>
      <c r="AR52" s="14"/>
      <c r="AS52" s="14"/>
      <c r="AT52" s="14" t="s">
        <v>437</v>
      </c>
      <c r="AU52" s="14"/>
      <c r="AV52" s="14"/>
    </row>
    <row r="53" spans="1:48">
      <c r="A53" s="6" t="s">
        <v>489</v>
      </c>
      <c r="B53" s="14"/>
      <c r="C53" s="6" t="s">
        <v>442</v>
      </c>
      <c r="D53" s="21" t="s">
        <v>488</v>
      </c>
      <c r="E53" s="6" t="s">
        <v>120</v>
      </c>
      <c r="F53" s="14">
        <v>4</v>
      </c>
      <c r="G53" s="14">
        <v>16</v>
      </c>
      <c r="H53" s="14">
        <v>0</v>
      </c>
      <c r="I53" s="14">
        <v>100</v>
      </c>
      <c r="J53" s="14">
        <v>0</v>
      </c>
      <c r="K53" s="14" t="s">
        <v>529</v>
      </c>
      <c r="L53" s="14"/>
      <c r="M53" s="14"/>
      <c r="N53" s="14"/>
      <c r="O53" s="14"/>
      <c r="P53" s="14"/>
      <c r="Q53" s="14"/>
      <c r="R53" s="14"/>
      <c r="S53" s="14"/>
      <c r="T53" s="14"/>
      <c r="U53" s="14"/>
      <c r="V53" s="14"/>
      <c r="W53" s="14"/>
      <c r="X53" s="14"/>
      <c r="Y53" s="14"/>
      <c r="Z53" s="14"/>
      <c r="AA53" s="14"/>
      <c r="AB53" s="14"/>
      <c r="AC53" s="14"/>
      <c r="AD53" s="14"/>
      <c r="AE53" s="14"/>
      <c r="AF53" s="14"/>
      <c r="AG53" s="14"/>
      <c r="AH53" s="14"/>
      <c r="AI53" s="14"/>
      <c r="AM53" s="14"/>
      <c r="AO53" s="14"/>
      <c r="AP53" s="14"/>
      <c r="AQ53" s="14"/>
      <c r="AR53" s="14"/>
      <c r="AS53" s="14"/>
      <c r="AT53" s="14" t="s">
        <v>437</v>
      </c>
      <c r="AU53" s="14"/>
      <c r="AV53" s="14"/>
    </row>
    <row r="54" spans="1:48">
      <c r="A54" s="6" t="s">
        <v>490</v>
      </c>
      <c r="B54" s="14"/>
      <c r="C54" s="6" t="s">
        <v>442</v>
      </c>
      <c r="D54" s="21" t="s">
        <v>488</v>
      </c>
      <c r="E54" s="6" t="s">
        <v>116</v>
      </c>
      <c r="F54" s="14">
        <v>4</v>
      </c>
      <c r="G54" s="14">
        <v>14</v>
      </c>
      <c r="H54" s="14">
        <v>0</v>
      </c>
      <c r="I54" s="14">
        <v>120</v>
      </c>
      <c r="J54" s="14">
        <v>0</v>
      </c>
      <c r="K54" s="14" t="s">
        <v>529</v>
      </c>
      <c r="L54" s="14"/>
      <c r="M54" s="14"/>
      <c r="N54" s="14"/>
      <c r="O54" s="14"/>
      <c r="P54" s="14"/>
      <c r="Q54" s="14"/>
      <c r="R54" s="14"/>
      <c r="S54" s="14"/>
      <c r="T54" s="14"/>
      <c r="U54" s="14"/>
      <c r="V54" s="14"/>
      <c r="W54" s="14"/>
      <c r="X54" s="14"/>
      <c r="Y54" s="14"/>
      <c r="Z54" s="14"/>
      <c r="AA54" s="14"/>
      <c r="AB54" s="14"/>
      <c r="AC54" s="14"/>
      <c r="AD54" s="14"/>
      <c r="AE54" s="14"/>
      <c r="AF54" s="14"/>
      <c r="AG54" s="14"/>
      <c r="AH54" s="14"/>
      <c r="AI54" s="14"/>
      <c r="AM54" s="14"/>
      <c r="AO54" s="14"/>
      <c r="AP54" s="14"/>
      <c r="AQ54" s="14"/>
      <c r="AR54" s="14"/>
      <c r="AS54" s="14"/>
      <c r="AT54" s="14" t="s">
        <v>437</v>
      </c>
      <c r="AU54" s="14"/>
      <c r="AV54" s="14"/>
    </row>
    <row r="55" spans="1:48">
      <c r="A55" s="6" t="s">
        <v>539</v>
      </c>
      <c r="C55" s="6" t="s">
        <v>442</v>
      </c>
      <c r="D55" s="21" t="s">
        <v>488</v>
      </c>
      <c r="E55" s="6" t="s">
        <v>112</v>
      </c>
      <c r="F55" s="14">
        <v>4</v>
      </c>
      <c r="G55" s="14">
        <v>4</v>
      </c>
      <c r="H55" s="14">
        <v>0</v>
      </c>
      <c r="I55" s="14">
        <v>100</v>
      </c>
      <c r="J55" s="14">
        <v>0</v>
      </c>
      <c r="K55" s="14"/>
      <c r="L55" s="14"/>
      <c r="M55" s="14"/>
      <c r="N55" s="14"/>
      <c r="O55" s="14"/>
      <c r="P55" s="14"/>
      <c r="Q55" s="14"/>
      <c r="R55" s="14"/>
      <c r="S55" s="14"/>
      <c r="T55" s="14"/>
      <c r="U55" s="14"/>
      <c r="V55" s="14"/>
      <c r="W55" s="14"/>
      <c r="X55" s="14"/>
      <c r="AT55" s="14" t="s">
        <v>437</v>
      </c>
      <c r="AU55" s="14"/>
      <c r="AV55" s="14"/>
    </row>
    <row r="56" spans="1:48">
      <c r="A56" s="6" t="s">
        <v>491</v>
      </c>
      <c r="C56" s="6" t="s">
        <v>442</v>
      </c>
      <c r="D56" s="21" t="s">
        <v>488</v>
      </c>
      <c r="E56" s="6" t="s">
        <v>120</v>
      </c>
      <c r="F56" s="14">
        <v>4</v>
      </c>
      <c r="G56" s="14">
        <v>16</v>
      </c>
      <c r="H56" s="14">
        <v>0</v>
      </c>
      <c r="I56" s="14">
        <v>100</v>
      </c>
      <c r="J56" s="14">
        <v>0</v>
      </c>
      <c r="K56" s="14"/>
      <c r="L56" s="14"/>
      <c r="M56" s="14"/>
      <c r="N56" s="14"/>
      <c r="O56" s="14"/>
      <c r="P56" s="14"/>
      <c r="Q56" s="14"/>
      <c r="R56" s="14"/>
      <c r="S56" s="14"/>
      <c r="T56" s="14"/>
      <c r="U56" s="14"/>
      <c r="V56" s="14"/>
      <c r="W56" s="14"/>
      <c r="X56" s="14"/>
      <c r="AT56" s="14" t="s">
        <v>437</v>
      </c>
      <c r="AU56" s="14"/>
      <c r="AV56" s="14"/>
    </row>
    <row r="57" spans="1:48">
      <c r="A57" s="6" t="s">
        <v>540</v>
      </c>
      <c r="C57" s="6" t="s">
        <v>442</v>
      </c>
      <c r="D57" s="21" t="s">
        <v>488</v>
      </c>
      <c r="E57" s="6" t="s">
        <v>120</v>
      </c>
      <c r="F57" s="14">
        <v>4</v>
      </c>
      <c r="G57" s="14">
        <v>16</v>
      </c>
      <c r="H57" s="14">
        <v>0</v>
      </c>
      <c r="I57" s="14">
        <v>100</v>
      </c>
      <c r="J57" s="14">
        <v>0</v>
      </c>
      <c r="K57" s="14"/>
      <c r="L57" s="14"/>
      <c r="M57" s="14"/>
      <c r="N57" s="14"/>
      <c r="O57" s="14"/>
      <c r="P57" s="14"/>
      <c r="Q57" s="14"/>
      <c r="R57" s="14"/>
      <c r="S57" s="14"/>
      <c r="T57" s="14"/>
      <c r="U57" s="14"/>
      <c r="V57" s="14"/>
      <c r="W57" s="14"/>
      <c r="X57" s="14"/>
      <c r="AT57" s="14" t="s">
        <v>437</v>
      </c>
      <c r="AU57" s="14"/>
      <c r="AV57" s="14"/>
    </row>
    <row r="58" spans="1:48">
      <c r="A58" s="6" t="s">
        <v>541</v>
      </c>
      <c r="C58" s="6" t="s">
        <v>442</v>
      </c>
      <c r="D58" s="21" t="s">
        <v>488</v>
      </c>
      <c r="E58" s="6" t="s">
        <v>116</v>
      </c>
      <c r="F58" s="14">
        <v>4</v>
      </c>
      <c r="G58" s="14">
        <v>14</v>
      </c>
      <c r="H58" s="14">
        <v>0</v>
      </c>
      <c r="I58" s="14">
        <v>120</v>
      </c>
      <c r="J58" s="14">
        <v>0</v>
      </c>
      <c r="K58" s="14"/>
      <c r="L58" s="14"/>
      <c r="M58" s="14"/>
      <c r="N58" s="14"/>
      <c r="O58" s="14"/>
      <c r="P58" s="14"/>
      <c r="Q58" s="14"/>
      <c r="R58" s="14"/>
      <c r="S58" s="14"/>
      <c r="T58" s="14"/>
      <c r="U58" s="14"/>
      <c r="V58" s="14"/>
      <c r="W58" s="14"/>
      <c r="X58" s="14"/>
      <c r="AT58" s="14" t="s">
        <v>437</v>
      </c>
      <c r="AU58" s="14"/>
      <c r="AV58" s="14"/>
    </row>
    <row r="59" spans="1:48">
      <c r="A59" s="6" t="s">
        <v>492</v>
      </c>
      <c r="C59" s="6" t="s">
        <v>442</v>
      </c>
      <c r="D59" s="6" t="s">
        <v>435</v>
      </c>
      <c r="E59" s="6" t="s">
        <v>55</v>
      </c>
      <c r="F59" s="14">
        <v>3</v>
      </c>
      <c r="G59" s="14">
        <v>8</v>
      </c>
      <c r="H59" s="14">
        <v>0</v>
      </c>
      <c r="I59" s="14">
        <v>121</v>
      </c>
      <c r="J59" s="14">
        <f t="shared" si="1"/>
        <v>4</v>
      </c>
      <c r="K59" s="14"/>
      <c r="L59" s="14"/>
      <c r="M59" s="14"/>
      <c r="N59" s="14"/>
      <c r="O59" s="14"/>
      <c r="P59" s="14"/>
      <c r="Q59" s="14"/>
      <c r="R59" s="14"/>
      <c r="S59" s="14"/>
      <c r="T59" s="14"/>
      <c r="U59" s="14"/>
      <c r="V59" s="14"/>
      <c r="W59" s="14"/>
      <c r="X59" s="14"/>
      <c r="AT59" s="14" t="s">
        <v>437</v>
      </c>
      <c r="AU59" s="14"/>
      <c r="AV59" s="14"/>
    </row>
    <row r="60" spans="1:48">
      <c r="A60" s="6" t="s">
        <v>493</v>
      </c>
      <c r="C60" s="6" t="s">
        <v>442</v>
      </c>
      <c r="D60" s="6" t="s">
        <v>435</v>
      </c>
      <c r="E60" s="6" t="s">
        <v>55</v>
      </c>
      <c r="F60" s="14">
        <v>3</v>
      </c>
      <c r="G60" s="14">
        <v>8</v>
      </c>
      <c r="H60" s="14">
        <v>0</v>
      </c>
      <c r="I60" s="14">
        <v>121</v>
      </c>
      <c r="J60" s="14">
        <f t="shared" si="1"/>
        <v>4</v>
      </c>
      <c r="K60" s="14"/>
      <c r="L60" s="14"/>
      <c r="M60" s="14"/>
      <c r="N60" s="14"/>
      <c r="O60" s="14"/>
      <c r="P60" s="14"/>
      <c r="Q60" s="14"/>
      <c r="R60" s="14"/>
      <c r="S60" s="14"/>
      <c r="T60" s="14"/>
      <c r="U60" s="14"/>
      <c r="V60" s="14"/>
      <c r="W60" s="14"/>
      <c r="X60" s="14"/>
      <c r="AT60" s="14" t="s">
        <v>437</v>
      </c>
      <c r="AU60" s="14"/>
      <c r="AV60" s="14"/>
    </row>
    <row r="61" spans="1:48">
      <c r="A61" s="6" t="s">
        <v>494</v>
      </c>
      <c r="C61" s="6" t="s">
        <v>442</v>
      </c>
      <c r="D61" s="6" t="s">
        <v>435</v>
      </c>
      <c r="E61" s="6" t="s">
        <v>71</v>
      </c>
      <c r="F61" s="14">
        <v>2</v>
      </c>
      <c r="G61" s="14">
        <v>4</v>
      </c>
      <c r="H61" s="14">
        <v>0</v>
      </c>
      <c r="I61" s="14">
        <v>41</v>
      </c>
      <c r="J61" s="14">
        <f t="shared" si="1"/>
        <v>4</v>
      </c>
      <c r="K61" s="14"/>
      <c r="L61" s="14"/>
      <c r="M61" s="14"/>
      <c r="N61" s="14"/>
      <c r="O61" s="14"/>
      <c r="P61" s="14"/>
      <c r="Q61" s="14"/>
      <c r="R61" s="14"/>
      <c r="S61" s="14"/>
      <c r="T61" s="14"/>
      <c r="U61" s="14"/>
      <c r="V61" s="14"/>
      <c r="W61" s="14"/>
      <c r="X61" s="14"/>
      <c r="AT61" s="14" t="s">
        <v>437</v>
      </c>
      <c r="AU61" s="14"/>
      <c r="AV61" s="14"/>
    </row>
    <row r="62" spans="1:48">
      <c r="A62" s="6" t="s">
        <v>495</v>
      </c>
      <c r="C62" s="6" t="s">
        <v>442</v>
      </c>
      <c r="D62" s="6" t="s">
        <v>435</v>
      </c>
      <c r="E62" s="6" t="s">
        <v>63</v>
      </c>
      <c r="F62" s="14">
        <v>2</v>
      </c>
      <c r="G62" s="14">
        <v>4</v>
      </c>
      <c r="H62" s="14">
        <v>0</v>
      </c>
      <c r="I62" s="14">
        <v>31</v>
      </c>
      <c r="J62" s="14">
        <f t="shared" si="1"/>
        <v>4</v>
      </c>
      <c r="K62" s="14"/>
      <c r="L62" s="14"/>
      <c r="M62" s="14"/>
      <c r="N62" s="14"/>
      <c r="O62" s="14"/>
      <c r="P62" s="14"/>
      <c r="Q62" s="14"/>
      <c r="R62" s="14"/>
      <c r="S62" s="14"/>
      <c r="T62" s="14"/>
      <c r="U62" s="14"/>
      <c r="V62" s="14"/>
      <c r="W62" s="14"/>
      <c r="X62" s="14"/>
      <c r="AT62" s="14" t="s">
        <v>437</v>
      </c>
      <c r="AU62" s="14"/>
      <c r="AV62" s="14"/>
    </row>
    <row r="63" spans="1:48">
      <c r="A63" s="6" t="s">
        <v>496</v>
      </c>
      <c r="C63" s="6" t="s">
        <v>442</v>
      </c>
      <c r="D63" s="6" t="s">
        <v>435</v>
      </c>
      <c r="E63" s="6" t="s">
        <v>67</v>
      </c>
      <c r="F63" s="14">
        <v>4</v>
      </c>
      <c r="G63" s="14">
        <v>4</v>
      </c>
      <c r="H63" s="14">
        <v>0</v>
      </c>
      <c r="I63" s="14">
        <v>36</v>
      </c>
      <c r="J63" s="14">
        <f t="shared" si="1"/>
        <v>4</v>
      </c>
      <c r="K63" s="14"/>
      <c r="L63" s="14"/>
      <c r="M63" s="14"/>
      <c r="N63" s="14"/>
      <c r="O63" s="14"/>
      <c r="P63" s="14"/>
      <c r="Q63" s="14"/>
      <c r="R63" s="14"/>
      <c r="S63" s="14"/>
      <c r="T63" s="14"/>
      <c r="U63" s="14"/>
      <c r="V63" s="14"/>
      <c r="W63" s="14"/>
      <c r="X63" s="14"/>
      <c r="AT63" s="14" t="s">
        <v>437</v>
      </c>
      <c r="AU63" s="14"/>
      <c r="AV63" s="14"/>
    </row>
    <row r="64" spans="1:48" ht="14.45">
      <c r="A64" s="6" t="s">
        <v>497</v>
      </c>
      <c r="C64" s="6" t="s">
        <v>442</v>
      </c>
      <c r="D64" s="6" t="s">
        <v>435</v>
      </c>
      <c r="E64" s="6" t="s">
        <v>276</v>
      </c>
      <c r="F64" s="14">
        <v>5</v>
      </c>
      <c r="G64" s="14">
        <v>6</v>
      </c>
      <c r="H64" s="14">
        <v>0</v>
      </c>
      <c r="I64" s="14">
        <v>111</v>
      </c>
      <c r="J64" s="14">
        <f t="shared" si="1"/>
        <v>4</v>
      </c>
      <c r="K64" s="2"/>
      <c r="L64" s="14"/>
      <c r="M64" s="14"/>
      <c r="N64" s="2"/>
      <c r="O64"/>
      <c r="P64" s="14"/>
      <c r="Q64" s="14"/>
      <c r="R64" s="14"/>
      <c r="S64" s="14"/>
      <c r="T64" s="14"/>
      <c r="U64" s="14"/>
      <c r="V64" s="14"/>
      <c r="W64" s="14"/>
      <c r="X64" s="14"/>
      <c r="AT64" s="14" t="s">
        <v>437</v>
      </c>
      <c r="AU64" s="14"/>
      <c r="AV64" s="14" t="s">
        <v>437</v>
      </c>
    </row>
    <row r="65" spans="1:48" ht="14.45">
      <c r="A65" s="6" t="s">
        <v>542</v>
      </c>
      <c r="D65" s="6" t="s">
        <v>435</v>
      </c>
      <c r="E65" s="6" t="s">
        <v>90</v>
      </c>
      <c r="F65" s="14">
        <v>2</v>
      </c>
      <c r="G65" s="14">
        <v>2</v>
      </c>
      <c r="H65" s="14">
        <v>0</v>
      </c>
      <c r="I65" s="14">
        <v>16</v>
      </c>
      <c r="J65" s="14">
        <f t="shared" si="1"/>
        <v>4</v>
      </c>
      <c r="K65" s="2"/>
      <c r="L65" s="14"/>
      <c r="M65" s="14"/>
      <c r="N65" s="2"/>
      <c r="O65"/>
      <c r="P65" s="14"/>
      <c r="Q65" s="14"/>
      <c r="R65" s="14"/>
      <c r="S65" s="14"/>
      <c r="T65" s="14"/>
      <c r="U65" s="14"/>
      <c r="V65" s="14"/>
      <c r="W65" s="14"/>
      <c r="X65" s="14"/>
      <c r="AT65" s="14" t="s">
        <v>437</v>
      </c>
      <c r="AU65" s="14"/>
      <c r="AV65" s="14"/>
    </row>
    <row r="66" spans="1:48" ht="14.45">
      <c r="A66" s="6" t="s">
        <v>543</v>
      </c>
      <c r="D66" s="6" t="s">
        <v>435</v>
      </c>
      <c r="E66" s="6" t="s">
        <v>90</v>
      </c>
      <c r="F66" s="14">
        <v>2</v>
      </c>
      <c r="G66" s="14">
        <v>2</v>
      </c>
      <c r="H66" s="14">
        <v>0</v>
      </c>
      <c r="I66" s="14">
        <v>16</v>
      </c>
      <c r="J66" s="14">
        <f t="shared" si="1"/>
        <v>4</v>
      </c>
      <c r="K66" s="2"/>
      <c r="L66" s="14"/>
      <c r="M66" s="14"/>
      <c r="N66" s="2"/>
      <c r="O66"/>
      <c r="P66" s="14"/>
      <c r="Q66" s="14"/>
      <c r="R66" s="14"/>
      <c r="S66" s="14"/>
      <c r="T66" s="14"/>
      <c r="U66" s="14"/>
      <c r="V66" s="14"/>
      <c r="W66" s="14"/>
      <c r="X66" s="14"/>
      <c r="AT66" s="14" t="s">
        <v>437</v>
      </c>
      <c r="AU66" s="14"/>
      <c r="AV66" s="14"/>
    </row>
    <row r="67" spans="1:48" ht="14.45">
      <c r="A67" s="6" t="s">
        <v>544</v>
      </c>
      <c r="C67" s="6" t="s">
        <v>442</v>
      </c>
      <c r="D67" s="6" t="s">
        <v>435</v>
      </c>
      <c r="E67" s="6" t="s">
        <v>94</v>
      </c>
      <c r="F67" s="14">
        <v>6</v>
      </c>
      <c r="G67" s="14">
        <v>5</v>
      </c>
      <c r="H67" s="14">
        <v>0</v>
      </c>
      <c r="I67" s="14">
        <v>41</v>
      </c>
      <c r="J67" s="14">
        <f t="shared" si="1"/>
        <v>4</v>
      </c>
      <c r="K67" s="2"/>
      <c r="L67" s="14"/>
      <c r="M67" s="14"/>
      <c r="N67" s="2"/>
      <c r="O67"/>
      <c r="P67" s="14"/>
      <c r="Q67" s="14"/>
      <c r="R67" s="14"/>
      <c r="S67" s="14"/>
      <c r="T67" s="14"/>
      <c r="U67" s="14"/>
      <c r="V67" s="14"/>
      <c r="W67" s="14"/>
      <c r="X67" s="14"/>
      <c r="AT67" s="14" t="s">
        <v>437</v>
      </c>
      <c r="AU67" s="14"/>
      <c r="AV67" s="14"/>
    </row>
    <row r="68" spans="1:48" ht="13.5" customHeight="1">
      <c r="A68" s="6" t="s">
        <v>545</v>
      </c>
      <c r="D68" s="6" t="s">
        <v>435</v>
      </c>
      <c r="E68" s="6" t="s">
        <v>98</v>
      </c>
      <c r="F68" s="14">
        <v>2</v>
      </c>
      <c r="G68" s="14">
        <v>2</v>
      </c>
      <c r="H68" s="14">
        <v>0</v>
      </c>
      <c r="I68" s="14">
        <v>31</v>
      </c>
      <c r="J68" s="14">
        <f t="shared" si="1"/>
        <v>4</v>
      </c>
      <c r="K68" s="2"/>
      <c r="L68" s="14"/>
      <c r="M68" s="14"/>
      <c r="N68" s="2"/>
      <c r="O68"/>
      <c r="P68" s="14"/>
      <c r="Q68" s="14"/>
      <c r="R68" s="14"/>
      <c r="S68" s="14"/>
      <c r="T68" s="14"/>
      <c r="U68" s="14"/>
      <c r="V68" s="14"/>
      <c r="W68" s="14"/>
      <c r="X68" s="14"/>
      <c r="AT68" s="14" t="s">
        <v>437</v>
      </c>
      <c r="AU68" s="14"/>
      <c r="AV68" s="14"/>
    </row>
    <row r="69" spans="1:48" ht="13.5" customHeight="1">
      <c r="A69" s="6" t="s">
        <v>498</v>
      </c>
      <c r="D69" s="6" t="s">
        <v>499</v>
      </c>
      <c r="E69" s="6" t="s">
        <v>500</v>
      </c>
      <c r="F69" s="14">
        <v>2</v>
      </c>
      <c r="G69" s="14">
        <v>8</v>
      </c>
      <c r="H69" s="14">
        <v>0</v>
      </c>
      <c r="I69" s="14">
        <v>150</v>
      </c>
      <c r="J69" s="14">
        <f t="shared" si="1"/>
        <v>4</v>
      </c>
      <c r="K69" s="14" t="s">
        <v>206</v>
      </c>
      <c r="L69" s="14"/>
      <c r="M69" s="14"/>
      <c r="N69" s="2"/>
      <c r="O69"/>
      <c r="P69" s="14"/>
      <c r="Q69" s="14"/>
      <c r="R69" s="14"/>
      <c r="S69" s="14"/>
      <c r="T69" s="14"/>
      <c r="U69" s="14"/>
      <c r="V69" s="14">
        <v>3500</v>
      </c>
      <c r="W69" s="14" t="s">
        <v>206</v>
      </c>
      <c r="X69" s="14"/>
      <c r="AT69" s="14"/>
      <c r="AU69" s="14"/>
      <c r="AV69" s="14"/>
    </row>
    <row r="70" spans="1:48" ht="13.5" customHeight="1">
      <c r="A70" s="6" t="s">
        <v>501</v>
      </c>
      <c r="D70" s="6" t="s">
        <v>499</v>
      </c>
      <c r="E70" s="6" t="s">
        <v>502</v>
      </c>
      <c r="F70" s="14">
        <v>4</v>
      </c>
      <c r="G70" s="14">
        <v>4</v>
      </c>
      <c r="H70" s="14">
        <v>0</v>
      </c>
      <c r="I70" s="14">
        <v>21</v>
      </c>
      <c r="J70" s="14">
        <f t="shared" si="1"/>
        <v>4</v>
      </c>
      <c r="K70" s="14" t="s">
        <v>206</v>
      </c>
      <c r="L70" s="14"/>
      <c r="M70" s="14"/>
      <c r="N70" s="2"/>
      <c r="O70"/>
      <c r="P70" s="14"/>
      <c r="Q70" s="14"/>
      <c r="R70" s="14"/>
      <c r="S70" s="14"/>
      <c r="T70" s="14"/>
      <c r="U70" s="14"/>
      <c r="V70" s="14"/>
      <c r="W70" s="14"/>
      <c r="X70" s="14"/>
      <c r="AT70" s="14"/>
      <c r="AU70" s="14"/>
      <c r="AV70" s="14"/>
    </row>
    <row r="71" spans="1:48" ht="13.5" customHeight="1">
      <c r="A71" s="6" t="s">
        <v>503</v>
      </c>
      <c r="D71" s="6" t="s">
        <v>504</v>
      </c>
      <c r="E71" s="6" t="s">
        <v>138</v>
      </c>
      <c r="F71" s="14">
        <v>2</v>
      </c>
      <c r="G71" s="14">
        <v>4</v>
      </c>
      <c r="H71" s="14">
        <v>0</v>
      </c>
      <c r="I71" s="14">
        <v>200</v>
      </c>
      <c r="J71" s="14">
        <f>IF(G71&gt;=10,16, 4)</f>
        <v>4</v>
      </c>
      <c r="K71" s="14" t="s">
        <v>546</v>
      </c>
      <c r="L71" s="86"/>
      <c r="M71" s="86"/>
      <c r="N71" s="86"/>
      <c r="O71" s="86"/>
      <c r="P71" s="86"/>
      <c r="Q71" s="86"/>
      <c r="R71" s="86"/>
      <c r="S71" s="86"/>
      <c r="T71" s="86"/>
      <c r="U71" s="86"/>
      <c r="V71" s="14"/>
      <c r="W71" s="14"/>
      <c r="X71" s="14"/>
      <c r="AT71" s="14" t="s">
        <v>437</v>
      </c>
      <c r="AU71" s="14"/>
      <c r="AV71" s="14"/>
    </row>
    <row r="72" spans="1:48" ht="13.5" customHeight="1">
      <c r="A72" s="154" t="s">
        <v>505</v>
      </c>
      <c r="B72" s="19"/>
      <c r="C72" s="19"/>
      <c r="D72" s="19" t="s">
        <v>504</v>
      </c>
      <c r="E72" s="19" t="s">
        <v>140</v>
      </c>
      <c r="F72" s="17">
        <v>6</v>
      </c>
      <c r="G72" s="17">
        <v>24</v>
      </c>
      <c r="H72" s="17">
        <v>0</v>
      </c>
      <c r="I72" s="17">
        <v>900</v>
      </c>
      <c r="J72" s="17">
        <v>24</v>
      </c>
      <c r="K72" s="17" t="s">
        <v>547</v>
      </c>
      <c r="L72" s="39"/>
      <c r="M72" s="39"/>
      <c r="N72" s="39"/>
      <c r="O72" s="39"/>
      <c r="P72" s="39"/>
      <c r="Q72" s="39"/>
      <c r="R72" s="39"/>
      <c r="S72" s="39"/>
      <c r="T72" s="19"/>
      <c r="U72" s="39"/>
      <c r="V72" s="39">
        <v>4800</v>
      </c>
      <c r="W72" s="17" t="s">
        <v>548</v>
      </c>
      <c r="X72" s="17"/>
      <c r="Y72" s="19"/>
      <c r="Z72" s="19"/>
      <c r="AA72" s="19"/>
      <c r="AB72" s="19"/>
      <c r="AC72" s="19"/>
      <c r="AD72" s="19"/>
      <c r="AE72" s="19"/>
      <c r="AF72" s="19"/>
      <c r="AG72" s="19"/>
      <c r="AH72" s="19"/>
      <c r="AI72" s="19"/>
      <c r="AJ72" s="19"/>
      <c r="AK72" s="17"/>
      <c r="AL72" s="17"/>
      <c r="AM72" s="19"/>
      <c r="AN72" s="17"/>
      <c r="AO72" s="19"/>
      <c r="AP72" s="19"/>
      <c r="AQ72" s="19"/>
      <c r="AR72" s="19"/>
      <c r="AS72" s="19"/>
      <c r="AT72" s="17" t="s">
        <v>437</v>
      </c>
      <c r="AU72" s="17"/>
      <c r="AV72" s="17"/>
    </row>
    <row r="73" spans="1:48" ht="13.5" customHeight="1">
      <c r="A73" s="6" t="s">
        <v>549</v>
      </c>
      <c r="C73" s="6" t="s">
        <v>442</v>
      </c>
      <c r="D73" s="6" t="s">
        <v>435</v>
      </c>
      <c r="E73" s="6" t="s">
        <v>110</v>
      </c>
      <c r="F73" s="14">
        <v>8</v>
      </c>
      <c r="G73" s="14">
        <v>24</v>
      </c>
      <c r="H73" s="14">
        <v>0</v>
      </c>
      <c r="I73" s="14">
        <v>71</v>
      </c>
      <c r="J73" s="14">
        <f t="shared" si="1"/>
        <v>16</v>
      </c>
      <c r="K73" s="14"/>
      <c r="L73" s="14"/>
      <c r="M73" s="14"/>
      <c r="N73" s="2"/>
      <c r="O73"/>
      <c r="P73" s="14"/>
      <c r="Q73" s="14"/>
      <c r="R73" s="14"/>
      <c r="S73" s="14"/>
      <c r="T73" s="14"/>
      <c r="U73" s="14"/>
      <c r="V73" s="14"/>
      <c r="W73" s="14"/>
      <c r="X73" s="14"/>
      <c r="AF73" s="14">
        <v>115</v>
      </c>
      <c r="AG73" s="86" t="s">
        <v>550</v>
      </c>
      <c r="AH73" s="86"/>
      <c r="AI73" s="86"/>
      <c r="AJ73" s="86"/>
      <c r="AK73" s="86"/>
      <c r="AL73" s="86"/>
      <c r="AM73" s="86"/>
      <c r="AN73" s="86"/>
      <c r="AO73" s="86"/>
      <c r="AT73" s="14" t="s">
        <v>437</v>
      </c>
      <c r="AU73" s="14"/>
      <c r="AV73" s="14"/>
    </row>
    <row r="74" spans="1:48" ht="13.5" customHeight="1">
      <c r="A74" s="6" t="s">
        <v>551</v>
      </c>
      <c r="C74" s="6" t="s">
        <v>442</v>
      </c>
      <c r="D74" s="6" t="s">
        <v>435</v>
      </c>
      <c r="E74" s="15" t="s">
        <v>122</v>
      </c>
      <c r="F74" s="14">
        <v>2</v>
      </c>
      <c r="G74" s="14">
        <v>10</v>
      </c>
      <c r="H74" s="14">
        <v>0</v>
      </c>
      <c r="I74" s="14">
        <v>60</v>
      </c>
      <c r="J74" s="14">
        <f t="shared" si="1"/>
        <v>16</v>
      </c>
      <c r="K74" s="14"/>
      <c r="L74" s="14"/>
      <c r="M74" s="14"/>
      <c r="N74" s="2"/>
      <c r="O74"/>
      <c r="P74" s="14"/>
      <c r="Q74" s="14"/>
      <c r="R74" s="14"/>
      <c r="S74" s="14"/>
      <c r="T74" s="14"/>
      <c r="U74" s="14"/>
      <c r="V74" s="14"/>
      <c r="W74" s="14"/>
      <c r="X74" s="14"/>
      <c r="AF74" s="14"/>
      <c r="AG74" s="86"/>
      <c r="AH74" s="86"/>
      <c r="AI74" s="86"/>
      <c r="AJ74" s="86"/>
      <c r="AK74" s="86"/>
      <c r="AL74" s="86"/>
      <c r="AM74" s="86"/>
      <c r="AN74" s="86"/>
      <c r="AO74" s="86"/>
      <c r="AT74" s="14" t="s">
        <v>437</v>
      </c>
      <c r="AU74" s="14"/>
      <c r="AV74" s="14"/>
    </row>
    <row r="75" spans="1:48" ht="13.5" customHeight="1">
      <c r="A75" s="6" t="s">
        <v>480</v>
      </c>
      <c r="C75" s="6" t="s">
        <v>442</v>
      </c>
      <c r="D75" s="6" t="s">
        <v>435</v>
      </c>
      <c r="E75" s="15" t="s">
        <v>506</v>
      </c>
      <c r="F75" s="14">
        <v>2</v>
      </c>
      <c r="G75" s="14">
        <v>2</v>
      </c>
      <c r="H75" s="14">
        <v>0</v>
      </c>
      <c r="I75" s="14">
        <v>50</v>
      </c>
      <c r="J75" s="14">
        <f t="shared" si="1"/>
        <v>4</v>
      </c>
      <c r="K75" s="14"/>
      <c r="L75" s="14"/>
      <c r="M75" s="14"/>
      <c r="N75" s="2"/>
      <c r="O75"/>
      <c r="P75" s="14"/>
      <c r="Q75" s="14"/>
      <c r="R75" s="14"/>
      <c r="S75" s="14"/>
      <c r="T75" s="14"/>
      <c r="U75" s="14"/>
      <c r="V75" s="14"/>
      <c r="W75" s="14"/>
      <c r="X75" s="14"/>
      <c r="AF75" s="14"/>
      <c r="AG75" s="86"/>
      <c r="AH75" s="86"/>
      <c r="AI75" s="86"/>
      <c r="AJ75" s="86"/>
      <c r="AK75" s="86"/>
      <c r="AL75" s="86"/>
      <c r="AM75" s="86"/>
      <c r="AN75" s="86"/>
      <c r="AO75" s="86"/>
      <c r="AT75" s="14" t="s">
        <v>437</v>
      </c>
      <c r="AU75" s="14"/>
      <c r="AV75" s="14"/>
    </row>
    <row r="76" spans="1:48" ht="13.5" customHeight="1">
      <c r="A76" s="6" t="s">
        <v>476</v>
      </c>
      <c r="C76" s="6" t="s">
        <v>442</v>
      </c>
      <c r="D76" s="6" t="s">
        <v>435</v>
      </c>
      <c r="E76" s="15" t="s">
        <v>507</v>
      </c>
      <c r="F76" s="14">
        <v>2</v>
      </c>
      <c r="G76" s="14">
        <v>2</v>
      </c>
      <c r="H76" s="14">
        <v>0</v>
      </c>
      <c r="I76" s="14">
        <v>50</v>
      </c>
      <c r="J76" s="14">
        <f t="shared" si="1"/>
        <v>4</v>
      </c>
      <c r="K76" s="14"/>
      <c r="L76" s="14"/>
      <c r="M76" s="14"/>
      <c r="N76" s="2"/>
      <c r="O76"/>
      <c r="P76" s="14"/>
      <c r="Q76" s="14"/>
      <c r="R76" s="14"/>
      <c r="S76" s="14"/>
      <c r="T76" s="14"/>
      <c r="U76" s="14"/>
      <c r="V76" s="14"/>
      <c r="W76" s="14"/>
      <c r="X76" s="14"/>
      <c r="AF76" s="14"/>
      <c r="AG76" s="86"/>
      <c r="AH76" s="86"/>
      <c r="AI76" s="86"/>
      <c r="AJ76" s="86"/>
      <c r="AK76" s="86"/>
      <c r="AL76" s="86"/>
      <c r="AM76" s="86"/>
      <c r="AN76" s="86"/>
      <c r="AO76" s="86"/>
      <c r="AT76" s="14" t="s">
        <v>437</v>
      </c>
      <c r="AU76" s="14"/>
      <c r="AV76" s="14"/>
    </row>
    <row r="77" spans="1:48" s="20" customFormat="1" ht="13.5" customHeight="1">
      <c r="F77" s="18">
        <f>SUM(F51:F76)+F36</f>
        <v>208</v>
      </c>
      <c r="G77" s="18">
        <f>SUM(G51:G76)+G36</f>
        <v>517</v>
      </c>
      <c r="H77" s="18">
        <f>SUM(H51:H76)+H36</f>
        <v>114</v>
      </c>
      <c r="I77" s="18">
        <f>SUM(I51:I76)+I36</f>
        <v>5203</v>
      </c>
      <c r="J77" s="18"/>
      <c r="K77" s="18"/>
      <c r="L77" s="18">
        <f>SUM(L51:L76)+L36</f>
        <v>66</v>
      </c>
      <c r="M77" s="18"/>
      <c r="N77" s="18">
        <f>SUM(N51:N76)+N36</f>
        <v>750</v>
      </c>
      <c r="O77" s="3"/>
      <c r="P77" s="18">
        <f>SUM(P51:P76)+P30</f>
        <v>1125</v>
      </c>
      <c r="Q77" s="18"/>
      <c r="R77" s="18">
        <f>SUM(R51:R76)+R30</f>
        <v>340</v>
      </c>
      <c r="S77" s="18"/>
      <c r="T77" s="18">
        <f>SUM(T51:T76)+T30</f>
        <v>300</v>
      </c>
      <c r="U77" s="18"/>
      <c r="V77" s="18">
        <f>SUM(V51:V76)+V30</f>
        <v>8300</v>
      </c>
      <c r="W77" s="18"/>
      <c r="X77" s="18">
        <f>SUM(X51:X76)+X30</f>
        <v>3050</v>
      </c>
      <c r="Z77" s="18">
        <f>SUM(Z51:Z76)+Z30</f>
        <v>100</v>
      </c>
      <c r="AB77" s="18">
        <f>SUM(AB51:AB76)+AB30</f>
        <v>50</v>
      </c>
      <c r="AD77" s="18">
        <f>SUM(AD51:AD76)+AD30</f>
        <v>65</v>
      </c>
      <c r="AF77" s="18">
        <f>SUM(AF51:AF76)+AF30</f>
        <v>115</v>
      </c>
      <c r="AH77" s="18">
        <f>SUM(AH51:AH76)+AH30</f>
        <v>0</v>
      </c>
      <c r="AJ77" s="18">
        <f>SUM(AJ51:AJ76)+AJ30</f>
        <v>135</v>
      </c>
      <c r="AK77" s="18"/>
      <c r="AL77" s="18">
        <f>SUM(AL51:AL76)+AL30</f>
        <v>0</v>
      </c>
      <c r="AN77" s="18">
        <f>SUM(AN51:AN76)+AN30</f>
        <v>0</v>
      </c>
      <c r="AP77" s="18">
        <f>SUM(AP51:AP76)+AP30</f>
        <v>2500</v>
      </c>
      <c r="AR77" s="18">
        <f>SUM(AR51:AR76)+AR36</f>
        <v>150</v>
      </c>
      <c r="AT77" s="18">
        <f>COUNTIF(AT51:AT76,"x")+AT36</f>
        <v>46</v>
      </c>
      <c r="AU77" s="18">
        <f>COUNTIF(AU51:AU76,"x")+AU36</f>
        <v>8</v>
      </c>
      <c r="AV77" s="18">
        <f>COUNTIF(AV51:AV76,"x")+AV36</f>
        <v>3</v>
      </c>
    </row>
    <row r="78" spans="1:48" ht="13.5" customHeight="1">
      <c r="F78" s="14"/>
      <c r="G78" s="14"/>
      <c r="H78" s="14"/>
      <c r="I78" s="14"/>
      <c r="J78" s="14"/>
      <c r="K78" s="14"/>
      <c r="L78" s="14"/>
      <c r="M78" s="14"/>
      <c r="N78" s="2"/>
      <c r="O78"/>
      <c r="P78" s="14"/>
      <c r="Q78" s="14"/>
      <c r="R78" s="14"/>
      <c r="S78" s="14"/>
      <c r="T78" s="14"/>
      <c r="U78" s="14"/>
      <c r="V78" s="14"/>
      <c r="W78" s="14"/>
      <c r="X78" s="14"/>
      <c r="AT78" s="14"/>
      <c r="AU78" s="14"/>
      <c r="AV78" s="14"/>
    </row>
    <row r="79" spans="1:48" ht="13.5" customHeight="1">
      <c r="A79" s="16" t="s">
        <v>552</v>
      </c>
      <c r="F79" s="14"/>
      <c r="G79" s="14"/>
      <c r="H79" s="14"/>
      <c r="I79" s="14"/>
      <c r="J79" s="14"/>
      <c r="K79" s="14"/>
      <c r="L79" s="14"/>
      <c r="M79" s="14"/>
      <c r="N79" s="2"/>
      <c r="O79"/>
      <c r="P79" s="14"/>
      <c r="Q79" s="14"/>
      <c r="R79" s="14"/>
      <c r="S79" s="14"/>
      <c r="T79" s="14"/>
      <c r="U79" s="14"/>
      <c r="V79" s="14"/>
      <c r="W79" s="14"/>
      <c r="X79" s="14"/>
      <c r="AT79" s="14"/>
      <c r="AU79" s="14"/>
      <c r="AV79" s="14"/>
    </row>
    <row r="80" spans="1:48" ht="13.5" customHeight="1">
      <c r="A80" s="6" t="s">
        <v>553</v>
      </c>
      <c r="C80" s="6" t="s">
        <v>554</v>
      </c>
      <c r="D80" s="6" t="s">
        <v>499</v>
      </c>
      <c r="E80" s="6" t="s">
        <v>555</v>
      </c>
      <c r="F80" s="14">
        <v>4</v>
      </c>
      <c r="G80" s="14">
        <v>4</v>
      </c>
      <c r="H80" s="14">
        <v>0</v>
      </c>
      <c r="I80" s="14">
        <v>25</v>
      </c>
      <c r="J80" s="14">
        <f>IF(G80&gt;=10,16, 4)</f>
        <v>4</v>
      </c>
      <c r="K80" s="86" t="s">
        <v>556</v>
      </c>
      <c r="N80" s="97"/>
      <c r="O80"/>
      <c r="P80" s="14"/>
      <c r="Q80" s="14"/>
      <c r="R80" s="14"/>
      <c r="S80" s="14"/>
      <c r="T80" s="14"/>
      <c r="U80" s="14"/>
      <c r="V80" s="129"/>
      <c r="W80" s="129"/>
      <c r="X80" s="14"/>
      <c r="AT80" s="14" t="s">
        <v>437</v>
      </c>
      <c r="AU80" s="14"/>
      <c r="AV80" s="14"/>
    </row>
    <row r="81" spans="1:48" s="19" customFormat="1" ht="13.5" customHeight="1">
      <c r="A81" s="19" t="s">
        <v>557</v>
      </c>
      <c r="C81" s="19" t="s">
        <v>554</v>
      </c>
      <c r="D81" s="19" t="s">
        <v>499</v>
      </c>
      <c r="E81" s="19" t="s">
        <v>558</v>
      </c>
      <c r="F81" s="17">
        <v>4</v>
      </c>
      <c r="G81" s="17">
        <v>4</v>
      </c>
      <c r="H81" s="17">
        <v>0</v>
      </c>
      <c r="I81" s="17">
        <v>25</v>
      </c>
      <c r="J81" s="17">
        <f>IF(G81&gt;=10,16, 4)</f>
        <v>4</v>
      </c>
      <c r="K81" s="39" t="s">
        <v>556</v>
      </c>
      <c r="V81" s="130"/>
      <c r="W81" s="130"/>
      <c r="AJ81" s="17"/>
      <c r="AK81" s="17"/>
      <c r="AL81" s="17"/>
      <c r="AN81" s="17"/>
      <c r="AT81" s="17" t="s">
        <v>437</v>
      </c>
      <c r="AU81" s="17"/>
    </row>
    <row r="82" spans="1:48">
      <c r="F82" s="14">
        <f>SUM(F80:F81)+F77</f>
        <v>216</v>
      </c>
      <c r="G82" s="14">
        <f>SUM(G80:G81)+G77</f>
        <v>525</v>
      </c>
      <c r="H82" s="14">
        <f>SUM(H80:H81)+H77</f>
        <v>114</v>
      </c>
      <c r="I82" s="14">
        <f>SUM(I80:I81)+I77</f>
        <v>5253</v>
      </c>
      <c r="J82" s="14"/>
      <c r="K82" s="14"/>
      <c r="L82" s="14">
        <f>SUM(L80:L81)+L77</f>
        <v>66</v>
      </c>
      <c r="M82" s="14"/>
      <c r="N82" s="14">
        <f>SUM(N80:N81)+N77</f>
        <v>750</v>
      </c>
      <c r="O82" s="14"/>
      <c r="P82" s="14">
        <f>SUM(P80:P81)+P77</f>
        <v>1125</v>
      </c>
      <c r="Q82" s="14"/>
      <c r="R82" s="14">
        <f>SUM(R80:R81)+R77</f>
        <v>340</v>
      </c>
      <c r="S82" s="14"/>
      <c r="T82" s="14">
        <f>SUM(T80:T81)+T77</f>
        <v>300</v>
      </c>
      <c r="U82" s="14"/>
      <c r="V82" s="14">
        <f>SUM(V80:V81)+V77</f>
        <v>8300</v>
      </c>
      <c r="W82" s="14"/>
      <c r="X82" s="14">
        <f>SUM(X80:X81)+X77</f>
        <v>3050</v>
      </c>
      <c r="Z82" s="14">
        <f>SUM(Z80:Z81)+Z77</f>
        <v>100</v>
      </c>
      <c r="AB82" s="14">
        <f>SUM(AB80:AB81)+AB77</f>
        <v>50</v>
      </c>
      <c r="AD82" s="14">
        <f>SUM(AD80:AD81)+AD77</f>
        <v>65</v>
      </c>
      <c r="AF82" s="14">
        <f>SUM(AF80:AF81)+AF77</f>
        <v>115</v>
      </c>
      <c r="AH82" s="14">
        <f>SUM(AH80:AH81)+AH77</f>
        <v>0</v>
      </c>
      <c r="AJ82" s="14">
        <f>SUM(AJ80:AJ81)+AJ77</f>
        <v>135</v>
      </c>
      <c r="AL82" s="14">
        <f>SUM(AL80:AL81)+AL77</f>
        <v>0</v>
      </c>
      <c r="AN82" s="14">
        <f>SUM(AN80:AN81)+AN77</f>
        <v>0</v>
      </c>
      <c r="AP82" s="14">
        <f>SUM(AP80:AP81)+AP77</f>
        <v>2500</v>
      </c>
      <c r="AT82" s="14">
        <f>COUNTIF(AT80:AT81,"x")+AT77</f>
        <v>48</v>
      </c>
      <c r="AU82" s="14">
        <f>COUNTIF(AU80:AU81,"x")+AU77</f>
        <v>8</v>
      </c>
      <c r="AV82" s="14">
        <f>COUNTIF(AV80:AV81,"x")+AV77</f>
        <v>3</v>
      </c>
    </row>
    <row r="84" spans="1:48" ht="12.95">
      <c r="A84" s="16" t="s">
        <v>559</v>
      </c>
      <c r="L84" s="86"/>
      <c r="M84" s="86"/>
      <c r="N84" s="86"/>
      <c r="O84" s="86"/>
      <c r="P84" s="86"/>
      <c r="Q84" s="86"/>
      <c r="R84" s="86"/>
      <c r="S84" s="86"/>
      <c r="T84" s="86"/>
      <c r="U84" s="86"/>
      <c r="V84" s="14"/>
      <c r="W84" s="14"/>
      <c r="X84" s="14"/>
      <c r="AT84" s="14" t="s">
        <v>437</v>
      </c>
      <c r="AU84" s="14"/>
      <c r="AV84" s="14"/>
    </row>
    <row r="85" spans="1:48">
      <c r="A85" s="6" t="s">
        <v>560</v>
      </c>
      <c r="C85" s="6" t="s">
        <v>561</v>
      </c>
      <c r="D85" s="6" t="s">
        <v>562</v>
      </c>
      <c r="E85" s="6" t="s">
        <v>42</v>
      </c>
      <c r="F85" s="14">
        <v>2</v>
      </c>
      <c r="G85" s="14">
        <v>4</v>
      </c>
      <c r="H85" s="14">
        <v>4</v>
      </c>
      <c r="I85" s="14">
        <v>350</v>
      </c>
      <c r="J85" s="14">
        <f t="shared" ref="J85:J94" si="2">IF(G85&gt;=10,16, 4)</f>
        <v>4</v>
      </c>
      <c r="K85" s="86" t="s">
        <v>563</v>
      </c>
      <c r="L85" s="86"/>
      <c r="M85" s="86"/>
      <c r="N85" s="86">
        <v>200</v>
      </c>
      <c r="O85" s="86" t="s">
        <v>564</v>
      </c>
      <c r="P85" s="86"/>
      <c r="Q85" s="86"/>
      <c r="R85" s="86"/>
      <c r="S85" s="86"/>
      <c r="T85" s="86"/>
      <c r="U85" s="86"/>
      <c r="V85" s="14"/>
      <c r="W85" s="14"/>
      <c r="X85" s="14"/>
      <c r="AT85" s="14" t="s">
        <v>437</v>
      </c>
      <c r="AU85" s="14"/>
      <c r="AV85" s="14"/>
    </row>
    <row r="86" spans="1:48">
      <c r="A86" s="6" t="s">
        <v>565</v>
      </c>
      <c r="C86" s="6" t="s">
        <v>561</v>
      </c>
      <c r="D86" s="6" t="s">
        <v>562</v>
      </c>
      <c r="E86" s="6" t="s">
        <v>566</v>
      </c>
      <c r="F86" s="14">
        <v>6</v>
      </c>
      <c r="G86" s="14">
        <v>10</v>
      </c>
      <c r="H86" s="14">
        <v>10</v>
      </c>
      <c r="I86" s="14">
        <v>100</v>
      </c>
      <c r="J86" s="14">
        <f t="shared" si="2"/>
        <v>16</v>
      </c>
      <c r="K86" s="86" t="s">
        <v>563</v>
      </c>
      <c r="L86" s="86"/>
      <c r="M86" s="86"/>
      <c r="N86" s="86"/>
      <c r="O86" s="86"/>
      <c r="P86" s="86"/>
      <c r="Q86" s="86"/>
      <c r="R86" s="86"/>
      <c r="S86" s="86"/>
      <c r="T86" s="86"/>
      <c r="U86" s="86"/>
      <c r="V86" s="14"/>
      <c r="W86" s="14"/>
      <c r="X86" s="14"/>
      <c r="AT86" s="14" t="s">
        <v>437</v>
      </c>
      <c r="AU86" s="14" t="s">
        <v>437</v>
      </c>
      <c r="AV86" s="14"/>
    </row>
    <row r="87" spans="1:48">
      <c r="A87" s="6" t="s">
        <v>567</v>
      </c>
      <c r="C87" s="6" t="s">
        <v>561</v>
      </c>
      <c r="D87" s="6" t="s">
        <v>562</v>
      </c>
      <c r="E87" s="6" t="s">
        <v>568</v>
      </c>
      <c r="F87" s="14">
        <v>8</v>
      </c>
      <c r="G87" s="14">
        <v>16</v>
      </c>
      <c r="H87" s="14">
        <v>16</v>
      </c>
      <c r="I87" s="14">
        <v>60</v>
      </c>
      <c r="J87" s="14">
        <f t="shared" si="2"/>
        <v>16</v>
      </c>
      <c r="K87" s="86" t="s">
        <v>569</v>
      </c>
      <c r="L87" s="86"/>
      <c r="M87" s="86"/>
      <c r="N87" s="86"/>
      <c r="O87" s="86"/>
      <c r="P87" s="86"/>
      <c r="Q87" s="86"/>
      <c r="R87" s="86"/>
      <c r="S87" s="86"/>
      <c r="T87" s="86"/>
      <c r="U87" s="86"/>
      <c r="V87" s="14"/>
      <c r="W87" s="14"/>
      <c r="X87" s="14"/>
      <c r="AT87" s="14" t="s">
        <v>437</v>
      </c>
      <c r="AU87" s="14" t="s">
        <v>437</v>
      </c>
      <c r="AV87" s="14"/>
    </row>
    <row r="88" spans="1:48">
      <c r="A88" s="6" t="s">
        <v>570</v>
      </c>
      <c r="C88" s="6" t="s">
        <v>561</v>
      </c>
      <c r="D88" s="6" t="s">
        <v>562</v>
      </c>
      <c r="E88" s="6" t="s">
        <v>571</v>
      </c>
      <c r="F88" s="14">
        <v>10</v>
      </c>
      <c r="G88" s="14">
        <v>10</v>
      </c>
      <c r="H88" s="14">
        <v>10</v>
      </c>
      <c r="I88" s="14">
        <v>40</v>
      </c>
      <c r="J88" s="14">
        <f t="shared" si="2"/>
        <v>16</v>
      </c>
      <c r="K88" s="86" t="s">
        <v>569</v>
      </c>
      <c r="L88" s="86"/>
      <c r="M88" s="86"/>
      <c r="N88" s="86"/>
      <c r="O88" s="86"/>
      <c r="P88" s="86"/>
      <c r="Q88" s="86"/>
      <c r="R88" s="86"/>
      <c r="S88" s="86"/>
      <c r="T88" s="86"/>
      <c r="U88" s="86"/>
      <c r="V88" s="14"/>
      <c r="W88" s="14"/>
      <c r="X88" s="14"/>
      <c r="AT88" s="14" t="s">
        <v>437</v>
      </c>
      <c r="AU88" s="14" t="s">
        <v>437</v>
      </c>
      <c r="AV88" s="14"/>
    </row>
    <row r="89" spans="1:48">
      <c r="A89" s="6" t="s">
        <v>572</v>
      </c>
      <c r="C89" s="6" t="s">
        <v>561</v>
      </c>
      <c r="D89" s="6" t="s">
        <v>562</v>
      </c>
      <c r="E89" s="6" t="s">
        <v>573</v>
      </c>
      <c r="F89" s="14">
        <v>4</v>
      </c>
      <c r="G89" s="14">
        <v>16</v>
      </c>
      <c r="H89" s="14">
        <v>0</v>
      </c>
      <c r="I89" s="14">
        <v>550</v>
      </c>
      <c r="J89" s="14">
        <f t="shared" si="2"/>
        <v>16</v>
      </c>
      <c r="K89" s="86" t="s">
        <v>574</v>
      </c>
      <c r="L89" s="86"/>
      <c r="M89" s="86"/>
      <c r="N89" s="86"/>
      <c r="O89" s="86"/>
      <c r="P89" s="86"/>
      <c r="Q89" s="86"/>
      <c r="R89" s="86">
        <v>50</v>
      </c>
      <c r="S89" s="86" t="s">
        <v>575</v>
      </c>
      <c r="T89" s="86"/>
      <c r="U89" s="86"/>
      <c r="V89" s="14"/>
      <c r="W89" s="14"/>
      <c r="X89" s="14"/>
      <c r="AT89" s="14" t="s">
        <v>437</v>
      </c>
      <c r="AU89" s="14"/>
      <c r="AV89" s="14"/>
    </row>
    <row r="90" spans="1:48">
      <c r="A90" s="6" t="s">
        <v>576</v>
      </c>
      <c r="C90" s="6" t="s">
        <v>561</v>
      </c>
      <c r="D90" s="6" t="s">
        <v>562</v>
      </c>
      <c r="E90" s="6" t="s">
        <v>577</v>
      </c>
      <c r="F90" s="14">
        <v>2</v>
      </c>
      <c r="G90" s="14">
        <v>4</v>
      </c>
      <c r="H90" s="14">
        <v>4</v>
      </c>
      <c r="I90" s="14">
        <v>40</v>
      </c>
      <c r="J90" s="14">
        <f t="shared" si="2"/>
        <v>4</v>
      </c>
      <c r="K90" s="86" t="s">
        <v>569</v>
      </c>
      <c r="L90" s="86"/>
      <c r="M90" s="86"/>
      <c r="N90" s="86"/>
      <c r="O90" s="86"/>
      <c r="P90" s="86"/>
      <c r="Q90" s="86"/>
      <c r="R90" s="86"/>
      <c r="S90" s="86"/>
      <c r="T90" s="86"/>
      <c r="U90" s="86"/>
      <c r="V90" s="14"/>
      <c r="W90" s="14"/>
      <c r="X90" s="14"/>
      <c r="AT90" s="14" t="s">
        <v>437</v>
      </c>
      <c r="AU90" s="14"/>
      <c r="AV90" s="14"/>
    </row>
    <row r="91" spans="1:48">
      <c r="A91" s="6" t="s">
        <v>578</v>
      </c>
      <c r="C91" s="6" t="s">
        <v>579</v>
      </c>
      <c r="D91" s="6" t="s">
        <v>562</v>
      </c>
      <c r="E91" s="6" t="s">
        <v>86</v>
      </c>
      <c r="F91" s="14">
        <v>4</v>
      </c>
      <c r="G91" s="14">
        <v>16</v>
      </c>
      <c r="H91" s="14">
        <v>0</v>
      </c>
      <c r="I91" s="14">
        <v>80</v>
      </c>
      <c r="J91" s="14">
        <f t="shared" si="2"/>
        <v>16</v>
      </c>
      <c r="K91" s="86" t="s">
        <v>580</v>
      </c>
      <c r="L91" s="86"/>
      <c r="M91" s="86"/>
      <c r="N91" s="86"/>
      <c r="O91" s="86"/>
      <c r="P91" s="86"/>
      <c r="Q91" s="86"/>
      <c r="R91" s="86"/>
      <c r="S91" s="86"/>
      <c r="T91" s="86"/>
      <c r="U91" s="86"/>
      <c r="V91" s="14"/>
      <c r="W91" s="14"/>
      <c r="X91" s="14"/>
      <c r="AT91" s="14" t="s">
        <v>437</v>
      </c>
      <c r="AU91" s="14"/>
      <c r="AV91" s="14"/>
    </row>
    <row r="92" spans="1:48">
      <c r="A92" s="6" t="s">
        <v>581</v>
      </c>
      <c r="C92" s="6" t="s">
        <v>579</v>
      </c>
      <c r="D92" s="6" t="s">
        <v>562</v>
      </c>
      <c r="E92" s="6" t="s">
        <v>86</v>
      </c>
      <c r="F92" s="14">
        <v>4</v>
      </c>
      <c r="G92" s="14">
        <v>16</v>
      </c>
      <c r="H92" s="14">
        <v>0</v>
      </c>
      <c r="I92" s="14">
        <v>80</v>
      </c>
      <c r="J92" s="14">
        <f t="shared" si="2"/>
        <v>16</v>
      </c>
      <c r="K92" s="86" t="s">
        <v>580</v>
      </c>
      <c r="L92" s="86"/>
      <c r="M92" s="86"/>
      <c r="N92" s="86"/>
      <c r="O92" s="86"/>
      <c r="P92" s="86"/>
      <c r="Q92" s="86"/>
      <c r="R92" s="86"/>
      <c r="S92" s="86"/>
      <c r="T92" s="86"/>
      <c r="U92" s="86"/>
      <c r="V92" s="14"/>
      <c r="W92" s="14"/>
      <c r="X92" s="14"/>
      <c r="AT92" s="14" t="s">
        <v>437</v>
      </c>
      <c r="AU92" s="14"/>
      <c r="AV92" s="14"/>
    </row>
    <row r="93" spans="1:48">
      <c r="A93" s="6" t="s">
        <v>582</v>
      </c>
      <c r="C93" s="6" t="s">
        <v>583</v>
      </c>
      <c r="D93" s="6" t="s">
        <v>584</v>
      </c>
      <c r="E93" s="6" t="s">
        <v>585</v>
      </c>
      <c r="F93" s="14">
        <v>4</v>
      </c>
      <c r="G93" s="14">
        <v>8</v>
      </c>
      <c r="H93" s="14">
        <v>0</v>
      </c>
      <c r="I93" s="14">
        <v>30</v>
      </c>
      <c r="J93" s="14">
        <f t="shared" si="2"/>
        <v>4</v>
      </c>
      <c r="K93" s="86" t="s">
        <v>586</v>
      </c>
      <c r="L93" s="86"/>
      <c r="M93" s="86"/>
      <c r="N93" s="86"/>
      <c r="O93" s="86"/>
      <c r="P93" s="86"/>
      <c r="Q93" s="86"/>
      <c r="R93" s="86"/>
      <c r="S93" s="86"/>
      <c r="T93" s="86"/>
      <c r="U93" s="86"/>
      <c r="V93" s="14"/>
      <c r="W93" s="14"/>
      <c r="X93" s="14"/>
      <c r="AT93" s="14" t="s">
        <v>437</v>
      </c>
      <c r="AU93" s="14"/>
      <c r="AV93" s="14"/>
    </row>
    <row r="94" spans="1:48">
      <c r="A94" s="6" t="s">
        <v>587</v>
      </c>
      <c r="C94" s="6" t="s">
        <v>588</v>
      </c>
      <c r="D94" s="6" t="s">
        <v>435</v>
      </c>
      <c r="E94" s="6" t="s">
        <v>106</v>
      </c>
      <c r="F94" s="14">
        <v>8</v>
      </c>
      <c r="G94" s="14">
        <v>6</v>
      </c>
      <c r="H94" s="14">
        <v>0</v>
      </c>
      <c r="I94" s="14">
        <v>70</v>
      </c>
      <c r="J94" s="14">
        <f t="shared" si="2"/>
        <v>4</v>
      </c>
      <c r="K94" s="86" t="s">
        <v>589</v>
      </c>
      <c r="AT94" s="14" t="s">
        <v>437</v>
      </c>
    </row>
    <row r="95" spans="1:48">
      <c r="A95" s="20"/>
      <c r="B95" s="20"/>
      <c r="C95" s="20"/>
      <c r="D95" s="20"/>
      <c r="E95" s="20"/>
      <c r="F95" s="18">
        <f>SUM(F85:F94)+F82</f>
        <v>268</v>
      </c>
      <c r="G95" s="18">
        <f>SUM(G85:G94)+G82</f>
        <v>631</v>
      </c>
      <c r="H95" s="18">
        <f>SUM(H85:H94)+H82</f>
        <v>158</v>
      </c>
      <c r="I95" s="18">
        <f>SUM(I85:I94)+I82</f>
        <v>6653</v>
      </c>
      <c r="J95" s="18"/>
      <c r="K95" s="18"/>
      <c r="L95" s="18">
        <f>SUM(L85:L94)+L82</f>
        <v>66</v>
      </c>
      <c r="M95" s="18"/>
      <c r="N95" s="18">
        <f>SUM(N85:N94)+N82</f>
        <v>950</v>
      </c>
      <c r="O95" s="18"/>
      <c r="P95" s="18">
        <f>SUM(P85:P94)+P82</f>
        <v>1125</v>
      </c>
      <c r="Q95" s="18"/>
      <c r="R95" s="18">
        <f>SUM(R85:R94)+R82</f>
        <v>390</v>
      </c>
      <c r="S95" s="18"/>
      <c r="T95" s="18">
        <f>SUM(T85:T94)+T82</f>
        <v>300</v>
      </c>
      <c r="U95" s="18"/>
      <c r="V95" s="18">
        <f>SUM(V85:V94)+V82</f>
        <v>8300</v>
      </c>
      <c r="W95" s="18"/>
      <c r="X95" s="18">
        <f>SUM(X85:X94)+X82</f>
        <v>3050</v>
      </c>
      <c r="Y95" s="18"/>
      <c r="Z95" s="18">
        <f>SUM(Z85:Z94)+Z82</f>
        <v>100</v>
      </c>
      <c r="AA95" s="18"/>
      <c r="AB95" s="18">
        <f>SUM(AB85:AB94)+AB82</f>
        <v>50</v>
      </c>
      <c r="AC95" s="18"/>
      <c r="AD95" s="18">
        <f>SUM(AD85:AD94)+AD82</f>
        <v>65</v>
      </c>
      <c r="AE95" s="18"/>
      <c r="AF95" s="18">
        <f>SUM(AF85:AF94)+AF82</f>
        <v>115</v>
      </c>
      <c r="AG95" s="18"/>
      <c r="AH95" s="18">
        <f>SUM(AH85:AH94)+AH82</f>
        <v>0</v>
      </c>
      <c r="AI95" s="18"/>
      <c r="AJ95" s="18">
        <f>SUM(AJ85:AJ94)+AJ82</f>
        <v>135</v>
      </c>
      <c r="AK95" s="18"/>
      <c r="AL95" s="18">
        <f>SUM(AL85:AL94)+AL82</f>
        <v>0</v>
      </c>
      <c r="AM95" s="18"/>
      <c r="AN95" s="18">
        <f>SUM(AN85:AN94)+AN82</f>
        <v>0</v>
      </c>
      <c r="AO95" s="18"/>
      <c r="AP95" s="18">
        <f>SUM(AP85:AP94)+AP82</f>
        <v>2500</v>
      </c>
      <c r="AQ95" s="18"/>
      <c r="AR95" s="18"/>
      <c r="AS95" s="18"/>
      <c r="AT95" s="18">
        <f>COUNTIF(AT84:AT94,"x")+AT82</f>
        <v>59</v>
      </c>
      <c r="AU95" s="18">
        <f>COUNTIF(AU84:AU94,"x")+AU82</f>
        <v>11</v>
      </c>
      <c r="AV95" s="18">
        <f>COUNTIF(AV84:AV94,"x")+AV82</f>
        <v>3</v>
      </c>
    </row>
    <row r="96" spans="1:48">
      <c r="F96" s="14"/>
      <c r="G96" s="14"/>
      <c r="H96" s="14"/>
      <c r="I96" s="14"/>
      <c r="J96" s="14"/>
      <c r="K96" s="14"/>
    </row>
    <row r="97" spans="1:5" ht="14.45">
      <c r="A97" s="179" t="s">
        <v>423</v>
      </c>
      <c r="B97" s="191"/>
      <c r="C97" s="191"/>
    </row>
    <row r="98" spans="1:5" ht="12.95">
      <c r="A98" s="95" t="s">
        <v>508</v>
      </c>
      <c r="B98" s="95" t="s">
        <v>509</v>
      </c>
      <c r="C98" s="95" t="s">
        <v>510</v>
      </c>
      <c r="D98" s="10"/>
      <c r="E98" s="10"/>
    </row>
    <row r="99" spans="1:5">
      <c r="A99" s="93" t="s">
        <v>528</v>
      </c>
      <c r="B99" s="91" cm="1">
        <f t="array" ref="B99">SUM(IF(K8:K94=A99,I8:J94,""))</f>
        <v>633</v>
      </c>
      <c r="C99" s="92">
        <v>800</v>
      </c>
    </row>
    <row r="100" spans="1:5">
      <c r="A100" s="93" t="s">
        <v>529</v>
      </c>
      <c r="B100" s="91" cm="1">
        <f t="array" ref="B100">SUM(IF(K8:K94=A100,I8:J94,""))</f>
        <v>654</v>
      </c>
      <c r="C100" s="92">
        <v>800</v>
      </c>
    </row>
    <row r="101" spans="1:5">
      <c r="A101" s="93" t="s">
        <v>531</v>
      </c>
      <c r="B101" s="91" cm="1">
        <f t="array" ref="B101">SUM(IF(K8:K94=A101,I8:J94,""),AB19,AD21)</f>
        <v>691</v>
      </c>
      <c r="C101" s="92">
        <v>850</v>
      </c>
    </row>
    <row r="102" spans="1:5">
      <c r="A102" s="93" t="s">
        <v>590</v>
      </c>
      <c r="B102" s="92">
        <v>10</v>
      </c>
      <c r="C102" s="92">
        <v>35</v>
      </c>
    </row>
    <row r="103" spans="1:5">
      <c r="A103" s="93" t="s">
        <v>591</v>
      </c>
      <c r="B103" s="92">
        <v>10</v>
      </c>
      <c r="C103" s="92">
        <v>35</v>
      </c>
    </row>
    <row r="104" spans="1:5">
      <c r="A104" s="93" t="s">
        <v>592</v>
      </c>
      <c r="B104" s="92">
        <v>10</v>
      </c>
      <c r="C104" s="92">
        <v>35</v>
      </c>
    </row>
    <row r="105" spans="1:5">
      <c r="A105" s="93" t="s">
        <v>593</v>
      </c>
      <c r="B105" s="92">
        <v>10</v>
      </c>
      <c r="C105" s="92">
        <v>35</v>
      </c>
    </row>
    <row r="106" spans="1:5">
      <c r="A106" s="93" t="s">
        <v>594</v>
      </c>
      <c r="B106" s="92">
        <v>10</v>
      </c>
      <c r="C106" s="92">
        <v>35</v>
      </c>
    </row>
    <row r="107" spans="1:5">
      <c r="A107" s="93" t="s">
        <v>512</v>
      </c>
      <c r="B107" s="92">
        <v>59.4</v>
      </c>
      <c r="C107" s="92">
        <f>L11</f>
        <v>66</v>
      </c>
    </row>
    <row r="108" spans="1:5">
      <c r="A108" s="93" t="s">
        <v>513</v>
      </c>
      <c r="B108" s="106">
        <f>VLOOKUP(N11,B136:G137,2,FALSE)</f>
        <v>675</v>
      </c>
      <c r="C108" s="106">
        <f>N11</f>
        <v>750</v>
      </c>
    </row>
    <row r="109" spans="1:5">
      <c r="A109" s="93" t="s">
        <v>514</v>
      </c>
      <c r="B109" s="106">
        <f>VLOOKUP(N11,B136:G137,6,FALSE)</f>
        <v>1012.5</v>
      </c>
      <c r="C109" s="106">
        <f>P11</f>
        <v>1125</v>
      </c>
    </row>
    <row r="110" spans="1:5">
      <c r="A110" s="93" t="s">
        <v>217</v>
      </c>
      <c r="B110" s="92">
        <v>312</v>
      </c>
      <c r="C110" s="92">
        <v>340</v>
      </c>
    </row>
    <row r="111" spans="1:5">
      <c r="A111" s="93" t="s">
        <v>222</v>
      </c>
      <c r="B111" s="92">
        <v>270</v>
      </c>
      <c r="C111" s="92">
        <v>300</v>
      </c>
    </row>
    <row r="112" spans="1:5">
      <c r="A112" s="93" t="s">
        <v>515</v>
      </c>
      <c r="B112" s="92">
        <v>90</v>
      </c>
      <c r="C112" s="92">
        <v>150</v>
      </c>
    </row>
    <row r="113" spans="1:4">
      <c r="A113" s="93" t="s">
        <v>474</v>
      </c>
      <c r="B113" s="92">
        <v>270</v>
      </c>
      <c r="C113" s="92">
        <v>400</v>
      </c>
    </row>
    <row r="114" spans="1:4">
      <c r="A114" s="93" t="s">
        <v>516</v>
      </c>
      <c r="B114" s="106">
        <f>X11*0.9+X12*0.9+SUM(I69:J70) + V69</f>
        <v>6424</v>
      </c>
      <c r="C114" s="106">
        <f>VLOOKUP(N11,B136:J137,8,FALSE)</f>
        <v>6550</v>
      </c>
    </row>
    <row r="115" spans="1:4">
      <c r="A115" s="93" t="s">
        <v>595</v>
      </c>
      <c r="B115" s="106">
        <f>X11*0.9+X12*0.9</f>
        <v>2745</v>
      </c>
      <c r="C115" s="106">
        <f>VLOOKUP(N11,B136:J137,8,FALSE)-V69</f>
        <v>3050</v>
      </c>
    </row>
    <row r="116" spans="1:4">
      <c r="A116" s="93" t="s">
        <v>596</v>
      </c>
      <c r="B116" s="92">
        <v>2048</v>
      </c>
      <c r="C116" s="92">
        <v>2500</v>
      </c>
    </row>
    <row r="117" spans="1:4">
      <c r="A117" s="93" t="s">
        <v>526</v>
      </c>
      <c r="B117" s="106">
        <f>SUM(I8:J9)</f>
        <v>980</v>
      </c>
      <c r="C117" s="92">
        <f>IF(E9="vCSA8.0",1100,900)</f>
        <v>1100</v>
      </c>
    </row>
    <row r="118" spans="1:4">
      <c r="A118" s="111" t="s">
        <v>550</v>
      </c>
      <c r="B118" s="92">
        <v>100</v>
      </c>
      <c r="C118" s="92">
        <v>115</v>
      </c>
    </row>
    <row r="119" spans="1:4">
      <c r="A119" s="137" t="s">
        <v>556</v>
      </c>
      <c r="B119" s="92">
        <v>58</v>
      </c>
      <c r="C119" s="92">
        <v>100</v>
      </c>
    </row>
    <row r="120" spans="1:4">
      <c r="A120" s="111" t="s">
        <v>597</v>
      </c>
      <c r="B120" s="92">
        <v>900</v>
      </c>
      <c r="C120" s="92">
        <v>1050</v>
      </c>
      <c r="D120" s="14"/>
    </row>
    <row r="121" spans="1:4">
      <c r="A121" s="111" t="s">
        <v>598</v>
      </c>
      <c r="B121" s="92">
        <v>4800</v>
      </c>
      <c r="C121" s="92">
        <v>5300</v>
      </c>
      <c r="D121" s="14"/>
    </row>
    <row r="122" spans="1:4">
      <c r="B122" s="14"/>
      <c r="C122" s="14"/>
      <c r="D122" s="14"/>
    </row>
    <row r="123" spans="1:4">
      <c r="A123" s="76" t="s">
        <v>599</v>
      </c>
      <c r="B123" s="14"/>
      <c r="C123" s="14"/>
      <c r="D123" s="14"/>
    </row>
    <row r="124" spans="1:4">
      <c r="B124" s="14"/>
      <c r="C124" s="14"/>
      <c r="D124" s="14"/>
    </row>
    <row r="125" spans="1:4">
      <c r="B125" s="14"/>
      <c r="C125" s="14"/>
      <c r="D125" s="14"/>
    </row>
    <row r="126" spans="1:4">
      <c r="B126" s="14"/>
      <c r="C126" s="14"/>
      <c r="D126" s="14"/>
    </row>
    <row r="127" spans="1:4">
      <c r="B127" s="14"/>
      <c r="C127" s="14"/>
    </row>
    <row r="128" spans="1:4">
      <c r="B128" s="14"/>
      <c r="C128" s="14"/>
    </row>
    <row r="129" spans="1:10">
      <c r="D129" s="100"/>
      <c r="E129" s="100"/>
      <c r="F129" s="100"/>
      <c r="G129" s="100"/>
    </row>
    <row r="130" spans="1:10" ht="12.95">
      <c r="A130" s="100"/>
      <c r="B130" s="101" t="s">
        <v>206</v>
      </c>
      <c r="C130" s="100"/>
      <c r="D130" s="100"/>
      <c r="E130" s="100"/>
      <c r="F130" s="100"/>
      <c r="G130" s="100"/>
    </row>
    <row r="131" spans="1:10">
      <c r="A131" s="127" t="s">
        <v>600</v>
      </c>
      <c r="B131" s="100">
        <v>1500</v>
      </c>
      <c r="C131" s="100"/>
      <c r="D131" s="100"/>
      <c r="E131" s="100"/>
      <c r="F131" s="100"/>
      <c r="G131" s="100"/>
    </row>
    <row r="132" spans="1:10">
      <c r="A132" s="127" t="s">
        <v>601</v>
      </c>
      <c r="B132" s="100">
        <v>3000</v>
      </c>
      <c r="C132" s="100"/>
      <c r="D132" s="100"/>
      <c r="E132" s="100"/>
      <c r="F132" s="100"/>
      <c r="G132" s="100"/>
    </row>
    <row r="133" spans="1:10">
      <c r="A133" s="100"/>
      <c r="B133" s="100"/>
      <c r="C133" s="100"/>
      <c r="D133" s="100"/>
      <c r="E133" s="100"/>
      <c r="F133" s="100"/>
      <c r="G133" s="100"/>
    </row>
    <row r="134" spans="1:10" ht="12.95">
      <c r="A134" s="100"/>
      <c r="B134" s="100"/>
      <c r="C134" s="100"/>
      <c r="J134" s="103"/>
    </row>
    <row r="135" spans="1:10" ht="12.95">
      <c r="A135" s="100"/>
      <c r="B135" s="101" t="s">
        <v>602</v>
      </c>
      <c r="C135" s="101" t="s">
        <v>603</v>
      </c>
      <c r="D135" s="103" t="s">
        <v>381</v>
      </c>
      <c r="E135" s="103" t="s">
        <v>382</v>
      </c>
      <c r="F135" s="103" t="s">
        <v>202</v>
      </c>
      <c r="G135" s="101" t="s">
        <v>604</v>
      </c>
      <c r="H135" s="103" t="s">
        <v>605</v>
      </c>
      <c r="I135" s="103" t="s">
        <v>606</v>
      </c>
      <c r="J135" s="100"/>
    </row>
    <row r="136" spans="1:10">
      <c r="A136" s="127" t="s">
        <v>607</v>
      </c>
      <c r="B136" s="100">
        <v>750</v>
      </c>
      <c r="C136" s="100">
        <v>675</v>
      </c>
      <c r="D136" s="100">
        <v>6</v>
      </c>
      <c r="E136" s="100">
        <v>40</v>
      </c>
      <c r="F136" s="100">
        <v>1125</v>
      </c>
      <c r="G136" s="100">
        <v>1012.5</v>
      </c>
      <c r="H136" s="100">
        <v>2800</v>
      </c>
      <c r="I136" s="100">
        <v>6550</v>
      </c>
      <c r="J136" s="100"/>
    </row>
    <row r="137" spans="1:10">
      <c r="A137" s="127" t="s">
        <v>608</v>
      </c>
      <c r="B137" s="100">
        <v>2350</v>
      </c>
      <c r="C137" s="100">
        <v>2115</v>
      </c>
      <c r="D137" s="100">
        <v>11</v>
      </c>
      <c r="E137" s="100">
        <v>70</v>
      </c>
      <c r="F137" s="100">
        <v>2550</v>
      </c>
      <c r="G137" s="100">
        <v>2295</v>
      </c>
      <c r="H137" s="100">
        <v>7050</v>
      </c>
      <c r="I137" s="100">
        <v>9400</v>
      </c>
    </row>
    <row r="138" spans="1:10" ht="12.75"/>
  </sheetData>
  <mergeCells count="11">
    <mergeCell ref="A6:B6"/>
    <mergeCell ref="A39:D39"/>
    <mergeCell ref="H39:L48"/>
    <mergeCell ref="A40:D40"/>
    <mergeCell ref="A97:C97"/>
    <mergeCell ref="A5:B5"/>
    <mergeCell ref="A1:E1"/>
    <mergeCell ref="A2:B2"/>
    <mergeCell ref="A3:B3"/>
    <mergeCell ref="F3:G3"/>
    <mergeCell ref="A4:B4"/>
  </mergeCells>
  <dataValidations count="2">
    <dataValidation type="list" allowBlank="1" showInputMessage="1" showErrorMessage="1" sqref="N11" xr:uid="{7B6A7471-63EC-41A3-A4C8-D834DFF7842C}">
      <formula1>$B$136:$B$137</formula1>
    </dataValidation>
    <dataValidation type="list" allowBlank="1" showInputMessage="1" showErrorMessage="1" sqref="E9" xr:uid="{13945E78-FC0B-425F-920D-225F8D2B3865}">
      <formula1>"vCSA8.0, vCSA7.0"</formula1>
    </dataValidation>
  </dataValidations>
  <hyperlinks>
    <hyperlink ref="F3:G3" location="Shortcuts!A1" display="Back to shortcuts" xr:uid="{AB614BE2-D353-439E-BD63-77B73B61F4A1}"/>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E5A8-4288-43ED-9E2C-D2807A96C34B}">
  <dimension ref="A1:AV142"/>
  <sheetViews>
    <sheetView topLeftCell="A72" zoomScale="80" zoomScaleNormal="80" zoomScalePageLayoutView="70" workbookViewId="0">
      <selection activeCell="A103" sqref="A103:XFD104"/>
    </sheetView>
  </sheetViews>
  <sheetFormatPr defaultColWidth="8.85546875" defaultRowHeight="12.6"/>
  <cols>
    <col min="1" max="1" width="35.140625" style="6" customWidth="1"/>
    <col min="2" max="2" width="14.140625" style="6" customWidth="1"/>
    <col min="3" max="3" width="17.42578125" style="6" customWidth="1"/>
    <col min="4" max="4" width="23.140625" style="6" customWidth="1"/>
    <col min="5" max="5" width="55.140625" style="6" customWidth="1"/>
    <col min="6" max="7" width="8.85546875" style="6"/>
    <col min="8" max="8" width="21.140625" style="6" customWidth="1"/>
    <col min="9" max="10" width="8.85546875" style="6"/>
    <col min="11" max="11" width="17.85546875" style="6" customWidth="1"/>
    <col min="12" max="12" width="8.85546875" style="6"/>
    <col min="13" max="13" width="9.85546875" style="6" customWidth="1"/>
    <col min="14" max="14" width="8.85546875" style="6"/>
    <col min="15" max="15" width="11.85546875" style="6" customWidth="1"/>
    <col min="16" max="16" width="8.85546875" style="6"/>
    <col min="17" max="17" width="9.85546875" style="6" customWidth="1"/>
    <col min="18" max="18" width="8.85546875" style="6"/>
    <col min="19" max="19" width="9.85546875" style="6" customWidth="1"/>
    <col min="20" max="20" width="8.85546875" style="6"/>
    <col min="21" max="21" width="9.85546875" style="6" customWidth="1"/>
    <col min="22" max="22" width="8.85546875" style="6"/>
    <col min="23" max="23" width="9.85546875" style="6" customWidth="1"/>
    <col min="24" max="24" width="11.140625" style="6" customWidth="1"/>
    <col min="25" max="26" width="9.85546875" style="6" customWidth="1"/>
    <col min="27" max="34" width="13.85546875" style="6" customWidth="1"/>
    <col min="35" max="35" width="16.5703125" style="6" customWidth="1"/>
    <col min="36" max="36" width="15.42578125" style="6" customWidth="1"/>
    <col min="37" max="37" width="16.85546875" style="6" customWidth="1"/>
    <col min="38" max="41" width="15.42578125" style="6" customWidth="1"/>
    <col min="42" max="44" width="13.85546875" style="6" customWidth="1"/>
    <col min="45" max="45" width="16" style="6" customWidth="1"/>
    <col min="46" max="46" width="22" style="6" customWidth="1"/>
    <col min="47" max="47" width="12.140625" style="6" customWidth="1"/>
    <col min="48" max="48" width="13.140625" style="6" customWidth="1"/>
    <col min="49" max="16384" width="8.85546875" style="6"/>
  </cols>
  <sheetData>
    <row r="1" spans="1:48" ht="12.95">
      <c r="A1" s="189" t="s">
        <v>38</v>
      </c>
      <c r="B1" s="189"/>
      <c r="C1" s="189"/>
      <c r="D1" s="189"/>
      <c r="E1" s="190"/>
      <c r="F1" s="7" t="s">
        <v>409</v>
      </c>
    </row>
    <row r="2" spans="1:48" ht="14.45">
      <c r="A2" s="171" t="s">
        <v>410</v>
      </c>
      <c r="B2" s="172"/>
      <c r="C2" s="114"/>
      <c r="D2" s="6" t="s">
        <v>518</v>
      </c>
      <c r="F2" s="7"/>
    </row>
    <row r="3" spans="1:48" ht="14.45">
      <c r="A3" s="171" t="s">
        <v>412</v>
      </c>
      <c r="B3" s="172"/>
      <c r="C3" s="6" t="s">
        <v>411</v>
      </c>
      <c r="F3" s="173" t="s">
        <v>413</v>
      </c>
      <c r="G3" s="173"/>
    </row>
    <row r="4" spans="1:48" ht="14.45">
      <c r="A4" s="171" t="s">
        <v>414</v>
      </c>
      <c r="B4" s="172"/>
      <c r="C4" s="6" t="s">
        <v>519</v>
      </c>
    </row>
    <row r="5" spans="1:48" ht="12.95">
      <c r="A5" s="171" t="s">
        <v>415</v>
      </c>
      <c r="B5" s="171"/>
      <c r="C5" s="6" t="s">
        <v>609</v>
      </c>
    </row>
    <row r="6" spans="1:48" ht="12.95">
      <c r="A6" s="171" t="s">
        <v>416</v>
      </c>
      <c r="B6" s="171"/>
      <c r="C6" s="16"/>
    </row>
    <row r="7" spans="1:48" ht="26.1">
      <c r="A7" s="9" t="s">
        <v>179</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610</v>
      </c>
      <c r="AA7" s="8" t="s">
        <v>423</v>
      </c>
      <c r="AB7" s="8" t="s">
        <v>426</v>
      </c>
      <c r="AC7" s="8" t="s">
        <v>423</v>
      </c>
      <c r="AD7" s="8" t="s">
        <v>427</v>
      </c>
      <c r="AE7" s="8" t="s">
        <v>423</v>
      </c>
      <c r="AF7" s="8" t="s">
        <v>522</v>
      </c>
      <c r="AG7" s="8" t="s">
        <v>423</v>
      </c>
      <c r="AH7" s="8" t="s">
        <v>428</v>
      </c>
      <c r="AI7" s="8" t="s">
        <v>423</v>
      </c>
      <c r="AJ7" s="8" t="s">
        <v>429</v>
      </c>
      <c r="AK7" s="8" t="s">
        <v>423</v>
      </c>
      <c r="AL7" s="8" t="s">
        <v>523</v>
      </c>
      <c r="AM7" s="8" t="s">
        <v>423</v>
      </c>
      <c r="AN7" s="8" t="s">
        <v>524</v>
      </c>
      <c r="AO7" s="8" t="s">
        <v>423</v>
      </c>
      <c r="AP7" s="83" t="s">
        <v>525</v>
      </c>
      <c r="AQ7" s="8" t="s">
        <v>423</v>
      </c>
      <c r="AR7" s="8" t="s">
        <v>477</v>
      </c>
      <c r="AS7" s="8" t="s">
        <v>423</v>
      </c>
      <c r="AT7" s="8" t="s">
        <v>431</v>
      </c>
      <c r="AU7" s="8" t="s">
        <v>432</v>
      </c>
      <c r="AV7" s="8" t="s">
        <v>433</v>
      </c>
    </row>
    <row r="8" spans="1:48">
      <c r="A8" s="6" t="s">
        <v>434</v>
      </c>
      <c r="B8" s="14"/>
      <c r="C8" s="21"/>
      <c r="D8" s="6" t="s">
        <v>435</v>
      </c>
      <c r="E8" s="6" t="s">
        <v>42</v>
      </c>
      <c r="F8" s="14">
        <v>4</v>
      </c>
      <c r="G8" s="14">
        <v>8</v>
      </c>
      <c r="H8" s="14">
        <v>0</v>
      </c>
      <c r="I8" s="14">
        <v>351</v>
      </c>
      <c r="J8" s="86">
        <f>IF(G8&gt;=10,16, 4)</f>
        <v>4</v>
      </c>
      <c r="K8" s="14" t="s">
        <v>526</v>
      </c>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t="s">
        <v>437</v>
      </c>
      <c r="AU8" s="14"/>
      <c r="AV8" s="14"/>
    </row>
    <row r="9" spans="1:48">
      <c r="A9" s="6" t="s">
        <v>438</v>
      </c>
      <c r="B9" s="14"/>
      <c r="C9" s="21"/>
      <c r="D9" s="114" t="s">
        <v>527</v>
      </c>
      <c r="E9" s="114" t="s">
        <v>439</v>
      </c>
      <c r="F9" s="14">
        <v>4</v>
      </c>
      <c r="G9" s="14">
        <v>21</v>
      </c>
      <c r="H9" s="14">
        <v>0</v>
      </c>
      <c r="I9" s="104">
        <f>IF(E9="vCSA8.0",600, 450)</f>
        <v>600</v>
      </c>
      <c r="J9" s="86">
        <v>25</v>
      </c>
      <c r="K9" s="14" t="s">
        <v>526</v>
      </c>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t="s">
        <v>437</v>
      </c>
      <c r="AU9" s="14"/>
      <c r="AV9" s="14"/>
    </row>
    <row r="10" spans="1:48">
      <c r="A10" s="6" t="s">
        <v>440</v>
      </c>
      <c r="B10" s="14" t="s">
        <v>441</v>
      </c>
      <c r="C10" s="21" t="s">
        <v>442</v>
      </c>
      <c r="D10" s="6" t="s">
        <v>435</v>
      </c>
      <c r="E10" s="6" t="s">
        <v>50</v>
      </c>
      <c r="F10" s="14">
        <v>4</v>
      </c>
      <c r="G10" s="14">
        <v>8</v>
      </c>
      <c r="H10" s="14">
        <v>8</v>
      </c>
      <c r="I10" s="14">
        <v>41</v>
      </c>
      <c r="J10" s="86">
        <f t="shared" ref="J10:J35" si="0">IF(G10&gt;=10,16, 4)</f>
        <v>4</v>
      </c>
      <c r="K10" s="14" t="s">
        <v>528</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t="s">
        <v>437</v>
      </c>
      <c r="AU10" s="14"/>
      <c r="AV10" s="14"/>
    </row>
    <row r="11" spans="1:48">
      <c r="A11" s="6" t="s">
        <v>444</v>
      </c>
      <c r="B11" s="14"/>
      <c r="C11" s="21" t="s">
        <v>442</v>
      </c>
      <c r="D11" s="6" t="s">
        <v>435</v>
      </c>
      <c r="E11" s="6" t="s">
        <v>53</v>
      </c>
      <c r="F11" s="14">
        <v>11</v>
      </c>
      <c r="G11" s="14">
        <v>70</v>
      </c>
      <c r="H11" s="14">
        <f>(G11*82.5)/100</f>
        <v>57.75</v>
      </c>
      <c r="I11" s="14">
        <v>101</v>
      </c>
      <c r="J11" s="86">
        <f t="shared" si="0"/>
        <v>16</v>
      </c>
      <c r="K11" s="14" t="s">
        <v>529</v>
      </c>
      <c r="L11" s="14">
        <v>66</v>
      </c>
      <c r="M11" s="14" t="s">
        <v>445</v>
      </c>
      <c r="N11" s="104">
        <v>1500</v>
      </c>
      <c r="O11" s="14" t="s">
        <v>446</v>
      </c>
      <c r="P11" s="14">
        <v>2250</v>
      </c>
      <c r="Q11" s="14" t="s">
        <v>447</v>
      </c>
      <c r="R11" s="14"/>
      <c r="S11" s="14"/>
      <c r="T11" s="14"/>
      <c r="U11" s="14"/>
      <c r="V11" s="14"/>
      <c r="W11" s="14"/>
      <c r="X11" s="31">
        <v>6525</v>
      </c>
      <c r="Y11" s="14" t="s">
        <v>206</v>
      </c>
      <c r="Z11" s="14"/>
      <c r="AA11" s="14"/>
      <c r="AB11" s="14"/>
      <c r="AC11" s="14"/>
      <c r="AD11" s="14"/>
      <c r="AE11" s="14"/>
      <c r="AF11" s="14"/>
      <c r="AG11" s="14"/>
      <c r="AH11" s="14"/>
      <c r="AI11" s="14"/>
      <c r="AJ11" s="14"/>
      <c r="AK11" s="14"/>
      <c r="AL11" s="14"/>
      <c r="AM11" s="14"/>
      <c r="AN11" s="14"/>
      <c r="AO11" s="14"/>
      <c r="AP11" s="14">
        <v>2500</v>
      </c>
      <c r="AQ11" s="14" t="s">
        <v>530</v>
      </c>
      <c r="AR11" s="14"/>
      <c r="AS11" s="14"/>
      <c r="AT11" s="14" t="s">
        <v>437</v>
      </c>
      <c r="AU11" s="14"/>
      <c r="AV11" s="14"/>
    </row>
    <row r="12" spans="1:48">
      <c r="A12" s="6" t="s">
        <v>448</v>
      </c>
      <c r="B12" s="14" t="s">
        <v>441</v>
      </c>
      <c r="C12" s="21" t="s">
        <v>442</v>
      </c>
      <c r="D12" s="6" t="s">
        <v>435</v>
      </c>
      <c r="E12" s="6" t="s">
        <v>57</v>
      </c>
      <c r="F12" s="14">
        <v>6</v>
      </c>
      <c r="G12" s="14">
        <v>9</v>
      </c>
      <c r="H12" s="14">
        <v>9</v>
      </c>
      <c r="I12" s="14">
        <v>46</v>
      </c>
      <c r="J12" s="86">
        <f t="shared" si="0"/>
        <v>4</v>
      </c>
      <c r="K12" s="14" t="s">
        <v>531</v>
      </c>
      <c r="L12" s="14"/>
      <c r="M12" s="14"/>
      <c r="N12" s="14"/>
      <c r="O12" s="14"/>
      <c r="P12" s="14"/>
      <c r="Q12" s="14"/>
      <c r="R12" s="14">
        <v>430</v>
      </c>
      <c r="S12" s="14" t="s">
        <v>449</v>
      </c>
      <c r="T12" s="14">
        <v>300</v>
      </c>
      <c r="U12" s="14" t="s">
        <v>222</v>
      </c>
      <c r="V12" s="14"/>
      <c r="W12" s="14"/>
      <c r="X12" s="14">
        <v>330</v>
      </c>
      <c r="Y12" s="14" t="s">
        <v>206</v>
      </c>
      <c r="Z12" s="14"/>
      <c r="AA12" s="14"/>
      <c r="AB12" s="14"/>
      <c r="AC12" s="14"/>
      <c r="AD12" s="14"/>
      <c r="AE12" s="14"/>
      <c r="AF12" s="14"/>
      <c r="AG12" s="14"/>
      <c r="AH12" s="14"/>
      <c r="AI12" s="14"/>
      <c r="AJ12" s="14"/>
      <c r="AK12" s="14"/>
      <c r="AL12" s="14"/>
      <c r="AM12" s="14"/>
      <c r="AN12" s="14"/>
      <c r="AO12" s="14"/>
      <c r="AP12" s="14"/>
      <c r="AQ12" s="14"/>
      <c r="AR12" s="14"/>
      <c r="AS12" s="14"/>
      <c r="AT12" s="14" t="s">
        <v>437</v>
      </c>
      <c r="AU12" s="14"/>
      <c r="AV12" s="14"/>
    </row>
    <row r="13" spans="1:48">
      <c r="A13" s="6" t="s">
        <v>450</v>
      </c>
      <c r="B13" s="14"/>
      <c r="C13" s="21" t="s">
        <v>442</v>
      </c>
      <c r="D13" s="6" t="s">
        <v>435</v>
      </c>
      <c r="E13" s="6" t="s">
        <v>61</v>
      </c>
      <c r="F13" s="14">
        <v>2</v>
      </c>
      <c r="G13" s="14">
        <v>3</v>
      </c>
      <c r="H13" s="14">
        <v>0</v>
      </c>
      <c r="I13" s="14">
        <v>31</v>
      </c>
      <c r="J13" s="86">
        <f t="shared" si="0"/>
        <v>4</v>
      </c>
      <c r="K13" s="14" t="s">
        <v>528</v>
      </c>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t="s">
        <v>437</v>
      </c>
      <c r="AU13" s="14" t="s">
        <v>437</v>
      </c>
      <c r="AV13" s="14" t="s">
        <v>437</v>
      </c>
    </row>
    <row r="14" spans="1:48">
      <c r="A14" s="6" t="s">
        <v>451</v>
      </c>
      <c r="B14" s="14"/>
      <c r="C14" s="21" t="s">
        <v>442</v>
      </c>
      <c r="D14" s="6" t="s">
        <v>435</v>
      </c>
      <c r="E14" s="6" t="s">
        <v>65</v>
      </c>
      <c r="F14" s="14">
        <v>2</v>
      </c>
      <c r="G14" s="14">
        <v>5</v>
      </c>
      <c r="H14" s="14">
        <v>0</v>
      </c>
      <c r="I14" s="14">
        <v>31</v>
      </c>
      <c r="J14" s="86">
        <f t="shared" si="0"/>
        <v>4</v>
      </c>
      <c r="K14" s="14" t="s">
        <v>529</v>
      </c>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t="s">
        <v>437</v>
      </c>
      <c r="AU14" s="14"/>
      <c r="AV14" s="14"/>
    </row>
    <row r="15" spans="1:48">
      <c r="A15" s="6" t="s">
        <v>452</v>
      </c>
      <c r="B15" s="14"/>
      <c r="C15" s="21" t="s">
        <v>442</v>
      </c>
      <c r="D15" s="6" t="s">
        <v>435</v>
      </c>
      <c r="E15" s="6" t="s">
        <v>611</v>
      </c>
      <c r="F15" s="14">
        <v>3</v>
      </c>
      <c r="G15" s="14">
        <v>6</v>
      </c>
      <c r="H15" s="14">
        <v>0</v>
      </c>
      <c r="I15" s="14">
        <v>41</v>
      </c>
      <c r="J15" s="86">
        <f t="shared" si="0"/>
        <v>4</v>
      </c>
      <c r="K15" s="14" t="s">
        <v>531</v>
      </c>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t="s">
        <v>437</v>
      </c>
      <c r="AU15" s="14" t="s">
        <v>437</v>
      </c>
      <c r="AV15" s="14"/>
    </row>
    <row r="16" spans="1:48">
      <c r="A16" s="6" t="s">
        <v>454</v>
      </c>
      <c r="B16" s="14"/>
      <c r="C16" s="21" t="s">
        <v>442</v>
      </c>
      <c r="D16" s="6" t="s">
        <v>435</v>
      </c>
      <c r="E16" s="6" t="s">
        <v>455</v>
      </c>
      <c r="F16" s="14">
        <v>5</v>
      </c>
      <c r="G16" s="14">
        <v>5</v>
      </c>
      <c r="H16" s="14">
        <v>0</v>
      </c>
      <c r="I16" s="14">
        <v>56</v>
      </c>
      <c r="J16" s="86">
        <f t="shared" si="0"/>
        <v>4</v>
      </c>
      <c r="K16" s="14" t="s">
        <v>528</v>
      </c>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t="s">
        <v>437</v>
      </c>
      <c r="AU16" s="14" t="s">
        <v>437</v>
      </c>
      <c r="AV16" s="14"/>
    </row>
    <row r="17" spans="1:48">
      <c r="A17" s="6" t="s">
        <v>456</v>
      </c>
      <c r="B17" s="14"/>
      <c r="C17" s="21" t="s">
        <v>442</v>
      </c>
      <c r="D17" s="6" t="s">
        <v>435</v>
      </c>
      <c r="E17" s="6" t="s">
        <v>77</v>
      </c>
      <c r="F17" s="14">
        <v>8</v>
      </c>
      <c r="G17" s="14">
        <v>13</v>
      </c>
      <c r="H17" s="14">
        <v>0</v>
      </c>
      <c r="I17" s="14">
        <v>81</v>
      </c>
      <c r="J17" s="86">
        <f t="shared" si="0"/>
        <v>16</v>
      </c>
      <c r="K17" s="14" t="s">
        <v>529</v>
      </c>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t="s">
        <v>437</v>
      </c>
      <c r="AU17" s="14" t="s">
        <v>437</v>
      </c>
      <c r="AV17" s="14"/>
    </row>
    <row r="18" spans="1:48">
      <c r="A18" s="6" t="s">
        <v>457</v>
      </c>
      <c r="B18" s="14"/>
      <c r="C18" s="21" t="s">
        <v>442</v>
      </c>
      <c r="D18" s="6" t="s">
        <v>435</v>
      </c>
      <c r="E18" s="6" t="s">
        <v>81</v>
      </c>
      <c r="F18" s="14">
        <v>4</v>
      </c>
      <c r="G18" s="14">
        <v>4</v>
      </c>
      <c r="H18" s="14">
        <v>0</v>
      </c>
      <c r="I18" s="14">
        <v>31</v>
      </c>
      <c r="J18" s="86">
        <f t="shared" si="0"/>
        <v>4</v>
      </c>
      <c r="K18" s="14" t="s">
        <v>531</v>
      </c>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t="s">
        <v>437</v>
      </c>
      <c r="AU18" s="14" t="s">
        <v>437</v>
      </c>
      <c r="AV18" s="14" t="s">
        <v>437</v>
      </c>
    </row>
    <row r="19" spans="1:48">
      <c r="A19" s="6" t="s">
        <v>458</v>
      </c>
      <c r="B19" s="14"/>
      <c r="C19" s="21" t="s">
        <v>442</v>
      </c>
      <c r="D19" s="6" t="s">
        <v>435</v>
      </c>
      <c r="E19" s="6" t="s">
        <v>459</v>
      </c>
      <c r="F19" s="14">
        <v>8</v>
      </c>
      <c r="G19" s="14">
        <v>13</v>
      </c>
      <c r="H19" s="14">
        <v>0</v>
      </c>
      <c r="I19" s="14">
        <v>109</v>
      </c>
      <c r="J19" s="86">
        <f t="shared" si="0"/>
        <v>16</v>
      </c>
      <c r="K19" s="14" t="s">
        <v>528</v>
      </c>
      <c r="L19" s="14"/>
      <c r="M19" s="14"/>
      <c r="N19" s="14"/>
      <c r="O19" s="14"/>
      <c r="P19" s="14"/>
      <c r="Q19" s="14"/>
      <c r="R19" s="14"/>
      <c r="S19" s="14"/>
      <c r="T19" s="14"/>
      <c r="U19" s="14"/>
      <c r="V19" s="14"/>
      <c r="W19" s="14"/>
      <c r="X19" s="14"/>
      <c r="Y19" s="14"/>
      <c r="Z19" s="14"/>
      <c r="AA19" s="14"/>
      <c r="AB19" s="14">
        <v>50</v>
      </c>
      <c r="AC19" s="14" t="s">
        <v>531</v>
      </c>
      <c r="AD19" s="14"/>
      <c r="AE19" s="14"/>
      <c r="AF19" s="14"/>
      <c r="AG19" s="14"/>
      <c r="AH19" s="14"/>
      <c r="AI19" s="14"/>
      <c r="AJ19" s="14"/>
      <c r="AK19" s="14"/>
      <c r="AL19" s="14"/>
      <c r="AM19" s="14"/>
      <c r="AN19" s="14"/>
      <c r="AO19" s="14"/>
      <c r="AP19" s="14"/>
      <c r="AQ19" s="14"/>
      <c r="AR19" s="14"/>
      <c r="AS19" s="14"/>
      <c r="AT19" s="14" t="s">
        <v>437</v>
      </c>
      <c r="AU19" s="14"/>
      <c r="AV19" s="14"/>
    </row>
    <row r="20" spans="1:48">
      <c r="A20" s="6" t="s">
        <v>460</v>
      </c>
      <c r="B20" s="14"/>
      <c r="C20" s="21" t="s">
        <v>442</v>
      </c>
      <c r="D20" s="6" t="s">
        <v>435</v>
      </c>
      <c r="E20" s="6" t="s">
        <v>88</v>
      </c>
      <c r="F20" s="14">
        <v>6</v>
      </c>
      <c r="G20" s="14">
        <v>7</v>
      </c>
      <c r="H20" s="14">
        <v>0</v>
      </c>
      <c r="I20" s="14">
        <v>131</v>
      </c>
      <c r="J20" s="86">
        <f t="shared" si="0"/>
        <v>4</v>
      </c>
      <c r="K20" s="14" t="s">
        <v>529</v>
      </c>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t="s">
        <v>437</v>
      </c>
      <c r="AU20" s="14" t="s">
        <v>437</v>
      </c>
      <c r="AV20" s="14"/>
    </row>
    <row r="21" spans="1:48">
      <c r="A21" s="6" t="s">
        <v>461</v>
      </c>
      <c r="B21" s="14"/>
      <c r="C21" s="21" t="s">
        <v>442</v>
      </c>
      <c r="D21" s="6" t="s">
        <v>435</v>
      </c>
      <c r="E21" s="6" t="s">
        <v>612</v>
      </c>
      <c r="F21" s="14">
        <v>5</v>
      </c>
      <c r="G21" s="14">
        <v>6</v>
      </c>
      <c r="H21" s="14">
        <v>0</v>
      </c>
      <c r="I21" s="14">
        <v>61</v>
      </c>
      <c r="J21" s="86">
        <f t="shared" si="0"/>
        <v>4</v>
      </c>
      <c r="K21" s="14" t="s">
        <v>531</v>
      </c>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t="s">
        <v>437</v>
      </c>
      <c r="AU21" s="14"/>
      <c r="AV21" s="14"/>
    </row>
    <row r="22" spans="1:48">
      <c r="A22" s="6" t="s">
        <v>462</v>
      </c>
      <c r="B22" s="14"/>
      <c r="C22" s="21" t="s">
        <v>442</v>
      </c>
      <c r="D22" s="6" t="s">
        <v>435</v>
      </c>
      <c r="E22" s="6" t="s">
        <v>612</v>
      </c>
      <c r="F22" s="14">
        <v>5</v>
      </c>
      <c r="G22" s="14">
        <v>6</v>
      </c>
      <c r="H22" s="14">
        <v>0</v>
      </c>
      <c r="I22" s="14">
        <v>61</v>
      </c>
      <c r="J22" s="86">
        <f t="shared" si="0"/>
        <v>4</v>
      </c>
      <c r="K22" s="14" t="s">
        <v>528</v>
      </c>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t="s">
        <v>437</v>
      </c>
      <c r="AU22" s="14"/>
      <c r="AV22" s="14"/>
    </row>
    <row r="23" spans="1:48">
      <c r="A23" s="6" t="s">
        <v>463</v>
      </c>
      <c r="B23" s="14"/>
      <c r="C23" s="21" t="s">
        <v>442</v>
      </c>
      <c r="D23" s="6" t="s">
        <v>435</v>
      </c>
      <c r="E23" s="6" t="s">
        <v>96</v>
      </c>
      <c r="F23" s="14">
        <v>5</v>
      </c>
      <c r="G23" s="14">
        <v>13</v>
      </c>
      <c r="H23" s="14">
        <v>0</v>
      </c>
      <c r="I23" s="14">
        <v>63</v>
      </c>
      <c r="J23" s="86">
        <f t="shared" si="0"/>
        <v>16</v>
      </c>
      <c r="K23" s="14" t="s">
        <v>529</v>
      </c>
      <c r="L23" s="14"/>
      <c r="M23" s="14"/>
      <c r="N23" s="14"/>
      <c r="O23" s="14"/>
      <c r="P23" s="14"/>
      <c r="Q23" s="14"/>
      <c r="R23" s="14"/>
      <c r="S23" s="14"/>
      <c r="T23" s="14"/>
      <c r="U23" s="14"/>
      <c r="V23" s="14"/>
      <c r="W23" s="14"/>
      <c r="X23" s="14"/>
      <c r="Y23" s="14"/>
      <c r="Z23" s="14"/>
      <c r="AA23" s="14"/>
      <c r="AB23" s="14"/>
      <c r="AC23" s="14"/>
      <c r="AD23" s="14">
        <v>85</v>
      </c>
      <c r="AE23" s="14" t="s">
        <v>529</v>
      </c>
      <c r="AF23" s="14"/>
      <c r="AG23" s="14"/>
      <c r="AH23" s="14"/>
      <c r="AI23" s="14"/>
      <c r="AJ23" s="14"/>
      <c r="AK23" s="14"/>
      <c r="AL23" s="14"/>
      <c r="AM23" s="14"/>
      <c r="AN23" s="14"/>
      <c r="AO23" s="14"/>
      <c r="AP23" s="14"/>
      <c r="AQ23" s="14"/>
      <c r="AR23" s="14"/>
      <c r="AS23" s="14"/>
      <c r="AT23" s="14" t="s">
        <v>437</v>
      </c>
      <c r="AU23" s="14"/>
      <c r="AV23" s="14"/>
    </row>
    <row r="24" spans="1:48">
      <c r="A24" s="6" t="s">
        <v>464</v>
      </c>
      <c r="B24" s="14"/>
      <c r="C24" s="21" t="s">
        <v>442</v>
      </c>
      <c r="D24" s="6" t="s">
        <v>435</v>
      </c>
      <c r="E24" s="6" t="s">
        <v>100</v>
      </c>
      <c r="F24" s="14">
        <v>5</v>
      </c>
      <c r="G24" s="14">
        <v>13</v>
      </c>
      <c r="H24" s="14">
        <v>0</v>
      </c>
      <c r="I24" s="14">
        <v>63</v>
      </c>
      <c r="J24" s="86">
        <f t="shared" si="0"/>
        <v>16</v>
      </c>
      <c r="K24" s="14" t="s">
        <v>531</v>
      </c>
      <c r="L24" s="14"/>
      <c r="M24" s="14"/>
      <c r="N24" s="14"/>
      <c r="O24" s="14"/>
      <c r="P24" s="14"/>
      <c r="Q24" s="14"/>
      <c r="R24" s="14"/>
      <c r="S24" s="14"/>
      <c r="T24" s="14"/>
      <c r="U24" s="14"/>
      <c r="V24" s="14"/>
      <c r="W24" s="14"/>
      <c r="X24" s="14"/>
      <c r="Y24" s="14"/>
      <c r="Z24" s="14"/>
      <c r="AA24" s="14"/>
      <c r="AB24" s="14"/>
      <c r="AC24" s="14"/>
      <c r="AD24" s="14">
        <v>85</v>
      </c>
      <c r="AE24" s="14" t="s">
        <v>531</v>
      </c>
      <c r="AF24" s="14"/>
      <c r="AG24" s="14"/>
      <c r="AH24" s="14"/>
      <c r="AI24" s="14"/>
      <c r="AJ24" s="14"/>
      <c r="AK24" s="14"/>
      <c r="AL24" s="14"/>
      <c r="AM24" s="14"/>
      <c r="AN24" s="14"/>
      <c r="AO24" s="14"/>
      <c r="AP24" s="14"/>
      <c r="AQ24" s="14"/>
      <c r="AR24" s="14"/>
      <c r="AS24" s="14"/>
      <c r="AT24" s="14" t="s">
        <v>437</v>
      </c>
      <c r="AU24" s="14"/>
      <c r="AV24" s="14"/>
    </row>
    <row r="25" spans="1:48">
      <c r="A25" s="6" t="s">
        <v>487</v>
      </c>
      <c r="B25" s="14"/>
      <c r="C25" s="21" t="s">
        <v>442</v>
      </c>
      <c r="D25" s="6" t="s">
        <v>435</v>
      </c>
      <c r="E25" s="6" t="s">
        <v>104</v>
      </c>
      <c r="F25" s="14">
        <v>5</v>
      </c>
      <c r="G25" s="14">
        <v>9</v>
      </c>
      <c r="H25" s="14">
        <v>0</v>
      </c>
      <c r="I25" s="14">
        <v>41</v>
      </c>
      <c r="J25" s="86">
        <f t="shared" si="0"/>
        <v>4</v>
      </c>
      <c r="K25" s="14" t="s">
        <v>528</v>
      </c>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t="s">
        <v>437</v>
      </c>
      <c r="AU25" s="14"/>
      <c r="AV25" s="14"/>
    </row>
    <row r="26" spans="1:48">
      <c r="A26" s="6" t="s">
        <v>489</v>
      </c>
      <c r="B26" s="14"/>
      <c r="C26" s="21" t="s">
        <v>442</v>
      </c>
      <c r="D26" s="6" t="s">
        <v>435</v>
      </c>
      <c r="E26" s="6" t="s">
        <v>104</v>
      </c>
      <c r="F26" s="14">
        <v>5</v>
      </c>
      <c r="G26" s="14">
        <v>9</v>
      </c>
      <c r="H26" s="14">
        <v>0</v>
      </c>
      <c r="I26" s="14">
        <v>41</v>
      </c>
      <c r="J26" s="86">
        <f t="shared" si="0"/>
        <v>4</v>
      </c>
      <c r="K26" s="14" t="s">
        <v>529</v>
      </c>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t="s">
        <v>437</v>
      </c>
      <c r="AU26" s="14"/>
      <c r="AV26" s="14"/>
    </row>
    <row r="27" spans="1:48">
      <c r="A27" s="6" t="s">
        <v>613</v>
      </c>
      <c r="B27" s="14"/>
      <c r="C27" s="21" t="s">
        <v>442</v>
      </c>
      <c r="D27" s="6" t="s">
        <v>435</v>
      </c>
      <c r="E27" s="6" t="s">
        <v>108</v>
      </c>
      <c r="F27" s="14">
        <v>8</v>
      </c>
      <c r="G27" s="14">
        <v>35</v>
      </c>
      <c r="H27" s="14">
        <v>35</v>
      </c>
      <c r="I27" s="14">
        <v>136</v>
      </c>
      <c r="J27" s="86">
        <f t="shared" si="0"/>
        <v>16</v>
      </c>
      <c r="K27" s="14" t="s">
        <v>531</v>
      </c>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t="s">
        <v>437</v>
      </c>
      <c r="AU27" s="14" t="s">
        <v>437</v>
      </c>
      <c r="AV27" s="14"/>
    </row>
    <row r="28" spans="1:48">
      <c r="A28" s="6" t="s">
        <v>614</v>
      </c>
      <c r="B28" s="14"/>
      <c r="C28" s="21" t="s">
        <v>442</v>
      </c>
      <c r="D28" s="6" t="s">
        <v>435</v>
      </c>
      <c r="E28" s="6" t="s">
        <v>108</v>
      </c>
      <c r="F28" s="14">
        <v>8</v>
      </c>
      <c r="G28" s="14">
        <v>35</v>
      </c>
      <c r="H28" s="14">
        <v>35</v>
      </c>
      <c r="I28" s="14">
        <v>136</v>
      </c>
      <c r="J28" s="86">
        <f t="shared" si="0"/>
        <v>16</v>
      </c>
      <c r="K28" s="14" t="s">
        <v>528</v>
      </c>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t="s">
        <v>437</v>
      </c>
      <c r="AU28" s="14" t="s">
        <v>437</v>
      </c>
      <c r="AV28" s="14"/>
    </row>
    <row r="29" spans="1:48">
      <c r="A29" s="6" t="s">
        <v>615</v>
      </c>
      <c r="B29" s="14"/>
      <c r="C29" s="21" t="s">
        <v>442</v>
      </c>
      <c r="D29" s="6" t="s">
        <v>435</v>
      </c>
      <c r="E29" s="6" t="s">
        <v>108</v>
      </c>
      <c r="F29" s="14">
        <v>8</v>
      </c>
      <c r="G29" s="14">
        <v>35</v>
      </c>
      <c r="H29" s="14">
        <v>35</v>
      </c>
      <c r="I29" s="14">
        <v>136</v>
      </c>
      <c r="J29" s="86">
        <f t="shared" si="0"/>
        <v>16</v>
      </c>
      <c r="K29" s="14" t="s">
        <v>529</v>
      </c>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t="s">
        <v>437</v>
      </c>
      <c r="AU29" s="14" t="s">
        <v>437</v>
      </c>
      <c r="AV29" s="14"/>
    </row>
    <row r="30" spans="1:48">
      <c r="A30" s="6" t="s">
        <v>616</v>
      </c>
      <c r="B30" s="14"/>
      <c r="C30" s="21" t="s">
        <v>442</v>
      </c>
      <c r="D30" s="6" t="s">
        <v>435</v>
      </c>
      <c r="E30" s="6" t="s">
        <v>108</v>
      </c>
      <c r="F30" s="14">
        <v>8</v>
      </c>
      <c r="G30" s="14">
        <v>35</v>
      </c>
      <c r="H30" s="14">
        <v>35</v>
      </c>
      <c r="I30" s="14">
        <v>136</v>
      </c>
      <c r="J30" s="86">
        <f t="shared" si="0"/>
        <v>16</v>
      </c>
      <c r="K30" s="14" t="s">
        <v>531</v>
      </c>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t="s">
        <v>437</v>
      </c>
      <c r="AU30" s="14" t="s">
        <v>437</v>
      </c>
      <c r="AV30" s="14"/>
    </row>
    <row r="31" spans="1:48">
      <c r="A31" s="6" t="s">
        <v>465</v>
      </c>
      <c r="B31" s="14"/>
      <c r="C31" s="21" t="s">
        <v>442</v>
      </c>
      <c r="D31" s="6" t="s">
        <v>435</v>
      </c>
      <c r="E31" s="6" t="s">
        <v>124</v>
      </c>
      <c r="F31" s="14">
        <v>9</v>
      </c>
      <c r="G31" s="14">
        <v>12</v>
      </c>
      <c r="H31" s="14">
        <v>0</v>
      </c>
      <c r="I31" s="14">
        <v>56</v>
      </c>
      <c r="J31" s="86">
        <f t="shared" si="0"/>
        <v>16</v>
      </c>
      <c r="K31" s="14" t="s">
        <v>531</v>
      </c>
      <c r="L31" s="14"/>
      <c r="M31" s="14"/>
      <c r="N31" s="14"/>
      <c r="O31" s="14"/>
      <c r="P31" s="14"/>
      <c r="Q31" s="14"/>
      <c r="R31" s="14"/>
      <c r="S31" s="14"/>
      <c r="T31" s="14"/>
      <c r="U31" s="14"/>
      <c r="V31" s="14"/>
      <c r="W31" s="14"/>
      <c r="X31" s="14"/>
      <c r="Y31" s="14"/>
      <c r="Z31" s="14">
        <v>50</v>
      </c>
      <c r="AA31" s="14" t="s">
        <v>466</v>
      </c>
      <c r="AB31" s="14"/>
      <c r="AC31" s="14"/>
      <c r="AD31" s="14"/>
      <c r="AE31" s="14"/>
      <c r="AF31" s="14"/>
      <c r="AG31" s="14"/>
      <c r="AH31" s="14"/>
      <c r="AI31" s="14"/>
      <c r="AJ31" s="14"/>
      <c r="AK31" s="14"/>
      <c r="AL31" s="14"/>
      <c r="AM31" s="14"/>
      <c r="AN31" s="14"/>
      <c r="AO31" s="14"/>
      <c r="AP31" s="14"/>
      <c r="AQ31" s="14"/>
      <c r="AR31" s="14"/>
      <c r="AS31" s="14"/>
      <c r="AT31" s="14" t="s">
        <v>437</v>
      </c>
      <c r="AU31" s="14"/>
      <c r="AV31" s="14"/>
    </row>
    <row r="32" spans="1:48">
      <c r="A32" s="6" t="s">
        <v>467</v>
      </c>
      <c r="B32" s="14"/>
      <c r="C32" s="21" t="s">
        <v>442</v>
      </c>
      <c r="D32" s="6" t="s">
        <v>435</v>
      </c>
      <c r="E32" s="6" t="s">
        <v>124</v>
      </c>
      <c r="F32" s="14">
        <v>9</v>
      </c>
      <c r="G32" s="14">
        <v>12</v>
      </c>
      <c r="H32" s="14">
        <v>0</v>
      </c>
      <c r="I32" s="14">
        <v>56</v>
      </c>
      <c r="J32" s="86">
        <f t="shared" si="0"/>
        <v>16</v>
      </c>
      <c r="K32" s="14" t="s">
        <v>528</v>
      </c>
      <c r="L32" s="14"/>
      <c r="M32" s="14"/>
      <c r="N32" s="14"/>
      <c r="O32" s="14"/>
      <c r="P32" s="14"/>
      <c r="Q32" s="14"/>
      <c r="R32" s="14"/>
      <c r="S32" s="14"/>
      <c r="T32" s="14"/>
      <c r="U32" s="14"/>
      <c r="V32" s="14"/>
      <c r="W32" s="14"/>
      <c r="X32" s="14"/>
      <c r="Y32" s="14"/>
      <c r="Z32" s="14">
        <v>50</v>
      </c>
      <c r="AA32" s="14" t="s">
        <v>466</v>
      </c>
      <c r="AB32" s="14"/>
      <c r="AC32" s="14"/>
      <c r="AD32" s="14"/>
      <c r="AE32" s="14"/>
      <c r="AF32" s="14"/>
      <c r="AG32" s="14"/>
      <c r="AH32" s="14"/>
      <c r="AI32" s="14"/>
      <c r="AJ32" s="14"/>
      <c r="AK32" s="14"/>
      <c r="AL32" s="14"/>
      <c r="AM32" s="14"/>
      <c r="AN32" s="14"/>
      <c r="AO32" s="14"/>
      <c r="AP32" s="14"/>
      <c r="AQ32" s="14"/>
      <c r="AR32" s="14"/>
      <c r="AS32" s="14"/>
      <c r="AT32" s="14" t="s">
        <v>437</v>
      </c>
      <c r="AU32" s="14"/>
      <c r="AV32" s="14"/>
    </row>
    <row r="33" spans="1:48">
      <c r="A33" s="6" t="s">
        <v>468</v>
      </c>
      <c r="B33" s="14"/>
      <c r="C33" s="21" t="s">
        <v>442</v>
      </c>
      <c r="D33" s="6" t="s">
        <v>435</v>
      </c>
      <c r="E33" s="6" t="s">
        <v>469</v>
      </c>
      <c r="F33" s="14">
        <v>4</v>
      </c>
      <c r="G33" s="14">
        <v>4</v>
      </c>
      <c r="H33" s="14">
        <v>0</v>
      </c>
      <c r="I33" s="14">
        <v>41</v>
      </c>
      <c r="J33" s="86">
        <f t="shared" si="0"/>
        <v>4</v>
      </c>
      <c r="K33" s="14" t="s">
        <v>531</v>
      </c>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t="s">
        <v>437</v>
      </c>
      <c r="AU33" s="14"/>
      <c r="AV33" s="14"/>
    </row>
    <row r="34" spans="1:48">
      <c r="A34" s="6" t="s">
        <v>470</v>
      </c>
      <c r="B34" s="14"/>
      <c r="C34" s="21" t="s">
        <v>442</v>
      </c>
      <c r="D34" s="6" t="s">
        <v>435</v>
      </c>
      <c r="E34" s="6" t="s">
        <v>471</v>
      </c>
      <c r="F34" s="14">
        <v>4</v>
      </c>
      <c r="G34" s="14">
        <v>4</v>
      </c>
      <c r="H34" s="14">
        <v>0</v>
      </c>
      <c r="I34" s="14">
        <v>41</v>
      </c>
      <c r="J34" s="86">
        <f t="shared" si="0"/>
        <v>4</v>
      </c>
      <c r="K34" s="14" t="s">
        <v>531</v>
      </c>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t="s">
        <v>437</v>
      </c>
      <c r="AU34" s="14"/>
      <c r="AV34" s="14"/>
    </row>
    <row r="35" spans="1:48" s="19" customFormat="1" ht="13.5" customHeight="1">
      <c r="A35" s="19" t="s">
        <v>472</v>
      </c>
      <c r="C35" s="19" t="s">
        <v>442</v>
      </c>
      <c r="D35" s="19" t="s">
        <v>435</v>
      </c>
      <c r="E35" s="110" t="s">
        <v>473</v>
      </c>
      <c r="F35" s="17">
        <v>8</v>
      </c>
      <c r="G35" s="17">
        <v>11</v>
      </c>
      <c r="H35" s="17">
        <v>0</v>
      </c>
      <c r="I35" s="17">
        <v>125</v>
      </c>
      <c r="J35" s="17">
        <f t="shared" si="0"/>
        <v>16</v>
      </c>
      <c r="K35" s="17" t="s">
        <v>528</v>
      </c>
      <c r="L35" s="17"/>
      <c r="M35" s="17"/>
      <c r="N35" s="99"/>
      <c r="O35" s="98"/>
      <c r="P35" s="17"/>
      <c r="Q35" s="17"/>
      <c r="R35" s="17"/>
      <c r="S35" s="17"/>
      <c r="T35" s="17"/>
      <c r="U35" s="17"/>
      <c r="X35" s="17"/>
      <c r="Y35" s="17"/>
      <c r="AH35" s="39"/>
      <c r="AI35" s="39"/>
      <c r="AJ35" s="39">
        <v>135</v>
      </c>
      <c r="AK35" s="39" t="s">
        <v>474</v>
      </c>
      <c r="AL35" s="39"/>
      <c r="AM35" s="39"/>
      <c r="AN35" s="39"/>
      <c r="AO35" s="39"/>
      <c r="AT35" s="17" t="s">
        <v>437</v>
      </c>
      <c r="AU35" s="17"/>
      <c r="AV35" s="17"/>
    </row>
    <row r="36" spans="1:48">
      <c r="F36" s="14">
        <f>SUM(F8:F35)</f>
        <v>163</v>
      </c>
      <c r="G36" s="14">
        <f>SUM(G8:G35)</f>
        <v>411</v>
      </c>
      <c r="H36" s="14">
        <f>SUM(H8:H35)</f>
        <v>214.75</v>
      </c>
      <c r="I36" s="14">
        <f>SUM(I8:I35)</f>
        <v>2843</v>
      </c>
      <c r="J36" s="14"/>
      <c r="K36" s="14"/>
      <c r="L36" s="14">
        <f>SUM(L8:L35)</f>
        <v>66</v>
      </c>
      <c r="M36" s="14"/>
      <c r="N36" s="14">
        <f>SUM(N8:N35)</f>
        <v>1500</v>
      </c>
      <c r="O36" s="14"/>
      <c r="P36" s="14">
        <f>SUM(P8:P35)</f>
        <v>2250</v>
      </c>
      <c r="Q36" s="14"/>
      <c r="R36" s="14">
        <f>SUM(R8:R35)</f>
        <v>430</v>
      </c>
      <c r="S36" s="14"/>
      <c r="T36" s="14">
        <f>SUM(T8:T35)</f>
        <v>300</v>
      </c>
      <c r="U36" s="14"/>
      <c r="V36" s="14">
        <f>SUM(V8:V35)</f>
        <v>0</v>
      </c>
      <c r="W36" s="14"/>
      <c r="X36" s="14">
        <f>SUM(X8:X35)</f>
        <v>6855</v>
      </c>
      <c r="Z36" s="14">
        <f>SUM(Z8:Z35)</f>
        <v>100</v>
      </c>
      <c r="AB36" s="14">
        <f>SUM(AB8:AB35)</f>
        <v>50</v>
      </c>
      <c r="AD36" s="14">
        <f>SUM(AD8:AD35)</f>
        <v>170</v>
      </c>
      <c r="AF36" s="14">
        <f>SUM(AF8:AF35)</f>
        <v>0</v>
      </c>
      <c r="AH36" s="14">
        <f>SUM(AH8:AH35)</f>
        <v>0</v>
      </c>
      <c r="AJ36" s="14">
        <f>SUM(AJ8:AJ35)</f>
        <v>135</v>
      </c>
      <c r="AL36" s="14">
        <f>SUM(AL8:AL35)</f>
        <v>0</v>
      </c>
      <c r="AN36" s="14">
        <f>SUM(AN8:AN35)</f>
        <v>0</v>
      </c>
      <c r="AP36" s="14">
        <f>SUM(AP8:AP35)</f>
        <v>2500</v>
      </c>
      <c r="AT36" s="14">
        <f>COUNTIF(AT8:AT35,"x")</f>
        <v>28</v>
      </c>
      <c r="AU36" s="14">
        <f>COUNTIF(AU8:AU35,"x")</f>
        <v>10</v>
      </c>
      <c r="AV36" s="14">
        <f>COUNTIF(AV8:AV35,"x")</f>
        <v>2</v>
      </c>
    </row>
    <row r="37" spans="1:48" ht="13.5" customHeight="1">
      <c r="A37" s="16" t="s">
        <v>475</v>
      </c>
      <c r="F37" s="14"/>
      <c r="G37" s="14"/>
      <c r="H37" s="14"/>
      <c r="I37" s="14"/>
      <c r="J37" s="14"/>
      <c r="K37" s="14"/>
      <c r="L37" s="14"/>
      <c r="M37" s="14"/>
      <c r="N37" s="14"/>
      <c r="O37"/>
      <c r="P37" s="14"/>
      <c r="Q37" s="14"/>
      <c r="R37" s="14"/>
      <c r="S37" s="14"/>
      <c r="T37" s="14"/>
      <c r="U37" s="14"/>
      <c r="V37" s="14"/>
      <c r="X37" s="14"/>
      <c r="Z37" s="14"/>
      <c r="AB37" s="14"/>
      <c r="AD37" s="14"/>
      <c r="AF37" s="14"/>
      <c r="AG37" s="14"/>
      <c r="AH37" s="14"/>
    </row>
    <row r="38" spans="1:48">
      <c r="A38" s="6" t="s">
        <v>476</v>
      </c>
      <c r="B38" s="14"/>
      <c r="C38" s="21" t="s">
        <v>442</v>
      </c>
      <c r="D38" s="6" t="s">
        <v>435</v>
      </c>
      <c r="E38" s="6" t="s">
        <v>477</v>
      </c>
      <c r="F38" s="14">
        <v>8</v>
      </c>
      <c r="G38" s="14">
        <v>16</v>
      </c>
      <c r="H38" s="14">
        <v>0</v>
      </c>
      <c r="I38" s="14">
        <v>30</v>
      </c>
      <c r="J38" s="14">
        <f>IF(G38&gt;=10,16, 4)-J84</f>
        <v>12</v>
      </c>
      <c r="K38" s="14" t="s">
        <v>531</v>
      </c>
      <c r="L38" s="14"/>
      <c r="M38" s="14"/>
      <c r="N38" s="14"/>
      <c r="O38" s="14"/>
      <c r="P38" s="14"/>
      <c r="Q38" s="14"/>
      <c r="R38" s="14"/>
      <c r="S38" s="14"/>
      <c r="T38" s="14"/>
      <c r="U38" s="14"/>
      <c r="V38" s="14"/>
      <c r="W38" s="14"/>
      <c r="X38" s="14">
        <v>200</v>
      </c>
      <c r="Y38" s="14" t="s">
        <v>206</v>
      </c>
      <c r="Z38" s="14"/>
      <c r="AA38" s="14"/>
      <c r="AB38" s="14"/>
      <c r="AC38" s="14"/>
      <c r="AD38" s="14"/>
      <c r="AE38" s="14"/>
      <c r="AF38" s="14"/>
      <c r="AG38" s="14"/>
      <c r="AH38" s="14"/>
      <c r="AI38" s="14"/>
      <c r="AJ38" s="14"/>
      <c r="AK38" s="14"/>
      <c r="AL38" s="14"/>
      <c r="AM38" s="14"/>
      <c r="AN38" s="14"/>
      <c r="AO38" s="14"/>
      <c r="AP38" s="14"/>
      <c r="AQ38" s="14"/>
      <c r="AR38" s="14">
        <v>150</v>
      </c>
      <c r="AS38" s="14" t="s">
        <v>474</v>
      </c>
      <c r="AT38" s="14"/>
      <c r="AU38" s="14"/>
      <c r="AV38" s="14"/>
    </row>
    <row r="39" spans="1:48" ht="12.95">
      <c r="A39" s="138" t="s">
        <v>478</v>
      </c>
      <c r="F39" s="14"/>
      <c r="G39" s="14"/>
      <c r="H39" s="14"/>
      <c r="I39" s="14"/>
      <c r="J39" s="14"/>
      <c r="K39" s="14"/>
      <c r="L39" s="14"/>
      <c r="M39" s="14"/>
      <c r="N39" s="14"/>
      <c r="O39" s="14"/>
      <c r="P39" s="14"/>
      <c r="Q39" s="14"/>
      <c r="R39" s="14"/>
      <c r="S39" s="14"/>
      <c r="T39" s="14"/>
      <c r="U39" s="14"/>
      <c r="V39" s="14"/>
      <c r="W39" s="14"/>
      <c r="X39" s="14"/>
      <c r="Z39" s="14"/>
      <c r="AB39" s="14"/>
      <c r="AD39" s="14"/>
      <c r="AF39" s="14"/>
      <c r="AH39" s="14"/>
      <c r="AP39" s="14"/>
      <c r="AU39" s="14"/>
      <c r="AV39" s="14"/>
    </row>
    <row r="40" spans="1:48">
      <c r="A40" s="6" t="s">
        <v>472</v>
      </c>
      <c r="B40" s="14"/>
      <c r="C40" s="21" t="s">
        <v>442</v>
      </c>
      <c r="D40" s="6" t="s">
        <v>435</v>
      </c>
      <c r="E40" s="6" t="s">
        <v>479</v>
      </c>
      <c r="F40" s="14">
        <v>8</v>
      </c>
      <c r="G40" s="14">
        <v>22</v>
      </c>
      <c r="H40" s="14">
        <v>0</v>
      </c>
      <c r="I40" s="14">
        <v>28</v>
      </c>
      <c r="J40" s="14">
        <f>IF(G40&gt;=10,16, 4)-J35</f>
        <v>0</v>
      </c>
      <c r="K40" s="14" t="s">
        <v>528</v>
      </c>
      <c r="L40" s="14"/>
      <c r="M40" s="14"/>
      <c r="N40" s="14"/>
      <c r="O40" s="14"/>
      <c r="P40" s="14"/>
      <c r="Q40" s="14"/>
      <c r="R40" s="14">
        <v>120</v>
      </c>
      <c r="S40" s="14" t="s">
        <v>449</v>
      </c>
      <c r="T40" s="14"/>
      <c r="U40" s="14"/>
      <c r="V40" s="14"/>
      <c r="W40" s="14"/>
      <c r="X40" s="14">
        <v>340</v>
      </c>
      <c r="Y40" s="14" t="s">
        <v>206</v>
      </c>
      <c r="Z40" s="14"/>
      <c r="AA40" s="14"/>
      <c r="AB40" s="14"/>
      <c r="AC40" s="14"/>
      <c r="AD40" s="14"/>
      <c r="AE40" s="14"/>
      <c r="AF40" s="14"/>
      <c r="AG40" s="14"/>
      <c r="AH40" s="86">
        <v>200</v>
      </c>
      <c r="AI40" s="86" t="s">
        <v>474</v>
      </c>
      <c r="AJ40" s="14"/>
      <c r="AK40" s="14"/>
      <c r="AL40" s="14"/>
      <c r="AM40" s="14"/>
      <c r="AN40" s="14"/>
      <c r="AO40" s="14"/>
      <c r="AP40" s="14"/>
      <c r="AQ40" s="14"/>
      <c r="AR40" s="14"/>
      <c r="AS40" s="14"/>
      <c r="AT40" s="14"/>
      <c r="AU40" s="14"/>
      <c r="AV40" s="14"/>
    </row>
    <row r="41" spans="1:48" s="19" customFormat="1" ht="13.5" customHeight="1">
      <c r="A41" s="19" t="s">
        <v>480</v>
      </c>
      <c r="C41" s="19" t="s">
        <v>442</v>
      </c>
      <c r="D41" s="19" t="s">
        <v>435</v>
      </c>
      <c r="E41" s="19" t="s">
        <v>481</v>
      </c>
      <c r="F41" s="17">
        <v>4</v>
      </c>
      <c r="G41" s="17">
        <v>15</v>
      </c>
      <c r="H41" s="17">
        <v>0</v>
      </c>
      <c r="I41" s="17">
        <v>0</v>
      </c>
      <c r="J41" s="17">
        <f>IF(G41&gt;=10,16, 4)-J83</f>
        <v>12</v>
      </c>
      <c r="K41" s="17" t="s">
        <v>528</v>
      </c>
      <c r="L41" s="17"/>
      <c r="M41" s="17"/>
      <c r="N41" s="99"/>
      <c r="O41" s="98"/>
      <c r="P41" s="17"/>
      <c r="Q41" s="17"/>
      <c r="R41" s="17"/>
      <c r="S41" s="17"/>
      <c r="V41" s="17"/>
      <c r="W41" s="17"/>
      <c r="X41" s="17"/>
      <c r="Y41" s="17"/>
      <c r="AD41" s="17"/>
      <c r="AE41" s="17"/>
      <c r="AF41" s="17"/>
      <c r="AG41" s="17"/>
      <c r="AH41" s="17"/>
      <c r="AR41" s="156"/>
      <c r="AT41" s="17"/>
      <c r="AU41" s="17"/>
    </row>
    <row r="42" spans="1:48" ht="13.5" customHeight="1">
      <c r="F42" s="14">
        <f>SUM(F38:F41)+F36</f>
        <v>183</v>
      </c>
      <c r="G42" s="14">
        <f>SUM(G38:G41)+G36</f>
        <v>464</v>
      </c>
      <c r="H42" s="14">
        <f>SUM(H38:H41)+H36</f>
        <v>214.75</v>
      </c>
      <c r="I42" s="14">
        <f>SUM(I38:I41)+I36</f>
        <v>2901</v>
      </c>
      <c r="J42" s="14"/>
      <c r="K42" s="14"/>
      <c r="L42" s="14">
        <f>SUM(L38:L41)+L36</f>
        <v>66</v>
      </c>
      <c r="M42" s="14"/>
      <c r="N42" s="14">
        <f>SUM(N38:N41)+N36</f>
        <v>1500</v>
      </c>
      <c r="O42"/>
      <c r="P42" s="14">
        <f>SUM(P38:P41)+P36</f>
        <v>2250</v>
      </c>
      <c r="Q42" s="14"/>
      <c r="R42" s="14">
        <f>SUM(R38:R41)+R36</f>
        <v>550</v>
      </c>
      <c r="S42" s="14"/>
      <c r="T42" s="14">
        <f>SUM(T38:T41)+T36</f>
        <v>300</v>
      </c>
      <c r="V42" s="14">
        <f>SUM(V38:V41)+V36</f>
        <v>0</v>
      </c>
      <c r="W42" s="14"/>
      <c r="X42" s="14">
        <f>SUM(X38:X41)+X36</f>
        <v>7395</v>
      </c>
      <c r="Z42" s="14">
        <f>SUM(Z38:Z41)+Z36</f>
        <v>100</v>
      </c>
      <c r="AB42" s="14">
        <f>SUM(AB38:AB41)+AB36</f>
        <v>50</v>
      </c>
      <c r="AD42" s="14">
        <f>SUM(AD38:AD41)+AD36</f>
        <v>170</v>
      </c>
      <c r="AE42" s="14"/>
      <c r="AF42" s="14">
        <f>SUM(AF38:AF41)+AF36</f>
        <v>0</v>
      </c>
      <c r="AG42" s="14"/>
      <c r="AH42" s="14">
        <f>SUM(AH38:AH41)+AH36</f>
        <v>200</v>
      </c>
      <c r="AJ42" s="14">
        <f>SUM(AJ38:AJ41)+AJ36</f>
        <v>135</v>
      </c>
      <c r="AL42" s="14">
        <f>SUM(AL38:AL41)+AL36</f>
        <v>0</v>
      </c>
      <c r="AN42" s="14">
        <f>SUM(AN38:AN41)+AN36</f>
        <v>0</v>
      </c>
      <c r="AP42" s="14">
        <f>SUM(AP38:AP41)+AP36</f>
        <v>2500</v>
      </c>
      <c r="AR42" s="155">
        <f>SUM(AR38:AR41)+AR36</f>
        <v>150</v>
      </c>
      <c r="AT42" s="14">
        <f>COUNTIF(AT39:AT41,"x")+AT36</f>
        <v>28</v>
      </c>
      <c r="AU42" s="14">
        <f>COUNTIF(AU39:AU41,"x")+AU36</f>
        <v>10</v>
      </c>
      <c r="AV42" s="14">
        <f>COUNTIF(AV39:AV41,"x")+AV36</f>
        <v>2</v>
      </c>
    </row>
    <row r="43" spans="1:48">
      <c r="F43" s="14"/>
      <c r="G43" s="14"/>
      <c r="H43" s="14"/>
      <c r="I43" s="14"/>
      <c r="J43" s="14"/>
      <c r="K43" s="14"/>
      <c r="L43" s="14"/>
      <c r="M43" s="14"/>
      <c r="N43" s="14"/>
      <c r="O43" s="14"/>
      <c r="P43" s="14"/>
      <c r="Q43" s="14"/>
      <c r="R43" s="14"/>
      <c r="S43" s="14"/>
      <c r="T43" s="14"/>
      <c r="U43" s="14"/>
      <c r="V43" s="14"/>
      <c r="W43" s="14"/>
      <c r="X43" s="14"/>
      <c r="Z43" s="14"/>
      <c r="AB43" s="14"/>
      <c r="AD43" s="14"/>
      <c r="AF43" s="14"/>
      <c r="AH43" s="14"/>
      <c r="AP43" s="14"/>
      <c r="AU43" s="14"/>
      <c r="AV43" s="14"/>
    </row>
    <row r="44" spans="1:48">
      <c r="F44" s="14"/>
      <c r="G44" s="14"/>
      <c r="H44" s="14"/>
      <c r="I44" s="14"/>
      <c r="J44" s="14"/>
      <c r="K44" s="14"/>
      <c r="L44" s="14"/>
      <c r="M44" s="14"/>
      <c r="N44" s="14"/>
      <c r="O44" s="14"/>
      <c r="P44" s="14"/>
      <c r="Q44" s="14"/>
      <c r="R44" s="14"/>
      <c r="S44" s="14"/>
      <c r="T44" s="14"/>
      <c r="U44" s="14"/>
      <c r="V44" s="14"/>
      <c r="W44" s="14"/>
      <c r="X44" s="14"/>
    </row>
    <row r="45" spans="1:48" ht="12.95">
      <c r="A45" s="174" t="s">
        <v>482</v>
      </c>
      <c r="B45" s="174"/>
      <c r="C45" s="174"/>
      <c r="D45" s="174"/>
      <c r="E45" s="25"/>
      <c r="F45" s="89"/>
      <c r="G45" s="89"/>
      <c r="H45" s="175"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45" s="175"/>
      <c r="J45" s="175"/>
      <c r="K45" s="175"/>
      <c r="L45" s="175"/>
      <c r="M45" s="175"/>
      <c r="N45" s="175"/>
      <c r="O45" s="175"/>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row>
    <row r="46" spans="1:48" ht="12.95">
      <c r="A46" s="174"/>
      <c r="B46" s="174"/>
      <c r="C46" s="174"/>
      <c r="D46" s="174"/>
      <c r="E46" s="25" t="s">
        <v>617</v>
      </c>
      <c r="F46" s="89">
        <f>128-(IF(E9="vCSA8.0", 2, 1))</f>
        <v>126</v>
      </c>
      <c r="G46" s="89">
        <f>4*(384-(IF(E9="vCSA8.0", 12, 8)))</f>
        <v>1488</v>
      </c>
      <c r="H46" s="175"/>
      <c r="I46" s="175"/>
      <c r="J46" s="175"/>
      <c r="K46" s="175"/>
      <c r="L46" s="175"/>
      <c r="M46" s="175"/>
      <c r="N46" s="175"/>
      <c r="O46" s="175"/>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row>
    <row r="47" spans="1:48" ht="13.5" customHeight="1">
      <c r="A47" s="89"/>
      <c r="B47" s="89"/>
      <c r="C47" s="89"/>
      <c r="D47" s="89"/>
      <c r="E47" s="25" t="s">
        <v>618</v>
      </c>
      <c r="F47" s="89">
        <f>(3*2*28)-(IF(E9="vCSA8.0", 2, 1))</f>
        <v>166</v>
      </c>
      <c r="G47" s="89">
        <f>3*(512-(IF(E9="vCSA8.0", 12, 8)))</f>
        <v>1500</v>
      </c>
      <c r="H47" s="175"/>
      <c r="I47" s="175"/>
      <c r="J47" s="175"/>
      <c r="K47" s="175"/>
      <c r="L47" s="175"/>
      <c r="M47" s="175"/>
      <c r="N47" s="175"/>
      <c r="O47" s="175"/>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row>
    <row r="48" spans="1:48" ht="14.1" customHeight="1">
      <c r="A48" s="89"/>
      <c r="B48" s="89"/>
      <c r="C48" s="89"/>
      <c r="D48" s="89"/>
      <c r="E48" s="25" t="s">
        <v>535</v>
      </c>
      <c r="F48" s="89">
        <f>(3*2*28)-(IF(E9="vCSA8.0", 2, 1))</f>
        <v>166</v>
      </c>
      <c r="G48" s="89">
        <f>3*(512-(IF(E9="vCSA8.0", 12, 8)))</f>
        <v>1500</v>
      </c>
      <c r="H48" s="175"/>
      <c r="I48" s="175"/>
      <c r="J48" s="175"/>
      <c r="K48" s="175"/>
      <c r="L48" s="175"/>
      <c r="M48" s="175"/>
      <c r="N48" s="175"/>
      <c r="O48" s="175"/>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row>
    <row r="49" spans="1:48" ht="13.5" customHeight="1">
      <c r="A49" s="89"/>
      <c r="B49" s="89"/>
      <c r="C49" s="89"/>
      <c r="D49" s="89"/>
      <c r="E49" s="25"/>
      <c r="F49" s="89"/>
      <c r="G49" s="89"/>
      <c r="H49" s="175"/>
      <c r="I49" s="175"/>
      <c r="J49" s="175"/>
      <c r="K49" s="175"/>
      <c r="L49" s="175"/>
      <c r="M49" s="175"/>
      <c r="N49" s="175"/>
      <c r="O49" s="175"/>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row>
    <row r="50" spans="1:48">
      <c r="F50" s="14"/>
      <c r="G50" s="14"/>
      <c r="H50" s="14"/>
      <c r="I50" s="14"/>
      <c r="J50" s="14"/>
      <c r="K50" s="14"/>
      <c r="L50" s="14"/>
      <c r="M50" s="14"/>
      <c r="N50" s="14"/>
      <c r="O50" s="14"/>
      <c r="P50" s="14"/>
      <c r="Q50" s="14"/>
      <c r="R50" s="14"/>
      <c r="S50" s="14"/>
      <c r="T50" s="14"/>
      <c r="U50" s="14"/>
      <c r="V50" s="14"/>
      <c r="W50" s="14"/>
      <c r="X50" s="14"/>
    </row>
    <row r="51" spans="1:48" ht="14.45">
      <c r="A51" s="192" t="s">
        <v>619</v>
      </c>
      <c r="B51" s="193"/>
      <c r="C51" s="193"/>
      <c r="D51" s="193"/>
      <c r="E51" s="193"/>
      <c r="F51" s="128" t="s">
        <v>620</v>
      </c>
      <c r="G51" s="14"/>
      <c r="H51" s="14"/>
      <c r="I51" s="14"/>
      <c r="J51" s="14"/>
      <c r="K51" s="14"/>
      <c r="L51" s="14"/>
      <c r="M51" s="14"/>
      <c r="N51" s="14"/>
      <c r="O51" s="14"/>
      <c r="P51" s="14"/>
      <c r="Q51" s="14"/>
      <c r="R51" s="14"/>
      <c r="S51" s="14"/>
      <c r="T51" s="14"/>
      <c r="U51" s="14"/>
      <c r="V51" s="14"/>
      <c r="W51" s="14"/>
      <c r="X51" s="14"/>
    </row>
    <row r="52" spans="1:48">
      <c r="F52" s="14"/>
      <c r="G52" s="14"/>
      <c r="H52" s="14"/>
      <c r="I52" s="14"/>
      <c r="J52" s="14"/>
      <c r="K52" s="14"/>
      <c r="L52" s="14"/>
      <c r="M52" s="14"/>
      <c r="N52" s="14"/>
      <c r="O52" s="14"/>
      <c r="P52" s="14"/>
      <c r="Q52" s="14"/>
      <c r="R52" s="14"/>
      <c r="S52" s="14"/>
      <c r="T52" s="14"/>
      <c r="U52" s="14"/>
      <c r="V52" s="14"/>
      <c r="W52" s="14"/>
      <c r="X52" s="14"/>
    </row>
    <row r="53" spans="1:48" ht="12.95">
      <c r="A53" s="16" t="s">
        <v>485</v>
      </c>
    </row>
    <row r="54" spans="1:48">
      <c r="A54" s="6" t="s">
        <v>486</v>
      </c>
      <c r="C54" s="6" t="s">
        <v>442</v>
      </c>
      <c r="D54" s="6" t="s">
        <v>435</v>
      </c>
      <c r="E54" s="6" t="s">
        <v>44</v>
      </c>
      <c r="F54" s="14">
        <v>8</v>
      </c>
      <c r="G54" s="14">
        <v>32</v>
      </c>
      <c r="H54" s="14">
        <v>0</v>
      </c>
      <c r="I54" s="14">
        <v>71</v>
      </c>
      <c r="J54" s="86">
        <f t="shared" ref="J54:J84" si="1">IF(G54&gt;=10,16, 4)</f>
        <v>16</v>
      </c>
      <c r="K54" s="14"/>
      <c r="L54" s="14"/>
      <c r="M54" s="14"/>
      <c r="N54" s="14"/>
      <c r="O54" s="14"/>
      <c r="P54" s="14"/>
      <c r="Q54" s="14"/>
      <c r="R54" s="14"/>
      <c r="S54" s="14"/>
      <c r="T54" s="14"/>
      <c r="U54" s="14"/>
      <c r="V54" s="14"/>
      <c r="W54" s="14"/>
      <c r="X54" s="14"/>
      <c r="AT54" s="14" t="s">
        <v>437</v>
      </c>
      <c r="AV54" s="14"/>
    </row>
    <row r="55" spans="1:48">
      <c r="A55" s="6" t="s">
        <v>621</v>
      </c>
      <c r="B55" s="14"/>
      <c r="C55" s="21" t="s">
        <v>442</v>
      </c>
      <c r="D55" s="21" t="s">
        <v>488</v>
      </c>
      <c r="E55" s="6" t="s">
        <v>112</v>
      </c>
      <c r="F55" s="14">
        <v>4</v>
      </c>
      <c r="G55" s="14">
        <v>4</v>
      </c>
      <c r="H55" s="14">
        <v>0</v>
      </c>
      <c r="I55" s="14">
        <v>100</v>
      </c>
      <c r="J55" s="86">
        <v>0</v>
      </c>
      <c r="K55" s="14" t="s">
        <v>528</v>
      </c>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t="s">
        <v>437</v>
      </c>
      <c r="AV55" s="14"/>
    </row>
    <row r="56" spans="1:48">
      <c r="A56" s="6" t="s">
        <v>622</v>
      </c>
      <c r="B56" s="14"/>
      <c r="C56" s="21" t="s">
        <v>442</v>
      </c>
      <c r="D56" s="21" t="s">
        <v>488</v>
      </c>
      <c r="E56" s="6" t="s">
        <v>120</v>
      </c>
      <c r="F56" s="14">
        <v>4</v>
      </c>
      <c r="G56" s="14">
        <v>16</v>
      </c>
      <c r="H56" s="14">
        <v>0</v>
      </c>
      <c r="I56" s="14">
        <v>110</v>
      </c>
      <c r="J56" s="86">
        <v>0</v>
      </c>
      <c r="K56" s="14" t="s">
        <v>529</v>
      </c>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t="s">
        <v>437</v>
      </c>
      <c r="AV56" s="14"/>
    </row>
    <row r="57" spans="1:48">
      <c r="A57" s="6" t="s">
        <v>490</v>
      </c>
      <c r="B57" s="14"/>
      <c r="C57" s="21" t="s">
        <v>442</v>
      </c>
      <c r="D57" s="21" t="s">
        <v>488</v>
      </c>
      <c r="E57" s="6" t="s">
        <v>116</v>
      </c>
      <c r="F57" s="14">
        <v>4</v>
      </c>
      <c r="G57" s="14">
        <v>14</v>
      </c>
      <c r="H57" s="14">
        <v>0</v>
      </c>
      <c r="I57" s="14">
        <v>120</v>
      </c>
      <c r="J57" s="86">
        <v>0</v>
      </c>
      <c r="K57" s="14" t="s">
        <v>529</v>
      </c>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t="s">
        <v>437</v>
      </c>
      <c r="AV57" s="14"/>
    </row>
    <row r="58" spans="1:48">
      <c r="A58" s="6" t="s">
        <v>539</v>
      </c>
      <c r="C58" s="6" t="s">
        <v>442</v>
      </c>
      <c r="D58" s="21" t="s">
        <v>488</v>
      </c>
      <c r="E58" s="6" t="s">
        <v>112</v>
      </c>
      <c r="F58" s="14">
        <v>4</v>
      </c>
      <c r="G58" s="14">
        <v>4</v>
      </c>
      <c r="H58" s="14">
        <v>0</v>
      </c>
      <c r="I58" s="14">
        <v>100</v>
      </c>
      <c r="J58" s="86">
        <v>0</v>
      </c>
      <c r="K58" s="14"/>
      <c r="L58" s="14"/>
      <c r="M58" s="14"/>
      <c r="N58" s="14"/>
      <c r="O58" s="14"/>
      <c r="P58" s="14"/>
      <c r="Q58" s="14"/>
      <c r="R58" s="14"/>
      <c r="S58" s="14"/>
      <c r="T58" s="14"/>
      <c r="U58" s="14"/>
      <c r="V58" s="14"/>
      <c r="W58" s="14"/>
      <c r="X58" s="14"/>
      <c r="AT58" s="14" t="s">
        <v>437</v>
      </c>
      <c r="AV58" s="14"/>
    </row>
    <row r="59" spans="1:48">
      <c r="A59" s="6" t="s">
        <v>491</v>
      </c>
      <c r="C59" s="6" t="s">
        <v>442</v>
      </c>
      <c r="D59" s="21" t="s">
        <v>488</v>
      </c>
      <c r="E59" s="6" t="s">
        <v>120</v>
      </c>
      <c r="F59" s="14">
        <v>4</v>
      </c>
      <c r="G59" s="14">
        <v>16</v>
      </c>
      <c r="H59" s="14">
        <v>0</v>
      </c>
      <c r="I59" s="14">
        <v>100</v>
      </c>
      <c r="J59" s="86">
        <v>0</v>
      </c>
      <c r="K59" s="14"/>
      <c r="L59" s="14"/>
      <c r="M59" s="14"/>
      <c r="N59" s="14"/>
      <c r="O59" s="14"/>
      <c r="P59" s="14"/>
      <c r="Q59" s="14"/>
      <c r="R59" s="14"/>
      <c r="S59" s="14"/>
      <c r="T59" s="14"/>
      <c r="U59" s="14"/>
      <c r="V59" s="14"/>
      <c r="W59" s="14"/>
      <c r="X59" s="14"/>
      <c r="AT59" s="14" t="s">
        <v>437</v>
      </c>
      <c r="AV59" s="14"/>
    </row>
    <row r="60" spans="1:48">
      <c r="A60" s="6" t="s">
        <v>540</v>
      </c>
      <c r="C60" s="6" t="s">
        <v>442</v>
      </c>
      <c r="D60" s="21" t="s">
        <v>488</v>
      </c>
      <c r="E60" s="6" t="s">
        <v>120</v>
      </c>
      <c r="F60" s="14">
        <v>4</v>
      </c>
      <c r="G60" s="14">
        <v>16</v>
      </c>
      <c r="H60" s="14">
        <v>0</v>
      </c>
      <c r="I60" s="14">
        <v>100</v>
      </c>
      <c r="J60" s="86">
        <v>0</v>
      </c>
      <c r="K60" s="14"/>
      <c r="L60" s="14"/>
      <c r="M60" s="14"/>
      <c r="N60" s="14"/>
      <c r="O60" s="14"/>
      <c r="P60" s="14"/>
      <c r="Q60" s="14"/>
      <c r="R60" s="14"/>
      <c r="S60" s="14"/>
      <c r="T60" s="14"/>
      <c r="U60" s="14"/>
      <c r="V60" s="14"/>
      <c r="W60" s="14"/>
      <c r="X60" s="14"/>
      <c r="AT60" s="14" t="s">
        <v>437</v>
      </c>
      <c r="AV60" s="14"/>
    </row>
    <row r="61" spans="1:48">
      <c r="A61" s="6" t="s">
        <v>623</v>
      </c>
      <c r="C61" s="6" t="s">
        <v>442</v>
      </c>
      <c r="D61" s="21" t="s">
        <v>488</v>
      </c>
      <c r="E61" s="6" t="s">
        <v>120</v>
      </c>
      <c r="F61" s="14">
        <v>4</v>
      </c>
      <c r="G61" s="14">
        <v>16</v>
      </c>
      <c r="H61" s="14">
        <v>0</v>
      </c>
      <c r="I61" s="14">
        <v>100</v>
      </c>
      <c r="J61" s="86">
        <v>0</v>
      </c>
      <c r="K61" s="14"/>
      <c r="L61" s="14"/>
      <c r="M61" s="14"/>
      <c r="N61" s="14"/>
      <c r="O61" s="14"/>
      <c r="P61" s="14"/>
      <c r="Q61" s="14"/>
      <c r="R61" s="14"/>
      <c r="S61" s="14"/>
      <c r="T61" s="14"/>
      <c r="U61" s="14"/>
      <c r="V61" s="14"/>
      <c r="W61" s="14"/>
      <c r="X61" s="14"/>
      <c r="AT61" s="14" t="s">
        <v>437</v>
      </c>
      <c r="AV61" s="14"/>
    </row>
    <row r="62" spans="1:48">
      <c r="A62" s="6" t="s">
        <v>624</v>
      </c>
      <c r="C62" s="6" t="s">
        <v>442</v>
      </c>
      <c r="D62" s="21" t="s">
        <v>488</v>
      </c>
      <c r="E62" s="6" t="s">
        <v>120</v>
      </c>
      <c r="F62" s="14">
        <v>4</v>
      </c>
      <c r="G62" s="14">
        <v>16</v>
      </c>
      <c r="H62" s="14">
        <v>0</v>
      </c>
      <c r="I62" s="14">
        <v>100</v>
      </c>
      <c r="J62" s="86">
        <v>0</v>
      </c>
      <c r="K62" s="14"/>
      <c r="L62" s="14"/>
      <c r="M62" s="14"/>
      <c r="N62" s="14"/>
      <c r="O62" s="14"/>
      <c r="P62" s="14"/>
      <c r="Q62" s="14"/>
      <c r="R62" s="14"/>
      <c r="S62" s="14"/>
      <c r="T62" s="14"/>
      <c r="U62" s="14"/>
      <c r="V62" s="14"/>
      <c r="W62" s="14"/>
      <c r="X62" s="14"/>
      <c r="AT62" s="14" t="s">
        <v>437</v>
      </c>
      <c r="AV62" s="14"/>
    </row>
    <row r="63" spans="1:48">
      <c r="A63" s="6" t="s">
        <v>541</v>
      </c>
      <c r="C63" s="6" t="s">
        <v>442</v>
      </c>
      <c r="D63" s="21" t="s">
        <v>488</v>
      </c>
      <c r="E63" s="6" t="s">
        <v>116</v>
      </c>
      <c r="F63" s="14">
        <v>4</v>
      </c>
      <c r="G63" s="14">
        <v>14</v>
      </c>
      <c r="H63" s="14">
        <v>0</v>
      </c>
      <c r="I63" s="14">
        <v>120</v>
      </c>
      <c r="J63" s="86">
        <v>0</v>
      </c>
      <c r="K63" s="14"/>
      <c r="L63" s="14"/>
      <c r="M63" s="14"/>
      <c r="N63" s="14"/>
      <c r="O63" s="14"/>
      <c r="P63" s="14"/>
      <c r="Q63" s="14"/>
      <c r="R63" s="14"/>
      <c r="S63" s="14"/>
      <c r="T63" s="14"/>
      <c r="U63" s="14"/>
      <c r="V63" s="14"/>
      <c r="W63" s="14"/>
      <c r="X63" s="14"/>
      <c r="AT63" s="14" t="s">
        <v>437</v>
      </c>
      <c r="AV63" s="14"/>
    </row>
    <row r="64" spans="1:48">
      <c r="A64" s="6" t="s">
        <v>492</v>
      </c>
      <c r="C64" s="6" t="s">
        <v>442</v>
      </c>
      <c r="D64" s="6" t="s">
        <v>435</v>
      </c>
      <c r="E64" s="6" t="s">
        <v>55</v>
      </c>
      <c r="F64" s="14">
        <v>3</v>
      </c>
      <c r="G64" s="14">
        <v>10</v>
      </c>
      <c r="H64" s="14">
        <v>0</v>
      </c>
      <c r="I64" s="14">
        <v>121</v>
      </c>
      <c r="J64" s="86">
        <f t="shared" si="1"/>
        <v>16</v>
      </c>
      <c r="K64" s="14"/>
      <c r="L64" s="14"/>
      <c r="M64" s="14"/>
      <c r="N64" s="14"/>
      <c r="O64" s="14"/>
      <c r="P64" s="14"/>
      <c r="Q64" s="14"/>
      <c r="R64" s="14"/>
      <c r="S64" s="14"/>
      <c r="T64" s="14"/>
      <c r="U64" s="14"/>
      <c r="V64" s="14"/>
      <c r="W64" s="14"/>
      <c r="X64" s="14"/>
      <c r="AT64" s="14" t="s">
        <v>437</v>
      </c>
      <c r="AV64" s="14"/>
    </row>
    <row r="65" spans="1:48">
      <c r="A65" s="6" t="s">
        <v>493</v>
      </c>
      <c r="C65" s="6" t="s">
        <v>442</v>
      </c>
      <c r="D65" s="6" t="s">
        <v>435</v>
      </c>
      <c r="E65" s="6" t="s">
        <v>55</v>
      </c>
      <c r="F65" s="14">
        <v>3</v>
      </c>
      <c r="G65" s="14">
        <v>10</v>
      </c>
      <c r="H65" s="14">
        <v>0</v>
      </c>
      <c r="I65" s="14">
        <v>121</v>
      </c>
      <c r="J65" s="86">
        <f t="shared" si="1"/>
        <v>16</v>
      </c>
      <c r="K65" s="14"/>
      <c r="L65" s="14"/>
      <c r="M65" s="14"/>
      <c r="N65" s="14"/>
      <c r="O65" s="14"/>
      <c r="P65" s="14"/>
      <c r="Q65" s="14"/>
      <c r="R65" s="14"/>
      <c r="S65" s="14"/>
      <c r="T65" s="14"/>
      <c r="U65" s="14"/>
      <c r="V65" s="14"/>
      <c r="W65" s="14"/>
      <c r="X65" s="14"/>
      <c r="AT65" s="14" t="s">
        <v>437</v>
      </c>
      <c r="AV65" s="14"/>
    </row>
    <row r="66" spans="1:48">
      <c r="A66" s="6" t="s">
        <v>625</v>
      </c>
      <c r="C66" s="6" t="s">
        <v>442</v>
      </c>
      <c r="D66" s="6" t="s">
        <v>435</v>
      </c>
      <c r="E66" s="6" t="s">
        <v>55</v>
      </c>
      <c r="F66" s="14">
        <v>3</v>
      </c>
      <c r="G66" s="14">
        <v>10</v>
      </c>
      <c r="H66" s="14">
        <v>0</v>
      </c>
      <c r="I66" s="14">
        <v>121</v>
      </c>
      <c r="J66" s="86">
        <f t="shared" si="1"/>
        <v>16</v>
      </c>
      <c r="K66" s="14"/>
      <c r="L66" s="14"/>
      <c r="M66" s="14"/>
      <c r="N66" s="14"/>
      <c r="O66" s="14"/>
      <c r="P66" s="14"/>
      <c r="Q66" s="14"/>
      <c r="R66" s="14"/>
      <c r="S66" s="14"/>
      <c r="T66" s="14"/>
      <c r="U66" s="14"/>
      <c r="V66" s="14"/>
      <c r="W66" s="14"/>
      <c r="X66" s="14"/>
      <c r="AT66" s="14" t="s">
        <v>437</v>
      </c>
      <c r="AV66" s="14"/>
    </row>
    <row r="67" spans="1:48">
      <c r="A67" s="6" t="s">
        <v>626</v>
      </c>
      <c r="C67" s="6" t="s">
        <v>442</v>
      </c>
      <c r="D67" s="6" t="s">
        <v>435</v>
      </c>
      <c r="E67" s="6" t="s">
        <v>55</v>
      </c>
      <c r="F67" s="14">
        <v>3</v>
      </c>
      <c r="G67" s="14">
        <v>10</v>
      </c>
      <c r="H67" s="14">
        <v>0</v>
      </c>
      <c r="I67" s="14">
        <v>121</v>
      </c>
      <c r="J67" s="86">
        <f t="shared" si="1"/>
        <v>16</v>
      </c>
      <c r="K67" s="14"/>
      <c r="L67" s="14"/>
      <c r="M67" s="14"/>
      <c r="N67" s="14"/>
      <c r="O67" s="14"/>
      <c r="P67" s="14"/>
      <c r="Q67" s="14"/>
      <c r="R67" s="14"/>
      <c r="S67" s="14"/>
      <c r="T67" s="14"/>
      <c r="U67" s="14"/>
      <c r="V67" s="14"/>
      <c r="W67" s="14"/>
      <c r="X67" s="14"/>
      <c r="AT67" s="14" t="s">
        <v>437</v>
      </c>
      <c r="AV67" s="14"/>
    </row>
    <row r="68" spans="1:48">
      <c r="A68" s="6" t="s">
        <v>494</v>
      </c>
      <c r="C68" s="6" t="s">
        <v>442</v>
      </c>
      <c r="D68" s="6" t="s">
        <v>435</v>
      </c>
      <c r="E68" s="6" t="s">
        <v>71</v>
      </c>
      <c r="F68" s="14">
        <v>2</v>
      </c>
      <c r="G68" s="14">
        <v>4</v>
      </c>
      <c r="H68" s="14">
        <v>0</v>
      </c>
      <c r="I68" s="14">
        <v>41</v>
      </c>
      <c r="J68" s="86">
        <f t="shared" si="1"/>
        <v>4</v>
      </c>
      <c r="K68" s="14"/>
      <c r="L68" s="14"/>
      <c r="M68" s="14"/>
      <c r="N68" s="14"/>
      <c r="O68" s="14"/>
      <c r="P68" s="14"/>
      <c r="Q68" s="14"/>
      <c r="R68" s="14"/>
      <c r="S68" s="14"/>
      <c r="T68" s="14"/>
      <c r="U68" s="14"/>
      <c r="V68" s="14"/>
      <c r="W68" s="14"/>
      <c r="X68" s="14"/>
      <c r="AT68" s="14" t="s">
        <v>437</v>
      </c>
      <c r="AV68" s="14"/>
    </row>
    <row r="69" spans="1:48">
      <c r="A69" s="6" t="s">
        <v>495</v>
      </c>
      <c r="C69" s="6" t="s">
        <v>442</v>
      </c>
      <c r="D69" s="6" t="s">
        <v>435</v>
      </c>
      <c r="E69" s="6" t="s">
        <v>63</v>
      </c>
      <c r="F69" s="14">
        <v>2</v>
      </c>
      <c r="G69" s="14">
        <v>4</v>
      </c>
      <c r="H69" s="14">
        <v>0</v>
      </c>
      <c r="I69" s="14">
        <v>31</v>
      </c>
      <c r="J69" s="86">
        <f t="shared" si="1"/>
        <v>4</v>
      </c>
      <c r="K69" s="14"/>
      <c r="L69" s="14"/>
      <c r="M69" s="14"/>
      <c r="N69" s="14"/>
      <c r="O69" s="14"/>
      <c r="P69" s="14"/>
      <c r="Q69" s="14"/>
      <c r="R69" s="14"/>
      <c r="S69" s="14"/>
      <c r="T69" s="14"/>
      <c r="U69" s="14"/>
      <c r="V69" s="14"/>
      <c r="W69" s="14"/>
      <c r="X69" s="14"/>
      <c r="AT69" s="14" t="s">
        <v>437</v>
      </c>
      <c r="AV69" s="14"/>
    </row>
    <row r="70" spans="1:48">
      <c r="A70" s="6" t="s">
        <v>496</v>
      </c>
      <c r="C70" s="6" t="s">
        <v>442</v>
      </c>
      <c r="D70" s="6" t="s">
        <v>435</v>
      </c>
      <c r="E70" s="6" t="s">
        <v>67</v>
      </c>
      <c r="F70" s="14">
        <v>4</v>
      </c>
      <c r="G70" s="14">
        <v>4</v>
      </c>
      <c r="H70" s="14">
        <v>0</v>
      </c>
      <c r="I70" s="14">
        <v>36</v>
      </c>
      <c r="J70" s="86">
        <f t="shared" si="1"/>
        <v>4</v>
      </c>
      <c r="K70" s="14"/>
      <c r="L70" s="14"/>
      <c r="M70" s="14"/>
      <c r="N70" s="14"/>
      <c r="O70" s="14"/>
      <c r="P70" s="14"/>
      <c r="Q70" s="14"/>
      <c r="R70" s="14"/>
      <c r="S70" s="14"/>
      <c r="T70" s="14"/>
      <c r="U70" s="14"/>
      <c r="V70" s="14"/>
      <c r="W70" s="14"/>
      <c r="X70" s="14"/>
      <c r="AT70" s="14" t="s">
        <v>437</v>
      </c>
      <c r="AV70" s="14"/>
    </row>
    <row r="71" spans="1:48">
      <c r="A71" s="6" t="s">
        <v>497</v>
      </c>
      <c r="C71" s="6" t="s">
        <v>442</v>
      </c>
      <c r="D71" s="6" t="s">
        <v>435</v>
      </c>
      <c r="E71" s="6" t="s">
        <v>276</v>
      </c>
      <c r="F71" s="14">
        <v>5</v>
      </c>
      <c r="G71" s="14">
        <v>6</v>
      </c>
      <c r="H71" s="14">
        <v>0</v>
      </c>
      <c r="I71" s="14">
        <v>111</v>
      </c>
      <c r="J71" s="86">
        <f t="shared" si="1"/>
        <v>4</v>
      </c>
      <c r="K71" s="14"/>
      <c r="L71" s="14"/>
      <c r="M71" s="14"/>
      <c r="N71" s="14"/>
      <c r="O71" s="14"/>
      <c r="P71" s="14"/>
      <c r="Q71" s="14"/>
      <c r="R71" s="14"/>
      <c r="S71" s="14"/>
      <c r="T71" s="14"/>
      <c r="U71" s="14"/>
      <c r="V71" s="14"/>
      <c r="W71" s="14"/>
      <c r="X71" s="14"/>
      <c r="AT71" s="14" t="s">
        <v>437</v>
      </c>
      <c r="AV71" s="14" t="s">
        <v>437</v>
      </c>
    </row>
    <row r="72" spans="1:48" ht="14.45">
      <c r="A72" s="6" t="s">
        <v>542</v>
      </c>
      <c r="D72" s="6" t="s">
        <v>435</v>
      </c>
      <c r="E72" s="6" t="s">
        <v>90</v>
      </c>
      <c r="F72" s="14">
        <v>2</v>
      </c>
      <c r="G72" s="14">
        <v>2</v>
      </c>
      <c r="H72" s="14">
        <v>0</v>
      </c>
      <c r="I72" s="14">
        <v>16</v>
      </c>
      <c r="J72" s="86">
        <f t="shared" si="1"/>
        <v>4</v>
      </c>
      <c r="K72" s="2"/>
      <c r="L72" s="14"/>
      <c r="M72" s="14"/>
      <c r="N72" s="2"/>
      <c r="O72"/>
      <c r="P72" s="14"/>
      <c r="Q72" s="14"/>
      <c r="R72" s="14"/>
      <c r="S72" s="14"/>
      <c r="T72" s="14"/>
      <c r="U72" s="14"/>
      <c r="V72" s="14"/>
      <c r="Z72" s="14"/>
      <c r="AA72" s="14"/>
      <c r="AB72" s="14"/>
      <c r="AC72" s="14"/>
      <c r="AD72" s="14"/>
      <c r="AE72" s="14"/>
      <c r="AF72" s="14"/>
      <c r="AG72" s="14"/>
      <c r="AH72" s="14"/>
      <c r="AI72" s="14"/>
      <c r="AJ72" s="14"/>
      <c r="AK72" s="14"/>
      <c r="AL72" s="14"/>
      <c r="AM72" s="14"/>
      <c r="AN72" s="14"/>
      <c r="AO72" s="14"/>
      <c r="AP72" s="14"/>
      <c r="AQ72" s="14"/>
      <c r="AR72" s="14"/>
      <c r="AS72" s="14"/>
      <c r="AT72" s="14" t="s">
        <v>437</v>
      </c>
      <c r="AV72" s="14"/>
    </row>
    <row r="73" spans="1:48" ht="14.45">
      <c r="A73" s="6" t="s">
        <v>543</v>
      </c>
      <c r="D73" s="6" t="s">
        <v>435</v>
      </c>
      <c r="E73" s="6" t="s">
        <v>90</v>
      </c>
      <c r="F73" s="14">
        <v>2</v>
      </c>
      <c r="G73" s="14">
        <v>2</v>
      </c>
      <c r="H73" s="14">
        <v>0</v>
      </c>
      <c r="I73" s="14">
        <v>16</v>
      </c>
      <c r="J73" s="86">
        <f t="shared" si="1"/>
        <v>4</v>
      </c>
      <c r="K73" s="2"/>
      <c r="L73" s="14"/>
      <c r="M73" s="14"/>
      <c r="N73" s="2"/>
      <c r="O73"/>
      <c r="P73" s="14"/>
      <c r="Q73" s="14"/>
      <c r="R73" s="14"/>
      <c r="S73" s="14"/>
      <c r="T73" s="14"/>
      <c r="U73" s="14"/>
      <c r="V73" s="14"/>
      <c r="Z73" s="14"/>
      <c r="AA73" s="14"/>
      <c r="AB73" s="14"/>
      <c r="AC73" s="14"/>
      <c r="AD73" s="14"/>
      <c r="AE73" s="14"/>
      <c r="AF73" s="14"/>
      <c r="AG73" s="14"/>
      <c r="AH73" s="14"/>
      <c r="AI73" s="14"/>
      <c r="AJ73" s="14"/>
      <c r="AK73" s="14"/>
      <c r="AL73" s="14"/>
      <c r="AM73" s="14"/>
      <c r="AN73" s="14"/>
      <c r="AO73" s="14"/>
      <c r="AP73" s="14"/>
      <c r="AQ73" s="14"/>
      <c r="AR73" s="14"/>
      <c r="AS73" s="14"/>
      <c r="AT73" s="14" t="s">
        <v>437</v>
      </c>
      <c r="AV73" s="14"/>
    </row>
    <row r="74" spans="1:48" ht="14.45">
      <c r="A74" s="6" t="s">
        <v>544</v>
      </c>
      <c r="C74" s="6" t="s">
        <v>442</v>
      </c>
      <c r="D74" s="6" t="s">
        <v>435</v>
      </c>
      <c r="E74" s="6" t="s">
        <v>94</v>
      </c>
      <c r="F74" s="14">
        <v>6</v>
      </c>
      <c r="G74" s="14">
        <v>5</v>
      </c>
      <c r="H74" s="14">
        <v>0</v>
      </c>
      <c r="I74" s="14">
        <v>41</v>
      </c>
      <c r="J74" s="86">
        <f t="shared" si="1"/>
        <v>4</v>
      </c>
      <c r="K74" s="2"/>
      <c r="L74" s="14"/>
      <c r="M74" s="14"/>
      <c r="N74" s="2"/>
      <c r="O74"/>
      <c r="P74" s="14"/>
      <c r="Q74" s="14"/>
      <c r="R74" s="14"/>
      <c r="S74" s="14"/>
      <c r="T74" s="14"/>
      <c r="U74" s="14"/>
      <c r="V74" s="14"/>
      <c r="Z74" s="14"/>
      <c r="AA74" s="14"/>
      <c r="AB74" s="14"/>
      <c r="AC74" s="14"/>
      <c r="AD74" s="14"/>
      <c r="AE74" s="14"/>
      <c r="AF74" s="14"/>
      <c r="AG74" s="14"/>
      <c r="AH74" s="14"/>
      <c r="AI74" s="14"/>
      <c r="AJ74" s="14"/>
      <c r="AK74" s="14"/>
      <c r="AL74" s="14"/>
      <c r="AM74" s="14"/>
      <c r="AN74" s="14"/>
      <c r="AO74" s="14"/>
      <c r="AP74" s="14"/>
      <c r="AQ74" s="14"/>
      <c r="AR74" s="14"/>
      <c r="AS74" s="14"/>
      <c r="AT74" s="14" t="s">
        <v>437</v>
      </c>
      <c r="AV74" s="14"/>
    </row>
    <row r="75" spans="1:48" ht="14.45">
      <c r="A75" s="6" t="s">
        <v>545</v>
      </c>
      <c r="D75" s="6" t="s">
        <v>435</v>
      </c>
      <c r="E75" s="6" t="s">
        <v>98</v>
      </c>
      <c r="F75" s="14">
        <v>2</v>
      </c>
      <c r="G75" s="14">
        <v>2</v>
      </c>
      <c r="H75" s="14">
        <v>0</v>
      </c>
      <c r="I75" s="14">
        <v>31</v>
      </c>
      <c r="J75" s="86">
        <f t="shared" si="1"/>
        <v>4</v>
      </c>
      <c r="K75" s="2"/>
      <c r="L75" s="14"/>
      <c r="M75" s="14"/>
      <c r="N75" s="2"/>
      <c r="O75"/>
      <c r="P75" s="14"/>
      <c r="Q75" s="14"/>
      <c r="R75" s="14"/>
      <c r="S75" s="14"/>
      <c r="T75" s="14"/>
      <c r="U75" s="14"/>
      <c r="V75" s="14"/>
      <c r="Z75" s="14"/>
      <c r="AA75" s="14"/>
      <c r="AB75" s="14"/>
      <c r="AC75" s="14"/>
      <c r="AD75" s="14"/>
      <c r="AE75" s="14"/>
      <c r="AF75" s="14"/>
      <c r="AG75" s="14"/>
      <c r="AH75" s="14"/>
      <c r="AI75" s="14"/>
      <c r="AJ75" s="14"/>
      <c r="AK75" s="14"/>
      <c r="AL75" s="14"/>
      <c r="AM75" s="14"/>
      <c r="AN75" s="14"/>
      <c r="AO75" s="14"/>
      <c r="AP75" s="14"/>
      <c r="AQ75" s="14"/>
      <c r="AR75" s="14"/>
      <c r="AS75" s="14"/>
      <c r="AT75" s="14" t="s">
        <v>437</v>
      </c>
      <c r="AV75" s="14"/>
    </row>
    <row r="76" spans="1:48" ht="13.5" customHeight="1">
      <c r="A76" s="6" t="s">
        <v>498</v>
      </c>
      <c r="D76" s="6" t="s">
        <v>499</v>
      </c>
      <c r="E76" s="6" t="str">
        <f>IF(F51&lt;&gt;"4TB","AVE 2TB (Avamar Virtual Edition)","AVE 4TB (Avamar Virtual Edition)")</f>
        <v>AVE 4TB (Avamar Virtual Edition)</v>
      </c>
      <c r="F76" s="14">
        <f>IF(F51&lt;&gt;"4TB",2,4)</f>
        <v>4</v>
      </c>
      <c r="G76" s="14">
        <f>IF(F51&lt;&gt;"4TB",16,36)</f>
        <v>36</v>
      </c>
      <c r="H76" s="14">
        <v>0</v>
      </c>
      <c r="I76" s="14">
        <v>150</v>
      </c>
      <c r="J76" s="86">
        <f t="shared" si="1"/>
        <v>16</v>
      </c>
      <c r="K76" s="14" t="s">
        <v>206</v>
      </c>
      <c r="L76" s="14"/>
      <c r="M76" s="14"/>
      <c r="N76" s="2"/>
      <c r="O76"/>
      <c r="P76" s="14"/>
      <c r="Q76" s="14"/>
      <c r="R76" s="14"/>
      <c r="S76" s="14"/>
      <c r="T76" s="14"/>
      <c r="U76" s="14"/>
      <c r="V76" s="14">
        <f>IF(F51&lt;&gt;"4TB",3000,6000)</f>
        <v>6000</v>
      </c>
      <c r="W76" s="14" t="s">
        <v>206</v>
      </c>
      <c r="X76" s="14"/>
      <c r="AT76" s="14"/>
      <c r="AV76" s="14"/>
    </row>
    <row r="77" spans="1:48" ht="13.5" customHeight="1">
      <c r="A77" s="6" t="s">
        <v>501</v>
      </c>
      <c r="D77" s="6" t="s">
        <v>499</v>
      </c>
      <c r="E77" s="6" t="s">
        <v>502</v>
      </c>
      <c r="F77" s="14">
        <f>IF(F51&lt;&gt;"4TB",4,4)</f>
        <v>4</v>
      </c>
      <c r="G77" s="14">
        <f>IF(F51&lt;&gt;"4TB",4,4)</f>
        <v>4</v>
      </c>
      <c r="H77" s="14">
        <v>0</v>
      </c>
      <c r="I77" s="14">
        <v>21</v>
      </c>
      <c r="J77" s="86">
        <f t="shared" si="1"/>
        <v>4</v>
      </c>
      <c r="K77" s="14" t="s">
        <v>206</v>
      </c>
      <c r="L77" s="14"/>
      <c r="M77" s="14"/>
      <c r="N77" s="2"/>
      <c r="O77"/>
      <c r="P77" s="14"/>
      <c r="Q77" s="14"/>
      <c r="R77" s="14"/>
      <c r="S77" s="14"/>
      <c r="T77" s="14"/>
      <c r="U77" s="14"/>
      <c r="V77" s="14"/>
      <c r="W77" s="14"/>
      <c r="X77" s="14"/>
      <c r="AT77" s="14"/>
      <c r="AV77" s="14"/>
    </row>
    <row r="78" spans="1:48" ht="13.5" customHeight="1">
      <c r="A78" s="6" t="s">
        <v>627</v>
      </c>
      <c r="D78" s="6" t="s">
        <v>499</v>
      </c>
      <c r="E78" s="6" t="s">
        <v>628</v>
      </c>
      <c r="F78" s="14">
        <f>IF(F51&lt;&gt;"4TB",0,4)</f>
        <v>4</v>
      </c>
      <c r="G78" s="14">
        <f>IF(F51&lt;&gt;"4TB",0,4)</f>
        <v>4</v>
      </c>
      <c r="H78" s="14">
        <v>0</v>
      </c>
      <c r="I78" s="14">
        <f>IF(F51&lt;&gt;"4TB",0,21)</f>
        <v>21</v>
      </c>
      <c r="J78" s="86">
        <f t="shared" si="1"/>
        <v>4</v>
      </c>
      <c r="K78" s="14" t="s">
        <v>206</v>
      </c>
      <c r="L78" s="14"/>
      <c r="M78" s="14"/>
      <c r="N78" s="2"/>
      <c r="O78"/>
      <c r="P78" s="14"/>
      <c r="Q78" s="14"/>
      <c r="R78" s="14"/>
      <c r="S78" s="14"/>
      <c r="T78" s="14"/>
      <c r="U78" s="14"/>
      <c r="V78" s="14"/>
      <c r="W78" s="14"/>
      <c r="X78" s="14"/>
      <c r="AT78" s="14"/>
      <c r="AV78" s="14"/>
    </row>
    <row r="79" spans="1:48" ht="13.5" customHeight="1">
      <c r="A79" s="6" t="s">
        <v>503</v>
      </c>
      <c r="D79" s="6" t="s">
        <v>504</v>
      </c>
      <c r="E79" s="6" t="s">
        <v>138</v>
      </c>
      <c r="F79" s="14">
        <v>2</v>
      </c>
      <c r="G79" s="14">
        <v>4</v>
      </c>
      <c r="H79" s="14">
        <v>0</v>
      </c>
      <c r="I79" s="14">
        <v>200</v>
      </c>
      <c r="J79" s="14">
        <f>IF(G79&gt;=10,16, 4)</f>
        <v>4</v>
      </c>
      <c r="K79" s="14" t="s">
        <v>546</v>
      </c>
      <c r="L79" s="86"/>
      <c r="M79" s="86"/>
      <c r="N79" s="86"/>
      <c r="O79" s="86"/>
      <c r="P79" s="86"/>
      <c r="Q79" s="86"/>
      <c r="R79" s="86"/>
      <c r="S79" s="86"/>
      <c r="T79" s="86"/>
      <c r="U79" s="86"/>
      <c r="V79" s="14"/>
      <c r="W79" s="14"/>
      <c r="X79" s="14"/>
      <c r="AJ79" s="14"/>
      <c r="AK79" s="14"/>
      <c r="AL79" s="14"/>
      <c r="AN79" s="14"/>
      <c r="AT79" s="14" t="s">
        <v>437</v>
      </c>
      <c r="AU79" s="14"/>
      <c r="AV79" s="14"/>
    </row>
    <row r="80" spans="1:48" ht="13.5" customHeight="1">
      <c r="A80" s="154" t="s">
        <v>505</v>
      </c>
      <c r="B80" s="19"/>
      <c r="C80" s="19"/>
      <c r="D80" s="19" t="s">
        <v>504</v>
      </c>
      <c r="E80" s="19" t="s">
        <v>140</v>
      </c>
      <c r="F80" s="17">
        <v>6</v>
      </c>
      <c r="G80" s="17">
        <v>24</v>
      </c>
      <c r="H80" s="17">
        <v>0</v>
      </c>
      <c r="I80" s="17">
        <v>900</v>
      </c>
      <c r="J80" s="17">
        <v>24</v>
      </c>
      <c r="K80" s="17" t="s">
        <v>547</v>
      </c>
      <c r="L80" s="39"/>
      <c r="M80" s="39"/>
      <c r="N80" s="39"/>
      <c r="O80" s="39"/>
      <c r="P80" s="39"/>
      <c r="Q80" s="39"/>
      <c r="R80" s="39"/>
      <c r="S80" s="39"/>
      <c r="T80" s="19"/>
      <c r="U80" s="39"/>
      <c r="V80" s="39">
        <v>6000</v>
      </c>
      <c r="W80" s="17" t="s">
        <v>548</v>
      </c>
      <c r="X80" s="17"/>
      <c r="Y80" s="19"/>
      <c r="Z80" s="19"/>
      <c r="AA80" s="19"/>
      <c r="AB80" s="19"/>
      <c r="AC80" s="19"/>
      <c r="AD80" s="19"/>
      <c r="AE80" s="19"/>
      <c r="AF80" s="19"/>
      <c r="AG80" s="19"/>
      <c r="AH80" s="19"/>
      <c r="AI80" s="19"/>
      <c r="AJ80" s="19"/>
      <c r="AK80" s="17"/>
      <c r="AL80" s="17"/>
      <c r="AM80" s="19"/>
      <c r="AN80" s="17"/>
      <c r="AO80" s="19"/>
      <c r="AP80" s="19"/>
      <c r="AQ80" s="19"/>
      <c r="AR80" s="19"/>
      <c r="AS80" s="19"/>
      <c r="AT80" s="17" t="s">
        <v>437</v>
      </c>
      <c r="AU80" s="17"/>
      <c r="AV80" s="17"/>
    </row>
    <row r="81" spans="1:48" ht="13.5" customHeight="1">
      <c r="A81" s="6" t="s">
        <v>629</v>
      </c>
      <c r="C81" s="6" t="s">
        <v>442</v>
      </c>
      <c r="D81" s="6" t="s">
        <v>435</v>
      </c>
      <c r="E81" s="6" t="s">
        <v>110</v>
      </c>
      <c r="F81" s="14">
        <v>10</v>
      </c>
      <c r="G81" s="14">
        <v>32</v>
      </c>
      <c r="H81" s="14">
        <v>0</v>
      </c>
      <c r="I81" s="14">
        <v>71</v>
      </c>
      <c r="J81" s="86">
        <f t="shared" si="1"/>
        <v>16</v>
      </c>
      <c r="K81" s="14"/>
      <c r="L81" s="14"/>
      <c r="M81" s="14"/>
      <c r="N81" s="2"/>
      <c r="O81"/>
      <c r="P81" s="14"/>
      <c r="Q81" s="14"/>
      <c r="R81" s="14"/>
      <c r="S81" s="14"/>
      <c r="T81" s="14"/>
      <c r="U81" s="14"/>
      <c r="V81" s="14"/>
      <c r="W81" s="14"/>
      <c r="X81" s="14"/>
      <c r="AF81" s="14">
        <v>170</v>
      </c>
      <c r="AG81" s="6" t="s">
        <v>550</v>
      </c>
      <c r="AT81" s="14" t="s">
        <v>437</v>
      </c>
      <c r="AV81" s="14"/>
    </row>
    <row r="82" spans="1:48" ht="13.5" customHeight="1">
      <c r="A82" s="6" t="s">
        <v>551</v>
      </c>
      <c r="C82" s="6" t="s">
        <v>442</v>
      </c>
      <c r="D82" s="6" t="s">
        <v>435</v>
      </c>
      <c r="E82" s="15" t="s">
        <v>122</v>
      </c>
      <c r="F82" s="14">
        <v>2</v>
      </c>
      <c r="G82" s="14">
        <v>10</v>
      </c>
      <c r="H82" s="14">
        <v>0</v>
      </c>
      <c r="I82" s="14">
        <v>60</v>
      </c>
      <c r="J82" s="86">
        <f t="shared" si="1"/>
        <v>16</v>
      </c>
      <c r="K82" s="86"/>
      <c r="L82" s="14"/>
      <c r="M82" s="14"/>
      <c r="N82" s="2"/>
      <c r="O82"/>
      <c r="P82" s="14"/>
      <c r="Q82" s="14"/>
      <c r="R82" s="14"/>
      <c r="S82" s="14"/>
      <c r="T82" s="14"/>
      <c r="U82" s="14"/>
      <c r="V82" s="14"/>
      <c r="W82" s="14"/>
      <c r="X82" s="14"/>
      <c r="AT82" s="14" t="s">
        <v>437</v>
      </c>
      <c r="AV82" s="14"/>
    </row>
    <row r="83" spans="1:48" ht="13.5" customHeight="1">
      <c r="A83" s="6" t="s">
        <v>480</v>
      </c>
      <c r="C83" s="6" t="s">
        <v>442</v>
      </c>
      <c r="D83" s="6" t="s">
        <v>435</v>
      </c>
      <c r="E83" s="15" t="s">
        <v>506</v>
      </c>
      <c r="F83" s="14">
        <v>2</v>
      </c>
      <c r="G83" s="14">
        <v>2</v>
      </c>
      <c r="H83" s="14">
        <v>0</v>
      </c>
      <c r="I83" s="14">
        <v>50</v>
      </c>
      <c r="J83" s="86">
        <f t="shared" si="1"/>
        <v>4</v>
      </c>
      <c r="K83" s="86"/>
      <c r="L83" s="14"/>
      <c r="M83" s="14"/>
      <c r="N83" s="2"/>
      <c r="O83"/>
      <c r="P83" s="14"/>
      <c r="Q83" s="14"/>
      <c r="R83" s="14"/>
      <c r="S83" s="14"/>
      <c r="T83" s="14"/>
      <c r="U83" s="14"/>
      <c r="V83" s="14"/>
      <c r="W83" s="14"/>
      <c r="X83" s="14"/>
      <c r="AJ83" s="86"/>
      <c r="AK83" s="86"/>
      <c r="AT83" s="14" t="s">
        <v>437</v>
      </c>
      <c r="AV83" s="14"/>
    </row>
    <row r="84" spans="1:48" ht="13.5" customHeight="1">
      <c r="A84" s="6" t="s">
        <v>476</v>
      </c>
      <c r="C84" s="6" t="s">
        <v>442</v>
      </c>
      <c r="D84" s="6" t="s">
        <v>435</v>
      </c>
      <c r="E84" s="15" t="s">
        <v>507</v>
      </c>
      <c r="F84" s="14">
        <v>2</v>
      </c>
      <c r="G84" s="14">
        <v>2</v>
      </c>
      <c r="H84" s="14">
        <v>0</v>
      </c>
      <c r="I84" s="14">
        <v>50</v>
      </c>
      <c r="J84" s="86">
        <f t="shared" si="1"/>
        <v>4</v>
      </c>
      <c r="K84" s="86" t="s">
        <v>531</v>
      </c>
      <c r="L84" s="14"/>
      <c r="M84" s="14"/>
      <c r="N84" s="2"/>
      <c r="O84"/>
      <c r="P84" s="14"/>
      <c r="Q84" s="14"/>
      <c r="R84" s="14"/>
      <c r="S84" s="14"/>
      <c r="T84" s="14"/>
      <c r="U84" s="14"/>
      <c r="V84" s="14"/>
      <c r="W84" s="14"/>
      <c r="X84" s="14"/>
      <c r="AJ84" s="86"/>
      <c r="AK84" s="86"/>
      <c r="AT84" s="14" t="s">
        <v>437</v>
      </c>
      <c r="AV84" s="14"/>
    </row>
    <row r="85" spans="1:48" s="20" customFormat="1">
      <c r="F85" s="18">
        <f>SUM(F54:F84)+F42</f>
        <v>300</v>
      </c>
      <c r="G85" s="18">
        <f>SUM(G54:G84)+G42</f>
        <v>799</v>
      </c>
      <c r="H85" s="18">
        <f>SUM(H54:H84)+H42</f>
        <v>214.75</v>
      </c>
      <c r="I85" s="18">
        <f>SUM(I54:I84)+I42</f>
        <v>6252</v>
      </c>
      <c r="J85" s="18"/>
      <c r="K85" s="18"/>
      <c r="L85" s="18">
        <f>SUM(L54:L84)+L42</f>
        <v>66</v>
      </c>
      <c r="M85" s="18"/>
      <c r="N85" s="18">
        <f>SUM(N54:N84)+N42</f>
        <v>1500</v>
      </c>
      <c r="O85" s="18"/>
      <c r="P85" s="18">
        <f>SUM(P54:P84)+P42</f>
        <v>2250</v>
      </c>
      <c r="Q85" s="18"/>
      <c r="R85" s="18">
        <f>SUM(R54:R84)+R42</f>
        <v>550</v>
      </c>
      <c r="S85" s="18"/>
      <c r="T85" s="18">
        <f>SUM(T54:T84)+T42</f>
        <v>300</v>
      </c>
      <c r="U85" s="18"/>
      <c r="V85" s="18">
        <f>SUM(V54:V84)+V42</f>
        <v>12000</v>
      </c>
      <c r="W85" s="18"/>
      <c r="X85" s="18">
        <f>SUM(X54:X84)+X42</f>
        <v>7395</v>
      </c>
      <c r="Z85" s="18">
        <f>SUM(Z54:Z84)+Z42</f>
        <v>100</v>
      </c>
      <c r="AB85" s="18">
        <f>SUM(AB54:AB84)+AB42</f>
        <v>50</v>
      </c>
      <c r="AD85" s="18">
        <f>SUM(AD54:AD84)+AD42</f>
        <v>170</v>
      </c>
      <c r="AF85" s="18">
        <f>SUM(AF54:AF84)+AF42</f>
        <v>170</v>
      </c>
      <c r="AH85" s="18">
        <f>SUM(AH54:AH84)+AH42</f>
        <v>200</v>
      </c>
      <c r="AJ85" s="18">
        <f>SUM(AJ54:AJ84)+AJ42</f>
        <v>135</v>
      </c>
      <c r="AL85" s="18">
        <f>SUM(AL54:AL84)+AL42</f>
        <v>0</v>
      </c>
      <c r="AN85" s="18">
        <f>SUM(AN54:AN84)+AN42</f>
        <v>0</v>
      </c>
      <c r="AP85" s="18">
        <f>SUM(AP54:AP84)+AP42</f>
        <v>2500</v>
      </c>
      <c r="AT85" s="18">
        <f>COUNTIF(AT54:AT84,"x")+AT42</f>
        <v>56</v>
      </c>
      <c r="AU85" s="18">
        <f>COUNTIF(AU54:AU84,"x")+AU42</f>
        <v>10</v>
      </c>
      <c r="AV85" s="18">
        <f>COUNTIF(AV54:AV84,"x")+AV42</f>
        <v>3</v>
      </c>
    </row>
    <row r="86" spans="1:48">
      <c r="F86" s="14"/>
      <c r="G86" s="14"/>
      <c r="H86" s="14"/>
      <c r="I86" s="14"/>
      <c r="J86" s="14"/>
      <c r="K86" s="14"/>
      <c r="L86" s="14"/>
      <c r="M86" s="14"/>
      <c r="N86" s="14"/>
      <c r="O86" s="14"/>
      <c r="P86" s="14"/>
      <c r="Q86" s="14"/>
      <c r="R86" s="14"/>
      <c r="S86" s="14"/>
      <c r="T86" s="14"/>
      <c r="U86" s="14"/>
      <c r="V86" s="14"/>
      <c r="W86" s="14"/>
      <c r="X86" s="14"/>
      <c r="Z86" s="14"/>
      <c r="AB86" s="14"/>
      <c r="AD86" s="14"/>
      <c r="AP86" s="14"/>
      <c r="AU86" s="14"/>
      <c r="AV86" s="14"/>
    </row>
    <row r="87" spans="1:48" ht="12.95">
      <c r="A87" s="16" t="s">
        <v>552</v>
      </c>
      <c r="F87" s="14"/>
      <c r="G87" s="14"/>
      <c r="H87" s="14"/>
      <c r="I87" s="14"/>
      <c r="J87" s="14"/>
      <c r="K87" s="14"/>
      <c r="L87" s="14"/>
      <c r="M87" s="14"/>
      <c r="N87" s="14"/>
      <c r="O87" s="14"/>
      <c r="P87" s="14"/>
      <c r="Q87" s="14"/>
      <c r="R87" s="14"/>
      <c r="S87" s="14"/>
      <c r="T87" s="14"/>
      <c r="U87" s="14"/>
      <c r="V87" s="14"/>
      <c r="W87" s="14"/>
      <c r="X87" s="14"/>
      <c r="Z87" s="14"/>
      <c r="AB87" s="14"/>
      <c r="AD87" s="14"/>
      <c r="AP87" s="14"/>
      <c r="AU87" s="14"/>
      <c r="AV87" s="14"/>
    </row>
    <row r="88" spans="1:48" ht="13.5" customHeight="1">
      <c r="A88" s="6" t="s">
        <v>553</v>
      </c>
      <c r="C88" s="6" t="s">
        <v>554</v>
      </c>
      <c r="D88" s="6" t="s">
        <v>499</v>
      </c>
      <c r="E88" s="6" t="s">
        <v>555</v>
      </c>
      <c r="F88" s="14">
        <v>4</v>
      </c>
      <c r="G88" s="14">
        <v>4</v>
      </c>
      <c r="H88" s="14">
        <v>0</v>
      </c>
      <c r="I88" s="14">
        <v>25</v>
      </c>
      <c r="J88" s="86">
        <f>IF(G88&gt;=10,16, 4)</f>
        <v>4</v>
      </c>
      <c r="K88" s="86" t="s">
        <v>556</v>
      </c>
      <c r="N88" s="97"/>
      <c r="O88"/>
      <c r="P88" s="14"/>
      <c r="Q88" s="14"/>
      <c r="R88" s="14"/>
      <c r="S88" s="14"/>
      <c r="T88" s="14"/>
      <c r="U88" s="14"/>
      <c r="V88" s="129"/>
      <c r="W88" s="129"/>
      <c r="X88" s="14"/>
      <c r="AT88" s="14" t="s">
        <v>437</v>
      </c>
      <c r="AV88" s="14"/>
    </row>
    <row r="89" spans="1:48" s="19" customFormat="1" ht="13.5" customHeight="1">
      <c r="A89" s="19" t="s">
        <v>557</v>
      </c>
      <c r="C89" s="19" t="s">
        <v>554</v>
      </c>
      <c r="D89" s="19" t="s">
        <v>499</v>
      </c>
      <c r="E89" s="19" t="s">
        <v>558</v>
      </c>
      <c r="F89" s="17">
        <v>4</v>
      </c>
      <c r="G89" s="17">
        <v>4</v>
      </c>
      <c r="H89" s="17">
        <v>0</v>
      </c>
      <c r="I89" s="17">
        <v>25</v>
      </c>
      <c r="J89" s="17">
        <f>IF(G89&gt;=10,16, 4)</f>
        <v>4</v>
      </c>
      <c r="K89" s="39" t="s">
        <v>556</v>
      </c>
      <c r="V89" s="130"/>
      <c r="W89" s="130"/>
      <c r="AT89" s="17" t="s">
        <v>437</v>
      </c>
    </row>
    <row r="90" spans="1:48">
      <c r="F90" s="14">
        <f>SUM(F88:F89)+F85</f>
        <v>308</v>
      </c>
      <c r="G90" s="14">
        <f>SUM(G88:G89)+G85</f>
        <v>807</v>
      </c>
      <c r="H90" s="14">
        <f>SUM(H88:H89)+H85</f>
        <v>214.75</v>
      </c>
      <c r="I90" s="14">
        <f>SUM(I88:I89)+I85</f>
        <v>6302</v>
      </c>
      <c r="J90" s="14"/>
      <c r="K90" s="14"/>
      <c r="L90" s="14">
        <f>SUM(L88:L89)+L85</f>
        <v>66</v>
      </c>
      <c r="M90" s="14"/>
      <c r="N90" s="14">
        <f>SUM(N88:N89)+N85</f>
        <v>1500</v>
      </c>
      <c r="O90" s="14"/>
      <c r="P90" s="14">
        <f>SUM(P88:P89)+P85</f>
        <v>2250</v>
      </c>
      <c r="Q90" s="14"/>
      <c r="R90" s="14">
        <f>SUM(R88:R89)+R85</f>
        <v>550</v>
      </c>
      <c r="S90" s="14"/>
      <c r="T90" s="14">
        <f>SUM(T88:T89)+T85</f>
        <v>300</v>
      </c>
      <c r="U90" s="14"/>
      <c r="V90" s="14">
        <f>SUM(V88:V89)+V85</f>
        <v>12000</v>
      </c>
      <c r="W90" s="14"/>
      <c r="X90" s="14">
        <f>SUM(X88:X89)+X85</f>
        <v>7395</v>
      </c>
      <c r="Z90" s="14">
        <f>SUM(Z88:Z89)+Z85</f>
        <v>100</v>
      </c>
      <c r="AB90" s="14">
        <f>SUM(AB88:AB89)+AB85</f>
        <v>50</v>
      </c>
      <c r="AD90" s="14">
        <f>SUM(AD88:AD89)+AD85</f>
        <v>170</v>
      </c>
      <c r="AF90" s="14">
        <f>SUM(AF88:AF89)+AF85</f>
        <v>170</v>
      </c>
      <c r="AH90" s="14">
        <f>SUM(AH88:AH89)+AH85</f>
        <v>200</v>
      </c>
      <c r="AJ90" s="14">
        <f>SUM(AJ88:AJ89)+AJ85</f>
        <v>135</v>
      </c>
      <c r="AL90" s="14">
        <f>SUM(AL88:AL89)+AL85</f>
        <v>0</v>
      </c>
      <c r="AN90" s="14">
        <f>SUM(AN88:AN89)+AN85</f>
        <v>0</v>
      </c>
      <c r="AP90" s="14">
        <f>SUM(AP88:AP89)+AP85</f>
        <v>2500</v>
      </c>
      <c r="AT90" s="18">
        <f>COUNTIF(AT88:AT89,"x")+AT85</f>
        <v>58</v>
      </c>
      <c r="AU90" s="18">
        <f>COUNTIF(AU88:AU89,"x")+AU85</f>
        <v>10</v>
      </c>
      <c r="AV90" s="18">
        <f>COUNTIF(AV88:AV89,"x")+AV85</f>
        <v>3</v>
      </c>
    </row>
    <row r="91" spans="1:48">
      <c r="F91" s="14"/>
      <c r="G91" s="14"/>
      <c r="H91" s="14"/>
      <c r="I91" s="14"/>
      <c r="J91" s="14"/>
      <c r="K91" s="14"/>
      <c r="L91" s="14"/>
      <c r="M91" s="14"/>
      <c r="N91" s="14"/>
      <c r="O91" s="14"/>
      <c r="P91" s="14"/>
      <c r="Q91" s="14"/>
      <c r="R91" s="14"/>
      <c r="S91" s="14"/>
      <c r="T91" s="14"/>
      <c r="U91" s="14"/>
      <c r="V91" s="14"/>
      <c r="W91" s="14"/>
      <c r="X91" s="14"/>
      <c r="Z91" s="14"/>
      <c r="AB91" s="14"/>
      <c r="AD91" s="14"/>
      <c r="AP91" s="14"/>
      <c r="AU91" s="14"/>
      <c r="AV91" s="14"/>
    </row>
    <row r="92" spans="1:48" ht="12.95">
      <c r="A92" s="16" t="s">
        <v>559</v>
      </c>
    </row>
    <row r="93" spans="1:48">
      <c r="A93" s="6" t="s">
        <v>560</v>
      </c>
      <c r="C93" s="6" t="s">
        <v>561</v>
      </c>
      <c r="D93" s="6" t="s">
        <v>562</v>
      </c>
      <c r="E93" s="6" t="s">
        <v>42</v>
      </c>
      <c r="F93" s="14">
        <v>2</v>
      </c>
      <c r="G93" s="14">
        <v>4</v>
      </c>
      <c r="H93" s="14">
        <v>4</v>
      </c>
      <c r="I93" s="14">
        <v>350</v>
      </c>
      <c r="J93" s="86">
        <f t="shared" ref="J93:J102" si="2">IF(G93&gt;=10,16, 4)</f>
        <v>4</v>
      </c>
      <c r="K93" s="86" t="s">
        <v>563</v>
      </c>
      <c r="L93" s="86"/>
      <c r="M93" s="86"/>
      <c r="N93" s="86"/>
      <c r="O93" s="86"/>
      <c r="P93" s="86"/>
      <c r="Q93" s="86"/>
      <c r="R93" s="86"/>
      <c r="S93" s="86"/>
      <c r="T93" s="14"/>
      <c r="U93" s="14"/>
      <c r="V93" s="14"/>
      <c r="Z93" s="14"/>
      <c r="AA93" s="14"/>
      <c r="AB93" s="14"/>
      <c r="AC93" s="14"/>
      <c r="AD93" s="14"/>
      <c r="AE93" s="14"/>
      <c r="AF93" s="14"/>
      <c r="AG93" s="14"/>
      <c r="AH93" s="14"/>
      <c r="AI93" s="14"/>
      <c r="AJ93" s="14"/>
      <c r="AK93" s="14"/>
      <c r="AL93" s="14"/>
      <c r="AM93" s="14"/>
      <c r="AN93" s="14"/>
      <c r="AO93" s="14"/>
      <c r="AP93" s="14"/>
      <c r="AQ93" s="14"/>
      <c r="AR93" s="14"/>
      <c r="AS93" s="14"/>
      <c r="AT93" s="14" t="s">
        <v>437</v>
      </c>
      <c r="AU93" s="14"/>
      <c r="AV93" s="14"/>
    </row>
    <row r="94" spans="1:48">
      <c r="A94" s="6" t="s">
        <v>565</v>
      </c>
      <c r="C94" s="6" t="s">
        <v>561</v>
      </c>
      <c r="D94" s="6" t="s">
        <v>562</v>
      </c>
      <c r="E94" s="6" t="s">
        <v>566</v>
      </c>
      <c r="F94" s="14">
        <v>6</v>
      </c>
      <c r="G94" s="14">
        <v>10</v>
      </c>
      <c r="H94" s="14">
        <v>10</v>
      </c>
      <c r="I94" s="14">
        <v>100</v>
      </c>
      <c r="J94" s="86">
        <f t="shared" si="2"/>
        <v>16</v>
      </c>
      <c r="K94" s="86" t="s">
        <v>563</v>
      </c>
      <c r="L94" s="86"/>
      <c r="M94" s="86"/>
      <c r="N94" s="86">
        <v>200</v>
      </c>
      <c r="O94" s="86" t="s">
        <v>564</v>
      </c>
      <c r="P94" s="86"/>
      <c r="Q94" s="86"/>
      <c r="R94" s="86"/>
      <c r="S94" s="86"/>
      <c r="T94" s="14"/>
      <c r="U94" s="14"/>
      <c r="V94" s="14"/>
      <c r="Z94" s="14"/>
      <c r="AA94" s="14"/>
      <c r="AB94" s="14"/>
      <c r="AC94" s="14"/>
      <c r="AD94" s="14"/>
      <c r="AE94" s="14"/>
      <c r="AF94" s="14"/>
      <c r="AG94" s="14"/>
      <c r="AH94" s="14"/>
      <c r="AI94" s="14"/>
      <c r="AJ94" s="14"/>
      <c r="AK94" s="14"/>
      <c r="AL94" s="14"/>
      <c r="AM94" s="14"/>
      <c r="AN94" s="14"/>
      <c r="AO94" s="14"/>
      <c r="AP94" s="14"/>
      <c r="AQ94" s="14"/>
      <c r="AR94" s="14"/>
      <c r="AS94" s="14"/>
      <c r="AT94" s="14" t="s">
        <v>437</v>
      </c>
      <c r="AU94" s="14"/>
      <c r="AV94" s="14"/>
    </row>
    <row r="95" spans="1:48">
      <c r="A95" s="6" t="s">
        <v>567</v>
      </c>
      <c r="C95" s="6" t="s">
        <v>561</v>
      </c>
      <c r="D95" s="6" t="s">
        <v>562</v>
      </c>
      <c r="E95" s="6" t="s">
        <v>568</v>
      </c>
      <c r="F95" s="14">
        <v>8</v>
      </c>
      <c r="G95" s="14">
        <v>16</v>
      </c>
      <c r="H95" s="14">
        <v>16</v>
      </c>
      <c r="I95" s="14">
        <v>60</v>
      </c>
      <c r="J95" s="86">
        <f t="shared" si="2"/>
        <v>16</v>
      </c>
      <c r="K95" s="86" t="s">
        <v>569</v>
      </c>
      <c r="L95" s="86"/>
      <c r="M95" s="86"/>
      <c r="N95" s="86"/>
      <c r="O95" s="86"/>
      <c r="P95" s="86"/>
      <c r="Q95" s="86"/>
      <c r="R95" s="86"/>
      <c r="S95" s="86"/>
      <c r="T95" s="14"/>
      <c r="U95" s="14"/>
      <c r="V95" s="14"/>
      <c r="Z95" s="14"/>
      <c r="AA95" s="14"/>
      <c r="AB95" s="14"/>
      <c r="AC95" s="14"/>
      <c r="AD95" s="14"/>
      <c r="AE95" s="14"/>
      <c r="AF95" s="14"/>
      <c r="AG95" s="14"/>
      <c r="AH95" s="14"/>
      <c r="AI95" s="14"/>
      <c r="AJ95" s="14"/>
      <c r="AK95" s="14"/>
      <c r="AL95" s="14"/>
      <c r="AM95" s="14"/>
      <c r="AN95" s="14"/>
      <c r="AO95" s="14"/>
      <c r="AP95" s="14"/>
      <c r="AQ95" s="14"/>
      <c r="AR95" s="14"/>
      <c r="AS95" s="14"/>
      <c r="AT95" s="14" t="s">
        <v>437</v>
      </c>
      <c r="AU95" s="14" t="s">
        <v>437</v>
      </c>
      <c r="AV95" s="14"/>
    </row>
    <row r="96" spans="1:48">
      <c r="A96" s="6" t="s">
        <v>570</v>
      </c>
      <c r="C96" s="6" t="s">
        <v>561</v>
      </c>
      <c r="D96" s="6" t="s">
        <v>562</v>
      </c>
      <c r="E96" s="6" t="s">
        <v>571</v>
      </c>
      <c r="F96" s="14">
        <v>10</v>
      </c>
      <c r="G96" s="14">
        <v>10</v>
      </c>
      <c r="H96" s="14">
        <v>10</v>
      </c>
      <c r="I96" s="14">
        <v>40</v>
      </c>
      <c r="J96" s="86">
        <f t="shared" si="2"/>
        <v>16</v>
      </c>
      <c r="K96" s="86" t="s">
        <v>569</v>
      </c>
      <c r="L96" s="86"/>
      <c r="M96" s="86"/>
      <c r="N96" s="86"/>
      <c r="O96" s="86"/>
      <c r="P96" s="86"/>
      <c r="Q96" s="86"/>
      <c r="R96" s="86"/>
      <c r="S96" s="86"/>
      <c r="T96" s="14"/>
      <c r="U96" s="14"/>
      <c r="V96" s="14"/>
      <c r="Z96" s="14"/>
      <c r="AA96" s="14"/>
      <c r="AB96" s="14"/>
      <c r="AC96" s="14"/>
      <c r="AD96" s="14"/>
      <c r="AE96" s="14"/>
      <c r="AF96" s="14"/>
      <c r="AG96" s="14"/>
      <c r="AH96" s="14"/>
      <c r="AI96" s="14"/>
      <c r="AJ96" s="14"/>
      <c r="AK96" s="14"/>
      <c r="AL96" s="14"/>
      <c r="AM96" s="14"/>
      <c r="AN96" s="14"/>
      <c r="AO96" s="14"/>
      <c r="AP96" s="14"/>
      <c r="AQ96" s="14"/>
      <c r="AR96" s="14"/>
      <c r="AS96" s="14"/>
      <c r="AT96" s="14" t="s">
        <v>437</v>
      </c>
      <c r="AU96" s="14" t="s">
        <v>437</v>
      </c>
      <c r="AV96" s="14"/>
    </row>
    <row r="97" spans="1:48">
      <c r="A97" s="6" t="s">
        <v>572</v>
      </c>
      <c r="C97" s="6" t="s">
        <v>561</v>
      </c>
      <c r="D97" s="6" t="s">
        <v>562</v>
      </c>
      <c r="E97" s="6" t="s">
        <v>573</v>
      </c>
      <c r="F97" s="14">
        <v>4</v>
      </c>
      <c r="G97" s="14">
        <v>16</v>
      </c>
      <c r="H97" s="14">
        <v>0</v>
      </c>
      <c r="I97" s="14">
        <v>550</v>
      </c>
      <c r="J97" s="86">
        <f t="shared" si="2"/>
        <v>16</v>
      </c>
      <c r="K97" s="86" t="s">
        <v>574</v>
      </c>
      <c r="L97" s="86"/>
      <c r="M97" s="86"/>
      <c r="N97" s="86"/>
      <c r="O97" s="86"/>
      <c r="P97" s="86"/>
      <c r="Q97" s="86"/>
      <c r="R97" s="86"/>
      <c r="S97" s="86"/>
      <c r="T97" s="14"/>
      <c r="U97" s="14"/>
      <c r="V97" s="14"/>
      <c r="Z97" s="14"/>
      <c r="AA97" s="14"/>
      <c r="AB97" s="14"/>
      <c r="AC97" s="14"/>
      <c r="AD97" s="14"/>
      <c r="AE97" s="14"/>
      <c r="AF97" s="14"/>
      <c r="AG97" s="14"/>
      <c r="AH97" s="14"/>
      <c r="AI97" s="14"/>
      <c r="AJ97" s="14"/>
      <c r="AK97" s="14"/>
      <c r="AL97" s="14"/>
      <c r="AM97" s="14"/>
      <c r="AN97" s="14"/>
      <c r="AO97" s="14"/>
      <c r="AP97" s="14"/>
      <c r="AQ97" s="14"/>
      <c r="AR97" s="14"/>
      <c r="AS97" s="14"/>
      <c r="AT97" s="14" t="s">
        <v>437</v>
      </c>
      <c r="AU97" s="14" t="s">
        <v>437</v>
      </c>
      <c r="AV97" s="14"/>
    </row>
    <row r="98" spans="1:48">
      <c r="A98" s="6" t="s">
        <v>576</v>
      </c>
      <c r="C98" s="6" t="s">
        <v>561</v>
      </c>
      <c r="D98" s="6" t="s">
        <v>562</v>
      </c>
      <c r="E98" s="6" t="s">
        <v>577</v>
      </c>
      <c r="F98" s="14">
        <v>2</v>
      </c>
      <c r="G98" s="14">
        <v>4</v>
      </c>
      <c r="H98" s="14">
        <v>4</v>
      </c>
      <c r="I98" s="14">
        <v>40</v>
      </c>
      <c r="J98" s="86">
        <f t="shared" si="2"/>
        <v>4</v>
      </c>
      <c r="K98" s="86" t="s">
        <v>569</v>
      </c>
      <c r="L98" s="86"/>
      <c r="M98" s="86"/>
      <c r="N98" s="86"/>
      <c r="O98" s="86"/>
      <c r="P98" s="86"/>
      <c r="Q98" s="86"/>
      <c r="R98" s="86">
        <v>50</v>
      </c>
      <c r="S98" s="86" t="s">
        <v>575</v>
      </c>
      <c r="T98" s="14"/>
      <c r="U98" s="14"/>
      <c r="V98" s="14"/>
      <c r="Z98" s="14"/>
      <c r="AA98" s="14"/>
      <c r="AB98" s="14"/>
      <c r="AC98" s="14"/>
      <c r="AD98" s="14"/>
      <c r="AE98" s="14"/>
      <c r="AF98" s="14"/>
      <c r="AG98" s="14"/>
      <c r="AH98" s="14"/>
      <c r="AI98" s="14"/>
      <c r="AJ98" s="14"/>
      <c r="AK98" s="14"/>
      <c r="AL98" s="14"/>
      <c r="AM98" s="14"/>
      <c r="AN98" s="14"/>
      <c r="AO98" s="14"/>
      <c r="AP98" s="14"/>
      <c r="AQ98" s="14"/>
      <c r="AR98" s="14"/>
      <c r="AS98" s="14"/>
      <c r="AT98" s="14" t="s">
        <v>437</v>
      </c>
      <c r="AU98" s="14"/>
      <c r="AV98" s="14"/>
    </row>
    <row r="99" spans="1:48">
      <c r="A99" s="6" t="s">
        <v>578</v>
      </c>
      <c r="C99" s="6" t="s">
        <v>579</v>
      </c>
      <c r="D99" s="6" t="s">
        <v>562</v>
      </c>
      <c r="E99" s="6" t="s">
        <v>86</v>
      </c>
      <c r="F99" s="14">
        <v>6</v>
      </c>
      <c r="G99" s="14">
        <v>20</v>
      </c>
      <c r="H99" s="14">
        <v>0</v>
      </c>
      <c r="I99" s="14">
        <v>80</v>
      </c>
      <c r="J99" s="86">
        <f t="shared" si="2"/>
        <v>16</v>
      </c>
      <c r="K99" s="86" t="s">
        <v>580</v>
      </c>
      <c r="L99" s="86"/>
      <c r="M99" s="86"/>
      <c r="N99" s="86"/>
      <c r="O99" s="86"/>
      <c r="P99" s="86"/>
      <c r="Q99" s="86"/>
      <c r="R99" s="86"/>
      <c r="S99" s="86"/>
      <c r="T99" s="14"/>
      <c r="U99" s="14"/>
      <c r="V99" s="14"/>
      <c r="Z99" s="14"/>
      <c r="AA99" s="14"/>
      <c r="AB99" s="14"/>
      <c r="AC99" s="14"/>
      <c r="AD99" s="14"/>
      <c r="AE99" s="14"/>
      <c r="AF99" s="14"/>
      <c r="AG99" s="14"/>
      <c r="AH99" s="14"/>
      <c r="AI99" s="14"/>
      <c r="AJ99" s="14"/>
      <c r="AK99" s="14"/>
      <c r="AL99" s="14"/>
      <c r="AM99" s="14"/>
      <c r="AN99" s="14"/>
      <c r="AO99" s="14"/>
      <c r="AP99" s="14"/>
      <c r="AQ99" s="14"/>
      <c r="AR99" s="14"/>
      <c r="AS99" s="14"/>
      <c r="AT99" s="14" t="s">
        <v>437</v>
      </c>
      <c r="AU99" s="14"/>
      <c r="AV99" s="14"/>
    </row>
    <row r="100" spans="1:48">
      <c r="A100" s="6" t="s">
        <v>581</v>
      </c>
      <c r="C100" s="6" t="s">
        <v>579</v>
      </c>
      <c r="D100" s="6" t="s">
        <v>562</v>
      </c>
      <c r="E100" s="6" t="s">
        <v>86</v>
      </c>
      <c r="F100" s="14">
        <v>6</v>
      </c>
      <c r="G100" s="14">
        <v>20</v>
      </c>
      <c r="H100" s="14">
        <v>0</v>
      </c>
      <c r="I100" s="14">
        <v>80</v>
      </c>
      <c r="J100" s="86">
        <f t="shared" si="2"/>
        <v>16</v>
      </c>
      <c r="K100" s="86" t="s">
        <v>580</v>
      </c>
      <c r="L100" s="86"/>
      <c r="M100" s="86"/>
      <c r="N100" s="86"/>
      <c r="O100" s="86"/>
      <c r="P100" s="86"/>
      <c r="Q100" s="86"/>
      <c r="R100" s="86"/>
      <c r="S100" s="86"/>
      <c r="T100" s="14"/>
      <c r="U100" s="14"/>
      <c r="V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t="s">
        <v>437</v>
      </c>
      <c r="AU100" s="14"/>
      <c r="AV100" s="14"/>
    </row>
    <row r="101" spans="1:48">
      <c r="A101" s="6" t="s">
        <v>582</v>
      </c>
      <c r="C101" s="6" t="s">
        <v>583</v>
      </c>
      <c r="D101" s="6" t="s">
        <v>584</v>
      </c>
      <c r="E101" s="6" t="s">
        <v>585</v>
      </c>
      <c r="F101" s="14">
        <v>4</v>
      </c>
      <c r="G101" s="14">
        <v>8</v>
      </c>
      <c r="H101" s="14">
        <v>0</v>
      </c>
      <c r="I101" s="14">
        <v>30</v>
      </c>
      <c r="J101" s="86">
        <f t="shared" si="2"/>
        <v>4</v>
      </c>
      <c r="K101" s="86" t="s">
        <v>586</v>
      </c>
      <c r="L101" s="86"/>
      <c r="M101" s="86"/>
      <c r="N101" s="86"/>
      <c r="O101" s="86"/>
      <c r="P101" s="86"/>
      <c r="Q101" s="86"/>
      <c r="R101" s="86"/>
      <c r="S101" s="86"/>
      <c r="T101" s="86"/>
      <c r="U101" s="86"/>
      <c r="V101" s="14"/>
      <c r="W101" s="14"/>
      <c r="X101" s="14"/>
      <c r="AT101" s="14" t="s">
        <v>437</v>
      </c>
      <c r="AU101" s="14"/>
      <c r="AV101" s="14"/>
    </row>
    <row r="102" spans="1:48">
      <c r="A102" s="6" t="s">
        <v>587</v>
      </c>
      <c r="C102" s="6" t="s">
        <v>588</v>
      </c>
      <c r="D102" s="6" t="s">
        <v>435</v>
      </c>
      <c r="E102" s="6" t="s">
        <v>106</v>
      </c>
      <c r="F102" s="14">
        <v>8</v>
      </c>
      <c r="G102" s="14">
        <v>6</v>
      </c>
      <c r="H102" s="14">
        <v>0</v>
      </c>
      <c r="I102" s="14">
        <v>70</v>
      </c>
      <c r="J102" s="86">
        <f t="shared" si="2"/>
        <v>4</v>
      </c>
      <c r="K102" s="86" t="s">
        <v>589</v>
      </c>
      <c r="L102" s="86"/>
      <c r="M102" s="86"/>
      <c r="N102" s="86"/>
      <c r="O102" s="86"/>
      <c r="P102" s="86"/>
      <c r="Q102" s="86"/>
      <c r="R102" s="86"/>
      <c r="S102" s="86"/>
      <c r="T102" s="86"/>
      <c r="U102" s="86"/>
      <c r="V102" s="14"/>
      <c r="W102" s="14"/>
      <c r="X102" s="14"/>
      <c r="AT102" s="14" t="s">
        <v>437</v>
      </c>
      <c r="AU102" s="14"/>
      <c r="AV102" s="14"/>
    </row>
    <row r="103" spans="1:48" s="20" customFormat="1">
      <c r="F103" s="18">
        <f>SUM(F93:F102)+F90</f>
        <v>364</v>
      </c>
      <c r="G103" s="18">
        <f>SUM(G93:G102)+G90</f>
        <v>921</v>
      </c>
      <c r="H103" s="18">
        <f>SUM(H93:H102)+H90</f>
        <v>258.75</v>
      </c>
      <c r="I103" s="18">
        <f>SUM(I93:I102)+I90</f>
        <v>7702</v>
      </c>
      <c r="J103" s="18"/>
      <c r="K103" s="18"/>
      <c r="L103" s="18">
        <f>SUM(L93:L102)+L90</f>
        <v>66</v>
      </c>
      <c r="M103" s="18"/>
      <c r="N103" s="18">
        <f>SUM(N93:N102)+N90</f>
        <v>1700</v>
      </c>
      <c r="O103" s="18"/>
      <c r="P103" s="18">
        <f>SUM(P93:P102)+P90</f>
        <v>2250</v>
      </c>
      <c r="Q103" s="18"/>
      <c r="R103" s="18">
        <f>SUM(R93:R102)+R90</f>
        <v>600</v>
      </c>
      <c r="S103" s="18"/>
      <c r="T103" s="18">
        <f>SUM(T93:T102)+T90</f>
        <v>300</v>
      </c>
      <c r="U103" s="18"/>
      <c r="V103" s="18">
        <f>SUM(V93:V102)+V90</f>
        <v>12000</v>
      </c>
      <c r="W103" s="18"/>
      <c r="X103" s="18">
        <f>SUM(X93:X102)+X90</f>
        <v>7395</v>
      </c>
      <c r="Y103" s="18"/>
      <c r="Z103" s="18">
        <f>SUM(Z93:Z102)+Z90</f>
        <v>100</v>
      </c>
      <c r="AA103" s="18"/>
      <c r="AB103" s="18">
        <f>SUM(AB93:AB102)+AB90</f>
        <v>50</v>
      </c>
      <c r="AC103" s="18"/>
      <c r="AD103" s="18">
        <f>SUM(AD93:AD102)+AD90</f>
        <v>170</v>
      </c>
      <c r="AE103" s="18"/>
      <c r="AF103" s="18">
        <f>SUM(AF93:AF102)+AF90</f>
        <v>170</v>
      </c>
      <c r="AG103" s="18"/>
      <c r="AH103" s="18"/>
      <c r="AI103" s="18"/>
      <c r="AJ103" s="18"/>
      <c r="AK103" s="18"/>
      <c r="AL103" s="18"/>
      <c r="AM103" s="18"/>
      <c r="AN103" s="18"/>
      <c r="AO103" s="18"/>
      <c r="AP103" s="18">
        <f>SUM(AP93:AP102)+AP90</f>
        <v>2500</v>
      </c>
      <c r="AQ103" s="18"/>
      <c r="AR103" s="18"/>
      <c r="AS103" s="18"/>
      <c r="AT103" s="18">
        <f>COUNTIF(AT93:AT102,"x")+AT90</f>
        <v>68</v>
      </c>
      <c r="AU103" s="18">
        <f>COUNTIF(AU93:AU102,"x")+AU90</f>
        <v>13</v>
      </c>
      <c r="AV103" s="18">
        <f>COUNTIF(AV93:AV102,"x")+AV90</f>
        <v>3</v>
      </c>
    </row>
    <row r="106" spans="1:48" ht="14.45">
      <c r="A106" s="179" t="s">
        <v>423</v>
      </c>
      <c r="B106" s="191"/>
      <c r="C106" s="191"/>
    </row>
    <row r="107" spans="1:48" ht="12.95">
      <c r="A107" s="95" t="s">
        <v>508</v>
      </c>
      <c r="B107" s="95" t="s">
        <v>509</v>
      </c>
      <c r="C107" s="95" t="s">
        <v>510</v>
      </c>
      <c r="D107" s="10"/>
      <c r="E107" s="10"/>
    </row>
    <row r="108" spans="1:48">
      <c r="A108" s="93" t="s">
        <v>528</v>
      </c>
      <c r="B108" s="91" cm="1">
        <f t="array" ref="B108">SUM(IF(K8:K102=A108,I8:K102,""))</f>
        <v>880</v>
      </c>
      <c r="C108" s="92">
        <v>1000</v>
      </c>
    </row>
    <row r="109" spans="1:48">
      <c r="A109" s="93" t="s">
        <v>529</v>
      </c>
      <c r="B109" s="91" cm="1">
        <f t="array" ref="B109">SUM(IF(K8:K102=A109,I8:J102,""),AD23)</f>
        <v>975</v>
      </c>
      <c r="C109" s="92">
        <v>1200</v>
      </c>
    </row>
    <row r="110" spans="1:48">
      <c r="A110" s="93" t="s">
        <v>531</v>
      </c>
      <c r="B110" s="91" cm="1">
        <f t="array" ref="B110">SUM(IF(K8:K102=A110,I8:J102,""),AB19,,AD24)</f>
        <v>971</v>
      </c>
      <c r="C110" s="92">
        <v>1100</v>
      </c>
    </row>
    <row r="111" spans="1:48">
      <c r="A111" s="93" t="s">
        <v>590</v>
      </c>
      <c r="B111" s="92">
        <v>10</v>
      </c>
      <c r="C111" s="92">
        <v>35</v>
      </c>
    </row>
    <row r="112" spans="1:48">
      <c r="A112" s="93" t="s">
        <v>591</v>
      </c>
      <c r="B112" s="92">
        <v>10</v>
      </c>
      <c r="C112" s="92">
        <v>35</v>
      </c>
    </row>
    <row r="113" spans="1:7">
      <c r="A113" s="93" t="s">
        <v>592</v>
      </c>
      <c r="B113" s="92">
        <v>10</v>
      </c>
      <c r="C113" s="92">
        <v>35</v>
      </c>
    </row>
    <row r="114" spans="1:7">
      <c r="A114" s="93" t="s">
        <v>593</v>
      </c>
      <c r="B114" s="92">
        <v>10</v>
      </c>
      <c r="C114" s="92">
        <v>35</v>
      </c>
    </row>
    <row r="115" spans="1:7">
      <c r="A115" s="93" t="s">
        <v>594</v>
      </c>
      <c r="B115" s="92">
        <v>10</v>
      </c>
      <c r="C115" s="92">
        <v>35</v>
      </c>
    </row>
    <row r="116" spans="1:7">
      <c r="A116" s="93" t="s">
        <v>630</v>
      </c>
      <c r="B116" s="92">
        <v>10</v>
      </c>
      <c r="C116" s="92">
        <v>35</v>
      </c>
    </row>
    <row r="117" spans="1:7">
      <c r="A117" s="93" t="s">
        <v>512</v>
      </c>
      <c r="B117" s="92">
        <v>59.4</v>
      </c>
      <c r="C117" s="92">
        <v>66</v>
      </c>
    </row>
    <row r="118" spans="1:7">
      <c r="A118" s="93" t="s">
        <v>513</v>
      </c>
      <c r="B118" s="106">
        <f>IF(N11=1500,1350,1885.79)</f>
        <v>1350</v>
      </c>
      <c r="C118" s="106">
        <f>N11</f>
        <v>1500</v>
      </c>
    </row>
    <row r="119" spans="1:7">
      <c r="A119" s="93" t="s">
        <v>514</v>
      </c>
      <c r="B119" s="92">
        <v>2025</v>
      </c>
      <c r="C119" s="92">
        <v>2250</v>
      </c>
      <c r="G119" s="6">
        <f>SUM(I8:I9)</f>
        <v>951</v>
      </c>
    </row>
    <row r="120" spans="1:7">
      <c r="A120" s="93" t="s">
        <v>217</v>
      </c>
      <c r="B120" s="92">
        <f>393</f>
        <v>393</v>
      </c>
      <c r="C120" s="92">
        <v>430</v>
      </c>
    </row>
    <row r="121" spans="1:7">
      <c r="A121" s="93" t="s">
        <v>222</v>
      </c>
      <c r="B121" s="92">
        <v>270</v>
      </c>
      <c r="C121" s="92">
        <v>300</v>
      </c>
    </row>
    <row r="122" spans="1:7">
      <c r="A122" s="93" t="s">
        <v>515</v>
      </c>
      <c r="B122" s="92">
        <v>90</v>
      </c>
      <c r="C122" s="92">
        <v>150</v>
      </c>
    </row>
    <row r="123" spans="1:7">
      <c r="A123" s="93" t="s">
        <v>474</v>
      </c>
      <c r="B123" s="92">
        <v>270</v>
      </c>
      <c r="C123" s="92">
        <v>400</v>
      </c>
    </row>
    <row r="124" spans="1:7">
      <c r="A124" s="93" t="str">
        <f>IF(F51&lt;&gt;"4TB","Backup (DB, NFS, and AVE 2TB)","Backup (DB, NFS, and AVE 4TB)")</f>
        <v>Backup (DB, NFS, and AVE 4TB)</v>
      </c>
      <c r="B124" s="106">
        <f>X11*0.9+X12*0.9+SUM(I76:J78) + V76</f>
        <v>12385.5</v>
      </c>
      <c r="C124" s="106">
        <f>10752+IF(F51 &lt;&gt; "4TB", 0, 3000)</f>
        <v>13752</v>
      </c>
    </row>
    <row r="125" spans="1:7">
      <c r="A125" s="93" t="s">
        <v>595</v>
      </c>
      <c r="B125" s="106">
        <f>X11*0.9+X12*0.9</f>
        <v>6169.5</v>
      </c>
      <c r="C125" s="106">
        <f>10752-3000</f>
        <v>7752</v>
      </c>
    </row>
    <row r="126" spans="1:7">
      <c r="A126" s="93" t="s">
        <v>596</v>
      </c>
      <c r="B126" s="92">
        <v>2048</v>
      </c>
      <c r="C126" s="92">
        <v>2500</v>
      </c>
    </row>
    <row r="127" spans="1:7">
      <c r="A127" s="93" t="s">
        <v>526</v>
      </c>
      <c r="B127" s="106">
        <f>SUM(I8:J9)</f>
        <v>980</v>
      </c>
      <c r="C127" s="106">
        <f>IF(E9="vCSA8.0",1100,900)</f>
        <v>1100</v>
      </c>
    </row>
    <row r="128" spans="1:7">
      <c r="A128" s="93" t="s">
        <v>550</v>
      </c>
      <c r="B128" s="92">
        <v>150</v>
      </c>
      <c r="C128" s="92">
        <v>170</v>
      </c>
    </row>
    <row r="129" spans="1:40">
      <c r="A129" s="111" t="s">
        <v>556</v>
      </c>
      <c r="B129" s="92">
        <v>58</v>
      </c>
      <c r="C129" s="92">
        <v>100</v>
      </c>
    </row>
    <row r="130" spans="1:40">
      <c r="A130" s="111" t="s">
        <v>597</v>
      </c>
      <c r="B130" s="92">
        <v>900</v>
      </c>
      <c r="C130" s="92">
        <v>1050</v>
      </c>
      <c r="D130" s="14"/>
      <c r="AJ130" s="14"/>
      <c r="AK130" s="14"/>
      <c r="AL130" s="14"/>
      <c r="AN130" s="14"/>
    </row>
    <row r="131" spans="1:40">
      <c r="A131" s="111" t="s">
        <v>598</v>
      </c>
      <c r="B131" s="92">
        <v>6000</v>
      </c>
      <c r="C131" s="92">
        <v>6600</v>
      </c>
      <c r="D131" s="14"/>
      <c r="AJ131" s="14"/>
      <c r="AK131" s="14"/>
      <c r="AL131" s="14"/>
      <c r="AN131" s="14"/>
    </row>
    <row r="132" spans="1:40">
      <c r="A132" s="76" t="s">
        <v>599</v>
      </c>
    </row>
    <row r="139" spans="1:40" ht="12.95">
      <c r="B139" s="8" t="s">
        <v>602</v>
      </c>
    </row>
    <row r="140" spans="1:40">
      <c r="A140" s="114" t="s">
        <v>607</v>
      </c>
      <c r="B140" s="6">
        <v>1500</v>
      </c>
    </row>
    <row r="141" spans="1:40">
      <c r="A141" s="114" t="s">
        <v>631</v>
      </c>
      <c r="B141" s="6">
        <v>2062</v>
      </c>
    </row>
    <row r="142" spans="1:40" ht="12.75"/>
  </sheetData>
  <mergeCells count="12">
    <mergeCell ref="H45:O49"/>
    <mergeCell ref="A46:D46"/>
    <mergeCell ref="A51:E51"/>
    <mergeCell ref="A106:C106"/>
    <mergeCell ref="A1:E1"/>
    <mergeCell ref="A2:B2"/>
    <mergeCell ref="A3:B3"/>
    <mergeCell ref="F3:G3"/>
    <mergeCell ref="A4:B4"/>
    <mergeCell ref="A5:B5"/>
    <mergeCell ref="A6:B6"/>
    <mergeCell ref="A45:D45"/>
  </mergeCells>
  <dataValidations count="3">
    <dataValidation type="list" allowBlank="1" showInputMessage="1" showErrorMessage="1" sqref="F51" xr:uid="{989FD67C-7C6A-43DB-A685-30F2D7D2F77E}">
      <formula1>"2TB, 4TB"</formula1>
    </dataValidation>
    <dataValidation type="list" allowBlank="1" showInputMessage="1" showErrorMessage="1" sqref="N11" xr:uid="{FC54205D-747D-4619-8213-D0A7E588ABC8}">
      <formula1>$B$140:$B$141</formula1>
    </dataValidation>
    <dataValidation type="list" allowBlank="1" showInputMessage="1" showErrorMessage="1" sqref="E9" xr:uid="{1A279794-6019-4A61-82A8-58D72DDC3234}">
      <formula1>"vCSA8.0, vCSA7.0"</formula1>
    </dataValidation>
  </dataValidations>
  <hyperlinks>
    <hyperlink ref="F3:G3" location="Shortcuts!A1" display="Back to shortcuts" xr:uid="{B1ECACE5-F15E-4E98-9B79-99AB253FF27E}"/>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0944-A27F-4042-BC55-B46B3D50B3E8}">
  <dimension ref="A1:AV157"/>
  <sheetViews>
    <sheetView topLeftCell="A93" zoomScale="80" zoomScaleNormal="80" zoomScalePageLayoutView="70" workbookViewId="0">
      <selection activeCell="A117" sqref="A117:XFD118"/>
    </sheetView>
  </sheetViews>
  <sheetFormatPr defaultColWidth="8.85546875" defaultRowHeight="12.6"/>
  <cols>
    <col min="1" max="1" width="37.42578125" style="36" customWidth="1"/>
    <col min="2" max="2" width="14.85546875" style="36" customWidth="1"/>
    <col min="3" max="3" width="15.5703125" style="36" customWidth="1"/>
    <col min="4" max="4" width="23.85546875" style="36" customWidth="1"/>
    <col min="5" max="5" width="51" style="36" customWidth="1"/>
    <col min="6" max="6" width="22.140625" style="36" customWidth="1"/>
    <col min="7" max="7" width="16.85546875" style="36" customWidth="1"/>
    <col min="8" max="8" width="26.85546875" style="36" customWidth="1"/>
    <col min="9" max="9" width="40" style="36" customWidth="1"/>
    <col min="10" max="10" width="8.85546875" style="36"/>
    <col min="11" max="11" width="17.85546875" style="36" customWidth="1"/>
    <col min="12" max="12" width="9.140625" style="36" customWidth="1"/>
    <col min="13" max="13" width="9.85546875" style="36" customWidth="1"/>
    <col min="14" max="14" width="8.85546875" style="36"/>
    <col min="15" max="15" width="11.85546875" style="36" customWidth="1"/>
    <col min="16" max="16" width="8.85546875" style="36"/>
    <col min="17" max="17" width="9.85546875" style="36" customWidth="1"/>
    <col min="18" max="18" width="8.85546875" style="36"/>
    <col min="19" max="19" width="9.85546875" style="36" customWidth="1"/>
    <col min="20" max="20" width="8.85546875" style="36"/>
    <col min="21" max="21" width="9.85546875" style="36" customWidth="1"/>
    <col min="22" max="22" width="8.85546875" style="36"/>
    <col min="23" max="23" width="9.85546875" style="36" customWidth="1"/>
    <col min="24" max="24" width="12.140625" style="36" customWidth="1"/>
    <col min="25" max="26" width="9.85546875" style="36" customWidth="1"/>
    <col min="27" max="32" width="12.85546875" style="36" customWidth="1"/>
    <col min="33" max="33" width="14.140625" style="36" bestFit="1" customWidth="1"/>
    <col min="34" max="34" width="14.140625" style="36" customWidth="1"/>
    <col min="35" max="35" width="16.42578125" style="36" customWidth="1"/>
    <col min="36" max="36" width="15.42578125" style="36" customWidth="1"/>
    <col min="37" max="37" width="16.85546875" style="36" customWidth="1"/>
    <col min="38" max="41" width="15.42578125" style="36" customWidth="1"/>
    <col min="42" max="44" width="12.85546875" style="36" customWidth="1"/>
    <col min="45" max="45" width="18.42578125" style="36" customWidth="1"/>
    <col min="46" max="46" width="22" style="36" customWidth="1"/>
    <col min="47" max="47" width="12.140625" style="36" customWidth="1"/>
    <col min="48" max="48" width="13.140625" style="36" customWidth="1"/>
    <col min="49" max="16384" width="8.85546875" style="36"/>
  </cols>
  <sheetData>
    <row r="1" spans="1:48" ht="12.95">
      <c r="A1" s="189" t="s">
        <v>38</v>
      </c>
      <c r="B1" s="189"/>
      <c r="C1" s="189"/>
      <c r="D1" s="189"/>
      <c r="E1" s="190"/>
      <c r="F1" s="35" t="s">
        <v>409</v>
      </c>
    </row>
    <row r="2" spans="1:48">
      <c r="A2" s="182" t="s">
        <v>410</v>
      </c>
      <c r="B2" s="182"/>
      <c r="C2" s="121"/>
      <c r="D2" s="36" t="s">
        <v>632</v>
      </c>
    </row>
    <row r="3" spans="1:48" ht="14.45">
      <c r="A3" s="182" t="s">
        <v>412</v>
      </c>
      <c r="B3" s="182"/>
      <c r="C3" s="36" t="s">
        <v>411</v>
      </c>
      <c r="F3" s="173" t="s">
        <v>413</v>
      </c>
      <c r="G3" s="173"/>
    </row>
    <row r="4" spans="1:48" ht="12.95">
      <c r="A4" s="182" t="s">
        <v>414</v>
      </c>
      <c r="B4" s="182"/>
      <c r="C4" s="36" t="s">
        <v>519</v>
      </c>
    </row>
    <row r="5" spans="1:48" ht="12.95">
      <c r="A5" s="171" t="s">
        <v>415</v>
      </c>
      <c r="B5" s="171"/>
      <c r="C5" s="6" t="s">
        <v>609</v>
      </c>
    </row>
    <row r="6" spans="1:48" ht="12.95">
      <c r="A6" s="171" t="s">
        <v>416</v>
      </c>
      <c r="B6" s="171"/>
      <c r="C6" s="16"/>
    </row>
    <row r="7" spans="1:48" ht="26.1">
      <c r="A7" s="37" t="s">
        <v>183</v>
      </c>
      <c r="B7" s="37" t="s">
        <v>417</v>
      </c>
      <c r="C7" s="37" t="s">
        <v>418</v>
      </c>
      <c r="D7" s="37" t="s">
        <v>419</v>
      </c>
      <c r="E7" s="37" t="s">
        <v>420</v>
      </c>
      <c r="F7" s="38" t="s">
        <v>157</v>
      </c>
      <c r="G7" s="38" t="s">
        <v>173</v>
      </c>
      <c r="H7" s="38" t="s">
        <v>421</v>
      </c>
      <c r="I7" s="38" t="s">
        <v>177</v>
      </c>
      <c r="J7" s="38" t="s">
        <v>422</v>
      </c>
      <c r="K7" s="38" t="s">
        <v>423</v>
      </c>
      <c r="L7" s="38" t="s">
        <v>198</v>
      </c>
      <c r="M7" s="38" t="s">
        <v>423</v>
      </c>
      <c r="N7" s="38" t="s">
        <v>53</v>
      </c>
      <c r="O7" s="38" t="s">
        <v>423</v>
      </c>
      <c r="P7" s="38" t="s">
        <v>202</v>
      </c>
      <c r="Q7" s="38" t="s">
        <v>423</v>
      </c>
      <c r="R7" s="38" t="s">
        <v>217</v>
      </c>
      <c r="S7" s="38" t="s">
        <v>423</v>
      </c>
      <c r="T7" s="38" t="s">
        <v>222</v>
      </c>
      <c r="U7" s="38" t="s">
        <v>423</v>
      </c>
      <c r="V7" s="38" t="s">
        <v>206</v>
      </c>
      <c r="W7" s="38" t="s">
        <v>423</v>
      </c>
      <c r="X7" s="38" t="s">
        <v>424</v>
      </c>
      <c r="Y7" s="38" t="s">
        <v>423</v>
      </c>
      <c r="Z7" s="38" t="s">
        <v>610</v>
      </c>
      <c r="AA7" s="38" t="s">
        <v>423</v>
      </c>
      <c r="AB7" s="8" t="s">
        <v>426</v>
      </c>
      <c r="AC7" s="8" t="s">
        <v>423</v>
      </c>
      <c r="AD7" s="8" t="s">
        <v>427</v>
      </c>
      <c r="AE7" s="8" t="s">
        <v>423</v>
      </c>
      <c r="AF7" s="8" t="s">
        <v>522</v>
      </c>
      <c r="AG7" s="8" t="s">
        <v>423</v>
      </c>
      <c r="AH7" s="8" t="s">
        <v>428</v>
      </c>
      <c r="AI7" s="8" t="s">
        <v>423</v>
      </c>
      <c r="AJ7" s="8" t="s">
        <v>429</v>
      </c>
      <c r="AK7" s="8" t="s">
        <v>423</v>
      </c>
      <c r="AL7" s="8" t="s">
        <v>523</v>
      </c>
      <c r="AM7" s="8" t="s">
        <v>423</v>
      </c>
      <c r="AN7" s="8" t="s">
        <v>524</v>
      </c>
      <c r="AO7" s="8" t="s">
        <v>423</v>
      </c>
      <c r="AP7" s="83" t="s">
        <v>525</v>
      </c>
      <c r="AQ7" s="8" t="s">
        <v>423</v>
      </c>
      <c r="AR7" s="8" t="s">
        <v>477</v>
      </c>
      <c r="AS7" s="8" t="s">
        <v>423</v>
      </c>
      <c r="AT7" s="8" t="s">
        <v>431</v>
      </c>
      <c r="AU7" s="8" t="s">
        <v>432</v>
      </c>
      <c r="AV7" s="38" t="s">
        <v>433</v>
      </c>
    </row>
    <row r="8" spans="1:48">
      <c r="A8" s="36" t="s">
        <v>434</v>
      </c>
      <c r="D8" s="36" t="s">
        <v>435</v>
      </c>
      <c r="E8" s="36" t="s">
        <v>42</v>
      </c>
      <c r="F8" s="86">
        <v>4</v>
      </c>
      <c r="G8" s="86">
        <v>16</v>
      </c>
      <c r="H8" s="86">
        <v>0</v>
      </c>
      <c r="I8" s="86">
        <v>351</v>
      </c>
      <c r="J8" s="86">
        <f>IF(G8&gt;=10,16, 4)</f>
        <v>16</v>
      </c>
      <c r="K8" s="14" t="s">
        <v>526</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14"/>
      <c r="AQ8" s="14"/>
      <c r="AR8" s="14"/>
      <c r="AS8" s="14"/>
      <c r="AT8" s="86" t="s">
        <v>437</v>
      </c>
      <c r="AU8" s="86"/>
      <c r="AV8" s="86"/>
    </row>
    <row r="9" spans="1:48">
      <c r="A9" s="36" t="s">
        <v>438</v>
      </c>
      <c r="D9" s="114" t="s">
        <v>527</v>
      </c>
      <c r="E9" s="114" t="s">
        <v>439</v>
      </c>
      <c r="F9" s="86">
        <v>4</v>
      </c>
      <c r="G9" s="14">
        <v>28</v>
      </c>
      <c r="H9" s="86">
        <v>0</v>
      </c>
      <c r="I9" s="104">
        <f>IF(E9="vCSA8.0",600, 450)</f>
        <v>600</v>
      </c>
      <c r="J9" s="86">
        <v>25</v>
      </c>
      <c r="K9" s="14" t="s">
        <v>526</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14"/>
      <c r="AQ9" s="14"/>
      <c r="AR9" s="14"/>
      <c r="AS9" s="14"/>
      <c r="AT9" s="86" t="s">
        <v>437</v>
      </c>
      <c r="AU9" s="86"/>
      <c r="AV9" s="86"/>
    </row>
    <row r="10" spans="1:48">
      <c r="A10" s="36" t="s">
        <v>440</v>
      </c>
      <c r="B10" s="86" t="s">
        <v>441</v>
      </c>
      <c r="C10" s="36" t="s">
        <v>442</v>
      </c>
      <c r="D10" s="36" t="s">
        <v>435</v>
      </c>
      <c r="E10" s="36" t="s">
        <v>50</v>
      </c>
      <c r="F10" s="86">
        <v>6</v>
      </c>
      <c r="G10" s="86">
        <v>8</v>
      </c>
      <c r="H10" s="86">
        <v>8</v>
      </c>
      <c r="I10" s="86">
        <v>41</v>
      </c>
      <c r="J10" s="86">
        <f t="shared" ref="J10:J43" si="0">IF(G10&gt;=10,16, 4)</f>
        <v>4</v>
      </c>
      <c r="K10" s="86" t="s">
        <v>528</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14"/>
      <c r="AQ10" s="14"/>
      <c r="AR10" s="14"/>
      <c r="AS10" s="14"/>
      <c r="AT10" s="86" t="s">
        <v>437</v>
      </c>
      <c r="AU10" s="86"/>
      <c r="AV10" s="86"/>
    </row>
    <row r="11" spans="1:48">
      <c r="A11" s="36" t="s">
        <v>444</v>
      </c>
      <c r="B11" s="86"/>
      <c r="C11" s="36" t="s">
        <v>442</v>
      </c>
      <c r="D11" s="36" t="s">
        <v>435</v>
      </c>
      <c r="E11" s="36" t="s">
        <v>53</v>
      </c>
      <c r="F11" s="86">
        <v>16</v>
      </c>
      <c r="G11" s="108">
        <f>VLOOKUP(N11,B154:G156,3,FALSE)</f>
        <v>90</v>
      </c>
      <c r="H11" s="104">
        <f>G11*82.5/100</f>
        <v>74.25</v>
      </c>
      <c r="I11" s="86">
        <v>117</v>
      </c>
      <c r="J11" s="86">
        <v>32</v>
      </c>
      <c r="K11" s="86" t="s">
        <v>529</v>
      </c>
      <c r="L11" s="86">
        <v>130</v>
      </c>
      <c r="M11" s="86" t="s">
        <v>445</v>
      </c>
      <c r="N11" s="108">
        <v>2500</v>
      </c>
      <c r="O11" s="86" t="s">
        <v>446</v>
      </c>
      <c r="P11" s="108">
        <f>VLOOKUP(N11,B154:G156,4,FALSE)</f>
        <v>3750</v>
      </c>
      <c r="Q11" s="86" t="s">
        <v>447</v>
      </c>
      <c r="R11" s="86"/>
      <c r="S11" s="86"/>
      <c r="T11" s="86"/>
      <c r="U11" s="86"/>
      <c r="V11" s="86"/>
      <c r="W11" s="86"/>
      <c r="X11" s="108">
        <f>VLOOKUP(N11,B144:G156,6,FALSE)</f>
        <v>10875</v>
      </c>
      <c r="Y11" s="86" t="s">
        <v>206</v>
      </c>
      <c r="Z11" s="86"/>
      <c r="AA11" s="86"/>
      <c r="AB11" s="86"/>
      <c r="AC11" s="86"/>
      <c r="AD11" s="86"/>
      <c r="AE11" s="86"/>
      <c r="AF11" s="86"/>
      <c r="AG11" s="86"/>
      <c r="AH11" s="86"/>
      <c r="AI11" s="86"/>
      <c r="AJ11" s="86"/>
      <c r="AK11" s="86"/>
      <c r="AL11" s="86"/>
      <c r="AM11" s="86"/>
      <c r="AN11" s="86"/>
      <c r="AO11" s="86"/>
      <c r="AP11" s="14">
        <v>3700</v>
      </c>
      <c r="AQ11" s="14" t="s">
        <v>530</v>
      </c>
      <c r="AR11" s="14"/>
      <c r="AS11" s="14"/>
      <c r="AT11" s="86" t="s">
        <v>437</v>
      </c>
      <c r="AU11" s="86"/>
      <c r="AV11" s="86"/>
    </row>
    <row r="12" spans="1:48">
      <c r="A12" s="36" t="s">
        <v>448</v>
      </c>
      <c r="B12" s="86" t="s">
        <v>441</v>
      </c>
      <c r="C12" s="36" t="s">
        <v>442</v>
      </c>
      <c r="D12" s="36" t="s">
        <v>435</v>
      </c>
      <c r="E12" s="36" t="s">
        <v>57</v>
      </c>
      <c r="F12" s="86">
        <v>8</v>
      </c>
      <c r="G12" s="86">
        <v>9</v>
      </c>
      <c r="H12" s="86">
        <v>9</v>
      </c>
      <c r="I12" s="86">
        <v>46</v>
      </c>
      <c r="J12" s="86">
        <f t="shared" si="0"/>
        <v>4</v>
      </c>
      <c r="K12" s="86" t="s">
        <v>531</v>
      </c>
      <c r="L12" s="86"/>
      <c r="M12" s="86"/>
      <c r="N12" s="86"/>
      <c r="O12" s="86"/>
      <c r="P12" s="86"/>
      <c r="Q12" s="86"/>
      <c r="R12" s="86">
        <v>600</v>
      </c>
      <c r="S12" s="86" t="s">
        <v>449</v>
      </c>
      <c r="T12" s="14">
        <v>300</v>
      </c>
      <c r="U12" s="86" t="s">
        <v>222</v>
      </c>
      <c r="V12" s="86"/>
      <c r="W12" s="86"/>
      <c r="X12" s="86">
        <v>500</v>
      </c>
      <c r="Y12" s="86" t="s">
        <v>206</v>
      </c>
      <c r="Z12" s="86"/>
      <c r="AA12" s="86"/>
      <c r="AB12" s="86"/>
      <c r="AC12" s="86"/>
      <c r="AD12" s="86"/>
      <c r="AE12" s="86"/>
      <c r="AF12" s="86"/>
      <c r="AG12" s="86"/>
      <c r="AH12" s="86"/>
      <c r="AI12" s="86"/>
      <c r="AJ12" s="86"/>
      <c r="AK12" s="86"/>
      <c r="AL12" s="86"/>
      <c r="AM12" s="86"/>
      <c r="AN12" s="86"/>
      <c r="AO12" s="86"/>
      <c r="AP12" s="86"/>
      <c r="AQ12" s="86"/>
      <c r="AR12" s="86"/>
      <c r="AS12" s="86"/>
      <c r="AT12" s="86" t="s">
        <v>437</v>
      </c>
      <c r="AU12" s="86"/>
      <c r="AV12" s="86"/>
    </row>
    <row r="13" spans="1:48">
      <c r="A13" s="36" t="s">
        <v>450</v>
      </c>
      <c r="C13" s="36" t="s">
        <v>442</v>
      </c>
      <c r="D13" s="36" t="s">
        <v>435</v>
      </c>
      <c r="E13" s="36" t="s">
        <v>61</v>
      </c>
      <c r="F13" s="86">
        <v>2</v>
      </c>
      <c r="G13" s="86">
        <v>3</v>
      </c>
      <c r="H13" s="86">
        <v>0</v>
      </c>
      <c r="I13" s="86">
        <v>31</v>
      </c>
      <c r="J13" s="86">
        <f t="shared" si="0"/>
        <v>4</v>
      </c>
      <c r="K13" s="86" t="s">
        <v>528</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t="s">
        <v>437</v>
      </c>
      <c r="AU13" s="14" t="s">
        <v>437</v>
      </c>
      <c r="AV13" s="86" t="s">
        <v>437</v>
      </c>
    </row>
    <row r="14" spans="1:48">
      <c r="A14" s="36" t="s">
        <v>451</v>
      </c>
      <c r="C14" s="36" t="s">
        <v>442</v>
      </c>
      <c r="D14" s="36" t="s">
        <v>435</v>
      </c>
      <c r="E14" s="36" t="s">
        <v>65</v>
      </c>
      <c r="F14" s="86">
        <v>2</v>
      </c>
      <c r="G14" s="86">
        <v>5</v>
      </c>
      <c r="H14" s="86">
        <v>0</v>
      </c>
      <c r="I14" s="86">
        <v>31</v>
      </c>
      <c r="J14" s="86">
        <f t="shared" si="0"/>
        <v>4</v>
      </c>
      <c r="K14" s="86" t="s">
        <v>529</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t="s">
        <v>437</v>
      </c>
      <c r="AU14" s="86"/>
      <c r="AV14" s="86"/>
    </row>
    <row r="15" spans="1:48">
      <c r="A15" s="36" t="s">
        <v>452</v>
      </c>
      <c r="C15" s="36" t="s">
        <v>442</v>
      </c>
      <c r="D15" s="36" t="s">
        <v>435</v>
      </c>
      <c r="E15" s="36" t="s">
        <v>611</v>
      </c>
      <c r="F15" s="86">
        <v>3</v>
      </c>
      <c r="G15" s="86">
        <v>6</v>
      </c>
      <c r="H15" s="86">
        <v>0</v>
      </c>
      <c r="I15" s="86">
        <v>41</v>
      </c>
      <c r="J15" s="86">
        <f t="shared" si="0"/>
        <v>4</v>
      </c>
      <c r="K15" s="86" t="s">
        <v>531</v>
      </c>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t="s">
        <v>437</v>
      </c>
      <c r="AU15" s="14" t="s">
        <v>437</v>
      </c>
      <c r="AV15" s="86"/>
    </row>
    <row r="16" spans="1:48">
      <c r="A16" s="36" t="s">
        <v>454</v>
      </c>
      <c r="C16" s="36" t="s">
        <v>442</v>
      </c>
      <c r="D16" s="36" t="s">
        <v>435</v>
      </c>
      <c r="E16" s="36" t="s">
        <v>455</v>
      </c>
      <c r="F16" s="86">
        <v>5</v>
      </c>
      <c r="G16" s="86">
        <v>7</v>
      </c>
      <c r="H16" s="86">
        <v>0</v>
      </c>
      <c r="I16" s="86">
        <v>56</v>
      </c>
      <c r="J16" s="86">
        <f t="shared" si="0"/>
        <v>4</v>
      </c>
      <c r="K16" s="86" t="s">
        <v>528</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t="s">
        <v>437</v>
      </c>
      <c r="AU16" s="14" t="s">
        <v>437</v>
      </c>
      <c r="AV16" s="86"/>
    </row>
    <row r="17" spans="1:48">
      <c r="A17" s="36" t="s">
        <v>456</v>
      </c>
      <c r="C17" s="36" t="s">
        <v>442</v>
      </c>
      <c r="D17" s="36" t="s">
        <v>435</v>
      </c>
      <c r="E17" s="36" t="s">
        <v>77</v>
      </c>
      <c r="F17" s="86">
        <v>8</v>
      </c>
      <c r="G17" s="86">
        <v>13</v>
      </c>
      <c r="H17" s="86">
        <v>0</v>
      </c>
      <c r="I17" s="86">
        <v>81</v>
      </c>
      <c r="J17" s="86">
        <f t="shared" si="0"/>
        <v>16</v>
      </c>
      <c r="K17" s="86" t="s">
        <v>529</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t="s">
        <v>437</v>
      </c>
      <c r="AU17" s="14" t="s">
        <v>437</v>
      </c>
      <c r="AV17" s="86"/>
    </row>
    <row r="18" spans="1:48">
      <c r="A18" s="36" t="s">
        <v>457</v>
      </c>
      <c r="C18" s="36" t="s">
        <v>442</v>
      </c>
      <c r="D18" s="36" t="s">
        <v>435</v>
      </c>
      <c r="E18" s="36" t="s">
        <v>81</v>
      </c>
      <c r="F18" s="86">
        <v>4</v>
      </c>
      <c r="G18" s="86">
        <v>4</v>
      </c>
      <c r="H18" s="86">
        <v>0</v>
      </c>
      <c r="I18" s="86">
        <v>31</v>
      </c>
      <c r="J18" s="86">
        <f t="shared" si="0"/>
        <v>4</v>
      </c>
      <c r="K18" s="86" t="s">
        <v>531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t="s">
        <v>437</v>
      </c>
      <c r="AU18" s="14" t="s">
        <v>437</v>
      </c>
      <c r="AV18" s="86" t="s">
        <v>437</v>
      </c>
    </row>
    <row r="19" spans="1:48">
      <c r="A19" s="36" t="s">
        <v>458</v>
      </c>
      <c r="C19" s="36" t="s">
        <v>442</v>
      </c>
      <c r="D19" s="36" t="s">
        <v>435</v>
      </c>
      <c r="E19" s="36" t="s">
        <v>459</v>
      </c>
      <c r="F19" s="86">
        <v>8</v>
      </c>
      <c r="G19" s="86">
        <v>13</v>
      </c>
      <c r="H19" s="86">
        <v>0</v>
      </c>
      <c r="I19" s="86">
        <v>109</v>
      </c>
      <c r="J19" s="86">
        <f t="shared" si="0"/>
        <v>16</v>
      </c>
      <c r="K19" s="86" t="s">
        <v>528</v>
      </c>
      <c r="L19" s="86"/>
      <c r="M19" s="86"/>
      <c r="N19" s="86"/>
      <c r="O19" s="86"/>
      <c r="P19" s="86"/>
      <c r="Q19" s="86"/>
      <c r="R19" s="86"/>
      <c r="S19" s="86"/>
      <c r="T19" s="86"/>
      <c r="U19" s="86"/>
      <c r="V19" s="86"/>
      <c r="W19" s="86"/>
      <c r="X19" s="86"/>
      <c r="Y19" s="86"/>
      <c r="Z19" s="86"/>
      <c r="AA19" s="86"/>
      <c r="AB19" s="14">
        <v>50</v>
      </c>
      <c r="AC19" s="14" t="s">
        <v>531</v>
      </c>
      <c r="AD19" s="14"/>
      <c r="AE19" s="14"/>
      <c r="AF19" s="14"/>
      <c r="AG19" s="14"/>
      <c r="AH19" s="14"/>
      <c r="AI19" s="14"/>
      <c r="AJ19" s="14"/>
      <c r="AK19" s="14"/>
      <c r="AL19" s="14"/>
      <c r="AM19" s="14"/>
      <c r="AN19" s="14"/>
      <c r="AO19" s="14"/>
      <c r="AP19" s="14"/>
      <c r="AQ19" s="14"/>
      <c r="AR19" s="14"/>
      <c r="AS19" s="14"/>
      <c r="AT19" s="86" t="s">
        <v>437</v>
      </c>
      <c r="AU19" s="86"/>
      <c r="AV19" s="86"/>
    </row>
    <row r="20" spans="1:48">
      <c r="A20" s="36" t="s">
        <v>460</v>
      </c>
      <c r="C20" s="36" t="s">
        <v>442</v>
      </c>
      <c r="D20" s="36" t="s">
        <v>435</v>
      </c>
      <c r="E20" s="36" t="s">
        <v>88</v>
      </c>
      <c r="F20" s="86">
        <v>6</v>
      </c>
      <c r="G20" s="86">
        <v>8</v>
      </c>
      <c r="H20" s="86">
        <v>0</v>
      </c>
      <c r="I20" s="86">
        <v>131</v>
      </c>
      <c r="J20" s="86">
        <f t="shared" si="0"/>
        <v>4</v>
      </c>
      <c r="K20" s="86" t="s">
        <v>529</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t="s">
        <v>437</v>
      </c>
      <c r="AU20" s="14" t="s">
        <v>437</v>
      </c>
      <c r="AV20" s="86"/>
    </row>
    <row r="21" spans="1:48">
      <c r="A21" s="36" t="s">
        <v>461</v>
      </c>
      <c r="C21" s="36" t="s">
        <v>442</v>
      </c>
      <c r="D21" s="36" t="s">
        <v>435</v>
      </c>
      <c r="E21" s="36" t="s">
        <v>612</v>
      </c>
      <c r="F21" s="86">
        <v>6</v>
      </c>
      <c r="G21" s="86">
        <v>7</v>
      </c>
      <c r="H21" s="86">
        <v>0</v>
      </c>
      <c r="I21" s="86">
        <v>61</v>
      </c>
      <c r="J21" s="86">
        <f t="shared" si="0"/>
        <v>4</v>
      </c>
      <c r="K21" s="86" t="s">
        <v>531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t="s">
        <v>437</v>
      </c>
      <c r="AU21" s="86"/>
      <c r="AV21" s="86"/>
    </row>
    <row r="22" spans="1:48">
      <c r="A22" s="36" t="s">
        <v>462</v>
      </c>
      <c r="C22" s="36" t="s">
        <v>442</v>
      </c>
      <c r="D22" s="36" t="s">
        <v>435</v>
      </c>
      <c r="E22" s="36" t="s">
        <v>612</v>
      </c>
      <c r="F22" s="86">
        <v>6</v>
      </c>
      <c r="G22" s="86">
        <v>7</v>
      </c>
      <c r="H22" s="86">
        <v>0</v>
      </c>
      <c r="I22" s="86">
        <v>61</v>
      </c>
      <c r="J22" s="86">
        <f t="shared" si="0"/>
        <v>4</v>
      </c>
      <c r="K22" s="86" t="s">
        <v>528</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t="s">
        <v>437</v>
      </c>
      <c r="AU22" s="86"/>
      <c r="AV22" s="86"/>
    </row>
    <row r="23" spans="1:48">
      <c r="A23" s="36" t="s">
        <v>463</v>
      </c>
      <c r="C23" s="36" t="s">
        <v>442</v>
      </c>
      <c r="D23" s="36" t="s">
        <v>435</v>
      </c>
      <c r="E23" s="36" t="s">
        <v>96</v>
      </c>
      <c r="F23" s="86">
        <v>6</v>
      </c>
      <c r="G23" s="86">
        <v>13</v>
      </c>
      <c r="H23" s="86">
        <v>0</v>
      </c>
      <c r="I23" s="14">
        <v>63</v>
      </c>
      <c r="J23" s="86">
        <f t="shared" si="0"/>
        <v>16</v>
      </c>
      <c r="K23" s="86" t="s">
        <v>529</v>
      </c>
      <c r="L23" s="86"/>
      <c r="M23" s="86"/>
      <c r="N23" s="86"/>
      <c r="O23" s="86"/>
      <c r="P23" s="86"/>
      <c r="Q23" s="86"/>
      <c r="R23" s="86"/>
      <c r="S23" s="86"/>
      <c r="T23" s="86"/>
      <c r="U23" s="86"/>
      <c r="V23" s="86"/>
      <c r="W23" s="86"/>
      <c r="X23" s="86"/>
      <c r="Y23" s="86"/>
      <c r="Z23" s="86"/>
      <c r="AA23" s="86"/>
      <c r="AB23" s="86"/>
      <c r="AC23" s="86"/>
      <c r="AD23" s="14">
        <v>85</v>
      </c>
      <c r="AE23" s="14" t="s">
        <v>529</v>
      </c>
      <c r="AF23" s="14"/>
      <c r="AG23" s="14"/>
      <c r="AH23" s="14"/>
      <c r="AI23" s="14"/>
      <c r="AJ23" s="14"/>
      <c r="AK23" s="14"/>
      <c r="AL23" s="14"/>
      <c r="AM23" s="14"/>
      <c r="AN23" s="14"/>
      <c r="AO23" s="14"/>
      <c r="AP23" s="86"/>
      <c r="AQ23" s="86"/>
      <c r="AR23" s="86"/>
      <c r="AS23" s="86"/>
      <c r="AT23" s="86" t="s">
        <v>437</v>
      </c>
      <c r="AU23" s="86"/>
      <c r="AV23" s="86"/>
    </row>
    <row r="24" spans="1:48">
      <c r="A24" s="36" t="s">
        <v>464</v>
      </c>
      <c r="C24" s="36" t="s">
        <v>442</v>
      </c>
      <c r="D24" s="36" t="s">
        <v>435</v>
      </c>
      <c r="E24" s="36" t="s">
        <v>100</v>
      </c>
      <c r="F24" s="86">
        <v>6</v>
      </c>
      <c r="G24" s="86">
        <v>13</v>
      </c>
      <c r="H24" s="86">
        <v>0</v>
      </c>
      <c r="I24" s="14">
        <v>63</v>
      </c>
      <c r="J24" s="86">
        <f t="shared" si="0"/>
        <v>16</v>
      </c>
      <c r="K24" s="86" t="s">
        <v>531</v>
      </c>
      <c r="L24" s="86"/>
      <c r="M24" s="86"/>
      <c r="N24" s="86"/>
      <c r="O24" s="86"/>
      <c r="P24" s="86"/>
      <c r="Q24" s="86"/>
      <c r="R24" s="86"/>
      <c r="S24" s="86"/>
      <c r="T24" s="86"/>
      <c r="U24" s="86"/>
      <c r="V24" s="86"/>
      <c r="W24" s="86"/>
      <c r="X24" s="86"/>
      <c r="Y24" s="86"/>
      <c r="Z24" s="86"/>
      <c r="AA24" s="86"/>
      <c r="AB24" s="86"/>
      <c r="AC24" s="86"/>
      <c r="AD24" s="14">
        <v>85</v>
      </c>
      <c r="AE24" s="14" t="s">
        <v>531</v>
      </c>
      <c r="AF24" s="14"/>
      <c r="AG24" s="14"/>
      <c r="AH24" s="14"/>
      <c r="AI24" s="14"/>
      <c r="AJ24" s="14"/>
      <c r="AK24" s="14"/>
      <c r="AL24" s="14"/>
      <c r="AM24" s="14"/>
      <c r="AN24" s="14"/>
      <c r="AO24" s="14"/>
      <c r="AP24" s="86"/>
      <c r="AQ24" s="86"/>
      <c r="AR24" s="86"/>
      <c r="AS24" s="86"/>
      <c r="AT24" s="86" t="s">
        <v>437</v>
      </c>
      <c r="AU24" s="86"/>
      <c r="AV24" s="86"/>
    </row>
    <row r="25" spans="1:48">
      <c r="A25" s="36" t="s">
        <v>487</v>
      </c>
      <c r="C25" s="36" t="s">
        <v>442</v>
      </c>
      <c r="D25" s="36" t="s">
        <v>435</v>
      </c>
      <c r="E25" s="36" t="s">
        <v>104</v>
      </c>
      <c r="F25" s="86">
        <v>6</v>
      </c>
      <c r="G25" s="86">
        <v>9</v>
      </c>
      <c r="H25" s="86">
        <v>0</v>
      </c>
      <c r="I25" s="86">
        <v>41</v>
      </c>
      <c r="J25" s="86">
        <f t="shared" si="0"/>
        <v>4</v>
      </c>
      <c r="K25" s="86" t="s">
        <v>528</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t="s">
        <v>437</v>
      </c>
      <c r="AU25" s="86"/>
      <c r="AV25" s="86"/>
    </row>
    <row r="26" spans="1:48">
      <c r="A26" s="36" t="s">
        <v>489</v>
      </c>
      <c r="C26" s="36" t="s">
        <v>442</v>
      </c>
      <c r="D26" s="36" t="s">
        <v>435</v>
      </c>
      <c r="E26" s="36" t="s">
        <v>104</v>
      </c>
      <c r="F26" s="86">
        <v>6</v>
      </c>
      <c r="G26" s="86">
        <v>9</v>
      </c>
      <c r="H26" s="86">
        <v>0</v>
      </c>
      <c r="I26" s="86">
        <v>41</v>
      </c>
      <c r="J26" s="86">
        <f t="shared" si="0"/>
        <v>4</v>
      </c>
      <c r="K26" s="86" t="s">
        <v>529</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t="s">
        <v>437</v>
      </c>
      <c r="AU26" s="86"/>
      <c r="AV26" s="86"/>
    </row>
    <row r="27" spans="1:48">
      <c r="A27" s="36" t="s">
        <v>613</v>
      </c>
      <c r="C27" s="36" t="s">
        <v>442</v>
      </c>
      <c r="D27" s="36" t="s">
        <v>435</v>
      </c>
      <c r="E27" s="36" t="s">
        <v>108</v>
      </c>
      <c r="F27" s="86">
        <v>8</v>
      </c>
      <c r="G27" s="86">
        <v>36</v>
      </c>
      <c r="H27" s="86">
        <v>36</v>
      </c>
      <c r="I27" s="14">
        <v>136</v>
      </c>
      <c r="J27" s="86">
        <f t="shared" si="0"/>
        <v>16</v>
      </c>
      <c r="K27" s="86" t="s">
        <v>531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t="s">
        <v>437</v>
      </c>
      <c r="AU27" s="14" t="s">
        <v>437</v>
      </c>
      <c r="AV27" s="86"/>
    </row>
    <row r="28" spans="1:48">
      <c r="A28" s="36" t="s">
        <v>614</v>
      </c>
      <c r="C28" s="36" t="s">
        <v>442</v>
      </c>
      <c r="D28" s="36" t="s">
        <v>435</v>
      </c>
      <c r="E28" s="36" t="s">
        <v>108</v>
      </c>
      <c r="F28" s="86">
        <v>8</v>
      </c>
      <c r="G28" s="86">
        <v>36</v>
      </c>
      <c r="H28" s="86">
        <v>36</v>
      </c>
      <c r="I28" s="14">
        <v>136</v>
      </c>
      <c r="J28" s="86">
        <f t="shared" si="0"/>
        <v>16</v>
      </c>
      <c r="K28" s="86" t="s">
        <v>528</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t="s">
        <v>437</v>
      </c>
      <c r="AU28" s="14" t="s">
        <v>437</v>
      </c>
      <c r="AV28" s="86"/>
    </row>
    <row r="29" spans="1:48">
      <c r="A29" s="36" t="s">
        <v>615</v>
      </c>
      <c r="C29" s="36" t="s">
        <v>442</v>
      </c>
      <c r="D29" s="36" t="s">
        <v>435</v>
      </c>
      <c r="E29" s="36" t="s">
        <v>108</v>
      </c>
      <c r="F29" s="86">
        <v>8</v>
      </c>
      <c r="G29" s="86">
        <v>36</v>
      </c>
      <c r="H29" s="86">
        <v>36</v>
      </c>
      <c r="I29" s="14">
        <v>136</v>
      </c>
      <c r="J29" s="86">
        <f t="shared" si="0"/>
        <v>16</v>
      </c>
      <c r="K29" s="86" t="s">
        <v>529</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t="s">
        <v>437</v>
      </c>
      <c r="AU29" s="14" t="s">
        <v>437</v>
      </c>
      <c r="AV29" s="86"/>
    </row>
    <row r="30" spans="1:48">
      <c r="A30" s="36" t="s">
        <v>616</v>
      </c>
      <c r="C30" s="36" t="s">
        <v>442</v>
      </c>
      <c r="D30" s="36" t="s">
        <v>435</v>
      </c>
      <c r="E30" s="36" t="s">
        <v>108</v>
      </c>
      <c r="F30" s="86">
        <v>8</v>
      </c>
      <c r="G30" s="86">
        <v>36</v>
      </c>
      <c r="H30" s="86">
        <v>36</v>
      </c>
      <c r="I30" s="14">
        <v>136</v>
      </c>
      <c r="J30" s="86">
        <f t="shared" si="0"/>
        <v>16</v>
      </c>
      <c r="K30" s="86" t="s">
        <v>531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t="s">
        <v>437</v>
      </c>
      <c r="AU30" s="14" t="s">
        <v>437</v>
      </c>
      <c r="AV30" s="86"/>
    </row>
    <row r="31" spans="1:48">
      <c r="A31" s="36" t="s">
        <v>621</v>
      </c>
      <c r="C31" s="36" t="s">
        <v>442</v>
      </c>
      <c r="D31" s="36" t="s">
        <v>435</v>
      </c>
      <c r="E31" s="36" t="s">
        <v>108</v>
      </c>
      <c r="F31" s="86">
        <v>8</v>
      </c>
      <c r="G31" s="86">
        <v>36</v>
      </c>
      <c r="H31" s="86">
        <v>36</v>
      </c>
      <c r="I31" s="14">
        <v>136</v>
      </c>
      <c r="J31" s="86">
        <f t="shared" si="0"/>
        <v>16</v>
      </c>
      <c r="K31" s="86" t="s">
        <v>528</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t="s">
        <v>437</v>
      </c>
      <c r="AU31" s="14" t="s">
        <v>437</v>
      </c>
      <c r="AV31" s="86"/>
    </row>
    <row r="32" spans="1:48">
      <c r="A32" s="36" t="s">
        <v>622</v>
      </c>
      <c r="C32" s="36" t="s">
        <v>442</v>
      </c>
      <c r="D32" s="36" t="s">
        <v>435</v>
      </c>
      <c r="E32" s="36" t="s">
        <v>108</v>
      </c>
      <c r="F32" s="86">
        <v>8</v>
      </c>
      <c r="G32" s="86">
        <v>36</v>
      </c>
      <c r="H32" s="86">
        <v>36</v>
      </c>
      <c r="I32" s="14">
        <v>136</v>
      </c>
      <c r="J32" s="86">
        <f t="shared" si="0"/>
        <v>16</v>
      </c>
      <c r="K32" s="86" t="s">
        <v>529</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t="s">
        <v>437</v>
      </c>
      <c r="AU32" s="14" t="s">
        <v>437</v>
      </c>
      <c r="AV32" s="86"/>
    </row>
    <row r="33" spans="1:48">
      <c r="A33" s="36" t="s">
        <v>633</v>
      </c>
      <c r="C33" s="36" t="s">
        <v>442</v>
      </c>
      <c r="D33" s="36" t="s">
        <v>435</v>
      </c>
      <c r="E33" s="36" t="s">
        <v>108</v>
      </c>
      <c r="F33" s="86">
        <v>8</v>
      </c>
      <c r="G33" s="86">
        <v>36</v>
      </c>
      <c r="H33" s="86">
        <v>36</v>
      </c>
      <c r="I33" s="14">
        <v>136</v>
      </c>
      <c r="J33" s="86">
        <f t="shared" si="0"/>
        <v>16</v>
      </c>
      <c r="K33" s="86" t="s">
        <v>531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t="s">
        <v>437</v>
      </c>
      <c r="AU33" s="14" t="s">
        <v>437</v>
      </c>
      <c r="AV33" s="86"/>
    </row>
    <row r="34" spans="1:48">
      <c r="A34" s="36" t="s">
        <v>634</v>
      </c>
      <c r="C34" s="36" t="s">
        <v>442</v>
      </c>
      <c r="D34" s="36" t="s">
        <v>435</v>
      </c>
      <c r="E34" s="36" t="s">
        <v>108</v>
      </c>
      <c r="F34" s="86">
        <v>8</v>
      </c>
      <c r="G34" s="86">
        <v>36</v>
      </c>
      <c r="H34" s="86">
        <v>36</v>
      </c>
      <c r="I34" s="14">
        <v>136</v>
      </c>
      <c r="J34" s="86">
        <f t="shared" si="0"/>
        <v>16</v>
      </c>
      <c r="K34" s="86" t="s">
        <v>528</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t="s">
        <v>437</v>
      </c>
      <c r="AU34" s="14" t="s">
        <v>437</v>
      </c>
      <c r="AV34" s="86"/>
    </row>
    <row r="35" spans="1:48">
      <c r="A35" s="36" t="s">
        <v>465</v>
      </c>
      <c r="B35" s="86"/>
      <c r="C35" s="36" t="s">
        <v>442</v>
      </c>
      <c r="D35" s="36" t="s">
        <v>435</v>
      </c>
      <c r="E35" s="36" t="s">
        <v>124</v>
      </c>
      <c r="F35" s="86">
        <v>9</v>
      </c>
      <c r="G35" s="86">
        <v>12</v>
      </c>
      <c r="H35" s="86">
        <v>0</v>
      </c>
      <c r="I35" s="86">
        <v>56</v>
      </c>
      <c r="J35" s="86">
        <f t="shared" si="0"/>
        <v>16</v>
      </c>
      <c r="K35" s="86" t="s">
        <v>528</v>
      </c>
      <c r="L35" s="86"/>
      <c r="M35" s="86"/>
      <c r="N35" s="86"/>
      <c r="O35" s="86"/>
      <c r="P35" s="86"/>
      <c r="Q35" s="86"/>
      <c r="R35" s="86"/>
      <c r="S35" s="86"/>
      <c r="T35" s="86"/>
      <c r="U35" s="86"/>
      <c r="V35" s="86"/>
      <c r="W35" s="86"/>
      <c r="X35" s="86"/>
      <c r="Y35" s="86"/>
      <c r="Z35" s="14">
        <v>50</v>
      </c>
      <c r="AA35" s="86" t="s">
        <v>466</v>
      </c>
      <c r="AB35" s="86"/>
      <c r="AC35" s="86"/>
      <c r="AD35" s="86"/>
      <c r="AE35" s="86"/>
      <c r="AF35" s="86"/>
      <c r="AG35" s="86"/>
      <c r="AH35" s="86"/>
      <c r="AI35" s="86"/>
      <c r="AJ35" s="86"/>
      <c r="AK35" s="86"/>
      <c r="AL35" s="86"/>
      <c r="AM35" s="86"/>
      <c r="AN35" s="86"/>
      <c r="AO35" s="86"/>
      <c r="AP35" s="86"/>
      <c r="AQ35" s="86"/>
      <c r="AR35" s="86"/>
      <c r="AS35" s="86"/>
      <c r="AT35" s="86" t="s">
        <v>437</v>
      </c>
      <c r="AU35" s="86"/>
      <c r="AV35" s="86"/>
    </row>
    <row r="36" spans="1:48">
      <c r="A36" s="36" t="s">
        <v>467</v>
      </c>
      <c r="C36" s="36" t="s">
        <v>442</v>
      </c>
      <c r="D36" s="36" t="s">
        <v>435</v>
      </c>
      <c r="E36" s="36" t="s">
        <v>124</v>
      </c>
      <c r="F36" s="86">
        <v>9</v>
      </c>
      <c r="G36" s="86">
        <v>12</v>
      </c>
      <c r="H36" s="86">
        <v>0</v>
      </c>
      <c r="I36" s="86">
        <v>56</v>
      </c>
      <c r="J36" s="86">
        <f t="shared" si="0"/>
        <v>16</v>
      </c>
      <c r="K36" s="86" t="s">
        <v>529</v>
      </c>
      <c r="L36" s="86"/>
      <c r="M36" s="86"/>
      <c r="N36" s="86"/>
      <c r="O36" s="86"/>
      <c r="P36" s="86"/>
      <c r="Q36" s="86"/>
      <c r="R36" s="86"/>
      <c r="S36" s="86"/>
      <c r="T36" s="86"/>
      <c r="U36" s="86"/>
      <c r="V36" s="86"/>
      <c r="W36" s="86"/>
      <c r="X36" s="86"/>
      <c r="Y36" s="86"/>
      <c r="Z36" s="14">
        <v>50</v>
      </c>
      <c r="AA36" s="86" t="s">
        <v>466</v>
      </c>
      <c r="AB36" s="86"/>
      <c r="AC36" s="86"/>
      <c r="AD36" s="86"/>
      <c r="AE36" s="86"/>
      <c r="AF36" s="86"/>
      <c r="AG36" s="86"/>
      <c r="AH36" s="86"/>
      <c r="AI36" s="86"/>
      <c r="AJ36" s="86"/>
      <c r="AK36" s="86"/>
      <c r="AL36" s="86"/>
      <c r="AM36" s="86"/>
      <c r="AN36" s="86"/>
      <c r="AO36" s="86"/>
      <c r="AP36" s="86"/>
      <c r="AQ36" s="86"/>
      <c r="AR36" s="86"/>
      <c r="AS36" s="86"/>
      <c r="AT36" s="86" t="s">
        <v>437</v>
      </c>
      <c r="AU36" s="86"/>
      <c r="AV36" s="86"/>
    </row>
    <row r="37" spans="1:48">
      <c r="A37" s="36" t="s">
        <v>635</v>
      </c>
      <c r="C37" s="36" t="s">
        <v>442</v>
      </c>
      <c r="D37" s="36" t="s">
        <v>435</v>
      </c>
      <c r="E37" s="36" t="s">
        <v>124</v>
      </c>
      <c r="F37" s="86">
        <v>9</v>
      </c>
      <c r="G37" s="86">
        <v>12</v>
      </c>
      <c r="H37" s="86">
        <v>0</v>
      </c>
      <c r="I37" s="86">
        <v>56</v>
      </c>
      <c r="J37" s="86">
        <f t="shared" si="0"/>
        <v>16</v>
      </c>
      <c r="K37" s="86" t="s">
        <v>531</v>
      </c>
      <c r="L37" s="86"/>
      <c r="M37" s="86"/>
      <c r="N37" s="86"/>
      <c r="O37" s="86"/>
      <c r="P37" s="86"/>
      <c r="Q37" s="86"/>
      <c r="R37" s="86"/>
      <c r="S37" s="86"/>
      <c r="T37" s="86"/>
      <c r="U37" s="86"/>
      <c r="V37" s="86"/>
      <c r="W37" s="86"/>
      <c r="X37" s="86"/>
      <c r="Y37" s="86"/>
      <c r="Z37" s="14">
        <v>50</v>
      </c>
      <c r="AA37" s="86" t="s">
        <v>466</v>
      </c>
      <c r="AB37" s="86"/>
      <c r="AC37" s="86"/>
      <c r="AD37" s="86"/>
      <c r="AE37" s="86"/>
      <c r="AF37" s="86"/>
      <c r="AG37" s="86"/>
      <c r="AH37" s="86"/>
      <c r="AI37" s="86"/>
      <c r="AJ37" s="86"/>
      <c r="AK37" s="86"/>
      <c r="AL37" s="86"/>
      <c r="AM37" s="86"/>
      <c r="AN37" s="86"/>
      <c r="AO37" s="86"/>
      <c r="AP37" s="86"/>
      <c r="AQ37" s="86"/>
      <c r="AR37" s="86"/>
      <c r="AS37" s="86"/>
      <c r="AT37" s="86" t="s">
        <v>437</v>
      </c>
      <c r="AU37" s="86"/>
      <c r="AV37" s="86"/>
    </row>
    <row r="38" spans="1:48">
      <c r="A38" s="36" t="s">
        <v>636</v>
      </c>
      <c r="C38" s="36" t="s">
        <v>442</v>
      </c>
      <c r="D38" s="36" t="s">
        <v>435</v>
      </c>
      <c r="E38" s="36" t="s">
        <v>124</v>
      </c>
      <c r="F38" s="86">
        <v>9</v>
      </c>
      <c r="G38" s="86">
        <v>12</v>
      </c>
      <c r="H38" s="86">
        <v>0</v>
      </c>
      <c r="I38" s="86">
        <v>56</v>
      </c>
      <c r="J38" s="86">
        <f t="shared" si="0"/>
        <v>16</v>
      </c>
      <c r="K38" s="86" t="s">
        <v>528</v>
      </c>
      <c r="L38" s="86"/>
      <c r="M38" s="86"/>
      <c r="N38" s="86"/>
      <c r="O38" s="86"/>
      <c r="P38" s="86"/>
      <c r="Q38" s="86"/>
      <c r="R38" s="86"/>
      <c r="S38" s="86"/>
      <c r="T38" s="86"/>
      <c r="U38" s="86"/>
      <c r="V38" s="86"/>
      <c r="W38" s="86"/>
      <c r="X38" s="86"/>
      <c r="Y38" s="86"/>
      <c r="Z38" s="14">
        <v>50</v>
      </c>
      <c r="AA38" s="86" t="s">
        <v>466</v>
      </c>
      <c r="AB38" s="86"/>
      <c r="AC38" s="86"/>
      <c r="AD38" s="86"/>
      <c r="AE38" s="86"/>
      <c r="AF38" s="86"/>
      <c r="AG38" s="86"/>
      <c r="AH38" s="86"/>
      <c r="AI38" s="86"/>
      <c r="AJ38" s="86"/>
      <c r="AK38" s="86"/>
      <c r="AL38" s="86"/>
      <c r="AM38" s="86"/>
      <c r="AN38" s="86"/>
      <c r="AO38" s="86"/>
      <c r="AP38" s="86"/>
      <c r="AQ38" s="86"/>
      <c r="AR38" s="86"/>
      <c r="AS38" s="86"/>
      <c r="AT38" s="86" t="s">
        <v>437</v>
      </c>
      <c r="AU38" s="86"/>
      <c r="AV38" s="86"/>
    </row>
    <row r="39" spans="1:48">
      <c r="A39" s="36" t="s">
        <v>468</v>
      </c>
      <c r="C39" s="36" t="s">
        <v>442</v>
      </c>
      <c r="D39" s="36" t="s">
        <v>435</v>
      </c>
      <c r="E39" s="36" t="s">
        <v>469</v>
      </c>
      <c r="F39" s="86">
        <v>4</v>
      </c>
      <c r="G39" s="86">
        <v>4</v>
      </c>
      <c r="H39" s="86">
        <v>0</v>
      </c>
      <c r="I39" s="86">
        <v>41</v>
      </c>
      <c r="J39" s="86">
        <f t="shared" si="0"/>
        <v>4</v>
      </c>
      <c r="K39" s="86" t="s">
        <v>531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t="s">
        <v>437</v>
      </c>
      <c r="AU39" s="86"/>
      <c r="AV39" s="86"/>
    </row>
    <row r="40" spans="1:48">
      <c r="A40" s="36" t="s">
        <v>470</v>
      </c>
      <c r="C40" s="36" t="s">
        <v>442</v>
      </c>
      <c r="D40" s="36" t="s">
        <v>435</v>
      </c>
      <c r="E40" s="36" t="s">
        <v>471</v>
      </c>
      <c r="F40" s="86">
        <v>4</v>
      </c>
      <c r="G40" s="86">
        <v>4</v>
      </c>
      <c r="H40" s="86">
        <v>0</v>
      </c>
      <c r="I40" s="86">
        <v>41</v>
      </c>
      <c r="J40" s="86">
        <f t="shared" si="0"/>
        <v>4</v>
      </c>
      <c r="K40" s="86" t="s">
        <v>531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t="s">
        <v>437</v>
      </c>
      <c r="AU40" s="86"/>
      <c r="AV40" s="86"/>
    </row>
    <row r="41" spans="1:48" s="6" customFormat="1" ht="13.5" customHeight="1">
      <c r="A41" s="6" t="s">
        <v>472</v>
      </c>
      <c r="C41" s="6" t="s">
        <v>442</v>
      </c>
      <c r="D41" s="36" t="s">
        <v>435</v>
      </c>
      <c r="E41" s="15" t="s">
        <v>473</v>
      </c>
      <c r="F41" s="14">
        <v>8</v>
      </c>
      <c r="G41" s="14">
        <v>11</v>
      </c>
      <c r="H41" s="14">
        <v>0</v>
      </c>
      <c r="I41" s="14">
        <v>125</v>
      </c>
      <c r="J41" s="86">
        <f t="shared" si="0"/>
        <v>16</v>
      </c>
      <c r="K41" s="86" t="s">
        <v>528</v>
      </c>
      <c r="L41" s="14"/>
      <c r="M41" s="14"/>
      <c r="N41" s="2"/>
      <c r="O41"/>
      <c r="P41" s="14"/>
      <c r="Q41" s="14"/>
      <c r="R41" s="14"/>
      <c r="S41" s="14"/>
      <c r="T41" s="14"/>
      <c r="U41" s="14"/>
      <c r="X41" s="14"/>
      <c r="Y41" s="14"/>
      <c r="AG41" s="86"/>
      <c r="AH41" s="86"/>
      <c r="AI41" s="86"/>
      <c r="AJ41" s="86">
        <v>135</v>
      </c>
      <c r="AK41" s="86" t="s">
        <v>474</v>
      </c>
      <c r="AL41" s="86"/>
      <c r="AM41" s="86"/>
      <c r="AN41" s="86"/>
      <c r="AO41" s="86"/>
      <c r="AT41" s="14" t="s">
        <v>437</v>
      </c>
      <c r="AU41" s="14"/>
      <c r="AV41" s="14"/>
    </row>
    <row r="42" spans="1:48" s="6" customFormat="1" ht="13.5" customHeight="1">
      <c r="A42" s="6" t="s">
        <v>480</v>
      </c>
      <c r="C42" s="6" t="s">
        <v>442</v>
      </c>
      <c r="D42" s="6" t="s">
        <v>435</v>
      </c>
      <c r="E42" s="6" t="s">
        <v>637</v>
      </c>
      <c r="F42" s="14">
        <v>6</v>
      </c>
      <c r="G42" s="14">
        <v>6</v>
      </c>
      <c r="H42" s="14">
        <v>0</v>
      </c>
      <c r="I42" s="14">
        <v>60</v>
      </c>
      <c r="J42" s="86">
        <f t="shared" si="0"/>
        <v>4</v>
      </c>
      <c r="K42" s="14" t="s">
        <v>529</v>
      </c>
      <c r="L42" s="14"/>
      <c r="M42" s="14"/>
      <c r="N42" s="2"/>
      <c r="O42"/>
      <c r="P42" s="14"/>
      <c r="Q42" s="14"/>
      <c r="R42" s="14"/>
      <c r="S42" s="14"/>
      <c r="T42" s="14"/>
      <c r="U42" s="14"/>
      <c r="V42" s="14"/>
      <c r="W42" s="14"/>
      <c r="X42" s="14"/>
      <c r="AF42" s="14"/>
      <c r="AG42" s="86"/>
      <c r="AH42" s="86"/>
      <c r="AI42" s="86"/>
      <c r="AJ42" s="86">
        <v>135</v>
      </c>
      <c r="AK42" s="86" t="s">
        <v>474</v>
      </c>
      <c r="AL42" s="86"/>
      <c r="AM42" s="86"/>
      <c r="AN42" s="86"/>
      <c r="AO42" s="86"/>
      <c r="AT42" s="14" t="s">
        <v>437</v>
      </c>
      <c r="AU42" s="14"/>
      <c r="AV42" s="14"/>
    </row>
    <row r="43" spans="1:48" s="6" customFormat="1" ht="13.5" customHeight="1">
      <c r="A43" s="6" t="s">
        <v>476</v>
      </c>
      <c r="C43" s="6" t="s">
        <v>442</v>
      </c>
      <c r="D43" s="6" t="s">
        <v>435</v>
      </c>
      <c r="E43" s="6" t="s">
        <v>638</v>
      </c>
      <c r="F43" s="14">
        <v>6</v>
      </c>
      <c r="G43" s="14">
        <v>6</v>
      </c>
      <c r="H43" s="14">
        <v>0</v>
      </c>
      <c r="I43" s="14">
        <v>60</v>
      </c>
      <c r="J43" s="86">
        <f t="shared" si="0"/>
        <v>4</v>
      </c>
      <c r="K43" s="14" t="s">
        <v>531</v>
      </c>
      <c r="L43" s="14"/>
      <c r="M43" s="14"/>
      <c r="N43" s="2"/>
      <c r="O43"/>
      <c r="P43" s="14"/>
      <c r="Q43" s="14"/>
      <c r="R43" s="14"/>
      <c r="S43" s="14"/>
      <c r="T43" s="14"/>
      <c r="U43" s="14"/>
      <c r="V43" s="14"/>
      <c r="W43" s="14"/>
      <c r="X43" s="14"/>
      <c r="AF43" s="14"/>
      <c r="AG43" s="86"/>
      <c r="AH43" s="86"/>
      <c r="AI43" s="86"/>
      <c r="AJ43" s="86">
        <v>135</v>
      </c>
      <c r="AK43" s="86" t="s">
        <v>474</v>
      </c>
      <c r="AL43" s="86"/>
      <c r="AM43" s="86"/>
      <c r="AN43" s="86"/>
      <c r="AO43" s="86"/>
      <c r="AT43" s="14" t="s">
        <v>437</v>
      </c>
      <c r="AU43" s="14"/>
      <c r="AV43" s="14"/>
    </row>
    <row r="44" spans="1:48" s="40" customFormat="1">
      <c r="F44" s="41">
        <f>SUM(F8:F43)</f>
        <v>240</v>
      </c>
      <c r="G44" s="41">
        <f>SUM(G8:G43)</f>
        <v>635</v>
      </c>
      <c r="H44" s="41">
        <f>SUM(H8:H43)</f>
        <v>379.25</v>
      </c>
      <c r="I44" s="41">
        <f>SUM(I8:I43)</f>
        <v>3635</v>
      </c>
      <c r="J44" s="41"/>
      <c r="K44" s="41"/>
      <c r="L44" s="41">
        <f>SUM(L8:L43)</f>
        <v>130</v>
      </c>
      <c r="M44" s="41"/>
      <c r="N44" s="41">
        <f>SUM(N8:N43)</f>
        <v>2500</v>
      </c>
      <c r="O44" s="41"/>
      <c r="P44" s="41">
        <f>SUM(P8:P43)</f>
        <v>3750</v>
      </c>
      <c r="Q44" s="41"/>
      <c r="R44" s="41">
        <f>SUM(R8:R43)</f>
        <v>600</v>
      </c>
      <c r="S44" s="41"/>
      <c r="T44" s="41">
        <f>SUM(T8:T43)</f>
        <v>300</v>
      </c>
      <c r="U44" s="41"/>
      <c r="V44" s="41">
        <f>SUM(V8:V43)</f>
        <v>0</v>
      </c>
      <c r="W44" s="41"/>
      <c r="X44" s="41">
        <f>SUM(X8:X43)</f>
        <v>11375</v>
      </c>
      <c r="Z44" s="41">
        <f>SUM(Z8:Z43)</f>
        <v>200</v>
      </c>
      <c r="AB44" s="41">
        <f>SUM(AB8:AB43)</f>
        <v>50</v>
      </c>
      <c r="AD44" s="41">
        <f>SUM(AD8:AD43)</f>
        <v>170</v>
      </c>
      <c r="AF44" s="41">
        <f>SUM(AF8:AF43)</f>
        <v>0</v>
      </c>
      <c r="AH44" s="41">
        <f>SUM(AH8:AH43)</f>
        <v>0</v>
      </c>
      <c r="AJ44" s="41">
        <f>SUM(AJ8:AJ43)</f>
        <v>405</v>
      </c>
      <c r="AL44" s="41">
        <f>SUM(AL8:AL43)</f>
        <v>0</v>
      </c>
      <c r="AN44" s="41">
        <f>SUM(AN8:AN43)</f>
        <v>0</v>
      </c>
      <c r="AP44" s="41">
        <f>SUM(AP8:AP43)</f>
        <v>3700</v>
      </c>
      <c r="AT44" s="41">
        <f>COUNTIF(AT8:AT43,"x")</f>
        <v>36</v>
      </c>
      <c r="AU44" s="41">
        <f>COUNTIF(AU8:AU43,"x")</f>
        <v>14</v>
      </c>
      <c r="AV44" s="41">
        <f>COUNTIF(AV8:AV43,"x")</f>
        <v>2</v>
      </c>
    </row>
    <row r="45" spans="1:48" s="6" customFormat="1" ht="13.5" customHeight="1">
      <c r="A45" s="16" t="s">
        <v>475</v>
      </c>
      <c r="F45" s="14"/>
      <c r="G45" s="14"/>
      <c r="H45" s="14"/>
      <c r="I45" s="14"/>
      <c r="J45" s="14"/>
      <c r="K45" s="14"/>
      <c r="L45" s="14"/>
      <c r="M45" s="14"/>
      <c r="N45" s="14"/>
      <c r="O45"/>
      <c r="P45" s="14"/>
      <c r="Q45" s="14"/>
      <c r="R45" s="14"/>
      <c r="S45" s="14"/>
      <c r="T45" s="14"/>
      <c r="U45" s="14"/>
      <c r="V45" s="14"/>
      <c r="X45" s="14"/>
      <c r="Z45" s="14"/>
      <c r="AB45" s="14"/>
      <c r="AD45" s="14"/>
      <c r="AF45" s="14"/>
      <c r="AG45" s="14"/>
      <c r="AH45" s="14"/>
    </row>
    <row r="46" spans="1:48" s="6" customFormat="1" ht="13.5" customHeight="1">
      <c r="A46" s="6" t="s">
        <v>476</v>
      </c>
      <c r="C46" s="6" t="s">
        <v>442</v>
      </c>
      <c r="D46" s="36" t="s">
        <v>435</v>
      </c>
      <c r="E46" s="15" t="s">
        <v>477</v>
      </c>
      <c r="F46" s="14">
        <v>8</v>
      </c>
      <c r="G46" s="14">
        <v>16</v>
      </c>
      <c r="H46" s="14">
        <v>0</v>
      </c>
      <c r="I46" s="14">
        <v>30</v>
      </c>
      <c r="J46" s="86">
        <f>IF(G46&gt;=10,16, 4)-J43</f>
        <v>12</v>
      </c>
      <c r="K46" s="86" t="s">
        <v>531</v>
      </c>
      <c r="L46" s="14"/>
      <c r="M46" s="14"/>
      <c r="N46" s="2"/>
      <c r="O46"/>
      <c r="P46" s="14"/>
      <c r="Q46" s="14"/>
      <c r="R46" s="14"/>
      <c r="S46" s="14"/>
      <c r="T46" s="14"/>
      <c r="U46" s="14"/>
      <c r="X46" s="14">
        <v>200</v>
      </c>
      <c r="Y46" s="14" t="s">
        <v>206</v>
      </c>
      <c r="AG46" s="86"/>
      <c r="AH46" s="86"/>
      <c r="AI46" s="86"/>
      <c r="AJ46" s="86"/>
      <c r="AK46" s="86"/>
      <c r="AL46" s="86"/>
      <c r="AM46" s="86"/>
      <c r="AN46" s="86"/>
      <c r="AO46" s="86"/>
      <c r="AR46" s="6">
        <v>150</v>
      </c>
      <c r="AS46" s="6" t="s">
        <v>474</v>
      </c>
      <c r="AT46" s="14"/>
      <c r="AU46" s="14"/>
      <c r="AV46" s="14"/>
    </row>
    <row r="47" spans="1:48" ht="12.95">
      <c r="A47" s="138" t="s">
        <v>478</v>
      </c>
      <c r="F47" s="86"/>
      <c r="G47" s="86"/>
      <c r="H47" s="86"/>
      <c r="I47" s="86"/>
      <c r="J47" s="86"/>
      <c r="K47" s="86"/>
      <c r="L47" s="86"/>
      <c r="M47" s="86"/>
      <c r="N47" s="86"/>
      <c r="O47" s="86"/>
      <c r="P47" s="86"/>
      <c r="Q47" s="86"/>
      <c r="R47" s="86"/>
      <c r="S47" s="86"/>
      <c r="T47" s="86"/>
      <c r="U47" s="86"/>
      <c r="V47" s="86"/>
      <c r="W47" s="86"/>
      <c r="X47" s="86"/>
      <c r="Z47" s="86"/>
      <c r="AB47" s="86"/>
      <c r="AD47" s="86"/>
      <c r="AF47" s="86"/>
      <c r="AH47" s="86"/>
      <c r="AP47" s="86"/>
      <c r="AU47" s="86"/>
      <c r="AV47" s="86"/>
    </row>
    <row r="48" spans="1:48" s="6" customFormat="1" ht="13.5" customHeight="1">
      <c r="A48" s="6" t="s">
        <v>472</v>
      </c>
      <c r="C48" s="6" t="s">
        <v>442</v>
      </c>
      <c r="D48" s="6" t="s">
        <v>435</v>
      </c>
      <c r="E48" s="6" t="s">
        <v>479</v>
      </c>
      <c r="F48" s="14">
        <v>8</v>
      </c>
      <c r="G48" s="14">
        <v>22</v>
      </c>
      <c r="H48" s="14">
        <v>0</v>
      </c>
      <c r="I48" s="14">
        <v>28</v>
      </c>
      <c r="J48" s="86">
        <f>IF(G48&gt;=10,16, 4)-J41</f>
        <v>0</v>
      </c>
      <c r="K48" s="14" t="s">
        <v>528</v>
      </c>
      <c r="L48" s="14"/>
      <c r="M48" s="14"/>
      <c r="N48" s="2"/>
      <c r="O48"/>
      <c r="P48" s="14"/>
      <c r="Q48" s="14"/>
      <c r="R48" s="14">
        <v>120</v>
      </c>
      <c r="S48" s="14" t="s">
        <v>449</v>
      </c>
      <c r="V48" s="14"/>
      <c r="W48" s="14"/>
      <c r="X48" s="14">
        <v>340</v>
      </c>
      <c r="Y48" s="14" t="s">
        <v>206</v>
      </c>
      <c r="AD48" s="14"/>
      <c r="AE48" s="14"/>
      <c r="AF48" s="14"/>
      <c r="AG48" s="14"/>
      <c r="AH48" s="86">
        <v>200</v>
      </c>
      <c r="AI48" s="86" t="s">
        <v>474</v>
      </c>
      <c r="AT48" s="14"/>
      <c r="AU48" s="14"/>
    </row>
    <row r="49" spans="1:48" s="19" customFormat="1" ht="13.5" customHeight="1">
      <c r="A49" s="19" t="s">
        <v>480</v>
      </c>
      <c r="C49" s="19" t="s">
        <v>442</v>
      </c>
      <c r="D49" s="19" t="s">
        <v>435</v>
      </c>
      <c r="E49" s="19" t="s">
        <v>481</v>
      </c>
      <c r="F49" s="17">
        <v>6</v>
      </c>
      <c r="G49" s="17">
        <v>17</v>
      </c>
      <c r="H49" s="17">
        <v>0</v>
      </c>
      <c r="I49" s="17">
        <v>30</v>
      </c>
      <c r="J49" s="86">
        <f>IF(G49&gt;=10,16, 4)-J42</f>
        <v>12</v>
      </c>
      <c r="K49" s="17" t="s">
        <v>529</v>
      </c>
      <c r="L49" s="17"/>
      <c r="M49" s="17"/>
      <c r="N49" s="99"/>
      <c r="O49" s="98"/>
      <c r="P49" s="17"/>
      <c r="Q49" s="17"/>
      <c r="R49" s="17"/>
      <c r="S49" s="17"/>
      <c r="V49" s="17"/>
      <c r="W49" s="17"/>
      <c r="X49" s="17"/>
      <c r="Y49" s="17"/>
      <c r="AD49" s="17"/>
      <c r="AE49" s="17"/>
      <c r="AF49" s="17"/>
      <c r="AG49" s="17"/>
      <c r="AH49" s="17"/>
      <c r="AR49" s="156"/>
      <c r="AT49" s="17"/>
      <c r="AU49" s="17"/>
    </row>
    <row r="50" spans="1:48" s="6" customFormat="1" ht="13.5" customHeight="1">
      <c r="F50" s="14" cm="1">
        <f t="array" ref="F50">SUM(F46:F49+F44)</f>
        <v>982</v>
      </c>
      <c r="G50" s="14">
        <f>SUM(G46:G49)+G44</f>
        <v>690</v>
      </c>
      <c r="H50" s="14">
        <f>SUM(H46:H49)+H44</f>
        <v>379.25</v>
      </c>
      <c r="I50" s="14">
        <f>SUM(I46:I49)+I44</f>
        <v>3723</v>
      </c>
      <c r="J50" s="14"/>
      <c r="K50" s="14"/>
      <c r="L50" s="14">
        <f>SUM(L46:L49)+L44</f>
        <v>130</v>
      </c>
      <c r="M50" s="14"/>
      <c r="N50" s="14">
        <f>SUM(N46:N49)+N44</f>
        <v>2500</v>
      </c>
      <c r="O50"/>
      <c r="P50" s="14">
        <f>SUM(P46:P49)+P44</f>
        <v>3750</v>
      </c>
      <c r="Q50" s="14"/>
      <c r="R50" s="14">
        <f>SUM(R46:R49)+R44</f>
        <v>720</v>
      </c>
      <c r="S50" s="14"/>
      <c r="T50" s="14">
        <f>SUM(T46:T49)+T44</f>
        <v>300</v>
      </c>
      <c r="V50" s="14">
        <f>SUM(V46:V49)+V44</f>
        <v>0</v>
      </c>
      <c r="W50" s="14"/>
      <c r="X50" s="14">
        <f>SUM(X46:X49)+X44</f>
        <v>11915</v>
      </c>
      <c r="Z50" s="14">
        <f>SUM(Z46:Z49)+Z44</f>
        <v>200</v>
      </c>
      <c r="AB50" s="14">
        <f>SUM(AB46:AB49)+AB44</f>
        <v>50</v>
      </c>
      <c r="AD50" s="14">
        <f>SUM(AD46:AD49)+AD44</f>
        <v>170</v>
      </c>
      <c r="AE50" s="14"/>
      <c r="AF50" s="14">
        <f>SUM(AF46:AF49)+AF44</f>
        <v>0</v>
      </c>
      <c r="AG50" s="14"/>
      <c r="AH50" s="14">
        <f>SUM(AH46:AH49)+AH44</f>
        <v>200</v>
      </c>
      <c r="AJ50" s="14">
        <f>SUM(AJ46:AJ49)+AJ44</f>
        <v>405</v>
      </c>
      <c r="AL50" s="14">
        <f>SUM(AL46:AL49)+AL44</f>
        <v>0</v>
      </c>
      <c r="AN50" s="14">
        <f>SUM(AN46:AN49)+AN44</f>
        <v>0</v>
      </c>
      <c r="AP50" s="14">
        <f>SUM(AP46:AP49)+AP44</f>
        <v>3700</v>
      </c>
      <c r="AR50" s="155">
        <f>SUM(AR46:AR49)+AR44</f>
        <v>150</v>
      </c>
      <c r="AT50" s="14">
        <f>COUNTIF(AT48:AT49,"x")+AT44</f>
        <v>36</v>
      </c>
      <c r="AU50" s="14">
        <f>COUNTIF(AU48:AU49,"x")+AU44</f>
        <v>14</v>
      </c>
      <c r="AV50" s="14">
        <f>COUNTIF(AV48:AV49,"x")+AV44</f>
        <v>2</v>
      </c>
    </row>
    <row r="52" spans="1:48">
      <c r="F52" s="86"/>
      <c r="G52" s="86"/>
      <c r="H52" s="86"/>
      <c r="I52" s="86"/>
      <c r="J52" s="86"/>
      <c r="K52" s="86"/>
      <c r="L52" s="86"/>
      <c r="M52" s="86"/>
      <c r="N52" s="86"/>
      <c r="O52" s="86"/>
      <c r="P52" s="86"/>
      <c r="Q52" s="86"/>
      <c r="R52" s="86"/>
      <c r="S52" s="86"/>
      <c r="T52" s="86"/>
      <c r="U52" s="86"/>
      <c r="V52" s="86"/>
      <c r="W52" s="86"/>
      <c r="X52" s="86"/>
    </row>
    <row r="53" spans="1:48" ht="12.95">
      <c r="A53" s="180" t="s">
        <v>482</v>
      </c>
      <c r="B53" s="180"/>
      <c r="C53" s="180"/>
      <c r="D53" s="180"/>
      <c r="E53" s="42"/>
      <c r="F53" s="90"/>
      <c r="G53" s="90"/>
      <c r="H53" s="175"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53" s="175"/>
      <c r="J53" s="175"/>
      <c r="K53" s="175"/>
      <c r="L53" s="175"/>
      <c r="M53" s="175"/>
      <c r="N53" s="175"/>
      <c r="O53" s="175"/>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row>
    <row r="54" spans="1:48" ht="13.5" customHeight="1">
      <c r="A54" s="180"/>
      <c r="B54" s="180"/>
      <c r="C54" s="180"/>
      <c r="D54" s="180"/>
      <c r="E54" s="25" t="s">
        <v>617</v>
      </c>
      <c r="F54" s="90">
        <f>128-(IF(E9="vCSA8.0", 2, 1))</f>
        <v>126</v>
      </c>
      <c r="G54" s="90">
        <f>4*(384-(IF(E9="vCSA8.0", 12, 8)))</f>
        <v>1488</v>
      </c>
      <c r="H54" s="175"/>
      <c r="I54" s="175"/>
      <c r="J54" s="175"/>
      <c r="K54" s="175"/>
      <c r="L54" s="175"/>
      <c r="M54" s="175"/>
      <c r="N54" s="175"/>
      <c r="O54" s="175"/>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row>
    <row r="55" spans="1:48" ht="13.5" customHeight="1">
      <c r="A55" s="90"/>
      <c r="B55" s="90"/>
      <c r="C55" s="90"/>
      <c r="D55" s="90"/>
      <c r="E55" s="25" t="s">
        <v>639</v>
      </c>
      <c r="F55" s="90">
        <f>(4*2*28)-(IF(E9="vCSA8.0", 2, 1))</f>
        <v>222</v>
      </c>
      <c r="G55" s="90">
        <f>4*(512-(IF(E9="vCSA8.0", 12, 8)))</f>
        <v>2000</v>
      </c>
      <c r="H55" s="175"/>
      <c r="I55" s="175"/>
      <c r="J55" s="175"/>
      <c r="K55" s="175"/>
      <c r="L55" s="175"/>
      <c r="M55" s="175"/>
      <c r="N55" s="175"/>
      <c r="O55" s="175"/>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row>
    <row r="56" spans="1:48" ht="12.95">
      <c r="A56" s="43"/>
      <c r="B56" s="43"/>
      <c r="C56" s="43"/>
      <c r="D56" s="43"/>
      <c r="E56" s="25" t="s">
        <v>640</v>
      </c>
      <c r="F56" s="90">
        <f>(4*2*28)-(IF(E9="vCSA8.0", 2, 1))</f>
        <v>222</v>
      </c>
      <c r="G56" s="90">
        <f>4*(512-(IF(E9="vCSA8.0", 12, 8)))</f>
        <v>2000</v>
      </c>
      <c r="H56" s="175"/>
      <c r="I56" s="175"/>
      <c r="J56" s="175"/>
      <c r="K56" s="175"/>
      <c r="L56" s="175"/>
      <c r="M56" s="175"/>
      <c r="N56" s="175"/>
      <c r="O56" s="175"/>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row>
    <row r="57" spans="1:48" ht="12.95">
      <c r="A57" s="43"/>
      <c r="B57" s="43"/>
      <c r="C57" s="43"/>
      <c r="D57" s="43"/>
      <c r="E57" s="42" t="s">
        <v>641</v>
      </c>
      <c r="F57" s="90">
        <f>(4*1*32)-(IF(E9="vCSA8.0", 2, 1))</f>
        <v>126</v>
      </c>
      <c r="G57" s="90">
        <f>4*(512-(IF(E9="vCSA8.0", 12, 8)))</f>
        <v>2000</v>
      </c>
      <c r="H57" s="175"/>
      <c r="I57" s="175"/>
      <c r="J57" s="175"/>
      <c r="K57" s="175"/>
      <c r="L57" s="175"/>
      <c r="M57" s="175"/>
      <c r="N57" s="175"/>
      <c r="O57" s="175"/>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row>
    <row r="58" spans="1:48" ht="12.95">
      <c r="A58" s="43"/>
      <c r="B58" s="43"/>
      <c r="C58" s="43"/>
      <c r="D58" s="43"/>
      <c r="E58" s="25" t="s">
        <v>642</v>
      </c>
      <c r="F58" s="90">
        <f>(4*1*32)-(IF(E9="vCSA8.0", 2, 1))</f>
        <v>126</v>
      </c>
      <c r="G58" s="90">
        <f>4*(512-(IF(E9="vCSA8.0", 12, 8)))</f>
        <v>2000</v>
      </c>
      <c r="H58" s="175"/>
      <c r="I58" s="175"/>
      <c r="J58" s="175"/>
      <c r="K58" s="175"/>
      <c r="L58" s="175"/>
      <c r="M58" s="175"/>
      <c r="N58" s="175"/>
      <c r="O58" s="175"/>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row>
    <row r="59" spans="1:48" ht="12.95">
      <c r="A59" s="43"/>
      <c r="B59" s="43"/>
      <c r="C59" s="43"/>
      <c r="D59" s="43"/>
      <c r="E59" s="42" t="s">
        <v>643</v>
      </c>
      <c r="F59" s="90">
        <f>(4*1*32)-(IF(E9="vCSA8.0", 2, 1))</f>
        <v>126</v>
      </c>
      <c r="G59" s="90">
        <f>4*(512-(IF(E9="vCSA8.0", 12, 8)))</f>
        <v>2000</v>
      </c>
      <c r="H59" s="175"/>
      <c r="I59" s="175"/>
      <c r="J59" s="175"/>
      <c r="K59" s="175"/>
      <c r="L59" s="175"/>
      <c r="M59" s="175"/>
      <c r="N59" s="175"/>
      <c r="O59" s="175"/>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row>
    <row r="60" spans="1:48">
      <c r="A60" s="43"/>
      <c r="B60" s="43"/>
      <c r="C60" s="43"/>
      <c r="D60" s="43"/>
      <c r="E60" s="43"/>
      <c r="F60" s="43"/>
      <c r="G60" s="43"/>
      <c r="H60" s="175"/>
      <c r="I60" s="175"/>
      <c r="J60" s="175"/>
      <c r="K60" s="175"/>
      <c r="L60" s="175"/>
      <c r="M60" s="175"/>
      <c r="N60" s="175"/>
      <c r="O60" s="175"/>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row>
    <row r="61" spans="1:48" ht="14.45">
      <c r="E61" s="16"/>
      <c r="F61" s="119"/>
      <c r="G61" s="119"/>
      <c r="H61"/>
      <c r="I61"/>
      <c r="J61"/>
      <c r="K61"/>
      <c r="L61"/>
      <c r="M61"/>
      <c r="N61"/>
      <c r="O61"/>
    </row>
    <row r="62" spans="1:48" ht="14.45">
      <c r="A62" s="192" t="s">
        <v>619</v>
      </c>
      <c r="B62" s="193"/>
      <c r="C62" s="193"/>
      <c r="D62" s="193"/>
      <c r="E62" s="193"/>
      <c r="F62" s="128"/>
      <c r="G62" s="119"/>
      <c r="H62"/>
      <c r="I62"/>
      <c r="J62"/>
      <c r="K62"/>
      <c r="L62"/>
      <c r="M62"/>
      <c r="N62"/>
      <c r="O62"/>
    </row>
    <row r="63" spans="1:48" ht="14.45">
      <c r="E63" s="16"/>
      <c r="F63" s="119"/>
      <c r="G63" s="119"/>
      <c r="H63"/>
      <c r="I63"/>
      <c r="J63"/>
      <c r="K63"/>
      <c r="L63"/>
      <c r="M63"/>
      <c r="N63"/>
      <c r="O63"/>
    </row>
    <row r="64" spans="1:48" ht="12.95">
      <c r="A64" s="16" t="s">
        <v>485</v>
      </c>
    </row>
    <row r="65" spans="1:48">
      <c r="A65" s="36" t="s">
        <v>486</v>
      </c>
      <c r="C65" s="36" t="s">
        <v>442</v>
      </c>
      <c r="D65" s="36" t="s">
        <v>435</v>
      </c>
      <c r="E65" s="36" t="s">
        <v>44</v>
      </c>
      <c r="F65" s="86">
        <v>12</v>
      </c>
      <c r="G65" s="86">
        <v>48</v>
      </c>
      <c r="H65" s="86">
        <v>0</v>
      </c>
      <c r="I65" s="14">
        <v>71</v>
      </c>
      <c r="J65" s="86">
        <f t="shared" ref="J65" si="1">IF(G65&gt;=10,16, 4)</f>
        <v>16</v>
      </c>
      <c r="K65" s="86"/>
      <c r="AT65" s="86" t="s">
        <v>437</v>
      </c>
      <c r="AV65" s="86"/>
    </row>
    <row r="66" spans="1:48">
      <c r="A66" s="36" t="s">
        <v>644</v>
      </c>
      <c r="C66" s="36" t="s">
        <v>442</v>
      </c>
      <c r="D66" s="21" t="s">
        <v>488</v>
      </c>
      <c r="E66" s="6" t="s">
        <v>112</v>
      </c>
      <c r="F66" s="86">
        <v>4</v>
      </c>
      <c r="G66" s="86">
        <v>4</v>
      </c>
      <c r="H66" s="86">
        <v>0</v>
      </c>
      <c r="I66" s="86">
        <v>100</v>
      </c>
      <c r="J66" s="86">
        <v>0</v>
      </c>
      <c r="K66" s="86" t="s">
        <v>529</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t="s">
        <v>437</v>
      </c>
      <c r="AV66" s="86"/>
    </row>
    <row r="67" spans="1:48">
      <c r="A67" s="36" t="s">
        <v>645</v>
      </c>
      <c r="C67" s="36" t="s">
        <v>442</v>
      </c>
      <c r="D67" s="21" t="s">
        <v>488</v>
      </c>
      <c r="E67" s="6" t="s">
        <v>120</v>
      </c>
      <c r="F67" s="86">
        <v>4</v>
      </c>
      <c r="G67" s="86">
        <v>16</v>
      </c>
      <c r="H67" s="86">
        <v>0</v>
      </c>
      <c r="I67" s="14">
        <v>110</v>
      </c>
      <c r="J67" s="86">
        <v>0</v>
      </c>
      <c r="K67" s="86" t="s">
        <v>531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t="s">
        <v>437</v>
      </c>
      <c r="AV67" s="86"/>
    </row>
    <row r="68" spans="1:48">
      <c r="A68" s="36" t="s">
        <v>490</v>
      </c>
      <c r="C68" s="36" t="s">
        <v>442</v>
      </c>
      <c r="D68" s="21" t="s">
        <v>488</v>
      </c>
      <c r="E68" s="6" t="s">
        <v>116</v>
      </c>
      <c r="F68" s="86">
        <v>4</v>
      </c>
      <c r="G68" s="86">
        <v>14</v>
      </c>
      <c r="H68" s="86">
        <v>0</v>
      </c>
      <c r="I68" s="14">
        <v>120</v>
      </c>
      <c r="J68" s="86">
        <v>0</v>
      </c>
      <c r="K68" s="14" t="s">
        <v>529</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t="s">
        <v>437</v>
      </c>
      <c r="AV68" s="86"/>
    </row>
    <row r="69" spans="1:48">
      <c r="A69" s="36" t="s">
        <v>539</v>
      </c>
      <c r="C69" s="36" t="s">
        <v>442</v>
      </c>
      <c r="D69" s="21" t="s">
        <v>488</v>
      </c>
      <c r="E69" s="6" t="s">
        <v>112</v>
      </c>
      <c r="F69" s="86">
        <v>4</v>
      </c>
      <c r="G69" s="86">
        <v>4</v>
      </c>
      <c r="H69" s="86">
        <v>0</v>
      </c>
      <c r="I69" s="86">
        <v>100</v>
      </c>
      <c r="J69" s="86">
        <v>0</v>
      </c>
      <c r="K69" s="86"/>
      <c r="AT69" s="86" t="s">
        <v>437</v>
      </c>
      <c r="AV69" s="86"/>
    </row>
    <row r="70" spans="1:48">
      <c r="A70" s="36" t="s">
        <v>491</v>
      </c>
      <c r="C70" s="36" t="s">
        <v>442</v>
      </c>
      <c r="D70" s="21" t="s">
        <v>488</v>
      </c>
      <c r="E70" s="6" t="s">
        <v>120</v>
      </c>
      <c r="F70" s="86">
        <v>4</v>
      </c>
      <c r="G70" s="86">
        <v>16</v>
      </c>
      <c r="H70" s="86">
        <v>0</v>
      </c>
      <c r="I70" s="86">
        <v>100</v>
      </c>
      <c r="J70" s="86">
        <v>0</v>
      </c>
      <c r="K70" s="86"/>
      <c r="AT70" s="86" t="s">
        <v>437</v>
      </c>
      <c r="AV70" s="86"/>
    </row>
    <row r="71" spans="1:48">
      <c r="A71" s="36" t="s">
        <v>540</v>
      </c>
      <c r="C71" s="36" t="s">
        <v>442</v>
      </c>
      <c r="D71" s="21" t="s">
        <v>488</v>
      </c>
      <c r="E71" s="6" t="s">
        <v>120</v>
      </c>
      <c r="F71" s="86">
        <v>4</v>
      </c>
      <c r="G71" s="86">
        <v>16</v>
      </c>
      <c r="H71" s="86">
        <v>0</v>
      </c>
      <c r="I71" s="86">
        <v>100</v>
      </c>
      <c r="J71" s="86">
        <v>0</v>
      </c>
      <c r="K71" s="86"/>
      <c r="AT71" s="86" t="s">
        <v>437</v>
      </c>
      <c r="AV71" s="86"/>
    </row>
    <row r="72" spans="1:48">
      <c r="A72" s="36" t="s">
        <v>623</v>
      </c>
      <c r="C72" s="36" t="s">
        <v>442</v>
      </c>
      <c r="D72" s="21" t="s">
        <v>488</v>
      </c>
      <c r="E72" s="6" t="s">
        <v>120</v>
      </c>
      <c r="F72" s="86">
        <v>4</v>
      </c>
      <c r="G72" s="86">
        <v>16</v>
      </c>
      <c r="H72" s="86">
        <v>0</v>
      </c>
      <c r="I72" s="86">
        <v>100</v>
      </c>
      <c r="J72" s="86">
        <v>0</v>
      </c>
      <c r="K72" s="86"/>
      <c r="AT72" s="86" t="s">
        <v>437</v>
      </c>
      <c r="AV72" s="86"/>
    </row>
    <row r="73" spans="1:48">
      <c r="A73" s="36" t="s">
        <v>624</v>
      </c>
      <c r="C73" s="36" t="s">
        <v>442</v>
      </c>
      <c r="D73" s="21" t="s">
        <v>488</v>
      </c>
      <c r="E73" s="6" t="s">
        <v>120</v>
      </c>
      <c r="F73" s="86">
        <v>4</v>
      </c>
      <c r="G73" s="86">
        <v>16</v>
      </c>
      <c r="H73" s="86">
        <v>0</v>
      </c>
      <c r="I73" s="86">
        <v>100</v>
      </c>
      <c r="J73" s="86">
        <v>0</v>
      </c>
      <c r="K73" s="86"/>
      <c r="AT73" s="86" t="s">
        <v>437</v>
      </c>
      <c r="AV73" s="86"/>
    </row>
    <row r="74" spans="1:48">
      <c r="A74" s="36" t="s">
        <v>646</v>
      </c>
      <c r="C74" s="36" t="s">
        <v>442</v>
      </c>
      <c r="D74" s="21" t="s">
        <v>488</v>
      </c>
      <c r="E74" s="6" t="s">
        <v>120</v>
      </c>
      <c r="F74" s="86">
        <v>4</v>
      </c>
      <c r="G74" s="86">
        <v>16</v>
      </c>
      <c r="H74" s="86">
        <v>0</v>
      </c>
      <c r="I74" s="86">
        <v>100</v>
      </c>
      <c r="J74" s="86">
        <v>0</v>
      </c>
      <c r="K74" s="86"/>
      <c r="AT74" s="86" t="s">
        <v>437</v>
      </c>
      <c r="AV74" s="86"/>
    </row>
    <row r="75" spans="1:48">
      <c r="A75" s="36" t="s">
        <v>647</v>
      </c>
      <c r="C75" s="36" t="s">
        <v>442</v>
      </c>
      <c r="D75" s="21" t="s">
        <v>488</v>
      </c>
      <c r="E75" s="6" t="s">
        <v>120</v>
      </c>
      <c r="F75" s="86">
        <v>4</v>
      </c>
      <c r="G75" s="86">
        <v>16</v>
      </c>
      <c r="H75" s="86">
        <v>0</v>
      </c>
      <c r="I75" s="86">
        <v>100</v>
      </c>
      <c r="J75" s="86">
        <v>0</v>
      </c>
      <c r="K75" s="86"/>
      <c r="AT75" s="86" t="s">
        <v>437</v>
      </c>
      <c r="AV75" s="86"/>
    </row>
    <row r="76" spans="1:48">
      <c r="A76" s="36" t="s">
        <v>648</v>
      </c>
      <c r="C76" s="36" t="s">
        <v>442</v>
      </c>
      <c r="D76" s="21" t="s">
        <v>488</v>
      </c>
      <c r="E76" s="6" t="s">
        <v>120</v>
      </c>
      <c r="F76" s="86">
        <v>4</v>
      </c>
      <c r="G76" s="86">
        <v>16</v>
      </c>
      <c r="H76" s="86">
        <v>0</v>
      </c>
      <c r="I76" s="86">
        <v>100</v>
      </c>
      <c r="J76" s="86">
        <v>0</v>
      </c>
      <c r="K76" s="86"/>
      <c r="AT76" s="86" t="s">
        <v>437</v>
      </c>
      <c r="AV76" s="86"/>
    </row>
    <row r="77" spans="1:48">
      <c r="A77" s="36" t="s">
        <v>541</v>
      </c>
      <c r="C77" s="36" t="s">
        <v>442</v>
      </c>
      <c r="D77" s="21" t="s">
        <v>488</v>
      </c>
      <c r="E77" s="6" t="s">
        <v>116</v>
      </c>
      <c r="F77" s="86">
        <v>4</v>
      </c>
      <c r="G77" s="86">
        <v>14</v>
      </c>
      <c r="H77" s="86">
        <v>0</v>
      </c>
      <c r="I77" s="14">
        <v>120</v>
      </c>
      <c r="J77" s="86">
        <v>0</v>
      </c>
      <c r="K77" s="86"/>
      <c r="AT77" s="86" t="s">
        <v>437</v>
      </c>
      <c r="AV77" s="86"/>
    </row>
    <row r="78" spans="1:48">
      <c r="A78" s="36" t="s">
        <v>649</v>
      </c>
      <c r="C78" s="36" t="s">
        <v>442</v>
      </c>
      <c r="D78" s="21" t="s">
        <v>488</v>
      </c>
      <c r="E78" s="6" t="s">
        <v>120</v>
      </c>
      <c r="F78" s="86">
        <v>4</v>
      </c>
      <c r="G78" s="86">
        <v>16</v>
      </c>
      <c r="H78" s="86">
        <v>0</v>
      </c>
      <c r="I78" s="86">
        <v>100</v>
      </c>
      <c r="J78" s="86">
        <v>0</v>
      </c>
      <c r="K78" s="86"/>
      <c r="AT78" s="86" t="s">
        <v>437</v>
      </c>
      <c r="AV78" s="86"/>
    </row>
    <row r="79" spans="1:48">
      <c r="A79" s="36" t="s">
        <v>492</v>
      </c>
      <c r="C79" s="36" t="s">
        <v>442</v>
      </c>
      <c r="D79" s="36" t="s">
        <v>435</v>
      </c>
      <c r="E79" s="36" t="s">
        <v>55</v>
      </c>
      <c r="F79" s="86">
        <v>6</v>
      </c>
      <c r="G79" s="86">
        <v>20</v>
      </c>
      <c r="H79" s="86">
        <v>0</v>
      </c>
      <c r="I79" s="86">
        <v>201</v>
      </c>
      <c r="J79" s="86">
        <f t="shared" ref="J79:J98" si="2">IF(G79&gt;=10,16, 4)</f>
        <v>16</v>
      </c>
      <c r="K79" s="86"/>
      <c r="AT79" s="86" t="s">
        <v>437</v>
      </c>
      <c r="AV79" s="86"/>
    </row>
    <row r="80" spans="1:48">
      <c r="A80" s="36" t="s">
        <v>493</v>
      </c>
      <c r="C80" s="36" t="s">
        <v>442</v>
      </c>
      <c r="D80" s="36" t="s">
        <v>435</v>
      </c>
      <c r="E80" s="36" t="s">
        <v>55</v>
      </c>
      <c r="F80" s="86">
        <v>6</v>
      </c>
      <c r="G80" s="86">
        <v>20</v>
      </c>
      <c r="H80" s="86">
        <v>0</v>
      </c>
      <c r="I80" s="86">
        <v>201</v>
      </c>
      <c r="J80" s="86">
        <f t="shared" si="2"/>
        <v>16</v>
      </c>
      <c r="K80" s="86"/>
      <c r="AT80" s="86" t="s">
        <v>437</v>
      </c>
      <c r="AV80" s="86"/>
    </row>
    <row r="81" spans="1:48">
      <c r="A81" s="36" t="s">
        <v>625</v>
      </c>
      <c r="C81" s="36" t="s">
        <v>442</v>
      </c>
      <c r="D81" s="36" t="s">
        <v>435</v>
      </c>
      <c r="E81" s="36" t="s">
        <v>55</v>
      </c>
      <c r="F81" s="86">
        <v>6</v>
      </c>
      <c r="G81" s="86">
        <v>20</v>
      </c>
      <c r="H81" s="86">
        <v>0</v>
      </c>
      <c r="I81" s="86">
        <v>201</v>
      </c>
      <c r="J81" s="86">
        <f t="shared" si="2"/>
        <v>16</v>
      </c>
      <c r="K81" s="86"/>
      <c r="AT81" s="86" t="s">
        <v>437</v>
      </c>
      <c r="AV81" s="86"/>
    </row>
    <row r="82" spans="1:48">
      <c r="A82" s="36" t="s">
        <v>626</v>
      </c>
      <c r="C82" s="36" t="s">
        <v>442</v>
      </c>
      <c r="D82" s="36" t="s">
        <v>435</v>
      </c>
      <c r="E82" s="36" t="s">
        <v>55</v>
      </c>
      <c r="F82" s="86">
        <v>6</v>
      </c>
      <c r="G82" s="86">
        <v>20</v>
      </c>
      <c r="H82" s="86">
        <v>0</v>
      </c>
      <c r="I82" s="86">
        <v>201</v>
      </c>
      <c r="J82" s="86">
        <f t="shared" si="2"/>
        <v>16</v>
      </c>
      <c r="K82" s="86"/>
      <c r="AT82" s="86" t="s">
        <v>437</v>
      </c>
      <c r="AV82" s="86"/>
    </row>
    <row r="83" spans="1:48">
      <c r="A83" s="36" t="s">
        <v>494</v>
      </c>
      <c r="C83" s="36" t="s">
        <v>442</v>
      </c>
      <c r="D83" s="36" t="s">
        <v>435</v>
      </c>
      <c r="E83" s="36" t="s">
        <v>71</v>
      </c>
      <c r="F83" s="86">
        <v>2</v>
      </c>
      <c r="G83" s="86">
        <v>4</v>
      </c>
      <c r="H83" s="86">
        <v>0</v>
      </c>
      <c r="I83" s="86">
        <v>41</v>
      </c>
      <c r="J83" s="86">
        <f t="shared" si="2"/>
        <v>4</v>
      </c>
      <c r="K83" s="86"/>
      <c r="AT83" s="86" t="s">
        <v>437</v>
      </c>
      <c r="AV83" s="86"/>
    </row>
    <row r="84" spans="1:48">
      <c r="A84" s="36" t="s">
        <v>495</v>
      </c>
      <c r="C84" s="36" t="s">
        <v>442</v>
      </c>
      <c r="D84" s="36" t="s">
        <v>435</v>
      </c>
      <c r="E84" s="36" t="s">
        <v>63</v>
      </c>
      <c r="F84" s="86">
        <v>2</v>
      </c>
      <c r="G84" s="86">
        <v>4</v>
      </c>
      <c r="H84" s="86">
        <v>0</v>
      </c>
      <c r="I84" s="86">
        <v>31</v>
      </c>
      <c r="J84" s="86">
        <f t="shared" si="2"/>
        <v>4</v>
      </c>
      <c r="K84" s="86"/>
      <c r="AT84" s="86" t="s">
        <v>437</v>
      </c>
      <c r="AV84" s="86"/>
    </row>
    <row r="85" spans="1:48">
      <c r="A85" s="36" t="s">
        <v>496</v>
      </c>
      <c r="C85" s="36" t="s">
        <v>442</v>
      </c>
      <c r="D85" s="36" t="s">
        <v>435</v>
      </c>
      <c r="E85" s="36" t="s">
        <v>67</v>
      </c>
      <c r="F85" s="86">
        <v>4</v>
      </c>
      <c r="G85" s="86">
        <v>4</v>
      </c>
      <c r="H85" s="86">
        <v>0</v>
      </c>
      <c r="I85" s="86">
        <v>36</v>
      </c>
      <c r="J85" s="86">
        <f t="shared" si="2"/>
        <v>4</v>
      </c>
      <c r="K85" s="86"/>
      <c r="AT85" s="86" t="s">
        <v>437</v>
      </c>
      <c r="AV85" s="86"/>
    </row>
    <row r="86" spans="1:48" ht="14.45">
      <c r="A86" s="36" t="s">
        <v>497</v>
      </c>
      <c r="C86" s="36" t="s">
        <v>442</v>
      </c>
      <c r="D86" s="36" t="s">
        <v>435</v>
      </c>
      <c r="E86" s="36" t="s">
        <v>276</v>
      </c>
      <c r="F86" s="86">
        <v>7</v>
      </c>
      <c r="G86" s="86">
        <v>8</v>
      </c>
      <c r="H86" s="86">
        <v>0</v>
      </c>
      <c r="I86" s="14">
        <v>111</v>
      </c>
      <c r="J86" s="86">
        <f t="shared" si="2"/>
        <v>4</v>
      </c>
      <c r="K86" s="45"/>
      <c r="L86" s="86"/>
      <c r="M86" s="86"/>
      <c r="N86" s="45"/>
      <c r="O86" s="44"/>
      <c r="P86" s="86"/>
      <c r="Q86" s="86"/>
      <c r="R86" s="86"/>
      <c r="S86" s="86"/>
      <c r="T86" s="86"/>
      <c r="U86" s="86"/>
      <c r="V86" s="86"/>
      <c r="X86" s="86"/>
      <c r="Z86" s="86"/>
      <c r="AA86" s="86"/>
      <c r="AB86" s="86"/>
      <c r="AC86" s="86"/>
      <c r="AD86" s="86"/>
      <c r="AE86" s="86"/>
      <c r="AF86" s="86"/>
      <c r="AG86" s="86"/>
      <c r="AH86" s="86"/>
      <c r="AI86" s="86"/>
      <c r="AJ86" s="86"/>
      <c r="AK86" s="86"/>
      <c r="AL86" s="86"/>
      <c r="AM86" s="86"/>
      <c r="AN86" s="86"/>
      <c r="AO86" s="86"/>
      <c r="AP86" s="86"/>
      <c r="AQ86" s="86"/>
      <c r="AR86" s="86"/>
      <c r="AS86" s="86"/>
      <c r="AT86" s="86" t="s">
        <v>437</v>
      </c>
      <c r="AV86" s="86" t="s">
        <v>437</v>
      </c>
    </row>
    <row r="87" spans="1:48" ht="14.45">
      <c r="A87" s="36" t="s">
        <v>650</v>
      </c>
      <c r="C87" s="36" t="s">
        <v>442</v>
      </c>
      <c r="D87" s="36" t="s">
        <v>435</v>
      </c>
      <c r="E87" s="36" t="s">
        <v>276</v>
      </c>
      <c r="F87" s="86">
        <v>6</v>
      </c>
      <c r="G87" s="86">
        <v>7</v>
      </c>
      <c r="H87" s="86">
        <v>0</v>
      </c>
      <c r="I87" s="14">
        <v>111</v>
      </c>
      <c r="J87" s="86">
        <f t="shared" si="2"/>
        <v>4</v>
      </c>
      <c r="K87" s="45"/>
      <c r="L87" s="86"/>
      <c r="M87" s="86"/>
      <c r="N87" s="45"/>
      <c r="O87" s="44"/>
      <c r="P87" s="86"/>
      <c r="Q87" s="86"/>
      <c r="R87" s="86"/>
      <c r="S87" s="86"/>
      <c r="T87" s="86"/>
      <c r="U87" s="86"/>
      <c r="V87" s="86"/>
      <c r="X87" s="86"/>
      <c r="Z87" s="86"/>
      <c r="AA87" s="86"/>
      <c r="AB87" s="86"/>
      <c r="AC87" s="86"/>
      <c r="AD87" s="86"/>
      <c r="AE87" s="86"/>
      <c r="AF87" s="86"/>
      <c r="AG87" s="86"/>
      <c r="AH87" s="86"/>
      <c r="AI87" s="86"/>
      <c r="AJ87" s="86"/>
      <c r="AK87" s="86"/>
      <c r="AL87" s="86"/>
      <c r="AM87" s="86"/>
      <c r="AN87" s="86"/>
      <c r="AO87" s="86"/>
      <c r="AP87" s="86"/>
      <c r="AQ87" s="86"/>
      <c r="AR87" s="86"/>
      <c r="AS87" s="86"/>
      <c r="AT87" s="86" t="s">
        <v>437</v>
      </c>
      <c r="AV87" s="86"/>
    </row>
    <row r="88" spans="1:48" ht="14.45">
      <c r="A88" s="6" t="s">
        <v>542</v>
      </c>
      <c r="B88" s="6"/>
      <c r="C88" s="6"/>
      <c r="D88" s="36" t="s">
        <v>435</v>
      </c>
      <c r="E88" s="6" t="s">
        <v>90</v>
      </c>
      <c r="F88" s="14">
        <v>2</v>
      </c>
      <c r="G88" s="14">
        <v>2</v>
      </c>
      <c r="H88" s="14">
        <v>0</v>
      </c>
      <c r="I88" s="14">
        <v>16</v>
      </c>
      <c r="J88" s="86">
        <f t="shared" si="2"/>
        <v>4</v>
      </c>
      <c r="K88" s="45"/>
      <c r="L88" s="86"/>
      <c r="M88" s="86"/>
      <c r="N88" s="45"/>
      <c r="O88" s="44"/>
      <c r="P88" s="86"/>
      <c r="Q88" s="86"/>
      <c r="R88" s="86"/>
      <c r="S88" s="86"/>
      <c r="T88" s="86"/>
      <c r="U88" s="86"/>
      <c r="V88" s="86"/>
      <c r="X88" s="86"/>
      <c r="Z88" s="86"/>
      <c r="AA88" s="86"/>
      <c r="AB88" s="86"/>
      <c r="AC88" s="86"/>
      <c r="AD88" s="86"/>
      <c r="AE88" s="86"/>
      <c r="AF88" s="86"/>
      <c r="AG88" s="86"/>
      <c r="AH88" s="86"/>
      <c r="AI88" s="86"/>
      <c r="AJ88" s="86"/>
      <c r="AK88" s="86"/>
      <c r="AL88" s="86"/>
      <c r="AM88" s="86"/>
      <c r="AN88" s="86"/>
      <c r="AO88" s="86"/>
      <c r="AP88" s="86"/>
      <c r="AQ88" s="86"/>
      <c r="AR88" s="86"/>
      <c r="AS88" s="86"/>
      <c r="AT88" s="86" t="s">
        <v>437</v>
      </c>
      <c r="AV88" s="86"/>
    </row>
    <row r="89" spans="1:48" ht="14.45">
      <c r="A89" s="6" t="s">
        <v>543</v>
      </c>
      <c r="B89" s="6"/>
      <c r="C89" s="6"/>
      <c r="D89" s="36" t="s">
        <v>435</v>
      </c>
      <c r="E89" s="6" t="s">
        <v>90</v>
      </c>
      <c r="F89" s="14">
        <v>2</v>
      </c>
      <c r="G89" s="14">
        <v>2</v>
      </c>
      <c r="H89" s="14">
        <v>0</v>
      </c>
      <c r="I89" s="14">
        <v>16</v>
      </c>
      <c r="J89" s="86">
        <f t="shared" si="2"/>
        <v>4</v>
      </c>
      <c r="K89" s="45"/>
      <c r="L89" s="86"/>
      <c r="M89" s="86"/>
      <c r="N89" s="45"/>
      <c r="O89" s="44"/>
      <c r="P89" s="86"/>
      <c r="Q89" s="86"/>
      <c r="R89" s="86"/>
      <c r="S89" s="86"/>
      <c r="T89" s="86"/>
      <c r="U89" s="86"/>
      <c r="V89" s="86"/>
      <c r="X89" s="86"/>
      <c r="Z89" s="86"/>
      <c r="AA89" s="86"/>
      <c r="AB89" s="86"/>
      <c r="AC89" s="86"/>
      <c r="AD89" s="86"/>
      <c r="AE89" s="86"/>
      <c r="AF89" s="86"/>
      <c r="AG89" s="86"/>
      <c r="AH89" s="86"/>
      <c r="AI89" s="86"/>
      <c r="AJ89" s="86"/>
      <c r="AK89" s="86"/>
      <c r="AL89" s="86"/>
      <c r="AM89" s="86"/>
      <c r="AN89" s="86"/>
      <c r="AO89" s="86"/>
      <c r="AP89" s="86"/>
      <c r="AQ89" s="86"/>
      <c r="AR89" s="86"/>
      <c r="AS89" s="86"/>
      <c r="AT89" s="86" t="s">
        <v>437</v>
      </c>
      <c r="AV89" s="86"/>
    </row>
    <row r="90" spans="1:48" ht="14.45">
      <c r="A90" s="6" t="s">
        <v>544</v>
      </c>
      <c r="B90" s="6"/>
      <c r="C90" s="6" t="s">
        <v>442</v>
      </c>
      <c r="D90" s="36" t="s">
        <v>435</v>
      </c>
      <c r="E90" s="6" t="s">
        <v>94</v>
      </c>
      <c r="F90" s="14">
        <v>6</v>
      </c>
      <c r="G90" s="14">
        <v>5</v>
      </c>
      <c r="H90" s="14">
        <v>0</v>
      </c>
      <c r="I90" s="14">
        <v>41</v>
      </c>
      <c r="J90" s="86">
        <f t="shared" si="2"/>
        <v>4</v>
      </c>
      <c r="K90" s="45"/>
      <c r="L90" s="86"/>
      <c r="M90" s="86"/>
      <c r="N90" s="45"/>
      <c r="O90" s="44"/>
      <c r="P90" s="86"/>
      <c r="Q90" s="86"/>
      <c r="R90" s="86"/>
      <c r="S90" s="86"/>
      <c r="T90" s="86"/>
      <c r="U90" s="86"/>
      <c r="V90" s="86"/>
      <c r="X90" s="86"/>
      <c r="Z90" s="86"/>
      <c r="AA90" s="86"/>
      <c r="AB90" s="86"/>
      <c r="AC90" s="86"/>
      <c r="AD90" s="86"/>
      <c r="AE90" s="86"/>
      <c r="AF90" s="86"/>
      <c r="AG90" s="86"/>
      <c r="AH90" s="86"/>
      <c r="AI90" s="86"/>
      <c r="AJ90" s="86"/>
      <c r="AK90" s="86"/>
      <c r="AL90" s="86"/>
      <c r="AM90" s="86"/>
      <c r="AN90" s="86"/>
      <c r="AO90" s="86"/>
      <c r="AP90" s="86"/>
      <c r="AQ90" s="86"/>
      <c r="AR90" s="86"/>
      <c r="AS90" s="86"/>
      <c r="AT90" s="86" t="s">
        <v>437</v>
      </c>
      <c r="AV90" s="86"/>
    </row>
    <row r="91" spans="1:48" ht="14.45">
      <c r="A91" s="6" t="s">
        <v>545</v>
      </c>
      <c r="B91" s="6"/>
      <c r="C91" s="6"/>
      <c r="D91" s="36" t="s">
        <v>435</v>
      </c>
      <c r="E91" s="6" t="s">
        <v>98</v>
      </c>
      <c r="F91" s="14">
        <v>2</v>
      </c>
      <c r="G91" s="14">
        <v>2</v>
      </c>
      <c r="H91" s="14">
        <v>0</v>
      </c>
      <c r="I91" s="14">
        <v>31</v>
      </c>
      <c r="J91" s="86">
        <f t="shared" si="2"/>
        <v>4</v>
      </c>
      <c r="K91" s="45"/>
      <c r="L91" s="86"/>
      <c r="M91" s="86"/>
      <c r="N91" s="45"/>
      <c r="O91" s="44"/>
      <c r="P91" s="86"/>
      <c r="Q91" s="86"/>
      <c r="R91" s="86"/>
      <c r="S91" s="86"/>
      <c r="T91" s="86"/>
      <c r="U91" s="86"/>
      <c r="V91" s="86"/>
      <c r="X91" s="86"/>
      <c r="Z91" s="86"/>
      <c r="AA91" s="86"/>
      <c r="AB91" s="86"/>
      <c r="AC91" s="86"/>
      <c r="AD91" s="86"/>
      <c r="AE91" s="86"/>
      <c r="AF91" s="86"/>
      <c r="AG91" s="86"/>
      <c r="AH91" s="86"/>
      <c r="AI91" s="86"/>
      <c r="AJ91" s="86"/>
      <c r="AK91" s="86"/>
      <c r="AL91" s="86"/>
      <c r="AM91" s="86"/>
      <c r="AN91" s="86"/>
      <c r="AO91" s="86"/>
      <c r="AP91" s="86"/>
      <c r="AQ91" s="86"/>
      <c r="AR91" s="86"/>
      <c r="AS91" s="86"/>
      <c r="AT91" s="86" t="s">
        <v>437</v>
      </c>
      <c r="AV91" s="86"/>
    </row>
    <row r="92" spans="1:48" s="6" customFormat="1" ht="13.5" customHeight="1">
      <c r="A92" s="6" t="s">
        <v>498</v>
      </c>
      <c r="D92" s="6" t="s">
        <v>499</v>
      </c>
      <c r="E92" s="6" t="str">
        <f>IF(F62&lt;&gt;"4TB","AVE 2TB (Avamar Virtual Edition)","AVE 4TB (Avamar Virtual Edition)")</f>
        <v>AVE 2TB (Avamar Virtual Edition)</v>
      </c>
      <c r="F92" s="14">
        <f>IF(F62&lt;&gt;"4TB",4,6)</f>
        <v>4</v>
      </c>
      <c r="G92" s="14">
        <f>IF(F62&lt;&gt;"4TB",16,36)</f>
        <v>16</v>
      </c>
      <c r="H92" s="14">
        <v>0</v>
      </c>
      <c r="I92" s="14">
        <v>150</v>
      </c>
      <c r="J92" s="86">
        <f t="shared" si="2"/>
        <v>16</v>
      </c>
      <c r="K92" s="14" t="s">
        <v>206</v>
      </c>
      <c r="L92" s="14"/>
      <c r="M92" s="14"/>
      <c r="N92" s="2"/>
      <c r="O92"/>
      <c r="P92" s="14"/>
      <c r="Q92" s="14"/>
      <c r="R92" s="14"/>
      <c r="S92" s="14"/>
      <c r="T92" s="14"/>
      <c r="U92" s="14"/>
      <c r="V92" s="14">
        <f>IF(F62&lt;&gt;"4TB",3000,6000)</f>
        <v>3000</v>
      </c>
      <c r="W92" s="14" t="s">
        <v>206</v>
      </c>
      <c r="X92" s="14"/>
      <c r="AT92" s="14"/>
      <c r="AV92" s="14"/>
    </row>
    <row r="93" spans="1:48" s="6" customFormat="1" ht="13.5" customHeight="1">
      <c r="A93" s="6" t="s">
        <v>501</v>
      </c>
      <c r="D93" s="6" t="s">
        <v>499</v>
      </c>
      <c r="E93" s="6" t="s">
        <v>502</v>
      </c>
      <c r="F93" s="14">
        <f>IF(F62&lt;&gt;"4TB",4,4)</f>
        <v>4</v>
      </c>
      <c r="G93" s="14">
        <f>IF(F62&lt;&gt;"4TB",4,4)</f>
        <v>4</v>
      </c>
      <c r="H93" s="14">
        <v>0</v>
      </c>
      <c r="I93" s="14">
        <v>21</v>
      </c>
      <c r="J93" s="86">
        <f t="shared" si="2"/>
        <v>4</v>
      </c>
      <c r="K93" s="14" t="s">
        <v>206</v>
      </c>
      <c r="L93" s="14"/>
      <c r="M93" s="14"/>
      <c r="N93" s="2"/>
      <c r="O93"/>
      <c r="P93" s="14"/>
      <c r="Q93" s="14"/>
      <c r="R93" s="14"/>
      <c r="S93" s="14"/>
      <c r="T93" s="14"/>
      <c r="U93" s="14"/>
      <c r="V93" s="14"/>
      <c r="W93" s="14"/>
      <c r="X93" s="14"/>
      <c r="AT93" s="14"/>
      <c r="AV93" s="14"/>
    </row>
    <row r="94" spans="1:48" s="6" customFormat="1" ht="13.5" customHeight="1">
      <c r="A94" s="6" t="s">
        <v>627</v>
      </c>
      <c r="D94" s="6" t="s">
        <v>499</v>
      </c>
      <c r="E94" s="6" t="s">
        <v>628</v>
      </c>
      <c r="F94" s="14">
        <f>IF(F62&lt;&gt;"4TB",0,4)</f>
        <v>0</v>
      </c>
      <c r="G94" s="14">
        <f>IF(F62&lt;&gt;"4TB",0,4)</f>
        <v>0</v>
      </c>
      <c r="H94" s="14">
        <v>0</v>
      </c>
      <c r="I94" s="14">
        <f>IF(F62&lt;&gt;"4TB",0,21)</f>
        <v>0</v>
      </c>
      <c r="J94" s="86">
        <f t="shared" si="2"/>
        <v>4</v>
      </c>
      <c r="K94" s="14" t="s">
        <v>206</v>
      </c>
      <c r="L94" s="14"/>
      <c r="M94" s="14"/>
      <c r="N94" s="2"/>
      <c r="O94"/>
      <c r="P94" s="14"/>
      <c r="Q94" s="14"/>
      <c r="R94" s="14"/>
      <c r="S94" s="14"/>
      <c r="T94" s="14"/>
      <c r="U94" s="14"/>
      <c r="V94" s="14"/>
      <c r="W94" s="14"/>
      <c r="X94" s="14"/>
      <c r="AT94" s="14"/>
      <c r="AV94" s="14"/>
    </row>
    <row r="95" spans="1:48" s="6" customFormat="1" ht="13.5" customHeight="1">
      <c r="A95" s="6" t="s">
        <v>503</v>
      </c>
      <c r="D95" s="6" t="s">
        <v>504</v>
      </c>
      <c r="E95" s="6" t="s">
        <v>138</v>
      </c>
      <c r="F95" s="14">
        <v>2</v>
      </c>
      <c r="G95" s="14">
        <v>4</v>
      </c>
      <c r="H95" s="14">
        <v>0</v>
      </c>
      <c r="I95" s="14">
        <v>200</v>
      </c>
      <c r="J95" s="14">
        <f>IF(G95&gt;=10,16, 4)</f>
        <v>4</v>
      </c>
      <c r="K95" s="14" t="s">
        <v>546</v>
      </c>
      <c r="L95" s="86"/>
      <c r="M95" s="86"/>
      <c r="N95" s="86"/>
      <c r="O95" s="86"/>
      <c r="P95" s="86"/>
      <c r="Q95" s="86"/>
      <c r="R95" s="86"/>
      <c r="S95" s="86"/>
      <c r="T95" s="86"/>
      <c r="U95" s="86"/>
      <c r="V95" s="14"/>
      <c r="W95" s="14"/>
      <c r="X95" s="14"/>
      <c r="AJ95" s="14"/>
      <c r="AK95" s="14"/>
      <c r="AL95" s="14"/>
      <c r="AN95" s="14"/>
      <c r="AT95" s="14" t="s">
        <v>437</v>
      </c>
      <c r="AU95" s="14"/>
      <c r="AV95" s="14"/>
    </row>
    <row r="96" spans="1:48" s="6" customFormat="1" ht="13.5" customHeight="1">
      <c r="A96" s="154" t="s">
        <v>505</v>
      </c>
      <c r="B96" s="19"/>
      <c r="C96" s="19"/>
      <c r="D96" s="19" t="s">
        <v>504</v>
      </c>
      <c r="E96" s="19" t="s">
        <v>140</v>
      </c>
      <c r="F96" s="17">
        <v>12</v>
      </c>
      <c r="G96" s="17">
        <v>24</v>
      </c>
      <c r="H96" s="17">
        <v>0</v>
      </c>
      <c r="I96" s="17">
        <v>900</v>
      </c>
      <c r="J96" s="17">
        <v>24</v>
      </c>
      <c r="K96" s="17" t="s">
        <v>547</v>
      </c>
      <c r="L96" s="39"/>
      <c r="M96" s="39"/>
      <c r="N96" s="39"/>
      <c r="O96" s="39"/>
      <c r="P96" s="39"/>
      <c r="Q96" s="39"/>
      <c r="R96" s="39"/>
      <c r="S96" s="39"/>
      <c r="T96" s="19"/>
      <c r="U96" s="39"/>
      <c r="V96" s="39">
        <v>8300</v>
      </c>
      <c r="W96" s="17" t="s">
        <v>548</v>
      </c>
      <c r="X96" s="17"/>
      <c r="Y96" s="19"/>
      <c r="Z96" s="19"/>
      <c r="AA96" s="19"/>
      <c r="AB96" s="19"/>
      <c r="AC96" s="19"/>
      <c r="AD96" s="19"/>
      <c r="AE96" s="19"/>
      <c r="AF96" s="19"/>
      <c r="AG96" s="19"/>
      <c r="AH96" s="19"/>
      <c r="AI96" s="19"/>
      <c r="AJ96" s="19"/>
      <c r="AK96" s="17"/>
      <c r="AL96" s="17"/>
      <c r="AM96" s="19"/>
      <c r="AN96" s="17"/>
      <c r="AO96" s="19"/>
      <c r="AP96" s="19"/>
      <c r="AQ96" s="19"/>
      <c r="AR96" s="19"/>
      <c r="AS96" s="19"/>
      <c r="AT96" s="17" t="s">
        <v>437</v>
      </c>
      <c r="AU96" s="17"/>
      <c r="AV96" s="17"/>
    </row>
    <row r="97" spans="1:48" s="6" customFormat="1" ht="13.5" customHeight="1">
      <c r="A97" s="6" t="s">
        <v>549</v>
      </c>
      <c r="C97" s="6" t="s">
        <v>442</v>
      </c>
      <c r="D97" s="6" t="s">
        <v>435</v>
      </c>
      <c r="E97" s="6" t="s">
        <v>110</v>
      </c>
      <c r="F97" s="14">
        <v>10</v>
      </c>
      <c r="G97" s="14">
        <v>32</v>
      </c>
      <c r="H97" s="14">
        <v>0</v>
      </c>
      <c r="I97" s="14">
        <v>71</v>
      </c>
      <c r="J97" s="86">
        <f t="shared" si="2"/>
        <v>16</v>
      </c>
      <c r="K97" s="14"/>
      <c r="L97" s="14"/>
      <c r="M97" s="14"/>
      <c r="N97" s="2"/>
      <c r="O97"/>
      <c r="P97" s="14"/>
      <c r="Q97" s="14"/>
      <c r="R97" s="14"/>
      <c r="S97" s="14"/>
      <c r="T97" s="14"/>
      <c r="U97" s="14"/>
      <c r="V97" s="14"/>
      <c r="W97" s="14"/>
      <c r="X97" s="14"/>
      <c r="AF97" s="14">
        <v>225</v>
      </c>
      <c r="AG97" s="86" t="s">
        <v>550</v>
      </c>
      <c r="AH97" s="86"/>
      <c r="AI97" s="86"/>
      <c r="AJ97" s="86"/>
      <c r="AK97" s="86"/>
      <c r="AL97" s="86"/>
      <c r="AM97" s="86"/>
      <c r="AN97" s="86"/>
      <c r="AO97" s="86"/>
      <c r="AT97" s="14" t="s">
        <v>437</v>
      </c>
      <c r="AV97" s="14"/>
    </row>
    <row r="98" spans="1:48" s="6" customFormat="1" ht="13.5" customHeight="1">
      <c r="A98" s="6" t="s">
        <v>551</v>
      </c>
      <c r="C98" s="6" t="s">
        <v>442</v>
      </c>
      <c r="D98" s="6" t="s">
        <v>435</v>
      </c>
      <c r="E98" s="6" t="s">
        <v>122</v>
      </c>
      <c r="F98" s="14">
        <v>2</v>
      </c>
      <c r="G98" s="14">
        <v>10</v>
      </c>
      <c r="H98" s="14">
        <v>0</v>
      </c>
      <c r="I98" s="14">
        <v>60</v>
      </c>
      <c r="J98" s="86">
        <f t="shared" si="2"/>
        <v>16</v>
      </c>
      <c r="K98" s="14"/>
      <c r="L98" s="14"/>
      <c r="M98" s="14"/>
      <c r="N98" s="2"/>
      <c r="O98"/>
      <c r="P98" s="14"/>
      <c r="Q98" s="14"/>
      <c r="R98" s="14"/>
      <c r="S98" s="14"/>
      <c r="T98" s="14"/>
      <c r="U98" s="14"/>
      <c r="V98" s="14"/>
      <c r="W98" s="14"/>
      <c r="X98" s="14"/>
      <c r="AF98" s="14"/>
      <c r="AG98" s="86"/>
      <c r="AH98" s="86"/>
      <c r="AI98" s="86"/>
      <c r="AJ98" s="86"/>
      <c r="AK98" s="86"/>
      <c r="AL98" s="86"/>
      <c r="AM98" s="86"/>
      <c r="AN98" s="86"/>
      <c r="AO98" s="86"/>
      <c r="AT98" s="14" t="s">
        <v>437</v>
      </c>
      <c r="AV98" s="14"/>
    </row>
    <row r="99" spans="1:48">
      <c r="F99" s="86">
        <f>SUM(F65:F98)+F50</f>
        <v>1137</v>
      </c>
      <c r="G99" s="86">
        <f>SUM(G65:G98)+G50</f>
        <v>1126</v>
      </c>
      <c r="H99" s="86">
        <f>SUM(H65:H98)+H50</f>
        <v>379.25</v>
      </c>
      <c r="I99" s="86">
        <f>SUM(I65:I98)+I50</f>
        <v>7784</v>
      </c>
      <c r="J99" s="86"/>
      <c r="K99" s="86"/>
      <c r="L99" s="86">
        <f>SUM(L65:L98)+N50</f>
        <v>2500</v>
      </c>
      <c r="M99" s="86"/>
      <c r="N99" s="86">
        <f>SUM(N65:N98)+N50</f>
        <v>2500</v>
      </c>
      <c r="O99" s="86"/>
      <c r="P99" s="86">
        <f>SUM(P65:P98)+P50</f>
        <v>3750</v>
      </c>
      <c r="Q99" s="86"/>
      <c r="R99" s="86">
        <f>SUM(R65:R98)+R50</f>
        <v>720</v>
      </c>
      <c r="S99" s="86"/>
      <c r="T99" s="86">
        <f>SUM(T65:T98)+T50</f>
        <v>300</v>
      </c>
      <c r="U99" s="86"/>
      <c r="V99" s="86">
        <f>SUM(V65:V98)+V50</f>
        <v>11300</v>
      </c>
      <c r="W99" s="86"/>
      <c r="X99" s="86">
        <f>SUM(X65:X98)+X50</f>
        <v>11915</v>
      </c>
      <c r="Z99" s="86">
        <f>SUM(Z65:Z98)+Z50</f>
        <v>200</v>
      </c>
      <c r="AB99" s="86">
        <f>SUM(AB65:AB98)+AB50</f>
        <v>50</v>
      </c>
      <c r="AD99" s="86">
        <f>SUM(AD65:AD98)+AD50</f>
        <v>170</v>
      </c>
      <c r="AF99" s="86">
        <f>SUM(AF65:AF98)+AF50</f>
        <v>225</v>
      </c>
      <c r="AH99" s="86">
        <f>SUM(AH65:AH98)+AH50</f>
        <v>200</v>
      </c>
      <c r="AJ99" s="86">
        <f>SUM(AJ65:AJ98)+AJ50</f>
        <v>405</v>
      </c>
      <c r="AL99" s="86">
        <f>SUM(AL65:AL98)+AL50</f>
        <v>0</v>
      </c>
      <c r="AN99" s="86">
        <f>SUM(AN65:AN98)+AN50</f>
        <v>0</v>
      </c>
      <c r="AP99" s="86">
        <f>SUM(AP65:AP98)+AP50</f>
        <v>3700</v>
      </c>
      <c r="AT99" s="14">
        <f>COUNTIF(AT65:AT98,"x")+AT50</f>
        <v>67</v>
      </c>
      <c r="AU99" s="14">
        <f>COUNTIF(AU65:AU98,"x")+AU50</f>
        <v>14</v>
      </c>
      <c r="AV99" s="14">
        <f>COUNTIF(AV65:AV98,"x")+AV50</f>
        <v>3</v>
      </c>
    </row>
    <row r="100" spans="1:48">
      <c r="F100" s="86"/>
      <c r="G100" s="86"/>
      <c r="H100" s="86"/>
      <c r="I100" s="86"/>
      <c r="J100" s="86"/>
      <c r="K100" s="86"/>
      <c r="L100" s="86"/>
      <c r="M100" s="86"/>
      <c r="N100" s="86"/>
      <c r="O100" s="86"/>
      <c r="P100" s="86"/>
      <c r="Q100" s="86"/>
      <c r="R100" s="86"/>
      <c r="S100" s="86"/>
      <c r="T100" s="86"/>
      <c r="U100" s="86"/>
      <c r="V100" s="86"/>
      <c r="W100" s="86"/>
      <c r="X100" s="86"/>
      <c r="Z100" s="86"/>
      <c r="AU100" s="86"/>
      <c r="AV100" s="86"/>
    </row>
    <row r="101" spans="1:48" ht="12.95">
      <c r="A101" s="16" t="s">
        <v>552</v>
      </c>
      <c r="F101" s="86"/>
      <c r="G101" s="86"/>
      <c r="H101" s="86"/>
      <c r="I101" s="86"/>
      <c r="J101" s="86"/>
      <c r="K101" s="86"/>
      <c r="L101" s="86"/>
      <c r="M101" s="86"/>
      <c r="N101" s="86"/>
      <c r="O101" s="86"/>
      <c r="P101" s="86"/>
      <c r="Q101" s="86"/>
      <c r="R101" s="86"/>
      <c r="S101" s="86"/>
      <c r="T101" s="86"/>
      <c r="U101" s="86"/>
      <c r="V101" s="86"/>
      <c r="W101" s="86"/>
      <c r="X101" s="86"/>
      <c r="Z101" s="86"/>
      <c r="AU101" s="86"/>
      <c r="AV101" s="86"/>
    </row>
    <row r="102" spans="1:48" s="6" customFormat="1" ht="13.5" customHeight="1">
      <c r="A102" s="6" t="s">
        <v>553</v>
      </c>
      <c r="C102" s="6" t="s">
        <v>554</v>
      </c>
      <c r="D102" s="6" t="s">
        <v>499</v>
      </c>
      <c r="E102" s="6" t="s">
        <v>555</v>
      </c>
      <c r="F102" s="14">
        <v>4</v>
      </c>
      <c r="G102" s="14">
        <v>4</v>
      </c>
      <c r="H102" s="14">
        <v>0</v>
      </c>
      <c r="I102" s="14">
        <v>25</v>
      </c>
      <c r="J102" s="86">
        <f>IF(G102&gt;=10,16, 4)</f>
        <v>4</v>
      </c>
      <c r="K102" s="86" t="s">
        <v>556</v>
      </c>
      <c r="N102" s="97"/>
      <c r="O102"/>
      <c r="P102" s="14"/>
      <c r="Q102" s="14"/>
      <c r="R102" s="14"/>
      <c r="S102" s="14"/>
      <c r="T102" s="14"/>
      <c r="U102" s="14"/>
      <c r="V102" s="129"/>
      <c r="W102" s="129"/>
      <c r="X102" s="14"/>
      <c r="AT102" s="14" t="s">
        <v>437</v>
      </c>
      <c r="AV102" s="14"/>
    </row>
    <row r="103" spans="1:48" s="19" customFormat="1" ht="13.5" customHeight="1">
      <c r="A103" s="19" t="s">
        <v>557</v>
      </c>
      <c r="C103" s="19" t="s">
        <v>554</v>
      </c>
      <c r="D103" s="19" t="s">
        <v>499</v>
      </c>
      <c r="E103" s="19" t="s">
        <v>558</v>
      </c>
      <c r="F103" s="17">
        <v>4</v>
      </c>
      <c r="G103" s="17">
        <v>4</v>
      </c>
      <c r="H103" s="17">
        <v>0</v>
      </c>
      <c r="I103" s="17">
        <v>25</v>
      </c>
      <c r="J103" s="17">
        <f>IF(G103&gt;=10,16, 4)</f>
        <v>4</v>
      </c>
      <c r="K103" s="39" t="s">
        <v>556</v>
      </c>
      <c r="V103" s="130"/>
      <c r="W103" s="130"/>
      <c r="AT103" s="17" t="s">
        <v>437</v>
      </c>
    </row>
    <row r="104" spans="1:48" s="6" customFormat="1">
      <c r="F104" s="14">
        <f>SUM(F102:F103)+F99</f>
        <v>1145</v>
      </c>
      <c r="G104" s="14">
        <f>SUM(G102:G103)+G99</f>
        <v>1134</v>
      </c>
      <c r="H104" s="14">
        <f>SUM(H102:H103)+H99</f>
        <v>379.25</v>
      </c>
      <c r="I104" s="14">
        <f>SUM(I102:I103)+I99</f>
        <v>7834</v>
      </c>
      <c r="J104" s="14"/>
      <c r="K104" s="14"/>
      <c r="L104" s="14">
        <f>SUM(L102:L103)+L99</f>
        <v>2500</v>
      </c>
      <c r="M104" s="14"/>
      <c r="N104" s="14">
        <f>SUM(N102:N103)+N99</f>
        <v>2500</v>
      </c>
      <c r="O104" s="14"/>
      <c r="P104" s="14">
        <f>SUM(P102:P103)+P99</f>
        <v>3750</v>
      </c>
      <c r="Q104" s="14"/>
      <c r="R104" s="14">
        <f>SUM(R102:R103)+R99</f>
        <v>720</v>
      </c>
      <c r="S104" s="14"/>
      <c r="T104" s="14">
        <f>SUM(T102:T103)+T99</f>
        <v>300</v>
      </c>
      <c r="U104" s="14"/>
      <c r="V104" s="14">
        <f>SUM(V102:V103)+V99</f>
        <v>11300</v>
      </c>
      <c r="W104" s="14"/>
      <c r="X104" s="14">
        <f>SUM(X102:X103)+X99</f>
        <v>11915</v>
      </c>
      <c r="Z104" s="14">
        <f>SUM(Z102:Z103)+Z99</f>
        <v>200</v>
      </c>
      <c r="AB104" s="14">
        <f>SUM(AB102:AB103)+AB99</f>
        <v>50</v>
      </c>
      <c r="AD104" s="14">
        <f>SUM(AD102:AD103)+AD99</f>
        <v>170</v>
      </c>
      <c r="AF104" s="14">
        <f>SUM(AF102:AF103)+AF99</f>
        <v>225</v>
      </c>
      <c r="AH104" s="14">
        <f>SUM(AH102:AH103)+AH99</f>
        <v>200</v>
      </c>
      <c r="AJ104" s="14">
        <f>SUM(AJ102:AJ103)+AJ99</f>
        <v>405</v>
      </c>
      <c r="AL104" s="14">
        <f>SUM(AL102:AL103)+AL99</f>
        <v>0</v>
      </c>
      <c r="AN104" s="14">
        <f>SUM(AN102:AN103)+AN99</f>
        <v>0</v>
      </c>
      <c r="AP104" s="14">
        <f>SUM(AP102:AP103)+AP99</f>
        <v>3700</v>
      </c>
      <c r="AT104" s="14">
        <f>COUNTIF(AT102:AT103,"x")+AT99</f>
        <v>69</v>
      </c>
      <c r="AU104" s="14">
        <f>COUNTIF(AU102:AU103,"x")+AU99</f>
        <v>14</v>
      </c>
      <c r="AV104" s="14">
        <f>COUNTIF(AV102:AV103,"x")+AV99</f>
        <v>3</v>
      </c>
    </row>
    <row r="106" spans="1:48" ht="12.95">
      <c r="A106" s="16" t="s">
        <v>559</v>
      </c>
    </row>
    <row r="107" spans="1:48">
      <c r="A107" s="6" t="s">
        <v>560</v>
      </c>
      <c r="B107" s="6"/>
      <c r="C107" s="6" t="s">
        <v>561</v>
      </c>
      <c r="D107" s="6" t="s">
        <v>562</v>
      </c>
      <c r="E107" s="6" t="s">
        <v>42</v>
      </c>
      <c r="F107" s="14">
        <v>2</v>
      </c>
      <c r="G107" s="14">
        <v>4</v>
      </c>
      <c r="H107" s="14">
        <v>4</v>
      </c>
      <c r="I107" s="14">
        <v>350</v>
      </c>
      <c r="J107" s="86">
        <f t="shared" ref="J107:J116" si="3">IF(G107&gt;=10,16, 4)</f>
        <v>4</v>
      </c>
      <c r="K107" s="86" t="s">
        <v>563</v>
      </c>
      <c r="L107" s="86"/>
      <c r="M107" s="86"/>
      <c r="N107" s="86"/>
      <c r="O107" s="86"/>
      <c r="P107" s="86"/>
      <c r="Q107" s="86"/>
      <c r="R107" s="86"/>
      <c r="S107" s="86"/>
      <c r="T107" s="86"/>
      <c r="U107" s="86"/>
      <c r="V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t="s">
        <v>437</v>
      </c>
      <c r="AU107" s="86"/>
      <c r="AV107" s="86"/>
    </row>
    <row r="108" spans="1:48">
      <c r="A108" s="6" t="s">
        <v>565</v>
      </c>
      <c r="B108" s="6"/>
      <c r="C108" s="6" t="s">
        <v>561</v>
      </c>
      <c r="D108" s="6" t="s">
        <v>562</v>
      </c>
      <c r="E108" s="6" t="s">
        <v>566</v>
      </c>
      <c r="F108" s="14">
        <v>6</v>
      </c>
      <c r="G108" s="14">
        <v>10</v>
      </c>
      <c r="H108" s="14">
        <v>10</v>
      </c>
      <c r="I108" s="14">
        <v>100</v>
      </c>
      <c r="J108" s="86">
        <f t="shared" si="3"/>
        <v>16</v>
      </c>
      <c r="K108" s="86" t="s">
        <v>563</v>
      </c>
      <c r="L108" s="86"/>
      <c r="M108" s="86"/>
      <c r="N108" s="86">
        <v>200</v>
      </c>
      <c r="O108" s="86" t="s">
        <v>564</v>
      </c>
      <c r="P108" s="86"/>
      <c r="Q108" s="86"/>
      <c r="R108" s="86"/>
      <c r="S108" s="86"/>
      <c r="T108" s="86"/>
      <c r="U108" s="86"/>
      <c r="V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t="s">
        <v>437</v>
      </c>
      <c r="AU108" s="86"/>
      <c r="AV108" s="86"/>
    </row>
    <row r="109" spans="1:48">
      <c r="A109" s="6" t="s">
        <v>567</v>
      </c>
      <c r="B109" s="6"/>
      <c r="C109" s="6" t="s">
        <v>561</v>
      </c>
      <c r="D109" s="6" t="s">
        <v>562</v>
      </c>
      <c r="E109" s="6" t="s">
        <v>568</v>
      </c>
      <c r="F109" s="14">
        <v>8</v>
      </c>
      <c r="G109" s="14">
        <v>16</v>
      </c>
      <c r="H109" s="14">
        <v>16</v>
      </c>
      <c r="I109" s="14">
        <v>60</v>
      </c>
      <c r="J109" s="86">
        <f t="shared" si="3"/>
        <v>16</v>
      </c>
      <c r="K109" s="86" t="s">
        <v>569</v>
      </c>
      <c r="L109" s="86"/>
      <c r="M109" s="86"/>
      <c r="N109" s="86"/>
      <c r="O109" s="86"/>
      <c r="P109" s="86"/>
      <c r="Q109" s="86"/>
      <c r="R109" s="86"/>
      <c r="S109" s="86"/>
      <c r="T109" s="86"/>
      <c r="U109" s="86"/>
      <c r="V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t="s">
        <v>437</v>
      </c>
      <c r="AU109" s="14" t="s">
        <v>437</v>
      </c>
      <c r="AV109" s="86"/>
    </row>
    <row r="110" spans="1:48">
      <c r="A110" s="6" t="s">
        <v>570</v>
      </c>
      <c r="B110" s="6"/>
      <c r="C110" s="6" t="s">
        <v>561</v>
      </c>
      <c r="D110" s="6" t="s">
        <v>562</v>
      </c>
      <c r="E110" s="6" t="s">
        <v>571</v>
      </c>
      <c r="F110" s="14">
        <v>10</v>
      </c>
      <c r="G110" s="14">
        <v>10</v>
      </c>
      <c r="H110" s="14">
        <v>10</v>
      </c>
      <c r="I110" s="14">
        <v>40</v>
      </c>
      <c r="J110" s="86">
        <f t="shared" si="3"/>
        <v>16</v>
      </c>
      <c r="K110" s="86" t="s">
        <v>569</v>
      </c>
      <c r="L110" s="86"/>
      <c r="M110" s="86"/>
      <c r="N110" s="86"/>
      <c r="O110" s="86"/>
      <c r="P110" s="86"/>
      <c r="Q110" s="86"/>
      <c r="R110" s="86"/>
      <c r="S110" s="86"/>
      <c r="T110" s="86"/>
      <c r="U110" s="86"/>
      <c r="V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t="s">
        <v>437</v>
      </c>
      <c r="AU110" s="14" t="s">
        <v>437</v>
      </c>
      <c r="AV110" s="86"/>
    </row>
    <row r="111" spans="1:48">
      <c r="A111" s="6" t="s">
        <v>572</v>
      </c>
      <c r="B111" s="6"/>
      <c r="C111" s="6" t="s">
        <v>561</v>
      </c>
      <c r="D111" s="6" t="s">
        <v>562</v>
      </c>
      <c r="E111" s="6" t="s">
        <v>573</v>
      </c>
      <c r="F111" s="14">
        <v>4</v>
      </c>
      <c r="G111" s="14">
        <v>16</v>
      </c>
      <c r="H111" s="14">
        <v>0</v>
      </c>
      <c r="I111" s="14">
        <v>550</v>
      </c>
      <c r="J111" s="86">
        <f t="shared" si="3"/>
        <v>16</v>
      </c>
      <c r="K111" s="86" t="s">
        <v>574</v>
      </c>
      <c r="L111" s="86"/>
      <c r="M111" s="86"/>
      <c r="N111" s="86"/>
      <c r="O111" s="86"/>
      <c r="P111" s="86"/>
      <c r="Q111" s="86"/>
      <c r="R111" s="86"/>
      <c r="S111" s="86"/>
      <c r="T111" s="86"/>
      <c r="U111" s="86"/>
      <c r="V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t="s">
        <v>437</v>
      </c>
      <c r="AU111" s="14" t="s">
        <v>437</v>
      </c>
      <c r="AV111" s="86"/>
    </row>
    <row r="112" spans="1:48">
      <c r="A112" s="6" t="s">
        <v>576</v>
      </c>
      <c r="B112" s="6"/>
      <c r="C112" s="6" t="s">
        <v>561</v>
      </c>
      <c r="D112" s="6" t="s">
        <v>562</v>
      </c>
      <c r="E112" s="6" t="s">
        <v>577</v>
      </c>
      <c r="F112" s="14">
        <v>2</v>
      </c>
      <c r="G112" s="14">
        <v>4</v>
      </c>
      <c r="H112" s="14">
        <v>4</v>
      </c>
      <c r="I112" s="14">
        <v>40</v>
      </c>
      <c r="J112" s="86">
        <f t="shared" si="3"/>
        <v>4</v>
      </c>
      <c r="K112" s="86" t="s">
        <v>569</v>
      </c>
      <c r="L112" s="86"/>
      <c r="M112" s="86"/>
      <c r="N112" s="86"/>
      <c r="O112" s="86"/>
      <c r="P112" s="86"/>
      <c r="Q112" s="86"/>
      <c r="R112" s="86">
        <v>50</v>
      </c>
      <c r="S112" s="86" t="s">
        <v>575</v>
      </c>
      <c r="T112" s="86"/>
      <c r="U112" s="86"/>
      <c r="V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t="s">
        <v>437</v>
      </c>
      <c r="AU112" s="86"/>
      <c r="AV112" s="86"/>
    </row>
    <row r="113" spans="1:48">
      <c r="A113" s="36" t="s">
        <v>578</v>
      </c>
      <c r="C113" s="6" t="s">
        <v>579</v>
      </c>
      <c r="D113" s="36" t="s">
        <v>562</v>
      </c>
      <c r="E113" s="6" t="s">
        <v>86</v>
      </c>
      <c r="F113" s="86">
        <v>8</v>
      </c>
      <c r="G113" s="86">
        <v>32</v>
      </c>
      <c r="H113" s="14">
        <v>0</v>
      </c>
      <c r="I113" s="86">
        <v>80</v>
      </c>
      <c r="J113" s="86">
        <f t="shared" si="3"/>
        <v>16</v>
      </c>
      <c r="K113" s="86" t="s">
        <v>580</v>
      </c>
      <c r="L113" s="86"/>
      <c r="M113" s="86"/>
      <c r="N113" s="86"/>
      <c r="O113" s="86"/>
      <c r="P113" s="86"/>
      <c r="Q113" s="86"/>
      <c r="R113" s="86"/>
      <c r="S113" s="86"/>
      <c r="T113" s="86"/>
      <c r="U113" s="86"/>
      <c r="V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t="s">
        <v>437</v>
      </c>
      <c r="AU113" s="86"/>
      <c r="AV113" s="86"/>
    </row>
    <row r="114" spans="1:48">
      <c r="A114" s="36" t="s">
        <v>581</v>
      </c>
      <c r="C114" s="6" t="s">
        <v>579</v>
      </c>
      <c r="D114" s="36" t="s">
        <v>562</v>
      </c>
      <c r="E114" s="6" t="s">
        <v>86</v>
      </c>
      <c r="F114" s="86">
        <v>8</v>
      </c>
      <c r="G114" s="86">
        <v>32</v>
      </c>
      <c r="H114" s="14">
        <v>0</v>
      </c>
      <c r="I114" s="86">
        <v>80</v>
      </c>
      <c r="J114" s="86">
        <f t="shared" si="3"/>
        <v>16</v>
      </c>
      <c r="K114" s="86" t="s">
        <v>580</v>
      </c>
      <c r="L114" s="86"/>
      <c r="M114" s="86"/>
      <c r="N114" s="86"/>
      <c r="O114" s="86"/>
      <c r="P114" s="86"/>
      <c r="Q114" s="86"/>
      <c r="R114" s="86"/>
      <c r="S114" s="86"/>
      <c r="T114" s="86"/>
      <c r="U114" s="86"/>
      <c r="V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t="s">
        <v>437</v>
      </c>
      <c r="AU114" s="86"/>
      <c r="AV114" s="86"/>
    </row>
    <row r="115" spans="1:48" s="6" customFormat="1">
      <c r="A115" s="6" t="s">
        <v>582</v>
      </c>
      <c r="C115" s="6" t="s">
        <v>583</v>
      </c>
      <c r="D115" s="6" t="s">
        <v>584</v>
      </c>
      <c r="E115" s="6" t="s">
        <v>585</v>
      </c>
      <c r="F115" s="14">
        <v>4</v>
      </c>
      <c r="G115" s="14">
        <v>8</v>
      </c>
      <c r="H115" s="14">
        <v>0</v>
      </c>
      <c r="I115" s="14">
        <v>30</v>
      </c>
      <c r="J115" s="86">
        <f t="shared" si="3"/>
        <v>4</v>
      </c>
      <c r="K115" s="86" t="s">
        <v>586</v>
      </c>
      <c r="L115" s="86"/>
      <c r="M115" s="86"/>
      <c r="N115" s="86"/>
      <c r="O115" s="86"/>
      <c r="P115" s="86"/>
      <c r="Q115" s="86"/>
      <c r="R115" s="86"/>
      <c r="S115" s="86"/>
      <c r="T115" s="86"/>
      <c r="U115" s="86"/>
      <c r="V115" s="14"/>
      <c r="W115" s="14"/>
      <c r="X115" s="14"/>
      <c r="AT115" s="14" t="s">
        <v>437</v>
      </c>
      <c r="AU115" s="14"/>
      <c r="AV115" s="14"/>
    </row>
    <row r="116" spans="1:48" s="6" customFormat="1">
      <c r="A116" s="6" t="s">
        <v>587</v>
      </c>
      <c r="C116" s="6" t="s">
        <v>588</v>
      </c>
      <c r="D116" s="6" t="s">
        <v>435</v>
      </c>
      <c r="E116" s="6" t="s">
        <v>106</v>
      </c>
      <c r="F116" s="14">
        <v>8</v>
      </c>
      <c r="G116" s="14">
        <v>6</v>
      </c>
      <c r="H116" s="14">
        <v>0</v>
      </c>
      <c r="I116" s="14">
        <v>70</v>
      </c>
      <c r="J116" s="86">
        <f t="shared" si="3"/>
        <v>4</v>
      </c>
      <c r="K116" s="86" t="s">
        <v>589</v>
      </c>
      <c r="L116" s="86"/>
      <c r="M116" s="86"/>
      <c r="N116" s="86"/>
      <c r="O116" s="86"/>
      <c r="P116" s="86"/>
      <c r="Q116" s="86"/>
      <c r="R116" s="86"/>
      <c r="S116" s="86"/>
      <c r="T116" s="86"/>
      <c r="U116" s="86"/>
      <c r="V116" s="14"/>
      <c r="W116" s="14"/>
      <c r="X116" s="14"/>
      <c r="AT116" s="14" t="s">
        <v>437</v>
      </c>
      <c r="AU116" s="14"/>
      <c r="AV116" s="14"/>
    </row>
    <row r="117" spans="1:48" s="40" customFormat="1">
      <c r="F117" s="41">
        <f>SUM(F107:F116)+F104</f>
        <v>1205</v>
      </c>
      <c r="G117" s="41">
        <f>SUM(G107:G116)+G104</f>
        <v>1272</v>
      </c>
      <c r="H117" s="41">
        <f>SUM(H107:H116)+H104</f>
        <v>423.25</v>
      </c>
      <c r="I117" s="41">
        <f>SUM(I107:I116)+I104</f>
        <v>9234</v>
      </c>
      <c r="J117" s="41"/>
      <c r="K117" s="41"/>
      <c r="L117" s="41">
        <f>SUM(L107:L116)+L104</f>
        <v>2500</v>
      </c>
      <c r="M117" s="41"/>
      <c r="N117" s="41">
        <f>SUM(N107:N116)+N104</f>
        <v>2700</v>
      </c>
      <c r="O117" s="41"/>
      <c r="P117" s="41">
        <f>SUM(P107:P116)+P104</f>
        <v>3750</v>
      </c>
      <c r="Q117" s="41"/>
      <c r="R117" s="41">
        <f>SUM(R107:R116)+R104</f>
        <v>770</v>
      </c>
      <c r="S117" s="41"/>
      <c r="T117" s="41">
        <f>SUM(T107:T116)+T104</f>
        <v>300</v>
      </c>
      <c r="U117" s="41"/>
      <c r="V117" s="41">
        <f>SUM(V107:V116)+V104</f>
        <v>11300</v>
      </c>
      <c r="W117" s="41"/>
      <c r="X117" s="41">
        <f>SUM(X107:X116)+X104</f>
        <v>11915</v>
      </c>
      <c r="Y117" s="41"/>
      <c r="Z117" s="41">
        <f>SUM(Z107:Z116)+Z104</f>
        <v>200</v>
      </c>
      <c r="AA117" s="41"/>
      <c r="AB117" s="41">
        <f>SUM(AB107:AB116)+AB104</f>
        <v>50</v>
      </c>
      <c r="AC117" s="41"/>
      <c r="AD117" s="41">
        <f>SUM(AD107:AD116)+AD104</f>
        <v>170</v>
      </c>
      <c r="AE117" s="41"/>
      <c r="AF117" s="41">
        <f>SUM(AF107:AF116)+AF104</f>
        <v>225</v>
      </c>
      <c r="AG117" s="41"/>
      <c r="AH117" s="41">
        <f>SUM(AH107:AH116)+AH104</f>
        <v>200</v>
      </c>
      <c r="AI117" s="41"/>
      <c r="AJ117" s="41">
        <f>SUM(AJ107:AJ116)+AJ104</f>
        <v>405</v>
      </c>
      <c r="AK117" s="41"/>
      <c r="AL117" s="41">
        <f>SUM(AL107:AL116)+AL104</f>
        <v>0</v>
      </c>
      <c r="AM117" s="41"/>
      <c r="AN117" s="41">
        <f>SUM(AN107:AN116)+AN104</f>
        <v>0</v>
      </c>
      <c r="AO117" s="41"/>
      <c r="AP117" s="41">
        <f>SUM(AP107:AP116)+AP104</f>
        <v>3700</v>
      </c>
      <c r="AQ117" s="41"/>
      <c r="AR117" s="41"/>
      <c r="AS117" s="41"/>
      <c r="AT117" s="14">
        <f>COUNTIF(AT107:AT116,"x")+AT104</f>
        <v>79</v>
      </c>
      <c r="AU117" s="14">
        <f>COUNTIF(AU107:AU116,"x")+AU104</f>
        <v>17</v>
      </c>
      <c r="AV117" s="14">
        <f>COUNTIF(AV107:AV116,"x")+AV104</f>
        <v>3</v>
      </c>
    </row>
    <row r="120" spans="1:48" ht="14.45">
      <c r="A120" s="181" t="s">
        <v>423</v>
      </c>
      <c r="B120" s="191"/>
      <c r="C120" s="191"/>
    </row>
    <row r="121" spans="1:48" ht="12.95">
      <c r="A121" s="124" t="s">
        <v>508</v>
      </c>
      <c r="B121" s="124" t="s">
        <v>509</v>
      </c>
      <c r="C121" s="124" t="s">
        <v>510</v>
      </c>
      <c r="D121" s="10"/>
      <c r="E121" s="10"/>
    </row>
    <row r="122" spans="1:48">
      <c r="A122" s="93" t="s">
        <v>528</v>
      </c>
      <c r="B122" s="91" cm="1">
        <f t="array" ref="B122">SUM(IF(K8:K116=A122,I8:K116,""))</f>
        <v>1144</v>
      </c>
      <c r="C122" s="92">
        <v>1250</v>
      </c>
      <c r="D122" s="6"/>
      <c r="E122" s="6"/>
    </row>
    <row r="123" spans="1:48">
      <c r="A123" s="93" t="s">
        <v>529</v>
      </c>
      <c r="B123" s="91" cm="1">
        <f t="array" ref="B123">SUM(IF(K8:K116=A123,I8:J116,""),AD23)</f>
        <v>1327</v>
      </c>
      <c r="C123" s="92">
        <v>1450</v>
      </c>
    </row>
    <row r="124" spans="1:48">
      <c r="A124" s="93" t="s">
        <v>531</v>
      </c>
      <c r="B124" s="91" cm="1">
        <f t="array" ref="B124">SUM(IF(K8:K116=A124,I8:J116,""),AB19,AD24)</f>
        <v>1243</v>
      </c>
      <c r="C124" s="92">
        <v>1450</v>
      </c>
      <c r="E124" s="6"/>
    </row>
    <row r="125" spans="1:48">
      <c r="A125" s="93" t="s">
        <v>590</v>
      </c>
      <c r="B125" s="92">
        <v>10</v>
      </c>
      <c r="C125" s="92" t="s">
        <v>651</v>
      </c>
    </row>
    <row r="126" spans="1:48">
      <c r="A126" s="93" t="s">
        <v>591</v>
      </c>
      <c r="B126" s="92">
        <v>10</v>
      </c>
      <c r="C126" s="92" t="s">
        <v>651</v>
      </c>
    </row>
    <row r="127" spans="1:48">
      <c r="A127" s="93" t="s">
        <v>592</v>
      </c>
      <c r="B127" s="92">
        <v>10</v>
      </c>
      <c r="C127" s="92" t="s">
        <v>651</v>
      </c>
    </row>
    <row r="128" spans="1:48">
      <c r="A128" s="93" t="s">
        <v>593</v>
      </c>
      <c r="B128" s="92">
        <v>10</v>
      </c>
      <c r="C128" s="92" t="s">
        <v>651</v>
      </c>
    </row>
    <row r="129" spans="1:5">
      <c r="A129" s="93" t="s">
        <v>594</v>
      </c>
      <c r="B129" s="92">
        <v>10</v>
      </c>
      <c r="C129" s="92" t="s">
        <v>651</v>
      </c>
    </row>
    <row r="130" spans="1:5">
      <c r="A130" s="93" t="s">
        <v>630</v>
      </c>
      <c r="B130" s="92">
        <v>10</v>
      </c>
      <c r="C130" s="92" t="s">
        <v>651</v>
      </c>
    </row>
    <row r="131" spans="1:5">
      <c r="A131" s="93" t="s">
        <v>652</v>
      </c>
      <c r="B131" s="92">
        <v>10</v>
      </c>
      <c r="C131" s="92" t="s">
        <v>651</v>
      </c>
    </row>
    <row r="132" spans="1:5">
      <c r="A132" s="93" t="s">
        <v>512</v>
      </c>
      <c r="B132" s="92">
        <v>116.99</v>
      </c>
      <c r="C132" s="92">
        <f>L11</f>
        <v>130</v>
      </c>
    </row>
    <row r="133" spans="1:5">
      <c r="A133" s="93" t="s">
        <v>513</v>
      </c>
      <c r="B133" s="106">
        <f>C133*0.9</f>
        <v>2250</v>
      </c>
      <c r="C133" s="106">
        <f>N11</f>
        <v>2500</v>
      </c>
    </row>
    <row r="134" spans="1:5">
      <c r="A134" s="93" t="s">
        <v>514</v>
      </c>
      <c r="B134" s="106">
        <f>C134*0.9</f>
        <v>3375</v>
      </c>
      <c r="C134" s="106">
        <f>P11</f>
        <v>3750</v>
      </c>
    </row>
    <row r="135" spans="1:5">
      <c r="A135" s="93" t="s">
        <v>217</v>
      </c>
      <c r="B135" s="92">
        <f>459+90</f>
        <v>549</v>
      </c>
      <c r="C135" s="92">
        <v>600</v>
      </c>
    </row>
    <row r="136" spans="1:5">
      <c r="A136" s="93" t="s">
        <v>222</v>
      </c>
      <c r="B136" s="92">
        <v>270</v>
      </c>
      <c r="C136" s="92">
        <v>300</v>
      </c>
    </row>
    <row r="137" spans="1:5">
      <c r="A137" s="93" t="s">
        <v>515</v>
      </c>
      <c r="B137" s="92">
        <v>180</v>
      </c>
      <c r="C137" s="92">
        <v>300</v>
      </c>
    </row>
    <row r="138" spans="1:5">
      <c r="A138" s="93" t="s">
        <v>474</v>
      </c>
      <c r="B138" s="92">
        <v>510</v>
      </c>
      <c r="C138" s="92">
        <v>700</v>
      </c>
    </row>
    <row r="139" spans="1:5">
      <c r="A139" s="93" t="str">
        <f>IF(F62&lt;&gt;"4TB","Backup (DB, NFS, and AVE 2TB)","Backup (DB, NFS, and AVE 4TB)")</f>
        <v>Backup (DB, NFS, and AVE 2TB)</v>
      </c>
      <c r="B139" s="106">
        <f>X11*0.9+X12*0.9+SUM(I92:J94) + V92</f>
        <v>13432.5</v>
      </c>
      <c r="C139" s="106">
        <f>VLOOKUP(N11,B154:I156,7,FALSE)+IF(F62&lt;&gt;"4TB",0,3000)</f>
        <v>15360</v>
      </c>
    </row>
    <row r="140" spans="1:5">
      <c r="A140" s="93" t="s">
        <v>595</v>
      </c>
      <c r="B140" s="106">
        <f>X11*0.9+X12*0.9</f>
        <v>10237.5</v>
      </c>
      <c r="C140" s="106">
        <f>VLOOKUP(N11,B154:I156,7,FALSE)-3000</f>
        <v>12360</v>
      </c>
    </row>
    <row r="141" spans="1:5">
      <c r="A141" s="94" t="s">
        <v>596</v>
      </c>
      <c r="B141" s="91">
        <v>3072</v>
      </c>
      <c r="C141" s="91">
        <v>3700</v>
      </c>
      <c r="E141" s="14"/>
    </row>
    <row r="142" spans="1:5">
      <c r="A142" s="93" t="s">
        <v>526</v>
      </c>
      <c r="B142" s="106">
        <f>SUM(I8:J9)</f>
        <v>992</v>
      </c>
      <c r="C142" s="106">
        <f>IF(E9="vCSA8.0",1100,900)</f>
        <v>1100</v>
      </c>
    </row>
    <row r="143" spans="1:5">
      <c r="A143" s="93" t="s">
        <v>550</v>
      </c>
      <c r="B143" s="92">
        <v>200</v>
      </c>
      <c r="C143" s="92">
        <v>225</v>
      </c>
      <c r="D143" s="6"/>
    </row>
    <row r="144" spans="1:5">
      <c r="A144" s="111" t="s">
        <v>556</v>
      </c>
      <c r="B144" s="92">
        <v>58</v>
      </c>
      <c r="C144" s="92">
        <v>100</v>
      </c>
      <c r="D144" s="6"/>
    </row>
    <row r="145" spans="1:48">
      <c r="A145" s="111" t="s">
        <v>597</v>
      </c>
      <c r="B145" s="92">
        <v>900</v>
      </c>
      <c r="C145" s="92">
        <v>1050</v>
      </c>
      <c r="D145" s="14"/>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14"/>
      <c r="AK145" s="14"/>
      <c r="AL145" s="14"/>
      <c r="AM145" s="6"/>
      <c r="AN145" s="14"/>
      <c r="AO145" s="6"/>
      <c r="AP145" s="6"/>
      <c r="AQ145" s="6"/>
      <c r="AR145" s="6"/>
      <c r="AS145" s="6"/>
      <c r="AT145" s="6"/>
      <c r="AU145" s="6"/>
      <c r="AV145" s="6"/>
    </row>
    <row r="146" spans="1:48">
      <c r="A146" s="111" t="s">
        <v>598</v>
      </c>
      <c r="B146" s="92">
        <v>8300</v>
      </c>
      <c r="C146" s="92">
        <v>9150</v>
      </c>
      <c r="D146" s="14"/>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14"/>
      <c r="AK146" s="14"/>
      <c r="AL146" s="14"/>
      <c r="AM146" s="6"/>
      <c r="AN146" s="14"/>
      <c r="AO146" s="6"/>
      <c r="AP146" s="6"/>
      <c r="AQ146" s="6"/>
      <c r="AR146" s="6"/>
      <c r="AS146" s="6"/>
      <c r="AT146" s="6"/>
      <c r="AU146" s="6"/>
      <c r="AV146" s="6"/>
    </row>
    <row r="147" spans="1:48">
      <c r="A147" s="76" t="s">
        <v>599</v>
      </c>
    </row>
    <row r="148" spans="1:48">
      <c r="A148" s="76" t="s">
        <v>653</v>
      </c>
    </row>
    <row r="152" spans="1:48" ht="12.95">
      <c r="I152" s="103"/>
    </row>
    <row r="153" spans="1:48">
      <c r="I153" s="107"/>
    </row>
    <row r="154" spans="1:48">
      <c r="A154" s="122"/>
      <c r="B154" s="122" t="s">
        <v>602</v>
      </c>
      <c r="C154" s="122" t="s">
        <v>603</v>
      </c>
      <c r="D154" s="120" t="s">
        <v>382</v>
      </c>
      <c r="E154" s="120" t="s">
        <v>202</v>
      </c>
      <c r="F154" s="122" t="s">
        <v>604</v>
      </c>
      <c r="G154" s="120" t="s">
        <v>206</v>
      </c>
      <c r="H154" s="120" t="s">
        <v>606</v>
      </c>
      <c r="I154" s="100"/>
    </row>
    <row r="155" spans="1:48">
      <c r="A155" s="122" t="s">
        <v>607</v>
      </c>
      <c r="B155" s="123">
        <v>2500</v>
      </c>
      <c r="C155" s="123">
        <v>2250</v>
      </c>
      <c r="D155" s="123">
        <v>90</v>
      </c>
      <c r="E155" s="118">
        <v>3750</v>
      </c>
      <c r="F155" s="123">
        <v>3375</v>
      </c>
      <c r="G155" s="118">
        <v>10875</v>
      </c>
      <c r="H155" s="118">
        <v>15360</v>
      </c>
    </row>
    <row r="156" spans="1:48">
      <c r="A156" s="122" t="s">
        <v>608</v>
      </c>
      <c r="B156" s="123">
        <v>6150</v>
      </c>
      <c r="C156" s="123">
        <v>5535</v>
      </c>
      <c r="D156" s="123">
        <v>115</v>
      </c>
      <c r="E156" s="123">
        <v>5100</v>
      </c>
      <c r="F156" s="123">
        <v>4590</v>
      </c>
      <c r="G156" s="123">
        <v>18450</v>
      </c>
      <c r="H156" s="123">
        <v>23000</v>
      </c>
    </row>
    <row r="157" spans="1:48" ht="12.75"/>
  </sheetData>
  <mergeCells count="12">
    <mergeCell ref="H53:O60"/>
    <mergeCell ref="A54:D54"/>
    <mergeCell ref="A62:E62"/>
    <mergeCell ref="A120:C120"/>
    <mergeCell ref="A1:E1"/>
    <mergeCell ref="A2:B2"/>
    <mergeCell ref="A3:B3"/>
    <mergeCell ref="F3:G3"/>
    <mergeCell ref="A4:B4"/>
    <mergeCell ref="A5:B5"/>
    <mergeCell ref="A6:B6"/>
    <mergeCell ref="A53:D53"/>
  </mergeCells>
  <dataValidations count="3">
    <dataValidation type="list" allowBlank="1" showInputMessage="1" showErrorMessage="1" sqref="F62" xr:uid="{06567F1B-F303-4499-9DD8-69D063825A0E}">
      <formula1>"2TB, 4TB"</formula1>
    </dataValidation>
    <dataValidation type="list" allowBlank="1" showInputMessage="1" showErrorMessage="1" sqref="N11" xr:uid="{E948827A-4263-4CF5-A7A8-80DB26360675}">
      <formula1>$B155:$B156</formula1>
    </dataValidation>
    <dataValidation type="list" allowBlank="1" showInputMessage="1" showErrorMessage="1" sqref="E9" xr:uid="{F0A4123D-1E39-48E8-A9ED-B67B6C968695}">
      <formula1>"vCSA8.0, vCSA7.0"</formula1>
    </dataValidation>
  </dataValidations>
  <hyperlinks>
    <hyperlink ref="F3:G3" location="Shortcuts!A1" display="Back to shortcuts" xr:uid="{A07BFFAC-4D63-4E31-A8F3-ECAC77EF7593}"/>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95C8-CCCE-4DBE-A9B7-59FB872E50C4}">
  <dimension ref="A1:BD145"/>
  <sheetViews>
    <sheetView topLeftCell="A87" zoomScale="84" zoomScaleNormal="84" zoomScalePageLayoutView="70" workbookViewId="0">
      <selection activeCell="A114" sqref="A114:XFD115"/>
    </sheetView>
  </sheetViews>
  <sheetFormatPr defaultColWidth="8.85546875" defaultRowHeight="12.6"/>
  <cols>
    <col min="1" max="1" width="35.85546875" style="36" customWidth="1"/>
    <col min="2" max="2" width="16.5703125" style="36" customWidth="1"/>
    <col min="3" max="3" width="15.85546875" style="36" customWidth="1"/>
    <col min="4" max="4" width="23.85546875" style="36" customWidth="1"/>
    <col min="5" max="5" width="55" style="36" customWidth="1"/>
    <col min="6" max="7" width="8.85546875" style="36"/>
    <col min="8" max="8" width="21.140625" style="36" customWidth="1"/>
    <col min="9" max="10" width="8.85546875" style="36"/>
    <col min="11" max="11" width="17.85546875" style="36" customWidth="1"/>
    <col min="12" max="12" width="9.140625" style="36" customWidth="1"/>
    <col min="13" max="13" width="9.85546875" style="36" customWidth="1"/>
    <col min="14" max="14" width="8.85546875" style="36"/>
    <col min="15" max="15" width="11.85546875" style="36" customWidth="1"/>
    <col min="16" max="16" width="8.85546875" style="36"/>
    <col min="17" max="17" width="9.85546875" style="36" customWidth="1"/>
    <col min="18" max="18" width="8.85546875" style="36"/>
    <col min="19" max="19" width="9.85546875" style="36" customWidth="1"/>
    <col min="20" max="20" width="8.85546875" style="36"/>
    <col min="21" max="21" width="9.85546875" style="36" customWidth="1"/>
    <col min="22" max="22" width="8.85546875" style="36"/>
    <col min="23" max="23" width="11.140625" style="36" bestFit="1" customWidth="1"/>
    <col min="24" max="24" width="12.140625" style="36" customWidth="1"/>
    <col min="25" max="26" width="9.85546875" style="36" customWidth="1"/>
    <col min="27" max="34" width="12.85546875" style="36" customWidth="1"/>
    <col min="35" max="41" width="16.140625" style="36" customWidth="1"/>
    <col min="42" max="44" width="12.85546875" style="36" customWidth="1"/>
    <col min="45" max="45" width="17.42578125" style="36" customWidth="1"/>
    <col min="46" max="46" width="22" style="36" customWidth="1"/>
    <col min="47" max="47" width="12.140625" style="36" customWidth="1"/>
    <col min="48" max="48" width="13.140625" style="36" customWidth="1"/>
    <col min="49" max="16384" width="8.85546875" style="36"/>
  </cols>
  <sheetData>
    <row r="1" spans="1:48" ht="12.95">
      <c r="A1" s="189" t="s">
        <v>38</v>
      </c>
      <c r="B1" s="189"/>
      <c r="C1" s="189"/>
      <c r="D1" s="189"/>
      <c r="E1" s="190"/>
      <c r="F1" s="35" t="s">
        <v>409</v>
      </c>
    </row>
    <row r="2" spans="1:48">
      <c r="A2" s="182" t="s">
        <v>410</v>
      </c>
      <c r="B2" s="182"/>
      <c r="C2" s="121"/>
      <c r="D2" s="36" t="s">
        <v>632</v>
      </c>
    </row>
    <row r="3" spans="1:48" ht="14.45">
      <c r="A3" s="182" t="s">
        <v>412</v>
      </c>
      <c r="B3" s="182"/>
      <c r="C3" s="36" t="s">
        <v>411</v>
      </c>
      <c r="F3" s="173" t="s">
        <v>413</v>
      </c>
      <c r="G3" s="173"/>
    </row>
    <row r="4" spans="1:48" ht="12.95">
      <c r="A4" s="182" t="s">
        <v>414</v>
      </c>
      <c r="B4" s="182"/>
      <c r="C4" s="36" t="s">
        <v>519</v>
      </c>
    </row>
    <row r="5" spans="1:48" ht="12.95">
      <c r="A5" s="171" t="s">
        <v>415</v>
      </c>
      <c r="B5" s="171"/>
      <c r="C5" s="6" t="s">
        <v>609</v>
      </c>
    </row>
    <row r="6" spans="1:48" ht="12.95">
      <c r="A6" s="171" t="s">
        <v>416</v>
      </c>
      <c r="B6" s="171"/>
      <c r="C6" s="16"/>
    </row>
    <row r="7" spans="1:48" ht="26.1">
      <c r="A7" s="37" t="s">
        <v>183</v>
      </c>
      <c r="B7" s="37" t="s">
        <v>417</v>
      </c>
      <c r="C7" s="37" t="s">
        <v>418</v>
      </c>
      <c r="D7" s="37" t="s">
        <v>419</v>
      </c>
      <c r="E7" s="37" t="s">
        <v>420</v>
      </c>
      <c r="F7" s="38" t="s">
        <v>157</v>
      </c>
      <c r="G7" s="38" t="s">
        <v>173</v>
      </c>
      <c r="H7" s="38" t="s">
        <v>421</v>
      </c>
      <c r="I7" s="38" t="s">
        <v>177</v>
      </c>
      <c r="J7" s="38" t="s">
        <v>422</v>
      </c>
      <c r="K7" s="38" t="s">
        <v>423</v>
      </c>
      <c r="L7" s="38" t="s">
        <v>198</v>
      </c>
      <c r="M7" s="38" t="s">
        <v>423</v>
      </c>
      <c r="N7" s="38" t="s">
        <v>53</v>
      </c>
      <c r="O7" s="38" t="s">
        <v>423</v>
      </c>
      <c r="P7" s="38" t="s">
        <v>202</v>
      </c>
      <c r="Q7" s="38" t="s">
        <v>423</v>
      </c>
      <c r="R7" s="38" t="s">
        <v>217</v>
      </c>
      <c r="S7" s="38" t="s">
        <v>423</v>
      </c>
      <c r="T7" s="38" t="s">
        <v>222</v>
      </c>
      <c r="U7" s="38" t="s">
        <v>423</v>
      </c>
      <c r="V7" s="38" t="s">
        <v>206</v>
      </c>
      <c r="W7" s="38" t="s">
        <v>423</v>
      </c>
      <c r="X7" s="38" t="s">
        <v>424</v>
      </c>
      <c r="Y7" s="38" t="s">
        <v>423</v>
      </c>
      <c r="Z7" s="38" t="s">
        <v>610</v>
      </c>
      <c r="AA7" s="38" t="s">
        <v>423</v>
      </c>
      <c r="AB7" s="8" t="s">
        <v>426</v>
      </c>
      <c r="AC7" s="8" t="s">
        <v>423</v>
      </c>
      <c r="AD7" s="8" t="s">
        <v>427</v>
      </c>
      <c r="AE7" s="8" t="s">
        <v>423</v>
      </c>
      <c r="AF7" s="8" t="s">
        <v>522</v>
      </c>
      <c r="AG7" s="8" t="s">
        <v>423</v>
      </c>
      <c r="AH7" s="8" t="s">
        <v>428</v>
      </c>
      <c r="AI7" s="8" t="s">
        <v>423</v>
      </c>
      <c r="AJ7" s="8" t="s">
        <v>429</v>
      </c>
      <c r="AK7" s="8" t="s">
        <v>423</v>
      </c>
      <c r="AL7" s="8" t="s">
        <v>523</v>
      </c>
      <c r="AM7" s="8" t="s">
        <v>423</v>
      </c>
      <c r="AN7" s="8" t="s">
        <v>524</v>
      </c>
      <c r="AO7" s="8" t="s">
        <v>423</v>
      </c>
      <c r="AP7" s="83" t="s">
        <v>525</v>
      </c>
      <c r="AQ7" s="8" t="s">
        <v>423</v>
      </c>
      <c r="AR7" s="8" t="s">
        <v>477</v>
      </c>
      <c r="AS7" s="8" t="s">
        <v>423</v>
      </c>
      <c r="AT7" s="8" t="s">
        <v>431</v>
      </c>
      <c r="AU7" s="8" t="s">
        <v>432</v>
      </c>
      <c r="AV7" s="38" t="s">
        <v>433</v>
      </c>
    </row>
    <row r="8" spans="1:48">
      <c r="A8" s="36" t="s">
        <v>434</v>
      </c>
      <c r="D8" s="36" t="s">
        <v>435</v>
      </c>
      <c r="E8" s="36" t="s">
        <v>42</v>
      </c>
      <c r="F8" s="86">
        <v>4</v>
      </c>
      <c r="G8" s="86">
        <v>16</v>
      </c>
      <c r="H8" s="86">
        <v>0</v>
      </c>
      <c r="I8" s="86">
        <v>351</v>
      </c>
      <c r="J8" s="86">
        <f>IF(G8&gt;=10,16, 4)</f>
        <v>16</v>
      </c>
      <c r="K8" s="14" t="s">
        <v>526</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14"/>
      <c r="AQ8" s="14"/>
      <c r="AR8" s="14"/>
      <c r="AS8" s="14"/>
      <c r="AT8" s="86" t="s">
        <v>437</v>
      </c>
      <c r="AU8" s="86"/>
      <c r="AV8" s="86"/>
    </row>
    <row r="9" spans="1:48">
      <c r="A9" s="36" t="s">
        <v>438</v>
      </c>
      <c r="D9" s="114" t="s">
        <v>527</v>
      </c>
      <c r="E9" s="114" t="s">
        <v>439</v>
      </c>
      <c r="F9" s="86">
        <v>4</v>
      </c>
      <c r="G9" s="86">
        <v>28</v>
      </c>
      <c r="H9" s="86">
        <v>0</v>
      </c>
      <c r="I9" s="104">
        <f>IF(E9="vCSA8.0",600, 450)</f>
        <v>600</v>
      </c>
      <c r="J9" s="86">
        <v>25</v>
      </c>
      <c r="K9" s="14" t="s">
        <v>526</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14"/>
      <c r="AQ9" s="14"/>
      <c r="AR9" s="14"/>
      <c r="AS9" s="14"/>
      <c r="AT9" s="86" t="s">
        <v>437</v>
      </c>
      <c r="AU9" s="86"/>
      <c r="AV9" s="86"/>
    </row>
    <row r="10" spans="1:48">
      <c r="A10" s="36" t="s">
        <v>440</v>
      </c>
      <c r="B10" s="86" t="s">
        <v>441</v>
      </c>
      <c r="C10" s="36" t="s">
        <v>442</v>
      </c>
      <c r="D10" s="36" t="s">
        <v>435</v>
      </c>
      <c r="E10" s="36" t="s">
        <v>50</v>
      </c>
      <c r="F10" s="86">
        <v>6</v>
      </c>
      <c r="G10" s="86">
        <v>8</v>
      </c>
      <c r="H10" s="86">
        <v>8</v>
      </c>
      <c r="I10" s="86">
        <v>41</v>
      </c>
      <c r="J10" s="86">
        <f>IF(G10&gt;=10,16, 4)</f>
        <v>4</v>
      </c>
      <c r="K10" s="86" t="s">
        <v>528</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14"/>
      <c r="AQ10" s="14"/>
      <c r="AR10" s="14"/>
      <c r="AS10" s="14"/>
      <c r="AT10" s="86" t="s">
        <v>437</v>
      </c>
      <c r="AU10" s="86"/>
      <c r="AV10" s="86"/>
    </row>
    <row r="11" spans="1:48">
      <c r="A11" s="36" t="s">
        <v>444</v>
      </c>
      <c r="B11" s="86"/>
      <c r="C11" s="36" t="s">
        <v>442</v>
      </c>
      <c r="D11" s="36" t="s">
        <v>435</v>
      </c>
      <c r="E11" s="36" t="s">
        <v>53</v>
      </c>
      <c r="F11" s="86">
        <v>16</v>
      </c>
      <c r="G11" s="86">
        <v>160</v>
      </c>
      <c r="H11" s="86">
        <f>(G11*82.5)/100</f>
        <v>132</v>
      </c>
      <c r="I11" s="86">
        <v>117</v>
      </c>
      <c r="J11" s="86">
        <v>32</v>
      </c>
      <c r="K11" s="86" t="s">
        <v>529</v>
      </c>
      <c r="L11" s="86">
        <v>500</v>
      </c>
      <c r="M11" s="86" t="s">
        <v>445</v>
      </c>
      <c r="N11" s="86">
        <v>9000</v>
      </c>
      <c r="O11" s="86" t="s">
        <v>446</v>
      </c>
      <c r="P11" s="86">
        <v>13500</v>
      </c>
      <c r="Q11" s="86" t="s">
        <v>447</v>
      </c>
      <c r="R11" s="86"/>
      <c r="S11" s="86"/>
      <c r="T11" s="86"/>
      <c r="U11" s="86"/>
      <c r="V11" s="86"/>
      <c r="W11" s="86"/>
      <c r="X11" s="86">
        <v>30556</v>
      </c>
      <c r="Y11" s="86" t="s">
        <v>206</v>
      </c>
      <c r="Z11" s="86"/>
      <c r="AA11" s="86"/>
      <c r="AB11" s="86"/>
      <c r="AC11" s="86"/>
      <c r="AD11" s="86"/>
      <c r="AE11" s="86"/>
      <c r="AF11" s="86"/>
      <c r="AG11" s="86"/>
      <c r="AH11" s="86"/>
      <c r="AI11" s="86"/>
      <c r="AJ11" s="86"/>
      <c r="AK11" s="86"/>
      <c r="AL11" s="86"/>
      <c r="AM11" s="86"/>
      <c r="AN11" s="86"/>
      <c r="AO11" s="86"/>
      <c r="AP11" s="14">
        <v>6144</v>
      </c>
      <c r="AQ11" s="14" t="s">
        <v>530</v>
      </c>
      <c r="AR11" s="14"/>
      <c r="AS11" s="14"/>
      <c r="AT11" s="86" t="s">
        <v>437</v>
      </c>
      <c r="AU11" s="86"/>
      <c r="AV11" s="86"/>
    </row>
    <row r="12" spans="1:48">
      <c r="A12" s="36" t="s">
        <v>448</v>
      </c>
      <c r="B12" s="86" t="s">
        <v>441</v>
      </c>
      <c r="C12" s="36" t="s">
        <v>442</v>
      </c>
      <c r="D12" s="36" t="s">
        <v>435</v>
      </c>
      <c r="E12" s="36" t="s">
        <v>57</v>
      </c>
      <c r="F12" s="86">
        <v>8</v>
      </c>
      <c r="G12" s="86">
        <v>9</v>
      </c>
      <c r="H12" s="86">
        <v>9</v>
      </c>
      <c r="I12" s="86">
        <v>46</v>
      </c>
      <c r="J12" s="86">
        <f t="shared" ref="J12:J43" si="0">IF(G12&gt;=10,16, 4)</f>
        <v>4</v>
      </c>
      <c r="K12" s="86" t="s">
        <v>531</v>
      </c>
      <c r="L12" s="86"/>
      <c r="M12" s="86"/>
      <c r="N12" s="86"/>
      <c r="O12" s="86"/>
      <c r="P12" s="86"/>
      <c r="Q12" s="86"/>
      <c r="R12" s="86">
        <v>920</v>
      </c>
      <c r="S12" s="86" t="s">
        <v>449</v>
      </c>
      <c r="T12" s="14">
        <v>300</v>
      </c>
      <c r="U12" s="86" t="s">
        <v>222</v>
      </c>
      <c r="V12" s="86"/>
      <c r="W12" s="86"/>
      <c r="X12" s="86">
        <v>500</v>
      </c>
      <c r="Y12" s="86" t="s">
        <v>206</v>
      </c>
      <c r="Z12" s="86"/>
      <c r="AA12" s="86"/>
      <c r="AB12" s="86"/>
      <c r="AC12" s="86"/>
      <c r="AD12" s="86"/>
      <c r="AE12" s="86"/>
      <c r="AF12" s="86"/>
      <c r="AG12" s="86"/>
      <c r="AH12" s="86"/>
      <c r="AI12" s="86"/>
      <c r="AJ12" s="86"/>
      <c r="AK12" s="86"/>
      <c r="AL12" s="86"/>
      <c r="AM12" s="86"/>
      <c r="AN12" s="86"/>
      <c r="AO12" s="86"/>
      <c r="AP12" s="86"/>
      <c r="AQ12" s="86"/>
      <c r="AR12" s="86"/>
      <c r="AS12" s="86"/>
      <c r="AT12" s="86" t="s">
        <v>437</v>
      </c>
      <c r="AU12" s="86"/>
      <c r="AV12" s="86"/>
    </row>
    <row r="13" spans="1:48">
      <c r="A13" s="36" t="s">
        <v>450</v>
      </c>
      <c r="C13" s="36" t="s">
        <v>442</v>
      </c>
      <c r="D13" s="36" t="s">
        <v>435</v>
      </c>
      <c r="E13" s="36" t="s">
        <v>61</v>
      </c>
      <c r="F13" s="86">
        <v>2</v>
      </c>
      <c r="G13" s="86">
        <v>3</v>
      </c>
      <c r="H13" s="86">
        <v>0</v>
      </c>
      <c r="I13" s="86">
        <v>31</v>
      </c>
      <c r="J13" s="86">
        <f t="shared" si="0"/>
        <v>4</v>
      </c>
      <c r="K13" s="86" t="s">
        <v>528</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t="s">
        <v>437</v>
      </c>
      <c r="AU13" s="14" t="s">
        <v>437</v>
      </c>
      <c r="AV13" s="86" t="s">
        <v>437</v>
      </c>
    </row>
    <row r="14" spans="1:48">
      <c r="A14" s="36" t="s">
        <v>451</v>
      </c>
      <c r="C14" s="36" t="s">
        <v>442</v>
      </c>
      <c r="D14" s="36" t="s">
        <v>435</v>
      </c>
      <c r="E14" s="36" t="s">
        <v>65</v>
      </c>
      <c r="F14" s="86">
        <v>2</v>
      </c>
      <c r="G14" s="86">
        <v>5</v>
      </c>
      <c r="H14" s="86">
        <v>0</v>
      </c>
      <c r="I14" s="86">
        <v>31</v>
      </c>
      <c r="J14" s="86">
        <f t="shared" si="0"/>
        <v>4</v>
      </c>
      <c r="K14" s="86" t="s">
        <v>529</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t="s">
        <v>437</v>
      </c>
      <c r="AU14" s="86"/>
      <c r="AV14" s="86"/>
    </row>
    <row r="15" spans="1:48">
      <c r="A15" s="36" t="s">
        <v>452</v>
      </c>
      <c r="C15" s="36" t="s">
        <v>442</v>
      </c>
      <c r="D15" s="36" t="s">
        <v>435</v>
      </c>
      <c r="E15" s="36" t="s">
        <v>611</v>
      </c>
      <c r="F15" s="86">
        <v>3</v>
      </c>
      <c r="G15" s="86">
        <v>6</v>
      </c>
      <c r="H15" s="86">
        <v>0</v>
      </c>
      <c r="I15" s="86">
        <v>41</v>
      </c>
      <c r="J15" s="86">
        <f t="shared" si="0"/>
        <v>4</v>
      </c>
      <c r="K15" s="86" t="s">
        <v>531</v>
      </c>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t="s">
        <v>437</v>
      </c>
      <c r="AU15" s="14" t="s">
        <v>437</v>
      </c>
      <c r="AV15" s="86"/>
    </row>
    <row r="16" spans="1:48">
      <c r="A16" s="36" t="s">
        <v>454</v>
      </c>
      <c r="C16" s="36" t="s">
        <v>442</v>
      </c>
      <c r="D16" s="36" t="s">
        <v>435</v>
      </c>
      <c r="E16" s="36" t="s">
        <v>455</v>
      </c>
      <c r="F16" s="86">
        <v>5</v>
      </c>
      <c r="G16" s="86">
        <v>7</v>
      </c>
      <c r="H16" s="86">
        <v>0</v>
      </c>
      <c r="I16" s="86">
        <v>56</v>
      </c>
      <c r="J16" s="86">
        <f t="shared" si="0"/>
        <v>4</v>
      </c>
      <c r="K16" s="86" t="s">
        <v>528</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t="s">
        <v>437</v>
      </c>
      <c r="AU16" s="14" t="s">
        <v>437</v>
      </c>
      <c r="AV16" s="86"/>
    </row>
    <row r="17" spans="1:48">
      <c r="A17" s="36" t="s">
        <v>456</v>
      </c>
      <c r="C17" s="36" t="s">
        <v>442</v>
      </c>
      <c r="D17" s="36" t="s">
        <v>435</v>
      </c>
      <c r="E17" s="36" t="s">
        <v>77</v>
      </c>
      <c r="F17" s="86">
        <v>8</v>
      </c>
      <c r="G17" s="86">
        <v>13</v>
      </c>
      <c r="H17" s="86">
        <v>0</v>
      </c>
      <c r="I17" s="86">
        <v>81</v>
      </c>
      <c r="J17" s="86">
        <f t="shared" si="0"/>
        <v>16</v>
      </c>
      <c r="K17" s="86" t="s">
        <v>529</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t="s">
        <v>437</v>
      </c>
      <c r="AU17" s="14" t="s">
        <v>437</v>
      </c>
      <c r="AV17" s="86"/>
    </row>
    <row r="18" spans="1:48">
      <c r="A18" s="36" t="s">
        <v>457</v>
      </c>
      <c r="C18" s="36" t="s">
        <v>442</v>
      </c>
      <c r="D18" s="36" t="s">
        <v>435</v>
      </c>
      <c r="E18" s="36" t="s">
        <v>81</v>
      </c>
      <c r="F18" s="86">
        <v>4</v>
      </c>
      <c r="G18" s="86">
        <v>4</v>
      </c>
      <c r="H18" s="86">
        <v>0</v>
      </c>
      <c r="I18" s="86">
        <v>31</v>
      </c>
      <c r="J18" s="86">
        <f t="shared" si="0"/>
        <v>4</v>
      </c>
      <c r="K18" s="86" t="s">
        <v>531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t="s">
        <v>437</v>
      </c>
      <c r="AU18" s="14" t="s">
        <v>437</v>
      </c>
      <c r="AV18" s="86" t="s">
        <v>437</v>
      </c>
    </row>
    <row r="19" spans="1:48">
      <c r="A19" s="36" t="s">
        <v>458</v>
      </c>
      <c r="C19" s="36" t="s">
        <v>442</v>
      </c>
      <c r="D19" s="36" t="s">
        <v>435</v>
      </c>
      <c r="E19" s="36" t="s">
        <v>459</v>
      </c>
      <c r="F19" s="86">
        <v>8</v>
      </c>
      <c r="G19" s="86">
        <v>13</v>
      </c>
      <c r="H19" s="86">
        <v>0</v>
      </c>
      <c r="I19" s="86">
        <v>109</v>
      </c>
      <c r="J19" s="86">
        <f t="shared" si="0"/>
        <v>16</v>
      </c>
      <c r="K19" s="86" t="s">
        <v>528</v>
      </c>
      <c r="L19" s="86"/>
      <c r="M19" s="86"/>
      <c r="N19" s="86"/>
      <c r="O19" s="86"/>
      <c r="P19" s="86"/>
      <c r="Q19" s="86"/>
      <c r="R19" s="86"/>
      <c r="S19" s="86"/>
      <c r="T19" s="86"/>
      <c r="U19" s="86"/>
      <c r="V19" s="86"/>
      <c r="W19" s="86"/>
      <c r="X19" s="86"/>
      <c r="Y19" s="86"/>
      <c r="Z19" s="86"/>
      <c r="AA19" s="86"/>
      <c r="AB19" s="14">
        <v>50</v>
      </c>
      <c r="AC19" s="14" t="s">
        <v>531</v>
      </c>
      <c r="AD19" s="14"/>
      <c r="AE19" s="14"/>
      <c r="AF19" s="14"/>
      <c r="AG19" s="14"/>
      <c r="AH19" s="14"/>
      <c r="AI19" s="14"/>
      <c r="AJ19" s="14"/>
      <c r="AK19" s="14"/>
      <c r="AL19" s="14"/>
      <c r="AM19" s="14"/>
      <c r="AN19" s="14"/>
      <c r="AO19" s="14"/>
      <c r="AP19" s="14"/>
      <c r="AQ19" s="14"/>
      <c r="AR19" s="14"/>
      <c r="AS19" s="14"/>
      <c r="AT19" s="86" t="s">
        <v>437</v>
      </c>
      <c r="AU19" s="86"/>
      <c r="AV19" s="86"/>
    </row>
    <row r="20" spans="1:48">
      <c r="A20" s="36" t="s">
        <v>460</v>
      </c>
      <c r="C20" s="36" t="s">
        <v>442</v>
      </c>
      <c r="D20" s="36" t="s">
        <v>435</v>
      </c>
      <c r="E20" s="36" t="s">
        <v>88</v>
      </c>
      <c r="F20" s="86">
        <v>6</v>
      </c>
      <c r="G20" s="86">
        <v>8</v>
      </c>
      <c r="H20" s="86">
        <v>0</v>
      </c>
      <c r="I20" s="86">
        <v>169</v>
      </c>
      <c r="J20" s="86">
        <f t="shared" si="0"/>
        <v>4</v>
      </c>
      <c r="K20" s="86" t="s">
        <v>529</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t="s">
        <v>437</v>
      </c>
      <c r="AU20" s="14" t="s">
        <v>437</v>
      </c>
      <c r="AV20" s="86"/>
    </row>
    <row r="21" spans="1:48">
      <c r="A21" s="36" t="s">
        <v>461</v>
      </c>
      <c r="C21" s="36" t="s">
        <v>442</v>
      </c>
      <c r="D21" s="36" t="s">
        <v>435</v>
      </c>
      <c r="E21" s="36" t="s">
        <v>612</v>
      </c>
      <c r="F21" s="86">
        <v>6</v>
      </c>
      <c r="G21" s="86">
        <v>8</v>
      </c>
      <c r="H21" s="86">
        <v>0</v>
      </c>
      <c r="I21" s="86">
        <v>61</v>
      </c>
      <c r="J21" s="86">
        <f t="shared" si="0"/>
        <v>4</v>
      </c>
      <c r="K21" s="86" t="s">
        <v>531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t="s">
        <v>437</v>
      </c>
      <c r="AU21" s="86"/>
      <c r="AV21" s="86"/>
    </row>
    <row r="22" spans="1:48">
      <c r="A22" s="36" t="s">
        <v>462</v>
      </c>
      <c r="C22" s="36" t="s">
        <v>442</v>
      </c>
      <c r="D22" s="36" t="s">
        <v>435</v>
      </c>
      <c r="E22" s="36" t="s">
        <v>612</v>
      </c>
      <c r="F22" s="86">
        <v>6</v>
      </c>
      <c r="G22" s="86">
        <v>8</v>
      </c>
      <c r="H22" s="86">
        <v>0</v>
      </c>
      <c r="I22" s="86">
        <v>61</v>
      </c>
      <c r="J22" s="86">
        <f t="shared" si="0"/>
        <v>4</v>
      </c>
      <c r="K22" s="86" t="s">
        <v>528</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t="s">
        <v>437</v>
      </c>
      <c r="AU22" s="86"/>
      <c r="AV22" s="86"/>
    </row>
    <row r="23" spans="1:48">
      <c r="A23" s="36" t="s">
        <v>463</v>
      </c>
      <c r="C23" s="36" t="s">
        <v>442</v>
      </c>
      <c r="D23" s="36" t="s">
        <v>435</v>
      </c>
      <c r="E23" s="36" t="s">
        <v>96</v>
      </c>
      <c r="F23" s="86">
        <v>6</v>
      </c>
      <c r="G23" s="86">
        <v>18</v>
      </c>
      <c r="H23" s="86">
        <v>0</v>
      </c>
      <c r="I23" s="86">
        <v>151</v>
      </c>
      <c r="J23" s="86">
        <f t="shared" si="0"/>
        <v>16</v>
      </c>
      <c r="K23" s="86" t="s">
        <v>529</v>
      </c>
      <c r="L23" s="86"/>
      <c r="M23" s="86"/>
      <c r="N23" s="86"/>
      <c r="O23" s="86"/>
      <c r="P23" s="86"/>
      <c r="Q23" s="86"/>
      <c r="R23" s="86"/>
      <c r="S23" s="86"/>
      <c r="T23" s="86"/>
      <c r="U23" s="86"/>
      <c r="V23" s="86"/>
      <c r="W23" s="86"/>
      <c r="X23" s="86"/>
      <c r="Y23" s="86"/>
      <c r="Z23" s="86"/>
      <c r="AA23" s="86"/>
      <c r="AB23" s="86"/>
      <c r="AC23" s="86"/>
      <c r="AD23" s="14">
        <v>100</v>
      </c>
      <c r="AE23" s="14" t="s">
        <v>528</v>
      </c>
      <c r="AF23" s="14"/>
      <c r="AG23" s="14"/>
      <c r="AH23" s="14"/>
      <c r="AI23" s="14"/>
      <c r="AJ23" s="14"/>
      <c r="AK23" s="14"/>
      <c r="AL23" s="14"/>
      <c r="AM23" s="14"/>
      <c r="AN23" s="14"/>
      <c r="AO23" s="14"/>
      <c r="AP23" s="86"/>
      <c r="AQ23" s="86"/>
      <c r="AR23" s="86"/>
      <c r="AS23" s="86"/>
      <c r="AT23" s="86" t="s">
        <v>437</v>
      </c>
      <c r="AU23" s="86"/>
      <c r="AV23" s="86"/>
    </row>
    <row r="24" spans="1:48">
      <c r="A24" s="36" t="s">
        <v>464</v>
      </c>
      <c r="C24" s="36" t="s">
        <v>442</v>
      </c>
      <c r="D24" s="36" t="s">
        <v>435</v>
      </c>
      <c r="E24" s="36" t="s">
        <v>100</v>
      </c>
      <c r="F24" s="86">
        <v>6</v>
      </c>
      <c r="G24" s="86">
        <v>18</v>
      </c>
      <c r="H24" s="86">
        <v>0</v>
      </c>
      <c r="I24" s="86">
        <v>151</v>
      </c>
      <c r="J24" s="86">
        <f t="shared" si="0"/>
        <v>16</v>
      </c>
      <c r="K24" s="86" t="s">
        <v>531</v>
      </c>
      <c r="L24" s="86"/>
      <c r="M24" s="86"/>
      <c r="N24" s="86"/>
      <c r="O24" s="86"/>
      <c r="P24" s="86"/>
      <c r="Q24" s="86"/>
      <c r="R24" s="86"/>
      <c r="S24" s="86"/>
      <c r="T24" s="86"/>
      <c r="U24" s="86"/>
      <c r="V24" s="86"/>
      <c r="W24" s="86"/>
      <c r="X24" s="86"/>
      <c r="Y24" s="86"/>
      <c r="Z24" s="86"/>
      <c r="AA24" s="86"/>
      <c r="AB24" s="86"/>
      <c r="AC24" s="86"/>
      <c r="AD24" s="14">
        <v>100</v>
      </c>
      <c r="AE24" s="14" t="s">
        <v>531</v>
      </c>
      <c r="AF24" s="14"/>
      <c r="AG24" s="14"/>
      <c r="AH24" s="14"/>
      <c r="AI24" s="14"/>
      <c r="AJ24" s="14"/>
      <c r="AK24" s="14"/>
      <c r="AL24" s="14"/>
      <c r="AM24" s="14"/>
      <c r="AN24" s="14"/>
      <c r="AO24" s="14"/>
      <c r="AP24" s="86"/>
      <c r="AQ24" s="86"/>
      <c r="AR24" s="86"/>
      <c r="AS24" s="86"/>
      <c r="AT24" s="86" t="s">
        <v>437</v>
      </c>
      <c r="AU24" s="86"/>
      <c r="AV24" s="86"/>
    </row>
    <row r="25" spans="1:48">
      <c r="A25" s="36" t="s">
        <v>487</v>
      </c>
      <c r="C25" s="36" t="s">
        <v>442</v>
      </c>
      <c r="D25" s="36" t="s">
        <v>435</v>
      </c>
      <c r="E25" s="36" t="s">
        <v>104</v>
      </c>
      <c r="F25" s="86">
        <v>6</v>
      </c>
      <c r="G25" s="86">
        <v>9</v>
      </c>
      <c r="H25" s="86">
        <v>0</v>
      </c>
      <c r="I25" s="86">
        <v>41</v>
      </c>
      <c r="J25" s="86">
        <f t="shared" si="0"/>
        <v>4</v>
      </c>
      <c r="K25" s="86" t="s">
        <v>528</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t="s">
        <v>437</v>
      </c>
      <c r="AU25" s="86"/>
      <c r="AV25" s="86"/>
    </row>
    <row r="26" spans="1:48">
      <c r="A26" s="36" t="s">
        <v>489</v>
      </c>
      <c r="C26" s="36" t="s">
        <v>442</v>
      </c>
      <c r="D26" s="36" t="s">
        <v>435</v>
      </c>
      <c r="E26" s="36" t="s">
        <v>104</v>
      </c>
      <c r="F26" s="86">
        <v>6</v>
      </c>
      <c r="G26" s="86">
        <v>9</v>
      </c>
      <c r="H26" s="86">
        <v>0</v>
      </c>
      <c r="I26" s="86">
        <v>41</v>
      </c>
      <c r="J26" s="86">
        <f t="shared" si="0"/>
        <v>4</v>
      </c>
      <c r="K26" s="86" t="s">
        <v>529</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t="s">
        <v>437</v>
      </c>
      <c r="AU26" s="86"/>
      <c r="AV26" s="86"/>
    </row>
    <row r="27" spans="1:48">
      <c r="A27" s="36" t="s">
        <v>613</v>
      </c>
      <c r="C27" s="36" t="s">
        <v>442</v>
      </c>
      <c r="D27" s="36" t="s">
        <v>435</v>
      </c>
      <c r="E27" s="36" t="s">
        <v>108</v>
      </c>
      <c r="F27" s="86">
        <v>8</v>
      </c>
      <c r="G27" s="86">
        <v>36</v>
      </c>
      <c r="H27" s="86">
        <v>36</v>
      </c>
      <c r="I27" s="14">
        <v>136</v>
      </c>
      <c r="J27" s="86">
        <f t="shared" si="0"/>
        <v>16</v>
      </c>
      <c r="K27" s="86" t="s">
        <v>531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t="s">
        <v>437</v>
      </c>
      <c r="AU27" s="14" t="s">
        <v>437</v>
      </c>
      <c r="AV27" s="86"/>
    </row>
    <row r="28" spans="1:48">
      <c r="A28" s="36" t="s">
        <v>614</v>
      </c>
      <c r="C28" s="36" t="s">
        <v>442</v>
      </c>
      <c r="D28" s="36" t="s">
        <v>435</v>
      </c>
      <c r="E28" s="36" t="s">
        <v>108</v>
      </c>
      <c r="F28" s="86">
        <v>8</v>
      </c>
      <c r="G28" s="86">
        <v>36</v>
      </c>
      <c r="H28" s="86">
        <v>36</v>
      </c>
      <c r="I28" s="14">
        <v>136</v>
      </c>
      <c r="J28" s="86">
        <f t="shared" si="0"/>
        <v>16</v>
      </c>
      <c r="K28" s="86" t="s">
        <v>528</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t="s">
        <v>437</v>
      </c>
      <c r="AU28" s="14" t="s">
        <v>437</v>
      </c>
      <c r="AV28" s="86"/>
    </row>
    <row r="29" spans="1:48">
      <c r="A29" s="36" t="s">
        <v>615</v>
      </c>
      <c r="C29" s="36" t="s">
        <v>442</v>
      </c>
      <c r="D29" s="36" t="s">
        <v>435</v>
      </c>
      <c r="E29" s="36" t="s">
        <v>108</v>
      </c>
      <c r="F29" s="86">
        <v>8</v>
      </c>
      <c r="G29" s="86">
        <v>36</v>
      </c>
      <c r="H29" s="86">
        <v>36</v>
      </c>
      <c r="I29" s="14">
        <v>136</v>
      </c>
      <c r="J29" s="86">
        <f t="shared" si="0"/>
        <v>16</v>
      </c>
      <c r="K29" s="86" t="s">
        <v>529</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t="s">
        <v>437</v>
      </c>
      <c r="AU29" s="14" t="s">
        <v>437</v>
      </c>
      <c r="AV29" s="86"/>
    </row>
    <row r="30" spans="1:48">
      <c r="A30" s="36" t="s">
        <v>616</v>
      </c>
      <c r="C30" s="36" t="s">
        <v>442</v>
      </c>
      <c r="D30" s="36" t="s">
        <v>435</v>
      </c>
      <c r="E30" s="36" t="s">
        <v>108</v>
      </c>
      <c r="F30" s="86">
        <v>8</v>
      </c>
      <c r="G30" s="86">
        <v>36</v>
      </c>
      <c r="H30" s="86">
        <v>36</v>
      </c>
      <c r="I30" s="14">
        <v>136</v>
      </c>
      <c r="J30" s="86">
        <f t="shared" si="0"/>
        <v>16</v>
      </c>
      <c r="K30" s="86" t="s">
        <v>531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t="s">
        <v>437</v>
      </c>
      <c r="AU30" s="14" t="s">
        <v>437</v>
      </c>
      <c r="AV30" s="86"/>
    </row>
    <row r="31" spans="1:48">
      <c r="A31" s="36" t="s">
        <v>621</v>
      </c>
      <c r="C31" s="36" t="s">
        <v>442</v>
      </c>
      <c r="D31" s="36" t="s">
        <v>435</v>
      </c>
      <c r="E31" s="36" t="s">
        <v>108</v>
      </c>
      <c r="F31" s="86">
        <v>8</v>
      </c>
      <c r="G31" s="86">
        <v>36</v>
      </c>
      <c r="H31" s="86">
        <v>36</v>
      </c>
      <c r="I31" s="14">
        <v>136</v>
      </c>
      <c r="J31" s="86">
        <f t="shared" si="0"/>
        <v>16</v>
      </c>
      <c r="K31" s="86" t="s">
        <v>528</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t="s">
        <v>437</v>
      </c>
      <c r="AU31" s="14" t="s">
        <v>437</v>
      </c>
      <c r="AV31" s="86"/>
    </row>
    <row r="32" spans="1:48">
      <c r="A32" s="36" t="s">
        <v>622</v>
      </c>
      <c r="C32" s="36" t="s">
        <v>442</v>
      </c>
      <c r="D32" s="36" t="s">
        <v>435</v>
      </c>
      <c r="E32" s="36" t="s">
        <v>108</v>
      </c>
      <c r="F32" s="86">
        <v>8</v>
      </c>
      <c r="G32" s="86">
        <v>36</v>
      </c>
      <c r="H32" s="86">
        <v>36</v>
      </c>
      <c r="I32" s="14">
        <v>136</v>
      </c>
      <c r="J32" s="86">
        <f t="shared" si="0"/>
        <v>16</v>
      </c>
      <c r="K32" s="86" t="s">
        <v>529</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t="s">
        <v>437</v>
      </c>
      <c r="AU32" s="14" t="s">
        <v>437</v>
      </c>
      <c r="AV32" s="86"/>
    </row>
    <row r="33" spans="1:49">
      <c r="A33" s="36" t="s">
        <v>633</v>
      </c>
      <c r="C33" s="36" t="s">
        <v>442</v>
      </c>
      <c r="D33" s="36" t="s">
        <v>435</v>
      </c>
      <c r="E33" s="36" t="s">
        <v>108</v>
      </c>
      <c r="F33" s="86">
        <v>8</v>
      </c>
      <c r="G33" s="86">
        <v>36</v>
      </c>
      <c r="H33" s="86">
        <v>36</v>
      </c>
      <c r="I33" s="14">
        <v>136</v>
      </c>
      <c r="J33" s="86">
        <f t="shared" si="0"/>
        <v>16</v>
      </c>
      <c r="K33" s="86" t="s">
        <v>531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t="s">
        <v>437</v>
      </c>
      <c r="AU33" s="14" t="s">
        <v>437</v>
      </c>
      <c r="AV33" s="86"/>
    </row>
    <row r="34" spans="1:49">
      <c r="A34" s="36" t="s">
        <v>634</v>
      </c>
      <c r="C34" s="36" t="s">
        <v>442</v>
      </c>
      <c r="D34" s="36" t="s">
        <v>435</v>
      </c>
      <c r="E34" s="36" t="s">
        <v>108</v>
      </c>
      <c r="F34" s="86">
        <v>8</v>
      </c>
      <c r="G34" s="86">
        <v>36</v>
      </c>
      <c r="H34" s="86">
        <v>36</v>
      </c>
      <c r="I34" s="14">
        <v>136</v>
      </c>
      <c r="J34" s="86">
        <f t="shared" si="0"/>
        <v>16</v>
      </c>
      <c r="K34" s="86" t="s">
        <v>528</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t="s">
        <v>437</v>
      </c>
      <c r="AU34" s="14" t="s">
        <v>437</v>
      </c>
      <c r="AV34" s="86"/>
    </row>
    <row r="35" spans="1:49">
      <c r="A35" s="36" t="s">
        <v>465</v>
      </c>
      <c r="B35" s="86"/>
      <c r="C35" s="36" t="s">
        <v>442</v>
      </c>
      <c r="D35" s="36" t="s">
        <v>435</v>
      </c>
      <c r="E35" s="36" t="s">
        <v>124</v>
      </c>
      <c r="F35" s="86">
        <v>9</v>
      </c>
      <c r="G35" s="86">
        <v>12</v>
      </c>
      <c r="H35" s="86">
        <v>0</v>
      </c>
      <c r="I35" s="86">
        <v>56</v>
      </c>
      <c r="J35" s="86">
        <f t="shared" si="0"/>
        <v>16</v>
      </c>
      <c r="K35" s="86" t="s">
        <v>528</v>
      </c>
      <c r="L35" s="86"/>
      <c r="M35" s="86"/>
      <c r="N35" s="86"/>
      <c r="O35" s="86"/>
      <c r="P35" s="86"/>
      <c r="Q35" s="86"/>
      <c r="R35" s="86"/>
      <c r="S35" s="86"/>
      <c r="T35" s="86"/>
      <c r="U35" s="86"/>
      <c r="V35" s="86"/>
      <c r="W35" s="86"/>
      <c r="X35" s="86"/>
      <c r="Y35" s="86"/>
      <c r="Z35" s="14">
        <v>50</v>
      </c>
      <c r="AA35" s="86" t="s">
        <v>466</v>
      </c>
      <c r="AB35" s="86"/>
      <c r="AC35" s="86"/>
      <c r="AD35" s="86"/>
      <c r="AE35" s="86"/>
      <c r="AF35" s="86"/>
      <c r="AG35" s="86"/>
      <c r="AH35" s="86"/>
      <c r="AI35" s="86"/>
      <c r="AJ35" s="86"/>
      <c r="AK35" s="86"/>
      <c r="AL35" s="86"/>
      <c r="AM35" s="86"/>
      <c r="AN35" s="86"/>
      <c r="AO35" s="86"/>
      <c r="AP35" s="86"/>
      <c r="AQ35" s="86"/>
      <c r="AR35" s="86"/>
      <c r="AS35" s="86"/>
      <c r="AT35" s="86" t="s">
        <v>437</v>
      </c>
      <c r="AU35" s="86"/>
      <c r="AV35" s="86"/>
    </row>
    <row r="36" spans="1:49">
      <c r="A36" s="36" t="s">
        <v>467</v>
      </c>
      <c r="C36" s="36" t="s">
        <v>442</v>
      </c>
      <c r="D36" s="36" t="s">
        <v>435</v>
      </c>
      <c r="E36" s="36" t="s">
        <v>124</v>
      </c>
      <c r="F36" s="86">
        <v>9</v>
      </c>
      <c r="G36" s="86">
        <v>12</v>
      </c>
      <c r="H36" s="86">
        <v>0</v>
      </c>
      <c r="I36" s="86">
        <v>56</v>
      </c>
      <c r="J36" s="86">
        <f t="shared" si="0"/>
        <v>16</v>
      </c>
      <c r="K36" s="86" t="s">
        <v>529</v>
      </c>
      <c r="L36" s="86"/>
      <c r="M36" s="86"/>
      <c r="N36" s="86"/>
      <c r="O36" s="86"/>
      <c r="P36" s="86"/>
      <c r="Q36" s="86"/>
      <c r="R36" s="86"/>
      <c r="S36" s="86"/>
      <c r="T36" s="86"/>
      <c r="U36" s="86"/>
      <c r="V36" s="86"/>
      <c r="W36" s="86"/>
      <c r="X36" s="86"/>
      <c r="Y36" s="86"/>
      <c r="Z36" s="14">
        <v>50</v>
      </c>
      <c r="AA36" s="86" t="s">
        <v>466</v>
      </c>
      <c r="AB36" s="86"/>
      <c r="AC36" s="86"/>
      <c r="AD36" s="86"/>
      <c r="AE36" s="86"/>
      <c r="AF36" s="86"/>
      <c r="AG36" s="86"/>
      <c r="AH36" s="86"/>
      <c r="AI36" s="86"/>
      <c r="AJ36" s="86"/>
      <c r="AK36" s="86"/>
      <c r="AL36" s="86"/>
      <c r="AM36" s="86"/>
      <c r="AN36" s="86"/>
      <c r="AO36" s="86"/>
      <c r="AP36" s="86"/>
      <c r="AQ36" s="86"/>
      <c r="AR36" s="86"/>
      <c r="AS36" s="86"/>
      <c r="AT36" s="86" t="s">
        <v>437</v>
      </c>
      <c r="AU36" s="86"/>
      <c r="AV36" s="86"/>
    </row>
    <row r="37" spans="1:49">
      <c r="A37" s="36" t="s">
        <v>635</v>
      </c>
      <c r="C37" s="36" t="s">
        <v>442</v>
      </c>
      <c r="D37" s="36" t="s">
        <v>435</v>
      </c>
      <c r="E37" s="36" t="s">
        <v>124</v>
      </c>
      <c r="F37" s="86">
        <v>9</v>
      </c>
      <c r="G37" s="86">
        <v>12</v>
      </c>
      <c r="H37" s="86">
        <v>0</v>
      </c>
      <c r="I37" s="86">
        <v>56</v>
      </c>
      <c r="J37" s="86">
        <f t="shared" si="0"/>
        <v>16</v>
      </c>
      <c r="K37" s="86" t="s">
        <v>531</v>
      </c>
      <c r="L37" s="86"/>
      <c r="M37" s="86"/>
      <c r="N37" s="86"/>
      <c r="O37" s="86"/>
      <c r="P37" s="86"/>
      <c r="Q37" s="86"/>
      <c r="R37" s="86"/>
      <c r="S37" s="86"/>
      <c r="T37" s="86"/>
      <c r="U37" s="86"/>
      <c r="V37" s="86"/>
      <c r="W37" s="86"/>
      <c r="X37" s="86"/>
      <c r="Y37" s="86"/>
      <c r="Z37" s="14">
        <v>50</v>
      </c>
      <c r="AA37" s="86" t="s">
        <v>466</v>
      </c>
      <c r="AB37" s="86"/>
      <c r="AC37" s="86"/>
      <c r="AD37" s="86"/>
      <c r="AE37" s="86"/>
      <c r="AF37" s="86"/>
      <c r="AG37" s="86"/>
      <c r="AH37" s="86"/>
      <c r="AI37" s="86"/>
      <c r="AJ37" s="86"/>
      <c r="AK37" s="86"/>
      <c r="AL37" s="86"/>
      <c r="AM37" s="86"/>
      <c r="AN37" s="86"/>
      <c r="AO37" s="86"/>
      <c r="AP37" s="86"/>
      <c r="AQ37" s="86"/>
      <c r="AR37" s="86"/>
      <c r="AS37" s="86"/>
      <c r="AT37" s="86" t="s">
        <v>437</v>
      </c>
      <c r="AU37" s="86"/>
      <c r="AV37" s="86"/>
    </row>
    <row r="38" spans="1:49">
      <c r="A38" s="36" t="s">
        <v>636</v>
      </c>
      <c r="C38" s="36" t="s">
        <v>442</v>
      </c>
      <c r="D38" s="36" t="s">
        <v>435</v>
      </c>
      <c r="E38" s="36" t="s">
        <v>124</v>
      </c>
      <c r="F38" s="86">
        <v>9</v>
      </c>
      <c r="G38" s="86">
        <v>12</v>
      </c>
      <c r="H38" s="86">
        <v>0</v>
      </c>
      <c r="I38" s="86">
        <v>56</v>
      </c>
      <c r="J38" s="86">
        <f t="shared" si="0"/>
        <v>16</v>
      </c>
      <c r="K38" s="86" t="s">
        <v>528</v>
      </c>
      <c r="L38" s="86"/>
      <c r="M38" s="86"/>
      <c r="N38" s="86"/>
      <c r="O38" s="86"/>
      <c r="P38" s="86"/>
      <c r="Q38" s="86"/>
      <c r="R38" s="86"/>
      <c r="S38" s="86"/>
      <c r="T38" s="86"/>
      <c r="U38" s="86"/>
      <c r="V38" s="86"/>
      <c r="W38" s="86"/>
      <c r="X38" s="86"/>
      <c r="Y38" s="86"/>
      <c r="Z38" s="14">
        <v>50</v>
      </c>
      <c r="AA38" s="86" t="s">
        <v>466</v>
      </c>
      <c r="AB38" s="86"/>
      <c r="AC38" s="86"/>
      <c r="AD38" s="86"/>
      <c r="AE38" s="86"/>
      <c r="AF38" s="86"/>
      <c r="AG38" s="86"/>
      <c r="AH38" s="86"/>
      <c r="AI38" s="86"/>
      <c r="AJ38" s="86"/>
      <c r="AK38" s="86"/>
      <c r="AL38" s="86"/>
      <c r="AM38" s="86"/>
      <c r="AN38" s="86"/>
      <c r="AO38" s="86"/>
      <c r="AP38" s="86"/>
      <c r="AQ38" s="86"/>
      <c r="AR38" s="86"/>
      <c r="AS38" s="86"/>
      <c r="AT38" s="86" t="s">
        <v>437</v>
      </c>
      <c r="AU38" s="86"/>
      <c r="AV38" s="86"/>
    </row>
    <row r="39" spans="1:49">
      <c r="A39" s="36" t="s">
        <v>468</v>
      </c>
      <c r="C39" s="36" t="s">
        <v>442</v>
      </c>
      <c r="D39" s="36" t="s">
        <v>435</v>
      </c>
      <c r="E39" s="36" t="s">
        <v>469</v>
      </c>
      <c r="F39" s="86">
        <v>4</v>
      </c>
      <c r="G39" s="86">
        <v>4</v>
      </c>
      <c r="H39" s="86">
        <v>0</v>
      </c>
      <c r="I39" s="86">
        <v>41</v>
      </c>
      <c r="J39" s="86">
        <f t="shared" si="0"/>
        <v>4</v>
      </c>
      <c r="K39" s="86" t="s">
        <v>531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t="s">
        <v>437</v>
      </c>
      <c r="AU39" s="86"/>
      <c r="AV39" s="86"/>
    </row>
    <row r="40" spans="1:49">
      <c r="A40" s="36" t="s">
        <v>470</v>
      </c>
      <c r="C40" s="36" t="s">
        <v>442</v>
      </c>
      <c r="D40" s="36" t="s">
        <v>435</v>
      </c>
      <c r="E40" s="36" t="s">
        <v>471</v>
      </c>
      <c r="F40" s="86">
        <v>4</v>
      </c>
      <c r="G40" s="86">
        <v>4</v>
      </c>
      <c r="H40" s="86">
        <v>0</v>
      </c>
      <c r="I40" s="86">
        <v>41</v>
      </c>
      <c r="J40" s="86">
        <f t="shared" si="0"/>
        <v>4</v>
      </c>
      <c r="K40" s="86" t="s">
        <v>531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t="s">
        <v>437</v>
      </c>
      <c r="AU40" s="86"/>
      <c r="AV40" s="86"/>
    </row>
    <row r="41" spans="1:49" ht="14.45">
      <c r="A41" s="6" t="s">
        <v>472</v>
      </c>
      <c r="B41" s="6"/>
      <c r="C41" s="6" t="s">
        <v>442</v>
      </c>
      <c r="D41" s="6" t="s">
        <v>435</v>
      </c>
      <c r="E41" s="15" t="s">
        <v>473</v>
      </c>
      <c r="F41" s="14">
        <v>8</v>
      </c>
      <c r="G41" s="14">
        <v>11</v>
      </c>
      <c r="H41" s="14">
        <v>0</v>
      </c>
      <c r="I41" s="14">
        <v>125</v>
      </c>
      <c r="J41" s="86">
        <f t="shared" si="0"/>
        <v>16</v>
      </c>
      <c r="K41" s="86" t="s">
        <v>528</v>
      </c>
      <c r="L41" s="14"/>
      <c r="M41" s="14"/>
      <c r="N41" s="2"/>
      <c r="O41"/>
      <c r="P41" s="14"/>
      <c r="Q41" s="14"/>
      <c r="R41" s="14"/>
      <c r="S41" s="14"/>
      <c r="T41" s="14"/>
      <c r="U41" s="14"/>
      <c r="V41" s="6"/>
      <c r="W41" s="6"/>
      <c r="X41" s="14"/>
      <c r="Y41" s="14"/>
      <c r="Z41" s="6"/>
      <c r="AA41" s="6"/>
      <c r="AB41" s="6"/>
      <c r="AC41" s="6"/>
      <c r="AD41" s="6"/>
      <c r="AE41" s="6"/>
      <c r="AF41" s="6"/>
      <c r="AG41" s="86"/>
      <c r="AJ41" s="86">
        <v>135</v>
      </c>
      <c r="AK41" s="86" t="s">
        <v>474</v>
      </c>
      <c r="AL41" s="86"/>
      <c r="AM41" s="86"/>
      <c r="AN41" s="86"/>
      <c r="AO41" s="86"/>
      <c r="AP41" s="6"/>
      <c r="AQ41" s="6"/>
      <c r="AR41" s="6"/>
      <c r="AS41" s="6"/>
      <c r="AT41" s="14" t="s">
        <v>437</v>
      </c>
      <c r="AU41" s="14"/>
      <c r="AV41" s="14"/>
    </row>
    <row r="42" spans="1:49" s="6" customFormat="1" ht="13.5" customHeight="1">
      <c r="A42" s="6" t="s">
        <v>480</v>
      </c>
      <c r="C42" s="6" t="s">
        <v>442</v>
      </c>
      <c r="D42" s="6" t="s">
        <v>435</v>
      </c>
      <c r="E42" s="6" t="s">
        <v>637</v>
      </c>
      <c r="F42" s="14">
        <v>7</v>
      </c>
      <c r="G42" s="14">
        <v>7</v>
      </c>
      <c r="H42" s="14">
        <v>0</v>
      </c>
      <c r="I42" s="14">
        <v>90</v>
      </c>
      <c r="J42" s="86">
        <f t="shared" si="0"/>
        <v>4</v>
      </c>
      <c r="K42" s="14" t="s">
        <v>529</v>
      </c>
      <c r="L42" s="14"/>
      <c r="M42" s="14"/>
      <c r="N42" s="2"/>
      <c r="O42"/>
      <c r="P42" s="14"/>
      <c r="Q42" s="14"/>
      <c r="R42" s="14"/>
      <c r="S42" s="14"/>
      <c r="T42" s="14"/>
      <c r="U42" s="14"/>
      <c r="V42" s="14"/>
      <c r="W42" s="14"/>
      <c r="X42" s="14"/>
      <c r="AF42" s="14"/>
      <c r="AG42" s="86"/>
      <c r="AH42" s="86"/>
      <c r="AI42" s="86"/>
      <c r="AJ42" s="86">
        <v>135</v>
      </c>
      <c r="AK42" s="86" t="s">
        <v>474</v>
      </c>
      <c r="AL42" s="86"/>
      <c r="AM42" s="86"/>
      <c r="AN42" s="86"/>
      <c r="AO42" s="86"/>
      <c r="AT42" s="14" t="s">
        <v>437</v>
      </c>
      <c r="AU42" s="14"/>
      <c r="AV42" s="14"/>
    </row>
    <row r="43" spans="1:49" s="6" customFormat="1" ht="13.5" customHeight="1">
      <c r="A43" s="6" t="s">
        <v>476</v>
      </c>
      <c r="C43" s="6" t="s">
        <v>442</v>
      </c>
      <c r="D43" s="6" t="s">
        <v>435</v>
      </c>
      <c r="E43" s="6" t="s">
        <v>638</v>
      </c>
      <c r="F43" s="14">
        <v>6</v>
      </c>
      <c r="G43" s="14">
        <v>6</v>
      </c>
      <c r="H43" s="14">
        <v>0</v>
      </c>
      <c r="I43" s="14">
        <v>60</v>
      </c>
      <c r="J43" s="86">
        <f t="shared" si="0"/>
        <v>4</v>
      </c>
      <c r="K43" s="14" t="s">
        <v>531</v>
      </c>
      <c r="L43" s="14"/>
      <c r="M43" s="14"/>
      <c r="N43" s="2"/>
      <c r="O43"/>
      <c r="P43" s="14"/>
      <c r="Q43" s="14"/>
      <c r="R43" s="14"/>
      <c r="S43" s="14"/>
      <c r="T43" s="14"/>
      <c r="U43" s="14"/>
      <c r="V43" s="14"/>
      <c r="W43" s="14"/>
      <c r="X43" s="14"/>
      <c r="AF43" s="14"/>
      <c r="AG43" s="86"/>
      <c r="AH43" s="86"/>
      <c r="AI43" s="86"/>
      <c r="AJ43" s="86">
        <v>135</v>
      </c>
      <c r="AK43" s="86" t="s">
        <v>474</v>
      </c>
      <c r="AL43" s="86"/>
      <c r="AM43" s="86"/>
      <c r="AN43" s="86"/>
      <c r="AO43" s="86"/>
      <c r="AT43" s="14" t="s">
        <v>437</v>
      </c>
      <c r="AU43" s="14"/>
      <c r="AV43" s="14"/>
    </row>
    <row r="44" spans="1:49" s="40" customFormat="1">
      <c r="F44" s="41">
        <f>SUM(F8:F43)</f>
        <v>241</v>
      </c>
      <c r="G44" s="41">
        <f>SUM(G8:G43)</f>
        <v>718</v>
      </c>
      <c r="H44" s="41">
        <f>SUM(H8:H43)</f>
        <v>437</v>
      </c>
      <c r="I44" s="41">
        <f>SUM(I8:I43)</f>
        <v>3879</v>
      </c>
      <c r="J44" s="41"/>
      <c r="K44" s="41"/>
      <c r="L44" s="41">
        <f>SUM(L8:L43)</f>
        <v>500</v>
      </c>
      <c r="M44" s="41"/>
      <c r="N44" s="41">
        <f>SUM(N8:N43)</f>
        <v>9000</v>
      </c>
      <c r="O44" s="41"/>
      <c r="P44" s="41">
        <f>SUM(P8:P43)</f>
        <v>13500</v>
      </c>
      <c r="Q44" s="41"/>
      <c r="R44" s="41">
        <f>SUM(R8:R43)</f>
        <v>920</v>
      </c>
      <c r="S44" s="41"/>
      <c r="T44" s="41">
        <f>SUM(T8:T43)</f>
        <v>300</v>
      </c>
      <c r="U44" s="41"/>
      <c r="V44" s="41">
        <f>SUM(V8:V43)</f>
        <v>0</v>
      </c>
      <c r="W44" s="41"/>
      <c r="X44" s="41">
        <f>SUM(X8:X43)</f>
        <v>31056</v>
      </c>
      <c r="Z44" s="41">
        <f>SUM(Z8:Z43)</f>
        <v>200</v>
      </c>
      <c r="AB44" s="41">
        <f>SUM(AB8:AB43)</f>
        <v>50</v>
      </c>
      <c r="AD44" s="41">
        <f>SUM(AD8:AD43)</f>
        <v>200</v>
      </c>
      <c r="AF44" s="41">
        <f>SUM(AF8:AF43)</f>
        <v>0</v>
      </c>
      <c r="AH44" s="41">
        <f>SUM(AH8:AH43)</f>
        <v>0</v>
      </c>
      <c r="AJ44" s="41">
        <f>SUM(AJ8:AJ43)</f>
        <v>405</v>
      </c>
      <c r="AL44" s="41">
        <f>SUM(AL8:AL43)</f>
        <v>0</v>
      </c>
      <c r="AN44" s="41">
        <f>SUM(AN8:AN43)</f>
        <v>0</v>
      </c>
      <c r="AP44" s="41">
        <f>SUM(AP8:AP43)</f>
        <v>6144</v>
      </c>
      <c r="AT44" s="41">
        <f>COUNTIF(AT8:AT43,"x")</f>
        <v>36</v>
      </c>
      <c r="AU44" s="41">
        <f>COUNTIF(AU8:AU43,"x")</f>
        <v>14</v>
      </c>
      <c r="AV44" s="41">
        <f>COUNTIF(AV8:AV43,"x")</f>
        <v>2</v>
      </c>
    </row>
    <row r="45" spans="1:49" s="6" customFormat="1" ht="13.5" customHeight="1">
      <c r="A45" s="16" t="s">
        <v>475</v>
      </c>
      <c r="F45" s="14"/>
      <c r="G45" s="14"/>
      <c r="H45" s="14"/>
      <c r="I45" s="14"/>
      <c r="J45" s="14"/>
      <c r="K45" s="14"/>
      <c r="L45" s="14"/>
      <c r="M45" s="14"/>
      <c r="N45" s="14"/>
      <c r="O45"/>
      <c r="P45" s="14"/>
      <c r="Q45" s="14"/>
      <c r="R45" s="14"/>
      <c r="S45" s="14"/>
      <c r="T45" s="14"/>
      <c r="U45" s="14"/>
      <c r="V45" s="14"/>
      <c r="X45" s="14"/>
      <c r="Z45" s="14"/>
      <c r="AB45" s="14"/>
      <c r="AD45" s="14"/>
      <c r="AF45" s="14"/>
      <c r="AG45" s="14"/>
      <c r="AH45" s="14"/>
    </row>
    <row r="46" spans="1:49" s="6" customFormat="1" ht="13.5" customHeight="1">
      <c r="A46" s="6" t="s">
        <v>476</v>
      </c>
      <c r="C46" s="6" t="s">
        <v>442</v>
      </c>
      <c r="D46" s="6" t="s">
        <v>435</v>
      </c>
      <c r="E46" s="6" t="s">
        <v>477</v>
      </c>
      <c r="F46" s="14">
        <v>8</v>
      </c>
      <c r="G46" s="14">
        <v>16</v>
      </c>
      <c r="H46" s="14">
        <v>0</v>
      </c>
      <c r="I46" s="14">
        <v>30</v>
      </c>
      <c r="J46" s="86">
        <f>IF(G46&gt;=10,16, 4)-J43</f>
        <v>12</v>
      </c>
      <c r="K46" s="14" t="s">
        <v>531</v>
      </c>
      <c r="L46" s="14"/>
      <c r="M46" s="14"/>
      <c r="N46" s="2"/>
      <c r="O46"/>
      <c r="P46" s="14"/>
      <c r="Q46" s="14"/>
      <c r="R46" s="14"/>
      <c r="S46" s="14"/>
      <c r="T46" s="14"/>
      <c r="U46" s="14"/>
      <c r="V46" s="14"/>
      <c r="W46" s="14"/>
      <c r="X46" s="14">
        <v>200</v>
      </c>
      <c r="Y46" s="6" t="s">
        <v>206</v>
      </c>
      <c r="AF46" s="14"/>
      <c r="AG46" s="86"/>
      <c r="AH46" s="86"/>
      <c r="AI46" s="86"/>
      <c r="AJ46" s="86"/>
      <c r="AK46" s="86"/>
      <c r="AL46" s="86"/>
      <c r="AM46" s="86"/>
      <c r="AN46" s="86"/>
      <c r="AO46" s="86"/>
      <c r="AR46" s="6">
        <v>150</v>
      </c>
      <c r="AS46" s="6" t="s">
        <v>474</v>
      </c>
      <c r="AT46" s="14"/>
      <c r="AU46" s="14"/>
      <c r="AV46" s="14"/>
    </row>
    <row r="47" spans="1:49" ht="12.95">
      <c r="A47" s="138" t="s">
        <v>478</v>
      </c>
      <c r="AP47" s="86"/>
    </row>
    <row r="48" spans="1:49" s="6" customFormat="1" ht="13.5" customHeight="1">
      <c r="A48" s="6" t="s">
        <v>472</v>
      </c>
      <c r="C48" s="6" t="s">
        <v>442</v>
      </c>
      <c r="D48" s="6" t="s">
        <v>435</v>
      </c>
      <c r="E48" s="6" t="s">
        <v>479</v>
      </c>
      <c r="F48" s="14">
        <v>8</v>
      </c>
      <c r="G48" s="14">
        <v>22</v>
      </c>
      <c r="H48" s="14">
        <v>0</v>
      </c>
      <c r="I48" s="14">
        <v>28</v>
      </c>
      <c r="J48" s="86">
        <f>IF(G48&gt;=10,16, 4)-J41</f>
        <v>0</v>
      </c>
      <c r="K48" s="14" t="s">
        <v>528</v>
      </c>
      <c r="L48" s="14"/>
      <c r="M48" s="14"/>
      <c r="N48" s="2"/>
      <c r="O48"/>
      <c r="P48" s="14"/>
      <c r="Q48" s="14"/>
      <c r="R48" s="14">
        <v>120</v>
      </c>
      <c r="S48" s="14" t="s">
        <v>449</v>
      </c>
      <c r="V48" s="14"/>
      <c r="W48" s="14"/>
      <c r="X48" s="14">
        <v>340</v>
      </c>
      <c r="Y48" s="14" t="s">
        <v>206</v>
      </c>
      <c r="AD48" s="14"/>
      <c r="AE48" s="14"/>
      <c r="AF48" s="14"/>
      <c r="AG48" s="14"/>
      <c r="AH48" s="86">
        <v>200</v>
      </c>
      <c r="AI48" s="86" t="s">
        <v>474</v>
      </c>
      <c r="AT48" s="14"/>
      <c r="AU48" s="14"/>
      <c r="AV48" s="14"/>
      <c r="AW48" s="14"/>
    </row>
    <row r="49" spans="1:50" s="19" customFormat="1" ht="13.5" customHeight="1">
      <c r="A49" s="19" t="s">
        <v>480</v>
      </c>
      <c r="C49" s="19" t="s">
        <v>442</v>
      </c>
      <c r="D49" s="19" t="s">
        <v>435</v>
      </c>
      <c r="E49" s="19" t="s">
        <v>481</v>
      </c>
      <c r="F49" s="17">
        <v>6</v>
      </c>
      <c r="G49" s="17">
        <v>17</v>
      </c>
      <c r="H49" s="17">
        <v>0</v>
      </c>
      <c r="I49" s="17">
        <v>30</v>
      </c>
      <c r="J49" s="17">
        <f>IF(G49&gt;=10,16, 4)-J43</f>
        <v>12</v>
      </c>
      <c r="K49" s="17" t="s">
        <v>529</v>
      </c>
      <c r="L49" s="17"/>
      <c r="M49" s="17"/>
      <c r="N49" s="99"/>
      <c r="O49" s="98"/>
      <c r="P49" s="17"/>
      <c r="Q49" s="17"/>
      <c r="R49" s="17"/>
      <c r="S49" s="17"/>
      <c r="V49" s="17"/>
      <c r="W49" s="17"/>
      <c r="X49" s="17"/>
      <c r="Y49" s="17"/>
      <c r="AD49" s="17"/>
      <c r="AE49" s="17"/>
      <c r="AF49" s="17"/>
      <c r="AG49" s="17"/>
      <c r="AH49" s="17"/>
      <c r="AR49" s="156"/>
      <c r="AT49" s="17"/>
      <c r="AU49" s="17"/>
      <c r="AW49" s="17"/>
    </row>
    <row r="50" spans="1:50" s="6" customFormat="1" ht="13.5" customHeight="1">
      <c r="F50" s="14">
        <f>SUM(F46:F49)+F44</f>
        <v>263</v>
      </c>
      <c r="G50" s="14">
        <f>SUM(G46:G49)+G44</f>
        <v>773</v>
      </c>
      <c r="H50" s="14">
        <f>SUM(H46:H49)+H44</f>
        <v>437</v>
      </c>
      <c r="I50" s="14">
        <f>SUM(I46:I49)+I44</f>
        <v>3967</v>
      </c>
      <c r="J50" s="14"/>
      <c r="K50" s="14"/>
      <c r="L50" s="14">
        <f>SUM(L46:L49)+L44</f>
        <v>500</v>
      </c>
      <c r="M50" s="14"/>
      <c r="N50" s="14">
        <f>SUM(N46:N49)+N44</f>
        <v>9000</v>
      </c>
      <c r="O50"/>
      <c r="P50" s="14">
        <f>SUM(P46:P49)+P44</f>
        <v>13500</v>
      </c>
      <c r="Q50" s="14"/>
      <c r="R50" s="14">
        <f>SUM(R46:R49)+R44</f>
        <v>1040</v>
      </c>
      <c r="S50" s="14"/>
      <c r="T50" s="14">
        <f>SUM(T46:T49)+T44</f>
        <v>300</v>
      </c>
      <c r="V50" s="14">
        <f>SUM(V46:V49)+V44</f>
        <v>0</v>
      </c>
      <c r="W50" s="14"/>
      <c r="X50" s="14">
        <f>SUM(X46:X49)+X44</f>
        <v>31596</v>
      </c>
      <c r="Z50" s="14">
        <f>SUM(Z46:Z49)+Z44</f>
        <v>200</v>
      </c>
      <c r="AB50" s="14">
        <f>SUM(AB46:AB49)+AB44</f>
        <v>50</v>
      </c>
      <c r="AD50" s="14">
        <f>SUM(AD46:AD49)+AD44</f>
        <v>200</v>
      </c>
      <c r="AE50" s="14"/>
      <c r="AF50" s="14">
        <f>SUM(AF46:AF49)+AF44</f>
        <v>0</v>
      </c>
      <c r="AG50" s="14"/>
      <c r="AH50" s="14">
        <f>SUM(AH46:AH49)+AH44</f>
        <v>200</v>
      </c>
      <c r="AJ50" s="14">
        <f>SUM(AJ46:AJ49)+AJ44</f>
        <v>405</v>
      </c>
      <c r="AL50" s="14">
        <f>SUM(AL46:AL49)+AL44</f>
        <v>0</v>
      </c>
      <c r="AN50" s="14">
        <f>SUM(AN46:AN49)+AN44</f>
        <v>0</v>
      </c>
      <c r="AP50" s="14">
        <f>SUM(AP46:AP49)+AP44</f>
        <v>6144</v>
      </c>
      <c r="AR50" s="155">
        <f>SUM(AR46:AR49)+AR44</f>
        <v>150</v>
      </c>
      <c r="AT50" s="41">
        <f>COUNTIF(AT48:AT49,"x")+AT44</f>
        <v>36</v>
      </c>
      <c r="AU50" s="41">
        <f>COUNTIF(AU48:AU49,"x")+AU44</f>
        <v>14</v>
      </c>
      <c r="AV50" s="41">
        <f>COUNTIF(AV48:AV49,"x")+AV44</f>
        <v>2</v>
      </c>
      <c r="AW50" s="14"/>
      <c r="AX50" s="14"/>
    </row>
    <row r="52" spans="1:50">
      <c r="F52" s="86"/>
      <c r="G52" s="86"/>
      <c r="H52" s="86"/>
      <c r="I52" s="86"/>
      <c r="J52" s="86"/>
      <c r="K52" s="86"/>
      <c r="L52" s="86"/>
      <c r="M52" s="86"/>
      <c r="N52" s="86"/>
      <c r="O52" s="86"/>
      <c r="P52" s="86"/>
      <c r="Q52" s="86"/>
      <c r="R52" s="86"/>
      <c r="S52" s="86"/>
      <c r="T52" s="86"/>
      <c r="U52" s="86"/>
      <c r="V52" s="86"/>
      <c r="W52" s="86"/>
      <c r="X52" s="86"/>
    </row>
    <row r="53" spans="1:50" ht="12.95" customHeight="1">
      <c r="A53" s="180" t="s">
        <v>482</v>
      </c>
      <c r="B53" s="180"/>
      <c r="C53" s="180"/>
      <c r="D53" s="180"/>
      <c r="E53" s="42"/>
      <c r="F53" s="90"/>
      <c r="G53" s="90"/>
      <c r="H53" s="183" t="str">
        <f>"Note1: The hardware resource pool provided here corresponds only to MantaRay NM virtual machines. If optional virtual machines are used then plan for the hardware resources accordingly.
Note2: ESXi reserves " &amp; IF(E9="vCSA8.0", 12, 8) &amp;" GB Memory for internal purpose
Note3: "&amp; IF(E9="vCSA8.0", 2, 1) &amp; " CPU is used by vSphere "&amp; IF(E9="vCSA8.0",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53" s="183"/>
      <c r="J53" s="183"/>
      <c r="K53" s="183"/>
      <c r="L53" s="183"/>
      <c r="M53" s="183"/>
      <c r="N53" s="183"/>
      <c r="O53" s="18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row>
    <row r="54" spans="1:50" ht="12.95" customHeight="1">
      <c r="A54" s="180"/>
      <c r="B54" s="180"/>
      <c r="C54" s="180"/>
      <c r="D54" s="180"/>
      <c r="E54" s="25" t="s">
        <v>654</v>
      </c>
      <c r="F54" s="90">
        <f>160-(IF(E9="vCSA8.0", 2, 1))</f>
        <v>158</v>
      </c>
      <c r="G54" s="90">
        <f>5*(384-(IF(E9="vCSA8.0", 12, 8)))</f>
        <v>1860</v>
      </c>
      <c r="H54" s="183"/>
      <c r="I54" s="183"/>
      <c r="J54" s="183"/>
      <c r="K54" s="183"/>
      <c r="L54" s="183"/>
      <c r="M54" s="183"/>
      <c r="N54" s="183"/>
      <c r="O54" s="18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row>
    <row r="55" spans="1:50" ht="12.95" customHeight="1">
      <c r="A55" s="90"/>
      <c r="B55" s="90"/>
      <c r="C55" s="90"/>
      <c r="D55" s="90"/>
      <c r="E55" s="25" t="s">
        <v>639</v>
      </c>
      <c r="F55" s="90">
        <f>(4*2*28)-(IF(E9="vCSA8.0", 2, 1))</f>
        <v>222</v>
      </c>
      <c r="G55" s="90">
        <f>4*(512-(IF(E9="vCSA8.0", 12, 8)))</f>
        <v>2000</v>
      </c>
      <c r="H55" s="183"/>
      <c r="I55" s="183"/>
      <c r="J55" s="183"/>
      <c r="K55" s="183"/>
      <c r="L55" s="183"/>
      <c r="M55" s="183"/>
      <c r="N55" s="183"/>
      <c r="O55" s="18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row>
    <row r="56" spans="1:50" ht="12.95" customHeight="1">
      <c r="A56" s="90"/>
      <c r="B56" s="90"/>
      <c r="C56" s="90"/>
      <c r="D56" s="90"/>
      <c r="E56" s="25" t="s">
        <v>640</v>
      </c>
      <c r="F56" s="90">
        <f>(4*2*28)-(IF(E9="vCSA8.0", 2, 1))</f>
        <v>222</v>
      </c>
      <c r="G56" s="90">
        <f>4*(512-(IF(E9="vCSA8.0", 12, 8)))</f>
        <v>2000</v>
      </c>
      <c r="H56" s="183"/>
      <c r="I56" s="183"/>
      <c r="J56" s="183"/>
      <c r="K56" s="183"/>
      <c r="L56" s="183"/>
      <c r="M56" s="183"/>
      <c r="N56" s="183"/>
      <c r="O56" s="18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row>
    <row r="57" spans="1:50" ht="12.95" customHeight="1">
      <c r="A57" s="90"/>
      <c r="B57" s="90"/>
      <c r="C57" s="90"/>
      <c r="D57" s="90"/>
      <c r="E57" s="25"/>
      <c r="F57" s="90"/>
      <c r="G57" s="90"/>
      <c r="H57" s="183"/>
      <c r="I57" s="183"/>
      <c r="J57" s="183"/>
      <c r="K57" s="183"/>
      <c r="L57" s="183"/>
      <c r="M57" s="183"/>
      <c r="N57" s="183"/>
      <c r="O57" s="18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row>
    <row r="59" spans="1:50" ht="14.45">
      <c r="A59" s="192" t="s">
        <v>619</v>
      </c>
      <c r="B59" s="193"/>
      <c r="C59" s="193"/>
      <c r="D59" s="193"/>
      <c r="E59" s="193"/>
      <c r="F59" s="128" t="s">
        <v>655</v>
      </c>
    </row>
    <row r="61" spans="1:50" ht="12.95">
      <c r="A61" s="16" t="s">
        <v>485</v>
      </c>
    </row>
    <row r="62" spans="1:50">
      <c r="A62" s="36" t="s">
        <v>486</v>
      </c>
      <c r="C62" s="36" t="s">
        <v>442</v>
      </c>
      <c r="D62" s="36" t="s">
        <v>435</v>
      </c>
      <c r="E62" s="36" t="s">
        <v>44</v>
      </c>
      <c r="F62" s="86">
        <v>16</v>
      </c>
      <c r="G62" s="86">
        <v>64</v>
      </c>
      <c r="H62" s="86">
        <v>0</v>
      </c>
      <c r="I62" s="14">
        <v>71</v>
      </c>
      <c r="J62" s="86">
        <f>IF(G62&gt;=10,16, 4)</f>
        <v>16</v>
      </c>
      <c r="K62" s="86"/>
      <c r="AT62" s="86" t="s">
        <v>437</v>
      </c>
      <c r="AV62" s="86"/>
    </row>
    <row r="63" spans="1:50">
      <c r="A63" s="36" t="s">
        <v>644</v>
      </c>
      <c r="C63" s="36" t="s">
        <v>442</v>
      </c>
      <c r="D63" s="21" t="s">
        <v>488</v>
      </c>
      <c r="E63" s="6" t="s">
        <v>112</v>
      </c>
      <c r="F63" s="86">
        <v>4</v>
      </c>
      <c r="G63" s="86">
        <v>4</v>
      </c>
      <c r="H63" s="86">
        <v>0</v>
      </c>
      <c r="I63" s="86">
        <v>100</v>
      </c>
      <c r="J63" s="86">
        <v>0</v>
      </c>
      <c r="K63" s="86" t="s">
        <v>529</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T63" s="86" t="s">
        <v>437</v>
      </c>
      <c r="AV63" s="86"/>
    </row>
    <row r="64" spans="1:50">
      <c r="A64" s="36" t="s">
        <v>645</v>
      </c>
      <c r="C64" s="36" t="s">
        <v>442</v>
      </c>
      <c r="D64" s="21" t="s">
        <v>488</v>
      </c>
      <c r="E64" s="6" t="s">
        <v>120</v>
      </c>
      <c r="F64" s="86">
        <v>4</v>
      </c>
      <c r="G64" s="86">
        <v>16</v>
      </c>
      <c r="H64" s="86">
        <v>0</v>
      </c>
      <c r="I64" s="14">
        <v>110</v>
      </c>
      <c r="J64" s="86">
        <v>0</v>
      </c>
      <c r="K64" s="86" t="s">
        <v>531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t="s">
        <v>437</v>
      </c>
      <c r="AV64" s="86"/>
    </row>
    <row r="65" spans="1:48">
      <c r="A65" s="36" t="s">
        <v>490</v>
      </c>
      <c r="C65" s="36" t="s">
        <v>442</v>
      </c>
      <c r="D65" s="21" t="s">
        <v>488</v>
      </c>
      <c r="E65" s="6" t="s">
        <v>116</v>
      </c>
      <c r="F65" s="86">
        <v>4</v>
      </c>
      <c r="G65" s="86">
        <v>14</v>
      </c>
      <c r="H65" s="86">
        <v>0</v>
      </c>
      <c r="I65" s="14">
        <v>120</v>
      </c>
      <c r="J65" s="86">
        <v>0</v>
      </c>
      <c r="K65" s="14" t="s">
        <v>529</v>
      </c>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t="s">
        <v>437</v>
      </c>
      <c r="AV65" s="86"/>
    </row>
    <row r="66" spans="1:48">
      <c r="A66" s="36" t="s">
        <v>539</v>
      </c>
      <c r="C66" s="36" t="s">
        <v>442</v>
      </c>
      <c r="D66" s="21" t="s">
        <v>488</v>
      </c>
      <c r="E66" s="6" t="s">
        <v>112</v>
      </c>
      <c r="F66" s="86">
        <v>4</v>
      </c>
      <c r="G66" s="86">
        <v>4</v>
      </c>
      <c r="H66" s="86">
        <v>0</v>
      </c>
      <c r="I66" s="86">
        <v>100</v>
      </c>
      <c r="J66" s="86">
        <v>0</v>
      </c>
      <c r="K66" s="86"/>
      <c r="AP66" s="86"/>
      <c r="AQ66" s="86"/>
      <c r="AR66" s="86"/>
      <c r="AS66" s="86"/>
      <c r="AT66" s="86" t="s">
        <v>437</v>
      </c>
      <c r="AV66" s="86"/>
    </row>
    <row r="67" spans="1:48">
      <c r="A67" s="36" t="s">
        <v>491</v>
      </c>
      <c r="C67" s="36" t="s">
        <v>442</v>
      </c>
      <c r="D67" s="21" t="s">
        <v>488</v>
      </c>
      <c r="E67" s="6" t="s">
        <v>120</v>
      </c>
      <c r="F67" s="86">
        <v>4</v>
      </c>
      <c r="G67" s="86">
        <v>16</v>
      </c>
      <c r="H67" s="86">
        <v>0</v>
      </c>
      <c r="I67" s="86">
        <v>100</v>
      </c>
      <c r="J67" s="86">
        <v>0</v>
      </c>
      <c r="K67" s="86"/>
      <c r="AT67" s="86" t="s">
        <v>437</v>
      </c>
      <c r="AV67" s="86"/>
    </row>
    <row r="68" spans="1:48">
      <c r="A68" s="36" t="s">
        <v>540</v>
      </c>
      <c r="C68" s="36" t="s">
        <v>442</v>
      </c>
      <c r="D68" s="21" t="s">
        <v>488</v>
      </c>
      <c r="E68" s="6" t="s">
        <v>120</v>
      </c>
      <c r="F68" s="86">
        <v>4</v>
      </c>
      <c r="G68" s="86">
        <v>16</v>
      </c>
      <c r="H68" s="86">
        <v>0</v>
      </c>
      <c r="I68" s="86">
        <v>100</v>
      </c>
      <c r="J68" s="86">
        <v>0</v>
      </c>
      <c r="K68" s="86"/>
      <c r="AT68" s="86" t="s">
        <v>437</v>
      </c>
      <c r="AV68" s="86"/>
    </row>
    <row r="69" spans="1:48">
      <c r="A69" s="36" t="s">
        <v>623</v>
      </c>
      <c r="C69" s="36" t="s">
        <v>442</v>
      </c>
      <c r="D69" s="21" t="s">
        <v>488</v>
      </c>
      <c r="E69" s="6" t="s">
        <v>120</v>
      </c>
      <c r="F69" s="86">
        <v>4</v>
      </c>
      <c r="G69" s="86">
        <v>16</v>
      </c>
      <c r="H69" s="86">
        <v>0</v>
      </c>
      <c r="I69" s="86">
        <v>100</v>
      </c>
      <c r="J69" s="86">
        <v>0</v>
      </c>
      <c r="K69" s="86"/>
      <c r="AT69" s="86" t="s">
        <v>437</v>
      </c>
      <c r="AV69" s="86"/>
    </row>
    <row r="70" spans="1:48">
      <c r="A70" s="36" t="s">
        <v>624</v>
      </c>
      <c r="C70" s="36" t="s">
        <v>442</v>
      </c>
      <c r="D70" s="21" t="s">
        <v>488</v>
      </c>
      <c r="E70" s="6" t="s">
        <v>120</v>
      </c>
      <c r="F70" s="86">
        <v>4</v>
      </c>
      <c r="G70" s="86">
        <v>16</v>
      </c>
      <c r="H70" s="86">
        <v>0</v>
      </c>
      <c r="I70" s="86">
        <v>100</v>
      </c>
      <c r="J70" s="86">
        <v>0</v>
      </c>
      <c r="K70" s="86"/>
      <c r="AT70" s="86" t="s">
        <v>437</v>
      </c>
      <c r="AV70" s="86"/>
    </row>
    <row r="71" spans="1:48">
      <c r="A71" s="36" t="s">
        <v>646</v>
      </c>
      <c r="C71" s="36" t="s">
        <v>442</v>
      </c>
      <c r="D71" s="21" t="s">
        <v>488</v>
      </c>
      <c r="E71" s="6" t="s">
        <v>120</v>
      </c>
      <c r="F71" s="86">
        <v>4</v>
      </c>
      <c r="G71" s="86">
        <v>16</v>
      </c>
      <c r="H71" s="86">
        <v>0</v>
      </c>
      <c r="I71" s="86">
        <v>100</v>
      </c>
      <c r="J71" s="86">
        <v>0</v>
      </c>
      <c r="K71" s="86"/>
      <c r="AT71" s="86" t="s">
        <v>437</v>
      </c>
      <c r="AV71" s="86"/>
    </row>
    <row r="72" spans="1:48">
      <c r="A72" s="36" t="s">
        <v>647</v>
      </c>
      <c r="C72" s="36" t="s">
        <v>442</v>
      </c>
      <c r="D72" s="21" t="s">
        <v>488</v>
      </c>
      <c r="E72" s="6" t="s">
        <v>120</v>
      </c>
      <c r="F72" s="86">
        <v>4</v>
      </c>
      <c r="G72" s="86">
        <v>16</v>
      </c>
      <c r="H72" s="86">
        <v>0</v>
      </c>
      <c r="I72" s="86">
        <v>100</v>
      </c>
      <c r="J72" s="86">
        <v>0</v>
      </c>
      <c r="K72" s="86"/>
      <c r="AT72" s="86" t="s">
        <v>437</v>
      </c>
      <c r="AV72" s="86"/>
    </row>
    <row r="73" spans="1:48">
      <c r="A73" s="36" t="s">
        <v>648</v>
      </c>
      <c r="C73" s="36" t="s">
        <v>442</v>
      </c>
      <c r="D73" s="21" t="s">
        <v>488</v>
      </c>
      <c r="E73" s="6" t="s">
        <v>120</v>
      </c>
      <c r="F73" s="86">
        <v>4</v>
      </c>
      <c r="G73" s="86">
        <v>16</v>
      </c>
      <c r="H73" s="86">
        <v>0</v>
      </c>
      <c r="I73" s="86">
        <v>100</v>
      </c>
      <c r="J73" s="86">
        <v>0</v>
      </c>
      <c r="K73" s="86"/>
      <c r="AT73" s="86" t="s">
        <v>437</v>
      </c>
      <c r="AV73" s="86"/>
    </row>
    <row r="74" spans="1:48">
      <c r="A74" s="36" t="s">
        <v>541</v>
      </c>
      <c r="C74" s="36" t="s">
        <v>442</v>
      </c>
      <c r="D74" s="21" t="s">
        <v>488</v>
      </c>
      <c r="E74" s="6" t="s">
        <v>116</v>
      </c>
      <c r="F74" s="86">
        <v>4</v>
      </c>
      <c r="G74" s="86">
        <v>14</v>
      </c>
      <c r="H74" s="86">
        <v>0</v>
      </c>
      <c r="I74" s="14">
        <v>120</v>
      </c>
      <c r="J74" s="86">
        <v>0</v>
      </c>
      <c r="K74" s="86"/>
      <c r="AT74" s="86" t="s">
        <v>437</v>
      </c>
      <c r="AV74" s="86"/>
    </row>
    <row r="75" spans="1:48">
      <c r="A75" s="36" t="s">
        <v>649</v>
      </c>
      <c r="C75" s="36" t="s">
        <v>442</v>
      </c>
      <c r="D75" s="21" t="s">
        <v>488</v>
      </c>
      <c r="E75" s="6" t="s">
        <v>120</v>
      </c>
      <c r="F75" s="86">
        <v>4</v>
      </c>
      <c r="G75" s="86">
        <v>16</v>
      </c>
      <c r="H75" s="86">
        <v>0</v>
      </c>
      <c r="I75" s="86">
        <v>100</v>
      </c>
      <c r="J75" s="86">
        <v>0</v>
      </c>
      <c r="K75" s="86"/>
      <c r="AT75" s="86" t="s">
        <v>437</v>
      </c>
      <c r="AV75" s="86"/>
    </row>
    <row r="76" spans="1:48">
      <c r="A76" s="36" t="s">
        <v>492</v>
      </c>
      <c r="C76" s="36" t="s">
        <v>442</v>
      </c>
      <c r="D76" s="36" t="s">
        <v>435</v>
      </c>
      <c r="E76" s="36" t="s">
        <v>55</v>
      </c>
      <c r="F76" s="86">
        <v>6</v>
      </c>
      <c r="G76" s="86">
        <v>20</v>
      </c>
      <c r="H76" s="86">
        <v>0</v>
      </c>
      <c r="I76" s="86">
        <v>201</v>
      </c>
      <c r="J76" s="86">
        <f t="shared" ref="J76:J95" si="1">IF(G76&gt;=10,16, 4)</f>
        <v>16</v>
      </c>
      <c r="K76" s="86"/>
      <c r="AT76" s="86" t="s">
        <v>437</v>
      </c>
      <c r="AV76" s="86"/>
    </row>
    <row r="77" spans="1:48">
      <c r="A77" s="36" t="s">
        <v>493</v>
      </c>
      <c r="C77" s="36" t="s">
        <v>442</v>
      </c>
      <c r="D77" s="36" t="s">
        <v>435</v>
      </c>
      <c r="E77" s="36" t="s">
        <v>55</v>
      </c>
      <c r="F77" s="86">
        <v>6</v>
      </c>
      <c r="G77" s="86">
        <v>20</v>
      </c>
      <c r="H77" s="86">
        <v>0</v>
      </c>
      <c r="I77" s="86">
        <v>201</v>
      </c>
      <c r="J77" s="86">
        <f t="shared" si="1"/>
        <v>16</v>
      </c>
      <c r="K77" s="86"/>
      <c r="AT77" s="86" t="s">
        <v>437</v>
      </c>
      <c r="AV77" s="86"/>
    </row>
    <row r="78" spans="1:48">
      <c r="A78" s="36" t="s">
        <v>625</v>
      </c>
      <c r="C78" s="36" t="s">
        <v>442</v>
      </c>
      <c r="D78" s="36" t="s">
        <v>435</v>
      </c>
      <c r="E78" s="36" t="s">
        <v>55</v>
      </c>
      <c r="F78" s="86">
        <v>6</v>
      </c>
      <c r="G78" s="86">
        <v>20</v>
      </c>
      <c r="H78" s="86">
        <v>0</v>
      </c>
      <c r="I78" s="86">
        <v>201</v>
      </c>
      <c r="J78" s="86">
        <f t="shared" si="1"/>
        <v>16</v>
      </c>
      <c r="K78" s="86"/>
      <c r="AT78" s="86" t="s">
        <v>437</v>
      </c>
      <c r="AV78" s="86"/>
    </row>
    <row r="79" spans="1:48">
      <c r="A79" s="36" t="s">
        <v>626</v>
      </c>
      <c r="C79" s="36" t="s">
        <v>442</v>
      </c>
      <c r="D79" s="36" t="s">
        <v>435</v>
      </c>
      <c r="E79" s="36" t="s">
        <v>55</v>
      </c>
      <c r="F79" s="86">
        <v>6</v>
      </c>
      <c r="G79" s="86">
        <v>20</v>
      </c>
      <c r="H79" s="86">
        <v>0</v>
      </c>
      <c r="I79" s="86">
        <v>201</v>
      </c>
      <c r="J79" s="86">
        <f t="shared" si="1"/>
        <v>16</v>
      </c>
      <c r="K79" s="86"/>
      <c r="AT79" s="86" t="s">
        <v>437</v>
      </c>
      <c r="AV79" s="86"/>
    </row>
    <row r="80" spans="1:48">
      <c r="A80" s="36" t="s">
        <v>494</v>
      </c>
      <c r="C80" s="36" t="s">
        <v>442</v>
      </c>
      <c r="D80" s="36" t="s">
        <v>435</v>
      </c>
      <c r="E80" s="36" t="s">
        <v>71</v>
      </c>
      <c r="F80" s="86">
        <v>2</v>
      </c>
      <c r="G80" s="86">
        <v>4</v>
      </c>
      <c r="H80" s="86">
        <v>0</v>
      </c>
      <c r="I80" s="86">
        <v>41</v>
      </c>
      <c r="J80" s="86">
        <f t="shared" si="1"/>
        <v>4</v>
      </c>
      <c r="K80" s="86"/>
      <c r="AT80" s="86" t="s">
        <v>437</v>
      </c>
      <c r="AV80" s="86"/>
    </row>
    <row r="81" spans="1:56">
      <c r="A81" s="36" t="s">
        <v>495</v>
      </c>
      <c r="C81" s="36" t="s">
        <v>442</v>
      </c>
      <c r="D81" s="36" t="s">
        <v>435</v>
      </c>
      <c r="E81" s="36" t="s">
        <v>63</v>
      </c>
      <c r="F81" s="86">
        <v>2</v>
      </c>
      <c r="G81" s="86">
        <v>4</v>
      </c>
      <c r="H81" s="86">
        <v>0</v>
      </c>
      <c r="I81" s="86">
        <v>31</v>
      </c>
      <c r="J81" s="86">
        <f t="shared" si="1"/>
        <v>4</v>
      </c>
      <c r="K81" s="86"/>
      <c r="AT81" s="86" t="s">
        <v>437</v>
      </c>
      <c r="AV81" s="86"/>
    </row>
    <row r="82" spans="1:56">
      <c r="A82" s="36" t="s">
        <v>496</v>
      </c>
      <c r="C82" s="36" t="s">
        <v>442</v>
      </c>
      <c r="D82" s="36" t="s">
        <v>435</v>
      </c>
      <c r="E82" s="36" t="s">
        <v>67</v>
      </c>
      <c r="F82" s="86">
        <v>4</v>
      </c>
      <c r="G82" s="86">
        <v>4</v>
      </c>
      <c r="H82" s="86">
        <v>0</v>
      </c>
      <c r="I82" s="86">
        <v>36</v>
      </c>
      <c r="J82" s="86">
        <f t="shared" si="1"/>
        <v>4</v>
      </c>
      <c r="K82" s="86"/>
      <c r="AT82" s="86" t="s">
        <v>437</v>
      </c>
      <c r="AV82" s="86"/>
    </row>
    <row r="83" spans="1:56" ht="14.45">
      <c r="A83" s="36" t="s">
        <v>497</v>
      </c>
      <c r="C83" s="36" t="s">
        <v>442</v>
      </c>
      <c r="D83" s="36" t="s">
        <v>435</v>
      </c>
      <c r="E83" s="36" t="s">
        <v>276</v>
      </c>
      <c r="F83" s="86">
        <v>7</v>
      </c>
      <c r="G83" s="86">
        <v>8</v>
      </c>
      <c r="H83" s="86">
        <v>0</v>
      </c>
      <c r="I83" s="14">
        <v>111</v>
      </c>
      <c r="J83" s="86">
        <f t="shared" si="1"/>
        <v>4</v>
      </c>
      <c r="K83" s="45"/>
      <c r="L83" s="86"/>
      <c r="M83" s="86"/>
      <c r="N83" s="45"/>
      <c r="O83" s="44"/>
      <c r="P83" s="86"/>
      <c r="Q83" s="86"/>
      <c r="R83" s="86"/>
      <c r="S83" s="86"/>
      <c r="T83" s="86"/>
      <c r="U83" s="86"/>
      <c r="V83" s="86"/>
      <c r="X83" s="86"/>
      <c r="Z83" s="86"/>
      <c r="AA83" s="86"/>
      <c r="AB83" s="86"/>
      <c r="AC83" s="86"/>
      <c r="AD83" s="86"/>
      <c r="AE83" s="86"/>
      <c r="AF83" s="86"/>
      <c r="AG83" s="86"/>
      <c r="AH83" s="86"/>
      <c r="AI83" s="86"/>
      <c r="AJ83" s="86"/>
      <c r="AK83" s="86"/>
      <c r="AL83" s="86"/>
      <c r="AM83" s="86"/>
      <c r="AN83" s="86"/>
      <c r="AO83" s="86"/>
      <c r="AT83" s="86" t="s">
        <v>437</v>
      </c>
      <c r="AV83" s="86" t="s">
        <v>437</v>
      </c>
    </row>
    <row r="84" spans="1:56" ht="14.45">
      <c r="A84" s="36" t="s">
        <v>650</v>
      </c>
      <c r="C84" s="36" t="s">
        <v>442</v>
      </c>
      <c r="D84" s="36" t="s">
        <v>435</v>
      </c>
      <c r="E84" s="36" t="s">
        <v>276</v>
      </c>
      <c r="F84" s="86">
        <v>6</v>
      </c>
      <c r="G84" s="86">
        <v>7</v>
      </c>
      <c r="H84" s="86">
        <v>0</v>
      </c>
      <c r="I84" s="14">
        <v>111</v>
      </c>
      <c r="J84" s="86">
        <f t="shared" si="1"/>
        <v>4</v>
      </c>
      <c r="K84" s="45"/>
      <c r="L84" s="86"/>
      <c r="M84" s="86"/>
      <c r="N84" s="45"/>
      <c r="O84" s="44"/>
      <c r="P84" s="86"/>
      <c r="Q84" s="86"/>
      <c r="R84" s="86"/>
      <c r="S84" s="86"/>
      <c r="T84" s="86"/>
      <c r="U84" s="86"/>
      <c r="V84" s="86"/>
      <c r="X84" s="86"/>
      <c r="Z84" s="86"/>
      <c r="AA84" s="86"/>
      <c r="AB84" s="86"/>
      <c r="AC84" s="86"/>
      <c r="AD84" s="86"/>
      <c r="AE84" s="86"/>
      <c r="AF84" s="86"/>
      <c r="AG84" s="86"/>
      <c r="AH84" s="86"/>
      <c r="AI84" s="86"/>
      <c r="AJ84" s="86"/>
      <c r="AK84" s="86"/>
      <c r="AL84" s="86"/>
      <c r="AM84" s="86"/>
      <c r="AN84" s="86"/>
      <c r="AO84" s="86"/>
      <c r="AP84" s="86"/>
      <c r="AQ84" s="86"/>
      <c r="AR84" s="86"/>
      <c r="AS84" s="86"/>
      <c r="AT84" s="86" t="s">
        <v>437</v>
      </c>
      <c r="AV84" s="86"/>
    </row>
    <row r="85" spans="1:56" ht="14.45">
      <c r="A85" s="6" t="s">
        <v>542</v>
      </c>
      <c r="B85" s="6"/>
      <c r="C85" s="6"/>
      <c r="D85" s="36" t="s">
        <v>435</v>
      </c>
      <c r="E85" s="6" t="s">
        <v>90</v>
      </c>
      <c r="F85" s="14">
        <v>2</v>
      </c>
      <c r="G85" s="14">
        <v>2</v>
      </c>
      <c r="H85" s="14">
        <v>0</v>
      </c>
      <c r="I85" s="14">
        <v>16</v>
      </c>
      <c r="J85" s="86">
        <f t="shared" si="1"/>
        <v>4</v>
      </c>
      <c r="K85" s="45"/>
      <c r="L85" s="86"/>
      <c r="M85" s="86"/>
      <c r="N85" s="45"/>
      <c r="O85" s="44"/>
      <c r="P85" s="86"/>
      <c r="Q85" s="86"/>
      <c r="R85" s="86"/>
      <c r="S85" s="86"/>
      <c r="T85" s="86"/>
      <c r="U85" s="86"/>
      <c r="V85" s="86"/>
      <c r="X85" s="86"/>
      <c r="Z85" s="86"/>
      <c r="AA85" s="86"/>
      <c r="AB85" s="86"/>
      <c r="AC85" s="86"/>
      <c r="AD85" s="86"/>
      <c r="AE85" s="86"/>
      <c r="AF85" s="86"/>
      <c r="AG85" s="86"/>
      <c r="AH85" s="86"/>
      <c r="AI85" s="86"/>
      <c r="AJ85" s="86"/>
      <c r="AK85" s="86"/>
      <c r="AL85" s="86"/>
      <c r="AM85" s="86"/>
      <c r="AN85" s="86"/>
      <c r="AO85" s="86"/>
      <c r="AP85" s="86"/>
      <c r="AQ85" s="86"/>
      <c r="AR85" s="86"/>
      <c r="AS85" s="86"/>
      <c r="AT85" s="86" t="s">
        <v>437</v>
      </c>
      <c r="AV85" s="86"/>
    </row>
    <row r="86" spans="1:56" s="6" customFormat="1" ht="13.5" customHeight="1">
      <c r="A86" s="6" t="s">
        <v>543</v>
      </c>
      <c r="D86" s="36" t="s">
        <v>435</v>
      </c>
      <c r="E86" s="6" t="s">
        <v>90</v>
      </c>
      <c r="F86" s="14">
        <v>2</v>
      </c>
      <c r="G86" s="14">
        <v>2</v>
      </c>
      <c r="H86" s="14">
        <v>0</v>
      </c>
      <c r="I86" s="14">
        <v>16</v>
      </c>
      <c r="J86" s="86">
        <f t="shared" si="1"/>
        <v>4</v>
      </c>
      <c r="K86" s="45"/>
      <c r="L86" s="86"/>
      <c r="M86" s="86"/>
      <c r="N86" s="45"/>
      <c r="O86" s="44"/>
      <c r="P86" s="86"/>
      <c r="Q86" s="86"/>
      <c r="R86" s="86"/>
      <c r="S86" s="86"/>
      <c r="T86" s="86"/>
      <c r="U86" s="86"/>
      <c r="V86" s="86"/>
      <c r="W86" s="36"/>
      <c r="X86" s="86"/>
      <c r="Y86" s="36"/>
      <c r="Z86" s="86"/>
      <c r="AA86" s="86"/>
      <c r="AB86" s="86"/>
      <c r="AC86" s="86"/>
      <c r="AD86" s="86"/>
      <c r="AE86" s="86"/>
      <c r="AF86" s="86"/>
      <c r="AG86" s="86"/>
      <c r="AH86" s="86"/>
      <c r="AI86" s="86"/>
      <c r="AJ86" s="86"/>
      <c r="AK86" s="86"/>
      <c r="AL86" s="86"/>
      <c r="AM86" s="86"/>
      <c r="AN86" s="86"/>
      <c r="AO86" s="86"/>
      <c r="AP86" s="86"/>
      <c r="AQ86" s="86"/>
      <c r="AR86" s="86"/>
      <c r="AS86" s="86"/>
      <c r="AT86" s="86" t="s">
        <v>437</v>
      </c>
      <c r="AV86" s="86"/>
    </row>
    <row r="87" spans="1:56" s="6" customFormat="1" ht="13.5" customHeight="1">
      <c r="A87" s="6" t="s">
        <v>544</v>
      </c>
      <c r="C87" s="6" t="s">
        <v>442</v>
      </c>
      <c r="D87" s="36" t="s">
        <v>435</v>
      </c>
      <c r="E87" s="6" t="s">
        <v>94</v>
      </c>
      <c r="F87" s="14">
        <v>6</v>
      </c>
      <c r="G87" s="14">
        <v>5</v>
      </c>
      <c r="H87" s="14">
        <v>0</v>
      </c>
      <c r="I87" s="14">
        <v>41</v>
      </c>
      <c r="J87" s="86">
        <f t="shared" si="1"/>
        <v>4</v>
      </c>
      <c r="K87" s="45"/>
      <c r="L87" s="86"/>
      <c r="M87" s="86"/>
      <c r="N87" s="45"/>
      <c r="O87" s="44"/>
      <c r="P87" s="86"/>
      <c r="Q87" s="86"/>
      <c r="R87" s="86"/>
      <c r="S87" s="86"/>
      <c r="T87" s="86"/>
      <c r="U87" s="86"/>
      <c r="V87" s="86"/>
      <c r="W87" s="36"/>
      <c r="X87" s="86"/>
      <c r="Y87" s="36"/>
      <c r="Z87" s="86"/>
      <c r="AA87" s="86"/>
      <c r="AB87" s="86"/>
      <c r="AC87" s="86"/>
      <c r="AD87" s="86"/>
      <c r="AE87" s="86"/>
      <c r="AF87" s="86"/>
      <c r="AG87" s="86"/>
      <c r="AH87" s="86"/>
      <c r="AI87" s="86"/>
      <c r="AJ87" s="86"/>
      <c r="AK87" s="86"/>
      <c r="AL87" s="86"/>
      <c r="AM87" s="86"/>
      <c r="AN87" s="86"/>
      <c r="AO87" s="86"/>
      <c r="AP87" s="86"/>
      <c r="AQ87" s="86"/>
      <c r="AR87" s="86"/>
      <c r="AS87" s="86"/>
      <c r="AT87" s="86" t="s">
        <v>437</v>
      </c>
      <c r="AV87" s="86"/>
    </row>
    <row r="88" spans="1:56" s="6" customFormat="1" ht="13.5" customHeight="1">
      <c r="A88" s="6" t="s">
        <v>545</v>
      </c>
      <c r="D88" s="36" t="s">
        <v>435</v>
      </c>
      <c r="E88" s="6" t="s">
        <v>98</v>
      </c>
      <c r="F88" s="14">
        <v>2</v>
      </c>
      <c r="G88" s="14">
        <v>2</v>
      </c>
      <c r="H88" s="14">
        <v>0</v>
      </c>
      <c r="I88" s="14">
        <v>31</v>
      </c>
      <c r="J88" s="86">
        <f t="shared" si="1"/>
        <v>4</v>
      </c>
      <c r="K88" s="45"/>
      <c r="L88" s="86"/>
      <c r="M88" s="86"/>
      <c r="N88" s="45"/>
      <c r="O88" s="44"/>
      <c r="P88" s="86"/>
      <c r="Q88" s="86"/>
      <c r="R88" s="86"/>
      <c r="S88" s="86"/>
      <c r="T88" s="86"/>
      <c r="U88" s="86"/>
      <c r="V88" s="86"/>
      <c r="W88" s="36"/>
      <c r="X88" s="86"/>
      <c r="Y88" s="36"/>
      <c r="Z88" s="86"/>
      <c r="AA88" s="86"/>
      <c r="AB88" s="86"/>
      <c r="AC88" s="86"/>
      <c r="AD88" s="86"/>
      <c r="AE88" s="86"/>
      <c r="AF88" s="86"/>
      <c r="AG88" s="86"/>
      <c r="AH88" s="86"/>
      <c r="AI88" s="86"/>
      <c r="AJ88" s="86"/>
      <c r="AK88" s="86"/>
      <c r="AL88" s="86"/>
      <c r="AM88" s="86"/>
      <c r="AN88" s="86"/>
      <c r="AO88" s="86"/>
      <c r="AP88" s="86"/>
      <c r="AQ88" s="86"/>
      <c r="AR88" s="86"/>
      <c r="AS88" s="86"/>
      <c r="AT88" s="86" t="s">
        <v>437</v>
      </c>
      <c r="AV88" s="86"/>
    </row>
    <row r="89" spans="1:56" s="6" customFormat="1" ht="13.5" customHeight="1">
      <c r="A89" s="6" t="s">
        <v>498</v>
      </c>
      <c r="D89" s="6" t="s">
        <v>499</v>
      </c>
      <c r="E89" s="6" t="str">
        <f>IF(F59&lt;&gt;"4TB","AVE 2TB (Avamar Virtual Edition)","AVE 4TB (Avamar Virtual Edition)")</f>
        <v>AVE 2TB (Avamar Virtual Edition)</v>
      </c>
      <c r="F89" s="14">
        <f>IF(F59&lt;&gt;"4TB",4,6)</f>
        <v>4</v>
      </c>
      <c r="G89" s="14">
        <f>IF(F59&lt;&gt;"4TB",16,36)</f>
        <v>16</v>
      </c>
      <c r="H89" s="14">
        <v>0</v>
      </c>
      <c r="I89" s="14">
        <v>150</v>
      </c>
      <c r="J89" s="86">
        <f t="shared" si="1"/>
        <v>16</v>
      </c>
      <c r="K89" s="14" t="s">
        <v>206</v>
      </c>
      <c r="L89" s="14"/>
      <c r="M89" s="14"/>
      <c r="N89" s="2"/>
      <c r="O89"/>
      <c r="P89" s="14"/>
      <c r="Q89" s="14"/>
      <c r="R89" s="14"/>
      <c r="S89" s="14"/>
      <c r="T89" s="14"/>
      <c r="U89" s="14"/>
      <c r="V89" s="14">
        <f>IF(F59&lt;&gt;"4TB",3000,6000)</f>
        <v>3000</v>
      </c>
      <c r="W89" s="14" t="s">
        <v>206</v>
      </c>
      <c r="X89" s="14"/>
      <c r="AP89" s="86"/>
      <c r="AQ89" s="86"/>
      <c r="AR89" s="86"/>
      <c r="AS89" s="86"/>
      <c r="AT89" s="14"/>
      <c r="AV89" s="14"/>
    </row>
    <row r="90" spans="1:56" s="6" customFormat="1" ht="13.5" customHeight="1">
      <c r="A90" s="6" t="s">
        <v>501</v>
      </c>
      <c r="D90" s="6" t="s">
        <v>499</v>
      </c>
      <c r="E90" s="6" t="s">
        <v>502</v>
      </c>
      <c r="F90" s="14">
        <f>IF(F59&lt;&gt;"4TB",4,4)</f>
        <v>4</v>
      </c>
      <c r="G90" s="14">
        <f>IF(F59&lt;&gt;"4TB",4,4)</f>
        <v>4</v>
      </c>
      <c r="H90" s="14">
        <v>0</v>
      </c>
      <c r="I90" s="14">
        <v>21</v>
      </c>
      <c r="J90" s="86">
        <f t="shared" si="1"/>
        <v>4</v>
      </c>
      <c r="K90" s="14"/>
      <c r="L90" s="14"/>
      <c r="M90" s="14"/>
      <c r="N90" s="2"/>
      <c r="O90"/>
      <c r="P90" s="14"/>
      <c r="Q90" s="14"/>
      <c r="R90" s="14"/>
      <c r="S90" s="14"/>
      <c r="T90" s="14"/>
      <c r="U90" s="14"/>
      <c r="V90" s="14"/>
      <c r="W90" s="14"/>
      <c r="X90" s="14"/>
      <c r="AT90" s="14"/>
      <c r="AV90" s="14"/>
    </row>
    <row r="91" spans="1:56" s="19" customFormat="1" ht="13.5" customHeight="1">
      <c r="A91" s="6" t="s">
        <v>627</v>
      </c>
      <c r="B91" s="6"/>
      <c r="C91" s="6"/>
      <c r="D91" s="6" t="s">
        <v>499</v>
      </c>
      <c r="E91" s="6" t="s">
        <v>628</v>
      </c>
      <c r="F91" s="14">
        <f>IF(F59&lt;&gt;"4TB",0,4)</f>
        <v>0</v>
      </c>
      <c r="G91" s="14">
        <f>IF(F59&lt;&gt;"4TB",0,4)</f>
        <v>0</v>
      </c>
      <c r="H91" s="14">
        <v>0</v>
      </c>
      <c r="I91" s="14">
        <f>IF(F59&lt;&gt;"4TB",0,21)</f>
        <v>0</v>
      </c>
      <c r="J91" s="86">
        <f t="shared" si="1"/>
        <v>4</v>
      </c>
      <c r="K91" s="14"/>
      <c r="L91" s="14"/>
      <c r="M91" s="14"/>
      <c r="N91" s="2"/>
      <c r="O91"/>
      <c r="P91" s="14"/>
      <c r="Q91" s="14"/>
      <c r="R91" s="14"/>
      <c r="S91" s="14"/>
      <c r="T91" s="14"/>
      <c r="U91" s="14"/>
      <c r="V91" s="14"/>
      <c r="W91" s="14"/>
      <c r="X91" s="14"/>
      <c r="Y91" s="6"/>
      <c r="Z91" s="6"/>
      <c r="AA91" s="6"/>
      <c r="AB91" s="6"/>
      <c r="AC91" s="6"/>
      <c r="AD91" s="6"/>
      <c r="AE91" s="6"/>
      <c r="AF91" s="6"/>
      <c r="AG91" s="6"/>
      <c r="AH91" s="6"/>
      <c r="AI91" s="6"/>
      <c r="AJ91" s="6"/>
      <c r="AK91" s="6"/>
      <c r="AL91" s="6"/>
      <c r="AM91" s="6"/>
      <c r="AN91" s="6"/>
      <c r="AO91" s="6"/>
      <c r="AP91" s="6"/>
      <c r="AQ91" s="6"/>
      <c r="AR91" s="6"/>
      <c r="AS91" s="6"/>
      <c r="AT91" s="14"/>
      <c r="AU91" s="6"/>
      <c r="AV91" s="14"/>
      <c r="AW91" s="6"/>
      <c r="AX91" s="6"/>
      <c r="AY91" s="6"/>
      <c r="AZ91" s="6"/>
      <c r="BA91" s="6"/>
      <c r="BB91" s="6"/>
      <c r="BC91" s="6"/>
      <c r="BD91" s="6"/>
    </row>
    <row r="92" spans="1:56" s="188" customFormat="1" ht="13.5" customHeight="1">
      <c r="A92" s="6" t="s">
        <v>503</v>
      </c>
      <c r="B92" s="6"/>
      <c r="C92" s="6"/>
      <c r="D92" s="6" t="s">
        <v>504</v>
      </c>
      <c r="E92" s="6" t="s">
        <v>138</v>
      </c>
      <c r="F92" s="14">
        <v>2</v>
      </c>
      <c r="G92" s="14">
        <v>4</v>
      </c>
      <c r="H92" s="14">
        <v>0</v>
      </c>
      <c r="I92" s="14">
        <v>200</v>
      </c>
      <c r="J92" s="14">
        <f>IF(G92&gt;=10,16, 4)</f>
        <v>4</v>
      </c>
      <c r="K92" s="14" t="s">
        <v>546</v>
      </c>
      <c r="L92" s="86"/>
      <c r="M92" s="86"/>
      <c r="N92" s="86"/>
      <c r="O92" s="86"/>
      <c r="P92" s="86"/>
      <c r="Q92" s="86"/>
      <c r="R92" s="86"/>
      <c r="S92" s="86"/>
      <c r="T92" s="86"/>
      <c r="U92" s="86"/>
      <c r="V92" s="14"/>
      <c r="W92" s="14"/>
      <c r="X92" s="14"/>
      <c r="Y92" s="6"/>
      <c r="Z92" s="6"/>
      <c r="AA92" s="6"/>
      <c r="AB92" s="6"/>
      <c r="AC92" s="6"/>
      <c r="AD92" s="6"/>
      <c r="AE92" s="6"/>
      <c r="AF92" s="6"/>
      <c r="AG92" s="6"/>
      <c r="AH92" s="6"/>
      <c r="AI92" s="6"/>
      <c r="AJ92" s="14"/>
      <c r="AK92" s="14"/>
      <c r="AL92" s="14"/>
      <c r="AM92" s="6"/>
      <c r="AN92" s="14"/>
      <c r="AO92" s="6"/>
      <c r="AP92" s="6"/>
      <c r="AQ92" s="6"/>
      <c r="AR92" s="6"/>
      <c r="AS92" s="6"/>
      <c r="AT92" s="14" t="s">
        <v>437</v>
      </c>
      <c r="AU92" s="14"/>
      <c r="AV92" s="14"/>
      <c r="AW92" s="6"/>
      <c r="AX92" s="6"/>
      <c r="AY92" s="6"/>
      <c r="AZ92" s="6"/>
      <c r="BA92" s="6"/>
      <c r="BB92" s="6"/>
      <c r="BC92" s="6"/>
      <c r="BD92" s="6"/>
    </row>
    <row r="93" spans="1:56" s="188" customFormat="1" ht="13.5" customHeight="1">
      <c r="A93" s="154" t="s">
        <v>505</v>
      </c>
      <c r="B93" s="19"/>
      <c r="C93" s="19"/>
      <c r="D93" s="19" t="s">
        <v>504</v>
      </c>
      <c r="E93" s="19" t="s">
        <v>140</v>
      </c>
      <c r="F93" s="17">
        <v>12</v>
      </c>
      <c r="G93" s="17">
        <v>24</v>
      </c>
      <c r="H93" s="17">
        <v>0</v>
      </c>
      <c r="I93" s="17">
        <v>900</v>
      </c>
      <c r="J93" s="17">
        <v>24</v>
      </c>
      <c r="K93" s="17" t="s">
        <v>547</v>
      </c>
      <c r="L93" s="39"/>
      <c r="M93" s="39"/>
      <c r="N93" s="39"/>
      <c r="O93" s="39"/>
      <c r="P93" s="39"/>
      <c r="Q93" s="39"/>
      <c r="R93" s="39"/>
      <c r="S93" s="39"/>
      <c r="T93" s="19"/>
      <c r="U93" s="39"/>
      <c r="V93" s="39">
        <v>8300</v>
      </c>
      <c r="W93" s="17" t="s">
        <v>548</v>
      </c>
      <c r="X93" s="17"/>
      <c r="Y93" s="19"/>
      <c r="Z93" s="19"/>
      <c r="AA93" s="19"/>
      <c r="AB93" s="19"/>
      <c r="AC93" s="19"/>
      <c r="AD93" s="19"/>
      <c r="AE93" s="19"/>
      <c r="AF93" s="19"/>
      <c r="AG93" s="19"/>
      <c r="AH93" s="19"/>
      <c r="AI93" s="19"/>
      <c r="AJ93" s="19"/>
      <c r="AK93" s="17"/>
      <c r="AL93" s="17"/>
      <c r="AM93" s="19"/>
      <c r="AN93" s="17"/>
      <c r="AO93" s="19"/>
      <c r="AP93" s="19"/>
      <c r="AQ93" s="19"/>
      <c r="AR93" s="19"/>
      <c r="AS93" s="19"/>
      <c r="AT93" s="17" t="s">
        <v>437</v>
      </c>
      <c r="AU93" s="17"/>
      <c r="AV93" s="17"/>
      <c r="AW93" s="19"/>
      <c r="AX93" s="19"/>
      <c r="AY93" s="19"/>
      <c r="AZ93" s="19"/>
      <c r="BA93" s="19"/>
      <c r="BB93" s="19"/>
      <c r="BC93" s="19"/>
      <c r="BD93" s="19"/>
    </row>
    <row r="94" spans="1:56" ht="14.45">
      <c r="A94" s="6" t="s">
        <v>549</v>
      </c>
      <c r="B94" s="6"/>
      <c r="C94" s="6" t="s">
        <v>442</v>
      </c>
      <c r="D94" s="6" t="s">
        <v>435</v>
      </c>
      <c r="E94" s="6" t="s">
        <v>110</v>
      </c>
      <c r="F94" s="14">
        <v>10</v>
      </c>
      <c r="G94" s="14">
        <v>32</v>
      </c>
      <c r="H94" s="14">
        <v>0</v>
      </c>
      <c r="I94" s="14">
        <v>71</v>
      </c>
      <c r="J94" s="86">
        <f t="shared" si="1"/>
        <v>16</v>
      </c>
      <c r="K94" s="14"/>
      <c r="L94" s="14"/>
      <c r="M94" s="14"/>
      <c r="N94" s="2"/>
      <c r="O94"/>
      <c r="P94" s="14"/>
      <c r="Q94" s="14"/>
      <c r="R94" s="14"/>
      <c r="S94" s="14"/>
      <c r="T94" s="14"/>
      <c r="U94" s="14"/>
      <c r="V94" s="14"/>
      <c r="W94" s="14"/>
      <c r="X94" s="14"/>
      <c r="Y94" s="6"/>
      <c r="Z94" s="6"/>
      <c r="AA94" s="6"/>
      <c r="AB94" s="6"/>
      <c r="AC94" s="6"/>
      <c r="AD94" s="6"/>
      <c r="AE94" s="6"/>
      <c r="AF94" s="14">
        <v>225</v>
      </c>
      <c r="AG94" s="86" t="s">
        <v>550</v>
      </c>
      <c r="AH94" s="86"/>
      <c r="AI94" s="86"/>
      <c r="AJ94" s="86"/>
      <c r="AK94" s="86"/>
      <c r="AL94" s="86"/>
      <c r="AM94" s="86"/>
      <c r="AN94" s="86"/>
      <c r="AO94" s="86"/>
      <c r="AP94" s="6"/>
      <c r="AQ94" s="6"/>
      <c r="AR94" s="6"/>
      <c r="AS94" s="6"/>
      <c r="AT94" s="14" t="s">
        <v>437</v>
      </c>
      <c r="AU94" s="6"/>
      <c r="AV94" s="14"/>
      <c r="AW94" s="6"/>
      <c r="AX94" s="6"/>
      <c r="AY94" s="6"/>
      <c r="AZ94" s="6"/>
      <c r="BA94" s="6"/>
      <c r="BB94" s="6"/>
      <c r="BC94" s="14"/>
    </row>
    <row r="95" spans="1:56" ht="14.45">
      <c r="A95" s="6" t="s">
        <v>551</v>
      </c>
      <c r="B95" s="6"/>
      <c r="C95" s="6" t="s">
        <v>442</v>
      </c>
      <c r="D95" s="6" t="s">
        <v>435</v>
      </c>
      <c r="E95" s="6" t="s">
        <v>122</v>
      </c>
      <c r="F95" s="14">
        <v>2</v>
      </c>
      <c r="G95" s="14">
        <v>10</v>
      </c>
      <c r="H95" s="14">
        <v>0</v>
      </c>
      <c r="I95" s="14">
        <v>60</v>
      </c>
      <c r="J95" s="86">
        <f t="shared" si="1"/>
        <v>16</v>
      </c>
      <c r="K95" s="14"/>
      <c r="L95" s="14"/>
      <c r="M95" s="14"/>
      <c r="N95" s="2"/>
      <c r="O95"/>
      <c r="P95" s="14"/>
      <c r="Q95" s="14"/>
      <c r="R95" s="14"/>
      <c r="S95" s="14"/>
      <c r="T95" s="14"/>
      <c r="U95" s="14"/>
      <c r="V95" s="14"/>
      <c r="W95" s="14"/>
      <c r="X95" s="14"/>
      <c r="Y95" s="6"/>
      <c r="Z95" s="6"/>
      <c r="AA95" s="6"/>
      <c r="AB95" s="6"/>
      <c r="AC95" s="6"/>
      <c r="AD95" s="6"/>
      <c r="AE95" s="6"/>
      <c r="AF95" s="14"/>
      <c r="AG95" s="86"/>
      <c r="AH95" s="86"/>
      <c r="AI95" s="86"/>
      <c r="AJ95" s="86"/>
      <c r="AK95" s="86"/>
      <c r="AL95" s="86"/>
      <c r="AM95" s="86"/>
      <c r="AN95" s="86"/>
      <c r="AO95" s="86"/>
      <c r="AP95" s="6"/>
      <c r="AQ95" s="6"/>
      <c r="AR95" s="6"/>
      <c r="AS95" s="6"/>
      <c r="AT95" s="14" t="s">
        <v>437</v>
      </c>
      <c r="AV95" s="14"/>
    </row>
    <row r="96" spans="1:56" s="6" customFormat="1" ht="13.5" customHeight="1">
      <c r="A96" s="36"/>
      <c r="B96" s="36"/>
      <c r="C96" s="36"/>
      <c r="D96" s="36"/>
      <c r="E96" s="36"/>
      <c r="F96" s="86">
        <f>SUM(F62:F95)+F50</f>
        <v>422</v>
      </c>
      <c r="G96" s="86">
        <f>SUM(G62:G95)+G50</f>
        <v>1225</v>
      </c>
      <c r="H96" s="86">
        <f>SUM(H62:H95)+H50</f>
        <v>437</v>
      </c>
      <c r="I96" s="86">
        <f>SUM(I62:I95)+I50</f>
        <v>8028</v>
      </c>
      <c r="J96" s="86"/>
      <c r="K96" s="86"/>
      <c r="L96" s="86">
        <f>SUM(L62:L95)+L50</f>
        <v>500</v>
      </c>
      <c r="M96" s="86"/>
      <c r="N96" s="86">
        <f>SUM(N62:N95)+N50</f>
        <v>9000</v>
      </c>
      <c r="O96" s="86"/>
      <c r="P96" s="86">
        <f>SUM(P62:P95)+P50</f>
        <v>13500</v>
      </c>
      <c r="Q96" s="86"/>
      <c r="R96" s="86">
        <f>SUM(R62:R95)+R50</f>
        <v>1040</v>
      </c>
      <c r="S96" s="86"/>
      <c r="T96" s="86">
        <f>SUM(T62:T95)+T50</f>
        <v>300</v>
      </c>
      <c r="U96" s="86"/>
      <c r="V96" s="86">
        <f>SUM(V62:V95)+V50</f>
        <v>11300</v>
      </c>
      <c r="W96" s="86"/>
      <c r="X96" s="86">
        <f>SUM(X62:X95)+X50</f>
        <v>31596</v>
      </c>
      <c r="Y96" s="36"/>
      <c r="Z96" s="86">
        <f>SUM(Z62:Z95)+Z50</f>
        <v>200</v>
      </c>
      <c r="AA96" s="36"/>
      <c r="AB96" s="86">
        <f>SUM(AB62:AB95)+AB50</f>
        <v>50</v>
      </c>
      <c r="AC96" s="36"/>
      <c r="AD96" s="86">
        <f>SUM(AD62:AD95)+AD50</f>
        <v>200</v>
      </c>
      <c r="AE96" s="36"/>
      <c r="AF96" s="86">
        <f>SUM(AF62:AF95)+AF50</f>
        <v>225</v>
      </c>
      <c r="AG96" s="36"/>
      <c r="AH96" s="86">
        <f>SUM(AH62:AH95)+AH50</f>
        <v>200</v>
      </c>
      <c r="AI96" s="36"/>
      <c r="AJ96" s="86">
        <f>SUM(AJ62:AJ95)+AJ50</f>
        <v>405</v>
      </c>
      <c r="AK96" s="36"/>
      <c r="AL96" s="86">
        <f>SUM(AL62:AL95)+AL50</f>
        <v>0</v>
      </c>
      <c r="AM96" s="36"/>
      <c r="AN96" s="86">
        <f>SUM(AN62:AN95)+AN50</f>
        <v>0</v>
      </c>
      <c r="AO96" s="36"/>
      <c r="AP96" s="86">
        <f>SUM(AP63:AP95)+AP50</f>
        <v>6144</v>
      </c>
      <c r="AQ96" s="36"/>
      <c r="AR96" s="36"/>
      <c r="AS96" s="36"/>
      <c r="AT96" s="41">
        <f>COUNTIF(AT62:AT95,"x")+AT50</f>
        <v>67</v>
      </c>
      <c r="AU96" s="41">
        <f>COUNTIF(AU62:AU95,"x")+AU50</f>
        <v>14</v>
      </c>
      <c r="AV96" s="41">
        <f>COUNTIF(AV62:AV95,"x")+AV50</f>
        <v>3</v>
      </c>
    </row>
    <row r="97" spans="1:54" s="6" customFormat="1" ht="13.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T97" s="36"/>
      <c r="AU97" s="36"/>
      <c r="AV97" s="36"/>
    </row>
    <row r="98" spans="1:54" s="6" customFormat="1" ht="13.5" customHeight="1">
      <c r="A98" s="16" t="s">
        <v>552</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row>
    <row r="99" spans="1:54" ht="14.45">
      <c r="A99" s="6" t="s">
        <v>553</v>
      </c>
      <c r="B99" s="6"/>
      <c r="C99" s="6" t="s">
        <v>554</v>
      </c>
      <c r="D99" s="6" t="s">
        <v>499</v>
      </c>
      <c r="E99" s="6" t="s">
        <v>555</v>
      </c>
      <c r="F99" s="14">
        <v>4</v>
      </c>
      <c r="G99" s="14">
        <v>4</v>
      </c>
      <c r="H99" s="14">
        <v>0</v>
      </c>
      <c r="I99" s="14">
        <v>25</v>
      </c>
      <c r="J99" s="86">
        <f>IF(G99&gt;=10,16, 4)</f>
        <v>4</v>
      </c>
      <c r="K99" s="86" t="s">
        <v>556</v>
      </c>
      <c r="L99" s="6"/>
      <c r="M99" s="6"/>
      <c r="N99" s="97"/>
      <c r="O99"/>
      <c r="P99" s="14"/>
      <c r="Q99" s="14"/>
      <c r="R99" s="14"/>
      <c r="S99" s="14"/>
      <c r="T99" s="14"/>
      <c r="U99" s="14"/>
      <c r="V99" s="14"/>
      <c r="W99" s="14"/>
      <c r="X99" s="14"/>
      <c r="Y99" s="6"/>
      <c r="Z99" s="6"/>
      <c r="AA99" s="6"/>
      <c r="AB99" s="6"/>
      <c r="AC99" s="6"/>
      <c r="AD99" s="6"/>
      <c r="AE99" s="6"/>
      <c r="AF99" s="6"/>
      <c r="AG99" s="6"/>
      <c r="AH99" s="6"/>
      <c r="AI99" s="6"/>
      <c r="AJ99" s="6"/>
      <c r="AK99" s="6"/>
      <c r="AL99" s="6"/>
      <c r="AM99" s="6"/>
      <c r="AN99" s="6"/>
      <c r="AO99" s="6"/>
      <c r="AT99" s="14" t="s">
        <v>437</v>
      </c>
      <c r="AV99" s="14"/>
    </row>
    <row r="100" spans="1:54">
      <c r="A100" s="19" t="s">
        <v>557</v>
      </c>
      <c r="B100" s="19"/>
      <c r="C100" s="19" t="s">
        <v>554</v>
      </c>
      <c r="D100" s="19" t="s">
        <v>499</v>
      </c>
      <c r="E100" s="19" t="s">
        <v>558</v>
      </c>
      <c r="F100" s="17">
        <v>4</v>
      </c>
      <c r="G100" s="17">
        <v>4</v>
      </c>
      <c r="H100" s="17">
        <v>0</v>
      </c>
      <c r="I100" s="17">
        <v>25</v>
      </c>
      <c r="J100" s="17">
        <f>IF(G100&gt;=10,16, 4)</f>
        <v>4</v>
      </c>
      <c r="K100" s="39" t="s">
        <v>556</v>
      </c>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7" t="s">
        <v>437</v>
      </c>
      <c r="AU100" s="19"/>
      <c r="AV100" s="19"/>
    </row>
    <row r="101" spans="1:54">
      <c r="A101" s="6"/>
      <c r="B101" s="6"/>
      <c r="C101" s="6"/>
      <c r="D101" s="6"/>
      <c r="E101" s="6"/>
      <c r="F101" s="14">
        <f>SUM(F99:F100)+F96</f>
        <v>430</v>
      </c>
      <c r="G101" s="14">
        <f>SUM(G99:G100)+G96</f>
        <v>1233</v>
      </c>
      <c r="H101" s="14">
        <f>SUM(H99:H100)+H96</f>
        <v>437</v>
      </c>
      <c r="I101" s="14">
        <f>SUM(I99:I100)+I96</f>
        <v>8078</v>
      </c>
      <c r="J101" s="14"/>
      <c r="K101" s="14"/>
      <c r="L101" s="14">
        <f>SUM(L99:L100)+L96</f>
        <v>500</v>
      </c>
      <c r="M101" s="14"/>
      <c r="N101" s="14">
        <f>SUM(N99:N100)+N96</f>
        <v>9000</v>
      </c>
      <c r="O101" s="14"/>
      <c r="P101" s="14">
        <f>SUM(P99:P100)+P96</f>
        <v>13500</v>
      </c>
      <c r="Q101" s="14"/>
      <c r="R101" s="14">
        <f>SUM(R99:R100)+R96</f>
        <v>1040</v>
      </c>
      <c r="S101" s="14"/>
      <c r="T101" s="14">
        <f>SUM(T99:T100)+T96</f>
        <v>300</v>
      </c>
      <c r="U101" s="14"/>
      <c r="V101" s="14">
        <f>SUM(V99:V100)+V96</f>
        <v>11300</v>
      </c>
      <c r="W101" s="14"/>
      <c r="X101" s="14">
        <f>SUM(X99:X100)+X96</f>
        <v>31596</v>
      </c>
      <c r="Y101" s="6"/>
      <c r="Z101" s="14">
        <f>SUM(Z99:Z100)+Z96</f>
        <v>200</v>
      </c>
      <c r="AA101" s="6"/>
      <c r="AB101" s="14">
        <f>SUM(AB99:AB100)+AB96</f>
        <v>50</v>
      </c>
      <c r="AC101" s="6"/>
      <c r="AD101" s="14">
        <f>SUM(AD99:AD100)+AD96</f>
        <v>200</v>
      </c>
      <c r="AE101" s="6"/>
      <c r="AF101" s="14">
        <f>SUM(AF99:AF100)+AF96</f>
        <v>225</v>
      </c>
      <c r="AG101" s="6"/>
      <c r="AH101" s="14">
        <f>SUM(AH99:AH100)+AH96</f>
        <v>200</v>
      </c>
      <c r="AI101" s="6"/>
      <c r="AJ101" s="14">
        <f>SUM(AJ99:AJ100)+AJ96</f>
        <v>405</v>
      </c>
      <c r="AK101" s="6"/>
      <c r="AL101" s="14">
        <f>SUM(AL99:AL100)+AL96</f>
        <v>0</v>
      </c>
      <c r="AM101" s="6"/>
      <c r="AN101" s="14">
        <f>SUM(AN99:AN100)+AN96</f>
        <v>0</v>
      </c>
      <c r="AO101" s="6"/>
      <c r="AP101" s="14">
        <f>SUM(AP100:AP100)+AP96</f>
        <v>6144</v>
      </c>
      <c r="AQ101" s="6"/>
      <c r="AR101" s="6"/>
      <c r="AS101" s="6"/>
      <c r="AT101" s="41">
        <f>COUNTIF(AT99:AT100,"x")+AT96</f>
        <v>69</v>
      </c>
      <c r="AU101" s="41">
        <f>COUNTIF(AU99:AU100,"x")+AU96</f>
        <v>14</v>
      </c>
      <c r="AV101" s="41">
        <f>COUNTIF(AV99:AV100,"x")+AV96</f>
        <v>3</v>
      </c>
    </row>
    <row r="102" spans="1:54" ht="12.95">
      <c r="A102" s="16"/>
      <c r="AN102" s="14"/>
    </row>
    <row r="103" spans="1:54" ht="12.95">
      <c r="A103" s="16" t="s">
        <v>559</v>
      </c>
    </row>
    <row r="104" spans="1:54">
      <c r="A104" s="6" t="s">
        <v>560</v>
      </c>
      <c r="B104" s="6"/>
      <c r="C104" s="6" t="s">
        <v>561</v>
      </c>
      <c r="D104" s="6" t="s">
        <v>562</v>
      </c>
      <c r="E104" s="6" t="s">
        <v>42</v>
      </c>
      <c r="F104" s="14">
        <v>2</v>
      </c>
      <c r="G104" s="14">
        <v>4</v>
      </c>
      <c r="H104" s="14">
        <v>4</v>
      </c>
      <c r="I104" s="14">
        <v>350</v>
      </c>
      <c r="J104" s="86">
        <f t="shared" ref="J104:J113" si="2">IF(G104&gt;=10,16, 4)</f>
        <v>4</v>
      </c>
      <c r="K104" s="86" t="s">
        <v>563</v>
      </c>
      <c r="L104" s="86"/>
      <c r="M104" s="86"/>
      <c r="N104" s="86"/>
      <c r="O104" s="86"/>
      <c r="P104" s="86"/>
      <c r="Q104" s="86"/>
      <c r="R104" s="86"/>
      <c r="S104" s="86"/>
      <c r="T104" s="86"/>
      <c r="U104" s="86"/>
      <c r="V104" s="86"/>
      <c r="Z104" s="86"/>
      <c r="AA104" s="86"/>
      <c r="AB104" s="86"/>
      <c r="AC104" s="86"/>
      <c r="AD104" s="86"/>
      <c r="AE104" s="86"/>
      <c r="AF104" s="86"/>
      <c r="AG104" s="86"/>
      <c r="AH104" s="86"/>
      <c r="AI104" s="86"/>
      <c r="AJ104" s="86"/>
      <c r="AK104" s="86"/>
      <c r="AL104" s="86"/>
      <c r="AM104" s="86"/>
      <c r="AN104" s="86"/>
      <c r="AO104" s="86"/>
      <c r="AT104" s="86" t="s">
        <v>437</v>
      </c>
      <c r="AU104" s="86"/>
      <c r="AV104" s="86"/>
    </row>
    <row r="105" spans="1:54">
      <c r="A105" s="6" t="s">
        <v>565</v>
      </c>
      <c r="B105" s="6"/>
      <c r="C105" s="6" t="s">
        <v>561</v>
      </c>
      <c r="D105" s="6" t="s">
        <v>562</v>
      </c>
      <c r="E105" s="6" t="s">
        <v>566</v>
      </c>
      <c r="F105" s="14">
        <v>6</v>
      </c>
      <c r="G105" s="14">
        <v>10</v>
      </c>
      <c r="H105" s="14">
        <v>10</v>
      </c>
      <c r="I105" s="14">
        <v>100</v>
      </c>
      <c r="J105" s="86">
        <f t="shared" si="2"/>
        <v>16</v>
      </c>
      <c r="K105" s="86" t="s">
        <v>563</v>
      </c>
      <c r="L105" s="86"/>
      <c r="M105" s="86"/>
      <c r="N105" s="86">
        <v>200</v>
      </c>
      <c r="O105" s="86" t="s">
        <v>564</v>
      </c>
      <c r="P105" s="86"/>
      <c r="Q105" s="86"/>
      <c r="R105" s="86"/>
      <c r="S105" s="86"/>
      <c r="T105" s="86"/>
      <c r="U105" s="86"/>
      <c r="V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t="s">
        <v>437</v>
      </c>
      <c r="AU105" s="86"/>
      <c r="AV105" s="86"/>
    </row>
    <row r="106" spans="1:54">
      <c r="A106" s="6" t="s">
        <v>567</v>
      </c>
      <c r="B106" s="6"/>
      <c r="C106" s="6" t="s">
        <v>561</v>
      </c>
      <c r="D106" s="6" t="s">
        <v>562</v>
      </c>
      <c r="E106" s="6" t="s">
        <v>568</v>
      </c>
      <c r="F106" s="14">
        <v>8</v>
      </c>
      <c r="G106" s="14">
        <v>16</v>
      </c>
      <c r="H106" s="14">
        <v>16</v>
      </c>
      <c r="I106" s="14">
        <v>60</v>
      </c>
      <c r="J106" s="86">
        <f t="shared" si="2"/>
        <v>16</v>
      </c>
      <c r="K106" s="86" t="s">
        <v>569</v>
      </c>
      <c r="L106" s="86"/>
      <c r="M106" s="86"/>
      <c r="N106" s="86"/>
      <c r="O106" s="86"/>
      <c r="P106" s="86"/>
      <c r="Q106" s="86"/>
      <c r="R106" s="86"/>
      <c r="S106" s="86"/>
      <c r="T106" s="86"/>
      <c r="U106" s="86"/>
      <c r="V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t="s">
        <v>437</v>
      </c>
      <c r="AU106" s="14" t="s">
        <v>437</v>
      </c>
      <c r="AV106" s="86"/>
    </row>
    <row r="107" spans="1:54">
      <c r="A107" s="6" t="s">
        <v>570</v>
      </c>
      <c r="B107" s="6"/>
      <c r="C107" s="6" t="s">
        <v>561</v>
      </c>
      <c r="D107" s="6" t="s">
        <v>562</v>
      </c>
      <c r="E107" s="6" t="s">
        <v>571</v>
      </c>
      <c r="F107" s="14">
        <v>10</v>
      </c>
      <c r="G107" s="14">
        <v>10</v>
      </c>
      <c r="H107" s="14">
        <v>10</v>
      </c>
      <c r="I107" s="14">
        <v>40</v>
      </c>
      <c r="J107" s="86">
        <f t="shared" si="2"/>
        <v>16</v>
      </c>
      <c r="K107" s="86" t="s">
        <v>569</v>
      </c>
      <c r="L107" s="86"/>
      <c r="M107" s="86"/>
      <c r="N107" s="86"/>
      <c r="O107" s="86"/>
      <c r="P107" s="86"/>
      <c r="Q107" s="86"/>
      <c r="R107" s="86"/>
      <c r="S107" s="86"/>
      <c r="T107" s="86"/>
      <c r="U107" s="86"/>
      <c r="V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t="s">
        <v>437</v>
      </c>
      <c r="AU107" s="14" t="s">
        <v>437</v>
      </c>
      <c r="AV107" s="86"/>
    </row>
    <row r="108" spans="1:54">
      <c r="A108" s="6" t="s">
        <v>572</v>
      </c>
      <c r="B108" s="6"/>
      <c r="C108" s="6" t="s">
        <v>561</v>
      </c>
      <c r="D108" s="6" t="s">
        <v>562</v>
      </c>
      <c r="E108" s="6" t="s">
        <v>573</v>
      </c>
      <c r="F108" s="14">
        <v>4</v>
      </c>
      <c r="G108" s="14">
        <v>16</v>
      </c>
      <c r="H108" s="14">
        <v>0</v>
      </c>
      <c r="I108" s="14">
        <v>550</v>
      </c>
      <c r="J108" s="86">
        <f t="shared" si="2"/>
        <v>16</v>
      </c>
      <c r="K108" s="86" t="s">
        <v>574</v>
      </c>
      <c r="L108" s="86"/>
      <c r="M108" s="86"/>
      <c r="N108" s="86"/>
      <c r="O108" s="86"/>
      <c r="P108" s="86"/>
      <c r="Q108" s="86"/>
      <c r="R108" s="86"/>
      <c r="S108" s="86"/>
      <c r="T108" s="86"/>
      <c r="U108" s="86"/>
      <c r="V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t="s">
        <v>437</v>
      </c>
      <c r="AU108" s="14" t="s">
        <v>437</v>
      </c>
      <c r="AV108" s="86"/>
    </row>
    <row r="109" spans="1:54" s="6" customFormat="1">
      <c r="A109" s="6" t="s">
        <v>576</v>
      </c>
      <c r="C109" s="6" t="s">
        <v>561</v>
      </c>
      <c r="D109" s="6" t="s">
        <v>562</v>
      </c>
      <c r="E109" s="6" t="s">
        <v>577</v>
      </c>
      <c r="F109" s="14">
        <v>2</v>
      </c>
      <c r="G109" s="14">
        <v>4</v>
      </c>
      <c r="H109" s="14">
        <v>4</v>
      </c>
      <c r="I109" s="14">
        <v>40</v>
      </c>
      <c r="J109" s="86">
        <f t="shared" si="2"/>
        <v>4</v>
      </c>
      <c r="K109" s="86" t="s">
        <v>569</v>
      </c>
      <c r="L109" s="86"/>
      <c r="M109" s="86"/>
      <c r="N109" s="86"/>
      <c r="O109" s="86"/>
      <c r="P109" s="86"/>
      <c r="Q109" s="86"/>
      <c r="R109" s="86">
        <v>50</v>
      </c>
      <c r="S109" s="86" t="s">
        <v>575</v>
      </c>
      <c r="T109" s="86"/>
      <c r="U109" s="86"/>
      <c r="V109" s="86"/>
      <c r="W109" s="36"/>
      <c r="X109" s="36"/>
      <c r="Y109" s="36"/>
      <c r="Z109" s="86"/>
      <c r="AA109" s="86"/>
      <c r="AB109" s="86"/>
      <c r="AC109" s="86"/>
      <c r="AD109" s="86"/>
      <c r="AE109" s="86"/>
      <c r="AF109" s="86"/>
      <c r="AG109" s="86"/>
      <c r="AH109" s="86"/>
      <c r="AI109" s="86"/>
      <c r="AJ109" s="86"/>
      <c r="AK109" s="86"/>
      <c r="AL109" s="86"/>
      <c r="AM109" s="86"/>
      <c r="AN109" s="86"/>
      <c r="AO109" s="86"/>
      <c r="AP109" s="86"/>
      <c r="AQ109" s="86"/>
      <c r="AR109" s="86"/>
      <c r="AS109" s="86"/>
      <c r="AT109" s="86" t="s">
        <v>437</v>
      </c>
      <c r="AU109" s="86"/>
      <c r="AV109" s="86"/>
    </row>
    <row r="110" spans="1:54" s="19" customFormat="1">
      <c r="A110" s="36" t="s">
        <v>578</v>
      </c>
      <c r="B110" s="36"/>
      <c r="C110" s="6" t="s">
        <v>579</v>
      </c>
      <c r="D110" s="36" t="s">
        <v>562</v>
      </c>
      <c r="E110" s="6" t="s">
        <v>86</v>
      </c>
      <c r="F110" s="86">
        <v>8</v>
      </c>
      <c r="G110" s="86">
        <v>32</v>
      </c>
      <c r="H110" s="14">
        <v>0</v>
      </c>
      <c r="I110" s="86">
        <v>80</v>
      </c>
      <c r="J110" s="86">
        <f t="shared" si="2"/>
        <v>16</v>
      </c>
      <c r="K110" s="86" t="s">
        <v>580</v>
      </c>
      <c r="L110" s="86"/>
      <c r="M110" s="86"/>
      <c r="N110" s="86"/>
      <c r="O110" s="86"/>
      <c r="P110" s="86"/>
      <c r="Q110" s="86"/>
      <c r="R110" s="86"/>
      <c r="S110" s="86"/>
      <c r="T110" s="86"/>
      <c r="U110" s="86"/>
      <c r="V110" s="86"/>
      <c r="W110" s="36"/>
      <c r="X110" s="36"/>
      <c r="Y110" s="36"/>
      <c r="Z110" s="86"/>
      <c r="AA110" s="86"/>
      <c r="AB110" s="86"/>
      <c r="AC110" s="86"/>
      <c r="AD110" s="86"/>
      <c r="AE110" s="86"/>
      <c r="AF110" s="86"/>
      <c r="AG110" s="86"/>
      <c r="AH110" s="86"/>
      <c r="AI110" s="86"/>
      <c r="AJ110" s="86"/>
      <c r="AK110" s="86"/>
      <c r="AL110" s="86"/>
      <c r="AM110" s="86"/>
      <c r="AN110" s="86"/>
      <c r="AO110" s="86"/>
      <c r="AP110" s="86"/>
      <c r="AQ110" s="86"/>
      <c r="AR110" s="86"/>
      <c r="AS110" s="86"/>
      <c r="AT110" s="86" t="s">
        <v>437</v>
      </c>
      <c r="AU110" s="86"/>
      <c r="AV110" s="86"/>
      <c r="AW110" s="36"/>
      <c r="AX110" s="36"/>
      <c r="AY110" s="36"/>
      <c r="AZ110" s="36"/>
      <c r="BA110" s="6"/>
      <c r="BB110" s="36"/>
    </row>
    <row r="111" spans="1:54" s="40" customFormat="1">
      <c r="A111" s="36" t="s">
        <v>581</v>
      </c>
      <c r="B111" s="36"/>
      <c r="C111" s="6" t="s">
        <v>579</v>
      </c>
      <c r="D111" s="36" t="s">
        <v>562</v>
      </c>
      <c r="E111" s="6" t="s">
        <v>86</v>
      </c>
      <c r="F111" s="86">
        <v>8</v>
      </c>
      <c r="G111" s="86">
        <v>32</v>
      </c>
      <c r="H111" s="14">
        <v>0</v>
      </c>
      <c r="I111" s="86">
        <v>80</v>
      </c>
      <c r="J111" s="86">
        <f t="shared" si="2"/>
        <v>16</v>
      </c>
      <c r="K111" s="86" t="s">
        <v>580</v>
      </c>
      <c r="L111" s="86"/>
      <c r="M111" s="86"/>
      <c r="N111" s="86"/>
      <c r="O111" s="86"/>
      <c r="P111" s="86"/>
      <c r="Q111" s="86"/>
      <c r="R111" s="86"/>
      <c r="S111" s="86"/>
      <c r="T111" s="86"/>
      <c r="U111" s="86"/>
      <c r="V111" s="86"/>
      <c r="W111" s="36"/>
      <c r="X111" s="36"/>
      <c r="Y111" s="36"/>
      <c r="Z111" s="86"/>
      <c r="AA111" s="86"/>
      <c r="AB111" s="86"/>
      <c r="AC111" s="86"/>
      <c r="AD111" s="86"/>
      <c r="AE111" s="86"/>
      <c r="AF111" s="86"/>
      <c r="AG111" s="86"/>
      <c r="AH111" s="86"/>
      <c r="AI111" s="86"/>
      <c r="AJ111" s="86"/>
      <c r="AK111" s="86"/>
      <c r="AL111" s="86"/>
      <c r="AM111" s="86"/>
      <c r="AN111" s="86"/>
      <c r="AO111" s="86"/>
      <c r="AP111" s="86"/>
      <c r="AQ111" s="86"/>
      <c r="AR111" s="86"/>
      <c r="AS111" s="86"/>
      <c r="AT111" s="86" t="s">
        <v>437</v>
      </c>
      <c r="AU111" s="86"/>
      <c r="AV111" s="86"/>
      <c r="AW111" s="36"/>
      <c r="AX111" s="36"/>
      <c r="AY111" s="36"/>
      <c r="AZ111" s="36"/>
      <c r="BA111" s="6"/>
    </row>
    <row r="112" spans="1:54">
      <c r="A112" s="6" t="s">
        <v>582</v>
      </c>
      <c r="B112" s="6"/>
      <c r="C112" s="6" t="s">
        <v>583</v>
      </c>
      <c r="D112" s="6" t="s">
        <v>584</v>
      </c>
      <c r="E112" s="6" t="s">
        <v>585</v>
      </c>
      <c r="F112" s="14">
        <v>4</v>
      </c>
      <c r="G112" s="14">
        <v>8</v>
      </c>
      <c r="H112" s="14">
        <v>0</v>
      </c>
      <c r="I112" s="14">
        <v>30</v>
      </c>
      <c r="J112" s="86">
        <f t="shared" si="2"/>
        <v>4</v>
      </c>
      <c r="K112" s="86" t="s">
        <v>586</v>
      </c>
      <c r="L112" s="86"/>
      <c r="M112" s="86"/>
      <c r="N112" s="86"/>
      <c r="O112" s="86"/>
      <c r="P112" s="86"/>
      <c r="Q112" s="86"/>
      <c r="R112" s="86"/>
      <c r="S112" s="86"/>
      <c r="T112" s="86"/>
      <c r="U112" s="86"/>
      <c r="V112" s="14"/>
      <c r="W112" s="14"/>
      <c r="X112" s="14"/>
      <c r="Y112" s="6"/>
      <c r="Z112" s="6"/>
      <c r="AA112" s="6"/>
      <c r="AB112" s="6"/>
      <c r="AC112" s="6"/>
      <c r="AD112" s="6"/>
      <c r="AE112" s="6"/>
      <c r="AF112" s="6"/>
      <c r="AG112" s="6"/>
      <c r="AH112" s="6"/>
      <c r="AI112" s="6"/>
      <c r="AJ112" s="6"/>
      <c r="AK112" s="6"/>
      <c r="AL112" s="6"/>
      <c r="AM112" s="6"/>
      <c r="AN112" s="6"/>
      <c r="AO112" s="6"/>
      <c r="AP112" s="86"/>
      <c r="AQ112" s="86"/>
      <c r="AR112" s="86"/>
      <c r="AS112" s="86"/>
      <c r="AT112" s="14" t="s">
        <v>437</v>
      </c>
      <c r="AU112" s="14"/>
      <c r="AV112" s="14"/>
    </row>
    <row r="113" spans="1:48">
      <c r="A113" s="6" t="s">
        <v>587</v>
      </c>
      <c r="B113" s="6"/>
      <c r="C113" s="6" t="s">
        <v>588</v>
      </c>
      <c r="D113" s="6" t="s">
        <v>435</v>
      </c>
      <c r="E113" s="6" t="s">
        <v>106</v>
      </c>
      <c r="F113" s="14">
        <v>8</v>
      </c>
      <c r="G113" s="14">
        <v>6</v>
      </c>
      <c r="H113" s="14">
        <v>0</v>
      </c>
      <c r="I113" s="14">
        <v>70</v>
      </c>
      <c r="J113" s="86">
        <f t="shared" si="2"/>
        <v>4</v>
      </c>
      <c r="K113" s="86" t="s">
        <v>589</v>
      </c>
      <c r="L113" s="86"/>
      <c r="M113" s="86"/>
      <c r="N113" s="86"/>
      <c r="O113" s="86"/>
      <c r="P113" s="86"/>
      <c r="Q113" s="86"/>
      <c r="R113" s="86"/>
      <c r="S113" s="86"/>
      <c r="T113" s="86"/>
      <c r="U113" s="86"/>
      <c r="V113" s="14"/>
      <c r="W113" s="14"/>
      <c r="X113" s="14"/>
      <c r="Y113" s="6"/>
      <c r="Z113" s="6"/>
      <c r="AA113" s="6"/>
      <c r="AB113" s="6"/>
      <c r="AC113" s="6"/>
      <c r="AD113" s="6"/>
      <c r="AE113" s="6"/>
      <c r="AF113" s="6"/>
      <c r="AG113" s="6"/>
      <c r="AH113" s="6"/>
      <c r="AI113" s="6"/>
      <c r="AJ113" s="6"/>
      <c r="AK113" s="6"/>
      <c r="AL113" s="6"/>
      <c r="AM113" s="6"/>
      <c r="AN113" s="6"/>
      <c r="AO113" s="6"/>
      <c r="AP113" s="6"/>
      <c r="AQ113" s="6"/>
      <c r="AR113" s="6"/>
      <c r="AS113" s="6"/>
      <c r="AT113" s="14" t="s">
        <v>437</v>
      </c>
      <c r="AU113" s="14"/>
      <c r="AV113" s="14"/>
    </row>
    <row r="114" spans="1:48">
      <c r="A114" s="40"/>
      <c r="B114" s="40"/>
      <c r="C114" s="40"/>
      <c r="D114" s="40"/>
      <c r="E114" s="40"/>
      <c r="F114" s="41">
        <f>SUM(F104:F113)+F101</f>
        <v>490</v>
      </c>
      <c r="G114" s="41">
        <f>SUM(G104:G113)+G101</f>
        <v>1371</v>
      </c>
      <c r="H114" s="41">
        <f>SUM(H104:H113)+H101</f>
        <v>481</v>
      </c>
      <c r="I114" s="41">
        <f>SUM(I104:I113)+I101</f>
        <v>9478</v>
      </c>
      <c r="J114" s="41"/>
      <c r="K114" s="41"/>
      <c r="L114" s="41">
        <f>SUM(L104:L113)+L101</f>
        <v>500</v>
      </c>
      <c r="M114" s="41"/>
      <c r="N114" s="41">
        <f>SUM(N104:N113)+N101</f>
        <v>9200</v>
      </c>
      <c r="O114" s="41"/>
      <c r="P114" s="41">
        <f>SUM(P104:P113)+P101</f>
        <v>13500</v>
      </c>
      <c r="Q114" s="41"/>
      <c r="R114" s="41">
        <f>SUM(R104:R113)+R101</f>
        <v>1090</v>
      </c>
      <c r="S114" s="41"/>
      <c r="T114" s="41">
        <f>SUM(T104:T113)+T101</f>
        <v>300</v>
      </c>
      <c r="U114" s="41"/>
      <c r="V114" s="41">
        <f>SUM(V104:V113)+V101</f>
        <v>11300</v>
      </c>
      <c r="W114" s="41"/>
      <c r="X114" s="41">
        <f>SUM(X104:X113)+X101</f>
        <v>31596</v>
      </c>
      <c r="Y114" s="41"/>
      <c r="Z114" s="41">
        <f>SUM(Z104:Z113)+Z101</f>
        <v>200</v>
      </c>
      <c r="AA114" s="41"/>
      <c r="AB114" s="41">
        <f>SUM(AB104:AB113)+AB101</f>
        <v>50</v>
      </c>
      <c r="AC114" s="41"/>
      <c r="AD114" s="41">
        <f>SUM(AD104:AD113)+AD101</f>
        <v>200</v>
      </c>
      <c r="AE114" s="41"/>
      <c r="AF114" s="41">
        <f>SUM(AF104:AF113)+AF101</f>
        <v>225</v>
      </c>
      <c r="AG114" s="41"/>
      <c r="AH114" s="41">
        <f>SUM(AH104:AH113)+AH101</f>
        <v>200</v>
      </c>
      <c r="AI114" s="41"/>
      <c r="AJ114" s="41">
        <f>SUM(AJ104:AJ113)+AJ101</f>
        <v>405</v>
      </c>
      <c r="AK114" s="41"/>
      <c r="AL114" s="41">
        <f>SUM(AL104:AL113)+AL101</f>
        <v>0</v>
      </c>
      <c r="AM114" s="41"/>
      <c r="AN114" s="41">
        <f>SUM(AN104:AN113)+AN101</f>
        <v>0</v>
      </c>
      <c r="AO114" s="41"/>
      <c r="AP114" s="41">
        <f>SUM(AP104:AP113)+AP101</f>
        <v>6144</v>
      </c>
      <c r="AQ114" s="41"/>
      <c r="AR114" s="41"/>
      <c r="AS114" s="41"/>
      <c r="AT114" s="41">
        <f>COUNTIF(AT104:AT113,"x")+AT101</f>
        <v>79</v>
      </c>
      <c r="AU114" s="41">
        <f>COUNTIF(AU104:AU113,"x")+AU101</f>
        <v>17</v>
      </c>
      <c r="AV114" s="41">
        <f>COUNTIF(AV104:AV113,"x")+AV101</f>
        <v>3</v>
      </c>
    </row>
    <row r="117" spans="1:48" ht="14.45">
      <c r="A117" s="179" t="s">
        <v>423</v>
      </c>
      <c r="B117" s="191"/>
      <c r="C117" s="191"/>
    </row>
    <row r="118" spans="1:48" ht="12.95">
      <c r="A118" s="95" t="s">
        <v>508</v>
      </c>
      <c r="B118" s="95" t="s">
        <v>509</v>
      </c>
      <c r="C118" s="95" t="s">
        <v>510</v>
      </c>
      <c r="D118" s="10"/>
      <c r="E118" s="10"/>
    </row>
    <row r="119" spans="1:48">
      <c r="A119" s="93" t="s">
        <v>528</v>
      </c>
      <c r="B119" s="91" cm="1">
        <f t="array" ref="B119">SUM(IF(K8:K113=A119,I8:J113,""),AD23)</f>
        <v>1244</v>
      </c>
      <c r="C119" s="92">
        <v>1350</v>
      </c>
      <c r="E119" s="6"/>
    </row>
    <row r="120" spans="1:48">
      <c r="A120" s="93" t="s">
        <v>529</v>
      </c>
      <c r="B120" s="91" cm="1">
        <f t="array" ref="B120">SUM(IF(K8:K113=A120,I8:J113,""))</f>
        <v>1398</v>
      </c>
      <c r="C120" s="92">
        <v>1550</v>
      </c>
    </row>
    <row r="121" spans="1:48">
      <c r="A121" s="93" t="s">
        <v>531</v>
      </c>
      <c r="B121" s="91" cm="1">
        <f t="array" ref="B121">SUM(IF(K8:K113=A121,I8:J113,""),AB19,AD24)</f>
        <v>1346</v>
      </c>
      <c r="C121" s="92">
        <v>1600</v>
      </c>
      <c r="D121" s="6"/>
      <c r="E121" s="6"/>
    </row>
    <row r="122" spans="1:48">
      <c r="A122" s="93" t="s">
        <v>590</v>
      </c>
      <c r="B122" s="92">
        <v>10</v>
      </c>
      <c r="C122" s="92" t="s">
        <v>651</v>
      </c>
    </row>
    <row r="123" spans="1:48">
      <c r="A123" s="93" t="s">
        <v>591</v>
      </c>
      <c r="B123" s="92">
        <v>10</v>
      </c>
      <c r="C123" s="92" t="s">
        <v>651</v>
      </c>
    </row>
    <row r="124" spans="1:48">
      <c r="A124" s="93" t="s">
        <v>592</v>
      </c>
      <c r="B124" s="92">
        <v>10</v>
      </c>
      <c r="C124" s="92" t="s">
        <v>651</v>
      </c>
    </row>
    <row r="125" spans="1:48">
      <c r="A125" s="93" t="s">
        <v>593</v>
      </c>
      <c r="B125" s="92">
        <v>10</v>
      </c>
      <c r="C125" s="92" t="s">
        <v>651</v>
      </c>
    </row>
    <row r="126" spans="1:48">
      <c r="A126" s="93" t="s">
        <v>594</v>
      </c>
      <c r="B126" s="92">
        <v>10</v>
      </c>
      <c r="C126" s="92" t="s">
        <v>651</v>
      </c>
    </row>
    <row r="127" spans="1:48">
      <c r="A127" s="93" t="s">
        <v>630</v>
      </c>
      <c r="B127" s="92">
        <v>10</v>
      </c>
      <c r="C127" s="92" t="s">
        <v>651</v>
      </c>
    </row>
    <row r="128" spans="1:48">
      <c r="A128" s="93" t="s">
        <v>512</v>
      </c>
      <c r="B128" s="92">
        <v>460</v>
      </c>
      <c r="C128" s="92">
        <v>500</v>
      </c>
    </row>
    <row r="129" spans="1:48">
      <c r="A129" s="93" t="s">
        <v>513</v>
      </c>
      <c r="B129" s="92">
        <v>8100</v>
      </c>
      <c r="C129" s="92">
        <v>9000</v>
      </c>
    </row>
    <row r="130" spans="1:48">
      <c r="A130" s="93" t="s">
        <v>514</v>
      </c>
      <c r="B130" s="92">
        <v>12150</v>
      </c>
      <c r="C130" s="92">
        <v>13500</v>
      </c>
    </row>
    <row r="131" spans="1:48">
      <c r="A131" s="93" t="s">
        <v>217</v>
      </c>
      <c r="B131" s="92">
        <v>834.99</v>
      </c>
      <c r="C131" s="92">
        <v>920</v>
      </c>
    </row>
    <row r="132" spans="1:48">
      <c r="A132" s="93" t="s">
        <v>222</v>
      </c>
      <c r="B132" s="92">
        <v>270</v>
      </c>
      <c r="C132" s="92">
        <v>300</v>
      </c>
    </row>
    <row r="133" spans="1:48">
      <c r="A133" s="93" t="s">
        <v>515</v>
      </c>
      <c r="B133" s="92">
        <v>180</v>
      </c>
      <c r="C133" s="92">
        <v>300</v>
      </c>
    </row>
    <row r="134" spans="1:48">
      <c r="A134" s="93" t="s">
        <v>474</v>
      </c>
      <c r="B134" s="92">
        <v>510</v>
      </c>
      <c r="C134" s="92">
        <v>700</v>
      </c>
    </row>
    <row r="135" spans="1:48">
      <c r="A135" s="93" t="str">
        <f>IF(F59&lt;&gt;"4TB","Backup (DB, NFS, and AVE 2TB)","Backup (DB, NFS, and AVE 4TB)")</f>
        <v>Backup (DB, NFS, and AVE 2TB)</v>
      </c>
      <c r="B135" s="92">
        <f>27500+460+SUM(I89:J91) + V89</f>
        <v>31155</v>
      </c>
      <c r="C135" s="92">
        <f>32768+IF(F59&lt;&gt;"4TB",0,3000)</f>
        <v>32768</v>
      </c>
    </row>
    <row r="136" spans="1:48">
      <c r="A136" s="93" t="s">
        <v>595</v>
      </c>
      <c r="B136" s="92">
        <f>27500+460-3000</f>
        <v>24960</v>
      </c>
      <c r="C136" s="92">
        <f>32768-3000</f>
        <v>29768</v>
      </c>
    </row>
    <row r="137" spans="1:48">
      <c r="A137" s="93" t="s">
        <v>526</v>
      </c>
      <c r="B137" s="106">
        <f>SUM(I8:J9)</f>
        <v>992</v>
      </c>
      <c r="C137" s="106">
        <f>IF(E9="vCSA8.0",1100,900)</f>
        <v>1100</v>
      </c>
    </row>
    <row r="138" spans="1:48">
      <c r="A138" s="93" t="s">
        <v>550</v>
      </c>
      <c r="B138" s="92">
        <v>200</v>
      </c>
      <c r="C138" s="92">
        <v>225</v>
      </c>
    </row>
    <row r="139" spans="1:48">
      <c r="A139" s="111" t="s">
        <v>556</v>
      </c>
      <c r="B139" s="92">
        <v>58</v>
      </c>
      <c r="C139" s="92">
        <v>100</v>
      </c>
    </row>
    <row r="140" spans="1:48">
      <c r="A140" s="111" t="s">
        <v>597</v>
      </c>
      <c r="B140" s="92">
        <v>900</v>
      </c>
      <c r="C140" s="92">
        <v>1050</v>
      </c>
      <c r="D140" s="14"/>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14"/>
      <c r="AK140" s="14"/>
      <c r="AL140" s="14"/>
      <c r="AM140" s="6"/>
      <c r="AN140" s="14"/>
      <c r="AO140" s="6"/>
      <c r="AP140" s="6"/>
      <c r="AQ140" s="6"/>
      <c r="AR140" s="6"/>
      <c r="AS140" s="6"/>
      <c r="AT140" s="6"/>
      <c r="AU140" s="6"/>
      <c r="AV140" s="6"/>
    </row>
    <row r="141" spans="1:48">
      <c r="A141" s="111" t="s">
        <v>598</v>
      </c>
      <c r="B141" s="92">
        <v>8300</v>
      </c>
      <c r="C141" s="92">
        <v>9150</v>
      </c>
      <c r="D141" s="14"/>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14"/>
      <c r="AK141" s="14"/>
      <c r="AL141" s="14"/>
      <c r="AM141" s="6"/>
      <c r="AN141" s="14"/>
      <c r="AO141" s="6"/>
      <c r="AP141" s="6"/>
      <c r="AQ141" s="6"/>
      <c r="AR141" s="6"/>
      <c r="AS141" s="6"/>
      <c r="AT141" s="6"/>
      <c r="AU141" s="6"/>
      <c r="AV141" s="6"/>
    </row>
    <row r="142" spans="1:48">
      <c r="A142" s="76" t="s">
        <v>599</v>
      </c>
    </row>
    <row r="143" spans="1:48">
      <c r="A143" s="76" t="s">
        <v>653</v>
      </c>
    </row>
    <row r="144" spans="1:48" ht="12.75"/>
    <row r="145" ht="12.75"/>
  </sheetData>
  <mergeCells count="12">
    <mergeCell ref="H53:O57"/>
    <mergeCell ref="A54:D54"/>
    <mergeCell ref="A59:E59"/>
    <mergeCell ref="A117:C117"/>
    <mergeCell ref="A1:E1"/>
    <mergeCell ref="A2:B2"/>
    <mergeCell ref="A3:B3"/>
    <mergeCell ref="F3:G3"/>
    <mergeCell ref="A4:B4"/>
    <mergeCell ref="A5:B5"/>
    <mergeCell ref="A6:B6"/>
    <mergeCell ref="A53:D53"/>
  </mergeCells>
  <dataValidations count="2">
    <dataValidation type="list" allowBlank="1" showInputMessage="1" showErrorMessage="1" sqref="F59" xr:uid="{DE94FE98-5E1D-41E9-A537-1268281ADF6B}">
      <formula1>"2TB, 4TB"</formula1>
    </dataValidation>
    <dataValidation type="list" allowBlank="1" showInputMessage="1" showErrorMessage="1" sqref="E9" xr:uid="{52D0E0D0-2D8F-46FF-A578-28039508B684}">
      <formula1>"vCSA8.0, vCSA7.0"</formula1>
    </dataValidation>
  </dataValidations>
  <hyperlinks>
    <hyperlink ref="F3:G3" location="Shortcuts!A1" display="Back to shortcuts" xr:uid="{7268D88A-75A5-498E-AE3A-6322735D7132}"/>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ECA3-5A22-44B2-9451-BCFD5CDD9B38}">
  <dimension ref="A1:AX175"/>
  <sheetViews>
    <sheetView topLeftCell="A79" zoomScale="80" zoomScaleNormal="80" zoomScalePageLayoutView="70" workbookViewId="0">
      <selection activeCell="A120" sqref="A120:XFD121"/>
    </sheetView>
  </sheetViews>
  <sheetFormatPr defaultColWidth="8.85546875" defaultRowHeight="12.6"/>
  <cols>
    <col min="1" max="1" width="27.7109375" style="36" customWidth="1"/>
    <col min="2" max="2" width="14.85546875" style="36" customWidth="1"/>
    <col min="3" max="3" width="19.7109375" style="36" customWidth="1"/>
    <col min="4" max="4" width="23.85546875" style="36" customWidth="1"/>
    <col min="5" max="5" width="68.42578125" style="36" bestFit="1" customWidth="1"/>
    <col min="6" max="7" width="8.85546875" style="36"/>
    <col min="8" max="8" width="21.140625" style="36" customWidth="1"/>
    <col min="9" max="10" width="8.85546875" style="36"/>
    <col min="11" max="11" width="17.85546875" style="36" customWidth="1"/>
    <col min="12" max="12" width="9.140625" style="36" customWidth="1"/>
    <col min="13" max="13" width="17.28515625" style="36" customWidth="1"/>
    <col min="14" max="14" width="8.85546875" style="36"/>
    <col min="15" max="15" width="13.7109375" style="36" customWidth="1"/>
    <col min="16" max="16" width="8.85546875" style="36"/>
    <col min="17" max="17" width="14.5703125" style="36" customWidth="1"/>
    <col min="18" max="18" width="8.85546875" style="36"/>
    <col min="19" max="19" width="13.140625" style="36" customWidth="1"/>
    <col min="20" max="20" width="8.85546875" style="36"/>
    <col min="21" max="21" width="9.85546875" style="36" customWidth="1"/>
    <col min="22" max="22" width="8.85546875" style="36"/>
    <col min="23" max="23" width="14.28515625" style="36" customWidth="1"/>
    <col min="24" max="24" width="12.140625" style="36" customWidth="1"/>
    <col min="25" max="25" width="14.42578125" style="36" customWidth="1"/>
    <col min="26" max="26" width="9.85546875" style="36" customWidth="1"/>
    <col min="27" max="32" width="12.85546875" style="36" customWidth="1"/>
    <col min="33" max="33" width="13.85546875" style="36" bestFit="1" customWidth="1"/>
    <col min="34" max="34" width="13.85546875" style="36" customWidth="1"/>
    <col min="35" max="41" width="15.85546875" style="36" customWidth="1"/>
    <col min="42" max="44" width="12.85546875" style="36" customWidth="1"/>
    <col min="45" max="45" width="18.42578125" style="36" customWidth="1"/>
    <col min="46" max="46" width="22" style="36" customWidth="1"/>
    <col min="47" max="47" width="12.140625" style="36" customWidth="1"/>
    <col min="48" max="48" width="13.140625" style="36" customWidth="1"/>
    <col min="49" max="16384" width="8.85546875" style="36"/>
  </cols>
  <sheetData>
    <row r="1" spans="1:48" ht="12.95">
      <c r="A1" s="189" t="s">
        <v>38</v>
      </c>
      <c r="B1" s="189"/>
      <c r="C1" s="189"/>
      <c r="D1" s="189"/>
      <c r="E1" s="190"/>
      <c r="F1" s="35" t="s">
        <v>409</v>
      </c>
    </row>
    <row r="2" spans="1:48">
      <c r="A2" s="182" t="s">
        <v>410</v>
      </c>
      <c r="B2" s="182"/>
      <c r="C2" s="121"/>
      <c r="D2" s="36" t="s">
        <v>632</v>
      </c>
    </row>
    <row r="3" spans="1:48" ht="14.45">
      <c r="A3" s="182" t="s">
        <v>412</v>
      </c>
      <c r="B3" s="182"/>
      <c r="C3" s="36" t="s">
        <v>411</v>
      </c>
      <c r="F3" s="173" t="s">
        <v>413</v>
      </c>
      <c r="G3" s="173"/>
    </row>
    <row r="4" spans="1:48" ht="12.95">
      <c r="A4" s="182" t="s">
        <v>414</v>
      </c>
      <c r="B4" s="182"/>
      <c r="C4" s="36" t="s">
        <v>519</v>
      </c>
    </row>
    <row r="5" spans="1:48" ht="12.95">
      <c r="A5" s="171" t="s">
        <v>415</v>
      </c>
      <c r="B5" s="171"/>
      <c r="C5" s="6" t="s">
        <v>609</v>
      </c>
    </row>
    <row r="6" spans="1:48" ht="12.95">
      <c r="A6" s="171" t="s">
        <v>416</v>
      </c>
      <c r="B6" s="171"/>
      <c r="C6" s="16"/>
    </row>
    <row r="7" spans="1:48" ht="12.95">
      <c r="A7" s="14"/>
      <c r="B7" s="14"/>
      <c r="C7" s="16"/>
    </row>
    <row r="8" spans="1:48" ht="12.95">
      <c r="A8" s="171"/>
      <c r="B8" s="171"/>
      <c r="C8" s="16" t="s">
        <v>656</v>
      </c>
    </row>
    <row r="9" spans="1:48" ht="12.95">
      <c r="A9" s="14"/>
      <c r="B9" s="14"/>
      <c r="C9" s="16"/>
    </row>
    <row r="10" spans="1:48" ht="26.1">
      <c r="A10" s="37" t="s">
        <v>170</v>
      </c>
      <c r="B10" s="37" t="s">
        <v>417</v>
      </c>
      <c r="C10" s="37" t="s">
        <v>418</v>
      </c>
      <c r="D10" s="37" t="s">
        <v>419</v>
      </c>
      <c r="E10" s="37" t="s">
        <v>420</v>
      </c>
      <c r="F10" s="38" t="s">
        <v>157</v>
      </c>
      <c r="G10" s="38" t="s">
        <v>173</v>
      </c>
      <c r="H10" s="38" t="s">
        <v>421</v>
      </c>
      <c r="I10" s="38" t="s">
        <v>177</v>
      </c>
      <c r="J10" s="38" t="s">
        <v>422</v>
      </c>
      <c r="K10" s="38" t="s">
        <v>423</v>
      </c>
      <c r="L10" s="38" t="s">
        <v>198</v>
      </c>
      <c r="M10" s="38" t="s">
        <v>423</v>
      </c>
      <c r="N10" s="38" t="s">
        <v>53</v>
      </c>
      <c r="O10" s="38" t="s">
        <v>423</v>
      </c>
      <c r="P10" s="38" t="s">
        <v>202</v>
      </c>
      <c r="Q10" s="38" t="s">
        <v>423</v>
      </c>
      <c r="R10" s="38" t="s">
        <v>217</v>
      </c>
      <c r="S10" s="38" t="s">
        <v>423</v>
      </c>
      <c r="T10" s="38" t="s">
        <v>222</v>
      </c>
      <c r="U10" s="38" t="s">
        <v>423</v>
      </c>
      <c r="V10" s="38" t="s">
        <v>206</v>
      </c>
      <c r="W10" s="38" t="s">
        <v>423</v>
      </c>
      <c r="X10" s="38" t="s">
        <v>424</v>
      </c>
      <c r="Y10" s="38" t="s">
        <v>423</v>
      </c>
      <c r="Z10" s="38" t="s">
        <v>610</v>
      </c>
      <c r="AA10" s="38" t="s">
        <v>423</v>
      </c>
      <c r="AB10" s="8" t="s">
        <v>426</v>
      </c>
      <c r="AC10" s="8" t="s">
        <v>423</v>
      </c>
      <c r="AD10" s="8" t="s">
        <v>427</v>
      </c>
      <c r="AE10" s="8" t="s">
        <v>423</v>
      </c>
      <c r="AF10" s="8" t="s">
        <v>522</v>
      </c>
      <c r="AG10" s="8" t="s">
        <v>423</v>
      </c>
      <c r="AH10" s="8" t="s">
        <v>428</v>
      </c>
      <c r="AI10" s="8" t="s">
        <v>423</v>
      </c>
      <c r="AJ10" s="8" t="s">
        <v>429</v>
      </c>
      <c r="AK10" s="8" t="s">
        <v>423</v>
      </c>
      <c r="AL10" s="8" t="s">
        <v>523</v>
      </c>
      <c r="AM10" s="8" t="s">
        <v>423</v>
      </c>
      <c r="AN10" s="8" t="s">
        <v>524</v>
      </c>
      <c r="AO10" s="8" t="s">
        <v>423</v>
      </c>
      <c r="AP10" s="83" t="s">
        <v>525</v>
      </c>
      <c r="AQ10" s="8" t="s">
        <v>423</v>
      </c>
      <c r="AR10" s="8" t="s">
        <v>477</v>
      </c>
      <c r="AS10" s="8" t="s">
        <v>423</v>
      </c>
      <c r="AT10" s="8" t="s">
        <v>431</v>
      </c>
      <c r="AU10" s="8" t="s">
        <v>432</v>
      </c>
      <c r="AV10" s="38" t="s">
        <v>433</v>
      </c>
    </row>
    <row r="11" spans="1:48">
      <c r="A11" s="36" t="s">
        <v>434</v>
      </c>
      <c r="D11" s="36" t="s">
        <v>435</v>
      </c>
      <c r="E11" s="36" t="s">
        <v>42</v>
      </c>
      <c r="F11" s="86">
        <v>4</v>
      </c>
      <c r="G11" s="86">
        <v>16</v>
      </c>
      <c r="H11" s="86">
        <v>0</v>
      </c>
      <c r="I11" s="86">
        <v>351</v>
      </c>
      <c r="J11" s="86">
        <f>IF(G11&gt;=10,16, 4)</f>
        <v>16</v>
      </c>
      <c r="K11" s="14" t="s">
        <v>526</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14"/>
      <c r="AQ11" s="14"/>
      <c r="AR11" s="14"/>
      <c r="AS11" s="14"/>
      <c r="AT11" s="86" t="s">
        <v>437</v>
      </c>
      <c r="AU11" s="86"/>
      <c r="AV11" s="86"/>
    </row>
    <row r="12" spans="1:48">
      <c r="A12" s="36" t="s">
        <v>438</v>
      </c>
      <c r="D12" s="114" t="s">
        <v>527</v>
      </c>
      <c r="E12" s="114" t="s">
        <v>439</v>
      </c>
      <c r="F12" s="86">
        <v>4</v>
      </c>
      <c r="G12" s="86">
        <v>28</v>
      </c>
      <c r="H12" s="86">
        <v>0</v>
      </c>
      <c r="I12" s="104">
        <f>IF(E12="vCSA8.0",600, 450)</f>
        <v>600</v>
      </c>
      <c r="J12" s="86">
        <v>25</v>
      </c>
      <c r="K12" s="14" t="s">
        <v>526</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14"/>
      <c r="AQ12" s="14"/>
      <c r="AR12" s="14"/>
      <c r="AS12" s="14"/>
      <c r="AT12" s="86" t="s">
        <v>437</v>
      </c>
      <c r="AU12" s="86"/>
      <c r="AV12" s="86"/>
    </row>
    <row r="13" spans="1:48">
      <c r="A13" s="36" t="s">
        <v>440</v>
      </c>
      <c r="B13" s="86" t="s">
        <v>441</v>
      </c>
      <c r="C13" s="36" t="s">
        <v>442</v>
      </c>
      <c r="D13" s="36" t="s">
        <v>435</v>
      </c>
      <c r="E13" s="36" t="s">
        <v>50</v>
      </c>
      <c r="F13" s="86">
        <v>6</v>
      </c>
      <c r="G13" s="86">
        <v>8</v>
      </c>
      <c r="H13" s="86">
        <v>8</v>
      </c>
      <c r="I13" s="86">
        <v>41</v>
      </c>
      <c r="J13" s="86">
        <f>IF(G13&gt;=10,16, 4)</f>
        <v>4</v>
      </c>
      <c r="K13" s="86" t="s">
        <v>528</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14"/>
      <c r="AQ13" s="14"/>
      <c r="AR13" s="14"/>
      <c r="AS13" s="14"/>
      <c r="AT13" s="86" t="s">
        <v>437</v>
      </c>
      <c r="AU13" s="86"/>
      <c r="AV13" s="86"/>
    </row>
    <row r="14" spans="1:48">
      <c r="A14" s="36" t="s">
        <v>444</v>
      </c>
      <c r="B14" s="86"/>
      <c r="C14" s="36" t="s">
        <v>442</v>
      </c>
      <c r="D14" s="36" t="s">
        <v>435</v>
      </c>
      <c r="E14" s="36" t="s">
        <v>53</v>
      </c>
      <c r="F14" s="86">
        <f>VLOOKUP(N14,B174:D174,3,FALSE)</f>
        <v>24</v>
      </c>
      <c r="G14" s="86">
        <f>VLOOKUP(N14,B174:E174,4,FALSE)</f>
        <v>240</v>
      </c>
      <c r="H14" s="86">
        <f>VLOOKUP(N14,B174:E174,4,FALSE)</f>
        <v>240</v>
      </c>
      <c r="I14" s="86">
        <v>117</v>
      </c>
      <c r="J14" s="86">
        <v>32</v>
      </c>
      <c r="K14" s="86" t="s">
        <v>529</v>
      </c>
      <c r="L14" s="108">
        <f>VLOOKUP(N14,B174:H174,7,FALSE)</f>
        <v>500</v>
      </c>
      <c r="M14" s="86" t="s">
        <v>657</v>
      </c>
      <c r="N14" s="121">
        <f xml:space="preserve"> IF(C8="Standard 3XL",$B$174,#REF!)</f>
        <v>16400</v>
      </c>
      <c r="O14" s="86" t="s">
        <v>658</v>
      </c>
      <c r="P14" s="108">
        <f>VLOOKUP(N14,B174:F174,5,FALSE)</f>
        <v>18000</v>
      </c>
      <c r="Q14" s="86" t="s">
        <v>659</v>
      </c>
      <c r="R14" s="86"/>
      <c r="S14" s="86"/>
      <c r="T14" s="86"/>
      <c r="U14" s="86"/>
      <c r="V14" s="86"/>
      <c r="W14" s="86"/>
      <c r="X14" s="108">
        <f>VLOOKUP(N14,B174:K174,10,FALSE)</f>
        <v>33600</v>
      </c>
      <c r="Y14" s="86" t="s">
        <v>660</v>
      </c>
      <c r="Z14" s="86"/>
      <c r="AA14" s="86"/>
      <c r="AB14" s="86"/>
      <c r="AC14" s="86"/>
      <c r="AD14" s="86"/>
      <c r="AE14" s="86"/>
      <c r="AF14" s="86"/>
      <c r="AG14" s="86"/>
      <c r="AH14" s="86"/>
      <c r="AI14" s="86"/>
      <c r="AJ14" s="86"/>
      <c r="AK14" s="86"/>
      <c r="AL14" s="86"/>
      <c r="AM14" s="86"/>
      <c r="AN14" s="86"/>
      <c r="AO14" s="86"/>
      <c r="AP14" s="14">
        <v>6144</v>
      </c>
      <c r="AQ14" s="14" t="s">
        <v>530</v>
      </c>
      <c r="AR14" s="14"/>
      <c r="AS14" s="14"/>
      <c r="AT14" s="86" t="s">
        <v>437</v>
      </c>
      <c r="AU14" s="86"/>
      <c r="AV14" s="86"/>
    </row>
    <row r="15" spans="1:48">
      <c r="A15" s="36" t="s">
        <v>448</v>
      </c>
      <c r="B15" s="86" t="s">
        <v>441</v>
      </c>
      <c r="C15" s="36" t="s">
        <v>442</v>
      </c>
      <c r="D15" s="36" t="s">
        <v>435</v>
      </c>
      <c r="E15" s="36" t="s">
        <v>57</v>
      </c>
      <c r="F15" s="86">
        <v>9</v>
      </c>
      <c r="G15" s="86">
        <v>9</v>
      </c>
      <c r="H15" s="86">
        <v>9</v>
      </c>
      <c r="I15" s="86">
        <v>46</v>
      </c>
      <c r="J15" s="86">
        <f t="shared" ref="J15:J46" si="0">IF(G15&gt;=10,16, 4)</f>
        <v>4</v>
      </c>
      <c r="K15" s="86" t="s">
        <v>531</v>
      </c>
      <c r="L15" s="86"/>
      <c r="M15" s="86"/>
      <c r="N15" s="86"/>
      <c r="O15" s="86"/>
      <c r="P15" s="86"/>
      <c r="Q15" s="86"/>
      <c r="R15" s="108">
        <f>VLOOKUP(N14,B174:J174,9,FALSE)</f>
        <v>1465</v>
      </c>
      <c r="S15" s="86" t="s">
        <v>661</v>
      </c>
      <c r="T15" s="14">
        <v>300</v>
      </c>
      <c r="U15" s="86" t="s">
        <v>222</v>
      </c>
      <c r="V15" s="86"/>
      <c r="W15" s="86"/>
      <c r="X15" s="108">
        <f>VLOOKUP(N14,B174:L174,11,FALSE)</f>
        <v>800</v>
      </c>
      <c r="Y15" s="86" t="s">
        <v>662</v>
      </c>
      <c r="Z15" s="86"/>
      <c r="AA15" s="86"/>
      <c r="AB15" s="86"/>
      <c r="AC15" s="86"/>
      <c r="AD15" s="86"/>
      <c r="AE15" s="86"/>
      <c r="AF15" s="86"/>
      <c r="AG15" s="86"/>
      <c r="AH15" s="86"/>
      <c r="AI15" s="86"/>
      <c r="AJ15" s="86"/>
      <c r="AK15" s="86"/>
      <c r="AL15" s="86"/>
      <c r="AM15" s="86"/>
      <c r="AN15" s="86"/>
      <c r="AO15" s="86"/>
      <c r="AP15" s="86"/>
      <c r="AQ15" s="86"/>
      <c r="AR15" s="86"/>
      <c r="AS15" s="86"/>
      <c r="AT15" s="86" t="s">
        <v>437</v>
      </c>
      <c r="AU15" s="86"/>
      <c r="AV15" s="86"/>
    </row>
    <row r="16" spans="1:48">
      <c r="A16" s="36" t="s">
        <v>450</v>
      </c>
      <c r="C16" s="36" t="s">
        <v>442</v>
      </c>
      <c r="D16" s="36" t="s">
        <v>435</v>
      </c>
      <c r="E16" s="36" t="s">
        <v>61</v>
      </c>
      <c r="F16" s="86">
        <v>2</v>
      </c>
      <c r="G16" s="86">
        <v>3</v>
      </c>
      <c r="H16" s="86">
        <v>0</v>
      </c>
      <c r="I16" s="86">
        <v>31</v>
      </c>
      <c r="J16" s="86">
        <f t="shared" si="0"/>
        <v>4</v>
      </c>
      <c r="K16" s="86" t="s">
        <v>528</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t="s">
        <v>437</v>
      </c>
      <c r="AU16" s="14" t="s">
        <v>437</v>
      </c>
      <c r="AV16" s="86" t="s">
        <v>437</v>
      </c>
    </row>
    <row r="17" spans="1:48">
      <c r="A17" s="36" t="s">
        <v>451</v>
      </c>
      <c r="C17" s="36" t="s">
        <v>442</v>
      </c>
      <c r="D17" s="36" t="s">
        <v>435</v>
      </c>
      <c r="E17" s="36" t="s">
        <v>65</v>
      </c>
      <c r="F17" s="86">
        <v>2</v>
      </c>
      <c r="G17" s="86">
        <v>5</v>
      </c>
      <c r="H17" s="86">
        <v>0</v>
      </c>
      <c r="I17" s="86">
        <v>31</v>
      </c>
      <c r="J17" s="86">
        <f t="shared" si="0"/>
        <v>4</v>
      </c>
      <c r="K17" s="86" t="s">
        <v>529</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t="s">
        <v>437</v>
      </c>
      <c r="AU17" s="86"/>
      <c r="AV17" s="86"/>
    </row>
    <row r="18" spans="1:48">
      <c r="A18" s="36" t="s">
        <v>452</v>
      </c>
      <c r="C18" s="36" t="s">
        <v>442</v>
      </c>
      <c r="D18" s="36" t="s">
        <v>435</v>
      </c>
      <c r="E18" s="36" t="s">
        <v>611</v>
      </c>
      <c r="F18" s="86">
        <v>3</v>
      </c>
      <c r="G18" s="86">
        <v>6</v>
      </c>
      <c r="H18" s="86">
        <v>0</v>
      </c>
      <c r="I18" s="86">
        <v>41</v>
      </c>
      <c r="J18" s="86">
        <f t="shared" si="0"/>
        <v>4</v>
      </c>
      <c r="K18" s="86" t="s">
        <v>531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t="s">
        <v>437</v>
      </c>
      <c r="AU18" s="14" t="s">
        <v>437</v>
      </c>
      <c r="AV18" s="86"/>
    </row>
    <row r="19" spans="1:48">
      <c r="A19" s="36" t="s">
        <v>454</v>
      </c>
      <c r="C19" s="36" t="s">
        <v>442</v>
      </c>
      <c r="D19" s="36" t="s">
        <v>435</v>
      </c>
      <c r="E19" s="36" t="s">
        <v>455</v>
      </c>
      <c r="F19" s="86">
        <v>5</v>
      </c>
      <c r="G19" s="86">
        <v>7</v>
      </c>
      <c r="H19" s="86">
        <v>0</v>
      </c>
      <c r="I19" s="86">
        <v>56</v>
      </c>
      <c r="J19" s="86">
        <f t="shared" si="0"/>
        <v>4</v>
      </c>
      <c r="K19" s="86" t="s">
        <v>528</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t="s">
        <v>437</v>
      </c>
      <c r="AU19" s="14" t="s">
        <v>437</v>
      </c>
      <c r="AV19" s="86"/>
    </row>
    <row r="20" spans="1:48">
      <c r="A20" s="36" t="s">
        <v>456</v>
      </c>
      <c r="C20" s="36" t="s">
        <v>442</v>
      </c>
      <c r="D20" s="36" t="s">
        <v>435</v>
      </c>
      <c r="E20" s="36" t="s">
        <v>77</v>
      </c>
      <c r="F20" s="86">
        <v>8</v>
      </c>
      <c r="G20" s="86">
        <v>13</v>
      </c>
      <c r="H20" s="86">
        <v>0</v>
      </c>
      <c r="I20" s="86">
        <v>81</v>
      </c>
      <c r="J20" s="86">
        <f t="shared" si="0"/>
        <v>16</v>
      </c>
      <c r="K20" s="86" t="s">
        <v>529</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t="s">
        <v>437</v>
      </c>
      <c r="AU20" s="14" t="s">
        <v>437</v>
      </c>
      <c r="AV20" s="86"/>
    </row>
    <row r="21" spans="1:48">
      <c r="A21" s="36" t="s">
        <v>457</v>
      </c>
      <c r="C21" s="36" t="s">
        <v>442</v>
      </c>
      <c r="D21" s="36" t="s">
        <v>435</v>
      </c>
      <c r="E21" s="36" t="s">
        <v>81</v>
      </c>
      <c r="F21" s="86">
        <v>4</v>
      </c>
      <c r="G21" s="86">
        <v>4</v>
      </c>
      <c r="H21" s="86">
        <v>0</v>
      </c>
      <c r="I21" s="86">
        <v>31</v>
      </c>
      <c r="J21" s="86">
        <f t="shared" si="0"/>
        <v>4</v>
      </c>
      <c r="K21" s="86" t="s">
        <v>531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t="s">
        <v>437</v>
      </c>
      <c r="AU21" s="14" t="s">
        <v>437</v>
      </c>
      <c r="AV21" s="86" t="s">
        <v>437</v>
      </c>
    </row>
    <row r="22" spans="1:48">
      <c r="A22" s="36" t="s">
        <v>458</v>
      </c>
      <c r="C22" s="36" t="s">
        <v>442</v>
      </c>
      <c r="D22" s="36" t="s">
        <v>435</v>
      </c>
      <c r="E22" s="36" t="s">
        <v>459</v>
      </c>
      <c r="F22" s="86">
        <v>8</v>
      </c>
      <c r="G22" s="86">
        <v>13</v>
      </c>
      <c r="H22" s="86">
        <v>0</v>
      </c>
      <c r="I22" s="86">
        <v>109</v>
      </c>
      <c r="J22" s="86">
        <f t="shared" si="0"/>
        <v>16</v>
      </c>
      <c r="K22" s="86" t="s">
        <v>528</v>
      </c>
      <c r="L22" s="86"/>
      <c r="M22" s="86"/>
      <c r="N22" s="86"/>
      <c r="O22" s="86"/>
      <c r="P22" s="86"/>
      <c r="Q22" s="86"/>
      <c r="R22" s="86"/>
      <c r="S22" s="86"/>
      <c r="T22" s="86"/>
      <c r="U22" s="86"/>
      <c r="V22" s="86"/>
      <c r="W22" s="86"/>
      <c r="X22" s="86"/>
      <c r="Y22" s="86"/>
      <c r="Z22" s="86"/>
      <c r="AA22" s="86"/>
      <c r="AB22" s="14">
        <v>50</v>
      </c>
      <c r="AC22" s="14" t="s">
        <v>531</v>
      </c>
      <c r="AD22" s="14"/>
      <c r="AE22" s="14"/>
      <c r="AF22" s="14"/>
      <c r="AG22" s="14"/>
      <c r="AH22" s="14"/>
      <c r="AI22" s="14"/>
      <c r="AJ22" s="14"/>
      <c r="AK22" s="14"/>
      <c r="AL22" s="14"/>
      <c r="AM22" s="14"/>
      <c r="AN22" s="14"/>
      <c r="AO22" s="14"/>
      <c r="AP22" s="14"/>
      <c r="AQ22" s="14"/>
      <c r="AR22" s="14"/>
      <c r="AS22" s="14"/>
      <c r="AT22" s="86" t="s">
        <v>437</v>
      </c>
      <c r="AU22" s="86"/>
      <c r="AV22" s="86"/>
    </row>
    <row r="23" spans="1:48">
      <c r="A23" s="36" t="s">
        <v>460</v>
      </c>
      <c r="C23" s="36" t="s">
        <v>442</v>
      </c>
      <c r="D23" s="36" t="s">
        <v>435</v>
      </c>
      <c r="E23" s="36" t="s">
        <v>88</v>
      </c>
      <c r="F23" s="86">
        <v>6</v>
      </c>
      <c r="G23" s="86">
        <v>8</v>
      </c>
      <c r="H23" s="86">
        <v>0</v>
      </c>
      <c r="I23" s="86">
        <v>169</v>
      </c>
      <c r="J23" s="86">
        <f t="shared" si="0"/>
        <v>4</v>
      </c>
      <c r="K23" s="86" t="s">
        <v>529</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t="s">
        <v>437</v>
      </c>
      <c r="AU23" s="14" t="s">
        <v>437</v>
      </c>
      <c r="AV23" s="86"/>
    </row>
    <row r="24" spans="1:48">
      <c r="A24" s="36" t="s">
        <v>461</v>
      </c>
      <c r="C24" s="36" t="s">
        <v>442</v>
      </c>
      <c r="D24" s="36" t="s">
        <v>435</v>
      </c>
      <c r="E24" s="36" t="s">
        <v>612</v>
      </c>
      <c r="F24" s="86">
        <v>8</v>
      </c>
      <c r="G24" s="86">
        <v>8</v>
      </c>
      <c r="H24" s="86">
        <v>0</v>
      </c>
      <c r="I24" s="86">
        <v>61</v>
      </c>
      <c r="J24" s="86">
        <f t="shared" si="0"/>
        <v>4</v>
      </c>
      <c r="K24" s="86" t="s">
        <v>531</v>
      </c>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t="s">
        <v>437</v>
      </c>
      <c r="AU24" s="86"/>
      <c r="AV24" s="86"/>
    </row>
    <row r="25" spans="1:48">
      <c r="A25" s="36" t="s">
        <v>462</v>
      </c>
      <c r="C25" s="36" t="s">
        <v>442</v>
      </c>
      <c r="D25" s="36" t="s">
        <v>435</v>
      </c>
      <c r="E25" s="36" t="s">
        <v>612</v>
      </c>
      <c r="F25" s="86">
        <v>8</v>
      </c>
      <c r="G25" s="86">
        <v>8</v>
      </c>
      <c r="H25" s="86">
        <v>0</v>
      </c>
      <c r="I25" s="86">
        <v>61</v>
      </c>
      <c r="J25" s="86">
        <f t="shared" si="0"/>
        <v>4</v>
      </c>
      <c r="K25" s="86" t="s">
        <v>528</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t="s">
        <v>437</v>
      </c>
      <c r="AU25" s="86"/>
      <c r="AV25" s="86"/>
    </row>
    <row r="26" spans="1:48">
      <c r="A26" s="36" t="s">
        <v>463</v>
      </c>
      <c r="C26" s="36" t="s">
        <v>442</v>
      </c>
      <c r="D26" s="36" t="s">
        <v>435</v>
      </c>
      <c r="E26" s="36" t="s">
        <v>96</v>
      </c>
      <c r="F26" s="86">
        <v>8</v>
      </c>
      <c r="G26" s="86">
        <v>19</v>
      </c>
      <c r="H26" s="86">
        <v>0</v>
      </c>
      <c r="I26" s="86">
        <v>151</v>
      </c>
      <c r="J26" s="86">
        <f t="shared" si="0"/>
        <v>16</v>
      </c>
      <c r="K26" s="86" t="s">
        <v>529</v>
      </c>
      <c r="L26" s="86"/>
      <c r="M26" s="86"/>
      <c r="N26" s="86"/>
      <c r="O26" s="86"/>
      <c r="P26" s="86"/>
      <c r="Q26" s="86"/>
      <c r="R26" s="86"/>
      <c r="S26" s="86"/>
      <c r="T26" s="86"/>
      <c r="U26" s="86"/>
      <c r="V26" s="86"/>
      <c r="W26" s="86"/>
      <c r="X26" s="86"/>
      <c r="Y26" s="86"/>
      <c r="Z26" s="86"/>
      <c r="AA26" s="86"/>
      <c r="AB26" s="86"/>
      <c r="AC26" s="86"/>
      <c r="AD26" s="14">
        <v>100</v>
      </c>
      <c r="AE26" s="14" t="s">
        <v>529</v>
      </c>
      <c r="AF26" s="14"/>
      <c r="AG26" s="14"/>
      <c r="AH26" s="14"/>
      <c r="AI26" s="14"/>
      <c r="AJ26" s="14"/>
      <c r="AK26" s="14"/>
      <c r="AL26" s="14"/>
      <c r="AM26" s="14"/>
      <c r="AN26" s="14"/>
      <c r="AO26" s="14"/>
      <c r="AP26" s="86"/>
      <c r="AQ26" s="86"/>
      <c r="AR26" s="86"/>
      <c r="AS26" s="86"/>
      <c r="AT26" s="86" t="s">
        <v>437</v>
      </c>
      <c r="AU26" s="86"/>
      <c r="AV26" s="86"/>
    </row>
    <row r="27" spans="1:48">
      <c r="A27" s="36" t="s">
        <v>464</v>
      </c>
      <c r="C27" s="36" t="s">
        <v>442</v>
      </c>
      <c r="D27" s="36" t="s">
        <v>435</v>
      </c>
      <c r="E27" s="36" t="s">
        <v>100</v>
      </c>
      <c r="F27" s="86">
        <v>8</v>
      </c>
      <c r="G27" s="86">
        <v>19</v>
      </c>
      <c r="H27" s="86">
        <v>0</v>
      </c>
      <c r="I27" s="86">
        <v>151</v>
      </c>
      <c r="J27" s="86">
        <f t="shared" si="0"/>
        <v>16</v>
      </c>
      <c r="K27" s="86" t="s">
        <v>531</v>
      </c>
      <c r="L27" s="86"/>
      <c r="M27" s="86"/>
      <c r="N27" s="86"/>
      <c r="O27" s="86"/>
      <c r="P27" s="86"/>
      <c r="Q27" s="86"/>
      <c r="R27" s="86"/>
      <c r="S27" s="86"/>
      <c r="T27" s="86"/>
      <c r="U27" s="86"/>
      <c r="V27" s="86"/>
      <c r="W27" s="86"/>
      <c r="X27" s="86"/>
      <c r="Y27" s="86"/>
      <c r="Z27" s="86"/>
      <c r="AA27" s="86"/>
      <c r="AB27" s="86"/>
      <c r="AC27" s="86"/>
      <c r="AD27" s="14">
        <v>100</v>
      </c>
      <c r="AE27" s="14" t="s">
        <v>531</v>
      </c>
      <c r="AF27" s="14"/>
      <c r="AG27" s="14"/>
      <c r="AH27" s="14"/>
      <c r="AI27" s="14"/>
      <c r="AJ27" s="14"/>
      <c r="AK27" s="14"/>
      <c r="AL27" s="14"/>
      <c r="AM27" s="14"/>
      <c r="AN27" s="14"/>
      <c r="AO27" s="14"/>
      <c r="AP27" s="86"/>
      <c r="AQ27" s="86"/>
      <c r="AR27" s="86"/>
      <c r="AS27" s="86"/>
      <c r="AT27" s="86" t="s">
        <v>437</v>
      </c>
      <c r="AU27" s="86"/>
      <c r="AV27" s="86"/>
    </row>
    <row r="28" spans="1:48">
      <c r="A28" s="36" t="s">
        <v>487</v>
      </c>
      <c r="C28" s="36" t="s">
        <v>442</v>
      </c>
      <c r="D28" s="36" t="s">
        <v>435</v>
      </c>
      <c r="E28" s="36" t="s">
        <v>104</v>
      </c>
      <c r="F28" s="86">
        <v>6</v>
      </c>
      <c r="G28" s="86">
        <v>9</v>
      </c>
      <c r="H28" s="86">
        <v>0</v>
      </c>
      <c r="I28" s="86">
        <v>41</v>
      </c>
      <c r="J28" s="86">
        <f t="shared" si="0"/>
        <v>4</v>
      </c>
      <c r="K28" s="86" t="s">
        <v>528</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t="s">
        <v>437</v>
      </c>
      <c r="AU28" s="86"/>
      <c r="AV28" s="86"/>
    </row>
    <row r="29" spans="1:48">
      <c r="A29" s="36" t="s">
        <v>489</v>
      </c>
      <c r="C29" s="36" t="s">
        <v>442</v>
      </c>
      <c r="D29" s="36" t="s">
        <v>435</v>
      </c>
      <c r="E29" s="36" t="s">
        <v>104</v>
      </c>
      <c r="F29" s="86">
        <v>6</v>
      </c>
      <c r="G29" s="86">
        <v>9</v>
      </c>
      <c r="H29" s="86">
        <v>0</v>
      </c>
      <c r="I29" s="86">
        <v>41</v>
      </c>
      <c r="J29" s="86">
        <f t="shared" si="0"/>
        <v>4</v>
      </c>
      <c r="K29" s="86" t="s">
        <v>529</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t="s">
        <v>437</v>
      </c>
      <c r="AU29" s="86"/>
      <c r="AV29" s="86"/>
    </row>
    <row r="30" spans="1:48">
      <c r="A30" s="36" t="s">
        <v>613</v>
      </c>
      <c r="C30" s="36" t="s">
        <v>442</v>
      </c>
      <c r="D30" s="36" t="s">
        <v>435</v>
      </c>
      <c r="E30" s="36" t="s">
        <v>108</v>
      </c>
      <c r="F30" s="86">
        <v>8</v>
      </c>
      <c r="G30" s="86">
        <v>36</v>
      </c>
      <c r="H30" s="86">
        <v>36</v>
      </c>
      <c r="I30" s="14">
        <v>136</v>
      </c>
      <c r="J30" s="86">
        <f t="shared" si="0"/>
        <v>16</v>
      </c>
      <c r="K30" s="86" t="s">
        <v>531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t="s">
        <v>437</v>
      </c>
      <c r="AU30" s="14" t="s">
        <v>437</v>
      </c>
      <c r="AV30" s="86"/>
    </row>
    <row r="31" spans="1:48">
      <c r="A31" s="36" t="s">
        <v>614</v>
      </c>
      <c r="C31" s="36" t="s">
        <v>442</v>
      </c>
      <c r="D31" s="36" t="s">
        <v>435</v>
      </c>
      <c r="E31" s="36" t="s">
        <v>108</v>
      </c>
      <c r="F31" s="86">
        <v>8</v>
      </c>
      <c r="G31" s="86">
        <v>36</v>
      </c>
      <c r="H31" s="86">
        <v>36</v>
      </c>
      <c r="I31" s="14">
        <v>136</v>
      </c>
      <c r="J31" s="86">
        <f t="shared" si="0"/>
        <v>16</v>
      </c>
      <c r="K31" s="86" t="s">
        <v>528</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t="s">
        <v>437</v>
      </c>
      <c r="AU31" s="14" t="s">
        <v>437</v>
      </c>
      <c r="AV31" s="86"/>
    </row>
    <row r="32" spans="1:48">
      <c r="A32" s="36" t="s">
        <v>615</v>
      </c>
      <c r="C32" s="36" t="s">
        <v>442</v>
      </c>
      <c r="D32" s="36" t="s">
        <v>435</v>
      </c>
      <c r="E32" s="36" t="s">
        <v>108</v>
      </c>
      <c r="F32" s="86">
        <v>8</v>
      </c>
      <c r="G32" s="86">
        <v>36</v>
      </c>
      <c r="H32" s="86">
        <v>36</v>
      </c>
      <c r="I32" s="14">
        <v>136</v>
      </c>
      <c r="J32" s="86">
        <f t="shared" si="0"/>
        <v>16</v>
      </c>
      <c r="K32" s="86" t="s">
        <v>529</v>
      </c>
      <c r="L32" s="86"/>
      <c r="M32" s="86"/>
      <c r="N32" s="86"/>
      <c r="O32" s="86"/>
      <c r="P32" s="86"/>
      <c r="Q32" s="86"/>
      <c r="R32" s="86"/>
      <c r="S32" s="86"/>
      <c r="T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t="s">
        <v>437</v>
      </c>
      <c r="AU32" s="14" t="s">
        <v>437</v>
      </c>
      <c r="AV32" s="86"/>
    </row>
    <row r="33" spans="1:48">
      <c r="A33" s="36" t="s">
        <v>616</v>
      </c>
      <c r="C33" s="36" t="s">
        <v>442</v>
      </c>
      <c r="D33" s="36" t="s">
        <v>435</v>
      </c>
      <c r="E33" s="36" t="s">
        <v>108</v>
      </c>
      <c r="F33" s="86">
        <v>8</v>
      </c>
      <c r="G33" s="86">
        <v>36</v>
      </c>
      <c r="H33" s="86">
        <v>36</v>
      </c>
      <c r="I33" s="14">
        <v>136</v>
      </c>
      <c r="J33" s="86">
        <f t="shared" si="0"/>
        <v>16</v>
      </c>
      <c r="K33" s="86" t="s">
        <v>531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t="s">
        <v>437</v>
      </c>
      <c r="AU33" s="14" t="s">
        <v>437</v>
      </c>
      <c r="AV33" s="86"/>
    </row>
    <row r="34" spans="1:48">
      <c r="A34" s="36" t="s">
        <v>621</v>
      </c>
      <c r="C34" s="36" t="s">
        <v>442</v>
      </c>
      <c r="D34" s="36" t="s">
        <v>435</v>
      </c>
      <c r="E34" s="36" t="s">
        <v>108</v>
      </c>
      <c r="F34" s="86">
        <v>8</v>
      </c>
      <c r="G34" s="86">
        <v>36</v>
      </c>
      <c r="H34" s="86">
        <v>36</v>
      </c>
      <c r="I34" s="14">
        <v>136</v>
      </c>
      <c r="J34" s="86">
        <f t="shared" si="0"/>
        <v>16</v>
      </c>
      <c r="K34" s="86" t="s">
        <v>528</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t="s">
        <v>437</v>
      </c>
      <c r="AU34" s="14" t="s">
        <v>437</v>
      </c>
      <c r="AV34" s="86"/>
    </row>
    <row r="35" spans="1:48">
      <c r="A35" s="36" t="s">
        <v>622</v>
      </c>
      <c r="C35" s="36" t="s">
        <v>442</v>
      </c>
      <c r="D35" s="36" t="s">
        <v>435</v>
      </c>
      <c r="E35" s="36" t="s">
        <v>108</v>
      </c>
      <c r="F35" s="86">
        <v>8</v>
      </c>
      <c r="G35" s="86">
        <v>36</v>
      </c>
      <c r="H35" s="86">
        <v>36</v>
      </c>
      <c r="I35" s="14">
        <v>136</v>
      </c>
      <c r="J35" s="86">
        <f t="shared" si="0"/>
        <v>16</v>
      </c>
      <c r="K35" s="86" t="s">
        <v>529</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t="s">
        <v>437</v>
      </c>
      <c r="AU35" s="14" t="s">
        <v>437</v>
      </c>
      <c r="AV35" s="86"/>
    </row>
    <row r="36" spans="1:48">
      <c r="A36" s="36" t="s">
        <v>633</v>
      </c>
      <c r="C36" s="36" t="s">
        <v>442</v>
      </c>
      <c r="D36" s="36" t="s">
        <v>435</v>
      </c>
      <c r="E36" s="36" t="s">
        <v>108</v>
      </c>
      <c r="F36" s="86">
        <v>8</v>
      </c>
      <c r="G36" s="86">
        <v>36</v>
      </c>
      <c r="H36" s="86">
        <v>36</v>
      </c>
      <c r="I36" s="14">
        <v>136</v>
      </c>
      <c r="J36" s="86">
        <f t="shared" si="0"/>
        <v>16</v>
      </c>
      <c r="K36" s="86" t="s">
        <v>531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t="s">
        <v>437</v>
      </c>
      <c r="AU36" s="14" t="s">
        <v>437</v>
      </c>
      <c r="AV36" s="86"/>
    </row>
    <row r="37" spans="1:48">
      <c r="A37" s="36" t="s">
        <v>634</v>
      </c>
      <c r="C37" s="36" t="s">
        <v>442</v>
      </c>
      <c r="D37" s="36" t="s">
        <v>435</v>
      </c>
      <c r="E37" s="36" t="s">
        <v>108</v>
      </c>
      <c r="F37" s="86">
        <v>8</v>
      </c>
      <c r="G37" s="86">
        <v>36</v>
      </c>
      <c r="H37" s="86">
        <v>36</v>
      </c>
      <c r="I37" s="14">
        <v>136</v>
      </c>
      <c r="J37" s="86">
        <f t="shared" si="0"/>
        <v>16</v>
      </c>
      <c r="K37" s="86" t="s">
        <v>528</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t="s">
        <v>437</v>
      </c>
      <c r="AU37" s="14" t="s">
        <v>437</v>
      </c>
      <c r="AV37" s="86"/>
    </row>
    <row r="38" spans="1:48">
      <c r="A38" s="36" t="s">
        <v>465</v>
      </c>
      <c r="B38" s="86"/>
      <c r="C38" s="36" t="s">
        <v>442</v>
      </c>
      <c r="D38" s="36" t="s">
        <v>435</v>
      </c>
      <c r="E38" s="36" t="s">
        <v>124</v>
      </c>
      <c r="F38" s="108">
        <f>IF(C8="Standard 3XL",10, 16)</f>
        <v>10</v>
      </c>
      <c r="G38" s="86">
        <v>12</v>
      </c>
      <c r="H38" s="86">
        <v>0</v>
      </c>
      <c r="I38" s="86">
        <v>56</v>
      </c>
      <c r="J38" s="86">
        <f t="shared" si="0"/>
        <v>16</v>
      </c>
      <c r="K38" s="86" t="s">
        <v>528</v>
      </c>
      <c r="L38" s="86"/>
      <c r="M38" s="86"/>
      <c r="N38" s="86"/>
      <c r="O38" s="86"/>
      <c r="P38" s="86"/>
      <c r="Q38" s="86"/>
      <c r="R38" s="86"/>
      <c r="S38" s="86"/>
      <c r="T38" s="86"/>
      <c r="U38" s="86"/>
      <c r="V38" s="86"/>
      <c r="W38" s="86"/>
      <c r="X38" s="86"/>
      <c r="Y38" s="86"/>
      <c r="Z38" s="86">
        <v>83</v>
      </c>
      <c r="AA38" s="86" t="s">
        <v>466</v>
      </c>
      <c r="AB38" s="86"/>
      <c r="AC38" s="86"/>
      <c r="AD38" s="86"/>
      <c r="AE38" s="86"/>
      <c r="AF38" s="86"/>
      <c r="AG38" s="86"/>
      <c r="AI38" s="86"/>
      <c r="AJ38" s="86"/>
      <c r="AK38" s="86"/>
      <c r="AL38" s="86"/>
      <c r="AM38" s="86"/>
      <c r="AN38" s="86"/>
      <c r="AO38" s="86"/>
      <c r="AP38" s="86"/>
      <c r="AQ38" s="86"/>
      <c r="AR38" s="86"/>
      <c r="AS38" s="86"/>
      <c r="AT38" s="86" t="s">
        <v>437</v>
      </c>
      <c r="AU38" s="86"/>
      <c r="AV38" s="86"/>
    </row>
    <row r="39" spans="1:48">
      <c r="A39" s="36" t="s">
        <v>467</v>
      </c>
      <c r="C39" s="36" t="s">
        <v>442</v>
      </c>
      <c r="D39" s="36" t="s">
        <v>435</v>
      </c>
      <c r="E39" s="36" t="s">
        <v>124</v>
      </c>
      <c r="F39" s="108">
        <f>IF(N14=16400,10, 16)</f>
        <v>10</v>
      </c>
      <c r="G39" s="86">
        <v>12</v>
      </c>
      <c r="H39" s="86">
        <v>0</v>
      </c>
      <c r="I39" s="86">
        <v>56</v>
      </c>
      <c r="J39" s="86">
        <f t="shared" si="0"/>
        <v>16</v>
      </c>
      <c r="K39" s="86" t="s">
        <v>529</v>
      </c>
      <c r="L39" s="86"/>
      <c r="M39" s="86"/>
      <c r="N39" s="86"/>
      <c r="O39" s="86"/>
      <c r="P39" s="86"/>
      <c r="Q39" s="86"/>
      <c r="R39" s="86"/>
      <c r="S39" s="86"/>
      <c r="T39" s="86"/>
      <c r="U39" s="86"/>
      <c r="V39" s="86"/>
      <c r="W39" s="86"/>
      <c r="X39" s="86"/>
      <c r="Y39" s="86"/>
      <c r="Z39" s="86">
        <v>83</v>
      </c>
      <c r="AA39" s="86" t="s">
        <v>466</v>
      </c>
      <c r="AB39" s="86"/>
      <c r="AC39" s="86"/>
      <c r="AD39" s="86"/>
      <c r="AE39" s="86"/>
      <c r="AF39" s="86"/>
      <c r="AG39" s="86"/>
      <c r="AH39" s="86"/>
      <c r="AI39" s="86"/>
      <c r="AJ39" s="86"/>
      <c r="AK39" s="86"/>
      <c r="AL39" s="86"/>
      <c r="AM39" s="86"/>
      <c r="AN39" s="86"/>
      <c r="AO39" s="86"/>
      <c r="AP39" s="86"/>
      <c r="AQ39" s="86"/>
      <c r="AR39" s="86"/>
      <c r="AS39" s="86"/>
      <c r="AT39" s="86" t="s">
        <v>437</v>
      </c>
      <c r="AU39" s="86"/>
      <c r="AV39" s="86"/>
    </row>
    <row r="40" spans="1:48">
      <c r="A40" s="36" t="s">
        <v>635</v>
      </c>
      <c r="C40" s="36" t="s">
        <v>442</v>
      </c>
      <c r="D40" s="36" t="s">
        <v>435</v>
      </c>
      <c r="E40" s="36" t="s">
        <v>124</v>
      </c>
      <c r="F40" s="108">
        <f>IF(N14=16400,10, 16)</f>
        <v>10</v>
      </c>
      <c r="G40" s="86">
        <v>12</v>
      </c>
      <c r="H40" s="86">
        <v>0</v>
      </c>
      <c r="I40" s="86">
        <v>56</v>
      </c>
      <c r="J40" s="86">
        <f t="shared" si="0"/>
        <v>16</v>
      </c>
      <c r="K40" s="86" t="s">
        <v>531</v>
      </c>
      <c r="L40" s="86"/>
      <c r="M40" s="86"/>
      <c r="N40" s="86"/>
      <c r="O40" s="86"/>
      <c r="P40" s="86"/>
      <c r="Q40" s="86"/>
      <c r="R40" s="86"/>
      <c r="S40" s="86"/>
      <c r="T40" s="86"/>
      <c r="U40" s="86"/>
      <c r="V40" s="86"/>
      <c r="W40" s="86"/>
      <c r="X40" s="86"/>
      <c r="Y40" s="86"/>
      <c r="Z40" s="86">
        <v>83</v>
      </c>
      <c r="AA40" s="86" t="s">
        <v>466</v>
      </c>
      <c r="AB40" s="86"/>
      <c r="AC40" s="86"/>
      <c r="AD40" s="86"/>
      <c r="AE40" s="86"/>
      <c r="AF40" s="86"/>
      <c r="AG40" s="86"/>
      <c r="AH40" s="86"/>
      <c r="AI40" s="86"/>
      <c r="AJ40" s="86"/>
      <c r="AK40" s="86"/>
      <c r="AL40" s="86"/>
      <c r="AM40" s="86"/>
      <c r="AN40" s="86"/>
      <c r="AO40" s="86"/>
      <c r="AP40" s="86"/>
      <c r="AQ40" s="86"/>
      <c r="AR40" s="86"/>
      <c r="AS40" s="86"/>
      <c r="AT40" s="86" t="s">
        <v>437</v>
      </c>
      <c r="AU40" s="86"/>
      <c r="AV40" s="86"/>
    </row>
    <row r="41" spans="1:48">
      <c r="A41" s="36" t="s">
        <v>636</v>
      </c>
      <c r="C41" s="36" t="s">
        <v>442</v>
      </c>
      <c r="D41" s="36" t="s">
        <v>435</v>
      </c>
      <c r="E41" s="36" t="s">
        <v>124</v>
      </c>
      <c r="F41" s="108">
        <f>IF(N14=16400,10, 16)</f>
        <v>10</v>
      </c>
      <c r="G41" s="86">
        <v>12</v>
      </c>
      <c r="H41" s="86">
        <v>0</v>
      </c>
      <c r="I41" s="86">
        <v>56</v>
      </c>
      <c r="J41" s="86">
        <f t="shared" si="0"/>
        <v>16</v>
      </c>
      <c r="K41" s="86" t="s">
        <v>528</v>
      </c>
      <c r="L41" s="86"/>
      <c r="M41" s="86"/>
      <c r="N41" s="86"/>
      <c r="O41" s="86"/>
      <c r="P41" s="86"/>
      <c r="Q41" s="86"/>
      <c r="R41" s="86"/>
      <c r="S41" s="86"/>
      <c r="T41" s="86"/>
      <c r="U41" s="86"/>
      <c r="V41" s="86"/>
      <c r="W41" s="86"/>
      <c r="X41" s="86"/>
      <c r="Y41" s="86"/>
      <c r="Z41" s="86">
        <v>83</v>
      </c>
      <c r="AA41" s="86" t="s">
        <v>466</v>
      </c>
      <c r="AB41" s="86"/>
      <c r="AC41" s="86"/>
      <c r="AD41" s="86"/>
      <c r="AE41" s="86"/>
      <c r="AF41" s="86"/>
      <c r="AG41" s="86"/>
      <c r="AH41" s="86"/>
      <c r="AI41" s="86"/>
      <c r="AJ41" s="86"/>
      <c r="AK41" s="86"/>
      <c r="AL41" s="86"/>
      <c r="AM41" s="86"/>
      <c r="AN41" s="86"/>
      <c r="AO41" s="86"/>
      <c r="AP41" s="86"/>
      <c r="AQ41" s="86"/>
      <c r="AR41" s="86"/>
      <c r="AS41" s="86"/>
      <c r="AT41" s="86" t="s">
        <v>437</v>
      </c>
      <c r="AU41" s="86"/>
      <c r="AV41" s="86"/>
    </row>
    <row r="42" spans="1:48">
      <c r="A42" s="36" t="s">
        <v>468</v>
      </c>
      <c r="C42" s="36" t="s">
        <v>442</v>
      </c>
      <c r="D42" s="36" t="s">
        <v>435</v>
      </c>
      <c r="E42" s="36" t="s">
        <v>469</v>
      </c>
      <c r="F42" s="86">
        <v>4</v>
      </c>
      <c r="G42" s="86">
        <v>4</v>
      </c>
      <c r="H42" s="86">
        <v>0</v>
      </c>
      <c r="I42" s="86">
        <v>41</v>
      </c>
      <c r="J42" s="86">
        <f t="shared" si="0"/>
        <v>4</v>
      </c>
      <c r="K42" s="86" t="s">
        <v>531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t="s">
        <v>437</v>
      </c>
      <c r="AU42" s="86"/>
      <c r="AV42" s="86"/>
    </row>
    <row r="43" spans="1:48">
      <c r="A43" s="36" t="s">
        <v>470</v>
      </c>
      <c r="C43" s="36" t="s">
        <v>442</v>
      </c>
      <c r="D43" s="36" t="s">
        <v>435</v>
      </c>
      <c r="E43" s="36" t="s">
        <v>471</v>
      </c>
      <c r="F43" s="86">
        <v>4</v>
      </c>
      <c r="G43" s="86">
        <v>4</v>
      </c>
      <c r="H43" s="86">
        <v>0</v>
      </c>
      <c r="I43" s="86">
        <v>41</v>
      </c>
      <c r="J43" s="86">
        <f t="shared" si="0"/>
        <v>4</v>
      </c>
      <c r="K43" s="86" t="s">
        <v>531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t="s">
        <v>437</v>
      </c>
      <c r="AU43" s="86"/>
      <c r="AV43" s="86"/>
    </row>
    <row r="44" spans="1:48" s="6" customFormat="1" ht="13.5" customHeight="1">
      <c r="A44" s="6" t="s">
        <v>472</v>
      </c>
      <c r="C44" s="6" t="s">
        <v>442</v>
      </c>
      <c r="D44" s="6" t="s">
        <v>435</v>
      </c>
      <c r="E44" s="15" t="s">
        <v>473</v>
      </c>
      <c r="F44" s="14">
        <v>8</v>
      </c>
      <c r="G44" s="14">
        <v>11</v>
      </c>
      <c r="H44" s="14">
        <v>0</v>
      </c>
      <c r="I44" s="14">
        <v>125</v>
      </c>
      <c r="J44" s="86">
        <f t="shared" si="0"/>
        <v>16</v>
      </c>
      <c r="K44" s="86" t="s">
        <v>528</v>
      </c>
      <c r="L44" s="14"/>
      <c r="M44" s="14"/>
      <c r="N44" s="2"/>
      <c r="O44"/>
      <c r="P44" s="14"/>
      <c r="Q44" s="14"/>
      <c r="R44" s="14"/>
      <c r="S44" s="14"/>
      <c r="T44" s="14"/>
      <c r="U44" s="14"/>
      <c r="X44" s="14"/>
      <c r="Y44" s="14"/>
      <c r="AG44" s="86"/>
      <c r="AH44" s="86"/>
      <c r="AI44" s="86"/>
      <c r="AJ44" s="86">
        <v>135</v>
      </c>
      <c r="AK44" s="86" t="s">
        <v>474</v>
      </c>
      <c r="AL44" s="86"/>
      <c r="AM44" s="86"/>
      <c r="AN44" s="86"/>
      <c r="AO44" s="86"/>
      <c r="AT44" s="14" t="s">
        <v>437</v>
      </c>
      <c r="AU44" s="14"/>
      <c r="AV44" s="14"/>
    </row>
    <row r="45" spans="1:48" s="6" customFormat="1" ht="13.5" customHeight="1">
      <c r="A45" s="6" t="s">
        <v>480</v>
      </c>
      <c r="C45" s="6" t="s">
        <v>442</v>
      </c>
      <c r="D45" s="6" t="s">
        <v>435</v>
      </c>
      <c r="E45" s="6" t="s">
        <v>637</v>
      </c>
      <c r="F45" s="14">
        <v>7</v>
      </c>
      <c r="G45" s="14">
        <v>7</v>
      </c>
      <c r="H45" s="14">
        <v>0</v>
      </c>
      <c r="I45" s="14">
        <v>90</v>
      </c>
      <c r="J45" s="86">
        <f t="shared" si="0"/>
        <v>4</v>
      </c>
      <c r="K45" s="14" t="s">
        <v>529</v>
      </c>
      <c r="L45" s="14"/>
      <c r="M45" s="14"/>
      <c r="N45" s="2"/>
      <c r="O45"/>
      <c r="P45" s="14"/>
      <c r="Q45" s="14"/>
      <c r="R45" s="14"/>
      <c r="S45" s="14"/>
      <c r="T45" s="14"/>
      <c r="U45" s="14"/>
      <c r="V45" s="14"/>
      <c r="W45" s="14"/>
      <c r="X45" s="14"/>
      <c r="AF45" s="14"/>
      <c r="AG45" s="86"/>
      <c r="AH45" s="86"/>
      <c r="AI45" s="86"/>
      <c r="AJ45" s="86">
        <v>135</v>
      </c>
      <c r="AK45" s="86" t="s">
        <v>474</v>
      </c>
      <c r="AL45" s="86"/>
      <c r="AM45" s="86"/>
      <c r="AN45" s="86"/>
      <c r="AO45" s="86"/>
      <c r="AT45" s="14" t="s">
        <v>437</v>
      </c>
      <c r="AU45" s="14"/>
      <c r="AV45" s="14"/>
    </row>
    <row r="46" spans="1:48" s="6" customFormat="1" ht="13.5" customHeight="1">
      <c r="A46" s="6" t="s">
        <v>476</v>
      </c>
      <c r="C46" s="6" t="s">
        <v>442</v>
      </c>
      <c r="D46" s="6" t="s">
        <v>435</v>
      </c>
      <c r="E46" s="6" t="s">
        <v>638</v>
      </c>
      <c r="F46" s="14">
        <v>6</v>
      </c>
      <c r="G46" s="14">
        <v>6</v>
      </c>
      <c r="H46" s="14">
        <v>0</v>
      </c>
      <c r="I46" s="14">
        <v>60</v>
      </c>
      <c r="J46" s="86">
        <f t="shared" si="0"/>
        <v>4</v>
      </c>
      <c r="K46" s="14" t="s">
        <v>531</v>
      </c>
      <c r="L46" s="14"/>
      <c r="M46" s="14"/>
      <c r="N46" s="2"/>
      <c r="O46"/>
      <c r="P46" s="14"/>
      <c r="Q46" s="14"/>
      <c r="R46" s="14"/>
      <c r="S46" s="14"/>
      <c r="T46" s="14"/>
      <c r="U46" s="14"/>
      <c r="V46" s="14"/>
      <c r="W46" s="14"/>
      <c r="X46" s="14"/>
      <c r="AF46" s="14"/>
      <c r="AG46" s="86"/>
      <c r="AH46" s="86"/>
      <c r="AI46" s="86"/>
      <c r="AJ46" s="86">
        <v>135</v>
      </c>
      <c r="AK46" s="86" t="s">
        <v>474</v>
      </c>
      <c r="AL46" s="86"/>
      <c r="AM46" s="86"/>
      <c r="AN46" s="86"/>
      <c r="AO46" s="86"/>
      <c r="AR46" s="155"/>
      <c r="AT46" s="14" t="s">
        <v>437</v>
      </c>
      <c r="AU46" s="14"/>
      <c r="AV46" s="14"/>
    </row>
    <row r="47" spans="1:48" s="40" customFormat="1">
      <c r="F47" s="41">
        <f>SUM(F11:F46)</f>
        <v>262</v>
      </c>
      <c r="G47" s="41">
        <f>SUM(G11:G46)</f>
        <v>800</v>
      </c>
      <c r="H47" s="41">
        <f>SUM(H11:H46)</f>
        <v>545</v>
      </c>
      <c r="I47" s="41">
        <f>SUM(I11:I46)</f>
        <v>3879</v>
      </c>
      <c r="J47" s="41"/>
      <c r="K47" s="41"/>
      <c r="L47" s="41">
        <f>SUM(L11:L46)</f>
        <v>500</v>
      </c>
      <c r="M47" s="41"/>
      <c r="N47" s="41">
        <f>SUM(N11:N46)</f>
        <v>16400</v>
      </c>
      <c r="O47" s="41"/>
      <c r="P47" s="41">
        <f>SUM(P11:P46)</f>
        <v>18000</v>
      </c>
      <c r="Q47" s="41"/>
      <c r="R47" s="41">
        <f>SUM(R11:R46)</f>
        <v>1465</v>
      </c>
      <c r="S47" s="41"/>
      <c r="T47" s="41">
        <f>SUM(T11:T46)</f>
        <v>300</v>
      </c>
      <c r="U47" s="41"/>
      <c r="V47" s="41">
        <f>SUM(V11:V46)</f>
        <v>0</v>
      </c>
      <c r="W47" s="41"/>
      <c r="X47" s="41">
        <f>SUM(X11:X46)</f>
        <v>34400</v>
      </c>
      <c r="Z47" s="41">
        <f>SUM(Z11:Z46)</f>
        <v>332</v>
      </c>
      <c r="AB47" s="41">
        <f>SUM(AB11:AB46)</f>
        <v>50</v>
      </c>
      <c r="AD47" s="41">
        <f>SUM(AD11:AD46)</f>
        <v>200</v>
      </c>
      <c r="AF47" s="41">
        <f>SUM(AF11:AF46)</f>
        <v>0</v>
      </c>
      <c r="AH47" s="41">
        <f>SUM(AH11:AH46)</f>
        <v>0</v>
      </c>
      <c r="AJ47" s="41">
        <f>SUM(AJ11:AJ46)</f>
        <v>405</v>
      </c>
      <c r="AL47" s="41">
        <f>SUM(AL11:AL46)</f>
        <v>0</v>
      </c>
      <c r="AN47" s="41">
        <f>SUM(AN11:AN46)</f>
        <v>0</v>
      </c>
      <c r="AP47" s="41">
        <f>SUM(AP11:AP46)</f>
        <v>6144</v>
      </c>
      <c r="AT47" s="41">
        <f>COUNTIF(AT11:AT46,"x")</f>
        <v>36</v>
      </c>
      <c r="AU47" s="41">
        <f>COUNTIF(AU11:AU46,"x")</f>
        <v>14</v>
      </c>
      <c r="AV47" s="41">
        <f>COUNTIF(AV11:AV46,"x")</f>
        <v>2</v>
      </c>
    </row>
    <row r="48" spans="1:48" s="6" customFormat="1" ht="13.5" customHeight="1">
      <c r="A48" s="16" t="s">
        <v>475</v>
      </c>
      <c r="F48" s="14"/>
      <c r="G48" s="14"/>
      <c r="H48" s="14"/>
      <c r="I48" s="14"/>
      <c r="J48" s="14"/>
      <c r="K48" s="14"/>
      <c r="L48" s="14"/>
      <c r="M48" s="14"/>
      <c r="N48" s="14"/>
      <c r="O48"/>
      <c r="P48" s="14"/>
      <c r="Q48" s="14"/>
      <c r="R48" s="14"/>
      <c r="S48" s="14"/>
      <c r="T48" s="14"/>
      <c r="U48" s="14"/>
      <c r="V48" s="14"/>
      <c r="X48" s="14"/>
      <c r="Z48" s="14"/>
      <c r="AB48" s="14"/>
      <c r="AD48" s="14"/>
      <c r="AF48" s="14"/>
      <c r="AG48" s="14"/>
      <c r="AH48" s="14"/>
    </row>
    <row r="49" spans="1:50" s="6" customFormat="1" ht="13.5" customHeight="1">
      <c r="A49" s="6" t="s">
        <v>476</v>
      </c>
      <c r="C49" s="6" t="s">
        <v>442</v>
      </c>
      <c r="D49" s="6" t="s">
        <v>435</v>
      </c>
      <c r="E49" s="15" t="s">
        <v>477</v>
      </c>
      <c r="F49" s="14">
        <v>8</v>
      </c>
      <c r="G49" s="14">
        <v>16</v>
      </c>
      <c r="H49" s="14">
        <v>0</v>
      </c>
      <c r="I49" s="14">
        <v>30</v>
      </c>
      <c r="J49" s="86">
        <f>IF(G49&gt;=10,16, 4)-J46</f>
        <v>12</v>
      </c>
      <c r="K49" s="86" t="s">
        <v>531</v>
      </c>
      <c r="L49" s="14"/>
      <c r="M49" s="14"/>
      <c r="N49" s="2"/>
      <c r="O49"/>
      <c r="P49" s="14"/>
      <c r="Q49" s="14"/>
      <c r="R49" s="14"/>
      <c r="S49" s="14"/>
      <c r="T49" s="14"/>
      <c r="U49" s="14"/>
      <c r="X49" s="14">
        <v>200</v>
      </c>
      <c r="Y49" s="14" t="s">
        <v>663</v>
      </c>
      <c r="AG49" s="86"/>
      <c r="AH49" s="86"/>
      <c r="AI49" s="86"/>
      <c r="AJ49" s="86"/>
      <c r="AK49" s="86"/>
      <c r="AL49" s="86"/>
      <c r="AM49" s="86"/>
      <c r="AN49" s="86"/>
      <c r="AO49" s="86"/>
      <c r="AR49" s="155">
        <v>150</v>
      </c>
      <c r="AS49" s="6" t="s">
        <v>474</v>
      </c>
      <c r="AT49" s="14"/>
      <c r="AU49" s="14"/>
      <c r="AV49" s="14"/>
    </row>
    <row r="50" spans="1:50" ht="12.95">
      <c r="A50" s="184" t="s">
        <v>478</v>
      </c>
      <c r="B50" s="185"/>
      <c r="F50" s="86"/>
      <c r="G50" s="86"/>
      <c r="H50" s="86"/>
      <c r="I50" s="86"/>
      <c r="J50" s="86"/>
      <c r="K50" s="86"/>
      <c r="L50" s="86"/>
      <c r="M50" s="86"/>
      <c r="N50" s="86"/>
      <c r="O50" s="86"/>
      <c r="P50" s="86"/>
      <c r="Q50" s="86"/>
      <c r="R50" s="86"/>
      <c r="S50" s="86"/>
      <c r="T50" s="86"/>
      <c r="U50" s="86"/>
      <c r="V50" s="86"/>
      <c r="W50" s="86"/>
      <c r="X50" s="86"/>
      <c r="Z50" s="86"/>
      <c r="AB50" s="86"/>
      <c r="AD50" s="86"/>
      <c r="AF50" s="86"/>
      <c r="AH50" s="86"/>
      <c r="AP50" s="86"/>
      <c r="AU50" s="86"/>
      <c r="AV50" s="86"/>
    </row>
    <row r="51" spans="1:50" s="6" customFormat="1" ht="13.5" customHeight="1">
      <c r="A51" s="6" t="s">
        <v>472</v>
      </c>
      <c r="C51" s="6" t="s">
        <v>442</v>
      </c>
      <c r="D51" s="6" t="s">
        <v>435</v>
      </c>
      <c r="E51" s="6" t="s">
        <v>479</v>
      </c>
      <c r="F51" s="14">
        <v>8</v>
      </c>
      <c r="G51" s="14">
        <v>22</v>
      </c>
      <c r="H51" s="14">
        <v>0</v>
      </c>
      <c r="I51" s="14">
        <v>28</v>
      </c>
      <c r="J51" s="86">
        <f>IF(G51&gt;=10,16, 4)-J44</f>
        <v>0</v>
      </c>
      <c r="K51" s="14" t="s">
        <v>528</v>
      </c>
      <c r="L51" s="14"/>
      <c r="M51" s="14"/>
      <c r="N51" s="2"/>
      <c r="O51"/>
      <c r="P51" s="14"/>
      <c r="Q51" s="14"/>
      <c r="R51" s="14">
        <v>120</v>
      </c>
      <c r="S51" s="14" t="s">
        <v>661</v>
      </c>
      <c r="V51" s="14">
        <v>250</v>
      </c>
      <c r="W51" s="14" t="s">
        <v>663</v>
      </c>
      <c r="X51" s="14">
        <v>120</v>
      </c>
      <c r="Y51" s="14" t="s">
        <v>662</v>
      </c>
      <c r="AD51" s="14"/>
      <c r="AE51" s="14"/>
      <c r="AF51" s="14"/>
      <c r="AG51" s="14"/>
      <c r="AH51" s="86">
        <v>200</v>
      </c>
      <c r="AI51" s="86" t="s">
        <v>474</v>
      </c>
      <c r="AT51" s="14"/>
      <c r="AU51" s="14"/>
      <c r="AV51" s="14"/>
      <c r="AW51" s="14"/>
    </row>
    <row r="52" spans="1:50" s="19" customFormat="1" ht="13.5" customHeight="1">
      <c r="A52" s="19" t="s">
        <v>480</v>
      </c>
      <c r="C52" s="19" t="s">
        <v>442</v>
      </c>
      <c r="D52" s="19" t="s">
        <v>435</v>
      </c>
      <c r="E52" s="19" t="s">
        <v>481</v>
      </c>
      <c r="F52" s="17">
        <v>6</v>
      </c>
      <c r="G52" s="17">
        <v>17</v>
      </c>
      <c r="H52" s="17">
        <v>0</v>
      </c>
      <c r="I52" s="17">
        <v>30</v>
      </c>
      <c r="J52" s="17">
        <f>IF(G52&gt;=10,16, 4)-J46</f>
        <v>12</v>
      </c>
      <c r="K52" s="17" t="s">
        <v>529</v>
      </c>
      <c r="L52" s="17"/>
      <c r="M52" s="17"/>
      <c r="N52" s="99"/>
      <c r="O52" s="98"/>
      <c r="P52" s="17"/>
      <c r="Q52" s="17"/>
      <c r="R52" s="17"/>
      <c r="S52" s="17"/>
      <c r="V52" s="17"/>
      <c r="W52" s="17"/>
      <c r="X52" s="17"/>
      <c r="Y52" s="17"/>
      <c r="AD52" s="17"/>
      <c r="AE52" s="17"/>
      <c r="AF52" s="17"/>
      <c r="AG52" s="17"/>
      <c r="AH52" s="17"/>
      <c r="AP52" s="156"/>
      <c r="AR52" s="17"/>
      <c r="AS52" s="17"/>
      <c r="AU52" s="17"/>
    </row>
    <row r="53" spans="1:50" s="6" customFormat="1" ht="13.5" customHeight="1">
      <c r="F53" s="14">
        <f>SUM(F49:F52)+F47</f>
        <v>284</v>
      </c>
      <c r="G53" s="14">
        <f>SUM(G49:G52)+G47</f>
        <v>855</v>
      </c>
      <c r="H53" s="14">
        <f>SUM(H49:H52)+H47</f>
        <v>545</v>
      </c>
      <c r="I53" s="14">
        <f>SUM(I49:I52)+I47</f>
        <v>3967</v>
      </c>
      <c r="J53" s="14"/>
      <c r="K53" s="14"/>
      <c r="L53" s="14">
        <f>SUM(L49:L52)+L47</f>
        <v>500</v>
      </c>
      <c r="M53" s="14"/>
      <c r="N53" s="14">
        <f>SUM(N49:N52)+N47</f>
        <v>16400</v>
      </c>
      <c r="O53"/>
      <c r="P53" s="14">
        <f>SUM(P49:P52)+P47</f>
        <v>18000</v>
      </c>
      <c r="Q53" s="14"/>
      <c r="R53" s="14">
        <f>SUM(R49:R52)+R47</f>
        <v>1585</v>
      </c>
      <c r="S53" s="14"/>
      <c r="T53" s="14">
        <f>SUM(T49:T52)+T47</f>
        <v>300</v>
      </c>
      <c r="V53" s="14">
        <f>SUM(V49:V52)+V47</f>
        <v>250</v>
      </c>
      <c r="W53" s="14"/>
      <c r="X53" s="14">
        <f>SUM(X49:X52)+X47</f>
        <v>34720</v>
      </c>
      <c r="Z53" s="14">
        <f>SUM(Z49:Z52)+Z47</f>
        <v>332</v>
      </c>
      <c r="AB53" s="14">
        <f>SUM(AB49:AB52)+AB47</f>
        <v>50</v>
      </c>
      <c r="AD53" s="14">
        <f>SUM(AD49:AD52)+AD47</f>
        <v>200</v>
      </c>
      <c r="AE53" s="14"/>
      <c r="AF53" s="14">
        <f>SUM(AF49:AF52)+AF47</f>
        <v>0</v>
      </c>
      <c r="AG53" s="14"/>
      <c r="AH53" s="14">
        <f>SUM(AH49:AH52)+AH47</f>
        <v>200</v>
      </c>
      <c r="AJ53" s="14">
        <f>SUM(AJ49:AJ52)+AJ47</f>
        <v>405</v>
      </c>
      <c r="AL53" s="14">
        <f>SUM(AL49:AL52)+AL47</f>
        <v>0</v>
      </c>
      <c r="AN53" s="14">
        <f>SUM(AN49:AN52)+AN47</f>
        <v>0</v>
      </c>
      <c r="AP53" s="14">
        <f>SUM(AP49:AP52)+AP47</f>
        <v>6144</v>
      </c>
      <c r="AR53" s="155">
        <f>SUM(AR49:AR52)+AR47</f>
        <v>150</v>
      </c>
      <c r="AT53" s="14">
        <f>COUNTIF(AT51:AT52,"x")+AT47</f>
        <v>36</v>
      </c>
      <c r="AU53" s="14">
        <f>COUNTIF(AU51:AU52,"x")+AU47</f>
        <v>14</v>
      </c>
      <c r="AV53" s="14">
        <f>COUNTIF(AV51:AV52,"x")+AV47</f>
        <v>2</v>
      </c>
      <c r="AW53" s="14"/>
      <c r="AX53" s="14"/>
    </row>
    <row r="54" spans="1:50">
      <c r="F54" s="86"/>
      <c r="G54" s="86"/>
      <c r="H54" s="86"/>
      <c r="I54" s="86"/>
      <c r="J54" s="86"/>
      <c r="K54" s="86"/>
      <c r="L54" s="86"/>
      <c r="M54" s="86"/>
      <c r="N54" s="86"/>
      <c r="O54" s="86"/>
      <c r="P54" s="86"/>
      <c r="Q54" s="86"/>
      <c r="R54" s="86"/>
      <c r="S54" s="86"/>
      <c r="T54" s="86"/>
      <c r="U54" s="86"/>
      <c r="V54" s="86"/>
      <c r="W54" s="86"/>
      <c r="X54" s="86"/>
      <c r="Z54" s="86"/>
      <c r="AB54" s="86"/>
      <c r="AD54" s="86"/>
      <c r="AF54" s="86"/>
      <c r="AH54" s="86"/>
      <c r="AU54" s="86"/>
      <c r="AV54" s="86"/>
    </row>
    <row r="56" spans="1:50">
      <c r="F56" s="86"/>
      <c r="G56" s="86"/>
      <c r="H56" s="86"/>
      <c r="I56" s="86"/>
      <c r="J56" s="86"/>
      <c r="K56" s="86"/>
      <c r="L56" s="86"/>
      <c r="M56" s="86"/>
      <c r="N56" s="86"/>
      <c r="O56" s="86"/>
      <c r="P56" s="86"/>
      <c r="Q56" s="86"/>
      <c r="R56" s="86"/>
      <c r="S56" s="86"/>
      <c r="T56" s="86"/>
      <c r="U56" s="86"/>
      <c r="V56" s="86"/>
      <c r="W56" s="86"/>
      <c r="X56" s="86"/>
      <c r="AP56" s="43"/>
      <c r="AQ56" s="43"/>
      <c r="AR56" s="43"/>
      <c r="AS56" s="43"/>
    </row>
    <row r="57" spans="1:50" ht="12.95" customHeight="1">
      <c r="A57" s="180" t="s">
        <v>482</v>
      </c>
      <c r="B57" s="180"/>
      <c r="C57" s="180"/>
      <c r="D57" s="180"/>
      <c r="E57" s="42"/>
      <c r="F57" s="90"/>
      <c r="G57" s="90"/>
      <c r="H57" s="175" t="str">
        <f>"Note1: The hardware resource pool provided here corresponds only to MantaRay NM virtual machines. If optional virtual machines are used then plan for the hardware resources accordingly.
Note2: ESXi reserves " &amp; IF(E12="vCSA8.0", 12, 8) &amp;" GB Memory for internal purpose
Note3: "&amp; IF(E12="vCSA8.0", 2, 1) &amp; " CPU is used by vSphere "&amp; IF(E12="vCSA8.0",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57" s="175"/>
      <c r="J57" s="175"/>
      <c r="K57" s="175"/>
      <c r="L57" s="175"/>
      <c r="M57" s="175"/>
      <c r="N57" s="175"/>
      <c r="O57" s="175"/>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row>
    <row r="58" spans="1:50" ht="12.95" customHeight="1">
      <c r="A58" s="180"/>
      <c r="B58" s="180"/>
      <c r="C58" s="180"/>
      <c r="D58" s="180"/>
      <c r="E58" s="25" t="s">
        <v>664</v>
      </c>
      <c r="F58" s="90">
        <f>192-(IF(E12="vCSA8.0", 2, 1))</f>
        <v>190</v>
      </c>
      <c r="G58" s="90">
        <f>6*(384-(IF(E12="vCSA8.0", 12, 8)))</f>
        <v>2232</v>
      </c>
      <c r="H58" s="175"/>
      <c r="I58" s="175"/>
      <c r="J58" s="175"/>
      <c r="K58" s="175"/>
      <c r="L58" s="175"/>
      <c r="M58" s="175"/>
      <c r="N58" s="175"/>
      <c r="O58" s="175"/>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row>
    <row r="59" spans="1:50" s="43" customFormat="1" ht="12.95" customHeight="1">
      <c r="E59" s="42" t="s">
        <v>665</v>
      </c>
      <c r="F59" s="90">
        <f>(5*2*28)-(IF(E12="vCSA8.0", 2, 1))</f>
        <v>278</v>
      </c>
      <c r="G59" s="90">
        <f>5*(512-(IF(E12="vCSA8.0", 12, 8)))</f>
        <v>2500</v>
      </c>
      <c r="H59" s="175"/>
      <c r="I59" s="175"/>
      <c r="J59" s="175"/>
      <c r="K59" s="175"/>
      <c r="L59" s="175"/>
      <c r="M59" s="175"/>
      <c r="N59" s="175"/>
      <c r="O59" s="175"/>
    </row>
    <row r="60" spans="1:50" ht="12.95" customHeight="1">
      <c r="A60" s="43"/>
      <c r="B60" s="43"/>
      <c r="C60" s="43"/>
      <c r="D60" s="43"/>
      <c r="E60" s="42" t="s">
        <v>666</v>
      </c>
      <c r="F60" s="90">
        <f>(5*2*28)-(IF(E12="vCSA8.0", 2, 1))</f>
        <v>278</v>
      </c>
      <c r="G60" s="90">
        <f>5*(512-(IF(E12="vCSA8.0", 12, 8)))</f>
        <v>2500</v>
      </c>
      <c r="H60" s="175"/>
      <c r="I60" s="175"/>
      <c r="J60" s="175"/>
      <c r="K60" s="175"/>
      <c r="L60" s="175"/>
      <c r="M60" s="175"/>
      <c r="N60" s="175"/>
      <c r="O60" s="175"/>
      <c r="P60" s="43"/>
      <c r="AP60" s="43"/>
      <c r="AQ60" s="43"/>
      <c r="AR60" s="43"/>
      <c r="AS60" s="43"/>
    </row>
    <row r="61" spans="1:50" ht="12.95" customHeight="1">
      <c r="A61" s="43"/>
      <c r="B61" s="43"/>
      <c r="C61" s="43"/>
      <c r="D61" s="43"/>
      <c r="E61" s="42" t="s">
        <v>667</v>
      </c>
      <c r="F61" s="90">
        <f>(4*2*32)-(IF(E12="vCSA8.0", 2, 1))</f>
        <v>254</v>
      </c>
      <c r="G61" s="90">
        <f>4*(512-(IF(E12="vCSA8.0", 12, 8)))</f>
        <v>2000</v>
      </c>
      <c r="H61" s="88"/>
      <c r="I61" s="88"/>
      <c r="J61" s="88"/>
      <c r="K61" s="88"/>
      <c r="L61" s="88"/>
      <c r="M61" s="88"/>
      <c r="N61" s="88"/>
      <c r="O61" s="88"/>
      <c r="P61" s="43"/>
    </row>
    <row r="62" spans="1:50" ht="12.95" customHeight="1">
      <c r="A62" s="43"/>
      <c r="B62" s="43"/>
      <c r="C62" s="43"/>
      <c r="D62" s="43"/>
      <c r="E62" s="42" t="s">
        <v>668</v>
      </c>
      <c r="F62" s="90">
        <f>(4*2*32)-(IF(E12="vCSA8.0", 2, 1))</f>
        <v>254</v>
      </c>
      <c r="G62" s="90">
        <f>4*(512-(IF(E12="vCSA8.0", 12, 8)))</f>
        <v>2000</v>
      </c>
      <c r="H62" s="88"/>
      <c r="I62" s="88"/>
      <c r="J62" s="88"/>
      <c r="K62" s="88"/>
      <c r="L62" s="88"/>
      <c r="M62" s="88"/>
      <c r="N62" s="88"/>
      <c r="O62" s="88"/>
      <c r="P62" s="43"/>
    </row>
    <row r="63" spans="1:50" ht="12.95" customHeight="1">
      <c r="A63" s="43"/>
      <c r="B63" s="43"/>
      <c r="C63" s="43"/>
      <c r="D63" s="43"/>
      <c r="E63" s="42" t="s">
        <v>669</v>
      </c>
      <c r="F63" s="90">
        <f>(4*2*32)-(IF(E12="vCSA8.0", 2, 1))</f>
        <v>254</v>
      </c>
      <c r="G63" s="90">
        <f>4*(512-(IF(E12="vCSA8.0", 12, 8)))</f>
        <v>2000</v>
      </c>
      <c r="H63" s="88"/>
      <c r="I63" s="88"/>
      <c r="J63" s="88"/>
      <c r="K63" s="88"/>
      <c r="L63" s="88"/>
      <c r="M63" s="88"/>
      <c r="N63" s="88"/>
      <c r="O63" s="88"/>
      <c r="P63" s="43"/>
    </row>
    <row r="64" spans="1:50" ht="12.95" customHeight="1">
      <c r="A64" s="43"/>
      <c r="B64" s="43"/>
      <c r="C64" s="43"/>
      <c r="D64" s="43"/>
      <c r="E64" s="42"/>
      <c r="F64" s="90"/>
      <c r="G64" s="90"/>
      <c r="H64" s="88"/>
      <c r="I64" s="88"/>
      <c r="J64" s="88"/>
      <c r="K64" s="88"/>
      <c r="L64" s="88"/>
      <c r="M64" s="88"/>
      <c r="N64" s="88"/>
      <c r="O64" s="88"/>
      <c r="P64" s="43"/>
    </row>
    <row r="65" spans="1:48" ht="14.45">
      <c r="B65"/>
      <c r="C65"/>
      <c r="D65"/>
      <c r="E65"/>
      <c r="F65" s="85"/>
      <c r="I65"/>
      <c r="J65"/>
      <c r="K65"/>
      <c r="L65"/>
      <c r="M65"/>
      <c r="N65"/>
      <c r="O65"/>
      <c r="P65" s="43"/>
    </row>
    <row r="66" spans="1:48" ht="14.45">
      <c r="B66"/>
      <c r="C66"/>
      <c r="D66"/>
      <c r="E66"/>
      <c r="F66" s="85"/>
      <c r="G66" s="119"/>
      <c r="H66"/>
      <c r="I66"/>
      <c r="J66"/>
      <c r="K66"/>
      <c r="L66"/>
      <c r="M66"/>
      <c r="N66"/>
      <c r="O66"/>
    </row>
    <row r="67" spans="1:48" ht="12.95">
      <c r="A67" s="16" t="s">
        <v>485</v>
      </c>
    </row>
    <row r="68" spans="1:48">
      <c r="A68" s="36" t="s">
        <v>486</v>
      </c>
      <c r="C68" s="36" t="s">
        <v>442</v>
      </c>
      <c r="D68" s="36" t="s">
        <v>435</v>
      </c>
      <c r="E68" s="36" t="s">
        <v>44</v>
      </c>
      <c r="F68" s="86">
        <v>16</v>
      </c>
      <c r="G68" s="86">
        <v>64</v>
      </c>
      <c r="H68" s="86">
        <v>0</v>
      </c>
      <c r="I68" s="14">
        <v>71</v>
      </c>
      <c r="J68" s="86">
        <f t="shared" ref="J68:J101" si="1">IF(G68&gt;=10,16, 4)</f>
        <v>16</v>
      </c>
      <c r="K68" s="86"/>
      <c r="AT68" s="86" t="s">
        <v>437</v>
      </c>
      <c r="AV68" s="86"/>
    </row>
    <row r="69" spans="1:48">
      <c r="A69" s="36" t="s">
        <v>644</v>
      </c>
      <c r="C69" s="36" t="s">
        <v>442</v>
      </c>
      <c r="D69" s="21" t="s">
        <v>488</v>
      </c>
      <c r="E69" s="6" t="s">
        <v>112</v>
      </c>
      <c r="F69" s="86">
        <v>4</v>
      </c>
      <c r="G69" s="86">
        <v>4</v>
      </c>
      <c r="H69" s="86">
        <v>0</v>
      </c>
      <c r="I69" s="86">
        <v>100</v>
      </c>
      <c r="J69" s="86">
        <v>0</v>
      </c>
      <c r="K69" s="86" t="s">
        <v>529</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T69" s="86" t="s">
        <v>437</v>
      </c>
      <c r="AV69" s="86"/>
    </row>
    <row r="70" spans="1:48">
      <c r="A70" s="36" t="s">
        <v>645</v>
      </c>
      <c r="C70" s="36" t="s">
        <v>442</v>
      </c>
      <c r="D70" s="21" t="s">
        <v>488</v>
      </c>
      <c r="E70" s="6" t="s">
        <v>120</v>
      </c>
      <c r="F70" s="86">
        <v>4</v>
      </c>
      <c r="G70" s="86">
        <v>16</v>
      </c>
      <c r="H70" s="86">
        <v>0</v>
      </c>
      <c r="I70" s="14">
        <v>110</v>
      </c>
      <c r="J70" s="86">
        <v>0</v>
      </c>
      <c r="K70" s="86" t="s">
        <v>531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t="s">
        <v>437</v>
      </c>
      <c r="AV70" s="86"/>
    </row>
    <row r="71" spans="1:48">
      <c r="A71" s="36" t="s">
        <v>490</v>
      </c>
      <c r="C71" s="36" t="s">
        <v>442</v>
      </c>
      <c r="D71" s="21" t="s">
        <v>488</v>
      </c>
      <c r="E71" s="6" t="s">
        <v>116</v>
      </c>
      <c r="F71" s="86">
        <v>4</v>
      </c>
      <c r="G71" s="86">
        <v>14</v>
      </c>
      <c r="H71" s="86">
        <v>0</v>
      </c>
      <c r="I71" s="14">
        <v>120</v>
      </c>
      <c r="J71" s="86">
        <v>0</v>
      </c>
      <c r="K71" s="14" t="s">
        <v>529</v>
      </c>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t="s">
        <v>437</v>
      </c>
      <c r="AV71" s="86"/>
    </row>
    <row r="72" spans="1:48">
      <c r="A72" s="36" t="s">
        <v>539</v>
      </c>
      <c r="C72" s="36" t="s">
        <v>442</v>
      </c>
      <c r="D72" s="21" t="s">
        <v>488</v>
      </c>
      <c r="E72" s="6" t="s">
        <v>112</v>
      </c>
      <c r="F72" s="86">
        <v>4</v>
      </c>
      <c r="G72" s="86">
        <v>4</v>
      </c>
      <c r="H72" s="86">
        <v>0</v>
      </c>
      <c r="I72" s="86">
        <v>100</v>
      </c>
      <c r="J72" s="86">
        <v>0</v>
      </c>
      <c r="K72" s="86"/>
      <c r="AP72" s="86"/>
      <c r="AQ72" s="86"/>
      <c r="AR72" s="86"/>
      <c r="AS72" s="86"/>
      <c r="AT72" s="86" t="s">
        <v>437</v>
      </c>
      <c r="AV72" s="86"/>
    </row>
    <row r="73" spans="1:48">
      <c r="A73" s="36" t="s">
        <v>491</v>
      </c>
      <c r="C73" s="36" t="s">
        <v>442</v>
      </c>
      <c r="D73" s="21" t="s">
        <v>488</v>
      </c>
      <c r="E73" s="6" t="s">
        <v>120</v>
      </c>
      <c r="F73" s="86">
        <v>4</v>
      </c>
      <c r="G73" s="86">
        <v>16</v>
      </c>
      <c r="H73" s="86">
        <v>0</v>
      </c>
      <c r="I73" s="86">
        <v>100</v>
      </c>
      <c r="J73" s="86">
        <v>0</v>
      </c>
      <c r="K73" s="86"/>
      <c r="AT73" s="86" t="s">
        <v>437</v>
      </c>
      <c r="AV73" s="86"/>
    </row>
    <row r="74" spans="1:48">
      <c r="A74" s="36" t="s">
        <v>540</v>
      </c>
      <c r="C74" s="36" t="s">
        <v>442</v>
      </c>
      <c r="D74" s="21" t="s">
        <v>488</v>
      </c>
      <c r="E74" s="6" t="s">
        <v>120</v>
      </c>
      <c r="F74" s="86">
        <v>4</v>
      </c>
      <c r="G74" s="86">
        <v>16</v>
      </c>
      <c r="H74" s="86">
        <v>0</v>
      </c>
      <c r="I74" s="86">
        <v>100</v>
      </c>
      <c r="J74" s="86">
        <v>0</v>
      </c>
      <c r="K74" s="86"/>
      <c r="AT74" s="86" t="s">
        <v>437</v>
      </c>
      <c r="AV74" s="86"/>
    </row>
    <row r="75" spans="1:48">
      <c r="A75" s="36" t="s">
        <v>623</v>
      </c>
      <c r="C75" s="36" t="s">
        <v>442</v>
      </c>
      <c r="D75" s="21" t="s">
        <v>488</v>
      </c>
      <c r="E75" s="6" t="s">
        <v>120</v>
      </c>
      <c r="F75" s="86">
        <v>4</v>
      </c>
      <c r="G75" s="86">
        <v>16</v>
      </c>
      <c r="H75" s="86">
        <v>0</v>
      </c>
      <c r="I75" s="86">
        <v>100</v>
      </c>
      <c r="J75" s="86">
        <v>0</v>
      </c>
      <c r="K75" s="86"/>
      <c r="AT75" s="86" t="s">
        <v>437</v>
      </c>
      <c r="AV75" s="86"/>
    </row>
    <row r="76" spans="1:48">
      <c r="A76" s="36" t="s">
        <v>624</v>
      </c>
      <c r="C76" s="36" t="s">
        <v>442</v>
      </c>
      <c r="D76" s="21" t="s">
        <v>488</v>
      </c>
      <c r="E76" s="6" t="s">
        <v>120</v>
      </c>
      <c r="F76" s="86">
        <v>4</v>
      </c>
      <c r="G76" s="86">
        <v>16</v>
      </c>
      <c r="H76" s="86">
        <v>0</v>
      </c>
      <c r="I76" s="86">
        <v>100</v>
      </c>
      <c r="J76" s="86">
        <v>0</v>
      </c>
      <c r="K76" s="86"/>
      <c r="AT76" s="86" t="s">
        <v>437</v>
      </c>
      <c r="AV76" s="86"/>
    </row>
    <row r="77" spans="1:48">
      <c r="A77" s="36" t="s">
        <v>646</v>
      </c>
      <c r="C77" s="36" t="s">
        <v>442</v>
      </c>
      <c r="D77" s="21" t="s">
        <v>488</v>
      </c>
      <c r="E77" s="6" t="s">
        <v>120</v>
      </c>
      <c r="F77" s="86">
        <v>4</v>
      </c>
      <c r="G77" s="86">
        <v>16</v>
      </c>
      <c r="H77" s="86">
        <v>0</v>
      </c>
      <c r="I77" s="86">
        <v>100</v>
      </c>
      <c r="J77" s="86">
        <v>0</v>
      </c>
      <c r="K77" s="86"/>
      <c r="AT77" s="86" t="s">
        <v>437</v>
      </c>
      <c r="AV77" s="86"/>
    </row>
    <row r="78" spans="1:48">
      <c r="A78" s="36" t="s">
        <v>647</v>
      </c>
      <c r="C78" s="36" t="s">
        <v>442</v>
      </c>
      <c r="D78" s="21" t="s">
        <v>488</v>
      </c>
      <c r="E78" s="6" t="s">
        <v>120</v>
      </c>
      <c r="F78" s="86">
        <v>4</v>
      </c>
      <c r="G78" s="86">
        <v>16</v>
      </c>
      <c r="H78" s="86">
        <v>0</v>
      </c>
      <c r="I78" s="86">
        <v>100</v>
      </c>
      <c r="J78" s="86">
        <v>0</v>
      </c>
      <c r="K78" s="86"/>
      <c r="AT78" s="86" t="s">
        <v>437</v>
      </c>
      <c r="AV78" s="86"/>
    </row>
    <row r="79" spans="1:48">
      <c r="A79" s="36" t="s">
        <v>648</v>
      </c>
      <c r="C79" s="36" t="s">
        <v>442</v>
      </c>
      <c r="D79" s="21" t="s">
        <v>488</v>
      </c>
      <c r="E79" s="6" t="s">
        <v>120</v>
      </c>
      <c r="F79" s="86">
        <v>4</v>
      </c>
      <c r="G79" s="86">
        <v>16</v>
      </c>
      <c r="H79" s="86">
        <v>0</v>
      </c>
      <c r="I79" s="86">
        <v>100</v>
      </c>
      <c r="J79" s="86">
        <v>0</v>
      </c>
      <c r="K79" s="86"/>
      <c r="AT79" s="86" t="s">
        <v>437</v>
      </c>
      <c r="AV79" s="86"/>
    </row>
    <row r="80" spans="1:48">
      <c r="A80" s="36" t="s">
        <v>541</v>
      </c>
      <c r="C80" s="36" t="s">
        <v>442</v>
      </c>
      <c r="D80" s="21" t="s">
        <v>488</v>
      </c>
      <c r="E80" s="6" t="s">
        <v>116</v>
      </c>
      <c r="F80" s="86">
        <v>4</v>
      </c>
      <c r="G80" s="86">
        <v>14</v>
      </c>
      <c r="H80" s="86">
        <v>0</v>
      </c>
      <c r="I80" s="14">
        <v>120</v>
      </c>
      <c r="J80" s="86">
        <v>0</v>
      </c>
      <c r="K80" s="86"/>
      <c r="AT80" s="86" t="s">
        <v>437</v>
      </c>
      <c r="AV80" s="86"/>
    </row>
    <row r="81" spans="1:48">
      <c r="A81" s="36" t="s">
        <v>649</v>
      </c>
      <c r="C81" s="36" t="s">
        <v>442</v>
      </c>
      <c r="D81" s="21" t="s">
        <v>488</v>
      </c>
      <c r="E81" s="6" t="s">
        <v>120</v>
      </c>
      <c r="F81" s="86">
        <v>4</v>
      </c>
      <c r="G81" s="86">
        <v>16</v>
      </c>
      <c r="H81" s="86">
        <v>0</v>
      </c>
      <c r="I81" s="86">
        <v>100</v>
      </c>
      <c r="J81" s="86">
        <v>0</v>
      </c>
      <c r="K81" s="86"/>
      <c r="AT81" s="86" t="s">
        <v>437</v>
      </c>
      <c r="AV81" s="86"/>
    </row>
    <row r="82" spans="1:48">
      <c r="A82" s="36" t="s">
        <v>492</v>
      </c>
      <c r="C82" s="36" t="s">
        <v>442</v>
      </c>
      <c r="D82" s="36" t="s">
        <v>435</v>
      </c>
      <c r="E82" s="36" t="s">
        <v>55</v>
      </c>
      <c r="F82" s="86">
        <v>6</v>
      </c>
      <c r="G82" s="86">
        <v>20</v>
      </c>
      <c r="H82" s="86">
        <v>0</v>
      </c>
      <c r="I82" s="86">
        <v>201</v>
      </c>
      <c r="J82" s="86">
        <f t="shared" si="1"/>
        <v>16</v>
      </c>
      <c r="K82" s="86"/>
      <c r="AT82" s="86" t="s">
        <v>437</v>
      </c>
      <c r="AV82" s="86"/>
    </row>
    <row r="83" spans="1:48">
      <c r="A83" s="36" t="s">
        <v>493</v>
      </c>
      <c r="C83" s="36" t="s">
        <v>442</v>
      </c>
      <c r="D83" s="36" t="s">
        <v>435</v>
      </c>
      <c r="E83" s="36" t="s">
        <v>55</v>
      </c>
      <c r="F83" s="86">
        <v>6</v>
      </c>
      <c r="G83" s="86">
        <v>20</v>
      </c>
      <c r="H83" s="86">
        <v>0</v>
      </c>
      <c r="I83" s="86">
        <v>201</v>
      </c>
      <c r="J83" s="86">
        <f t="shared" si="1"/>
        <v>16</v>
      </c>
      <c r="K83" s="86"/>
      <c r="AT83" s="86" t="s">
        <v>437</v>
      </c>
      <c r="AV83" s="86"/>
    </row>
    <row r="84" spans="1:48">
      <c r="A84" s="36" t="s">
        <v>625</v>
      </c>
      <c r="C84" s="36" t="s">
        <v>442</v>
      </c>
      <c r="D84" s="36" t="s">
        <v>435</v>
      </c>
      <c r="E84" s="36" t="s">
        <v>55</v>
      </c>
      <c r="F84" s="86">
        <v>6</v>
      </c>
      <c r="G84" s="86">
        <v>20</v>
      </c>
      <c r="H84" s="86">
        <v>0</v>
      </c>
      <c r="I84" s="86">
        <v>201</v>
      </c>
      <c r="J84" s="86">
        <f t="shared" si="1"/>
        <v>16</v>
      </c>
      <c r="K84" s="86"/>
      <c r="AT84" s="86" t="s">
        <v>437</v>
      </c>
      <c r="AV84" s="86"/>
    </row>
    <row r="85" spans="1:48">
      <c r="A85" s="36" t="s">
        <v>626</v>
      </c>
      <c r="C85" s="36" t="s">
        <v>442</v>
      </c>
      <c r="D85" s="36" t="s">
        <v>435</v>
      </c>
      <c r="E85" s="36" t="s">
        <v>55</v>
      </c>
      <c r="F85" s="86">
        <v>6</v>
      </c>
      <c r="G85" s="86">
        <v>20</v>
      </c>
      <c r="H85" s="86">
        <v>0</v>
      </c>
      <c r="I85" s="86">
        <v>201</v>
      </c>
      <c r="J85" s="86">
        <f t="shared" si="1"/>
        <v>16</v>
      </c>
      <c r="K85" s="86"/>
      <c r="AT85" s="86" t="s">
        <v>437</v>
      </c>
      <c r="AV85" s="86"/>
    </row>
    <row r="86" spans="1:48">
      <c r="A86" s="36" t="s">
        <v>494</v>
      </c>
      <c r="C86" s="36" t="s">
        <v>442</v>
      </c>
      <c r="D86" s="36" t="s">
        <v>435</v>
      </c>
      <c r="E86" s="36" t="s">
        <v>71</v>
      </c>
      <c r="F86" s="86">
        <v>2</v>
      </c>
      <c r="G86" s="86">
        <v>4</v>
      </c>
      <c r="H86" s="86">
        <v>0</v>
      </c>
      <c r="I86" s="86">
        <v>41</v>
      </c>
      <c r="J86" s="86">
        <f t="shared" si="1"/>
        <v>4</v>
      </c>
      <c r="K86" s="86"/>
      <c r="AT86" s="86" t="s">
        <v>437</v>
      </c>
      <c r="AV86" s="86"/>
    </row>
    <row r="87" spans="1:48">
      <c r="A87" s="36" t="s">
        <v>495</v>
      </c>
      <c r="C87" s="36" t="s">
        <v>442</v>
      </c>
      <c r="D87" s="36" t="s">
        <v>435</v>
      </c>
      <c r="E87" s="36" t="s">
        <v>63</v>
      </c>
      <c r="F87" s="86">
        <v>2</v>
      </c>
      <c r="G87" s="86">
        <v>4</v>
      </c>
      <c r="H87" s="86">
        <v>0</v>
      </c>
      <c r="I87" s="86">
        <v>31</v>
      </c>
      <c r="J87" s="86">
        <f t="shared" si="1"/>
        <v>4</v>
      </c>
      <c r="K87" s="86"/>
      <c r="AT87" s="86" t="s">
        <v>437</v>
      </c>
      <c r="AV87" s="86"/>
    </row>
    <row r="88" spans="1:48">
      <c r="A88" s="36" t="s">
        <v>496</v>
      </c>
      <c r="C88" s="36" t="s">
        <v>442</v>
      </c>
      <c r="D88" s="36" t="s">
        <v>435</v>
      </c>
      <c r="E88" s="36" t="s">
        <v>67</v>
      </c>
      <c r="F88" s="86">
        <v>4</v>
      </c>
      <c r="G88" s="86">
        <v>4</v>
      </c>
      <c r="H88" s="86">
        <v>0</v>
      </c>
      <c r="I88" s="86">
        <v>36</v>
      </c>
      <c r="J88" s="86">
        <f t="shared" si="1"/>
        <v>4</v>
      </c>
      <c r="K88" s="86"/>
      <c r="AT88" s="86" t="s">
        <v>437</v>
      </c>
      <c r="AV88" s="86"/>
    </row>
    <row r="89" spans="1:48" ht="14.45">
      <c r="A89" s="36" t="s">
        <v>497</v>
      </c>
      <c r="C89" s="36" t="s">
        <v>442</v>
      </c>
      <c r="D89" s="36" t="s">
        <v>435</v>
      </c>
      <c r="E89" s="36" t="s">
        <v>276</v>
      </c>
      <c r="F89" s="86">
        <v>7</v>
      </c>
      <c r="G89" s="86">
        <v>8</v>
      </c>
      <c r="H89" s="86">
        <v>0</v>
      </c>
      <c r="I89" s="14">
        <v>111</v>
      </c>
      <c r="J89" s="86">
        <f t="shared" si="1"/>
        <v>4</v>
      </c>
      <c r="K89" s="45"/>
      <c r="L89" s="86"/>
      <c r="M89" s="86"/>
      <c r="N89" s="45"/>
      <c r="O89" s="44"/>
      <c r="P89" s="86"/>
      <c r="Q89" s="86"/>
      <c r="R89" s="86"/>
      <c r="S89" s="86"/>
      <c r="T89" s="86"/>
      <c r="U89" s="86"/>
      <c r="V89" s="86"/>
      <c r="X89" s="86"/>
      <c r="Z89" s="86"/>
      <c r="AA89" s="86"/>
      <c r="AB89" s="86"/>
      <c r="AC89" s="86"/>
      <c r="AD89" s="86"/>
      <c r="AE89" s="86"/>
      <c r="AF89" s="86"/>
      <c r="AG89" s="86"/>
      <c r="AH89" s="86"/>
      <c r="AI89" s="86"/>
      <c r="AJ89" s="86"/>
      <c r="AK89" s="86"/>
      <c r="AL89" s="86"/>
      <c r="AM89" s="86"/>
      <c r="AN89" s="86"/>
      <c r="AO89" s="86"/>
      <c r="AT89" s="86" t="s">
        <v>437</v>
      </c>
      <c r="AV89" s="86" t="s">
        <v>437</v>
      </c>
    </row>
    <row r="90" spans="1:48" ht="14.45">
      <c r="A90" s="36" t="s">
        <v>650</v>
      </c>
      <c r="C90" s="36" t="s">
        <v>442</v>
      </c>
      <c r="D90" s="36" t="s">
        <v>435</v>
      </c>
      <c r="E90" s="36" t="s">
        <v>276</v>
      </c>
      <c r="F90" s="86">
        <v>6</v>
      </c>
      <c r="G90" s="86">
        <v>7</v>
      </c>
      <c r="H90" s="86">
        <v>0</v>
      </c>
      <c r="I90" s="14">
        <v>111</v>
      </c>
      <c r="J90" s="86">
        <f t="shared" si="1"/>
        <v>4</v>
      </c>
      <c r="K90" s="45"/>
      <c r="L90" s="86"/>
      <c r="M90" s="86"/>
      <c r="N90" s="45"/>
      <c r="O90" s="44"/>
      <c r="P90" s="86"/>
      <c r="Q90" s="86"/>
      <c r="R90" s="86"/>
      <c r="S90" s="86"/>
      <c r="T90" s="86"/>
      <c r="U90" s="86"/>
      <c r="V90" s="86"/>
      <c r="X90" s="86"/>
      <c r="Z90" s="86"/>
      <c r="AA90" s="86"/>
      <c r="AB90" s="86"/>
      <c r="AC90" s="86"/>
      <c r="AD90" s="86"/>
      <c r="AE90" s="86"/>
      <c r="AF90" s="86"/>
      <c r="AG90" s="86"/>
      <c r="AH90" s="86"/>
      <c r="AI90" s="86"/>
      <c r="AJ90" s="86"/>
      <c r="AK90" s="86"/>
      <c r="AL90" s="86"/>
      <c r="AM90" s="86"/>
      <c r="AN90" s="86"/>
      <c r="AO90" s="86"/>
      <c r="AP90" s="86"/>
      <c r="AQ90" s="86"/>
      <c r="AR90" s="86"/>
      <c r="AS90" s="86"/>
      <c r="AT90" s="86" t="s">
        <v>437</v>
      </c>
      <c r="AV90" s="86"/>
    </row>
    <row r="91" spans="1:48" ht="14.45">
      <c r="A91" s="6" t="s">
        <v>542</v>
      </c>
      <c r="B91" s="6"/>
      <c r="C91" s="6"/>
      <c r="D91" s="36" t="s">
        <v>435</v>
      </c>
      <c r="E91" s="6" t="s">
        <v>90</v>
      </c>
      <c r="F91" s="14">
        <v>2</v>
      </c>
      <c r="G91" s="14">
        <v>2</v>
      </c>
      <c r="H91" s="14">
        <v>0</v>
      </c>
      <c r="I91" s="14">
        <v>16</v>
      </c>
      <c r="J91" s="86">
        <f t="shared" si="1"/>
        <v>4</v>
      </c>
      <c r="K91" s="45"/>
      <c r="L91" s="86"/>
      <c r="M91" s="86"/>
      <c r="N91" s="45"/>
      <c r="O91" s="44"/>
      <c r="P91" s="86"/>
      <c r="Q91" s="86"/>
      <c r="R91" s="86"/>
      <c r="S91" s="86"/>
      <c r="T91" s="86"/>
      <c r="U91" s="86"/>
      <c r="V91" s="86"/>
      <c r="X91" s="86"/>
      <c r="Z91" s="86"/>
      <c r="AA91" s="86"/>
      <c r="AB91" s="86"/>
      <c r="AC91" s="86"/>
      <c r="AD91" s="86"/>
      <c r="AE91" s="86"/>
      <c r="AF91" s="86"/>
      <c r="AG91" s="86"/>
      <c r="AH91" s="86"/>
      <c r="AI91" s="86"/>
      <c r="AJ91" s="86"/>
      <c r="AK91" s="86"/>
      <c r="AL91" s="86"/>
      <c r="AM91" s="86"/>
      <c r="AN91" s="86"/>
      <c r="AO91" s="86"/>
      <c r="AP91" s="86"/>
      <c r="AQ91" s="86"/>
      <c r="AR91" s="86"/>
      <c r="AS91" s="86"/>
      <c r="AT91" s="86" t="s">
        <v>437</v>
      </c>
      <c r="AV91" s="86"/>
    </row>
    <row r="92" spans="1:48" ht="14.45">
      <c r="A92" s="6" t="s">
        <v>543</v>
      </c>
      <c r="B92" s="6"/>
      <c r="C92" s="6"/>
      <c r="D92" s="36" t="s">
        <v>435</v>
      </c>
      <c r="E92" s="6" t="s">
        <v>90</v>
      </c>
      <c r="F92" s="14">
        <v>2</v>
      </c>
      <c r="G92" s="14">
        <v>2</v>
      </c>
      <c r="H92" s="14">
        <v>0</v>
      </c>
      <c r="I92" s="14">
        <v>16</v>
      </c>
      <c r="J92" s="86">
        <f t="shared" si="1"/>
        <v>4</v>
      </c>
      <c r="K92" s="45"/>
      <c r="L92" s="86"/>
      <c r="M92" s="86"/>
      <c r="N92" s="45"/>
      <c r="O92" s="44"/>
      <c r="P92" s="86"/>
      <c r="Q92" s="86"/>
      <c r="R92" s="86"/>
      <c r="S92" s="86"/>
      <c r="T92" s="86"/>
      <c r="U92" s="86"/>
      <c r="V92" s="86"/>
      <c r="X92" s="86"/>
      <c r="Z92" s="86"/>
      <c r="AA92" s="86"/>
      <c r="AB92" s="86"/>
      <c r="AC92" s="86"/>
      <c r="AD92" s="86"/>
      <c r="AE92" s="86"/>
      <c r="AF92" s="86"/>
      <c r="AG92" s="86"/>
      <c r="AH92" s="86"/>
      <c r="AI92" s="86"/>
      <c r="AJ92" s="86"/>
      <c r="AK92" s="86"/>
      <c r="AL92" s="86"/>
      <c r="AM92" s="86"/>
      <c r="AN92" s="86"/>
      <c r="AO92" s="86"/>
      <c r="AP92" s="86"/>
      <c r="AQ92" s="86"/>
      <c r="AR92" s="86"/>
      <c r="AS92" s="86"/>
      <c r="AT92" s="86" t="s">
        <v>437</v>
      </c>
      <c r="AV92" s="86"/>
    </row>
    <row r="93" spans="1:48" ht="14.45">
      <c r="A93" s="6" t="s">
        <v>544</v>
      </c>
      <c r="B93" s="6"/>
      <c r="C93" s="6" t="s">
        <v>442</v>
      </c>
      <c r="D93" s="36" t="s">
        <v>435</v>
      </c>
      <c r="E93" s="6" t="s">
        <v>94</v>
      </c>
      <c r="F93" s="14">
        <v>6</v>
      </c>
      <c r="G93" s="14">
        <v>5</v>
      </c>
      <c r="H93" s="14">
        <v>0</v>
      </c>
      <c r="I93" s="14">
        <v>41</v>
      </c>
      <c r="J93" s="86">
        <f t="shared" si="1"/>
        <v>4</v>
      </c>
      <c r="K93" s="45"/>
      <c r="L93" s="86"/>
      <c r="M93" s="86"/>
      <c r="N93" s="45"/>
      <c r="O93" s="44"/>
      <c r="P93" s="86"/>
      <c r="Q93" s="86"/>
      <c r="R93" s="86"/>
      <c r="S93" s="86"/>
      <c r="T93" s="86"/>
      <c r="U93" s="86"/>
      <c r="V93" s="86"/>
      <c r="X93" s="86"/>
      <c r="Z93" s="86"/>
      <c r="AA93" s="86"/>
      <c r="AB93" s="86"/>
      <c r="AC93" s="86"/>
      <c r="AD93" s="86"/>
      <c r="AE93" s="86"/>
      <c r="AF93" s="86"/>
      <c r="AG93" s="86"/>
      <c r="AH93" s="86"/>
      <c r="AI93" s="86"/>
      <c r="AJ93" s="86"/>
      <c r="AK93" s="86"/>
      <c r="AL93" s="86"/>
      <c r="AM93" s="86"/>
      <c r="AN93" s="86"/>
      <c r="AO93" s="86"/>
      <c r="AP93" s="86"/>
      <c r="AQ93" s="86"/>
      <c r="AR93" s="86"/>
      <c r="AS93" s="86"/>
      <c r="AT93" s="86" t="s">
        <v>437</v>
      </c>
      <c r="AV93" s="86"/>
    </row>
    <row r="94" spans="1:48" ht="14.45">
      <c r="A94" s="6" t="s">
        <v>545</v>
      </c>
      <c r="B94" s="6"/>
      <c r="C94" s="6"/>
      <c r="D94" s="36" t="s">
        <v>435</v>
      </c>
      <c r="E94" s="6" t="s">
        <v>98</v>
      </c>
      <c r="F94" s="14">
        <v>2</v>
      </c>
      <c r="G94" s="14">
        <v>2</v>
      </c>
      <c r="H94" s="14">
        <v>0</v>
      </c>
      <c r="I94" s="14">
        <v>31</v>
      </c>
      <c r="J94" s="86">
        <f t="shared" si="1"/>
        <v>4</v>
      </c>
      <c r="K94" s="45"/>
      <c r="L94" s="86"/>
      <c r="M94" s="86"/>
      <c r="N94" s="45"/>
      <c r="O94" s="44"/>
      <c r="P94" s="86"/>
      <c r="Q94" s="86"/>
      <c r="R94" s="86"/>
      <c r="S94" s="86"/>
      <c r="T94" s="86"/>
      <c r="U94" s="86"/>
      <c r="V94" s="86"/>
      <c r="X94" s="86"/>
      <c r="Z94" s="86"/>
      <c r="AA94" s="86"/>
      <c r="AB94" s="86"/>
      <c r="AC94" s="86"/>
      <c r="AD94" s="86"/>
      <c r="AE94" s="86"/>
      <c r="AF94" s="86"/>
      <c r="AG94" s="86"/>
      <c r="AH94" s="86"/>
      <c r="AI94" s="86"/>
      <c r="AJ94" s="86"/>
      <c r="AK94" s="86"/>
      <c r="AL94" s="86"/>
      <c r="AM94" s="86"/>
      <c r="AN94" s="86"/>
      <c r="AO94" s="86"/>
      <c r="AP94" s="86"/>
      <c r="AQ94" s="86"/>
      <c r="AR94" s="86"/>
      <c r="AS94" s="86"/>
      <c r="AT94" s="86" t="s">
        <v>437</v>
      </c>
      <c r="AV94" s="86"/>
    </row>
    <row r="95" spans="1:48" s="6" customFormat="1" ht="13.5" customHeight="1">
      <c r="A95" s="6" t="s">
        <v>498</v>
      </c>
      <c r="D95" s="6" t="s">
        <v>499</v>
      </c>
      <c r="E95" s="6" t="s">
        <v>670</v>
      </c>
      <c r="F95" s="14">
        <v>6</v>
      </c>
      <c r="G95" s="14">
        <v>36</v>
      </c>
      <c r="H95" s="14">
        <v>0</v>
      </c>
      <c r="I95" s="14">
        <v>150</v>
      </c>
      <c r="J95" s="86">
        <f t="shared" si="1"/>
        <v>16</v>
      </c>
      <c r="K95" s="14" t="s">
        <v>671</v>
      </c>
      <c r="L95" s="14"/>
      <c r="M95" s="14"/>
      <c r="N95" s="2"/>
      <c r="O95"/>
      <c r="P95" s="14"/>
      <c r="Q95" s="14"/>
      <c r="R95" s="14"/>
      <c r="S95" s="14"/>
      <c r="T95" s="14"/>
      <c r="U95" s="14"/>
      <c r="V95" s="14">
        <v>6000</v>
      </c>
      <c r="W95" s="14" t="s">
        <v>671</v>
      </c>
      <c r="X95" s="14"/>
      <c r="AP95" s="86"/>
      <c r="AQ95" s="86"/>
      <c r="AR95" s="86"/>
      <c r="AS95" s="86"/>
      <c r="AT95" s="14"/>
      <c r="AV95" s="14"/>
    </row>
    <row r="96" spans="1:48" s="6" customFormat="1" ht="13.5" customHeight="1">
      <c r="A96" s="6" t="s">
        <v>501</v>
      </c>
      <c r="D96" s="6" t="s">
        <v>499</v>
      </c>
      <c r="E96" s="6" t="s">
        <v>672</v>
      </c>
      <c r="F96" s="14">
        <f>IF($F$65&lt;&gt;"4TB",4,6)</f>
        <v>4</v>
      </c>
      <c r="G96" s="14">
        <v>4</v>
      </c>
      <c r="H96" s="14">
        <v>0</v>
      </c>
      <c r="I96" s="14">
        <v>21</v>
      </c>
      <c r="J96" s="86">
        <f t="shared" si="1"/>
        <v>4</v>
      </c>
      <c r="K96" s="14" t="s">
        <v>671</v>
      </c>
      <c r="L96" s="14"/>
      <c r="M96" s="14"/>
      <c r="N96" s="2"/>
      <c r="O96"/>
      <c r="P96" s="14"/>
      <c r="Q96" s="14"/>
      <c r="R96" s="14"/>
      <c r="S96" s="14"/>
      <c r="T96" s="14"/>
      <c r="U96" s="14"/>
      <c r="V96" s="14"/>
      <c r="W96" s="14"/>
      <c r="X96" s="14"/>
      <c r="AT96" s="14"/>
      <c r="AV96" s="14"/>
    </row>
    <row r="97" spans="1:50" s="6" customFormat="1" ht="13.5" customHeight="1">
      <c r="A97" s="6" t="s">
        <v>627</v>
      </c>
      <c r="D97" s="6" t="s">
        <v>499</v>
      </c>
      <c r="E97" s="6" t="s">
        <v>673</v>
      </c>
      <c r="F97" s="14">
        <v>4</v>
      </c>
      <c r="G97" s="14">
        <v>4</v>
      </c>
      <c r="H97" s="14">
        <v>0</v>
      </c>
      <c r="I97" s="14">
        <v>21</v>
      </c>
      <c r="J97" s="86">
        <f t="shared" si="1"/>
        <v>4</v>
      </c>
      <c r="K97" s="14" t="s">
        <v>671</v>
      </c>
      <c r="L97" s="14"/>
      <c r="M97" s="14"/>
      <c r="N97" s="2"/>
      <c r="O97"/>
      <c r="P97" s="14"/>
      <c r="Q97" s="14"/>
      <c r="R97" s="14"/>
      <c r="S97" s="14"/>
      <c r="T97" s="14"/>
      <c r="U97" s="14"/>
      <c r="V97" s="14"/>
      <c r="W97" s="14"/>
      <c r="X97" s="14"/>
      <c r="AT97" s="14"/>
      <c r="AV97" s="14"/>
    </row>
    <row r="98" spans="1:50" s="6" customFormat="1" ht="13.5" customHeight="1">
      <c r="A98" s="6" t="s">
        <v>503</v>
      </c>
      <c r="D98" s="6" t="s">
        <v>504</v>
      </c>
      <c r="E98" s="6" t="s">
        <v>138</v>
      </c>
      <c r="F98" s="14">
        <v>2</v>
      </c>
      <c r="G98" s="14">
        <v>4</v>
      </c>
      <c r="H98" s="14">
        <v>0</v>
      </c>
      <c r="I98" s="14">
        <v>200</v>
      </c>
      <c r="J98" s="14">
        <f>IF(G98&gt;=10,16, 4)</f>
        <v>4</v>
      </c>
      <c r="K98" s="14" t="s">
        <v>546</v>
      </c>
      <c r="L98" s="86"/>
      <c r="M98" s="86"/>
      <c r="N98" s="86"/>
      <c r="O98" s="86"/>
      <c r="P98" s="86"/>
      <c r="Q98" s="86"/>
      <c r="R98" s="86"/>
      <c r="S98" s="86"/>
      <c r="T98" s="86"/>
      <c r="U98" s="86"/>
      <c r="V98" s="14"/>
      <c r="W98" s="14"/>
      <c r="X98" s="14"/>
      <c r="AJ98" s="14"/>
      <c r="AK98" s="14"/>
      <c r="AL98" s="14"/>
      <c r="AN98" s="14"/>
      <c r="AT98" s="14" t="s">
        <v>437</v>
      </c>
      <c r="AU98" s="14"/>
      <c r="AV98" s="14"/>
    </row>
    <row r="99" spans="1:50" s="6" customFormat="1" ht="13.5" customHeight="1">
      <c r="A99" s="154" t="s">
        <v>505</v>
      </c>
      <c r="B99" s="19"/>
      <c r="C99" s="19"/>
      <c r="D99" s="19" t="s">
        <v>504</v>
      </c>
      <c r="E99" s="19" t="s">
        <v>140</v>
      </c>
      <c r="F99" s="17">
        <v>14</v>
      </c>
      <c r="G99" s="17">
        <v>44</v>
      </c>
      <c r="H99" s="17">
        <v>0</v>
      </c>
      <c r="I99" s="17">
        <v>900</v>
      </c>
      <c r="J99" s="17">
        <v>44</v>
      </c>
      <c r="K99" s="17" t="s">
        <v>547</v>
      </c>
      <c r="L99" s="39"/>
      <c r="M99" s="39"/>
      <c r="N99" s="39"/>
      <c r="O99" s="39"/>
      <c r="P99" s="39"/>
      <c r="Q99" s="39"/>
      <c r="R99" s="39"/>
      <c r="S99" s="39"/>
      <c r="T99" s="19"/>
      <c r="U99" s="39"/>
      <c r="V99" s="39">
        <v>8300</v>
      </c>
      <c r="W99" s="17" t="s">
        <v>548</v>
      </c>
      <c r="X99" s="17"/>
      <c r="Y99" s="19"/>
      <c r="Z99" s="19"/>
      <c r="AA99" s="19"/>
      <c r="AB99" s="19"/>
      <c r="AC99" s="19"/>
      <c r="AD99" s="19"/>
      <c r="AE99" s="19"/>
      <c r="AF99" s="19"/>
      <c r="AG99" s="19"/>
      <c r="AH99" s="19"/>
      <c r="AI99" s="19"/>
      <c r="AJ99" s="19"/>
      <c r="AK99" s="17"/>
      <c r="AL99" s="17"/>
      <c r="AM99" s="19"/>
      <c r="AN99" s="17"/>
      <c r="AO99" s="19"/>
      <c r="AP99" s="19"/>
      <c r="AQ99" s="19"/>
      <c r="AR99" s="19"/>
      <c r="AS99" s="19"/>
      <c r="AT99" s="17" t="s">
        <v>437</v>
      </c>
      <c r="AU99" s="17"/>
      <c r="AV99" s="17"/>
      <c r="AW99" s="19"/>
      <c r="AX99" s="19"/>
    </row>
    <row r="100" spans="1:50" s="6" customFormat="1" ht="13.5" customHeight="1">
      <c r="A100" s="6" t="s">
        <v>549</v>
      </c>
      <c r="C100" s="6" t="s">
        <v>442</v>
      </c>
      <c r="D100" s="6" t="s">
        <v>435</v>
      </c>
      <c r="E100" s="6" t="s">
        <v>110</v>
      </c>
      <c r="F100" s="14">
        <v>10</v>
      </c>
      <c r="G100" s="14">
        <v>32</v>
      </c>
      <c r="H100" s="14">
        <v>0</v>
      </c>
      <c r="I100" s="14">
        <v>71</v>
      </c>
      <c r="J100" s="86">
        <f t="shared" si="1"/>
        <v>16</v>
      </c>
      <c r="K100" s="14"/>
      <c r="L100" s="14"/>
      <c r="M100" s="14"/>
      <c r="N100" s="2"/>
      <c r="O100"/>
      <c r="P100" s="14"/>
      <c r="Q100" s="14"/>
      <c r="R100" s="14"/>
      <c r="S100" s="14"/>
      <c r="T100" s="14"/>
      <c r="U100" s="14"/>
      <c r="V100" s="14"/>
      <c r="W100" s="14"/>
      <c r="X100" s="14"/>
      <c r="AF100" s="14">
        <v>225</v>
      </c>
      <c r="AG100" s="86" t="s">
        <v>550</v>
      </c>
      <c r="AH100" s="86"/>
      <c r="AI100" s="86"/>
      <c r="AJ100" s="86"/>
      <c r="AK100" s="86"/>
      <c r="AL100" s="86"/>
      <c r="AM100" s="86"/>
      <c r="AN100" s="86"/>
      <c r="AO100" s="86"/>
      <c r="AT100" s="14" t="s">
        <v>437</v>
      </c>
      <c r="AV100" s="14"/>
    </row>
    <row r="101" spans="1:50" s="6" customFormat="1" ht="13.5" customHeight="1">
      <c r="A101" s="19" t="s">
        <v>551</v>
      </c>
      <c r="B101" s="19"/>
      <c r="C101" s="19" t="s">
        <v>442</v>
      </c>
      <c r="D101" s="19" t="s">
        <v>435</v>
      </c>
      <c r="E101" s="19" t="s">
        <v>122</v>
      </c>
      <c r="F101" s="17">
        <v>2</v>
      </c>
      <c r="G101" s="17">
        <v>10</v>
      </c>
      <c r="H101" s="17">
        <v>0</v>
      </c>
      <c r="I101" s="17">
        <v>60</v>
      </c>
      <c r="J101" s="39">
        <f t="shared" si="1"/>
        <v>16</v>
      </c>
      <c r="K101" s="17"/>
      <c r="L101" s="17"/>
      <c r="M101" s="17"/>
      <c r="N101" s="99"/>
      <c r="O101" s="98"/>
      <c r="P101" s="17"/>
      <c r="Q101" s="17"/>
      <c r="R101" s="17"/>
      <c r="S101" s="17"/>
      <c r="T101" s="17"/>
      <c r="U101" s="17"/>
      <c r="V101" s="17"/>
      <c r="W101" s="17"/>
      <c r="X101" s="17"/>
      <c r="Y101" s="19"/>
      <c r="Z101" s="19"/>
      <c r="AA101" s="19"/>
      <c r="AB101" s="19"/>
      <c r="AC101" s="19"/>
      <c r="AD101" s="19"/>
      <c r="AE101" s="19"/>
      <c r="AF101" s="17"/>
      <c r="AG101" s="39"/>
      <c r="AH101" s="39"/>
      <c r="AI101" s="39"/>
      <c r="AJ101" s="39"/>
      <c r="AK101" s="39"/>
      <c r="AL101" s="39"/>
      <c r="AM101" s="39"/>
      <c r="AN101" s="39"/>
      <c r="AO101" s="39"/>
      <c r="AP101" s="19"/>
      <c r="AQ101" s="19"/>
      <c r="AR101" s="19"/>
      <c r="AS101" s="19"/>
      <c r="AT101" s="17" t="s">
        <v>437</v>
      </c>
      <c r="AU101" s="19"/>
      <c r="AV101" s="17"/>
      <c r="AW101" s="19"/>
    </row>
    <row r="102" spans="1:50">
      <c r="F102" s="86">
        <f>SUM(F68:F101)+F53</f>
        <v>451</v>
      </c>
      <c r="G102" s="86">
        <f>SUM(G68:G101)+G53</f>
        <v>1351</v>
      </c>
      <c r="H102" s="86">
        <f>SUM(H68:H101)+H53</f>
        <v>545</v>
      </c>
      <c r="I102" s="86">
        <f>SUM(I68:I101)+I53</f>
        <v>8049</v>
      </c>
      <c r="J102" s="86"/>
      <c r="K102" s="86"/>
      <c r="L102" s="86">
        <f>SUM(L68:L101)+L53</f>
        <v>500</v>
      </c>
      <c r="M102" s="86"/>
      <c r="N102" s="86">
        <f>SUM(N68:N101)+N53</f>
        <v>16400</v>
      </c>
      <c r="O102" s="86"/>
      <c r="P102" s="86">
        <f>SUM(P68:P101)+P53</f>
        <v>18000</v>
      </c>
      <c r="Q102" s="86"/>
      <c r="R102" s="86">
        <f>SUM(R68:R101)+R53</f>
        <v>1585</v>
      </c>
      <c r="S102" s="86"/>
      <c r="T102" s="86">
        <f>SUM(T68:T101)+T53</f>
        <v>300</v>
      </c>
      <c r="U102" s="86"/>
      <c r="V102" s="86">
        <f>SUM(V68:V101)</f>
        <v>14300</v>
      </c>
      <c r="W102" s="86"/>
      <c r="X102" s="86">
        <f>SUM(X68:X101)+X53</f>
        <v>34720</v>
      </c>
      <c r="Z102" s="86">
        <f>SUM(Z68:Z101)+Z53</f>
        <v>332</v>
      </c>
      <c r="AB102" s="86">
        <f>SUM(AB68:AB101)+AB53</f>
        <v>50</v>
      </c>
      <c r="AD102" s="86">
        <f>SUM(AD68:AD101)+AD53</f>
        <v>200</v>
      </c>
      <c r="AF102" s="86">
        <f>SUM(AF68:AF101)+AF53</f>
        <v>225</v>
      </c>
      <c r="AH102" s="86">
        <f>SUM(AH68:AH101)+AH53</f>
        <v>200</v>
      </c>
      <c r="AJ102" s="86">
        <f>SUM(AJ68:AJ101)+AJ53</f>
        <v>405</v>
      </c>
      <c r="AL102" s="86">
        <f>SUM(AL68:AL101)+AL53</f>
        <v>0</v>
      </c>
      <c r="AN102" s="86">
        <f>SUM(AN68:AN101)+AN53</f>
        <v>0</v>
      </c>
      <c r="AP102" s="86">
        <f>SUM(AP69:AP101)+AP53</f>
        <v>6144</v>
      </c>
      <c r="AT102" s="14">
        <f>COUNTIF(AT68:AT101,"x")+AT53</f>
        <v>67</v>
      </c>
      <c r="AU102" s="14">
        <f>COUNTIF(AU68:AU101,"x")+AU53</f>
        <v>14</v>
      </c>
      <c r="AV102" s="14">
        <f>COUNTIF(AV68:AV101,"x")+AV53</f>
        <v>3</v>
      </c>
    </row>
    <row r="103" spans="1:50">
      <c r="F103" s="86"/>
      <c r="G103" s="86"/>
      <c r="H103" s="86"/>
      <c r="I103" s="86"/>
      <c r="J103" s="86"/>
      <c r="K103" s="86"/>
      <c r="L103" s="86"/>
      <c r="M103" s="86"/>
      <c r="N103" s="86"/>
      <c r="O103" s="86"/>
      <c r="P103" s="86"/>
      <c r="Q103" s="86"/>
      <c r="R103" s="86"/>
      <c r="S103" s="86"/>
      <c r="T103" s="86"/>
      <c r="U103" s="86"/>
      <c r="V103" s="86"/>
      <c r="W103" s="86"/>
      <c r="X103" s="86"/>
      <c r="Z103" s="86"/>
      <c r="AP103" s="6"/>
      <c r="AQ103" s="6"/>
      <c r="AR103" s="6"/>
      <c r="AS103" s="6"/>
      <c r="AU103" s="86"/>
      <c r="AV103" s="86"/>
    </row>
    <row r="104" spans="1:50" ht="12.95">
      <c r="A104" s="16" t="s">
        <v>552</v>
      </c>
    </row>
    <row r="105" spans="1:50" s="6" customFormat="1" ht="14.1" customHeight="1">
      <c r="A105" s="6" t="s">
        <v>553</v>
      </c>
      <c r="C105" s="6" t="s">
        <v>554</v>
      </c>
      <c r="D105" s="6" t="s">
        <v>499</v>
      </c>
      <c r="E105" s="6" t="s">
        <v>555</v>
      </c>
      <c r="F105" s="14">
        <v>4</v>
      </c>
      <c r="G105" s="14">
        <v>4</v>
      </c>
      <c r="H105" s="14">
        <v>0</v>
      </c>
      <c r="I105" s="14">
        <v>25</v>
      </c>
      <c r="J105" s="86">
        <f>IF(G105&gt;=10,16, 4)</f>
        <v>4</v>
      </c>
      <c r="K105" s="86" t="s">
        <v>556</v>
      </c>
      <c r="N105" s="97"/>
      <c r="O105"/>
      <c r="P105" s="14"/>
      <c r="Q105" s="14"/>
      <c r="R105" s="14"/>
      <c r="S105" s="14"/>
      <c r="T105" s="14"/>
      <c r="U105" s="14"/>
      <c r="V105" s="14"/>
      <c r="W105" s="14"/>
      <c r="X105" s="14"/>
      <c r="AP105" s="36"/>
      <c r="AQ105" s="36"/>
      <c r="AR105" s="36"/>
      <c r="AS105" s="36"/>
      <c r="AT105" s="14" t="s">
        <v>437</v>
      </c>
      <c r="AV105" s="14"/>
    </row>
    <row r="106" spans="1:50" s="19" customFormat="1" ht="13.5" customHeight="1">
      <c r="A106" s="19" t="s">
        <v>557</v>
      </c>
      <c r="C106" s="19" t="s">
        <v>554</v>
      </c>
      <c r="D106" s="19" t="s">
        <v>499</v>
      </c>
      <c r="E106" s="19" t="s">
        <v>558</v>
      </c>
      <c r="F106" s="17">
        <v>4</v>
      </c>
      <c r="G106" s="17">
        <v>4</v>
      </c>
      <c r="H106" s="17">
        <v>0</v>
      </c>
      <c r="I106" s="17">
        <v>25</v>
      </c>
      <c r="J106" s="17">
        <f>IF(G106&gt;=10,16, 4)</f>
        <v>4</v>
      </c>
      <c r="K106" s="39" t="s">
        <v>556</v>
      </c>
      <c r="AT106" s="17" t="s">
        <v>437</v>
      </c>
    </row>
    <row r="107" spans="1:50" ht="12.95">
      <c r="A107" s="16"/>
      <c r="F107" s="86">
        <f>SUM(F105:F106)+F102</f>
        <v>459</v>
      </c>
      <c r="G107" s="86">
        <f>SUM(G105:G106)+G102</f>
        <v>1359</v>
      </c>
      <c r="H107" s="86">
        <f>SUM(H105:H106)+H102</f>
        <v>545</v>
      </c>
      <c r="I107" s="86">
        <f>SUM(I105:I106)+I102</f>
        <v>8099</v>
      </c>
      <c r="L107" s="86">
        <f>SUM(L105:L106)+L102</f>
        <v>500</v>
      </c>
      <c r="N107" s="86">
        <f>SUM(N105:N106)+N102</f>
        <v>16400</v>
      </c>
      <c r="P107" s="86">
        <f>SUM(P105:P106)+P102</f>
        <v>18000</v>
      </c>
      <c r="R107" s="86">
        <f>SUM(R105:R106)+R102</f>
        <v>1585</v>
      </c>
      <c r="T107" s="86">
        <f>SUM(T105:T106)+T102</f>
        <v>300</v>
      </c>
      <c r="V107" s="86">
        <f>SUM(V105:V106)+V102</f>
        <v>14300</v>
      </c>
      <c r="X107" s="86">
        <f>SUM(X105:X106)+X102</f>
        <v>34720</v>
      </c>
      <c r="Z107" s="86">
        <f>SUM(Z105:Z106)+Z102</f>
        <v>332</v>
      </c>
      <c r="AB107" s="86">
        <f>SUM(AB105:AB106)+AB102</f>
        <v>50</v>
      </c>
      <c r="AD107" s="86">
        <f>SUM(AD105:AD106)+AD102</f>
        <v>200</v>
      </c>
      <c r="AF107" s="86">
        <f>SUM(AF105:AF106)+AF102</f>
        <v>225</v>
      </c>
      <c r="AH107" s="86">
        <f>SUM(AH105:AH106)+AH102</f>
        <v>200</v>
      </c>
      <c r="AJ107" s="86">
        <f>SUM(AJ105:AJ106)+AJ102</f>
        <v>405</v>
      </c>
      <c r="AL107" s="86">
        <f>SUM(AL105:AL106)+AL102</f>
        <v>0</v>
      </c>
      <c r="AN107" s="86">
        <f>SUM(AN105:AN106)+AN102</f>
        <v>0</v>
      </c>
      <c r="AP107" s="14">
        <f>SUM(AP106:AP106)+AP102</f>
        <v>6144</v>
      </c>
      <c r="AQ107" s="6"/>
      <c r="AR107" s="6"/>
      <c r="AS107" s="6"/>
      <c r="AT107" s="14">
        <f>COUNTIF(AT105:AT106,"x")+AT102</f>
        <v>69</v>
      </c>
      <c r="AU107" s="14">
        <f>COUNTIF(AU105:AU106,"x")+AU102</f>
        <v>14</v>
      </c>
      <c r="AV107" s="14">
        <f>COUNTIF(AV105:AV106,"x")+AV102</f>
        <v>3</v>
      </c>
    </row>
    <row r="108" spans="1:50" ht="12.95">
      <c r="A108" s="16"/>
    </row>
    <row r="109" spans="1:50" ht="12.95">
      <c r="A109" s="16" t="s">
        <v>559</v>
      </c>
    </row>
    <row r="110" spans="1:50">
      <c r="A110" s="6" t="s">
        <v>560</v>
      </c>
      <c r="B110" s="6"/>
      <c r="C110" s="6" t="s">
        <v>561</v>
      </c>
      <c r="D110" s="6" t="s">
        <v>562</v>
      </c>
      <c r="E110" s="6" t="s">
        <v>42</v>
      </c>
      <c r="F110" s="14">
        <v>2</v>
      </c>
      <c r="G110" s="14">
        <v>4</v>
      </c>
      <c r="H110" s="14">
        <v>4</v>
      </c>
      <c r="I110" s="14">
        <v>350</v>
      </c>
      <c r="J110" s="86">
        <f t="shared" ref="J110:J119" si="2">IF(G110&gt;=10,16, 4)</f>
        <v>4</v>
      </c>
      <c r="K110" s="86" t="s">
        <v>563</v>
      </c>
      <c r="L110" s="86"/>
      <c r="M110" s="86"/>
      <c r="N110" s="86"/>
      <c r="O110" s="86"/>
      <c r="P110" s="86"/>
      <c r="Q110" s="86"/>
      <c r="R110" s="86"/>
      <c r="S110" s="86"/>
      <c r="T110" s="86"/>
      <c r="U110" s="86"/>
      <c r="V110" s="86"/>
      <c r="Z110" s="86"/>
      <c r="AA110" s="86"/>
      <c r="AB110" s="86"/>
      <c r="AC110" s="86"/>
      <c r="AD110" s="86"/>
      <c r="AE110" s="86"/>
      <c r="AF110" s="86"/>
      <c r="AG110" s="86"/>
      <c r="AH110" s="86"/>
      <c r="AI110" s="86"/>
      <c r="AJ110" s="86"/>
      <c r="AK110" s="86"/>
      <c r="AL110" s="86"/>
      <c r="AM110" s="86"/>
      <c r="AN110" s="86"/>
      <c r="AO110" s="86"/>
      <c r="AT110" s="86" t="s">
        <v>437</v>
      </c>
      <c r="AU110" s="86"/>
      <c r="AV110" s="86"/>
    </row>
    <row r="111" spans="1:50">
      <c r="A111" s="6" t="s">
        <v>565</v>
      </c>
      <c r="B111" s="6"/>
      <c r="C111" s="6" t="s">
        <v>561</v>
      </c>
      <c r="D111" s="6" t="s">
        <v>562</v>
      </c>
      <c r="E111" s="6" t="s">
        <v>566</v>
      </c>
      <c r="F111" s="14">
        <v>6</v>
      </c>
      <c r="G111" s="14">
        <v>10</v>
      </c>
      <c r="H111" s="14">
        <v>10</v>
      </c>
      <c r="I111" s="14">
        <v>100</v>
      </c>
      <c r="J111" s="86">
        <f t="shared" si="2"/>
        <v>16</v>
      </c>
      <c r="K111" s="86" t="s">
        <v>563</v>
      </c>
      <c r="L111" s="86"/>
      <c r="M111" s="86"/>
      <c r="N111" s="86">
        <v>200</v>
      </c>
      <c r="O111" s="86" t="s">
        <v>564</v>
      </c>
      <c r="P111" s="86"/>
      <c r="Q111" s="86"/>
      <c r="R111" s="86"/>
      <c r="S111" s="86"/>
      <c r="T111" s="86"/>
      <c r="U111" s="86"/>
      <c r="V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t="s">
        <v>437</v>
      </c>
      <c r="AU111" s="86"/>
      <c r="AV111" s="86"/>
    </row>
    <row r="112" spans="1:50">
      <c r="A112" s="6" t="s">
        <v>567</v>
      </c>
      <c r="B112" s="6"/>
      <c r="C112" s="6" t="s">
        <v>561</v>
      </c>
      <c r="D112" s="6" t="s">
        <v>562</v>
      </c>
      <c r="E112" s="6" t="s">
        <v>568</v>
      </c>
      <c r="F112" s="14">
        <v>8</v>
      </c>
      <c r="G112" s="14">
        <v>16</v>
      </c>
      <c r="H112" s="14">
        <v>16</v>
      </c>
      <c r="I112" s="14">
        <v>60</v>
      </c>
      <c r="J112" s="86">
        <f t="shared" si="2"/>
        <v>16</v>
      </c>
      <c r="K112" s="86" t="s">
        <v>569</v>
      </c>
      <c r="L112" s="86"/>
      <c r="M112" s="86"/>
      <c r="N112" s="86"/>
      <c r="O112" s="86"/>
      <c r="P112" s="86"/>
      <c r="Q112" s="86"/>
      <c r="R112" s="86"/>
      <c r="S112" s="86"/>
      <c r="T112" s="86"/>
      <c r="U112" s="86"/>
      <c r="V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t="s">
        <v>437</v>
      </c>
      <c r="AU112" s="14" t="s">
        <v>437</v>
      </c>
      <c r="AV112" s="86"/>
    </row>
    <row r="113" spans="1:48">
      <c r="A113" s="6" t="s">
        <v>570</v>
      </c>
      <c r="B113" s="6"/>
      <c r="C113" s="6" t="s">
        <v>561</v>
      </c>
      <c r="D113" s="6" t="s">
        <v>562</v>
      </c>
      <c r="E113" s="6" t="s">
        <v>571</v>
      </c>
      <c r="F113" s="14">
        <v>10</v>
      </c>
      <c r="G113" s="14">
        <v>10</v>
      </c>
      <c r="H113" s="14">
        <v>10</v>
      </c>
      <c r="I113" s="14">
        <v>40</v>
      </c>
      <c r="J113" s="86">
        <f t="shared" si="2"/>
        <v>16</v>
      </c>
      <c r="K113" s="86" t="s">
        <v>569</v>
      </c>
      <c r="L113" s="86"/>
      <c r="M113" s="86"/>
      <c r="N113" s="86"/>
      <c r="O113" s="86"/>
      <c r="P113" s="86"/>
      <c r="Q113" s="86"/>
      <c r="R113" s="86"/>
      <c r="S113" s="86"/>
      <c r="T113" s="86"/>
      <c r="U113" s="86"/>
      <c r="V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t="s">
        <v>437</v>
      </c>
      <c r="AU113" s="14" t="s">
        <v>437</v>
      </c>
      <c r="AV113" s="86"/>
    </row>
    <row r="114" spans="1:48">
      <c r="A114" s="6" t="s">
        <v>572</v>
      </c>
      <c r="B114" s="6"/>
      <c r="C114" s="6" t="s">
        <v>561</v>
      </c>
      <c r="D114" s="6" t="s">
        <v>562</v>
      </c>
      <c r="E114" s="6" t="s">
        <v>573</v>
      </c>
      <c r="F114" s="14">
        <v>4</v>
      </c>
      <c r="G114" s="14">
        <v>16</v>
      </c>
      <c r="H114" s="14">
        <v>0</v>
      </c>
      <c r="I114" s="14">
        <v>550</v>
      </c>
      <c r="J114" s="86">
        <f t="shared" si="2"/>
        <v>16</v>
      </c>
      <c r="K114" s="86" t="s">
        <v>574</v>
      </c>
      <c r="L114" s="86"/>
      <c r="M114" s="86"/>
      <c r="N114" s="86"/>
      <c r="O114" s="86"/>
      <c r="P114" s="86"/>
      <c r="Q114" s="86"/>
      <c r="R114" s="86"/>
      <c r="S114" s="86"/>
      <c r="T114" s="86"/>
      <c r="U114" s="86"/>
      <c r="V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t="s">
        <v>437</v>
      </c>
      <c r="AU114" s="14" t="s">
        <v>437</v>
      </c>
      <c r="AV114" s="86"/>
    </row>
    <row r="115" spans="1:48">
      <c r="A115" s="6" t="s">
        <v>576</v>
      </c>
      <c r="B115" s="6"/>
      <c r="C115" s="6" t="s">
        <v>561</v>
      </c>
      <c r="D115" s="6" t="s">
        <v>562</v>
      </c>
      <c r="E115" s="6" t="s">
        <v>577</v>
      </c>
      <c r="F115" s="14">
        <v>2</v>
      </c>
      <c r="G115" s="14">
        <v>4</v>
      </c>
      <c r="H115" s="14">
        <v>4</v>
      </c>
      <c r="I115" s="14">
        <v>40</v>
      </c>
      <c r="J115" s="86">
        <f t="shared" si="2"/>
        <v>4</v>
      </c>
      <c r="K115" s="86" t="s">
        <v>569</v>
      </c>
      <c r="L115" s="86"/>
      <c r="M115" s="86"/>
      <c r="N115" s="86"/>
      <c r="O115" s="86"/>
      <c r="P115" s="86"/>
      <c r="Q115" s="86"/>
      <c r="R115" s="86">
        <v>50</v>
      </c>
      <c r="S115" s="86" t="s">
        <v>575</v>
      </c>
      <c r="T115" s="86"/>
      <c r="U115" s="86"/>
      <c r="V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t="s">
        <v>437</v>
      </c>
      <c r="AU115" s="86"/>
      <c r="AV115" s="86"/>
    </row>
    <row r="116" spans="1:48">
      <c r="A116" s="36" t="s">
        <v>578</v>
      </c>
      <c r="C116" s="6" t="s">
        <v>579</v>
      </c>
      <c r="D116" s="36" t="s">
        <v>562</v>
      </c>
      <c r="E116" s="6" t="s">
        <v>86</v>
      </c>
      <c r="F116" s="86">
        <v>8</v>
      </c>
      <c r="G116" s="86">
        <v>32</v>
      </c>
      <c r="H116" s="14">
        <v>0</v>
      </c>
      <c r="I116" s="86">
        <v>80</v>
      </c>
      <c r="J116" s="86">
        <f t="shared" si="2"/>
        <v>16</v>
      </c>
      <c r="K116" s="86" t="s">
        <v>580</v>
      </c>
      <c r="L116" s="86"/>
      <c r="M116" s="86"/>
      <c r="N116" s="86"/>
      <c r="O116" s="86"/>
      <c r="P116" s="86"/>
      <c r="Q116" s="86"/>
      <c r="R116" s="86"/>
      <c r="S116" s="86"/>
      <c r="T116" s="86"/>
      <c r="U116" s="86"/>
      <c r="V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t="s">
        <v>437</v>
      </c>
      <c r="AU116" s="86"/>
      <c r="AV116" s="86"/>
    </row>
    <row r="117" spans="1:48">
      <c r="A117" s="36" t="s">
        <v>581</v>
      </c>
      <c r="C117" s="6" t="s">
        <v>579</v>
      </c>
      <c r="D117" s="36" t="s">
        <v>562</v>
      </c>
      <c r="E117" s="6" t="s">
        <v>86</v>
      </c>
      <c r="F117" s="86">
        <v>8</v>
      </c>
      <c r="G117" s="86">
        <v>32</v>
      </c>
      <c r="H117" s="14">
        <v>0</v>
      </c>
      <c r="I117" s="86">
        <v>80</v>
      </c>
      <c r="J117" s="86">
        <f t="shared" si="2"/>
        <v>16</v>
      </c>
      <c r="K117" s="86" t="s">
        <v>580</v>
      </c>
      <c r="L117" s="86"/>
      <c r="M117" s="86"/>
      <c r="N117" s="86"/>
      <c r="O117" s="86"/>
      <c r="P117" s="86"/>
      <c r="Q117" s="86"/>
      <c r="R117" s="86"/>
      <c r="S117" s="86"/>
      <c r="T117" s="86"/>
      <c r="U117" s="86"/>
      <c r="V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t="s">
        <v>437</v>
      </c>
      <c r="AU117" s="86"/>
      <c r="AV117" s="86"/>
    </row>
    <row r="118" spans="1:48" s="6" customFormat="1">
      <c r="A118" s="6" t="s">
        <v>582</v>
      </c>
      <c r="C118" s="6" t="s">
        <v>583</v>
      </c>
      <c r="D118" s="6" t="s">
        <v>584</v>
      </c>
      <c r="E118" s="6" t="s">
        <v>585</v>
      </c>
      <c r="F118" s="14">
        <v>4</v>
      </c>
      <c r="G118" s="14">
        <v>8</v>
      </c>
      <c r="H118" s="14">
        <v>0</v>
      </c>
      <c r="I118" s="14">
        <v>30</v>
      </c>
      <c r="J118" s="86">
        <f t="shared" si="2"/>
        <v>4</v>
      </c>
      <c r="K118" s="86" t="s">
        <v>586</v>
      </c>
      <c r="L118" s="86"/>
      <c r="M118" s="86"/>
      <c r="N118" s="86"/>
      <c r="O118" s="86"/>
      <c r="P118" s="86"/>
      <c r="Q118" s="86"/>
      <c r="R118" s="86"/>
      <c r="S118" s="86"/>
      <c r="T118" s="86"/>
      <c r="U118" s="86"/>
      <c r="V118" s="14"/>
      <c r="W118" s="14"/>
      <c r="X118" s="14"/>
      <c r="AP118" s="86"/>
      <c r="AQ118" s="86"/>
      <c r="AR118" s="86"/>
      <c r="AS118" s="86"/>
      <c r="AT118" s="14" t="s">
        <v>437</v>
      </c>
      <c r="AU118" s="14"/>
      <c r="AV118" s="14"/>
    </row>
    <row r="119" spans="1:48" s="6" customFormat="1">
      <c r="A119" s="6" t="s">
        <v>587</v>
      </c>
      <c r="C119" s="6" t="s">
        <v>588</v>
      </c>
      <c r="D119" s="6" t="s">
        <v>435</v>
      </c>
      <c r="E119" s="6" t="s">
        <v>106</v>
      </c>
      <c r="F119" s="14">
        <v>8</v>
      </c>
      <c r="G119" s="14">
        <v>6</v>
      </c>
      <c r="H119" s="14">
        <v>0</v>
      </c>
      <c r="I119" s="14">
        <v>70</v>
      </c>
      <c r="J119" s="86">
        <f t="shared" si="2"/>
        <v>4</v>
      </c>
      <c r="K119" s="86" t="s">
        <v>589</v>
      </c>
      <c r="L119" s="86"/>
      <c r="M119" s="86"/>
      <c r="N119" s="86"/>
      <c r="O119" s="86"/>
      <c r="P119" s="86"/>
      <c r="Q119" s="86"/>
      <c r="R119" s="86"/>
      <c r="S119" s="86"/>
      <c r="T119" s="86"/>
      <c r="U119" s="86"/>
      <c r="V119" s="14"/>
      <c r="W119" s="14"/>
      <c r="X119" s="14"/>
      <c r="AT119" s="14" t="s">
        <v>437</v>
      </c>
      <c r="AU119" s="14"/>
      <c r="AV119" s="14"/>
    </row>
    <row r="120" spans="1:48" s="40" customFormat="1">
      <c r="F120" s="41">
        <f>SUM(F110:F119)+F107</f>
        <v>519</v>
      </c>
      <c r="G120" s="41">
        <f>SUM(G110:G119)+G107</f>
        <v>1497</v>
      </c>
      <c r="H120" s="41">
        <f>SUM(H110:H119)+H107</f>
        <v>589</v>
      </c>
      <c r="I120" s="41">
        <f>SUM(I110:I119)+I107</f>
        <v>9499</v>
      </c>
      <c r="J120" s="41"/>
      <c r="K120" s="41"/>
      <c r="L120" s="41">
        <f>SUM(L110:L119)+L107</f>
        <v>500</v>
      </c>
      <c r="M120" s="41"/>
      <c r="N120" s="41">
        <f>SUM(N110:N119)+N107</f>
        <v>16600</v>
      </c>
      <c r="O120" s="41"/>
      <c r="P120" s="41">
        <f>SUM(P110:P119)+P107</f>
        <v>18000</v>
      </c>
      <c r="Q120" s="41"/>
      <c r="R120" s="41">
        <f>SUM(R110:R119)+R107</f>
        <v>1635</v>
      </c>
      <c r="S120" s="41"/>
      <c r="T120" s="41">
        <f>SUM(T110:T119)+T107</f>
        <v>300</v>
      </c>
      <c r="U120" s="41"/>
      <c r="V120" s="41">
        <f>SUM(V110:V119)+V107</f>
        <v>14300</v>
      </c>
      <c r="W120" s="41"/>
      <c r="X120" s="41">
        <f>SUM(X110:X119)+X107</f>
        <v>34720</v>
      </c>
      <c r="Y120" s="41"/>
      <c r="Z120" s="41">
        <f>SUM(Z110:Z119)+Z107</f>
        <v>332</v>
      </c>
      <c r="AA120" s="41"/>
      <c r="AB120" s="41">
        <f>SUM(AB110:AB119)+AB107</f>
        <v>50</v>
      </c>
      <c r="AC120" s="41"/>
      <c r="AD120" s="41">
        <f>SUM(AD110:AD119)+AD107</f>
        <v>200</v>
      </c>
      <c r="AE120" s="41"/>
      <c r="AF120" s="41">
        <f>SUM(AF110:AF119)+AF107</f>
        <v>225</v>
      </c>
      <c r="AG120" s="41"/>
      <c r="AH120" s="41">
        <f>SUM(AH110:AH119)+AH107</f>
        <v>200</v>
      </c>
      <c r="AI120" s="41"/>
      <c r="AJ120" s="41">
        <f>SUM(AJ110:AJ119)+AJ107</f>
        <v>405</v>
      </c>
      <c r="AK120" s="41"/>
      <c r="AL120" s="41">
        <f>SUM(AL110:AL119)+AL107</f>
        <v>0</v>
      </c>
      <c r="AM120" s="41"/>
      <c r="AN120" s="41">
        <f>SUM(AN110:AN119)+AN107</f>
        <v>0</v>
      </c>
      <c r="AO120" s="41"/>
      <c r="AP120" s="41">
        <f>SUM(AP111:AP119)+AP107</f>
        <v>6144</v>
      </c>
      <c r="AQ120" s="41"/>
      <c r="AR120" s="41"/>
      <c r="AS120" s="41"/>
      <c r="AT120" s="14">
        <f>COUNTIF(AT110:AT119,"x")+AT107</f>
        <v>79</v>
      </c>
      <c r="AU120" s="14">
        <f>COUNTIF(AU110:AU119,"x")+AU107</f>
        <v>17</v>
      </c>
      <c r="AV120" s="14">
        <f>COUNTIF(AV110:AV119,"x")+AV107</f>
        <v>3</v>
      </c>
    </row>
    <row r="124" spans="1:48" ht="14.45">
      <c r="A124" s="179" t="s">
        <v>423</v>
      </c>
      <c r="B124" s="191"/>
      <c r="C124" s="191"/>
    </row>
    <row r="125" spans="1:48" ht="12.95">
      <c r="A125" s="95" t="s">
        <v>508</v>
      </c>
      <c r="B125" s="95" t="s">
        <v>509</v>
      </c>
      <c r="C125" s="95" t="s">
        <v>510</v>
      </c>
      <c r="D125" s="10"/>
      <c r="E125" s="10"/>
    </row>
    <row r="126" spans="1:48">
      <c r="A126" s="93" t="s">
        <v>528</v>
      </c>
      <c r="B126" s="91" cm="1">
        <f t="array" ref="B126">SUM(IF(K11:K119=A126,I11:J119,""))</f>
        <v>1144</v>
      </c>
      <c r="C126" s="92">
        <v>2000</v>
      </c>
      <c r="D126" s="6"/>
      <c r="E126" s="6"/>
    </row>
    <row r="127" spans="1:48">
      <c r="A127" s="93" t="s">
        <v>529</v>
      </c>
      <c r="B127" s="91" cm="1">
        <f t="array" ref="B127">SUM(IF(K10:K119=A127,I10:J119,""),AD26)</f>
        <v>1498</v>
      </c>
      <c r="C127" s="92">
        <v>2000</v>
      </c>
    </row>
    <row r="128" spans="1:48">
      <c r="A128" s="93" t="s">
        <v>531</v>
      </c>
      <c r="B128" s="91" cm="1">
        <f t="array" ref="B128">SUM(IF(K10:K119=A128,I10:J119,""),AB22,AD27)</f>
        <v>1346</v>
      </c>
      <c r="C128" s="92">
        <v>2000</v>
      </c>
      <c r="D128" s="6"/>
      <c r="E128" s="6"/>
    </row>
    <row r="129" spans="1:6">
      <c r="A129" s="93" t="s">
        <v>590</v>
      </c>
      <c r="B129" s="92">
        <v>10</v>
      </c>
      <c r="C129" s="92" t="s">
        <v>651</v>
      </c>
      <c r="D129" s="6"/>
      <c r="E129" s="6"/>
    </row>
    <row r="130" spans="1:6">
      <c r="A130" s="93" t="s">
        <v>591</v>
      </c>
      <c r="B130" s="92">
        <v>10</v>
      </c>
      <c r="C130" s="92" t="s">
        <v>651</v>
      </c>
    </row>
    <row r="131" spans="1:6">
      <c r="A131" s="93" t="s">
        <v>592</v>
      </c>
      <c r="B131" s="92">
        <v>10</v>
      </c>
      <c r="C131" s="92" t="s">
        <v>651</v>
      </c>
    </row>
    <row r="132" spans="1:6">
      <c r="A132" s="93" t="s">
        <v>593</v>
      </c>
      <c r="B132" s="92">
        <v>10</v>
      </c>
      <c r="C132" s="92" t="s">
        <v>651</v>
      </c>
    </row>
    <row r="133" spans="1:6">
      <c r="A133" s="93" t="s">
        <v>594</v>
      </c>
      <c r="B133" s="92">
        <v>10</v>
      </c>
      <c r="C133" s="92" t="s">
        <v>651</v>
      </c>
    </row>
    <row r="134" spans="1:6">
      <c r="A134" s="93" t="s">
        <v>630</v>
      </c>
      <c r="B134" s="92">
        <v>10</v>
      </c>
      <c r="C134" s="92" t="s">
        <v>651</v>
      </c>
    </row>
    <row r="135" spans="1:6" ht="14.45">
      <c r="A135" s="93" t="s">
        <v>674</v>
      </c>
      <c r="B135" s="92">
        <f xml:space="preserve"> IF(C8="Standard 3XL",$I$174,#REF!)/2</f>
        <v>230</v>
      </c>
      <c r="C135" s="92">
        <f>$L$14/2</f>
        <v>250</v>
      </c>
      <c r="D135"/>
      <c r="E135" s="14"/>
      <c r="F135" s="86"/>
    </row>
    <row r="136" spans="1:6" ht="14.45">
      <c r="A136" s="93" t="s">
        <v>675</v>
      </c>
      <c r="B136" s="92">
        <f xml:space="preserve"> IF(C8="Standard 3XL",$I$174,#REF!)/2</f>
        <v>230</v>
      </c>
      <c r="C136" s="92">
        <f>$L$14/2</f>
        <v>250</v>
      </c>
      <c r="D136"/>
      <c r="E136" s="14"/>
      <c r="F136" s="86"/>
    </row>
    <row r="137" spans="1:6">
      <c r="A137" s="93" t="s">
        <v>676</v>
      </c>
      <c r="B137" s="92">
        <f xml:space="preserve"> IF(C8="Standard 3XL",$C$174,#REF!)/8</f>
        <v>1900</v>
      </c>
      <c r="C137" s="92">
        <f>$N$14/8</f>
        <v>2050</v>
      </c>
      <c r="E137" s="86"/>
      <c r="F137" s="85"/>
    </row>
    <row r="138" spans="1:6" ht="12.6" customHeight="1">
      <c r="A138" s="93" t="s">
        <v>677</v>
      </c>
      <c r="B138" s="92">
        <f xml:space="preserve"> IF(C8="Standard 3XL",$C$174,#REF!)/8</f>
        <v>1900</v>
      </c>
      <c r="C138" s="92">
        <f t="shared" ref="C138:C144" si="3">$N$14/8</f>
        <v>2050</v>
      </c>
      <c r="E138" s="86"/>
      <c r="F138" s="85"/>
    </row>
    <row r="139" spans="1:6" ht="12.6" customHeight="1">
      <c r="A139" s="93" t="s">
        <v>678</v>
      </c>
      <c r="B139" s="92">
        <f xml:space="preserve"> IF(C8="Standard 3XL",$C$174,#REF!)/8</f>
        <v>1900</v>
      </c>
      <c r="C139" s="92">
        <f t="shared" si="3"/>
        <v>2050</v>
      </c>
      <c r="E139" s="86"/>
      <c r="F139" s="85"/>
    </row>
    <row r="140" spans="1:6" ht="12.6" customHeight="1">
      <c r="A140" s="93" t="s">
        <v>679</v>
      </c>
      <c r="B140" s="92">
        <f xml:space="preserve"> IF(C8="Standard 3XL",$C$174,#REF!)/8</f>
        <v>1900</v>
      </c>
      <c r="C140" s="92">
        <f t="shared" si="3"/>
        <v>2050</v>
      </c>
      <c r="E140" s="86"/>
      <c r="F140" s="85"/>
    </row>
    <row r="141" spans="1:6" ht="12.6" customHeight="1">
      <c r="A141" s="93" t="s">
        <v>680</v>
      </c>
      <c r="B141" s="92">
        <f xml:space="preserve"> IF(C8="Standard 3XL",$C$174,#REF!)/8</f>
        <v>1900</v>
      </c>
      <c r="C141" s="92">
        <f t="shared" si="3"/>
        <v>2050</v>
      </c>
      <c r="E141" s="86"/>
      <c r="F141" s="85"/>
    </row>
    <row r="142" spans="1:6" ht="12.6" customHeight="1">
      <c r="A142" s="93" t="s">
        <v>681</v>
      </c>
      <c r="B142" s="92">
        <f xml:space="preserve"> IF(C8="Standard 3XL",$C$174,#REF!)/8</f>
        <v>1900</v>
      </c>
      <c r="C142" s="92">
        <f t="shared" si="3"/>
        <v>2050</v>
      </c>
      <c r="E142" s="86"/>
      <c r="F142" s="85"/>
    </row>
    <row r="143" spans="1:6" ht="12.6" customHeight="1">
      <c r="A143" s="93" t="s">
        <v>682</v>
      </c>
      <c r="B143" s="92">
        <f xml:space="preserve"> IF(C8="Standard 3XL",$C$174,#REF!)/8</f>
        <v>1900</v>
      </c>
      <c r="C143" s="92">
        <f t="shared" si="3"/>
        <v>2050</v>
      </c>
      <c r="E143" s="86"/>
      <c r="F143" s="85"/>
    </row>
    <row r="144" spans="1:6" ht="12.6" customHeight="1">
      <c r="A144" s="93" t="s">
        <v>683</v>
      </c>
      <c r="B144" s="92">
        <f xml:space="preserve"> IF(C8="Standard 3XL",$C$174,#REF!)/8</f>
        <v>1900</v>
      </c>
      <c r="C144" s="92">
        <f t="shared" si="3"/>
        <v>2050</v>
      </c>
      <c r="E144" s="86"/>
      <c r="F144" s="85"/>
    </row>
    <row r="145" spans="1:6" ht="12.6" customHeight="1">
      <c r="A145" s="93" t="s">
        <v>684</v>
      </c>
      <c r="B145" s="92">
        <f xml:space="preserve"> IF(C8="Standard 3XL",$G$174,#REF!)/2</f>
        <v>8300</v>
      </c>
      <c r="C145" s="92">
        <f>$P$14/2</f>
        <v>9000</v>
      </c>
      <c r="E145" s="86"/>
      <c r="F145" s="86"/>
    </row>
    <row r="146" spans="1:6" ht="13.35" customHeight="1">
      <c r="A146" s="93" t="s">
        <v>685</v>
      </c>
      <c r="B146" s="92">
        <f xml:space="preserve"> IF(C8="Standard 3XL",$G$174,#REF!)/2</f>
        <v>8300</v>
      </c>
      <c r="C146" s="92">
        <f>$P$14/2</f>
        <v>9000</v>
      </c>
      <c r="E146" s="86"/>
      <c r="F146" s="86"/>
    </row>
    <row r="147" spans="1:6">
      <c r="A147" s="93" t="s">
        <v>686</v>
      </c>
      <c r="B147" s="92">
        <v>748</v>
      </c>
      <c r="C147" s="92">
        <v>830</v>
      </c>
      <c r="E147" s="86"/>
      <c r="F147" s="86"/>
    </row>
    <row r="148" spans="1:6" ht="13.35" customHeight="1">
      <c r="A148" s="93" t="s">
        <v>687</v>
      </c>
      <c r="B148" s="92">
        <f>IF(C8="Standard 3XL",572,1437)</f>
        <v>572</v>
      </c>
      <c r="C148" s="92">
        <f>IF(C8="Standard 3XL",635,1600)</f>
        <v>635</v>
      </c>
      <c r="E148" s="86"/>
      <c r="F148" s="86"/>
    </row>
    <row r="149" spans="1:6">
      <c r="A149" s="93" t="s">
        <v>222</v>
      </c>
      <c r="B149" s="92">
        <v>270</v>
      </c>
      <c r="C149" s="92">
        <v>300</v>
      </c>
    </row>
    <row r="150" spans="1:6">
      <c r="A150" s="93" t="s">
        <v>515</v>
      </c>
      <c r="B150" s="92">
        <v>300</v>
      </c>
      <c r="C150" s="92">
        <v>400</v>
      </c>
    </row>
    <row r="151" spans="1:6">
      <c r="A151" s="93" t="s">
        <v>474</v>
      </c>
      <c r="B151" s="92">
        <v>510</v>
      </c>
      <c r="C151" s="92">
        <v>700</v>
      </c>
      <c r="E151" s="86"/>
      <c r="F151" s="86"/>
    </row>
    <row r="152" spans="1:6" ht="13.35" customHeight="1">
      <c r="A152" s="93" t="s">
        <v>688</v>
      </c>
      <c r="B152" s="92">
        <f>IF(C8="Standard 3XL",3900, 5370)</f>
        <v>3900</v>
      </c>
      <c r="C152" s="92">
        <f xml:space="preserve"> IF(C8="Standard 3XL",$K$174,#REF!)/8</f>
        <v>4200</v>
      </c>
      <c r="E152" s="86"/>
      <c r="F152" s="86"/>
    </row>
    <row r="153" spans="1:6" ht="13.35" customHeight="1">
      <c r="A153" s="93" t="s">
        <v>689</v>
      </c>
      <c r="B153" s="92">
        <f>IF(C8="Standard 3XL",3900, 5370)</f>
        <v>3900</v>
      </c>
      <c r="C153" s="92">
        <f xml:space="preserve"> IF(C8="Standard 3XL",$K$174,#REF!)/8</f>
        <v>4200</v>
      </c>
      <c r="E153" s="86"/>
      <c r="F153" s="86"/>
    </row>
    <row r="154" spans="1:6" ht="13.35" customHeight="1">
      <c r="A154" s="93" t="s">
        <v>690</v>
      </c>
      <c r="B154" s="92">
        <f>IF(C8="Standard 3XL",3900, 5370)</f>
        <v>3900</v>
      </c>
      <c r="C154" s="92">
        <f xml:space="preserve"> IF(C8="Standard 3XL",$K$174,#REF!)/8</f>
        <v>4200</v>
      </c>
      <c r="E154" s="86"/>
      <c r="F154" s="86"/>
    </row>
    <row r="155" spans="1:6" ht="13.35" customHeight="1">
      <c r="A155" s="93" t="s">
        <v>691</v>
      </c>
      <c r="B155" s="92">
        <f>IF(C8="Standard 3XL",3900, 5370)</f>
        <v>3900</v>
      </c>
      <c r="C155" s="92">
        <f xml:space="preserve"> IF(C8="Standard 3XL",$K$174,#REF!)/8</f>
        <v>4200</v>
      </c>
      <c r="E155" s="86"/>
      <c r="F155" s="86"/>
    </row>
    <row r="156" spans="1:6" ht="13.35" customHeight="1">
      <c r="A156" s="93" t="s">
        <v>692</v>
      </c>
      <c r="B156" s="92">
        <f>IF(C8="Standard 3XL",3900, 5370)</f>
        <v>3900</v>
      </c>
      <c r="C156" s="92">
        <f xml:space="preserve"> IF(C8="Standard 3XL",$K$174,#REF!)/8</f>
        <v>4200</v>
      </c>
      <c r="E156" s="86"/>
      <c r="F156" s="86"/>
    </row>
    <row r="157" spans="1:6" ht="13.35" customHeight="1">
      <c r="A157" s="93" t="s">
        <v>693</v>
      </c>
      <c r="B157" s="92">
        <f>IF(C8="Standard 3XL",3900, 5370)</f>
        <v>3900</v>
      </c>
      <c r="C157" s="92">
        <f xml:space="preserve"> IF(C8="Standard 3XL",$K$174,#REF!)/8</f>
        <v>4200</v>
      </c>
      <c r="E157" s="86"/>
      <c r="F157" s="86"/>
    </row>
    <row r="158" spans="1:6" ht="13.35" customHeight="1">
      <c r="A158" s="93" t="s">
        <v>694</v>
      </c>
      <c r="B158" s="92">
        <f>IF(C8="Standard 3XL",3900, 5370)</f>
        <v>3900</v>
      </c>
      <c r="C158" s="92">
        <f xml:space="preserve"> IF(C8="Standard 3XL",$K$174,#REF!)/8</f>
        <v>4200</v>
      </c>
      <c r="E158" s="86"/>
      <c r="F158" s="86"/>
    </row>
    <row r="159" spans="1:6" ht="13.35" customHeight="1">
      <c r="A159" s="93" t="s">
        <v>695</v>
      </c>
      <c r="B159" s="92">
        <f>IF(C8="Standard 3XL",3900, 5370)</f>
        <v>3900</v>
      </c>
      <c r="C159" s="92">
        <f xml:space="preserve"> IF(C8="Standard 3XL",$K$174,#REF!)/8</f>
        <v>4200</v>
      </c>
      <c r="E159" s="86"/>
      <c r="F159" s="86"/>
    </row>
    <row r="160" spans="1:6">
      <c r="A160" s="93" t="s">
        <v>662</v>
      </c>
      <c r="B160" s="92">
        <f>IF(C8="Standard 3XL",737, 817)</f>
        <v>737</v>
      </c>
      <c r="C160" s="92">
        <f xml:space="preserve"> IF(C8="Standard 3XL",$L$174,#REF!)</f>
        <v>800</v>
      </c>
      <c r="E160" s="86"/>
      <c r="F160" s="86"/>
    </row>
    <row r="161" spans="1:48">
      <c r="A161" s="93" t="s">
        <v>696</v>
      </c>
      <c r="B161" s="96">
        <f>SUM(I95:J97)+V95</f>
        <v>6216</v>
      </c>
      <c r="C161" s="96">
        <v>6500</v>
      </c>
      <c r="E161" s="86"/>
      <c r="F161" s="86"/>
    </row>
    <row r="162" spans="1:48">
      <c r="A162" s="93" t="s">
        <v>663</v>
      </c>
      <c r="B162" s="96">
        <v>200</v>
      </c>
      <c r="C162" s="96">
        <v>250</v>
      </c>
    </row>
    <row r="163" spans="1:48">
      <c r="A163" s="93" t="s">
        <v>526</v>
      </c>
      <c r="B163" s="106">
        <f>SUM(I11:J12)</f>
        <v>992</v>
      </c>
      <c r="C163" s="106">
        <f>IF(E12="vCSA8.0",1100,900)</f>
        <v>1100</v>
      </c>
    </row>
    <row r="164" spans="1:48">
      <c r="A164" s="93" t="s">
        <v>550</v>
      </c>
      <c r="B164" s="92">
        <v>200</v>
      </c>
      <c r="C164" s="92">
        <v>225</v>
      </c>
    </row>
    <row r="165" spans="1:48">
      <c r="A165" s="111" t="s">
        <v>556</v>
      </c>
      <c r="B165" s="92">
        <v>58</v>
      </c>
      <c r="C165" s="92">
        <v>100</v>
      </c>
    </row>
    <row r="166" spans="1:48" ht="13.35" customHeight="1">
      <c r="A166" s="111" t="s">
        <v>597</v>
      </c>
      <c r="B166" s="92">
        <v>900</v>
      </c>
      <c r="C166" s="92">
        <v>1050</v>
      </c>
      <c r="D166" s="14"/>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14"/>
      <c r="AK166" s="14"/>
      <c r="AL166" s="14"/>
      <c r="AM166" s="6"/>
      <c r="AN166" s="14"/>
      <c r="AO166" s="6"/>
      <c r="AP166" s="6"/>
      <c r="AQ166" s="6"/>
      <c r="AR166" s="6"/>
      <c r="AS166" s="6"/>
      <c r="AT166" s="6"/>
      <c r="AU166" s="6"/>
      <c r="AV166" s="6"/>
    </row>
    <row r="167" spans="1:48" ht="13.35" customHeight="1">
      <c r="A167" s="111" t="s">
        <v>598</v>
      </c>
      <c r="B167" s="92">
        <v>8300</v>
      </c>
      <c r="C167" s="92">
        <v>9150</v>
      </c>
      <c r="D167" s="14"/>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14"/>
      <c r="AK167" s="14"/>
      <c r="AL167" s="14"/>
      <c r="AM167" s="6"/>
      <c r="AN167" s="14"/>
      <c r="AO167" s="6"/>
      <c r="AP167" s="6"/>
      <c r="AQ167" s="6"/>
      <c r="AR167" s="6"/>
      <c r="AS167" s="6"/>
      <c r="AT167" s="6"/>
      <c r="AU167" s="6"/>
      <c r="AV167" s="6"/>
    </row>
    <row r="168" spans="1:48">
      <c r="A168" s="76" t="s">
        <v>599</v>
      </c>
    </row>
    <row r="169" spans="1:48">
      <c r="A169" s="76" t="s">
        <v>653</v>
      </c>
    </row>
    <row r="173" spans="1:48" ht="12.95">
      <c r="A173" s="100"/>
      <c r="B173" s="101" t="s">
        <v>602</v>
      </c>
      <c r="C173" s="101" t="s">
        <v>603</v>
      </c>
      <c r="D173" s="103" t="s">
        <v>381</v>
      </c>
      <c r="E173" s="103" t="s">
        <v>382</v>
      </c>
      <c r="F173" s="103" t="s">
        <v>202</v>
      </c>
      <c r="G173" s="101" t="s">
        <v>604</v>
      </c>
      <c r="H173" s="101" t="s">
        <v>512</v>
      </c>
      <c r="I173" s="103" t="s">
        <v>697</v>
      </c>
      <c r="J173" s="103" t="s">
        <v>698</v>
      </c>
      <c r="K173" s="103" t="s">
        <v>699</v>
      </c>
      <c r="L173" s="103" t="s">
        <v>700</v>
      </c>
    </row>
    <row r="174" spans="1:48">
      <c r="A174" s="127" t="s">
        <v>656</v>
      </c>
      <c r="B174" s="100">
        <v>16400</v>
      </c>
      <c r="C174" s="100">
        <v>15200</v>
      </c>
      <c r="D174" s="100">
        <v>24</v>
      </c>
      <c r="E174" s="100">
        <v>240</v>
      </c>
      <c r="F174" s="100">
        <v>18000</v>
      </c>
      <c r="G174" s="100">
        <v>16600</v>
      </c>
      <c r="H174" s="100">
        <v>500</v>
      </c>
      <c r="I174" s="100">
        <v>460</v>
      </c>
      <c r="J174" s="100">
        <v>1465</v>
      </c>
      <c r="K174" s="100">
        <v>33600</v>
      </c>
      <c r="L174" s="100">
        <v>800</v>
      </c>
    </row>
    <row r="175" spans="1:48" ht="12.75"/>
  </sheetData>
  <mergeCells count="13">
    <mergeCell ref="A124:C124"/>
    <mergeCell ref="A6:B6"/>
    <mergeCell ref="A8:B8"/>
    <mergeCell ref="A50:B50"/>
    <mergeCell ref="A57:D57"/>
    <mergeCell ref="H57:O60"/>
    <mergeCell ref="A58:D58"/>
    <mergeCell ref="A1:E1"/>
    <mergeCell ref="A2:B2"/>
    <mergeCell ref="A3:B3"/>
    <mergeCell ref="F3:G3"/>
    <mergeCell ref="A4:B4"/>
    <mergeCell ref="A5:B5"/>
  </mergeCells>
  <dataValidations count="1">
    <dataValidation type="list" allowBlank="1" showInputMessage="1" showErrorMessage="1" sqref="E12" xr:uid="{90BB3318-1339-4960-B6BE-4A35075CBAE4}">
      <formula1>"vCSA8.0, vCSA7.0"</formula1>
    </dataValidation>
  </dataValidations>
  <hyperlinks>
    <hyperlink ref="F3:G3" location="Shortcuts!A1" display="Back to shortcuts" xr:uid="{2B5E5402-9167-47FF-BB3E-15E8A65F081C}"/>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BE01F-C850-4F9C-8F50-0CCAF9607641}">
  <dimension ref="A1:AX184"/>
  <sheetViews>
    <sheetView topLeftCell="A94" zoomScale="84" zoomScaleNormal="84" zoomScalePageLayoutView="70" workbookViewId="0">
      <selection activeCell="A121" sqref="A121:XFD122"/>
    </sheetView>
  </sheetViews>
  <sheetFormatPr defaultColWidth="8.85546875" defaultRowHeight="12.6"/>
  <cols>
    <col min="1" max="1" width="27.7109375" style="36" customWidth="1"/>
    <col min="2" max="2" width="14.85546875" style="36" customWidth="1"/>
    <col min="3" max="3" width="19.7109375" style="36" customWidth="1"/>
    <col min="4" max="4" width="23.85546875" style="36" customWidth="1"/>
    <col min="5" max="5" width="68.42578125" style="36" bestFit="1" customWidth="1"/>
    <col min="6" max="7" width="8.85546875" style="36"/>
    <col min="8" max="8" width="21.140625" style="36" customWidth="1"/>
    <col min="9" max="10" width="8.85546875" style="36"/>
    <col min="11" max="11" width="17.85546875" style="36" customWidth="1"/>
    <col min="12" max="12" width="9.140625" style="36" customWidth="1"/>
    <col min="13" max="13" width="17.28515625" style="36" customWidth="1"/>
    <col min="14" max="14" width="8.85546875" style="36"/>
    <col min="15" max="15" width="13.7109375" style="36" customWidth="1"/>
    <col min="16" max="16" width="8.85546875" style="36"/>
    <col min="17" max="17" width="14.5703125" style="36" customWidth="1"/>
    <col min="18" max="18" width="8.85546875" style="36"/>
    <col min="19" max="19" width="13.140625" style="36" customWidth="1"/>
    <col min="20" max="20" width="8.85546875" style="36"/>
    <col min="21" max="21" width="9.85546875" style="36" customWidth="1"/>
    <col min="22" max="22" width="8.85546875" style="36"/>
    <col min="23" max="23" width="13.28515625" style="36" customWidth="1"/>
    <col min="24" max="24" width="12.140625" style="36" customWidth="1"/>
    <col min="25" max="25" width="14.42578125" style="36" customWidth="1"/>
    <col min="26" max="26" width="9.85546875" style="36" customWidth="1"/>
    <col min="27" max="32" width="12.85546875" style="36" customWidth="1"/>
    <col min="33" max="33" width="13.85546875" style="36" bestFit="1" customWidth="1"/>
    <col min="34" max="34" width="13.85546875" style="36" customWidth="1"/>
    <col min="35" max="41" width="15.85546875" style="36" customWidth="1"/>
    <col min="42" max="44" width="12.85546875" style="36" customWidth="1"/>
    <col min="45" max="45" width="18.42578125" style="36" customWidth="1"/>
    <col min="46" max="46" width="22" style="36" customWidth="1"/>
    <col min="47" max="47" width="12.140625" style="36" customWidth="1"/>
    <col min="48" max="48" width="13.140625" style="36" customWidth="1"/>
    <col min="49" max="16384" width="8.85546875" style="36"/>
  </cols>
  <sheetData>
    <row r="1" spans="1:48" ht="12.95">
      <c r="A1" s="189" t="s">
        <v>38</v>
      </c>
      <c r="B1" s="189"/>
      <c r="C1" s="189"/>
      <c r="D1" s="189"/>
      <c r="E1" s="190"/>
      <c r="F1" s="35" t="s">
        <v>409</v>
      </c>
    </row>
    <row r="2" spans="1:48">
      <c r="A2" s="182" t="s">
        <v>410</v>
      </c>
      <c r="B2" s="182"/>
      <c r="C2" s="121"/>
      <c r="D2" s="36" t="s">
        <v>632</v>
      </c>
    </row>
    <row r="3" spans="1:48" ht="14.45">
      <c r="A3" s="182" t="s">
        <v>412</v>
      </c>
      <c r="B3" s="182"/>
      <c r="C3" s="36" t="s">
        <v>411</v>
      </c>
      <c r="F3" s="173" t="s">
        <v>413</v>
      </c>
      <c r="G3" s="173"/>
    </row>
    <row r="4" spans="1:48" ht="12.95">
      <c r="A4" s="182" t="s">
        <v>414</v>
      </c>
      <c r="B4" s="182"/>
      <c r="C4" s="36" t="s">
        <v>519</v>
      </c>
    </row>
    <row r="5" spans="1:48" ht="12.95">
      <c r="A5" s="171" t="s">
        <v>415</v>
      </c>
      <c r="B5" s="171"/>
      <c r="C5" s="6" t="s">
        <v>609</v>
      </c>
    </row>
    <row r="6" spans="1:48" ht="12.95">
      <c r="A6" s="171" t="s">
        <v>416</v>
      </c>
      <c r="B6" s="171"/>
      <c r="C6" s="16"/>
    </row>
    <row r="7" spans="1:48" ht="12.95">
      <c r="A7" s="14"/>
      <c r="B7" s="14"/>
      <c r="C7" s="16"/>
    </row>
    <row r="8" spans="1:48" ht="12.95">
      <c r="A8" s="171"/>
      <c r="B8" s="171"/>
      <c r="C8" s="16" t="s">
        <v>701</v>
      </c>
    </row>
    <row r="9" spans="1:48" ht="12.95">
      <c r="A9" s="14"/>
      <c r="B9" s="14"/>
      <c r="C9" s="16"/>
    </row>
    <row r="10" spans="1:48" ht="26.1">
      <c r="A10" s="37" t="s">
        <v>170</v>
      </c>
      <c r="B10" s="37" t="s">
        <v>417</v>
      </c>
      <c r="C10" s="37" t="s">
        <v>418</v>
      </c>
      <c r="D10" s="37" t="s">
        <v>419</v>
      </c>
      <c r="E10" s="37" t="s">
        <v>420</v>
      </c>
      <c r="F10" s="38" t="s">
        <v>157</v>
      </c>
      <c r="G10" s="38" t="s">
        <v>173</v>
      </c>
      <c r="H10" s="38" t="s">
        <v>421</v>
      </c>
      <c r="I10" s="38" t="s">
        <v>177</v>
      </c>
      <c r="J10" s="38" t="s">
        <v>422</v>
      </c>
      <c r="K10" s="38" t="s">
        <v>423</v>
      </c>
      <c r="L10" s="38" t="s">
        <v>198</v>
      </c>
      <c r="M10" s="38" t="s">
        <v>423</v>
      </c>
      <c r="N10" s="38" t="s">
        <v>53</v>
      </c>
      <c r="O10" s="38" t="s">
        <v>423</v>
      </c>
      <c r="P10" s="38" t="s">
        <v>202</v>
      </c>
      <c r="Q10" s="38" t="s">
        <v>423</v>
      </c>
      <c r="R10" s="38" t="s">
        <v>217</v>
      </c>
      <c r="S10" s="38" t="s">
        <v>423</v>
      </c>
      <c r="T10" s="38" t="s">
        <v>222</v>
      </c>
      <c r="U10" s="38" t="s">
        <v>423</v>
      </c>
      <c r="V10" s="38" t="s">
        <v>206</v>
      </c>
      <c r="W10" s="38" t="s">
        <v>423</v>
      </c>
      <c r="X10" s="38" t="s">
        <v>424</v>
      </c>
      <c r="Y10" s="38" t="s">
        <v>423</v>
      </c>
      <c r="Z10" s="38" t="s">
        <v>610</v>
      </c>
      <c r="AA10" s="38" t="s">
        <v>423</v>
      </c>
      <c r="AB10" s="8" t="s">
        <v>426</v>
      </c>
      <c r="AC10" s="8" t="s">
        <v>423</v>
      </c>
      <c r="AD10" s="8" t="s">
        <v>427</v>
      </c>
      <c r="AE10" s="8" t="s">
        <v>423</v>
      </c>
      <c r="AF10" s="8" t="s">
        <v>522</v>
      </c>
      <c r="AG10" s="8" t="s">
        <v>423</v>
      </c>
      <c r="AH10" s="8" t="s">
        <v>428</v>
      </c>
      <c r="AI10" s="8" t="s">
        <v>423</v>
      </c>
      <c r="AJ10" s="8" t="s">
        <v>429</v>
      </c>
      <c r="AK10" s="8" t="s">
        <v>423</v>
      </c>
      <c r="AL10" s="8" t="s">
        <v>523</v>
      </c>
      <c r="AM10" s="8" t="s">
        <v>423</v>
      </c>
      <c r="AN10" s="8" t="s">
        <v>524</v>
      </c>
      <c r="AO10" s="8" t="s">
        <v>423</v>
      </c>
      <c r="AP10" s="83" t="s">
        <v>525</v>
      </c>
      <c r="AQ10" s="8" t="s">
        <v>423</v>
      </c>
      <c r="AR10" s="8" t="s">
        <v>477</v>
      </c>
      <c r="AS10" s="8" t="s">
        <v>423</v>
      </c>
      <c r="AT10" s="8" t="s">
        <v>431</v>
      </c>
      <c r="AU10" s="8" t="s">
        <v>432</v>
      </c>
      <c r="AV10" s="38" t="s">
        <v>433</v>
      </c>
    </row>
    <row r="11" spans="1:48">
      <c r="A11" s="36" t="s">
        <v>434</v>
      </c>
      <c r="D11" s="36" t="s">
        <v>435</v>
      </c>
      <c r="E11" s="36" t="s">
        <v>42</v>
      </c>
      <c r="F11" s="86">
        <v>4</v>
      </c>
      <c r="G11" s="86">
        <v>16</v>
      </c>
      <c r="H11" s="86">
        <v>0</v>
      </c>
      <c r="I11" s="86">
        <v>351</v>
      </c>
      <c r="J11" s="86">
        <f>IF(G11&gt;=10,16, 4)</f>
        <v>16</v>
      </c>
      <c r="K11" s="14" t="s">
        <v>526</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14"/>
      <c r="AQ11" s="14"/>
      <c r="AR11" s="14"/>
      <c r="AS11" s="14"/>
      <c r="AT11" s="86" t="s">
        <v>437</v>
      </c>
      <c r="AU11" s="86"/>
      <c r="AV11" s="86"/>
    </row>
    <row r="12" spans="1:48">
      <c r="A12" s="36" t="s">
        <v>438</v>
      </c>
      <c r="D12" s="114" t="s">
        <v>527</v>
      </c>
      <c r="E12" s="114" t="s">
        <v>439</v>
      </c>
      <c r="F12" s="86">
        <v>4</v>
      </c>
      <c r="G12" s="86">
        <v>28</v>
      </c>
      <c r="H12" s="86">
        <v>0</v>
      </c>
      <c r="I12" s="104">
        <f>IF(E12="vCSA8.0",600, 450)</f>
        <v>600</v>
      </c>
      <c r="J12" s="86">
        <v>25</v>
      </c>
      <c r="K12" s="14" t="s">
        <v>526</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14"/>
      <c r="AQ12" s="14"/>
      <c r="AR12" s="14"/>
      <c r="AS12" s="14"/>
      <c r="AT12" s="86" t="s">
        <v>437</v>
      </c>
      <c r="AU12" s="86"/>
      <c r="AV12" s="86"/>
    </row>
    <row r="13" spans="1:48">
      <c r="A13" s="36" t="s">
        <v>440</v>
      </c>
      <c r="B13" s="86" t="s">
        <v>441</v>
      </c>
      <c r="C13" s="36" t="s">
        <v>442</v>
      </c>
      <c r="D13" s="36" t="s">
        <v>435</v>
      </c>
      <c r="E13" s="36" t="s">
        <v>50</v>
      </c>
      <c r="F13" s="86">
        <v>6</v>
      </c>
      <c r="G13" s="86">
        <v>8</v>
      </c>
      <c r="H13" s="86">
        <v>8</v>
      </c>
      <c r="I13" s="86">
        <v>41</v>
      </c>
      <c r="J13" s="86">
        <f>IF(G13&gt;=10,16, 4)</f>
        <v>4</v>
      </c>
      <c r="K13" s="86" t="s">
        <v>528</v>
      </c>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14"/>
      <c r="AQ13" s="14"/>
      <c r="AR13" s="14"/>
      <c r="AS13" s="14"/>
      <c r="AT13" s="86" t="s">
        <v>437</v>
      </c>
      <c r="AU13" s="86"/>
      <c r="AV13" s="86"/>
    </row>
    <row r="14" spans="1:48">
      <c r="A14" s="36" t="s">
        <v>444</v>
      </c>
      <c r="B14" s="86"/>
      <c r="C14" s="36" t="s">
        <v>442</v>
      </c>
      <c r="D14" s="36" t="s">
        <v>435</v>
      </c>
      <c r="E14" s="36" t="s">
        <v>53</v>
      </c>
      <c r="F14" s="86">
        <f>VLOOKUP(N14,B183:D183,3,FALSE)</f>
        <v>28</v>
      </c>
      <c r="G14" s="86">
        <f>VLOOKUP(N14,B183:E183,4,FALSE)</f>
        <v>300</v>
      </c>
      <c r="H14" s="86">
        <f>VLOOKUP(N14,B183:E183,4,FALSE)</f>
        <v>300</v>
      </c>
      <c r="I14" s="86">
        <v>117</v>
      </c>
      <c r="J14" s="86">
        <v>32</v>
      </c>
      <c r="K14" s="86" t="s">
        <v>529</v>
      </c>
      <c r="L14" s="108">
        <f>VLOOKUP(N14,B183:H183,7,FALSE)</f>
        <v>1300</v>
      </c>
      <c r="M14" s="86" t="s">
        <v>657</v>
      </c>
      <c r="N14" s="121">
        <f>IF(C8="Standard 3XL",#REF!, $B$183)</f>
        <v>27200</v>
      </c>
      <c r="O14" s="86" t="s">
        <v>658</v>
      </c>
      <c r="P14" s="108">
        <f>VLOOKUP(N14,B183:F183,5,FALSE)</f>
        <v>20600</v>
      </c>
      <c r="Q14" s="86" t="s">
        <v>659</v>
      </c>
      <c r="R14" s="86"/>
      <c r="S14" s="86"/>
      <c r="T14" s="86"/>
      <c r="U14" s="86"/>
      <c r="V14" s="86"/>
      <c r="W14" s="86"/>
      <c r="X14" s="108">
        <f>VLOOKUP(N14,B183:K183,10,FALSE)</f>
        <v>47400</v>
      </c>
      <c r="Y14" s="86" t="s">
        <v>660</v>
      </c>
      <c r="Z14" s="86"/>
      <c r="AA14" s="86"/>
      <c r="AB14" s="86"/>
      <c r="AC14" s="86"/>
      <c r="AD14" s="86"/>
      <c r="AE14" s="86"/>
      <c r="AF14" s="86"/>
      <c r="AG14" s="86"/>
      <c r="AH14" s="86"/>
      <c r="AI14" s="86"/>
      <c r="AJ14" s="86"/>
      <c r="AK14" s="86"/>
      <c r="AL14" s="86"/>
      <c r="AM14" s="86"/>
      <c r="AN14" s="86"/>
      <c r="AO14" s="86"/>
      <c r="AP14" s="14">
        <v>6144</v>
      </c>
      <c r="AQ14" s="14" t="s">
        <v>530</v>
      </c>
      <c r="AR14" s="14"/>
      <c r="AS14" s="14"/>
      <c r="AT14" s="86" t="s">
        <v>437</v>
      </c>
      <c r="AU14" s="86"/>
      <c r="AV14" s="86"/>
    </row>
    <row r="15" spans="1:48">
      <c r="A15" s="36" t="s">
        <v>448</v>
      </c>
      <c r="B15" s="86" t="s">
        <v>441</v>
      </c>
      <c r="C15" s="36" t="s">
        <v>442</v>
      </c>
      <c r="D15" s="36" t="s">
        <v>435</v>
      </c>
      <c r="E15" s="36" t="s">
        <v>57</v>
      </c>
      <c r="F15" s="86">
        <v>9</v>
      </c>
      <c r="G15" s="86">
        <v>9</v>
      </c>
      <c r="H15" s="86">
        <v>9</v>
      </c>
      <c r="I15" s="86">
        <v>46</v>
      </c>
      <c r="J15" s="86">
        <f t="shared" ref="J15:J46" si="0">IF(G15&gt;=10,16, 4)</f>
        <v>4</v>
      </c>
      <c r="K15" s="86" t="s">
        <v>531</v>
      </c>
      <c r="L15" s="86"/>
      <c r="M15" s="86"/>
      <c r="N15" s="86"/>
      <c r="O15" s="86"/>
      <c r="P15" s="86"/>
      <c r="Q15" s="86"/>
      <c r="R15" s="108">
        <f>VLOOKUP(N14,B183:J183,9,FALSE)</f>
        <v>3400</v>
      </c>
      <c r="S15" s="86" t="s">
        <v>661</v>
      </c>
      <c r="T15" s="14">
        <v>300</v>
      </c>
      <c r="U15" s="86" t="s">
        <v>222</v>
      </c>
      <c r="V15" s="86"/>
      <c r="W15" s="86"/>
      <c r="X15" s="108">
        <f>VLOOKUP(N14,B183:L183,11,FALSE)</f>
        <v>1000</v>
      </c>
      <c r="Y15" s="86" t="s">
        <v>662</v>
      </c>
      <c r="Z15" s="86"/>
      <c r="AA15" s="86"/>
      <c r="AB15" s="86"/>
      <c r="AC15" s="86"/>
      <c r="AD15" s="86"/>
      <c r="AE15" s="86"/>
      <c r="AF15" s="86"/>
      <c r="AG15" s="86"/>
      <c r="AH15" s="86"/>
      <c r="AI15" s="86"/>
      <c r="AJ15" s="86"/>
      <c r="AK15" s="86"/>
      <c r="AL15" s="86"/>
      <c r="AM15" s="86"/>
      <c r="AN15" s="86"/>
      <c r="AO15" s="86"/>
      <c r="AP15" s="86"/>
      <c r="AQ15" s="86"/>
      <c r="AR15" s="86"/>
      <c r="AS15" s="86"/>
      <c r="AT15" s="86" t="s">
        <v>437</v>
      </c>
      <c r="AU15" s="86"/>
      <c r="AV15" s="86"/>
    </row>
    <row r="16" spans="1:48">
      <c r="A16" s="36" t="s">
        <v>450</v>
      </c>
      <c r="C16" s="36" t="s">
        <v>442</v>
      </c>
      <c r="D16" s="36" t="s">
        <v>435</v>
      </c>
      <c r="E16" s="36" t="s">
        <v>61</v>
      </c>
      <c r="F16" s="86">
        <v>2</v>
      </c>
      <c r="G16" s="86">
        <v>3</v>
      </c>
      <c r="H16" s="86">
        <v>0</v>
      </c>
      <c r="I16" s="86">
        <v>31</v>
      </c>
      <c r="J16" s="86">
        <f t="shared" si="0"/>
        <v>4</v>
      </c>
      <c r="K16" s="86" t="s">
        <v>528</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t="s">
        <v>437</v>
      </c>
      <c r="AU16" s="14" t="s">
        <v>437</v>
      </c>
      <c r="AV16" s="86" t="s">
        <v>437</v>
      </c>
    </row>
    <row r="17" spans="1:48">
      <c r="A17" s="36" t="s">
        <v>451</v>
      </c>
      <c r="C17" s="36" t="s">
        <v>442</v>
      </c>
      <c r="D17" s="36" t="s">
        <v>435</v>
      </c>
      <c r="E17" s="36" t="s">
        <v>65</v>
      </c>
      <c r="F17" s="86">
        <v>2</v>
      </c>
      <c r="G17" s="86">
        <v>5</v>
      </c>
      <c r="H17" s="86">
        <v>0</v>
      </c>
      <c r="I17" s="86">
        <v>31</v>
      </c>
      <c r="J17" s="86">
        <f t="shared" si="0"/>
        <v>4</v>
      </c>
      <c r="K17" s="86" t="s">
        <v>529</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t="s">
        <v>437</v>
      </c>
      <c r="AU17" s="86"/>
      <c r="AV17" s="86"/>
    </row>
    <row r="18" spans="1:48">
      <c r="A18" s="36" t="s">
        <v>452</v>
      </c>
      <c r="C18" s="36" t="s">
        <v>442</v>
      </c>
      <c r="D18" s="36" t="s">
        <v>435</v>
      </c>
      <c r="E18" s="36" t="s">
        <v>611</v>
      </c>
      <c r="F18" s="86">
        <v>3</v>
      </c>
      <c r="G18" s="86">
        <v>6</v>
      </c>
      <c r="H18" s="86">
        <v>0</v>
      </c>
      <c r="I18" s="86">
        <v>41</v>
      </c>
      <c r="J18" s="86">
        <f t="shared" si="0"/>
        <v>4</v>
      </c>
      <c r="K18" s="86" t="s">
        <v>531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t="s">
        <v>437</v>
      </c>
      <c r="AU18" s="14" t="s">
        <v>437</v>
      </c>
      <c r="AV18" s="86"/>
    </row>
    <row r="19" spans="1:48">
      <c r="A19" s="36" t="s">
        <v>454</v>
      </c>
      <c r="C19" s="36" t="s">
        <v>442</v>
      </c>
      <c r="D19" s="36" t="s">
        <v>435</v>
      </c>
      <c r="E19" s="36" t="s">
        <v>455</v>
      </c>
      <c r="F19" s="86">
        <v>5</v>
      </c>
      <c r="G19" s="86">
        <v>7</v>
      </c>
      <c r="H19" s="86">
        <v>0</v>
      </c>
      <c r="I19" s="86">
        <v>56</v>
      </c>
      <c r="J19" s="86">
        <f t="shared" si="0"/>
        <v>4</v>
      </c>
      <c r="K19" s="86" t="s">
        <v>528</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t="s">
        <v>437</v>
      </c>
      <c r="AU19" s="14" t="s">
        <v>437</v>
      </c>
      <c r="AV19" s="86"/>
    </row>
    <row r="20" spans="1:48">
      <c r="A20" s="36" t="s">
        <v>456</v>
      </c>
      <c r="C20" s="36" t="s">
        <v>442</v>
      </c>
      <c r="D20" s="36" t="s">
        <v>435</v>
      </c>
      <c r="E20" s="36" t="s">
        <v>77</v>
      </c>
      <c r="F20" s="86">
        <v>8</v>
      </c>
      <c r="G20" s="86">
        <v>13</v>
      </c>
      <c r="H20" s="86">
        <v>0</v>
      </c>
      <c r="I20" s="86">
        <v>81</v>
      </c>
      <c r="J20" s="86">
        <f t="shared" si="0"/>
        <v>16</v>
      </c>
      <c r="K20" s="86" t="s">
        <v>529</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t="s">
        <v>437</v>
      </c>
      <c r="AU20" s="14" t="s">
        <v>437</v>
      </c>
      <c r="AV20" s="86"/>
    </row>
    <row r="21" spans="1:48">
      <c r="A21" s="36" t="s">
        <v>457</v>
      </c>
      <c r="C21" s="36" t="s">
        <v>442</v>
      </c>
      <c r="D21" s="36" t="s">
        <v>435</v>
      </c>
      <c r="E21" s="36" t="s">
        <v>81</v>
      </c>
      <c r="F21" s="86">
        <v>4</v>
      </c>
      <c r="G21" s="86">
        <v>4</v>
      </c>
      <c r="H21" s="86">
        <v>0</v>
      </c>
      <c r="I21" s="86">
        <v>31</v>
      </c>
      <c r="J21" s="86">
        <f t="shared" si="0"/>
        <v>4</v>
      </c>
      <c r="K21" s="86" t="s">
        <v>531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t="s">
        <v>437</v>
      </c>
      <c r="AU21" s="14" t="s">
        <v>437</v>
      </c>
      <c r="AV21" s="86" t="s">
        <v>437</v>
      </c>
    </row>
    <row r="22" spans="1:48">
      <c r="A22" s="36" t="s">
        <v>458</v>
      </c>
      <c r="C22" s="36" t="s">
        <v>442</v>
      </c>
      <c r="D22" s="36" t="s">
        <v>435</v>
      </c>
      <c r="E22" s="36" t="s">
        <v>459</v>
      </c>
      <c r="F22" s="86">
        <v>8</v>
      </c>
      <c r="G22" s="86">
        <v>13</v>
      </c>
      <c r="H22" s="86">
        <v>0</v>
      </c>
      <c r="I22" s="86">
        <v>109</v>
      </c>
      <c r="J22" s="86">
        <f t="shared" si="0"/>
        <v>16</v>
      </c>
      <c r="K22" s="86" t="s">
        <v>528</v>
      </c>
      <c r="L22" s="86"/>
      <c r="M22" s="86"/>
      <c r="N22" s="86"/>
      <c r="O22" s="86"/>
      <c r="P22" s="86"/>
      <c r="Q22" s="86"/>
      <c r="R22" s="86"/>
      <c r="S22" s="86"/>
      <c r="T22" s="86"/>
      <c r="U22" s="86"/>
      <c r="V22" s="86"/>
      <c r="W22" s="86"/>
      <c r="X22" s="86"/>
      <c r="Y22" s="86"/>
      <c r="Z22" s="86"/>
      <c r="AA22" s="86"/>
      <c r="AB22" s="14">
        <v>50</v>
      </c>
      <c r="AC22" s="14" t="s">
        <v>531</v>
      </c>
      <c r="AD22" s="14"/>
      <c r="AE22" s="14"/>
      <c r="AF22" s="14"/>
      <c r="AG22" s="14"/>
      <c r="AH22" s="14"/>
      <c r="AI22" s="14"/>
      <c r="AJ22" s="14"/>
      <c r="AK22" s="14"/>
      <c r="AL22" s="14"/>
      <c r="AM22" s="14"/>
      <c r="AN22" s="14"/>
      <c r="AO22" s="14"/>
      <c r="AP22" s="14"/>
      <c r="AQ22" s="14"/>
      <c r="AR22" s="14"/>
      <c r="AS22" s="14"/>
      <c r="AT22" s="86" t="s">
        <v>437</v>
      </c>
      <c r="AU22" s="86"/>
      <c r="AV22" s="86"/>
    </row>
    <row r="23" spans="1:48">
      <c r="A23" s="36" t="s">
        <v>460</v>
      </c>
      <c r="C23" s="36" t="s">
        <v>442</v>
      </c>
      <c r="D23" s="36" t="s">
        <v>435</v>
      </c>
      <c r="E23" s="36" t="s">
        <v>88</v>
      </c>
      <c r="F23" s="86">
        <v>6</v>
      </c>
      <c r="G23" s="86">
        <v>8</v>
      </c>
      <c r="H23" s="86">
        <v>0</v>
      </c>
      <c r="I23" s="86">
        <v>169</v>
      </c>
      <c r="J23" s="86">
        <f t="shared" si="0"/>
        <v>4</v>
      </c>
      <c r="K23" s="86" t="s">
        <v>529</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t="s">
        <v>437</v>
      </c>
      <c r="AU23" s="14" t="s">
        <v>437</v>
      </c>
      <c r="AV23" s="86"/>
    </row>
    <row r="24" spans="1:48">
      <c r="A24" s="36" t="s">
        <v>461</v>
      </c>
      <c r="C24" s="36" t="s">
        <v>442</v>
      </c>
      <c r="D24" s="36" t="s">
        <v>435</v>
      </c>
      <c r="E24" s="36" t="s">
        <v>612</v>
      </c>
      <c r="F24" s="86">
        <v>8</v>
      </c>
      <c r="G24" s="86">
        <v>8</v>
      </c>
      <c r="H24" s="86">
        <v>0</v>
      </c>
      <c r="I24" s="86">
        <v>61</v>
      </c>
      <c r="J24" s="86">
        <f t="shared" si="0"/>
        <v>4</v>
      </c>
      <c r="K24" s="86" t="s">
        <v>531</v>
      </c>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t="s">
        <v>437</v>
      </c>
      <c r="AU24" s="86"/>
      <c r="AV24" s="86"/>
    </row>
    <row r="25" spans="1:48">
      <c r="A25" s="36" t="s">
        <v>462</v>
      </c>
      <c r="C25" s="36" t="s">
        <v>442</v>
      </c>
      <c r="D25" s="36" t="s">
        <v>435</v>
      </c>
      <c r="E25" s="36" t="s">
        <v>612</v>
      </c>
      <c r="F25" s="86">
        <v>8</v>
      </c>
      <c r="G25" s="86">
        <v>8</v>
      </c>
      <c r="H25" s="86">
        <v>0</v>
      </c>
      <c r="I25" s="86">
        <v>61</v>
      </c>
      <c r="J25" s="86">
        <f t="shared" si="0"/>
        <v>4</v>
      </c>
      <c r="K25" s="86" t="s">
        <v>528</v>
      </c>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t="s">
        <v>437</v>
      </c>
      <c r="AU25" s="86"/>
      <c r="AV25" s="86"/>
    </row>
    <row r="26" spans="1:48">
      <c r="A26" s="36" t="s">
        <v>463</v>
      </c>
      <c r="C26" s="36" t="s">
        <v>442</v>
      </c>
      <c r="D26" s="36" t="s">
        <v>435</v>
      </c>
      <c r="E26" s="36" t="s">
        <v>96</v>
      </c>
      <c r="F26" s="86">
        <v>8</v>
      </c>
      <c r="G26" s="86">
        <v>19</v>
      </c>
      <c r="H26" s="86">
        <v>0</v>
      </c>
      <c r="I26" s="86">
        <v>151</v>
      </c>
      <c r="J26" s="86">
        <f t="shared" si="0"/>
        <v>16</v>
      </c>
      <c r="K26" s="86" t="s">
        <v>529</v>
      </c>
      <c r="L26" s="86"/>
      <c r="M26" s="86"/>
      <c r="N26" s="86"/>
      <c r="O26" s="86"/>
      <c r="P26" s="86"/>
      <c r="Q26" s="86"/>
      <c r="R26" s="86"/>
      <c r="S26" s="86"/>
      <c r="T26" s="86"/>
      <c r="U26" s="86"/>
      <c r="V26" s="86"/>
      <c r="W26" s="86"/>
      <c r="X26" s="86"/>
      <c r="Y26" s="86"/>
      <c r="Z26" s="86"/>
      <c r="AA26" s="86"/>
      <c r="AB26" s="86"/>
      <c r="AC26" s="86"/>
      <c r="AD26" s="14">
        <v>100</v>
      </c>
      <c r="AE26" s="14" t="s">
        <v>529</v>
      </c>
      <c r="AF26" s="14"/>
      <c r="AG26" s="14"/>
      <c r="AH26" s="14"/>
      <c r="AI26" s="14"/>
      <c r="AJ26" s="14"/>
      <c r="AK26" s="14"/>
      <c r="AL26" s="14"/>
      <c r="AM26" s="14"/>
      <c r="AN26" s="14"/>
      <c r="AO26" s="14"/>
      <c r="AP26" s="86"/>
      <c r="AQ26" s="86"/>
      <c r="AR26" s="86"/>
      <c r="AS26" s="86"/>
      <c r="AT26" s="86" t="s">
        <v>437</v>
      </c>
      <c r="AU26" s="86"/>
      <c r="AV26" s="86"/>
    </row>
    <row r="27" spans="1:48">
      <c r="A27" s="36" t="s">
        <v>464</v>
      </c>
      <c r="C27" s="36" t="s">
        <v>442</v>
      </c>
      <c r="D27" s="36" t="s">
        <v>435</v>
      </c>
      <c r="E27" s="36" t="s">
        <v>100</v>
      </c>
      <c r="F27" s="86">
        <v>8</v>
      </c>
      <c r="G27" s="86">
        <v>19</v>
      </c>
      <c r="H27" s="86">
        <v>0</v>
      </c>
      <c r="I27" s="86">
        <v>151</v>
      </c>
      <c r="J27" s="86">
        <f t="shared" si="0"/>
        <v>16</v>
      </c>
      <c r="K27" s="86" t="s">
        <v>531</v>
      </c>
      <c r="L27" s="86"/>
      <c r="M27" s="86"/>
      <c r="N27" s="86"/>
      <c r="O27" s="86"/>
      <c r="P27" s="86"/>
      <c r="Q27" s="86"/>
      <c r="R27" s="86"/>
      <c r="S27" s="86"/>
      <c r="T27" s="86"/>
      <c r="U27" s="86"/>
      <c r="V27" s="86"/>
      <c r="W27" s="86"/>
      <c r="X27" s="86"/>
      <c r="Y27" s="86"/>
      <c r="Z27" s="86"/>
      <c r="AA27" s="86"/>
      <c r="AB27" s="86"/>
      <c r="AC27" s="86"/>
      <c r="AD27" s="14">
        <v>100</v>
      </c>
      <c r="AE27" s="14" t="s">
        <v>531</v>
      </c>
      <c r="AF27" s="14"/>
      <c r="AG27" s="14"/>
      <c r="AH27" s="14"/>
      <c r="AI27" s="14"/>
      <c r="AJ27" s="14"/>
      <c r="AK27" s="14"/>
      <c r="AL27" s="14"/>
      <c r="AM27" s="14"/>
      <c r="AN27" s="14"/>
      <c r="AO27" s="14"/>
      <c r="AP27" s="86"/>
      <c r="AQ27" s="86"/>
      <c r="AR27" s="86"/>
      <c r="AS27" s="86"/>
      <c r="AT27" s="86" t="s">
        <v>437</v>
      </c>
      <c r="AU27" s="86"/>
      <c r="AV27" s="86"/>
    </row>
    <row r="28" spans="1:48">
      <c r="A28" s="36" t="s">
        <v>487</v>
      </c>
      <c r="C28" s="36" t="s">
        <v>442</v>
      </c>
      <c r="D28" s="36" t="s">
        <v>435</v>
      </c>
      <c r="E28" s="36" t="s">
        <v>104</v>
      </c>
      <c r="F28" s="86">
        <v>6</v>
      </c>
      <c r="G28" s="86">
        <v>9</v>
      </c>
      <c r="H28" s="86">
        <v>0</v>
      </c>
      <c r="I28" s="86">
        <v>41</v>
      </c>
      <c r="J28" s="86">
        <f t="shared" si="0"/>
        <v>4</v>
      </c>
      <c r="K28" s="86" t="s">
        <v>528</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t="s">
        <v>437</v>
      </c>
      <c r="AU28" s="86"/>
      <c r="AV28" s="86"/>
    </row>
    <row r="29" spans="1:48">
      <c r="A29" s="36" t="s">
        <v>489</v>
      </c>
      <c r="C29" s="36" t="s">
        <v>442</v>
      </c>
      <c r="D29" s="36" t="s">
        <v>435</v>
      </c>
      <c r="E29" s="36" t="s">
        <v>104</v>
      </c>
      <c r="F29" s="86">
        <v>6</v>
      </c>
      <c r="G29" s="86">
        <v>9</v>
      </c>
      <c r="H29" s="86">
        <v>0</v>
      </c>
      <c r="I29" s="86">
        <v>41</v>
      </c>
      <c r="J29" s="86">
        <f t="shared" si="0"/>
        <v>4</v>
      </c>
      <c r="K29" s="86" t="s">
        <v>529</v>
      </c>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t="s">
        <v>437</v>
      </c>
      <c r="AU29" s="86"/>
      <c r="AV29" s="86"/>
    </row>
    <row r="30" spans="1:48">
      <c r="A30" s="36" t="s">
        <v>613</v>
      </c>
      <c r="C30" s="36" t="s">
        <v>442</v>
      </c>
      <c r="D30" s="36" t="s">
        <v>435</v>
      </c>
      <c r="E30" s="36" t="s">
        <v>108</v>
      </c>
      <c r="F30" s="86">
        <v>8</v>
      </c>
      <c r="G30" s="86">
        <v>36</v>
      </c>
      <c r="H30" s="86">
        <v>36</v>
      </c>
      <c r="I30" s="14">
        <v>136</v>
      </c>
      <c r="J30" s="86">
        <f t="shared" si="0"/>
        <v>16</v>
      </c>
      <c r="K30" s="86" t="s">
        <v>531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t="s">
        <v>437</v>
      </c>
      <c r="AU30" s="14" t="s">
        <v>437</v>
      </c>
      <c r="AV30" s="86"/>
    </row>
    <row r="31" spans="1:48">
      <c r="A31" s="36" t="s">
        <v>614</v>
      </c>
      <c r="C31" s="36" t="s">
        <v>442</v>
      </c>
      <c r="D31" s="36" t="s">
        <v>435</v>
      </c>
      <c r="E31" s="36" t="s">
        <v>108</v>
      </c>
      <c r="F31" s="86">
        <v>8</v>
      </c>
      <c r="G31" s="86">
        <v>36</v>
      </c>
      <c r="H31" s="86">
        <v>36</v>
      </c>
      <c r="I31" s="14">
        <v>136</v>
      </c>
      <c r="J31" s="86">
        <f t="shared" si="0"/>
        <v>16</v>
      </c>
      <c r="K31" s="86" t="s">
        <v>528</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t="s">
        <v>437</v>
      </c>
      <c r="AU31" s="14" t="s">
        <v>437</v>
      </c>
      <c r="AV31" s="86"/>
    </row>
    <row r="32" spans="1:48">
      <c r="A32" s="36" t="s">
        <v>615</v>
      </c>
      <c r="C32" s="36" t="s">
        <v>442</v>
      </c>
      <c r="D32" s="36" t="s">
        <v>435</v>
      </c>
      <c r="E32" s="36" t="s">
        <v>108</v>
      </c>
      <c r="F32" s="86">
        <v>8</v>
      </c>
      <c r="G32" s="86">
        <v>36</v>
      </c>
      <c r="H32" s="86">
        <v>36</v>
      </c>
      <c r="I32" s="14">
        <v>136</v>
      </c>
      <c r="J32" s="86">
        <f t="shared" si="0"/>
        <v>16</v>
      </c>
      <c r="K32" s="86" t="s">
        <v>529</v>
      </c>
      <c r="L32" s="86"/>
      <c r="M32" s="86"/>
      <c r="N32" s="86"/>
      <c r="O32" s="86"/>
      <c r="P32" s="86"/>
      <c r="Q32" s="86"/>
      <c r="R32" s="86"/>
      <c r="S32" s="86"/>
      <c r="T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t="s">
        <v>437</v>
      </c>
      <c r="AU32" s="14" t="s">
        <v>437</v>
      </c>
      <c r="AV32" s="86"/>
    </row>
    <row r="33" spans="1:48">
      <c r="A33" s="36" t="s">
        <v>616</v>
      </c>
      <c r="C33" s="36" t="s">
        <v>442</v>
      </c>
      <c r="D33" s="36" t="s">
        <v>435</v>
      </c>
      <c r="E33" s="36" t="s">
        <v>108</v>
      </c>
      <c r="F33" s="86">
        <v>8</v>
      </c>
      <c r="G33" s="86">
        <v>36</v>
      </c>
      <c r="H33" s="86">
        <v>36</v>
      </c>
      <c r="I33" s="14">
        <v>136</v>
      </c>
      <c r="J33" s="86">
        <f t="shared" si="0"/>
        <v>16</v>
      </c>
      <c r="K33" s="86" t="s">
        <v>531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t="s">
        <v>437</v>
      </c>
      <c r="AU33" s="14" t="s">
        <v>437</v>
      </c>
      <c r="AV33" s="86"/>
    </row>
    <row r="34" spans="1:48">
      <c r="A34" s="36" t="s">
        <v>621</v>
      </c>
      <c r="C34" s="36" t="s">
        <v>442</v>
      </c>
      <c r="D34" s="36" t="s">
        <v>435</v>
      </c>
      <c r="E34" s="36" t="s">
        <v>108</v>
      </c>
      <c r="F34" s="86">
        <v>8</v>
      </c>
      <c r="G34" s="86">
        <v>36</v>
      </c>
      <c r="H34" s="86">
        <v>36</v>
      </c>
      <c r="I34" s="14">
        <v>136</v>
      </c>
      <c r="J34" s="86">
        <f t="shared" si="0"/>
        <v>16</v>
      </c>
      <c r="K34" s="86" t="s">
        <v>528</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t="s">
        <v>437</v>
      </c>
      <c r="AU34" s="14" t="s">
        <v>437</v>
      </c>
      <c r="AV34" s="86"/>
    </row>
    <row r="35" spans="1:48">
      <c r="A35" s="36" t="s">
        <v>622</v>
      </c>
      <c r="C35" s="36" t="s">
        <v>442</v>
      </c>
      <c r="D35" s="36" t="s">
        <v>435</v>
      </c>
      <c r="E35" s="36" t="s">
        <v>108</v>
      </c>
      <c r="F35" s="86">
        <v>8</v>
      </c>
      <c r="G35" s="86">
        <v>36</v>
      </c>
      <c r="H35" s="86">
        <v>36</v>
      </c>
      <c r="I35" s="14">
        <v>136</v>
      </c>
      <c r="J35" s="86">
        <f t="shared" si="0"/>
        <v>16</v>
      </c>
      <c r="K35" s="86" t="s">
        <v>529</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t="s">
        <v>437</v>
      </c>
      <c r="AU35" s="14" t="s">
        <v>437</v>
      </c>
      <c r="AV35" s="86"/>
    </row>
    <row r="36" spans="1:48">
      <c r="A36" s="36" t="s">
        <v>633</v>
      </c>
      <c r="C36" s="36" t="s">
        <v>442</v>
      </c>
      <c r="D36" s="36" t="s">
        <v>435</v>
      </c>
      <c r="E36" s="36" t="s">
        <v>108</v>
      </c>
      <c r="F36" s="86">
        <v>8</v>
      </c>
      <c r="G36" s="86">
        <v>36</v>
      </c>
      <c r="H36" s="86">
        <v>36</v>
      </c>
      <c r="I36" s="14">
        <v>136</v>
      </c>
      <c r="J36" s="86">
        <f t="shared" si="0"/>
        <v>16</v>
      </c>
      <c r="K36" s="86" t="s">
        <v>531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t="s">
        <v>437</v>
      </c>
      <c r="AU36" s="14" t="s">
        <v>437</v>
      </c>
      <c r="AV36" s="86"/>
    </row>
    <row r="37" spans="1:48">
      <c r="A37" s="36" t="s">
        <v>634</v>
      </c>
      <c r="C37" s="36" t="s">
        <v>442</v>
      </c>
      <c r="D37" s="36" t="s">
        <v>435</v>
      </c>
      <c r="E37" s="36" t="s">
        <v>108</v>
      </c>
      <c r="F37" s="86">
        <v>8</v>
      </c>
      <c r="G37" s="86">
        <v>36</v>
      </c>
      <c r="H37" s="86">
        <v>36</v>
      </c>
      <c r="I37" s="14">
        <v>136</v>
      </c>
      <c r="J37" s="86">
        <f t="shared" si="0"/>
        <v>16</v>
      </c>
      <c r="K37" s="86" t="s">
        <v>528</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t="s">
        <v>437</v>
      </c>
      <c r="AU37" s="14" t="s">
        <v>437</v>
      </c>
      <c r="AV37" s="86"/>
    </row>
    <row r="38" spans="1:48">
      <c r="A38" s="36" t="s">
        <v>465</v>
      </c>
      <c r="B38" s="86"/>
      <c r="C38" s="36" t="s">
        <v>442</v>
      </c>
      <c r="D38" s="36" t="s">
        <v>435</v>
      </c>
      <c r="E38" s="36" t="s">
        <v>124</v>
      </c>
      <c r="F38" s="108">
        <f>IF(C8="Standard 3XL",10, 16)</f>
        <v>16</v>
      </c>
      <c r="G38" s="86">
        <v>12</v>
      </c>
      <c r="H38" s="86">
        <v>0</v>
      </c>
      <c r="I38" s="86">
        <v>56</v>
      </c>
      <c r="J38" s="86">
        <f t="shared" si="0"/>
        <v>16</v>
      </c>
      <c r="K38" s="86" t="s">
        <v>528</v>
      </c>
      <c r="L38" s="86"/>
      <c r="M38" s="86"/>
      <c r="N38" s="86"/>
      <c r="O38" s="86"/>
      <c r="P38" s="86"/>
      <c r="Q38" s="86"/>
      <c r="R38" s="86"/>
      <c r="S38" s="86"/>
      <c r="T38" s="86"/>
      <c r="U38" s="86"/>
      <c r="V38" s="86"/>
      <c r="W38" s="86"/>
      <c r="X38" s="86"/>
      <c r="Y38" s="86"/>
      <c r="Z38" s="86">
        <v>83</v>
      </c>
      <c r="AA38" s="86" t="s">
        <v>466</v>
      </c>
      <c r="AB38" s="86"/>
      <c r="AC38" s="86"/>
      <c r="AD38" s="86"/>
      <c r="AE38" s="86"/>
      <c r="AF38" s="86"/>
      <c r="AG38" s="86"/>
      <c r="AI38" s="86"/>
      <c r="AJ38" s="86"/>
      <c r="AK38" s="86"/>
      <c r="AL38" s="86"/>
      <c r="AM38" s="86"/>
      <c r="AN38" s="86"/>
      <c r="AO38" s="86"/>
      <c r="AP38" s="86"/>
      <c r="AQ38" s="86"/>
      <c r="AR38" s="86"/>
      <c r="AS38" s="86"/>
      <c r="AT38" s="86" t="s">
        <v>437</v>
      </c>
      <c r="AU38" s="86"/>
      <c r="AV38" s="86"/>
    </row>
    <row r="39" spans="1:48">
      <c r="A39" s="36" t="s">
        <v>467</v>
      </c>
      <c r="C39" s="36" t="s">
        <v>442</v>
      </c>
      <c r="D39" s="36" t="s">
        <v>435</v>
      </c>
      <c r="E39" s="36" t="s">
        <v>124</v>
      </c>
      <c r="F39" s="108">
        <f>IF(N14=16400,10, 16)</f>
        <v>16</v>
      </c>
      <c r="G39" s="86">
        <v>12</v>
      </c>
      <c r="H39" s="86">
        <v>0</v>
      </c>
      <c r="I39" s="86">
        <v>56</v>
      </c>
      <c r="J39" s="86">
        <f t="shared" si="0"/>
        <v>16</v>
      </c>
      <c r="K39" s="86" t="s">
        <v>529</v>
      </c>
      <c r="L39" s="86"/>
      <c r="M39" s="86"/>
      <c r="N39" s="86"/>
      <c r="O39" s="86"/>
      <c r="P39" s="86"/>
      <c r="Q39" s="86"/>
      <c r="R39" s="86"/>
      <c r="S39" s="86"/>
      <c r="T39" s="86"/>
      <c r="U39" s="86"/>
      <c r="V39" s="86"/>
      <c r="W39" s="86"/>
      <c r="X39" s="86"/>
      <c r="Y39" s="86"/>
      <c r="Z39" s="86">
        <v>83</v>
      </c>
      <c r="AA39" s="86" t="s">
        <v>466</v>
      </c>
      <c r="AB39" s="86"/>
      <c r="AC39" s="86"/>
      <c r="AD39" s="86"/>
      <c r="AE39" s="86"/>
      <c r="AF39" s="86"/>
      <c r="AG39" s="86"/>
      <c r="AH39" s="86"/>
      <c r="AI39" s="86"/>
      <c r="AJ39" s="86"/>
      <c r="AK39" s="86"/>
      <c r="AL39" s="86"/>
      <c r="AM39" s="86"/>
      <c r="AN39" s="86"/>
      <c r="AO39" s="86"/>
      <c r="AP39" s="86"/>
      <c r="AQ39" s="86"/>
      <c r="AR39" s="86"/>
      <c r="AS39" s="86"/>
      <c r="AT39" s="86" t="s">
        <v>437</v>
      </c>
      <c r="AU39" s="86"/>
      <c r="AV39" s="86"/>
    </row>
    <row r="40" spans="1:48">
      <c r="A40" s="36" t="s">
        <v>635</v>
      </c>
      <c r="C40" s="36" t="s">
        <v>442</v>
      </c>
      <c r="D40" s="36" t="s">
        <v>435</v>
      </c>
      <c r="E40" s="36" t="s">
        <v>124</v>
      </c>
      <c r="F40" s="108">
        <f>IF(N14=16400,10, 16)</f>
        <v>16</v>
      </c>
      <c r="G40" s="86">
        <v>12</v>
      </c>
      <c r="H40" s="86">
        <v>0</v>
      </c>
      <c r="I40" s="86">
        <v>56</v>
      </c>
      <c r="J40" s="86">
        <f t="shared" si="0"/>
        <v>16</v>
      </c>
      <c r="K40" s="86" t="s">
        <v>531</v>
      </c>
      <c r="L40" s="86"/>
      <c r="M40" s="86"/>
      <c r="N40" s="86"/>
      <c r="O40" s="86"/>
      <c r="P40" s="86"/>
      <c r="Q40" s="86"/>
      <c r="R40" s="86"/>
      <c r="S40" s="86"/>
      <c r="T40" s="86"/>
      <c r="U40" s="86"/>
      <c r="V40" s="86"/>
      <c r="W40" s="86"/>
      <c r="X40" s="86"/>
      <c r="Y40" s="86"/>
      <c r="Z40" s="86">
        <v>83</v>
      </c>
      <c r="AA40" s="86" t="s">
        <v>466</v>
      </c>
      <c r="AB40" s="86"/>
      <c r="AC40" s="86"/>
      <c r="AD40" s="86"/>
      <c r="AE40" s="86"/>
      <c r="AF40" s="86"/>
      <c r="AG40" s="86"/>
      <c r="AH40" s="86"/>
      <c r="AI40" s="86"/>
      <c r="AJ40" s="86"/>
      <c r="AK40" s="86"/>
      <c r="AL40" s="86"/>
      <c r="AM40" s="86"/>
      <c r="AN40" s="86"/>
      <c r="AO40" s="86"/>
      <c r="AP40" s="86"/>
      <c r="AQ40" s="86"/>
      <c r="AR40" s="86"/>
      <c r="AS40" s="86"/>
      <c r="AT40" s="86" t="s">
        <v>437</v>
      </c>
      <c r="AU40" s="86"/>
      <c r="AV40" s="86"/>
    </row>
    <row r="41" spans="1:48">
      <c r="A41" s="36" t="s">
        <v>636</v>
      </c>
      <c r="C41" s="36" t="s">
        <v>442</v>
      </c>
      <c r="D41" s="36" t="s">
        <v>435</v>
      </c>
      <c r="E41" s="36" t="s">
        <v>124</v>
      </c>
      <c r="F41" s="108">
        <f>IF(N14=16400,10, 16)</f>
        <v>16</v>
      </c>
      <c r="G41" s="86">
        <v>12</v>
      </c>
      <c r="H41" s="86">
        <v>0</v>
      </c>
      <c r="I41" s="86">
        <v>56</v>
      </c>
      <c r="J41" s="86">
        <f t="shared" si="0"/>
        <v>16</v>
      </c>
      <c r="K41" s="86" t="s">
        <v>528</v>
      </c>
      <c r="L41" s="86"/>
      <c r="M41" s="86"/>
      <c r="N41" s="86"/>
      <c r="O41" s="86"/>
      <c r="P41" s="86"/>
      <c r="Q41" s="86"/>
      <c r="R41" s="86"/>
      <c r="S41" s="86"/>
      <c r="T41" s="86"/>
      <c r="U41" s="86"/>
      <c r="V41" s="86"/>
      <c r="W41" s="86"/>
      <c r="X41" s="86"/>
      <c r="Y41" s="86"/>
      <c r="Z41" s="86">
        <v>83</v>
      </c>
      <c r="AA41" s="86" t="s">
        <v>466</v>
      </c>
      <c r="AB41" s="86"/>
      <c r="AC41" s="86"/>
      <c r="AD41" s="86"/>
      <c r="AE41" s="86"/>
      <c r="AF41" s="86"/>
      <c r="AG41" s="86"/>
      <c r="AH41" s="86"/>
      <c r="AI41" s="86"/>
      <c r="AJ41" s="86"/>
      <c r="AK41" s="86"/>
      <c r="AL41" s="86"/>
      <c r="AM41" s="86"/>
      <c r="AN41" s="86"/>
      <c r="AO41" s="86"/>
      <c r="AP41" s="86"/>
      <c r="AQ41" s="86"/>
      <c r="AR41" s="86"/>
      <c r="AS41" s="86"/>
      <c r="AT41" s="86" t="s">
        <v>437</v>
      </c>
      <c r="AU41" s="86"/>
      <c r="AV41" s="86"/>
    </row>
    <row r="42" spans="1:48">
      <c r="A42" s="36" t="s">
        <v>468</v>
      </c>
      <c r="C42" s="36" t="s">
        <v>442</v>
      </c>
      <c r="D42" s="36" t="s">
        <v>435</v>
      </c>
      <c r="E42" s="36" t="s">
        <v>469</v>
      </c>
      <c r="F42" s="86">
        <v>4</v>
      </c>
      <c r="G42" s="86">
        <v>4</v>
      </c>
      <c r="H42" s="86">
        <v>0</v>
      </c>
      <c r="I42" s="86">
        <v>41</v>
      </c>
      <c r="J42" s="86">
        <f t="shared" si="0"/>
        <v>4</v>
      </c>
      <c r="K42" s="86" t="s">
        <v>531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t="s">
        <v>437</v>
      </c>
      <c r="AU42" s="86"/>
      <c r="AV42" s="86"/>
    </row>
    <row r="43" spans="1:48">
      <c r="A43" s="36" t="s">
        <v>470</v>
      </c>
      <c r="C43" s="36" t="s">
        <v>442</v>
      </c>
      <c r="D43" s="36" t="s">
        <v>435</v>
      </c>
      <c r="E43" s="36" t="s">
        <v>471</v>
      </c>
      <c r="F43" s="86">
        <v>4</v>
      </c>
      <c r="G43" s="86">
        <v>4</v>
      </c>
      <c r="H43" s="86">
        <v>0</v>
      </c>
      <c r="I43" s="86">
        <v>41</v>
      </c>
      <c r="J43" s="86">
        <f t="shared" si="0"/>
        <v>4</v>
      </c>
      <c r="K43" s="86" t="s">
        <v>531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t="s">
        <v>437</v>
      </c>
      <c r="AU43" s="86"/>
      <c r="AV43" s="86"/>
    </row>
    <row r="44" spans="1:48" s="6" customFormat="1" ht="13.5" customHeight="1">
      <c r="A44" s="6" t="s">
        <v>472</v>
      </c>
      <c r="C44" s="6" t="s">
        <v>442</v>
      </c>
      <c r="D44" s="6" t="s">
        <v>435</v>
      </c>
      <c r="E44" s="15" t="s">
        <v>473</v>
      </c>
      <c r="F44" s="14">
        <v>8</v>
      </c>
      <c r="G44" s="14">
        <v>11</v>
      </c>
      <c r="H44" s="14">
        <v>0</v>
      </c>
      <c r="I44" s="14">
        <v>125</v>
      </c>
      <c r="J44" s="86">
        <f t="shared" si="0"/>
        <v>16</v>
      </c>
      <c r="K44" s="86" t="s">
        <v>528</v>
      </c>
      <c r="L44" s="14"/>
      <c r="M44" s="14"/>
      <c r="N44" s="2"/>
      <c r="O44"/>
      <c r="P44" s="14"/>
      <c r="Q44" s="14"/>
      <c r="R44" s="14"/>
      <c r="S44" s="14"/>
      <c r="T44" s="14"/>
      <c r="U44" s="14"/>
      <c r="AG44" s="86"/>
      <c r="AJ44" s="86">
        <v>135</v>
      </c>
      <c r="AK44" s="86" t="s">
        <v>474</v>
      </c>
      <c r="AL44" s="86"/>
      <c r="AM44" s="86"/>
      <c r="AN44" s="86"/>
      <c r="AO44" s="86"/>
      <c r="AT44" s="14" t="s">
        <v>437</v>
      </c>
      <c r="AU44" s="14"/>
      <c r="AV44" s="14"/>
    </row>
    <row r="45" spans="1:48" s="6" customFormat="1" ht="13.5" customHeight="1">
      <c r="A45" s="6" t="s">
        <v>480</v>
      </c>
      <c r="C45" s="6" t="s">
        <v>442</v>
      </c>
      <c r="D45" s="6" t="s">
        <v>435</v>
      </c>
      <c r="E45" s="6" t="s">
        <v>637</v>
      </c>
      <c r="F45" s="14">
        <v>7</v>
      </c>
      <c r="G45" s="14">
        <v>7</v>
      </c>
      <c r="H45" s="14">
        <v>0</v>
      </c>
      <c r="I45" s="14">
        <v>90</v>
      </c>
      <c r="J45" s="86">
        <f t="shared" si="0"/>
        <v>4</v>
      </c>
      <c r="K45" s="14" t="s">
        <v>529</v>
      </c>
      <c r="L45" s="14"/>
      <c r="M45" s="14"/>
      <c r="N45" s="2"/>
      <c r="O45"/>
      <c r="P45" s="14"/>
      <c r="Q45" s="14"/>
      <c r="R45" s="14"/>
      <c r="S45" s="14"/>
      <c r="T45" s="14"/>
      <c r="U45" s="14"/>
      <c r="V45" s="14"/>
      <c r="W45" s="14"/>
      <c r="X45" s="14"/>
      <c r="AF45" s="14"/>
      <c r="AG45" s="86"/>
      <c r="AH45" s="86"/>
      <c r="AI45" s="86"/>
      <c r="AJ45" s="86">
        <v>135</v>
      </c>
      <c r="AK45" s="86" t="s">
        <v>474</v>
      </c>
      <c r="AL45" s="86"/>
      <c r="AM45" s="86"/>
      <c r="AN45" s="86"/>
      <c r="AO45" s="86"/>
      <c r="AT45" s="14" t="s">
        <v>437</v>
      </c>
      <c r="AU45" s="14"/>
      <c r="AV45" s="14"/>
    </row>
    <row r="46" spans="1:48" s="6" customFormat="1" ht="13.5" customHeight="1">
      <c r="A46" s="6" t="s">
        <v>476</v>
      </c>
      <c r="C46" s="6" t="s">
        <v>442</v>
      </c>
      <c r="D46" s="6" t="s">
        <v>435</v>
      </c>
      <c r="E46" s="6" t="s">
        <v>638</v>
      </c>
      <c r="F46" s="14">
        <v>6</v>
      </c>
      <c r="G46" s="14">
        <v>6</v>
      </c>
      <c r="H46" s="14">
        <v>0</v>
      </c>
      <c r="I46" s="14">
        <v>60</v>
      </c>
      <c r="J46" s="86">
        <f t="shared" si="0"/>
        <v>4</v>
      </c>
      <c r="K46" s="14" t="s">
        <v>531</v>
      </c>
      <c r="L46" s="14"/>
      <c r="M46" s="14"/>
      <c r="N46" s="2"/>
      <c r="O46"/>
      <c r="P46" s="14"/>
      <c r="Q46" s="14"/>
      <c r="R46" s="14"/>
      <c r="S46" s="14"/>
      <c r="T46" s="14"/>
      <c r="U46" s="14"/>
      <c r="V46" s="14"/>
      <c r="W46" s="14"/>
      <c r="X46" s="14"/>
      <c r="AF46" s="14"/>
      <c r="AG46" s="86"/>
      <c r="AH46" s="86"/>
      <c r="AI46" s="86"/>
      <c r="AJ46" s="86">
        <v>135</v>
      </c>
      <c r="AK46" s="86" t="s">
        <v>474</v>
      </c>
      <c r="AL46" s="86"/>
      <c r="AM46" s="86"/>
      <c r="AN46" s="86"/>
      <c r="AO46" s="86"/>
      <c r="AR46" s="155"/>
      <c r="AT46" s="14" t="s">
        <v>437</v>
      </c>
      <c r="AU46" s="14"/>
      <c r="AV46" s="14"/>
    </row>
    <row r="47" spans="1:48" s="40" customFormat="1">
      <c r="F47" s="41">
        <f>SUM(F11:F46)</f>
        <v>290</v>
      </c>
      <c r="G47" s="41">
        <f>SUM(G11:G46)</f>
        <v>860</v>
      </c>
      <c r="H47" s="41">
        <f>SUM(H11:H46)</f>
        <v>605</v>
      </c>
      <c r="I47" s="41">
        <f>SUM(I11:I46)</f>
        <v>3879</v>
      </c>
      <c r="J47" s="41"/>
      <c r="K47" s="41"/>
      <c r="L47" s="41">
        <f>SUM(L11:L46)</f>
        <v>1300</v>
      </c>
      <c r="M47" s="41"/>
      <c r="N47" s="41">
        <f>SUM(N11:N46)</f>
        <v>27200</v>
      </c>
      <c r="O47" s="41"/>
      <c r="P47" s="41">
        <f>SUM(P11:P46)</f>
        <v>20600</v>
      </c>
      <c r="Q47" s="41"/>
      <c r="R47" s="41">
        <f>SUM(R11:R46)</f>
        <v>3400</v>
      </c>
      <c r="S47" s="41"/>
      <c r="T47" s="41">
        <f>SUM(T11:T46)</f>
        <v>300</v>
      </c>
      <c r="U47" s="41"/>
      <c r="V47" s="41">
        <f>SUM(V11:V46)</f>
        <v>0</v>
      </c>
      <c r="W47" s="41"/>
      <c r="X47" s="41">
        <f>SUM(X11:X46)</f>
        <v>48400</v>
      </c>
      <c r="Z47" s="41">
        <f>SUM(Z11:Z46)</f>
        <v>332</v>
      </c>
      <c r="AB47" s="41">
        <f>SUM(AB11:AB46)</f>
        <v>50</v>
      </c>
      <c r="AD47" s="41">
        <f>SUM(AD11:AD46)</f>
        <v>200</v>
      </c>
      <c r="AF47" s="41">
        <f>SUM(AF11:AF46)</f>
        <v>0</v>
      </c>
      <c r="AH47" s="41">
        <f>SUM(AH11:AH46)</f>
        <v>0</v>
      </c>
      <c r="AJ47" s="41">
        <f>SUM(AJ11:AJ46)</f>
        <v>405</v>
      </c>
      <c r="AL47" s="41">
        <f>SUM(AL11:AL46)</f>
        <v>0</v>
      </c>
      <c r="AN47" s="41">
        <f>SUM(AN11:AN46)</f>
        <v>0</v>
      </c>
      <c r="AP47" s="41">
        <f>SUM(AP11:AP46)</f>
        <v>6144</v>
      </c>
      <c r="AT47" s="41">
        <f>COUNTIF(AT11:AT46,"x")</f>
        <v>36</v>
      </c>
      <c r="AU47" s="41">
        <f>COUNTIF(AU11:AU46,"x")</f>
        <v>14</v>
      </c>
      <c r="AV47" s="41">
        <f>COUNTIF(AV11:AV46,"x")</f>
        <v>2</v>
      </c>
    </row>
    <row r="48" spans="1:48" s="6" customFormat="1" ht="13.5" customHeight="1">
      <c r="A48" s="16" t="s">
        <v>475</v>
      </c>
      <c r="F48" s="14"/>
      <c r="G48" s="14"/>
      <c r="H48" s="14"/>
      <c r="I48" s="14"/>
      <c r="J48" s="14"/>
      <c r="K48" s="14"/>
      <c r="L48" s="14"/>
      <c r="M48" s="14"/>
      <c r="N48" s="14"/>
      <c r="O48"/>
      <c r="P48" s="14"/>
      <c r="Q48" s="14"/>
      <c r="R48" s="14"/>
      <c r="S48" s="14"/>
      <c r="T48" s="14"/>
      <c r="U48" s="14"/>
      <c r="V48" s="14"/>
      <c r="X48" s="14"/>
      <c r="Z48" s="14"/>
      <c r="AB48" s="14"/>
      <c r="AD48" s="14"/>
      <c r="AF48" s="14"/>
      <c r="AG48" s="14"/>
      <c r="AH48" s="14"/>
    </row>
    <row r="49" spans="1:50" s="6" customFormat="1" ht="13.5" customHeight="1">
      <c r="A49" s="6" t="s">
        <v>476</v>
      </c>
      <c r="C49" s="6" t="s">
        <v>442</v>
      </c>
      <c r="D49" s="6" t="s">
        <v>435</v>
      </c>
      <c r="E49" s="15" t="s">
        <v>477</v>
      </c>
      <c r="F49" s="14">
        <v>8</v>
      </c>
      <c r="G49" s="14">
        <v>16</v>
      </c>
      <c r="H49" s="14">
        <v>0</v>
      </c>
      <c r="I49" s="14">
        <v>30</v>
      </c>
      <c r="J49" s="86">
        <f>IF(G49&gt;=10,16, 4)-J46</f>
        <v>12</v>
      </c>
      <c r="K49" s="86" t="s">
        <v>531</v>
      </c>
      <c r="L49" s="14"/>
      <c r="M49" s="14"/>
      <c r="N49" s="2"/>
      <c r="O49"/>
      <c r="P49" s="14"/>
      <c r="Q49" s="14"/>
      <c r="R49" s="14"/>
      <c r="S49" s="14"/>
      <c r="T49" s="14"/>
      <c r="U49" s="14"/>
      <c r="X49" s="14">
        <v>200</v>
      </c>
      <c r="Y49" s="14" t="s">
        <v>663</v>
      </c>
      <c r="AG49" s="86"/>
      <c r="AH49" s="86"/>
      <c r="AI49" s="86"/>
      <c r="AJ49" s="86"/>
      <c r="AK49" s="86"/>
      <c r="AL49" s="86"/>
      <c r="AM49" s="86"/>
      <c r="AN49" s="86"/>
      <c r="AO49" s="86"/>
      <c r="AR49" s="6">
        <v>150</v>
      </c>
      <c r="AS49" s="6" t="s">
        <v>474</v>
      </c>
      <c r="AT49" s="14"/>
      <c r="AU49" s="14"/>
      <c r="AV49" s="14"/>
    </row>
    <row r="50" spans="1:50" ht="12.95">
      <c r="A50" s="184" t="s">
        <v>478</v>
      </c>
      <c r="B50" s="185"/>
      <c r="F50" s="86"/>
      <c r="G50" s="86"/>
      <c r="H50" s="86"/>
      <c r="I50" s="86"/>
      <c r="J50" s="86"/>
      <c r="K50" s="86"/>
      <c r="L50" s="86"/>
      <c r="M50" s="86"/>
      <c r="N50" s="86"/>
      <c r="O50" s="86"/>
      <c r="P50" s="86"/>
      <c r="Q50" s="86"/>
      <c r="R50" s="86"/>
      <c r="S50" s="86"/>
      <c r="T50" s="86"/>
      <c r="U50" s="86"/>
      <c r="V50" s="86"/>
      <c r="W50" s="86"/>
      <c r="X50" s="86"/>
      <c r="Z50" s="86"/>
      <c r="AB50" s="86"/>
      <c r="AD50" s="86"/>
      <c r="AF50" s="86"/>
      <c r="AH50" s="86"/>
      <c r="AP50" s="86"/>
      <c r="AU50" s="86"/>
      <c r="AV50" s="86"/>
    </row>
    <row r="51" spans="1:50" s="6" customFormat="1" ht="13.5" customHeight="1">
      <c r="A51" s="6" t="s">
        <v>472</v>
      </c>
      <c r="C51" s="6" t="s">
        <v>442</v>
      </c>
      <c r="D51" s="6" t="s">
        <v>435</v>
      </c>
      <c r="E51" s="6" t="s">
        <v>479</v>
      </c>
      <c r="F51" s="14">
        <v>8</v>
      </c>
      <c r="G51" s="14">
        <v>22</v>
      </c>
      <c r="H51" s="14">
        <v>0</v>
      </c>
      <c r="I51" s="14">
        <v>28</v>
      </c>
      <c r="J51" s="86">
        <f>IF(G51&gt;=10,16, 4)-J44</f>
        <v>0</v>
      </c>
      <c r="K51" s="14" t="s">
        <v>528</v>
      </c>
      <c r="L51" s="14"/>
      <c r="M51" s="14"/>
      <c r="N51" s="2"/>
      <c r="O51"/>
      <c r="P51" s="14"/>
      <c r="Q51" s="14"/>
      <c r="R51" s="14">
        <v>120</v>
      </c>
      <c r="S51" s="14" t="s">
        <v>661</v>
      </c>
      <c r="V51" s="14">
        <v>250</v>
      </c>
      <c r="W51" s="14" t="s">
        <v>663</v>
      </c>
      <c r="X51" s="14">
        <v>120</v>
      </c>
      <c r="Y51" s="14" t="s">
        <v>662</v>
      </c>
      <c r="AD51" s="14"/>
      <c r="AE51" s="14"/>
      <c r="AF51" s="14"/>
      <c r="AG51" s="14"/>
      <c r="AH51" s="86">
        <v>200</v>
      </c>
      <c r="AI51" s="86" t="s">
        <v>474</v>
      </c>
      <c r="AT51" s="14"/>
      <c r="AU51" s="14"/>
      <c r="AV51" s="14"/>
      <c r="AW51" s="14"/>
    </row>
    <row r="52" spans="1:50" s="19" customFormat="1" ht="13.5" customHeight="1">
      <c r="A52" s="19" t="s">
        <v>480</v>
      </c>
      <c r="C52" s="19" t="s">
        <v>442</v>
      </c>
      <c r="D52" s="19" t="s">
        <v>435</v>
      </c>
      <c r="E52" s="19" t="s">
        <v>481</v>
      </c>
      <c r="F52" s="17">
        <v>6</v>
      </c>
      <c r="G52" s="17">
        <v>17</v>
      </c>
      <c r="H52" s="17">
        <v>0</v>
      </c>
      <c r="I52" s="17">
        <v>30</v>
      </c>
      <c r="J52" s="17">
        <f>IF(G52&gt;=10,16, 4)-J46</f>
        <v>12</v>
      </c>
      <c r="K52" s="17" t="s">
        <v>529</v>
      </c>
      <c r="L52" s="17"/>
      <c r="M52" s="17"/>
      <c r="N52" s="99"/>
      <c r="O52" s="98"/>
      <c r="P52" s="17"/>
      <c r="Q52" s="17"/>
      <c r="R52" s="17"/>
      <c r="S52" s="17"/>
      <c r="V52" s="17"/>
      <c r="W52" s="17"/>
      <c r="X52" s="17"/>
      <c r="Y52" s="17"/>
      <c r="AD52" s="17"/>
      <c r="AE52" s="17"/>
      <c r="AF52" s="17"/>
      <c r="AG52" s="17"/>
      <c r="AH52" s="17"/>
      <c r="AP52" s="156"/>
      <c r="AR52" s="17"/>
      <c r="AS52" s="17"/>
      <c r="AU52" s="17"/>
    </row>
    <row r="53" spans="1:50" s="6" customFormat="1" ht="13.5" customHeight="1">
      <c r="F53" s="14">
        <f>SUM(F49:F52)+F47</f>
        <v>312</v>
      </c>
      <c r="G53" s="14">
        <f>SUM(G49:G52)+G47</f>
        <v>915</v>
      </c>
      <c r="H53" s="14">
        <f>SUM(H49:H52)+H47</f>
        <v>605</v>
      </c>
      <c r="I53" s="14">
        <f>SUM(I49:I52)+I47</f>
        <v>3967</v>
      </c>
      <c r="J53" s="14"/>
      <c r="K53" s="14"/>
      <c r="L53" s="14">
        <f>SUM(L49:L52)+L47</f>
        <v>1300</v>
      </c>
      <c r="M53" s="14"/>
      <c r="N53" s="14">
        <f>SUM(N49:N52)+N47</f>
        <v>27200</v>
      </c>
      <c r="O53"/>
      <c r="P53" s="14">
        <f>SUM(P49:P52)+P47</f>
        <v>20600</v>
      </c>
      <c r="Q53" s="14"/>
      <c r="R53" s="14">
        <f>SUM(R49:R52)+R47</f>
        <v>3520</v>
      </c>
      <c r="S53" s="14"/>
      <c r="T53" s="14">
        <f>SUM(T49:T52)+T47</f>
        <v>300</v>
      </c>
      <c r="V53" s="14">
        <f>SUM(V49:V52)+V47</f>
        <v>250</v>
      </c>
      <c r="W53" s="14"/>
      <c r="X53" s="14">
        <f>SUM(X49:X52)+X47</f>
        <v>48720</v>
      </c>
      <c r="Z53" s="14">
        <f>SUM(Z49:Z52)+Z47</f>
        <v>332</v>
      </c>
      <c r="AB53" s="14">
        <f>SUM(AB49:AB52)+AB47</f>
        <v>50</v>
      </c>
      <c r="AD53" s="14">
        <f>SUM(AD49:AD52)+AD47</f>
        <v>200</v>
      </c>
      <c r="AE53" s="14"/>
      <c r="AF53" s="14">
        <f>SUM(AF49:AF52)+AF47</f>
        <v>0</v>
      </c>
      <c r="AG53" s="14"/>
      <c r="AH53" s="14">
        <f>SUM(AH49:AH52)+AH47</f>
        <v>200</v>
      </c>
      <c r="AJ53" s="14">
        <f>SUM(AJ49:AJ52)+AJ47</f>
        <v>405</v>
      </c>
      <c r="AL53" s="14">
        <f>SUM(AL49:AL52)+AL47</f>
        <v>0</v>
      </c>
      <c r="AN53" s="14">
        <f>SUM(AN49:AN52)+AN47</f>
        <v>0</v>
      </c>
      <c r="AP53" s="14">
        <f>SUM(AP49:AP52)+AP47</f>
        <v>6144</v>
      </c>
      <c r="AR53" s="155">
        <f>SUM(AR49:AR52)+AR47</f>
        <v>150</v>
      </c>
      <c r="AT53" s="14">
        <f>COUNTIF(AT51:AT52,"x")+AT47</f>
        <v>36</v>
      </c>
      <c r="AU53" s="14">
        <f>COUNTIF(AU51:AU52,"x")+AU47</f>
        <v>14</v>
      </c>
      <c r="AV53" s="14">
        <f>COUNTIF(AV51:AV52,"x")+AV47</f>
        <v>2</v>
      </c>
      <c r="AW53" s="14"/>
      <c r="AX53" s="14"/>
    </row>
    <row r="54" spans="1:50">
      <c r="F54" s="86"/>
      <c r="G54" s="86"/>
      <c r="H54" s="86"/>
      <c r="I54" s="86"/>
      <c r="J54" s="86"/>
      <c r="K54" s="86"/>
      <c r="L54" s="86"/>
      <c r="M54" s="86"/>
      <c r="N54" s="86"/>
      <c r="O54" s="86"/>
      <c r="P54" s="86"/>
      <c r="Q54" s="86"/>
      <c r="R54" s="86"/>
      <c r="S54" s="86"/>
      <c r="T54" s="86"/>
      <c r="U54" s="86"/>
      <c r="V54" s="86"/>
      <c r="W54" s="86"/>
      <c r="X54" s="86"/>
      <c r="Z54" s="86"/>
      <c r="AB54" s="86"/>
      <c r="AD54" s="86"/>
      <c r="AF54" s="86"/>
      <c r="AH54" s="86"/>
      <c r="AU54" s="86"/>
      <c r="AV54" s="86"/>
    </row>
    <row r="56" spans="1:50">
      <c r="F56" s="86"/>
      <c r="G56" s="86"/>
      <c r="H56" s="86"/>
      <c r="I56" s="86"/>
      <c r="J56" s="86"/>
      <c r="K56" s="86"/>
      <c r="L56" s="86"/>
      <c r="M56" s="86"/>
      <c r="N56" s="86"/>
      <c r="O56" s="86"/>
      <c r="P56" s="86"/>
      <c r="Q56" s="86"/>
      <c r="R56" s="86"/>
      <c r="S56" s="86"/>
      <c r="T56" s="86"/>
      <c r="U56" s="86"/>
      <c r="V56" s="86"/>
      <c r="W56" s="86"/>
      <c r="X56" s="86"/>
      <c r="AP56" s="43"/>
      <c r="AQ56" s="43"/>
      <c r="AR56" s="43"/>
      <c r="AS56" s="43"/>
    </row>
    <row r="57" spans="1:50" ht="12.95" customHeight="1">
      <c r="A57" s="180" t="s">
        <v>482</v>
      </c>
      <c r="B57" s="180"/>
      <c r="C57" s="180"/>
      <c r="D57" s="180"/>
      <c r="E57" s="42"/>
      <c r="F57" s="90"/>
      <c r="G57" s="90"/>
      <c r="H57" s="175" t="str">
        <f>"Note1: The hardware resource pool provided here corresponds only to MantaRay NM virtual machines. If optional virtual machines are used then plan for the hardware resources accordingly.
Note2: ESXi reserves " &amp; IF(E12="vCSA8.0", 12, 8) &amp;" GB Memory for internal purpose
Note3: "&amp; IF(E12="vCSA8.0", 2, 1) &amp; " CPU is used by vSphere "&amp; IF(E12="vCSA8.0", "8.0", "7.0 U1") &amp;" onwards for internal functionality."</f>
        <v>Note1: The hardware resource pool provided here corresponds only to MantaRay NM virtual machines. If optional virtual machines are used then plan for the hardware resources accordingly.
Note2: ESXi reserves 12 GB Memory for internal purpose
Note3: 2 CPU is used by vSphere 8.0 onwards for internal functionality.</v>
      </c>
      <c r="I57" s="175"/>
      <c r="J57" s="175"/>
      <c r="K57" s="175"/>
      <c r="L57" s="175"/>
      <c r="M57" s="175"/>
      <c r="N57" s="175"/>
      <c r="O57" s="175"/>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row>
    <row r="58" spans="1:50" ht="12.95" customHeight="1">
      <c r="A58" s="180"/>
      <c r="B58" s="180"/>
      <c r="C58" s="180"/>
      <c r="D58" s="180"/>
      <c r="E58" s="25" t="s">
        <v>702</v>
      </c>
      <c r="F58" s="90">
        <f>256-(IF(E12="vCSA8.0", 2, 1))</f>
        <v>254</v>
      </c>
      <c r="G58" s="90">
        <f>8*(384-(IF(E12="vCSA8.0", 12, 8)))</f>
        <v>2976</v>
      </c>
      <c r="H58" s="175"/>
      <c r="I58" s="175"/>
      <c r="J58" s="175"/>
      <c r="K58" s="175"/>
      <c r="L58" s="175"/>
      <c r="M58" s="175"/>
      <c r="N58" s="175"/>
      <c r="O58" s="175"/>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row>
    <row r="59" spans="1:50" s="43" customFormat="1" ht="12.95" customHeight="1">
      <c r="E59" s="42" t="s">
        <v>665</v>
      </c>
      <c r="F59" s="90">
        <f>(5*2*28)-(IF(E12="vCSA8.0", 2, 1))</f>
        <v>278</v>
      </c>
      <c r="G59" s="90">
        <f>5*(512-(IF(E12="vCSA8.0", 12, 8)))</f>
        <v>2500</v>
      </c>
      <c r="H59" s="175"/>
      <c r="I59" s="175"/>
      <c r="J59" s="175"/>
      <c r="K59" s="175"/>
      <c r="L59" s="175"/>
      <c r="M59" s="175"/>
      <c r="N59" s="175"/>
      <c r="O59" s="175"/>
    </row>
    <row r="60" spans="1:50" ht="12.95" customHeight="1">
      <c r="A60" s="43"/>
      <c r="B60" s="43"/>
      <c r="C60" s="43"/>
      <c r="D60" s="43"/>
      <c r="E60" s="42" t="s">
        <v>666</v>
      </c>
      <c r="F60" s="90">
        <f>(5*2*28)-(IF(E12="vCSA8.0", 2, 1))</f>
        <v>278</v>
      </c>
      <c r="G60" s="90">
        <f>5*(512-(IF(E12="vCSA8.0", 12, 8)))</f>
        <v>2500</v>
      </c>
      <c r="H60" s="175"/>
      <c r="I60" s="175"/>
      <c r="J60" s="175"/>
      <c r="K60" s="175"/>
      <c r="L60" s="175"/>
      <c r="M60" s="175"/>
      <c r="N60" s="175"/>
      <c r="O60" s="175"/>
      <c r="P60" s="43"/>
      <c r="AP60" s="43"/>
      <c r="AQ60" s="43"/>
      <c r="AR60" s="43"/>
      <c r="AS60" s="43"/>
    </row>
    <row r="61" spans="1:50" ht="12.95" customHeight="1">
      <c r="A61" s="43"/>
      <c r="B61" s="43"/>
      <c r="C61" s="43"/>
      <c r="D61" s="43"/>
      <c r="E61" s="42" t="s">
        <v>667</v>
      </c>
      <c r="F61" s="90">
        <f>(4*2*32)-(IF(E12="vCSA8.0", 2, 1))</f>
        <v>254</v>
      </c>
      <c r="G61" s="90">
        <f>4*(512-(IF(E12="vCSA8.0", 12, 8)))</f>
        <v>2000</v>
      </c>
      <c r="H61" s="88"/>
      <c r="I61" s="88"/>
      <c r="J61" s="88"/>
      <c r="K61" s="88"/>
      <c r="L61" s="88"/>
      <c r="M61" s="88"/>
      <c r="N61" s="88"/>
      <c r="O61" s="88"/>
      <c r="P61" s="43"/>
    </row>
    <row r="62" spans="1:50" ht="12.95" customHeight="1">
      <c r="A62" s="43"/>
      <c r="B62" s="43"/>
      <c r="C62" s="43"/>
      <c r="D62" s="43"/>
      <c r="E62" s="42" t="s">
        <v>668</v>
      </c>
      <c r="F62" s="90">
        <f>(4*2*32)-(IF(E12="vCSA8.0", 2, 1))</f>
        <v>254</v>
      </c>
      <c r="G62" s="90">
        <f>4*(512-(IF(E12="vCSA8.0", 12, 8)))</f>
        <v>2000</v>
      </c>
      <c r="H62" s="88"/>
      <c r="I62" s="88"/>
      <c r="J62" s="88"/>
      <c r="K62" s="88"/>
      <c r="L62" s="88"/>
      <c r="M62" s="88"/>
      <c r="N62" s="88"/>
      <c r="O62" s="88"/>
      <c r="P62" s="43"/>
    </row>
    <row r="63" spans="1:50" ht="12.95" customHeight="1">
      <c r="A63" s="43"/>
      <c r="B63" s="43"/>
      <c r="C63" s="43"/>
      <c r="D63" s="43"/>
      <c r="E63" s="42" t="s">
        <v>669</v>
      </c>
      <c r="F63" s="90">
        <f>(4*2*32)-(IF(E12="vCSA8.0", 2, 1))</f>
        <v>254</v>
      </c>
      <c r="G63" s="90">
        <f>4*(512-(IF(E12="vCSA8.0", 12, 8)))</f>
        <v>2000</v>
      </c>
      <c r="H63" s="88"/>
      <c r="I63" s="88"/>
      <c r="J63" s="88"/>
      <c r="K63" s="88"/>
      <c r="L63" s="88"/>
      <c r="M63" s="88"/>
      <c r="N63" s="88"/>
      <c r="O63" s="88"/>
      <c r="P63" s="43"/>
    </row>
    <row r="64" spans="1:50" ht="12.95" customHeight="1">
      <c r="A64" s="43"/>
      <c r="B64" s="43"/>
      <c r="C64" s="43"/>
      <c r="D64" s="43"/>
      <c r="E64" s="42"/>
      <c r="F64" s="90"/>
      <c r="G64" s="90"/>
      <c r="H64" s="88"/>
      <c r="I64" s="88"/>
      <c r="J64" s="88"/>
      <c r="K64" s="88"/>
      <c r="L64" s="88"/>
      <c r="M64" s="88"/>
      <c r="N64" s="88"/>
      <c r="O64" s="88"/>
      <c r="P64" s="43"/>
    </row>
    <row r="65" spans="1:48" ht="14.45">
      <c r="B65"/>
      <c r="C65"/>
      <c r="D65"/>
      <c r="E65"/>
      <c r="F65" s="85"/>
      <c r="I65"/>
      <c r="J65"/>
      <c r="K65"/>
      <c r="L65"/>
      <c r="M65"/>
      <c r="N65"/>
      <c r="O65"/>
      <c r="P65" s="43"/>
    </row>
    <row r="66" spans="1:48" ht="14.45">
      <c r="B66"/>
      <c r="C66"/>
      <c r="D66"/>
      <c r="E66"/>
      <c r="F66" s="85"/>
      <c r="G66" s="119"/>
      <c r="H66"/>
      <c r="I66"/>
      <c r="J66"/>
      <c r="K66"/>
      <c r="L66"/>
      <c r="M66"/>
      <c r="N66"/>
      <c r="O66"/>
    </row>
    <row r="67" spans="1:48" ht="12.95">
      <c r="A67" s="16" t="s">
        <v>485</v>
      </c>
    </row>
    <row r="68" spans="1:48">
      <c r="A68" s="36" t="s">
        <v>486</v>
      </c>
      <c r="C68" s="36" t="s">
        <v>442</v>
      </c>
      <c r="D68" s="36" t="s">
        <v>435</v>
      </c>
      <c r="E68" s="36" t="s">
        <v>44</v>
      </c>
      <c r="F68" s="86">
        <v>16</v>
      </c>
      <c r="G68" s="86">
        <v>64</v>
      </c>
      <c r="H68" s="86">
        <v>0</v>
      </c>
      <c r="I68" s="14">
        <v>71</v>
      </c>
      <c r="J68" s="86">
        <f t="shared" ref="J68:J102" si="1">IF(G68&gt;=10,16, 4)</f>
        <v>16</v>
      </c>
      <c r="K68" s="86"/>
      <c r="AT68" s="86" t="s">
        <v>437</v>
      </c>
      <c r="AV68" s="86"/>
    </row>
    <row r="69" spans="1:48">
      <c r="A69" s="36" t="s">
        <v>644</v>
      </c>
      <c r="C69" s="36" t="s">
        <v>442</v>
      </c>
      <c r="D69" s="21" t="s">
        <v>488</v>
      </c>
      <c r="E69" s="6" t="s">
        <v>112</v>
      </c>
      <c r="F69" s="86">
        <v>4</v>
      </c>
      <c r="G69" s="86">
        <v>4</v>
      </c>
      <c r="H69" s="86">
        <v>0</v>
      </c>
      <c r="I69" s="86">
        <v>100</v>
      </c>
      <c r="J69" s="86">
        <v>0</v>
      </c>
      <c r="K69" s="86" t="s">
        <v>529</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T69" s="86" t="s">
        <v>437</v>
      </c>
      <c r="AV69" s="86"/>
    </row>
    <row r="70" spans="1:48">
      <c r="A70" s="36" t="s">
        <v>645</v>
      </c>
      <c r="C70" s="36" t="s">
        <v>442</v>
      </c>
      <c r="D70" s="21" t="s">
        <v>488</v>
      </c>
      <c r="E70" s="6" t="s">
        <v>120</v>
      </c>
      <c r="F70" s="86">
        <v>4</v>
      </c>
      <c r="G70" s="86">
        <v>16</v>
      </c>
      <c r="H70" s="86">
        <v>0</v>
      </c>
      <c r="I70" s="14">
        <v>110</v>
      </c>
      <c r="J70" s="86">
        <v>0</v>
      </c>
      <c r="K70" s="86" t="s">
        <v>531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t="s">
        <v>437</v>
      </c>
      <c r="AV70" s="86"/>
    </row>
    <row r="71" spans="1:48">
      <c r="A71" s="36" t="s">
        <v>490</v>
      </c>
      <c r="C71" s="36" t="s">
        <v>442</v>
      </c>
      <c r="D71" s="21" t="s">
        <v>488</v>
      </c>
      <c r="E71" s="6" t="s">
        <v>116</v>
      </c>
      <c r="F71" s="86">
        <v>4</v>
      </c>
      <c r="G71" s="86">
        <v>14</v>
      </c>
      <c r="H71" s="86">
        <v>0</v>
      </c>
      <c r="I71" s="14">
        <v>120</v>
      </c>
      <c r="J71" s="86">
        <v>0</v>
      </c>
      <c r="K71" s="14" t="s">
        <v>529</v>
      </c>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t="s">
        <v>437</v>
      </c>
      <c r="AV71" s="86"/>
    </row>
    <row r="72" spans="1:48">
      <c r="A72" s="36" t="s">
        <v>539</v>
      </c>
      <c r="C72" s="36" t="s">
        <v>442</v>
      </c>
      <c r="D72" s="21" t="s">
        <v>488</v>
      </c>
      <c r="E72" s="6" t="s">
        <v>112</v>
      </c>
      <c r="F72" s="86">
        <v>4</v>
      </c>
      <c r="G72" s="86">
        <v>4</v>
      </c>
      <c r="H72" s="86">
        <v>0</v>
      </c>
      <c r="I72" s="86">
        <v>100</v>
      </c>
      <c r="J72" s="86">
        <v>0</v>
      </c>
      <c r="K72" s="86"/>
      <c r="AP72" s="86"/>
      <c r="AQ72" s="86"/>
      <c r="AR72" s="86"/>
      <c r="AS72" s="86"/>
      <c r="AT72" s="86" t="s">
        <v>437</v>
      </c>
      <c r="AV72" s="86"/>
    </row>
    <row r="73" spans="1:48">
      <c r="A73" s="36" t="s">
        <v>491</v>
      </c>
      <c r="C73" s="36" t="s">
        <v>442</v>
      </c>
      <c r="D73" s="21" t="s">
        <v>488</v>
      </c>
      <c r="E73" s="6" t="s">
        <v>120</v>
      </c>
      <c r="F73" s="86">
        <v>4</v>
      </c>
      <c r="G73" s="86">
        <v>16</v>
      </c>
      <c r="H73" s="86">
        <v>0</v>
      </c>
      <c r="I73" s="86">
        <v>100</v>
      </c>
      <c r="J73" s="86">
        <v>0</v>
      </c>
      <c r="K73" s="86"/>
      <c r="AT73" s="86" t="s">
        <v>437</v>
      </c>
      <c r="AV73" s="86"/>
    </row>
    <row r="74" spans="1:48">
      <c r="A74" s="36" t="s">
        <v>540</v>
      </c>
      <c r="C74" s="36" t="s">
        <v>442</v>
      </c>
      <c r="D74" s="21" t="s">
        <v>488</v>
      </c>
      <c r="E74" s="6" t="s">
        <v>120</v>
      </c>
      <c r="F74" s="86">
        <v>4</v>
      </c>
      <c r="G74" s="86">
        <v>16</v>
      </c>
      <c r="H74" s="86">
        <v>0</v>
      </c>
      <c r="I74" s="86">
        <v>100</v>
      </c>
      <c r="J74" s="86">
        <v>0</v>
      </c>
      <c r="K74" s="86"/>
      <c r="AT74" s="86" t="s">
        <v>437</v>
      </c>
      <c r="AV74" s="86"/>
    </row>
    <row r="75" spans="1:48">
      <c r="A75" s="36" t="s">
        <v>623</v>
      </c>
      <c r="C75" s="36" t="s">
        <v>442</v>
      </c>
      <c r="D75" s="21" t="s">
        <v>488</v>
      </c>
      <c r="E75" s="6" t="s">
        <v>120</v>
      </c>
      <c r="F75" s="86">
        <v>4</v>
      </c>
      <c r="G75" s="86">
        <v>16</v>
      </c>
      <c r="H75" s="86">
        <v>0</v>
      </c>
      <c r="I75" s="86">
        <v>100</v>
      </c>
      <c r="J75" s="86">
        <v>0</v>
      </c>
      <c r="K75" s="86"/>
      <c r="AT75" s="86" t="s">
        <v>437</v>
      </c>
      <c r="AV75" s="86"/>
    </row>
    <row r="76" spans="1:48">
      <c r="A76" s="36" t="s">
        <v>624</v>
      </c>
      <c r="C76" s="36" t="s">
        <v>442</v>
      </c>
      <c r="D76" s="21" t="s">
        <v>488</v>
      </c>
      <c r="E76" s="6" t="s">
        <v>120</v>
      </c>
      <c r="F76" s="86">
        <v>4</v>
      </c>
      <c r="G76" s="86">
        <v>16</v>
      </c>
      <c r="H76" s="86">
        <v>0</v>
      </c>
      <c r="I76" s="86">
        <v>100</v>
      </c>
      <c r="J76" s="86">
        <v>0</v>
      </c>
      <c r="K76" s="86"/>
      <c r="AT76" s="86" t="s">
        <v>437</v>
      </c>
      <c r="AV76" s="86"/>
    </row>
    <row r="77" spans="1:48">
      <c r="A77" s="36" t="s">
        <v>646</v>
      </c>
      <c r="C77" s="36" t="s">
        <v>442</v>
      </c>
      <c r="D77" s="21" t="s">
        <v>488</v>
      </c>
      <c r="E77" s="6" t="s">
        <v>120</v>
      </c>
      <c r="F77" s="86">
        <v>4</v>
      </c>
      <c r="G77" s="86">
        <v>16</v>
      </c>
      <c r="H77" s="86">
        <v>0</v>
      </c>
      <c r="I77" s="86">
        <v>100</v>
      </c>
      <c r="J77" s="86">
        <v>0</v>
      </c>
      <c r="K77" s="86"/>
      <c r="AT77" s="86" t="s">
        <v>437</v>
      </c>
      <c r="AV77" s="86"/>
    </row>
    <row r="78" spans="1:48">
      <c r="A78" s="36" t="s">
        <v>647</v>
      </c>
      <c r="C78" s="36" t="s">
        <v>442</v>
      </c>
      <c r="D78" s="21" t="s">
        <v>488</v>
      </c>
      <c r="E78" s="6" t="s">
        <v>120</v>
      </c>
      <c r="F78" s="86">
        <v>4</v>
      </c>
      <c r="G78" s="86">
        <v>16</v>
      </c>
      <c r="H78" s="86">
        <v>0</v>
      </c>
      <c r="I78" s="86">
        <v>100</v>
      </c>
      <c r="J78" s="86">
        <v>0</v>
      </c>
      <c r="K78" s="86"/>
      <c r="AT78" s="86" t="s">
        <v>437</v>
      </c>
      <c r="AV78" s="86"/>
    </row>
    <row r="79" spans="1:48">
      <c r="A79" s="36" t="s">
        <v>648</v>
      </c>
      <c r="C79" s="36" t="s">
        <v>442</v>
      </c>
      <c r="D79" s="21" t="s">
        <v>488</v>
      </c>
      <c r="E79" s="6" t="s">
        <v>120</v>
      </c>
      <c r="F79" s="86">
        <v>4</v>
      </c>
      <c r="G79" s="86">
        <v>16</v>
      </c>
      <c r="H79" s="86">
        <v>0</v>
      </c>
      <c r="I79" s="86">
        <v>100</v>
      </c>
      <c r="J79" s="86">
        <v>0</v>
      </c>
      <c r="K79" s="86"/>
      <c r="AT79" s="86" t="s">
        <v>437</v>
      </c>
      <c r="AV79" s="86"/>
    </row>
    <row r="80" spans="1:48">
      <c r="A80" s="36" t="s">
        <v>541</v>
      </c>
      <c r="C80" s="36" t="s">
        <v>442</v>
      </c>
      <c r="D80" s="21" t="s">
        <v>488</v>
      </c>
      <c r="E80" s="6" t="s">
        <v>116</v>
      </c>
      <c r="F80" s="86">
        <v>4</v>
      </c>
      <c r="G80" s="86">
        <v>14</v>
      </c>
      <c r="H80" s="86">
        <v>0</v>
      </c>
      <c r="I80" s="14">
        <v>120</v>
      </c>
      <c r="J80" s="86">
        <v>0</v>
      </c>
      <c r="K80" s="86"/>
      <c r="AT80" s="86" t="s">
        <v>437</v>
      </c>
      <c r="AV80" s="86"/>
    </row>
    <row r="81" spans="1:48">
      <c r="A81" s="36" t="s">
        <v>649</v>
      </c>
      <c r="C81" s="36" t="s">
        <v>442</v>
      </c>
      <c r="D81" s="21" t="s">
        <v>488</v>
      </c>
      <c r="E81" s="6" t="s">
        <v>120</v>
      </c>
      <c r="F81" s="86">
        <v>4</v>
      </c>
      <c r="G81" s="86">
        <v>16</v>
      </c>
      <c r="H81" s="86">
        <v>0</v>
      </c>
      <c r="I81" s="86">
        <v>100</v>
      </c>
      <c r="J81" s="86">
        <v>0</v>
      </c>
      <c r="K81" s="86"/>
      <c r="AT81" s="86" t="s">
        <v>437</v>
      </c>
      <c r="AV81" s="86"/>
    </row>
    <row r="82" spans="1:48">
      <c r="A82" s="36" t="s">
        <v>492</v>
      </c>
      <c r="C82" s="36" t="s">
        <v>442</v>
      </c>
      <c r="D82" s="36" t="s">
        <v>435</v>
      </c>
      <c r="E82" s="36" t="s">
        <v>55</v>
      </c>
      <c r="F82" s="86">
        <v>6</v>
      </c>
      <c r="G82" s="86">
        <v>20</v>
      </c>
      <c r="H82" s="86">
        <v>0</v>
      </c>
      <c r="I82" s="86">
        <v>201</v>
      </c>
      <c r="J82" s="86">
        <f t="shared" si="1"/>
        <v>16</v>
      </c>
      <c r="K82" s="86"/>
      <c r="AT82" s="86" t="s">
        <v>437</v>
      </c>
      <c r="AV82" s="86"/>
    </row>
    <row r="83" spans="1:48">
      <c r="A83" s="36" t="s">
        <v>493</v>
      </c>
      <c r="C83" s="36" t="s">
        <v>442</v>
      </c>
      <c r="D83" s="36" t="s">
        <v>435</v>
      </c>
      <c r="E83" s="36" t="s">
        <v>55</v>
      </c>
      <c r="F83" s="86">
        <v>6</v>
      </c>
      <c r="G83" s="86">
        <v>20</v>
      </c>
      <c r="H83" s="86">
        <v>0</v>
      </c>
      <c r="I83" s="86">
        <v>201</v>
      </c>
      <c r="J83" s="86">
        <f t="shared" si="1"/>
        <v>16</v>
      </c>
      <c r="K83" s="86"/>
      <c r="AT83" s="86" t="s">
        <v>437</v>
      </c>
      <c r="AV83" s="86"/>
    </row>
    <row r="84" spans="1:48">
      <c r="A84" s="36" t="s">
        <v>625</v>
      </c>
      <c r="C84" s="36" t="s">
        <v>442</v>
      </c>
      <c r="D84" s="36" t="s">
        <v>435</v>
      </c>
      <c r="E84" s="36" t="s">
        <v>55</v>
      </c>
      <c r="F84" s="86">
        <v>6</v>
      </c>
      <c r="G84" s="86">
        <v>20</v>
      </c>
      <c r="H84" s="86">
        <v>0</v>
      </c>
      <c r="I84" s="86">
        <v>201</v>
      </c>
      <c r="J84" s="86">
        <f t="shared" si="1"/>
        <v>16</v>
      </c>
      <c r="K84" s="86"/>
      <c r="AT84" s="86" t="s">
        <v>437</v>
      </c>
      <c r="AV84" s="86"/>
    </row>
    <row r="85" spans="1:48">
      <c r="A85" s="36" t="s">
        <v>626</v>
      </c>
      <c r="C85" s="36" t="s">
        <v>442</v>
      </c>
      <c r="D85" s="36" t="s">
        <v>435</v>
      </c>
      <c r="E85" s="36" t="s">
        <v>55</v>
      </c>
      <c r="F85" s="86">
        <v>6</v>
      </c>
      <c r="G85" s="86">
        <v>20</v>
      </c>
      <c r="H85" s="86">
        <v>0</v>
      </c>
      <c r="I85" s="86">
        <v>201</v>
      </c>
      <c r="J85" s="86">
        <f t="shared" si="1"/>
        <v>16</v>
      </c>
      <c r="K85" s="86"/>
      <c r="AT85" s="86" t="s">
        <v>437</v>
      </c>
      <c r="AV85" s="86"/>
    </row>
    <row r="86" spans="1:48">
      <c r="A86" s="36" t="s">
        <v>703</v>
      </c>
      <c r="C86" s="36" t="s">
        <v>442</v>
      </c>
      <c r="D86" s="36" t="s">
        <v>435</v>
      </c>
      <c r="E86" s="36" t="s">
        <v>704</v>
      </c>
      <c r="F86" s="86">
        <v>14</v>
      </c>
      <c r="G86" s="86">
        <v>110</v>
      </c>
      <c r="H86" s="86">
        <v>110</v>
      </c>
      <c r="I86" s="86">
        <v>117</v>
      </c>
      <c r="J86" s="86">
        <f t="shared" si="1"/>
        <v>16</v>
      </c>
      <c r="K86" s="86"/>
      <c r="L86" s="14">
        <v>300</v>
      </c>
      <c r="M86" s="86" t="s">
        <v>705</v>
      </c>
      <c r="N86" s="36">
        <v>2300</v>
      </c>
      <c r="O86" s="86" t="s">
        <v>706</v>
      </c>
      <c r="P86" s="36">
        <v>2100</v>
      </c>
      <c r="Q86" s="86" t="s">
        <v>707</v>
      </c>
      <c r="X86" s="36">
        <v>4500</v>
      </c>
      <c r="Y86" s="86" t="s">
        <v>708</v>
      </c>
      <c r="AT86" s="86" t="s">
        <v>437</v>
      </c>
      <c r="AV86" s="86"/>
    </row>
    <row r="87" spans="1:48">
      <c r="A87" s="36" t="s">
        <v>494</v>
      </c>
      <c r="C87" s="36" t="s">
        <v>442</v>
      </c>
      <c r="D87" s="36" t="s">
        <v>435</v>
      </c>
      <c r="E87" s="36" t="s">
        <v>71</v>
      </c>
      <c r="F87" s="86">
        <v>2</v>
      </c>
      <c r="G87" s="86">
        <v>4</v>
      </c>
      <c r="H87" s="86">
        <v>0</v>
      </c>
      <c r="I87" s="86">
        <v>41</v>
      </c>
      <c r="J87" s="86">
        <f t="shared" si="1"/>
        <v>4</v>
      </c>
      <c r="K87" s="86"/>
      <c r="AT87" s="86" t="s">
        <v>437</v>
      </c>
      <c r="AV87" s="86"/>
    </row>
    <row r="88" spans="1:48">
      <c r="A88" s="36" t="s">
        <v>495</v>
      </c>
      <c r="C88" s="36" t="s">
        <v>442</v>
      </c>
      <c r="D88" s="36" t="s">
        <v>435</v>
      </c>
      <c r="E88" s="36" t="s">
        <v>63</v>
      </c>
      <c r="F88" s="86">
        <v>2</v>
      </c>
      <c r="G88" s="86">
        <v>4</v>
      </c>
      <c r="H88" s="86">
        <v>0</v>
      </c>
      <c r="I88" s="86">
        <v>31</v>
      </c>
      <c r="J88" s="86">
        <f t="shared" si="1"/>
        <v>4</v>
      </c>
      <c r="K88" s="86"/>
      <c r="AT88" s="86" t="s">
        <v>437</v>
      </c>
      <c r="AV88" s="86"/>
    </row>
    <row r="89" spans="1:48">
      <c r="A89" s="36" t="s">
        <v>496</v>
      </c>
      <c r="C89" s="36" t="s">
        <v>442</v>
      </c>
      <c r="D89" s="36" t="s">
        <v>435</v>
      </c>
      <c r="E89" s="36" t="s">
        <v>67</v>
      </c>
      <c r="F89" s="86">
        <v>4</v>
      </c>
      <c r="G89" s="86">
        <v>4</v>
      </c>
      <c r="H89" s="86">
        <v>0</v>
      </c>
      <c r="I89" s="86">
        <v>36</v>
      </c>
      <c r="J89" s="86">
        <f t="shared" si="1"/>
        <v>4</v>
      </c>
      <c r="K89" s="86"/>
      <c r="AT89" s="86" t="s">
        <v>437</v>
      </c>
      <c r="AV89" s="86"/>
    </row>
    <row r="90" spans="1:48" ht="14.45">
      <c r="A90" s="36" t="s">
        <v>497</v>
      </c>
      <c r="C90" s="36" t="s">
        <v>442</v>
      </c>
      <c r="D90" s="36" t="s">
        <v>435</v>
      </c>
      <c r="E90" s="36" t="s">
        <v>276</v>
      </c>
      <c r="F90" s="86">
        <v>7</v>
      </c>
      <c r="G90" s="86">
        <v>8</v>
      </c>
      <c r="H90" s="86">
        <v>0</v>
      </c>
      <c r="I90" s="14">
        <v>111</v>
      </c>
      <c r="J90" s="86">
        <f t="shared" si="1"/>
        <v>4</v>
      </c>
      <c r="K90" s="45"/>
      <c r="L90" s="86"/>
      <c r="M90" s="86"/>
      <c r="N90" s="45"/>
      <c r="O90" s="44"/>
      <c r="P90" s="86"/>
      <c r="Q90" s="86"/>
      <c r="R90" s="86"/>
      <c r="S90" s="86"/>
      <c r="T90" s="86"/>
      <c r="U90" s="86"/>
      <c r="V90" s="86"/>
      <c r="X90" s="86"/>
      <c r="Z90" s="86"/>
      <c r="AA90" s="86"/>
      <c r="AB90" s="86"/>
      <c r="AC90" s="86"/>
      <c r="AD90" s="86"/>
      <c r="AE90" s="86"/>
      <c r="AF90" s="86"/>
      <c r="AG90" s="86"/>
      <c r="AH90" s="86"/>
      <c r="AI90" s="86"/>
      <c r="AJ90" s="86"/>
      <c r="AK90" s="86"/>
      <c r="AL90" s="86"/>
      <c r="AM90" s="86"/>
      <c r="AN90" s="86"/>
      <c r="AO90" s="86"/>
      <c r="AT90" s="86" t="s">
        <v>437</v>
      </c>
      <c r="AV90" s="86" t="s">
        <v>437</v>
      </c>
    </row>
    <row r="91" spans="1:48" ht="14.45">
      <c r="A91" s="36" t="s">
        <v>650</v>
      </c>
      <c r="C91" s="36" t="s">
        <v>442</v>
      </c>
      <c r="D91" s="36" t="s">
        <v>435</v>
      </c>
      <c r="E91" s="36" t="s">
        <v>276</v>
      </c>
      <c r="F91" s="86">
        <v>6</v>
      </c>
      <c r="G91" s="86">
        <v>7</v>
      </c>
      <c r="H91" s="86">
        <v>0</v>
      </c>
      <c r="I91" s="14">
        <v>111</v>
      </c>
      <c r="J91" s="86">
        <f t="shared" si="1"/>
        <v>4</v>
      </c>
      <c r="K91" s="45"/>
      <c r="L91" s="86"/>
      <c r="M91" s="86"/>
      <c r="N91" s="45"/>
      <c r="O91" s="44"/>
      <c r="P91" s="86"/>
      <c r="Q91" s="86"/>
      <c r="R91" s="86"/>
      <c r="S91" s="86"/>
      <c r="T91" s="86"/>
      <c r="U91" s="86"/>
      <c r="V91" s="86"/>
      <c r="X91" s="86"/>
      <c r="Z91" s="86"/>
      <c r="AA91" s="86"/>
      <c r="AB91" s="86"/>
      <c r="AC91" s="86"/>
      <c r="AD91" s="86"/>
      <c r="AE91" s="86"/>
      <c r="AF91" s="86"/>
      <c r="AG91" s="86"/>
      <c r="AH91" s="86"/>
      <c r="AI91" s="86"/>
      <c r="AJ91" s="86"/>
      <c r="AK91" s="86"/>
      <c r="AL91" s="86"/>
      <c r="AM91" s="86"/>
      <c r="AN91" s="86"/>
      <c r="AO91" s="86"/>
      <c r="AP91" s="86"/>
      <c r="AQ91" s="86"/>
      <c r="AR91" s="86"/>
      <c r="AS91" s="86"/>
      <c r="AT91" s="86" t="s">
        <v>437</v>
      </c>
      <c r="AV91" s="86"/>
    </row>
    <row r="92" spans="1:48" ht="14.45">
      <c r="A92" s="6" t="s">
        <v>542</v>
      </c>
      <c r="B92" s="6"/>
      <c r="C92" s="6"/>
      <c r="D92" s="36" t="s">
        <v>435</v>
      </c>
      <c r="E92" s="6" t="s">
        <v>90</v>
      </c>
      <c r="F92" s="14">
        <v>2</v>
      </c>
      <c r="G92" s="14">
        <v>2</v>
      </c>
      <c r="H92" s="14">
        <v>0</v>
      </c>
      <c r="I92" s="14">
        <v>16</v>
      </c>
      <c r="J92" s="86">
        <f t="shared" si="1"/>
        <v>4</v>
      </c>
      <c r="K92" s="45"/>
      <c r="L92" s="86"/>
      <c r="M92" s="86"/>
      <c r="N92" s="45"/>
      <c r="O92" s="44"/>
      <c r="P92" s="86"/>
      <c r="Q92" s="86"/>
      <c r="R92" s="86"/>
      <c r="S92" s="86"/>
      <c r="T92" s="86"/>
      <c r="U92" s="86"/>
      <c r="V92" s="86"/>
      <c r="X92" s="86"/>
      <c r="Z92" s="86"/>
      <c r="AA92" s="86"/>
      <c r="AB92" s="86"/>
      <c r="AC92" s="86"/>
      <c r="AD92" s="86"/>
      <c r="AE92" s="86"/>
      <c r="AF92" s="86"/>
      <c r="AG92" s="86"/>
      <c r="AH92" s="86"/>
      <c r="AI92" s="86"/>
      <c r="AJ92" s="86"/>
      <c r="AK92" s="86"/>
      <c r="AL92" s="86"/>
      <c r="AM92" s="86"/>
      <c r="AN92" s="86"/>
      <c r="AO92" s="86"/>
      <c r="AP92" s="86"/>
      <c r="AQ92" s="86"/>
      <c r="AR92" s="86"/>
      <c r="AS92" s="86"/>
      <c r="AT92" s="86" t="s">
        <v>437</v>
      </c>
      <c r="AV92" s="86"/>
    </row>
    <row r="93" spans="1:48" ht="14.45">
      <c r="A93" s="6" t="s">
        <v>543</v>
      </c>
      <c r="B93" s="6"/>
      <c r="C93" s="6"/>
      <c r="D93" s="36" t="s">
        <v>435</v>
      </c>
      <c r="E93" s="6" t="s">
        <v>90</v>
      </c>
      <c r="F93" s="14">
        <v>2</v>
      </c>
      <c r="G93" s="14">
        <v>2</v>
      </c>
      <c r="H93" s="14">
        <v>0</v>
      </c>
      <c r="I93" s="14">
        <v>16</v>
      </c>
      <c r="J93" s="86">
        <f t="shared" si="1"/>
        <v>4</v>
      </c>
      <c r="K93" s="45"/>
      <c r="L93" s="86"/>
      <c r="M93" s="86"/>
      <c r="N93" s="45"/>
      <c r="O93" s="44"/>
      <c r="P93" s="86"/>
      <c r="Q93" s="86"/>
      <c r="R93" s="86"/>
      <c r="S93" s="86"/>
      <c r="T93" s="86"/>
      <c r="U93" s="86"/>
      <c r="V93" s="86"/>
      <c r="X93" s="86"/>
      <c r="Z93" s="86"/>
      <c r="AA93" s="86"/>
      <c r="AB93" s="86"/>
      <c r="AC93" s="86"/>
      <c r="AD93" s="86"/>
      <c r="AE93" s="86"/>
      <c r="AF93" s="86"/>
      <c r="AG93" s="86"/>
      <c r="AH93" s="86"/>
      <c r="AI93" s="86"/>
      <c r="AJ93" s="86"/>
      <c r="AK93" s="86"/>
      <c r="AL93" s="86"/>
      <c r="AM93" s="86"/>
      <c r="AN93" s="86"/>
      <c r="AO93" s="86"/>
      <c r="AP93" s="86"/>
      <c r="AQ93" s="86"/>
      <c r="AR93" s="86"/>
      <c r="AS93" s="86"/>
      <c r="AT93" s="86" t="s">
        <v>437</v>
      </c>
      <c r="AV93" s="86"/>
    </row>
    <row r="94" spans="1:48" ht="14.45">
      <c r="A94" s="6" t="s">
        <v>544</v>
      </c>
      <c r="B94" s="6"/>
      <c r="C94" s="6" t="s">
        <v>442</v>
      </c>
      <c r="D94" s="36" t="s">
        <v>435</v>
      </c>
      <c r="E94" s="6" t="s">
        <v>94</v>
      </c>
      <c r="F94" s="14">
        <v>6</v>
      </c>
      <c r="G94" s="14">
        <v>5</v>
      </c>
      <c r="H94" s="14">
        <v>0</v>
      </c>
      <c r="I94" s="14">
        <v>41</v>
      </c>
      <c r="J94" s="86">
        <f t="shared" si="1"/>
        <v>4</v>
      </c>
      <c r="K94" s="45"/>
      <c r="L94" s="86"/>
      <c r="M94" s="86"/>
      <c r="N94" s="45"/>
      <c r="O94" s="44"/>
      <c r="P94" s="86"/>
      <c r="Q94" s="86"/>
      <c r="R94" s="86"/>
      <c r="S94" s="86"/>
      <c r="T94" s="86"/>
      <c r="U94" s="86"/>
      <c r="V94" s="86"/>
      <c r="X94" s="86"/>
      <c r="Z94" s="86"/>
      <c r="AA94" s="86"/>
      <c r="AB94" s="86"/>
      <c r="AC94" s="86"/>
      <c r="AD94" s="86"/>
      <c r="AE94" s="86"/>
      <c r="AF94" s="86"/>
      <c r="AG94" s="86"/>
      <c r="AH94" s="86"/>
      <c r="AI94" s="86"/>
      <c r="AJ94" s="86"/>
      <c r="AK94" s="86"/>
      <c r="AL94" s="86"/>
      <c r="AM94" s="86"/>
      <c r="AN94" s="86"/>
      <c r="AO94" s="86"/>
      <c r="AP94" s="86"/>
      <c r="AQ94" s="86"/>
      <c r="AR94" s="86"/>
      <c r="AS94" s="86"/>
      <c r="AT94" s="86" t="s">
        <v>437</v>
      </c>
      <c r="AV94" s="86"/>
    </row>
    <row r="95" spans="1:48" ht="14.45">
      <c r="A95" s="6" t="s">
        <v>545</v>
      </c>
      <c r="B95" s="6"/>
      <c r="C95" s="6"/>
      <c r="D95" s="36" t="s">
        <v>435</v>
      </c>
      <c r="E95" s="6" t="s">
        <v>98</v>
      </c>
      <c r="F95" s="14">
        <v>2</v>
      </c>
      <c r="G95" s="14">
        <v>2</v>
      </c>
      <c r="H95" s="14">
        <v>0</v>
      </c>
      <c r="I95" s="14">
        <v>31</v>
      </c>
      <c r="J95" s="86">
        <f t="shared" si="1"/>
        <v>4</v>
      </c>
      <c r="K95" s="45"/>
      <c r="L95" s="86"/>
      <c r="M95" s="86"/>
      <c r="N95" s="45"/>
      <c r="O95" s="44"/>
      <c r="P95" s="86"/>
      <c r="Q95" s="86"/>
      <c r="R95" s="86"/>
      <c r="S95" s="86"/>
      <c r="T95" s="86"/>
      <c r="U95" s="86"/>
      <c r="V95" s="86"/>
      <c r="X95" s="86"/>
      <c r="Z95" s="86"/>
      <c r="AA95" s="86"/>
      <c r="AB95" s="86"/>
      <c r="AC95" s="86"/>
      <c r="AD95" s="86"/>
      <c r="AE95" s="86"/>
      <c r="AF95" s="86"/>
      <c r="AG95" s="86"/>
      <c r="AH95" s="86"/>
      <c r="AI95" s="86"/>
      <c r="AJ95" s="86"/>
      <c r="AK95" s="86"/>
      <c r="AL95" s="86"/>
      <c r="AM95" s="86"/>
      <c r="AN95" s="86"/>
      <c r="AO95" s="86"/>
      <c r="AP95" s="86"/>
      <c r="AQ95" s="86"/>
      <c r="AR95" s="86"/>
      <c r="AS95" s="86"/>
      <c r="AT95" s="86" t="s">
        <v>437</v>
      </c>
      <c r="AV95" s="86"/>
    </row>
    <row r="96" spans="1:48" s="6" customFormat="1" ht="13.5" customHeight="1">
      <c r="A96" s="6" t="s">
        <v>498</v>
      </c>
      <c r="D96" s="6" t="s">
        <v>499</v>
      </c>
      <c r="E96" s="6" t="s">
        <v>670</v>
      </c>
      <c r="F96" s="14">
        <v>6</v>
      </c>
      <c r="G96" s="14">
        <v>36</v>
      </c>
      <c r="H96" s="14">
        <v>0</v>
      </c>
      <c r="I96" s="14">
        <v>150</v>
      </c>
      <c r="J96" s="86">
        <f t="shared" si="1"/>
        <v>16</v>
      </c>
      <c r="K96" s="14" t="s">
        <v>671</v>
      </c>
      <c r="L96" s="14"/>
      <c r="M96" s="14"/>
      <c r="N96" s="2"/>
      <c r="O96"/>
      <c r="P96" s="14"/>
      <c r="Q96" s="14"/>
      <c r="R96" s="14"/>
      <c r="S96" s="14"/>
      <c r="T96" s="14"/>
      <c r="U96" s="14"/>
      <c r="V96" s="14">
        <v>6000</v>
      </c>
      <c r="W96" s="14" t="s">
        <v>671</v>
      </c>
      <c r="X96" s="14"/>
      <c r="AP96" s="86"/>
      <c r="AQ96" s="86"/>
      <c r="AR96" s="86"/>
      <c r="AS96" s="86"/>
      <c r="AT96" s="14"/>
      <c r="AV96" s="14"/>
    </row>
    <row r="97" spans="1:50" s="6" customFormat="1" ht="13.5" customHeight="1">
      <c r="A97" s="6" t="s">
        <v>501</v>
      </c>
      <c r="D97" s="6" t="s">
        <v>499</v>
      </c>
      <c r="E97" s="6" t="s">
        <v>672</v>
      </c>
      <c r="F97" s="14">
        <f>IF($F$65&lt;&gt;"4TB",4,6)</f>
        <v>4</v>
      </c>
      <c r="G97" s="14">
        <v>4</v>
      </c>
      <c r="H97" s="14">
        <v>0</v>
      </c>
      <c r="I97" s="14">
        <v>21</v>
      </c>
      <c r="J97" s="86">
        <f t="shared" si="1"/>
        <v>4</v>
      </c>
      <c r="K97" s="14" t="s">
        <v>671</v>
      </c>
      <c r="L97" s="14"/>
      <c r="M97" s="14"/>
      <c r="N97" s="2"/>
      <c r="O97"/>
      <c r="P97" s="14"/>
      <c r="Q97" s="14"/>
      <c r="R97" s="14"/>
      <c r="S97" s="14"/>
      <c r="T97" s="14"/>
      <c r="U97" s="14"/>
      <c r="V97" s="14"/>
      <c r="W97" s="14"/>
      <c r="X97" s="14"/>
      <c r="AT97" s="14"/>
      <c r="AV97" s="14"/>
    </row>
    <row r="98" spans="1:50" s="6" customFormat="1" ht="13.5" customHeight="1">
      <c r="A98" s="6" t="s">
        <v>627</v>
      </c>
      <c r="D98" s="6" t="s">
        <v>499</v>
      </c>
      <c r="E98" s="6" t="s">
        <v>673</v>
      </c>
      <c r="F98" s="14">
        <v>4</v>
      </c>
      <c r="G98" s="14">
        <v>4</v>
      </c>
      <c r="H98" s="14">
        <v>0</v>
      </c>
      <c r="I98" s="14">
        <v>21</v>
      </c>
      <c r="J98" s="86">
        <f t="shared" si="1"/>
        <v>4</v>
      </c>
      <c r="K98" s="14" t="s">
        <v>671</v>
      </c>
      <c r="L98" s="14"/>
      <c r="M98" s="14"/>
      <c r="N98" s="2"/>
      <c r="O98"/>
      <c r="P98" s="14"/>
      <c r="Q98" s="14"/>
      <c r="R98" s="14"/>
      <c r="S98" s="14"/>
      <c r="T98" s="14"/>
      <c r="U98" s="14"/>
      <c r="V98" s="14"/>
      <c r="W98" s="14"/>
      <c r="X98" s="14"/>
      <c r="AT98" s="14"/>
      <c r="AV98" s="14"/>
    </row>
    <row r="99" spans="1:50" s="6" customFormat="1" ht="13.5" customHeight="1">
      <c r="A99" s="6" t="s">
        <v>503</v>
      </c>
      <c r="D99" s="6" t="s">
        <v>504</v>
      </c>
      <c r="E99" s="6" t="s">
        <v>138</v>
      </c>
      <c r="F99" s="14">
        <v>2</v>
      </c>
      <c r="G99" s="14">
        <v>4</v>
      </c>
      <c r="H99" s="14">
        <v>0</v>
      </c>
      <c r="I99" s="14">
        <v>200</v>
      </c>
      <c r="J99" s="14">
        <f>IF(G99&gt;=10,16, 4)</f>
        <v>4</v>
      </c>
      <c r="K99" s="14" t="s">
        <v>546</v>
      </c>
      <c r="L99" s="86"/>
      <c r="M99" s="86"/>
      <c r="N99" s="86"/>
      <c r="O99" s="86"/>
      <c r="P99" s="86"/>
      <c r="Q99" s="86"/>
      <c r="R99" s="86"/>
      <c r="S99" s="86"/>
      <c r="T99" s="86"/>
      <c r="U99" s="86"/>
      <c r="V99" s="14"/>
      <c r="W99" s="14"/>
      <c r="X99" s="14"/>
      <c r="AJ99" s="14"/>
      <c r="AK99" s="14"/>
      <c r="AL99" s="14"/>
      <c r="AN99" s="14"/>
      <c r="AT99" s="14" t="s">
        <v>437</v>
      </c>
      <c r="AU99" s="14"/>
      <c r="AV99" s="14"/>
    </row>
    <row r="100" spans="1:50" s="6" customFormat="1" ht="13.5" customHeight="1">
      <c r="A100" s="154" t="s">
        <v>505</v>
      </c>
      <c r="B100" s="19"/>
      <c r="C100" s="19"/>
      <c r="D100" s="19" t="s">
        <v>504</v>
      </c>
      <c r="E100" s="19" t="s">
        <v>140</v>
      </c>
      <c r="F100" s="17">
        <v>14</v>
      </c>
      <c r="G100" s="17">
        <v>44</v>
      </c>
      <c r="H100" s="17">
        <v>0</v>
      </c>
      <c r="I100" s="17">
        <v>900</v>
      </c>
      <c r="J100" s="17">
        <v>44</v>
      </c>
      <c r="K100" s="17" t="s">
        <v>547</v>
      </c>
      <c r="L100" s="39"/>
      <c r="M100" s="39"/>
      <c r="N100" s="39"/>
      <c r="O100" s="39"/>
      <c r="P100" s="39"/>
      <c r="Q100" s="39"/>
      <c r="R100" s="39"/>
      <c r="S100" s="39"/>
      <c r="T100" s="19"/>
      <c r="U100" s="39"/>
      <c r="V100" s="39">
        <v>8300</v>
      </c>
      <c r="W100" s="17" t="s">
        <v>548</v>
      </c>
      <c r="X100" s="17"/>
      <c r="Y100" s="19"/>
      <c r="Z100" s="19"/>
      <c r="AA100" s="19"/>
      <c r="AB100" s="19"/>
      <c r="AC100" s="19"/>
      <c r="AD100" s="19"/>
      <c r="AE100" s="19"/>
      <c r="AF100" s="19"/>
      <c r="AG100" s="19"/>
      <c r="AH100" s="19"/>
      <c r="AI100" s="19"/>
      <c r="AJ100" s="19"/>
      <c r="AK100" s="17"/>
      <c r="AL100" s="17"/>
      <c r="AM100" s="19"/>
      <c r="AN100" s="17"/>
      <c r="AO100" s="19"/>
      <c r="AP100" s="19"/>
      <c r="AQ100" s="19"/>
      <c r="AR100" s="19"/>
      <c r="AS100" s="19"/>
      <c r="AT100" s="17" t="s">
        <v>437</v>
      </c>
      <c r="AU100" s="17"/>
      <c r="AV100" s="17"/>
      <c r="AW100" s="19"/>
      <c r="AX100" s="19"/>
    </row>
    <row r="101" spans="1:50" s="6" customFormat="1" ht="13.5" customHeight="1">
      <c r="A101" s="6" t="s">
        <v>549</v>
      </c>
      <c r="C101" s="6" t="s">
        <v>442</v>
      </c>
      <c r="D101" s="6" t="s">
        <v>435</v>
      </c>
      <c r="E101" s="6" t="s">
        <v>110</v>
      </c>
      <c r="F101" s="14">
        <v>10</v>
      </c>
      <c r="G101" s="14">
        <v>32</v>
      </c>
      <c r="H101" s="14">
        <v>0</v>
      </c>
      <c r="I101" s="14">
        <v>71</v>
      </c>
      <c r="J101" s="86">
        <f t="shared" si="1"/>
        <v>16</v>
      </c>
      <c r="K101" s="14"/>
      <c r="L101" s="14"/>
      <c r="M101" s="14"/>
      <c r="N101" s="2"/>
      <c r="O101"/>
      <c r="P101" s="14"/>
      <c r="Q101" s="14"/>
      <c r="R101" s="14"/>
      <c r="S101" s="14"/>
      <c r="T101" s="14"/>
      <c r="U101" s="14"/>
      <c r="V101" s="14"/>
      <c r="W101" s="14"/>
      <c r="X101" s="14"/>
      <c r="AF101" s="14">
        <v>225</v>
      </c>
      <c r="AG101" s="86" t="s">
        <v>550</v>
      </c>
      <c r="AH101" s="86"/>
      <c r="AI101" s="86"/>
      <c r="AJ101" s="86"/>
      <c r="AK101" s="86"/>
      <c r="AL101" s="86"/>
      <c r="AM101" s="86"/>
      <c r="AN101" s="86"/>
      <c r="AO101" s="86"/>
      <c r="AT101" s="14" t="s">
        <v>437</v>
      </c>
      <c r="AV101" s="14"/>
    </row>
    <row r="102" spans="1:50" s="6" customFormat="1" ht="13.5" customHeight="1">
      <c r="A102" s="19" t="s">
        <v>551</v>
      </c>
      <c r="B102" s="19"/>
      <c r="C102" s="19" t="s">
        <v>442</v>
      </c>
      <c r="D102" s="19" t="s">
        <v>435</v>
      </c>
      <c r="E102" s="19" t="s">
        <v>122</v>
      </c>
      <c r="F102" s="17">
        <v>2</v>
      </c>
      <c r="G102" s="17">
        <v>10</v>
      </c>
      <c r="H102" s="17">
        <v>0</v>
      </c>
      <c r="I102" s="17">
        <v>60</v>
      </c>
      <c r="J102" s="39">
        <f t="shared" si="1"/>
        <v>16</v>
      </c>
      <c r="K102" s="17"/>
      <c r="L102" s="17"/>
      <c r="M102" s="17"/>
      <c r="N102" s="99"/>
      <c r="O102" s="98"/>
      <c r="P102" s="17"/>
      <c r="Q102" s="17"/>
      <c r="R102" s="17"/>
      <c r="S102" s="17"/>
      <c r="T102" s="17"/>
      <c r="U102" s="17"/>
      <c r="V102" s="17"/>
      <c r="W102" s="17"/>
      <c r="X102" s="17"/>
      <c r="Y102" s="19"/>
      <c r="Z102" s="19"/>
      <c r="AA102" s="19"/>
      <c r="AB102" s="19"/>
      <c r="AC102" s="19"/>
      <c r="AD102" s="19"/>
      <c r="AE102" s="19"/>
      <c r="AF102" s="17"/>
      <c r="AG102" s="39"/>
      <c r="AH102" s="39"/>
      <c r="AI102" s="39"/>
      <c r="AJ102" s="39"/>
      <c r="AK102" s="39"/>
      <c r="AL102" s="39"/>
      <c r="AM102" s="39"/>
      <c r="AN102" s="39"/>
      <c r="AO102" s="39"/>
      <c r="AP102" s="19"/>
      <c r="AQ102" s="19"/>
      <c r="AR102" s="19"/>
      <c r="AS102" s="19"/>
      <c r="AT102" s="17" t="s">
        <v>437</v>
      </c>
      <c r="AU102" s="19"/>
      <c r="AV102" s="17"/>
      <c r="AW102" s="19"/>
    </row>
    <row r="103" spans="1:50">
      <c r="F103" s="86">
        <f>SUM(F68:F102)+F53</f>
        <v>493</v>
      </c>
      <c r="G103" s="86">
        <f>SUM(G68:G102)+G53</f>
        <v>1521</v>
      </c>
      <c r="H103" s="86">
        <f>SUM(H68:H102)+H53</f>
        <v>715</v>
      </c>
      <c r="I103" s="86">
        <f>SUM(I68:I102)+I53</f>
        <v>8166</v>
      </c>
      <c r="J103" s="86"/>
      <c r="K103" s="86"/>
      <c r="L103" s="86">
        <f>SUM(L68:L102)+L53</f>
        <v>1600</v>
      </c>
      <c r="M103" s="86"/>
      <c r="N103" s="86">
        <f>SUM(N68:N102)+N53</f>
        <v>29500</v>
      </c>
      <c r="O103" s="86"/>
      <c r="P103" s="86">
        <f>SUM(P68:P102)+P53</f>
        <v>22700</v>
      </c>
      <c r="Q103" s="86"/>
      <c r="R103" s="86">
        <f>SUM(R68:R102)+R53</f>
        <v>3520</v>
      </c>
      <c r="S103" s="86"/>
      <c r="T103" s="86">
        <f>SUM(T68:T102)+T53</f>
        <v>300</v>
      </c>
      <c r="U103" s="86"/>
      <c r="V103" s="86">
        <f>SUM(V68:V102)</f>
        <v>14300</v>
      </c>
      <c r="W103" s="86"/>
      <c r="X103" s="86">
        <f>SUM(X68:X102)+X53</f>
        <v>53220</v>
      </c>
      <c r="Z103" s="86">
        <f>SUM(Z68:Z102)+Z53</f>
        <v>332</v>
      </c>
      <c r="AB103" s="86">
        <f>SUM(AB68:AB102)+AB53</f>
        <v>50</v>
      </c>
      <c r="AD103" s="86">
        <f>SUM(AD68:AD102)+AD53</f>
        <v>200</v>
      </c>
      <c r="AF103" s="86">
        <f>SUM(AF68:AF102)+AF53</f>
        <v>225</v>
      </c>
      <c r="AH103" s="86">
        <f>SUM(AH68:AH102)+AH53</f>
        <v>200</v>
      </c>
      <c r="AJ103" s="86">
        <f>SUM(AJ68:AJ102)+AJ53</f>
        <v>405</v>
      </c>
      <c r="AL103" s="86">
        <f>SUM(AL68:AL102)+AL53</f>
        <v>0</v>
      </c>
      <c r="AN103" s="86">
        <f>SUM(AN68:AN102)+AN53</f>
        <v>0</v>
      </c>
      <c r="AP103" s="86">
        <f>SUM(AP69:AP102)+AP53</f>
        <v>6144</v>
      </c>
      <c r="AT103" s="14">
        <f>COUNTIF(AT68:AT102,"x")+AT53</f>
        <v>68</v>
      </c>
      <c r="AU103" s="14">
        <f>COUNTIF(AU68:AU102,"x")+AU53</f>
        <v>14</v>
      </c>
      <c r="AV103" s="14">
        <f>COUNTIF(AV68:AV102,"x")+AV53</f>
        <v>3</v>
      </c>
    </row>
    <row r="104" spans="1:50">
      <c r="F104" s="86"/>
      <c r="G104" s="86"/>
      <c r="H104" s="86"/>
      <c r="I104" s="86"/>
      <c r="J104" s="86"/>
      <c r="K104" s="86"/>
      <c r="L104" s="86"/>
      <c r="M104" s="86"/>
      <c r="N104" s="86"/>
      <c r="O104" s="86"/>
      <c r="P104" s="86"/>
      <c r="Q104" s="86"/>
      <c r="R104" s="86"/>
      <c r="S104" s="86"/>
      <c r="T104" s="86"/>
      <c r="U104" s="86"/>
      <c r="V104" s="86"/>
      <c r="W104" s="86"/>
      <c r="X104" s="86"/>
      <c r="Z104" s="86"/>
      <c r="AP104" s="6"/>
      <c r="AQ104" s="6"/>
      <c r="AR104" s="6"/>
      <c r="AS104" s="6"/>
      <c r="AU104" s="86"/>
      <c r="AV104" s="86"/>
    </row>
    <row r="105" spans="1:50" ht="12.95">
      <c r="A105" s="16" t="s">
        <v>552</v>
      </c>
    </row>
    <row r="106" spans="1:50" s="6" customFormat="1" ht="14.1" customHeight="1">
      <c r="A106" s="6" t="s">
        <v>553</v>
      </c>
      <c r="C106" s="6" t="s">
        <v>554</v>
      </c>
      <c r="D106" s="6" t="s">
        <v>499</v>
      </c>
      <c r="E106" s="6" t="s">
        <v>555</v>
      </c>
      <c r="F106" s="14">
        <v>4</v>
      </c>
      <c r="G106" s="14">
        <v>4</v>
      </c>
      <c r="H106" s="14">
        <v>0</v>
      </c>
      <c r="I106" s="14">
        <v>25</v>
      </c>
      <c r="J106" s="86">
        <f>IF(G106&gt;=10,16, 4)</f>
        <v>4</v>
      </c>
      <c r="K106" s="86" t="s">
        <v>556</v>
      </c>
      <c r="N106" s="97"/>
      <c r="O106"/>
      <c r="P106" s="14"/>
      <c r="Q106" s="14"/>
      <c r="R106" s="14"/>
      <c r="S106" s="14"/>
      <c r="T106" s="14"/>
      <c r="U106" s="14"/>
      <c r="V106" s="14"/>
      <c r="W106" s="14"/>
      <c r="X106" s="14"/>
      <c r="AP106" s="36"/>
      <c r="AQ106" s="36"/>
      <c r="AR106" s="36"/>
      <c r="AS106" s="36"/>
      <c r="AT106" s="14" t="s">
        <v>437</v>
      </c>
      <c r="AV106" s="14"/>
    </row>
    <row r="107" spans="1:50" s="19" customFormat="1" ht="13.5" customHeight="1">
      <c r="A107" s="19" t="s">
        <v>557</v>
      </c>
      <c r="C107" s="19" t="s">
        <v>554</v>
      </c>
      <c r="D107" s="19" t="s">
        <v>499</v>
      </c>
      <c r="E107" s="19" t="s">
        <v>558</v>
      </c>
      <c r="F107" s="17">
        <v>4</v>
      </c>
      <c r="G107" s="17">
        <v>4</v>
      </c>
      <c r="H107" s="17">
        <v>0</v>
      </c>
      <c r="I107" s="17">
        <v>25</v>
      </c>
      <c r="J107" s="17">
        <f>IF(G107&gt;=10,16, 4)</f>
        <v>4</v>
      </c>
      <c r="K107" s="39" t="s">
        <v>556</v>
      </c>
      <c r="AT107" s="17" t="s">
        <v>437</v>
      </c>
    </row>
    <row r="108" spans="1:50" ht="12.95">
      <c r="A108" s="16"/>
      <c r="F108" s="86">
        <f>SUM(F106:F107)+F103</f>
        <v>501</v>
      </c>
      <c r="G108" s="86">
        <f>SUM(G106:G107)+G103</f>
        <v>1529</v>
      </c>
      <c r="H108" s="86">
        <f>SUM(H106:H107)+H103</f>
        <v>715</v>
      </c>
      <c r="I108" s="86">
        <f>SUM(I106:I107)+I103</f>
        <v>8216</v>
      </c>
      <c r="L108" s="86">
        <f>SUM(L106:L107)+L103</f>
        <v>1600</v>
      </c>
      <c r="N108" s="86">
        <f>SUM(N106:N107)+N103</f>
        <v>29500</v>
      </c>
      <c r="P108" s="86">
        <f>SUM(P106:P107)+P103</f>
        <v>22700</v>
      </c>
      <c r="R108" s="86">
        <f>SUM(R106:R107)+R103</f>
        <v>3520</v>
      </c>
      <c r="T108" s="86">
        <f>SUM(T106:T107)+T103</f>
        <v>300</v>
      </c>
      <c r="V108" s="86">
        <f>SUM(V106:V107)+V103</f>
        <v>14300</v>
      </c>
      <c r="X108" s="86">
        <f>SUM(X106:X107)+X103</f>
        <v>53220</v>
      </c>
      <c r="Z108" s="86">
        <f>SUM(Z106:Z107)+Z103</f>
        <v>332</v>
      </c>
      <c r="AB108" s="86">
        <f>SUM(AB106:AB107)+AB103</f>
        <v>50</v>
      </c>
      <c r="AD108" s="86">
        <f>SUM(AD106:AD107)+AD103</f>
        <v>200</v>
      </c>
      <c r="AF108" s="86">
        <f>SUM(AF106:AF107)+AF103</f>
        <v>225</v>
      </c>
      <c r="AH108" s="86">
        <f>SUM(AH106:AH107)+AH103</f>
        <v>200</v>
      </c>
      <c r="AJ108" s="86">
        <f>SUM(AJ106:AJ107)+AJ103</f>
        <v>405</v>
      </c>
      <c r="AL108" s="86">
        <f>SUM(AL106:AL107)+AL103</f>
        <v>0</v>
      </c>
      <c r="AN108" s="86">
        <f>SUM(AN106:AN107)+AN103</f>
        <v>0</v>
      </c>
      <c r="AP108" s="14">
        <f>SUM(AP107:AP107)+AP103</f>
        <v>6144</v>
      </c>
      <c r="AQ108" s="6"/>
      <c r="AR108" s="6"/>
      <c r="AS108" s="6"/>
      <c r="AT108" s="14">
        <f>COUNTIF(AT106:AT107,"x")+AT103</f>
        <v>70</v>
      </c>
      <c r="AU108" s="14">
        <f>COUNTIF(AU106:AU107,"x")+AU103</f>
        <v>14</v>
      </c>
      <c r="AV108" s="14">
        <f>COUNTIF(AV106:AV107,"x")+AV103</f>
        <v>3</v>
      </c>
    </row>
    <row r="109" spans="1:50" ht="12.95">
      <c r="A109" s="16"/>
    </row>
    <row r="110" spans="1:50" ht="12.95">
      <c r="A110" s="16" t="s">
        <v>559</v>
      </c>
    </row>
    <row r="111" spans="1:50">
      <c r="A111" s="6" t="s">
        <v>560</v>
      </c>
      <c r="B111" s="6"/>
      <c r="C111" s="6" t="s">
        <v>561</v>
      </c>
      <c r="D111" s="6" t="s">
        <v>562</v>
      </c>
      <c r="E111" s="6" t="s">
        <v>42</v>
      </c>
      <c r="F111" s="14">
        <v>2</v>
      </c>
      <c r="G111" s="14">
        <v>4</v>
      </c>
      <c r="H111" s="14">
        <v>4</v>
      </c>
      <c r="I111" s="14">
        <v>350</v>
      </c>
      <c r="J111" s="86">
        <f t="shared" ref="J111:J120" si="2">IF(G111&gt;=10,16, 4)</f>
        <v>4</v>
      </c>
      <c r="K111" s="86" t="s">
        <v>563</v>
      </c>
      <c r="L111" s="86"/>
      <c r="M111" s="86"/>
      <c r="N111" s="86"/>
      <c r="O111" s="86"/>
      <c r="P111" s="86"/>
      <c r="Q111" s="86"/>
      <c r="R111" s="86"/>
      <c r="S111" s="86"/>
      <c r="T111" s="86"/>
      <c r="U111" s="86"/>
      <c r="V111" s="86"/>
      <c r="Z111" s="86"/>
      <c r="AA111" s="86"/>
      <c r="AB111" s="86"/>
      <c r="AC111" s="86"/>
      <c r="AD111" s="86"/>
      <c r="AE111" s="86"/>
      <c r="AF111" s="86"/>
      <c r="AG111" s="86"/>
      <c r="AH111" s="86"/>
      <c r="AI111" s="86"/>
      <c r="AJ111" s="86"/>
      <c r="AK111" s="86"/>
      <c r="AL111" s="86"/>
      <c r="AM111" s="86"/>
      <c r="AN111" s="86"/>
      <c r="AO111" s="86"/>
      <c r="AT111" s="86" t="s">
        <v>437</v>
      </c>
      <c r="AU111" s="86"/>
      <c r="AV111" s="86"/>
    </row>
    <row r="112" spans="1:50">
      <c r="A112" s="6" t="s">
        <v>565</v>
      </c>
      <c r="B112" s="6"/>
      <c r="C112" s="6" t="s">
        <v>561</v>
      </c>
      <c r="D112" s="6" t="s">
        <v>562</v>
      </c>
      <c r="E112" s="6" t="s">
        <v>566</v>
      </c>
      <c r="F112" s="14">
        <v>6</v>
      </c>
      <c r="G112" s="14">
        <v>10</v>
      </c>
      <c r="H112" s="14">
        <v>10</v>
      </c>
      <c r="I112" s="14">
        <v>100</v>
      </c>
      <c r="J112" s="86">
        <f t="shared" si="2"/>
        <v>16</v>
      </c>
      <c r="K112" s="86" t="s">
        <v>563</v>
      </c>
      <c r="L112" s="86"/>
      <c r="M112" s="86"/>
      <c r="N112" s="86">
        <v>200</v>
      </c>
      <c r="O112" s="86" t="s">
        <v>564</v>
      </c>
      <c r="P112" s="86"/>
      <c r="Q112" s="86"/>
      <c r="R112" s="86"/>
      <c r="S112" s="86"/>
      <c r="T112" s="86"/>
      <c r="U112" s="86"/>
      <c r="V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t="s">
        <v>437</v>
      </c>
      <c r="AU112" s="86"/>
      <c r="AV112" s="86"/>
    </row>
    <row r="113" spans="1:48">
      <c r="A113" s="6" t="s">
        <v>567</v>
      </c>
      <c r="B113" s="6"/>
      <c r="C113" s="6" t="s">
        <v>561</v>
      </c>
      <c r="D113" s="6" t="s">
        <v>562</v>
      </c>
      <c r="E113" s="6" t="s">
        <v>568</v>
      </c>
      <c r="F113" s="14">
        <v>8</v>
      </c>
      <c r="G113" s="14">
        <v>16</v>
      </c>
      <c r="H113" s="14">
        <v>16</v>
      </c>
      <c r="I113" s="14">
        <v>60</v>
      </c>
      <c r="J113" s="86">
        <f t="shared" si="2"/>
        <v>16</v>
      </c>
      <c r="K113" s="86" t="s">
        <v>569</v>
      </c>
      <c r="L113" s="86"/>
      <c r="M113" s="86"/>
      <c r="N113" s="86"/>
      <c r="O113" s="86"/>
      <c r="P113" s="86"/>
      <c r="Q113" s="86"/>
      <c r="R113" s="86"/>
      <c r="S113" s="86"/>
      <c r="T113" s="86"/>
      <c r="U113" s="86"/>
      <c r="V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t="s">
        <v>437</v>
      </c>
      <c r="AU113" s="14" t="s">
        <v>437</v>
      </c>
      <c r="AV113" s="86"/>
    </row>
    <row r="114" spans="1:48">
      <c r="A114" s="6" t="s">
        <v>570</v>
      </c>
      <c r="B114" s="6"/>
      <c r="C114" s="6" t="s">
        <v>561</v>
      </c>
      <c r="D114" s="6" t="s">
        <v>562</v>
      </c>
      <c r="E114" s="6" t="s">
        <v>571</v>
      </c>
      <c r="F114" s="14">
        <v>10</v>
      </c>
      <c r="G114" s="14">
        <v>10</v>
      </c>
      <c r="H114" s="14">
        <v>10</v>
      </c>
      <c r="I114" s="14">
        <v>40</v>
      </c>
      <c r="J114" s="86">
        <f t="shared" si="2"/>
        <v>16</v>
      </c>
      <c r="K114" s="86" t="s">
        <v>569</v>
      </c>
      <c r="L114" s="86"/>
      <c r="M114" s="86"/>
      <c r="N114" s="86"/>
      <c r="O114" s="86"/>
      <c r="P114" s="86"/>
      <c r="Q114" s="86"/>
      <c r="R114" s="86"/>
      <c r="S114" s="86"/>
      <c r="T114" s="86"/>
      <c r="U114" s="86"/>
      <c r="V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t="s">
        <v>437</v>
      </c>
      <c r="AU114" s="14" t="s">
        <v>437</v>
      </c>
      <c r="AV114" s="86"/>
    </row>
    <row r="115" spans="1:48">
      <c r="A115" s="6" t="s">
        <v>572</v>
      </c>
      <c r="B115" s="6"/>
      <c r="C115" s="6" t="s">
        <v>561</v>
      </c>
      <c r="D115" s="6" t="s">
        <v>562</v>
      </c>
      <c r="E115" s="6" t="s">
        <v>573</v>
      </c>
      <c r="F115" s="14">
        <v>4</v>
      </c>
      <c r="G115" s="14">
        <v>16</v>
      </c>
      <c r="H115" s="14">
        <v>0</v>
      </c>
      <c r="I115" s="14">
        <v>550</v>
      </c>
      <c r="J115" s="86">
        <f t="shared" si="2"/>
        <v>16</v>
      </c>
      <c r="K115" s="86" t="s">
        <v>574</v>
      </c>
      <c r="L115" s="86"/>
      <c r="M115" s="86"/>
      <c r="N115" s="86"/>
      <c r="O115" s="86"/>
      <c r="P115" s="86"/>
      <c r="Q115" s="86"/>
      <c r="R115" s="86"/>
      <c r="S115" s="86"/>
      <c r="T115" s="86"/>
      <c r="U115" s="86"/>
      <c r="V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t="s">
        <v>437</v>
      </c>
      <c r="AU115" s="14" t="s">
        <v>437</v>
      </c>
      <c r="AV115" s="86"/>
    </row>
    <row r="116" spans="1:48">
      <c r="A116" s="6" t="s">
        <v>576</v>
      </c>
      <c r="B116" s="6"/>
      <c r="C116" s="6" t="s">
        <v>561</v>
      </c>
      <c r="D116" s="6" t="s">
        <v>562</v>
      </c>
      <c r="E116" s="6" t="s">
        <v>577</v>
      </c>
      <c r="F116" s="14">
        <v>2</v>
      </c>
      <c r="G116" s="14">
        <v>4</v>
      </c>
      <c r="H116" s="14">
        <v>4</v>
      </c>
      <c r="I116" s="14">
        <v>40</v>
      </c>
      <c r="J116" s="86">
        <f t="shared" si="2"/>
        <v>4</v>
      </c>
      <c r="K116" s="86" t="s">
        <v>569</v>
      </c>
      <c r="L116" s="86"/>
      <c r="M116" s="86"/>
      <c r="N116" s="86"/>
      <c r="O116" s="86"/>
      <c r="P116" s="86"/>
      <c r="Q116" s="86"/>
      <c r="R116" s="86">
        <v>50</v>
      </c>
      <c r="S116" s="86" t="s">
        <v>575</v>
      </c>
      <c r="T116" s="86"/>
      <c r="U116" s="86"/>
      <c r="V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t="s">
        <v>437</v>
      </c>
      <c r="AU116" s="86"/>
      <c r="AV116" s="86"/>
    </row>
    <row r="117" spans="1:48">
      <c r="A117" s="36" t="s">
        <v>578</v>
      </c>
      <c r="C117" s="6" t="s">
        <v>579</v>
      </c>
      <c r="D117" s="36" t="s">
        <v>562</v>
      </c>
      <c r="E117" s="6" t="s">
        <v>86</v>
      </c>
      <c r="F117" s="86">
        <v>8</v>
      </c>
      <c r="G117" s="86">
        <v>32</v>
      </c>
      <c r="H117" s="14">
        <v>0</v>
      </c>
      <c r="I117" s="86">
        <v>80</v>
      </c>
      <c r="J117" s="86">
        <f t="shared" si="2"/>
        <v>16</v>
      </c>
      <c r="K117" s="86" t="s">
        <v>580</v>
      </c>
      <c r="L117" s="86"/>
      <c r="M117" s="86"/>
      <c r="N117" s="86"/>
      <c r="O117" s="86"/>
      <c r="P117" s="86"/>
      <c r="Q117" s="86"/>
      <c r="R117" s="86"/>
      <c r="S117" s="86"/>
      <c r="T117" s="86"/>
      <c r="U117" s="86"/>
      <c r="V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t="s">
        <v>437</v>
      </c>
      <c r="AU117" s="86"/>
      <c r="AV117" s="86"/>
    </row>
    <row r="118" spans="1:48">
      <c r="A118" s="36" t="s">
        <v>581</v>
      </c>
      <c r="C118" s="6" t="s">
        <v>579</v>
      </c>
      <c r="D118" s="36" t="s">
        <v>562</v>
      </c>
      <c r="E118" s="6" t="s">
        <v>86</v>
      </c>
      <c r="F118" s="86">
        <v>8</v>
      </c>
      <c r="G118" s="86">
        <v>32</v>
      </c>
      <c r="H118" s="14">
        <v>0</v>
      </c>
      <c r="I118" s="86">
        <v>80</v>
      </c>
      <c r="J118" s="86">
        <f t="shared" si="2"/>
        <v>16</v>
      </c>
      <c r="K118" s="86" t="s">
        <v>580</v>
      </c>
      <c r="L118" s="86"/>
      <c r="M118" s="86"/>
      <c r="N118" s="86"/>
      <c r="O118" s="86"/>
      <c r="P118" s="86"/>
      <c r="Q118" s="86"/>
      <c r="R118" s="86"/>
      <c r="S118" s="86"/>
      <c r="T118" s="86"/>
      <c r="U118" s="86"/>
      <c r="V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t="s">
        <v>437</v>
      </c>
      <c r="AU118" s="86"/>
      <c r="AV118" s="86"/>
    </row>
    <row r="119" spans="1:48" s="6" customFormat="1">
      <c r="A119" s="6" t="s">
        <v>582</v>
      </c>
      <c r="C119" s="6" t="s">
        <v>583</v>
      </c>
      <c r="D119" s="6" t="s">
        <v>584</v>
      </c>
      <c r="E119" s="6" t="s">
        <v>585</v>
      </c>
      <c r="F119" s="14">
        <v>4</v>
      </c>
      <c r="G119" s="14">
        <v>8</v>
      </c>
      <c r="H119" s="14">
        <v>0</v>
      </c>
      <c r="I119" s="14">
        <v>30</v>
      </c>
      <c r="J119" s="86">
        <f t="shared" si="2"/>
        <v>4</v>
      </c>
      <c r="K119" s="86" t="s">
        <v>586</v>
      </c>
      <c r="L119" s="86"/>
      <c r="M119" s="86"/>
      <c r="N119" s="86"/>
      <c r="O119" s="86"/>
      <c r="P119" s="86"/>
      <c r="Q119" s="86"/>
      <c r="R119" s="86"/>
      <c r="S119" s="86"/>
      <c r="T119" s="86"/>
      <c r="U119" s="86"/>
      <c r="V119" s="14"/>
      <c r="W119" s="14"/>
      <c r="X119" s="14"/>
      <c r="AP119" s="86"/>
      <c r="AQ119" s="86"/>
      <c r="AR119" s="86"/>
      <c r="AS119" s="86"/>
      <c r="AT119" s="14" t="s">
        <v>437</v>
      </c>
      <c r="AU119" s="14"/>
      <c r="AV119" s="14"/>
    </row>
    <row r="120" spans="1:48" s="6" customFormat="1">
      <c r="A120" s="6" t="s">
        <v>587</v>
      </c>
      <c r="C120" s="6" t="s">
        <v>588</v>
      </c>
      <c r="D120" s="6" t="s">
        <v>435</v>
      </c>
      <c r="E120" s="6" t="s">
        <v>106</v>
      </c>
      <c r="F120" s="14">
        <v>8</v>
      </c>
      <c r="G120" s="14">
        <v>6</v>
      </c>
      <c r="H120" s="14">
        <v>0</v>
      </c>
      <c r="I120" s="14">
        <v>70</v>
      </c>
      <c r="J120" s="86">
        <f t="shared" si="2"/>
        <v>4</v>
      </c>
      <c r="K120" s="86" t="s">
        <v>589</v>
      </c>
      <c r="L120" s="86"/>
      <c r="M120" s="86"/>
      <c r="N120" s="86"/>
      <c r="O120" s="86"/>
      <c r="P120" s="86"/>
      <c r="Q120" s="86"/>
      <c r="R120" s="86"/>
      <c r="S120" s="86"/>
      <c r="T120" s="86"/>
      <c r="U120" s="86"/>
      <c r="V120" s="14"/>
      <c r="W120" s="14"/>
      <c r="X120" s="14"/>
      <c r="AT120" s="14" t="s">
        <v>437</v>
      </c>
      <c r="AU120" s="14"/>
      <c r="AV120" s="14"/>
    </row>
    <row r="121" spans="1:48" s="40" customFormat="1">
      <c r="F121" s="41">
        <f>SUM(F111:F120)+F108</f>
        <v>561</v>
      </c>
      <c r="G121" s="41">
        <f>SUM(G111:G120)+G108</f>
        <v>1667</v>
      </c>
      <c r="H121" s="41">
        <f>SUM(H111:H120)+H108</f>
        <v>759</v>
      </c>
      <c r="I121" s="41">
        <f>SUM(I111:I120)+I108</f>
        <v>9616</v>
      </c>
      <c r="J121" s="41"/>
      <c r="K121" s="41"/>
      <c r="L121" s="41">
        <f>SUM(L111:L120)+L108</f>
        <v>1600</v>
      </c>
      <c r="M121" s="41"/>
      <c r="N121" s="41">
        <f>SUM(N111:N120)+N108</f>
        <v>29700</v>
      </c>
      <c r="O121" s="41"/>
      <c r="P121" s="41">
        <f>SUM(P111:P120)+P108</f>
        <v>22700</v>
      </c>
      <c r="Q121" s="41"/>
      <c r="R121" s="41">
        <f>SUM(R111:R120)+R108</f>
        <v>3570</v>
      </c>
      <c r="S121" s="41"/>
      <c r="T121" s="41">
        <f>SUM(T111:T120)+T108</f>
        <v>300</v>
      </c>
      <c r="U121" s="41"/>
      <c r="V121" s="41">
        <f>SUM(V111:V120)+V108</f>
        <v>14300</v>
      </c>
      <c r="W121" s="41"/>
      <c r="X121" s="41">
        <f>SUM(X111:X120)+X108</f>
        <v>53220</v>
      </c>
      <c r="Y121" s="41"/>
      <c r="Z121" s="41">
        <f>SUM(Z111:Z120)+Z108</f>
        <v>332</v>
      </c>
      <c r="AA121" s="41"/>
      <c r="AB121" s="41">
        <f>SUM(AB111:AB120)+AB108</f>
        <v>50</v>
      </c>
      <c r="AC121" s="41"/>
      <c r="AD121" s="41">
        <f>SUM(AD111:AD120)+AD108</f>
        <v>200</v>
      </c>
      <c r="AE121" s="41"/>
      <c r="AF121" s="41">
        <f>SUM(AF111:AF120)+AF108</f>
        <v>225</v>
      </c>
      <c r="AG121" s="41"/>
      <c r="AH121" s="41">
        <f>SUM(AH111:AH120)+AH108</f>
        <v>200</v>
      </c>
      <c r="AI121" s="41"/>
      <c r="AJ121" s="41">
        <f>SUM(AJ111:AJ120)+AJ108</f>
        <v>405</v>
      </c>
      <c r="AK121" s="41"/>
      <c r="AL121" s="41">
        <f>SUM(AL111:AL120)+AL108</f>
        <v>0</v>
      </c>
      <c r="AM121" s="41"/>
      <c r="AN121" s="41">
        <f>SUM(AN111:AN120)+AN108</f>
        <v>0</v>
      </c>
      <c r="AO121" s="41"/>
      <c r="AP121" s="41">
        <f>SUM(AP112:AP120)+AP108</f>
        <v>6144</v>
      </c>
      <c r="AQ121" s="41"/>
      <c r="AR121" s="41"/>
      <c r="AS121" s="41"/>
      <c r="AT121" s="14">
        <f>COUNTIF(AT111:AT120,"x")+AT108</f>
        <v>80</v>
      </c>
      <c r="AU121" s="14">
        <f>COUNTIF(AU111:AU120,"x")+AU108</f>
        <v>17</v>
      </c>
      <c r="AV121" s="14">
        <f>COUNTIF(AV111:AV120,"x")+AV108</f>
        <v>3</v>
      </c>
    </row>
    <row r="125" spans="1:48" ht="14.45">
      <c r="A125" s="179" t="s">
        <v>423</v>
      </c>
      <c r="B125" s="191"/>
      <c r="C125" s="191"/>
    </row>
    <row r="126" spans="1:48" ht="12.95">
      <c r="A126" s="95" t="s">
        <v>508</v>
      </c>
      <c r="B126" s="95" t="s">
        <v>509</v>
      </c>
      <c r="C126" s="95" t="s">
        <v>510</v>
      </c>
      <c r="D126" s="10"/>
      <c r="E126" s="10"/>
    </row>
    <row r="127" spans="1:48">
      <c r="A127" s="93" t="s">
        <v>528</v>
      </c>
      <c r="B127" s="91" cm="1">
        <f t="array" ref="B127">SUM(IF(K11:K120=A127,I11:J120,""))</f>
        <v>1144</v>
      </c>
      <c r="C127" s="92">
        <v>2000</v>
      </c>
      <c r="D127" s="6"/>
      <c r="E127" s="6"/>
    </row>
    <row r="128" spans="1:48">
      <c r="A128" s="93" t="s">
        <v>529</v>
      </c>
      <c r="B128" s="91" cm="1">
        <f t="array" ref="B128">SUM(IF(K10:K120=A128,I10:J120,""),AD26)</f>
        <v>1498</v>
      </c>
      <c r="C128" s="92">
        <v>2000</v>
      </c>
    </row>
    <row r="129" spans="1:6">
      <c r="A129" s="93" t="s">
        <v>531</v>
      </c>
      <c r="B129" s="91" cm="1">
        <f t="array" ref="B129">SUM(IF(K10:K120=A129,I10:J120,""),AB22,AD27)</f>
        <v>1346</v>
      </c>
      <c r="C129" s="92">
        <v>2000</v>
      </c>
      <c r="D129" s="6"/>
      <c r="E129" s="6"/>
    </row>
    <row r="130" spans="1:6">
      <c r="A130" s="93" t="s">
        <v>590</v>
      </c>
      <c r="B130" s="92">
        <v>10</v>
      </c>
      <c r="C130" s="92" t="s">
        <v>651</v>
      </c>
      <c r="D130" s="6"/>
      <c r="E130" s="6"/>
    </row>
    <row r="131" spans="1:6">
      <c r="A131" s="93" t="s">
        <v>591</v>
      </c>
      <c r="B131" s="92">
        <v>10</v>
      </c>
      <c r="C131" s="92" t="s">
        <v>651</v>
      </c>
    </row>
    <row r="132" spans="1:6">
      <c r="A132" s="93" t="s">
        <v>592</v>
      </c>
      <c r="B132" s="92">
        <v>10</v>
      </c>
      <c r="C132" s="92" t="s">
        <v>651</v>
      </c>
    </row>
    <row r="133" spans="1:6">
      <c r="A133" s="93" t="s">
        <v>593</v>
      </c>
      <c r="B133" s="92">
        <v>10</v>
      </c>
      <c r="C133" s="92" t="s">
        <v>651</v>
      </c>
    </row>
    <row r="134" spans="1:6">
      <c r="A134" s="93" t="s">
        <v>594</v>
      </c>
      <c r="B134" s="92">
        <v>10</v>
      </c>
      <c r="C134" s="92" t="s">
        <v>651</v>
      </c>
    </row>
    <row r="135" spans="1:6">
      <c r="A135" s="93" t="s">
        <v>630</v>
      </c>
      <c r="B135" s="92">
        <v>10</v>
      </c>
      <c r="C135" s="92" t="s">
        <v>651</v>
      </c>
    </row>
    <row r="136" spans="1:6" ht="14.45">
      <c r="A136" s="93" t="s">
        <v>674</v>
      </c>
      <c r="B136" s="92">
        <f>IF(C8="Standard 3XL",#REF!, $I$183)/2</f>
        <v>580</v>
      </c>
      <c r="C136" s="92">
        <f>$L$14/2</f>
        <v>650</v>
      </c>
      <c r="D136"/>
      <c r="E136" s="14"/>
      <c r="F136" s="86"/>
    </row>
    <row r="137" spans="1:6" ht="14.45">
      <c r="A137" s="93" t="s">
        <v>675</v>
      </c>
      <c r="B137" s="92">
        <f>IF(C8="Standard 3XL",#REF!, $I$183)/2</f>
        <v>580</v>
      </c>
      <c r="C137" s="92">
        <f>$L$14/2</f>
        <v>650</v>
      </c>
      <c r="D137"/>
      <c r="E137" s="14"/>
      <c r="F137" s="86"/>
    </row>
    <row r="138" spans="1:6">
      <c r="A138" s="93" t="s">
        <v>676</v>
      </c>
      <c r="B138" s="92">
        <f>IF(C8="Standard 3XL",#REF!, $C$183)/8</f>
        <v>3090</v>
      </c>
      <c r="C138" s="92">
        <f>$N$14/8</f>
        <v>3400</v>
      </c>
      <c r="E138" s="86"/>
      <c r="F138" s="85"/>
    </row>
    <row r="139" spans="1:6" ht="12.6" customHeight="1">
      <c r="A139" s="93" t="s">
        <v>677</v>
      </c>
      <c r="B139" s="92">
        <f>IF(C8="Standard 3XL",#REF!, $C$183)/8</f>
        <v>3090</v>
      </c>
      <c r="C139" s="92">
        <f t="shared" ref="C139:C145" si="3">$N$14/8</f>
        <v>3400</v>
      </c>
      <c r="E139" s="86"/>
      <c r="F139" s="85"/>
    </row>
    <row r="140" spans="1:6" ht="12.6" customHeight="1">
      <c r="A140" s="93" t="s">
        <v>678</v>
      </c>
      <c r="B140" s="92">
        <f>IF(C8="Standard 3XL",#REF!, $C$183)/8</f>
        <v>3090</v>
      </c>
      <c r="C140" s="92">
        <f t="shared" si="3"/>
        <v>3400</v>
      </c>
      <c r="E140" s="86"/>
      <c r="F140" s="85"/>
    </row>
    <row r="141" spans="1:6" ht="12.6" customHeight="1">
      <c r="A141" s="93" t="s">
        <v>679</v>
      </c>
      <c r="B141" s="92">
        <f>IF(C8="Standard 3XL",#REF!, $C$183)/8</f>
        <v>3090</v>
      </c>
      <c r="C141" s="92">
        <f t="shared" si="3"/>
        <v>3400</v>
      </c>
      <c r="E141" s="86"/>
      <c r="F141" s="85"/>
    </row>
    <row r="142" spans="1:6" ht="12.6" customHeight="1">
      <c r="A142" s="93" t="s">
        <v>680</v>
      </c>
      <c r="B142" s="92">
        <f>IF(C8="Standard 3XL",#REF!, $C$183)/8</f>
        <v>3090</v>
      </c>
      <c r="C142" s="92">
        <f t="shared" si="3"/>
        <v>3400</v>
      </c>
      <c r="E142" s="86"/>
      <c r="F142" s="85"/>
    </row>
    <row r="143" spans="1:6" ht="12.6" customHeight="1">
      <c r="A143" s="93" t="s">
        <v>681</v>
      </c>
      <c r="B143" s="92">
        <f>IF(C8="Standard 3XL",#REF!, $C$183)/8</f>
        <v>3090</v>
      </c>
      <c r="C143" s="92">
        <f t="shared" si="3"/>
        <v>3400</v>
      </c>
      <c r="E143" s="86"/>
      <c r="F143" s="85"/>
    </row>
    <row r="144" spans="1:6" ht="12.6" customHeight="1">
      <c r="A144" s="93" t="s">
        <v>682</v>
      </c>
      <c r="B144" s="92">
        <f>IF(C8="Standard 3XL",#REF!, $C$183)/8</f>
        <v>3090</v>
      </c>
      <c r="C144" s="92">
        <f t="shared" si="3"/>
        <v>3400</v>
      </c>
      <c r="E144" s="86"/>
      <c r="F144" s="85"/>
    </row>
    <row r="145" spans="1:6" ht="12.6" customHeight="1">
      <c r="A145" s="93" t="s">
        <v>683</v>
      </c>
      <c r="B145" s="92">
        <f>IF(C8="Standard 3XL",#REF!, $C$183)/8</f>
        <v>3090</v>
      </c>
      <c r="C145" s="92">
        <f t="shared" si="3"/>
        <v>3400</v>
      </c>
      <c r="E145" s="86"/>
      <c r="F145" s="85"/>
    </row>
    <row r="146" spans="1:6" ht="12.6" customHeight="1">
      <c r="A146" s="93" t="s">
        <v>684</v>
      </c>
      <c r="B146" s="92">
        <f>IF(C8="Standard 3XL",#REF!, $G$183)/2</f>
        <v>9330</v>
      </c>
      <c r="C146" s="92">
        <f>$P$14/2</f>
        <v>10300</v>
      </c>
      <c r="E146" s="86"/>
      <c r="F146" s="86"/>
    </row>
    <row r="147" spans="1:6" ht="13.35" customHeight="1">
      <c r="A147" s="93" t="s">
        <v>685</v>
      </c>
      <c r="B147" s="92">
        <f>IF(C8="Standard 3XL",#REF!, $G$183)/2</f>
        <v>9330</v>
      </c>
      <c r="C147" s="92">
        <f>$P$14/2</f>
        <v>10300</v>
      </c>
      <c r="E147" s="86"/>
      <c r="F147" s="86"/>
    </row>
    <row r="148" spans="1:6">
      <c r="A148" s="93" t="s">
        <v>686</v>
      </c>
      <c r="B148" s="92">
        <v>1613</v>
      </c>
      <c r="C148" s="92">
        <v>1800</v>
      </c>
      <c r="E148" s="86"/>
      <c r="F148" s="86"/>
    </row>
    <row r="149" spans="1:6" ht="13.35" customHeight="1">
      <c r="A149" s="93" t="s">
        <v>687</v>
      </c>
      <c r="B149" s="92">
        <f>IF(C8="Standard 3XL",572,1437)</f>
        <v>1437</v>
      </c>
      <c r="C149" s="92">
        <f>IF(C8="Standard 3XL",635,1600)</f>
        <v>1600</v>
      </c>
      <c r="E149" s="86"/>
      <c r="F149" s="86"/>
    </row>
    <row r="150" spans="1:6">
      <c r="A150" s="93" t="s">
        <v>222</v>
      </c>
      <c r="B150" s="92">
        <v>270</v>
      </c>
      <c r="C150" s="92">
        <v>300</v>
      </c>
    </row>
    <row r="151" spans="1:6">
      <c r="A151" s="93" t="s">
        <v>515</v>
      </c>
      <c r="B151" s="92">
        <v>300</v>
      </c>
      <c r="C151" s="92">
        <v>330</v>
      </c>
    </row>
    <row r="152" spans="1:6">
      <c r="A152" s="93" t="s">
        <v>474</v>
      </c>
      <c r="B152" s="92">
        <v>510</v>
      </c>
      <c r="C152" s="92">
        <v>700</v>
      </c>
      <c r="E152" s="86"/>
      <c r="F152" s="86"/>
    </row>
    <row r="153" spans="1:6" ht="13.35" customHeight="1">
      <c r="A153" s="93" t="s">
        <v>688</v>
      </c>
      <c r="B153" s="92">
        <f>IF(C8="Standard 3XL",3900, 5370)</f>
        <v>5370</v>
      </c>
      <c r="C153" s="92">
        <f>IF(C8="Standard 3XL",#REF!, $K$183)/8</f>
        <v>5925</v>
      </c>
      <c r="E153" s="86"/>
      <c r="F153" s="86"/>
    </row>
    <row r="154" spans="1:6" ht="13.35" customHeight="1">
      <c r="A154" s="93" t="s">
        <v>689</v>
      </c>
      <c r="B154" s="92">
        <f>IF(C8="Standard 3XL",3900, 5370)</f>
        <v>5370</v>
      </c>
      <c r="C154" s="92">
        <f>IF(C8="Standard 3XL",#REF!, $K$183)/8</f>
        <v>5925</v>
      </c>
      <c r="E154" s="86"/>
      <c r="F154" s="86"/>
    </row>
    <row r="155" spans="1:6" ht="13.35" customHeight="1">
      <c r="A155" s="93" t="s">
        <v>690</v>
      </c>
      <c r="B155" s="92">
        <f>IF(C8="Standard 3XL",3900, 5370)</f>
        <v>5370</v>
      </c>
      <c r="C155" s="92">
        <f>IF(C8="Standard 3XL",#REF!, $K$183)/8</f>
        <v>5925</v>
      </c>
      <c r="E155" s="86"/>
      <c r="F155" s="86"/>
    </row>
    <row r="156" spans="1:6" ht="13.35" customHeight="1">
      <c r="A156" s="93" t="s">
        <v>691</v>
      </c>
      <c r="B156" s="92">
        <f>IF(C8="Standard 3XL",3900, 5370)</f>
        <v>5370</v>
      </c>
      <c r="C156" s="92">
        <f>IF(C8="Standard 3XL",#REF!, $K$183)/8</f>
        <v>5925</v>
      </c>
      <c r="E156" s="86"/>
      <c r="F156" s="86"/>
    </row>
    <row r="157" spans="1:6" ht="13.35" customHeight="1">
      <c r="A157" s="93" t="s">
        <v>692</v>
      </c>
      <c r="B157" s="92">
        <f>IF(C8="Standard 3XL",3900, 5370)</f>
        <v>5370</v>
      </c>
      <c r="C157" s="92">
        <f>IF(C8="Standard 3XL",#REF!, $K$183)/8</f>
        <v>5925</v>
      </c>
      <c r="E157" s="86"/>
      <c r="F157" s="86"/>
    </row>
    <row r="158" spans="1:6" ht="13.35" customHeight="1">
      <c r="A158" s="93" t="s">
        <v>693</v>
      </c>
      <c r="B158" s="92">
        <f>IF(C8="Standard 3XL",3900, 5370)</f>
        <v>5370</v>
      </c>
      <c r="C158" s="92">
        <f>IF(C8="Standard 3XL",#REF!, $K$183)/8</f>
        <v>5925</v>
      </c>
      <c r="E158" s="86"/>
      <c r="F158" s="86"/>
    </row>
    <row r="159" spans="1:6" ht="13.35" customHeight="1">
      <c r="A159" s="93" t="s">
        <v>694</v>
      </c>
      <c r="B159" s="92">
        <f>IF(C8="Standard 3XL",3900, 5370)</f>
        <v>5370</v>
      </c>
      <c r="C159" s="92">
        <f>IF(C8="Standard 3XL",#REF!, $K$183)/8</f>
        <v>5925</v>
      </c>
      <c r="E159" s="86"/>
      <c r="F159" s="86"/>
    </row>
    <row r="160" spans="1:6" ht="13.35" customHeight="1">
      <c r="A160" s="93" t="s">
        <v>695</v>
      </c>
      <c r="B160" s="92">
        <f>IF(C8="Standard 3XL",3900, 5370)</f>
        <v>5370</v>
      </c>
      <c r="C160" s="92">
        <f>IF(C8="Standard 3XL",#REF!, $K$183)/8</f>
        <v>5925</v>
      </c>
      <c r="E160" s="86"/>
      <c r="F160" s="86"/>
    </row>
    <row r="161" spans="1:48">
      <c r="A161" s="93" t="s">
        <v>662</v>
      </c>
      <c r="B161" s="92">
        <f>IF(C8="Standard 3XL",737, 817)</f>
        <v>817</v>
      </c>
      <c r="C161" s="92">
        <f>IF(C8="Standard 3XL",#REF!, $L$183)</f>
        <v>1000</v>
      </c>
      <c r="E161" s="86"/>
      <c r="F161" s="86"/>
    </row>
    <row r="162" spans="1:48">
      <c r="A162" s="93" t="s">
        <v>696</v>
      </c>
      <c r="B162" s="96">
        <f>SUM(I96:J98)+V96</f>
        <v>6216</v>
      </c>
      <c r="C162" s="96">
        <v>6500</v>
      </c>
      <c r="E162" s="86"/>
      <c r="F162" s="86"/>
    </row>
    <row r="163" spans="1:48">
      <c r="A163" s="93" t="s">
        <v>663</v>
      </c>
      <c r="B163" s="96">
        <v>200</v>
      </c>
      <c r="C163" s="96">
        <v>250</v>
      </c>
    </row>
    <row r="164" spans="1:48">
      <c r="A164" s="93" t="s">
        <v>526</v>
      </c>
      <c r="B164" s="106">
        <f>SUM(I11:J12)</f>
        <v>992</v>
      </c>
      <c r="C164" s="106">
        <f>IF(E12="vCSA8.0",1100,900)</f>
        <v>1100</v>
      </c>
    </row>
    <row r="165" spans="1:48">
      <c r="A165" s="93" t="s">
        <v>550</v>
      </c>
      <c r="B165" s="92">
        <v>200</v>
      </c>
      <c r="C165" s="92">
        <v>225</v>
      </c>
    </row>
    <row r="166" spans="1:48">
      <c r="A166" s="111" t="s">
        <v>556</v>
      </c>
      <c r="B166" s="92">
        <v>58</v>
      </c>
      <c r="C166" s="92">
        <v>100</v>
      </c>
    </row>
    <row r="167" spans="1:48" ht="14.45">
      <c r="A167" s="93" t="s">
        <v>709</v>
      </c>
      <c r="B167" s="92">
        <v>105</v>
      </c>
      <c r="C167" s="92">
        <v>150</v>
      </c>
      <c r="D167"/>
      <c r="E167" s="14"/>
      <c r="F167" s="86"/>
    </row>
    <row r="168" spans="1:48" ht="14.45">
      <c r="A168" s="93" t="s">
        <v>710</v>
      </c>
      <c r="B168" s="92">
        <v>105</v>
      </c>
      <c r="C168" s="92">
        <v>150</v>
      </c>
      <c r="D168"/>
      <c r="E168" s="14"/>
      <c r="F168" s="86"/>
    </row>
    <row r="169" spans="1:48">
      <c r="A169" s="93" t="s">
        <v>711</v>
      </c>
      <c r="B169" s="92">
        <v>1025</v>
      </c>
      <c r="C169" s="92">
        <v>1150</v>
      </c>
      <c r="E169" s="86"/>
      <c r="F169" s="85"/>
    </row>
    <row r="170" spans="1:48" ht="12.6" customHeight="1">
      <c r="A170" s="93" t="s">
        <v>712</v>
      </c>
      <c r="B170" s="92">
        <v>1025</v>
      </c>
      <c r="C170" s="92">
        <v>1150</v>
      </c>
      <c r="E170" s="86"/>
      <c r="F170" s="85"/>
    </row>
    <row r="171" spans="1:48" ht="12.6" customHeight="1">
      <c r="A171" s="93" t="s">
        <v>713</v>
      </c>
      <c r="B171" s="92">
        <v>950</v>
      </c>
      <c r="C171" s="92">
        <v>1050</v>
      </c>
      <c r="E171" s="86"/>
      <c r="F171" s="86"/>
    </row>
    <row r="172" spans="1:48" ht="13.35" customHeight="1">
      <c r="A172" s="93" t="s">
        <v>714</v>
      </c>
      <c r="B172" s="92">
        <v>950</v>
      </c>
      <c r="C172" s="92">
        <v>1050</v>
      </c>
      <c r="E172" s="86"/>
      <c r="F172" s="86"/>
    </row>
    <row r="173" spans="1:48" ht="13.35" customHeight="1">
      <c r="A173" s="93" t="s">
        <v>715</v>
      </c>
      <c r="B173" s="92">
        <v>2005</v>
      </c>
      <c r="C173" s="92">
        <v>2250</v>
      </c>
      <c r="E173" s="86"/>
      <c r="F173" s="86"/>
    </row>
    <row r="174" spans="1:48" ht="13.35" customHeight="1">
      <c r="A174" s="93" t="s">
        <v>716</v>
      </c>
      <c r="B174" s="92">
        <v>2005</v>
      </c>
      <c r="C174" s="92">
        <v>2250</v>
      </c>
      <c r="E174" s="86"/>
      <c r="F174" s="86"/>
    </row>
    <row r="175" spans="1:48" ht="13.35" customHeight="1">
      <c r="A175" s="111" t="s">
        <v>597</v>
      </c>
      <c r="B175" s="92">
        <v>900</v>
      </c>
      <c r="C175" s="92">
        <v>1050</v>
      </c>
      <c r="D175" s="14"/>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14"/>
      <c r="AK175" s="14"/>
      <c r="AL175" s="14"/>
      <c r="AM175" s="6"/>
      <c r="AN175" s="14"/>
      <c r="AO175" s="6"/>
      <c r="AP175" s="6"/>
      <c r="AQ175" s="6"/>
      <c r="AR175" s="6"/>
      <c r="AS175" s="6"/>
      <c r="AT175" s="6"/>
      <c r="AU175" s="6"/>
      <c r="AV175" s="6"/>
    </row>
    <row r="176" spans="1:48" ht="13.35" customHeight="1">
      <c r="A176" s="111" t="s">
        <v>598</v>
      </c>
      <c r="B176" s="92">
        <v>8300</v>
      </c>
      <c r="C176" s="92">
        <v>9150</v>
      </c>
      <c r="D176" s="14"/>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14"/>
      <c r="AK176" s="14"/>
      <c r="AL176" s="14"/>
      <c r="AM176" s="6"/>
      <c r="AN176" s="14"/>
      <c r="AO176" s="6"/>
      <c r="AP176" s="6"/>
      <c r="AQ176" s="6"/>
      <c r="AR176" s="6"/>
      <c r="AS176" s="6"/>
      <c r="AT176" s="6"/>
      <c r="AU176" s="6"/>
      <c r="AV176" s="6"/>
    </row>
    <row r="177" spans="1:12">
      <c r="A177" s="76" t="s">
        <v>599</v>
      </c>
    </row>
    <row r="178" spans="1:12">
      <c r="A178" s="76" t="s">
        <v>653</v>
      </c>
    </row>
    <row r="182" spans="1:12" ht="12.95">
      <c r="A182" s="100"/>
      <c r="B182" s="101" t="s">
        <v>602</v>
      </c>
      <c r="C182" s="101" t="s">
        <v>603</v>
      </c>
      <c r="D182" s="103" t="s">
        <v>381</v>
      </c>
      <c r="E182" s="103" t="s">
        <v>382</v>
      </c>
      <c r="F182" s="103" t="s">
        <v>202</v>
      </c>
      <c r="G182" s="101" t="s">
        <v>604</v>
      </c>
      <c r="H182" s="101" t="s">
        <v>512</v>
      </c>
      <c r="I182" s="103" t="s">
        <v>697</v>
      </c>
      <c r="J182" s="103" t="s">
        <v>698</v>
      </c>
      <c r="K182" s="103" t="s">
        <v>699</v>
      </c>
      <c r="L182" s="103" t="s">
        <v>700</v>
      </c>
    </row>
    <row r="183" spans="1:12">
      <c r="A183" s="127" t="s">
        <v>701</v>
      </c>
      <c r="B183" s="100">
        <v>27200</v>
      </c>
      <c r="C183" s="100">
        <v>24720</v>
      </c>
      <c r="D183" s="100">
        <v>28</v>
      </c>
      <c r="E183" s="100">
        <v>300</v>
      </c>
      <c r="F183" s="100">
        <v>20600</v>
      </c>
      <c r="G183" s="100">
        <v>18660</v>
      </c>
      <c r="H183" s="100">
        <v>1300</v>
      </c>
      <c r="I183" s="100">
        <v>1160</v>
      </c>
      <c r="J183" s="100">
        <v>3400</v>
      </c>
      <c r="K183" s="86">
        <v>47400</v>
      </c>
      <c r="L183" s="86">
        <v>1000</v>
      </c>
    </row>
    <row r="184" spans="1:12" ht="12.75"/>
  </sheetData>
  <mergeCells count="13">
    <mergeCell ref="H57:O60"/>
    <mergeCell ref="A58:D58"/>
    <mergeCell ref="A1:E1"/>
    <mergeCell ref="A2:B2"/>
    <mergeCell ref="A3:B3"/>
    <mergeCell ref="F3:G3"/>
    <mergeCell ref="A4:B4"/>
    <mergeCell ref="A5:B5"/>
    <mergeCell ref="A125:C125"/>
    <mergeCell ref="A6:B6"/>
    <mergeCell ref="A8:B8"/>
    <mergeCell ref="A50:B50"/>
    <mergeCell ref="A57:D57"/>
  </mergeCells>
  <dataValidations count="1">
    <dataValidation type="list" allowBlank="1" showInputMessage="1" showErrorMessage="1" sqref="E12" xr:uid="{38053B5E-A570-422D-8365-F23A85D236E5}">
      <formula1>"vCSA8.0, vCSA7.0"</formula1>
    </dataValidation>
  </dataValidations>
  <hyperlinks>
    <hyperlink ref="F3:G3" location="Shortcuts!A1" display="Back to shortcuts" xr:uid="{540A89C4-61BD-4740-B9BB-803A9E9FF4DA}"/>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84A7-BC01-47BF-B716-A2AB310129F6}">
  <dimension ref="A1:AL69"/>
  <sheetViews>
    <sheetView zoomScale="80" zoomScaleNormal="80" zoomScalePageLayoutView="70" workbookViewId="0">
      <selection activeCell="I20" sqref="I20"/>
    </sheetView>
  </sheetViews>
  <sheetFormatPr defaultColWidth="30.5703125" defaultRowHeight="12.6"/>
  <cols>
    <col min="1" max="1" width="36.42578125" style="6" customWidth="1"/>
    <col min="2" max="4" width="30.5703125" style="6"/>
    <col min="5" max="5" width="35.85546875" style="6" customWidth="1"/>
    <col min="6" max="29" width="30.5703125" style="6"/>
    <col min="30" max="30" width="30.5703125" style="14"/>
    <col min="31" max="16384" width="30.5703125" style="6"/>
  </cols>
  <sheetData>
    <row r="1" spans="1:38" ht="12.95">
      <c r="A1" s="189" t="s">
        <v>38</v>
      </c>
      <c r="B1" s="189"/>
      <c r="C1" s="189"/>
      <c r="D1" s="189"/>
      <c r="E1" s="190"/>
      <c r="F1" s="7" t="s">
        <v>717</v>
      </c>
    </row>
    <row r="2" spans="1:38" ht="14.45">
      <c r="A2" s="171" t="s">
        <v>410</v>
      </c>
      <c r="B2" s="172"/>
      <c r="C2" s="6" t="s">
        <v>411</v>
      </c>
    </row>
    <row r="3" spans="1:38" ht="14.45">
      <c r="A3" s="171" t="s">
        <v>412</v>
      </c>
      <c r="B3" s="171"/>
      <c r="F3" s="173" t="s">
        <v>413</v>
      </c>
      <c r="G3" s="173"/>
    </row>
    <row r="4" spans="1:38">
      <c r="A4" s="171" t="s">
        <v>414</v>
      </c>
      <c r="B4" s="171"/>
    </row>
    <row r="5" spans="1:38">
      <c r="A5" s="171" t="s">
        <v>415</v>
      </c>
      <c r="B5" s="171"/>
    </row>
    <row r="6" spans="1:38" ht="12.95">
      <c r="A6" s="171" t="s">
        <v>416</v>
      </c>
      <c r="B6" s="171"/>
      <c r="C6" s="16"/>
    </row>
    <row r="7" spans="1:38" ht="12.95">
      <c r="A7" s="9" t="s">
        <v>174</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206</v>
      </c>
      <c r="U7" s="8" t="s">
        <v>423</v>
      </c>
      <c r="V7" s="8" t="s">
        <v>424</v>
      </c>
      <c r="W7" s="8" t="s">
        <v>423</v>
      </c>
      <c r="X7" s="8" t="s">
        <v>425</v>
      </c>
      <c r="Y7" s="8" t="s">
        <v>423</v>
      </c>
      <c r="Z7" s="8" t="s">
        <v>426</v>
      </c>
      <c r="AA7" s="8" t="s">
        <v>423</v>
      </c>
      <c r="AB7" s="8" t="s">
        <v>427</v>
      </c>
      <c r="AC7" s="8" t="s">
        <v>423</v>
      </c>
      <c r="AD7" s="8" t="s">
        <v>428</v>
      </c>
      <c r="AE7" s="8" t="s">
        <v>423</v>
      </c>
      <c r="AF7" s="8" t="s">
        <v>429</v>
      </c>
      <c r="AG7" s="8" t="s">
        <v>423</v>
      </c>
      <c r="AH7" s="8" t="s">
        <v>477</v>
      </c>
      <c r="AI7" s="8" t="s">
        <v>423</v>
      </c>
      <c r="AJ7" s="8" t="s">
        <v>431</v>
      </c>
      <c r="AK7" s="8" t="s">
        <v>432</v>
      </c>
      <c r="AL7" s="8" t="s">
        <v>433</v>
      </c>
    </row>
    <row r="8" spans="1:38">
      <c r="A8" s="6" t="s">
        <v>434</v>
      </c>
      <c r="B8" s="14"/>
      <c r="D8" s="6" t="s">
        <v>435</v>
      </c>
      <c r="E8" s="6" t="s">
        <v>42</v>
      </c>
      <c r="F8" s="14">
        <v>4</v>
      </c>
      <c r="G8" s="14">
        <v>8</v>
      </c>
      <c r="H8" s="14">
        <v>0</v>
      </c>
      <c r="I8" s="14">
        <v>351</v>
      </c>
      <c r="J8" s="14">
        <f t="shared" ref="J8:J28" si="0">IF(G8&gt;=10,16, 4)</f>
        <v>4</v>
      </c>
      <c r="K8" s="14" t="s">
        <v>436</v>
      </c>
      <c r="L8" s="14"/>
      <c r="M8" s="14"/>
      <c r="N8" s="14"/>
      <c r="O8" s="14"/>
      <c r="P8" s="14"/>
      <c r="Q8" s="14"/>
      <c r="R8" s="14"/>
      <c r="S8" s="14"/>
      <c r="T8" s="14"/>
      <c r="U8" s="14"/>
      <c r="V8" s="14"/>
      <c r="W8" s="14"/>
      <c r="X8" s="14"/>
      <c r="Y8" s="14"/>
      <c r="Z8" s="14"/>
      <c r="AA8" s="14"/>
      <c r="AB8" s="14"/>
      <c r="AC8" s="14"/>
      <c r="AE8" s="14"/>
      <c r="AF8" s="14"/>
      <c r="AG8" s="14"/>
      <c r="AH8" s="14"/>
      <c r="AI8" s="14"/>
      <c r="AJ8" s="14" t="s">
        <v>437</v>
      </c>
      <c r="AK8" s="14"/>
      <c r="AL8" s="14"/>
    </row>
    <row r="9" spans="1:38">
      <c r="A9" s="6" t="s">
        <v>440</v>
      </c>
      <c r="B9" s="14" t="s">
        <v>441</v>
      </c>
      <c r="C9" s="6" t="s">
        <v>442</v>
      </c>
      <c r="D9" s="6" t="s">
        <v>435</v>
      </c>
      <c r="E9" s="6" t="s">
        <v>443</v>
      </c>
      <c r="F9" s="14">
        <v>4</v>
      </c>
      <c r="G9" s="14">
        <v>6</v>
      </c>
      <c r="H9" s="14">
        <v>6</v>
      </c>
      <c r="I9" s="14">
        <v>41</v>
      </c>
      <c r="J9" s="14">
        <f t="shared" si="0"/>
        <v>4</v>
      </c>
      <c r="K9" s="14" t="s">
        <v>436</v>
      </c>
      <c r="L9" s="14"/>
      <c r="M9" s="14"/>
      <c r="N9" s="14"/>
      <c r="O9" s="14"/>
      <c r="P9" s="14"/>
      <c r="Q9" s="14"/>
      <c r="R9" s="14"/>
      <c r="S9" s="14"/>
      <c r="T9" s="14"/>
      <c r="U9" s="14"/>
      <c r="V9" s="14"/>
      <c r="W9" s="14"/>
      <c r="X9" s="14"/>
      <c r="Y9" s="14"/>
      <c r="Z9" s="14"/>
      <c r="AA9" s="14"/>
      <c r="AB9" s="14"/>
      <c r="AC9" s="14"/>
      <c r="AE9" s="14"/>
      <c r="AF9" s="14"/>
      <c r="AG9" s="14"/>
      <c r="AH9" s="14"/>
      <c r="AI9" s="14"/>
      <c r="AJ9" s="14" t="s">
        <v>437</v>
      </c>
      <c r="AK9" s="14"/>
      <c r="AL9" s="14"/>
    </row>
    <row r="10" spans="1:38">
      <c r="A10" s="6" t="s">
        <v>444</v>
      </c>
      <c r="B10" s="14"/>
      <c r="C10" s="6" t="s">
        <v>442</v>
      </c>
      <c r="D10" s="6" t="s">
        <v>435</v>
      </c>
      <c r="E10" s="6" t="s">
        <v>53</v>
      </c>
      <c r="F10" s="14">
        <v>6</v>
      </c>
      <c r="G10" s="14">
        <v>40</v>
      </c>
      <c r="H10" s="14">
        <f>(G10*82.5)/100</f>
        <v>33</v>
      </c>
      <c r="I10" s="14">
        <v>101</v>
      </c>
      <c r="J10" s="14">
        <f t="shared" si="0"/>
        <v>16</v>
      </c>
      <c r="K10" s="14" t="s">
        <v>436</v>
      </c>
      <c r="L10" s="14">
        <v>66</v>
      </c>
      <c r="M10" s="14" t="s">
        <v>445</v>
      </c>
      <c r="N10" s="14">
        <v>1350</v>
      </c>
      <c r="O10" s="14" t="s">
        <v>446</v>
      </c>
      <c r="P10" s="14">
        <v>1650</v>
      </c>
      <c r="Q10" s="14" t="s">
        <v>447</v>
      </c>
      <c r="R10" s="14"/>
      <c r="S10" s="14"/>
      <c r="T10" s="14"/>
      <c r="U10" s="14"/>
      <c r="V10" s="31">
        <v>4500</v>
      </c>
      <c r="W10" s="14" t="s">
        <v>206</v>
      </c>
      <c r="X10" s="14"/>
      <c r="Y10" s="14"/>
      <c r="Z10" s="14"/>
      <c r="AA10" s="14"/>
      <c r="AB10" s="14"/>
      <c r="AC10" s="14"/>
      <c r="AE10" s="14"/>
      <c r="AF10" s="14"/>
      <c r="AG10" s="14"/>
      <c r="AH10" s="14"/>
      <c r="AI10" s="14"/>
      <c r="AJ10" s="14" t="s">
        <v>437</v>
      </c>
      <c r="AK10" s="14"/>
      <c r="AL10" s="14"/>
    </row>
    <row r="11" spans="1:38">
      <c r="A11" s="6" t="s">
        <v>448</v>
      </c>
      <c r="B11" s="14" t="s">
        <v>441</v>
      </c>
      <c r="C11" s="6" t="s">
        <v>442</v>
      </c>
      <c r="D11" s="6" t="s">
        <v>435</v>
      </c>
      <c r="E11" s="6" t="s">
        <v>57</v>
      </c>
      <c r="F11" s="14">
        <v>3</v>
      </c>
      <c r="G11" s="14">
        <v>7</v>
      </c>
      <c r="H11" s="14">
        <v>7</v>
      </c>
      <c r="I11" s="14">
        <v>46</v>
      </c>
      <c r="J11" s="14">
        <f t="shared" si="0"/>
        <v>4</v>
      </c>
      <c r="K11" s="14" t="s">
        <v>436</v>
      </c>
      <c r="L11" s="14"/>
      <c r="M11" s="14"/>
      <c r="N11" s="14"/>
      <c r="O11" s="14"/>
      <c r="P11" s="14"/>
      <c r="Q11" s="14"/>
      <c r="R11" s="14">
        <v>340</v>
      </c>
      <c r="S11" s="14" t="s">
        <v>449</v>
      </c>
      <c r="T11" s="14"/>
      <c r="U11" s="14"/>
      <c r="V11" s="14">
        <v>250</v>
      </c>
      <c r="W11" s="14" t="s">
        <v>206</v>
      </c>
      <c r="X11" s="14"/>
      <c r="Y11" s="14"/>
      <c r="Z11" s="14"/>
      <c r="AA11" s="14"/>
      <c r="AB11" s="14"/>
      <c r="AC11" s="14"/>
      <c r="AE11" s="14"/>
      <c r="AF11" s="14"/>
      <c r="AG11" s="14"/>
      <c r="AH11" s="14"/>
      <c r="AI11" s="14"/>
      <c r="AJ11" s="14" t="s">
        <v>437</v>
      </c>
      <c r="AK11" s="14"/>
      <c r="AL11" s="14"/>
    </row>
    <row r="12" spans="1:38">
      <c r="A12" s="6" t="s">
        <v>450</v>
      </c>
      <c r="B12" s="14"/>
      <c r="C12" s="6" t="s">
        <v>442</v>
      </c>
      <c r="D12" s="6" t="s">
        <v>435</v>
      </c>
      <c r="E12" s="6" t="s">
        <v>61</v>
      </c>
      <c r="F12" s="14">
        <v>2</v>
      </c>
      <c r="G12" s="14">
        <v>3</v>
      </c>
      <c r="H12" s="14">
        <v>0</v>
      </c>
      <c r="I12" s="14">
        <v>31</v>
      </c>
      <c r="J12" s="14">
        <f t="shared" si="0"/>
        <v>4</v>
      </c>
      <c r="K12" s="14" t="s">
        <v>436</v>
      </c>
      <c r="L12" s="14"/>
      <c r="M12" s="14"/>
      <c r="N12" s="14"/>
      <c r="O12" s="14"/>
      <c r="P12" s="14"/>
      <c r="Q12" s="14"/>
      <c r="R12" s="14"/>
      <c r="S12" s="14"/>
      <c r="T12" s="14"/>
      <c r="U12" s="14"/>
      <c r="V12" s="14"/>
      <c r="W12" s="14"/>
      <c r="X12" s="14"/>
      <c r="Y12" s="14"/>
      <c r="Z12" s="14"/>
      <c r="AA12" s="14"/>
      <c r="AB12" s="14"/>
      <c r="AC12" s="14"/>
      <c r="AE12" s="14"/>
      <c r="AF12" s="14"/>
      <c r="AG12" s="14"/>
      <c r="AH12" s="14"/>
      <c r="AI12" s="14"/>
      <c r="AJ12" s="14" t="s">
        <v>437</v>
      </c>
      <c r="AK12" s="14" t="s">
        <v>437</v>
      </c>
      <c r="AL12" s="14" t="s">
        <v>437</v>
      </c>
    </row>
    <row r="13" spans="1:38">
      <c r="A13" s="6" t="s">
        <v>451</v>
      </c>
      <c r="B13" s="14"/>
      <c r="C13" s="6" t="s">
        <v>442</v>
      </c>
      <c r="D13" s="6" t="s">
        <v>435</v>
      </c>
      <c r="E13" s="6" t="s">
        <v>65</v>
      </c>
      <c r="F13" s="14">
        <v>2</v>
      </c>
      <c r="G13" s="14">
        <v>3</v>
      </c>
      <c r="H13" s="14">
        <v>0</v>
      </c>
      <c r="I13" s="14">
        <v>31</v>
      </c>
      <c r="J13" s="14">
        <f t="shared" si="0"/>
        <v>4</v>
      </c>
      <c r="K13" s="14" t="s">
        <v>436</v>
      </c>
      <c r="L13" s="14"/>
      <c r="M13" s="14"/>
      <c r="N13" s="14"/>
      <c r="O13" s="14"/>
      <c r="P13" s="14"/>
      <c r="Q13" s="14"/>
      <c r="R13" s="14"/>
      <c r="S13" s="14"/>
      <c r="T13" s="14"/>
      <c r="U13" s="14"/>
      <c r="V13" s="14"/>
      <c r="W13" s="14"/>
      <c r="X13" s="14"/>
      <c r="Y13" s="14"/>
      <c r="Z13" s="14"/>
      <c r="AA13" s="14"/>
      <c r="AB13" s="14"/>
      <c r="AC13" s="14"/>
      <c r="AE13" s="14"/>
      <c r="AF13" s="14"/>
      <c r="AG13" s="14"/>
      <c r="AH13" s="14"/>
      <c r="AI13" s="14"/>
      <c r="AJ13" s="14" t="s">
        <v>437</v>
      </c>
      <c r="AK13" s="14"/>
      <c r="AL13" s="14"/>
    </row>
    <row r="14" spans="1:38">
      <c r="A14" s="6" t="s">
        <v>452</v>
      </c>
      <c r="B14" s="14"/>
      <c r="C14" s="6" t="s">
        <v>442</v>
      </c>
      <c r="D14" s="6" t="s">
        <v>435</v>
      </c>
      <c r="E14" s="6" t="s">
        <v>453</v>
      </c>
      <c r="F14" s="14">
        <v>3</v>
      </c>
      <c r="G14" s="14">
        <v>6</v>
      </c>
      <c r="H14" s="14">
        <v>0</v>
      </c>
      <c r="I14" s="14">
        <v>61</v>
      </c>
      <c r="J14" s="14">
        <f t="shared" si="0"/>
        <v>4</v>
      </c>
      <c r="K14" s="14" t="s">
        <v>436</v>
      </c>
      <c r="L14" s="14"/>
      <c r="M14" s="14"/>
      <c r="N14" s="14"/>
      <c r="O14" s="14"/>
      <c r="P14" s="14"/>
      <c r="Q14" s="14"/>
      <c r="R14" s="14"/>
      <c r="S14" s="14"/>
      <c r="T14" s="14"/>
      <c r="U14" s="14"/>
      <c r="V14" s="14"/>
      <c r="W14" s="14"/>
      <c r="X14" s="14"/>
      <c r="Y14" s="14"/>
      <c r="Z14" s="14"/>
      <c r="AA14" s="14"/>
      <c r="AB14" s="14"/>
      <c r="AC14" s="14"/>
      <c r="AE14" s="14"/>
      <c r="AF14" s="14"/>
      <c r="AG14" s="14"/>
      <c r="AH14" s="14"/>
      <c r="AI14" s="14"/>
      <c r="AJ14" s="14" t="s">
        <v>437</v>
      </c>
      <c r="AK14" s="14" t="s">
        <v>437</v>
      </c>
      <c r="AL14" s="14"/>
    </row>
    <row r="15" spans="1:38">
      <c r="A15" s="6" t="s">
        <v>454</v>
      </c>
      <c r="B15" s="14"/>
      <c r="C15" s="6" t="s">
        <v>442</v>
      </c>
      <c r="D15" s="6" t="s">
        <v>435</v>
      </c>
      <c r="E15" s="6" t="s">
        <v>455</v>
      </c>
      <c r="F15" s="14">
        <v>3</v>
      </c>
      <c r="G15" s="14">
        <v>4</v>
      </c>
      <c r="H15" s="14">
        <v>0</v>
      </c>
      <c r="I15" s="14">
        <v>56</v>
      </c>
      <c r="J15" s="14">
        <f t="shared" si="0"/>
        <v>4</v>
      </c>
      <c r="K15" s="14" t="s">
        <v>436</v>
      </c>
      <c r="L15" s="14"/>
      <c r="M15" s="14"/>
      <c r="N15" s="14"/>
      <c r="O15" s="14"/>
      <c r="P15" s="14"/>
      <c r="Q15" s="14"/>
      <c r="S15" s="14"/>
      <c r="T15" s="14"/>
      <c r="U15" s="14"/>
      <c r="V15" s="14"/>
      <c r="W15" s="14"/>
      <c r="X15" s="14"/>
      <c r="Y15" s="14"/>
      <c r="Z15" s="14"/>
      <c r="AA15" s="14"/>
      <c r="AB15" s="14"/>
      <c r="AC15" s="14"/>
      <c r="AE15" s="14"/>
      <c r="AF15" s="14"/>
      <c r="AG15" s="14"/>
      <c r="AH15" s="14"/>
      <c r="AI15" s="14"/>
      <c r="AJ15" s="14" t="s">
        <v>437</v>
      </c>
      <c r="AK15" s="14" t="s">
        <v>437</v>
      </c>
      <c r="AL15" s="14"/>
    </row>
    <row r="16" spans="1:38">
      <c r="A16" s="6" t="s">
        <v>456</v>
      </c>
      <c r="B16" s="14"/>
      <c r="C16" s="6" t="s">
        <v>442</v>
      </c>
      <c r="D16" s="6" t="s">
        <v>435</v>
      </c>
      <c r="E16" s="6" t="s">
        <v>77</v>
      </c>
      <c r="F16" s="14">
        <v>5</v>
      </c>
      <c r="G16" s="14">
        <v>9</v>
      </c>
      <c r="H16" s="14">
        <v>0</v>
      </c>
      <c r="I16" s="14">
        <v>71</v>
      </c>
      <c r="J16" s="14">
        <f t="shared" si="0"/>
        <v>4</v>
      </c>
      <c r="K16" s="14" t="s">
        <v>436</v>
      </c>
      <c r="L16" s="14"/>
      <c r="M16" s="14"/>
      <c r="N16" s="14"/>
      <c r="O16" s="14"/>
      <c r="P16" s="14"/>
      <c r="Q16" s="14"/>
      <c r="R16" s="14"/>
      <c r="S16" s="14"/>
      <c r="T16" s="14"/>
      <c r="U16" s="14"/>
      <c r="V16" s="14"/>
      <c r="W16" s="14"/>
      <c r="X16" s="14"/>
      <c r="Y16" s="14"/>
      <c r="Z16" s="14"/>
      <c r="AA16" s="14"/>
      <c r="AB16" s="14"/>
      <c r="AC16" s="14"/>
      <c r="AE16" s="14"/>
      <c r="AF16" s="14"/>
      <c r="AG16" s="14"/>
      <c r="AH16" s="14"/>
      <c r="AI16" s="14"/>
      <c r="AJ16" s="14" t="s">
        <v>437</v>
      </c>
      <c r="AK16" s="14" t="s">
        <v>437</v>
      </c>
      <c r="AL16" s="14"/>
    </row>
    <row r="17" spans="1:38">
      <c r="A17" s="6" t="s">
        <v>457</v>
      </c>
      <c r="B17" s="14"/>
      <c r="C17" s="6" t="s">
        <v>442</v>
      </c>
      <c r="D17" s="6" t="s">
        <v>435</v>
      </c>
      <c r="E17" s="6" t="s">
        <v>81</v>
      </c>
      <c r="F17" s="14">
        <v>2</v>
      </c>
      <c r="G17" s="14">
        <v>4</v>
      </c>
      <c r="H17" s="14">
        <v>0</v>
      </c>
      <c r="I17" s="14">
        <v>31</v>
      </c>
      <c r="J17" s="14">
        <f t="shared" si="0"/>
        <v>4</v>
      </c>
      <c r="K17" s="14" t="s">
        <v>436</v>
      </c>
      <c r="L17" s="14"/>
      <c r="M17" s="14"/>
      <c r="N17" s="14"/>
      <c r="O17" s="14"/>
      <c r="P17" s="14"/>
      <c r="Q17" s="14"/>
      <c r="R17" s="14"/>
      <c r="S17" s="14"/>
      <c r="T17" s="14"/>
      <c r="U17" s="14"/>
      <c r="V17" s="14"/>
      <c r="W17" s="14"/>
      <c r="X17" s="14"/>
      <c r="Y17" s="14"/>
      <c r="Z17" s="14"/>
      <c r="AA17" s="14"/>
      <c r="AB17" s="14"/>
      <c r="AC17" s="14"/>
      <c r="AE17" s="14"/>
      <c r="AF17" s="14"/>
      <c r="AG17" s="14"/>
      <c r="AH17" s="14"/>
      <c r="AI17" s="14"/>
      <c r="AJ17" s="14" t="s">
        <v>437</v>
      </c>
      <c r="AK17" s="14" t="s">
        <v>437</v>
      </c>
      <c r="AL17" s="14" t="s">
        <v>437</v>
      </c>
    </row>
    <row r="18" spans="1:38">
      <c r="A18" s="6" t="s">
        <v>458</v>
      </c>
      <c r="B18" s="14"/>
      <c r="C18" s="6" t="s">
        <v>442</v>
      </c>
      <c r="D18" s="6" t="s">
        <v>435</v>
      </c>
      <c r="E18" s="6" t="s">
        <v>459</v>
      </c>
      <c r="F18" s="14">
        <v>6</v>
      </c>
      <c r="G18" s="14">
        <v>9</v>
      </c>
      <c r="H18" s="14">
        <v>0</v>
      </c>
      <c r="I18" s="14">
        <v>101</v>
      </c>
      <c r="J18" s="14">
        <f t="shared" si="0"/>
        <v>4</v>
      </c>
      <c r="K18" s="14" t="s">
        <v>436</v>
      </c>
      <c r="L18" s="14"/>
      <c r="M18" s="14"/>
      <c r="N18" s="14"/>
      <c r="O18" s="14"/>
      <c r="P18" s="14"/>
      <c r="Q18" s="14"/>
      <c r="R18" s="14"/>
      <c r="S18" s="14"/>
      <c r="T18" s="14"/>
      <c r="U18" s="14"/>
      <c r="V18" s="14"/>
      <c r="W18" s="14"/>
      <c r="X18" s="14"/>
      <c r="Y18" s="14"/>
      <c r="Z18" s="14">
        <v>50</v>
      </c>
      <c r="AA18" s="14" t="s">
        <v>436</v>
      </c>
      <c r="AB18" s="14"/>
      <c r="AC18" s="14"/>
      <c r="AE18" s="14"/>
      <c r="AF18" s="14"/>
      <c r="AG18" s="14"/>
      <c r="AH18" s="14"/>
      <c r="AI18" s="14"/>
      <c r="AJ18" s="14" t="s">
        <v>437</v>
      </c>
      <c r="AK18" s="14"/>
      <c r="AL18" s="14"/>
    </row>
    <row r="19" spans="1:38">
      <c r="A19" s="6" t="s">
        <v>460</v>
      </c>
      <c r="B19" s="14"/>
      <c r="C19" s="6" t="s">
        <v>442</v>
      </c>
      <c r="D19" s="6" t="s">
        <v>435</v>
      </c>
      <c r="E19" s="6" t="s">
        <v>88</v>
      </c>
      <c r="F19" s="14">
        <v>2</v>
      </c>
      <c r="G19" s="14">
        <v>5</v>
      </c>
      <c r="H19" s="14">
        <v>0</v>
      </c>
      <c r="I19" s="14">
        <v>51</v>
      </c>
      <c r="J19" s="14">
        <f t="shared" si="0"/>
        <v>4</v>
      </c>
      <c r="K19" s="14" t="s">
        <v>436</v>
      </c>
      <c r="L19" s="14"/>
      <c r="M19" s="14"/>
      <c r="N19" s="14"/>
      <c r="O19" s="14"/>
      <c r="P19" s="14"/>
      <c r="Q19" s="14"/>
      <c r="R19" s="14"/>
      <c r="S19" s="14"/>
      <c r="T19" s="14"/>
      <c r="U19" s="14"/>
      <c r="V19" s="14"/>
      <c r="W19" s="14"/>
      <c r="X19" s="14"/>
      <c r="Y19" s="14"/>
      <c r="Z19" s="14"/>
      <c r="AA19" s="14"/>
      <c r="AB19" s="14"/>
      <c r="AC19" s="14"/>
      <c r="AE19" s="14"/>
      <c r="AF19" s="14"/>
      <c r="AG19" s="14"/>
      <c r="AH19" s="14"/>
      <c r="AI19" s="14"/>
      <c r="AJ19" s="14" t="s">
        <v>437</v>
      </c>
      <c r="AK19" s="14" t="s">
        <v>437</v>
      </c>
      <c r="AL19" s="14"/>
    </row>
    <row r="20" spans="1:38">
      <c r="A20" s="6" t="s">
        <v>461</v>
      </c>
      <c r="B20" s="14"/>
      <c r="C20" s="6" t="s">
        <v>442</v>
      </c>
      <c r="D20" s="6" t="s">
        <v>435</v>
      </c>
      <c r="E20" s="6" t="s">
        <v>96</v>
      </c>
      <c r="F20" s="14">
        <v>5</v>
      </c>
      <c r="G20" s="14">
        <v>12</v>
      </c>
      <c r="H20" s="14">
        <v>0</v>
      </c>
      <c r="I20" s="14">
        <v>63</v>
      </c>
      <c r="J20" s="14">
        <f t="shared" si="0"/>
        <v>16</v>
      </c>
      <c r="K20" s="14" t="s">
        <v>436</v>
      </c>
      <c r="L20" s="14"/>
      <c r="M20" s="14"/>
      <c r="N20" s="14"/>
      <c r="O20" s="14"/>
      <c r="P20" s="14"/>
      <c r="Q20" s="14"/>
      <c r="R20" s="14"/>
      <c r="S20" s="14"/>
      <c r="T20" s="14"/>
      <c r="U20" s="14"/>
      <c r="V20" s="14"/>
      <c r="W20" s="14"/>
      <c r="X20" s="14"/>
      <c r="Y20" s="14"/>
      <c r="Z20" s="14"/>
      <c r="AA20" s="14"/>
      <c r="AB20" s="14">
        <v>65</v>
      </c>
      <c r="AC20" s="14" t="s">
        <v>436</v>
      </c>
      <c r="AE20" s="14"/>
      <c r="AF20" s="14"/>
      <c r="AG20" s="14"/>
      <c r="AH20" s="14"/>
      <c r="AI20" s="14"/>
      <c r="AJ20" s="14" t="s">
        <v>437</v>
      </c>
      <c r="AK20" s="14"/>
      <c r="AL20" s="14"/>
    </row>
    <row r="21" spans="1:38">
      <c r="A21" s="6" t="s">
        <v>462</v>
      </c>
      <c r="B21" s="14"/>
      <c r="C21" s="6" t="s">
        <v>442</v>
      </c>
      <c r="D21" s="6" t="s">
        <v>435</v>
      </c>
      <c r="E21" s="6" t="s">
        <v>104</v>
      </c>
      <c r="F21" s="14">
        <v>4</v>
      </c>
      <c r="G21" s="14">
        <v>7</v>
      </c>
      <c r="H21" s="14">
        <v>0</v>
      </c>
      <c r="I21" s="14">
        <v>41</v>
      </c>
      <c r="J21" s="14">
        <f t="shared" si="0"/>
        <v>4</v>
      </c>
      <c r="K21" s="14" t="s">
        <v>436</v>
      </c>
      <c r="L21" s="14"/>
      <c r="M21" s="14"/>
      <c r="N21" s="14"/>
      <c r="O21" s="14"/>
      <c r="P21" s="14"/>
      <c r="Q21" s="14"/>
      <c r="R21" s="14"/>
      <c r="S21" s="14"/>
      <c r="T21" s="14"/>
      <c r="U21" s="14"/>
      <c r="V21" s="14"/>
      <c r="W21" s="14"/>
      <c r="X21" s="14"/>
      <c r="Y21" s="14"/>
      <c r="Z21" s="14"/>
      <c r="AA21" s="14"/>
      <c r="AB21" s="14"/>
      <c r="AC21" s="14"/>
      <c r="AE21" s="14"/>
      <c r="AF21" s="14"/>
      <c r="AG21" s="14"/>
      <c r="AH21" s="14"/>
      <c r="AI21" s="14"/>
      <c r="AJ21" s="14" t="s">
        <v>437</v>
      </c>
      <c r="AK21" s="14"/>
      <c r="AL21" s="14"/>
    </row>
    <row r="22" spans="1:38">
      <c r="A22" s="6" t="s">
        <v>463</v>
      </c>
      <c r="B22" s="14"/>
      <c r="C22" s="6" t="s">
        <v>442</v>
      </c>
      <c r="D22" s="6" t="s">
        <v>435</v>
      </c>
      <c r="E22" s="6" t="s">
        <v>108</v>
      </c>
      <c r="F22" s="14">
        <v>8</v>
      </c>
      <c r="G22" s="14">
        <v>34</v>
      </c>
      <c r="H22" s="14">
        <v>34</v>
      </c>
      <c r="I22" s="14">
        <v>136</v>
      </c>
      <c r="J22" s="14">
        <f t="shared" si="0"/>
        <v>16</v>
      </c>
      <c r="K22" s="14" t="s">
        <v>436</v>
      </c>
      <c r="L22" s="14"/>
      <c r="M22" s="14"/>
      <c r="N22" s="14"/>
      <c r="O22" s="14"/>
      <c r="P22" s="14"/>
      <c r="Q22" s="14"/>
      <c r="R22" s="14"/>
      <c r="S22" s="14"/>
      <c r="T22" s="14"/>
      <c r="U22" s="14"/>
      <c r="V22" s="14"/>
      <c r="W22" s="14"/>
      <c r="X22" s="14"/>
      <c r="Y22" s="14"/>
      <c r="Z22" s="14"/>
      <c r="AA22" s="14"/>
      <c r="AB22" s="14"/>
      <c r="AC22" s="14"/>
      <c r="AE22" s="14"/>
      <c r="AF22" s="14"/>
      <c r="AG22" s="14"/>
      <c r="AH22" s="14"/>
      <c r="AI22" s="14"/>
      <c r="AJ22" s="14" t="s">
        <v>437</v>
      </c>
      <c r="AK22" s="14" t="s">
        <v>437</v>
      </c>
      <c r="AL22" s="14"/>
    </row>
    <row r="23" spans="1:38">
      <c r="A23" s="6" t="s">
        <v>464</v>
      </c>
      <c r="B23" s="14"/>
      <c r="C23" s="6" t="s">
        <v>442</v>
      </c>
      <c r="D23" s="6" t="s">
        <v>435</v>
      </c>
      <c r="E23" s="6" t="s">
        <v>108</v>
      </c>
      <c r="F23" s="14">
        <v>8</v>
      </c>
      <c r="G23" s="14">
        <v>34</v>
      </c>
      <c r="H23" s="14">
        <v>34</v>
      </c>
      <c r="I23" s="14">
        <v>136</v>
      </c>
      <c r="J23" s="14">
        <f t="shared" si="0"/>
        <v>16</v>
      </c>
      <c r="K23" s="14" t="s">
        <v>436</v>
      </c>
      <c r="L23" s="14"/>
      <c r="M23" s="14"/>
      <c r="N23" s="14"/>
      <c r="O23" s="14"/>
      <c r="P23" s="14"/>
      <c r="Q23" s="14"/>
      <c r="R23" s="14"/>
      <c r="S23" s="14"/>
      <c r="T23" s="14"/>
      <c r="U23" s="14"/>
      <c r="V23" s="14"/>
      <c r="W23" s="14"/>
      <c r="X23" s="14"/>
      <c r="Y23" s="14"/>
      <c r="Z23" s="14"/>
      <c r="AA23" s="14"/>
      <c r="AB23" s="14"/>
      <c r="AC23" s="14"/>
      <c r="AE23" s="14"/>
      <c r="AF23" s="14"/>
      <c r="AG23" s="14"/>
      <c r="AH23" s="14"/>
      <c r="AI23" s="14"/>
      <c r="AJ23" s="14" t="s">
        <v>437</v>
      </c>
      <c r="AK23" s="14" t="s">
        <v>437</v>
      </c>
      <c r="AL23" s="14"/>
    </row>
    <row r="24" spans="1:38">
      <c r="A24" s="6" t="s">
        <v>465</v>
      </c>
      <c r="B24" s="14"/>
      <c r="C24" s="6" t="s">
        <v>442</v>
      </c>
      <c r="D24" s="6" t="s">
        <v>435</v>
      </c>
      <c r="E24" s="6" t="s">
        <v>124</v>
      </c>
      <c r="F24" s="14">
        <v>6</v>
      </c>
      <c r="G24" s="14">
        <v>6</v>
      </c>
      <c r="H24" s="14">
        <v>0</v>
      </c>
      <c r="I24" s="14">
        <v>56</v>
      </c>
      <c r="J24" s="14">
        <f t="shared" si="0"/>
        <v>4</v>
      </c>
      <c r="K24" s="14" t="s">
        <v>436</v>
      </c>
      <c r="L24" s="14"/>
      <c r="M24" s="14"/>
      <c r="N24" s="14"/>
      <c r="O24" s="14"/>
      <c r="P24" s="14"/>
      <c r="Q24" s="14"/>
      <c r="R24" s="14"/>
      <c r="S24" s="14"/>
      <c r="T24" s="14"/>
      <c r="U24" s="14"/>
      <c r="V24" s="14"/>
      <c r="W24" s="14"/>
      <c r="X24" s="14">
        <v>75</v>
      </c>
      <c r="Y24" s="14" t="s">
        <v>466</v>
      </c>
      <c r="Z24" s="14"/>
      <c r="AA24" s="14"/>
      <c r="AB24" s="14"/>
      <c r="AC24" s="14"/>
      <c r="AE24" s="14"/>
      <c r="AF24" s="14"/>
      <c r="AG24" s="14"/>
      <c r="AH24" s="14"/>
      <c r="AI24" s="14"/>
      <c r="AJ24" s="14" t="s">
        <v>437</v>
      </c>
      <c r="AK24" s="14"/>
      <c r="AL24" s="14"/>
    </row>
    <row r="25" spans="1:38">
      <c r="A25" s="6" t="s">
        <v>467</v>
      </c>
      <c r="B25" s="14"/>
      <c r="C25" s="6" t="s">
        <v>442</v>
      </c>
      <c r="D25" s="6" t="s">
        <v>435</v>
      </c>
      <c r="E25" s="6" t="s">
        <v>124</v>
      </c>
      <c r="F25" s="14">
        <v>6</v>
      </c>
      <c r="G25" s="14">
        <v>6</v>
      </c>
      <c r="H25" s="14">
        <v>0</v>
      </c>
      <c r="I25" s="14">
        <v>56</v>
      </c>
      <c r="J25" s="14">
        <f t="shared" si="0"/>
        <v>4</v>
      </c>
      <c r="K25" s="14" t="s">
        <v>436</v>
      </c>
      <c r="L25" s="14"/>
      <c r="M25" s="14"/>
      <c r="N25" s="14"/>
      <c r="O25" s="14"/>
      <c r="P25" s="14"/>
      <c r="Q25" s="14"/>
      <c r="R25" s="14"/>
      <c r="S25" s="14"/>
      <c r="T25" s="14"/>
      <c r="U25" s="14"/>
      <c r="V25" s="14"/>
      <c r="W25" s="14"/>
      <c r="X25" s="14">
        <v>75</v>
      </c>
      <c r="Y25" s="14" t="s">
        <v>466</v>
      </c>
      <c r="Z25" s="14"/>
      <c r="AA25" s="14"/>
      <c r="AB25" s="14"/>
      <c r="AC25" s="14"/>
      <c r="AE25" s="14"/>
      <c r="AF25" s="14"/>
      <c r="AG25" s="14"/>
      <c r="AH25" s="14"/>
      <c r="AI25" s="14"/>
      <c r="AJ25" s="14" t="s">
        <v>437</v>
      </c>
      <c r="AK25" s="14"/>
      <c r="AL25" s="14"/>
    </row>
    <row r="26" spans="1:38">
      <c r="A26" s="6" t="s">
        <v>468</v>
      </c>
      <c r="B26" s="14"/>
      <c r="C26" s="6" t="s">
        <v>442</v>
      </c>
      <c r="D26" s="6" t="s">
        <v>435</v>
      </c>
      <c r="E26" s="6" t="s">
        <v>469</v>
      </c>
      <c r="F26" s="14">
        <v>3</v>
      </c>
      <c r="G26" s="14">
        <v>3</v>
      </c>
      <c r="H26" s="14">
        <v>0</v>
      </c>
      <c r="I26" s="14">
        <v>41</v>
      </c>
      <c r="J26" s="14">
        <f t="shared" si="0"/>
        <v>4</v>
      </c>
      <c r="K26" s="14" t="s">
        <v>436</v>
      </c>
      <c r="L26" s="14"/>
      <c r="M26" s="14"/>
      <c r="N26" s="14"/>
      <c r="O26" s="14"/>
      <c r="P26" s="14"/>
      <c r="Q26" s="14"/>
      <c r="R26" s="14"/>
      <c r="S26" s="14"/>
      <c r="T26" s="14"/>
      <c r="U26" s="14"/>
      <c r="V26" s="14"/>
      <c r="W26" s="14"/>
      <c r="X26" s="14"/>
      <c r="Y26" s="14"/>
      <c r="Z26" s="14"/>
      <c r="AA26" s="14"/>
      <c r="AB26" s="14"/>
      <c r="AC26" s="14"/>
      <c r="AE26" s="14"/>
      <c r="AF26" s="14"/>
      <c r="AG26" s="14"/>
      <c r="AH26" s="14"/>
      <c r="AI26" s="14"/>
      <c r="AJ26" s="14" t="s">
        <v>437</v>
      </c>
      <c r="AK26" s="14"/>
      <c r="AL26" s="14"/>
    </row>
    <row r="27" spans="1:38">
      <c r="A27" s="6" t="s">
        <v>470</v>
      </c>
      <c r="B27" s="14"/>
      <c r="C27" s="6" t="s">
        <v>442</v>
      </c>
      <c r="D27" s="6" t="s">
        <v>435</v>
      </c>
      <c r="E27" s="6" t="s">
        <v>471</v>
      </c>
      <c r="F27" s="14">
        <v>3</v>
      </c>
      <c r="G27" s="14">
        <v>3</v>
      </c>
      <c r="H27" s="14">
        <v>0</v>
      </c>
      <c r="I27" s="14">
        <v>41</v>
      </c>
      <c r="J27" s="14">
        <f t="shared" si="0"/>
        <v>4</v>
      </c>
      <c r="K27" s="14" t="s">
        <v>436</v>
      </c>
      <c r="L27" s="14"/>
      <c r="M27" s="14"/>
      <c r="N27" s="14"/>
      <c r="O27" s="14"/>
      <c r="P27" s="14"/>
      <c r="Q27" s="14"/>
      <c r="R27" s="14"/>
      <c r="S27" s="14"/>
      <c r="T27" s="14"/>
      <c r="U27" s="14"/>
      <c r="V27" s="14"/>
      <c r="W27" s="14"/>
      <c r="X27" s="14"/>
      <c r="Y27" s="14"/>
      <c r="Z27" s="14"/>
      <c r="AA27" s="14"/>
      <c r="AB27" s="14"/>
      <c r="AC27" s="14"/>
      <c r="AE27" s="14"/>
      <c r="AF27" s="14"/>
      <c r="AG27" s="14"/>
      <c r="AH27" s="14"/>
      <c r="AI27" s="14"/>
      <c r="AJ27" s="14" t="s">
        <v>437</v>
      </c>
      <c r="AK27" s="14"/>
      <c r="AL27" s="14"/>
    </row>
    <row r="28" spans="1:38" s="19" customFormat="1" ht="13.5" customHeight="1">
      <c r="A28" s="19" t="s">
        <v>472</v>
      </c>
      <c r="C28" s="19" t="s">
        <v>442</v>
      </c>
      <c r="D28" s="19" t="s">
        <v>435</v>
      </c>
      <c r="E28" s="19" t="s">
        <v>473</v>
      </c>
      <c r="F28" s="17">
        <v>8</v>
      </c>
      <c r="G28" s="17">
        <v>11</v>
      </c>
      <c r="H28" s="17">
        <v>0</v>
      </c>
      <c r="I28" s="17">
        <v>125</v>
      </c>
      <c r="J28" s="17">
        <f t="shared" si="0"/>
        <v>16</v>
      </c>
      <c r="K28" s="17" t="s">
        <v>436</v>
      </c>
      <c r="L28" s="17"/>
      <c r="M28" s="17"/>
      <c r="N28" s="99"/>
      <c r="O28" s="98"/>
      <c r="P28" s="17"/>
      <c r="Q28" s="17"/>
      <c r="R28" s="17"/>
      <c r="S28" s="17"/>
      <c r="V28" s="17"/>
      <c r="W28" s="17"/>
      <c r="AF28" s="39">
        <v>135</v>
      </c>
      <c r="AG28" s="39" t="s">
        <v>474</v>
      </c>
      <c r="AH28" s="39"/>
      <c r="AI28" s="39"/>
      <c r="AJ28" s="17" t="s">
        <v>437</v>
      </c>
      <c r="AK28" s="17"/>
      <c r="AL28" s="17"/>
    </row>
    <row r="29" spans="1:38">
      <c r="F29" s="14">
        <f>SUM(F8:F28)</f>
        <v>93</v>
      </c>
      <c r="G29" s="14">
        <f>SUM(G8:G28)</f>
        <v>220</v>
      </c>
      <c r="H29" s="14">
        <f>SUM(H8:H28)</f>
        <v>114</v>
      </c>
      <c r="I29" s="14">
        <f>SUM(I8:I28)</f>
        <v>1667</v>
      </c>
      <c r="J29" s="14"/>
      <c r="K29" s="14"/>
      <c r="L29" s="14">
        <f>SUM(L8:L28)</f>
        <v>66</v>
      </c>
      <c r="M29" s="14"/>
      <c r="N29" s="14">
        <f>SUM(N8:N28)</f>
        <v>1350</v>
      </c>
      <c r="O29" s="14"/>
      <c r="P29" s="14">
        <f>SUM(P8:P28)</f>
        <v>1650</v>
      </c>
      <c r="Q29" s="14"/>
      <c r="R29" s="14">
        <f>SUM(R8:R28)</f>
        <v>340</v>
      </c>
      <c r="S29" s="14"/>
      <c r="T29" s="14">
        <f>SUM(T8:T28)</f>
        <v>0</v>
      </c>
      <c r="U29" s="14"/>
      <c r="V29" s="14">
        <f>SUM(V8:V28)</f>
        <v>4750</v>
      </c>
      <c r="X29" s="14">
        <f>SUM(X8:X28)</f>
        <v>150</v>
      </c>
      <c r="Z29" s="14">
        <f>SUM(Z8:Z28)</f>
        <v>50</v>
      </c>
      <c r="AB29" s="14">
        <f>SUM(AB8:AB28)</f>
        <v>65</v>
      </c>
      <c r="AD29" s="14">
        <f>SUM(AD8:AD28)</f>
        <v>0</v>
      </c>
      <c r="AF29" s="14">
        <f>SUM(AF8:AF28)</f>
        <v>135</v>
      </c>
      <c r="AJ29" s="14">
        <f>COUNTIF(AJ8:AJ28,"x")</f>
        <v>21</v>
      </c>
      <c r="AK29" s="14">
        <f>COUNTIF(AK8:AK28,"x")</f>
        <v>8</v>
      </c>
      <c r="AL29" s="14">
        <f>COUNTIF(AL8:AL28,"x")</f>
        <v>2</v>
      </c>
    </row>
    <row r="30" spans="1:38" ht="13.5" customHeight="1">
      <c r="A30" s="16" t="s">
        <v>475</v>
      </c>
      <c r="F30" s="14"/>
      <c r="G30" s="14"/>
      <c r="H30" s="14"/>
      <c r="I30" s="14"/>
      <c r="J30" s="14"/>
      <c r="K30" s="14"/>
      <c r="L30" s="14"/>
      <c r="M30" s="14"/>
      <c r="N30" s="14"/>
      <c r="O30"/>
      <c r="P30" s="14"/>
      <c r="Q30" s="14"/>
      <c r="R30" s="14"/>
      <c r="S30" s="14"/>
      <c r="T30" s="14"/>
      <c r="U30" s="14"/>
      <c r="V30" s="14"/>
      <c r="X30" s="14"/>
      <c r="Z30" s="14"/>
      <c r="AB30" s="14"/>
      <c r="AJ30" s="14"/>
      <c r="AK30" s="14"/>
      <c r="AL30" s="14"/>
    </row>
    <row r="31" spans="1:38">
      <c r="A31" s="6" t="s">
        <v>476</v>
      </c>
      <c r="B31" s="14"/>
      <c r="C31" s="6" t="s">
        <v>442</v>
      </c>
      <c r="D31" s="6" t="s">
        <v>435</v>
      </c>
      <c r="E31" s="6" t="s">
        <v>477</v>
      </c>
      <c r="F31" s="14">
        <v>8</v>
      </c>
      <c r="G31" s="14">
        <v>16</v>
      </c>
      <c r="H31" s="14">
        <v>0</v>
      </c>
      <c r="I31" s="14">
        <v>30</v>
      </c>
      <c r="J31" s="14">
        <f>IF(G31&gt;=10,16, 4)-J53</f>
        <v>12</v>
      </c>
      <c r="K31" s="14" t="s">
        <v>436</v>
      </c>
      <c r="L31" s="14"/>
      <c r="M31" s="14"/>
      <c r="N31" s="14"/>
      <c r="O31" s="14"/>
      <c r="P31" s="14"/>
      <c r="Q31" s="14"/>
      <c r="R31" s="14"/>
      <c r="S31" s="14"/>
      <c r="T31" s="14"/>
      <c r="U31" s="14"/>
      <c r="V31" s="14">
        <v>200</v>
      </c>
      <c r="W31" s="14" t="s">
        <v>206</v>
      </c>
      <c r="X31" s="14"/>
      <c r="Y31" s="14"/>
      <c r="Z31" s="14"/>
      <c r="AA31" s="14"/>
      <c r="AB31" s="14"/>
      <c r="AC31" s="14"/>
      <c r="AE31" s="14"/>
      <c r="AF31" s="14"/>
      <c r="AG31" s="14"/>
      <c r="AH31" s="14">
        <v>150</v>
      </c>
      <c r="AI31" s="14" t="s">
        <v>474</v>
      </c>
      <c r="AJ31" s="14"/>
      <c r="AK31" s="14"/>
      <c r="AL31" s="14"/>
    </row>
    <row r="32" spans="1:38" ht="12.95">
      <c r="A32" s="138" t="s">
        <v>478</v>
      </c>
      <c r="F32" s="14"/>
      <c r="G32" s="14"/>
      <c r="H32" s="14"/>
      <c r="I32" s="14"/>
      <c r="J32" s="14"/>
      <c r="K32" s="14"/>
      <c r="L32" s="14"/>
      <c r="M32" s="14"/>
      <c r="N32" s="14"/>
      <c r="O32" s="14"/>
      <c r="P32" s="14"/>
      <c r="Q32" s="14"/>
      <c r="R32" s="14"/>
      <c r="S32" s="14"/>
      <c r="T32" s="14"/>
      <c r="U32" s="14"/>
      <c r="V32" s="14"/>
      <c r="X32" s="14"/>
      <c r="Z32" s="14"/>
      <c r="AB32" s="14"/>
      <c r="AK32" s="14"/>
      <c r="AL32" s="14"/>
    </row>
    <row r="33" spans="1:38">
      <c r="A33" s="6" t="s">
        <v>472</v>
      </c>
      <c r="B33" s="14"/>
      <c r="C33" s="6" t="s">
        <v>442</v>
      </c>
      <c r="D33" s="6" t="s">
        <v>435</v>
      </c>
      <c r="E33" s="6" t="s">
        <v>479</v>
      </c>
      <c r="F33" s="14">
        <v>8</v>
      </c>
      <c r="G33" s="14">
        <v>22</v>
      </c>
      <c r="H33" s="14">
        <v>0</v>
      </c>
      <c r="I33" s="14">
        <v>28</v>
      </c>
      <c r="J33" s="14">
        <f>IF(G33&gt;=10,16, 4)-J28</f>
        <v>0</v>
      </c>
      <c r="K33" s="14" t="s">
        <v>436</v>
      </c>
      <c r="L33" s="14"/>
      <c r="M33" s="14"/>
      <c r="N33" s="14"/>
      <c r="O33" s="14"/>
      <c r="P33" s="14"/>
      <c r="Q33" s="14"/>
      <c r="R33" s="14">
        <v>120</v>
      </c>
      <c r="S33" s="14" t="s">
        <v>449</v>
      </c>
      <c r="T33" s="14"/>
      <c r="U33" s="14"/>
      <c r="V33" s="14">
        <v>340</v>
      </c>
      <c r="W33" s="14" t="s">
        <v>206</v>
      </c>
      <c r="X33" s="14"/>
      <c r="Y33" s="14"/>
      <c r="Z33" s="14"/>
      <c r="AA33" s="14"/>
      <c r="AB33" s="14"/>
      <c r="AC33" s="14"/>
      <c r="AD33" s="14">
        <v>200</v>
      </c>
      <c r="AE33" s="14" t="s">
        <v>474</v>
      </c>
      <c r="AF33" s="14"/>
      <c r="AG33" s="14"/>
      <c r="AH33" s="14"/>
      <c r="AI33" s="14"/>
      <c r="AJ33" s="14"/>
      <c r="AK33" s="14"/>
      <c r="AL33" s="14"/>
    </row>
    <row r="34" spans="1:38" s="19" customFormat="1" ht="13.5" customHeight="1">
      <c r="A34" s="19" t="s">
        <v>480</v>
      </c>
      <c r="C34" s="19" t="s">
        <v>442</v>
      </c>
      <c r="D34" s="19" t="s">
        <v>435</v>
      </c>
      <c r="E34" s="19" t="s">
        <v>481</v>
      </c>
      <c r="F34" s="17">
        <v>4</v>
      </c>
      <c r="G34" s="17">
        <v>15</v>
      </c>
      <c r="H34" s="17">
        <v>0</v>
      </c>
      <c r="I34" s="17">
        <v>0</v>
      </c>
      <c r="J34" s="17">
        <f>IF(G34&gt;=10,16, 4)-J52</f>
        <v>12</v>
      </c>
      <c r="K34" s="17" t="s">
        <v>436</v>
      </c>
      <c r="L34" s="17"/>
      <c r="M34" s="17"/>
      <c r="N34" s="99"/>
      <c r="O34" s="98"/>
      <c r="P34" s="17"/>
      <c r="Q34" s="17"/>
      <c r="R34" s="17"/>
      <c r="S34" s="17"/>
      <c r="V34" s="17"/>
      <c r="W34" s="17"/>
      <c r="AD34" s="17"/>
      <c r="AE34" s="17"/>
      <c r="AF34" s="17"/>
      <c r="AG34" s="17"/>
      <c r="AH34" s="17"/>
      <c r="AI34" s="17"/>
      <c r="AJ34" s="17"/>
      <c r="AK34" s="17"/>
      <c r="AL34" s="17"/>
    </row>
    <row r="35" spans="1:38" ht="13.5" customHeight="1">
      <c r="F35" s="14">
        <f>SUM(F31:F34)+F29</f>
        <v>113</v>
      </c>
      <c r="G35" s="14">
        <f>SUM(G31:G34)+G29</f>
        <v>273</v>
      </c>
      <c r="H35" s="14">
        <f>SUM(H31:H34)+H29</f>
        <v>114</v>
      </c>
      <c r="I35" s="14">
        <f>SUM(I31:I34)+I29</f>
        <v>1725</v>
      </c>
      <c r="J35" s="14"/>
      <c r="K35" s="14"/>
      <c r="L35" s="14">
        <f>SUM(L31:L34)+L29</f>
        <v>66</v>
      </c>
      <c r="M35" s="14"/>
      <c r="N35" s="14">
        <f>SUM(N31:N34)+N29</f>
        <v>1350</v>
      </c>
      <c r="O35"/>
      <c r="P35" s="14">
        <f>SUM(P31:P34)+P29</f>
        <v>1650</v>
      </c>
      <c r="Q35" s="14"/>
      <c r="R35" s="14">
        <f>SUM(R31:R34)+R29</f>
        <v>460</v>
      </c>
      <c r="S35" s="14"/>
      <c r="T35" s="14">
        <f>SUM(T31:T34)+T29</f>
        <v>0</v>
      </c>
      <c r="V35" s="14">
        <f>SUM(V31:V34)+V29</f>
        <v>5290</v>
      </c>
      <c r="X35" s="14">
        <f>SUM(X31:X34)+X29</f>
        <v>150</v>
      </c>
      <c r="Z35" s="14">
        <f>SUM(Z31:Z34)+Z29</f>
        <v>50</v>
      </c>
      <c r="AB35" s="14">
        <f>SUM(AB31:AB34)+AB29</f>
        <v>65</v>
      </c>
      <c r="AD35" s="14">
        <f>SUM(AD31:AD34)+AD29</f>
        <v>200</v>
      </c>
      <c r="AF35" s="14">
        <f>SUM(AF31:AF34)+AF29</f>
        <v>135</v>
      </c>
      <c r="AH35" s="155">
        <f>SUM(AH31:AH34)+AH29</f>
        <v>150</v>
      </c>
      <c r="AJ35" s="14">
        <f>COUNTIF(AJ31:AJ34,"x")+AJ29</f>
        <v>21</v>
      </c>
      <c r="AK35" s="14">
        <f>COUNTIF(AK31:AK34,"x")+AK29</f>
        <v>8</v>
      </c>
      <c r="AL35" s="14">
        <f>COUNTIF(AL31:AL34,"x")+AL29</f>
        <v>2</v>
      </c>
    </row>
    <row r="37" spans="1:38" ht="12.95">
      <c r="A37" s="16" t="s">
        <v>485</v>
      </c>
      <c r="AL37" s="14"/>
    </row>
    <row r="38" spans="1:38" ht="12.95">
      <c r="A38" s="16"/>
      <c r="AL38" s="14"/>
    </row>
    <row r="39" spans="1:38">
      <c r="A39" s="6" t="s">
        <v>486</v>
      </c>
      <c r="C39" s="6" t="s">
        <v>442</v>
      </c>
      <c r="D39" s="6" t="s">
        <v>435</v>
      </c>
      <c r="E39" s="6" t="s">
        <v>44</v>
      </c>
      <c r="F39" s="14">
        <v>4</v>
      </c>
      <c r="G39" s="14">
        <v>16</v>
      </c>
      <c r="H39" s="14">
        <v>0</v>
      </c>
      <c r="I39" s="14">
        <v>71</v>
      </c>
      <c r="J39" s="14">
        <f>IF(G39&gt;=10,16, 4)</f>
        <v>16</v>
      </c>
      <c r="K39" s="14" t="s">
        <v>436</v>
      </c>
      <c r="L39" s="14"/>
      <c r="M39" s="14"/>
      <c r="N39" s="14"/>
      <c r="O39" s="14"/>
      <c r="P39" s="14"/>
      <c r="Q39" s="14"/>
      <c r="R39" s="14"/>
      <c r="S39" s="14"/>
      <c r="T39" s="14"/>
      <c r="U39" s="14"/>
      <c r="V39" s="14"/>
      <c r="AJ39" s="14" t="s">
        <v>437</v>
      </c>
      <c r="AL39" s="14"/>
    </row>
    <row r="40" spans="1:38">
      <c r="A40" s="6" t="s">
        <v>487</v>
      </c>
      <c r="B40" s="14"/>
      <c r="C40" s="6" t="s">
        <v>442</v>
      </c>
      <c r="D40" s="21" t="s">
        <v>488</v>
      </c>
      <c r="E40" s="6" t="s">
        <v>112</v>
      </c>
      <c r="F40" s="14">
        <v>4</v>
      </c>
      <c r="G40" s="14">
        <v>4</v>
      </c>
      <c r="H40" s="14">
        <v>0</v>
      </c>
      <c r="I40" s="14">
        <v>100</v>
      </c>
      <c r="J40" s="14">
        <v>0</v>
      </c>
      <c r="K40" s="14" t="s">
        <v>436</v>
      </c>
      <c r="L40" s="14"/>
      <c r="M40" s="14"/>
      <c r="N40" s="14"/>
      <c r="O40" s="14"/>
      <c r="P40" s="14"/>
      <c r="Q40" s="14"/>
      <c r="R40" s="14"/>
      <c r="S40" s="14"/>
      <c r="T40" s="14"/>
      <c r="U40" s="14"/>
      <c r="V40" s="14"/>
      <c r="W40" s="14"/>
      <c r="X40" s="14"/>
      <c r="Y40" s="14"/>
      <c r="Z40" s="14"/>
      <c r="AA40" s="14"/>
      <c r="AB40" s="14"/>
      <c r="AC40" s="14"/>
      <c r="AE40" s="14"/>
      <c r="AF40" s="14"/>
      <c r="AG40" s="14"/>
      <c r="AH40" s="14"/>
      <c r="AI40" s="14"/>
      <c r="AJ40" s="14" t="s">
        <v>437</v>
      </c>
      <c r="AL40" s="14"/>
    </row>
    <row r="41" spans="1:38">
      <c r="A41" s="6" t="s">
        <v>489</v>
      </c>
      <c r="B41" s="14"/>
      <c r="C41" s="6" t="s">
        <v>442</v>
      </c>
      <c r="D41" s="21" t="s">
        <v>488</v>
      </c>
      <c r="E41" s="6" t="s">
        <v>120</v>
      </c>
      <c r="F41" s="14">
        <v>4</v>
      </c>
      <c r="G41" s="14">
        <v>16</v>
      </c>
      <c r="H41" s="14">
        <v>0</v>
      </c>
      <c r="I41" s="14">
        <v>100</v>
      </c>
      <c r="J41" s="14">
        <v>0</v>
      </c>
      <c r="K41" s="14" t="s">
        <v>436</v>
      </c>
      <c r="L41" s="14"/>
      <c r="M41" s="14"/>
      <c r="N41" s="14"/>
      <c r="O41" s="14"/>
      <c r="P41" s="14"/>
      <c r="Q41" s="14"/>
      <c r="R41" s="14"/>
      <c r="S41" s="14"/>
      <c r="T41" s="14"/>
      <c r="U41" s="14"/>
      <c r="V41" s="14"/>
      <c r="W41" s="14"/>
      <c r="X41" s="14"/>
      <c r="Y41" s="14"/>
      <c r="Z41" s="14"/>
      <c r="AA41" s="14"/>
      <c r="AB41" s="14"/>
      <c r="AC41" s="14"/>
      <c r="AE41" s="14"/>
      <c r="AF41" s="14"/>
      <c r="AG41" s="14"/>
      <c r="AH41" s="14"/>
      <c r="AI41" s="14"/>
      <c r="AJ41" s="14" t="s">
        <v>437</v>
      </c>
      <c r="AL41" s="14"/>
    </row>
    <row r="42" spans="1:38">
      <c r="A42" s="6" t="s">
        <v>490</v>
      </c>
      <c r="B42" s="14"/>
      <c r="C42" s="6" t="s">
        <v>442</v>
      </c>
      <c r="D42" s="21" t="s">
        <v>488</v>
      </c>
      <c r="E42" s="6" t="s">
        <v>116</v>
      </c>
      <c r="F42" s="14">
        <v>4</v>
      </c>
      <c r="G42" s="14">
        <v>14</v>
      </c>
      <c r="H42" s="14">
        <v>0</v>
      </c>
      <c r="I42" s="14">
        <v>120</v>
      </c>
      <c r="J42" s="14">
        <v>0</v>
      </c>
      <c r="K42" s="14" t="s">
        <v>436</v>
      </c>
      <c r="L42" s="14"/>
      <c r="M42" s="14"/>
      <c r="N42" s="14"/>
      <c r="O42" s="14"/>
      <c r="P42" s="14"/>
      <c r="Q42" s="14"/>
      <c r="R42" s="14"/>
      <c r="S42" s="14"/>
      <c r="T42" s="14"/>
      <c r="U42" s="14"/>
      <c r="V42" s="14"/>
      <c r="W42" s="14"/>
      <c r="X42" s="14"/>
      <c r="Y42" s="14"/>
      <c r="Z42" s="14"/>
      <c r="AA42" s="14"/>
      <c r="AB42" s="14"/>
      <c r="AC42" s="14"/>
      <c r="AE42" s="14"/>
      <c r="AF42" s="14"/>
      <c r="AG42" s="14"/>
      <c r="AH42" s="14"/>
      <c r="AI42" s="14"/>
      <c r="AJ42" s="14" t="s">
        <v>437</v>
      </c>
      <c r="AL42" s="14"/>
    </row>
    <row r="43" spans="1:38">
      <c r="A43" s="6" t="s">
        <v>491</v>
      </c>
      <c r="C43" s="6" t="s">
        <v>442</v>
      </c>
      <c r="D43" s="21" t="s">
        <v>488</v>
      </c>
      <c r="E43" s="6" t="s">
        <v>120</v>
      </c>
      <c r="F43" s="14">
        <v>4</v>
      </c>
      <c r="G43" s="14">
        <v>16</v>
      </c>
      <c r="H43" s="14">
        <v>0</v>
      </c>
      <c r="I43" s="14">
        <v>100</v>
      </c>
      <c r="J43" s="14">
        <v>0</v>
      </c>
      <c r="K43" s="14" t="s">
        <v>436</v>
      </c>
      <c r="L43" s="14"/>
      <c r="M43" s="14"/>
      <c r="N43" s="14"/>
      <c r="O43" s="14"/>
      <c r="P43" s="14"/>
      <c r="Q43" s="14"/>
      <c r="R43" s="14"/>
      <c r="S43" s="14"/>
      <c r="T43" s="14"/>
      <c r="U43" s="14"/>
      <c r="V43" s="14"/>
      <c r="AJ43" s="14" t="s">
        <v>437</v>
      </c>
      <c r="AL43" s="14"/>
    </row>
    <row r="44" spans="1:38">
      <c r="A44" s="6" t="s">
        <v>492</v>
      </c>
      <c r="C44" s="6" t="s">
        <v>442</v>
      </c>
      <c r="D44" s="6" t="s">
        <v>435</v>
      </c>
      <c r="E44" s="6" t="s">
        <v>55</v>
      </c>
      <c r="F44" s="14">
        <v>3</v>
      </c>
      <c r="G44" s="14">
        <v>8</v>
      </c>
      <c r="H44" s="14">
        <v>0</v>
      </c>
      <c r="I44" s="14">
        <v>121</v>
      </c>
      <c r="J44" s="14">
        <f t="shared" ref="J44:J53" si="1">IF(G44&gt;=10,16, 4)</f>
        <v>4</v>
      </c>
      <c r="K44" s="14" t="s">
        <v>436</v>
      </c>
      <c r="L44" s="14"/>
      <c r="M44" s="14"/>
      <c r="N44" s="14"/>
      <c r="O44" s="14"/>
      <c r="P44" s="14"/>
      <c r="Q44" s="14"/>
      <c r="R44" s="14"/>
      <c r="S44" s="14"/>
      <c r="T44" s="14"/>
      <c r="U44" s="14"/>
      <c r="V44" s="14"/>
      <c r="AJ44" s="14" t="s">
        <v>437</v>
      </c>
      <c r="AL44" s="14"/>
    </row>
    <row r="45" spans="1:38">
      <c r="A45" s="6" t="s">
        <v>493</v>
      </c>
      <c r="C45" s="6" t="s">
        <v>442</v>
      </c>
      <c r="D45" s="6" t="s">
        <v>435</v>
      </c>
      <c r="E45" s="6" t="s">
        <v>55</v>
      </c>
      <c r="F45" s="14">
        <v>3</v>
      </c>
      <c r="G45" s="14">
        <v>8</v>
      </c>
      <c r="H45" s="14">
        <v>0</v>
      </c>
      <c r="I45" s="14">
        <v>121</v>
      </c>
      <c r="J45" s="14">
        <f t="shared" si="1"/>
        <v>4</v>
      </c>
      <c r="K45" s="14" t="s">
        <v>436</v>
      </c>
      <c r="L45" s="14"/>
      <c r="M45" s="14"/>
      <c r="N45" s="14"/>
      <c r="O45" s="14"/>
      <c r="P45" s="14"/>
      <c r="Q45" s="14"/>
      <c r="R45" s="14"/>
      <c r="S45" s="14"/>
      <c r="T45" s="14"/>
      <c r="U45" s="14"/>
      <c r="V45" s="14"/>
      <c r="AJ45" s="14" t="s">
        <v>437</v>
      </c>
      <c r="AL45" s="14"/>
    </row>
    <row r="46" spans="1:38">
      <c r="A46" s="6" t="s">
        <v>494</v>
      </c>
      <c r="C46" s="6" t="s">
        <v>442</v>
      </c>
      <c r="D46" s="6" t="s">
        <v>435</v>
      </c>
      <c r="E46" s="6" t="s">
        <v>71</v>
      </c>
      <c r="F46" s="14">
        <v>2</v>
      </c>
      <c r="G46" s="14">
        <v>4</v>
      </c>
      <c r="H46" s="14">
        <v>0</v>
      </c>
      <c r="I46" s="14">
        <v>41</v>
      </c>
      <c r="J46" s="14">
        <f t="shared" si="1"/>
        <v>4</v>
      </c>
      <c r="K46" s="14" t="s">
        <v>436</v>
      </c>
      <c r="L46" s="14"/>
      <c r="M46" s="14"/>
      <c r="N46" s="14"/>
      <c r="O46" s="14"/>
      <c r="P46" s="14"/>
      <c r="Q46" s="14"/>
      <c r="R46" s="14"/>
      <c r="S46" s="14"/>
      <c r="T46" s="14"/>
      <c r="U46" s="14"/>
      <c r="V46" s="14"/>
      <c r="AJ46" s="14" t="s">
        <v>437</v>
      </c>
      <c r="AL46" s="14"/>
    </row>
    <row r="47" spans="1:38">
      <c r="A47" s="6" t="s">
        <v>495</v>
      </c>
      <c r="C47" s="6" t="s">
        <v>442</v>
      </c>
      <c r="D47" s="6" t="s">
        <v>435</v>
      </c>
      <c r="E47" s="6" t="s">
        <v>63</v>
      </c>
      <c r="F47" s="14">
        <v>2</v>
      </c>
      <c r="G47" s="14">
        <v>4</v>
      </c>
      <c r="H47" s="14">
        <v>0</v>
      </c>
      <c r="I47" s="14">
        <v>31</v>
      </c>
      <c r="J47" s="14">
        <f t="shared" si="1"/>
        <v>4</v>
      </c>
      <c r="K47" s="14" t="s">
        <v>436</v>
      </c>
      <c r="L47" s="14"/>
      <c r="M47" s="14"/>
      <c r="N47" s="14"/>
      <c r="O47" s="14"/>
      <c r="P47" s="14"/>
      <c r="Q47" s="14"/>
      <c r="R47" s="14"/>
      <c r="S47" s="14"/>
      <c r="T47" s="14"/>
      <c r="U47" s="14"/>
      <c r="V47" s="14"/>
      <c r="AJ47" s="14" t="s">
        <v>437</v>
      </c>
      <c r="AL47" s="14"/>
    </row>
    <row r="48" spans="1:38">
      <c r="A48" s="6" t="s">
        <v>496</v>
      </c>
      <c r="C48" s="6" t="s">
        <v>442</v>
      </c>
      <c r="D48" s="6" t="s">
        <v>435</v>
      </c>
      <c r="E48" s="6" t="s">
        <v>67</v>
      </c>
      <c r="F48" s="14">
        <v>4</v>
      </c>
      <c r="G48" s="14">
        <v>4</v>
      </c>
      <c r="H48" s="14">
        <v>0</v>
      </c>
      <c r="I48" s="14">
        <v>36</v>
      </c>
      <c r="J48" s="14">
        <f t="shared" si="1"/>
        <v>4</v>
      </c>
      <c r="K48" s="14" t="s">
        <v>436</v>
      </c>
      <c r="L48" s="14"/>
      <c r="M48" s="14"/>
      <c r="N48" s="14"/>
      <c r="O48" s="14"/>
      <c r="P48" s="14"/>
      <c r="Q48" s="14"/>
      <c r="R48" s="14"/>
      <c r="S48" s="14"/>
      <c r="T48" s="14"/>
      <c r="U48" s="14"/>
      <c r="V48" s="14"/>
      <c r="AJ48" s="14" t="s">
        <v>437</v>
      </c>
      <c r="AL48" s="14"/>
    </row>
    <row r="49" spans="1:38" ht="14.45">
      <c r="A49" s="6" t="s">
        <v>497</v>
      </c>
      <c r="C49" s="6" t="s">
        <v>442</v>
      </c>
      <c r="D49" s="6" t="s">
        <v>435</v>
      </c>
      <c r="E49" s="6" t="s">
        <v>276</v>
      </c>
      <c r="F49" s="14">
        <v>5</v>
      </c>
      <c r="G49" s="14">
        <v>6</v>
      </c>
      <c r="H49" s="14">
        <v>0</v>
      </c>
      <c r="I49" s="14">
        <v>111</v>
      </c>
      <c r="J49" s="14">
        <f t="shared" si="1"/>
        <v>4</v>
      </c>
      <c r="K49" s="14" t="s">
        <v>436</v>
      </c>
      <c r="L49" s="14"/>
      <c r="M49" s="14"/>
      <c r="N49" s="2"/>
      <c r="O49"/>
      <c r="P49" s="14"/>
      <c r="Q49" s="14"/>
      <c r="R49" s="14"/>
      <c r="S49" s="14"/>
      <c r="T49" s="14"/>
      <c r="U49" s="14"/>
      <c r="V49" s="14"/>
      <c r="W49" s="14"/>
      <c r="X49" s="14"/>
      <c r="AD49" s="6"/>
      <c r="AJ49" s="14" t="s">
        <v>437</v>
      </c>
      <c r="AL49" s="14" t="s">
        <v>437</v>
      </c>
    </row>
    <row r="50" spans="1:38" ht="13.5" customHeight="1">
      <c r="A50" s="6" t="s">
        <v>498</v>
      </c>
      <c r="D50" s="6" t="s">
        <v>499</v>
      </c>
      <c r="E50" s="6" t="s">
        <v>500</v>
      </c>
      <c r="F50" s="14">
        <v>2</v>
      </c>
      <c r="G50" s="14">
        <v>8</v>
      </c>
      <c r="H50" s="14">
        <v>0</v>
      </c>
      <c r="I50" s="14">
        <v>150</v>
      </c>
      <c r="J50" s="14">
        <f t="shared" si="1"/>
        <v>4</v>
      </c>
      <c r="K50" s="14" t="s">
        <v>206</v>
      </c>
      <c r="L50" s="14"/>
      <c r="M50" s="14"/>
      <c r="N50" s="2"/>
      <c r="O50"/>
      <c r="P50" s="14"/>
      <c r="Q50" s="14"/>
      <c r="R50" s="14"/>
      <c r="S50" s="14"/>
      <c r="T50" s="14">
        <v>3000</v>
      </c>
      <c r="U50" s="14" t="s">
        <v>206</v>
      </c>
      <c r="V50" s="14"/>
      <c r="AJ50" s="14"/>
      <c r="AL50" s="14"/>
    </row>
    <row r="51" spans="1:38" ht="13.5" customHeight="1">
      <c r="A51" s="6" t="s">
        <v>501</v>
      </c>
      <c r="D51" s="6" t="s">
        <v>499</v>
      </c>
      <c r="E51" s="6" t="s">
        <v>502</v>
      </c>
      <c r="F51" s="14">
        <v>4</v>
      </c>
      <c r="G51" s="14">
        <v>4</v>
      </c>
      <c r="H51" s="14">
        <v>0</v>
      </c>
      <c r="I51" s="14">
        <v>21</v>
      </c>
      <c r="J51" s="14">
        <f t="shared" si="1"/>
        <v>4</v>
      </c>
      <c r="K51" s="14" t="s">
        <v>206</v>
      </c>
      <c r="L51" s="14"/>
      <c r="M51" s="14"/>
      <c r="N51" s="2"/>
      <c r="O51"/>
      <c r="P51" s="14"/>
      <c r="Q51" s="14"/>
      <c r="R51" s="14"/>
      <c r="S51" s="14"/>
      <c r="T51" s="14"/>
      <c r="U51" s="14"/>
      <c r="V51" s="14"/>
      <c r="AJ51" s="14"/>
      <c r="AL51" s="14"/>
    </row>
    <row r="52" spans="1:38" ht="13.5" customHeight="1">
      <c r="A52" s="6" t="s">
        <v>480</v>
      </c>
      <c r="C52" s="6" t="s">
        <v>442</v>
      </c>
      <c r="D52" s="6" t="s">
        <v>435</v>
      </c>
      <c r="E52" s="6" t="s">
        <v>506</v>
      </c>
      <c r="F52" s="14">
        <v>2</v>
      </c>
      <c r="G52" s="14">
        <v>2</v>
      </c>
      <c r="H52" s="14">
        <v>0</v>
      </c>
      <c r="I52" s="14">
        <v>50</v>
      </c>
      <c r="J52" s="14">
        <f t="shared" si="1"/>
        <v>4</v>
      </c>
      <c r="K52" s="14" t="s">
        <v>436</v>
      </c>
      <c r="L52" s="14"/>
      <c r="M52" s="14"/>
      <c r="N52" s="2"/>
      <c r="O52"/>
      <c r="P52" s="14"/>
      <c r="Q52" s="14"/>
      <c r="R52" s="14"/>
      <c r="S52" s="14"/>
      <c r="T52" s="14"/>
      <c r="U52" s="14"/>
      <c r="V52" s="14"/>
      <c r="AF52" s="86"/>
      <c r="AG52" s="86"/>
      <c r="AH52" s="86"/>
      <c r="AI52" s="86"/>
      <c r="AJ52" s="14" t="s">
        <v>437</v>
      </c>
      <c r="AL52" s="14"/>
    </row>
    <row r="53" spans="1:38" s="19" customFormat="1" ht="13.5" customHeight="1">
      <c r="A53" s="19" t="s">
        <v>476</v>
      </c>
      <c r="C53" s="19" t="s">
        <v>442</v>
      </c>
      <c r="D53" s="19" t="s">
        <v>435</v>
      </c>
      <c r="E53" s="19" t="s">
        <v>507</v>
      </c>
      <c r="F53" s="17">
        <v>2</v>
      </c>
      <c r="G53" s="17">
        <v>2</v>
      </c>
      <c r="H53" s="17">
        <v>0</v>
      </c>
      <c r="I53" s="17">
        <v>50</v>
      </c>
      <c r="J53" s="17">
        <f t="shared" si="1"/>
        <v>4</v>
      </c>
      <c r="K53" s="17" t="s">
        <v>436</v>
      </c>
      <c r="L53" s="17"/>
      <c r="M53" s="17"/>
      <c r="N53" s="99"/>
      <c r="O53" s="98"/>
      <c r="P53" s="17"/>
      <c r="Q53" s="17"/>
      <c r="R53" s="17"/>
      <c r="S53" s="17"/>
      <c r="T53" s="17"/>
      <c r="U53" s="17"/>
      <c r="V53" s="17"/>
      <c r="AD53" s="17"/>
      <c r="AF53" s="39"/>
      <c r="AG53" s="39"/>
      <c r="AH53" s="39"/>
      <c r="AI53" s="39"/>
      <c r="AJ53" s="17" t="s">
        <v>437</v>
      </c>
      <c r="AL53" s="17"/>
    </row>
    <row r="54" spans="1:38" ht="13.5" customHeight="1">
      <c r="F54" s="14">
        <f>SUM(F39:F53)+F35</f>
        <v>162</v>
      </c>
      <c r="G54" s="14">
        <f>SUM(G39:G53)+G35</f>
        <v>389</v>
      </c>
      <c r="H54" s="14">
        <f>SUM(H39:H53)+H35</f>
        <v>114</v>
      </c>
      <c r="I54" s="14">
        <f>SUM(I39:I53)+I35</f>
        <v>2948</v>
      </c>
      <c r="J54" s="14"/>
      <c r="K54" s="14"/>
      <c r="L54" s="14">
        <f>SUM(L39:L53)+L35</f>
        <v>66</v>
      </c>
      <c r="M54" s="14"/>
      <c r="N54" s="14">
        <f>SUM(N39:N53)+N35</f>
        <v>1350</v>
      </c>
      <c r="O54"/>
      <c r="P54" s="14">
        <f>SUM(P39:P53)+P35</f>
        <v>1650</v>
      </c>
      <c r="Q54" s="14"/>
      <c r="R54" s="14">
        <f>SUM(R39:R53)+R35</f>
        <v>460</v>
      </c>
      <c r="S54" s="14"/>
      <c r="T54" s="14">
        <f>SUM(T39:T53)+T35</f>
        <v>3000</v>
      </c>
      <c r="U54" s="14"/>
      <c r="V54" s="14">
        <f>SUM(V39:V53)+V35</f>
        <v>5290</v>
      </c>
      <c r="X54" s="14">
        <f>SUM(X39:X53)+X35</f>
        <v>150</v>
      </c>
      <c r="Z54" s="14">
        <f>SUM(Z39:Z53)+Z35</f>
        <v>50</v>
      </c>
      <c r="AB54" s="14">
        <f>SUM(AB39:AB53)+AB35</f>
        <v>65</v>
      </c>
      <c r="AD54" s="14">
        <f>SUM(AD39:AD53)+AD35</f>
        <v>200</v>
      </c>
      <c r="AF54" s="14">
        <f>SUM(AF39:AF53)+AF35</f>
        <v>135</v>
      </c>
      <c r="AJ54" s="14">
        <f>COUNTIF(AJ39:AJ53,"x")+AJ35</f>
        <v>34</v>
      </c>
      <c r="AK54" s="14">
        <f>COUNTIF(AK39:AK53,"x")+AK35</f>
        <v>8</v>
      </c>
      <c r="AL54" s="14">
        <f>COUNTIF(AL39:AL53,"x")+AL35</f>
        <v>3</v>
      </c>
    </row>
    <row r="55" spans="1:38">
      <c r="F55" s="14"/>
      <c r="G55" s="14"/>
      <c r="H55" s="14"/>
      <c r="I55" s="14"/>
      <c r="J55" s="14"/>
      <c r="K55" s="14"/>
    </row>
    <row r="56" spans="1:38">
      <c r="B56" s="86"/>
      <c r="C56" s="14"/>
    </row>
    <row r="57" spans="1:38">
      <c r="B57" s="14"/>
      <c r="C57" s="14"/>
    </row>
    <row r="58" spans="1:38">
      <c r="B58" s="14"/>
      <c r="C58" s="14"/>
    </row>
    <row r="59" spans="1:38">
      <c r="B59" s="14"/>
      <c r="C59" s="14"/>
    </row>
    <row r="60" spans="1:38">
      <c r="B60" s="14"/>
      <c r="C60" s="14"/>
    </row>
    <row r="61" spans="1:38">
      <c r="B61" s="14"/>
      <c r="C61" s="14"/>
    </row>
    <row r="62" spans="1:38">
      <c r="B62" s="14"/>
      <c r="C62" s="14"/>
    </row>
    <row r="63" spans="1:38">
      <c r="B63" s="14"/>
      <c r="C63" s="14"/>
    </row>
    <row r="64" spans="1:38">
      <c r="B64" s="14"/>
      <c r="C64" s="14"/>
      <c r="D64" s="14"/>
    </row>
    <row r="65" spans="2:7">
      <c r="B65" s="14"/>
      <c r="C65" s="14"/>
      <c r="D65" s="14"/>
    </row>
    <row r="66" spans="2:7">
      <c r="B66" s="14"/>
      <c r="C66" s="14"/>
      <c r="D66" s="14"/>
    </row>
    <row r="67" spans="2:7">
      <c r="B67" s="14"/>
      <c r="C67" s="14"/>
    </row>
    <row r="68" spans="2:7">
      <c r="B68" s="14"/>
      <c r="C68" s="14"/>
    </row>
    <row r="69" spans="2:7">
      <c r="B69" s="14"/>
      <c r="C69" s="14"/>
      <c r="D69" s="100"/>
      <c r="E69" s="100"/>
      <c r="F69" s="100"/>
      <c r="G69" s="100"/>
    </row>
  </sheetData>
  <autoFilter ref="K1:K69" xr:uid="{E7D21806-3CDB-458F-A1FF-782E3E47174C}"/>
  <mergeCells count="7">
    <mergeCell ref="A6:B6"/>
    <mergeCell ref="A1:E1"/>
    <mergeCell ref="A2:B2"/>
    <mergeCell ref="A3:B3"/>
    <mergeCell ref="F3:G3"/>
    <mergeCell ref="A4:B4"/>
    <mergeCell ref="A5:B5"/>
  </mergeCells>
  <hyperlinks>
    <hyperlink ref="F3:G3" location="Shortcuts!A1" display="Back to shortcuts" xr:uid="{FAABFBA1-9D5E-4580-A2B5-5B00D3421CE8}"/>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BB98-EABB-4081-AA56-889FE7C63264}">
  <dimension ref="A1:BB103"/>
  <sheetViews>
    <sheetView topLeftCell="A9" zoomScale="84" zoomScaleNormal="84" zoomScalePageLayoutView="70" workbookViewId="0">
      <selection activeCell="I20" sqref="I20"/>
    </sheetView>
  </sheetViews>
  <sheetFormatPr defaultColWidth="8.85546875" defaultRowHeight="12.6"/>
  <cols>
    <col min="1" max="1" width="10.85546875" style="6" customWidth="1"/>
    <col min="2" max="2" width="17.85546875" style="6" customWidth="1"/>
    <col min="3" max="3" width="14.85546875" style="6" customWidth="1"/>
    <col min="4" max="4" width="23.140625" style="6" customWidth="1"/>
    <col min="5" max="5" width="55.140625" style="6" customWidth="1"/>
    <col min="6" max="6" width="8.85546875" style="6"/>
    <col min="7" max="7" width="19" style="6" bestFit="1" customWidth="1"/>
    <col min="8" max="8" width="21.140625" style="6" customWidth="1"/>
    <col min="9" max="9" width="28.42578125" style="6" customWidth="1"/>
    <col min="10" max="10" width="8.85546875" style="6"/>
    <col min="11" max="11" width="17.85546875" style="6" customWidth="1"/>
    <col min="12" max="12" width="8.85546875" style="6"/>
    <col min="13" max="13" width="9.85546875" style="6" customWidth="1"/>
    <col min="14" max="14" width="8.85546875" style="6"/>
    <col min="15" max="15" width="11.85546875" style="6" customWidth="1"/>
    <col min="16" max="16" width="8.85546875" style="6"/>
    <col min="17" max="17" width="9.85546875" style="6" customWidth="1"/>
    <col min="18" max="18" width="8.85546875" style="6"/>
    <col min="19" max="21" width="9.85546875" style="6" customWidth="1"/>
    <col min="22" max="22" width="8.85546875" style="6"/>
    <col min="23" max="23" width="9.85546875" style="14" customWidth="1"/>
    <col min="24" max="24" width="11.140625" style="6" customWidth="1"/>
    <col min="25" max="26" width="9.85546875" style="6" customWidth="1"/>
    <col min="27" max="32" width="13.140625" style="6" customWidth="1"/>
    <col min="33" max="39" width="17" style="6" customWidth="1"/>
    <col min="40" max="43" width="13.140625" style="6" customWidth="1"/>
    <col min="44" max="44" width="22" style="6" customWidth="1"/>
    <col min="45" max="45" width="12.140625" style="6" customWidth="1"/>
    <col min="46" max="46" width="13.140625" style="6" customWidth="1"/>
    <col min="47" max="16384" width="8.85546875" style="6"/>
  </cols>
  <sheetData>
    <row r="1" spans="1:46" ht="12.95">
      <c r="A1" s="7" t="s">
        <v>38</v>
      </c>
      <c r="B1" s="7"/>
      <c r="C1" s="7"/>
      <c r="D1" s="7"/>
      <c r="F1" s="7" t="s">
        <v>718</v>
      </c>
    </row>
    <row r="2" spans="1:46" ht="14.45">
      <c r="A2" s="171" t="s">
        <v>410</v>
      </c>
      <c r="B2" s="172"/>
      <c r="C2" s="26"/>
      <c r="D2" s="6" t="s">
        <v>719</v>
      </c>
    </row>
    <row r="3" spans="1:46" ht="14.45">
      <c r="A3" s="171" t="s">
        <v>412</v>
      </c>
      <c r="B3" s="171"/>
      <c r="C3" s="29"/>
      <c r="D3" s="6" t="s">
        <v>518</v>
      </c>
      <c r="F3" s="173" t="s">
        <v>413</v>
      </c>
      <c r="G3" s="173"/>
    </row>
    <row r="4" spans="1:46" ht="12.95">
      <c r="A4" s="171" t="s">
        <v>414</v>
      </c>
      <c r="B4" s="171"/>
      <c r="C4" s="6" t="s">
        <v>411</v>
      </c>
    </row>
    <row r="5" spans="1:46">
      <c r="A5" s="171" t="s">
        <v>415</v>
      </c>
      <c r="B5" s="171"/>
      <c r="C5" s="36" t="s">
        <v>720</v>
      </c>
    </row>
    <row r="6" spans="1:46">
      <c r="A6" s="171" t="s">
        <v>416</v>
      </c>
      <c r="B6" s="171"/>
    </row>
    <row r="7" spans="1:46" ht="26.1">
      <c r="A7" s="9" t="s">
        <v>174</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721</v>
      </c>
      <c r="AA7" s="8" t="s">
        <v>423</v>
      </c>
      <c r="AB7" s="8" t="s">
        <v>426</v>
      </c>
      <c r="AC7" s="8" t="s">
        <v>423</v>
      </c>
      <c r="AD7" s="8" t="s">
        <v>427</v>
      </c>
      <c r="AE7" s="8" t="s">
        <v>423</v>
      </c>
      <c r="AF7" s="8" t="s">
        <v>428</v>
      </c>
      <c r="AG7" s="8" t="s">
        <v>423</v>
      </c>
      <c r="AH7" s="8" t="s">
        <v>429</v>
      </c>
      <c r="AI7" s="8" t="s">
        <v>423</v>
      </c>
      <c r="AJ7" s="8" t="s">
        <v>523</v>
      </c>
      <c r="AK7" s="8" t="s">
        <v>423</v>
      </c>
      <c r="AL7" s="8" t="s">
        <v>524</v>
      </c>
      <c r="AM7" s="8" t="s">
        <v>423</v>
      </c>
      <c r="AN7" s="83" t="s">
        <v>525</v>
      </c>
      <c r="AO7" s="8" t="s">
        <v>423</v>
      </c>
      <c r="AP7" s="8" t="s">
        <v>477</v>
      </c>
      <c r="AQ7" s="8" t="s">
        <v>423</v>
      </c>
      <c r="AR7" s="8" t="s">
        <v>431</v>
      </c>
      <c r="AS7" s="8" t="s">
        <v>432</v>
      </c>
      <c r="AT7" s="8" t="s">
        <v>433</v>
      </c>
    </row>
    <row r="8" spans="1:46">
      <c r="A8" s="26" t="s">
        <v>434</v>
      </c>
      <c r="B8" s="27"/>
      <c r="C8" s="26" t="s">
        <v>442</v>
      </c>
      <c r="D8" s="26" t="s">
        <v>435</v>
      </c>
      <c r="E8" s="26" t="s">
        <v>42</v>
      </c>
      <c r="F8" s="27">
        <v>4</v>
      </c>
      <c r="G8" s="27">
        <v>8</v>
      </c>
      <c r="H8" s="27">
        <v>0</v>
      </c>
      <c r="I8" s="27">
        <v>351</v>
      </c>
      <c r="J8" s="27">
        <f t="shared" ref="J8:J23" si="0">IF(G8&gt;=10,16, 4)</f>
        <v>4</v>
      </c>
      <c r="K8" s="27" t="s">
        <v>526</v>
      </c>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t="s">
        <v>437</v>
      </c>
      <c r="AS8" s="27"/>
      <c r="AT8" s="27"/>
    </row>
    <row r="9" spans="1:46">
      <c r="A9" s="6" t="s">
        <v>440</v>
      </c>
      <c r="B9" s="14" t="s">
        <v>441</v>
      </c>
      <c r="C9" s="6" t="s">
        <v>442</v>
      </c>
      <c r="D9" s="6" t="s">
        <v>435</v>
      </c>
      <c r="E9" s="6" t="s">
        <v>443</v>
      </c>
      <c r="F9" s="14">
        <v>4</v>
      </c>
      <c r="G9" s="14">
        <v>6</v>
      </c>
      <c r="H9" s="14">
        <v>6</v>
      </c>
      <c r="I9" s="14">
        <v>41</v>
      </c>
      <c r="J9" s="86">
        <f t="shared" si="0"/>
        <v>4</v>
      </c>
      <c r="K9" s="14" t="s">
        <v>528</v>
      </c>
      <c r="L9" s="14"/>
      <c r="M9" s="14"/>
      <c r="N9" s="14"/>
      <c r="O9" s="14"/>
      <c r="P9" s="14"/>
      <c r="Q9" s="14"/>
      <c r="R9" s="14"/>
      <c r="S9" s="14"/>
      <c r="T9" s="14"/>
      <c r="U9" s="14"/>
      <c r="V9" s="14"/>
      <c r="X9" s="14"/>
      <c r="Y9" s="14"/>
      <c r="Z9" s="14"/>
      <c r="AA9" s="14"/>
      <c r="AB9" s="14"/>
      <c r="AC9" s="14"/>
      <c r="AD9" s="14"/>
      <c r="AE9" s="14"/>
      <c r="AF9" s="14"/>
      <c r="AG9" s="14"/>
      <c r="AH9" s="14"/>
      <c r="AI9" s="14"/>
      <c r="AJ9" s="14"/>
      <c r="AK9" s="14"/>
      <c r="AL9" s="14"/>
      <c r="AM9" s="14"/>
      <c r="AN9" s="14"/>
      <c r="AO9" s="14"/>
      <c r="AP9" s="14"/>
      <c r="AQ9" s="14"/>
      <c r="AR9" s="14" t="s">
        <v>437</v>
      </c>
      <c r="AS9" s="14"/>
      <c r="AT9" s="14"/>
    </row>
    <row r="10" spans="1:46">
      <c r="A10" s="6" t="s">
        <v>444</v>
      </c>
      <c r="B10" s="14"/>
      <c r="C10" s="6" t="s">
        <v>442</v>
      </c>
      <c r="D10" s="6" t="s">
        <v>435</v>
      </c>
      <c r="E10" s="6" t="s">
        <v>53</v>
      </c>
      <c r="F10" s="104">
        <f>VLOOKUP(N10,B102:H103,3,FALSE)</f>
        <v>6</v>
      </c>
      <c r="G10" s="104">
        <f>VLOOKUP(N10,B102:H103,4,FALSE)</f>
        <v>40</v>
      </c>
      <c r="H10" s="104">
        <f>(G10*82.5)/100</f>
        <v>33</v>
      </c>
      <c r="I10" s="14">
        <v>101</v>
      </c>
      <c r="J10" s="86">
        <f t="shared" si="0"/>
        <v>16</v>
      </c>
      <c r="K10" s="14" t="s">
        <v>529</v>
      </c>
      <c r="L10" s="14">
        <v>66</v>
      </c>
      <c r="M10" s="14" t="s">
        <v>445</v>
      </c>
      <c r="N10" s="104">
        <v>750</v>
      </c>
      <c r="O10" s="14" t="s">
        <v>446</v>
      </c>
      <c r="P10" s="104">
        <f>VLOOKUP(N10,B102:H103,5,FALSE)</f>
        <v>1125</v>
      </c>
      <c r="Q10" s="14" t="s">
        <v>447</v>
      </c>
      <c r="R10" s="14"/>
      <c r="S10" s="14"/>
      <c r="T10" s="14"/>
      <c r="U10" s="14"/>
      <c r="V10" s="14"/>
      <c r="X10" s="105">
        <f>VLOOKUP(N10,B102:H103,7,FALSE)</f>
        <v>2800</v>
      </c>
      <c r="Y10" s="14" t="s">
        <v>206</v>
      </c>
      <c r="Z10" s="14"/>
      <c r="AA10" s="14"/>
      <c r="AB10" s="14"/>
      <c r="AC10" s="14"/>
      <c r="AD10" s="14"/>
      <c r="AE10" s="14"/>
      <c r="AF10" s="14"/>
      <c r="AG10" s="14"/>
      <c r="AH10" s="14"/>
      <c r="AI10" s="14"/>
      <c r="AJ10" s="14"/>
      <c r="AK10" s="14"/>
      <c r="AL10" s="14"/>
      <c r="AM10" s="14"/>
      <c r="AN10" s="14">
        <v>2500</v>
      </c>
      <c r="AO10" s="14" t="s">
        <v>530</v>
      </c>
      <c r="AP10" s="14"/>
      <c r="AQ10" s="14"/>
      <c r="AR10" s="14" t="s">
        <v>437</v>
      </c>
      <c r="AS10" s="14"/>
      <c r="AT10" s="14"/>
    </row>
    <row r="11" spans="1:46">
      <c r="A11" s="6" t="s">
        <v>448</v>
      </c>
      <c r="B11" s="14" t="s">
        <v>441</v>
      </c>
      <c r="C11" s="6" t="s">
        <v>442</v>
      </c>
      <c r="D11" s="6" t="s">
        <v>435</v>
      </c>
      <c r="E11" s="6" t="s">
        <v>57</v>
      </c>
      <c r="F11" s="14">
        <v>3</v>
      </c>
      <c r="G11" s="14">
        <v>7</v>
      </c>
      <c r="H11" s="14">
        <v>7</v>
      </c>
      <c r="I11" s="14">
        <v>46</v>
      </c>
      <c r="J11" s="86">
        <f t="shared" si="0"/>
        <v>4</v>
      </c>
      <c r="K11" s="14" t="s">
        <v>531</v>
      </c>
      <c r="L11" s="14"/>
      <c r="M11" s="14"/>
      <c r="N11" s="14"/>
      <c r="O11" s="14"/>
      <c r="P11" s="14"/>
      <c r="Q11" s="14"/>
      <c r="R11" s="14">
        <v>340</v>
      </c>
      <c r="S11" s="14" t="s">
        <v>449</v>
      </c>
      <c r="T11" s="14">
        <v>300</v>
      </c>
      <c r="U11" s="14" t="s">
        <v>222</v>
      </c>
      <c r="V11" s="14"/>
      <c r="X11" s="14">
        <v>250</v>
      </c>
      <c r="Y11" s="14" t="s">
        <v>206</v>
      </c>
      <c r="Z11" s="14"/>
      <c r="AA11" s="14"/>
      <c r="AB11" s="14"/>
      <c r="AC11" s="14"/>
      <c r="AD11" s="14"/>
      <c r="AE11" s="14"/>
      <c r="AF11" s="14"/>
      <c r="AG11" s="14"/>
      <c r="AH11" s="14"/>
      <c r="AI11" s="14"/>
      <c r="AJ11" s="14"/>
      <c r="AK11" s="14"/>
      <c r="AL11" s="14"/>
      <c r="AM11" s="14"/>
      <c r="AR11" s="14" t="s">
        <v>437</v>
      </c>
      <c r="AS11" s="14"/>
      <c r="AT11" s="14"/>
    </row>
    <row r="12" spans="1:46">
      <c r="A12" s="6" t="s">
        <v>450</v>
      </c>
      <c r="B12" s="14"/>
      <c r="C12" s="6" t="s">
        <v>442</v>
      </c>
      <c r="D12" s="6" t="s">
        <v>435</v>
      </c>
      <c r="E12" s="6" t="s">
        <v>61</v>
      </c>
      <c r="F12" s="14">
        <v>2</v>
      </c>
      <c r="G12" s="14">
        <v>3</v>
      </c>
      <c r="H12" s="14">
        <v>0</v>
      </c>
      <c r="I12" s="14">
        <v>31</v>
      </c>
      <c r="J12" s="86">
        <f t="shared" si="0"/>
        <v>4</v>
      </c>
      <c r="K12" s="14" t="s">
        <v>528</v>
      </c>
      <c r="L12" s="14"/>
      <c r="M12" s="14"/>
      <c r="N12" s="14"/>
      <c r="O12" s="14"/>
      <c r="P12" s="14"/>
      <c r="Q12" s="14"/>
      <c r="R12" s="14"/>
      <c r="S12" s="14"/>
      <c r="T12" s="14"/>
      <c r="U12" s="14"/>
      <c r="V12" s="14"/>
      <c r="X12" s="14"/>
      <c r="Y12" s="14"/>
      <c r="Z12" s="14"/>
      <c r="AA12" s="14"/>
      <c r="AB12" s="14"/>
      <c r="AC12" s="14"/>
      <c r="AD12" s="14"/>
      <c r="AE12" s="14"/>
      <c r="AF12" s="14"/>
      <c r="AG12" s="14"/>
      <c r="AH12" s="14"/>
      <c r="AI12" s="14"/>
      <c r="AJ12" s="14"/>
      <c r="AK12" s="14"/>
      <c r="AL12" s="14"/>
      <c r="AM12" s="14"/>
      <c r="AN12" s="14"/>
      <c r="AO12" s="14"/>
      <c r="AP12" s="14"/>
      <c r="AQ12" s="14"/>
      <c r="AR12" s="14" t="s">
        <v>437</v>
      </c>
      <c r="AS12" s="14" t="s">
        <v>437</v>
      </c>
      <c r="AT12" s="14" t="s">
        <v>437</v>
      </c>
    </row>
    <row r="13" spans="1:46">
      <c r="A13" s="6" t="s">
        <v>451</v>
      </c>
      <c r="B13" s="14"/>
      <c r="C13" s="6" t="s">
        <v>442</v>
      </c>
      <c r="D13" s="6" t="s">
        <v>435</v>
      </c>
      <c r="E13" s="6" t="s">
        <v>65</v>
      </c>
      <c r="F13" s="14">
        <v>2</v>
      </c>
      <c r="G13" s="14">
        <v>3</v>
      </c>
      <c r="H13" s="14">
        <v>0</v>
      </c>
      <c r="I13" s="14">
        <v>31</v>
      </c>
      <c r="J13" s="86">
        <f t="shared" si="0"/>
        <v>4</v>
      </c>
      <c r="K13" s="14" t="s">
        <v>529</v>
      </c>
      <c r="L13" s="14"/>
      <c r="M13" s="14"/>
      <c r="N13" s="14"/>
      <c r="O13" s="14"/>
      <c r="P13" s="14"/>
      <c r="Q13" s="14"/>
      <c r="R13" s="14"/>
      <c r="S13" s="14"/>
      <c r="T13" s="14"/>
      <c r="U13" s="14"/>
      <c r="V13" s="14"/>
      <c r="X13" s="14"/>
      <c r="Y13" s="14"/>
      <c r="Z13" s="14"/>
      <c r="AA13" s="14"/>
      <c r="AB13" s="14"/>
      <c r="AC13" s="14"/>
      <c r="AD13" s="14"/>
      <c r="AE13" s="14"/>
      <c r="AF13" s="14"/>
      <c r="AG13" s="14"/>
      <c r="AH13" s="14"/>
      <c r="AI13" s="14"/>
      <c r="AJ13" s="14"/>
      <c r="AK13" s="14"/>
      <c r="AL13" s="14"/>
      <c r="AM13" s="14"/>
      <c r="AN13" s="14"/>
      <c r="AO13" s="14"/>
      <c r="AP13" s="14"/>
      <c r="AQ13" s="14"/>
      <c r="AR13" s="14" t="s">
        <v>437</v>
      </c>
      <c r="AS13" s="14"/>
      <c r="AT13" s="14"/>
    </row>
    <row r="14" spans="1:46">
      <c r="A14" s="6" t="s">
        <v>452</v>
      </c>
      <c r="B14" s="14"/>
      <c r="C14" s="6" t="s">
        <v>442</v>
      </c>
      <c r="D14" s="6" t="s">
        <v>435</v>
      </c>
      <c r="E14" s="6" t="s">
        <v>453</v>
      </c>
      <c r="F14" s="14">
        <v>3</v>
      </c>
      <c r="G14" s="14">
        <v>6</v>
      </c>
      <c r="H14" s="14">
        <v>0</v>
      </c>
      <c r="I14" s="14">
        <v>61</v>
      </c>
      <c r="J14" s="86">
        <f t="shared" si="0"/>
        <v>4</v>
      </c>
      <c r="K14" s="14" t="s">
        <v>531</v>
      </c>
      <c r="L14" s="14"/>
      <c r="M14" s="14"/>
      <c r="N14" s="14"/>
      <c r="O14" s="14"/>
      <c r="P14" s="14"/>
      <c r="Q14" s="14"/>
      <c r="R14" s="14"/>
      <c r="S14" s="14"/>
      <c r="T14" s="14"/>
      <c r="U14" s="14"/>
      <c r="V14" s="14"/>
      <c r="X14" s="14"/>
      <c r="Y14" s="14"/>
      <c r="Z14" s="14"/>
      <c r="AA14" s="14"/>
      <c r="AB14" s="14"/>
      <c r="AC14" s="14"/>
      <c r="AD14" s="14"/>
      <c r="AE14" s="14"/>
      <c r="AF14" s="14"/>
      <c r="AG14" s="14"/>
      <c r="AH14" s="14"/>
      <c r="AI14" s="14"/>
      <c r="AJ14" s="14"/>
      <c r="AK14" s="14"/>
      <c r="AL14" s="14"/>
      <c r="AM14" s="14"/>
      <c r="AN14" s="14"/>
      <c r="AO14" s="14"/>
      <c r="AP14" s="14"/>
      <c r="AQ14" s="14"/>
      <c r="AR14" s="14" t="s">
        <v>437</v>
      </c>
      <c r="AS14" s="14" t="s">
        <v>437</v>
      </c>
      <c r="AT14" s="14"/>
    </row>
    <row r="15" spans="1:46">
      <c r="A15" s="6" t="s">
        <v>454</v>
      </c>
      <c r="B15" s="14"/>
      <c r="C15" s="6" t="s">
        <v>442</v>
      </c>
      <c r="D15" s="6" t="s">
        <v>435</v>
      </c>
      <c r="E15" s="6" t="s">
        <v>455</v>
      </c>
      <c r="F15" s="14">
        <v>3</v>
      </c>
      <c r="G15" s="14">
        <v>4</v>
      </c>
      <c r="H15" s="14">
        <v>0</v>
      </c>
      <c r="I15" s="14">
        <v>56</v>
      </c>
      <c r="J15" s="86">
        <f t="shared" si="0"/>
        <v>4</v>
      </c>
      <c r="K15" s="14" t="s">
        <v>528</v>
      </c>
      <c r="L15" s="14"/>
      <c r="M15" s="14"/>
      <c r="N15" s="14"/>
      <c r="O15" s="14"/>
      <c r="P15" s="14"/>
      <c r="Q15" s="14"/>
      <c r="R15" s="14"/>
      <c r="S15" s="14"/>
      <c r="T15" s="14"/>
      <c r="U15" s="14"/>
      <c r="V15" s="14"/>
      <c r="X15" s="14"/>
      <c r="Y15" s="14"/>
      <c r="Z15" s="14"/>
      <c r="AA15" s="14"/>
      <c r="AB15" s="14"/>
      <c r="AC15" s="14"/>
      <c r="AD15" s="14"/>
      <c r="AE15" s="14"/>
      <c r="AF15" s="14"/>
      <c r="AG15" s="14"/>
      <c r="AH15" s="14"/>
      <c r="AI15" s="14"/>
      <c r="AJ15" s="14"/>
      <c r="AK15" s="14"/>
      <c r="AL15" s="14"/>
      <c r="AM15" s="14"/>
      <c r="AN15" s="14"/>
      <c r="AO15" s="14"/>
      <c r="AP15" s="14"/>
      <c r="AQ15" s="14"/>
      <c r="AR15" s="14" t="s">
        <v>437</v>
      </c>
      <c r="AS15" s="14" t="s">
        <v>437</v>
      </c>
      <c r="AT15" s="14"/>
    </row>
    <row r="16" spans="1:46">
      <c r="A16" s="6" t="s">
        <v>456</v>
      </c>
      <c r="B16" s="14"/>
      <c r="C16" s="6" t="s">
        <v>442</v>
      </c>
      <c r="D16" s="6" t="s">
        <v>435</v>
      </c>
      <c r="E16" s="6" t="s">
        <v>77</v>
      </c>
      <c r="F16" s="14">
        <v>5</v>
      </c>
      <c r="G16" s="14">
        <v>9</v>
      </c>
      <c r="H16" s="14">
        <v>0</v>
      </c>
      <c r="I16" s="14">
        <v>71</v>
      </c>
      <c r="J16" s="86">
        <f t="shared" si="0"/>
        <v>4</v>
      </c>
      <c r="K16" s="14" t="s">
        <v>529</v>
      </c>
      <c r="L16" s="14"/>
      <c r="M16" s="14"/>
      <c r="N16" s="14"/>
      <c r="O16" s="14"/>
      <c r="P16" s="14"/>
      <c r="Q16" s="14"/>
      <c r="R16" s="14"/>
      <c r="T16" s="14"/>
      <c r="U16" s="14"/>
      <c r="V16" s="14"/>
      <c r="X16" s="14"/>
      <c r="Y16" s="14"/>
      <c r="Z16" s="14"/>
      <c r="AA16" s="14"/>
      <c r="AB16" s="14"/>
      <c r="AC16" s="14"/>
      <c r="AD16" s="14"/>
      <c r="AE16" s="14"/>
      <c r="AF16" s="14"/>
      <c r="AG16" s="14"/>
      <c r="AH16" s="14"/>
      <c r="AI16" s="14"/>
      <c r="AJ16" s="14"/>
      <c r="AK16" s="14"/>
      <c r="AL16" s="14"/>
      <c r="AM16" s="14"/>
      <c r="AN16" s="14"/>
      <c r="AO16" s="14"/>
      <c r="AP16" s="14"/>
      <c r="AQ16" s="14"/>
      <c r="AR16" s="14" t="s">
        <v>437</v>
      </c>
      <c r="AS16" s="14" t="s">
        <v>437</v>
      </c>
      <c r="AT16" s="14"/>
    </row>
    <row r="17" spans="1:46">
      <c r="A17" s="6" t="s">
        <v>457</v>
      </c>
      <c r="B17" s="14"/>
      <c r="C17" s="6" t="s">
        <v>442</v>
      </c>
      <c r="D17" s="6" t="s">
        <v>435</v>
      </c>
      <c r="E17" s="6" t="s">
        <v>81</v>
      </c>
      <c r="F17" s="14">
        <v>2</v>
      </c>
      <c r="G17" s="14">
        <v>4</v>
      </c>
      <c r="H17" s="14">
        <v>0</v>
      </c>
      <c r="I17" s="14">
        <v>31</v>
      </c>
      <c r="J17" s="86">
        <f t="shared" si="0"/>
        <v>4</v>
      </c>
      <c r="K17" s="14" t="s">
        <v>531</v>
      </c>
      <c r="L17" s="14"/>
      <c r="M17" s="14"/>
      <c r="N17" s="14"/>
      <c r="O17" s="14"/>
      <c r="P17" s="14"/>
      <c r="Q17" s="14"/>
      <c r="R17" s="14"/>
      <c r="S17" s="14"/>
      <c r="T17" s="14"/>
      <c r="U17" s="14"/>
      <c r="V17" s="14"/>
      <c r="X17" s="14"/>
      <c r="Y17" s="14"/>
      <c r="Z17" s="14"/>
      <c r="AA17" s="14"/>
      <c r="AB17" s="14"/>
      <c r="AC17" s="14"/>
      <c r="AD17" s="14"/>
      <c r="AE17" s="14"/>
      <c r="AF17" s="14"/>
      <c r="AG17" s="14"/>
      <c r="AH17" s="14"/>
      <c r="AI17" s="14"/>
      <c r="AJ17" s="14"/>
      <c r="AK17" s="14"/>
      <c r="AL17" s="14"/>
      <c r="AM17" s="14"/>
      <c r="AN17" s="14"/>
      <c r="AO17" s="14"/>
      <c r="AP17" s="14"/>
      <c r="AQ17" s="14"/>
      <c r="AR17" s="14" t="s">
        <v>437</v>
      </c>
      <c r="AS17" s="14" t="s">
        <v>437</v>
      </c>
      <c r="AT17" s="14" t="s">
        <v>437</v>
      </c>
    </row>
    <row r="18" spans="1:46">
      <c r="A18" s="6" t="s">
        <v>458</v>
      </c>
      <c r="B18" s="14"/>
      <c r="C18" s="6" t="s">
        <v>442</v>
      </c>
      <c r="D18" s="6" t="s">
        <v>435</v>
      </c>
      <c r="E18" s="6" t="s">
        <v>459</v>
      </c>
      <c r="F18" s="14">
        <v>6</v>
      </c>
      <c r="G18" s="14">
        <v>9</v>
      </c>
      <c r="H18" s="14">
        <v>0</v>
      </c>
      <c r="I18" s="14">
        <v>101</v>
      </c>
      <c r="J18" s="86">
        <f t="shared" si="0"/>
        <v>4</v>
      </c>
      <c r="K18" s="14" t="s">
        <v>528</v>
      </c>
      <c r="L18" s="14"/>
      <c r="M18" s="14"/>
      <c r="N18" s="14"/>
      <c r="O18" s="14"/>
      <c r="P18" s="14"/>
      <c r="Q18" s="14"/>
      <c r="R18" s="14"/>
      <c r="S18" s="14"/>
      <c r="T18" s="14"/>
      <c r="U18" s="14"/>
      <c r="V18" s="14"/>
      <c r="X18" s="14"/>
      <c r="Y18" s="14"/>
      <c r="Z18" s="14"/>
      <c r="AA18" s="14"/>
      <c r="AB18" s="14">
        <v>50</v>
      </c>
      <c r="AC18" s="14" t="s">
        <v>531</v>
      </c>
      <c r="AD18" s="14"/>
      <c r="AE18" s="14"/>
      <c r="AF18" s="14"/>
      <c r="AG18" s="14"/>
      <c r="AH18" s="14"/>
      <c r="AI18" s="14"/>
      <c r="AJ18" s="14"/>
      <c r="AK18" s="14"/>
      <c r="AL18" s="14"/>
      <c r="AM18" s="14"/>
      <c r="AN18" s="14"/>
      <c r="AO18" s="14"/>
      <c r="AP18" s="14"/>
      <c r="AQ18" s="14"/>
      <c r="AR18" s="14" t="s">
        <v>437</v>
      </c>
      <c r="AS18" s="14"/>
      <c r="AT18" s="14"/>
    </row>
    <row r="19" spans="1:46">
      <c r="A19" s="6" t="s">
        <v>460</v>
      </c>
      <c r="B19" s="14"/>
      <c r="C19" s="6" t="s">
        <v>442</v>
      </c>
      <c r="D19" s="6" t="s">
        <v>435</v>
      </c>
      <c r="E19" s="6" t="s">
        <v>88</v>
      </c>
      <c r="F19" s="14">
        <v>2</v>
      </c>
      <c r="G19" s="14">
        <v>5</v>
      </c>
      <c r="H19" s="14">
        <v>0</v>
      </c>
      <c r="I19" s="14">
        <v>51</v>
      </c>
      <c r="J19" s="86">
        <f t="shared" si="0"/>
        <v>4</v>
      </c>
      <c r="K19" s="14" t="s">
        <v>529</v>
      </c>
      <c r="L19" s="14"/>
      <c r="M19" s="14"/>
      <c r="N19" s="14"/>
      <c r="O19" s="14"/>
      <c r="P19" s="14"/>
      <c r="Q19" s="14"/>
      <c r="R19" s="14"/>
      <c r="S19" s="14"/>
      <c r="T19" s="14"/>
      <c r="U19" s="14"/>
      <c r="V19" s="14"/>
      <c r="X19" s="14"/>
      <c r="Y19" s="14"/>
      <c r="Z19" s="14"/>
      <c r="AA19" s="14"/>
      <c r="AB19" s="14"/>
      <c r="AC19" s="14"/>
      <c r="AD19" s="14"/>
      <c r="AE19" s="14"/>
      <c r="AF19" s="14"/>
      <c r="AG19" s="14"/>
      <c r="AH19" s="14"/>
      <c r="AI19" s="14"/>
      <c r="AJ19" s="14"/>
      <c r="AK19" s="14"/>
      <c r="AL19" s="14"/>
      <c r="AM19" s="14"/>
      <c r="AN19" s="14"/>
      <c r="AO19" s="14"/>
      <c r="AP19" s="14"/>
      <c r="AQ19" s="14"/>
      <c r="AR19" s="14" t="s">
        <v>437</v>
      </c>
      <c r="AS19" s="14" t="s">
        <v>437</v>
      </c>
      <c r="AT19" s="14"/>
    </row>
    <row r="20" spans="1:46">
      <c r="A20" s="6" t="s">
        <v>461</v>
      </c>
      <c r="B20" s="14"/>
      <c r="C20" s="6" t="s">
        <v>442</v>
      </c>
      <c r="D20" s="6" t="s">
        <v>435</v>
      </c>
      <c r="E20" s="6" t="s">
        <v>96</v>
      </c>
      <c r="F20" s="14">
        <v>5</v>
      </c>
      <c r="G20" s="14">
        <v>12</v>
      </c>
      <c r="H20" s="14">
        <v>0</v>
      </c>
      <c r="I20" s="14">
        <v>63</v>
      </c>
      <c r="J20" s="86">
        <f t="shared" si="0"/>
        <v>16</v>
      </c>
      <c r="K20" s="14" t="s">
        <v>531</v>
      </c>
      <c r="L20" s="14"/>
      <c r="M20" s="14"/>
      <c r="N20" s="14"/>
      <c r="O20" s="14"/>
      <c r="P20" s="14"/>
      <c r="Q20" s="14"/>
      <c r="R20" s="14"/>
      <c r="S20" s="14"/>
      <c r="T20" s="14"/>
      <c r="U20" s="14"/>
      <c r="V20" s="14"/>
      <c r="X20" s="14"/>
      <c r="Y20" s="14"/>
      <c r="Z20" s="14"/>
      <c r="AA20" s="14"/>
      <c r="AB20" s="14"/>
      <c r="AC20" s="14"/>
      <c r="AD20" s="14">
        <v>65</v>
      </c>
      <c r="AE20" s="14" t="s">
        <v>531</v>
      </c>
      <c r="AF20" s="14"/>
      <c r="AG20" s="14"/>
      <c r="AH20" s="14"/>
      <c r="AI20" s="14"/>
      <c r="AJ20" s="14"/>
      <c r="AK20" s="14"/>
      <c r="AL20" s="14"/>
      <c r="AM20" s="14"/>
      <c r="AN20" s="14"/>
      <c r="AO20" s="14"/>
      <c r="AP20" s="14"/>
      <c r="AQ20" s="14"/>
      <c r="AR20" s="14" t="s">
        <v>437</v>
      </c>
      <c r="AS20" s="14"/>
      <c r="AT20" s="14"/>
    </row>
    <row r="21" spans="1:46">
      <c r="A21" s="6" t="s">
        <v>462</v>
      </c>
      <c r="B21" s="14"/>
      <c r="C21" s="6" t="s">
        <v>442</v>
      </c>
      <c r="D21" s="6" t="s">
        <v>435</v>
      </c>
      <c r="E21" s="6" t="s">
        <v>104</v>
      </c>
      <c r="F21" s="14">
        <v>4</v>
      </c>
      <c r="G21" s="14">
        <v>7</v>
      </c>
      <c r="H21" s="14">
        <v>0</v>
      </c>
      <c r="I21" s="14">
        <v>41</v>
      </c>
      <c r="J21" s="86">
        <f t="shared" si="0"/>
        <v>4</v>
      </c>
      <c r="K21" s="14" t="s">
        <v>528</v>
      </c>
      <c r="L21" s="14"/>
      <c r="M21" s="14"/>
      <c r="N21" s="14"/>
      <c r="O21" s="14"/>
      <c r="P21" s="14"/>
      <c r="Q21" s="14"/>
      <c r="R21" s="14"/>
      <c r="S21" s="14"/>
      <c r="T21" s="14"/>
      <c r="U21" s="14"/>
      <c r="V21" s="14"/>
      <c r="X21" s="14"/>
      <c r="Y21" s="14"/>
      <c r="Z21" s="14"/>
      <c r="AA21" s="14"/>
      <c r="AB21" s="14"/>
      <c r="AC21" s="14"/>
      <c r="AD21" s="14"/>
      <c r="AE21" s="14"/>
      <c r="AF21" s="14"/>
      <c r="AG21" s="14"/>
      <c r="AH21" s="14"/>
      <c r="AI21" s="14"/>
      <c r="AJ21" s="14"/>
      <c r="AK21" s="14"/>
      <c r="AL21" s="14"/>
      <c r="AM21" s="14"/>
      <c r="AN21" s="14"/>
      <c r="AO21" s="14"/>
      <c r="AP21" s="14"/>
      <c r="AQ21" s="14"/>
      <c r="AR21" s="14" t="s">
        <v>437</v>
      </c>
      <c r="AS21" s="14"/>
      <c r="AT21" s="14"/>
    </row>
    <row r="22" spans="1:46">
      <c r="A22" s="6" t="s">
        <v>463</v>
      </c>
      <c r="B22" s="14"/>
      <c r="C22" s="6" t="s">
        <v>442</v>
      </c>
      <c r="D22" s="6" t="s">
        <v>435</v>
      </c>
      <c r="E22" s="6" t="s">
        <v>108</v>
      </c>
      <c r="F22" s="14">
        <v>8</v>
      </c>
      <c r="G22" s="14">
        <v>34</v>
      </c>
      <c r="H22" s="14">
        <v>34</v>
      </c>
      <c r="I22" s="14">
        <v>136</v>
      </c>
      <c r="J22" s="86">
        <f t="shared" si="0"/>
        <v>16</v>
      </c>
      <c r="K22" s="14" t="s">
        <v>529</v>
      </c>
      <c r="L22" s="14"/>
      <c r="M22" s="14"/>
      <c r="N22" s="14"/>
      <c r="O22" s="14"/>
      <c r="P22" s="14"/>
      <c r="Q22" s="14"/>
      <c r="R22" s="14"/>
      <c r="S22" s="14"/>
      <c r="T22" s="14"/>
      <c r="U22" s="14"/>
      <c r="V22" s="14"/>
      <c r="X22" s="14"/>
      <c r="Y22" s="14"/>
      <c r="Z22" s="14"/>
      <c r="AA22" s="14"/>
      <c r="AB22" s="14"/>
      <c r="AC22" s="14"/>
      <c r="AD22" s="14"/>
      <c r="AE22" s="14"/>
      <c r="AF22" s="14"/>
      <c r="AG22" s="14"/>
      <c r="AH22" s="14"/>
      <c r="AI22" s="14"/>
      <c r="AJ22" s="14"/>
      <c r="AK22" s="14"/>
      <c r="AL22" s="14"/>
      <c r="AM22" s="14"/>
      <c r="AN22" s="14"/>
      <c r="AO22" s="14"/>
      <c r="AP22" s="14"/>
      <c r="AQ22" s="14"/>
      <c r="AR22" s="14" t="s">
        <v>437</v>
      </c>
      <c r="AS22" s="14" t="s">
        <v>437</v>
      </c>
      <c r="AT22" s="14"/>
    </row>
    <row r="23" spans="1:46">
      <c r="A23" s="6" t="s">
        <v>464</v>
      </c>
      <c r="B23" s="14"/>
      <c r="C23" s="6" t="s">
        <v>442</v>
      </c>
      <c r="D23" s="6" t="s">
        <v>435</v>
      </c>
      <c r="E23" s="6" t="s">
        <v>108</v>
      </c>
      <c r="F23" s="14">
        <v>8</v>
      </c>
      <c r="G23" s="14">
        <v>34</v>
      </c>
      <c r="H23" s="14">
        <v>34</v>
      </c>
      <c r="I23" s="14">
        <v>136</v>
      </c>
      <c r="J23" s="86">
        <f t="shared" si="0"/>
        <v>16</v>
      </c>
      <c r="K23" s="14" t="s">
        <v>531</v>
      </c>
      <c r="L23" s="14"/>
      <c r="M23" s="14"/>
      <c r="N23" s="14"/>
      <c r="O23" s="14"/>
      <c r="P23" s="14"/>
      <c r="Q23" s="14"/>
      <c r="R23" s="14"/>
      <c r="S23" s="14"/>
      <c r="T23" s="14"/>
      <c r="U23" s="14"/>
      <c r="V23" s="14"/>
      <c r="X23" s="14"/>
      <c r="Y23" s="14"/>
      <c r="Z23" s="14"/>
      <c r="AA23" s="14"/>
      <c r="AB23" s="14"/>
      <c r="AC23" s="14"/>
      <c r="AD23" s="14"/>
      <c r="AE23" s="14"/>
      <c r="AF23" s="14"/>
      <c r="AG23" s="14"/>
      <c r="AH23" s="14"/>
      <c r="AI23" s="14"/>
      <c r="AJ23" s="14"/>
      <c r="AK23" s="14"/>
      <c r="AL23" s="14"/>
      <c r="AM23" s="14"/>
      <c r="AN23" s="14"/>
      <c r="AO23" s="14"/>
      <c r="AP23" s="14"/>
      <c r="AQ23" s="14"/>
      <c r="AR23" s="14" t="s">
        <v>437</v>
      </c>
      <c r="AS23" s="14" t="s">
        <v>437</v>
      </c>
      <c r="AT23" s="14"/>
    </row>
    <row r="24" spans="1:46">
      <c r="A24" s="6" t="s">
        <v>487</v>
      </c>
      <c r="B24" s="14"/>
      <c r="C24" s="6" t="s">
        <v>442</v>
      </c>
      <c r="D24" s="21" t="s">
        <v>488</v>
      </c>
      <c r="E24" s="6" t="s">
        <v>112</v>
      </c>
      <c r="F24" s="14">
        <v>4</v>
      </c>
      <c r="G24" s="14">
        <v>4</v>
      </c>
      <c r="H24" s="14">
        <v>0</v>
      </c>
      <c r="I24" s="14">
        <v>100</v>
      </c>
      <c r="J24" s="86">
        <v>0</v>
      </c>
      <c r="K24" s="14" t="s">
        <v>528</v>
      </c>
      <c r="L24" s="14"/>
      <c r="M24" s="14"/>
      <c r="N24" s="14"/>
      <c r="O24" s="14"/>
      <c r="P24" s="14"/>
      <c r="Q24" s="14"/>
      <c r="R24" s="14"/>
      <c r="S24" s="14"/>
      <c r="T24" s="14"/>
      <c r="U24" s="14"/>
      <c r="V24" s="14"/>
      <c r="X24" s="14"/>
      <c r="Y24" s="14"/>
      <c r="Z24" s="14"/>
      <c r="AA24" s="14"/>
      <c r="AB24" s="14"/>
      <c r="AC24" s="14"/>
      <c r="AD24" s="14"/>
      <c r="AE24" s="14"/>
      <c r="AF24" s="14"/>
      <c r="AG24" s="14"/>
      <c r="AH24" s="14"/>
      <c r="AI24" s="14"/>
      <c r="AJ24" s="14"/>
      <c r="AK24" s="14"/>
      <c r="AL24" s="14"/>
      <c r="AM24" s="14"/>
      <c r="AN24" s="14"/>
      <c r="AO24" s="14"/>
      <c r="AP24" s="14"/>
      <c r="AQ24" s="14"/>
      <c r="AR24" s="14" t="s">
        <v>437</v>
      </c>
      <c r="AS24" s="14"/>
      <c r="AT24" s="14"/>
    </row>
    <row r="25" spans="1:46">
      <c r="A25" s="6" t="s">
        <v>489</v>
      </c>
      <c r="B25" s="14"/>
      <c r="C25" s="6" t="s">
        <v>442</v>
      </c>
      <c r="D25" s="21" t="s">
        <v>488</v>
      </c>
      <c r="E25" s="6" t="s">
        <v>120</v>
      </c>
      <c r="F25" s="14">
        <v>4</v>
      </c>
      <c r="G25" s="14">
        <v>16</v>
      </c>
      <c r="H25" s="14">
        <v>0</v>
      </c>
      <c r="I25" s="14">
        <v>100</v>
      </c>
      <c r="J25" s="86">
        <v>0</v>
      </c>
      <c r="K25" s="14" t="s">
        <v>529</v>
      </c>
      <c r="L25" s="14"/>
      <c r="M25" s="14"/>
      <c r="N25" s="14"/>
      <c r="O25" s="14"/>
      <c r="P25" s="14"/>
      <c r="Q25" s="14"/>
      <c r="R25" s="14"/>
      <c r="S25" s="14"/>
      <c r="T25" s="14"/>
      <c r="U25" s="14"/>
      <c r="V25" s="14"/>
      <c r="X25" s="14"/>
      <c r="Y25" s="14"/>
      <c r="Z25" s="14"/>
      <c r="AA25" s="14"/>
      <c r="AB25" s="14"/>
      <c r="AC25" s="14"/>
      <c r="AD25" s="14"/>
      <c r="AE25" s="14"/>
      <c r="AF25" s="14"/>
      <c r="AG25" s="14"/>
      <c r="AH25" s="14"/>
      <c r="AI25" s="14"/>
      <c r="AJ25" s="14"/>
      <c r="AK25" s="14"/>
      <c r="AL25" s="14"/>
      <c r="AM25" s="14"/>
      <c r="AN25" s="14"/>
      <c r="AO25" s="14"/>
      <c r="AP25" s="14"/>
      <c r="AQ25" s="14"/>
      <c r="AR25" s="14" t="s">
        <v>437</v>
      </c>
      <c r="AS25" s="14"/>
      <c r="AT25" s="14"/>
    </row>
    <row r="26" spans="1:46">
      <c r="A26" s="6" t="s">
        <v>490</v>
      </c>
      <c r="B26" s="14"/>
      <c r="C26" s="6" t="s">
        <v>442</v>
      </c>
      <c r="D26" s="21" t="s">
        <v>488</v>
      </c>
      <c r="E26" s="6" t="s">
        <v>116</v>
      </c>
      <c r="F26" s="14">
        <v>4</v>
      </c>
      <c r="G26" s="14">
        <v>14</v>
      </c>
      <c r="H26" s="14">
        <v>0</v>
      </c>
      <c r="I26" s="14">
        <v>120</v>
      </c>
      <c r="J26" s="86">
        <v>0</v>
      </c>
      <c r="K26" s="14" t="s">
        <v>531</v>
      </c>
      <c r="L26" s="14"/>
      <c r="M26" s="14"/>
      <c r="N26" s="14"/>
      <c r="O26" s="14"/>
      <c r="P26" s="14"/>
      <c r="Q26" s="14"/>
      <c r="R26" s="14"/>
      <c r="S26" s="14"/>
      <c r="T26" s="14"/>
      <c r="U26" s="14"/>
      <c r="V26" s="14"/>
      <c r="X26" s="14"/>
      <c r="Y26" s="14"/>
      <c r="Z26" s="14"/>
      <c r="AA26" s="14"/>
      <c r="AB26" s="14"/>
      <c r="AC26" s="14"/>
      <c r="AD26" s="14"/>
      <c r="AE26" s="14"/>
      <c r="AF26" s="14"/>
      <c r="AG26" s="14"/>
      <c r="AH26" s="14"/>
      <c r="AI26" s="14"/>
      <c r="AJ26" s="14"/>
      <c r="AK26" s="14"/>
      <c r="AL26" s="14"/>
      <c r="AM26" s="14"/>
      <c r="AN26" s="14"/>
      <c r="AO26" s="14"/>
      <c r="AP26" s="14"/>
      <c r="AQ26" s="14"/>
      <c r="AR26" s="14" t="s">
        <v>437</v>
      </c>
      <c r="AS26" s="14"/>
      <c r="AT26" s="14"/>
    </row>
    <row r="27" spans="1:46">
      <c r="A27" s="6" t="s">
        <v>465</v>
      </c>
      <c r="B27" s="14"/>
      <c r="C27" s="6" t="s">
        <v>442</v>
      </c>
      <c r="D27" s="6" t="s">
        <v>435</v>
      </c>
      <c r="E27" s="6" t="s">
        <v>124</v>
      </c>
      <c r="F27" s="14">
        <v>6</v>
      </c>
      <c r="G27" s="14">
        <v>6</v>
      </c>
      <c r="H27" s="14">
        <v>0</v>
      </c>
      <c r="I27" s="14">
        <v>56</v>
      </c>
      <c r="J27" s="86">
        <f>IF(G27&gt;=10,16, 4)</f>
        <v>4</v>
      </c>
      <c r="K27" s="14" t="s">
        <v>531</v>
      </c>
      <c r="L27" s="14"/>
      <c r="M27" s="14"/>
      <c r="N27" s="14"/>
      <c r="O27" s="14"/>
      <c r="P27" s="14"/>
      <c r="Q27" s="14"/>
      <c r="R27" s="14"/>
      <c r="S27" s="14"/>
      <c r="T27" s="14"/>
      <c r="U27" s="14"/>
      <c r="V27" s="14"/>
      <c r="X27" s="14"/>
      <c r="Y27" s="14"/>
      <c r="Z27" s="14">
        <v>50</v>
      </c>
      <c r="AA27" s="14" t="s">
        <v>466</v>
      </c>
      <c r="AB27" s="14"/>
      <c r="AC27" s="14"/>
      <c r="AD27" s="14"/>
      <c r="AE27" s="14"/>
      <c r="AF27" s="14"/>
      <c r="AG27" s="14"/>
      <c r="AH27" s="14"/>
      <c r="AI27" s="14"/>
      <c r="AJ27" s="14"/>
      <c r="AK27" s="14"/>
      <c r="AL27" s="14"/>
      <c r="AM27" s="14"/>
      <c r="AN27" s="14"/>
      <c r="AO27" s="14"/>
      <c r="AP27" s="14"/>
      <c r="AQ27" s="14"/>
      <c r="AR27" s="14" t="s">
        <v>437</v>
      </c>
      <c r="AS27" s="14"/>
      <c r="AT27" s="14"/>
    </row>
    <row r="28" spans="1:46">
      <c r="A28" s="6" t="s">
        <v>467</v>
      </c>
      <c r="B28" s="14"/>
      <c r="C28" s="6" t="s">
        <v>442</v>
      </c>
      <c r="D28" s="6" t="s">
        <v>435</v>
      </c>
      <c r="E28" s="6" t="s">
        <v>124</v>
      </c>
      <c r="F28" s="14">
        <v>6</v>
      </c>
      <c r="G28" s="14">
        <v>6</v>
      </c>
      <c r="H28" s="14">
        <v>0</v>
      </c>
      <c r="I28" s="14">
        <v>56</v>
      </c>
      <c r="J28" s="86">
        <f>IF(G28&gt;=10,16, 4)</f>
        <v>4</v>
      </c>
      <c r="K28" s="14" t="s">
        <v>528</v>
      </c>
      <c r="L28" s="14"/>
      <c r="M28" s="14"/>
      <c r="N28" s="14"/>
      <c r="O28" s="14"/>
      <c r="P28" s="14"/>
      <c r="Q28" s="14"/>
      <c r="R28" s="14"/>
      <c r="S28" s="14"/>
      <c r="T28" s="14"/>
      <c r="U28" s="14"/>
      <c r="V28" s="14"/>
      <c r="X28" s="14"/>
      <c r="Y28" s="14"/>
      <c r="Z28" s="14">
        <v>50</v>
      </c>
      <c r="AA28" s="14" t="s">
        <v>466</v>
      </c>
      <c r="AB28" s="14"/>
      <c r="AC28" s="14"/>
      <c r="AD28" s="14"/>
      <c r="AE28" s="14"/>
      <c r="AF28" s="14"/>
      <c r="AG28" s="14"/>
      <c r="AH28" s="14"/>
      <c r="AI28" s="14"/>
      <c r="AJ28" s="14"/>
      <c r="AK28" s="14"/>
      <c r="AL28" s="14"/>
      <c r="AM28" s="14"/>
      <c r="AN28" s="14"/>
      <c r="AO28" s="14"/>
      <c r="AP28" s="14"/>
      <c r="AQ28" s="14"/>
      <c r="AR28" s="14" t="s">
        <v>437</v>
      </c>
      <c r="AS28" s="14"/>
      <c r="AT28" s="14"/>
    </row>
    <row r="29" spans="1:46">
      <c r="A29" s="6" t="s">
        <v>468</v>
      </c>
      <c r="B29" s="14"/>
      <c r="C29" s="6" t="s">
        <v>442</v>
      </c>
      <c r="D29" s="6" t="s">
        <v>435</v>
      </c>
      <c r="E29" s="6" t="s">
        <v>469</v>
      </c>
      <c r="F29" s="14">
        <v>3</v>
      </c>
      <c r="G29" s="14">
        <v>3</v>
      </c>
      <c r="H29" s="14">
        <v>0</v>
      </c>
      <c r="I29" s="14">
        <v>41</v>
      </c>
      <c r="J29" s="86">
        <f>IF(G29&gt;=10,16, 4)</f>
        <v>4</v>
      </c>
      <c r="K29" s="14" t="s">
        <v>531</v>
      </c>
      <c r="L29" s="14"/>
      <c r="M29" s="14"/>
      <c r="N29" s="14"/>
      <c r="O29" s="14"/>
      <c r="P29" s="14"/>
      <c r="Q29" s="14"/>
      <c r="R29" s="14"/>
      <c r="S29" s="14"/>
      <c r="T29" s="14"/>
      <c r="U29" s="14"/>
      <c r="V29" s="14"/>
      <c r="X29" s="14"/>
      <c r="Y29" s="14"/>
      <c r="Z29" s="14"/>
      <c r="AA29" s="14"/>
      <c r="AB29" s="14"/>
      <c r="AC29" s="14"/>
      <c r="AD29" s="14"/>
      <c r="AE29" s="14"/>
      <c r="AF29" s="14"/>
      <c r="AG29" s="14"/>
      <c r="AH29" s="14"/>
      <c r="AI29" s="14"/>
      <c r="AJ29" s="14"/>
      <c r="AK29" s="14"/>
      <c r="AL29" s="14"/>
      <c r="AM29" s="14"/>
      <c r="AN29" s="14"/>
      <c r="AO29" s="14"/>
      <c r="AP29" s="14"/>
      <c r="AQ29" s="14"/>
      <c r="AR29" s="14" t="s">
        <v>437</v>
      </c>
      <c r="AS29" s="14"/>
      <c r="AT29" s="14"/>
    </row>
    <row r="30" spans="1:46">
      <c r="A30" s="6" t="s">
        <v>470</v>
      </c>
      <c r="B30" s="14"/>
      <c r="C30" s="6" t="s">
        <v>442</v>
      </c>
      <c r="D30" s="6" t="s">
        <v>435</v>
      </c>
      <c r="E30" s="6" t="s">
        <v>471</v>
      </c>
      <c r="F30" s="14">
        <v>3</v>
      </c>
      <c r="G30" s="14">
        <v>3</v>
      </c>
      <c r="H30" s="14">
        <v>0</v>
      </c>
      <c r="I30" s="14">
        <v>41</v>
      </c>
      <c r="J30" s="86">
        <f>IF(G30&gt;=10,16, 4)</f>
        <v>4</v>
      </c>
      <c r="K30" s="14" t="s">
        <v>531</v>
      </c>
      <c r="L30" s="14"/>
      <c r="M30" s="14"/>
      <c r="N30" s="14"/>
      <c r="O30" s="14"/>
      <c r="P30" s="14"/>
      <c r="Q30" s="14"/>
      <c r="R30" s="14"/>
      <c r="S30" s="14"/>
      <c r="T30" s="14"/>
      <c r="U30" s="14"/>
      <c r="V30" s="14"/>
      <c r="X30" s="14"/>
      <c r="Y30" s="14"/>
      <c r="Z30" s="14"/>
      <c r="AA30" s="14"/>
      <c r="AB30" s="14"/>
      <c r="AC30" s="14"/>
      <c r="AD30" s="14"/>
      <c r="AE30" s="14"/>
      <c r="AF30" s="14"/>
      <c r="AG30" s="14"/>
      <c r="AH30" s="14"/>
      <c r="AI30" s="14"/>
      <c r="AJ30" s="14"/>
      <c r="AK30" s="14"/>
      <c r="AL30" s="14"/>
      <c r="AM30" s="14"/>
      <c r="AN30" s="14"/>
      <c r="AO30" s="14"/>
      <c r="AP30" s="14"/>
      <c r="AQ30" s="14"/>
      <c r="AR30" s="14" t="s">
        <v>437</v>
      </c>
      <c r="AS30" s="14"/>
      <c r="AT30" s="14"/>
    </row>
    <row r="31" spans="1:46" s="46" customFormat="1" ht="14.45">
      <c r="A31" s="19" t="s">
        <v>472</v>
      </c>
      <c r="B31" s="19"/>
      <c r="C31" s="19" t="s">
        <v>442</v>
      </c>
      <c r="D31" s="19" t="s">
        <v>435</v>
      </c>
      <c r="E31" s="19" t="s">
        <v>473</v>
      </c>
      <c r="F31" s="17">
        <v>8</v>
      </c>
      <c r="G31" s="17">
        <v>11</v>
      </c>
      <c r="H31" s="17">
        <v>0</v>
      </c>
      <c r="I31" s="17">
        <v>125</v>
      </c>
      <c r="J31" s="86">
        <f>IF(G31&gt;=10,16, 4)</f>
        <v>16</v>
      </c>
      <c r="K31" s="17" t="s">
        <v>528</v>
      </c>
      <c r="L31" s="39"/>
      <c r="M31" s="39"/>
      <c r="N31" s="112"/>
      <c r="O31" s="113"/>
      <c r="P31" s="39"/>
      <c r="Q31" s="39"/>
      <c r="R31" s="39"/>
      <c r="S31" s="39"/>
      <c r="T31" s="39"/>
      <c r="U31" s="39"/>
      <c r="X31" s="39"/>
      <c r="Y31" s="39"/>
      <c r="Z31" s="39"/>
      <c r="AA31" s="39"/>
      <c r="AB31" s="39"/>
      <c r="AC31" s="39"/>
      <c r="AD31" s="39"/>
      <c r="AE31" s="39"/>
      <c r="AH31" s="39">
        <v>135</v>
      </c>
      <c r="AI31" s="39" t="s">
        <v>474</v>
      </c>
      <c r="AJ31" s="39"/>
      <c r="AK31" s="39"/>
      <c r="AL31" s="39"/>
      <c r="AM31" s="39"/>
      <c r="AN31" s="39"/>
      <c r="AO31" s="39"/>
      <c r="AP31" s="39"/>
      <c r="AQ31" s="39"/>
      <c r="AR31" s="39" t="s">
        <v>437</v>
      </c>
      <c r="AS31" s="39"/>
      <c r="AT31" s="39"/>
    </row>
    <row r="32" spans="1:46" s="20" customFormat="1">
      <c r="F32" s="18">
        <f>SUM(F8:F31)</f>
        <v>105</v>
      </c>
      <c r="G32" s="18">
        <f>SUM(G8:G31)</f>
        <v>254</v>
      </c>
      <c r="H32" s="18">
        <f>SUM(H8:H31)</f>
        <v>114</v>
      </c>
      <c r="I32" s="18">
        <f>SUM(I8:I31)</f>
        <v>1987</v>
      </c>
      <c r="J32" s="18"/>
      <c r="K32" s="18"/>
      <c r="L32" s="18">
        <f>SUM(L8:L31)</f>
        <v>66</v>
      </c>
      <c r="M32" s="18"/>
      <c r="N32" s="18">
        <f>SUM(N8:N31)</f>
        <v>750</v>
      </c>
      <c r="O32" s="18"/>
      <c r="P32" s="18">
        <f>SUM(P8:P31)</f>
        <v>1125</v>
      </c>
      <c r="Q32" s="18"/>
      <c r="R32" s="18">
        <f>SUM(R8:R31)</f>
        <v>340</v>
      </c>
      <c r="S32" s="18"/>
      <c r="T32" s="18">
        <f>SUM(T8:T31)</f>
        <v>300</v>
      </c>
      <c r="U32" s="18"/>
      <c r="V32" s="18">
        <f>SUM(V8:V31)</f>
        <v>0</v>
      </c>
      <c r="W32" s="18"/>
      <c r="X32" s="18">
        <f>SUM(X8:X31)</f>
        <v>3050</v>
      </c>
      <c r="Z32" s="18">
        <f>SUM(Z8:Z31)</f>
        <v>100</v>
      </c>
      <c r="AB32" s="18">
        <f>SUM(AB8:AB31)</f>
        <v>50</v>
      </c>
      <c r="AD32" s="18">
        <f>SUM(AD8:AD31)</f>
        <v>65</v>
      </c>
      <c r="AF32" s="18">
        <f>SUM(AF8:AF31)</f>
        <v>0</v>
      </c>
      <c r="AH32" s="14">
        <f>SUM(AH14:AH31)+AH10</f>
        <v>135</v>
      </c>
      <c r="AJ32" s="14">
        <f>SUM(AJ14:AJ31)+AJ10</f>
        <v>0</v>
      </c>
      <c r="AL32" s="14">
        <f>SUM(AL14:AL31)+AL10</f>
        <v>0</v>
      </c>
      <c r="AN32" s="18">
        <f>SUM(AN8:AN31)</f>
        <v>2500</v>
      </c>
      <c r="AP32" s="18">
        <f>SUM(AP8:AP31)</f>
        <v>0</v>
      </c>
      <c r="AR32" s="18">
        <f>COUNTIF(AR8:AR31,"x")</f>
        <v>24</v>
      </c>
      <c r="AS32" s="18">
        <f>COUNTIF(AS8:AS31,"x")</f>
        <v>8</v>
      </c>
      <c r="AT32" s="18">
        <f>COUNTIF(AT8:AT31,"x")</f>
        <v>2</v>
      </c>
    </row>
    <row r="33" spans="1:48" ht="13.5" customHeight="1">
      <c r="A33" s="16" t="s">
        <v>475</v>
      </c>
      <c r="F33" s="14"/>
      <c r="G33" s="14"/>
      <c r="H33" s="14"/>
      <c r="I33" s="14"/>
      <c r="J33" s="14"/>
      <c r="K33" s="14"/>
      <c r="L33" s="14"/>
      <c r="M33" s="14"/>
      <c r="N33" s="14"/>
      <c r="O33"/>
      <c r="P33" s="14"/>
      <c r="Q33" s="14"/>
      <c r="R33" s="14"/>
      <c r="S33" s="14"/>
      <c r="T33" s="14"/>
      <c r="U33" s="14"/>
      <c r="V33" s="14"/>
      <c r="W33" s="6"/>
      <c r="X33" s="14"/>
      <c r="Z33" s="14"/>
      <c r="AB33" s="14"/>
      <c r="AD33" s="14"/>
      <c r="AF33" s="14"/>
      <c r="AG33" s="14"/>
      <c r="AH33" s="14"/>
      <c r="AI33" s="14"/>
      <c r="AJ33" s="14"/>
      <c r="AK33" s="14"/>
      <c r="AL33" s="14"/>
      <c r="AM33" s="14"/>
      <c r="AN33" s="14"/>
    </row>
    <row r="34" spans="1:48">
      <c r="A34" s="6" t="s">
        <v>476</v>
      </c>
      <c r="B34" s="14"/>
      <c r="C34" s="6" t="s">
        <v>442</v>
      </c>
      <c r="D34" s="6" t="s">
        <v>435</v>
      </c>
      <c r="E34" s="6" t="s">
        <v>477</v>
      </c>
      <c r="F34" s="14">
        <v>8</v>
      </c>
      <c r="G34" s="14">
        <v>16</v>
      </c>
      <c r="H34" s="14">
        <v>0</v>
      </c>
      <c r="I34" s="14">
        <v>30</v>
      </c>
      <c r="J34" s="86">
        <f>IF(G34&gt;=10,16, 4)-J60</f>
        <v>12</v>
      </c>
      <c r="K34" s="14" t="s">
        <v>531</v>
      </c>
      <c r="L34" s="14"/>
      <c r="M34" s="14"/>
      <c r="N34" s="14"/>
      <c r="O34" s="14"/>
      <c r="P34" s="14"/>
      <c r="Q34" s="14"/>
      <c r="R34" s="14"/>
      <c r="S34" s="14"/>
      <c r="T34" s="14"/>
      <c r="U34" s="14"/>
      <c r="V34" s="14"/>
      <c r="X34" s="14">
        <v>200</v>
      </c>
      <c r="Y34" s="14" t="s">
        <v>206</v>
      </c>
      <c r="Z34" s="14"/>
      <c r="AA34" s="14"/>
      <c r="AB34" s="14"/>
      <c r="AC34" s="14"/>
      <c r="AD34" s="14"/>
      <c r="AE34" s="14"/>
      <c r="AF34" s="14"/>
      <c r="AG34" s="14"/>
      <c r="AH34" s="14"/>
      <c r="AI34" s="14"/>
      <c r="AJ34" s="14"/>
      <c r="AK34" s="14"/>
      <c r="AL34" s="14"/>
      <c r="AM34" s="14"/>
      <c r="AN34" s="14"/>
      <c r="AO34" s="14"/>
      <c r="AP34" s="14">
        <v>150</v>
      </c>
      <c r="AQ34" s="14" t="s">
        <v>474</v>
      </c>
      <c r="AR34" s="14"/>
      <c r="AS34" s="14"/>
      <c r="AT34" s="14"/>
    </row>
    <row r="35" spans="1:48" ht="12.95">
      <c r="A35" s="186" t="s">
        <v>478</v>
      </c>
      <c r="B35" s="187"/>
      <c r="F35" s="14"/>
      <c r="G35" s="14"/>
      <c r="H35" s="14"/>
      <c r="I35" s="14"/>
      <c r="J35" s="14"/>
      <c r="K35" s="14"/>
      <c r="L35" s="14"/>
      <c r="M35" s="14"/>
      <c r="N35" s="14"/>
      <c r="O35" s="14"/>
      <c r="P35" s="14"/>
      <c r="Q35" s="14"/>
      <c r="R35" s="14"/>
      <c r="S35" s="14"/>
      <c r="T35" s="14"/>
      <c r="U35" s="14"/>
      <c r="V35" s="14"/>
      <c r="X35" s="14"/>
      <c r="Z35" s="14"/>
      <c r="AB35" s="14"/>
      <c r="AD35" s="14"/>
      <c r="AF35" s="14"/>
      <c r="AN35" s="14"/>
      <c r="AS35" s="14"/>
      <c r="AT35" s="14"/>
    </row>
    <row r="36" spans="1:48">
      <c r="A36" s="6" t="s">
        <v>472</v>
      </c>
      <c r="B36" s="14"/>
      <c r="C36" s="6" t="s">
        <v>442</v>
      </c>
      <c r="D36" s="6" t="s">
        <v>435</v>
      </c>
      <c r="E36" s="6" t="s">
        <v>479</v>
      </c>
      <c r="F36" s="14">
        <v>8</v>
      </c>
      <c r="G36" s="14">
        <v>22</v>
      </c>
      <c r="H36" s="14">
        <v>0</v>
      </c>
      <c r="I36" s="14">
        <v>28</v>
      </c>
      <c r="J36" s="86">
        <f>IF(G36&gt;=10,16, 4)-J31</f>
        <v>0</v>
      </c>
      <c r="K36" s="14" t="s">
        <v>528</v>
      </c>
      <c r="L36" s="14"/>
      <c r="M36" s="14"/>
      <c r="N36" s="14"/>
      <c r="O36" s="14"/>
      <c r="P36" s="14"/>
      <c r="Q36" s="14"/>
      <c r="R36" s="14">
        <v>120</v>
      </c>
      <c r="S36" s="14" t="s">
        <v>449</v>
      </c>
      <c r="T36" s="14"/>
      <c r="U36" s="14"/>
      <c r="V36" s="14"/>
      <c r="X36" s="14">
        <v>340</v>
      </c>
      <c r="Y36" s="14" t="s">
        <v>206</v>
      </c>
      <c r="Z36" s="14"/>
      <c r="AA36" s="14"/>
      <c r="AB36" s="14"/>
      <c r="AC36" s="14"/>
      <c r="AD36" s="14"/>
      <c r="AE36" s="14"/>
      <c r="AF36" s="86">
        <v>200</v>
      </c>
      <c r="AG36" s="86" t="s">
        <v>474</v>
      </c>
      <c r="AH36" s="14"/>
      <c r="AI36" s="14"/>
      <c r="AJ36" s="14"/>
      <c r="AK36" s="14"/>
      <c r="AL36" s="14"/>
      <c r="AM36" s="14"/>
      <c r="AN36" s="14"/>
      <c r="AO36" s="14"/>
      <c r="AP36" s="14"/>
      <c r="AQ36" s="14"/>
      <c r="AR36" s="14"/>
      <c r="AS36" s="14"/>
      <c r="AT36" s="14"/>
    </row>
    <row r="37" spans="1:48" s="19" customFormat="1" ht="13.5" customHeight="1">
      <c r="A37" s="19" t="s">
        <v>480</v>
      </c>
      <c r="C37" s="19" t="s">
        <v>442</v>
      </c>
      <c r="D37" s="19" t="s">
        <v>435</v>
      </c>
      <c r="E37" s="19" t="s">
        <v>481</v>
      </c>
      <c r="F37" s="17">
        <v>4</v>
      </c>
      <c r="G37" s="17">
        <v>15</v>
      </c>
      <c r="H37" s="17">
        <v>0</v>
      </c>
      <c r="I37" s="17">
        <v>0</v>
      </c>
      <c r="J37" s="17">
        <f>IF(G37&gt;=10,16, 4)-J59</f>
        <v>12</v>
      </c>
      <c r="K37" s="17" t="s">
        <v>528</v>
      </c>
      <c r="L37" s="17"/>
      <c r="M37" s="17"/>
      <c r="N37" s="99"/>
      <c r="O37" s="98"/>
      <c r="P37" s="17"/>
      <c r="Q37" s="17"/>
      <c r="R37" s="17"/>
      <c r="S37" s="17"/>
      <c r="V37" s="17"/>
      <c r="W37" s="17"/>
      <c r="X37" s="17"/>
      <c r="Y37" s="17"/>
      <c r="AD37" s="17"/>
      <c r="AE37" s="17"/>
      <c r="AF37" s="17"/>
      <c r="AG37" s="17"/>
      <c r="AH37" s="17"/>
      <c r="AI37" s="17"/>
      <c r="AJ37" s="17"/>
      <c r="AK37" s="17"/>
      <c r="AL37" s="17"/>
      <c r="AM37" s="17"/>
      <c r="AN37" s="17"/>
      <c r="AP37" s="156"/>
      <c r="AR37" s="17"/>
      <c r="AS37" s="17"/>
      <c r="AT37" s="17"/>
      <c r="AU37" s="17"/>
    </row>
    <row r="38" spans="1:48" ht="13.5" customHeight="1">
      <c r="F38" s="14">
        <f>SUM(F34:F37)+F32</f>
        <v>125</v>
      </c>
      <c r="G38" s="14">
        <f>SUM(G34:G37)+G32</f>
        <v>307</v>
      </c>
      <c r="H38" s="14">
        <f>SUM(H34:H37)+H32</f>
        <v>114</v>
      </c>
      <c r="I38" s="14">
        <f>SUM(I34:I37)+I32</f>
        <v>2045</v>
      </c>
      <c r="J38" s="14"/>
      <c r="K38" s="14"/>
      <c r="L38" s="14">
        <f>SUM(L34:L37)+L32</f>
        <v>66</v>
      </c>
      <c r="M38" s="14"/>
      <c r="N38" s="14">
        <f>SUM(N34:N37)+N32</f>
        <v>750</v>
      </c>
      <c r="O38"/>
      <c r="P38" s="14">
        <f>SUM(P34:P37)+P32</f>
        <v>1125</v>
      </c>
      <c r="Q38" s="14"/>
      <c r="R38" s="14">
        <f>SUM(R34:R37)+R32</f>
        <v>460</v>
      </c>
      <c r="S38" s="14"/>
      <c r="T38" s="14">
        <f>SUM(T34:T37)+T32</f>
        <v>300</v>
      </c>
      <c r="V38" s="14">
        <f>SUM(V34:V37)+V32</f>
        <v>0</v>
      </c>
      <c r="X38" s="14">
        <f>SUM(X34:X37)+X32</f>
        <v>3590</v>
      </c>
      <c r="Z38" s="14">
        <f>SUM(Z34:Z37)+Z32</f>
        <v>100</v>
      </c>
      <c r="AB38" s="14">
        <f>SUM(AB34:AB37)+AB32</f>
        <v>50</v>
      </c>
      <c r="AD38" s="14">
        <f>SUM(AD34:AD37)+AD32</f>
        <v>65</v>
      </c>
      <c r="AE38" s="14"/>
      <c r="AF38" s="14">
        <f>SUM(AF34:AF37)+AF32</f>
        <v>200</v>
      </c>
      <c r="AG38" s="14"/>
      <c r="AH38" s="14">
        <f>SUM(AH34:AH37)+AH32</f>
        <v>135</v>
      </c>
      <c r="AI38" s="14"/>
      <c r="AJ38" s="14">
        <f>SUM(AJ34:AJ37)+AJ32</f>
        <v>0</v>
      </c>
      <c r="AK38" s="14"/>
      <c r="AL38" s="14">
        <f>SUM(AL34:AL37)+AL32</f>
        <v>0</v>
      </c>
      <c r="AM38" s="14"/>
      <c r="AN38" s="14">
        <f>SUM(AN34:AN37)+AN32</f>
        <v>2500</v>
      </c>
      <c r="AP38" s="14">
        <f>SUM(AP34:AP37)+AP32</f>
        <v>150</v>
      </c>
      <c r="AR38" s="18">
        <f>COUNTIF(AR35:AR37,"x")+AR32</f>
        <v>24</v>
      </c>
      <c r="AS38" s="18">
        <f>COUNTIF(AS35:AS37,"x")+AS32</f>
        <v>8</v>
      </c>
      <c r="AT38" s="18">
        <f>COUNTIF(AT35:AT37,"x")+AT32</f>
        <v>2</v>
      </c>
      <c r="AU38" s="14"/>
      <c r="AV38" s="14"/>
    </row>
    <row r="40" spans="1:48" ht="12.95">
      <c r="A40" s="16" t="s">
        <v>485</v>
      </c>
      <c r="K40" s="34"/>
      <c r="N40" s="34"/>
    </row>
    <row r="41" spans="1:48" ht="12.95">
      <c r="A41" s="16"/>
      <c r="K41" s="34"/>
      <c r="N41" s="34"/>
    </row>
    <row r="42" spans="1:48">
      <c r="A42" s="6" t="s">
        <v>486</v>
      </c>
      <c r="C42" s="6" t="s">
        <v>442</v>
      </c>
      <c r="D42" s="6" t="s">
        <v>435</v>
      </c>
      <c r="E42" s="6" t="s">
        <v>44</v>
      </c>
      <c r="F42" s="14">
        <v>4</v>
      </c>
      <c r="G42" s="14">
        <v>16</v>
      </c>
      <c r="H42" s="14">
        <v>0</v>
      </c>
      <c r="I42" s="14">
        <v>71</v>
      </c>
      <c r="J42" s="86">
        <f>IF(G42&gt;=10,16, 4)</f>
        <v>16</v>
      </c>
      <c r="K42" s="14"/>
      <c r="L42" s="14"/>
      <c r="M42" s="14"/>
      <c r="N42" s="14"/>
      <c r="O42" s="14"/>
      <c r="P42" s="14"/>
      <c r="Q42" s="14"/>
      <c r="R42" s="14"/>
      <c r="S42" s="14"/>
      <c r="T42" s="14"/>
      <c r="U42" s="14"/>
      <c r="V42" s="14"/>
      <c r="X42" s="14"/>
      <c r="AR42" s="14" t="s">
        <v>437</v>
      </c>
      <c r="AT42" s="14"/>
    </row>
    <row r="43" spans="1:48">
      <c r="A43" s="6" t="s">
        <v>539</v>
      </c>
      <c r="C43" s="6" t="s">
        <v>442</v>
      </c>
      <c r="D43" s="21" t="s">
        <v>488</v>
      </c>
      <c r="E43" s="6" t="s">
        <v>112</v>
      </c>
      <c r="F43" s="14">
        <v>4</v>
      </c>
      <c r="G43" s="14">
        <v>4</v>
      </c>
      <c r="H43" s="14">
        <v>0</v>
      </c>
      <c r="I43" s="14">
        <v>100</v>
      </c>
      <c r="J43" s="86">
        <v>0</v>
      </c>
      <c r="K43" s="14"/>
      <c r="L43" s="14"/>
      <c r="M43" s="14"/>
      <c r="N43" s="14"/>
      <c r="O43" s="14"/>
      <c r="P43" s="14"/>
      <c r="Q43" s="14"/>
      <c r="R43" s="14"/>
      <c r="S43" s="14"/>
      <c r="T43" s="14"/>
      <c r="U43" s="14"/>
      <c r="V43" s="14"/>
      <c r="X43" s="14"/>
      <c r="AR43" s="14" t="s">
        <v>437</v>
      </c>
      <c r="AT43" s="14"/>
    </row>
    <row r="44" spans="1:48">
      <c r="A44" s="6" t="s">
        <v>491</v>
      </c>
      <c r="C44" s="6" t="s">
        <v>442</v>
      </c>
      <c r="D44" s="21" t="s">
        <v>488</v>
      </c>
      <c r="E44" s="6" t="s">
        <v>120</v>
      </c>
      <c r="F44" s="14">
        <v>4</v>
      </c>
      <c r="G44" s="14">
        <v>16</v>
      </c>
      <c r="H44" s="14">
        <v>0</v>
      </c>
      <c r="I44" s="14">
        <v>100</v>
      </c>
      <c r="J44" s="86">
        <v>0</v>
      </c>
      <c r="K44" s="14"/>
      <c r="L44" s="14"/>
      <c r="M44" s="14"/>
      <c r="N44" s="14"/>
      <c r="O44" s="14"/>
      <c r="P44" s="14"/>
      <c r="Q44" s="14"/>
      <c r="R44" s="14"/>
      <c r="S44" s="14"/>
      <c r="T44" s="14"/>
      <c r="U44" s="14"/>
      <c r="V44" s="14"/>
      <c r="X44" s="14"/>
      <c r="AR44" s="14" t="s">
        <v>437</v>
      </c>
      <c r="AT44" s="14"/>
    </row>
    <row r="45" spans="1:48">
      <c r="A45" s="6" t="s">
        <v>540</v>
      </c>
      <c r="C45" s="6" t="s">
        <v>442</v>
      </c>
      <c r="D45" s="21" t="s">
        <v>488</v>
      </c>
      <c r="E45" s="6" t="s">
        <v>120</v>
      </c>
      <c r="F45" s="14">
        <v>4</v>
      </c>
      <c r="G45" s="14">
        <v>16</v>
      </c>
      <c r="H45" s="14">
        <v>0</v>
      </c>
      <c r="I45" s="14">
        <v>100</v>
      </c>
      <c r="J45" s="86">
        <v>0</v>
      </c>
      <c r="K45" s="14"/>
      <c r="L45" s="14"/>
      <c r="M45" s="14"/>
      <c r="N45" s="14"/>
      <c r="O45" s="14"/>
      <c r="P45" s="14"/>
      <c r="Q45" s="14"/>
      <c r="R45" s="14"/>
      <c r="S45" s="14"/>
      <c r="T45" s="14"/>
      <c r="U45" s="14"/>
      <c r="V45" s="14"/>
      <c r="X45" s="14"/>
      <c r="AR45" s="14" t="s">
        <v>437</v>
      </c>
      <c r="AT45" s="14"/>
    </row>
    <row r="46" spans="1:48">
      <c r="A46" s="6" t="s">
        <v>541</v>
      </c>
      <c r="C46" s="6" t="s">
        <v>442</v>
      </c>
      <c r="D46" s="21" t="s">
        <v>488</v>
      </c>
      <c r="E46" s="6" t="s">
        <v>116</v>
      </c>
      <c r="F46" s="14">
        <v>4</v>
      </c>
      <c r="G46" s="14">
        <v>14</v>
      </c>
      <c r="H46" s="14">
        <v>0</v>
      </c>
      <c r="I46" s="14">
        <v>120</v>
      </c>
      <c r="J46" s="86">
        <v>0</v>
      </c>
      <c r="K46" s="14"/>
      <c r="L46" s="14"/>
      <c r="M46" s="14"/>
      <c r="N46" s="14"/>
      <c r="O46" s="14"/>
      <c r="P46" s="14"/>
      <c r="Q46" s="14"/>
      <c r="R46" s="14"/>
      <c r="S46" s="14"/>
      <c r="T46" s="14"/>
      <c r="U46" s="14"/>
      <c r="V46" s="14"/>
      <c r="X46" s="14"/>
      <c r="AR46" s="14" t="s">
        <v>437</v>
      </c>
      <c r="AT46" s="14"/>
    </row>
    <row r="47" spans="1:48">
      <c r="A47" s="6" t="s">
        <v>492</v>
      </c>
      <c r="C47" s="6" t="s">
        <v>442</v>
      </c>
      <c r="D47" s="6" t="s">
        <v>435</v>
      </c>
      <c r="E47" s="6" t="s">
        <v>55</v>
      </c>
      <c r="F47" s="14">
        <v>3</v>
      </c>
      <c r="G47" s="14">
        <v>8</v>
      </c>
      <c r="H47" s="14">
        <v>0</v>
      </c>
      <c r="I47" s="14">
        <v>121</v>
      </c>
      <c r="J47" s="86">
        <f t="shared" ref="J47:J60" si="1">IF(G47&gt;=10,16, 4)</f>
        <v>4</v>
      </c>
      <c r="K47" s="14"/>
      <c r="L47" s="14"/>
      <c r="M47" s="14"/>
      <c r="N47" s="14"/>
      <c r="O47" s="14"/>
      <c r="P47" s="14"/>
      <c r="Q47" s="14"/>
      <c r="R47" s="14"/>
      <c r="S47" s="14"/>
      <c r="T47" s="14"/>
      <c r="U47" s="14"/>
      <c r="V47" s="14"/>
      <c r="X47" s="14"/>
      <c r="AR47" s="14" t="s">
        <v>437</v>
      </c>
      <c r="AT47" s="14"/>
    </row>
    <row r="48" spans="1:48">
      <c r="A48" s="6" t="s">
        <v>493</v>
      </c>
      <c r="C48" s="6" t="s">
        <v>442</v>
      </c>
      <c r="D48" s="6" t="s">
        <v>435</v>
      </c>
      <c r="E48" s="6" t="s">
        <v>55</v>
      </c>
      <c r="F48" s="14">
        <v>3</v>
      </c>
      <c r="G48" s="14">
        <v>8</v>
      </c>
      <c r="H48" s="14">
        <v>0</v>
      </c>
      <c r="I48" s="14">
        <v>121</v>
      </c>
      <c r="J48" s="86">
        <f t="shared" si="1"/>
        <v>4</v>
      </c>
      <c r="K48" s="14"/>
      <c r="L48" s="14"/>
      <c r="M48" s="14"/>
      <c r="N48" s="14"/>
      <c r="O48" s="14"/>
      <c r="P48" s="14"/>
      <c r="Q48" s="14"/>
      <c r="R48" s="14"/>
      <c r="S48" s="14"/>
      <c r="T48" s="14"/>
      <c r="U48" s="14"/>
      <c r="V48" s="14"/>
      <c r="X48" s="14"/>
      <c r="AR48" s="14" t="s">
        <v>437</v>
      </c>
      <c r="AT48" s="14"/>
    </row>
    <row r="49" spans="1:54">
      <c r="A49" s="6" t="s">
        <v>494</v>
      </c>
      <c r="C49" s="6" t="s">
        <v>442</v>
      </c>
      <c r="D49" s="6" t="s">
        <v>435</v>
      </c>
      <c r="E49" s="6" t="s">
        <v>71</v>
      </c>
      <c r="F49" s="14">
        <v>2</v>
      </c>
      <c r="G49" s="14">
        <v>4</v>
      </c>
      <c r="H49" s="14">
        <v>0</v>
      </c>
      <c r="I49" s="14">
        <v>41</v>
      </c>
      <c r="J49" s="86">
        <f t="shared" si="1"/>
        <v>4</v>
      </c>
      <c r="K49" s="14"/>
      <c r="L49" s="14"/>
      <c r="M49" s="14"/>
      <c r="N49" s="14"/>
      <c r="O49" s="14"/>
      <c r="P49" s="14"/>
      <c r="Q49" s="14"/>
      <c r="R49" s="14"/>
      <c r="S49" s="14"/>
      <c r="T49" s="14"/>
      <c r="U49" s="14"/>
      <c r="V49" s="14"/>
      <c r="X49" s="14"/>
      <c r="AR49" s="14" t="s">
        <v>437</v>
      </c>
      <c r="AT49" s="14"/>
    </row>
    <row r="50" spans="1:54">
      <c r="A50" s="6" t="s">
        <v>495</v>
      </c>
      <c r="C50" s="6" t="s">
        <v>442</v>
      </c>
      <c r="D50" s="6" t="s">
        <v>435</v>
      </c>
      <c r="E50" s="6" t="s">
        <v>63</v>
      </c>
      <c r="F50" s="14">
        <v>2</v>
      </c>
      <c r="G50" s="14">
        <v>4</v>
      </c>
      <c r="H50" s="14">
        <v>0</v>
      </c>
      <c r="I50" s="14">
        <v>31</v>
      </c>
      <c r="J50" s="86">
        <f t="shared" si="1"/>
        <v>4</v>
      </c>
      <c r="K50" s="14"/>
      <c r="L50" s="14"/>
      <c r="M50" s="14"/>
      <c r="N50" s="14"/>
      <c r="O50" s="14"/>
      <c r="P50" s="14"/>
      <c r="Q50" s="14"/>
      <c r="R50" s="14"/>
      <c r="S50" s="14"/>
      <c r="T50" s="14"/>
      <c r="U50" s="14"/>
      <c r="V50" s="14"/>
      <c r="X50" s="14"/>
      <c r="AR50" s="14" t="s">
        <v>437</v>
      </c>
      <c r="AT50" s="14"/>
    </row>
    <row r="51" spans="1:54">
      <c r="A51" s="6" t="s">
        <v>496</v>
      </c>
      <c r="C51" s="6" t="s">
        <v>442</v>
      </c>
      <c r="D51" s="6" t="s">
        <v>435</v>
      </c>
      <c r="E51" s="6" t="s">
        <v>67</v>
      </c>
      <c r="F51" s="14">
        <v>4</v>
      </c>
      <c r="G51" s="14">
        <v>4</v>
      </c>
      <c r="H51" s="14">
        <v>0</v>
      </c>
      <c r="I51" s="14">
        <v>36</v>
      </c>
      <c r="J51" s="86">
        <f t="shared" si="1"/>
        <v>4</v>
      </c>
      <c r="K51" s="14"/>
      <c r="L51" s="14"/>
      <c r="M51" s="14"/>
      <c r="N51" s="14"/>
      <c r="O51" s="14"/>
      <c r="P51" s="14"/>
      <c r="Q51" s="14"/>
      <c r="R51" s="14"/>
      <c r="S51" s="14"/>
      <c r="T51" s="14"/>
      <c r="U51" s="14"/>
      <c r="V51" s="14"/>
      <c r="X51" s="14"/>
      <c r="AR51" s="14" t="s">
        <v>437</v>
      </c>
      <c r="AT51" s="14"/>
    </row>
    <row r="52" spans="1:54" ht="14.45">
      <c r="A52" s="6" t="s">
        <v>497</v>
      </c>
      <c r="C52" s="6" t="s">
        <v>442</v>
      </c>
      <c r="D52" s="6" t="s">
        <v>435</v>
      </c>
      <c r="E52" s="6" t="s">
        <v>276</v>
      </c>
      <c r="F52" s="14">
        <v>5</v>
      </c>
      <c r="G52" s="14">
        <v>6</v>
      </c>
      <c r="H52" s="14">
        <v>0</v>
      </c>
      <c r="I52" s="14">
        <v>111</v>
      </c>
      <c r="J52" s="86">
        <f t="shared" si="1"/>
        <v>4</v>
      </c>
      <c r="K52" s="2"/>
      <c r="L52" s="14"/>
      <c r="M52" s="14"/>
      <c r="N52" s="2"/>
      <c r="O52"/>
      <c r="P52" s="14"/>
      <c r="Q52" s="14"/>
      <c r="R52" s="14"/>
      <c r="S52" s="14"/>
      <c r="T52" s="14"/>
      <c r="U52" s="14"/>
      <c r="V52" s="14"/>
      <c r="X52" s="14"/>
      <c r="AR52" s="14" t="s">
        <v>437</v>
      </c>
      <c r="AT52" s="14" t="s">
        <v>437</v>
      </c>
    </row>
    <row r="53" spans="1:54" ht="14.45">
      <c r="A53" s="6" t="s">
        <v>542</v>
      </c>
      <c r="C53" s="6" t="s">
        <v>442</v>
      </c>
      <c r="D53" s="6" t="s">
        <v>435</v>
      </c>
      <c r="E53" s="6" t="s">
        <v>90</v>
      </c>
      <c r="F53" s="14">
        <v>2</v>
      </c>
      <c r="G53" s="14">
        <v>2</v>
      </c>
      <c r="H53" s="14">
        <v>0</v>
      </c>
      <c r="I53" s="14">
        <v>16</v>
      </c>
      <c r="J53" s="86">
        <f t="shared" si="1"/>
        <v>4</v>
      </c>
      <c r="K53" s="2"/>
      <c r="L53" s="14"/>
      <c r="M53" s="14"/>
      <c r="N53" s="2"/>
      <c r="O53"/>
      <c r="P53" s="14"/>
      <c r="Q53" s="14"/>
      <c r="R53" s="14"/>
      <c r="S53" s="14"/>
      <c r="T53" s="14"/>
      <c r="U53" s="14"/>
      <c r="V53" s="14"/>
      <c r="X53" s="14"/>
      <c r="AR53" s="14" t="s">
        <v>437</v>
      </c>
      <c r="AT53" s="14"/>
    </row>
    <row r="54" spans="1:54" ht="14.45">
      <c r="A54" s="6" t="s">
        <v>543</v>
      </c>
      <c r="C54" s="6" t="s">
        <v>442</v>
      </c>
      <c r="D54" s="6" t="s">
        <v>435</v>
      </c>
      <c r="E54" s="6" t="s">
        <v>90</v>
      </c>
      <c r="F54" s="14">
        <v>2</v>
      </c>
      <c r="G54" s="14">
        <v>2</v>
      </c>
      <c r="H54" s="14">
        <v>0</v>
      </c>
      <c r="I54" s="14">
        <v>16</v>
      </c>
      <c r="J54" s="86">
        <f t="shared" si="1"/>
        <v>4</v>
      </c>
      <c r="K54" s="2"/>
      <c r="L54" s="14"/>
      <c r="M54" s="14"/>
      <c r="N54" s="2"/>
      <c r="O54"/>
      <c r="P54" s="14"/>
      <c r="Q54" s="14"/>
      <c r="R54" s="14"/>
      <c r="S54" s="14"/>
      <c r="T54" s="14"/>
      <c r="U54" s="14"/>
      <c r="V54" s="14"/>
      <c r="X54" s="14"/>
      <c r="AR54" s="14" t="s">
        <v>437</v>
      </c>
      <c r="AT54" s="14"/>
    </row>
    <row r="55" spans="1:54" ht="14.45">
      <c r="A55" s="6" t="s">
        <v>544</v>
      </c>
      <c r="C55" s="6" t="s">
        <v>442</v>
      </c>
      <c r="D55" s="6" t="s">
        <v>435</v>
      </c>
      <c r="E55" s="6" t="s">
        <v>94</v>
      </c>
      <c r="F55" s="14">
        <v>6</v>
      </c>
      <c r="G55" s="14">
        <v>5</v>
      </c>
      <c r="H55" s="14">
        <v>0</v>
      </c>
      <c r="I55" s="14">
        <v>41</v>
      </c>
      <c r="J55" s="86">
        <f t="shared" si="1"/>
        <v>4</v>
      </c>
      <c r="K55" s="2"/>
      <c r="L55" s="14"/>
      <c r="M55" s="14"/>
      <c r="N55" s="2"/>
      <c r="O55"/>
      <c r="P55" s="14"/>
      <c r="Q55" s="14"/>
      <c r="R55" s="14"/>
      <c r="S55" s="14"/>
      <c r="T55" s="14"/>
      <c r="U55" s="14"/>
      <c r="V55" s="14"/>
      <c r="X55" s="14"/>
      <c r="AR55" s="14" t="s">
        <v>437</v>
      </c>
      <c r="AT55" s="14"/>
    </row>
    <row r="56" spans="1:54" s="36" customFormat="1" ht="14.45">
      <c r="A56" s="6" t="s">
        <v>545</v>
      </c>
      <c r="B56" s="6"/>
      <c r="C56" s="6" t="s">
        <v>442</v>
      </c>
      <c r="D56" s="6" t="s">
        <v>435</v>
      </c>
      <c r="E56" s="6" t="s">
        <v>98</v>
      </c>
      <c r="F56" s="14">
        <v>2</v>
      </c>
      <c r="G56" s="14">
        <v>2</v>
      </c>
      <c r="H56" s="14">
        <v>0</v>
      </c>
      <c r="I56" s="14">
        <v>31</v>
      </c>
      <c r="J56" s="86">
        <f t="shared" si="1"/>
        <v>4</v>
      </c>
      <c r="K56" s="45"/>
      <c r="L56" s="86"/>
      <c r="M56" s="86"/>
      <c r="N56" s="45"/>
      <c r="O56" s="44"/>
      <c r="P56" s="86"/>
      <c r="Q56" s="86"/>
      <c r="R56" s="86"/>
      <c r="S56" s="86"/>
      <c r="T56" s="86"/>
      <c r="U56" s="86"/>
      <c r="V56" s="86"/>
      <c r="W56" s="86"/>
      <c r="X56" s="86"/>
      <c r="Z56" s="86"/>
      <c r="AA56" s="86"/>
      <c r="AB56" s="86"/>
      <c r="AC56" s="86"/>
      <c r="AD56" s="86"/>
      <c r="AE56" s="86"/>
      <c r="AF56" s="86"/>
      <c r="AG56" s="86"/>
      <c r="AH56" s="86"/>
      <c r="AI56" s="86"/>
      <c r="AJ56" s="86"/>
      <c r="AK56" s="86"/>
      <c r="AL56" s="86"/>
      <c r="AM56" s="86"/>
      <c r="AN56" s="86"/>
      <c r="AO56" s="86"/>
      <c r="AP56" s="86"/>
      <c r="AQ56" s="86"/>
      <c r="AR56" s="86" t="s">
        <v>437</v>
      </c>
      <c r="AT56" s="86"/>
    </row>
    <row r="57" spans="1:54" s="36" customFormat="1" ht="14.45">
      <c r="A57" s="6" t="s">
        <v>627</v>
      </c>
      <c r="B57" s="6"/>
      <c r="C57" s="6" t="s">
        <v>442</v>
      </c>
      <c r="D57" s="6" t="s">
        <v>584</v>
      </c>
      <c r="E57" s="6" t="s">
        <v>118</v>
      </c>
      <c r="F57" s="14">
        <v>12</v>
      </c>
      <c r="G57" s="14">
        <v>24</v>
      </c>
      <c r="H57" s="14">
        <v>0</v>
      </c>
      <c r="I57" s="14">
        <v>2098</v>
      </c>
      <c r="J57" s="86">
        <f t="shared" si="1"/>
        <v>16</v>
      </c>
      <c r="K57" s="45"/>
      <c r="L57" s="86"/>
      <c r="M57" s="86"/>
      <c r="N57" s="45"/>
      <c r="O57" s="44"/>
      <c r="P57" s="86"/>
      <c r="Q57" s="86"/>
      <c r="R57" s="86"/>
      <c r="S57" s="86"/>
      <c r="T57" s="86"/>
      <c r="U57" s="86"/>
      <c r="V57" s="86"/>
      <c r="W57" s="86"/>
      <c r="X57" s="86"/>
      <c r="Z57" s="86"/>
      <c r="AA57" s="86"/>
      <c r="AB57" s="86"/>
      <c r="AC57" s="86"/>
      <c r="AD57" s="86"/>
      <c r="AE57" s="86"/>
      <c r="AF57" s="86"/>
      <c r="AG57" s="86"/>
      <c r="AH57" s="86"/>
      <c r="AI57" s="86"/>
      <c r="AJ57" s="86"/>
      <c r="AK57" s="86"/>
      <c r="AL57" s="86"/>
      <c r="AM57" s="86"/>
      <c r="AN57" s="86"/>
      <c r="AO57" s="86"/>
      <c r="AP57" s="86"/>
      <c r="AQ57" s="86"/>
      <c r="AR57" s="86" t="s">
        <v>437</v>
      </c>
      <c r="AT57" s="86"/>
    </row>
    <row r="58" spans="1:54" s="36" customFormat="1" ht="14.45">
      <c r="A58" s="6" t="s">
        <v>551</v>
      </c>
      <c r="B58" s="6"/>
      <c r="C58" s="6" t="s">
        <v>442</v>
      </c>
      <c r="D58" s="6" t="s">
        <v>435</v>
      </c>
      <c r="E58" s="6" t="s">
        <v>122</v>
      </c>
      <c r="F58" s="14">
        <v>2</v>
      </c>
      <c r="G58" s="14">
        <v>10</v>
      </c>
      <c r="H58" s="14">
        <v>0</v>
      </c>
      <c r="I58" s="14">
        <v>60</v>
      </c>
      <c r="J58" s="86">
        <f t="shared" si="1"/>
        <v>16</v>
      </c>
      <c r="K58" s="45"/>
      <c r="L58" s="86"/>
      <c r="M58" s="86"/>
      <c r="N58" s="45"/>
      <c r="O58" s="44"/>
      <c r="P58" s="86"/>
      <c r="Q58" s="86"/>
      <c r="R58" s="86"/>
      <c r="S58" s="86"/>
      <c r="T58" s="86"/>
      <c r="U58" s="86"/>
      <c r="V58" s="86"/>
      <c r="W58" s="86"/>
      <c r="X58" s="86"/>
      <c r="Z58" s="86"/>
      <c r="AA58" s="86"/>
      <c r="AB58" s="86"/>
      <c r="AC58" s="86"/>
      <c r="AD58" s="86"/>
      <c r="AE58" s="86"/>
      <c r="AF58" s="86"/>
      <c r="AG58" s="86"/>
      <c r="AH58" s="86"/>
      <c r="AI58" s="86"/>
      <c r="AJ58" s="86"/>
      <c r="AK58" s="86"/>
      <c r="AL58" s="86"/>
      <c r="AM58" s="86"/>
      <c r="AN58" s="86"/>
      <c r="AO58" s="86"/>
      <c r="AP58" s="86"/>
      <c r="AQ58" s="86"/>
      <c r="AR58" s="86" t="s">
        <v>437</v>
      </c>
      <c r="AT58" s="86"/>
    </row>
    <row r="59" spans="1:54" ht="13.5" customHeight="1">
      <c r="A59" s="6" t="s">
        <v>480</v>
      </c>
      <c r="C59" s="6" t="s">
        <v>442</v>
      </c>
      <c r="D59" s="6" t="s">
        <v>435</v>
      </c>
      <c r="E59" s="15" t="s">
        <v>506</v>
      </c>
      <c r="F59" s="14">
        <v>2</v>
      </c>
      <c r="G59" s="14">
        <v>2</v>
      </c>
      <c r="H59" s="14">
        <v>0</v>
      </c>
      <c r="I59" s="14">
        <v>50</v>
      </c>
      <c r="J59" s="86">
        <f t="shared" si="1"/>
        <v>4</v>
      </c>
      <c r="K59" s="14"/>
      <c r="L59" s="14"/>
      <c r="M59" s="14"/>
      <c r="N59" s="2"/>
      <c r="O59"/>
      <c r="P59" s="14"/>
      <c r="Q59" s="14"/>
      <c r="R59" s="14"/>
      <c r="S59" s="14"/>
      <c r="T59" s="14"/>
      <c r="U59" s="14"/>
      <c r="V59" s="14"/>
      <c r="X59" s="14"/>
      <c r="AF59" s="14"/>
      <c r="AG59" s="86"/>
      <c r="AH59" s="86"/>
      <c r="AI59" s="86"/>
      <c r="AJ59" s="86"/>
      <c r="AK59" s="86"/>
      <c r="AL59" s="86"/>
      <c r="AM59" s="86"/>
      <c r="AN59" s="86"/>
      <c r="AO59" s="86"/>
      <c r="AP59" s="86"/>
      <c r="AQ59" s="86"/>
      <c r="AR59" s="86" t="s">
        <v>437</v>
      </c>
      <c r="AT59" s="86"/>
      <c r="AU59" s="86"/>
      <c r="AV59" s="86"/>
      <c r="AW59" s="86"/>
      <c r="AZ59" s="14"/>
      <c r="BA59" s="14"/>
      <c r="BB59" s="14"/>
    </row>
    <row r="60" spans="1:54" ht="13.5" customHeight="1">
      <c r="A60" s="6" t="s">
        <v>476</v>
      </c>
      <c r="C60" s="6" t="s">
        <v>442</v>
      </c>
      <c r="D60" s="6" t="s">
        <v>435</v>
      </c>
      <c r="E60" s="15" t="s">
        <v>507</v>
      </c>
      <c r="F60" s="14">
        <v>2</v>
      </c>
      <c r="G60" s="14">
        <v>2</v>
      </c>
      <c r="H60" s="14">
        <v>0</v>
      </c>
      <c r="I60" s="14">
        <v>50</v>
      </c>
      <c r="J60" s="86">
        <f t="shared" si="1"/>
        <v>4</v>
      </c>
      <c r="K60" s="14"/>
      <c r="L60" s="14"/>
      <c r="M60" s="14"/>
      <c r="N60" s="2"/>
      <c r="O60"/>
      <c r="P60" s="14"/>
      <c r="Q60" s="14"/>
      <c r="R60" s="14"/>
      <c r="S60" s="14"/>
      <c r="T60" s="14"/>
      <c r="U60" s="14"/>
      <c r="V60" s="14"/>
      <c r="X60" s="14"/>
      <c r="AF60" s="14"/>
      <c r="AG60" s="86"/>
      <c r="AH60" s="86"/>
      <c r="AI60" s="86"/>
      <c r="AJ60" s="86"/>
      <c r="AK60" s="86"/>
      <c r="AL60" s="86"/>
      <c r="AM60" s="86"/>
      <c r="AN60" s="86"/>
      <c r="AO60" s="86"/>
      <c r="AP60" s="86"/>
      <c r="AQ60" s="86"/>
      <c r="AR60" s="86" t="s">
        <v>437</v>
      </c>
      <c r="AT60" s="86"/>
      <c r="AU60" s="86"/>
      <c r="AV60" s="86"/>
      <c r="AW60" s="86"/>
      <c r="AZ60" s="14"/>
      <c r="BA60" s="14"/>
      <c r="BB60" s="14"/>
    </row>
    <row r="61" spans="1:54" s="20" customFormat="1">
      <c r="F61" s="18">
        <f>SUM(F42:F60)+F38</f>
        <v>194</v>
      </c>
      <c r="G61" s="18">
        <f>SUM(G42:G60)+G38</f>
        <v>456</v>
      </c>
      <c r="H61" s="18">
        <f>SUM(H42:H60)+H38</f>
        <v>114</v>
      </c>
      <c r="I61" s="18">
        <f>SUM(I42:I60)+I38</f>
        <v>5359</v>
      </c>
      <c r="J61" s="18"/>
      <c r="K61" s="18"/>
      <c r="L61" s="18">
        <f>SUM(L42:L60)+L38</f>
        <v>66</v>
      </c>
      <c r="M61" s="18"/>
      <c r="N61" s="18">
        <f>SUM(N42:N60)+N38</f>
        <v>750</v>
      </c>
      <c r="O61" s="18"/>
      <c r="P61" s="18">
        <f>SUM(P42:P60)+P38</f>
        <v>1125</v>
      </c>
      <c r="Q61" s="18"/>
      <c r="R61" s="18">
        <f>SUM(R42:R60)+R38</f>
        <v>460</v>
      </c>
      <c r="S61" s="18"/>
      <c r="T61" s="18">
        <f>SUM(T42:T60)+T38</f>
        <v>300</v>
      </c>
      <c r="U61" s="18"/>
      <c r="V61" s="18">
        <f>SUM(V42:V60)+V38</f>
        <v>0</v>
      </c>
      <c r="W61" s="18"/>
      <c r="X61" s="18">
        <f>SUM(X42:X60)+X38</f>
        <v>3590</v>
      </c>
      <c r="Z61" s="18">
        <f>SUM(Z42:Z60)+Z38</f>
        <v>100</v>
      </c>
      <c r="AB61" s="18">
        <f>SUM(AB42:AB60)+AB38</f>
        <v>50</v>
      </c>
      <c r="AD61" s="18">
        <f>SUM(AD42:AD60)+AD38</f>
        <v>65</v>
      </c>
      <c r="AF61" s="18">
        <f>SUM(AF42:AF60)+AF38</f>
        <v>200</v>
      </c>
      <c r="AH61" s="18">
        <f>SUM(AH42:AH60)+AH38</f>
        <v>135</v>
      </c>
      <c r="AJ61" s="18">
        <f>SUM(AJ59:AJ60)+AJ56</f>
        <v>0</v>
      </c>
      <c r="AL61" s="18">
        <f>SUM(AL59:AL60)+AL56</f>
        <v>0</v>
      </c>
      <c r="AN61" s="18">
        <f>SUM(AN42:AN60)+AN38</f>
        <v>2500</v>
      </c>
      <c r="AP61" s="18">
        <f>SUM(AP42:AP60)+AP38</f>
        <v>150</v>
      </c>
      <c r="AR61" s="18">
        <f>COUNTIF(AR42:AR60,"x")+AR38</f>
        <v>43</v>
      </c>
      <c r="AS61" s="18">
        <f>COUNTIF(AS42:AS60,"x")+AS38</f>
        <v>8</v>
      </c>
      <c r="AT61" s="18">
        <f>COUNTIF(AT42:AT60,"x")+AT38</f>
        <v>3</v>
      </c>
    </row>
    <row r="63" spans="1:54" ht="12.95">
      <c r="A63" s="16" t="s">
        <v>559</v>
      </c>
    </row>
    <row r="65" spans="1:46">
      <c r="A65" s="6" t="s">
        <v>560</v>
      </c>
      <c r="C65" s="6" t="s">
        <v>561</v>
      </c>
      <c r="D65" s="6" t="s">
        <v>562</v>
      </c>
      <c r="E65" s="6" t="s">
        <v>42</v>
      </c>
      <c r="F65" s="14">
        <v>2</v>
      </c>
      <c r="G65" s="14">
        <v>4</v>
      </c>
      <c r="H65" s="14">
        <v>4</v>
      </c>
      <c r="I65" s="14">
        <v>350</v>
      </c>
      <c r="J65" s="86">
        <f t="shared" ref="J65:J72" si="2">IF(G65&gt;=10,16, 4)</f>
        <v>4</v>
      </c>
      <c r="K65" s="86" t="s">
        <v>563</v>
      </c>
      <c r="L65" s="86"/>
      <c r="M65" s="86"/>
      <c r="N65" s="86"/>
      <c r="O65" s="86"/>
      <c r="P65" s="86"/>
      <c r="Q65" s="86"/>
      <c r="R65" s="86"/>
      <c r="S65" s="86"/>
      <c r="T65" s="86"/>
      <c r="U65" s="86"/>
      <c r="V65" s="14"/>
      <c r="X65" s="14"/>
      <c r="AR65" s="14" t="s">
        <v>437</v>
      </c>
      <c r="AS65" s="14"/>
      <c r="AT65" s="14"/>
    </row>
    <row r="66" spans="1:46">
      <c r="A66" s="6" t="s">
        <v>565</v>
      </c>
      <c r="C66" s="6" t="s">
        <v>561</v>
      </c>
      <c r="D66" s="6" t="s">
        <v>562</v>
      </c>
      <c r="E66" s="6" t="s">
        <v>566</v>
      </c>
      <c r="F66" s="14">
        <v>6</v>
      </c>
      <c r="G66" s="14">
        <v>10</v>
      </c>
      <c r="H66" s="14">
        <v>10</v>
      </c>
      <c r="I66" s="14">
        <v>100</v>
      </c>
      <c r="J66" s="86">
        <f t="shared" si="2"/>
        <v>16</v>
      </c>
      <c r="K66" s="86" t="s">
        <v>563</v>
      </c>
      <c r="L66" s="86"/>
      <c r="M66" s="86"/>
      <c r="N66" s="86">
        <v>200</v>
      </c>
      <c r="O66" s="86" t="s">
        <v>564</v>
      </c>
      <c r="P66" s="86"/>
      <c r="Q66" s="86"/>
      <c r="R66" s="86"/>
      <c r="S66" s="86"/>
      <c r="T66" s="86"/>
      <c r="U66" s="86"/>
      <c r="V66" s="14"/>
      <c r="X66" s="14"/>
      <c r="AR66" s="14" t="s">
        <v>437</v>
      </c>
      <c r="AS66" s="14"/>
      <c r="AT66" s="14"/>
    </row>
    <row r="67" spans="1:46">
      <c r="A67" s="6" t="s">
        <v>567</v>
      </c>
      <c r="C67" s="6" t="s">
        <v>561</v>
      </c>
      <c r="D67" s="6" t="s">
        <v>562</v>
      </c>
      <c r="E67" s="6" t="s">
        <v>568</v>
      </c>
      <c r="F67" s="14">
        <v>8</v>
      </c>
      <c r="G67" s="14">
        <v>16</v>
      </c>
      <c r="H67" s="14">
        <v>16</v>
      </c>
      <c r="I67" s="14">
        <v>60</v>
      </c>
      <c r="J67" s="86">
        <f t="shared" si="2"/>
        <v>16</v>
      </c>
      <c r="K67" s="86" t="s">
        <v>569</v>
      </c>
      <c r="L67" s="86"/>
      <c r="M67" s="86"/>
      <c r="N67" s="86"/>
      <c r="O67" s="86"/>
      <c r="P67" s="86"/>
      <c r="Q67" s="86"/>
      <c r="R67" s="86"/>
      <c r="S67" s="86"/>
      <c r="T67" s="86"/>
      <c r="U67" s="86"/>
      <c r="V67" s="14"/>
      <c r="X67" s="14"/>
      <c r="AR67" s="14" t="s">
        <v>437</v>
      </c>
      <c r="AS67" s="14" t="s">
        <v>437</v>
      </c>
      <c r="AT67" s="14"/>
    </row>
    <row r="68" spans="1:46">
      <c r="A68" s="6" t="s">
        <v>570</v>
      </c>
      <c r="C68" s="6" t="s">
        <v>561</v>
      </c>
      <c r="D68" s="6" t="s">
        <v>562</v>
      </c>
      <c r="E68" s="6" t="s">
        <v>571</v>
      </c>
      <c r="F68" s="14">
        <v>10</v>
      </c>
      <c r="G68" s="14">
        <v>10</v>
      </c>
      <c r="H68" s="14">
        <v>10</v>
      </c>
      <c r="I68" s="14">
        <v>40</v>
      </c>
      <c r="J68" s="86">
        <f t="shared" si="2"/>
        <v>16</v>
      </c>
      <c r="K68" s="86" t="s">
        <v>569</v>
      </c>
      <c r="L68" s="86"/>
      <c r="M68" s="86"/>
      <c r="N68" s="86"/>
      <c r="O68" s="86"/>
      <c r="P68" s="86"/>
      <c r="Q68" s="86"/>
      <c r="R68" s="86"/>
      <c r="S68" s="86"/>
      <c r="T68" s="86"/>
      <c r="U68" s="86"/>
      <c r="V68" s="14"/>
      <c r="X68" s="14"/>
      <c r="AR68" s="14" t="s">
        <v>437</v>
      </c>
      <c r="AS68" s="14" t="s">
        <v>437</v>
      </c>
      <c r="AT68" s="14"/>
    </row>
    <row r="69" spans="1:46">
      <c r="A69" s="6" t="s">
        <v>572</v>
      </c>
      <c r="C69" s="6" t="s">
        <v>561</v>
      </c>
      <c r="D69" s="6" t="s">
        <v>562</v>
      </c>
      <c r="E69" s="6" t="s">
        <v>573</v>
      </c>
      <c r="F69" s="14">
        <v>4</v>
      </c>
      <c r="G69" s="14">
        <v>16</v>
      </c>
      <c r="H69" s="14">
        <v>0</v>
      </c>
      <c r="I69" s="14">
        <v>550</v>
      </c>
      <c r="J69" s="86">
        <f t="shared" si="2"/>
        <v>16</v>
      </c>
      <c r="K69" s="86" t="s">
        <v>574</v>
      </c>
      <c r="L69" s="86"/>
      <c r="M69" s="86"/>
      <c r="N69" s="86"/>
      <c r="O69" s="86"/>
      <c r="P69" s="86"/>
      <c r="Q69" s="86"/>
      <c r="R69" s="86"/>
      <c r="S69" s="86"/>
      <c r="T69" s="86"/>
      <c r="U69" s="86"/>
      <c r="V69" s="14"/>
      <c r="X69" s="14"/>
      <c r="AR69" s="14" t="s">
        <v>437</v>
      </c>
      <c r="AS69" s="14" t="s">
        <v>437</v>
      </c>
      <c r="AT69" s="14"/>
    </row>
    <row r="70" spans="1:46">
      <c r="A70" s="6" t="s">
        <v>576</v>
      </c>
      <c r="C70" s="6" t="s">
        <v>561</v>
      </c>
      <c r="D70" s="6" t="s">
        <v>562</v>
      </c>
      <c r="E70" s="6" t="s">
        <v>577</v>
      </c>
      <c r="F70" s="14">
        <v>2</v>
      </c>
      <c r="G70" s="14">
        <v>4</v>
      </c>
      <c r="H70" s="14">
        <v>4</v>
      </c>
      <c r="I70" s="14">
        <v>40</v>
      </c>
      <c r="J70" s="86">
        <f t="shared" si="2"/>
        <v>4</v>
      </c>
      <c r="K70" s="86" t="s">
        <v>569</v>
      </c>
      <c r="L70" s="86"/>
      <c r="M70" s="86"/>
      <c r="N70" s="86"/>
      <c r="O70" s="86"/>
      <c r="P70" s="86"/>
      <c r="Q70" s="86"/>
      <c r="R70" s="86">
        <v>50</v>
      </c>
      <c r="S70" s="86" t="s">
        <v>575</v>
      </c>
      <c r="T70" s="86"/>
      <c r="U70" s="86"/>
      <c r="V70" s="14"/>
      <c r="X70" s="14"/>
      <c r="AR70" s="14" t="s">
        <v>437</v>
      </c>
      <c r="AS70" s="14"/>
      <c r="AT70" s="14"/>
    </row>
    <row r="71" spans="1:46">
      <c r="A71" s="6" t="s">
        <v>578</v>
      </c>
      <c r="C71" s="6" t="s">
        <v>579</v>
      </c>
      <c r="D71" s="6" t="s">
        <v>562</v>
      </c>
      <c r="E71" s="6" t="s">
        <v>86</v>
      </c>
      <c r="F71" s="14">
        <v>4</v>
      </c>
      <c r="G71" s="14">
        <v>16</v>
      </c>
      <c r="H71" s="14">
        <v>0</v>
      </c>
      <c r="I71" s="14">
        <v>80</v>
      </c>
      <c r="J71" s="86">
        <f t="shared" si="2"/>
        <v>16</v>
      </c>
      <c r="K71" s="86" t="s">
        <v>580</v>
      </c>
      <c r="L71" s="86"/>
      <c r="M71" s="86"/>
      <c r="N71" s="86"/>
      <c r="O71" s="86"/>
      <c r="P71" s="86"/>
      <c r="Q71" s="86"/>
      <c r="R71" s="86"/>
      <c r="S71" s="86"/>
      <c r="T71" s="86"/>
      <c r="U71" s="86"/>
      <c r="V71" s="14"/>
      <c r="X71" s="14"/>
      <c r="AR71" s="14" t="s">
        <v>437</v>
      </c>
      <c r="AS71" s="14"/>
      <c r="AT71" s="14"/>
    </row>
    <row r="72" spans="1:46" s="19" customFormat="1">
      <c r="A72" s="19" t="s">
        <v>581</v>
      </c>
      <c r="C72" s="19" t="s">
        <v>579</v>
      </c>
      <c r="D72" s="19" t="s">
        <v>562</v>
      </c>
      <c r="E72" s="19" t="s">
        <v>86</v>
      </c>
      <c r="F72" s="17">
        <v>4</v>
      </c>
      <c r="G72" s="17">
        <v>16</v>
      </c>
      <c r="H72" s="17">
        <v>0</v>
      </c>
      <c r="I72" s="17">
        <v>80</v>
      </c>
      <c r="J72" s="17">
        <f t="shared" si="2"/>
        <v>16</v>
      </c>
      <c r="K72" s="39" t="s">
        <v>580</v>
      </c>
      <c r="L72" s="39"/>
      <c r="M72" s="39"/>
      <c r="N72" s="39"/>
      <c r="O72" s="39"/>
      <c r="P72" s="39"/>
      <c r="Q72" s="39"/>
      <c r="R72" s="39"/>
      <c r="S72" s="39"/>
      <c r="T72" s="39"/>
      <c r="U72" s="39"/>
      <c r="V72" s="17"/>
      <c r="W72" s="17"/>
      <c r="X72" s="17"/>
      <c r="AR72" s="17" t="s">
        <v>437</v>
      </c>
      <c r="AS72" s="17"/>
      <c r="AT72" s="17"/>
    </row>
    <row r="73" spans="1:46">
      <c r="F73" s="14">
        <f>F61+SUM(F65:F72)</f>
        <v>234</v>
      </c>
      <c r="G73" s="14">
        <f>G61+SUM(G65:G72)</f>
        <v>548</v>
      </c>
      <c r="H73" s="14">
        <f>H61+SUM(H65:H72)</f>
        <v>158</v>
      </c>
      <c r="I73" s="14">
        <f>I61+SUM(I65:I72)</f>
        <v>6659</v>
      </c>
      <c r="J73" s="14"/>
      <c r="K73" s="14"/>
      <c r="L73" s="14">
        <f>L61+SUM(L65:L72)</f>
        <v>66</v>
      </c>
      <c r="M73" s="14"/>
      <c r="N73" s="14">
        <f>N61+SUM(N65:N72)</f>
        <v>950</v>
      </c>
      <c r="O73" s="14"/>
      <c r="P73" s="14">
        <f>P61+SUM(P65:P72)</f>
        <v>1125</v>
      </c>
      <c r="Q73" s="14"/>
      <c r="R73" s="14">
        <f>R61+SUM(R65:R72)</f>
        <v>510</v>
      </c>
      <c r="S73" s="14"/>
      <c r="T73" s="14">
        <f>T61+SUM(T65:T72)</f>
        <v>300</v>
      </c>
      <c r="U73" s="14"/>
      <c r="V73" s="14">
        <f>V61+SUM(V65:V72)</f>
        <v>0</v>
      </c>
      <c r="X73" s="31">
        <f>X61+SUM(X65:X72)</f>
        <v>3590</v>
      </c>
      <c r="Y73" s="14"/>
      <c r="Z73" s="14">
        <f>Z61+SUM(Z65:Z72)</f>
        <v>100</v>
      </c>
      <c r="AA73" s="14"/>
      <c r="AB73" s="14">
        <f>AB61+SUM(AB65:AB72)</f>
        <v>50</v>
      </c>
      <c r="AC73" s="14"/>
      <c r="AD73" s="14">
        <f>SUM(AD54:AD72)+AD50</f>
        <v>65</v>
      </c>
      <c r="AE73" s="14"/>
      <c r="AF73" s="14">
        <f>SUM(AF54:AF72)+AF50</f>
        <v>200</v>
      </c>
      <c r="AG73" s="14"/>
      <c r="AH73" s="14">
        <f>SUM(AH54:AH72)+AH50</f>
        <v>135</v>
      </c>
      <c r="AI73" s="14"/>
      <c r="AJ73" s="14"/>
      <c r="AK73" s="14"/>
      <c r="AL73" s="14"/>
      <c r="AM73" s="14"/>
      <c r="AN73" s="14">
        <f>AN61+SUM(AN65:AN72)</f>
        <v>2500</v>
      </c>
      <c r="AO73" s="14"/>
      <c r="AP73" s="14">
        <f>AP61+SUM(AP65:AP72)</f>
        <v>150</v>
      </c>
      <c r="AQ73" s="14"/>
      <c r="AR73" s="18">
        <f>COUNTIF(AR65:AR72,"x")+AR61</f>
        <v>51</v>
      </c>
      <c r="AS73" s="18">
        <f>COUNTIF(AS65:AS72,"x")+AS61</f>
        <v>11</v>
      </c>
      <c r="AT73" s="18">
        <f>COUNTIF(AT65:AT72,"x")+AT61</f>
        <v>3</v>
      </c>
    </row>
    <row r="96" spans="2:2" ht="12.95">
      <c r="B96" s="8" t="s">
        <v>602</v>
      </c>
    </row>
    <row r="97" spans="1:9">
      <c r="A97" s="29" t="s">
        <v>607</v>
      </c>
      <c r="B97" s="6">
        <v>750</v>
      </c>
    </row>
    <row r="98" spans="1:9">
      <c r="A98" s="29" t="s">
        <v>631</v>
      </c>
      <c r="B98" s="6">
        <v>1194</v>
      </c>
    </row>
    <row r="101" spans="1:9" ht="12.95">
      <c r="A101" s="100"/>
      <c r="B101" s="101" t="s">
        <v>602</v>
      </c>
      <c r="C101" s="101" t="s">
        <v>603</v>
      </c>
      <c r="D101" s="103" t="s">
        <v>381</v>
      </c>
      <c r="E101" s="103" t="s">
        <v>382</v>
      </c>
      <c r="F101" s="103" t="s">
        <v>202</v>
      </c>
      <c r="G101" s="101" t="s">
        <v>604</v>
      </c>
      <c r="H101" s="103" t="s">
        <v>605</v>
      </c>
      <c r="I101" s="103"/>
    </row>
    <row r="102" spans="1:9">
      <c r="A102" s="102" t="s">
        <v>607</v>
      </c>
      <c r="B102" s="100">
        <v>750</v>
      </c>
      <c r="C102" s="100">
        <v>691.2</v>
      </c>
      <c r="D102" s="100">
        <v>6</v>
      </c>
      <c r="E102" s="100">
        <v>40</v>
      </c>
      <c r="F102" s="100">
        <v>1125</v>
      </c>
      <c r="G102" s="100">
        <v>1036.8</v>
      </c>
      <c r="H102" s="100">
        <v>2800</v>
      </c>
      <c r="I102" s="100"/>
    </row>
    <row r="103" spans="1:9">
      <c r="A103" s="102" t="s">
        <v>608</v>
      </c>
      <c r="B103" s="100">
        <v>2350</v>
      </c>
      <c r="C103" s="100">
        <v>2165.7600000000002</v>
      </c>
      <c r="D103" s="100">
        <v>11</v>
      </c>
      <c r="E103" s="100">
        <v>70</v>
      </c>
      <c r="F103" s="100">
        <v>2550</v>
      </c>
      <c r="G103" s="100">
        <v>2350.08</v>
      </c>
      <c r="H103" s="100">
        <v>7050</v>
      </c>
      <c r="I103" s="100"/>
    </row>
  </sheetData>
  <mergeCells count="7">
    <mergeCell ref="A35:B35"/>
    <mergeCell ref="A6:B6"/>
    <mergeCell ref="A2:B2"/>
    <mergeCell ref="A3:B3"/>
    <mergeCell ref="F3:G3"/>
    <mergeCell ref="A4:B4"/>
    <mergeCell ref="A5:B5"/>
  </mergeCells>
  <dataValidations count="1">
    <dataValidation type="list" allowBlank="1" showInputMessage="1" showErrorMessage="1" sqref="N10" xr:uid="{DC92155C-9432-40B8-A60F-F13833DDC815}">
      <formula1>$B$102:$B$103</formula1>
    </dataValidation>
  </dataValidations>
  <hyperlinks>
    <hyperlink ref="F3:G3" location="Shortcuts!A1" display="Back to shortcuts" xr:uid="{160E89B9-732D-45CD-A02B-3DD39658DD23}"/>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0B3F6-1D7C-4D83-976F-BC10A3C23DF6}">
  <dimension ref="A1:BY95"/>
  <sheetViews>
    <sheetView topLeftCell="BA7" zoomScale="83" zoomScaleNormal="83" zoomScalePageLayoutView="70" workbookViewId="0">
      <selection activeCell="BN38" sqref="BN38"/>
    </sheetView>
  </sheetViews>
  <sheetFormatPr defaultColWidth="8.85546875" defaultRowHeight="12.6"/>
  <cols>
    <col min="1" max="1" width="8.85546875" style="6"/>
    <col min="2" max="2" width="21.140625" style="6" customWidth="1"/>
    <col min="3" max="3" width="23.140625" style="6" customWidth="1"/>
    <col min="4" max="4" width="36.42578125" style="6" customWidth="1"/>
    <col min="5" max="5" width="28.5703125" style="14" customWidth="1"/>
    <col min="6" max="6" width="15.5703125" style="6" customWidth="1"/>
    <col min="7" max="7" width="8.85546875" style="6"/>
    <col min="8" max="8" width="8.140625" style="6" customWidth="1"/>
    <col min="9" max="9" width="6.85546875" style="6" bestFit="1" customWidth="1"/>
    <col min="10" max="10" width="6.140625" style="6" customWidth="1"/>
    <col min="11" max="11" width="15.140625" style="6" customWidth="1"/>
    <col min="12" max="12" width="7.140625" style="6" customWidth="1"/>
    <col min="13" max="13" width="8.85546875" style="6"/>
    <col min="14" max="14" width="6.140625" style="6" customWidth="1"/>
    <col min="15" max="15" width="15.85546875" style="6" customWidth="1"/>
    <col min="16" max="16" width="6.85546875" style="6" customWidth="1"/>
    <col min="17" max="17" width="8.85546875" style="6"/>
    <col min="18" max="18" width="6.140625" style="6" customWidth="1"/>
    <col min="19" max="19" width="15.140625" style="6" customWidth="1"/>
    <col min="20" max="20" width="6.85546875" style="6" customWidth="1"/>
    <col min="21" max="21" width="8.85546875" style="6"/>
    <col min="22" max="22" width="6.140625" style="6" customWidth="1"/>
    <col min="23" max="23" width="11.140625" style="6" customWidth="1"/>
    <col min="24" max="24" width="6.85546875" style="6" customWidth="1"/>
    <col min="25" max="25" width="8.85546875" style="6"/>
    <col min="26" max="26" width="6.140625" style="6" customWidth="1"/>
    <col min="27" max="27" width="15.140625" style="6" customWidth="1"/>
    <col min="28" max="28" width="6.85546875" style="6" customWidth="1"/>
    <col min="29" max="29" width="10" style="6" customWidth="1"/>
    <col min="30" max="30" width="6.140625" style="6" customWidth="1"/>
    <col min="31" max="31" width="15.140625" style="6" customWidth="1"/>
    <col min="32" max="32" width="6.85546875" style="6" customWidth="1"/>
    <col min="33" max="33" width="8.85546875" style="6"/>
    <col min="34" max="34" width="6.140625" style="6" customWidth="1"/>
    <col min="35" max="35" width="11.140625" style="6" customWidth="1"/>
    <col min="36" max="36" width="6.85546875" style="6" customWidth="1"/>
    <col min="37" max="37" width="7.140625" style="6" customWidth="1"/>
    <col min="38" max="38" width="6.140625" style="6" customWidth="1"/>
    <col min="39" max="39" width="15.140625" style="6" customWidth="1"/>
    <col min="40" max="40" width="6.85546875" style="6" customWidth="1"/>
    <col min="41" max="41" width="8.140625" style="6" customWidth="1"/>
    <col min="42" max="42" width="6.140625" style="6" customWidth="1"/>
    <col min="43" max="43" width="15.140625" style="6" customWidth="1"/>
    <col min="44" max="45" width="6.85546875" style="6" customWidth="1"/>
    <col min="46" max="46" width="6" style="6" bestFit="1" customWidth="1"/>
    <col min="47" max="47" width="10.42578125" style="6" bestFit="1" customWidth="1"/>
    <col min="48" max="48" width="6.85546875" style="6" customWidth="1"/>
    <col min="49" max="49" width="9.85546875" style="6" customWidth="1"/>
    <col min="50" max="50" width="8.140625" style="6" customWidth="1"/>
    <col min="51" max="51" width="11" style="6" customWidth="1"/>
    <col min="52" max="54" width="6.85546875" style="6" customWidth="1"/>
    <col min="55" max="55" width="10.42578125" style="6" customWidth="1"/>
    <col min="56" max="56" width="6.85546875" style="6" customWidth="1"/>
    <col min="57" max="57" width="9.85546875" style="6" customWidth="1"/>
    <col min="58" max="58" width="6.85546875" style="6" customWidth="1"/>
    <col min="59" max="59" width="14.85546875" style="6" customWidth="1"/>
    <col min="60" max="62" width="6.85546875" style="6" customWidth="1"/>
    <col min="63" max="63" width="12.140625" style="6" customWidth="1"/>
    <col min="64" max="64" width="6.85546875" style="6" customWidth="1"/>
    <col min="65" max="65" width="9.85546875" style="6" customWidth="1"/>
    <col min="66" max="66" width="12.140625" style="6" customWidth="1"/>
    <col min="67" max="69" width="13.140625" style="6" customWidth="1"/>
    <col min="70" max="70" width="18.140625" style="6" customWidth="1"/>
    <col min="71" max="71" width="17.140625" style="6" customWidth="1"/>
    <col min="72" max="72" width="18.5703125" style="6" customWidth="1"/>
    <col min="73" max="74" width="13.140625" style="6" customWidth="1"/>
    <col min="75" max="75" width="22.85546875" style="6" customWidth="1"/>
    <col min="76" max="77" width="17.5703125" style="6" customWidth="1"/>
    <col min="78" max="85" width="8.85546875" style="6"/>
    <col min="86" max="86" width="11.140625" style="6" customWidth="1"/>
    <col min="87" max="16384" width="8.85546875" style="6"/>
  </cols>
  <sheetData>
    <row r="1" spans="1:77" ht="12.95">
      <c r="A1" s="189" t="s">
        <v>38</v>
      </c>
      <c r="B1" s="189"/>
      <c r="C1" s="189"/>
      <c r="D1" s="190"/>
      <c r="F1" s="7" t="s">
        <v>722</v>
      </c>
    </row>
    <row r="2" spans="1:77" ht="14.45">
      <c r="A2" s="171" t="s">
        <v>410</v>
      </c>
      <c r="B2" s="172"/>
    </row>
    <row r="3" spans="1:77" ht="14.45">
      <c r="A3" s="171" t="s">
        <v>412</v>
      </c>
      <c r="B3" s="171"/>
      <c r="C3" s="114"/>
      <c r="D3" s="6" t="s">
        <v>518</v>
      </c>
      <c r="F3" s="173" t="s">
        <v>413</v>
      </c>
      <c r="G3" s="173"/>
    </row>
    <row r="4" spans="1:77">
      <c r="A4" s="171" t="s">
        <v>414</v>
      </c>
      <c r="B4" s="171"/>
      <c r="D4" s="36" t="s">
        <v>720</v>
      </c>
    </row>
    <row r="5" spans="1:77">
      <c r="A5" s="171" t="s">
        <v>415</v>
      </c>
      <c r="B5" s="171"/>
    </row>
    <row r="6" spans="1:77">
      <c r="A6" s="171" t="s">
        <v>416</v>
      </c>
      <c r="B6" s="171"/>
    </row>
    <row r="7" spans="1:77" ht="51.95">
      <c r="A7" s="9" t="s">
        <v>174</v>
      </c>
      <c r="B7" s="9" t="s">
        <v>417</v>
      </c>
      <c r="C7" s="9" t="s">
        <v>419</v>
      </c>
      <c r="D7" s="9" t="s">
        <v>420</v>
      </c>
      <c r="E7" s="8" t="s">
        <v>723</v>
      </c>
      <c r="F7" s="8" t="s">
        <v>157</v>
      </c>
      <c r="G7" s="8" t="s">
        <v>173</v>
      </c>
      <c r="H7" s="8" t="s">
        <v>724</v>
      </c>
      <c r="I7" s="8" t="s">
        <v>422</v>
      </c>
      <c r="J7" s="8" t="s">
        <v>725</v>
      </c>
      <c r="K7" s="8" t="s">
        <v>726</v>
      </c>
      <c r="L7" s="8" t="s">
        <v>727</v>
      </c>
      <c r="M7" s="8" t="s">
        <v>198</v>
      </c>
      <c r="N7" s="8" t="s">
        <v>725</v>
      </c>
      <c r="O7" s="8" t="s">
        <v>726</v>
      </c>
      <c r="P7" s="8" t="s">
        <v>727</v>
      </c>
      <c r="Q7" s="8" t="s">
        <v>53</v>
      </c>
      <c r="R7" s="8" t="s">
        <v>725</v>
      </c>
      <c r="S7" s="8" t="s">
        <v>726</v>
      </c>
      <c r="T7" s="8" t="s">
        <v>727</v>
      </c>
      <c r="U7" s="8" t="s">
        <v>202</v>
      </c>
      <c r="V7" s="8" t="s">
        <v>725</v>
      </c>
      <c r="W7" s="8" t="s">
        <v>726</v>
      </c>
      <c r="X7" s="8" t="s">
        <v>727</v>
      </c>
      <c r="Y7" s="8" t="s">
        <v>217</v>
      </c>
      <c r="Z7" s="8" t="s">
        <v>725</v>
      </c>
      <c r="AA7" s="8" t="s">
        <v>726</v>
      </c>
      <c r="AB7" s="8" t="s">
        <v>727</v>
      </c>
      <c r="AC7" s="8" t="s">
        <v>222</v>
      </c>
      <c r="AD7" s="8" t="s">
        <v>725</v>
      </c>
      <c r="AE7" s="8" t="s">
        <v>726</v>
      </c>
      <c r="AF7" s="8" t="s">
        <v>727</v>
      </c>
      <c r="AG7" s="8" t="s">
        <v>206</v>
      </c>
      <c r="AH7" s="8" t="s">
        <v>725</v>
      </c>
      <c r="AI7" s="8" t="s">
        <v>726</v>
      </c>
      <c r="AJ7" s="8" t="s">
        <v>727</v>
      </c>
      <c r="AK7" s="8" t="s">
        <v>721</v>
      </c>
      <c r="AL7" s="8" t="s">
        <v>725</v>
      </c>
      <c r="AM7" s="8" t="s">
        <v>726</v>
      </c>
      <c r="AN7" s="8" t="s">
        <v>727</v>
      </c>
      <c r="AO7" s="83" t="s">
        <v>728</v>
      </c>
      <c r="AP7" s="8" t="s">
        <v>725</v>
      </c>
      <c r="AQ7" s="8" t="s">
        <v>726</v>
      </c>
      <c r="AR7" s="8" t="s">
        <v>727</v>
      </c>
      <c r="AS7" s="83" t="s">
        <v>235</v>
      </c>
      <c r="AT7" s="8" t="s">
        <v>725</v>
      </c>
      <c r="AU7" s="8" t="s">
        <v>726</v>
      </c>
      <c r="AV7" s="8" t="s">
        <v>727</v>
      </c>
      <c r="AW7" s="83" t="s">
        <v>428</v>
      </c>
      <c r="AX7" s="8" t="s">
        <v>725</v>
      </c>
      <c r="AY7" s="8" t="s">
        <v>726</v>
      </c>
      <c r="AZ7" s="8" t="s">
        <v>727</v>
      </c>
      <c r="BA7" s="83" t="s">
        <v>729</v>
      </c>
      <c r="BB7" s="8" t="s">
        <v>725</v>
      </c>
      <c r="BC7" s="8" t="s">
        <v>726</v>
      </c>
      <c r="BD7" s="8" t="s">
        <v>727</v>
      </c>
      <c r="BE7" s="83" t="s">
        <v>730</v>
      </c>
      <c r="BF7" s="8" t="s">
        <v>725</v>
      </c>
      <c r="BG7" s="8" t="s">
        <v>726</v>
      </c>
      <c r="BH7" s="8" t="s">
        <v>727</v>
      </c>
      <c r="BI7" s="8" t="s">
        <v>477</v>
      </c>
      <c r="BJ7" s="8" t="s">
        <v>725</v>
      </c>
      <c r="BK7" s="8" t="s">
        <v>731</v>
      </c>
      <c r="BL7" s="8" t="s">
        <v>727</v>
      </c>
      <c r="BM7" s="8" t="s">
        <v>219</v>
      </c>
      <c r="BN7" s="8" t="s">
        <v>732</v>
      </c>
      <c r="BO7" s="8" t="s">
        <v>433</v>
      </c>
      <c r="BP7" s="8" t="s">
        <v>733</v>
      </c>
      <c r="BQ7" s="8" t="s">
        <v>734</v>
      </c>
      <c r="BR7" s="8" t="s">
        <v>735</v>
      </c>
      <c r="BS7" s="8" t="s">
        <v>736</v>
      </c>
      <c r="BT7" s="83" t="s">
        <v>737</v>
      </c>
      <c r="BU7" s="8" t="s">
        <v>738</v>
      </c>
      <c r="BV7" s="8" t="s">
        <v>739</v>
      </c>
      <c r="BW7" s="8" t="s">
        <v>740</v>
      </c>
      <c r="BX7" s="8" t="s">
        <v>741</v>
      </c>
      <c r="BY7" s="10"/>
    </row>
    <row r="8" spans="1:77" ht="12.95">
      <c r="A8" s="21" t="s">
        <v>742</v>
      </c>
      <c r="C8" s="6" t="s">
        <v>435</v>
      </c>
      <c r="D8" s="6" t="s">
        <v>743</v>
      </c>
      <c r="E8" s="14" t="s">
        <v>744</v>
      </c>
      <c r="F8" s="14">
        <v>4</v>
      </c>
      <c r="G8" s="14">
        <v>8</v>
      </c>
      <c r="H8" s="62">
        <v>50</v>
      </c>
      <c r="I8" s="31">
        <v>0</v>
      </c>
      <c r="J8" s="14" t="s">
        <v>745</v>
      </c>
      <c r="K8" s="6" t="s">
        <v>746</v>
      </c>
      <c r="L8" s="14">
        <v>4.7</v>
      </c>
      <c r="M8" s="14"/>
      <c r="N8" s="14"/>
      <c r="P8" s="14"/>
      <c r="Q8" s="14"/>
      <c r="R8" s="14"/>
      <c r="S8" s="14"/>
      <c r="T8" s="14"/>
      <c r="U8" s="14"/>
      <c r="V8" s="14"/>
      <c r="W8" s="14"/>
      <c r="X8" s="14"/>
      <c r="Y8" s="14"/>
      <c r="Z8" s="14"/>
      <c r="AA8" s="14"/>
      <c r="AB8" s="14"/>
      <c r="AC8" s="14"/>
      <c r="AD8" s="14"/>
      <c r="AE8" s="14"/>
      <c r="AF8" s="14"/>
      <c r="AG8" s="62">
        <v>0</v>
      </c>
      <c r="AH8" s="14" t="s">
        <v>742</v>
      </c>
      <c r="AI8" s="14"/>
      <c r="AJ8" s="14" t="s">
        <v>742</v>
      </c>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v>1</v>
      </c>
      <c r="BN8" s="14"/>
      <c r="BO8" s="14"/>
      <c r="BP8" s="14" t="s">
        <v>437</v>
      </c>
      <c r="BQ8" s="14">
        <v>2</v>
      </c>
      <c r="BR8" s="14" t="s">
        <v>437</v>
      </c>
      <c r="BS8" s="14"/>
      <c r="BT8" s="14"/>
      <c r="BU8" s="14"/>
      <c r="BV8" s="14"/>
      <c r="BW8" s="14"/>
      <c r="BX8" s="14"/>
      <c r="BY8" s="10"/>
    </row>
    <row r="9" spans="1:77" ht="12.95">
      <c r="A9" s="6" t="s">
        <v>434</v>
      </c>
      <c r="C9" s="6" t="s">
        <v>435</v>
      </c>
      <c r="D9" s="6" t="s">
        <v>42</v>
      </c>
      <c r="E9" s="14" t="s">
        <v>747</v>
      </c>
      <c r="F9" s="14">
        <v>4</v>
      </c>
      <c r="G9" s="14">
        <v>8</v>
      </c>
      <c r="H9" s="62">
        <v>350</v>
      </c>
      <c r="I9" s="31">
        <v>4</v>
      </c>
      <c r="J9" s="14" t="s">
        <v>748</v>
      </c>
      <c r="K9" s="6" t="s">
        <v>746</v>
      </c>
      <c r="L9" s="14">
        <v>5.9</v>
      </c>
      <c r="M9" s="14"/>
      <c r="N9" s="14"/>
      <c r="O9" s="14"/>
      <c r="P9" s="14"/>
      <c r="Q9" s="14"/>
      <c r="R9" s="14"/>
      <c r="S9" s="14"/>
      <c r="T9" s="14"/>
      <c r="U9" s="14"/>
      <c r="V9" s="14"/>
      <c r="W9" s="14"/>
      <c r="X9" s="14"/>
      <c r="Y9" s="14"/>
      <c r="Z9" s="14"/>
      <c r="AA9" s="14"/>
      <c r="AB9" s="14"/>
      <c r="AC9" s="14"/>
      <c r="AD9" s="14"/>
      <c r="AE9" s="14"/>
      <c r="AF9" s="14"/>
      <c r="AG9" s="62">
        <f>2*H9</f>
        <v>700</v>
      </c>
      <c r="AH9" s="14" t="s">
        <v>748</v>
      </c>
      <c r="AI9" s="6" t="s">
        <v>746</v>
      </c>
      <c r="AJ9" s="14" t="s">
        <v>742</v>
      </c>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v>2</v>
      </c>
      <c r="BN9" s="14" t="s">
        <v>437</v>
      </c>
      <c r="BO9" s="14"/>
      <c r="BP9" s="14"/>
      <c r="BQ9" s="14">
        <v>2</v>
      </c>
      <c r="BR9" s="14"/>
      <c r="BS9" s="14"/>
      <c r="BT9" s="14" t="s">
        <v>437</v>
      </c>
      <c r="BU9" s="14"/>
      <c r="BV9" s="14"/>
      <c r="BW9" s="14"/>
      <c r="BX9" s="14"/>
      <c r="BY9" s="10"/>
    </row>
    <row r="10" spans="1:77">
      <c r="A10" s="6" t="s">
        <v>440</v>
      </c>
      <c r="B10" s="14" t="s">
        <v>441</v>
      </c>
      <c r="C10" s="6" t="s">
        <v>435</v>
      </c>
      <c r="D10" s="6" t="s">
        <v>443</v>
      </c>
      <c r="E10" s="14" t="s">
        <v>749</v>
      </c>
      <c r="F10" s="14">
        <v>4</v>
      </c>
      <c r="G10" s="14">
        <v>6</v>
      </c>
      <c r="H10" s="62">
        <v>40</v>
      </c>
      <c r="I10" s="31">
        <v>4</v>
      </c>
      <c r="J10" s="14" t="s">
        <v>748</v>
      </c>
      <c r="K10" s="6" t="s">
        <v>746</v>
      </c>
      <c r="L10" s="14">
        <v>2.6</v>
      </c>
      <c r="M10" s="14"/>
      <c r="N10" s="14"/>
      <c r="O10" s="14"/>
      <c r="P10" s="14"/>
      <c r="Q10" s="14"/>
      <c r="R10" s="14"/>
      <c r="S10" s="14"/>
      <c r="T10" s="14"/>
      <c r="U10" s="14"/>
      <c r="V10" s="14"/>
      <c r="W10" s="14"/>
      <c r="X10" s="14"/>
      <c r="Y10" s="14"/>
      <c r="Z10" s="14"/>
      <c r="AA10" s="14"/>
      <c r="AB10" s="14"/>
      <c r="AC10" s="14"/>
      <c r="AD10" s="14"/>
      <c r="AE10" s="14"/>
      <c r="AF10" s="14"/>
      <c r="AG10" s="62">
        <f>2*H10</f>
        <v>80</v>
      </c>
      <c r="AH10" s="14" t="s">
        <v>748</v>
      </c>
      <c r="AI10" s="6" t="s">
        <v>746</v>
      </c>
      <c r="AJ10" s="14" t="s">
        <v>742</v>
      </c>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v>2</v>
      </c>
      <c r="BN10" s="14" t="s">
        <v>437</v>
      </c>
      <c r="BO10" s="14"/>
      <c r="BP10" s="14"/>
      <c r="BQ10" s="14">
        <v>2</v>
      </c>
      <c r="BR10" s="14"/>
      <c r="BS10" s="14"/>
      <c r="BT10" s="14" t="s">
        <v>437</v>
      </c>
      <c r="BU10" s="14"/>
      <c r="BV10" s="14"/>
      <c r="BW10" s="14"/>
    </row>
    <row r="11" spans="1:77">
      <c r="A11" s="6" t="s">
        <v>444</v>
      </c>
      <c r="B11" s="14"/>
      <c r="C11" s="6" t="s">
        <v>435</v>
      </c>
      <c r="D11" s="6" t="s">
        <v>53</v>
      </c>
      <c r="E11" s="14" t="s">
        <v>750</v>
      </c>
      <c r="F11" s="104">
        <f>VLOOKUP(Q11,B94:F95,2,FALSE)</f>
        <v>6</v>
      </c>
      <c r="G11" s="104">
        <f>VLOOKUP(Q11,B94:F95,3,FALSE)</f>
        <v>40</v>
      </c>
      <c r="H11" s="62">
        <v>95</v>
      </c>
      <c r="I11" s="31">
        <v>16</v>
      </c>
      <c r="J11" s="14" t="s">
        <v>748</v>
      </c>
      <c r="K11" s="6" t="s">
        <v>746</v>
      </c>
      <c r="L11" s="14">
        <v>2.6</v>
      </c>
      <c r="M11" s="62">
        <v>59.4</v>
      </c>
      <c r="N11" s="14" t="s">
        <v>748</v>
      </c>
      <c r="O11" s="6" t="s">
        <v>751</v>
      </c>
      <c r="P11" s="14">
        <f>50/1000</f>
        <v>0.05</v>
      </c>
      <c r="Q11" s="125">
        <v>675</v>
      </c>
      <c r="R11" s="14" t="s">
        <v>748</v>
      </c>
      <c r="S11" s="6" t="s">
        <v>751</v>
      </c>
      <c r="T11" s="14">
        <f>50/1000</f>
        <v>0.05</v>
      </c>
      <c r="U11" s="125">
        <f>VLOOKUP(Q11,B94:F95,4,FALSE)</f>
        <v>1012.5</v>
      </c>
      <c r="V11" s="14" t="s">
        <v>748</v>
      </c>
      <c r="W11" s="6" t="s">
        <v>746</v>
      </c>
      <c r="X11" s="14">
        <f>50/1000</f>
        <v>0.05</v>
      </c>
      <c r="Y11" s="14"/>
      <c r="Z11" s="14"/>
      <c r="AA11" s="14"/>
      <c r="AB11" s="14"/>
      <c r="AC11" s="14"/>
      <c r="AD11" s="14"/>
      <c r="AE11" s="14"/>
      <c r="AF11" s="14"/>
      <c r="AG11" s="125">
        <f>2*H11+VLOOKUP(Q11,B94:F95,5,FALSE)</f>
        <v>2710</v>
      </c>
      <c r="AH11" s="14" t="s">
        <v>748</v>
      </c>
      <c r="AI11" s="6" t="s">
        <v>746</v>
      </c>
      <c r="AJ11" s="14" t="s">
        <v>742</v>
      </c>
      <c r="AK11" s="14"/>
      <c r="AL11" s="14"/>
      <c r="AM11" s="14"/>
      <c r="AN11" s="14"/>
      <c r="AO11" s="14"/>
      <c r="AP11" s="14"/>
      <c r="AQ11" s="14"/>
      <c r="AR11" s="14"/>
      <c r="AS11" s="14"/>
      <c r="AT11" s="14"/>
      <c r="AU11" s="14"/>
      <c r="AV11" s="14"/>
      <c r="AW11" s="14"/>
      <c r="AX11" s="14"/>
      <c r="AY11" s="14"/>
      <c r="AZ11" s="14"/>
      <c r="BA11" s="14"/>
      <c r="BB11" s="14"/>
      <c r="BC11" s="14"/>
      <c r="BD11" s="14"/>
      <c r="BE11" s="14">
        <v>2048</v>
      </c>
      <c r="BF11" s="14" t="s">
        <v>748</v>
      </c>
      <c r="BG11" s="6" t="s">
        <v>746</v>
      </c>
      <c r="BH11" s="14">
        <f>50/1000</f>
        <v>0.05</v>
      </c>
      <c r="BI11" s="14"/>
      <c r="BJ11" s="14"/>
      <c r="BK11" s="14"/>
      <c r="BL11" s="14"/>
      <c r="BM11" s="14">
        <v>6</v>
      </c>
      <c r="BN11" s="14" t="s">
        <v>437</v>
      </c>
      <c r="BO11" s="14"/>
      <c r="BP11" s="14"/>
      <c r="BQ11" s="14">
        <v>2</v>
      </c>
      <c r="BR11" s="14"/>
      <c r="BS11" s="14"/>
      <c r="BT11" s="14" t="s">
        <v>437</v>
      </c>
      <c r="BU11" s="14"/>
      <c r="BV11" s="14"/>
      <c r="BW11" s="14"/>
    </row>
    <row r="12" spans="1:77">
      <c r="A12" s="6" t="s">
        <v>448</v>
      </c>
      <c r="B12" s="14" t="s">
        <v>441</v>
      </c>
      <c r="C12" s="6" t="s">
        <v>435</v>
      </c>
      <c r="D12" s="6" t="s">
        <v>57</v>
      </c>
      <c r="E12" s="14" t="s">
        <v>752</v>
      </c>
      <c r="F12" s="14">
        <v>3</v>
      </c>
      <c r="G12" s="14">
        <v>7</v>
      </c>
      <c r="H12" s="62">
        <v>45</v>
      </c>
      <c r="I12" s="31">
        <v>4</v>
      </c>
      <c r="J12" s="14" t="s">
        <v>748</v>
      </c>
      <c r="K12" s="6" t="s">
        <v>746</v>
      </c>
      <c r="L12" s="14">
        <v>2.6</v>
      </c>
      <c r="M12" s="14"/>
      <c r="N12" s="14"/>
      <c r="O12" s="14"/>
      <c r="P12" s="14"/>
      <c r="Q12" s="14"/>
      <c r="R12" s="14"/>
      <c r="S12" s="14"/>
      <c r="T12" s="14"/>
      <c r="U12" s="14"/>
      <c r="V12" s="14"/>
      <c r="W12" s="14"/>
      <c r="X12" s="14"/>
      <c r="Y12" s="62">
        <v>312</v>
      </c>
      <c r="Z12" s="14" t="s">
        <v>748</v>
      </c>
      <c r="AA12" s="6" t="s">
        <v>746</v>
      </c>
      <c r="AB12" s="14">
        <v>0.1</v>
      </c>
      <c r="AC12" s="14">
        <v>270</v>
      </c>
      <c r="AD12" s="14" t="s">
        <v>748</v>
      </c>
      <c r="AE12" s="6" t="s">
        <v>746</v>
      </c>
      <c r="AF12" s="14" t="s">
        <v>742</v>
      </c>
      <c r="AG12" s="62">
        <v>405</v>
      </c>
      <c r="AH12" s="14" t="s">
        <v>748</v>
      </c>
      <c r="AI12" s="6" t="s">
        <v>746</v>
      </c>
      <c r="AJ12" s="14" t="s">
        <v>742</v>
      </c>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v>4</v>
      </c>
      <c r="BN12" s="14" t="s">
        <v>437</v>
      </c>
      <c r="BO12" s="14"/>
      <c r="BP12" s="14"/>
      <c r="BQ12" s="14">
        <v>2</v>
      </c>
      <c r="BR12" s="14"/>
      <c r="BS12" s="14"/>
      <c r="BT12" s="14" t="s">
        <v>437</v>
      </c>
      <c r="BU12" s="14"/>
      <c r="BV12" s="14"/>
      <c r="BW12" s="14"/>
    </row>
    <row r="13" spans="1:77">
      <c r="A13" s="6" t="s">
        <v>450</v>
      </c>
      <c r="B13" s="14"/>
      <c r="C13" s="6" t="s">
        <v>435</v>
      </c>
      <c r="D13" s="6" t="s">
        <v>61</v>
      </c>
      <c r="E13" s="14" t="s">
        <v>753</v>
      </c>
      <c r="F13" s="14">
        <v>4</v>
      </c>
      <c r="G13" s="14">
        <v>4</v>
      </c>
      <c r="H13" s="62">
        <v>30</v>
      </c>
      <c r="I13" s="31">
        <v>4</v>
      </c>
      <c r="J13" s="14" t="s">
        <v>748</v>
      </c>
      <c r="K13" s="6" t="s">
        <v>746</v>
      </c>
      <c r="L13" s="14">
        <v>2.6</v>
      </c>
      <c r="M13" s="62"/>
      <c r="N13" s="14"/>
      <c r="O13" s="14"/>
      <c r="P13" s="14"/>
      <c r="Q13" s="14"/>
      <c r="R13" s="14"/>
      <c r="S13" s="14"/>
      <c r="T13" s="14"/>
      <c r="U13" s="14"/>
      <c r="V13" s="14"/>
      <c r="W13" s="14"/>
      <c r="X13" s="14"/>
      <c r="Y13" s="14"/>
      <c r="Z13" s="14"/>
      <c r="AA13" s="14"/>
      <c r="AB13" s="14"/>
      <c r="AC13" s="14"/>
      <c r="AD13" s="14"/>
      <c r="AE13" s="14"/>
      <c r="AF13" s="14"/>
      <c r="AG13" s="62">
        <f t="shared" ref="AG13:AG18" si="0">2*H13</f>
        <v>60</v>
      </c>
      <c r="AH13" s="14" t="s">
        <v>748</v>
      </c>
      <c r="AI13" s="6" t="s">
        <v>746</v>
      </c>
      <c r="AJ13" s="14" t="s">
        <v>742</v>
      </c>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v>2</v>
      </c>
      <c r="BN13" s="14" t="s">
        <v>437</v>
      </c>
      <c r="BO13" s="14" t="s">
        <v>437</v>
      </c>
      <c r="BP13" s="14"/>
      <c r="BQ13" s="14">
        <v>2</v>
      </c>
      <c r="BR13" s="14"/>
      <c r="BS13" s="14"/>
      <c r="BT13" s="14" t="s">
        <v>437</v>
      </c>
      <c r="BU13" s="14"/>
      <c r="BV13" s="14"/>
      <c r="BW13" s="14"/>
    </row>
    <row r="14" spans="1:77">
      <c r="A14" s="6" t="s">
        <v>451</v>
      </c>
      <c r="B14" s="14"/>
      <c r="C14" s="6" t="s">
        <v>435</v>
      </c>
      <c r="D14" s="6" t="s">
        <v>65</v>
      </c>
      <c r="E14" s="14" t="s">
        <v>754</v>
      </c>
      <c r="F14" s="14">
        <v>2</v>
      </c>
      <c r="G14" s="14">
        <v>3</v>
      </c>
      <c r="H14" s="62">
        <v>30</v>
      </c>
      <c r="I14" s="31">
        <v>4</v>
      </c>
      <c r="J14" s="14" t="s">
        <v>748</v>
      </c>
      <c r="K14" s="6" t="s">
        <v>746</v>
      </c>
      <c r="L14" s="14">
        <v>2.6</v>
      </c>
      <c r="M14" s="14"/>
      <c r="N14" s="14"/>
      <c r="O14" s="14"/>
      <c r="P14" s="14"/>
      <c r="Q14" s="14"/>
      <c r="R14" s="14"/>
      <c r="S14" s="14"/>
      <c r="T14" s="14"/>
      <c r="U14" s="14"/>
      <c r="V14" s="14"/>
      <c r="W14" s="14"/>
      <c r="X14" s="14"/>
      <c r="Y14" s="14"/>
      <c r="Z14" s="14"/>
      <c r="AA14" s="14"/>
      <c r="AB14" s="14"/>
      <c r="AC14" s="14"/>
      <c r="AD14" s="14"/>
      <c r="AE14" s="14"/>
      <c r="AF14" s="14"/>
      <c r="AG14" s="62">
        <f t="shared" si="0"/>
        <v>60</v>
      </c>
      <c r="AH14" s="14" t="s">
        <v>748</v>
      </c>
      <c r="AI14" s="6" t="s">
        <v>746</v>
      </c>
      <c r="AJ14" s="14" t="s">
        <v>742</v>
      </c>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v>2</v>
      </c>
      <c r="BN14" s="14" t="s">
        <v>437</v>
      </c>
      <c r="BO14" s="14"/>
      <c r="BP14" s="14"/>
      <c r="BQ14" s="14">
        <v>2</v>
      </c>
      <c r="BR14" s="14"/>
      <c r="BS14" s="14"/>
      <c r="BT14" s="14" t="s">
        <v>437</v>
      </c>
      <c r="BU14" s="14"/>
      <c r="BV14" s="14"/>
      <c r="BW14" s="14"/>
    </row>
    <row r="15" spans="1:77">
      <c r="A15" s="6" t="s">
        <v>452</v>
      </c>
      <c r="B15" s="14"/>
      <c r="C15" s="6" t="s">
        <v>435</v>
      </c>
      <c r="D15" s="6" t="s">
        <v>453</v>
      </c>
      <c r="E15" s="14" t="s">
        <v>755</v>
      </c>
      <c r="F15" s="14">
        <v>3</v>
      </c>
      <c r="G15" s="14">
        <v>6</v>
      </c>
      <c r="H15" s="62">
        <v>60</v>
      </c>
      <c r="I15" s="31">
        <v>4</v>
      </c>
      <c r="J15" s="14" t="s">
        <v>748</v>
      </c>
      <c r="K15" s="6" t="s">
        <v>746</v>
      </c>
      <c r="L15" s="14">
        <v>2.6</v>
      </c>
      <c r="M15" s="14"/>
      <c r="N15" s="14"/>
      <c r="O15" s="14"/>
      <c r="P15" s="14"/>
      <c r="Q15" s="14"/>
      <c r="R15" s="14"/>
      <c r="S15" s="14"/>
      <c r="T15" s="14"/>
      <c r="U15" s="14"/>
      <c r="V15" s="14"/>
      <c r="W15" s="14"/>
      <c r="X15" s="14"/>
      <c r="Y15" s="14"/>
      <c r="Z15" s="14"/>
      <c r="AA15" s="14"/>
      <c r="AB15" s="14"/>
      <c r="AC15" s="14"/>
      <c r="AD15" s="14"/>
      <c r="AE15" s="14"/>
      <c r="AF15" s="14"/>
      <c r="AG15" s="62">
        <f t="shared" si="0"/>
        <v>120</v>
      </c>
      <c r="AH15" s="14" t="s">
        <v>748</v>
      </c>
      <c r="AI15" s="6" t="s">
        <v>746</v>
      </c>
      <c r="AJ15" s="14" t="s">
        <v>742</v>
      </c>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v>2</v>
      </c>
      <c r="BN15" s="14" t="s">
        <v>437</v>
      </c>
      <c r="BO15" s="14"/>
      <c r="BP15" s="14"/>
      <c r="BQ15" s="14">
        <v>2</v>
      </c>
      <c r="BR15" s="14"/>
      <c r="BS15" s="14"/>
      <c r="BT15" s="14" t="s">
        <v>437</v>
      </c>
      <c r="BU15" s="14"/>
      <c r="BV15" s="14"/>
      <c r="BW15" s="14"/>
    </row>
    <row r="16" spans="1:77">
      <c r="A16" s="6" t="s">
        <v>454</v>
      </c>
      <c r="B16" s="14"/>
      <c r="C16" s="6" t="s">
        <v>435</v>
      </c>
      <c r="D16" s="6" t="s">
        <v>455</v>
      </c>
      <c r="E16" s="14" t="s">
        <v>756</v>
      </c>
      <c r="F16" s="14">
        <v>3</v>
      </c>
      <c r="G16" s="14">
        <v>4</v>
      </c>
      <c r="H16" s="62">
        <v>55</v>
      </c>
      <c r="I16" s="31">
        <v>4</v>
      </c>
      <c r="J16" s="14" t="s">
        <v>748</v>
      </c>
      <c r="K16" s="6" t="s">
        <v>746</v>
      </c>
      <c r="L16" s="14">
        <v>2.6</v>
      </c>
      <c r="M16" s="14"/>
      <c r="N16" s="14"/>
      <c r="O16" s="14"/>
      <c r="P16" s="14"/>
      <c r="Q16" s="14"/>
      <c r="R16" s="14"/>
      <c r="S16" s="14"/>
      <c r="T16" s="14"/>
      <c r="U16" s="14"/>
      <c r="V16" s="14"/>
      <c r="W16" s="14"/>
      <c r="X16" s="14"/>
      <c r="Y16" s="14"/>
      <c r="Z16" s="14"/>
      <c r="AA16" s="14"/>
      <c r="AB16" s="14"/>
      <c r="AC16" s="14"/>
      <c r="AD16" s="14"/>
      <c r="AE16" s="14"/>
      <c r="AF16" s="14"/>
      <c r="AG16" s="62">
        <f t="shared" si="0"/>
        <v>110</v>
      </c>
      <c r="AH16" s="14" t="s">
        <v>748</v>
      </c>
      <c r="AI16" s="6" t="s">
        <v>746</v>
      </c>
      <c r="AJ16" s="14" t="s">
        <v>742</v>
      </c>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v>2</v>
      </c>
      <c r="BN16" s="14" t="s">
        <v>437</v>
      </c>
      <c r="BO16" s="14"/>
      <c r="BP16" s="14"/>
      <c r="BQ16" s="14">
        <v>2</v>
      </c>
      <c r="BR16" s="14"/>
      <c r="BS16" s="14"/>
      <c r="BT16" s="14" t="s">
        <v>437</v>
      </c>
      <c r="BU16" s="14"/>
      <c r="BV16" s="14"/>
      <c r="BW16" s="14"/>
    </row>
    <row r="17" spans="1:75">
      <c r="A17" s="6" t="s">
        <v>456</v>
      </c>
      <c r="B17" s="14"/>
      <c r="C17" s="6" t="s">
        <v>435</v>
      </c>
      <c r="D17" s="6" t="s">
        <v>77</v>
      </c>
      <c r="E17" s="14" t="s">
        <v>757</v>
      </c>
      <c r="F17" s="14">
        <v>5</v>
      </c>
      <c r="G17" s="14">
        <v>9</v>
      </c>
      <c r="H17" s="62">
        <v>70</v>
      </c>
      <c r="I17" s="31">
        <v>4</v>
      </c>
      <c r="J17" s="14" t="s">
        <v>748</v>
      </c>
      <c r="K17" s="6" t="s">
        <v>746</v>
      </c>
      <c r="L17" s="14">
        <v>2.6</v>
      </c>
      <c r="M17" s="14"/>
      <c r="N17" s="14"/>
      <c r="O17" s="14"/>
      <c r="P17" s="14"/>
      <c r="Q17" s="14"/>
      <c r="R17" s="14"/>
      <c r="S17" s="14"/>
      <c r="T17" s="14"/>
      <c r="U17" s="14"/>
      <c r="V17" s="14"/>
      <c r="W17" s="14"/>
      <c r="X17" s="14"/>
      <c r="Y17" s="14"/>
      <c r="Z17" s="14"/>
      <c r="AA17" s="14"/>
      <c r="AB17" s="14"/>
      <c r="AC17" s="14"/>
      <c r="AD17" s="14"/>
      <c r="AE17" s="14"/>
      <c r="AF17" s="14"/>
      <c r="AG17" s="62">
        <f t="shared" si="0"/>
        <v>140</v>
      </c>
      <c r="AH17" s="14" t="s">
        <v>748</v>
      </c>
      <c r="AI17" s="6" t="s">
        <v>746</v>
      </c>
      <c r="AJ17" s="14" t="s">
        <v>742</v>
      </c>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v>2</v>
      </c>
      <c r="BN17" s="14" t="s">
        <v>437</v>
      </c>
      <c r="BO17" s="14"/>
      <c r="BP17" s="14"/>
      <c r="BQ17" s="14">
        <v>2</v>
      </c>
      <c r="BR17" s="14"/>
      <c r="BS17" s="14"/>
      <c r="BT17" s="14" t="s">
        <v>437</v>
      </c>
      <c r="BU17" s="14"/>
      <c r="BV17" s="14"/>
      <c r="BW17" s="14"/>
    </row>
    <row r="18" spans="1:75">
      <c r="A18" s="6" t="s">
        <v>457</v>
      </c>
      <c r="B18" s="14"/>
      <c r="C18" s="6" t="s">
        <v>435</v>
      </c>
      <c r="D18" s="6" t="s">
        <v>81</v>
      </c>
      <c r="E18" s="14" t="s">
        <v>753</v>
      </c>
      <c r="F18" s="14">
        <v>4</v>
      </c>
      <c r="G18" s="14">
        <v>4</v>
      </c>
      <c r="H18" s="62">
        <v>30</v>
      </c>
      <c r="I18" s="31">
        <v>4</v>
      </c>
      <c r="J18" s="14" t="s">
        <v>748</v>
      </c>
      <c r="K18" s="6" t="s">
        <v>746</v>
      </c>
      <c r="L18" s="14">
        <v>2.6</v>
      </c>
      <c r="M18" s="14"/>
      <c r="N18" s="14"/>
      <c r="O18" s="14"/>
      <c r="P18" s="14"/>
      <c r="Q18" s="14"/>
      <c r="R18" s="14"/>
      <c r="S18" s="14"/>
      <c r="T18" s="14"/>
      <c r="U18" s="14"/>
      <c r="V18" s="14"/>
      <c r="W18" s="14"/>
      <c r="X18" s="14"/>
      <c r="Y18" s="14"/>
      <c r="Z18" s="14"/>
      <c r="AA18" s="14"/>
      <c r="AB18" s="14"/>
      <c r="AC18" s="14"/>
      <c r="AD18" s="14"/>
      <c r="AE18" s="14"/>
      <c r="AF18" s="14"/>
      <c r="AG18" s="62">
        <f t="shared" si="0"/>
        <v>60</v>
      </c>
      <c r="AH18" s="14" t="s">
        <v>748</v>
      </c>
      <c r="AI18" s="6" t="s">
        <v>746</v>
      </c>
      <c r="AJ18" s="14" t="s">
        <v>742</v>
      </c>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v>2</v>
      </c>
      <c r="BN18" s="14" t="s">
        <v>437</v>
      </c>
      <c r="BO18" s="14" t="s">
        <v>437</v>
      </c>
      <c r="BP18" s="14"/>
      <c r="BQ18" s="14">
        <v>2</v>
      </c>
      <c r="BR18" s="14"/>
      <c r="BS18" s="14"/>
      <c r="BT18" s="14" t="s">
        <v>437</v>
      </c>
      <c r="BU18" s="14"/>
      <c r="BV18" s="14"/>
      <c r="BW18" s="14"/>
    </row>
    <row r="19" spans="1:75">
      <c r="A19" s="6" t="s">
        <v>458</v>
      </c>
      <c r="B19" s="14"/>
      <c r="C19" s="6" t="s">
        <v>435</v>
      </c>
      <c r="D19" s="6" t="s">
        <v>459</v>
      </c>
      <c r="E19" s="14" t="s">
        <v>758</v>
      </c>
      <c r="F19" s="14">
        <v>6</v>
      </c>
      <c r="G19" s="14">
        <v>6</v>
      </c>
      <c r="H19" s="62">
        <v>100</v>
      </c>
      <c r="I19" s="31">
        <v>4</v>
      </c>
      <c r="J19" s="14" t="s">
        <v>748</v>
      </c>
      <c r="K19" s="6" t="s">
        <v>746</v>
      </c>
      <c r="L19" s="14">
        <v>2.6</v>
      </c>
      <c r="M19" s="14"/>
      <c r="N19" s="14"/>
      <c r="O19" s="14"/>
      <c r="P19" s="14"/>
      <c r="Q19" s="14"/>
      <c r="R19" s="14"/>
      <c r="S19" s="14"/>
      <c r="T19" s="14"/>
      <c r="U19" s="14"/>
      <c r="V19" s="14"/>
      <c r="W19" s="14"/>
      <c r="X19" s="14"/>
      <c r="Y19" s="14"/>
      <c r="Z19" s="14"/>
      <c r="AA19" s="14"/>
      <c r="AB19" s="14"/>
      <c r="AC19" s="14"/>
      <c r="AD19" s="14"/>
      <c r="AE19" s="14"/>
      <c r="AF19" s="14"/>
      <c r="AG19" s="62">
        <f>2*(H19+AO19)</f>
        <v>300</v>
      </c>
      <c r="AH19" s="14" t="s">
        <v>748</v>
      </c>
      <c r="AI19" s="6" t="s">
        <v>746</v>
      </c>
      <c r="AJ19" s="14" t="s">
        <v>742</v>
      </c>
      <c r="AK19" s="14"/>
      <c r="AL19" s="14"/>
      <c r="AM19" s="14"/>
      <c r="AN19" s="14"/>
      <c r="AO19" s="14">
        <v>50</v>
      </c>
      <c r="AP19" s="14" t="s">
        <v>748</v>
      </c>
      <c r="AQ19" s="6" t="s">
        <v>746</v>
      </c>
      <c r="AR19" s="14">
        <f>50/1000</f>
        <v>0.05</v>
      </c>
      <c r="AS19" s="14"/>
      <c r="AT19" s="14"/>
      <c r="AU19" s="14"/>
      <c r="AV19" s="14"/>
      <c r="AW19" s="14"/>
      <c r="AX19" s="14"/>
      <c r="AY19" s="14"/>
      <c r="AZ19" s="14"/>
      <c r="BA19" s="14"/>
      <c r="BB19" s="14"/>
      <c r="BC19" s="14"/>
      <c r="BD19" s="14"/>
      <c r="BE19" s="14"/>
      <c r="BF19" s="14"/>
      <c r="BG19" s="14"/>
      <c r="BH19" s="14"/>
      <c r="BI19" s="14"/>
      <c r="BJ19" s="14"/>
      <c r="BK19" s="14"/>
      <c r="BL19" s="14"/>
      <c r="BM19" s="14">
        <v>3</v>
      </c>
      <c r="BN19" s="14" t="s">
        <v>437</v>
      </c>
      <c r="BO19" s="14"/>
      <c r="BP19" s="14"/>
      <c r="BQ19" s="14">
        <v>2</v>
      </c>
      <c r="BR19" s="14"/>
      <c r="BS19" s="14"/>
      <c r="BT19" s="14" t="s">
        <v>437</v>
      </c>
      <c r="BU19" s="14"/>
      <c r="BV19" s="14"/>
      <c r="BW19" s="14"/>
    </row>
    <row r="20" spans="1:75">
      <c r="A20" s="6" t="s">
        <v>460</v>
      </c>
      <c r="B20" s="14"/>
      <c r="C20" s="6" t="s">
        <v>435</v>
      </c>
      <c r="D20" s="6" t="s">
        <v>88</v>
      </c>
      <c r="E20" s="14" t="s">
        <v>759</v>
      </c>
      <c r="F20" s="14">
        <v>2</v>
      </c>
      <c r="G20" s="14">
        <v>5</v>
      </c>
      <c r="H20" s="62">
        <v>50</v>
      </c>
      <c r="I20" s="31">
        <v>4</v>
      </c>
      <c r="J20" s="14" t="s">
        <v>748</v>
      </c>
      <c r="K20" s="6" t="s">
        <v>746</v>
      </c>
      <c r="L20" s="14">
        <v>2.6</v>
      </c>
      <c r="M20" s="14"/>
      <c r="N20" s="14"/>
      <c r="O20" s="14"/>
      <c r="P20" s="14"/>
      <c r="Q20" s="14"/>
      <c r="R20" s="14"/>
      <c r="S20" s="14"/>
      <c r="T20" s="14"/>
      <c r="U20" s="14"/>
      <c r="V20" s="14"/>
      <c r="W20" s="14"/>
      <c r="X20" s="14"/>
      <c r="Y20" s="14"/>
      <c r="Z20" s="14"/>
      <c r="AA20" s="14"/>
      <c r="AB20" s="14"/>
      <c r="AC20" s="14"/>
      <c r="AD20" s="14"/>
      <c r="AE20" s="14"/>
      <c r="AF20" s="14"/>
      <c r="AG20" s="62">
        <f t="shared" ref="AG20:AG27" si="1">2*H20</f>
        <v>100</v>
      </c>
      <c r="AH20" s="14" t="s">
        <v>748</v>
      </c>
      <c r="AI20" s="6" t="s">
        <v>746</v>
      </c>
      <c r="AJ20" s="14" t="s">
        <v>742</v>
      </c>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v>2</v>
      </c>
      <c r="BN20" s="14" t="s">
        <v>437</v>
      </c>
      <c r="BO20" s="14"/>
      <c r="BP20" s="14"/>
      <c r="BQ20" s="14">
        <v>2</v>
      </c>
      <c r="BR20" s="14"/>
      <c r="BS20" s="14"/>
      <c r="BT20" s="14" t="s">
        <v>437</v>
      </c>
      <c r="BU20" s="14"/>
      <c r="BV20" s="14"/>
      <c r="BW20" s="14"/>
    </row>
    <row r="21" spans="1:75">
      <c r="A21" s="6" t="s">
        <v>461</v>
      </c>
      <c r="B21" s="14"/>
      <c r="C21" s="6" t="s">
        <v>435</v>
      </c>
      <c r="D21" s="6" t="s">
        <v>96</v>
      </c>
      <c r="E21" s="14" t="s">
        <v>760</v>
      </c>
      <c r="F21" s="14">
        <v>5</v>
      </c>
      <c r="G21" s="14">
        <v>12</v>
      </c>
      <c r="H21" s="62">
        <v>60</v>
      </c>
      <c r="I21" s="31">
        <v>16</v>
      </c>
      <c r="J21" s="14" t="s">
        <v>748</v>
      </c>
      <c r="K21" s="6" t="s">
        <v>746</v>
      </c>
      <c r="L21" s="14">
        <v>2.6</v>
      </c>
      <c r="M21" s="14"/>
      <c r="N21" s="14"/>
      <c r="O21" s="14"/>
      <c r="P21" s="14"/>
      <c r="Q21" s="14"/>
      <c r="R21" s="14"/>
      <c r="S21" s="14"/>
      <c r="T21" s="14"/>
      <c r="U21" s="14"/>
      <c r="V21" s="14"/>
      <c r="W21" s="14"/>
      <c r="X21" s="14"/>
      <c r="Y21" s="14"/>
      <c r="Z21" s="14"/>
      <c r="AA21" s="14"/>
      <c r="AB21" s="14"/>
      <c r="AC21" s="14"/>
      <c r="AD21" s="14"/>
      <c r="AE21" s="14"/>
      <c r="AF21" s="14"/>
      <c r="AG21" s="62">
        <f t="shared" si="1"/>
        <v>120</v>
      </c>
      <c r="AH21" s="14" t="s">
        <v>748</v>
      </c>
      <c r="AI21" s="6" t="s">
        <v>746</v>
      </c>
      <c r="AJ21" s="14" t="s">
        <v>742</v>
      </c>
      <c r="AK21" s="14"/>
      <c r="AL21" s="14"/>
      <c r="AM21" s="14"/>
      <c r="AN21" s="14"/>
      <c r="AO21" s="14"/>
      <c r="AP21" s="14"/>
      <c r="AQ21" s="14"/>
      <c r="AR21" s="14"/>
      <c r="AS21" s="14">
        <v>65</v>
      </c>
      <c r="AT21" s="14" t="s">
        <v>748</v>
      </c>
      <c r="AU21" s="6" t="s">
        <v>746</v>
      </c>
      <c r="AV21" s="14">
        <f>50/1000</f>
        <v>0.05</v>
      </c>
      <c r="AW21" s="14"/>
      <c r="AX21" s="14"/>
      <c r="AY21" s="14"/>
      <c r="AZ21" s="14"/>
      <c r="BA21" s="14"/>
      <c r="BB21" s="14"/>
      <c r="BC21" s="14"/>
      <c r="BD21" s="14"/>
      <c r="BE21" s="14"/>
      <c r="BF21" s="14"/>
      <c r="BG21" s="14"/>
      <c r="BH21" s="14"/>
      <c r="BI21" s="14"/>
      <c r="BJ21" s="14"/>
      <c r="BK21" s="14"/>
      <c r="BL21" s="14"/>
      <c r="BM21" s="14">
        <v>3</v>
      </c>
      <c r="BN21" s="14" t="s">
        <v>437</v>
      </c>
      <c r="BO21" s="14"/>
      <c r="BP21" s="14"/>
      <c r="BQ21" s="14">
        <v>2</v>
      </c>
      <c r="BR21" s="14"/>
      <c r="BS21" s="14"/>
      <c r="BT21" s="14" t="s">
        <v>437</v>
      </c>
      <c r="BU21" s="14"/>
      <c r="BV21" s="14"/>
      <c r="BW21" s="14"/>
    </row>
    <row r="22" spans="1:75">
      <c r="A22" s="6" t="s">
        <v>462</v>
      </c>
      <c r="B22" s="14"/>
      <c r="C22" s="6" t="s">
        <v>435</v>
      </c>
      <c r="D22" s="6" t="s">
        <v>104</v>
      </c>
      <c r="E22" s="14" t="s">
        <v>761</v>
      </c>
      <c r="F22" s="14">
        <v>4</v>
      </c>
      <c r="G22" s="14">
        <v>7</v>
      </c>
      <c r="H22" s="62">
        <v>40</v>
      </c>
      <c r="I22" s="31">
        <v>4</v>
      </c>
      <c r="J22" s="14" t="s">
        <v>748</v>
      </c>
      <c r="K22" s="6" t="s">
        <v>746</v>
      </c>
      <c r="L22" s="14">
        <v>2.6</v>
      </c>
      <c r="M22" s="14"/>
      <c r="N22" s="14"/>
      <c r="O22" s="14"/>
      <c r="P22" s="14"/>
      <c r="Q22" s="14"/>
      <c r="R22" s="14"/>
      <c r="S22" s="14"/>
      <c r="T22" s="14"/>
      <c r="U22" s="14"/>
      <c r="V22" s="14"/>
      <c r="W22" s="14"/>
      <c r="X22" s="14"/>
      <c r="Y22" s="14"/>
      <c r="Z22" s="14"/>
      <c r="AA22" s="14"/>
      <c r="AB22" s="14"/>
      <c r="AC22" s="14"/>
      <c r="AD22" s="14"/>
      <c r="AE22" s="14"/>
      <c r="AF22" s="14"/>
      <c r="AG22" s="62">
        <f t="shared" si="1"/>
        <v>80</v>
      </c>
      <c r="AH22" s="14" t="s">
        <v>748</v>
      </c>
      <c r="AI22" s="6" t="s">
        <v>746</v>
      </c>
      <c r="AJ22" s="14" t="s">
        <v>742</v>
      </c>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v>2</v>
      </c>
      <c r="BN22" s="14" t="s">
        <v>437</v>
      </c>
      <c r="BO22" s="14"/>
      <c r="BP22" s="14"/>
      <c r="BQ22" s="14">
        <v>2</v>
      </c>
      <c r="BR22" s="14"/>
      <c r="BS22" s="14"/>
      <c r="BT22" s="14" t="s">
        <v>437</v>
      </c>
      <c r="BU22" s="14"/>
      <c r="BV22" s="14"/>
      <c r="BW22" s="14"/>
    </row>
    <row r="23" spans="1:75">
      <c r="A23" s="6" t="s">
        <v>463</v>
      </c>
      <c r="B23" s="14"/>
      <c r="C23" s="6" t="s">
        <v>435</v>
      </c>
      <c r="D23" s="6" t="s">
        <v>108</v>
      </c>
      <c r="E23" s="14" t="s">
        <v>762</v>
      </c>
      <c r="F23" s="14">
        <v>8</v>
      </c>
      <c r="G23" s="14">
        <v>34</v>
      </c>
      <c r="H23" s="62">
        <v>135</v>
      </c>
      <c r="I23" s="31">
        <v>16</v>
      </c>
      <c r="J23" s="14" t="s">
        <v>748</v>
      </c>
      <c r="K23" s="6" t="s">
        <v>746</v>
      </c>
      <c r="L23" s="14">
        <v>2.6</v>
      </c>
      <c r="M23" s="14"/>
      <c r="N23" s="14"/>
      <c r="O23" s="14"/>
      <c r="P23" s="14"/>
      <c r="Q23" s="14"/>
      <c r="R23" s="14"/>
      <c r="S23" s="14"/>
      <c r="T23" s="14"/>
      <c r="U23" s="14"/>
      <c r="V23" s="14"/>
      <c r="W23" s="14"/>
      <c r="X23" s="14"/>
      <c r="Y23" s="14"/>
      <c r="Z23" s="14"/>
      <c r="AA23" s="14"/>
      <c r="AB23" s="14"/>
      <c r="AC23" s="14"/>
      <c r="AD23" s="14"/>
      <c r="AE23" s="14"/>
      <c r="AF23" s="14"/>
      <c r="AG23" s="62">
        <f t="shared" si="1"/>
        <v>270</v>
      </c>
      <c r="AH23" s="14" t="s">
        <v>748</v>
      </c>
      <c r="AI23" s="6" t="s">
        <v>746</v>
      </c>
      <c r="AJ23" s="14" t="s">
        <v>742</v>
      </c>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v>2</v>
      </c>
      <c r="BN23" s="14" t="s">
        <v>437</v>
      </c>
      <c r="BO23" s="14"/>
      <c r="BP23" s="14"/>
      <c r="BQ23" s="14">
        <v>2</v>
      </c>
      <c r="BR23" s="14"/>
      <c r="BS23" s="14"/>
      <c r="BT23" s="14" t="s">
        <v>437</v>
      </c>
      <c r="BU23" s="14"/>
      <c r="BV23" s="14"/>
      <c r="BW23" s="14"/>
    </row>
    <row r="24" spans="1:75">
      <c r="A24" s="6" t="s">
        <v>464</v>
      </c>
      <c r="B24" s="14"/>
      <c r="C24" s="6" t="s">
        <v>435</v>
      </c>
      <c r="D24" s="6" t="s">
        <v>108</v>
      </c>
      <c r="E24" s="14" t="s">
        <v>762</v>
      </c>
      <c r="F24" s="14">
        <v>8</v>
      </c>
      <c r="G24" s="14">
        <v>34</v>
      </c>
      <c r="H24" s="62">
        <v>135</v>
      </c>
      <c r="I24" s="31">
        <v>16</v>
      </c>
      <c r="J24" s="14" t="s">
        <v>748</v>
      </c>
      <c r="K24" s="6" t="s">
        <v>746</v>
      </c>
      <c r="L24" s="14">
        <v>2.6</v>
      </c>
      <c r="M24" s="14"/>
      <c r="N24" s="14"/>
      <c r="O24" s="14"/>
      <c r="P24" s="14"/>
      <c r="Q24" s="14"/>
      <c r="R24" s="14"/>
      <c r="S24" s="14"/>
      <c r="T24" s="14"/>
      <c r="U24" s="14"/>
      <c r="V24" s="14"/>
      <c r="W24" s="14"/>
      <c r="X24" s="14"/>
      <c r="Y24" s="14"/>
      <c r="Z24" s="14"/>
      <c r="AA24" s="14"/>
      <c r="AB24" s="14"/>
      <c r="AC24" s="14"/>
      <c r="AD24" s="14"/>
      <c r="AE24" s="14"/>
      <c r="AF24" s="14"/>
      <c r="AG24" s="62">
        <f t="shared" si="1"/>
        <v>270</v>
      </c>
      <c r="AH24" s="14" t="s">
        <v>748</v>
      </c>
      <c r="AI24" s="6" t="s">
        <v>746</v>
      </c>
      <c r="AJ24" s="14" t="s">
        <v>742</v>
      </c>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v>2</v>
      </c>
      <c r="BN24" s="14" t="s">
        <v>437</v>
      </c>
      <c r="BO24" s="14"/>
      <c r="BP24" s="14"/>
      <c r="BQ24" s="14">
        <v>2</v>
      </c>
      <c r="BR24" s="14"/>
      <c r="BS24" s="14"/>
      <c r="BT24" s="14" t="s">
        <v>437</v>
      </c>
      <c r="BU24" s="14"/>
      <c r="BV24" s="14"/>
      <c r="BW24" s="14"/>
    </row>
    <row r="25" spans="1:75">
      <c r="A25" s="6" t="s">
        <v>487</v>
      </c>
      <c r="B25" s="14"/>
      <c r="C25" s="21" t="s">
        <v>488</v>
      </c>
      <c r="D25" s="6" t="s">
        <v>112</v>
      </c>
      <c r="E25" s="14" t="s">
        <v>763</v>
      </c>
      <c r="F25" s="14">
        <v>4</v>
      </c>
      <c r="G25" s="14">
        <v>4</v>
      </c>
      <c r="H25" s="62">
        <v>100</v>
      </c>
      <c r="I25" s="31">
        <v>0</v>
      </c>
      <c r="J25" s="14" t="s">
        <v>745</v>
      </c>
      <c r="K25" s="6" t="s">
        <v>746</v>
      </c>
      <c r="L25" s="14">
        <v>100</v>
      </c>
      <c r="M25" s="14"/>
      <c r="N25" s="14"/>
      <c r="O25" s="14"/>
      <c r="P25" s="14"/>
      <c r="Q25" s="14"/>
      <c r="R25" s="14"/>
      <c r="S25" s="14"/>
      <c r="T25" s="14"/>
      <c r="U25" s="14"/>
      <c r="V25" s="14"/>
      <c r="W25" s="14"/>
      <c r="X25" s="14"/>
      <c r="Y25" s="14"/>
      <c r="Z25" s="14"/>
      <c r="AA25" s="14"/>
      <c r="AB25" s="14"/>
      <c r="AC25" s="14"/>
      <c r="AD25" s="14"/>
      <c r="AE25" s="14"/>
      <c r="AF25" s="14"/>
      <c r="AG25" s="62">
        <f t="shared" si="1"/>
        <v>200</v>
      </c>
      <c r="AH25" s="14" t="s">
        <v>748</v>
      </c>
      <c r="AI25" s="6" t="s">
        <v>746</v>
      </c>
      <c r="AJ25" s="14" t="s">
        <v>742</v>
      </c>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v>4</v>
      </c>
      <c r="BN25" s="14" t="s">
        <v>437</v>
      </c>
      <c r="BO25" s="14"/>
      <c r="BP25" s="14"/>
      <c r="BQ25" s="14">
        <v>2</v>
      </c>
      <c r="BR25" s="14"/>
      <c r="BS25" s="14"/>
      <c r="BT25" s="14" t="s">
        <v>437</v>
      </c>
      <c r="BU25" s="14"/>
      <c r="BV25" s="14"/>
      <c r="BW25" s="14"/>
    </row>
    <row r="26" spans="1:75">
      <c r="A26" s="6" t="s">
        <v>489</v>
      </c>
      <c r="B26" s="14"/>
      <c r="C26" s="21" t="s">
        <v>488</v>
      </c>
      <c r="D26" s="6" t="s">
        <v>120</v>
      </c>
      <c r="E26" s="14" t="s">
        <v>764</v>
      </c>
      <c r="F26" s="14">
        <v>4</v>
      </c>
      <c r="G26" s="14">
        <v>16</v>
      </c>
      <c r="H26" s="62">
        <v>100</v>
      </c>
      <c r="I26" s="31">
        <v>0</v>
      </c>
      <c r="J26" s="14" t="s">
        <v>745</v>
      </c>
      <c r="K26" s="6" t="s">
        <v>746</v>
      </c>
      <c r="L26" s="14">
        <v>110</v>
      </c>
      <c r="M26" s="14"/>
      <c r="N26" s="14"/>
      <c r="O26" s="14"/>
      <c r="P26" s="14"/>
      <c r="Q26" s="14"/>
      <c r="R26" s="14"/>
      <c r="S26" s="14"/>
      <c r="T26" s="14"/>
      <c r="U26" s="14"/>
      <c r="V26" s="14"/>
      <c r="W26" s="14"/>
      <c r="X26" s="14"/>
      <c r="Y26" s="14"/>
      <c r="Z26" s="14"/>
      <c r="AA26" s="14"/>
      <c r="AB26" s="14"/>
      <c r="AC26" s="14"/>
      <c r="AD26" s="14"/>
      <c r="AE26" s="14"/>
      <c r="AF26" s="14"/>
      <c r="AG26" s="62">
        <f t="shared" si="1"/>
        <v>200</v>
      </c>
      <c r="AH26" s="14" t="s">
        <v>748</v>
      </c>
      <c r="AI26" s="6" t="s">
        <v>746</v>
      </c>
      <c r="AJ26" s="14" t="s">
        <v>742</v>
      </c>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v>4</v>
      </c>
      <c r="BN26" s="14" t="s">
        <v>437</v>
      </c>
      <c r="BO26" s="14"/>
      <c r="BP26" s="14"/>
      <c r="BQ26" s="14">
        <v>2</v>
      </c>
      <c r="BR26" s="14"/>
      <c r="BS26" s="14"/>
      <c r="BT26" s="14" t="s">
        <v>437</v>
      </c>
      <c r="BU26" s="14"/>
      <c r="BV26" s="14"/>
      <c r="BW26" s="14"/>
    </row>
    <row r="27" spans="1:75">
      <c r="A27" s="6" t="s">
        <v>490</v>
      </c>
      <c r="B27" s="14"/>
      <c r="C27" s="21" t="s">
        <v>488</v>
      </c>
      <c r="D27" s="6" t="s">
        <v>116</v>
      </c>
      <c r="E27" s="14" t="s">
        <v>765</v>
      </c>
      <c r="F27" s="14">
        <v>4</v>
      </c>
      <c r="G27" s="14">
        <v>14</v>
      </c>
      <c r="H27" s="62">
        <v>120</v>
      </c>
      <c r="I27" s="31">
        <v>0</v>
      </c>
      <c r="J27" s="14" t="s">
        <v>745</v>
      </c>
      <c r="K27" s="6" t="s">
        <v>746</v>
      </c>
      <c r="L27" s="14">
        <v>100</v>
      </c>
      <c r="M27" s="14"/>
      <c r="N27" s="14"/>
      <c r="O27" s="14"/>
      <c r="P27" s="14"/>
      <c r="Q27" s="14"/>
      <c r="R27" s="14"/>
      <c r="S27" s="14"/>
      <c r="T27" s="14"/>
      <c r="U27" s="14"/>
      <c r="V27" s="14"/>
      <c r="W27" s="14"/>
      <c r="X27" s="14"/>
      <c r="Y27" s="14"/>
      <c r="Z27" s="14"/>
      <c r="AA27" s="14"/>
      <c r="AB27" s="14"/>
      <c r="AC27" s="14"/>
      <c r="AD27" s="14"/>
      <c r="AE27" s="14"/>
      <c r="AF27" s="14"/>
      <c r="AG27" s="62">
        <f t="shared" si="1"/>
        <v>240</v>
      </c>
      <c r="AH27" s="14" t="s">
        <v>748</v>
      </c>
      <c r="AI27" s="6" t="s">
        <v>746</v>
      </c>
      <c r="AJ27" s="14" t="s">
        <v>742</v>
      </c>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v>4</v>
      </c>
      <c r="BN27" s="14" t="s">
        <v>437</v>
      </c>
      <c r="BO27" s="14"/>
      <c r="BP27" s="14"/>
      <c r="BQ27" s="14">
        <v>2</v>
      </c>
      <c r="BR27" s="14"/>
      <c r="BS27" s="14"/>
      <c r="BT27" s="14" t="s">
        <v>437</v>
      </c>
      <c r="BU27" s="14"/>
      <c r="BV27" s="14"/>
      <c r="BW27" s="14"/>
    </row>
    <row r="28" spans="1:75">
      <c r="A28" s="6" t="s">
        <v>465</v>
      </c>
      <c r="B28" s="14"/>
      <c r="C28" s="6" t="s">
        <v>435</v>
      </c>
      <c r="D28" s="6" t="s">
        <v>124</v>
      </c>
      <c r="E28" s="14" t="s">
        <v>766</v>
      </c>
      <c r="F28" s="14">
        <v>6</v>
      </c>
      <c r="G28" s="14">
        <v>6</v>
      </c>
      <c r="H28" s="62">
        <v>45</v>
      </c>
      <c r="I28" s="31">
        <v>4</v>
      </c>
      <c r="J28" s="14" t="s">
        <v>748</v>
      </c>
      <c r="K28" s="6" t="s">
        <v>746</v>
      </c>
      <c r="L28" s="14">
        <v>2.6</v>
      </c>
      <c r="M28" s="14"/>
      <c r="N28" s="14"/>
      <c r="O28" s="14"/>
      <c r="P28" s="14"/>
      <c r="Q28" s="14"/>
      <c r="R28" s="14"/>
      <c r="S28" s="14"/>
      <c r="T28" s="14"/>
      <c r="U28" s="14"/>
      <c r="V28" s="14"/>
      <c r="W28" s="14"/>
      <c r="X28" s="14"/>
      <c r="Y28" s="14"/>
      <c r="Z28" s="14"/>
      <c r="AA28" s="14"/>
      <c r="AB28" s="14"/>
      <c r="AC28" s="14"/>
      <c r="AD28" s="14"/>
      <c r="AE28" s="14"/>
      <c r="AF28" s="14"/>
      <c r="AG28" s="62">
        <f>2*(H28+AK28)</f>
        <v>180</v>
      </c>
      <c r="AH28" s="14" t="s">
        <v>748</v>
      </c>
      <c r="AI28" s="6" t="s">
        <v>746</v>
      </c>
      <c r="AJ28" s="14" t="s">
        <v>742</v>
      </c>
      <c r="AK28" s="62">
        <v>45</v>
      </c>
      <c r="AL28" s="14" t="s">
        <v>748</v>
      </c>
      <c r="AM28" s="6" t="s">
        <v>746</v>
      </c>
      <c r="AN28" s="14">
        <f>50/1000</f>
        <v>0.05</v>
      </c>
      <c r="AO28" s="62"/>
      <c r="AP28" s="14"/>
      <c r="AR28" s="14"/>
      <c r="AS28" s="14"/>
      <c r="AT28" s="14"/>
      <c r="AU28" s="14"/>
      <c r="AV28" s="14"/>
      <c r="AW28" s="14"/>
      <c r="AX28" s="14"/>
      <c r="AY28" s="14"/>
      <c r="AZ28" s="14"/>
      <c r="BA28" s="14"/>
      <c r="BB28" s="14"/>
      <c r="BC28" s="14"/>
      <c r="BD28" s="14"/>
      <c r="BE28" s="14"/>
      <c r="BF28" s="14"/>
      <c r="BG28" s="14"/>
      <c r="BH28" s="14"/>
      <c r="BI28" s="14"/>
      <c r="BJ28" s="14"/>
      <c r="BK28" s="14"/>
      <c r="BL28" s="14"/>
      <c r="BM28" s="14">
        <v>3</v>
      </c>
      <c r="BN28" s="14" t="s">
        <v>437</v>
      </c>
      <c r="BO28" s="14"/>
      <c r="BP28" s="14"/>
      <c r="BQ28" s="14">
        <v>2</v>
      </c>
      <c r="BR28" s="14"/>
      <c r="BS28" s="14"/>
      <c r="BT28" s="14" t="s">
        <v>437</v>
      </c>
      <c r="BU28" s="14"/>
      <c r="BV28" s="14"/>
      <c r="BW28" s="14"/>
    </row>
    <row r="29" spans="1:75">
      <c r="A29" s="6" t="s">
        <v>467</v>
      </c>
      <c r="B29" s="14"/>
      <c r="C29" s="6" t="s">
        <v>435</v>
      </c>
      <c r="D29" s="6" t="s">
        <v>124</v>
      </c>
      <c r="E29" s="14" t="s">
        <v>766</v>
      </c>
      <c r="F29" s="14">
        <v>6</v>
      </c>
      <c r="G29" s="14">
        <v>6</v>
      </c>
      <c r="H29" s="62">
        <v>45</v>
      </c>
      <c r="I29" s="31">
        <v>4</v>
      </c>
      <c r="J29" s="14" t="s">
        <v>748</v>
      </c>
      <c r="K29" s="6" t="s">
        <v>746</v>
      </c>
      <c r="L29" s="14">
        <v>2.6</v>
      </c>
      <c r="M29" s="14"/>
      <c r="N29" s="14"/>
      <c r="O29" s="14"/>
      <c r="P29" s="14"/>
      <c r="Q29" s="14"/>
      <c r="R29" s="14"/>
      <c r="S29" s="14"/>
      <c r="T29" s="14"/>
      <c r="U29" s="14"/>
      <c r="V29" s="14"/>
      <c r="W29" s="14"/>
      <c r="X29" s="14"/>
      <c r="Y29" s="14"/>
      <c r="Z29" s="14"/>
      <c r="AA29" s="14"/>
      <c r="AB29" s="14"/>
      <c r="AC29" s="14"/>
      <c r="AD29" s="14"/>
      <c r="AE29" s="14"/>
      <c r="AF29" s="14"/>
      <c r="AG29" s="62">
        <f>2*(H29+AK29)</f>
        <v>180</v>
      </c>
      <c r="AH29" s="14" t="s">
        <v>748</v>
      </c>
      <c r="AI29" s="6" t="s">
        <v>746</v>
      </c>
      <c r="AJ29" s="14" t="s">
        <v>742</v>
      </c>
      <c r="AK29" s="62">
        <v>45</v>
      </c>
      <c r="AL29" s="14" t="s">
        <v>748</v>
      </c>
      <c r="AM29" s="6" t="s">
        <v>746</v>
      </c>
      <c r="AN29" s="14">
        <f>50/1000</f>
        <v>0.05</v>
      </c>
      <c r="AO29" s="62"/>
      <c r="AP29" s="14"/>
      <c r="AR29" s="14"/>
      <c r="AS29" s="14"/>
      <c r="AT29" s="14"/>
      <c r="AU29" s="14"/>
      <c r="AV29" s="14"/>
      <c r="AW29" s="14"/>
      <c r="AX29" s="14"/>
      <c r="AY29" s="14"/>
      <c r="AZ29" s="14"/>
      <c r="BA29" s="14"/>
      <c r="BB29" s="14"/>
      <c r="BC29" s="14"/>
      <c r="BD29" s="14"/>
      <c r="BE29" s="14"/>
      <c r="BF29" s="14"/>
      <c r="BG29" s="14"/>
      <c r="BH29" s="14"/>
      <c r="BI29" s="14"/>
      <c r="BJ29" s="14"/>
      <c r="BK29" s="14"/>
      <c r="BL29" s="14"/>
      <c r="BM29" s="14">
        <v>3</v>
      </c>
      <c r="BN29" s="14" t="s">
        <v>437</v>
      </c>
      <c r="BO29" s="14"/>
      <c r="BP29" s="14"/>
      <c r="BQ29" s="14">
        <v>2</v>
      </c>
      <c r="BR29" s="14"/>
      <c r="BS29" s="14"/>
      <c r="BT29" s="14" t="s">
        <v>437</v>
      </c>
      <c r="BU29" s="14"/>
      <c r="BV29" s="14"/>
      <c r="BW29" s="14"/>
    </row>
    <row r="30" spans="1:75">
      <c r="A30" s="6" t="s">
        <v>468</v>
      </c>
      <c r="B30" s="14"/>
      <c r="C30" s="6" t="s">
        <v>435</v>
      </c>
      <c r="D30" s="6" t="s">
        <v>469</v>
      </c>
      <c r="E30" s="14" t="s">
        <v>767</v>
      </c>
      <c r="F30" s="14">
        <v>3</v>
      </c>
      <c r="G30" s="14">
        <v>3</v>
      </c>
      <c r="H30" s="62">
        <v>40</v>
      </c>
      <c r="I30" s="31">
        <v>4</v>
      </c>
      <c r="J30" s="14" t="s">
        <v>748</v>
      </c>
      <c r="K30" s="6" t="s">
        <v>746</v>
      </c>
      <c r="L30" s="14">
        <v>2.6</v>
      </c>
      <c r="M30" s="14"/>
      <c r="N30" s="14"/>
      <c r="O30" s="14"/>
      <c r="P30" s="14"/>
      <c r="Q30" s="14"/>
      <c r="R30" s="14"/>
      <c r="S30" s="14"/>
      <c r="T30" s="14"/>
      <c r="U30" s="14"/>
      <c r="V30" s="14"/>
      <c r="W30" s="14"/>
      <c r="X30" s="14"/>
      <c r="Y30" s="14"/>
      <c r="Z30" s="14"/>
      <c r="AA30" s="14"/>
      <c r="AB30" s="14"/>
      <c r="AC30" s="14"/>
      <c r="AD30" s="14"/>
      <c r="AE30" s="14"/>
      <c r="AF30" s="14"/>
      <c r="AG30" s="62">
        <f>2*H30</f>
        <v>80</v>
      </c>
      <c r="AH30" s="14" t="s">
        <v>748</v>
      </c>
      <c r="AI30" s="6" t="s">
        <v>746</v>
      </c>
      <c r="AJ30" s="75" t="s">
        <v>742</v>
      </c>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v>2</v>
      </c>
      <c r="BN30" s="14" t="s">
        <v>437</v>
      </c>
      <c r="BO30" s="14"/>
      <c r="BP30" s="14"/>
      <c r="BQ30" s="14">
        <v>2</v>
      </c>
      <c r="BR30" s="14"/>
      <c r="BS30" s="14"/>
      <c r="BT30" s="14" t="s">
        <v>437</v>
      </c>
      <c r="BU30" s="14"/>
      <c r="BV30" s="14"/>
      <c r="BW30" s="14"/>
    </row>
    <row r="31" spans="1:75">
      <c r="A31" s="6" t="s">
        <v>470</v>
      </c>
      <c r="B31" s="14"/>
      <c r="C31" s="6" t="s">
        <v>435</v>
      </c>
      <c r="D31" s="6" t="s">
        <v>471</v>
      </c>
      <c r="E31" s="14" t="s">
        <v>767</v>
      </c>
      <c r="F31" s="14">
        <v>3</v>
      </c>
      <c r="G31" s="14">
        <v>3</v>
      </c>
      <c r="H31" s="62">
        <v>40</v>
      </c>
      <c r="I31" s="31">
        <v>4</v>
      </c>
      <c r="J31" s="14" t="s">
        <v>748</v>
      </c>
      <c r="K31" s="6" t="s">
        <v>746</v>
      </c>
      <c r="L31" s="14">
        <v>2.6</v>
      </c>
      <c r="M31" s="14"/>
      <c r="N31" s="14"/>
      <c r="O31" s="14"/>
      <c r="P31" s="14"/>
      <c r="Q31" s="14"/>
      <c r="R31" s="14"/>
      <c r="S31" s="14"/>
      <c r="T31" s="14"/>
      <c r="U31" s="14"/>
      <c r="V31" s="14"/>
      <c r="W31" s="14"/>
      <c r="X31" s="14"/>
      <c r="Y31" s="14"/>
      <c r="Z31" s="14"/>
      <c r="AA31" s="14"/>
      <c r="AB31" s="14"/>
      <c r="AC31" s="14"/>
      <c r="AD31" s="14"/>
      <c r="AE31" s="14"/>
      <c r="AF31" s="14"/>
      <c r="AG31" s="62">
        <f>2*H31</f>
        <v>80</v>
      </c>
      <c r="AH31" s="14" t="s">
        <v>748</v>
      </c>
      <c r="AI31" s="6" t="s">
        <v>746</v>
      </c>
      <c r="AJ31" s="14" t="s">
        <v>742</v>
      </c>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v>2</v>
      </c>
      <c r="BN31" s="14" t="s">
        <v>437</v>
      </c>
      <c r="BO31" s="14"/>
      <c r="BP31" s="14"/>
      <c r="BQ31" s="14">
        <v>2</v>
      </c>
      <c r="BR31" s="14"/>
      <c r="BS31" s="14"/>
      <c r="BT31" s="14" t="s">
        <v>437</v>
      </c>
      <c r="BU31" s="14"/>
      <c r="BV31" s="14"/>
      <c r="BW31" s="14"/>
    </row>
    <row r="32" spans="1:75" s="19" customFormat="1" ht="14.45">
      <c r="A32" s="19" t="s">
        <v>472</v>
      </c>
      <c r="C32" s="19" t="s">
        <v>435</v>
      </c>
      <c r="D32" s="19" t="s">
        <v>473</v>
      </c>
      <c r="E32" s="17" t="s">
        <v>768</v>
      </c>
      <c r="F32" s="17">
        <v>8</v>
      </c>
      <c r="G32" s="17">
        <v>11</v>
      </c>
      <c r="H32" s="68">
        <v>125</v>
      </c>
      <c r="I32" s="80">
        <v>4</v>
      </c>
      <c r="J32" s="17" t="s">
        <v>748</v>
      </c>
      <c r="K32" s="19" t="s">
        <v>746</v>
      </c>
      <c r="L32" s="17">
        <v>2.6</v>
      </c>
      <c r="M32" s="17"/>
      <c r="N32" s="17"/>
      <c r="O32" s="17"/>
      <c r="P32" s="17"/>
      <c r="Q32" s="99"/>
      <c r="R32" s="99"/>
      <c r="S32" s="99"/>
      <c r="T32" s="99"/>
      <c r="U32" s="17"/>
      <c r="V32" s="17"/>
      <c r="W32" s="17"/>
      <c r="X32" s="17"/>
      <c r="Y32" s="17"/>
      <c r="Z32" s="17"/>
      <c r="AA32" s="17"/>
      <c r="AB32" s="17"/>
      <c r="AC32" s="17"/>
      <c r="AD32" s="17"/>
      <c r="AE32" s="17"/>
      <c r="AF32" s="17"/>
      <c r="AG32" s="68">
        <f>2*H32</f>
        <v>250</v>
      </c>
      <c r="AH32" s="17" t="s">
        <v>748</v>
      </c>
      <c r="AI32" s="19" t="s">
        <v>746</v>
      </c>
      <c r="AJ32" s="17" t="s">
        <v>742</v>
      </c>
      <c r="BA32" s="17">
        <v>120</v>
      </c>
      <c r="BB32" s="17" t="s">
        <v>748</v>
      </c>
      <c r="BC32" s="17" t="s">
        <v>746</v>
      </c>
      <c r="BD32" s="17">
        <f>50/1000</f>
        <v>0.05</v>
      </c>
      <c r="BM32" s="17">
        <v>3</v>
      </c>
      <c r="BN32" s="17" t="s">
        <v>437</v>
      </c>
      <c r="BO32" s="17"/>
      <c r="BP32" s="17"/>
      <c r="BQ32" s="17">
        <v>2</v>
      </c>
      <c r="BR32" s="17"/>
      <c r="BS32" s="17" t="s">
        <v>437</v>
      </c>
      <c r="BT32" s="17" t="s">
        <v>437</v>
      </c>
      <c r="BU32" s="17"/>
      <c r="BV32" s="17"/>
      <c r="BW32" s="17"/>
    </row>
    <row r="33" spans="1:76" s="20" customFormat="1">
      <c r="E33" s="18"/>
      <c r="F33" s="18">
        <f>SUM(F8:F32)</f>
        <v>113</v>
      </c>
      <c r="G33" s="18">
        <f>SUM(G8:G32)</f>
        <v>260</v>
      </c>
      <c r="H33" s="18">
        <f>SUM(H8:H32)</f>
        <v>1990</v>
      </c>
      <c r="I33" s="33"/>
      <c r="J33" s="18"/>
      <c r="K33" s="18"/>
      <c r="L33" s="18">
        <f>SUM(L8:L32)</f>
        <v>372.60000000000014</v>
      </c>
      <c r="M33" s="18">
        <f>SUM(M8:M32)</f>
        <v>59.4</v>
      </c>
      <c r="N33" s="63"/>
      <c r="O33" s="63"/>
      <c r="P33" s="18">
        <f>SUM(P8:P32)</f>
        <v>0.05</v>
      </c>
      <c r="Q33" s="18">
        <f>SUM(Q8:Q32)</f>
        <v>675</v>
      </c>
      <c r="R33" s="63"/>
      <c r="S33" s="63"/>
      <c r="T33" s="18">
        <f>SUM(T8:T32)</f>
        <v>0.05</v>
      </c>
      <c r="U33" s="18">
        <f>SUM(U8:U32)</f>
        <v>1012.5</v>
      </c>
      <c r="V33" s="63"/>
      <c r="W33" s="63"/>
      <c r="X33" s="18">
        <f>SUM(X8:X32)</f>
        <v>0.05</v>
      </c>
      <c r="Y33" s="18">
        <f>SUM(Y8:Y32)</f>
        <v>312</v>
      </c>
      <c r="Z33" s="63"/>
      <c r="AA33" s="63"/>
      <c r="AB33" s="18">
        <f>SUM(AB8:AB32)</f>
        <v>0.1</v>
      </c>
      <c r="AC33" s="18">
        <f>SUM(AC8:AC32)</f>
        <v>270</v>
      </c>
      <c r="AD33" s="63"/>
      <c r="AE33" s="63"/>
      <c r="AF33" s="18">
        <f>SUM(AF8:AF32)</f>
        <v>0</v>
      </c>
      <c r="AG33" s="18">
        <f>SUM(AG8:AG32)</f>
        <v>6995</v>
      </c>
      <c r="AH33" s="63"/>
      <c r="AI33" s="63"/>
      <c r="AJ33" s="63"/>
      <c r="AK33" s="18">
        <f>SUM(AK8:AK32)</f>
        <v>90</v>
      </c>
      <c r="AL33" s="18"/>
      <c r="AM33" s="18"/>
      <c r="AN33" s="18">
        <f>SUM(AN8:AN32)</f>
        <v>0.1</v>
      </c>
      <c r="AO33" s="18">
        <f>SUM(AO8:AO32)</f>
        <v>50</v>
      </c>
      <c r="AP33" s="18"/>
      <c r="AQ33" s="18"/>
      <c r="AR33" s="18">
        <f>SUM(AR8:AR32)</f>
        <v>0.05</v>
      </c>
      <c r="AS33" s="18">
        <f>SUM(AS8:AS32)</f>
        <v>65</v>
      </c>
      <c r="AT33" s="18"/>
      <c r="AU33" s="18"/>
      <c r="AV33" s="18">
        <f>SUM(AV8:AV32)</f>
        <v>0.05</v>
      </c>
      <c r="AW33" s="18">
        <f>SUM(AW8:AW32)</f>
        <v>0</v>
      </c>
      <c r="AX33" s="18"/>
      <c r="AY33" s="18"/>
      <c r="AZ33" s="18">
        <f>SUM(AZ8:AZ32)</f>
        <v>0</v>
      </c>
      <c r="BA33" s="18">
        <f>SUM(BA8:BA32)</f>
        <v>120</v>
      </c>
      <c r="BB33" s="18"/>
      <c r="BC33" s="18"/>
      <c r="BD33" s="18">
        <f>SUM(BD8:BD32)</f>
        <v>0.05</v>
      </c>
      <c r="BE33" s="18">
        <f>SUM(BE8:BE32)</f>
        <v>2048</v>
      </c>
      <c r="BF33" s="18"/>
      <c r="BG33" s="18"/>
      <c r="BH33" s="18">
        <f>SUM(BH8:BH32)</f>
        <v>0.05</v>
      </c>
      <c r="BI33" s="18"/>
      <c r="BJ33" s="18"/>
      <c r="BK33" s="18"/>
      <c r="BL33" s="18"/>
      <c r="BM33" s="18">
        <f>SUM(BM8:BM32)</f>
        <v>66</v>
      </c>
      <c r="BN33" s="18">
        <f>COUNTIF(BN8:BN32,"x")</f>
        <v>24</v>
      </c>
      <c r="BO33" s="18">
        <f>COUNTIF(BO8:BO32,"x")</f>
        <v>2</v>
      </c>
      <c r="BP33" s="18">
        <f>COUNTIF(BP8:BP32,"x")</f>
        <v>1</v>
      </c>
      <c r="BQ33" s="14">
        <f>SUM(BQ8:BQ32)</f>
        <v>50</v>
      </c>
      <c r="BR33" s="18">
        <f>COUNTIF(BR8:BR32,"x")</f>
        <v>1</v>
      </c>
      <c r="BS33" s="18">
        <f>COUNTIF(BS8:BS32,"x")</f>
        <v>1</v>
      </c>
      <c r="BT33" s="18">
        <f>COUNTIF(BT8:BT32,"x")</f>
        <v>24</v>
      </c>
      <c r="BU33" s="18" t="s">
        <v>769</v>
      </c>
      <c r="BV33" s="18">
        <v>2</v>
      </c>
      <c r="BW33" s="18">
        <v>4</v>
      </c>
      <c r="BX33" s="18">
        <v>2</v>
      </c>
    </row>
    <row r="34" spans="1:76" ht="12.95">
      <c r="A34" s="16" t="s">
        <v>770</v>
      </c>
      <c r="F34" s="14"/>
      <c r="G34" s="14"/>
      <c r="H34" s="14"/>
      <c r="I34" s="31"/>
      <c r="J34" s="14"/>
      <c r="K34" s="14"/>
      <c r="L34" s="14"/>
      <c r="M34" s="14"/>
      <c r="N34" s="62"/>
      <c r="O34" s="62"/>
      <c r="P34" s="14"/>
      <c r="Q34" s="14"/>
      <c r="R34" s="62"/>
      <c r="S34" s="62"/>
      <c r="T34" s="14"/>
      <c r="U34" s="14"/>
      <c r="V34" s="62"/>
      <c r="W34" s="62"/>
      <c r="X34" s="14"/>
      <c r="Y34" s="14"/>
      <c r="Z34" s="62"/>
      <c r="AA34" s="62"/>
      <c r="AB34" s="14"/>
      <c r="AC34" s="14"/>
      <c r="AD34" s="62"/>
      <c r="AE34" s="62"/>
      <c r="AF34" s="14"/>
      <c r="AG34" s="14"/>
      <c r="AH34" s="62"/>
      <c r="AI34" s="62"/>
      <c r="AJ34" s="62"/>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row>
    <row r="35" spans="1:76">
      <c r="A35" s="6" t="s">
        <v>476</v>
      </c>
      <c r="B35" s="14"/>
      <c r="C35" s="6" t="s">
        <v>435</v>
      </c>
      <c r="D35" s="6" t="s">
        <v>477</v>
      </c>
      <c r="E35" s="14" t="s">
        <v>771</v>
      </c>
      <c r="F35" s="14">
        <v>8</v>
      </c>
      <c r="G35" s="14">
        <v>16</v>
      </c>
      <c r="H35" s="62">
        <v>30</v>
      </c>
      <c r="I35" s="31">
        <v>14</v>
      </c>
      <c r="J35" s="14" t="s">
        <v>748</v>
      </c>
      <c r="K35" s="6" t="s">
        <v>746</v>
      </c>
      <c r="L35" s="14"/>
      <c r="M35" s="14"/>
      <c r="N35" s="14"/>
      <c r="O35" s="14"/>
      <c r="P35" s="14"/>
      <c r="Q35" s="14"/>
      <c r="R35" s="14"/>
      <c r="S35" s="14"/>
      <c r="T35" s="14"/>
      <c r="U35" s="14"/>
      <c r="V35" s="14"/>
      <c r="W35" s="14"/>
      <c r="X35" s="14"/>
      <c r="Y35" s="14"/>
      <c r="Z35" s="14"/>
      <c r="AA35" s="14"/>
      <c r="AB35" s="14"/>
      <c r="AC35" s="14"/>
      <c r="AD35" s="14"/>
      <c r="AE35" s="14"/>
      <c r="AF35" s="14"/>
      <c r="AG35" s="62">
        <f>2*H35+200</f>
        <v>260</v>
      </c>
      <c r="AH35" s="14" t="s">
        <v>748</v>
      </c>
      <c r="AI35" s="6" t="s">
        <v>746</v>
      </c>
      <c r="AJ35" s="75"/>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v>150</v>
      </c>
      <c r="BJ35" s="14" t="s">
        <v>748</v>
      </c>
      <c r="BK35" s="14" t="s">
        <v>746</v>
      </c>
      <c r="BL35" s="14">
        <f>50/1000</f>
        <v>0.05</v>
      </c>
      <c r="BM35" s="14">
        <v>1</v>
      </c>
      <c r="BN35" s="14"/>
      <c r="BO35" s="14"/>
      <c r="BP35" s="14"/>
      <c r="BQ35" s="14"/>
      <c r="BR35" s="14"/>
      <c r="BS35" s="14"/>
      <c r="BT35" s="14"/>
      <c r="BU35" s="14"/>
      <c r="BV35" s="14"/>
      <c r="BW35" s="14"/>
    </row>
    <row r="36" spans="1:76" ht="12.95">
      <c r="A36" s="186" t="s">
        <v>478</v>
      </c>
      <c r="B36" s="187"/>
      <c r="F36" s="14"/>
      <c r="G36" s="14"/>
      <c r="H36" s="14"/>
      <c r="I36" s="31"/>
      <c r="J36" s="14"/>
      <c r="K36" s="14"/>
      <c r="L36" s="14"/>
      <c r="M36" s="14"/>
      <c r="N36" s="62"/>
      <c r="O36" s="62"/>
      <c r="P36" s="14"/>
      <c r="Q36" s="14"/>
      <c r="R36" s="62"/>
      <c r="S36" s="62"/>
      <c r="T36" s="14"/>
      <c r="U36" s="14"/>
      <c r="V36" s="62"/>
      <c r="W36" s="62"/>
      <c r="X36" s="14"/>
      <c r="Y36" s="14"/>
      <c r="Z36" s="62"/>
      <c r="AA36" s="62"/>
      <c r="AB36" s="14"/>
      <c r="AC36" s="14"/>
      <c r="AD36" s="62"/>
      <c r="AE36" s="62"/>
      <c r="AF36" s="14"/>
      <c r="AG36" s="14"/>
      <c r="AH36" s="62"/>
      <c r="AI36" s="62"/>
      <c r="AJ36" s="62"/>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row>
    <row r="37" spans="1:76">
      <c r="A37" s="6" t="s">
        <v>472</v>
      </c>
      <c r="B37" s="14"/>
      <c r="C37" s="21" t="s">
        <v>435</v>
      </c>
      <c r="D37" s="6" t="s">
        <v>479</v>
      </c>
      <c r="E37" s="14" t="s">
        <v>768</v>
      </c>
      <c r="F37" s="14">
        <v>8</v>
      </c>
      <c r="G37" s="14">
        <v>22</v>
      </c>
      <c r="H37" s="62">
        <v>28</v>
      </c>
      <c r="I37" s="31">
        <v>12</v>
      </c>
      <c r="J37" s="14" t="s">
        <v>748</v>
      </c>
      <c r="K37" s="6" t="s">
        <v>746</v>
      </c>
      <c r="L37" s="14" t="s">
        <v>742</v>
      </c>
      <c r="M37" s="14"/>
      <c r="N37" s="14"/>
      <c r="O37" s="14"/>
      <c r="P37" s="14"/>
      <c r="Q37" s="14"/>
      <c r="R37" s="14"/>
      <c r="S37" s="14"/>
      <c r="T37" s="14"/>
      <c r="U37" s="14"/>
      <c r="V37" s="14"/>
      <c r="W37" s="14"/>
      <c r="X37" s="14"/>
      <c r="Y37" s="14">
        <v>120</v>
      </c>
      <c r="Z37" s="14" t="s">
        <v>748</v>
      </c>
      <c r="AA37" s="14" t="s">
        <v>746</v>
      </c>
      <c r="AB37" s="14" t="s">
        <v>742</v>
      </c>
      <c r="AC37" s="14"/>
      <c r="AD37" s="14"/>
      <c r="AE37" s="14"/>
      <c r="AF37" s="14"/>
      <c r="AG37" s="62">
        <f>2*H37 +200 +Y37</f>
        <v>376</v>
      </c>
      <c r="AH37" s="14" t="s">
        <v>748</v>
      </c>
      <c r="AI37" s="6" t="s">
        <v>746</v>
      </c>
      <c r="AJ37" s="14" t="s">
        <v>742</v>
      </c>
      <c r="AK37" s="14"/>
      <c r="AL37" s="14"/>
      <c r="AM37" s="14"/>
      <c r="AN37" s="14"/>
      <c r="AO37" s="14"/>
      <c r="AP37" s="14"/>
      <c r="AQ37" s="14"/>
      <c r="AR37" s="14"/>
      <c r="AS37" s="14"/>
      <c r="AT37" s="14"/>
      <c r="AU37" s="14"/>
      <c r="AV37" s="14"/>
      <c r="AW37" s="14">
        <v>150</v>
      </c>
      <c r="AX37" s="14" t="s">
        <v>748</v>
      </c>
      <c r="AY37" s="14" t="s">
        <v>746</v>
      </c>
      <c r="AZ37" s="14">
        <f>50/1000</f>
        <v>0.05</v>
      </c>
      <c r="BA37" s="14"/>
      <c r="BB37" s="14"/>
      <c r="BC37" s="14"/>
      <c r="BD37" s="14"/>
      <c r="BE37" s="14"/>
      <c r="BF37" s="14"/>
      <c r="BG37" s="14"/>
      <c r="BH37" s="14"/>
      <c r="BI37" s="14"/>
      <c r="BJ37" s="14"/>
      <c r="BK37" s="14"/>
      <c r="BL37" s="14"/>
      <c r="BM37" s="14">
        <v>1</v>
      </c>
      <c r="BN37" s="14"/>
      <c r="BO37" s="14"/>
      <c r="BP37" s="14"/>
      <c r="BQ37" s="14"/>
      <c r="BR37" s="14"/>
      <c r="BS37" s="14"/>
      <c r="BT37" s="14"/>
      <c r="BU37" s="14"/>
      <c r="BV37" s="14"/>
      <c r="BW37" s="14"/>
    </row>
    <row r="38" spans="1:76" s="19" customFormat="1" ht="14.45">
      <c r="A38" s="19" t="s">
        <v>480</v>
      </c>
      <c r="C38" s="19" t="s">
        <v>435</v>
      </c>
      <c r="D38" s="19" t="s">
        <v>481</v>
      </c>
      <c r="E38" s="17" t="s">
        <v>772</v>
      </c>
      <c r="F38" s="17">
        <v>4</v>
      </c>
      <c r="G38" s="17">
        <v>15</v>
      </c>
      <c r="H38" s="68">
        <v>0</v>
      </c>
      <c r="I38" s="80">
        <v>14</v>
      </c>
      <c r="J38" s="17" t="s">
        <v>748</v>
      </c>
      <c r="K38" s="19" t="s">
        <v>746</v>
      </c>
      <c r="L38" s="17" t="s">
        <v>742</v>
      </c>
      <c r="M38" s="17"/>
      <c r="N38" s="17"/>
      <c r="O38" s="17"/>
      <c r="P38" s="17"/>
      <c r="Q38" s="99"/>
      <c r="R38" s="99"/>
      <c r="S38" s="99"/>
      <c r="T38" s="99"/>
      <c r="U38" s="17"/>
      <c r="V38" s="17"/>
      <c r="W38" s="17"/>
      <c r="X38" s="17"/>
      <c r="Y38" s="17"/>
      <c r="Z38" s="17"/>
      <c r="AB38" s="17" t="s">
        <v>742</v>
      </c>
      <c r="AC38" s="17"/>
      <c r="AD38" s="17"/>
      <c r="AE38" s="17"/>
      <c r="AF38" s="17"/>
      <c r="AG38" s="68"/>
      <c r="AH38" s="17"/>
      <c r="AI38" s="17"/>
      <c r="AJ38" s="17" t="s">
        <v>742</v>
      </c>
      <c r="BA38" s="17"/>
      <c r="BB38" s="17"/>
      <c r="BC38" s="17"/>
      <c r="BD38" s="17"/>
      <c r="BI38" s="156"/>
      <c r="BJ38" s="156"/>
      <c r="BL38" s="156"/>
      <c r="BM38" s="17"/>
      <c r="BN38" s="17"/>
      <c r="BO38" s="17"/>
      <c r="BP38" s="17"/>
      <c r="BQ38" s="17"/>
      <c r="BR38" s="17"/>
      <c r="BS38" s="17"/>
      <c r="BT38" s="17"/>
      <c r="BU38" s="17"/>
      <c r="BV38" s="17"/>
      <c r="BW38" s="17"/>
    </row>
    <row r="39" spans="1:76">
      <c r="F39" s="14">
        <f>SUM(F35:F38)+F33</f>
        <v>133</v>
      </c>
      <c r="G39" s="14">
        <f>SUM(G35:G38)+G33</f>
        <v>313</v>
      </c>
      <c r="H39" s="62">
        <f>SUM(H35:H38)+H33</f>
        <v>2048</v>
      </c>
      <c r="I39" s="14"/>
      <c r="J39" s="14"/>
      <c r="K39" s="14"/>
      <c r="L39" s="14">
        <f>SUM(L35:L38)+L33</f>
        <v>372.60000000000014</v>
      </c>
      <c r="M39" s="14">
        <f>SUM(M35:M38)+M33</f>
        <v>59.4</v>
      </c>
      <c r="N39" s="62"/>
      <c r="O39" s="62"/>
      <c r="P39" s="14">
        <f>SUM(P35:P38)+P33</f>
        <v>0.05</v>
      </c>
      <c r="Q39" s="14">
        <f>SUM(Q35:Q38)+Q33</f>
        <v>675</v>
      </c>
      <c r="R39" s="62"/>
      <c r="S39" s="62"/>
      <c r="T39" s="14">
        <f>SUM(T35:T38)+T33</f>
        <v>0.05</v>
      </c>
      <c r="U39" s="14">
        <f>SUM(U35:U38)+U33</f>
        <v>1012.5</v>
      </c>
      <c r="V39" s="62"/>
      <c r="W39" s="62"/>
      <c r="X39" s="14">
        <f>SUM(X35:X38)+X33</f>
        <v>0.05</v>
      </c>
      <c r="Y39" s="14">
        <f>SUM(Y35:Y38)+Y33</f>
        <v>432</v>
      </c>
      <c r="Z39" s="62"/>
      <c r="AA39" s="62"/>
      <c r="AB39" s="14">
        <f>SUM(AB35:AB38)+AB33</f>
        <v>0.1</v>
      </c>
      <c r="AC39" s="14">
        <f>SUM(AC35:AC38)+AC33</f>
        <v>270</v>
      </c>
      <c r="AD39" s="62"/>
      <c r="AE39" s="62"/>
      <c r="AF39" s="14">
        <f>SUM(AF35:AF38)+AF33</f>
        <v>0</v>
      </c>
      <c r="AG39" s="62">
        <f>SUM(AG35:AG38)+AG33</f>
        <v>7631</v>
      </c>
      <c r="AH39" s="62"/>
      <c r="AI39" s="62"/>
      <c r="AJ39" s="62"/>
      <c r="AK39" s="14">
        <f>SUM(AK35:AK38)+AK33</f>
        <v>90</v>
      </c>
      <c r="AL39" s="14"/>
      <c r="AM39" s="14"/>
      <c r="AN39" s="14">
        <f>SUM(AN35:AN38)+AN33</f>
        <v>0.1</v>
      </c>
      <c r="AO39" s="14">
        <f>SUM(AO35:AO38)+AO33</f>
        <v>50</v>
      </c>
      <c r="AP39" s="14"/>
      <c r="AQ39" s="14"/>
      <c r="AR39" s="14">
        <f>SUM(AR34:AR38)+AR33</f>
        <v>0.05</v>
      </c>
      <c r="AS39" s="14">
        <f>SUM(AS35:AS38)+AS33</f>
        <v>65</v>
      </c>
      <c r="AT39" s="14"/>
      <c r="AU39" s="14"/>
      <c r="AV39" s="14">
        <f>SUM(AV35:AV38)+AV33</f>
        <v>0.05</v>
      </c>
      <c r="AW39" s="14">
        <f>SUM(AW35:AW37)+AW33</f>
        <v>150</v>
      </c>
      <c r="AX39" s="14"/>
      <c r="AY39" s="14"/>
      <c r="AZ39" s="14">
        <f>SUM(AZ35:AZ37)+AZ33</f>
        <v>0.05</v>
      </c>
      <c r="BA39" s="14">
        <f>SUM(BA35:BA38)+BA33</f>
        <v>120</v>
      </c>
      <c r="BB39" s="14"/>
      <c r="BC39" s="14"/>
      <c r="BD39" s="14">
        <f>SUM(BD35:BD38)+BD33</f>
        <v>0.05</v>
      </c>
      <c r="BE39" s="14">
        <f>SUM(BE35:BE38)+BE33</f>
        <v>2048</v>
      </c>
      <c r="BF39" s="14"/>
      <c r="BG39" s="14"/>
      <c r="BH39" s="14">
        <f>SUM(BH35:BH38)+BH33</f>
        <v>0.05</v>
      </c>
      <c r="BI39" s="14">
        <f>SUM(BI35:BI38)+BI33</f>
        <v>150</v>
      </c>
      <c r="BJ39" s="14"/>
      <c r="BK39" s="14"/>
      <c r="BL39" s="14">
        <f>SUM(BL35:BL38)+BL33</f>
        <v>0.05</v>
      </c>
      <c r="BM39" s="14">
        <f>SUM(BM35:BM38)+BM33</f>
        <v>68</v>
      </c>
      <c r="BN39" s="14">
        <f>BN33+COUNTIF(BN35:BN38,"x")</f>
        <v>24</v>
      </c>
      <c r="BO39" s="14">
        <f>BO33+COUNTIF(BO35:BO38,"x")</f>
        <v>2</v>
      </c>
      <c r="BP39" s="14">
        <f>BP33+COUNTIF(BP35:BP38,"x")</f>
        <v>1</v>
      </c>
      <c r="BQ39" s="14">
        <f>SUM(BQ35:BQ38)+BQ33</f>
        <v>50</v>
      </c>
      <c r="BR39" s="14">
        <f>BR33+COUNTIF(BR35:BR38,"x")</f>
        <v>1</v>
      </c>
      <c r="BS39" s="14">
        <f>BS33+COUNTIF(BS35:BS38,"x")</f>
        <v>1</v>
      </c>
      <c r="BT39" s="14">
        <f>BT33+COUNTIF(BT35:BT38,"x")</f>
        <v>24</v>
      </c>
      <c r="BU39" s="14" t="s">
        <v>769</v>
      </c>
      <c r="BV39" s="14">
        <v>2</v>
      </c>
      <c r="BW39" s="14">
        <v>4</v>
      </c>
      <c r="BX39" s="14">
        <v>2</v>
      </c>
    </row>
    <row r="40" spans="1:76">
      <c r="I40" s="34"/>
    </row>
    <row r="41" spans="1:76" ht="12.95">
      <c r="A41" s="16" t="s">
        <v>773</v>
      </c>
      <c r="I41" s="34"/>
    </row>
    <row r="42" spans="1:76">
      <c r="I42" s="34"/>
      <c r="M42" s="34"/>
      <c r="N42" s="34"/>
      <c r="O42" s="34"/>
      <c r="P42" s="34"/>
    </row>
    <row r="43" spans="1:76">
      <c r="A43" s="6" t="s">
        <v>486</v>
      </c>
      <c r="C43" s="6" t="s">
        <v>435</v>
      </c>
      <c r="D43" s="6" t="s">
        <v>44</v>
      </c>
      <c r="E43" s="14" t="s">
        <v>774</v>
      </c>
      <c r="F43" s="14">
        <v>4</v>
      </c>
      <c r="G43" s="14">
        <v>16</v>
      </c>
      <c r="H43" s="62">
        <v>70</v>
      </c>
      <c r="I43" s="31">
        <v>16</v>
      </c>
      <c r="J43" s="14" t="s">
        <v>748</v>
      </c>
      <c r="K43" s="6" t="s">
        <v>746</v>
      </c>
      <c r="L43" s="14">
        <v>2.6</v>
      </c>
      <c r="M43" s="14"/>
      <c r="N43" s="14"/>
      <c r="O43" s="14"/>
      <c r="P43" s="14"/>
      <c r="Q43" s="14"/>
      <c r="R43" s="14"/>
      <c r="S43" s="14"/>
      <c r="T43" s="14"/>
      <c r="U43" s="14"/>
      <c r="V43" s="14"/>
      <c r="W43" s="14"/>
      <c r="X43" s="14"/>
      <c r="Y43" s="14"/>
      <c r="Z43" s="14"/>
      <c r="AA43" s="14"/>
      <c r="AB43" s="14"/>
      <c r="AC43" s="14"/>
      <c r="AD43" s="14"/>
      <c r="AE43" s="14"/>
      <c r="AF43" s="14"/>
      <c r="AG43" s="62">
        <f t="shared" ref="AG43:AG60" si="2">2*H43</f>
        <v>140</v>
      </c>
      <c r="AH43" s="14" t="s">
        <v>748</v>
      </c>
      <c r="AI43" s="6" t="s">
        <v>746</v>
      </c>
      <c r="AJ43" s="14" t="s">
        <v>742</v>
      </c>
      <c r="BM43" s="14">
        <v>2</v>
      </c>
      <c r="BN43" s="14" t="s">
        <v>437</v>
      </c>
      <c r="BO43" s="14"/>
      <c r="BP43" s="14"/>
      <c r="BQ43" s="14">
        <v>2</v>
      </c>
      <c r="BR43" s="14"/>
      <c r="BS43" s="14" t="s">
        <v>437</v>
      </c>
      <c r="BT43" s="14" t="s">
        <v>437</v>
      </c>
      <c r="BU43" s="14"/>
      <c r="BV43" s="14"/>
      <c r="BW43" s="14"/>
    </row>
    <row r="44" spans="1:76">
      <c r="A44" s="6" t="s">
        <v>539</v>
      </c>
      <c r="C44" s="6" t="s">
        <v>488</v>
      </c>
      <c r="D44" s="6" t="s">
        <v>112</v>
      </c>
      <c r="E44" s="14" t="s">
        <v>763</v>
      </c>
      <c r="F44" s="14">
        <v>4</v>
      </c>
      <c r="G44" s="14">
        <v>4</v>
      </c>
      <c r="H44" s="62">
        <v>100</v>
      </c>
      <c r="I44" s="31">
        <v>0</v>
      </c>
      <c r="J44" s="14" t="s">
        <v>745</v>
      </c>
      <c r="K44" s="6" t="s">
        <v>746</v>
      </c>
      <c r="L44" s="14">
        <v>100</v>
      </c>
      <c r="M44" s="14"/>
      <c r="N44" s="14"/>
      <c r="O44" s="14"/>
      <c r="P44" s="14"/>
      <c r="Q44" s="14"/>
      <c r="R44" s="14"/>
      <c r="S44" s="14"/>
      <c r="T44" s="14"/>
      <c r="U44" s="14"/>
      <c r="V44" s="14"/>
      <c r="W44" s="14"/>
      <c r="X44" s="14"/>
      <c r="Y44" s="14"/>
      <c r="Z44" s="14"/>
      <c r="AA44" s="14"/>
      <c r="AB44" s="14"/>
      <c r="AC44" s="14"/>
      <c r="AD44" s="14"/>
      <c r="AE44" s="14"/>
      <c r="AF44" s="14"/>
      <c r="AG44" s="62">
        <f t="shared" si="2"/>
        <v>200</v>
      </c>
      <c r="AH44" s="14" t="s">
        <v>748</v>
      </c>
      <c r="AI44" s="6" t="s">
        <v>746</v>
      </c>
      <c r="AJ44" s="14" t="s">
        <v>742</v>
      </c>
      <c r="BM44" s="14">
        <v>4</v>
      </c>
      <c r="BN44" s="14" t="s">
        <v>437</v>
      </c>
      <c r="BO44" s="14"/>
      <c r="BP44" s="14"/>
      <c r="BQ44" s="14">
        <v>2</v>
      </c>
      <c r="BR44" s="14"/>
      <c r="BS44" s="14" t="s">
        <v>437</v>
      </c>
      <c r="BT44" s="14" t="s">
        <v>437</v>
      </c>
      <c r="BU44" s="14"/>
      <c r="BV44" s="14"/>
      <c r="BW44" s="14"/>
    </row>
    <row r="45" spans="1:76">
      <c r="A45" s="6" t="s">
        <v>491</v>
      </c>
      <c r="C45" s="21" t="s">
        <v>488</v>
      </c>
      <c r="D45" s="6" t="s">
        <v>120</v>
      </c>
      <c r="E45" s="14" t="s">
        <v>764</v>
      </c>
      <c r="F45" s="14">
        <v>4</v>
      </c>
      <c r="G45" s="14">
        <v>16</v>
      </c>
      <c r="H45" s="62">
        <v>100</v>
      </c>
      <c r="I45" s="31">
        <v>0</v>
      </c>
      <c r="J45" s="14" t="s">
        <v>745</v>
      </c>
      <c r="K45" s="6" t="s">
        <v>746</v>
      </c>
      <c r="L45" s="14">
        <v>110</v>
      </c>
      <c r="M45" s="14"/>
      <c r="N45" s="14"/>
      <c r="O45" s="14"/>
      <c r="P45" s="14"/>
      <c r="Q45" s="14"/>
      <c r="R45" s="14"/>
      <c r="S45" s="14"/>
      <c r="T45" s="14"/>
      <c r="U45" s="14"/>
      <c r="V45" s="14"/>
      <c r="W45" s="14"/>
      <c r="X45" s="14"/>
      <c r="Y45" s="14"/>
      <c r="Z45" s="14"/>
      <c r="AA45" s="14"/>
      <c r="AB45" s="14"/>
      <c r="AC45" s="14"/>
      <c r="AD45" s="14"/>
      <c r="AE45" s="14"/>
      <c r="AF45" s="14"/>
      <c r="AG45" s="62">
        <f t="shared" si="2"/>
        <v>200</v>
      </c>
      <c r="AH45" s="14" t="s">
        <v>748</v>
      </c>
      <c r="AI45" s="6" t="s">
        <v>746</v>
      </c>
      <c r="AJ45" s="14" t="s">
        <v>742</v>
      </c>
      <c r="BM45" s="14">
        <v>4</v>
      </c>
      <c r="BN45" s="14" t="s">
        <v>437</v>
      </c>
      <c r="BO45" s="14"/>
      <c r="BP45" s="14"/>
      <c r="BQ45" s="14">
        <v>2</v>
      </c>
      <c r="BR45" s="14"/>
      <c r="BS45" s="14" t="s">
        <v>437</v>
      </c>
      <c r="BT45" s="14" t="s">
        <v>437</v>
      </c>
      <c r="BU45" s="14"/>
      <c r="BV45" s="14"/>
      <c r="BW45" s="14"/>
    </row>
    <row r="46" spans="1:76">
      <c r="A46" s="6" t="s">
        <v>540</v>
      </c>
      <c r="C46" s="21" t="s">
        <v>488</v>
      </c>
      <c r="D46" s="6" t="s">
        <v>120</v>
      </c>
      <c r="E46" s="14" t="s">
        <v>764</v>
      </c>
      <c r="F46" s="14">
        <v>4</v>
      </c>
      <c r="G46" s="14">
        <v>16</v>
      </c>
      <c r="H46" s="62">
        <v>100</v>
      </c>
      <c r="I46" s="31">
        <v>0</v>
      </c>
      <c r="J46" s="14" t="s">
        <v>745</v>
      </c>
      <c r="K46" s="6" t="s">
        <v>746</v>
      </c>
      <c r="L46" s="14">
        <v>110</v>
      </c>
      <c r="M46" s="14"/>
      <c r="N46" s="14"/>
      <c r="O46" s="14"/>
      <c r="P46" s="14"/>
      <c r="Q46" s="14"/>
      <c r="R46" s="14"/>
      <c r="S46" s="14"/>
      <c r="T46" s="14"/>
      <c r="U46" s="14"/>
      <c r="V46" s="14"/>
      <c r="W46" s="14"/>
      <c r="X46" s="14"/>
      <c r="Y46" s="14"/>
      <c r="Z46" s="14"/>
      <c r="AA46" s="14"/>
      <c r="AB46" s="14"/>
      <c r="AC46" s="14"/>
      <c r="AD46" s="14"/>
      <c r="AE46" s="14"/>
      <c r="AF46" s="14"/>
      <c r="AG46" s="62">
        <f t="shared" si="2"/>
        <v>200</v>
      </c>
      <c r="AH46" s="14" t="s">
        <v>748</v>
      </c>
      <c r="AI46" s="6" t="s">
        <v>746</v>
      </c>
      <c r="AJ46" s="14" t="s">
        <v>742</v>
      </c>
      <c r="BM46" s="14">
        <v>4</v>
      </c>
      <c r="BN46" s="14" t="s">
        <v>437</v>
      </c>
      <c r="BO46" s="14"/>
      <c r="BP46" s="14"/>
      <c r="BQ46" s="14">
        <v>2</v>
      </c>
      <c r="BR46" s="14"/>
      <c r="BS46" s="14" t="s">
        <v>437</v>
      </c>
      <c r="BT46" s="14" t="s">
        <v>437</v>
      </c>
      <c r="BU46" s="14"/>
      <c r="BV46" s="14"/>
      <c r="BW46" s="14"/>
    </row>
    <row r="47" spans="1:76">
      <c r="A47" s="6" t="s">
        <v>541</v>
      </c>
      <c r="C47" s="21" t="s">
        <v>488</v>
      </c>
      <c r="D47" s="6" t="s">
        <v>116</v>
      </c>
      <c r="E47" s="14" t="s">
        <v>765</v>
      </c>
      <c r="F47" s="14">
        <v>4</v>
      </c>
      <c r="G47" s="14">
        <v>14</v>
      </c>
      <c r="H47" s="62">
        <v>120</v>
      </c>
      <c r="I47" s="31">
        <v>0</v>
      </c>
      <c r="J47" s="14" t="s">
        <v>745</v>
      </c>
      <c r="K47" s="6" t="s">
        <v>746</v>
      </c>
      <c r="L47" s="14">
        <v>100</v>
      </c>
      <c r="M47" s="14"/>
      <c r="N47" s="14"/>
      <c r="O47" s="14"/>
      <c r="P47" s="14"/>
      <c r="Q47" s="14"/>
      <c r="R47" s="14"/>
      <c r="S47" s="14"/>
      <c r="T47" s="14"/>
      <c r="U47" s="14"/>
      <c r="V47" s="14"/>
      <c r="W47" s="14"/>
      <c r="X47" s="14"/>
      <c r="Y47" s="14"/>
      <c r="Z47" s="14"/>
      <c r="AA47" s="14"/>
      <c r="AB47" s="14"/>
      <c r="AC47" s="14"/>
      <c r="AD47" s="14"/>
      <c r="AE47" s="14"/>
      <c r="AF47" s="14"/>
      <c r="AG47" s="62">
        <f t="shared" si="2"/>
        <v>240</v>
      </c>
      <c r="AH47" s="14" t="s">
        <v>748</v>
      </c>
      <c r="AI47" s="6" t="s">
        <v>746</v>
      </c>
      <c r="AJ47" s="14" t="s">
        <v>742</v>
      </c>
      <c r="BM47" s="14">
        <v>4</v>
      </c>
      <c r="BN47" s="14" t="s">
        <v>437</v>
      </c>
      <c r="BO47" s="14"/>
      <c r="BP47" s="14"/>
      <c r="BQ47" s="14">
        <v>2</v>
      </c>
      <c r="BR47" s="14"/>
      <c r="BS47" s="14" t="s">
        <v>437</v>
      </c>
      <c r="BT47" s="14" t="s">
        <v>437</v>
      </c>
      <c r="BU47" s="14"/>
      <c r="BV47" s="14"/>
      <c r="BW47" s="14"/>
    </row>
    <row r="48" spans="1:76">
      <c r="A48" s="6" t="s">
        <v>492</v>
      </c>
      <c r="C48" s="6" t="s">
        <v>435</v>
      </c>
      <c r="D48" s="6" t="s">
        <v>55</v>
      </c>
      <c r="E48" s="14" t="s">
        <v>775</v>
      </c>
      <c r="F48" s="14">
        <v>3</v>
      </c>
      <c r="G48" s="14">
        <v>8</v>
      </c>
      <c r="H48" s="62">
        <v>120</v>
      </c>
      <c r="I48" s="31">
        <v>4</v>
      </c>
      <c r="J48" s="14" t="s">
        <v>748</v>
      </c>
      <c r="K48" s="6" t="s">
        <v>746</v>
      </c>
      <c r="L48" s="14">
        <v>2.6</v>
      </c>
      <c r="M48" s="14"/>
      <c r="N48" s="14"/>
      <c r="O48" s="14"/>
      <c r="P48" s="14"/>
      <c r="Q48" s="14"/>
      <c r="R48" s="14"/>
      <c r="S48" s="14"/>
      <c r="T48" s="14"/>
      <c r="U48" s="14"/>
      <c r="V48" s="14"/>
      <c r="W48" s="14"/>
      <c r="X48" s="14"/>
      <c r="Y48" s="14"/>
      <c r="Z48" s="14"/>
      <c r="AA48" s="14"/>
      <c r="AB48" s="14"/>
      <c r="AC48" s="14"/>
      <c r="AD48" s="14"/>
      <c r="AE48" s="14"/>
      <c r="AF48" s="14"/>
      <c r="AG48" s="62">
        <f t="shared" si="2"/>
        <v>240</v>
      </c>
      <c r="AH48" s="14" t="s">
        <v>748</v>
      </c>
      <c r="AI48" s="6" t="s">
        <v>746</v>
      </c>
      <c r="AJ48" s="14" t="s">
        <v>742</v>
      </c>
      <c r="BM48" s="14">
        <v>2</v>
      </c>
      <c r="BN48" s="14" t="s">
        <v>437</v>
      </c>
      <c r="BO48" s="14"/>
      <c r="BP48" s="14"/>
      <c r="BQ48" s="14">
        <v>2</v>
      </c>
      <c r="BR48" s="14"/>
      <c r="BS48" s="14" t="s">
        <v>437</v>
      </c>
      <c r="BT48" s="14" t="s">
        <v>437</v>
      </c>
      <c r="BU48" s="14"/>
      <c r="BV48" s="14"/>
      <c r="BW48" s="14"/>
    </row>
    <row r="49" spans="1:76">
      <c r="A49" s="6" t="s">
        <v>493</v>
      </c>
      <c r="C49" s="6" t="s">
        <v>435</v>
      </c>
      <c r="D49" s="6" t="s">
        <v>55</v>
      </c>
      <c r="E49" s="14" t="s">
        <v>775</v>
      </c>
      <c r="F49" s="14">
        <v>3</v>
      </c>
      <c r="G49" s="14">
        <v>8</v>
      </c>
      <c r="H49" s="62">
        <v>120</v>
      </c>
      <c r="I49" s="31">
        <v>4</v>
      </c>
      <c r="J49" s="14" t="s">
        <v>748</v>
      </c>
      <c r="K49" s="6" t="s">
        <v>746</v>
      </c>
      <c r="L49" s="14">
        <v>2.6</v>
      </c>
      <c r="M49" s="14"/>
      <c r="N49" s="14"/>
      <c r="O49" s="14"/>
      <c r="P49" s="14"/>
      <c r="Q49" s="14"/>
      <c r="R49" s="14"/>
      <c r="S49" s="14"/>
      <c r="T49" s="14"/>
      <c r="U49" s="14"/>
      <c r="V49" s="14"/>
      <c r="W49" s="14"/>
      <c r="X49" s="14"/>
      <c r="Y49" s="14"/>
      <c r="Z49" s="14"/>
      <c r="AA49" s="14"/>
      <c r="AB49" s="14"/>
      <c r="AC49" s="14"/>
      <c r="AD49" s="14"/>
      <c r="AE49" s="14"/>
      <c r="AF49" s="14"/>
      <c r="AG49" s="62">
        <f t="shared" si="2"/>
        <v>240</v>
      </c>
      <c r="AH49" s="14" t="s">
        <v>748</v>
      </c>
      <c r="AI49" s="6" t="s">
        <v>746</v>
      </c>
      <c r="AJ49" s="14" t="s">
        <v>742</v>
      </c>
      <c r="BM49" s="14">
        <v>2</v>
      </c>
      <c r="BN49" s="14" t="s">
        <v>437</v>
      </c>
      <c r="BO49" s="14"/>
      <c r="BP49" s="14"/>
      <c r="BQ49" s="14">
        <v>2</v>
      </c>
      <c r="BR49" s="14"/>
      <c r="BS49" s="14" t="s">
        <v>437</v>
      </c>
      <c r="BT49" s="14" t="s">
        <v>437</v>
      </c>
      <c r="BU49" s="14"/>
      <c r="BV49" s="14"/>
      <c r="BW49" s="14"/>
    </row>
    <row r="50" spans="1:76">
      <c r="A50" s="6" t="s">
        <v>494</v>
      </c>
      <c r="C50" s="6" t="s">
        <v>435</v>
      </c>
      <c r="D50" s="6" t="s">
        <v>71</v>
      </c>
      <c r="E50" s="14" t="s">
        <v>776</v>
      </c>
      <c r="F50" s="14">
        <v>4</v>
      </c>
      <c r="G50" s="14">
        <v>4</v>
      </c>
      <c r="H50" s="62">
        <v>40</v>
      </c>
      <c r="I50" s="31">
        <v>4</v>
      </c>
      <c r="J50" s="14" t="s">
        <v>748</v>
      </c>
      <c r="K50" s="6" t="s">
        <v>746</v>
      </c>
      <c r="L50" s="14">
        <v>2.6</v>
      </c>
      <c r="M50" s="14"/>
      <c r="N50" s="14"/>
      <c r="O50" s="14"/>
      <c r="P50" s="14"/>
      <c r="Q50" s="14"/>
      <c r="R50" s="14"/>
      <c r="S50" s="14"/>
      <c r="T50" s="14"/>
      <c r="U50" s="14"/>
      <c r="V50" s="14"/>
      <c r="W50" s="14"/>
      <c r="X50" s="14"/>
      <c r="Y50" s="14"/>
      <c r="Z50" s="14"/>
      <c r="AA50" s="14"/>
      <c r="AB50" s="14"/>
      <c r="AC50" s="14"/>
      <c r="AD50" s="14"/>
      <c r="AE50" s="14"/>
      <c r="AF50" s="14"/>
      <c r="AG50" s="62">
        <f t="shared" si="2"/>
        <v>80</v>
      </c>
      <c r="AH50" s="14" t="s">
        <v>748</v>
      </c>
      <c r="AI50" s="6" t="s">
        <v>746</v>
      </c>
      <c r="AJ50" s="14" t="s">
        <v>742</v>
      </c>
      <c r="BM50" s="14">
        <v>2</v>
      </c>
      <c r="BN50" s="14" t="s">
        <v>437</v>
      </c>
      <c r="BO50" s="14"/>
      <c r="BP50" s="14"/>
      <c r="BQ50" s="14">
        <v>2</v>
      </c>
      <c r="BR50" s="14"/>
      <c r="BS50" s="14" t="s">
        <v>437</v>
      </c>
      <c r="BT50" s="14" t="s">
        <v>437</v>
      </c>
      <c r="BU50" s="14"/>
      <c r="BV50" s="14"/>
      <c r="BW50" s="14"/>
    </row>
    <row r="51" spans="1:76">
      <c r="A51" s="6" t="s">
        <v>495</v>
      </c>
      <c r="C51" s="6" t="s">
        <v>435</v>
      </c>
      <c r="D51" s="6" t="s">
        <v>63</v>
      </c>
      <c r="E51" s="14" t="s">
        <v>776</v>
      </c>
      <c r="F51" s="14">
        <v>4</v>
      </c>
      <c r="G51" s="14">
        <v>4</v>
      </c>
      <c r="H51" s="62">
        <v>30</v>
      </c>
      <c r="I51" s="31">
        <v>4</v>
      </c>
      <c r="J51" s="14" t="s">
        <v>748</v>
      </c>
      <c r="K51" s="6" t="s">
        <v>746</v>
      </c>
      <c r="L51" s="14">
        <v>2.6</v>
      </c>
      <c r="M51" s="14"/>
      <c r="N51" s="14"/>
      <c r="O51" s="14"/>
      <c r="P51" s="14"/>
      <c r="Q51" s="14"/>
      <c r="R51" s="14"/>
      <c r="S51" s="14"/>
      <c r="T51" s="14"/>
      <c r="U51" s="14"/>
      <c r="V51" s="14"/>
      <c r="W51" s="14"/>
      <c r="X51" s="14"/>
      <c r="Y51" s="14"/>
      <c r="Z51" s="14"/>
      <c r="AA51" s="14"/>
      <c r="AB51" s="14"/>
      <c r="AC51" s="14"/>
      <c r="AD51" s="14"/>
      <c r="AE51" s="14"/>
      <c r="AF51" s="14"/>
      <c r="AG51" s="62">
        <f t="shared" si="2"/>
        <v>60</v>
      </c>
      <c r="AH51" s="14" t="s">
        <v>748</v>
      </c>
      <c r="AI51" s="6" t="s">
        <v>746</v>
      </c>
      <c r="AJ51" s="14" t="s">
        <v>742</v>
      </c>
      <c r="BM51" s="14">
        <v>2</v>
      </c>
      <c r="BN51" s="14" t="s">
        <v>437</v>
      </c>
      <c r="BO51" s="14"/>
      <c r="BP51" s="14"/>
      <c r="BQ51" s="14">
        <v>2</v>
      </c>
      <c r="BR51" s="14"/>
      <c r="BS51" s="14" t="s">
        <v>437</v>
      </c>
      <c r="BT51" s="14" t="s">
        <v>437</v>
      </c>
      <c r="BU51" s="14"/>
      <c r="BV51" s="14"/>
      <c r="BW51" s="14"/>
    </row>
    <row r="52" spans="1:76">
      <c r="A52" s="6" t="s">
        <v>496</v>
      </c>
      <c r="C52" s="6" t="s">
        <v>435</v>
      </c>
      <c r="D52" s="6" t="s">
        <v>67</v>
      </c>
      <c r="E52" s="14" t="s">
        <v>776</v>
      </c>
      <c r="F52" s="14">
        <v>4</v>
      </c>
      <c r="G52" s="14">
        <v>4</v>
      </c>
      <c r="H52" s="62">
        <v>35</v>
      </c>
      <c r="I52" s="31">
        <v>4</v>
      </c>
      <c r="J52" s="14" t="s">
        <v>748</v>
      </c>
      <c r="K52" s="6" t="s">
        <v>746</v>
      </c>
      <c r="L52" s="14">
        <v>2.6</v>
      </c>
      <c r="M52" s="14"/>
      <c r="N52" s="14"/>
      <c r="O52" s="14"/>
      <c r="P52" s="14"/>
      <c r="Q52" s="14"/>
      <c r="R52" s="14"/>
      <c r="S52" s="14"/>
      <c r="T52" s="14"/>
      <c r="U52" s="14"/>
      <c r="V52" s="14"/>
      <c r="W52" s="14"/>
      <c r="X52" s="14"/>
      <c r="Y52" s="14"/>
      <c r="Z52" s="14"/>
      <c r="AA52" s="14"/>
      <c r="AB52" s="14"/>
      <c r="AC52" s="14"/>
      <c r="AD52" s="14"/>
      <c r="AE52" s="14"/>
      <c r="AF52" s="14"/>
      <c r="AG52" s="62">
        <f t="shared" si="2"/>
        <v>70</v>
      </c>
      <c r="AH52" s="14" t="s">
        <v>748</v>
      </c>
      <c r="AI52" s="6" t="s">
        <v>746</v>
      </c>
      <c r="AJ52" s="14" t="s">
        <v>742</v>
      </c>
      <c r="BM52" s="14">
        <v>2</v>
      </c>
      <c r="BN52" s="14" t="s">
        <v>437</v>
      </c>
      <c r="BO52" s="14"/>
      <c r="BP52" s="14"/>
      <c r="BQ52" s="14">
        <v>2</v>
      </c>
      <c r="BR52" s="14"/>
      <c r="BS52" s="14" t="s">
        <v>437</v>
      </c>
      <c r="BT52" s="14" t="s">
        <v>437</v>
      </c>
      <c r="BU52" s="14"/>
      <c r="BV52" s="14"/>
      <c r="BW52" s="14"/>
    </row>
    <row r="53" spans="1:76" ht="14.45">
      <c r="A53" s="6" t="s">
        <v>497</v>
      </c>
      <c r="C53" s="6" t="s">
        <v>435</v>
      </c>
      <c r="D53" s="6" t="s">
        <v>276</v>
      </c>
      <c r="E53" s="14" t="s">
        <v>777</v>
      </c>
      <c r="F53" s="14">
        <v>5</v>
      </c>
      <c r="G53" s="14">
        <v>6</v>
      </c>
      <c r="H53" s="62">
        <v>110</v>
      </c>
      <c r="I53" s="31">
        <v>4</v>
      </c>
      <c r="J53" s="14" t="s">
        <v>748</v>
      </c>
      <c r="K53" s="6" t="s">
        <v>746</v>
      </c>
      <c r="L53" s="14">
        <v>2.6</v>
      </c>
      <c r="M53" s="14"/>
      <c r="N53" s="14"/>
      <c r="O53" s="14"/>
      <c r="P53" s="14"/>
      <c r="Q53" s="2"/>
      <c r="R53" s="2"/>
      <c r="S53" s="2"/>
      <c r="T53" s="2"/>
      <c r="U53" s="14"/>
      <c r="V53" s="14"/>
      <c r="W53" s="14"/>
      <c r="X53" s="14"/>
      <c r="Y53" s="14"/>
      <c r="Z53" s="14"/>
      <c r="AA53" s="14"/>
      <c r="AB53" s="14"/>
      <c r="AC53" s="14"/>
      <c r="AD53" s="14"/>
      <c r="AE53" s="14"/>
      <c r="AF53" s="14"/>
      <c r="AG53" s="62">
        <f t="shared" si="2"/>
        <v>220</v>
      </c>
      <c r="AH53" s="14" t="s">
        <v>748</v>
      </c>
      <c r="AI53" s="6" t="s">
        <v>746</v>
      </c>
      <c r="AJ53" s="14" t="s">
        <v>742</v>
      </c>
      <c r="BM53" s="14">
        <v>2</v>
      </c>
      <c r="BN53" s="14" t="s">
        <v>437</v>
      </c>
      <c r="BO53" s="14" t="s">
        <v>437</v>
      </c>
      <c r="BP53" s="14"/>
      <c r="BQ53" s="14">
        <v>2</v>
      </c>
      <c r="BR53" s="14"/>
      <c r="BS53" s="14" t="s">
        <v>437</v>
      </c>
      <c r="BT53" s="14" t="s">
        <v>437</v>
      </c>
      <c r="BU53" s="14"/>
      <c r="BV53" s="14"/>
      <c r="BW53" s="14"/>
    </row>
    <row r="54" spans="1:76" ht="14.45">
      <c r="A54" s="6" t="s">
        <v>542</v>
      </c>
      <c r="C54" s="6" t="s">
        <v>435</v>
      </c>
      <c r="D54" s="6" t="s">
        <v>90</v>
      </c>
      <c r="E54" s="14" t="s">
        <v>778</v>
      </c>
      <c r="F54" s="14">
        <v>2</v>
      </c>
      <c r="G54" s="14">
        <v>2</v>
      </c>
      <c r="H54" s="62">
        <v>15</v>
      </c>
      <c r="I54" s="31">
        <v>4</v>
      </c>
      <c r="J54" s="14" t="s">
        <v>748</v>
      </c>
      <c r="K54" s="6" t="s">
        <v>746</v>
      </c>
      <c r="L54" s="14">
        <v>2.6</v>
      </c>
      <c r="M54" s="14"/>
      <c r="N54" s="14"/>
      <c r="O54" s="14"/>
      <c r="P54" s="14"/>
      <c r="Q54" s="2"/>
      <c r="R54" s="2"/>
      <c r="S54" s="2"/>
      <c r="T54" s="2"/>
      <c r="U54" s="14"/>
      <c r="V54" s="14"/>
      <c r="W54" s="14"/>
      <c r="X54" s="14"/>
      <c r="Y54" s="14"/>
      <c r="Z54" s="14"/>
      <c r="AA54" s="14"/>
      <c r="AB54" s="14"/>
      <c r="AC54" s="14"/>
      <c r="AD54" s="14"/>
      <c r="AE54" s="14"/>
      <c r="AF54" s="14"/>
      <c r="AG54" s="62">
        <f t="shared" si="2"/>
        <v>30</v>
      </c>
      <c r="AH54" s="14" t="s">
        <v>748</v>
      </c>
      <c r="AI54" s="6" t="s">
        <v>746</v>
      </c>
      <c r="AJ54" s="14" t="s">
        <v>742</v>
      </c>
      <c r="BM54" s="14">
        <v>2</v>
      </c>
      <c r="BN54" s="14" t="s">
        <v>437</v>
      </c>
      <c r="BO54" s="14"/>
      <c r="BP54" s="14"/>
      <c r="BQ54" s="14">
        <v>2</v>
      </c>
      <c r="BR54" s="14"/>
      <c r="BS54" s="14" t="s">
        <v>437</v>
      </c>
      <c r="BT54" s="14" t="s">
        <v>437</v>
      </c>
      <c r="BU54" s="14"/>
      <c r="BV54" s="14"/>
      <c r="BW54" s="14"/>
    </row>
    <row r="55" spans="1:76" ht="14.45">
      <c r="A55" s="6" t="s">
        <v>543</v>
      </c>
      <c r="C55" s="6" t="s">
        <v>435</v>
      </c>
      <c r="D55" s="6" t="s">
        <v>90</v>
      </c>
      <c r="E55" s="14" t="s">
        <v>778</v>
      </c>
      <c r="F55" s="14">
        <v>2</v>
      </c>
      <c r="G55" s="14">
        <v>2</v>
      </c>
      <c r="H55" s="62">
        <v>15</v>
      </c>
      <c r="I55" s="31">
        <v>4</v>
      </c>
      <c r="J55" s="14" t="s">
        <v>748</v>
      </c>
      <c r="K55" s="6" t="s">
        <v>746</v>
      </c>
      <c r="L55" s="14">
        <v>2.6</v>
      </c>
      <c r="M55" s="14"/>
      <c r="N55" s="14"/>
      <c r="O55" s="14"/>
      <c r="P55" s="14"/>
      <c r="Q55" s="2"/>
      <c r="R55" s="2"/>
      <c r="S55" s="2"/>
      <c r="T55" s="2"/>
      <c r="U55" s="14"/>
      <c r="V55" s="14"/>
      <c r="W55" s="14"/>
      <c r="X55" s="14"/>
      <c r="Y55" s="14"/>
      <c r="Z55" s="14"/>
      <c r="AA55" s="14"/>
      <c r="AB55" s="14"/>
      <c r="AC55" s="14"/>
      <c r="AD55" s="14"/>
      <c r="AE55" s="14"/>
      <c r="AF55" s="14"/>
      <c r="AG55" s="62">
        <f t="shared" si="2"/>
        <v>30</v>
      </c>
      <c r="AH55" s="14" t="s">
        <v>748</v>
      </c>
      <c r="AI55" s="6" t="s">
        <v>746</v>
      </c>
      <c r="AJ55" s="14" t="s">
        <v>742</v>
      </c>
      <c r="BM55" s="14">
        <v>2</v>
      </c>
      <c r="BN55" s="14" t="s">
        <v>437</v>
      </c>
      <c r="BO55" s="14"/>
      <c r="BP55" s="14"/>
      <c r="BQ55" s="14">
        <v>2</v>
      </c>
      <c r="BR55" s="14"/>
      <c r="BS55" s="14" t="s">
        <v>437</v>
      </c>
      <c r="BT55" s="14" t="s">
        <v>437</v>
      </c>
      <c r="BU55" s="14"/>
      <c r="BV55" s="14"/>
      <c r="BW55" s="14"/>
    </row>
    <row r="56" spans="1:76" ht="14.45">
      <c r="A56" s="6" t="s">
        <v>544</v>
      </c>
      <c r="C56" s="6" t="s">
        <v>435</v>
      </c>
      <c r="D56" s="6" t="s">
        <v>94</v>
      </c>
      <c r="E56" s="14" t="s">
        <v>779</v>
      </c>
      <c r="F56" s="14">
        <v>6</v>
      </c>
      <c r="G56" s="14">
        <v>5</v>
      </c>
      <c r="H56" s="62">
        <v>40</v>
      </c>
      <c r="I56" s="31">
        <v>4</v>
      </c>
      <c r="J56" s="14" t="s">
        <v>748</v>
      </c>
      <c r="K56" s="6" t="s">
        <v>746</v>
      </c>
      <c r="L56" s="14">
        <v>2.6</v>
      </c>
      <c r="M56" s="14"/>
      <c r="N56" s="14"/>
      <c r="O56" s="14"/>
      <c r="P56" s="14"/>
      <c r="Q56" s="2"/>
      <c r="R56" s="2"/>
      <c r="S56" s="2"/>
      <c r="T56" s="2"/>
      <c r="U56" s="14"/>
      <c r="V56" s="14"/>
      <c r="W56" s="14"/>
      <c r="X56" s="14"/>
      <c r="Y56" s="14"/>
      <c r="Z56" s="14"/>
      <c r="AA56" s="14"/>
      <c r="AB56" s="14"/>
      <c r="AC56" s="14"/>
      <c r="AD56" s="14"/>
      <c r="AE56" s="14"/>
      <c r="AF56" s="14"/>
      <c r="AG56" s="62">
        <f t="shared" si="2"/>
        <v>80</v>
      </c>
      <c r="AH56" s="14" t="s">
        <v>748</v>
      </c>
      <c r="AI56" s="6" t="s">
        <v>746</v>
      </c>
      <c r="AJ56" s="14" t="s">
        <v>742</v>
      </c>
      <c r="BM56" s="14">
        <v>2</v>
      </c>
      <c r="BN56" s="14" t="s">
        <v>437</v>
      </c>
      <c r="BO56" s="14"/>
      <c r="BP56" s="14"/>
      <c r="BQ56" s="14">
        <v>2</v>
      </c>
      <c r="BR56" s="14"/>
      <c r="BS56" s="14" t="s">
        <v>437</v>
      </c>
      <c r="BT56" s="14" t="s">
        <v>437</v>
      </c>
      <c r="BU56" s="14"/>
      <c r="BV56" s="14"/>
      <c r="BW56" s="14"/>
    </row>
    <row r="57" spans="1:76" ht="14.45">
      <c r="A57" s="6" t="s">
        <v>545</v>
      </c>
      <c r="C57" s="6" t="s">
        <v>435</v>
      </c>
      <c r="D57" s="6" t="s">
        <v>98</v>
      </c>
      <c r="E57" s="14" t="s">
        <v>780</v>
      </c>
      <c r="F57" s="14">
        <v>2</v>
      </c>
      <c r="G57" s="14">
        <v>2</v>
      </c>
      <c r="H57" s="62">
        <v>30</v>
      </c>
      <c r="I57" s="31">
        <v>4</v>
      </c>
      <c r="J57" s="14" t="s">
        <v>748</v>
      </c>
      <c r="K57" s="6" t="s">
        <v>746</v>
      </c>
      <c r="L57" s="14">
        <v>2.6</v>
      </c>
      <c r="M57" s="14"/>
      <c r="N57" s="14"/>
      <c r="O57" s="14"/>
      <c r="P57" s="14"/>
      <c r="Q57" s="2"/>
      <c r="R57" s="2"/>
      <c r="S57" s="2"/>
      <c r="T57" s="2"/>
      <c r="U57" s="14"/>
      <c r="V57" s="14"/>
      <c r="W57" s="14"/>
      <c r="X57" s="14"/>
      <c r="Y57" s="14"/>
      <c r="Z57" s="14"/>
      <c r="AA57" s="14"/>
      <c r="AB57" s="14"/>
      <c r="AC57" s="14"/>
      <c r="AD57" s="14"/>
      <c r="AE57" s="14"/>
      <c r="AF57" s="14"/>
      <c r="AG57" s="62">
        <f t="shared" si="2"/>
        <v>60</v>
      </c>
      <c r="AH57" s="14" t="s">
        <v>748</v>
      </c>
      <c r="AI57" s="6" t="s">
        <v>746</v>
      </c>
      <c r="AJ57" s="14" t="s">
        <v>742</v>
      </c>
      <c r="BM57" s="14">
        <v>2</v>
      </c>
      <c r="BN57" s="14" t="s">
        <v>437</v>
      </c>
      <c r="BO57" s="14"/>
      <c r="BP57" s="14"/>
      <c r="BQ57" s="14">
        <v>2</v>
      </c>
      <c r="BR57" s="14"/>
      <c r="BS57" s="14" t="s">
        <v>437</v>
      </c>
      <c r="BT57" s="14" t="s">
        <v>437</v>
      </c>
      <c r="BU57" s="14"/>
      <c r="BV57" s="14"/>
      <c r="BW57" s="14"/>
    </row>
    <row r="58" spans="1:76" ht="14.45">
      <c r="A58" s="6" t="s">
        <v>551</v>
      </c>
      <c r="C58" s="6" t="s">
        <v>435</v>
      </c>
      <c r="D58" s="6" t="s">
        <v>122</v>
      </c>
      <c r="E58" s="14" t="s">
        <v>781</v>
      </c>
      <c r="F58" s="14">
        <v>2</v>
      </c>
      <c r="G58" s="14">
        <v>10</v>
      </c>
      <c r="H58" s="62">
        <v>60</v>
      </c>
      <c r="I58" s="31">
        <v>16</v>
      </c>
      <c r="J58" s="14" t="s">
        <v>748</v>
      </c>
      <c r="K58" s="6" t="s">
        <v>746</v>
      </c>
      <c r="L58" s="14">
        <v>2.6</v>
      </c>
      <c r="M58" s="14"/>
      <c r="N58" s="14"/>
      <c r="O58" s="14"/>
      <c r="P58" s="14"/>
      <c r="Q58" s="2"/>
      <c r="R58" s="2"/>
      <c r="S58" s="2"/>
      <c r="T58" s="2"/>
      <c r="U58" s="14"/>
      <c r="V58" s="14"/>
      <c r="W58" s="14"/>
      <c r="X58" s="14"/>
      <c r="Y58" s="14"/>
      <c r="Z58" s="14"/>
      <c r="AA58" s="14"/>
      <c r="AB58" s="14"/>
      <c r="AC58" s="14"/>
      <c r="AD58" s="14"/>
      <c r="AE58" s="14"/>
      <c r="AF58" s="14"/>
      <c r="AG58" s="62">
        <f t="shared" si="2"/>
        <v>120</v>
      </c>
      <c r="AH58" s="14" t="s">
        <v>748</v>
      </c>
      <c r="AI58" s="6" t="s">
        <v>746</v>
      </c>
      <c r="AJ58" s="14" t="s">
        <v>742</v>
      </c>
      <c r="BM58" s="14">
        <v>2</v>
      </c>
      <c r="BN58" s="14" t="s">
        <v>437</v>
      </c>
      <c r="BO58" s="14"/>
      <c r="BP58" s="14"/>
      <c r="BQ58" s="14">
        <v>2</v>
      </c>
      <c r="BR58" s="14"/>
      <c r="BS58" s="14" t="s">
        <v>437</v>
      </c>
      <c r="BT58" s="14" t="s">
        <v>437</v>
      </c>
      <c r="BU58" s="14"/>
      <c r="BV58" s="14"/>
      <c r="BW58" s="14"/>
    </row>
    <row r="59" spans="1:76" ht="14.45">
      <c r="A59" s="6" t="s">
        <v>480</v>
      </c>
      <c r="C59" s="6" t="s">
        <v>435</v>
      </c>
      <c r="D59" s="6" t="s">
        <v>506</v>
      </c>
      <c r="E59" s="14" t="s">
        <v>772</v>
      </c>
      <c r="F59" s="14">
        <v>2</v>
      </c>
      <c r="G59" s="14">
        <v>2</v>
      </c>
      <c r="H59" s="62">
        <v>50</v>
      </c>
      <c r="I59" s="31">
        <v>4</v>
      </c>
      <c r="J59" s="14" t="s">
        <v>748</v>
      </c>
      <c r="K59" s="6" t="s">
        <v>746</v>
      </c>
      <c r="L59" s="14">
        <v>2.6</v>
      </c>
      <c r="M59" s="14"/>
      <c r="N59" s="14"/>
      <c r="O59" s="14"/>
      <c r="P59" s="14"/>
      <c r="Q59" s="2"/>
      <c r="R59" s="2"/>
      <c r="S59" s="2"/>
      <c r="T59" s="2"/>
      <c r="U59" s="14"/>
      <c r="V59" s="14"/>
      <c r="W59" s="14"/>
      <c r="X59" s="14"/>
      <c r="Y59" s="14"/>
      <c r="Z59" s="14"/>
      <c r="AA59" s="14"/>
      <c r="AB59" s="14"/>
      <c r="AC59" s="14"/>
      <c r="AD59" s="14"/>
      <c r="AE59" s="14"/>
      <c r="AF59" s="14"/>
      <c r="AG59" s="62">
        <f t="shared" si="2"/>
        <v>100</v>
      </c>
      <c r="AH59" s="14" t="s">
        <v>748</v>
      </c>
      <c r="AI59" s="6" t="s">
        <v>746</v>
      </c>
      <c r="AJ59" s="14" t="s">
        <v>742</v>
      </c>
      <c r="BA59" s="14"/>
      <c r="BB59" s="14"/>
      <c r="BC59" s="14"/>
      <c r="BD59" s="14"/>
      <c r="BM59" s="14">
        <v>2</v>
      </c>
      <c r="BN59" s="14" t="s">
        <v>437</v>
      </c>
      <c r="BO59" s="14"/>
      <c r="BP59" s="14"/>
      <c r="BQ59" s="14">
        <v>2</v>
      </c>
      <c r="BR59" s="14"/>
      <c r="BS59" s="14" t="s">
        <v>437</v>
      </c>
      <c r="BT59" s="14" t="s">
        <v>437</v>
      </c>
      <c r="BU59" s="14"/>
      <c r="BV59" s="14"/>
      <c r="BW59" s="14"/>
    </row>
    <row r="60" spans="1:76" s="19" customFormat="1" ht="14.45">
      <c r="A60" s="19" t="s">
        <v>476</v>
      </c>
      <c r="C60" s="19" t="s">
        <v>435</v>
      </c>
      <c r="D60" s="19" t="s">
        <v>507</v>
      </c>
      <c r="E60" s="17" t="s">
        <v>771</v>
      </c>
      <c r="F60" s="17">
        <v>2</v>
      </c>
      <c r="G60" s="17">
        <v>2</v>
      </c>
      <c r="H60" s="68">
        <v>50</v>
      </c>
      <c r="I60" s="80">
        <v>4</v>
      </c>
      <c r="J60" s="17" t="s">
        <v>748</v>
      </c>
      <c r="K60" s="19" t="s">
        <v>746</v>
      </c>
      <c r="L60" s="17">
        <v>2.6</v>
      </c>
      <c r="M60" s="17"/>
      <c r="N60" s="17"/>
      <c r="O60" s="17"/>
      <c r="P60" s="17"/>
      <c r="Q60" s="99"/>
      <c r="R60" s="99"/>
      <c r="S60" s="99"/>
      <c r="T60" s="99"/>
      <c r="U60" s="17"/>
      <c r="V60" s="17"/>
      <c r="W60" s="17"/>
      <c r="X60" s="17"/>
      <c r="Y60" s="17"/>
      <c r="Z60" s="17"/>
      <c r="AA60" s="17"/>
      <c r="AB60" s="17"/>
      <c r="AC60" s="17"/>
      <c r="AD60" s="17"/>
      <c r="AE60" s="17"/>
      <c r="AF60" s="17"/>
      <c r="AG60" s="68">
        <f t="shared" si="2"/>
        <v>100</v>
      </c>
      <c r="AH60" s="17" t="s">
        <v>748</v>
      </c>
      <c r="AI60" s="157" t="s">
        <v>746</v>
      </c>
      <c r="AJ60" s="17" t="s">
        <v>742</v>
      </c>
      <c r="BA60" s="17"/>
      <c r="BB60" s="17"/>
      <c r="BC60" s="17"/>
      <c r="BD60" s="17"/>
      <c r="BM60" s="17">
        <v>2</v>
      </c>
      <c r="BN60" s="17" t="s">
        <v>437</v>
      </c>
      <c r="BO60" s="17"/>
      <c r="BP60" s="17"/>
      <c r="BQ60" s="17">
        <v>2</v>
      </c>
      <c r="BR60" s="17"/>
      <c r="BS60" s="17" t="s">
        <v>437</v>
      </c>
      <c r="BT60" s="17" t="s">
        <v>437</v>
      </c>
      <c r="BU60" s="17"/>
      <c r="BV60" s="17"/>
      <c r="BW60" s="17"/>
    </row>
    <row r="61" spans="1:76">
      <c r="F61" s="14">
        <f>F39+SUM(F43:F60)</f>
        <v>194</v>
      </c>
      <c r="G61" s="14">
        <f>G39+SUM(G43:G60)</f>
        <v>438</v>
      </c>
      <c r="H61" s="62">
        <f>H39+SUM(H43:H60)</f>
        <v>3253</v>
      </c>
      <c r="I61" s="31"/>
      <c r="J61" s="62"/>
      <c r="K61" s="62"/>
      <c r="L61" s="14">
        <f>L39+SUM(L43:L60)</f>
        <v>829.00000000000045</v>
      </c>
      <c r="M61" s="14">
        <f>M39+SUM(M43:M60)</f>
        <v>59.4</v>
      </c>
      <c r="N61" s="62"/>
      <c r="O61" s="62"/>
      <c r="P61" s="14">
        <f>P39+SUM(P43:P60)</f>
        <v>0.05</v>
      </c>
      <c r="Q61" s="14">
        <f>Q39+SUM(Q43:Q60)</f>
        <v>675</v>
      </c>
      <c r="R61" s="62"/>
      <c r="S61" s="62"/>
      <c r="T61" s="14">
        <f>T39+SUM(T43:T60)</f>
        <v>0.05</v>
      </c>
      <c r="U61" s="14">
        <f>U39+SUM(U43:U60)</f>
        <v>1012.5</v>
      </c>
      <c r="V61" s="62"/>
      <c r="W61" s="62"/>
      <c r="X61" s="14">
        <f>X39+SUM(X43:X60)</f>
        <v>0.05</v>
      </c>
      <c r="Y61" s="14">
        <f>Y39+SUM(Y43:Y60)</f>
        <v>432</v>
      </c>
      <c r="Z61" s="62"/>
      <c r="AA61" s="62"/>
      <c r="AB61" s="14">
        <f>AB39+SUM(AB43:AB60)</f>
        <v>0.1</v>
      </c>
      <c r="AC61" s="14">
        <f>AC39+SUM(AC43:AC60)</f>
        <v>270</v>
      </c>
      <c r="AD61" s="62"/>
      <c r="AE61" s="62"/>
      <c r="AF61" s="14">
        <f>AF39+SUM(AF43:AF60)</f>
        <v>0</v>
      </c>
      <c r="AG61" s="62">
        <f>AG39+SUM(AG43:AG60)</f>
        <v>10041</v>
      </c>
      <c r="AH61" s="62"/>
      <c r="AI61" s="62"/>
      <c r="AJ61" s="62"/>
      <c r="AK61" s="14">
        <f>AK39+SUM(AK43:AK60)</f>
        <v>90</v>
      </c>
      <c r="AL61" s="62"/>
      <c r="AM61" s="62"/>
      <c r="AN61" s="14">
        <f>AN39+SUM(AN43:AN60)</f>
        <v>0.1</v>
      </c>
      <c r="AO61" s="14">
        <f>AO39+SUM(AO43:AO60)</f>
        <v>50</v>
      </c>
      <c r="AP61" s="62"/>
      <c r="AQ61" s="62"/>
      <c r="AR61" s="14">
        <f>AR39+SUM(AR43:AR60)</f>
        <v>0.05</v>
      </c>
      <c r="AS61" s="14">
        <f>AS39+SUM(AS43:AS60)</f>
        <v>65</v>
      </c>
      <c r="AT61" s="62"/>
      <c r="AU61" s="62"/>
      <c r="AV61" s="14">
        <f>AV39+SUM(AV43:AV60)</f>
        <v>0.05</v>
      </c>
      <c r="AW61" s="14">
        <f>AW39+SUM(AW43:AW60)</f>
        <v>150</v>
      </c>
      <c r="AX61" s="14"/>
      <c r="AY61" s="14"/>
      <c r="AZ61" s="14">
        <f>AZ39+SUM(AZ43:AZ60)</f>
        <v>0.05</v>
      </c>
      <c r="BA61" s="14">
        <f>BA39+SUM(BA43:BA60)</f>
        <v>120</v>
      </c>
      <c r="BB61" s="14"/>
      <c r="BC61" s="14"/>
      <c r="BD61" s="14">
        <f>BD39+SUM(BD43:BD60)</f>
        <v>0.05</v>
      </c>
      <c r="BE61" s="14">
        <f>BE39+SUM(BE43:BE60)</f>
        <v>2048</v>
      </c>
      <c r="BF61" s="62"/>
      <c r="BG61" s="62"/>
      <c r="BH61" s="14">
        <f>BH39+SUM(BH43:BH60)</f>
        <v>0.05</v>
      </c>
      <c r="BI61" s="14"/>
      <c r="BJ61" s="14"/>
      <c r="BK61" s="14"/>
      <c r="BL61" s="14"/>
      <c r="BM61" s="14">
        <f>BM39+SUM(BM43:BM60)</f>
        <v>112</v>
      </c>
      <c r="BN61" s="14">
        <f>BN39+COUNTIF(BN43:BN60,"x")</f>
        <v>42</v>
      </c>
      <c r="BO61" s="14">
        <f>BO39+COUNTIF(BO43:BO60,"x")</f>
        <v>3</v>
      </c>
      <c r="BP61" s="14">
        <f>BP39+COUNTIF(BP43:BP60,"x")</f>
        <v>1</v>
      </c>
      <c r="BQ61" s="14">
        <f>BQ39+SUM(BQ43:BQ60)</f>
        <v>86</v>
      </c>
      <c r="BR61" s="14">
        <f>BR39+COUNTIF(BR43:BR60,"x")</f>
        <v>1</v>
      </c>
      <c r="BS61" s="14">
        <f>BS39+COUNTIF(BS43:BS60,"x")</f>
        <v>19</v>
      </c>
      <c r="BT61" s="14">
        <f>BT39+COUNTIF(BT43:BT60,"x")</f>
        <v>42</v>
      </c>
      <c r="BU61" s="14" t="s">
        <v>769</v>
      </c>
      <c r="BV61" s="14">
        <v>2</v>
      </c>
      <c r="BW61" s="14">
        <v>4</v>
      </c>
      <c r="BX61" s="14">
        <v>2</v>
      </c>
    </row>
    <row r="62" spans="1:76" ht="14.45">
      <c r="E62" s="2"/>
      <c r="I62" s="34"/>
      <c r="BM62" s="14"/>
    </row>
    <row r="63" spans="1:76" ht="14.45">
      <c r="A63" s="16" t="s">
        <v>782</v>
      </c>
      <c r="E63" s="2"/>
      <c r="I63" s="34"/>
      <c r="BM63" s="14"/>
    </row>
    <row r="64" spans="1:76" ht="14.45">
      <c r="E64" s="2"/>
      <c r="I64" s="34"/>
      <c r="AG64" s="14"/>
      <c r="BM64" s="14"/>
    </row>
    <row r="65" spans="1:76">
      <c r="A65" s="6" t="s">
        <v>560</v>
      </c>
      <c r="C65" s="6" t="s">
        <v>584</v>
      </c>
      <c r="D65" s="6" t="s">
        <v>42</v>
      </c>
      <c r="E65" s="14" t="s">
        <v>783</v>
      </c>
      <c r="F65" s="14">
        <v>2</v>
      </c>
      <c r="G65" s="14">
        <v>4</v>
      </c>
      <c r="H65" s="62">
        <v>70</v>
      </c>
      <c r="I65" s="31">
        <v>4</v>
      </c>
      <c r="J65" s="14" t="s">
        <v>748</v>
      </c>
      <c r="K65" s="6" t="s">
        <v>746</v>
      </c>
      <c r="L65" s="14">
        <v>2.6</v>
      </c>
      <c r="M65" s="14"/>
      <c r="N65" s="14"/>
      <c r="O65" s="14"/>
      <c r="P65" s="14"/>
      <c r="Q65" s="14"/>
      <c r="R65" s="14"/>
      <c r="S65" s="14"/>
      <c r="T65" s="14"/>
      <c r="U65" s="14"/>
      <c r="V65" s="14"/>
      <c r="W65" s="14"/>
      <c r="X65" s="14"/>
      <c r="Y65" s="14"/>
      <c r="Z65" s="14"/>
      <c r="AA65" s="14"/>
      <c r="AB65" s="14"/>
      <c r="AC65" s="14"/>
      <c r="AD65" s="14"/>
      <c r="AE65" s="14"/>
      <c r="AF65" s="14"/>
      <c r="AG65" s="14">
        <f>2*H65</f>
        <v>140</v>
      </c>
      <c r="AH65" s="14" t="s">
        <v>748</v>
      </c>
      <c r="AI65" s="6" t="s">
        <v>746</v>
      </c>
      <c r="AJ65" s="14" t="s">
        <v>742</v>
      </c>
      <c r="BM65" s="14">
        <v>2</v>
      </c>
      <c r="BN65" s="14" t="s">
        <v>437</v>
      </c>
      <c r="BO65" s="14"/>
      <c r="BP65" s="14"/>
      <c r="BQ65" s="14">
        <v>2</v>
      </c>
      <c r="BR65" s="14"/>
      <c r="BS65" s="14" t="s">
        <v>437</v>
      </c>
      <c r="BT65" s="14" t="s">
        <v>437</v>
      </c>
      <c r="BU65" s="14"/>
      <c r="BV65" s="14"/>
      <c r="BW65" s="14"/>
    </row>
    <row r="66" spans="1:76">
      <c r="A66" s="6" t="s">
        <v>565</v>
      </c>
      <c r="C66" s="6" t="s">
        <v>584</v>
      </c>
      <c r="D66" s="6" t="s">
        <v>566</v>
      </c>
      <c r="E66" s="14" t="s">
        <v>784</v>
      </c>
      <c r="F66" s="14">
        <v>6</v>
      </c>
      <c r="G66" s="14">
        <v>10</v>
      </c>
      <c r="H66" s="62">
        <v>100</v>
      </c>
      <c r="I66" s="31">
        <v>16</v>
      </c>
      <c r="J66" s="14" t="s">
        <v>748</v>
      </c>
      <c r="K66" s="6" t="s">
        <v>746</v>
      </c>
      <c r="L66" s="14">
        <v>2.6</v>
      </c>
      <c r="M66" s="14"/>
      <c r="N66" s="14"/>
      <c r="O66" s="14"/>
      <c r="P66" s="14"/>
      <c r="Q66" s="62">
        <v>200</v>
      </c>
      <c r="R66" s="86" t="s">
        <v>748</v>
      </c>
      <c r="S66" s="6" t="s">
        <v>746</v>
      </c>
      <c r="T66" s="86" t="s">
        <v>742</v>
      </c>
      <c r="U66" s="86"/>
      <c r="V66" s="86"/>
      <c r="W66" s="86"/>
      <c r="X66" s="86"/>
      <c r="AB66" s="86" t="s">
        <v>742</v>
      </c>
      <c r="AC66" s="14"/>
      <c r="AD66" s="14"/>
      <c r="AE66" s="14"/>
      <c r="AF66" s="14"/>
      <c r="AG66" s="14">
        <f>2*H66+Q66*2</f>
        <v>600</v>
      </c>
      <c r="AH66" s="14" t="s">
        <v>748</v>
      </c>
      <c r="AI66" s="6" t="s">
        <v>746</v>
      </c>
      <c r="AJ66" s="14" t="s">
        <v>742</v>
      </c>
      <c r="BM66" s="14">
        <v>3</v>
      </c>
      <c r="BN66" s="14" t="s">
        <v>437</v>
      </c>
      <c r="BO66" s="14"/>
      <c r="BP66" s="14"/>
      <c r="BQ66" s="14">
        <v>2</v>
      </c>
      <c r="BR66" s="14"/>
      <c r="BS66" s="14" t="s">
        <v>437</v>
      </c>
      <c r="BT66" s="14" t="s">
        <v>437</v>
      </c>
      <c r="BU66" s="14"/>
      <c r="BV66" s="14"/>
      <c r="BW66" s="14"/>
    </row>
    <row r="67" spans="1:76">
      <c r="A67" s="6" t="s">
        <v>567</v>
      </c>
      <c r="C67" s="6" t="s">
        <v>584</v>
      </c>
      <c r="D67" s="6" t="s">
        <v>568</v>
      </c>
      <c r="E67" s="14" t="s">
        <v>785</v>
      </c>
      <c r="F67" s="14">
        <v>8</v>
      </c>
      <c r="G67" s="14">
        <v>16</v>
      </c>
      <c r="H67" s="62">
        <v>60</v>
      </c>
      <c r="I67" s="31">
        <v>4</v>
      </c>
      <c r="J67" s="14" t="s">
        <v>748</v>
      </c>
      <c r="K67" s="6" t="s">
        <v>746</v>
      </c>
      <c r="L67" s="14">
        <v>2.6</v>
      </c>
      <c r="M67" s="14"/>
      <c r="N67" s="14"/>
      <c r="O67" s="14"/>
      <c r="P67" s="14"/>
      <c r="Q67" s="86"/>
      <c r="R67" s="86"/>
      <c r="S67" s="86"/>
      <c r="T67" s="86"/>
      <c r="U67" s="86"/>
      <c r="V67" s="86"/>
      <c r="W67" s="86"/>
      <c r="X67" s="86"/>
      <c r="Y67" s="86"/>
      <c r="Z67" s="86"/>
      <c r="AA67" s="86"/>
      <c r="AB67" s="86"/>
      <c r="AC67" s="14"/>
      <c r="AD67" s="14"/>
      <c r="AE67" s="14"/>
      <c r="AF67" s="14"/>
      <c r="AG67" s="14">
        <f>2*H67</f>
        <v>120</v>
      </c>
      <c r="AH67" s="14" t="s">
        <v>748</v>
      </c>
      <c r="AI67" s="6" t="s">
        <v>746</v>
      </c>
      <c r="AJ67" s="14" t="s">
        <v>742</v>
      </c>
      <c r="BM67" s="14">
        <v>2</v>
      </c>
      <c r="BN67" s="14" t="s">
        <v>437</v>
      </c>
      <c r="BO67" s="14"/>
      <c r="BP67" s="14"/>
      <c r="BQ67" s="14">
        <v>2</v>
      </c>
      <c r="BR67" s="14"/>
      <c r="BS67" s="14" t="s">
        <v>437</v>
      </c>
      <c r="BT67" s="14" t="s">
        <v>437</v>
      </c>
      <c r="BU67" s="14"/>
      <c r="BV67" s="14"/>
      <c r="BW67" s="14"/>
    </row>
    <row r="68" spans="1:76">
      <c r="A68" s="6" t="s">
        <v>570</v>
      </c>
      <c r="C68" s="6" t="s">
        <v>584</v>
      </c>
      <c r="D68" s="6" t="s">
        <v>571</v>
      </c>
      <c r="E68" s="14" t="s">
        <v>786</v>
      </c>
      <c r="F68" s="14">
        <v>10</v>
      </c>
      <c r="G68" s="14">
        <v>10</v>
      </c>
      <c r="H68" s="62">
        <v>30</v>
      </c>
      <c r="I68" s="31">
        <v>4</v>
      </c>
      <c r="J68" s="14" t="s">
        <v>748</v>
      </c>
      <c r="K68" s="6" t="s">
        <v>746</v>
      </c>
      <c r="L68" s="14">
        <v>2.6</v>
      </c>
      <c r="M68" s="14"/>
      <c r="N68" s="14"/>
      <c r="O68" s="14"/>
      <c r="P68" s="14"/>
      <c r="Q68" s="86"/>
      <c r="R68" s="86"/>
      <c r="S68" s="86"/>
      <c r="T68" s="86"/>
      <c r="U68" s="86"/>
      <c r="V68" s="86"/>
      <c r="W68" s="86"/>
      <c r="X68" s="86"/>
      <c r="Y68" s="86"/>
      <c r="Z68" s="86"/>
      <c r="AA68" s="86"/>
      <c r="AB68" s="86"/>
      <c r="AC68" s="14"/>
      <c r="AD68" s="14"/>
      <c r="AE68" s="14"/>
      <c r="AF68" s="14"/>
      <c r="AG68" s="14">
        <f>2*H68</f>
        <v>60</v>
      </c>
      <c r="AH68" s="14" t="s">
        <v>748</v>
      </c>
      <c r="AI68" s="6" t="s">
        <v>746</v>
      </c>
      <c r="AJ68" s="14" t="s">
        <v>742</v>
      </c>
      <c r="BM68" s="14">
        <v>2</v>
      </c>
      <c r="BN68" s="14" t="s">
        <v>437</v>
      </c>
      <c r="BO68" s="14"/>
      <c r="BP68" s="14"/>
      <c r="BQ68" s="14">
        <v>2</v>
      </c>
      <c r="BR68" s="14"/>
      <c r="BS68" s="14" t="s">
        <v>437</v>
      </c>
      <c r="BT68" s="14" t="s">
        <v>437</v>
      </c>
      <c r="BU68" s="14"/>
      <c r="BV68" s="14"/>
      <c r="BW68" s="14"/>
    </row>
    <row r="69" spans="1:76">
      <c r="A69" s="6" t="s">
        <v>572</v>
      </c>
      <c r="C69" s="6" t="s">
        <v>584</v>
      </c>
      <c r="D69" s="6" t="s">
        <v>573</v>
      </c>
      <c r="E69" s="14" t="s">
        <v>787</v>
      </c>
      <c r="F69" s="14">
        <v>4</v>
      </c>
      <c r="G69" s="14">
        <v>16</v>
      </c>
      <c r="H69" s="62">
        <v>550</v>
      </c>
      <c r="I69" s="31">
        <v>4</v>
      </c>
      <c r="J69" s="14" t="s">
        <v>748</v>
      </c>
      <c r="K69" s="6" t="s">
        <v>746</v>
      </c>
      <c r="L69" s="14">
        <v>2.6</v>
      </c>
      <c r="M69" s="14"/>
      <c r="N69" s="14"/>
      <c r="O69" s="14"/>
      <c r="P69" s="14"/>
      <c r="R69" s="86"/>
      <c r="T69" s="86"/>
      <c r="U69" s="86"/>
      <c r="V69" s="86"/>
      <c r="W69" s="86"/>
      <c r="X69" s="86"/>
      <c r="Y69" s="86"/>
      <c r="Z69" s="86"/>
      <c r="AA69" s="86"/>
      <c r="AB69" s="86"/>
      <c r="AC69" s="14"/>
      <c r="AD69" s="14"/>
      <c r="AE69" s="14"/>
      <c r="AF69" s="14"/>
      <c r="AG69" s="14">
        <f>2*H69</f>
        <v>1100</v>
      </c>
      <c r="AH69" s="14" t="s">
        <v>748</v>
      </c>
      <c r="AI69" s="6" t="s">
        <v>746</v>
      </c>
      <c r="AJ69" s="14" t="s">
        <v>742</v>
      </c>
      <c r="BM69" s="14">
        <v>2</v>
      </c>
      <c r="BN69" s="14" t="s">
        <v>437</v>
      </c>
      <c r="BO69" s="14"/>
      <c r="BP69" s="14"/>
      <c r="BQ69" s="14">
        <v>2</v>
      </c>
      <c r="BR69" s="14"/>
      <c r="BS69" s="14" t="s">
        <v>437</v>
      </c>
      <c r="BT69" s="14" t="s">
        <v>437</v>
      </c>
      <c r="BU69" s="14"/>
      <c r="BV69" s="14"/>
      <c r="BW69" s="14"/>
    </row>
    <row r="70" spans="1:76" s="19" customFormat="1">
      <c r="A70" s="19" t="s">
        <v>576</v>
      </c>
      <c r="C70" s="19" t="s">
        <v>584</v>
      </c>
      <c r="D70" s="19" t="s">
        <v>577</v>
      </c>
      <c r="E70" s="17" t="s">
        <v>788</v>
      </c>
      <c r="F70" s="17">
        <v>2</v>
      </c>
      <c r="G70" s="17">
        <v>4</v>
      </c>
      <c r="H70" s="68">
        <v>40</v>
      </c>
      <c r="I70" s="80">
        <v>4</v>
      </c>
      <c r="J70" s="17" t="s">
        <v>748</v>
      </c>
      <c r="K70" s="19" t="s">
        <v>746</v>
      </c>
      <c r="L70" s="17">
        <v>2.6</v>
      </c>
      <c r="M70" s="17"/>
      <c r="N70" s="17"/>
      <c r="O70" s="17"/>
      <c r="P70" s="17"/>
      <c r="Q70" s="39"/>
      <c r="R70" s="39"/>
      <c r="T70" s="39"/>
      <c r="U70" s="39"/>
      <c r="V70" s="39"/>
      <c r="W70" s="39"/>
      <c r="X70" s="39"/>
      <c r="Y70" s="68">
        <v>50</v>
      </c>
      <c r="Z70" s="39" t="s">
        <v>748</v>
      </c>
      <c r="AA70" s="19" t="s">
        <v>746</v>
      </c>
      <c r="AB70" s="39"/>
      <c r="AC70" s="17"/>
      <c r="AD70" s="17"/>
      <c r="AE70" s="17"/>
      <c r="AF70" s="17"/>
      <c r="AG70" s="17">
        <f>H70*2+Y70*2</f>
        <v>180</v>
      </c>
      <c r="AH70" s="17" t="s">
        <v>748</v>
      </c>
      <c r="AI70" s="19" t="s">
        <v>746</v>
      </c>
      <c r="AJ70" s="17" t="s">
        <v>742</v>
      </c>
      <c r="BM70" s="17">
        <v>3</v>
      </c>
      <c r="BN70" s="17" t="s">
        <v>437</v>
      </c>
      <c r="BO70" s="17"/>
      <c r="BP70" s="17"/>
      <c r="BQ70" s="17">
        <v>2</v>
      </c>
      <c r="BR70" s="17"/>
      <c r="BS70" s="17" t="s">
        <v>437</v>
      </c>
      <c r="BT70" s="17" t="s">
        <v>437</v>
      </c>
      <c r="BU70" s="17"/>
      <c r="BV70" s="17"/>
      <c r="BW70" s="17"/>
    </row>
    <row r="71" spans="1:76">
      <c r="F71" s="14">
        <f>F61+SUM(F65:F70)</f>
        <v>226</v>
      </c>
      <c r="G71" s="14">
        <f>G61+SUM(G65:G70)</f>
        <v>498</v>
      </c>
      <c r="H71" s="62">
        <f>H61+SUM(H65:H70)</f>
        <v>4103</v>
      </c>
      <c r="I71" s="62"/>
      <c r="J71" s="62"/>
      <c r="K71" s="62"/>
      <c r="L71" s="14">
        <f>L61+SUM(L65:L70)</f>
        <v>844.60000000000048</v>
      </c>
      <c r="M71" s="14">
        <f>M61+SUM(M65:M70)</f>
        <v>59.4</v>
      </c>
      <c r="N71" s="62"/>
      <c r="O71" s="62"/>
      <c r="P71" s="14">
        <f>P61+SUM(P65:P70)</f>
        <v>0.05</v>
      </c>
      <c r="Q71" s="14">
        <f>Q61+SUM(Q65:Q70)</f>
        <v>875</v>
      </c>
      <c r="R71" s="62"/>
      <c r="S71" s="62"/>
      <c r="T71" s="14">
        <f>T61+SUM(T65:T70)</f>
        <v>0.05</v>
      </c>
      <c r="U71" s="14">
        <f>U61+SUM(U65:U70)</f>
        <v>1012.5</v>
      </c>
      <c r="V71" s="62"/>
      <c r="W71" s="62"/>
      <c r="X71" s="14">
        <f>X61+SUM(X65:X70)</f>
        <v>0.05</v>
      </c>
      <c r="Y71" s="14">
        <f>Y61+SUM(Y65:Y70)</f>
        <v>482</v>
      </c>
      <c r="Z71" s="62"/>
      <c r="AA71" s="62"/>
      <c r="AB71" s="14">
        <f>AB61+SUM(AB65:AB70)</f>
        <v>0.1</v>
      </c>
      <c r="AC71" s="14">
        <f>AC61+SUM(AC65:AC70)</f>
        <v>270</v>
      </c>
      <c r="AD71" s="62"/>
      <c r="AE71" s="62"/>
      <c r="AF71" s="14">
        <f>AF61+SUM(AF65:AF70)</f>
        <v>0</v>
      </c>
      <c r="AG71" s="14">
        <f>AG61+SUM(AG65:AG70)</f>
        <v>12241</v>
      </c>
      <c r="AH71" s="62"/>
      <c r="AI71" s="62"/>
      <c r="AJ71" s="62"/>
      <c r="AK71" s="14">
        <f>AK61+SUM(AK65:AK70)</f>
        <v>90</v>
      </c>
      <c r="AL71" s="14"/>
      <c r="AM71" s="14"/>
      <c r="AN71" s="14">
        <f>AN61+SUM(AN65:AN70)</f>
        <v>0.1</v>
      </c>
      <c r="AO71" s="14">
        <f>AO61+SUM(AO65:AO70)</f>
        <v>50</v>
      </c>
      <c r="AP71" s="14"/>
      <c r="AQ71" s="14"/>
      <c r="AR71" s="14">
        <f>AR61+SUM(AR65:AR70)</f>
        <v>0.05</v>
      </c>
      <c r="AS71" s="14">
        <f>AS61+SUM(AS65:AS70)</f>
        <v>65</v>
      </c>
      <c r="AT71" s="62"/>
      <c r="AU71" s="14"/>
      <c r="AV71" s="14">
        <f>AV61+SUM(AV65:AV70)</f>
        <v>0.05</v>
      </c>
      <c r="AW71" s="14"/>
      <c r="AX71" s="14"/>
      <c r="AY71" s="14"/>
      <c r="AZ71" s="14"/>
      <c r="BA71" s="14"/>
      <c r="BB71" s="14"/>
      <c r="BC71" s="14"/>
      <c r="BD71" s="14"/>
      <c r="BE71" s="14">
        <f>BE61+SUM(BE65:BE70)</f>
        <v>2048</v>
      </c>
      <c r="BF71" s="62"/>
      <c r="BG71" s="62"/>
      <c r="BH71" s="14">
        <f>BH61+SUM(BH65:BH70)</f>
        <v>0.05</v>
      </c>
      <c r="BI71" s="14"/>
      <c r="BJ71" s="14"/>
      <c r="BK71" s="14"/>
      <c r="BL71" s="14"/>
      <c r="BM71" s="14">
        <f>BM61+SUM(BM65:BM70)</f>
        <v>126</v>
      </c>
      <c r="BN71" s="14">
        <f>BN61+COUNTIF(BN65:BN70,"x")</f>
        <v>48</v>
      </c>
      <c r="BO71" s="14">
        <f>BO61+SUM(BO65:BO70)</f>
        <v>3</v>
      </c>
      <c r="BP71" s="14">
        <f>BP61+SUM(BP65:BP70)</f>
        <v>1</v>
      </c>
      <c r="BQ71" s="14">
        <f>BQ61+SUM(BQ65:BQ70)</f>
        <v>98</v>
      </c>
      <c r="BR71" s="14">
        <f>BR61+SUM(BR65:BR70)</f>
        <v>1</v>
      </c>
      <c r="BS71" s="14">
        <f>BS61+COUNTIF(BS65:BS70,"x")</f>
        <v>25</v>
      </c>
      <c r="BT71" s="14">
        <f>BT61+COUNTIF(BT65:BT70,"x")</f>
        <v>48</v>
      </c>
      <c r="BU71" s="14" t="s">
        <v>769</v>
      </c>
      <c r="BV71" s="14">
        <v>2</v>
      </c>
      <c r="BW71" s="14">
        <v>4</v>
      </c>
      <c r="BX71" s="14">
        <v>2</v>
      </c>
    </row>
    <row r="84" spans="1:9" ht="12.95">
      <c r="I84" s="103"/>
    </row>
    <row r="85" spans="1:9">
      <c r="I85" s="100"/>
    </row>
    <row r="86" spans="1:9">
      <c r="I86" s="100"/>
    </row>
    <row r="93" spans="1:9" ht="12.95">
      <c r="A93" s="100"/>
      <c r="B93" s="101" t="s">
        <v>603</v>
      </c>
      <c r="C93" s="103" t="s">
        <v>381</v>
      </c>
      <c r="D93" s="103" t="s">
        <v>382</v>
      </c>
      <c r="E93" s="101" t="s">
        <v>604</v>
      </c>
      <c r="F93" s="103" t="s">
        <v>605</v>
      </c>
    </row>
    <row r="94" spans="1:9">
      <c r="A94" s="102" t="s">
        <v>607</v>
      </c>
      <c r="B94" s="100">
        <v>675</v>
      </c>
      <c r="C94" s="100">
        <v>6</v>
      </c>
      <c r="D94" s="100">
        <v>40</v>
      </c>
      <c r="E94" s="100">
        <v>1012.5</v>
      </c>
      <c r="F94" s="100">
        <v>2520</v>
      </c>
    </row>
    <row r="95" spans="1:9">
      <c r="A95" s="102" t="s">
        <v>608</v>
      </c>
      <c r="B95" s="100">
        <v>2115</v>
      </c>
      <c r="C95" s="100">
        <v>11</v>
      </c>
      <c r="D95" s="100">
        <v>70</v>
      </c>
      <c r="E95" s="100">
        <v>2295</v>
      </c>
      <c r="F95" s="100">
        <v>6345</v>
      </c>
    </row>
  </sheetData>
  <mergeCells count="8">
    <mergeCell ref="F3:G3"/>
    <mergeCell ref="A4:B4"/>
    <mergeCell ref="A5:B5"/>
    <mergeCell ref="A36:B36"/>
    <mergeCell ref="A6:B6"/>
    <mergeCell ref="A1:D1"/>
    <mergeCell ref="A2:B2"/>
    <mergeCell ref="A3:B3"/>
  </mergeCells>
  <dataValidations count="1">
    <dataValidation type="list" allowBlank="1" showInputMessage="1" showErrorMessage="1" sqref="Q11" xr:uid="{BF173ACB-ED59-48AE-8AFD-7538C741B5EE}">
      <formula1>$B$94:$B$95</formula1>
    </dataValidation>
  </dataValidations>
  <hyperlinks>
    <hyperlink ref="F3:G3" location="Shortcuts!A1" display="Back to shortcuts" xr:uid="{3B9BE125-1CFB-4C2B-A2BC-F80B5A6368C4}"/>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2811-B29B-452D-8A2B-D9BFA72FA3B1}">
  <dimension ref="A1:BB95"/>
  <sheetViews>
    <sheetView topLeftCell="A15" zoomScale="86" zoomScaleNormal="86" zoomScalePageLayoutView="70" workbookViewId="0">
      <selection activeCell="AV44" sqref="AV44"/>
    </sheetView>
  </sheetViews>
  <sheetFormatPr defaultColWidth="8.85546875" defaultRowHeight="12.6"/>
  <cols>
    <col min="1" max="1" width="12.85546875" style="6" customWidth="1"/>
    <col min="2" max="2" width="16.140625" style="6" customWidth="1"/>
    <col min="3" max="3" width="18.140625" style="6" customWidth="1"/>
    <col min="4" max="4" width="23.140625" style="6" customWidth="1"/>
    <col min="5" max="5" width="55.85546875" style="6" customWidth="1"/>
    <col min="6" max="7" width="8.85546875" style="6"/>
    <col min="8" max="8" width="20.85546875" style="6" bestFit="1" customWidth="1"/>
    <col min="9" max="10" width="8.85546875" style="6"/>
    <col min="11" max="11" width="17.85546875" style="6" customWidth="1"/>
    <col min="12" max="12" width="8.85546875" style="6"/>
    <col min="13" max="13" width="9.85546875" style="6" customWidth="1"/>
    <col min="14" max="14" width="8.85546875" style="6"/>
    <col min="15" max="15" width="11.85546875" style="6" customWidth="1"/>
    <col min="16" max="16" width="8.85546875" style="6"/>
    <col min="17" max="17" width="9.85546875" style="6" customWidth="1"/>
    <col min="18" max="18" width="8.85546875" style="6"/>
    <col min="19" max="19" width="9.85546875" style="6" customWidth="1"/>
    <col min="20" max="20" width="8.85546875" style="6"/>
    <col min="21" max="21" width="9.85546875" style="6" customWidth="1"/>
    <col min="22" max="22" width="8.85546875" style="6"/>
    <col min="23" max="23" width="9" style="14" customWidth="1"/>
    <col min="24" max="24" width="11.140625" style="6" customWidth="1"/>
    <col min="25" max="26" width="9.85546875" style="6" customWidth="1"/>
    <col min="27" max="32" width="13.140625" style="6" customWidth="1"/>
    <col min="33" max="39" width="15.85546875" style="6" customWidth="1"/>
    <col min="40" max="42" width="13.140625" style="6" customWidth="1"/>
    <col min="43" max="43" width="17.85546875" style="6" customWidth="1"/>
    <col min="44" max="44" width="22" style="14" customWidth="1"/>
    <col min="45" max="45" width="12.140625" style="14" customWidth="1"/>
    <col min="46" max="46" width="13.140625" style="6" customWidth="1"/>
    <col min="47" max="16384" width="8.85546875" style="6"/>
  </cols>
  <sheetData>
    <row r="1" spans="1:46" ht="12.95">
      <c r="A1" s="189" t="s">
        <v>38</v>
      </c>
      <c r="B1" s="189"/>
      <c r="C1" s="189"/>
      <c r="D1" s="189"/>
      <c r="E1" s="189"/>
      <c r="F1" s="7" t="s">
        <v>718</v>
      </c>
    </row>
    <row r="2" spans="1:46" ht="14.45">
      <c r="A2" s="171" t="s">
        <v>410</v>
      </c>
      <c r="B2" s="172"/>
      <c r="C2" s="26"/>
      <c r="D2" s="6" t="s">
        <v>719</v>
      </c>
    </row>
    <row r="3" spans="1:46" ht="14.45">
      <c r="A3" s="171" t="s">
        <v>412</v>
      </c>
      <c r="B3" s="171"/>
      <c r="C3" s="29"/>
      <c r="D3" s="6" t="s">
        <v>518</v>
      </c>
      <c r="F3" s="173" t="s">
        <v>413</v>
      </c>
      <c r="G3" s="173"/>
    </row>
    <row r="4" spans="1:46" ht="12.95">
      <c r="A4" s="171" t="s">
        <v>414</v>
      </c>
      <c r="B4" s="171"/>
      <c r="C4" s="6" t="s">
        <v>411</v>
      </c>
    </row>
    <row r="5" spans="1:46">
      <c r="A5" s="171" t="s">
        <v>415</v>
      </c>
      <c r="B5" s="171"/>
      <c r="C5" s="36" t="s">
        <v>720</v>
      </c>
    </row>
    <row r="6" spans="1:46">
      <c r="A6" s="171" t="s">
        <v>416</v>
      </c>
      <c r="B6" s="171"/>
    </row>
    <row r="7" spans="1:46" ht="26.1">
      <c r="A7" s="9" t="s">
        <v>179</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610</v>
      </c>
      <c r="AA7" s="8" t="s">
        <v>423</v>
      </c>
      <c r="AB7" s="8" t="s">
        <v>426</v>
      </c>
      <c r="AC7" s="8" t="s">
        <v>423</v>
      </c>
      <c r="AD7" s="8" t="s">
        <v>427</v>
      </c>
      <c r="AE7" s="8" t="s">
        <v>423</v>
      </c>
      <c r="AF7" s="8" t="s">
        <v>428</v>
      </c>
      <c r="AG7" s="8" t="s">
        <v>423</v>
      </c>
      <c r="AH7" s="8" t="s">
        <v>429</v>
      </c>
      <c r="AI7" s="8" t="s">
        <v>423</v>
      </c>
      <c r="AJ7" s="8" t="s">
        <v>523</v>
      </c>
      <c r="AK7" s="8" t="s">
        <v>423</v>
      </c>
      <c r="AL7" s="8" t="s">
        <v>524</v>
      </c>
      <c r="AM7" s="8" t="s">
        <v>423</v>
      </c>
      <c r="AN7" s="83" t="s">
        <v>525</v>
      </c>
      <c r="AO7" s="8" t="s">
        <v>423</v>
      </c>
      <c r="AP7" s="8" t="s">
        <v>477</v>
      </c>
      <c r="AQ7" s="8" t="s">
        <v>423</v>
      </c>
      <c r="AR7" s="8" t="s">
        <v>431</v>
      </c>
      <c r="AS7" s="8" t="s">
        <v>432</v>
      </c>
      <c r="AT7" s="8" t="s">
        <v>433</v>
      </c>
    </row>
    <row r="8" spans="1:46">
      <c r="A8" s="26" t="s">
        <v>434</v>
      </c>
      <c r="B8" s="27"/>
      <c r="C8" s="28" t="s">
        <v>442</v>
      </c>
      <c r="D8" s="26" t="s">
        <v>435</v>
      </c>
      <c r="E8" s="26" t="s">
        <v>42</v>
      </c>
      <c r="F8" s="27">
        <v>4</v>
      </c>
      <c r="G8" s="27">
        <v>8</v>
      </c>
      <c r="H8" s="27">
        <v>0</v>
      </c>
      <c r="I8" s="27">
        <v>351</v>
      </c>
      <c r="J8" s="27">
        <f t="shared" ref="J8:J29" si="0">IF(G8&gt;=10,16, 4)</f>
        <v>4</v>
      </c>
      <c r="K8" s="27" t="s">
        <v>526</v>
      </c>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4"/>
      <c r="AO8" s="14"/>
      <c r="AP8" s="14"/>
      <c r="AQ8" s="14"/>
      <c r="AR8" s="27" t="s">
        <v>437</v>
      </c>
      <c r="AS8" s="27"/>
      <c r="AT8" s="27"/>
    </row>
    <row r="9" spans="1:46">
      <c r="A9" s="6" t="s">
        <v>440</v>
      </c>
      <c r="B9" s="14" t="s">
        <v>441</v>
      </c>
      <c r="C9" s="21" t="s">
        <v>442</v>
      </c>
      <c r="D9" s="6" t="s">
        <v>435</v>
      </c>
      <c r="E9" s="6" t="s">
        <v>50</v>
      </c>
      <c r="F9" s="14">
        <v>4</v>
      </c>
      <c r="G9" s="14">
        <v>8</v>
      </c>
      <c r="H9" s="14">
        <v>8</v>
      </c>
      <c r="I9" s="14">
        <v>41</v>
      </c>
      <c r="J9" s="86">
        <f t="shared" si="0"/>
        <v>4</v>
      </c>
      <c r="K9" s="14" t="s">
        <v>528</v>
      </c>
      <c r="L9" s="14"/>
      <c r="M9" s="14"/>
      <c r="N9" s="14"/>
      <c r="O9" s="14"/>
      <c r="P9" s="14"/>
      <c r="Q9" s="14"/>
      <c r="R9" s="14"/>
      <c r="S9" s="14"/>
      <c r="T9" s="14"/>
      <c r="U9" s="14"/>
      <c r="V9" s="14"/>
      <c r="X9" s="14"/>
      <c r="Y9" s="14"/>
      <c r="Z9" s="14"/>
      <c r="AA9" s="14"/>
      <c r="AB9" s="14"/>
      <c r="AC9" s="14"/>
      <c r="AD9" s="14"/>
      <c r="AE9" s="14"/>
      <c r="AF9" s="14"/>
      <c r="AG9" s="14"/>
      <c r="AH9" s="14"/>
      <c r="AI9" s="14"/>
      <c r="AJ9" s="14"/>
      <c r="AK9" s="14"/>
      <c r="AL9" s="14"/>
      <c r="AM9" s="14"/>
      <c r="AN9" s="14"/>
      <c r="AO9" s="14"/>
      <c r="AP9" s="14"/>
      <c r="AQ9" s="14"/>
      <c r="AR9" s="14" t="s">
        <v>437</v>
      </c>
      <c r="AT9" s="14"/>
    </row>
    <row r="10" spans="1:46">
      <c r="A10" s="6" t="s">
        <v>444</v>
      </c>
      <c r="B10" s="14"/>
      <c r="C10" s="21" t="s">
        <v>442</v>
      </c>
      <c r="D10" s="6" t="s">
        <v>435</v>
      </c>
      <c r="E10" s="6" t="s">
        <v>53</v>
      </c>
      <c r="F10" s="14">
        <v>11</v>
      </c>
      <c r="G10" s="14">
        <v>70</v>
      </c>
      <c r="H10" s="14">
        <f>(G10*82.5)/100</f>
        <v>57.75</v>
      </c>
      <c r="I10" s="14">
        <v>101</v>
      </c>
      <c r="J10" s="86">
        <f t="shared" si="0"/>
        <v>16</v>
      </c>
      <c r="K10" s="14" t="s">
        <v>529</v>
      </c>
      <c r="L10" s="14">
        <v>66</v>
      </c>
      <c r="M10" s="14" t="s">
        <v>445</v>
      </c>
      <c r="N10" s="104">
        <v>1500</v>
      </c>
      <c r="O10" s="14" t="s">
        <v>446</v>
      </c>
      <c r="P10" s="14">
        <v>2250</v>
      </c>
      <c r="Q10" s="14" t="s">
        <v>447</v>
      </c>
      <c r="R10" s="14"/>
      <c r="S10" s="14"/>
      <c r="T10" s="14"/>
      <c r="U10" s="14"/>
      <c r="V10" s="14"/>
      <c r="X10" s="31">
        <v>6525</v>
      </c>
      <c r="Y10" s="14" t="s">
        <v>206</v>
      </c>
      <c r="Z10" s="14"/>
      <c r="AA10" s="14"/>
      <c r="AB10" s="14"/>
      <c r="AC10" s="14"/>
      <c r="AD10" s="14"/>
      <c r="AE10" s="14"/>
      <c r="AF10" s="14"/>
      <c r="AG10" s="14"/>
      <c r="AH10" s="14"/>
      <c r="AI10" s="14"/>
      <c r="AJ10" s="14"/>
      <c r="AK10" s="14"/>
      <c r="AL10" s="14"/>
      <c r="AM10" s="14"/>
      <c r="AN10" s="14">
        <v>2500</v>
      </c>
      <c r="AO10" s="14" t="s">
        <v>530</v>
      </c>
      <c r="AP10" s="14"/>
      <c r="AQ10" s="14"/>
      <c r="AR10" s="14" t="s">
        <v>437</v>
      </c>
      <c r="AT10" s="14"/>
    </row>
    <row r="11" spans="1:46">
      <c r="A11" s="6" t="s">
        <v>448</v>
      </c>
      <c r="B11" s="14" t="s">
        <v>441</v>
      </c>
      <c r="C11" s="21" t="s">
        <v>442</v>
      </c>
      <c r="D11" s="6" t="s">
        <v>435</v>
      </c>
      <c r="E11" s="6" t="s">
        <v>57</v>
      </c>
      <c r="F11" s="14">
        <v>6</v>
      </c>
      <c r="G11" s="14">
        <v>9</v>
      </c>
      <c r="H11" s="14">
        <v>9</v>
      </c>
      <c r="I11" s="14">
        <v>46</v>
      </c>
      <c r="J11" s="86">
        <f t="shared" si="0"/>
        <v>4</v>
      </c>
      <c r="K11" s="14" t="s">
        <v>531</v>
      </c>
      <c r="L11" s="14"/>
      <c r="M11" s="14"/>
      <c r="N11" s="14"/>
      <c r="O11" s="14"/>
      <c r="P11" s="14"/>
      <c r="Q11" s="14"/>
      <c r="R11" s="14">
        <v>430</v>
      </c>
      <c r="S11" s="14" t="s">
        <v>449</v>
      </c>
      <c r="T11" s="14">
        <v>300</v>
      </c>
      <c r="U11" s="14" t="s">
        <v>222</v>
      </c>
      <c r="V11" s="14"/>
      <c r="X11" s="14">
        <v>330</v>
      </c>
      <c r="Y11" s="14" t="s">
        <v>206</v>
      </c>
      <c r="Z11" s="14"/>
      <c r="AA11" s="14"/>
      <c r="AB11" s="14"/>
      <c r="AC11" s="14"/>
      <c r="AD11" s="14"/>
      <c r="AE11" s="14"/>
      <c r="AF11" s="14"/>
      <c r="AG11" s="14"/>
      <c r="AH11" s="14"/>
      <c r="AI11" s="14"/>
      <c r="AJ11" s="14"/>
      <c r="AK11" s="14"/>
      <c r="AL11" s="14"/>
      <c r="AM11" s="14"/>
      <c r="AN11" s="14"/>
      <c r="AO11" s="14"/>
      <c r="AP11" s="14"/>
      <c r="AQ11" s="14"/>
      <c r="AR11" s="14" t="s">
        <v>437</v>
      </c>
      <c r="AT11" s="14"/>
    </row>
    <row r="12" spans="1:46">
      <c r="A12" s="6" t="s">
        <v>450</v>
      </c>
      <c r="B12" s="14"/>
      <c r="C12" s="21" t="s">
        <v>442</v>
      </c>
      <c r="D12" s="6" t="s">
        <v>435</v>
      </c>
      <c r="E12" s="6" t="s">
        <v>61</v>
      </c>
      <c r="F12" s="14">
        <v>2</v>
      </c>
      <c r="G12" s="14">
        <v>3</v>
      </c>
      <c r="H12" s="14">
        <v>0</v>
      </c>
      <c r="I12" s="14">
        <v>31</v>
      </c>
      <c r="J12" s="86">
        <f t="shared" si="0"/>
        <v>4</v>
      </c>
      <c r="K12" s="14" t="s">
        <v>528</v>
      </c>
      <c r="L12" s="14"/>
      <c r="M12" s="14"/>
      <c r="N12" s="14"/>
      <c r="O12" s="14"/>
      <c r="P12" s="14"/>
      <c r="Q12" s="14"/>
      <c r="R12" s="14"/>
      <c r="S12" s="14"/>
      <c r="T12" s="14"/>
      <c r="U12" s="14"/>
      <c r="V12" s="14"/>
      <c r="X12" s="14"/>
      <c r="Y12" s="14"/>
      <c r="Z12" s="14"/>
      <c r="AA12" s="14"/>
      <c r="AB12" s="14"/>
      <c r="AC12" s="14"/>
      <c r="AD12" s="14"/>
      <c r="AE12" s="14"/>
      <c r="AF12" s="14"/>
      <c r="AG12" s="14"/>
      <c r="AH12" s="14"/>
      <c r="AI12" s="14"/>
      <c r="AJ12" s="14"/>
      <c r="AK12" s="14"/>
      <c r="AL12" s="14"/>
      <c r="AM12" s="14"/>
      <c r="AN12" s="14"/>
      <c r="AO12" s="14"/>
      <c r="AP12" s="14"/>
      <c r="AQ12" s="14"/>
      <c r="AR12" s="14" t="s">
        <v>437</v>
      </c>
      <c r="AS12" s="14" t="s">
        <v>437</v>
      </c>
      <c r="AT12" s="14" t="s">
        <v>437</v>
      </c>
    </row>
    <row r="13" spans="1:46">
      <c r="A13" s="6" t="s">
        <v>451</v>
      </c>
      <c r="B13" s="14"/>
      <c r="C13" s="21" t="s">
        <v>442</v>
      </c>
      <c r="D13" s="6" t="s">
        <v>435</v>
      </c>
      <c r="E13" s="6" t="s">
        <v>65</v>
      </c>
      <c r="F13" s="14">
        <v>2</v>
      </c>
      <c r="G13" s="14">
        <v>5</v>
      </c>
      <c r="H13" s="14">
        <v>0</v>
      </c>
      <c r="I13" s="14">
        <v>31</v>
      </c>
      <c r="J13" s="86">
        <f t="shared" si="0"/>
        <v>4</v>
      </c>
      <c r="K13" s="14" t="s">
        <v>529</v>
      </c>
      <c r="L13" s="14"/>
      <c r="M13" s="14"/>
      <c r="N13" s="14"/>
      <c r="O13" s="14"/>
      <c r="P13" s="14"/>
      <c r="Q13" s="14"/>
      <c r="R13" s="14"/>
      <c r="S13" s="14"/>
      <c r="T13" s="14"/>
      <c r="U13" s="14"/>
      <c r="V13" s="14"/>
      <c r="X13" s="14"/>
      <c r="Y13" s="14"/>
      <c r="Z13" s="14"/>
      <c r="AA13" s="14"/>
      <c r="AB13" s="14"/>
      <c r="AC13" s="14"/>
      <c r="AD13" s="14"/>
      <c r="AE13" s="14"/>
      <c r="AF13" s="14"/>
      <c r="AG13" s="14"/>
      <c r="AH13" s="14"/>
      <c r="AI13" s="14"/>
      <c r="AJ13" s="14"/>
      <c r="AK13" s="14"/>
      <c r="AL13" s="14"/>
      <c r="AM13" s="14"/>
      <c r="AN13" s="14"/>
      <c r="AO13" s="14"/>
      <c r="AP13" s="14"/>
      <c r="AQ13" s="14"/>
      <c r="AR13" s="14" t="s">
        <v>437</v>
      </c>
      <c r="AT13" s="14"/>
    </row>
    <row r="14" spans="1:46">
      <c r="A14" s="6" t="s">
        <v>452</v>
      </c>
      <c r="B14" s="14"/>
      <c r="C14" s="21" t="s">
        <v>442</v>
      </c>
      <c r="D14" s="6" t="s">
        <v>435</v>
      </c>
      <c r="E14" s="6" t="s">
        <v>611</v>
      </c>
      <c r="F14" s="14">
        <v>3</v>
      </c>
      <c r="G14" s="14">
        <v>6</v>
      </c>
      <c r="H14" s="14">
        <v>0</v>
      </c>
      <c r="I14" s="14">
        <v>41</v>
      </c>
      <c r="J14" s="86">
        <f t="shared" si="0"/>
        <v>4</v>
      </c>
      <c r="K14" s="14" t="s">
        <v>531</v>
      </c>
      <c r="L14" s="14"/>
      <c r="M14" s="14"/>
      <c r="N14" s="14"/>
      <c r="O14" s="14"/>
      <c r="P14" s="14"/>
      <c r="Q14" s="14"/>
      <c r="R14" s="14"/>
      <c r="S14" s="14"/>
      <c r="T14" s="14"/>
      <c r="U14" s="14"/>
      <c r="V14" s="14"/>
      <c r="X14" s="14"/>
      <c r="Y14" s="14"/>
      <c r="Z14" s="14"/>
      <c r="AA14" s="14"/>
      <c r="AB14" s="14"/>
      <c r="AC14" s="14"/>
      <c r="AD14" s="14"/>
      <c r="AE14" s="14"/>
      <c r="AF14" s="14"/>
      <c r="AG14" s="14"/>
      <c r="AH14" s="14"/>
      <c r="AI14" s="14"/>
      <c r="AJ14" s="14"/>
      <c r="AK14" s="14"/>
      <c r="AL14" s="14"/>
      <c r="AM14" s="14"/>
      <c r="AN14" s="14"/>
      <c r="AO14" s="14"/>
      <c r="AP14" s="14"/>
      <c r="AQ14" s="14"/>
      <c r="AR14" s="14" t="s">
        <v>437</v>
      </c>
      <c r="AS14" s="14" t="s">
        <v>437</v>
      </c>
      <c r="AT14" s="14"/>
    </row>
    <row r="15" spans="1:46">
      <c r="A15" s="6" t="s">
        <v>454</v>
      </c>
      <c r="B15" s="14"/>
      <c r="C15" s="21" t="s">
        <v>442</v>
      </c>
      <c r="D15" s="6" t="s">
        <v>435</v>
      </c>
      <c r="E15" s="6" t="s">
        <v>455</v>
      </c>
      <c r="F15" s="14">
        <v>5</v>
      </c>
      <c r="G15" s="14">
        <v>5</v>
      </c>
      <c r="H15" s="14">
        <v>0</v>
      </c>
      <c r="I15" s="14">
        <v>56</v>
      </c>
      <c r="J15" s="86">
        <f t="shared" si="0"/>
        <v>4</v>
      </c>
      <c r="K15" s="14" t="s">
        <v>528</v>
      </c>
      <c r="L15" s="14"/>
      <c r="M15" s="14"/>
      <c r="N15" s="14"/>
      <c r="O15" s="14"/>
      <c r="P15" s="14"/>
      <c r="Q15" s="14"/>
      <c r="R15" s="14"/>
      <c r="S15" s="14"/>
      <c r="T15" s="14"/>
      <c r="U15" s="14"/>
      <c r="V15" s="14"/>
      <c r="X15" s="14"/>
      <c r="Y15" s="14"/>
      <c r="Z15" s="14"/>
      <c r="AA15" s="14"/>
      <c r="AB15" s="14"/>
      <c r="AC15" s="14"/>
      <c r="AD15" s="14"/>
      <c r="AE15" s="14"/>
      <c r="AF15" s="14"/>
      <c r="AG15" s="14"/>
      <c r="AH15" s="14"/>
      <c r="AI15" s="14"/>
      <c r="AJ15" s="14"/>
      <c r="AK15" s="14"/>
      <c r="AL15" s="14"/>
      <c r="AM15" s="14"/>
      <c r="AN15" s="14"/>
      <c r="AO15" s="14"/>
      <c r="AP15" s="14"/>
      <c r="AQ15" s="14"/>
      <c r="AR15" s="14" t="s">
        <v>437</v>
      </c>
      <c r="AS15" s="14" t="s">
        <v>437</v>
      </c>
      <c r="AT15" s="14"/>
    </row>
    <row r="16" spans="1:46">
      <c r="A16" s="6" t="s">
        <v>456</v>
      </c>
      <c r="B16" s="14"/>
      <c r="C16" s="21" t="s">
        <v>442</v>
      </c>
      <c r="D16" s="6" t="s">
        <v>435</v>
      </c>
      <c r="E16" s="6" t="s">
        <v>77</v>
      </c>
      <c r="F16" s="14">
        <v>8</v>
      </c>
      <c r="G16" s="14">
        <v>13</v>
      </c>
      <c r="H16" s="14">
        <v>0</v>
      </c>
      <c r="I16" s="14">
        <v>81</v>
      </c>
      <c r="J16" s="86">
        <f t="shared" si="0"/>
        <v>16</v>
      </c>
      <c r="K16" s="14" t="s">
        <v>529</v>
      </c>
      <c r="L16" s="14"/>
      <c r="M16" s="14"/>
      <c r="N16" s="14"/>
      <c r="O16" s="14"/>
      <c r="P16" s="14"/>
      <c r="Q16" s="14"/>
      <c r="R16" s="14"/>
      <c r="S16" s="14"/>
      <c r="T16" s="14"/>
      <c r="U16" s="14"/>
      <c r="V16" s="14"/>
      <c r="X16" s="14"/>
      <c r="Y16" s="14"/>
      <c r="Z16" s="14"/>
      <c r="AA16" s="14"/>
      <c r="AB16" s="14"/>
      <c r="AC16" s="14"/>
      <c r="AD16" s="14"/>
      <c r="AE16" s="14"/>
      <c r="AF16" s="14"/>
      <c r="AG16" s="14"/>
      <c r="AH16" s="14"/>
      <c r="AI16" s="14"/>
      <c r="AJ16" s="14"/>
      <c r="AK16" s="14"/>
      <c r="AL16" s="14"/>
      <c r="AM16" s="14"/>
      <c r="AN16" s="14"/>
      <c r="AO16" s="14"/>
      <c r="AP16" s="14"/>
      <c r="AQ16" s="14"/>
      <c r="AR16" s="14" t="s">
        <v>437</v>
      </c>
      <c r="AS16" s="14" t="s">
        <v>437</v>
      </c>
      <c r="AT16" s="14"/>
    </row>
    <row r="17" spans="1:46">
      <c r="A17" s="6" t="s">
        <v>457</v>
      </c>
      <c r="B17" s="14"/>
      <c r="C17" s="21" t="s">
        <v>442</v>
      </c>
      <c r="D17" s="6" t="s">
        <v>435</v>
      </c>
      <c r="E17" s="6" t="s">
        <v>81</v>
      </c>
      <c r="F17" s="14">
        <v>4</v>
      </c>
      <c r="G17" s="14">
        <v>4</v>
      </c>
      <c r="H17" s="14">
        <v>0</v>
      </c>
      <c r="I17" s="14">
        <v>31</v>
      </c>
      <c r="J17" s="86">
        <f t="shared" si="0"/>
        <v>4</v>
      </c>
      <c r="K17" s="14" t="s">
        <v>531</v>
      </c>
      <c r="L17" s="14"/>
      <c r="M17" s="14"/>
      <c r="N17" s="14"/>
      <c r="O17" s="14"/>
      <c r="P17" s="14"/>
      <c r="T17" s="14"/>
      <c r="U17" s="14"/>
      <c r="V17" s="14"/>
      <c r="X17" s="14"/>
      <c r="Y17" s="14"/>
      <c r="Z17" s="14"/>
      <c r="AA17" s="14"/>
      <c r="AB17" s="14"/>
      <c r="AC17" s="14"/>
      <c r="AD17" s="14"/>
      <c r="AE17" s="14"/>
      <c r="AF17" s="14"/>
      <c r="AG17" s="14"/>
      <c r="AH17" s="14"/>
      <c r="AI17" s="14"/>
      <c r="AJ17" s="14"/>
      <c r="AK17" s="14"/>
      <c r="AL17" s="14"/>
      <c r="AM17" s="14"/>
      <c r="AN17" s="14"/>
      <c r="AO17" s="14"/>
      <c r="AP17" s="14"/>
      <c r="AQ17" s="14"/>
      <c r="AR17" s="14" t="s">
        <v>437</v>
      </c>
      <c r="AS17" s="14" t="s">
        <v>437</v>
      </c>
      <c r="AT17" s="14" t="s">
        <v>437</v>
      </c>
    </row>
    <row r="18" spans="1:46">
      <c r="A18" s="6" t="s">
        <v>458</v>
      </c>
      <c r="B18" s="14"/>
      <c r="C18" s="21" t="s">
        <v>442</v>
      </c>
      <c r="D18" s="6" t="s">
        <v>435</v>
      </c>
      <c r="E18" s="6" t="s">
        <v>459</v>
      </c>
      <c r="F18" s="14">
        <v>8</v>
      </c>
      <c r="G18" s="14">
        <v>13</v>
      </c>
      <c r="H18" s="14">
        <v>0</v>
      </c>
      <c r="I18" s="14">
        <v>109</v>
      </c>
      <c r="J18" s="86">
        <f t="shared" si="0"/>
        <v>16</v>
      </c>
      <c r="K18" s="14" t="s">
        <v>528</v>
      </c>
      <c r="L18" s="14"/>
      <c r="M18" s="14"/>
      <c r="N18" s="14"/>
      <c r="O18" s="14"/>
      <c r="P18" s="14"/>
      <c r="Q18" s="14"/>
      <c r="R18" s="14"/>
      <c r="S18" s="14"/>
      <c r="T18" s="14"/>
      <c r="U18" s="14"/>
      <c r="V18" s="14"/>
      <c r="X18" s="14"/>
      <c r="Y18" s="14"/>
      <c r="Z18" s="14"/>
      <c r="AA18" s="14"/>
      <c r="AB18" s="14">
        <v>50</v>
      </c>
      <c r="AC18" s="14" t="s">
        <v>531</v>
      </c>
      <c r="AD18" s="14"/>
      <c r="AE18" s="14"/>
      <c r="AF18" s="14"/>
      <c r="AG18" s="14"/>
      <c r="AH18" s="14"/>
      <c r="AI18" s="14"/>
      <c r="AJ18" s="14"/>
      <c r="AK18" s="14"/>
      <c r="AL18" s="14"/>
      <c r="AM18" s="14"/>
      <c r="AN18" s="14"/>
      <c r="AO18" s="14"/>
      <c r="AP18" s="14"/>
      <c r="AQ18" s="14"/>
      <c r="AR18" s="14" t="s">
        <v>437</v>
      </c>
      <c r="AT18" s="14"/>
    </row>
    <row r="19" spans="1:46">
      <c r="A19" s="6" t="s">
        <v>460</v>
      </c>
      <c r="B19" s="14"/>
      <c r="C19" s="21" t="s">
        <v>442</v>
      </c>
      <c r="D19" s="6" t="s">
        <v>435</v>
      </c>
      <c r="E19" s="6" t="s">
        <v>88</v>
      </c>
      <c r="F19" s="14">
        <v>6</v>
      </c>
      <c r="G19" s="14">
        <v>7</v>
      </c>
      <c r="H19" s="14">
        <v>0</v>
      </c>
      <c r="I19" s="14">
        <v>131</v>
      </c>
      <c r="J19" s="86">
        <f t="shared" si="0"/>
        <v>4</v>
      </c>
      <c r="K19" s="14" t="s">
        <v>529</v>
      </c>
      <c r="L19" s="14"/>
      <c r="M19" s="14"/>
      <c r="N19" s="14"/>
      <c r="O19" s="14"/>
      <c r="P19" s="14"/>
      <c r="Q19" s="14"/>
      <c r="R19" s="14"/>
      <c r="S19" s="14"/>
      <c r="T19" s="14"/>
      <c r="U19" s="14"/>
      <c r="V19" s="14"/>
      <c r="X19" s="14"/>
      <c r="Y19" s="14"/>
      <c r="Z19" s="14"/>
      <c r="AA19" s="14"/>
      <c r="AB19" s="14"/>
      <c r="AC19" s="14"/>
      <c r="AD19" s="14"/>
      <c r="AE19" s="14"/>
      <c r="AF19" s="14"/>
      <c r="AG19" s="14"/>
      <c r="AH19" s="14"/>
      <c r="AI19" s="14"/>
      <c r="AJ19" s="14"/>
      <c r="AK19" s="14"/>
      <c r="AL19" s="14"/>
      <c r="AM19" s="14"/>
      <c r="AN19" s="14"/>
      <c r="AO19" s="14"/>
      <c r="AP19" s="14"/>
      <c r="AQ19" s="14"/>
      <c r="AR19" s="14" t="s">
        <v>437</v>
      </c>
      <c r="AS19" s="14" t="s">
        <v>437</v>
      </c>
      <c r="AT19" s="14"/>
    </row>
    <row r="20" spans="1:46">
      <c r="A20" s="6" t="s">
        <v>461</v>
      </c>
      <c r="B20" s="14"/>
      <c r="C20" s="21" t="s">
        <v>442</v>
      </c>
      <c r="D20" s="6" t="s">
        <v>435</v>
      </c>
      <c r="E20" s="6" t="s">
        <v>612</v>
      </c>
      <c r="F20" s="14">
        <v>5</v>
      </c>
      <c r="G20" s="14">
        <v>6</v>
      </c>
      <c r="H20" s="14">
        <v>0</v>
      </c>
      <c r="I20" s="14">
        <v>61</v>
      </c>
      <c r="J20" s="86">
        <f t="shared" si="0"/>
        <v>4</v>
      </c>
      <c r="K20" s="14" t="s">
        <v>531</v>
      </c>
      <c r="L20" s="14"/>
      <c r="M20" s="14"/>
      <c r="N20" s="14"/>
      <c r="O20" s="14"/>
      <c r="P20" s="14"/>
      <c r="Q20" s="14"/>
      <c r="R20" s="14"/>
      <c r="S20" s="14"/>
      <c r="T20" s="14"/>
      <c r="U20" s="14"/>
      <c r="V20" s="14"/>
      <c r="X20" s="14"/>
      <c r="Y20" s="14"/>
      <c r="Z20" s="14"/>
      <c r="AA20" s="14"/>
      <c r="AB20" s="14"/>
      <c r="AC20" s="14"/>
      <c r="AD20" s="14"/>
      <c r="AE20" s="14"/>
      <c r="AF20" s="14"/>
      <c r="AG20" s="14"/>
      <c r="AH20" s="14"/>
      <c r="AI20" s="14"/>
      <c r="AJ20" s="14"/>
      <c r="AK20" s="14"/>
      <c r="AL20" s="14"/>
      <c r="AM20" s="14"/>
      <c r="AN20" s="14"/>
      <c r="AO20" s="14"/>
      <c r="AP20" s="14"/>
      <c r="AQ20" s="14"/>
      <c r="AR20" s="14" t="s">
        <v>437</v>
      </c>
      <c r="AT20" s="14"/>
    </row>
    <row r="21" spans="1:46">
      <c r="A21" s="6" t="s">
        <v>462</v>
      </c>
      <c r="B21" s="14"/>
      <c r="C21" s="21" t="s">
        <v>442</v>
      </c>
      <c r="D21" s="6" t="s">
        <v>435</v>
      </c>
      <c r="E21" s="6" t="s">
        <v>612</v>
      </c>
      <c r="F21" s="14">
        <v>5</v>
      </c>
      <c r="G21" s="14">
        <v>6</v>
      </c>
      <c r="H21" s="14">
        <v>0</v>
      </c>
      <c r="I21" s="14">
        <v>61</v>
      </c>
      <c r="J21" s="86">
        <f t="shared" si="0"/>
        <v>4</v>
      </c>
      <c r="K21" s="14" t="s">
        <v>528</v>
      </c>
      <c r="L21" s="14"/>
      <c r="M21" s="14"/>
      <c r="N21" s="14"/>
      <c r="O21" s="14"/>
      <c r="P21" s="14"/>
      <c r="Q21" s="14"/>
      <c r="R21" s="14"/>
      <c r="S21" s="14"/>
      <c r="T21" s="14"/>
      <c r="U21" s="14"/>
      <c r="V21" s="14"/>
      <c r="X21" s="14"/>
      <c r="Y21" s="14"/>
      <c r="Z21" s="14"/>
      <c r="AA21" s="14"/>
      <c r="AB21" s="14"/>
      <c r="AC21" s="14"/>
      <c r="AD21" s="14"/>
      <c r="AE21" s="14"/>
      <c r="AF21" s="14"/>
      <c r="AG21" s="14"/>
      <c r="AH21" s="14"/>
      <c r="AI21" s="14"/>
      <c r="AJ21" s="14"/>
      <c r="AK21" s="14"/>
      <c r="AL21" s="14"/>
      <c r="AM21" s="14"/>
      <c r="AN21" s="14"/>
      <c r="AO21" s="14"/>
      <c r="AP21" s="14"/>
      <c r="AQ21" s="14"/>
      <c r="AR21" s="14" t="s">
        <v>437</v>
      </c>
      <c r="AT21" s="14"/>
    </row>
    <row r="22" spans="1:46">
      <c r="A22" s="6" t="s">
        <v>463</v>
      </c>
      <c r="B22" s="14"/>
      <c r="C22" s="21" t="s">
        <v>442</v>
      </c>
      <c r="D22" s="6" t="s">
        <v>435</v>
      </c>
      <c r="E22" s="6" t="s">
        <v>96</v>
      </c>
      <c r="F22" s="14">
        <v>5</v>
      </c>
      <c r="G22" s="14">
        <v>13</v>
      </c>
      <c r="H22" s="14">
        <v>0</v>
      </c>
      <c r="I22" s="14">
        <v>63</v>
      </c>
      <c r="J22" s="86">
        <f t="shared" si="0"/>
        <v>16</v>
      </c>
      <c r="K22" s="14" t="s">
        <v>529</v>
      </c>
      <c r="L22" s="14"/>
      <c r="M22" s="14"/>
      <c r="N22" s="14"/>
      <c r="O22" s="14"/>
      <c r="P22" s="14"/>
      <c r="Q22" s="14"/>
      <c r="R22" s="14"/>
      <c r="S22" s="14"/>
      <c r="T22" s="14"/>
      <c r="U22" s="14"/>
      <c r="V22" s="14"/>
      <c r="X22" s="14"/>
      <c r="Y22" s="14"/>
      <c r="Z22" s="14"/>
      <c r="AA22" s="14"/>
      <c r="AB22" s="14"/>
      <c r="AC22" s="14"/>
      <c r="AD22" s="14">
        <v>85</v>
      </c>
      <c r="AE22" s="14" t="s">
        <v>529</v>
      </c>
      <c r="AF22" s="14"/>
      <c r="AG22" s="14"/>
      <c r="AH22" s="14"/>
      <c r="AI22" s="14"/>
      <c r="AJ22" s="14"/>
      <c r="AK22" s="14"/>
      <c r="AL22" s="14"/>
      <c r="AM22" s="14"/>
      <c r="AN22" s="14"/>
      <c r="AO22" s="14"/>
      <c r="AP22" s="14"/>
      <c r="AQ22" s="14"/>
      <c r="AR22" s="14" t="s">
        <v>437</v>
      </c>
      <c r="AT22" s="14"/>
    </row>
    <row r="23" spans="1:46">
      <c r="A23" s="6" t="s">
        <v>464</v>
      </c>
      <c r="B23" s="14"/>
      <c r="C23" s="21" t="s">
        <v>442</v>
      </c>
      <c r="D23" s="6" t="s">
        <v>435</v>
      </c>
      <c r="E23" s="6" t="s">
        <v>100</v>
      </c>
      <c r="F23" s="14">
        <v>5</v>
      </c>
      <c r="G23" s="14">
        <v>13</v>
      </c>
      <c r="H23" s="14">
        <v>0</v>
      </c>
      <c r="I23" s="14">
        <v>63</v>
      </c>
      <c r="J23" s="86">
        <f t="shared" si="0"/>
        <v>16</v>
      </c>
      <c r="K23" s="14" t="s">
        <v>531</v>
      </c>
      <c r="L23" s="14"/>
      <c r="M23" s="14"/>
      <c r="N23" s="14"/>
      <c r="O23" s="14"/>
      <c r="P23" s="14"/>
      <c r="Q23" s="14"/>
      <c r="R23" s="14"/>
      <c r="S23" s="14"/>
      <c r="T23" s="14"/>
      <c r="U23" s="14"/>
      <c r="V23" s="14"/>
      <c r="X23" s="14"/>
      <c r="Y23" s="14"/>
      <c r="Z23" s="14"/>
      <c r="AA23" s="14"/>
      <c r="AB23" s="14"/>
      <c r="AC23" s="14"/>
      <c r="AD23" s="14">
        <v>85</v>
      </c>
      <c r="AE23" s="14" t="s">
        <v>531</v>
      </c>
      <c r="AF23" s="14"/>
      <c r="AG23" s="14"/>
      <c r="AH23" s="14"/>
      <c r="AI23" s="14"/>
      <c r="AJ23" s="14"/>
      <c r="AK23" s="14"/>
      <c r="AL23" s="14"/>
      <c r="AM23" s="14"/>
      <c r="AN23" s="14"/>
      <c r="AO23" s="14"/>
      <c r="AP23" s="14"/>
      <c r="AQ23" s="14"/>
      <c r="AR23" s="14" t="s">
        <v>437</v>
      </c>
      <c r="AT23" s="14"/>
    </row>
    <row r="24" spans="1:46">
      <c r="A24" s="6" t="s">
        <v>487</v>
      </c>
      <c r="B24" s="14"/>
      <c r="C24" s="21" t="s">
        <v>442</v>
      </c>
      <c r="D24" s="6" t="s">
        <v>435</v>
      </c>
      <c r="E24" s="6" t="s">
        <v>104</v>
      </c>
      <c r="F24" s="14">
        <v>5</v>
      </c>
      <c r="G24" s="14">
        <v>9</v>
      </c>
      <c r="H24" s="14">
        <v>0</v>
      </c>
      <c r="I24" s="14">
        <v>41</v>
      </c>
      <c r="J24" s="86">
        <f t="shared" si="0"/>
        <v>4</v>
      </c>
      <c r="K24" s="14" t="s">
        <v>528</v>
      </c>
      <c r="L24" s="14"/>
      <c r="M24" s="14"/>
      <c r="N24" s="14"/>
      <c r="O24" s="14"/>
      <c r="P24" s="14"/>
      <c r="Q24" s="14"/>
      <c r="R24" s="14"/>
      <c r="S24" s="14"/>
      <c r="T24" s="14"/>
      <c r="U24" s="14"/>
      <c r="V24" s="14"/>
      <c r="X24" s="14"/>
      <c r="Y24" s="14"/>
      <c r="Z24" s="14"/>
      <c r="AA24" s="14"/>
      <c r="AB24" s="14"/>
      <c r="AC24" s="14"/>
      <c r="AD24" s="14"/>
      <c r="AE24" s="14"/>
      <c r="AF24" s="14"/>
      <c r="AG24" s="14"/>
      <c r="AH24" s="14"/>
      <c r="AI24" s="14"/>
      <c r="AJ24" s="14"/>
      <c r="AK24" s="14"/>
      <c r="AL24" s="14"/>
      <c r="AM24" s="14"/>
      <c r="AN24" s="14"/>
      <c r="AO24" s="14"/>
      <c r="AP24" s="14"/>
      <c r="AQ24" s="14"/>
      <c r="AR24" s="14" t="s">
        <v>437</v>
      </c>
      <c r="AT24" s="14"/>
    </row>
    <row r="25" spans="1:46">
      <c r="A25" s="6" t="s">
        <v>489</v>
      </c>
      <c r="B25" s="14"/>
      <c r="C25" s="21" t="s">
        <v>442</v>
      </c>
      <c r="D25" s="6" t="s">
        <v>435</v>
      </c>
      <c r="E25" s="6" t="s">
        <v>104</v>
      </c>
      <c r="F25" s="14">
        <v>5</v>
      </c>
      <c r="G25" s="14">
        <v>9</v>
      </c>
      <c r="H25" s="14">
        <v>0</v>
      </c>
      <c r="I25" s="14">
        <v>41</v>
      </c>
      <c r="J25" s="86">
        <f t="shared" si="0"/>
        <v>4</v>
      </c>
      <c r="K25" s="14" t="s">
        <v>529</v>
      </c>
      <c r="L25" s="14"/>
      <c r="M25" s="14"/>
      <c r="N25" s="14"/>
      <c r="O25" s="14"/>
      <c r="P25" s="14"/>
      <c r="Q25" s="14"/>
      <c r="R25" s="14"/>
      <c r="S25" s="14"/>
      <c r="T25" s="14"/>
      <c r="U25" s="14"/>
      <c r="V25" s="14"/>
      <c r="X25" s="14"/>
      <c r="Y25" s="14"/>
      <c r="Z25" s="14"/>
      <c r="AA25" s="14"/>
      <c r="AB25" s="14"/>
      <c r="AC25" s="14"/>
      <c r="AD25" s="14"/>
      <c r="AE25" s="14"/>
      <c r="AF25" s="14"/>
      <c r="AG25" s="14"/>
      <c r="AH25" s="14"/>
      <c r="AI25" s="14"/>
      <c r="AJ25" s="14"/>
      <c r="AK25" s="14"/>
      <c r="AL25" s="14"/>
      <c r="AM25" s="14"/>
      <c r="AN25" s="14"/>
      <c r="AO25" s="14"/>
      <c r="AP25" s="14"/>
      <c r="AQ25" s="14"/>
      <c r="AR25" s="14" t="s">
        <v>437</v>
      </c>
      <c r="AT25" s="14"/>
    </row>
    <row r="26" spans="1:46">
      <c r="A26" s="6" t="s">
        <v>613</v>
      </c>
      <c r="B26" s="14"/>
      <c r="C26" s="21" t="s">
        <v>442</v>
      </c>
      <c r="D26" s="6" t="s">
        <v>435</v>
      </c>
      <c r="E26" s="6" t="s">
        <v>108</v>
      </c>
      <c r="F26" s="14">
        <v>8</v>
      </c>
      <c r="G26" s="14">
        <v>35</v>
      </c>
      <c r="H26" s="14">
        <v>35</v>
      </c>
      <c r="I26" s="14">
        <v>136</v>
      </c>
      <c r="J26" s="86">
        <f t="shared" si="0"/>
        <v>16</v>
      </c>
      <c r="K26" s="14" t="s">
        <v>531</v>
      </c>
      <c r="L26" s="14"/>
      <c r="M26" s="14"/>
      <c r="N26" s="14"/>
      <c r="O26" s="14"/>
      <c r="P26" s="14"/>
      <c r="Q26" s="14"/>
      <c r="R26" s="14"/>
      <c r="S26" s="14"/>
      <c r="T26" s="14"/>
      <c r="U26" s="14"/>
      <c r="V26" s="14"/>
      <c r="X26" s="14"/>
      <c r="Y26" s="14"/>
      <c r="Z26" s="14"/>
      <c r="AA26" s="14"/>
      <c r="AB26" s="14"/>
      <c r="AC26" s="14"/>
      <c r="AD26" s="14"/>
      <c r="AE26" s="14"/>
      <c r="AF26" s="14"/>
      <c r="AG26" s="14"/>
      <c r="AH26" s="14"/>
      <c r="AI26" s="14"/>
      <c r="AJ26" s="14"/>
      <c r="AK26" s="14"/>
      <c r="AL26" s="14"/>
      <c r="AM26" s="14"/>
      <c r="AN26" s="14"/>
      <c r="AO26" s="14"/>
      <c r="AP26" s="14"/>
      <c r="AQ26" s="14"/>
      <c r="AR26" s="14" t="s">
        <v>437</v>
      </c>
      <c r="AS26" s="14" t="s">
        <v>437</v>
      </c>
      <c r="AT26" s="14"/>
    </row>
    <row r="27" spans="1:46">
      <c r="A27" s="6" t="s">
        <v>614</v>
      </c>
      <c r="B27" s="14"/>
      <c r="C27" s="21" t="s">
        <v>442</v>
      </c>
      <c r="D27" s="6" t="s">
        <v>435</v>
      </c>
      <c r="E27" s="6" t="s">
        <v>108</v>
      </c>
      <c r="F27" s="14">
        <v>8</v>
      </c>
      <c r="G27" s="14">
        <v>35</v>
      </c>
      <c r="H27" s="14">
        <v>35</v>
      </c>
      <c r="I27" s="14">
        <v>136</v>
      </c>
      <c r="J27" s="86">
        <f t="shared" si="0"/>
        <v>16</v>
      </c>
      <c r="K27" s="14" t="s">
        <v>528</v>
      </c>
      <c r="L27" s="14"/>
      <c r="M27" s="14"/>
      <c r="N27" s="14"/>
      <c r="O27" s="14"/>
      <c r="P27" s="14"/>
      <c r="Q27" s="14"/>
      <c r="R27" s="14"/>
      <c r="S27" s="14"/>
      <c r="T27" s="14"/>
      <c r="U27" s="14"/>
      <c r="V27" s="14"/>
      <c r="X27" s="14"/>
      <c r="Y27" s="14"/>
      <c r="Z27" s="14"/>
      <c r="AA27" s="14"/>
      <c r="AB27" s="14"/>
      <c r="AC27" s="14"/>
      <c r="AD27" s="14"/>
      <c r="AE27" s="14"/>
      <c r="AF27" s="14"/>
      <c r="AG27" s="14"/>
      <c r="AH27" s="14"/>
      <c r="AI27" s="14"/>
      <c r="AJ27" s="14"/>
      <c r="AK27" s="14"/>
      <c r="AL27" s="14"/>
      <c r="AM27" s="14"/>
      <c r="AN27" s="14"/>
      <c r="AO27" s="14"/>
      <c r="AP27" s="14"/>
      <c r="AQ27" s="14"/>
      <c r="AR27" s="14" t="s">
        <v>437</v>
      </c>
      <c r="AS27" s="14" t="s">
        <v>437</v>
      </c>
      <c r="AT27" s="14"/>
    </row>
    <row r="28" spans="1:46">
      <c r="A28" s="6" t="s">
        <v>615</v>
      </c>
      <c r="B28" s="14"/>
      <c r="C28" s="21" t="s">
        <v>442</v>
      </c>
      <c r="D28" s="6" t="s">
        <v>435</v>
      </c>
      <c r="E28" s="6" t="s">
        <v>108</v>
      </c>
      <c r="F28" s="14">
        <v>8</v>
      </c>
      <c r="G28" s="14">
        <v>35</v>
      </c>
      <c r="H28" s="14">
        <v>35</v>
      </c>
      <c r="I28" s="14">
        <v>136</v>
      </c>
      <c r="J28" s="86">
        <f t="shared" si="0"/>
        <v>16</v>
      </c>
      <c r="K28" s="14" t="s">
        <v>529</v>
      </c>
      <c r="L28" s="14"/>
      <c r="M28" s="14"/>
      <c r="N28" s="14"/>
      <c r="O28" s="14"/>
      <c r="P28" s="14"/>
      <c r="Q28" s="14"/>
      <c r="R28" s="14"/>
      <c r="S28" s="14"/>
      <c r="T28" s="14"/>
      <c r="U28" s="14"/>
      <c r="V28" s="14"/>
      <c r="X28" s="14"/>
      <c r="Y28" s="14"/>
      <c r="Z28" s="14"/>
      <c r="AA28" s="14"/>
      <c r="AB28" s="14"/>
      <c r="AC28" s="14"/>
      <c r="AD28" s="14"/>
      <c r="AE28" s="14"/>
      <c r="AF28" s="14"/>
      <c r="AG28" s="14"/>
      <c r="AH28" s="14"/>
      <c r="AI28" s="14"/>
      <c r="AJ28" s="14"/>
      <c r="AK28" s="14"/>
      <c r="AL28" s="14"/>
      <c r="AM28" s="14"/>
      <c r="AN28" s="14"/>
      <c r="AO28" s="14"/>
      <c r="AP28" s="14"/>
      <c r="AQ28" s="14"/>
      <c r="AR28" s="14" t="s">
        <v>437</v>
      </c>
      <c r="AS28" s="14" t="s">
        <v>437</v>
      </c>
      <c r="AT28" s="14"/>
    </row>
    <row r="29" spans="1:46">
      <c r="A29" s="6" t="s">
        <v>616</v>
      </c>
      <c r="B29" s="14"/>
      <c r="C29" s="21" t="s">
        <v>442</v>
      </c>
      <c r="D29" s="6" t="s">
        <v>435</v>
      </c>
      <c r="E29" s="6" t="s">
        <v>108</v>
      </c>
      <c r="F29" s="14">
        <v>8</v>
      </c>
      <c r="G29" s="14">
        <v>35</v>
      </c>
      <c r="H29" s="14">
        <v>35</v>
      </c>
      <c r="I29" s="14">
        <v>136</v>
      </c>
      <c r="J29" s="86">
        <f t="shared" si="0"/>
        <v>16</v>
      </c>
      <c r="K29" s="14" t="s">
        <v>531</v>
      </c>
      <c r="L29" s="14"/>
      <c r="M29" s="14"/>
      <c r="N29" s="14"/>
      <c r="O29" s="14"/>
      <c r="P29" s="14"/>
      <c r="Q29" s="14"/>
      <c r="R29" s="14"/>
      <c r="S29" s="14"/>
      <c r="T29" s="14"/>
      <c r="U29" s="14"/>
      <c r="V29" s="14"/>
      <c r="X29" s="14"/>
      <c r="Y29" s="14"/>
      <c r="Z29" s="14"/>
      <c r="AA29" s="14"/>
      <c r="AB29" s="14"/>
      <c r="AC29" s="14"/>
      <c r="AD29" s="14"/>
      <c r="AE29" s="14"/>
      <c r="AF29" s="14"/>
      <c r="AG29" s="14"/>
      <c r="AH29" s="14"/>
      <c r="AI29" s="14"/>
      <c r="AJ29" s="14"/>
      <c r="AK29" s="14"/>
      <c r="AL29" s="14"/>
      <c r="AM29" s="14"/>
      <c r="AN29" s="14"/>
      <c r="AO29" s="14"/>
      <c r="AP29" s="14"/>
      <c r="AQ29" s="14"/>
      <c r="AR29" s="14" t="s">
        <v>437</v>
      </c>
      <c r="AS29" s="14" t="s">
        <v>437</v>
      </c>
      <c r="AT29" s="14"/>
    </row>
    <row r="30" spans="1:46">
      <c r="A30" s="6" t="s">
        <v>621</v>
      </c>
      <c r="B30" s="14"/>
      <c r="C30" s="21" t="s">
        <v>442</v>
      </c>
      <c r="D30" s="21" t="s">
        <v>488</v>
      </c>
      <c r="E30" s="6" t="s">
        <v>112</v>
      </c>
      <c r="F30" s="14">
        <v>4</v>
      </c>
      <c r="G30" s="14">
        <v>4</v>
      </c>
      <c r="H30" s="14">
        <v>0</v>
      </c>
      <c r="I30" s="14">
        <v>100</v>
      </c>
      <c r="J30" s="86">
        <v>0</v>
      </c>
      <c r="K30" s="14" t="s">
        <v>528</v>
      </c>
      <c r="L30" s="14"/>
      <c r="M30" s="14"/>
      <c r="N30" s="14"/>
      <c r="O30" s="14"/>
      <c r="P30" s="14"/>
      <c r="Q30" s="14"/>
      <c r="R30" s="14"/>
      <c r="S30" s="14"/>
      <c r="T30" s="14"/>
      <c r="U30" s="14"/>
      <c r="V30" s="14"/>
      <c r="X30" s="14"/>
      <c r="Y30" s="14"/>
      <c r="Z30" s="14"/>
      <c r="AA30" s="14"/>
      <c r="AB30" s="14"/>
      <c r="AC30" s="14"/>
      <c r="AD30" s="14"/>
      <c r="AE30" s="14"/>
      <c r="AF30" s="14"/>
      <c r="AG30" s="14"/>
      <c r="AH30" s="14"/>
      <c r="AI30" s="14"/>
      <c r="AJ30" s="14"/>
      <c r="AK30" s="14"/>
      <c r="AL30" s="14"/>
      <c r="AM30" s="14"/>
      <c r="AN30" s="14"/>
      <c r="AO30" s="14"/>
      <c r="AP30" s="14"/>
      <c r="AQ30" s="14"/>
      <c r="AR30" s="14" t="s">
        <v>437</v>
      </c>
      <c r="AT30" s="14"/>
    </row>
    <row r="31" spans="1:46">
      <c r="A31" s="6" t="s">
        <v>622</v>
      </c>
      <c r="B31" s="14"/>
      <c r="C31" s="21" t="s">
        <v>442</v>
      </c>
      <c r="D31" s="21" t="s">
        <v>488</v>
      </c>
      <c r="E31" s="6" t="s">
        <v>120</v>
      </c>
      <c r="F31" s="14">
        <v>4</v>
      </c>
      <c r="G31" s="14">
        <v>16</v>
      </c>
      <c r="H31" s="14">
        <v>0</v>
      </c>
      <c r="I31" s="14">
        <v>110</v>
      </c>
      <c r="J31" s="86">
        <v>0</v>
      </c>
      <c r="K31" s="14" t="s">
        <v>529</v>
      </c>
      <c r="L31" s="14"/>
      <c r="M31" s="14"/>
      <c r="N31" s="14"/>
      <c r="O31" s="14"/>
      <c r="P31" s="14"/>
      <c r="Q31" s="14"/>
      <c r="R31" s="14"/>
      <c r="S31" s="14"/>
      <c r="T31" s="14"/>
      <c r="U31" s="14"/>
      <c r="V31" s="14"/>
      <c r="X31" s="14"/>
      <c r="Y31" s="14"/>
      <c r="Z31" s="14"/>
      <c r="AA31" s="14"/>
      <c r="AB31" s="14"/>
      <c r="AC31" s="14"/>
      <c r="AD31" s="14"/>
      <c r="AE31" s="14"/>
      <c r="AF31" s="14"/>
      <c r="AG31" s="14"/>
      <c r="AH31" s="14"/>
      <c r="AI31" s="14"/>
      <c r="AJ31" s="14"/>
      <c r="AK31" s="14"/>
      <c r="AL31" s="14"/>
      <c r="AM31" s="14"/>
      <c r="AN31" s="14"/>
      <c r="AO31" s="14"/>
      <c r="AP31" s="14"/>
      <c r="AQ31" s="14"/>
      <c r="AR31" s="14" t="s">
        <v>437</v>
      </c>
      <c r="AT31" s="14"/>
    </row>
    <row r="32" spans="1:46">
      <c r="A32" s="6" t="s">
        <v>490</v>
      </c>
      <c r="B32" s="14"/>
      <c r="C32" s="21" t="s">
        <v>442</v>
      </c>
      <c r="D32" s="21" t="s">
        <v>488</v>
      </c>
      <c r="E32" s="6" t="s">
        <v>116</v>
      </c>
      <c r="F32" s="14">
        <v>4</v>
      </c>
      <c r="G32" s="14">
        <v>14</v>
      </c>
      <c r="H32" s="14">
        <v>0</v>
      </c>
      <c r="I32" s="14">
        <v>120</v>
      </c>
      <c r="J32" s="86">
        <v>0</v>
      </c>
      <c r="K32" s="14" t="s">
        <v>531</v>
      </c>
      <c r="L32" s="14"/>
      <c r="M32" s="14"/>
      <c r="N32" s="14"/>
      <c r="O32" s="14"/>
      <c r="P32" s="14"/>
      <c r="Q32" s="14"/>
      <c r="R32" s="14"/>
      <c r="S32" s="14"/>
      <c r="T32" s="14"/>
      <c r="U32" s="14"/>
      <c r="V32" s="14"/>
      <c r="X32" s="14"/>
      <c r="Y32" s="14"/>
      <c r="Z32" s="14"/>
      <c r="AA32" s="14"/>
      <c r="AB32" s="14"/>
      <c r="AC32" s="14"/>
      <c r="AD32" s="14"/>
      <c r="AE32" s="14"/>
      <c r="AF32" s="14"/>
      <c r="AG32" s="14"/>
      <c r="AH32" s="14"/>
      <c r="AI32" s="14"/>
      <c r="AJ32" s="14"/>
      <c r="AK32" s="14"/>
      <c r="AL32" s="14"/>
      <c r="AM32" s="14"/>
      <c r="AN32" s="14"/>
      <c r="AO32" s="14"/>
      <c r="AP32" s="14"/>
      <c r="AQ32" s="14"/>
      <c r="AR32" s="14" t="s">
        <v>437</v>
      </c>
      <c r="AT32" s="14"/>
    </row>
    <row r="33" spans="1:53">
      <c r="A33" s="6" t="s">
        <v>465</v>
      </c>
      <c r="B33" s="14"/>
      <c r="C33" s="21" t="s">
        <v>442</v>
      </c>
      <c r="D33" s="6" t="s">
        <v>435</v>
      </c>
      <c r="E33" s="6" t="s">
        <v>124</v>
      </c>
      <c r="F33" s="14">
        <v>9</v>
      </c>
      <c r="G33" s="14">
        <v>12</v>
      </c>
      <c r="H33" s="14">
        <v>0</v>
      </c>
      <c r="I33" s="14">
        <v>56</v>
      </c>
      <c r="J33" s="86">
        <f>IF(G33&gt;=10,16, 4)</f>
        <v>16</v>
      </c>
      <c r="K33" s="14" t="s">
        <v>531</v>
      </c>
      <c r="L33" s="14"/>
      <c r="M33" s="14"/>
      <c r="N33" s="14"/>
      <c r="O33" s="14"/>
      <c r="P33" s="14"/>
      <c r="Q33" s="14"/>
      <c r="R33" s="14"/>
      <c r="S33" s="14"/>
      <c r="T33" s="14"/>
      <c r="U33" s="14"/>
      <c r="V33" s="14"/>
      <c r="X33" s="14"/>
      <c r="Y33" s="14"/>
      <c r="Z33" s="14">
        <v>50</v>
      </c>
      <c r="AA33" s="14" t="s">
        <v>466</v>
      </c>
      <c r="AB33" s="14"/>
      <c r="AC33" s="14"/>
      <c r="AD33" s="14"/>
      <c r="AE33" s="14"/>
      <c r="AF33" s="14"/>
      <c r="AG33" s="14"/>
      <c r="AH33" s="14"/>
      <c r="AI33" s="14"/>
      <c r="AJ33" s="14"/>
      <c r="AK33" s="14"/>
      <c r="AL33" s="14"/>
      <c r="AM33" s="14"/>
      <c r="AN33" s="14"/>
      <c r="AO33" s="14"/>
      <c r="AP33" s="14"/>
      <c r="AQ33" s="14"/>
      <c r="AR33" s="14" t="s">
        <v>437</v>
      </c>
      <c r="AT33" s="14"/>
    </row>
    <row r="34" spans="1:53">
      <c r="A34" s="6" t="s">
        <v>467</v>
      </c>
      <c r="B34" s="14"/>
      <c r="C34" s="21" t="s">
        <v>442</v>
      </c>
      <c r="D34" s="6" t="s">
        <v>435</v>
      </c>
      <c r="E34" s="6" t="s">
        <v>124</v>
      </c>
      <c r="F34" s="14">
        <v>9</v>
      </c>
      <c r="G34" s="14">
        <v>12</v>
      </c>
      <c r="H34" s="14">
        <v>0</v>
      </c>
      <c r="I34" s="14">
        <v>56</v>
      </c>
      <c r="J34" s="86">
        <f>IF(G34&gt;=10,16, 4)</f>
        <v>16</v>
      </c>
      <c r="K34" s="14" t="s">
        <v>528</v>
      </c>
      <c r="L34" s="14"/>
      <c r="M34" s="14"/>
      <c r="N34" s="14"/>
      <c r="O34" s="14"/>
      <c r="P34" s="14"/>
      <c r="Q34" s="14"/>
      <c r="R34" s="14"/>
      <c r="S34" s="14"/>
      <c r="T34" s="14"/>
      <c r="U34" s="14"/>
      <c r="V34" s="14"/>
      <c r="X34" s="14"/>
      <c r="Y34" s="14"/>
      <c r="Z34" s="14">
        <v>50</v>
      </c>
      <c r="AA34" s="14" t="s">
        <v>466</v>
      </c>
      <c r="AB34" s="14"/>
      <c r="AC34" s="14"/>
      <c r="AD34" s="14"/>
      <c r="AE34" s="14"/>
      <c r="AF34" s="14"/>
      <c r="AG34" s="14"/>
      <c r="AH34" s="14"/>
      <c r="AI34" s="14"/>
      <c r="AJ34" s="14"/>
      <c r="AK34" s="14"/>
      <c r="AL34" s="14"/>
      <c r="AM34" s="14"/>
      <c r="AN34" s="14"/>
      <c r="AO34" s="14"/>
      <c r="AP34" s="14"/>
      <c r="AQ34" s="14"/>
      <c r="AR34" s="14" t="s">
        <v>437</v>
      </c>
      <c r="AT34" s="14"/>
    </row>
    <row r="35" spans="1:53">
      <c r="A35" s="6" t="s">
        <v>468</v>
      </c>
      <c r="B35" s="14"/>
      <c r="C35" s="21" t="s">
        <v>442</v>
      </c>
      <c r="D35" s="6" t="s">
        <v>435</v>
      </c>
      <c r="E35" s="6" t="s">
        <v>469</v>
      </c>
      <c r="F35" s="14">
        <v>4</v>
      </c>
      <c r="G35" s="14">
        <v>4</v>
      </c>
      <c r="H35" s="14">
        <v>0</v>
      </c>
      <c r="I35" s="14">
        <v>41</v>
      </c>
      <c r="J35" s="86">
        <f>IF(G35&gt;=10,16, 4)</f>
        <v>4</v>
      </c>
      <c r="K35" s="14" t="s">
        <v>531</v>
      </c>
      <c r="L35" s="14"/>
      <c r="M35" s="14"/>
      <c r="N35" s="14"/>
      <c r="O35" s="14"/>
      <c r="P35" s="14"/>
      <c r="Q35" s="14"/>
      <c r="R35" s="14"/>
      <c r="S35" s="14"/>
      <c r="T35" s="14"/>
      <c r="U35" s="14"/>
      <c r="V35" s="14"/>
      <c r="X35" s="14"/>
      <c r="Y35" s="14"/>
      <c r="Z35" s="14"/>
      <c r="AA35" s="14"/>
      <c r="AB35" s="14"/>
      <c r="AC35" s="14"/>
      <c r="AD35" s="14"/>
      <c r="AE35" s="14"/>
      <c r="AF35" s="14"/>
      <c r="AG35" s="14"/>
      <c r="AH35" s="14"/>
      <c r="AI35" s="14"/>
      <c r="AJ35" s="14"/>
      <c r="AK35" s="14"/>
      <c r="AL35" s="14"/>
      <c r="AM35" s="14"/>
      <c r="AN35" s="14"/>
      <c r="AO35" s="14"/>
      <c r="AP35" s="14"/>
      <c r="AQ35" s="14"/>
      <c r="AR35" s="14" t="s">
        <v>437</v>
      </c>
      <c r="AT35" s="14"/>
    </row>
    <row r="36" spans="1:53">
      <c r="A36" s="6" t="s">
        <v>470</v>
      </c>
      <c r="B36" s="14"/>
      <c r="C36" s="21" t="s">
        <v>442</v>
      </c>
      <c r="D36" s="6" t="s">
        <v>435</v>
      </c>
      <c r="E36" s="6" t="s">
        <v>471</v>
      </c>
      <c r="F36" s="14">
        <v>4</v>
      </c>
      <c r="G36" s="14">
        <v>4</v>
      </c>
      <c r="H36" s="14">
        <v>0</v>
      </c>
      <c r="I36" s="14">
        <v>41</v>
      </c>
      <c r="J36" s="86">
        <f>IF(G36&gt;=10,16, 4)</f>
        <v>4</v>
      </c>
      <c r="K36" s="14" t="s">
        <v>531</v>
      </c>
      <c r="L36" s="14"/>
      <c r="M36" s="14"/>
      <c r="N36" s="14"/>
      <c r="O36" s="14"/>
      <c r="P36" s="14"/>
      <c r="Q36" s="14"/>
      <c r="R36" s="14"/>
      <c r="S36" s="14"/>
      <c r="T36" s="14"/>
      <c r="U36" s="14"/>
      <c r="V36" s="14"/>
      <c r="X36" s="14"/>
      <c r="Y36" s="14"/>
      <c r="Z36" s="14"/>
      <c r="AA36" s="14"/>
      <c r="AB36" s="14"/>
      <c r="AC36" s="14"/>
      <c r="AD36" s="14"/>
      <c r="AE36" s="14"/>
      <c r="AF36" s="14"/>
      <c r="AG36" s="14"/>
      <c r="AH36" s="14"/>
      <c r="AI36" s="14"/>
      <c r="AJ36" s="14"/>
      <c r="AK36" s="14"/>
      <c r="AL36" s="14"/>
      <c r="AM36" s="14"/>
      <c r="AN36" s="14"/>
      <c r="AO36" s="14"/>
      <c r="AP36" s="14"/>
      <c r="AQ36" s="14"/>
      <c r="AR36" s="14" t="s">
        <v>437</v>
      </c>
      <c r="AT36" s="14"/>
    </row>
    <row r="37" spans="1:53" s="46" customFormat="1" ht="14.45">
      <c r="A37" s="19" t="s">
        <v>472</v>
      </c>
      <c r="B37" s="19"/>
      <c r="C37" s="19" t="s">
        <v>442</v>
      </c>
      <c r="D37" s="19" t="s">
        <v>435</v>
      </c>
      <c r="E37" s="19" t="s">
        <v>473</v>
      </c>
      <c r="F37" s="17">
        <v>8</v>
      </c>
      <c r="G37" s="17">
        <v>11</v>
      </c>
      <c r="H37" s="17">
        <v>0</v>
      </c>
      <c r="I37" s="17">
        <v>125</v>
      </c>
      <c r="J37" s="86">
        <f>IF(G37&gt;=10,16, 4)</f>
        <v>16</v>
      </c>
      <c r="K37" s="17" t="s">
        <v>528</v>
      </c>
      <c r="L37" s="39"/>
      <c r="M37" s="39"/>
      <c r="N37" s="112"/>
      <c r="O37" s="113"/>
      <c r="P37" s="39"/>
      <c r="Q37" s="39"/>
      <c r="R37" s="39"/>
      <c r="S37" s="39"/>
      <c r="T37" s="39"/>
      <c r="U37" s="39"/>
      <c r="X37" s="39"/>
      <c r="Y37" s="39"/>
      <c r="Z37" s="39"/>
      <c r="AA37" s="39"/>
      <c r="AB37" s="39"/>
      <c r="AC37" s="39"/>
      <c r="AD37" s="39"/>
      <c r="AE37" s="39"/>
      <c r="AH37" s="39">
        <v>135</v>
      </c>
      <c r="AI37" s="39" t="s">
        <v>474</v>
      </c>
      <c r="AJ37" s="39"/>
      <c r="AK37" s="39"/>
      <c r="AL37" s="39"/>
      <c r="AM37" s="39"/>
      <c r="AN37" s="39"/>
      <c r="AO37" s="39"/>
      <c r="AP37" s="39"/>
      <c r="AQ37" s="39"/>
      <c r="AR37" s="39" t="s">
        <v>437</v>
      </c>
      <c r="AS37" s="39"/>
      <c r="AT37" s="39"/>
    </row>
    <row r="38" spans="1:53" s="20" customFormat="1">
      <c r="F38" s="18">
        <f>SUM(F8:F37)</f>
        <v>171</v>
      </c>
      <c r="G38" s="18">
        <f>SUM(G8:G37)</f>
        <v>424</v>
      </c>
      <c r="H38" s="18">
        <f>SUM(H8:H37)</f>
        <v>214.75</v>
      </c>
      <c r="I38" s="18">
        <f>SUM(I8:I37)</f>
        <v>2573</v>
      </c>
      <c r="J38" s="18"/>
      <c r="K38" s="18"/>
      <c r="L38" s="18">
        <f>SUM(L8:L37)</f>
        <v>66</v>
      </c>
      <c r="M38" s="18"/>
      <c r="N38" s="18">
        <f>SUM(N8:N37)</f>
        <v>1500</v>
      </c>
      <c r="O38" s="18"/>
      <c r="P38" s="18">
        <f>SUM(P8:P37)</f>
        <v>2250</v>
      </c>
      <c r="Q38" s="18"/>
      <c r="R38" s="18">
        <f>SUM(R8:R37)</f>
        <v>430</v>
      </c>
      <c r="S38" s="18"/>
      <c r="T38" s="18">
        <f>SUM(T8:T37)</f>
        <v>300</v>
      </c>
      <c r="U38" s="18"/>
      <c r="V38" s="18">
        <f>SUM(V8:V37)</f>
        <v>0</v>
      </c>
      <c r="W38" s="18"/>
      <c r="X38" s="18">
        <f>SUM(X8:X37)</f>
        <v>6855</v>
      </c>
      <c r="Z38" s="18">
        <f>SUM(Z8:Z37)</f>
        <v>100</v>
      </c>
      <c r="AB38" s="18">
        <f>SUM(AB8:AB37)</f>
        <v>50</v>
      </c>
      <c r="AD38" s="18">
        <f>SUM(AD8:AD37)</f>
        <v>170</v>
      </c>
      <c r="AF38" s="18">
        <f>SUM(AF8:AF37)</f>
        <v>0</v>
      </c>
      <c r="AH38" s="18">
        <f>SUM(AH8:AH37)</f>
        <v>135</v>
      </c>
      <c r="AJ38" s="18">
        <f>SUM(AJ8:AJ37)</f>
        <v>0</v>
      </c>
      <c r="AL38" s="18">
        <f>SUM(AL8:AL37)</f>
        <v>0</v>
      </c>
      <c r="AN38" s="18">
        <f>SUM(AN8:AN37)</f>
        <v>2500</v>
      </c>
      <c r="AR38" s="18">
        <f>COUNTIF(AR8:AR37,"x")</f>
        <v>30</v>
      </c>
      <c r="AS38" s="18">
        <f>COUNTIF(AS8:AS37,"x")</f>
        <v>10</v>
      </c>
      <c r="AT38" s="18">
        <f>COUNTIF(AT8:AT37,"x")</f>
        <v>2</v>
      </c>
    </row>
    <row r="39" spans="1:53" ht="13.5" customHeight="1">
      <c r="A39" s="16" t="s">
        <v>475</v>
      </c>
      <c r="F39" s="14"/>
      <c r="G39" s="14"/>
      <c r="H39" s="14"/>
      <c r="I39" s="14"/>
      <c r="J39" s="14"/>
      <c r="K39" s="14"/>
      <c r="L39" s="14"/>
      <c r="M39" s="14"/>
      <c r="N39" s="14"/>
      <c r="O39"/>
      <c r="P39" s="14"/>
      <c r="Q39" s="14"/>
      <c r="R39" s="14"/>
      <c r="S39" s="14"/>
      <c r="T39" s="14"/>
      <c r="U39" s="14"/>
      <c r="V39" s="14"/>
      <c r="W39" s="6"/>
      <c r="X39" s="14"/>
      <c r="Z39" s="14"/>
      <c r="AB39" s="14"/>
      <c r="AD39" s="14"/>
      <c r="AF39" s="14"/>
      <c r="AG39" s="14"/>
      <c r="AH39" s="14"/>
      <c r="AI39" s="14"/>
      <c r="AJ39" s="14"/>
      <c r="AK39" s="14"/>
      <c r="AL39" s="14"/>
      <c r="AM39" s="14"/>
      <c r="AN39" s="14"/>
    </row>
    <row r="40" spans="1:53">
      <c r="A40" s="6" t="s">
        <v>476</v>
      </c>
      <c r="B40" s="14"/>
      <c r="C40" s="21" t="s">
        <v>442</v>
      </c>
      <c r="D40" s="6" t="s">
        <v>435</v>
      </c>
      <c r="E40" s="6" t="s">
        <v>477</v>
      </c>
      <c r="F40" s="14">
        <v>8</v>
      </c>
      <c r="G40" s="14">
        <v>16</v>
      </c>
      <c r="H40" s="14">
        <v>0</v>
      </c>
      <c r="I40" s="14">
        <v>30</v>
      </c>
      <c r="J40" s="86">
        <f>IF(G40&gt;=10,16, 4)-J70</f>
        <v>12</v>
      </c>
      <c r="K40" s="14" t="s">
        <v>531</v>
      </c>
      <c r="L40" s="14"/>
      <c r="M40" s="14"/>
      <c r="N40" s="14"/>
      <c r="O40" s="14"/>
      <c r="P40" s="14"/>
      <c r="Q40" s="14"/>
      <c r="R40" s="14"/>
      <c r="S40" s="14"/>
      <c r="T40" s="14"/>
      <c r="U40" s="14"/>
      <c r="V40" s="14"/>
      <c r="X40" s="14">
        <v>200</v>
      </c>
      <c r="Y40" s="14" t="s">
        <v>206</v>
      </c>
      <c r="Z40" s="14"/>
      <c r="AA40" s="14"/>
      <c r="AB40" s="14"/>
      <c r="AC40" s="14"/>
      <c r="AD40" s="14"/>
      <c r="AE40" s="14"/>
      <c r="AF40" s="14"/>
      <c r="AG40" s="14"/>
      <c r="AH40" s="14"/>
      <c r="AI40" s="14"/>
      <c r="AJ40" s="14"/>
      <c r="AK40" s="14"/>
      <c r="AL40" s="14"/>
      <c r="AM40" s="14"/>
      <c r="AN40" s="14"/>
      <c r="AO40" s="14"/>
      <c r="AP40" s="14">
        <v>150</v>
      </c>
      <c r="AQ40" s="14" t="s">
        <v>474</v>
      </c>
      <c r="AT40" s="14"/>
    </row>
    <row r="41" spans="1:53" ht="12.95">
      <c r="A41" s="186" t="s">
        <v>478</v>
      </c>
      <c r="B41" s="187"/>
      <c r="F41" s="14"/>
      <c r="G41" s="14"/>
      <c r="H41" s="14"/>
      <c r="I41" s="14"/>
      <c r="J41" s="14"/>
      <c r="K41" s="14"/>
      <c r="L41" s="14"/>
      <c r="M41" s="14"/>
      <c r="N41" s="14"/>
      <c r="O41" s="14"/>
      <c r="P41" s="14"/>
      <c r="Q41" s="14"/>
      <c r="R41" s="14"/>
      <c r="S41" s="14"/>
      <c r="T41" s="14"/>
      <c r="U41" s="14"/>
      <c r="V41" s="14"/>
      <c r="X41" s="14"/>
      <c r="Z41" s="14"/>
      <c r="AB41" s="14"/>
      <c r="AD41" s="14"/>
      <c r="AF41" s="14"/>
      <c r="AN41" s="14"/>
      <c r="AT41" s="14"/>
    </row>
    <row r="42" spans="1:53">
      <c r="A42" s="6" t="s">
        <v>472</v>
      </c>
      <c r="B42" s="14"/>
      <c r="C42" s="21" t="s">
        <v>442</v>
      </c>
      <c r="D42" s="6" t="s">
        <v>435</v>
      </c>
      <c r="E42" s="6" t="s">
        <v>479</v>
      </c>
      <c r="F42" s="14">
        <v>8</v>
      </c>
      <c r="G42" s="14">
        <v>22</v>
      </c>
      <c r="H42" s="14">
        <v>0</v>
      </c>
      <c r="I42" s="14">
        <v>28</v>
      </c>
      <c r="J42" s="86">
        <f>IF(G42&gt;=10,16, 4)-J37</f>
        <v>0</v>
      </c>
      <c r="K42" s="14" t="s">
        <v>528</v>
      </c>
      <c r="L42" s="14"/>
      <c r="M42" s="14"/>
      <c r="N42" s="14"/>
      <c r="O42" s="14"/>
      <c r="P42" s="14"/>
      <c r="Q42" s="14"/>
      <c r="R42" s="14">
        <v>120</v>
      </c>
      <c r="S42" s="14" t="s">
        <v>449</v>
      </c>
      <c r="T42" s="14"/>
      <c r="U42" s="14"/>
      <c r="V42" s="14"/>
      <c r="X42" s="14">
        <v>340</v>
      </c>
      <c r="Y42" s="14" t="s">
        <v>206</v>
      </c>
      <c r="Z42" s="14"/>
      <c r="AA42" s="14"/>
      <c r="AB42" s="14"/>
      <c r="AC42" s="14"/>
      <c r="AD42" s="14"/>
      <c r="AE42" s="14"/>
      <c r="AF42" s="86">
        <v>200</v>
      </c>
      <c r="AG42" s="86" t="s">
        <v>474</v>
      </c>
      <c r="AH42" s="14"/>
      <c r="AI42" s="14"/>
      <c r="AJ42" s="14"/>
      <c r="AK42" s="14"/>
      <c r="AL42" s="14"/>
      <c r="AM42" s="14"/>
      <c r="AN42" s="14"/>
      <c r="AO42" s="14"/>
      <c r="AP42" s="14"/>
      <c r="AQ42" s="14"/>
      <c r="AT42" s="14"/>
    </row>
    <row r="43" spans="1:53" s="19" customFormat="1" ht="13.5" customHeight="1">
      <c r="A43" s="19" t="s">
        <v>480</v>
      </c>
      <c r="C43" s="19" t="s">
        <v>442</v>
      </c>
      <c r="D43" s="19" t="s">
        <v>435</v>
      </c>
      <c r="E43" s="19" t="s">
        <v>481</v>
      </c>
      <c r="F43" s="17">
        <v>4</v>
      </c>
      <c r="G43" s="17">
        <v>15</v>
      </c>
      <c r="H43" s="17">
        <v>0</v>
      </c>
      <c r="I43" s="17">
        <v>0</v>
      </c>
      <c r="J43" s="17">
        <f>IF(G43&gt;=10,16, 4)-J69</f>
        <v>12</v>
      </c>
      <c r="K43" s="17" t="s">
        <v>528</v>
      </c>
      <c r="L43" s="17"/>
      <c r="M43" s="17"/>
      <c r="N43" s="99"/>
      <c r="O43" s="98"/>
      <c r="P43" s="17"/>
      <c r="Q43" s="17"/>
      <c r="R43" s="17"/>
      <c r="S43" s="17"/>
      <c r="V43" s="17"/>
      <c r="W43" s="17"/>
      <c r="X43" s="17"/>
      <c r="Y43" s="17"/>
      <c r="AD43" s="17"/>
      <c r="AE43" s="17"/>
      <c r="AF43" s="17"/>
      <c r="AG43" s="17"/>
      <c r="AH43" s="17"/>
      <c r="AI43" s="17"/>
      <c r="AJ43" s="17"/>
      <c r="AK43" s="17"/>
      <c r="AL43" s="17"/>
      <c r="AM43" s="17"/>
      <c r="AN43" s="17"/>
      <c r="AP43" s="156"/>
      <c r="AQ43" s="156"/>
      <c r="AZ43" s="17"/>
      <c r="BA43" s="17"/>
    </row>
    <row r="44" spans="1:53" ht="13.5" customHeight="1">
      <c r="F44" s="14">
        <f>SUM(F40:F43)+F38</f>
        <v>191</v>
      </c>
      <c r="G44" s="14">
        <f>SUM(G40:G43)+G38</f>
        <v>477</v>
      </c>
      <c r="H44" s="14">
        <f>SUM(H40:H43)+H38</f>
        <v>214.75</v>
      </c>
      <c r="I44" s="14">
        <f>SUM(I40:I43)+I38</f>
        <v>2631</v>
      </c>
      <c r="J44" s="14"/>
      <c r="K44" s="14"/>
      <c r="L44" s="14">
        <f>SUM(L40:L43)+L38</f>
        <v>66</v>
      </c>
      <c r="M44" s="14"/>
      <c r="N44" s="14">
        <f>SUM(N40:N43)+N38</f>
        <v>1500</v>
      </c>
      <c r="O44"/>
      <c r="P44" s="14">
        <f>SUM(P40:P43)+P38</f>
        <v>2250</v>
      </c>
      <c r="Q44" s="14"/>
      <c r="R44" s="14">
        <f>SUM(R40:R43)+R38</f>
        <v>550</v>
      </c>
      <c r="S44" s="14"/>
      <c r="T44" s="14">
        <f>SUM(T40:T43)+T38</f>
        <v>300</v>
      </c>
      <c r="V44" s="14">
        <f>SUM(V40:V43)+V38</f>
        <v>0</v>
      </c>
      <c r="X44" s="14">
        <f>SUM(X40:X43)+X38</f>
        <v>7395</v>
      </c>
      <c r="Z44" s="14">
        <f>SUM(Z40:Z43)+Z38</f>
        <v>100</v>
      </c>
      <c r="AB44" s="14">
        <f>SUM(AB40:AB43)+AB38</f>
        <v>50</v>
      </c>
      <c r="AD44" s="14">
        <f>SUM(AD40:AD43)+AD38</f>
        <v>170</v>
      </c>
      <c r="AE44" s="14"/>
      <c r="AF44" s="14">
        <f>SUM(AF40:AF43)+AF38</f>
        <v>200</v>
      </c>
      <c r="AG44" s="14"/>
      <c r="AH44" s="14">
        <f>SUM(AH40:AH43)+AH38</f>
        <v>135</v>
      </c>
      <c r="AI44" s="14"/>
      <c r="AJ44" s="14">
        <f>SUM(AJ40:AJ43)+AJ38</f>
        <v>0</v>
      </c>
      <c r="AK44" s="14"/>
      <c r="AL44" s="14">
        <f>SUM(AL40:AL43)+AL38</f>
        <v>0</v>
      </c>
      <c r="AM44" s="14"/>
      <c r="AN44" s="14">
        <f>SUM(AN40:AN43)+AN38</f>
        <v>2500</v>
      </c>
      <c r="AR44" s="18">
        <f>COUNTIF(AR41:AR43,"x")+AR38</f>
        <v>30</v>
      </c>
      <c r="AS44" s="18">
        <f>COUNTIF(AS41:AS43,"x")+AS38</f>
        <v>10</v>
      </c>
      <c r="AT44" s="18">
        <f>COUNTIF(AT41:AT43,"x")+AT38</f>
        <v>2</v>
      </c>
      <c r="AU44" s="14"/>
      <c r="AV44" s="14"/>
    </row>
    <row r="45" spans="1:53">
      <c r="F45" s="14"/>
      <c r="G45" s="14"/>
      <c r="H45" s="14"/>
      <c r="I45" s="14"/>
      <c r="J45" s="14"/>
      <c r="K45" s="14"/>
      <c r="L45" s="14"/>
      <c r="M45" s="14"/>
      <c r="N45" s="14"/>
      <c r="O45" s="14"/>
      <c r="P45" s="14"/>
      <c r="Q45" s="14"/>
      <c r="R45" s="14"/>
      <c r="S45" s="14"/>
      <c r="T45" s="14"/>
      <c r="U45" s="14"/>
      <c r="V45" s="14"/>
      <c r="X45" s="14"/>
    </row>
    <row r="46" spans="1:53" ht="12.95">
      <c r="A46" s="16" t="s">
        <v>485</v>
      </c>
    </row>
    <row r="48" spans="1:53">
      <c r="A48" s="6" t="s">
        <v>486</v>
      </c>
      <c r="C48" s="6" t="s">
        <v>442</v>
      </c>
      <c r="D48" s="6" t="s">
        <v>435</v>
      </c>
      <c r="E48" s="6" t="s">
        <v>44</v>
      </c>
      <c r="F48" s="14">
        <v>8</v>
      </c>
      <c r="G48" s="14">
        <v>32</v>
      </c>
      <c r="H48" s="14">
        <v>0</v>
      </c>
      <c r="I48" s="14">
        <v>71</v>
      </c>
      <c r="J48" s="86">
        <f>IF(G48&gt;=10,16, 4)</f>
        <v>16</v>
      </c>
      <c r="K48" s="14"/>
      <c r="L48" s="14"/>
      <c r="M48" s="14"/>
      <c r="N48" s="14"/>
      <c r="O48" s="14"/>
      <c r="P48" s="14"/>
      <c r="Q48" s="14"/>
      <c r="R48" s="14"/>
      <c r="S48" s="14"/>
      <c r="T48" s="14"/>
      <c r="U48" s="14"/>
      <c r="V48" s="14"/>
      <c r="X48" s="14"/>
      <c r="AR48" s="14" t="s">
        <v>437</v>
      </c>
      <c r="AT48" s="14"/>
    </row>
    <row r="49" spans="1:46">
      <c r="A49" s="6" t="s">
        <v>539</v>
      </c>
      <c r="C49" s="6" t="s">
        <v>442</v>
      </c>
      <c r="D49" s="21" t="s">
        <v>488</v>
      </c>
      <c r="E49" s="6" t="s">
        <v>112</v>
      </c>
      <c r="F49" s="14">
        <v>4</v>
      </c>
      <c r="G49" s="14">
        <v>4</v>
      </c>
      <c r="H49" s="14">
        <v>0</v>
      </c>
      <c r="I49" s="14">
        <v>100</v>
      </c>
      <c r="J49" s="86">
        <v>0</v>
      </c>
      <c r="K49" s="14"/>
      <c r="L49" s="14"/>
      <c r="M49" s="14"/>
      <c r="N49" s="14"/>
      <c r="O49" s="14"/>
      <c r="P49" s="14"/>
      <c r="Q49" s="14"/>
      <c r="R49" s="14"/>
      <c r="S49" s="14"/>
      <c r="T49" s="14"/>
      <c r="U49" s="14"/>
      <c r="V49" s="14"/>
      <c r="X49" s="14"/>
      <c r="AR49" s="14" t="s">
        <v>437</v>
      </c>
      <c r="AT49" s="14"/>
    </row>
    <row r="50" spans="1:46">
      <c r="A50" s="6" t="s">
        <v>491</v>
      </c>
      <c r="C50" s="6" t="s">
        <v>442</v>
      </c>
      <c r="D50" s="21" t="s">
        <v>488</v>
      </c>
      <c r="E50" s="6" t="s">
        <v>120</v>
      </c>
      <c r="F50" s="14">
        <v>4</v>
      </c>
      <c r="G50" s="14">
        <v>16</v>
      </c>
      <c r="H50" s="14">
        <v>0</v>
      </c>
      <c r="I50" s="14">
        <v>100</v>
      </c>
      <c r="J50" s="86">
        <v>0</v>
      </c>
      <c r="K50" s="14"/>
      <c r="L50" s="14"/>
      <c r="M50" s="14"/>
      <c r="N50" s="14"/>
      <c r="O50" s="14"/>
      <c r="P50" s="14"/>
      <c r="Q50" s="14"/>
      <c r="R50" s="14"/>
      <c r="S50" s="14"/>
      <c r="T50" s="14"/>
      <c r="U50" s="14"/>
      <c r="V50" s="14"/>
      <c r="X50" s="14"/>
      <c r="AR50" s="14" t="s">
        <v>437</v>
      </c>
      <c r="AT50" s="14"/>
    </row>
    <row r="51" spans="1:46">
      <c r="A51" s="6" t="s">
        <v>540</v>
      </c>
      <c r="C51" s="6" t="s">
        <v>442</v>
      </c>
      <c r="D51" s="21" t="s">
        <v>488</v>
      </c>
      <c r="E51" s="6" t="s">
        <v>120</v>
      </c>
      <c r="F51" s="14">
        <v>4</v>
      </c>
      <c r="G51" s="14">
        <v>16</v>
      </c>
      <c r="H51" s="14">
        <v>0</v>
      </c>
      <c r="I51" s="14">
        <v>100</v>
      </c>
      <c r="J51" s="86">
        <v>0</v>
      </c>
      <c r="K51" s="14"/>
      <c r="L51" s="14"/>
      <c r="M51" s="14"/>
      <c r="N51" s="14"/>
      <c r="O51" s="14"/>
      <c r="P51" s="14"/>
      <c r="Q51" s="14"/>
      <c r="R51" s="14"/>
      <c r="S51" s="14"/>
      <c r="T51" s="14"/>
      <c r="U51" s="14"/>
      <c r="V51" s="14"/>
      <c r="X51" s="14"/>
      <c r="AR51" s="14" t="s">
        <v>437</v>
      </c>
      <c r="AT51" s="14"/>
    </row>
    <row r="52" spans="1:46">
      <c r="A52" s="6" t="s">
        <v>623</v>
      </c>
      <c r="C52" s="6" t="s">
        <v>442</v>
      </c>
      <c r="D52" s="21" t="s">
        <v>488</v>
      </c>
      <c r="E52" s="6" t="s">
        <v>120</v>
      </c>
      <c r="F52" s="14">
        <v>4</v>
      </c>
      <c r="G52" s="14">
        <v>16</v>
      </c>
      <c r="H52" s="14">
        <v>0</v>
      </c>
      <c r="I52" s="14">
        <v>100</v>
      </c>
      <c r="J52" s="86">
        <v>0</v>
      </c>
      <c r="K52" s="14"/>
      <c r="L52" s="14"/>
      <c r="M52" s="14"/>
      <c r="N52" s="14"/>
      <c r="O52" s="14"/>
      <c r="P52" s="14"/>
      <c r="Q52" s="14"/>
      <c r="R52" s="14"/>
      <c r="S52" s="14"/>
      <c r="T52" s="14"/>
      <c r="U52" s="14"/>
      <c r="V52" s="14"/>
      <c r="X52" s="14"/>
      <c r="AR52" s="14" t="s">
        <v>437</v>
      </c>
      <c r="AT52" s="14"/>
    </row>
    <row r="53" spans="1:46">
      <c r="A53" s="6" t="s">
        <v>624</v>
      </c>
      <c r="C53" s="6" t="s">
        <v>442</v>
      </c>
      <c r="D53" s="21" t="s">
        <v>488</v>
      </c>
      <c r="E53" s="6" t="s">
        <v>120</v>
      </c>
      <c r="F53" s="14">
        <v>4</v>
      </c>
      <c r="G53" s="14">
        <v>16</v>
      </c>
      <c r="H53" s="14">
        <v>0</v>
      </c>
      <c r="I53" s="14">
        <v>100</v>
      </c>
      <c r="J53" s="86">
        <v>0</v>
      </c>
      <c r="K53" s="14"/>
      <c r="L53" s="14"/>
      <c r="M53" s="14"/>
      <c r="N53" s="14"/>
      <c r="O53" s="14"/>
      <c r="P53" s="14"/>
      <c r="Q53" s="14"/>
      <c r="R53" s="14"/>
      <c r="S53" s="14"/>
      <c r="T53" s="14"/>
      <c r="U53" s="14"/>
      <c r="V53" s="14"/>
      <c r="X53" s="14"/>
      <c r="AR53" s="14" t="s">
        <v>437</v>
      </c>
      <c r="AT53" s="14"/>
    </row>
    <row r="54" spans="1:46">
      <c r="A54" s="6" t="s">
        <v>541</v>
      </c>
      <c r="C54" s="6" t="s">
        <v>442</v>
      </c>
      <c r="D54" s="21" t="s">
        <v>488</v>
      </c>
      <c r="E54" s="6" t="s">
        <v>116</v>
      </c>
      <c r="F54" s="14">
        <v>4</v>
      </c>
      <c r="G54" s="14">
        <v>14</v>
      </c>
      <c r="H54" s="14">
        <v>0</v>
      </c>
      <c r="I54" s="14">
        <v>120</v>
      </c>
      <c r="J54" s="86">
        <v>0</v>
      </c>
      <c r="K54" s="14"/>
      <c r="L54" s="14"/>
      <c r="M54" s="14"/>
      <c r="N54" s="14"/>
      <c r="O54" s="14"/>
      <c r="P54" s="14"/>
      <c r="Q54" s="14"/>
      <c r="R54" s="14"/>
      <c r="S54" s="14"/>
      <c r="T54" s="14"/>
      <c r="U54" s="14"/>
      <c r="V54" s="14"/>
      <c r="X54" s="14"/>
      <c r="AR54" s="14" t="s">
        <v>437</v>
      </c>
      <c r="AT54" s="14"/>
    </row>
    <row r="55" spans="1:46">
      <c r="A55" s="6" t="s">
        <v>492</v>
      </c>
      <c r="C55" s="6" t="s">
        <v>442</v>
      </c>
      <c r="D55" s="6" t="s">
        <v>435</v>
      </c>
      <c r="E55" s="6" t="s">
        <v>55</v>
      </c>
      <c r="F55" s="14">
        <v>3</v>
      </c>
      <c r="G55" s="14">
        <v>10</v>
      </c>
      <c r="H55" s="14">
        <v>0</v>
      </c>
      <c r="I55" s="14">
        <v>121</v>
      </c>
      <c r="J55" s="86">
        <f t="shared" ref="J55:J70" si="1">IF(G55&gt;=10,16, 4)</f>
        <v>16</v>
      </c>
      <c r="K55" s="14"/>
      <c r="L55" s="14"/>
      <c r="M55" s="14"/>
      <c r="N55" s="14"/>
      <c r="O55" s="14"/>
      <c r="P55" s="14"/>
      <c r="Q55" s="14"/>
      <c r="R55" s="14"/>
      <c r="S55" s="14"/>
      <c r="T55" s="14"/>
      <c r="U55" s="14"/>
      <c r="V55" s="14"/>
      <c r="X55" s="14"/>
      <c r="AR55" s="14" t="s">
        <v>437</v>
      </c>
      <c r="AT55" s="14"/>
    </row>
    <row r="56" spans="1:46">
      <c r="A56" s="6" t="s">
        <v>493</v>
      </c>
      <c r="C56" s="6" t="s">
        <v>442</v>
      </c>
      <c r="D56" s="6" t="s">
        <v>435</v>
      </c>
      <c r="E56" s="6" t="s">
        <v>55</v>
      </c>
      <c r="F56" s="14">
        <v>3</v>
      </c>
      <c r="G56" s="14">
        <v>10</v>
      </c>
      <c r="H56" s="14">
        <v>0</v>
      </c>
      <c r="I56" s="14">
        <v>121</v>
      </c>
      <c r="J56" s="86">
        <f t="shared" si="1"/>
        <v>16</v>
      </c>
      <c r="K56" s="14"/>
      <c r="L56" s="14"/>
      <c r="M56" s="14"/>
      <c r="N56" s="14"/>
      <c r="O56" s="14"/>
      <c r="P56" s="14"/>
      <c r="Q56" s="14"/>
      <c r="R56" s="14"/>
      <c r="S56" s="14"/>
      <c r="T56" s="14"/>
      <c r="U56" s="14"/>
      <c r="V56" s="14"/>
      <c r="X56" s="14"/>
      <c r="AR56" s="14" t="s">
        <v>437</v>
      </c>
      <c r="AT56" s="14"/>
    </row>
    <row r="57" spans="1:46">
      <c r="A57" s="6" t="s">
        <v>625</v>
      </c>
      <c r="C57" s="6" t="s">
        <v>442</v>
      </c>
      <c r="D57" s="6" t="s">
        <v>435</v>
      </c>
      <c r="E57" s="6" t="s">
        <v>55</v>
      </c>
      <c r="F57" s="14">
        <v>3</v>
      </c>
      <c r="G57" s="14">
        <v>10</v>
      </c>
      <c r="H57" s="14">
        <v>0</v>
      </c>
      <c r="I57" s="14">
        <v>121</v>
      </c>
      <c r="J57" s="86">
        <f t="shared" si="1"/>
        <v>16</v>
      </c>
      <c r="K57" s="14"/>
      <c r="L57" s="14"/>
      <c r="M57" s="14"/>
      <c r="N57" s="14"/>
      <c r="O57" s="14"/>
      <c r="P57" s="14"/>
      <c r="Q57" s="14"/>
      <c r="R57" s="14"/>
      <c r="S57" s="14"/>
      <c r="T57" s="14"/>
      <c r="U57" s="14"/>
      <c r="V57" s="14"/>
      <c r="X57" s="14"/>
      <c r="AR57" s="14" t="s">
        <v>437</v>
      </c>
      <c r="AT57" s="14"/>
    </row>
    <row r="58" spans="1:46">
      <c r="A58" s="6" t="s">
        <v>626</v>
      </c>
      <c r="C58" s="6" t="s">
        <v>442</v>
      </c>
      <c r="D58" s="6" t="s">
        <v>435</v>
      </c>
      <c r="E58" s="21" t="s">
        <v>55</v>
      </c>
      <c r="F58" s="14">
        <v>3</v>
      </c>
      <c r="G58" s="14">
        <v>10</v>
      </c>
      <c r="H58" s="14">
        <v>0</v>
      </c>
      <c r="I58" s="14">
        <v>121</v>
      </c>
      <c r="J58" s="86">
        <f t="shared" si="1"/>
        <v>16</v>
      </c>
      <c r="K58" s="14"/>
      <c r="L58" s="14"/>
      <c r="M58" s="14"/>
      <c r="N58" s="14"/>
      <c r="O58" s="14"/>
      <c r="P58" s="14"/>
      <c r="Q58" s="14"/>
      <c r="R58" s="14"/>
      <c r="S58" s="14"/>
      <c r="T58" s="14"/>
      <c r="U58" s="14"/>
      <c r="V58" s="14"/>
      <c r="X58" s="14"/>
      <c r="AR58" s="14" t="s">
        <v>437</v>
      </c>
      <c r="AT58" s="14"/>
    </row>
    <row r="59" spans="1:46">
      <c r="A59" s="6" t="s">
        <v>494</v>
      </c>
      <c r="C59" s="6" t="s">
        <v>442</v>
      </c>
      <c r="D59" s="6" t="s">
        <v>435</v>
      </c>
      <c r="E59" s="21" t="s">
        <v>71</v>
      </c>
      <c r="F59" s="14">
        <v>2</v>
      </c>
      <c r="G59" s="14">
        <v>4</v>
      </c>
      <c r="H59" s="14">
        <v>0</v>
      </c>
      <c r="I59" s="14">
        <v>41</v>
      </c>
      <c r="J59" s="86">
        <f t="shared" si="1"/>
        <v>4</v>
      </c>
      <c r="K59" s="14"/>
      <c r="L59" s="14"/>
      <c r="M59" s="14"/>
      <c r="N59" s="14"/>
      <c r="O59" s="14"/>
      <c r="P59" s="14"/>
      <c r="Q59" s="14"/>
      <c r="R59" s="14"/>
      <c r="S59" s="14"/>
      <c r="T59" s="14"/>
      <c r="U59" s="14"/>
      <c r="V59" s="14"/>
      <c r="X59" s="14"/>
      <c r="AR59" s="14" t="s">
        <v>437</v>
      </c>
      <c r="AT59" s="14"/>
    </row>
    <row r="60" spans="1:46">
      <c r="A60" s="6" t="s">
        <v>495</v>
      </c>
      <c r="C60" s="6" t="s">
        <v>442</v>
      </c>
      <c r="D60" s="6" t="s">
        <v>435</v>
      </c>
      <c r="E60" s="21" t="s">
        <v>63</v>
      </c>
      <c r="F60" s="14">
        <v>2</v>
      </c>
      <c r="G60" s="14">
        <v>4</v>
      </c>
      <c r="H60" s="14">
        <v>0</v>
      </c>
      <c r="I60" s="14">
        <v>31</v>
      </c>
      <c r="J60" s="86">
        <f t="shared" si="1"/>
        <v>4</v>
      </c>
      <c r="K60" s="14"/>
      <c r="L60" s="14"/>
      <c r="M60" s="14"/>
      <c r="N60" s="14"/>
      <c r="O60" s="14"/>
      <c r="P60" s="14"/>
      <c r="Q60" s="14"/>
      <c r="R60" s="14"/>
      <c r="S60" s="14"/>
      <c r="T60" s="14"/>
      <c r="U60" s="14"/>
      <c r="V60" s="14"/>
      <c r="X60" s="14"/>
      <c r="AR60" s="14" t="s">
        <v>437</v>
      </c>
      <c r="AT60" s="14"/>
    </row>
    <row r="61" spans="1:46">
      <c r="A61" s="6" t="s">
        <v>496</v>
      </c>
      <c r="C61" s="6" t="s">
        <v>442</v>
      </c>
      <c r="D61" s="6" t="s">
        <v>435</v>
      </c>
      <c r="E61" s="21" t="s">
        <v>67</v>
      </c>
      <c r="F61" s="14">
        <v>4</v>
      </c>
      <c r="G61" s="14">
        <v>4</v>
      </c>
      <c r="H61" s="14">
        <v>0</v>
      </c>
      <c r="I61" s="14">
        <v>36</v>
      </c>
      <c r="J61" s="86">
        <f t="shared" si="1"/>
        <v>4</v>
      </c>
      <c r="K61" s="14"/>
      <c r="L61" s="14"/>
      <c r="M61" s="14"/>
      <c r="N61" s="14"/>
      <c r="O61" s="14"/>
      <c r="P61" s="14"/>
      <c r="Q61" s="14"/>
      <c r="R61" s="14"/>
      <c r="S61" s="14"/>
      <c r="T61" s="14"/>
      <c r="U61" s="14"/>
      <c r="V61" s="14"/>
      <c r="X61" s="14"/>
      <c r="AR61" s="14" t="s">
        <v>437</v>
      </c>
      <c r="AT61" s="14"/>
    </row>
    <row r="62" spans="1:46" ht="14.45">
      <c r="A62" s="6" t="s">
        <v>497</v>
      </c>
      <c r="C62" s="6" t="s">
        <v>442</v>
      </c>
      <c r="D62" s="6" t="s">
        <v>435</v>
      </c>
      <c r="E62" s="21" t="s">
        <v>276</v>
      </c>
      <c r="F62" s="14">
        <v>5</v>
      </c>
      <c r="G62" s="14">
        <v>6</v>
      </c>
      <c r="H62" s="14">
        <v>0</v>
      </c>
      <c r="I62" s="14">
        <v>111</v>
      </c>
      <c r="J62" s="86">
        <f t="shared" si="1"/>
        <v>4</v>
      </c>
      <c r="K62" s="2"/>
      <c r="L62" s="14"/>
      <c r="M62" s="14"/>
      <c r="N62" s="2"/>
      <c r="O62"/>
      <c r="P62" s="14"/>
      <c r="Q62" s="14"/>
      <c r="R62" s="14"/>
      <c r="S62" s="14"/>
      <c r="T62" s="14"/>
      <c r="U62" s="14"/>
      <c r="V62" s="14"/>
      <c r="Z62" s="14"/>
      <c r="AA62" s="14"/>
      <c r="AB62" s="14"/>
      <c r="AC62" s="14"/>
      <c r="AD62" s="14"/>
      <c r="AE62" s="14"/>
      <c r="AF62" s="14"/>
      <c r="AG62" s="14"/>
      <c r="AH62" s="14"/>
      <c r="AI62" s="14"/>
      <c r="AJ62" s="14"/>
      <c r="AK62" s="14"/>
      <c r="AL62" s="14"/>
      <c r="AM62" s="14"/>
      <c r="AN62" s="14"/>
      <c r="AO62" s="14"/>
      <c r="AP62" s="14"/>
      <c r="AQ62" s="14"/>
      <c r="AR62" s="14" t="s">
        <v>437</v>
      </c>
      <c r="AT62" s="14" t="s">
        <v>437</v>
      </c>
    </row>
    <row r="63" spans="1:46" ht="14.45">
      <c r="A63" s="6" t="s">
        <v>542</v>
      </c>
      <c r="C63" s="6" t="s">
        <v>442</v>
      </c>
      <c r="D63" s="6" t="s">
        <v>435</v>
      </c>
      <c r="E63" s="6" t="s">
        <v>90</v>
      </c>
      <c r="F63" s="14">
        <v>2</v>
      </c>
      <c r="G63" s="14">
        <v>2</v>
      </c>
      <c r="H63" s="14">
        <v>0</v>
      </c>
      <c r="I63" s="14">
        <v>16</v>
      </c>
      <c r="J63" s="86">
        <f t="shared" si="1"/>
        <v>4</v>
      </c>
      <c r="K63" s="2"/>
      <c r="L63" s="14"/>
      <c r="M63" s="14"/>
      <c r="N63" s="2"/>
      <c r="O63"/>
      <c r="P63" s="14"/>
      <c r="Q63" s="14"/>
      <c r="R63" s="14"/>
      <c r="S63" s="14"/>
      <c r="T63" s="14"/>
      <c r="U63" s="14"/>
      <c r="V63" s="14"/>
      <c r="Z63" s="14"/>
      <c r="AA63" s="14"/>
      <c r="AB63" s="14"/>
      <c r="AC63" s="14"/>
      <c r="AD63" s="14"/>
      <c r="AE63" s="14"/>
      <c r="AF63" s="14"/>
      <c r="AG63" s="14"/>
      <c r="AH63" s="14"/>
      <c r="AI63" s="14"/>
      <c r="AJ63" s="14"/>
      <c r="AK63" s="14"/>
      <c r="AL63" s="14"/>
      <c r="AM63" s="14"/>
      <c r="AN63" s="14"/>
      <c r="AO63" s="14"/>
      <c r="AP63" s="14"/>
      <c r="AQ63" s="14"/>
      <c r="AR63" s="14" t="s">
        <v>437</v>
      </c>
      <c r="AT63" s="14"/>
    </row>
    <row r="64" spans="1:46" ht="14.45">
      <c r="A64" s="6" t="s">
        <v>543</v>
      </c>
      <c r="C64" s="6" t="s">
        <v>442</v>
      </c>
      <c r="D64" s="6" t="s">
        <v>435</v>
      </c>
      <c r="E64" s="6" t="s">
        <v>90</v>
      </c>
      <c r="F64" s="14">
        <v>2</v>
      </c>
      <c r="G64" s="14">
        <v>2</v>
      </c>
      <c r="H64" s="14">
        <v>0</v>
      </c>
      <c r="I64" s="14">
        <v>16</v>
      </c>
      <c r="J64" s="86">
        <f t="shared" si="1"/>
        <v>4</v>
      </c>
      <c r="K64" s="2"/>
      <c r="L64" s="14"/>
      <c r="M64" s="14"/>
      <c r="N64" s="2"/>
      <c r="O64"/>
      <c r="P64" s="14"/>
      <c r="Q64" s="14"/>
      <c r="R64" s="14"/>
      <c r="S64" s="14"/>
      <c r="T64" s="14"/>
      <c r="U64" s="14"/>
      <c r="V64" s="14"/>
      <c r="Z64" s="14"/>
      <c r="AA64" s="14"/>
      <c r="AB64" s="14"/>
      <c r="AC64" s="14"/>
      <c r="AD64" s="14"/>
      <c r="AE64" s="14"/>
      <c r="AF64" s="14"/>
      <c r="AG64" s="14"/>
      <c r="AH64" s="14"/>
      <c r="AI64" s="14"/>
      <c r="AJ64" s="14"/>
      <c r="AK64" s="14"/>
      <c r="AL64" s="14"/>
      <c r="AM64" s="14"/>
      <c r="AN64" s="14"/>
      <c r="AO64" s="14"/>
      <c r="AP64" s="14"/>
      <c r="AQ64" s="14"/>
      <c r="AR64" s="14" t="s">
        <v>437</v>
      </c>
      <c r="AT64" s="14"/>
    </row>
    <row r="65" spans="1:54" ht="14.45">
      <c r="A65" s="6" t="s">
        <v>544</v>
      </c>
      <c r="C65" s="6" t="s">
        <v>442</v>
      </c>
      <c r="D65" s="6" t="s">
        <v>435</v>
      </c>
      <c r="E65" s="6" t="s">
        <v>94</v>
      </c>
      <c r="F65" s="14">
        <v>6</v>
      </c>
      <c r="G65" s="14">
        <v>5</v>
      </c>
      <c r="H65" s="14">
        <v>0</v>
      </c>
      <c r="I65" s="14">
        <v>41</v>
      </c>
      <c r="J65" s="86">
        <f t="shared" si="1"/>
        <v>4</v>
      </c>
      <c r="K65" s="2"/>
      <c r="L65" s="14"/>
      <c r="M65" s="14"/>
      <c r="N65" s="2"/>
      <c r="O65"/>
      <c r="P65" s="14"/>
      <c r="Q65" s="14"/>
      <c r="R65" s="14"/>
      <c r="S65" s="14"/>
      <c r="T65" s="14"/>
      <c r="U65" s="14"/>
      <c r="V65" s="14"/>
      <c r="Z65" s="14"/>
      <c r="AA65" s="14"/>
      <c r="AB65" s="14"/>
      <c r="AC65" s="14"/>
      <c r="AD65" s="14"/>
      <c r="AE65" s="14"/>
      <c r="AF65" s="14"/>
      <c r="AG65" s="14"/>
      <c r="AH65" s="14"/>
      <c r="AI65" s="14"/>
      <c r="AJ65" s="14"/>
      <c r="AK65" s="14"/>
      <c r="AL65" s="14"/>
      <c r="AM65" s="14"/>
      <c r="AN65" s="14"/>
      <c r="AO65" s="14"/>
      <c r="AP65" s="14"/>
      <c r="AQ65" s="14"/>
      <c r="AR65" s="14" t="s">
        <v>437</v>
      </c>
      <c r="AT65" s="14"/>
    </row>
    <row r="66" spans="1:54" ht="14.45">
      <c r="A66" s="6" t="s">
        <v>545</v>
      </c>
      <c r="C66" s="6" t="s">
        <v>442</v>
      </c>
      <c r="D66" s="6" t="s">
        <v>435</v>
      </c>
      <c r="E66" s="6" t="s">
        <v>98</v>
      </c>
      <c r="F66" s="14">
        <v>2</v>
      </c>
      <c r="G66" s="14">
        <v>2</v>
      </c>
      <c r="H66" s="14">
        <v>0</v>
      </c>
      <c r="I66" s="14">
        <v>31</v>
      </c>
      <c r="J66" s="86">
        <f t="shared" si="1"/>
        <v>4</v>
      </c>
      <c r="K66" s="45"/>
      <c r="L66" s="86"/>
      <c r="M66" s="86"/>
      <c r="N66" s="45"/>
      <c r="O66" s="44"/>
      <c r="P66" s="86"/>
      <c r="Q66" s="86"/>
      <c r="R66" s="86"/>
      <c r="S66" s="86"/>
      <c r="T66" s="86"/>
      <c r="U66" s="86"/>
      <c r="V66" s="86"/>
      <c r="W66" s="86"/>
      <c r="X66" s="86"/>
      <c r="Y66" s="36"/>
      <c r="Z66" s="86"/>
      <c r="AA66" s="86"/>
      <c r="AB66" s="86"/>
      <c r="AC66" s="86"/>
      <c r="AD66" s="86"/>
      <c r="AE66" s="86"/>
      <c r="AF66" s="86"/>
      <c r="AG66" s="86"/>
      <c r="AH66" s="86"/>
      <c r="AI66" s="86"/>
      <c r="AJ66" s="86"/>
      <c r="AK66" s="86"/>
      <c r="AL66" s="86"/>
      <c r="AM66" s="86"/>
      <c r="AN66" s="86"/>
      <c r="AO66" s="86"/>
      <c r="AP66" s="86"/>
      <c r="AQ66" s="86"/>
      <c r="AR66" s="86" t="s">
        <v>437</v>
      </c>
      <c r="AT66" s="86"/>
    </row>
    <row r="67" spans="1:54" ht="14.45">
      <c r="A67" s="6" t="s">
        <v>627</v>
      </c>
      <c r="C67" s="6" t="s">
        <v>442</v>
      </c>
      <c r="D67" s="6" t="s">
        <v>584</v>
      </c>
      <c r="E67" s="6" t="s">
        <v>118</v>
      </c>
      <c r="F67" s="14">
        <v>12</v>
      </c>
      <c r="G67" s="14">
        <v>24</v>
      </c>
      <c r="H67" s="14">
        <v>0</v>
      </c>
      <c r="I67" s="14">
        <v>2098</v>
      </c>
      <c r="J67" s="86">
        <f t="shared" si="1"/>
        <v>16</v>
      </c>
      <c r="K67" s="45"/>
      <c r="L67" s="86"/>
      <c r="M67" s="86"/>
      <c r="N67" s="45"/>
      <c r="O67" s="44"/>
      <c r="P67" s="86"/>
      <c r="Q67" s="86"/>
      <c r="R67" s="86"/>
      <c r="S67" s="86"/>
      <c r="T67" s="86"/>
      <c r="U67" s="86"/>
      <c r="V67" s="86"/>
      <c r="W67" s="86"/>
      <c r="X67" s="86"/>
      <c r="Y67" s="36"/>
      <c r="Z67" s="86"/>
      <c r="AA67" s="86"/>
      <c r="AB67" s="86"/>
      <c r="AC67" s="86"/>
      <c r="AD67" s="86"/>
      <c r="AE67" s="86"/>
      <c r="AF67" s="86"/>
      <c r="AG67" s="86"/>
      <c r="AH67" s="86"/>
      <c r="AI67" s="86"/>
      <c r="AJ67" s="86"/>
      <c r="AK67" s="86"/>
      <c r="AL67" s="86"/>
      <c r="AM67" s="86"/>
      <c r="AN67" s="86"/>
      <c r="AO67" s="86"/>
      <c r="AP67" s="86"/>
      <c r="AQ67" s="86"/>
      <c r="AR67" s="86" t="s">
        <v>437</v>
      </c>
      <c r="AT67" s="86"/>
    </row>
    <row r="68" spans="1:54" ht="14.45">
      <c r="A68" s="6" t="s">
        <v>551</v>
      </c>
      <c r="C68" s="6" t="s">
        <v>442</v>
      </c>
      <c r="D68" s="6" t="s">
        <v>435</v>
      </c>
      <c r="E68" s="6" t="s">
        <v>122</v>
      </c>
      <c r="F68" s="14">
        <v>2</v>
      </c>
      <c r="G68" s="14">
        <v>10</v>
      </c>
      <c r="H68" s="14">
        <v>0</v>
      </c>
      <c r="I68" s="14">
        <v>60</v>
      </c>
      <c r="J68" s="86">
        <f t="shared" si="1"/>
        <v>16</v>
      </c>
      <c r="K68" s="45"/>
      <c r="L68" s="86"/>
      <c r="M68" s="86"/>
      <c r="N68" s="45"/>
      <c r="O68" s="44"/>
      <c r="P68" s="86"/>
      <c r="Q68" s="86"/>
      <c r="R68" s="86"/>
      <c r="S68" s="86"/>
      <c r="T68" s="86"/>
      <c r="U68" s="86"/>
      <c r="V68" s="86"/>
      <c r="W68" s="86"/>
      <c r="X68" s="86"/>
      <c r="Y68" s="36"/>
      <c r="Z68" s="86"/>
      <c r="AA68" s="86"/>
      <c r="AB68" s="86"/>
      <c r="AC68" s="86"/>
      <c r="AD68" s="86"/>
      <c r="AE68" s="86"/>
      <c r="AF68" s="86"/>
      <c r="AG68" s="86"/>
      <c r="AH68" s="86"/>
      <c r="AI68" s="86"/>
      <c r="AJ68" s="86"/>
      <c r="AK68" s="86"/>
      <c r="AL68" s="86"/>
      <c r="AM68" s="86"/>
      <c r="AN68" s="86"/>
      <c r="AO68" s="86"/>
      <c r="AP68" s="86"/>
      <c r="AQ68" s="86"/>
      <c r="AR68" s="86" t="s">
        <v>437</v>
      </c>
      <c r="AT68" s="86"/>
    </row>
    <row r="69" spans="1:54" ht="13.5" customHeight="1">
      <c r="A69" s="6" t="s">
        <v>480</v>
      </c>
      <c r="C69" s="6" t="s">
        <v>442</v>
      </c>
      <c r="D69" s="6" t="s">
        <v>435</v>
      </c>
      <c r="E69" s="15" t="s">
        <v>506</v>
      </c>
      <c r="F69" s="14">
        <v>2</v>
      </c>
      <c r="G69" s="14">
        <v>2</v>
      </c>
      <c r="H69" s="14">
        <v>0</v>
      </c>
      <c r="I69" s="14">
        <v>50</v>
      </c>
      <c r="J69" s="86">
        <f t="shared" si="1"/>
        <v>4</v>
      </c>
      <c r="K69" s="14"/>
      <c r="L69" s="14"/>
      <c r="M69" s="14"/>
      <c r="N69" s="2"/>
      <c r="O69"/>
      <c r="P69" s="14"/>
      <c r="Q69" s="14"/>
      <c r="R69" s="14"/>
      <c r="S69" s="14"/>
      <c r="T69" s="14"/>
      <c r="U69" s="14"/>
      <c r="V69" s="14"/>
      <c r="X69" s="14"/>
      <c r="AH69" s="86"/>
      <c r="AI69" s="86"/>
      <c r="AJ69" s="86"/>
      <c r="AK69" s="86"/>
      <c r="AL69" s="86"/>
      <c r="AM69" s="86"/>
      <c r="AR69" s="14" t="s">
        <v>437</v>
      </c>
      <c r="AZ69" s="14"/>
      <c r="BA69" s="14"/>
      <c r="BB69" s="14"/>
    </row>
    <row r="70" spans="1:54" ht="13.5" customHeight="1">
      <c r="A70" s="6" t="s">
        <v>476</v>
      </c>
      <c r="C70" s="6" t="s">
        <v>442</v>
      </c>
      <c r="D70" s="6" t="s">
        <v>435</v>
      </c>
      <c r="E70" s="15" t="s">
        <v>507</v>
      </c>
      <c r="F70" s="14">
        <v>2</v>
      </c>
      <c r="G70" s="14">
        <v>2</v>
      </c>
      <c r="H70" s="14">
        <v>0</v>
      </c>
      <c r="I70" s="14">
        <v>50</v>
      </c>
      <c r="J70" s="86">
        <f t="shared" si="1"/>
        <v>4</v>
      </c>
      <c r="K70" s="14"/>
      <c r="L70" s="14"/>
      <c r="M70" s="14"/>
      <c r="N70" s="2"/>
      <c r="O70"/>
      <c r="P70" s="14"/>
      <c r="Q70" s="14"/>
      <c r="R70" s="14"/>
      <c r="S70" s="14"/>
      <c r="T70" s="14"/>
      <c r="U70" s="14"/>
      <c r="V70" s="14"/>
      <c r="X70" s="14"/>
      <c r="AH70" s="86"/>
      <c r="AI70" s="86"/>
      <c r="AJ70" s="86"/>
      <c r="AK70" s="86"/>
      <c r="AL70" s="86"/>
      <c r="AM70" s="86"/>
      <c r="AR70" s="14" t="s">
        <v>437</v>
      </c>
      <c r="AZ70" s="14"/>
      <c r="BA70" s="14"/>
      <c r="BB70" s="14"/>
    </row>
    <row r="71" spans="1:54" s="20" customFormat="1">
      <c r="F71" s="18">
        <f>SUM(F48:F70)+F44</f>
        <v>278</v>
      </c>
      <c r="G71" s="18">
        <f>SUM(G48:G70)+G44</f>
        <v>698</v>
      </c>
      <c r="H71" s="18">
        <f>SUM(H48:H70)+H44</f>
        <v>214.75</v>
      </c>
      <c r="I71" s="18">
        <f>SUM(I48:I70)+I44</f>
        <v>6387</v>
      </c>
      <c r="J71" s="18"/>
      <c r="K71" s="18"/>
      <c r="L71" s="18">
        <f>SUM(L48:L70)+L44</f>
        <v>66</v>
      </c>
      <c r="M71" s="18"/>
      <c r="N71" s="18">
        <f>SUM(N48:N70)+N44</f>
        <v>1500</v>
      </c>
      <c r="O71" s="18"/>
      <c r="P71" s="18">
        <f>SUM(P48:P70)+P44</f>
        <v>2250</v>
      </c>
      <c r="Q71" s="18"/>
      <c r="R71" s="18">
        <f>SUM(R48:R70)+R44</f>
        <v>550</v>
      </c>
      <c r="S71" s="18"/>
      <c r="T71" s="18">
        <f>SUM(T48:T70)+T44</f>
        <v>300</v>
      </c>
      <c r="U71" s="18"/>
      <c r="V71" s="18">
        <f>SUM(V48:V70)+V44</f>
        <v>0</v>
      </c>
      <c r="W71" s="18"/>
      <c r="X71" s="18">
        <f>SUM(X48:X70)+X44</f>
        <v>7395</v>
      </c>
      <c r="Z71" s="18">
        <f>SUM(Z48:Z70)+Z44</f>
        <v>100</v>
      </c>
      <c r="AB71" s="18">
        <f>SUM(AB48:AB70)+AB44</f>
        <v>50</v>
      </c>
      <c r="AD71" s="18">
        <f>SUM(AD48:AD70)+AD44</f>
        <v>170</v>
      </c>
      <c r="AF71" s="18">
        <f>SUM(AF48:AF70)+AF44</f>
        <v>200</v>
      </c>
      <c r="AH71" s="18">
        <f>SUM(AH48:AH70)+AH44</f>
        <v>135</v>
      </c>
      <c r="AJ71" s="18">
        <f>SUM(AJ48:AJ70)+AJ44</f>
        <v>0</v>
      </c>
      <c r="AL71" s="18">
        <f>SUM(AL48:AL70)+AL44</f>
        <v>0</v>
      </c>
      <c r="AN71" s="18">
        <f>SUM(AN48:AN69)+AN44</f>
        <v>2500</v>
      </c>
      <c r="AR71" s="18">
        <f>COUNTIF(AR48:AR70,"x")+AR44</f>
        <v>53</v>
      </c>
      <c r="AS71" s="18">
        <f>COUNTIF(AS48:AS70,"x")+AS44</f>
        <v>10</v>
      </c>
      <c r="AT71" s="18">
        <f>COUNTIF(AT48:AT70,"x")+AT44</f>
        <v>3</v>
      </c>
    </row>
    <row r="73" spans="1:54" ht="12.95">
      <c r="A73" s="16" t="s">
        <v>559</v>
      </c>
    </row>
    <row r="75" spans="1:54">
      <c r="A75" s="6" t="s">
        <v>560</v>
      </c>
      <c r="C75" s="6" t="s">
        <v>561</v>
      </c>
      <c r="D75" s="6" t="s">
        <v>562</v>
      </c>
      <c r="E75" s="6" t="s">
        <v>42</v>
      </c>
      <c r="F75" s="14">
        <v>2</v>
      </c>
      <c r="G75" s="14">
        <v>4</v>
      </c>
      <c r="H75" s="14">
        <v>4</v>
      </c>
      <c r="I75" s="14">
        <v>350</v>
      </c>
      <c r="J75" s="86">
        <f t="shared" ref="J75:J82" si="2">IF(G75&gt;=10,16, 4)</f>
        <v>4</v>
      </c>
      <c r="K75" s="86" t="s">
        <v>563</v>
      </c>
      <c r="L75" s="86"/>
      <c r="M75" s="86"/>
      <c r="N75" s="86"/>
      <c r="O75" s="86"/>
      <c r="P75" s="86"/>
      <c r="Q75" s="86"/>
      <c r="R75" s="86"/>
      <c r="S75" s="86"/>
      <c r="T75" s="14"/>
      <c r="U75" s="14"/>
      <c r="V75" s="14"/>
      <c r="Z75" s="14"/>
      <c r="AA75" s="14"/>
      <c r="AB75" s="14"/>
      <c r="AC75" s="14"/>
      <c r="AD75" s="14"/>
      <c r="AE75" s="14"/>
      <c r="AF75" s="14"/>
      <c r="AG75" s="14"/>
      <c r="AH75" s="14"/>
      <c r="AI75" s="14"/>
      <c r="AJ75" s="14"/>
      <c r="AK75" s="14"/>
      <c r="AL75" s="14"/>
      <c r="AM75" s="14"/>
      <c r="AN75" s="14"/>
      <c r="AO75" s="14"/>
      <c r="AP75" s="14"/>
      <c r="AQ75" s="14"/>
      <c r="AR75" s="14" t="s">
        <v>437</v>
      </c>
      <c r="AT75" s="14"/>
    </row>
    <row r="76" spans="1:54">
      <c r="A76" s="6" t="s">
        <v>565</v>
      </c>
      <c r="C76" s="6" t="s">
        <v>561</v>
      </c>
      <c r="D76" s="6" t="s">
        <v>562</v>
      </c>
      <c r="E76" s="6" t="s">
        <v>566</v>
      </c>
      <c r="F76" s="14">
        <v>6</v>
      </c>
      <c r="G76" s="14">
        <v>10</v>
      </c>
      <c r="H76" s="14">
        <v>10</v>
      </c>
      <c r="I76" s="14">
        <v>100</v>
      </c>
      <c r="J76" s="86">
        <f t="shared" si="2"/>
        <v>16</v>
      </c>
      <c r="K76" s="86" t="s">
        <v>563</v>
      </c>
      <c r="L76" s="86"/>
      <c r="M76" s="86"/>
      <c r="N76" s="86">
        <v>200</v>
      </c>
      <c r="O76" s="86" t="s">
        <v>564</v>
      </c>
      <c r="P76" s="86"/>
      <c r="Q76" s="86"/>
      <c r="R76" s="86"/>
      <c r="S76" s="86"/>
      <c r="T76" s="14"/>
      <c r="U76" s="14"/>
      <c r="V76" s="14"/>
      <c r="Z76" s="14"/>
      <c r="AA76" s="14"/>
      <c r="AB76" s="14"/>
      <c r="AC76" s="14"/>
      <c r="AD76" s="14"/>
      <c r="AE76" s="14"/>
      <c r="AF76" s="14"/>
      <c r="AG76" s="14"/>
      <c r="AH76" s="14"/>
      <c r="AI76" s="14"/>
      <c r="AJ76" s="14"/>
      <c r="AK76" s="14"/>
      <c r="AL76" s="14"/>
      <c r="AM76" s="14"/>
      <c r="AN76" s="14"/>
      <c r="AO76" s="14"/>
      <c r="AP76" s="14"/>
      <c r="AQ76" s="14"/>
      <c r="AR76" s="14" t="s">
        <v>437</v>
      </c>
      <c r="AT76" s="14"/>
    </row>
    <row r="77" spans="1:54">
      <c r="A77" s="6" t="s">
        <v>567</v>
      </c>
      <c r="C77" s="6" t="s">
        <v>561</v>
      </c>
      <c r="D77" s="6" t="s">
        <v>562</v>
      </c>
      <c r="E77" s="6" t="s">
        <v>568</v>
      </c>
      <c r="F77" s="14">
        <v>8</v>
      </c>
      <c r="G77" s="14">
        <v>16</v>
      </c>
      <c r="H77" s="14">
        <v>16</v>
      </c>
      <c r="I77" s="14">
        <v>60</v>
      </c>
      <c r="J77" s="86">
        <f t="shared" si="2"/>
        <v>16</v>
      </c>
      <c r="K77" s="86" t="s">
        <v>569</v>
      </c>
      <c r="L77" s="86"/>
      <c r="M77" s="86"/>
      <c r="N77" s="86"/>
      <c r="O77" s="86"/>
      <c r="P77" s="86"/>
      <c r="Q77" s="86"/>
      <c r="R77" s="86"/>
      <c r="S77" s="86"/>
      <c r="T77" s="14"/>
      <c r="U77" s="14"/>
      <c r="V77" s="14"/>
      <c r="Z77" s="14"/>
      <c r="AA77" s="14"/>
      <c r="AB77" s="14"/>
      <c r="AC77" s="14"/>
      <c r="AD77" s="14"/>
      <c r="AE77" s="14"/>
      <c r="AF77" s="14"/>
      <c r="AG77" s="14"/>
      <c r="AH77" s="14"/>
      <c r="AI77" s="14"/>
      <c r="AJ77" s="14"/>
      <c r="AK77" s="14"/>
      <c r="AL77" s="14"/>
      <c r="AM77" s="14"/>
      <c r="AN77" s="14"/>
      <c r="AO77" s="14"/>
      <c r="AP77" s="14"/>
      <c r="AQ77" s="14"/>
      <c r="AR77" s="14" t="s">
        <v>437</v>
      </c>
      <c r="AS77" s="14" t="s">
        <v>437</v>
      </c>
      <c r="AT77" s="14"/>
    </row>
    <row r="78" spans="1:54">
      <c r="A78" s="6" t="s">
        <v>570</v>
      </c>
      <c r="C78" s="6" t="s">
        <v>561</v>
      </c>
      <c r="D78" s="6" t="s">
        <v>562</v>
      </c>
      <c r="E78" s="6" t="s">
        <v>571</v>
      </c>
      <c r="F78" s="14">
        <v>10</v>
      </c>
      <c r="G78" s="14">
        <v>10</v>
      </c>
      <c r="H78" s="14">
        <v>10</v>
      </c>
      <c r="I78" s="14">
        <v>40</v>
      </c>
      <c r="J78" s="86">
        <f t="shared" si="2"/>
        <v>16</v>
      </c>
      <c r="K78" s="86" t="s">
        <v>569</v>
      </c>
      <c r="L78" s="86"/>
      <c r="M78" s="86"/>
      <c r="N78" s="86"/>
      <c r="O78" s="86"/>
      <c r="P78" s="86"/>
      <c r="Q78" s="86"/>
      <c r="R78" s="86"/>
      <c r="S78" s="86"/>
      <c r="T78" s="14"/>
      <c r="U78" s="14"/>
      <c r="V78" s="14"/>
      <c r="Z78" s="14"/>
      <c r="AA78" s="14"/>
      <c r="AB78" s="14"/>
      <c r="AC78" s="14"/>
      <c r="AD78" s="14"/>
      <c r="AE78" s="14"/>
      <c r="AF78" s="14"/>
      <c r="AG78" s="14"/>
      <c r="AH78" s="14"/>
      <c r="AI78" s="14"/>
      <c r="AJ78" s="14"/>
      <c r="AK78" s="14"/>
      <c r="AL78" s="14"/>
      <c r="AM78" s="14"/>
      <c r="AN78" s="14"/>
      <c r="AO78" s="14"/>
      <c r="AP78" s="14"/>
      <c r="AQ78" s="14"/>
      <c r="AR78" s="14" t="s">
        <v>437</v>
      </c>
      <c r="AS78" s="14" t="s">
        <v>437</v>
      </c>
      <c r="AT78" s="14"/>
    </row>
    <row r="79" spans="1:54">
      <c r="A79" s="6" t="s">
        <v>572</v>
      </c>
      <c r="C79" s="6" t="s">
        <v>561</v>
      </c>
      <c r="D79" s="6" t="s">
        <v>562</v>
      </c>
      <c r="E79" s="6" t="s">
        <v>573</v>
      </c>
      <c r="F79" s="14">
        <v>4</v>
      </c>
      <c r="G79" s="14">
        <v>16</v>
      </c>
      <c r="H79" s="14">
        <v>0</v>
      </c>
      <c r="I79" s="14">
        <v>550</v>
      </c>
      <c r="J79" s="86">
        <f t="shared" si="2"/>
        <v>16</v>
      </c>
      <c r="K79" s="86" t="s">
        <v>574</v>
      </c>
      <c r="L79" s="86"/>
      <c r="M79" s="86"/>
      <c r="N79" s="86"/>
      <c r="O79" s="86"/>
      <c r="P79" s="86"/>
      <c r="Q79" s="86"/>
      <c r="R79" s="86"/>
      <c r="S79" s="86"/>
      <c r="T79" s="14"/>
      <c r="U79" s="14"/>
      <c r="V79" s="14"/>
      <c r="Z79" s="14"/>
      <c r="AA79" s="14"/>
      <c r="AB79" s="14"/>
      <c r="AC79" s="14"/>
      <c r="AD79" s="14"/>
      <c r="AE79" s="14"/>
      <c r="AF79" s="14"/>
      <c r="AG79" s="14"/>
      <c r="AH79" s="14"/>
      <c r="AI79" s="14"/>
      <c r="AJ79" s="14"/>
      <c r="AK79" s="14"/>
      <c r="AL79" s="14"/>
      <c r="AM79" s="14"/>
      <c r="AN79" s="14"/>
      <c r="AO79" s="14"/>
      <c r="AP79" s="14"/>
      <c r="AQ79" s="14"/>
      <c r="AR79" s="14" t="s">
        <v>437</v>
      </c>
      <c r="AS79" s="14" t="s">
        <v>437</v>
      </c>
      <c r="AT79" s="14"/>
    </row>
    <row r="80" spans="1:54">
      <c r="A80" s="6" t="s">
        <v>576</v>
      </c>
      <c r="C80" s="6" t="s">
        <v>561</v>
      </c>
      <c r="D80" s="6" t="s">
        <v>562</v>
      </c>
      <c r="E80" s="6" t="s">
        <v>577</v>
      </c>
      <c r="F80" s="14">
        <v>2</v>
      </c>
      <c r="G80" s="14">
        <v>4</v>
      </c>
      <c r="H80" s="14">
        <v>4</v>
      </c>
      <c r="I80" s="14">
        <v>40</v>
      </c>
      <c r="J80" s="86">
        <f t="shared" si="2"/>
        <v>4</v>
      </c>
      <c r="K80" s="86" t="s">
        <v>569</v>
      </c>
      <c r="L80" s="86"/>
      <c r="M80" s="86"/>
      <c r="N80" s="86"/>
      <c r="O80" s="86"/>
      <c r="P80" s="86"/>
      <c r="Q80" s="86"/>
      <c r="R80" s="86">
        <v>50</v>
      </c>
      <c r="S80" s="86" t="s">
        <v>575</v>
      </c>
      <c r="T80" s="14"/>
      <c r="U80" s="14"/>
      <c r="V80" s="14"/>
      <c r="Z80" s="14"/>
      <c r="AA80" s="14"/>
      <c r="AB80" s="14"/>
      <c r="AC80" s="14"/>
      <c r="AD80" s="14"/>
      <c r="AE80" s="14"/>
      <c r="AF80" s="14"/>
      <c r="AG80" s="14"/>
      <c r="AH80" s="14"/>
      <c r="AI80" s="14"/>
      <c r="AJ80" s="14"/>
      <c r="AK80" s="14"/>
      <c r="AL80" s="14"/>
      <c r="AM80" s="14"/>
      <c r="AN80" s="14"/>
      <c r="AO80" s="14"/>
      <c r="AP80" s="14"/>
      <c r="AQ80" s="14"/>
      <c r="AR80" s="14" t="s">
        <v>437</v>
      </c>
      <c r="AT80" s="14"/>
    </row>
    <row r="81" spans="1:46">
      <c r="A81" s="6" t="s">
        <v>578</v>
      </c>
      <c r="C81" s="6" t="s">
        <v>579</v>
      </c>
      <c r="D81" s="6" t="s">
        <v>562</v>
      </c>
      <c r="E81" s="6" t="s">
        <v>86</v>
      </c>
      <c r="F81" s="14">
        <v>6</v>
      </c>
      <c r="G81" s="14">
        <v>20</v>
      </c>
      <c r="H81" s="14">
        <v>0</v>
      </c>
      <c r="I81" s="14">
        <v>80</v>
      </c>
      <c r="J81" s="86">
        <f t="shared" si="2"/>
        <v>16</v>
      </c>
      <c r="K81" s="86" t="s">
        <v>580</v>
      </c>
      <c r="L81" s="86"/>
      <c r="M81" s="86"/>
      <c r="N81" s="86"/>
      <c r="O81" s="86"/>
      <c r="P81" s="86"/>
      <c r="Q81" s="86"/>
      <c r="R81" s="86"/>
      <c r="S81" s="86"/>
      <c r="T81" s="14"/>
      <c r="U81" s="14"/>
      <c r="V81" s="14"/>
      <c r="Z81" s="14"/>
      <c r="AA81" s="14"/>
      <c r="AB81" s="14"/>
      <c r="AC81" s="14"/>
      <c r="AD81" s="14"/>
      <c r="AE81" s="14"/>
      <c r="AF81" s="14"/>
      <c r="AG81" s="14"/>
      <c r="AH81" s="14"/>
      <c r="AI81" s="14"/>
      <c r="AJ81" s="14"/>
      <c r="AK81" s="14"/>
      <c r="AL81" s="14"/>
      <c r="AM81" s="14"/>
      <c r="AN81" s="14"/>
      <c r="AO81" s="14"/>
      <c r="AP81" s="14"/>
      <c r="AQ81" s="14"/>
      <c r="AR81" s="14" t="s">
        <v>437</v>
      </c>
      <c r="AT81" s="14"/>
    </row>
    <row r="82" spans="1:46" s="19" customFormat="1">
      <c r="A82" s="19" t="s">
        <v>581</v>
      </c>
      <c r="C82" s="19" t="s">
        <v>579</v>
      </c>
      <c r="D82" s="19" t="s">
        <v>562</v>
      </c>
      <c r="E82" s="19" t="s">
        <v>86</v>
      </c>
      <c r="F82" s="17">
        <v>6</v>
      </c>
      <c r="G82" s="17">
        <v>20</v>
      </c>
      <c r="H82" s="17">
        <v>0</v>
      </c>
      <c r="I82" s="17">
        <v>80</v>
      </c>
      <c r="J82" s="17">
        <f t="shared" si="2"/>
        <v>16</v>
      </c>
      <c r="K82" s="39" t="s">
        <v>580</v>
      </c>
      <c r="L82" s="39"/>
      <c r="M82" s="39"/>
      <c r="N82" s="39"/>
      <c r="O82" s="39"/>
      <c r="P82" s="39"/>
      <c r="Q82" s="39"/>
      <c r="R82" s="39"/>
      <c r="S82" s="39"/>
      <c r="T82" s="17"/>
      <c r="U82" s="17"/>
      <c r="V82" s="17"/>
      <c r="W82" s="17"/>
      <c r="Z82" s="17"/>
      <c r="AA82" s="17"/>
      <c r="AB82" s="17"/>
      <c r="AC82" s="17"/>
      <c r="AD82" s="17"/>
      <c r="AE82" s="17"/>
      <c r="AF82" s="17"/>
      <c r="AG82" s="17"/>
      <c r="AH82" s="17"/>
      <c r="AI82" s="17"/>
      <c r="AJ82" s="17"/>
      <c r="AK82" s="17"/>
      <c r="AL82" s="17"/>
      <c r="AM82" s="17"/>
      <c r="AN82" s="17"/>
      <c r="AO82" s="17"/>
      <c r="AP82" s="17"/>
      <c r="AQ82" s="17"/>
      <c r="AR82" s="17" t="s">
        <v>437</v>
      </c>
      <c r="AS82" s="17"/>
      <c r="AT82" s="17"/>
    </row>
    <row r="83" spans="1:46">
      <c r="F83" s="14">
        <f>F71+SUM(F75:F82)</f>
        <v>322</v>
      </c>
      <c r="G83" s="14">
        <f>G71+SUM(G75:G82)</f>
        <v>798</v>
      </c>
      <c r="H83" s="14">
        <f>H71+SUM(H75:H82)</f>
        <v>258.75</v>
      </c>
      <c r="I83" s="14">
        <f>I71+SUM(I75:I82)</f>
        <v>7687</v>
      </c>
      <c r="J83" s="14"/>
      <c r="K83" s="14"/>
      <c r="L83" s="14">
        <f>L71+SUM(L75:L82)</f>
        <v>66</v>
      </c>
      <c r="M83" s="14"/>
      <c r="N83" s="14">
        <f>N71+SUM(N75:N82)</f>
        <v>1700</v>
      </c>
      <c r="O83" s="14"/>
      <c r="P83" s="14">
        <f>P71+SUM(P75:P82)</f>
        <v>2250</v>
      </c>
      <c r="Q83" s="14"/>
      <c r="R83" s="14">
        <f>R71+SUM(R75:R82)</f>
        <v>600</v>
      </c>
      <c r="S83" s="14"/>
      <c r="T83" s="14">
        <f>T71+SUM(T75:T82)</f>
        <v>300</v>
      </c>
      <c r="U83" s="14"/>
      <c r="V83" s="14">
        <f>V71+SUM(V75:V82)</f>
        <v>0</v>
      </c>
      <c r="X83" s="14">
        <f>X71+SUM(X75:X82)</f>
        <v>7395</v>
      </c>
      <c r="Y83" s="14"/>
      <c r="Z83" s="14">
        <f>Z71+SUM(Z75:Z82)</f>
        <v>100</v>
      </c>
      <c r="AA83" s="14"/>
      <c r="AB83" s="14">
        <f>AB71+SUM(AB75:AB82)</f>
        <v>50</v>
      </c>
      <c r="AC83" s="14"/>
      <c r="AD83" s="14">
        <f>AD71+SUM(AD75:AD82)</f>
        <v>170</v>
      </c>
      <c r="AE83" s="14"/>
      <c r="AF83" s="14">
        <f>AF71+SUM(AF75:AF82)</f>
        <v>200</v>
      </c>
      <c r="AG83" s="14"/>
      <c r="AH83" s="14">
        <f>AH71+SUM(AH75:AH82)</f>
        <v>135</v>
      </c>
      <c r="AI83" s="14"/>
      <c r="AJ83" s="14"/>
      <c r="AK83" s="14"/>
      <c r="AL83" s="14"/>
      <c r="AM83" s="14"/>
      <c r="AN83" s="14">
        <f>AN71+SUM(AN75:AN82)</f>
        <v>2500</v>
      </c>
      <c r="AO83" s="14"/>
      <c r="AP83" s="14"/>
      <c r="AQ83" s="14"/>
      <c r="AR83" s="18">
        <f>COUNTIF(AR76:AR82,"x")+AR71</f>
        <v>60</v>
      </c>
      <c r="AS83" s="18">
        <f>COUNTIF(AS76:AS82,"x")+AS71</f>
        <v>13</v>
      </c>
      <c r="AT83" s="18">
        <f>COUNTIF(AT76:AT82,"x")+AT71</f>
        <v>3</v>
      </c>
    </row>
    <row r="93" spans="1:46" ht="12.95">
      <c r="B93" s="8" t="s">
        <v>602</v>
      </c>
    </row>
    <row r="94" spans="1:46">
      <c r="A94" s="29" t="s">
        <v>607</v>
      </c>
      <c r="B94" s="6">
        <v>1500</v>
      </c>
    </row>
    <row r="95" spans="1:46">
      <c r="A95" s="29" t="s">
        <v>631</v>
      </c>
      <c r="B95" s="6">
        <v>2062</v>
      </c>
    </row>
  </sheetData>
  <mergeCells count="8">
    <mergeCell ref="F3:G3"/>
    <mergeCell ref="A4:B4"/>
    <mergeCell ref="A5:B5"/>
    <mergeCell ref="A41:B41"/>
    <mergeCell ref="A6:B6"/>
    <mergeCell ref="A1:E1"/>
    <mergeCell ref="A2:B2"/>
    <mergeCell ref="A3:B3"/>
  </mergeCells>
  <dataValidations count="1">
    <dataValidation type="list" allowBlank="1" showInputMessage="1" showErrorMessage="1" sqref="N10" xr:uid="{6B467EF5-AB44-4C40-B3E9-DC82BDBC43A2}">
      <formula1>$B$94:$B$95</formula1>
    </dataValidation>
  </dataValidations>
  <hyperlinks>
    <hyperlink ref="F3:G3" location="Shortcuts!A1" display="Back to shortcuts" xr:uid="{DDD1921E-368E-47C0-8E48-CD5668C2999A}"/>
  </hyperlinks>
  <pageMargins left="0.7" right="0.7" top="0.75" bottom="0.75" header="0.3" footer="0.3"/>
  <pageSetup paperSize="9" orientation="portrait" r:id="rId1"/>
  <headerFooter>
    <oddFooter>&amp;C&amp;1#&amp;"Arial"&amp;8&amp;K001753Nokia internal use</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DC7C-DF38-453E-8314-5BE95A315A2D}">
  <dimension ref="A1:BX93"/>
  <sheetViews>
    <sheetView zoomScale="84" zoomScaleNormal="84" zoomScalePageLayoutView="70" workbookViewId="0">
      <selection activeCell="BM43" sqref="BM43"/>
    </sheetView>
  </sheetViews>
  <sheetFormatPr defaultColWidth="8.85546875" defaultRowHeight="12.6"/>
  <cols>
    <col min="1" max="1" width="11.85546875" style="6" customWidth="1"/>
    <col min="2" max="2" width="17" style="6" customWidth="1"/>
    <col min="3" max="3" width="23.140625" style="6" customWidth="1"/>
    <col min="4" max="4" width="55.140625" style="6" customWidth="1"/>
    <col min="5" max="5" width="13.85546875" style="6" customWidth="1"/>
    <col min="6" max="7" width="8.85546875" style="6"/>
    <col min="8" max="9" width="8.140625" style="6" customWidth="1"/>
    <col min="10" max="10" width="6.140625" style="6" customWidth="1"/>
    <col min="11" max="11" width="15.140625" style="6" customWidth="1"/>
    <col min="12" max="12" width="8.140625" style="6" customWidth="1"/>
    <col min="13" max="13" width="8.85546875" style="6"/>
    <col min="14" max="14" width="6.140625" style="6" customWidth="1"/>
    <col min="15" max="15" width="15.140625" style="6" customWidth="1"/>
    <col min="16" max="16" width="6.85546875" style="6" customWidth="1"/>
    <col min="17" max="17" width="8.85546875" style="6"/>
    <col min="18" max="18" width="6.140625" style="6" customWidth="1"/>
    <col min="19" max="19" width="15.140625" style="6" customWidth="1"/>
    <col min="20" max="20" width="6.85546875" style="6" customWidth="1"/>
    <col min="21" max="21" width="8.85546875" style="6"/>
    <col min="22" max="22" width="6.140625" style="6" customWidth="1"/>
    <col min="23" max="23" width="11.140625" style="6" customWidth="1"/>
    <col min="24" max="24" width="6.85546875" style="6" customWidth="1"/>
    <col min="25" max="25" width="8.85546875" style="6"/>
    <col min="26" max="26" width="6.140625" style="6" customWidth="1"/>
    <col min="27" max="27" width="15.140625" style="6" customWidth="1"/>
    <col min="28" max="28" width="6.85546875" style="6" customWidth="1"/>
    <col min="29" max="29" width="8.85546875" style="6"/>
    <col min="30" max="30" width="6.140625" style="6" customWidth="1"/>
    <col min="31" max="31" width="15.140625" style="6" customWidth="1"/>
    <col min="32" max="32" width="6.85546875" style="6" customWidth="1"/>
    <col min="33" max="33" width="9.140625" style="6" customWidth="1"/>
    <col min="34" max="34" width="6.140625" style="6" customWidth="1"/>
    <col min="35" max="35" width="11.140625" style="6" customWidth="1"/>
    <col min="36" max="36" width="6.140625" style="6" customWidth="1"/>
    <col min="37" max="37" width="7.140625" style="6" customWidth="1"/>
    <col min="38" max="38" width="6.140625" style="6" customWidth="1"/>
    <col min="39" max="39" width="15.140625" style="6" customWidth="1"/>
    <col min="40" max="40" width="6.85546875" style="6" customWidth="1"/>
    <col min="41" max="41" width="11.85546875" style="6" customWidth="1"/>
    <col min="42" max="48" width="6.85546875" style="6" customWidth="1"/>
    <col min="49" max="50" width="9.140625" style="6" customWidth="1"/>
    <col min="51" max="51" width="10" style="6" customWidth="1"/>
    <col min="52" max="54" width="8" style="6" customWidth="1"/>
    <col min="55" max="55" width="10.140625" style="6" customWidth="1"/>
    <col min="56" max="56" width="8" style="6" customWidth="1"/>
    <col min="57" max="57" width="16.140625" style="6" customWidth="1"/>
    <col min="58" max="62" width="6.85546875" style="6" customWidth="1"/>
    <col min="63" max="63" width="12" style="6" customWidth="1"/>
    <col min="64" max="64" width="6.85546875" style="6" customWidth="1"/>
    <col min="65" max="65" width="9.85546875" style="6" customWidth="1"/>
    <col min="66" max="66" width="12.140625" style="6" customWidth="1"/>
    <col min="67" max="69" width="13.140625" style="6" customWidth="1"/>
    <col min="70" max="70" width="18.140625" style="6" customWidth="1"/>
    <col min="71" max="71" width="17.140625" style="6" customWidth="1"/>
    <col min="72" max="72" width="18.5703125" style="6" customWidth="1"/>
    <col min="73" max="74" width="13.140625" style="6" customWidth="1"/>
    <col min="75" max="75" width="22.85546875" style="6" customWidth="1"/>
    <col min="76" max="76" width="17.5703125" style="6" customWidth="1"/>
    <col min="77" max="86" width="8.85546875" style="6"/>
    <col min="87" max="87" width="10.140625" style="6" customWidth="1"/>
    <col min="88" max="16384" width="8.85546875" style="6"/>
  </cols>
  <sheetData>
    <row r="1" spans="1:76" ht="12.95">
      <c r="A1" s="189" t="s">
        <v>38</v>
      </c>
      <c r="B1" s="189"/>
      <c r="C1" s="189"/>
      <c r="D1" s="189"/>
      <c r="F1" s="7" t="s">
        <v>789</v>
      </c>
    </row>
    <row r="2" spans="1:76" ht="14.45">
      <c r="A2" s="171" t="s">
        <v>410</v>
      </c>
      <c r="B2" s="172"/>
    </row>
    <row r="3" spans="1:76" ht="14.45">
      <c r="A3" s="171" t="s">
        <v>412</v>
      </c>
      <c r="B3" s="172"/>
      <c r="C3" s="114"/>
      <c r="D3" s="6" t="s">
        <v>518</v>
      </c>
      <c r="F3" s="173" t="s">
        <v>413</v>
      </c>
      <c r="G3" s="173"/>
    </row>
    <row r="4" spans="1:76" ht="14.45">
      <c r="A4" s="171" t="s">
        <v>414</v>
      </c>
      <c r="B4" s="172"/>
      <c r="D4" s="36" t="s">
        <v>720</v>
      </c>
    </row>
    <row r="5" spans="1:76">
      <c r="A5" s="171" t="s">
        <v>415</v>
      </c>
      <c r="B5" s="171"/>
    </row>
    <row r="6" spans="1:76">
      <c r="A6" s="171" t="s">
        <v>416</v>
      </c>
      <c r="B6" s="171"/>
    </row>
    <row r="7" spans="1:76" ht="51.95">
      <c r="A7" s="9" t="s">
        <v>179</v>
      </c>
      <c r="B7" s="9" t="s">
        <v>417</v>
      </c>
      <c r="C7" s="9" t="s">
        <v>419</v>
      </c>
      <c r="D7" s="9" t="s">
        <v>420</v>
      </c>
      <c r="E7" s="8" t="s">
        <v>723</v>
      </c>
      <c r="F7" s="8" t="s">
        <v>157</v>
      </c>
      <c r="G7" s="8" t="s">
        <v>173</v>
      </c>
      <c r="H7" s="8" t="s">
        <v>724</v>
      </c>
      <c r="I7" s="8" t="s">
        <v>422</v>
      </c>
      <c r="J7" s="8" t="s">
        <v>725</v>
      </c>
      <c r="K7" s="8" t="s">
        <v>726</v>
      </c>
      <c r="L7" s="8" t="s">
        <v>727</v>
      </c>
      <c r="M7" s="8" t="s">
        <v>198</v>
      </c>
      <c r="N7" s="8" t="s">
        <v>725</v>
      </c>
      <c r="O7" s="8" t="s">
        <v>726</v>
      </c>
      <c r="P7" s="8" t="s">
        <v>727</v>
      </c>
      <c r="Q7" s="8" t="s">
        <v>53</v>
      </c>
      <c r="R7" s="8" t="s">
        <v>725</v>
      </c>
      <c r="S7" s="8" t="s">
        <v>726</v>
      </c>
      <c r="T7" s="8" t="s">
        <v>727</v>
      </c>
      <c r="U7" s="8" t="s">
        <v>202</v>
      </c>
      <c r="V7" s="8" t="s">
        <v>725</v>
      </c>
      <c r="W7" s="8" t="s">
        <v>726</v>
      </c>
      <c r="X7" s="8" t="s">
        <v>727</v>
      </c>
      <c r="Y7" s="8" t="s">
        <v>217</v>
      </c>
      <c r="Z7" s="8" t="s">
        <v>725</v>
      </c>
      <c r="AA7" s="8" t="s">
        <v>726</v>
      </c>
      <c r="AB7" s="8" t="s">
        <v>727</v>
      </c>
      <c r="AC7" s="8" t="s">
        <v>222</v>
      </c>
      <c r="AD7" s="8" t="s">
        <v>725</v>
      </c>
      <c r="AE7" s="8" t="s">
        <v>726</v>
      </c>
      <c r="AF7" s="8" t="s">
        <v>727</v>
      </c>
      <c r="AG7" s="8" t="s">
        <v>206</v>
      </c>
      <c r="AH7" s="8" t="s">
        <v>725</v>
      </c>
      <c r="AI7" s="8" t="s">
        <v>726</v>
      </c>
      <c r="AJ7" s="8" t="s">
        <v>727</v>
      </c>
      <c r="AK7" s="8" t="s">
        <v>610</v>
      </c>
      <c r="AL7" s="8" t="s">
        <v>725</v>
      </c>
      <c r="AM7" s="8" t="s">
        <v>726</v>
      </c>
      <c r="AN7" s="8" t="s">
        <v>727</v>
      </c>
      <c r="AO7" s="83" t="s">
        <v>728</v>
      </c>
      <c r="AP7" s="8" t="s">
        <v>725</v>
      </c>
      <c r="AQ7" s="8" t="s">
        <v>726</v>
      </c>
      <c r="AR7" s="8" t="s">
        <v>727</v>
      </c>
      <c r="AS7" s="83" t="s">
        <v>235</v>
      </c>
      <c r="AT7" s="8" t="s">
        <v>725</v>
      </c>
      <c r="AU7" s="8" t="s">
        <v>726</v>
      </c>
      <c r="AV7" s="8" t="s">
        <v>727</v>
      </c>
      <c r="AW7" s="83" t="s">
        <v>428</v>
      </c>
      <c r="AX7" s="8" t="s">
        <v>725</v>
      </c>
      <c r="AY7" s="8" t="s">
        <v>726</v>
      </c>
      <c r="AZ7" s="8" t="s">
        <v>727</v>
      </c>
      <c r="BA7" s="83" t="s">
        <v>790</v>
      </c>
      <c r="BB7" s="8" t="s">
        <v>725</v>
      </c>
      <c r="BC7" s="8" t="s">
        <v>726</v>
      </c>
      <c r="BD7" s="8" t="s">
        <v>727</v>
      </c>
      <c r="BE7" s="83" t="s">
        <v>791</v>
      </c>
      <c r="BF7" s="8" t="s">
        <v>725</v>
      </c>
      <c r="BG7" s="8" t="s">
        <v>726</v>
      </c>
      <c r="BH7" s="8" t="s">
        <v>727</v>
      </c>
      <c r="BI7" s="8" t="s">
        <v>477</v>
      </c>
      <c r="BJ7" s="8" t="s">
        <v>725</v>
      </c>
      <c r="BK7" s="8" t="s">
        <v>731</v>
      </c>
      <c r="BL7" s="8" t="s">
        <v>727</v>
      </c>
      <c r="BM7" s="8" t="s">
        <v>219</v>
      </c>
      <c r="BN7" s="8" t="s">
        <v>732</v>
      </c>
      <c r="BO7" s="8" t="s">
        <v>433</v>
      </c>
      <c r="BP7" s="8" t="s">
        <v>733</v>
      </c>
      <c r="BQ7" s="8" t="s">
        <v>734</v>
      </c>
      <c r="BR7" s="8" t="s">
        <v>735</v>
      </c>
      <c r="BS7" s="8" t="s">
        <v>736</v>
      </c>
      <c r="BT7" s="83" t="s">
        <v>737</v>
      </c>
      <c r="BU7" s="8" t="s">
        <v>738</v>
      </c>
      <c r="BV7" s="8" t="s">
        <v>739</v>
      </c>
      <c r="BW7" s="8" t="s">
        <v>740</v>
      </c>
      <c r="BX7" s="8" t="s">
        <v>741</v>
      </c>
    </row>
    <row r="8" spans="1:76">
      <c r="A8" s="21" t="s">
        <v>742</v>
      </c>
      <c r="B8" s="14"/>
      <c r="C8" s="6" t="s">
        <v>435</v>
      </c>
      <c r="D8" s="6" t="s">
        <v>743</v>
      </c>
      <c r="E8" s="14" t="s">
        <v>744</v>
      </c>
      <c r="F8" s="14">
        <v>4</v>
      </c>
      <c r="G8" s="14">
        <v>8</v>
      </c>
      <c r="H8" s="62">
        <v>50</v>
      </c>
      <c r="I8" s="31">
        <v>0</v>
      </c>
      <c r="J8" s="14" t="s">
        <v>745</v>
      </c>
      <c r="K8" s="6" t="s">
        <v>746</v>
      </c>
      <c r="L8" s="14">
        <v>4.7</v>
      </c>
      <c r="M8" s="14"/>
      <c r="N8" s="14"/>
      <c r="O8" s="14"/>
      <c r="P8" s="14"/>
      <c r="Q8" s="14"/>
      <c r="R8" s="14"/>
      <c r="S8" s="14"/>
      <c r="T8" s="14"/>
      <c r="U8" s="14"/>
      <c r="V8" s="14"/>
      <c r="W8" s="14"/>
      <c r="X8" s="14"/>
      <c r="Y8" s="14"/>
      <c r="Z8" s="14"/>
      <c r="AA8" s="14"/>
      <c r="AB8" s="14"/>
      <c r="AC8" s="14"/>
      <c r="AD8" s="14"/>
      <c r="AE8" s="14"/>
      <c r="AF8" s="14"/>
      <c r="AG8" s="62">
        <v>0</v>
      </c>
      <c r="AH8" s="14" t="s">
        <v>742</v>
      </c>
      <c r="AI8" s="14" t="s">
        <v>742</v>
      </c>
      <c r="AJ8" s="14" t="s">
        <v>742</v>
      </c>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v>1</v>
      </c>
      <c r="BN8" s="14" t="s">
        <v>437</v>
      </c>
      <c r="BP8" s="14" t="s">
        <v>437</v>
      </c>
      <c r="BQ8" s="14">
        <v>2</v>
      </c>
      <c r="BR8" s="14" t="s">
        <v>437</v>
      </c>
      <c r="BS8" s="14"/>
    </row>
    <row r="9" spans="1:76">
      <c r="A9" s="21" t="s">
        <v>434</v>
      </c>
      <c r="C9" s="6" t="s">
        <v>435</v>
      </c>
      <c r="D9" s="21" t="s">
        <v>42</v>
      </c>
      <c r="E9" s="14" t="s">
        <v>747</v>
      </c>
      <c r="F9" s="14">
        <v>4</v>
      </c>
      <c r="G9" s="14">
        <v>8</v>
      </c>
      <c r="H9" s="62">
        <v>350</v>
      </c>
      <c r="I9" s="31">
        <v>4</v>
      </c>
      <c r="J9" s="14" t="s">
        <v>748</v>
      </c>
      <c r="K9" s="6" t="s">
        <v>746</v>
      </c>
      <c r="L9" s="14">
        <v>5.9</v>
      </c>
      <c r="M9" s="14"/>
      <c r="N9" s="14"/>
      <c r="O9" s="14"/>
      <c r="P9" s="14"/>
      <c r="Q9" s="14"/>
      <c r="R9" s="14"/>
      <c r="S9" s="14"/>
      <c r="T9" s="14"/>
      <c r="U9" s="14"/>
      <c r="V9" s="14"/>
      <c r="W9" s="14"/>
      <c r="X9" s="14"/>
      <c r="Y9" s="14"/>
      <c r="Z9" s="14"/>
      <c r="AA9" s="14"/>
      <c r="AB9" s="14"/>
      <c r="AC9" s="14"/>
      <c r="AD9" s="14"/>
      <c r="AE9" s="14"/>
      <c r="AF9" s="14"/>
      <c r="AG9" s="62">
        <f>2*H9</f>
        <v>700</v>
      </c>
      <c r="AH9" s="14" t="s">
        <v>748</v>
      </c>
      <c r="AI9" s="6" t="s">
        <v>746</v>
      </c>
      <c r="AJ9" s="14" t="s">
        <v>742</v>
      </c>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v>2</v>
      </c>
      <c r="BN9" s="14" t="s">
        <v>437</v>
      </c>
      <c r="BQ9" s="14">
        <v>2</v>
      </c>
      <c r="BR9" s="14"/>
      <c r="BS9" s="14"/>
      <c r="BT9" s="14" t="s">
        <v>437</v>
      </c>
    </row>
    <row r="10" spans="1:76">
      <c r="A10" s="6" t="s">
        <v>440</v>
      </c>
      <c r="B10" s="14" t="s">
        <v>441</v>
      </c>
      <c r="C10" s="6" t="s">
        <v>435</v>
      </c>
      <c r="D10" s="6" t="s">
        <v>50</v>
      </c>
      <c r="E10" s="14" t="s">
        <v>749</v>
      </c>
      <c r="F10" s="14">
        <v>4</v>
      </c>
      <c r="G10" s="14">
        <v>8</v>
      </c>
      <c r="H10" s="62">
        <v>40</v>
      </c>
      <c r="I10" s="31">
        <v>4</v>
      </c>
      <c r="J10" s="14" t="s">
        <v>748</v>
      </c>
      <c r="K10" s="6" t="s">
        <v>746</v>
      </c>
      <c r="L10" s="14">
        <v>2.6</v>
      </c>
      <c r="M10" s="14"/>
      <c r="N10" s="14"/>
      <c r="O10" s="14"/>
      <c r="P10" s="14"/>
      <c r="Q10" s="14"/>
      <c r="R10" s="14"/>
      <c r="S10" s="14"/>
      <c r="T10" s="14"/>
      <c r="U10" s="14"/>
      <c r="V10" s="14"/>
      <c r="W10" s="14"/>
      <c r="X10" s="14"/>
      <c r="Y10" s="14"/>
      <c r="Z10" s="14"/>
      <c r="AA10" s="14"/>
      <c r="AB10" s="14"/>
      <c r="AC10" s="14"/>
      <c r="AD10" s="14"/>
      <c r="AE10" s="14"/>
      <c r="AF10" s="14"/>
      <c r="AG10" s="62">
        <f>2*H10</f>
        <v>80</v>
      </c>
      <c r="AH10" s="14" t="s">
        <v>748</v>
      </c>
      <c r="AI10" s="6" t="s">
        <v>746</v>
      </c>
      <c r="AJ10" s="14" t="s">
        <v>742</v>
      </c>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v>2</v>
      </c>
      <c r="BN10" s="14" t="s">
        <v>437</v>
      </c>
      <c r="BO10" s="14"/>
      <c r="BP10" s="14"/>
      <c r="BQ10" s="14">
        <v>2</v>
      </c>
      <c r="BR10" s="14"/>
      <c r="BS10" s="14"/>
      <c r="BT10" s="14" t="s">
        <v>437</v>
      </c>
      <c r="BU10" s="14"/>
      <c r="BV10" s="14"/>
      <c r="BW10" s="14"/>
      <c r="BX10" s="14"/>
    </row>
    <row r="11" spans="1:76">
      <c r="A11" s="6" t="s">
        <v>444</v>
      </c>
      <c r="B11" s="14"/>
      <c r="C11" s="6" t="s">
        <v>435</v>
      </c>
      <c r="D11" s="6" t="s">
        <v>53</v>
      </c>
      <c r="E11" s="14" t="s">
        <v>750</v>
      </c>
      <c r="F11" s="14">
        <v>11</v>
      </c>
      <c r="G11" s="14">
        <v>70</v>
      </c>
      <c r="H11" s="62">
        <v>95</v>
      </c>
      <c r="I11" s="31">
        <v>16</v>
      </c>
      <c r="J11" s="14" t="s">
        <v>748</v>
      </c>
      <c r="K11" s="6" t="s">
        <v>746</v>
      </c>
      <c r="L11" s="14">
        <v>2.6</v>
      </c>
      <c r="M11" s="14">
        <v>59.4</v>
      </c>
      <c r="N11" s="14" t="s">
        <v>748</v>
      </c>
      <c r="O11" s="6" t="s">
        <v>751</v>
      </c>
      <c r="P11" s="14">
        <f>50/1000</f>
        <v>0.05</v>
      </c>
      <c r="Q11" s="125">
        <v>1350</v>
      </c>
      <c r="R11" s="14" t="s">
        <v>748</v>
      </c>
      <c r="S11" s="6" t="s">
        <v>751</v>
      </c>
      <c r="T11" s="14">
        <f>50/1000</f>
        <v>0.05</v>
      </c>
      <c r="U11" s="62">
        <v>2025</v>
      </c>
      <c r="V11" s="14" t="s">
        <v>748</v>
      </c>
      <c r="W11" s="6" t="s">
        <v>746</v>
      </c>
      <c r="X11" s="14">
        <f>50/1000</f>
        <v>0.05</v>
      </c>
      <c r="Y11" s="14"/>
      <c r="Z11" s="14"/>
      <c r="AA11" s="14"/>
      <c r="AB11" s="14"/>
      <c r="AC11" s="14"/>
      <c r="AD11" s="14"/>
      <c r="AE11" s="14"/>
      <c r="AF11" s="14"/>
      <c r="AG11" s="62">
        <f>2*H11+5872.5</f>
        <v>6062.5</v>
      </c>
      <c r="AH11" s="14" t="s">
        <v>748</v>
      </c>
      <c r="AI11" s="6" t="s">
        <v>746</v>
      </c>
      <c r="AJ11" s="14" t="s">
        <v>742</v>
      </c>
      <c r="AK11" s="14"/>
      <c r="AL11" s="14"/>
      <c r="AM11" s="14"/>
      <c r="AN11" s="14"/>
      <c r="AO11" s="14"/>
      <c r="AP11" s="14"/>
      <c r="AQ11" s="14"/>
      <c r="AR11" s="14"/>
      <c r="AS11" s="14"/>
      <c r="AT11" s="14"/>
      <c r="AU11" s="14"/>
      <c r="AV11" s="14"/>
      <c r="AW11" s="14"/>
      <c r="AX11" s="14"/>
      <c r="AY11" s="14"/>
      <c r="AZ11" s="14"/>
      <c r="BA11" s="14"/>
      <c r="BB11" s="14"/>
      <c r="BC11" s="14"/>
      <c r="BD11" s="14"/>
      <c r="BE11" s="62">
        <v>2048</v>
      </c>
      <c r="BF11" s="14" t="s">
        <v>748</v>
      </c>
      <c r="BG11" s="6" t="s">
        <v>746</v>
      </c>
      <c r="BH11" s="14">
        <f>50/1000</f>
        <v>0.05</v>
      </c>
      <c r="BI11" s="14"/>
      <c r="BJ11" s="14"/>
      <c r="BK11" s="14"/>
      <c r="BL11" s="14"/>
      <c r="BM11" s="14">
        <v>6</v>
      </c>
      <c r="BN11" s="14" t="s">
        <v>437</v>
      </c>
      <c r="BO11" s="14"/>
      <c r="BP11" s="14"/>
      <c r="BQ11" s="14">
        <v>2</v>
      </c>
      <c r="BR11" s="14"/>
      <c r="BS11" s="14"/>
      <c r="BT11" s="14" t="s">
        <v>437</v>
      </c>
      <c r="BU11" s="14"/>
      <c r="BV11" s="14"/>
      <c r="BW11" s="14"/>
      <c r="BX11" s="14"/>
    </row>
    <row r="12" spans="1:76">
      <c r="A12" s="6" t="s">
        <v>448</v>
      </c>
      <c r="B12" s="14" t="s">
        <v>441</v>
      </c>
      <c r="C12" s="6" t="s">
        <v>435</v>
      </c>
      <c r="D12" s="6" t="s">
        <v>57</v>
      </c>
      <c r="E12" s="14" t="s">
        <v>752</v>
      </c>
      <c r="F12" s="14">
        <v>6</v>
      </c>
      <c r="G12" s="14">
        <v>9</v>
      </c>
      <c r="H12" s="62">
        <v>45</v>
      </c>
      <c r="I12" s="31">
        <v>4</v>
      </c>
      <c r="J12" s="14" t="s">
        <v>748</v>
      </c>
      <c r="K12" s="6" t="s">
        <v>746</v>
      </c>
      <c r="L12" s="14">
        <v>2.6</v>
      </c>
      <c r="M12" s="14"/>
      <c r="N12" s="14"/>
      <c r="O12" s="14"/>
      <c r="P12" s="14"/>
      <c r="Q12" s="14"/>
      <c r="R12" s="14"/>
      <c r="S12" s="14"/>
      <c r="T12" s="14"/>
      <c r="U12" s="14"/>
      <c r="V12" s="14"/>
      <c r="W12" s="14"/>
      <c r="X12" s="14"/>
      <c r="Y12" s="62">
        <v>393</v>
      </c>
      <c r="Z12" s="14" t="s">
        <v>748</v>
      </c>
      <c r="AA12" s="6" t="s">
        <v>746</v>
      </c>
      <c r="AB12" s="14">
        <v>0.1</v>
      </c>
      <c r="AC12" s="62">
        <v>270</v>
      </c>
      <c r="AD12" s="14" t="s">
        <v>748</v>
      </c>
      <c r="AE12" s="6" t="s">
        <v>746</v>
      </c>
      <c r="AF12" s="14" t="s">
        <v>742</v>
      </c>
      <c r="AG12" s="62">
        <v>477</v>
      </c>
      <c r="AH12" s="14" t="s">
        <v>748</v>
      </c>
      <c r="AI12" s="6" t="s">
        <v>746</v>
      </c>
      <c r="AJ12" s="14" t="s">
        <v>742</v>
      </c>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v>4</v>
      </c>
      <c r="BN12" s="14" t="s">
        <v>437</v>
      </c>
      <c r="BO12" s="14"/>
      <c r="BP12" s="14"/>
      <c r="BQ12" s="14">
        <v>2</v>
      </c>
      <c r="BR12" s="14"/>
      <c r="BS12" s="14"/>
      <c r="BT12" s="14" t="s">
        <v>437</v>
      </c>
      <c r="BU12" s="14"/>
      <c r="BV12" s="14"/>
      <c r="BW12" s="14"/>
      <c r="BX12" s="14"/>
    </row>
    <row r="13" spans="1:76">
      <c r="A13" s="6" t="s">
        <v>450</v>
      </c>
      <c r="B13" s="14"/>
      <c r="C13" s="6" t="s">
        <v>435</v>
      </c>
      <c r="D13" s="6" t="s">
        <v>61</v>
      </c>
      <c r="E13" s="14" t="s">
        <v>753</v>
      </c>
      <c r="F13" s="14">
        <v>4</v>
      </c>
      <c r="G13" s="14">
        <v>4</v>
      </c>
      <c r="H13" s="62">
        <v>30</v>
      </c>
      <c r="I13" s="31">
        <v>4</v>
      </c>
      <c r="J13" s="14" t="s">
        <v>748</v>
      </c>
      <c r="K13" s="6" t="s">
        <v>746</v>
      </c>
      <c r="L13" s="14">
        <v>2.6</v>
      </c>
      <c r="M13" s="62"/>
      <c r="N13" s="14"/>
      <c r="O13" s="14"/>
      <c r="P13" s="14"/>
      <c r="Q13" s="14"/>
      <c r="R13" s="14"/>
      <c r="S13" s="14"/>
      <c r="T13" s="14"/>
      <c r="U13" s="14"/>
      <c r="V13" s="14"/>
      <c r="W13" s="14"/>
      <c r="X13" s="14"/>
      <c r="Y13" s="14"/>
      <c r="Z13" s="14"/>
      <c r="AA13" s="14"/>
      <c r="AB13" s="14"/>
      <c r="AC13" s="14"/>
      <c r="AD13" s="14"/>
      <c r="AE13" s="14"/>
      <c r="AF13" s="14"/>
      <c r="AG13" s="62">
        <f t="shared" ref="AG13:AG18" si="0">2*H13</f>
        <v>60</v>
      </c>
      <c r="AH13" s="14" t="s">
        <v>748</v>
      </c>
      <c r="AI13" s="6" t="s">
        <v>746</v>
      </c>
      <c r="AJ13" s="14" t="s">
        <v>742</v>
      </c>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v>2</v>
      </c>
      <c r="BN13" s="14" t="s">
        <v>437</v>
      </c>
      <c r="BO13" s="14" t="s">
        <v>437</v>
      </c>
      <c r="BP13" s="14"/>
      <c r="BQ13" s="14">
        <v>2</v>
      </c>
      <c r="BR13" s="14"/>
      <c r="BS13" s="14"/>
      <c r="BT13" s="14" t="s">
        <v>437</v>
      </c>
      <c r="BU13" s="14"/>
      <c r="BV13" s="14"/>
      <c r="BW13" s="14"/>
      <c r="BX13" s="14"/>
    </row>
    <row r="14" spans="1:76">
      <c r="A14" s="6" t="s">
        <v>451</v>
      </c>
      <c r="B14" s="14"/>
      <c r="C14" s="6" t="s">
        <v>435</v>
      </c>
      <c r="D14" s="6" t="s">
        <v>65</v>
      </c>
      <c r="E14" s="14" t="s">
        <v>754</v>
      </c>
      <c r="F14" s="14">
        <v>2</v>
      </c>
      <c r="G14" s="14">
        <v>3</v>
      </c>
      <c r="H14" s="62">
        <v>30</v>
      </c>
      <c r="I14" s="31">
        <v>4</v>
      </c>
      <c r="J14" s="14" t="s">
        <v>748</v>
      </c>
      <c r="K14" s="6" t="s">
        <v>746</v>
      </c>
      <c r="L14" s="14">
        <v>2.6</v>
      </c>
      <c r="M14" s="14"/>
      <c r="N14" s="14"/>
      <c r="O14" s="14"/>
      <c r="P14" s="14"/>
      <c r="Q14" s="14"/>
      <c r="R14" s="14"/>
      <c r="S14" s="14"/>
      <c r="T14" s="14"/>
      <c r="U14" s="14"/>
      <c r="V14" s="14"/>
      <c r="W14" s="14"/>
      <c r="X14" s="14"/>
      <c r="Y14" s="14"/>
      <c r="Z14" s="14"/>
      <c r="AA14" s="14"/>
      <c r="AB14" s="14"/>
      <c r="AC14" s="14"/>
      <c r="AD14" s="14"/>
      <c r="AE14" s="14"/>
      <c r="AF14" s="14"/>
      <c r="AG14" s="62">
        <f t="shared" si="0"/>
        <v>60</v>
      </c>
      <c r="AH14" s="14" t="s">
        <v>748</v>
      </c>
      <c r="AI14" s="6" t="s">
        <v>746</v>
      </c>
      <c r="AJ14" s="14" t="s">
        <v>742</v>
      </c>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v>2</v>
      </c>
      <c r="BN14" s="14" t="s">
        <v>437</v>
      </c>
      <c r="BO14" s="14"/>
      <c r="BP14" s="14"/>
      <c r="BQ14" s="14">
        <v>2</v>
      </c>
      <c r="BR14" s="14"/>
      <c r="BS14" s="14"/>
      <c r="BT14" s="14" t="s">
        <v>437</v>
      </c>
      <c r="BU14" s="14"/>
      <c r="BV14" s="14"/>
      <c r="BW14" s="14"/>
      <c r="BX14" s="14"/>
    </row>
    <row r="15" spans="1:76">
      <c r="A15" s="6" t="s">
        <v>452</v>
      </c>
      <c r="B15" s="14"/>
      <c r="C15" s="6" t="s">
        <v>435</v>
      </c>
      <c r="D15" s="6" t="s">
        <v>611</v>
      </c>
      <c r="E15" s="14" t="s">
        <v>755</v>
      </c>
      <c r="F15" s="14">
        <v>3</v>
      </c>
      <c r="G15" s="14">
        <v>6</v>
      </c>
      <c r="H15" s="62">
        <v>40</v>
      </c>
      <c r="I15" s="31">
        <v>4</v>
      </c>
      <c r="J15" s="14" t="s">
        <v>748</v>
      </c>
      <c r="K15" s="6" t="s">
        <v>746</v>
      </c>
      <c r="L15" s="14">
        <v>2.6</v>
      </c>
      <c r="M15" s="14"/>
      <c r="N15" s="14"/>
      <c r="O15" s="14"/>
      <c r="P15" s="14"/>
      <c r="Q15" s="14"/>
      <c r="R15" s="14"/>
      <c r="S15" s="14"/>
      <c r="T15" s="14"/>
      <c r="U15" s="14"/>
      <c r="V15" s="14"/>
      <c r="W15" s="14"/>
      <c r="X15" s="14"/>
      <c r="Y15" s="14"/>
      <c r="Z15" s="14"/>
      <c r="AA15" s="14"/>
      <c r="AB15" s="14"/>
      <c r="AC15" s="14"/>
      <c r="AD15" s="14"/>
      <c r="AE15" s="14"/>
      <c r="AF15" s="14"/>
      <c r="AG15" s="62">
        <f t="shared" si="0"/>
        <v>80</v>
      </c>
      <c r="AH15" s="14" t="s">
        <v>748</v>
      </c>
      <c r="AI15" s="6" t="s">
        <v>746</v>
      </c>
      <c r="AJ15" s="14" t="s">
        <v>742</v>
      </c>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v>2</v>
      </c>
      <c r="BN15" s="14" t="s">
        <v>437</v>
      </c>
      <c r="BO15" s="14"/>
      <c r="BP15" s="14"/>
      <c r="BQ15" s="14">
        <v>2</v>
      </c>
      <c r="BR15" s="14"/>
      <c r="BS15" s="14"/>
      <c r="BT15" s="14" t="s">
        <v>437</v>
      </c>
      <c r="BU15" s="14"/>
      <c r="BV15" s="14"/>
      <c r="BW15" s="14"/>
      <c r="BX15" s="14"/>
    </row>
    <row r="16" spans="1:76">
      <c r="A16" s="6" t="s">
        <v>454</v>
      </c>
      <c r="B16" s="14"/>
      <c r="C16" s="6" t="s">
        <v>435</v>
      </c>
      <c r="D16" s="6" t="s">
        <v>455</v>
      </c>
      <c r="E16" s="14" t="s">
        <v>756</v>
      </c>
      <c r="F16" s="14">
        <v>5</v>
      </c>
      <c r="G16" s="14">
        <v>5</v>
      </c>
      <c r="H16" s="62">
        <v>55</v>
      </c>
      <c r="I16" s="31">
        <v>4</v>
      </c>
      <c r="J16" s="14" t="s">
        <v>748</v>
      </c>
      <c r="K16" s="6" t="s">
        <v>746</v>
      </c>
      <c r="L16" s="14">
        <v>2.6</v>
      </c>
      <c r="M16" s="14"/>
      <c r="N16" s="14"/>
      <c r="O16" s="14"/>
      <c r="P16" s="14"/>
      <c r="Q16" s="14"/>
      <c r="R16" s="14"/>
      <c r="S16" s="14"/>
      <c r="T16" s="14"/>
      <c r="U16" s="14"/>
      <c r="V16" s="14"/>
      <c r="W16" s="14"/>
      <c r="X16" s="14"/>
      <c r="Y16" s="14"/>
      <c r="Z16" s="14"/>
      <c r="AA16" s="14"/>
      <c r="AB16" s="14"/>
      <c r="AC16" s="14"/>
      <c r="AD16" s="14"/>
      <c r="AE16" s="14"/>
      <c r="AF16" s="14"/>
      <c r="AG16" s="62">
        <f t="shared" si="0"/>
        <v>110</v>
      </c>
      <c r="AH16" s="14" t="s">
        <v>748</v>
      </c>
      <c r="AI16" s="6" t="s">
        <v>746</v>
      </c>
      <c r="AJ16" s="14" t="s">
        <v>742</v>
      </c>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v>2</v>
      </c>
      <c r="BN16" s="14" t="s">
        <v>437</v>
      </c>
      <c r="BO16" s="14"/>
      <c r="BP16" s="14"/>
      <c r="BQ16" s="14">
        <v>2</v>
      </c>
      <c r="BR16" s="14"/>
      <c r="BS16" s="14"/>
      <c r="BT16" s="14" t="s">
        <v>437</v>
      </c>
      <c r="BU16" s="14"/>
      <c r="BV16" s="14"/>
      <c r="BW16" s="14"/>
      <c r="BX16" s="14"/>
    </row>
    <row r="17" spans="1:76">
      <c r="A17" s="6" t="s">
        <v>456</v>
      </c>
      <c r="B17" s="14"/>
      <c r="C17" s="6" t="s">
        <v>435</v>
      </c>
      <c r="D17" s="6" t="s">
        <v>77</v>
      </c>
      <c r="E17" s="14" t="s">
        <v>757</v>
      </c>
      <c r="F17" s="14">
        <v>8</v>
      </c>
      <c r="G17" s="14">
        <v>13</v>
      </c>
      <c r="H17" s="62">
        <v>80</v>
      </c>
      <c r="I17" s="31">
        <v>4</v>
      </c>
      <c r="J17" s="14" t="s">
        <v>748</v>
      </c>
      <c r="K17" s="6" t="s">
        <v>746</v>
      </c>
      <c r="L17" s="14">
        <v>2.6</v>
      </c>
      <c r="M17" s="62"/>
      <c r="N17" s="14"/>
      <c r="O17" s="14"/>
      <c r="P17" s="14"/>
      <c r="Q17" s="14"/>
      <c r="R17" s="14"/>
      <c r="S17" s="14"/>
      <c r="T17" s="14"/>
      <c r="U17" s="14"/>
      <c r="V17" s="14"/>
      <c r="W17" s="14"/>
      <c r="X17" s="14"/>
      <c r="Y17" s="14"/>
      <c r="Z17" s="14"/>
      <c r="AA17" s="14"/>
      <c r="AB17" s="14"/>
      <c r="AC17" s="14"/>
      <c r="AD17" s="14"/>
      <c r="AE17" s="14"/>
      <c r="AF17" s="14"/>
      <c r="AG17" s="62">
        <f t="shared" si="0"/>
        <v>160</v>
      </c>
      <c r="AH17" s="14" t="s">
        <v>748</v>
      </c>
      <c r="AI17" s="6" t="s">
        <v>746</v>
      </c>
      <c r="AJ17" s="14" t="s">
        <v>742</v>
      </c>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v>2</v>
      </c>
      <c r="BN17" s="14" t="s">
        <v>437</v>
      </c>
      <c r="BO17" s="14"/>
      <c r="BP17" s="14"/>
      <c r="BQ17" s="14">
        <v>2</v>
      </c>
      <c r="BR17" s="14"/>
      <c r="BS17" s="14"/>
      <c r="BT17" s="14" t="s">
        <v>437</v>
      </c>
      <c r="BU17" s="14"/>
      <c r="BV17" s="14"/>
      <c r="BW17" s="14"/>
      <c r="BX17" s="14"/>
    </row>
    <row r="18" spans="1:76">
      <c r="A18" s="6" t="s">
        <v>457</v>
      </c>
      <c r="B18" s="14"/>
      <c r="C18" s="6" t="s">
        <v>435</v>
      </c>
      <c r="D18" s="6" t="s">
        <v>81</v>
      </c>
      <c r="E18" s="14" t="s">
        <v>753</v>
      </c>
      <c r="F18" s="14">
        <v>4</v>
      </c>
      <c r="G18" s="14">
        <v>4</v>
      </c>
      <c r="H18" s="62">
        <v>30</v>
      </c>
      <c r="I18" s="31">
        <v>4</v>
      </c>
      <c r="J18" s="14" t="s">
        <v>748</v>
      </c>
      <c r="K18" s="6" t="s">
        <v>746</v>
      </c>
      <c r="L18" s="14">
        <v>2.6</v>
      </c>
      <c r="M18" s="14"/>
      <c r="N18" s="14"/>
      <c r="O18" s="14"/>
      <c r="P18" s="14"/>
      <c r="Q18" s="14"/>
      <c r="R18" s="14"/>
      <c r="S18" s="14"/>
      <c r="T18" s="14"/>
      <c r="U18" s="14"/>
      <c r="V18" s="14"/>
      <c r="W18" s="14"/>
      <c r="X18" s="14"/>
      <c r="Y18" s="14"/>
      <c r="Z18" s="14"/>
      <c r="AA18" s="14"/>
      <c r="AB18" s="14"/>
      <c r="AC18" s="14"/>
      <c r="AD18" s="14"/>
      <c r="AE18" s="14"/>
      <c r="AF18" s="14"/>
      <c r="AG18" s="62">
        <f t="shared" si="0"/>
        <v>60</v>
      </c>
      <c r="AH18" s="14" t="s">
        <v>748</v>
      </c>
      <c r="AI18" s="6" t="s">
        <v>746</v>
      </c>
      <c r="AJ18" s="14" t="s">
        <v>742</v>
      </c>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v>2</v>
      </c>
      <c r="BN18" s="14" t="s">
        <v>437</v>
      </c>
      <c r="BO18" s="14" t="s">
        <v>437</v>
      </c>
      <c r="BP18" s="14"/>
      <c r="BQ18" s="14">
        <v>2</v>
      </c>
      <c r="BR18" s="14"/>
      <c r="BS18" s="14"/>
      <c r="BT18" s="14" t="s">
        <v>437</v>
      </c>
      <c r="BU18" s="14"/>
      <c r="BV18" s="14"/>
      <c r="BW18" s="14"/>
      <c r="BX18" s="14"/>
    </row>
    <row r="19" spans="1:76">
      <c r="A19" s="6" t="s">
        <v>458</v>
      </c>
      <c r="B19" s="14"/>
      <c r="C19" s="6" t="s">
        <v>435</v>
      </c>
      <c r="D19" s="6" t="s">
        <v>459</v>
      </c>
      <c r="E19" s="14" t="s">
        <v>758</v>
      </c>
      <c r="F19" s="14">
        <v>8</v>
      </c>
      <c r="G19" s="14">
        <v>10</v>
      </c>
      <c r="H19" s="62">
        <v>100</v>
      </c>
      <c r="I19" s="31">
        <v>16</v>
      </c>
      <c r="J19" s="14" t="s">
        <v>748</v>
      </c>
      <c r="K19" s="6" t="s">
        <v>746</v>
      </c>
      <c r="L19" s="14">
        <v>2.6</v>
      </c>
      <c r="M19" s="14"/>
      <c r="N19" s="14"/>
      <c r="O19" s="14"/>
      <c r="P19" s="14"/>
      <c r="Q19" s="14"/>
      <c r="R19" s="14"/>
      <c r="S19" s="14"/>
      <c r="T19" s="14"/>
      <c r="U19" s="14"/>
      <c r="V19" s="14"/>
      <c r="W19" s="14"/>
      <c r="X19" s="14"/>
      <c r="Y19" s="14"/>
      <c r="Z19" s="14"/>
      <c r="AA19" s="14"/>
      <c r="AB19" s="14"/>
      <c r="AC19" s="14"/>
      <c r="AD19" s="14"/>
      <c r="AE19" s="14"/>
      <c r="AF19" s="14"/>
      <c r="AG19" s="62">
        <f>2*(H19+AO19)</f>
        <v>300</v>
      </c>
      <c r="AH19" s="14" t="s">
        <v>748</v>
      </c>
      <c r="AI19" s="6" t="s">
        <v>746</v>
      </c>
      <c r="AJ19" s="14" t="s">
        <v>742</v>
      </c>
      <c r="AK19" s="14"/>
      <c r="AL19" s="14"/>
      <c r="AM19" s="14"/>
      <c r="AN19" s="14"/>
      <c r="AO19" s="62">
        <v>50</v>
      </c>
      <c r="AP19" s="14" t="s">
        <v>748</v>
      </c>
      <c r="AQ19" s="6" t="s">
        <v>746</v>
      </c>
      <c r="AR19" s="14">
        <f>50/1000</f>
        <v>0.05</v>
      </c>
      <c r="BE19" s="14"/>
      <c r="BF19" s="14"/>
      <c r="BG19" s="14"/>
      <c r="BH19" s="14"/>
      <c r="BI19" s="14"/>
      <c r="BJ19" s="14"/>
      <c r="BK19" s="14"/>
      <c r="BL19" s="14"/>
      <c r="BM19" s="14">
        <v>3</v>
      </c>
      <c r="BN19" s="14" t="s">
        <v>437</v>
      </c>
      <c r="BO19" s="14"/>
      <c r="BP19" s="14"/>
      <c r="BQ19" s="14">
        <v>2</v>
      </c>
      <c r="BR19" s="14"/>
      <c r="BS19" s="14"/>
      <c r="BT19" s="14" t="s">
        <v>437</v>
      </c>
      <c r="BU19" s="14"/>
      <c r="BV19" s="14"/>
      <c r="BW19" s="14"/>
      <c r="BX19" s="14"/>
    </row>
    <row r="20" spans="1:76">
      <c r="A20" s="6" t="s">
        <v>460</v>
      </c>
      <c r="B20" s="14"/>
      <c r="C20" s="6" t="s">
        <v>435</v>
      </c>
      <c r="D20" s="6" t="s">
        <v>88</v>
      </c>
      <c r="E20" s="14" t="s">
        <v>759</v>
      </c>
      <c r="F20" s="14">
        <v>6</v>
      </c>
      <c r="G20" s="14">
        <v>7</v>
      </c>
      <c r="H20" s="62">
        <v>130</v>
      </c>
      <c r="I20" s="31">
        <v>4</v>
      </c>
      <c r="J20" s="14" t="s">
        <v>748</v>
      </c>
      <c r="K20" s="6" t="s">
        <v>746</v>
      </c>
      <c r="L20" s="14">
        <v>2.6</v>
      </c>
      <c r="M20" s="14"/>
      <c r="N20" s="14"/>
      <c r="O20" s="14"/>
      <c r="P20" s="14"/>
      <c r="Q20" s="14"/>
      <c r="R20" s="14"/>
      <c r="S20" s="14"/>
      <c r="T20" s="14"/>
      <c r="U20" s="14"/>
      <c r="V20" s="14"/>
      <c r="W20" s="14"/>
      <c r="X20" s="14"/>
      <c r="Y20" s="14"/>
      <c r="Z20" s="14"/>
      <c r="AA20" s="14"/>
      <c r="AB20" s="14"/>
      <c r="AC20" s="14"/>
      <c r="AD20" s="14"/>
      <c r="AE20" s="14"/>
      <c r="AF20" s="14"/>
      <c r="AG20" s="62">
        <f t="shared" ref="AG20:AG33" si="1">2*H20</f>
        <v>260</v>
      </c>
      <c r="AH20" s="14" t="s">
        <v>748</v>
      </c>
      <c r="AI20" s="6" t="s">
        <v>746</v>
      </c>
      <c r="AJ20" s="14" t="s">
        <v>742</v>
      </c>
      <c r="AK20" s="14"/>
      <c r="AL20" s="14"/>
      <c r="AM20" s="14"/>
      <c r="AN20" s="14"/>
      <c r="AO20" s="14"/>
      <c r="AP20" s="14"/>
      <c r="AQ20" s="14"/>
      <c r="AR20" s="14"/>
      <c r="BE20" s="14"/>
      <c r="BF20" s="14"/>
      <c r="BG20" s="14"/>
      <c r="BH20" s="14"/>
      <c r="BI20" s="14"/>
      <c r="BJ20" s="14"/>
      <c r="BK20" s="14"/>
      <c r="BL20" s="14"/>
      <c r="BM20" s="14">
        <v>2</v>
      </c>
      <c r="BN20" s="14" t="s">
        <v>437</v>
      </c>
      <c r="BO20" s="14"/>
      <c r="BP20" s="14"/>
      <c r="BQ20" s="14">
        <v>2</v>
      </c>
      <c r="BR20" s="14"/>
      <c r="BS20" s="14"/>
      <c r="BT20" s="14" t="s">
        <v>437</v>
      </c>
      <c r="BU20" s="14"/>
      <c r="BV20" s="14"/>
      <c r="BW20" s="14"/>
      <c r="BX20" s="14"/>
    </row>
    <row r="21" spans="1:76">
      <c r="A21" s="6" t="s">
        <v>461</v>
      </c>
      <c r="B21" s="14"/>
      <c r="C21" s="6" t="s">
        <v>435</v>
      </c>
      <c r="D21" s="6" t="s">
        <v>92</v>
      </c>
      <c r="E21" s="14" t="s">
        <v>792</v>
      </c>
      <c r="F21" s="14">
        <v>5</v>
      </c>
      <c r="G21" s="14">
        <v>6</v>
      </c>
      <c r="H21" s="62">
        <v>60</v>
      </c>
      <c r="I21" s="31">
        <v>4</v>
      </c>
      <c r="J21" s="14" t="s">
        <v>748</v>
      </c>
      <c r="K21" s="6" t="s">
        <v>746</v>
      </c>
      <c r="L21" s="14">
        <v>2.6</v>
      </c>
      <c r="M21" s="14"/>
      <c r="N21" s="14"/>
      <c r="O21" s="14"/>
      <c r="P21" s="14"/>
      <c r="Q21" s="14"/>
      <c r="R21" s="14"/>
      <c r="S21" s="14"/>
      <c r="T21" s="14"/>
      <c r="U21" s="14"/>
      <c r="V21" s="14"/>
      <c r="W21" s="14"/>
      <c r="X21" s="14"/>
      <c r="Y21" s="14"/>
      <c r="Z21" s="14"/>
      <c r="AA21" s="14"/>
      <c r="AB21" s="14"/>
      <c r="AC21" s="14"/>
      <c r="AD21" s="14"/>
      <c r="AE21" s="14"/>
      <c r="AF21" s="14"/>
      <c r="AG21" s="62">
        <f t="shared" si="1"/>
        <v>120</v>
      </c>
      <c r="AH21" s="14" t="s">
        <v>748</v>
      </c>
      <c r="AI21" s="6" t="s">
        <v>746</v>
      </c>
      <c r="AJ21" s="14" t="s">
        <v>742</v>
      </c>
      <c r="AK21" s="14"/>
      <c r="AL21" s="14"/>
      <c r="AM21" s="14"/>
      <c r="AN21" s="14"/>
      <c r="AO21" s="14"/>
      <c r="AP21" s="14"/>
      <c r="AQ21" s="14"/>
      <c r="AR21" s="14"/>
      <c r="BE21" s="14"/>
      <c r="BF21" s="14"/>
      <c r="BG21" s="14"/>
      <c r="BH21" s="14"/>
      <c r="BI21" s="14"/>
      <c r="BJ21" s="14"/>
      <c r="BK21" s="14"/>
      <c r="BL21" s="14"/>
      <c r="BM21" s="14">
        <v>2</v>
      </c>
      <c r="BN21" s="14" t="s">
        <v>437</v>
      </c>
      <c r="BO21" s="14"/>
      <c r="BP21" s="14"/>
      <c r="BQ21" s="14">
        <v>2</v>
      </c>
      <c r="BR21" s="14"/>
      <c r="BS21" s="14"/>
      <c r="BT21" s="14" t="s">
        <v>437</v>
      </c>
      <c r="BU21" s="14"/>
      <c r="BV21" s="14"/>
      <c r="BW21" s="14"/>
      <c r="BX21" s="14"/>
    </row>
    <row r="22" spans="1:76">
      <c r="A22" s="6" t="s">
        <v>462</v>
      </c>
      <c r="B22" s="14"/>
      <c r="C22" s="6" t="s">
        <v>435</v>
      </c>
      <c r="D22" s="6" t="s">
        <v>92</v>
      </c>
      <c r="E22" s="14" t="s">
        <v>792</v>
      </c>
      <c r="F22" s="14">
        <v>5</v>
      </c>
      <c r="G22" s="14">
        <v>6</v>
      </c>
      <c r="H22" s="62">
        <v>60</v>
      </c>
      <c r="I22" s="31">
        <v>4</v>
      </c>
      <c r="J22" s="14" t="s">
        <v>748</v>
      </c>
      <c r="K22" s="6" t="s">
        <v>746</v>
      </c>
      <c r="L22" s="14">
        <v>2.6</v>
      </c>
      <c r="M22" s="14"/>
      <c r="N22" s="14"/>
      <c r="O22" s="14"/>
      <c r="P22" s="14"/>
      <c r="Q22" s="14"/>
      <c r="R22" s="14"/>
      <c r="S22" s="14"/>
      <c r="T22" s="14"/>
      <c r="U22" s="14"/>
      <c r="V22" s="14"/>
      <c r="W22" s="14"/>
      <c r="X22" s="14"/>
      <c r="Y22" s="14"/>
      <c r="Z22" s="14"/>
      <c r="AA22" s="14"/>
      <c r="AB22" s="14"/>
      <c r="AC22" s="14"/>
      <c r="AD22" s="14"/>
      <c r="AE22" s="14"/>
      <c r="AF22" s="14"/>
      <c r="AG22" s="62">
        <f t="shared" si="1"/>
        <v>120</v>
      </c>
      <c r="AH22" s="14" t="s">
        <v>748</v>
      </c>
      <c r="AI22" s="6" t="s">
        <v>746</v>
      </c>
      <c r="AJ22" s="14" t="s">
        <v>742</v>
      </c>
      <c r="AK22" s="14"/>
      <c r="AL22" s="14"/>
      <c r="AM22" s="14"/>
      <c r="AN22" s="14"/>
      <c r="AO22" s="14"/>
      <c r="AP22" s="14"/>
      <c r="AQ22" s="14"/>
      <c r="AR22" s="14"/>
      <c r="BE22" s="14"/>
      <c r="BF22" s="14"/>
      <c r="BG22" s="14"/>
      <c r="BH22" s="14"/>
      <c r="BI22" s="14"/>
      <c r="BJ22" s="14"/>
      <c r="BK22" s="14"/>
      <c r="BL22" s="14"/>
      <c r="BM22" s="14">
        <v>2</v>
      </c>
      <c r="BN22" s="14" t="s">
        <v>437</v>
      </c>
      <c r="BO22" s="14"/>
      <c r="BP22" s="14"/>
      <c r="BQ22" s="14">
        <v>2</v>
      </c>
      <c r="BR22" s="14"/>
      <c r="BS22" s="14"/>
      <c r="BT22" s="14" t="s">
        <v>437</v>
      </c>
      <c r="BU22" s="14"/>
      <c r="BV22" s="14"/>
      <c r="BW22" s="14"/>
      <c r="BX22" s="14"/>
    </row>
    <row r="23" spans="1:76">
      <c r="A23" s="6" t="s">
        <v>463</v>
      </c>
      <c r="B23" s="14"/>
      <c r="C23" s="6" t="s">
        <v>435</v>
      </c>
      <c r="D23" s="6" t="s">
        <v>96</v>
      </c>
      <c r="E23" s="14" t="s">
        <v>760</v>
      </c>
      <c r="F23" s="14">
        <v>5</v>
      </c>
      <c r="G23" s="14">
        <v>13</v>
      </c>
      <c r="H23" s="62">
        <v>60</v>
      </c>
      <c r="I23" s="31">
        <v>16</v>
      </c>
      <c r="J23" s="14" t="s">
        <v>748</v>
      </c>
      <c r="K23" s="6" t="s">
        <v>746</v>
      </c>
      <c r="L23" s="14">
        <v>2.6</v>
      </c>
      <c r="M23" s="14"/>
      <c r="N23" s="14"/>
      <c r="O23" s="14"/>
      <c r="P23" s="14"/>
      <c r="Q23" s="14"/>
      <c r="R23" s="14"/>
      <c r="S23" s="14"/>
      <c r="T23" s="14"/>
      <c r="U23" s="14"/>
      <c r="V23" s="14"/>
      <c r="W23" s="14"/>
      <c r="X23" s="14"/>
      <c r="Y23" s="14"/>
      <c r="Z23" s="14"/>
      <c r="AA23" s="14"/>
      <c r="AB23" s="14"/>
      <c r="AC23" s="14"/>
      <c r="AD23" s="14"/>
      <c r="AE23" s="14"/>
      <c r="AF23" s="14"/>
      <c r="AG23" s="62">
        <f t="shared" si="1"/>
        <v>120</v>
      </c>
      <c r="AH23" s="14" t="s">
        <v>748</v>
      </c>
      <c r="AI23" s="6" t="s">
        <v>746</v>
      </c>
      <c r="AJ23" s="14" t="s">
        <v>742</v>
      </c>
      <c r="AK23" s="14"/>
      <c r="AL23" s="14"/>
      <c r="AM23" s="14"/>
      <c r="AN23" s="14"/>
      <c r="AO23" s="14"/>
      <c r="AP23" s="14"/>
      <c r="AQ23" s="14"/>
      <c r="AR23" s="14"/>
      <c r="AS23" s="62">
        <v>85</v>
      </c>
      <c r="AT23" s="14" t="s">
        <v>748</v>
      </c>
      <c r="AU23" s="6" t="s">
        <v>746</v>
      </c>
      <c r="AV23" s="14">
        <f>50/1000</f>
        <v>0.05</v>
      </c>
      <c r="AW23" s="14"/>
      <c r="AX23" s="14"/>
      <c r="AY23" s="14"/>
      <c r="AZ23" s="14"/>
      <c r="BA23" s="14"/>
      <c r="BB23" s="14"/>
      <c r="BC23" s="14"/>
      <c r="BD23" s="14"/>
      <c r="BE23" s="14"/>
      <c r="BF23" s="14"/>
      <c r="BG23" s="14"/>
      <c r="BH23" s="14"/>
      <c r="BI23" s="14"/>
      <c r="BJ23" s="14"/>
      <c r="BK23" s="14"/>
      <c r="BL23" s="14"/>
      <c r="BM23" s="14">
        <v>3</v>
      </c>
      <c r="BN23" s="14" t="s">
        <v>437</v>
      </c>
      <c r="BO23" s="14"/>
      <c r="BP23" s="14"/>
      <c r="BQ23" s="14">
        <v>2</v>
      </c>
      <c r="BR23" s="14"/>
      <c r="BS23" s="14"/>
      <c r="BT23" s="14" t="s">
        <v>437</v>
      </c>
      <c r="BU23" s="14"/>
      <c r="BV23" s="14"/>
      <c r="BW23" s="14"/>
      <c r="BX23" s="14"/>
    </row>
    <row r="24" spans="1:76">
      <c r="A24" s="6" t="s">
        <v>464</v>
      </c>
      <c r="B24" s="14"/>
      <c r="C24" s="6" t="s">
        <v>435</v>
      </c>
      <c r="D24" s="6" t="s">
        <v>100</v>
      </c>
      <c r="E24" s="14" t="s">
        <v>760</v>
      </c>
      <c r="F24" s="14">
        <v>5</v>
      </c>
      <c r="G24" s="14">
        <v>13</v>
      </c>
      <c r="H24" s="62">
        <v>60</v>
      </c>
      <c r="I24" s="31">
        <v>16</v>
      </c>
      <c r="J24" s="14" t="s">
        <v>748</v>
      </c>
      <c r="K24" s="6" t="s">
        <v>746</v>
      </c>
      <c r="L24" s="14">
        <v>2.6</v>
      </c>
      <c r="M24" s="14"/>
      <c r="N24" s="14"/>
      <c r="O24" s="14"/>
      <c r="P24" s="14"/>
      <c r="Q24" s="14"/>
      <c r="R24" s="14"/>
      <c r="S24" s="14"/>
      <c r="T24" s="14"/>
      <c r="U24" s="14"/>
      <c r="V24" s="14"/>
      <c r="W24" s="14"/>
      <c r="X24" s="14"/>
      <c r="Y24" s="14"/>
      <c r="Z24" s="14"/>
      <c r="AA24" s="14"/>
      <c r="AB24" s="14"/>
      <c r="AC24" s="14"/>
      <c r="AD24" s="14"/>
      <c r="AE24" s="14"/>
      <c r="AF24" s="14"/>
      <c r="AG24" s="62">
        <f t="shared" si="1"/>
        <v>120</v>
      </c>
      <c r="AH24" s="14" t="s">
        <v>748</v>
      </c>
      <c r="AI24" s="6" t="s">
        <v>746</v>
      </c>
      <c r="AJ24" s="14" t="s">
        <v>742</v>
      </c>
      <c r="AK24" s="14"/>
      <c r="AL24" s="14"/>
      <c r="AM24" s="14"/>
      <c r="AN24" s="14"/>
      <c r="AO24" s="14"/>
      <c r="AP24" s="14"/>
      <c r="AQ24" s="14"/>
      <c r="AR24" s="14"/>
      <c r="AS24" s="62">
        <v>85</v>
      </c>
      <c r="AT24" s="14" t="s">
        <v>748</v>
      </c>
      <c r="AU24" s="6" t="s">
        <v>746</v>
      </c>
      <c r="AV24" s="14">
        <f>50/1000</f>
        <v>0.05</v>
      </c>
      <c r="AW24" s="14"/>
      <c r="AX24" s="14"/>
      <c r="AY24" s="14"/>
      <c r="AZ24" s="14"/>
      <c r="BA24" s="14"/>
      <c r="BB24" s="14"/>
      <c r="BC24" s="14"/>
      <c r="BD24" s="14"/>
      <c r="BE24" s="14"/>
      <c r="BF24" s="14"/>
      <c r="BG24" s="14"/>
      <c r="BH24" s="14"/>
      <c r="BI24" s="14"/>
      <c r="BJ24" s="14"/>
      <c r="BK24" s="14"/>
      <c r="BL24" s="14"/>
      <c r="BM24" s="14">
        <v>3</v>
      </c>
      <c r="BN24" s="14" t="s">
        <v>437</v>
      </c>
      <c r="BO24" s="14"/>
      <c r="BP24" s="14"/>
      <c r="BQ24" s="14">
        <v>2</v>
      </c>
      <c r="BR24" s="14"/>
      <c r="BS24" s="14"/>
      <c r="BT24" s="14" t="s">
        <v>437</v>
      </c>
      <c r="BU24" s="14"/>
      <c r="BV24" s="14"/>
      <c r="BW24" s="14"/>
      <c r="BX24" s="14"/>
    </row>
    <row r="25" spans="1:76">
      <c r="A25" s="6" t="s">
        <v>487</v>
      </c>
      <c r="B25" s="14"/>
      <c r="C25" s="6" t="s">
        <v>435</v>
      </c>
      <c r="D25" s="6" t="s">
        <v>104</v>
      </c>
      <c r="E25" s="14" t="s">
        <v>761</v>
      </c>
      <c r="F25" s="14">
        <v>5</v>
      </c>
      <c r="G25" s="14">
        <v>9</v>
      </c>
      <c r="H25" s="62">
        <v>40</v>
      </c>
      <c r="I25" s="31">
        <v>4</v>
      </c>
      <c r="J25" s="14" t="s">
        <v>748</v>
      </c>
      <c r="K25" s="6" t="s">
        <v>746</v>
      </c>
      <c r="L25" s="14">
        <v>2.6</v>
      </c>
      <c r="M25" s="14"/>
      <c r="N25" s="14"/>
      <c r="O25" s="14"/>
      <c r="P25" s="14"/>
      <c r="Q25" s="14"/>
      <c r="R25" s="14"/>
      <c r="S25" s="14"/>
      <c r="T25" s="14"/>
      <c r="U25" s="14"/>
      <c r="V25" s="14"/>
      <c r="W25" s="14"/>
      <c r="X25" s="14"/>
      <c r="Y25" s="14"/>
      <c r="Z25" s="14"/>
      <c r="AA25" s="14"/>
      <c r="AB25" s="14"/>
      <c r="AC25" s="14"/>
      <c r="AD25" s="14"/>
      <c r="AE25" s="14"/>
      <c r="AF25" s="14"/>
      <c r="AG25" s="62">
        <f t="shared" si="1"/>
        <v>80</v>
      </c>
      <c r="AH25" s="14" t="s">
        <v>748</v>
      </c>
      <c r="AI25" s="6" t="s">
        <v>746</v>
      </c>
      <c r="AJ25" s="14" t="s">
        <v>742</v>
      </c>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v>2</v>
      </c>
      <c r="BN25" s="14" t="s">
        <v>437</v>
      </c>
      <c r="BO25" s="14"/>
      <c r="BP25" s="14"/>
      <c r="BQ25" s="14">
        <v>2</v>
      </c>
      <c r="BR25" s="14"/>
      <c r="BS25" s="14"/>
      <c r="BT25" s="14" t="s">
        <v>437</v>
      </c>
      <c r="BU25" s="14"/>
      <c r="BV25" s="14"/>
      <c r="BW25" s="14"/>
      <c r="BX25" s="14"/>
    </row>
    <row r="26" spans="1:76">
      <c r="A26" s="6" t="s">
        <v>489</v>
      </c>
      <c r="B26" s="14"/>
      <c r="C26" s="6" t="s">
        <v>435</v>
      </c>
      <c r="D26" s="6" t="s">
        <v>104</v>
      </c>
      <c r="E26" s="14" t="s">
        <v>761</v>
      </c>
      <c r="F26" s="14">
        <v>5</v>
      </c>
      <c r="G26" s="14">
        <v>9</v>
      </c>
      <c r="H26" s="62">
        <v>40</v>
      </c>
      <c r="I26" s="31">
        <v>4</v>
      </c>
      <c r="J26" s="14" t="s">
        <v>748</v>
      </c>
      <c r="K26" s="6" t="s">
        <v>746</v>
      </c>
      <c r="L26" s="14">
        <v>2.6</v>
      </c>
      <c r="M26" s="14"/>
      <c r="N26" s="14"/>
      <c r="O26" s="14"/>
      <c r="P26" s="14"/>
      <c r="Q26" s="14"/>
      <c r="R26" s="14"/>
      <c r="S26" s="14"/>
      <c r="T26" s="14"/>
      <c r="U26" s="14"/>
      <c r="V26" s="14"/>
      <c r="W26" s="14"/>
      <c r="X26" s="14"/>
      <c r="Y26" s="14"/>
      <c r="Z26" s="14"/>
      <c r="AA26" s="14"/>
      <c r="AB26" s="14"/>
      <c r="AC26" s="14"/>
      <c r="AD26" s="14"/>
      <c r="AE26" s="14"/>
      <c r="AF26" s="14"/>
      <c r="AG26" s="62">
        <f t="shared" si="1"/>
        <v>80</v>
      </c>
      <c r="AH26" s="14" t="s">
        <v>748</v>
      </c>
      <c r="AI26" s="6" t="s">
        <v>746</v>
      </c>
      <c r="AJ26" s="14" t="s">
        <v>742</v>
      </c>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v>2</v>
      </c>
      <c r="BN26" s="14" t="s">
        <v>437</v>
      </c>
      <c r="BO26" s="14"/>
      <c r="BP26" s="14"/>
      <c r="BQ26" s="14">
        <v>2</v>
      </c>
      <c r="BR26" s="14"/>
      <c r="BS26" s="14"/>
      <c r="BT26" s="14" t="s">
        <v>437</v>
      </c>
      <c r="BU26" s="14"/>
      <c r="BV26" s="14"/>
      <c r="BW26" s="14"/>
      <c r="BX26" s="14"/>
    </row>
    <row r="27" spans="1:76">
      <c r="A27" s="6" t="s">
        <v>613</v>
      </c>
      <c r="B27" s="14"/>
      <c r="C27" s="6" t="s">
        <v>435</v>
      </c>
      <c r="D27" s="6" t="s">
        <v>108</v>
      </c>
      <c r="E27" s="14" t="s">
        <v>762</v>
      </c>
      <c r="F27" s="14">
        <v>8</v>
      </c>
      <c r="G27" s="14">
        <v>35</v>
      </c>
      <c r="H27" s="62">
        <v>135</v>
      </c>
      <c r="I27" s="31">
        <v>16</v>
      </c>
      <c r="J27" s="14" t="s">
        <v>748</v>
      </c>
      <c r="K27" s="6" t="s">
        <v>746</v>
      </c>
      <c r="L27" s="14">
        <v>2.6</v>
      </c>
      <c r="M27" s="14"/>
      <c r="N27" s="14"/>
      <c r="O27" s="14"/>
      <c r="P27" s="14"/>
      <c r="Q27" s="14"/>
      <c r="R27" s="14"/>
      <c r="S27" s="14"/>
      <c r="T27" s="14"/>
      <c r="U27" s="14"/>
      <c r="V27" s="14"/>
      <c r="W27" s="14"/>
      <c r="X27" s="14"/>
      <c r="Y27" s="14"/>
      <c r="Z27" s="14"/>
      <c r="AA27" s="14"/>
      <c r="AB27" s="14"/>
      <c r="AC27" s="14"/>
      <c r="AD27" s="14"/>
      <c r="AE27" s="14"/>
      <c r="AF27" s="14"/>
      <c r="AG27" s="62">
        <f t="shared" si="1"/>
        <v>270</v>
      </c>
      <c r="AH27" s="14" t="s">
        <v>748</v>
      </c>
      <c r="AI27" s="6" t="s">
        <v>746</v>
      </c>
      <c r="AJ27" s="14" t="s">
        <v>742</v>
      </c>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v>2</v>
      </c>
      <c r="BN27" s="14" t="s">
        <v>437</v>
      </c>
      <c r="BO27" s="14"/>
      <c r="BP27" s="14"/>
      <c r="BQ27" s="14">
        <v>2</v>
      </c>
      <c r="BR27" s="14"/>
      <c r="BS27" s="14"/>
      <c r="BT27" s="14" t="s">
        <v>437</v>
      </c>
      <c r="BU27" s="14"/>
      <c r="BV27" s="14"/>
      <c r="BW27" s="14"/>
      <c r="BX27" s="14"/>
    </row>
    <row r="28" spans="1:76">
      <c r="A28" s="6" t="s">
        <v>614</v>
      </c>
      <c r="B28" s="14"/>
      <c r="C28" s="6" t="s">
        <v>435</v>
      </c>
      <c r="D28" s="6" t="s">
        <v>108</v>
      </c>
      <c r="E28" s="14" t="s">
        <v>762</v>
      </c>
      <c r="F28" s="14">
        <v>8</v>
      </c>
      <c r="G28" s="14">
        <v>35</v>
      </c>
      <c r="H28" s="62">
        <v>135</v>
      </c>
      <c r="I28" s="31">
        <v>16</v>
      </c>
      <c r="J28" s="14" t="s">
        <v>748</v>
      </c>
      <c r="K28" s="6" t="s">
        <v>746</v>
      </c>
      <c r="L28" s="14">
        <v>2.6</v>
      </c>
      <c r="M28" s="14"/>
      <c r="N28" s="14"/>
      <c r="O28" s="14"/>
      <c r="P28" s="14"/>
      <c r="Q28" s="14"/>
      <c r="R28" s="14"/>
      <c r="S28" s="14"/>
      <c r="T28" s="14"/>
      <c r="U28" s="14"/>
      <c r="V28" s="14"/>
      <c r="W28" s="14"/>
      <c r="X28" s="14"/>
      <c r="Y28" s="14"/>
      <c r="Z28" s="14"/>
      <c r="AA28" s="14"/>
      <c r="AB28" s="14"/>
      <c r="AC28" s="14"/>
      <c r="AD28" s="14"/>
      <c r="AE28" s="14"/>
      <c r="AF28" s="14"/>
      <c r="AG28" s="62">
        <f t="shared" si="1"/>
        <v>270</v>
      </c>
      <c r="AH28" s="14" t="s">
        <v>748</v>
      </c>
      <c r="AI28" s="6" t="s">
        <v>746</v>
      </c>
      <c r="AJ28" s="14" t="s">
        <v>742</v>
      </c>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v>2</v>
      </c>
      <c r="BN28" s="14" t="s">
        <v>437</v>
      </c>
      <c r="BO28" s="14"/>
      <c r="BP28" s="14"/>
      <c r="BQ28" s="14">
        <v>2</v>
      </c>
      <c r="BR28" s="14"/>
      <c r="BS28" s="14"/>
      <c r="BT28" s="14" t="s">
        <v>437</v>
      </c>
      <c r="BU28" s="14"/>
      <c r="BV28" s="14"/>
      <c r="BW28" s="14"/>
      <c r="BX28" s="14"/>
    </row>
    <row r="29" spans="1:76">
      <c r="A29" s="6" t="s">
        <v>615</v>
      </c>
      <c r="B29" s="14"/>
      <c r="C29" s="6" t="s">
        <v>435</v>
      </c>
      <c r="D29" s="6" t="s">
        <v>108</v>
      </c>
      <c r="E29" s="14" t="s">
        <v>762</v>
      </c>
      <c r="F29" s="14">
        <v>8</v>
      </c>
      <c r="G29" s="14">
        <v>35</v>
      </c>
      <c r="H29" s="62">
        <v>135</v>
      </c>
      <c r="I29" s="31">
        <v>16</v>
      </c>
      <c r="J29" s="14" t="s">
        <v>748</v>
      </c>
      <c r="K29" s="6" t="s">
        <v>746</v>
      </c>
      <c r="L29" s="14">
        <v>2.6</v>
      </c>
      <c r="M29" s="14"/>
      <c r="N29" s="14"/>
      <c r="O29" s="14"/>
      <c r="P29" s="14"/>
      <c r="Q29" s="14"/>
      <c r="R29" s="14"/>
      <c r="S29" s="14"/>
      <c r="T29" s="14"/>
      <c r="U29" s="14"/>
      <c r="V29" s="14"/>
      <c r="W29" s="14"/>
      <c r="X29" s="14"/>
      <c r="Y29" s="14"/>
      <c r="Z29" s="14"/>
      <c r="AA29" s="14"/>
      <c r="AB29" s="14"/>
      <c r="AC29" s="14"/>
      <c r="AD29" s="14"/>
      <c r="AE29" s="14"/>
      <c r="AF29" s="14"/>
      <c r="AG29" s="62">
        <f t="shared" si="1"/>
        <v>270</v>
      </c>
      <c r="AH29" s="14" t="s">
        <v>748</v>
      </c>
      <c r="AI29" s="6" t="s">
        <v>746</v>
      </c>
      <c r="AJ29" s="14" t="s">
        <v>742</v>
      </c>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v>2</v>
      </c>
      <c r="BN29" s="14" t="s">
        <v>437</v>
      </c>
      <c r="BO29" s="14"/>
      <c r="BP29" s="14"/>
      <c r="BQ29" s="14">
        <v>2</v>
      </c>
      <c r="BR29" s="14"/>
      <c r="BS29" s="14"/>
      <c r="BT29" s="14" t="s">
        <v>437</v>
      </c>
      <c r="BU29" s="14"/>
      <c r="BV29" s="14"/>
      <c r="BW29" s="14"/>
      <c r="BX29" s="14"/>
    </row>
    <row r="30" spans="1:76">
      <c r="A30" s="6" t="s">
        <v>616</v>
      </c>
      <c r="B30" s="14"/>
      <c r="C30" s="6" t="s">
        <v>435</v>
      </c>
      <c r="D30" s="6" t="s">
        <v>108</v>
      </c>
      <c r="E30" s="14" t="s">
        <v>762</v>
      </c>
      <c r="F30" s="14">
        <v>8</v>
      </c>
      <c r="G30" s="14">
        <v>35</v>
      </c>
      <c r="H30" s="62">
        <v>135</v>
      </c>
      <c r="I30" s="31">
        <v>16</v>
      </c>
      <c r="J30" s="14" t="s">
        <v>748</v>
      </c>
      <c r="K30" s="6" t="s">
        <v>746</v>
      </c>
      <c r="L30" s="14">
        <v>2.6</v>
      </c>
      <c r="M30" s="14"/>
      <c r="N30" s="14"/>
      <c r="O30" s="14"/>
      <c r="P30" s="14"/>
      <c r="Q30" s="14"/>
      <c r="R30" s="14"/>
      <c r="S30" s="14"/>
      <c r="T30" s="14"/>
      <c r="U30" s="14"/>
      <c r="V30" s="14"/>
      <c r="W30" s="14"/>
      <c r="X30" s="14"/>
      <c r="Y30" s="14"/>
      <c r="Z30" s="14"/>
      <c r="AA30" s="14"/>
      <c r="AB30" s="14"/>
      <c r="AC30" s="14"/>
      <c r="AD30" s="14"/>
      <c r="AE30" s="14"/>
      <c r="AF30" s="14"/>
      <c r="AG30" s="62">
        <f t="shared" si="1"/>
        <v>270</v>
      </c>
      <c r="AH30" s="14" t="s">
        <v>748</v>
      </c>
      <c r="AI30" s="6" t="s">
        <v>746</v>
      </c>
      <c r="AJ30" s="14" t="s">
        <v>742</v>
      </c>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v>2</v>
      </c>
      <c r="BN30" s="14" t="s">
        <v>437</v>
      </c>
      <c r="BO30" s="14"/>
      <c r="BP30" s="14"/>
      <c r="BQ30" s="14">
        <v>2</v>
      </c>
      <c r="BR30" s="14"/>
      <c r="BS30" s="14"/>
      <c r="BT30" s="14" t="s">
        <v>437</v>
      </c>
      <c r="BU30" s="14"/>
      <c r="BV30" s="14"/>
      <c r="BW30" s="14"/>
      <c r="BX30" s="14"/>
    </row>
    <row r="31" spans="1:76">
      <c r="A31" s="6" t="s">
        <v>621</v>
      </c>
      <c r="B31" s="14"/>
      <c r="C31" s="21" t="s">
        <v>488</v>
      </c>
      <c r="D31" s="6" t="s">
        <v>112</v>
      </c>
      <c r="E31" s="14" t="s">
        <v>763</v>
      </c>
      <c r="F31" s="14">
        <v>4</v>
      </c>
      <c r="G31" s="14">
        <v>4</v>
      </c>
      <c r="H31" s="62">
        <v>100</v>
      </c>
      <c r="I31" s="31">
        <v>0</v>
      </c>
      <c r="J31" s="14" t="s">
        <v>745</v>
      </c>
      <c r="K31" s="6" t="s">
        <v>746</v>
      </c>
      <c r="L31" s="14">
        <v>100</v>
      </c>
      <c r="M31" s="14"/>
      <c r="N31" s="14"/>
      <c r="O31" s="14"/>
      <c r="P31" s="14"/>
      <c r="Q31" s="14"/>
      <c r="R31" s="14"/>
      <c r="S31" s="14"/>
      <c r="T31" s="14"/>
      <c r="U31" s="14"/>
      <c r="V31" s="14"/>
      <c r="W31" s="14"/>
      <c r="X31" s="14"/>
      <c r="Y31" s="14"/>
      <c r="Z31" s="14"/>
      <c r="AA31" s="14"/>
      <c r="AB31" s="14"/>
      <c r="AC31" s="14"/>
      <c r="AD31" s="14"/>
      <c r="AE31" s="14"/>
      <c r="AF31" s="14"/>
      <c r="AG31" s="62">
        <f t="shared" si="1"/>
        <v>200</v>
      </c>
      <c r="AH31" s="14" t="s">
        <v>748</v>
      </c>
      <c r="AI31" s="6" t="s">
        <v>746</v>
      </c>
      <c r="AJ31" s="14" t="s">
        <v>742</v>
      </c>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v>4</v>
      </c>
      <c r="BN31" s="14" t="s">
        <v>437</v>
      </c>
      <c r="BO31" s="14"/>
      <c r="BP31" s="14"/>
      <c r="BQ31" s="14">
        <v>2</v>
      </c>
      <c r="BR31" s="14"/>
      <c r="BS31" s="14"/>
      <c r="BT31" s="14" t="s">
        <v>437</v>
      </c>
      <c r="BU31" s="14"/>
      <c r="BV31" s="14"/>
      <c r="BW31" s="14"/>
      <c r="BX31" s="14"/>
    </row>
    <row r="32" spans="1:76">
      <c r="A32" s="6" t="s">
        <v>622</v>
      </c>
      <c r="B32" s="14"/>
      <c r="C32" s="21" t="s">
        <v>488</v>
      </c>
      <c r="D32" s="6" t="s">
        <v>120</v>
      </c>
      <c r="E32" s="14" t="s">
        <v>764</v>
      </c>
      <c r="F32" s="14">
        <v>4</v>
      </c>
      <c r="G32" s="14">
        <v>16</v>
      </c>
      <c r="H32" s="62">
        <v>100</v>
      </c>
      <c r="I32" s="31">
        <v>0</v>
      </c>
      <c r="J32" s="14" t="s">
        <v>745</v>
      </c>
      <c r="K32" s="6" t="s">
        <v>746</v>
      </c>
      <c r="L32" s="14">
        <v>110</v>
      </c>
      <c r="M32" s="14"/>
      <c r="N32" s="14"/>
      <c r="O32" s="14"/>
      <c r="P32" s="14"/>
      <c r="Q32" s="14"/>
      <c r="R32" s="14"/>
      <c r="S32" s="14"/>
      <c r="T32" s="14"/>
      <c r="U32" s="14"/>
      <c r="V32" s="14"/>
      <c r="W32" s="14"/>
      <c r="X32" s="14"/>
      <c r="Y32" s="14"/>
      <c r="Z32" s="14"/>
      <c r="AA32" s="14"/>
      <c r="AB32" s="14"/>
      <c r="AC32" s="14"/>
      <c r="AD32" s="14"/>
      <c r="AE32" s="14"/>
      <c r="AF32" s="14"/>
      <c r="AG32" s="62">
        <f t="shared" si="1"/>
        <v>200</v>
      </c>
      <c r="AH32" s="14" t="s">
        <v>748</v>
      </c>
      <c r="AI32" s="6" t="s">
        <v>746</v>
      </c>
      <c r="AJ32" s="14" t="s">
        <v>742</v>
      </c>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v>4</v>
      </c>
      <c r="BN32" s="14" t="s">
        <v>437</v>
      </c>
      <c r="BO32" s="14"/>
      <c r="BP32" s="14"/>
      <c r="BQ32" s="14">
        <v>2</v>
      </c>
      <c r="BR32" s="14"/>
      <c r="BS32" s="14"/>
      <c r="BT32" s="14" t="s">
        <v>437</v>
      </c>
      <c r="BU32" s="14"/>
      <c r="BV32" s="14"/>
      <c r="BW32" s="14"/>
      <c r="BX32" s="14"/>
    </row>
    <row r="33" spans="1:76">
      <c r="A33" s="6" t="s">
        <v>490</v>
      </c>
      <c r="B33" s="14"/>
      <c r="C33" s="21" t="s">
        <v>488</v>
      </c>
      <c r="D33" s="6" t="s">
        <v>116</v>
      </c>
      <c r="E33" s="14" t="s">
        <v>765</v>
      </c>
      <c r="F33" s="14">
        <v>4</v>
      </c>
      <c r="G33" s="14">
        <v>14</v>
      </c>
      <c r="H33" s="62">
        <v>120</v>
      </c>
      <c r="I33" s="31">
        <v>0</v>
      </c>
      <c r="J33" s="14" t="s">
        <v>745</v>
      </c>
      <c r="K33" s="6" t="s">
        <v>746</v>
      </c>
      <c r="L33" s="14">
        <v>100</v>
      </c>
      <c r="M33" s="14"/>
      <c r="N33" s="14"/>
      <c r="O33" s="14"/>
      <c r="P33" s="14"/>
      <c r="Q33" s="14"/>
      <c r="R33" s="14"/>
      <c r="S33" s="14"/>
      <c r="T33" s="14"/>
      <c r="U33" s="14"/>
      <c r="V33" s="14"/>
      <c r="W33" s="14"/>
      <c r="X33" s="14"/>
      <c r="Y33" s="14"/>
      <c r="Z33" s="14"/>
      <c r="AA33" s="14"/>
      <c r="AB33" s="14"/>
      <c r="AC33" s="14"/>
      <c r="AD33" s="14"/>
      <c r="AE33" s="14"/>
      <c r="AF33" s="14"/>
      <c r="AG33" s="62">
        <f t="shared" si="1"/>
        <v>240</v>
      </c>
      <c r="AH33" s="14" t="s">
        <v>748</v>
      </c>
      <c r="AI33" s="6" t="s">
        <v>746</v>
      </c>
      <c r="AJ33" s="14" t="s">
        <v>742</v>
      </c>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v>4</v>
      </c>
      <c r="BN33" s="14" t="s">
        <v>437</v>
      </c>
      <c r="BO33" s="14"/>
      <c r="BP33" s="14"/>
      <c r="BQ33" s="14">
        <v>2</v>
      </c>
      <c r="BR33" s="14"/>
      <c r="BS33" s="14"/>
      <c r="BT33" s="14" t="s">
        <v>437</v>
      </c>
      <c r="BU33" s="14"/>
      <c r="BV33" s="14"/>
      <c r="BW33" s="14"/>
      <c r="BX33" s="14"/>
    </row>
    <row r="34" spans="1:76">
      <c r="A34" s="6" t="s">
        <v>465</v>
      </c>
      <c r="B34" s="14"/>
      <c r="C34" s="6" t="s">
        <v>435</v>
      </c>
      <c r="D34" s="6" t="s">
        <v>124</v>
      </c>
      <c r="E34" s="14" t="s">
        <v>766</v>
      </c>
      <c r="F34" s="14">
        <v>9</v>
      </c>
      <c r="G34" s="14">
        <v>12</v>
      </c>
      <c r="H34" s="62">
        <v>45</v>
      </c>
      <c r="I34" s="31">
        <v>16</v>
      </c>
      <c r="J34" s="14" t="s">
        <v>748</v>
      </c>
      <c r="K34" s="6" t="s">
        <v>746</v>
      </c>
      <c r="L34" s="14">
        <v>2.6</v>
      </c>
      <c r="M34" s="14"/>
      <c r="N34" s="14"/>
      <c r="O34" s="14"/>
      <c r="P34" s="14"/>
      <c r="Q34" s="14"/>
      <c r="R34" s="14"/>
      <c r="S34" s="14"/>
      <c r="T34" s="14"/>
      <c r="U34" s="14"/>
      <c r="V34" s="14"/>
      <c r="W34" s="14"/>
      <c r="X34" s="14"/>
      <c r="Y34" s="14"/>
      <c r="Z34" s="14"/>
      <c r="AA34" s="14"/>
      <c r="AB34" s="14"/>
      <c r="AC34" s="14"/>
      <c r="AD34" s="14"/>
      <c r="AE34" s="14"/>
      <c r="AF34" s="14"/>
      <c r="AG34" s="62">
        <f>2*(H34+AK34)</f>
        <v>180</v>
      </c>
      <c r="AH34" s="14" t="s">
        <v>748</v>
      </c>
      <c r="AI34" s="6" t="s">
        <v>746</v>
      </c>
      <c r="AJ34" s="14" t="s">
        <v>742</v>
      </c>
      <c r="AK34" s="62">
        <v>45</v>
      </c>
      <c r="AL34" s="14" t="s">
        <v>748</v>
      </c>
      <c r="AM34" s="6" t="s">
        <v>746</v>
      </c>
      <c r="AN34" s="14">
        <f>50/1000</f>
        <v>0.05</v>
      </c>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v>3</v>
      </c>
      <c r="BN34" s="14" t="s">
        <v>437</v>
      </c>
      <c r="BO34" s="14"/>
      <c r="BP34" s="14"/>
      <c r="BQ34" s="14">
        <v>2</v>
      </c>
      <c r="BR34" s="14"/>
      <c r="BS34" s="14"/>
      <c r="BT34" s="14" t="s">
        <v>437</v>
      </c>
      <c r="BU34" s="14"/>
      <c r="BV34" s="14"/>
      <c r="BW34" s="14"/>
      <c r="BX34" s="14"/>
    </row>
    <row r="35" spans="1:76">
      <c r="A35" s="6" t="s">
        <v>467</v>
      </c>
      <c r="B35" s="14"/>
      <c r="C35" s="6" t="s">
        <v>435</v>
      </c>
      <c r="D35" s="6" t="s">
        <v>124</v>
      </c>
      <c r="E35" s="14" t="s">
        <v>766</v>
      </c>
      <c r="F35" s="14">
        <v>9</v>
      </c>
      <c r="G35" s="14">
        <v>12</v>
      </c>
      <c r="H35" s="62">
        <v>45</v>
      </c>
      <c r="I35" s="31">
        <v>16</v>
      </c>
      <c r="J35" s="14" t="s">
        <v>748</v>
      </c>
      <c r="K35" s="6" t="s">
        <v>746</v>
      </c>
      <c r="L35" s="14">
        <v>2.6</v>
      </c>
      <c r="M35" s="14"/>
      <c r="N35" s="14"/>
      <c r="O35" s="14"/>
      <c r="P35" s="14"/>
      <c r="Q35" s="14"/>
      <c r="R35" s="14"/>
      <c r="S35" s="14"/>
      <c r="T35" s="14"/>
      <c r="U35" s="14"/>
      <c r="V35" s="14"/>
      <c r="W35" s="14"/>
      <c r="X35" s="14"/>
      <c r="Y35" s="14"/>
      <c r="Z35" s="14"/>
      <c r="AA35" s="14"/>
      <c r="AB35" s="14"/>
      <c r="AC35" s="14"/>
      <c r="AD35" s="14"/>
      <c r="AE35" s="14"/>
      <c r="AF35" s="14"/>
      <c r="AG35" s="62">
        <f>2*(H35+AK35)</f>
        <v>180</v>
      </c>
      <c r="AH35" s="14" t="s">
        <v>748</v>
      </c>
      <c r="AI35" s="6" t="s">
        <v>746</v>
      </c>
      <c r="AJ35" s="14" t="s">
        <v>742</v>
      </c>
      <c r="AK35" s="62">
        <v>45</v>
      </c>
      <c r="AL35" s="14" t="s">
        <v>748</v>
      </c>
      <c r="AM35" s="6" t="s">
        <v>746</v>
      </c>
      <c r="AN35" s="14">
        <f>50/1000</f>
        <v>0.05</v>
      </c>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v>3</v>
      </c>
      <c r="BN35" s="14" t="s">
        <v>437</v>
      </c>
      <c r="BO35" s="14"/>
      <c r="BP35" s="14"/>
      <c r="BQ35" s="14">
        <v>2</v>
      </c>
      <c r="BR35" s="14"/>
      <c r="BS35" s="14"/>
      <c r="BT35" s="14" t="s">
        <v>437</v>
      </c>
      <c r="BU35" s="14"/>
      <c r="BV35" s="14"/>
      <c r="BW35" s="14"/>
      <c r="BX35" s="14"/>
    </row>
    <row r="36" spans="1:76">
      <c r="A36" s="6" t="s">
        <v>468</v>
      </c>
      <c r="B36" s="14"/>
      <c r="C36" s="6" t="s">
        <v>435</v>
      </c>
      <c r="D36" s="6" t="s">
        <v>469</v>
      </c>
      <c r="E36" s="14" t="s">
        <v>767</v>
      </c>
      <c r="F36" s="14">
        <v>4</v>
      </c>
      <c r="G36" s="14">
        <v>4</v>
      </c>
      <c r="H36" s="62">
        <v>40</v>
      </c>
      <c r="I36" s="31">
        <v>4</v>
      </c>
      <c r="J36" s="14" t="s">
        <v>748</v>
      </c>
      <c r="K36" s="6" t="s">
        <v>746</v>
      </c>
      <c r="L36" s="14">
        <v>2.6</v>
      </c>
      <c r="M36" s="14"/>
      <c r="N36" s="14"/>
      <c r="O36" s="14"/>
      <c r="P36" s="14"/>
      <c r="Q36" s="14"/>
      <c r="R36" s="14"/>
      <c r="S36" s="14"/>
      <c r="T36" s="14"/>
      <c r="U36" s="14"/>
      <c r="V36" s="14"/>
      <c r="W36" s="14"/>
      <c r="X36" s="14"/>
      <c r="Y36" s="14"/>
      <c r="Z36" s="14"/>
      <c r="AA36" s="14"/>
      <c r="AB36" s="14"/>
      <c r="AC36" s="14"/>
      <c r="AD36" s="14"/>
      <c r="AE36" s="14"/>
      <c r="AF36" s="14"/>
      <c r="AG36" s="62">
        <f>2*H36</f>
        <v>80</v>
      </c>
      <c r="AH36" s="14" t="s">
        <v>748</v>
      </c>
      <c r="AI36" s="6" t="s">
        <v>746</v>
      </c>
      <c r="AJ36" s="14" t="s">
        <v>742</v>
      </c>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v>2</v>
      </c>
      <c r="BN36" s="14" t="s">
        <v>437</v>
      </c>
      <c r="BO36" s="14"/>
      <c r="BP36" s="14"/>
      <c r="BQ36" s="14">
        <v>2</v>
      </c>
      <c r="BR36" s="14"/>
      <c r="BS36" s="14"/>
      <c r="BT36" s="14" t="s">
        <v>437</v>
      </c>
      <c r="BU36" s="14"/>
      <c r="BV36" s="14"/>
      <c r="BW36" s="14"/>
      <c r="BX36" s="14"/>
    </row>
    <row r="37" spans="1:76">
      <c r="A37" s="6" t="s">
        <v>470</v>
      </c>
      <c r="B37" s="14"/>
      <c r="C37" s="6" t="s">
        <v>435</v>
      </c>
      <c r="D37" s="6" t="s">
        <v>471</v>
      </c>
      <c r="E37" s="14" t="s">
        <v>767</v>
      </c>
      <c r="F37" s="14">
        <v>4</v>
      </c>
      <c r="G37" s="14">
        <v>4</v>
      </c>
      <c r="H37" s="62">
        <v>40</v>
      </c>
      <c r="I37" s="31">
        <v>4</v>
      </c>
      <c r="J37" s="14" t="s">
        <v>748</v>
      </c>
      <c r="K37" s="6" t="s">
        <v>746</v>
      </c>
      <c r="L37" s="14">
        <v>2.6</v>
      </c>
      <c r="M37" s="14"/>
      <c r="N37" s="14"/>
      <c r="O37" s="14"/>
      <c r="P37" s="14"/>
      <c r="Q37" s="14"/>
      <c r="R37" s="14"/>
      <c r="S37" s="14"/>
      <c r="T37" s="14"/>
      <c r="U37" s="14"/>
      <c r="V37" s="14"/>
      <c r="W37" s="14"/>
      <c r="X37" s="14"/>
      <c r="Y37" s="14"/>
      <c r="Z37" s="14"/>
      <c r="AA37" s="14"/>
      <c r="AB37" s="14"/>
      <c r="AC37" s="14"/>
      <c r="AD37" s="14"/>
      <c r="AE37" s="14"/>
      <c r="AF37" s="14"/>
      <c r="AG37" s="62">
        <f>2*H37</f>
        <v>80</v>
      </c>
      <c r="AH37" s="14" t="s">
        <v>748</v>
      </c>
      <c r="AI37" s="6" t="s">
        <v>746</v>
      </c>
      <c r="AJ37" s="14" t="s">
        <v>742</v>
      </c>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v>2</v>
      </c>
      <c r="BN37" s="14" t="s">
        <v>437</v>
      </c>
      <c r="BO37" s="14"/>
      <c r="BP37" s="14"/>
      <c r="BQ37" s="14">
        <v>2</v>
      </c>
      <c r="BR37" s="14"/>
      <c r="BS37" s="14"/>
      <c r="BT37" s="14" t="s">
        <v>437</v>
      </c>
      <c r="BU37" s="14"/>
      <c r="BV37" s="14"/>
      <c r="BW37" s="14"/>
      <c r="BX37" s="14"/>
    </row>
    <row r="38" spans="1:76" s="19" customFormat="1" ht="14.45">
      <c r="A38" s="19" t="s">
        <v>472</v>
      </c>
      <c r="C38" s="19" t="s">
        <v>435</v>
      </c>
      <c r="D38" s="19" t="s">
        <v>473</v>
      </c>
      <c r="E38" s="17" t="s">
        <v>768</v>
      </c>
      <c r="F38" s="17">
        <v>8</v>
      </c>
      <c r="G38" s="17">
        <v>11</v>
      </c>
      <c r="H38" s="68">
        <v>125</v>
      </c>
      <c r="I38" s="80">
        <v>4</v>
      </c>
      <c r="J38" s="17" t="s">
        <v>748</v>
      </c>
      <c r="K38" s="19" t="s">
        <v>746</v>
      </c>
      <c r="L38" s="17">
        <v>2.6</v>
      </c>
      <c r="M38" s="17"/>
      <c r="N38" s="17"/>
      <c r="O38" s="17"/>
      <c r="P38" s="17"/>
      <c r="Q38" s="99"/>
      <c r="R38" s="99"/>
      <c r="S38" s="99"/>
      <c r="T38" s="99"/>
      <c r="U38" s="17"/>
      <c r="V38" s="17"/>
      <c r="W38" s="17"/>
      <c r="X38" s="17"/>
      <c r="Y38" s="17"/>
      <c r="Z38" s="17"/>
      <c r="AA38" s="17"/>
      <c r="AB38" s="17"/>
      <c r="AC38" s="17"/>
      <c r="AD38" s="17"/>
      <c r="AE38" s="17"/>
      <c r="AF38" s="17"/>
      <c r="AG38" s="68">
        <f>2*H38</f>
        <v>250</v>
      </c>
      <c r="AH38" s="17" t="s">
        <v>748</v>
      </c>
      <c r="AI38" s="19" t="s">
        <v>746</v>
      </c>
      <c r="AJ38" s="17" t="s">
        <v>742</v>
      </c>
      <c r="BA38" s="17">
        <v>120</v>
      </c>
      <c r="BB38" s="17" t="s">
        <v>748</v>
      </c>
      <c r="BC38" s="17" t="s">
        <v>746</v>
      </c>
      <c r="BD38" s="17">
        <f>50/1000</f>
        <v>0.05</v>
      </c>
      <c r="BM38" s="17">
        <v>3</v>
      </c>
      <c r="BN38" s="17" t="s">
        <v>437</v>
      </c>
      <c r="BO38" s="17"/>
      <c r="BP38" s="17"/>
      <c r="BQ38" s="17">
        <v>2</v>
      </c>
      <c r="BR38" s="17"/>
      <c r="BS38" s="17" t="s">
        <v>437</v>
      </c>
      <c r="BT38" s="17" t="s">
        <v>437</v>
      </c>
      <c r="BU38" s="17"/>
      <c r="BV38" s="17"/>
      <c r="BW38" s="17"/>
    </row>
    <row r="39" spans="1:76" s="20" customFormat="1">
      <c r="E39" s="18"/>
      <c r="F39" s="18">
        <f>SUM(F8:F38)</f>
        <v>177</v>
      </c>
      <c r="G39" s="18">
        <f>SUM(G8:G38)</f>
        <v>428</v>
      </c>
      <c r="H39" s="18">
        <f>SUM(H8:H38)</f>
        <v>2550</v>
      </c>
      <c r="I39" s="33"/>
      <c r="J39" s="18"/>
      <c r="K39" s="18"/>
      <c r="L39" s="18">
        <f>SUM(L8:L38)</f>
        <v>388.20000000000016</v>
      </c>
      <c r="M39" s="18">
        <f>SUM(M8:M38)</f>
        <v>59.4</v>
      </c>
      <c r="N39" s="63"/>
      <c r="O39" s="63"/>
      <c r="P39" s="18">
        <f>SUM(P8:P38)</f>
        <v>0.05</v>
      </c>
      <c r="Q39" s="18">
        <f>SUM(Q8:Q38)</f>
        <v>1350</v>
      </c>
      <c r="R39" s="63"/>
      <c r="S39" s="63"/>
      <c r="T39" s="18">
        <f>SUM(T8:T38)</f>
        <v>0.05</v>
      </c>
      <c r="U39" s="18">
        <f>SUM(U8:U38)</f>
        <v>2025</v>
      </c>
      <c r="V39" s="63"/>
      <c r="W39" s="63"/>
      <c r="X39" s="18">
        <f>SUM(X8:X38)</f>
        <v>0.05</v>
      </c>
      <c r="Y39" s="18">
        <f>SUM(Y8:Y38)</f>
        <v>393</v>
      </c>
      <c r="Z39" s="63"/>
      <c r="AA39" s="63"/>
      <c r="AB39" s="18">
        <f>SUM(AB8:AB38)</f>
        <v>0.1</v>
      </c>
      <c r="AC39" s="18">
        <f>SUM(AC8:AC38)</f>
        <v>270</v>
      </c>
      <c r="AD39" s="63"/>
      <c r="AE39" s="63"/>
      <c r="AF39" s="18">
        <f>SUM(AF8:AF38)</f>
        <v>0</v>
      </c>
      <c r="AG39" s="18">
        <f>SUM(AG8:AG38)</f>
        <v>11539.5</v>
      </c>
      <c r="AH39" s="63"/>
      <c r="AI39" s="63"/>
      <c r="AJ39" s="63"/>
      <c r="AK39" s="18">
        <f>SUM(AK8:AK38)</f>
        <v>90</v>
      </c>
      <c r="AL39" s="18"/>
      <c r="AM39" s="18"/>
      <c r="AN39" s="18">
        <f>SUM(AN8:AN38)</f>
        <v>0.1</v>
      </c>
      <c r="AO39" s="18">
        <f>SUM(AO8:AO38)</f>
        <v>50</v>
      </c>
      <c r="AP39" s="18"/>
      <c r="AQ39" s="18"/>
      <c r="AR39" s="18">
        <f>SUM(AR8:AR38)</f>
        <v>0.05</v>
      </c>
      <c r="AS39" s="18">
        <f>SUM(AS8:AS38)</f>
        <v>170</v>
      </c>
      <c r="AT39" s="18"/>
      <c r="AU39" s="18"/>
      <c r="AV39" s="18">
        <f>SUM(AV8:AV38)</f>
        <v>0.1</v>
      </c>
      <c r="AW39" s="18">
        <f>SUM(AW8:AW38)</f>
        <v>0</v>
      </c>
      <c r="AX39" s="18"/>
      <c r="AY39" s="18"/>
      <c r="AZ39" s="18">
        <f>SUM(AZ8:AZ38)</f>
        <v>0</v>
      </c>
      <c r="BA39" s="18">
        <f>SUM(BA8:BA38)</f>
        <v>120</v>
      </c>
      <c r="BB39" s="18"/>
      <c r="BC39" s="18"/>
      <c r="BD39" s="18">
        <f>SUM(BD8:BD38)</f>
        <v>0.05</v>
      </c>
      <c r="BE39" s="18">
        <f>SUM(BE8:BE38)</f>
        <v>2048</v>
      </c>
      <c r="BF39" s="18"/>
      <c r="BG39" s="18"/>
      <c r="BH39" s="18">
        <f>SUM(BH8:BH38)</f>
        <v>0.05</v>
      </c>
      <c r="BI39" s="18"/>
      <c r="BJ39" s="18"/>
      <c r="BK39" s="18"/>
      <c r="BL39" s="18"/>
      <c r="BM39" s="18">
        <f>SUM(BM8:BM38)</f>
        <v>79</v>
      </c>
      <c r="BN39" s="18">
        <f>COUNTIF(BN8:BN38,"x")</f>
        <v>31</v>
      </c>
      <c r="BO39" s="18">
        <f>COUNTIF(BO8:BO38,"x")</f>
        <v>2</v>
      </c>
      <c r="BP39" s="18">
        <f>COUNTIF(BP8:BP38,"x")</f>
        <v>1</v>
      </c>
      <c r="BQ39" s="18">
        <f>SUM(BQ8:BQ38)</f>
        <v>62</v>
      </c>
      <c r="BR39" s="18">
        <f>COUNTIF(BR8:BR38,"x")</f>
        <v>1</v>
      </c>
      <c r="BS39" s="18">
        <f>COUNTIF(BS8:BS38,"x")</f>
        <v>1</v>
      </c>
      <c r="BT39" s="18">
        <f>COUNTIF(BT8:BT38,"x")</f>
        <v>30</v>
      </c>
      <c r="BU39" s="18" t="s">
        <v>769</v>
      </c>
      <c r="BV39" s="18">
        <v>2</v>
      </c>
      <c r="BW39" s="18">
        <v>4</v>
      </c>
      <c r="BX39" s="18">
        <v>2</v>
      </c>
    </row>
    <row r="40" spans="1:76" ht="12.95">
      <c r="A40" s="16" t="s">
        <v>770</v>
      </c>
      <c r="E40" s="14"/>
      <c r="F40" s="14"/>
      <c r="G40" s="14"/>
      <c r="H40" s="14"/>
      <c r="I40" s="31"/>
      <c r="J40" s="14"/>
      <c r="K40" s="14"/>
      <c r="L40" s="14"/>
      <c r="M40" s="14"/>
      <c r="N40" s="62"/>
      <c r="O40" s="62"/>
      <c r="P40" s="14"/>
      <c r="Q40" s="14"/>
      <c r="R40" s="62"/>
      <c r="S40" s="62"/>
      <c r="T40" s="14"/>
      <c r="U40" s="14"/>
      <c r="V40" s="62"/>
      <c r="W40" s="62"/>
      <c r="X40" s="14"/>
      <c r="Y40" s="14"/>
      <c r="Z40" s="62"/>
      <c r="AA40" s="62"/>
      <c r="AB40" s="14"/>
      <c r="AC40" s="14"/>
      <c r="AD40" s="62"/>
      <c r="AE40" s="62"/>
      <c r="AF40" s="14"/>
      <c r="AG40" s="14"/>
      <c r="AH40" s="62"/>
      <c r="AI40" s="62"/>
      <c r="AJ40" s="62"/>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row>
    <row r="41" spans="1:76">
      <c r="A41" s="6" t="s">
        <v>476</v>
      </c>
      <c r="B41" s="14"/>
      <c r="C41" s="6" t="s">
        <v>435</v>
      </c>
      <c r="D41" s="6" t="s">
        <v>477</v>
      </c>
      <c r="E41" s="14" t="s">
        <v>771</v>
      </c>
      <c r="F41" s="14">
        <v>8</v>
      </c>
      <c r="G41" s="14">
        <v>16</v>
      </c>
      <c r="H41" s="62">
        <v>30</v>
      </c>
      <c r="I41" s="31">
        <v>14</v>
      </c>
      <c r="J41" s="14" t="s">
        <v>748</v>
      </c>
      <c r="K41" s="6" t="s">
        <v>746</v>
      </c>
      <c r="L41" s="14"/>
      <c r="M41" s="14"/>
      <c r="N41" s="14"/>
      <c r="O41" s="14"/>
      <c r="P41" s="14"/>
      <c r="Q41" s="14"/>
      <c r="R41" s="14"/>
      <c r="S41" s="14"/>
      <c r="T41" s="14"/>
      <c r="U41" s="14"/>
      <c r="V41" s="14"/>
      <c r="W41" s="14"/>
      <c r="X41" s="14"/>
      <c r="Y41" s="14"/>
      <c r="Z41" s="14"/>
      <c r="AA41" s="14"/>
      <c r="AB41" s="14"/>
      <c r="AC41" s="14"/>
      <c r="AD41" s="14"/>
      <c r="AE41" s="14"/>
      <c r="AF41" s="14"/>
      <c r="AG41" s="62">
        <f>2*H41+200</f>
        <v>260</v>
      </c>
      <c r="AH41" s="14" t="s">
        <v>748</v>
      </c>
      <c r="AI41" s="6" t="s">
        <v>746</v>
      </c>
      <c r="AJ41" s="14"/>
      <c r="AK41" s="62"/>
      <c r="AL41" s="14"/>
      <c r="AN41" s="14"/>
      <c r="AO41" s="14"/>
      <c r="AP41" s="14"/>
      <c r="AQ41" s="14"/>
      <c r="AR41" s="14"/>
      <c r="AS41" s="14"/>
      <c r="AT41" s="14"/>
      <c r="AU41" s="14"/>
      <c r="AV41" s="14"/>
      <c r="AW41" s="14"/>
      <c r="AX41" s="14"/>
      <c r="AY41" s="14"/>
      <c r="AZ41" s="14"/>
      <c r="BA41" s="14"/>
      <c r="BB41" s="14"/>
      <c r="BC41" s="14"/>
      <c r="BD41" s="14"/>
      <c r="BE41" s="14"/>
      <c r="BF41" s="14"/>
      <c r="BG41" s="14"/>
      <c r="BH41" s="14"/>
      <c r="BI41" s="14">
        <v>150</v>
      </c>
      <c r="BJ41" s="14" t="s">
        <v>748</v>
      </c>
      <c r="BK41" s="14" t="s">
        <v>793</v>
      </c>
      <c r="BL41" s="14">
        <f>50/1000</f>
        <v>0.05</v>
      </c>
      <c r="BM41" s="14">
        <v>1</v>
      </c>
      <c r="BN41" s="14"/>
      <c r="BO41" s="14"/>
      <c r="BP41" s="14"/>
      <c r="BQ41" s="14"/>
      <c r="BR41" s="14"/>
      <c r="BS41" s="14"/>
      <c r="BT41" s="14"/>
      <c r="BU41" s="14"/>
      <c r="BV41" s="14"/>
      <c r="BW41" s="14"/>
      <c r="BX41" s="14"/>
    </row>
    <row r="42" spans="1:76" ht="12.95">
      <c r="A42" s="186" t="s">
        <v>478</v>
      </c>
      <c r="B42" s="187"/>
      <c r="E42" s="14"/>
      <c r="F42" s="14"/>
      <c r="G42" s="14"/>
      <c r="H42" s="14"/>
      <c r="I42" s="31"/>
      <c r="J42" s="14"/>
      <c r="K42" s="14"/>
      <c r="L42" s="14"/>
      <c r="M42" s="14"/>
      <c r="N42" s="62"/>
      <c r="O42" s="62"/>
      <c r="P42" s="14"/>
      <c r="Q42" s="14"/>
      <c r="R42" s="62"/>
      <c r="S42" s="62"/>
      <c r="T42" s="14"/>
      <c r="U42" s="14"/>
      <c r="V42" s="62"/>
      <c r="W42" s="62"/>
      <c r="X42" s="14"/>
      <c r="Y42" s="14"/>
      <c r="Z42" s="62"/>
      <c r="AA42" s="62"/>
      <c r="AB42" s="14"/>
      <c r="AC42" s="14"/>
      <c r="AD42" s="62"/>
      <c r="AE42" s="62"/>
      <c r="AF42" s="14"/>
      <c r="AG42" s="14"/>
      <c r="AH42" s="62"/>
      <c r="AI42" s="62"/>
      <c r="AJ42" s="62"/>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row>
    <row r="43" spans="1:76">
      <c r="A43" s="6" t="s">
        <v>472</v>
      </c>
      <c r="B43" s="14"/>
      <c r="C43" s="6" t="s">
        <v>435</v>
      </c>
      <c r="D43" s="6" t="s">
        <v>479</v>
      </c>
      <c r="E43" s="14" t="s">
        <v>768</v>
      </c>
      <c r="F43" s="14">
        <v>8</v>
      </c>
      <c r="G43" s="14">
        <v>22</v>
      </c>
      <c r="H43" s="62">
        <v>28</v>
      </c>
      <c r="I43" s="31">
        <v>12</v>
      </c>
      <c r="J43" s="14" t="s">
        <v>748</v>
      </c>
      <c r="K43" s="6" t="s">
        <v>746</v>
      </c>
      <c r="L43" s="14" t="s">
        <v>742</v>
      </c>
      <c r="M43" s="14"/>
      <c r="N43" s="14"/>
      <c r="O43" s="14"/>
      <c r="P43" s="14"/>
      <c r="Q43" s="14"/>
      <c r="R43" s="14"/>
      <c r="S43" s="14"/>
      <c r="T43" s="14"/>
      <c r="U43" s="14"/>
      <c r="V43" s="14"/>
      <c r="W43" s="14"/>
      <c r="X43" s="14"/>
      <c r="Y43" s="14">
        <v>120</v>
      </c>
      <c r="Z43" s="14" t="s">
        <v>748</v>
      </c>
      <c r="AA43" s="14" t="s">
        <v>746</v>
      </c>
      <c r="AB43" s="14" t="s">
        <v>742</v>
      </c>
      <c r="AC43" s="14"/>
      <c r="AD43" s="14"/>
      <c r="AE43" s="14"/>
      <c r="AF43" s="14"/>
      <c r="AG43" s="62">
        <f>2*H43+200+120</f>
        <v>376</v>
      </c>
      <c r="AH43" s="14" t="s">
        <v>748</v>
      </c>
      <c r="AI43" s="6" t="s">
        <v>746</v>
      </c>
      <c r="AJ43" s="14" t="s">
        <v>742</v>
      </c>
      <c r="AK43" s="62"/>
      <c r="AL43" s="14"/>
      <c r="AN43" s="14"/>
      <c r="AO43" s="14"/>
      <c r="AP43" s="14"/>
      <c r="AQ43" s="14"/>
      <c r="AR43" s="14"/>
      <c r="AS43" s="14"/>
      <c r="AT43" s="14"/>
      <c r="AU43" s="14"/>
      <c r="AV43" s="14"/>
      <c r="AW43" s="14">
        <v>150</v>
      </c>
      <c r="AX43" s="14" t="s">
        <v>748</v>
      </c>
      <c r="AY43" s="14" t="s">
        <v>746</v>
      </c>
      <c r="AZ43" s="14">
        <f>50/1000</f>
        <v>0.05</v>
      </c>
      <c r="BA43" s="14"/>
      <c r="BB43" s="14"/>
      <c r="BC43" s="14"/>
      <c r="BD43" s="14"/>
      <c r="BE43" s="14"/>
      <c r="BF43" s="14"/>
      <c r="BG43" s="14"/>
      <c r="BH43" s="14"/>
      <c r="BI43" s="14"/>
      <c r="BJ43" s="14"/>
      <c r="BK43" s="14"/>
      <c r="BL43" s="14"/>
      <c r="BM43" s="14">
        <v>1</v>
      </c>
      <c r="BN43" s="14"/>
      <c r="BO43" s="14"/>
      <c r="BP43" s="14"/>
      <c r="BQ43" s="14"/>
      <c r="BR43" s="14"/>
      <c r="BS43" s="14"/>
      <c r="BT43" s="14"/>
      <c r="BU43" s="14"/>
      <c r="BV43" s="14"/>
      <c r="BW43" s="14"/>
      <c r="BX43" s="14"/>
    </row>
    <row r="44" spans="1:76" s="19" customFormat="1" ht="14.45">
      <c r="A44" s="19" t="s">
        <v>480</v>
      </c>
      <c r="C44" s="19" t="s">
        <v>435</v>
      </c>
      <c r="D44" s="19" t="s">
        <v>481</v>
      </c>
      <c r="E44" s="17" t="s">
        <v>772</v>
      </c>
      <c r="F44" s="17">
        <v>4</v>
      </c>
      <c r="G44" s="17">
        <v>15</v>
      </c>
      <c r="H44" s="68">
        <v>0</v>
      </c>
      <c r="I44" s="80">
        <v>14</v>
      </c>
      <c r="J44" s="17" t="s">
        <v>748</v>
      </c>
      <c r="K44" s="19" t="s">
        <v>746</v>
      </c>
      <c r="L44" s="17" t="s">
        <v>742</v>
      </c>
      <c r="M44" s="17"/>
      <c r="N44" s="17"/>
      <c r="O44" s="17"/>
      <c r="P44" s="17"/>
      <c r="Q44" s="99"/>
      <c r="R44" s="99"/>
      <c r="S44" s="99"/>
      <c r="T44" s="99"/>
      <c r="U44" s="17"/>
      <c r="V44" s="17"/>
      <c r="W44" s="17"/>
      <c r="X44" s="17"/>
      <c r="Y44" s="17"/>
      <c r="Z44" s="17"/>
      <c r="AB44" s="17" t="s">
        <v>742</v>
      </c>
      <c r="AC44" s="17"/>
      <c r="AD44" s="17"/>
      <c r="AE44" s="17"/>
      <c r="AF44" s="17"/>
      <c r="AG44" s="68"/>
      <c r="AH44" s="17"/>
      <c r="AJ44" s="17" t="s">
        <v>742</v>
      </c>
      <c r="AW44" s="17"/>
      <c r="AX44" s="17"/>
      <c r="AY44" s="17"/>
      <c r="AZ44" s="17"/>
      <c r="BA44" s="17"/>
      <c r="BB44" s="17"/>
      <c r="BC44" s="17"/>
      <c r="BD44" s="17"/>
      <c r="BI44" s="156"/>
      <c r="BJ44" s="156"/>
      <c r="BK44" s="156"/>
      <c r="BL44" s="156"/>
      <c r="BM44" s="17"/>
      <c r="BN44" s="17"/>
      <c r="BO44" s="17"/>
      <c r="BP44" s="17"/>
      <c r="BQ44" s="17"/>
      <c r="BR44" s="17"/>
      <c r="BS44" s="17"/>
      <c r="BT44" s="17"/>
      <c r="BU44" s="17"/>
      <c r="BV44" s="17"/>
      <c r="BW44" s="17"/>
    </row>
    <row r="45" spans="1:76">
      <c r="E45" s="14"/>
      <c r="F45" s="14">
        <f>SUM(F41:F44)+F39</f>
        <v>197</v>
      </c>
      <c r="G45" s="14">
        <f>SUM(G41:G44)+G39</f>
        <v>481</v>
      </c>
      <c r="H45" s="62">
        <f>SUM(H41:H44)+H39</f>
        <v>2608</v>
      </c>
      <c r="I45" s="14"/>
      <c r="J45" s="14"/>
      <c r="K45" s="14"/>
      <c r="L45" s="14">
        <f>SUM(L41:L44)+L39</f>
        <v>388.20000000000016</v>
      </c>
      <c r="M45" s="14">
        <f>SUM(M41:M44)+M39</f>
        <v>59.4</v>
      </c>
      <c r="N45" s="62"/>
      <c r="O45" s="62"/>
      <c r="P45" s="14">
        <f>SUM(P41:P44)+P39</f>
        <v>0.05</v>
      </c>
      <c r="Q45" s="14">
        <f>SUM(Q41:Q44)+Q39</f>
        <v>1350</v>
      </c>
      <c r="R45" s="62"/>
      <c r="S45" s="62"/>
      <c r="T45" s="14">
        <f>SUM(T41:T44)+T39</f>
        <v>0.05</v>
      </c>
      <c r="U45" s="14">
        <f>SUM(U41:U44)+U39</f>
        <v>2025</v>
      </c>
      <c r="V45" s="62"/>
      <c r="W45" s="62"/>
      <c r="X45" s="14">
        <f>SUM(X41:X44)+X39</f>
        <v>0.05</v>
      </c>
      <c r="Y45" s="14">
        <f>SUM(Y41:Y44)+Y39</f>
        <v>513</v>
      </c>
      <c r="Z45" s="62"/>
      <c r="AA45" s="62"/>
      <c r="AB45" s="14">
        <f>SUM(AB41:AB44)+AB39</f>
        <v>0.1</v>
      </c>
      <c r="AC45" s="14">
        <f>SUM(AC41:AC44)+AC39</f>
        <v>270</v>
      </c>
      <c r="AD45" s="62"/>
      <c r="AE45" s="62"/>
      <c r="AF45" s="14">
        <f>SUM(AF41:AF44)+AF39</f>
        <v>0</v>
      </c>
      <c r="AG45" s="62">
        <f>SUM(AG41:AG44)+AG39</f>
        <v>12175.5</v>
      </c>
      <c r="AH45" s="62"/>
      <c r="AI45" s="62"/>
      <c r="AJ45" s="62"/>
      <c r="AK45" s="62">
        <f>SUM(AK41:AK44)+AK39</f>
        <v>90</v>
      </c>
      <c r="AL45" s="14"/>
      <c r="AM45" s="14"/>
      <c r="AN45" s="14">
        <f>SUM(AN41:AN44)+AN39</f>
        <v>0.1</v>
      </c>
      <c r="AO45" s="14">
        <f>SUM(AO41:AO44)+AO39</f>
        <v>50</v>
      </c>
      <c r="AP45" s="14"/>
      <c r="AQ45" s="14"/>
      <c r="AR45" s="14">
        <f>SUM(AR41:AR44)+AR39</f>
        <v>0.05</v>
      </c>
      <c r="AS45" s="14">
        <f>SUM(AS41:AS44)+AS39</f>
        <v>170</v>
      </c>
      <c r="AT45" s="14"/>
      <c r="AU45" s="14"/>
      <c r="AV45" s="14">
        <f>SUM(AV41:AV44)+AV39</f>
        <v>0.1</v>
      </c>
      <c r="AW45" s="14">
        <f>SUM(AW41:AW44)+AW39</f>
        <v>150</v>
      </c>
      <c r="AX45" s="14"/>
      <c r="AY45" s="14"/>
      <c r="AZ45" s="14">
        <f>SUM(AZ41:AZ44)+AZ39</f>
        <v>0.05</v>
      </c>
      <c r="BA45" s="14">
        <f>SUM(BA41:BA44)+BA39</f>
        <v>120</v>
      </c>
      <c r="BB45" s="14"/>
      <c r="BC45" s="14"/>
      <c r="BD45" s="14">
        <f>SUM(BD41:BD44)+BD39</f>
        <v>0.05</v>
      </c>
      <c r="BE45" s="14">
        <f>SUM(BE41:BE44)+BE39</f>
        <v>2048</v>
      </c>
      <c r="BF45" s="14"/>
      <c r="BG45" s="14"/>
      <c r="BH45" s="14">
        <f>SUM(BH41:BH44)+BH39</f>
        <v>0.05</v>
      </c>
      <c r="BI45" s="14">
        <f>SUM(BI41:BI44)+BI39</f>
        <v>150</v>
      </c>
      <c r="BJ45" s="14"/>
      <c r="BK45" s="14"/>
      <c r="BL45" s="14">
        <f>SUM(BL41:BL44)+BL39</f>
        <v>0.05</v>
      </c>
      <c r="BM45" s="14">
        <f>SUM(BM41:BM44)+BM39</f>
        <v>81</v>
      </c>
      <c r="BN45" s="14">
        <f>BN39+COUNTIF(BN41:BN44,"x")</f>
        <v>31</v>
      </c>
      <c r="BO45" s="14">
        <f>BO39+COUNTIF(BO41:BO44,"x")</f>
        <v>2</v>
      </c>
      <c r="BP45" s="14">
        <f>BP39+COUNTIF(BP41:BP44,"x")</f>
        <v>1</v>
      </c>
      <c r="BQ45" s="14">
        <f>SUM(BQ41:BQ44)+BQ39</f>
        <v>62</v>
      </c>
      <c r="BR45" s="14">
        <f>BR39+COUNTIF(BR41:BR44,"x")</f>
        <v>1</v>
      </c>
      <c r="BS45" s="14">
        <f>BS39+COUNTIF(BS41:BS44,"x")</f>
        <v>1</v>
      </c>
      <c r="BT45" s="14">
        <f>BT39+COUNTIF(BT41:BT44,"x")</f>
        <v>30</v>
      </c>
      <c r="BU45" s="14" t="s">
        <v>769</v>
      </c>
      <c r="BV45" s="14">
        <v>2</v>
      </c>
      <c r="BW45" s="14">
        <v>4</v>
      </c>
      <c r="BX45" s="14">
        <v>2</v>
      </c>
    </row>
    <row r="46" spans="1:76">
      <c r="E46" s="14"/>
      <c r="F46" s="14"/>
      <c r="G46" s="14"/>
      <c r="H46" s="14"/>
      <c r="I46" s="31"/>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BM46" s="14"/>
    </row>
    <row r="47" spans="1:76" ht="12.95">
      <c r="A47" s="16" t="s">
        <v>773</v>
      </c>
      <c r="I47" s="34"/>
      <c r="BM47" s="14"/>
    </row>
    <row r="48" spans="1:76">
      <c r="I48" s="34"/>
      <c r="BM48" s="14"/>
    </row>
    <row r="49" spans="1:76">
      <c r="A49" s="6" t="s">
        <v>486</v>
      </c>
      <c r="C49" s="6" t="s">
        <v>435</v>
      </c>
      <c r="D49" s="6" t="s">
        <v>44</v>
      </c>
      <c r="E49" s="14" t="s">
        <v>774</v>
      </c>
      <c r="F49" s="14">
        <v>8</v>
      </c>
      <c r="G49" s="14">
        <v>32</v>
      </c>
      <c r="H49" s="64">
        <v>70</v>
      </c>
      <c r="I49" s="31">
        <v>16</v>
      </c>
      <c r="J49" s="14" t="s">
        <v>748</v>
      </c>
      <c r="K49" s="6" t="s">
        <v>746</v>
      </c>
      <c r="L49" s="14">
        <v>2.6</v>
      </c>
      <c r="M49" s="14"/>
      <c r="N49" s="14"/>
      <c r="O49" s="14"/>
      <c r="P49" s="14"/>
      <c r="Q49" s="14"/>
      <c r="R49" s="14"/>
      <c r="S49" s="14"/>
      <c r="T49" s="14"/>
      <c r="U49" s="14"/>
      <c r="V49" s="14"/>
      <c r="W49" s="14"/>
      <c r="X49" s="14"/>
      <c r="Y49" s="14"/>
      <c r="Z49" s="14"/>
      <c r="AA49" s="14"/>
      <c r="AB49" s="14"/>
      <c r="AC49" s="14"/>
      <c r="AD49" s="14"/>
      <c r="AE49" s="14"/>
      <c r="AF49" s="14"/>
      <c r="AG49" s="62">
        <f t="shared" ref="AG49:AG70" si="2">2*H49</f>
        <v>140</v>
      </c>
      <c r="AH49" s="14" t="s">
        <v>748</v>
      </c>
      <c r="AI49" s="6" t="s">
        <v>746</v>
      </c>
      <c r="AJ49" s="14" t="s">
        <v>742</v>
      </c>
      <c r="BM49" s="14">
        <v>2</v>
      </c>
      <c r="BN49" s="14" t="s">
        <v>437</v>
      </c>
      <c r="BO49" s="14"/>
      <c r="BP49" s="14"/>
      <c r="BQ49" s="14">
        <v>2</v>
      </c>
      <c r="BR49" s="14"/>
      <c r="BS49" s="14" t="s">
        <v>437</v>
      </c>
      <c r="BT49" s="14" t="s">
        <v>437</v>
      </c>
      <c r="BU49" s="14"/>
      <c r="BV49" s="14"/>
      <c r="BW49" s="14"/>
      <c r="BX49" s="14"/>
    </row>
    <row r="50" spans="1:76">
      <c r="A50" s="6" t="s">
        <v>539</v>
      </c>
      <c r="C50" s="21" t="s">
        <v>488</v>
      </c>
      <c r="D50" s="6" t="s">
        <v>112</v>
      </c>
      <c r="E50" s="14" t="s">
        <v>763</v>
      </c>
      <c r="F50" s="14">
        <v>4</v>
      </c>
      <c r="G50" s="14">
        <v>4</v>
      </c>
      <c r="H50" s="62">
        <v>100</v>
      </c>
      <c r="I50" s="31">
        <v>0</v>
      </c>
      <c r="J50" s="14" t="s">
        <v>745</v>
      </c>
      <c r="K50" s="6" t="s">
        <v>746</v>
      </c>
      <c r="L50" s="14">
        <v>100</v>
      </c>
      <c r="M50" s="14"/>
      <c r="N50" s="14"/>
      <c r="O50" s="14"/>
      <c r="P50" s="14"/>
      <c r="Q50" s="14"/>
      <c r="R50" s="14"/>
      <c r="S50" s="14"/>
      <c r="T50" s="14"/>
      <c r="U50" s="14"/>
      <c r="V50" s="14"/>
      <c r="W50" s="14"/>
      <c r="X50" s="14"/>
      <c r="Y50" s="14"/>
      <c r="Z50" s="14"/>
      <c r="AA50" s="14"/>
      <c r="AB50" s="14"/>
      <c r="AC50" s="14"/>
      <c r="AD50" s="14"/>
      <c r="AE50" s="14"/>
      <c r="AF50" s="14"/>
      <c r="AG50" s="62">
        <f t="shared" si="2"/>
        <v>200</v>
      </c>
      <c r="AH50" s="14" t="s">
        <v>748</v>
      </c>
      <c r="AI50" s="6" t="s">
        <v>746</v>
      </c>
      <c r="AJ50" s="14" t="s">
        <v>742</v>
      </c>
      <c r="BM50" s="14">
        <v>4</v>
      </c>
      <c r="BN50" s="14" t="s">
        <v>437</v>
      </c>
      <c r="BO50" s="14"/>
      <c r="BP50" s="14"/>
      <c r="BQ50" s="14">
        <v>2</v>
      </c>
      <c r="BR50" s="14"/>
      <c r="BS50" s="14" t="s">
        <v>437</v>
      </c>
      <c r="BT50" s="14" t="s">
        <v>437</v>
      </c>
      <c r="BU50" s="14"/>
      <c r="BV50" s="14"/>
      <c r="BW50" s="14"/>
      <c r="BX50" s="14"/>
    </row>
    <row r="51" spans="1:76">
      <c r="A51" s="6" t="s">
        <v>491</v>
      </c>
      <c r="C51" s="21" t="s">
        <v>488</v>
      </c>
      <c r="D51" s="6" t="s">
        <v>120</v>
      </c>
      <c r="E51" s="14" t="s">
        <v>764</v>
      </c>
      <c r="F51" s="14">
        <v>4</v>
      </c>
      <c r="G51" s="14">
        <v>16</v>
      </c>
      <c r="H51" s="62">
        <v>100</v>
      </c>
      <c r="I51" s="31">
        <v>0</v>
      </c>
      <c r="J51" s="14" t="s">
        <v>745</v>
      </c>
      <c r="K51" s="6" t="s">
        <v>746</v>
      </c>
      <c r="L51" s="14">
        <v>110</v>
      </c>
      <c r="M51" s="14"/>
      <c r="N51" s="14"/>
      <c r="O51" s="14"/>
      <c r="P51" s="14"/>
      <c r="Q51" s="14"/>
      <c r="R51" s="14"/>
      <c r="S51" s="14"/>
      <c r="T51" s="14"/>
      <c r="U51" s="14"/>
      <c r="V51" s="14"/>
      <c r="W51" s="14"/>
      <c r="X51" s="14"/>
      <c r="Y51" s="14"/>
      <c r="Z51" s="14"/>
      <c r="AA51" s="14"/>
      <c r="AB51" s="14"/>
      <c r="AC51" s="14"/>
      <c r="AD51" s="14"/>
      <c r="AE51" s="14"/>
      <c r="AF51" s="14"/>
      <c r="AG51" s="62">
        <f t="shared" si="2"/>
        <v>200</v>
      </c>
      <c r="AH51" s="14" t="s">
        <v>748</v>
      </c>
      <c r="AI51" s="6" t="s">
        <v>746</v>
      </c>
      <c r="AJ51" s="14" t="s">
        <v>742</v>
      </c>
      <c r="BM51" s="14">
        <v>4</v>
      </c>
      <c r="BN51" s="14" t="s">
        <v>437</v>
      </c>
      <c r="BO51" s="14"/>
      <c r="BP51" s="14"/>
      <c r="BQ51" s="14">
        <v>2</v>
      </c>
      <c r="BR51" s="14"/>
      <c r="BS51" s="14" t="s">
        <v>437</v>
      </c>
      <c r="BT51" s="14" t="s">
        <v>437</v>
      </c>
      <c r="BU51" s="14"/>
      <c r="BV51" s="14"/>
      <c r="BW51" s="14"/>
      <c r="BX51" s="14"/>
    </row>
    <row r="52" spans="1:76">
      <c r="A52" s="6" t="s">
        <v>540</v>
      </c>
      <c r="C52" s="21" t="s">
        <v>488</v>
      </c>
      <c r="D52" s="6" t="s">
        <v>120</v>
      </c>
      <c r="E52" s="14" t="s">
        <v>764</v>
      </c>
      <c r="F52" s="14">
        <v>4</v>
      </c>
      <c r="G52" s="14">
        <v>16</v>
      </c>
      <c r="H52" s="62">
        <v>100</v>
      </c>
      <c r="I52" s="31">
        <v>0</v>
      </c>
      <c r="J52" s="14" t="s">
        <v>745</v>
      </c>
      <c r="K52" s="6" t="s">
        <v>746</v>
      </c>
      <c r="L52" s="14">
        <v>110</v>
      </c>
      <c r="M52" s="14"/>
      <c r="N52" s="14"/>
      <c r="O52" s="14"/>
      <c r="P52" s="14"/>
      <c r="Q52" s="14"/>
      <c r="R52" s="14"/>
      <c r="S52" s="14"/>
      <c r="T52" s="14"/>
      <c r="U52" s="14"/>
      <c r="V52" s="14"/>
      <c r="W52" s="14"/>
      <c r="X52" s="14"/>
      <c r="Y52" s="14"/>
      <c r="Z52" s="14"/>
      <c r="AA52" s="14"/>
      <c r="AB52" s="14"/>
      <c r="AC52" s="14"/>
      <c r="AD52" s="14"/>
      <c r="AE52" s="14"/>
      <c r="AF52" s="14"/>
      <c r="AG52" s="62">
        <f t="shared" si="2"/>
        <v>200</v>
      </c>
      <c r="AH52" s="14" t="s">
        <v>748</v>
      </c>
      <c r="AI52" s="6" t="s">
        <v>746</v>
      </c>
      <c r="AJ52" s="14" t="s">
        <v>742</v>
      </c>
      <c r="BM52" s="14">
        <v>4</v>
      </c>
      <c r="BN52" s="14" t="s">
        <v>437</v>
      </c>
      <c r="BO52" s="14"/>
      <c r="BP52" s="14"/>
      <c r="BQ52" s="14">
        <v>2</v>
      </c>
      <c r="BR52" s="14"/>
      <c r="BS52" s="14" t="s">
        <v>437</v>
      </c>
      <c r="BT52" s="14" t="s">
        <v>437</v>
      </c>
      <c r="BU52" s="14"/>
      <c r="BV52" s="14"/>
      <c r="BW52" s="14"/>
      <c r="BX52" s="14"/>
    </row>
    <row r="53" spans="1:76">
      <c r="A53" s="6" t="s">
        <v>623</v>
      </c>
      <c r="C53" s="21" t="s">
        <v>488</v>
      </c>
      <c r="D53" s="6" t="s">
        <v>120</v>
      </c>
      <c r="E53" s="14" t="s">
        <v>764</v>
      </c>
      <c r="F53" s="14">
        <v>4</v>
      </c>
      <c r="G53" s="14">
        <v>16</v>
      </c>
      <c r="H53" s="62">
        <v>100</v>
      </c>
      <c r="I53" s="31">
        <v>0</v>
      </c>
      <c r="J53" s="14" t="s">
        <v>745</v>
      </c>
      <c r="K53" s="6" t="s">
        <v>746</v>
      </c>
      <c r="L53" s="14">
        <v>110</v>
      </c>
      <c r="M53" s="14"/>
      <c r="N53" s="14"/>
      <c r="O53" s="14"/>
      <c r="P53" s="14"/>
      <c r="Q53" s="14"/>
      <c r="R53" s="14"/>
      <c r="S53" s="14"/>
      <c r="T53" s="14"/>
      <c r="U53" s="14"/>
      <c r="V53" s="14"/>
      <c r="W53" s="14"/>
      <c r="X53" s="14"/>
      <c r="Y53" s="14"/>
      <c r="Z53" s="14"/>
      <c r="AA53" s="14"/>
      <c r="AB53" s="14"/>
      <c r="AC53" s="14"/>
      <c r="AD53" s="14"/>
      <c r="AE53" s="14"/>
      <c r="AF53" s="14"/>
      <c r="AG53" s="62">
        <f t="shared" si="2"/>
        <v>200</v>
      </c>
      <c r="AH53" s="14" t="s">
        <v>748</v>
      </c>
      <c r="AI53" s="6" t="s">
        <v>746</v>
      </c>
      <c r="AJ53" s="14" t="s">
        <v>742</v>
      </c>
      <c r="BM53" s="14">
        <v>4</v>
      </c>
      <c r="BN53" s="14" t="s">
        <v>437</v>
      </c>
      <c r="BO53" s="14"/>
      <c r="BP53" s="14"/>
      <c r="BQ53" s="14">
        <v>2</v>
      </c>
      <c r="BR53" s="14"/>
      <c r="BS53" s="14" t="s">
        <v>437</v>
      </c>
      <c r="BT53" s="14" t="s">
        <v>437</v>
      </c>
      <c r="BU53" s="14"/>
      <c r="BV53" s="14"/>
      <c r="BW53" s="14"/>
      <c r="BX53" s="14"/>
    </row>
    <row r="54" spans="1:76">
      <c r="A54" s="6" t="s">
        <v>624</v>
      </c>
      <c r="C54" s="21" t="s">
        <v>488</v>
      </c>
      <c r="D54" s="6" t="s">
        <v>120</v>
      </c>
      <c r="E54" s="14" t="s">
        <v>764</v>
      </c>
      <c r="F54" s="14">
        <v>4</v>
      </c>
      <c r="G54" s="14">
        <v>16</v>
      </c>
      <c r="H54" s="62">
        <v>100</v>
      </c>
      <c r="I54" s="31">
        <v>0</v>
      </c>
      <c r="J54" s="14" t="s">
        <v>745</v>
      </c>
      <c r="K54" s="6" t="s">
        <v>746</v>
      </c>
      <c r="L54" s="14">
        <v>110</v>
      </c>
      <c r="M54" s="14"/>
      <c r="N54" s="14"/>
      <c r="O54" s="14"/>
      <c r="P54" s="14"/>
      <c r="Q54" s="14"/>
      <c r="R54" s="14"/>
      <c r="S54" s="14"/>
      <c r="T54" s="14"/>
      <c r="U54" s="14"/>
      <c r="V54" s="14"/>
      <c r="W54" s="14"/>
      <c r="X54" s="14"/>
      <c r="Y54" s="14"/>
      <c r="Z54" s="14"/>
      <c r="AA54" s="14"/>
      <c r="AB54" s="14"/>
      <c r="AC54" s="14"/>
      <c r="AD54" s="14"/>
      <c r="AE54" s="14"/>
      <c r="AF54" s="14"/>
      <c r="AG54" s="62">
        <f t="shared" si="2"/>
        <v>200</v>
      </c>
      <c r="AH54" s="14" t="s">
        <v>748</v>
      </c>
      <c r="AI54" s="6" t="s">
        <v>746</v>
      </c>
      <c r="AJ54" s="14" t="s">
        <v>742</v>
      </c>
      <c r="BM54" s="14">
        <v>4</v>
      </c>
      <c r="BN54" s="14" t="s">
        <v>437</v>
      </c>
      <c r="BO54" s="14"/>
      <c r="BP54" s="14"/>
      <c r="BQ54" s="14">
        <v>2</v>
      </c>
      <c r="BR54" s="14"/>
      <c r="BS54" s="14" t="s">
        <v>437</v>
      </c>
      <c r="BT54" s="14" t="s">
        <v>437</v>
      </c>
      <c r="BU54" s="14"/>
      <c r="BV54" s="14"/>
      <c r="BW54" s="14"/>
      <c r="BX54" s="14"/>
    </row>
    <row r="55" spans="1:76">
      <c r="A55" s="6" t="s">
        <v>541</v>
      </c>
      <c r="C55" s="21" t="s">
        <v>488</v>
      </c>
      <c r="D55" s="6" t="s">
        <v>116</v>
      </c>
      <c r="E55" s="14" t="s">
        <v>765</v>
      </c>
      <c r="F55" s="14">
        <v>4</v>
      </c>
      <c r="G55" s="14">
        <v>14</v>
      </c>
      <c r="H55" s="62">
        <v>120</v>
      </c>
      <c r="I55" s="31">
        <v>0</v>
      </c>
      <c r="J55" s="14" t="s">
        <v>745</v>
      </c>
      <c r="K55" s="6" t="s">
        <v>746</v>
      </c>
      <c r="L55" s="14">
        <v>100</v>
      </c>
      <c r="M55" s="14"/>
      <c r="N55" s="14"/>
      <c r="O55" s="14"/>
      <c r="P55" s="14"/>
      <c r="Q55" s="14"/>
      <c r="R55" s="14"/>
      <c r="S55" s="14"/>
      <c r="T55" s="14"/>
      <c r="U55" s="14"/>
      <c r="V55" s="14"/>
      <c r="W55" s="14"/>
      <c r="X55" s="14"/>
      <c r="Y55" s="14"/>
      <c r="Z55" s="14"/>
      <c r="AA55" s="14"/>
      <c r="AB55" s="14"/>
      <c r="AC55" s="14"/>
      <c r="AD55" s="14"/>
      <c r="AE55" s="14"/>
      <c r="AF55" s="14"/>
      <c r="AG55" s="62">
        <f t="shared" si="2"/>
        <v>240</v>
      </c>
      <c r="AH55" s="14" t="s">
        <v>748</v>
      </c>
      <c r="AI55" s="6" t="s">
        <v>746</v>
      </c>
      <c r="AJ55" s="14" t="s">
        <v>742</v>
      </c>
      <c r="BM55" s="14">
        <v>4</v>
      </c>
      <c r="BN55" s="14" t="s">
        <v>437</v>
      </c>
      <c r="BO55" s="14"/>
      <c r="BP55" s="14"/>
      <c r="BQ55" s="14">
        <v>2</v>
      </c>
      <c r="BR55" s="14"/>
      <c r="BS55" s="14" t="s">
        <v>437</v>
      </c>
      <c r="BT55" s="14" t="s">
        <v>437</v>
      </c>
      <c r="BU55" s="14"/>
      <c r="BV55" s="14"/>
      <c r="BW55" s="14"/>
      <c r="BX55" s="14"/>
    </row>
    <row r="56" spans="1:76">
      <c r="A56" s="6" t="s">
        <v>492</v>
      </c>
      <c r="C56" s="6" t="s">
        <v>435</v>
      </c>
      <c r="D56" s="6" t="s">
        <v>55</v>
      </c>
      <c r="E56" s="14" t="s">
        <v>775</v>
      </c>
      <c r="F56" s="14">
        <v>3</v>
      </c>
      <c r="G56" s="14">
        <v>10</v>
      </c>
      <c r="H56" s="62">
        <v>120</v>
      </c>
      <c r="I56" s="31">
        <v>16</v>
      </c>
      <c r="J56" s="14" t="s">
        <v>748</v>
      </c>
      <c r="K56" s="6" t="s">
        <v>746</v>
      </c>
      <c r="L56" s="14">
        <v>2.6</v>
      </c>
      <c r="M56" s="14"/>
      <c r="N56" s="14"/>
      <c r="O56" s="14"/>
      <c r="P56" s="14"/>
      <c r="Q56" s="14"/>
      <c r="R56" s="14"/>
      <c r="S56" s="14"/>
      <c r="T56" s="14"/>
      <c r="U56" s="14"/>
      <c r="V56" s="14"/>
      <c r="W56" s="14"/>
      <c r="X56" s="14"/>
      <c r="Y56" s="14"/>
      <c r="Z56" s="14"/>
      <c r="AA56" s="14"/>
      <c r="AB56" s="14"/>
      <c r="AC56" s="14"/>
      <c r="AD56" s="14"/>
      <c r="AE56" s="14"/>
      <c r="AF56" s="14"/>
      <c r="AG56" s="62">
        <f t="shared" si="2"/>
        <v>240</v>
      </c>
      <c r="AH56" s="14" t="s">
        <v>748</v>
      </c>
      <c r="AI56" s="6" t="s">
        <v>746</v>
      </c>
      <c r="AJ56" s="14" t="s">
        <v>742</v>
      </c>
      <c r="BM56" s="14">
        <v>2</v>
      </c>
      <c r="BN56" s="14" t="s">
        <v>437</v>
      </c>
      <c r="BO56" s="14"/>
      <c r="BP56" s="14"/>
      <c r="BQ56" s="14">
        <v>2</v>
      </c>
      <c r="BR56" s="14"/>
      <c r="BS56" s="14" t="s">
        <v>437</v>
      </c>
      <c r="BT56" s="14" t="s">
        <v>437</v>
      </c>
      <c r="BU56" s="14"/>
      <c r="BV56" s="14"/>
      <c r="BW56" s="14"/>
      <c r="BX56" s="14"/>
    </row>
    <row r="57" spans="1:76">
      <c r="A57" s="6" t="s">
        <v>493</v>
      </c>
      <c r="C57" s="6" t="s">
        <v>435</v>
      </c>
      <c r="D57" s="6" t="s">
        <v>55</v>
      </c>
      <c r="E57" s="14" t="s">
        <v>775</v>
      </c>
      <c r="F57" s="14">
        <v>3</v>
      </c>
      <c r="G57" s="14">
        <v>10</v>
      </c>
      <c r="H57" s="62">
        <v>120</v>
      </c>
      <c r="I57" s="31">
        <v>16</v>
      </c>
      <c r="J57" s="14" t="s">
        <v>748</v>
      </c>
      <c r="K57" s="6" t="s">
        <v>746</v>
      </c>
      <c r="L57" s="14">
        <v>2.6</v>
      </c>
      <c r="M57" s="14"/>
      <c r="N57" s="14"/>
      <c r="O57" s="14"/>
      <c r="P57" s="14"/>
      <c r="Q57" s="14"/>
      <c r="R57" s="14"/>
      <c r="S57" s="14"/>
      <c r="T57" s="14"/>
      <c r="U57" s="14"/>
      <c r="V57" s="14"/>
      <c r="W57" s="14"/>
      <c r="X57" s="14"/>
      <c r="Y57" s="14"/>
      <c r="Z57" s="14"/>
      <c r="AA57" s="14"/>
      <c r="AB57" s="14"/>
      <c r="AC57" s="14"/>
      <c r="AD57" s="14"/>
      <c r="AE57" s="14"/>
      <c r="AF57" s="14"/>
      <c r="AG57" s="62">
        <f t="shared" si="2"/>
        <v>240</v>
      </c>
      <c r="AH57" s="14" t="s">
        <v>748</v>
      </c>
      <c r="AI57" s="6" t="s">
        <v>746</v>
      </c>
      <c r="AJ57" s="14" t="s">
        <v>742</v>
      </c>
      <c r="BM57" s="14">
        <v>2</v>
      </c>
      <c r="BN57" s="14" t="s">
        <v>437</v>
      </c>
      <c r="BO57" s="14"/>
      <c r="BP57" s="14"/>
      <c r="BQ57" s="14">
        <v>2</v>
      </c>
      <c r="BR57" s="14"/>
      <c r="BS57" s="14" t="s">
        <v>437</v>
      </c>
      <c r="BT57" s="14" t="s">
        <v>437</v>
      </c>
      <c r="BU57" s="14"/>
      <c r="BV57" s="14"/>
      <c r="BW57" s="14"/>
      <c r="BX57" s="14"/>
    </row>
    <row r="58" spans="1:76">
      <c r="A58" s="6" t="s">
        <v>625</v>
      </c>
      <c r="C58" s="6" t="s">
        <v>435</v>
      </c>
      <c r="D58" s="6" t="s">
        <v>55</v>
      </c>
      <c r="E58" s="14" t="s">
        <v>775</v>
      </c>
      <c r="F58" s="14">
        <v>3</v>
      </c>
      <c r="G58" s="14">
        <v>10</v>
      </c>
      <c r="H58" s="62">
        <v>120</v>
      </c>
      <c r="I58" s="31">
        <v>16</v>
      </c>
      <c r="J58" s="14" t="s">
        <v>748</v>
      </c>
      <c r="K58" s="6" t="s">
        <v>746</v>
      </c>
      <c r="L58" s="14">
        <v>2.6</v>
      </c>
      <c r="M58" s="14"/>
      <c r="N58" s="14"/>
      <c r="O58" s="14"/>
      <c r="P58" s="14"/>
      <c r="Q58" s="14"/>
      <c r="R58" s="14"/>
      <c r="S58" s="14"/>
      <c r="T58" s="14"/>
      <c r="U58" s="14"/>
      <c r="V58" s="14"/>
      <c r="W58" s="14"/>
      <c r="X58" s="14"/>
      <c r="Y58" s="14"/>
      <c r="Z58" s="14"/>
      <c r="AA58" s="14"/>
      <c r="AB58" s="14"/>
      <c r="AC58" s="14"/>
      <c r="AD58" s="14"/>
      <c r="AE58" s="14"/>
      <c r="AF58" s="14"/>
      <c r="AG58" s="62">
        <f t="shared" si="2"/>
        <v>240</v>
      </c>
      <c r="AH58" s="14" t="s">
        <v>748</v>
      </c>
      <c r="AI58" s="6" t="s">
        <v>746</v>
      </c>
      <c r="AJ58" s="14" t="s">
        <v>742</v>
      </c>
      <c r="BM58" s="14">
        <v>2</v>
      </c>
      <c r="BN58" s="14" t="s">
        <v>437</v>
      </c>
      <c r="BO58" s="14"/>
      <c r="BP58" s="14"/>
      <c r="BQ58" s="14">
        <v>2</v>
      </c>
      <c r="BR58" s="14"/>
      <c r="BS58" s="14" t="s">
        <v>437</v>
      </c>
      <c r="BT58" s="14" t="s">
        <v>437</v>
      </c>
      <c r="BU58" s="14"/>
      <c r="BV58" s="14"/>
      <c r="BW58" s="14"/>
      <c r="BX58" s="14"/>
    </row>
    <row r="59" spans="1:76">
      <c r="A59" s="6" t="s">
        <v>626</v>
      </c>
      <c r="C59" s="6" t="s">
        <v>435</v>
      </c>
      <c r="D59" s="6" t="s">
        <v>55</v>
      </c>
      <c r="E59" s="14" t="s">
        <v>775</v>
      </c>
      <c r="F59" s="14">
        <v>3</v>
      </c>
      <c r="G59" s="14">
        <v>10</v>
      </c>
      <c r="H59" s="62">
        <v>120</v>
      </c>
      <c r="I59" s="31">
        <v>16</v>
      </c>
      <c r="J59" s="14" t="s">
        <v>748</v>
      </c>
      <c r="K59" s="6" t="s">
        <v>746</v>
      </c>
      <c r="L59" s="14">
        <v>2.6</v>
      </c>
      <c r="M59" s="14"/>
      <c r="N59" s="14"/>
      <c r="O59" s="14"/>
      <c r="P59" s="14"/>
      <c r="Q59" s="14"/>
      <c r="R59" s="14"/>
      <c r="S59" s="14"/>
      <c r="T59" s="14"/>
      <c r="U59" s="14"/>
      <c r="V59" s="14"/>
      <c r="W59" s="14"/>
      <c r="X59" s="14"/>
      <c r="Y59" s="14"/>
      <c r="Z59" s="14"/>
      <c r="AA59" s="14"/>
      <c r="AB59" s="14"/>
      <c r="AC59" s="14"/>
      <c r="AD59" s="14"/>
      <c r="AE59" s="14"/>
      <c r="AF59" s="14"/>
      <c r="AG59" s="62">
        <f t="shared" si="2"/>
        <v>240</v>
      </c>
      <c r="AH59" s="14" t="s">
        <v>748</v>
      </c>
      <c r="AI59" s="6" t="s">
        <v>746</v>
      </c>
      <c r="AJ59" s="14" t="s">
        <v>742</v>
      </c>
      <c r="BM59" s="14">
        <v>2</v>
      </c>
      <c r="BN59" s="14" t="s">
        <v>437</v>
      </c>
      <c r="BO59" s="14"/>
      <c r="BP59" s="14"/>
      <c r="BQ59" s="14">
        <v>2</v>
      </c>
      <c r="BR59" s="14"/>
      <c r="BS59" s="14" t="s">
        <v>437</v>
      </c>
      <c r="BT59" s="14" t="s">
        <v>437</v>
      </c>
      <c r="BU59" s="14"/>
      <c r="BV59" s="14"/>
      <c r="BW59" s="14"/>
      <c r="BX59" s="14"/>
    </row>
    <row r="60" spans="1:76">
      <c r="A60" s="6" t="s">
        <v>494</v>
      </c>
      <c r="C60" s="6" t="s">
        <v>435</v>
      </c>
      <c r="D60" s="6" t="s">
        <v>71</v>
      </c>
      <c r="E60" s="14" t="s">
        <v>776</v>
      </c>
      <c r="F60" s="14">
        <v>4</v>
      </c>
      <c r="G60" s="14">
        <v>4</v>
      </c>
      <c r="H60" s="62">
        <v>40</v>
      </c>
      <c r="I60" s="31">
        <v>4</v>
      </c>
      <c r="J60" s="14" t="s">
        <v>748</v>
      </c>
      <c r="K60" s="6" t="s">
        <v>746</v>
      </c>
      <c r="L60" s="14">
        <v>100</v>
      </c>
      <c r="M60" s="14"/>
      <c r="N60" s="14"/>
      <c r="O60" s="14"/>
      <c r="P60" s="14"/>
      <c r="Q60" s="14"/>
      <c r="R60" s="14"/>
      <c r="S60" s="14"/>
      <c r="T60" s="14"/>
      <c r="U60" s="14"/>
      <c r="V60" s="14"/>
      <c r="W60" s="14"/>
      <c r="X60" s="14"/>
      <c r="Y60" s="14"/>
      <c r="Z60" s="14"/>
      <c r="AA60" s="14"/>
      <c r="AB60" s="14"/>
      <c r="AC60" s="14"/>
      <c r="AD60" s="14"/>
      <c r="AE60" s="14"/>
      <c r="AF60" s="14"/>
      <c r="AG60" s="62">
        <f t="shared" si="2"/>
        <v>80</v>
      </c>
      <c r="AH60" s="14" t="s">
        <v>748</v>
      </c>
      <c r="AI60" s="6" t="s">
        <v>746</v>
      </c>
      <c r="AJ60" s="14" t="s">
        <v>742</v>
      </c>
      <c r="BM60" s="14">
        <v>2</v>
      </c>
      <c r="BN60" s="14" t="s">
        <v>437</v>
      </c>
      <c r="BO60" s="14"/>
      <c r="BP60" s="14"/>
      <c r="BQ60" s="14">
        <v>2</v>
      </c>
      <c r="BR60" s="14"/>
      <c r="BS60" s="14" t="s">
        <v>437</v>
      </c>
      <c r="BT60" s="14" t="s">
        <v>437</v>
      </c>
      <c r="BU60" s="14"/>
      <c r="BV60" s="14"/>
      <c r="BW60" s="14"/>
      <c r="BX60" s="14"/>
    </row>
    <row r="61" spans="1:76">
      <c r="A61" s="6" t="s">
        <v>495</v>
      </c>
      <c r="C61" s="6" t="s">
        <v>435</v>
      </c>
      <c r="D61" s="6" t="s">
        <v>63</v>
      </c>
      <c r="E61" s="14" t="s">
        <v>776</v>
      </c>
      <c r="F61" s="14">
        <v>4</v>
      </c>
      <c r="G61" s="14">
        <v>4</v>
      </c>
      <c r="H61" s="62">
        <v>30</v>
      </c>
      <c r="I61" s="31">
        <v>4</v>
      </c>
      <c r="J61" s="14" t="s">
        <v>748</v>
      </c>
      <c r="K61" s="6" t="s">
        <v>746</v>
      </c>
      <c r="L61" s="14">
        <v>100</v>
      </c>
      <c r="M61" s="14"/>
      <c r="N61" s="14"/>
      <c r="O61" s="14"/>
      <c r="P61" s="14"/>
      <c r="Q61" s="14"/>
      <c r="R61" s="14"/>
      <c r="S61" s="14"/>
      <c r="T61" s="14"/>
      <c r="U61" s="14"/>
      <c r="V61" s="14"/>
      <c r="W61" s="14"/>
      <c r="X61" s="14"/>
      <c r="Y61" s="14"/>
      <c r="Z61" s="14"/>
      <c r="AA61" s="14"/>
      <c r="AB61" s="14"/>
      <c r="AC61" s="14"/>
      <c r="AD61" s="14"/>
      <c r="AE61" s="14"/>
      <c r="AF61" s="14"/>
      <c r="AG61" s="62">
        <f t="shared" si="2"/>
        <v>60</v>
      </c>
      <c r="AH61" s="14" t="s">
        <v>748</v>
      </c>
      <c r="AI61" s="6" t="s">
        <v>746</v>
      </c>
      <c r="AJ61" s="14" t="s">
        <v>742</v>
      </c>
      <c r="BM61" s="14">
        <v>2</v>
      </c>
      <c r="BN61" s="14" t="s">
        <v>437</v>
      </c>
      <c r="BO61" s="14"/>
      <c r="BP61" s="14"/>
      <c r="BQ61" s="14">
        <v>2</v>
      </c>
      <c r="BR61" s="14"/>
      <c r="BS61" s="14" t="s">
        <v>437</v>
      </c>
      <c r="BT61" s="14" t="s">
        <v>437</v>
      </c>
      <c r="BU61" s="14"/>
      <c r="BV61" s="14"/>
      <c r="BW61" s="14"/>
      <c r="BX61" s="14"/>
    </row>
    <row r="62" spans="1:76">
      <c r="A62" s="6" t="s">
        <v>496</v>
      </c>
      <c r="C62" s="6" t="s">
        <v>435</v>
      </c>
      <c r="D62" s="6" t="s">
        <v>67</v>
      </c>
      <c r="E62" s="14" t="s">
        <v>776</v>
      </c>
      <c r="F62" s="14">
        <v>4</v>
      </c>
      <c r="G62" s="14">
        <v>4</v>
      </c>
      <c r="H62" s="62">
        <v>35</v>
      </c>
      <c r="I62" s="31">
        <v>4</v>
      </c>
      <c r="J62" s="14" t="s">
        <v>748</v>
      </c>
      <c r="K62" s="6" t="s">
        <v>746</v>
      </c>
      <c r="L62" s="14">
        <v>2.6</v>
      </c>
      <c r="M62" s="14"/>
      <c r="N62" s="14"/>
      <c r="O62" s="14"/>
      <c r="P62" s="14"/>
      <c r="Q62" s="14"/>
      <c r="R62" s="14"/>
      <c r="S62" s="14"/>
      <c r="T62" s="14"/>
      <c r="U62" s="14"/>
      <c r="V62" s="14"/>
      <c r="W62" s="14"/>
      <c r="X62" s="14"/>
      <c r="Y62" s="14"/>
      <c r="Z62" s="14"/>
      <c r="AA62" s="14"/>
      <c r="AB62" s="14"/>
      <c r="AC62" s="14"/>
      <c r="AD62" s="14"/>
      <c r="AE62" s="14"/>
      <c r="AF62" s="14"/>
      <c r="AG62" s="62">
        <f t="shared" si="2"/>
        <v>70</v>
      </c>
      <c r="AH62" s="14" t="s">
        <v>748</v>
      </c>
      <c r="AI62" s="6" t="s">
        <v>746</v>
      </c>
      <c r="AJ62" s="14" t="s">
        <v>742</v>
      </c>
      <c r="BM62" s="14">
        <v>2</v>
      </c>
      <c r="BN62" s="14" t="s">
        <v>437</v>
      </c>
      <c r="BO62" s="14"/>
      <c r="BP62" s="14"/>
      <c r="BQ62" s="14">
        <v>2</v>
      </c>
      <c r="BR62" s="14"/>
      <c r="BS62" s="14" t="s">
        <v>437</v>
      </c>
      <c r="BT62" s="14" t="s">
        <v>437</v>
      </c>
      <c r="BU62" s="14"/>
      <c r="BV62" s="14"/>
      <c r="BW62" s="14"/>
      <c r="BX62" s="14"/>
    </row>
    <row r="63" spans="1:76" ht="14.45">
      <c r="A63" s="6" t="s">
        <v>497</v>
      </c>
      <c r="C63" s="6" t="s">
        <v>435</v>
      </c>
      <c r="D63" s="6" t="s">
        <v>276</v>
      </c>
      <c r="E63" s="14" t="s">
        <v>777</v>
      </c>
      <c r="F63" s="14">
        <v>5</v>
      </c>
      <c r="G63" s="14">
        <v>6</v>
      </c>
      <c r="H63" s="62">
        <v>110</v>
      </c>
      <c r="I63" s="31">
        <v>4</v>
      </c>
      <c r="J63" s="14" t="s">
        <v>748</v>
      </c>
      <c r="K63" s="6" t="s">
        <v>746</v>
      </c>
      <c r="L63" s="14">
        <v>2.6</v>
      </c>
      <c r="M63" s="14"/>
      <c r="N63" s="14"/>
      <c r="O63" s="14"/>
      <c r="P63" s="14"/>
      <c r="Q63" s="2"/>
      <c r="R63" s="2"/>
      <c r="S63" s="2"/>
      <c r="T63" s="2"/>
      <c r="U63" s="14"/>
      <c r="V63" s="14"/>
      <c r="W63" s="14"/>
      <c r="X63" s="14"/>
      <c r="Y63" s="14"/>
      <c r="Z63" s="14"/>
      <c r="AA63" s="14"/>
      <c r="AB63" s="14"/>
      <c r="AC63" s="14"/>
      <c r="AD63" s="14"/>
      <c r="AE63" s="14"/>
      <c r="AF63" s="14"/>
      <c r="AG63" s="62">
        <f t="shared" si="2"/>
        <v>220</v>
      </c>
      <c r="AH63" s="14" t="s">
        <v>748</v>
      </c>
      <c r="AI63" s="6" t="s">
        <v>746</v>
      </c>
      <c r="AJ63" s="14" t="s">
        <v>742</v>
      </c>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v>2</v>
      </c>
      <c r="BN63" s="14" t="s">
        <v>437</v>
      </c>
      <c r="BO63" s="14" t="s">
        <v>437</v>
      </c>
      <c r="BP63" s="14"/>
      <c r="BQ63" s="14">
        <v>2</v>
      </c>
      <c r="BR63" s="14"/>
      <c r="BS63" s="14" t="s">
        <v>437</v>
      </c>
      <c r="BT63" s="14" t="s">
        <v>437</v>
      </c>
      <c r="BU63" s="14"/>
      <c r="BV63" s="14"/>
      <c r="BW63" s="14"/>
      <c r="BX63" s="14"/>
    </row>
    <row r="64" spans="1:76" ht="14.45">
      <c r="A64" s="6" t="s">
        <v>542</v>
      </c>
      <c r="C64" s="6" t="s">
        <v>435</v>
      </c>
      <c r="D64" s="6" t="s">
        <v>90</v>
      </c>
      <c r="E64" s="14" t="s">
        <v>778</v>
      </c>
      <c r="F64" s="14">
        <v>2</v>
      </c>
      <c r="G64" s="14">
        <v>2</v>
      </c>
      <c r="H64" s="62">
        <v>15</v>
      </c>
      <c r="I64" s="31">
        <v>4</v>
      </c>
      <c r="J64" s="14" t="s">
        <v>748</v>
      </c>
      <c r="K64" s="6" t="s">
        <v>746</v>
      </c>
      <c r="L64" s="14">
        <v>2.6</v>
      </c>
      <c r="M64" s="14"/>
      <c r="N64" s="14"/>
      <c r="O64" s="14"/>
      <c r="P64" s="14"/>
      <c r="Q64" s="2"/>
      <c r="R64" s="2"/>
      <c r="S64" s="2"/>
      <c r="T64" s="2"/>
      <c r="U64" s="14"/>
      <c r="V64" s="14"/>
      <c r="W64" s="14"/>
      <c r="X64" s="14"/>
      <c r="Y64" s="14"/>
      <c r="Z64" s="14"/>
      <c r="AA64" s="14"/>
      <c r="AB64" s="14"/>
      <c r="AC64" s="14"/>
      <c r="AD64" s="14"/>
      <c r="AE64" s="14"/>
      <c r="AF64" s="14"/>
      <c r="AG64" s="62">
        <f t="shared" si="2"/>
        <v>30</v>
      </c>
      <c r="AH64" s="14" t="s">
        <v>748</v>
      </c>
      <c r="AI64" s="6" t="s">
        <v>746</v>
      </c>
      <c r="AJ64" s="14" t="s">
        <v>742</v>
      </c>
      <c r="BM64" s="14">
        <v>2</v>
      </c>
      <c r="BN64" s="14" t="s">
        <v>437</v>
      </c>
      <c r="BO64" s="14"/>
      <c r="BP64" s="14"/>
      <c r="BQ64" s="14">
        <v>2</v>
      </c>
      <c r="BR64" s="14"/>
      <c r="BS64" s="14" t="s">
        <v>437</v>
      </c>
      <c r="BT64" s="14" t="s">
        <v>437</v>
      </c>
      <c r="BU64" s="14"/>
      <c r="BV64" s="14"/>
      <c r="BW64" s="14"/>
    </row>
    <row r="65" spans="1:76" ht="14.45">
      <c r="A65" s="6" t="s">
        <v>543</v>
      </c>
      <c r="C65" s="6" t="s">
        <v>435</v>
      </c>
      <c r="D65" s="6" t="s">
        <v>90</v>
      </c>
      <c r="E65" s="14" t="s">
        <v>778</v>
      </c>
      <c r="F65" s="14">
        <v>2</v>
      </c>
      <c r="G65" s="14">
        <v>2</v>
      </c>
      <c r="H65" s="62">
        <v>15</v>
      </c>
      <c r="I65" s="31">
        <v>4</v>
      </c>
      <c r="J65" s="14" t="s">
        <v>748</v>
      </c>
      <c r="K65" s="6" t="s">
        <v>746</v>
      </c>
      <c r="L65" s="14">
        <v>2.6</v>
      </c>
      <c r="M65" s="14"/>
      <c r="N65" s="14"/>
      <c r="O65" s="14"/>
      <c r="P65" s="14"/>
      <c r="Q65" s="2"/>
      <c r="R65" s="2"/>
      <c r="S65" s="2"/>
      <c r="T65" s="2"/>
      <c r="U65" s="14"/>
      <c r="V65" s="14"/>
      <c r="W65" s="14"/>
      <c r="X65" s="14"/>
      <c r="Y65" s="14"/>
      <c r="Z65" s="14"/>
      <c r="AA65" s="14"/>
      <c r="AB65" s="14"/>
      <c r="AC65" s="14"/>
      <c r="AD65" s="14"/>
      <c r="AE65" s="14"/>
      <c r="AF65" s="14"/>
      <c r="AG65" s="62">
        <f t="shared" si="2"/>
        <v>30</v>
      </c>
      <c r="AH65" s="14" t="s">
        <v>748</v>
      </c>
      <c r="AI65" s="6" t="s">
        <v>746</v>
      </c>
      <c r="AJ65" s="14" t="s">
        <v>742</v>
      </c>
      <c r="BM65" s="14">
        <v>2</v>
      </c>
      <c r="BN65" s="14" t="s">
        <v>437</v>
      </c>
      <c r="BO65" s="14"/>
      <c r="BP65" s="14"/>
      <c r="BQ65" s="14">
        <v>2</v>
      </c>
      <c r="BR65" s="14"/>
      <c r="BS65" s="14" t="s">
        <v>437</v>
      </c>
      <c r="BT65" s="14" t="s">
        <v>437</v>
      </c>
      <c r="BU65" s="14"/>
      <c r="BV65" s="14"/>
      <c r="BW65" s="14"/>
    </row>
    <row r="66" spans="1:76" ht="14.45">
      <c r="A66" s="6" t="s">
        <v>544</v>
      </c>
      <c r="C66" s="6" t="s">
        <v>435</v>
      </c>
      <c r="D66" s="6" t="s">
        <v>94</v>
      </c>
      <c r="E66" s="14" t="s">
        <v>794</v>
      </c>
      <c r="F66" s="14">
        <v>6</v>
      </c>
      <c r="G66" s="14">
        <v>5</v>
      </c>
      <c r="H66" s="62">
        <v>40</v>
      </c>
      <c r="I66" s="31">
        <v>4</v>
      </c>
      <c r="J66" s="14" t="s">
        <v>748</v>
      </c>
      <c r="K66" s="6" t="s">
        <v>746</v>
      </c>
      <c r="L66" s="14">
        <v>2.6</v>
      </c>
      <c r="M66" s="14"/>
      <c r="N66" s="14"/>
      <c r="O66" s="14"/>
      <c r="P66" s="14"/>
      <c r="Q66" s="2"/>
      <c r="R66" s="2"/>
      <c r="S66" s="2"/>
      <c r="T66" s="2"/>
      <c r="U66" s="14"/>
      <c r="V66" s="14"/>
      <c r="W66" s="14"/>
      <c r="X66" s="14"/>
      <c r="Y66" s="14"/>
      <c r="Z66" s="14"/>
      <c r="AA66" s="14"/>
      <c r="AB66" s="14"/>
      <c r="AC66" s="14"/>
      <c r="AD66" s="14"/>
      <c r="AE66" s="14"/>
      <c r="AF66" s="14"/>
      <c r="AG66" s="62">
        <f t="shared" si="2"/>
        <v>80</v>
      </c>
      <c r="AH66" s="14" t="s">
        <v>748</v>
      </c>
      <c r="AI66" s="6" t="s">
        <v>746</v>
      </c>
      <c r="AJ66" s="14" t="s">
        <v>742</v>
      </c>
      <c r="BM66" s="14">
        <v>2</v>
      </c>
      <c r="BN66" s="14" t="s">
        <v>437</v>
      </c>
      <c r="BO66" s="14"/>
      <c r="BP66" s="14"/>
      <c r="BQ66" s="14">
        <v>2</v>
      </c>
      <c r="BR66" s="14"/>
      <c r="BS66" s="14" t="s">
        <v>437</v>
      </c>
      <c r="BT66" s="14" t="s">
        <v>437</v>
      </c>
      <c r="BU66" s="14"/>
      <c r="BV66" s="14"/>
      <c r="BW66" s="14"/>
    </row>
    <row r="67" spans="1:76" ht="14.45">
      <c r="A67" s="6" t="s">
        <v>545</v>
      </c>
      <c r="C67" s="6" t="s">
        <v>435</v>
      </c>
      <c r="D67" s="6" t="s">
        <v>98</v>
      </c>
      <c r="E67" s="14" t="s">
        <v>780</v>
      </c>
      <c r="F67" s="14">
        <v>2</v>
      </c>
      <c r="G67" s="14">
        <v>2</v>
      </c>
      <c r="H67" s="62">
        <v>30</v>
      </c>
      <c r="I67" s="31">
        <v>4</v>
      </c>
      <c r="J67" s="14" t="s">
        <v>748</v>
      </c>
      <c r="K67" s="6" t="s">
        <v>746</v>
      </c>
      <c r="L67" s="14">
        <v>2.6</v>
      </c>
      <c r="M67" s="14"/>
      <c r="N67" s="14"/>
      <c r="O67" s="14"/>
      <c r="P67" s="14"/>
      <c r="Q67" s="2"/>
      <c r="R67" s="2"/>
      <c r="S67" s="2"/>
      <c r="T67" s="2"/>
      <c r="U67" s="14"/>
      <c r="V67" s="14"/>
      <c r="W67" s="14"/>
      <c r="X67" s="14"/>
      <c r="Y67" s="14"/>
      <c r="Z67" s="14"/>
      <c r="AA67" s="14"/>
      <c r="AB67" s="14"/>
      <c r="AC67" s="14"/>
      <c r="AD67" s="14"/>
      <c r="AE67" s="14"/>
      <c r="AF67" s="14"/>
      <c r="AG67" s="62">
        <f t="shared" si="2"/>
        <v>60</v>
      </c>
      <c r="AH67" s="14" t="s">
        <v>748</v>
      </c>
      <c r="AI67" s="6" t="s">
        <v>746</v>
      </c>
      <c r="AJ67" s="14" t="s">
        <v>742</v>
      </c>
      <c r="BM67" s="14">
        <v>2</v>
      </c>
      <c r="BN67" s="14" t="s">
        <v>437</v>
      </c>
      <c r="BO67" s="14"/>
      <c r="BP67" s="14"/>
      <c r="BQ67" s="14">
        <v>2</v>
      </c>
      <c r="BR67" s="14"/>
      <c r="BS67" s="14" t="s">
        <v>437</v>
      </c>
      <c r="BT67" s="14" t="s">
        <v>437</v>
      </c>
      <c r="BU67" s="14"/>
      <c r="BV67" s="14"/>
      <c r="BW67" s="14"/>
    </row>
    <row r="68" spans="1:76" ht="14.45">
      <c r="A68" s="6" t="s">
        <v>551</v>
      </c>
      <c r="C68" s="6" t="s">
        <v>435</v>
      </c>
      <c r="D68" s="6" t="s">
        <v>122</v>
      </c>
      <c r="E68" s="14" t="s">
        <v>781</v>
      </c>
      <c r="F68" s="14">
        <v>2</v>
      </c>
      <c r="G68" s="14">
        <v>10</v>
      </c>
      <c r="H68" s="62">
        <v>60</v>
      </c>
      <c r="I68" s="31">
        <v>16</v>
      </c>
      <c r="J68" s="14" t="s">
        <v>748</v>
      </c>
      <c r="K68" s="6" t="s">
        <v>746</v>
      </c>
      <c r="L68" s="14">
        <v>2.6</v>
      </c>
      <c r="M68" s="14"/>
      <c r="N68" s="14"/>
      <c r="O68" s="14"/>
      <c r="P68" s="14"/>
      <c r="Q68" s="2"/>
      <c r="R68" s="2"/>
      <c r="S68" s="2"/>
      <c r="T68" s="2"/>
      <c r="U68" s="14"/>
      <c r="V68" s="14"/>
      <c r="W68" s="14"/>
      <c r="X68" s="14"/>
      <c r="Y68" s="14"/>
      <c r="Z68" s="14"/>
      <c r="AA68" s="14"/>
      <c r="AB68" s="14"/>
      <c r="AC68" s="14"/>
      <c r="AD68" s="14"/>
      <c r="AE68" s="14"/>
      <c r="AF68" s="14"/>
      <c r="AG68" s="62">
        <f t="shared" si="2"/>
        <v>120</v>
      </c>
      <c r="AH68" s="14" t="s">
        <v>748</v>
      </c>
      <c r="AI68" s="6" t="s">
        <v>746</v>
      </c>
      <c r="AJ68" s="14" t="s">
        <v>742</v>
      </c>
      <c r="BM68" s="14">
        <v>2</v>
      </c>
      <c r="BN68" s="14" t="s">
        <v>437</v>
      </c>
      <c r="BO68" s="14"/>
      <c r="BP68" s="14"/>
      <c r="BQ68" s="14">
        <v>2</v>
      </c>
      <c r="BR68" s="14"/>
      <c r="BS68" s="14" t="s">
        <v>437</v>
      </c>
      <c r="BT68" s="14" t="s">
        <v>437</v>
      </c>
      <c r="BU68" s="14"/>
      <c r="BV68" s="14"/>
      <c r="BW68" s="14"/>
    </row>
    <row r="69" spans="1:76" ht="14.45">
      <c r="A69" s="6" t="s">
        <v>480</v>
      </c>
      <c r="C69" s="6" t="s">
        <v>435</v>
      </c>
      <c r="D69" s="6" t="s">
        <v>506</v>
      </c>
      <c r="E69" s="14" t="s">
        <v>772</v>
      </c>
      <c r="F69" s="14">
        <v>2</v>
      </c>
      <c r="G69" s="14">
        <v>2</v>
      </c>
      <c r="H69" s="62">
        <v>50</v>
      </c>
      <c r="I69" s="31">
        <v>16</v>
      </c>
      <c r="J69" s="14" t="s">
        <v>748</v>
      </c>
      <c r="K69" s="6" t="s">
        <v>746</v>
      </c>
      <c r="L69" s="14">
        <v>2.6</v>
      </c>
      <c r="M69" s="14"/>
      <c r="N69" s="14"/>
      <c r="O69" s="14"/>
      <c r="P69" s="14"/>
      <c r="Q69" s="2"/>
      <c r="R69" s="2"/>
      <c r="S69" s="2"/>
      <c r="T69" s="2"/>
      <c r="U69" s="14"/>
      <c r="V69" s="14"/>
      <c r="W69" s="14"/>
      <c r="X69" s="14"/>
      <c r="Y69" s="14"/>
      <c r="Z69" s="14"/>
      <c r="AA69" s="14"/>
      <c r="AB69" s="14"/>
      <c r="AC69" s="14"/>
      <c r="AD69" s="14"/>
      <c r="AE69" s="14"/>
      <c r="AF69" s="14"/>
      <c r="AG69" s="62">
        <f t="shared" si="2"/>
        <v>100</v>
      </c>
      <c r="AH69" s="14" t="s">
        <v>748</v>
      </c>
      <c r="AI69" s="6" t="s">
        <v>746</v>
      </c>
      <c r="AJ69" s="14" t="s">
        <v>742</v>
      </c>
      <c r="BA69" s="14"/>
      <c r="BB69" s="14"/>
      <c r="BC69" s="14"/>
      <c r="BD69" s="14"/>
      <c r="BM69" s="14">
        <v>2</v>
      </c>
      <c r="BN69" s="14" t="s">
        <v>437</v>
      </c>
      <c r="BO69" s="14"/>
      <c r="BP69" s="14"/>
      <c r="BQ69" s="14">
        <v>2</v>
      </c>
      <c r="BR69" s="14"/>
      <c r="BS69" s="14" t="s">
        <v>437</v>
      </c>
      <c r="BT69" s="14" t="s">
        <v>437</v>
      </c>
      <c r="BU69" s="14"/>
      <c r="BV69" s="14"/>
      <c r="BW69" s="14"/>
    </row>
    <row r="70" spans="1:76" s="19" customFormat="1" ht="14.45">
      <c r="A70" s="19" t="s">
        <v>476</v>
      </c>
      <c r="C70" s="19" t="s">
        <v>435</v>
      </c>
      <c r="D70" s="19" t="s">
        <v>507</v>
      </c>
      <c r="E70" s="17" t="s">
        <v>771</v>
      </c>
      <c r="F70" s="17">
        <v>2</v>
      </c>
      <c r="G70" s="17">
        <v>2</v>
      </c>
      <c r="H70" s="68">
        <v>50</v>
      </c>
      <c r="I70" s="80">
        <v>2</v>
      </c>
      <c r="J70" s="17" t="s">
        <v>748</v>
      </c>
      <c r="K70" s="19" t="s">
        <v>746</v>
      </c>
      <c r="L70" s="17">
        <v>2.6</v>
      </c>
      <c r="M70" s="17"/>
      <c r="N70" s="17"/>
      <c r="O70" s="17"/>
      <c r="P70" s="17"/>
      <c r="Q70" s="99"/>
      <c r="R70" s="99"/>
      <c r="S70" s="99"/>
      <c r="T70" s="99"/>
      <c r="U70" s="17"/>
      <c r="V70" s="17"/>
      <c r="W70" s="17"/>
      <c r="X70" s="17"/>
      <c r="Y70" s="17"/>
      <c r="Z70" s="17"/>
      <c r="AA70" s="17"/>
      <c r="AB70" s="17"/>
      <c r="AC70" s="17"/>
      <c r="AD70" s="17"/>
      <c r="AE70" s="17"/>
      <c r="AF70" s="17"/>
      <c r="AG70" s="68">
        <f t="shared" si="2"/>
        <v>100</v>
      </c>
      <c r="AH70" s="17" t="s">
        <v>748</v>
      </c>
      <c r="AI70" s="6" t="s">
        <v>746</v>
      </c>
      <c r="AJ70" s="17"/>
      <c r="BA70" s="17"/>
      <c r="BB70" s="17"/>
      <c r="BC70" s="17"/>
      <c r="BD70" s="17"/>
      <c r="BM70" s="17">
        <v>2</v>
      </c>
      <c r="BN70" s="17" t="s">
        <v>437</v>
      </c>
      <c r="BO70" s="17"/>
      <c r="BP70" s="17"/>
      <c r="BQ70" s="17">
        <v>2</v>
      </c>
      <c r="BR70" s="17"/>
      <c r="BS70" s="17" t="s">
        <v>437</v>
      </c>
      <c r="BT70" s="17" t="s">
        <v>437</v>
      </c>
      <c r="BU70" s="17"/>
      <c r="BV70" s="17"/>
      <c r="BW70" s="17"/>
    </row>
    <row r="71" spans="1:76">
      <c r="E71" s="14"/>
      <c r="F71" s="14">
        <f>SUM(F49:F70)+F45</f>
        <v>276</v>
      </c>
      <c r="G71" s="14">
        <f>SUM(G49:G70)+G45</f>
        <v>678</v>
      </c>
      <c r="H71" s="62">
        <f>SUM(H49:H70)+H45</f>
        <v>4253</v>
      </c>
      <c r="I71" s="31"/>
      <c r="J71" s="62"/>
      <c r="K71" s="62"/>
      <c r="L71" s="14">
        <f>SUM(L49:L70)+L45</f>
        <v>1264.6000000000004</v>
      </c>
      <c r="M71" s="14">
        <f>SUM(M49:M70)+M45</f>
        <v>59.4</v>
      </c>
      <c r="N71" s="62"/>
      <c r="O71" s="62"/>
      <c r="P71" s="14">
        <f>SUM(P49:P70)+P45</f>
        <v>0.05</v>
      </c>
      <c r="Q71" s="14">
        <f>SUM(Q49:Q70)+Q45</f>
        <v>1350</v>
      </c>
      <c r="R71" s="62"/>
      <c r="S71" s="62"/>
      <c r="T71" s="14">
        <f>SUM(T49:T70)+T45</f>
        <v>0.05</v>
      </c>
      <c r="U71" s="14">
        <f>SUM(U49:U70)+U45</f>
        <v>2025</v>
      </c>
      <c r="V71" s="62"/>
      <c r="W71" s="62"/>
      <c r="X71" s="14">
        <f>SUM(X49:X70)+X45</f>
        <v>0.05</v>
      </c>
      <c r="Y71" s="14">
        <f>SUM(Y49:Y70)+Y45</f>
        <v>513</v>
      </c>
      <c r="Z71" s="62"/>
      <c r="AA71" s="62"/>
      <c r="AB71" s="14">
        <f>SUM(AB49:AB70)+AB45</f>
        <v>0.1</v>
      </c>
      <c r="AC71" s="14">
        <f>SUM(AC49:AC70)+AC45</f>
        <v>270</v>
      </c>
      <c r="AD71" s="62"/>
      <c r="AE71" s="62"/>
      <c r="AF71" s="14">
        <f>SUM(AF49:AF70)+AF45</f>
        <v>0</v>
      </c>
      <c r="AG71" s="62">
        <f>SUM(AG49:AG70)+AG45</f>
        <v>15465.5</v>
      </c>
      <c r="AH71" s="62"/>
      <c r="AI71" s="62"/>
      <c r="AJ71" s="62"/>
      <c r="AK71" s="14">
        <f>SUM(AK49:AK70)+AK45</f>
        <v>90</v>
      </c>
      <c r="AL71" s="14"/>
      <c r="AM71" s="14"/>
      <c r="AN71" s="14">
        <f>SUM(AN49:AN70)+AN45</f>
        <v>0.1</v>
      </c>
      <c r="AO71" s="14">
        <f>SUM(AO49:AO70)+AO45</f>
        <v>50</v>
      </c>
      <c r="AP71" s="14"/>
      <c r="AQ71" s="14"/>
      <c r="AR71" s="14">
        <f>SUM(AR49:AR70)+AR45</f>
        <v>0.05</v>
      </c>
      <c r="AS71" s="14">
        <f>SUM(AS49:AS70)+AS45</f>
        <v>170</v>
      </c>
      <c r="AT71" s="14"/>
      <c r="AU71" s="14"/>
      <c r="AV71" s="14">
        <f>SUM(AV49:AV70)+AV45</f>
        <v>0.1</v>
      </c>
      <c r="AW71" s="14">
        <f>SUM(AW49:AW70)+AW45</f>
        <v>150</v>
      </c>
      <c r="AX71" s="14"/>
      <c r="AY71" s="14"/>
      <c r="AZ71" s="14">
        <f>SUM(AZ49:AZ70)+AZ45</f>
        <v>0.05</v>
      </c>
      <c r="BA71" s="14">
        <f>SUM(BA49:BA70)+BA45</f>
        <v>120</v>
      </c>
      <c r="BB71" s="14"/>
      <c r="BC71" s="14"/>
      <c r="BD71" s="14">
        <f>SUM(BD49:BD70)+BD45</f>
        <v>0.05</v>
      </c>
      <c r="BE71" s="14">
        <f>SUM(BE49:BE70)+BE45</f>
        <v>2048</v>
      </c>
      <c r="BF71" s="14"/>
      <c r="BG71" s="14"/>
      <c r="BH71" s="14">
        <f>SUM(BH49:BH70)+BH45</f>
        <v>0.05</v>
      </c>
      <c r="BI71" s="14"/>
      <c r="BJ71" s="14"/>
      <c r="BK71" s="14"/>
      <c r="BL71" s="14"/>
      <c r="BM71" s="14">
        <f>SUM(BM49:BM70)+BM45</f>
        <v>137</v>
      </c>
      <c r="BN71" s="14">
        <f>BN45+COUNTIF(BN49:BN70,"x")</f>
        <v>53</v>
      </c>
      <c r="BO71" s="14">
        <f>BO45+COUNTIF(BO49:BO70,"x")</f>
        <v>3</v>
      </c>
      <c r="BP71" s="14">
        <f>BP45+COUNTIF(BP49:BP70,"x")</f>
        <v>1</v>
      </c>
      <c r="BQ71" s="14">
        <f>BQ45+SUM(BQ49:BQ70)</f>
        <v>106</v>
      </c>
      <c r="BR71" s="14">
        <f>BR45+COUNTIF(BR49:BR70,"x")</f>
        <v>1</v>
      </c>
      <c r="BS71" s="14">
        <f>BS45+COUNTIF(BS49:BS70,"x")</f>
        <v>23</v>
      </c>
      <c r="BT71" s="14">
        <f>BT45+COUNTIF(BT49:BT70,"x")</f>
        <v>52</v>
      </c>
      <c r="BU71" s="14" t="s">
        <v>769</v>
      </c>
      <c r="BV71" s="14">
        <v>2</v>
      </c>
      <c r="BW71" s="14">
        <v>4</v>
      </c>
      <c r="BX71" s="14">
        <v>2</v>
      </c>
    </row>
    <row r="72" spans="1:76">
      <c r="E72" s="14"/>
      <c r="I72" s="34"/>
      <c r="AG72" s="67"/>
      <c r="BM72" s="14"/>
    </row>
    <row r="73" spans="1:76" ht="14.45">
      <c r="A73" s="16" t="s">
        <v>782</v>
      </c>
      <c r="E73" s="2"/>
      <c r="I73" s="34"/>
      <c r="AG73" s="67"/>
      <c r="BM73" s="14"/>
    </row>
    <row r="74" spans="1:76">
      <c r="E74" s="14"/>
      <c r="F74" s="14"/>
      <c r="G74" s="14"/>
      <c r="H74" s="14"/>
      <c r="I74" s="31"/>
      <c r="J74" s="14"/>
      <c r="K74" s="14"/>
      <c r="L74" s="14"/>
      <c r="M74" s="14"/>
      <c r="N74" s="14"/>
      <c r="O74" s="14"/>
      <c r="P74" s="14"/>
      <c r="Q74" s="14"/>
      <c r="R74" s="14"/>
      <c r="S74" s="14"/>
      <c r="T74" s="14"/>
      <c r="AG74" s="67"/>
      <c r="BM74" s="14"/>
    </row>
    <row r="75" spans="1:76">
      <c r="A75" s="6" t="s">
        <v>560</v>
      </c>
      <c r="C75" s="6" t="s">
        <v>562</v>
      </c>
      <c r="D75" s="6" t="s">
        <v>42</v>
      </c>
      <c r="E75" s="14" t="s">
        <v>783</v>
      </c>
      <c r="F75" s="14">
        <v>2</v>
      </c>
      <c r="G75" s="14">
        <v>4</v>
      </c>
      <c r="H75" s="62">
        <v>70</v>
      </c>
      <c r="I75" s="31">
        <v>4</v>
      </c>
      <c r="J75" s="14" t="s">
        <v>748</v>
      </c>
      <c r="K75" s="6" t="s">
        <v>746</v>
      </c>
      <c r="L75" s="14">
        <v>2.6</v>
      </c>
      <c r="M75" s="14"/>
      <c r="N75" s="14"/>
      <c r="O75" s="14"/>
      <c r="P75" s="14"/>
      <c r="Q75" s="14"/>
      <c r="R75" s="14"/>
      <c r="S75" s="14"/>
      <c r="T75" s="14"/>
      <c r="U75" s="14"/>
      <c r="V75" s="14"/>
      <c r="W75" s="14"/>
      <c r="X75" s="14"/>
      <c r="Y75" s="14"/>
      <c r="Z75" s="14"/>
      <c r="AA75" s="14"/>
      <c r="AB75" s="14"/>
      <c r="AC75" s="14"/>
      <c r="AD75" s="14"/>
      <c r="AE75" s="14"/>
      <c r="AF75" s="14"/>
      <c r="AG75" s="62">
        <f>2*H75</f>
        <v>140</v>
      </c>
      <c r="AH75" s="14" t="s">
        <v>748</v>
      </c>
      <c r="AI75" s="6" t="s">
        <v>746</v>
      </c>
      <c r="AJ75" s="14" t="s">
        <v>742</v>
      </c>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v>2</v>
      </c>
      <c r="BN75" s="14" t="s">
        <v>437</v>
      </c>
      <c r="BO75" s="14"/>
      <c r="BP75" s="14"/>
      <c r="BQ75" s="14">
        <v>2</v>
      </c>
      <c r="BR75" s="14"/>
      <c r="BS75" s="14" t="s">
        <v>437</v>
      </c>
      <c r="BT75" s="14" t="s">
        <v>437</v>
      </c>
      <c r="BU75" s="14"/>
      <c r="BV75" s="14"/>
      <c r="BW75" s="14"/>
      <c r="BX75" s="14"/>
    </row>
    <row r="76" spans="1:76">
      <c r="A76" s="6" t="s">
        <v>565</v>
      </c>
      <c r="C76" s="6" t="s">
        <v>562</v>
      </c>
      <c r="D76" s="6" t="s">
        <v>566</v>
      </c>
      <c r="E76" s="14" t="s">
        <v>784</v>
      </c>
      <c r="F76" s="14">
        <v>6</v>
      </c>
      <c r="G76" s="14">
        <v>10</v>
      </c>
      <c r="H76" s="62">
        <v>100</v>
      </c>
      <c r="I76" s="31">
        <v>16</v>
      </c>
      <c r="J76" s="14" t="s">
        <v>748</v>
      </c>
      <c r="K76" s="6" t="s">
        <v>746</v>
      </c>
      <c r="L76" s="14">
        <v>2.6</v>
      </c>
      <c r="M76" s="14"/>
      <c r="N76" s="14"/>
      <c r="O76" s="14"/>
      <c r="P76" s="14"/>
      <c r="Q76" s="86">
        <v>200</v>
      </c>
      <c r="R76" s="86" t="s">
        <v>748</v>
      </c>
      <c r="S76" s="6" t="s">
        <v>746</v>
      </c>
      <c r="T76" s="86" t="s">
        <v>742</v>
      </c>
      <c r="U76" s="86"/>
      <c r="V76" s="86"/>
      <c r="W76" s="86"/>
      <c r="X76" s="86"/>
      <c r="AB76" s="86" t="s">
        <v>742</v>
      </c>
      <c r="AC76" s="14"/>
      <c r="AD76" s="14"/>
      <c r="AE76" s="14"/>
      <c r="AF76" s="14"/>
      <c r="AG76" s="62">
        <f>2*H76+Q76*2</f>
        <v>600</v>
      </c>
      <c r="AH76" s="14" t="s">
        <v>748</v>
      </c>
      <c r="AI76" s="6" t="s">
        <v>746</v>
      </c>
      <c r="AJ76" s="14" t="s">
        <v>742</v>
      </c>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v>3</v>
      </c>
      <c r="BN76" s="14" t="s">
        <v>437</v>
      </c>
      <c r="BO76" s="14"/>
      <c r="BP76" s="14"/>
      <c r="BQ76" s="14">
        <v>2</v>
      </c>
      <c r="BR76" s="14"/>
      <c r="BS76" s="14" t="s">
        <v>437</v>
      </c>
      <c r="BT76" s="14" t="s">
        <v>437</v>
      </c>
      <c r="BU76" s="14"/>
      <c r="BV76" s="14"/>
      <c r="BW76" s="14"/>
      <c r="BX76" s="14"/>
    </row>
    <row r="77" spans="1:76">
      <c r="A77" s="6" t="s">
        <v>567</v>
      </c>
      <c r="C77" s="6" t="s">
        <v>562</v>
      </c>
      <c r="D77" s="6" t="s">
        <v>568</v>
      </c>
      <c r="E77" s="14" t="s">
        <v>785</v>
      </c>
      <c r="F77" s="14">
        <v>8</v>
      </c>
      <c r="G77" s="14">
        <v>16</v>
      </c>
      <c r="H77" s="62">
        <v>60</v>
      </c>
      <c r="I77" s="31">
        <v>4</v>
      </c>
      <c r="J77" s="14" t="s">
        <v>748</v>
      </c>
      <c r="K77" s="6" t="s">
        <v>746</v>
      </c>
      <c r="L77" s="14">
        <v>2.6</v>
      </c>
      <c r="M77" s="14"/>
      <c r="N77" s="14"/>
      <c r="O77" s="14"/>
      <c r="P77" s="14"/>
      <c r="Q77" s="86"/>
      <c r="R77" s="86"/>
      <c r="S77" s="86"/>
      <c r="T77" s="86"/>
      <c r="U77" s="86"/>
      <c r="V77" s="86"/>
      <c r="W77" s="86"/>
      <c r="X77" s="86"/>
      <c r="Y77" s="86"/>
      <c r="Z77" s="86"/>
      <c r="AA77" s="86"/>
      <c r="AB77" s="86"/>
      <c r="AC77" s="14"/>
      <c r="AD77" s="14"/>
      <c r="AE77" s="14"/>
      <c r="AF77" s="14"/>
      <c r="AG77" s="62">
        <f>2*H77</f>
        <v>120</v>
      </c>
      <c r="AH77" s="14" t="s">
        <v>748</v>
      </c>
      <c r="AI77" s="6" t="s">
        <v>746</v>
      </c>
      <c r="AJ77" s="14" t="s">
        <v>742</v>
      </c>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v>2</v>
      </c>
      <c r="BN77" s="14" t="s">
        <v>437</v>
      </c>
      <c r="BO77" s="14"/>
      <c r="BP77" s="14"/>
      <c r="BQ77" s="14">
        <v>2</v>
      </c>
      <c r="BR77" s="14"/>
      <c r="BS77" s="14" t="s">
        <v>437</v>
      </c>
      <c r="BT77" s="14" t="s">
        <v>437</v>
      </c>
      <c r="BU77" s="14"/>
      <c r="BV77" s="14"/>
      <c r="BW77" s="14"/>
      <c r="BX77" s="14"/>
    </row>
    <row r="78" spans="1:76">
      <c r="A78" s="6" t="s">
        <v>570</v>
      </c>
      <c r="C78" s="6" t="s">
        <v>562</v>
      </c>
      <c r="D78" s="6" t="s">
        <v>571</v>
      </c>
      <c r="E78" s="14" t="s">
        <v>786</v>
      </c>
      <c r="F78" s="14">
        <v>10</v>
      </c>
      <c r="G78" s="14">
        <v>10</v>
      </c>
      <c r="H78" s="62">
        <v>30</v>
      </c>
      <c r="I78" s="31">
        <v>4</v>
      </c>
      <c r="J78" s="14" t="s">
        <v>748</v>
      </c>
      <c r="K78" s="6" t="s">
        <v>746</v>
      </c>
      <c r="L78" s="14">
        <v>2.6</v>
      </c>
      <c r="M78" s="14"/>
      <c r="N78" s="14"/>
      <c r="O78" s="14"/>
      <c r="P78" s="14"/>
      <c r="Q78" s="86"/>
      <c r="R78" s="86"/>
      <c r="S78" s="86"/>
      <c r="T78" s="86"/>
      <c r="U78" s="86"/>
      <c r="V78" s="86"/>
      <c r="W78" s="86"/>
      <c r="X78" s="86"/>
      <c r="Y78" s="86"/>
      <c r="Z78" s="86"/>
      <c r="AA78" s="86"/>
      <c r="AB78" s="86"/>
      <c r="AC78" s="14"/>
      <c r="AD78" s="14"/>
      <c r="AE78" s="14"/>
      <c r="AF78" s="14"/>
      <c r="AG78" s="62">
        <f>2*H78</f>
        <v>60</v>
      </c>
      <c r="AH78" s="14" t="s">
        <v>748</v>
      </c>
      <c r="AI78" s="6" t="s">
        <v>746</v>
      </c>
      <c r="AJ78" s="14" t="s">
        <v>742</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v>2</v>
      </c>
      <c r="BN78" s="14" t="s">
        <v>437</v>
      </c>
      <c r="BO78" s="14"/>
      <c r="BP78" s="14"/>
      <c r="BQ78" s="14">
        <v>2</v>
      </c>
      <c r="BR78" s="14"/>
      <c r="BS78" s="14" t="s">
        <v>437</v>
      </c>
      <c r="BT78" s="14" t="s">
        <v>437</v>
      </c>
      <c r="BU78" s="14"/>
      <c r="BV78" s="14"/>
      <c r="BW78" s="14"/>
      <c r="BX78" s="14"/>
    </row>
    <row r="79" spans="1:76">
      <c r="A79" s="6" t="s">
        <v>572</v>
      </c>
      <c r="C79" s="6" t="s">
        <v>562</v>
      </c>
      <c r="D79" s="6" t="s">
        <v>573</v>
      </c>
      <c r="E79" s="14" t="s">
        <v>787</v>
      </c>
      <c r="F79" s="14">
        <v>4</v>
      </c>
      <c r="G79" s="14">
        <v>16</v>
      </c>
      <c r="H79" s="62">
        <v>550</v>
      </c>
      <c r="I79" s="31">
        <v>4</v>
      </c>
      <c r="J79" s="14" t="s">
        <v>748</v>
      </c>
      <c r="K79" s="6" t="s">
        <v>746</v>
      </c>
      <c r="L79" s="14">
        <v>2.6</v>
      </c>
      <c r="M79" s="14"/>
      <c r="N79" s="14"/>
      <c r="O79" s="14"/>
      <c r="P79" s="14"/>
      <c r="R79" s="86"/>
      <c r="T79" s="86"/>
      <c r="U79" s="86"/>
      <c r="V79" s="86"/>
      <c r="W79" s="86"/>
      <c r="X79" s="86"/>
      <c r="Y79" s="86"/>
      <c r="Z79" s="86"/>
      <c r="AA79" s="86"/>
      <c r="AB79" s="86"/>
      <c r="AC79" s="14"/>
      <c r="AD79" s="14"/>
      <c r="AE79" s="14"/>
      <c r="AF79" s="14"/>
      <c r="AG79" s="62">
        <f>2*H79+Q79</f>
        <v>1100</v>
      </c>
      <c r="AH79" s="14" t="s">
        <v>748</v>
      </c>
      <c r="AI79" s="6" t="s">
        <v>746</v>
      </c>
      <c r="AJ79" s="14" t="s">
        <v>742</v>
      </c>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v>2</v>
      </c>
      <c r="BN79" s="14" t="s">
        <v>437</v>
      </c>
      <c r="BO79" s="14"/>
      <c r="BP79" s="14"/>
      <c r="BQ79" s="14">
        <v>2</v>
      </c>
      <c r="BR79" s="14"/>
      <c r="BS79" s="14" t="s">
        <v>437</v>
      </c>
      <c r="BT79" s="14" t="s">
        <v>437</v>
      </c>
      <c r="BU79" s="14"/>
      <c r="BV79" s="14"/>
      <c r="BW79" s="14"/>
      <c r="BX79" s="14"/>
    </row>
    <row r="80" spans="1:76">
      <c r="A80" s="19" t="s">
        <v>576</v>
      </c>
      <c r="B80" s="19"/>
      <c r="C80" s="19" t="s">
        <v>562</v>
      </c>
      <c r="D80" s="19" t="s">
        <v>577</v>
      </c>
      <c r="E80" s="17" t="s">
        <v>788</v>
      </c>
      <c r="F80" s="17">
        <v>2</v>
      </c>
      <c r="G80" s="17">
        <v>4</v>
      </c>
      <c r="H80" s="68">
        <v>40</v>
      </c>
      <c r="I80" s="80">
        <v>4</v>
      </c>
      <c r="J80" s="17" t="s">
        <v>748</v>
      </c>
      <c r="K80" s="19" t="s">
        <v>746</v>
      </c>
      <c r="L80" s="17">
        <v>2.6</v>
      </c>
      <c r="M80" s="17"/>
      <c r="N80" s="17"/>
      <c r="O80" s="17"/>
      <c r="P80" s="17"/>
      <c r="Q80" s="39"/>
      <c r="R80" s="39"/>
      <c r="S80" s="19"/>
      <c r="T80" s="39"/>
      <c r="U80" s="39"/>
      <c r="V80" s="39"/>
      <c r="W80" s="39"/>
      <c r="X80" s="39"/>
      <c r="Y80" s="39">
        <v>50</v>
      </c>
      <c r="Z80" s="39" t="s">
        <v>748</v>
      </c>
      <c r="AA80" s="19" t="s">
        <v>746</v>
      </c>
      <c r="AB80" s="39"/>
      <c r="AC80" s="17"/>
      <c r="AD80" s="17"/>
      <c r="AE80" s="17"/>
      <c r="AF80" s="17"/>
      <c r="AG80" s="68">
        <f>H80*2+Y80*2</f>
        <v>180</v>
      </c>
      <c r="AH80" s="17" t="s">
        <v>748</v>
      </c>
      <c r="AI80" s="19" t="s">
        <v>746</v>
      </c>
      <c r="AJ80" s="17" t="s">
        <v>742</v>
      </c>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v>3</v>
      </c>
      <c r="BN80" s="17" t="s">
        <v>437</v>
      </c>
      <c r="BO80" s="17"/>
      <c r="BP80" s="17"/>
      <c r="BQ80" s="17">
        <v>2</v>
      </c>
      <c r="BR80" s="17"/>
      <c r="BS80" s="17" t="s">
        <v>437</v>
      </c>
      <c r="BT80" s="17" t="s">
        <v>437</v>
      </c>
      <c r="BU80" s="17"/>
      <c r="BV80" s="17"/>
      <c r="BW80" s="17"/>
      <c r="BX80" s="17"/>
    </row>
    <row r="81" spans="1:76">
      <c r="F81" s="14">
        <f>F71+SUM(F75:F80)</f>
        <v>308</v>
      </c>
      <c r="G81" s="14">
        <f>G71+SUM(G75:G80)</f>
        <v>738</v>
      </c>
      <c r="H81" s="14">
        <f>H71+SUM(H75:H80)</f>
        <v>5103</v>
      </c>
      <c r="I81" s="62"/>
      <c r="J81" s="62"/>
      <c r="K81" s="62"/>
      <c r="L81" s="14">
        <f>L71+SUM(L75:L80)</f>
        <v>1280.2000000000003</v>
      </c>
      <c r="M81" s="14">
        <f>M71+SUM(M75:M80)</f>
        <v>59.4</v>
      </c>
      <c r="N81" s="62"/>
      <c r="O81" s="62"/>
      <c r="P81" s="14">
        <f>P71+SUM(P75:P80)</f>
        <v>0.05</v>
      </c>
      <c r="Q81" s="14">
        <f>Q71+SUM(Q75:Q80)</f>
        <v>1550</v>
      </c>
      <c r="R81" s="62"/>
      <c r="S81" s="62"/>
      <c r="T81" s="14">
        <f>T71+SUM(T75:T80)</f>
        <v>0.05</v>
      </c>
      <c r="U81" s="14">
        <f>U71+SUM(U75:U80)</f>
        <v>2025</v>
      </c>
      <c r="V81" s="62"/>
      <c r="W81" s="62"/>
      <c r="X81" s="14">
        <f>X71+SUM(X75:X80)</f>
        <v>0.05</v>
      </c>
      <c r="Y81" s="14">
        <f>Y71+SUM(Y75:Y80)</f>
        <v>563</v>
      </c>
      <c r="Z81" s="62"/>
      <c r="AA81" s="62"/>
      <c r="AB81" s="14">
        <f>AB71+SUM(AB75:AB80)</f>
        <v>0.1</v>
      </c>
      <c r="AC81" s="14">
        <f>AC71+SUM(AC75:AC80)</f>
        <v>270</v>
      </c>
      <c r="AD81" s="62"/>
      <c r="AE81" s="62"/>
      <c r="AF81" s="14">
        <f>AF71+SUM(AF75:AF80)</f>
        <v>0</v>
      </c>
      <c r="AG81" s="14">
        <f>AG71+SUM(AG75:AG80)</f>
        <v>17665.5</v>
      </c>
      <c r="AH81" s="14"/>
      <c r="AI81" s="14"/>
      <c r="AJ81" s="14"/>
      <c r="AK81" s="14">
        <f>AK71+SUM(AK75:AK80)</f>
        <v>90</v>
      </c>
      <c r="AL81" s="14"/>
      <c r="AM81" s="14"/>
      <c r="AN81" s="14">
        <f>AN71+SUM(AN75:AN80)</f>
        <v>0.1</v>
      </c>
      <c r="AO81" s="14">
        <f>AO71+SUM(AO75:AO80)</f>
        <v>50</v>
      </c>
      <c r="AP81" s="14"/>
      <c r="AQ81" s="14"/>
      <c r="AR81" s="14">
        <f>AR71+SUM(AR75:AR80)</f>
        <v>0.05</v>
      </c>
      <c r="AS81" s="14">
        <f>AS71+SUM(AS75:AS80)</f>
        <v>170</v>
      </c>
      <c r="AT81" s="14"/>
      <c r="AU81" s="14"/>
      <c r="AV81" s="14">
        <f>AV71+SUM(AV75:AV80)</f>
        <v>0.1</v>
      </c>
      <c r="AW81" s="14">
        <f>AW71+SUM(AW75:AW80)</f>
        <v>150</v>
      </c>
      <c r="AX81" s="14"/>
      <c r="AY81" s="14"/>
      <c r="AZ81" s="14">
        <f>AZ71+SUM(AZ75:AZ80)</f>
        <v>0.05</v>
      </c>
      <c r="BA81" s="14">
        <f>BA71+SUM(BA75:BA80)</f>
        <v>120</v>
      </c>
      <c r="BB81" s="14"/>
      <c r="BC81" s="14"/>
      <c r="BD81" s="14">
        <f>BD71+SUM(BD75:BD80)</f>
        <v>0.05</v>
      </c>
      <c r="BE81" s="14">
        <f>BE71+SUM(BE75:BE80)</f>
        <v>2048</v>
      </c>
      <c r="BF81" s="14"/>
      <c r="BG81" s="14"/>
      <c r="BH81" s="14">
        <f>BH71+SUM(BH75:BH80)</f>
        <v>0.05</v>
      </c>
      <c r="BI81" s="14"/>
      <c r="BJ81" s="14"/>
      <c r="BK81" s="14"/>
      <c r="BL81" s="14"/>
      <c r="BM81" s="14">
        <f>BM71+SUM(BM75:BM80)</f>
        <v>151</v>
      </c>
      <c r="BN81" s="14">
        <f>BN71+COUNTIF(BN75:BN80,"x")</f>
        <v>59</v>
      </c>
      <c r="BO81" s="14">
        <f>BO71+COUNTIF(BO75:BO80,"x")</f>
        <v>3</v>
      </c>
      <c r="BP81" s="14">
        <f>BP71+COUNTIF(BP75:BP80,"x")</f>
        <v>1</v>
      </c>
      <c r="BQ81" s="14">
        <f>BQ71+SUM(BQ75:BQ80)</f>
        <v>118</v>
      </c>
      <c r="BR81" s="14">
        <f>BR71+COUNTIF(BR75:BR80,"x")</f>
        <v>1</v>
      </c>
      <c r="BS81" s="14">
        <f>BS71+COUNTIF(BS75:BS80,"x")</f>
        <v>29</v>
      </c>
      <c r="BT81" s="14">
        <f>BT71+COUNTIF(BT75:BT80,"x")</f>
        <v>58</v>
      </c>
      <c r="BU81" s="14" t="s">
        <v>769</v>
      </c>
      <c r="BV81" s="14">
        <v>2</v>
      </c>
      <c r="BW81" s="14">
        <v>4</v>
      </c>
      <c r="BX81" s="14">
        <v>2</v>
      </c>
    </row>
    <row r="91" spans="1:76" ht="12.95">
      <c r="B91" s="8" t="s">
        <v>602</v>
      </c>
    </row>
    <row r="92" spans="1:76">
      <c r="A92" s="29" t="s">
        <v>607</v>
      </c>
      <c r="B92" s="6">
        <v>1350</v>
      </c>
      <c r="C92" s="67"/>
    </row>
    <row r="93" spans="1:76">
      <c r="A93" s="29" t="s">
        <v>631</v>
      </c>
      <c r="B93" s="6">
        <v>1855.79</v>
      </c>
      <c r="C93" s="67"/>
    </row>
  </sheetData>
  <mergeCells count="8">
    <mergeCell ref="F3:G3"/>
    <mergeCell ref="A4:B4"/>
    <mergeCell ref="A5:B5"/>
    <mergeCell ref="A42:B42"/>
    <mergeCell ref="A6:B6"/>
    <mergeCell ref="A1:D1"/>
    <mergeCell ref="A2:B2"/>
    <mergeCell ref="A3:B3"/>
  </mergeCells>
  <dataValidations count="1">
    <dataValidation type="list" allowBlank="1" showInputMessage="1" showErrorMessage="1" sqref="Q11" xr:uid="{76C62100-2415-495F-9106-279F9FBC6CED}">
      <formula1>$B$92:$B$93</formula1>
    </dataValidation>
  </dataValidations>
  <hyperlinks>
    <hyperlink ref="F3:G3" location="Shortcuts!A1" display="Back to shortcuts" xr:uid="{CDAC2B9F-252B-437F-878C-845E5212D828}"/>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6ACF-CC4A-4C23-BF97-352C85579BBB}">
  <dimension ref="A1:AY116"/>
  <sheetViews>
    <sheetView topLeftCell="N1" zoomScale="81" zoomScaleNormal="81" zoomScalePageLayoutView="70" workbookViewId="0">
      <selection activeCell="AH12" sqref="AH12"/>
    </sheetView>
  </sheetViews>
  <sheetFormatPr defaultColWidth="8.85546875" defaultRowHeight="12.6"/>
  <cols>
    <col min="1" max="1" width="16.140625" style="6" customWidth="1"/>
    <col min="2" max="2" width="15" style="6" customWidth="1"/>
    <col min="3" max="3" width="18.140625" style="6" customWidth="1"/>
    <col min="4" max="4" width="23.140625" style="6" customWidth="1"/>
    <col min="5" max="5" width="55.140625" style="6" customWidth="1"/>
    <col min="6" max="6" width="21.85546875" style="6" customWidth="1"/>
    <col min="7" max="7" width="8.85546875" style="6"/>
    <col min="8" max="8" width="21.140625" style="6" customWidth="1"/>
    <col min="9" max="10" width="8.85546875" style="6"/>
    <col min="11" max="11" width="17.85546875" style="6" customWidth="1"/>
    <col min="12" max="12" width="8.85546875" style="6"/>
    <col min="13" max="13" width="9.85546875" style="6" customWidth="1"/>
    <col min="14" max="14" width="8.85546875" style="6"/>
    <col min="15" max="15" width="11.85546875" style="6" customWidth="1"/>
    <col min="16" max="16" width="8.85546875" style="6"/>
    <col min="17" max="17" width="9.85546875" style="6" customWidth="1"/>
    <col min="18" max="18" width="8.85546875" style="6"/>
    <col min="19" max="19" width="9.85546875" style="6" customWidth="1"/>
    <col min="20" max="20" width="10" style="6" customWidth="1"/>
    <col min="21" max="21" width="9.85546875" style="6" customWidth="1"/>
    <col min="22" max="22" width="8.85546875" style="6"/>
    <col min="23" max="23" width="9.85546875" style="14" customWidth="1"/>
    <col min="24" max="24" width="10.140625" style="6" customWidth="1"/>
    <col min="25" max="26" width="9.85546875" style="6" customWidth="1"/>
    <col min="27" max="32" width="12.85546875" style="6" customWidth="1"/>
    <col min="33" max="39" width="15.85546875" style="6" customWidth="1"/>
    <col min="40" max="42" width="12.85546875" style="6" customWidth="1"/>
    <col min="43" max="43" width="18.85546875" style="6" customWidth="1"/>
    <col min="44" max="44" width="22" style="6" customWidth="1"/>
    <col min="45" max="45" width="12.140625" style="6" customWidth="1"/>
    <col min="46" max="46" width="13.140625" style="6" customWidth="1"/>
    <col min="47" max="16384" width="8.85546875" style="6"/>
  </cols>
  <sheetData>
    <row r="1" spans="1:46" ht="12.95">
      <c r="A1" s="7" t="s">
        <v>38</v>
      </c>
      <c r="B1" s="7"/>
      <c r="C1" s="7"/>
      <c r="D1" s="7"/>
      <c r="F1" s="7" t="s">
        <v>718</v>
      </c>
    </row>
    <row r="2" spans="1:46" ht="14.45">
      <c r="A2" s="171" t="s">
        <v>410</v>
      </c>
      <c r="B2" s="172"/>
      <c r="C2" s="26"/>
      <c r="D2" s="6" t="s">
        <v>719</v>
      </c>
    </row>
    <row r="3" spans="1:46" ht="14.45">
      <c r="A3" s="171" t="s">
        <v>412</v>
      </c>
      <c r="B3" s="171"/>
      <c r="C3" s="114"/>
      <c r="D3" s="6" t="s">
        <v>518</v>
      </c>
      <c r="F3" s="173" t="s">
        <v>413</v>
      </c>
      <c r="G3" s="173"/>
    </row>
    <row r="4" spans="1:46" ht="12.95">
      <c r="A4" s="171" t="s">
        <v>414</v>
      </c>
      <c r="B4" s="171"/>
      <c r="C4" s="6" t="s">
        <v>411</v>
      </c>
    </row>
    <row r="5" spans="1:46">
      <c r="A5" s="171" t="s">
        <v>415</v>
      </c>
      <c r="B5" s="171"/>
      <c r="C5" s="36" t="s">
        <v>720</v>
      </c>
    </row>
    <row r="6" spans="1:46">
      <c r="A6" s="171" t="s">
        <v>416</v>
      </c>
      <c r="B6" s="171"/>
    </row>
    <row r="7" spans="1:46" ht="26.1">
      <c r="A7" s="9" t="s">
        <v>183</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610</v>
      </c>
      <c r="AA7" s="8" t="s">
        <v>423</v>
      </c>
      <c r="AB7" s="8" t="s">
        <v>426</v>
      </c>
      <c r="AC7" s="8" t="s">
        <v>423</v>
      </c>
      <c r="AD7" s="8" t="s">
        <v>427</v>
      </c>
      <c r="AE7" s="8" t="s">
        <v>423</v>
      </c>
      <c r="AF7" s="8" t="s">
        <v>428</v>
      </c>
      <c r="AG7" s="8" t="s">
        <v>423</v>
      </c>
      <c r="AH7" s="8" t="s">
        <v>429</v>
      </c>
      <c r="AI7" s="8" t="s">
        <v>423</v>
      </c>
      <c r="AJ7" s="8" t="s">
        <v>523</v>
      </c>
      <c r="AK7" s="8" t="s">
        <v>423</v>
      </c>
      <c r="AL7" s="8" t="s">
        <v>524</v>
      </c>
      <c r="AM7" s="8" t="s">
        <v>423</v>
      </c>
      <c r="AN7" s="83" t="s">
        <v>525</v>
      </c>
      <c r="AO7" s="8" t="s">
        <v>423</v>
      </c>
      <c r="AP7" s="8" t="s">
        <v>477</v>
      </c>
      <c r="AQ7" s="8" t="s">
        <v>423</v>
      </c>
      <c r="AR7" s="8" t="s">
        <v>431</v>
      </c>
      <c r="AS7" s="8" t="s">
        <v>432</v>
      </c>
      <c r="AT7" s="8" t="s">
        <v>433</v>
      </c>
    </row>
    <row r="8" spans="1:46">
      <c r="A8" s="26" t="s">
        <v>434</v>
      </c>
      <c r="B8" s="26"/>
      <c r="C8" s="26" t="s">
        <v>442</v>
      </c>
      <c r="D8" s="26" t="s">
        <v>435</v>
      </c>
      <c r="E8" s="26" t="s">
        <v>42</v>
      </c>
      <c r="F8" s="27">
        <v>4</v>
      </c>
      <c r="G8" s="27">
        <v>16</v>
      </c>
      <c r="H8" s="27">
        <v>0</v>
      </c>
      <c r="I8" s="27">
        <v>351</v>
      </c>
      <c r="J8" s="27">
        <f t="shared" ref="J8:J33" si="0">IF(G8&gt;=10,16, 4)</f>
        <v>16</v>
      </c>
      <c r="K8" s="27" t="s">
        <v>526</v>
      </c>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t="s">
        <v>437</v>
      </c>
      <c r="AS8" s="27"/>
      <c r="AT8" s="27"/>
    </row>
    <row r="9" spans="1:46">
      <c r="A9" s="6" t="s">
        <v>440</v>
      </c>
      <c r="B9" s="14" t="s">
        <v>441</v>
      </c>
      <c r="C9" s="6" t="s">
        <v>442</v>
      </c>
      <c r="D9" s="6" t="s">
        <v>435</v>
      </c>
      <c r="E9" s="6" t="s">
        <v>50</v>
      </c>
      <c r="F9" s="14">
        <v>6</v>
      </c>
      <c r="G9" s="14">
        <v>8</v>
      </c>
      <c r="H9" s="14">
        <v>8</v>
      </c>
      <c r="I9" s="14">
        <v>41</v>
      </c>
      <c r="J9" s="86">
        <f t="shared" si="0"/>
        <v>4</v>
      </c>
      <c r="K9" s="14" t="s">
        <v>528</v>
      </c>
      <c r="L9" s="14"/>
      <c r="M9" s="14"/>
      <c r="N9" s="14"/>
      <c r="O9" s="14"/>
      <c r="P9" s="14"/>
      <c r="Q9" s="14"/>
      <c r="R9" s="14"/>
      <c r="S9" s="14"/>
      <c r="T9" s="14"/>
      <c r="U9" s="14"/>
      <c r="V9" s="14"/>
      <c r="X9" s="14"/>
      <c r="Y9" s="14"/>
      <c r="Z9" s="14"/>
      <c r="AA9" s="14"/>
      <c r="AB9" s="14"/>
      <c r="AC9" s="14"/>
      <c r="AD9" s="14"/>
      <c r="AE9" s="14"/>
      <c r="AF9" s="14"/>
      <c r="AG9" s="14"/>
      <c r="AH9" s="14"/>
      <c r="AI9" s="14"/>
      <c r="AJ9" s="14"/>
      <c r="AK9" s="14"/>
      <c r="AL9" s="14"/>
      <c r="AM9" s="14"/>
      <c r="AN9" s="14"/>
      <c r="AO9" s="14"/>
      <c r="AP9" s="14"/>
      <c r="AQ9" s="14"/>
      <c r="AR9" s="14" t="s">
        <v>437</v>
      </c>
      <c r="AS9" s="14"/>
      <c r="AT9" s="14"/>
    </row>
    <row r="10" spans="1:46">
      <c r="A10" s="6" t="s">
        <v>444</v>
      </c>
      <c r="B10" s="14"/>
      <c r="C10" s="6" t="s">
        <v>442</v>
      </c>
      <c r="D10" s="6" t="s">
        <v>435</v>
      </c>
      <c r="E10" s="6" t="s">
        <v>53</v>
      </c>
      <c r="F10" s="14">
        <v>16</v>
      </c>
      <c r="G10" s="108">
        <f>VLOOKUP(N10,B115:G116,3,FALSE)</f>
        <v>90</v>
      </c>
      <c r="H10" s="104">
        <f>G10*82.5/100</f>
        <v>74.25</v>
      </c>
      <c r="I10" s="86">
        <v>117</v>
      </c>
      <c r="J10" s="86">
        <f t="shared" si="0"/>
        <v>16</v>
      </c>
      <c r="K10" s="86" t="s">
        <v>529</v>
      </c>
      <c r="L10" s="86">
        <v>130</v>
      </c>
      <c r="M10" s="86" t="s">
        <v>445</v>
      </c>
      <c r="N10" s="108">
        <v>2500</v>
      </c>
      <c r="O10" s="86" t="s">
        <v>446</v>
      </c>
      <c r="P10" s="104">
        <f>VLOOKUP(N10,B115:G116,4,FALSE)</f>
        <v>3750</v>
      </c>
      <c r="Q10" s="86" t="s">
        <v>447</v>
      </c>
      <c r="R10" s="86"/>
      <c r="S10" s="86"/>
      <c r="T10" s="86"/>
      <c r="U10" s="86"/>
      <c r="V10" s="86"/>
      <c r="W10" s="86"/>
      <c r="X10" s="104">
        <f>VLOOKUP(N10,B115:G116,6,FALSE)</f>
        <v>10875</v>
      </c>
      <c r="Y10" s="14" t="s">
        <v>206</v>
      </c>
      <c r="Z10" s="14"/>
      <c r="AA10" s="14"/>
      <c r="AB10" s="14"/>
      <c r="AC10" s="14"/>
      <c r="AD10" s="14"/>
      <c r="AE10" s="14"/>
      <c r="AF10" s="14"/>
      <c r="AG10" s="14"/>
      <c r="AH10" s="14"/>
      <c r="AI10" s="14"/>
      <c r="AJ10" s="14"/>
      <c r="AK10" s="14"/>
      <c r="AL10" s="14"/>
      <c r="AM10" s="14"/>
      <c r="AN10" s="14">
        <v>3700</v>
      </c>
      <c r="AO10" s="14" t="s">
        <v>530</v>
      </c>
      <c r="AP10" s="14"/>
      <c r="AQ10" s="14"/>
      <c r="AR10" s="14" t="s">
        <v>437</v>
      </c>
      <c r="AS10" s="14"/>
      <c r="AT10" s="14"/>
    </row>
    <row r="11" spans="1:46">
      <c r="A11" s="6" t="s">
        <v>448</v>
      </c>
      <c r="B11" s="14" t="s">
        <v>441</v>
      </c>
      <c r="C11" s="6" t="s">
        <v>442</v>
      </c>
      <c r="D11" s="6" t="s">
        <v>435</v>
      </c>
      <c r="E11" s="6" t="s">
        <v>57</v>
      </c>
      <c r="F11" s="14">
        <v>8</v>
      </c>
      <c r="G11" s="14">
        <v>9</v>
      </c>
      <c r="H11" s="14">
        <v>9</v>
      </c>
      <c r="I11" s="14">
        <v>46</v>
      </c>
      <c r="J11" s="86">
        <f t="shared" si="0"/>
        <v>4</v>
      </c>
      <c r="K11" s="14" t="s">
        <v>531</v>
      </c>
      <c r="L11" s="14"/>
      <c r="M11" s="14"/>
      <c r="N11" s="14"/>
      <c r="O11" s="14"/>
      <c r="P11" s="14"/>
      <c r="Q11" s="14"/>
      <c r="R11" s="86">
        <v>600</v>
      </c>
      <c r="S11" s="14" t="s">
        <v>449</v>
      </c>
      <c r="T11" s="14">
        <v>300</v>
      </c>
      <c r="U11" s="14" t="s">
        <v>222</v>
      </c>
      <c r="V11" s="14"/>
      <c r="X11" s="86">
        <v>500</v>
      </c>
      <c r="Y11" s="14" t="s">
        <v>206</v>
      </c>
      <c r="Z11" s="14"/>
      <c r="AA11" s="14"/>
      <c r="AB11" s="14"/>
      <c r="AC11" s="14"/>
      <c r="AD11" s="14"/>
      <c r="AE11" s="14"/>
      <c r="AF11" s="14"/>
      <c r="AG11" s="14"/>
      <c r="AH11" s="14"/>
      <c r="AI11" s="14"/>
      <c r="AJ11" s="14"/>
      <c r="AK11" s="14"/>
      <c r="AL11" s="14"/>
      <c r="AM11" s="14"/>
      <c r="AN11" s="14"/>
      <c r="AO11" s="14"/>
      <c r="AP11" s="14"/>
      <c r="AQ11" s="14"/>
      <c r="AR11" s="14" t="s">
        <v>437</v>
      </c>
      <c r="AS11" s="14"/>
      <c r="AT11" s="14"/>
    </row>
    <row r="12" spans="1:46">
      <c r="A12" s="6" t="s">
        <v>450</v>
      </c>
      <c r="C12" s="6" t="s">
        <v>442</v>
      </c>
      <c r="D12" s="6" t="s">
        <v>435</v>
      </c>
      <c r="E12" s="6" t="s">
        <v>61</v>
      </c>
      <c r="F12" s="14">
        <v>2</v>
      </c>
      <c r="G12" s="14">
        <v>3</v>
      </c>
      <c r="H12" s="14">
        <v>0</v>
      </c>
      <c r="I12" s="14">
        <v>31</v>
      </c>
      <c r="J12" s="86">
        <f t="shared" si="0"/>
        <v>4</v>
      </c>
      <c r="K12" s="14" t="s">
        <v>528</v>
      </c>
      <c r="L12" s="14"/>
      <c r="M12" s="14"/>
      <c r="N12" s="14"/>
      <c r="O12" s="14"/>
      <c r="P12" s="14"/>
      <c r="Q12" s="14"/>
      <c r="R12" s="14"/>
      <c r="S12" s="14"/>
      <c r="T12" s="14"/>
      <c r="U12" s="14"/>
      <c r="V12" s="14"/>
      <c r="X12" s="14"/>
      <c r="Y12" s="14"/>
      <c r="Z12" s="14"/>
      <c r="AA12" s="14"/>
      <c r="AB12" s="14"/>
      <c r="AC12" s="14"/>
      <c r="AD12" s="14"/>
      <c r="AE12" s="14"/>
      <c r="AF12" s="14"/>
      <c r="AG12" s="14"/>
      <c r="AH12" s="14"/>
      <c r="AI12" s="14"/>
      <c r="AJ12" s="14"/>
      <c r="AK12" s="14"/>
      <c r="AL12" s="14"/>
      <c r="AM12" s="14"/>
      <c r="AN12" s="14"/>
      <c r="AO12" s="14"/>
      <c r="AP12" s="14"/>
      <c r="AQ12" s="14"/>
      <c r="AR12" s="14" t="s">
        <v>437</v>
      </c>
      <c r="AS12" s="14" t="s">
        <v>437</v>
      </c>
      <c r="AT12" s="14" t="s">
        <v>437</v>
      </c>
    </row>
    <row r="13" spans="1:46">
      <c r="A13" s="6" t="s">
        <v>451</v>
      </c>
      <c r="C13" s="6" t="s">
        <v>442</v>
      </c>
      <c r="D13" s="6" t="s">
        <v>435</v>
      </c>
      <c r="E13" s="6" t="s">
        <v>65</v>
      </c>
      <c r="F13" s="14">
        <v>2</v>
      </c>
      <c r="G13" s="14">
        <v>5</v>
      </c>
      <c r="H13" s="14">
        <v>0</v>
      </c>
      <c r="I13" s="14">
        <v>31</v>
      </c>
      <c r="J13" s="86">
        <f t="shared" si="0"/>
        <v>4</v>
      </c>
      <c r="K13" s="14" t="s">
        <v>529</v>
      </c>
      <c r="L13" s="14"/>
      <c r="M13" s="14"/>
      <c r="N13" s="14"/>
      <c r="O13" s="14"/>
      <c r="P13" s="14"/>
      <c r="Q13" s="14"/>
      <c r="R13" s="14"/>
      <c r="S13" s="14"/>
      <c r="T13" s="14"/>
      <c r="U13" s="14"/>
      <c r="V13" s="14"/>
      <c r="X13" s="14"/>
      <c r="Y13" s="14"/>
      <c r="Z13" s="14"/>
      <c r="AA13" s="14"/>
      <c r="AB13" s="14"/>
      <c r="AC13" s="14"/>
      <c r="AD13" s="14"/>
      <c r="AE13" s="14"/>
      <c r="AF13" s="14"/>
      <c r="AG13" s="14"/>
      <c r="AH13" s="14"/>
      <c r="AI13" s="14"/>
      <c r="AJ13" s="14"/>
      <c r="AK13" s="14"/>
      <c r="AL13" s="14"/>
      <c r="AM13" s="14"/>
      <c r="AN13" s="14"/>
      <c r="AO13" s="14"/>
      <c r="AP13" s="14"/>
      <c r="AQ13" s="14"/>
      <c r="AR13" s="14" t="s">
        <v>437</v>
      </c>
      <c r="AS13" s="14"/>
      <c r="AT13" s="14"/>
    </row>
    <row r="14" spans="1:46">
      <c r="A14" s="6" t="s">
        <v>452</v>
      </c>
      <c r="C14" s="6" t="s">
        <v>442</v>
      </c>
      <c r="D14" s="6" t="s">
        <v>435</v>
      </c>
      <c r="E14" s="6" t="s">
        <v>611</v>
      </c>
      <c r="F14" s="14">
        <v>3</v>
      </c>
      <c r="G14" s="14">
        <v>6</v>
      </c>
      <c r="H14" s="14">
        <v>0</v>
      </c>
      <c r="I14" s="14">
        <v>41</v>
      </c>
      <c r="J14" s="86">
        <f t="shared" si="0"/>
        <v>4</v>
      </c>
      <c r="K14" s="14" t="s">
        <v>531</v>
      </c>
      <c r="L14" s="14"/>
      <c r="M14" s="14"/>
      <c r="N14" s="14"/>
      <c r="O14" s="14"/>
      <c r="P14" s="14"/>
      <c r="Q14" s="14"/>
      <c r="R14" s="14"/>
      <c r="S14" s="14"/>
      <c r="T14" s="14"/>
      <c r="U14" s="14"/>
      <c r="V14" s="14"/>
      <c r="X14" s="14"/>
      <c r="Y14" s="14"/>
      <c r="Z14" s="14"/>
      <c r="AA14" s="14"/>
      <c r="AB14" s="14"/>
      <c r="AC14" s="14"/>
      <c r="AD14" s="14"/>
      <c r="AE14" s="14"/>
      <c r="AF14" s="14"/>
      <c r="AG14" s="14"/>
      <c r="AH14" s="14"/>
      <c r="AI14" s="14"/>
      <c r="AJ14" s="14"/>
      <c r="AK14" s="14"/>
      <c r="AL14" s="14"/>
      <c r="AM14" s="14"/>
      <c r="AN14" s="14"/>
      <c r="AO14" s="14"/>
      <c r="AP14" s="14"/>
      <c r="AQ14" s="14"/>
      <c r="AR14" s="14" t="s">
        <v>437</v>
      </c>
      <c r="AS14" s="14" t="s">
        <v>437</v>
      </c>
      <c r="AT14" s="14"/>
    </row>
    <row r="15" spans="1:46">
      <c r="A15" s="6" t="s">
        <v>454</v>
      </c>
      <c r="C15" s="6" t="s">
        <v>442</v>
      </c>
      <c r="D15" s="6" t="s">
        <v>435</v>
      </c>
      <c r="E15" s="6" t="s">
        <v>455</v>
      </c>
      <c r="F15" s="14">
        <v>5</v>
      </c>
      <c r="G15" s="14">
        <v>7</v>
      </c>
      <c r="H15" s="14">
        <v>0</v>
      </c>
      <c r="I15" s="14">
        <v>56</v>
      </c>
      <c r="J15" s="86">
        <f t="shared" si="0"/>
        <v>4</v>
      </c>
      <c r="K15" s="14" t="s">
        <v>528</v>
      </c>
      <c r="L15" s="14"/>
      <c r="M15" s="14"/>
      <c r="N15" s="14"/>
      <c r="O15" s="14"/>
      <c r="P15" s="14"/>
      <c r="Q15" s="14"/>
      <c r="R15" s="14"/>
      <c r="S15" s="14"/>
      <c r="T15" s="14"/>
      <c r="U15" s="14"/>
      <c r="V15" s="14"/>
      <c r="X15" s="14"/>
      <c r="Y15" s="14"/>
      <c r="Z15" s="14"/>
      <c r="AA15" s="14"/>
      <c r="AB15" s="14"/>
      <c r="AC15" s="14"/>
      <c r="AD15" s="14"/>
      <c r="AE15" s="14"/>
      <c r="AF15" s="14"/>
      <c r="AG15" s="14"/>
      <c r="AH15" s="14"/>
      <c r="AI15" s="14"/>
      <c r="AJ15" s="14"/>
      <c r="AK15" s="14"/>
      <c r="AL15" s="14"/>
      <c r="AM15" s="14"/>
      <c r="AN15" s="14"/>
      <c r="AO15" s="14"/>
      <c r="AP15" s="14"/>
      <c r="AQ15" s="14"/>
      <c r="AR15" s="14" t="s">
        <v>437</v>
      </c>
      <c r="AS15" s="14" t="s">
        <v>437</v>
      </c>
      <c r="AT15" s="14"/>
    </row>
    <row r="16" spans="1:46">
      <c r="A16" s="6" t="s">
        <v>456</v>
      </c>
      <c r="C16" s="6" t="s">
        <v>442</v>
      </c>
      <c r="D16" s="6" t="s">
        <v>435</v>
      </c>
      <c r="E16" s="6" t="s">
        <v>77</v>
      </c>
      <c r="F16" s="14">
        <v>8</v>
      </c>
      <c r="G16" s="14">
        <v>13</v>
      </c>
      <c r="H16" s="14">
        <v>0</v>
      </c>
      <c r="I16" s="14">
        <v>81</v>
      </c>
      <c r="J16" s="86">
        <f t="shared" si="0"/>
        <v>16</v>
      </c>
      <c r="K16" s="14" t="s">
        <v>529</v>
      </c>
      <c r="L16" s="14"/>
      <c r="M16" s="14"/>
      <c r="N16" s="14"/>
      <c r="O16" s="14"/>
      <c r="P16" s="14"/>
      <c r="Q16" s="14"/>
      <c r="R16" s="14"/>
      <c r="S16" s="14"/>
      <c r="T16" s="14"/>
      <c r="U16" s="14"/>
      <c r="V16" s="14"/>
      <c r="X16" s="14"/>
      <c r="Y16" s="14"/>
      <c r="Z16" s="14"/>
      <c r="AA16" s="14"/>
      <c r="AB16" s="14"/>
      <c r="AC16" s="14"/>
      <c r="AD16" s="14"/>
      <c r="AE16" s="14"/>
      <c r="AF16" s="14"/>
      <c r="AG16" s="14"/>
      <c r="AH16" s="14"/>
      <c r="AI16" s="14"/>
      <c r="AJ16" s="14"/>
      <c r="AK16" s="14"/>
      <c r="AL16" s="14"/>
      <c r="AM16" s="14"/>
      <c r="AN16" s="14"/>
      <c r="AO16" s="14"/>
      <c r="AP16" s="14"/>
      <c r="AQ16" s="14"/>
      <c r="AR16" s="14" t="s">
        <v>437</v>
      </c>
      <c r="AS16" s="14" t="s">
        <v>437</v>
      </c>
      <c r="AT16" s="14"/>
    </row>
    <row r="17" spans="1:46">
      <c r="A17" s="6" t="s">
        <v>457</v>
      </c>
      <c r="C17" s="6" t="s">
        <v>442</v>
      </c>
      <c r="D17" s="6" t="s">
        <v>435</v>
      </c>
      <c r="E17" s="6" t="s">
        <v>81</v>
      </c>
      <c r="F17" s="14">
        <v>4</v>
      </c>
      <c r="G17" s="14">
        <v>4</v>
      </c>
      <c r="H17" s="14">
        <v>0</v>
      </c>
      <c r="I17" s="14">
        <v>31</v>
      </c>
      <c r="J17" s="86">
        <f t="shared" si="0"/>
        <v>4</v>
      </c>
      <c r="K17" s="14" t="s">
        <v>531</v>
      </c>
      <c r="L17" s="14"/>
      <c r="M17" s="14"/>
      <c r="N17" s="14"/>
      <c r="O17" s="14"/>
      <c r="P17" s="14"/>
      <c r="Q17" s="14"/>
      <c r="R17" s="14"/>
      <c r="S17" s="14"/>
      <c r="T17" s="14"/>
      <c r="U17" s="14"/>
      <c r="V17" s="14"/>
      <c r="X17" s="14"/>
      <c r="Y17" s="14"/>
      <c r="Z17" s="14"/>
      <c r="AA17" s="14"/>
      <c r="AB17" s="14"/>
      <c r="AC17" s="14"/>
      <c r="AD17" s="14"/>
      <c r="AE17" s="14"/>
      <c r="AF17" s="14"/>
      <c r="AG17" s="14"/>
      <c r="AH17" s="14"/>
      <c r="AI17" s="14"/>
      <c r="AJ17" s="14"/>
      <c r="AK17" s="14"/>
      <c r="AL17" s="14"/>
      <c r="AM17" s="14"/>
      <c r="AN17" s="14"/>
      <c r="AO17" s="14"/>
      <c r="AP17" s="14"/>
      <c r="AQ17" s="14"/>
      <c r="AR17" s="14" t="s">
        <v>437</v>
      </c>
      <c r="AS17" s="14" t="s">
        <v>437</v>
      </c>
      <c r="AT17" s="14" t="s">
        <v>437</v>
      </c>
    </row>
    <row r="18" spans="1:46">
      <c r="A18" s="6" t="s">
        <v>458</v>
      </c>
      <c r="C18" s="6" t="s">
        <v>442</v>
      </c>
      <c r="D18" s="6" t="s">
        <v>435</v>
      </c>
      <c r="E18" s="6" t="s">
        <v>459</v>
      </c>
      <c r="F18" s="14">
        <v>8</v>
      </c>
      <c r="G18" s="14">
        <v>13</v>
      </c>
      <c r="H18" s="14">
        <v>0</v>
      </c>
      <c r="I18" s="14">
        <v>109</v>
      </c>
      <c r="J18" s="86">
        <f t="shared" si="0"/>
        <v>16</v>
      </c>
      <c r="K18" s="14" t="s">
        <v>528</v>
      </c>
      <c r="L18" s="14"/>
      <c r="M18" s="14"/>
      <c r="N18" s="14"/>
      <c r="O18" s="14"/>
      <c r="P18" s="14"/>
      <c r="Q18" s="14"/>
      <c r="R18" s="14"/>
      <c r="S18" s="14"/>
      <c r="T18" s="14"/>
      <c r="U18" s="14"/>
      <c r="V18" s="14"/>
      <c r="X18" s="14"/>
      <c r="Y18" s="14"/>
      <c r="Z18" s="14"/>
      <c r="AA18" s="14"/>
      <c r="AB18" s="14">
        <v>50</v>
      </c>
      <c r="AC18" s="14" t="s">
        <v>531</v>
      </c>
      <c r="AD18" s="14"/>
      <c r="AE18" s="14"/>
      <c r="AF18" s="14"/>
      <c r="AG18" s="14"/>
      <c r="AH18" s="14"/>
      <c r="AI18" s="14"/>
      <c r="AJ18" s="14"/>
      <c r="AK18" s="14"/>
      <c r="AL18" s="14"/>
      <c r="AM18" s="14"/>
      <c r="AN18" s="14"/>
      <c r="AO18" s="14"/>
      <c r="AP18" s="14"/>
      <c r="AQ18" s="14"/>
      <c r="AR18" s="14" t="s">
        <v>437</v>
      </c>
      <c r="AS18" s="14"/>
      <c r="AT18" s="14"/>
    </row>
    <row r="19" spans="1:46">
      <c r="A19" s="6" t="s">
        <v>460</v>
      </c>
      <c r="C19" s="6" t="s">
        <v>442</v>
      </c>
      <c r="D19" s="6" t="s">
        <v>435</v>
      </c>
      <c r="E19" s="6" t="s">
        <v>88</v>
      </c>
      <c r="F19" s="14">
        <v>6</v>
      </c>
      <c r="G19" s="14">
        <v>8</v>
      </c>
      <c r="H19" s="14">
        <v>0</v>
      </c>
      <c r="I19" s="14">
        <v>131</v>
      </c>
      <c r="J19" s="86">
        <f t="shared" si="0"/>
        <v>4</v>
      </c>
      <c r="K19" s="14" t="s">
        <v>529</v>
      </c>
      <c r="L19" s="14"/>
      <c r="M19" s="14"/>
      <c r="N19" s="14"/>
      <c r="O19" s="14"/>
      <c r="P19" s="14"/>
      <c r="Q19" s="14"/>
      <c r="R19" s="14"/>
      <c r="S19" s="14"/>
      <c r="T19" s="14"/>
      <c r="U19" s="14"/>
      <c r="V19" s="14"/>
      <c r="X19" s="14"/>
      <c r="Y19" s="14"/>
      <c r="Z19" s="14"/>
      <c r="AA19" s="14"/>
      <c r="AB19" s="14"/>
      <c r="AC19" s="14"/>
      <c r="AD19" s="14"/>
      <c r="AE19" s="14"/>
      <c r="AF19" s="14"/>
      <c r="AG19" s="14"/>
      <c r="AH19" s="14"/>
      <c r="AI19" s="14"/>
      <c r="AJ19" s="14"/>
      <c r="AK19" s="14"/>
      <c r="AL19" s="14"/>
      <c r="AM19" s="14"/>
      <c r="AN19" s="14"/>
      <c r="AO19" s="14"/>
      <c r="AP19" s="14"/>
      <c r="AQ19" s="14"/>
      <c r="AR19" s="14" t="s">
        <v>437</v>
      </c>
      <c r="AS19" s="14" t="s">
        <v>437</v>
      </c>
      <c r="AT19" s="14"/>
    </row>
    <row r="20" spans="1:46">
      <c r="A20" s="6" t="s">
        <v>461</v>
      </c>
      <c r="C20" s="6" t="s">
        <v>442</v>
      </c>
      <c r="D20" s="6" t="s">
        <v>435</v>
      </c>
      <c r="E20" s="6" t="s">
        <v>92</v>
      </c>
      <c r="F20" s="14">
        <v>6</v>
      </c>
      <c r="G20" s="14">
        <v>7</v>
      </c>
      <c r="H20" s="14">
        <v>0</v>
      </c>
      <c r="I20" s="14">
        <v>61</v>
      </c>
      <c r="J20" s="86">
        <f t="shared" si="0"/>
        <v>4</v>
      </c>
      <c r="K20" s="14" t="s">
        <v>531</v>
      </c>
      <c r="L20" s="14"/>
      <c r="M20" s="14"/>
      <c r="N20" s="14"/>
      <c r="O20" s="14"/>
      <c r="P20" s="14"/>
      <c r="Q20" s="14"/>
      <c r="R20" s="14"/>
      <c r="S20" s="14"/>
      <c r="T20" s="14"/>
      <c r="U20" s="14"/>
      <c r="V20" s="14"/>
      <c r="X20" s="14"/>
      <c r="Y20" s="14"/>
      <c r="Z20" s="14"/>
      <c r="AA20" s="14"/>
      <c r="AB20" s="14"/>
      <c r="AC20" s="14"/>
      <c r="AD20" s="14"/>
      <c r="AE20" s="14"/>
      <c r="AF20" s="14"/>
      <c r="AG20" s="14"/>
      <c r="AH20" s="14"/>
      <c r="AI20" s="14"/>
      <c r="AJ20" s="14"/>
      <c r="AK20" s="14"/>
      <c r="AL20" s="14"/>
      <c r="AM20" s="14"/>
      <c r="AN20" s="14"/>
      <c r="AO20" s="14"/>
      <c r="AP20" s="14"/>
      <c r="AQ20" s="14"/>
      <c r="AR20" s="14" t="s">
        <v>437</v>
      </c>
      <c r="AS20" s="14"/>
      <c r="AT20" s="14"/>
    </row>
    <row r="21" spans="1:46">
      <c r="A21" s="6" t="s">
        <v>462</v>
      </c>
      <c r="C21" s="6" t="s">
        <v>442</v>
      </c>
      <c r="D21" s="6" t="s">
        <v>435</v>
      </c>
      <c r="E21" s="6" t="s">
        <v>92</v>
      </c>
      <c r="F21" s="14">
        <v>6</v>
      </c>
      <c r="G21" s="14">
        <v>7</v>
      </c>
      <c r="H21" s="14">
        <v>0</v>
      </c>
      <c r="I21" s="14">
        <v>61</v>
      </c>
      <c r="J21" s="86">
        <f t="shared" si="0"/>
        <v>4</v>
      </c>
      <c r="K21" s="14" t="s">
        <v>528</v>
      </c>
      <c r="L21" s="14"/>
      <c r="M21" s="14"/>
      <c r="N21" s="14"/>
      <c r="O21" s="14"/>
      <c r="P21" s="14"/>
      <c r="Q21" s="14"/>
      <c r="R21" s="14"/>
      <c r="S21" s="14"/>
      <c r="T21" s="14"/>
      <c r="U21" s="14"/>
      <c r="V21" s="14"/>
      <c r="X21" s="14"/>
      <c r="Y21" s="14"/>
      <c r="Z21" s="14"/>
      <c r="AA21" s="14"/>
      <c r="AB21" s="14"/>
      <c r="AC21" s="14"/>
      <c r="AD21" s="14"/>
      <c r="AE21" s="14"/>
      <c r="AF21" s="14"/>
      <c r="AG21" s="14"/>
      <c r="AH21" s="14"/>
      <c r="AI21" s="14"/>
      <c r="AJ21" s="14"/>
      <c r="AK21" s="14"/>
      <c r="AL21" s="14"/>
      <c r="AM21" s="14"/>
      <c r="AN21" s="14"/>
      <c r="AO21" s="14"/>
      <c r="AP21" s="14"/>
      <c r="AQ21" s="14"/>
      <c r="AR21" s="14" t="s">
        <v>437</v>
      </c>
      <c r="AS21" s="14"/>
      <c r="AT21" s="14"/>
    </row>
    <row r="22" spans="1:46">
      <c r="A22" s="6" t="s">
        <v>463</v>
      </c>
      <c r="C22" s="6" t="s">
        <v>442</v>
      </c>
      <c r="D22" s="6" t="s">
        <v>435</v>
      </c>
      <c r="E22" s="6" t="s">
        <v>96</v>
      </c>
      <c r="F22" s="14">
        <v>6</v>
      </c>
      <c r="G22" s="14">
        <v>13</v>
      </c>
      <c r="H22" s="14">
        <v>0</v>
      </c>
      <c r="I22" s="14">
        <v>63</v>
      </c>
      <c r="J22" s="86">
        <f t="shared" si="0"/>
        <v>16</v>
      </c>
      <c r="K22" s="14" t="s">
        <v>529</v>
      </c>
      <c r="L22" s="14"/>
      <c r="M22" s="14"/>
      <c r="N22" s="14"/>
      <c r="O22" s="14"/>
      <c r="P22" s="14"/>
      <c r="Q22" s="14"/>
      <c r="R22" s="14"/>
      <c r="S22" s="14"/>
      <c r="T22" s="14"/>
      <c r="U22" s="14"/>
      <c r="V22" s="14"/>
      <c r="X22" s="14"/>
      <c r="Y22" s="14"/>
      <c r="Z22" s="14"/>
      <c r="AA22" s="14"/>
      <c r="AB22" s="14"/>
      <c r="AC22" s="14"/>
      <c r="AD22" s="14">
        <v>85</v>
      </c>
      <c r="AE22" s="14" t="s">
        <v>529</v>
      </c>
      <c r="AF22" s="14"/>
      <c r="AG22" s="14"/>
      <c r="AH22" s="14"/>
      <c r="AI22" s="14"/>
      <c r="AJ22" s="14"/>
      <c r="AK22" s="14"/>
      <c r="AL22" s="14"/>
      <c r="AM22" s="14"/>
      <c r="AN22" s="14"/>
      <c r="AO22" s="14"/>
      <c r="AP22" s="14"/>
      <c r="AQ22" s="14"/>
      <c r="AR22" s="14" t="s">
        <v>437</v>
      </c>
      <c r="AS22" s="14"/>
      <c r="AT22" s="14"/>
    </row>
    <row r="23" spans="1:46">
      <c r="A23" s="6" t="s">
        <v>464</v>
      </c>
      <c r="C23" s="6" t="s">
        <v>442</v>
      </c>
      <c r="D23" s="6" t="s">
        <v>435</v>
      </c>
      <c r="E23" s="6" t="s">
        <v>100</v>
      </c>
      <c r="F23" s="14">
        <v>6</v>
      </c>
      <c r="G23" s="14">
        <v>13</v>
      </c>
      <c r="H23" s="14">
        <v>0</v>
      </c>
      <c r="I23" s="14">
        <v>63</v>
      </c>
      <c r="J23" s="86">
        <f t="shared" si="0"/>
        <v>16</v>
      </c>
      <c r="K23" s="14" t="s">
        <v>531</v>
      </c>
      <c r="L23" s="14"/>
      <c r="M23" s="14"/>
      <c r="N23" s="14"/>
      <c r="O23" s="14"/>
      <c r="P23" s="14"/>
      <c r="Q23" s="14"/>
      <c r="R23" s="14"/>
      <c r="S23" s="14"/>
      <c r="T23" s="14"/>
      <c r="U23" s="14"/>
      <c r="V23" s="14"/>
      <c r="X23" s="14"/>
      <c r="Y23" s="14"/>
      <c r="Z23" s="14"/>
      <c r="AA23" s="14"/>
      <c r="AB23" s="14"/>
      <c r="AC23" s="14"/>
      <c r="AD23" s="14">
        <v>85</v>
      </c>
      <c r="AE23" s="14" t="s">
        <v>531</v>
      </c>
      <c r="AF23" s="14"/>
      <c r="AG23" s="14"/>
      <c r="AH23" s="14"/>
      <c r="AI23" s="14"/>
      <c r="AJ23" s="14"/>
      <c r="AK23" s="14"/>
      <c r="AL23" s="14"/>
      <c r="AM23" s="14"/>
      <c r="AN23" s="14"/>
      <c r="AO23" s="14"/>
      <c r="AP23" s="14"/>
      <c r="AQ23" s="14"/>
      <c r="AR23" s="14" t="s">
        <v>437</v>
      </c>
      <c r="AS23" s="14"/>
      <c r="AT23" s="14"/>
    </row>
    <row r="24" spans="1:46">
      <c r="A24" s="6" t="s">
        <v>487</v>
      </c>
      <c r="C24" s="6" t="s">
        <v>442</v>
      </c>
      <c r="D24" s="6" t="s">
        <v>435</v>
      </c>
      <c r="E24" s="6" t="s">
        <v>104</v>
      </c>
      <c r="F24" s="14">
        <v>6</v>
      </c>
      <c r="G24" s="14">
        <v>9</v>
      </c>
      <c r="H24" s="14">
        <v>0</v>
      </c>
      <c r="I24" s="14">
        <v>41</v>
      </c>
      <c r="J24" s="86">
        <f t="shared" si="0"/>
        <v>4</v>
      </c>
      <c r="K24" s="14" t="s">
        <v>528</v>
      </c>
      <c r="L24" s="14"/>
      <c r="M24" s="14"/>
      <c r="N24" s="14"/>
      <c r="O24" s="14"/>
      <c r="P24" s="14"/>
      <c r="Q24" s="14"/>
      <c r="R24" s="14"/>
      <c r="S24" s="14"/>
      <c r="T24" s="14"/>
      <c r="U24" s="14"/>
      <c r="V24" s="14"/>
      <c r="X24" s="14"/>
      <c r="Y24" s="14"/>
      <c r="Z24" s="14"/>
      <c r="AA24" s="14"/>
      <c r="AB24" s="14"/>
      <c r="AC24" s="14"/>
      <c r="AD24" s="14"/>
      <c r="AE24" s="14"/>
      <c r="AF24" s="14"/>
      <c r="AG24" s="14"/>
      <c r="AH24" s="14"/>
      <c r="AI24" s="14"/>
      <c r="AJ24" s="14"/>
      <c r="AK24" s="14"/>
      <c r="AL24" s="14"/>
      <c r="AM24" s="14"/>
      <c r="AN24" s="14"/>
      <c r="AO24" s="14"/>
      <c r="AP24" s="14"/>
      <c r="AQ24" s="14"/>
      <c r="AR24" s="14" t="s">
        <v>437</v>
      </c>
      <c r="AS24" s="14"/>
      <c r="AT24" s="14"/>
    </row>
    <row r="25" spans="1:46">
      <c r="A25" s="6" t="s">
        <v>489</v>
      </c>
      <c r="C25" s="6" t="s">
        <v>442</v>
      </c>
      <c r="D25" s="6" t="s">
        <v>435</v>
      </c>
      <c r="E25" s="6" t="s">
        <v>104</v>
      </c>
      <c r="F25" s="14">
        <v>6</v>
      </c>
      <c r="G25" s="14">
        <v>9</v>
      </c>
      <c r="H25" s="14">
        <v>0</v>
      </c>
      <c r="I25" s="14">
        <v>41</v>
      </c>
      <c r="J25" s="86">
        <f t="shared" si="0"/>
        <v>4</v>
      </c>
      <c r="K25" s="14" t="s">
        <v>529</v>
      </c>
      <c r="L25" s="14"/>
      <c r="M25" s="14"/>
      <c r="N25" s="14"/>
      <c r="O25" s="14"/>
      <c r="P25" s="14"/>
      <c r="Q25" s="14"/>
      <c r="R25" s="14"/>
      <c r="S25" s="14"/>
      <c r="T25" s="14"/>
      <c r="U25" s="14"/>
      <c r="V25" s="14"/>
      <c r="X25" s="14"/>
      <c r="Y25" s="14"/>
      <c r="Z25" s="14"/>
      <c r="AA25" s="14"/>
      <c r="AB25" s="14"/>
      <c r="AC25" s="14"/>
      <c r="AD25" s="14"/>
      <c r="AE25" s="14"/>
      <c r="AF25" s="14"/>
      <c r="AG25" s="14"/>
      <c r="AH25" s="14"/>
      <c r="AI25" s="14"/>
      <c r="AJ25" s="14"/>
      <c r="AK25" s="14"/>
      <c r="AL25" s="14"/>
      <c r="AM25" s="14"/>
      <c r="AN25" s="14"/>
      <c r="AO25" s="14"/>
      <c r="AP25" s="14"/>
      <c r="AQ25" s="14"/>
      <c r="AR25" s="14" t="s">
        <v>437</v>
      </c>
      <c r="AS25" s="14"/>
      <c r="AT25" s="14"/>
    </row>
    <row r="26" spans="1:46">
      <c r="A26" s="6" t="s">
        <v>613</v>
      </c>
      <c r="C26" s="6" t="s">
        <v>442</v>
      </c>
      <c r="D26" s="6" t="s">
        <v>435</v>
      </c>
      <c r="E26" s="6" t="s">
        <v>108</v>
      </c>
      <c r="F26" s="14">
        <v>8</v>
      </c>
      <c r="G26" s="14">
        <v>36</v>
      </c>
      <c r="H26" s="14">
        <v>36</v>
      </c>
      <c r="I26" s="14">
        <v>136</v>
      </c>
      <c r="J26" s="86">
        <f t="shared" si="0"/>
        <v>16</v>
      </c>
      <c r="K26" s="14" t="s">
        <v>531</v>
      </c>
      <c r="L26" s="14"/>
      <c r="M26" s="14"/>
      <c r="N26" s="14"/>
      <c r="O26" s="14"/>
      <c r="P26" s="14"/>
      <c r="Q26" s="14"/>
      <c r="R26" s="14"/>
      <c r="S26" s="14"/>
      <c r="T26" s="14"/>
      <c r="U26" s="14"/>
      <c r="V26" s="14"/>
      <c r="X26" s="14"/>
      <c r="Y26" s="14"/>
      <c r="Z26" s="14"/>
      <c r="AA26" s="14"/>
      <c r="AB26" s="14"/>
      <c r="AC26" s="14"/>
      <c r="AD26" s="14"/>
      <c r="AE26" s="14"/>
      <c r="AF26" s="14"/>
      <c r="AG26" s="14"/>
      <c r="AH26" s="14"/>
      <c r="AI26" s="14"/>
      <c r="AJ26" s="14"/>
      <c r="AK26" s="14"/>
      <c r="AL26" s="14"/>
      <c r="AM26" s="14"/>
      <c r="AN26" s="14"/>
      <c r="AO26" s="14"/>
      <c r="AP26" s="14"/>
      <c r="AQ26" s="14"/>
      <c r="AR26" s="14" t="s">
        <v>437</v>
      </c>
      <c r="AS26" s="14" t="s">
        <v>437</v>
      </c>
      <c r="AT26" s="14"/>
    </row>
    <row r="27" spans="1:46">
      <c r="A27" s="6" t="s">
        <v>614</v>
      </c>
      <c r="C27" s="6" t="s">
        <v>442</v>
      </c>
      <c r="D27" s="6" t="s">
        <v>435</v>
      </c>
      <c r="E27" s="6" t="s">
        <v>108</v>
      </c>
      <c r="F27" s="14">
        <v>8</v>
      </c>
      <c r="G27" s="14">
        <v>36</v>
      </c>
      <c r="H27" s="14">
        <v>36</v>
      </c>
      <c r="I27" s="14">
        <v>136</v>
      </c>
      <c r="J27" s="86">
        <f t="shared" si="0"/>
        <v>16</v>
      </c>
      <c r="K27" s="14" t="s">
        <v>528</v>
      </c>
      <c r="L27" s="14"/>
      <c r="M27" s="14"/>
      <c r="N27" s="14"/>
      <c r="O27" s="14"/>
      <c r="P27" s="14"/>
      <c r="Q27" s="14"/>
      <c r="R27" s="14"/>
      <c r="S27" s="14"/>
      <c r="T27" s="14"/>
      <c r="U27" s="14"/>
      <c r="V27" s="14"/>
      <c r="X27" s="14"/>
      <c r="Y27" s="14"/>
      <c r="Z27" s="14"/>
      <c r="AA27" s="14"/>
      <c r="AB27" s="14"/>
      <c r="AC27" s="14"/>
      <c r="AD27" s="14"/>
      <c r="AE27" s="14"/>
      <c r="AF27" s="14"/>
      <c r="AG27" s="14"/>
      <c r="AH27" s="14"/>
      <c r="AI27" s="14"/>
      <c r="AJ27" s="14"/>
      <c r="AK27" s="14"/>
      <c r="AL27" s="14"/>
      <c r="AM27" s="14"/>
      <c r="AN27" s="14"/>
      <c r="AO27" s="14"/>
      <c r="AP27" s="14"/>
      <c r="AQ27" s="14"/>
      <c r="AR27" s="14" t="s">
        <v>437</v>
      </c>
      <c r="AS27" s="14" t="s">
        <v>437</v>
      </c>
      <c r="AT27" s="14"/>
    </row>
    <row r="28" spans="1:46">
      <c r="A28" s="6" t="s">
        <v>615</v>
      </c>
      <c r="C28" s="6" t="s">
        <v>442</v>
      </c>
      <c r="D28" s="6" t="s">
        <v>435</v>
      </c>
      <c r="E28" s="6" t="s">
        <v>108</v>
      </c>
      <c r="F28" s="14">
        <v>8</v>
      </c>
      <c r="G28" s="14">
        <v>36</v>
      </c>
      <c r="H28" s="14">
        <v>36</v>
      </c>
      <c r="I28" s="14">
        <v>136</v>
      </c>
      <c r="J28" s="86">
        <f t="shared" si="0"/>
        <v>16</v>
      </c>
      <c r="K28" s="14" t="s">
        <v>529</v>
      </c>
      <c r="L28" s="14"/>
      <c r="M28" s="14"/>
      <c r="N28" s="14"/>
      <c r="O28" s="14"/>
      <c r="P28" s="14"/>
      <c r="Q28" s="14"/>
      <c r="R28" s="14"/>
      <c r="S28" s="14"/>
      <c r="T28" s="14"/>
      <c r="U28" s="14"/>
      <c r="V28" s="14"/>
      <c r="X28" s="14"/>
      <c r="Y28" s="14"/>
      <c r="Z28" s="14"/>
      <c r="AA28" s="14"/>
      <c r="AB28" s="14"/>
      <c r="AC28" s="14"/>
      <c r="AD28" s="14"/>
      <c r="AE28" s="14"/>
      <c r="AF28" s="14"/>
      <c r="AG28" s="14"/>
      <c r="AH28" s="14"/>
      <c r="AI28" s="14"/>
      <c r="AJ28" s="14"/>
      <c r="AK28" s="14"/>
      <c r="AL28" s="14"/>
      <c r="AM28" s="14"/>
      <c r="AN28" s="14"/>
      <c r="AO28" s="14"/>
      <c r="AP28" s="14"/>
      <c r="AQ28" s="14"/>
      <c r="AR28" s="14" t="s">
        <v>437</v>
      </c>
      <c r="AS28" s="14" t="s">
        <v>437</v>
      </c>
      <c r="AT28" s="14"/>
    </row>
    <row r="29" spans="1:46">
      <c r="A29" s="6" t="s">
        <v>616</v>
      </c>
      <c r="C29" s="6" t="s">
        <v>442</v>
      </c>
      <c r="D29" s="6" t="s">
        <v>435</v>
      </c>
      <c r="E29" s="6" t="s">
        <v>108</v>
      </c>
      <c r="F29" s="14">
        <v>8</v>
      </c>
      <c r="G29" s="14">
        <v>36</v>
      </c>
      <c r="H29" s="14">
        <v>36</v>
      </c>
      <c r="I29" s="14">
        <v>136</v>
      </c>
      <c r="J29" s="86">
        <f t="shared" si="0"/>
        <v>16</v>
      </c>
      <c r="K29" s="14" t="s">
        <v>531</v>
      </c>
      <c r="L29" s="14"/>
      <c r="M29" s="14"/>
      <c r="N29" s="14"/>
      <c r="O29" s="14"/>
      <c r="P29" s="14"/>
      <c r="Q29" s="14"/>
      <c r="R29" s="14"/>
      <c r="S29" s="14"/>
      <c r="T29" s="14"/>
      <c r="U29" s="14"/>
      <c r="V29" s="14"/>
      <c r="X29" s="14"/>
      <c r="Y29" s="14"/>
      <c r="Z29" s="14"/>
      <c r="AA29" s="14"/>
      <c r="AB29" s="14"/>
      <c r="AC29" s="14"/>
      <c r="AD29" s="14"/>
      <c r="AE29" s="14"/>
      <c r="AF29" s="14"/>
      <c r="AG29" s="14"/>
      <c r="AH29" s="14"/>
      <c r="AI29" s="14"/>
      <c r="AJ29" s="14"/>
      <c r="AK29" s="14"/>
      <c r="AL29" s="14"/>
      <c r="AM29" s="14"/>
      <c r="AN29" s="14"/>
      <c r="AO29" s="14"/>
      <c r="AP29" s="14"/>
      <c r="AQ29" s="14"/>
      <c r="AR29" s="14" t="s">
        <v>437</v>
      </c>
      <c r="AS29" s="14" t="s">
        <v>437</v>
      </c>
      <c r="AT29" s="14"/>
    </row>
    <row r="30" spans="1:46">
      <c r="A30" s="6" t="s">
        <v>621</v>
      </c>
      <c r="C30" s="6" t="s">
        <v>442</v>
      </c>
      <c r="D30" s="6" t="s">
        <v>435</v>
      </c>
      <c r="E30" s="6" t="s">
        <v>108</v>
      </c>
      <c r="F30" s="14">
        <v>8</v>
      </c>
      <c r="G30" s="14">
        <v>36</v>
      </c>
      <c r="H30" s="14">
        <v>36</v>
      </c>
      <c r="I30" s="14">
        <v>136</v>
      </c>
      <c r="J30" s="86">
        <f t="shared" si="0"/>
        <v>16</v>
      </c>
      <c r="K30" s="14" t="s">
        <v>528</v>
      </c>
      <c r="L30" s="14"/>
      <c r="M30" s="14"/>
      <c r="N30" s="14"/>
      <c r="O30" s="14"/>
      <c r="P30" s="14"/>
      <c r="Q30" s="14"/>
      <c r="R30" s="14"/>
      <c r="S30" s="14"/>
      <c r="T30" s="14"/>
      <c r="U30" s="14"/>
      <c r="V30" s="14"/>
      <c r="X30" s="14"/>
      <c r="Y30" s="14"/>
      <c r="Z30" s="14"/>
      <c r="AA30" s="14"/>
      <c r="AB30" s="14"/>
      <c r="AC30" s="14"/>
      <c r="AD30" s="14"/>
      <c r="AE30" s="14"/>
      <c r="AF30" s="14"/>
      <c r="AG30" s="14"/>
      <c r="AH30" s="14"/>
      <c r="AI30" s="14"/>
      <c r="AJ30" s="14"/>
      <c r="AK30" s="14"/>
      <c r="AL30" s="14"/>
      <c r="AM30" s="14"/>
      <c r="AN30" s="14"/>
      <c r="AO30" s="14"/>
      <c r="AP30" s="14"/>
      <c r="AQ30" s="14"/>
      <c r="AR30" s="14" t="s">
        <v>437</v>
      </c>
      <c r="AS30" s="14" t="s">
        <v>437</v>
      </c>
      <c r="AT30" s="14"/>
    </row>
    <row r="31" spans="1:46">
      <c r="A31" s="6" t="s">
        <v>622</v>
      </c>
      <c r="C31" s="6" t="s">
        <v>442</v>
      </c>
      <c r="D31" s="6" t="s">
        <v>435</v>
      </c>
      <c r="E31" s="6" t="s">
        <v>108</v>
      </c>
      <c r="F31" s="14">
        <v>8</v>
      </c>
      <c r="G31" s="14">
        <v>36</v>
      </c>
      <c r="H31" s="14">
        <v>36</v>
      </c>
      <c r="I31" s="14">
        <v>136</v>
      </c>
      <c r="J31" s="86">
        <f t="shared" si="0"/>
        <v>16</v>
      </c>
      <c r="K31" s="14" t="s">
        <v>529</v>
      </c>
      <c r="L31" s="14"/>
      <c r="M31" s="14"/>
      <c r="N31" s="14"/>
      <c r="O31" s="14"/>
      <c r="P31" s="14"/>
      <c r="Q31" s="14"/>
      <c r="R31" s="14"/>
      <c r="S31" s="14"/>
      <c r="T31" s="14"/>
      <c r="U31" s="14"/>
      <c r="V31" s="14"/>
      <c r="X31" s="14"/>
      <c r="Y31" s="14"/>
      <c r="Z31" s="14"/>
      <c r="AA31" s="14"/>
      <c r="AB31" s="14"/>
      <c r="AC31" s="14"/>
      <c r="AD31" s="14"/>
      <c r="AE31" s="14"/>
      <c r="AF31" s="14"/>
      <c r="AG31" s="14"/>
      <c r="AH31" s="14"/>
      <c r="AI31" s="14"/>
      <c r="AJ31" s="14"/>
      <c r="AK31" s="14"/>
      <c r="AL31" s="14"/>
      <c r="AM31" s="14"/>
      <c r="AN31" s="14"/>
      <c r="AO31" s="14"/>
      <c r="AP31" s="14"/>
      <c r="AQ31" s="14"/>
      <c r="AR31" s="14" t="s">
        <v>437</v>
      </c>
      <c r="AS31" s="14" t="s">
        <v>437</v>
      </c>
      <c r="AT31" s="14"/>
    </row>
    <row r="32" spans="1:46">
      <c r="A32" s="6" t="s">
        <v>633</v>
      </c>
      <c r="C32" s="6" t="s">
        <v>442</v>
      </c>
      <c r="D32" s="6" t="s">
        <v>435</v>
      </c>
      <c r="E32" s="6" t="s">
        <v>108</v>
      </c>
      <c r="F32" s="14">
        <v>8</v>
      </c>
      <c r="G32" s="14">
        <v>36</v>
      </c>
      <c r="H32" s="14">
        <v>36</v>
      </c>
      <c r="I32" s="14">
        <v>136</v>
      </c>
      <c r="J32" s="86">
        <f t="shared" si="0"/>
        <v>16</v>
      </c>
      <c r="K32" s="14" t="s">
        <v>531</v>
      </c>
      <c r="L32" s="14"/>
      <c r="M32" s="14"/>
      <c r="N32" s="14"/>
      <c r="O32" s="14"/>
      <c r="P32" s="14"/>
      <c r="Q32" s="14"/>
      <c r="R32" s="14"/>
      <c r="S32" s="14"/>
      <c r="T32" s="14"/>
      <c r="U32" s="14"/>
      <c r="V32" s="14"/>
      <c r="X32" s="14"/>
      <c r="Y32" s="14"/>
      <c r="Z32" s="14"/>
      <c r="AA32" s="14"/>
      <c r="AB32" s="14"/>
      <c r="AC32" s="14"/>
      <c r="AD32" s="14"/>
      <c r="AE32" s="14"/>
      <c r="AF32" s="14"/>
      <c r="AG32" s="14"/>
      <c r="AH32" s="14"/>
      <c r="AI32" s="14"/>
      <c r="AJ32" s="14"/>
      <c r="AK32" s="14"/>
      <c r="AL32" s="14"/>
      <c r="AM32" s="14"/>
      <c r="AN32" s="14"/>
      <c r="AO32" s="14"/>
      <c r="AP32" s="14"/>
      <c r="AQ32" s="14"/>
      <c r="AR32" s="14" t="s">
        <v>437</v>
      </c>
      <c r="AS32" s="14" t="s">
        <v>437</v>
      </c>
      <c r="AT32" s="14"/>
    </row>
    <row r="33" spans="1:46">
      <c r="A33" s="6" t="s">
        <v>634</v>
      </c>
      <c r="C33" s="6" t="s">
        <v>442</v>
      </c>
      <c r="D33" s="6" t="s">
        <v>435</v>
      </c>
      <c r="E33" s="6" t="s">
        <v>108</v>
      </c>
      <c r="F33" s="14">
        <v>8</v>
      </c>
      <c r="G33" s="14">
        <v>36</v>
      </c>
      <c r="H33" s="14">
        <v>36</v>
      </c>
      <c r="I33" s="14">
        <v>136</v>
      </c>
      <c r="J33" s="86">
        <f t="shared" si="0"/>
        <v>16</v>
      </c>
      <c r="K33" s="14" t="s">
        <v>528</v>
      </c>
      <c r="L33" s="14"/>
      <c r="M33" s="14"/>
      <c r="N33" s="14"/>
      <c r="O33" s="14"/>
      <c r="P33" s="14"/>
      <c r="Q33" s="14"/>
      <c r="R33" s="14"/>
      <c r="S33" s="14"/>
      <c r="T33" s="14"/>
      <c r="U33" s="14"/>
      <c r="V33" s="14"/>
      <c r="X33" s="14"/>
      <c r="Y33" s="14"/>
      <c r="Z33" s="14"/>
      <c r="AA33" s="14"/>
      <c r="AB33" s="14"/>
      <c r="AC33" s="14"/>
      <c r="AD33" s="14"/>
      <c r="AE33" s="14"/>
      <c r="AF33" s="14"/>
      <c r="AG33" s="14"/>
      <c r="AH33" s="14"/>
      <c r="AI33" s="14"/>
      <c r="AJ33" s="14"/>
      <c r="AK33" s="14"/>
      <c r="AL33" s="14"/>
      <c r="AM33" s="14"/>
      <c r="AN33" s="14"/>
      <c r="AO33" s="14"/>
      <c r="AP33" s="14"/>
      <c r="AQ33" s="14"/>
      <c r="AR33" s="14" t="s">
        <v>437</v>
      </c>
      <c r="AS33" s="14" t="s">
        <v>437</v>
      </c>
      <c r="AT33" s="14"/>
    </row>
    <row r="34" spans="1:46">
      <c r="A34" s="6" t="s">
        <v>644</v>
      </c>
      <c r="C34" s="6" t="s">
        <v>442</v>
      </c>
      <c r="D34" s="21" t="s">
        <v>488</v>
      </c>
      <c r="E34" s="6" t="s">
        <v>112</v>
      </c>
      <c r="F34" s="14">
        <v>4</v>
      </c>
      <c r="G34" s="14">
        <v>4</v>
      </c>
      <c r="H34" s="14">
        <v>0</v>
      </c>
      <c r="I34" s="14">
        <v>100</v>
      </c>
      <c r="J34" s="86">
        <v>0</v>
      </c>
      <c r="K34" s="14" t="s">
        <v>529</v>
      </c>
      <c r="L34" s="14"/>
      <c r="M34" s="14"/>
      <c r="N34" s="14"/>
      <c r="O34" s="14"/>
      <c r="P34" s="14"/>
      <c r="Q34" s="14"/>
      <c r="R34" s="14"/>
      <c r="S34" s="14"/>
      <c r="T34" s="14"/>
      <c r="U34" s="14"/>
      <c r="V34" s="14"/>
      <c r="X34" s="14"/>
      <c r="Y34" s="14"/>
      <c r="Z34" s="14"/>
      <c r="AA34" s="14"/>
      <c r="AB34" s="14"/>
      <c r="AC34" s="14"/>
      <c r="AD34" s="14"/>
      <c r="AE34" s="14"/>
      <c r="AF34" s="14"/>
      <c r="AG34" s="14"/>
      <c r="AH34" s="14"/>
      <c r="AI34" s="14"/>
      <c r="AJ34" s="14"/>
      <c r="AK34" s="14"/>
      <c r="AL34" s="14"/>
      <c r="AM34" s="14"/>
      <c r="AN34" s="14"/>
      <c r="AO34" s="14"/>
      <c r="AP34" s="14"/>
      <c r="AQ34" s="14"/>
      <c r="AR34" s="14" t="s">
        <v>437</v>
      </c>
      <c r="AS34" s="14"/>
      <c r="AT34" s="14"/>
    </row>
    <row r="35" spans="1:46">
      <c r="A35" s="6" t="s">
        <v>645</v>
      </c>
      <c r="C35" s="6" t="s">
        <v>442</v>
      </c>
      <c r="D35" s="21" t="s">
        <v>488</v>
      </c>
      <c r="E35" s="6" t="s">
        <v>120</v>
      </c>
      <c r="F35" s="14">
        <v>4</v>
      </c>
      <c r="G35" s="14">
        <v>16</v>
      </c>
      <c r="H35" s="14">
        <v>0</v>
      </c>
      <c r="I35" s="14">
        <v>110</v>
      </c>
      <c r="J35" s="86">
        <v>0</v>
      </c>
      <c r="K35" s="14" t="s">
        <v>531</v>
      </c>
      <c r="L35" s="14"/>
      <c r="M35" s="14"/>
      <c r="N35" s="14"/>
      <c r="O35" s="14"/>
      <c r="P35" s="14"/>
      <c r="Q35" s="14"/>
      <c r="R35" s="14"/>
      <c r="S35" s="14"/>
      <c r="T35" s="14"/>
      <c r="U35" s="14"/>
      <c r="V35" s="14"/>
      <c r="X35" s="14"/>
      <c r="Y35" s="14"/>
      <c r="Z35" s="14"/>
      <c r="AA35" s="14"/>
      <c r="AB35" s="14"/>
      <c r="AC35" s="14"/>
      <c r="AD35" s="14"/>
      <c r="AE35" s="14"/>
      <c r="AF35" s="14"/>
      <c r="AG35" s="14"/>
      <c r="AH35" s="14"/>
      <c r="AI35" s="14"/>
      <c r="AJ35" s="14"/>
      <c r="AK35" s="14"/>
      <c r="AL35" s="14"/>
      <c r="AM35" s="14"/>
      <c r="AN35" s="14"/>
      <c r="AO35" s="14"/>
      <c r="AP35" s="14"/>
      <c r="AQ35" s="14"/>
      <c r="AR35" s="14" t="s">
        <v>437</v>
      </c>
      <c r="AS35" s="14"/>
      <c r="AT35" s="14"/>
    </row>
    <row r="36" spans="1:46">
      <c r="A36" s="6" t="s">
        <v>490</v>
      </c>
      <c r="C36" s="6" t="s">
        <v>442</v>
      </c>
      <c r="D36" s="21" t="s">
        <v>488</v>
      </c>
      <c r="E36" s="6" t="s">
        <v>116</v>
      </c>
      <c r="F36" s="14">
        <v>4</v>
      </c>
      <c r="G36" s="14">
        <v>14</v>
      </c>
      <c r="H36" s="14">
        <v>0</v>
      </c>
      <c r="I36" s="14">
        <v>120</v>
      </c>
      <c r="J36" s="86">
        <v>0</v>
      </c>
      <c r="K36" s="14" t="s">
        <v>531</v>
      </c>
      <c r="L36" s="14"/>
      <c r="M36" s="14"/>
      <c r="N36" s="14"/>
      <c r="O36" s="14"/>
      <c r="P36" s="14"/>
      <c r="Q36" s="14"/>
      <c r="R36" s="14"/>
      <c r="S36" s="14"/>
      <c r="T36" s="14"/>
      <c r="U36" s="14"/>
      <c r="V36" s="14"/>
      <c r="X36" s="14"/>
      <c r="Y36" s="14"/>
      <c r="Z36" s="14"/>
      <c r="AA36" s="14"/>
      <c r="AB36" s="14"/>
      <c r="AC36" s="14"/>
      <c r="AD36" s="14"/>
      <c r="AE36" s="14"/>
      <c r="AF36" s="14"/>
      <c r="AG36" s="14"/>
      <c r="AH36" s="14"/>
      <c r="AI36" s="14"/>
      <c r="AJ36" s="14"/>
      <c r="AK36" s="14"/>
      <c r="AL36" s="14"/>
      <c r="AM36" s="14"/>
      <c r="AN36" s="14"/>
      <c r="AO36" s="14"/>
      <c r="AP36" s="14"/>
      <c r="AQ36" s="14"/>
      <c r="AR36" s="14" t="s">
        <v>437</v>
      </c>
      <c r="AS36" s="14"/>
      <c r="AT36" s="14"/>
    </row>
    <row r="37" spans="1:46">
      <c r="A37" s="6" t="s">
        <v>465</v>
      </c>
      <c r="B37" s="14"/>
      <c r="C37" s="6" t="s">
        <v>442</v>
      </c>
      <c r="D37" s="6" t="s">
        <v>435</v>
      </c>
      <c r="E37" s="6" t="s">
        <v>124</v>
      </c>
      <c r="F37" s="14">
        <v>9</v>
      </c>
      <c r="G37" s="14">
        <v>12</v>
      </c>
      <c r="H37" s="14">
        <v>0</v>
      </c>
      <c r="I37" s="14">
        <v>56</v>
      </c>
      <c r="J37" s="86">
        <f t="shared" ref="J37:J45" si="1">IF(G37&gt;=10,16, 4)</f>
        <v>16</v>
      </c>
      <c r="K37" s="14" t="s">
        <v>528</v>
      </c>
      <c r="L37" s="14"/>
      <c r="M37" s="14"/>
      <c r="N37" s="14"/>
      <c r="O37" s="14"/>
      <c r="P37" s="14"/>
      <c r="Q37" s="14"/>
      <c r="R37" s="14"/>
      <c r="S37" s="14"/>
      <c r="T37" s="14"/>
      <c r="U37" s="14"/>
      <c r="V37" s="14"/>
      <c r="X37" s="14"/>
      <c r="Y37" s="14"/>
      <c r="Z37" s="14">
        <v>50</v>
      </c>
      <c r="AA37" s="14" t="s">
        <v>466</v>
      </c>
      <c r="AB37" s="14"/>
      <c r="AC37" s="14"/>
      <c r="AD37" s="14"/>
      <c r="AE37" s="14"/>
      <c r="AF37" s="14"/>
      <c r="AG37" s="14"/>
      <c r="AH37" s="14"/>
      <c r="AI37" s="14"/>
      <c r="AJ37" s="14"/>
      <c r="AK37" s="14"/>
      <c r="AL37" s="14"/>
      <c r="AM37" s="14"/>
      <c r="AN37" s="14"/>
      <c r="AO37" s="14"/>
      <c r="AP37" s="14"/>
      <c r="AQ37" s="14"/>
      <c r="AR37" s="14" t="s">
        <v>437</v>
      </c>
      <c r="AS37" s="14"/>
      <c r="AT37" s="14"/>
    </row>
    <row r="38" spans="1:46">
      <c r="A38" s="6" t="s">
        <v>467</v>
      </c>
      <c r="C38" s="6" t="s">
        <v>442</v>
      </c>
      <c r="D38" s="6" t="s">
        <v>435</v>
      </c>
      <c r="E38" s="6" t="s">
        <v>124</v>
      </c>
      <c r="F38" s="14">
        <v>9</v>
      </c>
      <c r="G38" s="14">
        <v>12</v>
      </c>
      <c r="H38" s="14">
        <v>0</v>
      </c>
      <c r="I38" s="14">
        <v>56</v>
      </c>
      <c r="J38" s="86">
        <f t="shared" si="1"/>
        <v>16</v>
      </c>
      <c r="K38" s="14" t="s">
        <v>529</v>
      </c>
      <c r="L38" s="14"/>
      <c r="M38" s="14"/>
      <c r="N38" s="14"/>
      <c r="O38" s="14"/>
      <c r="P38" s="14"/>
      <c r="Q38" s="14"/>
      <c r="R38" s="14"/>
      <c r="S38" s="14"/>
      <c r="T38" s="14"/>
      <c r="U38" s="14"/>
      <c r="V38" s="14"/>
      <c r="X38" s="14"/>
      <c r="Y38" s="14"/>
      <c r="Z38" s="14">
        <v>50</v>
      </c>
      <c r="AA38" s="14" t="s">
        <v>466</v>
      </c>
      <c r="AB38" s="14"/>
      <c r="AC38" s="14"/>
      <c r="AD38" s="14"/>
      <c r="AE38" s="14"/>
      <c r="AF38" s="14"/>
      <c r="AG38" s="14"/>
      <c r="AH38" s="14"/>
      <c r="AI38" s="14"/>
      <c r="AJ38" s="14"/>
      <c r="AK38" s="14"/>
      <c r="AL38" s="14"/>
      <c r="AM38" s="14"/>
      <c r="AN38" s="14"/>
      <c r="AO38" s="14"/>
      <c r="AP38" s="14"/>
      <c r="AQ38" s="14"/>
      <c r="AR38" s="14" t="s">
        <v>437</v>
      </c>
      <c r="AS38" s="14"/>
      <c r="AT38" s="14"/>
    </row>
    <row r="39" spans="1:46">
      <c r="A39" s="6" t="s">
        <v>635</v>
      </c>
      <c r="C39" s="6" t="s">
        <v>442</v>
      </c>
      <c r="D39" s="6" t="s">
        <v>435</v>
      </c>
      <c r="E39" s="6" t="s">
        <v>124</v>
      </c>
      <c r="F39" s="14">
        <v>9</v>
      </c>
      <c r="G39" s="14">
        <v>12</v>
      </c>
      <c r="H39" s="14">
        <v>0</v>
      </c>
      <c r="I39" s="14">
        <v>56</v>
      </c>
      <c r="J39" s="86">
        <f t="shared" si="1"/>
        <v>16</v>
      </c>
      <c r="K39" s="14" t="s">
        <v>531</v>
      </c>
      <c r="L39" s="14"/>
      <c r="M39" s="14"/>
      <c r="N39" s="14"/>
      <c r="O39" s="14"/>
      <c r="P39" s="14"/>
      <c r="Q39" s="14"/>
      <c r="R39" s="14"/>
      <c r="S39" s="14"/>
      <c r="T39" s="14"/>
      <c r="U39" s="14"/>
      <c r="V39" s="14"/>
      <c r="X39" s="14"/>
      <c r="Y39" s="14"/>
      <c r="Z39" s="14">
        <v>50</v>
      </c>
      <c r="AA39" s="14" t="s">
        <v>466</v>
      </c>
      <c r="AB39" s="14"/>
      <c r="AC39" s="14"/>
      <c r="AD39" s="14"/>
      <c r="AE39" s="14"/>
      <c r="AF39" s="14"/>
      <c r="AG39" s="14"/>
      <c r="AH39" s="14"/>
      <c r="AI39" s="14"/>
      <c r="AJ39" s="14"/>
      <c r="AK39" s="14"/>
      <c r="AL39" s="14"/>
      <c r="AM39" s="14"/>
      <c r="AN39" s="14"/>
      <c r="AO39" s="14"/>
      <c r="AP39" s="14"/>
      <c r="AQ39" s="14"/>
      <c r="AR39" s="14" t="s">
        <v>437</v>
      </c>
      <c r="AS39" s="14"/>
      <c r="AT39" s="14"/>
    </row>
    <row r="40" spans="1:46">
      <c r="A40" s="6" t="s">
        <v>636</v>
      </c>
      <c r="C40" s="6" t="s">
        <v>442</v>
      </c>
      <c r="D40" s="6" t="s">
        <v>435</v>
      </c>
      <c r="E40" s="6" t="s">
        <v>124</v>
      </c>
      <c r="F40" s="14">
        <v>9</v>
      </c>
      <c r="G40" s="14">
        <v>12</v>
      </c>
      <c r="H40" s="14">
        <v>0</v>
      </c>
      <c r="I40" s="14">
        <v>56</v>
      </c>
      <c r="J40" s="86">
        <f t="shared" si="1"/>
        <v>16</v>
      </c>
      <c r="K40" s="14" t="s">
        <v>528</v>
      </c>
      <c r="L40" s="14"/>
      <c r="M40" s="14"/>
      <c r="N40" s="14"/>
      <c r="O40" s="14"/>
      <c r="P40" s="14"/>
      <c r="Q40" s="14"/>
      <c r="R40" s="14"/>
      <c r="S40" s="14"/>
      <c r="T40" s="14"/>
      <c r="U40" s="14"/>
      <c r="V40" s="14"/>
      <c r="X40" s="14"/>
      <c r="Y40" s="14"/>
      <c r="Z40" s="14">
        <v>50</v>
      </c>
      <c r="AA40" s="14" t="s">
        <v>466</v>
      </c>
      <c r="AB40" s="14"/>
      <c r="AC40" s="14"/>
      <c r="AD40" s="14"/>
      <c r="AE40" s="14"/>
      <c r="AF40" s="14"/>
      <c r="AG40" s="14"/>
      <c r="AH40" s="14"/>
      <c r="AI40" s="14"/>
      <c r="AJ40" s="14"/>
      <c r="AK40" s="14"/>
      <c r="AL40" s="14"/>
      <c r="AM40" s="14"/>
      <c r="AN40" s="14"/>
      <c r="AO40" s="14"/>
      <c r="AP40" s="14"/>
      <c r="AQ40" s="14"/>
      <c r="AR40" s="14" t="s">
        <v>437</v>
      </c>
      <c r="AS40" s="14"/>
      <c r="AT40" s="14"/>
    </row>
    <row r="41" spans="1:46">
      <c r="A41" s="6" t="s">
        <v>468</v>
      </c>
      <c r="C41" s="6" t="s">
        <v>442</v>
      </c>
      <c r="D41" s="6" t="s">
        <v>435</v>
      </c>
      <c r="E41" s="6" t="s">
        <v>469</v>
      </c>
      <c r="F41" s="14">
        <v>4</v>
      </c>
      <c r="G41" s="14">
        <v>4</v>
      </c>
      <c r="H41" s="14">
        <v>0</v>
      </c>
      <c r="I41" s="14">
        <v>41</v>
      </c>
      <c r="J41" s="86">
        <f t="shared" si="1"/>
        <v>4</v>
      </c>
      <c r="K41" s="14" t="s">
        <v>531</v>
      </c>
      <c r="L41" s="14"/>
      <c r="M41" s="14"/>
      <c r="N41" s="14"/>
      <c r="O41" s="14"/>
      <c r="P41" s="14"/>
      <c r="Q41" s="14"/>
      <c r="R41" s="14"/>
      <c r="S41" s="14"/>
      <c r="T41" s="14"/>
      <c r="U41" s="14"/>
      <c r="V41" s="14"/>
      <c r="X41" s="14"/>
      <c r="Y41" s="14"/>
      <c r="Z41" s="86"/>
      <c r="AA41" s="14"/>
      <c r="AB41" s="14"/>
      <c r="AC41" s="14"/>
      <c r="AD41" s="14"/>
      <c r="AE41" s="14"/>
      <c r="AF41" s="14"/>
      <c r="AG41" s="14"/>
      <c r="AH41" s="14"/>
      <c r="AI41" s="14"/>
      <c r="AJ41" s="14"/>
      <c r="AK41" s="14"/>
      <c r="AL41" s="14"/>
      <c r="AM41" s="14"/>
      <c r="AN41" s="14"/>
      <c r="AO41" s="14"/>
      <c r="AP41" s="14"/>
      <c r="AQ41" s="14"/>
      <c r="AR41" s="14" t="s">
        <v>437</v>
      </c>
      <c r="AS41" s="14"/>
      <c r="AT41" s="14"/>
    </row>
    <row r="42" spans="1:46">
      <c r="A42" s="6" t="s">
        <v>470</v>
      </c>
      <c r="C42" s="6" t="s">
        <v>442</v>
      </c>
      <c r="D42" s="6" t="s">
        <v>435</v>
      </c>
      <c r="E42" s="6" t="s">
        <v>471</v>
      </c>
      <c r="F42" s="14">
        <v>4</v>
      </c>
      <c r="G42" s="14">
        <v>4</v>
      </c>
      <c r="H42" s="14">
        <v>0</v>
      </c>
      <c r="I42" s="14">
        <v>41</v>
      </c>
      <c r="J42" s="86">
        <f t="shared" si="1"/>
        <v>4</v>
      </c>
      <c r="K42" s="14" t="s">
        <v>531</v>
      </c>
      <c r="L42" s="14"/>
      <c r="M42" s="14"/>
      <c r="N42" s="14"/>
      <c r="O42" s="14"/>
      <c r="P42" s="14"/>
      <c r="Q42" s="14"/>
      <c r="R42" s="14"/>
      <c r="S42" s="14"/>
      <c r="T42" s="14"/>
      <c r="U42" s="14"/>
      <c r="V42" s="14"/>
      <c r="X42" s="14"/>
      <c r="Y42" s="14"/>
      <c r="Z42" s="86"/>
      <c r="AA42" s="14"/>
      <c r="AB42" s="14"/>
      <c r="AC42" s="14"/>
      <c r="AD42" s="14"/>
      <c r="AE42" s="14"/>
      <c r="AF42" s="14"/>
      <c r="AG42" s="14"/>
      <c r="AH42" s="14"/>
      <c r="AI42" s="14"/>
      <c r="AJ42" s="14"/>
      <c r="AK42" s="14"/>
      <c r="AL42" s="14"/>
      <c r="AM42" s="14"/>
      <c r="AN42" s="14"/>
      <c r="AO42" s="14"/>
      <c r="AP42" s="14"/>
      <c r="AQ42" s="14"/>
      <c r="AR42" s="14" t="s">
        <v>437</v>
      </c>
      <c r="AS42" s="14"/>
      <c r="AT42" s="14"/>
    </row>
    <row r="43" spans="1:46" s="36" customFormat="1" ht="14.45">
      <c r="A43" s="6" t="s">
        <v>472</v>
      </c>
      <c r="B43" s="6"/>
      <c r="C43" s="6" t="s">
        <v>442</v>
      </c>
      <c r="D43" s="6" t="s">
        <v>435</v>
      </c>
      <c r="E43" s="6" t="s">
        <v>473</v>
      </c>
      <c r="F43" s="14">
        <v>8</v>
      </c>
      <c r="G43" s="14">
        <v>11</v>
      </c>
      <c r="H43" s="14">
        <v>0</v>
      </c>
      <c r="I43" s="14">
        <v>125</v>
      </c>
      <c r="J43" s="86">
        <f t="shared" si="1"/>
        <v>16</v>
      </c>
      <c r="K43" s="14" t="s">
        <v>528</v>
      </c>
      <c r="L43" s="86"/>
      <c r="M43" s="86"/>
      <c r="N43" s="45"/>
      <c r="O43" s="44"/>
      <c r="P43" s="86"/>
      <c r="Q43" s="86"/>
      <c r="R43" s="86"/>
      <c r="S43" s="86"/>
      <c r="T43" s="86"/>
      <c r="U43" s="86"/>
      <c r="X43" s="86"/>
      <c r="Y43" s="86"/>
      <c r="Z43" s="86"/>
      <c r="AA43" s="86"/>
      <c r="AB43" s="86"/>
      <c r="AC43" s="86"/>
      <c r="AD43" s="86"/>
      <c r="AE43" s="86"/>
      <c r="AH43" s="86">
        <v>135</v>
      </c>
      <c r="AI43" s="86" t="s">
        <v>474</v>
      </c>
      <c r="AJ43" s="86"/>
      <c r="AK43" s="86"/>
      <c r="AL43" s="86"/>
      <c r="AM43" s="86"/>
      <c r="AN43" s="86"/>
      <c r="AO43" s="86"/>
      <c r="AP43" s="86"/>
      <c r="AQ43" s="86"/>
      <c r="AR43" s="86" t="s">
        <v>437</v>
      </c>
      <c r="AS43" s="86"/>
      <c r="AT43" s="86"/>
    </row>
    <row r="44" spans="1:46" ht="13.5" customHeight="1">
      <c r="A44" s="6" t="s">
        <v>480</v>
      </c>
      <c r="C44" s="6" t="s">
        <v>442</v>
      </c>
      <c r="D44" s="6" t="s">
        <v>435</v>
      </c>
      <c r="E44" s="6" t="s">
        <v>637</v>
      </c>
      <c r="F44" s="14">
        <v>6</v>
      </c>
      <c r="G44" s="14">
        <v>6</v>
      </c>
      <c r="H44" s="14">
        <v>0</v>
      </c>
      <c r="I44" s="14">
        <v>60</v>
      </c>
      <c r="J44" s="86">
        <f t="shared" si="1"/>
        <v>4</v>
      </c>
      <c r="K44" s="14" t="s">
        <v>529</v>
      </c>
      <c r="L44" s="14"/>
      <c r="M44" s="14"/>
      <c r="N44" s="2"/>
      <c r="O44"/>
      <c r="P44" s="14"/>
      <c r="Q44" s="14"/>
      <c r="R44" s="14"/>
      <c r="S44" s="14"/>
      <c r="T44" s="14"/>
      <c r="U44" s="14"/>
      <c r="V44" s="14"/>
      <c r="X44" s="14"/>
      <c r="AF44" s="14"/>
      <c r="AG44" s="86"/>
      <c r="AH44" s="86">
        <v>135</v>
      </c>
      <c r="AI44" s="86" t="s">
        <v>474</v>
      </c>
      <c r="AJ44" s="86"/>
      <c r="AK44" s="86"/>
      <c r="AL44" s="86"/>
      <c r="AM44" s="86"/>
      <c r="AR44" s="14" t="s">
        <v>437</v>
      </c>
      <c r="AS44" s="14"/>
      <c r="AT44" s="14"/>
    </row>
    <row r="45" spans="1:46" ht="13.5" customHeight="1">
      <c r="A45" s="6" t="s">
        <v>476</v>
      </c>
      <c r="C45" s="6" t="s">
        <v>442</v>
      </c>
      <c r="D45" s="6" t="s">
        <v>435</v>
      </c>
      <c r="E45" s="6" t="s">
        <v>638</v>
      </c>
      <c r="F45" s="14">
        <v>6</v>
      </c>
      <c r="G45" s="14">
        <v>6</v>
      </c>
      <c r="H45" s="14">
        <v>0</v>
      </c>
      <c r="I45" s="14">
        <v>60</v>
      </c>
      <c r="J45" s="86">
        <f t="shared" si="1"/>
        <v>4</v>
      </c>
      <c r="K45" s="14" t="s">
        <v>531</v>
      </c>
      <c r="L45" s="14"/>
      <c r="M45" s="14"/>
      <c r="N45" s="2"/>
      <c r="O45"/>
      <c r="P45" s="14"/>
      <c r="Q45" s="14"/>
      <c r="R45" s="14"/>
      <c r="S45" s="14"/>
      <c r="T45" s="14"/>
      <c r="U45" s="14"/>
      <c r="V45" s="14"/>
      <c r="X45" s="14"/>
      <c r="AF45" s="14"/>
      <c r="AG45" s="86"/>
      <c r="AH45" s="86">
        <v>135</v>
      </c>
      <c r="AI45" s="86" t="s">
        <v>474</v>
      </c>
      <c r="AJ45" s="86"/>
      <c r="AK45" s="86"/>
      <c r="AL45" s="86"/>
      <c r="AM45" s="86"/>
      <c r="AR45" s="14" t="s">
        <v>437</v>
      </c>
      <c r="AS45" s="14"/>
      <c r="AT45" s="14"/>
    </row>
    <row r="46" spans="1:46" s="20" customFormat="1">
      <c r="F46" s="18">
        <f>SUM(F8:F45)</f>
        <v>248</v>
      </c>
      <c r="G46" s="18">
        <f>SUM(G8:G45)</f>
        <v>641</v>
      </c>
      <c r="H46" s="18">
        <f>SUM(H8:H45)</f>
        <v>379.25</v>
      </c>
      <c r="I46" s="18">
        <f>SUM(I8:I45)</f>
        <v>3365</v>
      </c>
      <c r="J46" s="18"/>
      <c r="K46" s="18"/>
      <c r="L46" s="18">
        <f>SUM(L8:L45)</f>
        <v>130</v>
      </c>
      <c r="M46" s="18"/>
      <c r="N46" s="18">
        <f>SUM(N8:N45)</f>
        <v>2500</v>
      </c>
      <c r="O46" s="18"/>
      <c r="P46" s="18">
        <f>SUM(P8:P45)</f>
        <v>3750</v>
      </c>
      <c r="Q46" s="18"/>
      <c r="R46" s="18">
        <f>SUM(R8:R45)</f>
        <v>600</v>
      </c>
      <c r="S46" s="18"/>
      <c r="T46" s="18">
        <f>SUM(T8:T45)</f>
        <v>300</v>
      </c>
      <c r="U46" s="18"/>
      <c r="V46" s="18">
        <f>SUM(V8:V45)</f>
        <v>0</v>
      </c>
      <c r="W46" s="18"/>
      <c r="X46" s="18">
        <f>SUM(X8:X45)</f>
        <v>11375</v>
      </c>
      <c r="Z46" s="18">
        <f>SUM(Z8:Z45)</f>
        <v>200</v>
      </c>
      <c r="AB46" s="18">
        <f>SUM(AB8:AB45)</f>
        <v>50</v>
      </c>
      <c r="AD46" s="18">
        <f>SUM(AD8:AD45)</f>
        <v>170</v>
      </c>
      <c r="AF46" s="18">
        <f>SUM(AF8:AF45)</f>
        <v>0</v>
      </c>
      <c r="AH46" s="18">
        <f>SUM(AH8:AH45)</f>
        <v>405</v>
      </c>
      <c r="AJ46" s="18">
        <f>SUM(AJ8:AJ45)</f>
        <v>0</v>
      </c>
      <c r="AL46" s="18">
        <f>SUM(AL8:AL45)</f>
        <v>0</v>
      </c>
      <c r="AN46" s="18">
        <f>SUM(AN8:AN45)</f>
        <v>3700</v>
      </c>
      <c r="AR46" s="18">
        <f>COUNTIF(AR8:AR45,"x")</f>
        <v>38</v>
      </c>
      <c r="AS46" s="18">
        <f>COUNTIF(AS8:AS45,"x")</f>
        <v>14</v>
      </c>
      <c r="AT46" s="18">
        <f>COUNTIF(AT8:AT45,"x")</f>
        <v>2</v>
      </c>
    </row>
    <row r="47" spans="1:46" ht="13.5" customHeight="1">
      <c r="A47" s="16" t="s">
        <v>475</v>
      </c>
      <c r="F47" s="14"/>
      <c r="G47" s="14"/>
      <c r="H47" s="14"/>
      <c r="I47" s="14"/>
      <c r="J47" s="14"/>
      <c r="K47" s="14"/>
      <c r="L47" s="14"/>
      <c r="M47" s="14"/>
      <c r="N47" s="14"/>
      <c r="O47"/>
      <c r="P47" s="14"/>
      <c r="Q47" s="14"/>
      <c r="R47" s="14"/>
      <c r="S47" s="14"/>
      <c r="T47" s="14"/>
      <c r="U47" s="14"/>
      <c r="V47" s="14"/>
      <c r="W47" s="6"/>
      <c r="X47" s="14"/>
      <c r="Z47" s="14"/>
      <c r="AB47" s="14"/>
      <c r="AD47" s="14"/>
      <c r="AF47" s="14"/>
      <c r="AG47" s="14"/>
      <c r="AH47" s="14"/>
      <c r="AI47" s="14"/>
      <c r="AJ47" s="14"/>
      <c r="AK47" s="14"/>
      <c r="AL47" s="14"/>
      <c r="AM47" s="14"/>
      <c r="AN47" s="14"/>
    </row>
    <row r="48" spans="1:46" s="36" customFormat="1" ht="14.45">
      <c r="A48" s="6" t="s">
        <v>476</v>
      </c>
      <c r="B48" s="6"/>
      <c r="C48" s="6" t="s">
        <v>442</v>
      </c>
      <c r="D48" s="6" t="s">
        <v>435</v>
      </c>
      <c r="E48" s="6" t="s">
        <v>477</v>
      </c>
      <c r="F48" s="14">
        <v>8</v>
      </c>
      <c r="G48" s="14">
        <v>16</v>
      </c>
      <c r="H48" s="14">
        <v>0</v>
      </c>
      <c r="I48" s="14">
        <v>30</v>
      </c>
      <c r="J48" s="86">
        <f>IF(G48&gt;=10,16, 4)-J45</f>
        <v>12</v>
      </c>
      <c r="K48" s="14" t="s">
        <v>531</v>
      </c>
      <c r="L48" s="86"/>
      <c r="M48" s="86"/>
      <c r="N48" s="45"/>
      <c r="O48" s="44"/>
      <c r="P48" s="86"/>
      <c r="Q48" s="86"/>
      <c r="R48" s="86"/>
      <c r="S48" s="86"/>
      <c r="T48" s="86"/>
      <c r="U48" s="86"/>
      <c r="X48" s="86">
        <v>200</v>
      </c>
      <c r="Y48" s="86" t="s">
        <v>206</v>
      </c>
      <c r="Z48" s="86"/>
      <c r="AA48" s="86"/>
      <c r="AB48" s="86"/>
      <c r="AC48" s="86"/>
      <c r="AD48" s="86"/>
      <c r="AE48" s="86"/>
      <c r="AF48" s="86"/>
      <c r="AG48" s="86"/>
      <c r="AH48" s="86"/>
      <c r="AI48" s="86"/>
      <c r="AJ48" s="86"/>
      <c r="AK48" s="86"/>
      <c r="AL48" s="86"/>
      <c r="AM48" s="86"/>
      <c r="AN48" s="86"/>
      <c r="AO48" s="86"/>
      <c r="AP48" s="86">
        <v>150</v>
      </c>
      <c r="AQ48" s="86" t="s">
        <v>474</v>
      </c>
      <c r="AR48" s="86"/>
      <c r="AS48" s="86"/>
      <c r="AT48" s="86"/>
    </row>
    <row r="49" spans="1:51" ht="12.95">
      <c r="A49" s="186" t="s">
        <v>478</v>
      </c>
      <c r="B49" s="187"/>
      <c r="F49" s="14"/>
      <c r="G49" s="14"/>
      <c r="H49" s="14"/>
      <c r="I49" s="14"/>
      <c r="J49" s="14"/>
      <c r="K49" s="14"/>
      <c r="L49" s="14"/>
      <c r="M49" s="14"/>
      <c r="N49" s="14"/>
      <c r="O49" s="14"/>
      <c r="P49" s="14"/>
      <c r="Q49" s="14"/>
      <c r="R49" s="14"/>
      <c r="S49" s="14"/>
      <c r="T49" s="14"/>
      <c r="U49" s="14"/>
      <c r="V49" s="14"/>
      <c r="X49" s="14"/>
      <c r="Z49" s="14"/>
      <c r="AB49" s="14"/>
      <c r="AD49" s="14"/>
      <c r="AF49" s="14"/>
      <c r="AN49" s="14"/>
      <c r="AS49" s="14"/>
      <c r="AT49" s="14"/>
    </row>
    <row r="50" spans="1:51" s="36" customFormat="1" ht="14.45">
      <c r="A50" s="6" t="s">
        <v>472</v>
      </c>
      <c r="B50" s="6"/>
      <c r="C50" s="6" t="s">
        <v>442</v>
      </c>
      <c r="D50" s="6" t="s">
        <v>435</v>
      </c>
      <c r="E50" s="6" t="s">
        <v>479</v>
      </c>
      <c r="F50" s="14">
        <v>8</v>
      </c>
      <c r="G50" s="14">
        <v>22</v>
      </c>
      <c r="H50" s="14">
        <v>0</v>
      </c>
      <c r="I50" s="14">
        <v>28</v>
      </c>
      <c r="J50" s="86">
        <f>IF(G50&gt;=10,16, 4)-J43</f>
        <v>0</v>
      </c>
      <c r="K50" s="14" t="s">
        <v>528</v>
      </c>
      <c r="L50" s="86"/>
      <c r="M50" s="86"/>
      <c r="N50" s="45"/>
      <c r="O50" s="44"/>
      <c r="P50" s="86"/>
      <c r="Q50" s="86"/>
      <c r="R50" s="86">
        <v>120</v>
      </c>
      <c r="S50" s="86" t="s">
        <v>449</v>
      </c>
      <c r="T50" s="86"/>
      <c r="U50" s="86"/>
      <c r="X50" s="86">
        <v>340</v>
      </c>
      <c r="Y50" s="86" t="s">
        <v>206</v>
      </c>
      <c r="Z50" s="86"/>
      <c r="AA50" s="86"/>
      <c r="AB50" s="86"/>
      <c r="AC50" s="86"/>
      <c r="AD50" s="86"/>
      <c r="AE50" s="86"/>
      <c r="AF50" s="86">
        <v>200</v>
      </c>
      <c r="AG50" s="86" t="s">
        <v>474</v>
      </c>
      <c r="AH50" s="86"/>
      <c r="AI50" s="86"/>
      <c r="AJ50" s="86"/>
      <c r="AK50" s="86"/>
      <c r="AL50" s="86"/>
      <c r="AM50" s="86"/>
      <c r="AN50" s="86"/>
      <c r="AO50" s="86"/>
      <c r="AP50" s="86"/>
      <c r="AQ50" s="86"/>
      <c r="AR50" s="86"/>
      <c r="AS50" s="86"/>
      <c r="AT50" s="86"/>
    </row>
    <row r="51" spans="1:51" s="19" customFormat="1" ht="13.5" customHeight="1">
      <c r="A51" s="19" t="s">
        <v>480</v>
      </c>
      <c r="C51" s="19" t="s">
        <v>442</v>
      </c>
      <c r="D51" s="19" t="s">
        <v>435</v>
      </c>
      <c r="E51" s="19" t="s">
        <v>481</v>
      </c>
      <c r="F51" s="17">
        <v>6</v>
      </c>
      <c r="G51" s="17">
        <v>17</v>
      </c>
      <c r="H51" s="17">
        <v>0</v>
      </c>
      <c r="I51" s="17">
        <v>30</v>
      </c>
      <c r="J51" s="17">
        <f>IF(G51&gt;=10,16, 4)-J44</f>
        <v>12</v>
      </c>
      <c r="K51" s="17" t="s">
        <v>529</v>
      </c>
      <c r="L51" s="17"/>
      <c r="M51" s="17"/>
      <c r="N51" s="99"/>
      <c r="O51" s="98"/>
      <c r="P51" s="17"/>
      <c r="Q51" s="17"/>
      <c r="R51" s="17"/>
      <c r="S51" s="17"/>
      <c r="V51" s="17"/>
      <c r="W51" s="17"/>
      <c r="X51" s="17"/>
      <c r="Y51" s="17"/>
      <c r="AD51" s="17"/>
      <c r="AE51" s="17"/>
      <c r="AF51" s="17"/>
      <c r="AG51" s="17"/>
      <c r="AH51" s="17"/>
      <c r="AP51" s="156"/>
      <c r="AQ51" s="156"/>
      <c r="AX51" s="17"/>
      <c r="AY51" s="17"/>
    </row>
    <row r="52" spans="1:51" ht="13.5" customHeight="1">
      <c r="F52" s="14">
        <f>SUM(F48:F51)+F46</f>
        <v>270</v>
      </c>
      <c r="G52" s="14">
        <f>SUM(G48:G51)+G46</f>
        <v>696</v>
      </c>
      <c r="H52" s="14">
        <f>SUM(H48:H51)+H46</f>
        <v>379.25</v>
      </c>
      <c r="I52" s="14">
        <f>SUM(I48:I51)+I46</f>
        <v>3453</v>
      </c>
      <c r="J52" s="14"/>
      <c r="K52" s="14"/>
      <c r="L52" s="14">
        <f>SUM(L48:L51)+L46</f>
        <v>130</v>
      </c>
      <c r="M52" s="14"/>
      <c r="N52" s="14">
        <f>SUM(N48:N51)+N46</f>
        <v>2500</v>
      </c>
      <c r="O52"/>
      <c r="P52" s="14">
        <f>SUM(P48:P51)+P46</f>
        <v>3750</v>
      </c>
      <c r="Q52" s="14"/>
      <c r="R52" s="14">
        <f>SUM(R48:R51)+R46</f>
        <v>720</v>
      </c>
      <c r="S52" s="14"/>
      <c r="T52" s="14">
        <f>SUM(T48:T51)+T46</f>
        <v>300</v>
      </c>
      <c r="V52" s="14">
        <f>SUM(V48:V51)+V46</f>
        <v>0</v>
      </c>
      <c r="X52" s="14">
        <f>SUM(X48:X51)+X46</f>
        <v>11915</v>
      </c>
      <c r="Z52" s="14">
        <f>SUM(Z48:Z51)+Z46</f>
        <v>200</v>
      </c>
      <c r="AB52" s="14">
        <f>SUM(AB48:AB51)+AB46</f>
        <v>50</v>
      </c>
      <c r="AD52" s="14">
        <f>SUM(AD48:AD51)+AD46</f>
        <v>170</v>
      </c>
      <c r="AE52" s="14"/>
      <c r="AF52" s="14">
        <f>SUM(AF48:AF51)+AF46</f>
        <v>200</v>
      </c>
      <c r="AG52" s="14"/>
      <c r="AH52" s="14">
        <f>SUM(AH48:AH51)+AH46</f>
        <v>405</v>
      </c>
      <c r="AI52" s="14"/>
      <c r="AJ52" s="14">
        <f>SUM(AJ48:AJ51)+AJ46</f>
        <v>0</v>
      </c>
      <c r="AK52" s="14"/>
      <c r="AL52" s="14">
        <f>SUM(AL48:AL51)+AL46</f>
        <v>0</v>
      </c>
      <c r="AM52" s="14"/>
      <c r="AN52" s="14">
        <f>SUM(AN48:AN51)+AN46</f>
        <v>3700</v>
      </c>
      <c r="AR52" s="18">
        <f>COUNTIF(AR50:AR51,"x")+AR46</f>
        <v>38</v>
      </c>
      <c r="AS52" s="18">
        <f>COUNTIF(AS50:AS51,"x")+AS46</f>
        <v>14</v>
      </c>
      <c r="AT52" s="18">
        <f>COUNTIF(AT50:AT51,"x")+AT46</f>
        <v>2</v>
      </c>
      <c r="AU52" s="14"/>
      <c r="AV52" s="14"/>
    </row>
    <row r="54" spans="1:51" ht="12.95">
      <c r="A54" s="16" t="s">
        <v>485</v>
      </c>
      <c r="B54" s="36"/>
      <c r="C54" s="36"/>
      <c r="D54" s="36"/>
      <c r="E54" s="36"/>
      <c r="F54" s="36"/>
      <c r="G54" s="36"/>
      <c r="H54" s="36"/>
      <c r="I54" s="36"/>
      <c r="J54" s="36"/>
      <c r="K54" s="36"/>
      <c r="L54" s="36"/>
      <c r="M54" s="36"/>
      <c r="N54" s="36"/>
      <c r="O54" s="36"/>
      <c r="P54" s="36"/>
      <c r="Q54" s="36"/>
      <c r="R54" s="36"/>
      <c r="S54" s="36"/>
      <c r="T54" s="36"/>
      <c r="U54" s="36"/>
      <c r="V54" s="36"/>
      <c r="W54" s="8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1:51">
      <c r="A55" s="36"/>
      <c r="B55" s="36"/>
      <c r="C55" s="36"/>
      <c r="D55" s="36"/>
      <c r="E55" s="36"/>
      <c r="F55" s="36"/>
      <c r="G55" s="36"/>
      <c r="H55" s="36"/>
      <c r="I55" s="36"/>
      <c r="J55" s="36"/>
      <c r="K55" s="36"/>
      <c r="L55" s="36"/>
      <c r="M55" s="36"/>
      <c r="N55" s="36"/>
      <c r="O55" s="36"/>
      <c r="P55" s="36"/>
      <c r="Q55" s="36"/>
      <c r="R55" s="36"/>
      <c r="S55" s="36"/>
      <c r="T55" s="36"/>
      <c r="U55" s="36"/>
      <c r="V55" s="36"/>
      <c r="W55" s="8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1:51">
      <c r="A56" s="36" t="s">
        <v>486</v>
      </c>
      <c r="B56" s="36"/>
      <c r="C56" s="36" t="s">
        <v>442</v>
      </c>
      <c r="D56" s="6" t="s">
        <v>435</v>
      </c>
      <c r="E56" s="36" t="s">
        <v>44</v>
      </c>
      <c r="F56" s="86">
        <v>12</v>
      </c>
      <c r="G56" s="86">
        <v>48</v>
      </c>
      <c r="H56" s="86">
        <v>0</v>
      </c>
      <c r="I56" s="14">
        <v>71</v>
      </c>
      <c r="J56" s="86">
        <f>IF(G56&gt;=10,16, 4)</f>
        <v>16</v>
      </c>
      <c r="K56" s="86"/>
      <c r="L56" s="36"/>
      <c r="M56" s="36"/>
      <c r="N56" s="36"/>
      <c r="O56" s="36"/>
      <c r="P56" s="36"/>
      <c r="Q56" s="36"/>
      <c r="R56" s="36"/>
      <c r="S56" s="36"/>
      <c r="T56" s="36"/>
      <c r="U56" s="36"/>
      <c r="V56" s="36"/>
      <c r="W56" s="86"/>
      <c r="X56" s="36"/>
      <c r="Y56" s="36"/>
      <c r="Z56" s="36"/>
      <c r="AA56" s="36"/>
      <c r="AB56" s="36"/>
      <c r="AC56" s="36"/>
      <c r="AD56" s="36"/>
      <c r="AE56" s="36"/>
      <c r="AF56" s="36"/>
      <c r="AG56" s="36"/>
      <c r="AH56" s="36"/>
      <c r="AI56" s="36"/>
      <c r="AJ56" s="36"/>
      <c r="AK56" s="36"/>
      <c r="AL56" s="36"/>
      <c r="AM56" s="36"/>
      <c r="AN56" s="36"/>
      <c r="AO56" s="36"/>
      <c r="AP56" s="36"/>
      <c r="AQ56" s="36"/>
      <c r="AR56" s="86" t="s">
        <v>437</v>
      </c>
      <c r="AT56" s="86"/>
    </row>
    <row r="57" spans="1:51">
      <c r="A57" s="36" t="s">
        <v>539</v>
      </c>
      <c r="B57" s="36"/>
      <c r="C57" s="36" t="s">
        <v>442</v>
      </c>
      <c r="D57" s="21" t="s">
        <v>488</v>
      </c>
      <c r="E57" s="6" t="s">
        <v>112</v>
      </c>
      <c r="F57" s="86">
        <v>4</v>
      </c>
      <c r="G57" s="86">
        <v>4</v>
      </c>
      <c r="H57" s="86">
        <v>0</v>
      </c>
      <c r="I57" s="86">
        <v>100</v>
      </c>
      <c r="J57" s="86">
        <v>0</v>
      </c>
      <c r="K57" s="86"/>
      <c r="L57" s="36"/>
      <c r="M57" s="36"/>
      <c r="N57" s="36"/>
      <c r="O57" s="36"/>
      <c r="P57" s="36"/>
      <c r="Q57" s="36"/>
      <c r="R57" s="36"/>
      <c r="S57" s="36"/>
      <c r="T57" s="36"/>
      <c r="U57" s="36"/>
      <c r="V57" s="36"/>
      <c r="W57" s="86"/>
      <c r="X57" s="36"/>
      <c r="Y57" s="36"/>
      <c r="Z57" s="36"/>
      <c r="AA57" s="36"/>
      <c r="AB57" s="36"/>
      <c r="AC57" s="36"/>
      <c r="AD57" s="36"/>
      <c r="AE57" s="36"/>
      <c r="AF57" s="36"/>
      <c r="AG57" s="36"/>
      <c r="AH57" s="36"/>
      <c r="AI57" s="36"/>
      <c r="AJ57" s="36"/>
      <c r="AK57" s="36"/>
      <c r="AL57" s="36"/>
      <c r="AM57" s="36"/>
      <c r="AN57" s="36"/>
      <c r="AO57" s="36"/>
      <c r="AP57" s="36"/>
      <c r="AQ57" s="36"/>
      <c r="AR57" s="86" t="s">
        <v>437</v>
      </c>
      <c r="AT57" s="86"/>
    </row>
    <row r="58" spans="1:51">
      <c r="A58" s="36" t="s">
        <v>491</v>
      </c>
      <c r="B58" s="36"/>
      <c r="C58" s="36" t="s">
        <v>442</v>
      </c>
      <c r="D58" s="21" t="s">
        <v>488</v>
      </c>
      <c r="E58" s="6" t="s">
        <v>120</v>
      </c>
      <c r="F58" s="86">
        <v>4</v>
      </c>
      <c r="G58" s="86">
        <v>16</v>
      </c>
      <c r="H58" s="86">
        <v>0</v>
      </c>
      <c r="I58" s="14">
        <v>100</v>
      </c>
      <c r="J58" s="86">
        <v>0</v>
      </c>
      <c r="K58" s="86"/>
      <c r="L58" s="36"/>
      <c r="M58" s="36"/>
      <c r="N58" s="36"/>
      <c r="O58" s="36"/>
      <c r="P58" s="36"/>
      <c r="Q58" s="36"/>
      <c r="R58" s="36"/>
      <c r="S58" s="36"/>
      <c r="T58" s="36"/>
      <c r="U58" s="36"/>
      <c r="V58" s="36"/>
      <c r="W58" s="86"/>
      <c r="X58" s="36"/>
      <c r="Y58" s="36"/>
      <c r="Z58" s="36"/>
      <c r="AA58" s="36"/>
      <c r="AB58" s="36"/>
      <c r="AC58" s="36"/>
      <c r="AD58" s="36"/>
      <c r="AE58" s="36"/>
      <c r="AF58" s="36"/>
      <c r="AG58" s="36"/>
      <c r="AH58" s="36"/>
      <c r="AI58" s="36"/>
      <c r="AJ58" s="36"/>
      <c r="AK58" s="36"/>
      <c r="AL58" s="36"/>
      <c r="AM58" s="36"/>
      <c r="AN58" s="36"/>
      <c r="AO58" s="36"/>
      <c r="AP58" s="36"/>
      <c r="AQ58" s="36"/>
      <c r="AR58" s="86" t="s">
        <v>437</v>
      </c>
      <c r="AT58" s="86"/>
    </row>
    <row r="59" spans="1:51">
      <c r="A59" s="36" t="s">
        <v>540</v>
      </c>
      <c r="B59" s="36"/>
      <c r="C59" s="36" t="s">
        <v>442</v>
      </c>
      <c r="D59" s="21" t="s">
        <v>488</v>
      </c>
      <c r="E59" s="6" t="s">
        <v>120</v>
      </c>
      <c r="F59" s="86">
        <v>4</v>
      </c>
      <c r="G59" s="86">
        <v>16</v>
      </c>
      <c r="H59" s="86">
        <v>0</v>
      </c>
      <c r="I59" s="14">
        <v>100</v>
      </c>
      <c r="J59" s="86">
        <v>0</v>
      </c>
      <c r="K59" s="86"/>
      <c r="L59" s="36"/>
      <c r="M59" s="36"/>
      <c r="N59" s="36"/>
      <c r="O59" s="36"/>
      <c r="P59" s="36"/>
      <c r="Q59" s="36"/>
      <c r="R59" s="36"/>
      <c r="S59" s="36"/>
      <c r="T59" s="36"/>
      <c r="U59" s="36"/>
      <c r="V59" s="36"/>
      <c r="W59" s="86"/>
      <c r="X59" s="36"/>
      <c r="Y59" s="36"/>
      <c r="Z59" s="36"/>
      <c r="AA59" s="36"/>
      <c r="AB59" s="36"/>
      <c r="AC59" s="36"/>
      <c r="AD59" s="36"/>
      <c r="AE59" s="36"/>
      <c r="AF59" s="36"/>
      <c r="AG59" s="36"/>
      <c r="AH59" s="36"/>
      <c r="AI59" s="36"/>
      <c r="AJ59" s="36"/>
      <c r="AK59" s="36"/>
      <c r="AL59" s="36"/>
      <c r="AM59" s="36"/>
      <c r="AN59" s="36"/>
      <c r="AO59" s="36"/>
      <c r="AP59" s="36"/>
      <c r="AQ59" s="36"/>
      <c r="AR59" s="86" t="s">
        <v>437</v>
      </c>
      <c r="AT59" s="86"/>
    </row>
    <row r="60" spans="1:51">
      <c r="A60" s="36" t="s">
        <v>623</v>
      </c>
      <c r="B60" s="36"/>
      <c r="C60" s="36" t="s">
        <v>442</v>
      </c>
      <c r="D60" s="21" t="s">
        <v>488</v>
      </c>
      <c r="E60" s="6" t="s">
        <v>120</v>
      </c>
      <c r="F60" s="86">
        <v>4</v>
      </c>
      <c r="G60" s="86">
        <v>16</v>
      </c>
      <c r="H60" s="86">
        <v>0</v>
      </c>
      <c r="I60" s="14">
        <v>100</v>
      </c>
      <c r="J60" s="86">
        <v>0</v>
      </c>
      <c r="K60" s="86"/>
      <c r="L60" s="36"/>
      <c r="M60" s="36"/>
      <c r="N60" s="36"/>
      <c r="O60" s="36"/>
      <c r="P60" s="36"/>
      <c r="Q60" s="36"/>
      <c r="R60" s="36"/>
      <c r="S60" s="36"/>
      <c r="T60" s="36"/>
      <c r="U60" s="36"/>
      <c r="V60" s="36"/>
      <c r="W60" s="86"/>
      <c r="X60" s="36"/>
      <c r="Y60" s="36"/>
      <c r="Z60" s="36"/>
      <c r="AA60" s="36"/>
      <c r="AB60" s="36"/>
      <c r="AC60" s="36"/>
      <c r="AD60" s="36"/>
      <c r="AE60" s="36"/>
      <c r="AF60" s="36"/>
      <c r="AG60" s="36"/>
      <c r="AH60" s="36"/>
      <c r="AI60" s="36"/>
      <c r="AJ60" s="36"/>
      <c r="AK60" s="36"/>
      <c r="AL60" s="36"/>
      <c r="AM60" s="36"/>
      <c r="AN60" s="36"/>
      <c r="AO60" s="36"/>
      <c r="AP60" s="36"/>
      <c r="AQ60" s="36"/>
      <c r="AR60" s="86" t="s">
        <v>437</v>
      </c>
      <c r="AT60" s="86"/>
    </row>
    <row r="61" spans="1:51">
      <c r="A61" s="36" t="s">
        <v>624</v>
      </c>
      <c r="B61" s="36"/>
      <c r="C61" s="36" t="s">
        <v>442</v>
      </c>
      <c r="D61" s="21" t="s">
        <v>488</v>
      </c>
      <c r="E61" s="6" t="s">
        <v>120</v>
      </c>
      <c r="F61" s="86">
        <v>4</v>
      </c>
      <c r="G61" s="86">
        <v>16</v>
      </c>
      <c r="H61" s="86">
        <v>0</v>
      </c>
      <c r="I61" s="14">
        <v>100</v>
      </c>
      <c r="J61" s="86">
        <v>0</v>
      </c>
      <c r="K61" s="86"/>
      <c r="L61" s="36"/>
      <c r="M61" s="36"/>
      <c r="N61" s="36"/>
      <c r="O61" s="36"/>
      <c r="P61" s="36"/>
      <c r="Q61" s="36"/>
      <c r="R61" s="36"/>
      <c r="S61" s="36"/>
      <c r="T61" s="36"/>
      <c r="U61" s="36"/>
      <c r="V61" s="36"/>
      <c r="W61" s="86"/>
      <c r="X61" s="36"/>
      <c r="Y61" s="36"/>
      <c r="Z61" s="36"/>
      <c r="AA61" s="36"/>
      <c r="AB61" s="36"/>
      <c r="AC61" s="36"/>
      <c r="AD61" s="36"/>
      <c r="AE61" s="36"/>
      <c r="AF61" s="36"/>
      <c r="AG61" s="36"/>
      <c r="AH61" s="36"/>
      <c r="AI61" s="36"/>
      <c r="AJ61" s="36"/>
      <c r="AK61" s="36"/>
      <c r="AL61" s="36"/>
      <c r="AM61" s="36"/>
      <c r="AN61" s="36"/>
      <c r="AO61" s="36"/>
      <c r="AP61" s="36"/>
      <c r="AQ61" s="36"/>
      <c r="AR61" s="86" t="s">
        <v>437</v>
      </c>
      <c r="AT61" s="86"/>
    </row>
    <row r="62" spans="1:51">
      <c r="A62" s="36" t="s">
        <v>646</v>
      </c>
      <c r="B62" s="36"/>
      <c r="C62" s="36" t="s">
        <v>442</v>
      </c>
      <c r="D62" s="21" t="s">
        <v>488</v>
      </c>
      <c r="E62" s="6" t="s">
        <v>120</v>
      </c>
      <c r="F62" s="86">
        <v>4</v>
      </c>
      <c r="G62" s="86">
        <v>16</v>
      </c>
      <c r="H62" s="86">
        <v>0</v>
      </c>
      <c r="I62" s="14">
        <v>100</v>
      </c>
      <c r="J62" s="86">
        <v>0</v>
      </c>
      <c r="K62" s="86"/>
      <c r="L62" s="36"/>
      <c r="M62" s="36"/>
      <c r="N62" s="36"/>
      <c r="O62" s="36"/>
      <c r="P62" s="36"/>
      <c r="Q62" s="36"/>
      <c r="R62" s="36"/>
      <c r="S62" s="36"/>
      <c r="T62" s="36"/>
      <c r="U62" s="36"/>
      <c r="V62" s="36"/>
      <c r="W62" s="86"/>
      <c r="X62" s="36"/>
      <c r="Y62" s="36"/>
      <c r="Z62" s="36"/>
      <c r="AA62" s="36"/>
      <c r="AB62" s="36"/>
      <c r="AC62" s="36"/>
      <c r="AD62" s="36"/>
      <c r="AE62" s="36"/>
      <c r="AF62" s="36"/>
      <c r="AG62" s="36"/>
      <c r="AH62" s="36"/>
      <c r="AI62" s="36"/>
      <c r="AJ62" s="36"/>
      <c r="AK62" s="36"/>
      <c r="AL62" s="36"/>
      <c r="AM62" s="36"/>
      <c r="AN62" s="36"/>
      <c r="AO62" s="36"/>
      <c r="AP62" s="36"/>
      <c r="AQ62" s="36"/>
      <c r="AR62" s="86" t="s">
        <v>437</v>
      </c>
      <c r="AT62" s="86"/>
    </row>
    <row r="63" spans="1:51">
      <c r="A63" s="36" t="s">
        <v>647</v>
      </c>
      <c r="B63" s="36"/>
      <c r="C63" s="36" t="s">
        <v>442</v>
      </c>
      <c r="D63" s="21" t="s">
        <v>488</v>
      </c>
      <c r="E63" s="6" t="s">
        <v>120</v>
      </c>
      <c r="F63" s="86">
        <v>4</v>
      </c>
      <c r="G63" s="86">
        <v>16</v>
      </c>
      <c r="H63" s="86">
        <v>0</v>
      </c>
      <c r="I63" s="14">
        <v>100</v>
      </c>
      <c r="J63" s="86">
        <v>0</v>
      </c>
      <c r="K63" s="86"/>
      <c r="L63" s="36"/>
      <c r="M63" s="36"/>
      <c r="N63" s="36"/>
      <c r="O63" s="36"/>
      <c r="P63" s="36"/>
      <c r="Q63" s="36"/>
      <c r="R63" s="36"/>
      <c r="S63" s="36"/>
      <c r="T63" s="36"/>
      <c r="U63" s="36"/>
      <c r="V63" s="36"/>
      <c r="W63" s="86"/>
      <c r="X63" s="36"/>
      <c r="Y63" s="36"/>
      <c r="Z63" s="36"/>
      <c r="AA63" s="36"/>
      <c r="AB63" s="36"/>
      <c r="AC63" s="36"/>
      <c r="AD63" s="36"/>
      <c r="AE63" s="36"/>
      <c r="AF63" s="36"/>
      <c r="AG63" s="36"/>
      <c r="AH63" s="36"/>
      <c r="AI63" s="36"/>
      <c r="AJ63" s="36"/>
      <c r="AK63" s="36"/>
      <c r="AL63" s="36"/>
      <c r="AM63" s="36"/>
      <c r="AN63" s="36"/>
      <c r="AO63" s="36"/>
      <c r="AP63" s="36"/>
      <c r="AQ63" s="36"/>
      <c r="AR63" s="86" t="s">
        <v>437</v>
      </c>
      <c r="AT63" s="86"/>
    </row>
    <row r="64" spans="1:51">
      <c r="A64" s="36" t="s">
        <v>648</v>
      </c>
      <c r="B64" s="36"/>
      <c r="C64" s="36" t="s">
        <v>442</v>
      </c>
      <c r="D64" s="21" t="s">
        <v>488</v>
      </c>
      <c r="E64" s="6" t="s">
        <v>120</v>
      </c>
      <c r="F64" s="86">
        <v>4</v>
      </c>
      <c r="G64" s="86">
        <v>16</v>
      </c>
      <c r="H64" s="86">
        <v>0</v>
      </c>
      <c r="I64" s="14">
        <v>100</v>
      </c>
      <c r="J64" s="86">
        <v>0</v>
      </c>
      <c r="K64" s="86"/>
      <c r="L64" s="36"/>
      <c r="M64" s="36"/>
      <c r="N64" s="36"/>
      <c r="O64" s="36"/>
      <c r="P64" s="36"/>
      <c r="Q64" s="36"/>
      <c r="R64" s="36"/>
      <c r="S64" s="36"/>
      <c r="T64" s="36"/>
      <c r="U64" s="36"/>
      <c r="V64" s="36"/>
      <c r="W64" s="86"/>
      <c r="X64" s="36"/>
      <c r="Y64" s="36"/>
      <c r="Z64" s="36"/>
      <c r="AA64" s="36"/>
      <c r="AB64" s="36"/>
      <c r="AC64" s="36"/>
      <c r="AD64" s="36"/>
      <c r="AE64" s="36"/>
      <c r="AF64" s="36"/>
      <c r="AG64" s="36"/>
      <c r="AH64" s="36"/>
      <c r="AI64" s="36"/>
      <c r="AJ64" s="36"/>
      <c r="AK64" s="36"/>
      <c r="AL64" s="36"/>
      <c r="AM64" s="36"/>
      <c r="AN64" s="36"/>
      <c r="AO64" s="36"/>
      <c r="AP64" s="36"/>
      <c r="AQ64" s="36"/>
      <c r="AR64" s="86" t="s">
        <v>437</v>
      </c>
      <c r="AT64" s="86"/>
    </row>
    <row r="65" spans="1:46">
      <c r="A65" s="36" t="s">
        <v>541</v>
      </c>
      <c r="B65" s="36"/>
      <c r="C65" s="36" t="s">
        <v>442</v>
      </c>
      <c r="D65" s="21" t="s">
        <v>488</v>
      </c>
      <c r="E65" s="6" t="s">
        <v>116</v>
      </c>
      <c r="F65" s="86">
        <v>4</v>
      </c>
      <c r="G65" s="86">
        <v>14</v>
      </c>
      <c r="H65" s="86">
        <v>0</v>
      </c>
      <c r="I65" s="14">
        <v>120</v>
      </c>
      <c r="J65" s="86">
        <v>0</v>
      </c>
      <c r="K65" s="86"/>
      <c r="L65" s="36"/>
      <c r="M65" s="36"/>
      <c r="N65" s="36"/>
      <c r="O65" s="36"/>
      <c r="P65" s="36"/>
      <c r="Q65" s="36"/>
      <c r="R65" s="36"/>
      <c r="S65" s="36"/>
      <c r="T65" s="36"/>
      <c r="U65" s="36"/>
      <c r="V65" s="36"/>
      <c r="W65" s="86"/>
      <c r="X65" s="36"/>
      <c r="Y65" s="36"/>
      <c r="Z65" s="36"/>
      <c r="AA65" s="36"/>
      <c r="AB65" s="36"/>
      <c r="AC65" s="36"/>
      <c r="AD65" s="36"/>
      <c r="AE65" s="36"/>
      <c r="AF65" s="36"/>
      <c r="AG65" s="36"/>
      <c r="AH65" s="36"/>
      <c r="AI65" s="36"/>
      <c r="AJ65" s="36"/>
      <c r="AK65" s="36"/>
      <c r="AL65" s="36"/>
      <c r="AM65" s="36"/>
      <c r="AN65" s="36"/>
      <c r="AO65" s="36"/>
      <c r="AP65" s="36"/>
      <c r="AQ65" s="36"/>
      <c r="AR65" s="86" t="s">
        <v>437</v>
      </c>
      <c r="AT65" s="86"/>
    </row>
    <row r="66" spans="1:46">
      <c r="A66" s="36" t="s">
        <v>649</v>
      </c>
      <c r="B66" s="36"/>
      <c r="C66" s="36" t="s">
        <v>442</v>
      </c>
      <c r="D66" s="21" t="s">
        <v>488</v>
      </c>
      <c r="E66" s="6" t="s">
        <v>120</v>
      </c>
      <c r="F66" s="86">
        <v>4</v>
      </c>
      <c r="G66" s="86">
        <v>16</v>
      </c>
      <c r="H66" s="86">
        <v>0</v>
      </c>
      <c r="I66" s="14">
        <v>100</v>
      </c>
      <c r="J66" s="86">
        <v>0</v>
      </c>
      <c r="K66" s="86"/>
      <c r="L66" s="36"/>
      <c r="M66" s="36"/>
      <c r="N66" s="36"/>
      <c r="O66" s="36"/>
      <c r="P66" s="36"/>
      <c r="Q66" s="36"/>
      <c r="R66" s="36"/>
      <c r="S66" s="36"/>
      <c r="T66" s="36"/>
      <c r="U66" s="36"/>
      <c r="V66" s="36"/>
      <c r="W66" s="86"/>
      <c r="X66" s="36"/>
      <c r="Y66" s="36"/>
      <c r="Z66" s="36"/>
      <c r="AA66" s="36"/>
      <c r="AB66" s="36"/>
      <c r="AC66" s="36"/>
      <c r="AD66" s="36"/>
      <c r="AE66" s="36"/>
      <c r="AF66" s="36"/>
      <c r="AG66" s="36"/>
      <c r="AH66" s="36"/>
      <c r="AI66" s="36"/>
      <c r="AJ66" s="36"/>
      <c r="AK66" s="36"/>
      <c r="AL66" s="36"/>
      <c r="AM66" s="36"/>
      <c r="AN66" s="36"/>
      <c r="AO66" s="36"/>
      <c r="AP66" s="36"/>
      <c r="AQ66" s="36"/>
      <c r="AR66" s="86" t="s">
        <v>437</v>
      </c>
      <c r="AT66" s="86"/>
    </row>
    <row r="67" spans="1:46">
      <c r="A67" s="36" t="s">
        <v>492</v>
      </c>
      <c r="B67" s="36"/>
      <c r="C67" s="36" t="s">
        <v>442</v>
      </c>
      <c r="D67" s="6" t="s">
        <v>435</v>
      </c>
      <c r="E67" s="36" t="s">
        <v>55</v>
      </c>
      <c r="F67" s="86">
        <v>6</v>
      </c>
      <c r="G67" s="86">
        <v>20</v>
      </c>
      <c r="H67" s="86">
        <v>0</v>
      </c>
      <c r="I67" s="86">
        <v>201</v>
      </c>
      <c r="J67" s="86">
        <f t="shared" ref="J67:J81" si="2">IF(G67&gt;=10,16, 4)</f>
        <v>16</v>
      </c>
      <c r="K67" s="86"/>
      <c r="L67" s="36"/>
      <c r="M67" s="36"/>
      <c r="N67" s="36"/>
      <c r="O67" s="36"/>
      <c r="P67" s="36"/>
      <c r="Q67" s="36"/>
      <c r="R67" s="36"/>
      <c r="S67" s="36"/>
      <c r="T67" s="36"/>
      <c r="U67" s="36"/>
      <c r="V67" s="36"/>
      <c r="W67" s="86"/>
      <c r="X67" s="36"/>
      <c r="Y67" s="36"/>
      <c r="Z67" s="36"/>
      <c r="AA67" s="36"/>
      <c r="AB67" s="36"/>
      <c r="AC67" s="36"/>
      <c r="AD67" s="36"/>
      <c r="AE67" s="36"/>
      <c r="AF67" s="36"/>
      <c r="AG67" s="36"/>
      <c r="AH67" s="36"/>
      <c r="AI67" s="36"/>
      <c r="AJ67" s="36"/>
      <c r="AK67" s="36"/>
      <c r="AL67" s="36"/>
      <c r="AM67" s="36"/>
      <c r="AN67" s="36"/>
      <c r="AO67" s="36"/>
      <c r="AP67" s="36"/>
      <c r="AQ67" s="36"/>
      <c r="AR67" s="86" t="s">
        <v>437</v>
      </c>
      <c r="AT67" s="86"/>
    </row>
    <row r="68" spans="1:46">
      <c r="A68" s="36" t="s">
        <v>493</v>
      </c>
      <c r="B68" s="36"/>
      <c r="C68" s="36" t="s">
        <v>442</v>
      </c>
      <c r="D68" s="6" t="s">
        <v>435</v>
      </c>
      <c r="E68" s="36" t="s">
        <v>55</v>
      </c>
      <c r="F68" s="86">
        <v>6</v>
      </c>
      <c r="G68" s="86">
        <v>20</v>
      </c>
      <c r="H68" s="86">
        <v>0</v>
      </c>
      <c r="I68" s="86">
        <v>201</v>
      </c>
      <c r="J68" s="86">
        <f t="shared" si="2"/>
        <v>16</v>
      </c>
      <c r="K68" s="86"/>
      <c r="L68" s="36"/>
      <c r="M68" s="36"/>
      <c r="N68" s="36"/>
      <c r="O68" s="36"/>
      <c r="P68" s="36"/>
      <c r="Q68" s="36"/>
      <c r="R68" s="36"/>
      <c r="S68" s="36"/>
      <c r="T68" s="36"/>
      <c r="U68" s="36"/>
      <c r="V68" s="36"/>
      <c r="W68" s="86"/>
      <c r="X68" s="36"/>
      <c r="Y68" s="36"/>
      <c r="Z68" s="36"/>
      <c r="AA68" s="36"/>
      <c r="AB68" s="36"/>
      <c r="AC68" s="36"/>
      <c r="AD68" s="36"/>
      <c r="AE68" s="36"/>
      <c r="AF68" s="36"/>
      <c r="AG68" s="36"/>
      <c r="AH68" s="36"/>
      <c r="AI68" s="36"/>
      <c r="AJ68" s="36"/>
      <c r="AK68" s="36"/>
      <c r="AL68" s="36"/>
      <c r="AM68" s="36"/>
      <c r="AN68" s="36"/>
      <c r="AO68" s="36"/>
      <c r="AP68" s="36"/>
      <c r="AQ68" s="36"/>
      <c r="AR68" s="86" t="s">
        <v>437</v>
      </c>
      <c r="AT68" s="86"/>
    </row>
    <row r="69" spans="1:46">
      <c r="A69" s="36" t="s">
        <v>625</v>
      </c>
      <c r="B69" s="36"/>
      <c r="C69" s="36" t="s">
        <v>442</v>
      </c>
      <c r="D69" s="6" t="s">
        <v>435</v>
      </c>
      <c r="E69" s="36" t="s">
        <v>55</v>
      </c>
      <c r="F69" s="86">
        <v>6</v>
      </c>
      <c r="G69" s="86">
        <v>20</v>
      </c>
      <c r="H69" s="86">
        <v>0</v>
      </c>
      <c r="I69" s="86">
        <v>201</v>
      </c>
      <c r="J69" s="86">
        <f t="shared" si="2"/>
        <v>16</v>
      </c>
      <c r="K69" s="86"/>
      <c r="L69" s="36"/>
      <c r="M69" s="36"/>
      <c r="N69" s="36"/>
      <c r="O69" s="36"/>
      <c r="P69" s="36"/>
      <c r="Q69" s="36"/>
      <c r="R69" s="36"/>
      <c r="S69" s="36"/>
      <c r="T69" s="36"/>
      <c r="U69" s="36"/>
      <c r="V69" s="36"/>
      <c r="W69" s="86"/>
      <c r="X69" s="36"/>
      <c r="Y69" s="36"/>
      <c r="Z69" s="36"/>
      <c r="AA69" s="36"/>
      <c r="AB69" s="36"/>
      <c r="AC69" s="36"/>
      <c r="AD69" s="36"/>
      <c r="AE69" s="36"/>
      <c r="AF69" s="36"/>
      <c r="AG69" s="36"/>
      <c r="AH69" s="36"/>
      <c r="AI69" s="36"/>
      <c r="AJ69" s="36"/>
      <c r="AK69" s="36"/>
      <c r="AL69" s="36"/>
      <c r="AM69" s="36"/>
      <c r="AN69" s="36"/>
      <c r="AO69" s="36"/>
      <c r="AP69" s="36"/>
      <c r="AQ69" s="36"/>
      <c r="AR69" s="86" t="s">
        <v>437</v>
      </c>
      <c r="AT69" s="86"/>
    </row>
    <row r="70" spans="1:46">
      <c r="A70" s="36" t="s">
        <v>626</v>
      </c>
      <c r="B70" s="36"/>
      <c r="C70" s="36" t="s">
        <v>442</v>
      </c>
      <c r="D70" s="6" t="s">
        <v>435</v>
      </c>
      <c r="E70" s="36" t="s">
        <v>55</v>
      </c>
      <c r="F70" s="86">
        <v>6</v>
      </c>
      <c r="G70" s="86">
        <v>20</v>
      </c>
      <c r="H70" s="86">
        <v>0</v>
      </c>
      <c r="I70" s="86">
        <v>201</v>
      </c>
      <c r="J70" s="86">
        <f t="shared" si="2"/>
        <v>16</v>
      </c>
      <c r="K70" s="86"/>
      <c r="L70" s="36"/>
      <c r="M70" s="36"/>
      <c r="N70" s="36"/>
      <c r="O70" s="36"/>
      <c r="P70" s="36"/>
      <c r="Q70" s="36"/>
      <c r="R70" s="36"/>
      <c r="S70" s="36"/>
      <c r="T70" s="36"/>
      <c r="U70" s="36"/>
      <c r="V70" s="36"/>
      <c r="W70" s="86"/>
      <c r="X70" s="36"/>
      <c r="Y70" s="36"/>
      <c r="Z70" s="36"/>
      <c r="AA70" s="36"/>
      <c r="AB70" s="36"/>
      <c r="AC70" s="36"/>
      <c r="AD70" s="36"/>
      <c r="AE70" s="36"/>
      <c r="AF70" s="36"/>
      <c r="AG70" s="36"/>
      <c r="AH70" s="36"/>
      <c r="AI70" s="36"/>
      <c r="AJ70" s="36"/>
      <c r="AK70" s="36"/>
      <c r="AL70" s="36"/>
      <c r="AM70" s="36"/>
      <c r="AN70" s="36"/>
      <c r="AO70" s="36"/>
      <c r="AP70" s="36"/>
      <c r="AQ70" s="36"/>
      <c r="AR70" s="86" t="s">
        <v>437</v>
      </c>
      <c r="AT70" s="86"/>
    </row>
    <row r="71" spans="1:46">
      <c r="A71" s="36" t="s">
        <v>494</v>
      </c>
      <c r="B71" s="36"/>
      <c r="C71" s="36" t="s">
        <v>442</v>
      </c>
      <c r="D71" s="6" t="s">
        <v>435</v>
      </c>
      <c r="E71" s="36" t="s">
        <v>71</v>
      </c>
      <c r="F71" s="86">
        <v>2</v>
      </c>
      <c r="G71" s="86">
        <v>4</v>
      </c>
      <c r="H71" s="86">
        <v>0</v>
      </c>
      <c r="I71" s="86">
        <v>41</v>
      </c>
      <c r="J71" s="86">
        <f t="shared" si="2"/>
        <v>4</v>
      </c>
      <c r="K71" s="86"/>
      <c r="L71" s="36"/>
      <c r="M71" s="36"/>
      <c r="N71" s="36"/>
      <c r="O71" s="36"/>
      <c r="P71" s="36"/>
      <c r="Q71" s="36"/>
      <c r="R71" s="36"/>
      <c r="S71" s="36"/>
      <c r="T71" s="36"/>
      <c r="U71" s="36"/>
      <c r="V71" s="36"/>
      <c r="W71" s="86"/>
      <c r="X71" s="36"/>
      <c r="Y71" s="36"/>
      <c r="Z71" s="36"/>
      <c r="AA71" s="36"/>
      <c r="AB71" s="36"/>
      <c r="AC71" s="36"/>
      <c r="AD71" s="36"/>
      <c r="AE71" s="36"/>
      <c r="AF71" s="36"/>
      <c r="AG71" s="36"/>
      <c r="AH71" s="36"/>
      <c r="AI71" s="36"/>
      <c r="AJ71" s="36"/>
      <c r="AK71" s="36"/>
      <c r="AL71" s="36"/>
      <c r="AM71" s="36"/>
      <c r="AN71" s="36"/>
      <c r="AO71" s="36"/>
      <c r="AP71" s="36"/>
      <c r="AQ71" s="36"/>
      <c r="AR71" s="86" t="s">
        <v>437</v>
      </c>
      <c r="AT71" s="86"/>
    </row>
    <row r="72" spans="1:46">
      <c r="A72" s="36" t="s">
        <v>495</v>
      </c>
      <c r="B72" s="36"/>
      <c r="C72" s="36" t="s">
        <v>442</v>
      </c>
      <c r="D72" s="6" t="s">
        <v>435</v>
      </c>
      <c r="E72" s="36" t="s">
        <v>63</v>
      </c>
      <c r="F72" s="86">
        <v>2</v>
      </c>
      <c r="G72" s="86">
        <v>4</v>
      </c>
      <c r="H72" s="86">
        <v>0</v>
      </c>
      <c r="I72" s="86">
        <v>31</v>
      </c>
      <c r="J72" s="86">
        <f t="shared" si="2"/>
        <v>4</v>
      </c>
      <c r="K72" s="86"/>
      <c r="L72" s="36"/>
      <c r="M72" s="36"/>
      <c r="N72" s="36"/>
      <c r="O72" s="36"/>
      <c r="P72" s="36"/>
      <c r="Q72" s="36"/>
      <c r="R72" s="36"/>
      <c r="S72" s="36"/>
      <c r="T72" s="36"/>
      <c r="U72" s="36"/>
      <c r="V72" s="36"/>
      <c r="W72" s="86"/>
      <c r="X72" s="36"/>
      <c r="Y72" s="36"/>
      <c r="Z72" s="36"/>
      <c r="AA72" s="36"/>
      <c r="AB72" s="36"/>
      <c r="AC72" s="36"/>
      <c r="AD72" s="36"/>
      <c r="AE72" s="36"/>
      <c r="AF72" s="36"/>
      <c r="AG72" s="36"/>
      <c r="AH72" s="36"/>
      <c r="AI72" s="36"/>
      <c r="AJ72" s="36"/>
      <c r="AK72" s="36"/>
      <c r="AL72" s="36"/>
      <c r="AM72" s="36"/>
      <c r="AN72" s="36"/>
      <c r="AO72" s="36"/>
      <c r="AP72" s="36"/>
      <c r="AQ72" s="36"/>
      <c r="AR72" s="86" t="s">
        <v>437</v>
      </c>
      <c r="AT72" s="86"/>
    </row>
    <row r="73" spans="1:46">
      <c r="A73" s="36" t="s">
        <v>496</v>
      </c>
      <c r="B73" s="36"/>
      <c r="C73" s="36" t="s">
        <v>442</v>
      </c>
      <c r="D73" s="6" t="s">
        <v>435</v>
      </c>
      <c r="E73" s="36" t="s">
        <v>67</v>
      </c>
      <c r="F73" s="86">
        <v>4</v>
      </c>
      <c r="G73" s="86">
        <v>4</v>
      </c>
      <c r="H73" s="86">
        <v>0</v>
      </c>
      <c r="I73" s="86">
        <v>36</v>
      </c>
      <c r="J73" s="86">
        <f t="shared" si="2"/>
        <v>4</v>
      </c>
      <c r="K73" s="86"/>
      <c r="L73" s="36"/>
      <c r="M73" s="36"/>
      <c r="N73" s="36"/>
      <c r="O73" s="36"/>
      <c r="P73" s="36"/>
      <c r="Q73" s="36"/>
      <c r="R73" s="36"/>
      <c r="S73" s="36"/>
      <c r="T73" s="36"/>
      <c r="U73" s="36"/>
      <c r="V73" s="36"/>
      <c r="W73" s="86"/>
      <c r="X73" s="36"/>
      <c r="Y73" s="36"/>
      <c r="Z73" s="36"/>
      <c r="AA73" s="36"/>
      <c r="AB73" s="36"/>
      <c r="AC73" s="36"/>
      <c r="AD73" s="36"/>
      <c r="AE73" s="36"/>
      <c r="AF73" s="36"/>
      <c r="AG73" s="36"/>
      <c r="AH73" s="36"/>
      <c r="AI73" s="36"/>
      <c r="AJ73" s="36"/>
      <c r="AK73" s="36"/>
      <c r="AL73" s="36"/>
      <c r="AM73" s="36"/>
      <c r="AN73" s="36"/>
      <c r="AO73" s="36"/>
      <c r="AP73" s="36"/>
      <c r="AQ73" s="36"/>
      <c r="AR73" s="86" t="s">
        <v>437</v>
      </c>
      <c r="AT73" s="86"/>
    </row>
    <row r="74" spans="1:46" ht="14.45">
      <c r="A74" s="36" t="s">
        <v>497</v>
      </c>
      <c r="B74" s="36"/>
      <c r="C74" s="36" t="s">
        <v>442</v>
      </c>
      <c r="D74" s="6" t="s">
        <v>435</v>
      </c>
      <c r="E74" s="36" t="s">
        <v>276</v>
      </c>
      <c r="F74" s="86">
        <v>7</v>
      </c>
      <c r="G74" s="86">
        <v>8</v>
      </c>
      <c r="H74" s="86">
        <v>0</v>
      </c>
      <c r="I74" s="14">
        <v>111</v>
      </c>
      <c r="J74" s="86">
        <f t="shared" si="2"/>
        <v>4</v>
      </c>
      <c r="K74" s="45"/>
      <c r="L74" s="86"/>
      <c r="M74" s="86"/>
      <c r="N74" s="45"/>
      <c r="O74" s="44"/>
      <c r="P74" s="86"/>
      <c r="Q74" s="86"/>
      <c r="R74" s="86"/>
      <c r="S74" s="86"/>
      <c r="T74" s="86"/>
      <c r="U74" s="86"/>
      <c r="V74" s="86"/>
      <c r="W74" s="86"/>
      <c r="X74" s="86"/>
      <c r="Y74" s="36"/>
      <c r="Z74" s="86"/>
      <c r="AA74" s="86"/>
      <c r="AB74" s="86"/>
      <c r="AC74" s="86"/>
      <c r="AD74" s="86"/>
      <c r="AE74" s="86"/>
      <c r="AF74" s="86"/>
      <c r="AG74" s="86"/>
      <c r="AH74" s="86"/>
      <c r="AI74" s="86"/>
      <c r="AJ74" s="86"/>
      <c r="AK74" s="86"/>
      <c r="AL74" s="86"/>
      <c r="AM74" s="86"/>
      <c r="AN74" s="86"/>
      <c r="AO74" s="86"/>
      <c r="AP74" s="86"/>
      <c r="AQ74" s="86"/>
      <c r="AR74" s="86" t="s">
        <v>437</v>
      </c>
      <c r="AT74" s="86" t="s">
        <v>437</v>
      </c>
    </row>
    <row r="75" spans="1:46" ht="14.45">
      <c r="A75" s="36" t="s">
        <v>650</v>
      </c>
      <c r="B75" s="36"/>
      <c r="C75" s="36" t="s">
        <v>442</v>
      </c>
      <c r="D75" s="6" t="s">
        <v>435</v>
      </c>
      <c r="E75" s="36" t="s">
        <v>276</v>
      </c>
      <c r="F75" s="86">
        <v>6</v>
      </c>
      <c r="G75" s="86">
        <v>7</v>
      </c>
      <c r="H75" s="86">
        <v>0</v>
      </c>
      <c r="I75" s="14">
        <v>111</v>
      </c>
      <c r="J75" s="86">
        <f t="shared" si="2"/>
        <v>4</v>
      </c>
      <c r="K75" s="45"/>
      <c r="L75" s="86"/>
      <c r="M75" s="86"/>
      <c r="N75" s="45"/>
      <c r="O75" s="44"/>
      <c r="P75" s="86"/>
      <c r="Q75" s="86"/>
      <c r="R75" s="86"/>
      <c r="S75" s="86"/>
      <c r="T75" s="86"/>
      <c r="U75" s="86"/>
      <c r="V75" s="86"/>
      <c r="W75" s="86"/>
      <c r="X75" s="86"/>
      <c r="Y75" s="36"/>
      <c r="Z75" s="86"/>
      <c r="AA75" s="86"/>
      <c r="AB75" s="86"/>
      <c r="AC75" s="86"/>
      <c r="AD75" s="86"/>
      <c r="AE75" s="86"/>
      <c r="AF75" s="86"/>
      <c r="AG75" s="86"/>
      <c r="AH75" s="86"/>
      <c r="AI75" s="86"/>
      <c r="AJ75" s="86"/>
      <c r="AK75" s="86"/>
      <c r="AL75" s="86"/>
      <c r="AM75" s="86"/>
      <c r="AN75" s="86"/>
      <c r="AO75" s="86"/>
      <c r="AP75" s="86"/>
      <c r="AQ75" s="86"/>
      <c r="AR75" s="86" t="s">
        <v>437</v>
      </c>
      <c r="AT75" s="86"/>
    </row>
    <row r="76" spans="1:46" ht="14.45">
      <c r="A76" s="6" t="s">
        <v>542</v>
      </c>
      <c r="C76" s="6" t="s">
        <v>442</v>
      </c>
      <c r="D76" s="6" t="s">
        <v>435</v>
      </c>
      <c r="E76" s="6" t="s">
        <v>90</v>
      </c>
      <c r="F76" s="14">
        <v>2</v>
      </c>
      <c r="G76" s="14">
        <v>2</v>
      </c>
      <c r="H76" s="14">
        <v>0</v>
      </c>
      <c r="I76" s="14">
        <v>16</v>
      </c>
      <c r="J76" s="86">
        <f t="shared" si="2"/>
        <v>4</v>
      </c>
      <c r="K76" s="45"/>
      <c r="L76" s="86"/>
      <c r="M76" s="86"/>
      <c r="N76" s="45"/>
      <c r="O76" s="44"/>
      <c r="P76" s="86"/>
      <c r="Q76" s="86"/>
      <c r="R76" s="86"/>
      <c r="S76" s="86"/>
      <c r="T76" s="86"/>
      <c r="U76" s="86"/>
      <c r="V76" s="86"/>
      <c r="W76" s="86"/>
      <c r="X76" s="86"/>
      <c r="Y76" s="36"/>
      <c r="Z76" s="86"/>
      <c r="AA76" s="86"/>
      <c r="AB76" s="86"/>
      <c r="AC76" s="86"/>
      <c r="AD76" s="86"/>
      <c r="AE76" s="86"/>
      <c r="AF76" s="86"/>
      <c r="AG76" s="86"/>
      <c r="AH76" s="86"/>
      <c r="AI76" s="86"/>
      <c r="AJ76" s="86"/>
      <c r="AK76" s="86"/>
      <c r="AL76" s="86"/>
      <c r="AM76" s="86"/>
      <c r="AN76" s="86"/>
      <c r="AO76" s="86"/>
      <c r="AP76" s="86"/>
      <c r="AQ76" s="86"/>
      <c r="AR76" s="86" t="s">
        <v>437</v>
      </c>
      <c r="AT76" s="86"/>
    </row>
    <row r="77" spans="1:46" ht="14.45">
      <c r="A77" s="6" t="s">
        <v>543</v>
      </c>
      <c r="C77" s="6" t="s">
        <v>442</v>
      </c>
      <c r="D77" s="6" t="s">
        <v>435</v>
      </c>
      <c r="E77" s="6" t="s">
        <v>90</v>
      </c>
      <c r="F77" s="14">
        <v>2</v>
      </c>
      <c r="G77" s="14">
        <v>2</v>
      </c>
      <c r="H77" s="14">
        <v>0</v>
      </c>
      <c r="I77" s="14">
        <v>16</v>
      </c>
      <c r="J77" s="86">
        <f t="shared" si="2"/>
        <v>4</v>
      </c>
      <c r="K77" s="45"/>
      <c r="L77" s="86"/>
      <c r="M77" s="86"/>
      <c r="N77" s="45"/>
      <c r="O77" s="44"/>
      <c r="P77" s="86"/>
      <c r="Q77" s="86"/>
      <c r="R77" s="86"/>
      <c r="S77" s="86"/>
      <c r="T77" s="86"/>
      <c r="U77" s="86"/>
      <c r="V77" s="86"/>
      <c r="W77" s="86"/>
      <c r="X77" s="86"/>
      <c r="Y77" s="36"/>
      <c r="Z77" s="86"/>
      <c r="AA77" s="86"/>
      <c r="AB77" s="86"/>
      <c r="AC77" s="86"/>
      <c r="AD77" s="86"/>
      <c r="AE77" s="86"/>
      <c r="AF77" s="86"/>
      <c r="AG77" s="86"/>
      <c r="AH77" s="86"/>
      <c r="AI77" s="86"/>
      <c r="AJ77" s="86"/>
      <c r="AK77" s="86"/>
      <c r="AL77" s="86"/>
      <c r="AM77" s="86"/>
      <c r="AN77" s="86"/>
      <c r="AO77" s="86"/>
      <c r="AP77" s="86"/>
      <c r="AQ77" s="86"/>
      <c r="AR77" s="86" t="s">
        <v>437</v>
      </c>
      <c r="AT77" s="86"/>
    </row>
    <row r="78" spans="1:46" ht="14.45">
      <c r="A78" s="6" t="s">
        <v>544</v>
      </c>
      <c r="C78" s="6" t="s">
        <v>442</v>
      </c>
      <c r="D78" s="6" t="s">
        <v>435</v>
      </c>
      <c r="E78" s="6" t="s">
        <v>94</v>
      </c>
      <c r="F78" s="14">
        <v>6</v>
      </c>
      <c r="G78" s="14">
        <v>5</v>
      </c>
      <c r="H78" s="14">
        <v>0</v>
      </c>
      <c r="I78" s="14">
        <v>41</v>
      </c>
      <c r="J78" s="86">
        <f t="shared" si="2"/>
        <v>4</v>
      </c>
      <c r="K78" s="45"/>
      <c r="L78" s="86"/>
      <c r="M78" s="86"/>
      <c r="N78" s="45"/>
      <c r="O78" s="44"/>
      <c r="P78" s="86"/>
      <c r="Q78" s="86"/>
      <c r="R78" s="86"/>
      <c r="S78" s="86"/>
      <c r="T78" s="86"/>
      <c r="U78" s="86"/>
      <c r="V78" s="86"/>
      <c r="W78" s="86"/>
      <c r="X78" s="86"/>
      <c r="Y78" s="36"/>
      <c r="Z78" s="86"/>
      <c r="AA78" s="86"/>
      <c r="AB78" s="86"/>
      <c r="AC78" s="86"/>
      <c r="AD78" s="86"/>
      <c r="AE78" s="86"/>
      <c r="AF78" s="86"/>
      <c r="AG78" s="86"/>
      <c r="AH78" s="86"/>
      <c r="AI78" s="86"/>
      <c r="AJ78" s="86"/>
      <c r="AK78" s="86"/>
      <c r="AL78" s="86"/>
      <c r="AM78" s="86"/>
      <c r="AN78" s="86"/>
      <c r="AO78" s="86"/>
      <c r="AP78" s="86"/>
      <c r="AQ78" s="86"/>
      <c r="AR78" s="86" t="s">
        <v>437</v>
      </c>
      <c r="AT78" s="86"/>
    </row>
    <row r="79" spans="1:46" ht="14.45">
      <c r="A79" s="6" t="s">
        <v>545</v>
      </c>
      <c r="C79" s="6" t="s">
        <v>442</v>
      </c>
      <c r="D79" s="6" t="s">
        <v>435</v>
      </c>
      <c r="E79" s="6" t="s">
        <v>98</v>
      </c>
      <c r="F79" s="14">
        <v>2</v>
      </c>
      <c r="G79" s="14">
        <v>2</v>
      </c>
      <c r="H79" s="14">
        <v>0</v>
      </c>
      <c r="I79" s="14">
        <v>31</v>
      </c>
      <c r="J79" s="86">
        <f t="shared" si="2"/>
        <v>4</v>
      </c>
      <c r="K79" s="45"/>
      <c r="L79" s="86"/>
      <c r="M79" s="86"/>
      <c r="N79" s="45"/>
      <c r="O79" s="44"/>
      <c r="P79" s="86"/>
      <c r="Q79" s="86"/>
      <c r="R79" s="86"/>
      <c r="S79" s="86"/>
      <c r="T79" s="86"/>
      <c r="U79" s="86"/>
      <c r="V79" s="86"/>
      <c r="W79" s="86"/>
      <c r="X79" s="86"/>
      <c r="Y79" s="36"/>
      <c r="Z79" s="86"/>
      <c r="AA79" s="86"/>
      <c r="AB79" s="86"/>
      <c r="AC79" s="86"/>
      <c r="AD79" s="86"/>
      <c r="AE79" s="86"/>
      <c r="AF79" s="86"/>
      <c r="AG79" s="86"/>
      <c r="AH79" s="86"/>
      <c r="AI79" s="86"/>
      <c r="AJ79" s="86"/>
      <c r="AK79" s="86"/>
      <c r="AL79" s="86"/>
      <c r="AM79" s="86"/>
      <c r="AN79" s="86"/>
      <c r="AO79" s="86"/>
      <c r="AP79" s="86"/>
      <c r="AQ79" s="86"/>
      <c r="AR79" s="86" t="s">
        <v>437</v>
      </c>
      <c r="AT79" s="86"/>
    </row>
    <row r="80" spans="1:46" ht="14.45">
      <c r="A80" s="6" t="s">
        <v>627</v>
      </c>
      <c r="C80" s="6" t="s">
        <v>442</v>
      </c>
      <c r="D80" s="6" t="s">
        <v>584</v>
      </c>
      <c r="E80" s="6" t="s">
        <v>118</v>
      </c>
      <c r="F80" s="14">
        <v>12</v>
      </c>
      <c r="G80" s="14">
        <v>24</v>
      </c>
      <c r="H80" s="14">
        <v>0</v>
      </c>
      <c r="I80" s="14">
        <v>2098</v>
      </c>
      <c r="J80" s="86">
        <f t="shared" si="2"/>
        <v>16</v>
      </c>
      <c r="K80" s="45"/>
      <c r="L80" s="86"/>
      <c r="M80" s="86"/>
      <c r="N80" s="45"/>
      <c r="O80" s="44"/>
      <c r="P80" s="86"/>
      <c r="Q80" s="86"/>
      <c r="R80" s="86"/>
      <c r="S80" s="86"/>
      <c r="T80" s="86"/>
      <c r="U80" s="86"/>
      <c r="V80" s="86"/>
      <c r="W80" s="86"/>
      <c r="X80" s="86"/>
      <c r="Y80" s="36"/>
      <c r="Z80" s="86"/>
      <c r="AA80" s="86"/>
      <c r="AB80" s="86"/>
      <c r="AC80" s="86"/>
      <c r="AD80" s="86"/>
      <c r="AE80" s="86"/>
      <c r="AF80" s="86"/>
      <c r="AG80" s="86"/>
      <c r="AH80" s="86"/>
      <c r="AI80" s="86"/>
      <c r="AJ80" s="86"/>
      <c r="AK80" s="86"/>
      <c r="AL80" s="86"/>
      <c r="AM80" s="86"/>
      <c r="AN80" s="86"/>
      <c r="AO80" s="86"/>
      <c r="AP80" s="86"/>
      <c r="AQ80" s="86"/>
      <c r="AR80" s="86" t="s">
        <v>437</v>
      </c>
      <c r="AT80" s="86"/>
    </row>
    <row r="81" spans="1:46" ht="14.45">
      <c r="A81" s="6" t="s">
        <v>551</v>
      </c>
      <c r="C81" s="6" t="s">
        <v>442</v>
      </c>
      <c r="D81" s="6" t="s">
        <v>435</v>
      </c>
      <c r="E81" s="6" t="s">
        <v>122</v>
      </c>
      <c r="F81" s="14">
        <v>2</v>
      </c>
      <c r="G81" s="14">
        <v>10</v>
      </c>
      <c r="H81" s="14">
        <v>0</v>
      </c>
      <c r="I81" s="14">
        <v>60</v>
      </c>
      <c r="J81" s="86">
        <f t="shared" si="2"/>
        <v>16</v>
      </c>
      <c r="K81" s="45"/>
      <c r="L81" s="86"/>
      <c r="M81" s="86"/>
      <c r="N81" s="45"/>
      <c r="O81" s="44"/>
      <c r="P81" s="86"/>
      <c r="Q81" s="86"/>
      <c r="R81" s="86"/>
      <c r="S81" s="86"/>
      <c r="T81" s="86"/>
      <c r="U81" s="86"/>
      <c r="V81" s="86"/>
      <c r="W81" s="86"/>
      <c r="X81" s="86"/>
      <c r="Y81" s="36"/>
      <c r="Z81" s="86"/>
      <c r="AA81" s="86"/>
      <c r="AB81" s="86"/>
      <c r="AC81" s="86"/>
      <c r="AD81" s="86"/>
      <c r="AE81" s="86"/>
      <c r="AF81" s="86"/>
      <c r="AG81" s="86"/>
      <c r="AH81" s="86"/>
      <c r="AI81" s="86"/>
      <c r="AJ81" s="86"/>
      <c r="AK81" s="86"/>
      <c r="AL81" s="86"/>
      <c r="AM81" s="86"/>
      <c r="AN81" s="86"/>
      <c r="AO81" s="86"/>
      <c r="AP81" s="86"/>
      <c r="AQ81" s="86"/>
      <c r="AR81" s="86" t="s">
        <v>437</v>
      </c>
      <c r="AT81" s="86"/>
    </row>
    <row r="82" spans="1:46" s="20" customFormat="1">
      <c r="A82" s="40"/>
      <c r="B82" s="40"/>
      <c r="C82" s="40"/>
      <c r="D82" s="40"/>
      <c r="E82" s="40"/>
      <c r="F82" s="41">
        <f>SUM(F56:F81)+F52</f>
        <v>393</v>
      </c>
      <c r="G82" s="41">
        <f>SUM(G56:G81)+G52</f>
        <v>1042</v>
      </c>
      <c r="H82" s="41">
        <f>SUM(H56:H81)+H52</f>
        <v>379.25</v>
      </c>
      <c r="I82" s="41">
        <f>SUM(I56:I81)+I52</f>
        <v>7940</v>
      </c>
      <c r="J82" s="41"/>
      <c r="K82" s="41"/>
      <c r="L82" s="41">
        <f>SUM(L56:L81)+L52</f>
        <v>130</v>
      </c>
      <c r="M82" s="41"/>
      <c r="N82" s="41">
        <f>SUM(N56:N81)+N52</f>
        <v>2500</v>
      </c>
      <c r="O82" s="41"/>
      <c r="P82" s="41">
        <f>SUM(P56:P81)+P52</f>
        <v>3750</v>
      </c>
      <c r="Q82" s="41"/>
      <c r="R82" s="41">
        <f>SUM(R56:R81)+R52</f>
        <v>720</v>
      </c>
      <c r="S82" s="41"/>
      <c r="T82" s="41">
        <f>SUM(T56:T81)+T52</f>
        <v>300</v>
      </c>
      <c r="U82" s="41"/>
      <c r="V82" s="41">
        <f>SUM(V56:V81)+V52</f>
        <v>0</v>
      </c>
      <c r="W82" s="41"/>
      <c r="X82" s="41">
        <f>SUM(X56:X81)+X52</f>
        <v>11915</v>
      </c>
      <c r="Y82" s="40"/>
      <c r="Z82" s="41">
        <f>SUM(Z56:Z81)+Z52</f>
        <v>200</v>
      </c>
      <c r="AA82" s="40"/>
      <c r="AB82" s="41">
        <f>SUM(AB56:AB81)+AB52</f>
        <v>50</v>
      </c>
      <c r="AC82" s="40"/>
      <c r="AD82" s="41">
        <f>SUM(AD56:AD81)+AD52</f>
        <v>170</v>
      </c>
      <c r="AE82" s="40"/>
      <c r="AF82" s="41">
        <f>SUM(AF56:AF81)+AF52</f>
        <v>200</v>
      </c>
      <c r="AG82" s="40"/>
      <c r="AH82" s="41">
        <f>SUM(AH56:AH81)+AH52</f>
        <v>405</v>
      </c>
      <c r="AI82" s="40"/>
      <c r="AJ82" s="41">
        <f>SUM(AJ56:AJ81)</f>
        <v>0</v>
      </c>
      <c r="AK82" s="40"/>
      <c r="AL82" s="41">
        <f>SUM(AL56:AL81)</f>
        <v>0</v>
      </c>
      <c r="AM82" s="40"/>
      <c r="AN82" s="41">
        <f>SUM(AN56:AN81)+AN52</f>
        <v>3700</v>
      </c>
      <c r="AO82" s="40"/>
      <c r="AP82" s="40"/>
      <c r="AQ82" s="40"/>
      <c r="AR82" s="18">
        <f>COUNTIF(AR56:AR81,"x")+AR52</f>
        <v>64</v>
      </c>
      <c r="AS82" s="18">
        <f>COUNTIF(AS56:AS81,"x")+AS52</f>
        <v>14</v>
      </c>
      <c r="AT82" s="18">
        <f>COUNTIF(AT56:AT81,"x")+AT52</f>
        <v>3</v>
      </c>
    </row>
    <row r="83" spans="1:46">
      <c r="A83" s="36"/>
      <c r="B83" s="36"/>
      <c r="C83" s="36"/>
      <c r="D83" s="36"/>
      <c r="E83" s="36"/>
      <c r="F83" s="36"/>
      <c r="G83" s="36"/>
      <c r="H83" s="36"/>
      <c r="I83" s="36"/>
      <c r="J83" s="36"/>
      <c r="K83" s="36"/>
      <c r="L83" s="36"/>
      <c r="M83" s="36"/>
      <c r="N83" s="36"/>
      <c r="O83" s="36"/>
      <c r="P83" s="36"/>
      <c r="Q83" s="36"/>
      <c r="R83" s="36"/>
      <c r="S83" s="36"/>
      <c r="T83" s="36"/>
      <c r="U83" s="36"/>
      <c r="V83" s="36"/>
      <c r="W83" s="8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1:46" ht="12.95">
      <c r="A84" s="16" t="s">
        <v>559</v>
      </c>
      <c r="B84" s="36"/>
      <c r="C84" s="36"/>
      <c r="D84" s="36"/>
      <c r="E84" s="36"/>
      <c r="F84" s="36"/>
      <c r="G84" s="36"/>
      <c r="H84" s="36"/>
      <c r="I84" s="36"/>
      <c r="J84" s="36"/>
      <c r="K84" s="36"/>
      <c r="L84" s="36"/>
      <c r="M84" s="36"/>
      <c r="N84" s="36"/>
      <c r="O84" s="36"/>
      <c r="P84" s="36"/>
      <c r="Q84" s="36"/>
      <c r="R84" s="36"/>
      <c r="S84" s="36"/>
      <c r="T84" s="36"/>
      <c r="U84" s="36"/>
      <c r="V84" s="36"/>
      <c r="W84" s="8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1:46">
      <c r="A85" s="36"/>
      <c r="B85" s="36"/>
      <c r="C85" s="36"/>
      <c r="D85" s="36"/>
      <c r="E85" s="36"/>
      <c r="F85" s="36"/>
      <c r="G85" s="36"/>
      <c r="H85" s="36"/>
      <c r="I85" s="36"/>
      <c r="J85" s="36"/>
      <c r="K85" s="36"/>
      <c r="L85" s="36"/>
      <c r="M85" s="36"/>
      <c r="N85" s="36"/>
      <c r="O85" s="36"/>
      <c r="P85" s="36"/>
      <c r="Q85" s="36"/>
      <c r="R85" s="36"/>
      <c r="S85" s="36"/>
      <c r="T85" s="36"/>
      <c r="U85" s="36"/>
      <c r="V85" s="36"/>
      <c r="W85" s="8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1:46">
      <c r="A86" s="6" t="s">
        <v>560</v>
      </c>
      <c r="C86" s="6" t="s">
        <v>561</v>
      </c>
      <c r="D86" s="6" t="s">
        <v>562</v>
      </c>
      <c r="E86" s="6" t="s">
        <v>42</v>
      </c>
      <c r="F86" s="14">
        <v>2</v>
      </c>
      <c r="G86" s="14">
        <v>4</v>
      </c>
      <c r="H86" s="14">
        <v>4</v>
      </c>
      <c r="I86" s="14">
        <v>350</v>
      </c>
      <c r="J86" s="86">
        <f t="shared" ref="J86:J93" si="3">IF(G86&gt;=10,16, 4)</f>
        <v>4</v>
      </c>
      <c r="K86" s="86" t="s">
        <v>563</v>
      </c>
      <c r="L86" s="86"/>
      <c r="M86" s="86"/>
      <c r="N86" s="86"/>
      <c r="O86" s="86"/>
      <c r="P86" s="86"/>
      <c r="Q86" s="86"/>
      <c r="R86" s="86"/>
      <c r="S86" s="86"/>
      <c r="T86" s="86"/>
      <c r="U86" s="86"/>
      <c r="V86" s="86"/>
      <c r="W86" s="86"/>
      <c r="X86" s="36"/>
      <c r="Y86" s="36"/>
      <c r="Z86" s="86"/>
      <c r="AA86" s="86"/>
      <c r="AB86" s="86"/>
      <c r="AC86" s="86"/>
      <c r="AD86" s="86"/>
      <c r="AE86" s="86"/>
      <c r="AF86" s="86"/>
      <c r="AG86" s="86"/>
      <c r="AH86" s="86"/>
      <c r="AI86" s="86"/>
      <c r="AJ86" s="86"/>
      <c r="AK86" s="86"/>
      <c r="AL86" s="86"/>
      <c r="AM86" s="86"/>
      <c r="AN86" s="86"/>
      <c r="AO86" s="86"/>
      <c r="AP86" s="86"/>
      <c r="AQ86" s="86"/>
      <c r="AR86" s="86" t="s">
        <v>437</v>
      </c>
      <c r="AS86" s="86"/>
      <c r="AT86" s="86"/>
    </row>
    <row r="87" spans="1:46">
      <c r="A87" s="6" t="s">
        <v>565</v>
      </c>
      <c r="C87" s="6" t="s">
        <v>561</v>
      </c>
      <c r="D87" s="6" t="s">
        <v>562</v>
      </c>
      <c r="E87" s="6" t="s">
        <v>566</v>
      </c>
      <c r="F87" s="14">
        <v>6</v>
      </c>
      <c r="G87" s="14">
        <v>10</v>
      </c>
      <c r="H87" s="14">
        <v>10</v>
      </c>
      <c r="I87" s="14">
        <v>100</v>
      </c>
      <c r="J87" s="86">
        <f t="shared" si="3"/>
        <v>16</v>
      </c>
      <c r="K87" s="86" t="s">
        <v>563</v>
      </c>
      <c r="L87" s="86"/>
      <c r="M87" s="86"/>
      <c r="N87" s="86">
        <v>200</v>
      </c>
      <c r="O87" s="86" t="s">
        <v>564</v>
      </c>
      <c r="P87" s="86"/>
      <c r="Q87" s="86"/>
      <c r="R87" s="86"/>
      <c r="S87" s="86"/>
      <c r="T87" s="86"/>
      <c r="U87" s="86"/>
      <c r="V87" s="86"/>
      <c r="W87" s="86"/>
      <c r="X87" s="36"/>
      <c r="Y87" s="36"/>
      <c r="Z87" s="86"/>
      <c r="AA87" s="86"/>
      <c r="AB87" s="86"/>
      <c r="AC87" s="86"/>
      <c r="AD87" s="86"/>
      <c r="AE87" s="86"/>
      <c r="AF87" s="86"/>
      <c r="AG87" s="86"/>
      <c r="AH87" s="86"/>
      <c r="AI87" s="86"/>
      <c r="AJ87" s="86"/>
      <c r="AK87" s="86"/>
      <c r="AL87" s="86"/>
      <c r="AM87" s="86"/>
      <c r="AN87" s="86"/>
      <c r="AO87" s="86"/>
      <c r="AP87" s="86"/>
      <c r="AQ87" s="86"/>
      <c r="AR87" s="86" t="s">
        <v>437</v>
      </c>
      <c r="AS87" s="86"/>
      <c r="AT87" s="86"/>
    </row>
    <row r="88" spans="1:46">
      <c r="A88" s="6" t="s">
        <v>567</v>
      </c>
      <c r="C88" s="6" t="s">
        <v>561</v>
      </c>
      <c r="D88" s="6" t="s">
        <v>562</v>
      </c>
      <c r="E88" s="6" t="s">
        <v>568</v>
      </c>
      <c r="F88" s="14">
        <v>8</v>
      </c>
      <c r="G88" s="14">
        <v>16</v>
      </c>
      <c r="H88" s="14">
        <v>16</v>
      </c>
      <c r="I88" s="14">
        <v>60</v>
      </c>
      <c r="J88" s="86">
        <f t="shared" si="3"/>
        <v>16</v>
      </c>
      <c r="K88" s="86" t="s">
        <v>569</v>
      </c>
      <c r="L88" s="86"/>
      <c r="M88" s="86"/>
      <c r="N88" s="86"/>
      <c r="O88" s="86"/>
      <c r="P88" s="86"/>
      <c r="Q88" s="86"/>
      <c r="R88" s="86"/>
      <c r="S88" s="86"/>
      <c r="T88" s="86"/>
      <c r="U88" s="86"/>
      <c r="V88" s="86"/>
      <c r="W88" s="86"/>
      <c r="X88" s="36"/>
      <c r="Y88" s="36"/>
      <c r="Z88" s="86"/>
      <c r="AA88" s="86"/>
      <c r="AB88" s="86"/>
      <c r="AC88" s="86"/>
      <c r="AD88" s="86"/>
      <c r="AE88" s="86"/>
      <c r="AF88" s="86"/>
      <c r="AG88" s="86"/>
      <c r="AH88" s="86"/>
      <c r="AI88" s="86"/>
      <c r="AJ88" s="86"/>
      <c r="AK88" s="86"/>
      <c r="AL88" s="86"/>
      <c r="AM88" s="86"/>
      <c r="AN88" s="86"/>
      <c r="AO88" s="86"/>
      <c r="AP88" s="86"/>
      <c r="AQ88" s="86"/>
      <c r="AR88" s="86" t="s">
        <v>437</v>
      </c>
      <c r="AS88" s="14" t="s">
        <v>437</v>
      </c>
      <c r="AT88" s="86"/>
    </row>
    <row r="89" spans="1:46">
      <c r="A89" s="6" t="s">
        <v>570</v>
      </c>
      <c r="C89" s="6" t="s">
        <v>561</v>
      </c>
      <c r="D89" s="6" t="s">
        <v>562</v>
      </c>
      <c r="E89" s="6" t="s">
        <v>571</v>
      </c>
      <c r="F89" s="14">
        <v>10</v>
      </c>
      <c r="G89" s="14">
        <v>10</v>
      </c>
      <c r="H89" s="14">
        <v>10</v>
      </c>
      <c r="I89" s="14">
        <v>40</v>
      </c>
      <c r="J89" s="86">
        <f t="shared" si="3"/>
        <v>16</v>
      </c>
      <c r="K89" s="86" t="s">
        <v>569</v>
      </c>
      <c r="L89" s="86"/>
      <c r="M89" s="86"/>
      <c r="N89" s="86"/>
      <c r="O89" s="86"/>
      <c r="P89" s="86"/>
      <c r="Q89" s="86"/>
      <c r="R89" s="86"/>
      <c r="S89" s="86"/>
      <c r="T89" s="86"/>
      <c r="U89" s="86"/>
      <c r="V89" s="86"/>
      <c r="W89" s="86"/>
      <c r="X89" s="36"/>
      <c r="Y89" s="36"/>
      <c r="Z89" s="86"/>
      <c r="AA89" s="86"/>
      <c r="AB89" s="86"/>
      <c r="AC89" s="86"/>
      <c r="AD89" s="86"/>
      <c r="AE89" s="86"/>
      <c r="AF89" s="86"/>
      <c r="AG89" s="86"/>
      <c r="AH89" s="86"/>
      <c r="AI89" s="86"/>
      <c r="AJ89" s="86"/>
      <c r="AK89" s="86"/>
      <c r="AL89" s="86"/>
      <c r="AM89" s="86"/>
      <c r="AN89" s="86"/>
      <c r="AO89" s="86"/>
      <c r="AP89" s="86"/>
      <c r="AQ89" s="86"/>
      <c r="AR89" s="86" t="s">
        <v>437</v>
      </c>
      <c r="AS89" s="14" t="s">
        <v>437</v>
      </c>
      <c r="AT89" s="86"/>
    </row>
    <row r="90" spans="1:46">
      <c r="A90" s="6" t="s">
        <v>572</v>
      </c>
      <c r="C90" s="6" t="s">
        <v>561</v>
      </c>
      <c r="D90" s="6" t="s">
        <v>562</v>
      </c>
      <c r="E90" s="6" t="s">
        <v>573</v>
      </c>
      <c r="F90" s="14">
        <v>4</v>
      </c>
      <c r="G90" s="14">
        <v>16</v>
      </c>
      <c r="H90" s="14">
        <v>0</v>
      </c>
      <c r="I90" s="14">
        <v>550</v>
      </c>
      <c r="J90" s="86">
        <f t="shared" si="3"/>
        <v>16</v>
      </c>
      <c r="K90" s="86" t="s">
        <v>574</v>
      </c>
      <c r="L90" s="86"/>
      <c r="M90" s="86"/>
      <c r="N90" s="86"/>
      <c r="O90" s="86"/>
      <c r="P90" s="86"/>
      <c r="Q90" s="86"/>
      <c r="R90" s="86"/>
      <c r="S90" s="86"/>
      <c r="T90" s="86"/>
      <c r="U90" s="86"/>
      <c r="V90" s="86"/>
      <c r="W90" s="86"/>
      <c r="X90" s="36"/>
      <c r="Y90" s="36"/>
      <c r="Z90" s="86"/>
      <c r="AA90" s="86"/>
      <c r="AB90" s="86"/>
      <c r="AC90" s="86"/>
      <c r="AD90" s="86"/>
      <c r="AE90" s="86"/>
      <c r="AF90" s="86"/>
      <c r="AG90" s="86"/>
      <c r="AH90" s="86"/>
      <c r="AI90" s="86"/>
      <c r="AJ90" s="86"/>
      <c r="AK90" s="86"/>
      <c r="AL90" s="86"/>
      <c r="AM90" s="86"/>
      <c r="AN90" s="86"/>
      <c r="AO90" s="86"/>
      <c r="AP90" s="86"/>
      <c r="AQ90" s="86"/>
      <c r="AR90" s="86" t="s">
        <v>437</v>
      </c>
      <c r="AS90" s="14" t="s">
        <v>437</v>
      </c>
      <c r="AT90" s="86"/>
    </row>
    <row r="91" spans="1:46">
      <c r="A91" s="6" t="s">
        <v>576</v>
      </c>
      <c r="C91" s="6" t="s">
        <v>561</v>
      </c>
      <c r="D91" s="6" t="s">
        <v>562</v>
      </c>
      <c r="E91" s="6" t="s">
        <v>577</v>
      </c>
      <c r="F91" s="14">
        <v>2</v>
      </c>
      <c r="G91" s="14">
        <v>4</v>
      </c>
      <c r="H91" s="14">
        <v>4</v>
      </c>
      <c r="I91" s="14">
        <v>40</v>
      </c>
      <c r="J91" s="86">
        <f t="shared" si="3"/>
        <v>4</v>
      </c>
      <c r="K91" s="86" t="s">
        <v>569</v>
      </c>
      <c r="L91" s="86"/>
      <c r="M91" s="86"/>
      <c r="N91" s="86"/>
      <c r="O91" s="86"/>
      <c r="P91" s="86"/>
      <c r="Q91" s="86"/>
      <c r="R91" s="86">
        <v>50</v>
      </c>
      <c r="S91" s="86" t="s">
        <v>575</v>
      </c>
      <c r="T91" s="86"/>
      <c r="U91" s="86"/>
      <c r="V91" s="86"/>
      <c r="W91" s="86"/>
      <c r="X91" s="36"/>
      <c r="Y91" s="36"/>
      <c r="Z91" s="86"/>
      <c r="AA91" s="86"/>
      <c r="AB91" s="86"/>
      <c r="AC91" s="86"/>
      <c r="AD91" s="86"/>
      <c r="AE91" s="86"/>
      <c r="AF91" s="86"/>
      <c r="AG91" s="86"/>
      <c r="AH91" s="86"/>
      <c r="AI91" s="86"/>
      <c r="AJ91" s="86"/>
      <c r="AK91" s="86"/>
      <c r="AL91" s="86"/>
      <c r="AM91" s="86"/>
      <c r="AN91" s="86"/>
      <c r="AO91" s="86"/>
      <c r="AP91" s="86"/>
      <c r="AQ91" s="86"/>
      <c r="AR91" s="86" t="s">
        <v>437</v>
      </c>
      <c r="AS91" s="86"/>
      <c r="AT91" s="86"/>
    </row>
    <row r="92" spans="1:46">
      <c r="A92" s="36" t="s">
        <v>578</v>
      </c>
      <c r="B92" s="36"/>
      <c r="C92" s="6" t="s">
        <v>579</v>
      </c>
      <c r="D92" s="36" t="s">
        <v>562</v>
      </c>
      <c r="E92" s="6" t="s">
        <v>86</v>
      </c>
      <c r="F92" s="86">
        <v>8</v>
      </c>
      <c r="G92" s="86">
        <v>32</v>
      </c>
      <c r="H92" s="14">
        <v>0</v>
      </c>
      <c r="I92" s="86">
        <v>80</v>
      </c>
      <c r="J92" s="86">
        <f t="shared" si="3"/>
        <v>16</v>
      </c>
      <c r="K92" s="86" t="s">
        <v>580</v>
      </c>
      <c r="L92" s="86"/>
      <c r="M92" s="86"/>
      <c r="N92" s="86"/>
      <c r="O92" s="86"/>
      <c r="P92" s="86"/>
      <c r="Q92" s="86"/>
      <c r="R92" s="86"/>
      <c r="S92" s="86"/>
      <c r="T92" s="86"/>
      <c r="U92" s="86"/>
      <c r="V92" s="86"/>
      <c r="W92" s="86"/>
      <c r="X92" s="36"/>
      <c r="Y92" s="36"/>
      <c r="Z92" s="86"/>
      <c r="AA92" s="86"/>
      <c r="AB92" s="86"/>
      <c r="AC92" s="86"/>
      <c r="AD92" s="86"/>
      <c r="AE92" s="86"/>
      <c r="AF92" s="86"/>
      <c r="AG92" s="86"/>
      <c r="AH92" s="86"/>
      <c r="AI92" s="86"/>
      <c r="AJ92" s="86"/>
      <c r="AK92" s="86"/>
      <c r="AL92" s="86"/>
      <c r="AM92" s="86"/>
      <c r="AN92" s="86"/>
      <c r="AO92" s="86"/>
      <c r="AP92" s="86"/>
      <c r="AQ92" s="86"/>
      <c r="AR92" s="86" t="s">
        <v>437</v>
      </c>
      <c r="AS92" s="86"/>
      <c r="AT92" s="86"/>
    </row>
    <row r="93" spans="1:46" s="19" customFormat="1">
      <c r="A93" s="46" t="s">
        <v>581</v>
      </c>
      <c r="B93" s="46"/>
      <c r="C93" s="19" t="s">
        <v>579</v>
      </c>
      <c r="D93" s="46" t="s">
        <v>562</v>
      </c>
      <c r="E93" s="19" t="s">
        <v>86</v>
      </c>
      <c r="F93" s="39">
        <v>8</v>
      </c>
      <c r="G93" s="39">
        <v>32</v>
      </c>
      <c r="H93" s="17">
        <v>0</v>
      </c>
      <c r="I93" s="39">
        <v>80</v>
      </c>
      <c r="J93" s="86">
        <f t="shared" si="3"/>
        <v>16</v>
      </c>
      <c r="K93" s="39" t="s">
        <v>580</v>
      </c>
      <c r="L93" s="39"/>
      <c r="M93" s="39"/>
      <c r="N93" s="39"/>
      <c r="O93" s="39"/>
      <c r="P93" s="39"/>
      <c r="Q93" s="39"/>
      <c r="R93" s="39"/>
      <c r="S93" s="39"/>
      <c r="T93" s="39"/>
      <c r="U93" s="39"/>
      <c r="V93" s="39"/>
      <c r="W93" s="39"/>
      <c r="X93" s="46"/>
      <c r="Y93" s="46"/>
      <c r="Z93" s="39"/>
      <c r="AA93" s="39"/>
      <c r="AB93" s="39"/>
      <c r="AC93" s="39"/>
      <c r="AD93" s="39"/>
      <c r="AE93" s="39"/>
      <c r="AF93" s="39"/>
      <c r="AG93" s="39"/>
      <c r="AH93" s="39"/>
      <c r="AI93" s="39"/>
      <c r="AJ93" s="39"/>
      <c r="AK93" s="39"/>
      <c r="AL93" s="39"/>
      <c r="AM93" s="39"/>
      <c r="AN93" s="39"/>
      <c r="AO93" s="39"/>
      <c r="AP93" s="39"/>
      <c r="AQ93" s="39"/>
      <c r="AR93" s="39" t="s">
        <v>437</v>
      </c>
      <c r="AS93" s="39"/>
      <c r="AT93" s="39"/>
    </row>
    <row r="94" spans="1:46">
      <c r="A94" s="36"/>
      <c r="B94" s="36"/>
      <c r="C94" s="36"/>
      <c r="D94" s="36"/>
      <c r="E94" s="36"/>
      <c r="F94" s="86">
        <f>F82+SUM(F86:F93)</f>
        <v>441</v>
      </c>
      <c r="G94" s="86">
        <f>G82+SUM(G86:G93)</f>
        <v>1166</v>
      </c>
      <c r="H94" s="86">
        <f>H82+SUM(H86:H93)</f>
        <v>423.25</v>
      </c>
      <c r="I94" s="86">
        <f>I82+SUM(I86:I93)</f>
        <v>9240</v>
      </c>
      <c r="J94" s="86"/>
      <c r="K94" s="86"/>
      <c r="L94" s="86">
        <f>L82+SUM(L86:L93)</f>
        <v>130</v>
      </c>
      <c r="M94" s="86"/>
      <c r="N94" s="86">
        <f>N82+SUM(N86:N93)</f>
        <v>2700</v>
      </c>
      <c r="O94" s="86"/>
      <c r="P94" s="86">
        <f>P82+SUM(P86:P93)</f>
        <v>3750</v>
      </c>
      <c r="Q94" s="86"/>
      <c r="R94" s="86">
        <f>R82+SUM(R86:R93)</f>
        <v>770</v>
      </c>
      <c r="S94" s="86"/>
      <c r="T94" s="86">
        <f>T82+SUM(T86:T93)</f>
        <v>300</v>
      </c>
      <c r="U94" s="86"/>
      <c r="V94" s="86">
        <f>V82+SUM(V86:V93)</f>
        <v>0</v>
      </c>
      <c r="W94" s="86"/>
      <c r="X94" s="86">
        <f>X82+SUM(X86:X93)</f>
        <v>11915</v>
      </c>
      <c r="Y94" s="86"/>
      <c r="Z94" s="86">
        <f>Z82+SUM(Z86:Z93)</f>
        <v>200</v>
      </c>
      <c r="AA94" s="86"/>
      <c r="AB94" s="86">
        <f>AB82+SUM(AB86:AB93)</f>
        <v>50</v>
      </c>
      <c r="AC94" s="86"/>
      <c r="AD94" s="86">
        <f>AD82+SUM(AD86:AD93)</f>
        <v>170</v>
      </c>
      <c r="AE94" s="86"/>
      <c r="AF94" s="86">
        <f>AF82+SUM(AF86:AF93)</f>
        <v>200</v>
      </c>
      <c r="AG94" s="86"/>
      <c r="AH94" s="86">
        <f>AH82+SUM(AH86:AH93)</f>
        <v>405</v>
      </c>
      <c r="AI94" s="86"/>
      <c r="AJ94" s="86">
        <f>AJ82+SUM(AJ86:AJ93)</f>
        <v>0</v>
      </c>
      <c r="AK94" s="86"/>
      <c r="AL94" s="86">
        <f>AL82+SUM(AL86:AL93)</f>
        <v>0</v>
      </c>
      <c r="AM94" s="86"/>
      <c r="AN94" s="86">
        <f>AN82+SUM(AN86:AN93)</f>
        <v>3700</v>
      </c>
      <c r="AO94" s="86"/>
      <c r="AP94" s="86"/>
      <c r="AQ94" s="86"/>
      <c r="AR94" s="18">
        <f>COUNTIF(AR86:AR93,"x")+AR82</f>
        <v>72</v>
      </c>
      <c r="AS94" s="18">
        <f>COUNTIF(AS86:AS93,"x")+AS82</f>
        <v>17</v>
      </c>
      <c r="AT94" s="18">
        <f>COUNTIF(AT86:AT93,"x")+AT82</f>
        <v>3</v>
      </c>
    </row>
    <row r="109" spans="1:7" ht="12.95">
      <c r="A109" s="36"/>
      <c r="B109" s="115"/>
      <c r="C109" s="115"/>
      <c r="D109" s="115"/>
      <c r="E109" s="115"/>
      <c r="F109" s="115"/>
      <c r="G109" s="115"/>
    </row>
    <row r="110" spans="1:7">
      <c r="A110" s="36"/>
      <c r="B110" s="36"/>
      <c r="C110" s="36"/>
      <c r="D110" s="36"/>
      <c r="E110" s="36"/>
      <c r="F110" s="36"/>
      <c r="G110" s="36"/>
    </row>
    <row r="111" spans="1:7">
      <c r="A111" s="36"/>
      <c r="B111" s="36"/>
      <c r="C111" s="36"/>
      <c r="D111" s="36"/>
      <c r="E111" s="36"/>
      <c r="F111" s="36"/>
      <c r="G111" s="36"/>
    </row>
    <row r="114" spans="1:7" ht="12.95">
      <c r="A114" s="100"/>
      <c r="B114" s="101" t="s">
        <v>602</v>
      </c>
      <c r="C114" s="101" t="s">
        <v>603</v>
      </c>
      <c r="D114" s="103" t="s">
        <v>382</v>
      </c>
      <c r="E114" s="103" t="s">
        <v>202</v>
      </c>
      <c r="F114" s="101" t="s">
        <v>604</v>
      </c>
      <c r="G114" s="103" t="s">
        <v>206</v>
      </c>
    </row>
    <row r="115" spans="1:7">
      <c r="A115" s="102" t="s">
        <v>607</v>
      </c>
      <c r="B115" s="100">
        <v>2500</v>
      </c>
      <c r="C115" s="100">
        <v>2250</v>
      </c>
      <c r="D115" s="100">
        <v>90</v>
      </c>
      <c r="E115" s="107">
        <v>3750</v>
      </c>
      <c r="F115" s="100">
        <v>3375</v>
      </c>
      <c r="G115" s="107">
        <v>10875</v>
      </c>
    </row>
    <row r="116" spans="1:7">
      <c r="A116" s="102" t="s">
        <v>608</v>
      </c>
      <c r="B116" s="100">
        <v>6150</v>
      </c>
      <c r="C116" s="100">
        <v>5535</v>
      </c>
      <c r="D116" s="100">
        <v>115</v>
      </c>
      <c r="E116" s="100">
        <v>5100</v>
      </c>
      <c r="F116" s="100">
        <v>4590</v>
      </c>
      <c r="G116" s="100">
        <v>18450</v>
      </c>
    </row>
  </sheetData>
  <mergeCells count="7">
    <mergeCell ref="A49:B49"/>
    <mergeCell ref="A6:B6"/>
    <mergeCell ref="A2:B2"/>
    <mergeCell ref="A3:B3"/>
    <mergeCell ref="F3:G3"/>
    <mergeCell ref="A4:B4"/>
    <mergeCell ref="A5:B5"/>
  </mergeCells>
  <dataValidations count="1">
    <dataValidation type="list" allowBlank="1" showInputMessage="1" showErrorMessage="1" sqref="N10" xr:uid="{5046F512-93D8-49C8-A32A-DC264164E354}">
      <formula1>$B115:$B116</formula1>
    </dataValidation>
  </dataValidations>
  <hyperlinks>
    <hyperlink ref="F3:G3" location="Shortcuts!A1" display="Back to shortcuts" xr:uid="{4B5EEABC-E8BF-4685-9979-AF4CF723859B}"/>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75D1-C91A-4C96-AC89-A43927AA1D48}">
  <dimension ref="A1:BZ121"/>
  <sheetViews>
    <sheetView topLeftCell="BK1" zoomScale="85" zoomScaleNormal="85" zoomScalePageLayoutView="70" workbookViewId="0">
      <selection activeCell="BO46" sqref="BO46"/>
    </sheetView>
  </sheetViews>
  <sheetFormatPr defaultColWidth="8.85546875" defaultRowHeight="12.6"/>
  <cols>
    <col min="1" max="1" width="8.85546875" style="6"/>
    <col min="2" max="2" width="20.85546875" style="6" customWidth="1"/>
    <col min="3" max="3" width="24" style="6" customWidth="1"/>
    <col min="4" max="4" width="55.85546875" style="6" customWidth="1"/>
    <col min="5" max="5" width="14.140625" style="6" customWidth="1"/>
    <col min="6" max="7" width="8.85546875" style="6"/>
    <col min="8" max="9" width="8.140625" style="6" customWidth="1"/>
    <col min="10" max="10" width="6.140625" style="6" customWidth="1"/>
    <col min="11" max="11" width="15.140625" style="6" customWidth="1"/>
    <col min="12" max="12" width="6.85546875" style="6" customWidth="1"/>
    <col min="13" max="13" width="8.85546875" style="6"/>
    <col min="14" max="14" width="6.140625" style="6" customWidth="1"/>
    <col min="15" max="15" width="15.140625" style="6" customWidth="1"/>
    <col min="16" max="16" width="6.85546875" style="6" customWidth="1"/>
    <col min="17" max="17" width="8.85546875" style="6"/>
    <col min="18" max="18" width="6.140625" style="6" customWidth="1"/>
    <col min="19" max="19" width="15.140625" style="6" customWidth="1"/>
    <col min="20" max="20" width="6.85546875" style="6" customWidth="1"/>
    <col min="21" max="21" width="8.85546875" style="6"/>
    <col min="22" max="22" width="10.5703125" style="6" customWidth="1"/>
    <col min="23" max="23" width="11.140625" style="6" customWidth="1"/>
    <col min="24" max="24" width="6.85546875" style="6" customWidth="1"/>
    <col min="25" max="25" width="8.85546875" style="6"/>
    <col min="26" max="26" width="6.140625" style="6" customWidth="1"/>
    <col min="27" max="27" width="15.140625" style="6" customWidth="1"/>
    <col min="28" max="28" width="6.85546875" style="6" customWidth="1"/>
    <col min="29" max="29" width="8.85546875" style="6"/>
    <col min="30" max="30" width="6.140625" style="6" customWidth="1"/>
    <col min="31" max="31" width="15.140625" style="6" customWidth="1"/>
    <col min="32" max="32" width="6.85546875" style="6" customWidth="1"/>
    <col min="33" max="33" width="13.140625" style="6" customWidth="1"/>
    <col min="34" max="34" width="6.140625" style="6" customWidth="1"/>
    <col min="35" max="36" width="11.140625" style="6" customWidth="1"/>
    <col min="37" max="37" width="7.140625" style="6" customWidth="1"/>
    <col min="38" max="38" width="6.140625" style="6" customWidth="1"/>
    <col min="39" max="39" width="15.140625" style="6" customWidth="1"/>
    <col min="40" max="40" width="6.85546875" style="6" customWidth="1"/>
    <col min="41" max="41" width="11.140625" style="6" customWidth="1"/>
    <col min="42" max="48" width="6.85546875" style="6" customWidth="1"/>
    <col min="49" max="49" width="9" style="6" customWidth="1"/>
    <col min="50" max="50" width="8.42578125" style="6" customWidth="1"/>
    <col min="51" max="51" width="9.42578125" style="6" customWidth="1"/>
    <col min="52" max="52" width="7.140625" style="6" customWidth="1"/>
    <col min="53" max="53" width="7.140625" style="14" customWidth="1"/>
    <col min="54" max="54" width="7.140625" style="6" customWidth="1"/>
    <col min="55" max="55" width="10.85546875" style="6" customWidth="1"/>
    <col min="56" max="56" width="7.140625" style="6" customWidth="1"/>
    <col min="57" max="57" width="16" style="6" customWidth="1"/>
    <col min="58" max="60" width="6.85546875" style="6" customWidth="1"/>
    <col min="61" max="61" width="10.42578125" style="6" customWidth="1"/>
    <col min="62" max="62" width="6.85546875" style="6" customWidth="1"/>
    <col min="63" max="63" width="10.5703125" style="6" customWidth="1"/>
    <col min="64" max="64" width="6.85546875" style="6" customWidth="1"/>
    <col min="65" max="65" width="9.85546875" style="6" customWidth="1"/>
    <col min="66" max="66" width="12.140625" style="6" customWidth="1"/>
    <col min="67" max="68" width="13.140625" style="6" customWidth="1"/>
    <col min="69" max="69" width="6.140625" style="6" customWidth="1"/>
    <col min="70" max="70" width="18.140625" style="6" customWidth="1"/>
    <col min="71" max="71" width="17.140625" style="6" customWidth="1"/>
    <col min="72" max="72" width="18.5703125" style="6" customWidth="1"/>
    <col min="73" max="74" width="13.140625" style="6" customWidth="1"/>
    <col min="75" max="75" width="22.85546875" style="6" customWidth="1"/>
    <col min="76" max="76" width="17.5703125" style="6" customWidth="1"/>
    <col min="77" max="86" width="8.85546875" style="6"/>
    <col min="87" max="87" width="10.140625" style="6" customWidth="1"/>
    <col min="88" max="16384" width="8.85546875" style="6"/>
  </cols>
  <sheetData>
    <row r="1" spans="1:76" ht="12.95">
      <c r="A1" s="189" t="s">
        <v>38</v>
      </c>
      <c r="B1" s="189"/>
      <c r="C1" s="189"/>
      <c r="D1" s="190"/>
      <c r="F1" s="7" t="s">
        <v>722</v>
      </c>
    </row>
    <row r="2" spans="1:76">
      <c r="A2" s="182" t="s">
        <v>410</v>
      </c>
      <c r="B2" s="182"/>
    </row>
    <row r="3" spans="1:76" ht="14.45">
      <c r="A3" s="182" t="s">
        <v>412</v>
      </c>
      <c r="B3" s="182"/>
      <c r="F3" s="173" t="s">
        <v>413</v>
      </c>
      <c r="G3" s="173"/>
    </row>
    <row r="4" spans="1:76">
      <c r="A4" s="182" t="s">
        <v>414</v>
      </c>
      <c r="B4" s="182"/>
      <c r="C4" s="114"/>
      <c r="D4" s="6" t="s">
        <v>518</v>
      </c>
    </row>
    <row r="5" spans="1:76">
      <c r="A5" s="171" t="s">
        <v>415</v>
      </c>
      <c r="B5" s="171"/>
      <c r="D5" s="36" t="s">
        <v>720</v>
      </c>
    </row>
    <row r="6" spans="1:76">
      <c r="A6" s="171" t="s">
        <v>416</v>
      </c>
      <c r="B6" s="171"/>
    </row>
    <row r="7" spans="1:76" ht="51.95">
      <c r="A7" s="9" t="s">
        <v>183</v>
      </c>
      <c r="B7" s="9" t="s">
        <v>417</v>
      </c>
      <c r="C7" s="9" t="s">
        <v>419</v>
      </c>
      <c r="D7" s="9" t="s">
        <v>420</v>
      </c>
      <c r="E7" s="8" t="s">
        <v>723</v>
      </c>
      <c r="F7" s="8" t="s">
        <v>157</v>
      </c>
      <c r="G7" s="8" t="s">
        <v>173</v>
      </c>
      <c r="H7" s="8" t="s">
        <v>724</v>
      </c>
      <c r="I7" s="8" t="s">
        <v>422</v>
      </c>
      <c r="J7" s="8" t="s">
        <v>725</v>
      </c>
      <c r="K7" s="8" t="s">
        <v>726</v>
      </c>
      <c r="L7" s="8" t="s">
        <v>727</v>
      </c>
      <c r="M7" s="8" t="s">
        <v>198</v>
      </c>
      <c r="N7" s="8" t="s">
        <v>725</v>
      </c>
      <c r="O7" s="8" t="s">
        <v>726</v>
      </c>
      <c r="P7" s="8" t="s">
        <v>727</v>
      </c>
      <c r="Q7" s="8" t="s">
        <v>53</v>
      </c>
      <c r="R7" s="8" t="s">
        <v>725</v>
      </c>
      <c r="S7" s="8" t="s">
        <v>726</v>
      </c>
      <c r="T7" s="8" t="s">
        <v>727</v>
      </c>
      <c r="U7" s="8" t="s">
        <v>202</v>
      </c>
      <c r="V7" s="8" t="s">
        <v>725</v>
      </c>
      <c r="W7" s="8" t="s">
        <v>726</v>
      </c>
      <c r="X7" s="8" t="s">
        <v>727</v>
      </c>
      <c r="Y7" s="8" t="s">
        <v>217</v>
      </c>
      <c r="Z7" s="8" t="s">
        <v>725</v>
      </c>
      <c r="AA7" s="8" t="s">
        <v>726</v>
      </c>
      <c r="AB7" s="8" t="s">
        <v>727</v>
      </c>
      <c r="AC7" s="8" t="s">
        <v>631</v>
      </c>
      <c r="AD7" s="8" t="s">
        <v>725</v>
      </c>
      <c r="AE7" s="8" t="s">
        <v>726</v>
      </c>
      <c r="AF7" s="8" t="s">
        <v>727</v>
      </c>
      <c r="AG7" s="8" t="s">
        <v>206</v>
      </c>
      <c r="AH7" s="8" t="s">
        <v>725</v>
      </c>
      <c r="AI7" s="8" t="s">
        <v>726</v>
      </c>
      <c r="AJ7" s="8" t="s">
        <v>727</v>
      </c>
      <c r="AK7" s="8" t="s">
        <v>610</v>
      </c>
      <c r="AL7" s="8" t="s">
        <v>725</v>
      </c>
      <c r="AM7" s="8" t="s">
        <v>726</v>
      </c>
      <c r="AN7" s="8" t="s">
        <v>727</v>
      </c>
      <c r="AO7" s="83" t="s">
        <v>728</v>
      </c>
      <c r="AP7" s="8" t="s">
        <v>725</v>
      </c>
      <c r="AQ7" s="8" t="s">
        <v>726</v>
      </c>
      <c r="AR7" s="8" t="s">
        <v>727</v>
      </c>
      <c r="AS7" s="83" t="s">
        <v>235</v>
      </c>
      <c r="AT7" s="8" t="s">
        <v>725</v>
      </c>
      <c r="AU7" s="8" t="s">
        <v>726</v>
      </c>
      <c r="AV7" s="8" t="s">
        <v>727</v>
      </c>
      <c r="AW7" s="83" t="s">
        <v>428</v>
      </c>
      <c r="AX7" s="8" t="s">
        <v>725</v>
      </c>
      <c r="AY7" s="8" t="s">
        <v>726</v>
      </c>
      <c r="AZ7" s="8" t="s">
        <v>727</v>
      </c>
      <c r="BA7" s="8" t="s">
        <v>795</v>
      </c>
      <c r="BB7" s="8" t="s">
        <v>725</v>
      </c>
      <c r="BC7" s="8" t="s">
        <v>726</v>
      </c>
      <c r="BD7" s="8" t="s">
        <v>727</v>
      </c>
      <c r="BE7" s="83" t="s">
        <v>791</v>
      </c>
      <c r="BF7" s="8" t="s">
        <v>725</v>
      </c>
      <c r="BG7" s="8" t="s">
        <v>726</v>
      </c>
      <c r="BH7" s="8" t="s">
        <v>727</v>
      </c>
      <c r="BI7" s="8" t="s">
        <v>477</v>
      </c>
      <c r="BJ7" s="8" t="s">
        <v>725</v>
      </c>
      <c r="BK7" s="8" t="s">
        <v>731</v>
      </c>
      <c r="BL7" s="8" t="s">
        <v>727</v>
      </c>
      <c r="BM7" s="8" t="s">
        <v>219</v>
      </c>
      <c r="BN7" s="8" t="s">
        <v>732</v>
      </c>
      <c r="BO7" s="8" t="s">
        <v>433</v>
      </c>
      <c r="BP7" s="8" t="s">
        <v>733</v>
      </c>
      <c r="BQ7" s="8" t="s">
        <v>734</v>
      </c>
      <c r="BR7" s="8" t="s">
        <v>735</v>
      </c>
      <c r="BS7" s="8" t="s">
        <v>736</v>
      </c>
      <c r="BT7" s="83" t="s">
        <v>737</v>
      </c>
      <c r="BU7" s="8" t="s">
        <v>738</v>
      </c>
      <c r="BV7" s="8" t="s">
        <v>739</v>
      </c>
      <c r="BW7" s="8" t="s">
        <v>740</v>
      </c>
      <c r="BX7" s="8" t="s">
        <v>741</v>
      </c>
    </row>
    <row r="8" spans="1:76">
      <c r="A8" s="6" t="s">
        <v>742</v>
      </c>
      <c r="B8" s="14"/>
      <c r="C8" s="6" t="s">
        <v>435</v>
      </c>
      <c r="D8" s="6" t="s">
        <v>743</v>
      </c>
      <c r="E8" s="14" t="s">
        <v>744</v>
      </c>
      <c r="F8" s="14">
        <v>4</v>
      </c>
      <c r="G8" s="14">
        <v>8</v>
      </c>
      <c r="H8" s="62">
        <v>50</v>
      </c>
      <c r="I8" s="31">
        <v>0</v>
      </c>
      <c r="J8" s="14" t="s">
        <v>745</v>
      </c>
      <c r="K8" s="6" t="s">
        <v>746</v>
      </c>
      <c r="L8" s="14">
        <v>4.7</v>
      </c>
      <c r="M8" s="62"/>
      <c r="N8" s="14"/>
      <c r="O8" s="14"/>
      <c r="P8" s="14"/>
      <c r="Q8" s="62"/>
      <c r="R8" s="14"/>
      <c r="S8" s="14"/>
      <c r="T8" s="14"/>
      <c r="U8" s="62"/>
      <c r="V8" s="14"/>
      <c r="W8" s="14"/>
      <c r="X8" s="14"/>
      <c r="Y8" s="62"/>
      <c r="Z8" s="14"/>
      <c r="AA8" s="14"/>
      <c r="AB8" s="14"/>
      <c r="AC8" s="62"/>
      <c r="AD8" s="14"/>
      <c r="AE8" s="14"/>
      <c r="AF8" s="14"/>
      <c r="AG8" s="62">
        <v>0</v>
      </c>
      <c r="AH8" s="14" t="s">
        <v>742</v>
      </c>
      <c r="AI8" s="6" t="s">
        <v>742</v>
      </c>
      <c r="AJ8" s="14" t="s">
        <v>742</v>
      </c>
      <c r="AK8" s="14"/>
      <c r="AL8" s="14"/>
      <c r="AM8" s="14"/>
      <c r="AN8" s="14"/>
      <c r="AO8" s="14"/>
      <c r="AP8" s="14"/>
      <c r="AQ8" s="14"/>
      <c r="AR8" s="14"/>
      <c r="AS8" s="14"/>
      <c r="AT8" s="14"/>
      <c r="AU8" s="14"/>
      <c r="AV8" s="14"/>
      <c r="AW8" s="14"/>
      <c r="AX8" s="14"/>
      <c r="AY8" s="14"/>
      <c r="AZ8" s="14"/>
      <c r="BB8" s="14"/>
      <c r="BC8" s="14"/>
      <c r="BD8" s="14"/>
      <c r="BE8" s="14"/>
      <c r="BF8" s="14"/>
      <c r="BG8" s="14"/>
      <c r="BH8" s="14"/>
      <c r="BI8" s="14"/>
      <c r="BJ8" s="14"/>
      <c r="BK8" s="14"/>
      <c r="BL8" s="14"/>
      <c r="BM8" s="14">
        <v>1</v>
      </c>
      <c r="BO8" s="14"/>
      <c r="BP8" s="14" t="s">
        <v>437</v>
      </c>
      <c r="BQ8" s="14">
        <v>2</v>
      </c>
      <c r="BR8" s="14" t="s">
        <v>437</v>
      </c>
      <c r="BS8" s="14"/>
      <c r="BX8" s="14"/>
    </row>
    <row r="9" spans="1:76">
      <c r="A9" s="6" t="s">
        <v>434</v>
      </c>
      <c r="C9" s="6" t="s">
        <v>435</v>
      </c>
      <c r="D9" s="21" t="s">
        <v>42</v>
      </c>
      <c r="E9" s="14" t="s">
        <v>747</v>
      </c>
      <c r="F9" s="14">
        <v>4</v>
      </c>
      <c r="G9" s="14">
        <v>16</v>
      </c>
      <c r="H9" s="62">
        <v>350</v>
      </c>
      <c r="I9" s="31">
        <v>4</v>
      </c>
      <c r="J9" s="14" t="s">
        <v>748</v>
      </c>
      <c r="K9" s="6" t="s">
        <v>746</v>
      </c>
      <c r="L9" s="14">
        <v>5.9</v>
      </c>
      <c r="M9" s="62"/>
      <c r="N9" s="14"/>
      <c r="O9" s="14"/>
      <c r="P9" s="14"/>
      <c r="Q9" s="62"/>
      <c r="R9" s="14"/>
      <c r="S9" s="14"/>
      <c r="T9" s="14"/>
      <c r="U9" s="62"/>
      <c r="V9" s="14"/>
      <c r="W9" s="14"/>
      <c r="X9" s="14"/>
      <c r="Y9" s="62"/>
      <c r="Z9" s="14"/>
      <c r="AA9" s="14"/>
      <c r="AB9" s="14"/>
      <c r="AC9" s="62"/>
      <c r="AD9" s="14"/>
      <c r="AE9" s="14"/>
      <c r="AF9" s="14"/>
      <c r="AG9" s="62">
        <f>2*H9</f>
        <v>700</v>
      </c>
      <c r="AH9" s="14" t="s">
        <v>748</v>
      </c>
      <c r="AI9" s="6" t="s">
        <v>746</v>
      </c>
      <c r="AJ9" s="14" t="s">
        <v>742</v>
      </c>
      <c r="AK9" s="14"/>
      <c r="AL9" s="14"/>
      <c r="AM9" s="14"/>
      <c r="AN9" s="14"/>
      <c r="AO9" s="14"/>
      <c r="AP9" s="14"/>
      <c r="AQ9" s="14"/>
      <c r="AR9" s="14"/>
      <c r="AS9" s="14"/>
      <c r="AT9" s="14"/>
      <c r="AU9" s="14"/>
      <c r="AV9" s="14"/>
      <c r="AW9" s="14"/>
      <c r="AX9" s="14"/>
      <c r="AY9" s="14"/>
      <c r="AZ9" s="14"/>
      <c r="BB9" s="14"/>
      <c r="BC9" s="14"/>
      <c r="BD9" s="14"/>
      <c r="BE9" s="14"/>
      <c r="BF9" s="14"/>
      <c r="BG9" s="14"/>
      <c r="BH9" s="14"/>
      <c r="BI9" s="14"/>
      <c r="BJ9" s="14"/>
      <c r="BK9" s="14"/>
      <c r="BL9" s="14"/>
      <c r="BM9" s="14">
        <v>2</v>
      </c>
      <c r="BN9" s="14" t="s">
        <v>437</v>
      </c>
      <c r="BO9" s="14"/>
      <c r="BP9" s="14"/>
      <c r="BQ9" s="14">
        <v>2</v>
      </c>
      <c r="BR9" s="14"/>
      <c r="BS9" s="14"/>
      <c r="BT9" s="14" t="s">
        <v>437</v>
      </c>
      <c r="BU9" s="14"/>
      <c r="BV9" s="14"/>
      <c r="BW9" s="14"/>
      <c r="BX9" s="14"/>
    </row>
    <row r="10" spans="1:76">
      <c r="A10" s="6" t="s">
        <v>440</v>
      </c>
      <c r="B10" s="14" t="s">
        <v>441</v>
      </c>
      <c r="C10" s="6" t="s">
        <v>435</v>
      </c>
      <c r="D10" s="21" t="s">
        <v>50</v>
      </c>
      <c r="E10" s="14" t="s">
        <v>749</v>
      </c>
      <c r="F10" s="14">
        <v>6</v>
      </c>
      <c r="G10" s="14">
        <v>11</v>
      </c>
      <c r="H10" s="62">
        <v>40</v>
      </c>
      <c r="I10" s="31">
        <v>4</v>
      </c>
      <c r="J10" s="14" t="s">
        <v>748</v>
      </c>
      <c r="K10" s="6" t="s">
        <v>746</v>
      </c>
      <c r="L10" s="14">
        <v>2.6</v>
      </c>
      <c r="M10" s="62"/>
      <c r="N10" s="14"/>
      <c r="O10" s="14"/>
      <c r="P10" s="14"/>
      <c r="Q10" s="62"/>
      <c r="R10" s="14"/>
      <c r="S10" s="14"/>
      <c r="T10" s="14"/>
      <c r="U10" s="62"/>
      <c r="V10" s="14"/>
      <c r="W10" s="14"/>
      <c r="X10" s="14"/>
      <c r="Y10" s="62"/>
      <c r="Z10" s="14"/>
      <c r="AA10" s="14"/>
      <c r="AB10" s="14"/>
      <c r="AC10" s="62"/>
      <c r="AD10" s="14"/>
      <c r="AE10" s="14"/>
      <c r="AF10" s="14"/>
      <c r="AG10" s="62">
        <f>H10*2</f>
        <v>80</v>
      </c>
      <c r="AH10" s="14" t="s">
        <v>748</v>
      </c>
      <c r="AI10" s="6" t="s">
        <v>746</v>
      </c>
      <c r="AJ10" s="14" t="s">
        <v>742</v>
      </c>
      <c r="AK10" s="14"/>
      <c r="AL10" s="14"/>
      <c r="AM10" s="14"/>
      <c r="AN10" s="14"/>
      <c r="AO10" s="14"/>
      <c r="AP10" s="14"/>
      <c r="AQ10" s="14"/>
      <c r="AR10" s="14"/>
      <c r="AS10" s="14"/>
      <c r="AT10" s="14"/>
      <c r="AU10" s="14"/>
      <c r="AV10" s="14"/>
      <c r="AW10" s="14"/>
      <c r="AX10" s="14"/>
      <c r="AY10" s="14"/>
      <c r="AZ10" s="14"/>
      <c r="BB10" s="14"/>
      <c r="BC10" s="14"/>
      <c r="BD10" s="14"/>
      <c r="BE10" s="14"/>
      <c r="BF10" s="14"/>
      <c r="BG10" s="14"/>
      <c r="BH10" s="14"/>
      <c r="BI10" s="14"/>
      <c r="BJ10" s="14"/>
      <c r="BK10" s="14"/>
      <c r="BL10" s="14"/>
      <c r="BM10" s="14">
        <v>2</v>
      </c>
      <c r="BN10" s="14" t="s">
        <v>437</v>
      </c>
      <c r="BO10" s="14"/>
      <c r="BP10" s="14"/>
      <c r="BQ10" s="14">
        <v>2</v>
      </c>
      <c r="BR10" s="14"/>
      <c r="BS10" s="14"/>
      <c r="BT10" s="14" t="s">
        <v>437</v>
      </c>
      <c r="BU10" s="14"/>
      <c r="BV10" s="14"/>
      <c r="BW10" s="14"/>
      <c r="BX10" s="14"/>
    </row>
    <row r="11" spans="1:76">
      <c r="A11" s="6" t="s">
        <v>444</v>
      </c>
      <c r="B11" s="14"/>
      <c r="C11" s="6" t="s">
        <v>435</v>
      </c>
      <c r="D11" s="21" t="s">
        <v>53</v>
      </c>
      <c r="E11" s="14" t="s">
        <v>750</v>
      </c>
      <c r="F11" s="14">
        <v>16</v>
      </c>
      <c r="G11" s="108">
        <f>VLOOKUP(Q11,B115:F116,2,FALSE)</f>
        <v>90</v>
      </c>
      <c r="H11" s="62">
        <v>95</v>
      </c>
      <c r="I11" s="31">
        <v>32</v>
      </c>
      <c r="J11" s="14" t="s">
        <v>748</v>
      </c>
      <c r="K11" s="6" t="s">
        <v>746</v>
      </c>
      <c r="L11" s="14">
        <v>2.6</v>
      </c>
      <c r="M11" s="64">
        <v>116.99</v>
      </c>
      <c r="N11" s="14" t="s">
        <v>748</v>
      </c>
      <c r="O11" s="6" t="s">
        <v>751</v>
      </c>
      <c r="P11" s="14">
        <f>50/1000</f>
        <v>0.05</v>
      </c>
      <c r="Q11" s="126">
        <v>2250</v>
      </c>
      <c r="R11" s="14" t="s">
        <v>748</v>
      </c>
      <c r="S11" s="6" t="s">
        <v>751</v>
      </c>
      <c r="T11" s="14">
        <f>50/1000</f>
        <v>0.05</v>
      </c>
      <c r="U11" s="125">
        <f>VLOOKUP(Q11,B115:D116,3,FALSE)</f>
        <v>3375</v>
      </c>
      <c r="V11" s="14" t="s">
        <v>748</v>
      </c>
      <c r="W11" s="6" t="s">
        <v>746</v>
      </c>
      <c r="X11" s="14">
        <f>50/1000</f>
        <v>0.05</v>
      </c>
      <c r="Y11" s="62"/>
      <c r="Z11" s="14"/>
      <c r="AA11" s="14"/>
      <c r="AB11" s="14"/>
      <c r="AC11" s="62"/>
      <c r="AD11" s="14"/>
      <c r="AE11" s="14"/>
      <c r="AF11" s="14"/>
      <c r="AG11" s="104">
        <f>2*H11+VLOOKUP(Q11,B115:E116,4,FALSE)</f>
        <v>9977.5</v>
      </c>
      <c r="AH11" s="14" t="s">
        <v>748</v>
      </c>
      <c r="AI11" s="6" t="s">
        <v>746</v>
      </c>
      <c r="AJ11" s="14" t="s">
        <v>742</v>
      </c>
      <c r="AK11" s="14"/>
      <c r="AL11" s="14"/>
      <c r="AM11" s="14"/>
      <c r="AN11" s="14"/>
      <c r="AO11" s="14"/>
      <c r="AP11" s="14"/>
      <c r="AQ11" s="14"/>
      <c r="AR11" s="14"/>
      <c r="AS11" s="14"/>
      <c r="AT11" s="14"/>
      <c r="AU11" s="14"/>
      <c r="AV11" s="14"/>
      <c r="AW11" s="14"/>
      <c r="AX11" s="14"/>
      <c r="AY11" s="14"/>
      <c r="AZ11" s="14"/>
      <c r="BB11" s="14"/>
      <c r="BC11" s="14"/>
      <c r="BD11" s="14"/>
      <c r="BE11" s="62">
        <v>3072</v>
      </c>
      <c r="BF11" s="14" t="s">
        <v>748</v>
      </c>
      <c r="BG11" s="6" t="s">
        <v>746</v>
      </c>
      <c r="BH11" s="14">
        <f>50/1000</f>
        <v>0.05</v>
      </c>
      <c r="BI11" s="14"/>
      <c r="BJ11" s="14"/>
      <c r="BK11" s="14"/>
      <c r="BL11" s="14"/>
      <c r="BM11" s="14">
        <v>6</v>
      </c>
      <c r="BN11" s="14" t="s">
        <v>437</v>
      </c>
      <c r="BO11" s="14"/>
      <c r="BP11" s="14"/>
      <c r="BQ11" s="14">
        <v>2</v>
      </c>
      <c r="BR11" s="14"/>
      <c r="BS11" s="14"/>
      <c r="BT11" s="14" t="s">
        <v>437</v>
      </c>
      <c r="BU11" s="14"/>
      <c r="BV11" s="14"/>
      <c r="BW11" s="14"/>
      <c r="BX11" s="14"/>
    </row>
    <row r="12" spans="1:76">
      <c r="A12" s="6" t="s">
        <v>448</v>
      </c>
      <c r="B12" s="14" t="s">
        <v>441</v>
      </c>
      <c r="C12" s="6" t="s">
        <v>435</v>
      </c>
      <c r="D12" s="21" t="s">
        <v>57</v>
      </c>
      <c r="E12" s="14" t="s">
        <v>752</v>
      </c>
      <c r="F12" s="14">
        <v>8</v>
      </c>
      <c r="G12" s="14">
        <v>13</v>
      </c>
      <c r="H12" s="62">
        <v>45</v>
      </c>
      <c r="I12" s="31">
        <v>16</v>
      </c>
      <c r="J12" s="14" t="s">
        <v>748</v>
      </c>
      <c r="K12" s="6" t="s">
        <v>746</v>
      </c>
      <c r="L12" s="14">
        <v>2.6</v>
      </c>
      <c r="M12" s="62"/>
      <c r="N12" s="14"/>
      <c r="O12" s="14"/>
      <c r="P12" s="14"/>
      <c r="Q12" s="62"/>
      <c r="R12" s="14"/>
      <c r="S12" s="14"/>
      <c r="T12" s="14"/>
      <c r="U12" s="62"/>
      <c r="V12" s="14"/>
      <c r="W12" s="14"/>
      <c r="X12" s="14"/>
      <c r="Y12" s="62">
        <v>549</v>
      </c>
      <c r="Z12" s="14" t="s">
        <v>748</v>
      </c>
      <c r="AA12" s="6" t="s">
        <v>746</v>
      </c>
      <c r="AB12" s="14">
        <v>0.1</v>
      </c>
      <c r="AC12" s="62">
        <v>270</v>
      </c>
      <c r="AD12" s="14" t="s">
        <v>748</v>
      </c>
      <c r="AE12" s="6" t="s">
        <v>746</v>
      </c>
      <c r="AF12" s="14" t="s">
        <v>742</v>
      </c>
      <c r="AG12" s="62">
        <v>624</v>
      </c>
      <c r="AH12" s="14" t="s">
        <v>748</v>
      </c>
      <c r="AI12" s="6" t="s">
        <v>746</v>
      </c>
      <c r="AJ12" s="14" t="s">
        <v>742</v>
      </c>
      <c r="AK12" s="14"/>
      <c r="AL12" s="14"/>
      <c r="AM12" s="14"/>
      <c r="AN12" s="14"/>
      <c r="AO12" s="14"/>
      <c r="AP12" s="14"/>
      <c r="AQ12" s="14"/>
      <c r="AR12" s="14"/>
      <c r="AS12" s="14"/>
      <c r="AT12" s="14"/>
      <c r="AU12" s="14"/>
      <c r="AV12" s="14"/>
      <c r="AW12" s="14"/>
      <c r="AX12" s="14"/>
      <c r="AY12" s="14"/>
      <c r="AZ12" s="14"/>
      <c r="BB12" s="14"/>
      <c r="BC12" s="14"/>
      <c r="BD12" s="14"/>
      <c r="BE12" s="14"/>
      <c r="BF12" s="14"/>
      <c r="BG12" s="14"/>
      <c r="BH12" s="14"/>
      <c r="BI12" s="14"/>
      <c r="BJ12" s="14"/>
      <c r="BK12" s="14"/>
      <c r="BL12" s="14"/>
      <c r="BM12" s="14">
        <v>4</v>
      </c>
      <c r="BN12" s="14" t="s">
        <v>437</v>
      </c>
      <c r="BO12" s="14"/>
      <c r="BP12" s="14"/>
      <c r="BQ12" s="14">
        <v>2</v>
      </c>
      <c r="BR12" s="14"/>
      <c r="BS12" s="14"/>
      <c r="BT12" s="14" t="s">
        <v>437</v>
      </c>
      <c r="BU12" s="14"/>
      <c r="BV12" s="14"/>
      <c r="BW12" s="14"/>
      <c r="BX12" s="14"/>
    </row>
    <row r="13" spans="1:76">
      <c r="A13" s="6" t="s">
        <v>450</v>
      </c>
      <c r="C13" s="6" t="s">
        <v>435</v>
      </c>
      <c r="D13" s="21" t="s">
        <v>61</v>
      </c>
      <c r="E13" s="14" t="s">
        <v>753</v>
      </c>
      <c r="F13" s="14">
        <v>4</v>
      </c>
      <c r="G13" s="14">
        <v>4</v>
      </c>
      <c r="H13" s="62">
        <v>30</v>
      </c>
      <c r="I13" s="31">
        <v>4</v>
      </c>
      <c r="J13" s="14" t="s">
        <v>748</v>
      </c>
      <c r="K13" s="6" t="s">
        <v>746</v>
      </c>
      <c r="L13" s="14">
        <v>2.6</v>
      </c>
      <c r="M13" s="62"/>
      <c r="N13" s="14"/>
      <c r="O13" s="14"/>
      <c r="P13" s="14"/>
      <c r="Q13" s="62"/>
      <c r="R13" s="14"/>
      <c r="S13" s="14"/>
      <c r="T13" s="14"/>
      <c r="U13" s="62"/>
      <c r="V13" s="14"/>
      <c r="W13" s="14"/>
      <c r="X13" s="14"/>
      <c r="Y13" s="62"/>
      <c r="Z13" s="14"/>
      <c r="AA13" s="14"/>
      <c r="AB13" s="14"/>
      <c r="AC13" s="62"/>
      <c r="AD13" s="14"/>
      <c r="AE13" s="14"/>
      <c r="AF13" s="14"/>
      <c r="AG13" s="62">
        <f t="shared" ref="AG13:AG18" si="0">2*H13</f>
        <v>60</v>
      </c>
      <c r="AH13" s="14" t="s">
        <v>748</v>
      </c>
      <c r="AI13" s="6" t="s">
        <v>746</v>
      </c>
      <c r="AJ13" s="14" t="s">
        <v>742</v>
      </c>
      <c r="AK13" s="14"/>
      <c r="AL13" s="14"/>
      <c r="AM13" s="14"/>
      <c r="AN13" s="14"/>
      <c r="AO13" s="14"/>
      <c r="AP13" s="14"/>
      <c r="AQ13" s="14"/>
      <c r="AR13" s="14"/>
      <c r="AS13" s="14"/>
      <c r="AT13" s="14"/>
      <c r="AU13" s="14"/>
      <c r="AV13" s="14"/>
      <c r="AW13" s="14"/>
      <c r="AX13" s="14"/>
      <c r="AY13" s="14"/>
      <c r="AZ13" s="14"/>
      <c r="BB13" s="14"/>
      <c r="BC13" s="14"/>
      <c r="BD13" s="14"/>
      <c r="BE13" s="14"/>
      <c r="BF13" s="14"/>
      <c r="BG13" s="14"/>
      <c r="BH13" s="14"/>
      <c r="BI13" s="14"/>
      <c r="BJ13" s="14"/>
      <c r="BK13" s="14"/>
      <c r="BL13" s="14"/>
      <c r="BM13" s="14">
        <v>2</v>
      </c>
      <c r="BN13" s="14" t="s">
        <v>437</v>
      </c>
      <c r="BO13" s="14" t="s">
        <v>437</v>
      </c>
      <c r="BP13" s="14"/>
      <c r="BQ13" s="14">
        <v>2</v>
      </c>
      <c r="BR13" s="14"/>
      <c r="BS13" s="14"/>
      <c r="BT13" s="14" t="s">
        <v>437</v>
      </c>
      <c r="BU13" s="14"/>
      <c r="BV13" s="14"/>
      <c r="BW13" s="14"/>
      <c r="BX13" s="14"/>
    </row>
    <row r="14" spans="1:76">
      <c r="A14" s="6" t="s">
        <v>451</v>
      </c>
      <c r="C14" s="6" t="s">
        <v>435</v>
      </c>
      <c r="D14" s="21" t="s">
        <v>65</v>
      </c>
      <c r="E14" s="14" t="s">
        <v>754</v>
      </c>
      <c r="F14" s="14">
        <v>2</v>
      </c>
      <c r="G14" s="14">
        <v>3</v>
      </c>
      <c r="H14" s="62">
        <v>30</v>
      </c>
      <c r="I14" s="31">
        <v>4</v>
      </c>
      <c r="J14" s="14" t="s">
        <v>748</v>
      </c>
      <c r="K14" s="6" t="s">
        <v>746</v>
      </c>
      <c r="L14" s="14">
        <v>2.6</v>
      </c>
      <c r="M14" s="62"/>
      <c r="N14" s="14"/>
      <c r="O14" s="14"/>
      <c r="P14" s="14"/>
      <c r="Q14" s="62"/>
      <c r="R14" s="14"/>
      <c r="S14" s="14"/>
      <c r="T14" s="14"/>
      <c r="U14" s="62"/>
      <c r="V14" s="14"/>
      <c r="W14" s="14"/>
      <c r="X14" s="14"/>
      <c r="Y14" s="62"/>
      <c r="Z14" s="14"/>
      <c r="AA14" s="14"/>
      <c r="AB14" s="14"/>
      <c r="AC14" s="62"/>
      <c r="AD14" s="14"/>
      <c r="AE14" s="14"/>
      <c r="AF14" s="14"/>
      <c r="AG14" s="62">
        <f t="shared" si="0"/>
        <v>60</v>
      </c>
      <c r="AH14" s="14" t="s">
        <v>748</v>
      </c>
      <c r="AI14" s="6" t="s">
        <v>746</v>
      </c>
      <c r="AJ14" s="14" t="s">
        <v>742</v>
      </c>
      <c r="AK14" s="14"/>
      <c r="AL14" s="14"/>
      <c r="AM14" s="14"/>
      <c r="AN14" s="14"/>
      <c r="AO14" s="14"/>
      <c r="AP14" s="14"/>
      <c r="AQ14" s="14"/>
      <c r="AR14" s="14"/>
      <c r="AS14" s="14"/>
      <c r="AT14" s="14"/>
      <c r="AU14" s="14"/>
      <c r="AV14" s="14"/>
      <c r="AW14" s="14"/>
      <c r="AX14" s="14"/>
      <c r="AY14" s="14"/>
      <c r="AZ14" s="14"/>
      <c r="BB14" s="14"/>
      <c r="BC14" s="14"/>
      <c r="BD14" s="14"/>
      <c r="BE14" s="14"/>
      <c r="BF14" s="14"/>
      <c r="BG14" s="14"/>
      <c r="BH14" s="14"/>
      <c r="BI14" s="14"/>
      <c r="BJ14" s="14"/>
      <c r="BK14" s="14"/>
      <c r="BL14" s="14"/>
      <c r="BM14" s="14">
        <v>2</v>
      </c>
      <c r="BN14" s="14" t="s">
        <v>437</v>
      </c>
      <c r="BO14" s="14"/>
      <c r="BP14" s="14"/>
      <c r="BQ14" s="14">
        <v>2</v>
      </c>
      <c r="BR14" s="14"/>
      <c r="BS14" s="14"/>
      <c r="BT14" s="14" t="s">
        <v>437</v>
      </c>
      <c r="BU14" s="14"/>
      <c r="BV14" s="14"/>
      <c r="BW14" s="14"/>
      <c r="BX14" s="14"/>
    </row>
    <row r="15" spans="1:76">
      <c r="A15" s="6" t="s">
        <v>452</v>
      </c>
      <c r="C15" s="6" t="s">
        <v>435</v>
      </c>
      <c r="D15" s="21" t="s">
        <v>611</v>
      </c>
      <c r="E15" s="14" t="s">
        <v>755</v>
      </c>
      <c r="F15" s="14">
        <v>3</v>
      </c>
      <c r="G15" s="14">
        <v>6</v>
      </c>
      <c r="H15" s="62">
        <v>40</v>
      </c>
      <c r="I15" s="31">
        <v>4</v>
      </c>
      <c r="J15" s="14" t="s">
        <v>748</v>
      </c>
      <c r="K15" s="6" t="s">
        <v>746</v>
      </c>
      <c r="L15" s="14">
        <v>2.6</v>
      </c>
      <c r="M15" s="62"/>
      <c r="N15" s="14"/>
      <c r="O15" s="14"/>
      <c r="P15" s="14"/>
      <c r="Q15" s="62"/>
      <c r="R15" s="14"/>
      <c r="S15" s="14"/>
      <c r="T15" s="14"/>
      <c r="U15" s="62"/>
      <c r="V15" s="14"/>
      <c r="W15" s="14"/>
      <c r="X15" s="14"/>
      <c r="Y15" s="62"/>
      <c r="Z15" s="14"/>
      <c r="AA15" s="14"/>
      <c r="AB15" s="14"/>
      <c r="AC15" s="62"/>
      <c r="AD15" s="14"/>
      <c r="AE15" s="14"/>
      <c r="AF15" s="14"/>
      <c r="AG15" s="62">
        <f t="shared" si="0"/>
        <v>80</v>
      </c>
      <c r="AH15" s="14" t="s">
        <v>748</v>
      </c>
      <c r="AI15" s="6" t="s">
        <v>746</v>
      </c>
      <c r="AJ15" s="14" t="s">
        <v>742</v>
      </c>
      <c r="AK15" s="14"/>
      <c r="AL15" s="14"/>
      <c r="AM15" s="14"/>
      <c r="AN15" s="14"/>
      <c r="AO15" s="14"/>
      <c r="AP15" s="14"/>
      <c r="AQ15" s="14"/>
      <c r="AR15" s="14"/>
      <c r="AS15" s="14"/>
      <c r="AT15" s="14"/>
      <c r="AU15" s="14"/>
      <c r="AV15" s="14"/>
      <c r="AW15" s="14"/>
      <c r="AX15" s="14"/>
      <c r="AY15" s="14"/>
      <c r="AZ15" s="14"/>
      <c r="BB15" s="14"/>
      <c r="BC15" s="14"/>
      <c r="BD15" s="14"/>
      <c r="BE15" s="14"/>
      <c r="BF15" s="14"/>
      <c r="BG15" s="14"/>
      <c r="BH15" s="14"/>
      <c r="BI15" s="14"/>
      <c r="BJ15" s="14"/>
      <c r="BK15" s="14"/>
      <c r="BL15" s="14"/>
      <c r="BM15" s="14">
        <v>2</v>
      </c>
      <c r="BN15" s="14" t="s">
        <v>437</v>
      </c>
      <c r="BO15" s="14"/>
      <c r="BP15" s="14"/>
      <c r="BQ15" s="14">
        <v>2</v>
      </c>
      <c r="BR15" s="14"/>
      <c r="BS15" s="14"/>
      <c r="BT15" s="14" t="s">
        <v>437</v>
      </c>
      <c r="BU15" s="14"/>
      <c r="BV15" s="14"/>
      <c r="BW15" s="14"/>
      <c r="BX15" s="14"/>
    </row>
    <row r="16" spans="1:76">
      <c r="A16" s="6" t="s">
        <v>454</v>
      </c>
      <c r="C16" s="6" t="s">
        <v>435</v>
      </c>
      <c r="D16" s="21" t="s">
        <v>455</v>
      </c>
      <c r="E16" s="14" t="s">
        <v>756</v>
      </c>
      <c r="F16" s="14">
        <v>5</v>
      </c>
      <c r="G16" s="14">
        <v>7</v>
      </c>
      <c r="H16" s="62">
        <v>55</v>
      </c>
      <c r="I16" s="31">
        <v>4</v>
      </c>
      <c r="J16" s="14" t="s">
        <v>748</v>
      </c>
      <c r="K16" s="6" t="s">
        <v>746</v>
      </c>
      <c r="L16" s="14">
        <v>2.6</v>
      </c>
      <c r="M16" s="62"/>
      <c r="N16" s="14"/>
      <c r="O16" s="14"/>
      <c r="P16" s="14"/>
      <c r="Q16" s="62"/>
      <c r="R16" s="14"/>
      <c r="S16" s="14"/>
      <c r="T16" s="14"/>
      <c r="U16" s="62"/>
      <c r="V16" s="14"/>
      <c r="W16" s="14"/>
      <c r="X16" s="14"/>
      <c r="Y16" s="62"/>
      <c r="Z16" s="14"/>
      <c r="AA16" s="14"/>
      <c r="AB16" s="14"/>
      <c r="AC16" s="62"/>
      <c r="AD16" s="14"/>
      <c r="AE16" s="14"/>
      <c r="AF16" s="14"/>
      <c r="AG16" s="62">
        <f t="shared" si="0"/>
        <v>110</v>
      </c>
      <c r="AH16" s="14" t="s">
        <v>748</v>
      </c>
      <c r="AI16" s="6" t="s">
        <v>746</v>
      </c>
      <c r="AJ16" s="14" t="s">
        <v>742</v>
      </c>
      <c r="AK16" s="14"/>
      <c r="AL16" s="14"/>
      <c r="AM16" s="14"/>
      <c r="AN16" s="14"/>
      <c r="AO16" s="14"/>
      <c r="AP16" s="14"/>
      <c r="AQ16" s="14"/>
      <c r="AR16" s="14"/>
      <c r="AS16" s="14"/>
      <c r="AT16" s="14"/>
      <c r="AU16" s="14"/>
      <c r="AV16" s="14"/>
      <c r="AW16" s="14"/>
      <c r="AX16" s="14"/>
      <c r="AY16" s="14"/>
      <c r="AZ16" s="14"/>
      <c r="BB16" s="14"/>
      <c r="BC16" s="14"/>
      <c r="BD16" s="14"/>
      <c r="BE16" s="14"/>
      <c r="BF16" s="14"/>
      <c r="BG16" s="14"/>
      <c r="BH16" s="14"/>
      <c r="BI16" s="14"/>
      <c r="BJ16" s="14"/>
      <c r="BK16" s="14"/>
      <c r="BL16" s="14"/>
      <c r="BM16" s="14">
        <v>2</v>
      </c>
      <c r="BN16" s="14" t="s">
        <v>437</v>
      </c>
      <c r="BO16" s="14"/>
      <c r="BP16" s="14"/>
      <c r="BQ16" s="14">
        <v>2</v>
      </c>
      <c r="BR16" s="14"/>
      <c r="BS16" s="14"/>
      <c r="BT16" s="14" t="s">
        <v>437</v>
      </c>
      <c r="BU16" s="14"/>
      <c r="BV16" s="14"/>
      <c r="BW16" s="14"/>
      <c r="BX16" s="14"/>
    </row>
    <row r="17" spans="1:76">
      <c r="A17" s="6" t="s">
        <v>456</v>
      </c>
      <c r="C17" s="6" t="s">
        <v>435</v>
      </c>
      <c r="D17" s="21" t="s">
        <v>77</v>
      </c>
      <c r="E17" s="14" t="s">
        <v>757</v>
      </c>
      <c r="F17" s="14">
        <v>8</v>
      </c>
      <c r="G17" s="14">
        <v>13</v>
      </c>
      <c r="H17" s="62">
        <v>80</v>
      </c>
      <c r="I17" s="31">
        <v>4</v>
      </c>
      <c r="J17" s="14" t="s">
        <v>748</v>
      </c>
      <c r="K17" s="6" t="s">
        <v>746</v>
      </c>
      <c r="L17" s="14">
        <v>2.6</v>
      </c>
      <c r="M17" s="62"/>
      <c r="N17" s="14"/>
      <c r="O17" s="14"/>
      <c r="P17" s="14"/>
      <c r="Q17" s="62"/>
      <c r="R17" s="14"/>
      <c r="S17" s="14"/>
      <c r="T17" s="14"/>
      <c r="U17" s="62"/>
      <c r="V17" s="14"/>
      <c r="W17" s="14"/>
      <c r="X17" s="14"/>
      <c r="Y17" s="62"/>
      <c r="Z17" s="14"/>
      <c r="AA17" s="14"/>
      <c r="AB17" s="14"/>
      <c r="AC17" s="62"/>
      <c r="AD17" s="14"/>
      <c r="AE17" s="14"/>
      <c r="AF17" s="14"/>
      <c r="AG17" s="62">
        <f t="shared" si="0"/>
        <v>160</v>
      </c>
      <c r="AH17" s="14" t="s">
        <v>748</v>
      </c>
      <c r="AI17" s="6" t="s">
        <v>746</v>
      </c>
      <c r="AJ17" s="14" t="s">
        <v>742</v>
      </c>
      <c r="AK17" s="14"/>
      <c r="AL17" s="14"/>
      <c r="AM17" s="14"/>
      <c r="AN17" s="14"/>
      <c r="AO17" s="14"/>
      <c r="AP17" s="14"/>
      <c r="AQ17" s="14"/>
      <c r="AR17" s="14"/>
      <c r="AS17" s="14"/>
      <c r="AT17" s="14"/>
      <c r="AU17" s="14"/>
      <c r="AV17" s="14"/>
      <c r="AW17" s="14"/>
      <c r="AX17" s="14"/>
      <c r="AY17" s="14"/>
      <c r="AZ17" s="14"/>
      <c r="BB17" s="14"/>
      <c r="BC17" s="14"/>
      <c r="BD17" s="14"/>
      <c r="BE17" s="14"/>
      <c r="BF17" s="14"/>
      <c r="BG17" s="14"/>
      <c r="BH17" s="14"/>
      <c r="BI17" s="14"/>
      <c r="BJ17" s="14"/>
      <c r="BK17" s="14"/>
      <c r="BL17" s="14"/>
      <c r="BM17" s="14">
        <v>2</v>
      </c>
      <c r="BN17" s="14" t="s">
        <v>437</v>
      </c>
      <c r="BO17" s="14"/>
      <c r="BP17" s="14"/>
      <c r="BQ17" s="14">
        <v>2</v>
      </c>
      <c r="BR17" s="14"/>
      <c r="BS17" s="14"/>
      <c r="BT17" s="14" t="s">
        <v>437</v>
      </c>
      <c r="BU17" s="14"/>
      <c r="BV17" s="14"/>
      <c r="BW17" s="14"/>
      <c r="BX17" s="14"/>
    </row>
    <row r="18" spans="1:76">
      <c r="A18" s="6" t="s">
        <v>457</v>
      </c>
      <c r="C18" s="6" t="s">
        <v>435</v>
      </c>
      <c r="D18" s="21" t="s">
        <v>81</v>
      </c>
      <c r="E18" s="14" t="s">
        <v>753</v>
      </c>
      <c r="F18" s="14">
        <v>4</v>
      </c>
      <c r="G18" s="14">
        <v>4</v>
      </c>
      <c r="H18" s="62">
        <v>30</v>
      </c>
      <c r="I18" s="31">
        <v>4</v>
      </c>
      <c r="J18" s="14" t="s">
        <v>748</v>
      </c>
      <c r="K18" s="6" t="s">
        <v>746</v>
      </c>
      <c r="L18" s="14">
        <v>2.6</v>
      </c>
      <c r="M18" s="62"/>
      <c r="N18" s="14"/>
      <c r="O18" s="14"/>
      <c r="P18" s="14"/>
      <c r="Q18" s="62"/>
      <c r="R18" s="14"/>
      <c r="S18" s="14"/>
      <c r="T18" s="14"/>
      <c r="U18" s="62"/>
      <c r="V18" s="14"/>
      <c r="W18" s="14"/>
      <c r="X18" s="14"/>
      <c r="Y18" s="62"/>
      <c r="Z18" s="14"/>
      <c r="AA18" s="14"/>
      <c r="AB18" s="14"/>
      <c r="AC18" s="62"/>
      <c r="AD18" s="14"/>
      <c r="AE18" s="14"/>
      <c r="AF18" s="14"/>
      <c r="AG18" s="62">
        <f t="shared" si="0"/>
        <v>60</v>
      </c>
      <c r="AH18" s="14" t="s">
        <v>748</v>
      </c>
      <c r="AI18" s="6" t="s">
        <v>746</v>
      </c>
      <c r="AJ18" s="14" t="s">
        <v>742</v>
      </c>
      <c r="AK18" s="14"/>
      <c r="AL18" s="14"/>
      <c r="AM18" s="14"/>
      <c r="AN18" s="14"/>
      <c r="AO18" s="14"/>
      <c r="AP18" s="14"/>
      <c r="AQ18" s="14"/>
      <c r="AR18" s="14"/>
      <c r="AS18" s="14"/>
      <c r="AT18" s="14"/>
      <c r="AU18" s="14"/>
      <c r="AV18" s="14"/>
      <c r="AW18" s="14"/>
      <c r="AX18" s="14"/>
      <c r="AY18" s="14"/>
      <c r="AZ18" s="14"/>
      <c r="BB18" s="14"/>
      <c r="BC18" s="14"/>
      <c r="BD18" s="14"/>
      <c r="BE18" s="14"/>
      <c r="BF18" s="14"/>
      <c r="BG18" s="14"/>
      <c r="BH18" s="14"/>
      <c r="BI18" s="14"/>
      <c r="BJ18" s="14"/>
      <c r="BK18" s="14"/>
      <c r="BL18" s="14"/>
      <c r="BM18" s="14">
        <v>2</v>
      </c>
      <c r="BN18" s="14" t="s">
        <v>437</v>
      </c>
      <c r="BO18" s="14" t="s">
        <v>437</v>
      </c>
      <c r="BP18" s="14"/>
      <c r="BQ18" s="14">
        <v>2</v>
      </c>
      <c r="BR18" s="14"/>
      <c r="BS18" s="14"/>
      <c r="BT18" s="14" t="s">
        <v>437</v>
      </c>
      <c r="BU18" s="14"/>
      <c r="BV18" s="14"/>
      <c r="BW18" s="14"/>
      <c r="BX18" s="14"/>
    </row>
    <row r="19" spans="1:76">
      <c r="A19" s="6" t="s">
        <v>458</v>
      </c>
      <c r="C19" s="6" t="s">
        <v>435</v>
      </c>
      <c r="D19" s="21" t="s">
        <v>459</v>
      </c>
      <c r="E19" s="14" t="s">
        <v>758</v>
      </c>
      <c r="F19" s="14">
        <v>8</v>
      </c>
      <c r="G19" s="14">
        <v>12</v>
      </c>
      <c r="H19" s="62">
        <v>100</v>
      </c>
      <c r="I19" s="31">
        <v>16</v>
      </c>
      <c r="J19" s="14" t="s">
        <v>748</v>
      </c>
      <c r="K19" s="6" t="s">
        <v>746</v>
      </c>
      <c r="L19" s="14">
        <v>2.6</v>
      </c>
      <c r="M19" s="62"/>
      <c r="N19" s="14"/>
      <c r="O19" s="14"/>
      <c r="P19" s="14"/>
      <c r="Q19" s="62"/>
      <c r="R19" s="14"/>
      <c r="S19" s="14"/>
      <c r="T19" s="14"/>
      <c r="U19" s="62"/>
      <c r="V19" s="14"/>
      <c r="W19" s="14"/>
      <c r="X19" s="14"/>
      <c r="Y19" s="62"/>
      <c r="Z19" s="14"/>
      <c r="AA19" s="14"/>
      <c r="AB19" s="14"/>
      <c r="AC19" s="62"/>
      <c r="AD19" s="14"/>
      <c r="AE19" s="14"/>
      <c r="AF19" s="14"/>
      <c r="AG19" s="62">
        <f>2*(H19+AO19)</f>
        <v>300</v>
      </c>
      <c r="AH19" s="14" t="s">
        <v>748</v>
      </c>
      <c r="AI19" s="6" t="s">
        <v>746</v>
      </c>
      <c r="AJ19" s="14" t="s">
        <v>742</v>
      </c>
      <c r="AK19" s="14"/>
      <c r="AL19" s="14"/>
      <c r="AM19" s="14"/>
      <c r="AN19" s="14"/>
      <c r="AO19" s="62">
        <v>50</v>
      </c>
      <c r="AP19" s="14" t="s">
        <v>748</v>
      </c>
      <c r="AQ19" s="6" t="s">
        <v>746</v>
      </c>
      <c r="AR19" s="14">
        <f>50/1000</f>
        <v>0.05</v>
      </c>
      <c r="AS19" s="14"/>
      <c r="AT19" s="14"/>
      <c r="AU19" s="14"/>
      <c r="AV19" s="14"/>
      <c r="AW19" s="14"/>
      <c r="AX19" s="14"/>
      <c r="AY19" s="14"/>
      <c r="AZ19" s="14"/>
      <c r="BB19" s="14"/>
      <c r="BC19" s="14"/>
      <c r="BD19" s="14"/>
      <c r="BE19" s="14"/>
      <c r="BF19" s="14"/>
      <c r="BG19" s="14"/>
      <c r="BH19" s="14"/>
      <c r="BI19" s="14"/>
      <c r="BJ19" s="14"/>
      <c r="BK19" s="14"/>
      <c r="BL19" s="14"/>
      <c r="BM19" s="14">
        <v>3</v>
      </c>
      <c r="BN19" s="14" t="s">
        <v>437</v>
      </c>
      <c r="BO19" s="14"/>
      <c r="BP19" s="14"/>
      <c r="BQ19" s="14">
        <v>2</v>
      </c>
      <c r="BR19" s="14"/>
      <c r="BS19" s="14"/>
      <c r="BT19" s="14" t="s">
        <v>437</v>
      </c>
      <c r="BU19" s="14"/>
      <c r="BV19" s="14"/>
      <c r="BW19" s="14"/>
      <c r="BX19" s="14"/>
    </row>
    <row r="20" spans="1:76">
      <c r="A20" s="6" t="s">
        <v>460</v>
      </c>
      <c r="C20" s="6" t="s">
        <v>435</v>
      </c>
      <c r="D20" s="21" t="s">
        <v>88</v>
      </c>
      <c r="E20" s="14" t="s">
        <v>759</v>
      </c>
      <c r="F20" s="14">
        <v>6</v>
      </c>
      <c r="G20" s="14">
        <v>8</v>
      </c>
      <c r="H20" s="62">
        <v>130</v>
      </c>
      <c r="I20" s="31">
        <v>4</v>
      </c>
      <c r="J20" s="14" t="s">
        <v>748</v>
      </c>
      <c r="K20" s="6" t="s">
        <v>746</v>
      </c>
      <c r="L20" s="14">
        <v>2.6</v>
      </c>
      <c r="M20" s="62"/>
      <c r="N20" s="14"/>
      <c r="O20" s="14"/>
      <c r="P20" s="14"/>
      <c r="Q20" s="62"/>
      <c r="R20" s="14"/>
      <c r="S20" s="14"/>
      <c r="T20" s="14"/>
      <c r="U20" s="62"/>
      <c r="V20" s="14"/>
      <c r="W20" s="14"/>
      <c r="X20" s="14"/>
      <c r="Y20" s="62"/>
      <c r="Z20" s="14"/>
      <c r="AA20" s="14"/>
      <c r="AB20" s="14"/>
      <c r="AC20" s="62"/>
      <c r="AD20" s="14"/>
      <c r="AE20" s="14"/>
      <c r="AF20" s="14"/>
      <c r="AG20" s="62">
        <f t="shared" ref="AG20:AG37" si="1">2*H20</f>
        <v>260</v>
      </c>
      <c r="AH20" s="14" t="s">
        <v>748</v>
      </c>
      <c r="AI20" s="6" t="s">
        <v>746</v>
      </c>
      <c r="AJ20" s="14" t="s">
        <v>742</v>
      </c>
      <c r="AK20" s="14"/>
      <c r="AL20" s="14"/>
      <c r="AM20" s="14"/>
      <c r="AN20" s="14"/>
      <c r="AO20" s="14"/>
      <c r="AP20" s="14"/>
      <c r="AQ20" s="14"/>
      <c r="AR20" s="14"/>
      <c r="AS20" s="14"/>
      <c r="AT20" s="14"/>
      <c r="AU20" s="14"/>
      <c r="AV20" s="14"/>
      <c r="AW20" s="14"/>
      <c r="AX20" s="14"/>
      <c r="AY20" s="14"/>
      <c r="AZ20" s="14"/>
      <c r="BB20" s="14"/>
      <c r="BC20" s="14"/>
      <c r="BD20" s="14"/>
      <c r="BE20" s="14"/>
      <c r="BF20" s="14"/>
      <c r="BG20" s="14"/>
      <c r="BH20" s="14"/>
      <c r="BI20" s="14"/>
      <c r="BJ20" s="14"/>
      <c r="BK20" s="14"/>
      <c r="BL20" s="14"/>
      <c r="BM20" s="14">
        <v>2</v>
      </c>
      <c r="BN20" s="14" t="s">
        <v>437</v>
      </c>
      <c r="BO20" s="14"/>
      <c r="BP20" s="14"/>
      <c r="BQ20" s="14">
        <v>2</v>
      </c>
      <c r="BR20" s="14"/>
      <c r="BS20" s="14"/>
      <c r="BT20" s="14" t="s">
        <v>437</v>
      </c>
      <c r="BU20" s="14"/>
      <c r="BV20" s="14"/>
      <c r="BW20" s="14"/>
      <c r="BX20" s="14"/>
    </row>
    <row r="21" spans="1:76">
      <c r="A21" s="6" t="s">
        <v>461</v>
      </c>
      <c r="C21" s="6" t="s">
        <v>435</v>
      </c>
      <c r="D21" s="21" t="s">
        <v>92</v>
      </c>
      <c r="E21" s="14" t="s">
        <v>792</v>
      </c>
      <c r="F21" s="14">
        <v>6</v>
      </c>
      <c r="G21" s="14">
        <v>7</v>
      </c>
      <c r="H21" s="62">
        <v>60</v>
      </c>
      <c r="I21" s="31">
        <v>4</v>
      </c>
      <c r="J21" s="14" t="s">
        <v>748</v>
      </c>
      <c r="K21" s="6" t="s">
        <v>746</v>
      </c>
      <c r="L21" s="14">
        <v>2.6</v>
      </c>
      <c r="M21" s="62"/>
      <c r="N21" s="14"/>
      <c r="O21" s="14"/>
      <c r="P21" s="14"/>
      <c r="Q21" s="62"/>
      <c r="R21" s="14"/>
      <c r="S21" s="14"/>
      <c r="T21" s="14"/>
      <c r="U21" s="62"/>
      <c r="V21" s="14"/>
      <c r="W21" s="14"/>
      <c r="X21" s="14"/>
      <c r="Y21" s="62"/>
      <c r="Z21" s="14"/>
      <c r="AA21" s="14"/>
      <c r="AB21" s="14"/>
      <c r="AC21" s="62"/>
      <c r="AD21" s="14"/>
      <c r="AE21" s="14"/>
      <c r="AF21" s="14"/>
      <c r="AG21" s="62">
        <f t="shared" si="1"/>
        <v>120</v>
      </c>
      <c r="AH21" s="14" t="s">
        <v>748</v>
      </c>
      <c r="AI21" s="6" t="s">
        <v>746</v>
      </c>
      <c r="AJ21" s="14" t="s">
        <v>742</v>
      </c>
      <c r="AK21" s="14"/>
      <c r="AL21" s="14"/>
      <c r="AM21" s="14"/>
      <c r="AN21" s="14"/>
      <c r="AO21" s="14"/>
      <c r="AP21" s="14"/>
      <c r="AQ21" s="14"/>
      <c r="AR21" s="14"/>
      <c r="AS21" s="14"/>
      <c r="AT21" s="14"/>
      <c r="AU21" s="14"/>
      <c r="AV21" s="14"/>
      <c r="AW21" s="14"/>
      <c r="AX21" s="14"/>
      <c r="AY21" s="14"/>
      <c r="AZ21" s="14"/>
      <c r="BB21" s="14"/>
      <c r="BC21" s="14"/>
      <c r="BD21" s="14"/>
      <c r="BE21" s="14"/>
      <c r="BF21" s="14"/>
      <c r="BG21" s="14"/>
      <c r="BH21" s="14"/>
      <c r="BI21" s="14"/>
      <c r="BJ21" s="14"/>
      <c r="BK21" s="14"/>
      <c r="BL21" s="14"/>
      <c r="BM21" s="14">
        <v>2</v>
      </c>
      <c r="BN21" s="14" t="s">
        <v>437</v>
      </c>
      <c r="BO21" s="14"/>
      <c r="BP21" s="14"/>
      <c r="BQ21" s="14">
        <v>2</v>
      </c>
      <c r="BR21" s="14"/>
      <c r="BS21" s="14"/>
      <c r="BT21" s="14" t="s">
        <v>437</v>
      </c>
      <c r="BU21" s="14"/>
      <c r="BV21" s="14"/>
      <c r="BW21" s="14"/>
      <c r="BX21" s="14"/>
    </row>
    <row r="22" spans="1:76">
      <c r="A22" s="6" t="s">
        <v>462</v>
      </c>
      <c r="C22" s="6" t="s">
        <v>435</v>
      </c>
      <c r="D22" s="21" t="s">
        <v>92</v>
      </c>
      <c r="E22" s="14" t="s">
        <v>792</v>
      </c>
      <c r="F22" s="14">
        <v>6</v>
      </c>
      <c r="G22" s="14">
        <v>7</v>
      </c>
      <c r="H22" s="62">
        <v>60</v>
      </c>
      <c r="I22" s="31">
        <v>4</v>
      </c>
      <c r="J22" s="14" t="s">
        <v>748</v>
      </c>
      <c r="K22" s="6" t="s">
        <v>746</v>
      </c>
      <c r="L22" s="14">
        <v>2.6</v>
      </c>
      <c r="M22" s="62"/>
      <c r="N22" s="14"/>
      <c r="O22" s="14"/>
      <c r="P22" s="14"/>
      <c r="Q22" s="62"/>
      <c r="R22" s="14"/>
      <c r="S22" s="14"/>
      <c r="T22" s="14"/>
      <c r="U22" s="62"/>
      <c r="V22" s="14"/>
      <c r="W22" s="14"/>
      <c r="X22" s="14"/>
      <c r="Y22" s="62"/>
      <c r="Z22" s="14"/>
      <c r="AA22" s="14"/>
      <c r="AB22" s="14"/>
      <c r="AC22" s="62"/>
      <c r="AD22" s="14"/>
      <c r="AE22" s="14"/>
      <c r="AF22" s="14"/>
      <c r="AG22" s="62">
        <f t="shared" si="1"/>
        <v>120</v>
      </c>
      <c r="AH22" s="14" t="s">
        <v>748</v>
      </c>
      <c r="AI22" s="6" t="s">
        <v>746</v>
      </c>
      <c r="AJ22" s="14" t="s">
        <v>742</v>
      </c>
      <c r="AK22" s="14"/>
      <c r="AL22" s="14"/>
      <c r="AM22" s="14"/>
      <c r="AN22" s="14"/>
      <c r="AO22" s="14"/>
      <c r="AP22" s="14"/>
      <c r="AQ22" s="14"/>
      <c r="AR22" s="14"/>
      <c r="AS22" s="14"/>
      <c r="AT22" s="14"/>
      <c r="AU22" s="14"/>
      <c r="AV22" s="14"/>
      <c r="AW22" s="14"/>
      <c r="AX22" s="14"/>
      <c r="AY22" s="14"/>
      <c r="AZ22" s="14"/>
      <c r="BB22" s="14"/>
      <c r="BC22" s="14"/>
      <c r="BD22" s="14"/>
      <c r="BE22" s="14"/>
      <c r="BF22" s="14"/>
      <c r="BG22" s="14"/>
      <c r="BH22" s="14"/>
      <c r="BI22" s="14"/>
      <c r="BJ22" s="14"/>
      <c r="BK22" s="14"/>
      <c r="BL22" s="14"/>
      <c r="BM22" s="14">
        <v>2</v>
      </c>
      <c r="BN22" s="14" t="s">
        <v>437</v>
      </c>
      <c r="BO22" s="14"/>
      <c r="BP22" s="14"/>
      <c r="BQ22" s="14">
        <v>2</v>
      </c>
      <c r="BR22" s="14"/>
      <c r="BS22" s="14"/>
      <c r="BT22" s="14" t="s">
        <v>437</v>
      </c>
      <c r="BU22" s="14"/>
      <c r="BV22" s="14"/>
      <c r="BW22" s="14"/>
      <c r="BX22" s="14"/>
    </row>
    <row r="23" spans="1:76">
      <c r="A23" s="6" t="s">
        <v>463</v>
      </c>
      <c r="C23" s="6" t="s">
        <v>435</v>
      </c>
      <c r="D23" s="21" t="s">
        <v>96</v>
      </c>
      <c r="E23" s="14" t="s">
        <v>760</v>
      </c>
      <c r="F23" s="14">
        <v>6</v>
      </c>
      <c r="G23" s="14">
        <v>13</v>
      </c>
      <c r="H23" s="62">
        <v>60</v>
      </c>
      <c r="I23" s="31">
        <v>16</v>
      </c>
      <c r="J23" s="14" t="s">
        <v>748</v>
      </c>
      <c r="K23" s="6" t="s">
        <v>746</v>
      </c>
      <c r="L23" s="14">
        <v>2.6</v>
      </c>
      <c r="M23" s="62"/>
      <c r="N23" s="14"/>
      <c r="O23" s="14"/>
      <c r="P23" s="14"/>
      <c r="Q23" s="62"/>
      <c r="R23" s="14"/>
      <c r="S23" s="14"/>
      <c r="T23" s="14"/>
      <c r="U23" s="62"/>
      <c r="V23" s="14"/>
      <c r="W23" s="14"/>
      <c r="X23" s="14"/>
      <c r="Y23" s="62"/>
      <c r="Z23" s="14"/>
      <c r="AA23" s="14"/>
      <c r="AB23" s="14"/>
      <c r="AC23" s="62"/>
      <c r="AD23" s="14"/>
      <c r="AE23" s="14"/>
      <c r="AF23" s="14"/>
      <c r="AG23" s="62">
        <f t="shared" si="1"/>
        <v>120</v>
      </c>
      <c r="AH23" s="14" t="s">
        <v>748</v>
      </c>
      <c r="AI23" s="6" t="s">
        <v>746</v>
      </c>
      <c r="AJ23" s="14" t="s">
        <v>742</v>
      </c>
      <c r="AK23" s="14"/>
      <c r="AL23" s="14"/>
      <c r="AM23" s="14"/>
      <c r="AN23" s="14"/>
      <c r="AO23" s="14"/>
      <c r="AP23" s="14"/>
      <c r="AQ23" s="14"/>
      <c r="AR23" s="14"/>
      <c r="AS23" s="62">
        <v>85</v>
      </c>
      <c r="AT23" s="14" t="s">
        <v>748</v>
      </c>
      <c r="AU23" s="6" t="s">
        <v>746</v>
      </c>
      <c r="AV23" s="14">
        <f>50/1000</f>
        <v>0.05</v>
      </c>
      <c r="AW23" s="14"/>
      <c r="AX23" s="14"/>
      <c r="AY23" s="14"/>
      <c r="AZ23" s="14"/>
      <c r="BB23" s="14"/>
      <c r="BC23" s="14"/>
      <c r="BD23" s="14"/>
      <c r="BE23" s="14"/>
      <c r="BF23" s="14"/>
      <c r="BG23" s="14"/>
      <c r="BH23" s="14"/>
      <c r="BI23" s="14"/>
      <c r="BJ23" s="14"/>
      <c r="BK23" s="14"/>
      <c r="BL23" s="14"/>
      <c r="BM23" s="14">
        <v>3</v>
      </c>
      <c r="BN23" s="14" t="s">
        <v>437</v>
      </c>
      <c r="BO23" s="14"/>
      <c r="BP23" s="14"/>
      <c r="BQ23" s="14">
        <v>2</v>
      </c>
      <c r="BR23" s="14"/>
      <c r="BS23" s="14"/>
      <c r="BT23" s="14" t="s">
        <v>437</v>
      </c>
      <c r="BU23" s="14"/>
      <c r="BV23" s="14"/>
      <c r="BW23" s="14"/>
      <c r="BX23" s="14"/>
    </row>
    <row r="24" spans="1:76">
      <c r="A24" s="6" t="s">
        <v>464</v>
      </c>
      <c r="C24" s="6" t="s">
        <v>435</v>
      </c>
      <c r="D24" s="21" t="s">
        <v>100</v>
      </c>
      <c r="E24" s="14" t="s">
        <v>760</v>
      </c>
      <c r="F24" s="14">
        <v>6</v>
      </c>
      <c r="G24" s="14">
        <v>13</v>
      </c>
      <c r="H24" s="62">
        <v>60</v>
      </c>
      <c r="I24" s="31">
        <v>16</v>
      </c>
      <c r="J24" s="14" t="s">
        <v>748</v>
      </c>
      <c r="K24" s="6" t="s">
        <v>746</v>
      </c>
      <c r="L24" s="14">
        <v>2.6</v>
      </c>
      <c r="M24" s="62"/>
      <c r="N24" s="14"/>
      <c r="O24" s="14"/>
      <c r="P24" s="14"/>
      <c r="Q24" s="62"/>
      <c r="R24" s="14"/>
      <c r="S24" s="14"/>
      <c r="T24" s="14"/>
      <c r="U24" s="62"/>
      <c r="V24" s="14"/>
      <c r="W24" s="14"/>
      <c r="X24" s="14"/>
      <c r="Y24" s="62"/>
      <c r="Z24" s="14"/>
      <c r="AA24" s="14"/>
      <c r="AB24" s="14"/>
      <c r="AC24" s="62"/>
      <c r="AD24" s="14"/>
      <c r="AE24" s="14"/>
      <c r="AF24" s="14"/>
      <c r="AG24" s="62">
        <f t="shared" si="1"/>
        <v>120</v>
      </c>
      <c r="AH24" s="14" t="s">
        <v>748</v>
      </c>
      <c r="AI24" s="6" t="s">
        <v>746</v>
      </c>
      <c r="AJ24" s="14" t="s">
        <v>742</v>
      </c>
      <c r="AK24" s="14"/>
      <c r="AL24" s="14"/>
      <c r="AM24" s="14"/>
      <c r="AN24" s="14"/>
      <c r="AO24" s="14"/>
      <c r="AP24" s="14"/>
      <c r="AQ24" s="14"/>
      <c r="AR24" s="14"/>
      <c r="AS24" s="62">
        <v>85</v>
      </c>
      <c r="AT24" s="14" t="s">
        <v>748</v>
      </c>
      <c r="AU24" s="6" t="s">
        <v>746</v>
      </c>
      <c r="AV24" s="14">
        <f>50/1000</f>
        <v>0.05</v>
      </c>
      <c r="AW24" s="14"/>
      <c r="AX24" s="14"/>
      <c r="AY24" s="14"/>
      <c r="AZ24" s="14"/>
      <c r="BB24" s="14"/>
      <c r="BC24" s="14"/>
      <c r="BD24" s="14"/>
      <c r="BE24" s="14"/>
      <c r="BF24" s="14"/>
      <c r="BG24" s="14"/>
      <c r="BH24" s="14"/>
      <c r="BI24" s="14"/>
      <c r="BJ24" s="14"/>
      <c r="BK24" s="14"/>
      <c r="BL24" s="14"/>
      <c r="BM24" s="14">
        <v>3</v>
      </c>
      <c r="BN24" s="14" t="s">
        <v>437</v>
      </c>
      <c r="BO24" s="14"/>
      <c r="BP24" s="14"/>
      <c r="BQ24" s="14">
        <v>2</v>
      </c>
      <c r="BR24" s="14"/>
      <c r="BS24" s="14"/>
      <c r="BT24" s="14" t="s">
        <v>437</v>
      </c>
      <c r="BU24" s="14"/>
      <c r="BV24" s="14"/>
      <c r="BW24" s="14"/>
      <c r="BX24" s="14"/>
    </row>
    <row r="25" spans="1:76">
      <c r="A25" s="6" t="s">
        <v>487</v>
      </c>
      <c r="C25" s="6" t="s">
        <v>435</v>
      </c>
      <c r="D25" s="21" t="s">
        <v>104</v>
      </c>
      <c r="E25" s="14" t="s">
        <v>761</v>
      </c>
      <c r="F25" s="14">
        <v>6</v>
      </c>
      <c r="G25" s="14">
        <v>9</v>
      </c>
      <c r="H25" s="62">
        <v>40</v>
      </c>
      <c r="I25" s="31">
        <v>4</v>
      </c>
      <c r="J25" s="14" t="s">
        <v>748</v>
      </c>
      <c r="K25" s="6" t="s">
        <v>746</v>
      </c>
      <c r="L25" s="14">
        <v>2.6</v>
      </c>
      <c r="M25" s="62"/>
      <c r="N25" s="14"/>
      <c r="O25" s="14"/>
      <c r="P25" s="14"/>
      <c r="Q25" s="62"/>
      <c r="R25" s="14"/>
      <c r="S25" s="14"/>
      <c r="T25" s="14"/>
      <c r="U25" s="62"/>
      <c r="V25" s="14"/>
      <c r="W25" s="14"/>
      <c r="X25" s="14"/>
      <c r="Y25" s="62"/>
      <c r="Z25" s="14"/>
      <c r="AA25" s="14"/>
      <c r="AB25" s="14"/>
      <c r="AC25" s="62"/>
      <c r="AD25" s="14"/>
      <c r="AE25" s="14"/>
      <c r="AF25" s="14"/>
      <c r="AG25" s="62">
        <f t="shared" si="1"/>
        <v>80</v>
      </c>
      <c r="AH25" s="14" t="s">
        <v>748</v>
      </c>
      <c r="AI25" s="6" t="s">
        <v>746</v>
      </c>
      <c r="AJ25" s="14" t="s">
        <v>742</v>
      </c>
      <c r="AK25" s="14"/>
      <c r="AL25" s="14"/>
      <c r="AM25" s="14"/>
      <c r="AN25" s="14"/>
      <c r="AO25" s="14"/>
      <c r="AP25" s="14"/>
      <c r="AQ25" s="14"/>
      <c r="AR25" s="14"/>
      <c r="AS25" s="14"/>
      <c r="AT25" s="14"/>
      <c r="AU25" s="14"/>
      <c r="AV25" s="14"/>
      <c r="AW25" s="14"/>
      <c r="AX25" s="14"/>
      <c r="AY25" s="14"/>
      <c r="AZ25" s="14"/>
      <c r="BB25" s="14"/>
      <c r="BC25" s="14"/>
      <c r="BD25" s="14"/>
      <c r="BE25" s="14"/>
      <c r="BF25" s="14"/>
      <c r="BG25" s="14"/>
      <c r="BH25" s="14"/>
      <c r="BI25" s="14"/>
      <c r="BJ25" s="14"/>
      <c r="BK25" s="14"/>
      <c r="BL25" s="14"/>
      <c r="BM25" s="14">
        <v>2</v>
      </c>
      <c r="BN25" s="14" t="s">
        <v>437</v>
      </c>
      <c r="BO25" s="14"/>
      <c r="BP25" s="14"/>
      <c r="BQ25" s="14">
        <v>2</v>
      </c>
      <c r="BR25" s="14"/>
      <c r="BS25" s="14"/>
      <c r="BT25" s="14" t="s">
        <v>437</v>
      </c>
      <c r="BU25" s="14"/>
      <c r="BV25" s="14"/>
      <c r="BW25" s="14"/>
      <c r="BX25" s="14"/>
    </row>
    <row r="26" spans="1:76">
      <c r="A26" s="6" t="s">
        <v>489</v>
      </c>
      <c r="C26" s="6" t="s">
        <v>435</v>
      </c>
      <c r="D26" s="21" t="s">
        <v>104</v>
      </c>
      <c r="E26" s="14" t="s">
        <v>761</v>
      </c>
      <c r="F26" s="14">
        <v>6</v>
      </c>
      <c r="G26" s="14">
        <v>9</v>
      </c>
      <c r="H26" s="62">
        <v>40</v>
      </c>
      <c r="I26" s="31">
        <v>4</v>
      </c>
      <c r="J26" s="14" t="s">
        <v>748</v>
      </c>
      <c r="K26" s="6" t="s">
        <v>746</v>
      </c>
      <c r="L26" s="14">
        <v>2.6</v>
      </c>
      <c r="M26" s="62"/>
      <c r="N26" s="14"/>
      <c r="O26" s="14"/>
      <c r="P26" s="14"/>
      <c r="Q26" s="62"/>
      <c r="R26" s="14"/>
      <c r="S26" s="14"/>
      <c r="T26" s="14"/>
      <c r="U26" s="62"/>
      <c r="V26" s="14"/>
      <c r="W26" s="14"/>
      <c r="X26" s="14"/>
      <c r="Y26" s="62"/>
      <c r="Z26" s="14"/>
      <c r="AA26" s="14"/>
      <c r="AB26" s="14"/>
      <c r="AC26" s="62"/>
      <c r="AD26" s="14"/>
      <c r="AE26" s="14"/>
      <c r="AF26" s="14"/>
      <c r="AG26" s="62">
        <f t="shared" si="1"/>
        <v>80</v>
      </c>
      <c r="AH26" s="14" t="s">
        <v>748</v>
      </c>
      <c r="AI26" s="6" t="s">
        <v>746</v>
      </c>
      <c r="AJ26" s="14" t="s">
        <v>742</v>
      </c>
      <c r="AK26" s="14"/>
      <c r="AL26" s="14"/>
      <c r="AM26" s="14"/>
      <c r="AN26" s="14"/>
      <c r="AO26" s="14"/>
      <c r="AP26" s="14"/>
      <c r="AQ26" s="14"/>
      <c r="AR26" s="14"/>
      <c r="AS26" s="14"/>
      <c r="AT26" s="14"/>
      <c r="AU26" s="14"/>
      <c r="AV26" s="14"/>
      <c r="AW26" s="14"/>
      <c r="AX26" s="14"/>
      <c r="AY26" s="14"/>
      <c r="AZ26" s="14"/>
      <c r="BB26" s="14"/>
      <c r="BC26" s="14"/>
      <c r="BD26" s="14"/>
      <c r="BE26" s="14"/>
      <c r="BF26" s="14"/>
      <c r="BG26" s="14"/>
      <c r="BH26" s="14"/>
      <c r="BI26" s="14"/>
      <c r="BJ26" s="14"/>
      <c r="BK26" s="14"/>
      <c r="BL26" s="14"/>
      <c r="BM26" s="14">
        <v>2</v>
      </c>
      <c r="BN26" s="14" t="s">
        <v>437</v>
      </c>
      <c r="BO26" s="14"/>
      <c r="BP26" s="14"/>
      <c r="BQ26" s="14">
        <v>2</v>
      </c>
      <c r="BR26" s="14"/>
      <c r="BS26" s="14"/>
      <c r="BT26" s="14" t="s">
        <v>437</v>
      </c>
      <c r="BU26" s="14"/>
      <c r="BV26" s="14"/>
      <c r="BW26" s="14"/>
      <c r="BX26" s="14"/>
    </row>
    <row r="27" spans="1:76">
      <c r="A27" s="6" t="s">
        <v>613</v>
      </c>
      <c r="C27" s="6" t="s">
        <v>435</v>
      </c>
      <c r="D27" s="21" t="s">
        <v>108</v>
      </c>
      <c r="E27" s="14" t="s">
        <v>762</v>
      </c>
      <c r="F27" s="14">
        <v>8</v>
      </c>
      <c r="G27" s="14">
        <v>36</v>
      </c>
      <c r="H27" s="62">
        <v>135</v>
      </c>
      <c r="I27" s="31">
        <v>16</v>
      </c>
      <c r="J27" s="14" t="s">
        <v>748</v>
      </c>
      <c r="K27" s="6" t="s">
        <v>746</v>
      </c>
      <c r="L27" s="14">
        <v>2.6</v>
      </c>
      <c r="M27" s="62"/>
      <c r="N27" s="14"/>
      <c r="O27" s="14"/>
      <c r="P27" s="14"/>
      <c r="Q27" s="62"/>
      <c r="R27" s="14"/>
      <c r="S27" s="14"/>
      <c r="T27" s="14"/>
      <c r="U27" s="62"/>
      <c r="V27" s="14"/>
      <c r="W27" s="14"/>
      <c r="X27" s="14"/>
      <c r="Y27" s="62"/>
      <c r="Z27" s="14"/>
      <c r="AA27" s="14"/>
      <c r="AB27" s="14"/>
      <c r="AC27" s="62"/>
      <c r="AD27" s="14"/>
      <c r="AE27" s="14"/>
      <c r="AF27" s="14"/>
      <c r="AG27" s="62">
        <f t="shared" si="1"/>
        <v>270</v>
      </c>
      <c r="AH27" s="14" t="s">
        <v>748</v>
      </c>
      <c r="AI27" s="6" t="s">
        <v>746</v>
      </c>
      <c r="AJ27" s="14" t="s">
        <v>742</v>
      </c>
      <c r="AK27" s="14"/>
      <c r="AL27" s="14"/>
      <c r="AM27" s="14"/>
      <c r="AN27" s="14"/>
      <c r="AO27" s="14"/>
      <c r="AP27" s="14"/>
      <c r="AQ27" s="14"/>
      <c r="AR27" s="14"/>
      <c r="AS27" s="14"/>
      <c r="AT27" s="14"/>
      <c r="AU27" s="14"/>
      <c r="AV27" s="14"/>
      <c r="AW27" s="14"/>
      <c r="AX27" s="14"/>
      <c r="AY27" s="14"/>
      <c r="AZ27" s="14"/>
      <c r="BB27" s="14"/>
      <c r="BC27" s="14"/>
      <c r="BD27" s="14"/>
      <c r="BE27" s="14"/>
      <c r="BF27" s="14"/>
      <c r="BG27" s="14"/>
      <c r="BH27" s="14"/>
      <c r="BI27" s="14"/>
      <c r="BJ27" s="14"/>
      <c r="BK27" s="14"/>
      <c r="BL27" s="14"/>
      <c r="BM27" s="14">
        <v>2</v>
      </c>
      <c r="BN27" s="14" t="s">
        <v>437</v>
      </c>
      <c r="BO27" s="14"/>
      <c r="BP27" s="14"/>
      <c r="BQ27" s="14">
        <v>2</v>
      </c>
      <c r="BR27" s="14"/>
      <c r="BS27" s="14"/>
      <c r="BT27" s="14" t="s">
        <v>437</v>
      </c>
      <c r="BU27" s="14"/>
      <c r="BV27" s="14"/>
      <c r="BW27" s="14"/>
      <c r="BX27" s="14"/>
    </row>
    <row r="28" spans="1:76">
      <c r="A28" s="6" t="s">
        <v>614</v>
      </c>
      <c r="C28" s="6" t="s">
        <v>435</v>
      </c>
      <c r="D28" s="21" t="s">
        <v>108</v>
      </c>
      <c r="E28" s="14" t="s">
        <v>762</v>
      </c>
      <c r="F28" s="14">
        <v>8</v>
      </c>
      <c r="G28" s="14">
        <v>36</v>
      </c>
      <c r="H28" s="62">
        <v>135</v>
      </c>
      <c r="I28" s="31">
        <v>16</v>
      </c>
      <c r="J28" s="14" t="s">
        <v>748</v>
      </c>
      <c r="K28" s="6" t="s">
        <v>746</v>
      </c>
      <c r="L28" s="14">
        <v>2.6</v>
      </c>
      <c r="M28" s="62"/>
      <c r="N28" s="14"/>
      <c r="O28" s="14"/>
      <c r="P28" s="14"/>
      <c r="Q28" s="62"/>
      <c r="R28" s="14"/>
      <c r="S28" s="14"/>
      <c r="T28" s="14"/>
      <c r="U28" s="62"/>
      <c r="V28" s="14"/>
      <c r="W28" s="14"/>
      <c r="X28" s="14"/>
      <c r="Y28" s="62"/>
      <c r="Z28" s="14"/>
      <c r="AA28" s="14"/>
      <c r="AB28" s="14"/>
      <c r="AC28" s="62"/>
      <c r="AD28" s="14"/>
      <c r="AE28" s="14"/>
      <c r="AF28" s="14"/>
      <c r="AG28" s="62">
        <f t="shared" si="1"/>
        <v>270</v>
      </c>
      <c r="AH28" s="14" t="s">
        <v>748</v>
      </c>
      <c r="AI28" s="6" t="s">
        <v>746</v>
      </c>
      <c r="AJ28" s="14" t="s">
        <v>742</v>
      </c>
      <c r="AK28" s="14"/>
      <c r="AL28" s="14"/>
      <c r="AM28" s="14"/>
      <c r="AN28" s="14"/>
      <c r="AO28" s="14"/>
      <c r="AP28" s="14"/>
      <c r="AQ28" s="14"/>
      <c r="AR28" s="14"/>
      <c r="AS28" s="14"/>
      <c r="AT28" s="14"/>
      <c r="AU28" s="14"/>
      <c r="AV28" s="14"/>
      <c r="AW28" s="14"/>
      <c r="AX28" s="14"/>
      <c r="AY28" s="14"/>
      <c r="AZ28" s="14"/>
      <c r="BB28" s="14"/>
      <c r="BC28" s="14"/>
      <c r="BD28" s="14"/>
      <c r="BE28" s="14"/>
      <c r="BF28" s="14"/>
      <c r="BG28" s="14"/>
      <c r="BH28" s="14"/>
      <c r="BI28" s="14"/>
      <c r="BJ28" s="14"/>
      <c r="BK28" s="14"/>
      <c r="BL28" s="14"/>
      <c r="BM28" s="14">
        <v>2</v>
      </c>
      <c r="BN28" s="14" t="s">
        <v>437</v>
      </c>
      <c r="BO28" s="14"/>
      <c r="BP28" s="14"/>
      <c r="BQ28" s="14">
        <v>2</v>
      </c>
      <c r="BR28" s="14"/>
      <c r="BS28" s="14"/>
      <c r="BT28" s="14" t="s">
        <v>437</v>
      </c>
      <c r="BU28" s="14"/>
      <c r="BV28" s="14"/>
      <c r="BW28" s="14"/>
      <c r="BX28" s="14"/>
    </row>
    <row r="29" spans="1:76">
      <c r="A29" s="6" t="s">
        <v>615</v>
      </c>
      <c r="C29" s="6" t="s">
        <v>435</v>
      </c>
      <c r="D29" s="21" t="s">
        <v>108</v>
      </c>
      <c r="E29" s="14" t="s">
        <v>762</v>
      </c>
      <c r="F29" s="14">
        <v>8</v>
      </c>
      <c r="G29" s="14">
        <v>36</v>
      </c>
      <c r="H29" s="62">
        <v>135</v>
      </c>
      <c r="I29" s="31">
        <v>16</v>
      </c>
      <c r="J29" s="14" t="s">
        <v>748</v>
      </c>
      <c r="K29" s="6" t="s">
        <v>746</v>
      </c>
      <c r="L29" s="14">
        <v>2.6</v>
      </c>
      <c r="M29" s="62"/>
      <c r="N29" s="14"/>
      <c r="O29" s="14"/>
      <c r="P29" s="14"/>
      <c r="Q29" s="62"/>
      <c r="R29" s="14"/>
      <c r="S29" s="14"/>
      <c r="T29" s="14"/>
      <c r="U29" s="62"/>
      <c r="V29" s="14"/>
      <c r="W29" s="14"/>
      <c r="X29" s="14"/>
      <c r="Y29" s="62"/>
      <c r="Z29" s="14"/>
      <c r="AA29" s="14"/>
      <c r="AB29" s="14"/>
      <c r="AC29" s="62"/>
      <c r="AD29" s="14"/>
      <c r="AE29" s="14"/>
      <c r="AF29" s="14"/>
      <c r="AG29" s="62">
        <f t="shared" si="1"/>
        <v>270</v>
      </c>
      <c r="AH29" s="14" t="s">
        <v>748</v>
      </c>
      <c r="AI29" s="6" t="s">
        <v>746</v>
      </c>
      <c r="AJ29" s="14" t="s">
        <v>742</v>
      </c>
      <c r="AK29" s="14"/>
      <c r="AL29" s="14"/>
      <c r="AM29" s="14"/>
      <c r="AN29" s="14"/>
      <c r="AO29" s="14"/>
      <c r="AP29" s="14"/>
      <c r="AQ29" s="14"/>
      <c r="AR29" s="14"/>
      <c r="AS29" s="14"/>
      <c r="AT29" s="14"/>
      <c r="AU29" s="14"/>
      <c r="AV29" s="14"/>
      <c r="AW29" s="14"/>
      <c r="AX29" s="14"/>
      <c r="AY29" s="14"/>
      <c r="AZ29" s="14"/>
      <c r="BB29" s="14"/>
      <c r="BC29" s="14"/>
      <c r="BD29" s="14"/>
      <c r="BE29" s="14"/>
      <c r="BF29" s="14"/>
      <c r="BG29" s="14"/>
      <c r="BH29" s="14"/>
      <c r="BI29" s="14"/>
      <c r="BJ29" s="14"/>
      <c r="BK29" s="14"/>
      <c r="BL29" s="14"/>
      <c r="BM29" s="14">
        <v>2</v>
      </c>
      <c r="BN29" s="14" t="s">
        <v>437</v>
      </c>
      <c r="BO29" s="14"/>
      <c r="BP29" s="14"/>
      <c r="BQ29" s="14">
        <v>2</v>
      </c>
      <c r="BR29" s="14"/>
      <c r="BS29" s="14"/>
      <c r="BT29" s="14" t="s">
        <v>437</v>
      </c>
      <c r="BU29" s="14"/>
      <c r="BV29" s="14"/>
      <c r="BW29" s="14"/>
      <c r="BX29" s="14"/>
    </row>
    <row r="30" spans="1:76">
      <c r="A30" s="6" t="s">
        <v>616</v>
      </c>
      <c r="C30" s="6" t="s">
        <v>435</v>
      </c>
      <c r="D30" s="21" t="s">
        <v>108</v>
      </c>
      <c r="E30" s="14" t="s">
        <v>762</v>
      </c>
      <c r="F30" s="14">
        <v>8</v>
      </c>
      <c r="G30" s="14">
        <v>36</v>
      </c>
      <c r="H30" s="62">
        <v>135</v>
      </c>
      <c r="I30" s="31">
        <v>16</v>
      </c>
      <c r="J30" s="14" t="s">
        <v>748</v>
      </c>
      <c r="K30" s="6" t="s">
        <v>746</v>
      </c>
      <c r="L30" s="14">
        <v>2.6</v>
      </c>
      <c r="M30" s="62"/>
      <c r="N30" s="14"/>
      <c r="O30" s="14"/>
      <c r="P30" s="14"/>
      <c r="Q30" s="62"/>
      <c r="R30" s="14"/>
      <c r="S30" s="14"/>
      <c r="T30" s="14"/>
      <c r="U30" s="62"/>
      <c r="V30" s="14"/>
      <c r="W30" s="14"/>
      <c r="X30" s="14"/>
      <c r="Y30" s="62"/>
      <c r="Z30" s="14"/>
      <c r="AA30" s="14"/>
      <c r="AB30" s="14"/>
      <c r="AC30" s="62"/>
      <c r="AD30" s="14"/>
      <c r="AE30" s="14"/>
      <c r="AF30" s="14"/>
      <c r="AG30" s="62">
        <f t="shared" si="1"/>
        <v>270</v>
      </c>
      <c r="AH30" s="14" t="s">
        <v>748</v>
      </c>
      <c r="AI30" s="6" t="s">
        <v>746</v>
      </c>
      <c r="AJ30" s="14" t="s">
        <v>742</v>
      </c>
      <c r="AK30" s="14"/>
      <c r="AL30" s="14"/>
      <c r="AM30" s="14"/>
      <c r="AN30" s="14"/>
      <c r="AO30" s="14"/>
      <c r="AP30" s="14"/>
      <c r="AQ30" s="14"/>
      <c r="AR30" s="14"/>
      <c r="AS30" s="14"/>
      <c r="AT30" s="14"/>
      <c r="AU30" s="14"/>
      <c r="AV30" s="14"/>
      <c r="AW30" s="14"/>
      <c r="AX30" s="14"/>
      <c r="AY30" s="14"/>
      <c r="AZ30" s="14"/>
      <c r="BB30" s="14"/>
      <c r="BC30" s="14"/>
      <c r="BD30" s="14"/>
      <c r="BE30" s="14"/>
      <c r="BF30" s="14"/>
      <c r="BG30" s="14"/>
      <c r="BH30" s="14"/>
      <c r="BI30" s="14"/>
      <c r="BJ30" s="14"/>
      <c r="BK30" s="14"/>
      <c r="BL30" s="14"/>
      <c r="BM30" s="14">
        <v>2</v>
      </c>
      <c r="BN30" s="14" t="s">
        <v>437</v>
      </c>
      <c r="BO30" s="14"/>
      <c r="BP30" s="14"/>
      <c r="BQ30" s="14">
        <v>2</v>
      </c>
      <c r="BR30" s="14"/>
      <c r="BS30" s="14"/>
      <c r="BT30" s="14" t="s">
        <v>437</v>
      </c>
      <c r="BU30" s="14"/>
      <c r="BV30" s="14"/>
      <c r="BW30" s="14"/>
      <c r="BX30" s="14"/>
    </row>
    <row r="31" spans="1:76">
      <c r="A31" s="6" t="s">
        <v>621</v>
      </c>
      <c r="C31" s="6" t="s">
        <v>435</v>
      </c>
      <c r="D31" s="21" t="s">
        <v>108</v>
      </c>
      <c r="E31" s="14" t="s">
        <v>762</v>
      </c>
      <c r="F31" s="14">
        <v>8</v>
      </c>
      <c r="G31" s="14">
        <v>36</v>
      </c>
      <c r="H31" s="62">
        <v>135</v>
      </c>
      <c r="I31" s="31">
        <v>16</v>
      </c>
      <c r="J31" s="14" t="s">
        <v>748</v>
      </c>
      <c r="K31" s="6" t="s">
        <v>746</v>
      </c>
      <c r="L31" s="14">
        <v>2.6</v>
      </c>
      <c r="M31" s="62"/>
      <c r="N31" s="14"/>
      <c r="O31" s="14"/>
      <c r="P31" s="14"/>
      <c r="Q31" s="62"/>
      <c r="R31" s="14"/>
      <c r="S31" s="14"/>
      <c r="T31" s="14"/>
      <c r="U31" s="62"/>
      <c r="V31" s="14"/>
      <c r="W31" s="14"/>
      <c r="X31" s="14"/>
      <c r="Y31" s="62"/>
      <c r="Z31" s="14"/>
      <c r="AA31" s="14"/>
      <c r="AB31" s="14"/>
      <c r="AC31" s="62"/>
      <c r="AD31" s="14"/>
      <c r="AE31" s="14"/>
      <c r="AF31" s="14"/>
      <c r="AG31" s="62">
        <f t="shared" si="1"/>
        <v>270</v>
      </c>
      <c r="AH31" s="14" t="s">
        <v>748</v>
      </c>
      <c r="AI31" s="6" t="s">
        <v>746</v>
      </c>
      <c r="AJ31" s="14" t="s">
        <v>742</v>
      </c>
      <c r="AK31" s="14"/>
      <c r="AL31" s="14"/>
      <c r="AM31" s="14"/>
      <c r="AN31" s="14"/>
      <c r="AO31" s="14"/>
      <c r="AP31" s="14"/>
      <c r="AQ31" s="14"/>
      <c r="AR31" s="14"/>
      <c r="AS31" s="14"/>
      <c r="AT31" s="14"/>
      <c r="AU31" s="14"/>
      <c r="AV31" s="14"/>
      <c r="AW31" s="14"/>
      <c r="AX31" s="14"/>
      <c r="AY31" s="14"/>
      <c r="AZ31" s="14"/>
      <c r="BB31" s="14"/>
      <c r="BC31" s="14"/>
      <c r="BD31" s="14"/>
      <c r="BE31" s="14"/>
      <c r="BF31" s="14"/>
      <c r="BG31" s="14"/>
      <c r="BH31" s="14"/>
      <c r="BI31" s="14"/>
      <c r="BJ31" s="14"/>
      <c r="BK31" s="14"/>
      <c r="BL31" s="14"/>
      <c r="BM31" s="14">
        <v>2</v>
      </c>
      <c r="BN31" s="14" t="s">
        <v>437</v>
      </c>
      <c r="BO31" s="14"/>
      <c r="BP31" s="14"/>
      <c r="BQ31" s="14">
        <v>2</v>
      </c>
      <c r="BR31" s="14"/>
      <c r="BS31" s="14"/>
      <c r="BT31" s="14" t="s">
        <v>437</v>
      </c>
      <c r="BU31" s="14"/>
      <c r="BV31" s="14"/>
      <c r="BW31" s="14"/>
      <c r="BX31" s="14"/>
    </row>
    <row r="32" spans="1:76">
      <c r="A32" s="6" t="s">
        <v>622</v>
      </c>
      <c r="C32" s="6" t="s">
        <v>435</v>
      </c>
      <c r="D32" s="21" t="s">
        <v>108</v>
      </c>
      <c r="E32" s="14" t="s">
        <v>762</v>
      </c>
      <c r="F32" s="14">
        <v>8</v>
      </c>
      <c r="G32" s="14">
        <v>36</v>
      </c>
      <c r="H32" s="62">
        <v>135</v>
      </c>
      <c r="I32" s="31">
        <v>16</v>
      </c>
      <c r="J32" s="14" t="s">
        <v>748</v>
      </c>
      <c r="K32" s="6" t="s">
        <v>746</v>
      </c>
      <c r="L32" s="14">
        <v>2.6</v>
      </c>
      <c r="M32" s="62"/>
      <c r="N32" s="14"/>
      <c r="O32" s="14"/>
      <c r="P32" s="14"/>
      <c r="Q32" s="62"/>
      <c r="R32" s="14"/>
      <c r="S32" s="14"/>
      <c r="T32" s="14"/>
      <c r="U32" s="62"/>
      <c r="V32" s="14"/>
      <c r="W32" s="14"/>
      <c r="X32" s="14"/>
      <c r="Y32" s="62"/>
      <c r="Z32" s="14"/>
      <c r="AA32" s="14"/>
      <c r="AB32" s="14"/>
      <c r="AC32" s="62"/>
      <c r="AD32" s="14"/>
      <c r="AE32" s="14"/>
      <c r="AF32" s="14"/>
      <c r="AG32" s="62">
        <f t="shared" si="1"/>
        <v>270</v>
      </c>
      <c r="AH32" s="14" t="s">
        <v>748</v>
      </c>
      <c r="AI32" s="6" t="s">
        <v>746</v>
      </c>
      <c r="AJ32" s="14" t="s">
        <v>742</v>
      </c>
      <c r="AK32" s="14"/>
      <c r="AL32" s="14"/>
      <c r="AM32" s="14"/>
      <c r="AN32" s="14"/>
      <c r="AO32" s="14"/>
      <c r="AP32" s="14"/>
      <c r="AQ32" s="14"/>
      <c r="AR32" s="14"/>
      <c r="AS32" s="14"/>
      <c r="AT32" s="14"/>
      <c r="AU32" s="14"/>
      <c r="AV32" s="14"/>
      <c r="AW32" s="14"/>
      <c r="AX32" s="14"/>
      <c r="AY32" s="14"/>
      <c r="AZ32" s="14"/>
      <c r="BB32" s="14"/>
      <c r="BC32" s="14"/>
      <c r="BD32" s="14"/>
      <c r="BE32" s="14"/>
      <c r="BF32" s="14"/>
      <c r="BG32" s="14"/>
      <c r="BH32" s="14"/>
      <c r="BI32" s="14"/>
      <c r="BJ32" s="14"/>
      <c r="BK32" s="14"/>
      <c r="BL32" s="14"/>
      <c r="BM32" s="14">
        <v>2</v>
      </c>
      <c r="BN32" s="14" t="s">
        <v>437</v>
      </c>
      <c r="BO32" s="14"/>
      <c r="BP32" s="14"/>
      <c r="BQ32" s="14">
        <v>2</v>
      </c>
      <c r="BR32" s="14"/>
      <c r="BS32" s="14"/>
      <c r="BT32" s="14" t="s">
        <v>437</v>
      </c>
      <c r="BU32" s="14"/>
      <c r="BV32" s="14"/>
      <c r="BW32" s="14"/>
      <c r="BX32" s="14"/>
    </row>
    <row r="33" spans="1:78">
      <c r="A33" s="6" t="s">
        <v>633</v>
      </c>
      <c r="C33" s="6" t="s">
        <v>435</v>
      </c>
      <c r="D33" s="21" t="s">
        <v>108</v>
      </c>
      <c r="E33" s="14" t="s">
        <v>762</v>
      </c>
      <c r="F33" s="14">
        <v>8</v>
      </c>
      <c r="G33" s="14">
        <v>36</v>
      </c>
      <c r="H33" s="62">
        <v>135</v>
      </c>
      <c r="I33" s="31">
        <v>16</v>
      </c>
      <c r="J33" s="14" t="s">
        <v>748</v>
      </c>
      <c r="K33" s="6" t="s">
        <v>746</v>
      </c>
      <c r="L33" s="14">
        <v>2.6</v>
      </c>
      <c r="M33" s="62"/>
      <c r="N33" s="14"/>
      <c r="O33" s="14"/>
      <c r="P33" s="14"/>
      <c r="Q33" s="62"/>
      <c r="R33" s="14"/>
      <c r="S33" s="14"/>
      <c r="T33" s="14"/>
      <c r="U33" s="62"/>
      <c r="V33" s="14"/>
      <c r="W33" s="14"/>
      <c r="X33" s="14"/>
      <c r="Y33" s="62"/>
      <c r="Z33" s="14"/>
      <c r="AA33" s="14"/>
      <c r="AB33" s="14"/>
      <c r="AC33" s="62"/>
      <c r="AD33" s="14"/>
      <c r="AE33" s="14"/>
      <c r="AF33" s="14"/>
      <c r="AG33" s="62">
        <f t="shared" si="1"/>
        <v>270</v>
      </c>
      <c r="AH33" s="14" t="s">
        <v>748</v>
      </c>
      <c r="AI33" s="6" t="s">
        <v>746</v>
      </c>
      <c r="AJ33" s="14" t="s">
        <v>742</v>
      </c>
      <c r="AK33" s="14"/>
      <c r="AL33" s="14"/>
      <c r="AM33" s="14"/>
      <c r="AN33" s="14"/>
      <c r="AO33" s="14"/>
      <c r="AP33" s="14"/>
      <c r="AQ33" s="14"/>
      <c r="AR33" s="14"/>
      <c r="AS33" s="14"/>
      <c r="AT33" s="14"/>
      <c r="AU33" s="14"/>
      <c r="AV33" s="14"/>
      <c r="AW33" s="14"/>
      <c r="AX33" s="14"/>
      <c r="AY33" s="14"/>
      <c r="AZ33" s="14"/>
      <c r="BB33" s="14"/>
      <c r="BC33" s="14"/>
      <c r="BD33" s="14"/>
      <c r="BE33" s="14"/>
      <c r="BF33" s="14"/>
      <c r="BG33" s="14"/>
      <c r="BH33" s="14"/>
      <c r="BI33" s="14"/>
      <c r="BJ33" s="14"/>
      <c r="BK33" s="14"/>
      <c r="BL33" s="14"/>
      <c r="BM33" s="14">
        <v>2</v>
      </c>
      <c r="BN33" s="14" t="s">
        <v>437</v>
      </c>
      <c r="BO33" s="14"/>
      <c r="BP33" s="14"/>
      <c r="BQ33" s="14">
        <v>2</v>
      </c>
      <c r="BR33" s="14"/>
      <c r="BS33" s="14"/>
      <c r="BT33" s="14" t="s">
        <v>437</v>
      </c>
      <c r="BU33" s="14"/>
      <c r="BV33" s="14"/>
      <c r="BW33" s="14"/>
      <c r="BX33" s="14"/>
    </row>
    <row r="34" spans="1:78">
      <c r="A34" s="6" t="s">
        <v>634</v>
      </c>
      <c r="C34" s="6" t="s">
        <v>435</v>
      </c>
      <c r="D34" s="21" t="s">
        <v>108</v>
      </c>
      <c r="E34" s="14" t="s">
        <v>762</v>
      </c>
      <c r="F34" s="14">
        <v>8</v>
      </c>
      <c r="G34" s="14">
        <v>36</v>
      </c>
      <c r="H34" s="62">
        <v>135</v>
      </c>
      <c r="I34" s="31">
        <v>16</v>
      </c>
      <c r="J34" s="14" t="s">
        <v>748</v>
      </c>
      <c r="K34" s="6" t="s">
        <v>746</v>
      </c>
      <c r="L34" s="14">
        <v>2.6</v>
      </c>
      <c r="M34" s="62"/>
      <c r="N34" s="14"/>
      <c r="O34" s="14"/>
      <c r="P34" s="14"/>
      <c r="Q34" s="62"/>
      <c r="R34" s="14"/>
      <c r="S34" s="14"/>
      <c r="T34" s="14"/>
      <c r="U34" s="62"/>
      <c r="V34" s="14"/>
      <c r="W34" s="14"/>
      <c r="X34" s="14"/>
      <c r="Y34" s="62"/>
      <c r="Z34" s="14"/>
      <c r="AA34" s="14"/>
      <c r="AB34" s="14"/>
      <c r="AC34" s="62"/>
      <c r="AD34" s="14"/>
      <c r="AE34" s="14"/>
      <c r="AF34" s="14"/>
      <c r="AG34" s="62">
        <f t="shared" si="1"/>
        <v>270</v>
      </c>
      <c r="AH34" s="14" t="s">
        <v>748</v>
      </c>
      <c r="AI34" s="6" t="s">
        <v>746</v>
      </c>
      <c r="AJ34" s="14" t="s">
        <v>742</v>
      </c>
      <c r="AK34" s="14"/>
      <c r="AL34" s="14"/>
      <c r="AM34" s="14"/>
      <c r="AN34" s="14"/>
      <c r="AO34" s="14"/>
      <c r="AP34" s="14"/>
      <c r="AQ34" s="14"/>
      <c r="AR34" s="14"/>
      <c r="AS34" s="14"/>
      <c r="AT34" s="14"/>
      <c r="AU34" s="14"/>
      <c r="AV34" s="14"/>
      <c r="AW34" s="14"/>
      <c r="AX34" s="14"/>
      <c r="AY34" s="14"/>
      <c r="AZ34" s="14"/>
      <c r="BB34" s="14"/>
      <c r="BC34" s="14"/>
      <c r="BD34" s="14"/>
      <c r="BE34" s="14"/>
      <c r="BF34" s="14"/>
      <c r="BG34" s="14"/>
      <c r="BH34" s="14"/>
      <c r="BI34" s="14"/>
      <c r="BJ34" s="14"/>
      <c r="BK34" s="14"/>
      <c r="BL34" s="14"/>
      <c r="BM34" s="14">
        <v>2</v>
      </c>
      <c r="BN34" s="14" t="s">
        <v>437</v>
      </c>
      <c r="BO34" s="14"/>
      <c r="BP34" s="14"/>
      <c r="BQ34" s="14">
        <v>2</v>
      </c>
      <c r="BR34" s="14"/>
      <c r="BS34" s="14"/>
      <c r="BT34" s="14" t="s">
        <v>437</v>
      </c>
      <c r="BU34" s="14"/>
      <c r="BV34" s="14"/>
      <c r="BW34" s="14"/>
      <c r="BX34" s="14"/>
    </row>
    <row r="35" spans="1:78">
      <c r="A35" s="6" t="s">
        <v>644</v>
      </c>
      <c r="C35" s="21" t="s">
        <v>488</v>
      </c>
      <c r="D35" s="6" t="s">
        <v>112</v>
      </c>
      <c r="E35" s="14" t="s">
        <v>763</v>
      </c>
      <c r="F35" s="14">
        <v>4</v>
      </c>
      <c r="G35" s="14">
        <v>4</v>
      </c>
      <c r="H35" s="62">
        <v>100</v>
      </c>
      <c r="I35" s="31">
        <v>0</v>
      </c>
      <c r="J35" s="14" t="s">
        <v>745</v>
      </c>
      <c r="K35" s="6" t="s">
        <v>746</v>
      </c>
      <c r="L35" s="14">
        <v>100</v>
      </c>
      <c r="M35" s="62"/>
      <c r="N35" s="14"/>
      <c r="O35" s="14"/>
      <c r="P35" s="14"/>
      <c r="Q35" s="62"/>
      <c r="R35" s="14"/>
      <c r="S35" s="14"/>
      <c r="T35" s="14"/>
      <c r="U35" s="62"/>
      <c r="V35" s="14"/>
      <c r="W35" s="14"/>
      <c r="X35" s="14"/>
      <c r="Y35" s="62"/>
      <c r="Z35" s="14"/>
      <c r="AA35" s="14"/>
      <c r="AB35" s="14"/>
      <c r="AC35" s="62"/>
      <c r="AD35" s="14"/>
      <c r="AE35" s="14"/>
      <c r="AF35" s="14"/>
      <c r="AG35" s="62">
        <f t="shared" si="1"/>
        <v>200</v>
      </c>
      <c r="AH35" s="14" t="s">
        <v>748</v>
      </c>
      <c r="AI35" s="6" t="s">
        <v>746</v>
      </c>
      <c r="AJ35" s="14" t="s">
        <v>742</v>
      </c>
      <c r="AK35" s="14"/>
      <c r="AL35" s="14"/>
      <c r="AM35" s="14"/>
      <c r="AN35" s="14"/>
      <c r="AO35" s="14"/>
      <c r="AP35" s="14"/>
      <c r="AQ35" s="14"/>
      <c r="AR35" s="14"/>
      <c r="AS35" s="14"/>
      <c r="AT35" s="14"/>
      <c r="AU35" s="14"/>
      <c r="AV35" s="14"/>
      <c r="AW35" s="14"/>
      <c r="AX35" s="14"/>
      <c r="AY35" s="14"/>
      <c r="AZ35" s="14"/>
      <c r="BB35" s="14"/>
      <c r="BC35" s="14"/>
      <c r="BD35" s="14"/>
      <c r="BE35" s="14"/>
      <c r="BF35" s="14"/>
      <c r="BG35" s="14"/>
      <c r="BH35" s="14"/>
      <c r="BI35" s="14"/>
      <c r="BJ35" s="14"/>
      <c r="BK35" s="14"/>
      <c r="BL35" s="14"/>
      <c r="BM35" s="14">
        <v>4</v>
      </c>
      <c r="BN35" s="14" t="s">
        <v>437</v>
      </c>
      <c r="BO35" s="14"/>
      <c r="BP35" s="14"/>
      <c r="BQ35" s="14">
        <v>2</v>
      </c>
      <c r="BR35" s="14"/>
      <c r="BS35" s="14"/>
      <c r="BT35" s="14" t="s">
        <v>437</v>
      </c>
      <c r="BU35" s="14"/>
      <c r="BV35" s="14"/>
      <c r="BW35" s="14"/>
      <c r="BX35" s="14"/>
    </row>
    <row r="36" spans="1:78">
      <c r="A36" s="6" t="s">
        <v>645</v>
      </c>
      <c r="C36" s="21" t="s">
        <v>488</v>
      </c>
      <c r="D36" s="6" t="s">
        <v>120</v>
      </c>
      <c r="E36" s="14" t="s">
        <v>764</v>
      </c>
      <c r="F36" s="14">
        <v>4</v>
      </c>
      <c r="G36" s="14">
        <v>16</v>
      </c>
      <c r="H36" s="62">
        <v>100</v>
      </c>
      <c r="I36" s="31">
        <v>0</v>
      </c>
      <c r="J36" s="14" t="s">
        <v>745</v>
      </c>
      <c r="K36" s="6" t="s">
        <v>746</v>
      </c>
      <c r="L36" s="14">
        <v>110</v>
      </c>
      <c r="M36" s="62"/>
      <c r="N36" s="14"/>
      <c r="O36" s="14"/>
      <c r="P36" s="14"/>
      <c r="Q36" s="62"/>
      <c r="R36" s="14"/>
      <c r="S36" s="14"/>
      <c r="T36" s="14"/>
      <c r="U36" s="62"/>
      <c r="V36" s="14"/>
      <c r="W36" s="14"/>
      <c r="X36" s="14"/>
      <c r="Y36" s="62"/>
      <c r="Z36" s="14"/>
      <c r="AA36" s="14"/>
      <c r="AB36" s="14"/>
      <c r="AC36" s="62"/>
      <c r="AD36" s="14"/>
      <c r="AE36" s="14"/>
      <c r="AF36" s="14"/>
      <c r="AG36" s="62">
        <f t="shared" si="1"/>
        <v>200</v>
      </c>
      <c r="AH36" s="14" t="s">
        <v>748</v>
      </c>
      <c r="AI36" s="6" t="s">
        <v>746</v>
      </c>
      <c r="AJ36" s="14" t="s">
        <v>742</v>
      </c>
      <c r="AK36" s="14"/>
      <c r="AL36" s="14"/>
      <c r="AM36" s="14"/>
      <c r="AN36" s="14"/>
      <c r="AO36" s="14"/>
      <c r="AP36" s="14"/>
      <c r="AQ36" s="14"/>
      <c r="AR36" s="14"/>
      <c r="AS36" s="14"/>
      <c r="AT36" s="14"/>
      <c r="AU36" s="14"/>
      <c r="AV36" s="14"/>
      <c r="AW36" s="14"/>
      <c r="AX36" s="14"/>
      <c r="AY36" s="14"/>
      <c r="AZ36" s="14"/>
      <c r="BB36" s="14"/>
      <c r="BC36" s="14"/>
      <c r="BD36" s="14"/>
      <c r="BE36" s="14"/>
      <c r="BF36" s="14"/>
      <c r="BG36" s="14"/>
      <c r="BH36" s="14"/>
      <c r="BI36" s="14"/>
      <c r="BJ36" s="14"/>
      <c r="BK36" s="14"/>
      <c r="BL36" s="14"/>
      <c r="BM36" s="14">
        <v>4</v>
      </c>
      <c r="BN36" s="14" t="s">
        <v>437</v>
      </c>
      <c r="BO36" s="14"/>
      <c r="BP36" s="14"/>
      <c r="BQ36" s="14">
        <v>2</v>
      </c>
      <c r="BR36" s="14"/>
      <c r="BS36" s="14"/>
      <c r="BT36" s="14" t="s">
        <v>437</v>
      </c>
      <c r="BU36" s="14"/>
      <c r="BV36" s="14"/>
      <c r="BW36" s="14"/>
      <c r="BX36" s="14"/>
    </row>
    <row r="37" spans="1:78">
      <c r="A37" s="6" t="s">
        <v>490</v>
      </c>
      <c r="C37" s="21" t="s">
        <v>488</v>
      </c>
      <c r="D37" s="6" t="s">
        <v>116</v>
      </c>
      <c r="E37" s="14" t="s">
        <v>765</v>
      </c>
      <c r="F37" s="14">
        <v>4</v>
      </c>
      <c r="G37" s="14">
        <v>14</v>
      </c>
      <c r="H37" s="62">
        <v>120</v>
      </c>
      <c r="I37" s="31">
        <v>0</v>
      </c>
      <c r="J37" s="14" t="s">
        <v>745</v>
      </c>
      <c r="K37" s="6" t="s">
        <v>746</v>
      </c>
      <c r="L37" s="14">
        <v>100</v>
      </c>
      <c r="M37" s="62"/>
      <c r="N37" s="14"/>
      <c r="O37" s="14"/>
      <c r="P37" s="14"/>
      <c r="Q37" s="62"/>
      <c r="R37" s="14"/>
      <c r="S37" s="14"/>
      <c r="T37" s="14"/>
      <c r="U37" s="62"/>
      <c r="V37" s="14"/>
      <c r="W37" s="14"/>
      <c r="X37" s="14"/>
      <c r="Y37" s="62"/>
      <c r="Z37" s="14"/>
      <c r="AA37" s="14"/>
      <c r="AB37" s="14"/>
      <c r="AC37" s="62"/>
      <c r="AD37" s="14"/>
      <c r="AE37" s="14"/>
      <c r="AF37" s="14"/>
      <c r="AG37" s="62">
        <f t="shared" si="1"/>
        <v>240</v>
      </c>
      <c r="AH37" s="14" t="s">
        <v>748</v>
      </c>
      <c r="AI37" s="6" t="s">
        <v>746</v>
      </c>
      <c r="AJ37" s="14" t="s">
        <v>742</v>
      </c>
      <c r="AK37" s="14"/>
      <c r="AL37" s="14"/>
      <c r="AM37" s="14"/>
      <c r="AN37" s="14"/>
      <c r="AO37" s="14"/>
      <c r="AP37" s="14"/>
      <c r="AQ37" s="14"/>
      <c r="AR37" s="14"/>
      <c r="AS37" s="14"/>
      <c r="AT37" s="14"/>
      <c r="AU37" s="14"/>
      <c r="AV37" s="14"/>
      <c r="AW37" s="14"/>
      <c r="AX37" s="14"/>
      <c r="AY37" s="14"/>
      <c r="AZ37" s="14"/>
      <c r="BB37" s="14"/>
      <c r="BC37" s="14"/>
      <c r="BD37" s="14"/>
      <c r="BE37" s="14"/>
      <c r="BF37" s="14"/>
      <c r="BG37" s="14"/>
      <c r="BH37" s="14"/>
      <c r="BI37" s="14"/>
      <c r="BJ37" s="14"/>
      <c r="BK37" s="14"/>
      <c r="BL37" s="14"/>
      <c r="BM37" s="14">
        <v>4</v>
      </c>
      <c r="BN37" s="14" t="s">
        <v>437</v>
      </c>
      <c r="BO37" s="14"/>
      <c r="BP37" s="14"/>
      <c r="BQ37" s="14">
        <v>2</v>
      </c>
      <c r="BR37" s="14"/>
      <c r="BS37" s="14"/>
      <c r="BT37" s="14" t="s">
        <v>437</v>
      </c>
      <c r="BU37" s="14"/>
      <c r="BV37" s="14"/>
      <c r="BW37" s="14"/>
      <c r="BX37" s="14"/>
    </row>
    <row r="38" spans="1:78">
      <c r="A38" s="6" t="s">
        <v>465</v>
      </c>
      <c r="B38" s="14"/>
      <c r="C38" s="6" t="s">
        <v>435</v>
      </c>
      <c r="D38" s="21" t="s">
        <v>124</v>
      </c>
      <c r="E38" s="14" t="s">
        <v>766</v>
      </c>
      <c r="F38" s="14">
        <v>9</v>
      </c>
      <c r="G38" s="14">
        <v>12</v>
      </c>
      <c r="H38" s="62">
        <v>45</v>
      </c>
      <c r="I38" s="31">
        <v>16</v>
      </c>
      <c r="J38" s="14" t="s">
        <v>748</v>
      </c>
      <c r="K38" s="6" t="s">
        <v>746</v>
      </c>
      <c r="L38" s="14">
        <v>2.6</v>
      </c>
      <c r="M38" s="62"/>
      <c r="N38" s="14"/>
      <c r="O38" s="14"/>
      <c r="P38" s="14"/>
      <c r="Q38" s="62"/>
      <c r="R38" s="14"/>
      <c r="S38" s="14"/>
      <c r="T38" s="14"/>
      <c r="U38" s="62"/>
      <c r="V38" s="14"/>
      <c r="W38" s="14"/>
      <c r="X38" s="14"/>
      <c r="Y38" s="62"/>
      <c r="Z38" s="14"/>
      <c r="AA38" s="14"/>
      <c r="AB38" s="14"/>
      <c r="AC38" s="62"/>
      <c r="AD38" s="14"/>
      <c r="AE38" s="14"/>
      <c r="AF38" s="14"/>
      <c r="AG38" s="62">
        <f>2*(H38+AK38)</f>
        <v>180</v>
      </c>
      <c r="AH38" s="14" t="s">
        <v>748</v>
      </c>
      <c r="AI38" s="6" t="s">
        <v>746</v>
      </c>
      <c r="AJ38" s="14" t="s">
        <v>742</v>
      </c>
      <c r="AK38" s="62">
        <v>45</v>
      </c>
      <c r="AL38" s="86" t="s">
        <v>748</v>
      </c>
      <c r="AM38" s="6" t="s">
        <v>746</v>
      </c>
      <c r="AN38" s="14">
        <f>50/1000</f>
        <v>0.05</v>
      </c>
      <c r="AO38" s="14"/>
      <c r="AP38" s="14"/>
      <c r="AQ38" s="14"/>
      <c r="AR38" s="14"/>
      <c r="AS38" s="14"/>
      <c r="AT38" s="14"/>
      <c r="AU38" s="14"/>
      <c r="AV38" s="14"/>
      <c r="AW38" s="14"/>
      <c r="AX38" s="14"/>
      <c r="AY38" s="14"/>
      <c r="AZ38" s="14"/>
      <c r="BB38" s="14"/>
      <c r="BC38" s="14"/>
      <c r="BD38" s="14"/>
      <c r="BE38" s="14"/>
      <c r="BF38" s="14"/>
      <c r="BG38" s="14"/>
      <c r="BH38" s="14"/>
      <c r="BI38" s="14"/>
      <c r="BJ38" s="14"/>
      <c r="BK38" s="14"/>
      <c r="BL38" s="14"/>
      <c r="BM38" s="86">
        <v>3</v>
      </c>
      <c r="BN38" s="14" t="s">
        <v>437</v>
      </c>
      <c r="BO38" s="14"/>
      <c r="BP38" s="14"/>
      <c r="BQ38" s="14">
        <v>2</v>
      </c>
      <c r="BR38" s="14"/>
      <c r="BS38" s="14"/>
      <c r="BT38" s="14" t="s">
        <v>437</v>
      </c>
      <c r="BU38" s="14"/>
      <c r="BV38" s="14"/>
      <c r="BW38" s="14"/>
      <c r="BX38" s="14"/>
    </row>
    <row r="39" spans="1:78">
      <c r="A39" s="6" t="s">
        <v>467</v>
      </c>
      <c r="C39" s="6" t="s">
        <v>435</v>
      </c>
      <c r="D39" s="21" t="s">
        <v>124</v>
      </c>
      <c r="E39" s="14" t="s">
        <v>766</v>
      </c>
      <c r="F39" s="14">
        <v>9</v>
      </c>
      <c r="G39" s="14">
        <v>12</v>
      </c>
      <c r="H39" s="62">
        <v>45</v>
      </c>
      <c r="I39" s="31">
        <v>16</v>
      </c>
      <c r="J39" s="14" t="s">
        <v>748</v>
      </c>
      <c r="K39" s="6" t="s">
        <v>746</v>
      </c>
      <c r="L39" s="14">
        <v>2.6</v>
      </c>
      <c r="M39" s="62"/>
      <c r="N39" s="14"/>
      <c r="O39" s="14"/>
      <c r="P39" s="14"/>
      <c r="Q39" s="62"/>
      <c r="R39" s="14"/>
      <c r="S39" s="14"/>
      <c r="T39" s="14"/>
      <c r="U39" s="62"/>
      <c r="V39" s="14"/>
      <c r="W39" s="14"/>
      <c r="X39" s="14"/>
      <c r="Y39" s="62"/>
      <c r="Z39" s="14"/>
      <c r="AA39" s="14"/>
      <c r="AB39" s="14"/>
      <c r="AC39" s="62"/>
      <c r="AD39" s="14"/>
      <c r="AE39" s="14"/>
      <c r="AF39" s="14"/>
      <c r="AG39" s="62">
        <f>2*(H39+AK39)</f>
        <v>180</v>
      </c>
      <c r="AH39" s="14" t="s">
        <v>748</v>
      </c>
      <c r="AI39" s="6" t="s">
        <v>746</v>
      </c>
      <c r="AJ39" s="14" t="s">
        <v>742</v>
      </c>
      <c r="AK39" s="62">
        <v>45</v>
      </c>
      <c r="AL39" s="86" t="s">
        <v>748</v>
      </c>
      <c r="AM39" s="6" t="s">
        <v>746</v>
      </c>
      <c r="AN39" s="14">
        <f>50/1000</f>
        <v>0.05</v>
      </c>
      <c r="AO39" s="14"/>
      <c r="AP39" s="14"/>
      <c r="AQ39" s="14"/>
      <c r="AR39" s="14"/>
      <c r="AS39" s="14"/>
      <c r="AT39" s="14"/>
      <c r="AU39" s="14"/>
      <c r="AV39" s="14"/>
      <c r="AW39" s="14"/>
      <c r="AX39" s="14"/>
      <c r="AY39" s="14"/>
      <c r="AZ39" s="14"/>
      <c r="BB39" s="14"/>
      <c r="BC39" s="14"/>
      <c r="BD39" s="14"/>
      <c r="BE39" s="14"/>
      <c r="BF39" s="14"/>
      <c r="BG39" s="14"/>
      <c r="BH39" s="14"/>
      <c r="BI39" s="14"/>
      <c r="BJ39" s="14"/>
      <c r="BK39" s="14"/>
      <c r="BL39" s="14"/>
      <c r="BM39" s="86">
        <v>3</v>
      </c>
      <c r="BN39" s="14" t="s">
        <v>437</v>
      </c>
      <c r="BO39" s="14"/>
      <c r="BP39" s="14"/>
      <c r="BQ39" s="14">
        <v>2</v>
      </c>
      <c r="BR39" s="14"/>
      <c r="BS39" s="14"/>
      <c r="BT39" s="14" t="s">
        <v>437</v>
      </c>
      <c r="BU39" s="14"/>
      <c r="BV39" s="14"/>
      <c r="BW39" s="14"/>
      <c r="BX39" s="14"/>
    </row>
    <row r="40" spans="1:78">
      <c r="A40" s="6" t="s">
        <v>635</v>
      </c>
      <c r="C40" s="6" t="s">
        <v>435</v>
      </c>
      <c r="D40" s="21" t="s">
        <v>124</v>
      </c>
      <c r="E40" s="14" t="s">
        <v>766</v>
      </c>
      <c r="F40" s="14">
        <v>9</v>
      </c>
      <c r="G40" s="14">
        <v>12</v>
      </c>
      <c r="H40" s="62">
        <v>45</v>
      </c>
      <c r="I40" s="31">
        <v>16</v>
      </c>
      <c r="J40" s="14" t="s">
        <v>748</v>
      </c>
      <c r="K40" s="6" t="s">
        <v>746</v>
      </c>
      <c r="L40" s="14">
        <v>2.6</v>
      </c>
      <c r="M40" s="62"/>
      <c r="N40" s="14"/>
      <c r="O40" s="14"/>
      <c r="P40" s="14"/>
      <c r="Q40" s="62"/>
      <c r="R40" s="14"/>
      <c r="S40" s="14"/>
      <c r="T40" s="14"/>
      <c r="U40" s="62"/>
      <c r="V40" s="14"/>
      <c r="W40" s="14"/>
      <c r="X40" s="14"/>
      <c r="Y40" s="62"/>
      <c r="Z40" s="14"/>
      <c r="AA40" s="14"/>
      <c r="AB40" s="14"/>
      <c r="AC40" s="62"/>
      <c r="AD40" s="14"/>
      <c r="AE40" s="14"/>
      <c r="AF40" s="14"/>
      <c r="AG40" s="62">
        <f>2*(H40+AK40)</f>
        <v>180</v>
      </c>
      <c r="AH40" s="14" t="s">
        <v>748</v>
      </c>
      <c r="AI40" s="6" t="s">
        <v>746</v>
      </c>
      <c r="AJ40" s="14" t="s">
        <v>742</v>
      </c>
      <c r="AK40" s="62">
        <v>45</v>
      </c>
      <c r="AL40" s="86" t="s">
        <v>748</v>
      </c>
      <c r="AM40" s="6" t="s">
        <v>746</v>
      </c>
      <c r="AN40" s="14">
        <f>50/1000</f>
        <v>0.05</v>
      </c>
      <c r="AO40" s="14"/>
      <c r="AP40" s="14"/>
      <c r="AQ40" s="14"/>
      <c r="AR40" s="14"/>
      <c r="AS40" s="14"/>
      <c r="AT40" s="14"/>
      <c r="AU40" s="14"/>
      <c r="AV40" s="14"/>
      <c r="AW40" s="14"/>
      <c r="AX40" s="14"/>
      <c r="AY40" s="14"/>
      <c r="AZ40" s="14"/>
      <c r="BB40" s="14"/>
      <c r="BC40" s="14"/>
      <c r="BD40" s="14"/>
      <c r="BE40" s="14"/>
      <c r="BF40" s="14"/>
      <c r="BG40" s="14"/>
      <c r="BH40" s="14"/>
      <c r="BI40" s="14"/>
      <c r="BJ40" s="14"/>
      <c r="BK40" s="14"/>
      <c r="BL40" s="14"/>
      <c r="BM40" s="86">
        <v>3</v>
      </c>
      <c r="BN40" s="14" t="s">
        <v>437</v>
      </c>
      <c r="BO40" s="14"/>
      <c r="BP40" s="14"/>
      <c r="BQ40" s="14">
        <v>2</v>
      </c>
      <c r="BR40" s="14"/>
      <c r="BS40" s="14"/>
      <c r="BT40" s="14" t="s">
        <v>437</v>
      </c>
      <c r="BU40" s="14"/>
      <c r="BV40" s="14"/>
      <c r="BW40" s="14"/>
      <c r="BX40" s="14"/>
    </row>
    <row r="41" spans="1:78">
      <c r="A41" s="6" t="s">
        <v>636</v>
      </c>
      <c r="C41" s="6" t="s">
        <v>435</v>
      </c>
      <c r="D41" s="21" t="s">
        <v>124</v>
      </c>
      <c r="E41" s="14" t="s">
        <v>766</v>
      </c>
      <c r="F41" s="14">
        <v>9</v>
      </c>
      <c r="G41" s="14">
        <v>12</v>
      </c>
      <c r="H41" s="62">
        <v>45</v>
      </c>
      <c r="I41" s="31">
        <v>16</v>
      </c>
      <c r="J41" s="14" t="s">
        <v>748</v>
      </c>
      <c r="K41" s="6" t="s">
        <v>746</v>
      </c>
      <c r="L41" s="14">
        <v>2.6</v>
      </c>
      <c r="M41" s="62"/>
      <c r="N41" s="14"/>
      <c r="O41" s="14"/>
      <c r="P41" s="14"/>
      <c r="Q41" s="62"/>
      <c r="R41" s="14"/>
      <c r="S41" s="14"/>
      <c r="T41" s="14"/>
      <c r="U41" s="62"/>
      <c r="V41" s="14"/>
      <c r="W41" s="14"/>
      <c r="X41" s="14"/>
      <c r="Y41" s="62"/>
      <c r="Z41" s="14"/>
      <c r="AA41" s="14"/>
      <c r="AB41" s="14"/>
      <c r="AC41" s="62"/>
      <c r="AD41" s="14"/>
      <c r="AE41" s="14"/>
      <c r="AF41" s="14"/>
      <c r="AG41" s="62">
        <f>2*(H41+AK41)</f>
        <v>180</v>
      </c>
      <c r="AH41" s="14" t="s">
        <v>748</v>
      </c>
      <c r="AI41" s="6" t="s">
        <v>746</v>
      </c>
      <c r="AJ41" s="14" t="s">
        <v>742</v>
      </c>
      <c r="AK41" s="62">
        <v>45</v>
      </c>
      <c r="AL41" s="86" t="s">
        <v>748</v>
      </c>
      <c r="AM41" s="6" t="s">
        <v>746</v>
      </c>
      <c r="AN41" s="14">
        <f>50/1000</f>
        <v>0.05</v>
      </c>
      <c r="AO41" s="14"/>
      <c r="AP41" s="14"/>
      <c r="AQ41" s="14"/>
      <c r="AR41" s="14"/>
      <c r="AS41" s="14"/>
      <c r="AT41" s="14"/>
      <c r="AU41" s="14"/>
      <c r="AV41" s="14"/>
      <c r="AW41" s="14"/>
      <c r="AX41" s="14"/>
      <c r="AY41" s="14"/>
      <c r="AZ41" s="14"/>
      <c r="BB41" s="14"/>
      <c r="BC41" s="14"/>
      <c r="BD41" s="14"/>
      <c r="BE41" s="14"/>
      <c r="BF41" s="14"/>
      <c r="BG41" s="14"/>
      <c r="BH41" s="14"/>
      <c r="BI41" s="14"/>
      <c r="BJ41" s="14"/>
      <c r="BK41" s="14"/>
      <c r="BL41" s="14"/>
      <c r="BM41" s="86">
        <v>3</v>
      </c>
      <c r="BN41" s="14" t="s">
        <v>437</v>
      </c>
      <c r="BO41" s="14"/>
      <c r="BP41" s="14"/>
      <c r="BQ41" s="14">
        <v>2</v>
      </c>
      <c r="BR41" s="14"/>
      <c r="BS41" s="14"/>
      <c r="BT41" s="14" t="s">
        <v>437</v>
      </c>
      <c r="BU41" s="14"/>
      <c r="BV41" s="14"/>
      <c r="BW41" s="14"/>
      <c r="BX41" s="14"/>
    </row>
    <row r="42" spans="1:78">
      <c r="A42" s="6" t="s">
        <v>468</v>
      </c>
      <c r="C42" s="6" t="s">
        <v>435</v>
      </c>
      <c r="D42" s="21" t="s">
        <v>469</v>
      </c>
      <c r="E42" s="14" t="s">
        <v>767</v>
      </c>
      <c r="F42" s="14">
        <v>4</v>
      </c>
      <c r="G42" s="14">
        <v>6</v>
      </c>
      <c r="H42" s="62">
        <v>40</v>
      </c>
      <c r="I42" s="31">
        <v>4</v>
      </c>
      <c r="J42" s="14" t="s">
        <v>748</v>
      </c>
      <c r="K42" s="6" t="s">
        <v>746</v>
      </c>
      <c r="L42" s="14">
        <v>2.6</v>
      </c>
      <c r="M42" s="62"/>
      <c r="N42" s="14"/>
      <c r="O42" s="14"/>
      <c r="P42" s="14"/>
      <c r="Q42" s="62"/>
      <c r="R42" s="14"/>
      <c r="S42" s="14"/>
      <c r="T42" s="14"/>
      <c r="U42" s="62"/>
      <c r="V42" s="14"/>
      <c r="W42" s="14"/>
      <c r="X42" s="14"/>
      <c r="Y42" s="62"/>
      <c r="Z42" s="14"/>
      <c r="AA42" s="14"/>
      <c r="AB42" s="14"/>
      <c r="AC42" s="62"/>
      <c r="AD42" s="14"/>
      <c r="AE42" s="14"/>
      <c r="AF42" s="14"/>
      <c r="AG42" s="62">
        <f>2*H42</f>
        <v>80</v>
      </c>
      <c r="AH42" s="14" t="s">
        <v>748</v>
      </c>
      <c r="AI42" s="6" t="s">
        <v>746</v>
      </c>
      <c r="AJ42" s="14" t="s">
        <v>742</v>
      </c>
      <c r="AK42" s="64"/>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v>2</v>
      </c>
      <c r="BN42" s="14" t="s">
        <v>437</v>
      </c>
      <c r="BO42" s="14"/>
      <c r="BP42" s="14"/>
      <c r="BQ42" s="14">
        <v>2</v>
      </c>
      <c r="BR42" s="14"/>
      <c r="BS42" s="14"/>
      <c r="BT42" s="14" t="s">
        <v>437</v>
      </c>
      <c r="BU42" s="14"/>
      <c r="BV42" s="14"/>
      <c r="BW42" s="14"/>
      <c r="BX42" s="14"/>
    </row>
    <row r="43" spans="1:78">
      <c r="A43" s="6" t="s">
        <v>470</v>
      </c>
      <c r="C43" s="6" t="s">
        <v>435</v>
      </c>
      <c r="D43" s="21" t="s">
        <v>471</v>
      </c>
      <c r="E43" s="14" t="s">
        <v>767</v>
      </c>
      <c r="F43" s="14">
        <v>4</v>
      </c>
      <c r="G43" s="14">
        <v>6</v>
      </c>
      <c r="H43" s="62">
        <v>40</v>
      </c>
      <c r="I43" s="31">
        <v>4</v>
      </c>
      <c r="J43" s="14" t="s">
        <v>748</v>
      </c>
      <c r="K43" s="6" t="s">
        <v>746</v>
      </c>
      <c r="L43" s="14">
        <v>2.6</v>
      </c>
      <c r="M43" s="62"/>
      <c r="N43" s="14"/>
      <c r="O43" s="14"/>
      <c r="P43" s="14"/>
      <c r="Q43" s="62"/>
      <c r="R43" s="14"/>
      <c r="S43" s="14"/>
      <c r="T43" s="14"/>
      <c r="U43" s="62"/>
      <c r="V43" s="14"/>
      <c r="W43" s="14"/>
      <c r="X43" s="14"/>
      <c r="Y43" s="62"/>
      <c r="Z43" s="14"/>
      <c r="AA43" s="14"/>
      <c r="AB43" s="14"/>
      <c r="AC43" s="62"/>
      <c r="AD43" s="14"/>
      <c r="AE43" s="14"/>
      <c r="AF43" s="14"/>
      <c r="AG43" s="62">
        <f>2*H43</f>
        <v>80</v>
      </c>
      <c r="AH43" s="14" t="s">
        <v>748</v>
      </c>
      <c r="AI43" s="6" t="s">
        <v>746</v>
      </c>
      <c r="AJ43" s="14" t="s">
        <v>742</v>
      </c>
      <c r="AK43" s="64"/>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v>2</v>
      </c>
      <c r="BN43" s="14" t="s">
        <v>437</v>
      </c>
      <c r="BO43" s="14"/>
      <c r="BP43" s="14"/>
      <c r="BQ43" s="14">
        <v>2</v>
      </c>
      <c r="BR43" s="14"/>
      <c r="BS43" s="14"/>
      <c r="BT43" s="14" t="s">
        <v>437</v>
      </c>
      <c r="BU43" s="14"/>
      <c r="BV43" s="14"/>
      <c r="BW43" s="14"/>
      <c r="BX43" s="14"/>
    </row>
    <row r="44" spans="1:78" ht="14.45">
      <c r="A44" s="6" t="s">
        <v>472</v>
      </c>
      <c r="C44" s="6" t="s">
        <v>435</v>
      </c>
      <c r="D44" s="6" t="s">
        <v>473</v>
      </c>
      <c r="E44" s="14" t="s">
        <v>768</v>
      </c>
      <c r="F44" s="14">
        <v>8</v>
      </c>
      <c r="G44" s="14">
        <v>11</v>
      </c>
      <c r="H44" s="62">
        <v>125</v>
      </c>
      <c r="I44" s="31">
        <v>4</v>
      </c>
      <c r="J44" s="14" t="s">
        <v>748</v>
      </c>
      <c r="K44" s="6" t="s">
        <v>746</v>
      </c>
      <c r="L44" s="14">
        <v>2.6</v>
      </c>
      <c r="M44" s="14"/>
      <c r="N44" s="14"/>
      <c r="O44" s="14"/>
      <c r="P44" s="14"/>
      <c r="Q44" s="2"/>
      <c r="R44" s="2"/>
      <c r="S44" s="2"/>
      <c r="T44" s="2"/>
      <c r="U44" s="14"/>
      <c r="V44" s="14"/>
      <c r="W44" s="14"/>
      <c r="X44" s="14"/>
      <c r="Y44" s="14"/>
      <c r="Z44" s="14"/>
      <c r="AA44" s="14"/>
      <c r="AB44" s="14"/>
      <c r="AC44" s="14"/>
      <c r="AD44" s="14"/>
      <c r="AE44" s="14"/>
      <c r="AF44" s="14"/>
      <c r="AG44" s="62">
        <f>2*H44</f>
        <v>250</v>
      </c>
      <c r="AH44" s="14" t="s">
        <v>748</v>
      </c>
      <c r="AI44" s="6" t="s">
        <v>746</v>
      </c>
      <c r="AJ44" s="14" t="s">
        <v>742</v>
      </c>
      <c r="BA44" s="14">
        <v>120</v>
      </c>
      <c r="BB44" s="14" t="s">
        <v>748</v>
      </c>
      <c r="BC44" s="14" t="s">
        <v>746</v>
      </c>
      <c r="BD44" s="14">
        <f>50/1000</f>
        <v>0.05</v>
      </c>
      <c r="BM44" s="14">
        <v>3</v>
      </c>
      <c r="BN44" s="14" t="s">
        <v>437</v>
      </c>
      <c r="BO44" s="14"/>
      <c r="BP44" s="14"/>
      <c r="BQ44" s="14">
        <v>2</v>
      </c>
      <c r="BR44" s="14"/>
      <c r="BS44" s="14" t="s">
        <v>437</v>
      </c>
      <c r="BT44" s="14" t="s">
        <v>437</v>
      </c>
      <c r="BU44" s="14"/>
      <c r="BV44" s="14"/>
      <c r="BW44" s="14"/>
    </row>
    <row r="45" spans="1:78" ht="14.45">
      <c r="A45" s="6" t="s">
        <v>480</v>
      </c>
      <c r="C45" s="6" t="s">
        <v>435</v>
      </c>
      <c r="D45" s="6" t="s">
        <v>637</v>
      </c>
      <c r="E45" s="14" t="s">
        <v>772</v>
      </c>
      <c r="F45" s="14">
        <v>7</v>
      </c>
      <c r="G45" s="14">
        <v>7</v>
      </c>
      <c r="H45" s="62">
        <v>90</v>
      </c>
      <c r="I45" s="31">
        <v>4</v>
      </c>
      <c r="J45" s="14" t="s">
        <v>748</v>
      </c>
      <c r="K45" s="6" t="s">
        <v>746</v>
      </c>
      <c r="L45" s="14">
        <v>2.6</v>
      </c>
      <c r="M45" s="14"/>
      <c r="N45" s="14"/>
      <c r="O45" s="14"/>
      <c r="P45" s="14"/>
      <c r="Q45" s="2"/>
      <c r="R45" s="2"/>
      <c r="S45" s="2"/>
      <c r="T45" s="2"/>
      <c r="U45" s="14"/>
      <c r="V45" s="14"/>
      <c r="W45" s="14"/>
      <c r="X45" s="14"/>
      <c r="Y45" s="14"/>
      <c r="Z45" s="14"/>
      <c r="AA45" s="14"/>
      <c r="AB45" s="14"/>
      <c r="AC45" s="14"/>
      <c r="AD45" s="14"/>
      <c r="AE45" s="14"/>
      <c r="AF45" s="14"/>
      <c r="AG45" s="62">
        <f>2*H45</f>
        <v>180</v>
      </c>
      <c r="AH45" s="14" t="s">
        <v>748</v>
      </c>
      <c r="AI45" s="6" t="s">
        <v>746</v>
      </c>
      <c r="AJ45" s="14" t="s">
        <v>742</v>
      </c>
      <c r="BA45" s="14">
        <v>120</v>
      </c>
      <c r="BB45" s="14" t="s">
        <v>748</v>
      </c>
      <c r="BC45" s="14" t="s">
        <v>746</v>
      </c>
      <c r="BD45" s="14">
        <v>0.05</v>
      </c>
      <c r="BM45" s="14">
        <v>3</v>
      </c>
      <c r="BN45" s="14" t="s">
        <v>437</v>
      </c>
      <c r="BO45" s="14"/>
      <c r="BP45" s="14"/>
      <c r="BQ45" s="14">
        <v>2</v>
      </c>
      <c r="BR45" s="14"/>
      <c r="BS45" s="14" t="s">
        <v>437</v>
      </c>
      <c r="BT45" s="14" t="s">
        <v>437</v>
      </c>
      <c r="BU45" s="14"/>
      <c r="BV45" s="14"/>
      <c r="BW45" s="14"/>
      <c r="BY45" s="36"/>
      <c r="BZ45" s="36"/>
    </row>
    <row r="46" spans="1:78" s="19" customFormat="1" ht="14.45">
      <c r="A46" s="19" t="s">
        <v>476</v>
      </c>
      <c r="C46" s="19" t="s">
        <v>435</v>
      </c>
      <c r="D46" s="19" t="s">
        <v>638</v>
      </c>
      <c r="E46" s="17" t="s">
        <v>771</v>
      </c>
      <c r="F46" s="17">
        <v>6</v>
      </c>
      <c r="G46" s="17">
        <v>6</v>
      </c>
      <c r="H46" s="68">
        <v>60</v>
      </c>
      <c r="I46" s="80">
        <v>4</v>
      </c>
      <c r="J46" s="17" t="s">
        <v>748</v>
      </c>
      <c r="K46" s="19" t="s">
        <v>746</v>
      </c>
      <c r="L46" s="17">
        <v>2.6</v>
      </c>
      <c r="M46" s="17"/>
      <c r="N46" s="17"/>
      <c r="O46" s="17"/>
      <c r="P46" s="17"/>
      <c r="Q46" s="99"/>
      <c r="R46" s="99"/>
      <c r="S46" s="99"/>
      <c r="T46" s="99"/>
      <c r="U46" s="17"/>
      <c r="V46" s="17"/>
      <c r="W46" s="17"/>
      <c r="X46" s="17"/>
      <c r="Y46" s="17"/>
      <c r="Z46" s="17"/>
      <c r="AA46" s="17"/>
      <c r="AB46" s="17"/>
      <c r="AC46" s="17"/>
      <c r="AD46" s="17"/>
      <c r="AE46" s="17"/>
      <c r="AF46" s="17"/>
      <c r="AG46" s="62">
        <f>2*H46</f>
        <v>120</v>
      </c>
      <c r="AH46" s="17" t="s">
        <v>748</v>
      </c>
      <c r="AI46" s="19" t="s">
        <v>746</v>
      </c>
      <c r="AJ46" s="17" t="s">
        <v>742</v>
      </c>
      <c r="BA46" s="17">
        <v>120</v>
      </c>
      <c r="BB46" s="17" t="s">
        <v>748</v>
      </c>
      <c r="BC46" s="17" t="s">
        <v>746</v>
      </c>
      <c r="BD46" s="17">
        <v>0.05</v>
      </c>
      <c r="BM46" s="17">
        <v>3</v>
      </c>
      <c r="BN46" s="17" t="s">
        <v>437</v>
      </c>
      <c r="BO46" s="17"/>
      <c r="BP46" s="17"/>
      <c r="BQ46" s="17">
        <v>2</v>
      </c>
      <c r="BR46" s="17"/>
      <c r="BS46" s="17" t="s">
        <v>437</v>
      </c>
      <c r="BT46" s="17" t="s">
        <v>437</v>
      </c>
      <c r="BU46" s="17"/>
      <c r="BV46" s="17"/>
      <c r="BW46" s="17"/>
      <c r="BY46" s="46"/>
      <c r="BZ46" s="46"/>
    </row>
    <row r="47" spans="1:78" s="20" customFormat="1">
      <c r="E47" s="18"/>
      <c r="F47" s="18">
        <f>SUM(F8:F46)</f>
        <v>255</v>
      </c>
      <c r="G47" s="18">
        <f>SUM(G8:G46)</f>
        <v>659</v>
      </c>
      <c r="H47" s="18">
        <f>SUM(H8:H46)</f>
        <v>3330</v>
      </c>
      <c r="I47" s="33"/>
      <c r="J47" s="18"/>
      <c r="K47" s="18"/>
      <c r="L47" s="18">
        <f>SUM(L8:L46)</f>
        <v>409.00000000000023</v>
      </c>
      <c r="M47" s="18">
        <f>SUM(M8:M46)</f>
        <v>116.99</v>
      </c>
      <c r="N47" s="18"/>
      <c r="O47" s="18"/>
      <c r="P47" s="18">
        <f>SUM(P8:P46)</f>
        <v>0.05</v>
      </c>
      <c r="Q47" s="18">
        <f>SUM(Q8:Q46)</f>
        <v>2250</v>
      </c>
      <c r="R47" s="18"/>
      <c r="S47" s="18"/>
      <c r="T47" s="18">
        <f>SUM(T8:T46)</f>
        <v>0.05</v>
      </c>
      <c r="U47" s="18">
        <f>SUM(U8:U46)</f>
        <v>3375</v>
      </c>
      <c r="V47" s="18"/>
      <c r="W47" s="18"/>
      <c r="X47" s="18">
        <f>SUM(X8:X46)</f>
        <v>0.05</v>
      </c>
      <c r="Y47" s="18">
        <f>SUM(Y8:Y46)</f>
        <v>549</v>
      </c>
      <c r="Z47" s="18"/>
      <c r="AA47" s="18"/>
      <c r="AB47" s="18">
        <f>SUM(AB8:AB46)</f>
        <v>0.1</v>
      </c>
      <c r="AC47" s="18">
        <f>SUM(AC8:AC46)</f>
        <v>270</v>
      </c>
      <c r="AD47" s="18"/>
      <c r="AE47" s="18"/>
      <c r="AF47" s="18">
        <f>SUM(AF8:AF46)</f>
        <v>0</v>
      </c>
      <c r="AG47" s="18">
        <f>SUM(AG8:AG46)</f>
        <v>17341.5</v>
      </c>
      <c r="AH47" s="18"/>
      <c r="AI47" s="18"/>
      <c r="AJ47" s="18"/>
      <c r="AK47" s="18">
        <f>SUM(AK8:AK46)</f>
        <v>180</v>
      </c>
      <c r="AL47" s="18"/>
      <c r="AM47" s="18"/>
      <c r="AN47" s="18">
        <f>SUM(AN8:AN46)</f>
        <v>0.2</v>
      </c>
      <c r="AO47" s="18">
        <f>SUM(AO8:AO46)</f>
        <v>50</v>
      </c>
      <c r="AP47" s="18"/>
      <c r="AQ47" s="18"/>
      <c r="AR47" s="18">
        <f>SUM(AR8:AR46)</f>
        <v>0.05</v>
      </c>
      <c r="AS47" s="18">
        <f>SUM(AS8:AS46)</f>
        <v>170</v>
      </c>
      <c r="AT47" s="18"/>
      <c r="AU47" s="18"/>
      <c r="AV47" s="18">
        <f>SUM(AV8:AV46)</f>
        <v>0.1</v>
      </c>
      <c r="AW47" s="18">
        <f>SUM(AW8:AW46)</f>
        <v>0</v>
      </c>
      <c r="AX47" s="18"/>
      <c r="AY47" s="18"/>
      <c r="AZ47" s="18">
        <f>SUM(AZ8:AZ46)</f>
        <v>0</v>
      </c>
      <c r="BA47" s="18">
        <f>SUM(BA8:BA46)</f>
        <v>360</v>
      </c>
      <c r="BB47" s="18"/>
      <c r="BC47" s="18"/>
      <c r="BD47" s="18">
        <f>SUM(BD8:BD46)</f>
        <v>0.15000000000000002</v>
      </c>
      <c r="BE47" s="18">
        <f>SUM(BE8:BE46)</f>
        <v>3072</v>
      </c>
      <c r="BF47" s="18"/>
      <c r="BG47" s="18"/>
      <c r="BH47" s="18">
        <f>SUM(BH8:BH46)</f>
        <v>0.05</v>
      </c>
      <c r="BI47" s="18"/>
      <c r="BJ47" s="18"/>
      <c r="BK47" s="18"/>
      <c r="BL47" s="18"/>
      <c r="BM47" s="18">
        <f>SUM(BM8:BM46)</f>
        <v>99</v>
      </c>
      <c r="BN47" s="18">
        <f>COUNTIF(BN8:BN46,"x")</f>
        <v>38</v>
      </c>
      <c r="BO47" s="18">
        <f>COUNTIF(BO8:BO46,"x")</f>
        <v>2</v>
      </c>
      <c r="BP47" s="18">
        <f>COUNTIF(BP8:BP46,"x")</f>
        <v>1</v>
      </c>
      <c r="BQ47" s="18">
        <f>SUM(BQ9:BQ46)</f>
        <v>76</v>
      </c>
      <c r="BR47" s="18">
        <f>COUNTIF(BR8:BR46,"x")</f>
        <v>1</v>
      </c>
      <c r="BS47" s="18">
        <f>COUNTIF(BS8:BS46,"x")</f>
        <v>3</v>
      </c>
      <c r="BT47" s="18">
        <f>COUNTIF(BT8:BT46,"x")</f>
        <v>38</v>
      </c>
      <c r="BU47" s="18" t="s">
        <v>769</v>
      </c>
      <c r="BV47" s="18">
        <v>2</v>
      </c>
      <c r="BW47" s="18">
        <v>4</v>
      </c>
      <c r="BX47" s="18">
        <v>2</v>
      </c>
    </row>
    <row r="48" spans="1:78" ht="12.95">
      <c r="A48" s="16" t="s">
        <v>770</v>
      </c>
      <c r="E48" s="14"/>
      <c r="F48" s="14"/>
      <c r="G48" s="14"/>
      <c r="H48" s="14"/>
      <c r="I48" s="31"/>
      <c r="J48" s="14"/>
      <c r="K48" s="14"/>
      <c r="L48" s="14"/>
      <c r="M48" s="14"/>
      <c r="N48" s="62"/>
      <c r="O48" s="62"/>
      <c r="P48" s="14"/>
      <c r="Q48" s="14"/>
      <c r="R48" s="62"/>
      <c r="S48" s="62"/>
      <c r="T48" s="14"/>
      <c r="U48" s="14"/>
      <c r="V48" s="62"/>
      <c r="W48" s="62"/>
      <c r="X48" s="14"/>
      <c r="Y48" s="14"/>
      <c r="Z48" s="62"/>
      <c r="AA48" s="62"/>
      <c r="AB48" s="14"/>
      <c r="AC48" s="14"/>
      <c r="AD48" s="62"/>
      <c r="AE48" s="62"/>
      <c r="AF48" s="14"/>
      <c r="AG48" s="14"/>
      <c r="AH48" s="62"/>
      <c r="AI48" s="62"/>
      <c r="AJ48" s="62"/>
      <c r="AK48" s="14"/>
      <c r="AL48" s="14"/>
      <c r="AM48" s="14"/>
      <c r="AN48" s="14"/>
      <c r="AO48" s="14"/>
      <c r="AP48" s="14"/>
      <c r="AQ48" s="14"/>
      <c r="AR48" s="14"/>
      <c r="AS48" s="14"/>
      <c r="AT48" s="14"/>
      <c r="AU48" s="14"/>
      <c r="AV48" s="14"/>
      <c r="AW48" s="14"/>
      <c r="AX48" s="14"/>
      <c r="AY48" s="14"/>
      <c r="AZ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row>
    <row r="49" spans="1:78">
      <c r="A49" s="6" t="s">
        <v>476</v>
      </c>
      <c r="C49" s="6" t="s">
        <v>435</v>
      </c>
      <c r="D49" s="21" t="s">
        <v>477</v>
      </c>
      <c r="E49" s="14" t="s">
        <v>771</v>
      </c>
      <c r="F49" s="14">
        <v>8</v>
      </c>
      <c r="G49" s="14">
        <v>16</v>
      </c>
      <c r="H49" s="62">
        <v>30</v>
      </c>
      <c r="I49" s="31">
        <v>12</v>
      </c>
      <c r="J49" s="14" t="s">
        <v>748</v>
      </c>
      <c r="K49" s="6" t="s">
        <v>746</v>
      </c>
      <c r="L49" s="14"/>
      <c r="M49" s="62"/>
      <c r="N49" s="14"/>
      <c r="O49" s="14"/>
      <c r="P49" s="14"/>
      <c r="Q49" s="62"/>
      <c r="R49" s="14"/>
      <c r="S49" s="14"/>
      <c r="T49" s="14"/>
      <c r="U49" s="62"/>
      <c r="V49" s="14"/>
      <c r="W49" s="14"/>
      <c r="X49" s="14"/>
      <c r="Y49" s="62"/>
      <c r="Z49" s="14"/>
      <c r="AA49" s="14"/>
      <c r="AB49" s="14"/>
      <c r="AC49" s="62"/>
      <c r="AD49" s="14"/>
      <c r="AE49" s="14"/>
      <c r="AF49" s="14"/>
      <c r="AG49" s="62">
        <f>2*H49+200</f>
        <v>260</v>
      </c>
      <c r="AH49" s="14" t="s">
        <v>748</v>
      </c>
      <c r="AI49" s="6" t="s">
        <v>746</v>
      </c>
      <c r="AJ49" s="14"/>
      <c r="AK49" s="64"/>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v>150</v>
      </c>
      <c r="BJ49" s="86" t="s">
        <v>748</v>
      </c>
      <c r="BK49" s="86" t="s">
        <v>746</v>
      </c>
      <c r="BL49" s="86">
        <v>0.05</v>
      </c>
      <c r="BM49" s="86">
        <v>1</v>
      </c>
      <c r="BN49" s="14"/>
      <c r="BO49" s="14"/>
      <c r="BP49" s="14"/>
      <c r="BQ49" s="14"/>
      <c r="BR49" s="14"/>
      <c r="BS49" s="14"/>
      <c r="BT49" s="14"/>
      <c r="BU49" s="14"/>
      <c r="BV49" s="14"/>
      <c r="BW49" s="14"/>
      <c r="BX49" s="14"/>
    </row>
    <row r="50" spans="1:78" ht="12.95">
      <c r="A50" s="186" t="s">
        <v>478</v>
      </c>
      <c r="B50" s="187"/>
      <c r="E50" s="14"/>
      <c r="F50" s="14"/>
      <c r="G50" s="14"/>
      <c r="H50" s="14"/>
      <c r="I50" s="31"/>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spans="1:78" ht="14.45">
      <c r="A51" s="6" t="s">
        <v>472</v>
      </c>
      <c r="C51" s="6" t="s">
        <v>435</v>
      </c>
      <c r="D51" s="6" t="s">
        <v>479</v>
      </c>
      <c r="E51" s="14" t="s">
        <v>768</v>
      </c>
      <c r="F51" s="14">
        <v>8</v>
      </c>
      <c r="G51" s="14">
        <v>22</v>
      </c>
      <c r="H51" s="62">
        <v>28</v>
      </c>
      <c r="I51" s="31">
        <v>12</v>
      </c>
      <c r="J51" s="14" t="s">
        <v>748</v>
      </c>
      <c r="K51" s="6" t="s">
        <v>746</v>
      </c>
      <c r="L51" s="14"/>
      <c r="M51" s="14"/>
      <c r="N51" s="14"/>
      <c r="O51" s="14"/>
      <c r="P51" s="14"/>
      <c r="Q51" s="2"/>
      <c r="R51" s="2"/>
      <c r="S51" s="2"/>
      <c r="T51" s="2"/>
      <c r="U51" s="14"/>
      <c r="V51" s="14"/>
      <c r="W51" s="14"/>
      <c r="X51" s="14"/>
      <c r="Y51" s="14">
        <v>120</v>
      </c>
      <c r="Z51" s="14" t="s">
        <v>748</v>
      </c>
      <c r="AA51" s="6" t="s">
        <v>746</v>
      </c>
      <c r="AB51" s="14" t="s">
        <v>742</v>
      </c>
      <c r="AC51" s="14"/>
      <c r="AD51" s="14"/>
      <c r="AE51" s="14"/>
      <c r="AF51" s="14"/>
      <c r="AG51" s="62">
        <f>2*H51+200+120</f>
        <v>376</v>
      </c>
      <c r="AH51" s="14" t="s">
        <v>748</v>
      </c>
      <c r="AI51" s="6" t="s">
        <v>746</v>
      </c>
      <c r="AJ51" s="14" t="s">
        <v>742</v>
      </c>
      <c r="AW51" s="14">
        <v>150</v>
      </c>
      <c r="AX51" s="14" t="s">
        <v>748</v>
      </c>
      <c r="AY51" s="14" t="s">
        <v>746</v>
      </c>
      <c r="AZ51" s="14">
        <f>50/1000</f>
        <v>0.05</v>
      </c>
      <c r="BA51" s="6"/>
      <c r="BE51" s="14"/>
      <c r="BF51" s="14"/>
      <c r="BG51" s="14"/>
      <c r="BH51" s="14"/>
      <c r="BI51" s="14"/>
      <c r="BJ51" s="14"/>
      <c r="BK51" s="14"/>
      <c r="BL51" s="14"/>
      <c r="BM51" s="14">
        <v>1</v>
      </c>
      <c r="BN51" s="14"/>
      <c r="BO51" s="14"/>
      <c r="BP51" s="14"/>
      <c r="BQ51" s="14"/>
      <c r="BR51" s="14"/>
      <c r="BS51" s="14"/>
    </row>
    <row r="52" spans="1:78" s="19" customFormat="1" ht="14.45">
      <c r="A52" s="19" t="s">
        <v>480</v>
      </c>
      <c r="C52" s="19" t="s">
        <v>435</v>
      </c>
      <c r="D52" s="19" t="s">
        <v>481</v>
      </c>
      <c r="E52" s="17" t="s">
        <v>772</v>
      </c>
      <c r="F52" s="17">
        <v>6</v>
      </c>
      <c r="G52" s="17">
        <v>17</v>
      </c>
      <c r="H52" s="68">
        <v>30</v>
      </c>
      <c r="I52" s="80">
        <v>12</v>
      </c>
      <c r="J52" s="17" t="s">
        <v>748</v>
      </c>
      <c r="K52" s="157" t="s">
        <v>746</v>
      </c>
      <c r="L52" s="17"/>
      <c r="M52" s="17"/>
      <c r="N52" s="17"/>
      <c r="O52" s="17"/>
      <c r="P52" s="17"/>
      <c r="Q52" s="99"/>
      <c r="R52" s="99"/>
      <c r="S52" s="99"/>
      <c r="T52" s="99"/>
      <c r="U52" s="17"/>
      <c r="V52" s="17"/>
      <c r="W52" s="17"/>
      <c r="X52" s="17"/>
      <c r="Y52" s="17"/>
      <c r="Z52" s="17"/>
      <c r="AB52" s="17"/>
      <c r="AC52" s="17"/>
      <c r="AD52" s="17"/>
      <c r="AE52" s="17"/>
      <c r="AF52" s="17"/>
      <c r="AG52" s="68">
        <f>2*H52</f>
        <v>60</v>
      </c>
      <c r="AH52" s="17"/>
      <c r="AJ52" s="17"/>
      <c r="AW52" s="17"/>
      <c r="AX52" s="17"/>
      <c r="AY52" s="17"/>
      <c r="AZ52" s="17"/>
      <c r="BE52" s="17"/>
      <c r="BF52" s="17"/>
      <c r="BG52" s="17"/>
      <c r="BH52" s="17"/>
      <c r="BI52" s="156"/>
      <c r="BJ52" s="158"/>
      <c r="BK52" s="156"/>
      <c r="BL52" s="156"/>
      <c r="BM52" s="17"/>
      <c r="BN52" s="17"/>
      <c r="BO52" s="17"/>
      <c r="BP52" s="17"/>
      <c r="BQ52" s="17"/>
      <c r="BR52" s="17"/>
      <c r="BS52" s="17"/>
    </row>
    <row r="53" spans="1:78">
      <c r="E53" s="14"/>
      <c r="F53" s="14">
        <f>SUM(F49:F52)+F47</f>
        <v>277</v>
      </c>
      <c r="G53" s="14">
        <f>SUM(G49:G52)+G47</f>
        <v>714</v>
      </c>
      <c r="H53" s="62">
        <f>SUM(H49:H52)+H47</f>
        <v>3418</v>
      </c>
      <c r="I53" s="14"/>
      <c r="J53" s="14"/>
      <c r="K53" s="14"/>
      <c r="L53" s="14">
        <f>SUM(L49:L52)+L47</f>
        <v>409.00000000000023</v>
      </c>
      <c r="M53" s="62">
        <f>SUM(M49:M52)+M47</f>
        <v>116.99</v>
      </c>
      <c r="N53" s="62"/>
      <c r="O53" s="62"/>
      <c r="P53" s="14">
        <f>SUM(P49:P52)+P47</f>
        <v>0.05</v>
      </c>
      <c r="Q53" s="62">
        <f>SUM(Q49:Q52)+Q47</f>
        <v>2250</v>
      </c>
      <c r="R53" s="62"/>
      <c r="S53" s="62"/>
      <c r="T53" s="14">
        <f>SUM(T49:T52)+T47</f>
        <v>0.05</v>
      </c>
      <c r="U53" s="62">
        <f>SUM(U49:U52)+U47</f>
        <v>3375</v>
      </c>
      <c r="V53" s="62"/>
      <c r="W53" s="62"/>
      <c r="X53" s="14">
        <f>SUM(X49:X52)+X47</f>
        <v>0.05</v>
      </c>
      <c r="Y53" s="62">
        <f>SUM(Y49:Y52)+Y47</f>
        <v>669</v>
      </c>
      <c r="Z53" s="62"/>
      <c r="AA53" s="62"/>
      <c r="AB53" s="14">
        <f>SUM(AB49:AB52)+AB47</f>
        <v>0.1</v>
      </c>
      <c r="AC53" s="62">
        <f>SUM(AC49:AC52)+AC47</f>
        <v>270</v>
      </c>
      <c r="AD53" s="62"/>
      <c r="AE53" s="62"/>
      <c r="AF53" s="14">
        <f>SUM(AF49:AF52)+AF47</f>
        <v>0</v>
      </c>
      <c r="AG53" s="62">
        <f>SUM(AG49:AG52)+AG47</f>
        <v>18037.5</v>
      </c>
      <c r="AH53" s="62"/>
      <c r="AI53" s="62"/>
      <c r="AJ53" s="62"/>
      <c r="AK53" s="62">
        <f>SUM(AK49:AK52)+AK47</f>
        <v>180</v>
      </c>
      <c r="AL53" s="14"/>
      <c r="AM53" s="14"/>
      <c r="AN53" s="14">
        <f>SUM(AN49:AN52)+AN47</f>
        <v>0.2</v>
      </c>
      <c r="AO53" s="14">
        <f>SUM(AO49:AO52)+AO47</f>
        <v>50</v>
      </c>
      <c r="AP53" s="14"/>
      <c r="AQ53" s="14"/>
      <c r="AR53" s="14">
        <f>SUM(AR49:AR52)+AR47</f>
        <v>0.05</v>
      </c>
      <c r="AS53" s="14">
        <f>SUM(AS49:AS52)+AS47</f>
        <v>170</v>
      </c>
      <c r="AT53" s="14"/>
      <c r="AU53" s="14"/>
      <c r="AV53" s="14">
        <f>SUM(AV49:AV52)+AV47</f>
        <v>0.1</v>
      </c>
      <c r="AW53" s="14">
        <f>SUM(AW49:AW52)+AW47</f>
        <v>150</v>
      </c>
      <c r="AX53" s="14"/>
      <c r="AY53" s="14"/>
      <c r="AZ53" s="14">
        <f>SUM(AZ49:AZ52)+AZ47</f>
        <v>0.05</v>
      </c>
      <c r="BA53" s="14">
        <f>SUM(BA49:BA52)+BA47</f>
        <v>360</v>
      </c>
      <c r="BB53" s="14"/>
      <c r="BC53" s="14"/>
      <c r="BD53" s="14">
        <f>SUM(BD49:BD52)+BD47</f>
        <v>0.15000000000000002</v>
      </c>
      <c r="BE53" s="14">
        <f>SUM(BE49:BE52)+BE47</f>
        <v>3072</v>
      </c>
      <c r="BF53" s="14"/>
      <c r="BG53" s="14"/>
      <c r="BH53" s="14">
        <f>SUM(BH49:BH52)+BH47</f>
        <v>0.05</v>
      </c>
      <c r="BI53" s="14">
        <f>SUM(BI49:BI52)+BI47</f>
        <v>150</v>
      </c>
      <c r="BJ53" s="14"/>
      <c r="BK53" s="14"/>
      <c r="BL53" s="14">
        <f>SUM(BL49:BL52)+BL47</f>
        <v>0.05</v>
      </c>
      <c r="BM53" s="14">
        <f>SUM(BM49:BM52)+BM47</f>
        <v>101</v>
      </c>
      <c r="BN53" s="14">
        <f>BN47+COUNTIF(BN49:BN52,"x")</f>
        <v>38</v>
      </c>
      <c r="BO53" s="14">
        <f>BO47+COUNTIF(BO49:BO52,"x")</f>
        <v>2</v>
      </c>
      <c r="BP53" s="14">
        <f>BP47+COUNTIF(BP49:BP52,"x")</f>
        <v>1</v>
      </c>
      <c r="BQ53" s="14">
        <f>SUM(BQ49:BQ52)+BQ47</f>
        <v>76</v>
      </c>
      <c r="BR53" s="14">
        <f>BR47+COUNTIF(BR49:BR52,"x")</f>
        <v>1</v>
      </c>
      <c r="BS53" s="14">
        <f>BS47+COUNTIF(BS49:BS52,"x")</f>
        <v>3</v>
      </c>
      <c r="BT53" s="14">
        <f>BT47+COUNTIF(BT49:BT52,"x")</f>
        <v>38</v>
      </c>
      <c r="BU53" s="14" t="s">
        <v>769</v>
      </c>
      <c r="BV53" s="14">
        <v>2</v>
      </c>
      <c r="BW53" s="14">
        <v>4</v>
      </c>
      <c r="BX53" s="14">
        <v>2</v>
      </c>
    </row>
    <row r="54" spans="1:78">
      <c r="I54" s="34"/>
      <c r="BM54" s="14"/>
    </row>
    <row r="55" spans="1:78" ht="12.95">
      <c r="A55" s="16" t="s">
        <v>773</v>
      </c>
      <c r="B55" s="36"/>
      <c r="C55" s="36"/>
      <c r="D55" s="36"/>
      <c r="I55" s="34"/>
      <c r="BM55" s="14"/>
    </row>
    <row r="56" spans="1:78">
      <c r="A56" s="36"/>
      <c r="B56" s="36"/>
      <c r="C56" s="36"/>
      <c r="D56" s="36"/>
      <c r="I56" s="34"/>
      <c r="BM56" s="14"/>
    </row>
    <row r="57" spans="1:78">
      <c r="A57" s="36" t="s">
        <v>486</v>
      </c>
      <c r="B57" s="36"/>
      <c r="C57" s="6" t="s">
        <v>435</v>
      </c>
      <c r="D57" s="36" t="s">
        <v>44</v>
      </c>
      <c r="E57" s="14" t="s">
        <v>774</v>
      </c>
      <c r="F57" s="86">
        <v>12</v>
      </c>
      <c r="G57" s="86">
        <v>48</v>
      </c>
      <c r="H57" s="86">
        <v>70</v>
      </c>
      <c r="I57" s="31">
        <v>16</v>
      </c>
      <c r="J57" s="86" t="s">
        <v>748</v>
      </c>
      <c r="K57" s="6" t="s">
        <v>746</v>
      </c>
      <c r="L57" s="14">
        <v>2.6</v>
      </c>
      <c r="M57" s="36"/>
      <c r="N57" s="36"/>
      <c r="O57" s="36"/>
      <c r="P57" s="36"/>
      <c r="Q57" s="36"/>
      <c r="R57" s="36"/>
      <c r="S57" s="36"/>
      <c r="T57" s="36"/>
      <c r="U57" s="36"/>
      <c r="V57" s="36"/>
      <c r="W57" s="36"/>
      <c r="X57" s="36"/>
      <c r="Y57" s="36"/>
      <c r="Z57" s="36"/>
      <c r="AA57" s="36"/>
      <c r="AB57" s="36"/>
      <c r="AC57" s="36"/>
      <c r="AD57" s="36"/>
      <c r="AE57" s="36"/>
      <c r="AF57" s="36"/>
      <c r="AG57" s="64">
        <f t="shared" ref="AG57:AG81" si="2">2*H57</f>
        <v>140</v>
      </c>
      <c r="AH57" s="86" t="s">
        <v>748</v>
      </c>
      <c r="AI57" s="6" t="s">
        <v>746</v>
      </c>
      <c r="AJ57" s="14" t="s">
        <v>742</v>
      </c>
      <c r="AK57" s="36"/>
      <c r="AL57" s="36"/>
      <c r="AM57" s="36"/>
      <c r="AN57" s="36"/>
      <c r="AO57" s="36"/>
      <c r="AP57" s="36"/>
      <c r="AQ57" s="36"/>
      <c r="AR57" s="36"/>
      <c r="AS57" s="36"/>
      <c r="AT57" s="36"/>
      <c r="AU57" s="36"/>
      <c r="AV57" s="36"/>
      <c r="AW57" s="36"/>
      <c r="AX57" s="36"/>
      <c r="AY57" s="36"/>
      <c r="AZ57" s="36"/>
      <c r="BA57" s="86"/>
      <c r="BB57" s="36"/>
      <c r="BC57" s="36"/>
      <c r="BD57" s="36"/>
      <c r="BE57" s="36"/>
      <c r="BF57" s="36"/>
      <c r="BG57" s="36"/>
      <c r="BH57" s="36"/>
      <c r="BI57" s="36"/>
      <c r="BJ57" s="36"/>
      <c r="BK57" s="36"/>
      <c r="BL57" s="36"/>
      <c r="BM57" s="86">
        <v>2</v>
      </c>
      <c r="BN57" s="86" t="s">
        <v>437</v>
      </c>
      <c r="BO57" s="86"/>
      <c r="BP57" s="86"/>
      <c r="BQ57" s="86">
        <v>2</v>
      </c>
      <c r="BR57" s="86"/>
      <c r="BS57" s="86" t="s">
        <v>437</v>
      </c>
      <c r="BT57" s="86" t="s">
        <v>437</v>
      </c>
      <c r="BU57" s="86"/>
      <c r="BV57" s="86"/>
      <c r="BW57" s="86"/>
      <c r="BX57" s="86"/>
      <c r="BY57" s="36"/>
      <c r="BZ57" s="36"/>
    </row>
    <row r="58" spans="1:78">
      <c r="A58" s="36" t="s">
        <v>539</v>
      </c>
      <c r="B58" s="36"/>
      <c r="C58" s="21" t="s">
        <v>488</v>
      </c>
      <c r="D58" s="6" t="s">
        <v>112</v>
      </c>
      <c r="E58" s="14" t="s">
        <v>763</v>
      </c>
      <c r="F58" s="86">
        <v>4</v>
      </c>
      <c r="G58" s="86">
        <v>4</v>
      </c>
      <c r="H58" s="62">
        <v>100</v>
      </c>
      <c r="I58" s="31">
        <v>0</v>
      </c>
      <c r="J58" s="86" t="s">
        <v>745</v>
      </c>
      <c r="K58" s="6" t="s">
        <v>746</v>
      </c>
      <c r="L58" s="14">
        <v>100</v>
      </c>
      <c r="M58" s="36"/>
      <c r="N58" s="36"/>
      <c r="O58" s="36"/>
      <c r="P58" s="36"/>
      <c r="Q58" s="36"/>
      <c r="R58" s="36"/>
      <c r="S58" s="36"/>
      <c r="T58" s="36"/>
      <c r="U58" s="36"/>
      <c r="V58" s="36"/>
      <c r="W58" s="36"/>
      <c r="X58" s="36"/>
      <c r="Y58" s="36"/>
      <c r="Z58" s="36"/>
      <c r="AA58" s="36"/>
      <c r="AB58" s="36"/>
      <c r="AC58" s="36"/>
      <c r="AD58" s="36"/>
      <c r="AE58" s="36"/>
      <c r="AF58" s="36"/>
      <c r="AG58" s="64">
        <f t="shared" si="2"/>
        <v>200</v>
      </c>
      <c r="AH58" s="86" t="s">
        <v>748</v>
      </c>
      <c r="AI58" s="6" t="s">
        <v>746</v>
      </c>
      <c r="AJ58" s="14" t="s">
        <v>742</v>
      </c>
      <c r="AK58" s="36"/>
      <c r="AL58" s="36"/>
      <c r="AM58" s="36"/>
      <c r="AN58" s="36"/>
      <c r="AO58" s="36"/>
      <c r="AP58" s="36"/>
      <c r="AQ58" s="36"/>
      <c r="AR58" s="36"/>
      <c r="AS58" s="36"/>
      <c r="AT58" s="36"/>
      <c r="AU58" s="36"/>
      <c r="AV58" s="36"/>
      <c r="AW58" s="36"/>
      <c r="AX58" s="36"/>
      <c r="AY58" s="36"/>
      <c r="AZ58" s="36"/>
      <c r="BA58" s="86"/>
      <c r="BB58" s="36"/>
      <c r="BC58" s="36"/>
      <c r="BD58" s="36"/>
      <c r="BE58" s="36"/>
      <c r="BF58" s="36"/>
      <c r="BG58" s="36"/>
      <c r="BH58" s="36"/>
      <c r="BI58" s="36"/>
      <c r="BJ58" s="36"/>
      <c r="BK58" s="36"/>
      <c r="BL58" s="36"/>
      <c r="BM58" s="86">
        <v>4</v>
      </c>
      <c r="BN58" s="86" t="s">
        <v>437</v>
      </c>
      <c r="BO58" s="86"/>
      <c r="BP58" s="86"/>
      <c r="BQ58" s="86">
        <v>2</v>
      </c>
      <c r="BR58" s="86"/>
      <c r="BS58" s="86" t="s">
        <v>437</v>
      </c>
      <c r="BT58" s="86" t="s">
        <v>437</v>
      </c>
      <c r="BU58" s="86"/>
      <c r="BV58" s="86"/>
      <c r="BW58" s="86"/>
      <c r="BX58" s="86"/>
      <c r="BY58" s="36"/>
      <c r="BZ58" s="36"/>
    </row>
    <row r="59" spans="1:78">
      <c r="A59" s="36" t="s">
        <v>491</v>
      </c>
      <c r="B59" s="36"/>
      <c r="C59" s="21" t="s">
        <v>488</v>
      </c>
      <c r="D59" s="6" t="s">
        <v>120</v>
      </c>
      <c r="E59" s="14" t="s">
        <v>764</v>
      </c>
      <c r="F59" s="86">
        <v>4</v>
      </c>
      <c r="G59" s="86">
        <v>16</v>
      </c>
      <c r="H59" s="62">
        <v>100</v>
      </c>
      <c r="I59" s="31">
        <v>0</v>
      </c>
      <c r="J59" s="14" t="s">
        <v>745</v>
      </c>
      <c r="K59" s="6" t="s">
        <v>746</v>
      </c>
      <c r="L59" s="14">
        <v>110</v>
      </c>
      <c r="M59" s="36"/>
      <c r="N59" s="36"/>
      <c r="O59" s="36"/>
      <c r="P59" s="36"/>
      <c r="Q59" s="36"/>
      <c r="R59" s="36"/>
      <c r="S59" s="36"/>
      <c r="T59" s="36"/>
      <c r="U59" s="36"/>
      <c r="V59" s="36"/>
      <c r="W59" s="36"/>
      <c r="X59" s="36"/>
      <c r="Y59" s="36"/>
      <c r="Z59" s="36"/>
      <c r="AA59" s="36"/>
      <c r="AB59" s="36"/>
      <c r="AC59" s="36"/>
      <c r="AD59" s="36"/>
      <c r="AE59" s="36"/>
      <c r="AF59" s="36"/>
      <c r="AG59" s="64">
        <f t="shared" si="2"/>
        <v>200</v>
      </c>
      <c r="AH59" s="86" t="s">
        <v>748</v>
      </c>
      <c r="AI59" s="6" t="s">
        <v>746</v>
      </c>
      <c r="AJ59" s="14" t="s">
        <v>742</v>
      </c>
      <c r="AK59" s="36"/>
      <c r="AL59" s="36"/>
      <c r="AM59" s="36"/>
      <c r="AN59" s="36"/>
      <c r="AO59" s="36"/>
      <c r="AP59" s="36"/>
      <c r="AQ59" s="36"/>
      <c r="AR59" s="36"/>
      <c r="AS59" s="36"/>
      <c r="AT59" s="36"/>
      <c r="AU59" s="36"/>
      <c r="AV59" s="36"/>
      <c r="AW59" s="36"/>
      <c r="AX59" s="36"/>
      <c r="AY59" s="36"/>
      <c r="AZ59" s="36"/>
      <c r="BA59" s="86"/>
      <c r="BB59" s="36"/>
      <c r="BC59" s="36"/>
      <c r="BD59" s="36"/>
      <c r="BE59" s="36"/>
      <c r="BF59" s="36"/>
      <c r="BG59" s="36"/>
      <c r="BH59" s="36"/>
      <c r="BI59" s="36"/>
      <c r="BJ59" s="36"/>
      <c r="BK59" s="36"/>
      <c r="BL59" s="36"/>
      <c r="BM59" s="86">
        <v>4</v>
      </c>
      <c r="BN59" s="86" t="s">
        <v>437</v>
      </c>
      <c r="BO59" s="86"/>
      <c r="BP59" s="86"/>
      <c r="BQ59" s="86">
        <v>2</v>
      </c>
      <c r="BR59" s="86"/>
      <c r="BS59" s="86" t="s">
        <v>437</v>
      </c>
      <c r="BT59" s="86" t="s">
        <v>437</v>
      </c>
      <c r="BU59" s="86"/>
      <c r="BV59" s="86"/>
      <c r="BW59" s="86"/>
      <c r="BX59" s="86"/>
      <c r="BY59" s="36"/>
      <c r="BZ59" s="36"/>
    </row>
    <row r="60" spans="1:78">
      <c r="A60" s="36" t="s">
        <v>540</v>
      </c>
      <c r="B60" s="36"/>
      <c r="C60" s="21" t="s">
        <v>488</v>
      </c>
      <c r="D60" s="6" t="s">
        <v>120</v>
      </c>
      <c r="E60" s="14" t="s">
        <v>764</v>
      </c>
      <c r="F60" s="86">
        <v>4</v>
      </c>
      <c r="G60" s="86">
        <v>16</v>
      </c>
      <c r="H60" s="62">
        <v>100</v>
      </c>
      <c r="I60" s="31">
        <v>0</v>
      </c>
      <c r="J60" s="14" t="s">
        <v>745</v>
      </c>
      <c r="K60" s="6" t="s">
        <v>746</v>
      </c>
      <c r="L60" s="14">
        <v>110</v>
      </c>
      <c r="M60" s="36"/>
      <c r="N60" s="36"/>
      <c r="O60" s="36"/>
      <c r="P60" s="36"/>
      <c r="Q60" s="36"/>
      <c r="R60" s="36"/>
      <c r="S60" s="36"/>
      <c r="T60" s="36"/>
      <c r="U60" s="36"/>
      <c r="V60" s="36"/>
      <c r="W60" s="36"/>
      <c r="X60" s="36"/>
      <c r="Y60" s="36"/>
      <c r="Z60" s="36"/>
      <c r="AA60" s="36"/>
      <c r="AB60" s="36"/>
      <c r="AC60" s="36"/>
      <c r="AD60" s="36"/>
      <c r="AE60" s="36"/>
      <c r="AF60" s="36"/>
      <c r="AG60" s="64">
        <f t="shared" si="2"/>
        <v>200</v>
      </c>
      <c r="AH60" s="86" t="s">
        <v>748</v>
      </c>
      <c r="AI60" s="6" t="s">
        <v>746</v>
      </c>
      <c r="AJ60" s="14" t="s">
        <v>742</v>
      </c>
      <c r="AK60" s="36"/>
      <c r="AL60" s="36"/>
      <c r="AM60" s="36"/>
      <c r="AN60" s="36"/>
      <c r="AO60" s="36"/>
      <c r="AP60" s="36"/>
      <c r="AQ60" s="36"/>
      <c r="AR60" s="36"/>
      <c r="AS60" s="36"/>
      <c r="AT60" s="36"/>
      <c r="AU60" s="36"/>
      <c r="AV60" s="36"/>
      <c r="AW60" s="36"/>
      <c r="AX60" s="36"/>
      <c r="AY60" s="36"/>
      <c r="AZ60" s="36"/>
      <c r="BA60" s="86"/>
      <c r="BB60" s="36"/>
      <c r="BC60" s="36"/>
      <c r="BD60" s="36"/>
      <c r="BE60" s="36"/>
      <c r="BF60" s="36"/>
      <c r="BG60" s="36"/>
      <c r="BH60" s="36"/>
      <c r="BI60" s="36"/>
      <c r="BJ60" s="36"/>
      <c r="BK60" s="36"/>
      <c r="BL60" s="36"/>
      <c r="BM60" s="86">
        <v>4</v>
      </c>
      <c r="BN60" s="86" t="s">
        <v>437</v>
      </c>
      <c r="BO60" s="86"/>
      <c r="BP60" s="86"/>
      <c r="BQ60" s="86">
        <v>2</v>
      </c>
      <c r="BR60" s="86"/>
      <c r="BS60" s="86" t="s">
        <v>437</v>
      </c>
      <c r="BT60" s="86" t="s">
        <v>437</v>
      </c>
      <c r="BU60" s="86"/>
      <c r="BV60" s="86"/>
      <c r="BW60" s="86"/>
      <c r="BX60" s="86"/>
      <c r="BY60" s="36"/>
      <c r="BZ60" s="36"/>
    </row>
    <row r="61" spans="1:78">
      <c r="A61" s="36" t="s">
        <v>623</v>
      </c>
      <c r="B61" s="36"/>
      <c r="C61" s="21" t="s">
        <v>488</v>
      </c>
      <c r="D61" s="6" t="s">
        <v>120</v>
      </c>
      <c r="E61" s="14" t="s">
        <v>764</v>
      </c>
      <c r="F61" s="86">
        <v>4</v>
      </c>
      <c r="G61" s="86">
        <v>16</v>
      </c>
      <c r="H61" s="62">
        <v>100</v>
      </c>
      <c r="I61" s="31">
        <v>0</v>
      </c>
      <c r="J61" s="14" t="s">
        <v>745</v>
      </c>
      <c r="K61" s="6" t="s">
        <v>746</v>
      </c>
      <c r="L61" s="14">
        <v>110</v>
      </c>
      <c r="M61" s="36"/>
      <c r="N61" s="36"/>
      <c r="O61" s="36"/>
      <c r="P61" s="36"/>
      <c r="Q61" s="36"/>
      <c r="R61" s="36"/>
      <c r="S61" s="36"/>
      <c r="T61" s="36"/>
      <c r="U61" s="36"/>
      <c r="V61" s="36"/>
      <c r="W61" s="36"/>
      <c r="X61" s="36"/>
      <c r="Y61" s="36"/>
      <c r="Z61" s="36"/>
      <c r="AA61" s="36"/>
      <c r="AB61" s="36"/>
      <c r="AC61" s="36"/>
      <c r="AD61" s="36"/>
      <c r="AE61" s="36"/>
      <c r="AF61" s="36"/>
      <c r="AG61" s="64">
        <f t="shared" si="2"/>
        <v>200</v>
      </c>
      <c r="AH61" s="86" t="s">
        <v>748</v>
      </c>
      <c r="AI61" s="6" t="s">
        <v>746</v>
      </c>
      <c r="AJ61" s="14" t="s">
        <v>742</v>
      </c>
      <c r="AK61" s="36"/>
      <c r="AL61" s="36"/>
      <c r="AM61" s="36"/>
      <c r="AN61" s="36"/>
      <c r="AO61" s="36"/>
      <c r="AP61" s="36"/>
      <c r="AQ61" s="36"/>
      <c r="AR61" s="36"/>
      <c r="AS61" s="36"/>
      <c r="AT61" s="36"/>
      <c r="AU61" s="36"/>
      <c r="AV61" s="36"/>
      <c r="AW61" s="36"/>
      <c r="AX61" s="36"/>
      <c r="AY61" s="36"/>
      <c r="AZ61" s="36"/>
      <c r="BA61" s="86"/>
      <c r="BB61" s="36"/>
      <c r="BC61" s="36"/>
      <c r="BD61" s="36"/>
      <c r="BE61" s="36"/>
      <c r="BF61" s="36"/>
      <c r="BG61" s="36"/>
      <c r="BH61" s="36"/>
      <c r="BI61" s="36"/>
      <c r="BJ61" s="36"/>
      <c r="BK61" s="36"/>
      <c r="BL61" s="36"/>
      <c r="BM61" s="86">
        <v>4</v>
      </c>
      <c r="BN61" s="86" t="s">
        <v>437</v>
      </c>
      <c r="BO61" s="86"/>
      <c r="BP61" s="86"/>
      <c r="BQ61" s="86">
        <v>2</v>
      </c>
      <c r="BR61" s="86"/>
      <c r="BS61" s="86" t="s">
        <v>437</v>
      </c>
      <c r="BT61" s="86" t="s">
        <v>437</v>
      </c>
      <c r="BU61" s="86"/>
      <c r="BV61" s="86"/>
      <c r="BW61" s="86"/>
      <c r="BX61" s="86"/>
      <c r="BY61" s="36"/>
      <c r="BZ61" s="36"/>
    </row>
    <row r="62" spans="1:78">
      <c r="A62" s="36" t="s">
        <v>624</v>
      </c>
      <c r="B62" s="36"/>
      <c r="C62" s="21" t="s">
        <v>488</v>
      </c>
      <c r="D62" s="6" t="s">
        <v>120</v>
      </c>
      <c r="E62" s="14" t="s">
        <v>764</v>
      </c>
      <c r="F62" s="86">
        <v>4</v>
      </c>
      <c r="G62" s="86">
        <v>16</v>
      </c>
      <c r="H62" s="62">
        <v>100</v>
      </c>
      <c r="I62" s="31">
        <v>0</v>
      </c>
      <c r="J62" s="14" t="s">
        <v>745</v>
      </c>
      <c r="K62" s="6" t="s">
        <v>746</v>
      </c>
      <c r="L62" s="14">
        <v>110</v>
      </c>
      <c r="M62" s="36"/>
      <c r="N62" s="36"/>
      <c r="O62" s="36"/>
      <c r="P62" s="36"/>
      <c r="Q62" s="36"/>
      <c r="R62" s="36"/>
      <c r="S62" s="36"/>
      <c r="T62" s="36"/>
      <c r="U62" s="36"/>
      <c r="V62" s="36"/>
      <c r="W62" s="36"/>
      <c r="X62" s="36"/>
      <c r="Y62" s="36"/>
      <c r="Z62" s="36"/>
      <c r="AA62" s="36"/>
      <c r="AB62" s="36"/>
      <c r="AC62" s="36"/>
      <c r="AD62" s="36"/>
      <c r="AE62" s="36"/>
      <c r="AF62" s="36"/>
      <c r="AG62" s="64">
        <f t="shared" si="2"/>
        <v>200</v>
      </c>
      <c r="AH62" s="86" t="s">
        <v>748</v>
      </c>
      <c r="AI62" s="6" t="s">
        <v>746</v>
      </c>
      <c r="AJ62" s="14" t="s">
        <v>742</v>
      </c>
      <c r="AK62" s="36"/>
      <c r="AL62" s="36"/>
      <c r="AM62" s="36"/>
      <c r="AN62" s="36"/>
      <c r="AO62" s="36"/>
      <c r="AP62" s="36"/>
      <c r="AQ62" s="36"/>
      <c r="AR62" s="36"/>
      <c r="AS62" s="36"/>
      <c r="AT62" s="36"/>
      <c r="AU62" s="36"/>
      <c r="AV62" s="36"/>
      <c r="AW62" s="36"/>
      <c r="AX62" s="36"/>
      <c r="AY62" s="36"/>
      <c r="AZ62" s="36"/>
      <c r="BA62" s="86"/>
      <c r="BB62" s="36"/>
      <c r="BC62" s="36"/>
      <c r="BD62" s="36"/>
      <c r="BE62" s="36"/>
      <c r="BF62" s="36"/>
      <c r="BG62" s="36"/>
      <c r="BH62" s="36"/>
      <c r="BI62" s="36"/>
      <c r="BJ62" s="36"/>
      <c r="BK62" s="36"/>
      <c r="BL62" s="36"/>
      <c r="BM62" s="86">
        <v>4</v>
      </c>
      <c r="BN62" s="86" t="s">
        <v>437</v>
      </c>
      <c r="BO62" s="86"/>
      <c r="BP62" s="86"/>
      <c r="BQ62" s="86">
        <v>2</v>
      </c>
      <c r="BR62" s="86"/>
      <c r="BS62" s="86" t="s">
        <v>437</v>
      </c>
      <c r="BT62" s="86" t="s">
        <v>437</v>
      </c>
      <c r="BU62" s="86"/>
      <c r="BV62" s="86"/>
      <c r="BW62" s="86"/>
      <c r="BX62" s="86"/>
      <c r="BY62" s="36"/>
      <c r="BZ62" s="36"/>
    </row>
    <row r="63" spans="1:78">
      <c r="A63" s="36" t="s">
        <v>646</v>
      </c>
      <c r="B63" s="36"/>
      <c r="C63" s="21" t="s">
        <v>488</v>
      </c>
      <c r="D63" s="6" t="s">
        <v>120</v>
      </c>
      <c r="E63" s="14" t="s">
        <v>764</v>
      </c>
      <c r="F63" s="86">
        <v>4</v>
      </c>
      <c r="G63" s="86">
        <v>16</v>
      </c>
      <c r="H63" s="62">
        <v>100</v>
      </c>
      <c r="I63" s="31">
        <v>0</v>
      </c>
      <c r="J63" s="14" t="s">
        <v>745</v>
      </c>
      <c r="K63" s="6" t="s">
        <v>746</v>
      </c>
      <c r="L63" s="14">
        <v>110</v>
      </c>
      <c r="M63" s="36"/>
      <c r="N63" s="36"/>
      <c r="O63" s="36"/>
      <c r="P63" s="36"/>
      <c r="Q63" s="36"/>
      <c r="R63" s="36"/>
      <c r="S63" s="36"/>
      <c r="T63" s="36"/>
      <c r="U63" s="36"/>
      <c r="V63" s="36"/>
      <c r="W63" s="36"/>
      <c r="X63" s="36"/>
      <c r="Y63" s="36"/>
      <c r="Z63" s="36"/>
      <c r="AA63" s="36"/>
      <c r="AB63" s="36"/>
      <c r="AC63" s="36"/>
      <c r="AD63" s="36"/>
      <c r="AE63" s="36"/>
      <c r="AF63" s="36"/>
      <c r="AG63" s="64">
        <f t="shared" si="2"/>
        <v>200</v>
      </c>
      <c r="AH63" s="86" t="s">
        <v>748</v>
      </c>
      <c r="AI63" s="6" t="s">
        <v>746</v>
      </c>
      <c r="AJ63" s="14" t="s">
        <v>742</v>
      </c>
      <c r="AK63" s="36"/>
      <c r="AL63" s="36"/>
      <c r="AM63" s="36"/>
      <c r="AN63" s="36"/>
      <c r="AO63" s="36"/>
      <c r="AP63" s="36"/>
      <c r="AQ63" s="36"/>
      <c r="AR63" s="36"/>
      <c r="AS63" s="36"/>
      <c r="AT63" s="36"/>
      <c r="AU63" s="36"/>
      <c r="AV63" s="36"/>
      <c r="AW63" s="36"/>
      <c r="AX63" s="36"/>
      <c r="AY63" s="36"/>
      <c r="AZ63" s="36"/>
      <c r="BA63" s="86"/>
      <c r="BB63" s="36"/>
      <c r="BC63" s="36"/>
      <c r="BD63" s="36"/>
      <c r="BE63" s="36"/>
      <c r="BF63" s="36"/>
      <c r="BG63" s="36"/>
      <c r="BH63" s="36"/>
      <c r="BI63" s="36"/>
      <c r="BJ63" s="36"/>
      <c r="BK63" s="36"/>
      <c r="BL63" s="36"/>
      <c r="BM63" s="86">
        <v>4</v>
      </c>
      <c r="BN63" s="86" t="s">
        <v>437</v>
      </c>
      <c r="BO63" s="86"/>
      <c r="BP63" s="86"/>
      <c r="BQ63" s="86">
        <v>2</v>
      </c>
      <c r="BR63" s="86"/>
      <c r="BS63" s="86" t="s">
        <v>437</v>
      </c>
      <c r="BT63" s="86" t="s">
        <v>437</v>
      </c>
      <c r="BU63" s="86"/>
      <c r="BV63" s="86"/>
      <c r="BW63" s="86"/>
      <c r="BX63" s="86"/>
      <c r="BY63" s="36"/>
      <c r="BZ63" s="36"/>
    </row>
    <row r="64" spans="1:78">
      <c r="A64" s="36" t="s">
        <v>647</v>
      </c>
      <c r="B64" s="36"/>
      <c r="C64" s="21" t="s">
        <v>488</v>
      </c>
      <c r="D64" s="6" t="s">
        <v>120</v>
      </c>
      <c r="E64" s="14" t="s">
        <v>764</v>
      </c>
      <c r="F64" s="86">
        <v>4</v>
      </c>
      <c r="G64" s="86">
        <v>16</v>
      </c>
      <c r="H64" s="62">
        <v>100</v>
      </c>
      <c r="I64" s="31">
        <v>0</v>
      </c>
      <c r="J64" s="14" t="s">
        <v>745</v>
      </c>
      <c r="K64" s="6" t="s">
        <v>746</v>
      </c>
      <c r="L64" s="14">
        <v>110</v>
      </c>
      <c r="M64" s="36"/>
      <c r="N64" s="36"/>
      <c r="O64" s="136"/>
      <c r="P64" s="36"/>
      <c r="Q64" s="36"/>
      <c r="R64" s="36"/>
      <c r="S64" s="36"/>
      <c r="T64" s="36"/>
      <c r="U64" s="36"/>
      <c r="V64" s="36"/>
      <c r="W64" s="36"/>
      <c r="X64" s="36"/>
      <c r="Y64" s="36"/>
      <c r="Z64" s="36"/>
      <c r="AA64" s="36"/>
      <c r="AB64" s="36"/>
      <c r="AC64" s="36"/>
      <c r="AD64" s="36"/>
      <c r="AE64" s="36"/>
      <c r="AF64" s="36"/>
      <c r="AG64" s="64">
        <f t="shared" si="2"/>
        <v>200</v>
      </c>
      <c r="AH64" s="86" t="s">
        <v>748</v>
      </c>
      <c r="AI64" s="6" t="s">
        <v>746</v>
      </c>
      <c r="AJ64" s="14" t="s">
        <v>742</v>
      </c>
      <c r="AK64" s="36"/>
      <c r="AL64" s="36"/>
      <c r="AM64" s="36"/>
      <c r="AN64" s="36"/>
      <c r="AO64" s="36"/>
      <c r="AP64" s="36"/>
      <c r="AQ64" s="36"/>
      <c r="AR64" s="36"/>
      <c r="AS64" s="36"/>
      <c r="AT64" s="36"/>
      <c r="AU64" s="36"/>
      <c r="AV64" s="36"/>
      <c r="AW64" s="36"/>
      <c r="AX64" s="36"/>
      <c r="AY64" s="36"/>
      <c r="AZ64" s="36"/>
      <c r="BA64" s="86"/>
      <c r="BB64" s="36"/>
      <c r="BC64" s="36"/>
      <c r="BD64" s="36"/>
      <c r="BE64" s="36"/>
      <c r="BF64" s="36"/>
      <c r="BG64" s="36"/>
      <c r="BH64" s="36"/>
      <c r="BI64" s="36"/>
      <c r="BJ64" s="36"/>
      <c r="BK64" s="36"/>
      <c r="BL64" s="36"/>
      <c r="BM64" s="86">
        <v>4</v>
      </c>
      <c r="BN64" s="86" t="s">
        <v>437</v>
      </c>
      <c r="BO64" s="86"/>
      <c r="BP64" s="86"/>
      <c r="BQ64" s="86">
        <v>2</v>
      </c>
      <c r="BR64" s="86"/>
      <c r="BS64" s="86" t="s">
        <v>437</v>
      </c>
      <c r="BT64" s="86" t="s">
        <v>437</v>
      </c>
      <c r="BU64" s="86"/>
      <c r="BV64" s="86"/>
      <c r="BW64" s="86"/>
      <c r="BX64" s="86"/>
      <c r="BY64" s="36"/>
      <c r="BZ64" s="36"/>
    </row>
    <row r="65" spans="1:78">
      <c r="A65" s="36" t="s">
        <v>648</v>
      </c>
      <c r="B65" s="36"/>
      <c r="C65" s="21" t="s">
        <v>488</v>
      </c>
      <c r="D65" s="6" t="s">
        <v>120</v>
      </c>
      <c r="E65" s="14" t="s">
        <v>764</v>
      </c>
      <c r="F65" s="86">
        <v>4</v>
      </c>
      <c r="G65" s="86">
        <v>16</v>
      </c>
      <c r="H65" s="62">
        <v>100</v>
      </c>
      <c r="I65" s="31">
        <v>0</v>
      </c>
      <c r="J65" s="14" t="s">
        <v>745</v>
      </c>
      <c r="K65" s="6" t="s">
        <v>746</v>
      </c>
      <c r="L65" s="14">
        <v>110</v>
      </c>
      <c r="M65" s="36"/>
      <c r="N65" s="36"/>
      <c r="O65" s="36"/>
      <c r="P65" s="36"/>
      <c r="Q65" s="36"/>
      <c r="R65" s="36"/>
      <c r="S65" s="36"/>
      <c r="T65" s="36"/>
      <c r="U65" s="36"/>
      <c r="V65" s="36"/>
      <c r="W65" s="36"/>
      <c r="X65" s="36"/>
      <c r="Y65" s="36"/>
      <c r="Z65" s="36"/>
      <c r="AA65" s="36"/>
      <c r="AB65" s="36"/>
      <c r="AC65" s="36"/>
      <c r="AD65" s="36"/>
      <c r="AE65" s="36"/>
      <c r="AF65" s="36"/>
      <c r="AG65" s="64">
        <f t="shared" si="2"/>
        <v>200</v>
      </c>
      <c r="AH65" s="86" t="s">
        <v>748</v>
      </c>
      <c r="AI65" s="6" t="s">
        <v>746</v>
      </c>
      <c r="AJ65" s="14" t="s">
        <v>742</v>
      </c>
      <c r="AK65" s="36"/>
      <c r="AL65" s="36"/>
      <c r="AM65" s="36"/>
      <c r="AN65" s="36"/>
      <c r="AO65" s="36"/>
      <c r="AP65" s="36"/>
      <c r="AQ65" s="36"/>
      <c r="AR65" s="36"/>
      <c r="AS65" s="36"/>
      <c r="AT65" s="36"/>
      <c r="AU65" s="36"/>
      <c r="AV65" s="36"/>
      <c r="AW65" s="36"/>
      <c r="AX65" s="36"/>
      <c r="AY65" s="36"/>
      <c r="AZ65" s="36"/>
      <c r="BA65" s="86"/>
      <c r="BB65" s="36"/>
      <c r="BC65" s="36"/>
      <c r="BD65" s="36"/>
      <c r="BE65" s="36"/>
      <c r="BF65" s="36"/>
      <c r="BG65" s="36"/>
      <c r="BH65" s="36"/>
      <c r="BI65" s="36"/>
      <c r="BJ65" s="36"/>
      <c r="BK65" s="36"/>
      <c r="BL65" s="36"/>
      <c r="BM65" s="86">
        <v>4</v>
      </c>
      <c r="BN65" s="86" t="s">
        <v>437</v>
      </c>
      <c r="BO65" s="86"/>
      <c r="BP65" s="86"/>
      <c r="BQ65" s="86">
        <v>2</v>
      </c>
      <c r="BR65" s="86"/>
      <c r="BS65" s="86" t="s">
        <v>437</v>
      </c>
      <c r="BT65" s="86" t="s">
        <v>437</v>
      </c>
      <c r="BU65" s="86"/>
      <c r="BV65" s="86"/>
      <c r="BW65" s="86"/>
      <c r="BX65" s="86"/>
      <c r="BY65" s="36"/>
      <c r="BZ65" s="36"/>
    </row>
    <row r="66" spans="1:78">
      <c r="A66" s="36" t="s">
        <v>541</v>
      </c>
      <c r="B66" s="36"/>
      <c r="C66" s="21" t="s">
        <v>488</v>
      </c>
      <c r="D66" s="6" t="s">
        <v>116</v>
      </c>
      <c r="E66" s="14" t="s">
        <v>765</v>
      </c>
      <c r="F66" s="86">
        <v>4</v>
      </c>
      <c r="G66" s="86">
        <v>14</v>
      </c>
      <c r="H66" s="62">
        <v>120</v>
      </c>
      <c r="I66" s="31">
        <v>0</v>
      </c>
      <c r="J66" s="86" t="s">
        <v>745</v>
      </c>
      <c r="K66" s="6" t="s">
        <v>746</v>
      </c>
      <c r="L66" s="14">
        <v>100</v>
      </c>
      <c r="M66" s="36"/>
      <c r="N66" s="36"/>
      <c r="O66" s="36"/>
      <c r="P66" s="36"/>
      <c r="Q66" s="36"/>
      <c r="R66" s="36"/>
      <c r="S66" s="36"/>
      <c r="T66" s="36"/>
      <c r="U66" s="36"/>
      <c r="V66" s="36"/>
      <c r="W66" s="36"/>
      <c r="X66" s="36"/>
      <c r="Y66" s="36"/>
      <c r="Z66" s="36"/>
      <c r="AA66" s="36"/>
      <c r="AB66" s="36"/>
      <c r="AC66" s="36"/>
      <c r="AD66" s="36"/>
      <c r="AE66" s="36"/>
      <c r="AF66" s="36"/>
      <c r="AG66" s="64">
        <f t="shared" si="2"/>
        <v>240</v>
      </c>
      <c r="AH66" s="86" t="s">
        <v>748</v>
      </c>
      <c r="AI66" s="6" t="s">
        <v>746</v>
      </c>
      <c r="AJ66" s="14" t="s">
        <v>742</v>
      </c>
      <c r="AK66" s="36"/>
      <c r="AL66" s="36"/>
      <c r="AM66" s="36"/>
      <c r="AN66" s="36"/>
      <c r="AO66" s="36"/>
      <c r="AP66" s="36"/>
      <c r="AQ66" s="36"/>
      <c r="AR66" s="36"/>
      <c r="AS66" s="36"/>
      <c r="AT66" s="36"/>
      <c r="AU66" s="36"/>
      <c r="AV66" s="36"/>
      <c r="AW66" s="36"/>
      <c r="AX66" s="36"/>
      <c r="AY66" s="36"/>
      <c r="AZ66" s="36"/>
      <c r="BA66" s="86"/>
      <c r="BB66" s="36"/>
      <c r="BC66" s="36"/>
      <c r="BD66" s="36"/>
      <c r="BE66" s="36"/>
      <c r="BF66" s="36"/>
      <c r="BG66" s="36"/>
      <c r="BH66" s="36"/>
      <c r="BI66" s="36"/>
      <c r="BJ66" s="36"/>
      <c r="BK66" s="36"/>
      <c r="BL66" s="36"/>
      <c r="BM66" s="86">
        <v>4</v>
      </c>
      <c r="BN66" s="86" t="s">
        <v>437</v>
      </c>
      <c r="BO66" s="86"/>
      <c r="BP66" s="86"/>
      <c r="BQ66" s="86">
        <v>2</v>
      </c>
      <c r="BR66" s="86"/>
      <c r="BS66" s="86" t="s">
        <v>437</v>
      </c>
      <c r="BT66" s="86" t="s">
        <v>437</v>
      </c>
      <c r="BU66" s="86"/>
      <c r="BV66" s="86"/>
      <c r="BW66" s="86"/>
      <c r="BX66" s="86"/>
      <c r="BY66" s="36"/>
      <c r="BZ66" s="36"/>
    </row>
    <row r="67" spans="1:78">
      <c r="A67" s="36" t="s">
        <v>649</v>
      </c>
      <c r="B67" s="36"/>
      <c r="C67" s="21" t="s">
        <v>488</v>
      </c>
      <c r="D67" s="6" t="s">
        <v>120</v>
      </c>
      <c r="E67" s="14" t="s">
        <v>764</v>
      </c>
      <c r="F67" s="86">
        <v>4</v>
      </c>
      <c r="G67" s="86">
        <v>16</v>
      </c>
      <c r="H67" s="62">
        <v>100</v>
      </c>
      <c r="I67" s="31">
        <v>0</v>
      </c>
      <c r="J67" s="14" t="s">
        <v>745</v>
      </c>
      <c r="K67" s="6" t="s">
        <v>746</v>
      </c>
      <c r="L67" s="14">
        <v>110</v>
      </c>
      <c r="M67" s="36"/>
      <c r="N67" s="36"/>
      <c r="O67" s="36"/>
      <c r="P67" s="36"/>
      <c r="Q67" s="36"/>
      <c r="R67" s="36"/>
      <c r="S67" s="36"/>
      <c r="T67" s="36"/>
      <c r="U67" s="36"/>
      <c r="V67" s="36"/>
      <c r="W67" s="36"/>
      <c r="X67" s="36"/>
      <c r="Y67" s="36"/>
      <c r="Z67" s="36"/>
      <c r="AA67" s="36"/>
      <c r="AB67" s="36"/>
      <c r="AC67" s="36"/>
      <c r="AD67" s="36"/>
      <c r="AE67" s="36"/>
      <c r="AF67" s="36"/>
      <c r="AG67" s="64">
        <f t="shared" si="2"/>
        <v>200</v>
      </c>
      <c r="AH67" s="86" t="s">
        <v>748</v>
      </c>
      <c r="AI67" s="6" t="s">
        <v>746</v>
      </c>
      <c r="AJ67" s="14" t="s">
        <v>742</v>
      </c>
      <c r="AK67" s="36"/>
      <c r="AL67" s="36"/>
      <c r="AM67" s="36"/>
      <c r="AN67" s="36"/>
      <c r="AO67" s="36"/>
      <c r="AP67" s="36"/>
      <c r="AQ67" s="36"/>
      <c r="AR67" s="36"/>
      <c r="AS67" s="36"/>
      <c r="AT67" s="36"/>
      <c r="AU67" s="36"/>
      <c r="AV67" s="36"/>
      <c r="AW67" s="36"/>
      <c r="AX67" s="36"/>
      <c r="AY67" s="36"/>
      <c r="AZ67" s="36"/>
      <c r="BA67" s="86"/>
      <c r="BB67" s="36"/>
      <c r="BC67" s="36"/>
      <c r="BD67" s="36"/>
      <c r="BE67" s="36"/>
      <c r="BF67" s="36"/>
      <c r="BG67" s="36"/>
      <c r="BH67" s="36"/>
      <c r="BI67" s="36"/>
      <c r="BJ67" s="36"/>
      <c r="BK67" s="36"/>
      <c r="BL67" s="36"/>
      <c r="BM67" s="86">
        <v>4</v>
      </c>
      <c r="BN67" s="86" t="s">
        <v>437</v>
      </c>
      <c r="BO67" s="86"/>
      <c r="BP67" s="86"/>
      <c r="BQ67" s="86">
        <v>2</v>
      </c>
      <c r="BR67" s="86"/>
      <c r="BS67" s="86" t="s">
        <v>437</v>
      </c>
      <c r="BT67" s="86" t="s">
        <v>437</v>
      </c>
      <c r="BU67" s="86"/>
      <c r="BV67" s="86"/>
      <c r="BW67" s="86"/>
      <c r="BX67" s="86"/>
      <c r="BY67" s="36"/>
      <c r="BZ67" s="36"/>
    </row>
    <row r="68" spans="1:78">
      <c r="A68" s="36" t="s">
        <v>492</v>
      </c>
      <c r="B68" s="36"/>
      <c r="C68" s="6" t="s">
        <v>435</v>
      </c>
      <c r="D68" s="36" t="s">
        <v>55</v>
      </c>
      <c r="E68" s="14" t="s">
        <v>775</v>
      </c>
      <c r="F68" s="86">
        <v>6</v>
      </c>
      <c r="G68" s="86">
        <v>20</v>
      </c>
      <c r="H68" s="86">
        <v>200</v>
      </c>
      <c r="I68" s="31">
        <v>16</v>
      </c>
      <c r="J68" s="86" t="s">
        <v>748</v>
      </c>
      <c r="K68" s="6" t="s">
        <v>746</v>
      </c>
      <c r="L68" s="14">
        <v>2.6</v>
      </c>
      <c r="M68" s="36"/>
      <c r="N68" s="36"/>
      <c r="O68" s="36"/>
      <c r="P68" s="36"/>
      <c r="Q68" s="36"/>
      <c r="R68" s="36"/>
      <c r="S68" s="36"/>
      <c r="T68" s="36"/>
      <c r="U68" s="36"/>
      <c r="V68" s="36"/>
      <c r="W68" s="36"/>
      <c r="X68" s="36"/>
      <c r="Y68" s="36"/>
      <c r="Z68" s="36"/>
      <c r="AA68" s="36"/>
      <c r="AB68" s="36"/>
      <c r="AC68" s="36"/>
      <c r="AD68" s="36"/>
      <c r="AE68" s="36"/>
      <c r="AF68" s="36"/>
      <c r="AG68" s="64">
        <f t="shared" si="2"/>
        <v>400</v>
      </c>
      <c r="AH68" s="86" t="s">
        <v>748</v>
      </c>
      <c r="AI68" s="6" t="s">
        <v>746</v>
      </c>
      <c r="AJ68" s="14" t="s">
        <v>742</v>
      </c>
      <c r="AK68" s="36"/>
      <c r="AL68" s="36"/>
      <c r="AM68" s="36"/>
      <c r="AN68" s="36"/>
      <c r="AO68" s="36"/>
      <c r="AP68" s="36"/>
      <c r="AQ68" s="36"/>
      <c r="AR68" s="36"/>
      <c r="AS68" s="36"/>
      <c r="AT68" s="36"/>
      <c r="AU68" s="36"/>
      <c r="AV68" s="36"/>
      <c r="AW68" s="36"/>
      <c r="AX68" s="36"/>
      <c r="AY68" s="36"/>
      <c r="AZ68" s="36"/>
      <c r="BA68" s="86"/>
      <c r="BB68" s="36"/>
      <c r="BC68" s="36"/>
      <c r="BD68" s="36"/>
      <c r="BE68" s="36"/>
      <c r="BF68" s="36"/>
      <c r="BG68" s="36"/>
      <c r="BH68" s="36"/>
      <c r="BI68" s="36"/>
      <c r="BJ68" s="36"/>
      <c r="BK68" s="36"/>
      <c r="BL68" s="36"/>
      <c r="BM68" s="86">
        <v>2</v>
      </c>
      <c r="BN68" s="86" t="s">
        <v>437</v>
      </c>
      <c r="BO68" s="86"/>
      <c r="BP68" s="86"/>
      <c r="BQ68" s="86">
        <v>2</v>
      </c>
      <c r="BR68" s="86"/>
      <c r="BS68" s="86" t="s">
        <v>437</v>
      </c>
      <c r="BT68" s="86" t="s">
        <v>437</v>
      </c>
      <c r="BU68" s="86"/>
      <c r="BV68" s="86"/>
      <c r="BW68" s="86"/>
      <c r="BX68" s="86"/>
      <c r="BY68" s="36"/>
      <c r="BZ68" s="36"/>
    </row>
    <row r="69" spans="1:78">
      <c r="A69" s="36" t="s">
        <v>493</v>
      </c>
      <c r="B69" s="36"/>
      <c r="C69" s="6" t="s">
        <v>435</v>
      </c>
      <c r="D69" s="36" t="s">
        <v>55</v>
      </c>
      <c r="E69" s="14" t="s">
        <v>775</v>
      </c>
      <c r="F69" s="86">
        <v>6</v>
      </c>
      <c r="G69" s="86">
        <v>20</v>
      </c>
      <c r="H69" s="86">
        <v>200</v>
      </c>
      <c r="I69" s="31">
        <v>16</v>
      </c>
      <c r="J69" s="86" t="s">
        <v>748</v>
      </c>
      <c r="K69" s="6" t="s">
        <v>746</v>
      </c>
      <c r="L69" s="14">
        <v>2.6</v>
      </c>
      <c r="M69" s="36"/>
      <c r="N69" s="36"/>
      <c r="O69" s="36"/>
      <c r="P69" s="36"/>
      <c r="Q69" s="36"/>
      <c r="R69" s="36"/>
      <c r="S69" s="36"/>
      <c r="T69" s="36"/>
      <c r="U69" s="36"/>
      <c r="V69" s="36"/>
      <c r="W69" s="36"/>
      <c r="X69" s="36"/>
      <c r="Y69" s="36"/>
      <c r="Z69" s="36"/>
      <c r="AA69" s="36"/>
      <c r="AB69" s="36"/>
      <c r="AC69" s="36"/>
      <c r="AD69" s="36"/>
      <c r="AE69" s="36"/>
      <c r="AF69" s="36"/>
      <c r="AG69" s="64">
        <f t="shared" si="2"/>
        <v>400</v>
      </c>
      <c r="AH69" s="86" t="s">
        <v>748</v>
      </c>
      <c r="AI69" s="6" t="s">
        <v>746</v>
      </c>
      <c r="AJ69" s="14" t="s">
        <v>742</v>
      </c>
      <c r="AK69" s="36"/>
      <c r="AL69" s="36"/>
      <c r="AM69" s="36"/>
      <c r="AN69" s="36"/>
      <c r="AO69" s="36"/>
      <c r="AP69" s="36"/>
      <c r="AQ69" s="36"/>
      <c r="AR69" s="36"/>
      <c r="AS69" s="36"/>
      <c r="AT69" s="36"/>
      <c r="AU69" s="36"/>
      <c r="AV69" s="36"/>
      <c r="AW69" s="36"/>
      <c r="AX69" s="36"/>
      <c r="AY69" s="36"/>
      <c r="AZ69" s="36"/>
      <c r="BA69" s="86"/>
      <c r="BB69" s="36"/>
      <c r="BC69" s="36"/>
      <c r="BD69" s="36"/>
      <c r="BE69" s="36"/>
      <c r="BF69" s="36"/>
      <c r="BG69" s="36"/>
      <c r="BH69" s="36"/>
      <c r="BI69" s="36"/>
      <c r="BJ69" s="36"/>
      <c r="BK69" s="36"/>
      <c r="BL69" s="36"/>
      <c r="BM69" s="86">
        <v>2</v>
      </c>
      <c r="BN69" s="86" t="s">
        <v>437</v>
      </c>
      <c r="BO69" s="86"/>
      <c r="BP69" s="86"/>
      <c r="BQ69" s="86">
        <v>2</v>
      </c>
      <c r="BR69" s="86"/>
      <c r="BS69" s="86" t="s">
        <v>437</v>
      </c>
      <c r="BT69" s="86" t="s">
        <v>437</v>
      </c>
      <c r="BU69" s="86"/>
      <c r="BV69" s="86"/>
      <c r="BW69" s="86"/>
      <c r="BX69" s="86"/>
      <c r="BY69" s="36"/>
      <c r="BZ69" s="36"/>
    </row>
    <row r="70" spans="1:78">
      <c r="A70" s="36" t="s">
        <v>625</v>
      </c>
      <c r="B70" s="36"/>
      <c r="C70" s="6" t="s">
        <v>435</v>
      </c>
      <c r="D70" s="36" t="s">
        <v>55</v>
      </c>
      <c r="E70" s="14" t="s">
        <v>775</v>
      </c>
      <c r="F70" s="86">
        <v>6</v>
      </c>
      <c r="G70" s="86">
        <v>20</v>
      </c>
      <c r="H70" s="86">
        <v>200</v>
      </c>
      <c r="I70" s="31">
        <v>16</v>
      </c>
      <c r="J70" s="86" t="s">
        <v>748</v>
      </c>
      <c r="K70" s="6" t="s">
        <v>746</v>
      </c>
      <c r="L70" s="14">
        <v>2.6</v>
      </c>
      <c r="M70" s="36"/>
      <c r="N70" s="36"/>
      <c r="O70" s="36"/>
      <c r="P70" s="36"/>
      <c r="Q70" s="36"/>
      <c r="R70" s="36"/>
      <c r="S70" s="36"/>
      <c r="T70" s="36"/>
      <c r="U70" s="36"/>
      <c r="V70" s="36"/>
      <c r="W70" s="36"/>
      <c r="X70" s="36"/>
      <c r="Y70" s="36"/>
      <c r="Z70" s="36"/>
      <c r="AA70" s="36"/>
      <c r="AB70" s="36"/>
      <c r="AC70" s="36"/>
      <c r="AD70" s="36"/>
      <c r="AE70" s="36"/>
      <c r="AF70" s="36"/>
      <c r="AG70" s="64">
        <f t="shared" si="2"/>
        <v>400</v>
      </c>
      <c r="AH70" s="86" t="s">
        <v>748</v>
      </c>
      <c r="AI70" s="6" t="s">
        <v>746</v>
      </c>
      <c r="AJ70" s="14" t="s">
        <v>742</v>
      </c>
      <c r="AK70" s="36"/>
      <c r="AL70" s="36"/>
      <c r="AM70" s="36"/>
      <c r="AN70" s="36"/>
      <c r="AO70" s="36"/>
      <c r="AP70" s="36"/>
      <c r="AQ70" s="36"/>
      <c r="AR70" s="36"/>
      <c r="AS70" s="36"/>
      <c r="AT70" s="36"/>
      <c r="AU70" s="36"/>
      <c r="AV70" s="36"/>
      <c r="AW70" s="36"/>
      <c r="AX70" s="36"/>
      <c r="AY70" s="36"/>
      <c r="AZ70" s="36"/>
      <c r="BA70" s="86"/>
      <c r="BB70" s="36"/>
      <c r="BC70" s="36"/>
      <c r="BD70" s="36"/>
      <c r="BE70" s="36"/>
      <c r="BF70" s="36"/>
      <c r="BG70" s="36"/>
      <c r="BH70" s="36"/>
      <c r="BI70" s="36"/>
      <c r="BJ70" s="36"/>
      <c r="BK70" s="36"/>
      <c r="BL70" s="36"/>
      <c r="BM70" s="86">
        <v>2</v>
      </c>
      <c r="BN70" s="86" t="s">
        <v>437</v>
      </c>
      <c r="BO70" s="86"/>
      <c r="BP70" s="86"/>
      <c r="BQ70" s="86">
        <v>2</v>
      </c>
      <c r="BR70" s="86"/>
      <c r="BS70" s="86" t="s">
        <v>437</v>
      </c>
      <c r="BT70" s="86" t="s">
        <v>437</v>
      </c>
      <c r="BU70" s="86"/>
      <c r="BV70" s="86"/>
      <c r="BW70" s="86"/>
      <c r="BX70" s="86"/>
      <c r="BY70" s="36"/>
      <c r="BZ70" s="36"/>
    </row>
    <row r="71" spans="1:78">
      <c r="A71" s="36" t="s">
        <v>626</v>
      </c>
      <c r="B71" s="36"/>
      <c r="C71" s="6" t="s">
        <v>435</v>
      </c>
      <c r="D71" s="36" t="s">
        <v>55</v>
      </c>
      <c r="E71" s="14" t="s">
        <v>775</v>
      </c>
      <c r="F71" s="86">
        <v>6</v>
      </c>
      <c r="G71" s="86">
        <v>20</v>
      </c>
      <c r="H71" s="86">
        <v>200</v>
      </c>
      <c r="I71" s="31">
        <v>16</v>
      </c>
      <c r="J71" s="86" t="s">
        <v>748</v>
      </c>
      <c r="K71" s="6" t="s">
        <v>746</v>
      </c>
      <c r="L71" s="14">
        <v>2.6</v>
      </c>
      <c r="M71" s="36"/>
      <c r="N71" s="36"/>
      <c r="O71" s="36"/>
      <c r="P71" s="36"/>
      <c r="Q71" s="36"/>
      <c r="R71" s="36"/>
      <c r="S71" s="36"/>
      <c r="T71" s="36"/>
      <c r="U71" s="36"/>
      <c r="V71" s="36"/>
      <c r="W71" s="36"/>
      <c r="X71" s="36"/>
      <c r="Y71" s="36"/>
      <c r="Z71" s="36"/>
      <c r="AA71" s="36"/>
      <c r="AB71" s="36"/>
      <c r="AC71" s="36"/>
      <c r="AD71" s="36"/>
      <c r="AE71" s="36"/>
      <c r="AF71" s="36"/>
      <c r="AG71" s="64">
        <f t="shared" si="2"/>
        <v>400</v>
      </c>
      <c r="AH71" s="86" t="s">
        <v>748</v>
      </c>
      <c r="AI71" s="6" t="s">
        <v>746</v>
      </c>
      <c r="AJ71" s="14" t="s">
        <v>742</v>
      </c>
      <c r="AK71" s="36"/>
      <c r="AL71" s="36"/>
      <c r="AM71" s="36"/>
      <c r="AN71" s="36"/>
      <c r="AO71" s="36"/>
      <c r="AP71" s="36"/>
      <c r="AQ71" s="36"/>
      <c r="AR71" s="36"/>
      <c r="AS71" s="36"/>
      <c r="AT71" s="36"/>
      <c r="AU71" s="36"/>
      <c r="AV71" s="36"/>
      <c r="AW71" s="36"/>
      <c r="AX71" s="36"/>
      <c r="AY71" s="36"/>
      <c r="AZ71" s="36"/>
      <c r="BA71" s="86"/>
      <c r="BB71" s="36"/>
      <c r="BC71" s="36"/>
      <c r="BD71" s="36"/>
      <c r="BE71" s="36"/>
      <c r="BF71" s="36"/>
      <c r="BG71" s="36"/>
      <c r="BH71" s="36"/>
      <c r="BI71" s="36"/>
      <c r="BJ71" s="36"/>
      <c r="BK71" s="36"/>
      <c r="BL71" s="36"/>
      <c r="BM71" s="86">
        <v>2</v>
      </c>
      <c r="BN71" s="86" t="s">
        <v>437</v>
      </c>
      <c r="BO71" s="86"/>
      <c r="BP71" s="86"/>
      <c r="BQ71" s="86">
        <v>2</v>
      </c>
      <c r="BR71" s="86"/>
      <c r="BS71" s="86" t="s">
        <v>437</v>
      </c>
      <c r="BT71" s="86" t="s">
        <v>437</v>
      </c>
      <c r="BU71" s="86"/>
      <c r="BV71" s="86"/>
      <c r="BW71" s="86"/>
      <c r="BX71" s="86"/>
      <c r="BY71" s="36"/>
      <c r="BZ71" s="36"/>
    </row>
    <row r="72" spans="1:78">
      <c r="A72" s="36" t="s">
        <v>494</v>
      </c>
      <c r="B72" s="36"/>
      <c r="C72" s="6" t="s">
        <v>435</v>
      </c>
      <c r="D72" s="36" t="s">
        <v>71</v>
      </c>
      <c r="E72" s="86" t="s">
        <v>776</v>
      </c>
      <c r="F72" s="86">
        <v>4</v>
      </c>
      <c r="G72" s="86">
        <v>4</v>
      </c>
      <c r="H72" s="62">
        <v>40</v>
      </c>
      <c r="I72" s="31">
        <v>4</v>
      </c>
      <c r="J72" s="86" t="s">
        <v>748</v>
      </c>
      <c r="K72" s="6" t="s">
        <v>746</v>
      </c>
      <c r="L72" s="14">
        <v>2.6</v>
      </c>
      <c r="M72" s="36"/>
      <c r="N72" s="36"/>
      <c r="O72" s="36"/>
      <c r="P72" s="36"/>
      <c r="Q72" s="36"/>
      <c r="R72" s="36"/>
      <c r="S72" s="36"/>
      <c r="T72" s="36"/>
      <c r="U72" s="36"/>
      <c r="V72" s="36"/>
      <c r="W72" s="36"/>
      <c r="X72" s="36"/>
      <c r="Y72" s="36"/>
      <c r="Z72" s="36"/>
      <c r="AA72" s="36"/>
      <c r="AB72" s="36"/>
      <c r="AC72" s="36"/>
      <c r="AD72" s="36"/>
      <c r="AE72" s="36"/>
      <c r="AF72" s="36"/>
      <c r="AG72" s="64">
        <f t="shared" si="2"/>
        <v>80</v>
      </c>
      <c r="AH72" s="86" t="s">
        <v>748</v>
      </c>
      <c r="AI72" s="6" t="s">
        <v>746</v>
      </c>
      <c r="AJ72" s="14" t="s">
        <v>742</v>
      </c>
      <c r="AK72" s="36"/>
      <c r="AL72" s="36"/>
      <c r="AM72" s="36"/>
      <c r="AN72" s="36"/>
      <c r="AO72" s="36"/>
      <c r="AP72" s="36"/>
      <c r="AQ72" s="36"/>
      <c r="AR72" s="36"/>
      <c r="AS72" s="36"/>
      <c r="AT72" s="36"/>
      <c r="AU72" s="36"/>
      <c r="AV72" s="36"/>
      <c r="AW72" s="36"/>
      <c r="AX72" s="36"/>
      <c r="AY72" s="36"/>
      <c r="AZ72" s="36"/>
      <c r="BA72" s="86"/>
      <c r="BB72" s="36"/>
      <c r="BC72" s="36"/>
      <c r="BD72" s="36"/>
      <c r="BE72" s="36"/>
      <c r="BF72" s="36"/>
      <c r="BG72" s="36"/>
      <c r="BH72" s="36"/>
      <c r="BI72" s="36"/>
      <c r="BJ72" s="36"/>
      <c r="BK72" s="36"/>
      <c r="BL72" s="36"/>
      <c r="BM72" s="86">
        <v>2</v>
      </c>
      <c r="BN72" s="86" t="s">
        <v>437</v>
      </c>
      <c r="BO72" s="86"/>
      <c r="BP72" s="86"/>
      <c r="BQ72" s="86">
        <v>2</v>
      </c>
      <c r="BR72" s="86"/>
      <c r="BS72" s="86" t="s">
        <v>437</v>
      </c>
      <c r="BT72" s="86" t="s">
        <v>437</v>
      </c>
      <c r="BU72" s="86"/>
      <c r="BV72" s="86"/>
      <c r="BW72" s="86"/>
      <c r="BX72" s="86"/>
      <c r="BY72" s="36"/>
      <c r="BZ72" s="36"/>
    </row>
    <row r="73" spans="1:78">
      <c r="A73" s="36" t="s">
        <v>495</v>
      </c>
      <c r="B73" s="36"/>
      <c r="C73" s="6" t="s">
        <v>435</v>
      </c>
      <c r="D73" s="36" t="s">
        <v>63</v>
      </c>
      <c r="E73" s="86" t="s">
        <v>776</v>
      </c>
      <c r="F73" s="86">
        <v>4</v>
      </c>
      <c r="G73" s="86">
        <v>4</v>
      </c>
      <c r="H73" s="62">
        <v>30</v>
      </c>
      <c r="I73" s="31">
        <v>4</v>
      </c>
      <c r="J73" s="86" t="s">
        <v>748</v>
      </c>
      <c r="K73" s="6" t="s">
        <v>746</v>
      </c>
      <c r="L73" s="14">
        <v>2.6</v>
      </c>
      <c r="M73" s="36"/>
      <c r="N73" s="36"/>
      <c r="O73" s="36"/>
      <c r="P73" s="36"/>
      <c r="Q73" s="36"/>
      <c r="R73" s="36"/>
      <c r="S73" s="36"/>
      <c r="T73" s="36"/>
      <c r="U73" s="36"/>
      <c r="V73" s="36"/>
      <c r="W73" s="36"/>
      <c r="X73" s="36"/>
      <c r="Y73" s="36"/>
      <c r="Z73" s="36"/>
      <c r="AA73" s="36"/>
      <c r="AB73" s="36"/>
      <c r="AC73" s="36"/>
      <c r="AD73" s="36"/>
      <c r="AE73" s="36"/>
      <c r="AF73" s="36"/>
      <c r="AG73" s="64">
        <f t="shared" si="2"/>
        <v>60</v>
      </c>
      <c r="AH73" s="86" t="s">
        <v>748</v>
      </c>
      <c r="AI73" s="6" t="s">
        <v>746</v>
      </c>
      <c r="AJ73" s="14" t="s">
        <v>742</v>
      </c>
      <c r="AK73" s="36"/>
      <c r="AL73" s="36"/>
      <c r="AM73" s="36"/>
      <c r="AN73" s="36"/>
      <c r="AO73" s="36"/>
      <c r="AP73" s="36"/>
      <c r="AQ73" s="36"/>
      <c r="AR73" s="36"/>
      <c r="AS73" s="36"/>
      <c r="AT73" s="36"/>
      <c r="AU73" s="36"/>
      <c r="AV73" s="36"/>
      <c r="AW73" s="36"/>
      <c r="AX73" s="36"/>
      <c r="AY73" s="36"/>
      <c r="AZ73" s="36"/>
      <c r="BA73" s="86"/>
      <c r="BB73" s="36"/>
      <c r="BC73" s="36"/>
      <c r="BD73" s="36"/>
      <c r="BE73" s="36"/>
      <c r="BF73" s="36"/>
      <c r="BG73" s="36"/>
      <c r="BH73" s="36"/>
      <c r="BI73" s="36"/>
      <c r="BJ73" s="36"/>
      <c r="BK73" s="36"/>
      <c r="BL73" s="36"/>
      <c r="BM73" s="86">
        <v>2</v>
      </c>
      <c r="BN73" s="86" t="s">
        <v>437</v>
      </c>
      <c r="BO73" s="86"/>
      <c r="BP73" s="86"/>
      <c r="BQ73" s="86">
        <v>2</v>
      </c>
      <c r="BR73" s="86"/>
      <c r="BS73" s="86" t="s">
        <v>437</v>
      </c>
      <c r="BT73" s="86" t="s">
        <v>437</v>
      </c>
      <c r="BU73" s="86"/>
      <c r="BV73" s="86"/>
      <c r="BW73" s="86"/>
      <c r="BX73" s="86"/>
      <c r="BY73" s="36"/>
      <c r="BZ73" s="36"/>
    </row>
    <row r="74" spans="1:78">
      <c r="A74" s="36" t="s">
        <v>496</v>
      </c>
      <c r="B74" s="36"/>
      <c r="C74" s="6" t="s">
        <v>435</v>
      </c>
      <c r="D74" s="36" t="s">
        <v>67</v>
      </c>
      <c r="E74" s="86" t="s">
        <v>776</v>
      </c>
      <c r="F74" s="86">
        <v>4</v>
      </c>
      <c r="G74" s="86">
        <v>4</v>
      </c>
      <c r="H74" s="62">
        <v>35</v>
      </c>
      <c r="I74" s="31">
        <v>4</v>
      </c>
      <c r="J74" s="86" t="s">
        <v>748</v>
      </c>
      <c r="K74" s="6" t="s">
        <v>746</v>
      </c>
      <c r="L74" s="14">
        <v>2.6</v>
      </c>
      <c r="M74" s="36"/>
      <c r="N74" s="36"/>
      <c r="O74" s="36"/>
      <c r="P74" s="36"/>
      <c r="Q74" s="36"/>
      <c r="R74" s="36"/>
      <c r="S74" s="36"/>
      <c r="T74" s="36"/>
      <c r="U74" s="36"/>
      <c r="V74" s="36"/>
      <c r="W74" s="36"/>
      <c r="X74" s="36"/>
      <c r="Y74" s="36"/>
      <c r="Z74" s="36"/>
      <c r="AA74" s="36"/>
      <c r="AB74" s="36"/>
      <c r="AC74" s="36"/>
      <c r="AD74" s="36"/>
      <c r="AE74" s="36"/>
      <c r="AF74" s="36"/>
      <c r="AG74" s="64">
        <f t="shared" si="2"/>
        <v>70</v>
      </c>
      <c r="AH74" s="86" t="s">
        <v>748</v>
      </c>
      <c r="AI74" s="6" t="s">
        <v>746</v>
      </c>
      <c r="AJ74" s="14" t="s">
        <v>742</v>
      </c>
      <c r="AK74" s="36"/>
      <c r="AL74" s="36"/>
      <c r="AM74" s="36"/>
      <c r="AN74" s="36"/>
      <c r="AO74" s="36"/>
      <c r="AP74" s="36"/>
      <c r="AQ74" s="36"/>
      <c r="AR74" s="36"/>
      <c r="AS74" s="36"/>
      <c r="AT74" s="36"/>
      <c r="AU74" s="36"/>
      <c r="AV74" s="36"/>
      <c r="AW74" s="36"/>
      <c r="AX74" s="36"/>
      <c r="AY74" s="36"/>
      <c r="AZ74" s="36"/>
      <c r="BA74" s="86"/>
      <c r="BB74" s="36"/>
      <c r="BC74" s="36"/>
      <c r="BD74" s="36"/>
      <c r="BE74" s="36"/>
      <c r="BF74" s="36"/>
      <c r="BG74" s="36"/>
      <c r="BH74" s="36"/>
      <c r="BI74" s="36"/>
      <c r="BJ74" s="36"/>
      <c r="BK74" s="36"/>
      <c r="BL74" s="36"/>
      <c r="BM74" s="86">
        <v>2</v>
      </c>
      <c r="BN74" s="86" t="s">
        <v>437</v>
      </c>
      <c r="BO74" s="86"/>
      <c r="BP74" s="86"/>
      <c r="BQ74" s="86">
        <v>2</v>
      </c>
      <c r="BR74" s="86"/>
      <c r="BS74" s="86" t="s">
        <v>437</v>
      </c>
      <c r="BT74" s="86" t="s">
        <v>437</v>
      </c>
      <c r="BU74" s="86"/>
      <c r="BV74" s="86"/>
      <c r="BW74" s="86"/>
      <c r="BX74" s="86"/>
      <c r="BY74" s="36"/>
      <c r="BZ74" s="36"/>
    </row>
    <row r="75" spans="1:78" ht="14.45">
      <c r="A75" s="36" t="s">
        <v>497</v>
      </c>
      <c r="B75" s="36"/>
      <c r="C75" s="6" t="s">
        <v>435</v>
      </c>
      <c r="D75" s="36" t="s">
        <v>276</v>
      </c>
      <c r="E75" s="86" t="s">
        <v>777</v>
      </c>
      <c r="F75" s="86">
        <v>7</v>
      </c>
      <c r="G75" s="86">
        <v>8</v>
      </c>
      <c r="H75" s="62">
        <v>110</v>
      </c>
      <c r="I75" s="31">
        <v>4</v>
      </c>
      <c r="J75" s="86" t="s">
        <v>748</v>
      </c>
      <c r="K75" s="6" t="s">
        <v>746</v>
      </c>
      <c r="L75" s="14">
        <v>2.6</v>
      </c>
      <c r="M75" s="86"/>
      <c r="N75" s="86"/>
      <c r="O75" s="86"/>
      <c r="P75" s="86"/>
      <c r="Q75" s="45"/>
      <c r="R75" s="45"/>
      <c r="S75" s="45"/>
      <c r="T75" s="45"/>
      <c r="U75" s="86"/>
      <c r="V75" s="86"/>
      <c r="W75" s="86"/>
      <c r="X75" s="86"/>
      <c r="Y75" s="86"/>
      <c r="Z75" s="86"/>
      <c r="AA75" s="86"/>
      <c r="AB75" s="86"/>
      <c r="AC75" s="86"/>
      <c r="AD75" s="86"/>
      <c r="AE75" s="86"/>
      <c r="AF75" s="86"/>
      <c r="AG75" s="64">
        <f t="shared" si="2"/>
        <v>220</v>
      </c>
      <c r="AH75" s="86" t="s">
        <v>748</v>
      </c>
      <c r="AI75" s="6" t="s">
        <v>746</v>
      </c>
      <c r="AJ75" s="14" t="s">
        <v>742</v>
      </c>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v>2</v>
      </c>
      <c r="BN75" s="86" t="s">
        <v>437</v>
      </c>
      <c r="BO75" s="86" t="s">
        <v>437</v>
      </c>
      <c r="BP75" s="86"/>
      <c r="BQ75" s="86">
        <v>2</v>
      </c>
      <c r="BR75" s="86"/>
      <c r="BS75" s="86" t="s">
        <v>437</v>
      </c>
      <c r="BT75" s="86" t="s">
        <v>437</v>
      </c>
      <c r="BU75" s="86"/>
      <c r="BV75" s="86"/>
      <c r="BW75" s="86"/>
      <c r="BX75" s="86"/>
      <c r="BY75" s="36"/>
      <c r="BZ75" s="36"/>
    </row>
    <row r="76" spans="1:78" ht="14.45">
      <c r="A76" s="36" t="s">
        <v>650</v>
      </c>
      <c r="B76" s="36"/>
      <c r="C76" s="6" t="s">
        <v>435</v>
      </c>
      <c r="D76" s="36" t="s">
        <v>276</v>
      </c>
      <c r="E76" s="86" t="s">
        <v>777</v>
      </c>
      <c r="F76" s="86">
        <v>7</v>
      </c>
      <c r="G76" s="86">
        <v>8</v>
      </c>
      <c r="H76" s="62">
        <v>110</v>
      </c>
      <c r="I76" s="31">
        <v>4</v>
      </c>
      <c r="J76" s="86" t="s">
        <v>748</v>
      </c>
      <c r="K76" s="6" t="s">
        <v>746</v>
      </c>
      <c r="L76" s="14">
        <v>2.6</v>
      </c>
      <c r="M76" s="86"/>
      <c r="N76" s="86"/>
      <c r="O76" s="86"/>
      <c r="P76" s="86"/>
      <c r="Q76" s="45"/>
      <c r="R76" s="45"/>
      <c r="S76" s="45"/>
      <c r="T76" s="45"/>
      <c r="U76" s="86"/>
      <c r="V76" s="86"/>
      <c r="W76" s="86"/>
      <c r="X76" s="86"/>
      <c r="Y76" s="86"/>
      <c r="Z76" s="86"/>
      <c r="AA76" s="86"/>
      <c r="AB76" s="86"/>
      <c r="AC76" s="86"/>
      <c r="AD76" s="86"/>
      <c r="AE76" s="86"/>
      <c r="AF76" s="86"/>
      <c r="AG76" s="64">
        <f t="shared" si="2"/>
        <v>220</v>
      </c>
      <c r="AH76" s="86" t="s">
        <v>748</v>
      </c>
      <c r="AI76" s="6" t="s">
        <v>746</v>
      </c>
      <c r="AJ76" s="14" t="s">
        <v>742</v>
      </c>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v>2</v>
      </c>
      <c r="BN76" s="86" t="s">
        <v>437</v>
      </c>
      <c r="BO76" s="86"/>
      <c r="BP76" s="86"/>
      <c r="BQ76" s="86">
        <v>2</v>
      </c>
      <c r="BR76" s="86"/>
      <c r="BS76" s="86" t="s">
        <v>437</v>
      </c>
      <c r="BT76" s="86" t="s">
        <v>437</v>
      </c>
      <c r="BU76" s="86"/>
      <c r="BV76" s="86"/>
      <c r="BW76" s="86"/>
      <c r="BX76" s="86"/>
      <c r="BY76" s="36"/>
      <c r="BZ76" s="36"/>
    </row>
    <row r="77" spans="1:78" ht="14.45">
      <c r="A77" s="6" t="s">
        <v>542</v>
      </c>
      <c r="C77" s="6" t="s">
        <v>435</v>
      </c>
      <c r="D77" s="6" t="s">
        <v>90</v>
      </c>
      <c r="E77" s="14" t="s">
        <v>778</v>
      </c>
      <c r="F77" s="14">
        <v>2</v>
      </c>
      <c r="G77" s="14">
        <v>2</v>
      </c>
      <c r="H77" s="62">
        <v>15</v>
      </c>
      <c r="I77" s="31">
        <v>4</v>
      </c>
      <c r="J77" s="14" t="s">
        <v>748</v>
      </c>
      <c r="K77" s="6" t="s">
        <v>746</v>
      </c>
      <c r="L77" s="14">
        <v>2.6</v>
      </c>
      <c r="M77" s="14"/>
      <c r="N77" s="14"/>
      <c r="O77" s="14"/>
      <c r="P77" s="14"/>
      <c r="Q77" s="2"/>
      <c r="R77" s="2"/>
      <c r="S77" s="2"/>
      <c r="T77" s="2"/>
      <c r="U77" s="14"/>
      <c r="V77" s="14"/>
      <c r="W77" s="14"/>
      <c r="X77" s="14"/>
      <c r="Y77" s="14"/>
      <c r="Z77" s="14"/>
      <c r="AA77" s="14"/>
      <c r="AB77" s="14"/>
      <c r="AC77" s="14"/>
      <c r="AD77" s="14"/>
      <c r="AE77" s="14"/>
      <c r="AF77" s="14"/>
      <c r="AG77" s="62">
        <f t="shared" si="2"/>
        <v>30</v>
      </c>
      <c r="AH77" s="14" t="s">
        <v>748</v>
      </c>
      <c r="AI77" s="6" t="s">
        <v>746</v>
      </c>
      <c r="AJ77" s="14" t="s">
        <v>742</v>
      </c>
      <c r="BM77" s="14">
        <v>2</v>
      </c>
      <c r="BN77" s="14" t="s">
        <v>437</v>
      </c>
      <c r="BO77" s="14"/>
      <c r="BP77" s="14"/>
      <c r="BQ77" s="14">
        <v>2</v>
      </c>
      <c r="BR77" s="14"/>
      <c r="BS77" s="14" t="s">
        <v>437</v>
      </c>
      <c r="BT77" s="14" t="s">
        <v>437</v>
      </c>
      <c r="BU77" s="14"/>
      <c r="BV77" s="14"/>
      <c r="BW77" s="14"/>
      <c r="BY77" s="36"/>
      <c r="BZ77" s="36"/>
    </row>
    <row r="78" spans="1:78" ht="14.45">
      <c r="A78" s="6" t="s">
        <v>543</v>
      </c>
      <c r="C78" s="6" t="s">
        <v>435</v>
      </c>
      <c r="D78" s="6" t="s">
        <v>90</v>
      </c>
      <c r="E78" s="14" t="s">
        <v>778</v>
      </c>
      <c r="F78" s="14">
        <v>2</v>
      </c>
      <c r="G78" s="14">
        <v>2</v>
      </c>
      <c r="H78" s="62">
        <v>15</v>
      </c>
      <c r="I78" s="31">
        <v>4</v>
      </c>
      <c r="J78" s="14" t="s">
        <v>748</v>
      </c>
      <c r="K78" s="6" t="s">
        <v>746</v>
      </c>
      <c r="L78" s="14">
        <v>2.6</v>
      </c>
      <c r="M78" s="14"/>
      <c r="N78" s="14"/>
      <c r="O78" s="14"/>
      <c r="P78" s="14"/>
      <c r="Q78" s="2"/>
      <c r="R78" s="2"/>
      <c r="S78" s="2"/>
      <c r="T78" s="2"/>
      <c r="U78" s="14"/>
      <c r="V78" s="14"/>
      <c r="W78" s="14"/>
      <c r="X78" s="14"/>
      <c r="Y78" s="14"/>
      <c r="Z78" s="14"/>
      <c r="AA78" s="14"/>
      <c r="AB78" s="14"/>
      <c r="AC78" s="14"/>
      <c r="AD78" s="14"/>
      <c r="AE78" s="14"/>
      <c r="AF78" s="14"/>
      <c r="AG78" s="62">
        <f t="shared" si="2"/>
        <v>30</v>
      </c>
      <c r="AH78" s="14" t="s">
        <v>748</v>
      </c>
      <c r="AI78" s="6" t="s">
        <v>746</v>
      </c>
      <c r="AJ78" s="14" t="s">
        <v>742</v>
      </c>
      <c r="BM78" s="14">
        <v>2</v>
      </c>
      <c r="BN78" s="14" t="s">
        <v>437</v>
      </c>
      <c r="BO78" s="14"/>
      <c r="BP78" s="14"/>
      <c r="BQ78" s="14">
        <v>2</v>
      </c>
      <c r="BR78" s="14"/>
      <c r="BS78" s="14" t="s">
        <v>437</v>
      </c>
      <c r="BT78" s="14" t="s">
        <v>437</v>
      </c>
      <c r="BU78" s="14"/>
      <c r="BV78" s="14"/>
      <c r="BW78" s="14"/>
      <c r="BY78" s="36"/>
      <c r="BZ78" s="36"/>
    </row>
    <row r="79" spans="1:78" ht="14.45">
      <c r="A79" s="6" t="s">
        <v>544</v>
      </c>
      <c r="C79" s="6" t="s">
        <v>435</v>
      </c>
      <c r="D79" s="6" t="s">
        <v>94</v>
      </c>
      <c r="E79" s="14" t="s">
        <v>794</v>
      </c>
      <c r="F79" s="14">
        <v>6</v>
      </c>
      <c r="G79" s="14">
        <v>5</v>
      </c>
      <c r="H79" s="62">
        <v>40</v>
      </c>
      <c r="I79" s="31">
        <v>4</v>
      </c>
      <c r="J79" s="14" t="s">
        <v>748</v>
      </c>
      <c r="K79" s="6" t="s">
        <v>746</v>
      </c>
      <c r="L79" s="14">
        <v>2.6</v>
      </c>
      <c r="M79" s="14"/>
      <c r="N79" s="14"/>
      <c r="O79" s="14"/>
      <c r="P79" s="14"/>
      <c r="Q79" s="2"/>
      <c r="R79" s="2"/>
      <c r="S79" s="2"/>
      <c r="T79" s="2"/>
      <c r="U79" s="14"/>
      <c r="V79" s="14"/>
      <c r="W79" s="14"/>
      <c r="X79" s="14"/>
      <c r="Y79" s="14"/>
      <c r="Z79" s="14"/>
      <c r="AA79" s="14"/>
      <c r="AB79" s="14"/>
      <c r="AC79" s="14"/>
      <c r="AD79" s="14"/>
      <c r="AE79" s="14"/>
      <c r="AF79" s="14"/>
      <c r="AG79" s="62">
        <f t="shared" si="2"/>
        <v>80</v>
      </c>
      <c r="AH79" s="14" t="s">
        <v>748</v>
      </c>
      <c r="AI79" s="6" t="s">
        <v>746</v>
      </c>
      <c r="AJ79" s="14" t="s">
        <v>742</v>
      </c>
      <c r="BM79" s="14">
        <v>2</v>
      </c>
      <c r="BN79" s="14" t="s">
        <v>437</v>
      </c>
      <c r="BO79" s="14"/>
      <c r="BP79" s="14"/>
      <c r="BQ79" s="14">
        <v>2</v>
      </c>
      <c r="BR79" s="14"/>
      <c r="BS79" s="14" t="s">
        <v>437</v>
      </c>
      <c r="BT79" s="14" t="s">
        <v>437</v>
      </c>
      <c r="BU79" s="14"/>
      <c r="BV79" s="14"/>
      <c r="BW79" s="14"/>
      <c r="BY79" s="36"/>
      <c r="BZ79" s="36"/>
    </row>
    <row r="80" spans="1:78" ht="14.45">
      <c r="A80" s="6" t="s">
        <v>545</v>
      </c>
      <c r="C80" s="6" t="s">
        <v>435</v>
      </c>
      <c r="D80" s="6" t="s">
        <v>98</v>
      </c>
      <c r="E80" s="14" t="s">
        <v>780</v>
      </c>
      <c r="F80" s="14">
        <v>2</v>
      </c>
      <c r="G80" s="14">
        <v>2</v>
      </c>
      <c r="H80" s="62">
        <v>30</v>
      </c>
      <c r="I80" s="31">
        <v>4</v>
      </c>
      <c r="J80" s="14" t="s">
        <v>748</v>
      </c>
      <c r="K80" s="6" t="s">
        <v>746</v>
      </c>
      <c r="L80" s="14">
        <v>2.6</v>
      </c>
      <c r="M80" s="14"/>
      <c r="N80" s="14"/>
      <c r="O80" s="14"/>
      <c r="P80" s="14"/>
      <c r="Q80" s="2"/>
      <c r="R80" s="2"/>
      <c r="S80" s="2"/>
      <c r="T80" s="2"/>
      <c r="U80" s="14"/>
      <c r="V80" s="14"/>
      <c r="W80" s="14"/>
      <c r="X80" s="14"/>
      <c r="Y80" s="14"/>
      <c r="Z80" s="14"/>
      <c r="AA80" s="14"/>
      <c r="AB80" s="14"/>
      <c r="AC80" s="14"/>
      <c r="AD80" s="14"/>
      <c r="AE80" s="14"/>
      <c r="AF80" s="14"/>
      <c r="AG80" s="62">
        <f t="shared" si="2"/>
        <v>60</v>
      </c>
      <c r="AH80" s="14" t="s">
        <v>748</v>
      </c>
      <c r="AI80" s="6" t="s">
        <v>746</v>
      </c>
      <c r="AJ80" s="14" t="s">
        <v>742</v>
      </c>
      <c r="BM80" s="14">
        <v>2</v>
      </c>
      <c r="BN80" s="14" t="s">
        <v>437</v>
      </c>
      <c r="BO80" s="14"/>
      <c r="BP80" s="14"/>
      <c r="BQ80" s="14">
        <v>2</v>
      </c>
      <c r="BR80" s="14"/>
      <c r="BS80" s="14" t="s">
        <v>437</v>
      </c>
      <c r="BT80" s="14" t="s">
        <v>437</v>
      </c>
      <c r="BU80" s="14"/>
      <c r="BV80" s="14"/>
      <c r="BW80" s="14"/>
      <c r="BY80" s="36"/>
      <c r="BZ80" s="36"/>
    </row>
    <row r="81" spans="1:78" s="19" customFormat="1" ht="14.45">
      <c r="A81" s="19" t="s">
        <v>551</v>
      </c>
      <c r="C81" s="19" t="s">
        <v>435</v>
      </c>
      <c r="D81" s="19" t="s">
        <v>122</v>
      </c>
      <c r="E81" s="17" t="s">
        <v>781</v>
      </c>
      <c r="F81" s="17">
        <v>2</v>
      </c>
      <c r="G81" s="17">
        <v>10</v>
      </c>
      <c r="H81" s="68">
        <v>60</v>
      </c>
      <c r="I81" s="80">
        <v>16</v>
      </c>
      <c r="J81" s="17" t="s">
        <v>748</v>
      </c>
      <c r="K81" s="19" t="s">
        <v>746</v>
      </c>
      <c r="L81" s="17">
        <v>2.6</v>
      </c>
      <c r="M81" s="17"/>
      <c r="N81" s="17"/>
      <c r="O81" s="17"/>
      <c r="P81" s="17"/>
      <c r="Q81" s="99"/>
      <c r="R81" s="99"/>
      <c r="S81" s="99"/>
      <c r="T81" s="99"/>
      <c r="U81" s="17"/>
      <c r="V81" s="17"/>
      <c r="W81" s="17"/>
      <c r="X81" s="17"/>
      <c r="Y81" s="17"/>
      <c r="Z81" s="17"/>
      <c r="AA81" s="17"/>
      <c r="AB81" s="17"/>
      <c r="AC81" s="17"/>
      <c r="AD81" s="17"/>
      <c r="AE81" s="17"/>
      <c r="AF81" s="17"/>
      <c r="AG81" s="68">
        <f t="shared" si="2"/>
        <v>120</v>
      </c>
      <c r="AH81" s="17" t="s">
        <v>748</v>
      </c>
      <c r="AI81" s="19" t="s">
        <v>746</v>
      </c>
      <c r="AJ81" s="17" t="s">
        <v>742</v>
      </c>
      <c r="BA81" s="17"/>
      <c r="BM81" s="17">
        <v>2</v>
      </c>
      <c r="BN81" s="17" t="s">
        <v>437</v>
      </c>
      <c r="BO81" s="17"/>
      <c r="BP81" s="17"/>
      <c r="BQ81" s="17">
        <v>2</v>
      </c>
      <c r="BR81" s="17"/>
      <c r="BS81" s="17" t="s">
        <v>437</v>
      </c>
      <c r="BT81" s="17" t="s">
        <v>437</v>
      </c>
      <c r="BU81" s="17"/>
      <c r="BV81" s="17"/>
      <c r="BW81" s="17"/>
      <c r="BY81" s="46"/>
      <c r="BZ81" s="46"/>
    </row>
    <row r="82" spans="1:78">
      <c r="A82" s="36"/>
      <c r="B82" s="36"/>
      <c r="C82" s="36"/>
      <c r="D82" s="36"/>
      <c r="E82" s="14"/>
      <c r="F82" s="86">
        <f>SUM(F57:F81)+F53</f>
        <v>393</v>
      </c>
      <c r="G82" s="86">
        <f>SUM(G57:G81)+G53</f>
        <v>1037</v>
      </c>
      <c r="H82" s="86">
        <f>SUM(H57:H81)+H53</f>
        <v>5793</v>
      </c>
      <c r="I82" s="135"/>
      <c r="J82" s="86"/>
      <c r="K82" s="86"/>
      <c r="L82" s="86">
        <f>SUM(L57:L81)+L53</f>
        <v>1527.9999999999989</v>
      </c>
      <c r="M82" s="86">
        <f>SUM(M57:M81)+M53</f>
        <v>116.99</v>
      </c>
      <c r="N82" s="86"/>
      <c r="O82" s="86"/>
      <c r="P82" s="86">
        <f>SUM(P57:P81)+P53</f>
        <v>0.05</v>
      </c>
      <c r="Q82" s="86">
        <f>SUM(Q57:Q81)+Q53</f>
        <v>2250</v>
      </c>
      <c r="R82" s="86"/>
      <c r="S82" s="86"/>
      <c r="T82" s="86">
        <f>SUM(T57:T81)+T53</f>
        <v>0.05</v>
      </c>
      <c r="U82" s="86">
        <f>SUM(U57:U81)+U53</f>
        <v>3375</v>
      </c>
      <c r="V82" s="86"/>
      <c r="W82" s="86"/>
      <c r="X82" s="86">
        <f>SUM(X57:X81)+X53</f>
        <v>0.05</v>
      </c>
      <c r="Y82" s="86">
        <f>SUM(Y57:Y81)+Y53</f>
        <v>669</v>
      </c>
      <c r="Z82" s="86"/>
      <c r="AA82" s="86"/>
      <c r="AB82" s="86">
        <f>SUM(AB57:AB81)+AB53</f>
        <v>0.1</v>
      </c>
      <c r="AC82" s="86">
        <f>SUM(AC57:AC81)+AC53</f>
        <v>270</v>
      </c>
      <c r="AD82" s="86"/>
      <c r="AE82" s="86"/>
      <c r="AF82" s="86">
        <f>SUM(AF57:AF81)+AF53</f>
        <v>0</v>
      </c>
      <c r="AG82" s="86">
        <f>SUM(AG57:AG81)+AG53</f>
        <v>22787.5</v>
      </c>
      <c r="AH82" s="86"/>
      <c r="AI82" s="86"/>
      <c r="AJ82" s="86"/>
      <c r="AK82" s="86">
        <f>SUM(AK57:AK81)+AK53</f>
        <v>180</v>
      </c>
      <c r="AL82" s="86"/>
      <c r="AM82" s="86"/>
      <c r="AN82" s="86">
        <f>SUM(AN57:AN81)+AN53</f>
        <v>0.2</v>
      </c>
      <c r="AO82" s="86">
        <f>SUM(AO57:AO81)+AO53</f>
        <v>50</v>
      </c>
      <c r="AP82" s="86"/>
      <c r="AQ82" s="86"/>
      <c r="AR82" s="86">
        <f>SUM(AR57:AR81)+AR53</f>
        <v>0.05</v>
      </c>
      <c r="AS82" s="86">
        <f>SUM(AS57:AS81)+AS53</f>
        <v>170</v>
      </c>
      <c r="AT82" s="86"/>
      <c r="AU82" s="86"/>
      <c r="AV82" s="86">
        <f>SUM(AV57:AV81)+AV53</f>
        <v>0.1</v>
      </c>
      <c r="AW82" s="86">
        <f>SUM(AW57:AW81)+AW53</f>
        <v>150</v>
      </c>
      <c r="AX82" s="86"/>
      <c r="AY82" s="86"/>
      <c r="AZ82" s="86">
        <f>SUM(AZ57:AZ81)+AZ53</f>
        <v>0.05</v>
      </c>
      <c r="BA82" s="86">
        <f>SUM(BA57:BA81)+BA53</f>
        <v>360</v>
      </c>
      <c r="BB82" s="86"/>
      <c r="BC82" s="86"/>
      <c r="BD82" s="86">
        <f>SUM(BD57:BD81)+BD53</f>
        <v>0.15000000000000002</v>
      </c>
      <c r="BE82" s="86">
        <f>SUM(BE57:BE81)+BE53</f>
        <v>3072</v>
      </c>
      <c r="BF82" s="86"/>
      <c r="BG82" s="86"/>
      <c r="BH82" s="86">
        <f>SUM(BH57:BH81)+BH53</f>
        <v>0.05</v>
      </c>
      <c r="BI82" s="86"/>
      <c r="BJ82" s="86"/>
      <c r="BK82" s="86"/>
      <c r="BL82" s="86"/>
      <c r="BM82" s="86">
        <f>SUM(BM57:BM81)+BM53</f>
        <v>171</v>
      </c>
      <c r="BN82" s="86">
        <f>BN53+COUNTIF(BN57:BN81,"x")</f>
        <v>63</v>
      </c>
      <c r="BO82" s="86">
        <f>BO53+COUNTIF(BO57:BO81,"x")</f>
        <v>3</v>
      </c>
      <c r="BP82" s="86">
        <f>BP53+COUNTIF(BP57:BP81,"x")</f>
        <v>1</v>
      </c>
      <c r="BQ82" s="86">
        <f>BQ53+SUM(BQ57:BQ81)</f>
        <v>126</v>
      </c>
      <c r="BR82" s="86">
        <f>BR53+COUNTIF(BR57:BR81,"x")</f>
        <v>1</v>
      </c>
      <c r="BS82" s="86">
        <f>BS53+COUNTIF(BS57:BS81,"x")</f>
        <v>28</v>
      </c>
      <c r="BT82" s="86">
        <f>BT53+COUNTIF(BT57:BT81,"x")</f>
        <v>63</v>
      </c>
      <c r="BU82" s="14" t="s">
        <v>769</v>
      </c>
      <c r="BV82" s="14">
        <v>2</v>
      </c>
      <c r="BW82" s="14">
        <v>4</v>
      </c>
      <c r="BX82" s="14">
        <v>2</v>
      </c>
      <c r="BY82" s="36"/>
      <c r="BZ82" s="36"/>
    </row>
    <row r="83" spans="1:78" ht="14.45">
      <c r="A83" s="36"/>
      <c r="B83" s="36"/>
      <c r="C83" s="36"/>
      <c r="D83" s="36"/>
      <c r="E83" s="2"/>
      <c r="F83" s="36"/>
      <c r="G83" s="36"/>
      <c r="H83" s="36"/>
      <c r="I83" s="81"/>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86"/>
      <c r="BB83" s="36"/>
      <c r="BC83" s="36"/>
      <c r="BD83" s="36"/>
      <c r="BE83" s="36"/>
      <c r="BF83" s="36"/>
      <c r="BG83" s="36"/>
      <c r="BH83" s="36"/>
      <c r="BI83" s="36"/>
      <c r="BJ83" s="36"/>
      <c r="BK83" s="36"/>
      <c r="BL83" s="36"/>
      <c r="BM83" s="86"/>
      <c r="BN83" s="36"/>
      <c r="BO83" s="36"/>
      <c r="BP83" s="36"/>
      <c r="BQ83" s="36"/>
      <c r="BR83" s="36"/>
      <c r="BS83" s="36"/>
      <c r="BT83" s="36"/>
      <c r="BU83" s="36"/>
      <c r="BV83" s="36"/>
      <c r="BW83" s="36"/>
      <c r="BX83" s="36"/>
      <c r="BY83" s="36"/>
      <c r="BZ83" s="36"/>
    </row>
    <row r="84" spans="1:78" ht="14.45">
      <c r="A84" s="16" t="s">
        <v>782</v>
      </c>
      <c r="B84" s="36"/>
      <c r="C84" s="36"/>
      <c r="D84" s="36"/>
      <c r="E84" s="2"/>
      <c r="F84" s="36"/>
      <c r="G84" s="36"/>
      <c r="H84" s="36"/>
      <c r="I84" s="81"/>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86"/>
      <c r="BB84" s="36"/>
      <c r="BC84" s="36"/>
      <c r="BD84" s="36"/>
      <c r="BE84" s="36"/>
      <c r="BF84" s="36"/>
      <c r="BG84" s="36"/>
      <c r="BH84" s="36"/>
      <c r="BI84" s="36"/>
      <c r="BJ84" s="36"/>
      <c r="BK84" s="36"/>
      <c r="BL84" s="36"/>
      <c r="BM84" s="86"/>
      <c r="BN84" s="36"/>
      <c r="BO84" s="36"/>
      <c r="BP84" s="36"/>
      <c r="BQ84" s="36"/>
      <c r="BR84" s="36"/>
      <c r="BS84" s="36"/>
      <c r="BT84" s="36"/>
      <c r="BU84" s="36"/>
      <c r="BV84" s="36"/>
      <c r="BW84" s="36"/>
      <c r="BX84" s="36"/>
      <c r="BY84" s="36"/>
      <c r="BZ84" s="36"/>
    </row>
    <row r="85" spans="1:78" ht="14.45">
      <c r="A85" s="36"/>
      <c r="B85" s="36"/>
      <c r="C85" s="36"/>
      <c r="D85" s="36"/>
      <c r="E85" s="2"/>
      <c r="F85" s="36"/>
      <c r="G85" s="36"/>
      <c r="H85" s="36"/>
      <c r="I85" s="81"/>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86"/>
      <c r="BB85" s="36"/>
      <c r="BC85" s="36"/>
      <c r="BD85" s="36"/>
      <c r="BE85" s="36"/>
      <c r="BF85" s="36"/>
      <c r="BG85" s="36"/>
      <c r="BH85" s="36"/>
      <c r="BI85" s="36"/>
      <c r="BJ85" s="36"/>
      <c r="BK85" s="36"/>
      <c r="BL85" s="36"/>
      <c r="BM85" s="86"/>
      <c r="BN85" s="36"/>
      <c r="BO85" s="36"/>
      <c r="BP85" s="36"/>
      <c r="BQ85" s="36"/>
      <c r="BR85" s="36"/>
      <c r="BS85" s="86" t="s">
        <v>437</v>
      </c>
      <c r="BT85" s="86" t="s">
        <v>437</v>
      </c>
      <c r="BU85" s="36"/>
      <c r="BV85" s="36"/>
      <c r="BW85" s="36"/>
      <c r="BX85" s="36"/>
      <c r="BY85" s="36"/>
      <c r="BZ85" s="36"/>
    </row>
    <row r="86" spans="1:78">
      <c r="A86" s="6" t="s">
        <v>560</v>
      </c>
      <c r="C86" s="6" t="s">
        <v>562</v>
      </c>
      <c r="D86" s="6" t="s">
        <v>42</v>
      </c>
      <c r="E86" s="14" t="s">
        <v>783</v>
      </c>
      <c r="F86" s="14">
        <v>2</v>
      </c>
      <c r="G86" s="14">
        <v>4</v>
      </c>
      <c r="H86" s="86">
        <v>70</v>
      </c>
      <c r="I86" s="31">
        <v>4</v>
      </c>
      <c r="J86" s="14" t="s">
        <v>748</v>
      </c>
      <c r="K86" s="6" t="s">
        <v>746</v>
      </c>
      <c r="L86" s="14">
        <v>2.6</v>
      </c>
      <c r="M86" s="14"/>
      <c r="N86" s="14"/>
      <c r="O86" s="14"/>
      <c r="P86" s="14"/>
      <c r="Q86" s="14"/>
      <c r="R86" s="14"/>
      <c r="S86" s="14"/>
      <c r="T86" s="14"/>
      <c r="U86" s="14"/>
      <c r="V86" s="14"/>
      <c r="W86" s="14"/>
      <c r="X86" s="14"/>
      <c r="Y86" s="14"/>
      <c r="Z86" s="14"/>
      <c r="AA86" s="14"/>
      <c r="AB86" s="86"/>
      <c r="AC86" s="86"/>
      <c r="AD86" s="86"/>
      <c r="AE86" s="86"/>
      <c r="AF86" s="86"/>
      <c r="AG86" s="64">
        <f>2*H86</f>
        <v>140</v>
      </c>
      <c r="AH86" s="86" t="s">
        <v>748</v>
      </c>
      <c r="AI86" s="6" t="s">
        <v>746</v>
      </c>
      <c r="AJ86" s="14" t="s">
        <v>742</v>
      </c>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v>2</v>
      </c>
      <c r="BN86" s="86" t="s">
        <v>437</v>
      </c>
      <c r="BO86" s="86"/>
      <c r="BP86" s="86"/>
      <c r="BQ86" s="86">
        <v>2</v>
      </c>
      <c r="BR86" s="86"/>
      <c r="BS86" s="86" t="s">
        <v>437</v>
      </c>
      <c r="BT86" s="86" t="s">
        <v>437</v>
      </c>
      <c r="BU86" s="86"/>
      <c r="BV86" s="86"/>
      <c r="BW86" s="86"/>
      <c r="BX86" s="86"/>
      <c r="BY86" s="36"/>
      <c r="BZ86" s="36"/>
    </row>
    <row r="87" spans="1:78">
      <c r="A87" s="6" t="s">
        <v>565</v>
      </c>
      <c r="C87" s="6" t="s">
        <v>562</v>
      </c>
      <c r="D87" s="6" t="s">
        <v>566</v>
      </c>
      <c r="E87" s="14" t="s">
        <v>784</v>
      </c>
      <c r="F87" s="14">
        <v>6</v>
      </c>
      <c r="G87" s="14">
        <v>10</v>
      </c>
      <c r="H87" s="62">
        <v>100</v>
      </c>
      <c r="I87" s="31">
        <v>16</v>
      </c>
      <c r="J87" s="14" t="s">
        <v>748</v>
      </c>
      <c r="K87" s="6" t="s">
        <v>746</v>
      </c>
      <c r="L87" s="14">
        <v>2.6</v>
      </c>
      <c r="M87" s="14"/>
      <c r="N87" s="14"/>
      <c r="O87" s="14"/>
      <c r="P87" s="14"/>
      <c r="Q87" s="86">
        <v>200</v>
      </c>
      <c r="R87" s="86" t="s">
        <v>748</v>
      </c>
      <c r="S87" s="6" t="s">
        <v>746</v>
      </c>
      <c r="T87" s="86" t="s">
        <v>742</v>
      </c>
      <c r="U87" s="86"/>
      <c r="V87" s="86"/>
      <c r="W87" s="86"/>
      <c r="X87" s="86"/>
      <c r="AB87" s="86" t="s">
        <v>742</v>
      </c>
      <c r="AC87" s="86"/>
      <c r="AD87" s="86"/>
      <c r="AE87" s="86"/>
      <c r="AF87" s="86"/>
      <c r="AG87" s="64">
        <f>2*H87+Q87*2</f>
        <v>600</v>
      </c>
      <c r="AH87" s="86" t="s">
        <v>748</v>
      </c>
      <c r="AI87" s="6" t="s">
        <v>746</v>
      </c>
      <c r="AJ87" s="14" t="s">
        <v>742</v>
      </c>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v>3</v>
      </c>
      <c r="BN87" s="86" t="s">
        <v>437</v>
      </c>
      <c r="BO87" s="86"/>
      <c r="BP87" s="86"/>
      <c r="BQ87" s="86">
        <v>2</v>
      </c>
      <c r="BR87" s="86"/>
      <c r="BS87" s="86" t="s">
        <v>437</v>
      </c>
      <c r="BT87" s="86" t="s">
        <v>437</v>
      </c>
      <c r="BU87" s="86"/>
      <c r="BV87" s="86"/>
      <c r="BW87" s="86"/>
      <c r="BX87" s="86"/>
      <c r="BY87" s="36"/>
      <c r="BZ87" s="36"/>
    </row>
    <row r="88" spans="1:78">
      <c r="A88" s="6" t="s">
        <v>567</v>
      </c>
      <c r="C88" s="6" t="s">
        <v>562</v>
      </c>
      <c r="D88" s="6" t="s">
        <v>568</v>
      </c>
      <c r="E88" s="14" t="s">
        <v>785</v>
      </c>
      <c r="F88" s="14">
        <v>8</v>
      </c>
      <c r="G88" s="14">
        <v>16</v>
      </c>
      <c r="H88" s="86">
        <v>60</v>
      </c>
      <c r="I88" s="31">
        <v>4</v>
      </c>
      <c r="J88" s="14" t="s">
        <v>748</v>
      </c>
      <c r="K88" s="6" t="s">
        <v>746</v>
      </c>
      <c r="L88" s="14">
        <v>2.6</v>
      </c>
      <c r="M88" s="14"/>
      <c r="N88" s="14"/>
      <c r="O88" s="14"/>
      <c r="P88" s="14"/>
      <c r="Q88" s="86"/>
      <c r="R88" s="86"/>
      <c r="S88" s="86"/>
      <c r="T88" s="86"/>
      <c r="U88" s="86"/>
      <c r="V88" s="86"/>
      <c r="W88" s="86"/>
      <c r="X88" s="86"/>
      <c r="Y88" s="86"/>
      <c r="Z88" s="86"/>
      <c r="AA88" s="86"/>
      <c r="AB88" s="86"/>
      <c r="AC88" s="86"/>
      <c r="AD88" s="86"/>
      <c r="AE88" s="86"/>
      <c r="AF88" s="86"/>
      <c r="AG88" s="64">
        <f>2*H88</f>
        <v>120</v>
      </c>
      <c r="AH88" s="86" t="s">
        <v>748</v>
      </c>
      <c r="AI88" s="6" t="s">
        <v>746</v>
      </c>
      <c r="AJ88" s="14" t="s">
        <v>742</v>
      </c>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v>2</v>
      </c>
      <c r="BN88" s="86" t="s">
        <v>437</v>
      </c>
      <c r="BO88" s="86"/>
      <c r="BP88" s="86"/>
      <c r="BQ88" s="86">
        <v>2</v>
      </c>
      <c r="BR88" s="86"/>
      <c r="BS88" s="86" t="s">
        <v>437</v>
      </c>
      <c r="BT88" s="86" t="s">
        <v>437</v>
      </c>
      <c r="BU88" s="86"/>
      <c r="BV88" s="86"/>
      <c r="BW88" s="86"/>
      <c r="BX88" s="86"/>
      <c r="BY88" s="36"/>
      <c r="BZ88" s="36"/>
    </row>
    <row r="89" spans="1:78">
      <c r="A89" s="6" t="s">
        <v>570</v>
      </c>
      <c r="C89" s="6" t="s">
        <v>562</v>
      </c>
      <c r="D89" s="6" t="s">
        <v>571</v>
      </c>
      <c r="E89" s="14" t="s">
        <v>786</v>
      </c>
      <c r="F89" s="14">
        <v>10</v>
      </c>
      <c r="G89" s="14">
        <v>10</v>
      </c>
      <c r="H89" s="62">
        <v>30</v>
      </c>
      <c r="I89" s="31">
        <v>4</v>
      </c>
      <c r="J89" s="14" t="s">
        <v>748</v>
      </c>
      <c r="K89" s="6" t="s">
        <v>746</v>
      </c>
      <c r="L89" s="14">
        <v>2.6</v>
      </c>
      <c r="M89" s="14"/>
      <c r="N89" s="14"/>
      <c r="O89" s="14"/>
      <c r="P89" s="14"/>
      <c r="Q89" s="86"/>
      <c r="R89" s="86"/>
      <c r="S89" s="86"/>
      <c r="T89" s="86"/>
      <c r="U89" s="86"/>
      <c r="V89" s="86"/>
      <c r="W89" s="86"/>
      <c r="X89" s="86"/>
      <c r="Y89" s="86"/>
      <c r="Z89" s="86"/>
      <c r="AA89" s="86"/>
      <c r="AB89" s="86"/>
      <c r="AC89" s="86"/>
      <c r="AD89" s="86"/>
      <c r="AE89" s="86"/>
      <c r="AF89" s="86"/>
      <c r="AG89" s="64">
        <f>2*H89</f>
        <v>60</v>
      </c>
      <c r="AH89" s="86" t="s">
        <v>748</v>
      </c>
      <c r="AI89" s="6" t="s">
        <v>746</v>
      </c>
      <c r="AJ89" s="14" t="s">
        <v>742</v>
      </c>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v>2</v>
      </c>
      <c r="BN89" s="86" t="s">
        <v>437</v>
      </c>
      <c r="BO89" s="86"/>
      <c r="BP89" s="86"/>
      <c r="BQ89" s="86">
        <v>2</v>
      </c>
      <c r="BR89" s="86"/>
      <c r="BS89" s="86" t="s">
        <v>437</v>
      </c>
      <c r="BT89" s="86" t="s">
        <v>437</v>
      </c>
      <c r="BU89" s="86"/>
      <c r="BV89" s="86"/>
      <c r="BW89" s="86"/>
      <c r="BX89" s="86"/>
      <c r="BY89" s="36"/>
      <c r="BZ89" s="36"/>
    </row>
    <row r="90" spans="1:78">
      <c r="A90" s="6" t="s">
        <v>572</v>
      </c>
      <c r="C90" s="6" t="s">
        <v>562</v>
      </c>
      <c r="D90" s="6" t="s">
        <v>573</v>
      </c>
      <c r="E90" s="14" t="s">
        <v>787</v>
      </c>
      <c r="F90" s="14">
        <v>4</v>
      </c>
      <c r="G90" s="14">
        <v>16</v>
      </c>
      <c r="H90" s="86">
        <v>550</v>
      </c>
      <c r="I90" s="31">
        <v>4</v>
      </c>
      <c r="J90" s="14" t="s">
        <v>748</v>
      </c>
      <c r="K90" s="6" t="s">
        <v>746</v>
      </c>
      <c r="L90" s="14">
        <v>2.6</v>
      </c>
      <c r="M90" s="14"/>
      <c r="N90" s="14"/>
      <c r="O90" s="14"/>
      <c r="P90" s="14"/>
      <c r="R90" s="86"/>
      <c r="T90" s="86"/>
      <c r="U90" s="86"/>
      <c r="V90" s="86"/>
      <c r="W90" s="86"/>
      <c r="X90" s="86"/>
      <c r="Y90" s="86"/>
      <c r="Z90" s="86"/>
      <c r="AA90" s="86"/>
      <c r="AB90" s="86"/>
      <c r="AC90" s="86"/>
      <c r="AD90" s="86"/>
      <c r="AE90" s="86"/>
      <c r="AF90" s="86"/>
      <c r="AG90" s="64">
        <f>2*H90+Q90</f>
        <v>1100</v>
      </c>
      <c r="AH90" s="86" t="s">
        <v>748</v>
      </c>
      <c r="AI90" s="6" t="s">
        <v>746</v>
      </c>
      <c r="AJ90" s="14" t="s">
        <v>742</v>
      </c>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v>2</v>
      </c>
      <c r="BN90" s="86" t="s">
        <v>437</v>
      </c>
      <c r="BO90" s="86"/>
      <c r="BP90" s="86"/>
      <c r="BQ90" s="86">
        <v>2</v>
      </c>
      <c r="BR90" s="86"/>
      <c r="BS90" s="86" t="s">
        <v>437</v>
      </c>
      <c r="BT90" s="86" t="s">
        <v>437</v>
      </c>
      <c r="BU90" s="86"/>
      <c r="BV90" s="86"/>
      <c r="BW90" s="86"/>
      <c r="BX90" s="86"/>
      <c r="BY90" s="36"/>
      <c r="BZ90" s="36"/>
    </row>
    <row r="91" spans="1:78">
      <c r="A91" s="6" t="s">
        <v>576</v>
      </c>
      <c r="C91" s="6" t="s">
        <v>562</v>
      </c>
      <c r="D91" s="6" t="s">
        <v>577</v>
      </c>
      <c r="E91" s="14" t="s">
        <v>788</v>
      </c>
      <c r="F91" s="14">
        <v>2</v>
      </c>
      <c r="G91" s="14">
        <v>4</v>
      </c>
      <c r="H91" s="62">
        <v>40</v>
      </c>
      <c r="I91" s="31">
        <v>4</v>
      </c>
      <c r="J91" s="14" t="s">
        <v>748</v>
      </c>
      <c r="K91" s="6" t="s">
        <v>746</v>
      </c>
      <c r="L91" s="14">
        <v>2.6</v>
      </c>
      <c r="M91" s="14"/>
      <c r="N91" s="14"/>
      <c r="O91" s="14"/>
      <c r="P91" s="14"/>
      <c r="Q91" s="86"/>
      <c r="R91" s="86"/>
      <c r="T91" s="86"/>
      <c r="U91" s="86"/>
      <c r="V91" s="86"/>
      <c r="W91" s="86"/>
      <c r="X91" s="86"/>
      <c r="Y91" s="86">
        <v>50</v>
      </c>
      <c r="Z91" s="86" t="s">
        <v>748</v>
      </c>
      <c r="AA91" s="6" t="s">
        <v>746</v>
      </c>
      <c r="AB91" s="86"/>
      <c r="AC91" s="86"/>
      <c r="AD91" s="86"/>
      <c r="AE91" s="86"/>
      <c r="AF91" s="86"/>
      <c r="AG91" s="64">
        <f>H91*2+Y91*2</f>
        <v>180</v>
      </c>
      <c r="AH91" s="86" t="s">
        <v>748</v>
      </c>
      <c r="AI91" s="6" t="s">
        <v>746</v>
      </c>
      <c r="AJ91" s="14" t="s">
        <v>742</v>
      </c>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v>3</v>
      </c>
      <c r="BN91" s="86" t="s">
        <v>437</v>
      </c>
      <c r="BO91" s="86"/>
      <c r="BP91" s="86"/>
      <c r="BQ91" s="86">
        <v>2</v>
      </c>
      <c r="BR91" s="86"/>
      <c r="BS91" s="86" t="s">
        <v>437</v>
      </c>
      <c r="BT91" s="86" t="s">
        <v>437</v>
      </c>
      <c r="BU91" s="86"/>
      <c r="BV91" s="86"/>
      <c r="BW91" s="86"/>
      <c r="BX91" s="86"/>
      <c r="BY91" s="36"/>
      <c r="BZ91" s="36"/>
    </row>
    <row r="92" spans="1:78" ht="12.75" customHeight="1">
      <c r="A92" s="36" t="s">
        <v>578</v>
      </c>
      <c r="B92" s="36"/>
      <c r="C92" s="36" t="s">
        <v>562</v>
      </c>
      <c r="D92" s="6" t="s">
        <v>86</v>
      </c>
      <c r="E92" s="86" t="s">
        <v>796</v>
      </c>
      <c r="F92" s="86">
        <v>8</v>
      </c>
      <c r="G92" s="86">
        <v>32</v>
      </c>
      <c r="H92" s="86">
        <v>80</v>
      </c>
      <c r="I92" s="31">
        <v>4</v>
      </c>
      <c r="J92" s="86" t="s">
        <v>748</v>
      </c>
      <c r="K92" s="6" t="s">
        <v>746</v>
      </c>
      <c r="L92" s="86" t="s">
        <v>742</v>
      </c>
      <c r="M92" s="86"/>
      <c r="N92" s="86"/>
      <c r="O92" s="86"/>
      <c r="P92" s="86"/>
      <c r="Q92" s="45"/>
      <c r="R92" s="45"/>
      <c r="S92" s="45"/>
      <c r="T92" s="45"/>
      <c r="U92" s="86"/>
      <c r="V92" s="86"/>
      <c r="W92" s="86"/>
      <c r="X92" s="86"/>
      <c r="Y92" s="86"/>
      <c r="Z92" s="86"/>
      <c r="AA92" s="86"/>
      <c r="AB92" s="86"/>
      <c r="AC92" s="86"/>
      <c r="AD92" s="86"/>
      <c r="AE92" s="86"/>
      <c r="AF92" s="86"/>
      <c r="AG92" s="64">
        <f>2*H92</f>
        <v>160</v>
      </c>
      <c r="AH92" s="86" t="s">
        <v>748</v>
      </c>
      <c r="AI92" s="6" t="s">
        <v>746</v>
      </c>
      <c r="AJ92" s="14" t="s">
        <v>742</v>
      </c>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v>2</v>
      </c>
      <c r="BN92" s="86" t="s">
        <v>437</v>
      </c>
      <c r="BO92" s="86"/>
      <c r="BP92" s="86"/>
      <c r="BQ92" s="86">
        <v>2</v>
      </c>
      <c r="BR92" s="86"/>
      <c r="BS92" s="86" t="s">
        <v>437</v>
      </c>
      <c r="BT92" s="86" t="s">
        <v>437</v>
      </c>
      <c r="BU92" s="86"/>
      <c r="BV92" s="86"/>
      <c r="BW92" s="86"/>
      <c r="BX92" s="86"/>
      <c r="BY92" s="36"/>
      <c r="BZ92" s="36"/>
    </row>
    <row r="93" spans="1:78" s="19" customFormat="1" ht="13.35" customHeight="1">
      <c r="A93" s="46" t="s">
        <v>581</v>
      </c>
      <c r="B93" s="46"/>
      <c r="C93" s="46" t="s">
        <v>562</v>
      </c>
      <c r="D93" s="19" t="s">
        <v>86</v>
      </c>
      <c r="E93" s="39" t="s">
        <v>796</v>
      </c>
      <c r="F93" s="39">
        <v>8</v>
      </c>
      <c r="G93" s="39">
        <v>32</v>
      </c>
      <c r="H93" s="39">
        <v>80</v>
      </c>
      <c r="I93" s="80">
        <v>4</v>
      </c>
      <c r="J93" s="39" t="s">
        <v>748</v>
      </c>
      <c r="K93" s="19" t="s">
        <v>746</v>
      </c>
      <c r="L93" s="39" t="s">
        <v>742</v>
      </c>
      <c r="M93" s="39"/>
      <c r="N93" s="39"/>
      <c r="O93" s="39"/>
      <c r="P93" s="39"/>
      <c r="Q93" s="112"/>
      <c r="R93" s="112"/>
      <c r="S93" s="112"/>
      <c r="T93" s="112"/>
      <c r="U93" s="39"/>
      <c r="V93" s="39"/>
      <c r="W93" s="39"/>
      <c r="X93" s="39"/>
      <c r="Y93" s="39"/>
      <c r="Z93" s="39"/>
      <c r="AA93" s="39"/>
      <c r="AB93" s="39"/>
      <c r="AC93" s="39"/>
      <c r="AD93" s="39"/>
      <c r="AE93" s="39"/>
      <c r="AF93" s="39"/>
      <c r="AG93" s="65">
        <f>2*H93</f>
        <v>160</v>
      </c>
      <c r="AH93" s="39" t="s">
        <v>748</v>
      </c>
      <c r="AI93" s="19" t="s">
        <v>746</v>
      </c>
      <c r="AJ93" s="17" t="s">
        <v>742</v>
      </c>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v>2</v>
      </c>
      <c r="BN93" s="39" t="s">
        <v>437</v>
      </c>
      <c r="BO93" s="39"/>
      <c r="BP93" s="39"/>
      <c r="BQ93" s="39">
        <v>2</v>
      </c>
      <c r="BR93" s="39"/>
      <c r="BS93" s="39" t="s">
        <v>437</v>
      </c>
      <c r="BT93" s="39" t="s">
        <v>437</v>
      </c>
      <c r="BU93" s="39"/>
      <c r="BV93" s="39"/>
      <c r="BW93" s="39"/>
      <c r="BX93" s="39"/>
      <c r="BY93" s="46"/>
      <c r="BZ93" s="46"/>
    </row>
    <row r="94" spans="1:78">
      <c r="A94" s="36"/>
      <c r="B94" s="36"/>
      <c r="C94" s="36"/>
      <c r="D94" s="36"/>
      <c r="F94" s="86">
        <f>F82+SUM(F86:F93)</f>
        <v>441</v>
      </c>
      <c r="G94" s="86">
        <f>G82+SUM(G86:G93)</f>
        <v>1161</v>
      </c>
      <c r="H94" s="86">
        <f>H82+SUM(H86:H93)</f>
        <v>6803</v>
      </c>
      <c r="I94" s="86"/>
      <c r="J94" s="86"/>
      <c r="K94" s="86"/>
      <c r="L94" s="86">
        <f>L82+SUM(L86:L93)</f>
        <v>1543.5999999999988</v>
      </c>
      <c r="M94" s="86">
        <f>M82+SUM(M86:M93)</f>
        <v>116.99</v>
      </c>
      <c r="N94" s="86"/>
      <c r="O94" s="86"/>
      <c r="P94" s="86">
        <f>P82+SUM(P86:P93)</f>
        <v>0.05</v>
      </c>
      <c r="Q94" s="86">
        <f>Q82+SUM(Q86:Q93)</f>
        <v>2450</v>
      </c>
      <c r="R94" s="86"/>
      <c r="S94" s="86"/>
      <c r="T94" s="86">
        <f>T82+SUM(T86:T93)</f>
        <v>0.05</v>
      </c>
      <c r="U94" s="86">
        <f>U82+SUM(U86:U93)</f>
        <v>3375</v>
      </c>
      <c r="V94" s="86"/>
      <c r="W94" s="86"/>
      <c r="X94" s="86">
        <f>X82+SUM(X86:X93)</f>
        <v>0.05</v>
      </c>
      <c r="Y94" s="86">
        <f>Y82+SUM(Y86:Y93)</f>
        <v>719</v>
      </c>
      <c r="Z94" s="86"/>
      <c r="AA94" s="86"/>
      <c r="AB94" s="86">
        <f>AB82+SUM(AB86:AB93)</f>
        <v>0.1</v>
      </c>
      <c r="AC94" s="86">
        <f>AC82+SUM(AC86:AC93)</f>
        <v>270</v>
      </c>
      <c r="AD94" s="86"/>
      <c r="AE94" s="86"/>
      <c r="AF94" s="86">
        <f>AF82+SUM(AF86:AF93)</f>
        <v>0</v>
      </c>
      <c r="AG94" s="64">
        <f>AG82+SUM(AG86:AG93)</f>
        <v>25307.5</v>
      </c>
      <c r="AH94" s="86"/>
      <c r="AI94" s="86"/>
      <c r="AJ94" s="86"/>
      <c r="AK94" s="86">
        <f>AK82+SUM(AK86:AK93)</f>
        <v>180</v>
      </c>
      <c r="AL94" s="86"/>
      <c r="AM94" s="86"/>
      <c r="AN94" s="86">
        <f>AN82+SUM(AN86:AN93)</f>
        <v>0.2</v>
      </c>
      <c r="AO94" s="86">
        <f>AO82+SUM(AO86:AO93)</f>
        <v>50</v>
      </c>
      <c r="AP94" s="86"/>
      <c r="AQ94" s="86"/>
      <c r="AR94" s="86">
        <f>AR82+SUM(AR86:AR93)</f>
        <v>0.05</v>
      </c>
      <c r="AS94" s="86">
        <f>AS82+SUM(AS86:AS93)</f>
        <v>170</v>
      </c>
      <c r="AT94" s="86"/>
      <c r="AU94" s="86"/>
      <c r="AV94" s="86">
        <f>AV82+SUM(AV86:AV93)</f>
        <v>0.1</v>
      </c>
      <c r="AW94" s="86">
        <f>AW82+SUM(AW86:AW93)</f>
        <v>150</v>
      </c>
      <c r="AX94" s="86"/>
      <c r="AY94" s="86"/>
      <c r="AZ94" s="86">
        <f>AZ82+SUM(AZ86:AZ93)</f>
        <v>0.05</v>
      </c>
      <c r="BA94" s="86">
        <f>BA82+SUM(BA86:BA93)</f>
        <v>360</v>
      </c>
      <c r="BB94" s="86"/>
      <c r="BC94" s="86"/>
      <c r="BD94" s="86">
        <f>BD82+SUM(BD86:BD93)</f>
        <v>0.15000000000000002</v>
      </c>
      <c r="BE94" s="86">
        <f>BE82+SUM(BE86:BE93)</f>
        <v>3072</v>
      </c>
      <c r="BF94" s="86"/>
      <c r="BG94" s="86"/>
      <c r="BH94" s="86">
        <f>BH82+SUM(BH86:BH93)</f>
        <v>0.05</v>
      </c>
      <c r="BI94" s="86"/>
      <c r="BJ94" s="86"/>
      <c r="BK94" s="86"/>
      <c r="BL94" s="86"/>
      <c r="BM94" s="86">
        <f>BM82+SUM(BM86:BM93)</f>
        <v>189</v>
      </c>
      <c r="BN94" s="86">
        <f>BN82+COUNTIF(BN86:BN93,"x")</f>
        <v>71</v>
      </c>
      <c r="BO94" s="86">
        <f>BO82+COUNTIF(BO86:BO93,"x")</f>
        <v>3</v>
      </c>
      <c r="BP94" s="86">
        <f>BP82+COUNTIF(BP86:BP93,"x")</f>
        <v>1</v>
      </c>
      <c r="BQ94" s="86">
        <f>BQ82+SUM(BQ86:BQ93)</f>
        <v>142</v>
      </c>
      <c r="BR94" s="86">
        <f>BR82+COUNTIF(BR86:BR93,"x")</f>
        <v>1</v>
      </c>
      <c r="BS94" s="86">
        <f>BS82+COUNTIF(BS86:BS93,"x")</f>
        <v>36</v>
      </c>
      <c r="BT94" s="86">
        <f>BT82+COUNTIF(BT86:BT93,"x")</f>
        <v>71</v>
      </c>
      <c r="BU94" s="14" t="s">
        <v>769</v>
      </c>
      <c r="BV94" s="14">
        <v>2</v>
      </c>
      <c r="BW94" s="14">
        <v>4</v>
      </c>
      <c r="BX94" s="14">
        <v>2</v>
      </c>
      <c r="BY94" s="36"/>
      <c r="BZ94" s="36"/>
    </row>
    <row r="96" spans="1:78">
      <c r="F96" s="21"/>
      <c r="H96" s="14"/>
      <c r="I96" s="14"/>
      <c r="J96" s="14"/>
      <c r="K96" s="14"/>
      <c r="L96" s="14"/>
      <c r="M96" s="14"/>
      <c r="N96" s="14"/>
      <c r="O96" s="14"/>
      <c r="P96" s="14"/>
      <c r="Q96" s="14"/>
      <c r="R96" s="14"/>
      <c r="S96" s="14"/>
      <c r="T96" s="14"/>
    </row>
    <row r="109" spans="1:6" ht="12.95">
      <c r="A109" s="36"/>
      <c r="B109" s="115"/>
      <c r="C109" s="115"/>
      <c r="D109" s="115"/>
      <c r="E109" s="115"/>
      <c r="F109" s="115"/>
    </row>
    <row r="110" spans="1:6">
      <c r="A110" s="36"/>
      <c r="B110" s="66"/>
      <c r="C110" s="66"/>
      <c r="D110" s="66"/>
      <c r="E110" s="66"/>
      <c r="F110" s="36"/>
    </row>
    <row r="111" spans="1:6">
      <c r="A111" s="36"/>
      <c r="B111" s="66"/>
      <c r="C111" s="66"/>
      <c r="D111" s="66"/>
      <c r="E111" s="66"/>
      <c r="F111" s="36"/>
    </row>
    <row r="114" spans="1:8" ht="12.95">
      <c r="A114" s="100"/>
      <c r="B114" s="101" t="s">
        <v>603</v>
      </c>
      <c r="C114" s="103" t="s">
        <v>382</v>
      </c>
      <c r="D114" s="101" t="s">
        <v>604</v>
      </c>
      <c r="E114" s="103" t="s">
        <v>605</v>
      </c>
      <c r="H114" s="116"/>
    </row>
    <row r="115" spans="1:8">
      <c r="A115" s="102" t="s">
        <v>607</v>
      </c>
      <c r="B115" s="100">
        <v>2250</v>
      </c>
      <c r="C115" s="100">
        <v>90</v>
      </c>
      <c r="D115" s="100">
        <v>3375</v>
      </c>
      <c r="E115" s="100">
        <v>9787.5</v>
      </c>
      <c r="H115" s="107"/>
    </row>
    <row r="116" spans="1:8">
      <c r="A116" s="102" t="s">
        <v>608</v>
      </c>
      <c r="B116" s="100">
        <v>5535</v>
      </c>
      <c r="C116" s="100">
        <v>115</v>
      </c>
      <c r="D116" s="100">
        <v>4590</v>
      </c>
      <c r="E116" s="100">
        <v>16605</v>
      </c>
      <c r="H116" s="100"/>
    </row>
    <row r="120" spans="1:8">
      <c r="C120" s="123"/>
    </row>
    <row r="121" spans="1:8">
      <c r="C121" s="123"/>
    </row>
  </sheetData>
  <mergeCells count="8">
    <mergeCell ref="F3:G3"/>
    <mergeCell ref="A4:B4"/>
    <mergeCell ref="A5:B5"/>
    <mergeCell ref="A50:B50"/>
    <mergeCell ref="A6:B6"/>
    <mergeCell ref="A1:D1"/>
    <mergeCell ref="A2:B2"/>
    <mergeCell ref="A3:B3"/>
  </mergeCells>
  <dataValidations count="1">
    <dataValidation type="list" allowBlank="1" showInputMessage="1" showErrorMessage="1" sqref="Q11" xr:uid="{6F1F186D-687C-474A-80A0-F7BBF34F2CFC}">
      <formula1>$B115:$B116</formula1>
    </dataValidation>
  </dataValidations>
  <hyperlinks>
    <hyperlink ref="F3:G3" location="Shortcuts!A1" display="Back to shortcuts" xr:uid="{232D4697-E24F-4986-A487-7B69EBAC8F02}"/>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85AF-580C-4648-9FE4-90EB6D630630}">
  <dimension ref="A1:BA94"/>
  <sheetViews>
    <sheetView topLeftCell="A30" zoomScale="85" zoomScaleNormal="85" zoomScalePageLayoutView="70" workbookViewId="0">
      <selection activeCell="AF52" sqref="AF52"/>
    </sheetView>
  </sheetViews>
  <sheetFormatPr defaultColWidth="8.85546875" defaultRowHeight="12.6"/>
  <cols>
    <col min="1" max="1" width="16.140625" style="6" customWidth="1"/>
    <col min="2" max="2" width="15" style="6" customWidth="1"/>
    <col min="3" max="3" width="18.140625" style="6" customWidth="1"/>
    <col min="4" max="4" width="23.140625" style="6" customWidth="1"/>
    <col min="5" max="5" width="55.140625" style="6" customWidth="1"/>
    <col min="6" max="7" width="8.85546875" style="6"/>
    <col min="8" max="8" width="21.140625" style="6" customWidth="1"/>
    <col min="9" max="10" width="8.85546875" style="6"/>
    <col min="11" max="11" width="17.85546875" style="6" customWidth="1"/>
    <col min="12" max="12" width="8.85546875" style="6"/>
    <col min="13" max="13" width="9.85546875" style="6" customWidth="1"/>
    <col min="14" max="14" width="8.85546875" style="6"/>
    <col min="15" max="15" width="11.85546875" style="6" customWidth="1"/>
    <col min="16" max="16" width="8.85546875" style="6"/>
    <col min="17" max="17" width="9.85546875" style="6" customWidth="1"/>
    <col min="18" max="18" width="8.85546875" style="6"/>
    <col min="19" max="19" width="9.85546875" style="6" customWidth="1"/>
    <col min="20" max="20" width="10" style="6" customWidth="1"/>
    <col min="21" max="21" width="9.85546875" style="6" customWidth="1"/>
    <col min="22" max="22" width="8.85546875" style="6"/>
    <col min="23" max="23" width="9.85546875" style="14" customWidth="1"/>
    <col min="24" max="24" width="10.140625" style="6" customWidth="1"/>
    <col min="25" max="26" width="9.85546875" style="6" customWidth="1"/>
    <col min="27" max="32" width="12.85546875" style="6" customWidth="1"/>
    <col min="33" max="39" width="15.42578125" style="6" customWidth="1"/>
    <col min="40" max="42" width="12.85546875" style="6" customWidth="1"/>
    <col min="43" max="43" width="17.5703125" style="6" customWidth="1"/>
    <col min="44" max="44" width="22" style="6" customWidth="1"/>
    <col min="45" max="45" width="12.140625" style="6" customWidth="1"/>
    <col min="46" max="46" width="13.140625" style="6" customWidth="1"/>
    <col min="47" max="16384" width="8.85546875" style="6"/>
  </cols>
  <sheetData>
    <row r="1" spans="1:46" ht="12.95">
      <c r="A1" s="7" t="s">
        <v>38</v>
      </c>
      <c r="B1" s="7"/>
      <c r="C1" s="7"/>
      <c r="D1" s="7"/>
      <c r="F1" s="7" t="s">
        <v>718</v>
      </c>
    </row>
    <row r="2" spans="1:46" ht="14.45">
      <c r="A2" s="171" t="s">
        <v>410</v>
      </c>
      <c r="B2" s="172"/>
      <c r="C2" s="26"/>
      <c r="D2" s="6" t="s">
        <v>719</v>
      </c>
    </row>
    <row r="3" spans="1:46" ht="14.45">
      <c r="A3" s="171" t="s">
        <v>412</v>
      </c>
      <c r="B3" s="171"/>
      <c r="C3" s="114"/>
      <c r="D3" s="6" t="s">
        <v>518</v>
      </c>
      <c r="F3" s="173" t="s">
        <v>413</v>
      </c>
      <c r="G3" s="173"/>
    </row>
    <row r="4" spans="1:46" ht="12.95">
      <c r="A4" s="171" t="s">
        <v>414</v>
      </c>
      <c r="B4" s="171"/>
      <c r="C4" s="6" t="s">
        <v>411</v>
      </c>
    </row>
    <row r="5" spans="1:46">
      <c r="A5" s="171" t="s">
        <v>415</v>
      </c>
      <c r="B5" s="171"/>
      <c r="C5" s="36" t="s">
        <v>720</v>
      </c>
    </row>
    <row r="6" spans="1:46">
      <c r="A6" s="171" t="s">
        <v>416</v>
      </c>
      <c r="B6" s="171"/>
    </row>
    <row r="7" spans="1:46" ht="26.1">
      <c r="A7" s="9" t="s">
        <v>183</v>
      </c>
      <c r="B7" s="9" t="s">
        <v>417</v>
      </c>
      <c r="C7" s="9" t="s">
        <v>418</v>
      </c>
      <c r="D7" s="9" t="s">
        <v>419</v>
      </c>
      <c r="E7" s="9" t="s">
        <v>420</v>
      </c>
      <c r="F7" s="8" t="s">
        <v>157</v>
      </c>
      <c r="G7" s="8" t="s">
        <v>173</v>
      </c>
      <c r="H7" s="8" t="s">
        <v>421</v>
      </c>
      <c r="I7" s="8" t="s">
        <v>177</v>
      </c>
      <c r="J7" s="8" t="s">
        <v>422</v>
      </c>
      <c r="K7" s="8" t="s">
        <v>423</v>
      </c>
      <c r="L7" s="8" t="s">
        <v>198</v>
      </c>
      <c r="M7" s="8" t="s">
        <v>423</v>
      </c>
      <c r="N7" s="8" t="s">
        <v>53</v>
      </c>
      <c r="O7" s="8" t="s">
        <v>423</v>
      </c>
      <c r="P7" s="8" t="s">
        <v>202</v>
      </c>
      <c r="Q7" s="8" t="s">
        <v>423</v>
      </c>
      <c r="R7" s="8" t="s">
        <v>217</v>
      </c>
      <c r="S7" s="8" t="s">
        <v>423</v>
      </c>
      <c r="T7" s="8" t="s">
        <v>222</v>
      </c>
      <c r="U7" s="8" t="s">
        <v>423</v>
      </c>
      <c r="V7" s="8" t="s">
        <v>206</v>
      </c>
      <c r="W7" s="8" t="s">
        <v>423</v>
      </c>
      <c r="X7" s="8" t="s">
        <v>424</v>
      </c>
      <c r="Y7" s="8" t="s">
        <v>423</v>
      </c>
      <c r="Z7" s="8" t="s">
        <v>610</v>
      </c>
      <c r="AA7" s="8" t="s">
        <v>423</v>
      </c>
      <c r="AB7" s="8" t="s">
        <v>426</v>
      </c>
      <c r="AC7" s="8" t="s">
        <v>423</v>
      </c>
      <c r="AD7" s="8" t="s">
        <v>427</v>
      </c>
      <c r="AE7" s="8" t="s">
        <v>423</v>
      </c>
      <c r="AF7" s="8" t="s">
        <v>428</v>
      </c>
      <c r="AG7" s="8" t="s">
        <v>423</v>
      </c>
      <c r="AH7" s="8" t="s">
        <v>797</v>
      </c>
      <c r="AI7" s="8" t="s">
        <v>423</v>
      </c>
      <c r="AJ7" s="8" t="s">
        <v>523</v>
      </c>
      <c r="AK7" s="8" t="s">
        <v>423</v>
      </c>
      <c r="AL7" s="8" t="s">
        <v>524</v>
      </c>
      <c r="AM7" s="8" t="s">
        <v>423</v>
      </c>
      <c r="AN7" s="83" t="s">
        <v>525</v>
      </c>
      <c r="AO7" s="8" t="s">
        <v>423</v>
      </c>
      <c r="AP7" s="8" t="s">
        <v>477</v>
      </c>
      <c r="AQ7" s="8" t="s">
        <v>423</v>
      </c>
      <c r="AR7" s="8" t="s">
        <v>431</v>
      </c>
      <c r="AS7" s="8" t="s">
        <v>432</v>
      </c>
      <c r="AT7" s="8" t="s">
        <v>433</v>
      </c>
    </row>
    <row r="8" spans="1:46">
      <c r="A8" s="26" t="s">
        <v>434</v>
      </c>
      <c r="B8" s="26"/>
      <c r="C8" s="26" t="s">
        <v>442</v>
      </c>
      <c r="D8" s="26" t="s">
        <v>435</v>
      </c>
      <c r="E8" s="26" t="s">
        <v>42</v>
      </c>
      <c r="F8" s="27">
        <v>4</v>
      </c>
      <c r="G8" s="27">
        <v>16</v>
      </c>
      <c r="H8" s="27">
        <v>0</v>
      </c>
      <c r="I8" s="27">
        <v>351</v>
      </c>
      <c r="J8" s="27">
        <f>IF(G8&gt;=10,16, 4)</f>
        <v>16</v>
      </c>
      <c r="K8" s="27" t="s">
        <v>526</v>
      </c>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t="s">
        <v>437</v>
      </c>
      <c r="AS8" s="27"/>
      <c r="AT8" s="27"/>
    </row>
    <row r="9" spans="1:46">
      <c r="A9" s="6" t="s">
        <v>440</v>
      </c>
      <c r="B9" s="14" t="s">
        <v>441</v>
      </c>
      <c r="C9" s="6" t="s">
        <v>442</v>
      </c>
      <c r="D9" s="6" t="s">
        <v>435</v>
      </c>
      <c r="E9" s="6" t="s">
        <v>50</v>
      </c>
      <c r="F9" s="14">
        <v>6</v>
      </c>
      <c r="G9" s="14">
        <v>8</v>
      </c>
      <c r="H9" s="14">
        <v>8</v>
      </c>
      <c r="I9" s="14">
        <v>41</v>
      </c>
      <c r="J9" s="86">
        <f>IF(G9&gt;=10,16, 4)</f>
        <v>4</v>
      </c>
      <c r="K9" s="14" t="s">
        <v>528</v>
      </c>
      <c r="L9" s="14"/>
      <c r="M9" s="14"/>
      <c r="N9" s="14"/>
      <c r="O9" s="14"/>
      <c r="P9" s="14"/>
      <c r="Q9" s="14"/>
      <c r="R9" s="14"/>
      <c r="S9" s="14"/>
      <c r="T9" s="14"/>
      <c r="U9" s="14"/>
      <c r="V9" s="14"/>
      <c r="X9" s="14"/>
      <c r="Y9" s="14"/>
      <c r="Z9" s="14"/>
      <c r="AA9" s="14"/>
      <c r="AB9" s="14"/>
      <c r="AC9" s="14"/>
      <c r="AD9" s="14"/>
      <c r="AE9" s="14"/>
      <c r="AF9" s="14"/>
      <c r="AG9" s="14"/>
      <c r="AH9" s="14"/>
      <c r="AI9" s="14"/>
      <c r="AJ9" s="14"/>
      <c r="AK9" s="14"/>
      <c r="AL9" s="14"/>
      <c r="AM9" s="14"/>
      <c r="AN9" s="14"/>
      <c r="AO9" s="14"/>
      <c r="AP9" s="14"/>
      <c r="AQ9" s="14"/>
      <c r="AR9" s="14" t="s">
        <v>437</v>
      </c>
      <c r="AS9" s="14"/>
      <c r="AT9" s="14"/>
    </row>
    <row r="10" spans="1:46">
      <c r="A10" s="6" t="s">
        <v>444</v>
      </c>
      <c r="B10" s="14"/>
      <c r="C10" s="6" t="s">
        <v>442</v>
      </c>
      <c r="D10" s="6" t="s">
        <v>435</v>
      </c>
      <c r="E10" s="6" t="s">
        <v>53</v>
      </c>
      <c r="F10" s="86">
        <v>16</v>
      </c>
      <c r="G10" s="86">
        <v>160</v>
      </c>
      <c r="H10" s="86">
        <f>(G10*82.5)/100</f>
        <v>132</v>
      </c>
      <c r="I10" s="86">
        <v>117</v>
      </c>
      <c r="J10" s="86">
        <v>32</v>
      </c>
      <c r="K10" s="86" t="s">
        <v>529</v>
      </c>
      <c r="L10" s="86">
        <v>500</v>
      </c>
      <c r="M10" s="86" t="s">
        <v>445</v>
      </c>
      <c r="N10" s="86">
        <v>9000</v>
      </c>
      <c r="O10" s="86" t="s">
        <v>446</v>
      </c>
      <c r="P10" s="86">
        <v>13500</v>
      </c>
      <c r="Q10" s="86" t="s">
        <v>447</v>
      </c>
      <c r="R10" s="86"/>
      <c r="S10" s="86"/>
      <c r="T10" s="86"/>
      <c r="U10" s="86"/>
      <c r="V10" s="86"/>
      <c r="W10" s="86"/>
      <c r="X10" s="86">
        <v>30556</v>
      </c>
      <c r="Y10" s="86" t="s">
        <v>206</v>
      </c>
      <c r="Z10" s="14"/>
      <c r="AA10" s="14"/>
      <c r="AB10" s="14"/>
      <c r="AC10" s="14"/>
      <c r="AD10" s="14"/>
      <c r="AE10" s="14"/>
      <c r="AF10" s="14"/>
      <c r="AG10" s="14"/>
      <c r="AH10" s="14"/>
      <c r="AI10" s="14"/>
      <c r="AJ10" s="14"/>
      <c r="AK10" s="14"/>
      <c r="AL10" s="14"/>
      <c r="AM10" s="14"/>
      <c r="AN10" s="14">
        <v>6144</v>
      </c>
      <c r="AO10" s="14" t="s">
        <v>530</v>
      </c>
      <c r="AP10" s="14"/>
      <c r="AQ10" s="14"/>
      <c r="AR10" s="14" t="s">
        <v>437</v>
      </c>
      <c r="AS10" s="14"/>
      <c r="AT10" s="14"/>
    </row>
    <row r="11" spans="1:46">
      <c r="A11" s="6" t="s">
        <v>448</v>
      </c>
      <c r="B11" s="14" t="s">
        <v>441</v>
      </c>
      <c r="C11" s="6" t="s">
        <v>442</v>
      </c>
      <c r="D11" s="6" t="s">
        <v>435</v>
      </c>
      <c r="E11" s="6" t="s">
        <v>57</v>
      </c>
      <c r="F11" s="14">
        <v>8</v>
      </c>
      <c r="G11" s="14">
        <v>9</v>
      </c>
      <c r="H11" s="14">
        <v>9</v>
      </c>
      <c r="I11" s="14">
        <v>46</v>
      </c>
      <c r="J11" s="86">
        <f t="shared" ref="J11:J33" si="0">IF(G11&gt;=10,16, 4)</f>
        <v>4</v>
      </c>
      <c r="K11" s="14" t="s">
        <v>531</v>
      </c>
      <c r="L11" s="14"/>
      <c r="M11" s="14"/>
      <c r="N11" s="14"/>
      <c r="O11" s="14"/>
      <c r="P11" s="14"/>
      <c r="Q11" s="14"/>
      <c r="R11" s="86">
        <v>920</v>
      </c>
      <c r="S11" s="86" t="s">
        <v>449</v>
      </c>
      <c r="T11" s="14">
        <v>300</v>
      </c>
      <c r="U11" s="86" t="s">
        <v>222</v>
      </c>
      <c r="V11" s="86"/>
      <c r="W11" s="86"/>
      <c r="X11" s="86">
        <v>500</v>
      </c>
      <c r="Y11" s="86" t="s">
        <v>206</v>
      </c>
      <c r="Z11" s="14"/>
      <c r="AA11" s="14"/>
      <c r="AB11" s="14"/>
      <c r="AC11" s="14"/>
      <c r="AD11" s="14"/>
      <c r="AE11" s="14"/>
      <c r="AF11" s="14"/>
      <c r="AG11" s="14"/>
      <c r="AH11" s="14"/>
      <c r="AI11" s="14"/>
      <c r="AJ11" s="14"/>
      <c r="AK11" s="14"/>
      <c r="AL11" s="14"/>
      <c r="AM11" s="14"/>
      <c r="AN11" s="14"/>
      <c r="AO11" s="14"/>
      <c r="AP11" s="14"/>
      <c r="AQ11" s="14"/>
      <c r="AR11" s="14" t="s">
        <v>437</v>
      </c>
      <c r="AS11" s="14"/>
      <c r="AT11" s="14"/>
    </row>
    <row r="12" spans="1:46">
      <c r="A12" s="6" t="s">
        <v>450</v>
      </c>
      <c r="C12" s="6" t="s">
        <v>442</v>
      </c>
      <c r="D12" s="6" t="s">
        <v>435</v>
      </c>
      <c r="E12" s="6" t="s">
        <v>61</v>
      </c>
      <c r="F12" s="14">
        <v>2</v>
      </c>
      <c r="G12" s="14">
        <v>3</v>
      </c>
      <c r="H12" s="14">
        <v>0</v>
      </c>
      <c r="I12" s="14">
        <v>31</v>
      </c>
      <c r="J12" s="86">
        <f t="shared" si="0"/>
        <v>4</v>
      </c>
      <c r="K12" s="14" t="s">
        <v>528</v>
      </c>
      <c r="L12" s="14"/>
      <c r="M12" s="14"/>
      <c r="N12" s="14"/>
      <c r="O12" s="14"/>
      <c r="P12" s="14"/>
      <c r="Q12" s="14"/>
      <c r="R12" s="14"/>
      <c r="S12" s="14"/>
      <c r="T12" s="14"/>
      <c r="U12" s="14"/>
      <c r="V12" s="14"/>
      <c r="X12" s="14"/>
      <c r="Y12" s="14"/>
      <c r="Z12" s="14"/>
      <c r="AA12" s="14"/>
      <c r="AB12" s="14"/>
      <c r="AC12" s="14"/>
      <c r="AD12" s="14"/>
      <c r="AE12" s="14"/>
      <c r="AF12" s="14"/>
      <c r="AG12" s="14"/>
      <c r="AH12" s="14"/>
      <c r="AI12" s="14"/>
      <c r="AJ12" s="14"/>
      <c r="AK12" s="14"/>
      <c r="AL12" s="14"/>
      <c r="AM12" s="14"/>
      <c r="AN12" s="14"/>
      <c r="AO12" s="14"/>
      <c r="AP12" s="14"/>
      <c r="AQ12" s="14"/>
      <c r="AR12" s="14" t="s">
        <v>437</v>
      </c>
      <c r="AS12" s="14" t="s">
        <v>437</v>
      </c>
      <c r="AT12" s="14" t="s">
        <v>437</v>
      </c>
    </row>
    <row r="13" spans="1:46">
      <c r="A13" s="6" t="s">
        <v>451</v>
      </c>
      <c r="C13" s="6" t="s">
        <v>442</v>
      </c>
      <c r="D13" s="6" t="s">
        <v>435</v>
      </c>
      <c r="E13" s="6" t="s">
        <v>65</v>
      </c>
      <c r="F13" s="14">
        <v>2</v>
      </c>
      <c r="G13" s="14">
        <v>5</v>
      </c>
      <c r="H13" s="14">
        <v>0</v>
      </c>
      <c r="I13" s="14">
        <v>31</v>
      </c>
      <c r="J13" s="86">
        <f t="shared" si="0"/>
        <v>4</v>
      </c>
      <c r="K13" s="14" t="s">
        <v>529</v>
      </c>
      <c r="L13" s="14"/>
      <c r="M13" s="14"/>
      <c r="N13" s="14"/>
      <c r="O13" s="14"/>
      <c r="P13" s="14"/>
      <c r="Q13" s="14"/>
      <c r="R13" s="14"/>
      <c r="S13" s="14"/>
      <c r="T13" s="14"/>
      <c r="U13" s="14"/>
      <c r="V13" s="14"/>
      <c r="X13" s="14"/>
      <c r="Y13" s="14"/>
      <c r="Z13" s="14"/>
      <c r="AA13" s="14"/>
      <c r="AB13" s="14"/>
      <c r="AC13" s="14"/>
      <c r="AD13" s="14"/>
      <c r="AE13" s="14"/>
      <c r="AF13" s="14"/>
      <c r="AG13" s="14"/>
      <c r="AH13" s="14"/>
      <c r="AI13" s="14"/>
      <c r="AJ13" s="14"/>
      <c r="AK13" s="14"/>
      <c r="AL13" s="14"/>
      <c r="AM13" s="14"/>
      <c r="AN13" s="14"/>
      <c r="AO13" s="14"/>
      <c r="AP13" s="14"/>
      <c r="AQ13" s="14"/>
      <c r="AR13" s="14" t="s">
        <v>437</v>
      </c>
      <c r="AS13" s="14"/>
      <c r="AT13" s="14"/>
    </row>
    <row r="14" spans="1:46">
      <c r="A14" s="6" t="s">
        <v>452</v>
      </c>
      <c r="C14" s="6" t="s">
        <v>442</v>
      </c>
      <c r="D14" s="6" t="s">
        <v>435</v>
      </c>
      <c r="E14" s="6" t="s">
        <v>611</v>
      </c>
      <c r="F14" s="14">
        <v>3</v>
      </c>
      <c r="G14" s="14">
        <v>6</v>
      </c>
      <c r="H14" s="14">
        <v>0</v>
      </c>
      <c r="I14" s="14">
        <v>41</v>
      </c>
      <c r="J14" s="86">
        <f t="shared" si="0"/>
        <v>4</v>
      </c>
      <c r="K14" s="14" t="s">
        <v>531</v>
      </c>
      <c r="L14" s="14"/>
      <c r="M14" s="14"/>
      <c r="N14" s="14"/>
      <c r="O14" s="14"/>
      <c r="P14" s="14"/>
      <c r="Q14" s="14"/>
      <c r="R14" s="14"/>
      <c r="S14" s="14"/>
      <c r="T14" s="14"/>
      <c r="U14" s="14"/>
      <c r="V14" s="14"/>
      <c r="X14" s="14"/>
      <c r="Y14" s="14"/>
      <c r="Z14" s="14"/>
      <c r="AA14" s="14"/>
      <c r="AB14" s="14"/>
      <c r="AC14" s="14"/>
      <c r="AD14" s="14"/>
      <c r="AE14" s="14"/>
      <c r="AF14" s="14"/>
      <c r="AG14" s="14"/>
      <c r="AH14" s="14"/>
      <c r="AI14" s="14"/>
      <c r="AJ14" s="14"/>
      <c r="AK14" s="14"/>
      <c r="AL14" s="14"/>
      <c r="AM14" s="14"/>
      <c r="AN14" s="14"/>
      <c r="AO14" s="14"/>
      <c r="AP14" s="14"/>
      <c r="AQ14" s="14"/>
      <c r="AR14" s="14" t="s">
        <v>437</v>
      </c>
      <c r="AS14" s="14" t="s">
        <v>437</v>
      </c>
      <c r="AT14" s="14"/>
    </row>
    <row r="15" spans="1:46">
      <c r="A15" s="6" t="s">
        <v>454</v>
      </c>
      <c r="C15" s="6" t="s">
        <v>442</v>
      </c>
      <c r="D15" s="6" t="s">
        <v>435</v>
      </c>
      <c r="E15" s="6" t="s">
        <v>455</v>
      </c>
      <c r="F15" s="14">
        <v>5</v>
      </c>
      <c r="G15" s="14">
        <v>7</v>
      </c>
      <c r="H15" s="14">
        <v>0</v>
      </c>
      <c r="I15" s="14">
        <v>56</v>
      </c>
      <c r="J15" s="86">
        <f t="shared" si="0"/>
        <v>4</v>
      </c>
      <c r="K15" s="14" t="s">
        <v>528</v>
      </c>
      <c r="L15" s="14"/>
      <c r="M15" s="14"/>
      <c r="N15" s="14"/>
      <c r="O15" s="14"/>
      <c r="P15" s="14"/>
      <c r="Q15" s="14"/>
      <c r="R15" s="14"/>
      <c r="S15" s="14"/>
      <c r="T15" s="14"/>
      <c r="U15" s="14"/>
      <c r="V15" s="14"/>
      <c r="X15" s="14"/>
      <c r="Y15" s="14"/>
      <c r="Z15" s="14"/>
      <c r="AA15" s="14"/>
      <c r="AB15" s="14"/>
      <c r="AC15" s="14"/>
      <c r="AD15" s="14"/>
      <c r="AE15" s="14"/>
      <c r="AF15" s="14"/>
      <c r="AG15" s="14"/>
      <c r="AH15" s="14"/>
      <c r="AI15" s="14"/>
      <c r="AJ15" s="14"/>
      <c r="AK15" s="14"/>
      <c r="AL15" s="14"/>
      <c r="AM15" s="14"/>
      <c r="AN15" s="14"/>
      <c r="AO15" s="14"/>
      <c r="AP15" s="14"/>
      <c r="AQ15" s="14"/>
      <c r="AR15" s="14" t="s">
        <v>437</v>
      </c>
      <c r="AS15" s="14" t="s">
        <v>437</v>
      </c>
      <c r="AT15" s="14"/>
    </row>
    <row r="16" spans="1:46">
      <c r="A16" s="6" t="s">
        <v>456</v>
      </c>
      <c r="C16" s="6" t="s">
        <v>442</v>
      </c>
      <c r="D16" s="6" t="s">
        <v>435</v>
      </c>
      <c r="E16" s="6" t="s">
        <v>77</v>
      </c>
      <c r="F16" s="14">
        <v>8</v>
      </c>
      <c r="G16" s="14">
        <v>13</v>
      </c>
      <c r="H16" s="14">
        <v>0</v>
      </c>
      <c r="I16" s="14">
        <v>81</v>
      </c>
      <c r="J16" s="86">
        <f t="shared" si="0"/>
        <v>16</v>
      </c>
      <c r="K16" s="14" t="s">
        <v>529</v>
      </c>
      <c r="L16" s="14"/>
      <c r="M16" s="14"/>
      <c r="N16" s="14"/>
      <c r="O16" s="14"/>
      <c r="P16" s="14"/>
      <c r="Q16" s="14"/>
      <c r="R16" s="14"/>
      <c r="S16" s="14"/>
      <c r="T16" s="14"/>
      <c r="U16" s="14"/>
      <c r="V16" s="14"/>
      <c r="X16" s="14"/>
      <c r="Y16" s="14"/>
      <c r="Z16" s="14"/>
      <c r="AA16" s="14"/>
      <c r="AB16" s="14"/>
      <c r="AC16" s="14"/>
      <c r="AD16" s="14"/>
      <c r="AE16" s="14"/>
      <c r="AF16" s="14"/>
      <c r="AG16" s="14"/>
      <c r="AH16" s="14"/>
      <c r="AI16" s="14"/>
      <c r="AJ16" s="14"/>
      <c r="AK16" s="14"/>
      <c r="AL16" s="14"/>
      <c r="AM16" s="14"/>
      <c r="AN16" s="14"/>
      <c r="AO16" s="14"/>
      <c r="AP16" s="14"/>
      <c r="AQ16" s="14"/>
      <c r="AR16" s="14" t="s">
        <v>437</v>
      </c>
      <c r="AS16" s="14" t="s">
        <v>437</v>
      </c>
      <c r="AT16" s="14"/>
    </row>
    <row r="17" spans="1:46">
      <c r="A17" s="6" t="s">
        <v>457</v>
      </c>
      <c r="C17" s="6" t="s">
        <v>442</v>
      </c>
      <c r="D17" s="6" t="s">
        <v>435</v>
      </c>
      <c r="E17" s="6" t="s">
        <v>81</v>
      </c>
      <c r="F17" s="14">
        <v>4</v>
      </c>
      <c r="G17" s="14">
        <v>4</v>
      </c>
      <c r="H17" s="14">
        <v>0</v>
      </c>
      <c r="I17" s="14">
        <v>31</v>
      </c>
      <c r="J17" s="86">
        <f t="shared" si="0"/>
        <v>4</v>
      </c>
      <c r="K17" s="14" t="s">
        <v>531</v>
      </c>
      <c r="L17" s="14"/>
      <c r="M17" s="14"/>
      <c r="N17" s="14"/>
      <c r="O17" s="14"/>
      <c r="P17" s="14"/>
      <c r="Q17" s="14"/>
      <c r="R17" s="14"/>
      <c r="S17" s="14"/>
      <c r="T17" s="14"/>
      <c r="U17" s="14"/>
      <c r="V17" s="14"/>
      <c r="X17" s="14"/>
      <c r="Y17" s="14"/>
      <c r="Z17" s="14"/>
      <c r="AA17" s="14"/>
      <c r="AB17" s="14"/>
      <c r="AC17" s="14"/>
      <c r="AD17" s="14"/>
      <c r="AE17" s="14"/>
      <c r="AF17" s="14"/>
      <c r="AG17" s="14"/>
      <c r="AH17" s="14"/>
      <c r="AI17" s="14"/>
      <c r="AJ17" s="14"/>
      <c r="AK17" s="14"/>
      <c r="AL17" s="14"/>
      <c r="AM17" s="14"/>
      <c r="AN17" s="14"/>
      <c r="AO17" s="14"/>
      <c r="AP17" s="14"/>
      <c r="AQ17" s="14"/>
      <c r="AR17" s="14" t="s">
        <v>437</v>
      </c>
      <c r="AS17" s="14" t="s">
        <v>437</v>
      </c>
      <c r="AT17" s="14" t="s">
        <v>437</v>
      </c>
    </row>
    <row r="18" spans="1:46">
      <c r="A18" s="6" t="s">
        <v>458</v>
      </c>
      <c r="C18" s="6" t="s">
        <v>442</v>
      </c>
      <c r="D18" s="6" t="s">
        <v>435</v>
      </c>
      <c r="E18" s="6" t="s">
        <v>459</v>
      </c>
      <c r="F18" s="14">
        <v>8</v>
      </c>
      <c r="G18" s="14">
        <v>13</v>
      </c>
      <c r="H18" s="14">
        <v>0</v>
      </c>
      <c r="I18" s="14">
        <v>109</v>
      </c>
      <c r="J18" s="86">
        <f t="shared" si="0"/>
        <v>16</v>
      </c>
      <c r="K18" s="14" t="s">
        <v>528</v>
      </c>
      <c r="L18" s="14"/>
      <c r="M18" s="14"/>
      <c r="N18" s="14"/>
      <c r="O18" s="14"/>
      <c r="P18" s="14"/>
      <c r="Q18" s="14"/>
      <c r="R18" s="14"/>
      <c r="S18" s="14"/>
      <c r="T18" s="14"/>
      <c r="U18" s="14"/>
      <c r="V18" s="14"/>
      <c r="X18" s="14"/>
      <c r="Y18" s="14"/>
      <c r="Z18" s="14"/>
      <c r="AA18" s="14"/>
      <c r="AB18" s="14">
        <v>50</v>
      </c>
      <c r="AC18" s="14" t="s">
        <v>531</v>
      </c>
      <c r="AD18" s="14"/>
      <c r="AE18" s="14"/>
      <c r="AF18" s="14"/>
      <c r="AG18" s="14"/>
      <c r="AH18" s="14"/>
      <c r="AI18" s="14"/>
      <c r="AJ18" s="14"/>
      <c r="AK18" s="14"/>
      <c r="AL18" s="14"/>
      <c r="AM18" s="14"/>
      <c r="AN18" s="14"/>
      <c r="AO18" s="14"/>
      <c r="AP18" s="14"/>
      <c r="AQ18" s="14"/>
      <c r="AR18" s="14" t="s">
        <v>437</v>
      </c>
      <c r="AS18" s="14"/>
      <c r="AT18" s="14"/>
    </row>
    <row r="19" spans="1:46">
      <c r="A19" s="6" t="s">
        <v>460</v>
      </c>
      <c r="C19" s="6" t="s">
        <v>442</v>
      </c>
      <c r="D19" s="6" t="s">
        <v>435</v>
      </c>
      <c r="E19" s="6" t="s">
        <v>88</v>
      </c>
      <c r="F19" s="14">
        <v>6</v>
      </c>
      <c r="G19" s="14">
        <v>8</v>
      </c>
      <c r="H19" s="14">
        <v>0</v>
      </c>
      <c r="I19" s="14">
        <v>169</v>
      </c>
      <c r="J19" s="86">
        <f t="shared" si="0"/>
        <v>4</v>
      </c>
      <c r="K19" s="14" t="s">
        <v>529</v>
      </c>
      <c r="L19" s="14"/>
      <c r="M19" s="14"/>
      <c r="N19" s="14"/>
      <c r="O19" s="14"/>
      <c r="P19" s="14"/>
      <c r="Q19" s="14"/>
      <c r="R19" s="14"/>
      <c r="S19" s="14"/>
      <c r="T19" s="14"/>
      <c r="U19" s="14"/>
      <c r="V19" s="14"/>
      <c r="X19" s="14"/>
      <c r="Y19" s="14"/>
      <c r="Z19" s="14"/>
      <c r="AA19" s="14"/>
      <c r="AB19" s="14"/>
      <c r="AC19" s="14"/>
      <c r="AD19" s="14"/>
      <c r="AE19" s="14"/>
      <c r="AF19" s="14"/>
      <c r="AG19" s="14"/>
      <c r="AH19" s="14"/>
      <c r="AI19" s="14"/>
      <c r="AJ19" s="14"/>
      <c r="AK19" s="14"/>
      <c r="AL19" s="14"/>
      <c r="AM19" s="14"/>
      <c r="AN19" s="14"/>
      <c r="AO19" s="14"/>
      <c r="AP19" s="14"/>
      <c r="AQ19" s="14"/>
      <c r="AR19" s="14" t="s">
        <v>437</v>
      </c>
      <c r="AS19" s="14" t="s">
        <v>437</v>
      </c>
      <c r="AT19" s="14"/>
    </row>
    <row r="20" spans="1:46">
      <c r="A20" s="6" t="s">
        <v>461</v>
      </c>
      <c r="C20" s="6" t="s">
        <v>442</v>
      </c>
      <c r="D20" s="6" t="s">
        <v>435</v>
      </c>
      <c r="E20" s="6" t="s">
        <v>92</v>
      </c>
      <c r="F20" s="14">
        <v>6</v>
      </c>
      <c r="G20" s="14">
        <v>8</v>
      </c>
      <c r="H20" s="14">
        <v>0</v>
      </c>
      <c r="I20" s="14">
        <v>61</v>
      </c>
      <c r="J20" s="86">
        <f t="shared" si="0"/>
        <v>4</v>
      </c>
      <c r="K20" s="14" t="s">
        <v>531</v>
      </c>
      <c r="L20" s="14"/>
      <c r="M20" s="14"/>
      <c r="N20" s="14"/>
      <c r="O20" s="14"/>
      <c r="P20" s="14"/>
      <c r="Q20" s="14"/>
      <c r="R20" s="14"/>
      <c r="S20" s="14"/>
      <c r="T20" s="14"/>
      <c r="U20" s="14"/>
      <c r="V20" s="14"/>
      <c r="X20" s="14"/>
      <c r="Y20" s="14"/>
      <c r="Z20" s="14"/>
      <c r="AA20" s="14"/>
      <c r="AB20" s="14"/>
      <c r="AC20" s="14"/>
      <c r="AD20" s="14"/>
      <c r="AE20" s="14"/>
      <c r="AF20" s="14"/>
      <c r="AG20" s="14"/>
      <c r="AH20" s="14"/>
      <c r="AI20" s="14"/>
      <c r="AJ20" s="14"/>
      <c r="AK20" s="14"/>
      <c r="AL20" s="14"/>
      <c r="AM20" s="14"/>
      <c r="AN20" s="14"/>
      <c r="AO20" s="14"/>
      <c r="AP20" s="14"/>
      <c r="AQ20" s="14"/>
      <c r="AR20" s="14" t="s">
        <v>437</v>
      </c>
      <c r="AS20" s="14"/>
      <c r="AT20" s="14"/>
    </row>
    <row r="21" spans="1:46">
      <c r="A21" s="6" t="s">
        <v>462</v>
      </c>
      <c r="C21" s="6" t="s">
        <v>442</v>
      </c>
      <c r="D21" s="6" t="s">
        <v>435</v>
      </c>
      <c r="E21" s="6" t="s">
        <v>92</v>
      </c>
      <c r="F21" s="14">
        <v>6</v>
      </c>
      <c r="G21" s="14">
        <v>8</v>
      </c>
      <c r="H21" s="14">
        <v>0</v>
      </c>
      <c r="I21" s="14">
        <v>61</v>
      </c>
      <c r="J21" s="86">
        <f t="shared" si="0"/>
        <v>4</v>
      </c>
      <c r="K21" s="14" t="s">
        <v>528</v>
      </c>
      <c r="L21" s="14"/>
      <c r="M21" s="14"/>
      <c r="N21" s="14"/>
      <c r="O21" s="14"/>
      <c r="P21" s="14"/>
      <c r="Q21" s="14"/>
      <c r="R21" s="14"/>
      <c r="S21" s="14"/>
      <c r="T21" s="14"/>
      <c r="U21" s="14"/>
      <c r="V21" s="14"/>
      <c r="X21" s="14"/>
      <c r="Y21" s="14"/>
      <c r="Z21" s="14"/>
      <c r="AA21" s="14"/>
      <c r="AB21" s="14"/>
      <c r="AC21" s="14"/>
      <c r="AD21" s="14"/>
      <c r="AE21" s="14"/>
      <c r="AF21" s="14"/>
      <c r="AG21" s="14"/>
      <c r="AH21" s="14"/>
      <c r="AI21" s="14"/>
      <c r="AJ21" s="14"/>
      <c r="AK21" s="14"/>
      <c r="AL21" s="14"/>
      <c r="AM21" s="14"/>
      <c r="AN21" s="14"/>
      <c r="AO21" s="14"/>
      <c r="AP21" s="14"/>
      <c r="AQ21" s="14"/>
      <c r="AR21" s="14" t="s">
        <v>437</v>
      </c>
      <c r="AS21" s="14"/>
      <c r="AT21" s="14"/>
    </row>
    <row r="22" spans="1:46">
      <c r="A22" s="6" t="s">
        <v>463</v>
      </c>
      <c r="C22" s="6" t="s">
        <v>442</v>
      </c>
      <c r="D22" s="6" t="s">
        <v>435</v>
      </c>
      <c r="E22" s="6" t="s">
        <v>96</v>
      </c>
      <c r="F22" s="14">
        <v>6</v>
      </c>
      <c r="G22" s="14">
        <v>18</v>
      </c>
      <c r="H22" s="14">
        <v>0</v>
      </c>
      <c r="I22" s="14">
        <v>151</v>
      </c>
      <c r="J22" s="86">
        <f t="shared" si="0"/>
        <v>16</v>
      </c>
      <c r="K22" s="14" t="s">
        <v>529</v>
      </c>
      <c r="L22" s="14"/>
      <c r="M22" s="14"/>
      <c r="N22" s="14"/>
      <c r="O22" s="14"/>
      <c r="P22" s="14"/>
      <c r="Q22" s="14"/>
      <c r="R22" s="14"/>
      <c r="S22" s="14"/>
      <c r="T22" s="14"/>
      <c r="U22" s="14"/>
      <c r="V22" s="14"/>
      <c r="X22" s="14"/>
      <c r="Y22" s="14"/>
      <c r="Z22" s="14"/>
      <c r="AA22" s="14"/>
      <c r="AB22" s="14"/>
      <c r="AC22" s="14"/>
      <c r="AD22" s="14">
        <v>100</v>
      </c>
      <c r="AE22" s="14" t="s">
        <v>528</v>
      </c>
      <c r="AF22" s="14"/>
      <c r="AG22" s="14"/>
      <c r="AH22" s="14"/>
      <c r="AI22" s="14"/>
      <c r="AJ22" s="14"/>
      <c r="AK22" s="14"/>
      <c r="AL22" s="14"/>
      <c r="AM22" s="14"/>
      <c r="AN22" s="14"/>
      <c r="AO22" s="14"/>
      <c r="AP22" s="14"/>
      <c r="AQ22" s="14"/>
      <c r="AR22" s="14" t="s">
        <v>437</v>
      </c>
      <c r="AS22" s="14"/>
      <c r="AT22" s="14"/>
    </row>
    <row r="23" spans="1:46">
      <c r="A23" s="6" t="s">
        <v>464</v>
      </c>
      <c r="C23" s="6" t="s">
        <v>442</v>
      </c>
      <c r="D23" s="6" t="s">
        <v>435</v>
      </c>
      <c r="E23" s="6" t="s">
        <v>100</v>
      </c>
      <c r="F23" s="14">
        <v>6</v>
      </c>
      <c r="G23" s="14">
        <v>18</v>
      </c>
      <c r="H23" s="14">
        <v>0</v>
      </c>
      <c r="I23" s="14">
        <v>151</v>
      </c>
      <c r="J23" s="86">
        <f t="shared" si="0"/>
        <v>16</v>
      </c>
      <c r="K23" s="14" t="s">
        <v>531</v>
      </c>
      <c r="L23" s="14"/>
      <c r="M23" s="14"/>
      <c r="N23" s="14"/>
      <c r="O23" s="14"/>
      <c r="P23" s="14"/>
      <c r="Q23" s="14"/>
      <c r="R23" s="14"/>
      <c r="S23" s="14"/>
      <c r="T23" s="14"/>
      <c r="U23" s="14"/>
      <c r="V23" s="14"/>
      <c r="X23" s="14"/>
      <c r="Y23" s="14"/>
      <c r="Z23" s="14"/>
      <c r="AA23" s="14"/>
      <c r="AB23" s="14"/>
      <c r="AC23" s="14"/>
      <c r="AD23" s="14">
        <v>100</v>
      </c>
      <c r="AE23" s="14" t="s">
        <v>531</v>
      </c>
      <c r="AF23" s="14"/>
      <c r="AG23" s="14"/>
      <c r="AH23" s="14"/>
      <c r="AI23" s="14"/>
      <c r="AJ23" s="14"/>
      <c r="AK23" s="14"/>
      <c r="AL23" s="14"/>
      <c r="AM23" s="14"/>
      <c r="AN23" s="14"/>
      <c r="AO23" s="14"/>
      <c r="AP23" s="14"/>
      <c r="AQ23" s="14"/>
      <c r="AR23" s="14" t="s">
        <v>437</v>
      </c>
      <c r="AS23" s="14"/>
      <c r="AT23" s="14"/>
    </row>
    <row r="24" spans="1:46">
      <c r="A24" s="6" t="s">
        <v>487</v>
      </c>
      <c r="C24" s="6" t="s">
        <v>442</v>
      </c>
      <c r="D24" s="6" t="s">
        <v>435</v>
      </c>
      <c r="E24" s="6" t="s">
        <v>104</v>
      </c>
      <c r="F24" s="14">
        <v>6</v>
      </c>
      <c r="G24" s="14">
        <v>9</v>
      </c>
      <c r="H24" s="14">
        <v>0</v>
      </c>
      <c r="I24" s="14">
        <v>41</v>
      </c>
      <c r="J24" s="86">
        <f t="shared" si="0"/>
        <v>4</v>
      </c>
      <c r="K24" s="14" t="s">
        <v>528</v>
      </c>
      <c r="L24" s="14"/>
      <c r="M24" s="14"/>
      <c r="N24" s="14"/>
      <c r="O24" s="14"/>
      <c r="P24" s="14"/>
      <c r="Q24" s="14"/>
      <c r="R24" s="14"/>
      <c r="S24" s="14"/>
      <c r="T24" s="14"/>
      <c r="U24" s="14"/>
      <c r="V24" s="14"/>
      <c r="X24" s="14"/>
      <c r="Y24" s="14"/>
      <c r="Z24" s="14"/>
      <c r="AA24" s="14"/>
      <c r="AB24" s="14"/>
      <c r="AC24" s="14"/>
      <c r="AD24" s="14"/>
      <c r="AE24" s="14"/>
      <c r="AF24" s="14"/>
      <c r="AG24" s="14"/>
      <c r="AH24" s="14"/>
      <c r="AI24" s="14"/>
      <c r="AJ24" s="14"/>
      <c r="AK24" s="14"/>
      <c r="AL24" s="14"/>
      <c r="AM24" s="14"/>
      <c r="AN24" s="14"/>
      <c r="AO24" s="14"/>
      <c r="AP24" s="14"/>
      <c r="AQ24" s="14"/>
      <c r="AR24" s="14" t="s">
        <v>437</v>
      </c>
      <c r="AS24" s="14"/>
      <c r="AT24" s="14"/>
    </row>
    <row r="25" spans="1:46">
      <c r="A25" s="6" t="s">
        <v>489</v>
      </c>
      <c r="C25" s="6" t="s">
        <v>442</v>
      </c>
      <c r="D25" s="6" t="s">
        <v>435</v>
      </c>
      <c r="E25" s="6" t="s">
        <v>104</v>
      </c>
      <c r="F25" s="14">
        <v>6</v>
      </c>
      <c r="G25" s="14">
        <v>9</v>
      </c>
      <c r="H25" s="14">
        <v>0</v>
      </c>
      <c r="I25" s="14">
        <v>41</v>
      </c>
      <c r="J25" s="86">
        <f t="shared" si="0"/>
        <v>4</v>
      </c>
      <c r="K25" s="14" t="s">
        <v>529</v>
      </c>
      <c r="L25" s="14"/>
      <c r="M25" s="14"/>
      <c r="N25" s="14"/>
      <c r="O25" s="14"/>
      <c r="P25" s="14"/>
      <c r="Q25" s="14"/>
      <c r="R25" s="14"/>
      <c r="S25" s="14"/>
      <c r="T25" s="14"/>
      <c r="U25" s="14"/>
      <c r="V25" s="14"/>
      <c r="X25" s="14"/>
      <c r="Y25" s="14"/>
      <c r="Z25" s="14"/>
      <c r="AA25" s="14"/>
      <c r="AB25" s="14"/>
      <c r="AC25" s="14"/>
      <c r="AD25" s="14"/>
      <c r="AE25" s="14"/>
      <c r="AF25" s="14"/>
      <c r="AG25" s="14"/>
      <c r="AH25" s="14"/>
      <c r="AI25" s="14"/>
      <c r="AJ25" s="14"/>
      <c r="AK25" s="14"/>
      <c r="AL25" s="14"/>
      <c r="AM25" s="14"/>
      <c r="AN25" s="14"/>
      <c r="AO25" s="14"/>
      <c r="AP25" s="14"/>
      <c r="AQ25" s="14"/>
      <c r="AR25" s="14" t="s">
        <v>437</v>
      </c>
      <c r="AS25" s="14"/>
      <c r="AT25" s="14"/>
    </row>
    <row r="26" spans="1:46">
      <c r="A26" s="6" t="s">
        <v>613</v>
      </c>
      <c r="C26" s="6" t="s">
        <v>442</v>
      </c>
      <c r="D26" s="6" t="s">
        <v>435</v>
      </c>
      <c r="E26" s="6" t="s">
        <v>108</v>
      </c>
      <c r="F26" s="14">
        <v>8</v>
      </c>
      <c r="G26" s="14">
        <v>36</v>
      </c>
      <c r="H26" s="14">
        <v>36</v>
      </c>
      <c r="I26" s="14">
        <v>136</v>
      </c>
      <c r="J26" s="86">
        <f t="shared" si="0"/>
        <v>16</v>
      </c>
      <c r="K26" s="14" t="s">
        <v>531</v>
      </c>
      <c r="L26" s="14"/>
      <c r="M26" s="14"/>
      <c r="N26" s="14"/>
      <c r="O26" s="14"/>
      <c r="P26" s="14"/>
      <c r="Q26" s="14"/>
      <c r="R26" s="14"/>
      <c r="S26" s="14"/>
      <c r="T26" s="14"/>
      <c r="U26" s="14"/>
      <c r="V26" s="14"/>
      <c r="X26" s="14"/>
      <c r="Y26" s="14"/>
      <c r="Z26" s="14"/>
      <c r="AA26" s="14"/>
      <c r="AB26" s="14"/>
      <c r="AC26" s="14"/>
      <c r="AD26" s="14"/>
      <c r="AE26" s="14"/>
      <c r="AF26" s="14"/>
      <c r="AG26" s="14"/>
      <c r="AH26" s="14"/>
      <c r="AI26" s="14"/>
      <c r="AJ26" s="14"/>
      <c r="AK26" s="14"/>
      <c r="AL26" s="14"/>
      <c r="AM26" s="14"/>
      <c r="AN26" s="14"/>
      <c r="AO26" s="14"/>
      <c r="AP26" s="14"/>
      <c r="AQ26" s="14"/>
      <c r="AR26" s="14" t="s">
        <v>437</v>
      </c>
      <c r="AS26" s="14" t="s">
        <v>437</v>
      </c>
      <c r="AT26" s="14"/>
    </row>
    <row r="27" spans="1:46">
      <c r="A27" s="6" t="s">
        <v>614</v>
      </c>
      <c r="C27" s="6" t="s">
        <v>442</v>
      </c>
      <c r="D27" s="6" t="s">
        <v>435</v>
      </c>
      <c r="E27" s="6" t="s">
        <v>108</v>
      </c>
      <c r="F27" s="14">
        <v>8</v>
      </c>
      <c r="G27" s="14">
        <v>36</v>
      </c>
      <c r="H27" s="14">
        <v>36</v>
      </c>
      <c r="I27" s="14">
        <v>136</v>
      </c>
      <c r="J27" s="86">
        <f t="shared" si="0"/>
        <v>16</v>
      </c>
      <c r="K27" s="14" t="s">
        <v>528</v>
      </c>
      <c r="L27" s="14"/>
      <c r="M27" s="14"/>
      <c r="N27" s="14"/>
      <c r="O27" s="14"/>
      <c r="P27" s="14"/>
      <c r="Q27" s="14"/>
      <c r="R27" s="14"/>
      <c r="S27" s="14"/>
      <c r="T27" s="14"/>
      <c r="U27" s="14"/>
      <c r="V27" s="14"/>
      <c r="X27" s="14"/>
      <c r="Y27" s="14"/>
      <c r="Z27" s="14"/>
      <c r="AA27" s="14"/>
      <c r="AB27" s="14"/>
      <c r="AC27" s="14"/>
      <c r="AD27" s="14"/>
      <c r="AE27" s="14"/>
      <c r="AF27" s="14"/>
      <c r="AG27" s="14"/>
      <c r="AH27" s="14"/>
      <c r="AI27" s="14"/>
      <c r="AJ27" s="14"/>
      <c r="AK27" s="14"/>
      <c r="AL27" s="14"/>
      <c r="AM27" s="14"/>
      <c r="AN27" s="14"/>
      <c r="AO27" s="14"/>
      <c r="AP27" s="14"/>
      <c r="AQ27" s="14"/>
      <c r="AR27" s="14" t="s">
        <v>437</v>
      </c>
      <c r="AS27" s="14" t="s">
        <v>437</v>
      </c>
      <c r="AT27" s="14"/>
    </row>
    <row r="28" spans="1:46">
      <c r="A28" s="6" t="s">
        <v>615</v>
      </c>
      <c r="C28" s="6" t="s">
        <v>442</v>
      </c>
      <c r="D28" s="6" t="s">
        <v>435</v>
      </c>
      <c r="E28" s="6" t="s">
        <v>108</v>
      </c>
      <c r="F28" s="14">
        <v>8</v>
      </c>
      <c r="G28" s="14">
        <v>36</v>
      </c>
      <c r="H28" s="14">
        <v>36</v>
      </c>
      <c r="I28" s="14">
        <v>136</v>
      </c>
      <c r="J28" s="86">
        <f t="shared" si="0"/>
        <v>16</v>
      </c>
      <c r="K28" s="14" t="s">
        <v>529</v>
      </c>
      <c r="L28" s="14"/>
      <c r="M28" s="14"/>
      <c r="N28" s="14"/>
      <c r="O28" s="14"/>
      <c r="P28" s="14"/>
      <c r="Q28" s="14"/>
      <c r="R28" s="14"/>
      <c r="S28" s="14"/>
      <c r="T28" s="14"/>
      <c r="U28" s="14"/>
      <c r="V28" s="14"/>
      <c r="X28" s="14"/>
      <c r="Y28" s="14"/>
      <c r="Z28" s="14"/>
      <c r="AA28" s="14"/>
      <c r="AB28" s="14"/>
      <c r="AC28" s="14"/>
      <c r="AD28" s="14"/>
      <c r="AE28" s="14"/>
      <c r="AF28" s="14"/>
      <c r="AG28" s="14"/>
      <c r="AH28" s="14"/>
      <c r="AI28" s="14"/>
      <c r="AJ28" s="14"/>
      <c r="AK28" s="14"/>
      <c r="AL28" s="14"/>
      <c r="AM28" s="14"/>
      <c r="AN28" s="14"/>
      <c r="AO28" s="14"/>
      <c r="AP28" s="14"/>
      <c r="AQ28" s="14"/>
      <c r="AR28" s="14" t="s">
        <v>437</v>
      </c>
      <c r="AS28" s="14" t="s">
        <v>437</v>
      </c>
      <c r="AT28" s="14"/>
    </row>
    <row r="29" spans="1:46">
      <c r="A29" s="6" t="s">
        <v>616</v>
      </c>
      <c r="C29" s="6" t="s">
        <v>442</v>
      </c>
      <c r="D29" s="6" t="s">
        <v>435</v>
      </c>
      <c r="E29" s="6" t="s">
        <v>108</v>
      </c>
      <c r="F29" s="14">
        <v>8</v>
      </c>
      <c r="G29" s="14">
        <v>36</v>
      </c>
      <c r="H29" s="14">
        <v>36</v>
      </c>
      <c r="I29" s="14">
        <v>136</v>
      </c>
      <c r="J29" s="86">
        <f t="shared" si="0"/>
        <v>16</v>
      </c>
      <c r="K29" s="14" t="s">
        <v>531</v>
      </c>
      <c r="L29" s="14"/>
      <c r="M29" s="14"/>
      <c r="N29" s="14"/>
      <c r="O29" s="14"/>
      <c r="P29" s="14"/>
      <c r="Q29" s="14"/>
      <c r="R29" s="14"/>
      <c r="S29" s="14"/>
      <c r="T29" s="14"/>
      <c r="U29" s="14"/>
      <c r="V29" s="14"/>
      <c r="X29" s="14"/>
      <c r="Y29" s="14"/>
      <c r="Z29" s="14"/>
      <c r="AA29" s="14"/>
      <c r="AB29" s="14"/>
      <c r="AC29" s="14"/>
      <c r="AD29" s="14"/>
      <c r="AE29" s="14"/>
      <c r="AF29" s="14"/>
      <c r="AG29" s="14"/>
      <c r="AH29" s="14"/>
      <c r="AI29" s="14"/>
      <c r="AJ29" s="14"/>
      <c r="AK29" s="14"/>
      <c r="AL29" s="14"/>
      <c r="AM29" s="14"/>
      <c r="AN29" s="14"/>
      <c r="AO29" s="14"/>
      <c r="AP29" s="14"/>
      <c r="AQ29" s="14"/>
      <c r="AR29" s="14" t="s">
        <v>437</v>
      </c>
      <c r="AS29" s="14" t="s">
        <v>437</v>
      </c>
      <c r="AT29" s="14"/>
    </row>
    <row r="30" spans="1:46">
      <c r="A30" s="6" t="s">
        <v>621</v>
      </c>
      <c r="C30" s="6" t="s">
        <v>442</v>
      </c>
      <c r="D30" s="6" t="s">
        <v>435</v>
      </c>
      <c r="E30" s="6" t="s">
        <v>108</v>
      </c>
      <c r="F30" s="14">
        <v>8</v>
      </c>
      <c r="G30" s="14">
        <v>36</v>
      </c>
      <c r="H30" s="14">
        <v>36</v>
      </c>
      <c r="I30" s="14">
        <v>136</v>
      </c>
      <c r="J30" s="86">
        <f t="shared" si="0"/>
        <v>16</v>
      </c>
      <c r="K30" s="14" t="s">
        <v>528</v>
      </c>
      <c r="L30" s="14"/>
      <c r="M30" s="14"/>
      <c r="N30" s="14"/>
      <c r="O30" s="14"/>
      <c r="P30" s="14"/>
      <c r="Q30" s="14"/>
      <c r="R30" s="14"/>
      <c r="S30" s="14"/>
      <c r="T30" s="14"/>
      <c r="U30" s="14"/>
      <c r="V30" s="14"/>
      <c r="X30" s="14"/>
      <c r="Y30" s="14"/>
      <c r="Z30" s="14"/>
      <c r="AA30" s="14"/>
      <c r="AB30" s="14"/>
      <c r="AC30" s="14"/>
      <c r="AD30" s="14"/>
      <c r="AE30" s="14"/>
      <c r="AF30" s="14"/>
      <c r="AG30" s="14"/>
      <c r="AH30" s="14"/>
      <c r="AI30" s="14"/>
      <c r="AJ30" s="14"/>
      <c r="AK30" s="14"/>
      <c r="AL30" s="14"/>
      <c r="AM30" s="14"/>
      <c r="AN30" s="14"/>
      <c r="AO30" s="14"/>
      <c r="AP30" s="14"/>
      <c r="AQ30" s="14"/>
      <c r="AR30" s="14" t="s">
        <v>437</v>
      </c>
      <c r="AS30" s="14" t="s">
        <v>437</v>
      </c>
      <c r="AT30" s="14"/>
    </row>
    <row r="31" spans="1:46">
      <c r="A31" s="6" t="s">
        <v>622</v>
      </c>
      <c r="C31" s="6" t="s">
        <v>442</v>
      </c>
      <c r="D31" s="6" t="s">
        <v>435</v>
      </c>
      <c r="E31" s="6" t="s">
        <v>108</v>
      </c>
      <c r="F31" s="14">
        <v>8</v>
      </c>
      <c r="G31" s="14">
        <v>36</v>
      </c>
      <c r="H31" s="14">
        <v>36</v>
      </c>
      <c r="I31" s="14">
        <v>136</v>
      </c>
      <c r="J31" s="86">
        <f t="shared" si="0"/>
        <v>16</v>
      </c>
      <c r="K31" s="14" t="s">
        <v>529</v>
      </c>
      <c r="L31" s="14"/>
      <c r="M31" s="14"/>
      <c r="N31" s="14"/>
      <c r="O31" s="14"/>
      <c r="P31" s="14"/>
      <c r="Q31" s="14"/>
      <c r="R31" s="14"/>
      <c r="S31" s="14"/>
      <c r="T31" s="14"/>
      <c r="U31" s="14"/>
      <c r="V31" s="14"/>
      <c r="X31" s="14"/>
      <c r="Y31" s="14"/>
      <c r="Z31" s="14"/>
      <c r="AA31" s="14"/>
      <c r="AB31" s="14"/>
      <c r="AC31" s="14"/>
      <c r="AD31" s="14"/>
      <c r="AE31" s="14"/>
      <c r="AF31" s="14"/>
      <c r="AG31" s="14"/>
      <c r="AH31" s="14"/>
      <c r="AI31" s="14"/>
      <c r="AJ31" s="14"/>
      <c r="AK31" s="14"/>
      <c r="AL31" s="14"/>
      <c r="AM31" s="14"/>
      <c r="AN31" s="14"/>
      <c r="AO31" s="14"/>
      <c r="AP31" s="14"/>
      <c r="AQ31" s="14"/>
      <c r="AR31" s="14" t="s">
        <v>437</v>
      </c>
      <c r="AS31" s="14" t="s">
        <v>437</v>
      </c>
      <c r="AT31" s="14"/>
    </row>
    <row r="32" spans="1:46">
      <c r="A32" s="6" t="s">
        <v>633</v>
      </c>
      <c r="C32" s="6" t="s">
        <v>442</v>
      </c>
      <c r="D32" s="6" t="s">
        <v>435</v>
      </c>
      <c r="E32" s="6" t="s">
        <v>108</v>
      </c>
      <c r="F32" s="14">
        <v>8</v>
      </c>
      <c r="G32" s="14">
        <v>36</v>
      </c>
      <c r="H32" s="14">
        <v>36</v>
      </c>
      <c r="I32" s="14">
        <v>136</v>
      </c>
      <c r="J32" s="86">
        <f t="shared" si="0"/>
        <v>16</v>
      </c>
      <c r="K32" s="14" t="s">
        <v>531</v>
      </c>
      <c r="L32" s="14"/>
      <c r="M32" s="14"/>
      <c r="N32" s="14"/>
      <c r="O32" s="14"/>
      <c r="P32" s="14"/>
      <c r="Q32" s="14"/>
      <c r="R32" s="14"/>
      <c r="S32" s="14"/>
      <c r="T32" s="14"/>
      <c r="U32" s="14"/>
      <c r="V32" s="14"/>
      <c r="X32" s="14"/>
      <c r="Y32" s="14"/>
      <c r="Z32" s="14"/>
      <c r="AA32" s="14"/>
      <c r="AB32" s="14"/>
      <c r="AC32" s="14"/>
      <c r="AD32" s="14"/>
      <c r="AE32" s="14"/>
      <c r="AF32" s="14"/>
      <c r="AG32" s="14"/>
      <c r="AH32" s="14"/>
      <c r="AI32" s="14"/>
      <c r="AJ32" s="14"/>
      <c r="AK32" s="14"/>
      <c r="AL32" s="14"/>
      <c r="AM32" s="14"/>
      <c r="AN32" s="14"/>
      <c r="AO32" s="14"/>
      <c r="AP32" s="14"/>
      <c r="AQ32" s="14"/>
      <c r="AR32" s="14" t="s">
        <v>437</v>
      </c>
      <c r="AS32" s="14" t="s">
        <v>437</v>
      </c>
      <c r="AT32" s="14"/>
    </row>
    <row r="33" spans="1:46">
      <c r="A33" s="6" t="s">
        <v>634</v>
      </c>
      <c r="C33" s="6" t="s">
        <v>442</v>
      </c>
      <c r="D33" s="6" t="s">
        <v>435</v>
      </c>
      <c r="E33" s="6" t="s">
        <v>108</v>
      </c>
      <c r="F33" s="14">
        <v>8</v>
      </c>
      <c r="G33" s="14">
        <v>36</v>
      </c>
      <c r="H33" s="14">
        <v>36</v>
      </c>
      <c r="I33" s="14">
        <v>136</v>
      </c>
      <c r="J33" s="86">
        <f t="shared" si="0"/>
        <v>16</v>
      </c>
      <c r="K33" s="14" t="s">
        <v>528</v>
      </c>
      <c r="L33" s="14"/>
      <c r="M33" s="14"/>
      <c r="N33" s="14"/>
      <c r="O33" s="14"/>
      <c r="P33" s="14"/>
      <c r="Q33" s="14"/>
      <c r="R33" s="14"/>
      <c r="S33" s="14"/>
      <c r="T33" s="14"/>
      <c r="U33" s="14"/>
      <c r="V33" s="14"/>
      <c r="X33" s="14"/>
      <c r="Y33" s="14"/>
      <c r="Z33" s="14"/>
      <c r="AA33" s="14"/>
      <c r="AB33" s="14"/>
      <c r="AC33" s="14"/>
      <c r="AD33" s="14"/>
      <c r="AE33" s="14"/>
      <c r="AF33" s="14"/>
      <c r="AG33" s="14"/>
      <c r="AH33" s="14"/>
      <c r="AI33" s="14"/>
      <c r="AJ33" s="14"/>
      <c r="AK33" s="14"/>
      <c r="AL33" s="14"/>
      <c r="AM33" s="14"/>
      <c r="AN33" s="14"/>
      <c r="AO33" s="14"/>
      <c r="AP33" s="14"/>
      <c r="AQ33" s="14"/>
      <c r="AR33" s="14" t="s">
        <v>437</v>
      </c>
      <c r="AS33" s="14" t="s">
        <v>437</v>
      </c>
      <c r="AT33" s="14"/>
    </row>
    <row r="34" spans="1:46">
      <c r="A34" s="6" t="s">
        <v>644</v>
      </c>
      <c r="C34" s="6" t="s">
        <v>442</v>
      </c>
      <c r="D34" s="21" t="s">
        <v>488</v>
      </c>
      <c r="E34" s="6" t="s">
        <v>112</v>
      </c>
      <c r="F34" s="14">
        <v>4</v>
      </c>
      <c r="G34" s="14">
        <v>4</v>
      </c>
      <c r="H34" s="14">
        <v>0</v>
      </c>
      <c r="I34" s="14">
        <v>100</v>
      </c>
      <c r="J34" s="86">
        <v>0</v>
      </c>
      <c r="K34" s="14" t="s">
        <v>529</v>
      </c>
      <c r="L34" s="14"/>
      <c r="M34" s="14"/>
      <c r="N34" s="14"/>
      <c r="O34" s="14"/>
      <c r="P34" s="14"/>
      <c r="Q34" s="14"/>
      <c r="R34" s="14"/>
      <c r="S34" s="14"/>
      <c r="T34" s="14"/>
      <c r="U34" s="14"/>
      <c r="V34" s="14"/>
      <c r="X34" s="14"/>
      <c r="Y34" s="14"/>
      <c r="Z34" s="14"/>
      <c r="AA34" s="14"/>
      <c r="AB34" s="14"/>
      <c r="AC34" s="14"/>
      <c r="AD34" s="14"/>
      <c r="AE34" s="14"/>
      <c r="AF34" s="14"/>
      <c r="AG34" s="14"/>
      <c r="AH34" s="14"/>
      <c r="AI34" s="14"/>
      <c r="AJ34" s="14"/>
      <c r="AK34" s="14"/>
      <c r="AL34" s="14"/>
      <c r="AM34" s="14"/>
      <c r="AN34" s="14"/>
      <c r="AO34" s="14"/>
      <c r="AP34" s="14"/>
      <c r="AQ34" s="14"/>
      <c r="AR34" s="14" t="s">
        <v>437</v>
      </c>
      <c r="AS34" s="14"/>
      <c r="AT34" s="14"/>
    </row>
    <row r="35" spans="1:46">
      <c r="A35" s="6" t="s">
        <v>645</v>
      </c>
      <c r="C35" s="6" t="s">
        <v>442</v>
      </c>
      <c r="D35" s="21" t="s">
        <v>488</v>
      </c>
      <c r="E35" s="6" t="s">
        <v>120</v>
      </c>
      <c r="F35" s="14">
        <v>4</v>
      </c>
      <c r="G35" s="14">
        <v>16</v>
      </c>
      <c r="H35" s="14">
        <v>0</v>
      </c>
      <c r="I35" s="14">
        <v>110</v>
      </c>
      <c r="J35" s="86">
        <v>0</v>
      </c>
      <c r="K35" s="14" t="s">
        <v>531</v>
      </c>
      <c r="L35" s="14"/>
      <c r="M35" s="14"/>
      <c r="N35" s="14"/>
      <c r="O35" s="14"/>
      <c r="P35" s="14"/>
      <c r="Q35" s="14"/>
      <c r="R35" s="14"/>
      <c r="S35" s="14"/>
      <c r="T35" s="14"/>
      <c r="U35" s="14"/>
      <c r="V35" s="14"/>
      <c r="X35" s="14"/>
      <c r="Y35" s="14"/>
      <c r="Z35" s="14"/>
      <c r="AA35" s="14"/>
      <c r="AB35" s="14"/>
      <c r="AC35" s="14"/>
      <c r="AD35" s="14"/>
      <c r="AE35" s="14"/>
      <c r="AF35" s="14"/>
      <c r="AG35" s="14"/>
      <c r="AH35" s="14"/>
      <c r="AI35" s="14"/>
      <c r="AJ35" s="14"/>
      <c r="AK35" s="14"/>
      <c r="AL35" s="14"/>
      <c r="AM35" s="14"/>
      <c r="AN35" s="14"/>
      <c r="AO35" s="14"/>
      <c r="AP35" s="14"/>
      <c r="AQ35" s="14"/>
      <c r="AR35" s="14" t="s">
        <v>437</v>
      </c>
      <c r="AS35" s="14"/>
      <c r="AT35" s="14"/>
    </row>
    <row r="36" spans="1:46">
      <c r="A36" s="6" t="s">
        <v>490</v>
      </c>
      <c r="C36" s="6" t="s">
        <v>442</v>
      </c>
      <c r="D36" s="21" t="s">
        <v>488</v>
      </c>
      <c r="E36" s="6" t="s">
        <v>116</v>
      </c>
      <c r="F36" s="14">
        <v>4</v>
      </c>
      <c r="G36" s="14">
        <v>14</v>
      </c>
      <c r="H36" s="14">
        <v>0</v>
      </c>
      <c r="I36" s="14">
        <v>120</v>
      </c>
      <c r="J36" s="86">
        <v>0</v>
      </c>
      <c r="K36" s="14" t="s">
        <v>531</v>
      </c>
      <c r="L36" s="14"/>
      <c r="M36" s="14"/>
      <c r="N36" s="14"/>
      <c r="O36" s="14"/>
      <c r="P36" s="14"/>
      <c r="Q36" s="14"/>
      <c r="R36" s="14"/>
      <c r="S36" s="14"/>
      <c r="T36" s="14"/>
      <c r="U36" s="14"/>
      <c r="V36" s="14"/>
      <c r="X36" s="14"/>
      <c r="Y36" s="14"/>
      <c r="Z36" s="14"/>
      <c r="AA36" s="14"/>
      <c r="AB36" s="14"/>
      <c r="AC36" s="14"/>
      <c r="AD36" s="14"/>
      <c r="AE36" s="14"/>
      <c r="AF36" s="14"/>
      <c r="AG36" s="14"/>
      <c r="AH36" s="14"/>
      <c r="AI36" s="14"/>
      <c r="AJ36" s="14"/>
      <c r="AK36" s="14"/>
      <c r="AL36" s="14"/>
      <c r="AM36" s="14"/>
      <c r="AN36" s="14"/>
      <c r="AO36" s="14"/>
      <c r="AP36" s="14"/>
      <c r="AQ36" s="14"/>
      <c r="AR36" s="14" t="s">
        <v>437</v>
      </c>
      <c r="AS36" s="14"/>
      <c r="AT36" s="14"/>
    </row>
    <row r="37" spans="1:46">
      <c r="A37" s="6" t="s">
        <v>465</v>
      </c>
      <c r="B37" s="14"/>
      <c r="C37" s="6" t="s">
        <v>442</v>
      </c>
      <c r="D37" s="6" t="s">
        <v>435</v>
      </c>
      <c r="E37" s="6" t="s">
        <v>124</v>
      </c>
      <c r="F37" s="14">
        <v>9</v>
      </c>
      <c r="G37" s="14">
        <v>12</v>
      </c>
      <c r="H37" s="14">
        <v>0</v>
      </c>
      <c r="I37" s="14">
        <v>56</v>
      </c>
      <c r="J37" s="86">
        <f t="shared" ref="J37:J45" si="1">IF(G37&gt;=10,16, 4)</f>
        <v>16</v>
      </c>
      <c r="K37" s="14" t="s">
        <v>528</v>
      </c>
      <c r="L37" s="14"/>
      <c r="M37" s="14"/>
      <c r="N37" s="14"/>
      <c r="O37" s="14"/>
      <c r="P37" s="14"/>
      <c r="Q37" s="14"/>
      <c r="R37" s="14"/>
      <c r="S37" s="14"/>
      <c r="T37" s="14"/>
      <c r="U37" s="14"/>
      <c r="V37" s="14"/>
      <c r="X37" s="14"/>
      <c r="Y37" s="14"/>
      <c r="Z37" s="14">
        <v>50</v>
      </c>
      <c r="AA37" s="14" t="s">
        <v>466</v>
      </c>
      <c r="AB37" s="14"/>
      <c r="AC37" s="14"/>
      <c r="AD37" s="14"/>
      <c r="AE37" s="14"/>
      <c r="AF37" s="14"/>
      <c r="AG37" s="14"/>
      <c r="AH37" s="14"/>
      <c r="AI37" s="14"/>
      <c r="AJ37" s="14"/>
      <c r="AK37" s="14"/>
      <c r="AL37" s="14"/>
      <c r="AM37" s="14"/>
      <c r="AN37" s="14"/>
      <c r="AO37" s="14"/>
      <c r="AP37" s="14"/>
      <c r="AQ37" s="14"/>
      <c r="AR37" s="14" t="s">
        <v>437</v>
      </c>
      <c r="AS37" s="14"/>
      <c r="AT37" s="14"/>
    </row>
    <row r="38" spans="1:46">
      <c r="A38" s="6" t="s">
        <v>467</v>
      </c>
      <c r="C38" s="6" t="s">
        <v>442</v>
      </c>
      <c r="D38" s="6" t="s">
        <v>435</v>
      </c>
      <c r="E38" s="6" t="s">
        <v>124</v>
      </c>
      <c r="F38" s="14">
        <v>9</v>
      </c>
      <c r="G38" s="14">
        <v>12</v>
      </c>
      <c r="H38" s="14">
        <v>0</v>
      </c>
      <c r="I38" s="14">
        <v>56</v>
      </c>
      <c r="J38" s="86">
        <f t="shared" si="1"/>
        <v>16</v>
      </c>
      <c r="K38" s="14" t="s">
        <v>529</v>
      </c>
      <c r="L38" s="14"/>
      <c r="M38" s="14"/>
      <c r="N38" s="14"/>
      <c r="O38" s="14"/>
      <c r="P38" s="14"/>
      <c r="Q38" s="14"/>
      <c r="R38" s="14"/>
      <c r="S38" s="14"/>
      <c r="T38" s="14"/>
      <c r="U38" s="14"/>
      <c r="V38" s="14"/>
      <c r="X38" s="14"/>
      <c r="Y38" s="14"/>
      <c r="Z38" s="14">
        <v>50</v>
      </c>
      <c r="AA38" s="14" t="s">
        <v>466</v>
      </c>
      <c r="AB38" s="14"/>
      <c r="AC38" s="14"/>
      <c r="AD38" s="14"/>
      <c r="AE38" s="14"/>
      <c r="AF38" s="14"/>
      <c r="AG38" s="14"/>
      <c r="AH38" s="14"/>
      <c r="AI38" s="14"/>
      <c r="AJ38" s="14"/>
      <c r="AK38" s="14"/>
      <c r="AL38" s="14"/>
      <c r="AM38" s="14"/>
      <c r="AN38" s="14"/>
      <c r="AO38" s="14"/>
      <c r="AP38" s="14"/>
      <c r="AQ38" s="14"/>
      <c r="AR38" s="14" t="s">
        <v>437</v>
      </c>
      <c r="AS38" s="14"/>
      <c r="AT38" s="14"/>
    </row>
    <row r="39" spans="1:46">
      <c r="A39" s="6" t="s">
        <v>635</v>
      </c>
      <c r="C39" s="6" t="s">
        <v>442</v>
      </c>
      <c r="D39" s="6" t="s">
        <v>435</v>
      </c>
      <c r="E39" s="6" t="s">
        <v>124</v>
      </c>
      <c r="F39" s="14">
        <v>9</v>
      </c>
      <c r="G39" s="14">
        <v>12</v>
      </c>
      <c r="H39" s="14">
        <v>0</v>
      </c>
      <c r="I39" s="14">
        <v>56</v>
      </c>
      <c r="J39" s="86">
        <f t="shared" si="1"/>
        <v>16</v>
      </c>
      <c r="K39" s="14" t="s">
        <v>531</v>
      </c>
      <c r="L39" s="14"/>
      <c r="M39" s="14"/>
      <c r="N39" s="14"/>
      <c r="O39" s="14"/>
      <c r="P39" s="14"/>
      <c r="Q39" s="14"/>
      <c r="R39" s="14"/>
      <c r="S39" s="14"/>
      <c r="T39" s="14"/>
      <c r="U39" s="14"/>
      <c r="V39" s="14"/>
      <c r="X39" s="14"/>
      <c r="Y39" s="14"/>
      <c r="Z39" s="14">
        <v>50</v>
      </c>
      <c r="AA39" s="14" t="s">
        <v>466</v>
      </c>
      <c r="AB39" s="14"/>
      <c r="AC39" s="14"/>
      <c r="AD39" s="14"/>
      <c r="AE39" s="14"/>
      <c r="AF39" s="14"/>
      <c r="AG39" s="14"/>
      <c r="AH39" s="14"/>
      <c r="AI39" s="14"/>
      <c r="AJ39" s="14"/>
      <c r="AK39" s="14"/>
      <c r="AL39" s="14"/>
      <c r="AM39" s="14"/>
      <c r="AN39" s="14"/>
      <c r="AO39" s="14"/>
      <c r="AP39" s="14"/>
      <c r="AQ39" s="14"/>
      <c r="AR39" s="14" t="s">
        <v>437</v>
      </c>
      <c r="AS39" s="14"/>
      <c r="AT39" s="14"/>
    </row>
    <row r="40" spans="1:46">
      <c r="A40" s="6" t="s">
        <v>636</v>
      </c>
      <c r="C40" s="6" t="s">
        <v>442</v>
      </c>
      <c r="D40" s="6" t="s">
        <v>435</v>
      </c>
      <c r="E40" s="6" t="s">
        <v>124</v>
      </c>
      <c r="F40" s="14">
        <v>9</v>
      </c>
      <c r="G40" s="14">
        <v>12</v>
      </c>
      <c r="H40" s="14">
        <v>0</v>
      </c>
      <c r="I40" s="14">
        <v>56</v>
      </c>
      <c r="J40" s="86">
        <f t="shared" si="1"/>
        <v>16</v>
      </c>
      <c r="K40" s="14" t="s">
        <v>528</v>
      </c>
      <c r="L40" s="14"/>
      <c r="M40" s="14"/>
      <c r="N40" s="14"/>
      <c r="O40" s="14"/>
      <c r="P40" s="14"/>
      <c r="Q40" s="14"/>
      <c r="R40" s="14"/>
      <c r="S40" s="14"/>
      <c r="T40" s="14"/>
      <c r="U40" s="14"/>
      <c r="V40" s="14"/>
      <c r="X40" s="14"/>
      <c r="Y40" s="14"/>
      <c r="Z40" s="14">
        <v>50</v>
      </c>
      <c r="AA40" s="14" t="s">
        <v>466</v>
      </c>
      <c r="AB40" s="14"/>
      <c r="AC40" s="14"/>
      <c r="AD40" s="14"/>
      <c r="AE40" s="14"/>
      <c r="AF40" s="14"/>
      <c r="AG40" s="14"/>
      <c r="AH40" s="14"/>
      <c r="AI40" s="14"/>
      <c r="AJ40" s="14"/>
      <c r="AK40" s="14"/>
      <c r="AL40" s="14"/>
      <c r="AM40" s="14"/>
      <c r="AN40" s="14"/>
      <c r="AO40" s="14"/>
      <c r="AP40" s="14"/>
      <c r="AQ40" s="14"/>
      <c r="AR40" s="14" t="s">
        <v>437</v>
      </c>
      <c r="AS40" s="14"/>
      <c r="AT40" s="14"/>
    </row>
    <row r="41" spans="1:46">
      <c r="A41" s="6" t="s">
        <v>468</v>
      </c>
      <c r="C41" s="6" t="s">
        <v>442</v>
      </c>
      <c r="D41" s="6" t="s">
        <v>435</v>
      </c>
      <c r="E41" s="6" t="s">
        <v>469</v>
      </c>
      <c r="F41" s="14">
        <v>4</v>
      </c>
      <c r="G41" s="14">
        <v>4</v>
      </c>
      <c r="H41" s="14">
        <v>0</v>
      </c>
      <c r="I41" s="14">
        <v>41</v>
      </c>
      <c r="J41" s="86">
        <f t="shared" si="1"/>
        <v>4</v>
      </c>
      <c r="K41" s="14" t="s">
        <v>531</v>
      </c>
      <c r="L41" s="14"/>
      <c r="M41" s="14"/>
      <c r="N41" s="14"/>
      <c r="O41" s="14"/>
      <c r="P41" s="14"/>
      <c r="Q41" s="14"/>
      <c r="R41" s="14"/>
      <c r="S41" s="14"/>
      <c r="T41" s="14"/>
      <c r="U41" s="14"/>
      <c r="V41" s="14"/>
      <c r="X41" s="14"/>
      <c r="Y41" s="14"/>
      <c r="Z41" s="86"/>
      <c r="AA41" s="14"/>
      <c r="AB41" s="14"/>
      <c r="AC41" s="14"/>
      <c r="AD41" s="14"/>
      <c r="AE41" s="14"/>
      <c r="AF41" s="14"/>
      <c r="AG41" s="14"/>
      <c r="AH41" s="14"/>
      <c r="AI41" s="14"/>
      <c r="AJ41" s="14"/>
      <c r="AK41" s="14"/>
      <c r="AL41" s="14"/>
      <c r="AM41" s="14"/>
      <c r="AN41" s="14"/>
      <c r="AO41" s="14"/>
      <c r="AP41" s="14"/>
      <c r="AQ41" s="14"/>
      <c r="AR41" s="14" t="s">
        <v>437</v>
      </c>
      <c r="AS41" s="14"/>
      <c r="AT41" s="14"/>
    </row>
    <row r="42" spans="1:46">
      <c r="A42" s="6" t="s">
        <v>470</v>
      </c>
      <c r="C42" s="6" t="s">
        <v>442</v>
      </c>
      <c r="D42" s="6" t="s">
        <v>435</v>
      </c>
      <c r="E42" s="6" t="s">
        <v>471</v>
      </c>
      <c r="F42" s="14">
        <v>4</v>
      </c>
      <c r="G42" s="14">
        <v>4</v>
      </c>
      <c r="H42" s="14">
        <v>0</v>
      </c>
      <c r="I42" s="14">
        <v>41</v>
      </c>
      <c r="J42" s="86">
        <f t="shared" si="1"/>
        <v>4</v>
      </c>
      <c r="K42" s="14" t="s">
        <v>531</v>
      </c>
      <c r="L42" s="14"/>
      <c r="M42" s="14"/>
      <c r="N42" s="14"/>
      <c r="O42" s="14"/>
      <c r="P42" s="14"/>
      <c r="Q42" s="14"/>
      <c r="R42" s="14"/>
      <c r="S42" s="14"/>
      <c r="T42" s="14"/>
      <c r="U42" s="14"/>
      <c r="V42" s="14"/>
      <c r="X42" s="14"/>
      <c r="Y42" s="14"/>
      <c r="Z42" s="86"/>
      <c r="AA42" s="14"/>
      <c r="AB42" s="14"/>
      <c r="AC42" s="14"/>
      <c r="AD42" s="14"/>
      <c r="AE42" s="14"/>
      <c r="AF42" s="14"/>
      <c r="AG42" s="14"/>
      <c r="AH42" s="14"/>
      <c r="AI42" s="14"/>
      <c r="AJ42" s="14"/>
      <c r="AK42" s="14"/>
      <c r="AL42" s="14"/>
      <c r="AM42" s="14"/>
      <c r="AN42" s="14"/>
      <c r="AO42" s="14"/>
      <c r="AP42" s="14"/>
      <c r="AQ42" s="14"/>
      <c r="AR42" s="14" t="s">
        <v>437</v>
      </c>
      <c r="AS42" s="14"/>
      <c r="AT42" s="14"/>
    </row>
    <row r="43" spans="1:46" s="36" customFormat="1" ht="14.45">
      <c r="A43" s="6" t="s">
        <v>472</v>
      </c>
      <c r="B43" s="6"/>
      <c r="C43" s="6" t="s">
        <v>442</v>
      </c>
      <c r="D43" s="6" t="s">
        <v>435</v>
      </c>
      <c r="E43" s="6" t="s">
        <v>473</v>
      </c>
      <c r="F43" s="14">
        <v>8</v>
      </c>
      <c r="G43" s="14">
        <v>11</v>
      </c>
      <c r="H43" s="14">
        <v>0</v>
      </c>
      <c r="I43" s="14">
        <v>125</v>
      </c>
      <c r="J43" s="86">
        <f t="shared" si="1"/>
        <v>16</v>
      </c>
      <c r="K43" s="14" t="s">
        <v>528</v>
      </c>
      <c r="L43" s="86"/>
      <c r="M43" s="86"/>
      <c r="N43" s="45"/>
      <c r="O43" s="44"/>
      <c r="P43" s="86"/>
      <c r="Q43" s="86"/>
      <c r="R43" s="86"/>
      <c r="S43" s="86"/>
      <c r="T43" s="86"/>
      <c r="U43" s="86"/>
      <c r="X43" s="86"/>
      <c r="Y43" s="86"/>
      <c r="Z43" s="86"/>
      <c r="AA43" s="86"/>
      <c r="AB43" s="86"/>
      <c r="AC43" s="86"/>
      <c r="AD43" s="86"/>
      <c r="AE43" s="86"/>
      <c r="AH43" s="86">
        <v>135</v>
      </c>
      <c r="AI43" s="86" t="s">
        <v>474</v>
      </c>
      <c r="AJ43" s="86"/>
      <c r="AK43" s="86"/>
      <c r="AL43" s="86"/>
      <c r="AM43" s="86"/>
      <c r="AN43" s="86"/>
      <c r="AO43" s="86"/>
      <c r="AP43" s="86"/>
      <c r="AQ43" s="86"/>
      <c r="AR43" s="86" t="s">
        <v>437</v>
      </c>
      <c r="AS43" s="86"/>
      <c r="AT43" s="86"/>
    </row>
    <row r="44" spans="1:46" ht="13.5" customHeight="1">
      <c r="A44" s="6" t="s">
        <v>480</v>
      </c>
      <c r="C44" s="6" t="s">
        <v>442</v>
      </c>
      <c r="D44" s="6" t="s">
        <v>435</v>
      </c>
      <c r="E44" s="6" t="s">
        <v>637</v>
      </c>
      <c r="F44" s="14">
        <v>7</v>
      </c>
      <c r="G44" s="14">
        <v>7</v>
      </c>
      <c r="H44" s="14">
        <v>0</v>
      </c>
      <c r="I44" s="14">
        <v>90</v>
      </c>
      <c r="J44" s="86">
        <f t="shared" si="1"/>
        <v>4</v>
      </c>
      <c r="K44" s="14" t="s">
        <v>529</v>
      </c>
      <c r="L44" s="14"/>
      <c r="M44" s="14"/>
      <c r="N44" s="2"/>
      <c r="O44"/>
      <c r="P44" s="14"/>
      <c r="Q44" s="14"/>
      <c r="R44" s="14"/>
      <c r="S44" s="14"/>
      <c r="T44" s="14"/>
      <c r="U44" s="14"/>
      <c r="V44" s="14"/>
      <c r="X44" s="14"/>
      <c r="AF44" s="14"/>
      <c r="AG44" s="86"/>
      <c r="AH44" s="86">
        <v>135</v>
      </c>
      <c r="AI44" s="86" t="s">
        <v>798</v>
      </c>
      <c r="AJ44" s="86"/>
      <c r="AK44" s="86"/>
      <c r="AL44" s="86"/>
      <c r="AM44" s="86"/>
      <c r="AR44" s="14" t="s">
        <v>437</v>
      </c>
      <c r="AS44" s="14"/>
      <c r="AT44" s="14"/>
    </row>
    <row r="45" spans="1:46" s="19" customFormat="1" ht="13.5" customHeight="1">
      <c r="A45" s="19" t="s">
        <v>476</v>
      </c>
      <c r="C45" s="19" t="s">
        <v>442</v>
      </c>
      <c r="D45" s="19" t="s">
        <v>435</v>
      </c>
      <c r="E45" s="19" t="s">
        <v>638</v>
      </c>
      <c r="F45" s="17">
        <v>6</v>
      </c>
      <c r="G45" s="17">
        <v>6</v>
      </c>
      <c r="H45" s="17">
        <v>0</v>
      </c>
      <c r="I45" s="17">
        <v>60</v>
      </c>
      <c r="J45" s="86">
        <f t="shared" si="1"/>
        <v>4</v>
      </c>
      <c r="K45" s="14" t="s">
        <v>531</v>
      </c>
      <c r="L45" s="17"/>
      <c r="M45" s="17"/>
      <c r="N45" s="99"/>
      <c r="O45" s="98"/>
      <c r="P45" s="17"/>
      <c r="Q45" s="17"/>
      <c r="R45" s="17"/>
      <c r="S45" s="17"/>
      <c r="T45" s="17"/>
      <c r="U45" s="17"/>
      <c r="V45" s="17"/>
      <c r="W45" s="17"/>
      <c r="X45" s="17"/>
      <c r="AF45" s="17"/>
      <c r="AG45" s="39"/>
      <c r="AH45" s="39">
        <v>135</v>
      </c>
      <c r="AI45" s="39" t="s">
        <v>474</v>
      </c>
      <c r="AJ45" s="39"/>
      <c r="AK45" s="39"/>
      <c r="AL45" s="39"/>
      <c r="AM45" s="39"/>
      <c r="AR45" s="17" t="s">
        <v>437</v>
      </c>
      <c r="AS45" s="17"/>
      <c r="AT45" s="17"/>
    </row>
    <row r="46" spans="1:46" s="20" customFormat="1">
      <c r="F46" s="18">
        <f>SUM(F8:F45)</f>
        <v>249</v>
      </c>
      <c r="G46" s="18">
        <f>SUM(G8:G45)</f>
        <v>724</v>
      </c>
      <c r="H46" s="18">
        <f>SUM(H8:H45)</f>
        <v>437</v>
      </c>
      <c r="I46" s="18">
        <f>SUM(I8:I45)</f>
        <v>3609</v>
      </c>
      <c r="J46" s="18"/>
      <c r="K46" s="18"/>
      <c r="L46" s="18">
        <f>SUM(L8:L45)</f>
        <v>500</v>
      </c>
      <c r="M46" s="18"/>
      <c r="N46" s="18">
        <f>SUM(N8:N45)</f>
        <v>9000</v>
      </c>
      <c r="O46" s="18"/>
      <c r="P46" s="18">
        <f>SUM(P8:P45)</f>
        <v>13500</v>
      </c>
      <c r="Q46" s="18"/>
      <c r="R46" s="18">
        <f>SUM(R8:R45)</f>
        <v>920</v>
      </c>
      <c r="S46" s="18"/>
      <c r="T46" s="18">
        <f>SUM(T8:T45)</f>
        <v>300</v>
      </c>
      <c r="U46" s="18"/>
      <c r="V46" s="18">
        <f>SUM(V8:V45)</f>
        <v>0</v>
      </c>
      <c r="W46" s="18"/>
      <c r="X46" s="18">
        <f>SUM(X8:X45)</f>
        <v>31056</v>
      </c>
      <c r="Z46" s="18">
        <f>SUM(Z8:Z45)</f>
        <v>200</v>
      </c>
      <c r="AB46" s="18">
        <f>SUM(AB8:AB45)</f>
        <v>50</v>
      </c>
      <c r="AD46" s="18">
        <f>SUM(AD8:AD45)</f>
        <v>200</v>
      </c>
      <c r="AF46" s="18">
        <f>SUM(AF8:AF45)</f>
        <v>0</v>
      </c>
      <c r="AH46" s="18">
        <f>SUM(AH8:AH45)</f>
        <v>405</v>
      </c>
      <c r="AJ46" s="18">
        <f>SUM(AJ8:AJ45)</f>
        <v>0</v>
      </c>
      <c r="AL46" s="18">
        <f>SUM(AL8:AL45)</f>
        <v>0</v>
      </c>
      <c r="AN46" s="18">
        <f>SUM(AN8:AN45)</f>
        <v>6144</v>
      </c>
      <c r="AR46" s="18">
        <f>COUNTIF(AR8:AR45,"x")</f>
        <v>38</v>
      </c>
      <c r="AS46" s="18">
        <f>COUNTIF(AS8:AS45,"x")</f>
        <v>14</v>
      </c>
      <c r="AT46" s="18">
        <f>COUNTIF(AT8:AT45,"x")</f>
        <v>2</v>
      </c>
    </row>
    <row r="47" spans="1:46" ht="13.5" customHeight="1">
      <c r="A47" s="16" t="s">
        <v>475</v>
      </c>
      <c r="F47" s="14"/>
      <c r="G47" s="14"/>
      <c r="H47" s="14"/>
      <c r="I47" s="14"/>
      <c r="J47" s="14"/>
      <c r="K47" s="14"/>
      <c r="L47" s="14"/>
      <c r="M47" s="14"/>
      <c r="N47" s="14"/>
      <c r="O47"/>
      <c r="P47" s="14"/>
      <c r="Q47" s="14"/>
      <c r="R47" s="14"/>
      <c r="S47" s="14"/>
      <c r="T47" s="14"/>
      <c r="U47" s="14"/>
      <c r="V47" s="14"/>
      <c r="W47" s="6"/>
      <c r="X47" s="14"/>
      <c r="Z47" s="14"/>
      <c r="AB47" s="14"/>
      <c r="AD47" s="14"/>
      <c r="AF47" s="14"/>
      <c r="AG47" s="14"/>
      <c r="AH47" s="14"/>
      <c r="AI47" s="14"/>
      <c r="AJ47" s="14"/>
      <c r="AK47" s="14"/>
      <c r="AL47" s="14"/>
      <c r="AM47" s="14"/>
      <c r="AN47" s="14"/>
      <c r="AR47" s="14"/>
    </row>
    <row r="48" spans="1:46" s="36" customFormat="1" ht="14.45">
      <c r="A48" s="6" t="s">
        <v>476</v>
      </c>
      <c r="B48" s="6"/>
      <c r="C48" s="6" t="s">
        <v>442</v>
      </c>
      <c r="D48" s="6" t="s">
        <v>435</v>
      </c>
      <c r="E48" s="6" t="s">
        <v>477</v>
      </c>
      <c r="F48" s="14">
        <v>8</v>
      </c>
      <c r="G48" s="14">
        <v>16</v>
      </c>
      <c r="H48" s="14">
        <v>0</v>
      </c>
      <c r="I48" s="14">
        <v>30</v>
      </c>
      <c r="J48" s="86">
        <f>IF(G48&gt;=10,16, 4)-J45</f>
        <v>12</v>
      </c>
      <c r="K48" s="14" t="s">
        <v>531</v>
      </c>
      <c r="L48" s="86"/>
      <c r="M48" s="86"/>
      <c r="N48" s="45"/>
      <c r="O48" s="44"/>
      <c r="P48" s="86"/>
      <c r="Q48" s="86"/>
      <c r="R48" s="86"/>
      <c r="S48" s="86"/>
      <c r="T48" s="86"/>
      <c r="U48" s="86"/>
      <c r="X48" s="86">
        <v>200</v>
      </c>
      <c r="Y48" s="86" t="s">
        <v>206</v>
      </c>
      <c r="Z48" s="86"/>
      <c r="AA48" s="86"/>
      <c r="AB48" s="86"/>
      <c r="AC48" s="86"/>
      <c r="AD48" s="86"/>
      <c r="AE48" s="86"/>
      <c r="AF48" s="86"/>
      <c r="AG48" s="86"/>
      <c r="AH48" s="86"/>
      <c r="AI48" s="86"/>
      <c r="AJ48" s="86"/>
      <c r="AK48" s="86"/>
      <c r="AL48" s="86"/>
      <c r="AM48" s="86"/>
      <c r="AN48" s="86"/>
      <c r="AO48" s="86"/>
      <c r="AP48" s="86">
        <v>150</v>
      </c>
      <c r="AQ48" s="86" t="s">
        <v>474</v>
      </c>
      <c r="AR48" s="86"/>
      <c r="AS48" s="86"/>
      <c r="AT48" s="86"/>
    </row>
    <row r="49" spans="1:53" ht="12.95">
      <c r="A49" s="186" t="s">
        <v>478</v>
      </c>
      <c r="B49" s="187"/>
      <c r="F49" s="14"/>
      <c r="G49" s="14"/>
      <c r="H49" s="14"/>
      <c r="I49" s="14"/>
      <c r="J49" s="14"/>
      <c r="K49" s="14"/>
      <c r="L49" s="14"/>
      <c r="M49" s="14"/>
      <c r="N49" s="14"/>
      <c r="O49" s="14"/>
      <c r="P49" s="14"/>
      <c r="Q49" s="14"/>
      <c r="R49" s="14"/>
      <c r="S49" s="14"/>
      <c r="T49" s="14"/>
      <c r="U49" s="14"/>
      <c r="V49" s="14"/>
      <c r="X49" s="14"/>
      <c r="Z49" s="14"/>
      <c r="AB49" s="14"/>
      <c r="AD49" s="14"/>
      <c r="AF49" s="14"/>
      <c r="AN49" s="14"/>
      <c r="AS49" s="14"/>
      <c r="AT49" s="14"/>
    </row>
    <row r="50" spans="1:53" ht="13.5" customHeight="1">
      <c r="A50" s="6" t="s">
        <v>472</v>
      </c>
      <c r="C50" s="6" t="s">
        <v>442</v>
      </c>
      <c r="D50" s="6" t="s">
        <v>435</v>
      </c>
      <c r="E50" s="6" t="s">
        <v>479</v>
      </c>
      <c r="F50" s="14">
        <v>8</v>
      </c>
      <c r="G50" s="14">
        <v>22</v>
      </c>
      <c r="H50" s="14">
        <v>0</v>
      </c>
      <c r="I50" s="14">
        <v>28</v>
      </c>
      <c r="J50" s="86">
        <f>IF(G50&gt;=10,16, 4)-J43</f>
        <v>0</v>
      </c>
      <c r="K50" s="14" t="s">
        <v>528</v>
      </c>
      <c r="L50" s="14"/>
      <c r="M50" s="14"/>
      <c r="N50" s="2"/>
      <c r="O50"/>
      <c r="P50" s="14"/>
      <c r="Q50" s="14"/>
      <c r="R50" s="14">
        <v>120</v>
      </c>
      <c r="S50" s="86" t="s">
        <v>449</v>
      </c>
      <c r="V50" s="14"/>
      <c r="X50" s="14">
        <v>340</v>
      </c>
      <c r="Y50" s="14" t="s">
        <v>206</v>
      </c>
      <c r="AD50" s="14"/>
      <c r="AE50" s="14"/>
      <c r="AF50" s="86">
        <v>200</v>
      </c>
      <c r="AG50" s="86" t="s">
        <v>474</v>
      </c>
      <c r="AH50" s="14"/>
      <c r="AX50" s="14"/>
      <c r="AY50" s="14"/>
      <c r="AZ50" s="14"/>
      <c r="BA50" s="14"/>
    </row>
    <row r="51" spans="1:53" s="19" customFormat="1" ht="13.5" customHeight="1">
      <c r="A51" s="19" t="s">
        <v>480</v>
      </c>
      <c r="C51" s="19" t="s">
        <v>442</v>
      </c>
      <c r="D51" s="19" t="s">
        <v>435</v>
      </c>
      <c r="E51" s="19" t="s">
        <v>481</v>
      </c>
      <c r="F51" s="17">
        <v>6</v>
      </c>
      <c r="G51" s="17">
        <v>17</v>
      </c>
      <c r="H51" s="17">
        <v>0</v>
      </c>
      <c r="I51" s="17">
        <v>30</v>
      </c>
      <c r="J51" s="17">
        <f>IF(G51&gt;=10,16, 4)-J44</f>
        <v>12</v>
      </c>
      <c r="K51" s="17" t="s">
        <v>529</v>
      </c>
      <c r="L51" s="17"/>
      <c r="M51" s="17"/>
      <c r="N51" s="99"/>
      <c r="O51" s="98"/>
      <c r="P51" s="17"/>
      <c r="Q51" s="17"/>
      <c r="R51" s="17"/>
      <c r="S51" s="39"/>
      <c r="V51" s="17"/>
      <c r="W51" s="17"/>
      <c r="X51" s="17"/>
      <c r="Y51" s="17"/>
      <c r="AD51" s="17"/>
      <c r="AE51" s="17"/>
      <c r="AF51" s="17"/>
      <c r="AG51" s="17"/>
      <c r="AH51" s="17"/>
      <c r="AP51" s="156"/>
      <c r="AQ51" s="156"/>
      <c r="AX51" s="17"/>
      <c r="AY51" s="17"/>
      <c r="AZ51" s="17"/>
      <c r="BA51" s="17"/>
    </row>
    <row r="52" spans="1:53" ht="13.5" customHeight="1">
      <c r="F52" s="14">
        <f>SUM(F48:F51)+F46</f>
        <v>271</v>
      </c>
      <c r="G52" s="14">
        <f>SUM(G48:G51)+G46</f>
        <v>779</v>
      </c>
      <c r="H52" s="14">
        <f>SUM(H48:H51)+H46</f>
        <v>437</v>
      </c>
      <c r="I52" s="14">
        <f>SUM(I48:I51)+I46</f>
        <v>3697</v>
      </c>
      <c r="J52" s="14"/>
      <c r="K52" s="14"/>
      <c r="L52" s="14">
        <f>SUM(L48:L51)+L46</f>
        <v>500</v>
      </c>
      <c r="M52" s="14"/>
      <c r="N52" s="14">
        <f>SUM(N48:N51)+N46</f>
        <v>9000</v>
      </c>
      <c r="O52"/>
      <c r="P52" s="14">
        <f>SUM(P48:P51)+P46</f>
        <v>13500</v>
      </c>
      <c r="Q52" s="14"/>
      <c r="R52" s="14">
        <f>SUM(R48:R51)+R46</f>
        <v>1040</v>
      </c>
      <c r="S52" s="14"/>
      <c r="T52" s="14">
        <f>SUM(T48:T51)+T46</f>
        <v>300</v>
      </c>
      <c r="V52" s="14">
        <f>SUM(V48:V51)+V46</f>
        <v>0</v>
      </c>
      <c r="X52" s="14">
        <f>SUM(X48:X51)+X46</f>
        <v>31596</v>
      </c>
      <c r="Z52" s="14">
        <f>SUM(Z48:Z51)+Z46</f>
        <v>200</v>
      </c>
      <c r="AB52" s="14">
        <f>SUM(AB48:AB51)+AB46</f>
        <v>50</v>
      </c>
      <c r="AD52" s="14">
        <f>SUM(AD48:AD51)+AD46</f>
        <v>200</v>
      </c>
      <c r="AE52" s="14"/>
      <c r="AF52" s="14">
        <f>SUM(A48:AF51)+AF46</f>
        <v>1049</v>
      </c>
      <c r="AG52" s="14"/>
      <c r="AH52" s="14">
        <f>SUM(AH48:AH51)+AH46</f>
        <v>405</v>
      </c>
      <c r="AI52" s="14"/>
      <c r="AJ52" s="14">
        <f>SUM(AJ48:AJ51)+AJ46</f>
        <v>0</v>
      </c>
      <c r="AK52" s="14"/>
      <c r="AL52" s="14">
        <f>SUM(AL48:AL51)+AL46</f>
        <v>0</v>
      </c>
      <c r="AM52" s="14"/>
      <c r="AN52" s="14">
        <f>SUM(AN48:AN51)+AN46</f>
        <v>6144</v>
      </c>
      <c r="AP52" s="155">
        <f>SUM(AP48:AP51)+AP46</f>
        <v>150</v>
      </c>
      <c r="AR52" s="18">
        <f>COUNTIF(AR48:AR51,"x")+AR46</f>
        <v>38</v>
      </c>
      <c r="AS52" s="18">
        <f>COUNTIF(AS48:AS51,"x")+AS46</f>
        <v>14</v>
      </c>
      <c r="AT52" s="18">
        <f>COUNTIF(AT48:AT51,"x")+AT46</f>
        <v>2</v>
      </c>
      <c r="AU52" s="14"/>
      <c r="AV52" s="14"/>
      <c r="AW52" s="14"/>
      <c r="AX52" s="14"/>
    </row>
    <row r="54" spans="1:53" ht="12.95">
      <c r="A54" s="16" t="s">
        <v>485</v>
      </c>
      <c r="B54" s="36"/>
      <c r="C54" s="36"/>
      <c r="D54" s="36"/>
      <c r="E54" s="36"/>
      <c r="F54" s="36"/>
      <c r="G54" s="36"/>
      <c r="H54" s="36"/>
      <c r="I54" s="36"/>
      <c r="J54" s="36"/>
      <c r="K54" s="36"/>
      <c r="L54" s="36"/>
      <c r="M54" s="36"/>
      <c r="N54" s="36"/>
      <c r="O54" s="36"/>
      <c r="P54" s="36"/>
      <c r="Q54" s="36"/>
      <c r="R54" s="36"/>
      <c r="S54" s="36"/>
      <c r="T54" s="36"/>
      <c r="U54" s="36"/>
      <c r="V54" s="36"/>
      <c r="W54" s="8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1:53">
      <c r="A55" s="36"/>
      <c r="B55" s="36"/>
      <c r="C55" s="36"/>
      <c r="D55" s="36"/>
      <c r="E55" s="36"/>
      <c r="F55" s="36"/>
      <c r="G55" s="36"/>
      <c r="H55" s="36"/>
      <c r="I55" s="36"/>
      <c r="J55" s="36"/>
      <c r="K55" s="36"/>
      <c r="L55" s="36"/>
      <c r="M55" s="36"/>
      <c r="N55" s="36"/>
      <c r="O55" s="36"/>
      <c r="P55" s="36"/>
      <c r="Q55" s="36"/>
      <c r="R55" s="36"/>
      <c r="S55" s="36"/>
      <c r="T55" s="36"/>
      <c r="U55" s="36"/>
      <c r="V55" s="36"/>
      <c r="W55" s="8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1:53">
      <c r="A56" s="36" t="s">
        <v>486</v>
      </c>
      <c r="B56" s="36"/>
      <c r="C56" s="36" t="s">
        <v>442</v>
      </c>
      <c r="D56" s="6" t="s">
        <v>435</v>
      </c>
      <c r="E56" s="36" t="s">
        <v>44</v>
      </c>
      <c r="F56" s="86">
        <v>16</v>
      </c>
      <c r="G56" s="86">
        <v>64</v>
      </c>
      <c r="H56" s="86">
        <v>0</v>
      </c>
      <c r="I56" s="14">
        <v>71</v>
      </c>
      <c r="J56" s="86">
        <f>IF(G56&gt;=10,16, 4)</f>
        <v>16</v>
      </c>
      <c r="K56" s="86"/>
      <c r="L56" s="36"/>
      <c r="M56" s="36"/>
      <c r="N56" s="36"/>
      <c r="O56" s="36"/>
      <c r="P56" s="36"/>
      <c r="Q56" s="36"/>
      <c r="R56" s="36"/>
      <c r="S56" s="36"/>
      <c r="T56" s="36"/>
      <c r="U56" s="36"/>
      <c r="V56" s="36"/>
      <c r="W56" s="86"/>
      <c r="X56" s="36"/>
      <c r="Y56" s="36"/>
      <c r="Z56" s="36"/>
      <c r="AA56" s="36"/>
      <c r="AB56" s="36"/>
      <c r="AC56" s="36"/>
      <c r="AD56" s="36"/>
      <c r="AE56" s="36"/>
      <c r="AF56" s="36"/>
      <c r="AG56" s="36"/>
      <c r="AH56" s="36"/>
      <c r="AI56" s="36"/>
      <c r="AJ56" s="36"/>
      <c r="AK56" s="36"/>
      <c r="AL56" s="36"/>
      <c r="AM56" s="36"/>
      <c r="AN56" s="36"/>
      <c r="AO56" s="36"/>
      <c r="AP56" s="36"/>
      <c r="AQ56" s="36"/>
      <c r="AR56" s="86" t="s">
        <v>437</v>
      </c>
      <c r="AT56" s="86"/>
    </row>
    <row r="57" spans="1:53">
      <c r="A57" s="36" t="s">
        <v>539</v>
      </c>
      <c r="B57" s="36"/>
      <c r="C57" s="36" t="s">
        <v>442</v>
      </c>
      <c r="D57" s="21" t="s">
        <v>488</v>
      </c>
      <c r="E57" s="6" t="s">
        <v>112</v>
      </c>
      <c r="F57" s="86">
        <v>4</v>
      </c>
      <c r="G57" s="86">
        <v>4</v>
      </c>
      <c r="H57" s="86">
        <v>0</v>
      </c>
      <c r="I57" s="86">
        <v>100</v>
      </c>
      <c r="J57" s="86">
        <v>0</v>
      </c>
      <c r="K57" s="86"/>
      <c r="L57" s="36"/>
      <c r="M57" s="36"/>
      <c r="N57" s="36"/>
      <c r="O57" s="36"/>
      <c r="P57" s="36"/>
      <c r="Q57" s="36"/>
      <c r="R57" s="36"/>
      <c r="S57" s="36"/>
      <c r="T57" s="36"/>
      <c r="U57" s="36"/>
      <c r="V57" s="36"/>
      <c r="W57" s="86"/>
      <c r="X57" s="36"/>
      <c r="Y57" s="36"/>
      <c r="Z57" s="36"/>
      <c r="AA57" s="36"/>
      <c r="AB57" s="36"/>
      <c r="AC57" s="36"/>
      <c r="AD57" s="36"/>
      <c r="AE57" s="36"/>
      <c r="AF57" s="36"/>
      <c r="AG57" s="36"/>
      <c r="AH57" s="36"/>
      <c r="AI57" s="36"/>
      <c r="AJ57" s="36"/>
      <c r="AK57" s="36"/>
      <c r="AL57" s="36"/>
      <c r="AM57" s="36"/>
      <c r="AN57" s="36"/>
      <c r="AO57" s="36"/>
      <c r="AP57" s="36"/>
      <c r="AQ57" s="36"/>
      <c r="AR57" s="86" t="s">
        <v>437</v>
      </c>
      <c r="AT57" s="86"/>
    </row>
    <row r="58" spans="1:53">
      <c r="A58" s="36" t="s">
        <v>491</v>
      </c>
      <c r="B58" s="36"/>
      <c r="C58" s="36" t="s">
        <v>442</v>
      </c>
      <c r="D58" s="21" t="s">
        <v>488</v>
      </c>
      <c r="E58" s="6" t="s">
        <v>120</v>
      </c>
      <c r="F58" s="86">
        <v>4</v>
      </c>
      <c r="G58" s="86">
        <v>16</v>
      </c>
      <c r="H58" s="86">
        <v>0</v>
      </c>
      <c r="I58" s="14">
        <v>100</v>
      </c>
      <c r="J58" s="86">
        <v>0</v>
      </c>
      <c r="K58" s="86"/>
      <c r="L58" s="36"/>
      <c r="M58" s="36"/>
      <c r="N58" s="36"/>
      <c r="O58" s="36"/>
      <c r="P58" s="36"/>
      <c r="Q58" s="36"/>
      <c r="R58" s="36"/>
      <c r="S58" s="36"/>
      <c r="T58" s="36"/>
      <c r="U58" s="36"/>
      <c r="V58" s="36"/>
      <c r="W58" s="86"/>
      <c r="X58" s="36"/>
      <c r="Y58" s="36"/>
      <c r="Z58" s="36"/>
      <c r="AA58" s="36"/>
      <c r="AB58" s="36"/>
      <c r="AC58" s="36"/>
      <c r="AD58" s="36"/>
      <c r="AE58" s="36"/>
      <c r="AF58" s="36"/>
      <c r="AG58" s="36"/>
      <c r="AH58" s="36"/>
      <c r="AI58" s="36"/>
      <c r="AJ58" s="36"/>
      <c r="AK58" s="36"/>
      <c r="AL58" s="36"/>
      <c r="AM58" s="36"/>
      <c r="AN58" s="36"/>
      <c r="AO58" s="36"/>
      <c r="AP58" s="36"/>
      <c r="AQ58" s="36"/>
      <c r="AR58" s="86" t="s">
        <v>437</v>
      </c>
      <c r="AT58" s="86"/>
    </row>
    <row r="59" spans="1:53">
      <c r="A59" s="36" t="s">
        <v>540</v>
      </c>
      <c r="B59" s="36"/>
      <c r="C59" s="36" t="s">
        <v>442</v>
      </c>
      <c r="D59" s="21" t="s">
        <v>488</v>
      </c>
      <c r="E59" s="6" t="s">
        <v>120</v>
      </c>
      <c r="F59" s="86">
        <v>4</v>
      </c>
      <c r="G59" s="86">
        <v>16</v>
      </c>
      <c r="H59" s="86">
        <v>0</v>
      </c>
      <c r="I59" s="14">
        <v>100</v>
      </c>
      <c r="J59" s="86">
        <v>0</v>
      </c>
      <c r="K59" s="86"/>
      <c r="L59" s="36"/>
      <c r="M59" s="36"/>
      <c r="N59" s="36"/>
      <c r="O59" s="36"/>
      <c r="P59" s="36"/>
      <c r="Q59" s="36"/>
      <c r="R59" s="36"/>
      <c r="S59" s="36"/>
      <c r="T59" s="36"/>
      <c r="U59" s="36"/>
      <c r="V59" s="36"/>
      <c r="W59" s="86"/>
      <c r="X59" s="36"/>
      <c r="Y59" s="36"/>
      <c r="Z59" s="36"/>
      <c r="AA59" s="36"/>
      <c r="AB59" s="36"/>
      <c r="AC59" s="36"/>
      <c r="AD59" s="36"/>
      <c r="AE59" s="36"/>
      <c r="AF59" s="36"/>
      <c r="AG59" s="36"/>
      <c r="AH59" s="36"/>
      <c r="AI59" s="36"/>
      <c r="AJ59" s="36"/>
      <c r="AK59" s="36"/>
      <c r="AL59" s="36"/>
      <c r="AM59" s="36"/>
      <c r="AN59" s="36"/>
      <c r="AO59" s="36"/>
      <c r="AP59" s="36"/>
      <c r="AQ59" s="36"/>
      <c r="AR59" s="86" t="s">
        <v>437</v>
      </c>
      <c r="AT59" s="86"/>
    </row>
    <row r="60" spans="1:53">
      <c r="A60" s="36" t="s">
        <v>623</v>
      </c>
      <c r="B60" s="36"/>
      <c r="C60" s="36" t="s">
        <v>442</v>
      </c>
      <c r="D60" s="21" t="s">
        <v>488</v>
      </c>
      <c r="E60" s="6" t="s">
        <v>120</v>
      </c>
      <c r="F60" s="86">
        <v>4</v>
      </c>
      <c r="G60" s="86">
        <v>16</v>
      </c>
      <c r="H60" s="86">
        <v>0</v>
      </c>
      <c r="I60" s="14">
        <v>100</v>
      </c>
      <c r="J60" s="86">
        <v>0</v>
      </c>
      <c r="K60" s="86"/>
      <c r="L60" s="36"/>
      <c r="M60" s="36"/>
      <c r="N60" s="36"/>
      <c r="O60" s="36"/>
      <c r="P60" s="36"/>
      <c r="Q60" s="36"/>
      <c r="R60" s="36"/>
      <c r="S60" s="36"/>
      <c r="T60" s="36"/>
      <c r="U60" s="36"/>
      <c r="V60" s="36"/>
      <c r="W60" s="86"/>
      <c r="X60" s="36"/>
      <c r="Y60" s="36"/>
      <c r="Z60" s="36"/>
      <c r="AA60" s="36"/>
      <c r="AB60" s="36"/>
      <c r="AC60" s="36"/>
      <c r="AD60" s="36"/>
      <c r="AE60" s="36"/>
      <c r="AF60" s="36"/>
      <c r="AG60" s="36"/>
      <c r="AH60" s="36"/>
      <c r="AI60" s="36"/>
      <c r="AJ60" s="36"/>
      <c r="AK60" s="36"/>
      <c r="AL60" s="36"/>
      <c r="AM60" s="36"/>
      <c r="AN60" s="36"/>
      <c r="AO60" s="36"/>
      <c r="AP60" s="36"/>
      <c r="AQ60" s="36"/>
      <c r="AR60" s="86" t="s">
        <v>437</v>
      </c>
      <c r="AT60" s="86"/>
    </row>
    <row r="61" spans="1:53">
      <c r="A61" s="36" t="s">
        <v>624</v>
      </c>
      <c r="B61" s="36"/>
      <c r="C61" s="36" t="s">
        <v>442</v>
      </c>
      <c r="D61" s="21" t="s">
        <v>488</v>
      </c>
      <c r="E61" s="6" t="s">
        <v>120</v>
      </c>
      <c r="F61" s="86">
        <v>4</v>
      </c>
      <c r="G61" s="86">
        <v>16</v>
      </c>
      <c r="H61" s="86">
        <v>0</v>
      </c>
      <c r="I61" s="14">
        <v>100</v>
      </c>
      <c r="J61" s="86">
        <v>0</v>
      </c>
      <c r="K61" s="86"/>
      <c r="L61" s="36"/>
      <c r="M61" s="36"/>
      <c r="N61" s="36"/>
      <c r="O61" s="36"/>
      <c r="P61" s="36"/>
      <c r="Q61" s="36"/>
      <c r="R61" s="36"/>
      <c r="S61" s="36"/>
      <c r="T61" s="36"/>
      <c r="U61" s="36"/>
      <c r="V61" s="36"/>
      <c r="W61" s="86"/>
      <c r="X61" s="36"/>
      <c r="Y61" s="36"/>
      <c r="Z61" s="36"/>
      <c r="AA61" s="36"/>
      <c r="AB61" s="36"/>
      <c r="AC61" s="36"/>
      <c r="AD61" s="36"/>
      <c r="AE61" s="36"/>
      <c r="AF61" s="36"/>
      <c r="AG61" s="36"/>
      <c r="AH61" s="36"/>
      <c r="AI61" s="36"/>
      <c r="AJ61" s="36"/>
      <c r="AK61" s="36"/>
      <c r="AL61" s="36"/>
      <c r="AM61" s="36"/>
      <c r="AN61" s="36"/>
      <c r="AO61" s="36"/>
      <c r="AP61" s="36"/>
      <c r="AQ61" s="36"/>
      <c r="AR61" s="86" t="s">
        <v>437</v>
      </c>
      <c r="AT61" s="86"/>
    </row>
    <row r="62" spans="1:53">
      <c r="A62" s="36" t="s">
        <v>646</v>
      </c>
      <c r="B62" s="36"/>
      <c r="C62" s="36" t="s">
        <v>442</v>
      </c>
      <c r="D62" s="21" t="s">
        <v>488</v>
      </c>
      <c r="E62" s="6" t="s">
        <v>120</v>
      </c>
      <c r="F62" s="86">
        <v>4</v>
      </c>
      <c r="G62" s="86">
        <v>16</v>
      </c>
      <c r="H62" s="86">
        <v>0</v>
      </c>
      <c r="I62" s="14">
        <v>100</v>
      </c>
      <c r="J62" s="86">
        <v>0</v>
      </c>
      <c r="K62" s="86"/>
      <c r="L62" s="36"/>
      <c r="M62" s="36"/>
      <c r="N62" s="36"/>
      <c r="O62" s="36"/>
      <c r="P62" s="36"/>
      <c r="Q62" s="36"/>
      <c r="R62" s="36"/>
      <c r="S62" s="36"/>
      <c r="T62" s="36"/>
      <c r="U62" s="36"/>
      <c r="V62" s="36"/>
      <c r="W62" s="86"/>
      <c r="X62" s="36"/>
      <c r="Y62" s="36"/>
      <c r="Z62" s="36"/>
      <c r="AA62" s="36"/>
      <c r="AB62" s="36"/>
      <c r="AC62" s="36"/>
      <c r="AD62" s="36"/>
      <c r="AE62" s="36"/>
      <c r="AF62" s="36"/>
      <c r="AG62" s="36"/>
      <c r="AH62" s="36"/>
      <c r="AI62" s="36"/>
      <c r="AJ62" s="36"/>
      <c r="AK62" s="36"/>
      <c r="AL62" s="36"/>
      <c r="AM62" s="36"/>
      <c r="AN62" s="36"/>
      <c r="AO62" s="36"/>
      <c r="AP62" s="36"/>
      <c r="AQ62" s="36"/>
      <c r="AR62" s="86" t="s">
        <v>437</v>
      </c>
      <c r="AT62" s="86"/>
    </row>
    <row r="63" spans="1:53">
      <c r="A63" s="36" t="s">
        <v>647</v>
      </c>
      <c r="B63" s="36"/>
      <c r="C63" s="36" t="s">
        <v>442</v>
      </c>
      <c r="D63" s="21" t="s">
        <v>488</v>
      </c>
      <c r="E63" s="6" t="s">
        <v>120</v>
      </c>
      <c r="F63" s="86">
        <v>4</v>
      </c>
      <c r="G63" s="86">
        <v>16</v>
      </c>
      <c r="H63" s="86">
        <v>0</v>
      </c>
      <c r="I63" s="14">
        <v>100</v>
      </c>
      <c r="J63" s="86">
        <v>0</v>
      </c>
      <c r="K63" s="86"/>
      <c r="L63" s="36"/>
      <c r="M63" s="36"/>
      <c r="N63" s="36"/>
      <c r="O63" s="36"/>
      <c r="P63" s="36"/>
      <c r="Q63" s="36"/>
      <c r="R63" s="36"/>
      <c r="S63" s="36"/>
      <c r="T63" s="36"/>
      <c r="U63" s="36"/>
      <c r="V63" s="36"/>
      <c r="W63" s="86"/>
      <c r="X63" s="36"/>
      <c r="Y63" s="36"/>
      <c r="Z63" s="36"/>
      <c r="AA63" s="36"/>
      <c r="AB63" s="36"/>
      <c r="AC63" s="36"/>
      <c r="AD63" s="36"/>
      <c r="AE63" s="36"/>
      <c r="AF63" s="36"/>
      <c r="AG63" s="36"/>
      <c r="AH63" s="36"/>
      <c r="AI63" s="36"/>
      <c r="AJ63" s="36"/>
      <c r="AK63" s="36"/>
      <c r="AL63" s="36"/>
      <c r="AM63" s="36"/>
      <c r="AN63" s="36"/>
      <c r="AO63" s="36"/>
      <c r="AP63" s="36"/>
      <c r="AQ63" s="36"/>
      <c r="AR63" s="86" t="s">
        <v>437</v>
      </c>
      <c r="AT63" s="86"/>
    </row>
    <row r="64" spans="1:53">
      <c r="A64" s="36" t="s">
        <v>648</v>
      </c>
      <c r="B64" s="36"/>
      <c r="C64" s="36" t="s">
        <v>442</v>
      </c>
      <c r="D64" s="21" t="s">
        <v>488</v>
      </c>
      <c r="E64" s="6" t="s">
        <v>120</v>
      </c>
      <c r="F64" s="86">
        <v>4</v>
      </c>
      <c r="G64" s="86">
        <v>16</v>
      </c>
      <c r="H64" s="86">
        <v>0</v>
      </c>
      <c r="I64" s="14">
        <v>100</v>
      </c>
      <c r="J64" s="86">
        <v>0</v>
      </c>
      <c r="K64" s="86"/>
      <c r="L64" s="36"/>
      <c r="M64" s="36"/>
      <c r="N64" s="36"/>
      <c r="O64" s="36"/>
      <c r="P64" s="36"/>
      <c r="Q64" s="36"/>
      <c r="R64" s="36"/>
      <c r="S64" s="36"/>
      <c r="T64" s="36"/>
      <c r="U64" s="36"/>
      <c r="V64" s="36"/>
      <c r="W64" s="86"/>
      <c r="X64" s="36"/>
      <c r="Y64" s="36"/>
      <c r="Z64" s="36"/>
      <c r="AA64" s="36"/>
      <c r="AB64" s="36"/>
      <c r="AC64" s="36"/>
      <c r="AD64" s="36"/>
      <c r="AE64" s="36"/>
      <c r="AF64" s="36"/>
      <c r="AG64" s="36"/>
      <c r="AH64" s="36"/>
      <c r="AI64" s="36"/>
      <c r="AJ64" s="36"/>
      <c r="AK64" s="36"/>
      <c r="AL64" s="36"/>
      <c r="AM64" s="36"/>
      <c r="AN64" s="36"/>
      <c r="AO64" s="36"/>
      <c r="AP64" s="36"/>
      <c r="AQ64" s="36"/>
      <c r="AR64" s="86" t="s">
        <v>437</v>
      </c>
      <c r="AT64" s="86"/>
    </row>
    <row r="65" spans="1:46">
      <c r="A65" s="36" t="s">
        <v>541</v>
      </c>
      <c r="B65" s="36"/>
      <c r="C65" s="36" t="s">
        <v>442</v>
      </c>
      <c r="D65" s="21" t="s">
        <v>488</v>
      </c>
      <c r="E65" s="6" t="s">
        <v>116</v>
      </c>
      <c r="F65" s="86">
        <v>4</v>
      </c>
      <c r="G65" s="86">
        <v>14</v>
      </c>
      <c r="H65" s="86">
        <v>0</v>
      </c>
      <c r="I65" s="14">
        <v>120</v>
      </c>
      <c r="J65" s="86">
        <v>0</v>
      </c>
      <c r="K65" s="86"/>
      <c r="L65" s="36"/>
      <c r="M65" s="36"/>
      <c r="N65" s="36"/>
      <c r="O65" s="36"/>
      <c r="P65" s="36"/>
      <c r="Q65" s="36"/>
      <c r="R65" s="36"/>
      <c r="S65" s="36"/>
      <c r="T65" s="36"/>
      <c r="U65" s="36"/>
      <c r="V65" s="36"/>
      <c r="W65" s="86"/>
      <c r="X65" s="36"/>
      <c r="Y65" s="36"/>
      <c r="Z65" s="36"/>
      <c r="AA65" s="36"/>
      <c r="AB65" s="36"/>
      <c r="AC65" s="36"/>
      <c r="AD65" s="36"/>
      <c r="AE65" s="36"/>
      <c r="AF65" s="36"/>
      <c r="AG65" s="36"/>
      <c r="AH65" s="36"/>
      <c r="AI65" s="36"/>
      <c r="AJ65" s="36"/>
      <c r="AK65" s="36"/>
      <c r="AL65" s="36"/>
      <c r="AM65" s="36"/>
      <c r="AN65" s="36"/>
      <c r="AO65" s="36"/>
      <c r="AP65" s="36"/>
      <c r="AQ65" s="36"/>
      <c r="AR65" s="86" t="s">
        <v>437</v>
      </c>
      <c r="AT65" s="86"/>
    </row>
    <row r="66" spans="1:46">
      <c r="A66" s="36" t="s">
        <v>649</v>
      </c>
      <c r="B66" s="36"/>
      <c r="C66" s="36" t="s">
        <v>442</v>
      </c>
      <c r="D66" s="21" t="s">
        <v>488</v>
      </c>
      <c r="E66" s="6" t="s">
        <v>120</v>
      </c>
      <c r="F66" s="86">
        <v>4</v>
      </c>
      <c r="G66" s="86">
        <v>16</v>
      </c>
      <c r="H66" s="86">
        <v>0</v>
      </c>
      <c r="I66" s="14">
        <v>100</v>
      </c>
      <c r="J66" s="86">
        <v>0</v>
      </c>
      <c r="K66" s="86"/>
      <c r="L66" s="36"/>
      <c r="M66" s="36"/>
      <c r="N66" s="36"/>
      <c r="O66" s="36"/>
      <c r="P66" s="36"/>
      <c r="Q66" s="36"/>
      <c r="R66" s="36"/>
      <c r="S66" s="36"/>
      <c r="T66" s="36"/>
      <c r="U66" s="36"/>
      <c r="V66" s="36"/>
      <c r="W66" s="86"/>
      <c r="X66" s="36"/>
      <c r="Y66" s="36"/>
      <c r="Z66" s="36"/>
      <c r="AA66" s="36"/>
      <c r="AB66" s="36"/>
      <c r="AC66" s="36"/>
      <c r="AD66" s="36"/>
      <c r="AE66" s="36"/>
      <c r="AF66" s="36"/>
      <c r="AG66" s="36"/>
      <c r="AH66" s="36"/>
      <c r="AI66" s="36"/>
      <c r="AJ66" s="36"/>
      <c r="AK66" s="36"/>
      <c r="AL66" s="36"/>
      <c r="AM66" s="36"/>
      <c r="AN66" s="36"/>
      <c r="AO66" s="36"/>
      <c r="AP66" s="36"/>
      <c r="AQ66" s="36"/>
      <c r="AR66" s="86" t="s">
        <v>437</v>
      </c>
      <c r="AT66" s="86"/>
    </row>
    <row r="67" spans="1:46">
      <c r="A67" s="36" t="s">
        <v>492</v>
      </c>
      <c r="B67" s="36"/>
      <c r="C67" s="36" t="s">
        <v>442</v>
      </c>
      <c r="D67" s="6" t="s">
        <v>435</v>
      </c>
      <c r="E67" s="36" t="s">
        <v>55</v>
      </c>
      <c r="F67" s="86">
        <v>6</v>
      </c>
      <c r="G67" s="86">
        <v>20</v>
      </c>
      <c r="H67" s="86">
        <v>0</v>
      </c>
      <c r="I67" s="86">
        <v>201</v>
      </c>
      <c r="J67" s="86">
        <f t="shared" ref="J67:J81" si="2">IF(G67&gt;=10,16, 4)</f>
        <v>16</v>
      </c>
      <c r="K67" s="86"/>
      <c r="L67" s="36"/>
      <c r="M67" s="36"/>
      <c r="N67" s="36"/>
      <c r="O67" s="36"/>
      <c r="P67" s="36"/>
      <c r="Q67" s="36"/>
      <c r="R67" s="36"/>
      <c r="S67" s="36"/>
      <c r="T67" s="36"/>
      <c r="U67" s="36"/>
      <c r="V67" s="36"/>
      <c r="W67" s="86"/>
      <c r="X67" s="36"/>
      <c r="Y67" s="36"/>
      <c r="Z67" s="36"/>
      <c r="AA67" s="36"/>
      <c r="AB67" s="36"/>
      <c r="AC67" s="36"/>
      <c r="AD67" s="36"/>
      <c r="AE67" s="36"/>
      <c r="AF67" s="36"/>
      <c r="AG67" s="36"/>
      <c r="AH67" s="36"/>
      <c r="AI67" s="36"/>
      <c r="AJ67" s="36"/>
      <c r="AK67" s="36"/>
      <c r="AL67" s="36"/>
      <c r="AM67" s="36"/>
      <c r="AN67" s="36"/>
      <c r="AO67" s="36"/>
      <c r="AP67" s="36"/>
      <c r="AQ67" s="36"/>
      <c r="AR67" s="86" t="s">
        <v>437</v>
      </c>
      <c r="AT67" s="86"/>
    </row>
    <row r="68" spans="1:46">
      <c r="A68" s="36" t="s">
        <v>493</v>
      </c>
      <c r="B68" s="36"/>
      <c r="C68" s="36" t="s">
        <v>442</v>
      </c>
      <c r="D68" s="6" t="s">
        <v>435</v>
      </c>
      <c r="E68" s="36" t="s">
        <v>55</v>
      </c>
      <c r="F68" s="86">
        <v>6</v>
      </c>
      <c r="G68" s="86">
        <v>20</v>
      </c>
      <c r="H68" s="86">
        <v>0</v>
      </c>
      <c r="I68" s="86">
        <v>201</v>
      </c>
      <c r="J68" s="86">
        <f t="shared" si="2"/>
        <v>16</v>
      </c>
      <c r="K68" s="86"/>
      <c r="L68" s="36"/>
      <c r="M68" s="36"/>
      <c r="N68" s="36"/>
      <c r="O68" s="36"/>
      <c r="P68" s="36"/>
      <c r="Q68" s="36"/>
      <c r="R68" s="36"/>
      <c r="S68" s="36"/>
      <c r="T68" s="36"/>
      <c r="U68" s="36"/>
      <c r="V68" s="36"/>
      <c r="W68" s="86"/>
      <c r="X68" s="36"/>
      <c r="Y68" s="36"/>
      <c r="Z68" s="36"/>
      <c r="AA68" s="36"/>
      <c r="AB68" s="36"/>
      <c r="AC68" s="36"/>
      <c r="AD68" s="36"/>
      <c r="AE68" s="36"/>
      <c r="AF68" s="36"/>
      <c r="AG68" s="36"/>
      <c r="AH68" s="36"/>
      <c r="AI68" s="36"/>
      <c r="AJ68" s="36"/>
      <c r="AK68" s="36"/>
      <c r="AL68" s="36"/>
      <c r="AM68" s="36"/>
      <c r="AN68" s="36"/>
      <c r="AO68" s="36"/>
      <c r="AP68" s="36"/>
      <c r="AQ68" s="36"/>
      <c r="AR68" s="86" t="s">
        <v>437</v>
      </c>
      <c r="AT68" s="86"/>
    </row>
    <row r="69" spans="1:46">
      <c r="A69" s="36" t="s">
        <v>625</v>
      </c>
      <c r="B69" s="36"/>
      <c r="C69" s="36" t="s">
        <v>442</v>
      </c>
      <c r="D69" s="6" t="s">
        <v>435</v>
      </c>
      <c r="E69" s="36" t="s">
        <v>55</v>
      </c>
      <c r="F69" s="86">
        <v>6</v>
      </c>
      <c r="G69" s="86">
        <v>20</v>
      </c>
      <c r="H69" s="86">
        <v>0</v>
      </c>
      <c r="I69" s="86">
        <v>201</v>
      </c>
      <c r="J69" s="86">
        <f t="shared" si="2"/>
        <v>16</v>
      </c>
      <c r="K69" s="86"/>
      <c r="L69" s="36"/>
      <c r="M69" s="36"/>
      <c r="N69" s="36"/>
      <c r="O69" s="36"/>
      <c r="P69" s="36"/>
      <c r="Q69" s="36"/>
      <c r="R69" s="36"/>
      <c r="S69" s="36"/>
      <c r="T69" s="36"/>
      <c r="U69" s="36"/>
      <c r="V69" s="36"/>
      <c r="W69" s="86"/>
      <c r="X69" s="36"/>
      <c r="Y69" s="36"/>
      <c r="Z69" s="36"/>
      <c r="AA69" s="36"/>
      <c r="AB69" s="36"/>
      <c r="AC69" s="36"/>
      <c r="AD69" s="36"/>
      <c r="AE69" s="36"/>
      <c r="AF69" s="36"/>
      <c r="AG69" s="36"/>
      <c r="AH69" s="36"/>
      <c r="AI69" s="36"/>
      <c r="AJ69" s="36"/>
      <c r="AK69" s="36"/>
      <c r="AL69" s="36"/>
      <c r="AM69" s="36"/>
      <c r="AN69" s="36"/>
      <c r="AO69" s="36"/>
      <c r="AP69" s="36"/>
      <c r="AQ69" s="36"/>
      <c r="AR69" s="86" t="s">
        <v>437</v>
      </c>
      <c r="AT69" s="86"/>
    </row>
    <row r="70" spans="1:46">
      <c r="A70" s="36" t="s">
        <v>626</v>
      </c>
      <c r="B70" s="36"/>
      <c r="C70" s="36" t="s">
        <v>442</v>
      </c>
      <c r="D70" s="6" t="s">
        <v>435</v>
      </c>
      <c r="E70" s="36" t="s">
        <v>55</v>
      </c>
      <c r="F70" s="86">
        <v>6</v>
      </c>
      <c r="G70" s="86">
        <v>20</v>
      </c>
      <c r="H70" s="86">
        <v>0</v>
      </c>
      <c r="I70" s="86">
        <v>201</v>
      </c>
      <c r="J70" s="86">
        <f t="shared" si="2"/>
        <v>16</v>
      </c>
      <c r="K70" s="86"/>
      <c r="L70" s="36"/>
      <c r="M70" s="36"/>
      <c r="N70" s="36"/>
      <c r="O70" s="36"/>
      <c r="P70" s="36"/>
      <c r="Q70" s="36"/>
      <c r="R70" s="36"/>
      <c r="S70" s="36"/>
      <c r="T70" s="36"/>
      <c r="U70" s="36"/>
      <c r="V70" s="36"/>
      <c r="W70" s="86"/>
      <c r="X70" s="36"/>
      <c r="Y70" s="36"/>
      <c r="Z70" s="36"/>
      <c r="AA70" s="36"/>
      <c r="AB70" s="36"/>
      <c r="AC70" s="36"/>
      <c r="AD70" s="36"/>
      <c r="AE70" s="36"/>
      <c r="AF70" s="36"/>
      <c r="AG70" s="36"/>
      <c r="AH70" s="36"/>
      <c r="AI70" s="36"/>
      <c r="AJ70" s="36"/>
      <c r="AK70" s="36"/>
      <c r="AL70" s="36"/>
      <c r="AM70" s="36"/>
      <c r="AN70" s="36"/>
      <c r="AO70" s="36"/>
      <c r="AP70" s="36"/>
      <c r="AQ70" s="36"/>
      <c r="AR70" s="86" t="s">
        <v>437</v>
      </c>
      <c r="AT70" s="86"/>
    </row>
    <row r="71" spans="1:46">
      <c r="A71" s="36" t="s">
        <v>494</v>
      </c>
      <c r="B71" s="36"/>
      <c r="C71" s="36" t="s">
        <v>442</v>
      </c>
      <c r="D71" s="6" t="s">
        <v>435</v>
      </c>
      <c r="E71" s="36" t="s">
        <v>71</v>
      </c>
      <c r="F71" s="86">
        <v>2</v>
      </c>
      <c r="G71" s="86">
        <v>4</v>
      </c>
      <c r="H71" s="86">
        <v>0</v>
      </c>
      <c r="I71" s="86">
        <v>41</v>
      </c>
      <c r="J71" s="86">
        <f t="shared" si="2"/>
        <v>4</v>
      </c>
      <c r="K71" s="86"/>
      <c r="L71" s="36"/>
      <c r="M71" s="36"/>
      <c r="N71" s="36"/>
      <c r="O71" s="36"/>
      <c r="P71" s="36"/>
      <c r="Q71" s="36"/>
      <c r="R71" s="36"/>
      <c r="S71" s="36"/>
      <c r="T71" s="36"/>
      <c r="U71" s="36"/>
      <c r="V71" s="36"/>
      <c r="W71" s="86"/>
      <c r="X71" s="36"/>
      <c r="Y71" s="36"/>
      <c r="Z71" s="36"/>
      <c r="AA71" s="36"/>
      <c r="AB71" s="36"/>
      <c r="AC71" s="36"/>
      <c r="AD71" s="36"/>
      <c r="AE71" s="36"/>
      <c r="AF71" s="36"/>
      <c r="AG71" s="36"/>
      <c r="AH71" s="36"/>
      <c r="AI71" s="36"/>
      <c r="AJ71" s="36"/>
      <c r="AK71" s="36"/>
      <c r="AL71" s="36"/>
      <c r="AM71" s="36"/>
      <c r="AN71" s="36"/>
      <c r="AO71" s="36"/>
      <c r="AP71" s="36"/>
      <c r="AQ71" s="36"/>
      <c r="AR71" s="86" t="s">
        <v>437</v>
      </c>
      <c r="AT71" s="86"/>
    </row>
    <row r="72" spans="1:46">
      <c r="A72" s="36" t="s">
        <v>495</v>
      </c>
      <c r="B72" s="36"/>
      <c r="C72" s="36" t="s">
        <v>442</v>
      </c>
      <c r="D72" s="6" t="s">
        <v>435</v>
      </c>
      <c r="E72" s="36" t="s">
        <v>63</v>
      </c>
      <c r="F72" s="86">
        <v>2</v>
      </c>
      <c r="G72" s="86">
        <v>4</v>
      </c>
      <c r="H72" s="86">
        <v>0</v>
      </c>
      <c r="I72" s="86">
        <v>31</v>
      </c>
      <c r="J72" s="86">
        <f t="shared" si="2"/>
        <v>4</v>
      </c>
      <c r="K72" s="86"/>
      <c r="L72" s="36"/>
      <c r="M72" s="36"/>
      <c r="N72" s="36"/>
      <c r="O72" s="36"/>
      <c r="P72" s="36"/>
      <c r="Q72" s="36"/>
      <c r="R72" s="36"/>
      <c r="S72" s="36"/>
      <c r="T72" s="36"/>
      <c r="U72" s="36"/>
      <c r="V72" s="36"/>
      <c r="W72" s="86"/>
      <c r="X72" s="36"/>
      <c r="Y72" s="36"/>
      <c r="Z72" s="36"/>
      <c r="AA72" s="36"/>
      <c r="AB72" s="36"/>
      <c r="AC72" s="36"/>
      <c r="AD72" s="36"/>
      <c r="AE72" s="36"/>
      <c r="AF72" s="36"/>
      <c r="AG72" s="36"/>
      <c r="AH72" s="36"/>
      <c r="AI72" s="36"/>
      <c r="AJ72" s="36"/>
      <c r="AK72" s="36"/>
      <c r="AL72" s="36"/>
      <c r="AM72" s="36"/>
      <c r="AN72" s="36"/>
      <c r="AO72" s="36"/>
      <c r="AP72" s="36"/>
      <c r="AQ72" s="36"/>
      <c r="AR72" s="86" t="s">
        <v>437</v>
      </c>
      <c r="AT72" s="86"/>
    </row>
    <row r="73" spans="1:46">
      <c r="A73" s="36" t="s">
        <v>496</v>
      </c>
      <c r="B73" s="36"/>
      <c r="C73" s="36" t="s">
        <v>442</v>
      </c>
      <c r="D73" s="6" t="s">
        <v>435</v>
      </c>
      <c r="E73" s="36" t="s">
        <v>67</v>
      </c>
      <c r="F73" s="86">
        <v>4</v>
      </c>
      <c r="G73" s="86">
        <v>4</v>
      </c>
      <c r="H73" s="86">
        <v>0</v>
      </c>
      <c r="I73" s="86">
        <v>36</v>
      </c>
      <c r="J73" s="86">
        <f t="shared" si="2"/>
        <v>4</v>
      </c>
      <c r="K73" s="86"/>
      <c r="L73" s="36"/>
      <c r="M73" s="36"/>
      <c r="N73" s="36"/>
      <c r="O73" s="36"/>
      <c r="P73" s="36"/>
      <c r="Q73" s="36"/>
      <c r="R73" s="36"/>
      <c r="S73" s="36"/>
      <c r="T73" s="36"/>
      <c r="U73" s="36"/>
      <c r="V73" s="36"/>
      <c r="W73" s="86"/>
      <c r="X73" s="36"/>
      <c r="Y73" s="36"/>
      <c r="Z73" s="36"/>
      <c r="AA73" s="36"/>
      <c r="AB73" s="36"/>
      <c r="AC73" s="36"/>
      <c r="AD73" s="36"/>
      <c r="AE73" s="36"/>
      <c r="AF73" s="36"/>
      <c r="AG73" s="36"/>
      <c r="AH73" s="36"/>
      <c r="AI73" s="36"/>
      <c r="AJ73" s="36"/>
      <c r="AK73" s="36"/>
      <c r="AL73" s="36"/>
      <c r="AM73" s="36"/>
      <c r="AN73" s="36"/>
      <c r="AO73" s="36"/>
      <c r="AP73" s="36"/>
      <c r="AQ73" s="36"/>
      <c r="AR73" s="86" t="s">
        <v>437</v>
      </c>
      <c r="AT73" s="86"/>
    </row>
    <row r="74" spans="1:46" ht="14.45">
      <c r="A74" s="36" t="s">
        <v>497</v>
      </c>
      <c r="B74" s="36"/>
      <c r="C74" s="36" t="s">
        <v>442</v>
      </c>
      <c r="D74" s="6" t="s">
        <v>435</v>
      </c>
      <c r="E74" s="36" t="s">
        <v>276</v>
      </c>
      <c r="F74" s="86">
        <v>7</v>
      </c>
      <c r="G74" s="86">
        <v>8</v>
      </c>
      <c r="H74" s="86">
        <v>0</v>
      </c>
      <c r="I74" s="14">
        <v>111</v>
      </c>
      <c r="J74" s="86">
        <f t="shared" si="2"/>
        <v>4</v>
      </c>
      <c r="K74" s="45"/>
      <c r="L74" s="86"/>
      <c r="M74" s="86"/>
      <c r="N74" s="45"/>
      <c r="O74" s="44"/>
      <c r="P74" s="86"/>
      <c r="Q74" s="86"/>
      <c r="R74" s="86"/>
      <c r="S74" s="86"/>
      <c r="T74" s="86"/>
      <c r="U74" s="86"/>
      <c r="V74" s="86"/>
      <c r="W74" s="86"/>
      <c r="X74" s="86"/>
      <c r="Y74" s="36"/>
      <c r="Z74" s="86"/>
      <c r="AA74" s="86"/>
      <c r="AB74" s="86"/>
      <c r="AC74" s="86"/>
      <c r="AD74" s="86"/>
      <c r="AE74" s="86"/>
      <c r="AF74" s="86"/>
      <c r="AG74" s="86"/>
      <c r="AH74" s="86"/>
      <c r="AI74" s="86"/>
      <c r="AJ74" s="86"/>
      <c r="AK74" s="86"/>
      <c r="AL74" s="86"/>
      <c r="AM74" s="86"/>
      <c r="AN74" s="86"/>
      <c r="AO74" s="86"/>
      <c r="AP74" s="86"/>
      <c r="AQ74" s="86"/>
      <c r="AR74" s="86" t="s">
        <v>437</v>
      </c>
      <c r="AT74" s="86" t="s">
        <v>437</v>
      </c>
    </row>
    <row r="75" spans="1:46" ht="14.45">
      <c r="A75" s="36" t="s">
        <v>650</v>
      </c>
      <c r="B75" s="36"/>
      <c r="C75" s="36" t="s">
        <v>442</v>
      </c>
      <c r="D75" s="6" t="s">
        <v>435</v>
      </c>
      <c r="E75" s="36" t="s">
        <v>276</v>
      </c>
      <c r="F75" s="86">
        <v>6</v>
      </c>
      <c r="G75" s="86">
        <v>7</v>
      </c>
      <c r="H75" s="86">
        <v>0</v>
      </c>
      <c r="I75" s="14">
        <v>111</v>
      </c>
      <c r="J75" s="86">
        <f t="shared" si="2"/>
        <v>4</v>
      </c>
      <c r="K75" s="45"/>
      <c r="L75" s="86"/>
      <c r="M75" s="86"/>
      <c r="N75" s="45"/>
      <c r="O75" s="44"/>
      <c r="P75" s="86"/>
      <c r="Q75" s="86"/>
      <c r="R75" s="86"/>
      <c r="S75" s="86"/>
      <c r="T75" s="86"/>
      <c r="U75" s="86"/>
      <c r="V75" s="86"/>
      <c r="W75" s="86"/>
      <c r="X75" s="86"/>
      <c r="Y75" s="36"/>
      <c r="Z75" s="86"/>
      <c r="AA75" s="86"/>
      <c r="AB75" s="86"/>
      <c r="AC75" s="86"/>
      <c r="AD75" s="86"/>
      <c r="AE75" s="86"/>
      <c r="AF75" s="86"/>
      <c r="AG75" s="86"/>
      <c r="AH75" s="86"/>
      <c r="AI75" s="86"/>
      <c r="AJ75" s="86"/>
      <c r="AK75" s="86"/>
      <c r="AL75" s="86"/>
      <c r="AM75" s="86"/>
      <c r="AN75" s="86"/>
      <c r="AO75" s="86"/>
      <c r="AP75" s="86"/>
      <c r="AQ75" s="86"/>
      <c r="AR75" s="86" t="s">
        <v>437</v>
      </c>
      <c r="AT75" s="86"/>
    </row>
    <row r="76" spans="1:46" ht="14.45">
      <c r="A76" s="6" t="s">
        <v>542</v>
      </c>
      <c r="C76" s="6" t="s">
        <v>442</v>
      </c>
      <c r="D76" s="6" t="s">
        <v>435</v>
      </c>
      <c r="E76" s="6" t="s">
        <v>90</v>
      </c>
      <c r="F76" s="14">
        <v>2</v>
      </c>
      <c r="G76" s="14">
        <v>2</v>
      </c>
      <c r="H76" s="14">
        <v>0</v>
      </c>
      <c r="I76" s="14">
        <v>16</v>
      </c>
      <c r="J76" s="86">
        <f t="shared" si="2"/>
        <v>4</v>
      </c>
      <c r="K76" s="45"/>
      <c r="L76" s="86"/>
      <c r="M76" s="86"/>
      <c r="N76" s="45"/>
      <c r="O76" s="44"/>
      <c r="P76" s="86"/>
      <c r="Q76" s="86"/>
      <c r="R76" s="86"/>
      <c r="S76" s="86"/>
      <c r="T76" s="86"/>
      <c r="U76" s="86"/>
      <c r="V76" s="86"/>
      <c r="W76" s="86"/>
      <c r="X76" s="86"/>
      <c r="Y76" s="36"/>
      <c r="Z76" s="86"/>
      <c r="AA76" s="86"/>
      <c r="AB76" s="86"/>
      <c r="AC76" s="86"/>
      <c r="AD76" s="86"/>
      <c r="AE76" s="86"/>
      <c r="AF76" s="86"/>
      <c r="AG76" s="86"/>
      <c r="AH76" s="86"/>
      <c r="AI76" s="86"/>
      <c r="AJ76" s="86"/>
      <c r="AK76" s="86"/>
      <c r="AL76" s="86"/>
      <c r="AM76" s="86"/>
      <c r="AN76" s="86"/>
      <c r="AO76" s="86"/>
      <c r="AP76" s="86"/>
      <c r="AQ76" s="86"/>
      <c r="AR76" s="86" t="s">
        <v>437</v>
      </c>
      <c r="AT76" s="86"/>
    </row>
    <row r="77" spans="1:46" ht="14.45">
      <c r="A77" s="6" t="s">
        <v>543</v>
      </c>
      <c r="C77" s="6" t="s">
        <v>442</v>
      </c>
      <c r="D77" s="6" t="s">
        <v>435</v>
      </c>
      <c r="E77" s="6" t="s">
        <v>90</v>
      </c>
      <c r="F77" s="14">
        <v>2</v>
      </c>
      <c r="G77" s="14">
        <v>2</v>
      </c>
      <c r="H77" s="14">
        <v>0</v>
      </c>
      <c r="I77" s="14">
        <v>16</v>
      </c>
      <c r="J77" s="86">
        <f t="shared" si="2"/>
        <v>4</v>
      </c>
      <c r="K77" s="45"/>
      <c r="L77" s="86"/>
      <c r="M77" s="86"/>
      <c r="N77" s="45"/>
      <c r="O77" s="44"/>
      <c r="P77" s="86"/>
      <c r="Q77" s="86"/>
      <c r="R77" s="86"/>
      <c r="S77" s="86"/>
      <c r="T77" s="86"/>
      <c r="U77" s="86"/>
      <c r="V77" s="86"/>
      <c r="W77" s="86"/>
      <c r="X77" s="86"/>
      <c r="Y77" s="36"/>
      <c r="Z77" s="86"/>
      <c r="AA77" s="86"/>
      <c r="AB77" s="86"/>
      <c r="AC77" s="86"/>
      <c r="AD77" s="86"/>
      <c r="AE77" s="86"/>
      <c r="AF77" s="86"/>
      <c r="AG77" s="86"/>
      <c r="AH77" s="86"/>
      <c r="AI77" s="86"/>
      <c r="AJ77" s="86"/>
      <c r="AK77" s="86"/>
      <c r="AL77" s="86"/>
      <c r="AM77" s="86"/>
      <c r="AN77" s="86"/>
      <c r="AO77" s="86"/>
      <c r="AP77" s="86"/>
      <c r="AQ77" s="86"/>
      <c r="AR77" s="86" t="s">
        <v>437</v>
      </c>
      <c r="AT77" s="86"/>
    </row>
    <row r="78" spans="1:46" ht="14.45">
      <c r="A78" s="6" t="s">
        <v>544</v>
      </c>
      <c r="C78" s="6" t="s">
        <v>442</v>
      </c>
      <c r="D78" s="6" t="s">
        <v>435</v>
      </c>
      <c r="E78" s="6" t="s">
        <v>94</v>
      </c>
      <c r="F78" s="14">
        <v>6</v>
      </c>
      <c r="G78" s="14">
        <v>5</v>
      </c>
      <c r="H78" s="14">
        <v>0</v>
      </c>
      <c r="I78" s="14">
        <v>41</v>
      </c>
      <c r="J78" s="86">
        <f t="shared" si="2"/>
        <v>4</v>
      </c>
      <c r="K78" s="45"/>
      <c r="L78" s="86"/>
      <c r="M78" s="86"/>
      <c r="N78" s="45"/>
      <c r="O78" s="44"/>
      <c r="P78" s="86"/>
      <c r="Q78" s="86"/>
      <c r="R78" s="86"/>
      <c r="S78" s="86"/>
      <c r="T78" s="86"/>
      <c r="U78" s="86"/>
      <c r="V78" s="86"/>
      <c r="W78" s="86"/>
      <c r="X78" s="86"/>
      <c r="Y78" s="36"/>
      <c r="Z78" s="86"/>
      <c r="AA78" s="86"/>
      <c r="AB78" s="86"/>
      <c r="AC78" s="86"/>
      <c r="AD78" s="86"/>
      <c r="AE78" s="86"/>
      <c r="AF78" s="86"/>
      <c r="AG78" s="86"/>
      <c r="AH78" s="86"/>
      <c r="AI78" s="86"/>
      <c r="AJ78" s="86"/>
      <c r="AK78" s="86"/>
      <c r="AL78" s="86"/>
      <c r="AM78" s="86"/>
      <c r="AN78" s="86"/>
      <c r="AO78" s="86"/>
      <c r="AP78" s="86"/>
      <c r="AQ78" s="86"/>
      <c r="AR78" s="86" t="s">
        <v>437</v>
      </c>
      <c r="AT78" s="86"/>
    </row>
    <row r="79" spans="1:46" ht="14.45">
      <c r="A79" s="6" t="s">
        <v>545</v>
      </c>
      <c r="C79" s="6" t="s">
        <v>442</v>
      </c>
      <c r="D79" s="6" t="s">
        <v>435</v>
      </c>
      <c r="E79" s="6" t="s">
        <v>98</v>
      </c>
      <c r="F79" s="14">
        <v>2</v>
      </c>
      <c r="G79" s="14">
        <v>2</v>
      </c>
      <c r="H79" s="14">
        <v>0</v>
      </c>
      <c r="I79" s="14">
        <v>31</v>
      </c>
      <c r="J79" s="86">
        <f t="shared" si="2"/>
        <v>4</v>
      </c>
      <c r="K79" s="45"/>
      <c r="L79" s="86"/>
      <c r="M79" s="86"/>
      <c r="N79" s="45"/>
      <c r="O79" s="44"/>
      <c r="P79" s="86"/>
      <c r="Q79" s="86"/>
      <c r="R79" s="86"/>
      <c r="S79" s="86"/>
      <c r="T79" s="86"/>
      <c r="U79" s="86"/>
      <c r="V79" s="86"/>
      <c r="W79" s="86"/>
      <c r="X79" s="86"/>
      <c r="Y79" s="36"/>
      <c r="Z79" s="86"/>
      <c r="AA79" s="86"/>
      <c r="AB79" s="86"/>
      <c r="AC79" s="86"/>
      <c r="AD79" s="86"/>
      <c r="AE79" s="86"/>
      <c r="AF79" s="86"/>
      <c r="AG79" s="86"/>
      <c r="AH79" s="86"/>
      <c r="AI79" s="86"/>
      <c r="AJ79" s="86"/>
      <c r="AK79" s="86"/>
      <c r="AL79" s="86"/>
      <c r="AM79" s="86"/>
      <c r="AN79" s="86"/>
      <c r="AO79" s="86"/>
      <c r="AP79" s="86"/>
      <c r="AQ79" s="86"/>
      <c r="AR79" s="86" t="s">
        <v>437</v>
      </c>
      <c r="AT79" s="86"/>
    </row>
    <row r="80" spans="1:46" ht="14.45">
      <c r="A80" s="6" t="s">
        <v>627</v>
      </c>
      <c r="C80" s="6" t="s">
        <v>442</v>
      </c>
      <c r="D80" s="6" t="s">
        <v>584</v>
      </c>
      <c r="E80" s="6" t="s">
        <v>118</v>
      </c>
      <c r="F80" s="14">
        <v>12</v>
      </c>
      <c r="G80" s="14">
        <v>24</v>
      </c>
      <c r="H80" s="14">
        <v>0</v>
      </c>
      <c r="I80" s="14">
        <v>2098</v>
      </c>
      <c r="J80" s="86">
        <f t="shared" si="2"/>
        <v>16</v>
      </c>
      <c r="K80" s="45"/>
      <c r="L80" s="86"/>
      <c r="M80" s="86"/>
      <c r="N80" s="45"/>
      <c r="O80" s="44"/>
      <c r="P80" s="86"/>
      <c r="Q80" s="86"/>
      <c r="R80" s="86"/>
      <c r="S80" s="86"/>
      <c r="T80" s="86"/>
      <c r="U80" s="86"/>
      <c r="V80" s="86"/>
      <c r="W80" s="86"/>
      <c r="X80" s="86"/>
      <c r="Y80" s="36"/>
      <c r="Z80" s="86"/>
      <c r="AA80" s="86"/>
      <c r="AB80" s="86"/>
      <c r="AC80" s="86"/>
      <c r="AD80" s="86"/>
      <c r="AE80" s="86"/>
      <c r="AF80" s="86"/>
      <c r="AG80" s="86"/>
      <c r="AH80" s="86"/>
      <c r="AI80" s="86"/>
      <c r="AJ80" s="86"/>
      <c r="AK80" s="86"/>
      <c r="AL80" s="86"/>
      <c r="AM80" s="86"/>
      <c r="AN80" s="86"/>
      <c r="AO80" s="86"/>
      <c r="AP80" s="86"/>
      <c r="AQ80" s="86"/>
      <c r="AR80" s="86" t="s">
        <v>437</v>
      </c>
      <c r="AT80" s="86"/>
    </row>
    <row r="81" spans="1:46" ht="14.45">
      <c r="A81" s="6" t="s">
        <v>551</v>
      </c>
      <c r="C81" s="6" t="s">
        <v>442</v>
      </c>
      <c r="D81" s="6" t="s">
        <v>435</v>
      </c>
      <c r="E81" s="6" t="s">
        <v>122</v>
      </c>
      <c r="F81" s="14">
        <v>2</v>
      </c>
      <c r="G81" s="14">
        <v>10</v>
      </c>
      <c r="H81" s="14">
        <v>0</v>
      </c>
      <c r="I81" s="14">
        <v>60</v>
      </c>
      <c r="J81" s="86">
        <f t="shared" si="2"/>
        <v>16</v>
      </c>
      <c r="K81" s="45"/>
      <c r="L81" s="86"/>
      <c r="M81" s="86"/>
      <c r="N81" s="45"/>
      <c r="O81" s="44"/>
      <c r="P81" s="86"/>
      <c r="Q81" s="86"/>
      <c r="R81" s="86"/>
      <c r="S81" s="86"/>
      <c r="T81" s="86"/>
      <c r="U81" s="86"/>
      <c r="V81" s="86"/>
      <c r="W81" s="86"/>
      <c r="X81" s="86"/>
      <c r="Y81" s="36"/>
      <c r="Z81" s="86"/>
      <c r="AA81" s="86"/>
      <c r="AB81" s="86"/>
      <c r="AC81" s="86"/>
      <c r="AD81" s="86"/>
      <c r="AE81" s="86"/>
      <c r="AF81" s="86"/>
      <c r="AG81" s="86"/>
      <c r="AH81" s="86"/>
      <c r="AI81" s="86"/>
      <c r="AJ81" s="86"/>
      <c r="AK81" s="86"/>
      <c r="AL81" s="86"/>
      <c r="AM81" s="86"/>
      <c r="AN81" s="86"/>
      <c r="AO81" s="86"/>
      <c r="AP81" s="86"/>
      <c r="AQ81" s="86"/>
      <c r="AR81" s="86" t="s">
        <v>437</v>
      </c>
      <c r="AT81" s="86"/>
    </row>
    <row r="82" spans="1:46" s="20" customFormat="1">
      <c r="A82" s="40"/>
      <c r="B82" s="40"/>
      <c r="C82" s="40"/>
      <c r="D82" s="40"/>
      <c r="E82" s="40"/>
      <c r="F82" s="41">
        <f>SUM(F56:F81)+F52</f>
        <v>398</v>
      </c>
      <c r="G82" s="41">
        <f>SUM(G56:G81)+G52</f>
        <v>1141</v>
      </c>
      <c r="H82" s="41">
        <f>SUM(H56:H81)+H52</f>
        <v>437</v>
      </c>
      <c r="I82" s="41">
        <f>SUM(I56:I81)+I52</f>
        <v>8184</v>
      </c>
      <c r="J82" s="41"/>
      <c r="K82" s="41"/>
      <c r="L82" s="41">
        <f>SUM(L56:L81)+L52</f>
        <v>500</v>
      </c>
      <c r="M82" s="41"/>
      <c r="N82" s="41">
        <f>SUM(N56:N81)+N52</f>
        <v>9000</v>
      </c>
      <c r="O82" s="41"/>
      <c r="P82" s="41">
        <f>SUM(P56:P81)+P52</f>
        <v>13500</v>
      </c>
      <c r="Q82" s="41"/>
      <c r="R82" s="41">
        <f>SUM(R56:R81)+R52</f>
        <v>1040</v>
      </c>
      <c r="S82" s="41"/>
      <c r="T82" s="41">
        <f>SUM(T56:T81)+T52</f>
        <v>300</v>
      </c>
      <c r="U82" s="41"/>
      <c r="V82" s="41">
        <f>SUM(V56:V81)+V52</f>
        <v>0</v>
      </c>
      <c r="W82" s="41"/>
      <c r="X82" s="41">
        <f>SUM(X56:X81)+X52</f>
        <v>31596</v>
      </c>
      <c r="Y82" s="40"/>
      <c r="Z82" s="41">
        <f>SUM(Z56:Z81)+Z52</f>
        <v>200</v>
      </c>
      <c r="AA82" s="40"/>
      <c r="AB82" s="41">
        <f>SUM(AB56:AB81)+AB52</f>
        <v>50</v>
      </c>
      <c r="AC82" s="40"/>
      <c r="AD82" s="41">
        <f>SUM(AD56:AD81)+AD46</f>
        <v>200</v>
      </c>
      <c r="AE82" s="41"/>
      <c r="AF82" s="41">
        <f>SUM(AF56:AF81)+AF52</f>
        <v>1049</v>
      </c>
      <c r="AG82" s="40"/>
      <c r="AH82" s="41">
        <f>SUM(AH56:AH81)+AH52</f>
        <v>405</v>
      </c>
      <c r="AI82" s="40"/>
      <c r="AJ82" s="41">
        <f>SUM(AJ56:AJ81)+AJ52</f>
        <v>0</v>
      </c>
      <c r="AK82" s="40"/>
      <c r="AL82" s="41">
        <f>SUM(AL56:AL81)+AL52</f>
        <v>0</v>
      </c>
      <c r="AM82" s="40"/>
      <c r="AN82" s="41">
        <f>SUM(AN56:AN81)+AN52</f>
        <v>6144</v>
      </c>
      <c r="AO82" s="40"/>
      <c r="AP82" s="40"/>
      <c r="AQ82" s="40"/>
      <c r="AR82" s="18">
        <f>COUNTIF(AR56:AR81,"x")+AR52</f>
        <v>64</v>
      </c>
      <c r="AS82" s="18">
        <f>COUNTIF(AS56:AS81,"x")+AS52</f>
        <v>14</v>
      </c>
      <c r="AT82" s="18">
        <f>COUNTIF(AT56:AT81,"x")+AT52</f>
        <v>3</v>
      </c>
    </row>
    <row r="83" spans="1:46">
      <c r="A83" s="36"/>
      <c r="B83" s="36"/>
      <c r="C83" s="36"/>
      <c r="D83" s="36"/>
      <c r="E83" s="36"/>
      <c r="F83" s="36"/>
      <c r="G83" s="36"/>
      <c r="H83" s="36"/>
      <c r="I83" s="36"/>
      <c r="J83" s="36"/>
      <c r="K83" s="36"/>
      <c r="L83" s="36"/>
      <c r="M83" s="36"/>
      <c r="N83" s="36"/>
      <c r="O83" s="36"/>
      <c r="P83" s="36"/>
      <c r="Q83" s="36"/>
      <c r="R83" s="36"/>
      <c r="S83" s="36"/>
      <c r="T83" s="36"/>
      <c r="U83" s="36"/>
      <c r="V83" s="36"/>
      <c r="W83" s="8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1:46" ht="12.95">
      <c r="A84" s="16" t="s">
        <v>559</v>
      </c>
      <c r="B84" s="36"/>
      <c r="C84" s="36"/>
      <c r="D84" s="36"/>
      <c r="E84" s="36"/>
      <c r="F84" s="36"/>
      <c r="G84" s="36"/>
      <c r="H84" s="36"/>
      <c r="I84" s="36"/>
      <c r="J84" s="36"/>
      <c r="K84" s="36"/>
      <c r="L84" s="36"/>
      <c r="M84" s="36"/>
      <c r="N84" s="36"/>
      <c r="O84" s="36"/>
      <c r="P84" s="36"/>
      <c r="Q84" s="36"/>
      <c r="R84" s="36"/>
      <c r="S84" s="36"/>
      <c r="T84" s="36"/>
      <c r="U84" s="36"/>
      <c r="V84" s="36"/>
      <c r="W84" s="8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1:46">
      <c r="A85" s="36"/>
      <c r="B85" s="36"/>
      <c r="C85" s="36"/>
      <c r="D85" s="36"/>
      <c r="E85" s="36"/>
      <c r="F85" s="36"/>
      <c r="G85" s="36"/>
      <c r="H85" s="36"/>
      <c r="I85" s="36"/>
      <c r="J85" s="36"/>
      <c r="K85" s="36"/>
      <c r="L85" s="36"/>
      <c r="M85" s="36"/>
      <c r="N85" s="36"/>
      <c r="O85" s="36"/>
      <c r="P85" s="36"/>
      <c r="Q85" s="36"/>
      <c r="R85" s="36"/>
      <c r="S85" s="36"/>
      <c r="T85" s="36"/>
      <c r="U85" s="36"/>
      <c r="V85" s="36"/>
      <c r="W85" s="8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1:46">
      <c r="A86" s="6" t="s">
        <v>560</v>
      </c>
      <c r="C86" s="6" t="s">
        <v>561</v>
      </c>
      <c r="D86" s="6" t="s">
        <v>562</v>
      </c>
      <c r="E86" s="6" t="s">
        <v>42</v>
      </c>
      <c r="F86" s="14">
        <v>2</v>
      </c>
      <c r="G86" s="14">
        <v>4</v>
      </c>
      <c r="H86" s="14">
        <v>4</v>
      </c>
      <c r="I86" s="14">
        <v>350</v>
      </c>
      <c r="J86" s="86">
        <f t="shared" ref="J86:J93" si="3">IF(G86&gt;=10,16, 4)</f>
        <v>4</v>
      </c>
      <c r="K86" s="86" t="s">
        <v>563</v>
      </c>
      <c r="L86" s="86"/>
      <c r="M86" s="86"/>
      <c r="N86" s="86"/>
      <c r="O86" s="86"/>
      <c r="P86" s="86"/>
      <c r="Q86" s="86"/>
      <c r="R86" s="86"/>
      <c r="S86" s="86"/>
      <c r="T86" s="86"/>
      <c r="U86" s="86"/>
      <c r="V86" s="86"/>
      <c r="W86" s="86"/>
      <c r="X86" s="36"/>
      <c r="Y86" s="36"/>
      <c r="Z86" s="86"/>
      <c r="AA86" s="86"/>
      <c r="AB86" s="86"/>
      <c r="AC86" s="86"/>
      <c r="AD86" s="86"/>
      <c r="AE86" s="86"/>
      <c r="AF86" s="86"/>
      <c r="AG86" s="86"/>
      <c r="AH86" s="86"/>
      <c r="AI86" s="86"/>
      <c r="AJ86" s="86"/>
      <c r="AK86" s="86"/>
      <c r="AL86" s="86"/>
      <c r="AM86" s="86"/>
      <c r="AN86" s="86"/>
      <c r="AO86" s="86"/>
      <c r="AP86" s="86"/>
      <c r="AQ86" s="86"/>
      <c r="AR86" s="86" t="s">
        <v>437</v>
      </c>
      <c r="AS86" s="86"/>
      <c r="AT86" s="86"/>
    </row>
    <row r="87" spans="1:46">
      <c r="A87" s="6" t="s">
        <v>565</v>
      </c>
      <c r="C87" s="6" t="s">
        <v>561</v>
      </c>
      <c r="D87" s="6" t="s">
        <v>562</v>
      </c>
      <c r="E87" s="6" t="s">
        <v>566</v>
      </c>
      <c r="F87" s="14">
        <v>6</v>
      </c>
      <c r="G87" s="14">
        <v>10</v>
      </c>
      <c r="H87" s="14">
        <v>10</v>
      </c>
      <c r="I87" s="14">
        <v>100</v>
      </c>
      <c r="J87" s="86">
        <f t="shared" si="3"/>
        <v>16</v>
      </c>
      <c r="K87" s="86" t="s">
        <v>563</v>
      </c>
      <c r="L87" s="86"/>
      <c r="M87" s="86"/>
      <c r="N87" s="86">
        <v>200</v>
      </c>
      <c r="O87" s="86" t="s">
        <v>564</v>
      </c>
      <c r="P87" s="86"/>
      <c r="Q87" s="86"/>
      <c r="R87" s="86"/>
      <c r="S87" s="86"/>
      <c r="T87" s="86"/>
      <c r="U87" s="86"/>
      <c r="V87" s="86"/>
      <c r="W87" s="86"/>
      <c r="X87" s="36"/>
      <c r="Y87" s="36"/>
      <c r="Z87" s="86"/>
      <c r="AA87" s="86"/>
      <c r="AB87" s="86"/>
      <c r="AC87" s="86"/>
      <c r="AD87" s="86"/>
      <c r="AE87" s="86"/>
      <c r="AF87" s="86"/>
      <c r="AG87" s="86"/>
      <c r="AH87" s="86"/>
      <c r="AI87" s="86"/>
      <c r="AJ87" s="86"/>
      <c r="AK87" s="86"/>
      <c r="AL87" s="86"/>
      <c r="AM87" s="86"/>
      <c r="AN87" s="86"/>
      <c r="AO87" s="86"/>
      <c r="AP87" s="86"/>
      <c r="AQ87" s="86"/>
      <c r="AR87" s="86" t="s">
        <v>437</v>
      </c>
      <c r="AS87" s="86"/>
      <c r="AT87" s="86"/>
    </row>
    <row r="88" spans="1:46">
      <c r="A88" s="6" t="s">
        <v>567</v>
      </c>
      <c r="C88" s="6" t="s">
        <v>561</v>
      </c>
      <c r="D88" s="6" t="s">
        <v>562</v>
      </c>
      <c r="E88" s="6" t="s">
        <v>568</v>
      </c>
      <c r="F88" s="14">
        <v>8</v>
      </c>
      <c r="G88" s="14">
        <v>16</v>
      </c>
      <c r="H88" s="14">
        <v>16</v>
      </c>
      <c r="I88" s="14">
        <v>60</v>
      </c>
      <c r="J88" s="86">
        <f t="shared" si="3"/>
        <v>16</v>
      </c>
      <c r="K88" s="86" t="s">
        <v>569</v>
      </c>
      <c r="L88" s="86"/>
      <c r="M88" s="86"/>
      <c r="N88" s="86"/>
      <c r="O88" s="86"/>
      <c r="P88" s="86"/>
      <c r="Q88" s="86"/>
      <c r="R88" s="86"/>
      <c r="S88" s="86"/>
      <c r="T88" s="86"/>
      <c r="U88" s="86"/>
      <c r="V88" s="86"/>
      <c r="W88" s="86"/>
      <c r="X88" s="36"/>
      <c r="Y88" s="36"/>
      <c r="Z88" s="86"/>
      <c r="AA88" s="86"/>
      <c r="AB88" s="86"/>
      <c r="AC88" s="86"/>
      <c r="AD88" s="86"/>
      <c r="AE88" s="86"/>
      <c r="AF88" s="86"/>
      <c r="AG88" s="86"/>
      <c r="AH88" s="86"/>
      <c r="AI88" s="86"/>
      <c r="AJ88" s="86"/>
      <c r="AK88" s="86"/>
      <c r="AL88" s="86"/>
      <c r="AM88" s="86"/>
      <c r="AN88" s="86"/>
      <c r="AO88" s="86"/>
      <c r="AP88" s="86"/>
      <c r="AQ88" s="86"/>
      <c r="AR88" s="86" t="s">
        <v>437</v>
      </c>
      <c r="AS88" s="14" t="s">
        <v>437</v>
      </c>
      <c r="AT88" s="86"/>
    </row>
    <row r="89" spans="1:46">
      <c r="A89" s="6" t="s">
        <v>570</v>
      </c>
      <c r="C89" s="6" t="s">
        <v>561</v>
      </c>
      <c r="D89" s="6" t="s">
        <v>562</v>
      </c>
      <c r="E89" s="6" t="s">
        <v>571</v>
      </c>
      <c r="F89" s="14">
        <v>10</v>
      </c>
      <c r="G89" s="14">
        <v>10</v>
      </c>
      <c r="H89" s="14">
        <v>10</v>
      </c>
      <c r="I89" s="14">
        <v>40</v>
      </c>
      <c r="J89" s="86">
        <f t="shared" si="3"/>
        <v>16</v>
      </c>
      <c r="K89" s="86" t="s">
        <v>569</v>
      </c>
      <c r="L89" s="86"/>
      <c r="M89" s="86"/>
      <c r="N89" s="86"/>
      <c r="O89" s="86"/>
      <c r="P89" s="86"/>
      <c r="Q89" s="86"/>
      <c r="R89" s="86"/>
      <c r="S89" s="86"/>
      <c r="T89" s="86"/>
      <c r="U89" s="86"/>
      <c r="V89" s="86"/>
      <c r="W89" s="86"/>
      <c r="X89" s="36"/>
      <c r="Y89" s="36"/>
      <c r="Z89" s="86"/>
      <c r="AA89" s="86"/>
      <c r="AB89" s="86"/>
      <c r="AC89" s="86"/>
      <c r="AD89" s="86"/>
      <c r="AE89" s="86"/>
      <c r="AF89" s="86"/>
      <c r="AG89" s="86"/>
      <c r="AH89" s="86"/>
      <c r="AI89" s="86"/>
      <c r="AJ89" s="86"/>
      <c r="AK89" s="86"/>
      <c r="AL89" s="86"/>
      <c r="AM89" s="86"/>
      <c r="AN89" s="86"/>
      <c r="AO89" s="86"/>
      <c r="AP89" s="86"/>
      <c r="AQ89" s="86"/>
      <c r="AR89" s="86" t="s">
        <v>437</v>
      </c>
      <c r="AS89" s="14" t="s">
        <v>437</v>
      </c>
      <c r="AT89" s="86"/>
    </row>
    <row r="90" spans="1:46">
      <c r="A90" s="6" t="s">
        <v>572</v>
      </c>
      <c r="C90" s="6" t="s">
        <v>561</v>
      </c>
      <c r="D90" s="6" t="s">
        <v>562</v>
      </c>
      <c r="E90" s="6" t="s">
        <v>573</v>
      </c>
      <c r="F90" s="14">
        <v>4</v>
      </c>
      <c r="G90" s="14">
        <v>16</v>
      </c>
      <c r="H90" s="14">
        <v>0</v>
      </c>
      <c r="I90" s="14">
        <v>550</v>
      </c>
      <c r="J90" s="86">
        <f t="shared" si="3"/>
        <v>16</v>
      </c>
      <c r="K90" s="86" t="s">
        <v>574</v>
      </c>
      <c r="L90" s="86"/>
      <c r="M90" s="86"/>
      <c r="N90" s="86"/>
      <c r="O90" s="86"/>
      <c r="P90" s="86"/>
      <c r="Q90" s="86"/>
      <c r="R90" s="86"/>
      <c r="S90" s="86"/>
      <c r="T90" s="86"/>
      <c r="U90" s="86"/>
      <c r="V90" s="86"/>
      <c r="W90" s="86"/>
      <c r="X90" s="36"/>
      <c r="Y90" s="36"/>
      <c r="Z90" s="86"/>
      <c r="AA90" s="86"/>
      <c r="AB90" s="86"/>
      <c r="AC90" s="86"/>
      <c r="AD90" s="86"/>
      <c r="AE90" s="86"/>
      <c r="AF90" s="86"/>
      <c r="AG90" s="86"/>
      <c r="AH90" s="86"/>
      <c r="AI90" s="86"/>
      <c r="AJ90" s="86"/>
      <c r="AK90" s="86"/>
      <c r="AL90" s="86"/>
      <c r="AM90" s="86"/>
      <c r="AN90" s="86"/>
      <c r="AO90" s="86"/>
      <c r="AP90" s="86"/>
      <c r="AQ90" s="86"/>
      <c r="AR90" s="86" t="s">
        <v>437</v>
      </c>
      <c r="AS90" s="14" t="s">
        <v>437</v>
      </c>
      <c r="AT90" s="86"/>
    </row>
    <row r="91" spans="1:46">
      <c r="A91" s="6" t="s">
        <v>576</v>
      </c>
      <c r="C91" s="6" t="s">
        <v>561</v>
      </c>
      <c r="D91" s="6" t="s">
        <v>562</v>
      </c>
      <c r="E91" s="6" t="s">
        <v>577</v>
      </c>
      <c r="F91" s="14">
        <v>2</v>
      </c>
      <c r="G91" s="14">
        <v>4</v>
      </c>
      <c r="H91" s="14">
        <v>4</v>
      </c>
      <c r="I91" s="14">
        <v>40</v>
      </c>
      <c r="J91" s="86">
        <f t="shared" si="3"/>
        <v>4</v>
      </c>
      <c r="K91" s="86" t="s">
        <v>569</v>
      </c>
      <c r="L91" s="86"/>
      <c r="M91" s="86"/>
      <c r="N91" s="86"/>
      <c r="O91" s="86"/>
      <c r="P91" s="86"/>
      <c r="Q91" s="86"/>
      <c r="R91" s="86">
        <v>50</v>
      </c>
      <c r="S91" s="86" t="s">
        <v>575</v>
      </c>
      <c r="T91" s="86"/>
      <c r="U91" s="86"/>
      <c r="V91" s="86"/>
      <c r="W91" s="86"/>
      <c r="X91" s="36"/>
      <c r="Y91" s="36"/>
      <c r="Z91" s="86"/>
      <c r="AA91" s="86"/>
      <c r="AB91" s="86"/>
      <c r="AC91" s="86"/>
      <c r="AD91" s="86"/>
      <c r="AE91" s="86"/>
      <c r="AF91" s="86"/>
      <c r="AG91" s="86"/>
      <c r="AH91" s="86"/>
      <c r="AI91" s="86"/>
      <c r="AJ91" s="86"/>
      <c r="AK91" s="86"/>
      <c r="AL91" s="86"/>
      <c r="AM91" s="86"/>
      <c r="AN91" s="86"/>
      <c r="AO91" s="86"/>
      <c r="AP91" s="86"/>
      <c r="AQ91" s="86"/>
      <c r="AR91" s="86" t="s">
        <v>437</v>
      </c>
      <c r="AS91" s="86"/>
      <c r="AT91" s="86"/>
    </row>
    <row r="92" spans="1:46">
      <c r="A92" s="36" t="s">
        <v>578</v>
      </c>
      <c r="B92" s="36"/>
      <c r="C92" s="6" t="s">
        <v>579</v>
      </c>
      <c r="D92" s="36" t="s">
        <v>562</v>
      </c>
      <c r="E92" s="6" t="s">
        <v>86</v>
      </c>
      <c r="F92" s="86">
        <v>8</v>
      </c>
      <c r="G92" s="86">
        <v>32</v>
      </c>
      <c r="H92" s="14">
        <v>0</v>
      </c>
      <c r="I92" s="86">
        <v>80</v>
      </c>
      <c r="J92" s="86">
        <f t="shared" si="3"/>
        <v>16</v>
      </c>
      <c r="K92" s="86" t="s">
        <v>580</v>
      </c>
      <c r="L92" s="86"/>
      <c r="M92" s="86"/>
      <c r="N92" s="86"/>
      <c r="O92" s="86"/>
      <c r="P92" s="86"/>
      <c r="Q92" s="86"/>
      <c r="R92" s="86"/>
      <c r="S92" s="86"/>
      <c r="T92" s="86"/>
      <c r="U92" s="86"/>
      <c r="V92" s="86"/>
      <c r="W92" s="86"/>
      <c r="X92" s="36"/>
      <c r="Y92" s="36"/>
      <c r="Z92" s="86"/>
      <c r="AA92" s="86"/>
      <c r="AB92" s="86"/>
      <c r="AC92" s="86"/>
      <c r="AD92" s="86"/>
      <c r="AE92" s="86"/>
      <c r="AF92" s="86"/>
      <c r="AG92" s="86"/>
      <c r="AH92" s="86"/>
      <c r="AI92" s="86"/>
      <c r="AJ92" s="86"/>
      <c r="AK92" s="86"/>
      <c r="AL92" s="86"/>
      <c r="AM92" s="86"/>
      <c r="AN92" s="86"/>
      <c r="AO92" s="86"/>
      <c r="AP92" s="86"/>
      <c r="AQ92" s="86"/>
      <c r="AR92" s="86" t="s">
        <v>437</v>
      </c>
      <c r="AS92" s="86"/>
      <c r="AT92" s="86"/>
    </row>
    <row r="93" spans="1:46" s="19" customFormat="1">
      <c r="A93" s="46" t="s">
        <v>581</v>
      </c>
      <c r="B93" s="46"/>
      <c r="C93" s="19" t="s">
        <v>579</v>
      </c>
      <c r="D93" s="46" t="s">
        <v>562</v>
      </c>
      <c r="E93" s="19" t="s">
        <v>86</v>
      </c>
      <c r="F93" s="39">
        <v>8</v>
      </c>
      <c r="G93" s="39">
        <v>32</v>
      </c>
      <c r="H93" s="17">
        <v>0</v>
      </c>
      <c r="I93" s="39">
        <v>80</v>
      </c>
      <c r="J93" s="39">
        <f t="shared" si="3"/>
        <v>16</v>
      </c>
      <c r="K93" s="39" t="s">
        <v>580</v>
      </c>
      <c r="L93" s="39"/>
      <c r="M93" s="39"/>
      <c r="N93" s="39"/>
      <c r="O93" s="39"/>
      <c r="P93" s="39"/>
      <c r="Q93" s="39"/>
      <c r="R93" s="39"/>
      <c r="S93" s="39"/>
      <c r="T93" s="39"/>
      <c r="U93" s="39"/>
      <c r="V93" s="39"/>
      <c r="W93" s="39"/>
      <c r="X93" s="46"/>
      <c r="Y93" s="46"/>
      <c r="Z93" s="39"/>
      <c r="AA93" s="39"/>
      <c r="AB93" s="39"/>
      <c r="AC93" s="39"/>
      <c r="AD93" s="39"/>
      <c r="AE93" s="39"/>
      <c r="AF93" s="39"/>
      <c r="AG93" s="39"/>
      <c r="AH93" s="39"/>
      <c r="AI93" s="39"/>
      <c r="AJ93" s="39"/>
      <c r="AK93" s="39"/>
      <c r="AL93" s="39"/>
      <c r="AM93" s="39"/>
      <c r="AN93" s="39"/>
      <c r="AO93" s="39"/>
      <c r="AP93" s="39"/>
      <c r="AQ93" s="39"/>
      <c r="AR93" s="39" t="s">
        <v>437</v>
      </c>
      <c r="AS93" s="39"/>
      <c r="AT93" s="39"/>
    </row>
    <row r="94" spans="1:46">
      <c r="A94" s="36"/>
      <c r="B94" s="36"/>
      <c r="C94" s="36"/>
      <c r="D94" s="36"/>
      <c r="E94" s="36"/>
      <c r="F94" s="86">
        <f>F82+SUM(F86:F93)</f>
        <v>446</v>
      </c>
      <c r="G94" s="86">
        <f>G82+SUM(G86:G93)</f>
        <v>1265</v>
      </c>
      <c r="H94" s="86">
        <f>H82+SUM(H86:H93)</f>
        <v>481</v>
      </c>
      <c r="I94" s="86">
        <f>I82+SUM(I86:I93)</f>
        <v>9484</v>
      </c>
      <c r="J94" s="86"/>
      <c r="K94" s="86"/>
      <c r="L94" s="86">
        <f>L82+SUM(L86:L93)</f>
        <v>500</v>
      </c>
      <c r="M94" s="86"/>
      <c r="N94" s="86">
        <f>N82+SUM(N86:N93)</f>
        <v>9200</v>
      </c>
      <c r="O94" s="86"/>
      <c r="P94" s="86">
        <f>P82+SUM(P86:P93)</f>
        <v>13500</v>
      </c>
      <c r="Q94" s="86"/>
      <c r="R94" s="86">
        <f>R82+SUM(R86:R93)</f>
        <v>1090</v>
      </c>
      <c r="S94" s="86"/>
      <c r="T94" s="86">
        <f>T82+SUM(T86:T93)</f>
        <v>300</v>
      </c>
      <c r="U94" s="86"/>
      <c r="V94" s="86">
        <f>V82+SUM(V86:V93)</f>
        <v>0</v>
      </c>
      <c r="W94" s="86"/>
      <c r="X94" s="86">
        <f>X82+SUM(X86:X93)</f>
        <v>31596</v>
      </c>
      <c r="Y94" s="86"/>
      <c r="Z94" s="86">
        <f>Z82+SUM(Z86:Z93)</f>
        <v>200</v>
      </c>
      <c r="AA94" s="86"/>
      <c r="AB94" s="86">
        <f>AB82+SUM(AB86:AB93)</f>
        <v>50</v>
      </c>
      <c r="AC94" s="86"/>
      <c r="AD94" s="86">
        <f>AD82+SUM(AD86:AD93)</f>
        <v>200</v>
      </c>
      <c r="AE94" s="86"/>
      <c r="AF94" s="86">
        <f>AF82+SUM(AF86:AF93)</f>
        <v>1049</v>
      </c>
      <c r="AG94" s="86"/>
      <c r="AH94" s="86">
        <f>AH82+SUM(AH86:AH93)</f>
        <v>405</v>
      </c>
      <c r="AI94" s="86"/>
      <c r="AJ94" s="86">
        <f>AJ82+SUM(AJ86:AJ93)</f>
        <v>0</v>
      </c>
      <c r="AK94" s="86"/>
      <c r="AL94" s="86">
        <f>AL82+SUM(AL86:AL93)</f>
        <v>0</v>
      </c>
      <c r="AM94" s="86"/>
      <c r="AN94" s="86">
        <f>AN82+SUM(AN86:AN93)</f>
        <v>6144</v>
      </c>
      <c r="AO94" s="86"/>
      <c r="AP94" s="86"/>
      <c r="AQ94" s="86"/>
      <c r="AR94" s="18">
        <f>COUNTIF(AR86:AR93,"x")+AR82</f>
        <v>72</v>
      </c>
      <c r="AS94" s="18">
        <f>COUNTIF(AS86:AS93,"x")+AS82</f>
        <v>17</v>
      </c>
      <c r="AT94" s="18">
        <f>COUNTIF(AT86:AT93,"x")+AT82</f>
        <v>3</v>
      </c>
    </row>
  </sheetData>
  <mergeCells count="7">
    <mergeCell ref="A49:B49"/>
    <mergeCell ref="A6:B6"/>
    <mergeCell ref="A2:B2"/>
    <mergeCell ref="A3:B3"/>
    <mergeCell ref="F3:G3"/>
    <mergeCell ref="A4:B4"/>
    <mergeCell ref="A5:B5"/>
  </mergeCells>
  <hyperlinks>
    <hyperlink ref="F3:G3" location="Shortcuts!A1" display="Back to shortcuts" xr:uid="{0AB21F95-E5AC-4962-A790-6493D51A6E68}"/>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B161-450E-4680-8FB4-C31832296447}">
  <dimension ref="A1:CB94"/>
  <sheetViews>
    <sheetView topLeftCell="A27" zoomScale="83" zoomScaleNormal="83" zoomScalePageLayoutView="70" workbookViewId="0">
      <selection activeCell="BM49" sqref="BM49"/>
    </sheetView>
  </sheetViews>
  <sheetFormatPr defaultColWidth="8.85546875" defaultRowHeight="12.6"/>
  <cols>
    <col min="1" max="1" width="8.85546875" style="6"/>
    <col min="2" max="2" width="20.85546875" style="6" customWidth="1"/>
    <col min="3" max="3" width="24" style="6" customWidth="1"/>
    <col min="4" max="4" width="55.85546875" style="6" customWidth="1"/>
    <col min="5" max="5" width="14.140625" style="6" customWidth="1"/>
    <col min="6" max="7" width="8.85546875" style="6"/>
    <col min="8" max="9" width="8.140625" style="6" customWidth="1"/>
    <col min="10" max="10" width="6.140625" style="6" customWidth="1"/>
    <col min="11" max="11" width="15.140625" style="6" customWidth="1"/>
    <col min="12" max="12" width="6.85546875" style="6" customWidth="1"/>
    <col min="13" max="13" width="8.85546875" style="6"/>
    <col min="14" max="14" width="6.140625" style="6" customWidth="1"/>
    <col min="15" max="15" width="15.140625" style="6" customWidth="1"/>
    <col min="16" max="16" width="6.85546875" style="6" customWidth="1"/>
    <col min="17" max="17" width="8.85546875" style="6"/>
    <col min="18" max="18" width="6.140625" style="6" customWidth="1"/>
    <col min="19" max="19" width="15.140625" style="6" customWidth="1"/>
    <col min="20" max="20" width="6.85546875" style="6" customWidth="1"/>
    <col min="21" max="21" width="9.140625" style="6" customWidth="1"/>
    <col min="22" max="22" width="6.140625" style="6" customWidth="1"/>
    <col min="23" max="23" width="11.140625" style="6" customWidth="1"/>
    <col min="24" max="24" width="6.85546875" style="6" customWidth="1"/>
    <col min="25" max="25" width="8.85546875" style="6"/>
    <col min="26" max="26" width="6.140625" style="6" customWidth="1"/>
    <col min="27" max="27" width="15.140625" style="6" customWidth="1"/>
    <col min="28" max="28" width="6.85546875" style="6" customWidth="1"/>
    <col min="29" max="29" width="8.85546875" style="6"/>
    <col min="30" max="30" width="6.140625" style="6" customWidth="1"/>
    <col min="31" max="31" width="15.140625" style="6" customWidth="1"/>
    <col min="32" max="32" width="6.85546875" style="6" customWidth="1"/>
    <col min="33" max="33" width="13.140625" style="6" customWidth="1"/>
    <col min="34" max="34" width="6.140625" style="6" customWidth="1"/>
    <col min="35" max="36" width="11.140625" style="6" customWidth="1"/>
    <col min="37" max="37" width="7.140625" style="6" customWidth="1"/>
    <col min="38" max="38" width="6.140625" style="6" customWidth="1"/>
    <col min="39" max="39" width="15.140625" style="6" customWidth="1"/>
    <col min="40" max="40" width="6.85546875" style="6" customWidth="1"/>
    <col min="41" max="41" width="12.5703125" style="6" customWidth="1"/>
    <col min="42" max="48" width="6.85546875" style="6" customWidth="1"/>
    <col min="49" max="49" width="8.85546875" style="6" customWidth="1"/>
    <col min="50" max="50" width="8.28515625" style="6" customWidth="1"/>
    <col min="51" max="51" width="9.140625" style="6" customWidth="1"/>
    <col min="52" max="54" width="6.85546875" style="6" customWidth="1"/>
    <col min="55" max="55" width="10.85546875" style="6" customWidth="1"/>
    <col min="56" max="56" width="6.85546875" style="6" customWidth="1"/>
    <col min="57" max="57" width="16" style="6" customWidth="1"/>
    <col min="58" max="62" width="6.85546875" style="6" customWidth="1"/>
    <col min="63" max="63" width="10.28515625" style="6" customWidth="1"/>
    <col min="64" max="64" width="6.85546875" style="6" customWidth="1"/>
    <col min="65" max="65" width="9.85546875" style="6" customWidth="1"/>
    <col min="66" max="66" width="12.140625" style="6" customWidth="1"/>
    <col min="67" max="68" width="13.140625" style="6" customWidth="1"/>
    <col min="69" max="69" width="6.140625" style="6" customWidth="1"/>
    <col min="70" max="70" width="18.140625" style="6" customWidth="1"/>
    <col min="71" max="71" width="17.140625" style="6" customWidth="1"/>
    <col min="72" max="72" width="18.5703125" style="6" customWidth="1"/>
    <col min="73" max="74" width="13.140625" style="6" customWidth="1"/>
    <col min="75" max="75" width="22.85546875" style="6" customWidth="1"/>
    <col min="76" max="76" width="17.5703125" style="6" customWidth="1"/>
    <col min="77" max="86" width="8.85546875" style="6"/>
    <col min="87" max="87" width="10.140625" style="6" customWidth="1"/>
    <col min="88" max="16384" width="8.85546875" style="6"/>
  </cols>
  <sheetData>
    <row r="1" spans="1:76" ht="12.95">
      <c r="A1" s="189" t="s">
        <v>38</v>
      </c>
      <c r="B1" s="189"/>
      <c r="C1" s="189"/>
      <c r="D1" s="190"/>
      <c r="F1" s="7" t="s">
        <v>722</v>
      </c>
    </row>
    <row r="2" spans="1:76">
      <c r="A2" s="182" t="s">
        <v>410</v>
      </c>
      <c r="B2" s="182"/>
    </row>
    <row r="3" spans="1:76" ht="14.45">
      <c r="A3" s="182" t="s">
        <v>412</v>
      </c>
      <c r="B3" s="182"/>
      <c r="F3" s="173" t="s">
        <v>413</v>
      </c>
      <c r="G3" s="173"/>
    </row>
    <row r="4" spans="1:76">
      <c r="A4" s="182" t="s">
        <v>414</v>
      </c>
      <c r="B4" s="182"/>
      <c r="C4" s="114"/>
      <c r="D4" s="6" t="s">
        <v>518</v>
      </c>
    </row>
    <row r="5" spans="1:76">
      <c r="A5" s="171" t="s">
        <v>415</v>
      </c>
      <c r="B5" s="171"/>
      <c r="D5" s="36" t="s">
        <v>720</v>
      </c>
    </row>
    <row r="6" spans="1:76">
      <c r="A6" s="171" t="s">
        <v>416</v>
      </c>
      <c r="B6" s="171"/>
    </row>
    <row r="7" spans="1:76" ht="51.95">
      <c r="A7" s="9" t="s">
        <v>183</v>
      </c>
      <c r="B7" s="9" t="s">
        <v>417</v>
      </c>
      <c r="C7" s="9" t="s">
        <v>419</v>
      </c>
      <c r="D7" s="9" t="s">
        <v>420</v>
      </c>
      <c r="E7" s="8" t="s">
        <v>723</v>
      </c>
      <c r="F7" s="8" t="s">
        <v>157</v>
      </c>
      <c r="G7" s="8" t="s">
        <v>173</v>
      </c>
      <c r="H7" s="8" t="s">
        <v>724</v>
      </c>
      <c r="I7" s="8" t="s">
        <v>422</v>
      </c>
      <c r="J7" s="8" t="s">
        <v>725</v>
      </c>
      <c r="K7" s="8" t="s">
        <v>726</v>
      </c>
      <c r="L7" s="8" t="s">
        <v>727</v>
      </c>
      <c r="M7" s="8" t="s">
        <v>198</v>
      </c>
      <c r="N7" s="8" t="s">
        <v>725</v>
      </c>
      <c r="O7" s="8" t="s">
        <v>726</v>
      </c>
      <c r="P7" s="8" t="s">
        <v>727</v>
      </c>
      <c r="Q7" s="8" t="s">
        <v>53</v>
      </c>
      <c r="R7" s="8" t="s">
        <v>725</v>
      </c>
      <c r="S7" s="8" t="s">
        <v>726</v>
      </c>
      <c r="T7" s="8" t="s">
        <v>727</v>
      </c>
      <c r="U7" s="8" t="s">
        <v>202</v>
      </c>
      <c r="V7" s="8" t="s">
        <v>725</v>
      </c>
      <c r="W7" s="8" t="s">
        <v>726</v>
      </c>
      <c r="X7" s="8" t="s">
        <v>727</v>
      </c>
      <c r="Y7" s="8" t="s">
        <v>217</v>
      </c>
      <c r="Z7" s="8" t="s">
        <v>725</v>
      </c>
      <c r="AA7" s="8" t="s">
        <v>726</v>
      </c>
      <c r="AB7" s="8" t="s">
        <v>727</v>
      </c>
      <c r="AC7" s="8" t="s">
        <v>631</v>
      </c>
      <c r="AD7" s="8" t="s">
        <v>725</v>
      </c>
      <c r="AE7" s="8" t="s">
        <v>726</v>
      </c>
      <c r="AF7" s="8" t="s">
        <v>727</v>
      </c>
      <c r="AG7" s="8" t="s">
        <v>206</v>
      </c>
      <c r="AH7" s="8" t="s">
        <v>725</v>
      </c>
      <c r="AI7" s="8" t="s">
        <v>726</v>
      </c>
      <c r="AJ7" s="8" t="s">
        <v>727</v>
      </c>
      <c r="AK7" s="8" t="s">
        <v>610</v>
      </c>
      <c r="AL7" s="8" t="s">
        <v>725</v>
      </c>
      <c r="AM7" s="8" t="s">
        <v>726</v>
      </c>
      <c r="AN7" s="8" t="s">
        <v>727</v>
      </c>
      <c r="AO7" s="83" t="s">
        <v>728</v>
      </c>
      <c r="AP7" s="8" t="s">
        <v>725</v>
      </c>
      <c r="AQ7" s="8" t="s">
        <v>726</v>
      </c>
      <c r="AR7" s="8" t="s">
        <v>727</v>
      </c>
      <c r="AS7" s="83" t="s">
        <v>235</v>
      </c>
      <c r="AT7" s="8" t="s">
        <v>725</v>
      </c>
      <c r="AU7" s="8" t="s">
        <v>726</v>
      </c>
      <c r="AV7" s="8" t="s">
        <v>727</v>
      </c>
      <c r="AW7" s="83" t="s">
        <v>428</v>
      </c>
      <c r="AX7" s="8" t="s">
        <v>725</v>
      </c>
      <c r="AY7" s="8" t="s">
        <v>726</v>
      </c>
      <c r="AZ7" s="8" t="s">
        <v>727</v>
      </c>
      <c r="BA7" s="83" t="s">
        <v>795</v>
      </c>
      <c r="BB7" s="8" t="s">
        <v>725</v>
      </c>
      <c r="BC7" s="8" t="s">
        <v>726</v>
      </c>
      <c r="BD7" s="8" t="s">
        <v>727</v>
      </c>
      <c r="BE7" s="83" t="s">
        <v>791</v>
      </c>
      <c r="BF7" s="8" t="s">
        <v>725</v>
      </c>
      <c r="BG7" s="8" t="s">
        <v>726</v>
      </c>
      <c r="BH7" s="8" t="s">
        <v>727</v>
      </c>
      <c r="BI7" s="8" t="s">
        <v>477</v>
      </c>
      <c r="BJ7" s="8" t="s">
        <v>725</v>
      </c>
      <c r="BK7" s="8" t="s">
        <v>731</v>
      </c>
      <c r="BL7" s="8" t="s">
        <v>727</v>
      </c>
      <c r="BM7" s="8" t="s">
        <v>219</v>
      </c>
      <c r="BN7" s="8" t="s">
        <v>732</v>
      </c>
      <c r="BO7" s="8" t="s">
        <v>433</v>
      </c>
      <c r="BP7" s="8" t="s">
        <v>733</v>
      </c>
      <c r="BQ7" s="8" t="s">
        <v>734</v>
      </c>
      <c r="BR7" s="8" t="s">
        <v>735</v>
      </c>
      <c r="BS7" s="8" t="s">
        <v>736</v>
      </c>
      <c r="BT7" s="83" t="s">
        <v>737</v>
      </c>
      <c r="BU7" s="8" t="s">
        <v>738</v>
      </c>
      <c r="BV7" s="8" t="s">
        <v>739</v>
      </c>
      <c r="BW7" s="8" t="s">
        <v>740</v>
      </c>
      <c r="BX7" s="8" t="s">
        <v>741</v>
      </c>
    </row>
    <row r="8" spans="1:76">
      <c r="A8" s="6" t="s">
        <v>742</v>
      </c>
      <c r="B8" s="14"/>
      <c r="C8" s="6" t="s">
        <v>435</v>
      </c>
      <c r="D8" s="6" t="s">
        <v>743</v>
      </c>
      <c r="E8" s="14" t="s">
        <v>744</v>
      </c>
      <c r="F8" s="14">
        <v>4</v>
      </c>
      <c r="G8" s="14">
        <v>8</v>
      </c>
      <c r="H8" s="62">
        <v>50</v>
      </c>
      <c r="I8" s="31">
        <v>0</v>
      </c>
      <c r="J8" s="14" t="s">
        <v>745</v>
      </c>
      <c r="K8" s="6" t="s">
        <v>746</v>
      </c>
      <c r="L8" s="14">
        <v>4.7</v>
      </c>
      <c r="M8" s="62"/>
      <c r="N8" s="14"/>
      <c r="O8" s="14"/>
      <c r="P8" s="14"/>
      <c r="Q8" s="62"/>
      <c r="R8" s="14"/>
      <c r="S8" s="14"/>
      <c r="T8" s="14"/>
      <c r="U8" s="62"/>
      <c r="V8" s="14"/>
      <c r="W8" s="14"/>
      <c r="X8" s="14"/>
      <c r="Y8" s="62"/>
      <c r="Z8" s="14"/>
      <c r="AA8" s="14"/>
      <c r="AB8" s="14"/>
      <c r="AC8" s="62"/>
      <c r="AD8" s="14"/>
      <c r="AE8" s="14"/>
      <c r="AF8" s="14"/>
      <c r="AG8" s="62">
        <v>0</v>
      </c>
      <c r="AH8" s="14" t="s">
        <v>742</v>
      </c>
      <c r="AI8" s="6" t="s">
        <v>742</v>
      </c>
      <c r="AJ8" s="14" t="s">
        <v>742</v>
      </c>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v>1</v>
      </c>
      <c r="BO8" s="14"/>
      <c r="BP8" s="14" t="s">
        <v>437</v>
      </c>
      <c r="BQ8" s="14">
        <v>2</v>
      </c>
      <c r="BR8" s="14" t="s">
        <v>437</v>
      </c>
      <c r="BS8" s="14"/>
      <c r="BX8" s="14"/>
    </row>
    <row r="9" spans="1:76">
      <c r="A9" s="6" t="s">
        <v>434</v>
      </c>
      <c r="C9" s="6" t="s">
        <v>435</v>
      </c>
      <c r="D9" s="21" t="s">
        <v>42</v>
      </c>
      <c r="E9" s="14" t="s">
        <v>747</v>
      </c>
      <c r="F9" s="14">
        <v>4</v>
      </c>
      <c r="G9" s="14">
        <v>16</v>
      </c>
      <c r="H9" s="62">
        <v>350</v>
      </c>
      <c r="I9" s="31">
        <v>4</v>
      </c>
      <c r="J9" s="14" t="s">
        <v>748</v>
      </c>
      <c r="K9" s="6" t="s">
        <v>746</v>
      </c>
      <c r="L9" s="14">
        <v>5.9</v>
      </c>
      <c r="M9" s="62"/>
      <c r="N9" s="14"/>
      <c r="O9" s="14"/>
      <c r="P9" s="14"/>
      <c r="Q9" s="62"/>
      <c r="R9" s="14"/>
      <c r="S9" s="14"/>
      <c r="T9" s="14"/>
      <c r="U9" s="62"/>
      <c r="V9" s="14"/>
      <c r="W9" s="14"/>
      <c r="X9" s="14"/>
      <c r="Y9" s="62"/>
      <c r="Z9" s="14"/>
      <c r="AA9" s="14"/>
      <c r="AB9" s="14"/>
      <c r="AC9" s="62"/>
      <c r="AD9" s="14"/>
      <c r="AE9" s="14"/>
      <c r="AF9" s="14"/>
      <c r="AG9" s="62">
        <f>2*H9</f>
        <v>700</v>
      </c>
      <c r="AH9" s="14" t="s">
        <v>748</v>
      </c>
      <c r="AI9" s="6" t="s">
        <v>746</v>
      </c>
      <c r="AJ9" s="14" t="s">
        <v>742</v>
      </c>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v>2</v>
      </c>
      <c r="BN9" s="14" t="s">
        <v>437</v>
      </c>
      <c r="BO9" s="14"/>
      <c r="BP9" s="14"/>
      <c r="BQ9" s="14">
        <v>2</v>
      </c>
      <c r="BR9" s="14"/>
      <c r="BS9" s="14"/>
      <c r="BT9" s="14" t="s">
        <v>437</v>
      </c>
      <c r="BU9" s="14"/>
      <c r="BV9" s="14"/>
      <c r="BW9" s="14"/>
      <c r="BX9" s="14"/>
    </row>
    <row r="10" spans="1:76">
      <c r="A10" s="6" t="s">
        <v>440</v>
      </c>
      <c r="B10" s="14" t="s">
        <v>441</v>
      </c>
      <c r="C10" s="6" t="s">
        <v>435</v>
      </c>
      <c r="D10" s="21" t="s">
        <v>50</v>
      </c>
      <c r="E10" s="14" t="s">
        <v>749</v>
      </c>
      <c r="F10" s="14">
        <v>6</v>
      </c>
      <c r="G10" s="14">
        <v>11</v>
      </c>
      <c r="H10" s="62">
        <v>40</v>
      </c>
      <c r="I10" s="31">
        <v>4</v>
      </c>
      <c r="J10" s="14" t="s">
        <v>748</v>
      </c>
      <c r="K10" s="6" t="s">
        <v>746</v>
      </c>
      <c r="L10" s="14">
        <v>2.6</v>
      </c>
      <c r="M10" s="62"/>
      <c r="N10" s="14"/>
      <c r="O10" s="14"/>
      <c r="P10" s="14"/>
      <c r="Q10" s="62"/>
      <c r="R10" s="14"/>
      <c r="S10" s="14"/>
      <c r="T10" s="14"/>
      <c r="U10" s="62"/>
      <c r="V10" s="14"/>
      <c r="W10" s="14"/>
      <c r="X10" s="14"/>
      <c r="Y10" s="62"/>
      <c r="Z10" s="14"/>
      <c r="AA10" s="14"/>
      <c r="AB10" s="14"/>
      <c r="AC10" s="62"/>
      <c r="AD10" s="14"/>
      <c r="AE10" s="14"/>
      <c r="AF10" s="14"/>
      <c r="AG10" s="62">
        <f>H10*2</f>
        <v>80</v>
      </c>
      <c r="AH10" s="14" t="s">
        <v>748</v>
      </c>
      <c r="AI10" s="6" t="s">
        <v>746</v>
      </c>
      <c r="AJ10" s="14" t="s">
        <v>742</v>
      </c>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v>2</v>
      </c>
      <c r="BN10" s="14" t="s">
        <v>437</v>
      </c>
      <c r="BO10" s="14"/>
      <c r="BP10" s="14"/>
      <c r="BQ10" s="14">
        <v>2</v>
      </c>
      <c r="BR10" s="14"/>
      <c r="BS10" s="14"/>
      <c r="BT10" s="14" t="s">
        <v>437</v>
      </c>
      <c r="BU10" s="14"/>
      <c r="BV10" s="14"/>
      <c r="BW10" s="14"/>
      <c r="BX10" s="14"/>
    </row>
    <row r="11" spans="1:76">
      <c r="A11" s="6" t="s">
        <v>444</v>
      </c>
      <c r="B11" s="14"/>
      <c r="C11" s="6" t="s">
        <v>435</v>
      </c>
      <c r="D11" s="21" t="s">
        <v>53</v>
      </c>
      <c r="E11" s="14" t="s">
        <v>750</v>
      </c>
      <c r="F11" s="14">
        <v>16</v>
      </c>
      <c r="G11" s="14">
        <v>160</v>
      </c>
      <c r="H11" s="62">
        <v>95</v>
      </c>
      <c r="I11" s="31">
        <v>32</v>
      </c>
      <c r="J11" s="14" t="s">
        <v>748</v>
      </c>
      <c r="K11" s="6" t="s">
        <v>746</v>
      </c>
      <c r="L11" s="14">
        <v>2.6</v>
      </c>
      <c r="M11" s="62">
        <v>460</v>
      </c>
      <c r="N11" s="14" t="s">
        <v>748</v>
      </c>
      <c r="O11" s="6" t="s">
        <v>751</v>
      </c>
      <c r="P11" s="14">
        <f>50/1000</f>
        <v>0.05</v>
      </c>
      <c r="Q11" s="62">
        <v>8100</v>
      </c>
      <c r="R11" s="14" t="s">
        <v>748</v>
      </c>
      <c r="S11" s="6" t="s">
        <v>751</v>
      </c>
      <c r="T11" s="14">
        <f>50/1000</f>
        <v>0.05</v>
      </c>
      <c r="U11" s="62">
        <v>12150</v>
      </c>
      <c r="V11" s="14" t="s">
        <v>748</v>
      </c>
      <c r="W11" s="6" t="s">
        <v>746</v>
      </c>
      <c r="X11" s="14">
        <f>50/1000</f>
        <v>0.05</v>
      </c>
      <c r="Y11" s="62"/>
      <c r="Z11" s="14"/>
      <c r="AA11" s="14"/>
      <c r="AB11" s="14"/>
      <c r="AC11" s="62"/>
      <c r="AD11" s="14"/>
      <c r="AE11" s="14"/>
      <c r="AF11" s="14"/>
      <c r="AG11" s="62">
        <v>28800</v>
      </c>
      <c r="AH11" s="14" t="s">
        <v>748</v>
      </c>
      <c r="AI11" s="6" t="s">
        <v>746</v>
      </c>
      <c r="AJ11" s="14" t="s">
        <v>742</v>
      </c>
      <c r="AK11" s="14"/>
      <c r="AL11" s="14"/>
      <c r="AM11" s="14"/>
      <c r="AN11" s="14"/>
      <c r="AO11" s="14"/>
      <c r="AP11" s="14"/>
      <c r="AQ11" s="14"/>
      <c r="AR11" s="14"/>
      <c r="AS11" s="14"/>
      <c r="AT11" s="14"/>
      <c r="AU11" s="14"/>
      <c r="AV11" s="14"/>
      <c r="AW11" s="14"/>
      <c r="AX11" s="14"/>
      <c r="AY11" s="14"/>
      <c r="AZ11" s="14"/>
      <c r="BA11" s="14"/>
      <c r="BB11" s="14"/>
      <c r="BC11" s="14"/>
      <c r="BD11" s="14"/>
      <c r="BE11" s="62">
        <v>6144</v>
      </c>
      <c r="BF11" s="14" t="s">
        <v>748</v>
      </c>
      <c r="BG11" s="6" t="s">
        <v>746</v>
      </c>
      <c r="BH11" s="14">
        <f>50/1000</f>
        <v>0.05</v>
      </c>
      <c r="BI11" s="14"/>
      <c r="BJ11" s="14"/>
      <c r="BK11" s="14"/>
      <c r="BL11" s="14"/>
      <c r="BM11" s="14">
        <v>5</v>
      </c>
      <c r="BN11" s="14" t="s">
        <v>437</v>
      </c>
      <c r="BO11" s="14"/>
      <c r="BP11" s="14"/>
      <c r="BQ11" s="14">
        <v>2</v>
      </c>
      <c r="BR11" s="14"/>
      <c r="BS11" s="14"/>
      <c r="BT11" s="14" t="s">
        <v>437</v>
      </c>
      <c r="BU11" s="14"/>
      <c r="BV11" s="14"/>
      <c r="BW11" s="14"/>
      <c r="BX11" s="14"/>
    </row>
    <row r="12" spans="1:76">
      <c r="A12" s="6" t="s">
        <v>448</v>
      </c>
      <c r="B12" s="14" t="s">
        <v>441</v>
      </c>
      <c r="C12" s="6" t="s">
        <v>435</v>
      </c>
      <c r="D12" s="21" t="s">
        <v>57</v>
      </c>
      <c r="E12" s="14" t="s">
        <v>752</v>
      </c>
      <c r="F12" s="14">
        <v>8</v>
      </c>
      <c r="G12" s="14">
        <v>13</v>
      </c>
      <c r="H12" s="62">
        <v>45</v>
      </c>
      <c r="I12" s="31">
        <v>16</v>
      </c>
      <c r="J12" s="14" t="s">
        <v>748</v>
      </c>
      <c r="K12" s="6" t="s">
        <v>746</v>
      </c>
      <c r="L12" s="14">
        <v>2.6</v>
      </c>
      <c r="M12" s="62"/>
      <c r="N12" s="14"/>
      <c r="O12" s="14"/>
      <c r="P12" s="14"/>
      <c r="Q12" s="62"/>
      <c r="R12" s="14"/>
      <c r="S12" s="14"/>
      <c r="T12" s="14"/>
      <c r="U12" s="62"/>
      <c r="V12" s="14"/>
      <c r="W12" s="14"/>
      <c r="X12" s="14"/>
      <c r="Y12" s="62">
        <v>834.99</v>
      </c>
      <c r="Z12" s="14" t="s">
        <v>748</v>
      </c>
      <c r="AA12" s="6" t="s">
        <v>746</v>
      </c>
      <c r="AB12" s="14">
        <v>0.1</v>
      </c>
      <c r="AC12" s="62">
        <v>270</v>
      </c>
      <c r="AD12" s="14" t="s">
        <v>748</v>
      </c>
      <c r="AE12" s="6" t="s">
        <v>746</v>
      </c>
      <c r="AF12" s="14" t="s">
        <v>742</v>
      </c>
      <c r="AG12" s="62">
        <v>624</v>
      </c>
      <c r="AH12" s="14" t="s">
        <v>748</v>
      </c>
      <c r="AI12" s="6" t="s">
        <v>746</v>
      </c>
      <c r="AJ12" s="14" t="s">
        <v>742</v>
      </c>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v>4</v>
      </c>
      <c r="BN12" s="14" t="s">
        <v>437</v>
      </c>
      <c r="BO12" s="14"/>
      <c r="BP12" s="14"/>
      <c r="BQ12" s="14">
        <v>2</v>
      </c>
      <c r="BR12" s="14"/>
      <c r="BS12" s="14"/>
      <c r="BT12" s="14" t="s">
        <v>437</v>
      </c>
      <c r="BU12" s="14"/>
      <c r="BV12" s="14"/>
      <c r="BW12" s="14"/>
      <c r="BX12" s="14"/>
    </row>
    <row r="13" spans="1:76">
      <c r="A13" s="6" t="s">
        <v>450</v>
      </c>
      <c r="C13" s="6" t="s">
        <v>435</v>
      </c>
      <c r="D13" s="21" t="s">
        <v>61</v>
      </c>
      <c r="E13" s="14" t="s">
        <v>753</v>
      </c>
      <c r="F13" s="14">
        <v>4</v>
      </c>
      <c r="G13" s="14">
        <v>4</v>
      </c>
      <c r="H13" s="62">
        <v>30</v>
      </c>
      <c r="I13" s="31">
        <v>4</v>
      </c>
      <c r="J13" s="14" t="s">
        <v>748</v>
      </c>
      <c r="K13" s="6" t="s">
        <v>746</v>
      </c>
      <c r="L13" s="14">
        <v>2.6</v>
      </c>
      <c r="M13" s="62"/>
      <c r="N13" s="14"/>
      <c r="O13" s="14"/>
      <c r="P13" s="14"/>
      <c r="Q13" s="62"/>
      <c r="R13" s="14"/>
      <c r="S13" s="14"/>
      <c r="T13" s="14"/>
      <c r="U13" s="62"/>
      <c r="V13" s="14"/>
      <c r="W13" s="14"/>
      <c r="X13" s="14"/>
      <c r="Y13" s="62"/>
      <c r="Z13" s="14"/>
      <c r="AA13" s="14"/>
      <c r="AB13" s="14"/>
      <c r="AC13" s="62"/>
      <c r="AD13" s="14"/>
      <c r="AE13" s="14"/>
      <c r="AF13" s="14"/>
      <c r="AG13" s="62">
        <f t="shared" ref="AG13:AG18" si="0">2*H13</f>
        <v>60</v>
      </c>
      <c r="AH13" s="14" t="s">
        <v>748</v>
      </c>
      <c r="AI13" s="6" t="s">
        <v>746</v>
      </c>
      <c r="AJ13" s="14" t="s">
        <v>742</v>
      </c>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v>2</v>
      </c>
      <c r="BN13" s="14" t="s">
        <v>437</v>
      </c>
      <c r="BO13" s="14" t="s">
        <v>437</v>
      </c>
      <c r="BP13" s="14"/>
      <c r="BQ13" s="14">
        <v>2</v>
      </c>
      <c r="BR13" s="14"/>
      <c r="BS13" s="14"/>
      <c r="BT13" s="14" t="s">
        <v>437</v>
      </c>
      <c r="BU13" s="14"/>
      <c r="BV13" s="14"/>
      <c r="BW13" s="14"/>
      <c r="BX13" s="14"/>
    </row>
    <row r="14" spans="1:76">
      <c r="A14" s="6" t="s">
        <v>451</v>
      </c>
      <c r="C14" s="6" t="s">
        <v>435</v>
      </c>
      <c r="D14" s="21" t="s">
        <v>65</v>
      </c>
      <c r="E14" s="14" t="s">
        <v>754</v>
      </c>
      <c r="F14" s="14">
        <v>2</v>
      </c>
      <c r="G14" s="14">
        <v>3</v>
      </c>
      <c r="H14" s="62">
        <v>30</v>
      </c>
      <c r="I14" s="31">
        <v>4</v>
      </c>
      <c r="J14" s="14" t="s">
        <v>748</v>
      </c>
      <c r="K14" s="6" t="s">
        <v>746</v>
      </c>
      <c r="L14" s="14">
        <v>2.6</v>
      </c>
      <c r="M14" s="62"/>
      <c r="N14" s="14"/>
      <c r="O14" s="14"/>
      <c r="P14" s="14"/>
      <c r="Q14" s="62"/>
      <c r="R14" s="14"/>
      <c r="S14" s="14"/>
      <c r="T14" s="14"/>
      <c r="U14" s="62"/>
      <c r="V14" s="14"/>
      <c r="W14" s="14"/>
      <c r="X14" s="14"/>
      <c r="Y14" s="62"/>
      <c r="Z14" s="14"/>
      <c r="AA14" s="14"/>
      <c r="AB14" s="14"/>
      <c r="AC14" s="62"/>
      <c r="AD14" s="14"/>
      <c r="AE14" s="14"/>
      <c r="AF14" s="14"/>
      <c r="AG14" s="62">
        <f t="shared" si="0"/>
        <v>60</v>
      </c>
      <c r="AH14" s="14" t="s">
        <v>748</v>
      </c>
      <c r="AI14" s="6" t="s">
        <v>746</v>
      </c>
      <c r="AJ14" s="14" t="s">
        <v>742</v>
      </c>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v>2</v>
      </c>
      <c r="BN14" s="14" t="s">
        <v>437</v>
      </c>
      <c r="BO14" s="14"/>
      <c r="BP14" s="14"/>
      <c r="BQ14" s="14">
        <v>2</v>
      </c>
      <c r="BR14" s="14"/>
      <c r="BS14" s="14"/>
      <c r="BT14" s="14" t="s">
        <v>437</v>
      </c>
      <c r="BU14" s="14"/>
      <c r="BV14" s="14"/>
      <c r="BW14" s="14"/>
      <c r="BX14" s="14"/>
    </row>
    <row r="15" spans="1:76">
      <c r="A15" s="6" t="s">
        <v>452</v>
      </c>
      <c r="C15" s="6" t="s">
        <v>435</v>
      </c>
      <c r="D15" s="21" t="s">
        <v>611</v>
      </c>
      <c r="E15" s="14" t="s">
        <v>755</v>
      </c>
      <c r="F15" s="14">
        <v>3</v>
      </c>
      <c r="G15" s="14">
        <v>6</v>
      </c>
      <c r="H15" s="62">
        <v>40</v>
      </c>
      <c r="I15" s="31">
        <v>4</v>
      </c>
      <c r="J15" s="14" t="s">
        <v>748</v>
      </c>
      <c r="K15" s="6" t="s">
        <v>746</v>
      </c>
      <c r="L15" s="14">
        <v>2.6</v>
      </c>
      <c r="M15" s="62"/>
      <c r="N15" s="14"/>
      <c r="O15" s="14"/>
      <c r="P15" s="14"/>
      <c r="Q15" s="62"/>
      <c r="R15" s="14"/>
      <c r="S15" s="14"/>
      <c r="T15" s="14"/>
      <c r="U15" s="62"/>
      <c r="V15" s="14"/>
      <c r="W15" s="14"/>
      <c r="X15" s="14"/>
      <c r="Y15" s="62"/>
      <c r="Z15" s="14"/>
      <c r="AA15" s="14"/>
      <c r="AB15" s="14"/>
      <c r="AC15" s="62"/>
      <c r="AD15" s="14"/>
      <c r="AE15" s="14"/>
      <c r="AF15" s="14"/>
      <c r="AG15" s="62">
        <f t="shared" si="0"/>
        <v>80</v>
      </c>
      <c r="AH15" s="14" t="s">
        <v>748</v>
      </c>
      <c r="AI15" s="6" t="s">
        <v>746</v>
      </c>
      <c r="AJ15" s="14" t="s">
        <v>742</v>
      </c>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v>2</v>
      </c>
      <c r="BN15" s="14" t="s">
        <v>437</v>
      </c>
      <c r="BO15" s="14"/>
      <c r="BP15" s="14"/>
      <c r="BQ15" s="14">
        <v>2</v>
      </c>
      <c r="BR15" s="14"/>
      <c r="BS15" s="14"/>
      <c r="BT15" s="14" t="s">
        <v>437</v>
      </c>
      <c r="BU15" s="14"/>
      <c r="BV15" s="14"/>
      <c r="BW15" s="14"/>
      <c r="BX15" s="14"/>
    </row>
    <row r="16" spans="1:76">
      <c r="A16" s="6" t="s">
        <v>454</v>
      </c>
      <c r="C16" s="6" t="s">
        <v>435</v>
      </c>
      <c r="D16" s="21" t="s">
        <v>455</v>
      </c>
      <c r="E16" s="14" t="s">
        <v>756</v>
      </c>
      <c r="F16" s="14">
        <v>5</v>
      </c>
      <c r="G16" s="14">
        <v>7</v>
      </c>
      <c r="H16" s="62">
        <v>55</v>
      </c>
      <c r="I16" s="31">
        <v>4</v>
      </c>
      <c r="J16" s="14" t="s">
        <v>748</v>
      </c>
      <c r="K16" s="6" t="s">
        <v>746</v>
      </c>
      <c r="L16" s="14">
        <v>2.6</v>
      </c>
      <c r="M16" s="62"/>
      <c r="N16" s="14"/>
      <c r="O16" s="14"/>
      <c r="P16" s="14"/>
      <c r="Q16" s="62"/>
      <c r="R16" s="14"/>
      <c r="S16" s="14"/>
      <c r="T16" s="14"/>
      <c r="U16" s="62"/>
      <c r="V16" s="14"/>
      <c r="W16" s="14"/>
      <c r="X16" s="14"/>
      <c r="Y16" s="62"/>
      <c r="Z16" s="14"/>
      <c r="AA16" s="14"/>
      <c r="AB16" s="14"/>
      <c r="AC16" s="62"/>
      <c r="AD16" s="14"/>
      <c r="AE16" s="14"/>
      <c r="AF16" s="14"/>
      <c r="AG16" s="62">
        <f t="shared" si="0"/>
        <v>110</v>
      </c>
      <c r="AH16" s="14" t="s">
        <v>748</v>
      </c>
      <c r="AI16" s="6" t="s">
        <v>746</v>
      </c>
      <c r="AJ16" s="14" t="s">
        <v>742</v>
      </c>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v>2</v>
      </c>
      <c r="BN16" s="14" t="s">
        <v>437</v>
      </c>
      <c r="BO16" s="14"/>
      <c r="BP16" s="14"/>
      <c r="BQ16" s="14">
        <v>2</v>
      </c>
      <c r="BR16" s="14"/>
      <c r="BS16" s="14"/>
      <c r="BT16" s="14" t="s">
        <v>437</v>
      </c>
      <c r="BU16" s="14"/>
      <c r="BV16" s="14"/>
      <c r="BW16" s="14"/>
      <c r="BX16" s="14"/>
    </row>
    <row r="17" spans="1:76">
      <c r="A17" s="6" t="s">
        <v>456</v>
      </c>
      <c r="C17" s="6" t="s">
        <v>435</v>
      </c>
      <c r="D17" s="21" t="s">
        <v>77</v>
      </c>
      <c r="E17" s="14" t="s">
        <v>757</v>
      </c>
      <c r="F17" s="14">
        <v>8</v>
      </c>
      <c r="G17" s="14">
        <v>13</v>
      </c>
      <c r="H17" s="62">
        <v>80</v>
      </c>
      <c r="I17" s="31">
        <v>4</v>
      </c>
      <c r="J17" s="14" t="s">
        <v>748</v>
      </c>
      <c r="K17" s="6" t="s">
        <v>746</v>
      </c>
      <c r="L17" s="14">
        <v>2.6</v>
      </c>
      <c r="M17" s="62"/>
      <c r="N17" s="14"/>
      <c r="O17" s="62"/>
      <c r="P17" s="14"/>
      <c r="Q17" s="62"/>
      <c r="R17" s="14"/>
      <c r="S17" s="14"/>
      <c r="T17" s="14"/>
      <c r="U17" s="62"/>
      <c r="V17" s="14"/>
      <c r="W17" s="14"/>
      <c r="X17" s="14"/>
      <c r="Y17" s="62"/>
      <c r="Z17" s="14"/>
      <c r="AA17" s="14"/>
      <c r="AB17" s="14"/>
      <c r="AC17" s="62"/>
      <c r="AD17" s="14"/>
      <c r="AE17" s="14"/>
      <c r="AF17" s="14"/>
      <c r="AG17" s="62">
        <f t="shared" si="0"/>
        <v>160</v>
      </c>
      <c r="AH17" s="14" t="s">
        <v>748</v>
      </c>
      <c r="AI17" s="6" t="s">
        <v>746</v>
      </c>
      <c r="AJ17" s="14" t="s">
        <v>742</v>
      </c>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v>2</v>
      </c>
      <c r="BN17" s="14" t="s">
        <v>437</v>
      </c>
      <c r="BO17" s="14"/>
      <c r="BP17" s="14"/>
      <c r="BQ17" s="14">
        <v>2</v>
      </c>
      <c r="BR17" s="14"/>
      <c r="BS17" s="14"/>
      <c r="BT17" s="14" t="s">
        <v>437</v>
      </c>
      <c r="BU17" s="14"/>
      <c r="BV17" s="14"/>
      <c r="BW17" s="14"/>
      <c r="BX17" s="14"/>
    </row>
    <row r="18" spans="1:76">
      <c r="A18" s="6" t="s">
        <v>457</v>
      </c>
      <c r="C18" s="6" t="s">
        <v>435</v>
      </c>
      <c r="D18" s="21" t="s">
        <v>81</v>
      </c>
      <c r="E18" s="14" t="s">
        <v>753</v>
      </c>
      <c r="F18" s="14">
        <v>4</v>
      </c>
      <c r="G18" s="14">
        <v>4</v>
      </c>
      <c r="H18" s="62">
        <v>30</v>
      </c>
      <c r="I18" s="31">
        <v>4</v>
      </c>
      <c r="J18" s="14" t="s">
        <v>748</v>
      </c>
      <c r="K18" s="6" t="s">
        <v>746</v>
      </c>
      <c r="L18" s="14">
        <v>2.6</v>
      </c>
      <c r="M18" s="62"/>
      <c r="N18" s="14"/>
      <c r="O18" s="14"/>
      <c r="P18" s="14"/>
      <c r="Q18" s="62"/>
      <c r="R18" s="14"/>
      <c r="S18" s="14"/>
      <c r="T18" s="14"/>
      <c r="U18" s="62"/>
      <c r="V18" s="14"/>
      <c r="W18" s="14"/>
      <c r="X18" s="14"/>
      <c r="Y18" s="62"/>
      <c r="Z18" s="14"/>
      <c r="AA18" s="14"/>
      <c r="AB18" s="14"/>
      <c r="AC18" s="62"/>
      <c r="AD18" s="14"/>
      <c r="AE18" s="14"/>
      <c r="AF18" s="14"/>
      <c r="AG18" s="62">
        <f t="shared" si="0"/>
        <v>60</v>
      </c>
      <c r="AH18" s="14" t="s">
        <v>748</v>
      </c>
      <c r="AI18" s="6" t="s">
        <v>746</v>
      </c>
      <c r="AJ18" s="14" t="s">
        <v>742</v>
      </c>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v>2</v>
      </c>
      <c r="BN18" s="14" t="s">
        <v>437</v>
      </c>
      <c r="BO18" s="14" t="s">
        <v>437</v>
      </c>
      <c r="BP18" s="14"/>
      <c r="BQ18" s="14">
        <v>2</v>
      </c>
      <c r="BR18" s="14"/>
      <c r="BS18" s="14"/>
      <c r="BT18" s="14" t="s">
        <v>437</v>
      </c>
      <c r="BU18" s="14"/>
      <c r="BV18" s="14"/>
      <c r="BW18" s="14"/>
      <c r="BX18" s="14"/>
    </row>
    <row r="19" spans="1:76">
      <c r="A19" s="6" t="s">
        <v>458</v>
      </c>
      <c r="C19" s="6" t="s">
        <v>435</v>
      </c>
      <c r="D19" s="21" t="s">
        <v>459</v>
      </c>
      <c r="E19" s="14" t="s">
        <v>758</v>
      </c>
      <c r="F19" s="14">
        <v>8</v>
      </c>
      <c r="G19" s="14">
        <v>12</v>
      </c>
      <c r="H19" s="62">
        <v>100</v>
      </c>
      <c r="I19" s="31">
        <v>16</v>
      </c>
      <c r="J19" s="14" t="s">
        <v>748</v>
      </c>
      <c r="K19" s="6" t="s">
        <v>746</v>
      </c>
      <c r="L19" s="14">
        <v>2.6</v>
      </c>
      <c r="M19" s="62"/>
      <c r="N19" s="14"/>
      <c r="O19" s="14"/>
      <c r="P19" s="14"/>
      <c r="Q19" s="62"/>
      <c r="R19" s="14"/>
      <c r="S19" s="14"/>
      <c r="T19" s="14"/>
      <c r="U19" s="62"/>
      <c r="V19" s="14"/>
      <c r="W19" s="14"/>
      <c r="X19" s="14"/>
      <c r="Y19" s="62"/>
      <c r="Z19" s="14"/>
      <c r="AA19" s="14"/>
      <c r="AB19" s="14"/>
      <c r="AC19" s="62"/>
      <c r="AD19" s="14"/>
      <c r="AE19" s="14"/>
      <c r="AF19" s="14"/>
      <c r="AG19" s="62">
        <f>2*(H19+AO19)</f>
        <v>300</v>
      </c>
      <c r="AH19" s="14" t="s">
        <v>748</v>
      </c>
      <c r="AI19" s="6" t="s">
        <v>746</v>
      </c>
      <c r="AJ19" s="14" t="s">
        <v>742</v>
      </c>
      <c r="AK19" s="14"/>
      <c r="AL19" s="14"/>
      <c r="AM19" s="14"/>
      <c r="AN19" s="14"/>
      <c r="AO19" s="14">
        <v>50</v>
      </c>
      <c r="AP19" s="14" t="s">
        <v>748</v>
      </c>
      <c r="AQ19" s="6" t="s">
        <v>746</v>
      </c>
      <c r="AR19" s="14">
        <f>50/1000</f>
        <v>0.05</v>
      </c>
      <c r="AS19" s="14"/>
      <c r="AT19" s="14"/>
      <c r="AU19" s="14"/>
      <c r="AV19" s="14"/>
      <c r="AW19" s="14"/>
      <c r="AX19" s="14"/>
      <c r="AY19" s="14"/>
      <c r="AZ19" s="14"/>
      <c r="BA19" s="14"/>
      <c r="BB19" s="14"/>
      <c r="BC19" s="14"/>
      <c r="BD19" s="14"/>
      <c r="BE19" s="14"/>
      <c r="BF19" s="14"/>
      <c r="BG19" s="14"/>
      <c r="BH19" s="14"/>
      <c r="BI19" s="14"/>
      <c r="BJ19" s="14"/>
      <c r="BK19" s="14"/>
      <c r="BL19" s="14"/>
      <c r="BM19" s="14">
        <v>3</v>
      </c>
      <c r="BN19" s="14" t="s">
        <v>437</v>
      </c>
      <c r="BO19" s="14"/>
      <c r="BP19" s="14"/>
      <c r="BQ19" s="14">
        <v>2</v>
      </c>
      <c r="BR19" s="14"/>
      <c r="BS19" s="14"/>
      <c r="BT19" s="14" t="s">
        <v>437</v>
      </c>
      <c r="BU19" s="14"/>
      <c r="BV19" s="14"/>
      <c r="BW19" s="14"/>
      <c r="BX19" s="14"/>
    </row>
    <row r="20" spans="1:76">
      <c r="A20" s="6" t="s">
        <v>460</v>
      </c>
      <c r="C20" s="6" t="s">
        <v>435</v>
      </c>
      <c r="D20" s="21" t="s">
        <v>88</v>
      </c>
      <c r="E20" s="14" t="s">
        <v>759</v>
      </c>
      <c r="F20" s="14">
        <v>6</v>
      </c>
      <c r="G20" s="14">
        <v>8</v>
      </c>
      <c r="H20" s="62">
        <v>130</v>
      </c>
      <c r="I20" s="31">
        <v>4</v>
      </c>
      <c r="J20" s="14" t="s">
        <v>748</v>
      </c>
      <c r="K20" s="6" t="s">
        <v>746</v>
      </c>
      <c r="L20" s="14">
        <v>2.6</v>
      </c>
      <c r="M20" s="62"/>
      <c r="N20" s="14"/>
      <c r="O20" s="14"/>
      <c r="P20" s="14"/>
      <c r="Q20" s="62"/>
      <c r="R20" s="14"/>
      <c r="S20" s="14"/>
      <c r="T20" s="14"/>
      <c r="U20" s="62"/>
      <c r="V20" s="14"/>
      <c r="W20" s="14"/>
      <c r="X20" s="14"/>
      <c r="Y20" s="62"/>
      <c r="Z20" s="14"/>
      <c r="AA20" s="14"/>
      <c r="AB20" s="14"/>
      <c r="AC20" s="62"/>
      <c r="AD20" s="14"/>
      <c r="AE20" s="14"/>
      <c r="AF20" s="14"/>
      <c r="AG20" s="62">
        <f t="shared" ref="AG20:AG37" si="1">2*H20</f>
        <v>260</v>
      </c>
      <c r="AH20" s="14" t="s">
        <v>748</v>
      </c>
      <c r="AI20" s="6" t="s">
        <v>746</v>
      </c>
      <c r="AJ20" s="14" t="s">
        <v>742</v>
      </c>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v>2</v>
      </c>
      <c r="BN20" s="14" t="s">
        <v>437</v>
      </c>
      <c r="BO20" s="14"/>
      <c r="BP20" s="14"/>
      <c r="BQ20" s="14">
        <v>2</v>
      </c>
      <c r="BR20" s="14"/>
      <c r="BS20" s="14"/>
      <c r="BT20" s="14" t="s">
        <v>437</v>
      </c>
      <c r="BU20" s="14"/>
      <c r="BV20" s="14"/>
      <c r="BW20" s="14"/>
      <c r="BX20" s="14"/>
    </row>
    <row r="21" spans="1:76">
      <c r="A21" s="6" t="s">
        <v>461</v>
      </c>
      <c r="C21" s="6" t="s">
        <v>435</v>
      </c>
      <c r="D21" s="21" t="s">
        <v>92</v>
      </c>
      <c r="E21" s="14" t="s">
        <v>792</v>
      </c>
      <c r="F21" s="14">
        <v>6</v>
      </c>
      <c r="G21" s="14">
        <v>8</v>
      </c>
      <c r="H21" s="62">
        <v>60</v>
      </c>
      <c r="I21" s="31">
        <v>4</v>
      </c>
      <c r="J21" s="14" t="s">
        <v>748</v>
      </c>
      <c r="K21" s="6" t="s">
        <v>746</v>
      </c>
      <c r="L21" s="14">
        <v>2.6</v>
      </c>
      <c r="M21" s="62"/>
      <c r="N21" s="14"/>
      <c r="O21" s="14"/>
      <c r="P21" s="14"/>
      <c r="Q21" s="62"/>
      <c r="R21" s="14"/>
      <c r="S21" s="14"/>
      <c r="T21" s="14"/>
      <c r="U21" s="62"/>
      <c r="V21" s="14"/>
      <c r="W21" s="14"/>
      <c r="X21" s="14"/>
      <c r="Y21" s="62"/>
      <c r="Z21" s="14"/>
      <c r="AA21" s="14"/>
      <c r="AB21" s="14"/>
      <c r="AC21" s="62"/>
      <c r="AD21" s="14"/>
      <c r="AE21" s="14"/>
      <c r="AF21" s="14"/>
      <c r="AG21" s="62">
        <f t="shared" si="1"/>
        <v>120</v>
      </c>
      <c r="AH21" s="14" t="s">
        <v>748</v>
      </c>
      <c r="AI21" s="6" t="s">
        <v>746</v>
      </c>
      <c r="AJ21" s="14" t="s">
        <v>742</v>
      </c>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v>2</v>
      </c>
      <c r="BN21" s="14" t="s">
        <v>437</v>
      </c>
      <c r="BO21" s="14"/>
      <c r="BP21" s="14"/>
      <c r="BQ21" s="14">
        <v>2</v>
      </c>
      <c r="BR21" s="14"/>
      <c r="BS21" s="14"/>
      <c r="BT21" s="14" t="s">
        <v>437</v>
      </c>
      <c r="BU21" s="14"/>
      <c r="BV21" s="14"/>
      <c r="BW21" s="14"/>
      <c r="BX21" s="14"/>
    </row>
    <row r="22" spans="1:76">
      <c r="A22" s="6" t="s">
        <v>462</v>
      </c>
      <c r="C22" s="6" t="s">
        <v>435</v>
      </c>
      <c r="D22" s="21" t="s">
        <v>92</v>
      </c>
      <c r="E22" s="14" t="s">
        <v>792</v>
      </c>
      <c r="F22" s="14">
        <v>6</v>
      </c>
      <c r="G22" s="14">
        <v>8</v>
      </c>
      <c r="H22" s="62">
        <v>60</v>
      </c>
      <c r="I22" s="31">
        <v>4</v>
      </c>
      <c r="J22" s="14" t="s">
        <v>748</v>
      </c>
      <c r="K22" s="6" t="s">
        <v>746</v>
      </c>
      <c r="L22" s="14">
        <v>2.6</v>
      </c>
      <c r="M22" s="62"/>
      <c r="N22" s="14"/>
      <c r="O22" s="14"/>
      <c r="P22" s="14"/>
      <c r="Q22" s="62"/>
      <c r="R22" s="14"/>
      <c r="S22" s="14"/>
      <c r="T22" s="14"/>
      <c r="U22" s="62"/>
      <c r="V22" s="14"/>
      <c r="W22" s="14"/>
      <c r="X22" s="14"/>
      <c r="Y22" s="62"/>
      <c r="Z22" s="14"/>
      <c r="AA22" s="14"/>
      <c r="AB22" s="14"/>
      <c r="AC22" s="62"/>
      <c r="AD22" s="14"/>
      <c r="AE22" s="14"/>
      <c r="AF22" s="14"/>
      <c r="AG22" s="62">
        <f t="shared" si="1"/>
        <v>120</v>
      </c>
      <c r="AH22" s="14" t="s">
        <v>748</v>
      </c>
      <c r="AI22" s="6" t="s">
        <v>746</v>
      </c>
      <c r="AJ22" s="14" t="s">
        <v>742</v>
      </c>
      <c r="AK22" s="14"/>
      <c r="AL22" s="14"/>
      <c r="AM22" s="14"/>
      <c r="AN22" s="14"/>
      <c r="AO22" s="14"/>
      <c r="AP22" s="14"/>
      <c r="AQ22" s="14"/>
      <c r="AR22" s="14"/>
      <c r="BE22" s="14"/>
      <c r="BF22" s="14"/>
      <c r="BG22" s="14"/>
      <c r="BH22" s="14"/>
      <c r="BI22" s="14"/>
      <c r="BJ22" s="14"/>
      <c r="BK22" s="14"/>
      <c r="BL22" s="14"/>
      <c r="BM22" s="14">
        <v>2</v>
      </c>
      <c r="BN22" s="14" t="s">
        <v>437</v>
      </c>
      <c r="BO22" s="14"/>
      <c r="BP22" s="14"/>
      <c r="BQ22" s="14">
        <v>2</v>
      </c>
      <c r="BR22" s="14"/>
      <c r="BS22" s="14"/>
      <c r="BT22" s="14" t="s">
        <v>437</v>
      </c>
      <c r="BU22" s="14"/>
      <c r="BV22" s="14"/>
      <c r="BW22" s="14"/>
      <c r="BX22" s="14"/>
    </row>
    <row r="23" spans="1:76">
      <c r="A23" s="6" t="s">
        <v>463</v>
      </c>
      <c r="C23" s="6" t="s">
        <v>435</v>
      </c>
      <c r="D23" s="21" t="s">
        <v>96</v>
      </c>
      <c r="E23" s="14" t="s">
        <v>760</v>
      </c>
      <c r="F23" s="14">
        <v>6</v>
      </c>
      <c r="G23" s="14">
        <v>18</v>
      </c>
      <c r="H23" s="62">
        <v>150</v>
      </c>
      <c r="I23" s="31">
        <v>16</v>
      </c>
      <c r="J23" s="14" t="s">
        <v>748</v>
      </c>
      <c r="K23" s="6" t="s">
        <v>746</v>
      </c>
      <c r="L23" s="14">
        <v>2.6</v>
      </c>
      <c r="M23" s="62"/>
      <c r="N23" s="14"/>
      <c r="O23" s="14"/>
      <c r="P23" s="14"/>
      <c r="Q23" s="62"/>
      <c r="R23" s="14"/>
      <c r="S23" s="14"/>
      <c r="T23" s="14"/>
      <c r="U23" s="62"/>
      <c r="V23" s="14"/>
      <c r="W23" s="14"/>
      <c r="X23" s="14"/>
      <c r="Y23" s="62"/>
      <c r="Z23" s="14"/>
      <c r="AA23" s="14"/>
      <c r="AB23" s="14"/>
      <c r="AC23" s="62"/>
      <c r="AD23" s="14"/>
      <c r="AE23" s="14"/>
      <c r="AF23" s="14"/>
      <c r="AG23" s="62">
        <f t="shared" si="1"/>
        <v>300</v>
      </c>
      <c r="AH23" s="14" t="s">
        <v>748</v>
      </c>
      <c r="AI23" s="6" t="s">
        <v>746</v>
      </c>
      <c r="AJ23" s="14" t="s">
        <v>742</v>
      </c>
      <c r="AK23" s="14"/>
      <c r="AL23" s="14"/>
      <c r="AM23" s="14"/>
      <c r="AN23" s="14"/>
      <c r="AO23" s="14"/>
      <c r="AP23" s="14"/>
      <c r="AQ23" s="14"/>
      <c r="AR23" s="14"/>
      <c r="AS23" s="14">
        <v>100</v>
      </c>
      <c r="AT23" s="14" t="s">
        <v>748</v>
      </c>
      <c r="AU23" s="6" t="s">
        <v>746</v>
      </c>
      <c r="AV23" s="14">
        <f>50/1000</f>
        <v>0.05</v>
      </c>
      <c r="AW23" s="14"/>
      <c r="AX23" s="14"/>
      <c r="AY23" s="14"/>
      <c r="AZ23" s="14"/>
      <c r="BA23" s="14"/>
      <c r="BB23" s="14"/>
      <c r="BC23" s="14"/>
      <c r="BD23" s="14"/>
      <c r="BE23" s="14"/>
      <c r="BF23" s="14"/>
      <c r="BG23" s="14"/>
      <c r="BH23" s="14"/>
      <c r="BI23" s="14"/>
      <c r="BJ23" s="14"/>
      <c r="BK23" s="14"/>
      <c r="BL23" s="14"/>
      <c r="BM23" s="14">
        <v>3</v>
      </c>
      <c r="BN23" s="14" t="s">
        <v>437</v>
      </c>
      <c r="BO23" s="14"/>
      <c r="BP23" s="14"/>
      <c r="BQ23" s="14">
        <v>2</v>
      </c>
      <c r="BR23" s="14"/>
      <c r="BS23" s="14"/>
      <c r="BT23" s="14" t="s">
        <v>437</v>
      </c>
      <c r="BU23" s="14"/>
      <c r="BV23" s="14"/>
      <c r="BW23" s="14"/>
      <c r="BX23" s="14"/>
    </row>
    <row r="24" spans="1:76">
      <c r="A24" s="6" t="s">
        <v>464</v>
      </c>
      <c r="C24" s="6" t="s">
        <v>435</v>
      </c>
      <c r="D24" s="21" t="s">
        <v>100</v>
      </c>
      <c r="E24" s="14" t="s">
        <v>760</v>
      </c>
      <c r="F24" s="14">
        <v>6</v>
      </c>
      <c r="G24" s="14">
        <v>18</v>
      </c>
      <c r="H24" s="62">
        <v>150</v>
      </c>
      <c r="I24" s="31">
        <v>16</v>
      </c>
      <c r="J24" s="14" t="s">
        <v>748</v>
      </c>
      <c r="K24" s="6" t="s">
        <v>746</v>
      </c>
      <c r="L24" s="14">
        <v>2.6</v>
      </c>
      <c r="M24" s="62"/>
      <c r="N24" s="14"/>
      <c r="O24" s="14"/>
      <c r="P24" s="14"/>
      <c r="Q24" s="62"/>
      <c r="R24" s="14"/>
      <c r="S24" s="14"/>
      <c r="T24" s="14"/>
      <c r="U24" s="62"/>
      <c r="V24" s="14"/>
      <c r="W24" s="14"/>
      <c r="X24" s="14"/>
      <c r="Y24" s="62"/>
      <c r="Z24" s="14"/>
      <c r="AA24" s="14"/>
      <c r="AB24" s="14"/>
      <c r="AC24" s="62"/>
      <c r="AD24" s="14"/>
      <c r="AE24" s="14"/>
      <c r="AF24" s="14"/>
      <c r="AG24" s="62">
        <f t="shared" si="1"/>
        <v>300</v>
      </c>
      <c r="AH24" s="14" t="s">
        <v>748</v>
      </c>
      <c r="AI24" s="6" t="s">
        <v>746</v>
      </c>
      <c r="AJ24" s="14" t="s">
        <v>742</v>
      </c>
      <c r="AK24" s="14"/>
      <c r="AL24" s="14"/>
      <c r="AM24" s="14"/>
      <c r="AN24" s="14"/>
      <c r="AO24" s="14"/>
      <c r="AP24" s="14"/>
      <c r="AQ24" s="14"/>
      <c r="AR24" s="14"/>
      <c r="AS24" s="14">
        <v>100</v>
      </c>
      <c r="AT24" s="14" t="s">
        <v>748</v>
      </c>
      <c r="AU24" s="6" t="s">
        <v>746</v>
      </c>
      <c r="AV24" s="14">
        <f>50/1000</f>
        <v>0.05</v>
      </c>
      <c r="AW24" s="14"/>
      <c r="AX24" s="14"/>
      <c r="AY24" s="14"/>
      <c r="AZ24" s="14"/>
      <c r="BA24" s="14"/>
      <c r="BB24" s="14"/>
      <c r="BC24" s="14"/>
      <c r="BD24" s="14"/>
      <c r="BE24" s="14"/>
      <c r="BF24" s="14"/>
      <c r="BG24" s="14"/>
      <c r="BH24" s="14"/>
      <c r="BI24" s="14"/>
      <c r="BJ24" s="14"/>
      <c r="BK24" s="14"/>
      <c r="BL24" s="14"/>
      <c r="BM24" s="14">
        <v>3</v>
      </c>
      <c r="BN24" s="14" t="s">
        <v>437</v>
      </c>
      <c r="BO24" s="14"/>
      <c r="BP24" s="14"/>
      <c r="BQ24" s="14">
        <v>2</v>
      </c>
      <c r="BR24" s="14"/>
      <c r="BS24" s="14"/>
      <c r="BT24" s="14" t="s">
        <v>437</v>
      </c>
      <c r="BU24" s="14"/>
      <c r="BV24" s="14"/>
      <c r="BW24" s="14"/>
      <c r="BX24" s="14"/>
    </row>
    <row r="25" spans="1:76">
      <c r="A25" s="6" t="s">
        <v>487</v>
      </c>
      <c r="C25" s="6" t="s">
        <v>435</v>
      </c>
      <c r="D25" s="21" t="s">
        <v>104</v>
      </c>
      <c r="E25" s="14" t="s">
        <v>761</v>
      </c>
      <c r="F25" s="14">
        <v>6</v>
      </c>
      <c r="G25" s="14">
        <v>9</v>
      </c>
      <c r="H25" s="62">
        <v>40</v>
      </c>
      <c r="I25" s="31">
        <v>4</v>
      </c>
      <c r="J25" s="14" t="s">
        <v>748</v>
      </c>
      <c r="K25" s="6" t="s">
        <v>746</v>
      </c>
      <c r="L25" s="14">
        <v>2.6</v>
      </c>
      <c r="M25" s="62"/>
      <c r="N25" s="14"/>
      <c r="O25" s="14"/>
      <c r="P25" s="14"/>
      <c r="Q25" s="62"/>
      <c r="R25" s="14"/>
      <c r="S25" s="14"/>
      <c r="T25" s="14"/>
      <c r="U25" s="62"/>
      <c r="V25" s="14"/>
      <c r="W25" s="14"/>
      <c r="X25" s="14"/>
      <c r="Y25" s="62"/>
      <c r="Z25" s="14"/>
      <c r="AA25" s="14"/>
      <c r="AB25" s="14"/>
      <c r="AC25" s="62"/>
      <c r="AD25" s="14"/>
      <c r="AE25" s="14"/>
      <c r="AF25" s="14"/>
      <c r="AG25" s="62">
        <f t="shared" si="1"/>
        <v>80</v>
      </c>
      <c r="AH25" s="14" t="s">
        <v>748</v>
      </c>
      <c r="AI25" s="6" t="s">
        <v>746</v>
      </c>
      <c r="AJ25" s="14" t="s">
        <v>742</v>
      </c>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v>2</v>
      </c>
      <c r="BN25" s="14" t="s">
        <v>437</v>
      </c>
      <c r="BO25" s="14"/>
      <c r="BP25" s="14"/>
      <c r="BQ25" s="14">
        <v>2</v>
      </c>
      <c r="BR25" s="14"/>
      <c r="BS25" s="14"/>
      <c r="BT25" s="14" t="s">
        <v>437</v>
      </c>
      <c r="BU25" s="14"/>
      <c r="BV25" s="14"/>
      <c r="BW25" s="14"/>
      <c r="BX25" s="14"/>
    </row>
    <row r="26" spans="1:76">
      <c r="A26" s="6" t="s">
        <v>489</v>
      </c>
      <c r="C26" s="6" t="s">
        <v>435</v>
      </c>
      <c r="D26" s="21" t="s">
        <v>104</v>
      </c>
      <c r="E26" s="14" t="s">
        <v>761</v>
      </c>
      <c r="F26" s="14">
        <v>6</v>
      </c>
      <c r="G26" s="14">
        <v>9</v>
      </c>
      <c r="H26" s="62">
        <v>40</v>
      </c>
      <c r="I26" s="31">
        <v>4</v>
      </c>
      <c r="J26" s="14" t="s">
        <v>748</v>
      </c>
      <c r="K26" s="6" t="s">
        <v>746</v>
      </c>
      <c r="L26" s="14">
        <v>2.6</v>
      </c>
      <c r="M26" s="62"/>
      <c r="N26" s="14"/>
      <c r="O26" s="14"/>
      <c r="P26" s="14"/>
      <c r="Q26" s="62"/>
      <c r="R26" s="14"/>
      <c r="S26" s="14"/>
      <c r="T26" s="14"/>
      <c r="U26" s="62"/>
      <c r="V26" s="14"/>
      <c r="W26" s="14"/>
      <c r="X26" s="14"/>
      <c r="Y26" s="62"/>
      <c r="Z26" s="14"/>
      <c r="AA26" s="14"/>
      <c r="AB26" s="14"/>
      <c r="AC26" s="62"/>
      <c r="AD26" s="14"/>
      <c r="AE26" s="14"/>
      <c r="AF26" s="14"/>
      <c r="AG26" s="62">
        <f t="shared" si="1"/>
        <v>80</v>
      </c>
      <c r="AH26" s="14" t="s">
        <v>748</v>
      </c>
      <c r="AI26" s="6" t="s">
        <v>746</v>
      </c>
      <c r="AJ26" s="14" t="s">
        <v>742</v>
      </c>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v>2</v>
      </c>
      <c r="BN26" s="14" t="s">
        <v>437</v>
      </c>
      <c r="BO26" s="14"/>
      <c r="BP26" s="14"/>
      <c r="BQ26" s="14">
        <v>2</v>
      </c>
      <c r="BR26" s="14"/>
      <c r="BS26" s="14"/>
      <c r="BT26" s="14" t="s">
        <v>437</v>
      </c>
      <c r="BU26" s="14"/>
      <c r="BV26" s="14"/>
      <c r="BW26" s="14"/>
      <c r="BX26" s="14"/>
    </row>
    <row r="27" spans="1:76">
      <c r="A27" s="6" t="s">
        <v>613</v>
      </c>
      <c r="C27" s="6" t="s">
        <v>435</v>
      </c>
      <c r="D27" s="21" t="s">
        <v>108</v>
      </c>
      <c r="E27" s="14" t="s">
        <v>762</v>
      </c>
      <c r="F27" s="14">
        <v>8</v>
      </c>
      <c r="G27" s="14">
        <v>36</v>
      </c>
      <c r="H27" s="62">
        <v>135</v>
      </c>
      <c r="I27" s="31">
        <v>16</v>
      </c>
      <c r="J27" s="14" t="s">
        <v>748</v>
      </c>
      <c r="K27" s="6" t="s">
        <v>746</v>
      </c>
      <c r="L27" s="14">
        <v>2.6</v>
      </c>
      <c r="M27" s="62"/>
      <c r="N27" s="14"/>
      <c r="O27" s="14"/>
      <c r="P27" s="14"/>
      <c r="Q27" s="62"/>
      <c r="R27" s="14"/>
      <c r="S27" s="14"/>
      <c r="T27" s="14"/>
      <c r="U27" s="62"/>
      <c r="V27" s="14"/>
      <c r="W27" s="14"/>
      <c r="X27" s="14"/>
      <c r="Y27" s="62"/>
      <c r="Z27" s="14"/>
      <c r="AA27" s="14"/>
      <c r="AB27" s="14"/>
      <c r="AC27" s="62"/>
      <c r="AD27" s="14"/>
      <c r="AE27" s="14"/>
      <c r="AF27" s="14"/>
      <c r="AG27" s="62">
        <f t="shared" si="1"/>
        <v>270</v>
      </c>
      <c r="AH27" s="14" t="s">
        <v>748</v>
      </c>
      <c r="AI27" s="6" t="s">
        <v>746</v>
      </c>
      <c r="AJ27" s="14" t="s">
        <v>742</v>
      </c>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v>2</v>
      </c>
      <c r="BN27" s="14" t="s">
        <v>437</v>
      </c>
      <c r="BO27" s="14"/>
      <c r="BP27" s="14"/>
      <c r="BQ27" s="14">
        <v>2</v>
      </c>
      <c r="BR27" s="14"/>
      <c r="BS27" s="14"/>
      <c r="BT27" s="14" t="s">
        <v>437</v>
      </c>
      <c r="BU27" s="14"/>
      <c r="BV27" s="14"/>
      <c r="BW27" s="14"/>
      <c r="BX27" s="14"/>
    </row>
    <row r="28" spans="1:76">
      <c r="A28" s="6" t="s">
        <v>614</v>
      </c>
      <c r="C28" s="6" t="s">
        <v>435</v>
      </c>
      <c r="D28" s="21" t="s">
        <v>108</v>
      </c>
      <c r="E28" s="14" t="s">
        <v>762</v>
      </c>
      <c r="F28" s="14">
        <v>8</v>
      </c>
      <c r="G28" s="14">
        <v>36</v>
      </c>
      <c r="H28" s="62">
        <v>135</v>
      </c>
      <c r="I28" s="31">
        <v>16</v>
      </c>
      <c r="J28" s="14" t="s">
        <v>748</v>
      </c>
      <c r="K28" s="6" t="s">
        <v>746</v>
      </c>
      <c r="L28" s="14">
        <v>2.6</v>
      </c>
      <c r="M28" s="62"/>
      <c r="N28" s="14"/>
      <c r="O28" s="14"/>
      <c r="P28" s="14"/>
      <c r="Q28" s="62"/>
      <c r="R28" s="14"/>
      <c r="S28" s="14"/>
      <c r="T28" s="14"/>
      <c r="U28" s="62"/>
      <c r="V28" s="14"/>
      <c r="W28" s="14"/>
      <c r="X28" s="14"/>
      <c r="Y28" s="62"/>
      <c r="Z28" s="14"/>
      <c r="AA28" s="14"/>
      <c r="AB28" s="14"/>
      <c r="AC28" s="62"/>
      <c r="AD28" s="14"/>
      <c r="AE28" s="14"/>
      <c r="AF28" s="14"/>
      <c r="AG28" s="62">
        <f t="shared" si="1"/>
        <v>270</v>
      </c>
      <c r="AH28" s="14" t="s">
        <v>748</v>
      </c>
      <c r="AI28" s="6" t="s">
        <v>746</v>
      </c>
      <c r="AJ28" s="14" t="s">
        <v>742</v>
      </c>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v>2</v>
      </c>
      <c r="BN28" s="14" t="s">
        <v>437</v>
      </c>
      <c r="BO28" s="14"/>
      <c r="BP28" s="14"/>
      <c r="BQ28" s="14">
        <v>2</v>
      </c>
      <c r="BR28" s="14"/>
      <c r="BS28" s="14"/>
      <c r="BT28" s="14" t="s">
        <v>437</v>
      </c>
      <c r="BU28" s="14"/>
      <c r="BV28" s="14"/>
      <c r="BW28" s="14"/>
      <c r="BX28" s="14"/>
    </row>
    <row r="29" spans="1:76">
      <c r="A29" s="6" t="s">
        <v>615</v>
      </c>
      <c r="C29" s="6" t="s">
        <v>435</v>
      </c>
      <c r="D29" s="21" t="s">
        <v>108</v>
      </c>
      <c r="E29" s="14" t="s">
        <v>762</v>
      </c>
      <c r="F29" s="14">
        <v>8</v>
      </c>
      <c r="G29" s="14">
        <v>36</v>
      </c>
      <c r="H29" s="62">
        <v>135</v>
      </c>
      <c r="I29" s="31">
        <v>16</v>
      </c>
      <c r="J29" s="14" t="s">
        <v>748</v>
      </c>
      <c r="K29" s="6" t="s">
        <v>746</v>
      </c>
      <c r="L29" s="14">
        <v>2.6</v>
      </c>
      <c r="M29" s="62"/>
      <c r="N29" s="14"/>
      <c r="O29" s="14"/>
      <c r="P29" s="14"/>
      <c r="Q29" s="62"/>
      <c r="R29" s="14"/>
      <c r="S29" s="14"/>
      <c r="T29" s="14"/>
      <c r="U29" s="62"/>
      <c r="V29" s="14"/>
      <c r="W29" s="14"/>
      <c r="X29" s="14"/>
      <c r="Y29" s="62"/>
      <c r="Z29" s="14"/>
      <c r="AA29" s="14"/>
      <c r="AB29" s="14"/>
      <c r="AC29" s="62"/>
      <c r="AD29" s="14"/>
      <c r="AE29" s="14"/>
      <c r="AF29" s="14"/>
      <c r="AG29" s="62">
        <f t="shared" si="1"/>
        <v>270</v>
      </c>
      <c r="AH29" s="14" t="s">
        <v>748</v>
      </c>
      <c r="AI29" s="6" t="s">
        <v>746</v>
      </c>
      <c r="AJ29" s="14" t="s">
        <v>742</v>
      </c>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v>2</v>
      </c>
      <c r="BN29" s="14" t="s">
        <v>437</v>
      </c>
      <c r="BO29" s="14"/>
      <c r="BP29" s="14"/>
      <c r="BQ29" s="14">
        <v>2</v>
      </c>
      <c r="BR29" s="14"/>
      <c r="BS29" s="14"/>
      <c r="BT29" s="14" t="s">
        <v>437</v>
      </c>
      <c r="BU29" s="14"/>
      <c r="BV29" s="14"/>
      <c r="BW29" s="14"/>
      <c r="BX29" s="14"/>
    </row>
    <row r="30" spans="1:76">
      <c r="A30" s="6" t="s">
        <v>616</v>
      </c>
      <c r="C30" s="6" t="s">
        <v>435</v>
      </c>
      <c r="D30" s="21" t="s">
        <v>108</v>
      </c>
      <c r="E30" s="14" t="s">
        <v>762</v>
      </c>
      <c r="F30" s="14">
        <v>8</v>
      </c>
      <c r="G30" s="14">
        <v>36</v>
      </c>
      <c r="H30" s="62">
        <v>135</v>
      </c>
      <c r="I30" s="31">
        <v>16</v>
      </c>
      <c r="J30" s="14" t="s">
        <v>748</v>
      </c>
      <c r="K30" s="6" t="s">
        <v>746</v>
      </c>
      <c r="L30" s="14">
        <v>2.6</v>
      </c>
      <c r="M30" s="62"/>
      <c r="N30" s="14"/>
      <c r="O30" s="14"/>
      <c r="P30" s="14"/>
      <c r="Q30" s="62"/>
      <c r="R30" s="14"/>
      <c r="S30" s="14"/>
      <c r="T30" s="14"/>
      <c r="U30" s="62"/>
      <c r="V30" s="14"/>
      <c r="W30" s="14"/>
      <c r="X30" s="14"/>
      <c r="Y30" s="62"/>
      <c r="Z30" s="14"/>
      <c r="AA30" s="14"/>
      <c r="AB30" s="14"/>
      <c r="AC30" s="62"/>
      <c r="AD30" s="14"/>
      <c r="AE30" s="14"/>
      <c r="AF30" s="14"/>
      <c r="AG30" s="62">
        <f t="shared" si="1"/>
        <v>270</v>
      </c>
      <c r="AH30" s="14" t="s">
        <v>748</v>
      </c>
      <c r="AI30" s="6" t="s">
        <v>746</v>
      </c>
      <c r="AJ30" s="14" t="s">
        <v>742</v>
      </c>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v>2</v>
      </c>
      <c r="BN30" s="14" t="s">
        <v>437</v>
      </c>
      <c r="BO30" s="14"/>
      <c r="BP30" s="14"/>
      <c r="BQ30" s="14">
        <v>2</v>
      </c>
      <c r="BR30" s="14"/>
      <c r="BS30" s="14"/>
      <c r="BT30" s="14" t="s">
        <v>437</v>
      </c>
      <c r="BU30" s="14"/>
      <c r="BV30" s="14"/>
      <c r="BW30" s="14"/>
      <c r="BX30" s="14"/>
    </row>
    <row r="31" spans="1:76">
      <c r="A31" s="6" t="s">
        <v>621</v>
      </c>
      <c r="C31" s="6" t="s">
        <v>435</v>
      </c>
      <c r="D31" s="21" t="s">
        <v>108</v>
      </c>
      <c r="E31" s="14" t="s">
        <v>762</v>
      </c>
      <c r="F31" s="14">
        <v>8</v>
      </c>
      <c r="G31" s="14">
        <v>36</v>
      </c>
      <c r="H31" s="62">
        <v>135</v>
      </c>
      <c r="I31" s="31">
        <v>16</v>
      </c>
      <c r="J31" s="14" t="s">
        <v>748</v>
      </c>
      <c r="K31" s="6" t="s">
        <v>746</v>
      </c>
      <c r="L31" s="14">
        <v>2.6</v>
      </c>
      <c r="M31" s="62"/>
      <c r="N31" s="14"/>
      <c r="O31" s="14"/>
      <c r="P31" s="14"/>
      <c r="Q31" s="62"/>
      <c r="R31" s="14"/>
      <c r="S31" s="14"/>
      <c r="T31" s="14"/>
      <c r="U31" s="62"/>
      <c r="V31" s="14"/>
      <c r="W31" s="14"/>
      <c r="X31" s="14"/>
      <c r="Y31" s="62"/>
      <c r="Z31" s="14"/>
      <c r="AA31" s="14"/>
      <c r="AB31" s="14"/>
      <c r="AC31" s="62"/>
      <c r="AD31" s="14"/>
      <c r="AE31" s="14"/>
      <c r="AF31" s="14"/>
      <c r="AG31" s="62">
        <f t="shared" si="1"/>
        <v>270</v>
      </c>
      <c r="AH31" s="14" t="s">
        <v>748</v>
      </c>
      <c r="AI31" s="6" t="s">
        <v>746</v>
      </c>
      <c r="AJ31" s="14" t="s">
        <v>742</v>
      </c>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v>2</v>
      </c>
      <c r="BN31" s="14" t="s">
        <v>437</v>
      </c>
      <c r="BO31" s="14"/>
      <c r="BP31" s="14"/>
      <c r="BQ31" s="14">
        <v>2</v>
      </c>
      <c r="BR31" s="14"/>
      <c r="BS31" s="14"/>
      <c r="BT31" s="14" t="s">
        <v>437</v>
      </c>
      <c r="BU31" s="14"/>
      <c r="BV31" s="14"/>
      <c r="BW31" s="14"/>
      <c r="BX31" s="14"/>
    </row>
    <row r="32" spans="1:76">
      <c r="A32" s="6" t="s">
        <v>622</v>
      </c>
      <c r="C32" s="6" t="s">
        <v>435</v>
      </c>
      <c r="D32" s="21" t="s">
        <v>108</v>
      </c>
      <c r="E32" s="14" t="s">
        <v>762</v>
      </c>
      <c r="F32" s="14">
        <v>8</v>
      </c>
      <c r="G32" s="14">
        <v>36</v>
      </c>
      <c r="H32" s="62">
        <v>135</v>
      </c>
      <c r="I32" s="31">
        <v>16</v>
      </c>
      <c r="J32" s="14" t="s">
        <v>748</v>
      </c>
      <c r="K32" s="6" t="s">
        <v>746</v>
      </c>
      <c r="L32" s="14">
        <v>2.6</v>
      </c>
      <c r="M32" s="62"/>
      <c r="N32" s="14"/>
      <c r="O32" s="14"/>
      <c r="P32" s="14"/>
      <c r="Q32" s="62"/>
      <c r="R32" s="14"/>
      <c r="S32" s="14"/>
      <c r="T32" s="14"/>
      <c r="U32" s="62"/>
      <c r="V32" s="14"/>
      <c r="W32" s="14"/>
      <c r="X32" s="14"/>
      <c r="Y32" s="62"/>
      <c r="Z32" s="14"/>
      <c r="AA32" s="14"/>
      <c r="AB32" s="14"/>
      <c r="AC32" s="62"/>
      <c r="AD32" s="14"/>
      <c r="AE32" s="14"/>
      <c r="AF32" s="14"/>
      <c r="AG32" s="62">
        <f t="shared" si="1"/>
        <v>270</v>
      </c>
      <c r="AH32" s="14" t="s">
        <v>748</v>
      </c>
      <c r="AI32" s="6" t="s">
        <v>746</v>
      </c>
      <c r="AJ32" s="14" t="s">
        <v>742</v>
      </c>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v>2</v>
      </c>
      <c r="BN32" s="14" t="s">
        <v>437</v>
      </c>
      <c r="BO32" s="14"/>
      <c r="BP32" s="14"/>
      <c r="BQ32" s="14">
        <v>2</v>
      </c>
      <c r="BR32" s="14"/>
      <c r="BS32" s="14"/>
      <c r="BT32" s="14" t="s">
        <v>437</v>
      </c>
      <c r="BU32" s="14"/>
      <c r="BV32" s="14"/>
      <c r="BW32" s="14"/>
      <c r="BX32" s="14"/>
    </row>
    <row r="33" spans="1:80">
      <c r="A33" s="6" t="s">
        <v>633</v>
      </c>
      <c r="C33" s="6" t="s">
        <v>435</v>
      </c>
      <c r="D33" s="21" t="s">
        <v>108</v>
      </c>
      <c r="E33" s="14" t="s">
        <v>762</v>
      </c>
      <c r="F33" s="14">
        <v>8</v>
      </c>
      <c r="G33" s="14">
        <v>36</v>
      </c>
      <c r="H33" s="62">
        <v>135</v>
      </c>
      <c r="I33" s="31">
        <v>16</v>
      </c>
      <c r="J33" s="14" t="s">
        <v>748</v>
      </c>
      <c r="K33" s="6" t="s">
        <v>746</v>
      </c>
      <c r="L33" s="14">
        <v>2.6</v>
      </c>
      <c r="M33" s="62"/>
      <c r="N33" s="14"/>
      <c r="O33" s="14"/>
      <c r="P33" s="14"/>
      <c r="Q33" s="62"/>
      <c r="R33" s="14"/>
      <c r="S33" s="14"/>
      <c r="T33" s="14"/>
      <c r="U33" s="62"/>
      <c r="V33" s="14"/>
      <c r="W33" s="14"/>
      <c r="X33" s="14"/>
      <c r="Y33" s="62"/>
      <c r="Z33" s="14"/>
      <c r="AA33" s="14"/>
      <c r="AB33" s="14"/>
      <c r="AC33" s="62"/>
      <c r="AD33" s="14"/>
      <c r="AE33" s="14"/>
      <c r="AF33" s="14"/>
      <c r="AG33" s="62">
        <f t="shared" si="1"/>
        <v>270</v>
      </c>
      <c r="AH33" s="14" t="s">
        <v>748</v>
      </c>
      <c r="AI33" s="6" t="s">
        <v>746</v>
      </c>
      <c r="AJ33" s="14" t="s">
        <v>742</v>
      </c>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v>2</v>
      </c>
      <c r="BN33" s="14" t="s">
        <v>437</v>
      </c>
      <c r="BO33" s="14"/>
      <c r="BP33" s="14"/>
      <c r="BQ33" s="14">
        <v>2</v>
      </c>
      <c r="BR33" s="14"/>
      <c r="BS33" s="14"/>
      <c r="BT33" s="14" t="s">
        <v>437</v>
      </c>
      <c r="BU33" s="14"/>
      <c r="BV33" s="14"/>
      <c r="BW33" s="14"/>
      <c r="BX33" s="14"/>
    </row>
    <row r="34" spans="1:80">
      <c r="A34" s="6" t="s">
        <v>634</v>
      </c>
      <c r="C34" s="6" t="s">
        <v>435</v>
      </c>
      <c r="D34" s="21" t="s">
        <v>108</v>
      </c>
      <c r="E34" s="14" t="s">
        <v>762</v>
      </c>
      <c r="F34" s="14">
        <v>8</v>
      </c>
      <c r="G34" s="14">
        <v>36</v>
      </c>
      <c r="H34" s="62">
        <v>135</v>
      </c>
      <c r="I34" s="31">
        <v>16</v>
      </c>
      <c r="J34" s="14" t="s">
        <v>748</v>
      </c>
      <c r="K34" s="6" t="s">
        <v>746</v>
      </c>
      <c r="L34" s="14">
        <v>2.6</v>
      </c>
      <c r="M34" s="62"/>
      <c r="N34" s="14"/>
      <c r="O34" s="14"/>
      <c r="P34" s="14"/>
      <c r="Q34" s="62"/>
      <c r="R34" s="14"/>
      <c r="S34" s="14"/>
      <c r="T34" s="14"/>
      <c r="U34" s="62"/>
      <c r="V34" s="14"/>
      <c r="W34" s="14"/>
      <c r="X34" s="14"/>
      <c r="Y34" s="62"/>
      <c r="Z34" s="14"/>
      <c r="AA34" s="14"/>
      <c r="AB34" s="14"/>
      <c r="AC34" s="62"/>
      <c r="AD34" s="14"/>
      <c r="AE34" s="14"/>
      <c r="AF34" s="14"/>
      <c r="AG34" s="62">
        <f t="shared" si="1"/>
        <v>270</v>
      </c>
      <c r="AH34" s="14" t="s">
        <v>748</v>
      </c>
      <c r="AI34" s="6" t="s">
        <v>746</v>
      </c>
      <c r="AJ34" s="14" t="s">
        <v>742</v>
      </c>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v>2</v>
      </c>
      <c r="BN34" s="14" t="s">
        <v>437</v>
      </c>
      <c r="BO34" s="14"/>
      <c r="BP34" s="14"/>
      <c r="BQ34" s="14">
        <v>2</v>
      </c>
      <c r="BR34" s="14"/>
      <c r="BS34" s="14"/>
      <c r="BT34" s="14" t="s">
        <v>437</v>
      </c>
      <c r="BU34" s="14"/>
      <c r="BV34" s="14"/>
      <c r="BW34" s="14"/>
      <c r="BX34" s="14"/>
    </row>
    <row r="35" spans="1:80">
      <c r="A35" s="6" t="s">
        <v>644</v>
      </c>
      <c r="C35" s="21" t="s">
        <v>488</v>
      </c>
      <c r="D35" s="6" t="s">
        <v>112</v>
      </c>
      <c r="E35" s="14" t="s">
        <v>763</v>
      </c>
      <c r="F35" s="14">
        <v>4</v>
      </c>
      <c r="G35" s="14">
        <v>4</v>
      </c>
      <c r="H35" s="62">
        <v>100</v>
      </c>
      <c r="I35" s="31">
        <v>0</v>
      </c>
      <c r="J35" s="14" t="s">
        <v>745</v>
      </c>
      <c r="K35" s="6" t="s">
        <v>746</v>
      </c>
      <c r="L35" s="14">
        <v>100</v>
      </c>
      <c r="M35" s="62"/>
      <c r="N35" s="14"/>
      <c r="O35" s="14"/>
      <c r="P35" s="14"/>
      <c r="Q35" s="62"/>
      <c r="R35" s="14"/>
      <c r="S35" s="14"/>
      <c r="T35" s="14"/>
      <c r="U35" s="62"/>
      <c r="V35" s="14"/>
      <c r="W35" s="14"/>
      <c r="X35" s="14"/>
      <c r="Y35" s="62"/>
      <c r="Z35" s="14"/>
      <c r="AA35" s="14"/>
      <c r="AB35" s="14"/>
      <c r="AC35" s="62"/>
      <c r="AD35" s="14"/>
      <c r="AE35" s="14"/>
      <c r="AF35" s="14"/>
      <c r="AG35" s="62">
        <f t="shared" si="1"/>
        <v>200</v>
      </c>
      <c r="AH35" s="14" t="s">
        <v>748</v>
      </c>
      <c r="AI35" s="6" t="s">
        <v>746</v>
      </c>
      <c r="AJ35" s="14" t="s">
        <v>742</v>
      </c>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v>4</v>
      </c>
      <c r="BN35" s="14" t="s">
        <v>437</v>
      </c>
      <c r="BO35" s="14"/>
      <c r="BP35" s="14"/>
      <c r="BQ35" s="14">
        <v>2</v>
      </c>
      <c r="BR35" s="14"/>
      <c r="BS35" s="14"/>
      <c r="BT35" s="14" t="s">
        <v>437</v>
      </c>
      <c r="BU35" s="14"/>
      <c r="BV35" s="14"/>
      <c r="BW35" s="14"/>
      <c r="BX35" s="14"/>
    </row>
    <row r="36" spans="1:80">
      <c r="A36" s="6" t="s">
        <v>645</v>
      </c>
      <c r="C36" s="21" t="s">
        <v>488</v>
      </c>
      <c r="D36" s="6" t="s">
        <v>120</v>
      </c>
      <c r="E36" s="14" t="s">
        <v>764</v>
      </c>
      <c r="F36" s="14">
        <v>4</v>
      </c>
      <c r="G36" s="14">
        <v>16</v>
      </c>
      <c r="H36" s="62">
        <v>100</v>
      </c>
      <c r="I36" s="31">
        <v>0</v>
      </c>
      <c r="J36" s="14" t="s">
        <v>745</v>
      </c>
      <c r="K36" s="6" t="s">
        <v>746</v>
      </c>
      <c r="L36" s="14">
        <v>110</v>
      </c>
      <c r="M36" s="62"/>
      <c r="N36" s="14"/>
      <c r="O36" s="14"/>
      <c r="P36" s="14"/>
      <c r="Q36" s="62"/>
      <c r="R36" s="14"/>
      <c r="S36" s="14"/>
      <c r="T36" s="14"/>
      <c r="U36" s="62"/>
      <c r="V36" s="14"/>
      <c r="W36" s="14"/>
      <c r="X36" s="14"/>
      <c r="Y36" s="62"/>
      <c r="Z36" s="14"/>
      <c r="AA36" s="14"/>
      <c r="AB36" s="14"/>
      <c r="AC36" s="62"/>
      <c r="AD36" s="14"/>
      <c r="AE36" s="14"/>
      <c r="AF36" s="14"/>
      <c r="AG36" s="62">
        <f t="shared" si="1"/>
        <v>200</v>
      </c>
      <c r="AH36" s="14" t="s">
        <v>748</v>
      </c>
      <c r="AI36" s="6" t="s">
        <v>746</v>
      </c>
      <c r="AJ36" s="14" t="s">
        <v>742</v>
      </c>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v>4</v>
      </c>
      <c r="BN36" s="14" t="s">
        <v>437</v>
      </c>
      <c r="BO36" s="14"/>
      <c r="BP36" s="14"/>
      <c r="BQ36" s="14">
        <v>2</v>
      </c>
      <c r="BR36" s="14"/>
      <c r="BS36" s="14"/>
      <c r="BT36" s="14" t="s">
        <v>437</v>
      </c>
      <c r="BU36" s="14"/>
      <c r="BV36" s="14"/>
      <c r="BW36" s="14"/>
      <c r="BX36" s="14"/>
    </row>
    <row r="37" spans="1:80">
      <c r="A37" s="6" t="s">
        <v>490</v>
      </c>
      <c r="C37" s="21" t="s">
        <v>488</v>
      </c>
      <c r="D37" s="6" t="s">
        <v>116</v>
      </c>
      <c r="E37" s="14" t="s">
        <v>765</v>
      </c>
      <c r="F37" s="14">
        <v>4</v>
      </c>
      <c r="G37" s="14">
        <v>14</v>
      </c>
      <c r="H37" s="62">
        <v>120</v>
      </c>
      <c r="I37" s="31">
        <v>0</v>
      </c>
      <c r="J37" s="14" t="s">
        <v>745</v>
      </c>
      <c r="K37" s="6" t="s">
        <v>746</v>
      </c>
      <c r="L37" s="14">
        <v>100</v>
      </c>
      <c r="M37" s="62"/>
      <c r="N37" s="14"/>
      <c r="O37" s="14"/>
      <c r="P37" s="14"/>
      <c r="Q37" s="62"/>
      <c r="R37" s="14"/>
      <c r="S37" s="14"/>
      <c r="T37" s="14"/>
      <c r="U37" s="62"/>
      <c r="V37" s="14"/>
      <c r="W37" s="14"/>
      <c r="X37" s="14"/>
      <c r="Y37" s="62"/>
      <c r="Z37" s="14"/>
      <c r="AA37" s="14"/>
      <c r="AB37" s="14"/>
      <c r="AC37" s="62"/>
      <c r="AD37" s="14"/>
      <c r="AE37" s="14"/>
      <c r="AF37" s="14"/>
      <c r="AG37" s="62">
        <f t="shared" si="1"/>
        <v>240</v>
      </c>
      <c r="AH37" s="14" t="s">
        <v>748</v>
      </c>
      <c r="AI37" s="6" t="s">
        <v>746</v>
      </c>
      <c r="AJ37" s="14" t="s">
        <v>742</v>
      </c>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v>4</v>
      </c>
      <c r="BN37" s="14" t="s">
        <v>437</v>
      </c>
      <c r="BO37" s="14"/>
      <c r="BP37" s="14"/>
      <c r="BQ37" s="14">
        <v>2</v>
      </c>
      <c r="BR37" s="14"/>
      <c r="BS37" s="14"/>
      <c r="BT37" s="14" t="s">
        <v>437</v>
      </c>
      <c r="BU37" s="14"/>
      <c r="BV37" s="14"/>
      <c r="BW37" s="14"/>
      <c r="BX37" s="14"/>
    </row>
    <row r="38" spans="1:80">
      <c r="A38" s="6" t="s">
        <v>465</v>
      </c>
      <c r="B38" s="14"/>
      <c r="C38" s="6" t="s">
        <v>435</v>
      </c>
      <c r="D38" s="21" t="s">
        <v>124</v>
      </c>
      <c r="E38" s="14" t="s">
        <v>766</v>
      </c>
      <c r="F38" s="14">
        <v>9</v>
      </c>
      <c r="G38" s="14">
        <v>12</v>
      </c>
      <c r="H38" s="62">
        <v>45</v>
      </c>
      <c r="I38" s="31">
        <v>16</v>
      </c>
      <c r="J38" s="14" t="s">
        <v>748</v>
      </c>
      <c r="K38" s="6" t="s">
        <v>746</v>
      </c>
      <c r="L38" s="14">
        <v>2.6</v>
      </c>
      <c r="M38" s="62"/>
      <c r="N38" s="14"/>
      <c r="O38" s="14"/>
      <c r="P38" s="14"/>
      <c r="Q38" s="62"/>
      <c r="R38" s="14"/>
      <c r="S38" s="14"/>
      <c r="T38" s="14"/>
      <c r="U38" s="62"/>
      <c r="V38" s="14"/>
      <c r="W38" s="14"/>
      <c r="X38" s="14"/>
      <c r="Y38" s="62"/>
      <c r="Z38" s="14"/>
      <c r="AA38" s="14"/>
      <c r="AB38" s="14"/>
      <c r="AC38" s="62"/>
      <c r="AD38" s="14"/>
      <c r="AE38" s="14"/>
      <c r="AF38" s="14"/>
      <c r="AG38" s="62">
        <f>2*(H38+AK38)</f>
        <v>180</v>
      </c>
      <c r="AH38" s="14" t="s">
        <v>748</v>
      </c>
      <c r="AI38" s="6" t="s">
        <v>746</v>
      </c>
      <c r="AJ38" s="14" t="s">
        <v>742</v>
      </c>
      <c r="AK38" s="62">
        <v>45</v>
      </c>
      <c r="AL38" s="86" t="s">
        <v>748</v>
      </c>
      <c r="AM38" s="6" t="s">
        <v>746</v>
      </c>
      <c r="AN38" s="14">
        <f>50/1000</f>
        <v>0.05</v>
      </c>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86">
        <v>3</v>
      </c>
      <c r="BN38" s="14" t="s">
        <v>437</v>
      </c>
      <c r="BO38" s="14"/>
      <c r="BP38" s="14"/>
      <c r="BQ38" s="14">
        <v>2</v>
      </c>
      <c r="BR38" s="14"/>
      <c r="BS38" s="14"/>
      <c r="BT38" s="14" t="s">
        <v>437</v>
      </c>
      <c r="BU38" s="14"/>
      <c r="BV38" s="14"/>
      <c r="BW38" s="14"/>
      <c r="BX38" s="14"/>
    </row>
    <row r="39" spans="1:80">
      <c r="A39" s="6" t="s">
        <v>467</v>
      </c>
      <c r="C39" s="6" t="s">
        <v>435</v>
      </c>
      <c r="D39" s="21" t="s">
        <v>124</v>
      </c>
      <c r="E39" s="14" t="s">
        <v>766</v>
      </c>
      <c r="F39" s="14">
        <v>9</v>
      </c>
      <c r="G39" s="14">
        <v>12</v>
      </c>
      <c r="H39" s="62">
        <v>45</v>
      </c>
      <c r="I39" s="31">
        <v>16</v>
      </c>
      <c r="J39" s="14" t="s">
        <v>748</v>
      </c>
      <c r="K39" s="6" t="s">
        <v>746</v>
      </c>
      <c r="L39" s="14">
        <v>2.6</v>
      </c>
      <c r="M39" s="62"/>
      <c r="N39" s="14"/>
      <c r="O39" s="14"/>
      <c r="P39" s="14"/>
      <c r="Q39" s="62"/>
      <c r="R39" s="14"/>
      <c r="S39" s="14"/>
      <c r="T39" s="14"/>
      <c r="U39" s="62"/>
      <c r="V39" s="14"/>
      <c r="W39" s="14"/>
      <c r="X39" s="14"/>
      <c r="Y39" s="62"/>
      <c r="Z39" s="14"/>
      <c r="AA39" s="14"/>
      <c r="AB39" s="14"/>
      <c r="AC39" s="62"/>
      <c r="AD39" s="14"/>
      <c r="AE39" s="14"/>
      <c r="AF39" s="14"/>
      <c r="AG39" s="62">
        <f>2*(H39+AK39)</f>
        <v>180</v>
      </c>
      <c r="AH39" s="14" t="s">
        <v>748</v>
      </c>
      <c r="AI39" s="6" t="s">
        <v>746</v>
      </c>
      <c r="AJ39" s="14" t="s">
        <v>742</v>
      </c>
      <c r="AK39" s="62">
        <v>45</v>
      </c>
      <c r="AL39" s="86" t="s">
        <v>748</v>
      </c>
      <c r="AM39" s="6" t="s">
        <v>746</v>
      </c>
      <c r="AN39" s="14">
        <f>50/1000</f>
        <v>0.05</v>
      </c>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86">
        <v>3</v>
      </c>
      <c r="BN39" s="14" t="s">
        <v>437</v>
      </c>
      <c r="BO39" s="14"/>
      <c r="BP39" s="14"/>
      <c r="BQ39" s="14">
        <v>2</v>
      </c>
      <c r="BR39" s="14"/>
      <c r="BS39" s="14"/>
      <c r="BT39" s="14" t="s">
        <v>437</v>
      </c>
      <c r="BU39" s="14"/>
      <c r="BV39" s="14"/>
      <c r="BW39" s="14"/>
      <c r="BX39" s="14"/>
    </row>
    <row r="40" spans="1:80">
      <c r="A40" s="6" t="s">
        <v>635</v>
      </c>
      <c r="C40" s="6" t="s">
        <v>435</v>
      </c>
      <c r="D40" s="21" t="s">
        <v>124</v>
      </c>
      <c r="E40" s="14" t="s">
        <v>766</v>
      </c>
      <c r="F40" s="14">
        <v>9</v>
      </c>
      <c r="G40" s="14">
        <v>12</v>
      </c>
      <c r="H40" s="62">
        <v>45</v>
      </c>
      <c r="I40" s="31">
        <v>16</v>
      </c>
      <c r="J40" s="14" t="s">
        <v>748</v>
      </c>
      <c r="K40" s="6" t="s">
        <v>746</v>
      </c>
      <c r="L40" s="14">
        <v>2.6</v>
      </c>
      <c r="M40" s="62"/>
      <c r="N40" s="14"/>
      <c r="O40" s="14"/>
      <c r="P40" s="14"/>
      <c r="Q40" s="62"/>
      <c r="R40" s="14"/>
      <c r="S40" s="14"/>
      <c r="T40" s="14"/>
      <c r="U40" s="62"/>
      <c r="V40" s="14"/>
      <c r="W40" s="14"/>
      <c r="X40" s="14"/>
      <c r="Y40" s="62"/>
      <c r="Z40" s="14"/>
      <c r="AA40" s="14"/>
      <c r="AB40" s="14"/>
      <c r="AC40" s="62"/>
      <c r="AD40" s="14"/>
      <c r="AE40" s="14"/>
      <c r="AF40" s="14"/>
      <c r="AG40" s="62">
        <f>2*(H40+AK40)</f>
        <v>180</v>
      </c>
      <c r="AH40" s="14" t="s">
        <v>748</v>
      </c>
      <c r="AI40" s="6" t="s">
        <v>746</v>
      </c>
      <c r="AJ40" s="14" t="s">
        <v>742</v>
      </c>
      <c r="AK40" s="62">
        <v>45</v>
      </c>
      <c r="AL40" s="86" t="s">
        <v>748</v>
      </c>
      <c r="AM40" s="6" t="s">
        <v>746</v>
      </c>
      <c r="AN40" s="14">
        <f>50/1000</f>
        <v>0.05</v>
      </c>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86">
        <v>3</v>
      </c>
      <c r="BN40" s="14" t="s">
        <v>437</v>
      </c>
      <c r="BO40" s="14"/>
      <c r="BP40" s="14"/>
      <c r="BQ40" s="14">
        <v>2</v>
      </c>
      <c r="BR40" s="14"/>
      <c r="BS40" s="14"/>
      <c r="BT40" s="14" t="s">
        <v>437</v>
      </c>
      <c r="BU40" s="14"/>
      <c r="BV40" s="14"/>
      <c r="BW40" s="14"/>
      <c r="BX40" s="14"/>
    </row>
    <row r="41" spans="1:80">
      <c r="A41" s="6" t="s">
        <v>636</v>
      </c>
      <c r="C41" s="6" t="s">
        <v>435</v>
      </c>
      <c r="D41" s="21" t="s">
        <v>124</v>
      </c>
      <c r="E41" s="14" t="s">
        <v>766</v>
      </c>
      <c r="F41" s="14">
        <v>9</v>
      </c>
      <c r="G41" s="14">
        <v>12</v>
      </c>
      <c r="H41" s="62">
        <v>45</v>
      </c>
      <c r="I41" s="31">
        <v>16</v>
      </c>
      <c r="J41" s="14" t="s">
        <v>748</v>
      </c>
      <c r="K41" s="6" t="s">
        <v>746</v>
      </c>
      <c r="L41" s="14">
        <v>2.6</v>
      </c>
      <c r="M41" s="62"/>
      <c r="N41" s="14"/>
      <c r="O41" s="14"/>
      <c r="P41" s="14"/>
      <c r="Q41" s="62"/>
      <c r="R41" s="14"/>
      <c r="S41" s="14"/>
      <c r="T41" s="14"/>
      <c r="U41" s="62"/>
      <c r="V41" s="14"/>
      <c r="W41" s="14"/>
      <c r="X41" s="14"/>
      <c r="Y41" s="62"/>
      <c r="Z41" s="14"/>
      <c r="AA41" s="14"/>
      <c r="AB41" s="14"/>
      <c r="AC41" s="62"/>
      <c r="AD41" s="14"/>
      <c r="AE41" s="14"/>
      <c r="AF41" s="14"/>
      <c r="AG41" s="62">
        <f>2*(H41+AK41)</f>
        <v>180</v>
      </c>
      <c r="AH41" s="14" t="s">
        <v>748</v>
      </c>
      <c r="AI41" s="6" t="s">
        <v>746</v>
      </c>
      <c r="AJ41" s="14" t="s">
        <v>742</v>
      </c>
      <c r="AK41" s="62">
        <v>45</v>
      </c>
      <c r="AL41" s="86" t="s">
        <v>748</v>
      </c>
      <c r="AM41" s="6" t="s">
        <v>746</v>
      </c>
      <c r="AN41" s="14">
        <f>50/1000</f>
        <v>0.05</v>
      </c>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86">
        <v>3</v>
      </c>
      <c r="BN41" s="14" t="s">
        <v>437</v>
      </c>
      <c r="BO41" s="14"/>
      <c r="BP41" s="14"/>
      <c r="BQ41" s="14">
        <v>2</v>
      </c>
      <c r="BR41" s="14"/>
      <c r="BS41" s="14"/>
      <c r="BT41" s="14" t="s">
        <v>437</v>
      </c>
      <c r="BU41" s="14"/>
      <c r="BV41" s="14"/>
      <c r="BW41" s="14"/>
      <c r="BX41" s="14"/>
    </row>
    <row r="42" spans="1:80">
      <c r="A42" s="6" t="s">
        <v>468</v>
      </c>
      <c r="C42" s="6" t="s">
        <v>435</v>
      </c>
      <c r="D42" s="21" t="s">
        <v>469</v>
      </c>
      <c r="E42" s="14" t="s">
        <v>767</v>
      </c>
      <c r="F42" s="14">
        <v>4</v>
      </c>
      <c r="G42" s="14">
        <v>6</v>
      </c>
      <c r="H42" s="62">
        <v>40</v>
      </c>
      <c r="I42" s="31">
        <v>4</v>
      </c>
      <c r="J42" s="14" t="s">
        <v>748</v>
      </c>
      <c r="K42" s="6" t="s">
        <v>746</v>
      </c>
      <c r="L42" s="14">
        <v>2.6</v>
      </c>
      <c r="M42" s="62"/>
      <c r="N42" s="14"/>
      <c r="O42" s="14"/>
      <c r="P42" s="14"/>
      <c r="Q42" s="62"/>
      <c r="R42" s="14"/>
      <c r="S42" s="14"/>
      <c r="T42" s="14"/>
      <c r="U42" s="62"/>
      <c r="V42" s="14"/>
      <c r="W42" s="14"/>
      <c r="X42" s="14"/>
      <c r="Y42" s="62"/>
      <c r="Z42" s="14"/>
      <c r="AA42" s="14"/>
      <c r="AB42" s="14"/>
      <c r="AC42" s="62"/>
      <c r="AD42" s="14"/>
      <c r="AE42" s="14"/>
      <c r="AF42" s="14"/>
      <c r="AG42" s="62">
        <f>2*H42</f>
        <v>80</v>
      </c>
      <c r="AH42" s="14" t="s">
        <v>748</v>
      </c>
      <c r="AI42" s="6" t="s">
        <v>746</v>
      </c>
      <c r="AJ42" s="14" t="s">
        <v>742</v>
      </c>
      <c r="AK42" s="64"/>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v>2</v>
      </c>
      <c r="BN42" s="14" t="s">
        <v>437</v>
      </c>
      <c r="BO42" s="14"/>
      <c r="BP42" s="14"/>
      <c r="BQ42" s="14">
        <v>2</v>
      </c>
      <c r="BR42" s="14"/>
      <c r="BS42" s="14"/>
      <c r="BT42" s="14" t="s">
        <v>437</v>
      </c>
      <c r="BU42" s="14"/>
      <c r="BV42" s="14"/>
      <c r="BW42" s="14"/>
      <c r="BX42" s="14"/>
    </row>
    <row r="43" spans="1:80">
      <c r="A43" s="6" t="s">
        <v>470</v>
      </c>
      <c r="C43" s="6" t="s">
        <v>435</v>
      </c>
      <c r="D43" s="21" t="s">
        <v>471</v>
      </c>
      <c r="E43" s="14" t="s">
        <v>767</v>
      </c>
      <c r="F43" s="14">
        <v>4</v>
      </c>
      <c r="G43" s="14">
        <v>6</v>
      </c>
      <c r="H43" s="62">
        <v>40</v>
      </c>
      <c r="I43" s="31">
        <v>4</v>
      </c>
      <c r="J43" s="14" t="s">
        <v>748</v>
      </c>
      <c r="K43" s="6" t="s">
        <v>746</v>
      </c>
      <c r="L43" s="14">
        <v>2.6</v>
      </c>
      <c r="M43" s="62"/>
      <c r="N43" s="14"/>
      <c r="O43" s="14"/>
      <c r="P43" s="14"/>
      <c r="Q43" s="62"/>
      <c r="R43" s="14"/>
      <c r="S43" s="14"/>
      <c r="T43" s="14"/>
      <c r="U43" s="62"/>
      <c r="V43" s="14"/>
      <c r="W43" s="14"/>
      <c r="X43" s="14"/>
      <c r="Y43" s="62"/>
      <c r="Z43" s="14"/>
      <c r="AA43" s="14"/>
      <c r="AB43" s="14"/>
      <c r="AC43" s="62"/>
      <c r="AD43" s="14"/>
      <c r="AE43" s="14"/>
      <c r="AF43" s="14"/>
      <c r="AG43" s="62">
        <f>2*H43</f>
        <v>80</v>
      </c>
      <c r="AH43" s="14" t="s">
        <v>748</v>
      </c>
      <c r="AI43" s="6" t="s">
        <v>746</v>
      </c>
      <c r="AJ43" s="14" t="s">
        <v>742</v>
      </c>
      <c r="AK43" s="64"/>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v>2</v>
      </c>
      <c r="BN43" s="14" t="s">
        <v>437</v>
      </c>
      <c r="BO43" s="14"/>
      <c r="BP43" s="14"/>
      <c r="BQ43" s="14">
        <v>2</v>
      </c>
      <c r="BR43" s="14"/>
      <c r="BS43" s="14"/>
      <c r="BT43" s="14" t="s">
        <v>437</v>
      </c>
      <c r="BU43" s="14"/>
      <c r="BV43" s="14"/>
      <c r="BW43" s="14"/>
      <c r="BX43" s="14"/>
    </row>
    <row r="44" spans="1:80" ht="14.45">
      <c r="A44" s="6" t="s">
        <v>472</v>
      </c>
      <c r="C44" s="6" t="s">
        <v>435</v>
      </c>
      <c r="D44" s="6" t="s">
        <v>473</v>
      </c>
      <c r="E44" s="14" t="s">
        <v>768</v>
      </c>
      <c r="F44" s="14">
        <v>8</v>
      </c>
      <c r="G44" s="14">
        <v>11</v>
      </c>
      <c r="H44" s="62">
        <v>125</v>
      </c>
      <c r="I44" s="31">
        <v>4</v>
      </c>
      <c r="J44" s="14" t="s">
        <v>748</v>
      </c>
      <c r="K44" s="6" t="s">
        <v>746</v>
      </c>
      <c r="L44" s="14">
        <v>2.6</v>
      </c>
      <c r="M44" s="14"/>
      <c r="N44" s="14"/>
      <c r="O44" s="14"/>
      <c r="P44" s="14"/>
      <c r="Q44" s="2"/>
      <c r="R44" s="2"/>
      <c r="S44" s="2"/>
      <c r="T44" s="2"/>
      <c r="U44" s="14"/>
      <c r="V44" s="14"/>
      <c r="W44" s="14"/>
      <c r="X44" s="14"/>
      <c r="Y44" s="14"/>
      <c r="Z44" s="14"/>
      <c r="AA44" s="14"/>
      <c r="AB44" s="14"/>
      <c r="AC44" s="14"/>
      <c r="AD44" s="14"/>
      <c r="AE44" s="14"/>
      <c r="AF44" s="14"/>
      <c r="AG44" s="62">
        <f>2*H44</f>
        <v>250</v>
      </c>
      <c r="AH44" s="14" t="s">
        <v>748</v>
      </c>
      <c r="AI44" s="6" t="s">
        <v>746</v>
      </c>
      <c r="AJ44" s="14" t="s">
        <v>742</v>
      </c>
      <c r="BA44" s="14">
        <v>120</v>
      </c>
      <c r="BB44" s="14" t="s">
        <v>748</v>
      </c>
      <c r="BC44" s="14" t="s">
        <v>746</v>
      </c>
      <c r="BD44" s="14">
        <f>50/1000</f>
        <v>0.05</v>
      </c>
      <c r="BM44" s="14">
        <v>3</v>
      </c>
      <c r="BN44" s="14" t="s">
        <v>437</v>
      </c>
      <c r="BO44" s="14"/>
      <c r="BP44" s="14"/>
      <c r="BQ44" s="14">
        <v>2</v>
      </c>
      <c r="BR44" s="14"/>
      <c r="BS44" s="14" t="s">
        <v>437</v>
      </c>
      <c r="BT44" s="14" t="s">
        <v>437</v>
      </c>
      <c r="BU44" s="14"/>
      <c r="BV44" s="14"/>
      <c r="BW44" s="14"/>
      <c r="BY44" s="36"/>
      <c r="BZ44" s="36"/>
    </row>
    <row r="45" spans="1:80" ht="14.45">
      <c r="A45" s="6" t="s">
        <v>480</v>
      </c>
      <c r="C45" s="6" t="s">
        <v>435</v>
      </c>
      <c r="D45" s="6" t="s">
        <v>637</v>
      </c>
      <c r="E45" s="14" t="s">
        <v>772</v>
      </c>
      <c r="F45" s="14">
        <v>7</v>
      </c>
      <c r="G45" s="14">
        <v>7</v>
      </c>
      <c r="H45" s="62">
        <v>90</v>
      </c>
      <c r="I45" s="31">
        <v>4</v>
      </c>
      <c r="J45" s="14" t="s">
        <v>748</v>
      </c>
      <c r="K45" s="6" t="s">
        <v>746</v>
      </c>
      <c r="L45" s="14">
        <v>2.6</v>
      </c>
      <c r="M45" s="14"/>
      <c r="N45" s="14"/>
      <c r="O45" s="14"/>
      <c r="P45" s="14"/>
      <c r="Q45" s="2"/>
      <c r="R45" s="2"/>
      <c r="S45" s="2"/>
      <c r="T45" s="2"/>
      <c r="U45" s="14"/>
      <c r="V45" s="14"/>
      <c r="W45" s="14"/>
      <c r="X45" s="14"/>
      <c r="Y45" s="14"/>
      <c r="Z45" s="14"/>
      <c r="AA45" s="14"/>
      <c r="AB45" s="14"/>
      <c r="AC45" s="14"/>
      <c r="AD45" s="14"/>
      <c r="AE45" s="14"/>
      <c r="AF45" s="14"/>
      <c r="AG45" s="62">
        <f>2*H45</f>
        <v>180</v>
      </c>
      <c r="AH45" s="14" t="s">
        <v>748</v>
      </c>
      <c r="AI45" s="6" t="s">
        <v>746</v>
      </c>
      <c r="AJ45" s="14" t="s">
        <v>742</v>
      </c>
      <c r="BA45" s="14">
        <v>120</v>
      </c>
      <c r="BB45" s="14" t="s">
        <v>748</v>
      </c>
      <c r="BC45" s="14" t="s">
        <v>746</v>
      </c>
      <c r="BD45" s="14">
        <f>50/1000</f>
        <v>0.05</v>
      </c>
      <c r="BM45" s="14">
        <v>3</v>
      </c>
      <c r="BN45" s="14" t="s">
        <v>437</v>
      </c>
      <c r="BO45" s="14"/>
      <c r="BP45" s="14"/>
      <c r="BQ45" s="14">
        <v>2</v>
      </c>
      <c r="BR45" s="14"/>
      <c r="BS45" s="14" t="s">
        <v>437</v>
      </c>
      <c r="BT45" s="14" t="s">
        <v>437</v>
      </c>
      <c r="BU45" s="14"/>
      <c r="BV45" s="14"/>
      <c r="BW45" s="14"/>
      <c r="BY45" s="36"/>
      <c r="BZ45" s="36"/>
    </row>
    <row r="46" spans="1:80" s="19" customFormat="1" ht="14.45">
      <c r="A46" s="19" t="s">
        <v>476</v>
      </c>
      <c r="C46" s="19" t="s">
        <v>435</v>
      </c>
      <c r="D46" s="19" t="s">
        <v>638</v>
      </c>
      <c r="E46" s="17" t="s">
        <v>771</v>
      </c>
      <c r="F46" s="17">
        <v>6</v>
      </c>
      <c r="G46" s="17">
        <v>6</v>
      </c>
      <c r="H46" s="68">
        <v>60</v>
      </c>
      <c r="I46" s="80">
        <v>4</v>
      </c>
      <c r="J46" s="17" t="s">
        <v>748</v>
      </c>
      <c r="K46" s="19" t="s">
        <v>746</v>
      </c>
      <c r="L46" s="17">
        <v>2.6</v>
      </c>
      <c r="M46" s="17"/>
      <c r="N46" s="17"/>
      <c r="O46" s="17"/>
      <c r="P46" s="17"/>
      <c r="Q46" s="99"/>
      <c r="R46" s="99"/>
      <c r="S46" s="99"/>
      <c r="T46" s="99"/>
      <c r="U46" s="17"/>
      <c r="V46" s="17"/>
      <c r="W46" s="17"/>
      <c r="X46" s="17"/>
      <c r="Y46" s="17"/>
      <c r="Z46" s="17"/>
      <c r="AA46" s="17"/>
      <c r="AB46" s="17"/>
      <c r="AC46" s="17"/>
      <c r="AD46" s="17"/>
      <c r="AE46" s="17"/>
      <c r="AF46" s="17"/>
      <c r="AG46" s="68">
        <f>2*H46</f>
        <v>120</v>
      </c>
      <c r="AH46" s="17" t="s">
        <v>748</v>
      </c>
      <c r="AI46" s="19" t="s">
        <v>746</v>
      </c>
      <c r="AJ46" s="17" t="s">
        <v>742</v>
      </c>
      <c r="BA46" s="17">
        <v>120</v>
      </c>
      <c r="BB46" s="17" t="s">
        <v>748</v>
      </c>
      <c r="BC46" s="17" t="s">
        <v>746</v>
      </c>
      <c r="BD46" s="17">
        <f>50/1000</f>
        <v>0.05</v>
      </c>
      <c r="BM46" s="17">
        <v>3</v>
      </c>
      <c r="BN46" s="17" t="s">
        <v>437</v>
      </c>
      <c r="BO46" s="17"/>
      <c r="BP46" s="17"/>
      <c r="BQ46" s="17">
        <v>2</v>
      </c>
      <c r="BR46" s="17"/>
      <c r="BS46" s="17" t="s">
        <v>437</v>
      </c>
      <c r="BT46" s="17" t="s">
        <v>437</v>
      </c>
      <c r="BU46" s="17"/>
      <c r="BV46" s="17"/>
      <c r="BW46" s="17"/>
      <c r="BY46" s="46"/>
      <c r="BZ46" s="46"/>
    </row>
    <row r="47" spans="1:80" s="20" customFormat="1">
      <c r="E47" s="18"/>
      <c r="F47" s="18">
        <f>SUM(F8:F46)</f>
        <v>255</v>
      </c>
      <c r="G47" s="18">
        <f>SUM(G8:G46)</f>
        <v>741</v>
      </c>
      <c r="H47" s="18">
        <f>SUM(H8:H46)</f>
        <v>3510</v>
      </c>
      <c r="I47" s="63"/>
      <c r="J47" s="18"/>
      <c r="K47" s="18"/>
      <c r="L47" s="18">
        <f>SUM(L8:L46)</f>
        <v>409.00000000000023</v>
      </c>
      <c r="M47" s="18">
        <f>SUM(M8:M46)</f>
        <v>460</v>
      </c>
      <c r="N47" s="18"/>
      <c r="O47" s="18"/>
      <c r="P47" s="18">
        <f>SUM(P8:P46)</f>
        <v>0.05</v>
      </c>
      <c r="Q47" s="18">
        <f>SUM(Q8:Q46)</f>
        <v>8100</v>
      </c>
      <c r="R47" s="18"/>
      <c r="S47" s="18"/>
      <c r="T47" s="18">
        <f>SUM(T8:T46)</f>
        <v>0.05</v>
      </c>
      <c r="U47" s="18">
        <f>SUM(U8:U46)</f>
        <v>12150</v>
      </c>
      <c r="V47" s="18"/>
      <c r="W47" s="18"/>
      <c r="X47" s="18">
        <f>SUM(X8:X46)</f>
        <v>0.05</v>
      </c>
      <c r="Y47" s="18">
        <f>SUM(Y8:Y46)</f>
        <v>834.99</v>
      </c>
      <c r="Z47" s="18"/>
      <c r="AA47" s="18"/>
      <c r="AB47" s="18">
        <f>SUM(AB8:AB46)</f>
        <v>0.1</v>
      </c>
      <c r="AC47" s="18">
        <f>SUM(AC8:AC46)</f>
        <v>270</v>
      </c>
      <c r="AD47" s="18"/>
      <c r="AE47" s="18"/>
      <c r="AF47" s="18">
        <f>SUM(AF8:AF46)</f>
        <v>0</v>
      </c>
      <c r="AG47" s="18">
        <f>SUM(AG8:AG46)</f>
        <v>36524</v>
      </c>
      <c r="AH47" s="18"/>
      <c r="AI47" s="18"/>
      <c r="AJ47" s="18"/>
      <c r="AK47" s="18">
        <f>SUM(AK8:AK46)</f>
        <v>180</v>
      </c>
      <c r="AL47" s="18"/>
      <c r="AM47" s="18"/>
      <c r="AN47" s="18">
        <f>SUM(AN8:AN46)</f>
        <v>0.2</v>
      </c>
      <c r="AO47" s="18">
        <f>SUM(AO8:AO46)</f>
        <v>50</v>
      </c>
      <c r="AP47" s="18"/>
      <c r="AQ47" s="18"/>
      <c r="AR47" s="18">
        <f>SUM(AR8:AR46)</f>
        <v>0.05</v>
      </c>
      <c r="AS47" s="18">
        <f>SUM(AS8:AS46)</f>
        <v>200</v>
      </c>
      <c r="AT47" s="18"/>
      <c r="AU47" s="18"/>
      <c r="AV47" s="18">
        <f>SUM(AV8:AV46)</f>
        <v>0.1</v>
      </c>
      <c r="AW47" s="18">
        <f>SUM(AW8:AW46)</f>
        <v>0</v>
      </c>
      <c r="AX47" s="18"/>
      <c r="AY47" s="18"/>
      <c r="AZ47" s="18">
        <f>SUM(AZ8:AZ46)</f>
        <v>0</v>
      </c>
      <c r="BA47" s="18">
        <f>SUM(BA8:BA46)</f>
        <v>360</v>
      </c>
      <c r="BB47" s="18"/>
      <c r="BC47" s="18"/>
      <c r="BD47" s="18">
        <f>SUM(BD8:BD46)</f>
        <v>0.15000000000000002</v>
      </c>
      <c r="BE47" s="18">
        <f>SUM(BE8:BE46)</f>
        <v>6144</v>
      </c>
      <c r="BF47" s="18"/>
      <c r="BG47" s="18"/>
      <c r="BH47" s="18">
        <f>SUM(BH8:BH46)</f>
        <v>0.05</v>
      </c>
      <c r="BI47" s="18"/>
      <c r="BJ47" s="18"/>
      <c r="BK47" s="18"/>
      <c r="BL47" s="18"/>
      <c r="BM47" s="18">
        <f>SUM(BM8:BM46)</f>
        <v>98</v>
      </c>
      <c r="BN47" s="18">
        <f>COUNTIF(BN8:BN46,"x")</f>
        <v>38</v>
      </c>
      <c r="BO47" s="18">
        <f>COUNTIF(BO8:BO46,"x")</f>
        <v>2</v>
      </c>
      <c r="BP47" s="18">
        <f>COUNTIF(BP8:BP46,"x")</f>
        <v>1</v>
      </c>
      <c r="BQ47" s="18">
        <f>SUM(BQ8:BQ46)</f>
        <v>78</v>
      </c>
      <c r="BR47" s="18">
        <f>COUNTIF(BR8:BR46,"x")</f>
        <v>1</v>
      </c>
      <c r="BS47" s="18">
        <f>COUNTIF(BS8:BS46,"x")</f>
        <v>3</v>
      </c>
      <c r="BT47" s="18">
        <f>COUNTIF(BT8:BT46,"x")</f>
        <v>38</v>
      </c>
      <c r="BU47" s="18" t="s">
        <v>769</v>
      </c>
      <c r="BV47" s="18">
        <v>2</v>
      </c>
      <c r="BW47" s="18">
        <v>4</v>
      </c>
      <c r="BX47" s="18">
        <v>2</v>
      </c>
    </row>
    <row r="48" spans="1:80" ht="12.95">
      <c r="A48" s="16" t="s">
        <v>770</v>
      </c>
      <c r="E48" s="14"/>
      <c r="F48" s="14"/>
      <c r="G48" s="14"/>
      <c r="H48" s="14"/>
      <c r="I48" s="31"/>
      <c r="J48" s="14"/>
      <c r="K48" s="14"/>
      <c r="L48" s="14"/>
      <c r="M48" s="14"/>
      <c r="N48" s="62"/>
      <c r="O48" s="62"/>
      <c r="P48" s="14"/>
      <c r="Q48" s="14"/>
      <c r="R48" s="62"/>
      <c r="S48" s="62"/>
      <c r="T48" s="14"/>
      <c r="U48" s="14"/>
      <c r="V48" s="62"/>
      <c r="W48" s="62"/>
      <c r="X48" s="14"/>
      <c r="Y48" s="14"/>
      <c r="Z48" s="62"/>
      <c r="AA48" s="62"/>
      <c r="AB48" s="14"/>
      <c r="AC48" s="14"/>
      <c r="AD48" s="62"/>
      <c r="AE48" s="62"/>
      <c r="AF48" s="14"/>
      <c r="AG48" s="14"/>
      <c r="AH48" s="62"/>
      <c r="AI48" s="62"/>
      <c r="AJ48" s="62"/>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row>
    <row r="49" spans="1:80" ht="14.45">
      <c r="A49" s="6" t="s">
        <v>476</v>
      </c>
      <c r="C49" s="6" t="s">
        <v>435</v>
      </c>
      <c r="D49" s="6" t="s">
        <v>477</v>
      </c>
      <c r="E49" s="14" t="s">
        <v>771</v>
      </c>
      <c r="F49" s="14">
        <v>8</v>
      </c>
      <c r="G49" s="14">
        <v>16</v>
      </c>
      <c r="H49" s="62">
        <v>30</v>
      </c>
      <c r="I49" s="155">
        <v>12</v>
      </c>
      <c r="J49" s="14" t="s">
        <v>748</v>
      </c>
      <c r="K49" s="6" t="s">
        <v>746</v>
      </c>
      <c r="L49" s="14"/>
      <c r="M49" s="14"/>
      <c r="N49" s="14"/>
      <c r="O49" s="14"/>
      <c r="P49" s="14"/>
      <c r="Q49" s="2"/>
      <c r="R49" s="2"/>
      <c r="S49" s="2"/>
      <c r="T49" s="2"/>
      <c r="U49" s="14"/>
      <c r="V49" s="14"/>
      <c r="W49" s="14"/>
      <c r="X49" s="14"/>
      <c r="Y49" s="62"/>
      <c r="Z49" s="14"/>
      <c r="AB49" s="14"/>
      <c r="AC49" s="14"/>
      <c r="AD49" s="14"/>
      <c r="AE49" s="14"/>
      <c r="AF49" s="14"/>
      <c r="AG49" s="62">
        <f>2*H49+200</f>
        <v>260</v>
      </c>
      <c r="AH49" s="14" t="s">
        <v>748</v>
      </c>
      <c r="AI49" s="6" t="s">
        <v>746</v>
      </c>
      <c r="AJ49" s="14"/>
      <c r="AW49" s="14"/>
      <c r="AX49" s="14"/>
      <c r="AY49" s="14"/>
      <c r="AZ49" s="14"/>
      <c r="BA49" s="14"/>
      <c r="BB49" s="14"/>
      <c r="BE49" s="14"/>
      <c r="BF49" s="14"/>
      <c r="BG49" s="14"/>
      <c r="BH49" s="14"/>
      <c r="BI49" s="14">
        <v>150</v>
      </c>
      <c r="BJ49" s="14" t="s">
        <v>748</v>
      </c>
      <c r="BK49" s="14" t="s">
        <v>746</v>
      </c>
      <c r="BL49" s="14">
        <v>0.05</v>
      </c>
      <c r="BM49" s="14">
        <v>1</v>
      </c>
      <c r="BN49" s="14"/>
      <c r="BO49" s="14"/>
      <c r="BP49" s="14"/>
      <c r="BQ49" s="14"/>
      <c r="BR49" s="14"/>
      <c r="BS49" s="14"/>
      <c r="BT49" s="14"/>
      <c r="BU49" s="14"/>
      <c r="BV49" s="14"/>
      <c r="BW49" s="14"/>
    </row>
    <row r="50" spans="1:80" ht="12.95">
      <c r="A50" s="186" t="s">
        <v>478</v>
      </c>
      <c r="B50" s="187"/>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BE50" s="14"/>
      <c r="BF50" s="14"/>
      <c r="BG50" s="14"/>
      <c r="BH50" s="14"/>
      <c r="BI50" s="14"/>
      <c r="BJ50" s="14"/>
      <c r="BK50" s="14"/>
      <c r="BL50" s="14"/>
      <c r="BM50" s="14"/>
    </row>
    <row r="51" spans="1:80" ht="14.45">
      <c r="A51" s="6" t="s">
        <v>472</v>
      </c>
      <c r="C51" s="6" t="s">
        <v>435</v>
      </c>
      <c r="D51" s="6" t="s">
        <v>479</v>
      </c>
      <c r="E51" s="14" t="s">
        <v>768</v>
      </c>
      <c r="F51" s="14">
        <v>8</v>
      </c>
      <c r="G51" s="14">
        <v>22</v>
      </c>
      <c r="H51" s="62">
        <v>28</v>
      </c>
      <c r="I51" s="155">
        <v>12</v>
      </c>
      <c r="J51" s="14" t="s">
        <v>748</v>
      </c>
      <c r="K51" s="6" t="s">
        <v>746</v>
      </c>
      <c r="L51" s="14" t="s">
        <v>742</v>
      </c>
      <c r="M51" s="14"/>
      <c r="N51" s="14"/>
      <c r="O51" s="14"/>
      <c r="P51" s="14"/>
      <c r="Q51" s="2"/>
      <c r="R51" s="2"/>
      <c r="S51" s="2"/>
      <c r="T51" s="2"/>
      <c r="U51" s="14"/>
      <c r="V51" s="14"/>
      <c r="W51" s="14"/>
      <c r="X51" s="14"/>
      <c r="Y51" s="62">
        <v>120</v>
      </c>
      <c r="Z51" s="14" t="s">
        <v>748</v>
      </c>
      <c r="AA51" s="6" t="s">
        <v>746</v>
      </c>
      <c r="AB51" s="14" t="s">
        <v>742</v>
      </c>
      <c r="AC51" s="14"/>
      <c r="AD51" s="14"/>
      <c r="AE51" s="14"/>
      <c r="AF51" s="14"/>
      <c r="AG51" s="62">
        <f>2*H51+200+Y51</f>
        <v>376</v>
      </c>
      <c r="AH51" s="14" t="s">
        <v>748</v>
      </c>
      <c r="AI51" s="6" t="s">
        <v>746</v>
      </c>
      <c r="AJ51" s="14" t="s">
        <v>742</v>
      </c>
      <c r="AW51" s="14">
        <v>150</v>
      </c>
      <c r="AX51" s="14" t="s">
        <v>748</v>
      </c>
      <c r="AY51" s="14" t="s">
        <v>746</v>
      </c>
      <c r="AZ51" s="14">
        <f>50/1000</f>
        <v>0.05</v>
      </c>
      <c r="BA51" s="14"/>
      <c r="BB51" s="14"/>
      <c r="BE51" s="14"/>
      <c r="BF51" s="14"/>
      <c r="BG51" s="14"/>
      <c r="BH51" s="14"/>
      <c r="BI51" s="14"/>
      <c r="BJ51" s="14"/>
      <c r="BK51" s="14"/>
      <c r="BL51" s="14"/>
      <c r="BM51" s="14">
        <v>1</v>
      </c>
      <c r="BN51" s="14"/>
      <c r="BO51" s="14"/>
      <c r="BP51" s="14"/>
      <c r="BQ51" s="14"/>
      <c r="BR51" s="14"/>
      <c r="BS51" s="14"/>
      <c r="BT51" s="14"/>
      <c r="BU51" s="14"/>
      <c r="BV51" s="14"/>
      <c r="BW51" s="14"/>
    </row>
    <row r="52" spans="1:80" s="19" customFormat="1" ht="14.45">
      <c r="A52" s="19" t="s">
        <v>480</v>
      </c>
      <c r="C52" s="19" t="s">
        <v>435</v>
      </c>
      <c r="D52" s="19" t="s">
        <v>481</v>
      </c>
      <c r="E52" s="17" t="s">
        <v>772</v>
      </c>
      <c r="F52" s="17">
        <v>6</v>
      </c>
      <c r="G52" s="17">
        <v>17</v>
      </c>
      <c r="H52" s="68">
        <v>30</v>
      </c>
      <c r="I52" s="80">
        <v>12</v>
      </c>
      <c r="J52" s="17" t="s">
        <v>748</v>
      </c>
      <c r="K52" s="157" t="s">
        <v>746</v>
      </c>
      <c r="L52" s="17"/>
      <c r="M52" s="17"/>
      <c r="N52" s="17"/>
      <c r="O52" s="17"/>
      <c r="P52" s="17"/>
      <c r="Q52" s="99"/>
      <c r="R52" s="99"/>
      <c r="S52" s="99"/>
      <c r="T52" s="99"/>
      <c r="U52" s="17"/>
      <c r="V52" s="17"/>
      <c r="W52" s="17"/>
      <c r="X52" s="17"/>
      <c r="Y52" s="17"/>
      <c r="Z52" s="17"/>
      <c r="AB52" s="17"/>
      <c r="AC52" s="17"/>
      <c r="AD52" s="17"/>
      <c r="AE52" s="17"/>
      <c r="AF52" s="17"/>
      <c r="AG52" s="68">
        <f>2*H52</f>
        <v>60</v>
      </c>
      <c r="AH52" s="17" t="s">
        <v>748</v>
      </c>
      <c r="AI52" s="19" t="s">
        <v>746</v>
      </c>
      <c r="AJ52" s="17" t="s">
        <v>742</v>
      </c>
      <c r="AW52" s="17"/>
      <c r="AX52" s="17"/>
      <c r="AY52" s="17"/>
      <c r="AZ52" s="17"/>
      <c r="BE52" s="17"/>
      <c r="BF52" s="17"/>
      <c r="BG52" s="17"/>
      <c r="BH52" s="17"/>
      <c r="BI52" s="156"/>
      <c r="BJ52" s="158"/>
      <c r="BK52" s="156"/>
      <c r="BL52" s="156"/>
      <c r="BM52" s="17"/>
      <c r="BN52" s="17"/>
      <c r="BO52" s="17"/>
      <c r="BP52" s="17"/>
      <c r="BQ52" s="17"/>
      <c r="BR52" s="17"/>
      <c r="BS52" s="17"/>
    </row>
    <row r="53" spans="1:80">
      <c r="E53" s="14"/>
      <c r="F53" s="14">
        <f>SUM(F49:F52)+F47</f>
        <v>277</v>
      </c>
      <c r="G53" s="14">
        <f>SUM(G49:G52)+G47</f>
        <v>796</v>
      </c>
      <c r="H53" s="62">
        <f>SUM(H49:H52)+H47</f>
        <v>3598</v>
      </c>
      <c r="I53" s="14"/>
      <c r="J53" s="14"/>
      <c r="K53" s="14"/>
      <c r="L53" s="14">
        <f>SUM(L49:L52)+L47</f>
        <v>409.00000000000023</v>
      </c>
      <c r="M53" s="14">
        <f>SUM(M49:M52)+M47</f>
        <v>460</v>
      </c>
      <c r="N53" s="62"/>
      <c r="O53" s="62"/>
      <c r="P53" s="14">
        <f>SUM(P49:P52)+P47</f>
        <v>0.05</v>
      </c>
      <c r="Q53" s="14">
        <f>SUM(Q49:Q52)+Q47</f>
        <v>8100</v>
      </c>
      <c r="R53" s="62"/>
      <c r="S53" s="62"/>
      <c r="T53" s="14">
        <f>SUM(T49:T52)+T47</f>
        <v>0.05</v>
      </c>
      <c r="U53" s="14">
        <f>SUM(U49:U52)+U47</f>
        <v>12150</v>
      </c>
      <c r="V53" s="62"/>
      <c r="W53" s="62"/>
      <c r="X53" s="14">
        <f>SUM(X49:X52)+X47</f>
        <v>0.05</v>
      </c>
      <c r="Y53" s="62">
        <f>SUM(Y49:Y52)+Y47</f>
        <v>954.99</v>
      </c>
      <c r="Z53" s="62"/>
      <c r="AA53" s="62"/>
      <c r="AB53" s="14">
        <f>SUM(AB49:AB52)+AB47</f>
        <v>0.1</v>
      </c>
      <c r="AC53" s="14">
        <f>SUM(AC49:AC52)+AC47</f>
        <v>270</v>
      </c>
      <c r="AD53" s="62"/>
      <c r="AE53" s="62"/>
      <c r="AF53" s="14">
        <f>SUM(AF49:AF52)+AF47</f>
        <v>0</v>
      </c>
      <c r="AG53" s="62">
        <f>SUM(AG49:AG52)+AG47</f>
        <v>37220</v>
      </c>
      <c r="AH53" s="62"/>
      <c r="AI53" s="62"/>
      <c r="AJ53" s="62"/>
      <c r="AK53" s="14">
        <f>SUM(AK49:AK52)+AK47</f>
        <v>180</v>
      </c>
      <c r="AL53" s="14"/>
      <c r="AM53" s="14"/>
      <c r="AN53" s="14">
        <f>SUM(AN49:AN52)+AN47</f>
        <v>0.2</v>
      </c>
      <c r="AO53" s="14">
        <f>SUM(AO49:AO52)+AO47</f>
        <v>50</v>
      </c>
      <c r="AP53" s="14"/>
      <c r="AQ53" s="14"/>
      <c r="AR53" s="14">
        <f>SUM(AR49:AR52)+AR47</f>
        <v>0.05</v>
      </c>
      <c r="AS53" s="14">
        <f>SUM(AS49:AS52)+AS47</f>
        <v>200</v>
      </c>
      <c r="AT53" s="14"/>
      <c r="AU53" s="14"/>
      <c r="AV53" s="14">
        <f>SUM(AV49:AV52)+AV47</f>
        <v>0.1</v>
      </c>
      <c r="AW53" s="14">
        <f>SUM(AW49:AW52)+AW47</f>
        <v>150</v>
      </c>
      <c r="AX53" s="14"/>
      <c r="AY53" s="14"/>
      <c r="AZ53" s="14">
        <f>SUM(AZ49:AZ52)+AZ47</f>
        <v>0.05</v>
      </c>
      <c r="BA53" s="14">
        <f>SUM(BA49:BA52)+BA47</f>
        <v>360</v>
      </c>
      <c r="BB53" s="14"/>
      <c r="BC53" s="14"/>
      <c r="BD53" s="14">
        <f>SUM(BD49:BD52)+BD47</f>
        <v>0.15000000000000002</v>
      </c>
      <c r="BE53" s="14">
        <f>SUM(BE49:BE52)+BE47</f>
        <v>6144</v>
      </c>
      <c r="BF53" s="14"/>
      <c r="BG53" s="14"/>
      <c r="BH53" s="14">
        <f>SUM(BH49:BH52)+BH47</f>
        <v>0.05</v>
      </c>
      <c r="BI53" s="14">
        <f>SUM(BI49:BI52)+BI47</f>
        <v>150</v>
      </c>
      <c r="BJ53" s="14"/>
      <c r="BK53" s="14"/>
      <c r="BL53" s="14">
        <f>SUM(BL49:BL52)+BL47</f>
        <v>0.05</v>
      </c>
      <c r="BM53" s="14">
        <f>SUM(BM49:BM52)+BM47</f>
        <v>100</v>
      </c>
      <c r="BN53" s="14">
        <f>BN47+COUNTIF(BN49:BN52,"x")</f>
        <v>38</v>
      </c>
      <c r="BO53" s="14">
        <f>BO47+COUNTIF(BO49:BO52,"x")</f>
        <v>2</v>
      </c>
      <c r="BP53" s="14">
        <f>SUM(BP49:BP52)+BP47</f>
        <v>1</v>
      </c>
      <c r="BQ53" s="14">
        <f>SUM(BQ49:BQ52)+BQ47</f>
        <v>78</v>
      </c>
      <c r="BR53" s="14">
        <f>BR47+COUNTIF(BR49:BR52,"x")</f>
        <v>1</v>
      </c>
      <c r="BS53" s="14">
        <f>BS47+COUNTIF(BS49:BS52,"x")</f>
        <v>3</v>
      </c>
      <c r="BT53" s="14">
        <f>BT47+COUNTIF(BT49:BT52,"x")</f>
        <v>38</v>
      </c>
      <c r="BU53" s="14" t="s">
        <v>769</v>
      </c>
      <c r="BV53" s="14">
        <f>BV47+COUNTIF(BV49:BV52,"x")</f>
        <v>2</v>
      </c>
      <c r="BW53" s="14">
        <v>4</v>
      </c>
      <c r="BX53" s="14">
        <v>2</v>
      </c>
      <c r="BY53" s="14"/>
      <c r="BZ53" s="14"/>
      <c r="CA53" s="14"/>
      <c r="CB53" s="14"/>
    </row>
    <row r="54" spans="1:80">
      <c r="BM54" s="14"/>
    </row>
    <row r="55" spans="1:80" ht="12.95">
      <c r="A55" s="16" t="s">
        <v>773</v>
      </c>
      <c r="B55" s="36"/>
      <c r="C55" s="36"/>
      <c r="D55" s="36"/>
      <c r="BM55" s="14"/>
    </row>
    <row r="56" spans="1:80">
      <c r="A56" s="36"/>
      <c r="B56" s="36"/>
      <c r="C56" s="36"/>
      <c r="D56" s="36"/>
      <c r="BM56" s="14"/>
    </row>
    <row r="57" spans="1:80">
      <c r="A57" s="36" t="s">
        <v>486</v>
      </c>
      <c r="B57" s="36"/>
      <c r="C57" s="6" t="s">
        <v>435</v>
      </c>
      <c r="D57" s="36" t="s">
        <v>44</v>
      </c>
      <c r="E57" s="14" t="s">
        <v>774</v>
      </c>
      <c r="F57" s="86">
        <v>16</v>
      </c>
      <c r="G57" s="86">
        <v>64</v>
      </c>
      <c r="H57" s="64">
        <v>70</v>
      </c>
      <c r="I57" s="31">
        <v>16</v>
      </c>
      <c r="J57" s="86" t="s">
        <v>748</v>
      </c>
      <c r="K57" s="6" t="s">
        <v>746</v>
      </c>
      <c r="L57" s="14">
        <v>2.6</v>
      </c>
      <c r="M57" s="36"/>
      <c r="N57" s="36"/>
      <c r="O57" s="36"/>
      <c r="P57" s="36"/>
      <c r="Q57" s="36"/>
      <c r="R57" s="36"/>
      <c r="S57" s="36"/>
      <c r="T57" s="36"/>
      <c r="U57" s="36"/>
      <c r="V57" s="36"/>
      <c r="W57" s="36"/>
      <c r="X57" s="36"/>
      <c r="Y57" s="36"/>
      <c r="Z57" s="36"/>
      <c r="AA57" s="36"/>
      <c r="AB57" s="36"/>
      <c r="AC57" s="36"/>
      <c r="AD57" s="36"/>
      <c r="AE57" s="36"/>
      <c r="AF57" s="36"/>
      <c r="AG57" s="86">
        <f t="shared" ref="AG57:AG81" si="2">2*H57</f>
        <v>140</v>
      </c>
      <c r="AH57" s="86" t="s">
        <v>748</v>
      </c>
      <c r="AI57" s="6" t="s">
        <v>746</v>
      </c>
      <c r="AJ57" s="14" t="s">
        <v>742</v>
      </c>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86">
        <v>2</v>
      </c>
      <c r="BN57" s="86" t="s">
        <v>437</v>
      </c>
      <c r="BO57" s="86"/>
      <c r="BP57" s="86"/>
      <c r="BQ57" s="86">
        <v>2</v>
      </c>
      <c r="BR57" s="86"/>
      <c r="BS57" s="86" t="s">
        <v>437</v>
      </c>
      <c r="BT57" s="86" t="s">
        <v>437</v>
      </c>
      <c r="BU57" s="86"/>
      <c r="BV57" s="86"/>
      <c r="BW57" s="86"/>
      <c r="BX57" s="86"/>
      <c r="BY57" s="36"/>
      <c r="BZ57" s="36"/>
    </row>
    <row r="58" spans="1:80">
      <c r="A58" s="36" t="s">
        <v>539</v>
      </c>
      <c r="B58" s="36"/>
      <c r="C58" s="21" t="s">
        <v>488</v>
      </c>
      <c r="D58" s="6" t="s">
        <v>112</v>
      </c>
      <c r="E58" s="14" t="s">
        <v>763</v>
      </c>
      <c r="F58" s="86">
        <v>4</v>
      </c>
      <c r="G58" s="86">
        <v>4</v>
      </c>
      <c r="H58" s="62">
        <v>100</v>
      </c>
      <c r="I58" s="31">
        <v>0</v>
      </c>
      <c r="J58" s="14" t="s">
        <v>745</v>
      </c>
      <c r="K58" s="6" t="s">
        <v>746</v>
      </c>
      <c r="L58" s="14">
        <v>100</v>
      </c>
      <c r="M58" s="36"/>
      <c r="N58" s="36"/>
      <c r="O58" s="36"/>
      <c r="P58" s="36"/>
      <c r="Q58" s="36"/>
      <c r="R58" s="36"/>
      <c r="S58" s="36"/>
      <c r="T58" s="36"/>
      <c r="U58" s="36"/>
      <c r="V58" s="36"/>
      <c r="W58" s="36"/>
      <c r="X58" s="36"/>
      <c r="Y58" s="36"/>
      <c r="Z58" s="36"/>
      <c r="AA58" s="36"/>
      <c r="AB58" s="36"/>
      <c r="AC58" s="36"/>
      <c r="AD58" s="36"/>
      <c r="AE58" s="36"/>
      <c r="AF58" s="36"/>
      <c r="AG58" s="86">
        <f t="shared" si="2"/>
        <v>200</v>
      </c>
      <c r="AH58" s="86" t="s">
        <v>748</v>
      </c>
      <c r="AI58" s="6" t="s">
        <v>746</v>
      </c>
      <c r="AJ58" s="14" t="s">
        <v>742</v>
      </c>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86">
        <v>4</v>
      </c>
      <c r="BN58" s="86" t="s">
        <v>437</v>
      </c>
      <c r="BO58" s="86"/>
      <c r="BP58" s="86"/>
      <c r="BQ58" s="86">
        <v>2</v>
      </c>
      <c r="BR58" s="86"/>
      <c r="BS58" s="86" t="s">
        <v>437</v>
      </c>
      <c r="BT58" s="86" t="s">
        <v>437</v>
      </c>
      <c r="BU58" s="86"/>
      <c r="BV58" s="86"/>
      <c r="BW58" s="86"/>
      <c r="BX58" s="86"/>
      <c r="BY58" s="36"/>
      <c r="BZ58" s="36"/>
    </row>
    <row r="59" spans="1:80">
      <c r="A59" s="36" t="s">
        <v>491</v>
      </c>
      <c r="B59" s="36"/>
      <c r="C59" s="21" t="s">
        <v>488</v>
      </c>
      <c r="D59" s="6" t="s">
        <v>120</v>
      </c>
      <c r="E59" s="14" t="s">
        <v>764</v>
      </c>
      <c r="F59" s="86">
        <v>4</v>
      </c>
      <c r="G59" s="86">
        <v>16</v>
      </c>
      <c r="H59" s="62">
        <v>100</v>
      </c>
      <c r="I59" s="31">
        <v>0</v>
      </c>
      <c r="J59" s="14" t="s">
        <v>745</v>
      </c>
      <c r="K59" s="6" t="s">
        <v>746</v>
      </c>
      <c r="L59" s="14">
        <v>110</v>
      </c>
      <c r="M59" s="36"/>
      <c r="N59" s="36"/>
      <c r="O59" s="36"/>
      <c r="P59" s="36"/>
      <c r="Q59" s="36"/>
      <c r="R59" s="36"/>
      <c r="S59" s="36"/>
      <c r="T59" s="36"/>
      <c r="U59" s="36"/>
      <c r="V59" s="36"/>
      <c r="W59" s="36"/>
      <c r="X59" s="36"/>
      <c r="Y59" s="36"/>
      <c r="Z59" s="36"/>
      <c r="AA59" s="36"/>
      <c r="AB59" s="36"/>
      <c r="AC59" s="36"/>
      <c r="AD59" s="36"/>
      <c r="AE59" s="36"/>
      <c r="AF59" s="36"/>
      <c r="AG59" s="86">
        <f t="shared" si="2"/>
        <v>200</v>
      </c>
      <c r="AH59" s="86" t="s">
        <v>748</v>
      </c>
      <c r="AI59" s="6" t="s">
        <v>746</v>
      </c>
      <c r="AJ59" s="14" t="s">
        <v>742</v>
      </c>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86">
        <v>4</v>
      </c>
      <c r="BN59" s="86" t="s">
        <v>437</v>
      </c>
      <c r="BO59" s="86"/>
      <c r="BP59" s="86"/>
      <c r="BQ59" s="86">
        <v>2</v>
      </c>
      <c r="BR59" s="86"/>
      <c r="BS59" s="86" t="s">
        <v>437</v>
      </c>
      <c r="BT59" s="86" t="s">
        <v>437</v>
      </c>
      <c r="BU59" s="86"/>
      <c r="BV59" s="86"/>
      <c r="BW59" s="86"/>
      <c r="BX59" s="86"/>
      <c r="BY59" s="36"/>
      <c r="BZ59" s="36"/>
    </row>
    <row r="60" spans="1:80">
      <c r="A60" s="36" t="s">
        <v>540</v>
      </c>
      <c r="B60" s="36"/>
      <c r="C60" s="21" t="s">
        <v>488</v>
      </c>
      <c r="D60" s="6" t="s">
        <v>120</v>
      </c>
      <c r="E60" s="14" t="s">
        <v>764</v>
      </c>
      <c r="F60" s="86">
        <v>4</v>
      </c>
      <c r="G60" s="86">
        <v>16</v>
      </c>
      <c r="H60" s="62">
        <v>100</v>
      </c>
      <c r="I60" s="31">
        <v>0</v>
      </c>
      <c r="J60" s="14" t="s">
        <v>745</v>
      </c>
      <c r="K60" s="6" t="s">
        <v>746</v>
      </c>
      <c r="L60" s="14">
        <v>110</v>
      </c>
      <c r="M60" s="36"/>
      <c r="N60" s="36"/>
      <c r="O60" s="36"/>
      <c r="P60" s="36"/>
      <c r="Q60" s="36"/>
      <c r="R60" s="36"/>
      <c r="S60" s="36"/>
      <c r="T60" s="36"/>
      <c r="U60" s="36"/>
      <c r="V60" s="36"/>
      <c r="W60" s="36"/>
      <c r="X60" s="36"/>
      <c r="Y60" s="36"/>
      <c r="Z60" s="36"/>
      <c r="AA60" s="36"/>
      <c r="AB60" s="36"/>
      <c r="AC60" s="36"/>
      <c r="AD60" s="36"/>
      <c r="AE60" s="36"/>
      <c r="AF60" s="36"/>
      <c r="AG60" s="86">
        <f t="shared" si="2"/>
        <v>200</v>
      </c>
      <c r="AH60" s="86" t="s">
        <v>748</v>
      </c>
      <c r="AI60" s="6" t="s">
        <v>746</v>
      </c>
      <c r="AJ60" s="14" t="s">
        <v>742</v>
      </c>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86">
        <v>4</v>
      </c>
      <c r="BN60" s="86" t="s">
        <v>437</v>
      </c>
      <c r="BO60" s="86"/>
      <c r="BP60" s="86"/>
      <c r="BQ60" s="86">
        <v>2</v>
      </c>
      <c r="BR60" s="86"/>
      <c r="BS60" s="86" t="s">
        <v>437</v>
      </c>
      <c r="BT60" s="86" t="s">
        <v>437</v>
      </c>
      <c r="BU60" s="86"/>
      <c r="BV60" s="86"/>
      <c r="BW60" s="86"/>
      <c r="BX60" s="86"/>
      <c r="BY60" s="36"/>
      <c r="BZ60" s="36"/>
    </row>
    <row r="61" spans="1:80">
      <c r="A61" s="36" t="s">
        <v>623</v>
      </c>
      <c r="B61" s="36"/>
      <c r="C61" s="21" t="s">
        <v>488</v>
      </c>
      <c r="D61" s="6" t="s">
        <v>120</v>
      </c>
      <c r="E61" s="14" t="s">
        <v>764</v>
      </c>
      <c r="F61" s="86">
        <v>4</v>
      </c>
      <c r="G61" s="86">
        <v>16</v>
      </c>
      <c r="H61" s="62">
        <v>100</v>
      </c>
      <c r="I61" s="31">
        <v>0</v>
      </c>
      <c r="J61" s="14" t="s">
        <v>745</v>
      </c>
      <c r="K61" s="6" t="s">
        <v>746</v>
      </c>
      <c r="L61" s="14">
        <v>110</v>
      </c>
      <c r="M61" s="36"/>
      <c r="N61" s="36"/>
      <c r="O61" s="36"/>
      <c r="P61" s="36"/>
      <c r="Q61" s="36"/>
      <c r="R61" s="36"/>
      <c r="S61" s="36"/>
      <c r="T61" s="36"/>
      <c r="U61" s="36"/>
      <c r="V61" s="36"/>
      <c r="W61" s="36"/>
      <c r="X61" s="36"/>
      <c r="Y61" s="36"/>
      <c r="Z61" s="36"/>
      <c r="AA61" s="36"/>
      <c r="AB61" s="36"/>
      <c r="AC61" s="36"/>
      <c r="AD61" s="36"/>
      <c r="AE61" s="36"/>
      <c r="AF61" s="36"/>
      <c r="AG61" s="86">
        <f t="shared" si="2"/>
        <v>200</v>
      </c>
      <c r="AH61" s="86" t="s">
        <v>748</v>
      </c>
      <c r="AI61" s="6" t="s">
        <v>746</v>
      </c>
      <c r="AJ61" s="14" t="s">
        <v>742</v>
      </c>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86">
        <v>4</v>
      </c>
      <c r="BN61" s="86" t="s">
        <v>437</v>
      </c>
      <c r="BO61" s="86"/>
      <c r="BP61" s="86"/>
      <c r="BQ61" s="86">
        <v>2</v>
      </c>
      <c r="BR61" s="86"/>
      <c r="BS61" s="86" t="s">
        <v>437</v>
      </c>
      <c r="BT61" s="86" t="s">
        <v>437</v>
      </c>
      <c r="BU61" s="86"/>
      <c r="BV61" s="86"/>
      <c r="BW61" s="86"/>
      <c r="BX61" s="86"/>
      <c r="BY61" s="36"/>
      <c r="BZ61" s="36"/>
    </row>
    <row r="62" spans="1:80">
      <c r="A62" s="36" t="s">
        <v>624</v>
      </c>
      <c r="B62" s="36"/>
      <c r="C62" s="21" t="s">
        <v>488</v>
      </c>
      <c r="D62" s="6" t="s">
        <v>120</v>
      </c>
      <c r="E62" s="14" t="s">
        <v>764</v>
      </c>
      <c r="F62" s="86">
        <v>4</v>
      </c>
      <c r="G62" s="86">
        <v>16</v>
      </c>
      <c r="H62" s="62">
        <v>100</v>
      </c>
      <c r="I62" s="31">
        <v>0</v>
      </c>
      <c r="J62" s="14" t="s">
        <v>745</v>
      </c>
      <c r="K62" s="6" t="s">
        <v>746</v>
      </c>
      <c r="L62" s="14">
        <v>110</v>
      </c>
      <c r="M62" s="36"/>
      <c r="N62" s="36"/>
      <c r="O62" s="36"/>
      <c r="P62" s="36"/>
      <c r="Q62" s="36"/>
      <c r="R62" s="36"/>
      <c r="S62" s="36"/>
      <c r="T62" s="36"/>
      <c r="U62" s="36"/>
      <c r="V62" s="36"/>
      <c r="W62" s="36"/>
      <c r="X62" s="36"/>
      <c r="Y62" s="36"/>
      <c r="Z62" s="36"/>
      <c r="AA62" s="36"/>
      <c r="AB62" s="36"/>
      <c r="AC62" s="36"/>
      <c r="AD62" s="36"/>
      <c r="AE62" s="36"/>
      <c r="AF62" s="36"/>
      <c r="AG62" s="86">
        <f t="shared" si="2"/>
        <v>200</v>
      </c>
      <c r="AH62" s="86" t="s">
        <v>748</v>
      </c>
      <c r="AI62" s="6" t="s">
        <v>746</v>
      </c>
      <c r="AJ62" s="14" t="s">
        <v>742</v>
      </c>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86">
        <v>4</v>
      </c>
      <c r="BN62" s="86" t="s">
        <v>437</v>
      </c>
      <c r="BO62" s="86"/>
      <c r="BP62" s="86"/>
      <c r="BQ62" s="86">
        <v>2</v>
      </c>
      <c r="BR62" s="86"/>
      <c r="BS62" s="86" t="s">
        <v>437</v>
      </c>
      <c r="BT62" s="86" t="s">
        <v>437</v>
      </c>
      <c r="BU62" s="86"/>
      <c r="BV62" s="86"/>
      <c r="BW62" s="86"/>
      <c r="BX62" s="86"/>
      <c r="BY62" s="36"/>
      <c r="BZ62" s="36"/>
    </row>
    <row r="63" spans="1:80">
      <c r="A63" s="36" t="s">
        <v>646</v>
      </c>
      <c r="B63" s="36"/>
      <c r="C63" s="21" t="s">
        <v>488</v>
      </c>
      <c r="D63" s="6" t="s">
        <v>120</v>
      </c>
      <c r="E63" s="14" t="s">
        <v>764</v>
      </c>
      <c r="F63" s="86">
        <v>4</v>
      </c>
      <c r="G63" s="86">
        <v>16</v>
      </c>
      <c r="H63" s="62">
        <v>100</v>
      </c>
      <c r="I63" s="31">
        <v>0</v>
      </c>
      <c r="J63" s="14" t="s">
        <v>745</v>
      </c>
      <c r="K63" s="6" t="s">
        <v>746</v>
      </c>
      <c r="L63" s="14">
        <v>110</v>
      </c>
      <c r="M63" s="36"/>
      <c r="N63" s="36"/>
      <c r="O63" s="36"/>
      <c r="P63" s="36"/>
      <c r="Q63" s="36"/>
      <c r="R63" s="36"/>
      <c r="S63" s="36"/>
      <c r="T63" s="36"/>
      <c r="U63" s="36"/>
      <c r="V63" s="36"/>
      <c r="W63" s="36"/>
      <c r="X63" s="36"/>
      <c r="Y63" s="36"/>
      <c r="Z63" s="36"/>
      <c r="AA63" s="36"/>
      <c r="AB63" s="36"/>
      <c r="AC63" s="36"/>
      <c r="AD63" s="36"/>
      <c r="AE63" s="36"/>
      <c r="AF63" s="36"/>
      <c r="AG63" s="86">
        <f t="shared" si="2"/>
        <v>200</v>
      </c>
      <c r="AH63" s="86" t="s">
        <v>748</v>
      </c>
      <c r="AI63" s="6" t="s">
        <v>746</v>
      </c>
      <c r="AJ63" s="14" t="s">
        <v>742</v>
      </c>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86">
        <v>4</v>
      </c>
      <c r="BN63" s="86" t="s">
        <v>437</v>
      </c>
      <c r="BO63" s="86"/>
      <c r="BP63" s="86"/>
      <c r="BQ63" s="86">
        <v>2</v>
      </c>
      <c r="BR63" s="86"/>
      <c r="BS63" s="86" t="s">
        <v>437</v>
      </c>
      <c r="BT63" s="86" t="s">
        <v>437</v>
      </c>
      <c r="BU63" s="86"/>
      <c r="BV63" s="86"/>
      <c r="BW63" s="86"/>
      <c r="BX63" s="86"/>
      <c r="BY63" s="36"/>
      <c r="BZ63" s="36"/>
    </row>
    <row r="64" spans="1:80">
      <c r="A64" s="36" t="s">
        <v>647</v>
      </c>
      <c r="B64" s="36"/>
      <c r="C64" s="21" t="s">
        <v>488</v>
      </c>
      <c r="D64" s="6" t="s">
        <v>120</v>
      </c>
      <c r="E64" s="14" t="s">
        <v>764</v>
      </c>
      <c r="F64" s="86">
        <v>4</v>
      </c>
      <c r="G64" s="86">
        <v>16</v>
      </c>
      <c r="H64" s="62">
        <v>100</v>
      </c>
      <c r="I64" s="31">
        <v>0</v>
      </c>
      <c r="J64" s="14" t="s">
        <v>745</v>
      </c>
      <c r="K64" s="6" t="s">
        <v>746</v>
      </c>
      <c r="L64" s="14">
        <v>110</v>
      </c>
      <c r="M64" s="36"/>
      <c r="N64" s="36"/>
      <c r="O64" s="36"/>
      <c r="P64" s="36"/>
      <c r="Q64" s="36"/>
      <c r="R64" s="36"/>
      <c r="S64" s="36"/>
      <c r="T64" s="36"/>
      <c r="U64" s="36"/>
      <c r="V64" s="36"/>
      <c r="W64" s="36"/>
      <c r="X64" s="36"/>
      <c r="Y64" s="36"/>
      <c r="Z64" s="36"/>
      <c r="AA64" s="36"/>
      <c r="AB64" s="36"/>
      <c r="AC64" s="36"/>
      <c r="AD64" s="36"/>
      <c r="AE64" s="36"/>
      <c r="AF64" s="36"/>
      <c r="AG64" s="86">
        <f t="shared" si="2"/>
        <v>200</v>
      </c>
      <c r="AH64" s="86" t="s">
        <v>748</v>
      </c>
      <c r="AI64" s="6" t="s">
        <v>746</v>
      </c>
      <c r="AJ64" s="14" t="s">
        <v>742</v>
      </c>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86">
        <v>4</v>
      </c>
      <c r="BN64" s="86" t="s">
        <v>437</v>
      </c>
      <c r="BO64" s="86"/>
      <c r="BP64" s="86"/>
      <c r="BQ64" s="86">
        <v>2</v>
      </c>
      <c r="BR64" s="86"/>
      <c r="BS64" s="86" t="s">
        <v>437</v>
      </c>
      <c r="BT64" s="86" t="s">
        <v>437</v>
      </c>
      <c r="BU64" s="86"/>
      <c r="BV64" s="86"/>
      <c r="BW64" s="86"/>
      <c r="BX64" s="86"/>
      <c r="BY64" s="36"/>
      <c r="BZ64" s="36"/>
    </row>
    <row r="65" spans="1:78">
      <c r="A65" s="36" t="s">
        <v>648</v>
      </c>
      <c r="B65" s="36"/>
      <c r="C65" s="21" t="s">
        <v>488</v>
      </c>
      <c r="D65" s="6" t="s">
        <v>120</v>
      </c>
      <c r="E65" s="14" t="s">
        <v>764</v>
      </c>
      <c r="F65" s="86">
        <v>4</v>
      </c>
      <c r="G65" s="86">
        <v>16</v>
      </c>
      <c r="H65" s="62">
        <v>100</v>
      </c>
      <c r="I65" s="31">
        <v>0</v>
      </c>
      <c r="J65" s="14" t="s">
        <v>745</v>
      </c>
      <c r="K65" s="6" t="s">
        <v>746</v>
      </c>
      <c r="L65" s="14">
        <v>110</v>
      </c>
      <c r="M65" s="36"/>
      <c r="N65" s="36"/>
      <c r="O65" s="36"/>
      <c r="P65" s="36"/>
      <c r="Q65" s="36"/>
      <c r="R65" s="36"/>
      <c r="S65" s="36"/>
      <c r="T65" s="36"/>
      <c r="U65" s="36"/>
      <c r="V65" s="36"/>
      <c r="W65" s="36"/>
      <c r="X65" s="36"/>
      <c r="Y65" s="36"/>
      <c r="Z65" s="36"/>
      <c r="AA65" s="36"/>
      <c r="AB65" s="36"/>
      <c r="AC65" s="36"/>
      <c r="AD65" s="36"/>
      <c r="AE65" s="36"/>
      <c r="AF65" s="36"/>
      <c r="AG65" s="86">
        <f t="shared" si="2"/>
        <v>200</v>
      </c>
      <c r="AH65" s="86" t="s">
        <v>748</v>
      </c>
      <c r="AI65" s="6" t="s">
        <v>746</v>
      </c>
      <c r="AJ65" s="14" t="s">
        <v>742</v>
      </c>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86">
        <v>4</v>
      </c>
      <c r="BN65" s="86" t="s">
        <v>437</v>
      </c>
      <c r="BO65" s="86"/>
      <c r="BP65" s="86"/>
      <c r="BQ65" s="86">
        <v>2</v>
      </c>
      <c r="BR65" s="86"/>
      <c r="BS65" s="86" t="s">
        <v>437</v>
      </c>
      <c r="BT65" s="86" t="s">
        <v>437</v>
      </c>
      <c r="BU65" s="86"/>
      <c r="BV65" s="86"/>
      <c r="BW65" s="86"/>
      <c r="BX65" s="86"/>
      <c r="BY65" s="36"/>
      <c r="BZ65" s="36"/>
    </row>
    <row r="66" spans="1:78">
      <c r="A66" s="36" t="s">
        <v>541</v>
      </c>
      <c r="B66" s="36"/>
      <c r="C66" s="21" t="s">
        <v>488</v>
      </c>
      <c r="D66" s="6" t="s">
        <v>116</v>
      </c>
      <c r="E66" s="14" t="s">
        <v>765</v>
      </c>
      <c r="F66" s="86">
        <v>4</v>
      </c>
      <c r="G66" s="86">
        <v>14</v>
      </c>
      <c r="H66" s="62">
        <v>120</v>
      </c>
      <c r="I66" s="31">
        <v>0</v>
      </c>
      <c r="J66" s="86" t="s">
        <v>745</v>
      </c>
      <c r="K66" s="6" t="s">
        <v>746</v>
      </c>
      <c r="L66" s="14">
        <v>100</v>
      </c>
      <c r="M66" s="36"/>
      <c r="N66" s="36"/>
      <c r="O66" s="36"/>
      <c r="P66" s="36"/>
      <c r="Q66" s="36"/>
      <c r="R66" s="36"/>
      <c r="S66" s="36"/>
      <c r="T66" s="36"/>
      <c r="U66" s="36"/>
      <c r="V66" s="36"/>
      <c r="W66" s="36"/>
      <c r="X66" s="36"/>
      <c r="Y66" s="36"/>
      <c r="Z66" s="36"/>
      <c r="AA66" s="36"/>
      <c r="AB66" s="36"/>
      <c r="AC66" s="36"/>
      <c r="AD66" s="36"/>
      <c r="AE66" s="36"/>
      <c r="AF66" s="36"/>
      <c r="AG66" s="86">
        <f t="shared" si="2"/>
        <v>240</v>
      </c>
      <c r="AH66" s="86" t="s">
        <v>748</v>
      </c>
      <c r="AI66" s="6" t="s">
        <v>746</v>
      </c>
      <c r="AJ66" s="14" t="s">
        <v>742</v>
      </c>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86">
        <v>4</v>
      </c>
      <c r="BN66" s="86" t="s">
        <v>437</v>
      </c>
      <c r="BO66" s="86"/>
      <c r="BP66" s="86"/>
      <c r="BQ66" s="86">
        <v>2</v>
      </c>
      <c r="BR66" s="86"/>
      <c r="BS66" s="86" t="s">
        <v>437</v>
      </c>
      <c r="BT66" s="86" t="s">
        <v>437</v>
      </c>
      <c r="BU66" s="86"/>
      <c r="BV66" s="86"/>
      <c r="BW66" s="86"/>
      <c r="BX66" s="86"/>
      <c r="BY66" s="36"/>
      <c r="BZ66" s="36"/>
    </row>
    <row r="67" spans="1:78">
      <c r="A67" s="36" t="s">
        <v>649</v>
      </c>
      <c r="B67" s="36"/>
      <c r="C67" s="21" t="s">
        <v>488</v>
      </c>
      <c r="D67" s="6" t="s">
        <v>120</v>
      </c>
      <c r="E67" s="14" t="s">
        <v>764</v>
      </c>
      <c r="F67" s="86">
        <v>4</v>
      </c>
      <c r="G67" s="86">
        <v>16</v>
      </c>
      <c r="H67" s="62">
        <v>100</v>
      </c>
      <c r="I67" s="31">
        <v>0</v>
      </c>
      <c r="J67" s="14" t="s">
        <v>745</v>
      </c>
      <c r="K67" s="6" t="s">
        <v>746</v>
      </c>
      <c r="L67" s="14">
        <v>110</v>
      </c>
      <c r="M67" s="36"/>
      <c r="N67" s="36"/>
      <c r="O67" s="36"/>
      <c r="P67" s="36"/>
      <c r="Q67" s="36"/>
      <c r="R67" s="36"/>
      <c r="S67" s="36"/>
      <c r="T67" s="36"/>
      <c r="U67" s="36"/>
      <c r="V67" s="36"/>
      <c r="W67" s="36"/>
      <c r="X67" s="36"/>
      <c r="Y67" s="36"/>
      <c r="Z67" s="36"/>
      <c r="AA67" s="36"/>
      <c r="AB67" s="36"/>
      <c r="AC67" s="36"/>
      <c r="AD67" s="36"/>
      <c r="AE67" s="36"/>
      <c r="AF67" s="36"/>
      <c r="AG67" s="86">
        <f t="shared" si="2"/>
        <v>200</v>
      </c>
      <c r="AH67" s="86" t="s">
        <v>748</v>
      </c>
      <c r="AI67" s="6" t="s">
        <v>746</v>
      </c>
      <c r="AJ67" s="14" t="s">
        <v>742</v>
      </c>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86">
        <v>4</v>
      </c>
      <c r="BN67" s="86" t="s">
        <v>437</v>
      </c>
      <c r="BO67" s="86"/>
      <c r="BP67" s="86"/>
      <c r="BQ67" s="86">
        <v>2</v>
      </c>
      <c r="BR67" s="86"/>
      <c r="BS67" s="86" t="s">
        <v>437</v>
      </c>
      <c r="BT67" s="86" t="s">
        <v>437</v>
      </c>
      <c r="BU67" s="86"/>
      <c r="BV67" s="86"/>
      <c r="BW67" s="86"/>
      <c r="BX67" s="86"/>
      <c r="BY67" s="36"/>
      <c r="BZ67" s="36"/>
    </row>
    <row r="68" spans="1:78">
      <c r="A68" s="36" t="s">
        <v>492</v>
      </c>
      <c r="B68" s="36"/>
      <c r="C68" s="6" t="s">
        <v>435</v>
      </c>
      <c r="D68" s="36" t="s">
        <v>55</v>
      </c>
      <c r="E68" s="14" t="s">
        <v>775</v>
      </c>
      <c r="F68" s="86">
        <v>6</v>
      </c>
      <c r="G68" s="86">
        <v>20</v>
      </c>
      <c r="H68" s="64">
        <v>200</v>
      </c>
      <c r="I68" s="31">
        <v>16</v>
      </c>
      <c r="J68" s="86" t="s">
        <v>748</v>
      </c>
      <c r="K68" s="6" t="s">
        <v>746</v>
      </c>
      <c r="L68" s="14">
        <v>2.6</v>
      </c>
      <c r="M68" s="36"/>
      <c r="N68" s="36"/>
      <c r="O68" s="36"/>
      <c r="P68" s="36"/>
      <c r="Q68" s="36"/>
      <c r="R68" s="36"/>
      <c r="S68" s="36"/>
      <c r="T68" s="36"/>
      <c r="U68" s="36"/>
      <c r="V68" s="36"/>
      <c r="W68" s="36"/>
      <c r="X68" s="36"/>
      <c r="Y68" s="36"/>
      <c r="Z68" s="36"/>
      <c r="AA68" s="36"/>
      <c r="AB68" s="36"/>
      <c r="AC68" s="36"/>
      <c r="AD68" s="36"/>
      <c r="AE68" s="36"/>
      <c r="AF68" s="36"/>
      <c r="AG68" s="86">
        <f t="shared" si="2"/>
        <v>400</v>
      </c>
      <c r="AH68" s="86" t="s">
        <v>748</v>
      </c>
      <c r="AI68" s="6" t="s">
        <v>746</v>
      </c>
      <c r="AJ68" s="14" t="s">
        <v>742</v>
      </c>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86">
        <v>2</v>
      </c>
      <c r="BN68" s="86" t="s">
        <v>437</v>
      </c>
      <c r="BO68" s="86"/>
      <c r="BP68" s="86"/>
      <c r="BQ68" s="86">
        <v>2</v>
      </c>
      <c r="BR68" s="86"/>
      <c r="BS68" s="86" t="s">
        <v>437</v>
      </c>
      <c r="BT68" s="86" t="s">
        <v>437</v>
      </c>
      <c r="BU68" s="86"/>
      <c r="BV68" s="86"/>
      <c r="BW68" s="86"/>
      <c r="BX68" s="86"/>
      <c r="BY68" s="36"/>
      <c r="BZ68" s="36"/>
    </row>
    <row r="69" spans="1:78">
      <c r="A69" s="36" t="s">
        <v>493</v>
      </c>
      <c r="B69" s="36"/>
      <c r="C69" s="6" t="s">
        <v>435</v>
      </c>
      <c r="D69" s="36" t="s">
        <v>55</v>
      </c>
      <c r="E69" s="14" t="s">
        <v>775</v>
      </c>
      <c r="F69" s="86">
        <v>6</v>
      </c>
      <c r="G69" s="86">
        <v>20</v>
      </c>
      <c r="H69" s="64">
        <v>200</v>
      </c>
      <c r="I69" s="31">
        <v>16</v>
      </c>
      <c r="J69" s="86" t="s">
        <v>748</v>
      </c>
      <c r="K69" s="6" t="s">
        <v>746</v>
      </c>
      <c r="L69" s="14">
        <v>2.6</v>
      </c>
      <c r="M69" s="36"/>
      <c r="N69" s="36"/>
      <c r="O69" s="36"/>
      <c r="P69" s="36"/>
      <c r="Q69" s="36"/>
      <c r="R69" s="36"/>
      <c r="S69" s="36"/>
      <c r="T69" s="36"/>
      <c r="U69" s="36"/>
      <c r="V69" s="36"/>
      <c r="W69" s="36"/>
      <c r="X69" s="36"/>
      <c r="Y69" s="36"/>
      <c r="Z69" s="36"/>
      <c r="AA69" s="36"/>
      <c r="AB69" s="36"/>
      <c r="AC69" s="36"/>
      <c r="AD69" s="36"/>
      <c r="AE69" s="36"/>
      <c r="AF69" s="36"/>
      <c r="AG69" s="86">
        <f t="shared" si="2"/>
        <v>400</v>
      </c>
      <c r="AH69" s="86" t="s">
        <v>748</v>
      </c>
      <c r="AI69" s="6" t="s">
        <v>746</v>
      </c>
      <c r="AJ69" s="14" t="s">
        <v>742</v>
      </c>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86">
        <v>2</v>
      </c>
      <c r="BN69" s="86" t="s">
        <v>437</v>
      </c>
      <c r="BO69" s="86"/>
      <c r="BP69" s="86"/>
      <c r="BQ69" s="86">
        <v>2</v>
      </c>
      <c r="BR69" s="86"/>
      <c r="BS69" s="86" t="s">
        <v>437</v>
      </c>
      <c r="BT69" s="86" t="s">
        <v>437</v>
      </c>
      <c r="BU69" s="86"/>
      <c r="BV69" s="86"/>
      <c r="BW69" s="86"/>
      <c r="BX69" s="86"/>
      <c r="BY69" s="36"/>
      <c r="BZ69" s="36"/>
    </row>
    <row r="70" spans="1:78">
      <c r="A70" s="36" t="s">
        <v>625</v>
      </c>
      <c r="B70" s="36"/>
      <c r="C70" s="6" t="s">
        <v>435</v>
      </c>
      <c r="D70" s="36" t="s">
        <v>55</v>
      </c>
      <c r="E70" s="14" t="s">
        <v>775</v>
      </c>
      <c r="F70" s="86">
        <v>6</v>
      </c>
      <c r="G70" s="86">
        <v>20</v>
      </c>
      <c r="H70" s="64">
        <v>200</v>
      </c>
      <c r="I70" s="31">
        <v>16</v>
      </c>
      <c r="J70" s="86" t="s">
        <v>748</v>
      </c>
      <c r="K70" s="6" t="s">
        <v>746</v>
      </c>
      <c r="L70" s="14">
        <v>2.6</v>
      </c>
      <c r="M70" s="36"/>
      <c r="N70" s="36"/>
      <c r="O70" s="36"/>
      <c r="P70" s="36"/>
      <c r="Q70" s="36"/>
      <c r="R70" s="36"/>
      <c r="S70" s="36"/>
      <c r="T70" s="36"/>
      <c r="U70" s="36"/>
      <c r="V70" s="36"/>
      <c r="W70" s="36"/>
      <c r="X70" s="36"/>
      <c r="Y70" s="36"/>
      <c r="Z70" s="36"/>
      <c r="AA70" s="36"/>
      <c r="AB70" s="36"/>
      <c r="AC70" s="36"/>
      <c r="AD70" s="36"/>
      <c r="AE70" s="36"/>
      <c r="AF70" s="36"/>
      <c r="AG70" s="86">
        <f t="shared" si="2"/>
        <v>400</v>
      </c>
      <c r="AH70" s="86" t="s">
        <v>748</v>
      </c>
      <c r="AI70" s="6" t="s">
        <v>746</v>
      </c>
      <c r="AJ70" s="14" t="s">
        <v>742</v>
      </c>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86">
        <v>2</v>
      </c>
      <c r="BN70" s="86" t="s">
        <v>437</v>
      </c>
      <c r="BO70" s="86"/>
      <c r="BP70" s="86"/>
      <c r="BQ70" s="86">
        <v>2</v>
      </c>
      <c r="BR70" s="86"/>
      <c r="BS70" s="86" t="s">
        <v>437</v>
      </c>
      <c r="BT70" s="86" t="s">
        <v>437</v>
      </c>
      <c r="BU70" s="86"/>
      <c r="BV70" s="86"/>
      <c r="BW70" s="86"/>
      <c r="BX70" s="86"/>
      <c r="BY70" s="36"/>
      <c r="BZ70" s="36"/>
    </row>
    <row r="71" spans="1:78">
      <c r="A71" s="36" t="s">
        <v>626</v>
      </c>
      <c r="B71" s="36"/>
      <c r="C71" s="6" t="s">
        <v>435</v>
      </c>
      <c r="D71" s="36" t="s">
        <v>55</v>
      </c>
      <c r="E71" s="14" t="s">
        <v>775</v>
      </c>
      <c r="F71" s="86">
        <v>6</v>
      </c>
      <c r="G71" s="86">
        <v>20</v>
      </c>
      <c r="H71" s="64">
        <v>200</v>
      </c>
      <c r="I71" s="31">
        <v>16</v>
      </c>
      <c r="J71" s="86" t="s">
        <v>748</v>
      </c>
      <c r="K71" s="6" t="s">
        <v>746</v>
      </c>
      <c r="L71" s="14">
        <v>2.6</v>
      </c>
      <c r="M71" s="36"/>
      <c r="N71" s="36"/>
      <c r="O71" s="36"/>
      <c r="P71" s="36"/>
      <c r="Q71" s="36"/>
      <c r="R71" s="36"/>
      <c r="S71" s="36"/>
      <c r="T71" s="36"/>
      <c r="U71" s="36"/>
      <c r="V71" s="36"/>
      <c r="W71" s="36"/>
      <c r="X71" s="36"/>
      <c r="Y71" s="36"/>
      <c r="Z71" s="36"/>
      <c r="AA71" s="36"/>
      <c r="AB71" s="36"/>
      <c r="AC71" s="36"/>
      <c r="AD71" s="36"/>
      <c r="AE71" s="36"/>
      <c r="AF71" s="36"/>
      <c r="AG71" s="86">
        <f t="shared" si="2"/>
        <v>400</v>
      </c>
      <c r="AH71" s="86" t="s">
        <v>748</v>
      </c>
      <c r="AI71" s="6" t="s">
        <v>746</v>
      </c>
      <c r="AJ71" s="14" t="s">
        <v>742</v>
      </c>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86">
        <v>2</v>
      </c>
      <c r="BN71" s="86" t="s">
        <v>437</v>
      </c>
      <c r="BO71" s="86"/>
      <c r="BP71" s="86"/>
      <c r="BQ71" s="86">
        <v>2</v>
      </c>
      <c r="BR71" s="86"/>
      <c r="BS71" s="86" t="s">
        <v>437</v>
      </c>
      <c r="BT71" s="86" t="s">
        <v>437</v>
      </c>
      <c r="BU71" s="86"/>
      <c r="BV71" s="86"/>
      <c r="BW71" s="86"/>
      <c r="BX71" s="86"/>
      <c r="BY71" s="36"/>
      <c r="BZ71" s="36"/>
    </row>
    <row r="72" spans="1:78">
      <c r="A72" s="36" t="s">
        <v>494</v>
      </c>
      <c r="B72" s="36"/>
      <c r="C72" s="6" t="s">
        <v>435</v>
      </c>
      <c r="D72" s="36" t="s">
        <v>71</v>
      </c>
      <c r="E72" s="86" t="s">
        <v>776</v>
      </c>
      <c r="F72" s="86">
        <v>4</v>
      </c>
      <c r="G72" s="86">
        <v>4</v>
      </c>
      <c r="H72" s="62">
        <v>40</v>
      </c>
      <c r="I72" s="31">
        <v>4</v>
      </c>
      <c r="J72" s="86" t="s">
        <v>748</v>
      </c>
      <c r="K72" s="6" t="s">
        <v>746</v>
      </c>
      <c r="L72" s="14">
        <v>2.6</v>
      </c>
      <c r="M72" s="36"/>
      <c r="N72" s="36"/>
      <c r="O72" s="36"/>
      <c r="P72" s="36"/>
      <c r="Q72" s="36"/>
      <c r="R72" s="36"/>
      <c r="S72" s="36"/>
      <c r="T72" s="36"/>
      <c r="U72" s="36"/>
      <c r="V72" s="36"/>
      <c r="W72" s="36"/>
      <c r="X72" s="36"/>
      <c r="Y72" s="36"/>
      <c r="Z72" s="36"/>
      <c r="AA72" s="36"/>
      <c r="AB72" s="36"/>
      <c r="AC72" s="36"/>
      <c r="AD72" s="36"/>
      <c r="AE72" s="36"/>
      <c r="AF72" s="36"/>
      <c r="AG72" s="86">
        <f t="shared" si="2"/>
        <v>80</v>
      </c>
      <c r="AH72" s="86" t="s">
        <v>748</v>
      </c>
      <c r="AI72" s="6" t="s">
        <v>746</v>
      </c>
      <c r="AJ72" s="14" t="s">
        <v>742</v>
      </c>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86">
        <v>2</v>
      </c>
      <c r="BN72" s="86" t="s">
        <v>437</v>
      </c>
      <c r="BO72" s="86"/>
      <c r="BP72" s="86"/>
      <c r="BQ72" s="86">
        <v>2</v>
      </c>
      <c r="BR72" s="86"/>
      <c r="BS72" s="86" t="s">
        <v>437</v>
      </c>
      <c r="BT72" s="86" t="s">
        <v>437</v>
      </c>
      <c r="BU72" s="86"/>
      <c r="BV72" s="86"/>
      <c r="BW72" s="86"/>
      <c r="BX72" s="86"/>
      <c r="BY72" s="36"/>
      <c r="BZ72" s="36"/>
    </row>
    <row r="73" spans="1:78">
      <c r="A73" s="36" t="s">
        <v>495</v>
      </c>
      <c r="B73" s="36"/>
      <c r="C73" s="6" t="s">
        <v>435</v>
      </c>
      <c r="D73" s="36" t="s">
        <v>63</v>
      </c>
      <c r="E73" s="86" t="s">
        <v>776</v>
      </c>
      <c r="F73" s="86">
        <v>4</v>
      </c>
      <c r="G73" s="86">
        <v>4</v>
      </c>
      <c r="H73" s="62">
        <v>30</v>
      </c>
      <c r="I73" s="31">
        <v>4</v>
      </c>
      <c r="J73" s="86" t="s">
        <v>748</v>
      </c>
      <c r="K73" s="6" t="s">
        <v>746</v>
      </c>
      <c r="L73" s="14">
        <v>2.6</v>
      </c>
      <c r="M73" s="36"/>
      <c r="N73" s="36"/>
      <c r="O73" s="36"/>
      <c r="P73" s="36"/>
      <c r="Q73" s="36"/>
      <c r="R73" s="36"/>
      <c r="S73" s="36"/>
      <c r="T73" s="36"/>
      <c r="U73" s="36"/>
      <c r="V73" s="36"/>
      <c r="W73" s="36"/>
      <c r="X73" s="36"/>
      <c r="Y73" s="36"/>
      <c r="Z73" s="36"/>
      <c r="AA73" s="36"/>
      <c r="AB73" s="36"/>
      <c r="AC73" s="36"/>
      <c r="AD73" s="36"/>
      <c r="AE73" s="36"/>
      <c r="AF73" s="36"/>
      <c r="AG73" s="86">
        <f t="shared" si="2"/>
        <v>60</v>
      </c>
      <c r="AH73" s="86" t="s">
        <v>748</v>
      </c>
      <c r="AI73" s="6" t="s">
        <v>746</v>
      </c>
      <c r="AJ73" s="14" t="s">
        <v>742</v>
      </c>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86">
        <v>2</v>
      </c>
      <c r="BN73" s="86" t="s">
        <v>437</v>
      </c>
      <c r="BO73" s="86"/>
      <c r="BP73" s="86"/>
      <c r="BQ73" s="86">
        <v>2</v>
      </c>
      <c r="BR73" s="86"/>
      <c r="BS73" s="86" t="s">
        <v>437</v>
      </c>
      <c r="BT73" s="86" t="s">
        <v>437</v>
      </c>
      <c r="BU73" s="86"/>
      <c r="BV73" s="86"/>
      <c r="BW73" s="86"/>
      <c r="BX73" s="86"/>
      <c r="BY73" s="36"/>
      <c r="BZ73" s="36"/>
    </row>
    <row r="74" spans="1:78">
      <c r="A74" s="36" t="s">
        <v>496</v>
      </c>
      <c r="B74" s="36"/>
      <c r="C74" s="6" t="s">
        <v>435</v>
      </c>
      <c r="D74" s="36" t="s">
        <v>67</v>
      </c>
      <c r="E74" s="86" t="s">
        <v>776</v>
      </c>
      <c r="F74" s="86">
        <v>4</v>
      </c>
      <c r="G74" s="86">
        <v>4</v>
      </c>
      <c r="H74" s="62">
        <v>35</v>
      </c>
      <c r="I74" s="31">
        <v>4</v>
      </c>
      <c r="J74" s="86" t="s">
        <v>748</v>
      </c>
      <c r="K74" s="6" t="s">
        <v>746</v>
      </c>
      <c r="L74" s="14">
        <v>2.6</v>
      </c>
      <c r="M74" s="36"/>
      <c r="N74" s="36"/>
      <c r="O74" s="36"/>
      <c r="P74" s="36"/>
      <c r="Q74" s="36"/>
      <c r="R74" s="36"/>
      <c r="S74" s="36"/>
      <c r="T74" s="36"/>
      <c r="U74" s="36"/>
      <c r="V74" s="36"/>
      <c r="W74" s="36"/>
      <c r="X74" s="36"/>
      <c r="Y74" s="36"/>
      <c r="Z74" s="36"/>
      <c r="AA74" s="36"/>
      <c r="AB74" s="36"/>
      <c r="AC74" s="36"/>
      <c r="AD74" s="36"/>
      <c r="AE74" s="36"/>
      <c r="AF74" s="36"/>
      <c r="AG74" s="86">
        <f t="shared" si="2"/>
        <v>70</v>
      </c>
      <c r="AH74" s="86" t="s">
        <v>748</v>
      </c>
      <c r="AI74" s="6" t="s">
        <v>746</v>
      </c>
      <c r="AJ74" s="14" t="s">
        <v>742</v>
      </c>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86">
        <v>2</v>
      </c>
      <c r="BN74" s="86" t="s">
        <v>437</v>
      </c>
      <c r="BO74" s="86"/>
      <c r="BP74" s="86"/>
      <c r="BQ74" s="86">
        <v>2</v>
      </c>
      <c r="BR74" s="86"/>
      <c r="BS74" s="86" t="s">
        <v>437</v>
      </c>
      <c r="BT74" s="86" t="s">
        <v>437</v>
      </c>
      <c r="BU74" s="86"/>
      <c r="BV74" s="86"/>
      <c r="BW74" s="86"/>
      <c r="BX74" s="86"/>
      <c r="BY74" s="36"/>
      <c r="BZ74" s="36"/>
    </row>
    <row r="75" spans="1:78" ht="14.45">
      <c r="A75" s="36" t="s">
        <v>497</v>
      </c>
      <c r="B75" s="36"/>
      <c r="C75" s="6" t="s">
        <v>435</v>
      </c>
      <c r="D75" s="36" t="s">
        <v>276</v>
      </c>
      <c r="E75" s="86" t="s">
        <v>777</v>
      </c>
      <c r="F75" s="86">
        <v>7</v>
      </c>
      <c r="G75" s="86">
        <v>8</v>
      </c>
      <c r="H75" s="64">
        <v>110</v>
      </c>
      <c r="I75" s="31">
        <v>4</v>
      </c>
      <c r="J75" s="86" t="s">
        <v>748</v>
      </c>
      <c r="K75" s="6" t="s">
        <v>746</v>
      </c>
      <c r="L75" s="14">
        <v>2.6</v>
      </c>
      <c r="M75" s="86"/>
      <c r="N75" s="86"/>
      <c r="O75" s="86"/>
      <c r="P75" s="86"/>
      <c r="Q75" s="45"/>
      <c r="R75" s="45"/>
      <c r="S75" s="45"/>
      <c r="T75" s="45"/>
      <c r="U75" s="86"/>
      <c r="V75" s="86"/>
      <c r="W75" s="86"/>
      <c r="X75" s="86"/>
      <c r="Y75" s="86"/>
      <c r="Z75" s="86"/>
      <c r="AA75" s="86"/>
      <c r="AB75" s="86"/>
      <c r="AC75" s="86"/>
      <c r="AD75" s="86"/>
      <c r="AE75" s="86"/>
      <c r="AF75" s="86"/>
      <c r="AG75" s="86">
        <f t="shared" si="2"/>
        <v>220</v>
      </c>
      <c r="AH75" s="86" t="s">
        <v>748</v>
      </c>
      <c r="AI75" s="6" t="s">
        <v>746</v>
      </c>
      <c r="AJ75" s="14" t="s">
        <v>742</v>
      </c>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v>2</v>
      </c>
      <c r="BN75" s="86" t="s">
        <v>437</v>
      </c>
      <c r="BO75" s="86" t="s">
        <v>437</v>
      </c>
      <c r="BP75" s="86"/>
      <c r="BQ75" s="86">
        <v>2</v>
      </c>
      <c r="BR75" s="86"/>
      <c r="BS75" s="86" t="s">
        <v>437</v>
      </c>
      <c r="BT75" s="86" t="s">
        <v>437</v>
      </c>
      <c r="BU75" s="86"/>
      <c r="BV75" s="86"/>
      <c r="BW75" s="86"/>
      <c r="BX75" s="86"/>
      <c r="BY75" s="36"/>
      <c r="BZ75" s="36"/>
    </row>
    <row r="76" spans="1:78" ht="14.45">
      <c r="A76" s="36" t="s">
        <v>650</v>
      </c>
      <c r="B76" s="36"/>
      <c r="C76" s="6" t="s">
        <v>435</v>
      </c>
      <c r="D76" s="36" t="s">
        <v>276</v>
      </c>
      <c r="E76" s="86" t="s">
        <v>777</v>
      </c>
      <c r="F76" s="86">
        <v>7</v>
      </c>
      <c r="G76" s="86">
        <v>8</v>
      </c>
      <c r="H76" s="64">
        <v>110</v>
      </c>
      <c r="I76" s="31">
        <v>4</v>
      </c>
      <c r="J76" s="86" t="s">
        <v>748</v>
      </c>
      <c r="K76" s="6" t="s">
        <v>746</v>
      </c>
      <c r="L76" s="14">
        <v>2.6</v>
      </c>
      <c r="M76" s="86"/>
      <c r="N76" s="86"/>
      <c r="O76" s="86"/>
      <c r="P76" s="86"/>
      <c r="Q76" s="45"/>
      <c r="R76" s="45"/>
      <c r="S76" s="45"/>
      <c r="T76" s="45"/>
      <c r="U76" s="86"/>
      <c r="V76" s="86"/>
      <c r="W76" s="86"/>
      <c r="X76" s="86"/>
      <c r="Y76" s="86"/>
      <c r="Z76" s="86"/>
      <c r="AA76" s="86"/>
      <c r="AB76" s="86"/>
      <c r="AC76" s="86"/>
      <c r="AD76" s="86"/>
      <c r="AE76" s="86"/>
      <c r="AF76" s="86"/>
      <c r="AG76" s="86">
        <f t="shared" si="2"/>
        <v>220</v>
      </c>
      <c r="AH76" s="86" t="s">
        <v>748</v>
      </c>
      <c r="AI76" s="6" t="s">
        <v>746</v>
      </c>
      <c r="AJ76" s="14" t="s">
        <v>742</v>
      </c>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v>2</v>
      </c>
      <c r="BN76" s="86" t="s">
        <v>437</v>
      </c>
      <c r="BO76" s="86"/>
      <c r="BP76" s="86"/>
      <c r="BQ76" s="86">
        <v>2</v>
      </c>
      <c r="BR76" s="86"/>
      <c r="BS76" s="86" t="s">
        <v>437</v>
      </c>
      <c r="BT76" s="86" t="s">
        <v>437</v>
      </c>
      <c r="BU76" s="86"/>
      <c r="BV76" s="86"/>
      <c r="BW76" s="86"/>
      <c r="BX76" s="86"/>
      <c r="BY76" s="36"/>
      <c r="BZ76" s="36"/>
    </row>
    <row r="77" spans="1:78" ht="14.45">
      <c r="A77" s="6" t="s">
        <v>542</v>
      </c>
      <c r="C77" s="6" t="s">
        <v>435</v>
      </c>
      <c r="D77" s="6" t="s">
        <v>90</v>
      </c>
      <c r="E77" s="14" t="s">
        <v>778</v>
      </c>
      <c r="F77" s="14">
        <v>2</v>
      </c>
      <c r="G77" s="14">
        <v>2</v>
      </c>
      <c r="H77" s="64">
        <v>15</v>
      </c>
      <c r="I77" s="31">
        <v>4</v>
      </c>
      <c r="J77" s="14" t="s">
        <v>748</v>
      </c>
      <c r="K77" s="6" t="s">
        <v>746</v>
      </c>
      <c r="L77" s="14">
        <v>2.6</v>
      </c>
      <c r="M77" s="14"/>
      <c r="N77" s="14"/>
      <c r="O77" s="14"/>
      <c r="P77" s="14"/>
      <c r="Q77" s="2"/>
      <c r="R77" s="2"/>
      <c r="S77" s="2"/>
      <c r="T77" s="2"/>
      <c r="U77" s="14"/>
      <c r="V77" s="14"/>
      <c r="W77" s="14"/>
      <c r="X77" s="14"/>
      <c r="Y77" s="14"/>
      <c r="Z77" s="14"/>
      <c r="AA77" s="14"/>
      <c r="AB77" s="14"/>
      <c r="AC77" s="14"/>
      <c r="AD77" s="14"/>
      <c r="AE77" s="14"/>
      <c r="AF77" s="14"/>
      <c r="AG77" s="62">
        <f t="shared" si="2"/>
        <v>30</v>
      </c>
      <c r="AH77" s="14" t="s">
        <v>748</v>
      </c>
      <c r="AI77" s="6" t="s">
        <v>746</v>
      </c>
      <c r="AJ77" s="14" t="s">
        <v>742</v>
      </c>
      <c r="BM77" s="14">
        <v>2</v>
      </c>
      <c r="BN77" s="14" t="s">
        <v>437</v>
      </c>
      <c r="BO77" s="14"/>
      <c r="BP77" s="14"/>
      <c r="BQ77" s="14">
        <v>2</v>
      </c>
      <c r="BR77" s="14"/>
      <c r="BS77" s="14" t="s">
        <v>437</v>
      </c>
      <c r="BT77" s="14" t="s">
        <v>437</v>
      </c>
      <c r="BU77" s="14"/>
      <c r="BV77" s="14"/>
      <c r="BW77" s="14"/>
      <c r="BY77" s="36"/>
      <c r="BZ77" s="36"/>
    </row>
    <row r="78" spans="1:78" ht="14.45">
      <c r="A78" s="6" t="s">
        <v>543</v>
      </c>
      <c r="C78" s="6" t="s">
        <v>435</v>
      </c>
      <c r="D78" s="6" t="s">
        <v>90</v>
      </c>
      <c r="E78" s="14" t="s">
        <v>778</v>
      </c>
      <c r="F78" s="14">
        <v>2</v>
      </c>
      <c r="G78" s="14">
        <v>2</v>
      </c>
      <c r="H78" s="64">
        <v>15</v>
      </c>
      <c r="I78" s="31">
        <v>4</v>
      </c>
      <c r="J78" s="14" t="s">
        <v>748</v>
      </c>
      <c r="K78" s="6" t="s">
        <v>746</v>
      </c>
      <c r="L78" s="14">
        <v>2.6</v>
      </c>
      <c r="M78" s="14"/>
      <c r="N78" s="14"/>
      <c r="O78" s="14"/>
      <c r="P78" s="14"/>
      <c r="Q78" s="2"/>
      <c r="R78" s="2"/>
      <c r="S78" s="2"/>
      <c r="T78" s="2"/>
      <c r="U78" s="14"/>
      <c r="V78" s="14"/>
      <c r="W78" s="14"/>
      <c r="X78" s="14"/>
      <c r="Y78" s="14"/>
      <c r="Z78" s="14"/>
      <c r="AA78" s="14"/>
      <c r="AB78" s="14"/>
      <c r="AC78" s="14"/>
      <c r="AD78" s="14"/>
      <c r="AE78" s="14"/>
      <c r="AF78" s="14"/>
      <c r="AG78" s="62">
        <f t="shared" si="2"/>
        <v>30</v>
      </c>
      <c r="AH78" s="14" t="s">
        <v>748</v>
      </c>
      <c r="AI78" s="6" t="s">
        <v>746</v>
      </c>
      <c r="AJ78" s="14" t="s">
        <v>742</v>
      </c>
      <c r="BM78" s="14">
        <v>2</v>
      </c>
      <c r="BN78" s="14" t="s">
        <v>437</v>
      </c>
      <c r="BO78" s="14"/>
      <c r="BP78" s="14"/>
      <c r="BQ78" s="14">
        <v>2</v>
      </c>
      <c r="BR78" s="14"/>
      <c r="BS78" s="14" t="s">
        <v>437</v>
      </c>
      <c r="BT78" s="14" t="s">
        <v>437</v>
      </c>
      <c r="BU78" s="14"/>
      <c r="BV78" s="14"/>
      <c r="BW78" s="14"/>
      <c r="BY78" s="36"/>
      <c r="BZ78" s="36"/>
    </row>
    <row r="79" spans="1:78" ht="14.45">
      <c r="A79" s="6" t="s">
        <v>544</v>
      </c>
      <c r="C79" s="6" t="s">
        <v>435</v>
      </c>
      <c r="D79" s="6" t="s">
        <v>94</v>
      </c>
      <c r="E79" s="14" t="s">
        <v>794</v>
      </c>
      <c r="F79" s="14">
        <v>6</v>
      </c>
      <c r="G79" s="14">
        <v>5</v>
      </c>
      <c r="H79" s="64">
        <v>40</v>
      </c>
      <c r="I79" s="31">
        <v>4</v>
      </c>
      <c r="J79" s="14" t="s">
        <v>748</v>
      </c>
      <c r="K79" s="6" t="s">
        <v>746</v>
      </c>
      <c r="L79" s="14">
        <v>2.6</v>
      </c>
      <c r="M79" s="14"/>
      <c r="N79" s="14"/>
      <c r="O79" s="14"/>
      <c r="P79" s="14"/>
      <c r="Q79" s="2"/>
      <c r="R79" s="2"/>
      <c r="S79" s="2"/>
      <c r="T79" s="2"/>
      <c r="U79" s="14"/>
      <c r="V79" s="14"/>
      <c r="W79" s="14"/>
      <c r="X79" s="14"/>
      <c r="Y79" s="14"/>
      <c r="Z79" s="14"/>
      <c r="AA79" s="14"/>
      <c r="AB79" s="14"/>
      <c r="AC79" s="14"/>
      <c r="AD79" s="14"/>
      <c r="AE79" s="14"/>
      <c r="AF79" s="14"/>
      <c r="AG79" s="62">
        <f t="shared" si="2"/>
        <v>80</v>
      </c>
      <c r="AH79" s="14" t="s">
        <v>748</v>
      </c>
      <c r="AI79" s="6" t="s">
        <v>746</v>
      </c>
      <c r="AJ79" s="14" t="s">
        <v>742</v>
      </c>
      <c r="BM79" s="14">
        <v>2</v>
      </c>
      <c r="BN79" s="14" t="s">
        <v>437</v>
      </c>
      <c r="BO79" s="14"/>
      <c r="BP79" s="14"/>
      <c r="BQ79" s="14">
        <v>2</v>
      </c>
      <c r="BR79" s="14"/>
      <c r="BS79" s="14" t="s">
        <v>437</v>
      </c>
      <c r="BT79" s="14" t="s">
        <v>437</v>
      </c>
      <c r="BU79" s="14"/>
      <c r="BV79" s="14"/>
      <c r="BW79" s="14"/>
      <c r="BY79" s="36"/>
      <c r="BZ79" s="36"/>
    </row>
    <row r="80" spans="1:78" ht="14.45">
      <c r="A80" s="6" t="s">
        <v>545</v>
      </c>
      <c r="C80" s="6" t="s">
        <v>435</v>
      </c>
      <c r="D80" s="6" t="s">
        <v>98</v>
      </c>
      <c r="E80" s="14" t="s">
        <v>780</v>
      </c>
      <c r="F80" s="14">
        <v>2</v>
      </c>
      <c r="G80" s="14">
        <v>2</v>
      </c>
      <c r="H80" s="64">
        <v>30</v>
      </c>
      <c r="I80" s="31">
        <v>4</v>
      </c>
      <c r="J80" s="14" t="s">
        <v>748</v>
      </c>
      <c r="K80" s="6" t="s">
        <v>746</v>
      </c>
      <c r="L80" s="14">
        <v>2.6</v>
      </c>
      <c r="M80" s="14"/>
      <c r="N80" s="14"/>
      <c r="O80" s="14"/>
      <c r="P80" s="14"/>
      <c r="Q80" s="2"/>
      <c r="R80" s="2"/>
      <c r="S80" s="2"/>
      <c r="T80" s="2"/>
      <c r="U80" s="14"/>
      <c r="V80" s="14"/>
      <c r="W80" s="14"/>
      <c r="X80" s="14"/>
      <c r="Y80" s="14"/>
      <c r="Z80" s="14"/>
      <c r="AA80" s="14"/>
      <c r="AB80" s="14"/>
      <c r="AC80" s="14"/>
      <c r="AD80" s="14"/>
      <c r="AE80" s="14"/>
      <c r="AF80" s="14"/>
      <c r="AG80" s="62">
        <f t="shared" si="2"/>
        <v>60</v>
      </c>
      <c r="AH80" s="14" t="s">
        <v>748</v>
      </c>
      <c r="AI80" s="6" t="s">
        <v>746</v>
      </c>
      <c r="AJ80" s="14" t="s">
        <v>742</v>
      </c>
      <c r="BM80" s="14">
        <v>2</v>
      </c>
      <c r="BN80" s="14" t="s">
        <v>437</v>
      </c>
      <c r="BO80" s="14"/>
      <c r="BP80" s="14"/>
      <c r="BQ80" s="14">
        <v>2</v>
      </c>
      <c r="BR80" s="14"/>
      <c r="BS80" s="14" t="s">
        <v>437</v>
      </c>
      <c r="BT80" s="14" t="s">
        <v>437</v>
      </c>
      <c r="BU80" s="14"/>
      <c r="BV80" s="14"/>
      <c r="BW80" s="14"/>
      <c r="BY80" s="36"/>
      <c r="BZ80" s="36"/>
    </row>
    <row r="81" spans="1:78" s="19" customFormat="1" ht="14.45">
      <c r="A81" s="19" t="s">
        <v>551</v>
      </c>
      <c r="C81" s="19" t="s">
        <v>435</v>
      </c>
      <c r="D81" s="19" t="s">
        <v>122</v>
      </c>
      <c r="E81" s="17" t="s">
        <v>781</v>
      </c>
      <c r="F81" s="17">
        <v>2</v>
      </c>
      <c r="G81" s="17">
        <v>10</v>
      </c>
      <c r="H81" s="65">
        <v>60</v>
      </c>
      <c r="I81" s="80">
        <v>16</v>
      </c>
      <c r="J81" s="17" t="s">
        <v>748</v>
      </c>
      <c r="K81" s="19" t="s">
        <v>746</v>
      </c>
      <c r="L81" s="17">
        <v>2.6</v>
      </c>
      <c r="M81" s="17"/>
      <c r="N81" s="17"/>
      <c r="O81" s="17"/>
      <c r="P81" s="17"/>
      <c r="Q81" s="99"/>
      <c r="R81" s="99"/>
      <c r="S81" s="99"/>
      <c r="T81" s="99"/>
      <c r="U81" s="17"/>
      <c r="V81" s="17"/>
      <c r="W81" s="17"/>
      <c r="X81" s="17"/>
      <c r="Y81" s="17"/>
      <c r="Z81" s="17"/>
      <c r="AA81" s="17"/>
      <c r="AB81" s="17"/>
      <c r="AC81" s="17"/>
      <c r="AD81" s="17"/>
      <c r="AE81" s="17"/>
      <c r="AF81" s="17"/>
      <c r="AG81" s="68">
        <f t="shared" si="2"/>
        <v>120</v>
      </c>
      <c r="AH81" s="17" t="s">
        <v>748</v>
      </c>
      <c r="AI81" s="19" t="s">
        <v>746</v>
      </c>
      <c r="AJ81" s="17" t="s">
        <v>742</v>
      </c>
      <c r="BM81" s="17">
        <v>2</v>
      </c>
      <c r="BN81" s="17" t="s">
        <v>437</v>
      </c>
      <c r="BO81" s="17"/>
      <c r="BP81" s="17"/>
      <c r="BQ81" s="17">
        <v>2</v>
      </c>
      <c r="BR81" s="17"/>
      <c r="BS81" s="17" t="s">
        <v>437</v>
      </c>
      <c r="BT81" s="17" t="s">
        <v>437</v>
      </c>
      <c r="BU81" s="17"/>
      <c r="BV81" s="17"/>
      <c r="BW81" s="17"/>
      <c r="BY81" s="46"/>
      <c r="BZ81" s="46"/>
    </row>
    <row r="82" spans="1:78">
      <c r="A82" s="36"/>
      <c r="B82" s="36"/>
      <c r="C82" s="36"/>
      <c r="D82" s="36"/>
      <c r="E82" s="14"/>
      <c r="F82" s="86">
        <f>SUM(F57:F81)+F53</f>
        <v>397</v>
      </c>
      <c r="G82" s="86">
        <f>SUM(G57:G81)+G53</f>
        <v>1135</v>
      </c>
      <c r="H82" s="86">
        <f>SUM(H57:H81)+H53</f>
        <v>5973</v>
      </c>
      <c r="I82" s="135"/>
      <c r="J82" s="86"/>
      <c r="K82" s="86"/>
      <c r="L82" s="86">
        <f>SUM(L57:L81)+L53</f>
        <v>1527.9999999999989</v>
      </c>
      <c r="M82" s="86">
        <f>SUM(M57:M81)+M53</f>
        <v>460</v>
      </c>
      <c r="N82" s="86"/>
      <c r="O82" s="86"/>
      <c r="P82" s="86">
        <f>SUM(P57:P81)+P53</f>
        <v>0.05</v>
      </c>
      <c r="Q82" s="86">
        <f>SUM(Q57:Q81)+Q53</f>
        <v>8100</v>
      </c>
      <c r="R82" s="86"/>
      <c r="S82" s="86"/>
      <c r="T82" s="86">
        <f>SUM(T57:T81)+T53</f>
        <v>0.05</v>
      </c>
      <c r="U82" s="86">
        <f>SUM(U57:U81)+U53</f>
        <v>12150</v>
      </c>
      <c r="V82" s="86"/>
      <c r="W82" s="86"/>
      <c r="X82" s="86">
        <f>SUM(X57:X81)+X53</f>
        <v>0.05</v>
      </c>
      <c r="Y82" s="86">
        <f>SUM(Y57:Y81)+Y53</f>
        <v>954.99</v>
      </c>
      <c r="Z82" s="86"/>
      <c r="AA82" s="86"/>
      <c r="AB82" s="86">
        <f>SUM(AB57:AB81)+AB53</f>
        <v>0.1</v>
      </c>
      <c r="AC82" s="86">
        <f>SUM(AC57:AC81)+AC53</f>
        <v>270</v>
      </c>
      <c r="AD82" s="86"/>
      <c r="AE82" s="86"/>
      <c r="AF82" s="86">
        <f>SUM(AF57:AF81)+AF53</f>
        <v>0</v>
      </c>
      <c r="AG82" s="86">
        <f>SUM(AG57:AG81)+AG53</f>
        <v>41970</v>
      </c>
      <c r="AH82" s="86"/>
      <c r="AI82" s="86"/>
      <c r="AJ82" s="86"/>
      <c r="AK82" s="86">
        <f>SUM(AK57:AK81)+AK53</f>
        <v>180</v>
      </c>
      <c r="AL82" s="86"/>
      <c r="AM82" s="86"/>
      <c r="AN82" s="86">
        <f>SUM(AN57:AN81)+AN53</f>
        <v>0.2</v>
      </c>
      <c r="AO82" s="86">
        <f>SUM(AO57:AO81)+AO53</f>
        <v>50</v>
      </c>
      <c r="AP82" s="86"/>
      <c r="AQ82" s="86"/>
      <c r="AR82" s="86">
        <f>SUM(AR57:AR81)+AR53</f>
        <v>0.05</v>
      </c>
      <c r="AS82" s="86">
        <f>SUM(AS57:AS81)+AS53</f>
        <v>200</v>
      </c>
      <c r="AT82" s="86"/>
      <c r="AU82" s="86"/>
      <c r="AV82" s="86">
        <f>SUM(AV57:AV81)+AV53</f>
        <v>0.1</v>
      </c>
      <c r="AW82" s="86">
        <f>SUM(AW57:AW81)+AW53</f>
        <v>150</v>
      </c>
      <c r="AX82" s="86"/>
      <c r="AY82" s="86"/>
      <c r="AZ82" s="86">
        <f>SUM(AZ57:AZ81)+AZ53</f>
        <v>0.05</v>
      </c>
      <c r="BA82" s="86">
        <f>SUM(BA57:BA81)+BA53</f>
        <v>360</v>
      </c>
      <c r="BB82" s="86"/>
      <c r="BC82" s="86"/>
      <c r="BD82" s="86">
        <f>SUM(BD57:BD81)+BD53</f>
        <v>0.15000000000000002</v>
      </c>
      <c r="BE82" s="86">
        <f>SUM(BE57:BE81)+BE53</f>
        <v>6144</v>
      </c>
      <c r="BF82" s="86"/>
      <c r="BG82" s="86"/>
      <c r="BH82" s="86">
        <f>SUM(BH57:BH81)+BH53</f>
        <v>0.05</v>
      </c>
      <c r="BI82" s="86"/>
      <c r="BJ82" s="86"/>
      <c r="BK82" s="86"/>
      <c r="BL82" s="86"/>
      <c r="BM82" s="86">
        <f>BM53+SUM(BM57:BM81)</f>
        <v>170</v>
      </c>
      <c r="BN82" s="86">
        <f>BN53+COUNTIF(BN57:BN81,"x")</f>
        <v>63</v>
      </c>
      <c r="BO82" s="86">
        <f>BO53+COUNTIF(BO57:BO81,"x")</f>
        <v>3</v>
      </c>
      <c r="BP82" s="86">
        <f>BP53+COUNTIF(BP57:BP81,"x")</f>
        <v>1</v>
      </c>
      <c r="BQ82" s="86">
        <f>BQ53+SUM(BQ57:BQ81)</f>
        <v>128</v>
      </c>
      <c r="BR82" s="86">
        <f>BR53+COUNTIF(BR57:BR81,"x")</f>
        <v>1</v>
      </c>
      <c r="BS82" s="86">
        <f>BS53+COUNTIF(BS57:BS81,"x")</f>
        <v>28</v>
      </c>
      <c r="BT82" s="86">
        <f>BT53+COUNTIF(BT57:BT81,"x")</f>
        <v>63</v>
      </c>
      <c r="BU82" s="14" t="s">
        <v>769</v>
      </c>
      <c r="BV82" s="14">
        <v>2</v>
      </c>
      <c r="BW82" s="14">
        <v>4</v>
      </c>
      <c r="BX82" s="14">
        <v>2</v>
      </c>
      <c r="BY82" s="36"/>
      <c r="BZ82" s="36"/>
    </row>
    <row r="83" spans="1:78" ht="14.45">
      <c r="A83" s="36"/>
      <c r="B83" s="36"/>
      <c r="C83" s="36"/>
      <c r="D83" s="36"/>
      <c r="E83" s="2"/>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86"/>
      <c r="BN83" s="36"/>
      <c r="BO83" s="36"/>
      <c r="BP83" s="36"/>
      <c r="BQ83" s="36"/>
      <c r="BR83" s="36"/>
      <c r="BS83" s="36"/>
      <c r="BT83" s="36"/>
      <c r="BU83" s="36"/>
      <c r="BV83" s="36"/>
      <c r="BW83" s="36"/>
      <c r="BX83" s="36"/>
      <c r="BY83" s="36"/>
      <c r="BZ83" s="36"/>
    </row>
    <row r="84" spans="1:78" ht="14.45">
      <c r="A84" s="16" t="s">
        <v>782</v>
      </c>
      <c r="B84" s="36"/>
      <c r="C84" s="36"/>
      <c r="D84" s="36"/>
      <c r="E84" s="2"/>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86"/>
      <c r="BN84" s="36"/>
      <c r="BO84" s="36"/>
      <c r="BP84" s="36"/>
      <c r="BQ84" s="36"/>
      <c r="BR84" s="36"/>
      <c r="BS84" s="36"/>
      <c r="BT84" s="36"/>
      <c r="BU84" s="36"/>
      <c r="BV84" s="36"/>
      <c r="BW84" s="36"/>
      <c r="BX84" s="36"/>
      <c r="BY84" s="36"/>
      <c r="BZ84" s="36"/>
    </row>
    <row r="85" spans="1:78" ht="14.45">
      <c r="A85" s="36"/>
      <c r="B85" s="36"/>
      <c r="C85" s="36"/>
      <c r="D85" s="36"/>
      <c r="E85" s="2"/>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86"/>
      <c r="BN85" s="36"/>
      <c r="BO85" s="36"/>
      <c r="BP85" s="36"/>
      <c r="BQ85" s="36"/>
      <c r="BR85" s="36"/>
      <c r="BS85" s="86" t="s">
        <v>437</v>
      </c>
      <c r="BT85" s="86" t="s">
        <v>437</v>
      </c>
      <c r="BU85" s="36"/>
      <c r="BV85" s="36"/>
      <c r="BW85" s="36"/>
      <c r="BX85" s="36"/>
      <c r="BY85" s="36"/>
      <c r="BZ85" s="36"/>
    </row>
    <row r="86" spans="1:78">
      <c r="A86" s="6" t="s">
        <v>560</v>
      </c>
      <c r="C86" s="6" t="s">
        <v>584</v>
      </c>
      <c r="D86" s="6" t="s">
        <v>42</v>
      </c>
      <c r="E86" s="14" t="s">
        <v>783</v>
      </c>
      <c r="F86" s="14">
        <v>2</v>
      </c>
      <c r="G86" s="14">
        <v>4</v>
      </c>
      <c r="H86" s="64">
        <v>70</v>
      </c>
      <c r="I86" s="31">
        <v>4</v>
      </c>
      <c r="J86" s="14" t="s">
        <v>748</v>
      </c>
      <c r="K86" s="6" t="s">
        <v>746</v>
      </c>
      <c r="L86" s="14">
        <v>2.6</v>
      </c>
      <c r="M86" s="14"/>
      <c r="N86" s="14"/>
      <c r="O86" s="14"/>
      <c r="P86" s="14"/>
      <c r="Q86" s="14"/>
      <c r="R86" s="14"/>
      <c r="S86" s="14"/>
      <c r="T86" s="14"/>
      <c r="U86" s="14"/>
      <c r="V86" s="14"/>
      <c r="W86" s="14"/>
      <c r="X86" s="14"/>
      <c r="Y86" s="14"/>
      <c r="Z86" s="14"/>
      <c r="AA86" s="14"/>
      <c r="AB86" s="86"/>
      <c r="AC86" s="86"/>
      <c r="AD86" s="86"/>
      <c r="AE86" s="86"/>
      <c r="AF86" s="86"/>
      <c r="AG86" s="86">
        <f>2*H86</f>
        <v>140</v>
      </c>
      <c r="AH86" s="86" t="s">
        <v>748</v>
      </c>
      <c r="AI86" s="6" t="s">
        <v>746</v>
      </c>
      <c r="AJ86" s="14" t="s">
        <v>742</v>
      </c>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v>2</v>
      </c>
      <c r="BN86" s="86" t="s">
        <v>437</v>
      </c>
      <c r="BO86" s="86"/>
      <c r="BP86" s="86"/>
      <c r="BQ86" s="86">
        <v>2</v>
      </c>
      <c r="BR86" s="86"/>
      <c r="BS86" s="86" t="s">
        <v>437</v>
      </c>
      <c r="BT86" s="86" t="s">
        <v>437</v>
      </c>
      <c r="BU86" s="86"/>
      <c r="BV86" s="86"/>
      <c r="BW86" s="86"/>
      <c r="BX86" s="86"/>
      <c r="BY86" s="36"/>
      <c r="BZ86" s="36"/>
    </row>
    <row r="87" spans="1:78">
      <c r="A87" s="6" t="s">
        <v>565</v>
      </c>
      <c r="C87" s="6" t="s">
        <v>584</v>
      </c>
      <c r="D87" s="6" t="s">
        <v>566</v>
      </c>
      <c r="E87" s="14" t="s">
        <v>784</v>
      </c>
      <c r="F87" s="14">
        <v>6</v>
      </c>
      <c r="G87" s="14">
        <v>10</v>
      </c>
      <c r="H87" s="62">
        <v>100</v>
      </c>
      <c r="I87" s="31">
        <v>16</v>
      </c>
      <c r="J87" s="14" t="s">
        <v>748</v>
      </c>
      <c r="K87" s="6" t="s">
        <v>746</v>
      </c>
      <c r="L87" s="14">
        <v>2.6</v>
      </c>
      <c r="M87" s="14"/>
      <c r="N87" s="14"/>
      <c r="O87" s="14"/>
      <c r="P87" s="14"/>
      <c r="Q87" s="86">
        <v>200</v>
      </c>
      <c r="R87" s="86" t="s">
        <v>748</v>
      </c>
      <c r="S87" s="6" t="s">
        <v>746</v>
      </c>
      <c r="T87" s="86" t="s">
        <v>742</v>
      </c>
      <c r="U87" s="86"/>
      <c r="V87" s="86"/>
      <c r="W87" s="86"/>
      <c r="X87" s="86"/>
      <c r="AB87" s="86" t="s">
        <v>742</v>
      </c>
      <c r="AC87" s="86"/>
      <c r="AD87" s="86"/>
      <c r="AE87" s="86"/>
      <c r="AF87" s="86"/>
      <c r="AG87" s="86">
        <f>2*H87+Q87*2</f>
        <v>600</v>
      </c>
      <c r="AH87" s="86" t="s">
        <v>748</v>
      </c>
      <c r="AI87" s="6" t="s">
        <v>746</v>
      </c>
      <c r="AJ87" s="14" t="s">
        <v>742</v>
      </c>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v>3</v>
      </c>
      <c r="BN87" s="86" t="s">
        <v>437</v>
      </c>
      <c r="BO87" s="86"/>
      <c r="BP87" s="86"/>
      <c r="BQ87" s="86">
        <v>2</v>
      </c>
      <c r="BR87" s="86"/>
      <c r="BS87" s="86" t="s">
        <v>437</v>
      </c>
      <c r="BT87" s="86" t="s">
        <v>437</v>
      </c>
      <c r="BU87" s="86"/>
      <c r="BV87" s="86"/>
      <c r="BW87" s="86"/>
      <c r="BX87" s="86"/>
      <c r="BY87" s="36"/>
      <c r="BZ87" s="36"/>
    </row>
    <row r="88" spans="1:78">
      <c r="A88" s="6" t="s">
        <v>567</v>
      </c>
      <c r="C88" s="6" t="s">
        <v>584</v>
      </c>
      <c r="D88" s="6" t="s">
        <v>568</v>
      </c>
      <c r="E88" s="14" t="s">
        <v>785</v>
      </c>
      <c r="F88" s="14">
        <v>8</v>
      </c>
      <c r="G88" s="14">
        <v>16</v>
      </c>
      <c r="H88" s="64">
        <v>60</v>
      </c>
      <c r="I88" s="31">
        <v>4</v>
      </c>
      <c r="J88" s="14" t="s">
        <v>748</v>
      </c>
      <c r="K88" s="6" t="s">
        <v>746</v>
      </c>
      <c r="L88" s="14">
        <v>2.6</v>
      </c>
      <c r="M88" s="14"/>
      <c r="N88" s="14"/>
      <c r="O88" s="14"/>
      <c r="P88" s="14"/>
      <c r="Q88" s="86"/>
      <c r="R88" s="86"/>
      <c r="S88" s="86"/>
      <c r="T88" s="86"/>
      <c r="U88" s="86"/>
      <c r="V88" s="86"/>
      <c r="W88" s="86"/>
      <c r="X88" s="86"/>
      <c r="Y88" s="86"/>
      <c r="Z88" s="86"/>
      <c r="AA88" s="86"/>
      <c r="AB88" s="86"/>
      <c r="AC88" s="86"/>
      <c r="AD88" s="86"/>
      <c r="AE88" s="86"/>
      <c r="AF88" s="86"/>
      <c r="AG88" s="86">
        <f>2*H88</f>
        <v>120</v>
      </c>
      <c r="AH88" s="86" t="s">
        <v>748</v>
      </c>
      <c r="AI88" s="6" t="s">
        <v>746</v>
      </c>
      <c r="AJ88" s="14" t="s">
        <v>742</v>
      </c>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v>2</v>
      </c>
      <c r="BN88" s="86" t="s">
        <v>437</v>
      </c>
      <c r="BO88" s="86"/>
      <c r="BP88" s="86"/>
      <c r="BQ88" s="86">
        <v>2</v>
      </c>
      <c r="BR88" s="86"/>
      <c r="BS88" s="86" t="s">
        <v>437</v>
      </c>
      <c r="BT88" s="86" t="s">
        <v>437</v>
      </c>
      <c r="BU88" s="86"/>
      <c r="BV88" s="86"/>
      <c r="BW88" s="86"/>
      <c r="BX88" s="86"/>
      <c r="BY88" s="36"/>
      <c r="BZ88" s="36"/>
    </row>
    <row r="89" spans="1:78">
      <c r="A89" s="6" t="s">
        <v>570</v>
      </c>
      <c r="C89" s="6" t="s">
        <v>584</v>
      </c>
      <c r="D89" s="6" t="s">
        <v>571</v>
      </c>
      <c r="E89" s="14" t="s">
        <v>786</v>
      </c>
      <c r="F89" s="14">
        <v>10</v>
      </c>
      <c r="G89" s="14">
        <v>10</v>
      </c>
      <c r="H89" s="62">
        <v>30</v>
      </c>
      <c r="I89" s="31">
        <v>4</v>
      </c>
      <c r="J89" s="14" t="s">
        <v>748</v>
      </c>
      <c r="K89" s="6" t="s">
        <v>746</v>
      </c>
      <c r="L89" s="14">
        <v>2.6</v>
      </c>
      <c r="M89" s="14"/>
      <c r="N89" s="14"/>
      <c r="O89" s="14"/>
      <c r="P89" s="14"/>
      <c r="Q89" s="86"/>
      <c r="R89" s="86"/>
      <c r="S89" s="86"/>
      <c r="T89" s="86"/>
      <c r="U89" s="86"/>
      <c r="V89" s="86"/>
      <c r="W89" s="86"/>
      <c r="X89" s="86"/>
      <c r="Y89" s="86"/>
      <c r="Z89" s="86"/>
      <c r="AA89" s="86"/>
      <c r="AB89" s="86"/>
      <c r="AC89" s="86"/>
      <c r="AD89" s="86"/>
      <c r="AE89" s="86"/>
      <c r="AF89" s="86"/>
      <c r="AG89" s="86">
        <f>2*H89</f>
        <v>60</v>
      </c>
      <c r="AH89" s="86" t="s">
        <v>748</v>
      </c>
      <c r="AI89" s="6" t="s">
        <v>746</v>
      </c>
      <c r="AJ89" s="14" t="s">
        <v>742</v>
      </c>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v>2</v>
      </c>
      <c r="BN89" s="86" t="s">
        <v>437</v>
      </c>
      <c r="BO89" s="86"/>
      <c r="BP89" s="86"/>
      <c r="BQ89" s="86">
        <v>2</v>
      </c>
      <c r="BR89" s="86"/>
      <c r="BS89" s="86" t="s">
        <v>437</v>
      </c>
      <c r="BT89" s="86" t="s">
        <v>437</v>
      </c>
      <c r="BU89" s="86"/>
      <c r="BV89" s="86"/>
      <c r="BW89" s="86"/>
      <c r="BX89" s="86"/>
      <c r="BY89" s="36"/>
      <c r="BZ89" s="36"/>
    </row>
    <row r="90" spans="1:78">
      <c r="A90" s="6" t="s">
        <v>572</v>
      </c>
      <c r="C90" s="6" t="s">
        <v>584</v>
      </c>
      <c r="D90" s="6" t="s">
        <v>573</v>
      </c>
      <c r="E90" s="14" t="s">
        <v>787</v>
      </c>
      <c r="F90" s="14">
        <v>4</v>
      </c>
      <c r="G90" s="14">
        <v>16</v>
      </c>
      <c r="H90" s="64">
        <v>550</v>
      </c>
      <c r="I90" s="31">
        <v>4</v>
      </c>
      <c r="J90" s="14" t="s">
        <v>748</v>
      </c>
      <c r="K90" s="6" t="s">
        <v>746</v>
      </c>
      <c r="L90" s="14">
        <v>2.6</v>
      </c>
      <c r="M90" s="14"/>
      <c r="N90" s="14"/>
      <c r="O90" s="14"/>
      <c r="P90" s="14"/>
      <c r="R90" s="86"/>
      <c r="T90" s="86"/>
      <c r="U90" s="86"/>
      <c r="V90" s="86"/>
      <c r="W90" s="86"/>
      <c r="X90" s="86"/>
      <c r="Y90" s="86"/>
      <c r="Z90" s="86"/>
      <c r="AA90" s="86"/>
      <c r="AB90" s="86"/>
      <c r="AC90" s="86"/>
      <c r="AD90" s="86"/>
      <c r="AE90" s="86"/>
      <c r="AF90" s="86"/>
      <c r="AG90" s="86">
        <f>2*H90+Q90</f>
        <v>1100</v>
      </c>
      <c r="AH90" s="86" t="s">
        <v>748</v>
      </c>
      <c r="AI90" s="6" t="s">
        <v>746</v>
      </c>
      <c r="AJ90" s="14" t="s">
        <v>742</v>
      </c>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v>2</v>
      </c>
      <c r="BN90" s="86" t="s">
        <v>437</v>
      </c>
      <c r="BO90" s="86"/>
      <c r="BP90" s="86"/>
      <c r="BQ90" s="86">
        <v>2</v>
      </c>
      <c r="BR90" s="86"/>
      <c r="BS90" s="86" t="s">
        <v>437</v>
      </c>
      <c r="BT90" s="86" t="s">
        <v>437</v>
      </c>
      <c r="BU90" s="86"/>
      <c r="BV90" s="86"/>
      <c r="BW90" s="86"/>
      <c r="BX90" s="86"/>
      <c r="BY90" s="36"/>
      <c r="BZ90" s="36"/>
    </row>
    <row r="91" spans="1:78" s="19" customFormat="1">
      <c r="A91" s="19" t="s">
        <v>576</v>
      </c>
      <c r="C91" s="19" t="s">
        <v>584</v>
      </c>
      <c r="D91" s="19" t="s">
        <v>577</v>
      </c>
      <c r="E91" s="17" t="s">
        <v>788</v>
      </c>
      <c r="F91" s="17">
        <v>2</v>
      </c>
      <c r="G91" s="17">
        <v>4</v>
      </c>
      <c r="H91" s="68">
        <v>40</v>
      </c>
      <c r="I91" s="80">
        <v>4</v>
      </c>
      <c r="J91" s="17" t="s">
        <v>748</v>
      </c>
      <c r="K91" s="19" t="s">
        <v>746</v>
      </c>
      <c r="L91" s="17">
        <v>2.6</v>
      </c>
      <c r="M91" s="17"/>
      <c r="N91" s="17"/>
      <c r="O91" s="17"/>
      <c r="P91" s="17"/>
      <c r="Q91" s="39"/>
      <c r="R91" s="39"/>
      <c r="T91" s="39"/>
      <c r="U91" s="39"/>
      <c r="V91" s="39"/>
      <c r="W91" s="39"/>
      <c r="X91" s="39"/>
      <c r="Y91" s="39">
        <v>50</v>
      </c>
      <c r="Z91" s="39" t="s">
        <v>748</v>
      </c>
      <c r="AA91" s="19" t="s">
        <v>746</v>
      </c>
      <c r="AB91" s="39"/>
      <c r="AC91" s="39"/>
      <c r="AD91" s="39"/>
      <c r="AE91" s="39"/>
      <c r="AF91" s="39"/>
      <c r="AG91" s="39">
        <f>H91*2+Y91*2</f>
        <v>180</v>
      </c>
      <c r="AH91" s="39" t="s">
        <v>748</v>
      </c>
      <c r="AI91" s="19" t="s">
        <v>746</v>
      </c>
      <c r="AJ91" s="17" t="s">
        <v>742</v>
      </c>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v>3</v>
      </c>
      <c r="BN91" s="39" t="s">
        <v>437</v>
      </c>
      <c r="BO91" s="39"/>
      <c r="BP91" s="39"/>
      <c r="BQ91" s="39">
        <v>2</v>
      </c>
      <c r="BR91" s="39"/>
      <c r="BS91" s="39" t="s">
        <v>437</v>
      </c>
      <c r="BT91" s="39" t="s">
        <v>437</v>
      </c>
      <c r="BU91" s="39"/>
      <c r="BV91" s="39"/>
      <c r="BW91" s="39"/>
      <c r="BX91" s="39"/>
      <c r="BY91" s="46"/>
      <c r="BZ91" s="46"/>
    </row>
    <row r="92" spans="1:78">
      <c r="A92" s="36"/>
      <c r="B92" s="36"/>
      <c r="C92" s="36"/>
      <c r="D92" s="36"/>
      <c r="F92" s="86">
        <f>F82+SUM(F86:F91)</f>
        <v>429</v>
      </c>
      <c r="G92" s="86">
        <f>G82+SUM(G86:G91)</f>
        <v>1195</v>
      </c>
      <c r="H92" s="86">
        <f>H82+SUM(H86:H91)</f>
        <v>6823</v>
      </c>
      <c r="I92" s="86"/>
      <c r="J92" s="86"/>
      <c r="K92" s="86"/>
      <c r="L92" s="86">
        <f>L82+SUM(L86:L91)</f>
        <v>1543.5999999999988</v>
      </c>
      <c r="M92" s="86">
        <f>M82+SUM(M86:M91)</f>
        <v>460</v>
      </c>
      <c r="N92" s="86"/>
      <c r="O92" s="86"/>
      <c r="P92" s="86">
        <f>P82+SUM(P86:P91)</f>
        <v>0.05</v>
      </c>
      <c r="Q92" s="86">
        <f>Q82+SUM(Q86:Q91)</f>
        <v>8300</v>
      </c>
      <c r="R92" s="86"/>
      <c r="S92" s="86"/>
      <c r="T92" s="86">
        <f>T82+SUM(T86:T91)</f>
        <v>0.05</v>
      </c>
      <c r="U92" s="86">
        <f>U82+SUM(U86:U91)</f>
        <v>12150</v>
      </c>
      <c r="V92" s="86"/>
      <c r="W92" s="86"/>
      <c r="X92" s="86">
        <f>X82+SUM(X86:X91)</f>
        <v>0.05</v>
      </c>
      <c r="Y92" s="86">
        <f>Y82+SUM(Y86:Y91)</f>
        <v>1004.99</v>
      </c>
      <c r="Z92" s="86"/>
      <c r="AA92" s="86"/>
      <c r="AB92" s="86">
        <f>AB82+SUM(AB86:AB91)</f>
        <v>0.1</v>
      </c>
      <c r="AC92" s="86">
        <f>AC82+SUM(AC86:AC91)</f>
        <v>270</v>
      </c>
      <c r="AD92" s="86"/>
      <c r="AE92" s="86"/>
      <c r="AF92" s="86">
        <f>AF82+SUM(AF86:AF91)</f>
        <v>0</v>
      </c>
      <c r="AG92" s="64">
        <f>AG82+SUM(AG86:AG91)</f>
        <v>44170</v>
      </c>
      <c r="AH92" s="86"/>
      <c r="AI92" s="86"/>
      <c r="AJ92" s="86"/>
      <c r="AK92" s="86">
        <f>AK82+SUM(AK86:AK91)</f>
        <v>180</v>
      </c>
      <c r="AL92" s="86"/>
      <c r="AM92" s="86"/>
      <c r="AN92" s="86">
        <f>AN82+SUM(AN86:AN91)</f>
        <v>0.2</v>
      </c>
      <c r="AO92" s="86">
        <f>AO82+SUM(AO86:AO91)</f>
        <v>50</v>
      </c>
      <c r="AP92" s="86"/>
      <c r="AQ92" s="86"/>
      <c r="AR92" s="86">
        <f>AR82+SUM(AR86:AR91)</f>
        <v>0.05</v>
      </c>
      <c r="AS92" s="86">
        <f>AS82+SUM(AS86:AS91)</f>
        <v>200</v>
      </c>
      <c r="AT92" s="86"/>
      <c r="AU92" s="86"/>
      <c r="AV92" s="86">
        <f>AV82+SUM(AV86:AV91)</f>
        <v>0.1</v>
      </c>
      <c r="AW92" s="86">
        <f>AW82+SUM(AW86:AW91)</f>
        <v>150</v>
      </c>
      <c r="AX92" s="86"/>
      <c r="AY92" s="86"/>
      <c r="AZ92" s="86">
        <f>AZ82+SUM(AZ86:AZ91)</f>
        <v>0.05</v>
      </c>
      <c r="BA92" s="86">
        <f>BA82+SUM(BA86:BA91)</f>
        <v>360</v>
      </c>
      <c r="BB92" s="86"/>
      <c r="BC92" s="86"/>
      <c r="BD92" s="86">
        <f>BD82+SUM(BD86:BD91)</f>
        <v>0.15000000000000002</v>
      </c>
      <c r="BE92" s="86">
        <f>BE82+SUM(BE86:BE91)</f>
        <v>6144</v>
      </c>
      <c r="BF92" s="86"/>
      <c r="BG92" s="86"/>
      <c r="BH92" s="86">
        <f>BH82+SUM(BH86:BH91)</f>
        <v>0.05</v>
      </c>
      <c r="BI92" s="86"/>
      <c r="BJ92" s="86"/>
      <c r="BK92" s="86"/>
      <c r="BL92" s="86"/>
      <c r="BM92" s="86">
        <f>BM82+SUM(BM86:BM91)</f>
        <v>184</v>
      </c>
      <c r="BN92" s="86">
        <f>BN82+COUNTIF(BN86:BN91,"x")</f>
        <v>69</v>
      </c>
      <c r="BO92" s="86">
        <f>BO82+COUNTIF(BO86:BO91,"x")</f>
        <v>3</v>
      </c>
      <c r="BP92" s="86">
        <f>BP82+COUNTIF(BP86:BP91,"x")</f>
        <v>1</v>
      </c>
      <c r="BQ92" s="86">
        <f>BQ82+SUM(BQ86:BQ91)</f>
        <v>140</v>
      </c>
      <c r="BR92" s="86">
        <f>BR82+COUNTIF(BR86:BR91,"x")</f>
        <v>1</v>
      </c>
      <c r="BS92" s="86">
        <f>BS82+COUNTIF(BS86:BS91,"x")</f>
        <v>34</v>
      </c>
      <c r="BT92" s="86">
        <f>BT82+COUNTIF(BT86:BT91,"x")</f>
        <v>69</v>
      </c>
      <c r="BU92" s="14" t="s">
        <v>769</v>
      </c>
      <c r="BV92" s="14">
        <v>2</v>
      </c>
      <c r="BW92" s="14">
        <v>4</v>
      </c>
      <c r="BX92" s="14">
        <v>2</v>
      </c>
      <c r="BY92" s="36"/>
      <c r="BZ92" s="36"/>
    </row>
    <row r="94" spans="1:78">
      <c r="F94" s="21"/>
      <c r="H94" s="14"/>
      <c r="I94" s="14"/>
      <c r="J94" s="14"/>
      <c r="K94" s="14"/>
      <c r="L94" s="14"/>
      <c r="M94" s="14"/>
      <c r="N94" s="14"/>
      <c r="O94" s="14"/>
      <c r="P94" s="14"/>
      <c r="Q94" s="14"/>
      <c r="R94" s="14"/>
      <c r="S94" s="14"/>
      <c r="T94" s="14"/>
    </row>
  </sheetData>
  <mergeCells count="8">
    <mergeCell ref="F3:G3"/>
    <mergeCell ref="A4:B4"/>
    <mergeCell ref="A5:B5"/>
    <mergeCell ref="A50:B50"/>
    <mergeCell ref="A6:B6"/>
    <mergeCell ref="A1:D1"/>
    <mergeCell ref="A2:B2"/>
    <mergeCell ref="A3:B3"/>
  </mergeCells>
  <hyperlinks>
    <hyperlink ref="F3:G3" location="Shortcuts!A1" display="Back to shortcuts" xr:uid="{AB7D56EE-795A-4133-95E6-4C8F191DDDCB}"/>
  </hyperlinks>
  <pageMargins left="0.7" right="0.7" top="0.75" bottom="0.75" header="0.3" footer="0.3"/>
  <pageSetup paperSize="9" orientation="portrait" r:id="rId1"/>
  <headerFooter>
    <oddFooter>&amp;C&amp;1#&amp;"Arial"&amp;8&amp;K001753Nokia internal use</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DE58-4467-43EE-9944-0E939CA7D757}">
  <dimension ref="A1:BA93"/>
  <sheetViews>
    <sheetView zoomScale="82" zoomScaleNormal="82" zoomScalePageLayoutView="70" workbookViewId="0">
      <selection activeCell="AF52" sqref="AF52"/>
    </sheetView>
  </sheetViews>
  <sheetFormatPr defaultColWidth="8.85546875" defaultRowHeight="12.6"/>
  <cols>
    <col min="1" max="1" width="19.42578125" style="36" customWidth="1"/>
    <col min="2" max="2" width="14.85546875" style="36" customWidth="1"/>
    <col min="3" max="3" width="16.85546875" style="36" customWidth="1"/>
    <col min="4" max="4" width="23.85546875" style="36" customWidth="1"/>
    <col min="5" max="5" width="68.42578125" style="36" bestFit="1" customWidth="1"/>
    <col min="6" max="7" width="8.85546875" style="36"/>
    <col min="8" max="8" width="21.140625" style="36" customWidth="1"/>
    <col min="9" max="10" width="8.85546875" style="36"/>
    <col min="11" max="11" width="17.85546875" style="36" customWidth="1"/>
    <col min="12" max="12" width="9.140625" style="36" customWidth="1"/>
    <col min="13" max="13" width="9.85546875" style="36" customWidth="1"/>
    <col min="14" max="14" width="8.85546875" style="36"/>
    <col min="15" max="15" width="11.85546875" style="36" customWidth="1"/>
    <col min="16" max="16" width="8.85546875" style="36"/>
    <col min="17" max="17" width="9.85546875" style="36" customWidth="1"/>
    <col min="18" max="18" width="8.85546875" style="36"/>
    <col min="19" max="19" width="11.85546875" style="36" customWidth="1"/>
    <col min="20" max="20" width="8.85546875" style="36"/>
    <col min="21" max="21" width="9.85546875" style="36" customWidth="1"/>
    <col min="22" max="22" width="8.85546875" style="36"/>
    <col min="23" max="23" width="13.28515625" style="86" customWidth="1"/>
    <col min="24" max="24" width="12.140625" style="36" customWidth="1"/>
    <col min="25" max="25" width="14.140625" style="36" customWidth="1"/>
    <col min="26" max="26" width="9.85546875" style="36" customWidth="1"/>
    <col min="27" max="32" width="12.85546875" style="36" customWidth="1"/>
    <col min="33" max="39" width="15.85546875" style="36" customWidth="1"/>
    <col min="40" max="42" width="12.85546875" style="6" customWidth="1"/>
    <col min="43" max="43" width="17.85546875" style="6" customWidth="1"/>
    <col min="44" max="44" width="22" style="36" customWidth="1"/>
    <col min="45" max="45" width="12.140625" style="36" customWidth="1"/>
    <col min="46" max="46" width="13.140625" style="36" customWidth="1"/>
    <col min="47" max="16384" width="8.85546875" style="36"/>
  </cols>
  <sheetData>
    <row r="1" spans="1:46" ht="12.95">
      <c r="A1" s="189" t="s">
        <v>38</v>
      </c>
      <c r="B1" s="189"/>
      <c r="C1" s="189"/>
      <c r="D1" s="189"/>
      <c r="E1" s="190"/>
      <c r="F1" s="35" t="s">
        <v>718</v>
      </c>
    </row>
    <row r="2" spans="1:46">
      <c r="A2" s="182" t="s">
        <v>410</v>
      </c>
      <c r="B2" s="182"/>
      <c r="C2" s="121"/>
      <c r="D2" s="36" t="s">
        <v>632</v>
      </c>
    </row>
    <row r="3" spans="1:46" ht="14.45">
      <c r="A3" s="182" t="s">
        <v>412</v>
      </c>
      <c r="B3" s="182"/>
      <c r="C3" s="36" t="s">
        <v>411</v>
      </c>
      <c r="F3" s="173" t="s">
        <v>413</v>
      </c>
      <c r="G3" s="173"/>
    </row>
    <row r="4" spans="1:46" ht="12.95">
      <c r="A4" s="182" t="s">
        <v>414</v>
      </c>
      <c r="B4" s="182"/>
      <c r="C4" s="36" t="s">
        <v>519</v>
      </c>
    </row>
    <row r="5" spans="1:46" ht="12.95">
      <c r="A5" s="171" t="s">
        <v>415</v>
      </c>
      <c r="B5" s="171"/>
      <c r="C5" s="6" t="s">
        <v>609</v>
      </c>
    </row>
    <row r="6" spans="1:46" ht="12.95">
      <c r="A6" s="171" t="s">
        <v>416</v>
      </c>
      <c r="B6" s="171"/>
      <c r="C6" s="16"/>
    </row>
    <row r="7" spans="1:46" ht="26.1">
      <c r="A7" s="37" t="s">
        <v>183</v>
      </c>
      <c r="B7" s="37" t="s">
        <v>417</v>
      </c>
      <c r="C7" s="37" t="s">
        <v>418</v>
      </c>
      <c r="D7" s="37" t="s">
        <v>419</v>
      </c>
      <c r="E7" s="37" t="s">
        <v>420</v>
      </c>
      <c r="F7" s="38" t="s">
        <v>157</v>
      </c>
      <c r="G7" s="38" t="s">
        <v>173</v>
      </c>
      <c r="H7" s="38" t="s">
        <v>421</v>
      </c>
      <c r="I7" s="38" t="s">
        <v>177</v>
      </c>
      <c r="J7" s="38" t="s">
        <v>422</v>
      </c>
      <c r="K7" s="38" t="s">
        <v>423</v>
      </c>
      <c r="L7" s="38" t="s">
        <v>198</v>
      </c>
      <c r="M7" s="38" t="s">
        <v>423</v>
      </c>
      <c r="N7" s="38" t="s">
        <v>53</v>
      </c>
      <c r="O7" s="38" t="s">
        <v>423</v>
      </c>
      <c r="P7" s="38" t="s">
        <v>202</v>
      </c>
      <c r="Q7" s="38" t="s">
        <v>423</v>
      </c>
      <c r="R7" s="38" t="s">
        <v>217</v>
      </c>
      <c r="S7" s="38" t="s">
        <v>423</v>
      </c>
      <c r="T7" s="38" t="s">
        <v>222</v>
      </c>
      <c r="U7" s="38" t="s">
        <v>423</v>
      </c>
      <c r="V7" s="38" t="s">
        <v>206</v>
      </c>
      <c r="W7" s="38" t="s">
        <v>423</v>
      </c>
      <c r="X7" s="38" t="s">
        <v>424</v>
      </c>
      <c r="Y7" s="38" t="s">
        <v>423</v>
      </c>
      <c r="Z7" s="38" t="s">
        <v>610</v>
      </c>
      <c r="AA7" s="38" t="s">
        <v>423</v>
      </c>
      <c r="AB7" s="8" t="s">
        <v>426</v>
      </c>
      <c r="AC7" s="8" t="s">
        <v>423</v>
      </c>
      <c r="AD7" s="8" t="s">
        <v>427</v>
      </c>
      <c r="AE7" s="8" t="s">
        <v>423</v>
      </c>
      <c r="AF7" s="8" t="s">
        <v>428</v>
      </c>
      <c r="AG7" s="8" t="s">
        <v>423</v>
      </c>
      <c r="AH7" s="8" t="s">
        <v>429</v>
      </c>
      <c r="AI7" s="8" t="s">
        <v>423</v>
      </c>
      <c r="AJ7" s="8" t="s">
        <v>523</v>
      </c>
      <c r="AK7" s="8" t="s">
        <v>423</v>
      </c>
      <c r="AL7" s="8" t="s">
        <v>524</v>
      </c>
      <c r="AM7" s="8" t="s">
        <v>423</v>
      </c>
      <c r="AN7" s="83" t="s">
        <v>525</v>
      </c>
      <c r="AO7" s="8" t="s">
        <v>423</v>
      </c>
      <c r="AP7" s="8" t="s">
        <v>477</v>
      </c>
      <c r="AQ7" s="8" t="s">
        <v>423</v>
      </c>
      <c r="AR7" s="8" t="s">
        <v>431</v>
      </c>
      <c r="AS7" s="8" t="s">
        <v>432</v>
      </c>
      <c r="AT7" s="38" t="s">
        <v>433</v>
      </c>
    </row>
    <row r="8" spans="1:46">
      <c r="A8" s="36" t="s">
        <v>434</v>
      </c>
      <c r="D8" s="36" t="s">
        <v>435</v>
      </c>
      <c r="E8" s="36" t="s">
        <v>42</v>
      </c>
      <c r="F8" s="86">
        <v>4</v>
      </c>
      <c r="G8" s="86">
        <v>16</v>
      </c>
      <c r="H8" s="86">
        <v>0</v>
      </c>
      <c r="I8" s="86">
        <v>351</v>
      </c>
      <c r="J8" s="86">
        <f>IF(G8&gt;=10,16, 4)</f>
        <v>16</v>
      </c>
      <c r="K8" s="14" t="s">
        <v>526</v>
      </c>
      <c r="L8" s="86"/>
      <c r="M8" s="86"/>
      <c r="N8" s="86"/>
      <c r="O8" s="86"/>
      <c r="P8" s="86"/>
      <c r="Q8" s="86"/>
      <c r="R8" s="86"/>
      <c r="S8" s="86"/>
      <c r="T8" s="86"/>
      <c r="U8" s="86"/>
      <c r="V8" s="86"/>
      <c r="X8" s="86"/>
      <c r="Y8" s="86"/>
      <c r="Z8" s="86"/>
      <c r="AA8" s="86"/>
      <c r="AB8" s="86"/>
      <c r="AC8" s="86"/>
      <c r="AD8" s="86"/>
      <c r="AE8" s="86"/>
      <c r="AF8" s="86"/>
      <c r="AG8" s="86"/>
      <c r="AH8" s="86"/>
      <c r="AI8" s="86"/>
      <c r="AJ8" s="86"/>
      <c r="AK8" s="86"/>
      <c r="AL8" s="86"/>
      <c r="AM8" s="86"/>
      <c r="AN8" s="86"/>
      <c r="AO8" s="86"/>
      <c r="AP8" s="86"/>
      <c r="AQ8" s="86"/>
      <c r="AR8" s="86" t="s">
        <v>437</v>
      </c>
      <c r="AS8" s="86"/>
      <c r="AT8" s="86"/>
    </row>
    <row r="9" spans="1:46">
      <c r="A9" s="36" t="s">
        <v>440</v>
      </c>
      <c r="B9" s="86" t="s">
        <v>441</v>
      </c>
      <c r="C9" s="36" t="s">
        <v>442</v>
      </c>
      <c r="D9" s="36" t="s">
        <v>435</v>
      </c>
      <c r="E9" s="36" t="s">
        <v>50</v>
      </c>
      <c r="F9" s="86">
        <v>6</v>
      </c>
      <c r="G9" s="86">
        <v>8</v>
      </c>
      <c r="H9" s="86">
        <v>8</v>
      </c>
      <c r="I9" s="86">
        <v>41</v>
      </c>
      <c r="J9" s="86">
        <f>IF(G9&gt;=10,16, 4)</f>
        <v>4</v>
      </c>
      <c r="K9" s="86" t="s">
        <v>528</v>
      </c>
      <c r="L9" s="86"/>
      <c r="M9" s="86"/>
      <c r="N9" s="86"/>
      <c r="O9" s="86"/>
      <c r="P9" s="86"/>
      <c r="Q9" s="86"/>
      <c r="R9" s="86"/>
      <c r="S9" s="86"/>
      <c r="T9" s="86"/>
      <c r="U9" s="86"/>
      <c r="V9" s="86"/>
      <c r="X9" s="86"/>
      <c r="Y9" s="86"/>
      <c r="Z9" s="86"/>
      <c r="AA9" s="86"/>
      <c r="AB9" s="86"/>
      <c r="AC9" s="86"/>
      <c r="AD9" s="86"/>
      <c r="AE9" s="86"/>
      <c r="AF9" s="86"/>
      <c r="AG9" s="86"/>
      <c r="AH9" s="86"/>
      <c r="AI9" s="86"/>
      <c r="AJ9" s="86"/>
      <c r="AK9" s="86"/>
      <c r="AL9" s="86"/>
      <c r="AM9" s="86"/>
      <c r="AN9" s="14"/>
      <c r="AO9" s="14"/>
      <c r="AP9" s="14"/>
      <c r="AQ9" s="14"/>
      <c r="AR9" s="86" t="s">
        <v>437</v>
      </c>
      <c r="AS9" s="86"/>
      <c r="AT9" s="86"/>
    </row>
    <row r="10" spans="1:46">
      <c r="A10" s="36" t="s">
        <v>444</v>
      </c>
      <c r="B10" s="86"/>
      <c r="C10" s="36" t="s">
        <v>442</v>
      </c>
      <c r="D10" s="36" t="s">
        <v>435</v>
      </c>
      <c r="E10" s="36" t="s">
        <v>53</v>
      </c>
      <c r="F10" s="86">
        <v>24</v>
      </c>
      <c r="G10" s="86">
        <v>240</v>
      </c>
      <c r="H10" s="86">
        <v>240</v>
      </c>
      <c r="I10" s="86">
        <v>117</v>
      </c>
      <c r="J10" s="86">
        <v>32</v>
      </c>
      <c r="K10" s="86" t="s">
        <v>529</v>
      </c>
      <c r="L10" s="86">
        <v>500</v>
      </c>
      <c r="M10" s="86" t="s">
        <v>657</v>
      </c>
      <c r="N10" s="86">
        <v>16400</v>
      </c>
      <c r="O10" s="86" t="s">
        <v>658</v>
      </c>
      <c r="P10" s="86">
        <v>18000</v>
      </c>
      <c r="Q10" s="86" t="s">
        <v>659</v>
      </c>
      <c r="R10" s="86"/>
      <c r="S10" s="86"/>
      <c r="T10" s="86"/>
      <c r="U10" s="86"/>
      <c r="V10" s="86"/>
      <c r="X10" s="86">
        <v>33600</v>
      </c>
      <c r="Y10" s="86" t="s">
        <v>660</v>
      </c>
      <c r="Z10" s="86"/>
      <c r="AA10" s="86"/>
      <c r="AB10" s="86"/>
      <c r="AC10" s="86"/>
      <c r="AD10" s="86"/>
      <c r="AE10" s="86"/>
      <c r="AF10" s="86"/>
      <c r="AG10" s="86"/>
      <c r="AH10" s="86"/>
      <c r="AI10" s="86"/>
      <c r="AJ10" s="86"/>
      <c r="AK10" s="86"/>
      <c r="AL10" s="86"/>
      <c r="AM10" s="86"/>
      <c r="AN10" s="14">
        <v>6144</v>
      </c>
      <c r="AO10" s="14" t="s">
        <v>530</v>
      </c>
      <c r="AP10" s="14"/>
      <c r="AQ10" s="14"/>
      <c r="AR10" s="86" t="s">
        <v>437</v>
      </c>
      <c r="AS10" s="86"/>
      <c r="AT10" s="86"/>
    </row>
    <row r="11" spans="1:46">
      <c r="A11" s="36" t="s">
        <v>448</v>
      </c>
      <c r="B11" s="86" t="s">
        <v>441</v>
      </c>
      <c r="C11" s="36" t="s">
        <v>442</v>
      </c>
      <c r="D11" s="36" t="s">
        <v>435</v>
      </c>
      <c r="E11" s="36" t="s">
        <v>57</v>
      </c>
      <c r="F11" s="86">
        <v>9</v>
      </c>
      <c r="G11" s="86">
        <v>9</v>
      </c>
      <c r="H11" s="86">
        <v>9</v>
      </c>
      <c r="I11" s="86">
        <v>46</v>
      </c>
      <c r="J11" s="86">
        <f t="shared" ref="J11:J33" si="0">IF(G11&gt;=10,16, 4)</f>
        <v>4</v>
      </c>
      <c r="K11" s="86" t="s">
        <v>531</v>
      </c>
      <c r="L11" s="86"/>
      <c r="M11" s="86"/>
      <c r="N11" s="86"/>
      <c r="O11" s="86"/>
      <c r="P11" s="86"/>
      <c r="Q11" s="86"/>
      <c r="R11" s="86">
        <v>1395</v>
      </c>
      <c r="S11" s="86" t="s">
        <v>661</v>
      </c>
      <c r="T11" s="14">
        <v>300</v>
      </c>
      <c r="U11" s="86" t="s">
        <v>222</v>
      </c>
      <c r="V11" s="86"/>
      <c r="X11" s="86">
        <v>800</v>
      </c>
      <c r="Y11" s="86" t="s">
        <v>662</v>
      </c>
      <c r="Z11" s="86"/>
      <c r="AA11" s="86"/>
      <c r="AB11" s="86"/>
      <c r="AC11" s="86"/>
      <c r="AD11" s="86"/>
      <c r="AE11" s="86"/>
      <c r="AF11" s="86"/>
      <c r="AG11" s="86"/>
      <c r="AH11" s="86"/>
      <c r="AI11" s="86"/>
      <c r="AJ11" s="86"/>
      <c r="AK11" s="86"/>
      <c r="AL11" s="86"/>
      <c r="AM11" s="86"/>
      <c r="AN11" s="14"/>
      <c r="AO11" s="14"/>
      <c r="AP11" s="14"/>
      <c r="AQ11" s="14"/>
      <c r="AR11" s="86" t="s">
        <v>437</v>
      </c>
      <c r="AS11" s="86"/>
      <c r="AT11" s="86"/>
    </row>
    <row r="12" spans="1:46">
      <c r="A12" s="36" t="s">
        <v>450</v>
      </c>
      <c r="C12" s="36" t="s">
        <v>442</v>
      </c>
      <c r="D12" s="36" t="s">
        <v>435</v>
      </c>
      <c r="E12" s="36" t="s">
        <v>61</v>
      </c>
      <c r="F12" s="86">
        <v>2</v>
      </c>
      <c r="G12" s="86">
        <v>3</v>
      </c>
      <c r="H12" s="86">
        <v>0</v>
      </c>
      <c r="I12" s="86">
        <v>31</v>
      </c>
      <c r="J12" s="86">
        <f t="shared" si="0"/>
        <v>4</v>
      </c>
      <c r="K12" s="86" t="s">
        <v>528</v>
      </c>
      <c r="L12" s="86"/>
      <c r="M12" s="86"/>
      <c r="N12" s="86"/>
      <c r="O12" s="86"/>
      <c r="P12" s="86"/>
      <c r="Q12" s="86"/>
      <c r="R12" s="86"/>
      <c r="S12" s="86"/>
      <c r="T12" s="86"/>
      <c r="U12" s="86"/>
      <c r="V12" s="86"/>
      <c r="X12" s="86"/>
      <c r="Y12" s="86"/>
      <c r="Z12" s="86"/>
      <c r="AA12" s="86"/>
      <c r="AB12" s="86"/>
      <c r="AC12" s="86"/>
      <c r="AD12" s="86"/>
      <c r="AE12" s="86"/>
      <c r="AF12" s="86"/>
      <c r="AG12" s="86"/>
      <c r="AH12" s="86"/>
      <c r="AI12" s="86"/>
      <c r="AJ12" s="86"/>
      <c r="AK12" s="86"/>
      <c r="AL12" s="86"/>
      <c r="AM12" s="86"/>
      <c r="AN12" s="14"/>
      <c r="AO12" s="14"/>
      <c r="AP12" s="14"/>
      <c r="AQ12" s="14"/>
      <c r="AR12" s="86" t="s">
        <v>437</v>
      </c>
      <c r="AS12" s="14" t="s">
        <v>437</v>
      </c>
      <c r="AT12" s="86" t="s">
        <v>437</v>
      </c>
    </row>
    <row r="13" spans="1:46">
      <c r="A13" s="36" t="s">
        <v>451</v>
      </c>
      <c r="C13" s="36" t="s">
        <v>442</v>
      </c>
      <c r="D13" s="36" t="s">
        <v>435</v>
      </c>
      <c r="E13" s="36" t="s">
        <v>65</v>
      </c>
      <c r="F13" s="86">
        <v>2</v>
      </c>
      <c r="G13" s="86">
        <v>5</v>
      </c>
      <c r="H13" s="86">
        <v>0</v>
      </c>
      <c r="I13" s="86">
        <v>31</v>
      </c>
      <c r="J13" s="86">
        <f t="shared" si="0"/>
        <v>4</v>
      </c>
      <c r="K13" s="86" t="s">
        <v>529</v>
      </c>
      <c r="L13" s="86"/>
      <c r="M13" s="86"/>
      <c r="N13" s="86"/>
      <c r="O13" s="86"/>
      <c r="P13" s="86"/>
      <c r="Q13" s="86"/>
      <c r="R13" s="86"/>
      <c r="S13" s="86"/>
      <c r="T13" s="86"/>
      <c r="U13" s="86"/>
      <c r="V13" s="86"/>
      <c r="X13" s="86"/>
      <c r="Y13" s="86"/>
      <c r="Z13" s="86"/>
      <c r="AA13" s="86"/>
      <c r="AB13" s="86"/>
      <c r="AC13" s="86"/>
      <c r="AD13" s="86"/>
      <c r="AE13" s="86"/>
      <c r="AF13" s="86"/>
      <c r="AG13" s="86"/>
      <c r="AH13" s="86"/>
      <c r="AI13" s="86"/>
      <c r="AJ13" s="86"/>
      <c r="AK13" s="86"/>
      <c r="AL13" s="86"/>
      <c r="AM13" s="86"/>
      <c r="AN13" s="14"/>
      <c r="AO13" s="14"/>
      <c r="AP13" s="14"/>
      <c r="AQ13" s="14"/>
      <c r="AR13" s="86" t="s">
        <v>437</v>
      </c>
      <c r="AS13" s="86"/>
      <c r="AT13" s="86"/>
    </row>
    <row r="14" spans="1:46">
      <c r="A14" s="36" t="s">
        <v>452</v>
      </c>
      <c r="C14" s="36" t="s">
        <v>442</v>
      </c>
      <c r="D14" s="36" t="s">
        <v>435</v>
      </c>
      <c r="E14" s="36" t="s">
        <v>611</v>
      </c>
      <c r="F14" s="86">
        <v>3</v>
      </c>
      <c r="G14" s="86">
        <v>6</v>
      </c>
      <c r="H14" s="86">
        <v>0</v>
      </c>
      <c r="I14" s="86">
        <v>41</v>
      </c>
      <c r="J14" s="86">
        <f t="shared" si="0"/>
        <v>4</v>
      </c>
      <c r="K14" s="86" t="s">
        <v>531</v>
      </c>
      <c r="L14" s="86"/>
      <c r="M14" s="86"/>
      <c r="N14" s="86"/>
      <c r="O14" s="86"/>
      <c r="P14" s="86"/>
      <c r="Q14" s="86"/>
      <c r="R14" s="86"/>
      <c r="S14" s="86"/>
      <c r="T14" s="86"/>
      <c r="U14" s="86"/>
      <c r="V14" s="86"/>
      <c r="X14" s="86"/>
      <c r="Y14" s="86"/>
      <c r="Z14" s="86"/>
      <c r="AA14" s="86"/>
      <c r="AB14" s="86"/>
      <c r="AC14" s="86"/>
      <c r="AD14" s="86"/>
      <c r="AE14" s="86"/>
      <c r="AF14" s="86"/>
      <c r="AG14" s="86"/>
      <c r="AH14" s="86"/>
      <c r="AI14" s="86"/>
      <c r="AJ14" s="86"/>
      <c r="AK14" s="86"/>
      <c r="AL14" s="86"/>
      <c r="AM14" s="86"/>
      <c r="AN14" s="14"/>
      <c r="AO14" s="14"/>
      <c r="AP14" s="14"/>
      <c r="AQ14" s="14"/>
      <c r="AR14" s="86" t="s">
        <v>437</v>
      </c>
      <c r="AS14" s="14" t="s">
        <v>437</v>
      </c>
      <c r="AT14" s="86"/>
    </row>
    <row r="15" spans="1:46">
      <c r="A15" s="36" t="s">
        <v>454</v>
      </c>
      <c r="C15" s="36" t="s">
        <v>442</v>
      </c>
      <c r="D15" s="36" t="s">
        <v>435</v>
      </c>
      <c r="E15" s="36" t="s">
        <v>455</v>
      </c>
      <c r="F15" s="86">
        <v>5</v>
      </c>
      <c r="G15" s="86">
        <v>7</v>
      </c>
      <c r="H15" s="86">
        <v>0</v>
      </c>
      <c r="I15" s="86">
        <v>56</v>
      </c>
      <c r="J15" s="86">
        <f t="shared" si="0"/>
        <v>4</v>
      </c>
      <c r="K15" s="86" t="s">
        <v>528</v>
      </c>
      <c r="L15" s="86"/>
      <c r="M15" s="86"/>
      <c r="N15" s="86"/>
      <c r="O15" s="86"/>
      <c r="P15" s="86"/>
      <c r="Q15" s="86"/>
      <c r="R15" s="86"/>
      <c r="S15" s="86"/>
      <c r="T15" s="86"/>
      <c r="U15" s="86"/>
      <c r="V15" s="86"/>
      <c r="X15" s="86"/>
      <c r="Y15" s="86"/>
      <c r="Z15" s="86"/>
      <c r="AA15" s="86"/>
      <c r="AB15" s="86"/>
      <c r="AC15" s="86"/>
      <c r="AD15" s="86"/>
      <c r="AE15" s="86"/>
      <c r="AF15" s="86"/>
      <c r="AG15" s="86"/>
      <c r="AH15" s="86"/>
      <c r="AI15" s="86"/>
      <c r="AJ15" s="86"/>
      <c r="AK15" s="86"/>
      <c r="AL15" s="86"/>
      <c r="AM15" s="86"/>
      <c r="AN15" s="14"/>
      <c r="AO15" s="14"/>
      <c r="AP15" s="14"/>
      <c r="AQ15" s="14"/>
      <c r="AR15" s="86" t="s">
        <v>437</v>
      </c>
      <c r="AS15" s="14" t="s">
        <v>437</v>
      </c>
      <c r="AT15" s="86"/>
    </row>
    <row r="16" spans="1:46">
      <c r="A16" s="36" t="s">
        <v>456</v>
      </c>
      <c r="C16" s="36" t="s">
        <v>442</v>
      </c>
      <c r="D16" s="36" t="s">
        <v>435</v>
      </c>
      <c r="E16" s="36" t="s">
        <v>77</v>
      </c>
      <c r="F16" s="86">
        <v>8</v>
      </c>
      <c r="G16" s="86">
        <v>13</v>
      </c>
      <c r="H16" s="86">
        <v>0</v>
      </c>
      <c r="I16" s="86">
        <v>81</v>
      </c>
      <c r="J16" s="86">
        <f t="shared" si="0"/>
        <v>16</v>
      </c>
      <c r="K16" s="86" t="s">
        <v>529</v>
      </c>
      <c r="L16" s="86"/>
      <c r="M16" s="86"/>
      <c r="N16" s="86"/>
      <c r="O16" s="86"/>
      <c r="P16" s="86"/>
      <c r="Q16" s="86"/>
      <c r="R16" s="86"/>
      <c r="S16" s="86"/>
      <c r="T16" s="86"/>
      <c r="U16" s="86"/>
      <c r="V16" s="86"/>
      <c r="X16" s="86"/>
      <c r="Y16" s="86"/>
      <c r="Z16" s="86"/>
      <c r="AA16" s="86"/>
      <c r="AB16" s="86"/>
      <c r="AC16" s="86"/>
      <c r="AD16" s="86"/>
      <c r="AE16" s="86"/>
      <c r="AF16" s="86"/>
      <c r="AG16" s="86"/>
      <c r="AH16" s="86"/>
      <c r="AI16" s="86"/>
      <c r="AJ16" s="86"/>
      <c r="AK16" s="86"/>
      <c r="AL16" s="86"/>
      <c r="AM16" s="86"/>
      <c r="AN16" s="14"/>
      <c r="AO16" s="14"/>
      <c r="AP16" s="14"/>
      <c r="AQ16" s="14"/>
      <c r="AR16" s="86" t="s">
        <v>437</v>
      </c>
      <c r="AS16" s="14" t="s">
        <v>437</v>
      </c>
      <c r="AT16" s="86"/>
    </row>
    <row r="17" spans="1:46">
      <c r="A17" s="36" t="s">
        <v>457</v>
      </c>
      <c r="C17" s="36" t="s">
        <v>442</v>
      </c>
      <c r="D17" s="36" t="s">
        <v>435</v>
      </c>
      <c r="E17" s="36" t="s">
        <v>81</v>
      </c>
      <c r="F17" s="86">
        <v>4</v>
      </c>
      <c r="G17" s="86">
        <v>4</v>
      </c>
      <c r="H17" s="86">
        <v>0</v>
      </c>
      <c r="I17" s="86">
        <v>31</v>
      </c>
      <c r="J17" s="86">
        <f t="shared" si="0"/>
        <v>4</v>
      </c>
      <c r="K17" s="86" t="s">
        <v>531</v>
      </c>
      <c r="L17" s="86"/>
      <c r="M17" s="86"/>
      <c r="N17" s="86"/>
      <c r="O17" s="86"/>
      <c r="P17" s="86"/>
      <c r="Q17" s="86"/>
      <c r="R17" s="86"/>
      <c r="S17" s="86"/>
      <c r="T17" s="86"/>
      <c r="U17" s="86"/>
      <c r="V17" s="86"/>
      <c r="X17" s="86"/>
      <c r="Y17" s="86"/>
      <c r="Z17" s="86"/>
      <c r="AA17" s="86"/>
      <c r="AB17" s="86"/>
      <c r="AC17" s="86"/>
      <c r="AD17" s="86"/>
      <c r="AE17" s="86"/>
      <c r="AF17" s="86"/>
      <c r="AG17" s="86"/>
      <c r="AH17" s="86"/>
      <c r="AI17" s="86"/>
      <c r="AJ17" s="86"/>
      <c r="AK17" s="86"/>
      <c r="AL17" s="86"/>
      <c r="AM17" s="86"/>
      <c r="AN17" s="14"/>
      <c r="AO17" s="14"/>
      <c r="AP17" s="14"/>
      <c r="AQ17" s="14"/>
      <c r="AR17" s="86" t="s">
        <v>437</v>
      </c>
      <c r="AS17" s="14" t="s">
        <v>437</v>
      </c>
      <c r="AT17" s="86" t="s">
        <v>437</v>
      </c>
    </row>
    <row r="18" spans="1:46">
      <c r="A18" s="36" t="s">
        <v>458</v>
      </c>
      <c r="C18" s="36" t="s">
        <v>442</v>
      </c>
      <c r="D18" s="36" t="s">
        <v>435</v>
      </c>
      <c r="E18" s="36" t="s">
        <v>459</v>
      </c>
      <c r="F18" s="86">
        <v>8</v>
      </c>
      <c r="G18" s="86">
        <v>13</v>
      </c>
      <c r="H18" s="86">
        <v>0</v>
      </c>
      <c r="I18" s="86">
        <v>109</v>
      </c>
      <c r="J18" s="86">
        <f t="shared" si="0"/>
        <v>16</v>
      </c>
      <c r="K18" s="86" t="s">
        <v>528</v>
      </c>
      <c r="L18" s="86"/>
      <c r="M18" s="86"/>
      <c r="N18" s="86"/>
      <c r="O18" s="86"/>
      <c r="P18" s="86"/>
      <c r="Q18" s="86"/>
      <c r="R18" s="86"/>
      <c r="S18" s="86"/>
      <c r="T18" s="86"/>
      <c r="U18" s="86"/>
      <c r="V18" s="86"/>
      <c r="X18" s="86"/>
      <c r="Y18" s="86"/>
      <c r="Z18" s="86"/>
      <c r="AA18" s="86"/>
      <c r="AB18" s="14">
        <v>50</v>
      </c>
      <c r="AC18" s="14" t="s">
        <v>531</v>
      </c>
      <c r="AD18" s="14"/>
      <c r="AE18" s="14"/>
      <c r="AF18" s="14"/>
      <c r="AG18" s="14"/>
      <c r="AH18" s="14"/>
      <c r="AI18" s="14"/>
      <c r="AJ18" s="14"/>
      <c r="AK18" s="14"/>
      <c r="AL18" s="14"/>
      <c r="AM18" s="14"/>
      <c r="AN18" s="14"/>
      <c r="AO18" s="14"/>
      <c r="AP18" s="14"/>
      <c r="AQ18" s="14"/>
      <c r="AR18" s="86" t="s">
        <v>437</v>
      </c>
      <c r="AS18" s="86"/>
      <c r="AT18" s="86"/>
    </row>
    <row r="19" spans="1:46">
      <c r="A19" s="36" t="s">
        <v>460</v>
      </c>
      <c r="C19" s="36" t="s">
        <v>442</v>
      </c>
      <c r="D19" s="36" t="s">
        <v>435</v>
      </c>
      <c r="E19" s="36" t="s">
        <v>88</v>
      </c>
      <c r="F19" s="86">
        <v>6</v>
      </c>
      <c r="G19" s="86">
        <v>8</v>
      </c>
      <c r="H19" s="86">
        <v>0</v>
      </c>
      <c r="I19" s="86">
        <v>169</v>
      </c>
      <c r="J19" s="86">
        <f t="shared" si="0"/>
        <v>4</v>
      </c>
      <c r="K19" s="86" t="s">
        <v>529</v>
      </c>
      <c r="L19" s="86"/>
      <c r="M19" s="86"/>
      <c r="N19" s="86"/>
      <c r="O19" s="86"/>
      <c r="P19" s="86"/>
      <c r="Q19" s="86"/>
      <c r="R19" s="86"/>
      <c r="S19" s="86"/>
      <c r="T19" s="86"/>
      <c r="U19" s="86"/>
      <c r="V19" s="86"/>
      <c r="X19" s="86"/>
      <c r="Y19" s="86"/>
      <c r="Z19" s="86"/>
      <c r="AA19" s="86"/>
      <c r="AB19" s="86"/>
      <c r="AC19" s="86"/>
      <c r="AD19" s="86"/>
      <c r="AE19" s="86"/>
      <c r="AF19" s="86"/>
      <c r="AG19" s="86"/>
      <c r="AH19" s="86"/>
      <c r="AI19" s="86"/>
      <c r="AJ19" s="86"/>
      <c r="AK19" s="86"/>
      <c r="AL19" s="86"/>
      <c r="AM19" s="86"/>
      <c r="AN19" s="14"/>
      <c r="AO19" s="14"/>
      <c r="AP19" s="14"/>
      <c r="AQ19" s="14"/>
      <c r="AR19" s="86" t="s">
        <v>437</v>
      </c>
      <c r="AS19" s="14" t="s">
        <v>437</v>
      </c>
      <c r="AT19" s="86"/>
    </row>
    <row r="20" spans="1:46">
      <c r="A20" s="36" t="s">
        <v>461</v>
      </c>
      <c r="C20" s="36" t="s">
        <v>442</v>
      </c>
      <c r="D20" s="36" t="s">
        <v>435</v>
      </c>
      <c r="E20" s="36" t="s">
        <v>612</v>
      </c>
      <c r="F20" s="86">
        <v>8</v>
      </c>
      <c r="G20" s="86">
        <v>8</v>
      </c>
      <c r="H20" s="86">
        <v>0</v>
      </c>
      <c r="I20" s="86">
        <v>61</v>
      </c>
      <c r="J20" s="86">
        <f t="shared" si="0"/>
        <v>4</v>
      </c>
      <c r="K20" s="86" t="s">
        <v>531</v>
      </c>
      <c r="L20" s="86"/>
      <c r="M20" s="86"/>
      <c r="N20" s="86"/>
      <c r="O20" s="86"/>
      <c r="P20" s="86"/>
      <c r="Q20" s="86"/>
      <c r="R20" s="86"/>
      <c r="S20" s="86"/>
      <c r="T20" s="86"/>
      <c r="U20" s="86"/>
      <c r="V20" s="86"/>
      <c r="X20" s="86"/>
      <c r="Y20" s="86"/>
      <c r="Z20" s="86"/>
      <c r="AA20" s="86"/>
      <c r="AB20" s="86"/>
      <c r="AC20" s="86"/>
      <c r="AD20" s="86"/>
      <c r="AE20" s="86"/>
      <c r="AF20" s="86"/>
      <c r="AG20" s="86"/>
      <c r="AH20" s="86"/>
      <c r="AI20" s="86"/>
      <c r="AJ20" s="86"/>
      <c r="AK20" s="86"/>
      <c r="AL20" s="86"/>
      <c r="AM20" s="86"/>
      <c r="AN20" s="14"/>
      <c r="AO20" s="14"/>
      <c r="AP20" s="14"/>
      <c r="AQ20" s="14"/>
      <c r="AR20" s="86" t="s">
        <v>437</v>
      </c>
      <c r="AS20" s="86"/>
      <c r="AT20" s="86"/>
    </row>
    <row r="21" spans="1:46">
      <c r="A21" s="36" t="s">
        <v>462</v>
      </c>
      <c r="C21" s="36" t="s">
        <v>442</v>
      </c>
      <c r="D21" s="36" t="s">
        <v>435</v>
      </c>
      <c r="E21" s="36" t="s">
        <v>612</v>
      </c>
      <c r="F21" s="86">
        <v>8</v>
      </c>
      <c r="G21" s="86">
        <v>8</v>
      </c>
      <c r="H21" s="86">
        <v>0</v>
      </c>
      <c r="I21" s="86">
        <v>61</v>
      </c>
      <c r="J21" s="86">
        <f t="shared" si="0"/>
        <v>4</v>
      </c>
      <c r="K21" s="86" t="s">
        <v>528</v>
      </c>
      <c r="L21" s="86"/>
      <c r="M21" s="86"/>
      <c r="N21" s="86"/>
      <c r="O21" s="86"/>
      <c r="P21" s="86"/>
      <c r="Q21" s="86"/>
      <c r="R21" s="86"/>
      <c r="S21" s="86"/>
      <c r="T21" s="86"/>
      <c r="U21" s="86"/>
      <c r="V21" s="86"/>
      <c r="X21" s="86"/>
      <c r="Y21" s="86"/>
      <c r="Z21" s="86"/>
      <c r="AA21" s="86"/>
      <c r="AB21" s="86"/>
      <c r="AC21" s="86"/>
      <c r="AD21" s="86"/>
      <c r="AE21" s="86"/>
      <c r="AF21" s="86"/>
      <c r="AG21" s="86"/>
      <c r="AH21" s="86"/>
      <c r="AI21" s="86"/>
      <c r="AJ21" s="86"/>
      <c r="AK21" s="86"/>
      <c r="AL21" s="86"/>
      <c r="AM21" s="86"/>
      <c r="AN21" s="14"/>
      <c r="AO21" s="14"/>
      <c r="AP21" s="14"/>
      <c r="AQ21" s="14"/>
      <c r="AR21" s="86" t="s">
        <v>437</v>
      </c>
      <c r="AS21" s="86"/>
      <c r="AT21" s="86"/>
    </row>
    <row r="22" spans="1:46">
      <c r="A22" s="36" t="s">
        <v>463</v>
      </c>
      <c r="C22" s="36" t="s">
        <v>442</v>
      </c>
      <c r="D22" s="36" t="s">
        <v>435</v>
      </c>
      <c r="E22" s="36" t="s">
        <v>96</v>
      </c>
      <c r="F22" s="86">
        <v>8</v>
      </c>
      <c r="G22" s="86">
        <v>19</v>
      </c>
      <c r="H22" s="86">
        <v>0</v>
      </c>
      <c r="I22" s="86">
        <v>151</v>
      </c>
      <c r="J22" s="86">
        <f t="shared" si="0"/>
        <v>16</v>
      </c>
      <c r="K22" s="86" t="s">
        <v>529</v>
      </c>
      <c r="L22" s="86"/>
      <c r="M22" s="86"/>
      <c r="N22" s="86"/>
      <c r="O22" s="86"/>
      <c r="P22" s="86"/>
      <c r="Q22" s="86"/>
      <c r="R22" s="86"/>
      <c r="S22" s="86"/>
      <c r="T22" s="86"/>
      <c r="U22" s="86"/>
      <c r="V22" s="86"/>
      <c r="X22" s="86"/>
      <c r="Y22" s="86"/>
      <c r="Z22" s="86"/>
      <c r="AA22" s="86"/>
      <c r="AB22" s="86"/>
      <c r="AC22" s="86"/>
      <c r="AD22" s="14">
        <v>100</v>
      </c>
      <c r="AE22" s="14" t="s">
        <v>529</v>
      </c>
      <c r="AF22" s="14"/>
      <c r="AG22" s="14"/>
      <c r="AH22" s="14"/>
      <c r="AI22" s="14"/>
      <c r="AJ22" s="14"/>
      <c r="AK22" s="14"/>
      <c r="AL22" s="14"/>
      <c r="AM22" s="14"/>
      <c r="AN22" s="14"/>
      <c r="AO22" s="14"/>
      <c r="AP22" s="14"/>
      <c r="AQ22" s="14"/>
      <c r="AR22" s="86" t="s">
        <v>437</v>
      </c>
      <c r="AS22" s="86"/>
      <c r="AT22" s="86"/>
    </row>
    <row r="23" spans="1:46">
      <c r="A23" s="36" t="s">
        <v>464</v>
      </c>
      <c r="C23" s="36" t="s">
        <v>442</v>
      </c>
      <c r="D23" s="36" t="s">
        <v>435</v>
      </c>
      <c r="E23" s="36" t="s">
        <v>100</v>
      </c>
      <c r="F23" s="86">
        <v>8</v>
      </c>
      <c r="G23" s="86">
        <v>19</v>
      </c>
      <c r="H23" s="86">
        <v>0</v>
      </c>
      <c r="I23" s="86">
        <v>151</v>
      </c>
      <c r="J23" s="86">
        <f t="shared" si="0"/>
        <v>16</v>
      </c>
      <c r="K23" s="86" t="s">
        <v>531</v>
      </c>
      <c r="L23" s="86"/>
      <c r="M23" s="86"/>
      <c r="N23" s="86"/>
      <c r="O23" s="86"/>
      <c r="P23" s="86"/>
      <c r="Q23" s="86"/>
      <c r="R23" s="86"/>
      <c r="S23" s="86"/>
      <c r="T23" s="86"/>
      <c r="U23" s="86"/>
      <c r="V23" s="86"/>
      <c r="X23" s="86"/>
      <c r="Y23" s="86"/>
      <c r="Z23" s="86"/>
      <c r="AA23" s="86"/>
      <c r="AB23" s="86"/>
      <c r="AC23" s="86"/>
      <c r="AD23" s="14">
        <v>100</v>
      </c>
      <c r="AE23" s="14" t="s">
        <v>531</v>
      </c>
      <c r="AF23" s="14"/>
      <c r="AG23" s="14"/>
      <c r="AH23" s="14"/>
      <c r="AI23" s="14"/>
      <c r="AJ23" s="14"/>
      <c r="AK23" s="14"/>
      <c r="AL23" s="14"/>
      <c r="AM23" s="14"/>
      <c r="AN23" s="14"/>
      <c r="AO23" s="14"/>
      <c r="AP23" s="14"/>
      <c r="AQ23" s="14"/>
      <c r="AR23" s="86" t="s">
        <v>437</v>
      </c>
      <c r="AS23" s="86"/>
      <c r="AT23" s="86"/>
    </row>
    <row r="24" spans="1:46">
      <c r="A24" s="36" t="s">
        <v>487</v>
      </c>
      <c r="C24" s="36" t="s">
        <v>442</v>
      </c>
      <c r="D24" s="36" t="s">
        <v>435</v>
      </c>
      <c r="E24" s="36" t="s">
        <v>104</v>
      </c>
      <c r="F24" s="86">
        <v>6</v>
      </c>
      <c r="G24" s="86">
        <v>9</v>
      </c>
      <c r="H24" s="86">
        <v>0</v>
      </c>
      <c r="I24" s="86">
        <v>41</v>
      </c>
      <c r="J24" s="86">
        <f t="shared" si="0"/>
        <v>4</v>
      </c>
      <c r="K24" s="86" t="s">
        <v>528</v>
      </c>
      <c r="L24" s="86"/>
      <c r="M24" s="86"/>
      <c r="N24" s="86"/>
      <c r="O24" s="86"/>
      <c r="P24" s="86"/>
      <c r="Q24" s="86"/>
      <c r="R24" s="86"/>
      <c r="S24" s="86"/>
      <c r="T24" s="86"/>
      <c r="U24" s="86"/>
      <c r="V24" s="86"/>
      <c r="X24" s="86"/>
      <c r="Y24" s="86"/>
      <c r="Z24" s="86"/>
      <c r="AA24" s="86"/>
      <c r="AB24" s="86"/>
      <c r="AC24" s="86"/>
      <c r="AD24" s="86"/>
      <c r="AE24" s="86"/>
      <c r="AF24" s="86"/>
      <c r="AG24" s="86"/>
      <c r="AH24" s="86"/>
      <c r="AI24" s="86"/>
      <c r="AJ24" s="86"/>
      <c r="AK24" s="86"/>
      <c r="AL24" s="86"/>
      <c r="AM24" s="86"/>
      <c r="AN24" s="14"/>
      <c r="AO24" s="14"/>
      <c r="AP24" s="14"/>
      <c r="AQ24" s="14"/>
      <c r="AR24" s="86" t="s">
        <v>437</v>
      </c>
      <c r="AS24" s="86"/>
      <c r="AT24" s="86"/>
    </row>
    <row r="25" spans="1:46">
      <c r="A25" s="36" t="s">
        <v>489</v>
      </c>
      <c r="C25" s="36" t="s">
        <v>442</v>
      </c>
      <c r="D25" s="36" t="s">
        <v>435</v>
      </c>
      <c r="E25" s="36" t="s">
        <v>104</v>
      </c>
      <c r="F25" s="86">
        <v>6</v>
      </c>
      <c r="G25" s="86">
        <v>9</v>
      </c>
      <c r="H25" s="86">
        <v>0</v>
      </c>
      <c r="I25" s="86">
        <v>41</v>
      </c>
      <c r="J25" s="86">
        <f t="shared" si="0"/>
        <v>4</v>
      </c>
      <c r="K25" s="86" t="s">
        <v>529</v>
      </c>
      <c r="L25" s="86"/>
      <c r="M25" s="86"/>
      <c r="N25" s="86"/>
      <c r="O25" s="86"/>
      <c r="P25" s="86"/>
      <c r="Q25" s="86"/>
      <c r="R25" s="86"/>
      <c r="S25" s="86"/>
      <c r="T25" s="86"/>
      <c r="U25" s="86"/>
      <c r="V25" s="86"/>
      <c r="X25" s="86"/>
      <c r="Y25" s="86"/>
      <c r="Z25" s="86"/>
      <c r="AA25" s="86"/>
      <c r="AB25" s="86"/>
      <c r="AC25" s="86"/>
      <c r="AD25" s="86"/>
      <c r="AE25" s="86"/>
      <c r="AF25" s="86"/>
      <c r="AG25" s="86"/>
      <c r="AH25" s="86"/>
      <c r="AI25" s="86"/>
      <c r="AJ25" s="86"/>
      <c r="AK25" s="86"/>
      <c r="AL25" s="86"/>
      <c r="AM25" s="86"/>
      <c r="AN25" s="14"/>
      <c r="AO25" s="14"/>
      <c r="AP25" s="14"/>
      <c r="AQ25" s="14"/>
      <c r="AR25" s="86" t="s">
        <v>437</v>
      </c>
      <c r="AS25" s="86"/>
      <c r="AT25" s="86"/>
    </row>
    <row r="26" spans="1:46">
      <c r="A26" s="36" t="s">
        <v>613</v>
      </c>
      <c r="C26" s="36" t="s">
        <v>442</v>
      </c>
      <c r="D26" s="36" t="s">
        <v>435</v>
      </c>
      <c r="E26" s="36" t="s">
        <v>108</v>
      </c>
      <c r="F26" s="86">
        <v>8</v>
      </c>
      <c r="G26" s="86">
        <v>36</v>
      </c>
      <c r="H26" s="86">
        <v>36</v>
      </c>
      <c r="I26" s="14">
        <v>136</v>
      </c>
      <c r="J26" s="86">
        <f t="shared" si="0"/>
        <v>16</v>
      </c>
      <c r="K26" s="86" t="s">
        <v>531</v>
      </c>
      <c r="L26" s="86"/>
      <c r="M26" s="86"/>
      <c r="N26" s="86"/>
      <c r="O26" s="86"/>
      <c r="P26" s="86"/>
      <c r="Q26" s="86"/>
      <c r="R26" s="86"/>
      <c r="S26" s="86"/>
      <c r="T26" s="86"/>
      <c r="U26" s="86"/>
      <c r="V26" s="86"/>
      <c r="X26" s="86"/>
      <c r="Y26" s="86"/>
      <c r="Z26" s="86"/>
      <c r="AA26" s="86"/>
      <c r="AB26" s="86"/>
      <c r="AC26" s="86"/>
      <c r="AD26" s="86"/>
      <c r="AE26" s="86"/>
      <c r="AF26" s="86"/>
      <c r="AG26" s="86"/>
      <c r="AH26" s="86"/>
      <c r="AI26" s="86"/>
      <c r="AJ26" s="86"/>
      <c r="AK26" s="86"/>
      <c r="AL26" s="86"/>
      <c r="AM26" s="86"/>
      <c r="AN26" s="14"/>
      <c r="AO26" s="14"/>
      <c r="AP26" s="14"/>
      <c r="AQ26" s="14"/>
      <c r="AR26" s="86" t="s">
        <v>437</v>
      </c>
      <c r="AS26" s="14" t="s">
        <v>437</v>
      </c>
      <c r="AT26" s="86"/>
    </row>
    <row r="27" spans="1:46">
      <c r="A27" s="36" t="s">
        <v>614</v>
      </c>
      <c r="C27" s="36" t="s">
        <v>442</v>
      </c>
      <c r="D27" s="36" t="s">
        <v>435</v>
      </c>
      <c r="E27" s="36" t="s">
        <v>108</v>
      </c>
      <c r="F27" s="86">
        <v>8</v>
      </c>
      <c r="G27" s="86">
        <v>36</v>
      </c>
      <c r="H27" s="86">
        <v>36</v>
      </c>
      <c r="I27" s="14">
        <v>136</v>
      </c>
      <c r="J27" s="86">
        <f t="shared" si="0"/>
        <v>16</v>
      </c>
      <c r="K27" s="86" t="s">
        <v>528</v>
      </c>
      <c r="L27" s="86"/>
      <c r="M27" s="86"/>
      <c r="N27" s="86"/>
      <c r="O27" s="86"/>
      <c r="P27" s="86"/>
      <c r="Q27" s="86"/>
      <c r="R27" s="86"/>
      <c r="S27" s="86"/>
      <c r="T27" s="86"/>
      <c r="U27" s="86"/>
      <c r="V27" s="86"/>
      <c r="X27" s="86"/>
      <c r="Y27" s="86"/>
      <c r="Z27" s="86"/>
      <c r="AA27" s="86"/>
      <c r="AB27" s="86"/>
      <c r="AC27" s="86"/>
      <c r="AD27" s="86"/>
      <c r="AE27" s="86"/>
      <c r="AF27" s="86"/>
      <c r="AG27" s="86"/>
      <c r="AH27" s="86"/>
      <c r="AI27" s="86"/>
      <c r="AJ27" s="86"/>
      <c r="AK27" s="86"/>
      <c r="AL27" s="86"/>
      <c r="AM27" s="86"/>
      <c r="AN27" s="14"/>
      <c r="AO27" s="14"/>
      <c r="AP27" s="14"/>
      <c r="AQ27" s="14"/>
      <c r="AR27" s="86" t="s">
        <v>437</v>
      </c>
      <c r="AS27" s="14" t="s">
        <v>437</v>
      </c>
      <c r="AT27" s="86"/>
    </row>
    <row r="28" spans="1:46">
      <c r="A28" s="36" t="s">
        <v>615</v>
      </c>
      <c r="C28" s="36" t="s">
        <v>442</v>
      </c>
      <c r="D28" s="36" t="s">
        <v>435</v>
      </c>
      <c r="E28" s="36" t="s">
        <v>108</v>
      </c>
      <c r="F28" s="86">
        <v>8</v>
      </c>
      <c r="G28" s="86">
        <v>36</v>
      </c>
      <c r="H28" s="86">
        <v>36</v>
      </c>
      <c r="I28" s="14">
        <v>136</v>
      </c>
      <c r="J28" s="86">
        <f t="shared" si="0"/>
        <v>16</v>
      </c>
      <c r="K28" s="86" t="s">
        <v>529</v>
      </c>
      <c r="L28" s="86"/>
      <c r="M28" s="86"/>
      <c r="N28" s="86"/>
      <c r="O28" s="86"/>
      <c r="P28" s="86"/>
      <c r="Q28" s="86"/>
      <c r="R28" s="86"/>
      <c r="S28" s="86"/>
      <c r="T28" s="86"/>
      <c r="V28" s="86"/>
      <c r="X28" s="86"/>
      <c r="Y28" s="86"/>
      <c r="Z28" s="86"/>
      <c r="AA28" s="86"/>
      <c r="AB28" s="86"/>
      <c r="AC28" s="86"/>
      <c r="AD28" s="86"/>
      <c r="AE28" s="86"/>
      <c r="AF28" s="86"/>
      <c r="AG28" s="86"/>
      <c r="AH28" s="86"/>
      <c r="AI28" s="86"/>
      <c r="AJ28" s="86"/>
      <c r="AK28" s="86"/>
      <c r="AL28" s="86"/>
      <c r="AM28" s="86"/>
      <c r="AN28" s="14"/>
      <c r="AO28" s="14"/>
      <c r="AP28" s="14"/>
      <c r="AQ28" s="14"/>
      <c r="AR28" s="86" t="s">
        <v>437</v>
      </c>
      <c r="AS28" s="14" t="s">
        <v>437</v>
      </c>
      <c r="AT28" s="86"/>
    </row>
    <row r="29" spans="1:46">
      <c r="A29" s="36" t="s">
        <v>616</v>
      </c>
      <c r="C29" s="36" t="s">
        <v>442</v>
      </c>
      <c r="D29" s="36" t="s">
        <v>435</v>
      </c>
      <c r="E29" s="36" t="s">
        <v>108</v>
      </c>
      <c r="F29" s="86">
        <v>8</v>
      </c>
      <c r="G29" s="86">
        <v>36</v>
      </c>
      <c r="H29" s="86">
        <v>36</v>
      </c>
      <c r="I29" s="14">
        <v>136</v>
      </c>
      <c r="J29" s="86">
        <f t="shared" si="0"/>
        <v>16</v>
      </c>
      <c r="K29" s="86" t="s">
        <v>531</v>
      </c>
      <c r="L29" s="86"/>
      <c r="M29" s="86"/>
      <c r="N29" s="86"/>
      <c r="O29" s="86"/>
      <c r="P29" s="86"/>
      <c r="Q29" s="86"/>
      <c r="R29" s="86"/>
      <c r="S29" s="86"/>
      <c r="T29" s="86"/>
      <c r="U29" s="86"/>
      <c r="V29" s="86"/>
      <c r="X29" s="86"/>
      <c r="Y29" s="86"/>
      <c r="Z29" s="86"/>
      <c r="AA29" s="86"/>
      <c r="AB29" s="86"/>
      <c r="AC29" s="86"/>
      <c r="AD29" s="86"/>
      <c r="AE29" s="86"/>
      <c r="AF29" s="86"/>
      <c r="AG29" s="86"/>
      <c r="AH29" s="86"/>
      <c r="AI29" s="86"/>
      <c r="AJ29" s="86"/>
      <c r="AK29" s="86"/>
      <c r="AL29" s="86"/>
      <c r="AM29" s="86"/>
      <c r="AN29" s="14"/>
      <c r="AO29" s="14"/>
      <c r="AP29" s="14"/>
      <c r="AQ29" s="14"/>
      <c r="AR29" s="86" t="s">
        <v>437</v>
      </c>
      <c r="AS29" s="14" t="s">
        <v>437</v>
      </c>
      <c r="AT29" s="86"/>
    </row>
    <row r="30" spans="1:46">
      <c r="A30" s="36" t="s">
        <v>621</v>
      </c>
      <c r="C30" s="36" t="s">
        <v>442</v>
      </c>
      <c r="D30" s="36" t="s">
        <v>435</v>
      </c>
      <c r="E30" s="36" t="s">
        <v>108</v>
      </c>
      <c r="F30" s="86">
        <v>8</v>
      </c>
      <c r="G30" s="86">
        <v>36</v>
      </c>
      <c r="H30" s="86">
        <v>36</v>
      </c>
      <c r="I30" s="14">
        <v>136</v>
      </c>
      <c r="J30" s="86">
        <f t="shared" si="0"/>
        <v>16</v>
      </c>
      <c r="K30" s="86" t="s">
        <v>528</v>
      </c>
      <c r="L30" s="86"/>
      <c r="M30" s="86"/>
      <c r="N30" s="86"/>
      <c r="O30" s="86"/>
      <c r="P30" s="86"/>
      <c r="Q30" s="86"/>
      <c r="R30" s="86"/>
      <c r="S30" s="86"/>
      <c r="T30" s="86"/>
      <c r="U30" s="86"/>
      <c r="V30" s="86"/>
      <c r="X30" s="86"/>
      <c r="Y30" s="86"/>
      <c r="Z30" s="86"/>
      <c r="AA30" s="86"/>
      <c r="AB30" s="86"/>
      <c r="AC30" s="86"/>
      <c r="AD30" s="86"/>
      <c r="AE30" s="86"/>
      <c r="AF30" s="86"/>
      <c r="AG30" s="86"/>
      <c r="AH30" s="86"/>
      <c r="AI30" s="86"/>
      <c r="AJ30" s="86"/>
      <c r="AK30" s="86"/>
      <c r="AL30" s="86"/>
      <c r="AM30" s="86"/>
      <c r="AN30" s="14"/>
      <c r="AO30" s="14"/>
      <c r="AP30" s="14"/>
      <c r="AQ30" s="14"/>
      <c r="AR30" s="86" t="s">
        <v>437</v>
      </c>
      <c r="AS30" s="14" t="s">
        <v>437</v>
      </c>
      <c r="AT30" s="86"/>
    </row>
    <row r="31" spans="1:46">
      <c r="A31" s="36" t="s">
        <v>622</v>
      </c>
      <c r="C31" s="36" t="s">
        <v>442</v>
      </c>
      <c r="D31" s="36" t="s">
        <v>435</v>
      </c>
      <c r="E31" s="36" t="s">
        <v>108</v>
      </c>
      <c r="F31" s="86">
        <v>8</v>
      </c>
      <c r="G31" s="86">
        <v>36</v>
      </c>
      <c r="H31" s="86">
        <v>36</v>
      </c>
      <c r="I31" s="14">
        <v>136</v>
      </c>
      <c r="J31" s="86">
        <f t="shared" si="0"/>
        <v>16</v>
      </c>
      <c r="K31" s="86" t="s">
        <v>529</v>
      </c>
      <c r="L31" s="86"/>
      <c r="M31" s="86"/>
      <c r="N31" s="86"/>
      <c r="O31" s="86"/>
      <c r="P31" s="86"/>
      <c r="Q31" s="86"/>
      <c r="R31" s="86"/>
      <c r="S31" s="86"/>
      <c r="T31" s="86"/>
      <c r="U31" s="86"/>
      <c r="V31" s="86"/>
      <c r="X31" s="86"/>
      <c r="Y31" s="86"/>
      <c r="Z31" s="86"/>
      <c r="AA31" s="86"/>
      <c r="AB31" s="86"/>
      <c r="AC31" s="86"/>
      <c r="AD31" s="86"/>
      <c r="AE31" s="86"/>
      <c r="AF31" s="86"/>
      <c r="AG31" s="86"/>
      <c r="AH31" s="86"/>
      <c r="AI31" s="86"/>
      <c r="AJ31" s="86"/>
      <c r="AK31" s="86"/>
      <c r="AL31" s="86"/>
      <c r="AM31" s="86"/>
      <c r="AN31" s="14"/>
      <c r="AO31" s="14"/>
      <c r="AP31" s="14"/>
      <c r="AQ31" s="14"/>
      <c r="AR31" s="86" t="s">
        <v>437</v>
      </c>
      <c r="AS31" s="14" t="s">
        <v>437</v>
      </c>
      <c r="AT31" s="86"/>
    </row>
    <row r="32" spans="1:46">
      <c r="A32" s="36" t="s">
        <v>633</v>
      </c>
      <c r="C32" s="36" t="s">
        <v>442</v>
      </c>
      <c r="D32" s="36" t="s">
        <v>435</v>
      </c>
      <c r="E32" s="36" t="s">
        <v>108</v>
      </c>
      <c r="F32" s="86">
        <v>8</v>
      </c>
      <c r="G32" s="86">
        <v>36</v>
      </c>
      <c r="H32" s="86">
        <v>36</v>
      </c>
      <c r="I32" s="14">
        <v>136</v>
      </c>
      <c r="J32" s="86">
        <f t="shared" si="0"/>
        <v>16</v>
      </c>
      <c r="K32" s="86" t="s">
        <v>531</v>
      </c>
      <c r="L32" s="86"/>
      <c r="M32" s="86"/>
      <c r="N32" s="86"/>
      <c r="O32" s="86"/>
      <c r="P32" s="86"/>
      <c r="Q32" s="86"/>
      <c r="R32" s="86"/>
      <c r="S32" s="86"/>
      <c r="T32" s="86"/>
      <c r="U32" s="86"/>
      <c r="V32" s="86"/>
      <c r="X32" s="86"/>
      <c r="Y32" s="86"/>
      <c r="Z32" s="86"/>
      <c r="AA32" s="86"/>
      <c r="AB32" s="86"/>
      <c r="AC32" s="86"/>
      <c r="AD32" s="86"/>
      <c r="AE32" s="86"/>
      <c r="AF32" s="86"/>
      <c r="AG32" s="86"/>
      <c r="AH32" s="86"/>
      <c r="AI32" s="86"/>
      <c r="AJ32" s="86"/>
      <c r="AK32" s="86"/>
      <c r="AL32" s="86"/>
      <c r="AM32" s="86"/>
      <c r="AN32" s="14"/>
      <c r="AO32" s="14"/>
      <c r="AP32" s="14"/>
      <c r="AQ32" s="14"/>
      <c r="AR32" s="86" t="s">
        <v>437</v>
      </c>
      <c r="AS32" s="14" t="s">
        <v>437</v>
      </c>
      <c r="AT32" s="86"/>
    </row>
    <row r="33" spans="1:46">
      <c r="A33" s="36" t="s">
        <v>634</v>
      </c>
      <c r="C33" s="36" t="s">
        <v>442</v>
      </c>
      <c r="D33" s="36" t="s">
        <v>435</v>
      </c>
      <c r="E33" s="36" t="s">
        <v>108</v>
      </c>
      <c r="F33" s="86">
        <v>8</v>
      </c>
      <c r="G33" s="86">
        <v>36</v>
      </c>
      <c r="H33" s="86">
        <v>36</v>
      </c>
      <c r="I33" s="14">
        <v>136</v>
      </c>
      <c r="J33" s="86">
        <f t="shared" si="0"/>
        <v>16</v>
      </c>
      <c r="K33" s="86" t="s">
        <v>528</v>
      </c>
      <c r="L33" s="86"/>
      <c r="M33" s="86"/>
      <c r="N33" s="86"/>
      <c r="O33" s="86"/>
      <c r="P33" s="86"/>
      <c r="Q33" s="86"/>
      <c r="R33" s="86"/>
      <c r="S33" s="86"/>
      <c r="T33" s="86"/>
      <c r="U33" s="86"/>
      <c r="V33" s="86"/>
      <c r="X33" s="86"/>
      <c r="Y33" s="86"/>
      <c r="Z33" s="86"/>
      <c r="AA33" s="86"/>
      <c r="AB33" s="86"/>
      <c r="AC33" s="86"/>
      <c r="AD33" s="86"/>
      <c r="AE33" s="86"/>
      <c r="AF33" s="86"/>
      <c r="AG33" s="86"/>
      <c r="AH33" s="86"/>
      <c r="AI33" s="86"/>
      <c r="AJ33" s="86"/>
      <c r="AK33" s="86"/>
      <c r="AL33" s="86"/>
      <c r="AM33" s="86"/>
      <c r="AN33" s="14"/>
      <c r="AO33" s="14"/>
      <c r="AP33" s="14"/>
      <c r="AQ33" s="14"/>
      <c r="AR33" s="86" t="s">
        <v>437</v>
      </c>
      <c r="AS33" s="14" t="s">
        <v>437</v>
      </c>
      <c r="AT33" s="86"/>
    </row>
    <row r="34" spans="1:46">
      <c r="A34" s="36" t="s">
        <v>644</v>
      </c>
      <c r="C34" s="36" t="s">
        <v>442</v>
      </c>
      <c r="D34" s="21" t="s">
        <v>488</v>
      </c>
      <c r="E34" s="6" t="s">
        <v>112</v>
      </c>
      <c r="F34" s="86">
        <v>4</v>
      </c>
      <c r="G34" s="86">
        <v>4</v>
      </c>
      <c r="H34" s="86">
        <v>0</v>
      </c>
      <c r="I34" s="86">
        <v>100</v>
      </c>
      <c r="J34" s="86">
        <v>0</v>
      </c>
      <c r="K34" s="86" t="s">
        <v>529</v>
      </c>
      <c r="L34" s="86"/>
      <c r="M34" s="86"/>
      <c r="N34" s="86"/>
      <c r="O34" s="86"/>
      <c r="P34" s="86"/>
      <c r="Q34" s="86"/>
      <c r="R34" s="86"/>
      <c r="S34" s="86"/>
      <c r="T34" s="86"/>
      <c r="U34" s="86"/>
      <c r="V34" s="86"/>
      <c r="X34" s="86"/>
      <c r="Y34" s="86"/>
      <c r="Z34" s="86"/>
      <c r="AA34" s="86"/>
      <c r="AB34" s="86"/>
      <c r="AC34" s="86"/>
      <c r="AD34" s="86"/>
      <c r="AE34" s="86"/>
      <c r="AF34" s="86"/>
      <c r="AG34" s="86"/>
      <c r="AH34" s="86"/>
      <c r="AI34" s="86"/>
      <c r="AJ34" s="86"/>
      <c r="AK34" s="86"/>
      <c r="AL34" s="86"/>
      <c r="AM34" s="86"/>
      <c r="AN34" s="14"/>
      <c r="AO34" s="14"/>
      <c r="AP34" s="14"/>
      <c r="AQ34" s="14"/>
      <c r="AR34" s="86" t="s">
        <v>437</v>
      </c>
      <c r="AS34" s="86"/>
      <c r="AT34" s="86"/>
    </row>
    <row r="35" spans="1:46">
      <c r="A35" s="36" t="s">
        <v>645</v>
      </c>
      <c r="C35" s="36" t="s">
        <v>442</v>
      </c>
      <c r="D35" s="21" t="s">
        <v>488</v>
      </c>
      <c r="E35" s="6" t="s">
        <v>120</v>
      </c>
      <c r="F35" s="86">
        <v>4</v>
      </c>
      <c r="G35" s="86">
        <v>16</v>
      </c>
      <c r="H35" s="86">
        <v>0</v>
      </c>
      <c r="I35" s="14">
        <v>110</v>
      </c>
      <c r="J35" s="86">
        <v>0</v>
      </c>
      <c r="K35" s="86" t="s">
        <v>531</v>
      </c>
      <c r="L35" s="86"/>
      <c r="M35" s="86"/>
      <c r="N35" s="86"/>
      <c r="O35" s="86"/>
      <c r="P35" s="86"/>
      <c r="Q35" s="86"/>
      <c r="R35" s="86"/>
      <c r="S35" s="86"/>
      <c r="T35" s="86"/>
      <c r="U35" s="86"/>
      <c r="V35" s="86"/>
      <c r="X35" s="86"/>
      <c r="Y35" s="86"/>
      <c r="Z35" s="86"/>
      <c r="AA35" s="86"/>
      <c r="AB35" s="86"/>
      <c r="AC35" s="86"/>
      <c r="AD35" s="86"/>
      <c r="AE35" s="86"/>
      <c r="AF35" s="86"/>
      <c r="AG35" s="86"/>
      <c r="AH35" s="86"/>
      <c r="AI35" s="86"/>
      <c r="AJ35" s="86"/>
      <c r="AK35" s="86"/>
      <c r="AL35" s="86"/>
      <c r="AM35" s="86"/>
      <c r="AN35" s="14"/>
      <c r="AO35" s="14"/>
      <c r="AP35" s="14"/>
      <c r="AQ35" s="14"/>
      <c r="AR35" s="86" t="s">
        <v>437</v>
      </c>
      <c r="AS35" s="86"/>
      <c r="AT35" s="86"/>
    </row>
    <row r="36" spans="1:46">
      <c r="A36" s="36" t="s">
        <v>490</v>
      </c>
      <c r="C36" s="36" t="s">
        <v>442</v>
      </c>
      <c r="D36" s="21" t="s">
        <v>488</v>
      </c>
      <c r="E36" s="6" t="s">
        <v>116</v>
      </c>
      <c r="F36" s="86">
        <v>4</v>
      </c>
      <c r="G36" s="86">
        <v>14</v>
      </c>
      <c r="H36" s="86">
        <v>0</v>
      </c>
      <c r="I36" s="14">
        <v>120</v>
      </c>
      <c r="J36" s="86">
        <v>0</v>
      </c>
      <c r="K36" s="14" t="s">
        <v>529</v>
      </c>
      <c r="L36" s="86"/>
      <c r="M36" s="86"/>
      <c r="N36" s="86"/>
      <c r="O36" s="86"/>
      <c r="P36" s="86"/>
      <c r="Q36" s="86"/>
      <c r="R36" s="86"/>
      <c r="S36" s="86"/>
      <c r="T36" s="86"/>
      <c r="U36" s="86"/>
      <c r="V36" s="86"/>
      <c r="X36" s="86"/>
      <c r="Y36" s="86"/>
      <c r="Z36" s="86"/>
      <c r="AA36" s="86"/>
      <c r="AB36" s="86"/>
      <c r="AC36" s="86"/>
      <c r="AD36" s="86"/>
      <c r="AE36" s="86"/>
      <c r="AF36" s="86"/>
      <c r="AG36" s="86"/>
      <c r="AH36" s="86"/>
      <c r="AI36" s="86"/>
      <c r="AJ36" s="86"/>
      <c r="AK36" s="86"/>
      <c r="AL36" s="86"/>
      <c r="AM36" s="86"/>
      <c r="AN36" s="14"/>
      <c r="AO36" s="14"/>
      <c r="AP36" s="14"/>
      <c r="AQ36" s="14"/>
      <c r="AR36" s="86" t="s">
        <v>437</v>
      </c>
      <c r="AS36" s="86"/>
      <c r="AT36" s="86"/>
    </row>
    <row r="37" spans="1:46">
      <c r="A37" s="36" t="s">
        <v>465</v>
      </c>
      <c r="B37" s="86"/>
      <c r="C37" s="36" t="s">
        <v>442</v>
      </c>
      <c r="D37" s="36" t="s">
        <v>435</v>
      </c>
      <c r="E37" s="36" t="s">
        <v>124</v>
      </c>
      <c r="F37" s="86">
        <v>10</v>
      </c>
      <c r="G37" s="86">
        <v>12</v>
      </c>
      <c r="H37" s="86">
        <v>0</v>
      </c>
      <c r="I37" s="86">
        <v>56</v>
      </c>
      <c r="J37" s="86">
        <f t="shared" ref="J37:J45" si="1">IF(G37&gt;=10,16, 4)</f>
        <v>16</v>
      </c>
      <c r="K37" s="86" t="s">
        <v>528</v>
      </c>
      <c r="L37" s="86"/>
      <c r="M37" s="86"/>
      <c r="N37" s="86"/>
      <c r="O37" s="86"/>
      <c r="P37" s="86"/>
      <c r="Q37" s="86"/>
      <c r="R37" s="86"/>
      <c r="S37" s="86"/>
      <c r="T37" s="86"/>
      <c r="U37" s="86"/>
      <c r="V37" s="86"/>
      <c r="X37" s="86"/>
      <c r="Y37" s="86"/>
      <c r="Z37" s="86">
        <v>83</v>
      </c>
      <c r="AA37" s="86" t="s">
        <v>466</v>
      </c>
      <c r="AB37" s="86"/>
      <c r="AC37" s="86"/>
      <c r="AD37" s="86"/>
      <c r="AE37" s="86"/>
      <c r="AF37" s="86"/>
      <c r="AG37" s="86"/>
      <c r="AH37" s="86"/>
      <c r="AI37" s="86"/>
      <c r="AJ37" s="86"/>
      <c r="AK37" s="86"/>
      <c r="AL37" s="86"/>
      <c r="AM37" s="86"/>
      <c r="AN37" s="14"/>
      <c r="AO37" s="14"/>
      <c r="AP37" s="14"/>
      <c r="AQ37" s="14"/>
      <c r="AR37" s="86" t="s">
        <v>437</v>
      </c>
      <c r="AS37" s="86"/>
      <c r="AT37" s="86"/>
    </row>
    <row r="38" spans="1:46">
      <c r="A38" s="36" t="s">
        <v>467</v>
      </c>
      <c r="C38" s="36" t="s">
        <v>442</v>
      </c>
      <c r="D38" s="36" t="s">
        <v>435</v>
      </c>
      <c r="E38" s="36" t="s">
        <v>124</v>
      </c>
      <c r="F38" s="86">
        <v>10</v>
      </c>
      <c r="G38" s="86">
        <v>12</v>
      </c>
      <c r="H38" s="86">
        <v>0</v>
      </c>
      <c r="I38" s="86">
        <v>56</v>
      </c>
      <c r="J38" s="86">
        <f t="shared" si="1"/>
        <v>16</v>
      </c>
      <c r="K38" s="86" t="s">
        <v>529</v>
      </c>
      <c r="L38" s="86"/>
      <c r="M38" s="86"/>
      <c r="N38" s="86"/>
      <c r="O38" s="86"/>
      <c r="P38" s="86"/>
      <c r="Q38" s="86"/>
      <c r="R38" s="86"/>
      <c r="S38" s="86"/>
      <c r="T38" s="86"/>
      <c r="U38" s="86"/>
      <c r="V38" s="86"/>
      <c r="X38" s="86"/>
      <c r="Y38" s="86"/>
      <c r="Z38" s="86">
        <v>83</v>
      </c>
      <c r="AA38" s="86" t="s">
        <v>466</v>
      </c>
      <c r="AB38" s="86"/>
      <c r="AC38" s="86"/>
      <c r="AD38" s="86"/>
      <c r="AE38" s="86"/>
      <c r="AF38" s="86"/>
      <c r="AG38" s="86"/>
      <c r="AH38" s="86"/>
      <c r="AI38" s="86"/>
      <c r="AJ38" s="86"/>
      <c r="AK38" s="86"/>
      <c r="AL38" s="86"/>
      <c r="AM38" s="86"/>
      <c r="AN38" s="14"/>
      <c r="AO38" s="14"/>
      <c r="AP38" s="14"/>
      <c r="AQ38" s="14"/>
      <c r="AR38" s="86" t="s">
        <v>437</v>
      </c>
      <c r="AS38" s="86"/>
      <c r="AT38" s="86"/>
    </row>
    <row r="39" spans="1:46">
      <c r="A39" s="36" t="s">
        <v>635</v>
      </c>
      <c r="C39" s="36" t="s">
        <v>442</v>
      </c>
      <c r="D39" s="36" t="s">
        <v>435</v>
      </c>
      <c r="E39" s="36" t="s">
        <v>124</v>
      </c>
      <c r="F39" s="86">
        <v>10</v>
      </c>
      <c r="G39" s="86">
        <v>12</v>
      </c>
      <c r="H39" s="86">
        <v>0</v>
      </c>
      <c r="I39" s="86">
        <v>56</v>
      </c>
      <c r="J39" s="86">
        <f t="shared" si="1"/>
        <v>16</v>
      </c>
      <c r="K39" s="86" t="s">
        <v>531</v>
      </c>
      <c r="L39" s="86"/>
      <c r="M39" s="86"/>
      <c r="N39" s="86"/>
      <c r="O39" s="86"/>
      <c r="P39" s="86"/>
      <c r="Q39" s="86"/>
      <c r="R39" s="86"/>
      <c r="S39" s="86"/>
      <c r="T39" s="86"/>
      <c r="U39" s="86"/>
      <c r="V39" s="86"/>
      <c r="X39" s="86"/>
      <c r="Y39" s="86"/>
      <c r="Z39" s="86">
        <v>83</v>
      </c>
      <c r="AA39" s="86" t="s">
        <v>466</v>
      </c>
      <c r="AB39" s="86"/>
      <c r="AC39" s="86"/>
      <c r="AD39" s="86"/>
      <c r="AE39" s="86"/>
      <c r="AF39" s="86"/>
      <c r="AG39" s="86"/>
      <c r="AH39" s="86"/>
      <c r="AI39" s="86"/>
      <c r="AJ39" s="86"/>
      <c r="AK39" s="86"/>
      <c r="AL39" s="86"/>
      <c r="AM39" s="86"/>
      <c r="AN39" s="14"/>
      <c r="AO39" s="14"/>
      <c r="AP39" s="14"/>
      <c r="AQ39" s="14"/>
      <c r="AR39" s="86" t="s">
        <v>437</v>
      </c>
      <c r="AS39" s="86"/>
      <c r="AT39" s="86"/>
    </row>
    <row r="40" spans="1:46">
      <c r="A40" s="36" t="s">
        <v>636</v>
      </c>
      <c r="C40" s="36" t="s">
        <v>442</v>
      </c>
      <c r="D40" s="36" t="s">
        <v>435</v>
      </c>
      <c r="E40" s="36" t="s">
        <v>124</v>
      </c>
      <c r="F40" s="86">
        <v>10</v>
      </c>
      <c r="G40" s="86">
        <v>12</v>
      </c>
      <c r="H40" s="86">
        <v>0</v>
      </c>
      <c r="I40" s="86">
        <v>56</v>
      </c>
      <c r="J40" s="86">
        <f t="shared" si="1"/>
        <v>16</v>
      </c>
      <c r="K40" s="86" t="s">
        <v>528</v>
      </c>
      <c r="L40" s="86"/>
      <c r="M40" s="86"/>
      <c r="N40" s="86"/>
      <c r="O40" s="86"/>
      <c r="P40" s="86"/>
      <c r="Q40" s="86"/>
      <c r="R40" s="86"/>
      <c r="S40" s="86"/>
      <c r="T40" s="86"/>
      <c r="U40" s="86"/>
      <c r="V40" s="86"/>
      <c r="X40" s="86"/>
      <c r="Y40" s="86"/>
      <c r="Z40" s="86">
        <v>83</v>
      </c>
      <c r="AA40" s="86" t="s">
        <v>466</v>
      </c>
      <c r="AB40" s="86"/>
      <c r="AC40" s="86"/>
      <c r="AD40" s="86"/>
      <c r="AE40" s="86"/>
      <c r="AF40" s="86"/>
      <c r="AG40" s="86"/>
      <c r="AH40" s="86"/>
      <c r="AI40" s="86"/>
      <c r="AJ40" s="86"/>
      <c r="AK40" s="86"/>
      <c r="AL40" s="86"/>
      <c r="AM40" s="86"/>
      <c r="AN40" s="14"/>
      <c r="AO40" s="14"/>
      <c r="AP40" s="14"/>
      <c r="AQ40" s="14"/>
      <c r="AR40" s="86" t="s">
        <v>437</v>
      </c>
      <c r="AS40" s="86"/>
      <c r="AT40" s="86"/>
    </row>
    <row r="41" spans="1:46">
      <c r="A41" s="36" t="s">
        <v>468</v>
      </c>
      <c r="C41" s="36" t="s">
        <v>442</v>
      </c>
      <c r="D41" s="36" t="s">
        <v>435</v>
      </c>
      <c r="E41" s="36" t="s">
        <v>469</v>
      </c>
      <c r="F41" s="86">
        <v>4</v>
      </c>
      <c r="G41" s="86">
        <v>4</v>
      </c>
      <c r="H41" s="86">
        <v>0</v>
      </c>
      <c r="I41" s="86">
        <v>41</v>
      </c>
      <c r="J41" s="86">
        <f t="shared" si="1"/>
        <v>4</v>
      </c>
      <c r="K41" s="86" t="s">
        <v>531</v>
      </c>
      <c r="L41" s="86"/>
      <c r="M41" s="86"/>
      <c r="N41" s="86"/>
      <c r="O41" s="86"/>
      <c r="P41" s="86"/>
      <c r="Q41" s="86"/>
      <c r="R41" s="86"/>
      <c r="S41" s="86"/>
      <c r="T41" s="86"/>
      <c r="U41" s="86"/>
      <c r="V41" s="86"/>
      <c r="X41" s="86"/>
      <c r="Y41" s="86"/>
      <c r="Z41" s="86"/>
      <c r="AA41" s="86"/>
      <c r="AB41" s="86"/>
      <c r="AC41" s="86"/>
      <c r="AD41" s="86"/>
      <c r="AE41" s="86"/>
      <c r="AF41" s="86"/>
      <c r="AG41" s="86"/>
      <c r="AH41" s="86"/>
      <c r="AI41" s="86"/>
      <c r="AJ41" s="86"/>
      <c r="AK41" s="86"/>
      <c r="AL41" s="86"/>
      <c r="AM41" s="86"/>
      <c r="AN41" s="14"/>
      <c r="AO41" s="14"/>
      <c r="AP41" s="14"/>
      <c r="AQ41" s="14"/>
      <c r="AR41" s="86" t="s">
        <v>437</v>
      </c>
      <c r="AS41" s="86"/>
      <c r="AT41" s="86"/>
    </row>
    <row r="42" spans="1:46">
      <c r="A42" s="36" t="s">
        <v>470</v>
      </c>
      <c r="C42" s="36" t="s">
        <v>442</v>
      </c>
      <c r="D42" s="36" t="s">
        <v>435</v>
      </c>
      <c r="E42" s="36" t="s">
        <v>471</v>
      </c>
      <c r="F42" s="86">
        <v>4</v>
      </c>
      <c r="G42" s="86">
        <v>4</v>
      </c>
      <c r="H42" s="86">
        <v>0</v>
      </c>
      <c r="I42" s="86">
        <v>41</v>
      </c>
      <c r="J42" s="86">
        <f t="shared" si="1"/>
        <v>4</v>
      </c>
      <c r="K42" s="86" t="s">
        <v>531</v>
      </c>
      <c r="L42" s="86"/>
      <c r="M42" s="86"/>
      <c r="N42" s="86"/>
      <c r="O42" s="86"/>
      <c r="P42" s="86"/>
      <c r="Q42" s="86"/>
      <c r="R42" s="86"/>
      <c r="S42" s="86"/>
      <c r="T42" s="86"/>
      <c r="U42" s="86"/>
      <c r="V42" s="86"/>
      <c r="X42" s="86"/>
      <c r="Y42" s="86"/>
      <c r="Z42" s="86"/>
      <c r="AA42" s="86"/>
      <c r="AB42" s="86"/>
      <c r="AC42" s="86"/>
      <c r="AD42" s="86"/>
      <c r="AE42" s="86"/>
      <c r="AF42" s="86"/>
      <c r="AG42" s="86"/>
      <c r="AH42" s="86"/>
      <c r="AI42" s="86"/>
      <c r="AJ42" s="86"/>
      <c r="AK42" s="86"/>
      <c r="AL42" s="86"/>
      <c r="AM42" s="86"/>
      <c r="AN42" s="14"/>
      <c r="AO42" s="14"/>
      <c r="AP42" s="14"/>
      <c r="AQ42" s="14"/>
      <c r="AR42" s="86" t="s">
        <v>437</v>
      </c>
      <c r="AS42" s="86"/>
      <c r="AT42" s="86"/>
    </row>
    <row r="43" spans="1:46" ht="14.45">
      <c r="A43" s="6" t="s">
        <v>472</v>
      </c>
      <c r="B43" s="6"/>
      <c r="C43" s="6" t="s">
        <v>442</v>
      </c>
      <c r="D43" s="36" t="s">
        <v>435</v>
      </c>
      <c r="E43" s="6" t="s">
        <v>473</v>
      </c>
      <c r="F43" s="14">
        <v>8</v>
      </c>
      <c r="G43" s="14">
        <v>11</v>
      </c>
      <c r="H43" s="14">
        <v>0</v>
      </c>
      <c r="I43" s="14">
        <v>125</v>
      </c>
      <c r="J43" s="86">
        <f t="shared" si="1"/>
        <v>16</v>
      </c>
      <c r="K43" s="86" t="s">
        <v>528</v>
      </c>
      <c r="L43" s="86"/>
      <c r="M43" s="86"/>
      <c r="N43" s="45"/>
      <c r="O43" s="44"/>
      <c r="P43" s="86"/>
      <c r="Q43" s="86"/>
      <c r="R43" s="86"/>
      <c r="S43" s="86"/>
      <c r="T43" s="86"/>
      <c r="U43" s="86"/>
      <c r="X43" s="86"/>
      <c r="Z43" s="86"/>
      <c r="AA43" s="86"/>
      <c r="AB43" s="86"/>
      <c r="AC43" s="86"/>
      <c r="AD43" s="86"/>
      <c r="AE43" s="86"/>
      <c r="AH43" s="86">
        <v>135</v>
      </c>
      <c r="AI43" s="86" t="s">
        <v>474</v>
      </c>
      <c r="AJ43" s="86"/>
      <c r="AK43" s="86"/>
      <c r="AL43" s="86"/>
      <c r="AM43" s="86"/>
      <c r="AN43" s="86"/>
      <c r="AO43" s="86"/>
      <c r="AP43" s="86"/>
      <c r="AQ43" s="86"/>
      <c r="AR43" s="86" t="s">
        <v>437</v>
      </c>
      <c r="AS43" s="86"/>
      <c r="AT43" s="86"/>
    </row>
    <row r="44" spans="1:46" s="6" customFormat="1" ht="13.5" customHeight="1">
      <c r="A44" s="6" t="s">
        <v>480</v>
      </c>
      <c r="C44" s="6" t="s">
        <v>442</v>
      </c>
      <c r="D44" s="6" t="s">
        <v>435</v>
      </c>
      <c r="E44" s="6" t="s">
        <v>637</v>
      </c>
      <c r="F44" s="14">
        <v>7</v>
      </c>
      <c r="G44" s="14">
        <v>7</v>
      </c>
      <c r="H44" s="14">
        <v>0</v>
      </c>
      <c r="I44" s="14">
        <v>90</v>
      </c>
      <c r="J44" s="86">
        <f t="shared" si="1"/>
        <v>4</v>
      </c>
      <c r="K44" s="86" t="s">
        <v>529</v>
      </c>
      <c r="L44" s="14"/>
      <c r="M44" s="14"/>
      <c r="N44" s="2"/>
      <c r="O44"/>
      <c r="P44" s="14"/>
      <c r="Q44" s="14"/>
      <c r="R44" s="14"/>
      <c r="S44" s="14"/>
      <c r="T44" s="14"/>
      <c r="U44" s="14"/>
      <c r="V44" s="14"/>
      <c r="W44" s="14"/>
      <c r="X44" s="14"/>
      <c r="AF44" s="14"/>
      <c r="AG44" s="86"/>
      <c r="AH44" s="86">
        <v>135</v>
      </c>
      <c r="AI44" s="86" t="s">
        <v>474</v>
      </c>
      <c r="AJ44" s="86"/>
      <c r="AK44" s="86"/>
      <c r="AL44" s="86"/>
      <c r="AM44" s="86"/>
      <c r="AR44" s="14" t="s">
        <v>437</v>
      </c>
      <c r="AS44" s="14"/>
      <c r="AT44" s="14"/>
    </row>
    <row r="45" spans="1:46" s="19" customFormat="1" ht="13.5" customHeight="1">
      <c r="A45" s="19" t="s">
        <v>476</v>
      </c>
      <c r="C45" s="19" t="s">
        <v>442</v>
      </c>
      <c r="D45" s="19" t="s">
        <v>435</v>
      </c>
      <c r="E45" s="19" t="s">
        <v>638</v>
      </c>
      <c r="F45" s="17">
        <v>6</v>
      </c>
      <c r="G45" s="17">
        <v>6</v>
      </c>
      <c r="H45" s="17">
        <v>0</v>
      </c>
      <c r="I45" s="17">
        <v>60</v>
      </c>
      <c r="J45" s="86">
        <f t="shared" si="1"/>
        <v>4</v>
      </c>
      <c r="K45" s="86" t="s">
        <v>531</v>
      </c>
      <c r="L45" s="17"/>
      <c r="M45" s="17"/>
      <c r="N45" s="99"/>
      <c r="O45" s="98"/>
      <c r="P45" s="17"/>
      <c r="Q45" s="17"/>
      <c r="R45" s="17"/>
      <c r="S45" s="17"/>
      <c r="T45" s="17"/>
      <c r="U45" s="17"/>
      <c r="V45" s="17"/>
      <c r="W45" s="17"/>
      <c r="X45" s="17"/>
      <c r="AF45" s="17"/>
      <c r="AG45" s="39"/>
      <c r="AH45" s="39">
        <v>135</v>
      </c>
      <c r="AI45" s="39" t="s">
        <v>474</v>
      </c>
      <c r="AJ45" s="39"/>
      <c r="AK45" s="39"/>
      <c r="AL45" s="39"/>
      <c r="AM45" s="39"/>
      <c r="AR45" s="17" t="s">
        <v>437</v>
      </c>
      <c r="AS45" s="17"/>
      <c r="AT45" s="17"/>
    </row>
    <row r="46" spans="1:46" s="40" customFormat="1">
      <c r="F46" s="41">
        <f>SUM(F8:F45)</f>
        <v>270</v>
      </c>
      <c r="G46" s="41">
        <f>SUM(G8:G45)</f>
        <v>806</v>
      </c>
      <c r="H46" s="41">
        <f>SUM(H8:H45)</f>
        <v>545</v>
      </c>
      <c r="I46" s="41">
        <f>SUM(I8:I45)</f>
        <v>3609</v>
      </c>
      <c r="J46" s="41"/>
      <c r="K46" s="41"/>
      <c r="L46" s="41">
        <f>SUM(L8:L45)</f>
        <v>500</v>
      </c>
      <c r="M46" s="41"/>
      <c r="N46" s="41">
        <f>SUM(N8:N45)</f>
        <v>16400</v>
      </c>
      <c r="O46" s="41"/>
      <c r="P46" s="41">
        <f>SUM(P8:P45)</f>
        <v>18000</v>
      </c>
      <c r="Q46" s="41"/>
      <c r="R46" s="41">
        <f>SUM(R8:R45)</f>
        <v>1395</v>
      </c>
      <c r="S46" s="41"/>
      <c r="T46" s="41">
        <f>SUM(T8:T45)</f>
        <v>300</v>
      </c>
      <c r="U46" s="41"/>
      <c r="V46" s="41">
        <f>SUM(V8:V45)</f>
        <v>0</v>
      </c>
      <c r="W46" s="41"/>
      <c r="X46" s="41">
        <f>SUM(X8:X45)</f>
        <v>34400</v>
      </c>
      <c r="Z46" s="41">
        <f>SUM(Z8:Z45)</f>
        <v>332</v>
      </c>
      <c r="AB46" s="41">
        <f>SUM(AB8:AB45)</f>
        <v>50</v>
      </c>
      <c r="AD46" s="41">
        <f>SUM(AD8:AD45)</f>
        <v>200</v>
      </c>
      <c r="AF46" s="41">
        <f>SUM(AF8:AF45)</f>
        <v>0</v>
      </c>
      <c r="AH46" s="41">
        <f>SUM(AH8:AH45)</f>
        <v>405</v>
      </c>
      <c r="AJ46" s="41">
        <f>SUM(AJ8:AJ45)</f>
        <v>0</v>
      </c>
      <c r="AL46" s="41">
        <f>SUM(AL8:AL45)</f>
        <v>0</v>
      </c>
      <c r="AN46" s="18">
        <f>SUM(AN8:AN45)</f>
        <v>6144</v>
      </c>
      <c r="AO46" s="20"/>
      <c r="AP46" s="18">
        <f>SUM(AP8:AP45)</f>
        <v>0</v>
      </c>
      <c r="AQ46" s="20"/>
      <c r="AR46" s="41">
        <f>COUNTIF(AR8:AR45,"x")</f>
        <v>38</v>
      </c>
      <c r="AS46" s="41">
        <f>COUNTIF(AS8:AS45,"x")</f>
        <v>14</v>
      </c>
      <c r="AT46" s="41">
        <f>COUNTIF(AT8:AT45,"x")</f>
        <v>2</v>
      </c>
    </row>
    <row r="47" spans="1:46" s="6" customFormat="1" ht="13.5" customHeight="1">
      <c r="A47" s="16" t="s">
        <v>475</v>
      </c>
      <c r="F47" s="14"/>
      <c r="G47" s="14"/>
      <c r="H47" s="14"/>
      <c r="I47" s="14"/>
      <c r="J47" s="14"/>
      <c r="K47" s="14"/>
      <c r="L47" s="14"/>
      <c r="M47" s="14"/>
      <c r="N47" s="14"/>
      <c r="O47"/>
      <c r="P47" s="14"/>
      <c r="Q47" s="14"/>
      <c r="R47" s="14"/>
      <c r="S47" s="14"/>
      <c r="T47" s="14"/>
      <c r="U47" s="14"/>
      <c r="V47" s="14"/>
      <c r="X47" s="14"/>
      <c r="Z47" s="14"/>
      <c r="AB47" s="14"/>
      <c r="AD47" s="14"/>
      <c r="AF47" s="14"/>
      <c r="AG47" s="14"/>
      <c r="AH47" s="14"/>
      <c r="AI47" s="14"/>
      <c r="AJ47" s="14"/>
      <c r="AK47" s="14"/>
      <c r="AL47" s="14"/>
      <c r="AM47" s="14"/>
      <c r="AN47" s="14"/>
      <c r="AR47" s="14"/>
    </row>
    <row r="48" spans="1:46">
      <c r="A48" s="36" t="s">
        <v>476</v>
      </c>
      <c r="C48" s="36" t="s">
        <v>442</v>
      </c>
      <c r="D48" s="36" t="s">
        <v>435</v>
      </c>
      <c r="E48" s="36" t="s">
        <v>477</v>
      </c>
      <c r="F48" s="86">
        <v>8</v>
      </c>
      <c r="G48" s="86">
        <v>16</v>
      </c>
      <c r="H48" s="86">
        <v>0</v>
      </c>
      <c r="I48" s="86">
        <v>30</v>
      </c>
      <c r="J48" s="86">
        <f>IF(G48&gt;=10,16, 4)-J45</f>
        <v>12</v>
      </c>
      <c r="K48" s="86" t="s">
        <v>531</v>
      </c>
      <c r="L48" s="86"/>
      <c r="M48" s="86"/>
      <c r="N48" s="86"/>
      <c r="O48" s="86"/>
      <c r="P48" s="86"/>
      <c r="Q48" s="86"/>
      <c r="R48" s="86"/>
      <c r="S48" s="86"/>
      <c r="T48" s="86"/>
      <c r="U48" s="86"/>
      <c r="V48" s="86"/>
      <c r="X48" s="86">
        <v>200</v>
      </c>
      <c r="Y48" s="86" t="s">
        <v>663</v>
      </c>
      <c r="Z48" s="86"/>
      <c r="AA48" s="86"/>
      <c r="AB48" s="86"/>
      <c r="AC48" s="86"/>
      <c r="AD48" s="86"/>
      <c r="AE48" s="86"/>
      <c r="AF48" s="86"/>
      <c r="AG48" s="86"/>
      <c r="AH48" s="86"/>
      <c r="AI48" s="86"/>
      <c r="AJ48" s="86"/>
      <c r="AK48" s="86"/>
      <c r="AL48" s="86"/>
      <c r="AM48" s="86"/>
      <c r="AN48" s="14"/>
      <c r="AO48" s="14"/>
      <c r="AP48" s="14">
        <v>150</v>
      </c>
      <c r="AQ48" s="14" t="s">
        <v>474</v>
      </c>
      <c r="AR48" s="86"/>
      <c r="AS48" s="86"/>
      <c r="AT48" s="86"/>
    </row>
    <row r="49" spans="1:53" ht="12.95">
      <c r="A49" s="186" t="s">
        <v>478</v>
      </c>
      <c r="B49" s="187"/>
      <c r="AN49" s="14"/>
    </row>
    <row r="50" spans="1:53" s="6" customFormat="1" ht="13.5" customHeight="1">
      <c r="A50" s="6" t="s">
        <v>472</v>
      </c>
      <c r="C50" s="6" t="s">
        <v>442</v>
      </c>
      <c r="D50" s="6" t="s">
        <v>435</v>
      </c>
      <c r="E50" s="6" t="s">
        <v>479</v>
      </c>
      <c r="F50" s="14">
        <v>8</v>
      </c>
      <c r="G50" s="14">
        <v>22</v>
      </c>
      <c r="H50" s="14">
        <v>0</v>
      </c>
      <c r="I50" s="14">
        <v>28</v>
      </c>
      <c r="J50" s="86">
        <f>IF(G50&gt;=10,16, 4)-J43</f>
        <v>0</v>
      </c>
      <c r="K50" s="14" t="s">
        <v>528</v>
      </c>
      <c r="L50" s="14"/>
      <c r="M50" s="14"/>
      <c r="N50" s="2"/>
      <c r="O50"/>
      <c r="P50" s="14"/>
      <c r="Q50" s="14"/>
      <c r="R50" s="14">
        <v>120</v>
      </c>
      <c r="S50" s="14" t="s">
        <v>661</v>
      </c>
      <c r="V50" s="86">
        <v>250</v>
      </c>
      <c r="W50" s="86" t="s">
        <v>663</v>
      </c>
      <c r="X50" s="14">
        <v>120</v>
      </c>
      <c r="Y50" s="86" t="s">
        <v>662</v>
      </c>
      <c r="AD50" s="14"/>
      <c r="AE50" s="14"/>
      <c r="AF50" s="86">
        <v>200</v>
      </c>
      <c r="AG50" s="86" t="s">
        <v>474</v>
      </c>
      <c r="AH50" s="14"/>
      <c r="AX50" s="14"/>
      <c r="AY50" s="14"/>
      <c r="AZ50" s="14"/>
      <c r="BA50" s="14"/>
    </row>
    <row r="51" spans="1:53" s="19" customFormat="1" ht="13.5" customHeight="1">
      <c r="A51" s="19" t="s">
        <v>480</v>
      </c>
      <c r="C51" s="19" t="s">
        <v>442</v>
      </c>
      <c r="D51" s="19" t="s">
        <v>435</v>
      </c>
      <c r="E51" s="19" t="s">
        <v>481</v>
      </c>
      <c r="F51" s="17">
        <v>6</v>
      </c>
      <c r="G51" s="17">
        <v>17</v>
      </c>
      <c r="H51" s="17">
        <v>0</v>
      </c>
      <c r="I51" s="17">
        <v>30</v>
      </c>
      <c r="J51" s="17">
        <f>IF(G51&gt;=10,16, 4)-J44</f>
        <v>12</v>
      </c>
      <c r="K51" s="17" t="s">
        <v>529</v>
      </c>
      <c r="L51" s="17"/>
      <c r="M51" s="17"/>
      <c r="N51" s="99"/>
      <c r="O51" s="98"/>
      <c r="P51" s="17"/>
      <c r="Q51" s="17"/>
      <c r="R51" s="17"/>
      <c r="S51" s="39"/>
      <c r="V51" s="17"/>
      <c r="W51" s="17"/>
      <c r="X51" s="17"/>
      <c r="Y51" s="17"/>
      <c r="AD51" s="17"/>
      <c r="AE51" s="17"/>
      <c r="AF51" s="17"/>
      <c r="AG51" s="17"/>
      <c r="AH51" s="17"/>
      <c r="AP51" s="156"/>
      <c r="AQ51" s="156"/>
      <c r="AX51" s="17"/>
      <c r="AY51" s="17"/>
      <c r="AZ51" s="17"/>
      <c r="BA51" s="17"/>
    </row>
    <row r="52" spans="1:53" s="6" customFormat="1" ht="13.5" customHeight="1">
      <c r="F52" s="14">
        <f>SUM(F48:F51)+F46</f>
        <v>292</v>
      </c>
      <c r="G52" s="14">
        <f>SUM(G48:G51)+G46</f>
        <v>861</v>
      </c>
      <c r="H52" s="14">
        <f>SUM(H48:H51)+H46</f>
        <v>545</v>
      </c>
      <c r="I52" s="14">
        <f>SUM(I48:I51)+I46</f>
        <v>3697</v>
      </c>
      <c r="J52" s="14"/>
      <c r="K52" s="14"/>
      <c r="L52" s="14">
        <f>SUM(L48:L51)+L46</f>
        <v>500</v>
      </c>
      <c r="M52" s="14"/>
      <c r="N52" s="14">
        <f>SUM(N48:N51)+N46</f>
        <v>16400</v>
      </c>
      <c r="O52"/>
      <c r="P52" s="14">
        <f>SUM(P48:P51)+P46</f>
        <v>18000</v>
      </c>
      <c r="Q52" s="14"/>
      <c r="R52" s="14">
        <f>SUM(R48:R51)+R46</f>
        <v>1515</v>
      </c>
      <c r="S52" s="14"/>
      <c r="T52" s="14">
        <f>SUM(T48:T51)+T46</f>
        <v>300</v>
      </c>
      <c r="V52" s="14">
        <f>SUM(V48:V51)+V46</f>
        <v>250</v>
      </c>
      <c r="W52" s="14"/>
      <c r="X52" s="14">
        <f>SUM(X48:X51)+X46</f>
        <v>34720</v>
      </c>
      <c r="Z52" s="14">
        <f>SUM(Z48:Z51)+Z46</f>
        <v>332</v>
      </c>
      <c r="AB52" s="14">
        <f>SUM(AB48:AB51)+AB46</f>
        <v>50</v>
      </c>
      <c r="AD52" s="14">
        <f>SUM(AD48:AD51)+AD46</f>
        <v>200</v>
      </c>
      <c r="AE52" s="14"/>
      <c r="AF52" s="14">
        <f>SUM(AF48:AF51)+AF46</f>
        <v>200</v>
      </c>
      <c r="AG52" s="14"/>
      <c r="AH52" s="14">
        <f>SUM(AH48:AH51)+AH46</f>
        <v>405</v>
      </c>
      <c r="AI52" s="14"/>
      <c r="AJ52" s="14">
        <f>SUM(AJ48:AJ51)+AJ46</f>
        <v>0</v>
      </c>
      <c r="AK52" s="14"/>
      <c r="AL52" s="14">
        <f>SUM(AL48:AL51)+AL46</f>
        <v>0</v>
      </c>
      <c r="AM52" s="14"/>
      <c r="AN52" s="14">
        <f>SUM(AN48:AN51)+AN46</f>
        <v>6144</v>
      </c>
      <c r="AP52" s="155">
        <f>SUM(AP48:AP51)+AP46</f>
        <v>150</v>
      </c>
      <c r="AR52" s="41">
        <f>COUNTIF(AR48:AR51,"x")+AR46</f>
        <v>38</v>
      </c>
      <c r="AS52" s="41">
        <f>COUNTIF(AS48:AS51,"x")+AS46</f>
        <v>14</v>
      </c>
      <c r="AT52" s="41">
        <f>COUNTIF(AT48:AT51,"x")+AT46</f>
        <v>2</v>
      </c>
      <c r="AU52" s="14"/>
      <c r="AV52" s="14"/>
      <c r="AW52" s="14"/>
      <c r="AX52" s="14"/>
    </row>
    <row r="53" spans="1:53" ht="14.45">
      <c r="B53"/>
      <c r="C53"/>
      <c r="D53"/>
      <c r="E53"/>
      <c r="F53" s="85"/>
      <c r="G53" s="119"/>
      <c r="H53"/>
      <c r="I53"/>
      <c r="J53"/>
      <c r="K53"/>
      <c r="L53"/>
      <c r="M53"/>
      <c r="N53"/>
      <c r="O53"/>
    </row>
    <row r="54" spans="1:53" ht="12.95">
      <c r="A54" s="16" t="s">
        <v>485</v>
      </c>
      <c r="AN54" s="36"/>
      <c r="AO54" s="36"/>
      <c r="AP54" s="36"/>
      <c r="AQ54" s="36"/>
    </row>
    <row r="55" spans="1:53">
      <c r="A55" s="36" t="s">
        <v>486</v>
      </c>
      <c r="C55" s="36" t="s">
        <v>442</v>
      </c>
      <c r="D55" s="36" t="s">
        <v>435</v>
      </c>
      <c r="E55" s="36" t="s">
        <v>44</v>
      </c>
      <c r="F55" s="86">
        <v>16</v>
      </c>
      <c r="G55" s="86">
        <v>64</v>
      </c>
      <c r="H55" s="86">
        <v>0</v>
      </c>
      <c r="I55" s="14">
        <v>71</v>
      </c>
      <c r="J55" s="86">
        <f>IF(G55&gt;=10,16, 4)</f>
        <v>16</v>
      </c>
      <c r="K55" s="86"/>
      <c r="AN55" s="36"/>
      <c r="AO55" s="36"/>
      <c r="AP55" s="36"/>
      <c r="AQ55" s="36"/>
      <c r="AR55" s="86" t="s">
        <v>437</v>
      </c>
      <c r="AT55" s="86"/>
    </row>
    <row r="56" spans="1:53">
      <c r="A56" s="36" t="s">
        <v>539</v>
      </c>
      <c r="C56" s="36" t="s">
        <v>442</v>
      </c>
      <c r="D56" s="21" t="s">
        <v>488</v>
      </c>
      <c r="E56" s="6" t="s">
        <v>112</v>
      </c>
      <c r="F56" s="86">
        <v>4</v>
      </c>
      <c r="G56" s="86">
        <v>4</v>
      </c>
      <c r="H56" s="86">
        <v>0</v>
      </c>
      <c r="I56" s="86">
        <v>100</v>
      </c>
      <c r="J56" s="86">
        <v>0</v>
      </c>
      <c r="K56" s="86"/>
      <c r="AN56" s="36"/>
      <c r="AO56" s="36"/>
      <c r="AP56" s="36"/>
      <c r="AQ56" s="36"/>
      <c r="AR56" s="86" t="s">
        <v>437</v>
      </c>
      <c r="AT56" s="86"/>
    </row>
    <row r="57" spans="1:53">
      <c r="A57" s="36" t="s">
        <v>491</v>
      </c>
      <c r="C57" s="36" t="s">
        <v>442</v>
      </c>
      <c r="D57" s="21" t="s">
        <v>488</v>
      </c>
      <c r="E57" s="6" t="s">
        <v>120</v>
      </c>
      <c r="F57" s="86">
        <v>4</v>
      </c>
      <c r="G57" s="86">
        <v>16</v>
      </c>
      <c r="H57" s="86">
        <v>0</v>
      </c>
      <c r="I57" s="86">
        <v>100</v>
      </c>
      <c r="J57" s="86">
        <v>0</v>
      </c>
      <c r="K57" s="86"/>
      <c r="AN57" s="36"/>
      <c r="AO57" s="36"/>
      <c r="AP57" s="36"/>
      <c r="AQ57" s="36"/>
      <c r="AR57" s="86" t="s">
        <v>437</v>
      </c>
      <c r="AT57" s="86"/>
    </row>
    <row r="58" spans="1:53">
      <c r="A58" s="36" t="s">
        <v>540</v>
      </c>
      <c r="C58" s="36" t="s">
        <v>442</v>
      </c>
      <c r="D58" s="21" t="s">
        <v>488</v>
      </c>
      <c r="E58" s="6" t="s">
        <v>120</v>
      </c>
      <c r="F58" s="86">
        <v>4</v>
      </c>
      <c r="G58" s="86">
        <v>16</v>
      </c>
      <c r="H58" s="86">
        <v>0</v>
      </c>
      <c r="I58" s="86">
        <v>100</v>
      </c>
      <c r="J58" s="86">
        <v>0</v>
      </c>
      <c r="K58" s="86"/>
      <c r="AN58" s="36"/>
      <c r="AO58" s="36"/>
      <c r="AP58" s="36"/>
      <c r="AQ58" s="36"/>
      <c r="AR58" s="86" t="s">
        <v>437</v>
      </c>
      <c r="AT58" s="86"/>
    </row>
    <row r="59" spans="1:53">
      <c r="A59" s="36" t="s">
        <v>623</v>
      </c>
      <c r="C59" s="36" t="s">
        <v>442</v>
      </c>
      <c r="D59" s="21" t="s">
        <v>488</v>
      </c>
      <c r="E59" s="6" t="s">
        <v>120</v>
      </c>
      <c r="F59" s="86">
        <v>4</v>
      </c>
      <c r="G59" s="86">
        <v>16</v>
      </c>
      <c r="H59" s="86">
        <v>0</v>
      </c>
      <c r="I59" s="86">
        <v>100</v>
      </c>
      <c r="J59" s="86">
        <v>0</v>
      </c>
      <c r="K59" s="86"/>
      <c r="AN59" s="36"/>
      <c r="AO59" s="36"/>
      <c r="AP59" s="36"/>
      <c r="AQ59" s="36"/>
      <c r="AR59" s="86" t="s">
        <v>437</v>
      </c>
      <c r="AT59" s="86"/>
    </row>
    <row r="60" spans="1:53">
      <c r="A60" s="36" t="s">
        <v>624</v>
      </c>
      <c r="C60" s="36" t="s">
        <v>442</v>
      </c>
      <c r="D60" s="21" t="s">
        <v>488</v>
      </c>
      <c r="E60" s="6" t="s">
        <v>120</v>
      </c>
      <c r="F60" s="86">
        <v>4</v>
      </c>
      <c r="G60" s="86">
        <v>16</v>
      </c>
      <c r="H60" s="86">
        <v>0</v>
      </c>
      <c r="I60" s="86">
        <v>100</v>
      </c>
      <c r="J60" s="86">
        <v>0</v>
      </c>
      <c r="K60" s="86"/>
      <c r="AN60" s="36"/>
      <c r="AO60" s="36"/>
      <c r="AP60" s="36"/>
      <c r="AQ60" s="36"/>
      <c r="AR60" s="86" t="s">
        <v>437</v>
      </c>
      <c r="AT60" s="86"/>
    </row>
    <row r="61" spans="1:53">
      <c r="A61" s="36" t="s">
        <v>646</v>
      </c>
      <c r="C61" s="36" t="s">
        <v>442</v>
      </c>
      <c r="D61" s="21" t="s">
        <v>488</v>
      </c>
      <c r="E61" s="6" t="s">
        <v>120</v>
      </c>
      <c r="F61" s="86">
        <v>4</v>
      </c>
      <c r="G61" s="86">
        <v>16</v>
      </c>
      <c r="H61" s="86">
        <v>0</v>
      </c>
      <c r="I61" s="86">
        <v>100</v>
      </c>
      <c r="J61" s="86">
        <v>0</v>
      </c>
      <c r="K61" s="86"/>
      <c r="AN61" s="36"/>
      <c r="AO61" s="36"/>
      <c r="AP61" s="36"/>
      <c r="AQ61" s="36"/>
      <c r="AR61" s="86" t="s">
        <v>437</v>
      </c>
      <c r="AT61" s="86"/>
    </row>
    <row r="62" spans="1:53">
      <c r="A62" s="36" t="s">
        <v>647</v>
      </c>
      <c r="C62" s="36" t="s">
        <v>442</v>
      </c>
      <c r="D62" s="21" t="s">
        <v>488</v>
      </c>
      <c r="E62" s="6" t="s">
        <v>120</v>
      </c>
      <c r="F62" s="86">
        <v>4</v>
      </c>
      <c r="G62" s="86">
        <v>16</v>
      </c>
      <c r="H62" s="86">
        <v>0</v>
      </c>
      <c r="I62" s="86">
        <v>100</v>
      </c>
      <c r="J62" s="86">
        <v>0</v>
      </c>
      <c r="K62" s="86"/>
      <c r="AN62" s="36"/>
      <c r="AO62" s="36"/>
      <c r="AP62" s="36"/>
      <c r="AQ62" s="36"/>
      <c r="AR62" s="86" t="s">
        <v>437</v>
      </c>
      <c r="AT62" s="86"/>
    </row>
    <row r="63" spans="1:53">
      <c r="A63" s="36" t="s">
        <v>648</v>
      </c>
      <c r="C63" s="36" t="s">
        <v>442</v>
      </c>
      <c r="D63" s="21" t="s">
        <v>488</v>
      </c>
      <c r="E63" s="6" t="s">
        <v>120</v>
      </c>
      <c r="F63" s="86">
        <v>4</v>
      </c>
      <c r="G63" s="86">
        <v>16</v>
      </c>
      <c r="H63" s="86">
        <v>0</v>
      </c>
      <c r="I63" s="86">
        <v>100</v>
      </c>
      <c r="J63" s="86">
        <v>0</v>
      </c>
      <c r="K63" s="86"/>
      <c r="AN63" s="36"/>
      <c r="AO63" s="36"/>
      <c r="AP63" s="36"/>
      <c r="AQ63" s="36"/>
      <c r="AR63" s="86" t="s">
        <v>437</v>
      </c>
      <c r="AT63" s="86"/>
    </row>
    <row r="64" spans="1:53">
      <c r="A64" s="36" t="s">
        <v>541</v>
      </c>
      <c r="C64" s="36" t="s">
        <v>442</v>
      </c>
      <c r="D64" s="21" t="s">
        <v>488</v>
      </c>
      <c r="E64" s="6" t="s">
        <v>116</v>
      </c>
      <c r="F64" s="86">
        <v>4</v>
      </c>
      <c r="G64" s="86">
        <v>14</v>
      </c>
      <c r="H64" s="86">
        <v>0</v>
      </c>
      <c r="I64" s="14">
        <v>120</v>
      </c>
      <c r="J64" s="86">
        <v>0</v>
      </c>
      <c r="K64" s="86"/>
      <c r="AN64" s="36"/>
      <c r="AO64" s="36"/>
      <c r="AP64" s="36"/>
      <c r="AQ64" s="36"/>
      <c r="AR64" s="86" t="s">
        <v>437</v>
      </c>
      <c r="AT64" s="86"/>
    </row>
    <row r="65" spans="1:46">
      <c r="A65" s="36" t="s">
        <v>649</v>
      </c>
      <c r="C65" s="36" t="s">
        <v>442</v>
      </c>
      <c r="D65" s="21" t="s">
        <v>488</v>
      </c>
      <c r="E65" s="6" t="s">
        <v>120</v>
      </c>
      <c r="F65" s="86">
        <v>4</v>
      </c>
      <c r="G65" s="86">
        <v>16</v>
      </c>
      <c r="H65" s="86">
        <v>0</v>
      </c>
      <c r="I65" s="86">
        <v>100</v>
      </c>
      <c r="J65" s="86">
        <v>0</v>
      </c>
      <c r="K65" s="86"/>
      <c r="AN65" s="36"/>
      <c r="AO65" s="36"/>
      <c r="AP65" s="36"/>
      <c r="AQ65" s="36"/>
      <c r="AR65" s="86" t="s">
        <v>437</v>
      </c>
      <c r="AT65" s="86"/>
    </row>
    <row r="66" spans="1:46">
      <c r="A66" s="36" t="s">
        <v>492</v>
      </c>
      <c r="C66" s="36" t="s">
        <v>442</v>
      </c>
      <c r="D66" s="36" t="s">
        <v>435</v>
      </c>
      <c r="E66" s="36" t="s">
        <v>55</v>
      </c>
      <c r="F66" s="86">
        <v>6</v>
      </c>
      <c r="G66" s="86">
        <v>20</v>
      </c>
      <c r="H66" s="86">
        <v>0</v>
      </c>
      <c r="I66" s="86">
        <v>201</v>
      </c>
      <c r="J66" s="86">
        <f t="shared" ref="J66:J80" si="2">IF(G66&gt;=10,16, 4)</f>
        <v>16</v>
      </c>
      <c r="K66" s="86"/>
      <c r="AN66" s="36"/>
      <c r="AO66" s="36"/>
      <c r="AP66" s="36"/>
      <c r="AQ66" s="36"/>
      <c r="AR66" s="86" t="s">
        <v>437</v>
      </c>
      <c r="AT66" s="86"/>
    </row>
    <row r="67" spans="1:46">
      <c r="A67" s="36" t="s">
        <v>493</v>
      </c>
      <c r="C67" s="36" t="s">
        <v>442</v>
      </c>
      <c r="D67" s="36" t="s">
        <v>435</v>
      </c>
      <c r="E67" s="36" t="s">
        <v>55</v>
      </c>
      <c r="F67" s="86">
        <v>6</v>
      </c>
      <c r="G67" s="86">
        <v>20</v>
      </c>
      <c r="H67" s="86">
        <v>0</v>
      </c>
      <c r="I67" s="86">
        <v>201</v>
      </c>
      <c r="J67" s="86">
        <f t="shared" si="2"/>
        <v>16</v>
      </c>
      <c r="K67" s="86"/>
      <c r="AN67" s="36"/>
      <c r="AO67" s="36"/>
      <c r="AP67" s="36"/>
      <c r="AQ67" s="36"/>
      <c r="AR67" s="86" t="s">
        <v>437</v>
      </c>
      <c r="AT67" s="86"/>
    </row>
    <row r="68" spans="1:46">
      <c r="A68" s="36" t="s">
        <v>625</v>
      </c>
      <c r="C68" s="36" t="s">
        <v>442</v>
      </c>
      <c r="D68" s="36" t="s">
        <v>435</v>
      </c>
      <c r="E68" s="36" t="s">
        <v>55</v>
      </c>
      <c r="F68" s="86">
        <v>6</v>
      </c>
      <c r="G68" s="86">
        <v>20</v>
      </c>
      <c r="H68" s="86">
        <v>0</v>
      </c>
      <c r="I68" s="86">
        <v>201</v>
      </c>
      <c r="J68" s="86">
        <f t="shared" si="2"/>
        <v>16</v>
      </c>
      <c r="K68" s="86"/>
      <c r="AN68" s="36"/>
      <c r="AO68" s="36"/>
      <c r="AP68" s="36"/>
      <c r="AQ68" s="36"/>
      <c r="AR68" s="86" t="s">
        <v>437</v>
      </c>
      <c r="AT68" s="86"/>
    </row>
    <row r="69" spans="1:46">
      <c r="A69" s="36" t="s">
        <v>626</v>
      </c>
      <c r="C69" s="36" t="s">
        <v>442</v>
      </c>
      <c r="D69" s="36" t="s">
        <v>435</v>
      </c>
      <c r="E69" s="36" t="s">
        <v>55</v>
      </c>
      <c r="F69" s="86">
        <v>6</v>
      </c>
      <c r="G69" s="86">
        <v>20</v>
      </c>
      <c r="H69" s="86">
        <v>0</v>
      </c>
      <c r="I69" s="86">
        <v>201</v>
      </c>
      <c r="J69" s="86">
        <f t="shared" si="2"/>
        <v>16</v>
      </c>
      <c r="K69" s="86"/>
      <c r="AN69" s="36"/>
      <c r="AO69" s="36"/>
      <c r="AP69" s="36"/>
      <c r="AQ69" s="36"/>
      <c r="AR69" s="86" t="s">
        <v>437</v>
      </c>
      <c r="AT69" s="86"/>
    </row>
    <row r="70" spans="1:46">
      <c r="A70" s="36" t="s">
        <v>494</v>
      </c>
      <c r="C70" s="36" t="s">
        <v>442</v>
      </c>
      <c r="D70" s="36" t="s">
        <v>435</v>
      </c>
      <c r="E70" s="36" t="s">
        <v>71</v>
      </c>
      <c r="F70" s="86">
        <v>2</v>
      </c>
      <c r="G70" s="86">
        <v>4</v>
      </c>
      <c r="H70" s="86">
        <v>0</v>
      </c>
      <c r="I70" s="86">
        <v>41</v>
      </c>
      <c r="J70" s="86">
        <f t="shared" si="2"/>
        <v>4</v>
      </c>
      <c r="K70" s="86"/>
      <c r="AN70" s="36"/>
      <c r="AO70" s="36"/>
      <c r="AP70" s="36"/>
      <c r="AQ70" s="36"/>
      <c r="AR70" s="86" t="s">
        <v>437</v>
      </c>
      <c r="AT70" s="86"/>
    </row>
    <row r="71" spans="1:46">
      <c r="A71" s="36" t="s">
        <v>495</v>
      </c>
      <c r="C71" s="36" t="s">
        <v>442</v>
      </c>
      <c r="D71" s="36" t="s">
        <v>435</v>
      </c>
      <c r="E71" s="36" t="s">
        <v>63</v>
      </c>
      <c r="F71" s="86">
        <v>2</v>
      </c>
      <c r="G71" s="86">
        <v>4</v>
      </c>
      <c r="H71" s="86">
        <v>0</v>
      </c>
      <c r="I71" s="86">
        <v>31</v>
      </c>
      <c r="J71" s="86">
        <f t="shared" si="2"/>
        <v>4</v>
      </c>
      <c r="K71" s="86"/>
      <c r="AN71" s="36"/>
      <c r="AO71" s="36"/>
      <c r="AP71" s="36"/>
      <c r="AQ71" s="36"/>
      <c r="AR71" s="86" t="s">
        <v>437</v>
      </c>
      <c r="AT71" s="86"/>
    </row>
    <row r="72" spans="1:46">
      <c r="A72" s="36" t="s">
        <v>496</v>
      </c>
      <c r="C72" s="36" t="s">
        <v>442</v>
      </c>
      <c r="D72" s="36" t="s">
        <v>435</v>
      </c>
      <c r="E72" s="36" t="s">
        <v>67</v>
      </c>
      <c r="F72" s="86">
        <v>4</v>
      </c>
      <c r="G72" s="86">
        <v>4</v>
      </c>
      <c r="H72" s="86">
        <v>0</v>
      </c>
      <c r="I72" s="86">
        <v>36</v>
      </c>
      <c r="J72" s="86">
        <f t="shared" si="2"/>
        <v>4</v>
      </c>
      <c r="K72" s="86"/>
      <c r="AN72" s="36"/>
      <c r="AO72" s="36"/>
      <c r="AP72" s="36"/>
      <c r="AQ72" s="36"/>
      <c r="AR72" s="86" t="s">
        <v>437</v>
      </c>
      <c r="AT72" s="86"/>
    </row>
    <row r="73" spans="1:46" ht="14.45">
      <c r="A73" s="36" t="s">
        <v>497</v>
      </c>
      <c r="C73" s="36" t="s">
        <v>442</v>
      </c>
      <c r="D73" s="36" t="s">
        <v>435</v>
      </c>
      <c r="E73" s="36" t="s">
        <v>276</v>
      </c>
      <c r="F73" s="86">
        <v>7</v>
      </c>
      <c r="G73" s="86">
        <v>8</v>
      </c>
      <c r="H73" s="86">
        <v>0</v>
      </c>
      <c r="I73" s="14">
        <v>111</v>
      </c>
      <c r="J73" s="86">
        <f t="shared" si="2"/>
        <v>4</v>
      </c>
      <c r="K73" s="45"/>
      <c r="L73" s="86"/>
      <c r="M73" s="86"/>
      <c r="N73" s="45"/>
      <c r="O73" s="44"/>
      <c r="P73" s="86"/>
      <c r="Q73" s="86"/>
      <c r="R73" s="86"/>
      <c r="S73" s="86"/>
      <c r="T73" s="86"/>
      <c r="U73" s="86"/>
      <c r="V73" s="86"/>
      <c r="X73" s="86"/>
      <c r="Z73" s="86"/>
      <c r="AA73" s="86"/>
      <c r="AB73" s="86"/>
      <c r="AC73" s="86"/>
      <c r="AD73" s="86"/>
      <c r="AE73" s="86"/>
      <c r="AF73" s="86"/>
      <c r="AG73" s="86"/>
      <c r="AH73" s="86"/>
      <c r="AI73" s="86"/>
      <c r="AJ73" s="86"/>
      <c r="AK73" s="86"/>
      <c r="AL73" s="86"/>
      <c r="AM73" s="86"/>
      <c r="AN73" s="36"/>
      <c r="AO73" s="36"/>
      <c r="AP73" s="36"/>
      <c r="AQ73" s="36"/>
      <c r="AR73" s="86" t="s">
        <v>437</v>
      </c>
      <c r="AT73" s="86" t="s">
        <v>437</v>
      </c>
    </row>
    <row r="74" spans="1:46" ht="14.45">
      <c r="A74" s="36" t="s">
        <v>650</v>
      </c>
      <c r="C74" s="36" t="s">
        <v>442</v>
      </c>
      <c r="D74" s="36" t="s">
        <v>435</v>
      </c>
      <c r="E74" s="36" t="s">
        <v>276</v>
      </c>
      <c r="F74" s="86">
        <v>6</v>
      </c>
      <c r="G74" s="86">
        <v>7</v>
      </c>
      <c r="H74" s="86">
        <v>0</v>
      </c>
      <c r="I74" s="14">
        <v>111</v>
      </c>
      <c r="J74" s="86">
        <f t="shared" si="2"/>
        <v>4</v>
      </c>
      <c r="K74" s="45"/>
      <c r="L74" s="86"/>
      <c r="M74" s="86"/>
      <c r="N74" s="45"/>
      <c r="O74" s="44"/>
      <c r="P74" s="86"/>
      <c r="Q74" s="86"/>
      <c r="R74" s="86"/>
      <c r="S74" s="86"/>
      <c r="T74" s="86"/>
      <c r="U74" s="86"/>
      <c r="V74" s="86"/>
      <c r="X74" s="86"/>
      <c r="Z74" s="86"/>
      <c r="AA74" s="86"/>
      <c r="AB74" s="86"/>
      <c r="AC74" s="86"/>
      <c r="AD74" s="86"/>
      <c r="AE74" s="86"/>
      <c r="AF74" s="86"/>
      <c r="AG74" s="86"/>
      <c r="AH74" s="86"/>
      <c r="AI74" s="86"/>
      <c r="AJ74" s="86"/>
      <c r="AK74" s="86"/>
      <c r="AL74" s="86"/>
      <c r="AM74" s="86"/>
      <c r="AN74" s="86"/>
      <c r="AO74" s="86"/>
      <c r="AP74" s="86"/>
      <c r="AQ74" s="86"/>
      <c r="AR74" s="86" t="s">
        <v>437</v>
      </c>
      <c r="AT74" s="86"/>
    </row>
    <row r="75" spans="1:46" ht="14.45">
      <c r="A75" s="6" t="s">
        <v>542</v>
      </c>
      <c r="B75" s="6"/>
      <c r="C75" s="6"/>
      <c r="D75" s="36" t="s">
        <v>435</v>
      </c>
      <c r="E75" s="6" t="s">
        <v>90</v>
      </c>
      <c r="F75" s="14">
        <v>2</v>
      </c>
      <c r="G75" s="14">
        <v>2</v>
      </c>
      <c r="H75" s="14">
        <v>0</v>
      </c>
      <c r="I75" s="14">
        <v>16</v>
      </c>
      <c r="J75" s="86">
        <f t="shared" si="2"/>
        <v>4</v>
      </c>
      <c r="K75" s="45"/>
      <c r="L75" s="86"/>
      <c r="M75" s="86"/>
      <c r="N75" s="45"/>
      <c r="O75" s="44"/>
      <c r="P75" s="86"/>
      <c r="Q75" s="86"/>
      <c r="R75" s="86"/>
      <c r="S75" s="86"/>
      <c r="T75" s="86"/>
      <c r="U75" s="86"/>
      <c r="V75" s="86"/>
      <c r="X75" s="86"/>
      <c r="Z75" s="86"/>
      <c r="AA75" s="86"/>
      <c r="AB75" s="86"/>
      <c r="AC75" s="86"/>
      <c r="AD75" s="86"/>
      <c r="AE75" s="86"/>
      <c r="AF75" s="86"/>
      <c r="AG75" s="86"/>
      <c r="AH75" s="86"/>
      <c r="AI75" s="86"/>
      <c r="AJ75" s="86"/>
      <c r="AK75" s="86"/>
      <c r="AL75" s="86"/>
      <c r="AM75" s="86"/>
      <c r="AN75" s="86"/>
      <c r="AO75" s="86"/>
      <c r="AP75" s="86"/>
      <c r="AQ75" s="86"/>
      <c r="AR75" s="86" t="s">
        <v>437</v>
      </c>
      <c r="AT75" s="86"/>
    </row>
    <row r="76" spans="1:46" ht="14.45">
      <c r="A76" s="6" t="s">
        <v>543</v>
      </c>
      <c r="B76" s="6"/>
      <c r="C76" s="6"/>
      <c r="D76" s="36" t="s">
        <v>435</v>
      </c>
      <c r="E76" s="6" t="s">
        <v>90</v>
      </c>
      <c r="F76" s="14">
        <v>2</v>
      </c>
      <c r="G76" s="14">
        <v>2</v>
      </c>
      <c r="H76" s="14">
        <v>0</v>
      </c>
      <c r="I76" s="14">
        <v>16</v>
      </c>
      <c r="J76" s="86">
        <f t="shared" si="2"/>
        <v>4</v>
      </c>
      <c r="K76" s="45"/>
      <c r="L76" s="86"/>
      <c r="M76" s="86"/>
      <c r="N76" s="45"/>
      <c r="O76" s="44"/>
      <c r="P76" s="86"/>
      <c r="Q76" s="86"/>
      <c r="R76" s="86"/>
      <c r="S76" s="86"/>
      <c r="T76" s="86"/>
      <c r="U76" s="86"/>
      <c r="V76" s="86"/>
      <c r="X76" s="86"/>
      <c r="Z76" s="86"/>
      <c r="AA76" s="86"/>
      <c r="AB76" s="86"/>
      <c r="AC76" s="86"/>
      <c r="AD76" s="86"/>
      <c r="AE76" s="86"/>
      <c r="AF76" s="86"/>
      <c r="AG76" s="86"/>
      <c r="AH76" s="86"/>
      <c r="AI76" s="86"/>
      <c r="AJ76" s="86"/>
      <c r="AK76" s="86"/>
      <c r="AL76" s="86"/>
      <c r="AM76" s="86"/>
      <c r="AN76" s="86"/>
      <c r="AO76" s="86"/>
      <c r="AP76" s="86"/>
      <c r="AQ76" s="86"/>
      <c r="AR76" s="86" t="s">
        <v>437</v>
      </c>
      <c r="AT76" s="86"/>
    </row>
    <row r="77" spans="1:46" ht="14.45">
      <c r="A77" s="6" t="s">
        <v>544</v>
      </c>
      <c r="B77" s="6"/>
      <c r="C77" s="6" t="s">
        <v>442</v>
      </c>
      <c r="D77" s="36" t="s">
        <v>435</v>
      </c>
      <c r="E77" s="6" t="s">
        <v>94</v>
      </c>
      <c r="F77" s="14">
        <v>6</v>
      </c>
      <c r="G77" s="14">
        <v>5</v>
      </c>
      <c r="H77" s="14">
        <v>0</v>
      </c>
      <c r="I77" s="14">
        <v>41</v>
      </c>
      <c r="J77" s="86">
        <f t="shared" si="2"/>
        <v>4</v>
      </c>
      <c r="K77" s="45"/>
      <c r="L77" s="86"/>
      <c r="M77" s="86"/>
      <c r="N77" s="45"/>
      <c r="O77" s="44"/>
      <c r="P77" s="86"/>
      <c r="Q77" s="86"/>
      <c r="R77" s="86"/>
      <c r="S77" s="86"/>
      <c r="T77" s="86"/>
      <c r="U77" s="86"/>
      <c r="V77" s="86"/>
      <c r="X77" s="86"/>
      <c r="Z77" s="86"/>
      <c r="AA77" s="86"/>
      <c r="AB77" s="86"/>
      <c r="AC77" s="86"/>
      <c r="AD77" s="86"/>
      <c r="AE77" s="86"/>
      <c r="AF77" s="86"/>
      <c r="AG77" s="86"/>
      <c r="AH77" s="86"/>
      <c r="AI77" s="86"/>
      <c r="AJ77" s="86"/>
      <c r="AK77" s="86"/>
      <c r="AL77" s="86"/>
      <c r="AM77" s="86"/>
      <c r="AN77" s="86"/>
      <c r="AO77" s="86"/>
      <c r="AP77" s="86"/>
      <c r="AQ77" s="86"/>
      <c r="AR77" s="86" t="s">
        <v>437</v>
      </c>
      <c r="AT77" s="86"/>
    </row>
    <row r="78" spans="1:46" ht="14.45">
      <c r="A78" s="6" t="s">
        <v>545</v>
      </c>
      <c r="B78" s="6"/>
      <c r="C78" s="6"/>
      <c r="D78" s="36" t="s">
        <v>435</v>
      </c>
      <c r="E78" s="6" t="s">
        <v>98</v>
      </c>
      <c r="F78" s="14">
        <v>2</v>
      </c>
      <c r="G78" s="14">
        <v>2</v>
      </c>
      <c r="H78" s="14">
        <v>0</v>
      </c>
      <c r="I78" s="14">
        <v>31</v>
      </c>
      <c r="J78" s="86">
        <f t="shared" si="2"/>
        <v>4</v>
      </c>
      <c r="K78" s="45"/>
      <c r="L78" s="86"/>
      <c r="M78" s="86"/>
      <c r="N78" s="45"/>
      <c r="O78" s="44"/>
      <c r="P78" s="86"/>
      <c r="Q78" s="86"/>
      <c r="R78" s="86"/>
      <c r="S78" s="86"/>
      <c r="T78" s="86"/>
      <c r="U78" s="86"/>
      <c r="V78" s="86"/>
      <c r="X78" s="86"/>
      <c r="Z78" s="86"/>
      <c r="AA78" s="86"/>
      <c r="AB78" s="86"/>
      <c r="AC78" s="86"/>
      <c r="AD78" s="86"/>
      <c r="AE78" s="86"/>
      <c r="AF78" s="86"/>
      <c r="AG78" s="86"/>
      <c r="AH78" s="86"/>
      <c r="AI78" s="86"/>
      <c r="AJ78" s="86"/>
      <c r="AK78" s="86"/>
      <c r="AL78" s="86"/>
      <c r="AM78" s="86"/>
      <c r="AN78" s="86"/>
      <c r="AO78" s="86"/>
      <c r="AP78" s="86"/>
      <c r="AQ78" s="86"/>
      <c r="AR78" s="86" t="s">
        <v>437</v>
      </c>
      <c r="AT78" s="86"/>
    </row>
    <row r="79" spans="1:46" ht="14.45">
      <c r="A79" s="6" t="s">
        <v>627</v>
      </c>
      <c r="B79" s="6"/>
      <c r="C79" s="6" t="s">
        <v>442</v>
      </c>
      <c r="D79" s="36" t="s">
        <v>584</v>
      </c>
      <c r="E79" s="6" t="s">
        <v>118</v>
      </c>
      <c r="F79" s="14">
        <v>12</v>
      </c>
      <c r="G79" s="14">
        <v>24</v>
      </c>
      <c r="H79" s="14">
        <v>0</v>
      </c>
      <c r="I79" s="14">
        <v>2098</v>
      </c>
      <c r="J79" s="86">
        <f t="shared" si="2"/>
        <v>16</v>
      </c>
      <c r="K79" s="45"/>
      <c r="L79" s="86"/>
      <c r="M79" s="86"/>
      <c r="N79" s="45"/>
      <c r="O79" s="44"/>
      <c r="P79" s="86"/>
      <c r="Q79" s="86"/>
      <c r="R79" s="86"/>
      <c r="S79" s="86"/>
      <c r="T79" s="86"/>
      <c r="U79" s="86"/>
      <c r="V79" s="86"/>
      <c r="X79" s="86"/>
      <c r="Z79" s="86"/>
      <c r="AA79" s="86"/>
      <c r="AB79" s="86"/>
      <c r="AC79" s="86"/>
      <c r="AD79" s="86"/>
      <c r="AE79" s="86"/>
      <c r="AF79" s="86"/>
      <c r="AG79" s="86"/>
      <c r="AH79" s="86"/>
      <c r="AI79" s="86"/>
      <c r="AJ79" s="86"/>
      <c r="AK79" s="86"/>
      <c r="AL79" s="86"/>
      <c r="AM79" s="86"/>
      <c r="AN79" s="86"/>
      <c r="AO79" s="86"/>
      <c r="AP79" s="86"/>
      <c r="AQ79" s="86"/>
      <c r="AR79" s="86" t="s">
        <v>437</v>
      </c>
      <c r="AT79" s="86"/>
    </row>
    <row r="80" spans="1:46" ht="14.45">
      <c r="A80" s="6" t="s">
        <v>551</v>
      </c>
      <c r="B80" s="6"/>
      <c r="C80" s="6" t="s">
        <v>442</v>
      </c>
      <c r="D80" s="36" t="s">
        <v>435</v>
      </c>
      <c r="E80" s="6" t="s">
        <v>122</v>
      </c>
      <c r="F80" s="14">
        <v>2</v>
      </c>
      <c r="G80" s="14">
        <v>10</v>
      </c>
      <c r="H80" s="14">
        <v>0</v>
      </c>
      <c r="I80" s="14">
        <v>60</v>
      </c>
      <c r="J80" s="86">
        <f t="shared" si="2"/>
        <v>16</v>
      </c>
      <c r="K80" s="45"/>
      <c r="L80" s="86"/>
      <c r="M80" s="86"/>
      <c r="N80" s="45"/>
      <c r="O80" s="44"/>
      <c r="P80" s="86"/>
      <c r="Q80" s="86"/>
      <c r="R80" s="86"/>
      <c r="S80" s="86"/>
      <c r="T80" s="86"/>
      <c r="U80" s="86"/>
      <c r="V80" s="86"/>
      <c r="X80" s="86"/>
      <c r="Z80" s="86"/>
      <c r="AA80" s="86"/>
      <c r="AB80" s="86"/>
      <c r="AC80" s="86"/>
      <c r="AD80" s="86"/>
      <c r="AE80" s="86"/>
      <c r="AF80" s="86"/>
      <c r="AG80" s="86"/>
      <c r="AH80" s="86"/>
      <c r="AI80" s="86"/>
      <c r="AJ80" s="86"/>
      <c r="AK80" s="86"/>
      <c r="AL80" s="86"/>
      <c r="AM80" s="86"/>
      <c r="AN80" s="86"/>
      <c r="AO80" s="86"/>
      <c r="AP80" s="86"/>
      <c r="AQ80" s="86"/>
      <c r="AR80" s="86" t="s">
        <v>437</v>
      </c>
      <c r="AT80" s="86"/>
    </row>
    <row r="81" spans="1:46" s="40" customFormat="1">
      <c r="A81" s="159"/>
      <c r="F81" s="41">
        <f>SUM(F55:F80)+F52</f>
        <v>419</v>
      </c>
      <c r="G81" s="41">
        <f>SUM(G55:G80)+G52</f>
        <v>1223</v>
      </c>
      <c r="H81" s="41">
        <f>SUM(H55:H80)+H52</f>
        <v>545</v>
      </c>
      <c r="I81" s="41">
        <f>SUM(I55:I80)+I52</f>
        <v>8184</v>
      </c>
      <c r="J81" s="41"/>
      <c r="K81" s="41"/>
      <c r="L81" s="41">
        <f>SUM(L55:L80)+L52</f>
        <v>500</v>
      </c>
      <c r="M81" s="41"/>
      <c r="N81" s="41">
        <f>SUM(N55:N80)+N52</f>
        <v>16400</v>
      </c>
      <c r="O81" s="41"/>
      <c r="P81" s="41">
        <f>SUM(P55:P80)+P52</f>
        <v>18000</v>
      </c>
      <c r="Q81" s="41"/>
      <c r="R81" s="41">
        <f>SUM(R55:R80)+R52</f>
        <v>1515</v>
      </c>
      <c r="S81" s="41"/>
      <c r="T81" s="41">
        <f>SUM(T55:T80)+T52</f>
        <v>300</v>
      </c>
      <c r="U81" s="41"/>
      <c r="V81" s="41">
        <f>SUM(V55:V80)+V52</f>
        <v>250</v>
      </c>
      <c r="W81" s="41"/>
      <c r="X81" s="41">
        <f>SUM(X55:X80)+X52</f>
        <v>34720</v>
      </c>
      <c r="Z81" s="41">
        <f>SUM(Z55:Z80)+Z52</f>
        <v>332</v>
      </c>
      <c r="AB81" s="41">
        <f>SUM(AB55:AB80)+AB52</f>
        <v>50</v>
      </c>
      <c r="AD81" s="41">
        <f>SUM(AD55:AD80)+AD52</f>
        <v>200</v>
      </c>
      <c r="AF81" s="41">
        <f>SUM(AF55:AF80)+AF52</f>
        <v>200</v>
      </c>
      <c r="AH81" s="41">
        <f>SUM(AH55:AH80)+AH52</f>
        <v>405</v>
      </c>
      <c r="AJ81" s="41">
        <f>SUM(AJ55:AJ80)+AJ52</f>
        <v>0</v>
      </c>
      <c r="AL81" s="41">
        <f>SUM(AL55:AL80)+AL52</f>
        <v>0</v>
      </c>
      <c r="AN81" s="41">
        <f>SUM(AN56:AN80)+AN52</f>
        <v>6144</v>
      </c>
      <c r="AP81" s="41">
        <f>SUM(AP56:AP80)+AP52</f>
        <v>150</v>
      </c>
      <c r="AR81" s="41">
        <f>COUNTIF(AR55:AR80,"x")+AR52</f>
        <v>64</v>
      </c>
      <c r="AS81" s="41">
        <f>COUNTIF(AS55:AS80,"x")+AS52</f>
        <v>14</v>
      </c>
      <c r="AT81" s="41">
        <f>COUNTIF(AT55:AT80,"x")+AT52</f>
        <v>3</v>
      </c>
    </row>
    <row r="82" spans="1:46">
      <c r="F82" s="86"/>
      <c r="G82" s="86"/>
      <c r="H82" s="86"/>
      <c r="I82" s="86"/>
      <c r="J82" s="86"/>
      <c r="K82" s="86"/>
      <c r="L82" s="86"/>
      <c r="M82" s="86"/>
      <c r="N82" s="86"/>
      <c r="O82" s="86"/>
      <c r="P82" s="86"/>
      <c r="Q82" s="86"/>
      <c r="R82" s="86"/>
      <c r="S82" s="86"/>
      <c r="T82" s="86"/>
      <c r="U82" s="86"/>
      <c r="V82" s="86"/>
      <c r="X82" s="86"/>
      <c r="Z82" s="86"/>
      <c r="AS82" s="86"/>
      <c r="AT82" s="86"/>
    </row>
    <row r="83" spans="1:46" ht="12.95">
      <c r="A83" s="16"/>
      <c r="AN83" s="36"/>
      <c r="AO83" s="36"/>
      <c r="AP83" s="36"/>
      <c r="AQ83" s="36"/>
    </row>
    <row r="84" spans="1:46" ht="12.95">
      <c r="A84" s="16" t="s">
        <v>559</v>
      </c>
      <c r="AN84" s="36"/>
      <c r="AO84" s="36"/>
      <c r="AP84" s="36"/>
      <c r="AQ84" s="36"/>
    </row>
    <row r="85" spans="1:46">
      <c r="A85" s="6" t="s">
        <v>560</v>
      </c>
      <c r="B85" s="6"/>
      <c r="C85" s="6" t="s">
        <v>561</v>
      </c>
      <c r="D85" s="6" t="s">
        <v>562</v>
      </c>
      <c r="E85" s="6" t="s">
        <v>42</v>
      </c>
      <c r="F85" s="14">
        <v>2</v>
      </c>
      <c r="G85" s="14">
        <v>4</v>
      </c>
      <c r="H85" s="14">
        <v>4</v>
      </c>
      <c r="I85" s="14">
        <v>350</v>
      </c>
      <c r="J85" s="86">
        <f t="shared" ref="J85:J92" si="3">IF(G85&gt;=10,16, 4)</f>
        <v>4</v>
      </c>
      <c r="K85" s="86" t="s">
        <v>563</v>
      </c>
      <c r="L85" s="86"/>
      <c r="M85" s="86"/>
      <c r="N85" s="86"/>
      <c r="O85" s="86"/>
      <c r="P85" s="86"/>
      <c r="Q85" s="86"/>
      <c r="R85" s="86"/>
      <c r="S85" s="86"/>
      <c r="T85" s="86"/>
      <c r="U85" s="86"/>
      <c r="V85" s="86"/>
      <c r="Z85" s="86"/>
      <c r="AA85" s="86"/>
      <c r="AB85" s="86"/>
      <c r="AC85" s="86"/>
      <c r="AD85" s="86"/>
      <c r="AE85" s="86"/>
      <c r="AF85" s="86"/>
      <c r="AG85" s="86"/>
      <c r="AH85" s="86"/>
      <c r="AI85" s="86"/>
      <c r="AJ85" s="86"/>
      <c r="AK85" s="86"/>
      <c r="AL85" s="86"/>
      <c r="AM85" s="86"/>
      <c r="AN85" s="36"/>
      <c r="AO85" s="36"/>
      <c r="AP85" s="36"/>
      <c r="AQ85" s="36"/>
      <c r="AR85" s="86" t="s">
        <v>437</v>
      </c>
      <c r="AS85" s="86"/>
      <c r="AT85" s="86"/>
    </row>
    <row r="86" spans="1:46">
      <c r="A86" s="6" t="s">
        <v>565</v>
      </c>
      <c r="B86" s="6"/>
      <c r="C86" s="6" t="s">
        <v>561</v>
      </c>
      <c r="D86" s="6" t="s">
        <v>562</v>
      </c>
      <c r="E86" s="6" t="s">
        <v>566</v>
      </c>
      <c r="F86" s="14">
        <v>6</v>
      </c>
      <c r="G86" s="14">
        <v>10</v>
      </c>
      <c r="H86" s="14">
        <v>10</v>
      </c>
      <c r="I86" s="14">
        <v>100</v>
      </c>
      <c r="J86" s="86">
        <f t="shared" si="3"/>
        <v>16</v>
      </c>
      <c r="K86" s="86" t="s">
        <v>563</v>
      </c>
      <c r="L86" s="86"/>
      <c r="M86" s="86"/>
      <c r="N86" s="86">
        <v>200</v>
      </c>
      <c r="O86" s="86" t="s">
        <v>564</v>
      </c>
      <c r="P86" s="86"/>
      <c r="Q86" s="86"/>
      <c r="R86" s="86"/>
      <c r="S86" s="86"/>
      <c r="T86" s="86"/>
      <c r="U86" s="86"/>
      <c r="V86" s="86"/>
      <c r="Z86" s="86"/>
      <c r="AA86" s="86"/>
      <c r="AB86" s="86"/>
      <c r="AC86" s="86"/>
      <c r="AD86" s="86"/>
      <c r="AE86" s="86"/>
      <c r="AF86" s="86"/>
      <c r="AG86" s="86"/>
      <c r="AH86" s="86"/>
      <c r="AI86" s="86"/>
      <c r="AJ86" s="86"/>
      <c r="AK86" s="86"/>
      <c r="AL86" s="86"/>
      <c r="AM86" s="86"/>
      <c r="AN86" s="86"/>
      <c r="AO86" s="86"/>
      <c r="AP86" s="86"/>
      <c r="AQ86" s="86"/>
      <c r="AR86" s="86" t="s">
        <v>437</v>
      </c>
      <c r="AS86" s="86"/>
      <c r="AT86" s="86"/>
    </row>
    <row r="87" spans="1:46">
      <c r="A87" s="6" t="s">
        <v>567</v>
      </c>
      <c r="B87" s="6"/>
      <c r="C87" s="6" t="s">
        <v>561</v>
      </c>
      <c r="D87" s="6" t="s">
        <v>562</v>
      </c>
      <c r="E87" s="6" t="s">
        <v>568</v>
      </c>
      <c r="F87" s="14">
        <v>8</v>
      </c>
      <c r="G87" s="14">
        <v>16</v>
      </c>
      <c r="H87" s="14">
        <v>16</v>
      </c>
      <c r="I87" s="14">
        <v>60</v>
      </c>
      <c r="J87" s="86">
        <f t="shared" si="3"/>
        <v>16</v>
      </c>
      <c r="K87" s="86" t="s">
        <v>569</v>
      </c>
      <c r="L87" s="86"/>
      <c r="M87" s="86"/>
      <c r="N87" s="86"/>
      <c r="O87" s="86"/>
      <c r="P87" s="86"/>
      <c r="Q87" s="86"/>
      <c r="R87" s="86"/>
      <c r="S87" s="86"/>
      <c r="T87" s="86"/>
      <c r="U87" s="86"/>
      <c r="V87" s="86"/>
      <c r="Z87" s="86"/>
      <c r="AA87" s="86"/>
      <c r="AB87" s="86"/>
      <c r="AC87" s="86"/>
      <c r="AD87" s="86"/>
      <c r="AE87" s="86"/>
      <c r="AF87" s="86"/>
      <c r="AG87" s="86"/>
      <c r="AH87" s="86"/>
      <c r="AI87" s="86"/>
      <c r="AJ87" s="86"/>
      <c r="AK87" s="86"/>
      <c r="AL87" s="86"/>
      <c r="AM87" s="86"/>
      <c r="AN87" s="86"/>
      <c r="AO87" s="86"/>
      <c r="AP87" s="86"/>
      <c r="AQ87" s="86"/>
      <c r="AR87" s="86" t="s">
        <v>437</v>
      </c>
      <c r="AS87" s="14" t="s">
        <v>437</v>
      </c>
      <c r="AT87" s="86"/>
    </row>
    <row r="88" spans="1:46">
      <c r="A88" s="6" t="s">
        <v>570</v>
      </c>
      <c r="B88" s="6"/>
      <c r="C88" s="6" t="s">
        <v>561</v>
      </c>
      <c r="D88" s="6" t="s">
        <v>562</v>
      </c>
      <c r="E88" s="6" t="s">
        <v>571</v>
      </c>
      <c r="F88" s="14">
        <v>10</v>
      </c>
      <c r="G88" s="14">
        <v>10</v>
      </c>
      <c r="H88" s="14">
        <v>10</v>
      </c>
      <c r="I88" s="14">
        <v>40</v>
      </c>
      <c r="J88" s="86">
        <f t="shared" si="3"/>
        <v>16</v>
      </c>
      <c r="K88" s="86" t="s">
        <v>569</v>
      </c>
      <c r="L88" s="86"/>
      <c r="M88" s="86"/>
      <c r="N88" s="86"/>
      <c r="O88" s="86"/>
      <c r="P88" s="86"/>
      <c r="Q88" s="86"/>
      <c r="R88" s="86"/>
      <c r="S88" s="86"/>
      <c r="T88" s="86"/>
      <c r="U88" s="86"/>
      <c r="V88" s="86"/>
      <c r="Z88" s="86"/>
      <c r="AA88" s="86"/>
      <c r="AB88" s="86"/>
      <c r="AC88" s="86"/>
      <c r="AD88" s="86"/>
      <c r="AE88" s="86"/>
      <c r="AF88" s="86"/>
      <c r="AG88" s="86"/>
      <c r="AH88" s="86"/>
      <c r="AI88" s="86"/>
      <c r="AJ88" s="86"/>
      <c r="AK88" s="86"/>
      <c r="AL88" s="86"/>
      <c r="AM88" s="86"/>
      <c r="AN88" s="86"/>
      <c r="AO88" s="86"/>
      <c r="AP88" s="86"/>
      <c r="AQ88" s="86"/>
      <c r="AR88" s="86" t="s">
        <v>437</v>
      </c>
      <c r="AS88" s="14" t="s">
        <v>437</v>
      </c>
      <c r="AT88" s="86"/>
    </row>
    <row r="89" spans="1:46">
      <c r="A89" s="6" t="s">
        <v>572</v>
      </c>
      <c r="B89" s="6"/>
      <c r="C89" s="6" t="s">
        <v>561</v>
      </c>
      <c r="D89" s="6" t="s">
        <v>562</v>
      </c>
      <c r="E89" s="6" t="s">
        <v>573</v>
      </c>
      <c r="F89" s="14">
        <v>4</v>
      </c>
      <c r="G89" s="14">
        <v>16</v>
      </c>
      <c r="H89" s="14">
        <v>0</v>
      </c>
      <c r="I89" s="14">
        <v>550</v>
      </c>
      <c r="J89" s="86">
        <f t="shared" si="3"/>
        <v>16</v>
      </c>
      <c r="K89" s="86" t="s">
        <v>574</v>
      </c>
      <c r="L89" s="86"/>
      <c r="M89" s="86"/>
      <c r="N89" s="86"/>
      <c r="O89" s="86"/>
      <c r="P89" s="86"/>
      <c r="Q89" s="86"/>
      <c r="R89" s="86"/>
      <c r="S89" s="86"/>
      <c r="T89" s="86"/>
      <c r="U89" s="86"/>
      <c r="V89" s="86"/>
      <c r="Z89" s="86"/>
      <c r="AA89" s="86"/>
      <c r="AB89" s="86"/>
      <c r="AC89" s="86"/>
      <c r="AD89" s="86"/>
      <c r="AE89" s="86"/>
      <c r="AF89" s="86"/>
      <c r="AG89" s="86"/>
      <c r="AH89" s="86"/>
      <c r="AI89" s="86"/>
      <c r="AJ89" s="86"/>
      <c r="AK89" s="86"/>
      <c r="AL89" s="86"/>
      <c r="AM89" s="86"/>
      <c r="AN89" s="86"/>
      <c r="AO89" s="86"/>
      <c r="AP89" s="86"/>
      <c r="AQ89" s="86"/>
      <c r="AR89" s="86" t="s">
        <v>437</v>
      </c>
      <c r="AS89" s="14" t="s">
        <v>437</v>
      </c>
      <c r="AT89" s="86"/>
    </row>
    <row r="90" spans="1:46">
      <c r="A90" s="6" t="s">
        <v>576</v>
      </c>
      <c r="B90" s="6"/>
      <c r="C90" s="6" t="s">
        <v>561</v>
      </c>
      <c r="D90" s="6" t="s">
        <v>562</v>
      </c>
      <c r="E90" s="6" t="s">
        <v>577</v>
      </c>
      <c r="F90" s="14">
        <v>2</v>
      </c>
      <c r="G90" s="14">
        <v>4</v>
      </c>
      <c r="H90" s="14">
        <v>4</v>
      </c>
      <c r="I90" s="14">
        <v>40</v>
      </c>
      <c r="J90" s="86">
        <f t="shared" si="3"/>
        <v>4</v>
      </c>
      <c r="K90" s="86" t="s">
        <v>569</v>
      </c>
      <c r="L90" s="86"/>
      <c r="M90" s="86"/>
      <c r="N90" s="86"/>
      <c r="O90" s="86"/>
      <c r="P90" s="86"/>
      <c r="Q90" s="86"/>
      <c r="R90" s="86">
        <v>50</v>
      </c>
      <c r="S90" s="86" t="s">
        <v>575</v>
      </c>
      <c r="T90" s="86"/>
      <c r="U90" s="86"/>
      <c r="V90" s="86"/>
      <c r="Z90" s="86"/>
      <c r="AA90" s="86"/>
      <c r="AB90" s="86"/>
      <c r="AC90" s="86"/>
      <c r="AD90" s="86"/>
      <c r="AE90" s="86"/>
      <c r="AF90" s="86"/>
      <c r="AG90" s="86"/>
      <c r="AH90" s="86"/>
      <c r="AI90" s="86"/>
      <c r="AJ90" s="86"/>
      <c r="AK90" s="86"/>
      <c r="AL90" s="86"/>
      <c r="AM90" s="86"/>
      <c r="AN90" s="86"/>
      <c r="AO90" s="86"/>
      <c r="AP90" s="86"/>
      <c r="AQ90" s="86"/>
      <c r="AR90" s="86" t="s">
        <v>437</v>
      </c>
      <c r="AS90" s="86"/>
      <c r="AT90" s="86"/>
    </row>
    <row r="91" spans="1:46">
      <c r="A91" s="36" t="s">
        <v>578</v>
      </c>
      <c r="C91" s="6" t="s">
        <v>579</v>
      </c>
      <c r="D91" s="36" t="s">
        <v>562</v>
      </c>
      <c r="E91" s="6" t="s">
        <v>86</v>
      </c>
      <c r="F91" s="86">
        <v>8</v>
      </c>
      <c r="G91" s="86">
        <v>32</v>
      </c>
      <c r="H91" s="14">
        <v>0</v>
      </c>
      <c r="I91" s="86">
        <v>80</v>
      </c>
      <c r="J91" s="86">
        <f t="shared" si="3"/>
        <v>16</v>
      </c>
      <c r="K91" s="86" t="s">
        <v>580</v>
      </c>
      <c r="L91" s="86"/>
      <c r="M91" s="86"/>
      <c r="N91" s="86"/>
      <c r="O91" s="86"/>
      <c r="P91" s="86"/>
      <c r="Q91" s="86"/>
      <c r="R91" s="86"/>
      <c r="S91" s="86"/>
      <c r="T91" s="86"/>
      <c r="U91" s="86"/>
      <c r="V91" s="86"/>
      <c r="Z91" s="86"/>
      <c r="AA91" s="86"/>
      <c r="AB91" s="86"/>
      <c r="AC91" s="86"/>
      <c r="AD91" s="86"/>
      <c r="AE91" s="86"/>
      <c r="AF91" s="86"/>
      <c r="AG91" s="86"/>
      <c r="AH91" s="86"/>
      <c r="AI91" s="86"/>
      <c r="AJ91" s="86"/>
      <c r="AK91" s="86"/>
      <c r="AL91" s="86"/>
      <c r="AM91" s="86"/>
      <c r="AN91" s="86"/>
      <c r="AO91" s="86"/>
      <c r="AP91" s="86"/>
      <c r="AQ91" s="86"/>
      <c r="AR91" s="86" t="s">
        <v>437</v>
      </c>
      <c r="AS91" s="86"/>
      <c r="AT91" s="86"/>
    </row>
    <row r="92" spans="1:46">
      <c r="A92" s="36" t="s">
        <v>581</v>
      </c>
      <c r="C92" s="6" t="s">
        <v>579</v>
      </c>
      <c r="D92" s="36" t="s">
        <v>562</v>
      </c>
      <c r="E92" s="6" t="s">
        <v>86</v>
      </c>
      <c r="F92" s="86">
        <v>8</v>
      </c>
      <c r="G92" s="86">
        <v>32</v>
      </c>
      <c r="H92" s="14">
        <v>0</v>
      </c>
      <c r="I92" s="86">
        <v>80</v>
      </c>
      <c r="J92" s="86">
        <f t="shared" si="3"/>
        <v>16</v>
      </c>
      <c r="K92" s="86" t="s">
        <v>580</v>
      </c>
      <c r="L92" s="86"/>
      <c r="M92" s="86"/>
      <c r="N92" s="86"/>
      <c r="O92" s="86"/>
      <c r="P92" s="86"/>
      <c r="Q92" s="86"/>
      <c r="R92" s="86"/>
      <c r="S92" s="86"/>
      <c r="T92" s="86"/>
      <c r="U92" s="86"/>
      <c r="V92" s="86"/>
      <c r="Z92" s="86"/>
      <c r="AA92" s="86"/>
      <c r="AB92" s="86"/>
      <c r="AC92" s="86"/>
      <c r="AD92" s="86"/>
      <c r="AE92" s="86"/>
      <c r="AF92" s="86"/>
      <c r="AG92" s="86"/>
      <c r="AH92" s="86"/>
      <c r="AI92" s="86"/>
      <c r="AJ92" s="86"/>
      <c r="AK92" s="86"/>
      <c r="AL92" s="86"/>
      <c r="AM92" s="86"/>
      <c r="AN92" s="39"/>
      <c r="AO92" s="39"/>
      <c r="AP92" s="39"/>
      <c r="AQ92" s="39"/>
      <c r="AR92" s="86" t="s">
        <v>437</v>
      </c>
      <c r="AS92" s="86"/>
      <c r="AT92" s="86"/>
    </row>
    <row r="93" spans="1:46" s="40" customFormat="1">
      <c r="F93" s="41">
        <f>SUM(F85:F92)+F81</f>
        <v>467</v>
      </c>
      <c r="G93" s="41">
        <f>SUM(G85:G92)+G81</f>
        <v>1347</v>
      </c>
      <c r="H93" s="41">
        <f>SUM(H85:H92)+H81</f>
        <v>589</v>
      </c>
      <c r="I93" s="41">
        <f>SUM(I85:I92)+I81</f>
        <v>9484</v>
      </c>
      <c r="J93" s="41"/>
      <c r="K93" s="41"/>
      <c r="L93" s="41">
        <f>SUM(L85:L92)+L81</f>
        <v>500</v>
      </c>
      <c r="M93" s="41"/>
      <c r="N93" s="41">
        <f>SUM(N85:N92)+N81</f>
        <v>16600</v>
      </c>
      <c r="O93" s="41"/>
      <c r="P93" s="41">
        <f>SUM(P85:P92)+P81</f>
        <v>18000</v>
      </c>
      <c r="Q93" s="41"/>
      <c r="R93" s="41">
        <f>SUM(R85:R92)+R81</f>
        <v>1565</v>
      </c>
      <c r="S93" s="41"/>
      <c r="T93" s="41">
        <f>SUM(T85:T92)+T81</f>
        <v>300</v>
      </c>
      <c r="U93" s="41"/>
      <c r="V93" s="41">
        <f>SUM(V85:V92)+V81</f>
        <v>250</v>
      </c>
      <c r="W93" s="41"/>
      <c r="X93" s="41">
        <f>SUM(X85:X92)+X81</f>
        <v>34720</v>
      </c>
      <c r="Y93" s="41"/>
      <c r="Z93" s="41">
        <f>SUM(Z85:Z92)+Z81</f>
        <v>332</v>
      </c>
      <c r="AA93" s="41"/>
      <c r="AB93" s="41">
        <f>SUM(AB85:AB92)+AB81</f>
        <v>50</v>
      </c>
      <c r="AC93" s="41"/>
      <c r="AD93" s="41">
        <f>SUM(AD85:AD92)+AD81</f>
        <v>200</v>
      </c>
      <c r="AE93" s="41"/>
      <c r="AF93" s="41">
        <f>SUM(AF85:AF92)+AF81</f>
        <v>200</v>
      </c>
      <c r="AG93" s="41"/>
      <c r="AH93" s="41">
        <f>SUM(AH85:AH92)+AH81</f>
        <v>405</v>
      </c>
      <c r="AI93" s="41"/>
      <c r="AJ93" s="41">
        <f>SUM(AJ85:AJ92)+AJ81</f>
        <v>0</v>
      </c>
      <c r="AK93" s="41"/>
      <c r="AL93" s="41">
        <f>SUM(AL85:AL92)+AL81</f>
        <v>0</v>
      </c>
      <c r="AM93" s="41"/>
      <c r="AN93" s="86">
        <f>AN81+SUM(AN86:AN92)</f>
        <v>6144</v>
      </c>
      <c r="AO93" s="86"/>
      <c r="AP93" s="86">
        <f>AP81+SUM(AP86:AP92)</f>
        <v>150</v>
      </c>
      <c r="AQ93" s="86"/>
      <c r="AR93" s="41">
        <f>COUNTIF(AR85:AR92,"x")+AR81</f>
        <v>72</v>
      </c>
      <c r="AS93" s="41">
        <f>COUNTIF(AS85:AS92,"x")+AS81</f>
        <v>17</v>
      </c>
      <c r="AT93" s="41">
        <f>COUNTIF(AT85:AT92,"x")+AT81</f>
        <v>3</v>
      </c>
    </row>
  </sheetData>
  <mergeCells count="8">
    <mergeCell ref="F3:G3"/>
    <mergeCell ref="A4:B4"/>
    <mergeCell ref="A5:B5"/>
    <mergeCell ref="A49:B49"/>
    <mergeCell ref="A6:B6"/>
    <mergeCell ref="A1:E1"/>
    <mergeCell ref="A2:B2"/>
    <mergeCell ref="A3:B3"/>
  </mergeCells>
  <hyperlinks>
    <hyperlink ref="F3:G3" location="Shortcuts!A1" display="Back to shortcuts" xr:uid="{106E4385-3E36-491D-AAEC-87AB60BB31B0}"/>
  </hyperlinks>
  <pageMargins left="0.7" right="0.7" top="0.75" bottom="0.75" header="0.3" footer="0.3"/>
  <pageSetup paperSize="9" orientation="portrait" r:id="rId1"/>
  <headerFooter>
    <oddFooter>&amp;C&amp;1#&amp;"Arial"&amp;8&amp;K001753Nokia internal use</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6624-8B60-40A4-B730-7E0FCA61E61E}">
  <dimension ref="A1:CB94"/>
  <sheetViews>
    <sheetView zoomScale="90" zoomScaleNormal="90" zoomScalePageLayoutView="70" workbookViewId="0">
      <selection activeCell="F52" sqref="F52"/>
    </sheetView>
  </sheetViews>
  <sheetFormatPr defaultColWidth="8.85546875" defaultRowHeight="12.6"/>
  <cols>
    <col min="1" max="1" width="8.85546875" style="6"/>
    <col min="2" max="2" width="20.85546875" style="6" customWidth="1"/>
    <col min="3" max="3" width="24" style="6" customWidth="1"/>
    <col min="4" max="4" width="55.85546875" style="6" customWidth="1"/>
    <col min="5" max="5" width="14.140625" style="6" customWidth="1"/>
    <col min="6" max="7" width="8.85546875" style="6"/>
    <col min="8" max="9" width="8.140625" style="6" customWidth="1"/>
    <col min="10" max="10" width="6.140625" style="6" customWidth="1"/>
    <col min="11" max="11" width="15.140625" style="6" customWidth="1"/>
    <col min="12" max="12" width="6.85546875" style="6" customWidth="1"/>
    <col min="13" max="13" width="9.42578125" style="6" bestFit="1" customWidth="1"/>
    <col min="14" max="14" width="6.140625" style="6" customWidth="1"/>
    <col min="15" max="15" width="15.140625" style="6" customWidth="1"/>
    <col min="16" max="16" width="6.85546875" style="6" customWidth="1"/>
    <col min="17" max="17" width="11.42578125" style="6" bestFit="1" customWidth="1"/>
    <col min="18" max="18" width="6.140625" style="6" customWidth="1"/>
    <col min="19" max="19" width="15.140625" style="6" customWidth="1"/>
    <col min="20" max="20" width="6.85546875" style="6" customWidth="1"/>
    <col min="21" max="21" width="12.85546875" style="6" customWidth="1"/>
    <col min="22" max="22" width="6.140625" style="6" customWidth="1"/>
    <col min="23" max="23" width="11.140625" style="6" customWidth="1"/>
    <col min="24" max="24" width="6.85546875" style="6" customWidth="1"/>
    <col min="25" max="25" width="8.85546875" style="6"/>
    <col min="26" max="26" width="6.140625" style="6" customWidth="1"/>
    <col min="27" max="27" width="15.140625" style="6" customWidth="1"/>
    <col min="28" max="28" width="6.85546875" style="6" customWidth="1"/>
    <col min="29" max="29" width="8.85546875" style="6"/>
    <col min="30" max="30" width="6.140625" style="6" customWidth="1"/>
    <col min="31" max="31" width="15.140625" style="6" customWidth="1"/>
    <col min="32" max="32" width="6.85546875" style="6" customWidth="1"/>
    <col min="33" max="33" width="13.140625" style="6" customWidth="1"/>
    <col min="34" max="34" width="6.140625" style="6" customWidth="1"/>
    <col min="35" max="36" width="11.140625" style="6" customWidth="1"/>
    <col min="37" max="37" width="7.140625" style="6" customWidth="1"/>
    <col min="38" max="38" width="6.140625" style="6" customWidth="1"/>
    <col min="39" max="39" width="15.140625" style="6" customWidth="1"/>
    <col min="40" max="40" width="6.85546875" style="6" customWidth="1"/>
    <col min="41" max="41" width="12.5703125" style="6" customWidth="1"/>
    <col min="42" max="48" width="6.85546875" style="6" customWidth="1"/>
    <col min="49" max="49" width="9.42578125" style="6" customWidth="1"/>
    <col min="50" max="50" width="9.140625" style="6" customWidth="1"/>
    <col min="51" max="51" width="9.28515625" style="6" customWidth="1"/>
    <col min="52" max="54" width="6.85546875" style="6" customWidth="1"/>
    <col min="55" max="55" width="9.85546875" style="6" customWidth="1"/>
    <col min="56" max="56" width="6.85546875" style="6" customWidth="1"/>
    <col min="57" max="57" width="16" style="6" customWidth="1"/>
    <col min="58" max="62" width="6.85546875" style="6" customWidth="1"/>
    <col min="63" max="63" width="10.28515625" style="6" customWidth="1"/>
    <col min="64" max="64" width="6.85546875" style="6" customWidth="1"/>
    <col min="65" max="65" width="9.85546875" style="6" customWidth="1"/>
    <col min="66" max="66" width="12.140625" style="6" customWidth="1"/>
    <col min="67" max="68" width="13.140625" style="6" customWidth="1"/>
    <col min="69" max="69" width="6.140625" style="6" customWidth="1"/>
    <col min="70" max="70" width="18.140625" style="6" customWidth="1"/>
    <col min="71" max="71" width="17.140625" style="6" customWidth="1"/>
    <col min="72" max="72" width="18.5703125" style="6" customWidth="1"/>
    <col min="73" max="74" width="13.140625" style="6" customWidth="1"/>
    <col min="75" max="75" width="22.85546875" style="6" customWidth="1"/>
    <col min="76" max="76" width="17.5703125" style="6" customWidth="1"/>
    <col min="77" max="86" width="8.85546875" style="6"/>
    <col min="87" max="87" width="10.140625" style="6" customWidth="1"/>
    <col min="88" max="16384" width="8.85546875" style="6"/>
  </cols>
  <sheetData>
    <row r="1" spans="1:76" ht="12.95">
      <c r="A1" s="189" t="s">
        <v>38</v>
      </c>
      <c r="B1" s="189"/>
      <c r="C1" s="189"/>
      <c r="D1" s="190"/>
      <c r="F1" s="7" t="s">
        <v>722</v>
      </c>
    </row>
    <row r="2" spans="1:76">
      <c r="A2" s="182" t="s">
        <v>410</v>
      </c>
      <c r="B2" s="182"/>
    </row>
    <row r="3" spans="1:76" ht="14.45">
      <c r="A3" s="182" t="s">
        <v>412</v>
      </c>
      <c r="B3" s="182"/>
      <c r="F3" s="173" t="s">
        <v>413</v>
      </c>
      <c r="G3" s="173"/>
    </row>
    <row r="4" spans="1:76">
      <c r="A4" s="182" t="s">
        <v>414</v>
      </c>
      <c r="B4" s="182"/>
      <c r="C4" s="114"/>
      <c r="D4" s="6" t="s">
        <v>518</v>
      </c>
    </row>
    <row r="5" spans="1:76">
      <c r="A5" s="171" t="s">
        <v>415</v>
      </c>
      <c r="B5" s="171"/>
      <c r="D5" s="36" t="s">
        <v>720</v>
      </c>
    </row>
    <row r="6" spans="1:76" ht="12.95">
      <c r="A6" s="171" t="s">
        <v>416</v>
      </c>
      <c r="B6" s="171"/>
      <c r="D6" s="134" t="s">
        <v>799</v>
      </c>
    </row>
    <row r="7" spans="1:76" ht="51.95">
      <c r="A7" s="9" t="s">
        <v>183</v>
      </c>
      <c r="B7" s="9" t="s">
        <v>417</v>
      </c>
      <c r="C7" s="9" t="s">
        <v>419</v>
      </c>
      <c r="D7" s="9" t="s">
        <v>420</v>
      </c>
      <c r="E7" s="8" t="s">
        <v>723</v>
      </c>
      <c r="F7" s="8" t="s">
        <v>157</v>
      </c>
      <c r="G7" s="8" t="s">
        <v>173</v>
      </c>
      <c r="H7" s="8" t="s">
        <v>724</v>
      </c>
      <c r="I7" s="8" t="s">
        <v>422</v>
      </c>
      <c r="J7" s="8" t="s">
        <v>725</v>
      </c>
      <c r="K7" s="8" t="s">
        <v>726</v>
      </c>
      <c r="L7" s="8" t="s">
        <v>727</v>
      </c>
      <c r="M7" s="8" t="s">
        <v>198</v>
      </c>
      <c r="N7" s="8" t="s">
        <v>725</v>
      </c>
      <c r="O7" s="8" t="s">
        <v>726</v>
      </c>
      <c r="P7" s="8" t="s">
        <v>727</v>
      </c>
      <c r="Q7" s="8" t="s">
        <v>53</v>
      </c>
      <c r="R7" s="8" t="s">
        <v>725</v>
      </c>
      <c r="S7" s="8" t="s">
        <v>726</v>
      </c>
      <c r="T7" s="8" t="s">
        <v>727</v>
      </c>
      <c r="U7" s="8" t="s">
        <v>202</v>
      </c>
      <c r="V7" s="8" t="s">
        <v>725</v>
      </c>
      <c r="W7" s="8" t="s">
        <v>726</v>
      </c>
      <c r="X7" s="8" t="s">
        <v>727</v>
      </c>
      <c r="Y7" s="8" t="s">
        <v>217</v>
      </c>
      <c r="Z7" s="8" t="s">
        <v>725</v>
      </c>
      <c r="AA7" s="8" t="s">
        <v>726</v>
      </c>
      <c r="AB7" s="8" t="s">
        <v>727</v>
      </c>
      <c r="AC7" s="8" t="s">
        <v>631</v>
      </c>
      <c r="AD7" s="8" t="s">
        <v>725</v>
      </c>
      <c r="AE7" s="8" t="s">
        <v>726</v>
      </c>
      <c r="AF7" s="8" t="s">
        <v>727</v>
      </c>
      <c r="AG7" s="8" t="s">
        <v>206</v>
      </c>
      <c r="AH7" s="8" t="s">
        <v>725</v>
      </c>
      <c r="AI7" s="8" t="s">
        <v>726</v>
      </c>
      <c r="AJ7" s="8" t="s">
        <v>727</v>
      </c>
      <c r="AK7" s="8" t="s">
        <v>610</v>
      </c>
      <c r="AL7" s="8" t="s">
        <v>725</v>
      </c>
      <c r="AM7" s="8" t="s">
        <v>726</v>
      </c>
      <c r="AN7" s="8" t="s">
        <v>727</v>
      </c>
      <c r="AO7" s="83" t="s">
        <v>728</v>
      </c>
      <c r="AP7" s="8" t="s">
        <v>725</v>
      </c>
      <c r="AQ7" s="8" t="s">
        <v>726</v>
      </c>
      <c r="AR7" s="8" t="s">
        <v>727</v>
      </c>
      <c r="AS7" s="83" t="s">
        <v>235</v>
      </c>
      <c r="AT7" s="8" t="s">
        <v>725</v>
      </c>
      <c r="AU7" s="8" t="s">
        <v>726</v>
      </c>
      <c r="AV7" s="8" t="s">
        <v>727</v>
      </c>
      <c r="AW7" s="83" t="s">
        <v>428</v>
      </c>
      <c r="AX7" s="8" t="s">
        <v>725</v>
      </c>
      <c r="AY7" s="8" t="s">
        <v>726</v>
      </c>
      <c r="AZ7" s="8" t="s">
        <v>727</v>
      </c>
      <c r="BA7" s="83" t="s">
        <v>795</v>
      </c>
      <c r="BB7" s="8" t="s">
        <v>725</v>
      </c>
      <c r="BC7" s="8" t="s">
        <v>726</v>
      </c>
      <c r="BD7" s="8" t="s">
        <v>727</v>
      </c>
      <c r="BE7" s="83" t="s">
        <v>791</v>
      </c>
      <c r="BF7" s="8" t="s">
        <v>725</v>
      </c>
      <c r="BG7" s="8" t="s">
        <v>726</v>
      </c>
      <c r="BH7" s="8" t="s">
        <v>727</v>
      </c>
      <c r="BI7" s="8" t="s">
        <v>477</v>
      </c>
      <c r="BJ7" s="8" t="s">
        <v>725</v>
      </c>
      <c r="BK7" s="8" t="s">
        <v>731</v>
      </c>
      <c r="BL7" s="8" t="s">
        <v>727</v>
      </c>
      <c r="BM7" s="8" t="s">
        <v>219</v>
      </c>
      <c r="BN7" s="8" t="s">
        <v>732</v>
      </c>
      <c r="BO7" s="8" t="s">
        <v>433</v>
      </c>
      <c r="BP7" s="8" t="s">
        <v>733</v>
      </c>
      <c r="BQ7" s="8" t="s">
        <v>734</v>
      </c>
      <c r="BR7" s="8" t="s">
        <v>735</v>
      </c>
      <c r="BS7" s="8" t="s">
        <v>736</v>
      </c>
      <c r="BT7" s="83" t="s">
        <v>737</v>
      </c>
      <c r="BU7" s="8" t="s">
        <v>738</v>
      </c>
      <c r="BV7" s="8" t="s">
        <v>739</v>
      </c>
      <c r="BW7" s="8" t="s">
        <v>740</v>
      </c>
      <c r="BX7" s="8" t="s">
        <v>741</v>
      </c>
    </row>
    <row r="8" spans="1:76">
      <c r="A8" s="6" t="s">
        <v>742</v>
      </c>
      <c r="B8" s="14"/>
      <c r="C8" s="6" t="s">
        <v>435</v>
      </c>
      <c r="D8" s="6" t="s">
        <v>743</v>
      </c>
      <c r="E8" s="14" t="s">
        <v>744</v>
      </c>
      <c r="F8" s="14">
        <v>4</v>
      </c>
      <c r="G8" s="14">
        <v>8</v>
      </c>
      <c r="H8" s="62">
        <v>50</v>
      </c>
      <c r="I8" s="31">
        <v>0</v>
      </c>
      <c r="J8" s="14" t="s">
        <v>745</v>
      </c>
      <c r="K8" s="6" t="s">
        <v>746</v>
      </c>
      <c r="L8" s="14">
        <v>4.7</v>
      </c>
      <c r="M8" s="62"/>
      <c r="N8" s="14"/>
      <c r="O8" s="14"/>
      <c r="P8" s="14"/>
      <c r="Q8" s="62"/>
      <c r="R8" s="14"/>
      <c r="S8" s="14"/>
      <c r="T8" s="14"/>
      <c r="U8" s="62"/>
      <c r="V8" s="14"/>
      <c r="W8" s="14"/>
      <c r="X8" s="14"/>
      <c r="Y8" s="62"/>
      <c r="Z8" s="14"/>
      <c r="AA8" s="14"/>
      <c r="AB8" s="14"/>
      <c r="AC8" s="62"/>
      <c r="AD8" s="14"/>
      <c r="AE8" s="14"/>
      <c r="AF8" s="14"/>
      <c r="AG8" s="62">
        <v>0</v>
      </c>
      <c r="AH8" s="14" t="s">
        <v>742</v>
      </c>
      <c r="AI8" s="6" t="s">
        <v>742</v>
      </c>
      <c r="AJ8" s="14" t="s">
        <v>742</v>
      </c>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v>1</v>
      </c>
      <c r="BO8" s="14"/>
      <c r="BP8" s="14" t="s">
        <v>437</v>
      </c>
      <c r="BQ8" s="14">
        <v>2</v>
      </c>
      <c r="BR8" s="14" t="s">
        <v>437</v>
      </c>
      <c r="BS8" s="14"/>
      <c r="BX8" s="14"/>
    </row>
    <row r="9" spans="1:76">
      <c r="A9" s="6" t="s">
        <v>434</v>
      </c>
      <c r="C9" s="6" t="s">
        <v>435</v>
      </c>
      <c r="D9" s="21" t="s">
        <v>42</v>
      </c>
      <c r="E9" s="14" t="s">
        <v>747</v>
      </c>
      <c r="F9" s="14">
        <v>4</v>
      </c>
      <c r="G9" s="14">
        <v>16</v>
      </c>
      <c r="H9" s="62">
        <v>350</v>
      </c>
      <c r="I9" s="31">
        <v>4</v>
      </c>
      <c r="J9" s="14" t="s">
        <v>748</v>
      </c>
      <c r="K9" s="6" t="s">
        <v>746</v>
      </c>
      <c r="L9" s="14">
        <v>5.9</v>
      </c>
      <c r="M9" s="62"/>
      <c r="N9" s="14"/>
      <c r="O9" s="14"/>
      <c r="P9" s="14"/>
      <c r="Q9" s="62"/>
      <c r="R9" s="14"/>
      <c r="S9" s="14"/>
      <c r="T9" s="14"/>
      <c r="U9" s="62"/>
      <c r="V9" s="14"/>
      <c r="W9" s="14"/>
      <c r="X9" s="14"/>
      <c r="Y9" s="62"/>
      <c r="Z9" s="14"/>
      <c r="AA9" s="14"/>
      <c r="AB9" s="14"/>
      <c r="AC9" s="62"/>
      <c r="AD9" s="14"/>
      <c r="AE9" s="14"/>
      <c r="AF9" s="14"/>
      <c r="AG9" s="62">
        <f>2*H9</f>
        <v>700</v>
      </c>
      <c r="AH9" s="14" t="s">
        <v>748</v>
      </c>
      <c r="AI9" s="6" t="s">
        <v>746</v>
      </c>
      <c r="AJ9" s="14" t="s">
        <v>742</v>
      </c>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v>2</v>
      </c>
      <c r="BN9" s="14" t="s">
        <v>437</v>
      </c>
      <c r="BO9" s="14"/>
      <c r="BP9" s="14"/>
      <c r="BQ9" s="14">
        <v>2</v>
      </c>
      <c r="BR9" s="14"/>
      <c r="BS9" s="14"/>
      <c r="BT9" s="14" t="s">
        <v>437</v>
      </c>
      <c r="BU9" s="14"/>
      <c r="BV9" s="14"/>
      <c r="BW9" s="14"/>
      <c r="BX9" s="14"/>
    </row>
    <row r="10" spans="1:76">
      <c r="A10" s="6" t="s">
        <v>440</v>
      </c>
      <c r="B10" s="14" t="s">
        <v>441</v>
      </c>
      <c r="C10" s="6" t="s">
        <v>435</v>
      </c>
      <c r="D10" s="21" t="s">
        <v>50</v>
      </c>
      <c r="E10" s="14" t="s">
        <v>749</v>
      </c>
      <c r="F10" s="14">
        <v>6</v>
      </c>
      <c r="G10" s="14">
        <v>11</v>
      </c>
      <c r="H10" s="62">
        <v>40</v>
      </c>
      <c r="I10" s="31">
        <v>4</v>
      </c>
      <c r="J10" s="14" t="s">
        <v>748</v>
      </c>
      <c r="K10" s="6" t="s">
        <v>746</v>
      </c>
      <c r="L10" s="14">
        <v>2.6</v>
      </c>
      <c r="M10" s="62"/>
      <c r="N10" s="14"/>
      <c r="O10" s="14"/>
      <c r="P10" s="14"/>
      <c r="Q10" s="62"/>
      <c r="R10" s="14"/>
      <c r="S10" s="14"/>
      <c r="T10" s="14"/>
      <c r="U10" s="62"/>
      <c r="V10" s="14"/>
      <c r="W10" s="14"/>
      <c r="X10" s="14"/>
      <c r="Y10" s="62"/>
      <c r="Z10" s="14"/>
      <c r="AA10" s="14"/>
      <c r="AB10" s="14"/>
      <c r="AC10" s="62"/>
      <c r="AD10" s="14"/>
      <c r="AE10" s="14"/>
      <c r="AF10" s="14"/>
      <c r="AG10" s="62">
        <f>H10*2</f>
        <v>80</v>
      </c>
      <c r="AH10" s="14" t="s">
        <v>748</v>
      </c>
      <c r="AI10" s="6" t="s">
        <v>746</v>
      </c>
      <c r="AJ10" s="14" t="s">
        <v>742</v>
      </c>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v>2</v>
      </c>
      <c r="BN10" s="14" t="s">
        <v>437</v>
      </c>
      <c r="BO10" s="14"/>
      <c r="BP10" s="14"/>
      <c r="BQ10" s="14">
        <v>2</v>
      </c>
      <c r="BR10" s="14"/>
      <c r="BS10" s="14"/>
      <c r="BT10" s="14" t="s">
        <v>437</v>
      </c>
      <c r="BU10" s="14"/>
      <c r="BV10" s="14"/>
      <c r="BW10" s="14"/>
      <c r="BX10" s="14"/>
    </row>
    <row r="11" spans="1:76">
      <c r="A11" s="6" t="s">
        <v>444</v>
      </c>
      <c r="B11" s="14"/>
      <c r="C11" s="6" t="s">
        <v>435</v>
      </c>
      <c r="D11" s="21" t="s">
        <v>53</v>
      </c>
      <c r="E11" s="14" t="s">
        <v>750</v>
      </c>
      <c r="F11" s="14">
        <v>24</v>
      </c>
      <c r="G11" s="14">
        <v>240</v>
      </c>
      <c r="H11" s="62">
        <v>100</v>
      </c>
      <c r="I11" s="31">
        <v>32</v>
      </c>
      <c r="J11" s="14" t="s">
        <v>748</v>
      </c>
      <c r="K11" s="6" t="s">
        <v>746</v>
      </c>
      <c r="L11" s="14">
        <v>2.6</v>
      </c>
      <c r="M11" s="62">
        <v>460</v>
      </c>
      <c r="N11" s="14" t="s">
        <v>748</v>
      </c>
      <c r="O11" s="6" t="s">
        <v>751</v>
      </c>
      <c r="P11" s="14">
        <f>50/1000</f>
        <v>0.05</v>
      </c>
      <c r="Q11" s="62">
        <v>15200</v>
      </c>
      <c r="R11" s="14" t="s">
        <v>748</v>
      </c>
      <c r="S11" s="6" t="s">
        <v>751</v>
      </c>
      <c r="T11" s="14">
        <f>50/1000</f>
        <v>0.05</v>
      </c>
      <c r="U11" s="62">
        <v>16600</v>
      </c>
      <c r="V11" s="14" t="s">
        <v>748</v>
      </c>
      <c r="W11" s="6" t="s">
        <v>746</v>
      </c>
      <c r="X11" s="14">
        <f>50/1000</f>
        <v>0.05</v>
      </c>
      <c r="Y11" s="62"/>
      <c r="Z11" s="14"/>
      <c r="AA11" s="14"/>
      <c r="AB11" s="14"/>
      <c r="AC11" s="62"/>
      <c r="AD11" s="14"/>
      <c r="AE11" s="14"/>
      <c r="AF11" s="14"/>
      <c r="AG11" s="62">
        <v>31380</v>
      </c>
      <c r="AH11" s="14" t="s">
        <v>748</v>
      </c>
      <c r="AI11" s="6" t="s">
        <v>746</v>
      </c>
      <c r="AJ11" s="14" t="s">
        <v>742</v>
      </c>
      <c r="AK11" s="14"/>
      <c r="AL11" s="14"/>
      <c r="AM11" s="14"/>
      <c r="AN11" s="14"/>
      <c r="AO11" s="14"/>
      <c r="AP11" s="14"/>
      <c r="AQ11" s="14"/>
      <c r="AR11" s="14"/>
      <c r="AS11" s="14"/>
      <c r="AT11" s="14"/>
      <c r="AU11" s="14"/>
      <c r="AV11" s="14"/>
      <c r="AW11" s="14"/>
      <c r="AX11" s="14"/>
      <c r="AY11" s="14"/>
      <c r="AZ11" s="14"/>
      <c r="BA11" s="14"/>
      <c r="BB11" s="14"/>
      <c r="BC11" s="14"/>
      <c r="BD11" s="14"/>
      <c r="BE11" s="62">
        <v>6144</v>
      </c>
      <c r="BF11" s="14" t="s">
        <v>748</v>
      </c>
      <c r="BG11" s="6" t="s">
        <v>746</v>
      </c>
      <c r="BH11" s="14">
        <f>50/1000</f>
        <v>0.05</v>
      </c>
      <c r="BI11" s="14"/>
      <c r="BJ11" s="14"/>
      <c r="BK11" s="14"/>
      <c r="BL11" s="14"/>
      <c r="BM11" s="14">
        <v>21</v>
      </c>
      <c r="BN11" s="14" t="s">
        <v>437</v>
      </c>
      <c r="BO11" s="14"/>
      <c r="BP11" s="14"/>
      <c r="BQ11" s="14">
        <v>2</v>
      </c>
      <c r="BR11" s="14"/>
      <c r="BS11" s="14"/>
      <c r="BT11" s="14" t="s">
        <v>437</v>
      </c>
      <c r="BU11" s="14"/>
      <c r="BV11" s="14"/>
      <c r="BW11" s="14"/>
      <c r="BX11" s="14"/>
    </row>
    <row r="12" spans="1:76">
      <c r="A12" s="6" t="s">
        <v>448</v>
      </c>
      <c r="B12" s="14" t="s">
        <v>441</v>
      </c>
      <c r="C12" s="6" t="s">
        <v>435</v>
      </c>
      <c r="D12" s="21" t="s">
        <v>57</v>
      </c>
      <c r="E12" s="14" t="s">
        <v>752</v>
      </c>
      <c r="F12" s="14">
        <v>9</v>
      </c>
      <c r="G12" s="14">
        <v>13</v>
      </c>
      <c r="H12" s="62">
        <v>45</v>
      </c>
      <c r="I12" s="31">
        <v>16</v>
      </c>
      <c r="J12" s="14" t="s">
        <v>748</v>
      </c>
      <c r="K12" s="6" t="s">
        <v>746</v>
      </c>
      <c r="L12" s="14">
        <v>2.6</v>
      </c>
      <c r="M12" s="62"/>
      <c r="N12" s="14"/>
      <c r="O12" s="14"/>
      <c r="P12" s="14"/>
      <c r="Q12" s="62"/>
      <c r="R12" s="14"/>
      <c r="S12" s="14"/>
      <c r="T12" s="14"/>
      <c r="U12" s="62"/>
      <c r="V12" s="14"/>
      <c r="W12" s="14"/>
      <c r="X12" s="14"/>
      <c r="Y12" s="62">
        <v>1250</v>
      </c>
      <c r="Z12" s="14" t="s">
        <v>748</v>
      </c>
      <c r="AA12" s="6" t="s">
        <v>746</v>
      </c>
      <c r="AB12" s="14">
        <v>0.1</v>
      </c>
      <c r="AC12" s="62">
        <v>270</v>
      </c>
      <c r="AD12" s="14" t="s">
        <v>748</v>
      </c>
      <c r="AE12" s="6" t="s">
        <v>746</v>
      </c>
      <c r="AF12" s="14" t="s">
        <v>742</v>
      </c>
      <c r="AG12" s="62">
        <v>827</v>
      </c>
      <c r="AH12" s="14" t="s">
        <v>748</v>
      </c>
      <c r="AI12" s="6" t="s">
        <v>746</v>
      </c>
      <c r="AJ12" s="14" t="s">
        <v>742</v>
      </c>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v>6</v>
      </c>
      <c r="BN12" s="14" t="s">
        <v>437</v>
      </c>
      <c r="BO12" s="14"/>
      <c r="BP12" s="14"/>
      <c r="BQ12" s="14">
        <v>2</v>
      </c>
      <c r="BR12" s="14"/>
      <c r="BS12" s="14"/>
      <c r="BT12" s="14" t="s">
        <v>437</v>
      </c>
      <c r="BU12" s="14"/>
      <c r="BV12" s="14"/>
      <c r="BW12" s="14"/>
      <c r="BX12" s="14"/>
    </row>
    <row r="13" spans="1:76">
      <c r="A13" s="6" t="s">
        <v>450</v>
      </c>
      <c r="C13" s="6" t="s">
        <v>435</v>
      </c>
      <c r="D13" s="21" t="s">
        <v>61</v>
      </c>
      <c r="E13" s="14" t="s">
        <v>753</v>
      </c>
      <c r="F13" s="14">
        <v>4</v>
      </c>
      <c r="G13" s="14">
        <v>4</v>
      </c>
      <c r="H13" s="62">
        <v>30</v>
      </c>
      <c r="I13" s="31">
        <v>4</v>
      </c>
      <c r="J13" s="14" t="s">
        <v>748</v>
      </c>
      <c r="K13" s="6" t="s">
        <v>746</v>
      </c>
      <c r="L13" s="14">
        <v>2.6</v>
      </c>
      <c r="M13" s="62"/>
      <c r="N13" s="14"/>
      <c r="O13" s="14"/>
      <c r="P13" s="14"/>
      <c r="Q13" s="62"/>
      <c r="R13" s="14"/>
      <c r="S13" s="14"/>
      <c r="T13" s="14"/>
      <c r="U13" s="62"/>
      <c r="V13" s="14"/>
      <c r="W13" s="14"/>
      <c r="X13" s="14"/>
      <c r="Y13" s="62"/>
      <c r="Z13" s="14"/>
      <c r="AA13" s="14"/>
      <c r="AB13" s="14"/>
      <c r="AC13" s="62"/>
      <c r="AD13" s="14"/>
      <c r="AE13" s="14"/>
      <c r="AF13" s="14"/>
      <c r="AG13" s="62">
        <f t="shared" ref="AG13:AG18" si="0">2*H13</f>
        <v>60</v>
      </c>
      <c r="AH13" s="14" t="s">
        <v>748</v>
      </c>
      <c r="AI13" s="6" t="s">
        <v>746</v>
      </c>
      <c r="AJ13" s="14" t="s">
        <v>742</v>
      </c>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v>2</v>
      </c>
      <c r="BN13" s="14" t="s">
        <v>437</v>
      </c>
      <c r="BO13" s="14" t="s">
        <v>437</v>
      </c>
      <c r="BP13" s="14"/>
      <c r="BQ13" s="14">
        <v>2</v>
      </c>
      <c r="BR13" s="14"/>
      <c r="BS13" s="14"/>
      <c r="BT13" s="14" t="s">
        <v>437</v>
      </c>
      <c r="BU13" s="14"/>
      <c r="BV13" s="14"/>
      <c r="BW13" s="14"/>
      <c r="BX13" s="14"/>
    </row>
    <row r="14" spans="1:76">
      <c r="A14" s="6" t="s">
        <v>451</v>
      </c>
      <c r="C14" s="6" t="s">
        <v>435</v>
      </c>
      <c r="D14" s="21" t="s">
        <v>65</v>
      </c>
      <c r="E14" s="14" t="s">
        <v>754</v>
      </c>
      <c r="F14" s="14">
        <v>2</v>
      </c>
      <c r="G14" s="14">
        <v>5</v>
      </c>
      <c r="H14" s="62">
        <v>30</v>
      </c>
      <c r="I14" s="31">
        <v>4</v>
      </c>
      <c r="J14" s="14" t="s">
        <v>748</v>
      </c>
      <c r="K14" s="6" t="s">
        <v>746</v>
      </c>
      <c r="L14" s="14">
        <v>2.6</v>
      </c>
      <c r="M14" s="62"/>
      <c r="N14" s="14"/>
      <c r="O14" s="14"/>
      <c r="P14" s="14"/>
      <c r="Q14" s="62"/>
      <c r="R14" s="14"/>
      <c r="S14" s="14"/>
      <c r="T14" s="14"/>
      <c r="U14" s="62"/>
      <c r="V14" s="14"/>
      <c r="W14" s="14"/>
      <c r="X14" s="14"/>
      <c r="Y14" s="62"/>
      <c r="Z14" s="14"/>
      <c r="AA14" s="14"/>
      <c r="AB14" s="14"/>
      <c r="AC14" s="62"/>
      <c r="AD14" s="14"/>
      <c r="AE14" s="14"/>
      <c r="AF14" s="14"/>
      <c r="AG14" s="62">
        <f t="shared" si="0"/>
        <v>60</v>
      </c>
      <c r="AH14" s="14" t="s">
        <v>748</v>
      </c>
      <c r="AI14" s="6" t="s">
        <v>746</v>
      </c>
      <c r="AJ14" s="14" t="s">
        <v>742</v>
      </c>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v>2</v>
      </c>
      <c r="BN14" s="14" t="s">
        <v>437</v>
      </c>
      <c r="BO14" s="14"/>
      <c r="BP14" s="14"/>
      <c r="BQ14" s="14">
        <v>2</v>
      </c>
      <c r="BR14" s="14"/>
      <c r="BS14" s="14"/>
      <c r="BT14" s="14" t="s">
        <v>437</v>
      </c>
      <c r="BU14" s="14"/>
      <c r="BV14" s="14"/>
      <c r="BW14" s="14"/>
      <c r="BX14" s="14"/>
    </row>
    <row r="15" spans="1:76">
      <c r="A15" s="6" t="s">
        <v>452</v>
      </c>
      <c r="C15" s="6" t="s">
        <v>435</v>
      </c>
      <c r="D15" s="21" t="s">
        <v>611</v>
      </c>
      <c r="E15" s="14" t="s">
        <v>755</v>
      </c>
      <c r="F15" s="14">
        <v>3</v>
      </c>
      <c r="G15" s="14">
        <v>6</v>
      </c>
      <c r="H15" s="62">
        <v>40</v>
      </c>
      <c r="I15" s="31">
        <v>4</v>
      </c>
      <c r="J15" s="14" t="s">
        <v>748</v>
      </c>
      <c r="K15" s="6" t="s">
        <v>746</v>
      </c>
      <c r="L15" s="14">
        <v>2.6</v>
      </c>
      <c r="M15" s="62"/>
      <c r="N15" s="14"/>
      <c r="O15" s="14"/>
      <c r="P15" s="14"/>
      <c r="Q15" s="62"/>
      <c r="R15" s="14"/>
      <c r="S15" s="14"/>
      <c r="T15" s="14"/>
      <c r="U15" s="62"/>
      <c r="V15" s="14"/>
      <c r="W15" s="14"/>
      <c r="X15" s="14"/>
      <c r="Y15" s="62"/>
      <c r="Z15" s="14"/>
      <c r="AA15" s="14"/>
      <c r="AB15" s="14"/>
      <c r="AC15" s="62"/>
      <c r="AD15" s="14"/>
      <c r="AE15" s="14"/>
      <c r="AF15" s="14"/>
      <c r="AG15" s="62">
        <f t="shared" si="0"/>
        <v>80</v>
      </c>
      <c r="AH15" s="14" t="s">
        <v>748</v>
      </c>
      <c r="AI15" s="6" t="s">
        <v>746</v>
      </c>
      <c r="AJ15" s="14" t="s">
        <v>742</v>
      </c>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v>2</v>
      </c>
      <c r="BN15" s="14" t="s">
        <v>437</v>
      </c>
      <c r="BO15" s="14"/>
      <c r="BP15" s="14"/>
      <c r="BQ15" s="14">
        <v>2</v>
      </c>
      <c r="BR15" s="14"/>
      <c r="BS15" s="14"/>
      <c r="BT15" s="14" t="s">
        <v>437</v>
      </c>
      <c r="BU15" s="14"/>
      <c r="BV15" s="14"/>
      <c r="BW15" s="14"/>
      <c r="BX15" s="14"/>
    </row>
    <row r="16" spans="1:76">
      <c r="A16" s="6" t="s">
        <v>454</v>
      </c>
      <c r="C16" s="6" t="s">
        <v>435</v>
      </c>
      <c r="D16" s="21" t="s">
        <v>455</v>
      </c>
      <c r="E16" s="14" t="s">
        <v>756</v>
      </c>
      <c r="F16" s="14">
        <v>5</v>
      </c>
      <c r="G16" s="14">
        <v>7</v>
      </c>
      <c r="H16" s="62">
        <v>55</v>
      </c>
      <c r="I16" s="31">
        <v>4</v>
      </c>
      <c r="J16" s="14" t="s">
        <v>748</v>
      </c>
      <c r="K16" s="6" t="s">
        <v>746</v>
      </c>
      <c r="L16" s="14">
        <v>2.6</v>
      </c>
      <c r="M16" s="62"/>
      <c r="N16" s="14"/>
      <c r="O16" s="14"/>
      <c r="P16" s="14"/>
      <c r="Q16" s="62"/>
      <c r="R16" s="14"/>
      <c r="S16" s="14"/>
      <c r="T16" s="14"/>
      <c r="U16" s="62"/>
      <c r="V16" s="14"/>
      <c r="W16" s="14"/>
      <c r="X16" s="14"/>
      <c r="Y16" s="62"/>
      <c r="Z16" s="14"/>
      <c r="AA16" s="14"/>
      <c r="AB16" s="14"/>
      <c r="AC16" s="62"/>
      <c r="AD16" s="14"/>
      <c r="AE16" s="14"/>
      <c r="AF16" s="14"/>
      <c r="AG16" s="62">
        <f t="shared" si="0"/>
        <v>110</v>
      </c>
      <c r="AH16" s="14" t="s">
        <v>748</v>
      </c>
      <c r="AI16" s="6" t="s">
        <v>746</v>
      </c>
      <c r="AJ16" s="14" t="s">
        <v>742</v>
      </c>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v>2</v>
      </c>
      <c r="BN16" s="14" t="s">
        <v>437</v>
      </c>
      <c r="BO16" s="14"/>
      <c r="BP16" s="14"/>
      <c r="BQ16" s="14">
        <v>2</v>
      </c>
      <c r="BR16" s="14"/>
      <c r="BS16" s="14"/>
      <c r="BT16" s="14" t="s">
        <v>437</v>
      </c>
      <c r="BU16" s="14"/>
      <c r="BV16" s="14"/>
      <c r="BW16" s="14"/>
      <c r="BX16" s="14"/>
    </row>
    <row r="17" spans="1:76">
      <c r="A17" s="6" t="s">
        <v>456</v>
      </c>
      <c r="C17" s="6" t="s">
        <v>435</v>
      </c>
      <c r="D17" s="21" t="s">
        <v>77</v>
      </c>
      <c r="E17" s="14" t="s">
        <v>757</v>
      </c>
      <c r="F17" s="14">
        <v>8</v>
      </c>
      <c r="G17" s="14">
        <v>13</v>
      </c>
      <c r="H17" s="62">
        <v>80</v>
      </c>
      <c r="I17" s="31">
        <v>4</v>
      </c>
      <c r="J17" s="14" t="s">
        <v>748</v>
      </c>
      <c r="K17" s="6" t="s">
        <v>746</v>
      </c>
      <c r="L17" s="14">
        <v>2.6</v>
      </c>
      <c r="M17" s="62"/>
      <c r="N17" s="14"/>
      <c r="O17" s="62"/>
      <c r="P17" s="14"/>
      <c r="Q17" s="62"/>
      <c r="R17" s="14"/>
      <c r="S17" s="14"/>
      <c r="T17" s="14"/>
      <c r="U17" s="62"/>
      <c r="V17" s="14"/>
      <c r="W17" s="14"/>
      <c r="X17" s="14"/>
      <c r="Y17" s="62"/>
      <c r="Z17" s="14"/>
      <c r="AA17" s="14"/>
      <c r="AB17" s="14"/>
      <c r="AC17" s="62"/>
      <c r="AD17" s="14"/>
      <c r="AE17" s="14"/>
      <c r="AF17" s="14"/>
      <c r="AG17" s="62">
        <f t="shared" si="0"/>
        <v>160</v>
      </c>
      <c r="AH17" s="14" t="s">
        <v>748</v>
      </c>
      <c r="AI17" s="6" t="s">
        <v>746</v>
      </c>
      <c r="AJ17" s="14" t="s">
        <v>742</v>
      </c>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v>2</v>
      </c>
      <c r="BN17" s="14" t="s">
        <v>437</v>
      </c>
      <c r="BO17" s="14"/>
      <c r="BP17" s="14"/>
      <c r="BQ17" s="14">
        <v>2</v>
      </c>
      <c r="BR17" s="14"/>
      <c r="BS17" s="14"/>
      <c r="BT17" s="14" t="s">
        <v>437</v>
      </c>
      <c r="BU17" s="14"/>
      <c r="BV17" s="14"/>
      <c r="BW17" s="14"/>
      <c r="BX17" s="14"/>
    </row>
    <row r="18" spans="1:76">
      <c r="A18" s="6" t="s">
        <v>457</v>
      </c>
      <c r="C18" s="6" t="s">
        <v>435</v>
      </c>
      <c r="D18" s="21" t="s">
        <v>81</v>
      </c>
      <c r="E18" s="14" t="s">
        <v>753</v>
      </c>
      <c r="F18" s="14">
        <v>4</v>
      </c>
      <c r="G18" s="14">
        <v>4</v>
      </c>
      <c r="H18" s="62">
        <v>30</v>
      </c>
      <c r="I18" s="31">
        <v>4</v>
      </c>
      <c r="J18" s="14" t="s">
        <v>748</v>
      </c>
      <c r="K18" s="6" t="s">
        <v>746</v>
      </c>
      <c r="L18" s="14">
        <v>2.6</v>
      </c>
      <c r="M18" s="62"/>
      <c r="N18" s="14"/>
      <c r="O18" s="14"/>
      <c r="P18" s="14"/>
      <c r="Q18" s="62"/>
      <c r="R18" s="14"/>
      <c r="S18" s="14"/>
      <c r="T18" s="14"/>
      <c r="U18" s="62"/>
      <c r="V18" s="14"/>
      <c r="W18" s="14"/>
      <c r="X18" s="14"/>
      <c r="Y18" s="62"/>
      <c r="Z18" s="14"/>
      <c r="AA18" s="14"/>
      <c r="AB18" s="14"/>
      <c r="AC18" s="62"/>
      <c r="AD18" s="14"/>
      <c r="AE18" s="14"/>
      <c r="AF18" s="14"/>
      <c r="AG18" s="62">
        <f t="shared" si="0"/>
        <v>60</v>
      </c>
      <c r="AH18" s="14" t="s">
        <v>748</v>
      </c>
      <c r="AI18" s="6" t="s">
        <v>746</v>
      </c>
      <c r="AJ18" s="14" t="s">
        <v>742</v>
      </c>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v>2</v>
      </c>
      <c r="BN18" s="14" t="s">
        <v>437</v>
      </c>
      <c r="BO18" s="14" t="s">
        <v>437</v>
      </c>
      <c r="BP18" s="14"/>
      <c r="BQ18" s="14">
        <v>2</v>
      </c>
      <c r="BR18" s="14"/>
      <c r="BS18" s="14"/>
      <c r="BT18" s="14" t="s">
        <v>437</v>
      </c>
      <c r="BU18" s="14"/>
      <c r="BV18" s="14"/>
      <c r="BW18" s="14"/>
      <c r="BX18" s="14"/>
    </row>
    <row r="19" spans="1:76">
      <c r="A19" s="6" t="s">
        <v>458</v>
      </c>
      <c r="C19" s="6" t="s">
        <v>435</v>
      </c>
      <c r="D19" s="21" t="s">
        <v>459</v>
      </c>
      <c r="E19" s="14" t="s">
        <v>758</v>
      </c>
      <c r="F19" s="14">
        <v>8</v>
      </c>
      <c r="G19" s="14">
        <v>12</v>
      </c>
      <c r="H19" s="62">
        <v>100</v>
      </c>
      <c r="I19" s="31">
        <v>16</v>
      </c>
      <c r="J19" s="14" t="s">
        <v>748</v>
      </c>
      <c r="K19" s="6" t="s">
        <v>746</v>
      </c>
      <c r="L19" s="14">
        <v>2.6</v>
      </c>
      <c r="M19" s="62"/>
      <c r="N19" s="14"/>
      <c r="O19" s="14"/>
      <c r="P19" s="14"/>
      <c r="Q19" s="62"/>
      <c r="R19" s="14"/>
      <c r="S19" s="14"/>
      <c r="T19" s="14"/>
      <c r="U19" s="62"/>
      <c r="V19" s="14"/>
      <c r="W19" s="14"/>
      <c r="X19" s="14"/>
      <c r="Y19" s="62"/>
      <c r="Z19" s="14"/>
      <c r="AA19" s="14"/>
      <c r="AB19" s="14"/>
      <c r="AC19" s="62"/>
      <c r="AD19" s="14"/>
      <c r="AE19" s="14"/>
      <c r="AF19" s="14"/>
      <c r="AG19" s="62">
        <f>2*(H19+AO19)</f>
        <v>300</v>
      </c>
      <c r="AH19" s="14" t="s">
        <v>748</v>
      </c>
      <c r="AI19" s="6" t="s">
        <v>746</v>
      </c>
      <c r="AJ19" s="14" t="s">
        <v>742</v>
      </c>
      <c r="AK19" s="14"/>
      <c r="AL19" s="14"/>
      <c r="AM19" s="14"/>
      <c r="AN19" s="14"/>
      <c r="AO19" s="62">
        <v>50</v>
      </c>
      <c r="AP19" s="14" t="s">
        <v>748</v>
      </c>
      <c r="AQ19" s="6" t="s">
        <v>746</v>
      </c>
      <c r="AR19" s="14">
        <f>50/1000</f>
        <v>0.05</v>
      </c>
      <c r="AS19" s="14"/>
      <c r="AT19" s="14"/>
      <c r="AU19" s="14"/>
      <c r="AV19" s="14"/>
      <c r="AW19" s="14"/>
      <c r="AX19" s="14"/>
      <c r="AY19" s="14"/>
      <c r="AZ19" s="14"/>
      <c r="BA19" s="14"/>
      <c r="BB19" s="14"/>
      <c r="BC19" s="14"/>
      <c r="BD19" s="14"/>
      <c r="BE19" s="14"/>
      <c r="BF19" s="14"/>
      <c r="BG19" s="14"/>
      <c r="BH19" s="14"/>
      <c r="BI19" s="14"/>
      <c r="BJ19" s="14"/>
      <c r="BK19" s="14"/>
      <c r="BL19" s="14"/>
      <c r="BM19" s="14">
        <v>3</v>
      </c>
      <c r="BN19" s="14" t="s">
        <v>437</v>
      </c>
      <c r="BO19" s="14"/>
      <c r="BP19" s="14"/>
      <c r="BQ19" s="14">
        <v>2</v>
      </c>
      <c r="BR19" s="14"/>
      <c r="BS19" s="14"/>
      <c r="BT19" s="14" t="s">
        <v>437</v>
      </c>
      <c r="BU19" s="14"/>
      <c r="BV19" s="14"/>
      <c r="BW19" s="14"/>
      <c r="BX19" s="14"/>
    </row>
    <row r="20" spans="1:76">
      <c r="A20" s="6" t="s">
        <v>460</v>
      </c>
      <c r="C20" s="6" t="s">
        <v>435</v>
      </c>
      <c r="D20" s="21" t="s">
        <v>88</v>
      </c>
      <c r="E20" s="14" t="s">
        <v>759</v>
      </c>
      <c r="F20" s="14">
        <v>6</v>
      </c>
      <c r="G20" s="14">
        <v>8</v>
      </c>
      <c r="H20" s="62">
        <v>168</v>
      </c>
      <c r="I20" s="31">
        <v>4</v>
      </c>
      <c r="J20" s="14" t="s">
        <v>748</v>
      </c>
      <c r="K20" s="6" t="s">
        <v>746</v>
      </c>
      <c r="L20" s="14">
        <v>2.6</v>
      </c>
      <c r="M20" s="62"/>
      <c r="N20" s="14"/>
      <c r="O20" s="14"/>
      <c r="P20" s="14"/>
      <c r="Q20" s="62"/>
      <c r="R20" s="14"/>
      <c r="S20" s="14"/>
      <c r="T20" s="14"/>
      <c r="U20" s="62"/>
      <c r="V20" s="14"/>
      <c r="W20" s="14"/>
      <c r="X20" s="14"/>
      <c r="Y20" s="62"/>
      <c r="Z20" s="14"/>
      <c r="AA20" s="14"/>
      <c r="AB20" s="14"/>
      <c r="AC20" s="62"/>
      <c r="AD20" s="14"/>
      <c r="AE20" s="14"/>
      <c r="AF20" s="14"/>
      <c r="AG20" s="62">
        <f t="shared" ref="AG20:AG37" si="1">2*H20</f>
        <v>336</v>
      </c>
      <c r="AH20" s="14" t="s">
        <v>748</v>
      </c>
      <c r="AI20" s="6" t="s">
        <v>746</v>
      </c>
      <c r="AJ20" s="14" t="s">
        <v>742</v>
      </c>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v>2</v>
      </c>
      <c r="BN20" s="14" t="s">
        <v>437</v>
      </c>
      <c r="BO20" s="14"/>
      <c r="BP20" s="14"/>
      <c r="BQ20" s="14">
        <v>2</v>
      </c>
      <c r="BR20" s="14"/>
      <c r="BS20" s="14"/>
      <c r="BT20" s="14" t="s">
        <v>437</v>
      </c>
      <c r="BU20" s="14"/>
      <c r="BV20" s="14"/>
      <c r="BW20" s="14"/>
      <c r="BX20" s="14"/>
    </row>
    <row r="21" spans="1:76">
      <c r="A21" s="6" t="s">
        <v>461</v>
      </c>
      <c r="C21" s="6" t="s">
        <v>435</v>
      </c>
      <c r="D21" s="21" t="s">
        <v>92</v>
      </c>
      <c r="E21" s="14" t="s">
        <v>792</v>
      </c>
      <c r="F21" s="14">
        <v>8</v>
      </c>
      <c r="G21" s="14">
        <v>8</v>
      </c>
      <c r="H21" s="62">
        <v>60</v>
      </c>
      <c r="I21" s="31">
        <v>4</v>
      </c>
      <c r="J21" s="14" t="s">
        <v>748</v>
      </c>
      <c r="K21" s="6" t="s">
        <v>746</v>
      </c>
      <c r="L21" s="14">
        <v>2.6</v>
      </c>
      <c r="M21" s="62"/>
      <c r="N21" s="14"/>
      <c r="O21" s="14"/>
      <c r="P21" s="14"/>
      <c r="Q21" s="62"/>
      <c r="R21" s="14"/>
      <c r="S21" s="14"/>
      <c r="T21" s="14"/>
      <c r="U21" s="62"/>
      <c r="V21" s="14"/>
      <c r="W21" s="14"/>
      <c r="X21" s="14"/>
      <c r="Y21" s="62"/>
      <c r="Z21" s="14"/>
      <c r="AA21" s="14"/>
      <c r="AB21" s="14"/>
      <c r="AC21" s="62"/>
      <c r="AD21" s="14"/>
      <c r="AE21" s="14"/>
      <c r="AF21" s="14"/>
      <c r="AG21" s="62">
        <f t="shared" si="1"/>
        <v>120</v>
      </c>
      <c r="AH21" s="14" t="s">
        <v>748</v>
      </c>
      <c r="AI21" s="6" t="s">
        <v>746</v>
      </c>
      <c r="AJ21" s="14" t="s">
        <v>742</v>
      </c>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v>2</v>
      </c>
      <c r="BN21" s="14" t="s">
        <v>437</v>
      </c>
      <c r="BO21" s="14"/>
      <c r="BP21" s="14"/>
      <c r="BQ21" s="14">
        <v>2</v>
      </c>
      <c r="BR21" s="14"/>
      <c r="BS21" s="14"/>
      <c r="BT21" s="14" t="s">
        <v>437</v>
      </c>
      <c r="BU21" s="14"/>
      <c r="BV21" s="14"/>
      <c r="BW21" s="14"/>
      <c r="BX21" s="14"/>
    </row>
    <row r="22" spans="1:76">
      <c r="A22" s="6" t="s">
        <v>462</v>
      </c>
      <c r="C22" s="6" t="s">
        <v>435</v>
      </c>
      <c r="D22" s="21" t="s">
        <v>92</v>
      </c>
      <c r="E22" s="14" t="s">
        <v>792</v>
      </c>
      <c r="F22" s="14">
        <v>8</v>
      </c>
      <c r="G22" s="14">
        <v>8</v>
      </c>
      <c r="H22" s="62">
        <v>60</v>
      </c>
      <c r="I22" s="31">
        <v>4</v>
      </c>
      <c r="J22" s="14" t="s">
        <v>748</v>
      </c>
      <c r="K22" s="6" t="s">
        <v>746</v>
      </c>
      <c r="L22" s="14">
        <v>2.6</v>
      </c>
      <c r="M22" s="62"/>
      <c r="N22" s="14"/>
      <c r="O22" s="14"/>
      <c r="P22" s="14"/>
      <c r="Q22" s="62"/>
      <c r="R22" s="14"/>
      <c r="S22" s="14"/>
      <c r="T22" s="14"/>
      <c r="U22" s="62"/>
      <c r="V22" s="14"/>
      <c r="W22" s="14"/>
      <c r="X22" s="14"/>
      <c r="Y22" s="62"/>
      <c r="Z22" s="14"/>
      <c r="AA22" s="14"/>
      <c r="AB22" s="14"/>
      <c r="AC22" s="62"/>
      <c r="AD22" s="14"/>
      <c r="AE22" s="14"/>
      <c r="AF22" s="14"/>
      <c r="AG22" s="62">
        <f t="shared" si="1"/>
        <v>120</v>
      </c>
      <c r="AH22" s="14" t="s">
        <v>748</v>
      </c>
      <c r="AI22" s="6" t="s">
        <v>746</v>
      </c>
      <c r="AJ22" s="14" t="s">
        <v>742</v>
      </c>
      <c r="AK22" s="14"/>
      <c r="AL22" s="14"/>
      <c r="AM22" s="14"/>
      <c r="AN22" s="14"/>
      <c r="AO22" s="14"/>
      <c r="AP22" s="14"/>
      <c r="AQ22" s="14"/>
      <c r="AR22" s="14"/>
      <c r="BE22" s="14"/>
      <c r="BF22" s="14"/>
      <c r="BG22" s="14"/>
      <c r="BH22" s="14"/>
      <c r="BI22" s="14"/>
      <c r="BJ22" s="14"/>
      <c r="BK22" s="14"/>
      <c r="BL22" s="14"/>
      <c r="BM22" s="14">
        <v>2</v>
      </c>
      <c r="BN22" s="14" t="s">
        <v>437</v>
      </c>
      <c r="BO22" s="14"/>
      <c r="BP22" s="14"/>
      <c r="BQ22" s="14">
        <v>2</v>
      </c>
      <c r="BR22" s="14"/>
      <c r="BS22" s="14"/>
      <c r="BT22" s="14" t="s">
        <v>437</v>
      </c>
      <c r="BU22" s="14"/>
      <c r="BV22" s="14"/>
      <c r="BW22" s="14"/>
      <c r="BX22" s="14"/>
    </row>
    <row r="23" spans="1:76">
      <c r="A23" s="6" t="s">
        <v>463</v>
      </c>
      <c r="C23" s="6" t="s">
        <v>435</v>
      </c>
      <c r="D23" s="21" t="s">
        <v>96</v>
      </c>
      <c r="E23" s="14" t="s">
        <v>760</v>
      </c>
      <c r="F23" s="14">
        <v>8</v>
      </c>
      <c r="G23" s="14">
        <v>19</v>
      </c>
      <c r="H23" s="62">
        <v>150</v>
      </c>
      <c r="I23" s="31">
        <v>16</v>
      </c>
      <c r="J23" s="14" t="s">
        <v>748</v>
      </c>
      <c r="K23" s="6" t="s">
        <v>746</v>
      </c>
      <c r="L23" s="14">
        <v>2.6</v>
      </c>
      <c r="M23" s="62"/>
      <c r="N23" s="14"/>
      <c r="O23" s="14"/>
      <c r="P23" s="14"/>
      <c r="Q23" s="62"/>
      <c r="R23" s="14"/>
      <c r="S23" s="14"/>
      <c r="T23" s="14"/>
      <c r="U23" s="62"/>
      <c r="V23" s="14"/>
      <c r="W23" s="14"/>
      <c r="X23" s="14"/>
      <c r="Y23" s="62"/>
      <c r="Z23" s="14"/>
      <c r="AA23" s="14"/>
      <c r="AB23" s="14"/>
      <c r="AC23" s="62"/>
      <c r="AD23" s="14"/>
      <c r="AE23" s="14"/>
      <c r="AF23" s="14"/>
      <c r="AG23" s="62">
        <f t="shared" si="1"/>
        <v>300</v>
      </c>
      <c r="AH23" s="14" t="s">
        <v>748</v>
      </c>
      <c r="AI23" s="6" t="s">
        <v>746</v>
      </c>
      <c r="AJ23" s="14" t="s">
        <v>742</v>
      </c>
      <c r="AK23" s="14"/>
      <c r="AL23" s="14"/>
      <c r="AM23" s="14"/>
      <c r="AN23" s="14"/>
      <c r="AO23" s="14"/>
      <c r="AP23" s="14"/>
      <c r="AQ23" s="14"/>
      <c r="AR23" s="14"/>
      <c r="AS23" s="62">
        <v>100</v>
      </c>
      <c r="AT23" s="14" t="s">
        <v>748</v>
      </c>
      <c r="AU23" s="6" t="s">
        <v>746</v>
      </c>
      <c r="AV23" s="14">
        <f>50/1000</f>
        <v>0.05</v>
      </c>
      <c r="AW23" s="14"/>
      <c r="AX23" s="14"/>
      <c r="AY23" s="14"/>
      <c r="AZ23" s="14"/>
      <c r="BA23" s="14"/>
      <c r="BB23" s="14"/>
      <c r="BC23" s="14"/>
      <c r="BD23" s="14"/>
      <c r="BE23" s="14"/>
      <c r="BF23" s="14"/>
      <c r="BG23" s="14"/>
      <c r="BH23" s="14"/>
      <c r="BI23" s="14"/>
      <c r="BJ23" s="14"/>
      <c r="BK23" s="14"/>
      <c r="BL23" s="14"/>
      <c r="BM23" s="14">
        <v>3</v>
      </c>
      <c r="BN23" s="14" t="s">
        <v>437</v>
      </c>
      <c r="BO23" s="14"/>
      <c r="BP23" s="14"/>
      <c r="BQ23" s="14">
        <v>2</v>
      </c>
      <c r="BR23" s="14"/>
      <c r="BS23" s="14"/>
      <c r="BT23" s="14" t="s">
        <v>437</v>
      </c>
      <c r="BU23" s="14"/>
      <c r="BV23" s="14"/>
      <c r="BW23" s="14"/>
      <c r="BX23" s="14"/>
    </row>
    <row r="24" spans="1:76">
      <c r="A24" s="6" t="s">
        <v>464</v>
      </c>
      <c r="C24" s="6" t="s">
        <v>435</v>
      </c>
      <c r="D24" s="21" t="s">
        <v>100</v>
      </c>
      <c r="E24" s="14" t="s">
        <v>760</v>
      </c>
      <c r="F24" s="14">
        <v>8</v>
      </c>
      <c r="G24" s="14">
        <v>19</v>
      </c>
      <c r="H24" s="62">
        <v>150</v>
      </c>
      <c r="I24" s="31">
        <v>16</v>
      </c>
      <c r="J24" s="14" t="s">
        <v>748</v>
      </c>
      <c r="K24" s="6" t="s">
        <v>746</v>
      </c>
      <c r="L24" s="14">
        <v>2.6</v>
      </c>
      <c r="M24" s="62"/>
      <c r="N24" s="14"/>
      <c r="O24" s="14"/>
      <c r="P24" s="14"/>
      <c r="Q24" s="62"/>
      <c r="R24" s="14"/>
      <c r="S24" s="14"/>
      <c r="T24" s="14"/>
      <c r="U24" s="62"/>
      <c r="V24" s="14"/>
      <c r="W24" s="14"/>
      <c r="X24" s="14"/>
      <c r="Y24" s="62"/>
      <c r="Z24" s="14"/>
      <c r="AA24" s="14"/>
      <c r="AB24" s="14"/>
      <c r="AC24" s="62"/>
      <c r="AD24" s="14"/>
      <c r="AE24" s="14"/>
      <c r="AF24" s="14"/>
      <c r="AG24" s="62">
        <f t="shared" si="1"/>
        <v>300</v>
      </c>
      <c r="AH24" s="14" t="s">
        <v>748</v>
      </c>
      <c r="AI24" s="6" t="s">
        <v>746</v>
      </c>
      <c r="AJ24" s="14" t="s">
        <v>742</v>
      </c>
      <c r="AK24" s="14"/>
      <c r="AL24" s="14"/>
      <c r="AM24" s="14"/>
      <c r="AN24" s="14"/>
      <c r="AO24" s="14"/>
      <c r="AP24" s="14"/>
      <c r="AQ24" s="14"/>
      <c r="AR24" s="14"/>
      <c r="AS24" s="62">
        <v>100</v>
      </c>
      <c r="AT24" s="14" t="s">
        <v>748</v>
      </c>
      <c r="AU24" s="6" t="s">
        <v>746</v>
      </c>
      <c r="AV24" s="14">
        <f>50/1000</f>
        <v>0.05</v>
      </c>
      <c r="AW24" s="14"/>
      <c r="AX24" s="14"/>
      <c r="AY24" s="14"/>
      <c r="AZ24" s="14"/>
      <c r="BA24" s="14"/>
      <c r="BB24" s="14"/>
      <c r="BC24" s="14"/>
      <c r="BD24" s="14"/>
      <c r="BE24" s="14"/>
      <c r="BF24" s="14"/>
      <c r="BG24" s="14"/>
      <c r="BH24" s="14"/>
      <c r="BI24" s="14"/>
      <c r="BJ24" s="14"/>
      <c r="BK24" s="14"/>
      <c r="BL24" s="14"/>
      <c r="BM24" s="14">
        <v>3</v>
      </c>
      <c r="BN24" s="14" t="s">
        <v>437</v>
      </c>
      <c r="BO24" s="14"/>
      <c r="BP24" s="14"/>
      <c r="BQ24" s="14">
        <v>2</v>
      </c>
      <c r="BR24" s="14"/>
      <c r="BS24" s="14"/>
      <c r="BT24" s="14" t="s">
        <v>437</v>
      </c>
      <c r="BU24" s="14"/>
      <c r="BV24" s="14"/>
      <c r="BW24" s="14"/>
      <c r="BX24" s="14"/>
    </row>
    <row r="25" spans="1:76">
      <c r="A25" s="6" t="s">
        <v>487</v>
      </c>
      <c r="C25" s="6" t="s">
        <v>435</v>
      </c>
      <c r="D25" s="21" t="s">
        <v>104</v>
      </c>
      <c r="E25" s="14" t="s">
        <v>761</v>
      </c>
      <c r="F25" s="14">
        <v>6</v>
      </c>
      <c r="G25" s="14">
        <v>9</v>
      </c>
      <c r="H25" s="62">
        <v>40</v>
      </c>
      <c r="I25" s="31">
        <v>4</v>
      </c>
      <c r="J25" s="14" t="s">
        <v>748</v>
      </c>
      <c r="K25" s="6" t="s">
        <v>746</v>
      </c>
      <c r="L25" s="14">
        <v>2.6</v>
      </c>
      <c r="M25" s="62"/>
      <c r="N25" s="14"/>
      <c r="O25" s="14"/>
      <c r="P25" s="14"/>
      <c r="Q25" s="62"/>
      <c r="R25" s="14"/>
      <c r="S25" s="14"/>
      <c r="T25" s="14"/>
      <c r="U25" s="62"/>
      <c r="V25" s="14"/>
      <c r="W25" s="14"/>
      <c r="X25" s="14"/>
      <c r="Y25" s="62"/>
      <c r="Z25" s="14"/>
      <c r="AA25" s="14"/>
      <c r="AB25" s="14"/>
      <c r="AC25" s="62"/>
      <c r="AD25" s="14"/>
      <c r="AE25" s="14"/>
      <c r="AF25" s="14"/>
      <c r="AG25" s="62">
        <f t="shared" si="1"/>
        <v>80</v>
      </c>
      <c r="AH25" s="14" t="s">
        <v>748</v>
      </c>
      <c r="AI25" s="6" t="s">
        <v>746</v>
      </c>
      <c r="AJ25" s="14" t="s">
        <v>742</v>
      </c>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v>2</v>
      </c>
      <c r="BN25" s="14" t="s">
        <v>437</v>
      </c>
      <c r="BO25" s="14"/>
      <c r="BP25" s="14"/>
      <c r="BQ25" s="14">
        <v>2</v>
      </c>
      <c r="BR25" s="14"/>
      <c r="BS25" s="14"/>
      <c r="BT25" s="14" t="s">
        <v>437</v>
      </c>
      <c r="BU25" s="14"/>
      <c r="BV25" s="14"/>
      <c r="BW25" s="14"/>
      <c r="BX25" s="14"/>
    </row>
    <row r="26" spans="1:76">
      <c r="A26" s="6" t="s">
        <v>489</v>
      </c>
      <c r="C26" s="6" t="s">
        <v>435</v>
      </c>
      <c r="D26" s="21" t="s">
        <v>104</v>
      </c>
      <c r="E26" s="14" t="s">
        <v>761</v>
      </c>
      <c r="F26" s="14">
        <v>6</v>
      </c>
      <c r="G26" s="14">
        <v>9</v>
      </c>
      <c r="H26" s="62">
        <v>40</v>
      </c>
      <c r="I26" s="31">
        <v>4</v>
      </c>
      <c r="J26" s="14" t="s">
        <v>748</v>
      </c>
      <c r="K26" s="6" t="s">
        <v>746</v>
      </c>
      <c r="L26" s="14">
        <v>2.6</v>
      </c>
      <c r="M26" s="62"/>
      <c r="N26" s="14"/>
      <c r="O26" s="14"/>
      <c r="P26" s="14"/>
      <c r="Q26" s="62"/>
      <c r="R26" s="14"/>
      <c r="S26" s="14"/>
      <c r="T26" s="14"/>
      <c r="U26" s="62"/>
      <c r="V26" s="14"/>
      <c r="W26" s="14"/>
      <c r="X26" s="14"/>
      <c r="Y26" s="62"/>
      <c r="Z26" s="14"/>
      <c r="AA26" s="14"/>
      <c r="AB26" s="14"/>
      <c r="AC26" s="62"/>
      <c r="AD26" s="14"/>
      <c r="AE26" s="14"/>
      <c r="AF26" s="14"/>
      <c r="AG26" s="62">
        <f t="shared" si="1"/>
        <v>80</v>
      </c>
      <c r="AH26" s="14" t="s">
        <v>748</v>
      </c>
      <c r="AI26" s="6" t="s">
        <v>746</v>
      </c>
      <c r="AJ26" s="14" t="s">
        <v>742</v>
      </c>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v>2</v>
      </c>
      <c r="BN26" s="14" t="s">
        <v>437</v>
      </c>
      <c r="BO26" s="14"/>
      <c r="BP26" s="14"/>
      <c r="BQ26" s="14">
        <v>2</v>
      </c>
      <c r="BR26" s="14"/>
      <c r="BS26" s="14"/>
      <c r="BT26" s="14" t="s">
        <v>437</v>
      </c>
      <c r="BU26" s="14"/>
      <c r="BV26" s="14"/>
      <c r="BW26" s="14"/>
      <c r="BX26" s="14"/>
    </row>
    <row r="27" spans="1:76">
      <c r="A27" s="6" t="s">
        <v>613</v>
      </c>
      <c r="C27" s="6" t="s">
        <v>435</v>
      </c>
      <c r="D27" s="21" t="s">
        <v>108</v>
      </c>
      <c r="E27" s="14" t="s">
        <v>762</v>
      </c>
      <c r="F27" s="14">
        <v>8</v>
      </c>
      <c r="G27" s="14">
        <v>36</v>
      </c>
      <c r="H27" s="62">
        <v>135</v>
      </c>
      <c r="I27" s="31">
        <v>16</v>
      </c>
      <c r="J27" s="14" t="s">
        <v>748</v>
      </c>
      <c r="K27" s="6" t="s">
        <v>746</v>
      </c>
      <c r="L27" s="14">
        <v>2.6</v>
      </c>
      <c r="M27" s="62"/>
      <c r="N27" s="14"/>
      <c r="O27" s="14"/>
      <c r="P27" s="14"/>
      <c r="Q27" s="62"/>
      <c r="R27" s="14"/>
      <c r="S27" s="14"/>
      <c r="T27" s="14"/>
      <c r="U27" s="62"/>
      <c r="V27" s="14"/>
      <c r="W27" s="14"/>
      <c r="X27" s="14"/>
      <c r="Y27" s="62"/>
      <c r="Z27" s="14"/>
      <c r="AA27" s="14"/>
      <c r="AB27" s="14"/>
      <c r="AC27" s="62"/>
      <c r="AD27" s="14"/>
      <c r="AE27" s="14"/>
      <c r="AF27" s="14"/>
      <c r="AG27" s="62">
        <f t="shared" si="1"/>
        <v>270</v>
      </c>
      <c r="AH27" s="14" t="s">
        <v>748</v>
      </c>
      <c r="AI27" s="6" t="s">
        <v>746</v>
      </c>
      <c r="AJ27" s="14" t="s">
        <v>742</v>
      </c>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v>2</v>
      </c>
      <c r="BN27" s="14" t="s">
        <v>437</v>
      </c>
      <c r="BO27" s="14"/>
      <c r="BP27" s="14"/>
      <c r="BQ27" s="14">
        <v>2</v>
      </c>
      <c r="BR27" s="14"/>
      <c r="BS27" s="14"/>
      <c r="BT27" s="14" t="s">
        <v>437</v>
      </c>
      <c r="BU27" s="14"/>
      <c r="BV27" s="14"/>
      <c r="BW27" s="14"/>
      <c r="BX27" s="14"/>
    </row>
    <row r="28" spans="1:76">
      <c r="A28" s="6" t="s">
        <v>614</v>
      </c>
      <c r="C28" s="6" t="s">
        <v>435</v>
      </c>
      <c r="D28" s="21" t="s">
        <v>108</v>
      </c>
      <c r="E28" s="14" t="s">
        <v>762</v>
      </c>
      <c r="F28" s="14">
        <v>8</v>
      </c>
      <c r="G28" s="14">
        <v>36</v>
      </c>
      <c r="H28" s="62">
        <v>135</v>
      </c>
      <c r="I28" s="31">
        <v>16</v>
      </c>
      <c r="J28" s="14" t="s">
        <v>748</v>
      </c>
      <c r="K28" s="6" t="s">
        <v>746</v>
      </c>
      <c r="L28" s="14">
        <v>2.6</v>
      </c>
      <c r="M28" s="62"/>
      <c r="N28" s="14"/>
      <c r="O28" s="14"/>
      <c r="P28" s="14"/>
      <c r="Q28" s="62"/>
      <c r="R28" s="14"/>
      <c r="S28" s="14"/>
      <c r="T28" s="14"/>
      <c r="U28" s="62"/>
      <c r="V28" s="14"/>
      <c r="W28" s="14"/>
      <c r="X28" s="14"/>
      <c r="Y28" s="62"/>
      <c r="Z28" s="14"/>
      <c r="AA28" s="14"/>
      <c r="AB28" s="14"/>
      <c r="AC28" s="62"/>
      <c r="AD28" s="14"/>
      <c r="AE28" s="14"/>
      <c r="AF28" s="14"/>
      <c r="AG28" s="62">
        <f t="shared" si="1"/>
        <v>270</v>
      </c>
      <c r="AH28" s="14" t="s">
        <v>748</v>
      </c>
      <c r="AI28" s="6" t="s">
        <v>746</v>
      </c>
      <c r="AJ28" s="14" t="s">
        <v>742</v>
      </c>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v>2</v>
      </c>
      <c r="BN28" s="14" t="s">
        <v>437</v>
      </c>
      <c r="BO28" s="14"/>
      <c r="BP28" s="14"/>
      <c r="BQ28" s="14">
        <v>2</v>
      </c>
      <c r="BR28" s="14"/>
      <c r="BS28" s="14"/>
      <c r="BT28" s="14" t="s">
        <v>437</v>
      </c>
      <c r="BU28" s="14"/>
      <c r="BV28" s="14"/>
      <c r="BW28" s="14"/>
      <c r="BX28" s="14"/>
    </row>
    <row r="29" spans="1:76">
      <c r="A29" s="6" t="s">
        <v>615</v>
      </c>
      <c r="C29" s="6" t="s">
        <v>435</v>
      </c>
      <c r="D29" s="21" t="s">
        <v>108</v>
      </c>
      <c r="E29" s="14" t="s">
        <v>762</v>
      </c>
      <c r="F29" s="14">
        <v>8</v>
      </c>
      <c r="G29" s="14">
        <v>36</v>
      </c>
      <c r="H29" s="62">
        <v>135</v>
      </c>
      <c r="I29" s="31">
        <v>16</v>
      </c>
      <c r="J29" s="14" t="s">
        <v>748</v>
      </c>
      <c r="K29" s="6" t="s">
        <v>746</v>
      </c>
      <c r="L29" s="14">
        <v>2.6</v>
      </c>
      <c r="M29" s="62"/>
      <c r="N29" s="14"/>
      <c r="O29" s="14"/>
      <c r="P29" s="14"/>
      <c r="Q29" s="62"/>
      <c r="R29" s="14"/>
      <c r="S29" s="14"/>
      <c r="T29" s="14"/>
      <c r="U29" s="62"/>
      <c r="V29" s="14"/>
      <c r="W29" s="14"/>
      <c r="X29" s="14"/>
      <c r="Y29" s="62"/>
      <c r="Z29" s="14"/>
      <c r="AA29" s="14"/>
      <c r="AB29" s="14"/>
      <c r="AC29" s="62"/>
      <c r="AD29" s="14"/>
      <c r="AE29" s="14"/>
      <c r="AF29" s="14"/>
      <c r="AG29" s="62">
        <f t="shared" si="1"/>
        <v>270</v>
      </c>
      <c r="AH29" s="14" t="s">
        <v>748</v>
      </c>
      <c r="AI29" s="6" t="s">
        <v>746</v>
      </c>
      <c r="AJ29" s="14" t="s">
        <v>742</v>
      </c>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v>2</v>
      </c>
      <c r="BN29" s="14" t="s">
        <v>437</v>
      </c>
      <c r="BO29" s="14"/>
      <c r="BP29" s="14"/>
      <c r="BQ29" s="14">
        <v>2</v>
      </c>
      <c r="BR29" s="14"/>
      <c r="BS29" s="14"/>
      <c r="BT29" s="14" t="s">
        <v>437</v>
      </c>
      <c r="BU29" s="14"/>
      <c r="BV29" s="14"/>
      <c r="BW29" s="14"/>
      <c r="BX29" s="14"/>
    </row>
    <row r="30" spans="1:76">
      <c r="A30" s="6" t="s">
        <v>616</v>
      </c>
      <c r="C30" s="6" t="s">
        <v>435</v>
      </c>
      <c r="D30" s="21" t="s">
        <v>108</v>
      </c>
      <c r="E30" s="14" t="s">
        <v>762</v>
      </c>
      <c r="F30" s="14">
        <v>8</v>
      </c>
      <c r="G30" s="14">
        <v>36</v>
      </c>
      <c r="H30" s="62">
        <v>135</v>
      </c>
      <c r="I30" s="31">
        <v>16</v>
      </c>
      <c r="J30" s="14" t="s">
        <v>748</v>
      </c>
      <c r="K30" s="6" t="s">
        <v>746</v>
      </c>
      <c r="L30" s="14">
        <v>2.6</v>
      </c>
      <c r="M30" s="62"/>
      <c r="N30" s="14"/>
      <c r="O30" s="14"/>
      <c r="P30" s="14"/>
      <c r="Q30" s="62"/>
      <c r="R30" s="14"/>
      <c r="S30" s="14"/>
      <c r="T30" s="14"/>
      <c r="U30" s="62"/>
      <c r="V30" s="14"/>
      <c r="W30" s="14"/>
      <c r="X30" s="14"/>
      <c r="Y30" s="62"/>
      <c r="Z30" s="14"/>
      <c r="AA30" s="14"/>
      <c r="AB30" s="14"/>
      <c r="AC30" s="62"/>
      <c r="AD30" s="14"/>
      <c r="AE30" s="14"/>
      <c r="AF30" s="14"/>
      <c r="AG30" s="62">
        <f t="shared" si="1"/>
        <v>270</v>
      </c>
      <c r="AH30" s="14" t="s">
        <v>748</v>
      </c>
      <c r="AI30" s="6" t="s">
        <v>746</v>
      </c>
      <c r="AJ30" s="14" t="s">
        <v>742</v>
      </c>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v>2</v>
      </c>
      <c r="BN30" s="14" t="s">
        <v>437</v>
      </c>
      <c r="BO30" s="14"/>
      <c r="BP30" s="14"/>
      <c r="BQ30" s="14">
        <v>2</v>
      </c>
      <c r="BR30" s="14"/>
      <c r="BS30" s="14"/>
      <c r="BT30" s="14" t="s">
        <v>437</v>
      </c>
      <c r="BU30" s="14"/>
      <c r="BV30" s="14"/>
      <c r="BW30" s="14"/>
      <c r="BX30" s="14"/>
    </row>
    <row r="31" spans="1:76">
      <c r="A31" s="6" t="s">
        <v>621</v>
      </c>
      <c r="C31" s="6" t="s">
        <v>435</v>
      </c>
      <c r="D31" s="21" t="s">
        <v>108</v>
      </c>
      <c r="E31" s="14" t="s">
        <v>762</v>
      </c>
      <c r="F31" s="14">
        <v>8</v>
      </c>
      <c r="G31" s="14">
        <v>36</v>
      </c>
      <c r="H31" s="62">
        <v>135</v>
      </c>
      <c r="I31" s="31">
        <v>16</v>
      </c>
      <c r="J31" s="14" t="s">
        <v>748</v>
      </c>
      <c r="K31" s="6" t="s">
        <v>746</v>
      </c>
      <c r="L31" s="14">
        <v>2.6</v>
      </c>
      <c r="M31" s="62"/>
      <c r="N31" s="14"/>
      <c r="O31" s="14"/>
      <c r="P31" s="14"/>
      <c r="Q31" s="62"/>
      <c r="R31" s="14"/>
      <c r="S31" s="14"/>
      <c r="T31" s="14"/>
      <c r="U31" s="62"/>
      <c r="V31" s="14"/>
      <c r="W31" s="14"/>
      <c r="X31" s="14"/>
      <c r="Y31" s="62"/>
      <c r="Z31" s="14"/>
      <c r="AA31" s="14"/>
      <c r="AB31" s="14"/>
      <c r="AC31" s="62"/>
      <c r="AD31" s="14"/>
      <c r="AE31" s="14"/>
      <c r="AF31" s="14"/>
      <c r="AG31" s="62">
        <f t="shared" si="1"/>
        <v>270</v>
      </c>
      <c r="AH31" s="14" t="s">
        <v>748</v>
      </c>
      <c r="AI31" s="6" t="s">
        <v>746</v>
      </c>
      <c r="AJ31" s="14" t="s">
        <v>742</v>
      </c>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v>2</v>
      </c>
      <c r="BN31" s="14" t="s">
        <v>437</v>
      </c>
      <c r="BO31" s="14"/>
      <c r="BP31" s="14"/>
      <c r="BQ31" s="14">
        <v>2</v>
      </c>
      <c r="BR31" s="14"/>
      <c r="BS31" s="14"/>
      <c r="BT31" s="14" t="s">
        <v>437</v>
      </c>
      <c r="BU31" s="14"/>
      <c r="BV31" s="14"/>
      <c r="BW31" s="14"/>
      <c r="BX31" s="14"/>
    </row>
    <row r="32" spans="1:76">
      <c r="A32" s="6" t="s">
        <v>622</v>
      </c>
      <c r="C32" s="6" t="s">
        <v>435</v>
      </c>
      <c r="D32" s="21" t="s">
        <v>108</v>
      </c>
      <c r="E32" s="14" t="s">
        <v>762</v>
      </c>
      <c r="F32" s="14">
        <v>8</v>
      </c>
      <c r="G32" s="14">
        <v>36</v>
      </c>
      <c r="H32" s="62">
        <v>135</v>
      </c>
      <c r="I32" s="31">
        <v>16</v>
      </c>
      <c r="J32" s="14" t="s">
        <v>748</v>
      </c>
      <c r="K32" s="6" t="s">
        <v>746</v>
      </c>
      <c r="L32" s="14">
        <v>2.6</v>
      </c>
      <c r="M32" s="62"/>
      <c r="N32" s="14"/>
      <c r="O32" s="14"/>
      <c r="P32" s="14"/>
      <c r="Q32" s="62"/>
      <c r="R32" s="14"/>
      <c r="S32" s="14"/>
      <c r="T32" s="14"/>
      <c r="U32" s="62"/>
      <c r="V32" s="14"/>
      <c r="W32" s="14"/>
      <c r="X32" s="14"/>
      <c r="Y32" s="62"/>
      <c r="Z32" s="14"/>
      <c r="AA32" s="14"/>
      <c r="AB32" s="14"/>
      <c r="AC32" s="62"/>
      <c r="AD32" s="14"/>
      <c r="AE32" s="14"/>
      <c r="AF32" s="14"/>
      <c r="AG32" s="62">
        <f t="shared" si="1"/>
        <v>270</v>
      </c>
      <c r="AH32" s="14" t="s">
        <v>748</v>
      </c>
      <c r="AI32" s="6" t="s">
        <v>746</v>
      </c>
      <c r="AJ32" s="14" t="s">
        <v>742</v>
      </c>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v>2</v>
      </c>
      <c r="BN32" s="14" t="s">
        <v>437</v>
      </c>
      <c r="BO32" s="14"/>
      <c r="BP32" s="14"/>
      <c r="BQ32" s="14">
        <v>2</v>
      </c>
      <c r="BR32" s="14"/>
      <c r="BS32" s="14"/>
      <c r="BT32" s="14" t="s">
        <v>437</v>
      </c>
      <c r="BU32" s="14"/>
      <c r="BV32" s="14"/>
      <c r="BW32" s="14"/>
      <c r="BX32" s="14"/>
    </row>
    <row r="33" spans="1:80">
      <c r="A33" s="6" t="s">
        <v>633</v>
      </c>
      <c r="C33" s="6" t="s">
        <v>435</v>
      </c>
      <c r="D33" s="21" t="s">
        <v>108</v>
      </c>
      <c r="E33" s="14" t="s">
        <v>762</v>
      </c>
      <c r="F33" s="14">
        <v>8</v>
      </c>
      <c r="G33" s="14">
        <v>36</v>
      </c>
      <c r="H33" s="62">
        <v>135</v>
      </c>
      <c r="I33" s="31">
        <v>16</v>
      </c>
      <c r="J33" s="14" t="s">
        <v>748</v>
      </c>
      <c r="K33" s="6" t="s">
        <v>746</v>
      </c>
      <c r="L33" s="14">
        <v>2.6</v>
      </c>
      <c r="M33" s="62"/>
      <c r="N33" s="14"/>
      <c r="O33" s="14"/>
      <c r="P33" s="14"/>
      <c r="Q33" s="62"/>
      <c r="R33" s="14"/>
      <c r="S33" s="14"/>
      <c r="T33" s="14"/>
      <c r="U33" s="62"/>
      <c r="V33" s="14"/>
      <c r="W33" s="14"/>
      <c r="X33" s="14"/>
      <c r="Y33" s="62"/>
      <c r="Z33" s="14"/>
      <c r="AA33" s="14"/>
      <c r="AB33" s="14"/>
      <c r="AC33" s="62"/>
      <c r="AD33" s="14"/>
      <c r="AE33" s="14"/>
      <c r="AF33" s="14"/>
      <c r="AG33" s="62">
        <f t="shared" si="1"/>
        <v>270</v>
      </c>
      <c r="AH33" s="14" t="s">
        <v>748</v>
      </c>
      <c r="AI33" s="6" t="s">
        <v>746</v>
      </c>
      <c r="AJ33" s="14" t="s">
        <v>742</v>
      </c>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v>2</v>
      </c>
      <c r="BN33" s="14" t="s">
        <v>437</v>
      </c>
      <c r="BO33" s="14"/>
      <c r="BP33" s="14"/>
      <c r="BQ33" s="14">
        <v>2</v>
      </c>
      <c r="BR33" s="14"/>
      <c r="BS33" s="14"/>
      <c r="BT33" s="14" t="s">
        <v>437</v>
      </c>
      <c r="BU33" s="14"/>
      <c r="BV33" s="14"/>
      <c r="BW33" s="14"/>
      <c r="BX33" s="14"/>
    </row>
    <row r="34" spans="1:80">
      <c r="A34" s="6" t="s">
        <v>634</v>
      </c>
      <c r="C34" s="6" t="s">
        <v>435</v>
      </c>
      <c r="D34" s="21" t="s">
        <v>108</v>
      </c>
      <c r="E34" s="14" t="s">
        <v>762</v>
      </c>
      <c r="F34" s="14">
        <v>8</v>
      </c>
      <c r="G34" s="14">
        <v>36</v>
      </c>
      <c r="H34" s="62">
        <v>135</v>
      </c>
      <c r="I34" s="31">
        <v>16</v>
      </c>
      <c r="J34" s="14" t="s">
        <v>748</v>
      </c>
      <c r="K34" s="6" t="s">
        <v>746</v>
      </c>
      <c r="L34" s="14">
        <v>2.6</v>
      </c>
      <c r="M34" s="62"/>
      <c r="N34" s="14"/>
      <c r="O34" s="14"/>
      <c r="P34" s="14"/>
      <c r="Q34" s="62"/>
      <c r="R34" s="14"/>
      <c r="S34" s="14"/>
      <c r="T34" s="14"/>
      <c r="U34" s="62"/>
      <c r="V34" s="14"/>
      <c r="W34" s="14"/>
      <c r="X34" s="14"/>
      <c r="Y34" s="62"/>
      <c r="Z34" s="14"/>
      <c r="AA34" s="14"/>
      <c r="AB34" s="14"/>
      <c r="AC34" s="62"/>
      <c r="AD34" s="14"/>
      <c r="AE34" s="14"/>
      <c r="AF34" s="14"/>
      <c r="AG34" s="62">
        <f t="shared" si="1"/>
        <v>270</v>
      </c>
      <c r="AH34" s="14" t="s">
        <v>748</v>
      </c>
      <c r="AI34" s="6" t="s">
        <v>746</v>
      </c>
      <c r="AJ34" s="14" t="s">
        <v>742</v>
      </c>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v>2</v>
      </c>
      <c r="BN34" s="14" t="s">
        <v>437</v>
      </c>
      <c r="BO34" s="14"/>
      <c r="BP34" s="14"/>
      <c r="BQ34" s="14">
        <v>2</v>
      </c>
      <c r="BR34" s="14"/>
      <c r="BS34" s="14"/>
      <c r="BT34" s="14" t="s">
        <v>437</v>
      </c>
      <c r="BU34" s="14"/>
      <c r="BV34" s="14"/>
      <c r="BW34" s="14"/>
      <c r="BX34" s="14"/>
    </row>
    <row r="35" spans="1:80">
      <c r="A35" s="6" t="s">
        <v>644</v>
      </c>
      <c r="C35" s="21" t="s">
        <v>488</v>
      </c>
      <c r="D35" s="6" t="s">
        <v>112</v>
      </c>
      <c r="E35" s="14" t="s">
        <v>763</v>
      </c>
      <c r="F35" s="14">
        <v>4</v>
      </c>
      <c r="G35" s="14">
        <v>4</v>
      </c>
      <c r="H35" s="62">
        <v>100</v>
      </c>
      <c r="I35" s="31">
        <v>0</v>
      </c>
      <c r="J35" s="14" t="s">
        <v>745</v>
      </c>
      <c r="K35" s="6" t="s">
        <v>746</v>
      </c>
      <c r="L35" s="14">
        <v>100</v>
      </c>
      <c r="M35" s="62"/>
      <c r="N35" s="14"/>
      <c r="O35" s="14"/>
      <c r="P35" s="14"/>
      <c r="Q35" s="62"/>
      <c r="R35" s="14"/>
      <c r="S35" s="14"/>
      <c r="T35" s="14"/>
      <c r="U35" s="62"/>
      <c r="V35" s="14"/>
      <c r="W35" s="14"/>
      <c r="X35" s="14"/>
      <c r="Y35" s="62"/>
      <c r="Z35" s="14"/>
      <c r="AA35" s="14"/>
      <c r="AB35" s="14"/>
      <c r="AC35" s="62"/>
      <c r="AD35" s="14"/>
      <c r="AE35" s="14"/>
      <c r="AF35" s="14"/>
      <c r="AG35" s="62">
        <f t="shared" si="1"/>
        <v>200</v>
      </c>
      <c r="AH35" s="14" t="s">
        <v>748</v>
      </c>
      <c r="AI35" s="6" t="s">
        <v>746</v>
      </c>
      <c r="AJ35" s="14" t="s">
        <v>742</v>
      </c>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v>4</v>
      </c>
      <c r="BN35" s="14" t="s">
        <v>437</v>
      </c>
      <c r="BO35" s="14"/>
      <c r="BP35" s="14"/>
      <c r="BQ35" s="14">
        <v>2</v>
      </c>
      <c r="BR35" s="14"/>
      <c r="BS35" s="14"/>
      <c r="BT35" s="14" t="s">
        <v>437</v>
      </c>
      <c r="BU35" s="14"/>
      <c r="BV35" s="14"/>
      <c r="BW35" s="14"/>
      <c r="BX35" s="14"/>
    </row>
    <row r="36" spans="1:80">
      <c r="A36" s="6" t="s">
        <v>645</v>
      </c>
      <c r="C36" s="21" t="s">
        <v>488</v>
      </c>
      <c r="D36" s="6" t="s">
        <v>120</v>
      </c>
      <c r="E36" s="14" t="s">
        <v>764</v>
      </c>
      <c r="F36" s="14">
        <v>4</v>
      </c>
      <c r="G36" s="14">
        <v>16</v>
      </c>
      <c r="H36" s="62">
        <v>100</v>
      </c>
      <c r="I36" s="31">
        <v>0</v>
      </c>
      <c r="J36" s="14" t="s">
        <v>745</v>
      </c>
      <c r="K36" s="6" t="s">
        <v>746</v>
      </c>
      <c r="L36" s="14">
        <v>110</v>
      </c>
      <c r="M36" s="62"/>
      <c r="N36" s="14"/>
      <c r="O36" s="14"/>
      <c r="P36" s="14"/>
      <c r="Q36" s="62"/>
      <c r="R36" s="14"/>
      <c r="S36" s="14"/>
      <c r="T36" s="14"/>
      <c r="U36" s="62"/>
      <c r="V36" s="14"/>
      <c r="W36" s="14"/>
      <c r="X36" s="14"/>
      <c r="Y36" s="62"/>
      <c r="Z36" s="14"/>
      <c r="AA36" s="14"/>
      <c r="AB36" s="14"/>
      <c r="AC36" s="62"/>
      <c r="AD36" s="14"/>
      <c r="AE36" s="14"/>
      <c r="AF36" s="14"/>
      <c r="AG36" s="62">
        <f t="shared" si="1"/>
        <v>200</v>
      </c>
      <c r="AH36" s="14" t="s">
        <v>748</v>
      </c>
      <c r="AI36" s="6" t="s">
        <v>746</v>
      </c>
      <c r="AJ36" s="14" t="s">
        <v>742</v>
      </c>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v>4</v>
      </c>
      <c r="BN36" s="14" t="s">
        <v>437</v>
      </c>
      <c r="BO36" s="14"/>
      <c r="BP36" s="14"/>
      <c r="BQ36" s="14">
        <v>2</v>
      </c>
      <c r="BR36" s="14"/>
      <c r="BS36" s="14"/>
      <c r="BT36" s="14" t="s">
        <v>437</v>
      </c>
      <c r="BU36" s="14"/>
      <c r="BV36" s="14"/>
      <c r="BW36" s="14"/>
      <c r="BX36" s="14"/>
    </row>
    <row r="37" spans="1:80">
      <c r="A37" s="6" t="s">
        <v>490</v>
      </c>
      <c r="C37" s="21" t="s">
        <v>488</v>
      </c>
      <c r="D37" s="6" t="s">
        <v>116</v>
      </c>
      <c r="E37" s="14" t="s">
        <v>765</v>
      </c>
      <c r="F37" s="14">
        <v>4</v>
      </c>
      <c r="G37" s="14">
        <v>14</v>
      </c>
      <c r="H37" s="62">
        <v>120</v>
      </c>
      <c r="I37" s="31">
        <v>0</v>
      </c>
      <c r="J37" s="14" t="s">
        <v>745</v>
      </c>
      <c r="K37" s="6" t="s">
        <v>746</v>
      </c>
      <c r="L37" s="14">
        <v>100</v>
      </c>
      <c r="M37" s="62"/>
      <c r="N37" s="14"/>
      <c r="O37" s="14"/>
      <c r="P37" s="14"/>
      <c r="Q37" s="62"/>
      <c r="R37" s="14"/>
      <c r="S37" s="14"/>
      <c r="T37" s="14"/>
      <c r="U37" s="62"/>
      <c r="V37" s="14"/>
      <c r="W37" s="14"/>
      <c r="X37" s="14"/>
      <c r="Y37" s="62"/>
      <c r="Z37" s="14"/>
      <c r="AA37" s="14"/>
      <c r="AB37" s="14"/>
      <c r="AC37" s="62"/>
      <c r="AD37" s="14"/>
      <c r="AE37" s="14"/>
      <c r="AF37" s="14"/>
      <c r="AG37" s="62">
        <f t="shared" si="1"/>
        <v>240</v>
      </c>
      <c r="AH37" s="14" t="s">
        <v>748</v>
      </c>
      <c r="AI37" s="6" t="s">
        <v>746</v>
      </c>
      <c r="AJ37" s="14" t="s">
        <v>742</v>
      </c>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v>4</v>
      </c>
      <c r="BN37" s="14" t="s">
        <v>437</v>
      </c>
      <c r="BO37" s="14"/>
      <c r="BP37" s="14"/>
      <c r="BQ37" s="14">
        <v>2</v>
      </c>
      <c r="BR37" s="14"/>
      <c r="BS37" s="14"/>
      <c r="BT37" s="14" t="s">
        <v>437</v>
      </c>
      <c r="BU37" s="14"/>
      <c r="BV37" s="14"/>
      <c r="BW37" s="14"/>
      <c r="BX37" s="14"/>
    </row>
    <row r="38" spans="1:80">
      <c r="A38" s="6" t="s">
        <v>465</v>
      </c>
      <c r="B38" s="14"/>
      <c r="C38" s="6" t="s">
        <v>435</v>
      </c>
      <c r="D38" s="21" t="s">
        <v>124</v>
      </c>
      <c r="E38" s="14" t="s">
        <v>766</v>
      </c>
      <c r="F38" s="14">
        <v>9</v>
      </c>
      <c r="G38" s="14">
        <v>12</v>
      </c>
      <c r="H38" s="62">
        <v>55</v>
      </c>
      <c r="I38" s="31">
        <v>16</v>
      </c>
      <c r="J38" s="14" t="s">
        <v>748</v>
      </c>
      <c r="K38" s="6" t="s">
        <v>746</v>
      </c>
      <c r="L38" s="14">
        <v>2.6</v>
      </c>
      <c r="M38" s="62"/>
      <c r="N38" s="14"/>
      <c r="O38" s="14"/>
      <c r="P38" s="14"/>
      <c r="Q38" s="62"/>
      <c r="R38" s="14"/>
      <c r="S38" s="14"/>
      <c r="T38" s="14"/>
      <c r="U38" s="62"/>
      <c r="V38" s="14"/>
      <c r="W38" s="14"/>
      <c r="X38" s="14"/>
      <c r="Y38" s="62"/>
      <c r="Z38" s="14"/>
      <c r="AA38" s="14"/>
      <c r="AB38" s="14"/>
      <c r="AC38" s="62"/>
      <c r="AD38" s="14"/>
      <c r="AE38" s="14"/>
      <c r="AF38" s="14"/>
      <c r="AG38" s="62">
        <f>2*(H38+AK38)</f>
        <v>260</v>
      </c>
      <c r="AH38" s="14" t="s">
        <v>748</v>
      </c>
      <c r="AI38" s="6" t="s">
        <v>746</v>
      </c>
      <c r="AJ38" s="14" t="s">
        <v>742</v>
      </c>
      <c r="AK38" s="62">
        <v>75</v>
      </c>
      <c r="AL38" s="86" t="s">
        <v>748</v>
      </c>
      <c r="AM38" s="6" t="s">
        <v>746</v>
      </c>
      <c r="AN38" s="14">
        <f>50/1000</f>
        <v>0.05</v>
      </c>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86">
        <v>3</v>
      </c>
      <c r="BN38" s="14" t="s">
        <v>437</v>
      </c>
      <c r="BO38" s="14"/>
      <c r="BP38" s="14"/>
      <c r="BQ38" s="14">
        <v>2</v>
      </c>
      <c r="BR38" s="14"/>
      <c r="BS38" s="14"/>
      <c r="BT38" s="14" t="s">
        <v>437</v>
      </c>
      <c r="BU38" s="14"/>
      <c r="BV38" s="14"/>
      <c r="BW38" s="14"/>
      <c r="BX38" s="14"/>
    </row>
    <row r="39" spans="1:80">
      <c r="A39" s="6" t="s">
        <v>467</v>
      </c>
      <c r="C39" s="6" t="s">
        <v>435</v>
      </c>
      <c r="D39" s="21" t="s">
        <v>124</v>
      </c>
      <c r="E39" s="14" t="s">
        <v>766</v>
      </c>
      <c r="F39" s="14">
        <v>9</v>
      </c>
      <c r="G39" s="14">
        <v>12</v>
      </c>
      <c r="H39" s="62">
        <v>55</v>
      </c>
      <c r="I39" s="31">
        <v>16</v>
      </c>
      <c r="J39" s="14" t="s">
        <v>748</v>
      </c>
      <c r="K39" s="6" t="s">
        <v>746</v>
      </c>
      <c r="L39" s="14">
        <v>2.6</v>
      </c>
      <c r="M39" s="62"/>
      <c r="N39" s="14"/>
      <c r="O39" s="14"/>
      <c r="P39" s="14"/>
      <c r="Q39" s="62"/>
      <c r="R39" s="14"/>
      <c r="S39" s="14"/>
      <c r="T39" s="14"/>
      <c r="U39" s="62"/>
      <c r="V39" s="14"/>
      <c r="W39" s="14"/>
      <c r="X39" s="14"/>
      <c r="Y39" s="62"/>
      <c r="Z39" s="14"/>
      <c r="AA39" s="14"/>
      <c r="AB39" s="14"/>
      <c r="AC39" s="62"/>
      <c r="AD39" s="14"/>
      <c r="AE39" s="14"/>
      <c r="AF39" s="14"/>
      <c r="AG39" s="62">
        <f>2*(H39+AK39)</f>
        <v>260</v>
      </c>
      <c r="AH39" s="14" t="s">
        <v>748</v>
      </c>
      <c r="AI39" s="6" t="s">
        <v>746</v>
      </c>
      <c r="AJ39" s="14" t="s">
        <v>742</v>
      </c>
      <c r="AK39" s="62">
        <v>75</v>
      </c>
      <c r="AL39" s="86" t="s">
        <v>748</v>
      </c>
      <c r="AM39" s="6" t="s">
        <v>746</v>
      </c>
      <c r="AN39" s="14">
        <f>50/1000</f>
        <v>0.05</v>
      </c>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86">
        <v>3</v>
      </c>
      <c r="BN39" s="14" t="s">
        <v>437</v>
      </c>
      <c r="BO39" s="14"/>
      <c r="BP39" s="14"/>
      <c r="BQ39" s="14">
        <v>2</v>
      </c>
      <c r="BR39" s="14"/>
      <c r="BS39" s="14"/>
      <c r="BT39" s="14" t="s">
        <v>437</v>
      </c>
      <c r="BU39" s="14"/>
      <c r="BV39" s="14"/>
      <c r="BW39" s="14"/>
      <c r="BX39" s="14"/>
    </row>
    <row r="40" spans="1:80">
      <c r="A40" s="6" t="s">
        <v>635</v>
      </c>
      <c r="C40" s="6" t="s">
        <v>435</v>
      </c>
      <c r="D40" s="21" t="s">
        <v>124</v>
      </c>
      <c r="E40" s="14" t="s">
        <v>766</v>
      </c>
      <c r="F40" s="14">
        <v>9</v>
      </c>
      <c r="G40" s="14">
        <v>12</v>
      </c>
      <c r="H40" s="62">
        <v>55</v>
      </c>
      <c r="I40" s="31">
        <v>16</v>
      </c>
      <c r="J40" s="14" t="s">
        <v>748</v>
      </c>
      <c r="K40" s="6" t="s">
        <v>746</v>
      </c>
      <c r="L40" s="14">
        <v>2.6</v>
      </c>
      <c r="M40" s="62"/>
      <c r="N40" s="14"/>
      <c r="O40" s="14"/>
      <c r="P40" s="14"/>
      <c r="Q40" s="62"/>
      <c r="R40" s="14"/>
      <c r="S40" s="14"/>
      <c r="T40" s="14"/>
      <c r="U40" s="62"/>
      <c r="V40" s="14"/>
      <c r="W40" s="14"/>
      <c r="X40" s="14"/>
      <c r="Y40" s="62"/>
      <c r="Z40" s="14"/>
      <c r="AA40" s="14"/>
      <c r="AB40" s="14"/>
      <c r="AC40" s="62"/>
      <c r="AD40" s="14"/>
      <c r="AE40" s="14"/>
      <c r="AF40" s="14"/>
      <c r="AG40" s="62">
        <f>2*(H40+AK40)</f>
        <v>260</v>
      </c>
      <c r="AH40" s="14" t="s">
        <v>748</v>
      </c>
      <c r="AI40" s="6" t="s">
        <v>746</v>
      </c>
      <c r="AJ40" s="14" t="s">
        <v>742</v>
      </c>
      <c r="AK40" s="62">
        <v>75</v>
      </c>
      <c r="AL40" s="86" t="s">
        <v>748</v>
      </c>
      <c r="AM40" s="6" t="s">
        <v>746</v>
      </c>
      <c r="AN40" s="14">
        <f>50/1000</f>
        <v>0.05</v>
      </c>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86">
        <v>3</v>
      </c>
      <c r="BN40" s="14" t="s">
        <v>437</v>
      </c>
      <c r="BO40" s="14"/>
      <c r="BP40" s="14"/>
      <c r="BQ40" s="14">
        <v>2</v>
      </c>
      <c r="BR40" s="14"/>
      <c r="BS40" s="14"/>
      <c r="BT40" s="14" t="s">
        <v>437</v>
      </c>
      <c r="BU40" s="14"/>
      <c r="BV40" s="14"/>
      <c r="BW40" s="14"/>
      <c r="BX40" s="14"/>
    </row>
    <row r="41" spans="1:80">
      <c r="A41" s="6" t="s">
        <v>636</v>
      </c>
      <c r="C41" s="6" t="s">
        <v>435</v>
      </c>
      <c r="D41" s="21" t="s">
        <v>124</v>
      </c>
      <c r="E41" s="14" t="s">
        <v>766</v>
      </c>
      <c r="F41" s="14">
        <v>9</v>
      </c>
      <c r="G41" s="14">
        <v>12</v>
      </c>
      <c r="H41" s="62">
        <v>55</v>
      </c>
      <c r="I41" s="31">
        <v>16</v>
      </c>
      <c r="J41" s="14" t="s">
        <v>748</v>
      </c>
      <c r="K41" s="6" t="s">
        <v>746</v>
      </c>
      <c r="L41" s="14">
        <v>2.6</v>
      </c>
      <c r="M41" s="62"/>
      <c r="N41" s="14"/>
      <c r="O41" s="14"/>
      <c r="P41" s="14"/>
      <c r="Q41" s="62"/>
      <c r="R41" s="14"/>
      <c r="S41" s="14"/>
      <c r="T41" s="14"/>
      <c r="U41" s="62"/>
      <c r="V41" s="14"/>
      <c r="W41" s="14"/>
      <c r="X41" s="14"/>
      <c r="Y41" s="62"/>
      <c r="Z41" s="14"/>
      <c r="AA41" s="14"/>
      <c r="AB41" s="14"/>
      <c r="AC41" s="62"/>
      <c r="AD41" s="14"/>
      <c r="AE41" s="14"/>
      <c r="AF41" s="14"/>
      <c r="AG41" s="62">
        <f>2*(H41+AK41)</f>
        <v>260</v>
      </c>
      <c r="AH41" s="14" t="s">
        <v>748</v>
      </c>
      <c r="AI41" s="6" t="s">
        <v>746</v>
      </c>
      <c r="AJ41" s="14" t="s">
        <v>742</v>
      </c>
      <c r="AK41" s="62">
        <v>75</v>
      </c>
      <c r="AL41" s="86" t="s">
        <v>748</v>
      </c>
      <c r="AM41" s="6" t="s">
        <v>746</v>
      </c>
      <c r="AN41" s="14">
        <f>50/1000</f>
        <v>0.05</v>
      </c>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86">
        <v>3</v>
      </c>
      <c r="BN41" s="14" t="s">
        <v>437</v>
      </c>
      <c r="BO41" s="14"/>
      <c r="BP41" s="14"/>
      <c r="BQ41" s="14">
        <v>2</v>
      </c>
      <c r="BR41" s="14"/>
      <c r="BS41" s="14"/>
      <c r="BT41" s="14" t="s">
        <v>437</v>
      </c>
      <c r="BU41" s="14"/>
      <c r="BV41" s="14"/>
      <c r="BW41" s="14"/>
      <c r="BX41" s="14"/>
    </row>
    <row r="42" spans="1:80">
      <c r="A42" s="6" t="s">
        <v>468</v>
      </c>
      <c r="C42" s="6" t="s">
        <v>435</v>
      </c>
      <c r="D42" s="21" t="s">
        <v>469</v>
      </c>
      <c r="E42" s="14" t="s">
        <v>767</v>
      </c>
      <c r="F42" s="14">
        <v>4</v>
      </c>
      <c r="G42" s="14">
        <v>4</v>
      </c>
      <c r="H42" s="62">
        <v>40</v>
      </c>
      <c r="I42" s="31">
        <v>4</v>
      </c>
      <c r="J42" s="14" t="s">
        <v>748</v>
      </c>
      <c r="K42" s="6" t="s">
        <v>746</v>
      </c>
      <c r="L42" s="14">
        <v>2.6</v>
      </c>
      <c r="M42" s="62"/>
      <c r="N42" s="14"/>
      <c r="O42" s="14"/>
      <c r="P42" s="14"/>
      <c r="Q42" s="62"/>
      <c r="R42" s="14"/>
      <c r="S42" s="14"/>
      <c r="T42" s="14"/>
      <c r="U42" s="62"/>
      <c r="V42" s="14"/>
      <c r="W42" s="14"/>
      <c r="X42" s="14"/>
      <c r="Y42" s="62"/>
      <c r="Z42" s="14"/>
      <c r="AA42" s="14"/>
      <c r="AB42" s="14"/>
      <c r="AC42" s="62"/>
      <c r="AD42" s="14"/>
      <c r="AE42" s="14"/>
      <c r="AF42" s="14"/>
      <c r="AG42" s="62">
        <f>2*H42</f>
        <v>80</v>
      </c>
      <c r="AH42" s="14" t="s">
        <v>748</v>
      </c>
      <c r="AI42" s="6" t="s">
        <v>746</v>
      </c>
      <c r="AJ42" s="14" t="s">
        <v>742</v>
      </c>
      <c r="AK42" s="64"/>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v>2</v>
      </c>
      <c r="BN42" s="14" t="s">
        <v>437</v>
      </c>
      <c r="BO42" s="14"/>
      <c r="BP42" s="14"/>
      <c r="BQ42" s="14">
        <v>2</v>
      </c>
      <c r="BR42" s="14"/>
      <c r="BS42" s="14"/>
      <c r="BT42" s="14" t="s">
        <v>437</v>
      </c>
      <c r="BU42" s="14"/>
      <c r="BV42" s="14"/>
      <c r="BW42" s="14"/>
      <c r="BX42" s="14"/>
    </row>
    <row r="43" spans="1:80">
      <c r="A43" s="6" t="s">
        <v>470</v>
      </c>
      <c r="C43" s="6" t="s">
        <v>435</v>
      </c>
      <c r="D43" s="21" t="s">
        <v>471</v>
      </c>
      <c r="E43" s="14" t="s">
        <v>767</v>
      </c>
      <c r="F43" s="14">
        <v>4</v>
      </c>
      <c r="G43" s="14">
        <v>4</v>
      </c>
      <c r="H43" s="62">
        <v>40</v>
      </c>
      <c r="I43" s="31">
        <v>4</v>
      </c>
      <c r="J43" s="14" t="s">
        <v>748</v>
      </c>
      <c r="K43" s="6" t="s">
        <v>746</v>
      </c>
      <c r="L43" s="14">
        <v>2.6</v>
      </c>
      <c r="M43" s="62"/>
      <c r="N43" s="14"/>
      <c r="O43" s="14"/>
      <c r="P43" s="14"/>
      <c r="Q43" s="62"/>
      <c r="R43" s="14"/>
      <c r="S43" s="14"/>
      <c r="T43" s="14"/>
      <c r="U43" s="62"/>
      <c r="V43" s="14"/>
      <c r="W43" s="14"/>
      <c r="X43" s="14"/>
      <c r="Y43" s="62"/>
      <c r="Z43" s="14"/>
      <c r="AA43" s="14"/>
      <c r="AB43" s="14"/>
      <c r="AC43" s="62"/>
      <c r="AD43" s="14"/>
      <c r="AE43" s="14"/>
      <c r="AF43" s="14"/>
      <c r="AG43" s="62">
        <f>2*H43</f>
        <v>80</v>
      </c>
      <c r="AH43" s="14" t="s">
        <v>748</v>
      </c>
      <c r="AI43" s="6" t="s">
        <v>746</v>
      </c>
      <c r="AJ43" s="14" t="s">
        <v>742</v>
      </c>
      <c r="AK43" s="64"/>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v>2</v>
      </c>
      <c r="BN43" s="14" t="s">
        <v>437</v>
      </c>
      <c r="BO43" s="14"/>
      <c r="BP43" s="14"/>
      <c r="BQ43" s="14">
        <v>2</v>
      </c>
      <c r="BR43" s="14"/>
      <c r="BS43" s="14"/>
      <c r="BT43" s="14" t="s">
        <v>437</v>
      </c>
      <c r="BU43" s="14"/>
      <c r="BV43" s="14"/>
      <c r="BW43" s="14"/>
      <c r="BX43" s="14"/>
    </row>
    <row r="44" spans="1:80" ht="14.45">
      <c r="A44" s="6" t="s">
        <v>472</v>
      </c>
      <c r="C44" s="6" t="s">
        <v>435</v>
      </c>
      <c r="D44" s="6" t="s">
        <v>473</v>
      </c>
      <c r="E44" s="14" t="s">
        <v>768</v>
      </c>
      <c r="F44" s="14">
        <v>8</v>
      </c>
      <c r="G44" s="14">
        <v>11</v>
      </c>
      <c r="H44" s="62">
        <v>125</v>
      </c>
      <c r="I44" s="31">
        <v>4</v>
      </c>
      <c r="J44" s="14" t="s">
        <v>748</v>
      </c>
      <c r="K44" s="6" t="s">
        <v>746</v>
      </c>
      <c r="L44" s="14">
        <v>2.6</v>
      </c>
      <c r="M44" s="14"/>
      <c r="N44" s="14"/>
      <c r="O44" s="14"/>
      <c r="P44" s="14"/>
      <c r="Q44" s="2"/>
      <c r="R44" s="2"/>
      <c r="S44" s="2"/>
      <c r="T44" s="2"/>
      <c r="U44" s="14"/>
      <c r="V44" s="14"/>
      <c r="W44" s="14"/>
      <c r="X44" s="14"/>
      <c r="Y44" s="14"/>
      <c r="Z44" s="14"/>
      <c r="AA44" s="14"/>
      <c r="AB44" s="14"/>
      <c r="AC44" s="14"/>
      <c r="AD44" s="14"/>
      <c r="AE44" s="14"/>
      <c r="AF44" s="14"/>
      <c r="AG44" s="62">
        <f>2*H44</f>
        <v>250</v>
      </c>
      <c r="AH44" s="14" t="s">
        <v>748</v>
      </c>
      <c r="AI44" s="6" t="s">
        <v>746</v>
      </c>
      <c r="AJ44" s="14" t="s">
        <v>742</v>
      </c>
      <c r="BA44" s="14">
        <v>120</v>
      </c>
      <c r="BB44" s="14" t="s">
        <v>748</v>
      </c>
      <c r="BC44" s="14" t="s">
        <v>746</v>
      </c>
      <c r="BD44" s="14">
        <f>50/1000</f>
        <v>0.05</v>
      </c>
      <c r="BM44" s="14">
        <v>3</v>
      </c>
      <c r="BN44" s="14" t="s">
        <v>437</v>
      </c>
      <c r="BO44" s="14"/>
      <c r="BP44" s="14"/>
      <c r="BQ44" s="14">
        <v>2</v>
      </c>
      <c r="BR44" s="14"/>
      <c r="BS44" s="14"/>
      <c r="BT44" s="14" t="s">
        <v>437</v>
      </c>
      <c r="BU44" s="14"/>
      <c r="BV44" s="14"/>
      <c r="BW44" s="14"/>
      <c r="BY44" s="36"/>
      <c r="BZ44" s="36"/>
    </row>
    <row r="45" spans="1:80" ht="14.45">
      <c r="A45" s="6" t="s">
        <v>480</v>
      </c>
      <c r="C45" s="6" t="s">
        <v>435</v>
      </c>
      <c r="D45" s="6" t="s">
        <v>637</v>
      </c>
      <c r="E45" s="14" t="s">
        <v>772</v>
      </c>
      <c r="F45" s="14">
        <v>7</v>
      </c>
      <c r="G45" s="14">
        <v>7</v>
      </c>
      <c r="H45" s="62">
        <v>90</v>
      </c>
      <c r="I45" s="31">
        <v>4</v>
      </c>
      <c r="J45" s="14" t="s">
        <v>748</v>
      </c>
      <c r="K45" s="6" t="s">
        <v>746</v>
      </c>
      <c r="L45" s="14">
        <v>2.6</v>
      </c>
      <c r="M45" s="14"/>
      <c r="N45" s="14"/>
      <c r="O45" s="14"/>
      <c r="P45" s="14"/>
      <c r="Q45" s="2"/>
      <c r="R45" s="2"/>
      <c r="S45" s="2"/>
      <c r="T45" s="2"/>
      <c r="U45" s="14"/>
      <c r="V45" s="14"/>
      <c r="W45" s="14"/>
      <c r="X45" s="14"/>
      <c r="Y45" s="14"/>
      <c r="Z45" s="14"/>
      <c r="AA45" s="14"/>
      <c r="AB45" s="14"/>
      <c r="AC45" s="14"/>
      <c r="AD45" s="14"/>
      <c r="AE45" s="14"/>
      <c r="AF45" s="14"/>
      <c r="AG45" s="62">
        <f>2*H45</f>
        <v>180</v>
      </c>
      <c r="AH45" s="14" t="s">
        <v>748</v>
      </c>
      <c r="AI45" s="6" t="s">
        <v>746</v>
      </c>
      <c r="AJ45" s="14" t="s">
        <v>742</v>
      </c>
      <c r="BA45" s="14">
        <v>120</v>
      </c>
      <c r="BB45" s="14" t="s">
        <v>748</v>
      </c>
      <c r="BC45" s="14" t="s">
        <v>746</v>
      </c>
      <c r="BD45" s="14">
        <v>0.05</v>
      </c>
      <c r="BM45" s="14">
        <v>3</v>
      </c>
      <c r="BN45" s="14" t="s">
        <v>437</v>
      </c>
      <c r="BO45" s="14"/>
      <c r="BP45" s="14"/>
      <c r="BQ45" s="14">
        <v>2</v>
      </c>
      <c r="BR45" s="14"/>
      <c r="BS45" s="14" t="s">
        <v>437</v>
      </c>
      <c r="BT45" s="14" t="s">
        <v>437</v>
      </c>
      <c r="BU45" s="14"/>
      <c r="BV45" s="14"/>
      <c r="BW45" s="14"/>
      <c r="BY45" s="36"/>
      <c r="BZ45" s="36"/>
    </row>
    <row r="46" spans="1:80" s="19" customFormat="1" ht="14.45">
      <c r="A46" s="19" t="s">
        <v>476</v>
      </c>
      <c r="C46" s="19" t="s">
        <v>435</v>
      </c>
      <c r="D46" s="19" t="s">
        <v>638</v>
      </c>
      <c r="E46" s="17" t="s">
        <v>771</v>
      </c>
      <c r="F46" s="17">
        <v>6</v>
      </c>
      <c r="G46" s="17">
        <v>6</v>
      </c>
      <c r="H46" s="68">
        <v>60</v>
      </c>
      <c r="I46" s="80">
        <v>4</v>
      </c>
      <c r="J46" s="17" t="s">
        <v>748</v>
      </c>
      <c r="K46" s="19" t="s">
        <v>746</v>
      </c>
      <c r="L46" s="17">
        <v>2.6</v>
      </c>
      <c r="M46" s="17"/>
      <c r="N46" s="17"/>
      <c r="O46" s="17"/>
      <c r="P46" s="17"/>
      <c r="Q46" s="99"/>
      <c r="R46" s="99"/>
      <c r="S46" s="99"/>
      <c r="T46" s="99"/>
      <c r="U46" s="17"/>
      <c r="V46" s="17"/>
      <c r="W46" s="17"/>
      <c r="X46" s="17"/>
      <c r="Y46" s="17"/>
      <c r="Z46" s="17"/>
      <c r="AA46" s="17"/>
      <c r="AB46" s="17"/>
      <c r="AC46" s="17"/>
      <c r="AD46" s="17"/>
      <c r="AE46" s="17"/>
      <c r="AF46" s="17"/>
      <c r="AG46" s="68">
        <f>2*H46</f>
        <v>120</v>
      </c>
      <c r="AH46" s="17" t="s">
        <v>748</v>
      </c>
      <c r="AI46" s="19" t="s">
        <v>746</v>
      </c>
      <c r="AJ46" s="17" t="s">
        <v>742</v>
      </c>
      <c r="BA46" s="17">
        <v>120</v>
      </c>
      <c r="BB46" s="17" t="s">
        <v>748</v>
      </c>
      <c r="BC46" s="17" t="s">
        <v>746</v>
      </c>
      <c r="BD46" s="17">
        <v>0.05</v>
      </c>
      <c r="BM46" s="17">
        <v>3</v>
      </c>
      <c r="BN46" s="17" t="s">
        <v>437</v>
      </c>
      <c r="BO46" s="17"/>
      <c r="BP46" s="17"/>
      <c r="BQ46" s="17">
        <v>2</v>
      </c>
      <c r="BR46" s="17"/>
      <c r="BS46" s="17" t="s">
        <v>437</v>
      </c>
      <c r="BT46" s="17" t="s">
        <v>437</v>
      </c>
      <c r="BU46" s="17"/>
      <c r="BV46" s="17"/>
      <c r="BW46" s="17"/>
      <c r="BY46" s="46"/>
      <c r="BZ46" s="46"/>
    </row>
    <row r="47" spans="1:80" s="20" customFormat="1">
      <c r="E47" s="18"/>
      <c r="F47" s="18">
        <f>SUM(F8:F46)</f>
        <v>272</v>
      </c>
      <c r="G47" s="18">
        <f>SUM(G8:G46)</f>
        <v>821</v>
      </c>
      <c r="H47" s="18">
        <f>SUM(H8:H46)</f>
        <v>3593</v>
      </c>
      <c r="I47" s="63"/>
      <c r="J47" s="18"/>
      <c r="K47" s="18"/>
      <c r="L47" s="18">
        <f>SUM(L8:L46)</f>
        <v>409.00000000000023</v>
      </c>
      <c r="M47" s="18">
        <f>SUM(M8:M46)</f>
        <v>460</v>
      </c>
      <c r="N47" s="18"/>
      <c r="O47" s="18"/>
      <c r="P47" s="18">
        <f>SUM(P8:P46)</f>
        <v>0.05</v>
      </c>
      <c r="Q47" s="18">
        <f>SUM(Q8:Q46)</f>
        <v>15200</v>
      </c>
      <c r="R47" s="18"/>
      <c r="S47" s="18"/>
      <c r="T47" s="18">
        <f>SUM(T8:T46)</f>
        <v>0.05</v>
      </c>
      <c r="U47" s="18">
        <f>SUM(U8:U46)</f>
        <v>16600</v>
      </c>
      <c r="V47" s="18"/>
      <c r="W47" s="18"/>
      <c r="X47" s="18">
        <f>SUM(X8:X46)</f>
        <v>0.05</v>
      </c>
      <c r="Y47" s="18">
        <f>SUM(Y8:Y46)</f>
        <v>1250</v>
      </c>
      <c r="Z47" s="18"/>
      <c r="AA47" s="18"/>
      <c r="AB47" s="18">
        <f>SUM(AB8:AB46)</f>
        <v>0.1</v>
      </c>
      <c r="AC47" s="18">
        <f>SUM(AC8:AC46)</f>
        <v>270</v>
      </c>
      <c r="AD47" s="18"/>
      <c r="AE47" s="18"/>
      <c r="AF47" s="18">
        <f>SUM(AF8:AF46)</f>
        <v>0</v>
      </c>
      <c r="AG47" s="18">
        <f>SUM(AG8:AG46)</f>
        <v>39703</v>
      </c>
      <c r="AH47" s="18"/>
      <c r="AI47" s="18"/>
      <c r="AJ47" s="18"/>
      <c r="AK47" s="18">
        <f>SUM(AK8:AK46)</f>
        <v>300</v>
      </c>
      <c r="AL47" s="18"/>
      <c r="AM47" s="18"/>
      <c r="AN47" s="18">
        <f>SUM(AN8:AN46)</f>
        <v>0.2</v>
      </c>
      <c r="AO47" s="18">
        <f>SUM(AO8:AO46)</f>
        <v>50</v>
      </c>
      <c r="AP47" s="18"/>
      <c r="AQ47" s="18"/>
      <c r="AR47" s="18">
        <f>SUM(AR8:AR46)</f>
        <v>0.05</v>
      </c>
      <c r="AS47" s="18">
        <f>SUM(AS8:AS46)</f>
        <v>200</v>
      </c>
      <c r="AT47" s="18"/>
      <c r="AU47" s="18"/>
      <c r="AV47" s="18">
        <f>SUM(AV8:AV46)</f>
        <v>0.1</v>
      </c>
      <c r="AW47" s="18">
        <f>SUM(AW8:AW46)</f>
        <v>0</v>
      </c>
      <c r="AX47" s="18"/>
      <c r="AY47" s="18"/>
      <c r="AZ47" s="18">
        <f>SUM(AZ8:AZ46)</f>
        <v>0</v>
      </c>
      <c r="BA47" s="18">
        <f>SUM(BA8:BA46)</f>
        <v>360</v>
      </c>
      <c r="BB47" s="18"/>
      <c r="BC47" s="18"/>
      <c r="BD47" s="18">
        <f>SUM(BD8:BD46)</f>
        <v>0.15000000000000002</v>
      </c>
      <c r="BE47" s="18">
        <f>SUM(BE8:BE46)</f>
        <v>6144</v>
      </c>
      <c r="BF47" s="18"/>
      <c r="BG47" s="18"/>
      <c r="BH47" s="18">
        <f>SUM(BH8:BH46)</f>
        <v>0.05</v>
      </c>
      <c r="BI47" s="18"/>
      <c r="BJ47" s="18"/>
      <c r="BK47" s="18"/>
      <c r="BL47" s="18"/>
      <c r="BM47" s="18">
        <f>SUM(BM8:BM46)</f>
        <v>116</v>
      </c>
      <c r="BN47" s="18">
        <f>COUNTIF(BN8:BN46,"x")</f>
        <v>38</v>
      </c>
      <c r="BO47" s="18">
        <f>COUNTIF(BO8:BO46,"x")</f>
        <v>2</v>
      </c>
      <c r="BP47" s="18">
        <f>COUNTIF(BP8:BP46,"x")</f>
        <v>1</v>
      </c>
      <c r="BQ47" s="18">
        <f>SUM(BQ9:BQ46)</f>
        <v>76</v>
      </c>
      <c r="BR47" s="18">
        <f>COUNTIF(BR8:BR46,"x")</f>
        <v>1</v>
      </c>
      <c r="BS47" s="18">
        <f>COUNTIF(BS8:BS46,"x")</f>
        <v>2</v>
      </c>
      <c r="BT47" s="18">
        <f>COUNTIF(BT8:BT46,"x")</f>
        <v>38</v>
      </c>
      <c r="BU47" s="18" t="s">
        <v>769</v>
      </c>
      <c r="BV47" s="18">
        <v>2</v>
      </c>
      <c r="BW47" s="18">
        <v>4</v>
      </c>
      <c r="BX47" s="18">
        <v>2</v>
      </c>
    </row>
    <row r="48" spans="1:80" ht="12.95">
      <c r="A48" s="16" t="s">
        <v>770</v>
      </c>
      <c r="E48" s="14"/>
      <c r="F48" s="14"/>
      <c r="G48" s="14"/>
      <c r="H48" s="14"/>
      <c r="I48" s="31"/>
      <c r="J48" s="14"/>
      <c r="K48" s="14"/>
      <c r="L48" s="14"/>
      <c r="M48" s="14"/>
      <c r="N48" s="62"/>
      <c r="O48" s="62"/>
      <c r="P48" s="14"/>
      <c r="Q48" s="14"/>
      <c r="R48" s="62"/>
      <c r="S48" s="62"/>
      <c r="T48" s="14"/>
      <c r="U48" s="14"/>
      <c r="V48" s="62"/>
      <c r="W48" s="62"/>
      <c r="X48" s="14"/>
      <c r="Y48" s="14"/>
      <c r="Z48" s="62"/>
      <c r="AA48" s="62"/>
      <c r="AB48" s="14"/>
      <c r="AC48" s="14"/>
      <c r="AD48" s="62"/>
      <c r="AE48" s="62"/>
      <c r="AF48" s="14"/>
      <c r="AG48" s="14"/>
      <c r="AH48" s="62"/>
      <c r="AI48" s="62"/>
      <c r="AJ48" s="62"/>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row>
    <row r="49" spans="1:80" ht="14.45">
      <c r="A49" s="6" t="s">
        <v>476</v>
      </c>
      <c r="C49" s="6" t="s">
        <v>435</v>
      </c>
      <c r="D49" s="6" t="s">
        <v>477</v>
      </c>
      <c r="E49" s="14" t="s">
        <v>771</v>
      </c>
      <c r="F49" s="14">
        <v>8</v>
      </c>
      <c r="G49" s="14">
        <v>16</v>
      </c>
      <c r="H49" s="62">
        <v>30</v>
      </c>
      <c r="I49" s="31">
        <v>12</v>
      </c>
      <c r="J49" s="14" t="s">
        <v>748</v>
      </c>
      <c r="K49" s="6" t="s">
        <v>746</v>
      </c>
      <c r="L49" s="14"/>
      <c r="M49" s="14"/>
      <c r="N49" s="14"/>
      <c r="O49" s="14"/>
      <c r="P49" s="14"/>
      <c r="Q49" s="2"/>
      <c r="R49" s="2"/>
      <c r="S49" s="2"/>
      <c r="T49" s="2"/>
      <c r="U49" s="14"/>
      <c r="V49" s="14"/>
      <c r="W49" s="14"/>
      <c r="X49" s="14"/>
      <c r="Y49" s="14"/>
      <c r="Z49" s="14"/>
      <c r="AA49" s="14"/>
      <c r="AB49" s="14"/>
      <c r="AC49" s="14"/>
      <c r="AD49" s="14"/>
      <c r="AE49" s="14"/>
      <c r="AF49" s="14"/>
      <c r="AG49" s="62">
        <f>2*H49+200</f>
        <v>260</v>
      </c>
      <c r="AH49" s="14" t="s">
        <v>748</v>
      </c>
      <c r="AI49" s="6" t="s">
        <v>746</v>
      </c>
      <c r="AJ49" s="14"/>
      <c r="AW49" s="14"/>
      <c r="AX49" s="14"/>
      <c r="AY49" s="14"/>
      <c r="AZ49" s="14"/>
      <c r="BA49" s="14"/>
      <c r="BB49" s="14"/>
      <c r="BC49" s="14"/>
      <c r="BD49" s="14"/>
      <c r="BI49" s="6">
        <v>150</v>
      </c>
      <c r="BJ49" s="6" t="s">
        <v>748</v>
      </c>
      <c r="BK49" s="6" t="s">
        <v>746</v>
      </c>
      <c r="BL49" s="6">
        <v>0.05</v>
      </c>
      <c r="BM49" s="14">
        <v>1</v>
      </c>
      <c r="BN49" s="14"/>
      <c r="BO49" s="14"/>
      <c r="BP49" s="14"/>
      <c r="BQ49" s="14"/>
      <c r="BR49" s="14"/>
      <c r="BS49" s="14"/>
      <c r="BT49" s="14"/>
      <c r="BU49" s="14"/>
      <c r="BV49" s="14"/>
      <c r="BW49" s="14"/>
      <c r="BY49" s="36"/>
      <c r="BZ49" s="36"/>
    </row>
    <row r="50" spans="1:80" ht="12.95">
      <c r="A50" s="186" t="s">
        <v>478</v>
      </c>
      <c r="B50" s="187"/>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BE50" s="14"/>
      <c r="BF50" s="14"/>
      <c r="BG50" s="14"/>
      <c r="BH50" s="14"/>
      <c r="BI50" s="14"/>
      <c r="BJ50" s="14"/>
      <c r="BK50" s="14"/>
      <c r="BL50" s="14"/>
      <c r="BM50" s="14"/>
    </row>
    <row r="51" spans="1:80" ht="15" customHeight="1">
      <c r="A51" s="6" t="s">
        <v>472</v>
      </c>
      <c r="C51" s="6" t="s">
        <v>435</v>
      </c>
      <c r="D51" s="6" t="s">
        <v>479</v>
      </c>
      <c r="E51" s="14" t="s">
        <v>768</v>
      </c>
      <c r="F51" s="14">
        <v>8</v>
      </c>
      <c r="G51" s="14">
        <v>22</v>
      </c>
      <c r="H51" s="62">
        <v>28</v>
      </c>
      <c r="I51" s="31">
        <v>12</v>
      </c>
      <c r="J51" s="14" t="s">
        <v>748</v>
      </c>
      <c r="K51" s="6" t="s">
        <v>746</v>
      </c>
      <c r="L51" s="14" t="s">
        <v>742</v>
      </c>
      <c r="M51" s="14"/>
      <c r="N51" s="14"/>
      <c r="O51" s="14"/>
      <c r="P51" s="14"/>
      <c r="Q51" s="2"/>
      <c r="R51" s="2"/>
      <c r="S51" s="2"/>
      <c r="T51" s="2"/>
      <c r="U51" s="14"/>
      <c r="V51" s="14"/>
      <c r="W51" s="14"/>
      <c r="X51" s="14"/>
      <c r="Y51" s="14">
        <v>120</v>
      </c>
      <c r="Z51" s="14" t="s">
        <v>748</v>
      </c>
      <c r="AA51" s="6" t="s">
        <v>746</v>
      </c>
      <c r="AB51" s="14" t="s">
        <v>742</v>
      </c>
      <c r="AC51" s="14"/>
      <c r="AD51" s="14"/>
      <c r="AE51" s="14"/>
      <c r="AF51" s="14"/>
      <c r="AG51" s="62">
        <f>2*H51+200+Y51</f>
        <v>376</v>
      </c>
      <c r="AH51" s="14" t="s">
        <v>748</v>
      </c>
      <c r="AI51" s="6" t="s">
        <v>746</v>
      </c>
      <c r="AJ51" s="14" t="s">
        <v>742</v>
      </c>
      <c r="AW51" s="14">
        <v>150</v>
      </c>
      <c r="AX51" s="14" t="s">
        <v>748</v>
      </c>
      <c r="AY51" s="14" t="s">
        <v>746</v>
      </c>
      <c r="AZ51" s="14">
        <f>50/1000</f>
        <v>0.05</v>
      </c>
      <c r="BA51" s="14"/>
      <c r="BB51" s="14"/>
      <c r="BE51" s="14"/>
      <c r="BF51" s="14"/>
      <c r="BG51" s="14"/>
      <c r="BH51" s="14"/>
      <c r="BI51" s="14"/>
      <c r="BJ51" s="14"/>
      <c r="BK51" s="14"/>
      <c r="BL51" s="14"/>
      <c r="BM51" s="14">
        <v>1</v>
      </c>
      <c r="BN51" s="14"/>
      <c r="BO51" s="14"/>
      <c r="BP51" s="14"/>
      <c r="BQ51" s="14"/>
      <c r="BR51" s="14"/>
      <c r="BS51" s="14"/>
      <c r="BT51" s="14"/>
      <c r="BU51" s="14"/>
      <c r="BV51" s="14"/>
      <c r="BW51" s="14"/>
    </row>
    <row r="52" spans="1:80" s="19" customFormat="1" ht="14.45">
      <c r="A52" s="19" t="s">
        <v>480</v>
      </c>
      <c r="C52" s="19" t="s">
        <v>435</v>
      </c>
      <c r="D52" s="19" t="s">
        <v>481</v>
      </c>
      <c r="E52" s="17" t="s">
        <v>772</v>
      </c>
      <c r="F52" s="17">
        <v>6</v>
      </c>
      <c r="G52" s="17">
        <v>17</v>
      </c>
      <c r="H52" s="68">
        <v>30</v>
      </c>
      <c r="I52" s="80">
        <v>12</v>
      </c>
      <c r="J52" s="17" t="s">
        <v>748</v>
      </c>
      <c r="K52" s="157" t="s">
        <v>746</v>
      </c>
      <c r="L52" s="17"/>
      <c r="M52" s="17"/>
      <c r="N52" s="17"/>
      <c r="O52" s="17"/>
      <c r="P52" s="17"/>
      <c r="Q52" s="99"/>
      <c r="R52" s="99"/>
      <c r="S52" s="99"/>
      <c r="T52" s="99"/>
      <c r="U52" s="17"/>
      <c r="V52" s="17"/>
      <c r="W52" s="17"/>
      <c r="X52" s="17"/>
      <c r="Y52" s="17"/>
      <c r="Z52" s="17"/>
      <c r="AB52" s="17"/>
      <c r="AC52" s="17"/>
      <c r="AD52" s="17"/>
      <c r="AE52" s="17"/>
      <c r="AF52" s="17"/>
      <c r="AG52" s="68">
        <f>2*H52</f>
        <v>60</v>
      </c>
      <c r="AH52" s="17"/>
      <c r="AJ52" s="17"/>
      <c r="AW52" s="17"/>
      <c r="AX52" s="17"/>
      <c r="AY52" s="17"/>
      <c r="AZ52" s="17"/>
      <c r="BE52" s="17"/>
      <c r="BF52" s="17"/>
      <c r="BG52" s="17"/>
      <c r="BH52" s="17"/>
      <c r="BI52" s="156"/>
      <c r="BJ52" s="158"/>
      <c r="BK52" s="156"/>
      <c r="BL52" s="156"/>
      <c r="BM52" s="17"/>
      <c r="BN52" s="17"/>
      <c r="BO52" s="17"/>
      <c r="BP52" s="17"/>
      <c r="BQ52" s="17"/>
      <c r="BR52" s="17"/>
      <c r="BS52" s="17"/>
    </row>
    <row r="53" spans="1:80">
      <c r="E53" s="14"/>
      <c r="F53" s="14">
        <f>SUM(F49:F52)+F47</f>
        <v>294</v>
      </c>
      <c r="G53" s="14">
        <f>SUM(G49:G52)+G47</f>
        <v>876</v>
      </c>
      <c r="H53" s="62">
        <f>SUM(H49:H52)+H47</f>
        <v>3681</v>
      </c>
      <c r="I53" s="14"/>
      <c r="J53" s="14"/>
      <c r="K53" s="14"/>
      <c r="L53" s="14">
        <f>SUM(L48:L52)+L47</f>
        <v>409.00000000000023</v>
      </c>
      <c r="M53" s="14">
        <f>SUM(M48:M52)+M47</f>
        <v>460</v>
      </c>
      <c r="N53" s="62"/>
      <c r="O53" s="62"/>
      <c r="P53" s="14">
        <f>SUM(P48:P52)+P47</f>
        <v>0.05</v>
      </c>
      <c r="Q53" s="14">
        <f>SUM(Q48:Q52)+Q47</f>
        <v>15200</v>
      </c>
      <c r="R53" s="62"/>
      <c r="S53" s="62"/>
      <c r="T53" s="14">
        <f>SUM(T48:T52)+T47</f>
        <v>0.05</v>
      </c>
      <c r="U53" s="14">
        <f>SUM(U48:U52)+U47</f>
        <v>16600</v>
      </c>
      <c r="V53" s="62"/>
      <c r="W53" s="62"/>
      <c r="X53" s="14">
        <f>SUM(X48:X52)+X47</f>
        <v>0.05</v>
      </c>
      <c r="Y53" s="14">
        <f>SUM(Y48:Y52)+Y47</f>
        <v>1370</v>
      </c>
      <c r="Z53" s="62"/>
      <c r="AA53" s="62"/>
      <c r="AB53" s="14">
        <f>SUM(AB48:AB52)+AB47</f>
        <v>0.1</v>
      </c>
      <c r="AC53" s="14">
        <f>SUM(AC48:AC52)+AC47</f>
        <v>270</v>
      </c>
      <c r="AD53" s="62"/>
      <c r="AE53" s="62"/>
      <c r="AF53" s="14">
        <f>SUM(AF48:AF51)+AF47</f>
        <v>0</v>
      </c>
      <c r="AG53" s="62">
        <f>SUM(AG48:AG52)+AG47</f>
        <v>40399</v>
      </c>
      <c r="AH53" s="62"/>
      <c r="AI53" s="62"/>
      <c r="AJ53" s="62"/>
      <c r="AK53" s="14">
        <f>SUM(AK48:AK52)+AK47</f>
        <v>300</v>
      </c>
      <c r="AL53" s="14"/>
      <c r="AM53" s="14"/>
      <c r="AN53" s="14">
        <f>SUM(AN48:AN52)+AN47</f>
        <v>0.2</v>
      </c>
      <c r="AO53" s="14">
        <f>SUM(AO48:AO52)+AO47</f>
        <v>50</v>
      </c>
      <c r="AP53" s="14"/>
      <c r="AQ53" s="14"/>
      <c r="AR53" s="14">
        <f>SUM(AR48:AR52)+AR47</f>
        <v>0.05</v>
      </c>
      <c r="AS53" s="14">
        <f>SUM(AS48:AS52)+AS47</f>
        <v>200</v>
      </c>
      <c r="AT53" s="14"/>
      <c r="AU53" s="14"/>
      <c r="AV53" s="14">
        <f>SUM(AV48:AV52)+AV47</f>
        <v>0.1</v>
      </c>
      <c r="AW53" s="14">
        <f>SUM(AW48:AW52)+AW47</f>
        <v>150</v>
      </c>
      <c r="AX53" s="14"/>
      <c r="AY53" s="14"/>
      <c r="AZ53" s="14">
        <f>SUM(AZ48:AZ52)+AZ47</f>
        <v>0.05</v>
      </c>
      <c r="BA53" s="14">
        <f>SUM(BA48:BA52)+BA47</f>
        <v>360</v>
      </c>
      <c r="BB53" s="14"/>
      <c r="BC53" s="14"/>
      <c r="BD53" s="14">
        <f>SUM(BD48:BD52)+BD47</f>
        <v>0.15000000000000002</v>
      </c>
      <c r="BE53" s="14">
        <f>SUM(BE48:BE52)+BE47</f>
        <v>6144</v>
      </c>
      <c r="BF53" s="14"/>
      <c r="BG53" s="14"/>
      <c r="BH53" s="14">
        <f>SUM(BH48:BH52)+BH47</f>
        <v>0.05</v>
      </c>
      <c r="BI53" s="14">
        <f>SUM(BI48:BI52)+BI47</f>
        <v>150</v>
      </c>
      <c r="BJ53" s="14"/>
      <c r="BK53" s="14"/>
      <c r="BL53" s="14">
        <f>SUM(BL48:BL52)+BL47</f>
        <v>0.05</v>
      </c>
      <c r="BM53" s="14">
        <f>SUM(BM48:BM52)+BM47</f>
        <v>118</v>
      </c>
      <c r="BN53" s="14">
        <f>BN47+COUNTIF(BN48:BN52,"x")</f>
        <v>38</v>
      </c>
      <c r="BO53" s="14">
        <f>BO47+COUNTIF(BO48:BO52,"x")</f>
        <v>2</v>
      </c>
      <c r="BP53" s="14">
        <f>SUM(BP48:BP52)+BP47</f>
        <v>1</v>
      </c>
      <c r="BQ53" s="14">
        <f>SUM(BQ48:BQ52)+BQ47</f>
        <v>76</v>
      </c>
      <c r="BR53" s="14">
        <f>BR47+COUNTIF(BR48:BR52,"x")</f>
        <v>1</v>
      </c>
      <c r="BS53" s="14">
        <f>BS47+COUNTIF(BS48:BS52,"x")</f>
        <v>2</v>
      </c>
      <c r="BT53" s="14">
        <f>BT47+COUNTIF(BT48:BT52,"x")</f>
        <v>38</v>
      </c>
      <c r="BU53" s="14" t="s">
        <v>769</v>
      </c>
      <c r="BV53" s="14">
        <f>BV47+COUNTIF(BV48:BV52,"x")</f>
        <v>2</v>
      </c>
      <c r="BW53" s="14">
        <f>BW47+COUNTIF(BW48:BW52,"x")</f>
        <v>4</v>
      </c>
      <c r="BX53" s="14">
        <f>BX47+COUNTIF(BX51:BX52,"x")</f>
        <v>2</v>
      </c>
      <c r="BY53" s="14"/>
      <c r="BZ53" s="14"/>
      <c r="CA53" s="14"/>
      <c r="CB53" s="14"/>
    </row>
    <row r="54" spans="1:80">
      <c r="BM54" s="14"/>
    </row>
    <row r="55" spans="1:80" ht="12.95">
      <c r="A55" s="16" t="s">
        <v>773</v>
      </c>
      <c r="B55" s="36"/>
      <c r="C55" s="36"/>
      <c r="D55" s="36"/>
      <c r="BM55" s="14"/>
    </row>
    <row r="56" spans="1:80">
      <c r="A56" s="36"/>
      <c r="B56" s="36"/>
      <c r="C56" s="36"/>
      <c r="D56" s="36"/>
      <c r="BM56" s="14"/>
    </row>
    <row r="57" spans="1:80">
      <c r="A57" s="36" t="s">
        <v>486</v>
      </c>
      <c r="B57" s="36"/>
      <c r="C57" s="6" t="s">
        <v>435</v>
      </c>
      <c r="D57" s="36" t="s">
        <v>44</v>
      </c>
      <c r="E57" s="14" t="s">
        <v>774</v>
      </c>
      <c r="F57" s="86">
        <v>16</v>
      </c>
      <c r="G57" s="86">
        <v>64</v>
      </c>
      <c r="H57" s="62">
        <v>70</v>
      </c>
      <c r="I57" s="31">
        <v>16</v>
      </c>
      <c r="J57" s="86" t="s">
        <v>748</v>
      </c>
      <c r="K57" s="6" t="s">
        <v>746</v>
      </c>
      <c r="L57" s="14">
        <v>2.6</v>
      </c>
      <c r="M57" s="36"/>
      <c r="N57" s="36"/>
      <c r="O57" s="36"/>
      <c r="P57" s="36"/>
      <c r="Q57" s="36"/>
      <c r="R57" s="36"/>
      <c r="S57" s="36"/>
      <c r="T57" s="36"/>
      <c r="U57" s="36"/>
      <c r="V57" s="36"/>
      <c r="W57" s="36"/>
      <c r="X57" s="36"/>
      <c r="Y57" s="36"/>
      <c r="Z57" s="36"/>
      <c r="AA57" s="36"/>
      <c r="AB57" s="36"/>
      <c r="AC57" s="36"/>
      <c r="AD57" s="36"/>
      <c r="AE57" s="36"/>
      <c r="AF57" s="36"/>
      <c r="AG57" s="86">
        <f t="shared" ref="AG57:AG81" si="2">2*H57</f>
        <v>140</v>
      </c>
      <c r="AH57" s="86" t="s">
        <v>748</v>
      </c>
      <c r="AI57" s="6" t="s">
        <v>746</v>
      </c>
      <c r="AJ57" s="14" t="s">
        <v>742</v>
      </c>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86">
        <v>2</v>
      </c>
      <c r="BN57" s="86" t="s">
        <v>437</v>
      </c>
      <c r="BO57" s="86"/>
      <c r="BP57" s="86"/>
      <c r="BQ57" s="86">
        <v>2</v>
      </c>
      <c r="BR57" s="86"/>
      <c r="BS57" s="86" t="s">
        <v>437</v>
      </c>
      <c r="BT57" s="86" t="s">
        <v>437</v>
      </c>
      <c r="BU57" s="86"/>
      <c r="BV57" s="86"/>
      <c r="BW57" s="86"/>
      <c r="BX57" s="86"/>
      <c r="BY57" s="36"/>
      <c r="BZ57" s="36"/>
    </row>
    <row r="58" spans="1:80">
      <c r="A58" s="36" t="s">
        <v>539</v>
      </c>
      <c r="B58" s="36"/>
      <c r="C58" s="21" t="s">
        <v>488</v>
      </c>
      <c r="D58" s="6" t="s">
        <v>112</v>
      </c>
      <c r="E58" s="14" t="s">
        <v>763</v>
      </c>
      <c r="F58" s="86">
        <v>4</v>
      </c>
      <c r="G58" s="86">
        <v>4</v>
      </c>
      <c r="H58" s="62">
        <v>100</v>
      </c>
      <c r="I58" s="31">
        <v>0</v>
      </c>
      <c r="J58" s="14" t="s">
        <v>745</v>
      </c>
      <c r="K58" s="6" t="s">
        <v>746</v>
      </c>
      <c r="L58" s="14">
        <v>100</v>
      </c>
      <c r="M58" s="36"/>
      <c r="N58" s="36"/>
      <c r="O58" s="36"/>
      <c r="P58" s="36"/>
      <c r="Q58" s="36"/>
      <c r="R58" s="36"/>
      <c r="S58" s="36"/>
      <c r="T58" s="36"/>
      <c r="U58" s="36"/>
      <c r="V58" s="36"/>
      <c r="W58" s="36"/>
      <c r="X58" s="36"/>
      <c r="Y58" s="36"/>
      <c r="Z58" s="36"/>
      <c r="AA58" s="36"/>
      <c r="AB58" s="36"/>
      <c r="AC58" s="36"/>
      <c r="AD58" s="36"/>
      <c r="AE58" s="36"/>
      <c r="AF58" s="36"/>
      <c r="AG58" s="86">
        <f t="shared" si="2"/>
        <v>200</v>
      </c>
      <c r="AH58" s="86" t="s">
        <v>748</v>
      </c>
      <c r="AI58" s="6" t="s">
        <v>746</v>
      </c>
      <c r="AJ58" s="14" t="s">
        <v>742</v>
      </c>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86">
        <v>4</v>
      </c>
      <c r="BN58" s="86" t="s">
        <v>437</v>
      </c>
      <c r="BO58" s="86"/>
      <c r="BP58" s="86"/>
      <c r="BQ58" s="86">
        <v>2</v>
      </c>
      <c r="BR58" s="86"/>
      <c r="BS58" s="86" t="s">
        <v>437</v>
      </c>
      <c r="BT58" s="86" t="s">
        <v>437</v>
      </c>
      <c r="BU58" s="86"/>
      <c r="BV58" s="86"/>
      <c r="BW58" s="86"/>
      <c r="BX58" s="86"/>
      <c r="BY58" s="36"/>
      <c r="BZ58" s="36"/>
    </row>
    <row r="59" spans="1:80">
      <c r="A59" s="36" t="s">
        <v>491</v>
      </c>
      <c r="B59" s="36"/>
      <c r="C59" s="21" t="s">
        <v>488</v>
      </c>
      <c r="D59" s="6" t="s">
        <v>120</v>
      </c>
      <c r="E59" s="14" t="s">
        <v>764</v>
      </c>
      <c r="F59" s="86">
        <v>4</v>
      </c>
      <c r="G59" s="86">
        <v>16</v>
      </c>
      <c r="H59" s="62">
        <v>100</v>
      </c>
      <c r="I59" s="31">
        <v>0</v>
      </c>
      <c r="J59" s="14" t="s">
        <v>745</v>
      </c>
      <c r="K59" s="6" t="s">
        <v>746</v>
      </c>
      <c r="L59" s="14">
        <v>110</v>
      </c>
      <c r="M59" s="36"/>
      <c r="N59" s="36"/>
      <c r="O59" s="36"/>
      <c r="P59" s="36"/>
      <c r="Q59" s="36"/>
      <c r="R59" s="36"/>
      <c r="S59" s="36"/>
      <c r="T59" s="36"/>
      <c r="U59" s="36"/>
      <c r="V59" s="36"/>
      <c r="W59" s="36"/>
      <c r="X59" s="36"/>
      <c r="Y59" s="36"/>
      <c r="Z59" s="36"/>
      <c r="AA59" s="36"/>
      <c r="AB59" s="36"/>
      <c r="AC59" s="36"/>
      <c r="AD59" s="36"/>
      <c r="AE59" s="36"/>
      <c r="AF59" s="36"/>
      <c r="AG59" s="86">
        <f t="shared" si="2"/>
        <v>200</v>
      </c>
      <c r="AH59" s="86" t="s">
        <v>748</v>
      </c>
      <c r="AI59" s="6" t="s">
        <v>746</v>
      </c>
      <c r="AJ59" s="14" t="s">
        <v>742</v>
      </c>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86">
        <v>4</v>
      </c>
      <c r="BN59" s="86" t="s">
        <v>437</v>
      </c>
      <c r="BO59" s="86"/>
      <c r="BP59" s="86"/>
      <c r="BQ59" s="86">
        <v>2</v>
      </c>
      <c r="BR59" s="86"/>
      <c r="BS59" s="86" t="s">
        <v>437</v>
      </c>
      <c r="BT59" s="86" t="s">
        <v>437</v>
      </c>
      <c r="BU59" s="86"/>
      <c r="BV59" s="86"/>
      <c r="BW59" s="86"/>
      <c r="BX59" s="86"/>
      <c r="BY59" s="36"/>
      <c r="BZ59" s="36"/>
    </row>
    <row r="60" spans="1:80">
      <c r="A60" s="36" t="s">
        <v>540</v>
      </c>
      <c r="B60" s="36"/>
      <c r="C60" s="21" t="s">
        <v>488</v>
      </c>
      <c r="D60" s="6" t="s">
        <v>120</v>
      </c>
      <c r="E60" s="14" t="s">
        <v>764</v>
      </c>
      <c r="F60" s="86">
        <v>4</v>
      </c>
      <c r="G60" s="86">
        <v>16</v>
      </c>
      <c r="H60" s="62">
        <v>100</v>
      </c>
      <c r="I60" s="31">
        <v>0</v>
      </c>
      <c r="J60" s="14" t="s">
        <v>745</v>
      </c>
      <c r="K60" s="6" t="s">
        <v>746</v>
      </c>
      <c r="L60" s="14">
        <v>110</v>
      </c>
      <c r="M60" s="36"/>
      <c r="N60" s="36"/>
      <c r="O60" s="36"/>
      <c r="P60" s="36"/>
      <c r="Q60" s="36"/>
      <c r="R60" s="36"/>
      <c r="S60" s="36"/>
      <c r="T60" s="36"/>
      <c r="U60" s="36"/>
      <c r="V60" s="36"/>
      <c r="W60" s="36"/>
      <c r="X60" s="36"/>
      <c r="Y60" s="36"/>
      <c r="Z60" s="36"/>
      <c r="AA60" s="36"/>
      <c r="AB60" s="36"/>
      <c r="AC60" s="36"/>
      <c r="AD60" s="36"/>
      <c r="AE60" s="36"/>
      <c r="AF60" s="36"/>
      <c r="AG60" s="86">
        <f t="shared" si="2"/>
        <v>200</v>
      </c>
      <c r="AH60" s="86" t="s">
        <v>748</v>
      </c>
      <c r="AI60" s="6" t="s">
        <v>746</v>
      </c>
      <c r="AJ60" s="14" t="s">
        <v>742</v>
      </c>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86">
        <v>4</v>
      </c>
      <c r="BN60" s="86" t="s">
        <v>437</v>
      </c>
      <c r="BO60" s="86"/>
      <c r="BP60" s="86"/>
      <c r="BQ60" s="86">
        <v>2</v>
      </c>
      <c r="BR60" s="86"/>
      <c r="BS60" s="86" t="s">
        <v>437</v>
      </c>
      <c r="BT60" s="86" t="s">
        <v>437</v>
      </c>
      <c r="BU60" s="86"/>
      <c r="BV60" s="86"/>
      <c r="BW60" s="86"/>
      <c r="BX60" s="86"/>
      <c r="BY60" s="36"/>
      <c r="BZ60" s="36"/>
    </row>
    <row r="61" spans="1:80">
      <c r="A61" s="36" t="s">
        <v>623</v>
      </c>
      <c r="B61" s="36"/>
      <c r="C61" s="21" t="s">
        <v>488</v>
      </c>
      <c r="D61" s="6" t="s">
        <v>120</v>
      </c>
      <c r="E61" s="14" t="s">
        <v>764</v>
      </c>
      <c r="F61" s="86">
        <v>4</v>
      </c>
      <c r="G61" s="86">
        <v>16</v>
      </c>
      <c r="H61" s="62">
        <v>100</v>
      </c>
      <c r="I61" s="31">
        <v>0</v>
      </c>
      <c r="J61" s="14" t="s">
        <v>745</v>
      </c>
      <c r="K61" s="6" t="s">
        <v>746</v>
      </c>
      <c r="L61" s="14">
        <v>110</v>
      </c>
      <c r="M61" s="36"/>
      <c r="N61" s="36"/>
      <c r="O61" s="36"/>
      <c r="P61" s="36"/>
      <c r="Q61" s="36"/>
      <c r="R61" s="36"/>
      <c r="S61" s="36"/>
      <c r="T61" s="36"/>
      <c r="U61" s="36"/>
      <c r="V61" s="36"/>
      <c r="W61" s="36"/>
      <c r="X61" s="36"/>
      <c r="Y61" s="36"/>
      <c r="Z61" s="36"/>
      <c r="AA61" s="36"/>
      <c r="AB61" s="36"/>
      <c r="AC61" s="36"/>
      <c r="AD61" s="36"/>
      <c r="AE61" s="36"/>
      <c r="AF61" s="36"/>
      <c r="AG61" s="86">
        <f t="shared" si="2"/>
        <v>200</v>
      </c>
      <c r="AH61" s="86" t="s">
        <v>748</v>
      </c>
      <c r="AI61" s="6" t="s">
        <v>746</v>
      </c>
      <c r="AJ61" s="14" t="s">
        <v>742</v>
      </c>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86">
        <v>4</v>
      </c>
      <c r="BN61" s="86" t="s">
        <v>437</v>
      </c>
      <c r="BO61" s="86"/>
      <c r="BP61" s="86"/>
      <c r="BQ61" s="86">
        <v>2</v>
      </c>
      <c r="BR61" s="86"/>
      <c r="BS61" s="86" t="s">
        <v>437</v>
      </c>
      <c r="BT61" s="86" t="s">
        <v>437</v>
      </c>
      <c r="BU61" s="86"/>
      <c r="BV61" s="86"/>
      <c r="BW61" s="86"/>
      <c r="BX61" s="86"/>
      <c r="BY61" s="36"/>
      <c r="BZ61" s="36"/>
    </row>
    <row r="62" spans="1:80">
      <c r="A62" s="36" t="s">
        <v>624</v>
      </c>
      <c r="B62" s="36"/>
      <c r="C62" s="21" t="s">
        <v>488</v>
      </c>
      <c r="D62" s="6" t="s">
        <v>120</v>
      </c>
      <c r="E62" s="14" t="s">
        <v>764</v>
      </c>
      <c r="F62" s="86">
        <v>4</v>
      </c>
      <c r="G62" s="86">
        <v>16</v>
      </c>
      <c r="H62" s="62">
        <v>100</v>
      </c>
      <c r="I62" s="31">
        <v>0</v>
      </c>
      <c r="J62" s="14" t="s">
        <v>745</v>
      </c>
      <c r="K62" s="6" t="s">
        <v>746</v>
      </c>
      <c r="L62" s="14">
        <v>110</v>
      </c>
      <c r="M62" s="36"/>
      <c r="N62" s="36"/>
      <c r="O62" s="36"/>
      <c r="P62" s="36"/>
      <c r="Q62" s="36"/>
      <c r="R62" s="36"/>
      <c r="S62" s="36"/>
      <c r="T62" s="36"/>
      <c r="U62" s="36"/>
      <c r="V62" s="36"/>
      <c r="W62" s="36"/>
      <c r="X62" s="36"/>
      <c r="Y62" s="36"/>
      <c r="Z62" s="36"/>
      <c r="AA62" s="36"/>
      <c r="AB62" s="36"/>
      <c r="AC62" s="36"/>
      <c r="AD62" s="36"/>
      <c r="AE62" s="36"/>
      <c r="AF62" s="36"/>
      <c r="AG62" s="86">
        <f t="shared" si="2"/>
        <v>200</v>
      </c>
      <c r="AH62" s="86" t="s">
        <v>748</v>
      </c>
      <c r="AI62" s="6" t="s">
        <v>746</v>
      </c>
      <c r="AJ62" s="14" t="s">
        <v>742</v>
      </c>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86">
        <v>4</v>
      </c>
      <c r="BN62" s="86" t="s">
        <v>437</v>
      </c>
      <c r="BO62" s="86"/>
      <c r="BP62" s="86"/>
      <c r="BQ62" s="86">
        <v>2</v>
      </c>
      <c r="BR62" s="86"/>
      <c r="BS62" s="86" t="s">
        <v>437</v>
      </c>
      <c r="BT62" s="86" t="s">
        <v>437</v>
      </c>
      <c r="BU62" s="86"/>
      <c r="BV62" s="86"/>
      <c r="BW62" s="86"/>
      <c r="BX62" s="86"/>
      <c r="BY62" s="36"/>
      <c r="BZ62" s="36"/>
    </row>
    <row r="63" spans="1:80">
      <c r="A63" s="36" t="s">
        <v>646</v>
      </c>
      <c r="B63" s="36"/>
      <c r="C63" s="21" t="s">
        <v>488</v>
      </c>
      <c r="D63" s="6" t="s">
        <v>120</v>
      </c>
      <c r="E63" s="14" t="s">
        <v>764</v>
      </c>
      <c r="F63" s="86">
        <v>4</v>
      </c>
      <c r="G63" s="86">
        <v>16</v>
      </c>
      <c r="H63" s="62">
        <v>100</v>
      </c>
      <c r="I63" s="31">
        <v>0</v>
      </c>
      <c r="J63" s="14" t="s">
        <v>745</v>
      </c>
      <c r="K63" s="6" t="s">
        <v>746</v>
      </c>
      <c r="L63" s="14">
        <v>110</v>
      </c>
      <c r="M63" s="36"/>
      <c r="N63" s="36"/>
      <c r="O63" s="36"/>
      <c r="P63" s="36"/>
      <c r="Q63" s="36"/>
      <c r="R63" s="36"/>
      <c r="S63" s="36"/>
      <c r="T63" s="36"/>
      <c r="U63" s="36"/>
      <c r="V63" s="36"/>
      <c r="W63" s="36"/>
      <c r="X63" s="36"/>
      <c r="Y63" s="36"/>
      <c r="Z63" s="36"/>
      <c r="AA63" s="36"/>
      <c r="AB63" s="36"/>
      <c r="AC63" s="36"/>
      <c r="AD63" s="36"/>
      <c r="AE63" s="36"/>
      <c r="AF63" s="36"/>
      <c r="AG63" s="86">
        <f t="shared" si="2"/>
        <v>200</v>
      </c>
      <c r="AH63" s="86" t="s">
        <v>748</v>
      </c>
      <c r="AI63" s="6" t="s">
        <v>746</v>
      </c>
      <c r="AJ63" s="14" t="s">
        <v>742</v>
      </c>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86">
        <v>4</v>
      </c>
      <c r="BN63" s="86" t="s">
        <v>437</v>
      </c>
      <c r="BO63" s="86"/>
      <c r="BP63" s="86"/>
      <c r="BQ63" s="86">
        <v>2</v>
      </c>
      <c r="BR63" s="86"/>
      <c r="BS63" s="86" t="s">
        <v>437</v>
      </c>
      <c r="BT63" s="86" t="s">
        <v>437</v>
      </c>
      <c r="BU63" s="86"/>
      <c r="BV63" s="86"/>
      <c r="BW63" s="86"/>
      <c r="BX63" s="86"/>
      <c r="BY63" s="36"/>
      <c r="BZ63" s="36"/>
    </row>
    <row r="64" spans="1:80">
      <c r="A64" s="36" t="s">
        <v>647</v>
      </c>
      <c r="B64" s="36"/>
      <c r="C64" s="21" t="s">
        <v>488</v>
      </c>
      <c r="D64" s="6" t="s">
        <v>120</v>
      </c>
      <c r="E64" s="14" t="s">
        <v>764</v>
      </c>
      <c r="F64" s="86">
        <v>4</v>
      </c>
      <c r="G64" s="86">
        <v>16</v>
      </c>
      <c r="H64" s="62">
        <v>100</v>
      </c>
      <c r="I64" s="31">
        <v>0</v>
      </c>
      <c r="J64" s="14" t="s">
        <v>745</v>
      </c>
      <c r="K64" s="6" t="s">
        <v>746</v>
      </c>
      <c r="L64" s="14">
        <v>110</v>
      </c>
      <c r="M64" s="36"/>
      <c r="N64" s="36"/>
      <c r="O64" s="36"/>
      <c r="P64" s="36"/>
      <c r="Q64" s="36"/>
      <c r="R64" s="36"/>
      <c r="S64" s="36"/>
      <c r="T64" s="36"/>
      <c r="U64" s="36"/>
      <c r="V64" s="36"/>
      <c r="W64" s="36"/>
      <c r="X64" s="36"/>
      <c r="Y64" s="36"/>
      <c r="Z64" s="36"/>
      <c r="AA64" s="36"/>
      <c r="AB64" s="36"/>
      <c r="AC64" s="36"/>
      <c r="AD64" s="36"/>
      <c r="AE64" s="36"/>
      <c r="AF64" s="36"/>
      <c r="AG64" s="86">
        <f t="shared" si="2"/>
        <v>200</v>
      </c>
      <c r="AH64" s="86" t="s">
        <v>748</v>
      </c>
      <c r="AI64" s="6" t="s">
        <v>746</v>
      </c>
      <c r="AJ64" s="14" t="s">
        <v>742</v>
      </c>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86">
        <v>4</v>
      </c>
      <c r="BN64" s="86" t="s">
        <v>437</v>
      </c>
      <c r="BO64" s="86"/>
      <c r="BP64" s="86"/>
      <c r="BQ64" s="86">
        <v>2</v>
      </c>
      <c r="BR64" s="86"/>
      <c r="BS64" s="86" t="s">
        <v>437</v>
      </c>
      <c r="BT64" s="86" t="s">
        <v>437</v>
      </c>
      <c r="BU64" s="86"/>
      <c r="BV64" s="86"/>
      <c r="BW64" s="86"/>
      <c r="BX64" s="86"/>
      <c r="BY64" s="36"/>
      <c r="BZ64" s="36"/>
    </row>
    <row r="65" spans="1:78">
      <c r="A65" s="36" t="s">
        <v>648</v>
      </c>
      <c r="B65" s="36"/>
      <c r="C65" s="21" t="s">
        <v>488</v>
      </c>
      <c r="D65" s="6" t="s">
        <v>120</v>
      </c>
      <c r="E65" s="14" t="s">
        <v>764</v>
      </c>
      <c r="F65" s="86">
        <v>4</v>
      </c>
      <c r="G65" s="86">
        <v>16</v>
      </c>
      <c r="H65" s="62">
        <v>100</v>
      </c>
      <c r="I65" s="31">
        <v>0</v>
      </c>
      <c r="J65" s="14" t="s">
        <v>745</v>
      </c>
      <c r="K65" s="6" t="s">
        <v>746</v>
      </c>
      <c r="L65" s="14">
        <v>110</v>
      </c>
      <c r="M65" s="36"/>
      <c r="N65" s="36"/>
      <c r="O65" s="36"/>
      <c r="P65" s="36"/>
      <c r="Q65" s="36"/>
      <c r="R65" s="36"/>
      <c r="S65" s="36"/>
      <c r="T65" s="36"/>
      <c r="U65" s="36"/>
      <c r="V65" s="36"/>
      <c r="W65" s="36"/>
      <c r="X65" s="36"/>
      <c r="Y65" s="36"/>
      <c r="Z65" s="36"/>
      <c r="AA65" s="36"/>
      <c r="AB65" s="36"/>
      <c r="AC65" s="36"/>
      <c r="AD65" s="36"/>
      <c r="AE65" s="36"/>
      <c r="AF65" s="36"/>
      <c r="AG65" s="86">
        <f t="shared" si="2"/>
        <v>200</v>
      </c>
      <c r="AH65" s="86" t="s">
        <v>748</v>
      </c>
      <c r="AI65" s="6" t="s">
        <v>746</v>
      </c>
      <c r="AJ65" s="14" t="s">
        <v>742</v>
      </c>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86">
        <v>4</v>
      </c>
      <c r="BN65" s="86" t="s">
        <v>437</v>
      </c>
      <c r="BO65" s="86"/>
      <c r="BP65" s="86"/>
      <c r="BQ65" s="86">
        <v>2</v>
      </c>
      <c r="BR65" s="86"/>
      <c r="BS65" s="86" t="s">
        <v>437</v>
      </c>
      <c r="BT65" s="86" t="s">
        <v>437</v>
      </c>
      <c r="BU65" s="86"/>
      <c r="BV65" s="86"/>
      <c r="BW65" s="86"/>
      <c r="BX65" s="86"/>
      <c r="BY65" s="36"/>
      <c r="BZ65" s="36"/>
    </row>
    <row r="66" spans="1:78">
      <c r="A66" s="36" t="s">
        <v>541</v>
      </c>
      <c r="B66" s="36"/>
      <c r="C66" s="21" t="s">
        <v>488</v>
      </c>
      <c r="D66" s="6" t="s">
        <v>116</v>
      </c>
      <c r="E66" s="14" t="s">
        <v>765</v>
      </c>
      <c r="F66" s="86">
        <v>4</v>
      </c>
      <c r="G66" s="86">
        <v>14</v>
      </c>
      <c r="H66" s="62">
        <v>120</v>
      </c>
      <c r="I66" s="31">
        <v>0</v>
      </c>
      <c r="J66" s="86" t="s">
        <v>745</v>
      </c>
      <c r="K66" s="6" t="s">
        <v>746</v>
      </c>
      <c r="L66" s="14">
        <v>100</v>
      </c>
      <c r="M66" s="36"/>
      <c r="N66" s="36"/>
      <c r="O66" s="36"/>
      <c r="P66" s="36"/>
      <c r="Q66" s="36"/>
      <c r="R66" s="36"/>
      <c r="S66" s="36"/>
      <c r="T66" s="36"/>
      <c r="U66" s="36"/>
      <c r="V66" s="36"/>
      <c r="W66" s="36"/>
      <c r="X66" s="36"/>
      <c r="Y66" s="36"/>
      <c r="Z66" s="36"/>
      <c r="AA66" s="36"/>
      <c r="AB66" s="36"/>
      <c r="AC66" s="36"/>
      <c r="AD66" s="36"/>
      <c r="AE66" s="36"/>
      <c r="AF66" s="36"/>
      <c r="AG66" s="86">
        <f t="shared" si="2"/>
        <v>240</v>
      </c>
      <c r="AH66" s="86" t="s">
        <v>748</v>
      </c>
      <c r="AI66" s="6" t="s">
        <v>746</v>
      </c>
      <c r="AJ66" s="14" t="s">
        <v>742</v>
      </c>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86">
        <v>4</v>
      </c>
      <c r="BN66" s="86" t="s">
        <v>437</v>
      </c>
      <c r="BO66" s="86"/>
      <c r="BP66" s="86"/>
      <c r="BQ66" s="86">
        <v>2</v>
      </c>
      <c r="BR66" s="86"/>
      <c r="BS66" s="86" t="s">
        <v>437</v>
      </c>
      <c r="BT66" s="86" t="s">
        <v>437</v>
      </c>
      <c r="BU66" s="86"/>
      <c r="BV66" s="86"/>
      <c r="BW66" s="86"/>
      <c r="BX66" s="86"/>
      <c r="BY66" s="36"/>
      <c r="BZ66" s="36"/>
    </row>
    <row r="67" spans="1:78">
      <c r="A67" s="36" t="s">
        <v>649</v>
      </c>
      <c r="B67" s="36"/>
      <c r="C67" s="21" t="s">
        <v>488</v>
      </c>
      <c r="D67" s="6" t="s">
        <v>120</v>
      </c>
      <c r="E67" s="14" t="s">
        <v>764</v>
      </c>
      <c r="F67" s="86">
        <v>4</v>
      </c>
      <c r="G67" s="86">
        <v>16</v>
      </c>
      <c r="H67" s="62">
        <v>100</v>
      </c>
      <c r="I67" s="31">
        <v>0</v>
      </c>
      <c r="J67" s="14" t="s">
        <v>745</v>
      </c>
      <c r="K67" s="6" t="s">
        <v>746</v>
      </c>
      <c r="L67" s="14">
        <v>110</v>
      </c>
      <c r="M67" s="36"/>
      <c r="N67" s="36"/>
      <c r="O67" s="36"/>
      <c r="P67" s="36"/>
      <c r="Q67" s="36"/>
      <c r="R67" s="36"/>
      <c r="S67" s="36"/>
      <c r="T67" s="36"/>
      <c r="U67" s="36"/>
      <c r="V67" s="36"/>
      <c r="W67" s="36"/>
      <c r="X67" s="36"/>
      <c r="Y67" s="36"/>
      <c r="Z67" s="36"/>
      <c r="AA67" s="36"/>
      <c r="AB67" s="36"/>
      <c r="AC67" s="36"/>
      <c r="AD67" s="36"/>
      <c r="AE67" s="36"/>
      <c r="AF67" s="36"/>
      <c r="AG67" s="86">
        <f t="shared" si="2"/>
        <v>200</v>
      </c>
      <c r="AH67" s="86" t="s">
        <v>748</v>
      </c>
      <c r="AI67" s="6" t="s">
        <v>746</v>
      </c>
      <c r="AJ67" s="14" t="s">
        <v>742</v>
      </c>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86">
        <v>4</v>
      </c>
      <c r="BN67" s="86" t="s">
        <v>437</v>
      </c>
      <c r="BO67" s="86"/>
      <c r="BP67" s="86"/>
      <c r="BQ67" s="86">
        <v>2</v>
      </c>
      <c r="BR67" s="86"/>
      <c r="BS67" s="86" t="s">
        <v>437</v>
      </c>
      <c r="BT67" s="86" t="s">
        <v>437</v>
      </c>
      <c r="BU67" s="86"/>
      <c r="BV67" s="86"/>
      <c r="BW67" s="86"/>
      <c r="BX67" s="86"/>
      <c r="BY67" s="36"/>
      <c r="BZ67" s="36"/>
    </row>
    <row r="68" spans="1:78">
      <c r="A68" s="36" t="s">
        <v>492</v>
      </c>
      <c r="B68" s="36"/>
      <c r="C68" s="6" t="s">
        <v>435</v>
      </c>
      <c r="D68" s="36" t="s">
        <v>55</v>
      </c>
      <c r="E68" s="14" t="s">
        <v>775</v>
      </c>
      <c r="F68" s="86">
        <v>6</v>
      </c>
      <c r="G68" s="86">
        <v>20</v>
      </c>
      <c r="H68" s="62">
        <v>200</v>
      </c>
      <c r="I68" s="31">
        <v>16</v>
      </c>
      <c r="J68" s="86" t="s">
        <v>748</v>
      </c>
      <c r="K68" s="6" t="s">
        <v>746</v>
      </c>
      <c r="L68" s="14">
        <v>2.6</v>
      </c>
      <c r="M68" s="36"/>
      <c r="N68" s="36"/>
      <c r="O68" s="36"/>
      <c r="P68" s="36"/>
      <c r="Q68" s="36"/>
      <c r="R68" s="36"/>
      <c r="S68" s="36"/>
      <c r="T68" s="36"/>
      <c r="U68" s="36"/>
      <c r="V68" s="36"/>
      <c r="W68" s="36"/>
      <c r="X68" s="36"/>
      <c r="Y68" s="36"/>
      <c r="Z68" s="36"/>
      <c r="AA68" s="36"/>
      <c r="AB68" s="36"/>
      <c r="AC68" s="36"/>
      <c r="AD68" s="36"/>
      <c r="AE68" s="36"/>
      <c r="AF68" s="36"/>
      <c r="AG68" s="86">
        <f t="shared" si="2"/>
        <v>400</v>
      </c>
      <c r="AH68" s="86" t="s">
        <v>748</v>
      </c>
      <c r="AI68" s="6" t="s">
        <v>746</v>
      </c>
      <c r="AJ68" s="14" t="s">
        <v>742</v>
      </c>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86">
        <v>2</v>
      </c>
      <c r="BN68" s="86" t="s">
        <v>437</v>
      </c>
      <c r="BO68" s="86"/>
      <c r="BP68" s="86"/>
      <c r="BQ68" s="86">
        <v>2</v>
      </c>
      <c r="BR68" s="86"/>
      <c r="BS68" s="86" t="s">
        <v>437</v>
      </c>
      <c r="BT68" s="86" t="s">
        <v>437</v>
      </c>
      <c r="BU68" s="86"/>
      <c r="BV68" s="86"/>
      <c r="BW68" s="86"/>
      <c r="BX68" s="86"/>
      <c r="BY68" s="36"/>
      <c r="BZ68" s="36"/>
    </row>
    <row r="69" spans="1:78">
      <c r="A69" s="36" t="s">
        <v>493</v>
      </c>
      <c r="B69" s="36"/>
      <c r="C69" s="6" t="s">
        <v>435</v>
      </c>
      <c r="D69" s="36" t="s">
        <v>55</v>
      </c>
      <c r="E69" s="14" t="s">
        <v>775</v>
      </c>
      <c r="F69" s="86">
        <v>6</v>
      </c>
      <c r="G69" s="86">
        <v>20</v>
      </c>
      <c r="H69" s="62">
        <v>200</v>
      </c>
      <c r="I69" s="31">
        <v>16</v>
      </c>
      <c r="J69" s="86" t="s">
        <v>748</v>
      </c>
      <c r="K69" s="6" t="s">
        <v>746</v>
      </c>
      <c r="L69" s="14">
        <v>2.6</v>
      </c>
      <c r="M69" s="36"/>
      <c r="N69" s="36"/>
      <c r="O69" s="36"/>
      <c r="P69" s="36"/>
      <c r="Q69" s="36"/>
      <c r="R69" s="36"/>
      <c r="S69" s="36"/>
      <c r="T69" s="36"/>
      <c r="U69" s="36"/>
      <c r="V69" s="36"/>
      <c r="W69" s="36"/>
      <c r="X69" s="36"/>
      <c r="Y69" s="36"/>
      <c r="Z69" s="36"/>
      <c r="AA69" s="36"/>
      <c r="AB69" s="36"/>
      <c r="AC69" s="36"/>
      <c r="AD69" s="36"/>
      <c r="AE69" s="36"/>
      <c r="AF69" s="36"/>
      <c r="AG69" s="86">
        <f t="shared" si="2"/>
        <v>400</v>
      </c>
      <c r="AH69" s="86" t="s">
        <v>748</v>
      </c>
      <c r="AI69" s="6" t="s">
        <v>746</v>
      </c>
      <c r="AJ69" s="14" t="s">
        <v>742</v>
      </c>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86">
        <v>2</v>
      </c>
      <c r="BN69" s="86" t="s">
        <v>437</v>
      </c>
      <c r="BO69" s="86"/>
      <c r="BP69" s="86"/>
      <c r="BQ69" s="86">
        <v>2</v>
      </c>
      <c r="BR69" s="86"/>
      <c r="BS69" s="86" t="s">
        <v>437</v>
      </c>
      <c r="BT69" s="86" t="s">
        <v>437</v>
      </c>
      <c r="BU69" s="86"/>
      <c r="BV69" s="86"/>
      <c r="BW69" s="86"/>
      <c r="BX69" s="86"/>
      <c r="BY69" s="36"/>
      <c r="BZ69" s="36"/>
    </row>
    <row r="70" spans="1:78">
      <c r="A70" s="36" t="s">
        <v>625</v>
      </c>
      <c r="B70" s="36"/>
      <c r="C70" s="6" t="s">
        <v>435</v>
      </c>
      <c r="D70" s="36" t="s">
        <v>55</v>
      </c>
      <c r="E70" s="14" t="s">
        <v>775</v>
      </c>
      <c r="F70" s="86">
        <v>6</v>
      </c>
      <c r="G70" s="86">
        <v>20</v>
      </c>
      <c r="H70" s="62">
        <v>200</v>
      </c>
      <c r="I70" s="31">
        <v>16</v>
      </c>
      <c r="J70" s="86" t="s">
        <v>748</v>
      </c>
      <c r="K70" s="6" t="s">
        <v>746</v>
      </c>
      <c r="L70" s="14">
        <v>2.6</v>
      </c>
      <c r="M70" s="36"/>
      <c r="N70" s="36"/>
      <c r="O70" s="36"/>
      <c r="P70" s="36"/>
      <c r="Q70" s="36"/>
      <c r="R70" s="36"/>
      <c r="S70" s="36"/>
      <c r="T70" s="36"/>
      <c r="U70" s="36"/>
      <c r="V70" s="36"/>
      <c r="W70" s="36"/>
      <c r="X70" s="36"/>
      <c r="Y70" s="36"/>
      <c r="Z70" s="36"/>
      <c r="AA70" s="36"/>
      <c r="AB70" s="36"/>
      <c r="AC70" s="36"/>
      <c r="AD70" s="36"/>
      <c r="AE70" s="36"/>
      <c r="AF70" s="36"/>
      <c r="AG70" s="86">
        <f t="shared" si="2"/>
        <v>400</v>
      </c>
      <c r="AH70" s="86" t="s">
        <v>748</v>
      </c>
      <c r="AI70" s="6" t="s">
        <v>746</v>
      </c>
      <c r="AJ70" s="14" t="s">
        <v>742</v>
      </c>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86">
        <v>2</v>
      </c>
      <c r="BN70" s="86" t="s">
        <v>437</v>
      </c>
      <c r="BO70" s="86"/>
      <c r="BP70" s="86"/>
      <c r="BQ70" s="86">
        <v>2</v>
      </c>
      <c r="BR70" s="86"/>
      <c r="BS70" s="86" t="s">
        <v>437</v>
      </c>
      <c r="BT70" s="86" t="s">
        <v>437</v>
      </c>
      <c r="BU70" s="86"/>
      <c r="BV70" s="86"/>
      <c r="BW70" s="86"/>
      <c r="BX70" s="86"/>
      <c r="BY70" s="36"/>
      <c r="BZ70" s="36"/>
    </row>
    <row r="71" spans="1:78">
      <c r="A71" s="36" t="s">
        <v>626</v>
      </c>
      <c r="B71" s="36"/>
      <c r="C71" s="6" t="s">
        <v>435</v>
      </c>
      <c r="D71" s="36" t="s">
        <v>55</v>
      </c>
      <c r="E71" s="14" t="s">
        <v>775</v>
      </c>
      <c r="F71" s="86">
        <v>6</v>
      </c>
      <c r="G71" s="86">
        <v>20</v>
      </c>
      <c r="H71" s="62">
        <v>200</v>
      </c>
      <c r="I71" s="31">
        <v>16</v>
      </c>
      <c r="J71" s="86" t="s">
        <v>748</v>
      </c>
      <c r="K71" s="6" t="s">
        <v>746</v>
      </c>
      <c r="L71" s="14">
        <v>2.6</v>
      </c>
      <c r="M71" s="36"/>
      <c r="N71" s="36"/>
      <c r="O71" s="36"/>
      <c r="P71" s="36"/>
      <c r="Q71" s="36"/>
      <c r="R71" s="36"/>
      <c r="S71" s="36"/>
      <c r="T71" s="36"/>
      <c r="U71" s="36"/>
      <c r="V71" s="36"/>
      <c r="W71" s="36"/>
      <c r="X71" s="36"/>
      <c r="Y71" s="36"/>
      <c r="Z71" s="36"/>
      <c r="AA71" s="36"/>
      <c r="AB71" s="36"/>
      <c r="AC71" s="36"/>
      <c r="AD71" s="36"/>
      <c r="AE71" s="36"/>
      <c r="AF71" s="36"/>
      <c r="AG71" s="86">
        <f t="shared" si="2"/>
        <v>400</v>
      </c>
      <c r="AH71" s="86" t="s">
        <v>748</v>
      </c>
      <c r="AI71" s="6" t="s">
        <v>746</v>
      </c>
      <c r="AJ71" s="14" t="s">
        <v>742</v>
      </c>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86">
        <v>2</v>
      </c>
      <c r="BN71" s="86" t="s">
        <v>437</v>
      </c>
      <c r="BO71" s="86"/>
      <c r="BP71" s="86"/>
      <c r="BQ71" s="86">
        <v>2</v>
      </c>
      <c r="BR71" s="86"/>
      <c r="BS71" s="86" t="s">
        <v>437</v>
      </c>
      <c r="BT71" s="86" t="s">
        <v>437</v>
      </c>
      <c r="BU71" s="86"/>
      <c r="BV71" s="86"/>
      <c r="BW71" s="86"/>
      <c r="BX71" s="86"/>
      <c r="BY71" s="36"/>
      <c r="BZ71" s="36"/>
    </row>
    <row r="72" spans="1:78">
      <c r="A72" s="36" t="s">
        <v>494</v>
      </c>
      <c r="B72" s="36"/>
      <c r="C72" s="6" t="s">
        <v>435</v>
      </c>
      <c r="D72" s="36" t="s">
        <v>71</v>
      </c>
      <c r="E72" s="86" t="s">
        <v>776</v>
      </c>
      <c r="F72" s="86">
        <v>4</v>
      </c>
      <c r="G72" s="86">
        <v>4</v>
      </c>
      <c r="H72" s="62">
        <v>40</v>
      </c>
      <c r="I72" s="31">
        <v>4</v>
      </c>
      <c r="J72" s="86" t="s">
        <v>748</v>
      </c>
      <c r="K72" s="6" t="s">
        <v>746</v>
      </c>
      <c r="L72" s="14">
        <v>2.6</v>
      </c>
      <c r="M72" s="36"/>
      <c r="N72" s="36"/>
      <c r="O72" s="36"/>
      <c r="P72" s="36"/>
      <c r="Q72" s="36"/>
      <c r="R72" s="36"/>
      <c r="S72" s="36"/>
      <c r="T72" s="36"/>
      <c r="U72" s="36"/>
      <c r="V72" s="36"/>
      <c r="W72" s="36"/>
      <c r="X72" s="36"/>
      <c r="Y72" s="36"/>
      <c r="Z72" s="36"/>
      <c r="AA72" s="36"/>
      <c r="AB72" s="36"/>
      <c r="AC72" s="36"/>
      <c r="AD72" s="36"/>
      <c r="AE72" s="36"/>
      <c r="AF72" s="36"/>
      <c r="AG72" s="86">
        <f t="shared" si="2"/>
        <v>80</v>
      </c>
      <c r="AH72" s="86" t="s">
        <v>748</v>
      </c>
      <c r="AI72" s="6" t="s">
        <v>746</v>
      </c>
      <c r="AJ72" s="14" t="s">
        <v>742</v>
      </c>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86">
        <v>2</v>
      </c>
      <c r="BN72" s="86" t="s">
        <v>437</v>
      </c>
      <c r="BO72" s="86"/>
      <c r="BP72" s="86"/>
      <c r="BQ72" s="86">
        <v>2</v>
      </c>
      <c r="BR72" s="86"/>
      <c r="BS72" s="86" t="s">
        <v>437</v>
      </c>
      <c r="BT72" s="86" t="s">
        <v>437</v>
      </c>
      <c r="BU72" s="86"/>
      <c r="BV72" s="86"/>
      <c r="BW72" s="86"/>
      <c r="BX72" s="86"/>
      <c r="BY72" s="36"/>
      <c r="BZ72" s="36"/>
    </row>
    <row r="73" spans="1:78">
      <c r="A73" s="36" t="s">
        <v>495</v>
      </c>
      <c r="B73" s="36"/>
      <c r="C73" s="6" t="s">
        <v>435</v>
      </c>
      <c r="D73" s="36" t="s">
        <v>63</v>
      </c>
      <c r="E73" s="86" t="s">
        <v>776</v>
      </c>
      <c r="F73" s="86">
        <v>4</v>
      </c>
      <c r="G73" s="86">
        <v>4</v>
      </c>
      <c r="H73" s="62">
        <v>30</v>
      </c>
      <c r="I73" s="31">
        <v>4</v>
      </c>
      <c r="J73" s="86" t="s">
        <v>748</v>
      </c>
      <c r="K73" s="6" t="s">
        <v>746</v>
      </c>
      <c r="L73" s="14">
        <v>2.6</v>
      </c>
      <c r="M73" s="36"/>
      <c r="N73" s="36"/>
      <c r="O73" s="36"/>
      <c r="P73" s="36"/>
      <c r="Q73" s="36"/>
      <c r="R73" s="36"/>
      <c r="S73" s="36"/>
      <c r="T73" s="36"/>
      <c r="U73" s="36"/>
      <c r="V73" s="36"/>
      <c r="W73" s="36"/>
      <c r="X73" s="36"/>
      <c r="Y73" s="36"/>
      <c r="Z73" s="36"/>
      <c r="AA73" s="36"/>
      <c r="AB73" s="36"/>
      <c r="AC73" s="36"/>
      <c r="AD73" s="36"/>
      <c r="AE73" s="36"/>
      <c r="AF73" s="36"/>
      <c r="AG73" s="86">
        <f t="shared" si="2"/>
        <v>60</v>
      </c>
      <c r="AH73" s="86" t="s">
        <v>748</v>
      </c>
      <c r="AI73" s="6" t="s">
        <v>746</v>
      </c>
      <c r="AJ73" s="14" t="s">
        <v>742</v>
      </c>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86">
        <v>2</v>
      </c>
      <c r="BN73" s="86" t="s">
        <v>437</v>
      </c>
      <c r="BO73" s="86"/>
      <c r="BP73" s="86"/>
      <c r="BQ73" s="86">
        <v>2</v>
      </c>
      <c r="BR73" s="86"/>
      <c r="BS73" s="86" t="s">
        <v>437</v>
      </c>
      <c r="BT73" s="86" t="s">
        <v>437</v>
      </c>
      <c r="BU73" s="86"/>
      <c r="BV73" s="86"/>
      <c r="BW73" s="86"/>
      <c r="BX73" s="86"/>
      <c r="BY73" s="36"/>
      <c r="BZ73" s="36"/>
    </row>
    <row r="74" spans="1:78">
      <c r="A74" s="36" t="s">
        <v>496</v>
      </c>
      <c r="B74" s="36"/>
      <c r="C74" s="6" t="s">
        <v>435</v>
      </c>
      <c r="D74" s="36" t="s">
        <v>67</v>
      </c>
      <c r="E74" s="86" t="s">
        <v>776</v>
      </c>
      <c r="F74" s="86">
        <v>4</v>
      </c>
      <c r="G74" s="86">
        <v>4</v>
      </c>
      <c r="H74" s="62">
        <v>35</v>
      </c>
      <c r="I74" s="31">
        <v>4</v>
      </c>
      <c r="J74" s="86" t="s">
        <v>748</v>
      </c>
      <c r="K74" s="6" t="s">
        <v>746</v>
      </c>
      <c r="L74" s="14">
        <v>2.6</v>
      </c>
      <c r="M74" s="36"/>
      <c r="N74" s="36"/>
      <c r="O74" s="36"/>
      <c r="P74" s="36"/>
      <c r="Q74" s="36"/>
      <c r="R74" s="36"/>
      <c r="S74" s="36"/>
      <c r="T74" s="36"/>
      <c r="U74" s="36"/>
      <c r="V74" s="36"/>
      <c r="W74" s="36"/>
      <c r="X74" s="36"/>
      <c r="Y74" s="36"/>
      <c r="Z74" s="36"/>
      <c r="AA74" s="36"/>
      <c r="AB74" s="36"/>
      <c r="AC74" s="36"/>
      <c r="AD74" s="36"/>
      <c r="AE74" s="36"/>
      <c r="AF74" s="36"/>
      <c r="AG74" s="86">
        <f t="shared" si="2"/>
        <v>70</v>
      </c>
      <c r="AH74" s="86" t="s">
        <v>748</v>
      </c>
      <c r="AI74" s="6" t="s">
        <v>746</v>
      </c>
      <c r="AJ74" s="14" t="s">
        <v>742</v>
      </c>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86">
        <v>2</v>
      </c>
      <c r="BN74" s="86" t="s">
        <v>437</v>
      </c>
      <c r="BO74" s="86"/>
      <c r="BP74" s="86"/>
      <c r="BQ74" s="86">
        <v>2</v>
      </c>
      <c r="BR74" s="86"/>
      <c r="BS74" s="86" t="s">
        <v>437</v>
      </c>
      <c r="BT74" s="86" t="s">
        <v>437</v>
      </c>
      <c r="BU74" s="86"/>
      <c r="BV74" s="86"/>
      <c r="BW74" s="86"/>
      <c r="BX74" s="86"/>
      <c r="BY74" s="36"/>
      <c r="BZ74" s="36"/>
    </row>
    <row r="75" spans="1:78" ht="14.45">
      <c r="A75" s="36" t="s">
        <v>497</v>
      </c>
      <c r="B75" s="36"/>
      <c r="C75" s="6" t="s">
        <v>435</v>
      </c>
      <c r="D75" s="36" t="s">
        <v>276</v>
      </c>
      <c r="E75" s="86" t="s">
        <v>777</v>
      </c>
      <c r="F75" s="86">
        <v>7</v>
      </c>
      <c r="G75" s="86">
        <v>8</v>
      </c>
      <c r="H75" s="62">
        <v>110</v>
      </c>
      <c r="I75" s="31">
        <v>4</v>
      </c>
      <c r="J75" s="86" t="s">
        <v>748</v>
      </c>
      <c r="K75" s="6" t="s">
        <v>746</v>
      </c>
      <c r="L75" s="14">
        <v>2.6</v>
      </c>
      <c r="M75" s="86"/>
      <c r="N75" s="86"/>
      <c r="O75" s="86"/>
      <c r="P75" s="86"/>
      <c r="Q75" s="45"/>
      <c r="R75" s="45"/>
      <c r="S75" s="45"/>
      <c r="T75" s="45"/>
      <c r="U75" s="86"/>
      <c r="V75" s="86"/>
      <c r="W75" s="86"/>
      <c r="X75" s="86"/>
      <c r="Y75" s="86"/>
      <c r="Z75" s="86"/>
      <c r="AA75" s="86"/>
      <c r="AB75" s="86"/>
      <c r="AC75" s="86"/>
      <c r="AD75" s="86"/>
      <c r="AE75" s="86"/>
      <c r="AF75" s="86"/>
      <c r="AG75" s="86">
        <f t="shared" si="2"/>
        <v>220</v>
      </c>
      <c r="AH75" s="86" t="s">
        <v>748</v>
      </c>
      <c r="AI75" s="6" t="s">
        <v>746</v>
      </c>
      <c r="AJ75" s="14" t="s">
        <v>742</v>
      </c>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v>2</v>
      </c>
      <c r="BN75" s="86" t="s">
        <v>437</v>
      </c>
      <c r="BO75" s="86" t="s">
        <v>437</v>
      </c>
      <c r="BP75" s="86"/>
      <c r="BQ75" s="86">
        <v>2</v>
      </c>
      <c r="BR75" s="86"/>
      <c r="BS75" s="86" t="s">
        <v>437</v>
      </c>
      <c r="BT75" s="86" t="s">
        <v>437</v>
      </c>
      <c r="BU75" s="86"/>
      <c r="BV75" s="86"/>
      <c r="BW75" s="86"/>
      <c r="BX75" s="86"/>
      <c r="BY75" s="36"/>
      <c r="BZ75" s="36"/>
    </row>
    <row r="76" spans="1:78" ht="14.45">
      <c r="A76" s="36" t="s">
        <v>650</v>
      </c>
      <c r="B76" s="36"/>
      <c r="C76" s="6" t="s">
        <v>435</v>
      </c>
      <c r="D76" s="36" t="s">
        <v>276</v>
      </c>
      <c r="E76" s="86" t="s">
        <v>777</v>
      </c>
      <c r="F76" s="86">
        <v>7</v>
      </c>
      <c r="G76" s="86">
        <v>8</v>
      </c>
      <c r="H76" s="62">
        <v>110</v>
      </c>
      <c r="I76" s="31">
        <v>4</v>
      </c>
      <c r="J76" s="86" t="s">
        <v>748</v>
      </c>
      <c r="K76" s="6" t="s">
        <v>746</v>
      </c>
      <c r="L76" s="14">
        <v>2.6</v>
      </c>
      <c r="M76" s="86"/>
      <c r="N76" s="86"/>
      <c r="O76" s="86"/>
      <c r="P76" s="86"/>
      <c r="Q76" s="45"/>
      <c r="R76" s="45"/>
      <c r="S76" s="45"/>
      <c r="T76" s="45"/>
      <c r="U76" s="86"/>
      <c r="V76" s="86"/>
      <c r="W76" s="86"/>
      <c r="X76" s="86"/>
      <c r="Y76" s="86"/>
      <c r="Z76" s="86"/>
      <c r="AA76" s="86"/>
      <c r="AB76" s="86"/>
      <c r="AC76" s="86"/>
      <c r="AD76" s="86"/>
      <c r="AE76" s="86"/>
      <c r="AF76" s="86"/>
      <c r="AG76" s="86">
        <f t="shared" si="2"/>
        <v>220</v>
      </c>
      <c r="AH76" s="86" t="s">
        <v>748</v>
      </c>
      <c r="AI76" s="6" t="s">
        <v>746</v>
      </c>
      <c r="AJ76" s="14" t="s">
        <v>742</v>
      </c>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v>2</v>
      </c>
      <c r="BN76" s="86" t="s">
        <v>437</v>
      </c>
      <c r="BO76" s="86"/>
      <c r="BP76" s="86"/>
      <c r="BQ76" s="86">
        <v>2</v>
      </c>
      <c r="BR76" s="86"/>
      <c r="BS76" s="86" t="s">
        <v>437</v>
      </c>
      <c r="BT76" s="86" t="s">
        <v>437</v>
      </c>
      <c r="BU76" s="86"/>
      <c r="BV76" s="86"/>
      <c r="BW76" s="86"/>
      <c r="BX76" s="86"/>
      <c r="BY76" s="36"/>
      <c r="BZ76" s="36"/>
    </row>
    <row r="77" spans="1:78" ht="14.45">
      <c r="A77" s="6" t="s">
        <v>542</v>
      </c>
      <c r="C77" s="6" t="s">
        <v>435</v>
      </c>
      <c r="D77" s="6" t="s">
        <v>90</v>
      </c>
      <c r="E77" s="14" t="s">
        <v>778</v>
      </c>
      <c r="F77" s="14">
        <v>2</v>
      </c>
      <c r="G77" s="14">
        <v>2</v>
      </c>
      <c r="H77" s="62">
        <v>15</v>
      </c>
      <c r="I77" s="31">
        <v>4</v>
      </c>
      <c r="J77" s="14" t="s">
        <v>748</v>
      </c>
      <c r="K77" s="6" t="s">
        <v>746</v>
      </c>
      <c r="L77" s="14">
        <v>2.6</v>
      </c>
      <c r="M77" s="14"/>
      <c r="N77" s="14"/>
      <c r="O77" s="14"/>
      <c r="P77" s="14"/>
      <c r="Q77" s="2"/>
      <c r="R77" s="2"/>
      <c r="S77" s="2"/>
      <c r="T77" s="2"/>
      <c r="U77" s="14"/>
      <c r="V77" s="14"/>
      <c r="W77" s="14"/>
      <c r="X77" s="14"/>
      <c r="Y77" s="14"/>
      <c r="Z77" s="14"/>
      <c r="AA77" s="14"/>
      <c r="AB77" s="14"/>
      <c r="AC77" s="14"/>
      <c r="AD77" s="14"/>
      <c r="AE77" s="14"/>
      <c r="AF77" s="14"/>
      <c r="AG77" s="62">
        <f t="shared" si="2"/>
        <v>30</v>
      </c>
      <c r="AH77" s="14" t="s">
        <v>748</v>
      </c>
      <c r="AI77" s="6" t="s">
        <v>746</v>
      </c>
      <c r="AJ77" s="14" t="s">
        <v>742</v>
      </c>
      <c r="BM77" s="14">
        <v>2</v>
      </c>
      <c r="BN77" s="14" t="s">
        <v>437</v>
      </c>
      <c r="BO77" s="14"/>
      <c r="BP77" s="14"/>
      <c r="BQ77" s="14">
        <v>2</v>
      </c>
      <c r="BR77" s="14"/>
      <c r="BS77" s="14" t="s">
        <v>437</v>
      </c>
      <c r="BT77" s="14" t="s">
        <v>437</v>
      </c>
      <c r="BU77" s="14"/>
      <c r="BV77" s="14"/>
      <c r="BW77" s="14"/>
      <c r="BY77" s="36"/>
      <c r="BZ77" s="36"/>
    </row>
    <row r="78" spans="1:78" ht="14.45">
      <c r="A78" s="6" t="s">
        <v>543</v>
      </c>
      <c r="C78" s="6" t="s">
        <v>435</v>
      </c>
      <c r="D78" s="6" t="s">
        <v>90</v>
      </c>
      <c r="E78" s="14" t="s">
        <v>778</v>
      </c>
      <c r="F78" s="14">
        <v>2</v>
      </c>
      <c r="G78" s="14">
        <v>2</v>
      </c>
      <c r="H78" s="62">
        <v>15</v>
      </c>
      <c r="I78" s="31">
        <v>4</v>
      </c>
      <c r="J78" s="14" t="s">
        <v>748</v>
      </c>
      <c r="K78" s="6" t="s">
        <v>746</v>
      </c>
      <c r="L78" s="14">
        <v>2.6</v>
      </c>
      <c r="M78" s="14"/>
      <c r="N78" s="14"/>
      <c r="O78" s="14"/>
      <c r="P78" s="14"/>
      <c r="Q78" s="2"/>
      <c r="R78" s="2"/>
      <c r="S78" s="2"/>
      <c r="T78" s="2"/>
      <c r="U78" s="14"/>
      <c r="V78" s="14"/>
      <c r="W78" s="14"/>
      <c r="X78" s="14"/>
      <c r="Y78" s="14"/>
      <c r="Z78" s="14"/>
      <c r="AA78" s="14"/>
      <c r="AB78" s="14"/>
      <c r="AC78" s="14"/>
      <c r="AD78" s="14"/>
      <c r="AE78" s="14"/>
      <c r="AF78" s="14"/>
      <c r="AG78" s="62">
        <f t="shared" si="2"/>
        <v>30</v>
      </c>
      <c r="AH78" s="14" t="s">
        <v>748</v>
      </c>
      <c r="AI78" s="6" t="s">
        <v>746</v>
      </c>
      <c r="AJ78" s="14" t="s">
        <v>742</v>
      </c>
      <c r="BM78" s="14">
        <v>2</v>
      </c>
      <c r="BN78" s="14" t="s">
        <v>437</v>
      </c>
      <c r="BO78" s="14"/>
      <c r="BP78" s="14"/>
      <c r="BQ78" s="14">
        <v>2</v>
      </c>
      <c r="BR78" s="14"/>
      <c r="BS78" s="14" t="s">
        <v>437</v>
      </c>
      <c r="BT78" s="14" t="s">
        <v>437</v>
      </c>
      <c r="BU78" s="14"/>
      <c r="BV78" s="14"/>
      <c r="BW78" s="14"/>
      <c r="BY78" s="36"/>
      <c r="BZ78" s="36"/>
    </row>
    <row r="79" spans="1:78" ht="14.45">
      <c r="A79" s="6" t="s">
        <v>544</v>
      </c>
      <c r="C79" s="6" t="s">
        <v>435</v>
      </c>
      <c r="D79" s="6" t="s">
        <v>94</v>
      </c>
      <c r="E79" s="14" t="s">
        <v>794</v>
      </c>
      <c r="F79" s="14">
        <v>6</v>
      </c>
      <c r="G79" s="14">
        <v>5</v>
      </c>
      <c r="H79" s="62">
        <v>40</v>
      </c>
      <c r="I79" s="31">
        <v>4</v>
      </c>
      <c r="J79" s="14" t="s">
        <v>748</v>
      </c>
      <c r="K79" s="6" t="s">
        <v>746</v>
      </c>
      <c r="L79" s="14">
        <v>2.6</v>
      </c>
      <c r="M79" s="14"/>
      <c r="N79" s="14"/>
      <c r="O79" s="14"/>
      <c r="P79" s="14"/>
      <c r="Q79" s="2"/>
      <c r="R79" s="2"/>
      <c r="S79" s="2"/>
      <c r="T79" s="2"/>
      <c r="U79" s="14"/>
      <c r="V79" s="14"/>
      <c r="W79" s="14"/>
      <c r="X79" s="14"/>
      <c r="Y79" s="14"/>
      <c r="Z79" s="14"/>
      <c r="AA79" s="14"/>
      <c r="AB79" s="14"/>
      <c r="AC79" s="14"/>
      <c r="AD79" s="14"/>
      <c r="AE79" s="14"/>
      <c r="AF79" s="14"/>
      <c r="AG79" s="62">
        <f t="shared" si="2"/>
        <v>80</v>
      </c>
      <c r="AH79" s="14" t="s">
        <v>748</v>
      </c>
      <c r="AI79" s="6" t="s">
        <v>746</v>
      </c>
      <c r="AJ79" s="14" t="s">
        <v>742</v>
      </c>
      <c r="BM79" s="14">
        <v>2</v>
      </c>
      <c r="BN79" s="14" t="s">
        <v>437</v>
      </c>
      <c r="BO79" s="14"/>
      <c r="BP79" s="14"/>
      <c r="BQ79" s="14">
        <v>2</v>
      </c>
      <c r="BR79" s="14"/>
      <c r="BS79" s="14" t="s">
        <v>437</v>
      </c>
      <c r="BT79" s="14" t="s">
        <v>437</v>
      </c>
      <c r="BU79" s="14"/>
      <c r="BV79" s="14"/>
      <c r="BW79" s="14"/>
      <c r="BY79" s="36"/>
      <c r="BZ79" s="36"/>
    </row>
    <row r="80" spans="1:78" ht="14.45">
      <c r="A80" s="6" t="s">
        <v>545</v>
      </c>
      <c r="C80" s="6" t="s">
        <v>435</v>
      </c>
      <c r="D80" s="6" t="s">
        <v>98</v>
      </c>
      <c r="E80" s="14" t="s">
        <v>780</v>
      </c>
      <c r="F80" s="14">
        <v>2</v>
      </c>
      <c r="G80" s="14">
        <v>2</v>
      </c>
      <c r="H80" s="62">
        <v>30</v>
      </c>
      <c r="I80" s="31">
        <v>4</v>
      </c>
      <c r="J80" s="14" t="s">
        <v>748</v>
      </c>
      <c r="K80" s="6" t="s">
        <v>746</v>
      </c>
      <c r="L80" s="14">
        <v>2.6</v>
      </c>
      <c r="M80" s="14"/>
      <c r="N80" s="14"/>
      <c r="O80" s="14"/>
      <c r="P80" s="14"/>
      <c r="Q80" s="2"/>
      <c r="R80" s="2"/>
      <c r="S80" s="2"/>
      <c r="T80" s="2"/>
      <c r="U80" s="14"/>
      <c r="V80" s="14"/>
      <c r="W80" s="14"/>
      <c r="X80" s="14"/>
      <c r="Y80" s="14"/>
      <c r="Z80" s="14"/>
      <c r="AA80" s="14"/>
      <c r="AB80" s="14"/>
      <c r="AC80" s="14"/>
      <c r="AD80" s="14"/>
      <c r="AE80" s="14"/>
      <c r="AF80" s="14"/>
      <c r="AG80" s="62">
        <f t="shared" si="2"/>
        <v>60</v>
      </c>
      <c r="AH80" s="14" t="s">
        <v>748</v>
      </c>
      <c r="AI80" s="6" t="s">
        <v>746</v>
      </c>
      <c r="AJ80" s="14" t="s">
        <v>742</v>
      </c>
      <c r="BM80" s="14">
        <v>2</v>
      </c>
      <c r="BN80" s="14" t="s">
        <v>437</v>
      </c>
      <c r="BO80" s="14"/>
      <c r="BP80" s="14"/>
      <c r="BQ80" s="14">
        <v>2</v>
      </c>
      <c r="BR80" s="14"/>
      <c r="BS80" s="14" t="s">
        <v>437</v>
      </c>
      <c r="BT80" s="14" t="s">
        <v>437</v>
      </c>
      <c r="BU80" s="14"/>
      <c r="BV80" s="14"/>
      <c r="BW80" s="14"/>
      <c r="BY80" s="36"/>
      <c r="BZ80" s="36"/>
    </row>
    <row r="81" spans="1:78" s="19" customFormat="1" ht="14.45">
      <c r="A81" s="19" t="s">
        <v>551</v>
      </c>
      <c r="C81" s="19" t="s">
        <v>435</v>
      </c>
      <c r="D81" s="19" t="s">
        <v>122</v>
      </c>
      <c r="E81" s="17" t="s">
        <v>781</v>
      </c>
      <c r="F81" s="17">
        <v>2</v>
      </c>
      <c r="G81" s="17">
        <v>10</v>
      </c>
      <c r="H81" s="68">
        <v>60</v>
      </c>
      <c r="I81" s="80">
        <v>16</v>
      </c>
      <c r="J81" s="17" t="s">
        <v>748</v>
      </c>
      <c r="K81" s="19" t="s">
        <v>746</v>
      </c>
      <c r="L81" s="17">
        <v>2.6</v>
      </c>
      <c r="M81" s="17"/>
      <c r="N81" s="17"/>
      <c r="O81" s="17"/>
      <c r="P81" s="17"/>
      <c r="Q81" s="99"/>
      <c r="R81" s="99"/>
      <c r="S81" s="99"/>
      <c r="T81" s="99"/>
      <c r="U81" s="17"/>
      <c r="V81" s="17"/>
      <c r="W81" s="17"/>
      <c r="X81" s="17"/>
      <c r="Y81" s="17"/>
      <c r="Z81" s="17"/>
      <c r="AA81" s="17"/>
      <c r="AB81" s="17"/>
      <c r="AC81" s="17"/>
      <c r="AD81" s="17"/>
      <c r="AE81" s="17"/>
      <c r="AF81" s="17"/>
      <c r="AG81" s="68">
        <f t="shared" si="2"/>
        <v>120</v>
      </c>
      <c r="AH81" s="17" t="s">
        <v>748</v>
      </c>
      <c r="AI81" s="19" t="s">
        <v>746</v>
      </c>
      <c r="AJ81" s="17" t="s">
        <v>742</v>
      </c>
      <c r="BM81" s="17">
        <v>2</v>
      </c>
      <c r="BN81" s="17" t="s">
        <v>437</v>
      </c>
      <c r="BO81" s="17"/>
      <c r="BP81" s="17"/>
      <c r="BQ81" s="17">
        <v>2</v>
      </c>
      <c r="BR81" s="17"/>
      <c r="BS81" s="17" t="s">
        <v>437</v>
      </c>
      <c r="BT81" s="17" t="s">
        <v>437</v>
      </c>
      <c r="BU81" s="17"/>
      <c r="BV81" s="17"/>
      <c r="BW81" s="17"/>
      <c r="BY81" s="46"/>
      <c r="BZ81" s="46"/>
    </row>
    <row r="82" spans="1:78">
      <c r="A82" s="36"/>
      <c r="B82" s="36"/>
      <c r="C82" s="36"/>
      <c r="D82" s="36"/>
      <c r="E82" s="14"/>
      <c r="F82" s="86">
        <f>SUM(F57:F81)+F53</f>
        <v>414</v>
      </c>
      <c r="G82" s="86">
        <f>SUM(G57:G81)+G53</f>
        <v>1215</v>
      </c>
      <c r="H82" s="86">
        <f>SUM(H57:H81)+H53</f>
        <v>6056</v>
      </c>
      <c r="I82" s="135"/>
      <c r="J82" s="86"/>
      <c r="K82" s="86"/>
      <c r="L82" s="86">
        <f>SUM(L57:L81)+L53</f>
        <v>1527.9999999999989</v>
      </c>
      <c r="M82" s="86">
        <f>SUM(M57:M81)+M53</f>
        <v>460</v>
      </c>
      <c r="N82" s="86"/>
      <c r="O82" s="86"/>
      <c r="P82" s="86">
        <f>SUM(P57:P81)+P53</f>
        <v>0.05</v>
      </c>
      <c r="Q82" s="86">
        <f>SUM(Q57:Q81)+Q53</f>
        <v>15200</v>
      </c>
      <c r="R82" s="86"/>
      <c r="S82" s="86"/>
      <c r="T82" s="86">
        <f>SUM(T57:T81)+T53</f>
        <v>0.05</v>
      </c>
      <c r="U82" s="86">
        <f>SUM(U57:U81)+U53</f>
        <v>16600</v>
      </c>
      <c r="V82" s="86"/>
      <c r="W82" s="86"/>
      <c r="X82" s="86">
        <f>SUM(X57:X81)+X53</f>
        <v>0.05</v>
      </c>
      <c r="Y82" s="86">
        <f>SUM(Y57:Y81)+Y53</f>
        <v>1370</v>
      </c>
      <c r="Z82" s="86"/>
      <c r="AA82" s="86"/>
      <c r="AB82" s="86">
        <f>SUM(AB57:AB81)+AB53</f>
        <v>0.1</v>
      </c>
      <c r="AC82" s="86">
        <f>SUM(AC57:AC81)+AC53</f>
        <v>270</v>
      </c>
      <c r="AD82" s="86"/>
      <c r="AE82" s="86"/>
      <c r="AF82" s="86">
        <f>SUM(AF57:AF81)+AF47</f>
        <v>0</v>
      </c>
      <c r="AG82" s="86">
        <f>SUM(AG57:AG81)+AG53</f>
        <v>45149</v>
      </c>
      <c r="AH82" s="86"/>
      <c r="AI82" s="86"/>
      <c r="AJ82" s="86"/>
      <c r="AK82" s="86">
        <f>SUM(AK57:AK81)+AK53</f>
        <v>300</v>
      </c>
      <c r="AL82" s="86"/>
      <c r="AM82" s="86"/>
      <c r="AN82" s="86">
        <f>SUM(AN57:AN81)+AN53</f>
        <v>0.2</v>
      </c>
      <c r="AO82" s="86">
        <f>SUM(AO57:AO81)+AO53</f>
        <v>50</v>
      </c>
      <c r="AP82" s="86"/>
      <c r="AQ82" s="86"/>
      <c r="AR82" s="86">
        <f>SUM(AR57:AR81)+AR53</f>
        <v>0.05</v>
      </c>
      <c r="AS82" s="86">
        <f>SUM(AS57:AS81)+AS53</f>
        <v>200</v>
      </c>
      <c r="AT82" s="86"/>
      <c r="AU82" s="86"/>
      <c r="AV82" s="86">
        <f>SUM(AV57:AV81)+AV53</f>
        <v>0.1</v>
      </c>
      <c r="AW82" s="86">
        <f>SUM(AW57:AW81)+AW53</f>
        <v>150</v>
      </c>
      <c r="AX82" s="86"/>
      <c r="AY82" s="86"/>
      <c r="AZ82" s="86">
        <f>SUM(AZ57:AZ81)+AZ53</f>
        <v>0.05</v>
      </c>
      <c r="BA82" s="86">
        <f>SUM(BA57:BA81)+BA53</f>
        <v>360</v>
      </c>
      <c r="BB82" s="86"/>
      <c r="BC82" s="86"/>
      <c r="BD82" s="86">
        <f>SUM(BD57:BD81)+BD53</f>
        <v>0.15000000000000002</v>
      </c>
      <c r="BE82" s="86">
        <f>SUM(BE57:BE81)+BE53</f>
        <v>6144</v>
      </c>
      <c r="BF82" s="86"/>
      <c r="BG82" s="86"/>
      <c r="BH82" s="86">
        <f>SUM(BH57:BH81)+BH53</f>
        <v>0.05</v>
      </c>
      <c r="BI82" s="86"/>
      <c r="BJ82" s="86"/>
      <c r="BK82" s="86"/>
      <c r="BL82" s="86"/>
      <c r="BM82" s="86">
        <f>BM53+SUM(BM57:BM81)</f>
        <v>188</v>
      </c>
      <c r="BN82" s="86">
        <f>BN53+COUNTIF(BN57:BN81,"x")</f>
        <v>63</v>
      </c>
      <c r="BO82" s="86">
        <f>BO53+COUNTIF(BO57:BO81,"x")</f>
        <v>3</v>
      </c>
      <c r="BP82" s="86">
        <f>BP53+COUNTIF(BP57:BP81,"x")</f>
        <v>1</v>
      </c>
      <c r="BQ82" s="86">
        <f>BQ53+SUM(BQ57:BQ81)</f>
        <v>126</v>
      </c>
      <c r="BR82" s="86">
        <f>BR53+COUNTIF(BR57:BR81,"x")</f>
        <v>1</v>
      </c>
      <c r="BS82" s="86">
        <f>BS53+COUNTIF(BS57:BS81,"x")</f>
        <v>27</v>
      </c>
      <c r="BT82" s="86">
        <f>BT53+COUNTIF(BT57:BT81,"x")</f>
        <v>63</v>
      </c>
      <c r="BU82" s="14" t="s">
        <v>769</v>
      </c>
      <c r="BV82" s="14">
        <v>2</v>
      </c>
      <c r="BW82" s="14">
        <v>4</v>
      </c>
      <c r="BX82" s="14">
        <v>2</v>
      </c>
      <c r="BY82" s="36"/>
      <c r="BZ82" s="36"/>
    </row>
    <row r="83" spans="1:78" ht="14.45">
      <c r="A83" s="36"/>
      <c r="B83" s="36"/>
      <c r="C83" s="36"/>
      <c r="D83" s="36"/>
      <c r="E83" s="2"/>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86"/>
      <c r="BN83" s="36"/>
      <c r="BO83" s="36"/>
      <c r="BP83" s="36"/>
      <c r="BQ83" s="36"/>
      <c r="BR83" s="36"/>
      <c r="BS83" s="36"/>
      <c r="BT83" s="36"/>
      <c r="BU83" s="36"/>
      <c r="BV83" s="36"/>
      <c r="BW83" s="36"/>
      <c r="BX83" s="36"/>
      <c r="BY83" s="36"/>
      <c r="BZ83" s="36"/>
    </row>
    <row r="84" spans="1:78" ht="14.45">
      <c r="A84" s="16" t="s">
        <v>782</v>
      </c>
      <c r="B84" s="36"/>
      <c r="C84" s="36"/>
      <c r="D84" s="36"/>
      <c r="E84" s="2"/>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86"/>
      <c r="BN84" s="36"/>
      <c r="BO84" s="36"/>
      <c r="BP84" s="36"/>
      <c r="BQ84" s="36"/>
      <c r="BR84" s="36"/>
      <c r="BS84" s="36"/>
      <c r="BT84" s="36"/>
      <c r="BU84" s="36"/>
      <c r="BV84" s="36"/>
      <c r="BW84" s="36"/>
      <c r="BX84" s="36"/>
      <c r="BY84" s="36"/>
      <c r="BZ84" s="36"/>
    </row>
    <row r="85" spans="1:78" ht="14.45">
      <c r="A85" s="36"/>
      <c r="B85" s="36"/>
      <c r="C85" s="36"/>
      <c r="D85" s="36"/>
      <c r="E85" s="2"/>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86"/>
      <c r="BN85" s="36"/>
      <c r="BO85" s="36"/>
      <c r="BP85" s="36"/>
      <c r="BQ85" s="36"/>
      <c r="BR85" s="36"/>
      <c r="BS85" s="86" t="s">
        <v>437</v>
      </c>
      <c r="BT85" s="86" t="s">
        <v>437</v>
      </c>
      <c r="BU85" s="36"/>
      <c r="BV85" s="36"/>
      <c r="BW85" s="36"/>
      <c r="BX85" s="36"/>
      <c r="BY85" s="36"/>
      <c r="BZ85" s="36"/>
    </row>
    <row r="86" spans="1:78">
      <c r="A86" s="6" t="s">
        <v>560</v>
      </c>
      <c r="C86" s="6" t="s">
        <v>584</v>
      </c>
      <c r="D86" s="6" t="s">
        <v>42</v>
      </c>
      <c r="E86" s="14" t="s">
        <v>783</v>
      </c>
      <c r="F86" s="14">
        <v>2</v>
      </c>
      <c r="G86" s="14">
        <v>4</v>
      </c>
      <c r="H86" s="62">
        <v>70</v>
      </c>
      <c r="I86" s="31">
        <v>4</v>
      </c>
      <c r="J86" s="14" t="s">
        <v>748</v>
      </c>
      <c r="K86" s="6" t="s">
        <v>746</v>
      </c>
      <c r="L86" s="14">
        <v>2.6</v>
      </c>
      <c r="M86" s="14"/>
      <c r="N86" s="14"/>
      <c r="O86" s="14"/>
      <c r="P86" s="14"/>
      <c r="Q86" s="14"/>
      <c r="R86" s="14"/>
      <c r="S86" s="14"/>
      <c r="T86" s="14"/>
      <c r="U86" s="14"/>
      <c r="V86" s="14"/>
      <c r="W86" s="14"/>
      <c r="X86" s="14"/>
      <c r="Y86" s="14"/>
      <c r="Z86" s="14"/>
      <c r="AA86" s="14"/>
      <c r="AB86" s="86"/>
      <c r="AC86" s="86"/>
      <c r="AD86" s="86"/>
      <c r="AE86" s="86"/>
      <c r="AF86" s="86"/>
      <c r="AG86" s="86">
        <f>2*H86</f>
        <v>140</v>
      </c>
      <c r="AH86" s="86" t="s">
        <v>748</v>
      </c>
      <c r="AI86" s="6" t="s">
        <v>746</v>
      </c>
      <c r="AJ86" s="14" t="s">
        <v>742</v>
      </c>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v>2</v>
      </c>
      <c r="BN86" s="86" t="s">
        <v>437</v>
      </c>
      <c r="BO86" s="86"/>
      <c r="BP86" s="86"/>
      <c r="BQ86" s="86">
        <v>2</v>
      </c>
      <c r="BR86" s="86"/>
      <c r="BS86" s="86" t="s">
        <v>437</v>
      </c>
      <c r="BT86" s="86" t="s">
        <v>437</v>
      </c>
      <c r="BU86" s="86"/>
      <c r="BV86" s="86"/>
      <c r="BW86" s="86"/>
      <c r="BX86" s="86"/>
      <c r="BY86" s="36"/>
      <c r="BZ86" s="36"/>
    </row>
    <row r="87" spans="1:78">
      <c r="A87" s="6" t="s">
        <v>565</v>
      </c>
      <c r="C87" s="6" t="s">
        <v>584</v>
      </c>
      <c r="D87" s="6" t="s">
        <v>566</v>
      </c>
      <c r="E87" s="14" t="s">
        <v>784</v>
      </c>
      <c r="F87" s="14">
        <v>6</v>
      </c>
      <c r="G87" s="14">
        <v>10</v>
      </c>
      <c r="H87" s="62">
        <v>100</v>
      </c>
      <c r="I87" s="31">
        <v>16</v>
      </c>
      <c r="J87" s="14" t="s">
        <v>748</v>
      </c>
      <c r="K87" s="6" t="s">
        <v>746</v>
      </c>
      <c r="L87" s="14">
        <v>2.6</v>
      </c>
      <c r="M87" s="14"/>
      <c r="N87" s="14"/>
      <c r="O87" s="14"/>
      <c r="P87" s="14"/>
      <c r="Q87" s="86">
        <v>200</v>
      </c>
      <c r="R87" s="86" t="s">
        <v>748</v>
      </c>
      <c r="S87" s="6" t="s">
        <v>746</v>
      </c>
      <c r="T87" s="86" t="s">
        <v>742</v>
      </c>
      <c r="U87" s="86"/>
      <c r="V87" s="86"/>
      <c r="W87" s="86"/>
      <c r="X87" s="86"/>
      <c r="AB87" s="86" t="s">
        <v>742</v>
      </c>
      <c r="AC87" s="86"/>
      <c r="AD87" s="86"/>
      <c r="AE87" s="86"/>
      <c r="AF87" s="86"/>
      <c r="AG87" s="86">
        <f>2*H87+Q87*2</f>
        <v>600</v>
      </c>
      <c r="AH87" s="86" t="s">
        <v>748</v>
      </c>
      <c r="AI87" s="6" t="s">
        <v>746</v>
      </c>
      <c r="AJ87" s="14" t="s">
        <v>742</v>
      </c>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v>3</v>
      </c>
      <c r="BN87" s="86" t="s">
        <v>437</v>
      </c>
      <c r="BO87" s="86"/>
      <c r="BP87" s="86"/>
      <c r="BQ87" s="86">
        <v>2</v>
      </c>
      <c r="BR87" s="86"/>
      <c r="BS87" s="86" t="s">
        <v>437</v>
      </c>
      <c r="BT87" s="86" t="s">
        <v>437</v>
      </c>
      <c r="BU87" s="86"/>
      <c r="BV87" s="86"/>
      <c r="BW87" s="86"/>
      <c r="BX87" s="86"/>
      <c r="BY87" s="36"/>
      <c r="BZ87" s="36"/>
    </row>
    <row r="88" spans="1:78">
      <c r="A88" s="6" t="s">
        <v>567</v>
      </c>
      <c r="C88" s="6" t="s">
        <v>584</v>
      </c>
      <c r="D88" s="6" t="s">
        <v>568</v>
      </c>
      <c r="E88" s="14" t="s">
        <v>785</v>
      </c>
      <c r="F88" s="14">
        <v>8</v>
      </c>
      <c r="G88" s="14">
        <v>16</v>
      </c>
      <c r="H88" s="62">
        <v>60</v>
      </c>
      <c r="I88" s="31">
        <v>4</v>
      </c>
      <c r="J88" s="14" t="s">
        <v>748</v>
      </c>
      <c r="K88" s="6" t="s">
        <v>746</v>
      </c>
      <c r="L88" s="14">
        <v>2.6</v>
      </c>
      <c r="M88" s="14"/>
      <c r="N88" s="14"/>
      <c r="O88" s="14"/>
      <c r="P88" s="14"/>
      <c r="Q88" s="86"/>
      <c r="R88" s="86"/>
      <c r="S88" s="86"/>
      <c r="T88" s="86"/>
      <c r="U88" s="86"/>
      <c r="V88" s="86"/>
      <c r="W88" s="86"/>
      <c r="X88" s="86"/>
      <c r="Y88" s="86"/>
      <c r="Z88" s="86"/>
      <c r="AA88" s="86"/>
      <c r="AB88" s="86"/>
      <c r="AC88" s="86"/>
      <c r="AD88" s="86"/>
      <c r="AE88" s="86"/>
      <c r="AF88" s="86"/>
      <c r="AG88" s="86">
        <f>2*H88</f>
        <v>120</v>
      </c>
      <c r="AH88" s="86" t="s">
        <v>748</v>
      </c>
      <c r="AI88" s="6" t="s">
        <v>746</v>
      </c>
      <c r="AJ88" s="14" t="s">
        <v>742</v>
      </c>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v>2</v>
      </c>
      <c r="BN88" s="86" t="s">
        <v>437</v>
      </c>
      <c r="BO88" s="86"/>
      <c r="BP88" s="86"/>
      <c r="BQ88" s="86">
        <v>2</v>
      </c>
      <c r="BR88" s="86"/>
      <c r="BS88" s="86" t="s">
        <v>437</v>
      </c>
      <c r="BT88" s="86" t="s">
        <v>437</v>
      </c>
      <c r="BU88" s="86"/>
      <c r="BV88" s="86"/>
      <c r="BW88" s="86"/>
      <c r="BX88" s="86"/>
      <c r="BY88" s="36"/>
      <c r="BZ88" s="36"/>
    </row>
    <row r="89" spans="1:78">
      <c r="A89" s="6" t="s">
        <v>570</v>
      </c>
      <c r="C89" s="6" t="s">
        <v>584</v>
      </c>
      <c r="D89" s="6" t="s">
        <v>571</v>
      </c>
      <c r="E89" s="14" t="s">
        <v>786</v>
      </c>
      <c r="F89" s="14">
        <v>10</v>
      </c>
      <c r="G89" s="14">
        <v>10</v>
      </c>
      <c r="H89" s="62">
        <v>30</v>
      </c>
      <c r="I89" s="31">
        <v>4</v>
      </c>
      <c r="J89" s="14" t="s">
        <v>748</v>
      </c>
      <c r="K89" s="6" t="s">
        <v>746</v>
      </c>
      <c r="L89" s="14">
        <v>2.6</v>
      </c>
      <c r="M89" s="14"/>
      <c r="N89" s="14"/>
      <c r="O89" s="14"/>
      <c r="P89" s="14"/>
      <c r="Q89" s="86"/>
      <c r="R89" s="86"/>
      <c r="S89" s="86"/>
      <c r="T89" s="86"/>
      <c r="U89" s="86"/>
      <c r="V89" s="86"/>
      <c r="W89" s="86"/>
      <c r="X89" s="86"/>
      <c r="Y89" s="86"/>
      <c r="Z89" s="86"/>
      <c r="AA89" s="86"/>
      <c r="AB89" s="86"/>
      <c r="AC89" s="86"/>
      <c r="AD89" s="86"/>
      <c r="AE89" s="86"/>
      <c r="AF89" s="86"/>
      <c r="AG89" s="86">
        <f>2*H89</f>
        <v>60</v>
      </c>
      <c r="AH89" s="86" t="s">
        <v>748</v>
      </c>
      <c r="AI89" s="6" t="s">
        <v>746</v>
      </c>
      <c r="AJ89" s="14" t="s">
        <v>742</v>
      </c>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v>2</v>
      </c>
      <c r="BN89" s="86" t="s">
        <v>437</v>
      </c>
      <c r="BO89" s="86"/>
      <c r="BP89" s="86"/>
      <c r="BQ89" s="86">
        <v>2</v>
      </c>
      <c r="BR89" s="86"/>
      <c r="BS89" s="86" t="s">
        <v>437</v>
      </c>
      <c r="BT89" s="86" t="s">
        <v>437</v>
      </c>
      <c r="BU89" s="86"/>
      <c r="BV89" s="86"/>
      <c r="BW89" s="86"/>
      <c r="BX89" s="86"/>
      <c r="BY89" s="36"/>
      <c r="BZ89" s="36"/>
    </row>
    <row r="90" spans="1:78">
      <c r="A90" s="6" t="s">
        <v>572</v>
      </c>
      <c r="C90" s="6" t="s">
        <v>584</v>
      </c>
      <c r="D90" s="6" t="s">
        <v>573</v>
      </c>
      <c r="E90" s="14" t="s">
        <v>787</v>
      </c>
      <c r="F90" s="14">
        <v>4</v>
      </c>
      <c r="G90" s="14">
        <v>16</v>
      </c>
      <c r="H90" s="62">
        <v>550</v>
      </c>
      <c r="I90" s="31">
        <v>4</v>
      </c>
      <c r="J90" s="14" t="s">
        <v>748</v>
      </c>
      <c r="K90" s="6" t="s">
        <v>746</v>
      </c>
      <c r="L90" s="14">
        <v>2.6</v>
      </c>
      <c r="M90" s="14"/>
      <c r="N90" s="14"/>
      <c r="O90" s="14"/>
      <c r="P90" s="14"/>
      <c r="R90" s="86"/>
      <c r="T90" s="86"/>
      <c r="U90" s="86"/>
      <c r="V90" s="86"/>
      <c r="W90" s="86"/>
      <c r="X90" s="86"/>
      <c r="Y90" s="86"/>
      <c r="Z90" s="86"/>
      <c r="AA90" s="86"/>
      <c r="AB90" s="86"/>
      <c r="AC90" s="86"/>
      <c r="AD90" s="86"/>
      <c r="AE90" s="86"/>
      <c r="AF90" s="86"/>
      <c r="AG90" s="86">
        <f>2*H90+Q90</f>
        <v>1100</v>
      </c>
      <c r="AH90" s="86" t="s">
        <v>748</v>
      </c>
      <c r="AI90" s="6" t="s">
        <v>746</v>
      </c>
      <c r="AJ90" s="14" t="s">
        <v>742</v>
      </c>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v>2</v>
      </c>
      <c r="BN90" s="86" t="s">
        <v>437</v>
      </c>
      <c r="BO90" s="86"/>
      <c r="BP90" s="86"/>
      <c r="BQ90" s="86">
        <v>2</v>
      </c>
      <c r="BR90" s="86"/>
      <c r="BS90" s="86" t="s">
        <v>437</v>
      </c>
      <c r="BT90" s="86" t="s">
        <v>437</v>
      </c>
      <c r="BU90" s="86"/>
      <c r="BV90" s="86"/>
      <c r="BW90" s="86"/>
      <c r="BX90" s="86"/>
      <c r="BY90" s="36"/>
      <c r="BZ90" s="36"/>
    </row>
    <row r="91" spans="1:78" s="19" customFormat="1">
      <c r="A91" s="19" t="s">
        <v>576</v>
      </c>
      <c r="C91" s="19" t="s">
        <v>584</v>
      </c>
      <c r="D91" s="19" t="s">
        <v>577</v>
      </c>
      <c r="E91" s="17" t="s">
        <v>788</v>
      </c>
      <c r="F91" s="17">
        <v>2</v>
      </c>
      <c r="G91" s="17">
        <v>4</v>
      </c>
      <c r="H91" s="68">
        <v>40</v>
      </c>
      <c r="I91" s="80">
        <v>4</v>
      </c>
      <c r="J91" s="17" t="s">
        <v>748</v>
      </c>
      <c r="K91" s="19" t="s">
        <v>746</v>
      </c>
      <c r="L91" s="17">
        <v>2.6</v>
      </c>
      <c r="M91" s="17"/>
      <c r="N91" s="17"/>
      <c r="O91" s="17"/>
      <c r="P91" s="17"/>
      <c r="Q91" s="39"/>
      <c r="R91" s="39"/>
      <c r="T91" s="39"/>
      <c r="U91" s="39"/>
      <c r="V91" s="39"/>
      <c r="W91" s="39"/>
      <c r="X91" s="39"/>
      <c r="Y91" s="39">
        <v>50</v>
      </c>
      <c r="Z91" s="39" t="s">
        <v>748</v>
      </c>
      <c r="AA91" s="19" t="s">
        <v>746</v>
      </c>
      <c r="AB91" s="39"/>
      <c r="AC91" s="39"/>
      <c r="AD91" s="39"/>
      <c r="AE91" s="39"/>
      <c r="AF91" s="39"/>
      <c r="AG91" s="39">
        <f>H91*2+Y91*2</f>
        <v>180</v>
      </c>
      <c r="AH91" s="39" t="s">
        <v>748</v>
      </c>
      <c r="AI91" s="19" t="s">
        <v>746</v>
      </c>
      <c r="AJ91" s="17" t="s">
        <v>742</v>
      </c>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v>3</v>
      </c>
      <c r="BN91" s="39" t="s">
        <v>437</v>
      </c>
      <c r="BO91" s="39"/>
      <c r="BP91" s="39"/>
      <c r="BQ91" s="39">
        <v>2</v>
      </c>
      <c r="BR91" s="39"/>
      <c r="BS91" s="39" t="s">
        <v>437</v>
      </c>
      <c r="BT91" s="39" t="s">
        <v>437</v>
      </c>
      <c r="BU91" s="39"/>
      <c r="BV91" s="39"/>
      <c r="BW91" s="39"/>
      <c r="BX91" s="39"/>
      <c r="BY91" s="46"/>
      <c r="BZ91" s="46"/>
    </row>
    <row r="92" spans="1:78">
      <c r="A92" s="36"/>
      <c r="B92" s="36"/>
      <c r="C92" s="36"/>
      <c r="D92" s="36"/>
      <c r="F92" s="86">
        <f>F82+SUM(F86:F91)</f>
        <v>446</v>
      </c>
      <c r="G92" s="86">
        <f>G82+SUM(G86:G91)</f>
        <v>1275</v>
      </c>
      <c r="H92" s="86">
        <f>H82+SUM(H86:H91)</f>
        <v>6906</v>
      </c>
      <c r="I92" s="86"/>
      <c r="J92" s="86"/>
      <c r="K92" s="86"/>
      <c r="L92" s="86">
        <f>L82+SUM(L86:L91)</f>
        <v>1543.5999999999988</v>
      </c>
      <c r="M92" s="86">
        <f>M82+SUM(M86:M91)</f>
        <v>460</v>
      </c>
      <c r="N92" s="86"/>
      <c r="O92" s="86"/>
      <c r="P92" s="86">
        <f>P82+SUM(P86:P91)</f>
        <v>0.05</v>
      </c>
      <c r="Q92" s="86">
        <f>Q82+SUM(Q86:Q91)</f>
        <v>15400</v>
      </c>
      <c r="R92" s="86"/>
      <c r="S92" s="86"/>
      <c r="T92" s="86">
        <f>T82+SUM(T86:T91)</f>
        <v>0.05</v>
      </c>
      <c r="U92" s="86">
        <f>U82+SUM(U86:U91)</f>
        <v>16600</v>
      </c>
      <c r="V92" s="86"/>
      <c r="W92" s="86"/>
      <c r="X92" s="86">
        <f>X82+SUM(X86:X91)</f>
        <v>0.05</v>
      </c>
      <c r="Y92" s="86">
        <f>Y82+SUM(Y86:Y91)</f>
        <v>1420</v>
      </c>
      <c r="Z92" s="86"/>
      <c r="AA92" s="86"/>
      <c r="AB92" s="86">
        <f>AB82+SUM(AB86:AB91)</f>
        <v>0.1</v>
      </c>
      <c r="AC92" s="86">
        <f>AC82+SUM(AC86:AC91)</f>
        <v>270</v>
      </c>
      <c r="AD92" s="86"/>
      <c r="AE92" s="86"/>
      <c r="AF92" s="86">
        <f>AF82+SUM(AF86:AF91)</f>
        <v>0</v>
      </c>
      <c r="AG92" s="86">
        <f>AG82+SUM(AG86:AG91)</f>
        <v>47349</v>
      </c>
      <c r="AH92" s="86"/>
      <c r="AI92" s="86"/>
      <c r="AJ92" s="86"/>
      <c r="AK92" s="86">
        <f>AK82+SUM(AK86:AK91)</f>
        <v>300</v>
      </c>
      <c r="AL92" s="86"/>
      <c r="AM92" s="86"/>
      <c r="AN92" s="86">
        <f>AN82+SUM(AN86:AN91)</f>
        <v>0.2</v>
      </c>
      <c r="AO92" s="86">
        <f>AO82+SUM(AO86:AO91)</f>
        <v>50</v>
      </c>
      <c r="AP92" s="86"/>
      <c r="AQ92" s="86"/>
      <c r="AR92" s="86">
        <f>AR82+SUM(AR86:AR91)</f>
        <v>0.05</v>
      </c>
      <c r="AS92" s="86">
        <f>AS82+SUM(AS86:AS91)</f>
        <v>200</v>
      </c>
      <c r="AT92" s="86"/>
      <c r="AU92" s="86"/>
      <c r="AV92" s="86">
        <f>AV82+SUM(AV86:AV91)</f>
        <v>0.1</v>
      </c>
      <c r="AW92" s="86">
        <f>AW82+SUM(AW86:AW91)</f>
        <v>150</v>
      </c>
      <c r="AX92" s="86"/>
      <c r="AY92" s="86"/>
      <c r="AZ92" s="86">
        <f>AZ82+SUM(AZ86:AZ91)</f>
        <v>0.05</v>
      </c>
      <c r="BA92" s="86">
        <f>BA82+SUM(BA86:BA91)</f>
        <v>360</v>
      </c>
      <c r="BB92" s="86"/>
      <c r="BC92" s="86"/>
      <c r="BD92" s="86">
        <f>BD82+SUM(BD86:BD91)</f>
        <v>0.15000000000000002</v>
      </c>
      <c r="BE92" s="86">
        <f>BE82+SUM(BE86:BE91)</f>
        <v>6144</v>
      </c>
      <c r="BF92" s="86"/>
      <c r="BG92" s="86"/>
      <c r="BH92" s="86">
        <f>BH82+SUM(BH86:BH91)</f>
        <v>0.05</v>
      </c>
      <c r="BI92" s="86"/>
      <c r="BJ92" s="86"/>
      <c r="BK92" s="86"/>
      <c r="BL92" s="86"/>
      <c r="BM92" s="86">
        <f>BM82+SUM(BM86:BM91)</f>
        <v>202</v>
      </c>
      <c r="BN92" s="86">
        <f>BN82+COUNTIF(BN86:BN91,"x")</f>
        <v>69</v>
      </c>
      <c r="BO92" s="86">
        <f>BO82+COUNTIF(BO86:BO91,"x")</f>
        <v>3</v>
      </c>
      <c r="BP92" s="86">
        <f>BP82+COUNTIF(BP86:BP91,"x")</f>
        <v>1</v>
      </c>
      <c r="BQ92" s="86">
        <f>BQ82+SUM(BQ86:BQ91)</f>
        <v>138</v>
      </c>
      <c r="BR92" s="86">
        <f>BR82+COUNTIF(BR86:BR91,"x")</f>
        <v>1</v>
      </c>
      <c r="BS92" s="86">
        <f>BS82+COUNTIF(BS86:BS91,"x")</f>
        <v>33</v>
      </c>
      <c r="BT92" s="86">
        <f>BT82+COUNTIF(BT86:BT91,"x")</f>
        <v>69</v>
      </c>
      <c r="BU92" s="14" t="s">
        <v>769</v>
      </c>
      <c r="BV92" s="14">
        <v>2</v>
      </c>
      <c r="BW92" s="14">
        <v>4</v>
      </c>
      <c r="BX92" s="14">
        <v>2</v>
      </c>
      <c r="BY92" s="36"/>
      <c r="BZ92" s="36"/>
    </row>
    <row r="94" spans="1:78">
      <c r="F94" s="21"/>
      <c r="H94" s="14"/>
      <c r="I94" s="14"/>
      <c r="J94" s="14"/>
      <c r="K94" s="14"/>
      <c r="L94" s="14"/>
      <c r="M94" s="14"/>
      <c r="N94" s="14"/>
      <c r="O94" s="14"/>
      <c r="P94" s="14"/>
      <c r="Q94" s="14"/>
      <c r="R94" s="14"/>
      <c r="S94" s="14"/>
      <c r="T94" s="14"/>
    </row>
  </sheetData>
  <mergeCells count="8">
    <mergeCell ref="F3:G3"/>
    <mergeCell ref="A4:B4"/>
    <mergeCell ref="A5:B5"/>
    <mergeCell ref="A50:B50"/>
    <mergeCell ref="A6:B6"/>
    <mergeCell ref="A1:D1"/>
    <mergeCell ref="A2:B2"/>
    <mergeCell ref="A3:B3"/>
  </mergeCells>
  <hyperlinks>
    <hyperlink ref="F3:G3" location="Shortcuts!A1" display="Back to shortcuts" xr:uid="{B8D775CE-3411-40D4-9226-3C56383FA303}"/>
  </hyperlinks>
  <pageMargins left="0.7" right="0.7" top="0.75" bottom="0.75" header="0.3" footer="0.3"/>
  <pageSetup paperSize="9" orientation="portrait" r:id="rId1"/>
  <headerFooter>
    <oddFooter>&amp;C&amp;1#&amp;"Arial"&amp;8&amp;K001753Nokia internal use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customXsn xmlns="http://schemas.microsoft.com/office/2006/metadata/customXsn">
  <xsnLocation/>
  <cached>True</cached>
  <openByDefault>True</openByDefault>
  <xsnScope/>
</customXsn>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HideFromDelve xmlns="71c5aaf6-e6ce-465b-b873-5148d2a4c105">true</HideFromDelve>
    <_dlc_DocId xmlns="71c5aaf6-e6ce-465b-b873-5148d2a4c105">UQI4PLNILP2N-1772880183-179435</_dlc_DocId>
    <_dlc_DocIdUrl xmlns="71c5aaf6-e6ce-465b-b873-5148d2a4c105">
      <Url>https://nokia.sharepoint.com/sites/DSS_team_site/_layouts/15/DocIdRedir.aspx?ID=UQI4PLNILP2N-1772880183-179435</Url>
      <Description>UQI4PLNILP2N-1772880183-179435</Description>
    </_dlc_DocIdUrl>
    <Owner xmlns="71c5aaf6-e6ce-465b-b873-5148d2a4c105" xsi:nil="true"/>
    <DocumentType xmlns="71c5aaf6-e6ce-465b-b873-5148d2a4c105">Description</DocumentType>
    <NokiaConfidentiality xmlns="71c5aaf6-e6ce-465b-b873-5148d2a4c105">Nokia Internal Use</NokiaConfidentiality>
  </documentManagement>
</p:properties>
</file>

<file path=customXml/item5.xml><?xml version="1.0" encoding="utf-8"?>
<ct:contentTypeSchema xmlns:ct="http://schemas.microsoft.com/office/2006/metadata/contentType" xmlns:ma="http://schemas.microsoft.com/office/2006/metadata/properties/metaAttributes" ct:_="" ma:_="" ma:contentTypeName="Nokia Document" ma:contentTypeID="0x010100CE50E52E7543470BBDD3827FE50C59CB000E58D7000A8E4A4DBBE7E818CFFA5976" ma:contentTypeVersion="22" ma:contentTypeDescription="Create Nokia Word Document" ma:contentTypeScope="" ma:versionID="02dfed1971f1100e16b6d13931228368">
  <xsd:schema xmlns:xsd="http://www.w3.org/2001/XMLSchema" xmlns:xs="http://www.w3.org/2001/XMLSchema" xmlns:p="http://schemas.microsoft.com/office/2006/metadata/properties" xmlns:ns2="71c5aaf6-e6ce-465b-b873-5148d2a4c105" targetNamespace="http://schemas.microsoft.com/office/2006/metadata/properties" ma:root="true" ma:fieldsID="e7bbd6aa3db1d74cc2fc174fc7a1d5b3" ns2:_="">
    <xsd:import namespace="71c5aaf6-e6ce-465b-b873-5148d2a4c105"/>
    <xsd:element name="properties">
      <xsd:complexType>
        <xsd:sequence>
          <xsd:element name="documentManagement">
            <xsd:complexType>
              <xsd:all>
                <xsd:element ref="ns2:DocumentType" minOccurs="0"/>
                <xsd:element ref="ns2:NokiaConfidentiality" minOccurs="0"/>
                <xsd:element ref="ns2:Owner" minOccurs="0"/>
                <xsd:element ref="ns2:_dlc_DocId" minOccurs="0"/>
                <xsd:element ref="ns2:_dlc_DocIdUrl" minOccurs="0"/>
                <xsd:element ref="ns2:_dlc_DocIdPersistId" minOccurs="0"/>
                <xsd:element ref="ns2:HideFromDel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DocumentType" ma:index="8" nillable="true" ma:displayName="Document Type" ma:default="Description" ma:description="Document type specifies the content of the document" ma:format="Dropdown" ma:internalName="DocumentType" ma:readOnly="false">
      <xsd:simpleType>
        <xsd:restriction base="dms:Choice">
          <xsd:enumeration value="Policy"/>
          <xsd:enumeration value="Strategy"/>
          <xsd:enumeration value="Objectives / Targets"/>
          <xsd:enumeration value="Plan / Schedule"/>
          <xsd:enumeration value="Governance"/>
          <xsd:enumeration value="Organization"/>
          <xsd:enumeration value="Review Material"/>
          <xsd:enumeration value="Communication"/>
          <xsd:enumeration value="Minutes"/>
          <xsd:enumeration value="Training"/>
          <xsd:enumeration value="Standard Operating Procedure"/>
          <xsd:enumeration value="Process / Procedure / Standard"/>
          <xsd:enumeration value="Guideline / Manual / Instruction"/>
          <xsd:enumeration value="Description"/>
          <xsd:enumeration value="Form / Template"/>
          <xsd:enumeration value="Checklist"/>
          <xsd:enumeration value="Bid / Offer"/>
          <xsd:enumeration value="Contract / Order"/>
          <xsd:enumeration value="List"/>
          <xsd:enumeration value="Roadmap"/>
          <xsd:enumeration value="Requirement / Specification"/>
          <xsd:enumeration value="Design"/>
          <xsd:enumeration value="Concept / Proposal"/>
          <xsd:enumeration value="Measurement / KPI"/>
          <xsd:enumeration value="Report"/>
          <xsd:enumeration value="Best Practice / Lessons Learnt"/>
          <xsd:enumeration value="Analysis / Assessment"/>
          <xsd:enumeration value="Survey"/>
        </xsd:restriction>
      </xsd:simpleType>
    </xsd:element>
    <xsd:element name="NokiaConfidentiality" ma:index="9" nillable="true" ma:displayName="Nokia Confidentiality" ma:default="Nokia Internal Use" ma:format="Dropdown" ma:internalName="NokiaConfidentiality" ma:readOnly="false">
      <xsd:simpleType>
        <xsd:restriction base="dms:Choice">
          <xsd:enumeration value="Nokia Internal Use"/>
          <xsd:enumeration value="Confidential"/>
          <xsd:enumeration value="Secret"/>
          <xsd:enumeration value="Public"/>
        </xsd:restriction>
      </xsd:simpleType>
    </xsd:element>
    <xsd:element name="Owner" ma:index="10" nillable="true" ma:displayName="Owner" ma:description="Owner identifies the person or group who owns the document (default value is the same as the Creator of the document)" ma:internalName="Owner">
      <xsd:simpleType>
        <xsd:restriction base="dms:Text"/>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HideFromDelve" ma:index="14" nillable="true" ma:displayName="HideFromDelve" ma:default="0" ma:internalName="HideFromDelv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7.xml><?xml version="1.0" encoding="utf-8"?>
<?mso-contentType ?>
<SharedContentType xmlns="Microsoft.SharePoint.Taxonomy.ContentTypeSync" SourceId="34c87397-5fc1-491e-85e7-d6110dbe9cbd" ContentTypeId="0x010100CE50E52E7543470BBDD3827FE50C59CB" PreviousValue="false"/>
</file>

<file path=customXml/itemProps1.xml><?xml version="1.0" encoding="utf-8"?>
<ds:datastoreItem xmlns:ds="http://schemas.openxmlformats.org/officeDocument/2006/customXml" ds:itemID="{1C5C48E1-FB77-45DA-8ABA-606892BB166E}"/>
</file>

<file path=customXml/itemProps2.xml><?xml version="1.0" encoding="utf-8"?>
<ds:datastoreItem xmlns:ds="http://schemas.openxmlformats.org/officeDocument/2006/customXml" ds:itemID="{1A5FABDA-D3C1-406F-B64E-2CC53CF98A48}"/>
</file>

<file path=customXml/itemProps3.xml><?xml version="1.0" encoding="utf-8"?>
<ds:datastoreItem xmlns:ds="http://schemas.openxmlformats.org/officeDocument/2006/customXml" ds:itemID="{9A9D60AC-4121-43FA-962A-5CE8CA2FE512}"/>
</file>

<file path=customXml/itemProps4.xml><?xml version="1.0" encoding="utf-8"?>
<ds:datastoreItem xmlns:ds="http://schemas.openxmlformats.org/officeDocument/2006/customXml" ds:itemID="{C4F7879A-25FF-43CF-8DD4-0F61B7DA657F}"/>
</file>

<file path=customXml/itemProps5.xml><?xml version="1.0" encoding="utf-8"?>
<ds:datastoreItem xmlns:ds="http://schemas.openxmlformats.org/officeDocument/2006/customXml" ds:itemID="{8EDC721F-81F0-45B3-B0B7-0A393E4CA8D2}"/>
</file>

<file path=customXml/itemProps6.xml><?xml version="1.0" encoding="utf-8"?>
<ds:datastoreItem xmlns:ds="http://schemas.openxmlformats.org/officeDocument/2006/customXml" ds:itemID="{53F917D1-03DA-4820-9B0A-1B5244C2F56E}"/>
</file>

<file path=customXml/itemProps7.xml><?xml version="1.0" encoding="utf-8"?>
<ds:datastoreItem xmlns:ds="http://schemas.openxmlformats.org/officeDocument/2006/customXml" ds:itemID="{1A20AE0C-2060-4A69-AF45-A09B214BDF40}"/>
</file>

<file path=docMetadata/LabelInfo.xml><?xml version="1.0" encoding="utf-8"?>
<clbl:labelList xmlns:clbl="http://schemas.microsoft.com/office/2020/mipLabelMetadata">
  <clbl:label id="{46cc7c65-2b09-40ab-abef-d10548338a3b}" enabled="1" method="Privileged" siteId="{5d471751-9675-428d-917b-70f44f9630b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Nokia Siemens Networks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NetAct Node Architecture and Resource Plan R&amp;D</dc:title>
  <dc:subject/>
  <dc:creator>jarmylly</dc:creator>
  <cp:keywords/>
  <dc:description/>
  <cp:lastModifiedBy>Tarek Hiemstra (Nokia)</cp:lastModifiedBy>
  <cp:revision/>
  <dcterms:created xsi:type="dcterms:W3CDTF">2013-01-13T09:29:29Z</dcterms:created>
  <dcterms:modified xsi:type="dcterms:W3CDTF">2025-11-03T19:07:48Z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0x010100CE50E52E7543470BBDD3827FE50C59CB000E58D7000A8E4A4DBBE7E818CFFA5976</vt:lpwstr>
  </property>
  <property fmtid="{D5CDD505-2E9C-101B-9397-08002B2CF9AE}" pid="3" name="_dlc_DocIdItemGuid">
    <vt:lpwstr>d2e6a9d9-2213-417a-855a-84e883458be5</vt:lpwstr>
  </property>
  <property fmtid="{D5CDD505-2E9C-101B-9397-08002B2CF9AE}" pid="4" name="AuthorIds_UIVersion_514">
    <vt:lpwstr>45</vt:lpwstr>
  </property>
  <property fmtid="{D5CDD505-2E9C-101B-9397-08002B2CF9AE}" pid="5" name="MSIP_Label_46cc7c65-2b09-40ab-abef-d10548338a3b_Enabled">
    <vt:lpwstr>true</vt:lpwstr>
  </property>
  <property fmtid="{D5CDD505-2E9C-101B-9397-08002B2CF9AE}" pid="6" name="MSIP_Label_46cc7c65-2b09-40ab-abef-d10548338a3b_SetDate">
    <vt:lpwstr>2023-02-08T10:14:29Z</vt:lpwstr>
  </property>
  <property fmtid="{D5CDD505-2E9C-101B-9397-08002B2CF9AE}" pid="7" name="MSIP_Label_46cc7c65-2b09-40ab-abef-d10548338a3b_Method">
    <vt:lpwstr>Privileged</vt:lpwstr>
  </property>
  <property fmtid="{D5CDD505-2E9C-101B-9397-08002B2CF9AE}" pid="8" name="MSIP_Label_46cc7c65-2b09-40ab-abef-d10548338a3b_Name">
    <vt:lpwstr>46cc7c65-2b09-40ab-abef-d10548338a3b</vt:lpwstr>
  </property>
  <property fmtid="{D5CDD505-2E9C-101B-9397-08002B2CF9AE}" pid="9" name="MSIP_Label_46cc7c65-2b09-40ab-abef-d10548338a3b_SiteId">
    <vt:lpwstr>5d471751-9675-428d-917b-70f44f9630b0</vt:lpwstr>
  </property>
  <property fmtid="{D5CDD505-2E9C-101B-9397-08002B2CF9AE}" pid="10" name="MSIP_Label_46cc7c65-2b09-40ab-abef-d10548338a3b_ActionId">
    <vt:lpwstr>ec3135ad-170c-444b-b089-6ad0818fe993</vt:lpwstr>
  </property>
  <property fmtid="{D5CDD505-2E9C-101B-9397-08002B2CF9AE}" pid="11" name="MSIP_Label_46cc7c65-2b09-40ab-abef-d10548338a3b_ContentBits">
    <vt:lpwstr>2</vt:lpwstr>
  </property>
</Properties>
</file>