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comments3.xml" ContentType="application/vnd.openxmlformats-officedocument.spreadsheetml.comments+xml"/>
  <Override PartName="/xl/threadedComments/threadedComment2.xml" ContentType="application/vnd.ms-excel.threadedcomments+xml"/>
  <Override PartName="/xl/comments4.xml" ContentType="application/vnd.openxmlformats-officedocument.spreadsheetml.comments+xml"/>
  <Override PartName="/xl/threadedComments/threadedComment3.xml" ContentType="application/vnd.ms-excel.threadedcomments+xml"/>
  <Override PartName="/xl/drawings/drawing3.xml" ContentType="application/vnd.openxmlformats-officedocument.drawing+xml"/>
  <Override PartName="/xl/comments5.xml" ContentType="application/vnd.openxmlformats-officedocument.spreadsheetml.comments+xml"/>
  <Override PartName="/xl/threadedComments/threadedComment4.xml" ContentType="application/vnd.ms-excel.threadedcomments+xml"/>
  <Override PartName="/xl/drawings/drawing4.xml" ContentType="application/vnd.openxmlformats-officedocument.drawing+xml"/>
  <Override PartName="/xl/comments6.xml" ContentType="application/vnd.openxmlformats-officedocument.spreadsheetml.comments+xml"/>
  <Override PartName="/xl/threadedComments/threadedComment5.xml" ContentType="application/vnd.ms-excel.threadedcomments+xml"/>
  <Override PartName="/xl/drawings/drawing5.xml" ContentType="application/vnd.openxmlformats-officedocument.drawing+xml"/>
  <Override PartName="/xl/comments7.xml" ContentType="application/vnd.openxmlformats-officedocument.spreadsheetml.comments+xml"/>
  <Override PartName="/xl/threadedComments/threadedComment6.xml" ContentType="application/vnd.ms-excel.threaded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drawings/drawing6.xml" ContentType="application/vnd.openxmlformats-officedocument.drawing+xml"/>
  <Override PartName="/xl/comments17.xml" ContentType="application/vnd.openxmlformats-officedocument.spreadsheetml.comments+xml"/>
  <Override PartName="/xl/comments18.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025"/>
  <workbookPr codeName="ThisWorkbook" autoCompressPictures="0" defaultThemeVersion="124226"/>
  <mc:AlternateContent xmlns:mc="http://schemas.openxmlformats.org/markup-compatibility/2006">
    <mc:Choice Requires="x15">
      <x15ac:absPath xmlns:x15ac="http://schemas.microsoft.com/office/spreadsheetml/2010/11/ac" url="https://nokia.sharepoint.com/sites/DSS_team_site/Shared Documents/Resource Plans/"/>
    </mc:Choice>
  </mc:AlternateContent>
  <xr:revisionPtr revIDLastSave="0" documentId="13_ncr:1_{D79CD117-BBE9-4682-BD10-3F5BBD98A734}" xr6:coauthVersionLast="47" xr6:coauthVersionMax="47" xr10:uidLastSave="{00000000-0000-0000-0000-000000000000}"/>
  <bookViews>
    <workbookView xWindow="-110" yWindow="-110" windowWidth="19420" windowHeight="10420" tabRatio="694" xr2:uid="{00000000-000D-0000-FFFF-FFFF00000000}"/>
  </bookViews>
  <sheets>
    <sheet name="Front Page" sheetId="36" r:id="rId1"/>
    <sheet name="Change History" sheetId="201" r:id="rId2"/>
    <sheet name="Virtual Machines" sheetId="35" r:id="rId3"/>
    <sheet name="Cloud Configuration" sheetId="199" r:id="rId4"/>
    <sheet name="Number of Servers Required" sheetId="72" r:id="rId5"/>
    <sheet name="Compact Single Node 24R1-NM" sheetId="182" r:id="rId6"/>
    <sheet name="Small 24R1-NM" sheetId="183" r:id="rId7"/>
    <sheet name="Mainstream 24R1-NM" sheetId="202" r:id="rId8"/>
    <sheet name="Large 24R1-NM" sheetId="185" r:id="rId9"/>
    <sheet name="XXL 24R1-NM" sheetId="186" r:id="rId10"/>
    <sheet name="3XL 24R1-NM" sheetId="187" r:id="rId11"/>
    <sheet name="Compact 24R1-NM SW on VMware" sheetId="188" r:id="rId12"/>
    <sheet name="Small 24R1-NM SW on VMware" sheetId="189" r:id="rId13"/>
    <sheet name="Small 24R1-NM SW on OpenStack" sheetId="190" r:id="rId14"/>
    <sheet name="Mainstream 24R1-NM SW on VMware" sheetId="191" r:id="rId15"/>
    <sheet name="Mainstream 24R1-NM SW OpenStack" sheetId="192" r:id="rId16"/>
    <sheet name="Large 24R1-NM SW on VMware" sheetId="193" r:id="rId17"/>
    <sheet name="Large 24R1-NM SW on OpenStack" sheetId="194" r:id="rId18"/>
    <sheet name="XXL 24R1-NM SW on VMware" sheetId="195" r:id="rId19"/>
    <sheet name="XXL 24R1-NM SW on OpenStack" sheetId="196" r:id="rId20"/>
    <sheet name="3XL 24R1-NM SW on VMware" sheetId="197" r:id="rId21"/>
    <sheet name="3XL 24R1-NM SW OpenStack-CBIS" sheetId="198" r:id="rId22"/>
  </sheets>
  <externalReferences>
    <externalReference r:id="rId23"/>
    <externalReference r:id="rId24"/>
  </externalReferences>
  <definedNames>
    <definedName name="_2TB" localSheetId="10">'3XL 24R1-NM'!$I$55</definedName>
    <definedName name="_2TB" localSheetId="20">'3XL 24R1-NM SW on VMware'!$I$48</definedName>
    <definedName name="_2TB" localSheetId="3">#REF!</definedName>
    <definedName name="_2TB">#REF!</definedName>
    <definedName name="_xlnm._FilterDatabase" localSheetId="11" hidden="1">'Compact 24R1-NM SW on VMware'!$K$1:$K$65</definedName>
    <definedName name="_xlnm._FilterDatabase" localSheetId="5" hidden="1">'Compact Single Node 24R1-NM'!$K$1:$K$75</definedName>
    <definedName name="_xlnm._FilterDatabase" localSheetId="8" hidden="1">'Large 24R1-NM'!$A$3:$AT$42</definedName>
    <definedName name="_xlnm._FilterDatabase" localSheetId="15" hidden="1">'Mainstream 24R1-NM SW OpenStack'!$A$7:$CA$39</definedName>
    <definedName name="_xlnm._FilterDatabase" localSheetId="6" hidden="1">'Small 24R1-NM'!$A$7:$AT$30</definedName>
    <definedName name="A_4TB" localSheetId="10">'3XL 24R1-NM'!$H$55:$H$56</definedName>
    <definedName name="A_4TB" localSheetId="20">'3XL 24R1-NM SW on VMware'!$H$48:$H$49</definedName>
    <definedName name="A_4TB" localSheetId="3">#REF!</definedName>
    <definedName name="A_4TB">#REF!</definedName>
    <definedName name="BackupNA16.2" localSheetId="12">#REF!</definedName>
    <definedName name="BackupNA16.5" localSheetId="3">'[1]Small 16.5'!$B$75:$B$76</definedName>
    <definedName name="BackupNA16.5" localSheetId="7">'[2]Small 16.5'!$B$75:$B$76</definedName>
    <definedName name="BackupNA16.5">#REF!</definedName>
    <definedName name="BackupNA16.8" localSheetId="3">'[1]Small 16.8'!$B$76:$B$77</definedName>
    <definedName name="BackupNA16.8" localSheetId="7">'[2]Small 16.8'!$B$76:$B$77</definedName>
    <definedName name="BackupNA16.8">#REF!</definedName>
    <definedName name="BackupNA17" localSheetId="11">'Compact 24R1-NM SW on VMware'!#REF!</definedName>
    <definedName name="BackupNA17" localSheetId="5">'Compact Single Node 24R1-NM'!#REF!</definedName>
    <definedName name="BackupNA17" localSheetId="6">'Small 24R1-NM'!$B$122:$B$123</definedName>
    <definedName name="BTSMediationOpenStack" localSheetId="3">'Cloud Configuration'!$V$22</definedName>
    <definedName name="BTSMediationOpenStack">#REF!</definedName>
    <definedName name="BTSMediationVMware" localSheetId="3">'Cloud Configuration'!$V$25:$V$26</definedName>
    <definedName name="BTSMediationVMware">#REF!</definedName>
    <definedName name="Configuration16.5" localSheetId="3">#REF!</definedName>
    <definedName name="Configuration16.5">#REF!</definedName>
    <definedName name="Configuration16.8" localSheetId="3">#REF!</definedName>
    <definedName name="Configuration16.8">#REF!</definedName>
    <definedName name="Configuration17.2" localSheetId="3">#REF!</definedName>
    <definedName name="Configuration17.2">#REF!</definedName>
    <definedName name="Configuration17.8" localSheetId="3">#REF!</definedName>
    <definedName name="Configuration17.8">#REF!</definedName>
    <definedName name="Configuration18" localSheetId="3">#REF!</definedName>
    <definedName name="Configuration18">#REF!</definedName>
    <definedName name="Configuration18A" localSheetId="3">#REF!</definedName>
    <definedName name="Configuration18A">#REF!</definedName>
    <definedName name="Configuration19" localSheetId="3">#REF!</definedName>
    <definedName name="Configuration19">#REF!</definedName>
    <definedName name="Configuration19A" localSheetId="3">#REF!</definedName>
    <definedName name="Configuration19A">#REF!</definedName>
    <definedName name="LargeADMOpenStack" localSheetId="3">'Cloud Configuration'!$AC$44</definedName>
    <definedName name="LargeADMOpenStack">#REF!</definedName>
    <definedName name="LargeADMVmware" localSheetId="3">'Cloud Configuration'!$AJ$44</definedName>
    <definedName name="LargeADMVmware">#REF!</definedName>
    <definedName name="LargeCustomer16.5VMware" localSheetId="3">#REF!</definedName>
    <definedName name="LargeCustomer16.5VMware">#REF!</definedName>
    <definedName name="LargeCustomer16.8VMware" localSheetId="3">#REF!</definedName>
    <definedName name="LargeCustomer16.8VMware">#REF!</definedName>
    <definedName name="LargeCustomer17.2OpenStack" localSheetId="3">#REF!</definedName>
    <definedName name="LargeCustomer17.2OpenStack">#REF!</definedName>
    <definedName name="LargeCustomer17.2VMware" localSheetId="3">#REF!</definedName>
    <definedName name="LargeCustomer17.2VMware">#REF!</definedName>
    <definedName name="LargeCustomer17.8OpenStack" localSheetId="3">#REF!</definedName>
    <definedName name="LargeCustomer17.8OpenStack">#REF!</definedName>
    <definedName name="LargeCustomer17.8VMware" localSheetId="3">#REF!</definedName>
    <definedName name="LargeCustomer17.8VMware">#REF!</definedName>
    <definedName name="LargeCustomer18AOpenStack" localSheetId="3">#REF!</definedName>
    <definedName name="LargeCustomer18AOpenStack">#REF!</definedName>
    <definedName name="LargeCustomer18AVMware" localSheetId="3">#REF!</definedName>
    <definedName name="LargeCustomer18AVMware">#REF!</definedName>
    <definedName name="LargeCustomer18OpenStack" localSheetId="3">#REF!</definedName>
    <definedName name="LargeCustomer18OpenStack">#REF!</definedName>
    <definedName name="LargeCustomer18VMware" localSheetId="3">#REF!</definedName>
    <definedName name="LargeCustomer18VMware">#REF!</definedName>
    <definedName name="LargeCustomer19AOpenStack" localSheetId="3">#REF!</definedName>
    <definedName name="LargeCustomer19AOpenStack">#REF!</definedName>
    <definedName name="LargeCustomer19AVMware" localSheetId="3">#REF!</definedName>
    <definedName name="LargeCustomer19AVMware">#REF!</definedName>
    <definedName name="LargeCustomer19OpenStack" localSheetId="3">#REF!</definedName>
    <definedName name="LargeCustomer19OpenStack">#REF!</definedName>
    <definedName name="LargeCustomer19VMware" localSheetId="3">#REF!</definedName>
    <definedName name="LargeCustomer19VMware">#REF!</definedName>
    <definedName name="LargeCustomerOpenStack" localSheetId="3">'Cloud Configuration'!$AC$50</definedName>
    <definedName name="LargeCustomerOpenStack">#REF!</definedName>
    <definedName name="LargeCustomerVmware" localSheetId="3">'Cloud Configuration'!$AJ$50</definedName>
    <definedName name="LargeCustomerVmware">#REF!</definedName>
    <definedName name="LargeDatabase2250Arc" localSheetId="3">'Cloud Configuration'!$AC$26</definedName>
    <definedName name="LargeDatabase2250Arc">#REF!</definedName>
    <definedName name="LargeDatabase2250Backup" localSheetId="3">'Cloud Configuration'!$AC$32</definedName>
    <definedName name="LargeDatabase2250Backup">#REF!</definedName>
    <definedName name="LargeDatabase2250Redo" localSheetId="3">'Cloud Configuration'!$AC$20</definedName>
    <definedName name="LargeDatabase2250Redo">#REF!</definedName>
    <definedName name="LargeDatabase2250vCPU" localSheetId="3">'Cloud Configuration'!$AC$8</definedName>
    <definedName name="LargeDatabase2250vCPU">#REF!</definedName>
    <definedName name="LargeDatabase2250vRAM" localSheetId="3">'Cloud Configuration'!$AC$14</definedName>
    <definedName name="LargeDatabase2250vRAM">#REF!</definedName>
    <definedName name="LargeDatabase2304Arc" localSheetId="3">#REF!</definedName>
    <definedName name="LargeDatabase2304Arc">#REF!</definedName>
    <definedName name="LargeDatabase2304BackupOpenStack17.2" localSheetId="3">#REF!</definedName>
    <definedName name="LargeDatabase2304BackupOpenStack17.2">#REF!</definedName>
    <definedName name="LargeDatabase2304BackupOpenStack17.8" localSheetId="3">#REF!</definedName>
    <definedName name="LargeDatabase2304BackupOpenStack17.8">#REF!</definedName>
    <definedName name="LargeDatabase2304BackupOpenStack18" localSheetId="3">#REF!</definedName>
    <definedName name="LargeDatabase2304BackupOpenStack18">#REF!</definedName>
    <definedName name="LargeDatabase2304BackupOpenStack18A" localSheetId="3">#REF!</definedName>
    <definedName name="LargeDatabase2304BackupOpenStack18A">#REF!</definedName>
    <definedName name="LargeDatabase2304BackupOpenStack19" localSheetId="3">#REF!</definedName>
    <definedName name="LargeDatabase2304BackupOpenStack19">#REF!</definedName>
    <definedName name="LargeDatabase2304BackupOpenStack19A" localSheetId="3">#REF!</definedName>
    <definedName name="LargeDatabase2304BackupOpenStack19A">#REF!</definedName>
    <definedName name="LargeDatabase2304Redo" localSheetId="3">#REF!</definedName>
    <definedName name="LargeDatabase2304Redo">#REF!</definedName>
    <definedName name="LargeDatabase2304vRAM" localSheetId="3">#REF!</definedName>
    <definedName name="LargeDatabase2304vRAM">#REF!</definedName>
    <definedName name="LargeDatabase2500Arc" localSheetId="3">'Cloud Configuration'!$AJ$26</definedName>
    <definedName name="LargeDatabase2500Arc">#REF!</definedName>
    <definedName name="LargeDatabase2500Backup" localSheetId="3">'Cloud Configuration'!$AJ$32</definedName>
    <definedName name="LargeDatabase2500Backup">#REF!</definedName>
    <definedName name="LargeDatabase2500BackupVMware17.2" localSheetId="3">#REF!</definedName>
    <definedName name="LargeDatabase2500BackupVMware17.2">#REF!</definedName>
    <definedName name="LargeDatabase2500BackupVMware17.8" localSheetId="3">#REF!</definedName>
    <definedName name="LargeDatabase2500BackupVMware17.8">#REF!</definedName>
    <definedName name="LargeDatabase2500BackupVMware18" localSheetId="3">#REF!</definedName>
    <definedName name="LargeDatabase2500BackupVMware18">#REF!</definedName>
    <definedName name="LargeDatabase2500BackupVMware18A" localSheetId="3">#REF!</definedName>
    <definedName name="LargeDatabase2500BackupVMware18A">#REF!</definedName>
    <definedName name="LargeDatabase2500BackupVMware19" localSheetId="3">#REF!</definedName>
    <definedName name="LargeDatabase2500BackupVMware19">#REF!</definedName>
    <definedName name="LargeDatabase2500BackupVMware19A" localSheetId="3">#REF!</definedName>
    <definedName name="LargeDatabase2500BackupVMware19A">#REF!</definedName>
    <definedName name="LargeDatabase2500Redo" localSheetId="3">'Cloud Configuration'!$AJ$20</definedName>
    <definedName name="LargeDatabase2500Redo">#REF!</definedName>
    <definedName name="LargeDatabase2500vCPU" localSheetId="3">'Cloud Configuration'!$AJ$8</definedName>
    <definedName name="LargeDatabase2500vCPU">#REF!</definedName>
    <definedName name="LargeDatabase2500vRAM" localSheetId="3">'Cloud Configuration'!$AJ$14</definedName>
    <definedName name="LargeDatabase2500vRAM">#REF!</definedName>
    <definedName name="LargeDatabase3150Arc" localSheetId="3">#REF!</definedName>
    <definedName name="LargeDatabase3150Arc">#REF!</definedName>
    <definedName name="LargeDatabase3150BackupOpenStack17.2" localSheetId="3">#REF!</definedName>
    <definedName name="LargeDatabase3150BackupOpenStack17.2">#REF!</definedName>
    <definedName name="LargeDatabase3150BackupOpenStack17.8" localSheetId="3">#REF!</definedName>
    <definedName name="LargeDatabase3150BackupOpenStack17.8">#REF!</definedName>
    <definedName name="LargeDatabase3150BackupOpenStack18" localSheetId="3">#REF!</definedName>
    <definedName name="LargeDatabase3150BackupOpenStack18">#REF!</definedName>
    <definedName name="LargeDatabase3150BackupOpenStack18A" localSheetId="3">#REF!</definedName>
    <definedName name="LargeDatabase3150BackupOpenStack18A">#REF!</definedName>
    <definedName name="LargeDatabase3150BackupOpenStack19" localSheetId="3">#REF!</definedName>
    <definedName name="LargeDatabase3150BackupOpenStack19">#REF!</definedName>
    <definedName name="LargeDatabase3150BackupOpenStack19A" localSheetId="3">#REF!</definedName>
    <definedName name="LargeDatabase3150BackupOpenStack19A">#REF!</definedName>
    <definedName name="LargeDatabase3150Redo" localSheetId="3">#REF!</definedName>
    <definedName name="LargeDatabase3150Redo">#REF!</definedName>
    <definedName name="LargeDatabase3150vRAM" localSheetId="3">#REF!</definedName>
    <definedName name="LargeDatabase3150vRAM">#REF!</definedName>
    <definedName name="LargeDatabase3418Arc" localSheetId="3">#REF!</definedName>
    <definedName name="LargeDatabase3418Arc">#REF!</definedName>
    <definedName name="LargeDatabase3418BackupVMware17.2" localSheetId="3">#REF!</definedName>
    <definedName name="LargeDatabase3418BackupVMware17.2">#REF!</definedName>
    <definedName name="LargeDatabase3418BackupVMware17.8" localSheetId="3">#REF!</definedName>
    <definedName name="LargeDatabase3418BackupVMware17.8">#REF!</definedName>
    <definedName name="LargeDatabase3418BackupVMware18" localSheetId="3">#REF!</definedName>
    <definedName name="LargeDatabase3418BackupVMware18">#REF!</definedName>
    <definedName name="LargeDatabase3418BackupVMware18A" localSheetId="3">#REF!</definedName>
    <definedName name="LargeDatabase3418BackupVMware18A">#REF!</definedName>
    <definedName name="LargeDatabase3418BackupVMware19" localSheetId="3">#REF!</definedName>
    <definedName name="LargeDatabase3418BackupVMware19">#REF!</definedName>
    <definedName name="LargeDatabase3418BackupVMware19A" localSheetId="3">#REF!</definedName>
    <definedName name="LargeDatabase3418BackupVMware19A">#REF!</definedName>
    <definedName name="LargeDatabase3418Redo" localSheetId="3">#REF!</definedName>
    <definedName name="LargeDatabase3418Redo">#REF!</definedName>
    <definedName name="LargeDatabase3418vRAM" localSheetId="3">#REF!</definedName>
    <definedName name="LargeDatabase3418vRAM">#REF!</definedName>
    <definedName name="LargeDatabase4147Arc" localSheetId="3">#REF!</definedName>
    <definedName name="LargeDatabase4147Arc">#REF!</definedName>
    <definedName name="LargeDatabase4147BackupOpenStack17.2" localSheetId="3">#REF!</definedName>
    <definedName name="LargeDatabase4147BackupOpenStack17.2">#REF!</definedName>
    <definedName name="LargeDatabase4147BackupOpenStack17.8" localSheetId="3">#REF!</definedName>
    <definedName name="LargeDatabase4147BackupOpenStack17.8">#REF!</definedName>
    <definedName name="LargeDatabase4147BackupOpenStack18" localSheetId="3">#REF!</definedName>
    <definedName name="LargeDatabase4147BackupOpenStack18">#REF!</definedName>
    <definedName name="LargeDatabase4147BackupOpenStack18A" localSheetId="3">#REF!</definedName>
    <definedName name="LargeDatabase4147BackupOpenStack18A">#REF!</definedName>
    <definedName name="LargeDatabase4147BackupOpenStack19" localSheetId="3">#REF!</definedName>
    <definedName name="LargeDatabase4147BackupOpenStack19">#REF!</definedName>
    <definedName name="LargeDatabase4147BackupOpenStack19A" localSheetId="3">#REF!</definedName>
    <definedName name="LargeDatabase4147BackupOpenStack19A">#REF!</definedName>
    <definedName name="LargeDatabase4147Redo" localSheetId="3">#REF!</definedName>
    <definedName name="LargeDatabase4147Redo">#REF!</definedName>
    <definedName name="LargeDatabase4147vRAM" localSheetId="3">#REF!</definedName>
    <definedName name="LargeDatabase4147vRAM">#REF!</definedName>
    <definedName name="LargeDatabase4500Arc" localSheetId="3">#REF!</definedName>
    <definedName name="LargeDatabase4500Arc">#REF!</definedName>
    <definedName name="LargeDatabase4500BackupVMware17.2" localSheetId="3">#REF!</definedName>
    <definedName name="LargeDatabase4500BackupVMware17.2">#REF!</definedName>
    <definedName name="LargeDatabase4500BackupVMware17.8" localSheetId="3">#REF!</definedName>
    <definedName name="LargeDatabase4500BackupVMware17.8">#REF!</definedName>
    <definedName name="LargeDatabase4500BackupVMware18" localSheetId="3">#REF!</definedName>
    <definedName name="LargeDatabase4500BackupVMware18">#REF!</definedName>
    <definedName name="LargeDatabase4500BackupVMware18A" localSheetId="3">#REF!</definedName>
    <definedName name="LargeDatabase4500BackupVMware18A">#REF!</definedName>
    <definedName name="LargeDatabase4500BackupVMware19" localSheetId="3">#REF!</definedName>
    <definedName name="LargeDatabase4500BackupVMware19">#REF!</definedName>
    <definedName name="LargeDatabase4500BackupVMware19A" localSheetId="3">#REF!</definedName>
    <definedName name="LargeDatabase4500BackupVMware19A">#REF!</definedName>
    <definedName name="LargeDatabase4500Redo" localSheetId="3">#REF!</definedName>
    <definedName name="LargeDatabase4500Redo">#REF!</definedName>
    <definedName name="LargeDatabase4500vRAM" localSheetId="3">#REF!</definedName>
    <definedName name="LargeDatabase4500vRAM">#REF!</definedName>
    <definedName name="LargeDatabase5535Arc" localSheetId="3">'Cloud Configuration'!$AC$29</definedName>
    <definedName name="LargeDatabase5535Arc">#REF!</definedName>
    <definedName name="LargeDatabase5535Backup" localSheetId="3">'Cloud Configuration'!$AC$35</definedName>
    <definedName name="LargeDatabase5535Backup">#REF!</definedName>
    <definedName name="LargeDatabase5535Redo" localSheetId="3">'Cloud Configuration'!$AC$23</definedName>
    <definedName name="LargeDatabase5535Redo">#REF!</definedName>
    <definedName name="LargeDatabase5535vCPU" localSheetId="3">'Cloud Configuration'!$AC$11</definedName>
    <definedName name="LargeDatabase5535vCPU">#REF!</definedName>
    <definedName name="LargeDatabase5535vRAM" localSheetId="3">'Cloud Configuration'!$AC$17</definedName>
    <definedName name="LargeDatabase5535vRAM">#REF!</definedName>
    <definedName name="LargeDatabase6150Arc" localSheetId="3">'Cloud Configuration'!$AJ$29</definedName>
    <definedName name="LargeDatabase6150Arc">#REF!</definedName>
    <definedName name="LargeDatabase6150Backup" localSheetId="3">'Cloud Configuration'!$AJ$35</definedName>
    <definedName name="LargeDatabase6150Backup">#REF!</definedName>
    <definedName name="LargeDatabase6150Redo" localSheetId="3">'Cloud Configuration'!$AJ$23</definedName>
    <definedName name="LargeDatabase6150Redo">#REF!</definedName>
    <definedName name="LargeDatabase6150vCPU" localSheetId="3">'Cloud Configuration'!$AJ$11</definedName>
    <definedName name="LargeDatabase6150vCPU">#REF!</definedName>
    <definedName name="LargeDatabase6150vRAM" localSheetId="3">'Cloud Configuration'!$AJ$17</definedName>
    <definedName name="LargeDatabase6150vRAM">#REF!</definedName>
    <definedName name="LargeDatabaseOpenStack" localSheetId="3">'Cloud Configuration'!$AC$4:$AC$5</definedName>
    <definedName name="LargeDatabaseOpenStack">#REF!</definedName>
    <definedName name="LargeDatabaseVmware" localSheetId="3">'Cloud Configuration'!$AJ$4:$AJ$5</definedName>
    <definedName name="LargeDatabaseVMware">#REF!</definedName>
    <definedName name="LargeExtRep16.5VMware" localSheetId="3">#REF!</definedName>
    <definedName name="LargeExtRep16.5VMware">#REF!</definedName>
    <definedName name="LargeExtRep16.8VMware" localSheetId="3">#REF!</definedName>
    <definedName name="LargeExtRep16.8VMware">#REF!</definedName>
    <definedName name="LargeExtRep17.2OpenStack" localSheetId="3">#REF!</definedName>
    <definedName name="LargeExtRep17.2OpenStack">#REF!</definedName>
    <definedName name="LargeExtRep17.2VMware" localSheetId="3">#REF!</definedName>
    <definedName name="LargeExtRep17.2VMware">#REF!</definedName>
    <definedName name="LargeExtRep17.8OpenStack" localSheetId="3">#REF!</definedName>
    <definedName name="LargeExtRep17.8OpenStack">#REF!</definedName>
    <definedName name="LargeExtRep17.8VMware" localSheetId="3">#REF!</definedName>
    <definedName name="LargeExtRep17.8VMware">#REF!</definedName>
    <definedName name="LargeExtRep18AOpenStack" localSheetId="3">#REF!</definedName>
    <definedName name="LargeExtRep18AOpenStack">#REF!</definedName>
    <definedName name="LargeExtRep18AVMware" localSheetId="3">#REF!</definedName>
    <definedName name="LargeExtRep18AVMware">#REF!</definedName>
    <definedName name="LargeExtRep18OpenStack" localSheetId="3">#REF!</definedName>
    <definedName name="LargeExtRep18OpenStack">#REF!</definedName>
    <definedName name="LargeExtRep18VMware" localSheetId="3">#REF!</definedName>
    <definedName name="LargeExtRep18VMware">#REF!</definedName>
    <definedName name="LargeExtRep19AOpenStack" localSheetId="3">#REF!</definedName>
    <definedName name="LargeExtRep19AOpenStack">#REF!</definedName>
    <definedName name="LargeExtRep19AVMware" localSheetId="3">#REF!</definedName>
    <definedName name="LargeExtRep19AVMware">#REF!</definedName>
    <definedName name="LargeExtRep19OpenStack" localSheetId="3">#REF!</definedName>
    <definedName name="LargeExtRep19OpenStack">#REF!</definedName>
    <definedName name="LargeExtRep19VMware" localSheetId="3">#REF!</definedName>
    <definedName name="LargeExtRep19VMware">#REF!</definedName>
    <definedName name="LargeExtRepOpenStack" localSheetId="3">'Cloud Configuration'!$AC$41</definedName>
    <definedName name="LargeExtRepOpenStack">#REF!</definedName>
    <definedName name="LargeExtRepVmware" localSheetId="3">'Cloud Configuration'!$AJ$41</definedName>
    <definedName name="LargeExtRepVmware">#REF!</definedName>
    <definedName name="LargeGlobal16.5VMware" localSheetId="3">#REF!</definedName>
    <definedName name="LargeGlobal16.5VMware">#REF!</definedName>
    <definedName name="LargeGlobal16.8VMware" localSheetId="3">#REF!</definedName>
    <definedName name="LargeGlobal16.8VMware">#REF!</definedName>
    <definedName name="LargeGlobal17.2OpenStack" localSheetId="3">#REF!</definedName>
    <definedName name="LargeGlobal17.2OpenStack">#REF!</definedName>
    <definedName name="LargeGlobal17.2VMware" localSheetId="3">#REF!</definedName>
    <definedName name="LargeGlobal17.2VMware">#REF!</definedName>
    <definedName name="LargeGlobal17.8OpenStack" localSheetId="3">#REF!</definedName>
    <definedName name="LargeGlobal17.8OpenStack">#REF!</definedName>
    <definedName name="LargeGlobal17.8VMware" localSheetId="3">#REF!</definedName>
    <definedName name="LargeGlobal17.8VMware">#REF!</definedName>
    <definedName name="LargeGlobal18AOpenStack" localSheetId="3">#REF!</definedName>
    <definedName name="LargeGlobal18AOpenStack">#REF!</definedName>
    <definedName name="LargeGlobal18AVMware" localSheetId="3">#REF!</definedName>
    <definedName name="LargeGlobal18AVMware">#REF!</definedName>
    <definedName name="LargeGlobal18OpenStack" localSheetId="3">#REF!</definedName>
    <definedName name="LargeGlobal18OpenStack">#REF!</definedName>
    <definedName name="LargeGlobal18VMware" localSheetId="3">#REF!</definedName>
    <definedName name="LargeGlobal18VMware">#REF!</definedName>
    <definedName name="LargeGlobal19AOpenStack" localSheetId="3">#REF!</definedName>
    <definedName name="LargeGlobal19AOpenStack">#REF!</definedName>
    <definedName name="LargeGlobal19AVMware" localSheetId="3">#REF!</definedName>
    <definedName name="LargeGlobal19AVMware">#REF!</definedName>
    <definedName name="LargeGlobal19OpenStack" localSheetId="3">#REF!</definedName>
    <definedName name="LargeGlobal19OpenStack">#REF!</definedName>
    <definedName name="LargeGlobal19VMware" localSheetId="3">#REF!</definedName>
    <definedName name="LargeGlobal19VMware">#REF!</definedName>
    <definedName name="LargeGlobalOpenStack" localSheetId="3">'Cloud Configuration'!$AC$38</definedName>
    <definedName name="LargeGlobalOpenStack">#REF!</definedName>
    <definedName name="LargeGlobalVmware" localSheetId="3">'Cloud Configuration'!$AJ$38</definedName>
    <definedName name="LargeGlobalVmware">#REF!</definedName>
    <definedName name="LargeISDKOpenStack" localSheetId="3">'Cloud Configuration'!$AC$47</definedName>
    <definedName name="LargeISDKOpenStack">#REF!</definedName>
    <definedName name="LargeISDKVmware" localSheetId="3">'Cloud Configuration'!$AJ$47</definedName>
    <definedName name="LargeISDKVmware">#REF!</definedName>
    <definedName name="LargeUsers" localSheetId="3">'Cloud Configuration'!$Y$38:$Y$41</definedName>
    <definedName name="LargeUsers">#REF!</definedName>
    <definedName name="MainstreamADMOpenStack" localSheetId="3">'Cloud Configuration'!$AB$44</definedName>
    <definedName name="MainstreamADMOpenStack">#REF!</definedName>
    <definedName name="MainstreamADMVmware" localSheetId="3">'Cloud Configuration'!$AI$44</definedName>
    <definedName name="MainstreamADMVmware">#REF!</definedName>
    <definedName name="MainstreamCustomer16.8VMware" localSheetId="3">#REF!</definedName>
    <definedName name="MainstreamCustomer16.8VMware">#REF!</definedName>
    <definedName name="MainstreamCustomer17.2OpenStack" localSheetId="3">#REF!</definedName>
    <definedName name="MainstreamCustomer17.2OpenStack">#REF!</definedName>
    <definedName name="MainstreamCustomer17.2VMware" localSheetId="3">#REF!</definedName>
    <definedName name="MainstreamCustomer17.2VMware">#REF!</definedName>
    <definedName name="MainstreamCustomer17.8OpenStack" localSheetId="3">#REF!</definedName>
    <definedName name="MainstreamCustomer17.8OpenStack">#REF!</definedName>
    <definedName name="MainstreamCustomer17.8VMware" localSheetId="3">#REF!</definedName>
    <definedName name="MainstreamCustomer17.8VMware">#REF!</definedName>
    <definedName name="MainstreamCustomer18AOpenStack" localSheetId="3">#REF!</definedName>
    <definedName name="MainstreamCustomer18AOpenStack">#REF!</definedName>
    <definedName name="MainstreamCustomer18AVMware" localSheetId="3">#REF!</definedName>
    <definedName name="MainstreamCustomer18AVMware">#REF!</definedName>
    <definedName name="MainstreamCustomer18OpenStack" localSheetId="3">#REF!</definedName>
    <definedName name="MainstreamCustomer18OpenStack">#REF!</definedName>
    <definedName name="MainstreamCustomer18VMware" localSheetId="3">#REF!</definedName>
    <definedName name="MainstreamCustomer18VMware">#REF!</definedName>
    <definedName name="MainstreamCustomer19AOpenStack" localSheetId="3">#REF!</definedName>
    <definedName name="MainstreamCustomer19AOpenStack">#REF!</definedName>
    <definedName name="MainstreamCustomer19AVMware" localSheetId="3">#REF!</definedName>
    <definedName name="MainstreamCustomer19AVMware">#REF!</definedName>
    <definedName name="MainstreamCustomer19OpenStack" localSheetId="3">#REF!</definedName>
    <definedName name="MainstreamCustomer19OpenStack">#REF!</definedName>
    <definedName name="MainstreamCustomer19VMware" localSheetId="3">#REF!</definedName>
    <definedName name="MainstreamCustomer19VMware">#REF!</definedName>
    <definedName name="MainstreamCustomerOpenStack" localSheetId="3">'Cloud Configuration'!$AB$50</definedName>
    <definedName name="MainstreamCustomerOpenStack">#REF!</definedName>
    <definedName name="MainstreamCustomerVmware" localSheetId="3">'Cloud Configuration'!$AI$50</definedName>
    <definedName name="MainstreamCustomerVmware">#REF!</definedName>
    <definedName name="MainstreamDatabase1350Arc" localSheetId="3">'Cloud Configuration'!$AB$26</definedName>
    <definedName name="MainstreamDatabase1350Arc">#REF!</definedName>
    <definedName name="MainstreamDatabase1350Backup" localSheetId="3">'Cloud Configuration'!$AB$32</definedName>
    <definedName name="MainstreamDatabase1350Backup">#REF!</definedName>
    <definedName name="MainstreamDatabase1350Redo" localSheetId="3">'Cloud Configuration'!$AB$20</definedName>
    <definedName name="MainstreamDatabase1350Redo">#REF!</definedName>
    <definedName name="MainstreamDatabase1350vCPU" localSheetId="3">'Cloud Configuration'!$AB$8</definedName>
    <definedName name="MainstreamDatabase1350vCPU">#REF!</definedName>
    <definedName name="MainstreamDatabase1350vRAM" localSheetId="3">'Cloud Configuration'!$AB$14</definedName>
    <definedName name="MainstreamDatabase1350vRAM">#REF!</definedName>
    <definedName name="MainstreamDatabase1382Arc" localSheetId="3">#REF!</definedName>
    <definedName name="MainstreamDatabase1382Arc">#REF!</definedName>
    <definedName name="MainstreamDatabase1382BackupOpenStack17.2" localSheetId="3">#REF!</definedName>
    <definedName name="MainstreamDatabase1382BackupOpenStack17.2">#REF!</definedName>
    <definedName name="MainstreamDatabase1382BackupOpenStack17.8" localSheetId="3">#REF!</definedName>
    <definedName name="MainstreamDatabase1382BackupOpenStack17.8">#REF!</definedName>
    <definedName name="MainstreamDatabase1382BackupOpenStack18" localSheetId="3">#REF!</definedName>
    <definedName name="MainstreamDatabase1382BackupOpenStack18">#REF!</definedName>
    <definedName name="MainstreamDatabase1382BackupOpenStack18A" localSheetId="3">#REF!</definedName>
    <definedName name="MainstreamDatabase1382BackupOpenStack18A">#REF!</definedName>
    <definedName name="MainstreamDatabase1382BackupOpenStack19" localSheetId="3">#REF!</definedName>
    <definedName name="MainstreamDatabase1382BackupOpenStack19">#REF!</definedName>
    <definedName name="MainstreamDatabase1382BackupOpenStack19A" localSheetId="3">#REF!</definedName>
    <definedName name="MainstreamDatabase1382BackupOpenStack19A">#REF!</definedName>
    <definedName name="MainstreamDatabase1382Redo" localSheetId="3">#REF!</definedName>
    <definedName name="MainstreamDatabase1382Redo">#REF!</definedName>
    <definedName name="MainstreamDatabase1382vRAM" localSheetId="3">#REF!</definedName>
    <definedName name="MainstreamDatabase1382vRAM">#REF!</definedName>
    <definedName name="MainstreamDatabase1500Arc" localSheetId="3">'Cloud Configuration'!$AI$26</definedName>
    <definedName name="MainstreamDatabase1500Arc">#REF!</definedName>
    <definedName name="MainstreamDatabase1500Backup" localSheetId="3">'Cloud Configuration'!$AI$32</definedName>
    <definedName name="MainstreamDatabase1500Backup">#REF!</definedName>
    <definedName name="MainstreamDatabase1500BackupVMware16.5" localSheetId="3">#REF!</definedName>
    <definedName name="MainstreamDatabase1500BackupVMware16.5">#REF!</definedName>
    <definedName name="MainstreamDatabase1500BackupVMware16.8" localSheetId="3">#REF!</definedName>
    <definedName name="MainstreamDatabase1500BackupVMware16.8">#REF!</definedName>
    <definedName name="MainstreamDatabase1500BackupVMware17.2" localSheetId="3">#REF!</definedName>
    <definedName name="MainstreamDatabase1500BackupVMware17.2">#REF!</definedName>
    <definedName name="MainstreamDatabase1500BackupVMware17.8" localSheetId="3">#REF!</definedName>
    <definedName name="MainstreamDatabase1500BackupVMware17.8">#REF!</definedName>
    <definedName name="MainstreamDatabase1500BackupVMware18" localSheetId="3">#REF!</definedName>
    <definedName name="MainstreamDatabase1500BackupVMware18">#REF!</definedName>
    <definedName name="MainstreamDatabase1500BackupVMware18A" localSheetId="3">#REF!</definedName>
    <definedName name="MainstreamDatabase1500BackupVMware18A">#REF!</definedName>
    <definedName name="MainstreamDatabase1500BackupVMware19" localSheetId="3">#REF!</definedName>
    <definedName name="MainstreamDatabase1500BackupVMware19">#REF!</definedName>
    <definedName name="MainstreamDatabase1500BackupVMware19A" localSheetId="3">#REF!</definedName>
    <definedName name="MainstreamDatabase1500BackupVMware19A">#REF!</definedName>
    <definedName name="MainstreamDatabase1500Redo" localSheetId="3">'Cloud Configuration'!$AI$20</definedName>
    <definedName name="MainstreamDatabase1500Redo">#REF!</definedName>
    <definedName name="MainstreamDatabase1500vCPU" localSheetId="3">'Cloud Configuration'!$AI$8</definedName>
    <definedName name="MainstreamDatabase1500vCPU">#REF!</definedName>
    <definedName name="MainstreamDatabase1500vRAM" localSheetId="3">'Cloud Configuration'!$AI$14</definedName>
    <definedName name="MainstreamDatabase1500vRAM">#REF!</definedName>
    <definedName name="MainstreamDatabase1855.79Arc" localSheetId="3">'Cloud Configuration'!$AB$29</definedName>
    <definedName name="MainstreamDatabase1855.79Arc">#REF!</definedName>
    <definedName name="MainstreamDatabase1855.79Backup" localSheetId="3">'Cloud Configuration'!$AB$35</definedName>
    <definedName name="MainstreamDatabase1855.79Backup">#REF!</definedName>
    <definedName name="MainstreamDatabase1855.79Redo" localSheetId="3">'Cloud Configuration'!$AB$23</definedName>
    <definedName name="MainstreamDatabase1855.79Redo">#REF!</definedName>
    <definedName name="MainstreamDatabase1855.79vCPU" localSheetId="3">'Cloud Configuration'!$AB$11</definedName>
    <definedName name="MainstreamDatabase1855.79vCPU">#REF!</definedName>
    <definedName name="MainstreamDatabase1855.79vRAM" localSheetId="3">'Cloud Configuration'!$AB$17</definedName>
    <definedName name="MainstreamDatabase1855.79vRAM">#REF!</definedName>
    <definedName name="MainstreamDatabase1900Arc" localSheetId="3">#REF!</definedName>
    <definedName name="MainstreamDatabase1900Arc">#REF!</definedName>
    <definedName name="MainstreamDatabase1900BackupOpenStack17.2" localSheetId="3">#REF!</definedName>
    <definedName name="MainstreamDatabase1900BackupOpenStack17.2">#REF!</definedName>
    <definedName name="MainstreamDatabase1900BackupOpenStack17.8" localSheetId="3">#REF!</definedName>
    <definedName name="MainstreamDatabase1900BackupOpenStack17.8">#REF!</definedName>
    <definedName name="MainstreamDatabase1900BackupOpenStack18" localSheetId="3">#REF!</definedName>
    <definedName name="MainstreamDatabase1900BackupOpenStack18">#REF!</definedName>
    <definedName name="MainstreamDatabase1900BackupOpenStack18A" localSheetId="3">#REF!</definedName>
    <definedName name="MainstreamDatabase1900BackupOpenStack18A">#REF!</definedName>
    <definedName name="MainstreamDatabase1900BackupOpenStack19" localSheetId="3">#REF!</definedName>
    <definedName name="MainstreamDatabase1900BackupOpenStack19">#REF!</definedName>
    <definedName name="MainstreamDatabase1900BackupOpenStack19A" localSheetId="3">#REF!</definedName>
    <definedName name="MainstreamDatabase1900BackupOpenStack19A">#REF!</definedName>
    <definedName name="MainstreamDatabase1900Redo" localSheetId="3">#REF!</definedName>
    <definedName name="MainstreamDatabase1900Redo">#REF!</definedName>
    <definedName name="MainstreamDatabase1900vRAM" localSheetId="3">#REF!</definedName>
    <definedName name="MainstreamDatabase1900vRAM">#REF!</definedName>
    <definedName name="MainstreamDatabase2062Arc" localSheetId="3">'Cloud Configuration'!$AI$29</definedName>
    <definedName name="MainstreamDatabase2062Arc">#REF!</definedName>
    <definedName name="MainstreamDatabase2062Backup" localSheetId="3">'Cloud Configuration'!$AI$35</definedName>
    <definedName name="MainstreamDatabase2062Backup">#REF!</definedName>
    <definedName name="MainstreamDatabase2062BackupVMware16.5" localSheetId="3">#REF!</definedName>
    <definedName name="MainstreamDatabase2062BackupVMware16.5">#REF!</definedName>
    <definedName name="MainstreamDatabase2062BackupVMware16.8" localSheetId="3">#REF!</definedName>
    <definedName name="MainstreamDatabase2062BackupVMware16.8">#REF!</definedName>
    <definedName name="MainstreamDatabase2062BackupVMware17.2" localSheetId="3">#REF!</definedName>
    <definedName name="MainstreamDatabase2062BackupVMware17.2">#REF!</definedName>
    <definedName name="MainstreamDatabase2062BackupVMware17.8" localSheetId="3">#REF!</definedName>
    <definedName name="MainstreamDatabase2062BackupVMware17.8">#REF!</definedName>
    <definedName name="MainstreamDatabase2062BackupVMware18" localSheetId="3">#REF!</definedName>
    <definedName name="MainstreamDatabase2062BackupVMware18">#REF!</definedName>
    <definedName name="MainstreamDatabase2062BackupVMware18A" localSheetId="3">#REF!</definedName>
    <definedName name="MainstreamDatabase2062BackupVMware18A">#REF!</definedName>
    <definedName name="MainstreamDatabase2062BackupVMware19" localSheetId="3">#REF!</definedName>
    <definedName name="MainstreamDatabase2062BackupVMware19">#REF!</definedName>
    <definedName name="MainstreamDatabase2062BackupVMware19A" localSheetId="3">#REF!</definedName>
    <definedName name="MainstreamDatabase2062BackupVMware19A">#REF!</definedName>
    <definedName name="MainstreamDatabase2062Redo" localSheetId="3">'Cloud Configuration'!$AI$23</definedName>
    <definedName name="MainstreamDatabase2062Redo">#REF!</definedName>
    <definedName name="MainstreamDatabase2062vCPU" localSheetId="3">'Cloud Configuration'!$AI$11</definedName>
    <definedName name="MainstreamDatabase2062vCPU">#REF!</definedName>
    <definedName name="MainstreamDatabase2062vRAM" localSheetId="3">'Cloud Configuration'!$AI$17</definedName>
    <definedName name="MainstreamDatabase2062vRAM">#REF!</definedName>
    <definedName name="MainstreamDatabaseOpenStack" localSheetId="3">'Cloud Configuration'!$AB$4:$AB$5</definedName>
    <definedName name="MainstreamDatabaseOpenStack">#REF!</definedName>
    <definedName name="MainstreamDatabaseVmware" localSheetId="3">'Cloud Configuration'!$AI$4:$AI$5</definedName>
    <definedName name="MainstreamDatabaseVMware">#REF!</definedName>
    <definedName name="MainstreamExtRep16.5VMware" localSheetId="3">#REF!</definedName>
    <definedName name="MainstreamExtRep16.5VMware">#REF!</definedName>
    <definedName name="MainstreamExtRep16.8VMware" localSheetId="3">#REF!</definedName>
    <definedName name="MainstreamExtRep16.8VMware">#REF!</definedName>
    <definedName name="MainstreamExtRep17.2OpenStack" localSheetId="3">#REF!</definedName>
    <definedName name="MainstreamExtRep17.2OpenStack">#REF!</definedName>
    <definedName name="MainstreamExtRep17.2VMware" localSheetId="3">#REF!</definedName>
    <definedName name="MainstreamExtRep17.2VMware">#REF!</definedName>
    <definedName name="MainstreamExtRep17.8OpenStack" localSheetId="3">#REF!</definedName>
    <definedName name="MainstreamExtRep17.8OpenStack">#REF!</definedName>
    <definedName name="MainstreamExtRep17.8VMware" localSheetId="3">#REF!</definedName>
    <definedName name="MainstreamExtRep17.8VMware">#REF!</definedName>
    <definedName name="MainstreamExtRep18AOpenStack" localSheetId="3">#REF!</definedName>
    <definedName name="MainstreamExtRep18AOpenStack">#REF!</definedName>
    <definedName name="MainstreamExtRep18AVMware" localSheetId="3">#REF!</definedName>
    <definedName name="MainstreamExtRep18AVMware">#REF!</definedName>
    <definedName name="MainstreamExtRep18OpenStack" localSheetId="3">#REF!</definedName>
    <definedName name="MainstreamExtRep18OpenStack">#REF!</definedName>
    <definedName name="MainstreamExtRep18VMware" localSheetId="3">#REF!</definedName>
    <definedName name="MainstreamExtRep18VMware">#REF!</definedName>
    <definedName name="MainstreamExtRep19AOpenStack" localSheetId="3">#REF!</definedName>
    <definedName name="MainstreamExtRep19AOpenStack">#REF!</definedName>
    <definedName name="MainstreamExtRep19AVMware" localSheetId="3">#REF!</definedName>
    <definedName name="MainstreamExtRep19AVMware">#REF!</definedName>
    <definedName name="MainstreamExtRep19OpenStack" localSheetId="3">#REF!</definedName>
    <definedName name="MainstreamExtRep19OpenStack">#REF!</definedName>
    <definedName name="MainstreamExtRep19VMware" localSheetId="3">#REF!</definedName>
    <definedName name="MainstreamExtRep19VMware">#REF!</definedName>
    <definedName name="MainstreamExtRepOpenStack" localSheetId="3">'Cloud Configuration'!$AB$41</definedName>
    <definedName name="MainstreamExtRepOpenStack">#REF!</definedName>
    <definedName name="MainstreamExtRepVmware" localSheetId="3">'Cloud Configuration'!$AI$41</definedName>
    <definedName name="MainstreamExtRepVmware">#REF!</definedName>
    <definedName name="MainstreamGlobal16.5VMware" localSheetId="3">#REF!</definedName>
    <definedName name="MainstreamGlobal16.5VMware">#REF!</definedName>
    <definedName name="MainstreamGlobal16.8VMware" localSheetId="3">#REF!</definedName>
    <definedName name="MainstreamGlobal16.8VMware">#REF!</definedName>
    <definedName name="MainstreamGlobal17.2OpenStack" localSheetId="3">#REF!</definedName>
    <definedName name="MainstreamGlobal17.2OpenStack">#REF!</definedName>
    <definedName name="MainstreamGlobal17.2VMware" localSheetId="3">#REF!</definedName>
    <definedName name="MainstreamGlobal17.2VMware">#REF!</definedName>
    <definedName name="MainstreamGlobal17.8OpenStack" localSheetId="3">#REF!</definedName>
    <definedName name="MainstreamGlobal17.8OpenStack">#REF!</definedName>
    <definedName name="MainstreamGlobal17.8VMware" localSheetId="3">#REF!</definedName>
    <definedName name="MainstreamGlobal17.8VMware">#REF!</definedName>
    <definedName name="MainstreamGlobal18AOpenStack" localSheetId="3">#REF!</definedName>
    <definedName name="MainstreamGlobal18AOpenStack">#REF!</definedName>
    <definedName name="MainstreamGlobal18AVMware" localSheetId="3">#REF!</definedName>
    <definedName name="MainstreamGlobal18AVMware">#REF!</definedName>
    <definedName name="MainstreamGlobal18OpenStack" localSheetId="3">#REF!</definedName>
    <definedName name="MainstreamGlobal18OpenStack">#REF!</definedName>
    <definedName name="MainstreamGlobal18VMware" localSheetId="3">#REF!</definedName>
    <definedName name="MainstreamGlobal18VMware">#REF!</definedName>
    <definedName name="MainstreamGlobal19AVMware" localSheetId="3">#REF!</definedName>
    <definedName name="MainstreamGlobal19AVMware">#REF!</definedName>
    <definedName name="MainstreamGlobal19OpenStack" localSheetId="3">#REF!</definedName>
    <definedName name="MainstreamGlobal19OpenStack">#REF!</definedName>
    <definedName name="MainstreamGlobal19VMware" localSheetId="3">#REF!</definedName>
    <definedName name="MainstreamGlobal19VMware">#REF!</definedName>
    <definedName name="MainstreamGlobalOpenStack" localSheetId="3">'Cloud Configuration'!$AB$38</definedName>
    <definedName name="MainstreamGlobalOpenStack">#REF!</definedName>
    <definedName name="MainstreamGlobalVmware" localSheetId="3">'Cloud Configuration'!$AI$38</definedName>
    <definedName name="MainstreamGlobalVmware">#REF!</definedName>
    <definedName name="MainstreamISDKOpenStack" localSheetId="3">'Cloud Configuration'!$AB$47</definedName>
    <definedName name="MainstreamISDKOpenStack">#REF!</definedName>
    <definedName name="MainstreamISDKVmware" localSheetId="3">'Cloud Configuration'!$AI$47</definedName>
    <definedName name="MainstreamISDKVmware">#REF!</definedName>
    <definedName name="MainstreamUsers" localSheetId="3">'Cloud Configuration'!$Y$28:$Y$30</definedName>
    <definedName name="MainstreamUsers">#REF!</definedName>
    <definedName name="OpenStack" localSheetId="3">'Cloud Configuration'!$Y$11:$Y$15</definedName>
    <definedName name="OpenStack">#REF!</definedName>
    <definedName name="Release16.5" localSheetId="3">#REF!</definedName>
    <definedName name="Release16.5">#REF!</definedName>
    <definedName name="Release16.8" localSheetId="3">#REF!</definedName>
    <definedName name="Release16.8">#REF!</definedName>
    <definedName name="Release17.2" localSheetId="3">#REF!</definedName>
    <definedName name="Release17.2">#REF!</definedName>
    <definedName name="Release17.8" localSheetId="3">#REF!</definedName>
    <definedName name="Release17.8">#REF!</definedName>
    <definedName name="Release18" localSheetId="3">#REF!</definedName>
    <definedName name="Release18">#REF!</definedName>
    <definedName name="Release18A" localSheetId="3">#REF!</definedName>
    <definedName name="Release18A">#REF!</definedName>
    <definedName name="Release19" localSheetId="3">#REF!</definedName>
    <definedName name="Release19">#REF!</definedName>
    <definedName name="Release19A" localSheetId="3">#REF!</definedName>
    <definedName name="Release19A">#REF!</definedName>
    <definedName name="SmallADMOpenStack" localSheetId="3">'Cloud Configuration'!$AA$44</definedName>
    <definedName name="SmallADMOpenStack">#REF!</definedName>
    <definedName name="SmallADMVmware" localSheetId="3">'Cloud Configuration'!$AH$44</definedName>
    <definedName name="SmallADMVmware">#REF!</definedName>
    <definedName name="SmallCustomer16.5VMware" localSheetId="3">#REF!</definedName>
    <definedName name="SmallCustomer16.5VMware">#REF!</definedName>
    <definedName name="SmallCustomer16.8VMware" localSheetId="3">#REF!</definedName>
    <definedName name="SmallCustomer16.8VMware">#REF!</definedName>
    <definedName name="SmallCustomer17.2OpenStack" localSheetId="3">#REF!</definedName>
    <definedName name="SmallCustomer17.2OpenStack">#REF!</definedName>
    <definedName name="SmallCustomer17.2VMware" localSheetId="3">#REF!</definedName>
    <definedName name="SmallCustomer17.2VMware">#REF!</definedName>
    <definedName name="SmallCustomer17.8OpenStack" localSheetId="3">#REF!</definedName>
    <definedName name="SmallCustomer17.8OpenStack">#REF!</definedName>
    <definedName name="SmallCustomer17.8VMware" localSheetId="3">#REF!</definedName>
    <definedName name="SmallCustomer17.8VMware">#REF!</definedName>
    <definedName name="SmallCustomer18AOpenStack" localSheetId="3">#REF!</definedName>
    <definedName name="SmallCustomer18AOpenStack">#REF!</definedName>
    <definedName name="SmallCustomer18AVMware" localSheetId="3">#REF!</definedName>
    <definedName name="SmallCustomer18AVMware">#REF!</definedName>
    <definedName name="SmallCustomer18OpenStack" localSheetId="3">#REF!</definedName>
    <definedName name="SmallCustomer18OpenStack">#REF!</definedName>
    <definedName name="SmallCustomer18VMware" localSheetId="3">#REF!</definedName>
    <definedName name="SmallCustomer18VMware">#REF!</definedName>
    <definedName name="SmallCustomer19AOpenStack" localSheetId="3">#REF!</definedName>
    <definedName name="SmallCustomer19AOpenStack">#REF!</definedName>
    <definedName name="SmallCustomer19AVMware" localSheetId="3">#REF!</definedName>
    <definedName name="SmallCustomer19AVMware">#REF!</definedName>
    <definedName name="SmallCustomer19OpenStack" localSheetId="3">#REF!</definedName>
    <definedName name="SmallCustomer19OpenStack">#REF!</definedName>
    <definedName name="SmallCustomer19VMware" localSheetId="3">#REF!</definedName>
    <definedName name="SmallCustomer19VMware">#REF!</definedName>
    <definedName name="SmallCustomerOpenStack" localSheetId="3">'Cloud Configuration'!$AA$50</definedName>
    <definedName name="SmallCustomerOpenStack">#REF!</definedName>
    <definedName name="SmallCustomerVmware" localSheetId="3">'Cloud Configuration'!$AH$50</definedName>
    <definedName name="SmallCustomerVmware">#REF!</definedName>
    <definedName name="SmallDatabase1100Arc" localSheetId="3">#REF!</definedName>
    <definedName name="SmallDatabase1100Arc">#REF!</definedName>
    <definedName name="SmallDatabase1100BackupOpenStack17.2" localSheetId="3">#REF!</definedName>
    <definedName name="SmallDatabase1100BackupOpenStack17.2">#REF!</definedName>
    <definedName name="SmallDatabase1100BackupOpenStack17.8" localSheetId="3">#REF!</definedName>
    <definedName name="SmallDatabase1100BackupOpenStack17.8">#REF!</definedName>
    <definedName name="SmallDatabase1100BackupOpenStack18" localSheetId="3">#REF!</definedName>
    <definedName name="SmallDatabase1100BackupOpenStack18">#REF!</definedName>
    <definedName name="SmallDatabase1100BackupOpenStack18A" localSheetId="3">#REF!</definedName>
    <definedName name="SmallDatabase1100BackupOpenStack18A">#REF!</definedName>
    <definedName name="SmallDatabase1100BackupOpenStack19" localSheetId="3">#REF!</definedName>
    <definedName name="SmallDatabase1100BackupOpenStack19">#REF!</definedName>
    <definedName name="SmallDatabase1100BackupOpenStack19A" localSheetId="3">#REF!</definedName>
    <definedName name="SmallDatabase1100BackupOpenStack19A">#REF!</definedName>
    <definedName name="SmallDatabase1100Redo" localSheetId="3">#REF!</definedName>
    <definedName name="SmallDatabase1100Redo">#REF!</definedName>
    <definedName name="SmallDatabase1100vRAM" localSheetId="3">#REF!</definedName>
    <definedName name="SmallDatabase1100vRAM">#REF!</definedName>
    <definedName name="SmallDatabase1194Arc" localSheetId="3">#REF!</definedName>
    <definedName name="SmallDatabase1194Arc">#REF!</definedName>
    <definedName name="SmallDatabase1194BackupVMware16.5" localSheetId="3">#REF!</definedName>
    <definedName name="SmallDatabase1194BackupVMware16.5">#REF!</definedName>
    <definedName name="SmallDatabase1194BackupVMware16.8" localSheetId="3">#REF!</definedName>
    <definedName name="SmallDatabase1194BackupVMware16.8">#REF!</definedName>
    <definedName name="SmallDatabase1194BackupVMware17.2" localSheetId="3">#REF!</definedName>
    <definedName name="SmallDatabase1194BackupVMware17.2">#REF!</definedName>
    <definedName name="SmallDatabase1194BackupVMware17.8" localSheetId="3">#REF!</definedName>
    <definedName name="SmallDatabase1194BackupVMware17.8">#REF!</definedName>
    <definedName name="SmallDatabase1194BackupVMware18" localSheetId="3">#REF!</definedName>
    <definedName name="SmallDatabase1194BackupVMware18">#REF!</definedName>
    <definedName name="SmallDatabase1194BackupVMware18A" localSheetId="3">#REF!</definedName>
    <definedName name="SmallDatabase1194BackupVMware18A">#REF!</definedName>
    <definedName name="SmallDatabase1194BackupVMware19" localSheetId="3">#REF!</definedName>
    <definedName name="SmallDatabase1194BackupVMware19">#REF!</definedName>
    <definedName name="SmallDatabase1194BackupVMware19A" localSheetId="3">#REF!</definedName>
    <definedName name="SmallDatabase1194BackupVMware19A">#REF!</definedName>
    <definedName name="SmallDatabase1194Redo" localSheetId="3">#REF!</definedName>
    <definedName name="SmallDatabase1194Redo">#REF!</definedName>
    <definedName name="SmallDatabase1194vRAM" localSheetId="3">#REF!</definedName>
    <definedName name="SmallDatabase1194vRAM">#REF!</definedName>
    <definedName name="SmallDatabase2115Arc" localSheetId="3">'Cloud Configuration'!$AA$29</definedName>
    <definedName name="SmallDatabase2115Arc">#REF!</definedName>
    <definedName name="SmallDatabase2115Backup" localSheetId="3">'Cloud Configuration'!$AA$35</definedName>
    <definedName name="SmallDatabase2115Backup">#REF!</definedName>
    <definedName name="SmallDatabase2115Redo" localSheetId="3">'Cloud Configuration'!$AA$23</definedName>
    <definedName name="SmallDatabase2115Redo">#REF!</definedName>
    <definedName name="SmallDatabase2115vCPU" localSheetId="3">'Cloud Configuration'!$AA$11</definedName>
    <definedName name="SmallDatabase2115vCPU">#REF!</definedName>
    <definedName name="SmallDatabase2115vRAM" localSheetId="3">'Cloud Configuration'!$AA$17</definedName>
    <definedName name="SmallDatabase2115vRAM">#REF!</definedName>
    <definedName name="SmallDatabase2350Arc" localSheetId="3">'Cloud Configuration'!$AH$29</definedName>
    <definedName name="SmallDatabase2350Arc">#REF!</definedName>
    <definedName name="SmallDatabase2350Backup" localSheetId="3">'Cloud Configuration'!$AH$35</definedName>
    <definedName name="SmallDatabase2350Backup">#REF!</definedName>
    <definedName name="SmallDatabase2350Redo" localSheetId="3">'Cloud Configuration'!$AH$23</definedName>
    <definedName name="SmallDatabase2350Redo">#REF!</definedName>
    <definedName name="SmallDatabase2350vCPU" localSheetId="3">'Cloud Configuration'!$AH$11</definedName>
    <definedName name="SmallDatabase2350vCPU">#REF!</definedName>
    <definedName name="SmallDatabase2350vRAM" localSheetId="3">'Cloud Configuration'!$AH$17</definedName>
    <definedName name="SmallDatabase2350vRAM">#REF!</definedName>
    <definedName name="SmallDatabase675Arc" localSheetId="3">'Cloud Configuration'!$AA$26</definedName>
    <definedName name="SmallDatabase675Arc">#REF!</definedName>
    <definedName name="SmallDatabase675Backup" localSheetId="3">'Cloud Configuration'!$AA$32</definedName>
    <definedName name="SmallDatabase675Backup">#REF!</definedName>
    <definedName name="SmallDatabase675Redo" localSheetId="3">'Cloud Configuration'!$AA$20</definedName>
    <definedName name="SmallDatabase675Redo">#REF!</definedName>
    <definedName name="SmallDatabase675vCPU" localSheetId="3">'Cloud Configuration'!$AA$8</definedName>
    <definedName name="SmallDatabase675vCPU">#REF!</definedName>
    <definedName name="SmallDatabase675vRAM" localSheetId="3">'Cloud Configuration'!$AA$14</definedName>
    <definedName name="SmallDatabase675vRAM">#REF!</definedName>
    <definedName name="SmallDatabase691Arc" localSheetId="3">#REF!</definedName>
    <definedName name="SmallDatabase691Arc">#REF!</definedName>
    <definedName name="SmallDatabase691BackupOpenStack17.2" localSheetId="3">#REF!</definedName>
    <definedName name="SmallDatabase691BackupOpenStack17.2">#REF!</definedName>
    <definedName name="SmallDatabase691BackupOpenStack17.8" localSheetId="3">#REF!</definedName>
    <definedName name="SmallDatabase691BackupOpenStack17.8">#REF!</definedName>
    <definedName name="SmallDatabase691BackupOpenStack18" localSheetId="3">#REF!</definedName>
    <definedName name="SmallDatabase691BackupOpenStack18">#REF!</definedName>
    <definedName name="SmallDatabase691BackupOpenStack18A" localSheetId="3">#REF!</definedName>
    <definedName name="SmallDatabase691BackupOpenStack18A">#REF!</definedName>
    <definedName name="SmallDatabase691BackupOpenStack19" localSheetId="3">#REF!</definedName>
    <definedName name="SmallDatabase691BackupOpenStack19">#REF!</definedName>
    <definedName name="SmallDatabase691BackupOpenStack19A" localSheetId="3">#REF!</definedName>
    <definedName name="SmallDatabase691BackupOpenStack19A">#REF!</definedName>
    <definedName name="SmallDatabase691Redo" localSheetId="3">#REF!</definedName>
    <definedName name="SmallDatabase691Redo">#REF!</definedName>
    <definedName name="SmallDatabase691vRAM" localSheetId="3">#REF!</definedName>
    <definedName name="SmallDatabase691vRAM">#REF!</definedName>
    <definedName name="SmallDatabase750Arc" localSheetId="3">'Cloud Configuration'!$AH$26</definedName>
    <definedName name="SmallDatabase750Arc">#REF!</definedName>
    <definedName name="SmallDatabase750Backup" localSheetId="3">'Cloud Configuration'!$AH$32</definedName>
    <definedName name="SmallDatabase750Backup">#REF!</definedName>
    <definedName name="SmallDatabase750BackupVMware16.5" localSheetId="3">#REF!</definedName>
    <definedName name="SmallDatabase750BackupVMware16.5">#REF!</definedName>
    <definedName name="SmallDatabase750BackupVMware16.8" localSheetId="3">#REF!</definedName>
    <definedName name="SmallDatabase750BackupVMware16.8">#REF!</definedName>
    <definedName name="SmallDatabase750BackupVMware17.2" localSheetId="3">#REF!</definedName>
    <definedName name="SmallDatabase750BackupVMware17.2">#REF!</definedName>
    <definedName name="SmallDatabase750BackupVMware17.8" localSheetId="3">#REF!</definedName>
    <definedName name="SmallDatabase750BackupVMware17.8">#REF!</definedName>
    <definedName name="SmallDatabase750BackupVMware18" localSheetId="3">#REF!</definedName>
    <definedName name="SmallDatabase750BackupVMware18">#REF!</definedName>
    <definedName name="SmallDatabase750BackupVMware18A" localSheetId="3">#REF!</definedName>
    <definedName name="SmallDatabase750BackupVMware18A">#REF!</definedName>
    <definedName name="SmallDatabase750BackupVMware19" localSheetId="3">#REF!</definedName>
    <definedName name="SmallDatabase750BackupVMware19">#REF!</definedName>
    <definedName name="SmallDatabase750BackupVMware19A" localSheetId="3">#REF!</definedName>
    <definedName name="SmallDatabase750BackupVMware19A">#REF!</definedName>
    <definedName name="SmallDatabase750Redo" localSheetId="3">'Cloud Configuration'!$AH$20</definedName>
    <definedName name="SmallDatabase750Redo">#REF!</definedName>
    <definedName name="SmallDatabase750vCPU" localSheetId="3">'Cloud Configuration'!$AH$8</definedName>
    <definedName name="SmallDatabase750vCPU">#REF!</definedName>
    <definedName name="SmallDatabase750vRAM" localSheetId="3">'Cloud Configuration'!$AH$14</definedName>
    <definedName name="SmallDatabase750vRAM">#REF!</definedName>
    <definedName name="SmallDatabaseOpenStack" localSheetId="3">'Cloud Configuration'!$AA$4:$AA$5</definedName>
    <definedName name="SmallDatabaseOpenStack">#REF!</definedName>
    <definedName name="SmallDatabaseVmware" localSheetId="3">'Cloud Configuration'!$AH$4:$AH$5</definedName>
    <definedName name="SmallDatabaseVMware">#REF!</definedName>
    <definedName name="SmallExtRep16.5VMware" localSheetId="3">#REF!</definedName>
    <definedName name="SmallExtRep16.5VMware">#REF!</definedName>
    <definedName name="SmallExtRep16.8VMware" localSheetId="3">#REF!</definedName>
    <definedName name="SmallExtRep16.8VMware">#REF!</definedName>
    <definedName name="SmallExtRep17.2OpenStack" localSheetId="3">#REF!</definedName>
    <definedName name="SmallExtRep17.2OpenStack">#REF!</definedName>
    <definedName name="SmallExtRep17.2VMware" localSheetId="3">#REF!</definedName>
    <definedName name="SmallExtRep17.2VMware">#REF!</definedName>
    <definedName name="SmallExtRep17.8OpenStack" localSheetId="3">#REF!</definedName>
    <definedName name="SmallExtRep17.8OpenStack">#REF!</definedName>
    <definedName name="SmallExtRep17.8VMware" localSheetId="3">#REF!</definedName>
    <definedName name="SmallExtRep17.8VMware">#REF!</definedName>
    <definedName name="SmallExtRep18AOpenStack" localSheetId="3">#REF!</definedName>
    <definedName name="SmallExtRep18AOpenStack">#REF!</definedName>
    <definedName name="SmallExtRep18AVMware" localSheetId="3">#REF!</definedName>
    <definedName name="SmallExtRep18AVMware">#REF!</definedName>
    <definedName name="SmallExtRep18OpenStack" localSheetId="3">#REF!</definedName>
    <definedName name="SmallExtRep18OpenStack">#REF!</definedName>
    <definedName name="SmallExtRep18VMware" localSheetId="3">#REF!</definedName>
    <definedName name="SmallExtRep18VMware">#REF!</definedName>
    <definedName name="SmallExtRep19AOpenStack" localSheetId="3">#REF!</definedName>
    <definedName name="SmallExtRep19AOpenStack">#REF!</definedName>
    <definedName name="SmallExtRep19AVMware" localSheetId="3">#REF!</definedName>
    <definedName name="SmallExtRep19AVMware">#REF!</definedName>
    <definedName name="SmallExtRep19OpenStack" localSheetId="3">#REF!</definedName>
    <definedName name="SmallExtRep19OpenStack">#REF!</definedName>
    <definedName name="SmallExtRep19VMware" localSheetId="3">#REF!</definedName>
    <definedName name="SmallExtRep19VMware">#REF!</definedName>
    <definedName name="SmallExtRepOpenStack" localSheetId="3">'Cloud Configuration'!$AA$41</definedName>
    <definedName name="SmallExtRepOpenStack">#REF!</definedName>
    <definedName name="SmallExtRepVmware" localSheetId="3">'Cloud Configuration'!$AH$41</definedName>
    <definedName name="SmallExtRepVmware">#REF!</definedName>
    <definedName name="SmallGlobal16.5VMware" localSheetId="3">#REF!</definedName>
    <definedName name="SmallGlobal16.5VMware">#REF!</definedName>
    <definedName name="SmallGlobal16.8VMware" localSheetId="3">#REF!</definedName>
    <definedName name="SmallGlobal16.8VMware">#REF!</definedName>
    <definedName name="SmallGlobal17.2OpenStack" localSheetId="3">#REF!</definedName>
    <definedName name="SmallGlobal17.2OpenStack">#REF!</definedName>
    <definedName name="SmallGlobal17.2VMware" localSheetId="3">#REF!</definedName>
    <definedName name="SmallGlobal17.2VMware">#REF!</definedName>
    <definedName name="SmallGlobal17.8OpenStack" localSheetId="3">#REF!</definedName>
    <definedName name="SmallGlobal17.8OpenStack">#REF!</definedName>
    <definedName name="SmallGlobal17.8VMware" localSheetId="3">#REF!</definedName>
    <definedName name="SmallGlobal17.8VMware">#REF!</definedName>
    <definedName name="SmallGlobal18AOpenStack" localSheetId="3">#REF!</definedName>
    <definedName name="SmallGlobal18AOpenStack">#REF!</definedName>
    <definedName name="SmallGlobal18AVMware" localSheetId="3">#REF!</definedName>
    <definedName name="SmallGlobal18AVMware">#REF!</definedName>
    <definedName name="SmallGlobal18OpenStack" localSheetId="3">#REF!</definedName>
    <definedName name="SmallGlobal18OpenStack">#REF!</definedName>
    <definedName name="SmallGlobal18VMware" localSheetId="3">#REF!</definedName>
    <definedName name="SmallGlobal18VMware">#REF!</definedName>
    <definedName name="SmallGlobal19AOpenStack" localSheetId="3">#REF!</definedName>
    <definedName name="SmallGlobal19AOpenStack">#REF!</definedName>
    <definedName name="SmallGlobal19AVMware" localSheetId="3">#REF!</definedName>
    <definedName name="SmallGlobal19AVMware">#REF!</definedName>
    <definedName name="SmallGlobal19OpenStack" localSheetId="3">#REF!</definedName>
    <definedName name="SmallGlobal19OpenStack">#REF!</definedName>
    <definedName name="SmallGlobal19VMware" localSheetId="3">#REF!</definedName>
    <definedName name="SmallGlobal19VMware">#REF!</definedName>
    <definedName name="SmallGlobalOpenStack" localSheetId="3">'Cloud Configuration'!$AA$38</definedName>
    <definedName name="SmallGlobalOpenStack">#REF!</definedName>
    <definedName name="SmallGlobalVmware" localSheetId="3">'Cloud Configuration'!$AH$38</definedName>
    <definedName name="SmallGlobalVmware">#REF!</definedName>
    <definedName name="SmallISDKOpenStack" localSheetId="3">'Cloud Configuration'!$AA$47</definedName>
    <definedName name="SmallISDKOpenStack">#REF!</definedName>
    <definedName name="SmallISDKVmware" localSheetId="3">'Cloud Configuration'!$AH$47</definedName>
    <definedName name="SmallISDKVmware">#REF!</definedName>
    <definedName name="SmallUsers" localSheetId="3">'Cloud Configuration'!$Y$20:$Y$21</definedName>
    <definedName name="SmallUsers">#REF!</definedName>
    <definedName name="Version">2</definedName>
    <definedName name="Vmware" localSheetId="3">'Cloud Configuration'!$Y$4:$Y$7</definedName>
    <definedName name="Vmware">#REF!</definedName>
    <definedName name="VMWareConfigurationType" localSheetId="3">'Cloud Configuration'!$Y$4:$Y$7</definedName>
    <definedName name="VMWareConfigurationType">#REF!</definedName>
    <definedName name="XXLADMOpenStack" localSheetId="3">'Cloud Configuration'!$AD$44</definedName>
    <definedName name="XXLADMOpenStack">#REF!</definedName>
    <definedName name="XXLADMVmware" localSheetId="3">'Cloud Configuration'!$AK$44</definedName>
    <definedName name="XXLADMVmware">#REF!</definedName>
    <definedName name="XXLCustomer18AOpenStack" localSheetId="3">#REF!</definedName>
    <definedName name="XXLCustomer18AOpenStack">#REF!</definedName>
    <definedName name="XXLCustomer18AVMware" localSheetId="3">#REF!</definedName>
    <definedName name="XXLCustomer18AVMware">#REF!</definedName>
    <definedName name="XXLCustomer18OpenStack" localSheetId="3">#REF!</definedName>
    <definedName name="XXLCustomer18OpenStack">#REF!</definedName>
    <definedName name="XXLCustomer18VMware" localSheetId="3">#REF!</definedName>
    <definedName name="XXLCustomer18VMware">#REF!</definedName>
    <definedName name="XXLCustomer19AOpenStack" localSheetId="3">#REF!</definedName>
    <definedName name="XXLCustomer19AOpenStack">#REF!</definedName>
    <definedName name="XXLCustomer19AVMware" localSheetId="3">#REF!</definedName>
    <definedName name="XXLCustomer19AVMware">#REF!</definedName>
    <definedName name="XXLCustomer19OpenStack" localSheetId="3">#REF!</definedName>
    <definedName name="XXLCustomer19OpenStack">#REF!</definedName>
    <definedName name="XXLCustomer19VMware" localSheetId="3">#REF!</definedName>
    <definedName name="XXLCustomer19VMware">#REF!</definedName>
    <definedName name="XXLCustomerOpenStack" localSheetId="3">'Cloud Configuration'!$AD$50</definedName>
    <definedName name="XXLCustomerOpenStack">#REF!</definedName>
    <definedName name="XXLCustomerVmware" localSheetId="3">'Cloud Configuration'!$AK$50</definedName>
    <definedName name="XXLCustomerVmware">#REF!</definedName>
    <definedName name="XXLDatabase8100Arc" localSheetId="3">'Cloud Configuration'!$AD$26</definedName>
    <definedName name="XXLDatabase8100Arc">#REF!</definedName>
    <definedName name="XXLDatabase8100Backup" localSheetId="3">'Cloud Configuration'!$AD$32</definedName>
    <definedName name="XXLDatabase8100Backup">#REF!</definedName>
    <definedName name="XXLDatabase8100Redo" localSheetId="3">'Cloud Configuration'!$AD$20</definedName>
    <definedName name="XXLDatabase8100Redo">#REF!</definedName>
    <definedName name="XXLDatabase8100vCPU" localSheetId="3">'Cloud Configuration'!$AD$8</definedName>
    <definedName name="XXLDatabase8100vCPU">#REF!</definedName>
    <definedName name="XXLDatabase8100vRAM" localSheetId="3">'Cloud Configuration'!$AD$14</definedName>
    <definedName name="XXLDatabase8100vRAM">#REF!</definedName>
    <definedName name="XXLDatabase8294Arc" localSheetId="3">#REF!</definedName>
    <definedName name="XXLDatabase8294Arc">#REF!</definedName>
    <definedName name="XXLDatabase8294BackupOpenStack18" localSheetId="3">#REF!</definedName>
    <definedName name="XXLDatabase8294BackupOpenStack18">#REF!</definedName>
    <definedName name="XXLDatabase8294BackupOpenStack18A" localSheetId="3">#REF!</definedName>
    <definedName name="XXLDatabase8294BackupOpenStack18A">#REF!</definedName>
    <definedName name="XXLDatabase8294BackupOpenStack19" localSheetId="3">#REF!</definedName>
    <definedName name="XXLDatabase8294BackupOpenStack19">#REF!</definedName>
    <definedName name="XXLDatabase8294BackupOpenStack19A" localSheetId="3">#REF!</definedName>
    <definedName name="XXLDatabase8294BackupOpenStack19A">#REF!</definedName>
    <definedName name="XXLDatabase8294Redo" localSheetId="3">#REF!</definedName>
    <definedName name="XXLDatabase8294Redo">#REF!</definedName>
    <definedName name="XXLDatabase8294vRAM" localSheetId="3">#REF!</definedName>
    <definedName name="XXLDatabase8294vRAM">#REF!</definedName>
    <definedName name="XXLDatabase9000Arc" localSheetId="3">'Cloud Configuration'!$AK$26</definedName>
    <definedName name="XXLDatabase9000Arc">#REF!</definedName>
    <definedName name="XXLDatabase9000Backup" localSheetId="3">'Cloud Configuration'!$AK$32</definedName>
    <definedName name="XXLDatabase9000Backup">#REF!</definedName>
    <definedName name="XXLDatabase9000BackupVMware18" localSheetId="3">#REF!</definedName>
    <definedName name="XXLDatabase9000BackupVMware18">#REF!</definedName>
    <definedName name="XXLDatabase9000BackupVMware18A" localSheetId="3">#REF!</definedName>
    <definedName name="XXLDatabase9000BackupVMware18A">#REF!</definedName>
    <definedName name="XXLDatabase9000BackupVMware19" localSheetId="3">#REF!</definedName>
    <definedName name="XXLDatabase9000BackupVMware19">#REF!</definedName>
    <definedName name="XXLDatabase9000BackupVMware19A" localSheetId="3">#REF!</definedName>
    <definedName name="XXLDatabase9000BackupVMware19A">#REF!</definedName>
    <definedName name="XXLDatabase9000Redo" localSheetId="3">'Cloud Configuration'!$AK$20</definedName>
    <definedName name="XXLDatabase9000Redo">#REF!</definedName>
    <definedName name="XXLDatabase9000vCPU" localSheetId="3">'Cloud Configuration'!$AK$8</definedName>
    <definedName name="XXLDatabase9000vCPU">#REF!</definedName>
    <definedName name="XXLDatabase9000vRAM" localSheetId="3">'Cloud Configuration'!$AK$14</definedName>
    <definedName name="XXLDatabase9000vRAM">#REF!</definedName>
    <definedName name="XXLDatabaseOpenStack" localSheetId="3">'Cloud Configuration'!$AD$4</definedName>
    <definedName name="XXLDatabaseOpenStack">#REF!</definedName>
    <definedName name="XXLDatabaseVmware" localSheetId="3">'Cloud Configuration'!$AK$4</definedName>
    <definedName name="XXLDatabaseVMware">#REF!</definedName>
    <definedName name="XXLExtRep18AOpenStack" localSheetId="3">#REF!</definedName>
    <definedName name="XXLExtRep18AOpenStack">#REF!</definedName>
    <definedName name="XXLExtRep18AVMware" localSheetId="3">#REF!</definedName>
    <definedName name="XXLExtRep18AVMware">#REF!</definedName>
    <definedName name="XXLExtRep18OpenStack" localSheetId="3">#REF!</definedName>
    <definedName name="XXLExtRep18OpenStack">#REF!</definedName>
    <definedName name="XXLExtRep18VMware" localSheetId="3">#REF!</definedName>
    <definedName name="XXLExtRep18VMware">#REF!</definedName>
    <definedName name="XXLExtRep19AOpenStack" localSheetId="3">#REF!</definedName>
    <definedName name="XXLExtRep19AOpenStack">#REF!</definedName>
    <definedName name="XXLExtRep19AVMware" localSheetId="3">#REF!</definedName>
    <definedName name="XXLExtRep19AVMware">#REF!</definedName>
    <definedName name="XXLExtRep19OpenStack" localSheetId="3">#REF!</definedName>
    <definedName name="XXLExtRep19OpenStack">#REF!</definedName>
    <definedName name="XXLExtRep19VMware" localSheetId="3">#REF!</definedName>
    <definedName name="XXLExtRep19VMware">#REF!</definedName>
    <definedName name="XXLExtRepOpenStack" localSheetId="3">'Cloud Configuration'!$AD$41</definedName>
    <definedName name="XXLExtRepOpenStack">#REF!</definedName>
    <definedName name="XXLExtRepVmware" localSheetId="3">'Cloud Configuration'!$AK$41</definedName>
    <definedName name="XXLExtRepVmware">#REF!</definedName>
    <definedName name="XXLGlobal18AOpenStack" localSheetId="3">#REF!</definedName>
    <definedName name="XXLGlobal18AOpenStack">#REF!</definedName>
    <definedName name="XXLGlobal18AVMware" localSheetId="3">#REF!</definedName>
    <definedName name="XXLGlobal18AVMware">#REF!</definedName>
    <definedName name="XXLGlobal18OpenStack" localSheetId="3">#REF!</definedName>
    <definedName name="XXLGlobal18OpenStack">#REF!</definedName>
    <definedName name="XXLGlobal18VMware" localSheetId="3">#REF!</definedName>
    <definedName name="XXLGlobal18VMware">#REF!</definedName>
    <definedName name="XXLGlobal19AOpenStack" localSheetId="3">#REF!</definedName>
    <definedName name="XXLGlobal19AOpenStack">#REF!</definedName>
    <definedName name="XXLGlobal19AVMware" localSheetId="3">#REF!</definedName>
    <definedName name="XXLGlobal19AVMware">#REF!</definedName>
    <definedName name="XXLGlobal19OpenStack" localSheetId="3">#REF!</definedName>
    <definedName name="XXLGlobal19OpenStack">#REF!</definedName>
    <definedName name="XXLGlobal19VMware" localSheetId="3">#REF!</definedName>
    <definedName name="XXLGlobal19VMware">#REF!</definedName>
    <definedName name="XXLGlobalOpenStack" localSheetId="3">'Cloud Configuration'!$AD$38</definedName>
    <definedName name="XXLGlobalOpenStack">#REF!</definedName>
    <definedName name="XXLGlobalVmware" localSheetId="3">'Cloud Configuration'!$AK$38</definedName>
    <definedName name="XXLGlobalVmware">#REF!</definedName>
    <definedName name="XXLISDKOpenStack" localSheetId="3">'Cloud Configuration'!$AD$47</definedName>
    <definedName name="XXLISDKOpenStack">#REF!</definedName>
    <definedName name="XXLISDKVmware" localSheetId="3">'Cloud Configuration'!$AK$47</definedName>
    <definedName name="XXLISDKVmware">#REF!</definedName>
    <definedName name="XXLUsers" localSheetId="3">'Cloud Configuration'!$Y$49:$Y$52</definedName>
    <definedName name="XXLUsers">#REF!</definedName>
    <definedName name="XXXLADMOpenStack" localSheetId="3">'Cloud Configuration'!$AE$44</definedName>
    <definedName name="XXXLADMOpenStack">#REF!</definedName>
    <definedName name="XXXLADMVmware" localSheetId="3">'Cloud Configuration'!$AL$44</definedName>
    <definedName name="XXXLADMVmware">#REF!</definedName>
    <definedName name="XXXLCustomerOpenStack" localSheetId="3">'Cloud Configuration'!$AE$50</definedName>
    <definedName name="XXXLCustomerOpenStack">#REF!</definedName>
    <definedName name="XXXLCustomerVmware" localSheetId="3">'Cloud Configuration'!$AL$50</definedName>
    <definedName name="XXXLCustomerVmware">#REF!</definedName>
    <definedName name="XXXLDatabase15200Arc" localSheetId="3">'Cloud Configuration'!$AE$26</definedName>
    <definedName name="XXXLDatabase15200Arc">#REF!</definedName>
    <definedName name="XXXLDatabase15200Backup" localSheetId="3">'Cloud Configuration'!$AE$32</definedName>
    <definedName name="XXXLDatabase15200Backup">#REF!</definedName>
    <definedName name="XXXLDatabase15200Redo" localSheetId="3">'Cloud Configuration'!$AE$20</definedName>
    <definedName name="XXXLDatabase15200Redo">#REF!</definedName>
    <definedName name="XXXLDatabase15200vCPU" localSheetId="3">'Cloud Configuration'!$AE$8</definedName>
    <definedName name="XXXLDatabase15200vCPU">#REF!</definedName>
    <definedName name="XXXLDatabase15200vRAM" localSheetId="3">'Cloud Configuration'!$AE$14</definedName>
    <definedName name="XXXLDatabase15200vRAM">#REF!</definedName>
    <definedName name="XXXLDatabase16400Arc" localSheetId="3">'Cloud Configuration'!$AL$26</definedName>
    <definedName name="XXXLDatabase16400Arc">#REF!</definedName>
    <definedName name="XXXLDatabase16400Backup" localSheetId="3">'Cloud Configuration'!$AL$32</definedName>
    <definedName name="XXXLDatabase16400Backup">#REF!</definedName>
    <definedName name="XXXLDatabase16400Redo" localSheetId="3">'Cloud Configuration'!$AL$20</definedName>
    <definedName name="XXXLDatabase16400Redo">#REF!</definedName>
    <definedName name="XXXLDatabase16400vCPU" localSheetId="3">'Cloud Configuration'!$AL$8</definedName>
    <definedName name="XXXLDatabase16400vCPU">#REF!</definedName>
    <definedName name="XXXLDatabase16400vRAM" localSheetId="3">'Cloud Configuration'!$AL$14</definedName>
    <definedName name="XXXLDatabase16400vRAM">#REF!</definedName>
    <definedName name="XXXLDatabaseOpenstack" localSheetId="3">'Cloud Configuration'!$AE$4</definedName>
    <definedName name="XXXLDatabaseOpenstack">#REF!</definedName>
    <definedName name="XXXLDatabaseVmware" localSheetId="3">'Cloud Configuration'!$AL$4</definedName>
    <definedName name="XXXLDatabaseVmware">#REF!</definedName>
    <definedName name="XXXLExtRepOpenStack" localSheetId="3">'Cloud Configuration'!$AE$41</definedName>
    <definedName name="XXXLExtRepOpenStack">#REF!</definedName>
    <definedName name="XXXLExtRepVmware" localSheetId="3">'Cloud Configuration'!$AL$41</definedName>
    <definedName name="XXXLExtRepVmware">#REF!</definedName>
    <definedName name="XXXLGlobalOpenStack" localSheetId="3">'Cloud Configuration'!$AE$38</definedName>
    <definedName name="XXXLGlobalOpenStack">#REF!</definedName>
    <definedName name="XXXLGlobalVmware" localSheetId="3">'Cloud Configuration'!$AL$38</definedName>
    <definedName name="XXXLGlobalVmware">#REF!</definedName>
    <definedName name="XXXLISDKOpenStack" localSheetId="3">'Cloud Configuration'!$AE$47</definedName>
    <definedName name="XXXLISDKOpenStack">#REF!</definedName>
    <definedName name="XXXLISDKVmware" localSheetId="3">'Cloud Configuration'!$AL$47</definedName>
    <definedName name="XXXLISDKVmware">#REF!</definedName>
    <definedName name="XXXLUsers" localSheetId="3">'Cloud Configuration'!$Y$59:$Y$62</definedName>
    <definedName name="XXXLUsers">#REF!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H44" i="197" l="1"/>
  <c r="AH48" i="197" s="1"/>
  <c r="AH77" i="197" s="1"/>
  <c r="AH89" i="197" s="1"/>
  <c r="AH44" i="195"/>
  <c r="AH48" i="195" s="1"/>
  <c r="AH78" i="195" s="1"/>
  <c r="AH90" i="195" s="1"/>
  <c r="BA45" i="198"/>
  <c r="BA49" i="198" s="1"/>
  <c r="BA78" i="198" s="1"/>
  <c r="BA88" i="198" s="1"/>
  <c r="BD11" i="198"/>
  <c r="BD45" i="198" s="1"/>
  <c r="BD49" i="198" s="1"/>
  <c r="BD78" i="198" s="1"/>
  <c r="BD88" i="198" s="1"/>
  <c r="BD88" i="196"/>
  <c r="BA45" i="196"/>
  <c r="BA49" i="196" s="1"/>
  <c r="BA78" i="196" s="1"/>
  <c r="BA88" i="196" s="1"/>
  <c r="BD11" i="196"/>
  <c r="BD45" i="196" s="1"/>
  <c r="BD49" i="196" s="1"/>
  <c r="BD78" i="196" s="1"/>
  <c r="C62" i="182"/>
  <c r="C153" i="187"/>
  <c r="I9" i="187"/>
  <c r="G9" i="187"/>
  <c r="C132" i="186"/>
  <c r="I9" i="186"/>
  <c r="G9" i="186"/>
  <c r="C135" i="185"/>
  <c r="I9" i="185"/>
  <c r="G9" i="185"/>
  <c r="C122" i="202"/>
  <c r="I9" i="202"/>
  <c r="G9" i="202"/>
  <c r="C110" i="183"/>
  <c r="I9" i="183"/>
  <c r="G9" i="183"/>
  <c r="H37" i="182"/>
  <c r="H37" i="183"/>
  <c r="G38" i="182"/>
  <c r="G37" i="182"/>
  <c r="F37" i="182"/>
  <c r="F38" i="182"/>
  <c r="H43" i="202"/>
  <c r="F43" i="183"/>
  <c r="F42" i="183"/>
  <c r="F41" i="183"/>
  <c r="F40" i="183"/>
  <c r="F39" i="183"/>
  <c r="F38" i="183"/>
  <c r="F37" i="183"/>
  <c r="G38" i="183"/>
  <c r="G43" i="183"/>
  <c r="G42" i="183"/>
  <c r="G41" i="183"/>
  <c r="G40" i="183"/>
  <c r="G39" i="183"/>
  <c r="G37" i="183"/>
  <c r="G43" i="202"/>
  <c r="G44" i="202"/>
  <c r="G45" i="202"/>
  <c r="G46" i="202"/>
  <c r="G47" i="202"/>
  <c r="F47" i="202"/>
  <c r="F46" i="202"/>
  <c r="F45" i="202"/>
  <c r="F44" i="202"/>
  <c r="F43" i="202"/>
  <c r="H49" i="185"/>
  <c r="G50" i="185"/>
  <c r="G51" i="185"/>
  <c r="G53" i="185"/>
  <c r="G52" i="185"/>
  <c r="G49" i="185"/>
  <c r="F53" i="185"/>
  <c r="F52" i="185"/>
  <c r="F51" i="185"/>
  <c r="F50" i="185"/>
  <c r="F49" i="185"/>
  <c r="H49" i="186"/>
  <c r="G53" i="186"/>
  <c r="G52" i="186"/>
  <c r="G51" i="186"/>
  <c r="G50" i="186"/>
  <c r="G49" i="186"/>
  <c r="F53" i="186"/>
  <c r="F52" i="186"/>
  <c r="F51" i="186"/>
  <c r="F50" i="186"/>
  <c r="F49" i="186"/>
  <c r="H50" i="187"/>
  <c r="G50" i="187"/>
  <c r="G54" i="187"/>
  <c r="G53" i="187"/>
  <c r="G52" i="187"/>
  <c r="G51" i="187"/>
  <c r="F50" i="187"/>
  <c r="F54" i="187"/>
  <c r="F53" i="187"/>
  <c r="F52" i="187"/>
  <c r="F51" i="187"/>
  <c r="G9" i="182"/>
  <c r="I9" i="182" l="1"/>
  <c r="W16" i="199"/>
  <c r="W15" i="199"/>
  <c r="W12" i="199"/>
  <c r="W9" i="199"/>
  <c r="W8" i="199"/>
  <c r="W7" i="199"/>
  <c r="W6" i="199"/>
  <c r="W3" i="199"/>
  <c r="R9" i="199"/>
  <c r="R7" i="199"/>
  <c r="AG36" i="190"/>
  <c r="AG42" i="192"/>
  <c r="AG48" i="194"/>
  <c r="AG48" i="196"/>
  <c r="AG48" i="198"/>
  <c r="AG44" i="198"/>
  <c r="J47" i="197"/>
  <c r="J47" i="195"/>
  <c r="J47" i="193"/>
  <c r="J41" i="191"/>
  <c r="J35" i="189"/>
  <c r="J32" i="188"/>
  <c r="AP46" i="185"/>
  <c r="AN46" i="185"/>
  <c r="AL46" i="185"/>
  <c r="AJ46" i="185"/>
  <c r="AH46" i="185"/>
  <c r="AF46" i="185"/>
  <c r="AD46" i="185"/>
  <c r="AB46" i="185"/>
  <c r="Z46" i="185"/>
  <c r="X46" i="185"/>
  <c r="V46" i="185"/>
  <c r="T46" i="185"/>
  <c r="R46" i="185"/>
  <c r="P46" i="185"/>
  <c r="N46" i="185"/>
  <c r="L46" i="185"/>
  <c r="H46" i="185"/>
  <c r="J45" i="185"/>
  <c r="C120" i="202" l="1"/>
  <c r="A120" i="202"/>
  <c r="B116" i="202"/>
  <c r="C114" i="202"/>
  <c r="B114" i="202"/>
  <c r="J98" i="202"/>
  <c r="J97" i="202"/>
  <c r="J96" i="202"/>
  <c r="J95" i="202"/>
  <c r="J94" i="202"/>
  <c r="J93" i="202"/>
  <c r="J92" i="202"/>
  <c r="J91" i="202"/>
  <c r="J90" i="202"/>
  <c r="J89" i="202"/>
  <c r="J85" i="202"/>
  <c r="J84" i="202"/>
  <c r="AT81" i="202"/>
  <c r="J80" i="202"/>
  <c r="J79" i="202"/>
  <c r="J78" i="202"/>
  <c r="J77" i="202"/>
  <c r="I76" i="202"/>
  <c r="G76" i="202"/>
  <c r="J76" i="202" s="1"/>
  <c r="F76" i="202"/>
  <c r="G75" i="202"/>
  <c r="J75" i="202" s="1"/>
  <c r="F75" i="202"/>
  <c r="V74" i="202"/>
  <c r="G74" i="202"/>
  <c r="J74" i="202" s="1"/>
  <c r="F74" i="202"/>
  <c r="E74" i="202"/>
  <c r="J73" i="202"/>
  <c r="J72" i="202"/>
  <c r="J71" i="202"/>
  <c r="J70" i="202"/>
  <c r="J69" i="202"/>
  <c r="J68" i="202"/>
  <c r="J67" i="202"/>
  <c r="J66" i="202"/>
  <c r="J65" i="202"/>
  <c r="J64" i="202"/>
  <c r="J63" i="202"/>
  <c r="J62" i="202"/>
  <c r="J61" i="202"/>
  <c r="J60" i="202"/>
  <c r="J59" i="202"/>
  <c r="J58" i="202"/>
  <c r="J57" i="202"/>
  <c r="J56" i="202"/>
  <c r="J55" i="202"/>
  <c r="J54" i="202"/>
  <c r="J53" i="202"/>
  <c r="J52" i="202"/>
  <c r="AJ40" i="202"/>
  <c r="AJ81" i="202" s="1"/>
  <c r="AJ86" i="202" s="1"/>
  <c r="J39" i="202"/>
  <c r="AP36" i="202"/>
  <c r="AP40" i="202" s="1"/>
  <c r="AP81" i="202" s="1"/>
  <c r="AP86" i="202" s="1"/>
  <c r="AP99" i="202" s="1"/>
  <c r="AN36" i="202"/>
  <c r="AN40" i="202" s="1"/>
  <c r="AN81" i="202" s="1"/>
  <c r="AN86" i="202" s="1"/>
  <c r="AL36" i="202"/>
  <c r="AL40" i="202" s="1"/>
  <c r="AL81" i="202" s="1"/>
  <c r="AL86" i="202" s="1"/>
  <c r="AJ36" i="202"/>
  <c r="AH36" i="202"/>
  <c r="AH40" i="202" s="1"/>
  <c r="AH81" i="202" s="1"/>
  <c r="AH86" i="202" s="1"/>
  <c r="AF36" i="202"/>
  <c r="AF40" i="202" s="1"/>
  <c r="AF81" i="202" s="1"/>
  <c r="AF86" i="202" s="1"/>
  <c r="AF99" i="202" s="1"/>
  <c r="AD36" i="202"/>
  <c r="AD40" i="202" s="1"/>
  <c r="AD81" i="202" s="1"/>
  <c r="AD86" i="202" s="1"/>
  <c r="AD99" i="202" s="1"/>
  <c r="AB36" i="202"/>
  <c r="AB40" i="202" s="1"/>
  <c r="AB81" i="202" s="1"/>
  <c r="AB86" i="202" s="1"/>
  <c r="AB99" i="202" s="1"/>
  <c r="Z36" i="202"/>
  <c r="Z40" i="202" s="1"/>
  <c r="Z81" i="202" s="1"/>
  <c r="Z86" i="202" s="1"/>
  <c r="Z99" i="202" s="1"/>
  <c r="X36" i="202"/>
  <c r="X40" i="202" s="1"/>
  <c r="X81" i="202" s="1"/>
  <c r="X86" i="202" s="1"/>
  <c r="X99" i="202" s="1"/>
  <c r="V36" i="202"/>
  <c r="V40" i="202" s="1"/>
  <c r="V81" i="202" s="1"/>
  <c r="V86" i="202" s="1"/>
  <c r="V99" i="202" s="1"/>
  <c r="T36" i="202"/>
  <c r="T40" i="202" s="1"/>
  <c r="T81" i="202" s="1"/>
  <c r="T86" i="202" s="1"/>
  <c r="T99" i="202" s="1"/>
  <c r="R36" i="202"/>
  <c r="R40" i="202" s="1"/>
  <c r="R81" i="202" s="1"/>
  <c r="R86" i="202" s="1"/>
  <c r="R99" i="202" s="1"/>
  <c r="P36" i="202"/>
  <c r="P40" i="202" s="1"/>
  <c r="P81" i="202" s="1"/>
  <c r="P86" i="202" s="1"/>
  <c r="P99" i="202" s="1"/>
  <c r="N36" i="202"/>
  <c r="N40" i="202" s="1"/>
  <c r="N81" i="202" s="1"/>
  <c r="N86" i="202" s="1"/>
  <c r="N99" i="202" s="1"/>
  <c r="L36" i="202"/>
  <c r="L40" i="202" s="1"/>
  <c r="L81" i="202" s="1"/>
  <c r="L86" i="202" s="1"/>
  <c r="L99" i="202" s="1"/>
  <c r="F36" i="202"/>
  <c r="F40" i="202" s="1"/>
  <c r="J35" i="202"/>
  <c r="J34" i="202"/>
  <c r="J33" i="202"/>
  <c r="J32" i="202"/>
  <c r="J31" i="202"/>
  <c r="J30" i="202"/>
  <c r="J29" i="202"/>
  <c r="J28" i="202"/>
  <c r="J27" i="202"/>
  <c r="J26" i="202"/>
  <c r="J25" i="202"/>
  <c r="J24" i="202"/>
  <c r="J23" i="202"/>
  <c r="J22" i="202"/>
  <c r="J21" i="202"/>
  <c r="J20" i="202"/>
  <c r="J19" i="202"/>
  <c r="J18" i="202"/>
  <c r="J17" i="202"/>
  <c r="J16" i="202"/>
  <c r="J15" i="202"/>
  <c r="J14" i="202"/>
  <c r="J13" i="202"/>
  <c r="J12" i="202"/>
  <c r="H11" i="202"/>
  <c r="H36" i="202" s="1"/>
  <c r="H40" i="202" s="1"/>
  <c r="H81" i="202" s="1"/>
  <c r="H86" i="202" s="1"/>
  <c r="H99" i="202" s="1"/>
  <c r="J10" i="202"/>
  <c r="I36" i="202"/>
  <c r="I40" i="202" s="1"/>
  <c r="I81" i="202" s="1"/>
  <c r="I86" i="202" s="1"/>
  <c r="I99" i="202" s="1"/>
  <c r="G36" i="202"/>
  <c r="G40" i="202" s="1"/>
  <c r="G81" i="202" s="1"/>
  <c r="G86" i="202" s="1"/>
  <c r="G99" i="202" s="1"/>
  <c r="J8" i="202"/>
  <c r="B122" i="202" s="1"/>
  <c r="C35" i="199"/>
  <c r="H46" i="199"/>
  <c r="G46" i="199"/>
  <c r="C46" i="199"/>
  <c r="H45" i="199"/>
  <c r="G45" i="199"/>
  <c r="C45" i="199"/>
  <c r="H44" i="199"/>
  <c r="G44" i="199"/>
  <c r="C44" i="199"/>
  <c r="R43" i="199"/>
  <c r="H43" i="199"/>
  <c r="G43" i="199"/>
  <c r="C43" i="199"/>
  <c r="H42" i="199"/>
  <c r="G42" i="199"/>
  <c r="C42" i="199"/>
  <c r="H41" i="199"/>
  <c r="G41" i="199"/>
  <c r="C41" i="199"/>
  <c r="H40" i="199"/>
  <c r="C40" i="199"/>
  <c r="B40" i="199"/>
  <c r="H39" i="199"/>
  <c r="G39" i="199"/>
  <c r="C39" i="199"/>
  <c r="B39" i="199"/>
  <c r="H38" i="199"/>
  <c r="G38" i="199"/>
  <c r="C38" i="199"/>
  <c r="B38" i="199"/>
  <c r="F37" i="199"/>
  <c r="G37" i="199" s="1"/>
  <c r="E37" i="199"/>
  <c r="D37" i="199"/>
  <c r="C37" i="199"/>
  <c r="C36" i="199"/>
  <c r="B36" i="199"/>
  <c r="G35" i="199"/>
  <c r="Z33" i="199"/>
  <c r="W33" i="199"/>
  <c r="S33" i="199"/>
  <c r="C33" i="199"/>
  <c r="S26" i="199"/>
  <c r="S22" i="199"/>
  <c r="R12" i="199"/>
  <c r="W11" i="199"/>
  <c r="W10" i="199"/>
  <c r="T6" i="199"/>
  <c r="S6" i="199"/>
  <c r="U5" i="199"/>
  <c r="T5" i="199"/>
  <c r="S5" i="199"/>
  <c r="W4" i="199"/>
  <c r="U4" i="199"/>
  <c r="E3" i="199"/>
  <c r="E4" i="199" s="1"/>
  <c r="W2" i="199"/>
  <c r="H37" i="199" s="1"/>
  <c r="T2" i="199"/>
  <c r="S2" i="199"/>
  <c r="W1" i="199"/>
  <c r="H36" i="199" s="1"/>
  <c r="D35" i="199"/>
  <c r="R11" i="199"/>
  <c r="F81" i="202" l="1"/>
  <c r="F86" i="202" s="1"/>
  <c r="F99" i="202" s="1"/>
  <c r="B120" i="202"/>
  <c r="J11" i="202"/>
  <c r="C47" i="199"/>
  <c r="H35" i="199"/>
  <c r="H47" i="199" s="1"/>
  <c r="R4" i="199"/>
  <c r="R5" i="199"/>
  <c r="R8" i="199"/>
  <c r="R6" i="199"/>
  <c r="R2" i="199"/>
  <c r="Q14" i="199"/>
  <c r="R3" i="199"/>
  <c r="F35" i="199"/>
  <c r="B106" i="202" l="1" a="1"/>
  <c r="B106" i="202" s="1"/>
  <c r="B105" i="202" a="1"/>
  <c r="B105" i="202" s="1"/>
  <c r="B104" i="202" a="1"/>
  <c r="B104" i="202" s="1"/>
  <c r="AN42" i="187"/>
  <c r="AN46" i="187" s="1"/>
  <c r="AN92" i="187" s="1"/>
  <c r="AN97" i="187" s="1"/>
  <c r="AN110" i="187" s="1"/>
  <c r="AL42" i="187"/>
  <c r="AL46" i="187" s="1"/>
  <c r="AL92" i="187" s="1"/>
  <c r="AL97" i="187" s="1"/>
  <c r="AL110" i="187" s="1"/>
  <c r="AJ42" i="187"/>
  <c r="AJ46" i="187" s="1"/>
  <c r="AJ92" i="187" s="1"/>
  <c r="AJ97" i="187" s="1"/>
  <c r="AJ110" i="187" s="1"/>
  <c r="AN42" i="186"/>
  <c r="AN46" i="186" s="1"/>
  <c r="AN92" i="186" s="1"/>
  <c r="AN97" i="186" s="1"/>
  <c r="AN110" i="186" s="1"/>
  <c r="AL42" i="186"/>
  <c r="AL46" i="186" s="1"/>
  <c r="AL92" i="186" s="1"/>
  <c r="AL97" i="186" s="1"/>
  <c r="AL110" i="186" s="1"/>
  <c r="AJ42" i="186"/>
  <c r="AJ46" i="186" s="1"/>
  <c r="AJ92" i="186" s="1"/>
  <c r="AJ97" i="186" s="1"/>
  <c r="AJ110" i="186" s="1"/>
  <c r="AJ42" i="185"/>
  <c r="AJ93" i="185" s="1"/>
  <c r="AJ98" i="185" s="1"/>
  <c r="AJ111" i="185" s="1"/>
  <c r="AL42" i="185"/>
  <c r="AL93" i="185" s="1"/>
  <c r="AL98" i="185" s="1"/>
  <c r="AL111" i="185" s="1"/>
  <c r="AN42" i="185"/>
  <c r="AN93" i="185" s="1"/>
  <c r="AN98" i="185" s="1"/>
  <c r="AN111" i="185" s="1"/>
  <c r="AL71" i="183"/>
  <c r="AL76" i="183" s="1"/>
  <c r="AL89" i="183" s="1"/>
  <c r="AL34" i="183"/>
  <c r="AN34" i="183"/>
  <c r="AJ30" i="183"/>
  <c r="AJ34" i="183" s="1"/>
  <c r="AL30" i="183"/>
  <c r="AN30" i="183"/>
  <c r="AN71" i="183" s="1"/>
  <c r="AN76" i="183" s="1"/>
  <c r="AN89" i="183" s="1"/>
  <c r="D38" i="199"/>
  <c r="E39" i="199"/>
  <c r="F44" i="199"/>
  <c r="F39" i="199"/>
  <c r="D41" i="199"/>
  <c r="E42" i="199"/>
  <c r="E41" i="199"/>
  <c r="R18" i="199"/>
  <c r="D44" i="199"/>
  <c r="D40" i="199"/>
  <c r="E38" i="199"/>
  <c r="F38" i="199"/>
  <c r="E43" i="199"/>
  <c r="D45" i="199"/>
  <c r="D46" i="199"/>
  <c r="E45" i="199"/>
  <c r="D39" i="199"/>
  <c r="R17" i="199"/>
  <c r="E46" i="199"/>
  <c r="F41" i="199"/>
  <c r="F43" i="199"/>
  <c r="F46" i="199"/>
  <c r="E44" i="199"/>
  <c r="F42" i="199"/>
  <c r="F45" i="199"/>
  <c r="F40" i="199"/>
  <c r="S16" i="199"/>
  <c r="E36" i="199"/>
  <c r="D36" i="199"/>
  <c r="E40" i="199"/>
  <c r="F36" i="199"/>
  <c r="D42" i="199"/>
  <c r="D43" i="199"/>
  <c r="G40" i="199" l="1"/>
  <c r="G36" i="199"/>
  <c r="AJ71" i="183"/>
  <c r="AJ76" i="183" s="1"/>
  <c r="AJ89" i="183" s="1"/>
  <c r="F47" i="199"/>
  <c r="H21" i="199" s="1"/>
  <c r="H22" i="199" s="1"/>
  <c r="D47" i="199"/>
  <c r="F21" i="199" s="1"/>
  <c r="F22" i="199" s="1"/>
  <c r="J91" i="187"/>
  <c r="J90" i="187"/>
  <c r="J89" i="187"/>
  <c r="J91" i="186"/>
  <c r="J90" i="186"/>
  <c r="J89" i="186"/>
  <c r="J92" i="185"/>
  <c r="J91" i="185"/>
  <c r="J90" i="185"/>
  <c r="J68" i="183"/>
  <c r="J69" i="183"/>
  <c r="J70" i="183"/>
  <c r="G47" i="199" l="1"/>
  <c r="I21" i="199" s="1"/>
  <c r="I22" i="199" s="1"/>
  <c r="C108" i="183" l="1"/>
  <c r="A133" i="185"/>
  <c r="A131" i="186"/>
  <c r="AG32" i="190"/>
  <c r="AG38" i="192"/>
  <c r="AG44" i="194"/>
  <c r="AG44" i="196"/>
  <c r="J47" i="188"/>
  <c r="J55" i="182"/>
  <c r="BP49" i="198"/>
  <c r="BO49" i="198"/>
  <c r="BN49" i="198"/>
  <c r="AZ44" i="198"/>
  <c r="AZ45" i="198" s="1"/>
  <c r="AZ49" i="198" s="1"/>
  <c r="AZ78" i="198" s="1"/>
  <c r="AG43" i="198"/>
  <c r="AZ78" i="196"/>
  <c r="BN49" i="196"/>
  <c r="AZ44" i="196"/>
  <c r="AZ45" i="196" s="1"/>
  <c r="AG43" i="196"/>
  <c r="AF44" i="197"/>
  <c r="AF48" i="197" s="1"/>
  <c r="AF77" i="197" s="1"/>
  <c r="J43" i="197"/>
  <c r="J42" i="197"/>
  <c r="J43" i="195"/>
  <c r="J42" i="195"/>
  <c r="AZ78" i="194"/>
  <c r="AZ44" i="194"/>
  <c r="AG43" i="194"/>
  <c r="J43" i="193"/>
  <c r="J42" i="193"/>
  <c r="AZ67" i="192"/>
  <c r="AZ38" i="192"/>
  <c r="AG37" i="192"/>
  <c r="J37" i="191"/>
  <c r="J36" i="191"/>
  <c r="AZ32" i="190"/>
  <c r="AG31" i="190"/>
  <c r="J31" i="189"/>
  <c r="J30" i="189"/>
  <c r="J28" i="188"/>
  <c r="J27" i="188"/>
  <c r="J45" i="187"/>
  <c r="J41" i="187"/>
  <c r="J40" i="187"/>
  <c r="J41" i="186"/>
  <c r="J40" i="186"/>
  <c r="J45" i="186"/>
  <c r="J41" i="185"/>
  <c r="J40" i="185"/>
  <c r="J33" i="183"/>
  <c r="J33" i="182"/>
  <c r="J29" i="183"/>
  <c r="J28" i="183"/>
  <c r="AD30" i="182"/>
  <c r="AD34" i="182" s="1"/>
  <c r="AD58" i="182" s="1"/>
  <c r="J29" i="182"/>
  <c r="J28" i="182"/>
  <c r="AG87" i="198"/>
  <c r="AG86" i="198"/>
  <c r="AG85" i="198"/>
  <c r="AG84" i="198"/>
  <c r="AG83" i="198"/>
  <c r="AG82" i="198"/>
  <c r="AG77" i="198"/>
  <c r="AG76" i="198"/>
  <c r="AG75" i="198"/>
  <c r="AG74" i="198"/>
  <c r="AG73" i="198"/>
  <c r="AG72" i="198"/>
  <c r="AG71" i="198"/>
  <c r="AG70" i="198"/>
  <c r="AG69" i="198"/>
  <c r="AG68" i="198"/>
  <c r="AG67" i="198"/>
  <c r="AG66" i="198"/>
  <c r="AG65" i="198"/>
  <c r="AG64" i="198"/>
  <c r="AG63" i="198"/>
  <c r="AG62" i="198"/>
  <c r="AG61" i="198"/>
  <c r="AG60" i="198"/>
  <c r="AG59" i="198"/>
  <c r="AG58" i="198"/>
  <c r="AG57" i="198"/>
  <c r="AG56" i="198"/>
  <c r="AG55" i="198"/>
  <c r="AG54" i="198"/>
  <c r="AG53" i="198"/>
  <c r="BL45" i="198"/>
  <c r="BK45" i="198"/>
  <c r="BJ45" i="198"/>
  <c r="BI45" i="198"/>
  <c r="BH45" i="198"/>
  <c r="BG45" i="198"/>
  <c r="BG49" i="198" s="1"/>
  <c r="BG78" i="198" s="1"/>
  <c r="BF45" i="198"/>
  <c r="BF49" i="198" s="1"/>
  <c r="BF78" i="198" s="1"/>
  <c r="BE45" i="198"/>
  <c r="AW45" i="198"/>
  <c r="AS45" i="198"/>
  <c r="AO45" i="198"/>
  <c r="AK45" i="198"/>
  <c r="AK49" i="198" s="1"/>
  <c r="AK78" i="198" s="1"/>
  <c r="AF45" i="198"/>
  <c r="AF78" i="198" s="1"/>
  <c r="AF88" i="198" s="1"/>
  <c r="AC45" i="198"/>
  <c r="AB45" i="198"/>
  <c r="Y45" i="198"/>
  <c r="U45" i="198"/>
  <c r="Q45" i="198"/>
  <c r="M45" i="198"/>
  <c r="L45" i="198"/>
  <c r="H45" i="198"/>
  <c r="G45" i="198"/>
  <c r="F45" i="198"/>
  <c r="F49" i="198" s="1"/>
  <c r="F78" i="198" s="1"/>
  <c r="AG42" i="198"/>
  <c r="AN41" i="198"/>
  <c r="AG41" i="198"/>
  <c r="AN40" i="198"/>
  <c r="AG40" i="198"/>
  <c r="AN39" i="198"/>
  <c r="AG39" i="198"/>
  <c r="AN38" i="198"/>
  <c r="AG38" i="198"/>
  <c r="AG37" i="198"/>
  <c r="AG36" i="198"/>
  <c r="AG35" i="198"/>
  <c r="AG34" i="198"/>
  <c r="AG33" i="198"/>
  <c r="AG32" i="198"/>
  <c r="AG31" i="198"/>
  <c r="AG30" i="198"/>
  <c r="AG29" i="198"/>
  <c r="AG28" i="198"/>
  <c r="AG27" i="198"/>
  <c r="AG26" i="198"/>
  <c r="AG25" i="198"/>
  <c r="AV24" i="198"/>
  <c r="AG24" i="198"/>
  <c r="AV23" i="198"/>
  <c r="AG23" i="198"/>
  <c r="AG22" i="198"/>
  <c r="AG21" i="198"/>
  <c r="AG20" i="198"/>
  <c r="AR19" i="198"/>
  <c r="AR45" i="198" s="1"/>
  <c r="AG19" i="198"/>
  <c r="AG18" i="198"/>
  <c r="AG17" i="198"/>
  <c r="AG16" i="198"/>
  <c r="AG15" i="198"/>
  <c r="AG14" i="198"/>
  <c r="AG13" i="198"/>
  <c r="X11" i="198"/>
  <c r="X45" i="198" s="1"/>
  <c r="T11" i="198"/>
  <c r="T45" i="198" s="1"/>
  <c r="T49" i="198" s="1"/>
  <c r="T78" i="198" s="1"/>
  <c r="P11" i="198"/>
  <c r="P45" i="198" s="1"/>
  <c r="AG10" i="198"/>
  <c r="AG9" i="198"/>
  <c r="J88" i="197"/>
  <c r="J87" i="197"/>
  <c r="J86" i="197"/>
  <c r="J85" i="197"/>
  <c r="J84" i="197"/>
  <c r="J83" i="197"/>
  <c r="J82" i="197"/>
  <c r="J81" i="197"/>
  <c r="AL77" i="197"/>
  <c r="J76" i="197"/>
  <c r="J75" i="197"/>
  <c r="J74" i="197"/>
  <c r="J73" i="197"/>
  <c r="J72" i="197"/>
  <c r="J71" i="197"/>
  <c r="J70" i="197"/>
  <c r="J69" i="197"/>
  <c r="J68" i="197"/>
  <c r="J67" i="197"/>
  <c r="J66" i="197"/>
  <c r="J65" i="197"/>
  <c r="J64" i="197"/>
  <c r="J63" i="197"/>
  <c r="J62" i="197"/>
  <c r="J61" i="197"/>
  <c r="J60" i="197"/>
  <c r="J59" i="197"/>
  <c r="J58" i="197"/>
  <c r="J57" i="197"/>
  <c r="J56" i="197"/>
  <c r="J55" i="197"/>
  <c r="J54" i="197"/>
  <c r="J53" i="197"/>
  <c r="J52" i="197"/>
  <c r="J51" i="197"/>
  <c r="AD44" i="197"/>
  <c r="AD48" i="197" s="1"/>
  <c r="AD77" i="197" s="1"/>
  <c r="AB44" i="197"/>
  <c r="AB48" i="197" s="1"/>
  <c r="AB77" i="197" s="1"/>
  <c r="Z44" i="197"/>
  <c r="Z48" i="197" s="1"/>
  <c r="Z77" i="197" s="1"/>
  <c r="X44" i="197"/>
  <c r="X48" i="197" s="1"/>
  <c r="X77" i="197" s="1"/>
  <c r="T44" i="197"/>
  <c r="T48" i="197" s="1"/>
  <c r="T77" i="197" s="1"/>
  <c r="R44" i="197"/>
  <c r="R48" i="197" s="1"/>
  <c r="R77" i="197" s="1"/>
  <c r="P44" i="197"/>
  <c r="P48" i="197" s="1"/>
  <c r="P77" i="197" s="1"/>
  <c r="N44" i="197"/>
  <c r="N48" i="197" s="1"/>
  <c r="N77" i="197" s="1"/>
  <c r="L44" i="197"/>
  <c r="L48" i="197" s="1"/>
  <c r="L77" i="197" s="1"/>
  <c r="I44" i="197"/>
  <c r="I48" i="197" s="1"/>
  <c r="I77" i="197" s="1"/>
  <c r="H44" i="197"/>
  <c r="H48" i="197" s="1"/>
  <c r="H77" i="197" s="1"/>
  <c r="G44" i="197"/>
  <c r="G48" i="197" s="1"/>
  <c r="G77" i="197" s="1"/>
  <c r="F44" i="197"/>
  <c r="F48" i="197" s="1"/>
  <c r="F77" i="197" s="1"/>
  <c r="J41" i="197"/>
  <c r="J40" i="197"/>
  <c r="J39" i="197"/>
  <c r="J38" i="197"/>
  <c r="J37" i="197"/>
  <c r="J36" i="197"/>
  <c r="J35" i="197"/>
  <c r="J34" i="197"/>
  <c r="J33" i="197"/>
  <c r="J32" i="197"/>
  <c r="J31" i="197"/>
  <c r="J30" i="197"/>
  <c r="J29" i="197"/>
  <c r="J28" i="197"/>
  <c r="J27" i="197"/>
  <c r="J26" i="197"/>
  <c r="J25" i="197"/>
  <c r="J24" i="197"/>
  <c r="J23" i="197"/>
  <c r="J22" i="197"/>
  <c r="J21" i="197"/>
  <c r="J20" i="197"/>
  <c r="J19" i="197"/>
  <c r="J18" i="197"/>
  <c r="J17" i="197"/>
  <c r="J16" i="197"/>
  <c r="J15" i="197"/>
  <c r="J14" i="197"/>
  <c r="J13" i="197"/>
  <c r="J12" i="197"/>
  <c r="J11" i="197"/>
  <c r="J10" i="197"/>
  <c r="J9" i="197"/>
  <c r="J8" i="197"/>
  <c r="AG87" i="196"/>
  <c r="AG86" i="196"/>
  <c r="AG85" i="196"/>
  <c r="AG84" i="196"/>
  <c r="AG83" i="196"/>
  <c r="AG82" i="196"/>
  <c r="AG77" i="196"/>
  <c r="AG76" i="196"/>
  <c r="AG75" i="196"/>
  <c r="AG74" i="196"/>
  <c r="AG73" i="196"/>
  <c r="AG72" i="196"/>
  <c r="AG71" i="196"/>
  <c r="AG70" i="196"/>
  <c r="AG69" i="196"/>
  <c r="AG68" i="196"/>
  <c r="AG67" i="196"/>
  <c r="AG66" i="196"/>
  <c r="AG65" i="196"/>
  <c r="AG64" i="196"/>
  <c r="AG63" i="196"/>
  <c r="AG62" i="196"/>
  <c r="AG61" i="196"/>
  <c r="AG60" i="196"/>
  <c r="AG59" i="196"/>
  <c r="AG58" i="196"/>
  <c r="AG57" i="196"/>
  <c r="AG56" i="196"/>
  <c r="AG55" i="196"/>
  <c r="AG54" i="196"/>
  <c r="AG53" i="196"/>
  <c r="BL45" i="196"/>
  <c r="BL49" i="196" s="1"/>
  <c r="BL78" i="196" s="1"/>
  <c r="BK45" i="196"/>
  <c r="BJ45" i="196"/>
  <c r="BJ49" i="196" s="1"/>
  <c r="BJ78" i="196" s="1"/>
  <c r="BI45" i="196"/>
  <c r="BI49" i="196" s="1"/>
  <c r="BI78" i="196" s="1"/>
  <c r="BH45" i="196"/>
  <c r="BH49" i="196" s="1"/>
  <c r="BH78" i="196" s="1"/>
  <c r="BG45" i="196"/>
  <c r="BG49" i="196" s="1"/>
  <c r="BG78" i="196" s="1"/>
  <c r="BF45" i="196"/>
  <c r="BF49" i="196" s="1"/>
  <c r="BF78" i="196" s="1"/>
  <c r="BE45" i="196"/>
  <c r="BE49" i="196" s="1"/>
  <c r="BE78" i="196" s="1"/>
  <c r="AW45" i="196"/>
  <c r="AW49" i="196" s="1"/>
  <c r="AW78" i="196" s="1"/>
  <c r="AS45" i="196"/>
  <c r="AS49" i="196" s="1"/>
  <c r="AS78" i="196" s="1"/>
  <c r="AO45" i="196"/>
  <c r="AO49" i="196" s="1"/>
  <c r="AO78" i="196" s="1"/>
  <c r="AK45" i="196"/>
  <c r="AF45" i="196"/>
  <c r="AF49" i="196" s="1"/>
  <c r="AF78" i="196" s="1"/>
  <c r="AC45" i="196"/>
  <c r="AC49" i="196" s="1"/>
  <c r="AC78" i="196" s="1"/>
  <c r="AB45" i="196"/>
  <c r="AB49" i="196" s="1"/>
  <c r="AB78" i="196" s="1"/>
  <c r="Y45" i="196"/>
  <c r="U45" i="196"/>
  <c r="Q45" i="196"/>
  <c r="M45" i="196"/>
  <c r="M49" i="196" s="1"/>
  <c r="M78" i="196" s="1"/>
  <c r="L45" i="196"/>
  <c r="L49" i="196" s="1"/>
  <c r="L78" i="196" s="1"/>
  <c r="H45" i="196"/>
  <c r="G45" i="196"/>
  <c r="G49" i="196" s="1"/>
  <c r="G78" i="196" s="1"/>
  <c r="F45" i="196"/>
  <c r="F49" i="196" s="1"/>
  <c r="F78" i="196" s="1"/>
  <c r="AG42" i="196"/>
  <c r="AN41" i="196"/>
  <c r="AG41" i="196"/>
  <c r="AN40" i="196"/>
  <c r="AG40" i="196"/>
  <c r="AN39" i="196"/>
  <c r="AG39" i="196"/>
  <c r="AN38" i="196"/>
  <c r="AG38" i="196"/>
  <c r="AG37" i="196"/>
  <c r="AG36" i="196"/>
  <c r="AG35" i="196"/>
  <c r="AG34" i="196"/>
  <c r="AG33" i="196"/>
  <c r="AG32" i="196"/>
  <c r="AG31" i="196"/>
  <c r="AG30" i="196"/>
  <c r="AG29" i="196"/>
  <c r="AG28" i="196"/>
  <c r="AG27" i="196"/>
  <c r="AG26" i="196"/>
  <c r="AG25" i="196"/>
  <c r="AV24" i="196"/>
  <c r="AG24" i="196"/>
  <c r="AV23" i="196"/>
  <c r="AG23" i="196"/>
  <c r="AG22" i="196"/>
  <c r="AG21" i="196"/>
  <c r="AG20" i="196"/>
  <c r="AR19" i="196"/>
  <c r="AR45" i="196" s="1"/>
  <c r="AG19" i="196"/>
  <c r="AG18" i="196"/>
  <c r="AG17" i="196"/>
  <c r="AG16" i="196"/>
  <c r="AG15" i="196"/>
  <c r="AG14" i="196"/>
  <c r="AG13" i="196"/>
  <c r="X11" i="196"/>
  <c r="X45" i="196" s="1"/>
  <c r="T11" i="196"/>
  <c r="T45" i="196" s="1"/>
  <c r="T49" i="196" s="1"/>
  <c r="T78" i="196" s="1"/>
  <c r="P11" i="196"/>
  <c r="P45" i="196" s="1"/>
  <c r="P49" i="196" s="1"/>
  <c r="P78" i="196" s="1"/>
  <c r="AG10" i="196"/>
  <c r="AG9" i="196"/>
  <c r="J89" i="195"/>
  <c r="J88" i="195"/>
  <c r="J87" i="195"/>
  <c r="J86" i="195"/>
  <c r="J85" i="195"/>
  <c r="J84" i="195"/>
  <c r="J83" i="195"/>
  <c r="J82" i="195"/>
  <c r="AL78" i="195"/>
  <c r="J77" i="195"/>
  <c r="J76" i="195"/>
  <c r="J75" i="195"/>
  <c r="J74" i="195"/>
  <c r="J73" i="195"/>
  <c r="J72" i="195"/>
  <c r="J71" i="195"/>
  <c r="J70" i="195"/>
  <c r="J69" i="195"/>
  <c r="J68" i="195"/>
  <c r="J67" i="195"/>
  <c r="J66" i="195"/>
  <c r="J65" i="195"/>
  <c r="J64" i="195"/>
  <c r="J63" i="195"/>
  <c r="J62" i="195"/>
  <c r="J61" i="195"/>
  <c r="J60" i="195"/>
  <c r="J59" i="195"/>
  <c r="J58" i="195"/>
  <c r="J57" i="195"/>
  <c r="J56" i="195"/>
  <c r="J55" i="195"/>
  <c r="J54" i="195"/>
  <c r="J53" i="195"/>
  <c r="J52" i="195"/>
  <c r="AF44" i="195"/>
  <c r="AF48" i="195" s="1"/>
  <c r="AD44" i="195"/>
  <c r="AD78" i="195" s="1"/>
  <c r="AD90" i="195" s="1"/>
  <c r="AB44" i="195"/>
  <c r="AB48" i="195" s="1"/>
  <c r="Z44" i="195"/>
  <c r="Z48" i="195" s="1"/>
  <c r="V44" i="195"/>
  <c r="V48" i="195" s="1"/>
  <c r="T44" i="195"/>
  <c r="T48" i="195" s="1"/>
  <c r="R44" i="195"/>
  <c r="R48" i="195" s="1"/>
  <c r="P44" i="195"/>
  <c r="P48" i="195" s="1"/>
  <c r="N44" i="195"/>
  <c r="N48" i="195" s="1"/>
  <c r="L44" i="195"/>
  <c r="L48" i="195" s="1"/>
  <c r="I44" i="195"/>
  <c r="I48" i="195" s="1"/>
  <c r="G44" i="195"/>
  <c r="G48" i="195" s="1"/>
  <c r="F44" i="195"/>
  <c r="F48" i="195" s="1"/>
  <c r="J41" i="195"/>
  <c r="J40" i="195"/>
  <c r="J39" i="195"/>
  <c r="J38" i="195"/>
  <c r="J37" i="195"/>
  <c r="J36" i="195"/>
  <c r="J35" i="195"/>
  <c r="J34" i="195"/>
  <c r="J33" i="195"/>
  <c r="J32" i="195"/>
  <c r="J31" i="195"/>
  <c r="J30" i="195"/>
  <c r="J29" i="195"/>
  <c r="J28" i="195"/>
  <c r="J27" i="195"/>
  <c r="J26" i="195"/>
  <c r="J25" i="195"/>
  <c r="J24" i="195"/>
  <c r="J23" i="195"/>
  <c r="J22" i="195"/>
  <c r="J21" i="195"/>
  <c r="J20" i="195"/>
  <c r="J19" i="195"/>
  <c r="J18" i="195"/>
  <c r="J17" i="195"/>
  <c r="J16" i="195"/>
  <c r="J15" i="195"/>
  <c r="J14" i="195"/>
  <c r="J13" i="195"/>
  <c r="J12" i="195"/>
  <c r="J11" i="195"/>
  <c r="H10" i="195"/>
  <c r="H44" i="195" s="1"/>
  <c r="H48" i="195" s="1"/>
  <c r="J9" i="195"/>
  <c r="J8" i="195"/>
  <c r="AG89" i="194"/>
  <c r="AG88" i="194"/>
  <c r="AG87" i="194"/>
  <c r="AG86" i="194"/>
  <c r="AG85" i="194"/>
  <c r="AG84" i="194"/>
  <c r="AG83" i="194"/>
  <c r="AG82" i="194"/>
  <c r="AG77" i="194"/>
  <c r="AG76" i="194"/>
  <c r="AG75" i="194"/>
  <c r="AG74" i="194"/>
  <c r="AG73" i="194"/>
  <c r="AG72" i="194"/>
  <c r="AG71" i="194"/>
  <c r="AG70" i="194"/>
  <c r="AG69" i="194"/>
  <c r="AG68" i="194"/>
  <c r="AG67" i="194"/>
  <c r="AG66" i="194"/>
  <c r="AG65" i="194"/>
  <c r="AG64" i="194"/>
  <c r="AG63" i="194"/>
  <c r="AG62" i="194"/>
  <c r="AG61" i="194"/>
  <c r="AG60" i="194"/>
  <c r="AG59" i="194"/>
  <c r="AG58" i="194"/>
  <c r="AG57" i="194"/>
  <c r="AG56" i="194"/>
  <c r="AG55" i="194"/>
  <c r="AG54" i="194"/>
  <c r="AG53" i="194"/>
  <c r="BL45" i="194"/>
  <c r="BL49" i="194" s="1"/>
  <c r="BL78" i="194" s="1"/>
  <c r="BK45" i="194"/>
  <c r="BJ45" i="194"/>
  <c r="BJ49" i="194" s="1"/>
  <c r="BJ78" i="194" s="1"/>
  <c r="BI45" i="194"/>
  <c r="BI49" i="194" s="1"/>
  <c r="BI78" i="194" s="1"/>
  <c r="BH45" i="194"/>
  <c r="BH49" i="194" s="1"/>
  <c r="BH78" i="194" s="1"/>
  <c r="BG45" i="194"/>
  <c r="BG49" i="194" s="1"/>
  <c r="BG78" i="194" s="1"/>
  <c r="BF45" i="194"/>
  <c r="BF49" i="194" s="1"/>
  <c r="BF78" i="194" s="1"/>
  <c r="BE45" i="194"/>
  <c r="BA45" i="194"/>
  <c r="BA49" i="194" s="1"/>
  <c r="BA78" i="194" s="1"/>
  <c r="AZ45" i="194"/>
  <c r="AW45" i="194"/>
  <c r="AW49" i="194" s="1"/>
  <c r="AW78" i="194" s="1"/>
  <c r="AS45" i="194"/>
  <c r="AS49" i="194" s="1"/>
  <c r="AS78" i="194" s="1"/>
  <c r="AO45" i="194"/>
  <c r="AO49" i="194" s="1"/>
  <c r="AO78" i="194" s="1"/>
  <c r="AK45" i="194"/>
  <c r="AK49" i="194" s="1"/>
  <c r="AK78" i="194" s="1"/>
  <c r="AF45" i="194"/>
  <c r="AC45" i="194"/>
  <c r="AC49" i="194" s="1"/>
  <c r="AC78" i="194" s="1"/>
  <c r="AB45" i="194"/>
  <c r="AB49" i="194" s="1"/>
  <c r="AB78" i="194" s="1"/>
  <c r="Y45" i="194"/>
  <c r="Y49" i="194" s="1"/>
  <c r="Y78" i="194" s="1"/>
  <c r="Q45" i="194"/>
  <c r="Q49" i="194" s="1"/>
  <c r="Q78" i="194" s="1"/>
  <c r="M45" i="194"/>
  <c r="M49" i="194" s="1"/>
  <c r="M78" i="194" s="1"/>
  <c r="L45" i="194"/>
  <c r="L49" i="194" s="1"/>
  <c r="L78" i="194" s="1"/>
  <c r="H45" i="194"/>
  <c r="H49" i="194" s="1"/>
  <c r="H78" i="194" s="1"/>
  <c r="F45" i="194"/>
  <c r="F49" i="194" s="1"/>
  <c r="F78" i="194" s="1"/>
  <c r="AG42" i="194"/>
  <c r="AN41" i="194"/>
  <c r="AG41" i="194"/>
  <c r="AN40" i="194"/>
  <c r="AG40" i="194"/>
  <c r="AN39" i="194"/>
  <c r="AG39" i="194"/>
  <c r="AN38" i="194"/>
  <c r="AG38" i="194"/>
  <c r="AG37" i="194"/>
  <c r="AG36" i="194"/>
  <c r="AG35" i="194"/>
  <c r="AG34" i="194"/>
  <c r="AG33" i="194"/>
  <c r="AG32" i="194"/>
  <c r="AG31" i="194"/>
  <c r="AG30" i="194"/>
  <c r="AG29" i="194"/>
  <c r="AG28" i="194"/>
  <c r="AG27" i="194"/>
  <c r="AG26" i="194"/>
  <c r="AG25" i="194"/>
  <c r="AV24" i="194"/>
  <c r="AG24" i="194"/>
  <c r="AV23" i="194"/>
  <c r="AG23" i="194"/>
  <c r="AG22" i="194"/>
  <c r="AG21" i="194"/>
  <c r="AG20" i="194"/>
  <c r="AR19" i="194"/>
  <c r="AR45" i="194" s="1"/>
  <c r="AR49" i="194" s="1"/>
  <c r="AR78" i="194" s="1"/>
  <c r="AG19" i="194"/>
  <c r="AG18" i="194"/>
  <c r="AG17" i="194"/>
  <c r="AG16" i="194"/>
  <c r="AG15" i="194"/>
  <c r="AG14" i="194"/>
  <c r="AG13" i="194"/>
  <c r="BD11" i="194"/>
  <c r="BD45" i="194" s="1"/>
  <c r="BD49" i="194" s="1"/>
  <c r="BD78" i="194" s="1"/>
  <c r="AG11" i="194"/>
  <c r="X11" i="194"/>
  <c r="X45" i="194" s="1"/>
  <c r="X49" i="194" s="1"/>
  <c r="X78" i="194" s="1"/>
  <c r="U11" i="194"/>
  <c r="U45" i="194" s="1"/>
  <c r="T11" i="194"/>
  <c r="T45" i="194" s="1"/>
  <c r="T49" i="194" s="1"/>
  <c r="T78" i="194" s="1"/>
  <c r="P11" i="194"/>
  <c r="P45" i="194" s="1"/>
  <c r="P49" i="194" s="1"/>
  <c r="P78" i="194" s="1"/>
  <c r="G11" i="194"/>
  <c r="G45" i="194" s="1"/>
  <c r="G49" i="194" s="1"/>
  <c r="G78" i="194" s="1"/>
  <c r="AG10" i="194"/>
  <c r="AG9" i="194"/>
  <c r="J89" i="193"/>
  <c r="J88" i="193"/>
  <c r="J87" i="193"/>
  <c r="J86" i="193"/>
  <c r="J85" i="193"/>
  <c r="J84" i="193"/>
  <c r="J83" i="193"/>
  <c r="J82" i="193"/>
  <c r="AL78" i="193"/>
  <c r="J77" i="193"/>
  <c r="J76" i="193"/>
  <c r="J75" i="193"/>
  <c r="J74" i="193"/>
  <c r="J73" i="193"/>
  <c r="J72" i="193"/>
  <c r="J71" i="193"/>
  <c r="J70" i="193"/>
  <c r="J69" i="193"/>
  <c r="J68" i="193"/>
  <c r="J67" i="193"/>
  <c r="J66" i="193"/>
  <c r="J65" i="193"/>
  <c r="J64" i="193"/>
  <c r="J63" i="193"/>
  <c r="J62" i="193"/>
  <c r="J61" i="193"/>
  <c r="J60" i="193"/>
  <c r="J59" i="193"/>
  <c r="J58" i="193"/>
  <c r="J57" i="193"/>
  <c r="J56" i="193"/>
  <c r="J55" i="193"/>
  <c r="J54" i="193"/>
  <c r="J53" i="193"/>
  <c r="J52" i="193"/>
  <c r="AH44" i="193"/>
  <c r="AF44" i="193"/>
  <c r="AD44" i="193"/>
  <c r="AB44" i="193"/>
  <c r="Z44" i="193"/>
  <c r="V44" i="193"/>
  <c r="T44" i="193"/>
  <c r="R44" i="193"/>
  <c r="N44" i="193"/>
  <c r="L44" i="193"/>
  <c r="I44" i="193"/>
  <c r="F44" i="193"/>
  <c r="J41" i="193"/>
  <c r="J40" i="193"/>
  <c r="J39" i="193"/>
  <c r="J38" i="193"/>
  <c r="J37" i="193"/>
  <c r="J36" i="193"/>
  <c r="J35" i="193"/>
  <c r="J34" i="193"/>
  <c r="J33" i="193"/>
  <c r="J32" i="193"/>
  <c r="J31" i="193"/>
  <c r="J30" i="193"/>
  <c r="J29" i="193"/>
  <c r="J28" i="193"/>
  <c r="J27" i="193"/>
  <c r="J26" i="193"/>
  <c r="J25" i="193"/>
  <c r="J24" i="193"/>
  <c r="J23" i="193"/>
  <c r="J22" i="193"/>
  <c r="J21" i="193"/>
  <c r="J20" i="193"/>
  <c r="J19" i="193"/>
  <c r="J18" i="193"/>
  <c r="J17" i="193"/>
  <c r="J16" i="193"/>
  <c r="J15" i="193"/>
  <c r="J14" i="193"/>
  <c r="J13" i="193"/>
  <c r="J12" i="193"/>
  <c r="J11" i="193"/>
  <c r="X10" i="193"/>
  <c r="X44" i="193" s="1"/>
  <c r="P10" i="193"/>
  <c r="P44" i="193" s="1"/>
  <c r="G10" i="193"/>
  <c r="G44" i="193" s="1"/>
  <c r="J9" i="193"/>
  <c r="J8" i="193"/>
  <c r="AD48" i="195" l="1"/>
  <c r="F78" i="195"/>
  <c r="F90" i="195" s="1"/>
  <c r="H78" i="195"/>
  <c r="H90" i="195" s="1"/>
  <c r="G89" i="197"/>
  <c r="H89" i="197"/>
  <c r="X89" i="197"/>
  <c r="Z89" i="197"/>
  <c r="L89" i="197"/>
  <c r="AB89" i="197"/>
  <c r="AD89" i="197"/>
  <c r="T89" i="197"/>
  <c r="P89" i="197"/>
  <c r="R89" i="197"/>
  <c r="I89" i="197"/>
  <c r="BH49" i="198"/>
  <c r="BH78" i="198" s="1"/>
  <c r="BH88" i="198" s="1"/>
  <c r="AK88" i="198"/>
  <c r="BI49" i="198"/>
  <c r="BI78" i="198" s="1"/>
  <c r="BI88" i="198" s="1"/>
  <c r="BF88" i="196"/>
  <c r="BG88" i="198"/>
  <c r="BF88" i="198"/>
  <c r="T88" i="198"/>
  <c r="F88" i="198"/>
  <c r="G49" i="198"/>
  <c r="G78" i="198" s="1"/>
  <c r="G88" i="198" s="1"/>
  <c r="X49" i="198"/>
  <c r="X78" i="198" s="1"/>
  <c r="X88" i="198" s="1"/>
  <c r="AO49" i="198"/>
  <c r="AO78" i="198" s="1"/>
  <c r="AO88" i="198" s="1"/>
  <c r="BJ49" i="198"/>
  <c r="BJ78" i="198" s="1"/>
  <c r="BJ88" i="198" s="1"/>
  <c r="H49" i="198"/>
  <c r="H78" i="198" s="1"/>
  <c r="H88" i="198" s="1"/>
  <c r="Y49" i="198"/>
  <c r="Y78" i="198" s="1"/>
  <c r="Y88" i="198" s="1"/>
  <c r="AR49" i="198"/>
  <c r="AR78" i="198" s="1"/>
  <c r="AR88" i="198" s="1"/>
  <c r="BK49" i="198"/>
  <c r="BK78" i="198" s="1"/>
  <c r="BK88" i="198" s="1"/>
  <c r="L49" i="198"/>
  <c r="L78" i="198" s="1"/>
  <c r="L88" i="198" s="1"/>
  <c r="AB49" i="198"/>
  <c r="AB78" i="198" s="1"/>
  <c r="AB88" i="198" s="1"/>
  <c r="AS49" i="198"/>
  <c r="AS78" i="198" s="1"/>
  <c r="AS88" i="198" s="1"/>
  <c r="BL49" i="198"/>
  <c r="BL78" i="198" s="1"/>
  <c r="BL88" i="198" s="1"/>
  <c r="U49" i="198"/>
  <c r="U78" i="198" s="1"/>
  <c r="U88" i="198" s="1"/>
  <c r="M49" i="198"/>
  <c r="M78" i="198" s="1"/>
  <c r="M88" i="198" s="1"/>
  <c r="AC49" i="198"/>
  <c r="AC78" i="198" s="1"/>
  <c r="AC88" i="198" s="1"/>
  <c r="P49" i="198"/>
  <c r="P78" i="198" s="1"/>
  <c r="P88" i="198" s="1"/>
  <c r="AF49" i="198"/>
  <c r="AW49" i="198"/>
  <c r="AW78" i="198" s="1"/>
  <c r="Q49" i="198"/>
  <c r="Q78" i="198" s="1"/>
  <c r="Q88" i="198" s="1"/>
  <c r="BE49" i="198"/>
  <c r="BE78" i="198" s="1"/>
  <c r="BE88" i="198" s="1"/>
  <c r="AG45" i="198"/>
  <c r="AV45" i="198"/>
  <c r="AN45" i="198"/>
  <c r="AF88" i="196"/>
  <c r="L88" i="196"/>
  <c r="AS88" i="196"/>
  <c r="Q49" i="196"/>
  <c r="Q78" i="196" s="1"/>
  <c r="Q88" i="196" s="1"/>
  <c r="AK49" i="196"/>
  <c r="AK78" i="196" s="1"/>
  <c r="AK88" i="196" s="1"/>
  <c r="U49" i="196"/>
  <c r="U78" i="196" s="1"/>
  <c r="U88" i="196" s="1"/>
  <c r="BI88" i="196"/>
  <c r="F88" i="196"/>
  <c r="AB88" i="196"/>
  <c r="X49" i="196"/>
  <c r="X78" i="196" s="1"/>
  <c r="X88" i="196" s="1"/>
  <c r="AO88" i="196"/>
  <c r="T88" i="196"/>
  <c r="H49" i="196"/>
  <c r="H78" i="196" s="1"/>
  <c r="H88" i="196" s="1"/>
  <c r="Y49" i="196"/>
  <c r="Y78" i="196" s="1"/>
  <c r="Y88" i="196" s="1"/>
  <c r="AR49" i="196"/>
  <c r="AR78" i="196" s="1"/>
  <c r="AR88" i="196" s="1"/>
  <c r="BK49" i="196"/>
  <c r="BK78" i="196" s="1"/>
  <c r="BK88" i="196" s="1"/>
  <c r="BL88" i="196"/>
  <c r="BJ88" i="196"/>
  <c r="BE88" i="196"/>
  <c r="BG88" i="196"/>
  <c r="BH88" i="196"/>
  <c r="AC88" i="196"/>
  <c r="P88" i="196"/>
  <c r="M88" i="196"/>
  <c r="G88" i="196"/>
  <c r="AV45" i="196"/>
  <c r="AN45" i="196"/>
  <c r="AG45" i="196"/>
  <c r="N89" i="197"/>
  <c r="F89" i="197"/>
  <c r="I78" i="195"/>
  <c r="I90" i="195" s="1"/>
  <c r="Z78" i="195"/>
  <c r="Z90" i="195" s="1"/>
  <c r="T78" i="195"/>
  <c r="T90" i="195" s="1"/>
  <c r="G78" i="195"/>
  <c r="G90" i="195" s="1"/>
  <c r="V78" i="195"/>
  <c r="V90" i="195" s="1"/>
  <c r="L78" i="195"/>
  <c r="L90" i="195" s="1"/>
  <c r="AB78" i="195"/>
  <c r="AB90" i="195" s="1"/>
  <c r="N78" i="195"/>
  <c r="N90" i="195" s="1"/>
  <c r="P78" i="195"/>
  <c r="P90" i="195" s="1"/>
  <c r="AF78" i="195"/>
  <c r="AF90" i="195" s="1"/>
  <c r="R78" i="195"/>
  <c r="R90" i="195" s="1"/>
  <c r="J10" i="195"/>
  <c r="T90" i="194"/>
  <c r="AB90" i="194"/>
  <c r="BL90" i="194"/>
  <c r="X90" i="194"/>
  <c r="Y90" i="194"/>
  <c r="AC90" i="194"/>
  <c r="H90" i="194"/>
  <c r="AF49" i="194"/>
  <c r="AF78" i="194" s="1"/>
  <c r="AF90" i="194" s="1"/>
  <c r="BD90" i="194"/>
  <c r="AR90" i="194"/>
  <c r="L90" i="194"/>
  <c r="BH90" i="194"/>
  <c r="BK49" i="194"/>
  <c r="BK78" i="194" s="1"/>
  <c r="BK90" i="194" s="1"/>
  <c r="AS90" i="194"/>
  <c r="G90" i="194"/>
  <c r="Q90" i="194"/>
  <c r="U49" i="194"/>
  <c r="U78" i="194" s="1"/>
  <c r="U90" i="194" s="1"/>
  <c r="BE49" i="194"/>
  <c r="BE78" i="194" s="1"/>
  <c r="BE90" i="194" s="1"/>
  <c r="BJ90" i="194"/>
  <c r="BG90" i="194"/>
  <c r="BF90" i="194"/>
  <c r="BI90" i="194"/>
  <c r="BA90" i="194"/>
  <c r="AO90" i="194"/>
  <c r="AK90" i="194"/>
  <c r="P90" i="194"/>
  <c r="M90" i="194"/>
  <c r="F90" i="194"/>
  <c r="AG45" i="194"/>
  <c r="AV45" i="194"/>
  <c r="AN45" i="194"/>
  <c r="F48" i="193"/>
  <c r="F78" i="193" s="1"/>
  <c r="F90" i="193" s="1"/>
  <c r="T48" i="193"/>
  <c r="T78" i="193" s="1"/>
  <c r="T90" i="193" s="1"/>
  <c r="G48" i="193"/>
  <c r="G78" i="193" s="1"/>
  <c r="G90" i="193" s="1"/>
  <c r="V48" i="193"/>
  <c r="V78" i="193" s="1"/>
  <c r="V90" i="193" s="1"/>
  <c r="X48" i="193"/>
  <c r="X78" i="193" s="1"/>
  <c r="X90" i="193" s="1"/>
  <c r="I48" i="193"/>
  <c r="I78" i="193" s="1"/>
  <c r="I90" i="193" s="1"/>
  <c r="Z48" i="193"/>
  <c r="Z78" i="193" s="1"/>
  <c r="Z90" i="193" s="1"/>
  <c r="L48" i="193"/>
  <c r="L78" i="193" s="1"/>
  <c r="L90" i="193" s="1"/>
  <c r="AB48" i="193"/>
  <c r="AB78" i="193" s="1"/>
  <c r="AB90" i="193" s="1"/>
  <c r="N48" i="193"/>
  <c r="N78" i="193" s="1"/>
  <c r="N90" i="193" s="1"/>
  <c r="AD48" i="193"/>
  <c r="AD78" i="193" s="1"/>
  <c r="AD90" i="193" s="1"/>
  <c r="P48" i="193"/>
  <c r="P78" i="193" s="1"/>
  <c r="P90" i="193" s="1"/>
  <c r="AF48" i="193"/>
  <c r="AF78" i="193" s="1"/>
  <c r="R48" i="193"/>
  <c r="R78" i="193" s="1"/>
  <c r="R90" i="193" s="1"/>
  <c r="AH48" i="193"/>
  <c r="AH78" i="193" s="1"/>
  <c r="AH90" i="193" s="1"/>
  <c r="H10" i="193"/>
  <c r="H44" i="193" s="1"/>
  <c r="AN49" i="198" l="1"/>
  <c r="AN78" i="198" s="1"/>
  <c r="AN88" i="198" s="1"/>
  <c r="AV49" i="198"/>
  <c r="AV78" i="198" s="1"/>
  <c r="AV88" i="198" s="1"/>
  <c r="AG49" i="198"/>
  <c r="AG78" i="198" s="1"/>
  <c r="AG88" i="198" s="1"/>
  <c r="AG49" i="196"/>
  <c r="AG78" i="196" s="1"/>
  <c r="AG88" i="196" s="1"/>
  <c r="AN49" i="196"/>
  <c r="AN78" i="196" s="1"/>
  <c r="AN88" i="196" s="1"/>
  <c r="AV49" i="196"/>
  <c r="AV78" i="196" s="1"/>
  <c r="AV88" i="196" s="1"/>
  <c r="AG49" i="194"/>
  <c r="AG78" i="194" s="1"/>
  <c r="AG90" i="194" s="1"/>
  <c r="AN49" i="194"/>
  <c r="AN78" i="194" s="1"/>
  <c r="AN90" i="194" s="1"/>
  <c r="AV49" i="194"/>
  <c r="AV78" i="194" s="1"/>
  <c r="AV90" i="194" s="1"/>
  <c r="H48" i="193"/>
  <c r="H78" i="193" s="1"/>
  <c r="H90" i="193" s="1"/>
  <c r="J10" i="193"/>
  <c r="AG76" i="192"/>
  <c r="AG75" i="192"/>
  <c r="AG74" i="192"/>
  <c r="AG73" i="192"/>
  <c r="AG72" i="192"/>
  <c r="AG71" i="192"/>
  <c r="AG66" i="192"/>
  <c r="AG65" i="192"/>
  <c r="AG64" i="192"/>
  <c r="AG63" i="192"/>
  <c r="AG62" i="192"/>
  <c r="AG61" i="192"/>
  <c r="AG60" i="192"/>
  <c r="AG59" i="192"/>
  <c r="AG58" i="192"/>
  <c r="AG57" i="192"/>
  <c r="AG56" i="192"/>
  <c r="AG55" i="192"/>
  <c r="AG54" i="192"/>
  <c r="AG53" i="192"/>
  <c r="AG52" i="192"/>
  <c r="AG51" i="192"/>
  <c r="AG50" i="192"/>
  <c r="AG49" i="192"/>
  <c r="AG48" i="192"/>
  <c r="AG47" i="192"/>
  <c r="BL39" i="192"/>
  <c r="BK39" i="192"/>
  <c r="BJ39" i="192"/>
  <c r="BI39" i="192"/>
  <c r="BH39" i="192"/>
  <c r="BG39" i="192"/>
  <c r="BF39" i="192"/>
  <c r="BE39" i="192"/>
  <c r="BA39" i="192"/>
  <c r="AZ39" i="192"/>
  <c r="AW39" i="192"/>
  <c r="AW43" i="192" s="1"/>
  <c r="AW67" i="192" s="1"/>
  <c r="AS39" i="192"/>
  <c r="AO39" i="192"/>
  <c r="AK39" i="192"/>
  <c r="AF39" i="192"/>
  <c r="AC39" i="192"/>
  <c r="AB39" i="192"/>
  <c r="Y39" i="192"/>
  <c r="U39" i="192"/>
  <c r="Q39" i="192"/>
  <c r="M39" i="192"/>
  <c r="L39" i="192"/>
  <c r="H39" i="192"/>
  <c r="G39" i="192"/>
  <c r="F39" i="192"/>
  <c r="AG36" i="192"/>
  <c r="AN35" i="192"/>
  <c r="AG35" i="192"/>
  <c r="AN34" i="192"/>
  <c r="AG34" i="192"/>
  <c r="AG33" i="192"/>
  <c r="AG32" i="192"/>
  <c r="AG31" i="192"/>
  <c r="AG30" i="192"/>
  <c r="AG29" i="192"/>
  <c r="AG28" i="192"/>
  <c r="AG27" i="192"/>
  <c r="AG26" i="192"/>
  <c r="AG25" i="192"/>
  <c r="AV24" i="192"/>
  <c r="AG24" i="192"/>
  <c r="AV23" i="192"/>
  <c r="AG23" i="192"/>
  <c r="AG22" i="192"/>
  <c r="AG21" i="192"/>
  <c r="AG20" i="192"/>
  <c r="AR19" i="192"/>
  <c r="AR39" i="192" s="1"/>
  <c r="AG19" i="192"/>
  <c r="AG18" i="192"/>
  <c r="AG17" i="192"/>
  <c r="AG16" i="192"/>
  <c r="AG15" i="192"/>
  <c r="AG14" i="192"/>
  <c r="AG13" i="192"/>
  <c r="BD11" i="192"/>
  <c r="BD39" i="192" s="1"/>
  <c r="AG11" i="192"/>
  <c r="X11" i="192"/>
  <c r="X39" i="192" s="1"/>
  <c r="T11" i="192"/>
  <c r="T39" i="192" s="1"/>
  <c r="P11" i="192"/>
  <c r="P39" i="192" s="1"/>
  <c r="AG10" i="192"/>
  <c r="AG9" i="192"/>
  <c r="J78" i="191"/>
  <c r="J77" i="191"/>
  <c r="J76" i="191"/>
  <c r="J75" i="191"/>
  <c r="J74" i="191"/>
  <c r="J73" i="191"/>
  <c r="J72" i="191"/>
  <c r="J71" i="191"/>
  <c r="AL67" i="191"/>
  <c r="J66" i="191"/>
  <c r="J65" i="191"/>
  <c r="J64" i="191"/>
  <c r="J63" i="191"/>
  <c r="J62" i="191"/>
  <c r="J61" i="191"/>
  <c r="J60" i="191"/>
  <c r="J59" i="191"/>
  <c r="J58" i="191"/>
  <c r="J57" i="191"/>
  <c r="J56" i="191"/>
  <c r="J55" i="191"/>
  <c r="J54" i="191"/>
  <c r="J53" i="191"/>
  <c r="J52" i="191"/>
  <c r="J51" i="191"/>
  <c r="J50" i="191"/>
  <c r="J49" i="191"/>
  <c r="J48" i="191"/>
  <c r="J47" i="191"/>
  <c r="J46" i="191"/>
  <c r="AH38" i="191"/>
  <c r="AF38" i="191"/>
  <c r="AF42" i="191" s="1"/>
  <c r="AF67" i="191" s="1"/>
  <c r="AD38" i="191"/>
  <c r="AB38" i="191"/>
  <c r="Z38" i="191"/>
  <c r="X38" i="191"/>
  <c r="V38" i="191"/>
  <c r="T38" i="191"/>
  <c r="R38" i="191"/>
  <c r="P38" i="191"/>
  <c r="N38" i="191"/>
  <c r="L38" i="191"/>
  <c r="I38" i="191"/>
  <c r="G38" i="191"/>
  <c r="F38" i="191"/>
  <c r="J35" i="191"/>
  <c r="J34" i="191"/>
  <c r="J33" i="191"/>
  <c r="J32" i="191"/>
  <c r="J31" i="191"/>
  <c r="J30" i="191"/>
  <c r="J29" i="191"/>
  <c r="J28" i="191"/>
  <c r="J27" i="191"/>
  <c r="J26" i="191"/>
  <c r="J25" i="191"/>
  <c r="J24" i="191"/>
  <c r="J23" i="191"/>
  <c r="J22" i="191"/>
  <c r="J21" i="191"/>
  <c r="J20" i="191"/>
  <c r="J19" i="191"/>
  <c r="J18" i="191"/>
  <c r="J17" i="191"/>
  <c r="J16" i="191"/>
  <c r="J15" i="191"/>
  <c r="J14" i="191"/>
  <c r="J13" i="191"/>
  <c r="J12" i="191"/>
  <c r="J11" i="191"/>
  <c r="H10" i="191"/>
  <c r="J10" i="191" s="1"/>
  <c r="J9" i="191"/>
  <c r="J8" i="191"/>
  <c r="AG66" i="190"/>
  <c r="AG65" i="190"/>
  <c r="AG64" i="190"/>
  <c r="AG63" i="190"/>
  <c r="AG62" i="190"/>
  <c r="AG61" i="190"/>
  <c r="AZ57" i="190"/>
  <c r="AG56" i="190"/>
  <c r="AG55" i="190"/>
  <c r="AG54" i="190"/>
  <c r="AG53" i="190"/>
  <c r="AG52" i="190"/>
  <c r="AG51" i="190"/>
  <c r="AG50" i="190"/>
  <c r="AG49" i="190"/>
  <c r="AG48" i="190"/>
  <c r="AG47" i="190"/>
  <c r="AG46" i="190"/>
  <c r="AG45" i="190"/>
  <c r="AG44" i="190"/>
  <c r="AG43" i="190"/>
  <c r="AG42" i="190"/>
  <c r="AG41" i="190"/>
  <c r="BL33" i="190"/>
  <c r="BK33" i="190"/>
  <c r="BJ33" i="190"/>
  <c r="BI33" i="190"/>
  <c r="BH33" i="190"/>
  <c r="BG33" i="190"/>
  <c r="BF33" i="190"/>
  <c r="BE33" i="190"/>
  <c r="BA33" i="190"/>
  <c r="AZ33" i="190"/>
  <c r="AW33" i="190"/>
  <c r="AW37" i="190" s="1"/>
  <c r="AW57" i="190" s="1"/>
  <c r="AS33" i="190"/>
  <c r="AO33" i="190"/>
  <c r="AK33" i="190"/>
  <c r="AF33" i="190"/>
  <c r="AC33" i="190"/>
  <c r="AB33" i="190"/>
  <c r="Y33" i="190"/>
  <c r="Q33" i="190"/>
  <c r="M33" i="190"/>
  <c r="L33" i="190"/>
  <c r="H33" i="190"/>
  <c r="AG30" i="190"/>
  <c r="AN29" i="190"/>
  <c r="AG29" i="190"/>
  <c r="AN28" i="190"/>
  <c r="AG28" i="190"/>
  <c r="AG27" i="190"/>
  <c r="AG26" i="190"/>
  <c r="AG25" i="190"/>
  <c r="AG24" i="190"/>
  <c r="AG23" i="190"/>
  <c r="AG22" i="190"/>
  <c r="AV21" i="190"/>
  <c r="AV33" i="190" s="1"/>
  <c r="AG21" i="190"/>
  <c r="AG20" i="190"/>
  <c r="AR19" i="190"/>
  <c r="AR33" i="190" s="1"/>
  <c r="AG19" i="190"/>
  <c r="AG18" i="190"/>
  <c r="AG17" i="190"/>
  <c r="AG16" i="190"/>
  <c r="AG15" i="190"/>
  <c r="AG14" i="190"/>
  <c r="AG13" i="190"/>
  <c r="BD11" i="190"/>
  <c r="BD33" i="190" s="1"/>
  <c r="AG11" i="190"/>
  <c r="X11" i="190"/>
  <c r="X33" i="190" s="1"/>
  <c r="U11" i="190"/>
  <c r="U33" i="190" s="1"/>
  <c r="T11" i="190"/>
  <c r="T33" i="190" s="1"/>
  <c r="P11" i="190"/>
  <c r="P33" i="190" s="1"/>
  <c r="G11" i="190"/>
  <c r="G33" i="190" s="1"/>
  <c r="F11" i="190"/>
  <c r="F33" i="190" s="1"/>
  <c r="AG10" i="190"/>
  <c r="AG9" i="190"/>
  <c r="J68" i="189"/>
  <c r="J67" i="189"/>
  <c r="J66" i="189"/>
  <c r="J65" i="189"/>
  <c r="J64" i="189"/>
  <c r="J63" i="189"/>
  <c r="J62" i="189"/>
  <c r="J61" i="189"/>
  <c r="AL57" i="189"/>
  <c r="J56" i="189"/>
  <c r="J55" i="189"/>
  <c r="J54" i="189"/>
  <c r="J53" i="189"/>
  <c r="J52" i="189"/>
  <c r="J51" i="189"/>
  <c r="J50" i="189"/>
  <c r="J49" i="189"/>
  <c r="J48" i="189"/>
  <c r="J47" i="189"/>
  <c r="J46" i="189"/>
  <c r="J45" i="189"/>
  <c r="J44" i="189"/>
  <c r="J43" i="189"/>
  <c r="J42" i="189"/>
  <c r="J41" i="189"/>
  <c r="J40" i="189"/>
  <c r="AH32" i="189"/>
  <c r="AF32" i="189"/>
  <c r="AF36" i="189" s="1"/>
  <c r="AF57" i="189" s="1"/>
  <c r="AD32" i="189"/>
  <c r="AB32" i="189"/>
  <c r="Z32" i="189"/>
  <c r="V32" i="189"/>
  <c r="T32" i="189"/>
  <c r="R32" i="189"/>
  <c r="N32" i="189"/>
  <c r="L32" i="189"/>
  <c r="I32" i="189"/>
  <c r="J29" i="189"/>
  <c r="J28" i="189"/>
  <c r="J27" i="189"/>
  <c r="J26" i="189"/>
  <c r="J25" i="189"/>
  <c r="J24" i="189"/>
  <c r="J23" i="189"/>
  <c r="J22" i="189"/>
  <c r="J21" i="189"/>
  <c r="J20" i="189"/>
  <c r="J19" i="189"/>
  <c r="J18" i="189"/>
  <c r="J17" i="189"/>
  <c r="J16" i="189"/>
  <c r="J15" i="189"/>
  <c r="J14" i="189"/>
  <c r="J13" i="189"/>
  <c r="J12" i="189"/>
  <c r="J11" i="189"/>
  <c r="X10" i="189"/>
  <c r="X32" i="189" s="1"/>
  <c r="P10" i="189"/>
  <c r="P32" i="189" s="1"/>
  <c r="G10" i="189"/>
  <c r="G32" i="189" s="1"/>
  <c r="F10" i="189"/>
  <c r="F32" i="189" s="1"/>
  <c r="J9" i="189"/>
  <c r="J8" i="189"/>
  <c r="J49" i="188"/>
  <c r="J48" i="188"/>
  <c r="J46" i="188"/>
  <c r="J45" i="188"/>
  <c r="J44" i="188"/>
  <c r="J43" i="188"/>
  <c r="J42" i="188"/>
  <c r="J41" i="188"/>
  <c r="J40" i="188"/>
  <c r="J39" i="188"/>
  <c r="J38" i="188"/>
  <c r="J37" i="188"/>
  <c r="AD29" i="188"/>
  <c r="AD33" i="188" s="1"/>
  <c r="AD50" i="188" s="1"/>
  <c r="AB29" i="188"/>
  <c r="AB33" i="188" s="1"/>
  <c r="AB50" i="188" s="1"/>
  <c r="Z29" i="188"/>
  <c r="Z33" i="188" s="1"/>
  <c r="Z50" i="188" s="1"/>
  <c r="X29" i="188"/>
  <c r="X33" i="188" s="1"/>
  <c r="X50" i="188" s="1"/>
  <c r="V29" i="188"/>
  <c r="V33" i="188" s="1"/>
  <c r="V50" i="188" s="1"/>
  <c r="T29" i="188"/>
  <c r="T33" i="188" s="1"/>
  <c r="T50" i="188" s="1"/>
  <c r="R29" i="188"/>
  <c r="R33" i="188" s="1"/>
  <c r="R50" i="188" s="1"/>
  <c r="P29" i="188"/>
  <c r="P33" i="188" s="1"/>
  <c r="P50" i="188" s="1"/>
  <c r="N29" i="188"/>
  <c r="N33" i="188" s="1"/>
  <c r="N50" i="188" s="1"/>
  <c r="L29" i="188"/>
  <c r="L33" i="188" s="1"/>
  <c r="L50" i="188" s="1"/>
  <c r="I29" i="188"/>
  <c r="I33" i="188" s="1"/>
  <c r="I50" i="188" s="1"/>
  <c r="F29" i="188"/>
  <c r="F33" i="188" s="1"/>
  <c r="F50" i="188" s="1"/>
  <c r="J26" i="188"/>
  <c r="J25" i="188"/>
  <c r="J24" i="188"/>
  <c r="J23" i="188"/>
  <c r="J22" i="188"/>
  <c r="J21" i="188"/>
  <c r="J20" i="188"/>
  <c r="J19" i="188"/>
  <c r="J18" i="188"/>
  <c r="J17" i="188"/>
  <c r="J16" i="188"/>
  <c r="J15" i="188"/>
  <c r="J14" i="188"/>
  <c r="J13" i="188"/>
  <c r="J12" i="188"/>
  <c r="J11" i="188"/>
  <c r="H10" i="188"/>
  <c r="H29" i="188" s="1"/>
  <c r="H33" i="188" s="1"/>
  <c r="H50" i="188" s="1"/>
  <c r="J9" i="188"/>
  <c r="G29" i="188"/>
  <c r="G33" i="188" s="1"/>
  <c r="G50" i="188" s="1"/>
  <c r="J8" i="188"/>
  <c r="B137" i="187"/>
  <c r="C134" i="187"/>
  <c r="C133" i="187"/>
  <c r="C132" i="187"/>
  <c r="C131" i="187"/>
  <c r="C130" i="187"/>
  <c r="C129" i="187"/>
  <c r="C128" i="187"/>
  <c r="C127" i="187"/>
  <c r="C126" i="187"/>
  <c r="C125" i="187"/>
  <c r="J109" i="187"/>
  <c r="J108" i="187"/>
  <c r="J107" i="187"/>
  <c r="J106" i="187"/>
  <c r="J105" i="187"/>
  <c r="J104" i="187"/>
  <c r="J103" i="187"/>
  <c r="J102" i="187"/>
  <c r="J101" i="187"/>
  <c r="J100" i="187"/>
  <c r="J96" i="187"/>
  <c r="J95" i="187"/>
  <c r="AR92" i="187"/>
  <c r="J88" i="187"/>
  <c r="J87" i="187"/>
  <c r="J86" i="187"/>
  <c r="F86" i="187"/>
  <c r="J85" i="187"/>
  <c r="J84" i="187"/>
  <c r="J83" i="187"/>
  <c r="J82" i="187"/>
  <c r="J81" i="187"/>
  <c r="J80" i="187"/>
  <c r="J79" i="187"/>
  <c r="J78" i="187"/>
  <c r="J77" i="187"/>
  <c r="J76" i="187"/>
  <c r="J75" i="187"/>
  <c r="J74" i="187"/>
  <c r="J73" i="187"/>
  <c r="J72" i="187"/>
  <c r="J71" i="187"/>
  <c r="J70" i="187"/>
  <c r="J69" i="187"/>
  <c r="J68" i="187"/>
  <c r="J67" i="187"/>
  <c r="J66" i="187"/>
  <c r="J65" i="187"/>
  <c r="J64" i="187"/>
  <c r="J63" i="187"/>
  <c r="J62" i="187"/>
  <c r="J61" i="187"/>
  <c r="J60" i="187"/>
  <c r="J59" i="187"/>
  <c r="J58" i="187"/>
  <c r="AH42" i="187"/>
  <c r="AH46" i="187" s="1"/>
  <c r="AH92" i="187" s="1"/>
  <c r="AH97" i="187" s="1"/>
  <c r="AH110" i="187" s="1"/>
  <c r="AF42" i="187"/>
  <c r="AD42" i="187"/>
  <c r="AB42" i="187"/>
  <c r="Z42" i="187"/>
  <c r="X42" i="187"/>
  <c r="V42" i="187"/>
  <c r="T42" i="187"/>
  <c r="T46" i="187" s="1"/>
  <c r="T92" i="187" s="1"/>
  <c r="T97" i="187" s="1"/>
  <c r="T110" i="187" s="1"/>
  <c r="R42" i="187"/>
  <c r="P42" i="187"/>
  <c r="N42" i="187"/>
  <c r="L42" i="187"/>
  <c r="H42" i="187"/>
  <c r="F42" i="187"/>
  <c r="F46" i="187" s="1"/>
  <c r="J39" i="187"/>
  <c r="J38" i="187"/>
  <c r="J37" i="187"/>
  <c r="J36" i="187"/>
  <c r="J35" i="187"/>
  <c r="J34" i="187"/>
  <c r="J33" i="187"/>
  <c r="J32" i="187"/>
  <c r="J31" i="187"/>
  <c r="J30" i="187"/>
  <c r="J29" i="187"/>
  <c r="J28" i="187"/>
  <c r="J27" i="187"/>
  <c r="J26" i="187"/>
  <c r="J25" i="187"/>
  <c r="J24" i="187"/>
  <c r="J23" i="187"/>
  <c r="J22" i="187"/>
  <c r="J21" i="187"/>
  <c r="J20" i="187"/>
  <c r="J19" i="187"/>
  <c r="J18" i="187"/>
  <c r="J17" i="187"/>
  <c r="J16" i="187"/>
  <c r="J15" i="187"/>
  <c r="J14" i="187"/>
  <c r="J13" i="187"/>
  <c r="J12" i="187"/>
  <c r="J11" i="187"/>
  <c r="J10" i="187"/>
  <c r="I42" i="187"/>
  <c r="G42" i="187"/>
  <c r="J8" i="187"/>
  <c r="C131" i="186"/>
  <c r="J109" i="186"/>
  <c r="J108" i="186"/>
  <c r="J107" i="186"/>
  <c r="J106" i="186"/>
  <c r="J105" i="186"/>
  <c r="J104" i="186"/>
  <c r="J103" i="186"/>
  <c r="J102" i="186"/>
  <c r="J101" i="186"/>
  <c r="J100" i="186"/>
  <c r="AR97" i="186"/>
  <c r="J96" i="186"/>
  <c r="J95" i="186"/>
  <c r="AR92" i="186"/>
  <c r="J88" i="186"/>
  <c r="I87" i="186"/>
  <c r="G87" i="186"/>
  <c r="J87" i="186" s="1"/>
  <c r="F87" i="186"/>
  <c r="G86" i="186"/>
  <c r="J86" i="186" s="1"/>
  <c r="F86" i="186"/>
  <c r="V85" i="186"/>
  <c r="G85" i="186"/>
  <c r="J85" i="186" s="1"/>
  <c r="F85" i="186"/>
  <c r="E85" i="186"/>
  <c r="J84" i="186"/>
  <c r="J83" i="186"/>
  <c r="J82" i="186"/>
  <c r="J81" i="186"/>
  <c r="J80" i="186"/>
  <c r="J79" i="186"/>
  <c r="J78" i="186"/>
  <c r="J77" i="186"/>
  <c r="J76" i="186"/>
  <c r="J75" i="186"/>
  <c r="J74" i="186"/>
  <c r="J73" i="186"/>
  <c r="J72" i="186"/>
  <c r="J71" i="186"/>
  <c r="J70" i="186"/>
  <c r="J69" i="186"/>
  <c r="J68" i="186"/>
  <c r="J67" i="186"/>
  <c r="J66" i="186"/>
  <c r="J65" i="186"/>
  <c r="J64" i="186"/>
  <c r="J63" i="186"/>
  <c r="J62" i="186"/>
  <c r="J61" i="186"/>
  <c r="J60" i="186"/>
  <c r="J59" i="186"/>
  <c r="J58" i="186"/>
  <c r="AH42" i="186"/>
  <c r="AF42" i="186"/>
  <c r="AD42" i="186"/>
  <c r="AB42" i="186"/>
  <c r="Z42" i="186"/>
  <c r="X42" i="186"/>
  <c r="V42" i="186"/>
  <c r="T42" i="186"/>
  <c r="R42" i="186"/>
  <c r="P42" i="186"/>
  <c r="N42" i="186"/>
  <c r="L42" i="186"/>
  <c r="F42" i="186"/>
  <c r="F46" i="186" s="1"/>
  <c r="J39" i="186"/>
  <c r="J38" i="186"/>
  <c r="J37" i="186"/>
  <c r="J36" i="186"/>
  <c r="J35" i="186"/>
  <c r="J34" i="186"/>
  <c r="J33" i="186"/>
  <c r="J32" i="186"/>
  <c r="J31" i="186"/>
  <c r="J30" i="186"/>
  <c r="J29" i="186"/>
  <c r="J28" i="186"/>
  <c r="J27" i="186"/>
  <c r="J26" i="186"/>
  <c r="J25" i="186"/>
  <c r="J24" i="186"/>
  <c r="J23" i="186"/>
  <c r="J22" i="186"/>
  <c r="J21" i="186"/>
  <c r="J20" i="186"/>
  <c r="J19" i="186"/>
  <c r="J18" i="186"/>
  <c r="J17" i="186"/>
  <c r="J16" i="186"/>
  <c r="J15" i="186"/>
  <c r="J14" i="186"/>
  <c r="J13" i="186"/>
  <c r="J12" i="186"/>
  <c r="H11" i="186"/>
  <c r="H42" i="186" s="1"/>
  <c r="J10" i="186"/>
  <c r="I42" i="186"/>
  <c r="G42" i="186"/>
  <c r="J8" i="186"/>
  <c r="C133" i="185"/>
  <c r="B129" i="185"/>
  <c r="C127" i="185"/>
  <c r="B127" i="185" s="1"/>
  <c r="C126" i="185"/>
  <c r="J110" i="185"/>
  <c r="J109" i="185"/>
  <c r="J108" i="185"/>
  <c r="J107" i="185"/>
  <c r="J106" i="185"/>
  <c r="J105" i="185"/>
  <c r="J104" i="185"/>
  <c r="J103" i="185"/>
  <c r="J102" i="185"/>
  <c r="J101" i="185"/>
  <c r="AT98" i="185"/>
  <c r="J97" i="185"/>
  <c r="J96" i="185"/>
  <c r="AT93" i="185"/>
  <c r="J89" i="185"/>
  <c r="I88" i="185"/>
  <c r="G88" i="185"/>
  <c r="J88" i="185" s="1"/>
  <c r="F88" i="185"/>
  <c r="G87" i="185"/>
  <c r="J87" i="185" s="1"/>
  <c r="F87" i="185"/>
  <c r="V86" i="185"/>
  <c r="G86" i="185"/>
  <c r="J86" i="185" s="1"/>
  <c r="F86" i="185"/>
  <c r="E86" i="185"/>
  <c r="J85" i="185"/>
  <c r="J84" i="185"/>
  <c r="J83" i="185"/>
  <c r="J82" i="185"/>
  <c r="J81" i="185"/>
  <c r="J80" i="185"/>
  <c r="J79" i="185"/>
  <c r="J78" i="185"/>
  <c r="J77" i="185"/>
  <c r="J76" i="185"/>
  <c r="J75" i="185"/>
  <c r="J74" i="185"/>
  <c r="J73" i="185"/>
  <c r="J72" i="185"/>
  <c r="J71" i="185"/>
  <c r="J70" i="185"/>
  <c r="J69" i="185"/>
  <c r="J68" i="185"/>
  <c r="J67" i="185"/>
  <c r="J66" i="185"/>
  <c r="J65" i="185"/>
  <c r="J64" i="185"/>
  <c r="J63" i="185"/>
  <c r="J62" i="185"/>
  <c r="J61" i="185"/>
  <c r="J60" i="185"/>
  <c r="J59" i="185"/>
  <c r="AP42" i="185"/>
  <c r="AH42" i="185"/>
  <c r="AF42" i="185"/>
  <c r="AD42" i="185"/>
  <c r="AB42" i="185"/>
  <c r="Z42" i="185"/>
  <c r="V42" i="185"/>
  <c r="T42" i="185"/>
  <c r="R42" i="185"/>
  <c r="N42" i="185"/>
  <c r="L42" i="185"/>
  <c r="F42" i="185"/>
  <c r="F46" i="185" s="1"/>
  <c r="J39" i="185"/>
  <c r="J38" i="185"/>
  <c r="J37" i="185"/>
  <c r="J36" i="185"/>
  <c r="J35" i="185"/>
  <c r="J34" i="185"/>
  <c r="J33" i="185"/>
  <c r="J32" i="185"/>
  <c r="J31" i="185"/>
  <c r="J30" i="185"/>
  <c r="J29" i="185"/>
  <c r="J28" i="185"/>
  <c r="J27" i="185"/>
  <c r="J26" i="185"/>
  <c r="J25" i="185"/>
  <c r="J24" i="185"/>
  <c r="J23" i="185"/>
  <c r="J22" i="185"/>
  <c r="J21" i="185"/>
  <c r="J20" i="185"/>
  <c r="J19" i="185"/>
  <c r="J18" i="185"/>
  <c r="J17" i="185"/>
  <c r="J16" i="185"/>
  <c r="J15" i="185"/>
  <c r="J14" i="185"/>
  <c r="J13" i="185"/>
  <c r="J12" i="185"/>
  <c r="X11" i="185"/>
  <c r="P11" i="185"/>
  <c r="C128" i="185" s="1"/>
  <c r="B128" i="185" s="1"/>
  <c r="G11" i="185"/>
  <c r="J10" i="185"/>
  <c r="J8" i="185"/>
  <c r="B103" i="183"/>
  <c r="C102" i="183"/>
  <c r="B102" i="183"/>
  <c r="C101" i="183"/>
  <c r="J88" i="183"/>
  <c r="J87" i="183"/>
  <c r="J86" i="183"/>
  <c r="J85" i="183"/>
  <c r="J84" i="183"/>
  <c r="J83" i="183"/>
  <c r="J82" i="183"/>
  <c r="J81" i="183"/>
  <c r="J80" i="183"/>
  <c r="J79" i="183"/>
  <c r="AT76" i="183"/>
  <c r="J75" i="183"/>
  <c r="J74" i="183"/>
  <c r="J67" i="183"/>
  <c r="J66" i="183"/>
  <c r="J65" i="183"/>
  <c r="J64" i="183"/>
  <c r="J63" i="183"/>
  <c r="J62" i="183"/>
  <c r="J61" i="183"/>
  <c r="J60" i="183"/>
  <c r="J59" i="183"/>
  <c r="J58" i="183"/>
  <c r="J57" i="183"/>
  <c r="J56" i="183"/>
  <c r="J55" i="183"/>
  <c r="J54" i="183"/>
  <c r="J53" i="183"/>
  <c r="J52" i="183"/>
  <c r="J51" i="183"/>
  <c r="J50" i="183"/>
  <c r="J49" i="183"/>
  <c r="J48" i="183"/>
  <c r="J47" i="183"/>
  <c r="AP30" i="183"/>
  <c r="AP71" i="183" s="1"/>
  <c r="AH30" i="183"/>
  <c r="AH71" i="183" s="1"/>
  <c r="AH76" i="183" s="1"/>
  <c r="AH89" i="183" s="1"/>
  <c r="AF30" i="183"/>
  <c r="AF71" i="183" s="1"/>
  <c r="AD30" i="183"/>
  <c r="AD71" i="183" s="1"/>
  <c r="AB30" i="183"/>
  <c r="AB71" i="183" s="1"/>
  <c r="Z30" i="183"/>
  <c r="Z71" i="183" s="1"/>
  <c r="V30" i="183"/>
  <c r="V71" i="183" s="1"/>
  <c r="T30" i="183"/>
  <c r="T71" i="183" s="1"/>
  <c r="R30" i="183"/>
  <c r="R71" i="183" s="1"/>
  <c r="N30" i="183"/>
  <c r="L30" i="183"/>
  <c r="J27" i="183"/>
  <c r="J26" i="183"/>
  <c r="J25" i="183"/>
  <c r="J24" i="183"/>
  <c r="J23" i="183"/>
  <c r="J22" i="183"/>
  <c r="J21" i="183"/>
  <c r="J20" i="183"/>
  <c r="J19" i="183"/>
  <c r="J18" i="183"/>
  <c r="J17" i="183"/>
  <c r="J16" i="183"/>
  <c r="J15" i="183"/>
  <c r="J14" i="183"/>
  <c r="J13" i="183"/>
  <c r="J12" i="183"/>
  <c r="X11" i="183"/>
  <c r="P11" i="183"/>
  <c r="C103" i="183" s="1"/>
  <c r="G11" i="183"/>
  <c r="H11" i="183" s="1"/>
  <c r="F11" i="183"/>
  <c r="F30" i="183" s="1"/>
  <c r="J10" i="183"/>
  <c r="I30" i="183"/>
  <c r="J8" i="183"/>
  <c r="C66" i="182"/>
  <c r="B66" i="182" s="1"/>
  <c r="C65" i="182"/>
  <c r="B65" i="182" s="1"/>
  <c r="C64" i="182"/>
  <c r="J57" i="182"/>
  <c r="J56" i="182"/>
  <c r="J54" i="182"/>
  <c r="J53" i="182"/>
  <c r="J52" i="182"/>
  <c r="J51" i="182"/>
  <c r="J50" i="182"/>
  <c r="J49" i="182"/>
  <c r="J48" i="182"/>
  <c r="J47" i="182"/>
  <c r="J46" i="182"/>
  <c r="J45" i="182"/>
  <c r="AB30" i="182"/>
  <c r="AB34" i="182" s="1"/>
  <c r="AB58" i="182" s="1"/>
  <c r="Z30" i="182"/>
  <c r="Z34" i="182" s="1"/>
  <c r="Z58" i="182" s="1"/>
  <c r="X30" i="182"/>
  <c r="X34" i="182" s="1"/>
  <c r="X58" i="182" s="1"/>
  <c r="V30" i="182"/>
  <c r="V34" i="182" s="1"/>
  <c r="V58" i="182" s="1"/>
  <c r="T30" i="182"/>
  <c r="T34" i="182" s="1"/>
  <c r="T58" i="182" s="1"/>
  <c r="R30" i="182"/>
  <c r="R34" i="182" s="1"/>
  <c r="R58" i="182" s="1"/>
  <c r="P30" i="182"/>
  <c r="P34" i="182" s="1"/>
  <c r="P58" i="182" s="1"/>
  <c r="N30" i="182"/>
  <c r="N34" i="182" s="1"/>
  <c r="N58" i="182" s="1"/>
  <c r="L30" i="182"/>
  <c r="L34" i="182" s="1"/>
  <c r="L58" i="182" s="1"/>
  <c r="I30" i="182"/>
  <c r="I34" i="182" s="1"/>
  <c r="I58" i="182" s="1"/>
  <c r="F30" i="182"/>
  <c r="F34" i="182" s="1"/>
  <c r="F58" i="182" s="1"/>
  <c r="J27" i="182"/>
  <c r="J26" i="182"/>
  <c r="J25" i="182"/>
  <c r="J24" i="182"/>
  <c r="J23" i="182"/>
  <c r="J22" i="182"/>
  <c r="J21" i="182"/>
  <c r="J20" i="182"/>
  <c r="J19" i="182"/>
  <c r="J18" i="182"/>
  <c r="J17" i="182"/>
  <c r="J16" i="182"/>
  <c r="J15" i="182"/>
  <c r="J14" i="182"/>
  <c r="J13" i="182"/>
  <c r="J12" i="182"/>
  <c r="H11" i="182"/>
  <c r="H30" i="182" s="1"/>
  <c r="H34" i="182" s="1"/>
  <c r="H58" i="182" s="1"/>
  <c r="J10" i="182"/>
  <c r="G30" i="182"/>
  <c r="G34" i="182" s="1"/>
  <c r="G58" i="182" s="1"/>
  <c r="J8" i="182"/>
  <c r="E35" i="199"/>
  <c r="E47" i="199" l="1"/>
  <c r="G21" i="199" s="1"/>
  <c r="G22" i="199" s="1"/>
  <c r="B70" i="182"/>
  <c r="V93" i="185"/>
  <c r="V98" i="185" s="1"/>
  <c r="V111" i="185" s="1"/>
  <c r="B133" i="185"/>
  <c r="F93" i="185"/>
  <c r="F98" i="185" s="1"/>
  <c r="F111" i="185" s="1"/>
  <c r="B108" i="183"/>
  <c r="F92" i="187"/>
  <c r="F97" i="187" s="1"/>
  <c r="F110" i="187" s="1"/>
  <c r="F92" i="186"/>
  <c r="F97" i="186" s="1"/>
  <c r="F110" i="186" s="1"/>
  <c r="B131" i="186"/>
  <c r="BH37" i="190"/>
  <c r="BH57" i="190" s="1"/>
  <c r="BH67" i="190" s="1"/>
  <c r="BI37" i="190"/>
  <c r="BI57" i="190" s="1"/>
  <c r="BI67" i="190" s="1"/>
  <c r="BJ37" i="190"/>
  <c r="BJ57" i="190" s="1"/>
  <c r="BJ67" i="190" s="1"/>
  <c r="BK37" i="190"/>
  <c r="BK57" i="190" s="1"/>
  <c r="BK67" i="190" s="1"/>
  <c r="BL37" i="190"/>
  <c r="BL57" i="190" s="1"/>
  <c r="BL67" i="190" s="1"/>
  <c r="BF37" i="190"/>
  <c r="BF57" i="190" s="1"/>
  <c r="BF67" i="190" s="1"/>
  <c r="BG37" i="190"/>
  <c r="BG57" i="190" s="1"/>
  <c r="BG67" i="190" s="1"/>
  <c r="P43" i="192"/>
  <c r="P67" i="192" s="1"/>
  <c r="P77" i="192" s="1"/>
  <c r="U43" i="192"/>
  <c r="U67" i="192" s="1"/>
  <c r="U77" i="192" s="1"/>
  <c r="BJ43" i="192"/>
  <c r="BJ67" i="192" s="1"/>
  <c r="BJ77" i="192" s="1"/>
  <c r="BI43" i="192"/>
  <c r="BI67" i="192" s="1"/>
  <c r="BI77" i="192" s="1"/>
  <c r="T43" i="192"/>
  <c r="T67" i="192" s="1"/>
  <c r="T77" i="192" s="1"/>
  <c r="Y43" i="192"/>
  <c r="Y67" i="192" s="1"/>
  <c r="Y77" i="192" s="1"/>
  <c r="BK43" i="192"/>
  <c r="BK67" i="192" s="1"/>
  <c r="BK77" i="192" s="1"/>
  <c r="X43" i="192"/>
  <c r="X67" i="192" s="1"/>
  <c r="X77" i="192" s="1"/>
  <c r="F43" i="192"/>
  <c r="F67" i="192" s="1"/>
  <c r="F77" i="192" s="1"/>
  <c r="AB43" i="192"/>
  <c r="AB67" i="192" s="1"/>
  <c r="AB77" i="192" s="1"/>
  <c r="BA43" i="192"/>
  <c r="BA67" i="192" s="1"/>
  <c r="BA77" i="192" s="1"/>
  <c r="BL43" i="192"/>
  <c r="BL67" i="192" s="1"/>
  <c r="BL77" i="192" s="1"/>
  <c r="G43" i="192"/>
  <c r="G67" i="192" s="1"/>
  <c r="G77" i="192" s="1"/>
  <c r="AC43" i="192"/>
  <c r="AC67" i="192" s="1"/>
  <c r="AC77" i="192" s="1"/>
  <c r="BE43" i="192"/>
  <c r="BE67" i="192" s="1"/>
  <c r="BE77" i="192" s="1"/>
  <c r="AS43" i="192"/>
  <c r="AS67" i="192" s="1"/>
  <c r="AS77" i="192" s="1"/>
  <c r="BD43" i="192"/>
  <c r="BD67" i="192" s="1"/>
  <c r="BD77" i="192" s="1"/>
  <c r="AR43" i="192"/>
  <c r="AR67" i="192" s="1"/>
  <c r="AR77" i="192" s="1"/>
  <c r="H43" i="192"/>
  <c r="H67" i="192" s="1"/>
  <c r="H77" i="192" s="1"/>
  <c r="AF43" i="192"/>
  <c r="AF67" i="192" s="1"/>
  <c r="AF77" i="192" s="1"/>
  <c r="BF43" i="192"/>
  <c r="BF67" i="192" s="1"/>
  <c r="BF77" i="192" s="1"/>
  <c r="L43" i="192"/>
  <c r="L67" i="192" s="1"/>
  <c r="L77" i="192" s="1"/>
  <c r="AK43" i="192"/>
  <c r="AK67" i="192" s="1"/>
  <c r="AK77" i="192" s="1"/>
  <c r="BG43" i="192"/>
  <c r="BG67" i="192" s="1"/>
  <c r="BG77" i="192" s="1"/>
  <c r="Q43" i="192"/>
  <c r="Q67" i="192" s="1"/>
  <c r="Q77" i="192" s="1"/>
  <c r="M43" i="192"/>
  <c r="M67" i="192" s="1"/>
  <c r="M77" i="192" s="1"/>
  <c r="AO43" i="192"/>
  <c r="AO67" i="192" s="1"/>
  <c r="AO77" i="192" s="1"/>
  <c r="BH43" i="192"/>
  <c r="BH67" i="192" s="1"/>
  <c r="BH77" i="192" s="1"/>
  <c r="AN39" i="192"/>
  <c r="AG39" i="192"/>
  <c r="AV39" i="192"/>
  <c r="G42" i="191"/>
  <c r="G67" i="191" s="1"/>
  <c r="G79" i="191" s="1"/>
  <c r="X42" i="191"/>
  <c r="X67" i="191" s="1"/>
  <c r="X79" i="191" s="1"/>
  <c r="I42" i="191"/>
  <c r="I67" i="191" s="1"/>
  <c r="I79" i="191" s="1"/>
  <c r="Z42" i="191"/>
  <c r="Z67" i="191" s="1"/>
  <c r="Z79" i="191" s="1"/>
  <c r="L42" i="191"/>
  <c r="L67" i="191" s="1"/>
  <c r="L79" i="191" s="1"/>
  <c r="N42" i="191"/>
  <c r="N67" i="191" s="1"/>
  <c r="N79" i="191" s="1"/>
  <c r="AD42" i="191"/>
  <c r="AD67" i="191" s="1"/>
  <c r="AD79" i="191" s="1"/>
  <c r="AB42" i="191"/>
  <c r="AB67" i="191" s="1"/>
  <c r="AB79" i="191" s="1"/>
  <c r="P42" i="191"/>
  <c r="P67" i="191" s="1"/>
  <c r="P79" i="191" s="1"/>
  <c r="R42" i="191"/>
  <c r="R67" i="191" s="1"/>
  <c r="R79" i="191" s="1"/>
  <c r="AH42" i="191"/>
  <c r="AH67" i="191" s="1"/>
  <c r="AH79" i="191" s="1"/>
  <c r="T42" i="191"/>
  <c r="T67" i="191" s="1"/>
  <c r="T79" i="191" s="1"/>
  <c r="F42" i="191"/>
  <c r="F67" i="191" s="1"/>
  <c r="F79" i="191" s="1"/>
  <c r="V42" i="191"/>
  <c r="V67" i="191" s="1"/>
  <c r="V79" i="191" s="1"/>
  <c r="F37" i="190"/>
  <c r="F57" i="190" s="1"/>
  <c r="F67" i="190" s="1"/>
  <c r="M37" i="190"/>
  <c r="M57" i="190" s="1"/>
  <c r="M67" i="190" s="1"/>
  <c r="G37" i="190"/>
  <c r="G57" i="190" s="1"/>
  <c r="G67" i="190" s="1"/>
  <c r="Q37" i="190"/>
  <c r="Q57" i="190" s="1"/>
  <c r="Q67" i="190" s="1"/>
  <c r="P37" i="190"/>
  <c r="P57" i="190" s="1"/>
  <c r="P67" i="190" s="1"/>
  <c r="AV37" i="190"/>
  <c r="AV57" i="190" s="1"/>
  <c r="AV67" i="190" s="1"/>
  <c r="Y37" i="190"/>
  <c r="Y57" i="190" s="1"/>
  <c r="Y67" i="190" s="1"/>
  <c r="AS37" i="190"/>
  <c r="AS57" i="190" s="1"/>
  <c r="AS67" i="190" s="1"/>
  <c r="T37" i="190"/>
  <c r="T57" i="190" s="1"/>
  <c r="T67" i="190" s="1"/>
  <c r="AB37" i="190"/>
  <c r="AB57" i="190" s="1"/>
  <c r="AB67" i="190" s="1"/>
  <c r="BA37" i="190"/>
  <c r="BA57" i="190" s="1"/>
  <c r="BA67" i="190" s="1"/>
  <c r="U37" i="190"/>
  <c r="U57" i="190" s="1"/>
  <c r="U67" i="190" s="1"/>
  <c r="AC37" i="190"/>
  <c r="AC57" i="190" s="1"/>
  <c r="AC67" i="190" s="1"/>
  <c r="BE37" i="190"/>
  <c r="BE57" i="190" s="1"/>
  <c r="BE67" i="190" s="1"/>
  <c r="X37" i="190"/>
  <c r="X57" i="190" s="1"/>
  <c r="X67" i="190" s="1"/>
  <c r="AF37" i="190"/>
  <c r="AF57" i="190" s="1"/>
  <c r="AF67" i="190" s="1"/>
  <c r="H37" i="190"/>
  <c r="H57" i="190" s="1"/>
  <c r="H67" i="190" s="1"/>
  <c r="AK37" i="190"/>
  <c r="AK57" i="190" s="1"/>
  <c r="AK67" i="190" s="1"/>
  <c r="BD37" i="190"/>
  <c r="BD57" i="190" s="1"/>
  <c r="BD67" i="190" s="1"/>
  <c r="AR37" i="190"/>
  <c r="AR57" i="190" s="1"/>
  <c r="AR67" i="190" s="1"/>
  <c r="L37" i="190"/>
  <c r="L57" i="190" s="1"/>
  <c r="L67" i="190" s="1"/>
  <c r="AO37" i="190"/>
  <c r="AO57" i="190" s="1"/>
  <c r="AO67" i="190" s="1"/>
  <c r="AN33" i="190"/>
  <c r="AG33" i="190"/>
  <c r="I36" i="189"/>
  <c r="I57" i="189" s="1"/>
  <c r="I69" i="189" s="1"/>
  <c r="AD36" i="189"/>
  <c r="AD57" i="189" s="1"/>
  <c r="AD69" i="189" s="1"/>
  <c r="F36" i="189"/>
  <c r="F57" i="189" s="1"/>
  <c r="F69" i="189" s="1"/>
  <c r="L36" i="189"/>
  <c r="L57" i="189" s="1"/>
  <c r="L69" i="189" s="1"/>
  <c r="G36" i="189"/>
  <c r="G57" i="189" s="1"/>
  <c r="G69" i="189" s="1"/>
  <c r="N36" i="189"/>
  <c r="N57" i="189" s="1"/>
  <c r="N69" i="189" s="1"/>
  <c r="AH36" i="189"/>
  <c r="AH57" i="189" s="1"/>
  <c r="AH69" i="189" s="1"/>
  <c r="P36" i="189"/>
  <c r="P57" i="189" s="1"/>
  <c r="P69" i="189" s="1"/>
  <c r="R36" i="189"/>
  <c r="R57" i="189" s="1"/>
  <c r="R69" i="189" s="1"/>
  <c r="Z36" i="189"/>
  <c r="Z57" i="189" s="1"/>
  <c r="Z69" i="189" s="1"/>
  <c r="T36" i="189"/>
  <c r="T57" i="189" s="1"/>
  <c r="T69" i="189" s="1"/>
  <c r="V36" i="189"/>
  <c r="V57" i="189" s="1"/>
  <c r="V69" i="189" s="1"/>
  <c r="AB36" i="189"/>
  <c r="AB57" i="189" s="1"/>
  <c r="AB69" i="189" s="1"/>
  <c r="X36" i="189"/>
  <c r="X57" i="189" s="1"/>
  <c r="X69" i="189" s="1"/>
  <c r="J10" i="188"/>
  <c r="J29" i="188" s="1"/>
  <c r="I46" i="187"/>
  <c r="I92" i="187" s="1"/>
  <c r="I97" i="187" s="1"/>
  <c r="H46" i="187"/>
  <c r="H92" i="187" s="1"/>
  <c r="H97" i="187" s="1"/>
  <c r="H110" i="187" s="1"/>
  <c r="Z46" i="187"/>
  <c r="Z92" i="187" s="1"/>
  <c r="Z97" i="187" s="1"/>
  <c r="Z110" i="187" s="1"/>
  <c r="X46" i="187"/>
  <c r="X92" i="187" s="1"/>
  <c r="X97" i="187" s="1"/>
  <c r="X110" i="187" s="1"/>
  <c r="L46" i="187"/>
  <c r="L92" i="187" s="1"/>
  <c r="L97" i="187" s="1"/>
  <c r="L110" i="187" s="1"/>
  <c r="AB46" i="187"/>
  <c r="AB92" i="187" s="1"/>
  <c r="AB97" i="187" s="1"/>
  <c r="AB110" i="187" s="1"/>
  <c r="G46" i="187"/>
  <c r="G92" i="187" s="1"/>
  <c r="G97" i="187" s="1"/>
  <c r="G110" i="187" s="1"/>
  <c r="N46" i="187"/>
  <c r="N92" i="187" s="1"/>
  <c r="N97" i="187" s="1"/>
  <c r="N110" i="187" s="1"/>
  <c r="AD46" i="187"/>
  <c r="AD92" i="187" s="1"/>
  <c r="AD97" i="187" s="1"/>
  <c r="AD110" i="187" s="1"/>
  <c r="P46" i="187"/>
  <c r="P92" i="187" s="1"/>
  <c r="P97" i="187" s="1"/>
  <c r="P110" i="187" s="1"/>
  <c r="AF46" i="187"/>
  <c r="AF92" i="187" s="1"/>
  <c r="AF97" i="187" s="1"/>
  <c r="AF110" i="187" s="1"/>
  <c r="R46" i="187"/>
  <c r="R92" i="187" s="1"/>
  <c r="R97" i="187" s="1"/>
  <c r="R110" i="187" s="1"/>
  <c r="V46" i="187"/>
  <c r="V92" i="187" s="1"/>
  <c r="V97" i="187" s="1"/>
  <c r="V110" i="187" s="1"/>
  <c r="B151" i="187"/>
  <c r="B153" i="187"/>
  <c r="V46" i="186"/>
  <c r="V92" i="186" s="1"/>
  <c r="V97" i="186" s="1"/>
  <c r="V110" i="186" s="1"/>
  <c r="G46" i="186"/>
  <c r="G92" i="186" s="1"/>
  <c r="G97" i="186" s="1"/>
  <c r="G110" i="186" s="1"/>
  <c r="X46" i="186"/>
  <c r="X92" i="186" s="1"/>
  <c r="X97" i="186" s="1"/>
  <c r="X110" i="186" s="1"/>
  <c r="AH46" i="186"/>
  <c r="AH92" i="186" s="1"/>
  <c r="AH97" i="186" s="1"/>
  <c r="AH110" i="186" s="1"/>
  <c r="I46" i="186"/>
  <c r="I92" i="186" s="1"/>
  <c r="I97" i="186" s="1"/>
  <c r="Z46" i="186"/>
  <c r="Z92" i="186" s="1"/>
  <c r="Z97" i="186" s="1"/>
  <c r="Z110" i="186" s="1"/>
  <c r="T46" i="186"/>
  <c r="T92" i="186" s="1"/>
  <c r="T97" i="186" s="1"/>
  <c r="T110" i="186" s="1"/>
  <c r="L46" i="186"/>
  <c r="L92" i="186" s="1"/>
  <c r="L97" i="186" s="1"/>
  <c r="L110" i="186" s="1"/>
  <c r="AB46" i="186"/>
  <c r="AB92" i="186" s="1"/>
  <c r="AB97" i="186" s="1"/>
  <c r="AB110" i="186" s="1"/>
  <c r="R46" i="186"/>
  <c r="R92" i="186" s="1"/>
  <c r="R97" i="186" s="1"/>
  <c r="R110" i="186" s="1"/>
  <c r="H46" i="186"/>
  <c r="H92" i="186" s="1"/>
  <c r="H97" i="186" s="1"/>
  <c r="H110" i="186" s="1"/>
  <c r="N46" i="186"/>
  <c r="N92" i="186" s="1"/>
  <c r="N97" i="186" s="1"/>
  <c r="N110" i="186" s="1"/>
  <c r="AD46" i="186"/>
  <c r="AD92" i="186" s="1"/>
  <c r="AD97" i="186" s="1"/>
  <c r="AD110" i="186" s="1"/>
  <c r="P46" i="186"/>
  <c r="P92" i="186" s="1"/>
  <c r="P97" i="186" s="1"/>
  <c r="P110" i="186" s="1"/>
  <c r="AF46" i="186"/>
  <c r="AF92" i="186" s="1"/>
  <c r="AF97" i="186" s="1"/>
  <c r="AF110" i="186" s="1"/>
  <c r="B132" i="186"/>
  <c r="L93" i="185"/>
  <c r="L98" i="185" s="1"/>
  <c r="L111" i="185" s="1"/>
  <c r="AF93" i="185"/>
  <c r="AF98" i="185" s="1"/>
  <c r="AF111" i="185" s="1"/>
  <c r="N93" i="185"/>
  <c r="N98" i="185" s="1"/>
  <c r="N111" i="185" s="1"/>
  <c r="AH93" i="185"/>
  <c r="AH98" i="185" s="1"/>
  <c r="AH111" i="185" s="1"/>
  <c r="R93" i="185"/>
  <c r="R98" i="185" s="1"/>
  <c r="R111" i="185" s="1"/>
  <c r="AP93" i="185"/>
  <c r="AP98" i="185" s="1"/>
  <c r="AP111" i="185" s="1"/>
  <c r="T93" i="185"/>
  <c r="T98" i="185" s="1"/>
  <c r="T111" i="185" s="1"/>
  <c r="Z93" i="185"/>
  <c r="Z98" i="185" s="1"/>
  <c r="Z111" i="185" s="1"/>
  <c r="AD93" i="185"/>
  <c r="AD98" i="185" s="1"/>
  <c r="AD111" i="185" s="1"/>
  <c r="AB93" i="185"/>
  <c r="AB98" i="185" s="1"/>
  <c r="AB111" i="185" s="1"/>
  <c r="B135" i="185"/>
  <c r="P42" i="185"/>
  <c r="G42" i="185"/>
  <c r="G46" i="185" s="1"/>
  <c r="L34" i="183"/>
  <c r="L71" i="183" s="1"/>
  <c r="L76" i="183" s="1"/>
  <c r="L89" i="183" s="1"/>
  <c r="AF76" i="183"/>
  <c r="AF89" i="183" s="1"/>
  <c r="AF34" i="183"/>
  <c r="N71" i="183"/>
  <c r="N76" i="183" s="1"/>
  <c r="N89" i="183" s="1"/>
  <c r="N34" i="183"/>
  <c r="AH34" i="183"/>
  <c r="I34" i="183"/>
  <c r="I71" i="183" s="1"/>
  <c r="I76" i="183" s="1"/>
  <c r="I89" i="183" s="1"/>
  <c r="R76" i="183"/>
  <c r="R89" i="183" s="1"/>
  <c r="R34" i="183"/>
  <c r="AP76" i="183"/>
  <c r="AP89" i="183" s="1"/>
  <c r="AP34" i="183"/>
  <c r="T76" i="183"/>
  <c r="T89" i="183" s="1"/>
  <c r="T34" i="183"/>
  <c r="V76" i="183"/>
  <c r="V89" i="183" s="1"/>
  <c r="V34" i="183"/>
  <c r="Z76" i="183"/>
  <c r="Z89" i="183" s="1"/>
  <c r="Z34" i="183"/>
  <c r="F34" i="183"/>
  <c r="F71" i="183" s="1"/>
  <c r="AB76" i="183"/>
  <c r="AB89" i="183" s="1"/>
  <c r="AB34" i="183"/>
  <c r="AD76" i="183"/>
  <c r="AD89" i="183" s="1"/>
  <c r="AD34" i="183"/>
  <c r="G30" i="183"/>
  <c r="H38" i="191"/>
  <c r="H10" i="189"/>
  <c r="H32" i="189" s="1"/>
  <c r="J11" i="186"/>
  <c r="X42" i="185"/>
  <c r="I42" i="185"/>
  <c r="I46" i="185" s="1"/>
  <c r="H11" i="185"/>
  <c r="H42" i="185" s="1"/>
  <c r="J11" i="183"/>
  <c r="H30" i="183"/>
  <c r="P30" i="183"/>
  <c r="P71" i="183" s="1"/>
  <c r="B110" i="183"/>
  <c r="X30" i="183"/>
  <c r="X71" i="183" s="1"/>
  <c r="J11" i="182"/>
  <c r="B94" i="183" l="1" a="1"/>
  <c r="B94" i="183" s="1"/>
  <c r="F76" i="183"/>
  <c r="F89" i="183" s="1"/>
  <c r="I110" i="187"/>
  <c r="B118" i="187" a="1"/>
  <c r="B118" i="187" s="1"/>
  <c r="B117" i="187" a="1"/>
  <c r="B117" i="187" s="1"/>
  <c r="B116" i="187" a="1"/>
  <c r="B116" i="187" s="1"/>
  <c r="I110" i="186"/>
  <c r="B117" i="186" a="1"/>
  <c r="B117" i="186" s="1"/>
  <c r="B115" i="186" a="1"/>
  <c r="B115" i="186" s="1"/>
  <c r="AV43" i="192"/>
  <c r="AV67" i="192" s="1"/>
  <c r="AV77" i="192" s="1"/>
  <c r="AG43" i="192"/>
  <c r="AG67" i="192" s="1"/>
  <c r="AG77" i="192" s="1"/>
  <c r="AN43" i="192"/>
  <c r="AN67" i="192" s="1"/>
  <c r="AN77" i="192" s="1"/>
  <c r="H42" i="191"/>
  <c r="H67" i="191" s="1"/>
  <c r="H79" i="191" s="1"/>
  <c r="AG37" i="190"/>
  <c r="AG57" i="190" s="1"/>
  <c r="AG67" i="190" s="1"/>
  <c r="AN37" i="190"/>
  <c r="AN57" i="190" s="1"/>
  <c r="AN67" i="190" s="1"/>
  <c r="H36" i="189"/>
  <c r="H57" i="189" s="1"/>
  <c r="H69" i="189" s="1"/>
  <c r="G93" i="185"/>
  <c r="G98" i="185" s="1"/>
  <c r="G111" i="185" s="1"/>
  <c r="H93" i="185"/>
  <c r="H98" i="185" s="1"/>
  <c r="H111" i="185" s="1"/>
  <c r="P93" i="185"/>
  <c r="P98" i="185" s="1"/>
  <c r="P111" i="185" s="1"/>
  <c r="I93" i="185"/>
  <c r="I98" i="185" s="1"/>
  <c r="I111" i="185" s="1"/>
  <c r="X93" i="185"/>
  <c r="X98" i="185" s="1"/>
  <c r="X111" i="185" s="1"/>
  <c r="X76" i="183"/>
  <c r="X89" i="183" s="1"/>
  <c r="X34" i="183"/>
  <c r="P76" i="183"/>
  <c r="P89" i="183" s="1"/>
  <c r="P34" i="183"/>
  <c r="H34" i="183"/>
  <c r="H71" i="183" s="1"/>
  <c r="H76" i="183" s="1"/>
  <c r="H89" i="183" s="1"/>
  <c r="G34" i="183"/>
  <c r="G71" i="183" s="1"/>
  <c r="B62" i="182" a="1"/>
  <c r="B62" i="182" s="1"/>
  <c r="J10" i="189"/>
  <c r="B116" i="186" a="1"/>
  <c r="B116" i="186" s="1"/>
  <c r="J11" i="185"/>
  <c r="B95" i="183" a="1"/>
  <c r="B95" i="183" s="1"/>
  <c r="B93" i="183" a="1"/>
  <c r="B93" i="183" s="1"/>
  <c r="G76" i="183" l="1"/>
  <c r="G89" i="183" s="1"/>
  <c r="B116" i="185" a="1"/>
  <c r="B116" i="185" s="1"/>
  <c r="B117" i="185" a="1"/>
  <c r="B117" i="185" s="1"/>
  <c r="B118" i="185" a="1"/>
  <c r="B118" i="185" s="1"/>
  <c r="V44" i="197" l="1"/>
  <c r="X44" i="195"/>
  <c r="X48" i="195" s="1"/>
  <c r="X78" i="195" s="1"/>
  <c r="X90" i="195" s="1"/>
  <c r="V48" i="197" l="1"/>
  <c r="V77" i="197" s="1"/>
  <c r="V89" i="197"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Goyal, Mayank (Nokia - IN/Bangalore)</author>
    <author>Rastogi, Alok (Nokia - IN/Bangalore)</author>
    <author>tc={D90F44C2-4367-4F88-BE0B-3BC7B14AF6D5}</author>
  </authors>
  <commentList>
    <comment ref="E9" authorId="0" shapeId="0" xr:uid="{2FE11AC0-13F4-4C90-AEBD-6111ED9258D1}">
      <text>
        <r>
          <rPr>
            <b/>
            <sz val="9"/>
            <color indexed="81"/>
            <rFont val="Tahoma"/>
            <family val="2"/>
          </rPr>
          <t>Goyal, Mayank (Nokia - IN/Bangalore):</t>
        </r>
        <r>
          <rPr>
            <sz val="9"/>
            <color indexed="81"/>
            <rFont val="Tahoma"/>
            <family val="2"/>
          </rPr>
          <t xml:space="preserve">
Removed from NetAct N20</t>
        </r>
      </text>
    </comment>
    <comment ref="E15" authorId="0" shapeId="0" xr:uid="{392571CD-B4A9-4A96-9F14-5F984668699B}">
      <text>
        <r>
          <rPr>
            <b/>
            <sz val="9"/>
            <color indexed="81"/>
            <rFont val="Tahoma"/>
            <family val="2"/>
          </rPr>
          <t>Goyal, Mayank (Nokia - IN/Bangalore):</t>
        </r>
        <r>
          <rPr>
            <sz val="9"/>
            <color indexed="81"/>
            <rFont val="Tahoma"/>
            <family val="2"/>
          </rPr>
          <t xml:space="preserve">
Removed from NetAct N20</t>
        </r>
      </text>
    </comment>
    <comment ref="D20" authorId="1" shapeId="0" xr:uid="{AEEB0F3B-08B1-4647-ABE4-D23484A6350B}">
      <text>
        <r>
          <rPr>
            <b/>
            <sz val="9"/>
            <color indexed="81"/>
            <rFont val="Tahoma"/>
            <family val="2"/>
          </rPr>
          <t>Rastogi, Alok (Nokia - IN/Bangalore):
SP1911 Onwards</t>
        </r>
        <r>
          <rPr>
            <sz val="9"/>
            <color indexed="81"/>
            <rFont val="Tahoma"/>
            <family val="2"/>
          </rPr>
          <t xml:space="preserve">
</t>
        </r>
      </text>
    </comment>
    <comment ref="D21" authorId="2" shapeId="0" xr:uid="{D90F44C2-4367-4F88-BE0B-3BC7B14AF6D5}">
      <text>
        <t>[Threaded comment]
Your version of Excel allows you to read this threaded comment; however, any edits to it will get removed if the file is opened in a newer version of Excel. Learn more: https://go.microsoft.com/fwlink/?linkid=870924
Comment:
    SP2004 Onwards</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Avuthu, Charan (EXT - IN/Bangalore)</author>
    <author>jarmylly</author>
    <author>Thippeswamy, Suresh (Nokia - IN/Bangalore)</author>
  </authors>
  <commentList>
    <comment ref="J7" authorId="0" shapeId="0" xr:uid="{775B95DC-E483-46B1-906C-5421307DEA06}">
      <text>
        <r>
          <rPr>
            <b/>
            <sz val="9"/>
            <color indexed="81"/>
            <rFont val="Tahoma"/>
            <charset val="1"/>
          </rPr>
          <t>Avuthu, Charan (EXT - IN/Bangalore):</t>
        </r>
        <r>
          <rPr>
            <sz val="9"/>
            <color indexed="81"/>
            <rFont val="Tahoma"/>
            <charset val="1"/>
          </rPr>
          <t xml:space="preserve">
Virtual Machine SWAP file size in VMGuestDisk data store, for Virtual Infra operations</t>
        </r>
      </text>
    </comment>
    <comment ref="E9" authorId="0" shapeId="0" xr:uid="{CC5DB043-4623-4841-BE8D-B347FF3D4AAE}">
      <text>
        <r>
          <rPr>
            <b/>
            <sz val="9"/>
            <color indexed="81"/>
            <rFont val="Tahoma"/>
            <charset val="1"/>
          </rPr>
          <t>Avuthu, Charan (EXT - IN/Bangalore):</t>
        </r>
        <r>
          <rPr>
            <sz val="9"/>
            <color indexed="81"/>
            <rFont val="Tahoma"/>
            <charset val="1"/>
          </rPr>
          <t xml:space="preserve">
Select the vCSA version</t>
        </r>
      </text>
    </comment>
    <comment ref="L11" authorId="1" shapeId="0" xr:uid="{27CE35FB-1160-46FE-BF96-56E013D2AFD3}">
      <text>
        <r>
          <rPr>
            <b/>
            <sz val="9"/>
            <color indexed="81"/>
            <rFont val="Tahoma"/>
            <family val="2"/>
          </rPr>
          <t>jarmylly:</t>
        </r>
        <r>
          <rPr>
            <sz val="9"/>
            <color indexed="81"/>
            <rFont val="Tahoma"/>
            <family val="2"/>
          </rPr>
          <t xml:space="preserve">
Contains one disk:
DB_redo: 60825MB</t>
        </r>
      </text>
    </comment>
    <comment ref="N11" authorId="1" shapeId="0" xr:uid="{A0084FE3-9159-4C38-9579-1283405F6CA6}">
      <text>
        <r>
          <rPr>
            <b/>
            <sz val="9"/>
            <color indexed="81"/>
            <rFont val="Tahoma"/>
            <family val="2"/>
          </rPr>
          <t>jarmylly:</t>
        </r>
        <r>
          <rPr>
            <sz val="9"/>
            <color indexed="81"/>
            <rFont val="Tahoma"/>
            <family val="2"/>
          </rPr>
          <t xml:space="preserve">
Contains one disk, either: 
 DB_data: 1244160MB
</t>
        </r>
      </text>
    </comment>
    <comment ref="P11" authorId="1" shapeId="0" xr:uid="{0373A65B-BD2E-49B1-880D-378C732865EA}">
      <text>
        <r>
          <rPr>
            <b/>
            <sz val="9"/>
            <color indexed="81"/>
            <rFont val="Tahoma"/>
            <family val="2"/>
          </rPr>
          <t>jarmylly:</t>
        </r>
        <r>
          <rPr>
            <sz val="9"/>
            <color indexed="81"/>
            <rFont val="Tahoma"/>
            <family val="2"/>
          </rPr>
          <t xml:space="preserve">
Contains one disk:
 DB_arc: 1520640MB
</t>
        </r>
      </text>
    </comment>
    <comment ref="V11" authorId="1" shapeId="0" xr:uid="{ED358DE8-D87D-4F4C-A02F-8A79D785C2B2}">
      <text>
        <r>
          <rPr>
            <b/>
            <sz val="9"/>
            <color indexed="81"/>
            <rFont val="Tahoma"/>
            <family val="2"/>
          </rPr>
          <t>jarmylly:</t>
        </r>
        <r>
          <rPr>
            <sz val="9"/>
            <color indexed="81"/>
            <rFont val="Tahoma"/>
            <family val="2"/>
          </rPr>
          <t xml:space="preserve">
Contains one disk:
 DB_backup: 4095000MB
</t>
        </r>
      </text>
    </comment>
    <comment ref="R12" authorId="1" shapeId="0" xr:uid="{088A7111-DAB9-43DE-BA20-270CE15C08DB}">
      <text>
        <r>
          <rPr>
            <b/>
            <sz val="9"/>
            <color indexed="81"/>
            <rFont val="Tahoma"/>
            <family val="2"/>
          </rPr>
          <t>jarmylly:</t>
        </r>
        <r>
          <rPr>
            <sz val="9"/>
            <color indexed="81"/>
            <rFont val="Tahoma"/>
            <family val="2"/>
          </rPr>
          <t xml:space="preserve">
 Contains three disks:
- NFS global: 281600 MB 
- NFS home: 12288 MB
- NFS WAS dump:25600 MB</t>
        </r>
      </text>
    </comment>
    <comment ref="V12" authorId="1" shapeId="0" xr:uid="{9C582F86-2E58-4EED-A6BC-9E1D96E8F5D0}">
      <text>
        <r>
          <rPr>
            <b/>
            <sz val="9"/>
            <color indexed="81"/>
            <rFont val="Tahoma"/>
            <family val="2"/>
          </rPr>
          <t>jarmylly:</t>
        </r>
        <r>
          <rPr>
            <sz val="9"/>
            <color indexed="81"/>
            <rFont val="Tahoma"/>
            <family val="2"/>
          </rPr>
          <t xml:space="preserve">
Contains one disk:
- NFS_backup: 230400MB</t>
        </r>
      </text>
    </comment>
    <comment ref="Z19" authorId="2" shapeId="0" xr:uid="{B6E1D05A-6BBA-400B-86E6-05A51B83C755}">
      <text>
        <r>
          <rPr>
            <b/>
            <sz val="9"/>
            <color indexed="81"/>
            <rFont val="Tahoma"/>
            <family val="2"/>
          </rPr>
          <t>Thippeswamy, Suresh (Nokia - IN/Bangalore):</t>
        </r>
        <r>
          <rPr>
            <sz val="9"/>
            <color indexed="81"/>
            <rFont val="Tahoma"/>
            <family val="2"/>
          </rPr>
          <t xml:space="preserve">
Contains 1 disk:
adm_disk1: 51200MB</t>
        </r>
      </text>
    </comment>
    <comment ref="AB21" authorId="2" shapeId="0" xr:uid="{774C5082-A3EB-47F2-9D3C-928E9241A24C}">
      <text>
        <r>
          <rPr>
            <b/>
            <sz val="9"/>
            <color indexed="81"/>
            <rFont val="Tahoma"/>
            <family val="2"/>
          </rPr>
          <t>Thippeswamy, Suresh (Nokia - IN/Bangalore):</t>
        </r>
        <r>
          <rPr>
            <sz val="9"/>
            <color indexed="81"/>
            <rFont val="Tahoma"/>
            <family val="2"/>
          </rPr>
          <t xml:space="preserve">
Contains one disk:
isdk_disk1 : 66560MB</t>
        </r>
      </text>
    </comment>
    <comment ref="X25" authorId="1" shapeId="0" xr:uid="{58D6F682-2761-44AB-87C2-75A6D1BCD65E}">
      <text>
        <r>
          <rPr>
            <b/>
            <sz val="9"/>
            <color indexed="81"/>
            <rFont val="Tahoma"/>
            <family val="2"/>
          </rPr>
          <t>jarmylly:</t>
        </r>
        <r>
          <rPr>
            <sz val="9"/>
            <color indexed="81"/>
            <rFont val="Tahoma"/>
            <family val="2"/>
          </rPr>
          <t xml:space="preserve">
Contains one disk:
- vm66_REP_disk: 46080MB
</t>
        </r>
      </text>
    </comment>
    <comment ref="X26" authorId="1" shapeId="0" xr:uid="{2F20DAFC-9652-4B1C-ADB0-4A4C6EE2F39B}">
      <text>
        <r>
          <rPr>
            <b/>
            <sz val="9"/>
            <color indexed="81"/>
            <rFont val="Tahoma"/>
            <family val="2"/>
          </rPr>
          <t>jarmylly:</t>
        </r>
        <r>
          <rPr>
            <sz val="9"/>
            <color indexed="81"/>
            <rFont val="Tahoma"/>
            <family val="2"/>
          </rPr>
          <t xml:space="preserve">
Contains one disk:
- vm67_REP_disk: 46080MB</t>
        </r>
      </text>
    </comment>
    <comment ref="AD29" authorId="0" shapeId="0" xr:uid="{33136052-180A-41E0-9815-025939C49192}">
      <text>
        <r>
          <rPr>
            <b/>
            <sz val="9"/>
            <color indexed="81"/>
            <rFont val="Tahoma"/>
            <charset val="1"/>
          </rPr>
          <t>Avuthu, Charan (EXT - IN/Bangalore):</t>
        </r>
        <r>
          <rPr>
            <sz val="9"/>
            <color indexed="81"/>
            <rFont val="Tahoma"/>
            <charset val="1"/>
          </rPr>
          <t xml:space="preserve">
Contains one disk:
- ccr_disk1: 153600MB</t>
        </r>
      </text>
    </comment>
    <comment ref="R33" authorId="0" shapeId="0" xr:uid="{EC3C0C0D-D24B-4D25-9568-7F15410879EB}">
      <text>
        <r>
          <rPr>
            <b/>
            <sz val="9"/>
            <color indexed="81"/>
            <rFont val="Tahoma"/>
            <charset val="1"/>
          </rPr>
          <t>Avuthu, Charan (EXT - IN/Bangalore):</t>
        </r>
        <r>
          <rPr>
            <sz val="9"/>
            <color indexed="81"/>
            <rFont val="Tahoma"/>
            <charset val="1"/>
          </rPr>
          <t xml:space="preserve">
Increase for NFSGlobal disk on VM#5 by 120GB
- NFS global (For LCM as optional service on Compute1): 404480 MB</t>
        </r>
      </text>
    </comment>
    <comment ref="V33" authorId="0" shapeId="0" xr:uid="{2090E6E6-8DE3-4B8E-AF3E-41F20F83758E}">
      <text>
        <r>
          <rPr>
            <b/>
            <sz val="9"/>
            <color indexed="81"/>
            <rFont val="Tahoma"/>
            <charset val="1"/>
          </rPr>
          <t>Avuthu, Charan (EXT - IN/Bangalore):</t>
        </r>
        <r>
          <rPr>
            <sz val="9"/>
            <color indexed="81"/>
            <rFont val="Tahoma"/>
            <charset val="1"/>
          </rPr>
          <t xml:space="preserve">
Contains one disk:
- backup_disk1: 204800MB
</t>
        </r>
        <r>
          <rPr>
            <sz val="9"/>
            <color indexed="81"/>
            <rFont val="Tahoma"/>
            <family val="2"/>
          </rPr>
          <t>Increase for NFSBackup disk on VM#5 by 120GB</t>
        </r>
        <r>
          <rPr>
            <sz val="9"/>
            <color indexed="81"/>
            <rFont val="Tahoma"/>
            <charset val="1"/>
          </rPr>
          <t xml:space="preserve">
- NFS_backup (For LCM as optional service on Compute1): 353280 MB</t>
        </r>
      </text>
    </comment>
    <comment ref="I45" authorId="2" shapeId="0" xr:uid="{9E58A1EA-B7F1-4731-B6F0-E959C8A88E55}">
      <text>
        <r>
          <rPr>
            <b/>
            <sz val="9"/>
            <color indexed="81"/>
            <rFont val="Tahoma"/>
            <family val="2"/>
          </rPr>
          <t>Thippeswamy, Suresh (Nokia - IN/Bangalore):</t>
        </r>
        <r>
          <rPr>
            <sz val="9"/>
            <color indexed="81"/>
            <rFont val="Tahoma"/>
            <family val="2"/>
          </rPr>
          <t xml:space="preserve">
NetAct20 scratch and on top upgrade, the required disk size is 70GB
On long upgrade environment(Having NetAct19 or older in upgrade history), since /var partition requires 40GB from NetAct20 onwards, so additional 25GB disk space is automtically added and attached to /var partition. With this the total disks consumption will be 95GB 
On long upgrade environments(NetAct20 or older), from N23R3 onwards, additional 12GB would be extended automatically and attached to SWAP partition. With this, the total disk consumption will be 107GB.</t>
        </r>
      </text>
    </comment>
    <comment ref="I46" authorId="1" shapeId="0" xr:uid="{7F0CEC9B-7DC3-4A84-A5B0-46A2BE525BBE}">
      <text>
        <r>
          <rPr>
            <b/>
            <sz val="9"/>
            <color indexed="81"/>
            <rFont val="Tahoma"/>
            <family val="2"/>
          </rPr>
          <t>jarmylly:</t>
        </r>
        <r>
          <rPr>
            <sz val="9"/>
            <color indexed="81"/>
            <rFont val="Tahoma"/>
            <family val="2"/>
          </rPr>
          <t xml:space="preserve">
Contains two disks:
- Disk-1: 60GB
- Disk-2: 40GB</t>
        </r>
      </text>
    </comment>
    <comment ref="I47" authorId="1" shapeId="0" xr:uid="{CD55A7D9-CBF6-49F5-BA73-88EF8ECEC4C4}">
      <text>
        <r>
          <rPr>
            <b/>
            <sz val="9"/>
            <color indexed="81"/>
            <rFont val="Tahoma"/>
            <family val="2"/>
          </rPr>
          <t>jarmylly:</t>
        </r>
        <r>
          <rPr>
            <sz val="9"/>
            <color indexed="81"/>
            <rFont val="Tahoma"/>
            <family val="2"/>
          </rPr>
          <t xml:space="preserve">
Contains two disks:
- Disk-1: 60GB
(NOTE: For servers intended for more than 10 concurrent users the recommended size for disk C is Disk-1 size + RAM size.)
- Disk-2: 40GB</t>
        </r>
      </text>
    </comment>
    <comment ref="I48" authorId="1" shapeId="0" xr:uid="{CDE96F83-1AC1-49ED-87C5-CE6CFDBC02EB}">
      <text>
        <r>
          <rPr>
            <b/>
            <sz val="9"/>
            <color indexed="81"/>
            <rFont val="Tahoma"/>
            <family val="2"/>
          </rPr>
          <t>jarmylly:</t>
        </r>
        <r>
          <rPr>
            <sz val="9"/>
            <color indexed="81"/>
            <rFont val="Tahoma"/>
            <family val="2"/>
          </rPr>
          <t xml:space="preserve">
Contains two disks:
- Disk-1: 80GB
(NOTE: For servers intended for more than 10 concurrent users the recommended size for disk C is Disk-1 size + RAM size.)
- Disk-2: 40GB</t>
        </r>
      </text>
    </comment>
    <comment ref="I49" authorId="1" shapeId="0" xr:uid="{E76FB9AF-7668-4AF9-A81E-3D5C9109AFD7}">
      <text>
        <r>
          <rPr>
            <b/>
            <sz val="9"/>
            <color indexed="81"/>
            <rFont val="Tahoma"/>
            <family val="2"/>
          </rPr>
          <t>jarmylly:</t>
        </r>
        <r>
          <rPr>
            <sz val="9"/>
            <color indexed="81"/>
            <rFont val="Tahoma"/>
            <family val="2"/>
          </rPr>
          <t xml:space="preserve">
Contains two disks:
- Disk-1: 60GB
(NOTE: For servers intended for more than 10 concurrent users the recommended size for disk C is Disk-1 size + RAM size.)
- Disk-2: 40GB</t>
        </r>
      </text>
    </comment>
    <comment ref="I55" authorId="0" shapeId="0" xr:uid="{53D8E7F9-BABF-4E62-8A84-D67BFC3316DB}">
      <text>
        <r>
          <rPr>
            <b/>
            <sz val="9"/>
            <color indexed="81"/>
            <rFont val="Tahoma"/>
            <charset val="1"/>
          </rPr>
          <t>Avuthu, Charan (EXT - IN/Bangalore):</t>
        </r>
        <r>
          <rPr>
            <sz val="9"/>
            <color indexed="81"/>
            <rFont val="Tahoma"/>
            <charset val="1"/>
          </rPr>
          <t xml:space="preserve">
Contains two disks:
- Disk-1: 30GB
- Disk-2: 80GB</t>
        </r>
      </text>
    </comment>
    <comment ref="B62" authorId="2" shapeId="0" xr:uid="{D84CA0AB-9FC5-4185-9AEE-C53BE5B411DD}">
      <text>
        <r>
          <rPr>
            <b/>
            <sz val="9"/>
            <color indexed="81"/>
            <rFont val="Tahoma"/>
            <charset val="1"/>
          </rPr>
          <t>Thippeswamy, Suresh (Nokia - IN/Bangalore):</t>
        </r>
        <r>
          <rPr>
            <sz val="9"/>
            <color indexed="81"/>
            <rFont val="Tahoma"/>
            <charset val="1"/>
          </rPr>
          <t xml:space="preserve">
The datastore(DS) usage is shown considering all optional VMs are deployed. If any optional VM is not deployed, DS usage will be reduced accordingly.</t>
        </r>
      </text>
    </comment>
    <comment ref="B67" authorId="0" shapeId="0" xr:uid="{831398B8-6424-4AD0-95FF-B5F5A977658C}">
      <text>
        <r>
          <rPr>
            <b/>
            <sz val="9"/>
            <color indexed="81"/>
            <rFont val="Tahoma"/>
            <charset val="1"/>
          </rPr>
          <t>Avuthu, Charan (EXT - IN/Bangalore):</t>
        </r>
        <r>
          <rPr>
            <sz val="9"/>
            <color indexed="81"/>
            <rFont val="Tahoma"/>
            <charset val="1"/>
          </rPr>
          <t xml:space="preserve">
-Increase by additional 120GB, For LCM as optional service on Compute1</t>
        </r>
      </text>
    </comment>
    <comment ref="C67" authorId="0" shapeId="0" xr:uid="{6151A605-1537-4D20-96A8-3C31BB8712A7}">
      <text>
        <r>
          <rPr>
            <b/>
            <sz val="9"/>
            <color indexed="81"/>
            <rFont val="Tahoma"/>
            <charset val="1"/>
          </rPr>
          <t>Avuthu, Charan (EXT - IN/Bangalore):</t>
        </r>
        <r>
          <rPr>
            <sz val="9"/>
            <color indexed="81"/>
            <rFont val="Tahoma"/>
            <charset val="1"/>
          </rPr>
          <t xml:space="preserve">
-Increase by additional 120GB, For LCM as optional service on Compute1</t>
        </r>
      </text>
    </comment>
    <comment ref="B70" authorId="0" shapeId="0" xr:uid="{85CCEAFE-2A09-4C9F-9507-DD345FD4CFA4}">
      <text>
        <r>
          <rPr>
            <b/>
            <sz val="9"/>
            <color indexed="81"/>
            <rFont val="Tahoma"/>
            <charset val="1"/>
          </rPr>
          <t>Avuthu, Charan (EXT - IN/Bangalore):</t>
        </r>
        <r>
          <rPr>
            <sz val="9"/>
            <color indexed="81"/>
            <rFont val="Tahoma"/>
            <charset val="1"/>
          </rPr>
          <t xml:space="preserve">
 -Increase by additional 320GB, If LCM+CCR chosen as optional service on Compute1</t>
        </r>
      </text>
    </comment>
    <comment ref="C70" authorId="0" shapeId="0" xr:uid="{71B6DF89-A172-4A52-833A-57203ABA4898}">
      <text>
        <r>
          <rPr>
            <b/>
            <sz val="9"/>
            <color indexed="81"/>
            <rFont val="Tahoma"/>
            <charset val="1"/>
          </rPr>
          <t>Avuthu, Charan (EXT - IN/Bangalore):</t>
        </r>
        <r>
          <rPr>
            <sz val="9"/>
            <color indexed="81"/>
            <rFont val="Tahoma"/>
            <charset val="1"/>
          </rPr>
          <t xml:space="preserve">
-Increase by additional 340GB, If LCM+CCR chosen as optional service on Compute1</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Avuthu, Charan (EXT - IN/Bangalore)</author>
    <author>Thippeswamy, Suresh (Nokia - IN/Bangalore)</author>
    <author>jarmylly</author>
    <author>Goyal, Mayank (Nokia - IN/Bangalore)</author>
    <author>Jari Myllymaa</author>
    <author>tc={36653C8E-B681-47C5-8FDD-456B3297EAA0}</author>
    <author>tc={95227C23-4A89-4A07-B9CD-CCED140158E0}</author>
  </authors>
  <commentList>
    <comment ref="J7" authorId="0" shapeId="0" xr:uid="{0A67C6AC-5389-4897-8F8A-20E6D5E26934}">
      <text>
        <r>
          <rPr>
            <b/>
            <sz val="9"/>
            <color indexed="81"/>
            <rFont val="Tahoma"/>
            <charset val="1"/>
          </rPr>
          <t>Avuthu, Charan (EXT - IN/Bangalore):</t>
        </r>
        <r>
          <rPr>
            <sz val="9"/>
            <color indexed="81"/>
            <rFont val="Tahoma"/>
            <charset val="1"/>
          </rPr>
          <t xml:space="preserve">
Virtual Machine SWAP file size in VMGuestDisk data store, for Virtual Infra operations</t>
        </r>
      </text>
    </comment>
    <comment ref="E9" authorId="1" shapeId="0" xr:uid="{B8BF8DB5-24A0-4EC4-8F1A-E1233CB8E1E9}">
      <text>
        <r>
          <rPr>
            <b/>
            <sz val="9"/>
            <color indexed="81"/>
            <rFont val="Tahoma"/>
            <family val="2"/>
          </rPr>
          <t>Thippeswamy, Suresh (Nokia - IN/Bangalore):</t>
        </r>
        <r>
          <rPr>
            <sz val="9"/>
            <color indexed="81"/>
            <rFont val="Tahoma"/>
            <family val="2"/>
          </rPr>
          <t xml:space="preserve">
Select the vCSA version</t>
        </r>
      </text>
    </comment>
    <comment ref="L11" authorId="2" shapeId="0" xr:uid="{D291DE5B-366B-409D-B4D4-33EDE5AFBBE5}">
      <text>
        <r>
          <rPr>
            <b/>
            <sz val="9"/>
            <color indexed="81"/>
            <rFont val="Tahoma"/>
            <family val="2"/>
          </rPr>
          <t>jarmylly:</t>
        </r>
        <r>
          <rPr>
            <sz val="9"/>
            <color indexed="81"/>
            <rFont val="Tahoma"/>
            <family val="2"/>
          </rPr>
          <t xml:space="preserve">
Contains one disk:
DB_redo: 60825MB</t>
        </r>
      </text>
    </comment>
    <comment ref="N11" authorId="2" shapeId="0" xr:uid="{5F7E6753-83C9-4C34-A4FE-65FDAA8B016C}">
      <text>
        <r>
          <rPr>
            <b/>
            <sz val="9"/>
            <color indexed="81"/>
            <rFont val="Tahoma"/>
            <family val="2"/>
          </rPr>
          <t>jarmylly:</t>
        </r>
        <r>
          <rPr>
            <sz val="9"/>
            <color indexed="81"/>
            <rFont val="Tahoma"/>
            <family val="2"/>
          </rPr>
          <t xml:space="preserve">
Contains one disk, either: 
 DB_data(Std): 691200MB
OR
 DB_data(Extended): 2165760MB</t>
        </r>
      </text>
    </comment>
    <comment ref="P11" authorId="2" shapeId="0" xr:uid="{046025FE-6DDA-432B-9693-EF22C0EA000B}">
      <text>
        <r>
          <rPr>
            <b/>
            <sz val="9"/>
            <color indexed="81"/>
            <rFont val="Tahoma"/>
            <family val="2"/>
          </rPr>
          <t>jarmylly:</t>
        </r>
        <r>
          <rPr>
            <sz val="9"/>
            <color indexed="81"/>
            <rFont val="Tahoma"/>
            <family val="2"/>
          </rPr>
          <t xml:space="preserve">
Contains one disk:
 DB_arc(Std): 1036800MB
OR
 DB_arc(Extended): 2350080MB</t>
        </r>
      </text>
    </comment>
    <comment ref="X11" authorId="2" shapeId="0" xr:uid="{A2181BD9-BB40-40B4-B246-E360689FBE4B}">
      <text>
        <r>
          <rPr>
            <b/>
            <sz val="9"/>
            <color indexed="81"/>
            <rFont val="Tahoma"/>
            <family val="2"/>
          </rPr>
          <t>jarmylly:</t>
        </r>
        <r>
          <rPr>
            <sz val="9"/>
            <color indexed="81"/>
            <rFont val="Tahoma"/>
            <family val="2"/>
          </rPr>
          <t xml:space="preserve">
Contains one disk:
 DB_backup(std): 2580480MB
OR
 DB_backup(Extended): 6497280MB
</t>
        </r>
      </text>
    </comment>
    <comment ref="AP11" authorId="3" shapeId="0" xr:uid="{98F08F10-1297-45E8-A517-8CE3DCA67D0D}">
      <text>
        <r>
          <rPr>
            <b/>
            <sz val="9"/>
            <color indexed="81"/>
            <rFont val="Tahoma"/>
            <family val="2"/>
          </rPr>
          <t>Goyal, Mayank (Nokia - IN/Bangalore):</t>
        </r>
        <r>
          <rPr>
            <sz val="9"/>
            <color indexed="81"/>
            <rFont val="Tahoma"/>
            <family val="2"/>
          </rPr>
          <t xml:space="preserve">
Contains one disk:
- db-fb_disk : 2097152MB</t>
        </r>
      </text>
    </comment>
    <comment ref="R12" authorId="2" shapeId="0" xr:uid="{396812BB-D4C5-444A-854D-CD16392D9F07}">
      <text>
        <r>
          <rPr>
            <b/>
            <sz val="9"/>
            <color indexed="81"/>
            <rFont val="Tahoma"/>
            <family val="2"/>
          </rPr>
          <t>jarmylly:</t>
        </r>
        <r>
          <rPr>
            <sz val="9"/>
            <color indexed="81"/>
            <rFont val="Tahoma"/>
            <family val="2"/>
          </rPr>
          <t xml:space="preserve">
 Contains three disks:
- NFS global: 281600 MB
- NFS home: 12288 MB
- NFS WAS dump:25600 MB</t>
        </r>
      </text>
    </comment>
    <comment ref="T12" authorId="2" shapeId="0" xr:uid="{CC1A4B74-FA20-4F10-8342-1653F453324B}">
      <text>
        <r>
          <rPr>
            <b/>
            <sz val="9"/>
            <color indexed="81"/>
            <rFont val="Tahoma"/>
            <family val="2"/>
          </rPr>
          <t>jarmylly:</t>
        </r>
        <r>
          <rPr>
            <sz val="9"/>
            <color indexed="81"/>
            <rFont val="Tahoma"/>
            <family val="2"/>
          </rPr>
          <t xml:space="preserve">
Reserved for customer own data.</t>
        </r>
      </text>
    </comment>
    <comment ref="X12" authorId="2" shapeId="0" xr:uid="{7C3B30D3-C759-4B5C-B71F-A41B56DF0545}">
      <text>
        <r>
          <rPr>
            <b/>
            <sz val="9"/>
            <color indexed="81"/>
            <rFont val="Tahoma"/>
            <family val="2"/>
          </rPr>
          <t>jarmylly:</t>
        </r>
        <r>
          <rPr>
            <sz val="9"/>
            <color indexed="81"/>
            <rFont val="Tahoma"/>
            <family val="2"/>
          </rPr>
          <t xml:space="preserve">
Contains one disk:
- NFS_backup: 230400MB</t>
        </r>
      </text>
    </comment>
    <comment ref="AB19" authorId="1" shapeId="0" xr:uid="{3F452421-66A7-420A-886E-9BF46E1322BD}">
      <text>
        <r>
          <rPr>
            <b/>
            <sz val="9"/>
            <color indexed="81"/>
            <rFont val="Tahoma"/>
            <family val="2"/>
          </rPr>
          <t>Thippeswamy, Suresh (Nokia - IN/Bangalore):</t>
        </r>
        <r>
          <rPr>
            <sz val="9"/>
            <color indexed="81"/>
            <rFont val="Tahoma"/>
            <family val="2"/>
          </rPr>
          <t xml:space="preserve">
Contains 1 disk:
adm_disk1: 51200MB</t>
        </r>
      </text>
    </comment>
    <comment ref="AD21" authorId="1" shapeId="0" xr:uid="{62685ABC-9375-45C8-BA24-020CFCFCDD9B}">
      <text>
        <r>
          <rPr>
            <b/>
            <sz val="9"/>
            <color indexed="81"/>
            <rFont val="Tahoma"/>
            <family val="2"/>
          </rPr>
          <t>Thippeswamy, Suresh (Nokia - IN/Bangalore):</t>
        </r>
        <r>
          <rPr>
            <sz val="9"/>
            <color indexed="81"/>
            <rFont val="Tahoma"/>
            <family val="2"/>
          </rPr>
          <t xml:space="preserve">
Contains one disk:
isdk_disk1 : 66560MB</t>
        </r>
      </text>
    </comment>
    <comment ref="Z25" authorId="2" shapeId="0" xr:uid="{1A18545C-38BD-4553-A868-17482015BECE}">
      <text>
        <r>
          <rPr>
            <b/>
            <sz val="9"/>
            <color indexed="81"/>
            <rFont val="Tahoma"/>
            <family val="2"/>
          </rPr>
          <t>jarmylly:</t>
        </r>
        <r>
          <rPr>
            <sz val="9"/>
            <color indexed="81"/>
            <rFont val="Tahoma"/>
            <family val="2"/>
          </rPr>
          <t xml:space="preserve">
Contains one disk:
- vm66_REP_disk: 46080MB
</t>
        </r>
      </text>
    </comment>
    <comment ref="AA25" authorId="4" shapeId="0" xr:uid="{CF1C69E9-B146-4C8A-8A0B-0C11CF2E1A8E}">
      <text>
        <r>
          <rPr>
            <b/>
            <sz val="9"/>
            <color indexed="81"/>
            <rFont val="Calibri"/>
            <family val="2"/>
          </rPr>
          <t>Jari Myllymaa:</t>
        </r>
        <r>
          <rPr>
            <sz val="9"/>
            <color indexed="81"/>
            <rFont val="Calibri"/>
            <family val="2"/>
          </rPr>
          <t xml:space="preserve">
PMDatastore can extend 50GB</t>
        </r>
      </text>
    </comment>
    <comment ref="Z26" authorId="2" shapeId="0" xr:uid="{329881E7-6ADC-47C0-8D43-6D0D86C4E616}">
      <text>
        <r>
          <rPr>
            <b/>
            <sz val="9"/>
            <color indexed="81"/>
            <rFont val="Tahoma"/>
            <family val="2"/>
          </rPr>
          <t>jarmylly:</t>
        </r>
        <r>
          <rPr>
            <sz val="9"/>
            <color indexed="81"/>
            <rFont val="Tahoma"/>
            <family val="2"/>
          </rPr>
          <t xml:space="preserve">
Contains one disk:
- vm67_REP_disk: 46080MB</t>
        </r>
      </text>
    </comment>
    <comment ref="AH29" authorId="0" shapeId="0" xr:uid="{CAC11E77-2B54-400F-A404-7112663F46DE}">
      <text>
        <r>
          <rPr>
            <b/>
            <sz val="9"/>
            <color indexed="81"/>
            <rFont val="Tahoma"/>
            <charset val="1"/>
          </rPr>
          <t>Avuthu, Charan (EXT - IN/Bangalore):</t>
        </r>
        <r>
          <rPr>
            <sz val="9"/>
            <color indexed="81"/>
            <rFont val="Tahoma"/>
            <charset val="1"/>
          </rPr>
          <t xml:space="preserve">
Contains one disk:
- ccr_disk1: 153600MB</t>
        </r>
      </text>
    </comment>
    <comment ref="R33" authorId="0" shapeId="0" xr:uid="{151D1DDD-9135-440F-AC94-7C2C0F3BC1FE}">
      <text>
        <r>
          <rPr>
            <b/>
            <sz val="9"/>
            <color indexed="81"/>
            <rFont val="Tahoma"/>
            <charset val="1"/>
          </rPr>
          <t>Avuthu, Charan (EXT - IN/Bangalore):</t>
        </r>
        <r>
          <rPr>
            <sz val="9"/>
            <color indexed="81"/>
            <rFont val="Tahoma"/>
            <charset val="1"/>
          </rPr>
          <t xml:space="preserve">
Increase for NFSGlobal disk on VM#5 by 120GB
- NFS global (For LCM as optional service on Compute1): 404480 MB</t>
        </r>
      </text>
    </comment>
    <comment ref="X33" authorId="0" shapeId="0" xr:uid="{FCA2223C-DEFA-4042-972F-05CC5BCCF1EF}">
      <text>
        <r>
          <rPr>
            <b/>
            <sz val="9"/>
            <color indexed="81"/>
            <rFont val="Tahoma"/>
            <family val="2"/>
          </rPr>
          <t>Avuthu, Charan (EXT - IN/Bangalore):</t>
        </r>
        <r>
          <rPr>
            <sz val="9"/>
            <color indexed="81"/>
            <rFont val="Tahoma"/>
            <family val="2"/>
          </rPr>
          <t xml:space="preserve">
Contains one disk:
- backup_disk1: 204800MB
Increase for NFSBackup disk on VM#5 by 120GB
- NFS_backup (If LCM chosen as optional service on Compute1): 353280 MB</t>
        </r>
      </text>
    </comment>
    <comment ref="I47" authorId="1" shapeId="0" xr:uid="{E91D8823-7780-4BA8-948E-0932E524B690}">
      <text>
        <r>
          <rPr>
            <b/>
            <sz val="9"/>
            <color indexed="81"/>
            <rFont val="Tahoma"/>
            <family val="2"/>
          </rPr>
          <t>Thippeswamy, Suresh (Nokia - IN/Bangalore):</t>
        </r>
        <r>
          <rPr>
            <sz val="9"/>
            <color indexed="81"/>
            <rFont val="Tahoma"/>
            <family val="2"/>
          </rPr>
          <t xml:space="preserve">
NetAct20 scratch and on top upgrade, the required disk size is 70GB
On long upgrade environment(Having NetAct19 or older in upgrade history), since /var partition requires 40GB from NetAct20 onwards, so additional 25GB disk space is automtically added and attached to /var partition. With this the total disks consumption will be 95GB 
On long upgrade environments(NetAct20 or older), from N23R3 onwards, additional 12GB would be extended automatically and attached to SWAP partition. With this, the total disk consumption will be 107GB.</t>
        </r>
      </text>
    </comment>
    <comment ref="I48" authorId="2" shapeId="0" xr:uid="{6CF6CB28-9AA9-4224-9405-6787DAD23651}">
      <text>
        <r>
          <rPr>
            <b/>
            <sz val="9"/>
            <color indexed="81"/>
            <rFont val="Tahoma"/>
            <family val="2"/>
          </rPr>
          <t>jarmylly:</t>
        </r>
        <r>
          <rPr>
            <sz val="9"/>
            <color indexed="81"/>
            <rFont val="Tahoma"/>
            <family val="2"/>
          </rPr>
          <t xml:space="preserve">
Contains two disks:
- Disk-1: 60GB
- Disk-2: 40GB</t>
        </r>
      </text>
    </comment>
    <comment ref="I49" authorId="2" shapeId="0" xr:uid="{181B38C8-2A38-44A9-85A2-838BBA0222B5}">
      <text>
        <r>
          <rPr>
            <b/>
            <sz val="9"/>
            <color indexed="81"/>
            <rFont val="Tahoma"/>
            <family val="2"/>
          </rPr>
          <t>jarmylly:</t>
        </r>
        <r>
          <rPr>
            <sz val="9"/>
            <color indexed="81"/>
            <rFont val="Tahoma"/>
            <family val="2"/>
          </rPr>
          <t xml:space="preserve">
Contains two disks:
- Disk-1: 60GB
(NOTE: For servers intended for more than 10 concurrent users the recommended size for disk C is Disk-1 size + RAM size.)
- Disk-2: 40GB</t>
        </r>
      </text>
    </comment>
    <comment ref="I50" authorId="2" shapeId="0" xr:uid="{A59E1000-4432-4F55-9D3A-5C33B8B0A17A}">
      <text>
        <r>
          <rPr>
            <b/>
            <sz val="9"/>
            <color indexed="81"/>
            <rFont val="Tahoma"/>
            <family val="2"/>
          </rPr>
          <t>jarmylly:</t>
        </r>
        <r>
          <rPr>
            <sz val="9"/>
            <color indexed="81"/>
            <rFont val="Tahoma"/>
            <family val="2"/>
          </rPr>
          <t xml:space="preserve">
Contains two disks:
- Disk-1: 80GB
(NOTE: For servers intended for more than 10 concurrent users the recommended size for disk C is Disk-1 size + RAM size.)
- Disk-2: 40GB</t>
        </r>
      </text>
    </comment>
    <comment ref="I51" authorId="2" shapeId="0" xr:uid="{EB2A11FB-4542-4871-BF52-7511C7DA75A9}">
      <text>
        <r>
          <rPr>
            <b/>
            <sz val="9"/>
            <color indexed="81"/>
            <rFont val="Tahoma"/>
            <family val="2"/>
          </rPr>
          <t>jarmylly:</t>
        </r>
        <r>
          <rPr>
            <sz val="9"/>
            <color indexed="81"/>
            <rFont val="Tahoma"/>
            <family val="2"/>
          </rPr>
          <t xml:space="preserve">
Contains two disks:
- Disk-1: 60GB
- Disk-2: 40GB</t>
        </r>
      </text>
    </comment>
    <comment ref="I52" authorId="2" shapeId="0" xr:uid="{8519A95F-4DC7-479B-A931-64BBBBF44178}">
      <text>
        <r>
          <rPr>
            <b/>
            <sz val="9"/>
            <color indexed="81"/>
            <rFont val="Tahoma"/>
            <family val="2"/>
          </rPr>
          <t>jarmylly:</t>
        </r>
        <r>
          <rPr>
            <sz val="9"/>
            <color indexed="81"/>
            <rFont val="Tahoma"/>
            <family val="2"/>
          </rPr>
          <t xml:space="preserve">
Contains two disks:
- Disk-1: 60GB
(NOTE: For servers intended for more than 10 concurrent users the recommended size for disk C is Disk-1 size + RAM size.)
- Disk-2: 40GB</t>
        </r>
      </text>
    </comment>
    <comment ref="I53" authorId="2" shapeId="0" xr:uid="{25AE3AA9-2345-4D5B-8043-1CD85A060561}">
      <text>
        <r>
          <rPr>
            <b/>
            <sz val="9"/>
            <color indexed="81"/>
            <rFont val="Tahoma"/>
            <family val="2"/>
          </rPr>
          <t>jarmylly:</t>
        </r>
        <r>
          <rPr>
            <sz val="9"/>
            <color indexed="81"/>
            <rFont val="Tahoma"/>
            <family val="2"/>
          </rPr>
          <t xml:space="preserve">
Contains two disks:
- Disk-1: 60GB
(NOTE: For servers intended for more than 10 concurrent users the recommended size for disk C is Disk-1 size + RAM size.)
- Disk-2: 40GB</t>
        </r>
      </text>
    </comment>
    <comment ref="I54" authorId="2" shapeId="0" xr:uid="{8B2A1C0E-8AD2-42A8-8CC6-291C89615E82}">
      <text>
        <r>
          <rPr>
            <b/>
            <sz val="9"/>
            <color indexed="81"/>
            <rFont val="Tahoma"/>
            <family val="2"/>
          </rPr>
          <t>jarmylly:</t>
        </r>
        <r>
          <rPr>
            <sz val="9"/>
            <color indexed="81"/>
            <rFont val="Tahoma"/>
            <family val="2"/>
          </rPr>
          <t xml:space="preserve">
Contains two disks:
- Disk-1: 80GB
(NOTE: For servers intended for more than 10 concurrent users the recommended size for disk C is Disk-1 size + RAM size.)
- Disk-2: 40GB</t>
        </r>
      </text>
    </comment>
    <comment ref="I60" authorId="2" shapeId="0" xr:uid="{3E93D445-3B78-4774-9A60-CC7DF36AEE5F}">
      <text>
        <r>
          <rPr>
            <b/>
            <sz val="9"/>
            <color indexed="81"/>
            <rFont val="Tahoma"/>
            <family val="2"/>
          </rPr>
          <t>jarmylly:</t>
        </r>
        <r>
          <rPr>
            <sz val="9"/>
            <color indexed="81"/>
            <rFont val="Tahoma"/>
            <family val="2"/>
          </rPr>
          <t xml:space="preserve">
Contains two disks:
- Disk-1: 30GB
- Disk-2: 80GB</t>
        </r>
      </text>
    </comment>
    <comment ref="AF67" authorId="1" shapeId="0" xr:uid="{07561E6A-49C9-4694-8E12-1B592EAF2502}">
      <text>
        <r>
          <rPr>
            <b/>
            <sz val="9"/>
            <color indexed="81"/>
            <rFont val="Tahoma"/>
            <family val="2"/>
          </rPr>
          <t>Thippeswamy, Suresh (Nokia - IN/Bangalore):</t>
        </r>
        <r>
          <rPr>
            <sz val="9"/>
            <color indexed="81"/>
            <rFont val="Tahoma"/>
            <family val="2"/>
          </rPr>
          <t xml:space="preserve">
Contains one disk:
    napd_disk1: 102400MB
</t>
        </r>
      </text>
    </comment>
    <comment ref="AJ69" authorId="0" shapeId="0" xr:uid="{C7816A9B-B05E-4BDF-A358-3F5EC63B4E36}">
      <text>
        <r>
          <rPr>
            <b/>
            <sz val="9"/>
            <color indexed="81"/>
            <rFont val="Tahoma"/>
            <charset val="1"/>
          </rPr>
          <t>Avuthu, Charan (EXT - IN/Bangalore):</t>
        </r>
        <r>
          <rPr>
            <sz val="9"/>
            <color indexed="81"/>
            <rFont val="Tahoma"/>
            <charset val="1"/>
          </rPr>
          <t xml:space="preserve">
Contains one disk: 
-kafka_disk1: 122880 MB</t>
        </r>
      </text>
    </comment>
    <comment ref="AL69" authorId="0" shapeId="0" xr:uid="{BF8BB2A2-3C3F-46DD-9754-041935E42CF8}">
      <text>
        <r>
          <rPr>
            <b/>
            <sz val="9"/>
            <color indexed="81"/>
            <rFont val="Tahoma"/>
            <charset val="1"/>
          </rPr>
          <t>Avuthu, Charan (EXT - IN/Bangalore):</t>
        </r>
        <r>
          <rPr>
            <sz val="9"/>
            <color indexed="81"/>
            <rFont val="Tahoma"/>
            <charset val="1"/>
          </rPr>
          <t xml:space="preserve">
Contains one disk: 
-cap_disk1: 4608 MB</t>
        </r>
      </text>
    </comment>
    <comment ref="AN70" authorId="0" shapeId="0" xr:uid="{AB8274D0-B340-4B0A-97C6-16E5F69D31CD}">
      <text>
        <r>
          <rPr>
            <b/>
            <sz val="9"/>
            <color indexed="81"/>
            <rFont val="Tahoma"/>
            <charset val="1"/>
          </rPr>
          <t>Avuthu, Charan (EXT - IN/Bangalore):</t>
        </r>
        <r>
          <rPr>
            <sz val="9"/>
            <color indexed="81"/>
            <rFont val="Tahoma"/>
            <charset val="1"/>
          </rPr>
          <t xml:space="preserve">
Contains one disk: 
-clickhouse_disk1: 716800 MB</t>
        </r>
      </text>
    </comment>
    <comment ref="E85" authorId="2" shapeId="0" xr:uid="{75D034CF-CBDD-480C-9DB7-03432C4515AF}">
      <text>
        <r>
          <rPr>
            <b/>
            <sz val="9"/>
            <color indexed="81"/>
            <rFont val="Tahoma"/>
            <family val="2"/>
          </rPr>
          <t>jarmylly:</t>
        </r>
        <r>
          <rPr>
            <sz val="9"/>
            <color indexed="81"/>
            <rFont val="Tahoma"/>
            <family val="2"/>
          </rPr>
          <t xml:space="preserve">
- SBTS Adapter and BTSMED should not co-locate in same cluster i.e. SBTS Adapter and BTSMED VM usage together is not possible.
In case NetAct virtual cluster contains only G8 servers, there can be only one BTSMED VM.</t>
        </r>
      </text>
    </comment>
    <comment ref="E86" authorId="2" shapeId="0" xr:uid="{DE166A93-1E2D-4C07-B6F4-FCBDB392163B}">
      <text>
        <r>
          <rPr>
            <b/>
            <sz val="9"/>
            <color indexed="81"/>
            <rFont val="Tahoma"/>
            <family val="2"/>
          </rPr>
          <t>jarmylly:</t>
        </r>
        <r>
          <rPr>
            <sz val="9"/>
            <color indexed="81"/>
            <rFont val="Tahoma"/>
            <family val="2"/>
          </rPr>
          <t xml:space="preserve">
- SBTS Adapter and BTSMED should not co-locate in same cluster i.e. SBTS Adapter and BTSMED VM usage together is not possible.
In case NetAct virtual cluster contains only G8 servers, there can be only one BTSMED VM.</t>
        </r>
      </text>
    </comment>
    <comment ref="A87" authorId="5" shapeId="0" xr:uid="{36653C8E-B681-47C5-8FDD-456B3297EAA0}">
      <text>
        <t>[Threaded comment]
Your version of Excel allows you to read this threaded comment; however, any edits to it will get removed if the file is opened in a newer version of Excel. Learn more: https://go.microsoft.com/fwlink/?linkid=870924
Comment:
    SP1911 Onwards</t>
      </text>
    </comment>
    <comment ref="A88" authorId="6" shapeId="0" xr:uid="{95227C23-4A89-4A07-B9CD-CCED140158E0}">
      <text>
        <t>[Threaded comment]
Your version of Excel allows you to read this threaded comment; however, any edits to it will get removed if the file is opened in a newer version of Excel. Learn more: https://go.microsoft.com/fwlink/?linkid=870924
Comment:
    SP2004 onwards</t>
      </text>
    </comment>
    <comment ref="B93" authorId="0" shapeId="0" xr:uid="{C542AEC1-9990-41BA-AB8A-26EEB7960714}">
      <text>
        <r>
          <rPr>
            <b/>
            <sz val="9"/>
            <color indexed="81"/>
            <rFont val="Tahoma"/>
            <family val="2"/>
          </rPr>
          <t>Avuthu, Charan (EXT - IN/Bangalore):</t>
        </r>
        <r>
          <rPr>
            <sz val="9"/>
            <color indexed="81"/>
            <rFont val="Tahoma"/>
            <family val="2"/>
          </rPr>
          <t xml:space="preserve">
The datastore(DS) usage is shown considering all optional VMs are deployed which uses VMGuestDisk1. If any optional VM is not deployed, DS usage will be reduced accordingly.</t>
        </r>
      </text>
    </comment>
    <comment ref="B94" authorId="0" shapeId="0" xr:uid="{578AD805-D3AD-42A2-A8C4-2993391A7E51}">
      <text>
        <r>
          <rPr>
            <b/>
            <sz val="9"/>
            <color indexed="81"/>
            <rFont val="Tahoma"/>
            <charset val="1"/>
          </rPr>
          <t>Avuthu, Charan (EXT - IN/Bangalore):</t>
        </r>
        <r>
          <rPr>
            <sz val="9"/>
            <color indexed="81"/>
            <rFont val="Tahoma"/>
            <charset val="1"/>
          </rPr>
          <t xml:space="preserve">
The datastore(DS) usage is shown considering all optional VMs are deployed which uses VMGuestDisk2. If any optional VM is not deployed, DS usage will be reduced accordingly.</t>
        </r>
      </text>
    </comment>
    <comment ref="B95" authorId="0" shapeId="0" xr:uid="{616316F7-34A9-42CC-9F41-B05D3FEA47D2}">
      <text>
        <r>
          <rPr>
            <b/>
            <sz val="9"/>
            <color indexed="81"/>
            <rFont val="Tahoma"/>
            <charset val="1"/>
          </rPr>
          <t>Avuthu, Charan (EXT - IN/Bangalore):</t>
        </r>
        <r>
          <rPr>
            <sz val="9"/>
            <color indexed="81"/>
            <rFont val="Tahoma"/>
            <charset val="1"/>
          </rPr>
          <t xml:space="preserve">
The datastore(DS) usage is shown considering all optional VMs are deployed which uses VMGuestDisk3. If any optional VM is not deployed, DS usage will be reduced accordingly.</t>
        </r>
      </text>
    </comment>
    <comment ref="B104" authorId="0" shapeId="0" xr:uid="{8CB627F0-7C69-492F-B7B0-B33DAFA167D3}">
      <text>
        <r>
          <rPr>
            <b/>
            <sz val="9"/>
            <color indexed="81"/>
            <rFont val="Tahoma"/>
            <charset val="1"/>
          </rPr>
          <t>Avuthu, Charan (EXT - IN/Bangalore):</t>
        </r>
        <r>
          <rPr>
            <sz val="9"/>
            <color indexed="81"/>
            <rFont val="Tahoma"/>
            <charset val="1"/>
          </rPr>
          <t xml:space="preserve">
-Increase by additional 120GB, For LCM as optional service on Compute1</t>
        </r>
      </text>
    </comment>
    <comment ref="C104" authorId="0" shapeId="0" xr:uid="{DB1242CC-64E0-4386-A0A0-78636A6613D4}">
      <text>
        <r>
          <rPr>
            <b/>
            <sz val="9"/>
            <color indexed="81"/>
            <rFont val="Tahoma"/>
            <charset val="1"/>
          </rPr>
          <t>Avuthu, Charan (EXT - IN/Bangalore):</t>
        </r>
        <r>
          <rPr>
            <sz val="9"/>
            <color indexed="81"/>
            <rFont val="Tahoma"/>
            <charset val="1"/>
          </rPr>
          <t xml:space="preserve">
-Increase by additional 120GB, For LCM as optional service on Compute1</t>
        </r>
      </text>
    </comment>
    <comment ref="B108" authorId="0" shapeId="0" xr:uid="{131E5D20-AF50-4881-8AC9-BDDB6DE8731F}">
      <text>
        <r>
          <rPr>
            <b/>
            <sz val="9"/>
            <color indexed="81"/>
            <rFont val="Tahoma"/>
            <charset val="1"/>
          </rPr>
          <t>Avuthu, Charan (EXT - IN/Bangalore):</t>
        </r>
        <r>
          <rPr>
            <sz val="9"/>
            <color indexed="81"/>
            <rFont val="Tahoma"/>
            <charset val="1"/>
          </rPr>
          <t xml:space="preserve">
-Increase by additional 320GB, If LCM+CCR chosen as optional service on Compute1
</t>
        </r>
      </text>
    </comment>
    <comment ref="C108" authorId="0" shapeId="0" xr:uid="{AC0EA6FD-BED7-496F-A234-767C0A081E7A}">
      <text>
        <r>
          <rPr>
            <b/>
            <sz val="9"/>
            <color indexed="81"/>
            <rFont val="Tahoma"/>
            <charset val="1"/>
          </rPr>
          <t>Avuthu, Charan (EXT - IN/Bangalore):</t>
        </r>
        <r>
          <rPr>
            <sz val="9"/>
            <color indexed="81"/>
            <rFont val="Tahoma"/>
            <charset val="1"/>
          </rPr>
          <t xml:space="preserve">
-Increase by additional 340GB, If LCM+CCR chosen as optional service on Compute1</t>
        </r>
      </text>
    </comment>
    <comment ref="A110" authorId="1" shapeId="0" xr:uid="{B3A54C96-8D61-44E2-9185-7A0D6569191A}">
      <text>
        <r>
          <rPr>
            <b/>
            <sz val="9"/>
            <color indexed="81"/>
            <rFont val="Tahoma"/>
            <family val="2"/>
          </rPr>
          <t>Thippeswamy, Suresh (Nokia - IN/Bangalore):</t>
        </r>
        <r>
          <rPr>
            <sz val="9"/>
            <color indexed="81"/>
            <rFont val="Tahoma"/>
            <family val="2"/>
          </rPr>
          <t xml:space="preserve">
Based on vCSA version selected, Datastore size and datastore usage  varies</t>
        </r>
      </text>
    </comment>
    <comment ref="A111" authorId="1" shapeId="0" xr:uid="{258A2F81-A21D-4201-A3C5-A40F77684787}">
      <text>
        <r>
          <rPr>
            <b/>
            <sz val="9"/>
            <color indexed="81"/>
            <rFont val="Tahoma"/>
            <family val="2"/>
          </rPr>
          <t>Thippeswamy, Suresh (Nokia - IN/Bangalore):</t>
        </r>
        <r>
          <rPr>
            <sz val="9"/>
            <color indexed="81"/>
            <rFont val="Tahoma"/>
            <family val="2"/>
          </rPr>
          <t xml:space="preserve">
This datastore is needed only if NAPD optional VM is planned to deploy</t>
        </r>
      </text>
    </comment>
    <comment ref="A112" authorId="1" shapeId="0" xr:uid="{1D2A78E3-1939-46C9-8496-B64C26985B8B}">
      <text>
        <r>
          <rPr>
            <b/>
            <sz val="9"/>
            <color indexed="81"/>
            <rFont val="Tahoma"/>
            <family val="2"/>
          </rPr>
          <t>Thippeswamy, Suresh (Nokia - IN/Bangalore):</t>
        </r>
        <r>
          <rPr>
            <sz val="9"/>
            <color indexed="81"/>
            <rFont val="Tahoma"/>
            <family val="2"/>
          </rPr>
          <t xml:space="preserve">
This datastore is needed only if ARC optional VM is planned to deploy</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Avuthu, Charan (EXT - IN/Bangalore)</author>
    <author>Thippeswamy, Suresh (Nokia - IN/Bangalore)</author>
    <author>jarmylly</author>
    <author>Goyal, Mayank (Nokia - IN/Bangalore)</author>
    <author>Jari Myllymaa</author>
    <author>tc={07F1C193-7581-4E6F-925D-7E0CD7031595}</author>
    <author>tc={BF0B1370-7916-40AA-89C5-7344181BEC20}</author>
  </authors>
  <commentList>
    <comment ref="J7" authorId="0" shapeId="0" xr:uid="{E2C66146-6DCF-4797-A482-BBB01231EF09}">
      <text>
        <r>
          <rPr>
            <b/>
            <sz val="9"/>
            <color indexed="81"/>
            <rFont val="Tahoma"/>
            <charset val="1"/>
          </rPr>
          <t>Avuthu, Charan (EXT - IN/Bangalore):</t>
        </r>
        <r>
          <rPr>
            <sz val="9"/>
            <color indexed="81"/>
            <rFont val="Tahoma"/>
            <charset val="1"/>
          </rPr>
          <t xml:space="preserve">
Virtual Machine SWAP file size in VMGuestDisk data store, for Virtual Infra operations</t>
        </r>
      </text>
    </comment>
    <comment ref="E9" authorId="1" shapeId="0" xr:uid="{65699CD6-0846-4597-9A2A-74D7AB13720F}">
      <text>
        <r>
          <rPr>
            <b/>
            <sz val="9"/>
            <color indexed="81"/>
            <rFont val="Tahoma"/>
            <family val="2"/>
          </rPr>
          <t>Thippeswamy, Suresh (Nokia - IN/Bangalore):</t>
        </r>
        <r>
          <rPr>
            <sz val="9"/>
            <color indexed="81"/>
            <rFont val="Tahoma"/>
            <family val="2"/>
          </rPr>
          <t xml:space="preserve">
Select the vCSA version</t>
        </r>
      </text>
    </comment>
    <comment ref="L11" authorId="2" shapeId="0" xr:uid="{3F2216B7-5B81-4571-80EF-FD6889CB367F}">
      <text>
        <r>
          <rPr>
            <b/>
            <sz val="9"/>
            <color indexed="81"/>
            <rFont val="Tahoma"/>
            <family val="2"/>
          </rPr>
          <t>jarmylly:</t>
        </r>
        <r>
          <rPr>
            <sz val="9"/>
            <color indexed="81"/>
            <rFont val="Tahoma"/>
            <family val="2"/>
          </rPr>
          <t xml:space="preserve">
Contains one disk:
DB_redo: 60825MB</t>
        </r>
      </text>
    </comment>
    <comment ref="N11" authorId="2" shapeId="0" xr:uid="{E36B6DC0-D574-46C6-8D75-72AF7D2F952B}">
      <text>
        <r>
          <rPr>
            <b/>
            <sz val="9"/>
            <color indexed="81"/>
            <rFont val="Tahoma"/>
            <family val="2"/>
          </rPr>
          <t>jarmylly:</t>
        </r>
        <r>
          <rPr>
            <sz val="9"/>
            <color indexed="81"/>
            <rFont val="Tahoma"/>
            <family val="2"/>
          </rPr>
          <t xml:space="preserve">
Contains one disk, either: 
- DB_data: 1382400MB
OR
- DB_data: 1900330MB</t>
        </r>
      </text>
    </comment>
    <comment ref="P11" authorId="2" shapeId="0" xr:uid="{FB1D1E5C-F6B5-4088-A0C3-9AFB07356977}">
      <text>
        <r>
          <rPr>
            <b/>
            <sz val="9"/>
            <color indexed="81"/>
            <rFont val="Tahoma"/>
            <family val="2"/>
          </rPr>
          <t>jarmylly:</t>
        </r>
        <r>
          <rPr>
            <sz val="9"/>
            <color indexed="81"/>
            <rFont val="Tahoma"/>
            <family val="2"/>
          </rPr>
          <t xml:space="preserve">
Contains one disk:
DB_arc: 2073600MB</t>
        </r>
      </text>
    </comment>
    <comment ref="X11" authorId="2" shapeId="0" xr:uid="{DB7A3CA0-231C-43FF-B573-06513B579FC8}">
      <text>
        <r>
          <rPr>
            <b/>
            <sz val="9"/>
            <color indexed="81"/>
            <rFont val="Tahoma"/>
            <family val="2"/>
          </rPr>
          <t>jarmylly:</t>
        </r>
        <r>
          <rPr>
            <sz val="9"/>
            <color indexed="81"/>
            <rFont val="Tahoma"/>
            <family val="2"/>
          </rPr>
          <t xml:space="preserve">
Contains one disk:
- DB_backup: 6013440MB</t>
        </r>
      </text>
    </comment>
    <comment ref="AP11" authorId="3" shapeId="0" xr:uid="{9A8D06BB-8404-408F-A773-C0E113118654}">
      <text>
        <r>
          <rPr>
            <b/>
            <sz val="9"/>
            <color indexed="81"/>
            <rFont val="Tahoma"/>
            <family val="2"/>
          </rPr>
          <t>Goyal, Mayank (Nokia - IN/Bangalore):</t>
        </r>
        <r>
          <rPr>
            <sz val="9"/>
            <color indexed="81"/>
            <rFont val="Tahoma"/>
            <family val="2"/>
          </rPr>
          <t xml:space="preserve">
Contains one disk:
- db-fb_disk : 2097152MB</t>
        </r>
      </text>
    </comment>
    <comment ref="R12" authorId="2" shapeId="0" xr:uid="{D976643C-E6C8-4AD5-BE18-C2348F52DA9A}">
      <text>
        <r>
          <rPr>
            <b/>
            <sz val="9"/>
            <color indexed="81"/>
            <rFont val="Tahoma"/>
            <family val="2"/>
          </rPr>
          <t>jarmylly:</t>
        </r>
        <r>
          <rPr>
            <sz val="9"/>
            <color indexed="81"/>
            <rFont val="Tahoma"/>
            <family val="2"/>
          </rPr>
          <t xml:space="preserve">
Contains three disks:
- NFS global: 337920 MB
- NFS home: 18432 MB
- NFS WAS dump:46080 MB</t>
        </r>
      </text>
    </comment>
    <comment ref="T12" authorId="2" shapeId="0" xr:uid="{DC40E3FB-F3E3-46B4-BCF7-08CC403DF231}">
      <text>
        <r>
          <rPr>
            <b/>
            <sz val="9"/>
            <color indexed="81"/>
            <rFont val="Tahoma"/>
            <family val="2"/>
          </rPr>
          <t>jarmylly:</t>
        </r>
        <r>
          <rPr>
            <sz val="9"/>
            <color indexed="81"/>
            <rFont val="Tahoma"/>
            <family val="2"/>
          </rPr>
          <t xml:space="preserve">
Reserved for customer own data.</t>
        </r>
      </text>
    </comment>
    <comment ref="X12" authorId="2" shapeId="0" xr:uid="{9D7AF81C-102E-443C-A1C4-C800E9C94D50}">
      <text>
        <r>
          <rPr>
            <b/>
            <sz val="9"/>
            <color indexed="81"/>
            <rFont val="Tahoma"/>
            <family val="2"/>
          </rPr>
          <t>jarmylly:</t>
        </r>
        <r>
          <rPr>
            <sz val="9"/>
            <color indexed="81"/>
            <rFont val="Tahoma"/>
            <family val="2"/>
          </rPr>
          <t xml:space="preserve">
Contains one disk:
- NFS_backup: 304128MB</t>
        </r>
      </text>
    </comment>
    <comment ref="AB19" authorId="1" shapeId="0" xr:uid="{59AEFD48-8262-40B6-ADCE-4855DA93C900}">
      <text>
        <r>
          <rPr>
            <b/>
            <sz val="9"/>
            <color indexed="81"/>
            <rFont val="Tahoma"/>
            <family val="2"/>
          </rPr>
          <t>Thippeswamy, Suresh (Nokia - IN/Bangalore):</t>
        </r>
        <r>
          <rPr>
            <sz val="9"/>
            <color indexed="81"/>
            <rFont val="Tahoma"/>
            <family val="2"/>
          </rPr>
          <t xml:space="preserve">
Contains 1 disk:
adm_disk1: 51200MB</t>
        </r>
      </text>
    </comment>
    <comment ref="AD23" authorId="1" shapeId="0" xr:uid="{A5AF4285-E6D6-4B6D-9E64-C064A159EDD2}">
      <text>
        <r>
          <rPr>
            <b/>
            <sz val="9"/>
            <color indexed="81"/>
            <rFont val="Tahoma"/>
            <family val="2"/>
          </rPr>
          <t>Thippeswamy, Suresh (Nokia - IN/Bangalore):</t>
        </r>
        <r>
          <rPr>
            <sz val="9"/>
            <color indexed="81"/>
            <rFont val="Tahoma"/>
            <family val="2"/>
          </rPr>
          <t xml:space="preserve">
Contains one disk:
isdk_disk1 : 87040MB</t>
        </r>
      </text>
    </comment>
    <comment ref="AD24" authorId="1" shapeId="0" xr:uid="{4D11FD36-AA15-4C16-AE39-1B1A8BBB32DD}">
      <text>
        <r>
          <rPr>
            <b/>
            <sz val="9"/>
            <color indexed="81"/>
            <rFont val="Tahoma"/>
            <family val="2"/>
          </rPr>
          <t>Thippeswamy, Suresh (Nokia - IN/Bangalore):</t>
        </r>
        <r>
          <rPr>
            <sz val="9"/>
            <color indexed="81"/>
            <rFont val="Tahoma"/>
            <family val="2"/>
          </rPr>
          <t xml:space="preserve">
Contains one disk:
isdk_disk1 : 87040MB</t>
        </r>
      </text>
    </comment>
    <comment ref="Z31" authorId="2" shapeId="0" xr:uid="{31ACB01A-8F89-4806-9ABE-3422028218E3}">
      <text>
        <r>
          <rPr>
            <b/>
            <sz val="9"/>
            <color indexed="81"/>
            <rFont val="Tahoma"/>
            <family val="2"/>
          </rPr>
          <t>jarmylly:</t>
        </r>
        <r>
          <rPr>
            <sz val="9"/>
            <color indexed="81"/>
            <rFont val="Tahoma"/>
            <family val="2"/>
          </rPr>
          <t xml:space="preserve">
Contains one disk:
- vm66_REP_disk: 46080MB
</t>
        </r>
      </text>
    </comment>
    <comment ref="AA31" authorId="4" shapeId="0" xr:uid="{27A8D0FD-5A4A-437B-AA1A-208B49C22D50}">
      <text>
        <r>
          <rPr>
            <b/>
            <sz val="9"/>
            <color indexed="81"/>
            <rFont val="Calibri"/>
            <family val="2"/>
          </rPr>
          <t>Jari Myllymaa:</t>
        </r>
        <r>
          <rPr>
            <sz val="9"/>
            <color indexed="81"/>
            <rFont val="Calibri"/>
            <family val="2"/>
          </rPr>
          <t xml:space="preserve">
PMDatastore can extend 50GB</t>
        </r>
      </text>
    </comment>
    <comment ref="Z32" authorId="2" shapeId="0" xr:uid="{FA9460C3-EA9A-4A7B-B1A1-1D13D8297C2A}">
      <text>
        <r>
          <rPr>
            <b/>
            <sz val="9"/>
            <color indexed="81"/>
            <rFont val="Tahoma"/>
            <family val="2"/>
          </rPr>
          <t>jarmylly:</t>
        </r>
        <r>
          <rPr>
            <sz val="9"/>
            <color indexed="81"/>
            <rFont val="Tahoma"/>
            <family val="2"/>
          </rPr>
          <t xml:space="preserve">
Contains one disk:
- vm66_REP_disk: 46080MB
</t>
        </r>
      </text>
    </comment>
    <comment ref="AH35" authorId="0" shapeId="0" xr:uid="{16C83C0D-1AF7-4CD6-9CC9-ABD8AA199FFD}">
      <text>
        <r>
          <rPr>
            <b/>
            <sz val="9"/>
            <color indexed="81"/>
            <rFont val="Tahoma"/>
            <charset val="1"/>
          </rPr>
          <t>Avuthu, Charan (EXT - IN/Bangalore):</t>
        </r>
        <r>
          <rPr>
            <sz val="9"/>
            <color indexed="81"/>
            <rFont val="Tahoma"/>
            <charset val="1"/>
          </rPr>
          <t xml:space="preserve">
Contains one disk:
- ccr_disk1: 153600MB</t>
        </r>
      </text>
    </comment>
    <comment ref="R39" authorId="0" shapeId="0" xr:uid="{CDE3CDC6-C52C-4FC5-9366-F40CA823AEAF}">
      <text>
        <r>
          <rPr>
            <b/>
            <sz val="9"/>
            <color indexed="81"/>
            <rFont val="Tahoma"/>
            <family val="2"/>
          </rPr>
          <t>Avuthu, Charan (EXT - IN/Bangalore):</t>
        </r>
        <r>
          <rPr>
            <sz val="9"/>
            <color indexed="81"/>
            <rFont val="Tahoma"/>
            <family val="2"/>
          </rPr>
          <t xml:space="preserve">
Increase for NFSGlobal disk on VM#5 by 120GB
- NFS global (For LCM as optional service on Compute1): 460800 MB</t>
        </r>
      </text>
    </comment>
    <comment ref="X39" authorId="0" shapeId="0" xr:uid="{402BA33C-E91C-4508-8404-DA0E78F39948}">
      <text>
        <r>
          <rPr>
            <b/>
            <sz val="9"/>
            <color indexed="81"/>
            <rFont val="Tahoma"/>
            <family val="2"/>
          </rPr>
          <t>Avuthu, Charan (EXT - IN/Bangalore):</t>
        </r>
        <r>
          <rPr>
            <sz val="9"/>
            <color indexed="81"/>
            <rFont val="Tahoma"/>
            <family val="2"/>
          </rPr>
          <t xml:space="preserve">
Contains one disk:
- backup_disk1: 204800MB
Increase for NFSBackup disk on VM#5 by 120GB
- NFS_backup (For LCM as optional service on Compute1): 427008 MB</t>
        </r>
      </text>
    </comment>
    <comment ref="I52" authorId="1" shapeId="0" xr:uid="{254DEA3D-85B5-4B29-9F03-359408A5435A}">
      <text>
        <r>
          <rPr>
            <b/>
            <sz val="9"/>
            <color indexed="81"/>
            <rFont val="Tahoma"/>
            <family val="2"/>
          </rPr>
          <t>Thippeswamy, Suresh (Nokia - IN/Bangalore):</t>
        </r>
        <r>
          <rPr>
            <sz val="9"/>
            <color indexed="81"/>
            <rFont val="Tahoma"/>
            <family val="2"/>
          </rPr>
          <t xml:space="preserve">
NetAct20 scratch and on top upgrade, the required disk size is 70GB
On long upgrade environment(Having NetAct19 or older in upgrade history), since /var partition requires 40GB from NetAct20 onwards, so additional 25GB disk space is automtically added and attached to /var partition. With this the total disks consumption will be 95GB 
On long upgrade environments(NetAct20 or older), from N23R3 onwards, additional 12GB would be extended automatically and attached to SWAP partition. With this, the total disk consumption will be 107GB.</t>
        </r>
      </text>
    </comment>
    <comment ref="I53" authorId="2" shapeId="0" xr:uid="{5D8022DD-2B10-4ED5-8190-549A83E139D3}">
      <text>
        <r>
          <rPr>
            <b/>
            <sz val="9"/>
            <color indexed="81"/>
            <rFont val="Tahoma"/>
            <family val="2"/>
          </rPr>
          <t>jarmylly:</t>
        </r>
        <r>
          <rPr>
            <sz val="9"/>
            <color indexed="81"/>
            <rFont val="Tahoma"/>
            <family val="2"/>
          </rPr>
          <t xml:space="preserve">
Contains two disks:
- Disk-1: 60GB
- Disk-2: 40GB</t>
        </r>
      </text>
    </comment>
    <comment ref="I54" authorId="2" shapeId="0" xr:uid="{8A88978E-3D38-4516-8738-AD331DCE0432}">
      <text>
        <r>
          <rPr>
            <b/>
            <sz val="9"/>
            <color indexed="81"/>
            <rFont val="Tahoma"/>
            <family val="2"/>
          </rPr>
          <t>jarmylly:</t>
        </r>
        <r>
          <rPr>
            <sz val="9"/>
            <color indexed="81"/>
            <rFont val="Tahoma"/>
            <family val="2"/>
          </rPr>
          <t xml:space="preserve">
Contains two disks:
- Disk-1: 60GB
(NOTE: For servers intended for more than 10 concurrent users the recommended size for disk C is Disk-1 size + RAM size.)
- Disk-2: 50GB</t>
        </r>
      </text>
    </comment>
    <comment ref="I55" authorId="2" shapeId="0" xr:uid="{6A3A3896-12B7-4E8E-A0B8-E12602036267}">
      <text>
        <r>
          <rPr>
            <b/>
            <sz val="9"/>
            <color indexed="81"/>
            <rFont val="Tahoma"/>
            <family val="2"/>
          </rPr>
          <t>jarmylly:</t>
        </r>
        <r>
          <rPr>
            <sz val="9"/>
            <color indexed="81"/>
            <rFont val="Tahoma"/>
            <family val="2"/>
          </rPr>
          <t xml:space="preserve">
Contains two disks:
- Disk-1: 80GB
(NOTE: For servers intended for more than 10 concurrent users the recommended size for disk C is Disk-1 size + RAM size.)
- Disk-2: 40GB</t>
        </r>
      </text>
    </comment>
    <comment ref="I56" authorId="2" shapeId="0" xr:uid="{2F5B0C47-973B-48BF-9078-D7AF55F25ED6}">
      <text>
        <r>
          <rPr>
            <b/>
            <sz val="9"/>
            <color indexed="81"/>
            <rFont val="Tahoma"/>
            <family val="2"/>
          </rPr>
          <t>jarmylly:</t>
        </r>
        <r>
          <rPr>
            <sz val="9"/>
            <color indexed="81"/>
            <rFont val="Tahoma"/>
            <family val="2"/>
          </rPr>
          <t xml:space="preserve">
Contains two disks:
- Disk-1: 60GB
- Disk-2: 40GB</t>
        </r>
      </text>
    </comment>
    <comment ref="I57" authorId="2" shapeId="0" xr:uid="{F98C9AF6-AE88-4FB4-8225-9C4A36262CBD}">
      <text>
        <r>
          <rPr>
            <b/>
            <sz val="9"/>
            <color indexed="81"/>
            <rFont val="Tahoma"/>
            <family val="2"/>
          </rPr>
          <t>jarmylly:</t>
        </r>
        <r>
          <rPr>
            <sz val="9"/>
            <color indexed="81"/>
            <rFont val="Tahoma"/>
            <family val="2"/>
          </rPr>
          <t xml:space="preserve">
Contains two disks:
- Disk-1: 60GB
(NOTE: For servers intended for more than 10 concurrent users the recommended size for disk C is Disk-1 size + RAM size.)
- Disk-2: 40GB</t>
        </r>
      </text>
    </comment>
    <comment ref="I58" authorId="2" shapeId="0" xr:uid="{324170C3-F4AC-4EF0-9C77-4E5092E24B32}">
      <text>
        <r>
          <rPr>
            <b/>
            <sz val="9"/>
            <color indexed="81"/>
            <rFont val="Tahoma"/>
            <family val="2"/>
          </rPr>
          <t>jarmylly:</t>
        </r>
        <r>
          <rPr>
            <sz val="9"/>
            <color indexed="81"/>
            <rFont val="Tahoma"/>
            <family val="2"/>
          </rPr>
          <t xml:space="preserve">
Contains two disks:
- Disk-1: 60GB
(NOTE: For servers intended for more than 10 concurrent users the recommended size for disk C is Disk-1 size + RAM size.)
- Disk-2: 40GB</t>
        </r>
      </text>
    </comment>
    <comment ref="I59" authorId="2" shapeId="0" xr:uid="{45F03833-0AD4-4AD5-BD34-AFDC55D123D4}">
      <text>
        <r>
          <rPr>
            <b/>
            <sz val="9"/>
            <color indexed="81"/>
            <rFont val="Tahoma"/>
            <family val="2"/>
          </rPr>
          <t>jarmylly:</t>
        </r>
        <r>
          <rPr>
            <sz val="9"/>
            <color indexed="81"/>
            <rFont val="Tahoma"/>
            <family val="2"/>
          </rPr>
          <t xml:space="preserve">
Contains two disks:
- Disk-1: 60GB
(NOTE: For servers intended for more than 10 concurrent users the recommended size for disk C is Disk-1 size + RAM size.)
- Disk-2: 40GB</t>
        </r>
      </text>
    </comment>
    <comment ref="I60" authorId="2" shapeId="0" xr:uid="{D92C3DD0-98EC-4219-8A93-E2384F3BDCFB}">
      <text>
        <r>
          <rPr>
            <b/>
            <sz val="9"/>
            <color indexed="81"/>
            <rFont val="Tahoma"/>
            <family val="2"/>
          </rPr>
          <t>jarmylly:</t>
        </r>
        <r>
          <rPr>
            <sz val="9"/>
            <color indexed="81"/>
            <rFont val="Tahoma"/>
            <family val="2"/>
          </rPr>
          <t xml:space="preserve">
Contains two disks:
- Disk-1: 60GB
(NOTE: For servers intended for more than 10 concurrent users the recommended size for disk C is Disk-1 size + RAM size.)
- Disk-2: 40GB</t>
        </r>
      </text>
    </comment>
    <comment ref="I61" authorId="2" shapeId="0" xr:uid="{C4A599AE-7686-4171-8EB2-001A9741ABFA}">
      <text>
        <r>
          <rPr>
            <b/>
            <sz val="9"/>
            <color indexed="81"/>
            <rFont val="Tahoma"/>
            <family val="2"/>
          </rPr>
          <t>jarmylly:</t>
        </r>
        <r>
          <rPr>
            <sz val="9"/>
            <color indexed="81"/>
            <rFont val="Tahoma"/>
            <family val="2"/>
          </rPr>
          <t xml:space="preserve">
Contains two disks:
- Disk-1: 80GB
(NOTE: For servers intended for more than 10 concurrent users the recommended size for disk C is Disk-1 size + RAM size.)
- Disk-2: 40GB</t>
        </r>
      </text>
    </comment>
    <comment ref="I69" authorId="0" shapeId="0" xr:uid="{81085314-1BA0-49A0-A524-87F1A18DE827}">
      <text>
        <r>
          <rPr>
            <b/>
            <sz val="9"/>
            <color indexed="81"/>
            <rFont val="Tahoma"/>
            <charset val="1"/>
          </rPr>
          <t>Avuthu, Charan (EXT - IN/Bangalore):</t>
        </r>
        <r>
          <rPr>
            <sz val="9"/>
            <color indexed="81"/>
            <rFont val="Tahoma"/>
            <charset val="1"/>
          </rPr>
          <t xml:space="preserve">
Contains two disks:
- Disk-1: 30GB
- Disk-2: 80GB</t>
        </r>
      </text>
    </comment>
    <comment ref="AF77" authorId="1" shapeId="0" xr:uid="{55D24F93-2916-4950-B282-95265414C15A}">
      <text>
        <r>
          <rPr>
            <b/>
            <sz val="9"/>
            <color indexed="81"/>
            <rFont val="Tahoma"/>
            <family val="2"/>
          </rPr>
          <t>Thippeswamy, Suresh (Nokia - IN/Bangalore):</t>
        </r>
        <r>
          <rPr>
            <sz val="9"/>
            <color indexed="81"/>
            <rFont val="Tahoma"/>
            <family val="2"/>
          </rPr>
          <t xml:space="preserve">
Contains one disk:
    napd_disk1: 153600MB
</t>
        </r>
      </text>
    </comment>
    <comment ref="AJ79" authorId="0" shapeId="0" xr:uid="{6E7D94D5-82B7-454F-9A34-C81B3AE3A68E}">
      <text>
        <r>
          <rPr>
            <b/>
            <sz val="9"/>
            <color indexed="81"/>
            <rFont val="Tahoma"/>
            <charset val="1"/>
          </rPr>
          <t>Avuthu, Charan (EXT - IN/Bangalore):</t>
        </r>
        <r>
          <rPr>
            <sz val="9"/>
            <color indexed="81"/>
            <rFont val="Tahoma"/>
            <charset val="1"/>
          </rPr>
          <t xml:space="preserve">
Contains one disk: 
-kafka_disk1: 122880 MB</t>
        </r>
      </text>
    </comment>
    <comment ref="AL79" authorId="0" shapeId="0" xr:uid="{1234E3E0-B685-4B22-A4A2-7E53B41F2969}">
      <text>
        <r>
          <rPr>
            <b/>
            <sz val="9"/>
            <color indexed="81"/>
            <rFont val="Tahoma"/>
            <charset val="1"/>
          </rPr>
          <t>Avuthu, Charan (EXT - IN/Bangalore):</t>
        </r>
        <r>
          <rPr>
            <sz val="9"/>
            <color indexed="81"/>
            <rFont val="Tahoma"/>
            <charset val="1"/>
          </rPr>
          <t xml:space="preserve">
Contains one disk: 
-cap_disk1: 4608 MB</t>
        </r>
      </text>
    </comment>
    <comment ref="AN80" authorId="0" shapeId="0" xr:uid="{6331FC55-CB74-4830-A472-024D3ADA9DB3}">
      <text>
        <r>
          <rPr>
            <b/>
            <sz val="9"/>
            <color indexed="81"/>
            <rFont val="Tahoma"/>
            <charset val="1"/>
          </rPr>
          <t>Avuthu, Charan (EXT - IN/Bangalore):</t>
        </r>
        <r>
          <rPr>
            <sz val="9"/>
            <color indexed="81"/>
            <rFont val="Tahoma"/>
            <charset val="1"/>
          </rPr>
          <t xml:space="preserve">
Contains one disk: 
-clickhouse_disk1: 716800 MB</t>
        </r>
      </text>
    </comment>
    <comment ref="E95" authorId="2" shapeId="0" xr:uid="{98B992B3-F2AC-423B-A1BB-DE1029BF11A9}">
      <text>
        <r>
          <rPr>
            <b/>
            <sz val="9"/>
            <color indexed="81"/>
            <rFont val="Tahoma"/>
            <family val="2"/>
          </rPr>
          <t>jarmylly:</t>
        </r>
        <r>
          <rPr>
            <sz val="9"/>
            <color indexed="81"/>
            <rFont val="Tahoma"/>
            <family val="2"/>
          </rPr>
          <t xml:space="preserve">
- SBTS Adapter and BTSMED should not co-locate in same cluster i.e. SBTS Adapter and BTSMED VM usage together is not possible.</t>
        </r>
      </text>
    </comment>
    <comment ref="E96" authorId="2" shapeId="0" xr:uid="{B530A128-80E2-4FD1-85F5-D8DE404B6687}">
      <text>
        <r>
          <rPr>
            <b/>
            <sz val="9"/>
            <color indexed="81"/>
            <rFont val="Tahoma"/>
            <family val="2"/>
          </rPr>
          <t>jarmylly:</t>
        </r>
        <r>
          <rPr>
            <sz val="9"/>
            <color indexed="81"/>
            <rFont val="Tahoma"/>
            <family val="2"/>
          </rPr>
          <t xml:space="preserve">
- SBTS Adapter and BTSMED should not co-locate in same cluster i.e. SBTS Adapter and BTSMED VM usage together is not possible.</t>
        </r>
      </text>
    </comment>
    <comment ref="A97" authorId="5" shapeId="0" xr:uid="{07F1C193-7581-4E6F-925D-7E0CD7031595}">
      <text>
        <t>[Threaded comment]
Your version of Excel allows you to read this threaded comment; however, any edits to it will get removed if the file is opened in a newer version of Excel. Learn more: https://go.microsoft.com/fwlink/?linkid=870924
Comment:
    SP1911 Onwards</t>
      </text>
    </comment>
    <comment ref="A98" authorId="6" shapeId="0" xr:uid="{BF0B1370-7916-40AA-89C5-7344181BEC20}">
      <text>
        <t>[Threaded comment]
Your version of Excel allows you to read this threaded comment; however, any edits to it will get removed if the file is opened in a newer version of Excel. Learn more: https://go.microsoft.com/fwlink/?linkid=870924
Comment:
    SP2004 onwards</t>
      </text>
    </comment>
    <comment ref="B104" authorId="0" shapeId="0" xr:uid="{CCFF1806-7FE4-40EC-9D11-0527A3881BFE}">
      <text>
        <r>
          <rPr>
            <b/>
            <sz val="9"/>
            <color indexed="81"/>
            <rFont val="Tahoma"/>
            <charset val="1"/>
          </rPr>
          <t>Avuthu, Charan (EXT - IN/Bangalore):</t>
        </r>
        <r>
          <rPr>
            <sz val="9"/>
            <color indexed="81"/>
            <rFont val="Tahoma"/>
            <charset val="1"/>
          </rPr>
          <t xml:space="preserve">
The datastore(DS) usage is shown considering all optional VMs are deployed which uses VMGuestDisk1. If any optional VM is not deployed, DS usage will be reduced accordingly.</t>
        </r>
      </text>
    </comment>
    <comment ref="B105" authorId="0" shapeId="0" xr:uid="{2BFF5C8A-7E92-4589-BAF6-5EA523CC3091}">
      <text>
        <r>
          <rPr>
            <b/>
            <sz val="9"/>
            <color indexed="81"/>
            <rFont val="Tahoma"/>
            <charset val="1"/>
          </rPr>
          <t>Avuthu, Charan (EXT - IN/Bangalore):</t>
        </r>
        <r>
          <rPr>
            <sz val="9"/>
            <color indexed="81"/>
            <rFont val="Tahoma"/>
            <charset val="1"/>
          </rPr>
          <t xml:space="preserve">
The datastore(DS) usage is shown considering all optional VMs are deployed which uses VMGuestDisk2. If any optional VM is not deployed, DS usage will be reduced accordingly.</t>
        </r>
      </text>
    </comment>
    <comment ref="B106" authorId="0" shapeId="0" xr:uid="{5D37A628-3681-4C9E-8653-C54A1C5BFE48}">
      <text>
        <r>
          <rPr>
            <b/>
            <sz val="9"/>
            <color indexed="81"/>
            <rFont val="Tahoma"/>
            <charset val="1"/>
          </rPr>
          <t>Avuthu, Charan (EXT - IN/Bangalore):</t>
        </r>
        <r>
          <rPr>
            <sz val="9"/>
            <color indexed="81"/>
            <rFont val="Tahoma"/>
            <charset val="1"/>
          </rPr>
          <t xml:space="preserve">
The datastore(DS) usage is shown considering all optional VMs are deployed which uses VMGuestDisk3. If any optional VM is not deployed, DS usage will be reduced accordingly.</t>
        </r>
      </text>
    </comment>
    <comment ref="B116" authorId="0" shapeId="0" xr:uid="{3CFABEB8-A61E-4B6E-9CFA-64B7C48387CF}">
      <text>
        <r>
          <rPr>
            <b/>
            <sz val="9"/>
            <color indexed="81"/>
            <rFont val="Tahoma"/>
            <charset val="1"/>
          </rPr>
          <t>Avuthu, Charan (EXT - IN/Bangalore):</t>
        </r>
        <r>
          <rPr>
            <sz val="9"/>
            <color indexed="81"/>
            <rFont val="Tahoma"/>
            <charset val="1"/>
          </rPr>
          <t xml:space="preserve">
-Increase by additional 120GB, For LCM as optional service on Compute1</t>
        </r>
      </text>
    </comment>
    <comment ref="C116" authorId="0" shapeId="0" xr:uid="{0B83704C-28E8-4DEA-AB23-8A115F24BE8F}">
      <text>
        <r>
          <rPr>
            <b/>
            <sz val="9"/>
            <color indexed="81"/>
            <rFont val="Tahoma"/>
            <charset val="1"/>
          </rPr>
          <t>Avuthu, Charan (EXT - IN/Bangalore):</t>
        </r>
        <r>
          <rPr>
            <sz val="9"/>
            <color indexed="81"/>
            <rFont val="Tahoma"/>
            <charset val="1"/>
          </rPr>
          <t xml:space="preserve">
-Increase by additional 120GB, For LCM as optional service on Compute1</t>
        </r>
      </text>
    </comment>
    <comment ref="B120" authorId="0" shapeId="0" xr:uid="{4AA17C2B-C3F5-4E2F-A38F-990733FB26D5}">
      <text>
        <r>
          <rPr>
            <b/>
            <sz val="9"/>
            <color indexed="81"/>
            <rFont val="Tahoma"/>
            <charset val="1"/>
          </rPr>
          <t>Avuthu, Charan (EXT - IN/Bangalore):</t>
        </r>
        <r>
          <rPr>
            <sz val="9"/>
            <color indexed="81"/>
            <rFont val="Tahoma"/>
            <charset val="1"/>
          </rPr>
          <t xml:space="preserve">
-Increase by additional 320GB, If LCM+CCR chosen as optional service on Compute1</t>
        </r>
      </text>
    </comment>
    <comment ref="C120" authorId="0" shapeId="0" xr:uid="{74DFEE51-D8BA-4618-9788-555271892FFC}">
      <text>
        <r>
          <rPr>
            <b/>
            <sz val="9"/>
            <color indexed="81"/>
            <rFont val="Tahoma"/>
            <charset val="1"/>
          </rPr>
          <t>Avuthu, Charan (EXT - IN/Bangalore):</t>
        </r>
        <r>
          <rPr>
            <sz val="9"/>
            <color indexed="81"/>
            <rFont val="Tahoma"/>
            <charset val="1"/>
          </rPr>
          <t xml:space="preserve">
-Increase by additional 340GB, If LCM+CCR chosen as optional service on Compute1</t>
        </r>
      </text>
    </comment>
    <comment ref="A122" authorId="1" shapeId="0" xr:uid="{599023A6-E353-4887-8C4E-F5CBD67BCFF5}">
      <text>
        <r>
          <rPr>
            <b/>
            <sz val="9"/>
            <color indexed="81"/>
            <rFont val="Tahoma"/>
            <family val="2"/>
          </rPr>
          <t>Thippeswamy, Suresh (Nokia - IN/Bangalore):</t>
        </r>
        <r>
          <rPr>
            <sz val="9"/>
            <color indexed="81"/>
            <rFont val="Tahoma"/>
            <family val="2"/>
          </rPr>
          <t xml:space="preserve">
Based on vCSA version selected, Datastore size and datastore usage  varies</t>
        </r>
      </text>
    </comment>
    <comment ref="A123" authorId="1" shapeId="0" xr:uid="{D7ADA951-CBC7-449D-B63F-5A5DAB5E8525}">
      <text>
        <r>
          <rPr>
            <b/>
            <sz val="9"/>
            <color indexed="81"/>
            <rFont val="Tahoma"/>
            <family val="2"/>
          </rPr>
          <t>Thippeswamy, Suresh (Nokia - IN/Bangalore):</t>
        </r>
        <r>
          <rPr>
            <sz val="9"/>
            <color indexed="81"/>
            <rFont val="Tahoma"/>
            <family val="2"/>
          </rPr>
          <t xml:space="preserve">
This datastore is needed only if NAPD optional VM is planned to deploy</t>
        </r>
      </text>
    </comment>
    <comment ref="A124" authorId="1" shapeId="0" xr:uid="{052E1093-FBA1-48DD-82C0-BA07CE19E05B}">
      <text>
        <r>
          <rPr>
            <b/>
            <sz val="9"/>
            <color indexed="81"/>
            <rFont val="Tahoma"/>
            <family val="2"/>
          </rPr>
          <t>Thippeswamy, Suresh (Nokia - IN/Bangalore):</t>
        </r>
        <r>
          <rPr>
            <sz val="9"/>
            <color indexed="81"/>
            <rFont val="Tahoma"/>
            <family val="2"/>
          </rPr>
          <t xml:space="preserve">
This datastore is needed only if ARC optional VM is planned to deploy</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Avuthu, Charan (EXT - IN/Bangalore)</author>
    <author>Thippeswamy, Suresh (Nokia - IN/Bangalore)</author>
    <author>jarmylly</author>
    <author>Goyal, Mayank (Nokia - IN/Bangalore)</author>
    <author>Jari Myllymaa</author>
    <author>tc={A855BC33-B3D4-4384-8878-AD7CE2A17EDA}</author>
    <author>tc={7EEB618F-9B81-4BA9-B359-D7286F5F006E}</author>
  </authors>
  <commentList>
    <comment ref="J7" authorId="0" shapeId="0" xr:uid="{932D99E2-7054-4776-A888-3C0D434C4766}">
      <text>
        <r>
          <rPr>
            <b/>
            <sz val="9"/>
            <color indexed="81"/>
            <rFont val="Tahoma"/>
            <charset val="1"/>
          </rPr>
          <t>Avuthu, Charan (EXT - IN/Bangalore):</t>
        </r>
        <r>
          <rPr>
            <sz val="9"/>
            <color indexed="81"/>
            <rFont val="Tahoma"/>
            <charset val="1"/>
          </rPr>
          <t xml:space="preserve">
Virtual Machine SWAP file size in VMGuestDisk data store, for Virtual Infra operations</t>
        </r>
      </text>
    </comment>
    <comment ref="E9" authorId="1" shapeId="0" xr:uid="{13295A2B-A00F-4787-8877-3F61FE0D3E25}">
      <text>
        <r>
          <rPr>
            <b/>
            <sz val="9"/>
            <color indexed="81"/>
            <rFont val="Tahoma"/>
            <family val="2"/>
          </rPr>
          <t>Thippeswamy, Suresh (Nokia - IN/Bangalore):</t>
        </r>
        <r>
          <rPr>
            <sz val="9"/>
            <color indexed="81"/>
            <rFont val="Tahoma"/>
            <family val="2"/>
          </rPr>
          <t xml:space="preserve">
Select the vCSA version</t>
        </r>
      </text>
    </comment>
    <comment ref="L11" authorId="1" shapeId="0" xr:uid="{CBD529C7-D346-4D90-9405-C9B45F28720A}">
      <text>
        <r>
          <rPr>
            <b/>
            <sz val="9"/>
            <color indexed="81"/>
            <rFont val="Tahoma"/>
            <family val="2"/>
          </rPr>
          <t>Thippeswamy, Suresh (Nokia - IN/Bangalore):</t>
        </r>
        <r>
          <rPr>
            <sz val="9"/>
            <color indexed="81"/>
            <rFont val="Tahoma"/>
            <family val="2"/>
          </rPr>
          <t xml:space="preserve">
Db_redo disk size:119800MB</t>
        </r>
      </text>
    </comment>
    <comment ref="N11" authorId="2" shapeId="0" xr:uid="{F380F066-F6C1-4DAC-AC3A-850B701F3262}">
      <text>
        <r>
          <rPr>
            <b/>
            <sz val="9"/>
            <color indexed="81"/>
            <rFont val="Tahoma"/>
            <family val="2"/>
          </rPr>
          <t>jarmylly:</t>
        </r>
        <r>
          <rPr>
            <sz val="9"/>
            <color indexed="81"/>
            <rFont val="Tahoma"/>
            <family val="2"/>
          </rPr>
          <t xml:space="preserve">
Contains one disk, either: 
 DB_data(Std): 2304000MB
OR
 DB_data(Extended): 5667840MB</t>
        </r>
      </text>
    </comment>
    <comment ref="P11" authorId="2" shapeId="0" xr:uid="{D32131AB-4F74-47D3-8941-80C92092F02F}">
      <text>
        <r>
          <rPr>
            <b/>
            <sz val="9"/>
            <color indexed="81"/>
            <rFont val="Tahoma"/>
            <family val="2"/>
          </rPr>
          <t>jarmylly:</t>
        </r>
        <r>
          <rPr>
            <sz val="9"/>
            <color indexed="81"/>
            <rFont val="Tahoma"/>
            <family val="2"/>
          </rPr>
          <t xml:space="preserve">
Contains one disk: 
 DB_arc(Std): 3456000MB
OR
 DB_arc(Extended): 4700160MB</t>
        </r>
      </text>
    </comment>
    <comment ref="X11" authorId="2" shapeId="0" xr:uid="{B73B8A7C-ECEE-43A0-85D8-6EB05655A8F9}">
      <text>
        <r>
          <rPr>
            <b/>
            <sz val="9"/>
            <color indexed="81"/>
            <rFont val="Tahoma"/>
            <family val="2"/>
          </rPr>
          <t>jarmylly:</t>
        </r>
        <r>
          <rPr>
            <sz val="9"/>
            <color indexed="81"/>
            <rFont val="Tahoma"/>
            <family val="2"/>
          </rPr>
          <t xml:space="preserve">
Contains one disk:
  DB_backup(Std): 10022400MB
OR
 DB_backup(Extended):17003520MB</t>
        </r>
      </text>
    </comment>
    <comment ref="AP11" authorId="3" shapeId="0" xr:uid="{75FA7E86-82E8-4802-AE61-DFE266C56A7C}">
      <text>
        <r>
          <rPr>
            <b/>
            <sz val="9"/>
            <color indexed="81"/>
            <rFont val="Tahoma"/>
            <family val="2"/>
          </rPr>
          <t>Goyal, Mayank (Nokia - IN/Bangalore):</t>
        </r>
        <r>
          <rPr>
            <sz val="9"/>
            <color indexed="81"/>
            <rFont val="Tahoma"/>
            <family val="2"/>
          </rPr>
          <t xml:space="preserve">
Contains one disk:
- db-fb_disk : 3145728MB</t>
        </r>
      </text>
    </comment>
    <comment ref="R12" authorId="2" shapeId="0" xr:uid="{07644369-81A9-4E50-87F8-0D6400559A52}">
      <text>
        <r>
          <rPr>
            <b/>
            <sz val="9"/>
            <color indexed="81"/>
            <rFont val="Tahoma"/>
            <family val="2"/>
          </rPr>
          <t>jarmylly:</t>
        </r>
        <r>
          <rPr>
            <sz val="9"/>
            <color indexed="81"/>
            <rFont val="Tahoma"/>
            <family val="2"/>
          </rPr>
          <t xml:space="preserve">
Contains three disks:
- NFS global: 450560 MB
- NFS home: 24576 MB
- NFS WAS dump: 87040 MB</t>
        </r>
      </text>
    </comment>
    <comment ref="T12" authorId="2" shapeId="0" xr:uid="{243E52ED-741C-4105-AEF0-3285DE60565C}">
      <text>
        <r>
          <rPr>
            <b/>
            <sz val="9"/>
            <color indexed="81"/>
            <rFont val="Tahoma"/>
            <family val="2"/>
          </rPr>
          <t>jarmylly:</t>
        </r>
        <r>
          <rPr>
            <sz val="9"/>
            <color indexed="81"/>
            <rFont val="Tahoma"/>
            <family val="2"/>
          </rPr>
          <t xml:space="preserve">
Reserved for customer own data.</t>
        </r>
      </text>
    </comment>
    <comment ref="X12" authorId="2" shapeId="0" xr:uid="{6E189ABA-394F-439E-8280-B326E2BDBEE8}">
      <text>
        <r>
          <rPr>
            <b/>
            <sz val="9"/>
            <color indexed="81"/>
            <rFont val="Tahoma"/>
            <family val="2"/>
          </rPr>
          <t>jarmylly:</t>
        </r>
        <r>
          <rPr>
            <sz val="9"/>
            <color indexed="81"/>
            <rFont val="Tahoma"/>
            <family val="2"/>
          </rPr>
          <t xml:space="preserve">
Contains one disk:
- NFS_backup: 460600MB</t>
        </r>
      </text>
    </comment>
    <comment ref="AB19" authorId="1" shapeId="0" xr:uid="{FB17A315-FFCE-422E-BADA-499C007084C6}">
      <text>
        <r>
          <rPr>
            <b/>
            <sz val="9"/>
            <color indexed="81"/>
            <rFont val="Tahoma"/>
            <family val="2"/>
          </rPr>
          <t>Thippeswamy, Suresh (Nokia - IN/Bangalore):</t>
        </r>
        <r>
          <rPr>
            <sz val="9"/>
            <color indexed="81"/>
            <rFont val="Tahoma"/>
            <family val="2"/>
          </rPr>
          <t xml:space="preserve">
Contains 1 disk:
adm_disk1: 51200MB</t>
        </r>
      </text>
    </comment>
    <comment ref="AD23" authorId="1" shapeId="0" xr:uid="{C32D3022-6AFB-454C-BED3-576807348711}">
      <text>
        <r>
          <rPr>
            <b/>
            <sz val="9"/>
            <color indexed="81"/>
            <rFont val="Tahoma"/>
            <family val="2"/>
          </rPr>
          <t>Thippeswamy, Suresh (Nokia - IN/Bangalore):</t>
        </r>
        <r>
          <rPr>
            <sz val="9"/>
            <color indexed="81"/>
            <rFont val="Tahoma"/>
            <family val="2"/>
          </rPr>
          <t xml:space="preserve">
Contains one disk:
isdk_disk1 : 87040MB</t>
        </r>
      </text>
    </comment>
    <comment ref="AD24" authorId="1" shapeId="0" xr:uid="{68D544AA-657F-4EB8-AC03-0C82FF4D5720}">
      <text>
        <r>
          <rPr>
            <b/>
            <sz val="9"/>
            <color indexed="81"/>
            <rFont val="Tahoma"/>
            <family val="2"/>
          </rPr>
          <t>Thippeswamy, Suresh (Nokia - IN/Bangalore):</t>
        </r>
        <r>
          <rPr>
            <sz val="9"/>
            <color indexed="81"/>
            <rFont val="Tahoma"/>
            <family val="2"/>
          </rPr>
          <t xml:space="preserve">
Contains one disk:
isdk_disk1 : 87040MB</t>
        </r>
      </text>
    </comment>
    <comment ref="Z35" authorId="2" shapeId="0" xr:uid="{258CB774-043A-4A3F-9384-57524647B93E}">
      <text>
        <r>
          <rPr>
            <b/>
            <sz val="9"/>
            <color indexed="81"/>
            <rFont val="Tahoma"/>
            <family val="2"/>
          </rPr>
          <t>jarmylly:</t>
        </r>
        <r>
          <rPr>
            <sz val="9"/>
            <color indexed="81"/>
            <rFont val="Tahoma"/>
            <family val="2"/>
          </rPr>
          <t xml:space="preserve">
Contains one disk:
- vm66_REP_disk: 46080MB
</t>
        </r>
      </text>
    </comment>
    <comment ref="AA35" authorId="4" shapeId="0" xr:uid="{FAAD6A1C-AA20-4D7C-946F-DB93DB20EF2D}">
      <text>
        <r>
          <rPr>
            <b/>
            <sz val="9"/>
            <color indexed="81"/>
            <rFont val="Calibri"/>
            <family val="2"/>
          </rPr>
          <t>Jari Myllymaa:</t>
        </r>
        <r>
          <rPr>
            <sz val="9"/>
            <color indexed="81"/>
            <rFont val="Calibri"/>
            <family val="2"/>
          </rPr>
          <t xml:space="preserve">
PMDatastore can extend 50GB</t>
        </r>
      </text>
    </comment>
    <comment ref="Z36" authorId="2" shapeId="0" xr:uid="{28E98AF9-A12D-47AA-80B7-C400EA79595A}">
      <text>
        <r>
          <rPr>
            <b/>
            <sz val="9"/>
            <color indexed="81"/>
            <rFont val="Tahoma"/>
            <family val="2"/>
          </rPr>
          <t>jarmylly:</t>
        </r>
        <r>
          <rPr>
            <sz val="9"/>
            <color indexed="81"/>
            <rFont val="Tahoma"/>
            <family val="2"/>
          </rPr>
          <t xml:space="preserve">
Contains one disk:
- vm66_REP_disk: 46080MB
</t>
        </r>
      </text>
    </comment>
    <comment ref="Z37" authorId="2" shapeId="0" xr:uid="{5B33ACDB-5690-4DA4-9B78-80B6A10AC06E}">
      <text>
        <r>
          <rPr>
            <b/>
            <sz val="9"/>
            <color indexed="81"/>
            <rFont val="Tahoma"/>
            <family val="2"/>
          </rPr>
          <t>jarmylly:</t>
        </r>
        <r>
          <rPr>
            <sz val="9"/>
            <color indexed="81"/>
            <rFont val="Tahoma"/>
            <family val="2"/>
          </rPr>
          <t xml:space="preserve">
Contains one disk:
- vm66_REP_disk: 46080MB
</t>
        </r>
      </text>
    </comment>
    <comment ref="Z38" authorId="2" shapeId="0" xr:uid="{73885DF2-3BFE-4032-BF2D-E7201E4D8ED4}">
      <text>
        <r>
          <rPr>
            <b/>
            <sz val="9"/>
            <color indexed="81"/>
            <rFont val="Tahoma"/>
            <family val="2"/>
          </rPr>
          <t>jarmylly:</t>
        </r>
        <r>
          <rPr>
            <sz val="9"/>
            <color indexed="81"/>
            <rFont val="Tahoma"/>
            <family val="2"/>
          </rPr>
          <t xml:space="preserve">
Contains one disk:
- vm66_REP_disk: 46080MB
</t>
        </r>
      </text>
    </comment>
    <comment ref="AH41" authorId="0" shapeId="0" xr:uid="{7A1532E8-478F-4D06-9EF5-508121A33161}">
      <text>
        <r>
          <rPr>
            <b/>
            <sz val="9"/>
            <color indexed="81"/>
            <rFont val="Tahoma"/>
            <charset val="1"/>
          </rPr>
          <t>Avuthu, Charan (EXT - IN/Bangalore):</t>
        </r>
        <r>
          <rPr>
            <sz val="9"/>
            <color indexed="81"/>
            <rFont val="Tahoma"/>
            <charset val="1"/>
          </rPr>
          <t xml:space="preserve">
Contains one disk:
- ccr_disk1: 153600MB</t>
        </r>
      </text>
    </comment>
    <comment ref="R45" authorId="0" shapeId="0" xr:uid="{1997684F-6AF7-440E-A91F-0CD96F771E29}">
      <text>
        <r>
          <rPr>
            <b/>
            <sz val="9"/>
            <color indexed="81"/>
            <rFont val="Tahoma"/>
            <family val="2"/>
          </rPr>
          <t>Avuthu, Charan (EXT - IN/Bangalore):</t>
        </r>
        <r>
          <rPr>
            <sz val="9"/>
            <color indexed="81"/>
            <rFont val="Tahoma"/>
            <family val="2"/>
          </rPr>
          <t xml:space="preserve">
Increase for NFSGlobal disk on VM5 by 120GB
- NFS global (For LCM as optional service on Compute1): 573440 MB</t>
        </r>
      </text>
    </comment>
    <comment ref="X45" authorId="0" shapeId="0" xr:uid="{419FBDA0-2E8A-45B8-91E4-F5D5579C948C}">
      <text>
        <r>
          <rPr>
            <b/>
            <sz val="9"/>
            <color indexed="81"/>
            <rFont val="Tahoma"/>
            <charset val="1"/>
          </rPr>
          <t>Avuthu, Charan (EXT - IN/Bangalore):</t>
        </r>
        <r>
          <rPr>
            <sz val="9"/>
            <color indexed="81"/>
            <rFont val="Tahoma"/>
            <charset val="1"/>
          </rPr>
          <t xml:space="preserve">
Contains one disk:
- backup_disk1: 204800 MB
Increase in NFS Backup disk on VM5 by 120GB
- NFS_backup (For LCM as optional service on Compute1): 583680 MB</t>
        </r>
      </text>
    </comment>
    <comment ref="I59" authorId="1" shapeId="0" xr:uid="{3F2783DB-122A-4F7B-8B68-B5FC6F9F9305}">
      <text>
        <r>
          <rPr>
            <b/>
            <sz val="9"/>
            <color indexed="81"/>
            <rFont val="Tahoma"/>
            <family val="2"/>
          </rPr>
          <t>Thippeswamy, Suresh (Nokia - IN/Bangalore):</t>
        </r>
        <r>
          <rPr>
            <sz val="9"/>
            <color indexed="81"/>
            <rFont val="Tahoma"/>
            <family val="2"/>
          </rPr>
          <t xml:space="preserve">
NetAct20 scratch and on top upgrade, the required disk size is 70GB
On long upgrade environment(Having NetAct19 or older in upgrade history), since /var partition requires 40GB from NetAct20 onwards, so additional 25GB disk space is automtically added and attached to /var partition. With this the total disks consumption will be 95GB 
On long upgrade environments(NetAct20 or older), from N23R3 onwards, additional 12GB would be extended automatically and attached to SWAP partition. With this, the total disk consumption will be 107GB.</t>
        </r>
      </text>
    </comment>
    <comment ref="I60" authorId="2" shapeId="0" xr:uid="{0FFBE683-3617-4810-82E7-B9BCF002C92E}">
      <text>
        <r>
          <rPr>
            <b/>
            <sz val="9"/>
            <color indexed="81"/>
            <rFont val="Tahoma"/>
            <family val="2"/>
          </rPr>
          <t>jarmylly:</t>
        </r>
        <r>
          <rPr>
            <sz val="9"/>
            <color indexed="81"/>
            <rFont val="Tahoma"/>
            <family val="2"/>
          </rPr>
          <t xml:space="preserve">
Contains two disks:
- Disk-1: 60GB
- Disk-2: 40GB</t>
        </r>
      </text>
    </comment>
    <comment ref="I61" authorId="2" shapeId="0" xr:uid="{C003757C-894E-48E6-8C37-3194BEF2B649}">
      <text>
        <r>
          <rPr>
            <b/>
            <sz val="9"/>
            <color indexed="81"/>
            <rFont val="Tahoma"/>
            <family val="2"/>
          </rPr>
          <t>jarmylly:</t>
        </r>
        <r>
          <rPr>
            <sz val="9"/>
            <color indexed="81"/>
            <rFont val="Tahoma"/>
            <family val="2"/>
          </rPr>
          <t xml:space="preserve">
Contains two disks:
- Disk-1: 60GB
(NOTE: For servers intended for more than 10 concurrent users the recommended size for disk C is Disk-1 size + RAM size.)
- Disk-2: 50GB</t>
        </r>
      </text>
    </comment>
    <comment ref="I62" authorId="2" shapeId="0" xr:uid="{9D58771A-0AFB-47D4-9565-8D3DB1DB1FC9}">
      <text>
        <r>
          <rPr>
            <b/>
            <sz val="9"/>
            <color indexed="81"/>
            <rFont val="Tahoma"/>
            <family val="2"/>
          </rPr>
          <t>jarmylly:</t>
        </r>
        <r>
          <rPr>
            <sz val="9"/>
            <color indexed="81"/>
            <rFont val="Tahoma"/>
            <family val="2"/>
          </rPr>
          <t xml:space="preserve">
Contains two disks:
- Disk-1: 80GB
(NOTE: For servers intended for more than 10 concurrent users the recommended size for disk C is Disk-1 size + RAM size.)
- Disk-2: 40GB</t>
        </r>
      </text>
    </comment>
    <comment ref="I63" authorId="2" shapeId="0" xr:uid="{00A42C04-0D5D-4C47-90CD-0D69FB98E7DD}">
      <text>
        <r>
          <rPr>
            <b/>
            <sz val="9"/>
            <color indexed="81"/>
            <rFont val="Tahoma"/>
            <family val="2"/>
          </rPr>
          <t>jarmylly:</t>
        </r>
        <r>
          <rPr>
            <sz val="9"/>
            <color indexed="81"/>
            <rFont val="Tahoma"/>
            <family val="2"/>
          </rPr>
          <t xml:space="preserve">
Contains two disks:
- Disk-1: 60GB
- Disk-2: 40GB</t>
        </r>
      </text>
    </comment>
    <comment ref="I64" authorId="2" shapeId="0" xr:uid="{7D07AF79-7ABC-4AE2-8457-EF9D1E47F87D}">
      <text>
        <r>
          <rPr>
            <b/>
            <sz val="9"/>
            <color indexed="81"/>
            <rFont val="Tahoma"/>
            <family val="2"/>
          </rPr>
          <t>jarmylly:</t>
        </r>
        <r>
          <rPr>
            <sz val="9"/>
            <color indexed="81"/>
            <rFont val="Tahoma"/>
            <family val="2"/>
          </rPr>
          <t xml:space="preserve">
Contains two disks:
- Disk-1: 60GB
(NOTE: For servers intended for more than 10 concurrent users the recommended size for disk C is Disk-1 size + RAM size.)
- Disk-2: 40GB</t>
        </r>
      </text>
    </comment>
    <comment ref="I65" authorId="2" shapeId="0" xr:uid="{6A68F2CF-4D33-4325-9E8A-C38B8694ED78}">
      <text>
        <r>
          <rPr>
            <sz val="9"/>
            <color indexed="81"/>
            <rFont val="Tahoma"/>
            <family val="2"/>
          </rPr>
          <t>Contains two disks:
- Disk-1: 60GB
(NOTE: For servers intended for more than 10 concurrent users the recommended size for disk C is Disk-1 size + RAM size.)
- Disk-2: 40GB</t>
        </r>
      </text>
    </comment>
    <comment ref="I66" authorId="2" shapeId="0" xr:uid="{B4F9EEDF-D8FF-4F99-9D14-4B930CFCA4C5}">
      <text>
        <r>
          <rPr>
            <b/>
            <sz val="9"/>
            <color indexed="81"/>
            <rFont val="Tahoma"/>
            <family val="2"/>
          </rPr>
          <t>jarmylly:</t>
        </r>
        <r>
          <rPr>
            <sz val="9"/>
            <color indexed="81"/>
            <rFont val="Tahoma"/>
            <family val="2"/>
          </rPr>
          <t xml:space="preserve">
Contains two disks:
- Disk-1: 60GB
(NOTE: For servers intended for more than 10 concurrent users the recommended size for disk C is Disk-1 size + RAM size.)
- Disk-2: 40GB</t>
        </r>
      </text>
    </comment>
    <comment ref="I67" authorId="2" shapeId="0" xr:uid="{EBCE831F-1765-4465-A3A9-B0AF38D327EE}">
      <text>
        <r>
          <rPr>
            <b/>
            <sz val="9"/>
            <color indexed="81"/>
            <rFont val="Tahoma"/>
            <family val="2"/>
          </rPr>
          <t>jarmylly:</t>
        </r>
        <r>
          <rPr>
            <sz val="9"/>
            <color indexed="81"/>
            <rFont val="Tahoma"/>
            <family val="2"/>
          </rPr>
          <t xml:space="preserve">
Contains two disks:
- Disk-1: 60GB
(NOTE: For servers intended for more than 10 concurrent users the recommended size for disk C is Disk-1 size + RAM size.)
- Disk-2: 40GB</t>
        </r>
      </text>
    </comment>
    <comment ref="I68" authorId="2" shapeId="0" xr:uid="{239D3732-9C6E-406C-8AA7-19FC8944944C}">
      <text>
        <r>
          <rPr>
            <b/>
            <sz val="9"/>
            <color indexed="81"/>
            <rFont val="Tahoma"/>
            <family val="2"/>
          </rPr>
          <t>jarmylly:</t>
        </r>
        <r>
          <rPr>
            <sz val="9"/>
            <color indexed="81"/>
            <rFont val="Tahoma"/>
            <family val="2"/>
          </rPr>
          <t xml:space="preserve">
Contains two disks:
- Disk-1: 60GB
(NOTE: For servers intended for more than 10 concurrent users the recommended size for disk C is Disk-1 size + RAM size.)
- Disk-2: 40GB</t>
        </r>
      </text>
    </comment>
    <comment ref="I69" authorId="2" shapeId="0" xr:uid="{5AB695EC-3566-422E-8194-76C71BC5CFCF}">
      <text>
        <r>
          <rPr>
            <b/>
            <sz val="9"/>
            <color indexed="81"/>
            <rFont val="Tahoma"/>
            <family val="2"/>
          </rPr>
          <t>jarmylly:</t>
        </r>
        <r>
          <rPr>
            <sz val="9"/>
            <color indexed="81"/>
            <rFont val="Tahoma"/>
            <family val="2"/>
          </rPr>
          <t xml:space="preserve">
Contains two disks:
- Disk-1: 60GB
(NOTE: For servers intended for more than 10 concurrent users the recommended size for disk C is Disk-1 size + RAM size.)
- Disk-2: 40GB</t>
        </r>
      </text>
    </comment>
    <comment ref="I70" authorId="2" shapeId="0" xr:uid="{B99DFDF6-0026-49C2-9462-BDBFBB9D1639}">
      <text>
        <r>
          <rPr>
            <b/>
            <sz val="9"/>
            <color indexed="81"/>
            <rFont val="Tahoma"/>
            <family val="2"/>
          </rPr>
          <t>jarmylly:</t>
        </r>
        <r>
          <rPr>
            <sz val="9"/>
            <color indexed="81"/>
            <rFont val="Tahoma"/>
            <family val="2"/>
          </rPr>
          <t xml:space="preserve">
Contains two disks:
- Disk-1: 60GB
(NOTE: For servers intended for more than 10 concurrent users the recommended size for disk C is Disk-1 size + RAM size.)
- Disk-2: 40GB</t>
        </r>
      </text>
    </comment>
    <comment ref="I71" authorId="2" shapeId="0" xr:uid="{CC6FFE96-3E86-4A73-8F41-92AC9F5775D5}">
      <text>
        <r>
          <rPr>
            <b/>
            <sz val="9"/>
            <color indexed="81"/>
            <rFont val="Tahoma"/>
            <family val="2"/>
          </rPr>
          <t>jarmylly:</t>
        </r>
        <r>
          <rPr>
            <sz val="9"/>
            <color indexed="81"/>
            <rFont val="Tahoma"/>
            <family val="2"/>
          </rPr>
          <t xml:space="preserve">
Contains two disks:
- Disk-1: 80GB
(NOTE: For servers intended for more than 10 concurrent users the recommended size for disk C is Disk-1 size + RAM size.)
- Disk-2: 40GB</t>
        </r>
      </text>
    </comment>
    <comment ref="I72" authorId="2" shapeId="0" xr:uid="{68B015E2-6793-4BEC-8029-9A03DE391821}">
      <text>
        <r>
          <rPr>
            <b/>
            <sz val="9"/>
            <color indexed="81"/>
            <rFont val="Tahoma"/>
            <family val="2"/>
          </rPr>
          <t>jarmylly:</t>
        </r>
        <r>
          <rPr>
            <sz val="9"/>
            <color indexed="81"/>
            <rFont val="Tahoma"/>
            <family val="2"/>
          </rPr>
          <t xml:space="preserve">
Contains two disks:
- Disk-1: 60GB
(NOTE: For servers intended for more than 10 concurrent users the recommended size for disk C is Disk-1 size + RAM size.)
- Disk-2: 40GB</t>
        </r>
      </text>
    </comment>
    <comment ref="I80" authorId="2" shapeId="0" xr:uid="{765238AF-5113-453B-9F72-1757E4B0E2D3}">
      <text>
        <r>
          <rPr>
            <b/>
            <sz val="9"/>
            <color indexed="81"/>
            <rFont val="Tahoma"/>
            <family val="2"/>
          </rPr>
          <t>jarmylly:</t>
        </r>
        <r>
          <rPr>
            <sz val="9"/>
            <color indexed="81"/>
            <rFont val="Tahoma"/>
            <family val="2"/>
          </rPr>
          <t xml:space="preserve">
Contains two disks:
- Disk-1: 30GB
- Disk-2: 80GB</t>
        </r>
      </text>
    </comment>
    <comment ref="I81" authorId="2" shapeId="0" xr:uid="{BE79DDF9-B8C3-4661-A68C-CB207030A164}">
      <text>
        <r>
          <rPr>
            <b/>
            <sz val="9"/>
            <color indexed="81"/>
            <rFont val="Tahoma"/>
            <family val="2"/>
          </rPr>
          <t>jarmylly:</t>
        </r>
        <r>
          <rPr>
            <sz val="9"/>
            <color indexed="81"/>
            <rFont val="Tahoma"/>
            <family val="2"/>
          </rPr>
          <t xml:space="preserve">
Contains two disks:
- Disk-1: 30GB
- Disk-2: 80GB</t>
        </r>
      </text>
    </comment>
    <comment ref="AF89" authorId="1" shapeId="0" xr:uid="{96898D3D-876C-4E43-B483-AEB14F1ED26A}">
      <text>
        <r>
          <rPr>
            <b/>
            <sz val="9"/>
            <color indexed="81"/>
            <rFont val="Tahoma"/>
            <family val="2"/>
          </rPr>
          <t>Thippeswamy, Suresh (Nokia - IN/Bangalore):</t>
        </r>
        <r>
          <rPr>
            <sz val="9"/>
            <color indexed="81"/>
            <rFont val="Tahoma"/>
            <family val="2"/>
          </rPr>
          <t xml:space="preserve">
Contains one disk:
    napd_disk1: 204800MB
</t>
        </r>
      </text>
    </comment>
    <comment ref="AJ91" authorId="0" shapeId="0" xr:uid="{6BA1E4B5-4D5A-491E-A676-5FBF87B2C72D}">
      <text>
        <r>
          <rPr>
            <b/>
            <sz val="9"/>
            <color indexed="81"/>
            <rFont val="Tahoma"/>
            <charset val="1"/>
          </rPr>
          <t>Avuthu, Charan (EXT - IN/Bangalore):</t>
        </r>
        <r>
          <rPr>
            <sz val="9"/>
            <color indexed="81"/>
            <rFont val="Tahoma"/>
            <charset val="1"/>
          </rPr>
          <t xml:space="preserve">
Contains one disk: 
-kafka_disk1: 122880 MB</t>
        </r>
      </text>
    </comment>
    <comment ref="AL91" authorId="0" shapeId="0" xr:uid="{4B9F2AD4-75C3-4E91-8B7B-F70F8EE4CCFC}">
      <text>
        <r>
          <rPr>
            <b/>
            <sz val="9"/>
            <color indexed="81"/>
            <rFont val="Tahoma"/>
            <charset val="1"/>
          </rPr>
          <t>Avuthu, Charan (EXT - IN/Bangalore):</t>
        </r>
        <r>
          <rPr>
            <sz val="9"/>
            <color indexed="81"/>
            <rFont val="Tahoma"/>
            <charset val="1"/>
          </rPr>
          <t xml:space="preserve">
Contains one disk: 
-cap_disk1: 4608 MB</t>
        </r>
      </text>
    </comment>
    <comment ref="AN92" authorId="0" shapeId="0" xr:uid="{BD165781-4B42-4D59-9BB3-B5D9C7790B26}">
      <text>
        <r>
          <rPr>
            <b/>
            <sz val="9"/>
            <color indexed="81"/>
            <rFont val="Tahoma"/>
            <charset val="1"/>
          </rPr>
          <t>Avuthu, Charan (EXT - IN/Bangalore):</t>
        </r>
        <r>
          <rPr>
            <sz val="9"/>
            <color indexed="81"/>
            <rFont val="Tahoma"/>
            <charset val="1"/>
          </rPr>
          <t xml:space="preserve">
Contains one disk: 
-clickhouse_disk1: 716800 MB</t>
        </r>
      </text>
    </comment>
    <comment ref="E107" authorId="2" shapeId="0" xr:uid="{CB56F715-9430-472E-B2A7-8A02251A90B6}">
      <text>
        <r>
          <rPr>
            <b/>
            <sz val="9"/>
            <color indexed="81"/>
            <rFont val="Tahoma"/>
            <family val="2"/>
          </rPr>
          <t>jarmylly:</t>
        </r>
        <r>
          <rPr>
            <sz val="9"/>
            <color indexed="81"/>
            <rFont val="Tahoma"/>
            <family val="2"/>
          </rPr>
          <t xml:space="preserve">
- SBTS Adapter and BTSMED should not co-locate in same cluster i.e. SBTS Adapter and BTSMED VM usage together is not possible.</t>
        </r>
      </text>
    </comment>
    <comment ref="E108" authorId="2" shapeId="0" xr:uid="{C5418AF2-19FB-427E-AD33-F8C827CA4422}">
      <text>
        <r>
          <rPr>
            <b/>
            <sz val="9"/>
            <color indexed="81"/>
            <rFont val="Tahoma"/>
            <family val="2"/>
          </rPr>
          <t>jarmylly:</t>
        </r>
        <r>
          <rPr>
            <sz val="9"/>
            <color indexed="81"/>
            <rFont val="Tahoma"/>
            <family val="2"/>
          </rPr>
          <t xml:space="preserve">
- SBTS Adapter and BTSMED should not co-locate in same cluster i.e. SBTS Adapter and BTSMED VM usage together is not possible.</t>
        </r>
      </text>
    </comment>
    <comment ref="A109" authorId="5" shapeId="0" xr:uid="{A855BC33-B3D4-4384-8878-AD7CE2A17EDA}">
      <text>
        <t>[Threaded comment]
Your version of Excel allows you to read this threaded comment; however, any edits to it will get removed if the file is opened in a newer version of Excel. Learn more: https://go.microsoft.com/fwlink/?linkid=870924
Comment:
    SP1911 Onwards</t>
      </text>
    </comment>
    <comment ref="A110" authorId="6" shapeId="0" xr:uid="{7EEB618F-9B81-4BA9-B359-D7286F5F006E}">
      <text>
        <t>[Threaded comment]
Your version of Excel allows you to read this threaded comment; however, any edits to it will get removed if the file is opened in a newer version of Excel. Learn more: https://go.microsoft.com/fwlink/?linkid=870924
Comment:
    SP2004 onwards</t>
      </text>
    </comment>
    <comment ref="B116" authorId="0" shapeId="0" xr:uid="{16057E44-DE41-47E8-9F6B-639532C106F4}">
      <text>
        <r>
          <rPr>
            <b/>
            <sz val="9"/>
            <color indexed="81"/>
            <rFont val="Tahoma"/>
            <charset val="1"/>
          </rPr>
          <t>Avuthu, Charan (EXT - IN/Bangalore):</t>
        </r>
        <r>
          <rPr>
            <sz val="9"/>
            <color indexed="81"/>
            <rFont val="Tahoma"/>
            <charset val="1"/>
          </rPr>
          <t xml:space="preserve">
The datastore(DS) usage is shown considering all optional VMs are deployed which uses VMGuestDisk1. If any optional VM is not deployed, DS usage will be reduced accordingly.</t>
        </r>
      </text>
    </comment>
    <comment ref="B117" authorId="0" shapeId="0" xr:uid="{CC09B870-25F0-4309-956C-9B79C98E7AC8}">
      <text>
        <r>
          <rPr>
            <b/>
            <sz val="9"/>
            <color indexed="81"/>
            <rFont val="Tahoma"/>
            <charset val="1"/>
          </rPr>
          <t>Avuthu, Charan (EXT - IN/Bangalore):</t>
        </r>
        <r>
          <rPr>
            <sz val="9"/>
            <color indexed="81"/>
            <rFont val="Tahoma"/>
            <charset val="1"/>
          </rPr>
          <t xml:space="preserve">
The datastore(DS) usage is shown considering all optional VMs are deployed which uses VMGuestDisk2. If any optional VM is not deployed, DS usage will be reduced accordingly.</t>
        </r>
      </text>
    </comment>
    <comment ref="B118" authorId="0" shapeId="0" xr:uid="{4C5DD564-6D0D-479B-BEEA-2033D258EC1E}">
      <text>
        <r>
          <rPr>
            <b/>
            <sz val="9"/>
            <color indexed="81"/>
            <rFont val="Tahoma"/>
            <charset val="1"/>
          </rPr>
          <t>Avuthu, Charan (EXT - IN/Bangalore):</t>
        </r>
        <r>
          <rPr>
            <sz val="9"/>
            <color indexed="81"/>
            <rFont val="Tahoma"/>
            <charset val="1"/>
          </rPr>
          <t xml:space="preserve">
The datastore(DS) usage is shown considering all optional VMs are deployed which uses VMGuestDisk3. If any optional VM is not deployed, DS usage will be reduced accordingly.</t>
        </r>
      </text>
    </comment>
    <comment ref="B129" authorId="0" shapeId="0" xr:uid="{70939B8E-7E9D-40F5-8FFA-0F845C714A2B}">
      <text>
        <r>
          <rPr>
            <b/>
            <sz val="9"/>
            <color indexed="81"/>
            <rFont val="Tahoma"/>
            <charset val="1"/>
          </rPr>
          <t>Avuthu, Charan (EXT - IN/Bangalore):</t>
        </r>
        <r>
          <rPr>
            <sz val="9"/>
            <color indexed="81"/>
            <rFont val="Tahoma"/>
            <charset val="1"/>
          </rPr>
          <t xml:space="preserve">
-Increase by additional 120GB, If LCM chosen as optional service on Compute1
</t>
        </r>
      </text>
    </comment>
    <comment ref="C129" authorId="0" shapeId="0" xr:uid="{36C1A5D6-C6DE-43D8-9534-8F5C3CA6FEFE}">
      <text>
        <r>
          <rPr>
            <b/>
            <sz val="9"/>
            <color indexed="81"/>
            <rFont val="Tahoma"/>
            <charset val="1"/>
          </rPr>
          <t>Avuthu, Charan (EXT - IN/Bangalore):</t>
        </r>
        <r>
          <rPr>
            <sz val="9"/>
            <color indexed="81"/>
            <rFont val="Tahoma"/>
            <charset val="1"/>
          </rPr>
          <t xml:space="preserve">
-Increase by additional 120GB, If LCM chosen as optional service on Compute1</t>
        </r>
      </text>
    </comment>
    <comment ref="B133" authorId="0" shapeId="0" xr:uid="{E7D5C9EB-DD6F-40B5-8726-41063B927DF9}">
      <text>
        <r>
          <rPr>
            <b/>
            <sz val="9"/>
            <color indexed="81"/>
            <rFont val="Tahoma"/>
            <charset val="1"/>
          </rPr>
          <t>Avuthu, Charan (EXT - IN/Bangalore):</t>
        </r>
        <r>
          <rPr>
            <sz val="9"/>
            <color indexed="81"/>
            <rFont val="Tahoma"/>
            <charset val="1"/>
          </rPr>
          <t xml:space="preserve">
-Increase by additional 320GB, If LCM+CCR chosen as optional service on Compute1</t>
        </r>
      </text>
    </comment>
    <comment ref="C133" authorId="0" shapeId="0" xr:uid="{DD4CAAB8-7C27-4A32-B192-9169C968CBB8}">
      <text>
        <r>
          <rPr>
            <b/>
            <sz val="9"/>
            <color indexed="81"/>
            <rFont val="Tahoma"/>
            <charset val="1"/>
          </rPr>
          <t>Avuthu, Charan (EXT - IN/Bangalore):</t>
        </r>
        <r>
          <rPr>
            <sz val="9"/>
            <color indexed="81"/>
            <rFont val="Tahoma"/>
            <charset val="1"/>
          </rPr>
          <t xml:space="preserve">
-Increase by additional 340GB, If LCM+CCR chosen as optional service on Compute1</t>
        </r>
      </text>
    </comment>
    <comment ref="A135" authorId="1" shapeId="0" xr:uid="{C74F1659-5634-457B-A6BD-A93C94B09CF6}">
      <text>
        <r>
          <rPr>
            <b/>
            <sz val="9"/>
            <color indexed="81"/>
            <rFont val="Tahoma"/>
            <family val="2"/>
          </rPr>
          <t>Thippeswamy, Suresh (Nokia - IN/Bangalore):</t>
        </r>
        <r>
          <rPr>
            <sz val="9"/>
            <color indexed="81"/>
            <rFont val="Tahoma"/>
            <family val="2"/>
          </rPr>
          <t xml:space="preserve">
Based on vCSA version selected, Datastore size and datastore usage  varies</t>
        </r>
      </text>
    </comment>
    <comment ref="A136" authorId="1" shapeId="0" xr:uid="{CA939B7D-2ABC-4AC4-989C-2FA8FB9EE3E9}">
      <text>
        <r>
          <rPr>
            <b/>
            <sz val="9"/>
            <color indexed="81"/>
            <rFont val="Tahoma"/>
            <family val="2"/>
          </rPr>
          <t>Thippeswamy, Suresh (Nokia - IN/Bangalore):</t>
        </r>
        <r>
          <rPr>
            <sz val="9"/>
            <color indexed="81"/>
            <rFont val="Tahoma"/>
            <family val="2"/>
          </rPr>
          <t xml:space="preserve">
This datastore is needed only if NAPD optional VM is planned to deploy</t>
        </r>
      </text>
    </comment>
    <comment ref="A137" authorId="1" shapeId="0" xr:uid="{63876BE2-75A0-4DB3-B9D1-F446AFD17116}">
      <text>
        <r>
          <rPr>
            <b/>
            <sz val="9"/>
            <color indexed="81"/>
            <rFont val="Tahoma"/>
            <family val="2"/>
          </rPr>
          <t>Thippeswamy, Suresh (Nokia - IN/Bangalore):</t>
        </r>
        <r>
          <rPr>
            <sz val="9"/>
            <color indexed="81"/>
            <rFont val="Tahoma"/>
            <family val="2"/>
          </rPr>
          <t xml:space="preserve">
This datastore is needed only if ARC optional VM is planned to deploy</t>
        </r>
      </text>
    </comment>
    <comment ref="A138" authorId="0" shapeId="0" xr:uid="{89BF2B62-BB23-444D-BACE-05D82390EF8E}">
      <text>
        <r>
          <rPr>
            <b/>
            <sz val="9"/>
            <color indexed="81"/>
            <rFont val="Tahoma"/>
            <charset val="1"/>
          </rPr>
          <t>Avuthu, Charan (EXT - IN/Bangalore):</t>
        </r>
        <r>
          <rPr>
            <sz val="9"/>
            <color indexed="81"/>
            <rFont val="Tahoma"/>
            <charset val="1"/>
          </rPr>
          <t xml:space="preserve">
This datastore is needed only if TEAS optional VMs are planned to deploy</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Avuthu, Charan (EXT - IN/Bangalore)</author>
    <author>Thippeswamy, Suresh (Nokia - IN/Bangalore)</author>
    <author>jarmylly</author>
    <author>Jari Myllymaa</author>
    <author>tc={2FB00914-E3AF-49B8-AADE-09FE28695F05}</author>
    <author>tc={8F965E32-5F61-47CE-87DC-EC44D893F1BD}</author>
  </authors>
  <commentList>
    <comment ref="J7" authorId="0" shapeId="0" xr:uid="{E68EEB24-A65D-437C-8601-12C4E88C0812}">
      <text>
        <r>
          <rPr>
            <b/>
            <sz val="9"/>
            <color indexed="81"/>
            <rFont val="Tahoma"/>
            <charset val="1"/>
          </rPr>
          <t>Avuthu, Charan (EXT - IN/Bangalore):</t>
        </r>
        <r>
          <rPr>
            <sz val="9"/>
            <color indexed="81"/>
            <rFont val="Tahoma"/>
            <charset val="1"/>
          </rPr>
          <t xml:space="preserve">
Virtual Machine SWAP file size in VMGuestDisk data store, for Virtual Infra operations</t>
        </r>
      </text>
    </comment>
    <comment ref="E9" authorId="1" shapeId="0" xr:uid="{3FCDAD80-305E-473E-B691-53C7CE3E598A}">
      <text>
        <r>
          <rPr>
            <b/>
            <sz val="9"/>
            <color indexed="81"/>
            <rFont val="Tahoma"/>
            <family val="2"/>
          </rPr>
          <t>Thippeswamy, Suresh (Nokia - IN/Bangalore):</t>
        </r>
        <r>
          <rPr>
            <sz val="9"/>
            <color indexed="81"/>
            <rFont val="Tahoma"/>
            <family val="2"/>
          </rPr>
          <t xml:space="preserve">
Select the vCSA version</t>
        </r>
      </text>
    </comment>
    <comment ref="L11" authorId="2" shapeId="0" xr:uid="{EC7D1978-FACC-4CD1-9353-1029106D198F}">
      <text>
        <r>
          <rPr>
            <b/>
            <sz val="9"/>
            <color indexed="81"/>
            <rFont val="Tahoma"/>
            <family val="2"/>
          </rPr>
          <t>vishek:</t>
        </r>
        <r>
          <rPr>
            <sz val="9"/>
            <color indexed="81"/>
            <rFont val="Tahoma"/>
            <family val="2"/>
          </rPr>
          <t xml:space="preserve">
Contains one disk:
- DB_redo: 471040MB</t>
        </r>
      </text>
    </comment>
    <comment ref="N11" authorId="2" shapeId="0" xr:uid="{AF2802EC-66AB-4BC7-ABEA-4E67BA0F2F3D}">
      <text>
        <r>
          <rPr>
            <b/>
            <sz val="9"/>
            <color indexed="81"/>
            <rFont val="Tahoma"/>
            <family val="2"/>
          </rPr>
          <t>jarmylly:</t>
        </r>
        <r>
          <rPr>
            <sz val="9"/>
            <color indexed="81"/>
            <rFont val="Tahoma"/>
            <family val="2"/>
          </rPr>
          <t xml:space="preserve">
Contains one disk: 
- DB_data: 8294400MB</t>
        </r>
      </text>
    </comment>
    <comment ref="P11" authorId="2" shapeId="0" xr:uid="{9F38C29E-8F61-4B58-94E3-1877736DB8FD}">
      <text>
        <r>
          <rPr>
            <b/>
            <sz val="9"/>
            <color indexed="81"/>
            <rFont val="Tahoma"/>
            <family val="2"/>
          </rPr>
          <t>jarmylly:</t>
        </r>
        <r>
          <rPr>
            <sz val="9"/>
            <color indexed="81"/>
            <rFont val="Tahoma"/>
            <family val="2"/>
          </rPr>
          <t xml:space="preserve">
Contains one disk: 
- DB_arc: 12441600MB</t>
        </r>
      </text>
    </comment>
    <comment ref="X11" authorId="2" shapeId="0" xr:uid="{86B49468-7067-4D03-8905-7C6FBA3A494C}">
      <text>
        <r>
          <rPr>
            <b/>
            <sz val="9"/>
            <color indexed="81"/>
            <rFont val="Tahoma"/>
            <family val="2"/>
          </rPr>
          <t>jarmylly:</t>
        </r>
        <r>
          <rPr>
            <sz val="9"/>
            <color indexed="81"/>
            <rFont val="Tahoma"/>
            <family val="2"/>
          </rPr>
          <t xml:space="preserve">
Contains one disk:
- DB_backup: 28160000MB</t>
        </r>
      </text>
    </comment>
    <comment ref="R12" authorId="2" shapeId="0" xr:uid="{5CE93085-7F89-4ED2-804A-824C777407C1}">
      <text>
        <r>
          <rPr>
            <b/>
            <sz val="9"/>
            <color indexed="81"/>
            <rFont val="Tahoma"/>
            <family val="2"/>
          </rPr>
          <t>jarmylly:</t>
        </r>
        <r>
          <rPr>
            <sz val="9"/>
            <color indexed="81"/>
            <rFont val="Tahoma"/>
            <family val="2"/>
          </rPr>
          <t xml:space="preserve">
Contains three disks:
- NFS global: 717790 MB
- NFS home: 50200 MB
- NFS WAS dump: 87040 MB</t>
        </r>
      </text>
    </comment>
    <comment ref="T12" authorId="2" shapeId="0" xr:uid="{BC24CCEE-3E48-4BC8-80B2-C970873748BC}">
      <text>
        <r>
          <rPr>
            <b/>
            <sz val="9"/>
            <color indexed="81"/>
            <rFont val="Tahoma"/>
            <family val="2"/>
          </rPr>
          <t>jarmylly:</t>
        </r>
        <r>
          <rPr>
            <sz val="9"/>
            <color indexed="81"/>
            <rFont val="Tahoma"/>
            <family val="2"/>
          </rPr>
          <t xml:space="preserve">
Reserved for customer own data.</t>
        </r>
      </text>
    </comment>
    <comment ref="X12" authorId="2" shapeId="0" xr:uid="{4339D70D-1F24-4DDC-85E5-892B5814F9AE}">
      <text>
        <r>
          <rPr>
            <b/>
            <sz val="9"/>
            <color indexed="81"/>
            <rFont val="Tahoma"/>
            <family val="2"/>
          </rPr>
          <t>jarmylly:</t>
        </r>
        <r>
          <rPr>
            <sz val="9"/>
            <color indexed="81"/>
            <rFont val="Tahoma"/>
            <family val="2"/>
          </rPr>
          <t xml:space="preserve">
Contains one disk:
- NFS_backup: 460800MB</t>
        </r>
      </text>
    </comment>
    <comment ref="AB19" authorId="1" shapeId="0" xr:uid="{54FC0BB8-0197-46EC-BC22-4DFCF4D81D19}">
      <text>
        <r>
          <rPr>
            <b/>
            <sz val="9"/>
            <color indexed="81"/>
            <rFont val="Tahoma"/>
            <family val="2"/>
          </rPr>
          <t>Thippeswamy, Suresh (Nokia - IN/Bangalore):</t>
        </r>
        <r>
          <rPr>
            <sz val="9"/>
            <color indexed="81"/>
            <rFont val="Tahoma"/>
            <family val="2"/>
          </rPr>
          <t xml:space="preserve">
Contains 1 disk:
adm_disk1: 51200MB</t>
        </r>
      </text>
    </comment>
    <comment ref="AD23" authorId="1" shapeId="0" xr:uid="{AE05516C-6E3A-4147-9669-BD1ED7C5D9A2}">
      <text>
        <r>
          <rPr>
            <b/>
            <sz val="9"/>
            <color indexed="81"/>
            <rFont val="Tahoma"/>
            <family val="2"/>
          </rPr>
          <t>Thippeswamy, Suresh (Nokia - IN/Bangalore):</t>
        </r>
        <r>
          <rPr>
            <sz val="9"/>
            <color indexed="81"/>
            <rFont val="Tahoma"/>
            <family val="2"/>
          </rPr>
          <t xml:space="preserve">
Contains one disk:
isdk_disk1 : 102400MB</t>
        </r>
      </text>
    </comment>
    <comment ref="AD24" authorId="1" shapeId="0" xr:uid="{AC70B45A-9F05-4278-9872-625282F0A30C}">
      <text>
        <r>
          <rPr>
            <b/>
            <sz val="9"/>
            <color indexed="81"/>
            <rFont val="Tahoma"/>
            <family val="2"/>
          </rPr>
          <t>Thippeswamy, Suresh (Nokia - IN/Bangalore):</t>
        </r>
        <r>
          <rPr>
            <sz val="9"/>
            <color indexed="81"/>
            <rFont val="Tahoma"/>
            <family val="2"/>
          </rPr>
          <t xml:space="preserve">
Contains one disk:
isdk_disk1 : 102400MB</t>
        </r>
      </text>
    </comment>
    <comment ref="Z35" authorId="2" shapeId="0" xr:uid="{1989EAAC-4FFE-4A72-8618-3CFD2D480D31}">
      <text>
        <r>
          <rPr>
            <b/>
            <sz val="9"/>
            <color indexed="81"/>
            <rFont val="Tahoma"/>
            <family val="2"/>
          </rPr>
          <t>jarmylly:</t>
        </r>
        <r>
          <rPr>
            <sz val="9"/>
            <color indexed="81"/>
            <rFont val="Tahoma"/>
            <family val="2"/>
          </rPr>
          <t xml:space="preserve">
Contains one disk:
- vm66_REP_disk: 46080MB
</t>
        </r>
      </text>
    </comment>
    <comment ref="AA35" authorId="3" shapeId="0" xr:uid="{1B016283-1E64-44F0-8FCB-BDAEF0660CD4}">
      <text>
        <r>
          <rPr>
            <b/>
            <sz val="9"/>
            <color indexed="81"/>
            <rFont val="Calibri"/>
            <family val="2"/>
          </rPr>
          <t>Jari Myllymaa:</t>
        </r>
        <r>
          <rPr>
            <sz val="9"/>
            <color indexed="81"/>
            <rFont val="Calibri"/>
            <family val="2"/>
          </rPr>
          <t xml:space="preserve">
PMDatastore can extend 50GB</t>
        </r>
      </text>
    </comment>
    <comment ref="Z36" authorId="2" shapeId="0" xr:uid="{0CB1C3B6-90A3-4B62-9B5A-1D16DE861735}">
      <text>
        <r>
          <rPr>
            <b/>
            <sz val="9"/>
            <color indexed="81"/>
            <rFont val="Tahoma"/>
            <family val="2"/>
          </rPr>
          <t>jarmylly:</t>
        </r>
        <r>
          <rPr>
            <sz val="9"/>
            <color indexed="81"/>
            <rFont val="Tahoma"/>
            <family val="2"/>
          </rPr>
          <t xml:space="preserve">
Contains one disk:
- vm66_REP_disk: 46080MB
</t>
        </r>
      </text>
    </comment>
    <comment ref="Z37" authorId="2" shapeId="0" xr:uid="{39873599-EE22-4387-AA0A-A35CC5D48AFE}">
      <text>
        <r>
          <rPr>
            <b/>
            <sz val="9"/>
            <color indexed="81"/>
            <rFont val="Tahoma"/>
            <family val="2"/>
          </rPr>
          <t>jarmylly:</t>
        </r>
        <r>
          <rPr>
            <sz val="9"/>
            <color indexed="81"/>
            <rFont val="Tahoma"/>
            <family val="2"/>
          </rPr>
          <t xml:space="preserve">
Contains one disk:
- vm66_REP_disk: 46080MB
</t>
        </r>
      </text>
    </comment>
    <comment ref="Z38" authorId="2" shapeId="0" xr:uid="{C9BA54F1-F0BD-41BD-B8E2-4AE9AA19418D}">
      <text>
        <r>
          <rPr>
            <b/>
            <sz val="9"/>
            <color indexed="81"/>
            <rFont val="Tahoma"/>
            <family val="2"/>
          </rPr>
          <t>jarmylly:</t>
        </r>
        <r>
          <rPr>
            <sz val="9"/>
            <color indexed="81"/>
            <rFont val="Tahoma"/>
            <family val="2"/>
          </rPr>
          <t xml:space="preserve">
Contains one disk:
- vm66_REP_disk: 46080MB
</t>
        </r>
      </text>
    </comment>
    <comment ref="AH41" authorId="0" shapeId="0" xr:uid="{4A5CF287-0AD2-4C7F-A5F3-7E4D0E070AA4}">
      <text>
        <r>
          <rPr>
            <b/>
            <sz val="9"/>
            <color indexed="81"/>
            <rFont val="Tahoma"/>
            <charset val="1"/>
          </rPr>
          <t>Avuthu, Charan (EXT - IN/Bangalore):</t>
        </r>
        <r>
          <rPr>
            <sz val="9"/>
            <color indexed="81"/>
            <rFont val="Tahoma"/>
            <charset val="1"/>
          </rPr>
          <t xml:space="preserve">
Contains one disk:
- ccr_disk1: 153600MB</t>
        </r>
      </text>
    </comment>
    <comment ref="R45" authorId="0" shapeId="0" xr:uid="{A4913CBE-6CBE-446F-AD86-7B425CFB96B7}">
      <text>
        <r>
          <rPr>
            <b/>
            <sz val="9"/>
            <color indexed="81"/>
            <rFont val="Tahoma"/>
            <charset val="1"/>
          </rPr>
          <t>Avuthu, Charan (EXT - IN/Bangalore):</t>
        </r>
        <r>
          <rPr>
            <sz val="9"/>
            <color indexed="81"/>
            <rFont val="Tahoma"/>
            <charset val="1"/>
          </rPr>
          <t xml:space="preserve">
Increase for NFSGlobal disk on VM#5 by 120GB
- NFS global (For LCM as optional service on Compute1): 840670 MB</t>
        </r>
      </text>
    </comment>
    <comment ref="X45" authorId="0" shapeId="0" xr:uid="{B2AFB634-08B4-4A71-A8A6-31A950415B15}">
      <text>
        <r>
          <rPr>
            <b/>
            <sz val="9"/>
            <color indexed="81"/>
            <rFont val="Tahoma"/>
            <charset val="1"/>
          </rPr>
          <t>Avuthu, Charan (EXT - IN/Bangalore):</t>
        </r>
        <r>
          <rPr>
            <sz val="9"/>
            <color indexed="81"/>
            <rFont val="Tahoma"/>
            <charset val="1"/>
          </rPr>
          <t xml:space="preserve">
Contains one disk:
- backup_disk1: 204800MB
Increase for NFSBackup disk on VM#5 by 120GB
- NFS_backup (For LCM as optional service on Compute1): 583680 MB</t>
        </r>
      </text>
    </comment>
    <comment ref="I58" authorId="1" shapeId="0" xr:uid="{B8F80776-8CE9-4C6A-9EF1-129C5700CC0E}">
      <text>
        <r>
          <rPr>
            <b/>
            <sz val="9"/>
            <color indexed="81"/>
            <rFont val="Tahoma"/>
            <family val="2"/>
          </rPr>
          <t>Thippeswamy, Suresh (Nokia - IN/Bangalore):</t>
        </r>
        <r>
          <rPr>
            <sz val="9"/>
            <color indexed="81"/>
            <rFont val="Tahoma"/>
            <family val="2"/>
          </rPr>
          <t xml:space="preserve">
NetAct20 scratch and on top upgrade, the required disk size is 70GB
On long upgrade environment(Having NetAct19 or older in upgrade history), since /var partition requires 40GB from NetAct20 onwards, so additional 25GB disk space is automtically added and attached to /var partition. With this the total disks consumption will be 95GB 
On long upgrade environments(NetAct20 or older), from N23R3 onwards, additional 12GB would be extended automatically and attached to SWAP partition. With this, the total disk consumption will be 107GB.</t>
        </r>
      </text>
    </comment>
    <comment ref="I59" authorId="2" shapeId="0" xr:uid="{5621173B-0F9E-4CB4-A659-77CFD8DF05C8}">
      <text>
        <r>
          <rPr>
            <b/>
            <sz val="9"/>
            <color indexed="81"/>
            <rFont val="Tahoma"/>
            <family val="2"/>
          </rPr>
          <t>jarmylly:</t>
        </r>
        <r>
          <rPr>
            <sz val="9"/>
            <color indexed="81"/>
            <rFont val="Tahoma"/>
            <family val="2"/>
          </rPr>
          <t xml:space="preserve">
Contains two disks:
- Disk-1: 60GB
- Disk-2: 40GB</t>
        </r>
      </text>
    </comment>
    <comment ref="I60" authorId="2" shapeId="0" xr:uid="{A418EDED-101A-4DD7-86A6-739BF5E5B464}">
      <text>
        <r>
          <rPr>
            <b/>
            <sz val="9"/>
            <color indexed="81"/>
            <rFont val="Tahoma"/>
            <family val="2"/>
          </rPr>
          <t>jarmylly:</t>
        </r>
        <r>
          <rPr>
            <sz val="9"/>
            <color indexed="81"/>
            <rFont val="Tahoma"/>
            <family val="2"/>
          </rPr>
          <t xml:space="preserve">
Contains two disks:
- Disk-1: 60GB
(NOTE: For servers intended for more than 10 concurrent users the recommended size for disk C is Disk-1 size + RAM size.)
- Disk-2: 50GB</t>
        </r>
      </text>
    </comment>
    <comment ref="I61" authorId="2" shapeId="0" xr:uid="{89403132-D01A-4702-B808-7CD63BFE0E46}">
      <text>
        <r>
          <rPr>
            <b/>
            <sz val="9"/>
            <color indexed="81"/>
            <rFont val="Tahoma"/>
            <family val="2"/>
          </rPr>
          <t>jarmylly:</t>
        </r>
        <r>
          <rPr>
            <sz val="9"/>
            <color indexed="81"/>
            <rFont val="Tahoma"/>
            <family val="2"/>
          </rPr>
          <t xml:space="preserve">
Contains two disks:
- Disk-1: 80GB
(NOTE: For servers intended for more than 10 concurrent users the recommended size for disk C is Disk-1 size + RAM size.)
- Disk-2: 40GB</t>
        </r>
      </text>
    </comment>
    <comment ref="I62" authorId="2" shapeId="0" xr:uid="{4BEF8799-9171-410B-BBFC-317C71BE8B27}">
      <text>
        <r>
          <rPr>
            <b/>
            <sz val="9"/>
            <color indexed="81"/>
            <rFont val="Tahoma"/>
            <family val="2"/>
          </rPr>
          <t>jarmylly:</t>
        </r>
        <r>
          <rPr>
            <sz val="9"/>
            <color indexed="81"/>
            <rFont val="Tahoma"/>
            <family val="2"/>
          </rPr>
          <t xml:space="preserve">
Contains two disks:
- Disk-1: 60GB
- Disk-2: 40GB</t>
        </r>
      </text>
    </comment>
    <comment ref="I63" authorId="2" shapeId="0" xr:uid="{4EF9A33C-45AE-4814-89F9-DEF67D6D4B4A}">
      <text>
        <r>
          <rPr>
            <b/>
            <sz val="9"/>
            <color indexed="81"/>
            <rFont val="Tahoma"/>
            <family val="2"/>
          </rPr>
          <t>jarmylly:</t>
        </r>
        <r>
          <rPr>
            <sz val="9"/>
            <color indexed="81"/>
            <rFont val="Tahoma"/>
            <family val="2"/>
          </rPr>
          <t xml:space="preserve">
Contains two disks:
- Disk-1: 60GB
(NOTE: For servers intended for more than 10 concurrent users the recommended size for disk C is Disk-1 size + RAM size.)
- Disk-2: 40GB</t>
        </r>
      </text>
    </comment>
    <comment ref="I64" authorId="2" shapeId="0" xr:uid="{7AC7ADE3-84FF-43BC-B89A-0E7645204017}">
      <text>
        <r>
          <rPr>
            <b/>
            <sz val="9"/>
            <color indexed="81"/>
            <rFont val="Tahoma"/>
            <family val="2"/>
          </rPr>
          <t>jarmylly:</t>
        </r>
        <r>
          <rPr>
            <sz val="9"/>
            <color indexed="81"/>
            <rFont val="Tahoma"/>
            <family val="2"/>
          </rPr>
          <t xml:space="preserve">
Contains two disks:
- Disk-1: 60GB
(NOTE: For servers intended for more than 10 concurrent users the recommended size for disk C is Disk-1 size + RAM size.)
- Disk-2: 40GB</t>
        </r>
      </text>
    </comment>
    <comment ref="I65" authorId="2" shapeId="0" xr:uid="{76084237-95B9-4DDF-A46E-23D4CED7024A}">
      <text>
        <r>
          <rPr>
            <b/>
            <sz val="9"/>
            <color indexed="81"/>
            <rFont val="Tahoma"/>
            <family val="2"/>
          </rPr>
          <t>jarmylly:</t>
        </r>
        <r>
          <rPr>
            <sz val="9"/>
            <color indexed="81"/>
            <rFont val="Tahoma"/>
            <family val="2"/>
          </rPr>
          <t xml:space="preserve">
Contains two disks:
- Disk-1: 60GB
(NOTE: For servers intended for more than 10 concurrent users the recommended size for disk C is Disk-1 size + RAM size.)
- Disk-2: 40GB</t>
        </r>
      </text>
    </comment>
    <comment ref="I66" authorId="2" shapeId="0" xr:uid="{7000D665-3457-47E1-BBD0-D90FA2E95378}">
      <text>
        <r>
          <rPr>
            <b/>
            <sz val="9"/>
            <color indexed="81"/>
            <rFont val="Tahoma"/>
            <family val="2"/>
          </rPr>
          <t>jarmylly:</t>
        </r>
        <r>
          <rPr>
            <sz val="9"/>
            <color indexed="81"/>
            <rFont val="Tahoma"/>
            <family val="2"/>
          </rPr>
          <t xml:space="preserve">
Contains two disks:
- Disk-1: 60GB
(NOTE: For servers intended for more than 10 concurrent users the recommended size for disk C is Disk-1 size + RAM size.)
- Disk-2: 40GB</t>
        </r>
      </text>
    </comment>
    <comment ref="I67" authorId="2" shapeId="0" xr:uid="{379934F6-A1B9-4C50-945C-3FE18D5714AB}">
      <text>
        <r>
          <rPr>
            <b/>
            <sz val="9"/>
            <color indexed="81"/>
            <rFont val="Tahoma"/>
            <family val="2"/>
          </rPr>
          <t>jarmylly:</t>
        </r>
        <r>
          <rPr>
            <sz val="9"/>
            <color indexed="81"/>
            <rFont val="Tahoma"/>
            <family val="2"/>
          </rPr>
          <t xml:space="preserve">
Contains two disks:
- Disk-1: 60GB
(NOTE: For servers intended for more than 10 concurrent users the recommended size for disk C is Disk-1 size + RAM size.)
- Disk-2: 40GB</t>
        </r>
      </text>
    </comment>
    <comment ref="I68" authorId="2" shapeId="0" xr:uid="{45DACFB3-FA9C-4115-92A0-D94446C390FA}">
      <text>
        <r>
          <rPr>
            <b/>
            <sz val="9"/>
            <color indexed="81"/>
            <rFont val="Tahoma"/>
            <family val="2"/>
          </rPr>
          <t>jarmylly:</t>
        </r>
        <r>
          <rPr>
            <sz val="9"/>
            <color indexed="81"/>
            <rFont val="Tahoma"/>
            <family val="2"/>
          </rPr>
          <t xml:space="preserve">
Contains two disks:
- Disk-1: 60GB
(NOTE: For servers intended for more than 10 concurrent users the recommended size for disk C is Disk-1 size + RAM size.)
- Disk-2: 40GB</t>
        </r>
      </text>
    </comment>
    <comment ref="I69" authorId="2" shapeId="0" xr:uid="{305C132D-AAE5-465A-AA7E-573A41878C61}">
      <text>
        <r>
          <rPr>
            <b/>
            <sz val="9"/>
            <color indexed="81"/>
            <rFont val="Tahoma"/>
            <family val="2"/>
          </rPr>
          <t>jarmylly:</t>
        </r>
        <r>
          <rPr>
            <sz val="9"/>
            <color indexed="81"/>
            <rFont val="Tahoma"/>
            <family val="2"/>
          </rPr>
          <t xml:space="preserve">
Contains two disks:
- Disk-1: 60GB
(NOTE: For servers intended for more than 10 concurrent users the recommended size for disk C is Disk-1 size + RAM size.)
- Disk-2: 40GB</t>
        </r>
      </text>
    </comment>
    <comment ref="I70" authorId="2" shapeId="0" xr:uid="{67AA0D78-779A-499A-80CA-30A79C57A2DB}">
      <text>
        <r>
          <rPr>
            <b/>
            <sz val="9"/>
            <color indexed="81"/>
            <rFont val="Tahoma"/>
            <family val="2"/>
          </rPr>
          <t>jarmylly:</t>
        </r>
        <r>
          <rPr>
            <sz val="9"/>
            <color indexed="81"/>
            <rFont val="Tahoma"/>
            <family val="2"/>
          </rPr>
          <t xml:space="preserve">
Contains two disks:
- Disk-1: 80GB
(NOTE: For servers intended for more than 10 concurrent users the recommended size for disk C is Disk-1 size + RAM size.)
- Disk-2: 40GB</t>
        </r>
      </text>
    </comment>
    <comment ref="I71" authorId="2" shapeId="0" xr:uid="{336772CE-0779-41D6-9F9A-8FD04021109D}">
      <text>
        <r>
          <rPr>
            <b/>
            <sz val="9"/>
            <color indexed="81"/>
            <rFont val="Tahoma"/>
            <family val="2"/>
          </rPr>
          <t>jarmylly:</t>
        </r>
        <r>
          <rPr>
            <sz val="9"/>
            <color indexed="81"/>
            <rFont val="Tahoma"/>
            <family val="2"/>
          </rPr>
          <t xml:space="preserve">
Contains two disks:
- Disk-1: 60GB
(NOTE: For servers intended for more than 10 concurrent users the recommended size for disk C is Disk-1 size + RAM size.)
- Disk-2: 40GB</t>
        </r>
      </text>
    </comment>
    <comment ref="I79" authorId="2" shapeId="0" xr:uid="{E83DFFA7-7FB9-430E-B615-5EF4C0E28171}">
      <text>
        <r>
          <rPr>
            <b/>
            <sz val="9"/>
            <color indexed="81"/>
            <rFont val="Tahoma"/>
            <family val="2"/>
          </rPr>
          <t>jarmylly:</t>
        </r>
        <r>
          <rPr>
            <sz val="9"/>
            <color indexed="81"/>
            <rFont val="Tahoma"/>
            <family val="2"/>
          </rPr>
          <t xml:space="preserve">
Contains two disks:
- Disk-1: 30GB
- Disk-2: 80GB</t>
        </r>
      </text>
    </comment>
    <comment ref="I80" authorId="2" shapeId="0" xr:uid="{2C9C3AD3-EB25-48D9-8363-C9F846011C36}">
      <text>
        <r>
          <rPr>
            <b/>
            <sz val="9"/>
            <color indexed="81"/>
            <rFont val="Tahoma"/>
            <family val="2"/>
          </rPr>
          <t>jarmylly:</t>
        </r>
        <r>
          <rPr>
            <sz val="9"/>
            <color indexed="81"/>
            <rFont val="Tahoma"/>
            <family val="2"/>
          </rPr>
          <t xml:space="preserve">
Contains two disks:
- Disk-1: 30GB
- Disk-2: 80GB</t>
        </r>
      </text>
    </comment>
    <comment ref="AF88" authorId="1" shapeId="0" xr:uid="{29ED778F-95C1-48C7-B145-71D125E95911}">
      <text>
        <r>
          <rPr>
            <b/>
            <sz val="9"/>
            <color indexed="81"/>
            <rFont val="Tahoma"/>
            <family val="2"/>
          </rPr>
          <t>Thippeswamy, Suresh (Nokia - IN/Bangalore):</t>
        </r>
        <r>
          <rPr>
            <sz val="9"/>
            <color indexed="81"/>
            <rFont val="Tahoma"/>
            <family val="2"/>
          </rPr>
          <t xml:space="preserve">
Contains one disk:
    napd_disk1: 204800MB
</t>
        </r>
      </text>
    </comment>
    <comment ref="AJ90" authorId="0" shapeId="0" xr:uid="{0357AAB5-A0C8-496A-98BC-F4E6CA551821}">
      <text>
        <r>
          <rPr>
            <b/>
            <sz val="9"/>
            <color indexed="81"/>
            <rFont val="Tahoma"/>
            <charset val="1"/>
          </rPr>
          <t>Avuthu, Charan (EXT - IN/Bangalore):</t>
        </r>
        <r>
          <rPr>
            <sz val="9"/>
            <color indexed="81"/>
            <rFont val="Tahoma"/>
            <charset val="1"/>
          </rPr>
          <t xml:space="preserve">
Contains one disk: 
-kafka_disk1: 122880 MB</t>
        </r>
      </text>
    </comment>
    <comment ref="AL90" authorId="0" shapeId="0" xr:uid="{2EB9FD6C-ACC9-4F5B-A218-7E41D70A2BFA}">
      <text>
        <r>
          <rPr>
            <b/>
            <sz val="9"/>
            <color indexed="81"/>
            <rFont val="Tahoma"/>
            <charset val="1"/>
          </rPr>
          <t>Avuthu, Charan (EXT - IN/Bangalore):</t>
        </r>
        <r>
          <rPr>
            <sz val="9"/>
            <color indexed="81"/>
            <rFont val="Tahoma"/>
            <charset val="1"/>
          </rPr>
          <t xml:space="preserve">
Contains one disk: 
-cap_disk1: 4608 MB</t>
        </r>
      </text>
    </comment>
    <comment ref="AN91" authorId="0" shapeId="0" xr:uid="{A0BBEAC4-F448-41D8-819F-C91E4A5E85E6}">
      <text>
        <r>
          <rPr>
            <b/>
            <sz val="9"/>
            <color indexed="81"/>
            <rFont val="Tahoma"/>
            <charset val="1"/>
          </rPr>
          <t>Avuthu, Charan (EXT - IN/Bangalore):</t>
        </r>
        <r>
          <rPr>
            <sz val="9"/>
            <color indexed="81"/>
            <rFont val="Tahoma"/>
            <charset val="1"/>
          </rPr>
          <t xml:space="preserve">
Contains one disk: 
-clickhouse_disk1: 716800 MB</t>
        </r>
      </text>
    </comment>
    <comment ref="E106" authorId="2" shapeId="0" xr:uid="{285F8ADD-AC3C-4EC3-AC79-5E2E497768F0}">
      <text>
        <r>
          <rPr>
            <b/>
            <sz val="9"/>
            <color indexed="81"/>
            <rFont val="Tahoma"/>
            <family val="2"/>
          </rPr>
          <t>jarmylly:</t>
        </r>
        <r>
          <rPr>
            <sz val="9"/>
            <color indexed="81"/>
            <rFont val="Tahoma"/>
            <family val="2"/>
          </rPr>
          <t xml:space="preserve">
- SBTS Adapter and BTSMED should not co-locate in same cluster i.e. SBTS Adapter and BTSMED VM usage together is not possible.</t>
        </r>
      </text>
    </comment>
    <comment ref="E107" authorId="2" shapeId="0" xr:uid="{2D5A783A-6DAC-4C65-8D14-562427E13C0B}">
      <text>
        <r>
          <rPr>
            <b/>
            <sz val="9"/>
            <color indexed="81"/>
            <rFont val="Tahoma"/>
            <family val="2"/>
          </rPr>
          <t>jarmylly:</t>
        </r>
        <r>
          <rPr>
            <sz val="9"/>
            <color indexed="81"/>
            <rFont val="Tahoma"/>
            <family val="2"/>
          </rPr>
          <t xml:space="preserve">
- SBTS Adapter and BTSMED should not co-locate in same cluster i.e. SBTS Adapter and BTSMED VM usage together is not possible.</t>
        </r>
      </text>
    </comment>
    <comment ref="A108" authorId="4" shapeId="0" xr:uid="{2FB00914-E3AF-49B8-AADE-09FE28695F05}">
      <text>
        <t>[Threaded comment]
Your version of Excel allows you to read this threaded comment; however, any edits to it will get removed if the file is opened in a newer version of Excel. Learn more: https://go.microsoft.com/fwlink/?linkid=870924
Comment:
    SP1911 Onwards</t>
      </text>
    </comment>
    <comment ref="A109" authorId="5" shapeId="0" xr:uid="{8F965E32-5F61-47CE-87DC-EC44D893F1BD}">
      <text>
        <t>[Threaded comment]
Your version of Excel allows you to read this threaded comment; however, any edits to it will get removed if the file is opened in a newer version of Excel. Learn more: https://go.microsoft.com/fwlink/?linkid=870924
Comment:
    SP2004 onwards</t>
      </text>
    </comment>
    <comment ref="B115" authorId="0" shapeId="0" xr:uid="{DCA207D7-BC29-4027-A02C-5E61A75E0AA5}">
      <text>
        <r>
          <rPr>
            <b/>
            <sz val="9"/>
            <color indexed="81"/>
            <rFont val="Tahoma"/>
            <charset val="1"/>
          </rPr>
          <t>Avuthu, Charan (EXT - IN/Bangalore):</t>
        </r>
        <r>
          <rPr>
            <sz val="9"/>
            <color indexed="81"/>
            <rFont val="Tahoma"/>
            <charset val="1"/>
          </rPr>
          <t xml:space="preserve">
The datastore(DS) usage is shown considering all optional VMs are deployed which uses VMGuestDisk1. If any optional VM is not deployed, DS usage will be reduced accordingly.</t>
        </r>
      </text>
    </comment>
    <comment ref="B116" authorId="0" shapeId="0" xr:uid="{88AFEEC4-C97C-4F15-935C-A832C6C7F329}">
      <text>
        <r>
          <rPr>
            <b/>
            <sz val="9"/>
            <color indexed="81"/>
            <rFont val="Tahoma"/>
            <charset val="1"/>
          </rPr>
          <t>Avuthu, Charan (EXT - IN/Bangalore):</t>
        </r>
        <r>
          <rPr>
            <sz val="9"/>
            <color indexed="81"/>
            <rFont val="Tahoma"/>
            <charset val="1"/>
          </rPr>
          <t xml:space="preserve">
The datastore(DS) usage is shown considering all optional VMs are deployed which uses VMGuestDisk2. If any optional VM is not deployed, DS usage will be reduced accordingly.</t>
        </r>
      </text>
    </comment>
    <comment ref="B117" authorId="0" shapeId="0" xr:uid="{0A3CA8E2-67E5-46C7-BBE8-470BA2DC3086}">
      <text>
        <r>
          <rPr>
            <b/>
            <sz val="9"/>
            <color indexed="81"/>
            <rFont val="Tahoma"/>
            <charset val="1"/>
          </rPr>
          <t>Avuthu, Charan (EXT - IN/Bangalore):</t>
        </r>
        <r>
          <rPr>
            <sz val="9"/>
            <color indexed="81"/>
            <rFont val="Tahoma"/>
            <charset val="1"/>
          </rPr>
          <t xml:space="preserve">
The datastore(DS) usage is shown considering all optional VMs are deployed which uses VMGuestDisk3. If any optional VM is not deployed, DS usage will be reduced accordingly.</t>
        </r>
      </text>
    </comment>
    <comment ref="B127" authorId="0" shapeId="0" xr:uid="{443A2781-17F3-4E42-9ABF-A458E28CDAF0}">
      <text>
        <r>
          <rPr>
            <b/>
            <sz val="9"/>
            <color indexed="81"/>
            <rFont val="Tahoma"/>
            <charset val="1"/>
          </rPr>
          <t>Avuthu, Charan (EXT - IN/Bangalore):</t>
        </r>
        <r>
          <rPr>
            <sz val="9"/>
            <color indexed="81"/>
            <rFont val="Tahoma"/>
            <charset val="1"/>
          </rPr>
          <t xml:space="preserve">
-Increase by additional 120GB, For LCM as optional service on Compute1</t>
        </r>
      </text>
    </comment>
    <comment ref="C127" authorId="0" shapeId="0" xr:uid="{0C8A7FA1-2752-4A9D-8900-3B2743039A1A}">
      <text>
        <r>
          <rPr>
            <b/>
            <sz val="9"/>
            <color indexed="81"/>
            <rFont val="Tahoma"/>
            <charset val="1"/>
          </rPr>
          <t>Avuthu, Charan (EXT - IN/Bangalore):</t>
        </r>
        <r>
          <rPr>
            <sz val="9"/>
            <color indexed="81"/>
            <rFont val="Tahoma"/>
            <charset val="1"/>
          </rPr>
          <t xml:space="preserve">
-Increase by additional 120GB, For LCM as optional service on Compute1</t>
        </r>
      </text>
    </comment>
    <comment ref="B131" authorId="0" shapeId="0" xr:uid="{23DDB84D-E1DE-482E-B20E-B95DECC55E5F}">
      <text>
        <r>
          <rPr>
            <b/>
            <sz val="9"/>
            <color indexed="81"/>
            <rFont val="Tahoma"/>
            <charset val="1"/>
          </rPr>
          <t>Avuthu, Charan (EXT - IN/Bangalore):</t>
        </r>
        <r>
          <rPr>
            <sz val="9"/>
            <color indexed="81"/>
            <rFont val="Tahoma"/>
            <charset val="1"/>
          </rPr>
          <t xml:space="preserve">
-Increase by additional 320GB, If LCM+CCR chosen as optional service on Compute1</t>
        </r>
      </text>
    </comment>
    <comment ref="C131" authorId="0" shapeId="0" xr:uid="{6B0F7E73-C111-4786-A10E-F045D133B6F9}">
      <text>
        <r>
          <rPr>
            <b/>
            <sz val="9"/>
            <color indexed="81"/>
            <rFont val="Tahoma"/>
            <charset val="1"/>
          </rPr>
          <t>Avuthu, Charan (EXT - IN/Bangalore):</t>
        </r>
        <r>
          <rPr>
            <sz val="9"/>
            <color indexed="81"/>
            <rFont val="Tahoma"/>
            <charset val="1"/>
          </rPr>
          <t xml:space="preserve">
-Increase by additional 340GB, If LCM+CCR chosen as optional service on Compute1</t>
        </r>
      </text>
    </comment>
    <comment ref="A132" authorId="1" shapeId="0" xr:uid="{1F7D4B32-721A-4CFD-B570-B4B8551C6E32}">
      <text>
        <r>
          <rPr>
            <b/>
            <sz val="9"/>
            <color indexed="81"/>
            <rFont val="Tahoma"/>
            <family val="2"/>
          </rPr>
          <t>Thippeswamy, Suresh (Nokia - IN/Bangalore):</t>
        </r>
        <r>
          <rPr>
            <sz val="9"/>
            <color indexed="81"/>
            <rFont val="Tahoma"/>
            <family val="2"/>
          </rPr>
          <t xml:space="preserve">
Based on vCSA version selected, Datastore size and datastore usage  varies</t>
        </r>
      </text>
    </comment>
    <comment ref="A133" authorId="1" shapeId="0" xr:uid="{0BA526B6-2758-490C-A8AB-A173E636936E}">
      <text>
        <r>
          <rPr>
            <b/>
            <sz val="9"/>
            <color indexed="81"/>
            <rFont val="Tahoma"/>
            <family val="2"/>
          </rPr>
          <t>Thippeswamy, Suresh (Nokia - IN/Bangalore):</t>
        </r>
        <r>
          <rPr>
            <sz val="9"/>
            <color indexed="81"/>
            <rFont val="Tahoma"/>
            <family val="2"/>
          </rPr>
          <t xml:space="preserve">
This datastore is needed only if NAPD optional VM is planned to deploy</t>
        </r>
      </text>
    </comment>
    <comment ref="A134" authorId="1" shapeId="0" xr:uid="{0959A5E9-341F-40AC-B5B1-2A65A732D104}">
      <text>
        <r>
          <rPr>
            <b/>
            <sz val="9"/>
            <color indexed="81"/>
            <rFont val="Tahoma"/>
            <family val="2"/>
          </rPr>
          <t>Thippeswamy, Suresh (Nokia - IN/Bangalore):</t>
        </r>
        <r>
          <rPr>
            <sz val="9"/>
            <color indexed="81"/>
            <rFont val="Tahoma"/>
            <family val="2"/>
          </rPr>
          <t xml:space="preserve">
This datastore is needed only if ARC optional VM is planned to deploy</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Avuthu, Charan (EXT - IN/Bangalore)</author>
    <author>Thippeswamy, Suresh (Nokia - IN/Bangalore)</author>
    <author>jarmylly</author>
    <author>Jari Myllymaa</author>
    <author>tc={C57519E0-F4BE-43AB-90AF-A3F2AFC49923}</author>
    <author>tc={03263E6D-41A1-483B-9AFD-D7F8F2945D64}</author>
  </authors>
  <commentList>
    <comment ref="J7" authorId="0" shapeId="0" xr:uid="{B17BFBB8-4759-43DE-A9B4-93364635A6C7}">
      <text>
        <r>
          <rPr>
            <b/>
            <sz val="9"/>
            <color indexed="81"/>
            <rFont val="Tahoma"/>
            <charset val="1"/>
          </rPr>
          <t>Avuthu, Charan (EXT - IN/Bangalore):</t>
        </r>
        <r>
          <rPr>
            <sz val="9"/>
            <color indexed="81"/>
            <rFont val="Tahoma"/>
            <charset val="1"/>
          </rPr>
          <t xml:space="preserve">
Virtual Machine SWAP file size in VMGuestDisk data store, for Virtual Infra operations</t>
        </r>
      </text>
    </comment>
    <comment ref="E9" authorId="1" shapeId="0" xr:uid="{3F6DFEB0-5995-4CF7-BD2D-CF7F2C0847BF}">
      <text>
        <r>
          <rPr>
            <b/>
            <sz val="9"/>
            <color indexed="81"/>
            <rFont val="Tahoma"/>
            <family val="2"/>
          </rPr>
          <t>Thippeswamy, Suresh (Nokia - IN/Bangalore):</t>
        </r>
        <r>
          <rPr>
            <sz val="9"/>
            <color indexed="81"/>
            <rFont val="Tahoma"/>
            <family val="2"/>
          </rPr>
          <t xml:space="preserve">
Select the vCSA version</t>
        </r>
      </text>
    </comment>
    <comment ref="L11" authorId="2" shapeId="0" xr:uid="{C463C7AE-D8F3-4193-9E52-93FC26CAEE77}">
      <text>
        <r>
          <rPr>
            <b/>
            <sz val="9"/>
            <color indexed="81"/>
            <rFont val="Tahoma"/>
            <family val="2"/>
          </rPr>
          <t>vishek:</t>
        </r>
        <r>
          <rPr>
            <sz val="9"/>
            <color indexed="81"/>
            <rFont val="Tahoma"/>
            <family val="2"/>
          </rPr>
          <t xml:space="preserve">
No of Luns = 2
LUN size: 250GB each
2 Disks:
Disk size - 235520MB from each DS for stripe</t>
        </r>
      </text>
    </comment>
    <comment ref="N11" authorId="2" shapeId="0" xr:uid="{5B04D742-13C0-4F57-AE8B-656908E38D21}">
      <text>
        <r>
          <rPr>
            <b/>
            <sz val="9"/>
            <color indexed="81"/>
            <rFont val="Tahoma"/>
            <family val="2"/>
          </rPr>
          <t>vishek:</t>
        </r>
        <r>
          <rPr>
            <sz val="9"/>
            <color indexed="81"/>
            <rFont val="Tahoma"/>
            <family val="2"/>
          </rPr>
          <t xml:space="preserve">
No of Luns = 8
Lun size: 2050GB each.
8 disks:
Disk size: 1945600MB from each DS for stripe</t>
        </r>
      </text>
    </comment>
    <comment ref="P11" authorId="2" shapeId="0" xr:uid="{ACD987B5-7180-4462-8CD9-554EACC63084}">
      <text>
        <r>
          <rPr>
            <b/>
            <sz val="9"/>
            <color indexed="81"/>
            <rFont val="Tahoma"/>
            <family val="2"/>
          </rPr>
          <t>vishek:</t>
        </r>
        <r>
          <rPr>
            <sz val="9"/>
            <color indexed="81"/>
            <rFont val="Tahoma"/>
            <family val="2"/>
          </rPr>
          <t xml:space="preserve">
No of Luns = 2
Lun size: 9000GB each.
2 disks:
Disk size : 8499200MB from each DS for stripe</t>
        </r>
      </text>
    </comment>
    <comment ref="X11" authorId="2" shapeId="0" xr:uid="{4CA70C1D-7EA2-4E49-AF95-C4CB130FDF4A}">
      <text>
        <r>
          <rPr>
            <b/>
            <sz val="9"/>
            <color indexed="81"/>
            <rFont val="Tahoma"/>
            <family val="2"/>
          </rPr>
          <t xml:space="preserve">vishek:
</t>
        </r>
        <r>
          <rPr>
            <sz val="9"/>
            <color indexed="81"/>
            <rFont val="Tahoma"/>
            <family val="2"/>
          </rPr>
          <t>No of Luns = 8
Lun size = 4200 each
8 Disks:
Disk size: 3993600MB from each DS for stripe</t>
        </r>
      </text>
    </comment>
    <comment ref="R12" authorId="2" shapeId="0" xr:uid="{6B548D76-0264-4722-A146-C3AAA23EF7AA}">
      <text>
        <r>
          <rPr>
            <b/>
            <sz val="9"/>
            <color indexed="81"/>
            <rFont val="Tahoma"/>
            <family val="2"/>
          </rPr>
          <t xml:space="preserve">vishek:
</t>
        </r>
        <r>
          <rPr>
            <sz val="9"/>
            <color indexed="81"/>
            <rFont val="Tahoma"/>
            <family val="2"/>
          </rPr>
          <t>No of Luns = 2
LUN1 size - 830GB - DS1
LUN2 size - 635GB - DS2
No of Disks = 4
1st disk from DS1 - 93184 MB(Home)
2nd disk from DS1- 585728 MB (for stripe- Global)
3rd disk from DS2 - 585728 MB (for stripe- Global)
4th disk from DS1 - 87040 MB(NFS WAS dump)</t>
        </r>
      </text>
    </comment>
    <comment ref="T12" authorId="2" shapeId="0" xr:uid="{B3927955-8D50-46C0-B6D9-6E4F1232E52D}">
      <text>
        <r>
          <rPr>
            <b/>
            <sz val="9"/>
            <color indexed="81"/>
            <rFont val="Tahoma"/>
            <family val="2"/>
          </rPr>
          <t>jarmylly:</t>
        </r>
        <r>
          <rPr>
            <sz val="9"/>
            <color indexed="81"/>
            <rFont val="Tahoma"/>
            <family val="2"/>
          </rPr>
          <t xml:space="preserve">
Reserved for customer own data.</t>
        </r>
      </text>
    </comment>
    <comment ref="X12" authorId="2" shapeId="0" xr:uid="{2700AF7B-89EA-4F89-B68C-AFB2A1111A04}">
      <text>
        <r>
          <rPr>
            <b/>
            <sz val="9"/>
            <color indexed="81"/>
            <rFont val="Tahoma"/>
            <family val="2"/>
          </rPr>
          <t>vishek:</t>
        </r>
        <r>
          <rPr>
            <sz val="9"/>
            <color indexed="81"/>
            <rFont val="Tahoma"/>
            <family val="2"/>
          </rPr>
          <t xml:space="preserve">
Contains one disk:
- NFS_backup: 754688MB</t>
        </r>
      </text>
    </comment>
    <comment ref="AB19" authorId="1" shapeId="0" xr:uid="{07BF157B-6CDC-4D9C-91C2-A8F4B0A2EEF5}">
      <text>
        <r>
          <rPr>
            <b/>
            <sz val="9"/>
            <color indexed="81"/>
            <rFont val="Tahoma"/>
            <family val="2"/>
          </rPr>
          <t>Thippeswamy, Suresh (Nokia - IN/Bangalore):</t>
        </r>
        <r>
          <rPr>
            <sz val="9"/>
            <color indexed="81"/>
            <rFont val="Tahoma"/>
            <family val="2"/>
          </rPr>
          <t xml:space="preserve">
Contains 1 disk:
adm_disk1: 51200MB</t>
        </r>
      </text>
    </comment>
    <comment ref="AD23" authorId="1" shapeId="0" xr:uid="{EB089A93-C423-432C-A036-525AEF433E4C}">
      <text>
        <r>
          <rPr>
            <b/>
            <sz val="9"/>
            <color indexed="81"/>
            <rFont val="Tahoma"/>
            <family val="2"/>
          </rPr>
          <t>Thippeswamy, Suresh (Nokia - IN/Bangalore):</t>
        </r>
        <r>
          <rPr>
            <sz val="9"/>
            <color indexed="81"/>
            <rFont val="Tahoma"/>
            <family val="2"/>
          </rPr>
          <t xml:space="preserve">
Contains one disk:
isdk_disk1 : 102400MB</t>
        </r>
      </text>
    </comment>
    <comment ref="AD24" authorId="1" shapeId="0" xr:uid="{38F80521-919B-474B-AA19-9115FFA8FC6E}">
      <text>
        <r>
          <rPr>
            <b/>
            <sz val="9"/>
            <color indexed="81"/>
            <rFont val="Tahoma"/>
            <family val="2"/>
          </rPr>
          <t>Thippeswamy, Suresh (Nokia - IN/Bangalore):</t>
        </r>
        <r>
          <rPr>
            <sz val="9"/>
            <color indexed="81"/>
            <rFont val="Tahoma"/>
            <family val="2"/>
          </rPr>
          <t xml:space="preserve">
Contains one disk:
isdk_disk1 : 102400MB</t>
        </r>
      </text>
    </comment>
    <comment ref="Z35" authorId="2" shapeId="0" xr:uid="{930BB58F-859B-461C-9E9C-AD98DDB2377D}">
      <text>
        <r>
          <rPr>
            <b/>
            <sz val="9"/>
            <color indexed="81"/>
            <rFont val="Tahoma"/>
            <family val="2"/>
          </rPr>
          <t>jarmylly:</t>
        </r>
        <r>
          <rPr>
            <sz val="9"/>
            <color indexed="81"/>
            <rFont val="Tahoma"/>
            <family val="2"/>
          </rPr>
          <t xml:space="preserve">
Contains one disk:
- vm66_REP_disk: 76800 GB
</t>
        </r>
      </text>
    </comment>
    <comment ref="AA35" authorId="3" shapeId="0" xr:uid="{B47C06CC-2CEA-41A8-992A-F1E87AE5B0AD}">
      <text>
        <r>
          <rPr>
            <b/>
            <sz val="9"/>
            <color indexed="81"/>
            <rFont val="Calibri"/>
            <family val="2"/>
          </rPr>
          <t>Jari Myllymaa:</t>
        </r>
        <r>
          <rPr>
            <sz val="9"/>
            <color indexed="81"/>
            <rFont val="Calibri"/>
            <family val="2"/>
          </rPr>
          <t xml:space="preserve">
PMDatastore can extend 50GB</t>
        </r>
      </text>
    </comment>
    <comment ref="Z36" authorId="2" shapeId="0" xr:uid="{0EF989CA-D0AD-4B9C-A5ED-2CF6CAD4F1F3}">
      <text>
        <r>
          <rPr>
            <b/>
            <sz val="9"/>
            <color indexed="81"/>
            <rFont val="Tahoma"/>
            <family val="2"/>
          </rPr>
          <t>jarmylly:</t>
        </r>
        <r>
          <rPr>
            <sz val="9"/>
            <color indexed="81"/>
            <rFont val="Tahoma"/>
            <family val="2"/>
          </rPr>
          <t xml:space="preserve">
Contains one disk:
- vm66_REP_disk: 76800 GB
</t>
        </r>
      </text>
    </comment>
    <comment ref="Z37" authorId="2" shapeId="0" xr:uid="{7F57B9A8-1D20-44B5-8E6F-1A26EADB70D0}">
      <text>
        <r>
          <rPr>
            <b/>
            <sz val="9"/>
            <color indexed="81"/>
            <rFont val="Tahoma"/>
            <family val="2"/>
          </rPr>
          <t>jarmylly:</t>
        </r>
        <r>
          <rPr>
            <sz val="9"/>
            <color indexed="81"/>
            <rFont val="Tahoma"/>
            <family val="2"/>
          </rPr>
          <t xml:space="preserve">
Contains one disk:
- vm66_REP_disk: 76800 GB
</t>
        </r>
      </text>
    </comment>
    <comment ref="Z38" authorId="2" shapeId="0" xr:uid="{6E27D4EB-0A31-4A51-8CF3-10A4F72B8639}">
      <text>
        <r>
          <rPr>
            <b/>
            <sz val="9"/>
            <color indexed="81"/>
            <rFont val="Tahoma"/>
            <family val="2"/>
          </rPr>
          <t>jarmylly:</t>
        </r>
        <r>
          <rPr>
            <sz val="9"/>
            <color indexed="81"/>
            <rFont val="Tahoma"/>
            <family val="2"/>
          </rPr>
          <t xml:space="preserve">
Contains one disk:
- vm66_REP_disk: 76800 GB
</t>
        </r>
      </text>
    </comment>
    <comment ref="X41" authorId="0" shapeId="0" xr:uid="{7AC8B674-7955-4BD9-8575-9243FDD3C57A}">
      <text>
        <r>
          <rPr>
            <b/>
            <sz val="9"/>
            <color indexed="81"/>
            <rFont val="Tahoma"/>
            <charset val="1"/>
          </rPr>
          <t>Avuthu, Charan (EXT - IN/Bangalore):</t>
        </r>
        <r>
          <rPr>
            <sz val="9"/>
            <color indexed="81"/>
            <rFont val="Tahoma"/>
            <charset val="1"/>
          </rPr>
          <t xml:space="preserve">
Contains one disk:
- backup_disk1: 204800MB</t>
        </r>
      </text>
    </comment>
    <comment ref="AH41" authorId="0" shapeId="0" xr:uid="{E873EB74-BD2A-4AB4-AD5A-21BD7D5CCDC8}">
      <text>
        <r>
          <rPr>
            <b/>
            <sz val="9"/>
            <color indexed="81"/>
            <rFont val="Tahoma"/>
            <charset val="1"/>
          </rPr>
          <t>Avuthu, Charan (EXT - IN/Bangalore):</t>
        </r>
        <r>
          <rPr>
            <sz val="9"/>
            <color indexed="81"/>
            <rFont val="Tahoma"/>
            <charset val="1"/>
          </rPr>
          <t xml:space="preserve">
Contains one disk:
- ccr_disk1: 153600MB</t>
        </r>
      </text>
    </comment>
    <comment ref="R45" authorId="0" shapeId="0" xr:uid="{C12A32D4-6EB1-43FC-A24E-528BE1BF3FCD}">
      <text>
        <r>
          <rPr>
            <b/>
            <sz val="9"/>
            <color indexed="81"/>
            <rFont val="Tahoma"/>
            <charset val="1"/>
          </rPr>
          <t>Avuthu, Charan (EXT - IN/Bangalore):</t>
        </r>
        <r>
          <rPr>
            <sz val="9"/>
            <color indexed="81"/>
            <rFont val="Tahoma"/>
            <charset val="1"/>
          </rPr>
          <t xml:space="preserve">
Increase for NFSGlobal disk on VM#5 by 120GB.
 (60GB for each stripe)
-2nd disk from DS1 (For LCM as optional service on Compute1) - 647168 MB (for stripe- Global)
-3rd disk from DS2 (For LCM as optional service on Compute1) - 647168 MB (for stripe- Global)</t>
        </r>
      </text>
    </comment>
    <comment ref="X45" authorId="0" shapeId="0" xr:uid="{6F1A9CB6-F711-4475-B74B-EB6075A82E7E}">
      <text>
        <r>
          <rPr>
            <b/>
            <sz val="9"/>
            <color indexed="81"/>
            <rFont val="Tahoma"/>
            <charset val="1"/>
          </rPr>
          <t>Avuthu, Charan (EXT - IN/Bangalore):</t>
        </r>
        <r>
          <rPr>
            <sz val="9"/>
            <color indexed="81"/>
            <rFont val="Tahoma"/>
            <charset val="1"/>
          </rPr>
          <t xml:space="preserve">
Increase for NFSBackup disk on VM#5 by 120GB
- NFS_backup (For LCM as optional service on Compute1): 877568 MB</t>
        </r>
      </text>
    </comment>
    <comment ref="I58" authorId="1" shapeId="0" xr:uid="{28523A67-3242-49B8-89B4-2B50312A33E3}">
      <text>
        <r>
          <rPr>
            <b/>
            <sz val="9"/>
            <color indexed="81"/>
            <rFont val="Tahoma"/>
            <family val="2"/>
          </rPr>
          <t>Thippeswamy, Suresh (Nokia - IN/Bangalore):</t>
        </r>
        <r>
          <rPr>
            <sz val="9"/>
            <color indexed="81"/>
            <rFont val="Tahoma"/>
            <family val="2"/>
          </rPr>
          <t xml:space="preserve">
NetAct20 scratch and on top upgrade, the required disk size is 70GB
On long upgrade environment(Having NetAct19 or older in upgrade history), since /var partition requires 40GB from NetAct20 onwards, so additional 25GB disk space is automtically added and attached to /var partition. With this the total disks consumption will be 95GB 
On long upgrade environments(NetAct20 or older), from N23R3 onwards, additional 12GB would be extended automatically and attached to SWAP partition. With this, the total disk consumption will be 107GB.</t>
        </r>
      </text>
    </comment>
    <comment ref="I59" authorId="2" shapeId="0" xr:uid="{4703ADC9-8BBF-4F93-833A-8E3AC9413CE1}">
      <text>
        <r>
          <rPr>
            <b/>
            <sz val="9"/>
            <color indexed="81"/>
            <rFont val="Tahoma"/>
            <family val="2"/>
          </rPr>
          <t>jarmylly:</t>
        </r>
        <r>
          <rPr>
            <sz val="9"/>
            <color indexed="81"/>
            <rFont val="Tahoma"/>
            <family val="2"/>
          </rPr>
          <t xml:space="preserve">
Contains two disks:
- Disk-1: 60GB
- Disk-2: 40GB</t>
        </r>
      </text>
    </comment>
    <comment ref="I60" authorId="2" shapeId="0" xr:uid="{67287626-EF5F-4EAF-91F5-5A24AEFED12C}">
      <text>
        <r>
          <rPr>
            <b/>
            <sz val="9"/>
            <color indexed="81"/>
            <rFont val="Tahoma"/>
            <family val="2"/>
          </rPr>
          <t>jarmylly:</t>
        </r>
        <r>
          <rPr>
            <sz val="9"/>
            <color indexed="81"/>
            <rFont val="Tahoma"/>
            <family val="2"/>
          </rPr>
          <t xml:space="preserve">
Contains two disks:
- Disk-1: 60GB
(NOTE: For servers intended for more than 10 concurrent users the recommended size for disk C is Disk-1 size + RAM size.)
- Disk-2: 50GB</t>
        </r>
      </text>
    </comment>
    <comment ref="I61" authorId="2" shapeId="0" xr:uid="{A9B1EA89-F858-4097-B792-67C40DD69927}">
      <text>
        <r>
          <rPr>
            <b/>
            <sz val="9"/>
            <color indexed="81"/>
            <rFont val="Tahoma"/>
            <family val="2"/>
          </rPr>
          <t>jarmylly:</t>
        </r>
        <r>
          <rPr>
            <sz val="9"/>
            <color indexed="81"/>
            <rFont val="Tahoma"/>
            <family val="2"/>
          </rPr>
          <t xml:space="preserve">
Contains two disks:
- Disk-1: 80GB
(NOTE: For servers intended for more than 10 concurrent users the recommended size for disk C is Disk-1 size + RAM size.)
- Disk-2: 40GB</t>
        </r>
      </text>
    </comment>
    <comment ref="I62" authorId="2" shapeId="0" xr:uid="{CF666384-689F-430D-BDF8-7F07184D590B}">
      <text>
        <r>
          <rPr>
            <b/>
            <sz val="9"/>
            <color indexed="81"/>
            <rFont val="Tahoma"/>
            <family val="2"/>
          </rPr>
          <t>jarmylly:</t>
        </r>
        <r>
          <rPr>
            <sz val="9"/>
            <color indexed="81"/>
            <rFont val="Tahoma"/>
            <family val="2"/>
          </rPr>
          <t xml:space="preserve">
Contains two disks:
- Disk-1: 60GB
- Disk-2: 40GB</t>
        </r>
      </text>
    </comment>
    <comment ref="I63" authorId="2" shapeId="0" xr:uid="{AC0DC059-D3CA-4B39-A3BB-CD58D130F4CE}">
      <text>
        <r>
          <rPr>
            <b/>
            <sz val="9"/>
            <color indexed="81"/>
            <rFont val="Tahoma"/>
            <family val="2"/>
          </rPr>
          <t>jarmylly:</t>
        </r>
        <r>
          <rPr>
            <sz val="9"/>
            <color indexed="81"/>
            <rFont val="Tahoma"/>
            <family val="2"/>
          </rPr>
          <t xml:space="preserve">
Contains two disks:
- Disk-1: 60GB
(NOTE: For servers intended for more than 10 concurrent users the recommended size for disk C is Disk-1 size + RAM size.)
- Disk-2: 40GB</t>
        </r>
      </text>
    </comment>
    <comment ref="I64" authorId="2" shapeId="0" xr:uid="{F3B94F9C-3CCC-44C8-8F87-FC1D3E00589B}">
      <text>
        <r>
          <rPr>
            <b/>
            <sz val="9"/>
            <color indexed="81"/>
            <rFont val="Tahoma"/>
            <family val="2"/>
          </rPr>
          <t>jarmylly:</t>
        </r>
        <r>
          <rPr>
            <sz val="9"/>
            <color indexed="81"/>
            <rFont val="Tahoma"/>
            <family val="2"/>
          </rPr>
          <t xml:space="preserve">
Contains two disks:
- Disk-1: 60GB
(NOTE: For servers intended for more than 10 concurrent users the recommended size for disk C is Disk-1 size + RAM size.)
- Disk-2: 40GB</t>
        </r>
      </text>
    </comment>
    <comment ref="I65" authorId="2" shapeId="0" xr:uid="{9D1743B1-D7D7-47AD-9E0E-2235F1ECA173}">
      <text>
        <r>
          <rPr>
            <b/>
            <sz val="9"/>
            <color indexed="81"/>
            <rFont val="Tahoma"/>
            <family val="2"/>
          </rPr>
          <t>jarmylly:</t>
        </r>
        <r>
          <rPr>
            <sz val="9"/>
            <color indexed="81"/>
            <rFont val="Tahoma"/>
            <family val="2"/>
          </rPr>
          <t xml:space="preserve">
Contains two disks:
- Disk-1: 60GB
(NOTE: For servers intended for more than 10 concurrent users the recommended size for disk C is Disk-1 size + RAM size.)
- Disk-2: 40GB</t>
        </r>
      </text>
    </comment>
    <comment ref="I66" authorId="2" shapeId="0" xr:uid="{607351A9-2ECB-42A1-981F-087B96A31926}">
      <text>
        <r>
          <rPr>
            <b/>
            <sz val="9"/>
            <color indexed="81"/>
            <rFont val="Tahoma"/>
            <family val="2"/>
          </rPr>
          <t>jarmylly:</t>
        </r>
        <r>
          <rPr>
            <sz val="9"/>
            <color indexed="81"/>
            <rFont val="Tahoma"/>
            <family val="2"/>
          </rPr>
          <t xml:space="preserve">
Contains two disks:
- Disk-1: 60GB
(NOTE: For servers intended for more than 10 concurrent users the recommended size for disk C is Disk-1 size + RAM size.)
- Disk-2: 40GB</t>
        </r>
      </text>
    </comment>
    <comment ref="I67" authorId="2" shapeId="0" xr:uid="{1B490AA9-CC0E-44ED-815A-56C3F5DEE767}">
      <text>
        <r>
          <rPr>
            <b/>
            <sz val="9"/>
            <color indexed="81"/>
            <rFont val="Tahoma"/>
            <family val="2"/>
          </rPr>
          <t>jarmylly:</t>
        </r>
        <r>
          <rPr>
            <sz val="9"/>
            <color indexed="81"/>
            <rFont val="Tahoma"/>
            <family val="2"/>
          </rPr>
          <t xml:space="preserve">
Contains two disks:
- Disk-1: 60GB
(NOTE: For servers intended for more than 10 concurrent users the recommended size for disk C is Disk-1 size + RAM size.)
- Disk-2: 40GB</t>
        </r>
      </text>
    </comment>
    <comment ref="I68" authorId="2" shapeId="0" xr:uid="{65A8C8EB-40A3-4909-A3AC-88BA43B65887}">
      <text>
        <r>
          <rPr>
            <b/>
            <sz val="9"/>
            <color indexed="81"/>
            <rFont val="Tahoma"/>
            <family val="2"/>
          </rPr>
          <t>jarmylly:</t>
        </r>
        <r>
          <rPr>
            <sz val="9"/>
            <color indexed="81"/>
            <rFont val="Tahoma"/>
            <family val="2"/>
          </rPr>
          <t xml:space="preserve">
Contains two disks:
- Disk-1: 60GB
(NOTE: For servers intended for more than 10 concurrent users the recommended size for disk C is Disk-1 size + RAM size.)
- Disk-2: 40GB</t>
        </r>
      </text>
    </comment>
    <comment ref="I69" authorId="2" shapeId="0" xr:uid="{7ADD6F58-8B50-4FB0-B012-2EFFDCFF5051}">
      <text>
        <r>
          <rPr>
            <b/>
            <sz val="9"/>
            <color indexed="81"/>
            <rFont val="Tahoma"/>
            <family val="2"/>
          </rPr>
          <t>jarmylly:</t>
        </r>
        <r>
          <rPr>
            <sz val="9"/>
            <color indexed="81"/>
            <rFont val="Tahoma"/>
            <family val="2"/>
          </rPr>
          <t xml:space="preserve">
Contains two disks:
- Disk-1: 60GB
(NOTE: For servers intended for more than 10 concurrent users the recommended size for disk C is Disk-1 size + RAM size.)
- Disk-2: 40GB</t>
        </r>
      </text>
    </comment>
    <comment ref="I70" authorId="2" shapeId="0" xr:uid="{70A01170-6C0E-4389-9E74-14D993F847FA}">
      <text>
        <r>
          <rPr>
            <b/>
            <sz val="9"/>
            <color indexed="81"/>
            <rFont val="Tahoma"/>
            <family val="2"/>
          </rPr>
          <t>jarmylly:</t>
        </r>
        <r>
          <rPr>
            <sz val="9"/>
            <color indexed="81"/>
            <rFont val="Tahoma"/>
            <family val="2"/>
          </rPr>
          <t xml:space="preserve">
Contains two disks:
- Disk-1: 80GB
(NOTE: For servers intended for more than 10 concurrent users the recommended size for disk C is Disk-1 size + RAM size.)
- Disk-2: 40GB</t>
        </r>
      </text>
    </comment>
    <comment ref="I71" authorId="2" shapeId="0" xr:uid="{2993E2C4-4AD4-4683-8349-D97F9DE3DC65}">
      <text>
        <r>
          <rPr>
            <b/>
            <sz val="9"/>
            <color indexed="81"/>
            <rFont val="Tahoma"/>
            <family val="2"/>
          </rPr>
          <t>jarmylly:</t>
        </r>
        <r>
          <rPr>
            <sz val="9"/>
            <color indexed="81"/>
            <rFont val="Tahoma"/>
            <family val="2"/>
          </rPr>
          <t xml:space="preserve">
Contains two disks:
- Disk-1: 60GB
(NOTE: For servers intended for more than 10 concurrent users the recommended size for disk C is Disk-1 size + RAM size.)
- Disk-2: 40GB</t>
        </r>
      </text>
    </comment>
    <comment ref="I79" authorId="2" shapeId="0" xr:uid="{E628DECF-E394-4F56-AB32-AE4F419AAD42}">
      <text>
        <r>
          <rPr>
            <b/>
            <sz val="9"/>
            <color indexed="81"/>
            <rFont val="Tahoma"/>
            <family val="2"/>
          </rPr>
          <t>jarmylly:</t>
        </r>
        <r>
          <rPr>
            <sz val="9"/>
            <color indexed="81"/>
            <rFont val="Tahoma"/>
            <family val="2"/>
          </rPr>
          <t xml:space="preserve">
Contains two disks:
- Disk-1: 30GB
- Disk-2: 80GB</t>
        </r>
      </text>
    </comment>
    <comment ref="I80" authorId="2" shapeId="0" xr:uid="{3B871472-1029-46E0-84F8-BA91C42BC595}">
      <text>
        <r>
          <rPr>
            <b/>
            <sz val="9"/>
            <color indexed="81"/>
            <rFont val="Tahoma"/>
            <family val="2"/>
          </rPr>
          <t>jarmylly:</t>
        </r>
        <r>
          <rPr>
            <sz val="9"/>
            <color indexed="81"/>
            <rFont val="Tahoma"/>
            <family val="2"/>
          </rPr>
          <t xml:space="preserve">
Contains two disks:
- Disk-1: 30GB
- Disk-2: 80GB</t>
        </r>
      </text>
    </comment>
    <comment ref="AF88" authorId="1" shapeId="0" xr:uid="{53AD241A-EBA3-458E-ADDA-1106FC5016A4}">
      <text>
        <r>
          <rPr>
            <b/>
            <sz val="9"/>
            <color indexed="81"/>
            <rFont val="Tahoma"/>
            <family val="2"/>
          </rPr>
          <t>Thippeswamy, Suresh (Nokia - IN/Bangalore):</t>
        </r>
        <r>
          <rPr>
            <sz val="9"/>
            <color indexed="81"/>
            <rFont val="Tahoma"/>
            <family val="2"/>
          </rPr>
          <t xml:space="preserve">
Contains one disk:
    napd_disk1: 204800MB
</t>
        </r>
      </text>
    </comment>
    <comment ref="AJ90" authorId="0" shapeId="0" xr:uid="{2B4BEF06-6DCD-4559-A46D-804BB8D16305}">
      <text>
        <r>
          <rPr>
            <b/>
            <sz val="9"/>
            <color indexed="81"/>
            <rFont val="Tahoma"/>
            <charset val="1"/>
          </rPr>
          <t>Avuthu, Charan (EXT - IN/Bangalore):</t>
        </r>
        <r>
          <rPr>
            <sz val="9"/>
            <color indexed="81"/>
            <rFont val="Tahoma"/>
            <charset val="1"/>
          </rPr>
          <t xml:space="preserve">
Contains one disk: 
-kafka_disk1: 122880 MB</t>
        </r>
      </text>
    </comment>
    <comment ref="AL90" authorId="0" shapeId="0" xr:uid="{A0623527-65A7-42C8-B1A3-1C4DE827B577}">
      <text>
        <r>
          <rPr>
            <b/>
            <sz val="9"/>
            <color indexed="81"/>
            <rFont val="Tahoma"/>
            <charset val="1"/>
          </rPr>
          <t>Avuthu, Charan (EXT - IN/Bangalore):</t>
        </r>
        <r>
          <rPr>
            <sz val="9"/>
            <color indexed="81"/>
            <rFont val="Tahoma"/>
            <charset val="1"/>
          </rPr>
          <t xml:space="preserve">
Contains one disk: 
-cap_disk1: 4608 MB</t>
        </r>
      </text>
    </comment>
    <comment ref="AN91" authorId="0" shapeId="0" xr:uid="{10150CA5-958E-4799-9973-D4C7E7D61BDD}">
      <text>
        <r>
          <rPr>
            <b/>
            <sz val="9"/>
            <color indexed="81"/>
            <rFont val="Tahoma"/>
            <charset val="1"/>
          </rPr>
          <t>Avuthu, Charan (EXT - IN/Bangalore):</t>
        </r>
        <r>
          <rPr>
            <sz val="9"/>
            <color indexed="81"/>
            <rFont val="Tahoma"/>
            <charset val="1"/>
          </rPr>
          <t xml:space="preserve">
Contains one disk: 
-clickhouse_disk1: 716800 MB</t>
        </r>
      </text>
    </comment>
    <comment ref="E106" authorId="2" shapeId="0" xr:uid="{3C09BF3B-FB09-444E-A92A-60F949E26CA7}">
      <text>
        <r>
          <rPr>
            <b/>
            <sz val="9"/>
            <color indexed="81"/>
            <rFont val="Tahoma"/>
            <family val="2"/>
          </rPr>
          <t>jarmylly:</t>
        </r>
        <r>
          <rPr>
            <sz val="9"/>
            <color indexed="81"/>
            <rFont val="Tahoma"/>
            <family val="2"/>
          </rPr>
          <t xml:space="preserve">
- SBTS Adapter and BTSMED should not co-locate in same cluster i.e. SBTS Adapter and BTSMED VM usage together is not possible.</t>
        </r>
      </text>
    </comment>
    <comment ref="E107" authorId="2" shapeId="0" xr:uid="{3BCA379C-0177-4F37-9330-5E65C04AF620}">
      <text>
        <r>
          <rPr>
            <b/>
            <sz val="9"/>
            <color indexed="81"/>
            <rFont val="Tahoma"/>
            <family val="2"/>
          </rPr>
          <t>jarmylly:</t>
        </r>
        <r>
          <rPr>
            <sz val="9"/>
            <color indexed="81"/>
            <rFont val="Tahoma"/>
            <family val="2"/>
          </rPr>
          <t xml:space="preserve">
- SBTS Adapter and BTSMED should not co-locate in same cluster i.e. SBTS Adapter and BTSMED VM usage together is not possible.</t>
        </r>
      </text>
    </comment>
    <comment ref="A108" authorId="4" shapeId="0" xr:uid="{C57519E0-F4BE-43AB-90AF-A3F2AFC49923}">
      <text>
        <t>[Threaded comment]
Your version of Excel allows you to read this threaded comment; however, any edits to it will get removed if the file is opened in a newer version of Excel. Learn more: https://go.microsoft.com/fwlink/?linkid=870924
Comment:
    SP1911 Onwards</t>
      </text>
    </comment>
    <comment ref="A109" authorId="5" shapeId="0" xr:uid="{03263E6D-41A1-483B-9AFD-D7F8F2945D64}">
      <text>
        <t>[Threaded comment]
Your version of Excel allows you to read this threaded comment; however, any edits to it will get removed if the file is opened in a newer version of Excel. Learn more: https://go.microsoft.com/fwlink/?linkid=870924
Comment:
    SP2004 onwards</t>
      </text>
    </comment>
    <comment ref="B116" authorId="0" shapeId="0" xr:uid="{744B530A-BABB-4EFA-ACF5-133E2934CE62}">
      <text>
        <r>
          <rPr>
            <b/>
            <sz val="9"/>
            <color indexed="81"/>
            <rFont val="Tahoma"/>
            <charset val="1"/>
          </rPr>
          <t>Avuthu, Charan (EXT - IN/Bangalore):</t>
        </r>
        <r>
          <rPr>
            <sz val="9"/>
            <color indexed="81"/>
            <rFont val="Tahoma"/>
            <charset val="1"/>
          </rPr>
          <t xml:space="preserve">
The datastore(DS) usage is shown considering all optional VMs are deployed which uses VMGuestDisk1. If any optional VM is not deployed, DS usage will be reduced accordingly.</t>
        </r>
      </text>
    </comment>
    <comment ref="B117" authorId="0" shapeId="0" xr:uid="{1C17DEB4-06FD-4F2C-AB1D-37162C6980F4}">
      <text>
        <r>
          <rPr>
            <b/>
            <sz val="9"/>
            <color indexed="81"/>
            <rFont val="Tahoma"/>
            <charset val="1"/>
          </rPr>
          <t>Avuthu, Charan (EXT - IN/Bangalore):</t>
        </r>
        <r>
          <rPr>
            <sz val="9"/>
            <color indexed="81"/>
            <rFont val="Tahoma"/>
            <charset val="1"/>
          </rPr>
          <t xml:space="preserve">
The datastore(DS) usage is shown considering all optional VMs are deployed which uses VMGuestDisk2. If any optional VM is not deployed, DS usage will be reduced accordingly.</t>
        </r>
      </text>
    </comment>
    <comment ref="B118" authorId="0" shapeId="0" xr:uid="{603F0E71-1918-4E76-BA75-8658A1724457}">
      <text>
        <r>
          <rPr>
            <b/>
            <sz val="9"/>
            <color indexed="81"/>
            <rFont val="Tahoma"/>
            <charset val="1"/>
          </rPr>
          <t>Avuthu, Charan (EXT - IN/Bangalore):</t>
        </r>
        <r>
          <rPr>
            <sz val="9"/>
            <color indexed="81"/>
            <rFont val="Tahoma"/>
            <charset val="1"/>
          </rPr>
          <t xml:space="preserve">
The datastore(DS) usage is shown considering all optional VMs are deployed which uses VMGuestDisk3. If any optional VM is not deployed, DS usage will be reduced accordingly.</t>
        </r>
      </text>
    </comment>
    <comment ref="B137" authorId="0" shapeId="0" xr:uid="{C07A7BAA-B50A-4285-BA7A-F0A5713EB370}">
      <text>
        <r>
          <rPr>
            <b/>
            <sz val="9"/>
            <color indexed="81"/>
            <rFont val="Tahoma"/>
            <family val="2"/>
          </rPr>
          <t>Avuthu, Charan (EXT - IN/Bangalore):</t>
        </r>
        <r>
          <rPr>
            <sz val="9"/>
            <color indexed="81"/>
            <rFont val="Tahoma"/>
            <family val="2"/>
          </rPr>
          <t xml:space="preserve">
-Increase by additional 60GB, For LCM as optional service on Compute1</t>
        </r>
      </text>
    </comment>
    <comment ref="C137" authorId="0" shapeId="0" xr:uid="{43794009-1EC7-4AAC-B811-49BD85570B8C}">
      <text>
        <r>
          <rPr>
            <b/>
            <sz val="9"/>
            <color indexed="81"/>
            <rFont val="Tahoma"/>
            <family val="2"/>
          </rPr>
          <t>Avuthu, Charan (EXT - IN/Bangalore):</t>
        </r>
        <r>
          <rPr>
            <sz val="9"/>
            <color indexed="81"/>
            <rFont val="Tahoma"/>
            <family val="2"/>
          </rPr>
          <t xml:space="preserve">
-Increase by additional 60GB, For LCM as optional service on Compute1</t>
        </r>
      </text>
    </comment>
    <comment ref="B138" authorId="0" shapeId="0" xr:uid="{5BC20D44-F3F4-4EB9-8EF7-290287E8533E}">
      <text>
        <r>
          <rPr>
            <b/>
            <sz val="9"/>
            <color indexed="81"/>
            <rFont val="Tahoma"/>
            <family val="2"/>
          </rPr>
          <t>Avuthu, Charan (EXT - IN/Bangalore):</t>
        </r>
        <r>
          <rPr>
            <sz val="9"/>
            <color indexed="81"/>
            <rFont val="Tahoma"/>
            <family val="2"/>
          </rPr>
          <t xml:space="preserve">
-Increase by additional 60GB, For LCM as optional service on Compute1</t>
        </r>
      </text>
    </comment>
    <comment ref="C138" authorId="0" shapeId="0" xr:uid="{6F212BB1-DB78-45C5-906A-B87D4E69F681}">
      <text>
        <r>
          <rPr>
            <b/>
            <sz val="9"/>
            <color indexed="81"/>
            <rFont val="Tahoma"/>
            <family val="2"/>
          </rPr>
          <t>Avuthu, Charan (EXT - IN/Bangalore):</t>
        </r>
        <r>
          <rPr>
            <sz val="9"/>
            <color indexed="81"/>
            <rFont val="Tahoma"/>
            <family val="2"/>
          </rPr>
          <t xml:space="preserve">
-Increase by additional 60GB, For LCM as optional service on Compute1</t>
        </r>
      </text>
    </comment>
    <comment ref="B150" authorId="0" shapeId="0" xr:uid="{D6ED046C-9D7D-46BE-8AE2-6F9F5F9D70AC}">
      <text>
        <r>
          <rPr>
            <b/>
            <sz val="9"/>
            <color indexed="81"/>
            <rFont val="Tahoma"/>
            <charset val="1"/>
          </rPr>
          <t>Avuthu, Charan (EXT - IN/Bangalore):</t>
        </r>
        <r>
          <rPr>
            <sz val="9"/>
            <color indexed="81"/>
            <rFont val="Tahoma"/>
            <charset val="1"/>
          </rPr>
          <t xml:space="preserve">
-Increase by additional 120GB, If LCM+CCR chosen as optional service on Compute1</t>
        </r>
      </text>
    </comment>
    <comment ref="C150" authorId="0" shapeId="0" xr:uid="{D0CF0C05-69C3-43BF-8BB7-BC16FDA34BC2}">
      <text>
        <r>
          <rPr>
            <b/>
            <sz val="9"/>
            <color indexed="81"/>
            <rFont val="Tahoma"/>
            <charset val="1"/>
          </rPr>
          <t>Avuthu, Charan (EXT - IN/Bangalore):</t>
        </r>
        <r>
          <rPr>
            <sz val="9"/>
            <color indexed="81"/>
            <rFont val="Tahoma"/>
            <charset val="1"/>
          </rPr>
          <t xml:space="preserve">
-Increase by additional 120GB, If LCM+CCR chosen as optional service on Compute1</t>
        </r>
      </text>
    </comment>
    <comment ref="A153" authorId="1" shapeId="0" xr:uid="{A5963C6D-2149-4B32-B939-342EC7604570}">
      <text>
        <r>
          <rPr>
            <b/>
            <sz val="9"/>
            <color indexed="81"/>
            <rFont val="Tahoma"/>
            <family val="2"/>
          </rPr>
          <t>Thippeswamy, Suresh (Nokia - IN/Bangalore):</t>
        </r>
        <r>
          <rPr>
            <sz val="9"/>
            <color indexed="81"/>
            <rFont val="Tahoma"/>
            <family val="2"/>
          </rPr>
          <t xml:space="preserve">
Based on vCSA version selected, Datastore size and datastore usage  varies</t>
        </r>
      </text>
    </comment>
    <comment ref="A154" authorId="1" shapeId="0" xr:uid="{E5A9DFA1-3C8A-449A-AC9C-358408EC4619}">
      <text>
        <r>
          <rPr>
            <b/>
            <sz val="9"/>
            <color indexed="81"/>
            <rFont val="Tahoma"/>
            <family val="2"/>
          </rPr>
          <t>Thippeswamy, Suresh (Nokia - IN/Bangalore):</t>
        </r>
        <r>
          <rPr>
            <sz val="9"/>
            <color indexed="81"/>
            <rFont val="Tahoma"/>
            <family val="2"/>
          </rPr>
          <t xml:space="preserve">
This datastore is needed only if NAPD optional VM is planned to deploy</t>
        </r>
      </text>
    </comment>
    <comment ref="A155" authorId="1" shapeId="0" xr:uid="{FE8C6177-EE13-4C66-93CB-CE431D4BB545}">
      <text>
        <r>
          <rPr>
            <b/>
            <sz val="9"/>
            <color indexed="81"/>
            <rFont val="Tahoma"/>
            <family val="2"/>
          </rPr>
          <t>Thippeswamy, Suresh (Nokia - IN/Bangalore):</t>
        </r>
        <r>
          <rPr>
            <sz val="9"/>
            <color indexed="81"/>
            <rFont val="Tahoma"/>
            <family val="2"/>
          </rPr>
          <t xml:space="preserve">
This datastore is needed only if ARC optional VM is planned to deploy</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Avuthu, Charan (EXT - IN/Bangalore)</author>
    <author>jarmylly</author>
    <author>Thippeswamy, Suresh (Nokia - IN/Bangalore)</author>
  </authors>
  <commentList>
    <comment ref="J7" authorId="0" shapeId="0" xr:uid="{C07517F6-2D42-4239-9AB9-7B1C09C9CEBE}">
      <text>
        <r>
          <rPr>
            <b/>
            <sz val="9"/>
            <color indexed="81"/>
            <rFont val="Tahoma"/>
            <charset val="1"/>
          </rPr>
          <t>Avuthu, Charan (EXT - IN/Bangalore):</t>
        </r>
        <r>
          <rPr>
            <sz val="9"/>
            <color indexed="81"/>
            <rFont val="Tahoma"/>
            <charset val="1"/>
          </rPr>
          <t xml:space="preserve">
Virtual Machine SWAP file size in VMGuestDisk data store, for Virtual Infra operations</t>
        </r>
      </text>
    </comment>
    <comment ref="L10" authorId="1" shapeId="0" xr:uid="{B51F12D5-80E6-415F-970F-8A1553C768AD}">
      <text>
        <r>
          <rPr>
            <b/>
            <sz val="9"/>
            <color indexed="81"/>
            <rFont val="Tahoma"/>
            <family val="2"/>
          </rPr>
          <t>jarmylly:</t>
        </r>
        <r>
          <rPr>
            <sz val="9"/>
            <color indexed="81"/>
            <rFont val="Tahoma"/>
            <family val="2"/>
          </rPr>
          <t xml:space="preserve">
Contains one disk:
DB_redo: 60825MB</t>
        </r>
      </text>
    </comment>
    <comment ref="N10" authorId="1" shapeId="0" xr:uid="{B4762F63-8530-4081-B3CD-44CB1BBC82E9}">
      <text>
        <r>
          <rPr>
            <b/>
            <sz val="9"/>
            <color indexed="81"/>
            <rFont val="Tahoma"/>
            <family val="2"/>
          </rPr>
          <t>jarmylly:</t>
        </r>
        <r>
          <rPr>
            <sz val="9"/>
            <color indexed="81"/>
            <rFont val="Tahoma"/>
            <family val="2"/>
          </rPr>
          <t xml:space="preserve">
Contains one disk, either: 
 DB_data: 1244160MB
</t>
        </r>
      </text>
    </comment>
    <comment ref="P10" authorId="1" shapeId="0" xr:uid="{4AF05FA7-B83F-4EC1-AADA-DBF32AC23A2F}">
      <text>
        <r>
          <rPr>
            <b/>
            <sz val="9"/>
            <color indexed="81"/>
            <rFont val="Tahoma"/>
            <family val="2"/>
          </rPr>
          <t>jarmylly:</t>
        </r>
        <r>
          <rPr>
            <sz val="9"/>
            <color indexed="81"/>
            <rFont val="Tahoma"/>
            <family val="2"/>
          </rPr>
          <t xml:space="preserve">
Contains one disk:
 DB_arc: 1520640MB
</t>
        </r>
      </text>
    </comment>
    <comment ref="V10" authorId="1" shapeId="0" xr:uid="{F035F7C7-BC5C-4435-9063-47FA7FC98E5E}">
      <text>
        <r>
          <rPr>
            <b/>
            <sz val="9"/>
            <color indexed="81"/>
            <rFont val="Tahoma"/>
            <family val="2"/>
          </rPr>
          <t>jarmylly:</t>
        </r>
        <r>
          <rPr>
            <sz val="9"/>
            <color indexed="81"/>
            <rFont val="Tahoma"/>
            <family val="2"/>
          </rPr>
          <t xml:space="preserve">
Contains one disk:
 DB_backup: 4095000MB
</t>
        </r>
      </text>
    </comment>
    <comment ref="R11" authorId="1" shapeId="0" xr:uid="{5E9670DE-AEBE-4FC2-9D6D-B2619E3EC670}">
      <text>
        <r>
          <rPr>
            <b/>
            <sz val="9"/>
            <color indexed="81"/>
            <rFont val="Tahoma"/>
            <family val="2"/>
          </rPr>
          <t>jarmylly:</t>
        </r>
        <r>
          <rPr>
            <sz val="9"/>
            <color indexed="81"/>
            <rFont val="Tahoma"/>
            <family val="2"/>
          </rPr>
          <t xml:space="preserve">
 Contains three disks:
- NFS global: 281600 MB 
- NFS home: 12288 MB
- NFS WAS dump:25600 MB</t>
        </r>
      </text>
    </comment>
    <comment ref="V11" authorId="1" shapeId="0" xr:uid="{97566C32-227C-42D4-BAF2-A87438B26F1E}">
      <text>
        <r>
          <rPr>
            <b/>
            <sz val="9"/>
            <color indexed="81"/>
            <rFont val="Tahoma"/>
            <family val="2"/>
          </rPr>
          <t>jarmylly:</t>
        </r>
        <r>
          <rPr>
            <sz val="9"/>
            <color indexed="81"/>
            <rFont val="Tahoma"/>
            <family val="2"/>
          </rPr>
          <t xml:space="preserve">
Contains one disk:
- NFS_backup: 230400MB</t>
        </r>
      </text>
    </comment>
    <comment ref="Z18" authorId="2" shapeId="0" xr:uid="{E92CF396-95FA-4B8A-872F-7198B3A0C179}">
      <text>
        <r>
          <rPr>
            <b/>
            <sz val="9"/>
            <color indexed="81"/>
            <rFont val="Tahoma"/>
            <family val="2"/>
          </rPr>
          <t>Thippeswamy, Suresh (Nokia - IN/Bangalore):</t>
        </r>
        <r>
          <rPr>
            <sz val="9"/>
            <color indexed="81"/>
            <rFont val="Tahoma"/>
            <family val="2"/>
          </rPr>
          <t xml:space="preserve">
Contains 1 disk:
adm_disk1: 51200MB</t>
        </r>
      </text>
    </comment>
    <comment ref="AB20" authorId="2" shapeId="0" xr:uid="{E54606C2-8AED-4B22-B417-DBF0217E7D1C}">
      <text>
        <r>
          <rPr>
            <b/>
            <sz val="9"/>
            <color indexed="81"/>
            <rFont val="Tahoma"/>
            <family val="2"/>
          </rPr>
          <t>Thippeswamy, Suresh (Nokia - IN/Bangalore):</t>
        </r>
        <r>
          <rPr>
            <sz val="9"/>
            <color indexed="81"/>
            <rFont val="Tahoma"/>
            <family val="2"/>
          </rPr>
          <t xml:space="preserve">
Contains one disk:
isdk_disk1 : 66560MB</t>
        </r>
      </text>
    </comment>
    <comment ref="X24" authorId="1" shapeId="0" xr:uid="{6ED8B314-2187-48AD-9F7C-9CF1742C4A7E}">
      <text>
        <r>
          <rPr>
            <b/>
            <sz val="9"/>
            <color indexed="81"/>
            <rFont val="Tahoma"/>
            <family val="2"/>
          </rPr>
          <t>jarmylly:</t>
        </r>
        <r>
          <rPr>
            <sz val="9"/>
            <color indexed="81"/>
            <rFont val="Tahoma"/>
            <family val="2"/>
          </rPr>
          <t xml:space="preserve">
Contains one disk:
- vm66_REP_disk: 46080MB
</t>
        </r>
      </text>
    </comment>
    <comment ref="X25" authorId="1" shapeId="0" xr:uid="{BE08AB88-65AF-46FE-98EE-41F234537EB0}">
      <text>
        <r>
          <rPr>
            <b/>
            <sz val="9"/>
            <color indexed="81"/>
            <rFont val="Tahoma"/>
            <family val="2"/>
          </rPr>
          <t>jarmylly:</t>
        </r>
        <r>
          <rPr>
            <sz val="9"/>
            <color indexed="81"/>
            <rFont val="Tahoma"/>
            <family val="2"/>
          </rPr>
          <t xml:space="preserve">
Contains one disk:
- vm67_REP_disk: 46080MB</t>
        </r>
      </text>
    </comment>
    <comment ref="AD28" authorId="0" shapeId="0" xr:uid="{F54E45F2-18B6-4639-86CD-9BC399A808F0}">
      <text>
        <r>
          <rPr>
            <b/>
            <sz val="9"/>
            <color indexed="81"/>
            <rFont val="Tahoma"/>
            <charset val="1"/>
          </rPr>
          <t>Avuthu, Charan (EXT - IN/Bangalore):</t>
        </r>
        <r>
          <rPr>
            <sz val="9"/>
            <color indexed="81"/>
            <rFont val="Tahoma"/>
            <charset val="1"/>
          </rPr>
          <t xml:space="preserve">
Contains one disk:
- ccr_disk1: 153600MB</t>
        </r>
      </text>
    </comment>
    <comment ref="R32" authorId="0" shapeId="0" xr:uid="{9F175280-F57E-4482-81F9-6A7FBF01FC9E}">
      <text>
        <r>
          <rPr>
            <b/>
            <sz val="9"/>
            <color indexed="81"/>
            <rFont val="Tahoma"/>
            <charset val="1"/>
          </rPr>
          <t>Avuthu, Charan (EXT - IN/Bangalore):</t>
        </r>
        <r>
          <rPr>
            <sz val="9"/>
            <color indexed="81"/>
            <rFont val="Tahoma"/>
            <charset val="1"/>
          </rPr>
          <t xml:space="preserve">
Increase for NFSGlobal disk on VM#5 by 120GB
- NFS global (For LCM as optional service on Compute1): 404480 MB</t>
        </r>
      </text>
    </comment>
    <comment ref="V32" authorId="0" shapeId="0" xr:uid="{6B5DC9DB-5F8A-433B-AD62-1FD186F6E252}">
      <text>
        <r>
          <rPr>
            <b/>
            <sz val="9"/>
            <color indexed="81"/>
            <rFont val="Tahoma"/>
            <charset val="1"/>
          </rPr>
          <t>Avuthu, Charan (EXT - IN/Bangalore):</t>
        </r>
        <r>
          <rPr>
            <sz val="9"/>
            <color indexed="81"/>
            <rFont val="Tahoma"/>
            <charset val="1"/>
          </rPr>
          <t xml:space="preserve">
Contains one disk:
- backup_disk1: 204800MB
</t>
        </r>
        <r>
          <rPr>
            <sz val="9"/>
            <color indexed="81"/>
            <rFont val="Tahoma"/>
            <family val="2"/>
          </rPr>
          <t>Increase for NFSBackup disk on VM#5 by 120GB</t>
        </r>
        <r>
          <rPr>
            <sz val="9"/>
            <color indexed="81"/>
            <rFont val="Tahoma"/>
            <charset val="1"/>
          </rPr>
          <t xml:space="preserve">
- NFS_backup (For LCM as optional service on Compute1): 353280 MB</t>
        </r>
      </text>
    </comment>
    <comment ref="I37" authorId="2" shapeId="0" xr:uid="{C72407A7-A1AD-449A-B14C-48B7FC4932D5}">
      <text>
        <r>
          <rPr>
            <b/>
            <sz val="9"/>
            <color indexed="81"/>
            <rFont val="Tahoma"/>
            <family val="2"/>
          </rPr>
          <t>Thippeswamy, Suresh (Nokia - IN/Bangalore):</t>
        </r>
        <r>
          <rPr>
            <sz val="9"/>
            <color indexed="81"/>
            <rFont val="Tahoma"/>
            <family val="2"/>
          </rPr>
          <t xml:space="preserve">
NetAct20 scratch and on top upgrade, the required disk size is 70GB
On long upgrade environment(Having NetAct19 or older in upgrade history), since /var partition requires 40GB from NetAct20 onwards, so additional 25GB disk space is automtically added and attached to /var partition. With this the total disks consumption will be 95GB 
On long upgrade environments(NetAct20 or older), from N23R3 onwards, additional 12GB would be extended and attached to SWAP partition. With this, the total disk consumption will be 107GB.</t>
        </r>
      </text>
    </comment>
    <comment ref="I38" authorId="1" shapeId="0" xr:uid="{D3956F3D-9140-4B8D-A269-273465E90A34}">
      <text>
        <r>
          <rPr>
            <b/>
            <sz val="9"/>
            <color indexed="81"/>
            <rFont val="Tahoma"/>
            <family val="2"/>
          </rPr>
          <t>jarmylly:</t>
        </r>
        <r>
          <rPr>
            <sz val="9"/>
            <color indexed="81"/>
            <rFont val="Tahoma"/>
            <family val="2"/>
          </rPr>
          <t xml:space="preserve">
Contains two disks:
- Disk-1: 60GB
- Disk-2: 40GB</t>
        </r>
      </text>
    </comment>
    <comment ref="I39" authorId="1" shapeId="0" xr:uid="{3FD0E96B-38EF-4B06-8ECC-B35061144079}">
      <text>
        <r>
          <rPr>
            <b/>
            <sz val="9"/>
            <color indexed="81"/>
            <rFont val="Tahoma"/>
            <family val="2"/>
          </rPr>
          <t>jarmylly:</t>
        </r>
        <r>
          <rPr>
            <sz val="9"/>
            <color indexed="81"/>
            <rFont val="Tahoma"/>
            <family val="2"/>
          </rPr>
          <t xml:space="preserve">
Contains two disks:
- Disk-1: 60GB
(NOTE: For servers intended for more than 10 concurrent users the recommended size for disk C is Disk-1 size + RAM size.)
- Disk-2: 40GB</t>
        </r>
      </text>
    </comment>
    <comment ref="I40" authorId="1" shapeId="0" xr:uid="{80CE27C4-B8D2-4835-AC1B-8DA9D04D17F0}">
      <text>
        <r>
          <rPr>
            <b/>
            <sz val="9"/>
            <color indexed="81"/>
            <rFont val="Tahoma"/>
            <family val="2"/>
          </rPr>
          <t>jarmylly:</t>
        </r>
        <r>
          <rPr>
            <sz val="9"/>
            <color indexed="81"/>
            <rFont val="Tahoma"/>
            <family val="2"/>
          </rPr>
          <t xml:space="preserve">
Contains two disks:
- Disk-1: 80GB
(NOTE: For servers intended for more than 10 concurrent users the recommended size for disk C is Disk-1 size + RAM size.)
- Disk-2: 40GB</t>
        </r>
      </text>
    </comment>
    <comment ref="I41" authorId="1" shapeId="0" xr:uid="{6075C166-DD48-4264-85FE-A5DBEE796632}">
      <text>
        <r>
          <rPr>
            <b/>
            <sz val="9"/>
            <color indexed="81"/>
            <rFont val="Tahoma"/>
            <family val="2"/>
          </rPr>
          <t>jarmylly:</t>
        </r>
        <r>
          <rPr>
            <sz val="9"/>
            <color indexed="81"/>
            <rFont val="Tahoma"/>
            <family val="2"/>
          </rPr>
          <t xml:space="preserve">
Contains two disks:
- Disk-1: 60GB
(NOTE: For servers intended for more than 10 concurrent users the recommended size for disk C is Disk-1 size + RAM size.)
- Disk-2: 40GB</t>
        </r>
      </text>
    </comment>
    <comment ref="I47" authorId="0" shapeId="0" xr:uid="{A9E95DC7-9E07-4830-AF3F-FC5ABFC5CA13}">
      <text>
        <r>
          <rPr>
            <b/>
            <sz val="9"/>
            <color indexed="81"/>
            <rFont val="Tahoma"/>
            <charset val="1"/>
          </rPr>
          <t>Avuthu, Charan (EXT - IN/Bangalore):</t>
        </r>
        <r>
          <rPr>
            <sz val="9"/>
            <color indexed="81"/>
            <rFont val="Tahoma"/>
            <charset val="1"/>
          </rPr>
          <t xml:space="preserve">
Contains two disks:
- Disk-1: 30GB
- Disk-2: 80GB</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Avuthu, Charan (EXT - IN/Bangalore)</author>
    <author>jarmylly</author>
    <author>Goyal, Mayank (Nokia - IN/Bangalore)</author>
    <author>Thippeswamy, Suresh (Nokia - IN/Bangalore)</author>
    <author>Jari Myllymaa</author>
  </authors>
  <commentList>
    <comment ref="J7" authorId="0" shapeId="0" xr:uid="{D6373CBE-5841-44A5-A97B-99BC7F42087D}">
      <text>
        <r>
          <rPr>
            <b/>
            <sz val="9"/>
            <color indexed="81"/>
            <rFont val="Tahoma"/>
            <charset val="1"/>
          </rPr>
          <t>Avuthu, Charan (EXT - IN/Bangalore):</t>
        </r>
        <r>
          <rPr>
            <sz val="9"/>
            <color indexed="81"/>
            <rFont val="Tahoma"/>
            <charset val="1"/>
          </rPr>
          <t xml:space="preserve">
Virtual Machine SWAP file size in VMGuestDisk data store, for Virtual Infra operations</t>
        </r>
      </text>
    </comment>
    <comment ref="L10" authorId="1" shapeId="0" xr:uid="{BE9F2A00-E107-4255-B641-4EBAE334FC7C}">
      <text>
        <r>
          <rPr>
            <b/>
            <sz val="9"/>
            <color indexed="81"/>
            <rFont val="Tahoma"/>
            <family val="2"/>
          </rPr>
          <t>jarmylly:</t>
        </r>
        <r>
          <rPr>
            <sz val="9"/>
            <color indexed="81"/>
            <rFont val="Tahoma"/>
            <family val="2"/>
          </rPr>
          <t xml:space="preserve">
Contains one disk:
DB_redo: 60825MB</t>
        </r>
      </text>
    </comment>
    <comment ref="N10" authorId="1" shapeId="0" xr:uid="{628B3604-8B80-4F8D-853C-66EE615269BE}">
      <text>
        <r>
          <rPr>
            <b/>
            <sz val="9"/>
            <color indexed="81"/>
            <rFont val="Tahoma"/>
            <family val="2"/>
          </rPr>
          <t>jarmylly:</t>
        </r>
        <r>
          <rPr>
            <sz val="9"/>
            <color indexed="81"/>
            <rFont val="Tahoma"/>
            <family val="2"/>
          </rPr>
          <t xml:space="preserve">
Contains one disk, either: 
 DB_data(Std): 691200MB
OR
 DB_data(Extended): 2165760MB</t>
        </r>
      </text>
    </comment>
    <comment ref="P10" authorId="1" shapeId="0" xr:uid="{1EE088ED-A828-4D8B-BB02-27C042870385}">
      <text>
        <r>
          <rPr>
            <b/>
            <sz val="9"/>
            <color indexed="81"/>
            <rFont val="Tahoma"/>
            <family val="2"/>
          </rPr>
          <t>jarmylly:</t>
        </r>
        <r>
          <rPr>
            <sz val="9"/>
            <color indexed="81"/>
            <rFont val="Tahoma"/>
            <family val="2"/>
          </rPr>
          <t xml:space="preserve">
Contains one disk:
 DB_arc(Std): 1036800MB
OR
 DB_arc(Extended): 2350080MB</t>
        </r>
      </text>
    </comment>
    <comment ref="X10" authorId="1" shapeId="0" xr:uid="{B9E2D72F-EF27-4059-A431-52E309604C45}">
      <text>
        <r>
          <rPr>
            <b/>
            <sz val="9"/>
            <color indexed="81"/>
            <rFont val="Tahoma"/>
            <family val="2"/>
          </rPr>
          <t>jarmylly:</t>
        </r>
        <r>
          <rPr>
            <sz val="9"/>
            <color indexed="81"/>
            <rFont val="Tahoma"/>
            <family val="2"/>
          </rPr>
          <t xml:space="preserve">
Contains one disk:
 DB_backup(Std): 2580480MB
OR
 DB_backup(Extended): 6497280MB</t>
        </r>
      </text>
    </comment>
    <comment ref="AH10" authorId="2" shapeId="0" xr:uid="{3CE01C74-7854-48F9-B899-DDDE056AB717}">
      <text>
        <r>
          <rPr>
            <b/>
            <sz val="9"/>
            <color indexed="81"/>
            <rFont val="Tahoma"/>
            <family val="2"/>
          </rPr>
          <t>Goyal, Mayank (Nokia - IN/Bangalore):</t>
        </r>
        <r>
          <rPr>
            <sz val="9"/>
            <color indexed="81"/>
            <rFont val="Tahoma"/>
            <family val="2"/>
          </rPr>
          <t xml:space="preserve">
Contains one disk:
- db-fb_disk : 2097152MB </t>
        </r>
      </text>
    </comment>
    <comment ref="R11" authorId="1" shapeId="0" xr:uid="{6875CA1D-2EC5-45FC-BF2E-17F4E0033E61}">
      <text>
        <r>
          <rPr>
            <b/>
            <sz val="9"/>
            <color indexed="81"/>
            <rFont val="Tahoma"/>
            <family val="2"/>
          </rPr>
          <t>jarmylly:</t>
        </r>
        <r>
          <rPr>
            <sz val="9"/>
            <color indexed="81"/>
            <rFont val="Tahoma"/>
            <family val="2"/>
          </rPr>
          <t xml:space="preserve">
 Contains three disks:
- NFS global: 281600 MB
- NFS home: 12288 MB
- NFS WAS dumps: 25600 MB</t>
        </r>
      </text>
    </comment>
    <comment ref="T11" authorId="1" shapeId="0" xr:uid="{D7D61930-D324-4DC4-92B4-F58DE68399F6}">
      <text>
        <r>
          <rPr>
            <b/>
            <sz val="9"/>
            <color indexed="81"/>
            <rFont val="Tahoma"/>
            <family val="2"/>
          </rPr>
          <t>jarmylly:</t>
        </r>
        <r>
          <rPr>
            <sz val="9"/>
            <color indexed="81"/>
            <rFont val="Tahoma"/>
            <family val="2"/>
          </rPr>
          <t xml:space="preserve">
Reserved for customer own data.</t>
        </r>
      </text>
    </comment>
    <comment ref="X11" authorId="1" shapeId="0" xr:uid="{9EF234F1-7B80-4A1F-BEC4-8889B572CA30}">
      <text>
        <r>
          <rPr>
            <b/>
            <sz val="9"/>
            <color indexed="81"/>
            <rFont val="Tahoma"/>
            <family val="2"/>
          </rPr>
          <t>jarmylly:</t>
        </r>
        <r>
          <rPr>
            <sz val="9"/>
            <color indexed="81"/>
            <rFont val="Tahoma"/>
            <family val="2"/>
          </rPr>
          <t xml:space="preserve">
Contains one disk:
- NFS_backup: 230400MB</t>
        </r>
      </text>
    </comment>
    <comment ref="AB18" authorId="3" shapeId="0" xr:uid="{25E144BC-636B-4CF3-8458-BB118D229BBF}">
      <text>
        <r>
          <rPr>
            <b/>
            <sz val="9"/>
            <color indexed="81"/>
            <rFont val="Tahoma"/>
            <family val="2"/>
          </rPr>
          <t>Thippeswamy, Suresh (Nokia - IN/Bangalore):</t>
        </r>
        <r>
          <rPr>
            <sz val="9"/>
            <color indexed="81"/>
            <rFont val="Tahoma"/>
            <family val="2"/>
          </rPr>
          <t xml:space="preserve">
Contains 1 disk:
adm_disk1: 51200MB</t>
        </r>
      </text>
    </comment>
    <comment ref="AD20" authorId="3" shapeId="0" xr:uid="{60DA131F-216A-41C8-BFEA-3B433378BD4D}">
      <text>
        <r>
          <rPr>
            <b/>
            <sz val="9"/>
            <color indexed="81"/>
            <rFont val="Tahoma"/>
            <family val="2"/>
          </rPr>
          <t>Thippeswamy, Suresh (Nokia - IN/Bangalore):</t>
        </r>
        <r>
          <rPr>
            <sz val="9"/>
            <color indexed="81"/>
            <rFont val="Tahoma"/>
            <family val="2"/>
          </rPr>
          <t xml:space="preserve">
Contains one disk:
isdk_disk1 : 66560MB</t>
        </r>
      </text>
    </comment>
    <comment ref="I24" authorId="1" shapeId="0" xr:uid="{F2B1DDCE-19B7-41B0-BFDA-F038F5747220}">
      <text>
        <r>
          <rPr>
            <b/>
            <sz val="9"/>
            <color indexed="81"/>
            <rFont val="Tahoma"/>
            <family val="2"/>
          </rPr>
          <t>jarmylly:</t>
        </r>
        <r>
          <rPr>
            <sz val="9"/>
            <color indexed="81"/>
            <rFont val="Tahoma"/>
            <family val="2"/>
          </rPr>
          <t xml:space="preserve">
Contains two disks:
- Disk-1: 60GB
- Disk-2: 40GB</t>
        </r>
      </text>
    </comment>
    <comment ref="I25" authorId="1" shapeId="0" xr:uid="{8024922A-2120-4FB3-BDBF-DB586BF81DE4}">
      <text>
        <r>
          <rPr>
            <b/>
            <sz val="9"/>
            <color indexed="81"/>
            <rFont val="Tahoma"/>
            <family val="2"/>
          </rPr>
          <t>jarmylly:</t>
        </r>
        <r>
          <rPr>
            <sz val="9"/>
            <color indexed="81"/>
            <rFont val="Tahoma"/>
            <family val="2"/>
          </rPr>
          <t xml:space="preserve">
Contains two disks:
- Disk-1: 60GB
(NOTE: For servers intended for more than 10 concurrent users the recommended size for disk C is Disk-1 size + RAM size.)
- Disk-2: 40GB</t>
        </r>
      </text>
    </comment>
    <comment ref="I26" authorId="1" shapeId="0" xr:uid="{20F1B9E6-018A-4336-BD89-E0BFF8B05D6F}">
      <text>
        <r>
          <rPr>
            <b/>
            <sz val="9"/>
            <color indexed="81"/>
            <rFont val="Tahoma"/>
            <family val="2"/>
          </rPr>
          <t>jarmylly:</t>
        </r>
        <r>
          <rPr>
            <sz val="9"/>
            <color indexed="81"/>
            <rFont val="Tahoma"/>
            <family val="2"/>
          </rPr>
          <t xml:space="preserve">
Contains two disks:
- Disk-1: 80GB
(NOTE: For servers intended for more than 10 concurrent users the recommended size for disk C is Disk-1 size + RAM size.)
- Disk-2: 40GB</t>
        </r>
      </text>
    </comment>
    <comment ref="Z27" authorId="1" shapeId="0" xr:uid="{359BD5BD-BE09-46C1-98D8-F7915770BDE7}">
      <text>
        <r>
          <rPr>
            <b/>
            <sz val="9"/>
            <color indexed="81"/>
            <rFont val="Tahoma"/>
            <family val="2"/>
          </rPr>
          <t>jarmylly:</t>
        </r>
        <r>
          <rPr>
            <sz val="9"/>
            <color indexed="81"/>
            <rFont val="Tahoma"/>
            <family val="2"/>
          </rPr>
          <t xml:space="preserve">
Contains one disk:
- vm66_REP_disk: 46080MB
</t>
        </r>
      </text>
    </comment>
    <comment ref="AA27" authorId="4" shapeId="0" xr:uid="{E73EBBDA-0993-4EB0-9FCF-FF907D2BA613}">
      <text>
        <r>
          <rPr>
            <b/>
            <sz val="9"/>
            <color indexed="81"/>
            <rFont val="Calibri"/>
            <family val="2"/>
          </rPr>
          <t>Jari Myllymaa:</t>
        </r>
        <r>
          <rPr>
            <sz val="9"/>
            <color indexed="81"/>
            <rFont val="Calibri"/>
            <family val="2"/>
          </rPr>
          <t xml:space="preserve">
PMDatastore can extend 50GB</t>
        </r>
      </text>
    </comment>
    <comment ref="Z28" authorId="1" shapeId="0" xr:uid="{4CDD45B5-AE14-45F6-8CC8-1C7C034D5BDC}">
      <text>
        <r>
          <rPr>
            <b/>
            <sz val="9"/>
            <color indexed="81"/>
            <rFont val="Tahoma"/>
            <family val="2"/>
          </rPr>
          <t>jarmylly:</t>
        </r>
        <r>
          <rPr>
            <sz val="9"/>
            <color indexed="81"/>
            <rFont val="Tahoma"/>
            <family val="2"/>
          </rPr>
          <t xml:space="preserve">
Contains one disk:
- vm66_REP_disk: 46080MB</t>
        </r>
      </text>
    </comment>
    <comment ref="AF31" authorId="0" shapeId="0" xr:uid="{29F27CF1-80FB-4A15-B165-9EE07FC38C38}">
      <text>
        <r>
          <rPr>
            <b/>
            <sz val="9"/>
            <color indexed="81"/>
            <rFont val="Tahoma"/>
            <charset val="1"/>
          </rPr>
          <t>Avuthu, Charan (EXT - IN/Bangalore):</t>
        </r>
        <r>
          <rPr>
            <sz val="9"/>
            <color indexed="81"/>
            <rFont val="Tahoma"/>
            <charset val="1"/>
          </rPr>
          <t xml:space="preserve">
Contains one disk:
- ccr_disk1: 153600MB</t>
        </r>
      </text>
    </comment>
    <comment ref="R35" authorId="0" shapeId="0" xr:uid="{8036C2C2-A7E9-4907-985E-4F291191280E}">
      <text>
        <r>
          <rPr>
            <b/>
            <sz val="9"/>
            <color indexed="81"/>
            <rFont val="Tahoma"/>
            <charset val="1"/>
          </rPr>
          <t>Avuthu, Charan (EXT - IN/Bangalore):</t>
        </r>
        <r>
          <rPr>
            <sz val="9"/>
            <color indexed="81"/>
            <rFont val="Tahoma"/>
            <charset val="1"/>
          </rPr>
          <t xml:space="preserve">
Increase for NFSGlobal disk on VM#5 by 120GB
- NFS global (For LCM as optional service on Compute1): 404480 MB</t>
        </r>
      </text>
    </comment>
    <comment ref="X35" authorId="0" shapeId="0" xr:uid="{51132AE7-CC89-429D-A6DE-BFFBC024B698}">
      <text>
        <r>
          <rPr>
            <b/>
            <sz val="9"/>
            <color indexed="81"/>
            <rFont val="Tahoma"/>
            <family val="2"/>
          </rPr>
          <t>Avuthu, Charan (EXT - IN/Bangalore):</t>
        </r>
        <r>
          <rPr>
            <sz val="9"/>
            <color indexed="81"/>
            <rFont val="Tahoma"/>
            <family val="2"/>
          </rPr>
          <t xml:space="preserve">
Contains one disk:
- backup_disk1: 204800MB
Increase for NFSBackup disk on VM#5 by 120GB
- NFS_backup (If LCM chosen as optional service on Compute1): 353280 MB</t>
        </r>
      </text>
    </comment>
    <comment ref="I40" authorId="3" shapeId="0" xr:uid="{4CFF8C49-724F-4152-8E3D-827A71AB7702}">
      <text>
        <r>
          <rPr>
            <b/>
            <sz val="9"/>
            <color indexed="81"/>
            <rFont val="Tahoma"/>
            <family val="2"/>
          </rPr>
          <t>Thippeswamy, Suresh (Nokia - IN/Bangalore):</t>
        </r>
        <r>
          <rPr>
            <sz val="9"/>
            <color indexed="81"/>
            <rFont val="Tahoma"/>
            <family val="2"/>
          </rPr>
          <t xml:space="preserve">
NetAct20 scratch and on top upgrade, the required disk size is 70GB
On long upgrade environment(Having NetAct19 or older in upgrade history), since /var partition requires 40GB from NetAct20 onwards, so additional 25GB disk space is automtically added and attached to /var partition. With this the total disks consumption will be 95GB 
On long upgrade environments(NetAct20 or older), from N23R3 onwards, additional 12GB would be extended and attached to SWAP partition. With this, the total disk consumption will be 107GB.</t>
        </r>
      </text>
    </comment>
    <comment ref="I41" authorId="1" shapeId="0" xr:uid="{3EB4B20F-554C-4FD4-B5E0-72DA8DAC43C9}">
      <text>
        <r>
          <rPr>
            <b/>
            <sz val="9"/>
            <color indexed="81"/>
            <rFont val="Tahoma"/>
            <family val="2"/>
          </rPr>
          <t>jarmylly:</t>
        </r>
        <r>
          <rPr>
            <sz val="9"/>
            <color indexed="81"/>
            <rFont val="Tahoma"/>
            <family val="2"/>
          </rPr>
          <t xml:space="preserve">
Contains two disks:
- Disk-1: 60GB
- Disk-2: 40GB</t>
        </r>
      </text>
    </comment>
    <comment ref="I42" authorId="1" shapeId="0" xr:uid="{35D2AEDD-E96C-432E-A57F-4D2D89FA0A93}">
      <text>
        <r>
          <rPr>
            <b/>
            <sz val="9"/>
            <color indexed="81"/>
            <rFont val="Tahoma"/>
            <family val="2"/>
          </rPr>
          <t>jarmylly:</t>
        </r>
        <r>
          <rPr>
            <sz val="9"/>
            <color indexed="81"/>
            <rFont val="Tahoma"/>
            <family val="2"/>
          </rPr>
          <t xml:space="preserve">
Contains two disks:
- Disk-1: 60GB
(NOTE: For servers intended for more than 10 concurrent users the recommended size for disk C is Disk-1 size + RAM size.)
- Disk-2: 40GB</t>
        </r>
      </text>
    </comment>
    <comment ref="I43" authorId="1" shapeId="0" xr:uid="{2692C189-DFD5-454A-9424-1258A705D02E}">
      <text>
        <r>
          <rPr>
            <b/>
            <sz val="9"/>
            <color indexed="81"/>
            <rFont val="Tahoma"/>
            <family val="2"/>
          </rPr>
          <t>jarmylly:</t>
        </r>
        <r>
          <rPr>
            <sz val="9"/>
            <color indexed="81"/>
            <rFont val="Tahoma"/>
            <family val="2"/>
          </rPr>
          <t xml:space="preserve">
Contains two disks:
- Disk-1: 60GB
(NOTE: For servers intended for more than 10 concurrent users the recommended size for disk C is Disk-1 size + RAM size.)
- Disk-2: 40GB</t>
        </r>
      </text>
    </comment>
    <comment ref="I44" authorId="1" shapeId="0" xr:uid="{C3E2A021-DEB2-4FB5-B1A2-59BEB226623E}">
      <text>
        <r>
          <rPr>
            <b/>
            <sz val="9"/>
            <color indexed="81"/>
            <rFont val="Tahoma"/>
            <family val="2"/>
          </rPr>
          <t>jarmylly:</t>
        </r>
        <r>
          <rPr>
            <sz val="9"/>
            <color indexed="81"/>
            <rFont val="Tahoma"/>
            <family val="2"/>
          </rPr>
          <t xml:space="preserve">
Contains two disks:
- Disk-1: 80GB
(NOTE: For servers intended for more than 10 concurrent users the recommended size for disk C is Disk-1 size + RAM size.)
- Disk-2: 40GB</t>
        </r>
      </text>
    </comment>
    <comment ref="I50" authorId="1" shapeId="0" xr:uid="{B018937B-475D-4711-908D-A2CB27936932}">
      <text>
        <r>
          <rPr>
            <b/>
            <sz val="9"/>
            <color indexed="81"/>
            <rFont val="Tahoma"/>
            <family val="2"/>
          </rPr>
          <t>jarmylly:</t>
        </r>
        <r>
          <rPr>
            <sz val="9"/>
            <color indexed="81"/>
            <rFont val="Tahoma"/>
            <family val="2"/>
          </rPr>
          <t xml:space="preserve">
Contains two disks:
- Disk-1: 30GB
- Disk-2: 80GB</t>
        </r>
      </text>
    </comment>
    <comment ref="I55" authorId="3" shapeId="0" xr:uid="{D689015B-E7E2-4A32-AE95-9C81BB5ED2EF}">
      <text>
        <r>
          <rPr>
            <b/>
            <sz val="9"/>
            <color indexed="81"/>
            <rFont val="Tahoma"/>
            <family val="2"/>
          </rPr>
          <t>Thippeswamy, Suresh (Nokia - IN/Bangalore):</t>
        </r>
        <r>
          <rPr>
            <sz val="9"/>
            <color indexed="81"/>
            <rFont val="Tahoma"/>
            <family val="2"/>
          </rPr>
          <t xml:space="preserve">
OS disk: 50GB
Data Disk:2048GB</t>
        </r>
      </text>
    </comment>
    <comment ref="E67" authorId="1" shapeId="0" xr:uid="{DD7A5B59-E696-4DEE-8347-2FB43A4ECE0F}">
      <text>
        <r>
          <rPr>
            <b/>
            <sz val="9"/>
            <color indexed="81"/>
            <rFont val="Tahoma"/>
            <family val="2"/>
          </rPr>
          <t>jarmylly:</t>
        </r>
        <r>
          <rPr>
            <sz val="9"/>
            <color indexed="81"/>
            <rFont val="Tahoma"/>
            <family val="2"/>
          </rPr>
          <t xml:space="preserve">
- SBTS Adapter and BTSMED should not co-locate in same cluster i.e. SBTS Adapter and BTSMED VM usage together is not possible.
In case NetAct virtual cluster contains only G8 servers, there can be only one BTSMED VM.</t>
        </r>
      </text>
    </comment>
    <comment ref="E68" authorId="1" shapeId="0" xr:uid="{3B68DFDC-E141-4518-BBBD-6BA8A3B2FEC1}">
      <text>
        <r>
          <rPr>
            <b/>
            <sz val="9"/>
            <color indexed="81"/>
            <rFont val="Tahoma"/>
            <family val="2"/>
          </rPr>
          <t>jarmylly:</t>
        </r>
        <r>
          <rPr>
            <sz val="9"/>
            <color indexed="81"/>
            <rFont val="Tahoma"/>
            <family val="2"/>
          </rPr>
          <t xml:space="preserve">
- SBTS Adapter and BTSMED should not co-locate in same cluster i.e. SBTS Adapter and BTSMED VM usage together is not possible.
In case NetAct virtual cluster contains only G8 servers, there can be only one BTSMED VM.</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Avuthu, Charan (EXT - IN/Bangalore)</author>
    <author>jarmylly</author>
    <author>Rastogi, Alok (Nokia - IN/Bangalore)</author>
    <author>Goyal, Mayank (Nokia - IN/Bangalore)</author>
    <author>Thippeswamy, Suresh (Nokia - IN/Bangalore)</author>
  </authors>
  <commentList>
    <comment ref="I7" authorId="0" shapeId="0" xr:uid="{2154CA2A-48B4-470D-9204-59BD06806A07}">
      <text>
        <r>
          <rPr>
            <b/>
            <sz val="9"/>
            <color indexed="81"/>
            <rFont val="Tahoma"/>
            <charset val="1"/>
          </rPr>
          <t>Avuthu, Charan (EXT - IN/Bangalore):</t>
        </r>
        <r>
          <rPr>
            <sz val="9"/>
            <color indexed="81"/>
            <rFont val="Tahoma"/>
            <charset val="1"/>
          </rPr>
          <t xml:space="preserve">
Instance OS Level SWAP size, will derive from the flavor</t>
        </r>
      </text>
    </comment>
    <comment ref="K7" authorId="1" shapeId="0" xr:uid="{182488FB-EA85-4EA4-91FF-CE192518D764}">
      <text>
        <r>
          <rPr>
            <b/>
            <sz val="9"/>
            <color indexed="81"/>
            <rFont val="Tahoma"/>
            <family val="2"/>
          </rPr>
          <t>jarmylly:</t>
        </r>
        <r>
          <rPr>
            <sz val="9"/>
            <color indexed="81"/>
            <rFont val="Tahoma"/>
            <family val="2"/>
          </rPr>
          <t xml:space="preserve">
Only if Airframe Hardware used</t>
        </r>
      </text>
    </comment>
    <comment ref="O7" authorId="1" shapeId="0" xr:uid="{94FEB738-6B1B-4596-BA91-E3A07C03E58A}">
      <text>
        <r>
          <rPr>
            <b/>
            <sz val="9"/>
            <color indexed="81"/>
            <rFont val="Tahoma"/>
            <family val="2"/>
          </rPr>
          <t>jarmylly:</t>
        </r>
        <r>
          <rPr>
            <sz val="9"/>
            <color indexed="81"/>
            <rFont val="Tahoma"/>
            <family val="2"/>
          </rPr>
          <t xml:space="preserve">
Only if Airframe Hardware used</t>
        </r>
      </text>
    </comment>
    <comment ref="S7" authorId="1" shapeId="0" xr:uid="{B8C434D1-7595-4BFC-8FF8-5EE9F6EBEEE6}">
      <text>
        <r>
          <rPr>
            <b/>
            <sz val="9"/>
            <color indexed="81"/>
            <rFont val="Tahoma"/>
            <family val="2"/>
          </rPr>
          <t>jarmylly:</t>
        </r>
        <r>
          <rPr>
            <sz val="9"/>
            <color indexed="81"/>
            <rFont val="Tahoma"/>
            <family val="2"/>
          </rPr>
          <t xml:space="preserve">
Only if Airframe Hardware used</t>
        </r>
      </text>
    </comment>
    <comment ref="W7" authorId="1" shapeId="0" xr:uid="{5DEC72D4-D18F-4575-A630-224D6A8026F1}">
      <text>
        <r>
          <rPr>
            <b/>
            <sz val="9"/>
            <color indexed="81"/>
            <rFont val="Tahoma"/>
            <family val="2"/>
          </rPr>
          <t>jarmylly:</t>
        </r>
        <r>
          <rPr>
            <sz val="9"/>
            <color indexed="81"/>
            <rFont val="Tahoma"/>
            <family val="2"/>
          </rPr>
          <t xml:space="preserve">
Only if Airframe Hardware used</t>
        </r>
      </text>
    </comment>
    <comment ref="AA7" authorId="1" shapeId="0" xr:uid="{9DF2C223-5528-428B-83E8-143210CCDA73}">
      <text>
        <r>
          <rPr>
            <b/>
            <sz val="9"/>
            <color indexed="81"/>
            <rFont val="Tahoma"/>
            <family val="2"/>
          </rPr>
          <t>jarmylly:</t>
        </r>
        <r>
          <rPr>
            <sz val="9"/>
            <color indexed="81"/>
            <rFont val="Tahoma"/>
            <family val="2"/>
          </rPr>
          <t xml:space="preserve">
Only if Airframe Hardware used</t>
        </r>
      </text>
    </comment>
    <comment ref="AE7" authorId="1" shapeId="0" xr:uid="{E6D30B84-253F-4742-9C80-08F52C5D2CC6}">
      <text>
        <r>
          <rPr>
            <b/>
            <sz val="9"/>
            <color indexed="81"/>
            <rFont val="Tahoma"/>
            <family val="2"/>
          </rPr>
          <t>jarmylly:</t>
        </r>
        <r>
          <rPr>
            <sz val="9"/>
            <color indexed="81"/>
            <rFont val="Tahoma"/>
            <family val="2"/>
          </rPr>
          <t xml:space="preserve">
Only if Airframe Hardware used</t>
        </r>
      </text>
    </comment>
    <comment ref="AI7" authorId="1" shapeId="0" xr:uid="{C7D2CD37-46F5-48A1-A9A5-36E434CDC6DB}">
      <text>
        <r>
          <rPr>
            <b/>
            <sz val="9"/>
            <color indexed="81"/>
            <rFont val="Tahoma"/>
            <family val="2"/>
          </rPr>
          <t>jarmylly:</t>
        </r>
        <r>
          <rPr>
            <sz val="9"/>
            <color indexed="81"/>
            <rFont val="Tahoma"/>
            <family val="2"/>
          </rPr>
          <t xml:space="preserve">
Only if Airframe Hardware used</t>
        </r>
      </text>
    </comment>
    <comment ref="AM7" authorId="1" shapeId="0" xr:uid="{E48EA471-4236-4166-9877-E7626EBF8CE2}">
      <text>
        <r>
          <rPr>
            <b/>
            <sz val="9"/>
            <color indexed="81"/>
            <rFont val="Tahoma"/>
            <family val="2"/>
          </rPr>
          <t>jarmylly:</t>
        </r>
        <r>
          <rPr>
            <sz val="9"/>
            <color indexed="81"/>
            <rFont val="Tahoma"/>
            <family val="2"/>
          </rPr>
          <t xml:space="preserve">
Only if Airframe Hardware used</t>
        </r>
      </text>
    </comment>
    <comment ref="AQ7" authorId="1" shapeId="0" xr:uid="{4947BE60-15AE-4848-BBFF-191BCCB49EA5}">
      <text>
        <r>
          <rPr>
            <b/>
            <sz val="9"/>
            <color indexed="81"/>
            <rFont val="Tahoma"/>
            <family val="2"/>
          </rPr>
          <t>jarmylly:</t>
        </r>
        <r>
          <rPr>
            <sz val="9"/>
            <color indexed="81"/>
            <rFont val="Tahoma"/>
            <family val="2"/>
          </rPr>
          <t xml:space="preserve">
Only if Airframe Hardware used</t>
        </r>
      </text>
    </comment>
    <comment ref="AU7" authorId="1" shapeId="0" xr:uid="{9DB36DBB-17A3-4FF0-B6F7-AEBEA87F62B6}">
      <text>
        <r>
          <rPr>
            <b/>
            <sz val="9"/>
            <color indexed="81"/>
            <rFont val="Tahoma"/>
            <family val="2"/>
          </rPr>
          <t>jarmylly:</t>
        </r>
        <r>
          <rPr>
            <sz val="9"/>
            <color indexed="81"/>
            <rFont val="Tahoma"/>
            <family val="2"/>
          </rPr>
          <t xml:space="preserve">
Only if Airframe Hardware used</t>
        </r>
      </text>
    </comment>
    <comment ref="AY7" authorId="1" shapeId="0" xr:uid="{B0BF2924-6743-46B5-8794-811DFF3E280F}">
      <text>
        <r>
          <rPr>
            <b/>
            <sz val="9"/>
            <color indexed="81"/>
            <rFont val="Tahoma"/>
            <family val="2"/>
          </rPr>
          <t>jarmylly:</t>
        </r>
        <r>
          <rPr>
            <sz val="9"/>
            <color indexed="81"/>
            <rFont val="Tahoma"/>
            <family val="2"/>
          </rPr>
          <t xml:space="preserve">
Only if Airframe Hardware used</t>
        </r>
      </text>
    </comment>
    <comment ref="BC7" authorId="1" shapeId="0" xr:uid="{E0FACF07-E83D-4F37-9A1C-93C34E19CCC7}">
      <text>
        <r>
          <rPr>
            <b/>
            <sz val="9"/>
            <color indexed="81"/>
            <rFont val="Tahoma"/>
            <family val="2"/>
          </rPr>
          <t>jarmylly:</t>
        </r>
        <r>
          <rPr>
            <sz val="9"/>
            <color indexed="81"/>
            <rFont val="Tahoma"/>
            <family val="2"/>
          </rPr>
          <t xml:space="preserve">
Only if Airframe Hardware used</t>
        </r>
      </text>
    </comment>
    <comment ref="L8" authorId="1" shapeId="0" xr:uid="{DE558F70-9026-45EE-91E8-E9772301D281}">
      <text>
        <r>
          <rPr>
            <b/>
            <sz val="9"/>
            <color indexed="81"/>
            <rFont val="Tahoma"/>
            <family val="2"/>
          </rPr>
          <t>jarmylly:</t>
        </r>
        <r>
          <rPr>
            <sz val="9"/>
            <color indexed="81"/>
            <rFont val="Tahoma"/>
            <family val="2"/>
          </rPr>
          <t xml:space="preserve">
Images name: rhel7_insteng</t>
        </r>
      </text>
    </comment>
    <comment ref="L9" authorId="1" shapeId="0" xr:uid="{7F227B0B-4A31-4C29-A443-5A09460647A8}">
      <text>
        <r>
          <rPr>
            <b/>
            <sz val="9"/>
            <color indexed="81"/>
            <rFont val="Tahoma"/>
            <family val="2"/>
          </rPr>
          <t>jarmylly:</t>
        </r>
        <r>
          <rPr>
            <sz val="9"/>
            <color indexed="81"/>
            <rFont val="Tahoma"/>
            <family val="2"/>
          </rPr>
          <t xml:space="preserve">
Image name: administration_server</t>
        </r>
      </text>
    </comment>
    <comment ref="L10" authorId="1" shapeId="0" xr:uid="{246FB31E-A647-4152-B714-BD3E03BB410E}">
      <text>
        <r>
          <rPr>
            <b/>
            <sz val="9"/>
            <color indexed="81"/>
            <rFont val="Tahoma"/>
            <family val="2"/>
          </rPr>
          <t>jarmylly:</t>
        </r>
        <r>
          <rPr>
            <sz val="9"/>
            <color indexed="81"/>
            <rFont val="Tahoma"/>
            <family val="2"/>
          </rPr>
          <t xml:space="preserve">
Image name: netact_rhel_base</t>
        </r>
      </text>
    </comment>
    <comment ref="L11" authorId="1" shapeId="0" xr:uid="{7E031B8A-6A40-4194-9ED8-820D9AB4F04E}">
      <text>
        <r>
          <rPr>
            <b/>
            <sz val="9"/>
            <color indexed="81"/>
            <rFont val="Tahoma"/>
            <family val="2"/>
          </rPr>
          <t>jarmylly:</t>
        </r>
        <r>
          <rPr>
            <sz val="9"/>
            <color indexed="81"/>
            <rFont val="Tahoma"/>
            <family val="2"/>
          </rPr>
          <t xml:space="preserve">
Image name: netact_rhel_base</t>
        </r>
      </text>
    </comment>
    <comment ref="P11" authorId="1" shapeId="0" xr:uid="{3CD60C43-30B1-4A28-8C73-7812A4846050}">
      <text>
        <r>
          <rPr>
            <b/>
            <sz val="9"/>
            <color indexed="81"/>
            <rFont val="Tahoma"/>
            <family val="2"/>
          </rPr>
          <t>jarmylly:</t>
        </r>
        <r>
          <rPr>
            <sz val="9"/>
            <color indexed="81"/>
            <rFont val="Tahoma"/>
            <family val="2"/>
          </rPr>
          <t xml:space="preserve">
Image name: vgredo</t>
        </r>
      </text>
    </comment>
    <comment ref="T11" authorId="1" shapeId="0" xr:uid="{71D3A6BF-21AF-4630-9DD2-BB3E7F06F760}">
      <text>
        <r>
          <rPr>
            <b/>
            <sz val="9"/>
            <color indexed="81"/>
            <rFont val="Tahoma"/>
            <family val="2"/>
          </rPr>
          <t>jarmylly:</t>
        </r>
        <r>
          <rPr>
            <sz val="9"/>
            <color indexed="81"/>
            <rFont val="Tahoma"/>
            <family val="2"/>
          </rPr>
          <t xml:space="preserve">
Image name: vgdb</t>
        </r>
      </text>
    </comment>
    <comment ref="X11" authorId="1" shapeId="0" xr:uid="{F3ECA679-347E-4199-85E8-0E841D2DCAA0}">
      <text>
        <r>
          <rPr>
            <b/>
            <sz val="9"/>
            <color indexed="81"/>
            <rFont val="Tahoma"/>
            <family val="2"/>
          </rPr>
          <t>jarmylly:</t>
        </r>
        <r>
          <rPr>
            <sz val="9"/>
            <color indexed="81"/>
            <rFont val="Tahoma"/>
            <family val="2"/>
          </rPr>
          <t xml:space="preserve">
Image name: vgarc</t>
        </r>
      </text>
    </comment>
    <comment ref="BD11" authorId="2" shapeId="0" xr:uid="{F5528F9B-7253-492B-AA82-2D0BAB3CCF47}">
      <text>
        <r>
          <rPr>
            <b/>
            <sz val="9"/>
            <color indexed="81"/>
            <rFont val="Tahoma"/>
            <family val="2"/>
          </rPr>
          <t xml:space="preserve"> Alok :name
</t>
        </r>
        <r>
          <rPr>
            <sz val="9"/>
            <color indexed="81"/>
            <rFont val="Tahoma"/>
            <family val="2"/>
          </rPr>
          <t>vgdbfb</t>
        </r>
      </text>
    </comment>
    <comment ref="BE11" authorId="3" shapeId="0" xr:uid="{E4BD9CA2-5F50-4601-AE82-B5EE0F7FE29E}">
      <text>
        <r>
          <rPr>
            <b/>
            <sz val="9"/>
            <color indexed="81"/>
            <rFont val="Tahoma"/>
            <family val="2"/>
          </rPr>
          <t>Goyal, Mayank (Nokia - IN/Bangalore):</t>
        </r>
        <r>
          <rPr>
            <sz val="9"/>
            <color indexed="81"/>
            <rFont val="Tahoma"/>
            <family val="2"/>
          </rPr>
          <t xml:space="preserve">
with FB enable 6 else 5</t>
        </r>
      </text>
    </comment>
    <comment ref="L12" authorId="1" shapeId="0" xr:uid="{C3B078C4-0039-46AF-9311-EA17332ABB86}">
      <text>
        <r>
          <rPr>
            <b/>
            <sz val="9"/>
            <color indexed="81"/>
            <rFont val="Tahoma"/>
            <family val="2"/>
          </rPr>
          <t>jarmylly:</t>
        </r>
        <r>
          <rPr>
            <sz val="9"/>
            <color indexed="81"/>
            <rFont val="Tahoma"/>
            <family val="2"/>
          </rPr>
          <t xml:space="preserve">
Image name: netact_rhel_base</t>
        </r>
      </text>
    </comment>
    <comment ref="Y12" authorId="2" shapeId="0" xr:uid="{8993C5F5-1589-4AFF-87DA-68657EBDFDFA}">
      <text>
        <r>
          <rPr>
            <b/>
            <sz val="9"/>
            <color indexed="81"/>
            <rFont val="Tahoma"/>
            <family val="2"/>
          </rPr>
          <t>Rastogi, Alok (Nokia - IN/Bangalore):</t>
        </r>
        <r>
          <rPr>
            <sz val="9"/>
            <color indexed="81"/>
            <rFont val="Tahoma"/>
            <family val="2"/>
          </rPr>
          <t xml:space="preserve">
Contains three disks:
NFS Global: 281600 MB
NFS Home :12288 MB
NFS WAS dump: 25600 MB</t>
        </r>
      </text>
    </comment>
    <comment ref="AB12" authorId="1" shapeId="0" xr:uid="{301ED238-99E8-46EF-A82B-3D9E9496A875}">
      <text>
        <r>
          <rPr>
            <b/>
            <sz val="9"/>
            <color indexed="81"/>
            <rFont val="Tahoma"/>
            <family val="2"/>
          </rPr>
          <t>jarmylly:</t>
        </r>
        <r>
          <rPr>
            <sz val="9"/>
            <color indexed="81"/>
            <rFont val="Tahoma"/>
            <family val="2"/>
          </rPr>
          <t xml:space="preserve">
Image names:
- vgglobal
- vghome</t>
        </r>
      </text>
    </comment>
    <comment ref="AC12" authorId="1" shapeId="0" xr:uid="{176DE8BB-2813-43E5-9C18-76F2E240D5D4}">
      <text>
        <r>
          <rPr>
            <b/>
            <sz val="9"/>
            <color indexed="81"/>
            <rFont val="Tahoma"/>
            <family val="2"/>
          </rPr>
          <t>jarmylly:</t>
        </r>
        <r>
          <rPr>
            <sz val="9"/>
            <color indexed="81"/>
            <rFont val="Tahoma"/>
            <family val="2"/>
          </rPr>
          <t xml:space="preserve">
Reserved for customer own data.</t>
        </r>
      </text>
    </comment>
    <comment ref="AG12" authorId="0" shapeId="0" xr:uid="{9C8BBC9B-7F5D-4D92-8572-2CE42EBCB9FE}">
      <text>
        <r>
          <rPr>
            <b/>
            <sz val="9"/>
            <color indexed="81"/>
            <rFont val="Tahoma"/>
            <charset val="1"/>
          </rPr>
          <t>Avuthu, Charan (EXT - IN/Bangalore):</t>
        </r>
        <r>
          <rPr>
            <sz val="9"/>
            <color indexed="81"/>
            <rFont val="Tahoma"/>
            <charset val="1"/>
          </rPr>
          <t xml:space="preserve">
525GB,If LCM chosen as optional service on Compute1</t>
        </r>
      </text>
    </comment>
    <comment ref="L13" authorId="1" shapeId="0" xr:uid="{7DC21895-7A4A-4664-933C-74DFBDE179EC}">
      <text>
        <r>
          <rPr>
            <b/>
            <sz val="9"/>
            <color indexed="81"/>
            <rFont val="Tahoma"/>
            <family val="2"/>
          </rPr>
          <t>jarmylly:</t>
        </r>
        <r>
          <rPr>
            <sz val="9"/>
            <color indexed="81"/>
            <rFont val="Tahoma"/>
            <family val="2"/>
          </rPr>
          <t xml:space="preserve">
Image name: netact_rhel_base</t>
        </r>
      </text>
    </comment>
    <comment ref="L14" authorId="1" shapeId="0" xr:uid="{A9774653-DF59-4240-9F7D-B75924FAC2B4}">
      <text>
        <r>
          <rPr>
            <b/>
            <sz val="9"/>
            <color indexed="81"/>
            <rFont val="Tahoma"/>
            <family val="2"/>
          </rPr>
          <t>jarmylly:</t>
        </r>
        <r>
          <rPr>
            <sz val="9"/>
            <color indexed="81"/>
            <rFont val="Tahoma"/>
            <family val="2"/>
          </rPr>
          <t xml:space="preserve">
Image name: netact_rhel_base</t>
        </r>
      </text>
    </comment>
    <comment ref="L15" authorId="1" shapeId="0" xr:uid="{CD69299D-0683-4BE5-AE7E-F90037388600}">
      <text>
        <r>
          <rPr>
            <b/>
            <sz val="9"/>
            <color indexed="81"/>
            <rFont val="Tahoma"/>
            <family val="2"/>
          </rPr>
          <t>jarmylly:</t>
        </r>
        <r>
          <rPr>
            <sz val="9"/>
            <color indexed="81"/>
            <rFont val="Tahoma"/>
            <family val="2"/>
          </rPr>
          <t xml:space="preserve">
Image name: netact_rhel_base</t>
        </r>
      </text>
    </comment>
    <comment ref="L16" authorId="1" shapeId="0" xr:uid="{90EE6868-8BA9-4C6A-BDDB-3A0F119F3499}">
      <text>
        <r>
          <rPr>
            <b/>
            <sz val="9"/>
            <color indexed="81"/>
            <rFont val="Tahoma"/>
            <family val="2"/>
          </rPr>
          <t>jarmylly:</t>
        </r>
        <r>
          <rPr>
            <sz val="9"/>
            <color indexed="81"/>
            <rFont val="Tahoma"/>
            <family val="2"/>
          </rPr>
          <t xml:space="preserve">
Image name: netact_rhel_base</t>
        </r>
      </text>
    </comment>
    <comment ref="L17" authorId="1" shapeId="0" xr:uid="{F762EBE9-514A-4C87-AE73-76080CC5B1FB}">
      <text>
        <r>
          <rPr>
            <b/>
            <sz val="9"/>
            <color indexed="81"/>
            <rFont val="Tahoma"/>
            <family val="2"/>
          </rPr>
          <t>jarmylly:</t>
        </r>
        <r>
          <rPr>
            <sz val="9"/>
            <color indexed="81"/>
            <rFont val="Tahoma"/>
            <family val="2"/>
          </rPr>
          <t xml:space="preserve">
Image name: netact_rhel_base</t>
        </r>
      </text>
    </comment>
    <comment ref="L18" authorId="1" shapeId="0" xr:uid="{2143C8F9-327C-4985-AACB-259A437F071B}">
      <text>
        <r>
          <rPr>
            <b/>
            <sz val="9"/>
            <color indexed="81"/>
            <rFont val="Tahoma"/>
            <family val="2"/>
          </rPr>
          <t>jarmylly:</t>
        </r>
        <r>
          <rPr>
            <sz val="9"/>
            <color indexed="81"/>
            <rFont val="Tahoma"/>
            <family val="2"/>
          </rPr>
          <t xml:space="preserve">
Image name: netact_rhel_base</t>
        </r>
      </text>
    </comment>
    <comment ref="L19" authorId="1" shapeId="0" xr:uid="{EA399AE2-A4BB-47EB-B4D9-392DF34DBF88}">
      <text>
        <r>
          <rPr>
            <b/>
            <sz val="9"/>
            <color indexed="81"/>
            <rFont val="Tahoma"/>
            <family val="2"/>
          </rPr>
          <t>jarmylly:</t>
        </r>
        <r>
          <rPr>
            <sz val="9"/>
            <color indexed="81"/>
            <rFont val="Tahoma"/>
            <family val="2"/>
          </rPr>
          <t xml:space="preserve">
Image name: netact_rhel_base</t>
        </r>
      </text>
    </comment>
    <comment ref="AR19" authorId="2" shapeId="0" xr:uid="{11C13C31-8E4D-4EEB-82B8-F14A2E7EC1DE}">
      <text>
        <r>
          <rPr>
            <b/>
            <sz val="9"/>
            <color indexed="81"/>
            <rFont val="Tahoma"/>
            <family val="2"/>
          </rPr>
          <t xml:space="preserve"> Alok :name
</t>
        </r>
        <r>
          <rPr>
            <sz val="9"/>
            <color indexed="81"/>
            <rFont val="Tahoma"/>
            <family val="2"/>
          </rPr>
          <t>vgadm</t>
        </r>
      </text>
    </comment>
    <comment ref="L20" authorId="1" shapeId="0" xr:uid="{BCA10E5E-5687-4205-AC51-56111EA968FE}">
      <text>
        <r>
          <rPr>
            <b/>
            <sz val="9"/>
            <color indexed="81"/>
            <rFont val="Tahoma"/>
            <family val="2"/>
          </rPr>
          <t>jarmylly:</t>
        </r>
        <r>
          <rPr>
            <sz val="9"/>
            <color indexed="81"/>
            <rFont val="Tahoma"/>
            <family val="2"/>
          </rPr>
          <t xml:space="preserve">
Image name: netact_rhel_base</t>
        </r>
      </text>
    </comment>
    <comment ref="L21" authorId="1" shapeId="0" xr:uid="{F36A1037-3C0E-43C8-9415-ABDB5620E13F}">
      <text>
        <r>
          <rPr>
            <b/>
            <sz val="9"/>
            <color indexed="81"/>
            <rFont val="Tahoma"/>
            <family val="2"/>
          </rPr>
          <t>jarmylly:</t>
        </r>
        <r>
          <rPr>
            <sz val="9"/>
            <color indexed="81"/>
            <rFont val="Tahoma"/>
            <family val="2"/>
          </rPr>
          <t xml:space="preserve">
Image name: netact_rhel_base</t>
        </r>
      </text>
    </comment>
    <comment ref="AV21" authorId="4" shapeId="0" xr:uid="{88DF5F8D-2314-472D-ABF5-094702789FCB}">
      <text>
        <r>
          <rPr>
            <b/>
            <sz val="9"/>
            <color indexed="81"/>
            <rFont val="Tahoma"/>
            <family val="2"/>
          </rPr>
          <t>Thippeswamy, Suresh (Nokia - IN/Bangalore):</t>
        </r>
        <r>
          <rPr>
            <sz val="9"/>
            <color indexed="81"/>
            <rFont val="Tahoma"/>
            <family val="2"/>
          </rPr>
          <t xml:space="preserve">
Image Name:vgisdk</t>
        </r>
      </text>
    </comment>
    <comment ref="BE21" authorId="4" shapeId="0" xr:uid="{E1E9FFBF-2FD5-4C92-B9B7-6F1A44CB5B43}">
      <text>
        <r>
          <rPr>
            <b/>
            <sz val="9"/>
            <color indexed="81"/>
            <rFont val="Tahoma"/>
            <family val="2"/>
          </rPr>
          <t>Thippeswamy, Suresh (Nokia - IN/Bangalore):</t>
        </r>
        <r>
          <rPr>
            <sz val="9"/>
            <color indexed="81"/>
            <rFont val="Tahoma"/>
            <family val="2"/>
          </rPr>
          <t xml:space="preserve">
CRSR-227: Changed to 3 from 2</t>
        </r>
      </text>
    </comment>
    <comment ref="L22" authorId="1" shapeId="0" xr:uid="{8B9D4F18-3786-4A41-95AA-73646E05BD3C}">
      <text>
        <r>
          <rPr>
            <b/>
            <sz val="9"/>
            <color indexed="81"/>
            <rFont val="Tahoma"/>
            <family val="2"/>
          </rPr>
          <t>jarmylly:</t>
        </r>
        <r>
          <rPr>
            <sz val="9"/>
            <color indexed="81"/>
            <rFont val="Tahoma"/>
            <family val="2"/>
          </rPr>
          <t xml:space="preserve">
Image name: netact_rhel_base</t>
        </r>
      </text>
    </comment>
    <comment ref="L23" authorId="1" shapeId="0" xr:uid="{F096F427-B8BA-484D-89DB-FCF451D63746}">
      <text>
        <r>
          <rPr>
            <b/>
            <sz val="9"/>
            <color indexed="81"/>
            <rFont val="Tahoma"/>
            <family val="2"/>
          </rPr>
          <t>jarmylly:</t>
        </r>
        <r>
          <rPr>
            <sz val="9"/>
            <color indexed="81"/>
            <rFont val="Tahoma"/>
            <family val="2"/>
          </rPr>
          <t xml:space="preserve">
Image name: netact_rhel_base</t>
        </r>
      </text>
    </comment>
    <comment ref="L24" authorId="1" shapeId="0" xr:uid="{44611C21-21C2-4226-A1C8-CF6848855C0E}">
      <text>
        <r>
          <rPr>
            <b/>
            <sz val="9"/>
            <color indexed="81"/>
            <rFont val="Tahoma"/>
            <family val="2"/>
          </rPr>
          <t>jarmylly:</t>
        </r>
        <r>
          <rPr>
            <sz val="9"/>
            <color indexed="81"/>
            <rFont val="Tahoma"/>
            <family val="2"/>
          </rPr>
          <t xml:space="preserve">
Image name: netact_rhel_base</t>
        </r>
      </text>
    </comment>
    <comment ref="H25" authorId="1" shapeId="0" xr:uid="{9C34C678-7DC4-4D16-AF2F-28F64DA8544A}">
      <text>
        <r>
          <rPr>
            <b/>
            <sz val="9"/>
            <color indexed="81"/>
            <rFont val="Tahoma"/>
            <family val="2"/>
          </rPr>
          <t>jarmylly:</t>
        </r>
        <r>
          <rPr>
            <sz val="9"/>
            <color indexed="81"/>
            <rFont val="Tahoma"/>
            <family val="2"/>
          </rPr>
          <t xml:space="preserve">
Contains two disks:
- Disk-1: 60GB
- Disk-2: 40GB</t>
        </r>
      </text>
    </comment>
    <comment ref="L25" authorId="1" shapeId="0" xr:uid="{AFB49F06-93F7-496E-BBDA-0390CB4CEF4D}">
      <text>
        <r>
          <rPr>
            <b/>
            <sz val="9"/>
            <color indexed="81"/>
            <rFont val="Tahoma"/>
            <family val="2"/>
          </rPr>
          <t>jarmylly:</t>
        </r>
        <r>
          <rPr>
            <sz val="9"/>
            <color indexed="81"/>
            <rFont val="Tahoma"/>
            <family val="2"/>
          </rPr>
          <t xml:space="preserve">
Image name: 
- NMS_DC_disk1
- NMS_DC_disk2</t>
        </r>
      </text>
    </comment>
    <comment ref="H26" authorId="1" shapeId="0" xr:uid="{F3B34E88-92ED-441F-A767-B9A29BF55973}">
      <text>
        <r>
          <rPr>
            <b/>
            <sz val="9"/>
            <color indexed="81"/>
            <rFont val="Tahoma"/>
            <family val="2"/>
          </rPr>
          <t>jarmylly:</t>
        </r>
        <r>
          <rPr>
            <sz val="9"/>
            <color indexed="81"/>
            <rFont val="Tahoma"/>
            <family val="2"/>
          </rPr>
          <t xml:space="preserve">
Contains two disks:
- Disk-1: 60GB
(NOTE: For servers intended for more than 10 concurrent users the recommended size for disk C is Disk-1 size + RAM size.)
- Disk-2: 40GB</t>
        </r>
      </text>
    </comment>
    <comment ref="L26" authorId="1" shapeId="0" xr:uid="{9DE9DE7A-B91A-4734-9964-E475961AFB00}">
      <text>
        <r>
          <rPr>
            <b/>
            <sz val="9"/>
            <color indexed="81"/>
            <rFont val="Tahoma"/>
            <family val="2"/>
          </rPr>
          <t>jarmylly:</t>
        </r>
        <r>
          <rPr>
            <sz val="9"/>
            <color indexed="81"/>
            <rFont val="Tahoma"/>
            <family val="2"/>
          </rPr>
          <t xml:space="preserve">
Image name:
- NMS_VDA_disk1
- NMS_VDA_disk2</t>
        </r>
      </text>
    </comment>
    <comment ref="H27" authorId="1" shapeId="0" xr:uid="{3A855115-9ABB-404E-8F7F-536827C4B26B}">
      <text>
        <r>
          <rPr>
            <b/>
            <sz val="9"/>
            <color indexed="81"/>
            <rFont val="Tahoma"/>
            <family val="2"/>
          </rPr>
          <t>jarmylly:</t>
        </r>
        <r>
          <rPr>
            <sz val="9"/>
            <color indexed="81"/>
            <rFont val="Tahoma"/>
            <family val="2"/>
          </rPr>
          <t xml:space="preserve">
Contains two disks:
- Disk-1: 80GB
(NOTE: For servers intended for more than 10 concurrent users the recommended size for disk C is Disk-1 size + RAM size.)
- Disk-2: 40GB</t>
        </r>
      </text>
    </comment>
    <comment ref="L27" authorId="1" shapeId="0" xr:uid="{7FB3777E-123A-470D-A9B8-9B5221535BE5}">
      <text>
        <r>
          <rPr>
            <b/>
            <sz val="9"/>
            <color indexed="81"/>
            <rFont val="Tahoma"/>
            <family val="2"/>
          </rPr>
          <t>jarmylly:</t>
        </r>
        <r>
          <rPr>
            <sz val="9"/>
            <color indexed="81"/>
            <rFont val="Tahoma"/>
            <family val="2"/>
          </rPr>
          <t xml:space="preserve">
Image name:
- NMS_CTXDC_disk1
- NMS_CTXDC_disk2</t>
        </r>
      </text>
    </comment>
    <comment ref="L28" authorId="1" shapeId="0" xr:uid="{9FB4940E-9D15-4057-A56A-2A340B931DF5}">
      <text>
        <r>
          <rPr>
            <b/>
            <sz val="9"/>
            <color indexed="81"/>
            <rFont val="Tahoma"/>
            <family val="2"/>
          </rPr>
          <t>jarmylly:</t>
        </r>
        <r>
          <rPr>
            <sz val="9"/>
            <color indexed="81"/>
            <rFont val="Tahoma"/>
            <family val="2"/>
          </rPr>
          <t xml:space="preserve">
Image name: netact_rhel_base</t>
        </r>
      </text>
    </comment>
    <comment ref="AN28" authorId="1" shapeId="0" xr:uid="{18960190-527E-468A-B6D5-6345C8A7DADE}">
      <text>
        <r>
          <rPr>
            <b/>
            <sz val="9"/>
            <color indexed="81"/>
            <rFont val="Tahoma"/>
            <family val="2"/>
          </rPr>
          <t>jarmylly:</t>
        </r>
        <r>
          <rPr>
            <sz val="9"/>
            <color indexed="81"/>
            <rFont val="Tahoma"/>
            <family val="2"/>
          </rPr>
          <t xml:space="preserve">
Image name: vgrep</t>
        </r>
      </text>
    </comment>
    <comment ref="L29" authorId="1" shapeId="0" xr:uid="{D2E292C5-FD82-45A7-8A76-DD3AD6984DD9}">
      <text>
        <r>
          <rPr>
            <b/>
            <sz val="9"/>
            <color indexed="81"/>
            <rFont val="Tahoma"/>
            <family val="2"/>
          </rPr>
          <t>jarmylly:</t>
        </r>
        <r>
          <rPr>
            <sz val="9"/>
            <color indexed="81"/>
            <rFont val="Tahoma"/>
            <family val="2"/>
          </rPr>
          <t xml:space="preserve">
Image name: netact_rhel_base</t>
        </r>
      </text>
    </comment>
    <comment ref="AN29" authorId="1" shapeId="0" xr:uid="{B1D53F3F-0FDE-4E62-B027-4F24F5166DE4}">
      <text>
        <r>
          <rPr>
            <b/>
            <sz val="9"/>
            <color indexed="81"/>
            <rFont val="Tahoma"/>
            <family val="2"/>
          </rPr>
          <t>jarmylly:</t>
        </r>
        <r>
          <rPr>
            <sz val="9"/>
            <color indexed="81"/>
            <rFont val="Tahoma"/>
            <family val="2"/>
          </rPr>
          <t xml:space="preserve">
Image name: vgrep</t>
        </r>
      </text>
    </comment>
    <comment ref="L30" authorId="1" shapeId="0" xr:uid="{3A5CE018-DDF3-489B-87CE-F023C9182A41}">
      <text>
        <r>
          <rPr>
            <b/>
            <sz val="9"/>
            <color indexed="81"/>
            <rFont val="Tahoma"/>
            <family val="2"/>
          </rPr>
          <t>jarmylly:</t>
        </r>
        <r>
          <rPr>
            <sz val="9"/>
            <color indexed="81"/>
            <rFont val="Tahoma"/>
            <family val="2"/>
          </rPr>
          <t xml:space="preserve">
Image name: netact_rhel_base</t>
        </r>
      </text>
    </comment>
    <comment ref="L31" authorId="1" shapeId="0" xr:uid="{5521924E-663A-47C9-9B29-CD06321472C4}">
      <text>
        <r>
          <rPr>
            <b/>
            <sz val="9"/>
            <color indexed="81"/>
            <rFont val="Tahoma"/>
            <family val="2"/>
          </rPr>
          <t>jarmylly:</t>
        </r>
        <r>
          <rPr>
            <sz val="9"/>
            <color indexed="81"/>
            <rFont val="Tahoma"/>
            <family val="2"/>
          </rPr>
          <t xml:space="preserve">
Image name: netact_rhel_base</t>
        </r>
      </text>
    </comment>
    <comment ref="L32" authorId="1" shapeId="0" xr:uid="{2CDB769C-CEAB-459E-BE47-5E75B475BC60}">
      <text>
        <r>
          <rPr>
            <b/>
            <sz val="9"/>
            <color indexed="81"/>
            <rFont val="Tahoma"/>
            <family val="2"/>
          </rPr>
          <t>jarmylly:</t>
        </r>
        <r>
          <rPr>
            <sz val="9"/>
            <color indexed="81"/>
            <rFont val="Tahoma"/>
            <family val="2"/>
          </rPr>
          <t xml:space="preserve">
Image name: netact_rhel_base</t>
        </r>
      </text>
    </comment>
    <comment ref="AZ32" authorId="0" shapeId="0" xr:uid="{DFA2A00B-520E-481A-94A0-1DDA1E4B8288}">
      <text>
        <r>
          <rPr>
            <b/>
            <sz val="9"/>
            <color indexed="81"/>
            <rFont val="Tahoma"/>
            <charset val="1"/>
          </rPr>
          <t>Avuthu, Charan (EXT - IN/Bangalore):</t>
        </r>
        <r>
          <rPr>
            <sz val="9"/>
            <color indexed="81"/>
            <rFont val="Tahoma"/>
            <charset val="1"/>
          </rPr>
          <t xml:space="preserve">
Image Name:vgccr</t>
        </r>
      </text>
    </comment>
    <comment ref="BM33" authorId="1" shapeId="0" xr:uid="{0A88B454-FFFD-450B-BB2E-88FE3F8A15F6}">
      <text>
        <r>
          <rPr>
            <b/>
            <sz val="9"/>
            <color indexed="81"/>
            <rFont val="Tahoma"/>
            <family val="2"/>
          </rPr>
          <t>jarmylly:</t>
        </r>
        <r>
          <rPr>
            <sz val="9"/>
            <color indexed="81"/>
            <rFont val="Tahoma"/>
            <family val="2"/>
          </rPr>
          <t xml:space="preserve">
IPv4: 3
IPv4/IPv6: 5</t>
        </r>
      </text>
    </comment>
    <comment ref="Y36" authorId="0" shapeId="0" xr:uid="{099E741F-8D8B-4D91-A0C4-C345C5242347}">
      <text>
        <r>
          <rPr>
            <b/>
            <sz val="9"/>
            <color indexed="81"/>
            <rFont val="Tahoma"/>
            <charset val="1"/>
          </rPr>
          <t>Avuthu, Charan (EXT - IN/Bangalore):</t>
        </r>
        <r>
          <rPr>
            <sz val="9"/>
            <color indexed="81"/>
            <rFont val="Tahoma"/>
            <charset val="1"/>
          </rPr>
          <t xml:space="preserve">
Increase for NFSGlobal disk on VM#5 by 120GB
- NFS global (For LCM as optional service on Compute1): 404480 MB</t>
        </r>
      </text>
    </comment>
    <comment ref="AG36" authorId="0" shapeId="0" xr:uid="{EA6F6065-CC7B-4E9A-807F-204859A5BD89}">
      <text>
        <r>
          <rPr>
            <b/>
            <sz val="9"/>
            <color indexed="81"/>
            <rFont val="Tahoma"/>
            <charset val="1"/>
          </rPr>
          <t>Avuthu, Charan (EXT - IN/Bangalore):</t>
        </r>
        <r>
          <rPr>
            <sz val="9"/>
            <color indexed="81"/>
            <rFont val="Tahoma"/>
            <charset val="1"/>
          </rPr>
          <t xml:space="preserve">
-Increase by additional 320GB, If LCM+CCR chosen as optional service on Compute1
(200GB increase for backup_disk on VM#150, 120GB increase on Backup disk on VM#5)</t>
        </r>
      </text>
    </comment>
    <comment ref="BM37" authorId="1" shapeId="0" xr:uid="{9D9F3624-EB26-493E-867C-D64D37ACA35D}">
      <text>
        <r>
          <rPr>
            <b/>
            <sz val="9"/>
            <color indexed="81"/>
            <rFont val="Tahoma"/>
            <family val="2"/>
          </rPr>
          <t>jarmylly:</t>
        </r>
        <r>
          <rPr>
            <sz val="9"/>
            <color indexed="81"/>
            <rFont val="Tahoma"/>
            <family val="2"/>
          </rPr>
          <t xml:space="preserve">
IPv4: 3
IPv4/IPv6: 5</t>
        </r>
      </text>
    </comment>
    <comment ref="L41" authorId="1" shapeId="0" xr:uid="{C437C0AB-8710-4152-BEA6-CC046E99FFA1}">
      <text>
        <r>
          <rPr>
            <b/>
            <sz val="9"/>
            <color indexed="81"/>
            <rFont val="Tahoma"/>
            <family val="2"/>
          </rPr>
          <t>jarmylly:</t>
        </r>
        <r>
          <rPr>
            <sz val="9"/>
            <color indexed="81"/>
            <rFont val="Tahoma"/>
            <family val="2"/>
          </rPr>
          <t xml:space="preserve">
Image name: netact_rhel_base</t>
        </r>
      </text>
    </comment>
    <comment ref="H42" authorId="1" shapeId="0" xr:uid="{AF42C340-90CD-4C50-B066-C8445BCD5E5C}">
      <text>
        <r>
          <rPr>
            <b/>
            <sz val="9"/>
            <color indexed="81"/>
            <rFont val="Tahoma"/>
            <family val="2"/>
          </rPr>
          <t>jarmylly:</t>
        </r>
        <r>
          <rPr>
            <sz val="9"/>
            <color indexed="81"/>
            <rFont val="Tahoma"/>
            <family val="2"/>
          </rPr>
          <t xml:space="preserve">
Contains two disks:
- Disk-1: 60GB
- Disk-2: 40GB</t>
        </r>
      </text>
    </comment>
    <comment ref="L42" authorId="1" shapeId="0" xr:uid="{8167A3E1-FB84-4A90-B8A7-DE4AE1CB971A}">
      <text>
        <r>
          <rPr>
            <b/>
            <sz val="9"/>
            <color indexed="81"/>
            <rFont val="Tahoma"/>
            <family val="2"/>
          </rPr>
          <t>jarmylly:</t>
        </r>
        <r>
          <rPr>
            <sz val="9"/>
            <color indexed="81"/>
            <rFont val="Tahoma"/>
            <family val="2"/>
          </rPr>
          <t xml:space="preserve">
Image name: 
- NMS_DC_disk1
- NMS_DC_disk2</t>
        </r>
      </text>
    </comment>
    <comment ref="H43" authorId="1" shapeId="0" xr:uid="{1908FE7C-07C7-47DF-9A39-8467E108699A}">
      <text>
        <r>
          <rPr>
            <b/>
            <sz val="9"/>
            <color indexed="81"/>
            <rFont val="Tahoma"/>
            <family val="2"/>
          </rPr>
          <t>jarmylly:</t>
        </r>
        <r>
          <rPr>
            <sz val="9"/>
            <color indexed="81"/>
            <rFont val="Tahoma"/>
            <family val="2"/>
          </rPr>
          <t xml:space="preserve">
Contains two disks:
- Disk-1: 60GB
(NOTE: For servers intended for more than 10 concurrent users the recommended size for disk C is Disk-1 size + RAM size.)
- Disk-2: 40GB</t>
        </r>
      </text>
    </comment>
    <comment ref="L43" authorId="1" shapeId="0" xr:uid="{9E290390-C334-4E20-B40B-77E193782B0A}">
      <text>
        <r>
          <rPr>
            <b/>
            <sz val="9"/>
            <color indexed="81"/>
            <rFont val="Tahoma"/>
            <family val="2"/>
          </rPr>
          <t>jarmylly:</t>
        </r>
        <r>
          <rPr>
            <sz val="9"/>
            <color indexed="81"/>
            <rFont val="Tahoma"/>
            <family val="2"/>
          </rPr>
          <t xml:space="preserve">
Image name:
- NMS_VDA_disk1
- NMS_VDA_disk2</t>
        </r>
      </text>
    </comment>
    <comment ref="H44" authorId="1" shapeId="0" xr:uid="{3D7D505D-8FE4-421B-9B28-A5ACE4D6E267}">
      <text>
        <r>
          <rPr>
            <b/>
            <sz val="9"/>
            <color indexed="81"/>
            <rFont val="Tahoma"/>
            <family val="2"/>
          </rPr>
          <t>jarmylly:</t>
        </r>
        <r>
          <rPr>
            <sz val="9"/>
            <color indexed="81"/>
            <rFont val="Tahoma"/>
            <family val="2"/>
          </rPr>
          <t xml:space="preserve">
Contains two disks:
- Disk-1: 60GB
(NOTE: For servers intended for more than 10 concurrent users the recommended size for disk C is Disk-1 size + RAM size.)
- Disk-2: 40GB</t>
        </r>
      </text>
    </comment>
    <comment ref="L44" authorId="1" shapeId="0" xr:uid="{800173EB-537D-4DBC-A8E8-8ED971DC1326}">
      <text>
        <r>
          <rPr>
            <b/>
            <sz val="9"/>
            <color indexed="81"/>
            <rFont val="Tahoma"/>
            <family val="2"/>
          </rPr>
          <t>jarmylly:</t>
        </r>
        <r>
          <rPr>
            <sz val="9"/>
            <color indexed="81"/>
            <rFont val="Tahoma"/>
            <family val="2"/>
          </rPr>
          <t xml:space="preserve">
Image name:
- NMS_VDA_disk1
- NMS_VDA_disk2</t>
        </r>
      </text>
    </comment>
    <comment ref="H45" authorId="1" shapeId="0" xr:uid="{C0FCE5DE-6231-440E-B8B7-869D05E5733F}">
      <text>
        <r>
          <rPr>
            <b/>
            <sz val="9"/>
            <color indexed="81"/>
            <rFont val="Tahoma"/>
            <family val="2"/>
          </rPr>
          <t>jarmylly:</t>
        </r>
        <r>
          <rPr>
            <sz val="9"/>
            <color indexed="81"/>
            <rFont val="Tahoma"/>
            <family val="2"/>
          </rPr>
          <t xml:space="preserve">
Contains two disks:
- Disk-1: 80GB
(NOTE: For servers intended for more than 10 concurrent users the recommended size for disk C is Disk-1 size + RAM size.)
- Disk-2: 40GB</t>
        </r>
      </text>
    </comment>
    <comment ref="L45" authorId="1" shapeId="0" xr:uid="{90C66500-4C31-4917-9583-D64D2E4E7AE5}">
      <text>
        <r>
          <rPr>
            <b/>
            <sz val="9"/>
            <color indexed="81"/>
            <rFont val="Tahoma"/>
            <family val="2"/>
          </rPr>
          <t>jarmylly:</t>
        </r>
        <r>
          <rPr>
            <sz val="9"/>
            <color indexed="81"/>
            <rFont val="Tahoma"/>
            <family val="2"/>
          </rPr>
          <t xml:space="preserve">
Image name:
- NMS_CTXDC_disk1
- NMS_CTXDC_disk2</t>
        </r>
      </text>
    </comment>
    <comment ref="L46" authorId="1" shapeId="0" xr:uid="{91804FE0-FAD7-4706-B0E1-3FDE6FB44BC4}">
      <text>
        <r>
          <rPr>
            <b/>
            <sz val="9"/>
            <color indexed="81"/>
            <rFont val="Tahoma"/>
            <family val="2"/>
          </rPr>
          <t>jarmylly:</t>
        </r>
        <r>
          <rPr>
            <sz val="9"/>
            <color indexed="81"/>
            <rFont val="Tahoma"/>
            <family val="2"/>
          </rPr>
          <t xml:space="preserve">
Image name: netact_rhel_base</t>
        </r>
      </text>
    </comment>
    <comment ref="L47" authorId="1" shapeId="0" xr:uid="{FE48A453-6DB8-4F2B-8511-B9353EB7E5B8}">
      <text>
        <r>
          <rPr>
            <b/>
            <sz val="9"/>
            <color indexed="81"/>
            <rFont val="Tahoma"/>
            <family val="2"/>
          </rPr>
          <t>jarmylly:</t>
        </r>
        <r>
          <rPr>
            <sz val="9"/>
            <color indexed="81"/>
            <rFont val="Tahoma"/>
            <family val="2"/>
          </rPr>
          <t xml:space="preserve">
Image name: netact_rhel_base</t>
        </r>
      </text>
    </comment>
    <comment ref="L48" authorId="1" shapeId="0" xr:uid="{640C442C-9BEB-4EA7-B6CA-1FF65C1F8D07}">
      <text>
        <r>
          <rPr>
            <b/>
            <sz val="9"/>
            <color indexed="81"/>
            <rFont val="Tahoma"/>
            <family val="2"/>
          </rPr>
          <t>jarmylly:</t>
        </r>
        <r>
          <rPr>
            <sz val="9"/>
            <color indexed="81"/>
            <rFont val="Tahoma"/>
            <family val="2"/>
          </rPr>
          <t xml:space="preserve">
Image name: netact_rhel_base</t>
        </r>
      </text>
    </comment>
    <comment ref="L49" authorId="1" shapeId="0" xr:uid="{050F7C0C-368B-4673-9860-64B69027EC53}">
      <text>
        <r>
          <rPr>
            <b/>
            <sz val="9"/>
            <color indexed="81"/>
            <rFont val="Tahoma"/>
            <family val="2"/>
          </rPr>
          <t>jarmylly:</t>
        </r>
        <r>
          <rPr>
            <sz val="9"/>
            <color indexed="81"/>
            <rFont val="Tahoma"/>
            <family val="2"/>
          </rPr>
          <t xml:space="preserve">
Image name: netact_rhel_base</t>
        </r>
      </text>
    </comment>
    <comment ref="L50" authorId="1" shapeId="0" xr:uid="{41E2AED7-380F-407D-8CE5-ABD2E5399069}">
      <text>
        <r>
          <rPr>
            <b/>
            <sz val="9"/>
            <color indexed="81"/>
            <rFont val="Tahoma"/>
            <family val="2"/>
          </rPr>
          <t>jarmylly:</t>
        </r>
        <r>
          <rPr>
            <sz val="9"/>
            <color indexed="81"/>
            <rFont val="Tahoma"/>
            <family val="2"/>
          </rPr>
          <t xml:space="preserve">
Image name: netact_rhel_base</t>
        </r>
      </text>
    </comment>
    <comment ref="H51" authorId="1" shapeId="0" xr:uid="{30D688FA-A0D1-4BF8-A5FF-8B6E724AA31C}">
      <text>
        <r>
          <rPr>
            <b/>
            <sz val="9"/>
            <color indexed="81"/>
            <rFont val="Tahoma"/>
            <family val="2"/>
          </rPr>
          <t>jarmylly:</t>
        </r>
        <r>
          <rPr>
            <sz val="9"/>
            <color indexed="81"/>
            <rFont val="Tahoma"/>
            <family val="2"/>
          </rPr>
          <t xml:space="preserve">
Contains two disks:
- Disk-1: 30,720GB
- Disk-2: 81,920GB</t>
        </r>
      </text>
    </comment>
    <comment ref="L51" authorId="1" shapeId="0" xr:uid="{1D689BF8-337C-4124-BB0E-B39D2B6DC73B}">
      <text>
        <r>
          <rPr>
            <b/>
            <sz val="9"/>
            <color indexed="81"/>
            <rFont val="Tahoma"/>
            <family val="2"/>
          </rPr>
          <t>jarmylly:</t>
        </r>
        <r>
          <rPr>
            <sz val="9"/>
            <color indexed="81"/>
            <rFont val="Tahoma"/>
            <family val="2"/>
          </rPr>
          <t xml:space="preserve">
Image name: netact_rhel_base</t>
        </r>
      </text>
    </comment>
    <comment ref="L52" authorId="1" shapeId="0" xr:uid="{240B3811-0C7A-4956-915C-B4E1B3AC23A6}">
      <text>
        <r>
          <rPr>
            <b/>
            <sz val="9"/>
            <color indexed="81"/>
            <rFont val="Tahoma"/>
            <family val="2"/>
          </rPr>
          <t>jarmylly:</t>
        </r>
        <r>
          <rPr>
            <sz val="9"/>
            <color indexed="81"/>
            <rFont val="Tahoma"/>
            <family val="2"/>
          </rPr>
          <t xml:space="preserve">
Image name: netact_rhel_base</t>
        </r>
      </text>
    </comment>
    <comment ref="L53" authorId="1" shapeId="0" xr:uid="{4614A177-1030-4573-AF0D-270DAF5B1867}">
      <text>
        <r>
          <rPr>
            <b/>
            <sz val="9"/>
            <color indexed="81"/>
            <rFont val="Tahoma"/>
            <family val="2"/>
          </rPr>
          <t>jarmylly:</t>
        </r>
        <r>
          <rPr>
            <sz val="9"/>
            <color indexed="81"/>
            <rFont val="Tahoma"/>
            <family val="2"/>
          </rPr>
          <t xml:space="preserve">
Image name: netact_rhel_base</t>
        </r>
      </text>
    </comment>
    <comment ref="L54" authorId="1" shapeId="0" xr:uid="{7408997F-DC26-4B5E-A3BD-5E647FC1D55F}">
      <text>
        <r>
          <rPr>
            <b/>
            <sz val="9"/>
            <color indexed="81"/>
            <rFont val="Tahoma"/>
            <family val="2"/>
          </rPr>
          <t>jarmylly:</t>
        </r>
        <r>
          <rPr>
            <sz val="9"/>
            <color indexed="81"/>
            <rFont val="Tahoma"/>
            <family val="2"/>
          </rPr>
          <t xml:space="preserve">
Image name: netact_rhel_base</t>
        </r>
      </text>
    </comment>
    <comment ref="L55" authorId="1" shapeId="0" xr:uid="{6944B2ED-F1C2-4584-9BA0-F65979F89C0B}">
      <text>
        <r>
          <rPr>
            <b/>
            <sz val="9"/>
            <color indexed="81"/>
            <rFont val="Tahoma"/>
            <family val="2"/>
          </rPr>
          <t>jarmylly:</t>
        </r>
        <r>
          <rPr>
            <sz val="9"/>
            <color indexed="81"/>
            <rFont val="Tahoma"/>
            <family val="2"/>
          </rPr>
          <t xml:space="preserve">
Image name: netact_rhel_base</t>
        </r>
      </text>
    </comment>
    <comment ref="L56" authorId="0" shapeId="0" xr:uid="{2C31FC29-60B6-4593-AE15-D4B0623B3529}">
      <text>
        <r>
          <rPr>
            <b/>
            <sz val="9"/>
            <color indexed="81"/>
            <rFont val="Tahoma"/>
            <charset val="1"/>
          </rPr>
          <t>Avuthu, Charan (EXT - IN/Bangalore):</t>
        </r>
        <r>
          <rPr>
            <sz val="9"/>
            <color indexed="81"/>
            <rFont val="Tahoma"/>
            <charset val="1"/>
          </rPr>
          <t xml:space="preserve">
Image name: netact_rhel_base</t>
        </r>
      </text>
    </comment>
    <comment ref="BM57" authorId="1" shapeId="0" xr:uid="{B75882B0-B174-4E17-822F-8922F4D71303}">
      <text>
        <r>
          <rPr>
            <b/>
            <sz val="9"/>
            <color indexed="81"/>
            <rFont val="Tahoma"/>
            <family val="2"/>
          </rPr>
          <t>jarmylly:</t>
        </r>
        <r>
          <rPr>
            <sz val="9"/>
            <color indexed="81"/>
            <rFont val="Tahoma"/>
            <family val="2"/>
          </rPr>
          <t xml:space="preserve">
IPv4: 3
IPv4/IPv6: 5</t>
        </r>
      </text>
    </comment>
    <comment ref="L61" authorId="1" shapeId="0" xr:uid="{2B9BBB61-3529-42AA-9BA6-8671D2A9A330}">
      <text>
        <r>
          <rPr>
            <b/>
            <sz val="9"/>
            <color indexed="81"/>
            <rFont val="Tahoma"/>
            <family val="2"/>
          </rPr>
          <t>jarmylly:</t>
        </r>
        <r>
          <rPr>
            <sz val="9"/>
            <color indexed="81"/>
            <rFont val="Tahoma"/>
            <family val="2"/>
          </rPr>
          <t xml:space="preserve">
Image name: netact_rhel_base</t>
        </r>
      </text>
    </comment>
    <comment ref="L62" authorId="1" shapeId="0" xr:uid="{0DBE908C-CC9E-4B4D-88AD-B0F346F29ADB}">
      <text>
        <r>
          <rPr>
            <b/>
            <sz val="9"/>
            <color indexed="81"/>
            <rFont val="Tahoma"/>
            <family val="2"/>
          </rPr>
          <t>jarmylly:</t>
        </r>
        <r>
          <rPr>
            <sz val="9"/>
            <color indexed="81"/>
            <rFont val="Tahoma"/>
            <family val="2"/>
          </rPr>
          <t xml:space="preserve">
Image name: netact_rhel_base</t>
        </r>
      </text>
    </comment>
    <comment ref="L63" authorId="1" shapeId="0" xr:uid="{A56F7C66-F9B5-4D22-8DD9-39F4D9EC57F1}">
      <text>
        <r>
          <rPr>
            <b/>
            <sz val="9"/>
            <color indexed="81"/>
            <rFont val="Tahoma"/>
            <family val="2"/>
          </rPr>
          <t>jarmylly:</t>
        </r>
        <r>
          <rPr>
            <sz val="9"/>
            <color indexed="81"/>
            <rFont val="Tahoma"/>
            <family val="2"/>
          </rPr>
          <t xml:space="preserve">
Image name: netact_rhel_base</t>
        </r>
      </text>
    </comment>
    <comment ref="L64" authorId="1" shapeId="0" xr:uid="{33D59BD7-9077-4A13-9B8B-755C7C167462}">
      <text>
        <r>
          <rPr>
            <b/>
            <sz val="9"/>
            <color indexed="81"/>
            <rFont val="Tahoma"/>
            <family val="2"/>
          </rPr>
          <t>jarmylly:</t>
        </r>
        <r>
          <rPr>
            <sz val="9"/>
            <color indexed="81"/>
            <rFont val="Tahoma"/>
            <family val="2"/>
          </rPr>
          <t xml:space="preserve">
Image name: netact_rhel_base</t>
        </r>
      </text>
    </comment>
    <comment ref="L65" authorId="1" shapeId="0" xr:uid="{185E3065-B272-4393-9C85-FC9074048C77}">
      <text>
        <r>
          <rPr>
            <b/>
            <sz val="9"/>
            <color indexed="81"/>
            <rFont val="Tahoma"/>
            <family val="2"/>
          </rPr>
          <t>jarmylly:</t>
        </r>
        <r>
          <rPr>
            <sz val="9"/>
            <color indexed="81"/>
            <rFont val="Tahoma"/>
            <family val="2"/>
          </rPr>
          <t xml:space="preserve">
Image name: netact_rhel_base</t>
        </r>
      </text>
    </comment>
    <comment ref="L66" authorId="1" shapeId="0" xr:uid="{3A15FE81-A625-4015-B807-68C1226A20F3}">
      <text>
        <r>
          <rPr>
            <b/>
            <sz val="9"/>
            <color indexed="81"/>
            <rFont val="Tahoma"/>
            <family val="2"/>
          </rPr>
          <t>jarmylly:</t>
        </r>
        <r>
          <rPr>
            <sz val="9"/>
            <color indexed="81"/>
            <rFont val="Tahoma"/>
            <family val="2"/>
          </rPr>
          <t xml:space="preserve">
Image name: netact_rhel_base</t>
        </r>
      </text>
    </comment>
    <comment ref="BM67" authorId="1" shapeId="0" xr:uid="{B4A10F99-DBE9-4940-9829-9CDD7B001FE3}">
      <text>
        <r>
          <rPr>
            <b/>
            <sz val="9"/>
            <color indexed="81"/>
            <rFont val="Tahoma"/>
            <family val="2"/>
          </rPr>
          <t>jarmylly:</t>
        </r>
        <r>
          <rPr>
            <sz val="9"/>
            <color indexed="81"/>
            <rFont val="Tahoma"/>
            <family val="2"/>
          </rPr>
          <t xml:space="preserve">
IPv4: 3
IPv4/IPv6: 5</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Avuthu, Charan (EXT - IN/Bangalore)</author>
    <author>jarmylly</author>
    <author>Goyal, Mayank (Nokia - IN/Bangalore)</author>
    <author>Thippeswamy, Suresh (Nokia - IN/Bangalore)</author>
    <author>Jari Myllymaa</author>
  </authors>
  <commentList>
    <comment ref="J7" authorId="0" shapeId="0" xr:uid="{18DF73D9-E4A6-42AA-B44D-9B26CFF1D283}">
      <text>
        <r>
          <rPr>
            <b/>
            <sz val="9"/>
            <color indexed="81"/>
            <rFont val="Tahoma"/>
            <charset val="1"/>
          </rPr>
          <t>Avuthu, Charan (EXT - IN/Bangalore):</t>
        </r>
        <r>
          <rPr>
            <sz val="9"/>
            <color indexed="81"/>
            <rFont val="Tahoma"/>
            <charset val="1"/>
          </rPr>
          <t xml:space="preserve">
Virtual Machine SWAP file size in VMGuestDisk data store, for Virtual Infra operations</t>
        </r>
      </text>
    </comment>
    <comment ref="L10" authorId="1" shapeId="0" xr:uid="{85E79520-3EE0-44E5-8AE4-1DD5A04B6DDD}">
      <text>
        <r>
          <rPr>
            <b/>
            <sz val="9"/>
            <color indexed="81"/>
            <rFont val="Tahoma"/>
            <family val="2"/>
          </rPr>
          <t>jarmylly:</t>
        </r>
        <r>
          <rPr>
            <sz val="9"/>
            <color indexed="81"/>
            <rFont val="Tahoma"/>
            <family val="2"/>
          </rPr>
          <t xml:space="preserve">
Contains one disk:
DB_redo: 60825MB</t>
        </r>
      </text>
    </comment>
    <comment ref="N10" authorId="1" shapeId="0" xr:uid="{F0B3DF87-7DDF-4FFC-B9EF-45CA986EDAA7}">
      <text>
        <r>
          <rPr>
            <b/>
            <sz val="9"/>
            <color indexed="81"/>
            <rFont val="Tahoma"/>
            <family val="2"/>
          </rPr>
          <t>jarmylly:</t>
        </r>
        <r>
          <rPr>
            <sz val="9"/>
            <color indexed="81"/>
            <rFont val="Tahoma"/>
            <family val="2"/>
          </rPr>
          <t xml:space="preserve">
Contains one disk, either: 
- DB_data: 1382400MB
OR
- DB_data: 1900330MB</t>
        </r>
      </text>
    </comment>
    <comment ref="P10" authorId="1" shapeId="0" xr:uid="{635D837A-D8FD-4BC2-97E2-AE6E04B00F6E}">
      <text>
        <r>
          <rPr>
            <b/>
            <sz val="9"/>
            <color indexed="81"/>
            <rFont val="Tahoma"/>
            <family val="2"/>
          </rPr>
          <t>jarmylly:</t>
        </r>
        <r>
          <rPr>
            <sz val="9"/>
            <color indexed="81"/>
            <rFont val="Tahoma"/>
            <family val="2"/>
          </rPr>
          <t xml:space="preserve">
Contains one disk:
DB_arc: 2073600MB</t>
        </r>
      </text>
    </comment>
    <comment ref="X10" authorId="1" shapeId="0" xr:uid="{DEF5CAF2-9F34-43F0-9A33-EF6C7FA60B67}">
      <text>
        <r>
          <rPr>
            <b/>
            <sz val="9"/>
            <color indexed="81"/>
            <rFont val="Tahoma"/>
            <family val="2"/>
          </rPr>
          <t>jarmylly:</t>
        </r>
        <r>
          <rPr>
            <sz val="9"/>
            <color indexed="81"/>
            <rFont val="Tahoma"/>
            <family val="2"/>
          </rPr>
          <t xml:space="preserve">
Contains one disk:
- DB_backup: 6013440MB</t>
        </r>
      </text>
    </comment>
    <comment ref="AH10" authorId="2" shapeId="0" xr:uid="{80B69324-33A9-478E-8229-528B3120E18B}">
      <text>
        <r>
          <rPr>
            <b/>
            <sz val="9"/>
            <color indexed="81"/>
            <rFont val="Tahoma"/>
            <family val="2"/>
          </rPr>
          <t>Goyal, Mayank (Nokia - IN/Bangalore):</t>
        </r>
        <r>
          <rPr>
            <sz val="9"/>
            <color indexed="81"/>
            <rFont val="Tahoma"/>
            <family val="2"/>
          </rPr>
          <t xml:space="preserve">
Contains one disk:
- db-fb_disk : 2097152MB </t>
        </r>
      </text>
    </comment>
    <comment ref="R11" authorId="1" shapeId="0" xr:uid="{658740CC-603D-48F3-91C7-00383D7891F3}">
      <text>
        <r>
          <rPr>
            <b/>
            <sz val="9"/>
            <color indexed="81"/>
            <rFont val="Tahoma"/>
            <family val="2"/>
          </rPr>
          <t>jarmylly:</t>
        </r>
        <r>
          <rPr>
            <sz val="9"/>
            <color indexed="81"/>
            <rFont val="Tahoma"/>
            <family val="2"/>
          </rPr>
          <t xml:space="preserve">
Contains three disks:
- NFS global: 337920 MB
- NFS home: 18432 MB
- NFS WAS dump: 46080 MB</t>
        </r>
      </text>
    </comment>
    <comment ref="T11" authorId="1" shapeId="0" xr:uid="{19A860C8-64D6-4818-8459-92B3E9CC2C27}">
      <text>
        <r>
          <rPr>
            <b/>
            <sz val="9"/>
            <color indexed="81"/>
            <rFont val="Tahoma"/>
            <family val="2"/>
          </rPr>
          <t>jarmylly:</t>
        </r>
        <r>
          <rPr>
            <sz val="9"/>
            <color indexed="81"/>
            <rFont val="Tahoma"/>
            <family val="2"/>
          </rPr>
          <t xml:space="preserve">
Reserved for customer own data.</t>
        </r>
      </text>
    </comment>
    <comment ref="X11" authorId="1" shapeId="0" xr:uid="{766FD342-7ECE-4A69-BAE5-4EB68C6783D0}">
      <text>
        <r>
          <rPr>
            <b/>
            <sz val="9"/>
            <color indexed="81"/>
            <rFont val="Tahoma"/>
            <family val="2"/>
          </rPr>
          <t>jarmylly:</t>
        </r>
        <r>
          <rPr>
            <sz val="9"/>
            <color indexed="81"/>
            <rFont val="Tahoma"/>
            <family val="2"/>
          </rPr>
          <t xml:space="preserve">
Contains one disk:
- NFS_backup: 304128MB</t>
        </r>
      </text>
    </comment>
    <comment ref="AB18" authorId="3" shapeId="0" xr:uid="{7BF5B7F4-C51F-40E3-B10E-61010A5AB8F9}">
      <text>
        <r>
          <rPr>
            <b/>
            <sz val="9"/>
            <color indexed="81"/>
            <rFont val="Tahoma"/>
            <family val="2"/>
          </rPr>
          <t>Thippeswamy, Suresh (Nokia - IN/Bangalore):</t>
        </r>
        <r>
          <rPr>
            <sz val="9"/>
            <color indexed="81"/>
            <rFont val="Tahoma"/>
            <family val="2"/>
          </rPr>
          <t xml:space="preserve">
Contains 1 disk:
adm_disk1: 51200MB</t>
        </r>
      </text>
    </comment>
    <comment ref="AD22" authorId="3" shapeId="0" xr:uid="{61484117-B41E-43F5-8F6F-4FABC0A026EB}">
      <text>
        <r>
          <rPr>
            <b/>
            <sz val="9"/>
            <color indexed="81"/>
            <rFont val="Tahoma"/>
            <family val="2"/>
          </rPr>
          <t>Thippeswamy, Suresh (Nokia - IN/Bangalore):</t>
        </r>
        <r>
          <rPr>
            <sz val="9"/>
            <color indexed="81"/>
            <rFont val="Tahoma"/>
            <family val="2"/>
          </rPr>
          <t xml:space="preserve">
Contains one disk:
isdk_disk1 : 87040MB</t>
        </r>
      </text>
    </comment>
    <comment ref="AD23" authorId="3" shapeId="0" xr:uid="{8A4A6E43-65FC-4B8B-9E60-2E23CEBF2E93}">
      <text>
        <r>
          <rPr>
            <b/>
            <sz val="9"/>
            <color indexed="81"/>
            <rFont val="Tahoma"/>
            <family val="2"/>
          </rPr>
          <t>Thippeswamy, Suresh (Nokia - IN/Bangalore):</t>
        </r>
        <r>
          <rPr>
            <sz val="9"/>
            <color indexed="81"/>
            <rFont val="Tahoma"/>
            <family val="2"/>
          </rPr>
          <t xml:space="preserve">
Contains one disk:
isdk_disk1 : 87040MB</t>
        </r>
      </text>
    </comment>
    <comment ref="I30" authorId="1" shapeId="0" xr:uid="{58BFF225-8098-4E8C-82D0-78D4E642733A}">
      <text>
        <r>
          <rPr>
            <b/>
            <sz val="9"/>
            <color indexed="81"/>
            <rFont val="Tahoma"/>
            <family val="2"/>
          </rPr>
          <t>jarmylly:</t>
        </r>
        <r>
          <rPr>
            <sz val="9"/>
            <color indexed="81"/>
            <rFont val="Tahoma"/>
            <family val="2"/>
          </rPr>
          <t xml:space="preserve">
Contains two disks:
- Disk-1: 60GB
- Disk-2: 40GB</t>
        </r>
      </text>
    </comment>
    <comment ref="I31" authorId="1" shapeId="0" xr:uid="{7BBDA6B8-1556-4703-A0E3-7F0388C6F6F9}">
      <text>
        <r>
          <rPr>
            <b/>
            <sz val="9"/>
            <color indexed="81"/>
            <rFont val="Tahoma"/>
            <family val="2"/>
          </rPr>
          <t>jarmylly:</t>
        </r>
        <r>
          <rPr>
            <sz val="9"/>
            <color indexed="81"/>
            <rFont val="Tahoma"/>
            <family val="2"/>
          </rPr>
          <t xml:space="preserve">
Contains two disks:
- Disk-1: 60GB
(NOTE: For servers intended for more than 10 concurrent users the recommended size for disk C is Disk-1 size + RAM size.)
- Disk-2: 50GB</t>
        </r>
      </text>
    </comment>
    <comment ref="I32" authorId="1" shapeId="0" xr:uid="{90FF312F-4B9B-4971-BFDF-21248791FB60}">
      <text>
        <r>
          <rPr>
            <b/>
            <sz val="9"/>
            <color indexed="81"/>
            <rFont val="Tahoma"/>
            <family val="2"/>
          </rPr>
          <t>jarmylly:</t>
        </r>
        <r>
          <rPr>
            <sz val="9"/>
            <color indexed="81"/>
            <rFont val="Tahoma"/>
            <family val="2"/>
          </rPr>
          <t xml:space="preserve">
Contains two disks:
- Disk-1: 80GB
(NOTE: For servers intended for more than 10 concurrent users the recommended size for disk C is Disk-1 size + RAM size.)
- Disk-2: 40GB</t>
        </r>
      </text>
    </comment>
    <comment ref="Z33" authorId="1" shapeId="0" xr:uid="{67FF0594-2567-4666-B5A1-6C98F7AC9E79}">
      <text>
        <r>
          <rPr>
            <b/>
            <sz val="9"/>
            <color indexed="81"/>
            <rFont val="Tahoma"/>
            <family val="2"/>
          </rPr>
          <t>jarmylly:</t>
        </r>
        <r>
          <rPr>
            <sz val="9"/>
            <color indexed="81"/>
            <rFont val="Tahoma"/>
            <family val="2"/>
          </rPr>
          <t xml:space="preserve">
Contains one disk:
- vm66_REP_disk: 46080MB
</t>
        </r>
      </text>
    </comment>
    <comment ref="AA33" authorId="4" shapeId="0" xr:uid="{33274C8D-867C-49F4-BAA0-416B767880C9}">
      <text>
        <r>
          <rPr>
            <b/>
            <sz val="9"/>
            <color indexed="81"/>
            <rFont val="Calibri"/>
            <family val="2"/>
          </rPr>
          <t>Jari Myllymaa:</t>
        </r>
        <r>
          <rPr>
            <sz val="9"/>
            <color indexed="81"/>
            <rFont val="Calibri"/>
            <family val="2"/>
          </rPr>
          <t xml:space="preserve">
PMDatastore can extend 100GB</t>
        </r>
      </text>
    </comment>
    <comment ref="Z34" authorId="1" shapeId="0" xr:uid="{315165DA-3DA1-42A3-BD76-D84405894843}">
      <text>
        <r>
          <rPr>
            <b/>
            <sz val="9"/>
            <color indexed="81"/>
            <rFont val="Tahoma"/>
            <family val="2"/>
          </rPr>
          <t>jarmylly:</t>
        </r>
        <r>
          <rPr>
            <sz val="9"/>
            <color indexed="81"/>
            <rFont val="Tahoma"/>
            <family val="2"/>
          </rPr>
          <t xml:space="preserve">
Contains one disk:
- vm66_REP_disk: 46080MB
</t>
        </r>
      </text>
    </comment>
    <comment ref="AF37" authorId="0" shapeId="0" xr:uid="{FD43E50B-7881-47A4-B3CF-ACDEA606E3CC}">
      <text>
        <r>
          <rPr>
            <b/>
            <sz val="9"/>
            <color indexed="81"/>
            <rFont val="Tahoma"/>
            <charset val="1"/>
          </rPr>
          <t>Avuthu, Charan (EXT - IN/Bangalore):</t>
        </r>
        <r>
          <rPr>
            <sz val="9"/>
            <color indexed="81"/>
            <rFont val="Tahoma"/>
            <charset val="1"/>
          </rPr>
          <t xml:space="preserve">
Contains one disk:
- ccr_disk1: 153600MB</t>
        </r>
      </text>
    </comment>
    <comment ref="R41" authorId="0" shapeId="0" xr:uid="{C722ADC1-F6F8-4C4D-ACE9-8F2E1C6A4B35}">
      <text>
        <r>
          <rPr>
            <b/>
            <sz val="9"/>
            <color indexed="81"/>
            <rFont val="Tahoma"/>
            <family val="2"/>
          </rPr>
          <t>Avuthu, Charan (EXT - IN/Bangalore):</t>
        </r>
        <r>
          <rPr>
            <sz val="9"/>
            <color indexed="81"/>
            <rFont val="Tahoma"/>
            <family val="2"/>
          </rPr>
          <t xml:space="preserve">
Increase for NFSGlobal disk on VM#5 by 120GB
- NFS global (For LCM as optional service on Compute1): 460800 MB</t>
        </r>
      </text>
    </comment>
    <comment ref="X41" authorId="0" shapeId="0" xr:uid="{67803DA0-9ACE-4E7E-85FF-EF24D7839C10}">
      <text>
        <r>
          <rPr>
            <b/>
            <sz val="9"/>
            <color indexed="81"/>
            <rFont val="Tahoma"/>
            <family val="2"/>
          </rPr>
          <t>Avuthu, Charan (EXT - IN/Bangalore):</t>
        </r>
        <r>
          <rPr>
            <sz val="9"/>
            <color indexed="81"/>
            <rFont val="Tahoma"/>
            <family val="2"/>
          </rPr>
          <t xml:space="preserve">
Contains one disk:
- backup_disk1: 204800MB
Increase for NFSBackup disk on VM#5 by 120GB
- NFS_backup (For LCM as optional service on Compute1): 427008 MB</t>
        </r>
      </text>
    </comment>
    <comment ref="I46" authorId="3" shapeId="0" xr:uid="{750BEC3B-C806-4C26-BDDC-C85BDE6FC9D0}">
      <text>
        <r>
          <rPr>
            <b/>
            <sz val="9"/>
            <color indexed="81"/>
            <rFont val="Tahoma"/>
            <family val="2"/>
          </rPr>
          <t>Thippeswamy, Suresh (Nokia - IN/Bangalore):</t>
        </r>
        <r>
          <rPr>
            <sz val="9"/>
            <color indexed="81"/>
            <rFont val="Tahoma"/>
            <family val="2"/>
          </rPr>
          <t xml:space="preserve">
NetAct20 scratch and on top upgrade, the required disk size is 70GB
On long upgrade environment(Having NetAct19 or older in upgrade history), since /var partition requires 40GB from NetAct20 onwards, so additional 25GB disk space is automtically added and attached to /var partition. With this the total disks consumption will be 95GB 
On long upgrade environments(NetAct20 or older), from N23R3 onwards, additional 12GB would be extended and attached to SWAP partition. With this, the total disk consumption will be 107GB.</t>
        </r>
      </text>
    </comment>
    <comment ref="I47" authorId="1" shapeId="0" xr:uid="{C9F15919-32A0-4726-AC1E-CEB135834701}">
      <text>
        <r>
          <rPr>
            <b/>
            <sz val="9"/>
            <color indexed="81"/>
            <rFont val="Tahoma"/>
            <family val="2"/>
          </rPr>
          <t>jarmylly:</t>
        </r>
        <r>
          <rPr>
            <sz val="9"/>
            <color indexed="81"/>
            <rFont val="Tahoma"/>
            <family val="2"/>
          </rPr>
          <t xml:space="preserve">
Contains two disks:
- Disk-1: 60GB
- Disk-2: 40GB</t>
        </r>
      </text>
    </comment>
    <comment ref="I48" authorId="1" shapeId="0" xr:uid="{0EF7E0BB-47D4-464D-8F23-DA52914219D9}">
      <text>
        <r>
          <rPr>
            <b/>
            <sz val="9"/>
            <color indexed="81"/>
            <rFont val="Tahoma"/>
            <family val="2"/>
          </rPr>
          <t>jarmylly:</t>
        </r>
        <r>
          <rPr>
            <sz val="9"/>
            <color indexed="81"/>
            <rFont val="Tahoma"/>
            <family val="2"/>
          </rPr>
          <t xml:space="preserve">
Contains two disks:
- Disk-1: 60GB
(NOTE: For servers intended for more than 10 concurrent users the recommended size for disk C is Disk-1 size + RAM size.)
- Disk-2: 40GB</t>
        </r>
      </text>
    </comment>
    <comment ref="I49" authorId="1" shapeId="0" xr:uid="{73A721B1-FD5A-4AC5-8E41-7BE51D23F7EF}">
      <text>
        <r>
          <rPr>
            <b/>
            <sz val="9"/>
            <color indexed="81"/>
            <rFont val="Tahoma"/>
            <family val="2"/>
          </rPr>
          <t>jarmylly:</t>
        </r>
        <r>
          <rPr>
            <sz val="9"/>
            <color indexed="81"/>
            <rFont val="Tahoma"/>
            <family val="2"/>
          </rPr>
          <t xml:space="preserve">
Contains two disks:
- Disk-1: 60GB
(NOTE: For servers intended for more than 10 concurrent users the recommended size for disk C is Disk-1 size + RAM size.)
- Disk-2: 40GB</t>
        </r>
      </text>
    </comment>
    <comment ref="I50" authorId="1" shapeId="0" xr:uid="{4B999C73-1DD7-4439-9B12-5004F139F10F}">
      <text>
        <r>
          <rPr>
            <b/>
            <sz val="9"/>
            <color indexed="81"/>
            <rFont val="Tahoma"/>
            <family val="2"/>
          </rPr>
          <t>jarmylly:</t>
        </r>
        <r>
          <rPr>
            <sz val="9"/>
            <color indexed="81"/>
            <rFont val="Tahoma"/>
            <family val="2"/>
          </rPr>
          <t xml:space="preserve">
Contains two disks:
- Disk-1: 60GB
(NOTE: For servers intended for more than 10 concurrent users the recommended size for disk C is Disk-1 size + RAM size.)
- Disk-2: 40GB</t>
        </r>
      </text>
    </comment>
    <comment ref="I51" authorId="1" shapeId="0" xr:uid="{55843A07-69B0-48B1-85D9-CE27B8BE7F2D}">
      <text>
        <r>
          <rPr>
            <b/>
            <sz val="9"/>
            <color indexed="81"/>
            <rFont val="Tahoma"/>
            <family val="2"/>
          </rPr>
          <t>jarmylly:</t>
        </r>
        <r>
          <rPr>
            <sz val="9"/>
            <color indexed="81"/>
            <rFont val="Tahoma"/>
            <family val="2"/>
          </rPr>
          <t xml:space="preserve">
Contains two disks:
- Disk-1: 60GB
(NOTE: For servers intended for more than 10 concurrent users the recommended size for disk C is Disk-1 size + RAM size.)
- Disk-2: 40GB</t>
        </r>
      </text>
    </comment>
    <comment ref="I52" authorId="1" shapeId="0" xr:uid="{9B1EDB97-3FBE-4813-B0C6-84BC06628557}">
      <text>
        <r>
          <rPr>
            <b/>
            <sz val="9"/>
            <color indexed="81"/>
            <rFont val="Tahoma"/>
            <family val="2"/>
          </rPr>
          <t>jarmylly:</t>
        </r>
        <r>
          <rPr>
            <sz val="9"/>
            <color indexed="81"/>
            <rFont val="Tahoma"/>
            <family val="2"/>
          </rPr>
          <t xml:space="preserve">
Contains two disks:
- Disk-1: 80GB
(NOTE: For servers intended for more than 10 concurrent users the recommended size for disk C is Disk-1 size + RAM size.)
- Disk-2: 40GB</t>
        </r>
      </text>
    </comment>
    <comment ref="I60" authorId="1" shapeId="0" xr:uid="{16031D7F-73DB-4622-828B-0D170B2A66BB}">
      <text>
        <r>
          <rPr>
            <b/>
            <sz val="9"/>
            <color indexed="81"/>
            <rFont val="Tahoma"/>
            <family val="2"/>
          </rPr>
          <t>jarmylly:</t>
        </r>
        <r>
          <rPr>
            <sz val="9"/>
            <color indexed="81"/>
            <rFont val="Tahoma"/>
            <family val="2"/>
          </rPr>
          <t xml:space="preserve">
Contains two disks:
- Disk-1: 30GB
- Disk-2: 80GB</t>
        </r>
      </text>
    </comment>
    <comment ref="I65" authorId="3" shapeId="0" xr:uid="{CE330BFE-9B58-48C5-811B-98846E56230C}">
      <text>
        <r>
          <rPr>
            <b/>
            <sz val="9"/>
            <color indexed="81"/>
            <rFont val="Tahoma"/>
            <family val="2"/>
          </rPr>
          <t>Thippeswamy, Suresh (Nokia - IN/Bangalore):</t>
        </r>
        <r>
          <rPr>
            <sz val="9"/>
            <color indexed="81"/>
            <rFont val="Tahoma"/>
            <family val="2"/>
          </rPr>
          <t xml:space="preserve">
OS disk: 50GB
Data Disk:2048GB</t>
        </r>
      </text>
    </comment>
    <comment ref="E77" authorId="1" shapeId="0" xr:uid="{D4572C4F-B378-45A5-A8D8-8C76A0376202}">
      <text>
        <r>
          <rPr>
            <b/>
            <sz val="9"/>
            <color indexed="81"/>
            <rFont val="Tahoma"/>
            <family val="2"/>
          </rPr>
          <t>jarmylly:</t>
        </r>
        <r>
          <rPr>
            <sz val="9"/>
            <color indexed="81"/>
            <rFont val="Tahoma"/>
            <family val="2"/>
          </rPr>
          <t xml:space="preserve">
- SBTS Adapter and BTSMED should not co-locate in same cluster i.e. SBTS Adapter and BTSMED VM usage together is not possible.</t>
        </r>
      </text>
    </comment>
    <comment ref="E78" authorId="1" shapeId="0" xr:uid="{B2CB1CD5-3545-42E8-B087-F84D99FF0F00}">
      <text>
        <r>
          <rPr>
            <b/>
            <sz val="9"/>
            <color indexed="81"/>
            <rFont val="Tahoma"/>
            <family val="2"/>
          </rPr>
          <t>jarmylly:</t>
        </r>
        <r>
          <rPr>
            <sz val="9"/>
            <color indexed="81"/>
            <rFont val="Tahoma"/>
            <family val="2"/>
          </rPr>
          <t xml:space="preserve">
- SBTS Adapter and BTSMED should not co-locate in same cluster i.e. SBTS Adapter and BTSMED VM usage together is not possible.</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Avuthu, Charan (EXT - IN/Bangalore)</author>
    <author>jarmylly</author>
    <author>Rastogi, Alok (Nokia - IN/Bangalore)</author>
    <author>Goyal, Mayank (Nokia - IN/Bangalore)</author>
    <author>Thippeswamy, Suresh (Nokia - IN/Bangalore)</author>
  </authors>
  <commentList>
    <comment ref="I7" authorId="0" shapeId="0" xr:uid="{23B8B18B-A396-46F7-8D79-2D6885F8AC9C}">
      <text>
        <r>
          <rPr>
            <b/>
            <sz val="9"/>
            <color indexed="81"/>
            <rFont val="Tahoma"/>
            <charset val="1"/>
          </rPr>
          <t>Avuthu, Charan (EXT - IN/Bangalore):</t>
        </r>
        <r>
          <rPr>
            <sz val="9"/>
            <color indexed="81"/>
            <rFont val="Tahoma"/>
            <charset val="1"/>
          </rPr>
          <t xml:space="preserve">
Instance OS Level SWAP size, will derive from the flavor</t>
        </r>
      </text>
    </comment>
    <comment ref="K7" authorId="1" shapeId="0" xr:uid="{DD9D84AF-7C36-41C2-BAD3-3E39B2639869}">
      <text>
        <r>
          <rPr>
            <b/>
            <sz val="9"/>
            <color indexed="81"/>
            <rFont val="Tahoma"/>
            <family val="2"/>
          </rPr>
          <t>jarmylly:</t>
        </r>
        <r>
          <rPr>
            <sz val="9"/>
            <color indexed="81"/>
            <rFont val="Tahoma"/>
            <family val="2"/>
          </rPr>
          <t xml:space="preserve">
Only if Airframe Hardware used</t>
        </r>
      </text>
    </comment>
    <comment ref="O7" authorId="1" shapeId="0" xr:uid="{CC65DC42-BDB1-4661-9FAA-2A6E104BD31F}">
      <text>
        <r>
          <rPr>
            <b/>
            <sz val="9"/>
            <color indexed="81"/>
            <rFont val="Tahoma"/>
            <family val="2"/>
          </rPr>
          <t>jarmylly:</t>
        </r>
        <r>
          <rPr>
            <sz val="9"/>
            <color indexed="81"/>
            <rFont val="Tahoma"/>
            <family val="2"/>
          </rPr>
          <t xml:space="preserve">
Only if Airframe Hardware used</t>
        </r>
      </text>
    </comment>
    <comment ref="S7" authorId="1" shapeId="0" xr:uid="{E40C2489-A0BB-4C39-A468-2FB0017B46C3}">
      <text>
        <r>
          <rPr>
            <b/>
            <sz val="9"/>
            <color indexed="81"/>
            <rFont val="Tahoma"/>
            <family val="2"/>
          </rPr>
          <t>jarmylly:</t>
        </r>
        <r>
          <rPr>
            <sz val="9"/>
            <color indexed="81"/>
            <rFont val="Tahoma"/>
            <family val="2"/>
          </rPr>
          <t xml:space="preserve">
Only if Airframe Hardware used</t>
        </r>
      </text>
    </comment>
    <comment ref="W7" authorId="1" shapeId="0" xr:uid="{58A87E82-233E-4A26-BAA6-C19C8811CBEA}">
      <text>
        <r>
          <rPr>
            <b/>
            <sz val="9"/>
            <color indexed="81"/>
            <rFont val="Tahoma"/>
            <family val="2"/>
          </rPr>
          <t>jarmylly:</t>
        </r>
        <r>
          <rPr>
            <sz val="9"/>
            <color indexed="81"/>
            <rFont val="Tahoma"/>
            <family val="2"/>
          </rPr>
          <t xml:space="preserve">
Only if Airframe Hardware used</t>
        </r>
      </text>
    </comment>
    <comment ref="AA7" authorId="1" shapeId="0" xr:uid="{5B3748E5-9DB2-4710-BC0E-B5E67143ED05}">
      <text>
        <r>
          <rPr>
            <b/>
            <sz val="9"/>
            <color indexed="81"/>
            <rFont val="Tahoma"/>
            <family val="2"/>
          </rPr>
          <t>jarmylly:</t>
        </r>
        <r>
          <rPr>
            <sz val="9"/>
            <color indexed="81"/>
            <rFont val="Tahoma"/>
            <family val="2"/>
          </rPr>
          <t xml:space="preserve">
Only if Airframe Hardware used</t>
        </r>
      </text>
    </comment>
    <comment ref="AE7" authorId="1" shapeId="0" xr:uid="{98368002-4D52-4672-A8B0-74345F22DD36}">
      <text>
        <r>
          <rPr>
            <b/>
            <sz val="9"/>
            <color indexed="81"/>
            <rFont val="Tahoma"/>
            <family val="2"/>
          </rPr>
          <t>jarmylly:</t>
        </r>
        <r>
          <rPr>
            <sz val="9"/>
            <color indexed="81"/>
            <rFont val="Tahoma"/>
            <family val="2"/>
          </rPr>
          <t xml:space="preserve">
Only if Airframe Hardware used</t>
        </r>
      </text>
    </comment>
    <comment ref="AI7" authorId="1" shapeId="0" xr:uid="{67277298-54E3-44E3-A770-9E75D1B88B96}">
      <text>
        <r>
          <rPr>
            <b/>
            <sz val="9"/>
            <color indexed="81"/>
            <rFont val="Tahoma"/>
            <family val="2"/>
          </rPr>
          <t>jarmylly:</t>
        </r>
        <r>
          <rPr>
            <sz val="9"/>
            <color indexed="81"/>
            <rFont val="Tahoma"/>
            <family val="2"/>
          </rPr>
          <t xml:space="preserve">
Only if Airframe Hardware used</t>
        </r>
      </text>
    </comment>
    <comment ref="AM7" authorId="1" shapeId="0" xr:uid="{7DC9B63E-AE79-41CE-9675-70650946A047}">
      <text>
        <r>
          <rPr>
            <b/>
            <sz val="9"/>
            <color indexed="81"/>
            <rFont val="Tahoma"/>
            <family val="2"/>
          </rPr>
          <t>jarmylly:</t>
        </r>
        <r>
          <rPr>
            <sz val="9"/>
            <color indexed="81"/>
            <rFont val="Tahoma"/>
            <family val="2"/>
          </rPr>
          <t xml:space="preserve">
Only if Airframe Hardware used</t>
        </r>
      </text>
    </comment>
    <comment ref="AQ7" authorId="1" shapeId="0" xr:uid="{08D1069D-8B72-4223-8E3A-6A4266C14811}">
      <text>
        <r>
          <rPr>
            <b/>
            <sz val="9"/>
            <color indexed="81"/>
            <rFont val="Tahoma"/>
            <family val="2"/>
          </rPr>
          <t>jarmylly:</t>
        </r>
        <r>
          <rPr>
            <sz val="9"/>
            <color indexed="81"/>
            <rFont val="Tahoma"/>
            <family val="2"/>
          </rPr>
          <t xml:space="preserve">
Only if Airframe Hardware used</t>
        </r>
      </text>
    </comment>
    <comment ref="AU7" authorId="1" shapeId="0" xr:uid="{21474C5A-BAD6-42EA-9734-2F972237FDA5}">
      <text>
        <r>
          <rPr>
            <b/>
            <sz val="9"/>
            <color indexed="81"/>
            <rFont val="Tahoma"/>
            <family val="2"/>
          </rPr>
          <t>jarmylly:</t>
        </r>
        <r>
          <rPr>
            <sz val="9"/>
            <color indexed="81"/>
            <rFont val="Tahoma"/>
            <family val="2"/>
          </rPr>
          <t xml:space="preserve">
Only if Airframe Hardware used</t>
        </r>
      </text>
    </comment>
    <comment ref="AY7" authorId="1" shapeId="0" xr:uid="{795B5905-7417-4257-9E4F-4D5A712A19AF}">
      <text>
        <r>
          <rPr>
            <b/>
            <sz val="9"/>
            <color indexed="81"/>
            <rFont val="Tahoma"/>
            <family val="2"/>
          </rPr>
          <t>jarmylly:</t>
        </r>
        <r>
          <rPr>
            <sz val="9"/>
            <color indexed="81"/>
            <rFont val="Tahoma"/>
            <family val="2"/>
          </rPr>
          <t xml:space="preserve">
Only if Airframe Hardware used</t>
        </r>
      </text>
    </comment>
    <comment ref="BC7" authorId="1" shapeId="0" xr:uid="{63EB5B6E-7486-44D2-AB35-62ECCA964EB8}">
      <text>
        <r>
          <rPr>
            <b/>
            <sz val="9"/>
            <color indexed="81"/>
            <rFont val="Tahoma"/>
            <family val="2"/>
          </rPr>
          <t>jarmylly:</t>
        </r>
        <r>
          <rPr>
            <sz val="9"/>
            <color indexed="81"/>
            <rFont val="Tahoma"/>
            <family val="2"/>
          </rPr>
          <t xml:space="preserve">
Only if Airframe Hardware used</t>
        </r>
      </text>
    </comment>
    <comment ref="L8" authorId="1" shapeId="0" xr:uid="{7A4A5B93-7AA4-48C0-A415-DECCF4C2C5AA}">
      <text>
        <r>
          <rPr>
            <b/>
            <sz val="9"/>
            <color indexed="81"/>
            <rFont val="Tahoma"/>
            <family val="2"/>
          </rPr>
          <t>jarmylly:</t>
        </r>
        <r>
          <rPr>
            <sz val="9"/>
            <color indexed="81"/>
            <rFont val="Tahoma"/>
            <family val="2"/>
          </rPr>
          <t xml:space="preserve">
Images name: rhel7_insteng</t>
        </r>
      </text>
    </comment>
    <comment ref="L9" authorId="1" shapeId="0" xr:uid="{82598AC2-745A-4E24-8C17-54DB14A80AF1}">
      <text>
        <r>
          <rPr>
            <b/>
            <sz val="9"/>
            <color indexed="81"/>
            <rFont val="Tahoma"/>
            <family val="2"/>
          </rPr>
          <t>jarmylly:</t>
        </r>
        <r>
          <rPr>
            <sz val="9"/>
            <color indexed="81"/>
            <rFont val="Tahoma"/>
            <family val="2"/>
          </rPr>
          <t xml:space="preserve">
Image name: administration_server</t>
        </r>
      </text>
    </comment>
    <comment ref="L10" authorId="1" shapeId="0" xr:uid="{29BB8B4C-8A3C-4610-8840-689100E9EA94}">
      <text>
        <r>
          <rPr>
            <b/>
            <sz val="9"/>
            <color indexed="81"/>
            <rFont val="Tahoma"/>
            <family val="2"/>
          </rPr>
          <t>jarmylly:</t>
        </r>
        <r>
          <rPr>
            <sz val="9"/>
            <color indexed="81"/>
            <rFont val="Tahoma"/>
            <family val="2"/>
          </rPr>
          <t xml:space="preserve">
Image name: netact_rhel_base</t>
        </r>
      </text>
    </comment>
    <comment ref="L11" authorId="1" shapeId="0" xr:uid="{0EC410E9-F18E-40E8-888C-81E908EFD7AE}">
      <text>
        <r>
          <rPr>
            <b/>
            <sz val="9"/>
            <color indexed="81"/>
            <rFont val="Tahoma"/>
            <family val="2"/>
          </rPr>
          <t>jarmylly:</t>
        </r>
        <r>
          <rPr>
            <sz val="9"/>
            <color indexed="81"/>
            <rFont val="Tahoma"/>
            <family val="2"/>
          </rPr>
          <t xml:space="preserve">
Image name: netact_rhel_base</t>
        </r>
      </text>
    </comment>
    <comment ref="P11" authorId="1" shapeId="0" xr:uid="{51E1F065-E393-47ED-B224-23DC3ADEAC3A}">
      <text>
        <r>
          <rPr>
            <b/>
            <sz val="9"/>
            <color indexed="81"/>
            <rFont val="Tahoma"/>
            <family val="2"/>
          </rPr>
          <t>jarmylly:</t>
        </r>
        <r>
          <rPr>
            <sz val="9"/>
            <color indexed="81"/>
            <rFont val="Tahoma"/>
            <family val="2"/>
          </rPr>
          <t xml:space="preserve">
Image name: vgredo</t>
        </r>
      </text>
    </comment>
    <comment ref="T11" authorId="1" shapeId="0" xr:uid="{BDF5FF06-69B1-40A5-B91E-CB13464F0E3E}">
      <text>
        <r>
          <rPr>
            <b/>
            <sz val="9"/>
            <color indexed="81"/>
            <rFont val="Tahoma"/>
            <family val="2"/>
          </rPr>
          <t>jarmylly:</t>
        </r>
        <r>
          <rPr>
            <sz val="9"/>
            <color indexed="81"/>
            <rFont val="Tahoma"/>
            <family val="2"/>
          </rPr>
          <t xml:space="preserve">
Image name: vgdb</t>
        </r>
      </text>
    </comment>
    <comment ref="X11" authorId="1" shapeId="0" xr:uid="{404FF4C5-BB6E-4650-8DE8-B43FDC07B8FD}">
      <text>
        <r>
          <rPr>
            <b/>
            <sz val="9"/>
            <color indexed="81"/>
            <rFont val="Tahoma"/>
            <family val="2"/>
          </rPr>
          <t>jarmylly:</t>
        </r>
        <r>
          <rPr>
            <sz val="9"/>
            <color indexed="81"/>
            <rFont val="Tahoma"/>
            <family val="2"/>
          </rPr>
          <t xml:space="preserve">
Image name: vgarc</t>
        </r>
      </text>
    </comment>
    <comment ref="BD11" authorId="2" shapeId="0" xr:uid="{47A1EAB5-AB7F-466A-9DEC-2C2D6DCC7DEC}">
      <text>
        <r>
          <rPr>
            <b/>
            <sz val="9"/>
            <color indexed="81"/>
            <rFont val="Tahoma"/>
            <family val="2"/>
          </rPr>
          <t xml:space="preserve"> Alok :name
</t>
        </r>
        <r>
          <rPr>
            <sz val="9"/>
            <color indexed="81"/>
            <rFont val="Tahoma"/>
            <family val="2"/>
          </rPr>
          <t>vgdbfb</t>
        </r>
      </text>
    </comment>
    <comment ref="BE11" authorId="3" shapeId="0" xr:uid="{0751DAD6-A696-4D0C-86C8-2038757DFAC3}">
      <text>
        <r>
          <rPr>
            <b/>
            <sz val="9"/>
            <color indexed="81"/>
            <rFont val="Tahoma"/>
            <family val="2"/>
          </rPr>
          <t>Goyal, Mayank (Nokia - IN/Bangalore):</t>
        </r>
        <r>
          <rPr>
            <sz val="9"/>
            <color indexed="81"/>
            <rFont val="Tahoma"/>
            <family val="2"/>
          </rPr>
          <t xml:space="preserve">
6 with FB else 5</t>
        </r>
      </text>
    </comment>
    <comment ref="L12" authorId="1" shapeId="0" xr:uid="{9D5DFE04-376D-4E7D-BF05-0C2DAECA9094}">
      <text>
        <r>
          <rPr>
            <b/>
            <sz val="9"/>
            <color indexed="81"/>
            <rFont val="Tahoma"/>
            <family val="2"/>
          </rPr>
          <t>jarmylly:</t>
        </r>
        <r>
          <rPr>
            <sz val="9"/>
            <color indexed="81"/>
            <rFont val="Tahoma"/>
            <family val="2"/>
          </rPr>
          <t xml:space="preserve">
Image name: netact_rhel_base</t>
        </r>
      </text>
    </comment>
    <comment ref="Y12" authorId="2" shapeId="0" xr:uid="{B5DD010F-5466-4001-AC2D-B671278DA87B}">
      <text>
        <r>
          <rPr>
            <b/>
            <sz val="9"/>
            <color indexed="81"/>
            <rFont val="Tahoma"/>
            <family val="2"/>
          </rPr>
          <t>Rastogi, Alok (Nokia - IN/Bangalore):</t>
        </r>
        <r>
          <rPr>
            <sz val="9"/>
            <color indexed="81"/>
            <rFont val="Tahoma"/>
            <family val="2"/>
          </rPr>
          <t xml:space="preserve">
Contains three disks:
NFS Global :337920 MB
NFS Home :18432 MB
NFS WAS dump:46080 MB
</t>
        </r>
      </text>
    </comment>
    <comment ref="AB12" authorId="1" shapeId="0" xr:uid="{FF7D53D3-BB27-42F8-8845-B0FFD61C66E1}">
      <text>
        <r>
          <rPr>
            <b/>
            <sz val="9"/>
            <color indexed="81"/>
            <rFont val="Tahoma"/>
            <family val="2"/>
          </rPr>
          <t>jarmylly:</t>
        </r>
        <r>
          <rPr>
            <sz val="9"/>
            <color indexed="81"/>
            <rFont val="Tahoma"/>
            <family val="2"/>
          </rPr>
          <t xml:space="preserve">
Image names:
- vgglobal
- vghome</t>
        </r>
      </text>
    </comment>
    <comment ref="AC12" authorId="1" shapeId="0" xr:uid="{80F3CFD3-93ED-4441-873A-BA4CB9C4A50F}">
      <text>
        <r>
          <rPr>
            <b/>
            <sz val="9"/>
            <color indexed="81"/>
            <rFont val="Tahoma"/>
            <family val="2"/>
          </rPr>
          <t>jarmylly:</t>
        </r>
        <r>
          <rPr>
            <sz val="9"/>
            <color indexed="81"/>
            <rFont val="Tahoma"/>
            <family val="2"/>
          </rPr>
          <t xml:space="preserve">
Reserved for customer own data.</t>
        </r>
      </text>
    </comment>
    <comment ref="AG12" authorId="0" shapeId="0" xr:uid="{7F2B67B9-A762-4524-B358-85F69AFF5915}">
      <text>
        <r>
          <rPr>
            <b/>
            <sz val="9"/>
            <color indexed="81"/>
            <rFont val="Tahoma"/>
            <charset val="1"/>
          </rPr>
          <t>Avuthu, Charan (EXT - IN/Bangalore):</t>
        </r>
        <r>
          <rPr>
            <sz val="9"/>
            <color indexed="81"/>
            <rFont val="Tahoma"/>
            <charset val="1"/>
          </rPr>
          <t xml:space="preserve">
597GB, If LCM chosen as optional service on Compute1</t>
        </r>
      </text>
    </comment>
    <comment ref="L13" authorId="1" shapeId="0" xr:uid="{B52592A6-60A8-4B74-B478-44699D9D7899}">
      <text>
        <r>
          <rPr>
            <b/>
            <sz val="9"/>
            <color indexed="81"/>
            <rFont val="Tahoma"/>
            <family val="2"/>
          </rPr>
          <t>jarmylly:</t>
        </r>
        <r>
          <rPr>
            <sz val="9"/>
            <color indexed="81"/>
            <rFont val="Tahoma"/>
            <family val="2"/>
          </rPr>
          <t xml:space="preserve">
Image name: netact_rhel_base</t>
        </r>
      </text>
    </comment>
    <comment ref="L14" authorId="1" shapeId="0" xr:uid="{35722910-0EA0-4B25-9507-1C0B07F765E3}">
      <text>
        <r>
          <rPr>
            <b/>
            <sz val="9"/>
            <color indexed="81"/>
            <rFont val="Tahoma"/>
            <family val="2"/>
          </rPr>
          <t>jarmylly:</t>
        </r>
        <r>
          <rPr>
            <sz val="9"/>
            <color indexed="81"/>
            <rFont val="Tahoma"/>
            <family val="2"/>
          </rPr>
          <t xml:space="preserve">
Image name: netact_rhel_base</t>
        </r>
      </text>
    </comment>
    <comment ref="L15" authorId="1" shapeId="0" xr:uid="{E9635BCC-69EA-401A-9D9E-FF1B82B9312C}">
      <text>
        <r>
          <rPr>
            <b/>
            <sz val="9"/>
            <color indexed="81"/>
            <rFont val="Tahoma"/>
            <family val="2"/>
          </rPr>
          <t>jarmylly:</t>
        </r>
        <r>
          <rPr>
            <sz val="9"/>
            <color indexed="81"/>
            <rFont val="Tahoma"/>
            <family val="2"/>
          </rPr>
          <t xml:space="preserve">
Image name: netact_rhel_base</t>
        </r>
      </text>
    </comment>
    <comment ref="L16" authorId="1" shapeId="0" xr:uid="{616A5ABA-B204-45C2-8047-EBF1696F6AC3}">
      <text>
        <r>
          <rPr>
            <b/>
            <sz val="9"/>
            <color indexed="81"/>
            <rFont val="Tahoma"/>
            <family val="2"/>
          </rPr>
          <t>jarmylly:</t>
        </r>
        <r>
          <rPr>
            <sz val="9"/>
            <color indexed="81"/>
            <rFont val="Tahoma"/>
            <family val="2"/>
          </rPr>
          <t xml:space="preserve">
Image name: netact_rhel_base</t>
        </r>
      </text>
    </comment>
    <comment ref="L17" authorId="1" shapeId="0" xr:uid="{AAF8FEC1-A17B-4783-8059-F93A81B89786}">
      <text>
        <r>
          <rPr>
            <b/>
            <sz val="9"/>
            <color indexed="81"/>
            <rFont val="Tahoma"/>
            <family val="2"/>
          </rPr>
          <t>jarmylly:</t>
        </r>
        <r>
          <rPr>
            <sz val="9"/>
            <color indexed="81"/>
            <rFont val="Tahoma"/>
            <family val="2"/>
          </rPr>
          <t xml:space="preserve">
Image name: netact_rhel_base</t>
        </r>
      </text>
    </comment>
    <comment ref="L18" authorId="1" shapeId="0" xr:uid="{4E2BE30F-78A4-4E4D-AC0B-C052388F983E}">
      <text>
        <r>
          <rPr>
            <b/>
            <sz val="9"/>
            <color indexed="81"/>
            <rFont val="Tahoma"/>
            <family val="2"/>
          </rPr>
          <t>jarmylly:</t>
        </r>
        <r>
          <rPr>
            <sz val="9"/>
            <color indexed="81"/>
            <rFont val="Tahoma"/>
            <family val="2"/>
          </rPr>
          <t xml:space="preserve">
Image name: netact_rhel_base</t>
        </r>
      </text>
    </comment>
    <comment ref="L19" authorId="1" shapeId="0" xr:uid="{5456B90A-9221-4A67-BEAC-D651A16327C1}">
      <text>
        <r>
          <rPr>
            <b/>
            <sz val="9"/>
            <color indexed="81"/>
            <rFont val="Tahoma"/>
            <family val="2"/>
          </rPr>
          <t>jarmylly:</t>
        </r>
        <r>
          <rPr>
            <sz val="9"/>
            <color indexed="81"/>
            <rFont val="Tahoma"/>
            <family val="2"/>
          </rPr>
          <t xml:space="preserve">
Image name: netact_rhel_base</t>
        </r>
      </text>
    </comment>
    <comment ref="AR19" authorId="2" shapeId="0" xr:uid="{81DBBE34-5308-490A-A567-379FE42B2630}">
      <text>
        <r>
          <rPr>
            <b/>
            <sz val="9"/>
            <color indexed="81"/>
            <rFont val="Tahoma"/>
            <family val="2"/>
          </rPr>
          <t xml:space="preserve"> Alok :name
</t>
        </r>
        <r>
          <rPr>
            <sz val="9"/>
            <color indexed="81"/>
            <rFont val="Tahoma"/>
            <family val="2"/>
          </rPr>
          <t>vgadm</t>
        </r>
      </text>
    </comment>
    <comment ref="L20" authorId="1" shapeId="0" xr:uid="{BC5821A1-8572-49C5-9E12-2A7EA3F9F1C1}">
      <text>
        <r>
          <rPr>
            <b/>
            <sz val="9"/>
            <color indexed="81"/>
            <rFont val="Tahoma"/>
            <family val="2"/>
          </rPr>
          <t>jarmylly:</t>
        </r>
        <r>
          <rPr>
            <sz val="9"/>
            <color indexed="81"/>
            <rFont val="Tahoma"/>
            <family val="2"/>
          </rPr>
          <t xml:space="preserve">
Image name: netact_rhel_base</t>
        </r>
      </text>
    </comment>
    <comment ref="L21" authorId="1" shapeId="0" xr:uid="{A6F1CF98-229F-409D-95DF-9085F129E4CB}">
      <text>
        <r>
          <rPr>
            <b/>
            <sz val="9"/>
            <color indexed="81"/>
            <rFont val="Tahoma"/>
            <family val="2"/>
          </rPr>
          <t>jarmylly:</t>
        </r>
        <r>
          <rPr>
            <sz val="9"/>
            <color indexed="81"/>
            <rFont val="Tahoma"/>
            <family val="2"/>
          </rPr>
          <t xml:space="preserve">
Image name: netact_rhel_base</t>
        </r>
      </text>
    </comment>
    <comment ref="L22" authorId="1" shapeId="0" xr:uid="{6C9CF281-60CF-4CB4-A803-E337A6D2BA4D}">
      <text>
        <r>
          <rPr>
            <b/>
            <sz val="9"/>
            <color indexed="81"/>
            <rFont val="Tahoma"/>
            <family val="2"/>
          </rPr>
          <t>jarmylly:</t>
        </r>
        <r>
          <rPr>
            <sz val="9"/>
            <color indexed="81"/>
            <rFont val="Tahoma"/>
            <family val="2"/>
          </rPr>
          <t xml:space="preserve">
Image name: netact_rhel_base</t>
        </r>
      </text>
    </comment>
    <comment ref="L23" authorId="1" shapeId="0" xr:uid="{20842F41-6A4C-4752-969B-FFDD7CF8F0A0}">
      <text>
        <r>
          <rPr>
            <b/>
            <sz val="9"/>
            <color indexed="81"/>
            <rFont val="Tahoma"/>
            <family val="2"/>
          </rPr>
          <t>jarmylly:</t>
        </r>
        <r>
          <rPr>
            <sz val="9"/>
            <color indexed="81"/>
            <rFont val="Tahoma"/>
            <family val="2"/>
          </rPr>
          <t xml:space="preserve">
Image name: netact_rhel_base</t>
        </r>
      </text>
    </comment>
    <comment ref="AV23" authorId="4" shapeId="0" xr:uid="{DB9BEEA7-6D64-4964-90BD-D2FB0033F50D}">
      <text>
        <r>
          <rPr>
            <b/>
            <sz val="9"/>
            <color indexed="81"/>
            <rFont val="Tahoma"/>
            <family val="2"/>
          </rPr>
          <t>Thippeswamy, Suresh (Nokia - IN/Bangalore):</t>
        </r>
        <r>
          <rPr>
            <sz val="9"/>
            <color indexed="81"/>
            <rFont val="Tahoma"/>
            <family val="2"/>
          </rPr>
          <t xml:space="preserve">
Image name: vgisdk</t>
        </r>
      </text>
    </comment>
    <comment ref="BE23" authorId="4" shapeId="0" xr:uid="{40087E91-30E0-44D0-91CB-1EBA00B6E645}">
      <text>
        <r>
          <rPr>
            <b/>
            <sz val="9"/>
            <color indexed="81"/>
            <rFont val="Tahoma"/>
            <family val="2"/>
          </rPr>
          <t>Thippeswamy, Suresh (Nokia - IN/Bangalore):</t>
        </r>
        <r>
          <rPr>
            <sz val="9"/>
            <color indexed="81"/>
            <rFont val="Tahoma"/>
            <family val="2"/>
          </rPr>
          <t xml:space="preserve">
CRSR-227: Changed to 3 from 2</t>
        </r>
      </text>
    </comment>
    <comment ref="L24" authorId="1" shapeId="0" xr:uid="{C531CE73-1DFF-4E4D-87C2-D8F6C90954EF}">
      <text>
        <r>
          <rPr>
            <b/>
            <sz val="9"/>
            <color indexed="81"/>
            <rFont val="Tahoma"/>
            <family val="2"/>
          </rPr>
          <t>jarmylly:</t>
        </r>
        <r>
          <rPr>
            <sz val="9"/>
            <color indexed="81"/>
            <rFont val="Tahoma"/>
            <family val="2"/>
          </rPr>
          <t xml:space="preserve">
Image name: netact_rhel_base</t>
        </r>
      </text>
    </comment>
    <comment ref="AV24" authorId="4" shapeId="0" xr:uid="{637163E2-0672-43D1-A6F8-BA8FBC4D9287}">
      <text>
        <r>
          <rPr>
            <b/>
            <sz val="9"/>
            <color indexed="81"/>
            <rFont val="Tahoma"/>
            <family val="2"/>
          </rPr>
          <t>Thippeswamy, Suresh (Nokia - IN/Bangalore):</t>
        </r>
        <r>
          <rPr>
            <sz val="9"/>
            <color indexed="81"/>
            <rFont val="Tahoma"/>
            <family val="2"/>
          </rPr>
          <t xml:space="preserve">
Image name: vgisdk</t>
        </r>
      </text>
    </comment>
    <comment ref="BE24" authorId="4" shapeId="0" xr:uid="{690DEB47-C6EE-4270-AABC-A4622F6FD0C7}">
      <text>
        <r>
          <rPr>
            <b/>
            <sz val="9"/>
            <color indexed="81"/>
            <rFont val="Tahoma"/>
            <family val="2"/>
          </rPr>
          <t>Thippeswamy, Suresh (Nokia - IN/Bangalore):</t>
        </r>
        <r>
          <rPr>
            <sz val="9"/>
            <color indexed="81"/>
            <rFont val="Tahoma"/>
            <family val="2"/>
          </rPr>
          <t xml:space="preserve">
CRSR-227: Changed to 3 from 2</t>
        </r>
      </text>
    </comment>
    <comment ref="L25" authorId="1" shapeId="0" xr:uid="{D2F47545-AA18-4856-83EE-476B002331E6}">
      <text>
        <r>
          <rPr>
            <b/>
            <sz val="9"/>
            <color indexed="81"/>
            <rFont val="Tahoma"/>
            <family val="2"/>
          </rPr>
          <t>jarmylly:</t>
        </r>
        <r>
          <rPr>
            <sz val="9"/>
            <color indexed="81"/>
            <rFont val="Tahoma"/>
            <family val="2"/>
          </rPr>
          <t xml:space="preserve">
Image name: netact_rhel_base</t>
        </r>
      </text>
    </comment>
    <comment ref="L26" authorId="1" shapeId="0" xr:uid="{F43F1D8F-473D-4A15-A264-F160ECEA5A3B}">
      <text>
        <r>
          <rPr>
            <b/>
            <sz val="9"/>
            <color indexed="81"/>
            <rFont val="Tahoma"/>
            <family val="2"/>
          </rPr>
          <t>jarmylly:</t>
        </r>
        <r>
          <rPr>
            <sz val="9"/>
            <color indexed="81"/>
            <rFont val="Tahoma"/>
            <family val="2"/>
          </rPr>
          <t xml:space="preserve">
Image name: netact_rhel_base</t>
        </r>
      </text>
    </comment>
    <comment ref="L27" authorId="1" shapeId="0" xr:uid="{8C0B9F53-2F4C-49C5-A10F-BC2F71A87F0C}">
      <text>
        <r>
          <rPr>
            <b/>
            <sz val="9"/>
            <color indexed="81"/>
            <rFont val="Tahoma"/>
            <family val="2"/>
          </rPr>
          <t>jarmylly:</t>
        </r>
        <r>
          <rPr>
            <sz val="9"/>
            <color indexed="81"/>
            <rFont val="Tahoma"/>
            <family val="2"/>
          </rPr>
          <t xml:space="preserve">
Image name: netact_rhel_base</t>
        </r>
      </text>
    </comment>
    <comment ref="L28" authorId="1" shapeId="0" xr:uid="{669A6DD3-1C17-47C5-B276-4A1CEB7DE2B6}">
      <text>
        <r>
          <rPr>
            <b/>
            <sz val="9"/>
            <color indexed="81"/>
            <rFont val="Tahoma"/>
            <family val="2"/>
          </rPr>
          <t>jarmylly:</t>
        </r>
        <r>
          <rPr>
            <sz val="9"/>
            <color indexed="81"/>
            <rFont val="Tahoma"/>
            <family val="2"/>
          </rPr>
          <t xml:space="preserve">
Image name: netact_rhel_base</t>
        </r>
      </text>
    </comment>
    <comment ref="L29" authorId="1" shapeId="0" xr:uid="{E035B8EE-82A8-4BE9-BCF8-DE07656046FC}">
      <text>
        <r>
          <rPr>
            <b/>
            <sz val="9"/>
            <color indexed="81"/>
            <rFont val="Tahoma"/>
            <family val="2"/>
          </rPr>
          <t>jarmylly:</t>
        </r>
        <r>
          <rPr>
            <sz val="9"/>
            <color indexed="81"/>
            <rFont val="Tahoma"/>
            <family val="2"/>
          </rPr>
          <t xml:space="preserve">
Image name: netact_rhel_base</t>
        </r>
      </text>
    </comment>
    <comment ref="L30" authorId="1" shapeId="0" xr:uid="{85E716CC-E434-423C-A07F-E3A4D6347C55}">
      <text>
        <r>
          <rPr>
            <b/>
            <sz val="9"/>
            <color indexed="81"/>
            <rFont val="Tahoma"/>
            <family val="2"/>
          </rPr>
          <t>jarmylly:</t>
        </r>
        <r>
          <rPr>
            <sz val="9"/>
            <color indexed="81"/>
            <rFont val="Tahoma"/>
            <family val="2"/>
          </rPr>
          <t xml:space="preserve">
Image name: netact_rhel_base</t>
        </r>
      </text>
    </comment>
    <comment ref="H31" authorId="1" shapeId="0" xr:uid="{8DA08048-BB6D-4B93-913B-59B14B092A6C}">
      <text>
        <r>
          <rPr>
            <b/>
            <sz val="9"/>
            <color indexed="81"/>
            <rFont val="Tahoma"/>
            <family val="2"/>
          </rPr>
          <t>jarmylly:</t>
        </r>
        <r>
          <rPr>
            <sz val="9"/>
            <color indexed="81"/>
            <rFont val="Tahoma"/>
            <family val="2"/>
          </rPr>
          <t xml:space="preserve">
Contains two disks:
- Disk-1: 61GB
- Disk-2: 41GB</t>
        </r>
      </text>
    </comment>
    <comment ref="L31" authorId="1" shapeId="0" xr:uid="{17705DAD-9F0B-4978-B1B4-A9956004EA9A}">
      <text>
        <r>
          <rPr>
            <b/>
            <sz val="9"/>
            <color indexed="81"/>
            <rFont val="Tahoma"/>
            <family val="2"/>
          </rPr>
          <t>jarmylly:</t>
        </r>
        <r>
          <rPr>
            <sz val="9"/>
            <color indexed="81"/>
            <rFont val="Tahoma"/>
            <family val="2"/>
          </rPr>
          <t xml:space="preserve">
Image name: 
- NMS_DC_disk1
- NMS_DC_disk2
- cdrom_nms</t>
        </r>
      </text>
    </comment>
    <comment ref="H32" authorId="1" shapeId="0" xr:uid="{56E81BC3-5CA7-424E-B130-3746B1E0E472}">
      <text>
        <r>
          <rPr>
            <b/>
            <sz val="9"/>
            <color indexed="81"/>
            <rFont val="Tahoma"/>
            <family val="2"/>
          </rPr>
          <t>jarmylly:</t>
        </r>
        <r>
          <rPr>
            <sz val="9"/>
            <color indexed="81"/>
            <rFont val="Tahoma"/>
            <family val="2"/>
          </rPr>
          <t xml:space="preserve">
Contains two disks:
- Disk-1: 61GB
(NOTE: For servers intended for more than 10 concurrent users the recommended size for disk C is Disk-1 size + RAM size.)
- Disk-2: 41GB</t>
        </r>
      </text>
    </comment>
    <comment ref="L32" authorId="1" shapeId="0" xr:uid="{E803DBD0-3F98-4B56-887D-6F9309FD3F5A}">
      <text>
        <r>
          <rPr>
            <b/>
            <sz val="9"/>
            <color indexed="81"/>
            <rFont val="Tahoma"/>
            <family val="2"/>
          </rPr>
          <t>jarmylly:</t>
        </r>
        <r>
          <rPr>
            <sz val="9"/>
            <color indexed="81"/>
            <rFont val="Tahoma"/>
            <family val="2"/>
          </rPr>
          <t xml:space="preserve">
Image name:
- NMS_VDA_disk1
- NMS_VDA_disk2</t>
        </r>
      </text>
    </comment>
    <comment ref="H33" authorId="1" shapeId="0" xr:uid="{9E5F6EED-AD16-4AB6-8310-F9D4B4C212F4}">
      <text>
        <r>
          <rPr>
            <b/>
            <sz val="9"/>
            <color indexed="81"/>
            <rFont val="Tahoma"/>
            <family val="2"/>
          </rPr>
          <t>jarmylly:</t>
        </r>
        <r>
          <rPr>
            <sz val="9"/>
            <color indexed="81"/>
            <rFont val="Tahoma"/>
            <family val="2"/>
          </rPr>
          <t xml:space="preserve">
Contains two disks:
- Disk-1: 80GB
(NOTE: For servers intended for more than 10 concurrent users the recommended size for disk C is Disk-1 size + RAM size.)
- Disk-2: 40GB</t>
        </r>
      </text>
    </comment>
    <comment ref="L33" authorId="1" shapeId="0" xr:uid="{420FD0F7-54DA-412F-A7C0-8DDFFDFAFC7D}">
      <text>
        <r>
          <rPr>
            <b/>
            <sz val="9"/>
            <color indexed="81"/>
            <rFont val="Tahoma"/>
            <family val="2"/>
          </rPr>
          <t>jarmylly:</t>
        </r>
        <r>
          <rPr>
            <sz val="9"/>
            <color indexed="81"/>
            <rFont val="Tahoma"/>
            <family val="2"/>
          </rPr>
          <t xml:space="preserve">
Image name:
- NMS_CTXDC_disk1
- NMS_CTXDC_disk2</t>
        </r>
      </text>
    </comment>
    <comment ref="L34" authorId="1" shapeId="0" xr:uid="{A8F92E62-6768-4229-9DA1-7EFDFDF9A1FC}">
      <text>
        <r>
          <rPr>
            <b/>
            <sz val="9"/>
            <color indexed="81"/>
            <rFont val="Tahoma"/>
            <family val="2"/>
          </rPr>
          <t>jarmylly:</t>
        </r>
        <r>
          <rPr>
            <sz val="9"/>
            <color indexed="81"/>
            <rFont val="Tahoma"/>
            <family val="2"/>
          </rPr>
          <t xml:space="preserve">
Image name: netact_rhel_base</t>
        </r>
      </text>
    </comment>
    <comment ref="AN34" authorId="1" shapeId="0" xr:uid="{AE426C1A-81CF-42E2-8B8C-B1564AAC6CBC}">
      <text>
        <r>
          <rPr>
            <b/>
            <sz val="9"/>
            <color indexed="81"/>
            <rFont val="Tahoma"/>
            <family val="2"/>
          </rPr>
          <t>jarmylly:</t>
        </r>
        <r>
          <rPr>
            <sz val="9"/>
            <color indexed="81"/>
            <rFont val="Tahoma"/>
            <family val="2"/>
          </rPr>
          <t xml:space="preserve">
Image name: vgrep</t>
        </r>
      </text>
    </comment>
    <comment ref="L35" authorId="1" shapeId="0" xr:uid="{5388AE73-BF80-4F16-A95F-96EC56D22D5E}">
      <text>
        <r>
          <rPr>
            <b/>
            <sz val="9"/>
            <color indexed="81"/>
            <rFont val="Tahoma"/>
            <family val="2"/>
          </rPr>
          <t>jarmylly:</t>
        </r>
        <r>
          <rPr>
            <sz val="9"/>
            <color indexed="81"/>
            <rFont val="Tahoma"/>
            <family val="2"/>
          </rPr>
          <t xml:space="preserve">
Image name: netact_rhel_base</t>
        </r>
      </text>
    </comment>
    <comment ref="AN35" authorId="1" shapeId="0" xr:uid="{17C67677-4A4D-488B-8008-3F25ED6612F9}">
      <text>
        <r>
          <rPr>
            <b/>
            <sz val="9"/>
            <color indexed="81"/>
            <rFont val="Tahoma"/>
            <family val="2"/>
          </rPr>
          <t>jarmylly:</t>
        </r>
        <r>
          <rPr>
            <sz val="9"/>
            <color indexed="81"/>
            <rFont val="Tahoma"/>
            <family val="2"/>
          </rPr>
          <t xml:space="preserve">
Image name: vgrep</t>
        </r>
      </text>
    </comment>
    <comment ref="L36" authorId="1" shapeId="0" xr:uid="{A79D5D1A-0628-4299-8DEF-3E90732458A0}">
      <text>
        <r>
          <rPr>
            <b/>
            <sz val="9"/>
            <color indexed="81"/>
            <rFont val="Tahoma"/>
            <family val="2"/>
          </rPr>
          <t>jarmylly:</t>
        </r>
        <r>
          <rPr>
            <sz val="9"/>
            <color indexed="81"/>
            <rFont val="Tahoma"/>
            <family val="2"/>
          </rPr>
          <t xml:space="preserve">
Image name: netact_rhel_base</t>
        </r>
      </text>
    </comment>
    <comment ref="L37" authorId="1" shapeId="0" xr:uid="{D8BEEB41-C8BB-43DD-8FF9-EF4652401E8B}">
      <text>
        <r>
          <rPr>
            <b/>
            <sz val="9"/>
            <color indexed="81"/>
            <rFont val="Tahoma"/>
            <family val="2"/>
          </rPr>
          <t>jarmylly:</t>
        </r>
        <r>
          <rPr>
            <sz val="9"/>
            <color indexed="81"/>
            <rFont val="Tahoma"/>
            <family val="2"/>
          </rPr>
          <t xml:space="preserve">
Image name: netact_rhel_base</t>
        </r>
      </text>
    </comment>
    <comment ref="L38" authorId="1" shapeId="0" xr:uid="{2BA2E772-1029-459C-B6E5-5AD7EA086D38}">
      <text>
        <r>
          <rPr>
            <b/>
            <sz val="9"/>
            <color indexed="81"/>
            <rFont val="Tahoma"/>
            <family val="2"/>
          </rPr>
          <t>jarmylly:</t>
        </r>
        <r>
          <rPr>
            <sz val="9"/>
            <color indexed="81"/>
            <rFont val="Tahoma"/>
            <family val="2"/>
          </rPr>
          <t xml:space="preserve">
Image name: netact_rhel_base</t>
        </r>
      </text>
    </comment>
    <comment ref="AZ38" authorId="0" shapeId="0" xr:uid="{05B036E7-7197-48CB-B337-D46A57F13FBF}">
      <text>
        <r>
          <rPr>
            <b/>
            <sz val="9"/>
            <color indexed="81"/>
            <rFont val="Tahoma"/>
            <charset val="1"/>
          </rPr>
          <t>Avuthu, Charan (EXT - IN/Bangalore):</t>
        </r>
        <r>
          <rPr>
            <sz val="9"/>
            <color indexed="81"/>
            <rFont val="Tahoma"/>
            <charset val="1"/>
          </rPr>
          <t xml:space="preserve">
Image Name:vgccr</t>
        </r>
      </text>
    </comment>
    <comment ref="BM39" authorId="1" shapeId="0" xr:uid="{BA7EFECF-8A94-45F3-9091-B27A9FAA7068}">
      <text>
        <r>
          <rPr>
            <b/>
            <sz val="9"/>
            <color indexed="81"/>
            <rFont val="Tahoma"/>
            <family val="2"/>
          </rPr>
          <t>jarmylly:</t>
        </r>
        <r>
          <rPr>
            <sz val="9"/>
            <color indexed="81"/>
            <rFont val="Tahoma"/>
            <family val="2"/>
          </rPr>
          <t xml:space="preserve">
IPv4: 3
IPv4/IPv6: 5</t>
        </r>
      </text>
    </comment>
    <comment ref="Y42" authorId="0" shapeId="0" xr:uid="{E5DE3EF7-B37F-4C8C-B0A8-2FF3A5FB0DBF}">
      <text>
        <r>
          <rPr>
            <b/>
            <sz val="9"/>
            <color indexed="81"/>
            <rFont val="Tahoma"/>
            <charset val="1"/>
          </rPr>
          <t>Avuthu, Charan (EXT - IN/Bangalore):</t>
        </r>
        <r>
          <rPr>
            <sz val="9"/>
            <color indexed="81"/>
            <rFont val="Tahoma"/>
            <charset val="1"/>
          </rPr>
          <t xml:space="preserve">
Increase for NFSGlobal disk on VM#5 by 120GB
- NFS global (For LCM as optional service on Compute1): 460800 MB</t>
        </r>
      </text>
    </comment>
    <comment ref="AG42" authorId="0" shapeId="0" xr:uid="{B2109E41-D508-4BD4-91D7-6D7A28386606}">
      <text>
        <r>
          <rPr>
            <b/>
            <sz val="9"/>
            <color indexed="81"/>
            <rFont val="Tahoma"/>
            <charset val="1"/>
          </rPr>
          <t>Avuthu, Charan (EXT - IN/Bangalore):</t>
        </r>
        <r>
          <rPr>
            <sz val="9"/>
            <color indexed="81"/>
            <rFont val="Tahoma"/>
            <charset val="1"/>
          </rPr>
          <t xml:space="preserve">
-Increase by additional 320GB, If LCM+CCR chosen as optional service on Compute1
(200GB increase for backup_disk on VM#150, 120GB increase on Backup disk on VM#5)</t>
        </r>
      </text>
    </comment>
    <comment ref="BM43" authorId="1" shapeId="0" xr:uid="{0A45C88D-4285-4B33-AE9D-844CD390A864}">
      <text>
        <r>
          <rPr>
            <b/>
            <sz val="9"/>
            <color indexed="81"/>
            <rFont val="Tahoma"/>
            <family val="2"/>
          </rPr>
          <t>jarmylly:</t>
        </r>
        <r>
          <rPr>
            <sz val="9"/>
            <color indexed="81"/>
            <rFont val="Tahoma"/>
            <family val="2"/>
          </rPr>
          <t xml:space="preserve">
IPv4: 3
IPv4/IPv6: 5</t>
        </r>
      </text>
    </comment>
    <comment ref="L47" authorId="1" shapeId="0" xr:uid="{3A5EC9DD-9C08-473C-B96D-8BD505E06FF9}">
      <text>
        <r>
          <rPr>
            <b/>
            <sz val="9"/>
            <color indexed="81"/>
            <rFont val="Tahoma"/>
            <family val="2"/>
          </rPr>
          <t>jarmylly:</t>
        </r>
        <r>
          <rPr>
            <sz val="9"/>
            <color indexed="81"/>
            <rFont val="Tahoma"/>
            <family val="2"/>
          </rPr>
          <t xml:space="preserve">
Image name: netact_rhel_base</t>
        </r>
      </text>
    </comment>
    <comment ref="H48" authorId="1" shapeId="0" xr:uid="{EE8304F8-C459-47D4-B8F3-60C3636692CF}">
      <text>
        <r>
          <rPr>
            <b/>
            <sz val="9"/>
            <color indexed="81"/>
            <rFont val="Tahoma"/>
            <family val="2"/>
          </rPr>
          <t>jarmylly:</t>
        </r>
        <r>
          <rPr>
            <sz val="9"/>
            <color indexed="81"/>
            <rFont val="Tahoma"/>
            <family val="2"/>
          </rPr>
          <t xml:space="preserve">
Contains two disks:
- Disk-1: 61GB
- Disk-2: 41GB</t>
        </r>
      </text>
    </comment>
    <comment ref="L48" authorId="1" shapeId="0" xr:uid="{75D5B24D-8A18-43AE-B8CF-7425E9A884D7}">
      <text>
        <r>
          <rPr>
            <b/>
            <sz val="9"/>
            <color indexed="81"/>
            <rFont val="Tahoma"/>
            <family val="2"/>
          </rPr>
          <t>jarmylly:</t>
        </r>
        <r>
          <rPr>
            <sz val="9"/>
            <color indexed="81"/>
            <rFont val="Tahoma"/>
            <family val="2"/>
          </rPr>
          <t xml:space="preserve">
Image name: 
- NMS_DC_disk1
- NMS_DC_disk2</t>
        </r>
      </text>
    </comment>
    <comment ref="H49" authorId="1" shapeId="0" xr:uid="{8A3D98D2-0C96-4709-A39E-4008FD46879D}">
      <text>
        <r>
          <rPr>
            <b/>
            <sz val="9"/>
            <color indexed="81"/>
            <rFont val="Tahoma"/>
            <family val="2"/>
          </rPr>
          <t>jarmylly:</t>
        </r>
        <r>
          <rPr>
            <sz val="9"/>
            <color indexed="81"/>
            <rFont val="Tahoma"/>
            <family val="2"/>
          </rPr>
          <t xml:space="preserve">
Contains two disks:
- Disk-1: 61GB
(NOTE: For servers intended for more than 10 concurrent users the recommended size for disk C is Disk-1 size + RAM size.)
- Disk-2: 41GB</t>
        </r>
      </text>
    </comment>
    <comment ref="L49" authorId="1" shapeId="0" xr:uid="{8275D4AF-6344-44E4-A422-5DAC6D4AB8BF}">
      <text>
        <r>
          <rPr>
            <b/>
            <sz val="9"/>
            <color indexed="81"/>
            <rFont val="Tahoma"/>
            <family val="2"/>
          </rPr>
          <t>jarmylly:</t>
        </r>
        <r>
          <rPr>
            <sz val="9"/>
            <color indexed="81"/>
            <rFont val="Tahoma"/>
            <family val="2"/>
          </rPr>
          <t xml:space="preserve">
Image name:
- NMS_VDA_disk1
- NMS_VDA_disk2</t>
        </r>
      </text>
    </comment>
    <comment ref="H50" authorId="1" shapeId="0" xr:uid="{4D400D5E-E6B4-4828-BA4D-1E515FED3981}">
      <text>
        <r>
          <rPr>
            <b/>
            <sz val="9"/>
            <color indexed="81"/>
            <rFont val="Tahoma"/>
            <family val="2"/>
          </rPr>
          <t>jarmylly:</t>
        </r>
        <r>
          <rPr>
            <sz val="9"/>
            <color indexed="81"/>
            <rFont val="Tahoma"/>
            <family val="2"/>
          </rPr>
          <t xml:space="preserve">
Contains two disks:
- Disk-1: 61GB
(NOTE: For servers intended for more than 10 concurrent users the recommended size for disk C is Disk-1 size + RAM size.)
- Disk-2: 41GB</t>
        </r>
      </text>
    </comment>
    <comment ref="L50" authorId="1" shapeId="0" xr:uid="{9424C128-1BAD-4678-BE37-A07404DE7200}">
      <text>
        <r>
          <rPr>
            <b/>
            <sz val="9"/>
            <color indexed="81"/>
            <rFont val="Tahoma"/>
            <family val="2"/>
          </rPr>
          <t>jarmylly:</t>
        </r>
        <r>
          <rPr>
            <sz val="9"/>
            <color indexed="81"/>
            <rFont val="Tahoma"/>
            <family val="2"/>
          </rPr>
          <t xml:space="preserve">
Image name:
- NMS_VDA_disk1
- NMS_VDA_disk2</t>
        </r>
      </text>
    </comment>
    <comment ref="H51" authorId="1" shapeId="0" xr:uid="{A5F8D4D1-0B56-4971-AF40-CEE13AEF14B6}">
      <text>
        <r>
          <rPr>
            <b/>
            <sz val="9"/>
            <color indexed="81"/>
            <rFont val="Tahoma"/>
            <family val="2"/>
          </rPr>
          <t>jarmylly:</t>
        </r>
        <r>
          <rPr>
            <sz val="9"/>
            <color indexed="81"/>
            <rFont val="Tahoma"/>
            <family val="2"/>
          </rPr>
          <t xml:space="preserve">
Contains two disks:
- Disk-1: 61GB
(NOTE: For servers intended for more than 10 concurrent users the recommended size for disk C is Disk-1 size + RAM size.)
- Disk-2: 41GB</t>
        </r>
      </text>
    </comment>
    <comment ref="L51" authorId="1" shapeId="0" xr:uid="{B88D01A6-E18D-4B2E-A13A-DF2295F59CC7}">
      <text>
        <r>
          <rPr>
            <b/>
            <sz val="9"/>
            <color indexed="81"/>
            <rFont val="Tahoma"/>
            <family val="2"/>
          </rPr>
          <t>jarmylly:</t>
        </r>
        <r>
          <rPr>
            <sz val="9"/>
            <color indexed="81"/>
            <rFont val="Tahoma"/>
            <family val="2"/>
          </rPr>
          <t xml:space="preserve">
Image name:
- NMS_VDA_disk1
- NMS_VDA_disk2</t>
        </r>
      </text>
    </comment>
    <comment ref="H52" authorId="1" shapeId="0" xr:uid="{5FA58B1D-9D10-4C0F-BC5B-5F73B85D8177}">
      <text>
        <r>
          <rPr>
            <b/>
            <sz val="9"/>
            <color indexed="81"/>
            <rFont val="Tahoma"/>
            <family val="2"/>
          </rPr>
          <t>jarmylly:</t>
        </r>
        <r>
          <rPr>
            <sz val="9"/>
            <color indexed="81"/>
            <rFont val="Tahoma"/>
            <family val="2"/>
          </rPr>
          <t xml:space="preserve">
Contains two disks:
- Disk-1: 61GB
(NOTE: For servers intended for more than 10 concurrent users the recommended size for disk C is Disk-1 size + RAM size.)
- Disk-2: 41GB</t>
        </r>
      </text>
    </comment>
    <comment ref="L52" authorId="1" shapeId="0" xr:uid="{2A6B4303-2647-41E5-9266-0B35F712EA3D}">
      <text>
        <r>
          <rPr>
            <b/>
            <sz val="9"/>
            <color indexed="81"/>
            <rFont val="Tahoma"/>
            <family val="2"/>
          </rPr>
          <t>jarmylly:</t>
        </r>
        <r>
          <rPr>
            <sz val="9"/>
            <color indexed="81"/>
            <rFont val="Tahoma"/>
            <family val="2"/>
          </rPr>
          <t xml:space="preserve">
Image name:
- NMS_VDA_disk1
- NMS_VDA_disk2</t>
        </r>
      </text>
    </comment>
    <comment ref="H53" authorId="1" shapeId="0" xr:uid="{7D8C4FAE-BF92-497D-83B5-6AFD885BE36C}">
      <text>
        <r>
          <rPr>
            <b/>
            <sz val="9"/>
            <color indexed="81"/>
            <rFont val="Tahoma"/>
            <family val="2"/>
          </rPr>
          <t>jarmylly:</t>
        </r>
        <r>
          <rPr>
            <sz val="9"/>
            <color indexed="81"/>
            <rFont val="Tahoma"/>
            <family val="2"/>
          </rPr>
          <t xml:space="preserve">
Contains two disks:
- Disk-1: 80GB
(NOTE: For servers intended for more than 10 concurrent users the recommended size for disk C is Disk-1 size + RAM size.)
- Disk-2: 40GB</t>
        </r>
      </text>
    </comment>
    <comment ref="L53" authorId="1" shapeId="0" xr:uid="{84174A75-258F-41EF-AE1E-0175B9E0D237}">
      <text>
        <r>
          <rPr>
            <b/>
            <sz val="9"/>
            <color indexed="81"/>
            <rFont val="Tahoma"/>
            <family val="2"/>
          </rPr>
          <t>jarmylly:</t>
        </r>
        <r>
          <rPr>
            <sz val="9"/>
            <color indexed="81"/>
            <rFont val="Tahoma"/>
            <family val="2"/>
          </rPr>
          <t xml:space="preserve">
Image name:
- NMS_CTXDC_disk1
- NMS_CTXDC_disk2</t>
        </r>
      </text>
    </comment>
    <comment ref="L54" authorId="1" shapeId="0" xr:uid="{AA57138D-2188-43E4-8112-733FB4C5D6F3}">
      <text>
        <r>
          <rPr>
            <b/>
            <sz val="9"/>
            <color indexed="81"/>
            <rFont val="Tahoma"/>
            <family val="2"/>
          </rPr>
          <t>jarmylly:</t>
        </r>
        <r>
          <rPr>
            <sz val="9"/>
            <color indexed="81"/>
            <rFont val="Tahoma"/>
            <family val="2"/>
          </rPr>
          <t xml:space="preserve">
Image name: netact_rhel_base</t>
        </r>
      </text>
    </comment>
    <comment ref="L55" authorId="1" shapeId="0" xr:uid="{AD6B803F-782E-4FAC-B7E4-17D4604269CE}">
      <text>
        <r>
          <rPr>
            <b/>
            <sz val="9"/>
            <color indexed="81"/>
            <rFont val="Tahoma"/>
            <family val="2"/>
          </rPr>
          <t>jarmylly:</t>
        </r>
        <r>
          <rPr>
            <sz val="9"/>
            <color indexed="81"/>
            <rFont val="Tahoma"/>
            <family val="2"/>
          </rPr>
          <t xml:space="preserve">
Image name: netact_rhel_base</t>
        </r>
      </text>
    </comment>
    <comment ref="L56" authorId="1" shapeId="0" xr:uid="{B2C03528-3E7A-454C-86C1-DF8B221FC6D0}">
      <text>
        <r>
          <rPr>
            <b/>
            <sz val="9"/>
            <color indexed="81"/>
            <rFont val="Tahoma"/>
            <family val="2"/>
          </rPr>
          <t>jarmylly:</t>
        </r>
        <r>
          <rPr>
            <sz val="9"/>
            <color indexed="81"/>
            <rFont val="Tahoma"/>
            <family val="2"/>
          </rPr>
          <t xml:space="preserve">
Image name: netact_rhel_base</t>
        </r>
      </text>
    </comment>
    <comment ref="L57" authorId="1" shapeId="0" xr:uid="{E3A9245D-21C7-4A51-BB72-454E98278A1B}">
      <text>
        <r>
          <rPr>
            <b/>
            <sz val="9"/>
            <color indexed="81"/>
            <rFont val="Tahoma"/>
            <family val="2"/>
          </rPr>
          <t>jarmylly:</t>
        </r>
        <r>
          <rPr>
            <sz val="9"/>
            <color indexed="81"/>
            <rFont val="Tahoma"/>
            <family val="2"/>
          </rPr>
          <t xml:space="preserve">
Image name: netact_rhel_base</t>
        </r>
      </text>
    </comment>
    <comment ref="L58" authorId="1" shapeId="0" xr:uid="{FDAFF241-43E0-4559-B88A-A004C1FD7CAE}">
      <text>
        <r>
          <rPr>
            <b/>
            <sz val="9"/>
            <color indexed="81"/>
            <rFont val="Tahoma"/>
            <family val="2"/>
          </rPr>
          <t>jarmylly:</t>
        </r>
        <r>
          <rPr>
            <sz val="9"/>
            <color indexed="81"/>
            <rFont val="Tahoma"/>
            <family val="2"/>
          </rPr>
          <t xml:space="preserve">
Image name:
- NMS_VDA_disk1
- NMS_VDA_disk2</t>
        </r>
      </text>
    </comment>
    <comment ref="L59" authorId="1" shapeId="0" xr:uid="{47F49F1D-D30D-4B15-B5F4-0EBC0AF40BD7}">
      <text>
        <r>
          <rPr>
            <b/>
            <sz val="9"/>
            <color indexed="81"/>
            <rFont val="Tahoma"/>
            <family val="2"/>
          </rPr>
          <t>jarmylly:</t>
        </r>
        <r>
          <rPr>
            <sz val="9"/>
            <color indexed="81"/>
            <rFont val="Tahoma"/>
            <family val="2"/>
          </rPr>
          <t xml:space="preserve">
Image name:
- NMS_CTXDC_disk1
- NMS_CTXDC_disk2</t>
        </r>
      </text>
    </comment>
    <comment ref="L60" authorId="1" shapeId="0" xr:uid="{C0F913EA-F27F-4DF2-84C8-93C1ABF42BB0}">
      <text>
        <r>
          <rPr>
            <b/>
            <sz val="9"/>
            <color indexed="81"/>
            <rFont val="Tahoma"/>
            <family val="2"/>
          </rPr>
          <t>jarmylly:</t>
        </r>
        <r>
          <rPr>
            <sz val="9"/>
            <color indexed="81"/>
            <rFont val="Tahoma"/>
            <family val="2"/>
          </rPr>
          <t xml:space="preserve">
Image name: netact_rhel_base</t>
        </r>
      </text>
    </comment>
    <comment ref="H61" authorId="1" shapeId="0" xr:uid="{9E1E10AE-6202-408F-8D26-837E5752C900}">
      <text>
        <r>
          <rPr>
            <b/>
            <sz val="9"/>
            <color indexed="81"/>
            <rFont val="Tahoma"/>
            <family val="2"/>
          </rPr>
          <t>jarmylly:</t>
        </r>
        <r>
          <rPr>
            <sz val="9"/>
            <color indexed="81"/>
            <rFont val="Tahoma"/>
            <family val="2"/>
          </rPr>
          <t xml:space="preserve">
Contains two disks:
- Disk-1: 30,720GB
- Disk-2: 81,920GB</t>
        </r>
      </text>
    </comment>
    <comment ref="L61" authorId="1" shapeId="0" xr:uid="{685B430D-AF2E-4413-B4E0-7A32FD45BD6D}">
      <text>
        <r>
          <rPr>
            <b/>
            <sz val="9"/>
            <color indexed="81"/>
            <rFont val="Tahoma"/>
            <family val="2"/>
          </rPr>
          <t>jarmylly:</t>
        </r>
        <r>
          <rPr>
            <sz val="9"/>
            <color indexed="81"/>
            <rFont val="Tahoma"/>
            <family val="2"/>
          </rPr>
          <t xml:space="preserve">
Image name: netact_rhel_base</t>
        </r>
      </text>
    </comment>
    <comment ref="L62" authorId="1" shapeId="0" xr:uid="{8264DA75-A56E-482E-9B9F-1516CD9DD961}">
      <text>
        <r>
          <rPr>
            <b/>
            <sz val="9"/>
            <color indexed="81"/>
            <rFont val="Tahoma"/>
            <family val="2"/>
          </rPr>
          <t>jarmylly:</t>
        </r>
        <r>
          <rPr>
            <sz val="9"/>
            <color indexed="81"/>
            <rFont val="Tahoma"/>
            <family val="2"/>
          </rPr>
          <t xml:space="preserve">
Image name: netact_rhel_base</t>
        </r>
      </text>
    </comment>
    <comment ref="L63" authorId="1" shapeId="0" xr:uid="{9228AE3F-17C1-4164-852B-C62E43B741A2}">
      <text>
        <r>
          <rPr>
            <b/>
            <sz val="9"/>
            <color indexed="81"/>
            <rFont val="Tahoma"/>
            <family val="2"/>
          </rPr>
          <t>jarmylly:</t>
        </r>
        <r>
          <rPr>
            <sz val="9"/>
            <color indexed="81"/>
            <rFont val="Tahoma"/>
            <family val="2"/>
          </rPr>
          <t xml:space="preserve">
Image name: netact_rhel_base</t>
        </r>
      </text>
    </comment>
    <comment ref="L64" authorId="1" shapeId="0" xr:uid="{19526992-0E6F-4F45-BFF5-A564B2B0693F}">
      <text>
        <r>
          <rPr>
            <b/>
            <sz val="9"/>
            <color indexed="81"/>
            <rFont val="Tahoma"/>
            <family val="2"/>
          </rPr>
          <t>jarmylly:</t>
        </r>
        <r>
          <rPr>
            <sz val="9"/>
            <color indexed="81"/>
            <rFont val="Tahoma"/>
            <family val="2"/>
          </rPr>
          <t xml:space="preserve">
Image name: netact_rhel_base</t>
        </r>
      </text>
    </comment>
    <comment ref="L65" authorId="1" shapeId="0" xr:uid="{2AF37164-37D2-46FD-B044-CD06DB6FC8B2}">
      <text>
        <r>
          <rPr>
            <b/>
            <sz val="9"/>
            <color indexed="81"/>
            <rFont val="Tahoma"/>
            <family val="2"/>
          </rPr>
          <t>jarmylly:</t>
        </r>
        <r>
          <rPr>
            <sz val="9"/>
            <color indexed="81"/>
            <rFont val="Tahoma"/>
            <family val="2"/>
          </rPr>
          <t xml:space="preserve">
Image name: netact_rhel_base</t>
        </r>
      </text>
    </comment>
    <comment ref="L66" authorId="0" shapeId="0" xr:uid="{8787DC01-0CBD-4660-8AC7-95B1956A70DF}">
      <text>
        <r>
          <rPr>
            <b/>
            <sz val="9"/>
            <color indexed="81"/>
            <rFont val="Tahoma"/>
            <charset val="1"/>
          </rPr>
          <t>Avuthu, Charan (EXT - IN/Bangalore):</t>
        </r>
        <r>
          <rPr>
            <sz val="9"/>
            <color indexed="81"/>
            <rFont val="Tahoma"/>
            <charset val="1"/>
          </rPr>
          <t xml:space="preserve">
Image name: netact_rhel_base</t>
        </r>
      </text>
    </comment>
    <comment ref="BM67" authorId="1" shapeId="0" xr:uid="{05461ADD-7D17-46FA-ABC1-4F01090E6073}">
      <text>
        <r>
          <rPr>
            <b/>
            <sz val="9"/>
            <color indexed="81"/>
            <rFont val="Tahoma"/>
            <family val="2"/>
          </rPr>
          <t>jarmylly:</t>
        </r>
        <r>
          <rPr>
            <sz val="9"/>
            <color indexed="81"/>
            <rFont val="Tahoma"/>
            <family val="2"/>
          </rPr>
          <t xml:space="preserve">
IPv4: 3
IPv4/IPv6: 5</t>
        </r>
      </text>
    </comment>
    <comment ref="L71" authorId="1" shapeId="0" xr:uid="{8E90F8F0-A255-4BDE-9C8E-AE64A926D946}">
      <text>
        <r>
          <rPr>
            <b/>
            <sz val="9"/>
            <color indexed="81"/>
            <rFont val="Tahoma"/>
            <family val="2"/>
          </rPr>
          <t>jarmylly:</t>
        </r>
        <r>
          <rPr>
            <sz val="9"/>
            <color indexed="81"/>
            <rFont val="Tahoma"/>
            <family val="2"/>
          </rPr>
          <t xml:space="preserve">
Image name: netact_rhel_base</t>
        </r>
      </text>
    </comment>
    <comment ref="L72" authorId="1" shapeId="0" xr:uid="{920168DB-CE70-40A9-9D3D-37AEDEB033B6}">
      <text>
        <r>
          <rPr>
            <b/>
            <sz val="9"/>
            <color indexed="81"/>
            <rFont val="Tahoma"/>
            <family val="2"/>
          </rPr>
          <t>jarmylly:</t>
        </r>
        <r>
          <rPr>
            <sz val="9"/>
            <color indexed="81"/>
            <rFont val="Tahoma"/>
            <family val="2"/>
          </rPr>
          <t xml:space="preserve">
Image name: netact_rhel_base</t>
        </r>
      </text>
    </comment>
    <comment ref="L73" authorId="1" shapeId="0" xr:uid="{64A71290-1849-452C-9FA8-21A60FD0BFF5}">
      <text>
        <r>
          <rPr>
            <b/>
            <sz val="9"/>
            <color indexed="81"/>
            <rFont val="Tahoma"/>
            <family val="2"/>
          </rPr>
          <t>jarmylly:</t>
        </r>
        <r>
          <rPr>
            <sz val="9"/>
            <color indexed="81"/>
            <rFont val="Tahoma"/>
            <family val="2"/>
          </rPr>
          <t xml:space="preserve">
Image name: netact_rhel_base</t>
        </r>
      </text>
    </comment>
    <comment ref="L74" authorId="1" shapeId="0" xr:uid="{BD084884-092F-4688-BDF4-E7B6909B0233}">
      <text>
        <r>
          <rPr>
            <b/>
            <sz val="9"/>
            <color indexed="81"/>
            <rFont val="Tahoma"/>
            <family val="2"/>
          </rPr>
          <t>jarmylly:</t>
        </r>
        <r>
          <rPr>
            <sz val="9"/>
            <color indexed="81"/>
            <rFont val="Tahoma"/>
            <family val="2"/>
          </rPr>
          <t xml:space="preserve">
Image name: netact_rhel_base</t>
        </r>
      </text>
    </comment>
    <comment ref="L75" authorId="1" shapeId="0" xr:uid="{CC038E54-5F2D-4BB5-9DD6-ACA6D25BAD93}">
      <text>
        <r>
          <rPr>
            <b/>
            <sz val="9"/>
            <color indexed="81"/>
            <rFont val="Tahoma"/>
            <family val="2"/>
          </rPr>
          <t>jarmylly:</t>
        </r>
        <r>
          <rPr>
            <sz val="9"/>
            <color indexed="81"/>
            <rFont val="Tahoma"/>
            <family val="2"/>
          </rPr>
          <t xml:space="preserve">
Image name: netact_rhel_base</t>
        </r>
      </text>
    </comment>
    <comment ref="L76" authorId="1" shapeId="0" xr:uid="{2FA12396-ECB1-4401-879E-6354A9881CAB}">
      <text>
        <r>
          <rPr>
            <b/>
            <sz val="9"/>
            <color indexed="81"/>
            <rFont val="Tahoma"/>
            <family val="2"/>
          </rPr>
          <t>jarmylly:</t>
        </r>
        <r>
          <rPr>
            <sz val="9"/>
            <color indexed="81"/>
            <rFont val="Tahoma"/>
            <family val="2"/>
          </rPr>
          <t xml:space="preserve">
Image name: netact_rhel_base</t>
        </r>
      </text>
    </comment>
    <comment ref="BM77" authorId="1" shapeId="0" xr:uid="{00758C4D-63EF-41BD-9846-A853EBF03828}">
      <text>
        <r>
          <rPr>
            <b/>
            <sz val="9"/>
            <color indexed="81"/>
            <rFont val="Tahoma"/>
            <family val="2"/>
          </rPr>
          <t>jarmylly:</t>
        </r>
        <r>
          <rPr>
            <sz val="9"/>
            <color indexed="81"/>
            <rFont val="Tahoma"/>
            <family val="2"/>
          </rPr>
          <t xml:space="preserve">
IPv4: 3
IPv4/IPv6: 5</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Avuthu, Charan (EXT - IN/Bangalore)</author>
    <author>Thippeswamy, Suresh (Nokia - IN/Bangalore)</author>
    <author>jarmylly</author>
    <author>Goyal, Mayank (Nokia - IN/Bangalore)</author>
    <author>Jari Myllymaa</author>
  </authors>
  <commentList>
    <comment ref="J7" authorId="0" shapeId="0" xr:uid="{37A3013E-2BA0-489A-97A4-7C8450B96B74}">
      <text>
        <r>
          <rPr>
            <b/>
            <sz val="9"/>
            <color indexed="81"/>
            <rFont val="Tahoma"/>
            <charset val="1"/>
          </rPr>
          <t>Avuthu, Charan (EXT - IN/Bangalore):</t>
        </r>
        <r>
          <rPr>
            <sz val="9"/>
            <color indexed="81"/>
            <rFont val="Tahoma"/>
            <charset val="1"/>
          </rPr>
          <t xml:space="preserve">
Virtual Machine SWAP file size in VMGuestDisk data store, for Virtual Infra operations</t>
        </r>
      </text>
    </comment>
    <comment ref="L10" authorId="1" shapeId="0" xr:uid="{93D5E646-A8BC-408C-8419-D8FD230EF07A}">
      <text>
        <r>
          <rPr>
            <b/>
            <sz val="9"/>
            <color indexed="81"/>
            <rFont val="Tahoma"/>
            <family val="2"/>
          </rPr>
          <t>Thippeswamy, Suresh (Nokia - IN/Bangalore):</t>
        </r>
        <r>
          <rPr>
            <sz val="9"/>
            <color indexed="81"/>
            <rFont val="Tahoma"/>
            <family val="2"/>
          </rPr>
          <t xml:space="preserve">
Db_redo disk size:119800MB</t>
        </r>
      </text>
    </comment>
    <comment ref="N10" authorId="2" shapeId="0" xr:uid="{7253DCC8-95AF-4383-A2DA-C68F6421EEA7}">
      <text>
        <r>
          <rPr>
            <b/>
            <sz val="9"/>
            <color indexed="81"/>
            <rFont val="Tahoma"/>
            <family val="2"/>
          </rPr>
          <t>jarmylly:</t>
        </r>
        <r>
          <rPr>
            <sz val="9"/>
            <color indexed="81"/>
            <rFont val="Tahoma"/>
            <family val="2"/>
          </rPr>
          <t xml:space="preserve">
Contains one disk, either: 
 DB_data(Std): 2304000MB
OR
 DB_data(Extended): 5667840MB</t>
        </r>
      </text>
    </comment>
    <comment ref="P10" authorId="2" shapeId="0" xr:uid="{57A5405A-E067-4B6C-BE0E-4B978C1E4C81}">
      <text>
        <r>
          <rPr>
            <b/>
            <sz val="9"/>
            <color indexed="81"/>
            <rFont val="Tahoma"/>
            <family val="2"/>
          </rPr>
          <t>jarmylly:</t>
        </r>
        <r>
          <rPr>
            <sz val="9"/>
            <color indexed="81"/>
            <rFont val="Tahoma"/>
            <family val="2"/>
          </rPr>
          <t xml:space="preserve">
Contains one disk, either: 
 DB_arc(Std): 3456000MB
OR
 DB_arc(Extended): 4700160MB</t>
        </r>
      </text>
    </comment>
    <comment ref="X10" authorId="2" shapeId="0" xr:uid="{3C34FB74-2780-4769-B9C5-593E5759E7E8}">
      <text>
        <r>
          <rPr>
            <b/>
            <sz val="9"/>
            <color indexed="81"/>
            <rFont val="Tahoma"/>
            <family val="2"/>
          </rPr>
          <t>jarmylly:</t>
        </r>
        <r>
          <rPr>
            <sz val="9"/>
            <color indexed="81"/>
            <rFont val="Tahoma"/>
            <family val="2"/>
          </rPr>
          <t xml:space="preserve">
Contains one disk:
 DB_backup(Std): 10022400MB
OR
  DB_backup(Extended):17003520MB</t>
        </r>
      </text>
    </comment>
    <comment ref="AH10" authorId="3" shapeId="0" xr:uid="{9A70CC97-8B75-4057-9F5E-E408A826EEF9}">
      <text>
        <r>
          <rPr>
            <b/>
            <sz val="9"/>
            <color indexed="81"/>
            <rFont val="Tahoma"/>
            <family val="2"/>
          </rPr>
          <t>Goyal, Mayank (Nokia - IN/Bangalore):</t>
        </r>
        <r>
          <rPr>
            <sz val="9"/>
            <color indexed="81"/>
            <rFont val="Tahoma"/>
            <family val="2"/>
          </rPr>
          <t xml:space="preserve">
Contains one disk:
- db-fb_disk : 3145728MB</t>
        </r>
      </text>
    </comment>
    <comment ref="R11" authorId="2" shapeId="0" xr:uid="{5794BDA0-4A7C-4C56-A536-DAFE2CD8982B}">
      <text>
        <r>
          <rPr>
            <b/>
            <sz val="9"/>
            <color indexed="81"/>
            <rFont val="Tahoma"/>
            <family val="2"/>
          </rPr>
          <t>jarmylly:</t>
        </r>
        <r>
          <rPr>
            <sz val="9"/>
            <color indexed="81"/>
            <rFont val="Tahoma"/>
            <family val="2"/>
          </rPr>
          <t xml:space="preserve">
Contains three disks:
- NFS_global: 450560 MB
OR
- NFS global (If LCM chosen as optional service on Compute1): 573440 MB
- NFS_home: 24576 MB
- NFS WAS dumps: 87040 MB</t>
        </r>
      </text>
    </comment>
    <comment ref="T11" authorId="2" shapeId="0" xr:uid="{AF02746C-1A43-474E-B538-6D33649D8512}">
      <text>
        <r>
          <rPr>
            <b/>
            <sz val="9"/>
            <color indexed="81"/>
            <rFont val="Tahoma"/>
            <family val="2"/>
          </rPr>
          <t>jarmylly:</t>
        </r>
        <r>
          <rPr>
            <sz val="9"/>
            <color indexed="81"/>
            <rFont val="Tahoma"/>
            <family val="2"/>
          </rPr>
          <t xml:space="preserve">
Reserved for customer own data.</t>
        </r>
      </text>
    </comment>
    <comment ref="X11" authorId="2" shapeId="0" xr:uid="{30315BAD-E529-4F72-8D82-FB6518400598}">
      <text>
        <r>
          <rPr>
            <b/>
            <sz val="9"/>
            <color indexed="81"/>
            <rFont val="Tahoma"/>
            <family val="2"/>
          </rPr>
          <t>jarmylly:</t>
        </r>
        <r>
          <rPr>
            <sz val="9"/>
            <color indexed="81"/>
            <rFont val="Tahoma"/>
            <family val="2"/>
          </rPr>
          <t xml:space="preserve">
Contains one disk:
- NFS_backup: 460800MB
OR
- NFS_backup (If LCM chosen as optional service on Compute1): 5836890 MB</t>
        </r>
      </text>
    </comment>
    <comment ref="AB18" authorId="1" shapeId="0" xr:uid="{1AA47FAC-A852-45CC-9F8A-18F09B1B6A99}">
      <text>
        <r>
          <rPr>
            <b/>
            <sz val="9"/>
            <color indexed="81"/>
            <rFont val="Tahoma"/>
            <family val="2"/>
          </rPr>
          <t>Thippeswamy, Suresh (Nokia - IN/Bangalore):</t>
        </r>
        <r>
          <rPr>
            <sz val="9"/>
            <color indexed="81"/>
            <rFont val="Tahoma"/>
            <family val="2"/>
          </rPr>
          <t xml:space="preserve">
Contains 1 disk:
adm_disk1: 51200MB</t>
        </r>
      </text>
    </comment>
    <comment ref="AD22" authorId="1" shapeId="0" xr:uid="{7659F3FE-5CD0-4682-8210-E9C490275E43}">
      <text>
        <r>
          <rPr>
            <b/>
            <sz val="9"/>
            <color indexed="81"/>
            <rFont val="Tahoma"/>
            <family val="2"/>
          </rPr>
          <t>Thippeswamy, Suresh (Nokia - IN/Bangalore):</t>
        </r>
        <r>
          <rPr>
            <sz val="9"/>
            <color indexed="81"/>
            <rFont val="Tahoma"/>
            <family val="2"/>
          </rPr>
          <t xml:space="preserve">
Contains one disk:
isdk_disk1 : 87040MB</t>
        </r>
      </text>
    </comment>
    <comment ref="AD23" authorId="1" shapeId="0" xr:uid="{D04E00D3-F938-424B-A3BE-59F1A9462AB6}">
      <text>
        <r>
          <rPr>
            <b/>
            <sz val="9"/>
            <color indexed="81"/>
            <rFont val="Tahoma"/>
            <family val="2"/>
          </rPr>
          <t>Thippeswamy, Suresh (Nokia - IN/Bangalore):</t>
        </r>
        <r>
          <rPr>
            <sz val="9"/>
            <color indexed="81"/>
            <rFont val="Tahoma"/>
            <family val="2"/>
          </rPr>
          <t xml:space="preserve">
Contains one disk:
isdk_disk1 : 87040MB</t>
        </r>
      </text>
    </comment>
    <comment ref="I34" authorId="2" shapeId="0" xr:uid="{6EF58088-4126-4571-B793-42EC1AD286EA}">
      <text>
        <r>
          <rPr>
            <b/>
            <sz val="9"/>
            <color indexed="81"/>
            <rFont val="Tahoma"/>
            <family val="2"/>
          </rPr>
          <t>jarmylly:</t>
        </r>
        <r>
          <rPr>
            <sz val="9"/>
            <color indexed="81"/>
            <rFont val="Tahoma"/>
            <family val="2"/>
          </rPr>
          <t xml:space="preserve">
Contains two disks:
- Disk-1: 60GB
- Disk-2: 40GB</t>
        </r>
      </text>
    </comment>
    <comment ref="I35" authorId="2" shapeId="0" xr:uid="{95AC3A09-329F-4B41-9B31-4585F87F22CC}">
      <text>
        <r>
          <rPr>
            <b/>
            <sz val="9"/>
            <color indexed="81"/>
            <rFont val="Tahoma"/>
            <family val="2"/>
          </rPr>
          <t>jarmylly:</t>
        </r>
        <r>
          <rPr>
            <sz val="9"/>
            <color indexed="81"/>
            <rFont val="Tahoma"/>
            <family val="2"/>
          </rPr>
          <t xml:space="preserve">
Contains two disks:
- Disk-1: 60GB
(NOTE: For servers intended for more than 10 concurrent users the recommended size for disk C is Disk-1 size + RAM size.)
- Disk-2: 50GB</t>
        </r>
      </text>
    </comment>
    <comment ref="I36" authorId="2" shapeId="0" xr:uid="{59CC63F0-FCDC-45ED-9A22-2E3363EBEF6B}">
      <text>
        <r>
          <rPr>
            <b/>
            <sz val="9"/>
            <color indexed="81"/>
            <rFont val="Tahoma"/>
            <family val="2"/>
          </rPr>
          <t>jarmylly:</t>
        </r>
        <r>
          <rPr>
            <sz val="9"/>
            <color indexed="81"/>
            <rFont val="Tahoma"/>
            <family val="2"/>
          </rPr>
          <t xml:space="preserve">
Contains two disks:
- Disk-1: 80GB
(NOTE: For servers intended for more than 10 concurrent users the recommended size for disk C is Disk-1 size + RAM size.)
- Disk-2: 40GB</t>
        </r>
      </text>
    </comment>
    <comment ref="Z37" authorId="2" shapeId="0" xr:uid="{6B070673-812F-48CD-8BC5-E9092272095A}">
      <text>
        <r>
          <rPr>
            <b/>
            <sz val="9"/>
            <color indexed="81"/>
            <rFont val="Tahoma"/>
            <family val="2"/>
          </rPr>
          <t>jarmylly:</t>
        </r>
        <r>
          <rPr>
            <sz val="9"/>
            <color indexed="81"/>
            <rFont val="Tahoma"/>
            <family val="2"/>
          </rPr>
          <t xml:space="preserve">
Contains one disk:
- vm66_REP_disk: 46080MB
</t>
        </r>
      </text>
    </comment>
    <comment ref="AA37" authorId="4" shapeId="0" xr:uid="{F9AF418B-8FFE-460E-AE2A-A4CA7BB64D43}">
      <text>
        <r>
          <rPr>
            <b/>
            <sz val="9"/>
            <color indexed="81"/>
            <rFont val="Calibri"/>
            <family val="2"/>
          </rPr>
          <t>Jari Myllymaa:</t>
        </r>
        <r>
          <rPr>
            <sz val="9"/>
            <color indexed="81"/>
            <rFont val="Calibri"/>
            <family val="2"/>
          </rPr>
          <t xml:space="preserve">
PMDatastore can extend 50GB</t>
        </r>
      </text>
    </comment>
    <comment ref="Z38" authorId="2" shapeId="0" xr:uid="{29B79988-BF92-44BB-A2A8-4BE276AC5355}">
      <text>
        <r>
          <rPr>
            <b/>
            <sz val="9"/>
            <color indexed="81"/>
            <rFont val="Tahoma"/>
            <family val="2"/>
          </rPr>
          <t>jarmylly:</t>
        </r>
        <r>
          <rPr>
            <sz val="9"/>
            <color indexed="81"/>
            <rFont val="Tahoma"/>
            <family val="2"/>
          </rPr>
          <t xml:space="preserve">
Contains one disk:
- vm66_REP_disk: 46080MB
</t>
        </r>
      </text>
    </comment>
    <comment ref="Z39" authorId="2" shapeId="0" xr:uid="{182635BF-49CB-42BF-8488-CC9C2952B6E8}">
      <text>
        <r>
          <rPr>
            <b/>
            <sz val="9"/>
            <color indexed="81"/>
            <rFont val="Tahoma"/>
            <family val="2"/>
          </rPr>
          <t>jarmylly:</t>
        </r>
        <r>
          <rPr>
            <sz val="9"/>
            <color indexed="81"/>
            <rFont val="Tahoma"/>
            <family val="2"/>
          </rPr>
          <t xml:space="preserve">
Contains one disk:
- vm66_REP_disk: 46080MB
</t>
        </r>
      </text>
    </comment>
    <comment ref="Z40" authorId="2" shapeId="0" xr:uid="{780129BD-AB5E-41A8-A773-62390A6F88BC}">
      <text>
        <r>
          <rPr>
            <b/>
            <sz val="9"/>
            <color indexed="81"/>
            <rFont val="Tahoma"/>
            <family val="2"/>
          </rPr>
          <t>jarmylly:</t>
        </r>
        <r>
          <rPr>
            <sz val="9"/>
            <color indexed="81"/>
            <rFont val="Tahoma"/>
            <family val="2"/>
          </rPr>
          <t xml:space="preserve">
Contains one disk:
- vm66_REP_disk: 46080MB
</t>
        </r>
      </text>
    </comment>
    <comment ref="AF43" authorId="0" shapeId="0" xr:uid="{A63ACAF5-800A-4E95-8389-19142FD8357F}">
      <text>
        <r>
          <rPr>
            <b/>
            <sz val="9"/>
            <color indexed="81"/>
            <rFont val="Tahoma"/>
            <charset val="1"/>
          </rPr>
          <t>Avuthu, Charan (EXT - IN/Bangalore):</t>
        </r>
        <r>
          <rPr>
            <sz val="9"/>
            <color indexed="81"/>
            <rFont val="Tahoma"/>
            <charset val="1"/>
          </rPr>
          <t xml:space="preserve">
Contains one disk:
- ccr_disk1: 153600MB</t>
        </r>
      </text>
    </comment>
    <comment ref="R47" authorId="0" shapeId="0" xr:uid="{91AD1A05-0ED1-474F-907E-7D6EB77CBCEA}">
      <text>
        <r>
          <rPr>
            <b/>
            <sz val="9"/>
            <color indexed="81"/>
            <rFont val="Tahoma"/>
            <family val="2"/>
          </rPr>
          <t>Avuthu, Charan (EXT - IN/Bangalore):</t>
        </r>
        <r>
          <rPr>
            <sz val="9"/>
            <color indexed="81"/>
            <rFont val="Tahoma"/>
            <family val="2"/>
          </rPr>
          <t xml:space="preserve">
Increase for NFSGlobal disk on VM5 by 120GB
- NFS global (For LCM as optional service on Compute1): 573440 MB</t>
        </r>
      </text>
    </comment>
    <comment ref="X47" authorId="0" shapeId="0" xr:uid="{C95C0E2A-D5CA-4688-8963-2B89DD274659}">
      <text>
        <r>
          <rPr>
            <b/>
            <sz val="9"/>
            <color indexed="81"/>
            <rFont val="Tahoma"/>
            <charset val="1"/>
          </rPr>
          <t>Avuthu, Charan (EXT - IN/Bangalore):</t>
        </r>
        <r>
          <rPr>
            <sz val="9"/>
            <color indexed="81"/>
            <rFont val="Tahoma"/>
            <charset val="1"/>
          </rPr>
          <t xml:space="preserve">
Contains one disk:
- backup_disk1: 204800 MB
Increase in NFS Backup disk on VM5 by 120GB
- NFS_backup (For LCM as optional service on Compute1): 583680 MB</t>
        </r>
      </text>
    </comment>
    <comment ref="I52" authorId="1" shapeId="0" xr:uid="{4CDB8766-FB68-482A-860F-883BE3A25CA6}">
      <text>
        <r>
          <rPr>
            <b/>
            <sz val="9"/>
            <color indexed="81"/>
            <rFont val="Tahoma"/>
            <family val="2"/>
          </rPr>
          <t>Thippeswamy, Suresh (Nokia - IN/Bangalore):</t>
        </r>
        <r>
          <rPr>
            <sz val="9"/>
            <color indexed="81"/>
            <rFont val="Tahoma"/>
            <family val="2"/>
          </rPr>
          <t xml:space="preserve">
NetAct20 scratch and on top upgrade, the required disk size is 70GB
On long upgrade environment(Having NetAct19 or older in upgrade history), since /var partition requires 40GB from NetAct20 onwards, so additional 25GB disk space is automtically added and attached to /var partition. With this the total disks consumption will be 95GB 
On long upgrade environments(NetAct20 or older), from N23R3 onwards, additional 12GB would be extended and attached to SWAP partition. With this, the total disk consumption will be 107GB.</t>
        </r>
      </text>
    </comment>
    <comment ref="I53" authorId="2" shapeId="0" xr:uid="{9E92147C-6477-4F18-9CE6-C094C1390315}">
      <text>
        <r>
          <rPr>
            <b/>
            <sz val="9"/>
            <color indexed="81"/>
            <rFont val="Tahoma"/>
            <family val="2"/>
          </rPr>
          <t>jarmylly:</t>
        </r>
        <r>
          <rPr>
            <sz val="9"/>
            <color indexed="81"/>
            <rFont val="Tahoma"/>
            <family val="2"/>
          </rPr>
          <t xml:space="preserve">
Contains two disks:
- Disk-1: 60GB
- Disk-2: 40GB</t>
        </r>
      </text>
    </comment>
    <comment ref="I54" authorId="2" shapeId="0" xr:uid="{0EFC774E-F21E-4B4C-B11A-F1B3978B7DD7}">
      <text>
        <r>
          <rPr>
            <b/>
            <sz val="9"/>
            <color indexed="81"/>
            <rFont val="Tahoma"/>
            <family val="2"/>
          </rPr>
          <t>jarmylly:</t>
        </r>
        <r>
          <rPr>
            <sz val="9"/>
            <color indexed="81"/>
            <rFont val="Tahoma"/>
            <family val="2"/>
          </rPr>
          <t xml:space="preserve">
Contains two disks:
- Disk-1: 60GB
(NOTE: For servers intended for more than 10 concurrent users the recommended size for disk C is Disk-1 size + RAM size.)
- Disk-2: 40GB</t>
        </r>
      </text>
    </comment>
    <comment ref="I55" authorId="2" shapeId="0" xr:uid="{38768A05-317E-4EF0-B41C-8B578DD08BA4}">
      <text>
        <r>
          <rPr>
            <b/>
            <sz val="9"/>
            <color indexed="81"/>
            <rFont val="Tahoma"/>
            <family val="2"/>
          </rPr>
          <t>jarmylly:</t>
        </r>
        <r>
          <rPr>
            <sz val="9"/>
            <color indexed="81"/>
            <rFont val="Tahoma"/>
            <family val="2"/>
          </rPr>
          <t xml:space="preserve">
Contains two disks:
- Disk-1: 60GB
(NOTE: For servers intended for more than 10 concurrent users the recommended size for disk C is Disk-1 size + RAM size.)
- Disk-2: 40GB</t>
        </r>
      </text>
    </comment>
    <comment ref="I56" authorId="2" shapeId="0" xr:uid="{26F83B3B-D354-45A3-8D8E-BFFDF1598B3A}">
      <text>
        <r>
          <rPr>
            <b/>
            <sz val="9"/>
            <color indexed="81"/>
            <rFont val="Tahoma"/>
            <family val="2"/>
          </rPr>
          <t>jarmylly:</t>
        </r>
        <r>
          <rPr>
            <sz val="9"/>
            <color indexed="81"/>
            <rFont val="Tahoma"/>
            <family val="2"/>
          </rPr>
          <t xml:space="preserve">
Contains two disks:
- Disk-1: 60GB
(NOTE: For servers intended for more than 10 concurrent users the recommended size for disk C is Disk-1 size + RAM size.)
- Disk-2: 40GB</t>
        </r>
      </text>
    </comment>
    <comment ref="I57" authorId="2" shapeId="0" xr:uid="{ED4AD0FA-5771-4FB5-804A-153F9E2A6189}">
      <text>
        <r>
          <rPr>
            <b/>
            <sz val="9"/>
            <color indexed="81"/>
            <rFont val="Tahoma"/>
            <family val="2"/>
          </rPr>
          <t>jarmylly:</t>
        </r>
        <r>
          <rPr>
            <sz val="9"/>
            <color indexed="81"/>
            <rFont val="Tahoma"/>
            <family val="2"/>
          </rPr>
          <t xml:space="preserve">
Contains two disks:
- Disk-1: 60GB
(NOTE: For servers intended for more than 10 concurrent users the recommended size for disk C is Disk-1 size + RAM size.)
- Disk-2: 40GB</t>
        </r>
      </text>
    </comment>
    <comment ref="I58" authorId="2" shapeId="0" xr:uid="{88A2B3AF-CA8F-416E-B1EE-366D57629E8B}">
      <text>
        <r>
          <rPr>
            <b/>
            <sz val="9"/>
            <color indexed="81"/>
            <rFont val="Tahoma"/>
            <family val="2"/>
          </rPr>
          <t>jarmylly:</t>
        </r>
        <r>
          <rPr>
            <sz val="9"/>
            <color indexed="81"/>
            <rFont val="Tahoma"/>
            <family val="2"/>
          </rPr>
          <t xml:space="preserve">
Contains two disks:
- Disk-1: 60GB
(NOTE: For servers intended for more than 10 concurrent users the recommended size for disk C is Disk-1 size + RAM size.)
- Disk-2: 40GB</t>
        </r>
      </text>
    </comment>
    <comment ref="I59" authorId="2" shapeId="0" xr:uid="{00BDE605-39BB-4F98-B8E6-64186C3AC0E9}">
      <text>
        <r>
          <rPr>
            <b/>
            <sz val="9"/>
            <color indexed="81"/>
            <rFont val="Tahoma"/>
            <family val="2"/>
          </rPr>
          <t>jarmylly:</t>
        </r>
        <r>
          <rPr>
            <sz val="9"/>
            <color indexed="81"/>
            <rFont val="Tahoma"/>
            <family val="2"/>
          </rPr>
          <t xml:space="preserve">
Contains two disks:
- Disk-1: 60GB
(NOTE: For servers intended for more than 10 concurrent users the recommended size for disk C is Disk-1 size + RAM size.)
- Disk-2: 40GB</t>
        </r>
      </text>
    </comment>
    <comment ref="I60" authorId="2" shapeId="0" xr:uid="{3C75891B-63D6-4013-9D01-1F5CFB073E1F}">
      <text>
        <r>
          <rPr>
            <b/>
            <sz val="9"/>
            <color indexed="81"/>
            <rFont val="Tahoma"/>
            <family val="2"/>
          </rPr>
          <t>jarmylly:</t>
        </r>
        <r>
          <rPr>
            <sz val="9"/>
            <color indexed="81"/>
            <rFont val="Tahoma"/>
            <family val="2"/>
          </rPr>
          <t xml:space="preserve">
Contains two disks:
- Disk-1: 60GB
(NOTE: For servers intended for more than 10 concurrent users the recommended size for disk C is Disk-1 size + RAM size.)
- Disk-2: 40GB</t>
        </r>
      </text>
    </comment>
    <comment ref="I61" authorId="2" shapeId="0" xr:uid="{5F05776F-8E76-429D-B83E-33F5478ECE82}">
      <text>
        <r>
          <rPr>
            <b/>
            <sz val="9"/>
            <color indexed="81"/>
            <rFont val="Tahoma"/>
            <family val="2"/>
          </rPr>
          <t>jarmylly:</t>
        </r>
        <r>
          <rPr>
            <sz val="9"/>
            <color indexed="81"/>
            <rFont val="Tahoma"/>
            <family val="2"/>
          </rPr>
          <t xml:space="preserve">
Contains two disks:
- Disk-1: 80GB
(NOTE: For servers intended for more than 10 concurrent users the recommended size for disk C is Disk-1 size + RAM size.)
- Disk-2: 40GB</t>
        </r>
      </text>
    </comment>
    <comment ref="I62" authorId="2" shapeId="0" xr:uid="{B7BEE1C5-D01D-4F06-B849-728F794CCF25}">
      <text>
        <r>
          <rPr>
            <b/>
            <sz val="9"/>
            <color indexed="81"/>
            <rFont val="Tahoma"/>
            <family val="2"/>
          </rPr>
          <t>jarmylly:</t>
        </r>
        <r>
          <rPr>
            <sz val="9"/>
            <color indexed="81"/>
            <rFont val="Tahoma"/>
            <family val="2"/>
          </rPr>
          <t xml:space="preserve">
Contains two disks:
- Disk-1: 60GB
(NOTE: For servers intended for more than 10 concurrent users the recommended size for disk C is Disk-1 size + RAM size.)
- Disk-2: 40GB</t>
        </r>
      </text>
    </comment>
    <comment ref="I70" authorId="2" shapeId="0" xr:uid="{09CB9CEC-B6BC-4493-AB97-B052AE3F1855}">
      <text>
        <r>
          <rPr>
            <b/>
            <sz val="9"/>
            <color indexed="81"/>
            <rFont val="Tahoma"/>
            <family val="2"/>
          </rPr>
          <t>jarmylly:</t>
        </r>
        <r>
          <rPr>
            <sz val="9"/>
            <color indexed="81"/>
            <rFont val="Tahoma"/>
            <family val="2"/>
          </rPr>
          <t xml:space="preserve">
Contains two disks:
- Disk-1: 30GB
- Disk-2: 80GB</t>
        </r>
      </text>
    </comment>
    <comment ref="I71" authorId="2" shapeId="0" xr:uid="{57EC0585-0CDB-45B8-8937-9A096520893A}">
      <text>
        <r>
          <rPr>
            <b/>
            <sz val="9"/>
            <color indexed="81"/>
            <rFont val="Tahoma"/>
            <family val="2"/>
          </rPr>
          <t>jarmylly:</t>
        </r>
        <r>
          <rPr>
            <sz val="9"/>
            <color indexed="81"/>
            <rFont val="Tahoma"/>
            <family val="2"/>
          </rPr>
          <t xml:space="preserve">
Contains two disks:
- Disk-1: 30GB
- Disk-2: 80GB</t>
        </r>
      </text>
    </comment>
    <comment ref="I76" authorId="1" shapeId="0" xr:uid="{1FCAC7AF-E445-4AFE-862B-FEE1AEB51234}">
      <text>
        <r>
          <rPr>
            <b/>
            <sz val="9"/>
            <color indexed="81"/>
            <rFont val="Tahoma"/>
            <family val="2"/>
          </rPr>
          <t>Thippeswamy, Suresh (Nokia - IN/Bangalore):</t>
        </r>
        <r>
          <rPr>
            <sz val="9"/>
            <color indexed="81"/>
            <rFont val="Tahoma"/>
            <family val="2"/>
          </rPr>
          <t xml:space="preserve">
OS disk: 50GB
Data Disk:2048GB</t>
        </r>
      </text>
    </comment>
    <comment ref="E88" authorId="2" shapeId="0" xr:uid="{2DE45E95-AD70-4E3F-AAE9-F5525263F1D2}">
      <text>
        <r>
          <rPr>
            <b/>
            <sz val="9"/>
            <color indexed="81"/>
            <rFont val="Tahoma"/>
            <family val="2"/>
          </rPr>
          <t>jarmylly:</t>
        </r>
        <r>
          <rPr>
            <sz val="9"/>
            <color indexed="81"/>
            <rFont val="Tahoma"/>
            <family val="2"/>
          </rPr>
          <t xml:space="preserve">
- SBTS Adapter and BTSMED should not co-locate in same cluster i.e. SBTS Adapter and BTSMED VM usage together is not possible.</t>
        </r>
      </text>
    </comment>
    <comment ref="E89" authorId="2" shapeId="0" xr:uid="{145924A4-E5AE-4F2C-82A9-5F008CA1D648}">
      <text>
        <r>
          <rPr>
            <b/>
            <sz val="9"/>
            <color indexed="81"/>
            <rFont val="Tahoma"/>
            <family val="2"/>
          </rPr>
          <t>jarmylly:</t>
        </r>
        <r>
          <rPr>
            <sz val="9"/>
            <color indexed="81"/>
            <rFont val="Tahoma"/>
            <family val="2"/>
          </rPr>
          <t xml:space="preserve">
- SBTS Adapter and BTSMED should not co-locate in same cluster i.e. SBTS Adapter and BTSMED VM usage together is not possible.</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Avuthu, Charan (EXT - IN/Bangalore)</author>
    <author>jarmylly</author>
    <author>Rastogi, Alok (Nokia - IN/Bangalore)</author>
    <author>Goyal, Mayank (Nokia - IN/Bangalore)</author>
    <author>Thippeswamy, Suresh (Nokia - IN/Bangalore)</author>
  </authors>
  <commentList>
    <comment ref="I7" authorId="0" shapeId="0" xr:uid="{00F8BDA7-DC59-460E-83BB-7532213916A7}">
      <text>
        <r>
          <rPr>
            <b/>
            <sz val="9"/>
            <color indexed="81"/>
            <rFont val="Tahoma"/>
            <charset val="1"/>
          </rPr>
          <t>Avuthu, Charan (EXT - IN/Bangalore):</t>
        </r>
        <r>
          <rPr>
            <sz val="9"/>
            <color indexed="81"/>
            <rFont val="Tahoma"/>
            <charset val="1"/>
          </rPr>
          <t xml:space="preserve">
Instance OS Level SWAP size, will derive from the flavor</t>
        </r>
      </text>
    </comment>
    <comment ref="K7" authorId="1" shapeId="0" xr:uid="{492812CC-0DF5-4B9C-A696-E81DC1484A55}">
      <text>
        <r>
          <rPr>
            <b/>
            <sz val="9"/>
            <color indexed="81"/>
            <rFont val="Tahoma"/>
            <family val="2"/>
          </rPr>
          <t>jarmylly:</t>
        </r>
        <r>
          <rPr>
            <sz val="9"/>
            <color indexed="81"/>
            <rFont val="Tahoma"/>
            <family val="2"/>
          </rPr>
          <t xml:space="preserve">
Only if Airframe Hardware used</t>
        </r>
      </text>
    </comment>
    <comment ref="O7" authorId="1" shapeId="0" xr:uid="{7E3C4DEB-389E-473A-844E-5942CAF23F3C}">
      <text>
        <r>
          <rPr>
            <b/>
            <sz val="9"/>
            <color indexed="81"/>
            <rFont val="Tahoma"/>
            <family val="2"/>
          </rPr>
          <t>jarmylly:</t>
        </r>
        <r>
          <rPr>
            <sz val="9"/>
            <color indexed="81"/>
            <rFont val="Tahoma"/>
            <family val="2"/>
          </rPr>
          <t xml:space="preserve">
Only if Airframe Hardware used</t>
        </r>
      </text>
    </comment>
    <comment ref="S7" authorId="1" shapeId="0" xr:uid="{1874D570-A01C-4B1A-A7D7-0983949E8643}">
      <text>
        <r>
          <rPr>
            <b/>
            <sz val="9"/>
            <color indexed="81"/>
            <rFont val="Tahoma"/>
            <family val="2"/>
          </rPr>
          <t>jarmylly:</t>
        </r>
        <r>
          <rPr>
            <sz val="9"/>
            <color indexed="81"/>
            <rFont val="Tahoma"/>
            <family val="2"/>
          </rPr>
          <t xml:space="preserve">
Only if Airframe Hardware used</t>
        </r>
      </text>
    </comment>
    <comment ref="W7" authorId="1" shapeId="0" xr:uid="{A9F7530F-0232-4451-B087-669376551643}">
      <text>
        <r>
          <rPr>
            <b/>
            <sz val="9"/>
            <color indexed="81"/>
            <rFont val="Tahoma"/>
            <family val="2"/>
          </rPr>
          <t>jarmylly:</t>
        </r>
        <r>
          <rPr>
            <sz val="9"/>
            <color indexed="81"/>
            <rFont val="Tahoma"/>
            <family val="2"/>
          </rPr>
          <t xml:space="preserve">
Only if Airframe Hardware used</t>
        </r>
      </text>
    </comment>
    <comment ref="AA7" authorId="1" shapeId="0" xr:uid="{8141CCBE-0F13-4763-8082-5FD62F9DDDE2}">
      <text>
        <r>
          <rPr>
            <b/>
            <sz val="9"/>
            <color indexed="81"/>
            <rFont val="Tahoma"/>
            <family val="2"/>
          </rPr>
          <t>jarmylly:</t>
        </r>
        <r>
          <rPr>
            <sz val="9"/>
            <color indexed="81"/>
            <rFont val="Tahoma"/>
            <family val="2"/>
          </rPr>
          <t xml:space="preserve">
Only if Airframe Hardware used</t>
        </r>
      </text>
    </comment>
    <comment ref="AE7" authorId="1" shapeId="0" xr:uid="{363B72CD-A53E-4CAC-BB52-FCD0F6DEDF9B}">
      <text>
        <r>
          <rPr>
            <b/>
            <sz val="9"/>
            <color indexed="81"/>
            <rFont val="Tahoma"/>
            <family val="2"/>
          </rPr>
          <t>jarmylly:</t>
        </r>
        <r>
          <rPr>
            <sz val="9"/>
            <color indexed="81"/>
            <rFont val="Tahoma"/>
            <family val="2"/>
          </rPr>
          <t xml:space="preserve">
Only if Airframe Hardware used</t>
        </r>
      </text>
    </comment>
    <comment ref="AI7" authorId="1" shapeId="0" xr:uid="{313AF989-14EF-4235-A619-17AD6CA6316D}">
      <text>
        <r>
          <rPr>
            <b/>
            <sz val="9"/>
            <color indexed="81"/>
            <rFont val="Tahoma"/>
            <family val="2"/>
          </rPr>
          <t>jarmylly:</t>
        </r>
        <r>
          <rPr>
            <sz val="9"/>
            <color indexed="81"/>
            <rFont val="Tahoma"/>
            <family val="2"/>
          </rPr>
          <t xml:space="preserve">
Only if Airframe Hardware used</t>
        </r>
      </text>
    </comment>
    <comment ref="AM7" authorId="1" shapeId="0" xr:uid="{DED4288C-6C84-4BE9-AEC4-72E63C493A25}">
      <text>
        <r>
          <rPr>
            <b/>
            <sz val="9"/>
            <color indexed="81"/>
            <rFont val="Tahoma"/>
            <family val="2"/>
          </rPr>
          <t>jarmylly:</t>
        </r>
        <r>
          <rPr>
            <sz val="9"/>
            <color indexed="81"/>
            <rFont val="Tahoma"/>
            <family val="2"/>
          </rPr>
          <t xml:space="preserve">
Only if Airframe Hardware used</t>
        </r>
      </text>
    </comment>
    <comment ref="AQ7" authorId="1" shapeId="0" xr:uid="{1C08231C-FB09-4FEB-A5A6-70544DF57C51}">
      <text>
        <r>
          <rPr>
            <b/>
            <sz val="9"/>
            <color indexed="81"/>
            <rFont val="Tahoma"/>
            <family val="2"/>
          </rPr>
          <t>jarmylly:</t>
        </r>
        <r>
          <rPr>
            <sz val="9"/>
            <color indexed="81"/>
            <rFont val="Tahoma"/>
            <family val="2"/>
          </rPr>
          <t xml:space="preserve">
Only if Airframe Hardware used</t>
        </r>
      </text>
    </comment>
    <comment ref="AU7" authorId="1" shapeId="0" xr:uid="{010A8879-16C1-4724-8CD3-27E67643F64C}">
      <text>
        <r>
          <rPr>
            <b/>
            <sz val="9"/>
            <color indexed="81"/>
            <rFont val="Tahoma"/>
            <family val="2"/>
          </rPr>
          <t>jarmylly:</t>
        </r>
        <r>
          <rPr>
            <sz val="9"/>
            <color indexed="81"/>
            <rFont val="Tahoma"/>
            <family val="2"/>
          </rPr>
          <t xml:space="preserve">
Only if Airframe Hardware used</t>
        </r>
      </text>
    </comment>
    <comment ref="AY7" authorId="1" shapeId="0" xr:uid="{C1674401-447A-4D93-8920-F2FEE885D8BC}">
      <text>
        <r>
          <rPr>
            <b/>
            <sz val="9"/>
            <color indexed="81"/>
            <rFont val="Tahoma"/>
            <family val="2"/>
          </rPr>
          <t>jarmylly:</t>
        </r>
        <r>
          <rPr>
            <sz val="9"/>
            <color indexed="81"/>
            <rFont val="Tahoma"/>
            <family val="2"/>
          </rPr>
          <t xml:space="preserve">
Only if Airframe Hardware used</t>
        </r>
      </text>
    </comment>
    <comment ref="BC7" authorId="1" shapeId="0" xr:uid="{ABDF08A1-59A3-4945-BECE-15342CC22999}">
      <text>
        <r>
          <rPr>
            <b/>
            <sz val="9"/>
            <color indexed="81"/>
            <rFont val="Tahoma"/>
            <family val="2"/>
          </rPr>
          <t>jarmylly:</t>
        </r>
        <r>
          <rPr>
            <sz val="9"/>
            <color indexed="81"/>
            <rFont val="Tahoma"/>
            <family val="2"/>
          </rPr>
          <t xml:space="preserve">
Only if Airframe Hardware used</t>
        </r>
      </text>
    </comment>
    <comment ref="L8" authorId="1" shapeId="0" xr:uid="{2B091754-A15E-4ABB-91AF-4994329A5171}">
      <text>
        <r>
          <rPr>
            <b/>
            <sz val="9"/>
            <color indexed="81"/>
            <rFont val="Tahoma"/>
            <family val="2"/>
          </rPr>
          <t>jarmylly:</t>
        </r>
        <r>
          <rPr>
            <sz val="9"/>
            <color indexed="81"/>
            <rFont val="Tahoma"/>
            <family val="2"/>
          </rPr>
          <t xml:space="preserve">
Images name: rhel7_insteng</t>
        </r>
      </text>
    </comment>
    <comment ref="L9" authorId="1" shapeId="0" xr:uid="{7193165D-B410-40D0-AB9F-90DFA4FE9BDD}">
      <text>
        <r>
          <rPr>
            <b/>
            <sz val="9"/>
            <color indexed="81"/>
            <rFont val="Tahoma"/>
            <family val="2"/>
          </rPr>
          <t>jarmylly:</t>
        </r>
        <r>
          <rPr>
            <sz val="9"/>
            <color indexed="81"/>
            <rFont val="Tahoma"/>
            <family val="2"/>
          </rPr>
          <t xml:space="preserve">
Image name: administration_server</t>
        </r>
      </text>
    </comment>
    <comment ref="L10" authorId="1" shapeId="0" xr:uid="{B0CD5771-6A1A-4BC5-B97C-ECBFED10029A}">
      <text>
        <r>
          <rPr>
            <b/>
            <sz val="9"/>
            <color indexed="81"/>
            <rFont val="Tahoma"/>
            <family val="2"/>
          </rPr>
          <t>jarmylly:</t>
        </r>
        <r>
          <rPr>
            <sz val="9"/>
            <color indexed="81"/>
            <rFont val="Tahoma"/>
            <family val="2"/>
          </rPr>
          <t xml:space="preserve">
Image name: netact_rhel_base</t>
        </r>
      </text>
    </comment>
    <comment ref="L11" authorId="1" shapeId="0" xr:uid="{DDA1D64E-E94A-4D89-8BD5-925CE80C9443}">
      <text>
        <r>
          <rPr>
            <b/>
            <sz val="9"/>
            <color indexed="81"/>
            <rFont val="Tahoma"/>
            <family val="2"/>
          </rPr>
          <t>jarmylly:</t>
        </r>
        <r>
          <rPr>
            <sz val="9"/>
            <color indexed="81"/>
            <rFont val="Tahoma"/>
            <family val="2"/>
          </rPr>
          <t xml:space="preserve">
Image name: netact_rhel_base</t>
        </r>
      </text>
    </comment>
    <comment ref="P11" authorId="1" shapeId="0" xr:uid="{90009D87-D0F7-4C6C-A86D-A793F2FB1BA7}">
      <text>
        <r>
          <rPr>
            <b/>
            <sz val="9"/>
            <color indexed="81"/>
            <rFont val="Tahoma"/>
            <family val="2"/>
          </rPr>
          <t>jarmylly:</t>
        </r>
        <r>
          <rPr>
            <sz val="9"/>
            <color indexed="81"/>
            <rFont val="Tahoma"/>
            <family val="2"/>
          </rPr>
          <t xml:space="preserve">
Image name: vgredo</t>
        </r>
      </text>
    </comment>
    <comment ref="T11" authorId="1" shapeId="0" xr:uid="{066DDDB2-DF89-4DA6-BBD0-ACA5AD2F24C4}">
      <text>
        <r>
          <rPr>
            <b/>
            <sz val="9"/>
            <color indexed="81"/>
            <rFont val="Tahoma"/>
            <family val="2"/>
          </rPr>
          <t>jarmylly:</t>
        </r>
        <r>
          <rPr>
            <sz val="9"/>
            <color indexed="81"/>
            <rFont val="Tahoma"/>
            <family val="2"/>
          </rPr>
          <t xml:space="preserve">
Image name: vgdb</t>
        </r>
      </text>
    </comment>
    <comment ref="X11" authorId="1" shapeId="0" xr:uid="{B49190FC-59FB-4AB7-BBD0-5FAF7B3289CA}">
      <text>
        <r>
          <rPr>
            <b/>
            <sz val="9"/>
            <color indexed="81"/>
            <rFont val="Tahoma"/>
            <family val="2"/>
          </rPr>
          <t>jarmylly:</t>
        </r>
        <r>
          <rPr>
            <sz val="9"/>
            <color indexed="81"/>
            <rFont val="Tahoma"/>
            <family val="2"/>
          </rPr>
          <t xml:space="preserve">
Image name: vgarc</t>
        </r>
      </text>
    </comment>
    <comment ref="BD11" authorId="2" shapeId="0" xr:uid="{DDF91768-4E02-4CC8-AFE3-4E5D53C6FF06}">
      <text>
        <r>
          <rPr>
            <b/>
            <sz val="9"/>
            <color indexed="81"/>
            <rFont val="Tahoma"/>
            <family val="2"/>
          </rPr>
          <t xml:space="preserve"> Alok :name
</t>
        </r>
        <r>
          <rPr>
            <sz val="9"/>
            <color indexed="81"/>
            <rFont val="Tahoma"/>
            <family val="2"/>
          </rPr>
          <t>vgdbfb</t>
        </r>
      </text>
    </comment>
    <comment ref="BE11" authorId="3" shapeId="0" xr:uid="{90053DE5-D0D1-4DEE-AC4C-6EF2E9DB1416}">
      <text>
        <r>
          <rPr>
            <b/>
            <sz val="9"/>
            <color indexed="81"/>
            <rFont val="Tahoma"/>
            <family val="2"/>
          </rPr>
          <t>Goyal, Mayank (Nokia - IN/Bangalore):</t>
        </r>
        <r>
          <rPr>
            <sz val="9"/>
            <color indexed="81"/>
            <rFont val="Tahoma"/>
            <family val="2"/>
          </rPr>
          <t xml:space="preserve">
6 with FB and 5 without FB</t>
        </r>
      </text>
    </comment>
    <comment ref="L12" authorId="1" shapeId="0" xr:uid="{CAD54165-02A4-4483-AC66-46E3C98668C4}">
      <text>
        <r>
          <rPr>
            <b/>
            <sz val="9"/>
            <color indexed="81"/>
            <rFont val="Tahoma"/>
            <family val="2"/>
          </rPr>
          <t>jarmylly:</t>
        </r>
        <r>
          <rPr>
            <sz val="9"/>
            <color indexed="81"/>
            <rFont val="Tahoma"/>
            <family val="2"/>
          </rPr>
          <t xml:space="preserve">
Image name: netact_rhel_base</t>
        </r>
      </text>
    </comment>
    <comment ref="Y12" authorId="2" shapeId="0" xr:uid="{83574851-3293-47FE-A4B1-9E958D8D616F}">
      <text>
        <r>
          <rPr>
            <b/>
            <sz val="9"/>
            <color indexed="81"/>
            <rFont val="Tahoma"/>
            <family val="2"/>
          </rPr>
          <t>Rastogi, Alok (Nokia - IN/Bangalore):</t>
        </r>
        <r>
          <rPr>
            <sz val="9"/>
            <color indexed="81"/>
            <rFont val="Tahoma"/>
            <family val="2"/>
          </rPr>
          <t xml:space="preserve">
contains  three disksisks
NFS Global : 450560 MB
NFS Home :24576 MB
NFS WAS dump: 87040 MB</t>
        </r>
      </text>
    </comment>
    <comment ref="AB12" authorId="1" shapeId="0" xr:uid="{9A9EADA9-7972-403E-B4EB-84694D1138BC}">
      <text>
        <r>
          <rPr>
            <b/>
            <sz val="9"/>
            <color indexed="81"/>
            <rFont val="Tahoma"/>
            <family val="2"/>
          </rPr>
          <t>jarmylly:</t>
        </r>
        <r>
          <rPr>
            <sz val="9"/>
            <color indexed="81"/>
            <rFont val="Tahoma"/>
            <family val="2"/>
          </rPr>
          <t xml:space="preserve">
Image names:
- vgglobal
- vghome</t>
        </r>
      </text>
    </comment>
    <comment ref="AC12" authorId="1" shapeId="0" xr:uid="{CB3E7548-D5AB-437B-B46B-517E210564C7}">
      <text>
        <r>
          <rPr>
            <b/>
            <sz val="9"/>
            <color indexed="81"/>
            <rFont val="Tahoma"/>
            <family val="2"/>
          </rPr>
          <t>jarmylly:</t>
        </r>
        <r>
          <rPr>
            <sz val="9"/>
            <color indexed="81"/>
            <rFont val="Tahoma"/>
            <family val="2"/>
          </rPr>
          <t xml:space="preserve">
Reserved for customer own data.</t>
        </r>
      </text>
    </comment>
    <comment ref="L13" authorId="1" shapeId="0" xr:uid="{D26B35B3-8909-4FCC-853F-0E161378B091}">
      <text>
        <r>
          <rPr>
            <b/>
            <sz val="9"/>
            <color indexed="81"/>
            <rFont val="Tahoma"/>
            <family val="2"/>
          </rPr>
          <t>jarmylly:</t>
        </r>
        <r>
          <rPr>
            <sz val="9"/>
            <color indexed="81"/>
            <rFont val="Tahoma"/>
            <family val="2"/>
          </rPr>
          <t xml:space="preserve">
Image name: netact_rhel_base</t>
        </r>
      </text>
    </comment>
    <comment ref="L14" authorId="1" shapeId="0" xr:uid="{7C4DBE8D-ADDE-4A83-AD44-EC7032EBE7AD}">
      <text>
        <r>
          <rPr>
            <b/>
            <sz val="9"/>
            <color indexed="81"/>
            <rFont val="Tahoma"/>
            <family val="2"/>
          </rPr>
          <t>jarmylly:</t>
        </r>
        <r>
          <rPr>
            <sz val="9"/>
            <color indexed="81"/>
            <rFont val="Tahoma"/>
            <family val="2"/>
          </rPr>
          <t xml:space="preserve">
Image name: netact_rhel_base</t>
        </r>
      </text>
    </comment>
    <comment ref="L15" authorId="1" shapeId="0" xr:uid="{2104A843-455D-40CE-BFF3-B7BDC87D7456}">
      <text>
        <r>
          <rPr>
            <b/>
            <sz val="9"/>
            <color indexed="81"/>
            <rFont val="Tahoma"/>
            <family val="2"/>
          </rPr>
          <t>jarmylly:</t>
        </r>
        <r>
          <rPr>
            <sz val="9"/>
            <color indexed="81"/>
            <rFont val="Tahoma"/>
            <family val="2"/>
          </rPr>
          <t xml:space="preserve">
Image name: netact_rhel_base</t>
        </r>
      </text>
    </comment>
    <comment ref="L16" authorId="1" shapeId="0" xr:uid="{BB888C08-07EF-4B65-936F-FA8C714C84B4}">
      <text>
        <r>
          <rPr>
            <b/>
            <sz val="9"/>
            <color indexed="81"/>
            <rFont val="Tahoma"/>
            <family val="2"/>
          </rPr>
          <t>jarmylly:</t>
        </r>
        <r>
          <rPr>
            <sz val="9"/>
            <color indexed="81"/>
            <rFont val="Tahoma"/>
            <family val="2"/>
          </rPr>
          <t xml:space="preserve">
Image name: netact_rhel_base</t>
        </r>
      </text>
    </comment>
    <comment ref="L17" authorId="1" shapeId="0" xr:uid="{6B66AC0E-1C61-49A5-AD3C-60A85D59AA88}">
      <text>
        <r>
          <rPr>
            <b/>
            <sz val="9"/>
            <color indexed="81"/>
            <rFont val="Tahoma"/>
            <family val="2"/>
          </rPr>
          <t>jarmylly:</t>
        </r>
        <r>
          <rPr>
            <sz val="9"/>
            <color indexed="81"/>
            <rFont val="Tahoma"/>
            <family val="2"/>
          </rPr>
          <t xml:space="preserve">
Image name: netact_rhel_base</t>
        </r>
      </text>
    </comment>
    <comment ref="L18" authorId="1" shapeId="0" xr:uid="{FCE7D033-4AD1-4053-A355-4D7D06265A5E}">
      <text>
        <r>
          <rPr>
            <b/>
            <sz val="9"/>
            <color indexed="81"/>
            <rFont val="Tahoma"/>
            <family val="2"/>
          </rPr>
          <t>jarmylly:</t>
        </r>
        <r>
          <rPr>
            <sz val="9"/>
            <color indexed="81"/>
            <rFont val="Tahoma"/>
            <family val="2"/>
          </rPr>
          <t xml:space="preserve">
Image name: netact_rhel_base</t>
        </r>
      </text>
    </comment>
    <comment ref="L19" authorId="1" shapeId="0" xr:uid="{E5CC5B9B-E637-4B54-B274-ADBC679876E8}">
      <text>
        <r>
          <rPr>
            <b/>
            <sz val="9"/>
            <color indexed="81"/>
            <rFont val="Tahoma"/>
            <family val="2"/>
          </rPr>
          <t>jarmylly:</t>
        </r>
        <r>
          <rPr>
            <sz val="9"/>
            <color indexed="81"/>
            <rFont val="Tahoma"/>
            <family val="2"/>
          </rPr>
          <t xml:space="preserve">
Image name: netact_rhel_base</t>
        </r>
      </text>
    </comment>
    <comment ref="AR19" authorId="2" shapeId="0" xr:uid="{64D6C182-69AC-4321-B095-770C9D34ECC3}">
      <text>
        <r>
          <rPr>
            <b/>
            <sz val="9"/>
            <color indexed="81"/>
            <rFont val="Tahoma"/>
            <family val="2"/>
          </rPr>
          <t xml:space="preserve"> Alok :name
</t>
        </r>
        <r>
          <rPr>
            <sz val="9"/>
            <color indexed="81"/>
            <rFont val="Tahoma"/>
            <family val="2"/>
          </rPr>
          <t>vgadm</t>
        </r>
      </text>
    </comment>
    <comment ref="L20" authorId="1" shapeId="0" xr:uid="{76899075-A91E-44A0-B5E2-66D3F145C3A5}">
      <text>
        <r>
          <rPr>
            <b/>
            <sz val="9"/>
            <color indexed="81"/>
            <rFont val="Tahoma"/>
            <family val="2"/>
          </rPr>
          <t>jarmylly:</t>
        </r>
        <r>
          <rPr>
            <sz val="9"/>
            <color indexed="81"/>
            <rFont val="Tahoma"/>
            <family val="2"/>
          </rPr>
          <t xml:space="preserve">
Image name: netact_rhel_base</t>
        </r>
      </text>
    </comment>
    <comment ref="L21" authorId="1" shapeId="0" xr:uid="{BA017922-E68E-4FE1-9E83-597A858E5F67}">
      <text>
        <r>
          <rPr>
            <b/>
            <sz val="9"/>
            <color indexed="81"/>
            <rFont val="Tahoma"/>
            <family val="2"/>
          </rPr>
          <t>jarmylly:</t>
        </r>
        <r>
          <rPr>
            <sz val="9"/>
            <color indexed="81"/>
            <rFont val="Tahoma"/>
            <family val="2"/>
          </rPr>
          <t xml:space="preserve">
Image name: netact_rhel_base</t>
        </r>
      </text>
    </comment>
    <comment ref="L22" authorId="1" shapeId="0" xr:uid="{D525575C-96E6-4694-8F11-1B9A09D12F36}">
      <text>
        <r>
          <rPr>
            <b/>
            <sz val="9"/>
            <color indexed="81"/>
            <rFont val="Tahoma"/>
            <family val="2"/>
          </rPr>
          <t>jarmylly:</t>
        </r>
        <r>
          <rPr>
            <sz val="9"/>
            <color indexed="81"/>
            <rFont val="Tahoma"/>
            <family val="2"/>
          </rPr>
          <t xml:space="preserve">
Image name: netact_rhel_base</t>
        </r>
      </text>
    </comment>
    <comment ref="L23" authorId="1" shapeId="0" xr:uid="{9D0CBD2E-4120-48E3-833C-AE31F036D54B}">
      <text>
        <r>
          <rPr>
            <b/>
            <sz val="9"/>
            <color indexed="81"/>
            <rFont val="Tahoma"/>
            <family val="2"/>
          </rPr>
          <t>jarmylly:</t>
        </r>
        <r>
          <rPr>
            <sz val="9"/>
            <color indexed="81"/>
            <rFont val="Tahoma"/>
            <family val="2"/>
          </rPr>
          <t xml:space="preserve">
Image name: netact_rhel_base</t>
        </r>
      </text>
    </comment>
    <comment ref="AV23" authorId="4" shapeId="0" xr:uid="{3523DFF6-341D-4720-BC46-C0F2E26E1B6F}">
      <text>
        <r>
          <rPr>
            <b/>
            <sz val="9"/>
            <color indexed="81"/>
            <rFont val="Tahoma"/>
            <family val="2"/>
          </rPr>
          <t>Thippeswamy, Suresh (Nokia - IN/Bangalore):</t>
        </r>
        <r>
          <rPr>
            <sz val="9"/>
            <color indexed="81"/>
            <rFont val="Tahoma"/>
            <family val="2"/>
          </rPr>
          <t xml:space="preserve">
Image name: vgisdk</t>
        </r>
      </text>
    </comment>
    <comment ref="BE23" authorId="4" shapeId="0" xr:uid="{E697B774-2E29-4B8B-8E1A-7047C4D514A7}">
      <text>
        <r>
          <rPr>
            <b/>
            <sz val="9"/>
            <color indexed="81"/>
            <rFont val="Tahoma"/>
            <family val="2"/>
          </rPr>
          <t>Thippeswamy, Suresh (Nokia - IN/Bangalore):</t>
        </r>
        <r>
          <rPr>
            <sz val="9"/>
            <color indexed="81"/>
            <rFont val="Tahoma"/>
            <family val="2"/>
          </rPr>
          <t xml:space="preserve">
CRSR-227: Changed to 3 from 2</t>
        </r>
      </text>
    </comment>
    <comment ref="L24" authorId="1" shapeId="0" xr:uid="{BE6CD390-1AA1-4465-B71F-6555C83DDC39}">
      <text>
        <r>
          <rPr>
            <b/>
            <sz val="9"/>
            <color indexed="81"/>
            <rFont val="Tahoma"/>
            <family val="2"/>
          </rPr>
          <t>jarmylly:</t>
        </r>
        <r>
          <rPr>
            <sz val="9"/>
            <color indexed="81"/>
            <rFont val="Tahoma"/>
            <family val="2"/>
          </rPr>
          <t xml:space="preserve">
Image name: netact_rhel_base</t>
        </r>
      </text>
    </comment>
    <comment ref="AV24" authorId="4" shapeId="0" xr:uid="{DBDE2B06-A46D-444B-A1B1-13B5A3C94382}">
      <text>
        <r>
          <rPr>
            <b/>
            <sz val="9"/>
            <color indexed="81"/>
            <rFont val="Tahoma"/>
            <family val="2"/>
          </rPr>
          <t>Thippeswamy, Suresh (Nokia - IN/Bangalore):</t>
        </r>
        <r>
          <rPr>
            <sz val="9"/>
            <color indexed="81"/>
            <rFont val="Tahoma"/>
            <family val="2"/>
          </rPr>
          <t xml:space="preserve">
Image name: vgisdk</t>
        </r>
      </text>
    </comment>
    <comment ref="BE24" authorId="4" shapeId="0" xr:uid="{D6E56997-5BD8-4A5A-99AD-6D88703877E4}">
      <text>
        <r>
          <rPr>
            <b/>
            <sz val="9"/>
            <color indexed="81"/>
            <rFont val="Tahoma"/>
            <family val="2"/>
          </rPr>
          <t>Thippeswamy, Suresh (Nokia - IN/Bangalore):</t>
        </r>
        <r>
          <rPr>
            <sz val="9"/>
            <color indexed="81"/>
            <rFont val="Tahoma"/>
            <family val="2"/>
          </rPr>
          <t xml:space="preserve">
CRSR-227: Changed to 3 from 2</t>
        </r>
      </text>
    </comment>
    <comment ref="L25" authorId="1" shapeId="0" xr:uid="{874F0DEF-0BF5-446A-90A7-A61D1478D493}">
      <text>
        <r>
          <rPr>
            <b/>
            <sz val="9"/>
            <color indexed="81"/>
            <rFont val="Tahoma"/>
            <family val="2"/>
          </rPr>
          <t>jarmylly:</t>
        </r>
        <r>
          <rPr>
            <sz val="9"/>
            <color indexed="81"/>
            <rFont val="Tahoma"/>
            <family val="2"/>
          </rPr>
          <t xml:space="preserve">
Image name: netact_rhel_base</t>
        </r>
      </text>
    </comment>
    <comment ref="L26" authorId="1" shapeId="0" xr:uid="{EE2692FA-B03F-467D-8D3E-1690BA82387D}">
      <text>
        <r>
          <rPr>
            <b/>
            <sz val="9"/>
            <color indexed="81"/>
            <rFont val="Tahoma"/>
            <family val="2"/>
          </rPr>
          <t>jarmylly:</t>
        </r>
        <r>
          <rPr>
            <sz val="9"/>
            <color indexed="81"/>
            <rFont val="Tahoma"/>
            <family val="2"/>
          </rPr>
          <t xml:space="preserve">
Image name: netact_rhel_base</t>
        </r>
      </text>
    </comment>
    <comment ref="L27" authorId="1" shapeId="0" xr:uid="{19AFA972-980A-468D-8C70-FA5B66D0974A}">
      <text>
        <r>
          <rPr>
            <b/>
            <sz val="9"/>
            <color indexed="81"/>
            <rFont val="Tahoma"/>
            <family val="2"/>
          </rPr>
          <t>jarmylly:</t>
        </r>
        <r>
          <rPr>
            <sz val="9"/>
            <color indexed="81"/>
            <rFont val="Tahoma"/>
            <family val="2"/>
          </rPr>
          <t xml:space="preserve">
Image name: netact_rhel_base</t>
        </r>
      </text>
    </comment>
    <comment ref="L28" authorId="1" shapeId="0" xr:uid="{D7A56333-E507-4A24-83E9-20299FCFAD1C}">
      <text>
        <r>
          <rPr>
            <b/>
            <sz val="9"/>
            <color indexed="81"/>
            <rFont val="Tahoma"/>
            <family val="2"/>
          </rPr>
          <t>jarmylly:</t>
        </r>
        <r>
          <rPr>
            <sz val="9"/>
            <color indexed="81"/>
            <rFont val="Tahoma"/>
            <family val="2"/>
          </rPr>
          <t xml:space="preserve">
Image name: netact_rhel_base</t>
        </r>
      </text>
    </comment>
    <comment ref="L29" authorId="1" shapeId="0" xr:uid="{1EB3A9F4-CC4E-4F9C-A75C-97D6156F93AA}">
      <text>
        <r>
          <rPr>
            <b/>
            <sz val="9"/>
            <color indexed="81"/>
            <rFont val="Tahoma"/>
            <family val="2"/>
          </rPr>
          <t>jarmylly:</t>
        </r>
        <r>
          <rPr>
            <sz val="9"/>
            <color indexed="81"/>
            <rFont val="Tahoma"/>
            <family val="2"/>
          </rPr>
          <t xml:space="preserve">
Image name: netact_rhel_base</t>
        </r>
      </text>
    </comment>
    <comment ref="L30" authorId="1" shapeId="0" xr:uid="{C1040170-F206-4297-B56A-6F0179C25203}">
      <text>
        <r>
          <rPr>
            <b/>
            <sz val="9"/>
            <color indexed="81"/>
            <rFont val="Tahoma"/>
            <family val="2"/>
          </rPr>
          <t>jarmylly:</t>
        </r>
        <r>
          <rPr>
            <sz val="9"/>
            <color indexed="81"/>
            <rFont val="Tahoma"/>
            <family val="2"/>
          </rPr>
          <t xml:space="preserve">
Image name: netact_rhel_base</t>
        </r>
      </text>
    </comment>
    <comment ref="L31" authorId="1" shapeId="0" xr:uid="{9CC73F66-D0B3-47A6-AB9F-6531AC8CCBE3}">
      <text>
        <r>
          <rPr>
            <b/>
            <sz val="9"/>
            <color indexed="81"/>
            <rFont val="Tahoma"/>
            <family val="2"/>
          </rPr>
          <t>jarmylly:</t>
        </r>
        <r>
          <rPr>
            <sz val="9"/>
            <color indexed="81"/>
            <rFont val="Tahoma"/>
            <family val="2"/>
          </rPr>
          <t xml:space="preserve">
Image name: netact_rhel_base</t>
        </r>
      </text>
    </comment>
    <comment ref="L32" authorId="1" shapeId="0" xr:uid="{C9FCCD4D-29D9-4F0E-8C1D-02FCB318B355}">
      <text>
        <r>
          <rPr>
            <b/>
            <sz val="9"/>
            <color indexed="81"/>
            <rFont val="Tahoma"/>
            <family val="2"/>
          </rPr>
          <t>jarmylly:</t>
        </r>
        <r>
          <rPr>
            <sz val="9"/>
            <color indexed="81"/>
            <rFont val="Tahoma"/>
            <family val="2"/>
          </rPr>
          <t xml:space="preserve">
Image name: netact_rhel_base</t>
        </r>
      </text>
    </comment>
    <comment ref="L33" authorId="1" shapeId="0" xr:uid="{0C2AFD14-3D6F-4276-B061-7AAB7A137157}">
      <text>
        <r>
          <rPr>
            <b/>
            <sz val="9"/>
            <color indexed="81"/>
            <rFont val="Tahoma"/>
            <family val="2"/>
          </rPr>
          <t>jarmylly:</t>
        </r>
        <r>
          <rPr>
            <sz val="9"/>
            <color indexed="81"/>
            <rFont val="Tahoma"/>
            <family val="2"/>
          </rPr>
          <t xml:space="preserve">
Image name: netact_rhel_base</t>
        </r>
      </text>
    </comment>
    <comment ref="L34" authorId="1" shapeId="0" xr:uid="{96DB1F16-5867-444D-A11C-750060371672}">
      <text>
        <r>
          <rPr>
            <b/>
            <sz val="9"/>
            <color indexed="81"/>
            <rFont val="Tahoma"/>
            <family val="2"/>
          </rPr>
          <t>jarmylly:</t>
        </r>
        <r>
          <rPr>
            <sz val="9"/>
            <color indexed="81"/>
            <rFont val="Tahoma"/>
            <family val="2"/>
          </rPr>
          <t xml:space="preserve">
Image name: netact_rhel_base</t>
        </r>
      </text>
    </comment>
    <comment ref="H35" authorId="1" shapeId="0" xr:uid="{456AE85D-F037-4303-91E6-8E5AAFB07807}">
      <text>
        <r>
          <rPr>
            <b/>
            <sz val="9"/>
            <color indexed="81"/>
            <rFont val="Tahoma"/>
            <family val="2"/>
          </rPr>
          <t>jarmylly:</t>
        </r>
        <r>
          <rPr>
            <sz val="9"/>
            <color indexed="81"/>
            <rFont val="Tahoma"/>
            <family val="2"/>
          </rPr>
          <t xml:space="preserve">
Contains two disks:
- Disk-1: 60GB
- Disk-2: 40GB</t>
        </r>
      </text>
    </comment>
    <comment ref="L35" authorId="1" shapeId="0" xr:uid="{BD53B9CE-1176-4CF0-89B2-D39389E6D7CF}">
      <text>
        <r>
          <rPr>
            <b/>
            <sz val="9"/>
            <color indexed="81"/>
            <rFont val="Tahoma"/>
            <family val="2"/>
          </rPr>
          <t>jarmylly:</t>
        </r>
        <r>
          <rPr>
            <sz val="9"/>
            <color indexed="81"/>
            <rFont val="Tahoma"/>
            <family val="2"/>
          </rPr>
          <t xml:space="preserve">
Image name: 
- NMS_DC_disk1
- NMS_DC_disk2
- cdrom_nms</t>
        </r>
      </text>
    </comment>
    <comment ref="H36" authorId="1" shapeId="0" xr:uid="{4AE0CF4D-0786-472C-A989-2393502C908B}">
      <text>
        <r>
          <rPr>
            <b/>
            <sz val="9"/>
            <color indexed="81"/>
            <rFont val="Tahoma"/>
            <family val="2"/>
          </rPr>
          <t>jarmylly:</t>
        </r>
        <r>
          <rPr>
            <sz val="9"/>
            <color indexed="81"/>
            <rFont val="Tahoma"/>
            <family val="2"/>
          </rPr>
          <t xml:space="preserve">
Contains two disks:
- Disk-1: 60GB
(NOTE: For servers intended for more than 10 concurrent users the recommended size for disk C is Disk-1 size + RAM size.)
- Disk-2: 40GB</t>
        </r>
      </text>
    </comment>
    <comment ref="L36" authorId="1" shapeId="0" xr:uid="{D84794DB-7F37-4ED3-8CD6-3DF79EFD130B}">
      <text>
        <r>
          <rPr>
            <b/>
            <sz val="9"/>
            <color indexed="81"/>
            <rFont val="Tahoma"/>
            <family val="2"/>
          </rPr>
          <t>jarmylly:</t>
        </r>
        <r>
          <rPr>
            <sz val="9"/>
            <color indexed="81"/>
            <rFont val="Tahoma"/>
            <family val="2"/>
          </rPr>
          <t xml:space="preserve">
Image name:
- NMS_VDA_disk1
- NMS_VDA_disk2</t>
        </r>
      </text>
    </comment>
    <comment ref="H37" authorId="1" shapeId="0" xr:uid="{6B9E9A6B-4A13-4E9F-9696-3E7007CC22FB}">
      <text>
        <r>
          <rPr>
            <b/>
            <sz val="9"/>
            <color indexed="81"/>
            <rFont val="Tahoma"/>
            <family val="2"/>
          </rPr>
          <t>jarmylly:</t>
        </r>
        <r>
          <rPr>
            <sz val="9"/>
            <color indexed="81"/>
            <rFont val="Tahoma"/>
            <family val="2"/>
          </rPr>
          <t xml:space="preserve">
Contains two disks:
- Disk-1: 80GB
(NOTE: For servers intended for more than 10 concurrent users the recommended size for disk C is Disk-1 size + RAM size.)
- Disk-2: 40GB</t>
        </r>
      </text>
    </comment>
    <comment ref="L37" authorId="1" shapeId="0" xr:uid="{B688FC57-CBEF-4EA8-B6C1-81DCDD0AA339}">
      <text>
        <r>
          <rPr>
            <b/>
            <sz val="9"/>
            <color indexed="81"/>
            <rFont val="Tahoma"/>
            <family val="2"/>
          </rPr>
          <t>jarmylly:</t>
        </r>
        <r>
          <rPr>
            <sz val="9"/>
            <color indexed="81"/>
            <rFont val="Tahoma"/>
            <family val="2"/>
          </rPr>
          <t xml:space="preserve">
Image name:
- NMS_CTXDC_disk1
- NMS_CTXDC_disk2
- cdrom_nms</t>
        </r>
      </text>
    </comment>
    <comment ref="L38" authorId="1" shapeId="0" xr:uid="{6F545E41-259D-4BD0-B03B-A35B278BEB13}">
      <text>
        <r>
          <rPr>
            <b/>
            <sz val="9"/>
            <color indexed="81"/>
            <rFont val="Tahoma"/>
            <family val="2"/>
          </rPr>
          <t>jarmylly:</t>
        </r>
        <r>
          <rPr>
            <sz val="9"/>
            <color indexed="81"/>
            <rFont val="Tahoma"/>
            <family val="2"/>
          </rPr>
          <t xml:space="preserve">
Image name: netact_rhel_base</t>
        </r>
      </text>
    </comment>
    <comment ref="AN38" authorId="1" shapeId="0" xr:uid="{D62B6B38-9E9E-4BF0-8E14-0300350A1FFC}">
      <text>
        <r>
          <rPr>
            <b/>
            <sz val="9"/>
            <color indexed="81"/>
            <rFont val="Tahoma"/>
            <family val="2"/>
          </rPr>
          <t>jarmylly:</t>
        </r>
        <r>
          <rPr>
            <sz val="9"/>
            <color indexed="81"/>
            <rFont val="Tahoma"/>
            <family val="2"/>
          </rPr>
          <t xml:space="preserve">
Image name: vgrep</t>
        </r>
      </text>
    </comment>
    <comment ref="L39" authorId="1" shapeId="0" xr:uid="{28AE86B1-B288-49EB-B59A-6091BCAC9001}">
      <text>
        <r>
          <rPr>
            <b/>
            <sz val="9"/>
            <color indexed="81"/>
            <rFont val="Tahoma"/>
            <family val="2"/>
          </rPr>
          <t>jarmylly:</t>
        </r>
        <r>
          <rPr>
            <sz val="9"/>
            <color indexed="81"/>
            <rFont val="Tahoma"/>
            <family val="2"/>
          </rPr>
          <t xml:space="preserve">
Image name: netact_rhel_base</t>
        </r>
      </text>
    </comment>
    <comment ref="AN39" authorId="1" shapeId="0" xr:uid="{85A63F28-5C39-4D5A-B104-CB4EC5B009E0}">
      <text>
        <r>
          <rPr>
            <b/>
            <sz val="9"/>
            <color indexed="81"/>
            <rFont val="Tahoma"/>
            <family val="2"/>
          </rPr>
          <t>jarmylly:</t>
        </r>
        <r>
          <rPr>
            <sz val="9"/>
            <color indexed="81"/>
            <rFont val="Tahoma"/>
            <family val="2"/>
          </rPr>
          <t xml:space="preserve">
Image name: vgrep</t>
        </r>
      </text>
    </comment>
    <comment ref="L40" authorId="1" shapeId="0" xr:uid="{E9B41324-9AB2-4460-84AF-AE33CF77579A}">
      <text>
        <r>
          <rPr>
            <b/>
            <sz val="9"/>
            <color indexed="81"/>
            <rFont val="Tahoma"/>
            <family val="2"/>
          </rPr>
          <t>jarmylly:</t>
        </r>
        <r>
          <rPr>
            <sz val="9"/>
            <color indexed="81"/>
            <rFont val="Tahoma"/>
            <family val="2"/>
          </rPr>
          <t xml:space="preserve">
Image name: netact_rhel_base</t>
        </r>
      </text>
    </comment>
    <comment ref="AN40" authorId="1" shapeId="0" xr:uid="{F6050F31-660C-4EB1-ABD0-AC961BC2C422}">
      <text>
        <r>
          <rPr>
            <b/>
            <sz val="9"/>
            <color indexed="81"/>
            <rFont val="Tahoma"/>
            <family val="2"/>
          </rPr>
          <t>jarmylly:</t>
        </r>
        <r>
          <rPr>
            <sz val="9"/>
            <color indexed="81"/>
            <rFont val="Tahoma"/>
            <family val="2"/>
          </rPr>
          <t xml:space="preserve">
Image name: vgrep</t>
        </r>
      </text>
    </comment>
    <comment ref="L41" authorId="1" shapeId="0" xr:uid="{207ABE5E-675E-4CFE-B7DE-A1A38B7424E8}">
      <text>
        <r>
          <rPr>
            <b/>
            <sz val="9"/>
            <color indexed="81"/>
            <rFont val="Tahoma"/>
            <family val="2"/>
          </rPr>
          <t>jarmylly:</t>
        </r>
        <r>
          <rPr>
            <sz val="9"/>
            <color indexed="81"/>
            <rFont val="Tahoma"/>
            <family val="2"/>
          </rPr>
          <t xml:space="preserve">
Image name: netact_rhel_base</t>
        </r>
      </text>
    </comment>
    <comment ref="AN41" authorId="1" shapeId="0" xr:uid="{509D3B41-20D7-434D-9796-E9E88B3E8D22}">
      <text>
        <r>
          <rPr>
            <b/>
            <sz val="9"/>
            <color indexed="81"/>
            <rFont val="Tahoma"/>
            <family val="2"/>
          </rPr>
          <t>jarmylly:</t>
        </r>
        <r>
          <rPr>
            <sz val="9"/>
            <color indexed="81"/>
            <rFont val="Tahoma"/>
            <family val="2"/>
          </rPr>
          <t xml:space="preserve">
Image name: vgrep</t>
        </r>
      </text>
    </comment>
    <comment ref="L42" authorId="1" shapeId="0" xr:uid="{734430EE-74A0-4E77-8536-5BE2EC9B9A5E}">
      <text>
        <r>
          <rPr>
            <b/>
            <sz val="9"/>
            <color indexed="81"/>
            <rFont val="Tahoma"/>
            <family val="2"/>
          </rPr>
          <t>jarmylly:</t>
        </r>
        <r>
          <rPr>
            <sz val="9"/>
            <color indexed="81"/>
            <rFont val="Tahoma"/>
            <family val="2"/>
          </rPr>
          <t xml:space="preserve">
Image name: netact_rhel_base</t>
        </r>
      </text>
    </comment>
    <comment ref="L43" authorId="1" shapeId="0" xr:uid="{05562C68-5C04-47F0-A4C8-4D19E3AA60F2}">
      <text>
        <r>
          <rPr>
            <b/>
            <sz val="9"/>
            <color indexed="81"/>
            <rFont val="Tahoma"/>
            <family val="2"/>
          </rPr>
          <t>jarmylly:</t>
        </r>
        <r>
          <rPr>
            <sz val="9"/>
            <color indexed="81"/>
            <rFont val="Tahoma"/>
            <family val="2"/>
          </rPr>
          <t xml:space="preserve">
Image name: netact_rhel_base</t>
        </r>
      </text>
    </comment>
    <comment ref="L44" authorId="1" shapeId="0" xr:uid="{B92DEC90-B82B-40C4-95BD-C0D9928BAB93}">
      <text>
        <r>
          <rPr>
            <b/>
            <sz val="9"/>
            <color indexed="81"/>
            <rFont val="Tahoma"/>
            <family val="2"/>
          </rPr>
          <t>jarmylly:</t>
        </r>
        <r>
          <rPr>
            <sz val="9"/>
            <color indexed="81"/>
            <rFont val="Tahoma"/>
            <family val="2"/>
          </rPr>
          <t xml:space="preserve">
Image name: netact_rhel_base</t>
        </r>
      </text>
    </comment>
    <comment ref="AZ44" authorId="0" shapeId="0" xr:uid="{BC7454E8-2E57-4031-8F8D-4D87EA5B8AC0}">
      <text>
        <r>
          <rPr>
            <b/>
            <sz val="9"/>
            <color indexed="81"/>
            <rFont val="Tahoma"/>
            <charset val="1"/>
          </rPr>
          <t>Avuthu, Charan (EXT - IN/Bangalore):</t>
        </r>
        <r>
          <rPr>
            <sz val="9"/>
            <color indexed="81"/>
            <rFont val="Tahoma"/>
            <charset val="1"/>
          </rPr>
          <t xml:space="preserve">
Image Name:vgccr</t>
        </r>
      </text>
    </comment>
    <comment ref="BM45" authorId="1" shapeId="0" xr:uid="{56802E67-65F1-40F3-820F-1B6CEFA2ED9B}">
      <text>
        <r>
          <rPr>
            <b/>
            <sz val="9"/>
            <color indexed="81"/>
            <rFont val="Tahoma"/>
            <family val="2"/>
          </rPr>
          <t>jarmylly:</t>
        </r>
        <r>
          <rPr>
            <sz val="9"/>
            <color indexed="81"/>
            <rFont val="Tahoma"/>
            <family val="2"/>
          </rPr>
          <t xml:space="preserve">
IPv4: 3
IPv4/IPv6: 5</t>
        </r>
      </text>
    </comment>
    <comment ref="Y48" authorId="0" shapeId="0" xr:uid="{19889D1E-FEE9-42F8-B352-ACF02CAA5119}">
      <text>
        <r>
          <rPr>
            <b/>
            <sz val="9"/>
            <color indexed="81"/>
            <rFont val="Tahoma"/>
            <charset val="1"/>
          </rPr>
          <t>Avuthu, Charan (EXT - IN/Bangalore):</t>
        </r>
        <r>
          <rPr>
            <sz val="9"/>
            <color indexed="81"/>
            <rFont val="Tahoma"/>
            <charset val="1"/>
          </rPr>
          <t xml:space="preserve">
Increase for NFSGlobal disk on VM#5 by 120GB
- NFS global (For LCM as optional service on Compute1): 573440 MB</t>
        </r>
      </text>
    </comment>
    <comment ref="AG48" authorId="0" shapeId="0" xr:uid="{EC7C7EB6-F322-4375-9D48-03B65CB9B74C}">
      <text>
        <r>
          <rPr>
            <b/>
            <sz val="9"/>
            <color indexed="81"/>
            <rFont val="Tahoma"/>
            <charset val="1"/>
          </rPr>
          <t>Avuthu, Charan (EXT - IN/Bangalore):</t>
        </r>
        <r>
          <rPr>
            <sz val="9"/>
            <color indexed="81"/>
            <rFont val="Tahoma"/>
            <charset val="1"/>
          </rPr>
          <t xml:space="preserve">
-Increase by additional 320GB, If LCM+CCR chosen as optional service on Compute1
(200GB increase for backup_disk on VM#150, 120GB increase on Backup disk on VM#5)</t>
        </r>
      </text>
    </comment>
    <comment ref="BM49" authorId="1" shapeId="0" xr:uid="{18691CC4-CDC1-47B9-A3F7-12160C51225D}">
      <text>
        <r>
          <rPr>
            <b/>
            <sz val="9"/>
            <color indexed="81"/>
            <rFont val="Tahoma"/>
            <family val="2"/>
          </rPr>
          <t>jarmylly:</t>
        </r>
        <r>
          <rPr>
            <sz val="9"/>
            <color indexed="81"/>
            <rFont val="Tahoma"/>
            <family val="2"/>
          </rPr>
          <t xml:space="preserve">
IPv4: 3
IPv4/IPv6: 5</t>
        </r>
      </text>
    </comment>
    <comment ref="L53" authorId="1" shapeId="0" xr:uid="{40A0757A-03FE-424C-9D9D-D3F00CE1D336}">
      <text>
        <r>
          <rPr>
            <b/>
            <sz val="9"/>
            <color indexed="81"/>
            <rFont val="Tahoma"/>
            <family val="2"/>
          </rPr>
          <t>jarmylly:</t>
        </r>
        <r>
          <rPr>
            <sz val="9"/>
            <color indexed="81"/>
            <rFont val="Tahoma"/>
            <family val="2"/>
          </rPr>
          <t xml:space="preserve">
Image name: netact_rhel_base</t>
        </r>
      </text>
    </comment>
    <comment ref="H54" authorId="1" shapeId="0" xr:uid="{F452F8BA-3476-4A0B-A59C-60317121C247}">
      <text>
        <r>
          <rPr>
            <b/>
            <sz val="9"/>
            <color indexed="81"/>
            <rFont val="Tahoma"/>
            <family val="2"/>
          </rPr>
          <t>jarmylly:</t>
        </r>
        <r>
          <rPr>
            <sz val="9"/>
            <color indexed="81"/>
            <rFont val="Tahoma"/>
            <family val="2"/>
          </rPr>
          <t xml:space="preserve">
Contains two disks:
- Disk-1: 60GB
- Disk-2: 40GB</t>
        </r>
      </text>
    </comment>
    <comment ref="L54" authorId="1" shapeId="0" xr:uid="{736A1630-C339-41E7-B102-5802C8B28669}">
      <text>
        <r>
          <rPr>
            <b/>
            <sz val="9"/>
            <color indexed="81"/>
            <rFont val="Tahoma"/>
            <family val="2"/>
          </rPr>
          <t>jarmylly:</t>
        </r>
        <r>
          <rPr>
            <sz val="9"/>
            <color indexed="81"/>
            <rFont val="Tahoma"/>
            <family val="2"/>
          </rPr>
          <t xml:space="preserve">
Image name: 
- NMS_DC_disk1
- NMS_DC_disk2
- cdrom_nms</t>
        </r>
      </text>
    </comment>
    <comment ref="H55" authorId="1" shapeId="0" xr:uid="{A569BA76-C4C0-4E85-B14F-F9FBCAE613CC}">
      <text>
        <r>
          <rPr>
            <b/>
            <sz val="9"/>
            <color indexed="81"/>
            <rFont val="Tahoma"/>
            <family val="2"/>
          </rPr>
          <t>jarmylly:</t>
        </r>
        <r>
          <rPr>
            <sz val="9"/>
            <color indexed="81"/>
            <rFont val="Tahoma"/>
            <family val="2"/>
          </rPr>
          <t xml:space="preserve">
Contains two disks:
- Disk-1: 60GB
(NOTE: For servers intended for more than 10 concurrent users the recommended size for disk C is Disk-1 size + RAM size.)
- Disk-2: 40GB</t>
        </r>
      </text>
    </comment>
    <comment ref="L55" authorId="1" shapeId="0" xr:uid="{5B3265A7-2DEB-416C-922A-D275546BFFEC}">
      <text>
        <r>
          <rPr>
            <b/>
            <sz val="9"/>
            <color indexed="81"/>
            <rFont val="Tahoma"/>
            <family val="2"/>
          </rPr>
          <t>jarmylly:</t>
        </r>
        <r>
          <rPr>
            <sz val="9"/>
            <color indexed="81"/>
            <rFont val="Tahoma"/>
            <family val="2"/>
          </rPr>
          <t xml:space="preserve">
Image name:
- NMS_VDA_disk1
- NMS_VDA_disk2</t>
        </r>
      </text>
    </comment>
    <comment ref="H56" authorId="1" shapeId="0" xr:uid="{88B71369-1169-43D7-BD1E-DDEF2E0AE3A3}">
      <text>
        <r>
          <rPr>
            <b/>
            <sz val="9"/>
            <color indexed="81"/>
            <rFont val="Tahoma"/>
            <family val="2"/>
          </rPr>
          <t>jarmylly:</t>
        </r>
        <r>
          <rPr>
            <sz val="9"/>
            <color indexed="81"/>
            <rFont val="Tahoma"/>
            <family val="2"/>
          </rPr>
          <t xml:space="preserve">
Contains two disks:
- Disk-1: 60GB
(NOTE: For servers intended for more than 10 concurrent users the recommended size for disk C is Disk-1 size + RAM size.)
- Disk-2: 40GB</t>
        </r>
      </text>
    </comment>
    <comment ref="L56" authorId="1" shapeId="0" xr:uid="{584FCD91-5243-4314-8C71-5C3914FC78C1}">
      <text>
        <r>
          <rPr>
            <b/>
            <sz val="9"/>
            <color indexed="81"/>
            <rFont val="Tahoma"/>
            <family val="2"/>
          </rPr>
          <t>jarmylly:</t>
        </r>
        <r>
          <rPr>
            <sz val="9"/>
            <color indexed="81"/>
            <rFont val="Tahoma"/>
            <family val="2"/>
          </rPr>
          <t xml:space="preserve">
Image name:
- NMS_VDA_disk1
- NMS_VDA_disk2</t>
        </r>
      </text>
    </comment>
    <comment ref="H57" authorId="1" shapeId="0" xr:uid="{A2CC1BBB-CA7C-48E1-81A4-2A273E2766AB}">
      <text>
        <r>
          <rPr>
            <b/>
            <sz val="9"/>
            <color indexed="81"/>
            <rFont val="Tahoma"/>
            <family val="2"/>
          </rPr>
          <t>jarmylly:</t>
        </r>
        <r>
          <rPr>
            <sz val="9"/>
            <color indexed="81"/>
            <rFont val="Tahoma"/>
            <family val="2"/>
          </rPr>
          <t xml:space="preserve">
Contains two disks:
- Disk-1: 60GB
(NOTE: For servers intended for more than 10 concurrent users the recommended size for disk C is Disk-1 size + RAM size.)
- Disk-2: 40GB</t>
        </r>
      </text>
    </comment>
    <comment ref="L57" authorId="1" shapeId="0" xr:uid="{97472E80-8230-4919-BC52-A22AA8A61BE0}">
      <text>
        <r>
          <rPr>
            <b/>
            <sz val="9"/>
            <color indexed="81"/>
            <rFont val="Tahoma"/>
            <family val="2"/>
          </rPr>
          <t>jarmylly:</t>
        </r>
        <r>
          <rPr>
            <sz val="9"/>
            <color indexed="81"/>
            <rFont val="Tahoma"/>
            <family val="2"/>
          </rPr>
          <t xml:space="preserve">
Image name:
- NMS_VDA_disk1
- NMS_VDA_disk2</t>
        </r>
      </text>
    </comment>
    <comment ref="H58" authorId="1" shapeId="0" xr:uid="{6A7D33E1-117E-4DCA-A5CB-4EC0FAC7DC8C}">
      <text>
        <r>
          <rPr>
            <b/>
            <sz val="9"/>
            <color indexed="81"/>
            <rFont val="Tahoma"/>
            <family val="2"/>
          </rPr>
          <t>jarmylly:</t>
        </r>
        <r>
          <rPr>
            <sz val="9"/>
            <color indexed="81"/>
            <rFont val="Tahoma"/>
            <family val="2"/>
          </rPr>
          <t xml:space="preserve">
Contains two disks:
- Disk-1: 60GB
(NOTE: For servers intended for more than 10 concurrent users the recommended size for disk C is Disk-1 size + RAM size.)
- Disk-2: 40GB</t>
        </r>
      </text>
    </comment>
    <comment ref="L58" authorId="1" shapeId="0" xr:uid="{95DAFDDE-D618-4A42-93DF-E49710FE8D95}">
      <text>
        <r>
          <rPr>
            <b/>
            <sz val="9"/>
            <color indexed="81"/>
            <rFont val="Tahoma"/>
            <family val="2"/>
          </rPr>
          <t>jarmylly:</t>
        </r>
        <r>
          <rPr>
            <sz val="9"/>
            <color indexed="81"/>
            <rFont val="Tahoma"/>
            <family val="2"/>
          </rPr>
          <t xml:space="preserve">
Image name:
- NMS_VDA_disk1
- NMS_VDA_disk2</t>
        </r>
      </text>
    </comment>
    <comment ref="H59" authorId="1" shapeId="0" xr:uid="{9E76076D-971F-4EC8-85CE-A9DFDBAB87A0}">
      <text>
        <r>
          <rPr>
            <b/>
            <sz val="9"/>
            <color indexed="81"/>
            <rFont val="Tahoma"/>
            <family val="2"/>
          </rPr>
          <t>jarmylly:</t>
        </r>
        <r>
          <rPr>
            <sz val="9"/>
            <color indexed="81"/>
            <rFont val="Tahoma"/>
            <family val="2"/>
          </rPr>
          <t xml:space="preserve">
Contains two disks:
- Disk-1: 60GB
(NOTE: For servers intended for more than 10 concurrent users the recommended size for disk C is Disk-1 size + RAM size.)
- Disk-2: 40GB</t>
        </r>
      </text>
    </comment>
    <comment ref="L59" authorId="1" shapeId="0" xr:uid="{2E2759E6-5FC4-4FCD-8C4C-D538C11BF42F}">
      <text>
        <r>
          <rPr>
            <b/>
            <sz val="9"/>
            <color indexed="81"/>
            <rFont val="Tahoma"/>
            <family val="2"/>
          </rPr>
          <t>jarmylly:</t>
        </r>
        <r>
          <rPr>
            <sz val="9"/>
            <color indexed="81"/>
            <rFont val="Tahoma"/>
            <family val="2"/>
          </rPr>
          <t xml:space="preserve">
Image name:
- NMS_VDA_disk1
- NMS_VDA_disk2</t>
        </r>
      </text>
    </comment>
    <comment ref="H60" authorId="1" shapeId="0" xr:uid="{4CE03EDA-283E-4144-8DB1-AC7D4F792116}">
      <text>
        <r>
          <rPr>
            <b/>
            <sz val="9"/>
            <color indexed="81"/>
            <rFont val="Tahoma"/>
            <family val="2"/>
          </rPr>
          <t>jarmylly:</t>
        </r>
        <r>
          <rPr>
            <sz val="9"/>
            <color indexed="81"/>
            <rFont val="Tahoma"/>
            <family val="2"/>
          </rPr>
          <t xml:space="preserve">
Contains two disks:
- Disk-1: 60GB
(NOTE: For servers intended for more than 10 concurrent users the recommended size for disk C is Disk-1 size + RAM size.)
- Disk-2: 40GB</t>
        </r>
      </text>
    </comment>
    <comment ref="L60" authorId="1" shapeId="0" xr:uid="{3E226C93-368C-4664-95EB-4300E03DF44C}">
      <text>
        <r>
          <rPr>
            <b/>
            <sz val="9"/>
            <color indexed="81"/>
            <rFont val="Tahoma"/>
            <family val="2"/>
          </rPr>
          <t>jarmylly:</t>
        </r>
        <r>
          <rPr>
            <sz val="9"/>
            <color indexed="81"/>
            <rFont val="Tahoma"/>
            <family val="2"/>
          </rPr>
          <t xml:space="preserve">
Image name:
- NMS_VDA_disk1
- NMS_VDA_disk2</t>
        </r>
      </text>
    </comment>
    <comment ref="H61" authorId="1" shapeId="0" xr:uid="{787D5B2C-EE3E-4B6B-A554-D3BB25532379}">
      <text>
        <r>
          <rPr>
            <b/>
            <sz val="9"/>
            <color indexed="81"/>
            <rFont val="Tahoma"/>
            <family val="2"/>
          </rPr>
          <t>jarmylly:</t>
        </r>
        <r>
          <rPr>
            <sz val="9"/>
            <color indexed="81"/>
            <rFont val="Tahoma"/>
            <family val="2"/>
          </rPr>
          <t xml:space="preserve">
Contains two disks:
- Disk-1: 60GB
(NOTE: For servers intended for more than 10 concurrent users the recommended size for disk C is Disk-1 size + RAM size.)
- Disk-2: 40GB</t>
        </r>
      </text>
    </comment>
    <comment ref="L61" authorId="1" shapeId="0" xr:uid="{719BB87D-BA72-41F2-85D0-AD0205316858}">
      <text>
        <r>
          <rPr>
            <b/>
            <sz val="9"/>
            <color indexed="81"/>
            <rFont val="Tahoma"/>
            <family val="2"/>
          </rPr>
          <t>jarmylly:</t>
        </r>
        <r>
          <rPr>
            <sz val="9"/>
            <color indexed="81"/>
            <rFont val="Tahoma"/>
            <family val="2"/>
          </rPr>
          <t xml:space="preserve">
Image name:
- NMS_VDA_disk1
- NMS_VDA_disk2</t>
        </r>
      </text>
    </comment>
    <comment ref="H62" authorId="1" shapeId="0" xr:uid="{A84D753B-F750-4ECF-8909-2C5B473106A0}">
      <text>
        <r>
          <rPr>
            <b/>
            <sz val="9"/>
            <color indexed="81"/>
            <rFont val="Tahoma"/>
            <family val="2"/>
          </rPr>
          <t>jarmylly:</t>
        </r>
        <r>
          <rPr>
            <sz val="9"/>
            <color indexed="81"/>
            <rFont val="Tahoma"/>
            <family val="2"/>
          </rPr>
          <t xml:space="preserve">
Contains two disks:
- Disk-1: 80GB
(NOTE: For servers intended for more than 10 concurrent users the recommended size for disk C is Disk-1 size + RAM size.)
- Disk-2: 40GB</t>
        </r>
      </text>
    </comment>
    <comment ref="L62" authorId="1" shapeId="0" xr:uid="{0129EAF8-D3D7-4641-820C-0371E4CF41D0}">
      <text>
        <r>
          <rPr>
            <b/>
            <sz val="9"/>
            <color indexed="81"/>
            <rFont val="Tahoma"/>
            <family val="2"/>
          </rPr>
          <t>jarmylly:</t>
        </r>
        <r>
          <rPr>
            <sz val="9"/>
            <color indexed="81"/>
            <rFont val="Tahoma"/>
            <family val="2"/>
          </rPr>
          <t xml:space="preserve">
Image name:
- NMS_CTXDC_disk1
- NMS_CTXDC_disk2
- cdrom_nms</t>
        </r>
      </text>
    </comment>
    <comment ref="H63" authorId="1" shapeId="0" xr:uid="{4168985A-53B9-4244-8448-5BDB547BE921}">
      <text>
        <r>
          <rPr>
            <b/>
            <sz val="9"/>
            <color indexed="81"/>
            <rFont val="Tahoma"/>
            <family val="2"/>
          </rPr>
          <t>jarmylly:</t>
        </r>
        <r>
          <rPr>
            <sz val="9"/>
            <color indexed="81"/>
            <rFont val="Tahoma"/>
            <family val="2"/>
          </rPr>
          <t xml:space="preserve">
Contains two disks:
- Disk-1: 60GB
(NOTE: For servers intended for more than 10 concurrent users the recommended size for disk C is Disk-1 size + RAM size.)
- Disk-2: 40GB</t>
        </r>
      </text>
    </comment>
    <comment ref="L63" authorId="1" shapeId="0" xr:uid="{C7D17A7A-973C-4B5B-9D2D-02FDB651F11E}">
      <text>
        <r>
          <rPr>
            <b/>
            <sz val="9"/>
            <color indexed="81"/>
            <rFont val="Tahoma"/>
            <family val="2"/>
          </rPr>
          <t>jarmylly:</t>
        </r>
        <r>
          <rPr>
            <sz val="9"/>
            <color indexed="81"/>
            <rFont val="Tahoma"/>
            <family val="2"/>
          </rPr>
          <t xml:space="preserve">
Image name:
- NMS_VDA_disk1
- NMS_VDA_disk2</t>
        </r>
      </text>
    </comment>
    <comment ref="L64" authorId="1" shapeId="0" xr:uid="{64A54FF5-48FD-45ED-88AC-34EEE7BF7A23}">
      <text>
        <r>
          <rPr>
            <b/>
            <sz val="9"/>
            <color indexed="81"/>
            <rFont val="Tahoma"/>
            <family val="2"/>
          </rPr>
          <t>jarmylly:</t>
        </r>
        <r>
          <rPr>
            <sz val="9"/>
            <color indexed="81"/>
            <rFont val="Tahoma"/>
            <family val="2"/>
          </rPr>
          <t xml:space="preserve">
Image name: netact_rhel_base</t>
        </r>
      </text>
    </comment>
    <comment ref="L65" authorId="1" shapeId="0" xr:uid="{402B1E3A-F118-4FA0-9E25-C756CA5081CA}">
      <text>
        <r>
          <rPr>
            <b/>
            <sz val="9"/>
            <color indexed="81"/>
            <rFont val="Tahoma"/>
            <family val="2"/>
          </rPr>
          <t>jarmylly:</t>
        </r>
        <r>
          <rPr>
            <sz val="9"/>
            <color indexed="81"/>
            <rFont val="Tahoma"/>
            <family val="2"/>
          </rPr>
          <t xml:space="preserve">
Image name: netact_rhel_base</t>
        </r>
      </text>
    </comment>
    <comment ref="L66" authorId="1" shapeId="0" xr:uid="{4B9B4A15-205D-4C05-98EF-CA7FDEA8AC4B}">
      <text>
        <r>
          <rPr>
            <b/>
            <sz val="9"/>
            <color indexed="81"/>
            <rFont val="Tahoma"/>
            <family val="2"/>
          </rPr>
          <t>jarmylly:</t>
        </r>
        <r>
          <rPr>
            <sz val="9"/>
            <color indexed="81"/>
            <rFont val="Tahoma"/>
            <family val="2"/>
          </rPr>
          <t xml:space="preserve">
Image name: netact_rhel_base</t>
        </r>
      </text>
    </comment>
    <comment ref="L67" authorId="1" shapeId="0" xr:uid="{D7AB31CE-18CA-4B5A-8B00-99C939EB4919}">
      <text>
        <r>
          <rPr>
            <b/>
            <sz val="9"/>
            <color indexed="81"/>
            <rFont val="Tahoma"/>
            <family val="2"/>
          </rPr>
          <t>jarmylly:</t>
        </r>
        <r>
          <rPr>
            <sz val="9"/>
            <color indexed="81"/>
            <rFont val="Tahoma"/>
            <family val="2"/>
          </rPr>
          <t xml:space="preserve">
Image name: netact_rhel_base</t>
        </r>
      </text>
    </comment>
    <comment ref="L68" authorId="1" shapeId="0" xr:uid="{0130836A-1194-4044-AC04-CEDE42275EDE}">
      <text>
        <r>
          <rPr>
            <b/>
            <sz val="9"/>
            <color indexed="81"/>
            <rFont val="Tahoma"/>
            <family val="2"/>
          </rPr>
          <t>jarmylly:</t>
        </r>
        <r>
          <rPr>
            <sz val="9"/>
            <color indexed="81"/>
            <rFont val="Tahoma"/>
            <family val="2"/>
          </rPr>
          <t xml:space="preserve">
Image name: netact_rhel_base</t>
        </r>
      </text>
    </comment>
    <comment ref="L69" authorId="1" shapeId="0" xr:uid="{359A73CE-A427-4DA5-B44A-2660518DC070}">
      <text>
        <r>
          <rPr>
            <b/>
            <sz val="9"/>
            <color indexed="81"/>
            <rFont val="Tahoma"/>
            <family val="2"/>
          </rPr>
          <t>jarmylly:</t>
        </r>
        <r>
          <rPr>
            <sz val="9"/>
            <color indexed="81"/>
            <rFont val="Tahoma"/>
            <family val="2"/>
          </rPr>
          <t xml:space="preserve">
Image name: netact_rhel_base</t>
        </r>
      </text>
    </comment>
    <comment ref="L70" authorId="1" shapeId="0" xr:uid="{6837461F-A435-4D45-91DD-4F379CE57960}">
      <text>
        <r>
          <rPr>
            <b/>
            <sz val="9"/>
            <color indexed="81"/>
            <rFont val="Tahoma"/>
            <family val="2"/>
          </rPr>
          <t>jarmylly:</t>
        </r>
        <r>
          <rPr>
            <sz val="9"/>
            <color indexed="81"/>
            <rFont val="Tahoma"/>
            <family val="2"/>
          </rPr>
          <t xml:space="preserve">
Image name: netact_rhel_base</t>
        </r>
      </text>
    </comment>
    <comment ref="H71" authorId="1" shapeId="0" xr:uid="{E24FC548-05F1-4422-87FC-B548E66308FD}">
      <text>
        <r>
          <rPr>
            <b/>
            <sz val="9"/>
            <color indexed="81"/>
            <rFont val="Tahoma"/>
            <family val="2"/>
          </rPr>
          <t>jarmylly:</t>
        </r>
        <r>
          <rPr>
            <sz val="9"/>
            <color indexed="81"/>
            <rFont val="Tahoma"/>
            <family val="2"/>
          </rPr>
          <t xml:space="preserve">
Contains two disks:
- Disk-1: 30,720GB
- Disk-2: 81,920GB</t>
        </r>
      </text>
    </comment>
    <comment ref="L71" authorId="1" shapeId="0" xr:uid="{ACD8BDF7-FA72-465F-921B-83F00ABB4C21}">
      <text>
        <r>
          <rPr>
            <b/>
            <sz val="9"/>
            <color indexed="81"/>
            <rFont val="Tahoma"/>
            <family val="2"/>
          </rPr>
          <t>jarmylly:</t>
        </r>
        <r>
          <rPr>
            <sz val="9"/>
            <color indexed="81"/>
            <rFont val="Tahoma"/>
            <family val="2"/>
          </rPr>
          <t xml:space="preserve">
Image name: netact_rhel_base</t>
        </r>
      </text>
    </comment>
    <comment ref="H72" authorId="1" shapeId="0" xr:uid="{7434657D-490E-44E4-90FC-51F6EF136A20}">
      <text>
        <r>
          <rPr>
            <b/>
            <sz val="9"/>
            <color indexed="81"/>
            <rFont val="Tahoma"/>
            <family val="2"/>
          </rPr>
          <t>jarmylly:</t>
        </r>
        <r>
          <rPr>
            <sz val="9"/>
            <color indexed="81"/>
            <rFont val="Tahoma"/>
            <family val="2"/>
          </rPr>
          <t xml:space="preserve">
Contains two disks:
- Disk-1: 30,720GB
- Disk-2: 81,920GB</t>
        </r>
      </text>
    </comment>
    <comment ref="L72" authorId="1" shapeId="0" xr:uid="{8F1DE9E9-11B5-4D7F-B986-FA2E8415B888}">
      <text>
        <r>
          <rPr>
            <b/>
            <sz val="9"/>
            <color indexed="81"/>
            <rFont val="Tahoma"/>
            <family val="2"/>
          </rPr>
          <t>jarmylly:</t>
        </r>
        <r>
          <rPr>
            <sz val="9"/>
            <color indexed="81"/>
            <rFont val="Tahoma"/>
            <family val="2"/>
          </rPr>
          <t xml:space="preserve">
Image name: netact_rhel_base</t>
        </r>
      </text>
    </comment>
    <comment ref="L73" authorId="1" shapeId="0" xr:uid="{464AAA7F-73A5-446A-A58B-677120C8585A}">
      <text>
        <r>
          <rPr>
            <b/>
            <sz val="9"/>
            <color indexed="81"/>
            <rFont val="Tahoma"/>
            <family val="2"/>
          </rPr>
          <t>jarmylly:</t>
        </r>
        <r>
          <rPr>
            <sz val="9"/>
            <color indexed="81"/>
            <rFont val="Tahoma"/>
            <family val="2"/>
          </rPr>
          <t xml:space="preserve">
Image name: netact_rhel_base</t>
        </r>
      </text>
    </comment>
    <comment ref="L74" authorId="1" shapeId="0" xr:uid="{CB1506A7-2435-4785-B53E-EE0C6F531464}">
      <text>
        <r>
          <rPr>
            <b/>
            <sz val="9"/>
            <color indexed="81"/>
            <rFont val="Tahoma"/>
            <family val="2"/>
          </rPr>
          <t>jarmylly:</t>
        </r>
        <r>
          <rPr>
            <sz val="9"/>
            <color indexed="81"/>
            <rFont val="Tahoma"/>
            <family val="2"/>
          </rPr>
          <t xml:space="preserve">
Image name: netact_rhel_base</t>
        </r>
      </text>
    </comment>
    <comment ref="L75" authorId="1" shapeId="0" xr:uid="{0A1B5882-3A5F-4F80-A5DD-5E76CFF0C980}">
      <text>
        <r>
          <rPr>
            <b/>
            <sz val="9"/>
            <color indexed="81"/>
            <rFont val="Tahoma"/>
            <family val="2"/>
          </rPr>
          <t>jarmylly:</t>
        </r>
        <r>
          <rPr>
            <sz val="9"/>
            <color indexed="81"/>
            <rFont val="Tahoma"/>
            <family val="2"/>
          </rPr>
          <t xml:space="preserve">
Image name: netact_rhel_base</t>
        </r>
      </text>
    </comment>
    <comment ref="L76" authorId="1" shapeId="0" xr:uid="{C06DE516-988E-4A39-8F0F-E238FD3F500B}">
      <text>
        <r>
          <rPr>
            <b/>
            <sz val="9"/>
            <color indexed="81"/>
            <rFont val="Tahoma"/>
            <family val="2"/>
          </rPr>
          <t>jarmylly:</t>
        </r>
        <r>
          <rPr>
            <sz val="9"/>
            <color indexed="81"/>
            <rFont val="Tahoma"/>
            <family val="2"/>
          </rPr>
          <t xml:space="preserve">
Image name: netact_rhel_base</t>
        </r>
      </text>
    </comment>
    <comment ref="L77" authorId="0" shapeId="0" xr:uid="{C66E7C38-5621-4054-8714-00D9BD066A09}">
      <text>
        <r>
          <rPr>
            <b/>
            <sz val="9"/>
            <color indexed="81"/>
            <rFont val="Tahoma"/>
            <charset val="1"/>
          </rPr>
          <t>Avuthu, Charan (EXT - IN/Bangalore):</t>
        </r>
        <r>
          <rPr>
            <sz val="9"/>
            <color indexed="81"/>
            <rFont val="Tahoma"/>
            <charset val="1"/>
          </rPr>
          <t xml:space="preserve">
Image name: netact_rhel_base</t>
        </r>
      </text>
    </comment>
    <comment ref="BM78" authorId="1" shapeId="0" xr:uid="{908F59F9-4241-49CA-9D22-68388B255704}">
      <text>
        <r>
          <rPr>
            <b/>
            <sz val="9"/>
            <color indexed="81"/>
            <rFont val="Tahoma"/>
            <family val="2"/>
          </rPr>
          <t>jarmylly:</t>
        </r>
        <r>
          <rPr>
            <sz val="9"/>
            <color indexed="81"/>
            <rFont val="Tahoma"/>
            <family val="2"/>
          </rPr>
          <t xml:space="preserve">
IPv4: 3
IPv4/IPv6: 5</t>
        </r>
      </text>
    </comment>
    <comment ref="L82" authorId="1" shapeId="0" xr:uid="{EB9B4184-9EF9-4C6D-8E2C-88EF5CDAD9C8}">
      <text>
        <r>
          <rPr>
            <b/>
            <sz val="9"/>
            <color indexed="81"/>
            <rFont val="Tahoma"/>
            <family val="2"/>
          </rPr>
          <t>jarmylly:</t>
        </r>
        <r>
          <rPr>
            <sz val="9"/>
            <color indexed="81"/>
            <rFont val="Tahoma"/>
            <family val="2"/>
          </rPr>
          <t xml:space="preserve">
Image name: netact_rhel_base</t>
        </r>
      </text>
    </comment>
    <comment ref="L83" authorId="1" shapeId="0" xr:uid="{2930BE4C-710F-447D-AAFA-50FB204D0079}">
      <text>
        <r>
          <rPr>
            <b/>
            <sz val="9"/>
            <color indexed="81"/>
            <rFont val="Tahoma"/>
            <family val="2"/>
          </rPr>
          <t>jarmylly:</t>
        </r>
        <r>
          <rPr>
            <sz val="9"/>
            <color indexed="81"/>
            <rFont val="Tahoma"/>
            <family val="2"/>
          </rPr>
          <t xml:space="preserve">
Image name: netact_rhel_base</t>
        </r>
      </text>
    </comment>
    <comment ref="L84" authorId="1" shapeId="0" xr:uid="{962E11DF-D0FE-4BF1-A188-E1AAA542AE1E}">
      <text>
        <r>
          <rPr>
            <b/>
            <sz val="9"/>
            <color indexed="81"/>
            <rFont val="Tahoma"/>
            <family val="2"/>
          </rPr>
          <t>jarmylly:</t>
        </r>
        <r>
          <rPr>
            <sz val="9"/>
            <color indexed="81"/>
            <rFont val="Tahoma"/>
            <family val="2"/>
          </rPr>
          <t xml:space="preserve">
Image name: netact_rhel_base</t>
        </r>
      </text>
    </comment>
    <comment ref="L85" authorId="1" shapeId="0" xr:uid="{90245412-2F89-4711-8327-43199048B94F}">
      <text>
        <r>
          <rPr>
            <b/>
            <sz val="9"/>
            <color indexed="81"/>
            <rFont val="Tahoma"/>
            <family val="2"/>
          </rPr>
          <t>jarmylly:</t>
        </r>
        <r>
          <rPr>
            <sz val="9"/>
            <color indexed="81"/>
            <rFont val="Tahoma"/>
            <family val="2"/>
          </rPr>
          <t xml:space="preserve">
Image name: netact_rhel_base</t>
        </r>
      </text>
    </comment>
    <comment ref="L86" authorId="1" shapeId="0" xr:uid="{0F3E4515-6555-4146-9C4B-1FB76259CC1D}">
      <text>
        <r>
          <rPr>
            <b/>
            <sz val="9"/>
            <color indexed="81"/>
            <rFont val="Tahoma"/>
            <family val="2"/>
          </rPr>
          <t>jarmylly:</t>
        </r>
        <r>
          <rPr>
            <sz val="9"/>
            <color indexed="81"/>
            <rFont val="Tahoma"/>
            <family val="2"/>
          </rPr>
          <t xml:space="preserve">
Image name: netact_rhel_base</t>
        </r>
      </text>
    </comment>
    <comment ref="L87" authorId="1" shapeId="0" xr:uid="{0D56F039-523B-4204-B9E7-46C091EA40CA}">
      <text>
        <r>
          <rPr>
            <b/>
            <sz val="9"/>
            <color indexed="81"/>
            <rFont val="Tahoma"/>
            <family val="2"/>
          </rPr>
          <t>jarmylly:</t>
        </r>
        <r>
          <rPr>
            <sz val="9"/>
            <color indexed="81"/>
            <rFont val="Tahoma"/>
            <family val="2"/>
          </rPr>
          <t xml:space="preserve">
Image name: netact_rhel_base</t>
        </r>
      </text>
    </comment>
    <comment ref="D88" authorId="1" shapeId="0" xr:uid="{EE992DC7-9AEF-4CE7-8C0B-464D1EA068A3}">
      <text>
        <r>
          <rPr>
            <b/>
            <sz val="9"/>
            <color indexed="81"/>
            <rFont val="Tahoma"/>
            <family val="2"/>
          </rPr>
          <t>jarmylly:</t>
        </r>
        <r>
          <rPr>
            <sz val="9"/>
            <color indexed="81"/>
            <rFont val="Tahoma"/>
            <family val="2"/>
          </rPr>
          <t xml:space="preserve">
- SBTS Adapter and BTSMED should not co-locate in same cluster i.e. SBTS Adapter and BTSMED VM usage together is not possible.</t>
        </r>
      </text>
    </comment>
    <comment ref="D89" authorId="1" shapeId="0" xr:uid="{60548CE2-0BA1-4B39-96F4-E61F33E6789B}">
      <text>
        <r>
          <rPr>
            <b/>
            <sz val="9"/>
            <color indexed="81"/>
            <rFont val="Tahoma"/>
            <family val="2"/>
          </rPr>
          <t>jarmylly:</t>
        </r>
        <r>
          <rPr>
            <sz val="9"/>
            <color indexed="81"/>
            <rFont val="Tahoma"/>
            <family val="2"/>
          </rPr>
          <t xml:space="preserve">
- SBTS Adapter and BTSMED should not co-locate in same cluster i.e. SBTS Adapter and BTSMED VM usage together is not possible.</t>
        </r>
      </text>
    </comment>
    <comment ref="BM90" authorId="1" shapeId="0" xr:uid="{AA3425BA-F3C9-4D01-A2F7-82576B3EADC5}">
      <text>
        <r>
          <rPr>
            <b/>
            <sz val="9"/>
            <color indexed="81"/>
            <rFont val="Tahoma"/>
            <family val="2"/>
          </rPr>
          <t>jarmylly:</t>
        </r>
        <r>
          <rPr>
            <sz val="9"/>
            <color indexed="81"/>
            <rFont val="Tahoma"/>
            <family val="2"/>
          </rPr>
          <t xml:space="preserve">
IPv4: 3
IPv4/IPv6: 5</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Avuthu, Charan (EXT - IN/Bangalore)</author>
    <author>jarmylly</author>
    <author>Goyal, Mayank (Nokia - IN/Bangalore)</author>
    <author>Thippeswamy, Suresh (Nokia - IN/Bangalore)</author>
    <author>Jari Myllymaa</author>
  </authors>
  <commentList>
    <comment ref="J7" authorId="0" shapeId="0" xr:uid="{81E1C80F-3785-4035-BE78-FB1684136638}">
      <text>
        <r>
          <rPr>
            <b/>
            <sz val="9"/>
            <color indexed="81"/>
            <rFont val="Tahoma"/>
            <charset val="1"/>
          </rPr>
          <t>Avuthu, Charan (EXT - IN/Bangalore):</t>
        </r>
        <r>
          <rPr>
            <sz val="9"/>
            <color indexed="81"/>
            <rFont val="Tahoma"/>
            <charset val="1"/>
          </rPr>
          <t xml:space="preserve">
Virtual Machine SWAP file size in VMGuestDisk data store, for Virtual Infra operations</t>
        </r>
      </text>
    </comment>
    <comment ref="L10" authorId="1" shapeId="0" xr:uid="{A0A2C2C3-5615-4D4B-BF07-8EE50ACA1BA4}">
      <text>
        <r>
          <rPr>
            <b/>
            <sz val="9"/>
            <color indexed="81"/>
            <rFont val="Tahoma"/>
            <family val="2"/>
          </rPr>
          <t>vishek:</t>
        </r>
        <r>
          <rPr>
            <sz val="9"/>
            <color indexed="81"/>
            <rFont val="Tahoma"/>
            <family val="2"/>
          </rPr>
          <t xml:space="preserve">
Contains one disk:
- DB_redo: 471040MB</t>
        </r>
      </text>
    </comment>
    <comment ref="N10" authorId="1" shapeId="0" xr:uid="{A4A085AD-3448-49ED-BCF5-7A4D51149520}">
      <text>
        <r>
          <rPr>
            <b/>
            <sz val="9"/>
            <color indexed="81"/>
            <rFont val="Tahoma"/>
            <family val="2"/>
          </rPr>
          <t>jarmylly:</t>
        </r>
        <r>
          <rPr>
            <sz val="9"/>
            <color indexed="81"/>
            <rFont val="Tahoma"/>
            <family val="2"/>
          </rPr>
          <t xml:space="preserve">
Contains one disk: 
- DB_data: 8294400MB</t>
        </r>
      </text>
    </comment>
    <comment ref="P10" authorId="1" shapeId="0" xr:uid="{C7BA4364-A684-49B8-9869-D805BCCEF233}">
      <text>
        <r>
          <rPr>
            <b/>
            <sz val="9"/>
            <color indexed="81"/>
            <rFont val="Tahoma"/>
            <family val="2"/>
          </rPr>
          <t>jarmylly:</t>
        </r>
        <r>
          <rPr>
            <sz val="9"/>
            <color indexed="81"/>
            <rFont val="Tahoma"/>
            <family val="2"/>
          </rPr>
          <t xml:space="preserve">
Contains one disk: 
- DB_arc: 12441600MB</t>
        </r>
      </text>
    </comment>
    <comment ref="X10" authorId="1" shapeId="0" xr:uid="{AC764E03-DE91-4EFA-92F6-57B5F10FB958}">
      <text>
        <r>
          <rPr>
            <b/>
            <sz val="9"/>
            <color indexed="81"/>
            <rFont val="Tahoma"/>
            <family val="2"/>
          </rPr>
          <t>jarmylly:</t>
        </r>
        <r>
          <rPr>
            <sz val="9"/>
            <color indexed="81"/>
            <rFont val="Tahoma"/>
            <family val="2"/>
          </rPr>
          <t xml:space="preserve">
Contains one disk:
- DB_backup: 28160000MB</t>
        </r>
      </text>
    </comment>
    <comment ref="AH10" authorId="2" shapeId="0" xr:uid="{9576D935-D9ED-4993-A6C3-3B1F543C5F3B}">
      <text>
        <r>
          <rPr>
            <sz val="9"/>
            <color indexed="81"/>
            <rFont val="Tahoma"/>
            <family val="2"/>
          </rPr>
          <t>Contains one disk:
- db-fb_disk : 6291456MB</t>
        </r>
      </text>
    </comment>
    <comment ref="R11" authorId="1" shapeId="0" xr:uid="{11CDAF15-622C-45FA-83B8-F237BA79D4F3}">
      <text>
        <r>
          <rPr>
            <b/>
            <sz val="9"/>
            <color indexed="81"/>
            <rFont val="Tahoma"/>
            <family val="2"/>
          </rPr>
          <t>jarmylly:</t>
        </r>
        <r>
          <rPr>
            <sz val="9"/>
            <color indexed="81"/>
            <rFont val="Tahoma"/>
            <family val="2"/>
          </rPr>
          <t xml:space="preserve">
Contains three disks:
- NFS_global: 717790 MB
- NFS_home: 50200 MB
- NFS WAS dump: 87040 MB</t>
        </r>
      </text>
    </comment>
    <comment ref="T11" authorId="1" shapeId="0" xr:uid="{188ABC9D-8F2C-4FAA-BF76-BC7FCCF60AE6}">
      <text>
        <r>
          <rPr>
            <b/>
            <sz val="9"/>
            <color indexed="81"/>
            <rFont val="Tahoma"/>
            <family val="2"/>
          </rPr>
          <t>jarmylly:</t>
        </r>
        <r>
          <rPr>
            <sz val="9"/>
            <color indexed="81"/>
            <rFont val="Tahoma"/>
            <family val="2"/>
          </rPr>
          <t xml:space="preserve">
Reserved for customer own data.</t>
        </r>
      </text>
    </comment>
    <comment ref="X11" authorId="1" shapeId="0" xr:uid="{CDAD7204-FD01-4AB9-A0B2-0B62D1D1F308}">
      <text>
        <r>
          <rPr>
            <b/>
            <sz val="9"/>
            <color indexed="81"/>
            <rFont val="Tahoma"/>
            <family val="2"/>
          </rPr>
          <t>jarmylly:</t>
        </r>
        <r>
          <rPr>
            <sz val="9"/>
            <color indexed="81"/>
            <rFont val="Tahoma"/>
            <family val="2"/>
          </rPr>
          <t xml:space="preserve">
Contains one disk:
- NFS_backup: 460800MB</t>
        </r>
      </text>
    </comment>
    <comment ref="AB18" authorId="3" shapeId="0" xr:uid="{5355B869-8493-436D-978C-8329539B74E0}">
      <text>
        <r>
          <rPr>
            <b/>
            <sz val="9"/>
            <color indexed="81"/>
            <rFont val="Tahoma"/>
            <family val="2"/>
          </rPr>
          <t>Thippeswamy, Suresh (Nokia - IN/Bangalore):</t>
        </r>
        <r>
          <rPr>
            <sz val="9"/>
            <color indexed="81"/>
            <rFont val="Tahoma"/>
            <family val="2"/>
          </rPr>
          <t xml:space="preserve">
Contains 1 disk:
adm_disk1: 51200MB</t>
        </r>
      </text>
    </comment>
    <comment ref="AD22" authorId="3" shapeId="0" xr:uid="{2BB0B87F-C067-4CA4-9FA8-2E6AD5C6B134}">
      <text>
        <r>
          <rPr>
            <b/>
            <sz val="9"/>
            <color indexed="81"/>
            <rFont val="Tahoma"/>
            <family val="2"/>
          </rPr>
          <t>Thippeswamy, Suresh (Nokia - IN/Bangalore):</t>
        </r>
        <r>
          <rPr>
            <sz val="9"/>
            <color indexed="81"/>
            <rFont val="Tahoma"/>
            <family val="2"/>
          </rPr>
          <t xml:space="preserve">
Contains one disk:
isdk_disk1 : 102400MB</t>
        </r>
      </text>
    </comment>
    <comment ref="AD23" authorId="3" shapeId="0" xr:uid="{1F8F836D-1DEE-4686-A0C2-71C1B9571F1E}">
      <text>
        <r>
          <rPr>
            <b/>
            <sz val="9"/>
            <color indexed="81"/>
            <rFont val="Tahoma"/>
            <family val="2"/>
          </rPr>
          <t>Thippeswamy, Suresh (Nokia - IN/Bangalore):</t>
        </r>
        <r>
          <rPr>
            <sz val="9"/>
            <color indexed="81"/>
            <rFont val="Tahoma"/>
            <family val="2"/>
          </rPr>
          <t xml:space="preserve">
Contains one disk:
isdk_disk1 : 102400MB</t>
        </r>
      </text>
    </comment>
    <comment ref="I34" authorId="1" shapeId="0" xr:uid="{47E432A9-EDAD-4259-A0CC-40B3B1DAADB5}">
      <text>
        <r>
          <rPr>
            <b/>
            <sz val="9"/>
            <color indexed="81"/>
            <rFont val="Tahoma"/>
            <family val="2"/>
          </rPr>
          <t>jarmylly:</t>
        </r>
        <r>
          <rPr>
            <sz val="9"/>
            <color indexed="81"/>
            <rFont val="Tahoma"/>
            <family val="2"/>
          </rPr>
          <t xml:space="preserve">
Contains two disks:
- Disk-1: 60GB
- Disk-2: 40GB</t>
        </r>
      </text>
    </comment>
    <comment ref="I35" authorId="1" shapeId="0" xr:uid="{9BF1F240-C42F-4988-9C4E-EB3EB2CE9F59}">
      <text>
        <r>
          <rPr>
            <b/>
            <sz val="9"/>
            <color indexed="81"/>
            <rFont val="Tahoma"/>
            <family val="2"/>
          </rPr>
          <t>jarmylly:</t>
        </r>
        <r>
          <rPr>
            <sz val="9"/>
            <color indexed="81"/>
            <rFont val="Tahoma"/>
            <family val="2"/>
          </rPr>
          <t xml:space="preserve">
Contains two disks:
- Disk-1: 60GB
(NOTE: For servers intended for more than 10 concurrent users the recommended size for disk C is Disk-1 size + RAM size.)
- Disk-2: 50GB</t>
        </r>
      </text>
    </comment>
    <comment ref="I36" authorId="1" shapeId="0" xr:uid="{E42F026F-8DD8-4DFD-873F-8350642DA25F}">
      <text>
        <r>
          <rPr>
            <b/>
            <sz val="9"/>
            <color indexed="81"/>
            <rFont val="Tahoma"/>
            <family val="2"/>
          </rPr>
          <t>jarmylly:</t>
        </r>
        <r>
          <rPr>
            <sz val="9"/>
            <color indexed="81"/>
            <rFont val="Tahoma"/>
            <family val="2"/>
          </rPr>
          <t xml:space="preserve">
Contains two disks:
- Disk-1: 80GB
(NOTE: For servers intended for more than 10 concurrent users the recommended size for disk C is Disk-1 size + RAM size.)
- Disk-2: 40GB</t>
        </r>
      </text>
    </comment>
    <comment ref="Z37" authorId="1" shapeId="0" xr:uid="{278F92DA-64DE-4804-A1BA-66D688E6C3B3}">
      <text>
        <r>
          <rPr>
            <b/>
            <sz val="9"/>
            <color indexed="81"/>
            <rFont val="Tahoma"/>
            <family val="2"/>
          </rPr>
          <t>jarmylly:</t>
        </r>
        <r>
          <rPr>
            <sz val="9"/>
            <color indexed="81"/>
            <rFont val="Tahoma"/>
            <family val="2"/>
          </rPr>
          <t xml:space="preserve">
Contains one disk:
- vm66_REP_disk: 46080MB
</t>
        </r>
      </text>
    </comment>
    <comment ref="AA37" authorId="4" shapeId="0" xr:uid="{A580BDDC-2981-40EA-9265-E31A58A5549F}">
      <text>
        <r>
          <rPr>
            <b/>
            <sz val="9"/>
            <color indexed="81"/>
            <rFont val="Calibri"/>
            <family val="2"/>
          </rPr>
          <t>Jari Myllymaa:</t>
        </r>
        <r>
          <rPr>
            <sz val="9"/>
            <color indexed="81"/>
            <rFont val="Calibri"/>
            <family val="2"/>
          </rPr>
          <t xml:space="preserve">
PMDatastore can extend 50GB</t>
        </r>
      </text>
    </comment>
    <comment ref="Z38" authorId="1" shapeId="0" xr:uid="{4A681DE5-BF8F-44F3-B06A-7D5ECB801C97}">
      <text>
        <r>
          <rPr>
            <b/>
            <sz val="9"/>
            <color indexed="81"/>
            <rFont val="Tahoma"/>
            <family val="2"/>
          </rPr>
          <t>jarmylly:</t>
        </r>
        <r>
          <rPr>
            <sz val="9"/>
            <color indexed="81"/>
            <rFont val="Tahoma"/>
            <family val="2"/>
          </rPr>
          <t xml:space="preserve">
Contains one disk:
- vm66_REP_disk: 46080MB
</t>
        </r>
      </text>
    </comment>
    <comment ref="Z39" authorId="1" shapeId="0" xr:uid="{63972551-750F-4044-BEA0-0BD997A88C20}">
      <text>
        <r>
          <rPr>
            <b/>
            <sz val="9"/>
            <color indexed="81"/>
            <rFont val="Tahoma"/>
            <family val="2"/>
          </rPr>
          <t>jarmylly:</t>
        </r>
        <r>
          <rPr>
            <sz val="9"/>
            <color indexed="81"/>
            <rFont val="Tahoma"/>
            <family val="2"/>
          </rPr>
          <t xml:space="preserve">
Contains one disk:
- vm66_REP_disk: 46080MB
</t>
        </r>
      </text>
    </comment>
    <comment ref="Z40" authorId="1" shapeId="0" xr:uid="{838CA0CE-8868-4071-8D66-00926C3E170E}">
      <text>
        <r>
          <rPr>
            <b/>
            <sz val="9"/>
            <color indexed="81"/>
            <rFont val="Tahoma"/>
            <family val="2"/>
          </rPr>
          <t>jarmylly:</t>
        </r>
        <r>
          <rPr>
            <sz val="9"/>
            <color indexed="81"/>
            <rFont val="Tahoma"/>
            <family val="2"/>
          </rPr>
          <t xml:space="preserve">
Contains one disk:
- vm66_REP_disk: 46080MB
</t>
        </r>
      </text>
    </comment>
    <comment ref="AF43" authorId="0" shapeId="0" xr:uid="{EE7B2809-8F3E-4D3B-84C2-331B456D289A}">
      <text>
        <r>
          <rPr>
            <b/>
            <sz val="9"/>
            <color indexed="81"/>
            <rFont val="Tahoma"/>
            <charset val="1"/>
          </rPr>
          <t>Avuthu, Charan (EXT - IN/Bangalore):</t>
        </r>
        <r>
          <rPr>
            <sz val="9"/>
            <color indexed="81"/>
            <rFont val="Tahoma"/>
            <charset val="1"/>
          </rPr>
          <t xml:space="preserve">
Contains one disk:
- ccr_disk1: 153600MB</t>
        </r>
      </text>
    </comment>
    <comment ref="R47" authorId="0" shapeId="0" xr:uid="{E5138632-1971-4839-9621-2CFF0C884B5A}">
      <text>
        <r>
          <rPr>
            <b/>
            <sz val="9"/>
            <color indexed="81"/>
            <rFont val="Tahoma"/>
            <charset val="1"/>
          </rPr>
          <t>Avuthu, Charan (EXT - IN/Bangalore):</t>
        </r>
        <r>
          <rPr>
            <sz val="9"/>
            <color indexed="81"/>
            <rFont val="Tahoma"/>
            <charset val="1"/>
          </rPr>
          <t xml:space="preserve">
Increase for NFSGlobal disk on VM#5 by 120GB
- NFS global (For LCM as optional service on Compute1): 840670 MB</t>
        </r>
      </text>
    </comment>
    <comment ref="X47" authorId="0" shapeId="0" xr:uid="{B836E62B-FA00-49FD-ACD6-987E22D94BC3}">
      <text>
        <r>
          <rPr>
            <b/>
            <sz val="9"/>
            <color indexed="81"/>
            <rFont val="Tahoma"/>
            <charset val="1"/>
          </rPr>
          <t>Avuthu, Charan (EXT - IN/Bangalore):</t>
        </r>
        <r>
          <rPr>
            <sz val="9"/>
            <color indexed="81"/>
            <rFont val="Tahoma"/>
            <charset val="1"/>
          </rPr>
          <t xml:space="preserve">
Contains one disk:
- backup_disk1: 204800MB
Increase for NFSBackup disk on VM#5 by 120GB
- NFS_backup (For LCM as optional service on Compute1): 583680 MB</t>
        </r>
      </text>
    </comment>
    <comment ref="I52" authorId="3" shapeId="0" xr:uid="{2D28313B-F036-40BB-AEC9-41831D5E68BE}">
      <text>
        <r>
          <rPr>
            <b/>
            <sz val="9"/>
            <color indexed="81"/>
            <rFont val="Tahoma"/>
            <family val="2"/>
          </rPr>
          <t>Thippeswamy, Suresh (Nokia - IN/Bangalore):</t>
        </r>
        <r>
          <rPr>
            <sz val="9"/>
            <color indexed="81"/>
            <rFont val="Tahoma"/>
            <family val="2"/>
          </rPr>
          <t xml:space="preserve">
NetAct20 scratch and on top upgrade, the required disk size is 70GB
On long upgrade environment(Having NetAct19 or older in upgrade history), since /var partition requires 40GB from NetAct20 onwards, so additional 25GB disk space is automtically added and attached to /var partition. With this the total disks consumption will be 95GB 
On long upgrade environments(NetAct20 or older), from N23R3 onwards, additional 12GB would be extended and attached to SWAP partition. With this, the total disk consumption will be 107GB.</t>
        </r>
      </text>
    </comment>
    <comment ref="I53" authorId="1" shapeId="0" xr:uid="{49F2C8F0-73F7-46D1-B841-6A6033198DFA}">
      <text>
        <r>
          <rPr>
            <b/>
            <sz val="9"/>
            <color indexed="81"/>
            <rFont val="Tahoma"/>
            <family val="2"/>
          </rPr>
          <t>jarmylly:</t>
        </r>
        <r>
          <rPr>
            <sz val="9"/>
            <color indexed="81"/>
            <rFont val="Tahoma"/>
            <family val="2"/>
          </rPr>
          <t xml:space="preserve">
Contains two disks:
- Disk-1: 60GB
- Disk-2: 40GB</t>
        </r>
      </text>
    </comment>
    <comment ref="I54" authorId="1" shapeId="0" xr:uid="{4855F3D6-0FA6-4F76-8E84-7BD2AF743CD4}">
      <text>
        <r>
          <rPr>
            <b/>
            <sz val="9"/>
            <color indexed="81"/>
            <rFont val="Tahoma"/>
            <family val="2"/>
          </rPr>
          <t>jarmylly:</t>
        </r>
        <r>
          <rPr>
            <sz val="9"/>
            <color indexed="81"/>
            <rFont val="Tahoma"/>
            <family val="2"/>
          </rPr>
          <t xml:space="preserve">
Contains two disks:
- Disk-1: 60GB
(NOTE: For servers intended for more than 10 concurrent users the recommended size for disk C is Disk-1 size + RAM size.)
- Disk-2: 40GB</t>
        </r>
      </text>
    </comment>
    <comment ref="I55" authorId="1" shapeId="0" xr:uid="{89FE3FEA-FFE6-4D87-ADC9-E38E830E93DD}">
      <text>
        <r>
          <rPr>
            <b/>
            <sz val="9"/>
            <color indexed="81"/>
            <rFont val="Tahoma"/>
            <family val="2"/>
          </rPr>
          <t>jarmylly:</t>
        </r>
        <r>
          <rPr>
            <sz val="9"/>
            <color indexed="81"/>
            <rFont val="Tahoma"/>
            <family val="2"/>
          </rPr>
          <t xml:space="preserve">
Contains two disks:
- Disk-1: 60GB
(NOTE: For servers intended for more than 10 concurrent users the recommended size for disk C is Disk-1 size + RAM size.)
- Disk-2: 40GB</t>
        </r>
      </text>
    </comment>
    <comment ref="I56" authorId="1" shapeId="0" xr:uid="{33795334-1157-47AF-B6E0-FA9C53046883}">
      <text>
        <r>
          <rPr>
            <b/>
            <sz val="9"/>
            <color indexed="81"/>
            <rFont val="Tahoma"/>
            <family val="2"/>
          </rPr>
          <t>jarmylly:</t>
        </r>
        <r>
          <rPr>
            <sz val="9"/>
            <color indexed="81"/>
            <rFont val="Tahoma"/>
            <family val="2"/>
          </rPr>
          <t xml:space="preserve">
Contains two disks:
- Disk-1: 60GB
(NOTE: For servers intended for more than 10 concurrent users the recommended size for disk C is Disk-1 size + RAM size.)
- Disk-2: 40GB</t>
        </r>
      </text>
    </comment>
    <comment ref="I57" authorId="1" shapeId="0" xr:uid="{00B22122-F50F-421B-942A-5F182C60E958}">
      <text>
        <r>
          <rPr>
            <b/>
            <sz val="9"/>
            <color indexed="81"/>
            <rFont val="Tahoma"/>
            <family val="2"/>
          </rPr>
          <t>jarmylly:</t>
        </r>
        <r>
          <rPr>
            <sz val="9"/>
            <color indexed="81"/>
            <rFont val="Tahoma"/>
            <family val="2"/>
          </rPr>
          <t xml:space="preserve">
Contains two disks:
- Disk-1: 60GB
(NOTE: For servers intended for more than 10 concurrent users the recommended size for disk C is Disk-1 size + RAM size.)
- Disk-2: 40GB</t>
        </r>
      </text>
    </comment>
    <comment ref="I58" authorId="1" shapeId="0" xr:uid="{28BBF285-2E6A-4A5D-A9CF-81FCC8752CE2}">
      <text>
        <r>
          <rPr>
            <b/>
            <sz val="9"/>
            <color indexed="81"/>
            <rFont val="Tahoma"/>
            <family val="2"/>
          </rPr>
          <t>jarmylly:</t>
        </r>
        <r>
          <rPr>
            <sz val="9"/>
            <color indexed="81"/>
            <rFont val="Tahoma"/>
            <family val="2"/>
          </rPr>
          <t xml:space="preserve">
Contains two disks:
- Disk-1: 60GB
(NOTE: For servers intended for more than 10 concurrent users the recommended size for disk C is Disk-1 size + RAM size.)
- Disk-2: 40GB</t>
        </r>
      </text>
    </comment>
    <comment ref="I59" authorId="1" shapeId="0" xr:uid="{A938FBF8-95E9-4A92-B01D-EF6F2225DC0F}">
      <text>
        <r>
          <rPr>
            <b/>
            <sz val="9"/>
            <color indexed="81"/>
            <rFont val="Tahoma"/>
            <family val="2"/>
          </rPr>
          <t>jarmylly:</t>
        </r>
        <r>
          <rPr>
            <sz val="9"/>
            <color indexed="81"/>
            <rFont val="Tahoma"/>
            <family val="2"/>
          </rPr>
          <t xml:space="preserve">
Contains two disks:
- Disk-1: 60GB
(NOTE: For servers intended for more than 10 concurrent users the recommended size for disk C is Disk-1 size + RAM size.)
- Disk-2: 40GB</t>
        </r>
      </text>
    </comment>
    <comment ref="I60" authorId="1" shapeId="0" xr:uid="{2EBC31F2-5E9B-4799-874E-3A2092D98437}">
      <text>
        <r>
          <rPr>
            <b/>
            <sz val="9"/>
            <color indexed="81"/>
            <rFont val="Tahoma"/>
            <family val="2"/>
          </rPr>
          <t>jarmylly:</t>
        </r>
        <r>
          <rPr>
            <sz val="9"/>
            <color indexed="81"/>
            <rFont val="Tahoma"/>
            <family val="2"/>
          </rPr>
          <t xml:space="preserve">
Contains two disks:
- Disk-1: 60GB
(NOTE: For servers intended for more than 10 concurrent users the recommended size for disk C is Disk-1 size + RAM size.)
- Disk-2: 40GB</t>
        </r>
      </text>
    </comment>
    <comment ref="I61" authorId="1" shapeId="0" xr:uid="{19E2C061-6F9D-423C-9BAC-3CE74EA31C31}">
      <text>
        <r>
          <rPr>
            <b/>
            <sz val="9"/>
            <color indexed="81"/>
            <rFont val="Tahoma"/>
            <family val="2"/>
          </rPr>
          <t>jarmylly:</t>
        </r>
        <r>
          <rPr>
            <sz val="9"/>
            <color indexed="81"/>
            <rFont val="Tahoma"/>
            <family val="2"/>
          </rPr>
          <t xml:space="preserve">
Contains two disks:
- Disk-1: 80GB
(NOTE: For servers intended for more than 10 concurrent users the recommended size for disk C is Disk-1 size + RAM size.)
- Disk-2: 40GB</t>
        </r>
      </text>
    </comment>
    <comment ref="I62" authorId="1" shapeId="0" xr:uid="{9BCE4868-4863-42DC-A2E9-C25017CC3C90}">
      <text>
        <r>
          <rPr>
            <b/>
            <sz val="9"/>
            <color indexed="81"/>
            <rFont val="Tahoma"/>
            <family val="2"/>
          </rPr>
          <t>jarmylly:</t>
        </r>
        <r>
          <rPr>
            <sz val="9"/>
            <color indexed="81"/>
            <rFont val="Tahoma"/>
            <family val="2"/>
          </rPr>
          <t xml:space="preserve">
Contains two disks:
- Disk-1: 60GB
(NOTE: For servers intended for more than 10 concurrent users the recommended size for disk C is Disk-1 size + RAM size.)
- Disk-2: 40GB</t>
        </r>
      </text>
    </comment>
    <comment ref="I70" authorId="1" shapeId="0" xr:uid="{FEAA0F2A-997A-48FF-BCF5-09350D591F9A}">
      <text>
        <r>
          <rPr>
            <b/>
            <sz val="9"/>
            <color indexed="81"/>
            <rFont val="Tahoma"/>
            <family val="2"/>
          </rPr>
          <t>jarmylly:</t>
        </r>
        <r>
          <rPr>
            <sz val="9"/>
            <color indexed="81"/>
            <rFont val="Tahoma"/>
            <family val="2"/>
          </rPr>
          <t xml:space="preserve">
Contains two disks:
- Disk-1: 30GB
- Disk-2: 80GB</t>
        </r>
      </text>
    </comment>
    <comment ref="I71" authorId="1" shapeId="0" xr:uid="{03D5880F-B104-4B7A-B4F8-8B0C40445C95}">
      <text>
        <r>
          <rPr>
            <b/>
            <sz val="9"/>
            <color indexed="81"/>
            <rFont val="Tahoma"/>
            <family val="2"/>
          </rPr>
          <t>jarmylly:</t>
        </r>
        <r>
          <rPr>
            <sz val="9"/>
            <color indexed="81"/>
            <rFont val="Tahoma"/>
            <family val="2"/>
          </rPr>
          <t xml:space="preserve">
Contains two disks:
- Disk-1: 30GB
- Disk-2: 80GB</t>
        </r>
      </text>
    </comment>
    <comment ref="I76" authorId="3" shapeId="0" xr:uid="{AA667B21-B3D8-41C3-9DA4-A44C55CE707F}">
      <text>
        <r>
          <rPr>
            <b/>
            <sz val="9"/>
            <color indexed="81"/>
            <rFont val="Tahoma"/>
            <family val="2"/>
          </rPr>
          <t>Thippeswamy, Suresh (Nokia - IN/Bangalore):</t>
        </r>
        <r>
          <rPr>
            <sz val="9"/>
            <color indexed="81"/>
            <rFont val="Tahoma"/>
            <family val="2"/>
          </rPr>
          <t xml:space="preserve">
OS disk: 50GB
Data Disk:2048GB</t>
        </r>
      </text>
    </comment>
    <comment ref="E88" authorId="1" shapeId="0" xr:uid="{C65C5551-3766-4851-8644-F04F38F7A0DF}">
      <text>
        <r>
          <rPr>
            <b/>
            <sz val="9"/>
            <color indexed="81"/>
            <rFont val="Tahoma"/>
            <family val="2"/>
          </rPr>
          <t>jarmylly:</t>
        </r>
        <r>
          <rPr>
            <sz val="9"/>
            <color indexed="81"/>
            <rFont val="Tahoma"/>
            <family val="2"/>
          </rPr>
          <t xml:space="preserve">
- SBTS Adapter and BTSMED should not co-locate in same cluster i.e. SBTS Adapter and BTSMED VM usage together is not possible.</t>
        </r>
      </text>
    </comment>
    <comment ref="E89" authorId="1" shapeId="0" xr:uid="{A91EDF43-528F-4D04-AE30-978688A7F51D}">
      <text>
        <r>
          <rPr>
            <b/>
            <sz val="9"/>
            <color indexed="81"/>
            <rFont val="Tahoma"/>
            <family val="2"/>
          </rPr>
          <t>jarmylly:</t>
        </r>
        <r>
          <rPr>
            <sz val="9"/>
            <color indexed="81"/>
            <rFont val="Tahoma"/>
            <family val="2"/>
          </rPr>
          <t xml:space="preserve">
- SBTS Adapter and BTSMED should not co-locate in same cluster i.e. SBTS Adapter and BTSMED VM usage together is not possible.</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Avuthu, Charan (EXT - IN/Bangalore)</author>
    <author>jarmylly</author>
    <author>Thippeswamy, Suresh (Nokia - IN/Bangalore)</author>
    <author>Rastogi, Alok (Nokia - IN/Bangalore)</author>
  </authors>
  <commentList>
    <comment ref="I7" authorId="0" shapeId="0" xr:uid="{C2114DB9-6A13-4DD6-9242-F582E0B0C98F}">
      <text>
        <r>
          <rPr>
            <b/>
            <sz val="9"/>
            <color indexed="81"/>
            <rFont val="Tahoma"/>
            <charset val="1"/>
          </rPr>
          <t>Avuthu, Charan (EXT - IN/Bangalore):</t>
        </r>
        <r>
          <rPr>
            <sz val="9"/>
            <color indexed="81"/>
            <rFont val="Tahoma"/>
            <charset val="1"/>
          </rPr>
          <t xml:space="preserve">
Instance OS Level SWAP size, will derive from the flavor</t>
        </r>
      </text>
    </comment>
    <comment ref="K7" authorId="1" shapeId="0" xr:uid="{D16EF7B9-1AD5-469A-B6F4-CFA475E3AB89}">
      <text>
        <r>
          <rPr>
            <b/>
            <sz val="9"/>
            <color indexed="81"/>
            <rFont val="Tahoma"/>
            <family val="2"/>
          </rPr>
          <t>jarmylly:</t>
        </r>
        <r>
          <rPr>
            <sz val="9"/>
            <color indexed="81"/>
            <rFont val="Tahoma"/>
            <family val="2"/>
          </rPr>
          <t xml:space="preserve">
Only if Airframe Hardware used</t>
        </r>
      </text>
    </comment>
    <comment ref="O7" authorId="1" shapeId="0" xr:uid="{7D4E8A1B-CFD9-4E3F-809F-168EE8B3A1F0}">
      <text>
        <r>
          <rPr>
            <b/>
            <sz val="9"/>
            <color indexed="81"/>
            <rFont val="Tahoma"/>
            <family val="2"/>
          </rPr>
          <t>jarmylly:</t>
        </r>
        <r>
          <rPr>
            <sz val="9"/>
            <color indexed="81"/>
            <rFont val="Tahoma"/>
            <family val="2"/>
          </rPr>
          <t xml:space="preserve">
Only if Airframe Hardware used</t>
        </r>
      </text>
    </comment>
    <comment ref="S7" authorId="1" shapeId="0" xr:uid="{873E81A2-3CC9-4012-9E28-28460070CAC0}">
      <text>
        <r>
          <rPr>
            <b/>
            <sz val="9"/>
            <color indexed="81"/>
            <rFont val="Tahoma"/>
            <family val="2"/>
          </rPr>
          <t>jarmylly:</t>
        </r>
        <r>
          <rPr>
            <sz val="9"/>
            <color indexed="81"/>
            <rFont val="Tahoma"/>
            <family val="2"/>
          </rPr>
          <t xml:space="preserve">
Only if Airframe Hardware used</t>
        </r>
      </text>
    </comment>
    <comment ref="W7" authorId="1" shapeId="0" xr:uid="{F38FA747-6B41-4BC8-AD7C-D372674C5FD8}">
      <text>
        <r>
          <rPr>
            <b/>
            <sz val="9"/>
            <color indexed="81"/>
            <rFont val="Tahoma"/>
            <family val="2"/>
          </rPr>
          <t>jarmylly:</t>
        </r>
        <r>
          <rPr>
            <sz val="9"/>
            <color indexed="81"/>
            <rFont val="Tahoma"/>
            <family val="2"/>
          </rPr>
          <t xml:space="preserve">
Only if Airframe Hardware used</t>
        </r>
      </text>
    </comment>
    <comment ref="AA7" authorId="1" shapeId="0" xr:uid="{E7CC5D89-3310-4EC5-8137-F1184479AA5D}">
      <text>
        <r>
          <rPr>
            <b/>
            <sz val="9"/>
            <color indexed="81"/>
            <rFont val="Tahoma"/>
            <family val="2"/>
          </rPr>
          <t>jarmylly:</t>
        </r>
        <r>
          <rPr>
            <sz val="9"/>
            <color indexed="81"/>
            <rFont val="Tahoma"/>
            <family val="2"/>
          </rPr>
          <t xml:space="preserve">
Only if Airframe Hardware used</t>
        </r>
      </text>
    </comment>
    <comment ref="AE7" authorId="1" shapeId="0" xr:uid="{4E9B04AC-F30B-4F52-BB91-B6E5AA918201}">
      <text>
        <r>
          <rPr>
            <b/>
            <sz val="9"/>
            <color indexed="81"/>
            <rFont val="Tahoma"/>
            <family val="2"/>
          </rPr>
          <t>jarmylly:</t>
        </r>
        <r>
          <rPr>
            <sz val="9"/>
            <color indexed="81"/>
            <rFont val="Tahoma"/>
            <family val="2"/>
          </rPr>
          <t xml:space="preserve">
Only if Airframe Hardware used</t>
        </r>
      </text>
    </comment>
    <comment ref="AI7" authorId="1" shapeId="0" xr:uid="{26669273-48B5-48CF-9FDE-7117B9401F71}">
      <text>
        <r>
          <rPr>
            <b/>
            <sz val="9"/>
            <color indexed="81"/>
            <rFont val="Tahoma"/>
            <family val="2"/>
          </rPr>
          <t>jarmylly:</t>
        </r>
        <r>
          <rPr>
            <sz val="9"/>
            <color indexed="81"/>
            <rFont val="Tahoma"/>
            <family val="2"/>
          </rPr>
          <t xml:space="preserve">
Only if Airframe Hardware used</t>
        </r>
      </text>
    </comment>
    <comment ref="AM7" authorId="1" shapeId="0" xr:uid="{F74BA49C-E1C6-48D7-933A-07AB6F26C0B6}">
      <text>
        <r>
          <rPr>
            <b/>
            <sz val="9"/>
            <color indexed="81"/>
            <rFont val="Tahoma"/>
            <family val="2"/>
          </rPr>
          <t>jarmylly:</t>
        </r>
        <r>
          <rPr>
            <sz val="9"/>
            <color indexed="81"/>
            <rFont val="Tahoma"/>
            <family val="2"/>
          </rPr>
          <t xml:space="preserve">
Only if Airframe Hardware used</t>
        </r>
      </text>
    </comment>
    <comment ref="AQ7" authorId="1" shapeId="0" xr:uid="{1F5347BA-A1CA-4939-9928-21A96DA51FFB}">
      <text>
        <r>
          <rPr>
            <b/>
            <sz val="9"/>
            <color indexed="81"/>
            <rFont val="Tahoma"/>
            <family val="2"/>
          </rPr>
          <t>jarmylly:</t>
        </r>
        <r>
          <rPr>
            <sz val="9"/>
            <color indexed="81"/>
            <rFont val="Tahoma"/>
            <family val="2"/>
          </rPr>
          <t xml:space="preserve">
Only if Airframe Hardware used</t>
        </r>
      </text>
    </comment>
    <comment ref="AU7" authorId="1" shapeId="0" xr:uid="{B8B47E99-3609-4C3D-8C74-DB9B010373CD}">
      <text>
        <r>
          <rPr>
            <b/>
            <sz val="9"/>
            <color indexed="81"/>
            <rFont val="Tahoma"/>
            <family val="2"/>
          </rPr>
          <t>jarmylly:</t>
        </r>
        <r>
          <rPr>
            <sz val="9"/>
            <color indexed="81"/>
            <rFont val="Tahoma"/>
            <family val="2"/>
          </rPr>
          <t xml:space="preserve">
Only if Airframe Hardware used</t>
        </r>
      </text>
    </comment>
    <comment ref="AY7" authorId="1" shapeId="0" xr:uid="{DB64207C-47A9-4B66-BE14-425BEE679C40}">
      <text>
        <r>
          <rPr>
            <b/>
            <sz val="9"/>
            <color indexed="81"/>
            <rFont val="Tahoma"/>
            <family val="2"/>
          </rPr>
          <t>jarmylly:</t>
        </r>
        <r>
          <rPr>
            <sz val="9"/>
            <color indexed="81"/>
            <rFont val="Tahoma"/>
            <family val="2"/>
          </rPr>
          <t xml:space="preserve">
Only if Airframe Hardware used</t>
        </r>
      </text>
    </comment>
    <comment ref="BC7" authorId="1" shapeId="0" xr:uid="{E4E165A0-C9FB-4D18-86FF-797F17D17E7B}">
      <text>
        <r>
          <rPr>
            <b/>
            <sz val="9"/>
            <color indexed="81"/>
            <rFont val="Tahoma"/>
            <family val="2"/>
          </rPr>
          <t>jarmylly:</t>
        </r>
        <r>
          <rPr>
            <sz val="9"/>
            <color indexed="81"/>
            <rFont val="Tahoma"/>
            <family val="2"/>
          </rPr>
          <t xml:space="preserve">
Only if Airframe Hardware used</t>
        </r>
      </text>
    </comment>
    <comment ref="L8" authorId="1" shapeId="0" xr:uid="{A9EFB995-281E-420A-B395-AD10597E2E4E}">
      <text>
        <r>
          <rPr>
            <b/>
            <sz val="9"/>
            <color indexed="81"/>
            <rFont val="Tahoma"/>
            <family val="2"/>
          </rPr>
          <t>jarmylly:</t>
        </r>
        <r>
          <rPr>
            <sz val="9"/>
            <color indexed="81"/>
            <rFont val="Tahoma"/>
            <family val="2"/>
          </rPr>
          <t xml:space="preserve">
Images name: rhel7_insteng</t>
        </r>
      </text>
    </comment>
    <comment ref="L9" authorId="1" shapeId="0" xr:uid="{EA2A314A-31E2-4117-9E51-51BB66D58CDA}">
      <text>
        <r>
          <rPr>
            <b/>
            <sz val="9"/>
            <color indexed="81"/>
            <rFont val="Tahoma"/>
            <family val="2"/>
          </rPr>
          <t>jarmylly:</t>
        </r>
        <r>
          <rPr>
            <sz val="9"/>
            <color indexed="81"/>
            <rFont val="Tahoma"/>
            <family val="2"/>
          </rPr>
          <t xml:space="preserve">
Image name: administration_server</t>
        </r>
      </text>
    </comment>
    <comment ref="L10" authorId="1" shapeId="0" xr:uid="{5C69B326-E214-4233-A192-FC1D6A0C1B7E}">
      <text>
        <r>
          <rPr>
            <b/>
            <sz val="9"/>
            <color indexed="81"/>
            <rFont val="Tahoma"/>
            <family val="2"/>
          </rPr>
          <t>jarmylly:</t>
        </r>
        <r>
          <rPr>
            <sz val="9"/>
            <color indexed="81"/>
            <rFont val="Tahoma"/>
            <family val="2"/>
          </rPr>
          <t xml:space="preserve">
Image name: netact_rhel_base</t>
        </r>
      </text>
    </comment>
    <comment ref="L11" authorId="1" shapeId="0" xr:uid="{53F3E4CA-8699-4CE4-93CD-CB3E7E028042}">
      <text>
        <r>
          <rPr>
            <b/>
            <sz val="9"/>
            <color indexed="81"/>
            <rFont val="Tahoma"/>
            <family val="2"/>
          </rPr>
          <t>jarmylly:</t>
        </r>
        <r>
          <rPr>
            <sz val="9"/>
            <color indexed="81"/>
            <rFont val="Tahoma"/>
            <family val="2"/>
          </rPr>
          <t xml:space="preserve">
Image name: netact_rhel_base</t>
        </r>
      </text>
    </comment>
    <comment ref="M11" authorId="2" shapeId="0" xr:uid="{928ECF6A-EB54-4E67-A9E8-A3CB782F368F}">
      <text>
        <r>
          <rPr>
            <b/>
            <sz val="9"/>
            <color indexed="81"/>
            <rFont val="Tahoma"/>
            <family val="2"/>
          </rPr>
          <t>Thippeswamy, Suresh (Nokia - IN/Bangalore):</t>
        </r>
        <r>
          <rPr>
            <sz val="9"/>
            <color indexed="81"/>
            <rFont val="Tahoma"/>
            <family val="2"/>
          </rPr>
          <t xml:space="preserve">
Contains one disk:
- DB_redo: 471040MB</t>
        </r>
      </text>
    </comment>
    <comment ref="P11" authorId="1" shapeId="0" xr:uid="{90A6543E-D1E8-4003-9E21-B0E1CEBDD11B}">
      <text>
        <r>
          <rPr>
            <b/>
            <sz val="9"/>
            <color indexed="81"/>
            <rFont val="Tahoma"/>
            <family val="2"/>
          </rPr>
          <t>jarmylly:</t>
        </r>
        <r>
          <rPr>
            <sz val="9"/>
            <color indexed="81"/>
            <rFont val="Tahoma"/>
            <family val="2"/>
          </rPr>
          <t xml:space="preserve">
Image name: vgredo</t>
        </r>
      </text>
    </comment>
    <comment ref="T11" authorId="1" shapeId="0" xr:uid="{4931BF5F-56B2-4FBC-841A-2101E4FF449C}">
      <text>
        <r>
          <rPr>
            <b/>
            <sz val="9"/>
            <color indexed="81"/>
            <rFont val="Tahoma"/>
            <family val="2"/>
          </rPr>
          <t>jarmylly:</t>
        </r>
        <r>
          <rPr>
            <sz val="9"/>
            <color indexed="81"/>
            <rFont val="Tahoma"/>
            <family val="2"/>
          </rPr>
          <t xml:space="preserve">
Image name: vgdb</t>
        </r>
      </text>
    </comment>
    <comment ref="X11" authorId="1" shapeId="0" xr:uid="{6E79A143-4EFE-4DC3-88FB-EF4DC8FDD9A4}">
      <text>
        <r>
          <rPr>
            <b/>
            <sz val="9"/>
            <color indexed="81"/>
            <rFont val="Tahoma"/>
            <family val="2"/>
          </rPr>
          <t>jarmylly:</t>
        </r>
        <r>
          <rPr>
            <sz val="9"/>
            <color indexed="81"/>
            <rFont val="Tahoma"/>
            <family val="2"/>
          </rPr>
          <t xml:space="preserve">
Image name: vgarc</t>
        </r>
      </text>
    </comment>
    <comment ref="BD11" authorId="3" shapeId="0" xr:uid="{8FCB30E9-A594-4513-BE78-3CA45E6A8104}">
      <text>
        <r>
          <rPr>
            <b/>
            <sz val="9"/>
            <color indexed="81"/>
            <rFont val="Tahoma"/>
            <family val="2"/>
          </rPr>
          <t xml:space="preserve"> Alok :name
</t>
        </r>
        <r>
          <rPr>
            <sz val="9"/>
            <color indexed="81"/>
            <rFont val="Tahoma"/>
            <family val="2"/>
          </rPr>
          <t>vgdbfb</t>
        </r>
      </text>
    </comment>
    <comment ref="L12" authorId="1" shapeId="0" xr:uid="{B86FD2CD-7DAF-48F8-9029-83C479CF4E13}">
      <text>
        <r>
          <rPr>
            <b/>
            <sz val="9"/>
            <color indexed="81"/>
            <rFont val="Tahoma"/>
            <family val="2"/>
          </rPr>
          <t>jarmylly:</t>
        </r>
        <r>
          <rPr>
            <sz val="9"/>
            <color indexed="81"/>
            <rFont val="Tahoma"/>
            <family val="2"/>
          </rPr>
          <t xml:space="preserve">
Image name: netact_rhel_base</t>
        </r>
      </text>
    </comment>
    <comment ref="Y12" authorId="3" shapeId="0" xr:uid="{2FAF74F1-0688-4947-88A3-B3FF6D04E80A}">
      <text>
        <r>
          <rPr>
            <b/>
            <sz val="9"/>
            <color indexed="81"/>
            <rFont val="Tahoma"/>
            <family val="2"/>
          </rPr>
          <t>Rastogi, Alok (Nokia - IN/Bangalore):</t>
        </r>
        <r>
          <rPr>
            <sz val="9"/>
            <color indexed="81"/>
            <rFont val="Tahoma"/>
            <family val="2"/>
          </rPr>
          <t xml:space="preserve">
Contains three disks;
NFS Global : 717790 MB
OR
- NFS global (If LCM chosen as optional service on Compute1): 840670 MB
NFS Home: 50200 MB
NFS WAS dump: 87040 MB</t>
        </r>
      </text>
    </comment>
    <comment ref="AB12" authorId="1" shapeId="0" xr:uid="{C73562AB-A1E6-46A2-9B90-3F7866647FA4}">
      <text>
        <r>
          <rPr>
            <b/>
            <sz val="9"/>
            <color indexed="81"/>
            <rFont val="Tahoma"/>
            <family val="2"/>
          </rPr>
          <t>jarmylly:</t>
        </r>
        <r>
          <rPr>
            <sz val="9"/>
            <color indexed="81"/>
            <rFont val="Tahoma"/>
            <family val="2"/>
          </rPr>
          <t xml:space="preserve">
Image names:
- vgglobal
- vghome</t>
        </r>
      </text>
    </comment>
    <comment ref="AC12" authorId="1" shapeId="0" xr:uid="{F613717D-63A9-4676-862B-11580378FD7E}">
      <text>
        <r>
          <rPr>
            <b/>
            <sz val="9"/>
            <color indexed="81"/>
            <rFont val="Tahoma"/>
            <family val="2"/>
          </rPr>
          <t>jarmylly:</t>
        </r>
        <r>
          <rPr>
            <sz val="9"/>
            <color indexed="81"/>
            <rFont val="Tahoma"/>
            <family val="2"/>
          </rPr>
          <t xml:space="preserve">
Reserved for customer own data.</t>
        </r>
      </text>
    </comment>
    <comment ref="L13" authorId="1" shapeId="0" xr:uid="{DD1B0298-6716-4724-9B0F-FDCFFBCC4902}">
      <text>
        <r>
          <rPr>
            <b/>
            <sz val="9"/>
            <color indexed="81"/>
            <rFont val="Tahoma"/>
            <family val="2"/>
          </rPr>
          <t>jarmylly:</t>
        </r>
        <r>
          <rPr>
            <sz val="9"/>
            <color indexed="81"/>
            <rFont val="Tahoma"/>
            <family val="2"/>
          </rPr>
          <t xml:space="preserve">
Image name: netact_rhel_base</t>
        </r>
      </text>
    </comment>
    <comment ref="L14" authorId="1" shapeId="0" xr:uid="{A55B6E21-23DA-4220-B796-15274A02F410}">
      <text>
        <r>
          <rPr>
            <b/>
            <sz val="9"/>
            <color indexed="81"/>
            <rFont val="Tahoma"/>
            <family val="2"/>
          </rPr>
          <t>jarmylly:</t>
        </r>
        <r>
          <rPr>
            <sz val="9"/>
            <color indexed="81"/>
            <rFont val="Tahoma"/>
            <family val="2"/>
          </rPr>
          <t xml:space="preserve">
Image name: netact_rhel_base</t>
        </r>
      </text>
    </comment>
    <comment ref="L15" authorId="1" shapeId="0" xr:uid="{AD591C3F-1926-4AC9-B458-E5C7BC6ED002}">
      <text>
        <r>
          <rPr>
            <b/>
            <sz val="9"/>
            <color indexed="81"/>
            <rFont val="Tahoma"/>
            <family val="2"/>
          </rPr>
          <t>jarmylly:</t>
        </r>
        <r>
          <rPr>
            <sz val="9"/>
            <color indexed="81"/>
            <rFont val="Tahoma"/>
            <family val="2"/>
          </rPr>
          <t xml:space="preserve">
Image name: netact_rhel_base</t>
        </r>
      </text>
    </comment>
    <comment ref="L16" authorId="1" shapeId="0" xr:uid="{8263825A-48C4-44E6-9387-33123EFFAB27}">
      <text>
        <r>
          <rPr>
            <b/>
            <sz val="9"/>
            <color indexed="81"/>
            <rFont val="Tahoma"/>
            <family val="2"/>
          </rPr>
          <t>jarmylly:</t>
        </r>
        <r>
          <rPr>
            <sz val="9"/>
            <color indexed="81"/>
            <rFont val="Tahoma"/>
            <family val="2"/>
          </rPr>
          <t xml:space="preserve">
Image name: netact_rhel_base</t>
        </r>
      </text>
    </comment>
    <comment ref="L17" authorId="1" shapeId="0" xr:uid="{DFD92168-70D7-4C62-ACE8-C59814C027C4}">
      <text>
        <r>
          <rPr>
            <b/>
            <sz val="9"/>
            <color indexed="81"/>
            <rFont val="Tahoma"/>
            <family val="2"/>
          </rPr>
          <t>jarmylly:</t>
        </r>
        <r>
          <rPr>
            <sz val="9"/>
            <color indexed="81"/>
            <rFont val="Tahoma"/>
            <family val="2"/>
          </rPr>
          <t xml:space="preserve">
Image name: netact_rhel_base</t>
        </r>
      </text>
    </comment>
    <comment ref="L18" authorId="1" shapeId="0" xr:uid="{94F2DF26-DD41-4B8E-9EB0-3AC43264008A}">
      <text>
        <r>
          <rPr>
            <b/>
            <sz val="9"/>
            <color indexed="81"/>
            <rFont val="Tahoma"/>
            <family val="2"/>
          </rPr>
          <t>jarmylly:</t>
        </r>
        <r>
          <rPr>
            <sz val="9"/>
            <color indexed="81"/>
            <rFont val="Tahoma"/>
            <family val="2"/>
          </rPr>
          <t xml:space="preserve">
Image name: netact_rhel_base</t>
        </r>
      </text>
    </comment>
    <comment ref="L19" authorId="1" shapeId="0" xr:uid="{5FB362DE-CF16-403A-A42B-AB857456B83A}">
      <text>
        <r>
          <rPr>
            <b/>
            <sz val="9"/>
            <color indexed="81"/>
            <rFont val="Tahoma"/>
            <family val="2"/>
          </rPr>
          <t>jarmylly:</t>
        </r>
        <r>
          <rPr>
            <sz val="9"/>
            <color indexed="81"/>
            <rFont val="Tahoma"/>
            <family val="2"/>
          </rPr>
          <t xml:space="preserve">
Image name: netact_rhel_base</t>
        </r>
      </text>
    </comment>
    <comment ref="AR19" authorId="3" shapeId="0" xr:uid="{0F22BCD2-C7CF-40A1-8C05-0F84D15D3AD3}">
      <text>
        <r>
          <rPr>
            <b/>
            <sz val="9"/>
            <color indexed="81"/>
            <rFont val="Tahoma"/>
            <family val="2"/>
          </rPr>
          <t xml:space="preserve"> Alok :name
</t>
        </r>
        <r>
          <rPr>
            <sz val="9"/>
            <color indexed="81"/>
            <rFont val="Tahoma"/>
            <family val="2"/>
          </rPr>
          <t>vgadm</t>
        </r>
      </text>
    </comment>
    <comment ref="L20" authorId="1" shapeId="0" xr:uid="{1B681623-8F2D-41C0-97AC-875A9F87C927}">
      <text>
        <r>
          <rPr>
            <b/>
            <sz val="9"/>
            <color indexed="81"/>
            <rFont val="Tahoma"/>
            <family val="2"/>
          </rPr>
          <t>jarmylly:</t>
        </r>
        <r>
          <rPr>
            <sz val="9"/>
            <color indexed="81"/>
            <rFont val="Tahoma"/>
            <family val="2"/>
          </rPr>
          <t xml:space="preserve">
Image name: netact_rhel_base</t>
        </r>
      </text>
    </comment>
    <comment ref="L21" authorId="1" shapeId="0" xr:uid="{DF0A764B-9E05-48E2-B117-6D392094CAEF}">
      <text>
        <r>
          <rPr>
            <b/>
            <sz val="9"/>
            <color indexed="81"/>
            <rFont val="Tahoma"/>
            <family val="2"/>
          </rPr>
          <t>jarmylly:</t>
        </r>
        <r>
          <rPr>
            <sz val="9"/>
            <color indexed="81"/>
            <rFont val="Tahoma"/>
            <family val="2"/>
          </rPr>
          <t xml:space="preserve">
Image name: netact_rhel_base</t>
        </r>
      </text>
    </comment>
    <comment ref="L22" authorId="1" shapeId="0" xr:uid="{683051BB-F572-4024-B3E4-65D37BA2BED6}">
      <text>
        <r>
          <rPr>
            <b/>
            <sz val="9"/>
            <color indexed="81"/>
            <rFont val="Tahoma"/>
            <family val="2"/>
          </rPr>
          <t>jarmylly:</t>
        </r>
        <r>
          <rPr>
            <sz val="9"/>
            <color indexed="81"/>
            <rFont val="Tahoma"/>
            <family val="2"/>
          </rPr>
          <t xml:space="preserve">
Image name: netact_rhel_base</t>
        </r>
      </text>
    </comment>
    <comment ref="L23" authorId="1" shapeId="0" xr:uid="{7B58C229-9F84-42FD-9ACD-779183396FAB}">
      <text>
        <r>
          <rPr>
            <b/>
            <sz val="9"/>
            <color indexed="81"/>
            <rFont val="Tahoma"/>
            <family val="2"/>
          </rPr>
          <t>jarmylly:</t>
        </r>
        <r>
          <rPr>
            <sz val="9"/>
            <color indexed="81"/>
            <rFont val="Tahoma"/>
            <family val="2"/>
          </rPr>
          <t xml:space="preserve">
Image name: netact_rhel_base</t>
        </r>
      </text>
    </comment>
    <comment ref="AV23" authorId="2" shapeId="0" xr:uid="{2408546D-ABAE-4522-973C-23ED7637AAAB}">
      <text>
        <r>
          <rPr>
            <b/>
            <sz val="9"/>
            <color indexed="81"/>
            <rFont val="Tahoma"/>
            <family val="2"/>
          </rPr>
          <t>Thippeswamy, Suresh (Nokia - IN/Bangalore):</t>
        </r>
        <r>
          <rPr>
            <sz val="9"/>
            <color indexed="81"/>
            <rFont val="Tahoma"/>
            <family val="2"/>
          </rPr>
          <t xml:space="preserve">
Image name: vgisdk</t>
        </r>
      </text>
    </comment>
    <comment ref="BE23" authorId="2" shapeId="0" xr:uid="{9EFC0E30-11FB-4DA0-A563-90B73682FD63}">
      <text>
        <r>
          <rPr>
            <b/>
            <sz val="9"/>
            <color indexed="81"/>
            <rFont val="Tahoma"/>
            <family val="2"/>
          </rPr>
          <t>Thippeswamy, Suresh (Nokia - IN/Bangalore):</t>
        </r>
        <r>
          <rPr>
            <sz val="9"/>
            <color indexed="81"/>
            <rFont val="Tahoma"/>
            <family val="2"/>
          </rPr>
          <t xml:space="preserve">
CRSR-227: Changed to 3 from 2</t>
        </r>
      </text>
    </comment>
    <comment ref="L24" authorId="1" shapeId="0" xr:uid="{415E2019-7DFD-4BF9-A720-9355A03DCD70}">
      <text>
        <r>
          <rPr>
            <b/>
            <sz val="9"/>
            <color indexed="81"/>
            <rFont val="Tahoma"/>
            <family val="2"/>
          </rPr>
          <t>jarmylly:</t>
        </r>
        <r>
          <rPr>
            <sz val="9"/>
            <color indexed="81"/>
            <rFont val="Tahoma"/>
            <family val="2"/>
          </rPr>
          <t xml:space="preserve">
Image name: netact_rhel_base</t>
        </r>
      </text>
    </comment>
    <comment ref="AV24" authorId="2" shapeId="0" xr:uid="{980CF909-8274-4FEA-9DCB-CA5CF6212474}">
      <text>
        <r>
          <rPr>
            <b/>
            <sz val="9"/>
            <color indexed="81"/>
            <rFont val="Tahoma"/>
            <family val="2"/>
          </rPr>
          <t>Thippeswamy, Suresh (Nokia - IN/Bangalore):</t>
        </r>
        <r>
          <rPr>
            <sz val="9"/>
            <color indexed="81"/>
            <rFont val="Tahoma"/>
            <family val="2"/>
          </rPr>
          <t xml:space="preserve">
Image name: vgisdk</t>
        </r>
      </text>
    </comment>
    <comment ref="BE24" authorId="2" shapeId="0" xr:uid="{944EC953-3433-4239-BE70-68DCF256EF83}">
      <text>
        <r>
          <rPr>
            <b/>
            <sz val="9"/>
            <color indexed="81"/>
            <rFont val="Tahoma"/>
            <family val="2"/>
          </rPr>
          <t>Thippeswamy, Suresh (Nokia - IN/Bangalore):</t>
        </r>
        <r>
          <rPr>
            <sz val="9"/>
            <color indexed="81"/>
            <rFont val="Tahoma"/>
            <family val="2"/>
          </rPr>
          <t xml:space="preserve">
CRSR-227: Changed to 3 from 2</t>
        </r>
      </text>
    </comment>
    <comment ref="L25" authorId="1" shapeId="0" xr:uid="{29D0E181-7A9F-4D2D-9156-1B310955AFA0}">
      <text>
        <r>
          <rPr>
            <b/>
            <sz val="9"/>
            <color indexed="81"/>
            <rFont val="Tahoma"/>
            <family val="2"/>
          </rPr>
          <t>jarmylly:</t>
        </r>
        <r>
          <rPr>
            <sz val="9"/>
            <color indexed="81"/>
            <rFont val="Tahoma"/>
            <family val="2"/>
          </rPr>
          <t xml:space="preserve">
Image name: netact_rhel_base</t>
        </r>
      </text>
    </comment>
    <comment ref="L26" authorId="1" shapeId="0" xr:uid="{FC126061-E9F1-462C-8416-3791FD7AD405}">
      <text>
        <r>
          <rPr>
            <b/>
            <sz val="9"/>
            <color indexed="81"/>
            <rFont val="Tahoma"/>
            <family val="2"/>
          </rPr>
          <t>jarmylly:</t>
        </r>
        <r>
          <rPr>
            <sz val="9"/>
            <color indexed="81"/>
            <rFont val="Tahoma"/>
            <family val="2"/>
          </rPr>
          <t xml:space="preserve">
Image name: netact_rhel_base</t>
        </r>
      </text>
    </comment>
    <comment ref="L27" authorId="1" shapeId="0" xr:uid="{0F64C8A7-F7B9-4B88-B34F-AEF2AC7035B8}">
      <text>
        <r>
          <rPr>
            <b/>
            <sz val="9"/>
            <color indexed="81"/>
            <rFont val="Tahoma"/>
            <family val="2"/>
          </rPr>
          <t>jarmylly:</t>
        </r>
        <r>
          <rPr>
            <sz val="9"/>
            <color indexed="81"/>
            <rFont val="Tahoma"/>
            <family val="2"/>
          </rPr>
          <t xml:space="preserve">
Image name: netact_rhel_base</t>
        </r>
      </text>
    </comment>
    <comment ref="L28" authorId="1" shapeId="0" xr:uid="{C3B34CC4-F593-4079-8778-F4DA4F88CD9D}">
      <text>
        <r>
          <rPr>
            <b/>
            <sz val="9"/>
            <color indexed="81"/>
            <rFont val="Tahoma"/>
            <family val="2"/>
          </rPr>
          <t>jarmylly:</t>
        </r>
        <r>
          <rPr>
            <sz val="9"/>
            <color indexed="81"/>
            <rFont val="Tahoma"/>
            <family val="2"/>
          </rPr>
          <t xml:space="preserve">
Image name: netact_rhel_base</t>
        </r>
      </text>
    </comment>
    <comment ref="L29" authorId="1" shapeId="0" xr:uid="{D685FD86-15C4-4B89-8D22-65FA7DCB468A}">
      <text>
        <r>
          <rPr>
            <b/>
            <sz val="9"/>
            <color indexed="81"/>
            <rFont val="Tahoma"/>
            <family val="2"/>
          </rPr>
          <t>jarmylly:</t>
        </r>
        <r>
          <rPr>
            <sz val="9"/>
            <color indexed="81"/>
            <rFont val="Tahoma"/>
            <family val="2"/>
          </rPr>
          <t xml:space="preserve">
Image name: netact_rhel_base</t>
        </r>
      </text>
    </comment>
    <comment ref="L30" authorId="1" shapeId="0" xr:uid="{09956501-7496-46E5-824D-12384698B8DF}">
      <text>
        <r>
          <rPr>
            <b/>
            <sz val="9"/>
            <color indexed="81"/>
            <rFont val="Tahoma"/>
            <family val="2"/>
          </rPr>
          <t>jarmylly:</t>
        </r>
        <r>
          <rPr>
            <sz val="9"/>
            <color indexed="81"/>
            <rFont val="Tahoma"/>
            <family val="2"/>
          </rPr>
          <t xml:space="preserve">
Image name: netact_rhel_base</t>
        </r>
      </text>
    </comment>
    <comment ref="L31" authorId="1" shapeId="0" xr:uid="{8933EC38-60DC-4BCC-963A-3035ECDA9815}">
      <text>
        <r>
          <rPr>
            <b/>
            <sz val="9"/>
            <color indexed="81"/>
            <rFont val="Tahoma"/>
            <family val="2"/>
          </rPr>
          <t>jarmylly:</t>
        </r>
        <r>
          <rPr>
            <sz val="9"/>
            <color indexed="81"/>
            <rFont val="Tahoma"/>
            <family val="2"/>
          </rPr>
          <t xml:space="preserve">
Image name: netact_rhel_base</t>
        </r>
      </text>
    </comment>
    <comment ref="L32" authorId="1" shapeId="0" xr:uid="{13B1FF94-B39A-49B7-B19E-1A437B115950}">
      <text>
        <r>
          <rPr>
            <b/>
            <sz val="9"/>
            <color indexed="81"/>
            <rFont val="Tahoma"/>
            <family val="2"/>
          </rPr>
          <t>jarmylly:</t>
        </r>
        <r>
          <rPr>
            <sz val="9"/>
            <color indexed="81"/>
            <rFont val="Tahoma"/>
            <family val="2"/>
          </rPr>
          <t xml:space="preserve">
Image name: netact_rhel_base</t>
        </r>
      </text>
    </comment>
    <comment ref="L33" authorId="1" shapeId="0" xr:uid="{6C23A051-6D4E-42A8-89D8-51FB3E553A8A}">
      <text>
        <r>
          <rPr>
            <b/>
            <sz val="9"/>
            <color indexed="81"/>
            <rFont val="Tahoma"/>
            <family val="2"/>
          </rPr>
          <t>jarmylly:</t>
        </r>
        <r>
          <rPr>
            <sz val="9"/>
            <color indexed="81"/>
            <rFont val="Tahoma"/>
            <family val="2"/>
          </rPr>
          <t xml:space="preserve">
Image name: netact_rhel_base</t>
        </r>
      </text>
    </comment>
    <comment ref="L34" authorId="1" shapeId="0" xr:uid="{CA26E17F-B75D-4F70-AE5C-CED77786AE5E}">
      <text>
        <r>
          <rPr>
            <b/>
            <sz val="9"/>
            <color indexed="81"/>
            <rFont val="Tahoma"/>
            <family val="2"/>
          </rPr>
          <t>jarmylly:</t>
        </r>
        <r>
          <rPr>
            <sz val="9"/>
            <color indexed="81"/>
            <rFont val="Tahoma"/>
            <family val="2"/>
          </rPr>
          <t xml:space="preserve">
Image name: netact_rhel_base</t>
        </r>
      </text>
    </comment>
    <comment ref="H35" authorId="1" shapeId="0" xr:uid="{E2D307F4-A6F4-48BD-9F97-AD5792BF4005}">
      <text>
        <r>
          <rPr>
            <b/>
            <sz val="9"/>
            <color indexed="81"/>
            <rFont val="Tahoma"/>
            <family val="2"/>
          </rPr>
          <t>jarmylly:</t>
        </r>
        <r>
          <rPr>
            <sz val="9"/>
            <color indexed="81"/>
            <rFont val="Tahoma"/>
            <family val="2"/>
          </rPr>
          <t xml:space="preserve">
Contains two disks:
- Disk-1: 60GB
- Disk-2: 40GB</t>
        </r>
      </text>
    </comment>
    <comment ref="L35" authorId="1" shapeId="0" xr:uid="{E2BAC230-B065-46BC-875D-E6ABDD9C5786}">
      <text>
        <r>
          <rPr>
            <b/>
            <sz val="9"/>
            <color indexed="81"/>
            <rFont val="Tahoma"/>
            <family val="2"/>
          </rPr>
          <t>jarmylly:</t>
        </r>
        <r>
          <rPr>
            <sz val="9"/>
            <color indexed="81"/>
            <rFont val="Tahoma"/>
            <family val="2"/>
          </rPr>
          <t xml:space="preserve">
Image name: 
- NMS_DC_disk1
- NMS_DC_disk2
- cdrom_nms</t>
        </r>
      </text>
    </comment>
    <comment ref="H36" authorId="1" shapeId="0" xr:uid="{B0CE9449-09F0-4DEE-8181-B56B9B6B7C78}">
      <text>
        <r>
          <rPr>
            <b/>
            <sz val="9"/>
            <color indexed="81"/>
            <rFont val="Tahoma"/>
            <family val="2"/>
          </rPr>
          <t>jarmylly:</t>
        </r>
        <r>
          <rPr>
            <sz val="9"/>
            <color indexed="81"/>
            <rFont val="Tahoma"/>
            <family val="2"/>
          </rPr>
          <t xml:space="preserve">
Contains two disks:
- Disk-1: 60GB
(NOTE: For servers intended for more than 10 concurrent users the recommended size for disk C is Disk-1 size + RAM size.)
- Disk-2: 40GB</t>
        </r>
      </text>
    </comment>
    <comment ref="L36" authorId="1" shapeId="0" xr:uid="{ECC2BB6A-4374-428C-86C5-C87656F15B10}">
      <text>
        <r>
          <rPr>
            <b/>
            <sz val="9"/>
            <color indexed="81"/>
            <rFont val="Tahoma"/>
            <family val="2"/>
          </rPr>
          <t>jarmylly:</t>
        </r>
        <r>
          <rPr>
            <sz val="9"/>
            <color indexed="81"/>
            <rFont val="Tahoma"/>
            <family val="2"/>
          </rPr>
          <t xml:space="preserve">
Image name:
- NMS_VDA_disk1
- NMS_VDA_disk2</t>
        </r>
      </text>
    </comment>
    <comment ref="H37" authorId="1" shapeId="0" xr:uid="{D41B745B-E193-4C83-A925-371388DA9829}">
      <text>
        <r>
          <rPr>
            <b/>
            <sz val="9"/>
            <color indexed="81"/>
            <rFont val="Tahoma"/>
            <family val="2"/>
          </rPr>
          <t>jarmylly:</t>
        </r>
        <r>
          <rPr>
            <sz val="9"/>
            <color indexed="81"/>
            <rFont val="Tahoma"/>
            <family val="2"/>
          </rPr>
          <t xml:space="preserve">
Contains two disks:
- Disk-1: 80GB
(NOTE: For servers intended for more than 10 concurrent users the recommended size for disk C is Disk-1 size + RAM size.)
- Disk-2: 40GB</t>
        </r>
      </text>
    </comment>
    <comment ref="L37" authorId="1" shapeId="0" xr:uid="{C8C7714E-4317-4E2C-8CA8-E714FEE13429}">
      <text>
        <r>
          <rPr>
            <b/>
            <sz val="9"/>
            <color indexed="81"/>
            <rFont val="Tahoma"/>
            <family val="2"/>
          </rPr>
          <t>jarmylly:</t>
        </r>
        <r>
          <rPr>
            <sz val="9"/>
            <color indexed="81"/>
            <rFont val="Tahoma"/>
            <family val="2"/>
          </rPr>
          <t xml:space="preserve">
Image name:
- NMS_CTXDC_disk1
- NMS_CTXDC_disk2
- cdrom_nms</t>
        </r>
      </text>
    </comment>
    <comment ref="L38" authorId="1" shapeId="0" xr:uid="{01CF9132-B6F2-42B3-8D09-83FB80BF4D61}">
      <text>
        <r>
          <rPr>
            <b/>
            <sz val="9"/>
            <color indexed="81"/>
            <rFont val="Tahoma"/>
            <family val="2"/>
          </rPr>
          <t>jarmylly:</t>
        </r>
        <r>
          <rPr>
            <sz val="9"/>
            <color indexed="81"/>
            <rFont val="Tahoma"/>
            <family val="2"/>
          </rPr>
          <t xml:space="preserve">
Image name: netact_rhel_base</t>
        </r>
      </text>
    </comment>
    <comment ref="AN38" authorId="1" shapeId="0" xr:uid="{93DFFB37-9A3A-4529-8045-24E791F7BC08}">
      <text>
        <r>
          <rPr>
            <b/>
            <sz val="9"/>
            <color indexed="81"/>
            <rFont val="Tahoma"/>
            <family val="2"/>
          </rPr>
          <t>jarmylly:</t>
        </r>
        <r>
          <rPr>
            <sz val="9"/>
            <color indexed="81"/>
            <rFont val="Tahoma"/>
            <family val="2"/>
          </rPr>
          <t xml:space="preserve">
Image name: vgrep</t>
        </r>
      </text>
    </comment>
    <comment ref="L39" authorId="1" shapeId="0" xr:uid="{ED7F310C-132C-4831-B6F7-106A39DBB0CB}">
      <text>
        <r>
          <rPr>
            <b/>
            <sz val="9"/>
            <color indexed="81"/>
            <rFont val="Tahoma"/>
            <family val="2"/>
          </rPr>
          <t>jarmylly:</t>
        </r>
        <r>
          <rPr>
            <sz val="9"/>
            <color indexed="81"/>
            <rFont val="Tahoma"/>
            <family val="2"/>
          </rPr>
          <t xml:space="preserve">
Image name: netact_rhel_base</t>
        </r>
      </text>
    </comment>
    <comment ref="AN39" authorId="1" shapeId="0" xr:uid="{153B7588-CDDD-44A3-84BF-3E025B6D85BD}">
      <text>
        <r>
          <rPr>
            <b/>
            <sz val="9"/>
            <color indexed="81"/>
            <rFont val="Tahoma"/>
            <family val="2"/>
          </rPr>
          <t>jarmylly:</t>
        </r>
        <r>
          <rPr>
            <sz val="9"/>
            <color indexed="81"/>
            <rFont val="Tahoma"/>
            <family val="2"/>
          </rPr>
          <t xml:space="preserve">
Image name: vgrep</t>
        </r>
      </text>
    </comment>
    <comment ref="L40" authorId="1" shapeId="0" xr:uid="{2BFAF6DC-B2C2-4B3A-B507-E001F7E5B26D}">
      <text>
        <r>
          <rPr>
            <b/>
            <sz val="9"/>
            <color indexed="81"/>
            <rFont val="Tahoma"/>
            <family val="2"/>
          </rPr>
          <t>jarmylly:</t>
        </r>
        <r>
          <rPr>
            <sz val="9"/>
            <color indexed="81"/>
            <rFont val="Tahoma"/>
            <family val="2"/>
          </rPr>
          <t xml:space="preserve">
Image name: netact_rhel_base</t>
        </r>
      </text>
    </comment>
    <comment ref="AN40" authorId="1" shapeId="0" xr:uid="{50070815-FD67-44BF-88E7-1C0DFDDF9EF1}">
      <text>
        <r>
          <rPr>
            <b/>
            <sz val="9"/>
            <color indexed="81"/>
            <rFont val="Tahoma"/>
            <family val="2"/>
          </rPr>
          <t>jarmylly:</t>
        </r>
        <r>
          <rPr>
            <sz val="9"/>
            <color indexed="81"/>
            <rFont val="Tahoma"/>
            <family val="2"/>
          </rPr>
          <t xml:space="preserve">
Image name: vgrep</t>
        </r>
      </text>
    </comment>
    <comment ref="L41" authorId="1" shapeId="0" xr:uid="{847AC760-0115-425B-B9CE-E95B0C2D7F47}">
      <text>
        <r>
          <rPr>
            <b/>
            <sz val="9"/>
            <color indexed="81"/>
            <rFont val="Tahoma"/>
            <family val="2"/>
          </rPr>
          <t>jarmylly:</t>
        </r>
        <r>
          <rPr>
            <sz val="9"/>
            <color indexed="81"/>
            <rFont val="Tahoma"/>
            <family val="2"/>
          </rPr>
          <t xml:space="preserve">
Image name: netact_rhel_base</t>
        </r>
      </text>
    </comment>
    <comment ref="AN41" authorId="1" shapeId="0" xr:uid="{E9DEC468-BFF8-4058-9636-D7A7124F713B}">
      <text>
        <r>
          <rPr>
            <b/>
            <sz val="9"/>
            <color indexed="81"/>
            <rFont val="Tahoma"/>
            <family val="2"/>
          </rPr>
          <t>jarmylly:</t>
        </r>
        <r>
          <rPr>
            <sz val="9"/>
            <color indexed="81"/>
            <rFont val="Tahoma"/>
            <family val="2"/>
          </rPr>
          <t xml:space="preserve">
Image name: vgrep</t>
        </r>
      </text>
    </comment>
    <comment ref="L42" authorId="1" shapeId="0" xr:uid="{937D4024-4D4F-438A-BD51-3F9558608118}">
      <text>
        <r>
          <rPr>
            <b/>
            <sz val="9"/>
            <color indexed="81"/>
            <rFont val="Tahoma"/>
            <family val="2"/>
          </rPr>
          <t>jarmylly:</t>
        </r>
        <r>
          <rPr>
            <sz val="9"/>
            <color indexed="81"/>
            <rFont val="Tahoma"/>
            <family val="2"/>
          </rPr>
          <t xml:space="preserve">
Image name: netact_rhel_base</t>
        </r>
      </text>
    </comment>
    <comment ref="L43" authorId="1" shapeId="0" xr:uid="{53CB9EE0-294E-42C8-8024-963FF4EA9BE9}">
      <text>
        <r>
          <rPr>
            <b/>
            <sz val="9"/>
            <color indexed="81"/>
            <rFont val="Tahoma"/>
            <family val="2"/>
          </rPr>
          <t>jarmylly:</t>
        </r>
        <r>
          <rPr>
            <sz val="9"/>
            <color indexed="81"/>
            <rFont val="Tahoma"/>
            <family val="2"/>
          </rPr>
          <t xml:space="preserve">
Image name: netact_rhel_base</t>
        </r>
      </text>
    </comment>
    <comment ref="L44" authorId="1" shapeId="0" xr:uid="{48247A80-64A4-4571-8A38-2DEF8E3BA82A}">
      <text>
        <r>
          <rPr>
            <b/>
            <sz val="9"/>
            <color indexed="81"/>
            <rFont val="Tahoma"/>
            <family val="2"/>
          </rPr>
          <t>jarmylly:</t>
        </r>
        <r>
          <rPr>
            <sz val="9"/>
            <color indexed="81"/>
            <rFont val="Tahoma"/>
            <family val="2"/>
          </rPr>
          <t xml:space="preserve">
Image name: netact_rhel_base</t>
        </r>
      </text>
    </comment>
    <comment ref="AZ44" authorId="0" shapeId="0" xr:uid="{9D7DB429-2C38-4009-BE0E-10E838F74375}">
      <text>
        <r>
          <rPr>
            <b/>
            <sz val="9"/>
            <color indexed="81"/>
            <rFont val="Tahoma"/>
            <charset val="1"/>
          </rPr>
          <t>Avuthu, Charan (EXT - IN/Bangalore):</t>
        </r>
        <r>
          <rPr>
            <sz val="9"/>
            <color indexed="81"/>
            <rFont val="Tahoma"/>
            <charset val="1"/>
          </rPr>
          <t xml:space="preserve">
Image Name:vgccr</t>
        </r>
      </text>
    </comment>
    <comment ref="BM45" authorId="1" shapeId="0" xr:uid="{62699E94-648F-41A0-A7B4-092765F4944B}">
      <text>
        <r>
          <rPr>
            <b/>
            <sz val="9"/>
            <color indexed="81"/>
            <rFont val="Tahoma"/>
            <family val="2"/>
          </rPr>
          <t>jarmylly:</t>
        </r>
        <r>
          <rPr>
            <sz val="9"/>
            <color indexed="81"/>
            <rFont val="Tahoma"/>
            <family val="2"/>
          </rPr>
          <t xml:space="preserve">
IPv4: 3
IPv4/IPv6: 5</t>
        </r>
      </text>
    </comment>
    <comment ref="AG48" authorId="0" shapeId="0" xr:uid="{E52024C2-B656-4B9A-9B95-088CF487C5AF}">
      <text>
        <r>
          <rPr>
            <b/>
            <sz val="9"/>
            <color indexed="81"/>
            <rFont val="Tahoma"/>
            <charset val="1"/>
          </rPr>
          <t>Avuthu, Charan (EXT - IN/Bangalore):</t>
        </r>
        <r>
          <rPr>
            <sz val="9"/>
            <color indexed="81"/>
            <rFont val="Tahoma"/>
            <charset val="1"/>
          </rPr>
          <t xml:space="preserve">
-Increase by additional 320GB, If LCM+CCR chosen as optional service on Compute1
(200GB increase for backup_disk on VM#150, 120GB increase on Backup disk on VM#5)</t>
        </r>
      </text>
    </comment>
    <comment ref="BM49" authorId="1" shapeId="0" xr:uid="{16E5094E-7D70-49B6-A494-D03217F5B624}">
      <text>
        <r>
          <rPr>
            <b/>
            <sz val="9"/>
            <color indexed="81"/>
            <rFont val="Tahoma"/>
            <family val="2"/>
          </rPr>
          <t>jarmylly:</t>
        </r>
        <r>
          <rPr>
            <sz val="9"/>
            <color indexed="81"/>
            <rFont val="Tahoma"/>
            <family val="2"/>
          </rPr>
          <t xml:space="preserve">
IPv4: 3
IPv4/IPv6: 5</t>
        </r>
      </text>
    </comment>
    <comment ref="L53" authorId="1" shapeId="0" xr:uid="{8EC6162B-DD22-4596-A9DB-BC7A8A8C21F4}">
      <text>
        <r>
          <rPr>
            <b/>
            <sz val="9"/>
            <color indexed="81"/>
            <rFont val="Tahoma"/>
            <family val="2"/>
          </rPr>
          <t>jarmylly:</t>
        </r>
        <r>
          <rPr>
            <sz val="9"/>
            <color indexed="81"/>
            <rFont val="Tahoma"/>
            <family val="2"/>
          </rPr>
          <t xml:space="preserve">
Image name: netact_rhel_base</t>
        </r>
      </text>
    </comment>
    <comment ref="H54" authorId="1" shapeId="0" xr:uid="{E44DFE34-D8BA-4524-A3AF-51D8098D1201}">
      <text>
        <r>
          <rPr>
            <b/>
            <sz val="9"/>
            <color indexed="81"/>
            <rFont val="Tahoma"/>
            <family val="2"/>
          </rPr>
          <t>jarmylly:</t>
        </r>
        <r>
          <rPr>
            <sz val="9"/>
            <color indexed="81"/>
            <rFont val="Tahoma"/>
            <family val="2"/>
          </rPr>
          <t xml:space="preserve">
Contains two disks:
- Disk-1: 60GB
- Disk-2: 40GB</t>
        </r>
      </text>
    </comment>
    <comment ref="L54" authorId="1" shapeId="0" xr:uid="{87394541-B8CA-428B-883A-47DF983C5B68}">
      <text>
        <r>
          <rPr>
            <b/>
            <sz val="9"/>
            <color indexed="81"/>
            <rFont val="Tahoma"/>
            <family val="2"/>
          </rPr>
          <t>jarmylly:</t>
        </r>
        <r>
          <rPr>
            <sz val="9"/>
            <color indexed="81"/>
            <rFont val="Tahoma"/>
            <family val="2"/>
          </rPr>
          <t xml:space="preserve">
Image name:
- NMS_CTXDC_disk1
- NMS_CTXDC_disk2
- cdrom_nms</t>
        </r>
      </text>
    </comment>
    <comment ref="H55" authorId="1" shapeId="0" xr:uid="{A433F381-83D5-41F5-A547-20FBEE6F0DDC}">
      <text>
        <r>
          <rPr>
            <b/>
            <sz val="9"/>
            <color indexed="81"/>
            <rFont val="Tahoma"/>
            <family val="2"/>
          </rPr>
          <t>jarmylly:</t>
        </r>
        <r>
          <rPr>
            <sz val="9"/>
            <color indexed="81"/>
            <rFont val="Tahoma"/>
            <family val="2"/>
          </rPr>
          <t xml:space="preserve">
Contains two disks:
- Disk-1: 60GB
(NOTE: For servers intended for more than 10 concurrent users the recommended size for disk C is Disk-1 size + RAM size.)
- Disk-2: 40GB</t>
        </r>
      </text>
    </comment>
    <comment ref="L55" authorId="1" shapeId="0" xr:uid="{640928F7-30EE-4A31-9468-3486B629C09C}">
      <text>
        <r>
          <rPr>
            <b/>
            <sz val="9"/>
            <color indexed="81"/>
            <rFont val="Tahoma"/>
            <family val="2"/>
          </rPr>
          <t>jarmylly:</t>
        </r>
        <r>
          <rPr>
            <sz val="9"/>
            <color indexed="81"/>
            <rFont val="Tahoma"/>
            <family val="2"/>
          </rPr>
          <t xml:space="preserve">
Image name:
- NMS_VDA_disk1
- NMS_VDA_disk2</t>
        </r>
      </text>
    </comment>
    <comment ref="H56" authorId="1" shapeId="0" xr:uid="{3ED029DE-7381-40D5-B092-3BFA3B1ADAAA}">
      <text>
        <r>
          <rPr>
            <b/>
            <sz val="9"/>
            <color indexed="81"/>
            <rFont val="Tahoma"/>
            <family val="2"/>
          </rPr>
          <t>jarmylly:</t>
        </r>
        <r>
          <rPr>
            <sz val="9"/>
            <color indexed="81"/>
            <rFont val="Tahoma"/>
            <family val="2"/>
          </rPr>
          <t xml:space="preserve">
Contains two disks:
- Disk-1: 60GB
(NOTE: For servers intended for more than 10 concurrent users the recommended size for disk C is Disk-1 size + RAM size.)
- Disk-2: 40GB</t>
        </r>
      </text>
    </comment>
    <comment ref="L56" authorId="1" shapeId="0" xr:uid="{565C3A12-801E-49CD-B5B7-28C2C36B0687}">
      <text>
        <r>
          <rPr>
            <b/>
            <sz val="9"/>
            <color indexed="81"/>
            <rFont val="Tahoma"/>
            <family val="2"/>
          </rPr>
          <t>jarmylly:</t>
        </r>
        <r>
          <rPr>
            <sz val="9"/>
            <color indexed="81"/>
            <rFont val="Tahoma"/>
            <family val="2"/>
          </rPr>
          <t xml:space="preserve">
Image name:
- NMS_VDA_disk1
- NMS_VDA_disk2</t>
        </r>
      </text>
    </comment>
    <comment ref="H57" authorId="1" shapeId="0" xr:uid="{97B75BFA-1925-425E-91F5-76BD9EB34254}">
      <text>
        <r>
          <rPr>
            <b/>
            <sz val="9"/>
            <color indexed="81"/>
            <rFont val="Tahoma"/>
            <family val="2"/>
          </rPr>
          <t>jarmylly:</t>
        </r>
        <r>
          <rPr>
            <sz val="9"/>
            <color indexed="81"/>
            <rFont val="Tahoma"/>
            <family val="2"/>
          </rPr>
          <t xml:space="preserve">
Contains two disks:
- Disk-1: 60GB
(NOTE: For servers intended for more than 10 concurrent users the recommended size for disk C is Disk-1 size + RAM size.)
- Disk-2: 40GB</t>
        </r>
      </text>
    </comment>
    <comment ref="L57" authorId="1" shapeId="0" xr:uid="{57D4D59D-C509-4F44-A2AD-9F19A464ADE5}">
      <text>
        <r>
          <rPr>
            <b/>
            <sz val="9"/>
            <color indexed="81"/>
            <rFont val="Tahoma"/>
            <family val="2"/>
          </rPr>
          <t>jarmylly:</t>
        </r>
        <r>
          <rPr>
            <sz val="9"/>
            <color indexed="81"/>
            <rFont val="Tahoma"/>
            <family val="2"/>
          </rPr>
          <t xml:space="preserve">
Image name:
- NMS_VDA_disk1
- NMS_VDA_disk2</t>
        </r>
      </text>
    </comment>
    <comment ref="H58" authorId="1" shapeId="0" xr:uid="{8DC6FCE0-1D45-4F6D-B122-66C0CE8D46D2}">
      <text>
        <r>
          <rPr>
            <b/>
            <sz val="9"/>
            <color indexed="81"/>
            <rFont val="Tahoma"/>
            <family val="2"/>
          </rPr>
          <t>jarmylly:</t>
        </r>
        <r>
          <rPr>
            <sz val="9"/>
            <color indexed="81"/>
            <rFont val="Tahoma"/>
            <family val="2"/>
          </rPr>
          <t xml:space="preserve">
Contains two disks:
- Disk-1: 60GB
(NOTE: For servers intended for more than 10 concurrent users the recommended size for disk C is Disk-1 size + RAM size.)
- Disk-2: 40GB</t>
        </r>
      </text>
    </comment>
    <comment ref="L58" authorId="1" shapeId="0" xr:uid="{B4D8BB44-A503-43B3-BA96-30E0B3E0B0A4}">
      <text>
        <r>
          <rPr>
            <b/>
            <sz val="9"/>
            <color indexed="81"/>
            <rFont val="Tahoma"/>
            <family val="2"/>
          </rPr>
          <t>jarmylly:</t>
        </r>
        <r>
          <rPr>
            <sz val="9"/>
            <color indexed="81"/>
            <rFont val="Tahoma"/>
            <family val="2"/>
          </rPr>
          <t xml:space="preserve">
Image name:
- NMS_VDA_disk1
- NMS_VDA_disk2</t>
        </r>
      </text>
    </comment>
    <comment ref="H59" authorId="1" shapeId="0" xr:uid="{D71D6513-D24D-401B-94FD-C6AC3A9DD392}">
      <text>
        <r>
          <rPr>
            <b/>
            <sz val="9"/>
            <color indexed="81"/>
            <rFont val="Tahoma"/>
            <family val="2"/>
          </rPr>
          <t>jarmylly:</t>
        </r>
        <r>
          <rPr>
            <sz val="9"/>
            <color indexed="81"/>
            <rFont val="Tahoma"/>
            <family val="2"/>
          </rPr>
          <t xml:space="preserve">
Contains two disks:
- Disk-1: 60GB
(NOTE: For servers intended for more than 10 concurrent users the recommended size for disk C is Disk-1 size + RAM size.)
- Disk-2: 40GB</t>
        </r>
      </text>
    </comment>
    <comment ref="L59" authorId="1" shapeId="0" xr:uid="{2E64EB2F-6751-43B4-A531-A6FB6F527C69}">
      <text>
        <r>
          <rPr>
            <b/>
            <sz val="9"/>
            <color indexed="81"/>
            <rFont val="Tahoma"/>
            <family val="2"/>
          </rPr>
          <t>jarmylly:</t>
        </r>
        <r>
          <rPr>
            <sz val="9"/>
            <color indexed="81"/>
            <rFont val="Tahoma"/>
            <family val="2"/>
          </rPr>
          <t xml:space="preserve">
Image name:
- NMS_VDA_disk1
- NMS_VDA_disk2</t>
        </r>
      </text>
    </comment>
    <comment ref="H60" authorId="1" shapeId="0" xr:uid="{9F751539-8FAD-4A23-83DC-30D8E327EA88}">
      <text>
        <r>
          <rPr>
            <b/>
            <sz val="9"/>
            <color indexed="81"/>
            <rFont val="Tahoma"/>
            <family val="2"/>
          </rPr>
          <t>jarmylly:</t>
        </r>
        <r>
          <rPr>
            <sz val="9"/>
            <color indexed="81"/>
            <rFont val="Tahoma"/>
            <family val="2"/>
          </rPr>
          <t xml:space="preserve">
Contains two disks:
- Disk-1: 60GB
(NOTE: For servers intended for more than 10 concurrent users the recommended size for disk C is Disk-1 size + RAM size.)
- Disk-2: 40GB</t>
        </r>
      </text>
    </comment>
    <comment ref="L60" authorId="1" shapeId="0" xr:uid="{C36E51F6-F77E-428C-9C0D-187CDDD3651A}">
      <text>
        <r>
          <rPr>
            <b/>
            <sz val="9"/>
            <color indexed="81"/>
            <rFont val="Tahoma"/>
            <family val="2"/>
          </rPr>
          <t>jarmylly:</t>
        </r>
        <r>
          <rPr>
            <sz val="9"/>
            <color indexed="81"/>
            <rFont val="Tahoma"/>
            <family val="2"/>
          </rPr>
          <t xml:space="preserve">
Image name:
- NMS_VDA_disk1
- NMS_VDA_disk2</t>
        </r>
      </text>
    </comment>
    <comment ref="H61" authorId="1" shapeId="0" xr:uid="{E477A082-9CCF-46CD-BAB0-55B8EABE558E}">
      <text>
        <r>
          <rPr>
            <b/>
            <sz val="9"/>
            <color indexed="81"/>
            <rFont val="Tahoma"/>
            <family val="2"/>
          </rPr>
          <t>jarmylly:</t>
        </r>
        <r>
          <rPr>
            <sz val="9"/>
            <color indexed="81"/>
            <rFont val="Tahoma"/>
            <family val="2"/>
          </rPr>
          <t xml:space="preserve">
Contains two disks:
- Disk-1: 60GB
(NOTE: For servers intended for more than 10 concurrent users the recommended size for disk C is Disk-1 size + RAM size.)
- Disk-2: 40GB</t>
        </r>
      </text>
    </comment>
    <comment ref="L61" authorId="1" shapeId="0" xr:uid="{FE6C528B-59E1-4F16-B2B8-7B07E7DB3F65}">
      <text>
        <r>
          <rPr>
            <b/>
            <sz val="9"/>
            <color indexed="81"/>
            <rFont val="Tahoma"/>
            <family val="2"/>
          </rPr>
          <t>jarmylly:</t>
        </r>
        <r>
          <rPr>
            <sz val="9"/>
            <color indexed="81"/>
            <rFont val="Tahoma"/>
            <family val="2"/>
          </rPr>
          <t xml:space="preserve">
Image name:
- NMS_VDA_disk1
- NMS_VDA_disk2</t>
        </r>
      </text>
    </comment>
    <comment ref="H62" authorId="1" shapeId="0" xr:uid="{717272C1-C3C2-40AA-ADAB-73956703C34D}">
      <text>
        <r>
          <rPr>
            <b/>
            <sz val="9"/>
            <color indexed="81"/>
            <rFont val="Tahoma"/>
            <family val="2"/>
          </rPr>
          <t>jarmylly:</t>
        </r>
        <r>
          <rPr>
            <sz val="9"/>
            <color indexed="81"/>
            <rFont val="Tahoma"/>
            <family val="2"/>
          </rPr>
          <t xml:space="preserve">
Contains two disks:
- Disk-1: 80GB
(NOTE: For servers intended for more than 10 concurrent users the recommended size for disk C is Disk-1 size + RAM size.)
- Disk-2: 40GB</t>
        </r>
      </text>
    </comment>
    <comment ref="L62" authorId="1" shapeId="0" xr:uid="{ECB77277-6565-4D69-9A10-F91D51AFBE1E}">
      <text>
        <r>
          <rPr>
            <b/>
            <sz val="9"/>
            <color indexed="81"/>
            <rFont val="Tahoma"/>
            <family val="2"/>
          </rPr>
          <t>jarmylly:</t>
        </r>
        <r>
          <rPr>
            <sz val="9"/>
            <color indexed="81"/>
            <rFont val="Tahoma"/>
            <family val="2"/>
          </rPr>
          <t xml:space="preserve">
Image name:
- NMS_CTXDC_disk1
- NMS_CTXDC_disk2
- cdrom_nms</t>
        </r>
      </text>
    </comment>
    <comment ref="H63" authorId="1" shapeId="0" xr:uid="{4684B063-FD5B-4902-922B-D826F53F5F9B}">
      <text>
        <r>
          <rPr>
            <b/>
            <sz val="9"/>
            <color indexed="81"/>
            <rFont val="Tahoma"/>
            <family val="2"/>
          </rPr>
          <t>jarmylly:</t>
        </r>
        <r>
          <rPr>
            <sz val="9"/>
            <color indexed="81"/>
            <rFont val="Tahoma"/>
            <family val="2"/>
          </rPr>
          <t xml:space="preserve">
Contains two disks:
- Disk-1: 60GB
(NOTE: For servers intended for more than 10 concurrent users the recommended size for disk C is Disk-1 size + RAM size.)
- Disk-2: 40GB</t>
        </r>
      </text>
    </comment>
    <comment ref="L63" authorId="1" shapeId="0" xr:uid="{FE97FFA9-358A-4F57-8D9B-AF90D9A9B277}">
      <text>
        <r>
          <rPr>
            <b/>
            <sz val="9"/>
            <color indexed="81"/>
            <rFont val="Tahoma"/>
            <family val="2"/>
          </rPr>
          <t>jarmylly:</t>
        </r>
        <r>
          <rPr>
            <sz val="9"/>
            <color indexed="81"/>
            <rFont val="Tahoma"/>
            <family val="2"/>
          </rPr>
          <t xml:space="preserve">
Image name:
- NMS_VDA_disk1
- NMS_VDA_disk2</t>
        </r>
      </text>
    </comment>
    <comment ref="L64" authorId="1" shapeId="0" xr:uid="{2644C807-ED8D-4761-B3F3-BB3BB8F303CC}">
      <text>
        <r>
          <rPr>
            <b/>
            <sz val="9"/>
            <color indexed="81"/>
            <rFont val="Tahoma"/>
            <family val="2"/>
          </rPr>
          <t>jarmylly:</t>
        </r>
        <r>
          <rPr>
            <sz val="9"/>
            <color indexed="81"/>
            <rFont val="Tahoma"/>
            <family val="2"/>
          </rPr>
          <t xml:space="preserve">
Image name: netact_rhel_base</t>
        </r>
      </text>
    </comment>
    <comment ref="L65" authorId="1" shapeId="0" xr:uid="{E06CC8CB-54EF-4FB3-9B92-9F4C286DB68B}">
      <text>
        <r>
          <rPr>
            <b/>
            <sz val="9"/>
            <color indexed="81"/>
            <rFont val="Tahoma"/>
            <family val="2"/>
          </rPr>
          <t>jarmylly:</t>
        </r>
        <r>
          <rPr>
            <sz val="9"/>
            <color indexed="81"/>
            <rFont val="Tahoma"/>
            <family val="2"/>
          </rPr>
          <t xml:space="preserve">
Image name: netact_rhel_base</t>
        </r>
      </text>
    </comment>
    <comment ref="L66" authorId="1" shapeId="0" xr:uid="{55AEE319-7070-4E9A-BB85-38F5A5E8242D}">
      <text>
        <r>
          <rPr>
            <b/>
            <sz val="9"/>
            <color indexed="81"/>
            <rFont val="Tahoma"/>
            <family val="2"/>
          </rPr>
          <t>jarmylly:</t>
        </r>
        <r>
          <rPr>
            <sz val="9"/>
            <color indexed="81"/>
            <rFont val="Tahoma"/>
            <family val="2"/>
          </rPr>
          <t xml:space="preserve">
Image name: netact_rhel_base</t>
        </r>
      </text>
    </comment>
    <comment ref="L67" authorId="1" shapeId="0" xr:uid="{88EA21AF-E64F-4687-B734-0BCF829F5B6D}">
      <text>
        <r>
          <rPr>
            <b/>
            <sz val="9"/>
            <color indexed="81"/>
            <rFont val="Tahoma"/>
            <family val="2"/>
          </rPr>
          <t>jarmylly:</t>
        </r>
        <r>
          <rPr>
            <sz val="9"/>
            <color indexed="81"/>
            <rFont val="Tahoma"/>
            <family val="2"/>
          </rPr>
          <t xml:space="preserve">
Image name: netact_rhel_base</t>
        </r>
      </text>
    </comment>
    <comment ref="L68" authorId="1" shapeId="0" xr:uid="{DBF8CF0E-D9E1-4FA8-9FA3-DC2C05A00F73}">
      <text>
        <r>
          <rPr>
            <b/>
            <sz val="9"/>
            <color indexed="81"/>
            <rFont val="Tahoma"/>
            <family val="2"/>
          </rPr>
          <t>jarmylly:</t>
        </r>
        <r>
          <rPr>
            <sz val="9"/>
            <color indexed="81"/>
            <rFont val="Tahoma"/>
            <family val="2"/>
          </rPr>
          <t xml:space="preserve">
Image name: netact_rhel_base</t>
        </r>
      </text>
    </comment>
    <comment ref="L69" authorId="1" shapeId="0" xr:uid="{9B2DB81B-B48D-4AE3-85B1-A46E718BF17A}">
      <text>
        <r>
          <rPr>
            <b/>
            <sz val="9"/>
            <color indexed="81"/>
            <rFont val="Tahoma"/>
            <family val="2"/>
          </rPr>
          <t>jarmylly:</t>
        </r>
        <r>
          <rPr>
            <sz val="9"/>
            <color indexed="81"/>
            <rFont val="Tahoma"/>
            <family val="2"/>
          </rPr>
          <t xml:space="preserve">
Image name: netact_rhel_base</t>
        </r>
      </text>
    </comment>
    <comment ref="L70" authorId="1" shapeId="0" xr:uid="{F2936205-58C9-406B-A9A5-98D665C41472}">
      <text>
        <r>
          <rPr>
            <b/>
            <sz val="9"/>
            <color indexed="81"/>
            <rFont val="Tahoma"/>
            <family val="2"/>
          </rPr>
          <t>jarmylly:</t>
        </r>
        <r>
          <rPr>
            <sz val="9"/>
            <color indexed="81"/>
            <rFont val="Tahoma"/>
            <family val="2"/>
          </rPr>
          <t xml:space="preserve">
Image name: netact_rhel_base</t>
        </r>
      </text>
    </comment>
    <comment ref="H71" authorId="1" shapeId="0" xr:uid="{17A65DA7-36DD-45A5-8C97-91EA64A1C5D0}">
      <text>
        <r>
          <rPr>
            <b/>
            <sz val="9"/>
            <color indexed="81"/>
            <rFont val="Tahoma"/>
            <family val="2"/>
          </rPr>
          <t>jarmylly:</t>
        </r>
        <r>
          <rPr>
            <sz val="9"/>
            <color indexed="81"/>
            <rFont val="Tahoma"/>
            <family val="2"/>
          </rPr>
          <t xml:space="preserve">
Contains two disks:
- Disk-1: 30GB
- Disk-2: 80GB</t>
        </r>
      </text>
    </comment>
    <comment ref="L71" authorId="1" shapeId="0" xr:uid="{E9FEDF55-FCF8-4697-B645-D67564311105}">
      <text>
        <r>
          <rPr>
            <b/>
            <sz val="9"/>
            <color indexed="81"/>
            <rFont val="Tahoma"/>
            <family val="2"/>
          </rPr>
          <t>jarmylly:</t>
        </r>
        <r>
          <rPr>
            <sz val="9"/>
            <color indexed="81"/>
            <rFont val="Tahoma"/>
            <family val="2"/>
          </rPr>
          <t xml:space="preserve">
Image name: netact_rhel_base</t>
        </r>
      </text>
    </comment>
    <comment ref="H72" authorId="1" shapeId="0" xr:uid="{DE50DDBD-3FF8-4414-8E56-1348C1A79802}">
      <text>
        <r>
          <rPr>
            <b/>
            <sz val="9"/>
            <color indexed="81"/>
            <rFont val="Tahoma"/>
            <family val="2"/>
          </rPr>
          <t>jarmylly:</t>
        </r>
        <r>
          <rPr>
            <sz val="9"/>
            <color indexed="81"/>
            <rFont val="Tahoma"/>
            <family val="2"/>
          </rPr>
          <t xml:space="preserve">
Contains two disks:
- Disk-1: 30GB
- Disk-2: 80GB</t>
        </r>
      </text>
    </comment>
    <comment ref="L72" authorId="1" shapeId="0" xr:uid="{7C055434-010E-44B5-8CBD-133ACA8EF5BE}">
      <text>
        <r>
          <rPr>
            <b/>
            <sz val="9"/>
            <color indexed="81"/>
            <rFont val="Tahoma"/>
            <family val="2"/>
          </rPr>
          <t>jarmylly:</t>
        </r>
        <r>
          <rPr>
            <sz val="9"/>
            <color indexed="81"/>
            <rFont val="Tahoma"/>
            <family val="2"/>
          </rPr>
          <t xml:space="preserve">
Image name: netact_rhel_base</t>
        </r>
      </text>
    </comment>
    <comment ref="L73" authorId="1" shapeId="0" xr:uid="{86AC0584-F350-4095-90A2-CD269D6A7F9D}">
      <text>
        <r>
          <rPr>
            <b/>
            <sz val="9"/>
            <color indexed="81"/>
            <rFont val="Tahoma"/>
            <family val="2"/>
          </rPr>
          <t>jarmylly:</t>
        </r>
        <r>
          <rPr>
            <sz val="9"/>
            <color indexed="81"/>
            <rFont val="Tahoma"/>
            <family val="2"/>
          </rPr>
          <t xml:space="preserve">
Image name: netact_rhel_base</t>
        </r>
      </text>
    </comment>
    <comment ref="L74" authorId="1" shapeId="0" xr:uid="{8E6EFABF-09B7-413F-9DEB-2FD4E2BBAEB8}">
      <text>
        <r>
          <rPr>
            <b/>
            <sz val="9"/>
            <color indexed="81"/>
            <rFont val="Tahoma"/>
            <family val="2"/>
          </rPr>
          <t>jarmylly:</t>
        </r>
        <r>
          <rPr>
            <sz val="9"/>
            <color indexed="81"/>
            <rFont val="Tahoma"/>
            <family val="2"/>
          </rPr>
          <t xml:space="preserve">
Image name: netact_rhel_base</t>
        </r>
      </text>
    </comment>
    <comment ref="L75" authorId="1" shapeId="0" xr:uid="{D1A55C01-2FEF-43D0-A117-DB0D51FE1CA3}">
      <text>
        <r>
          <rPr>
            <b/>
            <sz val="9"/>
            <color indexed="81"/>
            <rFont val="Tahoma"/>
            <family val="2"/>
          </rPr>
          <t>jarmylly:</t>
        </r>
        <r>
          <rPr>
            <sz val="9"/>
            <color indexed="81"/>
            <rFont val="Tahoma"/>
            <family val="2"/>
          </rPr>
          <t xml:space="preserve">
Image name: netact_rhel_base</t>
        </r>
      </text>
    </comment>
    <comment ref="L76" authorId="1" shapeId="0" xr:uid="{9E65961E-CC49-4DA9-8FE4-C52CA355A9A1}">
      <text>
        <r>
          <rPr>
            <b/>
            <sz val="9"/>
            <color indexed="81"/>
            <rFont val="Tahoma"/>
            <family val="2"/>
          </rPr>
          <t>jarmylly:</t>
        </r>
        <r>
          <rPr>
            <sz val="9"/>
            <color indexed="81"/>
            <rFont val="Tahoma"/>
            <family val="2"/>
          </rPr>
          <t xml:space="preserve">
Image name: netact_rhel_base</t>
        </r>
      </text>
    </comment>
    <comment ref="L77" authorId="0" shapeId="0" xr:uid="{4FF7E130-5D03-4E93-9B23-370078A45C67}">
      <text>
        <r>
          <rPr>
            <b/>
            <sz val="9"/>
            <color indexed="81"/>
            <rFont val="Tahoma"/>
            <charset val="1"/>
          </rPr>
          <t>Avuthu, Charan (EXT - IN/Bangalore):</t>
        </r>
        <r>
          <rPr>
            <sz val="9"/>
            <color indexed="81"/>
            <rFont val="Tahoma"/>
            <charset val="1"/>
          </rPr>
          <t xml:space="preserve">
Image name: netact_rhel_base</t>
        </r>
      </text>
    </comment>
    <comment ref="BM78" authorId="1" shapeId="0" xr:uid="{47C63FB2-881D-4C78-8F9C-FF1F6B5DAFF7}">
      <text>
        <r>
          <rPr>
            <b/>
            <sz val="9"/>
            <color indexed="81"/>
            <rFont val="Tahoma"/>
            <family val="2"/>
          </rPr>
          <t>jarmylly:</t>
        </r>
        <r>
          <rPr>
            <sz val="9"/>
            <color indexed="81"/>
            <rFont val="Tahoma"/>
            <family val="2"/>
          </rPr>
          <t xml:space="preserve">
IPv4: 3
IPv4/IPv6: 5</t>
        </r>
      </text>
    </comment>
    <comment ref="L82" authorId="1" shapeId="0" xr:uid="{163CBE6C-4A26-449E-933B-66EB618FFE69}">
      <text>
        <r>
          <rPr>
            <b/>
            <sz val="9"/>
            <color indexed="81"/>
            <rFont val="Tahoma"/>
            <family val="2"/>
          </rPr>
          <t>jarmylly:</t>
        </r>
        <r>
          <rPr>
            <sz val="9"/>
            <color indexed="81"/>
            <rFont val="Tahoma"/>
            <family val="2"/>
          </rPr>
          <t xml:space="preserve">
Image name: netact_rhel_base</t>
        </r>
      </text>
    </comment>
    <comment ref="L83" authorId="1" shapeId="0" xr:uid="{25B6CB30-3013-42B7-AB7B-81F400087A0B}">
      <text>
        <r>
          <rPr>
            <b/>
            <sz val="9"/>
            <color indexed="81"/>
            <rFont val="Tahoma"/>
            <family val="2"/>
          </rPr>
          <t>jarmylly:</t>
        </r>
        <r>
          <rPr>
            <sz val="9"/>
            <color indexed="81"/>
            <rFont val="Tahoma"/>
            <family val="2"/>
          </rPr>
          <t xml:space="preserve">
Image name: netact_rhel_base</t>
        </r>
      </text>
    </comment>
    <comment ref="L84" authorId="1" shapeId="0" xr:uid="{B7CE6276-3BCA-4295-A20F-7A3985626DCB}">
      <text>
        <r>
          <rPr>
            <b/>
            <sz val="9"/>
            <color indexed="81"/>
            <rFont val="Tahoma"/>
            <family val="2"/>
          </rPr>
          <t>jarmylly:</t>
        </r>
        <r>
          <rPr>
            <sz val="9"/>
            <color indexed="81"/>
            <rFont val="Tahoma"/>
            <family val="2"/>
          </rPr>
          <t xml:space="preserve">
Image name: netact_rhel_base</t>
        </r>
      </text>
    </comment>
    <comment ref="L85" authorId="1" shapeId="0" xr:uid="{376E42FE-6288-4243-922F-4776273132CB}">
      <text>
        <r>
          <rPr>
            <b/>
            <sz val="9"/>
            <color indexed="81"/>
            <rFont val="Tahoma"/>
            <family val="2"/>
          </rPr>
          <t>jarmylly:</t>
        </r>
        <r>
          <rPr>
            <sz val="9"/>
            <color indexed="81"/>
            <rFont val="Tahoma"/>
            <family val="2"/>
          </rPr>
          <t xml:space="preserve">
Image name: netact_rhel_base</t>
        </r>
      </text>
    </comment>
    <comment ref="L86" authorId="1" shapeId="0" xr:uid="{C3A8FB71-D7E6-45D2-8799-1577D22325D5}">
      <text>
        <r>
          <rPr>
            <b/>
            <sz val="9"/>
            <color indexed="81"/>
            <rFont val="Tahoma"/>
            <family val="2"/>
          </rPr>
          <t>jarmylly:</t>
        </r>
        <r>
          <rPr>
            <sz val="9"/>
            <color indexed="81"/>
            <rFont val="Tahoma"/>
            <family val="2"/>
          </rPr>
          <t xml:space="preserve">
Image name: netact_rhel_base</t>
        </r>
      </text>
    </comment>
    <comment ref="L87" authorId="1" shapeId="0" xr:uid="{99AECA60-32F1-4743-8AB3-4A83F1A3D244}">
      <text>
        <r>
          <rPr>
            <b/>
            <sz val="9"/>
            <color indexed="81"/>
            <rFont val="Tahoma"/>
            <family val="2"/>
          </rPr>
          <t>jarmylly:</t>
        </r>
        <r>
          <rPr>
            <sz val="9"/>
            <color indexed="81"/>
            <rFont val="Tahoma"/>
            <family val="2"/>
          </rPr>
          <t xml:space="preserve">
Image name: netact_rhel_base</t>
        </r>
      </text>
    </comment>
    <comment ref="BM88" authorId="1" shapeId="0" xr:uid="{BC56D722-24E9-4F6F-9D4B-0F082C37F2DE}">
      <text>
        <r>
          <rPr>
            <b/>
            <sz val="9"/>
            <color indexed="81"/>
            <rFont val="Tahoma"/>
            <family val="2"/>
          </rPr>
          <t>jarmylly:</t>
        </r>
        <r>
          <rPr>
            <sz val="9"/>
            <color indexed="81"/>
            <rFont val="Tahoma"/>
            <family val="2"/>
          </rPr>
          <t xml:space="preserve">
IPv4: 3
IPv4/IPv6: 5</t>
        </r>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Avuthu, Charan (EXT - IN/Bangalore)</author>
    <author>jarmylly</author>
    <author>Goyal, Mayank (Nokia - IN/Bangalore)</author>
    <author>Thippeswamy, Suresh (Nokia - IN/Bangalore)</author>
    <author>Jari Myllymaa</author>
  </authors>
  <commentList>
    <comment ref="J7" authorId="0" shapeId="0" xr:uid="{3ABCC9FA-AD01-4FF4-9FAE-DCF7A73D01F9}">
      <text>
        <r>
          <rPr>
            <b/>
            <sz val="9"/>
            <color indexed="81"/>
            <rFont val="Tahoma"/>
            <charset val="1"/>
          </rPr>
          <t>Avuthu, Charan (EXT - IN/Bangalore):</t>
        </r>
        <r>
          <rPr>
            <sz val="9"/>
            <color indexed="81"/>
            <rFont val="Tahoma"/>
            <charset val="1"/>
          </rPr>
          <t xml:space="preserve">
Virtual Machine SWAP file size in VMGuestDisk data store, for Virtual Infra operations</t>
        </r>
      </text>
    </comment>
    <comment ref="L10" authorId="1" shapeId="0" xr:uid="{72DE75BD-3D7F-4B13-9F19-9779DFBD4705}">
      <text>
        <r>
          <rPr>
            <b/>
            <sz val="9"/>
            <color indexed="81"/>
            <rFont val="Tahoma"/>
            <family val="2"/>
          </rPr>
          <t>vishek:</t>
        </r>
        <r>
          <rPr>
            <sz val="9"/>
            <color indexed="81"/>
            <rFont val="Tahoma"/>
            <family val="2"/>
          </rPr>
          <t xml:space="preserve">
No of Luns = 2
LUN size: 250GB each
2 Disks:
Disk size - 235520MB from each DS for stripe</t>
        </r>
      </text>
    </comment>
    <comment ref="N10" authorId="1" shapeId="0" xr:uid="{A994380D-6DD3-41AC-9EF3-DDEECD93342A}">
      <text>
        <r>
          <rPr>
            <b/>
            <sz val="9"/>
            <color indexed="81"/>
            <rFont val="Tahoma"/>
            <family val="2"/>
          </rPr>
          <t>vishek:</t>
        </r>
        <r>
          <rPr>
            <sz val="9"/>
            <color indexed="81"/>
            <rFont val="Tahoma"/>
            <family val="2"/>
          </rPr>
          <t xml:space="preserve">
No of Luns = 8
Lun size: 2050GB each.
8 disks:
Disk size: 1945600MB from each DS for stripe</t>
        </r>
      </text>
    </comment>
    <comment ref="P10" authorId="1" shapeId="0" xr:uid="{6F7A26DB-7676-400D-9C51-D5B9744162A7}">
      <text>
        <r>
          <rPr>
            <b/>
            <sz val="9"/>
            <color indexed="81"/>
            <rFont val="Tahoma"/>
            <family val="2"/>
          </rPr>
          <t>vishek:</t>
        </r>
        <r>
          <rPr>
            <sz val="9"/>
            <color indexed="81"/>
            <rFont val="Tahoma"/>
            <family val="2"/>
          </rPr>
          <t xml:space="preserve">
No of Luns = 2
Lun size: 9000GB each.
2 disks:
Disk size : 8499200MB from each DS for stripe</t>
        </r>
      </text>
    </comment>
    <comment ref="X10" authorId="1" shapeId="0" xr:uid="{2E723048-7C2D-4BED-8CAE-7ACA3FED6EC1}">
      <text>
        <r>
          <rPr>
            <b/>
            <sz val="9"/>
            <color indexed="81"/>
            <rFont val="Tahoma"/>
            <family val="2"/>
          </rPr>
          <t xml:space="preserve">vishek:
</t>
        </r>
        <r>
          <rPr>
            <sz val="9"/>
            <color indexed="81"/>
            <rFont val="Tahoma"/>
            <family val="2"/>
          </rPr>
          <t>No of Luns = 8
Lun size = 4200 each
8 Disks:
Disk size: 3993600MB from each DS for stripe</t>
        </r>
      </text>
    </comment>
    <comment ref="AH10" authorId="2" shapeId="0" xr:uid="{1008203E-E551-470C-89CA-1C6880FDA3FF}">
      <text>
        <r>
          <rPr>
            <sz val="9"/>
            <color indexed="81"/>
            <rFont val="Tahoma"/>
            <family val="2"/>
          </rPr>
          <t>Contains one disk:
- db-fb_disk : 6291456MB</t>
        </r>
      </text>
    </comment>
    <comment ref="R11" authorId="1" shapeId="0" xr:uid="{91141C8F-EBDC-4B95-A2A7-F8837BADF148}">
      <text>
        <r>
          <rPr>
            <b/>
            <sz val="9"/>
            <color indexed="81"/>
            <rFont val="Tahoma"/>
            <family val="2"/>
          </rPr>
          <t xml:space="preserve">vishek:
</t>
        </r>
        <r>
          <rPr>
            <sz val="9"/>
            <color indexed="81"/>
            <rFont val="Tahoma"/>
            <family val="2"/>
          </rPr>
          <t>No of Luns = 2
LUN1 size - 795GB - DS1
LUN2 size - 600GB - DS2
No of Disks = 4
1st disk from DS1 - 93184 MB(Home)
2nd disk from DS1- 585728 MB( for stripe- Global)
3rd disk from DS2 - 585728 MB(for stripe- Global)
4th disk from DS1 - 87040 MB(NFS WAS dump)</t>
        </r>
      </text>
    </comment>
    <comment ref="T11" authorId="1" shapeId="0" xr:uid="{1524EFE2-41E6-4991-9152-B0B21F4565CE}">
      <text>
        <r>
          <rPr>
            <b/>
            <sz val="9"/>
            <color indexed="81"/>
            <rFont val="Tahoma"/>
            <family val="2"/>
          </rPr>
          <t>jarmylly:</t>
        </r>
        <r>
          <rPr>
            <sz val="9"/>
            <color indexed="81"/>
            <rFont val="Tahoma"/>
            <family val="2"/>
          </rPr>
          <t xml:space="preserve">
Reserved for customer own data.</t>
        </r>
      </text>
    </comment>
    <comment ref="X11" authorId="1" shapeId="0" xr:uid="{581FB73A-2295-4F9D-B079-E968C375EFFB}">
      <text>
        <r>
          <rPr>
            <b/>
            <sz val="9"/>
            <color indexed="81"/>
            <rFont val="Tahoma"/>
            <family val="2"/>
          </rPr>
          <t>vishek:</t>
        </r>
        <r>
          <rPr>
            <sz val="9"/>
            <color indexed="81"/>
            <rFont val="Tahoma"/>
            <family val="2"/>
          </rPr>
          <t xml:space="preserve">
Contains one disk:
- NFS_backup: 754688MB</t>
        </r>
      </text>
    </comment>
    <comment ref="AB18" authorId="3" shapeId="0" xr:uid="{FB061F1E-87E2-4F8C-AE30-F356772231FA}">
      <text>
        <r>
          <rPr>
            <b/>
            <sz val="9"/>
            <color indexed="81"/>
            <rFont val="Tahoma"/>
            <family val="2"/>
          </rPr>
          <t>Thippeswamy, Suresh (Nokia - IN/Bangalore):</t>
        </r>
        <r>
          <rPr>
            <sz val="9"/>
            <color indexed="81"/>
            <rFont val="Tahoma"/>
            <family val="2"/>
          </rPr>
          <t xml:space="preserve">
Contains 1 disk:
adm_disk1: 51200MB</t>
        </r>
      </text>
    </comment>
    <comment ref="AD22" authorId="3" shapeId="0" xr:uid="{13CF3A97-E3E8-4186-953D-98B28306C9CC}">
      <text>
        <r>
          <rPr>
            <b/>
            <sz val="9"/>
            <color indexed="81"/>
            <rFont val="Tahoma"/>
            <family val="2"/>
          </rPr>
          <t>Thippeswamy, Suresh (Nokia - IN/Bangalore):</t>
        </r>
        <r>
          <rPr>
            <sz val="9"/>
            <color indexed="81"/>
            <rFont val="Tahoma"/>
            <family val="2"/>
          </rPr>
          <t xml:space="preserve">
Contains one disk:
isdk_disk1 : 102400MB</t>
        </r>
      </text>
    </comment>
    <comment ref="AD23" authorId="3" shapeId="0" xr:uid="{A6B19CB2-4BCE-4ADF-B36A-6746A8F36009}">
      <text>
        <r>
          <rPr>
            <b/>
            <sz val="9"/>
            <color indexed="81"/>
            <rFont val="Tahoma"/>
            <family val="2"/>
          </rPr>
          <t>Thippeswamy, Suresh (Nokia - IN/Bangalore):</t>
        </r>
        <r>
          <rPr>
            <sz val="9"/>
            <color indexed="81"/>
            <rFont val="Tahoma"/>
            <family val="2"/>
          </rPr>
          <t xml:space="preserve">
Contains one disk:
isdk_disk1 : 102400MB</t>
        </r>
      </text>
    </comment>
    <comment ref="I34" authorId="1" shapeId="0" xr:uid="{64A6C66E-3C1C-420F-ADE6-AAAB7548A81C}">
      <text>
        <r>
          <rPr>
            <b/>
            <sz val="9"/>
            <color indexed="81"/>
            <rFont val="Tahoma"/>
            <family val="2"/>
          </rPr>
          <t>jarmylly:</t>
        </r>
        <r>
          <rPr>
            <sz val="9"/>
            <color indexed="81"/>
            <rFont val="Tahoma"/>
            <family val="2"/>
          </rPr>
          <t xml:space="preserve">
Contains two disks:
- Disk-1: 60GB
- Disk-2: 40GB</t>
        </r>
      </text>
    </comment>
    <comment ref="I35" authorId="1" shapeId="0" xr:uid="{E1A0C1C3-59FC-4CED-8A60-C510E3793109}">
      <text>
        <r>
          <rPr>
            <b/>
            <sz val="9"/>
            <color indexed="81"/>
            <rFont val="Tahoma"/>
            <family val="2"/>
          </rPr>
          <t>jarmylly:</t>
        </r>
        <r>
          <rPr>
            <sz val="9"/>
            <color indexed="81"/>
            <rFont val="Tahoma"/>
            <family val="2"/>
          </rPr>
          <t xml:space="preserve">
Contains two disks:
- Disk-1: 60GB
(NOTE: For servers intended for more than 10 concurrent users the recommended size for disk C is Disk-1 size + RAM size.)
- Disk-2: 50GB</t>
        </r>
      </text>
    </comment>
    <comment ref="I36" authorId="1" shapeId="0" xr:uid="{C3A311CC-183F-414C-A050-718B80BADF2D}">
      <text>
        <r>
          <rPr>
            <b/>
            <sz val="9"/>
            <color indexed="81"/>
            <rFont val="Tahoma"/>
            <family val="2"/>
          </rPr>
          <t>jarmylly:</t>
        </r>
        <r>
          <rPr>
            <sz val="9"/>
            <color indexed="81"/>
            <rFont val="Tahoma"/>
            <family val="2"/>
          </rPr>
          <t xml:space="preserve">
Contains two disks:
- Disk-1: 80GB
(NOTE: For servers intended for more than 10 concurrent users the recommended size for disk C is Disk-1 size + RAM size.)
- Disk-2: 40GB</t>
        </r>
      </text>
    </comment>
    <comment ref="Z37" authorId="1" shapeId="0" xr:uid="{663ED53F-0408-4B5C-ACD8-19A422ABADAB}">
      <text>
        <r>
          <rPr>
            <b/>
            <sz val="9"/>
            <color indexed="81"/>
            <rFont val="Tahoma"/>
            <family val="2"/>
          </rPr>
          <t>jarmylly:</t>
        </r>
        <r>
          <rPr>
            <sz val="9"/>
            <color indexed="81"/>
            <rFont val="Tahoma"/>
            <family val="2"/>
          </rPr>
          <t xml:space="preserve">
Contains one disk:
- vm66_REP_disk: 76800 GB
</t>
        </r>
      </text>
    </comment>
    <comment ref="AA37" authorId="4" shapeId="0" xr:uid="{74844F8C-756D-4E4B-8B7B-6AC006CB850A}">
      <text>
        <r>
          <rPr>
            <b/>
            <sz val="9"/>
            <color indexed="81"/>
            <rFont val="Calibri"/>
            <family val="2"/>
          </rPr>
          <t>Jari Myllymaa:</t>
        </r>
        <r>
          <rPr>
            <sz val="9"/>
            <color indexed="81"/>
            <rFont val="Calibri"/>
            <family val="2"/>
          </rPr>
          <t xml:space="preserve">
PMDatastore can extend 50GB</t>
        </r>
      </text>
    </comment>
    <comment ref="Z38" authorId="1" shapeId="0" xr:uid="{910E6369-8743-4133-9BC5-8A2828EBC1FE}">
      <text>
        <r>
          <rPr>
            <b/>
            <sz val="9"/>
            <color indexed="81"/>
            <rFont val="Tahoma"/>
            <family val="2"/>
          </rPr>
          <t>jarmylly:</t>
        </r>
        <r>
          <rPr>
            <sz val="9"/>
            <color indexed="81"/>
            <rFont val="Tahoma"/>
            <family val="2"/>
          </rPr>
          <t xml:space="preserve">
Contains one disk:
- vm66_REP_disk: 76800 GB
</t>
        </r>
      </text>
    </comment>
    <comment ref="Z39" authorId="1" shapeId="0" xr:uid="{CE8EC263-9420-42BC-9403-B72B28928850}">
      <text>
        <r>
          <rPr>
            <b/>
            <sz val="9"/>
            <color indexed="81"/>
            <rFont val="Tahoma"/>
            <family val="2"/>
          </rPr>
          <t>jarmylly:</t>
        </r>
        <r>
          <rPr>
            <sz val="9"/>
            <color indexed="81"/>
            <rFont val="Tahoma"/>
            <family val="2"/>
          </rPr>
          <t xml:space="preserve">
Contains one disk:
- vm66_REP_disk: 76800 GB
</t>
        </r>
      </text>
    </comment>
    <comment ref="Z40" authorId="1" shapeId="0" xr:uid="{AAF30E91-5591-451F-A7F8-00AE891D123A}">
      <text>
        <r>
          <rPr>
            <b/>
            <sz val="9"/>
            <color indexed="81"/>
            <rFont val="Tahoma"/>
            <family val="2"/>
          </rPr>
          <t>jarmylly:</t>
        </r>
        <r>
          <rPr>
            <sz val="9"/>
            <color indexed="81"/>
            <rFont val="Tahoma"/>
            <family val="2"/>
          </rPr>
          <t xml:space="preserve">
Contains one disk:
- vm66_REP_disk: 76800 GB
</t>
        </r>
      </text>
    </comment>
    <comment ref="V43" authorId="0" shapeId="0" xr:uid="{FC8BA83F-6D05-4F60-A250-2B7013BEFD56}">
      <text>
        <r>
          <rPr>
            <b/>
            <sz val="9"/>
            <color indexed="81"/>
            <rFont val="Tahoma"/>
            <charset val="1"/>
          </rPr>
          <t>Avuthu, Charan (EXT - IN/Bangalore):</t>
        </r>
        <r>
          <rPr>
            <sz val="9"/>
            <color indexed="81"/>
            <rFont val="Tahoma"/>
            <charset val="1"/>
          </rPr>
          <t xml:space="preserve">
Contains one disk:
- backup_disk1: 204800MB</t>
        </r>
      </text>
    </comment>
    <comment ref="AF43" authorId="0" shapeId="0" xr:uid="{8ED3AB32-DB6D-4E69-8887-AEC29AEB710D}">
      <text>
        <r>
          <rPr>
            <b/>
            <sz val="9"/>
            <color indexed="81"/>
            <rFont val="Tahoma"/>
            <charset val="1"/>
          </rPr>
          <t>Avuthu, Charan (EXT - IN/Bangalore):</t>
        </r>
        <r>
          <rPr>
            <sz val="9"/>
            <color indexed="81"/>
            <rFont val="Tahoma"/>
            <charset val="1"/>
          </rPr>
          <t xml:space="preserve">
Contains one disk:
- ccr_disk1: 153600MB</t>
        </r>
      </text>
    </comment>
    <comment ref="R47" authorId="0" shapeId="0" xr:uid="{99E18ACF-4BF7-46DA-839B-44E42E8BD808}">
      <text>
        <r>
          <rPr>
            <b/>
            <sz val="9"/>
            <color indexed="81"/>
            <rFont val="Tahoma"/>
            <charset val="1"/>
          </rPr>
          <t>Avuthu, Charan (EXT - IN/Bangalore):</t>
        </r>
        <r>
          <rPr>
            <sz val="9"/>
            <color indexed="81"/>
            <rFont val="Tahoma"/>
            <charset val="1"/>
          </rPr>
          <t xml:space="preserve">
Increase for NFSGlobal disk on VM#5 by 120GB.
 (60GB for each stripe)
-2nd disk from DS1 (For LCM as optional service on Compute1) - 647168 MB (for stripe- Global)
-3rd disk from DS2 (For LCM as optional service on Compute1) - 647168 MB (for stripe- Global)</t>
        </r>
      </text>
    </comment>
    <comment ref="X47" authorId="0" shapeId="0" xr:uid="{03D0C0C4-EE2E-4A3F-9B9A-A5BEF0655000}">
      <text>
        <r>
          <rPr>
            <b/>
            <sz val="9"/>
            <color indexed="81"/>
            <rFont val="Tahoma"/>
            <charset val="1"/>
          </rPr>
          <t>Avuthu, Charan (EXT - IN/Bangalore):</t>
        </r>
        <r>
          <rPr>
            <sz val="9"/>
            <color indexed="81"/>
            <rFont val="Tahoma"/>
            <charset val="1"/>
          </rPr>
          <t xml:space="preserve">
Increase for NFSBackup disk on VM#5 by 120GB
- NFS_backup (For LCM as optional service on Compute1): 877568 MB</t>
        </r>
      </text>
    </comment>
    <comment ref="I51" authorId="3" shapeId="0" xr:uid="{37264FD1-1BDA-4807-A099-C677A4D19E3D}">
      <text>
        <r>
          <rPr>
            <b/>
            <sz val="9"/>
            <color indexed="81"/>
            <rFont val="Tahoma"/>
            <family val="2"/>
          </rPr>
          <t>Thippeswamy, Suresh (Nokia - IN/Bangalore):</t>
        </r>
        <r>
          <rPr>
            <sz val="9"/>
            <color indexed="81"/>
            <rFont val="Tahoma"/>
            <family val="2"/>
          </rPr>
          <t xml:space="preserve">
NetAct20 scratch and on top upgrade, the required disk size is 70GB
On long upgrade environment(Having NetAct19 or older in upgrade history), since /var partition requires 40GB from NetAct20 onwards, so additional 25GB disk space is automtically added and attached to /var partition. With this the total disks consumption will be 95GB 
On long upgrade environments(NetAct20 or older), from N23R3 onwards, additional 12GB would be extended and attached to SWAP partition. With this, the total disk consumption will be 107GB.</t>
        </r>
      </text>
    </comment>
    <comment ref="I52" authorId="1" shapeId="0" xr:uid="{7A794B97-C3C1-4853-A219-71599D116579}">
      <text>
        <r>
          <rPr>
            <b/>
            <sz val="9"/>
            <color indexed="81"/>
            <rFont val="Tahoma"/>
            <family val="2"/>
          </rPr>
          <t>jarmylly:</t>
        </r>
        <r>
          <rPr>
            <sz val="9"/>
            <color indexed="81"/>
            <rFont val="Tahoma"/>
            <family val="2"/>
          </rPr>
          <t xml:space="preserve">
Contains two disks:
- Disk-1: 60GB
- Disk-2: 40GB</t>
        </r>
      </text>
    </comment>
    <comment ref="I53" authorId="1" shapeId="0" xr:uid="{188B8681-C1AB-4E7B-80EA-38BCBF2B8A75}">
      <text>
        <r>
          <rPr>
            <b/>
            <sz val="9"/>
            <color indexed="81"/>
            <rFont val="Tahoma"/>
            <family val="2"/>
          </rPr>
          <t>jarmylly:</t>
        </r>
        <r>
          <rPr>
            <sz val="9"/>
            <color indexed="81"/>
            <rFont val="Tahoma"/>
            <family val="2"/>
          </rPr>
          <t xml:space="preserve">
Contains two disks:
- Disk-1: 60GB
(NOTE: For servers intended for more than 10 concurrent users the recommended size for disk C is Disk-1 size + RAM size.)
- Disk-2: 40GB</t>
        </r>
      </text>
    </comment>
    <comment ref="I54" authorId="1" shapeId="0" xr:uid="{50B8710C-E1BE-4414-B6F2-031BD3605C15}">
      <text>
        <r>
          <rPr>
            <b/>
            <sz val="9"/>
            <color indexed="81"/>
            <rFont val="Tahoma"/>
            <family val="2"/>
          </rPr>
          <t>jarmylly:</t>
        </r>
        <r>
          <rPr>
            <sz val="9"/>
            <color indexed="81"/>
            <rFont val="Tahoma"/>
            <family val="2"/>
          </rPr>
          <t xml:space="preserve">
Contains two disks:
- Disk-1: 60GB
(NOTE: For servers intended for more than 10 concurrent users the recommended size for disk C is Disk-1 size + RAM size.)
- Disk-2: 40GB</t>
        </r>
      </text>
    </comment>
    <comment ref="I55" authorId="1" shapeId="0" xr:uid="{3401095D-0570-45F8-8529-DD4A91A2172A}">
      <text>
        <r>
          <rPr>
            <b/>
            <sz val="9"/>
            <color indexed="81"/>
            <rFont val="Tahoma"/>
            <family val="2"/>
          </rPr>
          <t>jarmylly:</t>
        </r>
        <r>
          <rPr>
            <sz val="9"/>
            <color indexed="81"/>
            <rFont val="Tahoma"/>
            <family val="2"/>
          </rPr>
          <t xml:space="preserve">
Contains two disks:
- Disk-1: 60GB
(NOTE: For servers intended for more than 10 concurrent users the recommended size for disk C is Disk-1 size + RAM size.)
- Disk-2: 40GB</t>
        </r>
      </text>
    </comment>
    <comment ref="I56" authorId="1" shapeId="0" xr:uid="{AC97717E-D658-4C80-A5F1-15ED36BA5498}">
      <text>
        <r>
          <rPr>
            <b/>
            <sz val="9"/>
            <color indexed="81"/>
            <rFont val="Tahoma"/>
            <family val="2"/>
          </rPr>
          <t>jarmylly:</t>
        </r>
        <r>
          <rPr>
            <sz val="9"/>
            <color indexed="81"/>
            <rFont val="Tahoma"/>
            <family val="2"/>
          </rPr>
          <t xml:space="preserve">
Contains two disks:
- Disk-1: 60GB
(NOTE: For servers intended for more than 10 concurrent users the recommended size for disk C is Disk-1 size + RAM size.)
- Disk-2: 40GB</t>
        </r>
      </text>
    </comment>
    <comment ref="I57" authorId="1" shapeId="0" xr:uid="{74BA9F09-4737-419B-AAE9-6DCAD7D969BA}">
      <text>
        <r>
          <rPr>
            <b/>
            <sz val="9"/>
            <color indexed="81"/>
            <rFont val="Tahoma"/>
            <family val="2"/>
          </rPr>
          <t>jarmylly:</t>
        </r>
        <r>
          <rPr>
            <sz val="9"/>
            <color indexed="81"/>
            <rFont val="Tahoma"/>
            <family val="2"/>
          </rPr>
          <t xml:space="preserve">
Contains two disks:
- Disk-1: 60GB
(NOTE: For servers intended for more than 10 concurrent users the recommended size for disk C is Disk-1 size + RAM size.)
- Disk-2: 40GB</t>
        </r>
      </text>
    </comment>
    <comment ref="I58" authorId="1" shapeId="0" xr:uid="{0C12697C-FFE2-4C7A-873B-8D34B141D0EF}">
      <text>
        <r>
          <rPr>
            <b/>
            <sz val="9"/>
            <color indexed="81"/>
            <rFont val="Tahoma"/>
            <family val="2"/>
          </rPr>
          <t>jarmylly:</t>
        </r>
        <r>
          <rPr>
            <sz val="9"/>
            <color indexed="81"/>
            <rFont val="Tahoma"/>
            <family val="2"/>
          </rPr>
          <t xml:space="preserve">
Contains two disks:
- Disk-1: 60GB
(NOTE: For servers intended for more than 10 concurrent users the recommended size for disk C is Disk-1 size + RAM size.)
- Disk-2: 40GB</t>
        </r>
      </text>
    </comment>
    <comment ref="I59" authorId="1" shapeId="0" xr:uid="{FCE174A9-BE45-4839-9E29-A385BF37926D}">
      <text>
        <r>
          <rPr>
            <b/>
            <sz val="9"/>
            <color indexed="81"/>
            <rFont val="Tahoma"/>
            <family val="2"/>
          </rPr>
          <t>jarmylly:</t>
        </r>
        <r>
          <rPr>
            <sz val="9"/>
            <color indexed="81"/>
            <rFont val="Tahoma"/>
            <family val="2"/>
          </rPr>
          <t xml:space="preserve">
Contains two disks:
- Disk-1: 60GB
(NOTE: For servers intended for more than 10 concurrent users the recommended size for disk C is Disk-1 size + RAM size.)
- Disk-2: 40GB</t>
        </r>
      </text>
    </comment>
    <comment ref="I60" authorId="1" shapeId="0" xr:uid="{D61D4F8A-83EF-4096-9FA7-DB634B4AA9C8}">
      <text>
        <r>
          <rPr>
            <b/>
            <sz val="9"/>
            <color indexed="81"/>
            <rFont val="Tahoma"/>
            <family val="2"/>
          </rPr>
          <t>jarmylly:</t>
        </r>
        <r>
          <rPr>
            <sz val="9"/>
            <color indexed="81"/>
            <rFont val="Tahoma"/>
            <family val="2"/>
          </rPr>
          <t xml:space="preserve">
Contains two disks:
- Disk-1: 80GB
(NOTE: For servers intended for more than 10 concurrent users the recommended size for disk C is Disk-1 size + RAM size.)
- Disk-2: 40GB</t>
        </r>
      </text>
    </comment>
    <comment ref="I61" authorId="1" shapeId="0" xr:uid="{83A08B73-7B40-46D9-8357-0AA32FB7AF9C}">
      <text>
        <r>
          <rPr>
            <b/>
            <sz val="9"/>
            <color indexed="81"/>
            <rFont val="Tahoma"/>
            <family val="2"/>
          </rPr>
          <t>jarmylly:</t>
        </r>
        <r>
          <rPr>
            <sz val="9"/>
            <color indexed="81"/>
            <rFont val="Tahoma"/>
            <family val="2"/>
          </rPr>
          <t xml:space="preserve">
Contains two disks:
- Disk-1: 60GB
(NOTE: For servers intended for more than 10 concurrent users the recommended size for disk C is Disk-1 size + RAM size.)
- Disk-2: 40GB</t>
        </r>
      </text>
    </comment>
    <comment ref="I69" authorId="1" shapeId="0" xr:uid="{844C18B2-2EDB-4282-B30C-F78E25ACE7DC}">
      <text>
        <r>
          <rPr>
            <b/>
            <sz val="9"/>
            <color indexed="81"/>
            <rFont val="Tahoma"/>
            <family val="2"/>
          </rPr>
          <t>jarmylly:</t>
        </r>
        <r>
          <rPr>
            <sz val="9"/>
            <color indexed="81"/>
            <rFont val="Tahoma"/>
            <family val="2"/>
          </rPr>
          <t xml:space="preserve">
Contains two disks:
- Disk-1: 30GB
- Disk-2: 80GB</t>
        </r>
      </text>
    </comment>
    <comment ref="I70" authorId="1" shapeId="0" xr:uid="{61758469-B07E-4FDD-922A-B00901F30CD3}">
      <text>
        <r>
          <rPr>
            <b/>
            <sz val="9"/>
            <color indexed="81"/>
            <rFont val="Tahoma"/>
            <family val="2"/>
          </rPr>
          <t>jarmylly:</t>
        </r>
        <r>
          <rPr>
            <sz val="9"/>
            <color indexed="81"/>
            <rFont val="Tahoma"/>
            <family val="2"/>
          </rPr>
          <t xml:space="preserve">
Contains two disks:
- Disk-1: 30GB
- Disk-2: 80GB</t>
        </r>
      </text>
    </comment>
    <comment ref="I75" authorId="3" shapeId="0" xr:uid="{39BFFE74-ADCC-48F2-9738-647AB3806873}">
      <text>
        <r>
          <rPr>
            <b/>
            <sz val="9"/>
            <color indexed="81"/>
            <rFont val="Tahoma"/>
            <family val="2"/>
          </rPr>
          <t>Thippeswamy, Suresh (Nokia - IN/Bangalore):</t>
        </r>
        <r>
          <rPr>
            <sz val="9"/>
            <color indexed="81"/>
            <rFont val="Tahoma"/>
            <family val="2"/>
          </rPr>
          <t xml:space="preserve">
OS disk: 50GB
Data Disk:2048GB</t>
        </r>
      </text>
    </comment>
    <comment ref="E87" authorId="1" shapeId="0" xr:uid="{A73D502C-72AE-41BC-B833-61AE831E0C31}">
      <text>
        <r>
          <rPr>
            <b/>
            <sz val="9"/>
            <color indexed="81"/>
            <rFont val="Tahoma"/>
            <family val="2"/>
          </rPr>
          <t>jarmylly:</t>
        </r>
        <r>
          <rPr>
            <sz val="9"/>
            <color indexed="81"/>
            <rFont val="Tahoma"/>
            <family val="2"/>
          </rPr>
          <t xml:space="preserve">
- SBTS Adapter and BTSMED should not co-locate in same cluster i.e. SBTS Adapter and BTSMED VM usage together is not possible.</t>
        </r>
      </text>
    </comment>
    <comment ref="E88" authorId="1" shapeId="0" xr:uid="{B745866C-7289-4076-A39F-0E87B406F1E0}">
      <text>
        <r>
          <rPr>
            <b/>
            <sz val="9"/>
            <color indexed="81"/>
            <rFont val="Tahoma"/>
            <family val="2"/>
          </rPr>
          <t>jarmylly:</t>
        </r>
        <r>
          <rPr>
            <sz val="9"/>
            <color indexed="81"/>
            <rFont val="Tahoma"/>
            <family val="2"/>
          </rPr>
          <t xml:space="preserve">
- SBTS Adapter and BTSMED should not co-locate in same cluster i.e. SBTS Adapter and BTSMED VM usage together is not possible.</t>
        </r>
      </text>
    </comment>
  </commentList>
</comments>
</file>

<file path=xl/comments18.xml><?xml version="1.0" encoding="utf-8"?>
<comments xmlns="http://schemas.openxmlformats.org/spreadsheetml/2006/main" xmlns:mc="http://schemas.openxmlformats.org/markup-compatibility/2006" xmlns:xr="http://schemas.microsoft.com/office/spreadsheetml/2014/revision" mc:Ignorable="xr">
  <authors>
    <author>Avuthu, Charan (EXT - IN/Bangalore)</author>
    <author>jarmylly</author>
    <author>Thippeswamy, Suresh (Nokia - IN/Bangalore)</author>
    <author>Rastogi, Alok (Nokia - IN/Bangalore)</author>
  </authors>
  <commentList>
    <comment ref="I7" authorId="0" shapeId="0" xr:uid="{A29C7CEF-8582-4CE4-A2CB-9C08F33DFC73}">
      <text>
        <r>
          <rPr>
            <b/>
            <sz val="9"/>
            <color indexed="81"/>
            <rFont val="Tahoma"/>
            <charset val="1"/>
          </rPr>
          <t>Avuthu, Charan (EXT - IN/Bangalore):</t>
        </r>
        <r>
          <rPr>
            <sz val="9"/>
            <color indexed="81"/>
            <rFont val="Tahoma"/>
            <charset val="1"/>
          </rPr>
          <t xml:space="preserve">
Instance OS Level SWAP size, will derive from the flavor</t>
        </r>
      </text>
    </comment>
    <comment ref="K7" authorId="1" shapeId="0" xr:uid="{311B76FC-288A-48FC-B44B-8BCD52F678F4}">
      <text>
        <r>
          <rPr>
            <b/>
            <sz val="9"/>
            <color indexed="81"/>
            <rFont val="Tahoma"/>
            <family val="2"/>
          </rPr>
          <t>jarmylly:</t>
        </r>
        <r>
          <rPr>
            <sz val="9"/>
            <color indexed="81"/>
            <rFont val="Tahoma"/>
            <family val="2"/>
          </rPr>
          <t xml:space="preserve">
Only if Airframe Hardware used</t>
        </r>
      </text>
    </comment>
    <comment ref="O7" authorId="1" shapeId="0" xr:uid="{DA780AB7-68FC-40FC-87B9-2ED56816DDFD}">
      <text>
        <r>
          <rPr>
            <b/>
            <sz val="9"/>
            <color indexed="81"/>
            <rFont val="Tahoma"/>
            <family val="2"/>
          </rPr>
          <t>jarmylly:</t>
        </r>
        <r>
          <rPr>
            <sz val="9"/>
            <color indexed="81"/>
            <rFont val="Tahoma"/>
            <family val="2"/>
          </rPr>
          <t xml:space="preserve">
Only if Airframe Hardware used</t>
        </r>
      </text>
    </comment>
    <comment ref="S7" authorId="1" shapeId="0" xr:uid="{1E96EE6E-40B3-4DAF-B0B4-417DA07C849E}">
      <text>
        <r>
          <rPr>
            <b/>
            <sz val="9"/>
            <color indexed="81"/>
            <rFont val="Tahoma"/>
            <family val="2"/>
          </rPr>
          <t>jarmylly:</t>
        </r>
        <r>
          <rPr>
            <sz val="9"/>
            <color indexed="81"/>
            <rFont val="Tahoma"/>
            <family val="2"/>
          </rPr>
          <t xml:space="preserve">
Only if Airframe Hardware used</t>
        </r>
      </text>
    </comment>
    <comment ref="W7" authorId="1" shapeId="0" xr:uid="{2194F56F-52E7-40DF-AAA9-F5CC3021B011}">
      <text>
        <r>
          <rPr>
            <b/>
            <sz val="9"/>
            <color indexed="81"/>
            <rFont val="Tahoma"/>
            <family val="2"/>
          </rPr>
          <t>jarmylly:</t>
        </r>
        <r>
          <rPr>
            <sz val="9"/>
            <color indexed="81"/>
            <rFont val="Tahoma"/>
            <family val="2"/>
          </rPr>
          <t xml:space="preserve">
Only if Airframe Hardware used</t>
        </r>
      </text>
    </comment>
    <comment ref="AA7" authorId="1" shapeId="0" xr:uid="{B9B7DDF7-E5EB-4032-8C90-3931B31EE37A}">
      <text>
        <r>
          <rPr>
            <b/>
            <sz val="9"/>
            <color indexed="81"/>
            <rFont val="Tahoma"/>
            <family val="2"/>
          </rPr>
          <t>jarmylly:</t>
        </r>
        <r>
          <rPr>
            <sz val="9"/>
            <color indexed="81"/>
            <rFont val="Tahoma"/>
            <family val="2"/>
          </rPr>
          <t xml:space="preserve">
Only if Airframe Hardware used</t>
        </r>
      </text>
    </comment>
    <comment ref="AE7" authorId="1" shapeId="0" xr:uid="{D1F10586-6927-4CFA-AC38-25D2F68EE5E3}">
      <text>
        <r>
          <rPr>
            <b/>
            <sz val="9"/>
            <color indexed="81"/>
            <rFont val="Tahoma"/>
            <family val="2"/>
          </rPr>
          <t>jarmylly:</t>
        </r>
        <r>
          <rPr>
            <sz val="9"/>
            <color indexed="81"/>
            <rFont val="Tahoma"/>
            <family val="2"/>
          </rPr>
          <t xml:space="preserve">
Only if Airframe Hardware used</t>
        </r>
      </text>
    </comment>
    <comment ref="AI7" authorId="1" shapeId="0" xr:uid="{31CF138F-3BE2-4F99-A62C-7DABFA47090A}">
      <text>
        <r>
          <rPr>
            <b/>
            <sz val="9"/>
            <color indexed="81"/>
            <rFont val="Tahoma"/>
            <family val="2"/>
          </rPr>
          <t>jarmylly:</t>
        </r>
        <r>
          <rPr>
            <sz val="9"/>
            <color indexed="81"/>
            <rFont val="Tahoma"/>
            <family val="2"/>
          </rPr>
          <t xml:space="preserve">
Only if Airframe Hardware used</t>
        </r>
      </text>
    </comment>
    <comment ref="AM7" authorId="1" shapeId="0" xr:uid="{97F0A0EC-4D14-4580-8118-9B1098840138}">
      <text>
        <r>
          <rPr>
            <b/>
            <sz val="9"/>
            <color indexed="81"/>
            <rFont val="Tahoma"/>
            <family val="2"/>
          </rPr>
          <t>jarmylly:</t>
        </r>
        <r>
          <rPr>
            <sz val="9"/>
            <color indexed="81"/>
            <rFont val="Tahoma"/>
            <family val="2"/>
          </rPr>
          <t xml:space="preserve">
Only if Airframe Hardware used</t>
        </r>
      </text>
    </comment>
    <comment ref="AQ7" authorId="1" shapeId="0" xr:uid="{10DF3616-AB85-4BEF-BE51-FB7A0C815F44}">
      <text>
        <r>
          <rPr>
            <b/>
            <sz val="9"/>
            <color indexed="81"/>
            <rFont val="Tahoma"/>
            <family val="2"/>
          </rPr>
          <t>jarmylly:</t>
        </r>
        <r>
          <rPr>
            <sz val="9"/>
            <color indexed="81"/>
            <rFont val="Tahoma"/>
            <family val="2"/>
          </rPr>
          <t xml:space="preserve">
Only if Airframe Hardware used</t>
        </r>
      </text>
    </comment>
    <comment ref="AU7" authorId="1" shapeId="0" xr:uid="{2AC2B0D2-F52F-4296-97DF-F4FBA502C5FF}">
      <text>
        <r>
          <rPr>
            <b/>
            <sz val="9"/>
            <color indexed="81"/>
            <rFont val="Tahoma"/>
            <family val="2"/>
          </rPr>
          <t>jarmylly:</t>
        </r>
        <r>
          <rPr>
            <sz val="9"/>
            <color indexed="81"/>
            <rFont val="Tahoma"/>
            <family val="2"/>
          </rPr>
          <t xml:space="preserve">
Only if Airframe Hardware used</t>
        </r>
      </text>
    </comment>
    <comment ref="AY7" authorId="1" shapeId="0" xr:uid="{9D2F731F-E677-4500-98F1-A8131699976A}">
      <text>
        <r>
          <rPr>
            <b/>
            <sz val="9"/>
            <color indexed="81"/>
            <rFont val="Tahoma"/>
            <family val="2"/>
          </rPr>
          <t>jarmylly:</t>
        </r>
        <r>
          <rPr>
            <sz val="9"/>
            <color indexed="81"/>
            <rFont val="Tahoma"/>
            <family val="2"/>
          </rPr>
          <t xml:space="preserve">
Only if Airframe Hardware used</t>
        </r>
      </text>
    </comment>
    <comment ref="BC7" authorId="1" shapeId="0" xr:uid="{5EF2FC69-DC1C-41E3-9459-627623420131}">
      <text>
        <r>
          <rPr>
            <b/>
            <sz val="9"/>
            <color indexed="81"/>
            <rFont val="Tahoma"/>
            <family val="2"/>
          </rPr>
          <t>jarmylly:</t>
        </r>
        <r>
          <rPr>
            <sz val="9"/>
            <color indexed="81"/>
            <rFont val="Tahoma"/>
            <family val="2"/>
          </rPr>
          <t xml:space="preserve">
Only if Airframe Hardware used</t>
        </r>
      </text>
    </comment>
    <comment ref="L8" authorId="1" shapeId="0" xr:uid="{F5F17A0D-859B-4E2A-BC48-29DFA13F9F94}">
      <text>
        <r>
          <rPr>
            <b/>
            <sz val="9"/>
            <color indexed="81"/>
            <rFont val="Tahoma"/>
            <family val="2"/>
          </rPr>
          <t>jarmylly:</t>
        </r>
        <r>
          <rPr>
            <sz val="9"/>
            <color indexed="81"/>
            <rFont val="Tahoma"/>
            <family val="2"/>
          </rPr>
          <t xml:space="preserve">
Images name: rhel7_insteng</t>
        </r>
      </text>
    </comment>
    <comment ref="L9" authorId="1" shapeId="0" xr:uid="{987329CB-A6E9-4195-93C1-79037444E6B3}">
      <text>
        <r>
          <rPr>
            <b/>
            <sz val="9"/>
            <color indexed="81"/>
            <rFont val="Tahoma"/>
            <family val="2"/>
          </rPr>
          <t>jarmylly:</t>
        </r>
        <r>
          <rPr>
            <sz val="9"/>
            <color indexed="81"/>
            <rFont val="Tahoma"/>
            <family val="2"/>
          </rPr>
          <t xml:space="preserve">
Image name: administration_server</t>
        </r>
      </text>
    </comment>
    <comment ref="L10" authorId="1" shapeId="0" xr:uid="{650CE480-922A-4D35-A67A-614451BA5BB4}">
      <text>
        <r>
          <rPr>
            <b/>
            <sz val="9"/>
            <color indexed="81"/>
            <rFont val="Tahoma"/>
            <family val="2"/>
          </rPr>
          <t>jarmylly:</t>
        </r>
        <r>
          <rPr>
            <sz val="9"/>
            <color indexed="81"/>
            <rFont val="Tahoma"/>
            <family val="2"/>
          </rPr>
          <t xml:space="preserve">
Image name: netact_rhel_base</t>
        </r>
      </text>
    </comment>
    <comment ref="L11" authorId="1" shapeId="0" xr:uid="{E12BF3F2-00F4-40B6-ACBA-1DC958FBAC9A}">
      <text>
        <r>
          <rPr>
            <b/>
            <sz val="9"/>
            <color indexed="81"/>
            <rFont val="Tahoma"/>
            <family val="2"/>
          </rPr>
          <t>jarmylly:</t>
        </r>
        <r>
          <rPr>
            <sz val="9"/>
            <color indexed="81"/>
            <rFont val="Tahoma"/>
            <family val="2"/>
          </rPr>
          <t xml:space="preserve">
Image name: netact_rhel_base</t>
        </r>
      </text>
    </comment>
    <comment ref="M11" authorId="2" shapeId="0" xr:uid="{0285B952-F602-430E-872E-AD5338062508}">
      <text>
        <r>
          <rPr>
            <b/>
            <sz val="9"/>
            <color indexed="81"/>
            <rFont val="Tahoma"/>
            <family val="2"/>
          </rPr>
          <t>Thippeswamy, Suresh (Nokia - IN/Bangalore):</t>
        </r>
        <r>
          <rPr>
            <sz val="9"/>
            <color indexed="81"/>
            <rFont val="Tahoma"/>
            <family val="2"/>
          </rPr>
          <t xml:space="preserve">
2 disks for striping, each disk size 235520MB</t>
        </r>
      </text>
    </comment>
    <comment ref="P11" authorId="1" shapeId="0" xr:uid="{956C8683-1977-4DE2-8005-C15E49D02A74}">
      <text>
        <r>
          <rPr>
            <b/>
            <sz val="9"/>
            <color indexed="81"/>
            <rFont val="Tahoma"/>
            <family val="2"/>
          </rPr>
          <t>jarmylly:</t>
        </r>
        <r>
          <rPr>
            <sz val="9"/>
            <color indexed="81"/>
            <rFont val="Tahoma"/>
            <family val="2"/>
          </rPr>
          <t xml:space="preserve">
Image name: vgredo</t>
        </r>
      </text>
    </comment>
    <comment ref="Q11" authorId="2" shapeId="0" xr:uid="{B12696FB-F361-44E0-94C5-956AB0184753}">
      <text>
        <r>
          <rPr>
            <b/>
            <sz val="9"/>
            <color indexed="81"/>
            <rFont val="Tahoma"/>
            <family val="2"/>
          </rPr>
          <t>Thippeswamy, Suresh (Nokia - IN/Bangalore):</t>
        </r>
        <r>
          <rPr>
            <sz val="9"/>
            <color indexed="81"/>
            <rFont val="Tahoma"/>
            <family val="2"/>
          </rPr>
          <t xml:space="preserve">
8 disks for striping, each disk size 1945600MB</t>
        </r>
      </text>
    </comment>
    <comment ref="T11" authorId="1" shapeId="0" xr:uid="{9DB0BC6A-E96E-4549-8021-6332D5ECBF9A}">
      <text>
        <r>
          <rPr>
            <b/>
            <sz val="9"/>
            <color indexed="81"/>
            <rFont val="Tahoma"/>
            <family val="2"/>
          </rPr>
          <t>jarmylly:</t>
        </r>
        <r>
          <rPr>
            <sz val="9"/>
            <color indexed="81"/>
            <rFont val="Tahoma"/>
            <family val="2"/>
          </rPr>
          <t xml:space="preserve">
Image name: vgdb</t>
        </r>
      </text>
    </comment>
    <comment ref="U11" authorId="2" shapeId="0" xr:uid="{2E89D11A-B089-4CC5-8714-F0284EE61FD6}">
      <text>
        <r>
          <rPr>
            <b/>
            <sz val="9"/>
            <color indexed="81"/>
            <rFont val="Tahoma"/>
            <family val="2"/>
          </rPr>
          <t>Thippeswamy, Suresh (Nokia - IN/Bangalore):</t>
        </r>
        <r>
          <rPr>
            <sz val="9"/>
            <color indexed="81"/>
            <rFont val="Tahoma"/>
            <family val="2"/>
          </rPr>
          <t xml:space="preserve">
2 disks for striping, each disk size 8499200MB</t>
        </r>
      </text>
    </comment>
    <comment ref="X11" authorId="1" shapeId="0" xr:uid="{A142114C-D77E-4926-BBB8-DACFD1BF08BA}">
      <text>
        <r>
          <rPr>
            <b/>
            <sz val="9"/>
            <color indexed="81"/>
            <rFont val="Tahoma"/>
            <family val="2"/>
          </rPr>
          <t>jarmylly:</t>
        </r>
        <r>
          <rPr>
            <sz val="9"/>
            <color indexed="81"/>
            <rFont val="Tahoma"/>
            <family val="2"/>
          </rPr>
          <t xml:space="preserve">
Image name: vgarc</t>
        </r>
      </text>
    </comment>
    <comment ref="AG11" authorId="2" shapeId="0" xr:uid="{F15FC059-880D-44D6-9ECB-E3FD9EF4EAB3}">
      <text>
        <r>
          <rPr>
            <b/>
            <sz val="9"/>
            <color indexed="81"/>
            <rFont val="Tahoma"/>
            <family val="2"/>
          </rPr>
          <t>Thippeswamy, Suresh (Nokia - IN/Bangalore):</t>
        </r>
        <r>
          <rPr>
            <sz val="9"/>
            <color indexed="81"/>
            <rFont val="Tahoma"/>
            <family val="2"/>
          </rPr>
          <t xml:space="preserve">
8 disks for striping, each disk size 4016640MB</t>
        </r>
      </text>
    </comment>
    <comment ref="BD11" authorId="3" shapeId="0" xr:uid="{A104ECFF-D2DB-46BC-B3B5-9DCA514DBE63}">
      <text>
        <r>
          <rPr>
            <b/>
            <sz val="9"/>
            <color indexed="81"/>
            <rFont val="Tahoma"/>
            <family val="2"/>
          </rPr>
          <t xml:space="preserve"> Alok :name
</t>
        </r>
        <r>
          <rPr>
            <sz val="9"/>
            <color indexed="81"/>
            <rFont val="Tahoma"/>
            <family val="2"/>
          </rPr>
          <t>vgdbfb</t>
        </r>
      </text>
    </comment>
    <comment ref="L12" authorId="1" shapeId="0" xr:uid="{725969E9-C692-4AFA-BF98-56919F92A36E}">
      <text>
        <r>
          <rPr>
            <b/>
            <sz val="9"/>
            <color indexed="81"/>
            <rFont val="Tahoma"/>
            <family val="2"/>
          </rPr>
          <t>jarmylly:</t>
        </r>
        <r>
          <rPr>
            <sz val="9"/>
            <color indexed="81"/>
            <rFont val="Tahoma"/>
            <family val="2"/>
          </rPr>
          <t xml:space="preserve">
Image name: netact_rhel_base</t>
        </r>
      </text>
    </comment>
    <comment ref="Y12" authorId="3" shapeId="0" xr:uid="{33785F57-E38E-434B-86E4-CD42D7EEAFDE}">
      <text>
        <r>
          <rPr>
            <b/>
            <sz val="9"/>
            <color indexed="81"/>
            <rFont val="Tahoma"/>
            <family val="2"/>
          </rPr>
          <t>Rastogi, Alok (Nokia - IN/Bangalore):</t>
        </r>
        <r>
          <rPr>
            <sz val="9"/>
            <color indexed="81"/>
            <rFont val="Tahoma"/>
            <family val="2"/>
          </rPr>
          <t xml:space="preserve">
Contains four Disks;
1 Disk for Home: 93184  MB
2 Disks for Global : each disk size 585728 MB for striping
1 Disk for WAS dump: 87040 MB</t>
        </r>
      </text>
    </comment>
    <comment ref="AB12" authorId="1" shapeId="0" xr:uid="{1D0400EC-AF89-4BA9-BF0E-C9FB1FB4CFC7}">
      <text>
        <r>
          <rPr>
            <b/>
            <sz val="9"/>
            <color indexed="81"/>
            <rFont val="Tahoma"/>
            <family val="2"/>
          </rPr>
          <t>jarmylly:</t>
        </r>
        <r>
          <rPr>
            <sz val="9"/>
            <color indexed="81"/>
            <rFont val="Tahoma"/>
            <family val="2"/>
          </rPr>
          <t xml:space="preserve">
Image names:
- vgglobal
- vghome</t>
        </r>
      </text>
    </comment>
    <comment ref="AC12" authorId="1" shapeId="0" xr:uid="{A4690197-EC34-4A5D-B290-DF938669F5CE}">
      <text>
        <r>
          <rPr>
            <b/>
            <sz val="9"/>
            <color indexed="81"/>
            <rFont val="Tahoma"/>
            <family val="2"/>
          </rPr>
          <t>jarmylly:</t>
        </r>
        <r>
          <rPr>
            <sz val="9"/>
            <color indexed="81"/>
            <rFont val="Tahoma"/>
            <family val="2"/>
          </rPr>
          <t xml:space="preserve">
Reserved for customer own data.</t>
        </r>
      </text>
    </comment>
    <comment ref="BE12" authorId="2" shapeId="0" xr:uid="{E68DBD28-0F19-4466-AC04-89181186C54D}">
      <text>
        <r>
          <rPr>
            <b/>
            <sz val="9"/>
            <color indexed="81"/>
            <rFont val="Tahoma"/>
            <family val="2"/>
          </rPr>
          <t>Thippeswamy, Suresh (Nokia - IN/Bangalore):</t>
        </r>
        <r>
          <rPr>
            <sz val="9"/>
            <color indexed="81"/>
            <rFont val="Tahoma"/>
            <family val="2"/>
          </rPr>
          <t xml:space="preserve">
6 Including Customer Volume otherwise 5</t>
        </r>
      </text>
    </comment>
    <comment ref="L13" authorId="1" shapeId="0" xr:uid="{33589AA9-89BA-4F36-92DE-F70B11B61A9B}">
      <text>
        <r>
          <rPr>
            <b/>
            <sz val="9"/>
            <color indexed="81"/>
            <rFont val="Tahoma"/>
            <family val="2"/>
          </rPr>
          <t>jarmylly:</t>
        </r>
        <r>
          <rPr>
            <sz val="9"/>
            <color indexed="81"/>
            <rFont val="Tahoma"/>
            <family val="2"/>
          </rPr>
          <t xml:space="preserve">
Image name: netact_rhel_base</t>
        </r>
      </text>
    </comment>
    <comment ref="L14" authorId="1" shapeId="0" xr:uid="{4C9423B6-16C8-4BE3-B142-FBE663FE727B}">
      <text>
        <r>
          <rPr>
            <b/>
            <sz val="9"/>
            <color indexed="81"/>
            <rFont val="Tahoma"/>
            <family val="2"/>
          </rPr>
          <t>jarmylly:</t>
        </r>
        <r>
          <rPr>
            <sz val="9"/>
            <color indexed="81"/>
            <rFont val="Tahoma"/>
            <family val="2"/>
          </rPr>
          <t xml:space="preserve">
Image name: netact_rhel_base</t>
        </r>
      </text>
    </comment>
    <comment ref="L15" authorId="1" shapeId="0" xr:uid="{ABE39A19-E43A-41AB-96B0-101B8AA05558}">
      <text>
        <r>
          <rPr>
            <b/>
            <sz val="9"/>
            <color indexed="81"/>
            <rFont val="Tahoma"/>
            <family val="2"/>
          </rPr>
          <t>jarmylly:</t>
        </r>
        <r>
          <rPr>
            <sz val="9"/>
            <color indexed="81"/>
            <rFont val="Tahoma"/>
            <family val="2"/>
          </rPr>
          <t xml:space="preserve">
Image name: netact_rhel_base</t>
        </r>
      </text>
    </comment>
    <comment ref="L16" authorId="1" shapeId="0" xr:uid="{86CF5DCA-E131-4225-84A0-13BFD635113A}">
      <text>
        <r>
          <rPr>
            <b/>
            <sz val="9"/>
            <color indexed="81"/>
            <rFont val="Tahoma"/>
            <family val="2"/>
          </rPr>
          <t>jarmylly:</t>
        </r>
        <r>
          <rPr>
            <sz val="9"/>
            <color indexed="81"/>
            <rFont val="Tahoma"/>
            <family val="2"/>
          </rPr>
          <t xml:space="preserve">
Image name: netact_rhel_base</t>
        </r>
      </text>
    </comment>
    <comment ref="L17" authorId="1" shapeId="0" xr:uid="{86C8216C-256B-427D-B914-627D3297CAA4}">
      <text>
        <r>
          <rPr>
            <b/>
            <sz val="9"/>
            <color indexed="81"/>
            <rFont val="Tahoma"/>
            <family val="2"/>
          </rPr>
          <t>jarmylly:</t>
        </r>
        <r>
          <rPr>
            <sz val="9"/>
            <color indexed="81"/>
            <rFont val="Tahoma"/>
            <family val="2"/>
          </rPr>
          <t xml:space="preserve">
Image name: netact_rhel_base</t>
        </r>
      </text>
    </comment>
    <comment ref="L18" authorId="1" shapeId="0" xr:uid="{EFA8A3C5-A1D9-4D4A-9EB7-72D9ED7C3BCE}">
      <text>
        <r>
          <rPr>
            <b/>
            <sz val="9"/>
            <color indexed="81"/>
            <rFont val="Tahoma"/>
            <family val="2"/>
          </rPr>
          <t>jarmylly:</t>
        </r>
        <r>
          <rPr>
            <sz val="9"/>
            <color indexed="81"/>
            <rFont val="Tahoma"/>
            <family val="2"/>
          </rPr>
          <t xml:space="preserve">
Image name: netact_rhel_base</t>
        </r>
      </text>
    </comment>
    <comment ref="L19" authorId="1" shapeId="0" xr:uid="{842E58D2-D028-4D0D-B78C-8639AA4F78A3}">
      <text>
        <r>
          <rPr>
            <b/>
            <sz val="9"/>
            <color indexed="81"/>
            <rFont val="Tahoma"/>
            <family val="2"/>
          </rPr>
          <t>jarmylly:</t>
        </r>
        <r>
          <rPr>
            <sz val="9"/>
            <color indexed="81"/>
            <rFont val="Tahoma"/>
            <family val="2"/>
          </rPr>
          <t xml:space="preserve">
Image name: netact_rhel_base</t>
        </r>
      </text>
    </comment>
    <comment ref="AR19" authorId="3" shapeId="0" xr:uid="{2BFDBCEA-7D0B-48CB-BA54-317EA73C8893}">
      <text>
        <r>
          <rPr>
            <b/>
            <sz val="9"/>
            <color indexed="81"/>
            <rFont val="Tahoma"/>
            <family val="2"/>
          </rPr>
          <t xml:space="preserve"> Alok :name
</t>
        </r>
        <r>
          <rPr>
            <sz val="9"/>
            <color indexed="81"/>
            <rFont val="Tahoma"/>
            <family val="2"/>
          </rPr>
          <t>vgadm</t>
        </r>
      </text>
    </comment>
    <comment ref="L20" authorId="1" shapeId="0" xr:uid="{3634BE81-8BC5-482C-9402-7185CD9D9933}">
      <text>
        <r>
          <rPr>
            <b/>
            <sz val="9"/>
            <color indexed="81"/>
            <rFont val="Tahoma"/>
            <family val="2"/>
          </rPr>
          <t>jarmylly:</t>
        </r>
        <r>
          <rPr>
            <sz val="9"/>
            <color indexed="81"/>
            <rFont val="Tahoma"/>
            <family val="2"/>
          </rPr>
          <t xml:space="preserve">
Image name: netact_rhel_base</t>
        </r>
      </text>
    </comment>
    <comment ref="L21" authorId="1" shapeId="0" xr:uid="{7E1D2F49-E99E-4798-8546-D74E71A6D43D}">
      <text>
        <r>
          <rPr>
            <b/>
            <sz val="9"/>
            <color indexed="81"/>
            <rFont val="Tahoma"/>
            <family val="2"/>
          </rPr>
          <t>jarmylly:</t>
        </r>
        <r>
          <rPr>
            <sz val="9"/>
            <color indexed="81"/>
            <rFont val="Tahoma"/>
            <family val="2"/>
          </rPr>
          <t xml:space="preserve">
Image name: netact_rhel_base</t>
        </r>
      </text>
    </comment>
    <comment ref="L22" authorId="1" shapeId="0" xr:uid="{5728125D-D2B3-4BDA-ACFF-5E36E2A36D74}">
      <text>
        <r>
          <rPr>
            <b/>
            <sz val="9"/>
            <color indexed="81"/>
            <rFont val="Tahoma"/>
            <family val="2"/>
          </rPr>
          <t>jarmylly:</t>
        </r>
        <r>
          <rPr>
            <sz val="9"/>
            <color indexed="81"/>
            <rFont val="Tahoma"/>
            <family val="2"/>
          </rPr>
          <t xml:space="preserve">
Image name: netact_rhel_base</t>
        </r>
      </text>
    </comment>
    <comment ref="L23" authorId="1" shapeId="0" xr:uid="{548F5A4D-B0A1-490A-BA8E-16166D1AD1F7}">
      <text>
        <r>
          <rPr>
            <b/>
            <sz val="9"/>
            <color indexed="81"/>
            <rFont val="Tahoma"/>
            <family val="2"/>
          </rPr>
          <t>jarmylly:</t>
        </r>
        <r>
          <rPr>
            <sz val="9"/>
            <color indexed="81"/>
            <rFont val="Tahoma"/>
            <family val="2"/>
          </rPr>
          <t xml:space="preserve">
Image name: netact_rhel_base</t>
        </r>
      </text>
    </comment>
    <comment ref="AV23" authorId="2" shapeId="0" xr:uid="{3FF31D3B-3453-4730-8ADA-C92027AC83BF}">
      <text>
        <r>
          <rPr>
            <b/>
            <sz val="9"/>
            <color indexed="81"/>
            <rFont val="Tahoma"/>
            <family val="2"/>
          </rPr>
          <t>Thippeswamy, Suresh (Nokia - IN/Bangalore):</t>
        </r>
        <r>
          <rPr>
            <sz val="9"/>
            <color indexed="81"/>
            <rFont val="Tahoma"/>
            <family val="2"/>
          </rPr>
          <t xml:space="preserve">
Image name: vgisdk</t>
        </r>
      </text>
    </comment>
    <comment ref="BE23" authorId="2" shapeId="0" xr:uid="{6099782A-3ECA-4BC8-ABB5-49D661B62138}">
      <text>
        <r>
          <rPr>
            <b/>
            <sz val="9"/>
            <color indexed="81"/>
            <rFont val="Tahoma"/>
            <family val="2"/>
          </rPr>
          <t>Thippeswamy, Suresh (Nokia - IN/Bangalore):</t>
        </r>
        <r>
          <rPr>
            <sz val="9"/>
            <color indexed="81"/>
            <rFont val="Tahoma"/>
            <family val="2"/>
          </rPr>
          <t xml:space="preserve">
CRSR-227: Changed to 3 from 2</t>
        </r>
      </text>
    </comment>
    <comment ref="L24" authorId="1" shapeId="0" xr:uid="{84D75BAA-91E6-44FD-8949-DC88140E0C94}">
      <text>
        <r>
          <rPr>
            <b/>
            <sz val="9"/>
            <color indexed="81"/>
            <rFont val="Tahoma"/>
            <family val="2"/>
          </rPr>
          <t>jarmylly:</t>
        </r>
        <r>
          <rPr>
            <sz val="9"/>
            <color indexed="81"/>
            <rFont val="Tahoma"/>
            <family val="2"/>
          </rPr>
          <t xml:space="preserve">
Image name: netact_rhel_base</t>
        </r>
      </text>
    </comment>
    <comment ref="AV24" authorId="2" shapeId="0" xr:uid="{A7A692EE-FFD3-4726-81F5-0DDBE2C7F132}">
      <text>
        <r>
          <rPr>
            <b/>
            <sz val="9"/>
            <color indexed="81"/>
            <rFont val="Tahoma"/>
            <family val="2"/>
          </rPr>
          <t>Thippeswamy, Suresh (Nokia - IN/Bangalore):</t>
        </r>
        <r>
          <rPr>
            <sz val="9"/>
            <color indexed="81"/>
            <rFont val="Tahoma"/>
            <family val="2"/>
          </rPr>
          <t xml:space="preserve">
Image name: vgisdk</t>
        </r>
      </text>
    </comment>
    <comment ref="BE24" authorId="2" shapeId="0" xr:uid="{38F9150A-1E84-46A3-8846-4531AFCE2CDA}">
      <text>
        <r>
          <rPr>
            <b/>
            <sz val="9"/>
            <color indexed="81"/>
            <rFont val="Tahoma"/>
            <family val="2"/>
          </rPr>
          <t>Thippeswamy, Suresh (Nokia - IN/Bangalore):</t>
        </r>
        <r>
          <rPr>
            <sz val="9"/>
            <color indexed="81"/>
            <rFont val="Tahoma"/>
            <family val="2"/>
          </rPr>
          <t xml:space="preserve">
CRSR-227: Changed to 3 from 2</t>
        </r>
      </text>
    </comment>
    <comment ref="L25" authorId="1" shapeId="0" xr:uid="{23019A8C-AD7F-4C33-A936-DE59E8AEE8BB}">
      <text>
        <r>
          <rPr>
            <b/>
            <sz val="9"/>
            <color indexed="81"/>
            <rFont val="Tahoma"/>
            <family val="2"/>
          </rPr>
          <t>jarmylly:</t>
        </r>
        <r>
          <rPr>
            <sz val="9"/>
            <color indexed="81"/>
            <rFont val="Tahoma"/>
            <family val="2"/>
          </rPr>
          <t xml:space="preserve">
Image name: netact_rhel_base</t>
        </r>
      </text>
    </comment>
    <comment ref="L26" authorId="1" shapeId="0" xr:uid="{9AEBA34D-902D-413D-8714-EDA737320576}">
      <text>
        <r>
          <rPr>
            <b/>
            <sz val="9"/>
            <color indexed="81"/>
            <rFont val="Tahoma"/>
            <family val="2"/>
          </rPr>
          <t>jarmylly:</t>
        </r>
        <r>
          <rPr>
            <sz val="9"/>
            <color indexed="81"/>
            <rFont val="Tahoma"/>
            <family val="2"/>
          </rPr>
          <t xml:space="preserve">
Image name: netact_rhel_base</t>
        </r>
      </text>
    </comment>
    <comment ref="L27" authorId="1" shapeId="0" xr:uid="{031C292E-20B9-4E31-B912-8876665BA40B}">
      <text>
        <r>
          <rPr>
            <b/>
            <sz val="9"/>
            <color indexed="81"/>
            <rFont val="Tahoma"/>
            <family val="2"/>
          </rPr>
          <t>jarmylly:</t>
        </r>
        <r>
          <rPr>
            <sz val="9"/>
            <color indexed="81"/>
            <rFont val="Tahoma"/>
            <family val="2"/>
          </rPr>
          <t xml:space="preserve">
Image name: netact_rhel_base</t>
        </r>
      </text>
    </comment>
    <comment ref="L28" authorId="1" shapeId="0" xr:uid="{F1544726-542E-4589-AF5C-1D795814A13A}">
      <text>
        <r>
          <rPr>
            <b/>
            <sz val="9"/>
            <color indexed="81"/>
            <rFont val="Tahoma"/>
            <family val="2"/>
          </rPr>
          <t>jarmylly:</t>
        </r>
        <r>
          <rPr>
            <sz val="9"/>
            <color indexed="81"/>
            <rFont val="Tahoma"/>
            <family val="2"/>
          </rPr>
          <t xml:space="preserve">
Image name: netact_rhel_base</t>
        </r>
      </text>
    </comment>
    <comment ref="L29" authorId="1" shapeId="0" xr:uid="{89121E98-2EE9-4D3D-800A-5D0AE94C5DE5}">
      <text>
        <r>
          <rPr>
            <b/>
            <sz val="9"/>
            <color indexed="81"/>
            <rFont val="Tahoma"/>
            <family val="2"/>
          </rPr>
          <t>jarmylly:</t>
        </r>
        <r>
          <rPr>
            <sz val="9"/>
            <color indexed="81"/>
            <rFont val="Tahoma"/>
            <family val="2"/>
          </rPr>
          <t xml:space="preserve">
Image name: netact_rhel_base</t>
        </r>
      </text>
    </comment>
    <comment ref="L30" authorId="1" shapeId="0" xr:uid="{201173C7-9D1E-4C82-B7D9-A522C0DB763C}">
      <text>
        <r>
          <rPr>
            <b/>
            <sz val="9"/>
            <color indexed="81"/>
            <rFont val="Tahoma"/>
            <family val="2"/>
          </rPr>
          <t>jarmylly:</t>
        </r>
        <r>
          <rPr>
            <sz val="9"/>
            <color indexed="81"/>
            <rFont val="Tahoma"/>
            <family val="2"/>
          </rPr>
          <t xml:space="preserve">
Image name: netact_rhel_base</t>
        </r>
      </text>
    </comment>
    <comment ref="L31" authorId="1" shapeId="0" xr:uid="{6980E3A8-1E1C-4438-9FC6-895C26107E9B}">
      <text>
        <r>
          <rPr>
            <b/>
            <sz val="9"/>
            <color indexed="81"/>
            <rFont val="Tahoma"/>
            <family val="2"/>
          </rPr>
          <t>jarmylly:</t>
        </r>
        <r>
          <rPr>
            <sz val="9"/>
            <color indexed="81"/>
            <rFont val="Tahoma"/>
            <family val="2"/>
          </rPr>
          <t xml:space="preserve">
Image name: netact_rhel_base</t>
        </r>
      </text>
    </comment>
    <comment ref="L32" authorId="1" shapeId="0" xr:uid="{14DD0A36-BA51-4C0E-A0EA-34CCC78E3148}">
      <text>
        <r>
          <rPr>
            <b/>
            <sz val="9"/>
            <color indexed="81"/>
            <rFont val="Tahoma"/>
            <family val="2"/>
          </rPr>
          <t>jarmylly:</t>
        </r>
        <r>
          <rPr>
            <sz val="9"/>
            <color indexed="81"/>
            <rFont val="Tahoma"/>
            <family val="2"/>
          </rPr>
          <t xml:space="preserve">
Image name: netact_rhel_base</t>
        </r>
      </text>
    </comment>
    <comment ref="L33" authorId="1" shapeId="0" xr:uid="{DD484479-7341-4D27-81C7-6F3E7D41AE44}">
      <text>
        <r>
          <rPr>
            <b/>
            <sz val="9"/>
            <color indexed="81"/>
            <rFont val="Tahoma"/>
            <family val="2"/>
          </rPr>
          <t>jarmylly:</t>
        </r>
        <r>
          <rPr>
            <sz val="9"/>
            <color indexed="81"/>
            <rFont val="Tahoma"/>
            <family val="2"/>
          </rPr>
          <t xml:space="preserve">
Image name: netact_rhel_base</t>
        </r>
      </text>
    </comment>
    <comment ref="L34" authorId="1" shapeId="0" xr:uid="{435412FA-AAAF-4C01-85E9-6272FF630709}">
      <text>
        <r>
          <rPr>
            <b/>
            <sz val="9"/>
            <color indexed="81"/>
            <rFont val="Tahoma"/>
            <family val="2"/>
          </rPr>
          <t>jarmylly:</t>
        </r>
        <r>
          <rPr>
            <sz val="9"/>
            <color indexed="81"/>
            <rFont val="Tahoma"/>
            <family val="2"/>
          </rPr>
          <t xml:space="preserve">
Image name: netact_rhel_base</t>
        </r>
      </text>
    </comment>
    <comment ref="H35" authorId="1" shapeId="0" xr:uid="{C0F81DC7-9869-4158-8295-53D72EFEA5BA}">
      <text>
        <r>
          <rPr>
            <b/>
            <sz val="9"/>
            <color indexed="81"/>
            <rFont val="Tahoma"/>
            <family val="2"/>
          </rPr>
          <t>jarmylly:</t>
        </r>
        <r>
          <rPr>
            <sz val="9"/>
            <color indexed="81"/>
            <rFont val="Tahoma"/>
            <family val="2"/>
          </rPr>
          <t xml:space="preserve">
Contains two disks:
- Disk-1: 60GB
- Disk-2: 40GB</t>
        </r>
      </text>
    </comment>
    <comment ref="L35" authorId="1" shapeId="0" xr:uid="{F69AEB7E-C630-4CD7-B22F-BBF57DBE4890}">
      <text>
        <r>
          <rPr>
            <b/>
            <sz val="9"/>
            <color indexed="81"/>
            <rFont val="Tahoma"/>
            <family val="2"/>
          </rPr>
          <t>jarmylly:</t>
        </r>
        <r>
          <rPr>
            <sz val="9"/>
            <color indexed="81"/>
            <rFont val="Tahoma"/>
            <family val="2"/>
          </rPr>
          <t xml:space="preserve">
Image name: 
- NMS_DC_disk1
- NMS_DC_disk2
- cdrom_nms</t>
        </r>
      </text>
    </comment>
    <comment ref="H36" authorId="1" shapeId="0" xr:uid="{AC2D0DD0-0C41-4B9C-AFC3-46AECB2FA540}">
      <text>
        <r>
          <rPr>
            <b/>
            <sz val="9"/>
            <color indexed="81"/>
            <rFont val="Tahoma"/>
            <family val="2"/>
          </rPr>
          <t>jarmylly:</t>
        </r>
        <r>
          <rPr>
            <sz val="9"/>
            <color indexed="81"/>
            <rFont val="Tahoma"/>
            <family val="2"/>
          </rPr>
          <t xml:space="preserve">
Contains two disks:
- Disk-1: 60GB
(NOTE: For servers intended for more than 10 concurrent users the recommended size for disk C is Disk-1 size + RAM size.)
- Disk-2: 40GB</t>
        </r>
      </text>
    </comment>
    <comment ref="L36" authorId="1" shapeId="0" xr:uid="{DD2405B1-73AE-4F36-860B-FBC5D4BFABBC}">
      <text>
        <r>
          <rPr>
            <b/>
            <sz val="9"/>
            <color indexed="81"/>
            <rFont val="Tahoma"/>
            <family val="2"/>
          </rPr>
          <t>jarmylly:</t>
        </r>
        <r>
          <rPr>
            <sz val="9"/>
            <color indexed="81"/>
            <rFont val="Tahoma"/>
            <family val="2"/>
          </rPr>
          <t xml:space="preserve">
Image name:
- NMS_VDA_disk1
- NMS_VDA_disk2</t>
        </r>
      </text>
    </comment>
    <comment ref="H37" authorId="1" shapeId="0" xr:uid="{BDF1A4EC-876F-4BDE-A4A1-78894DFA4FCF}">
      <text>
        <r>
          <rPr>
            <b/>
            <sz val="9"/>
            <color indexed="81"/>
            <rFont val="Tahoma"/>
            <family val="2"/>
          </rPr>
          <t>jarmylly:</t>
        </r>
        <r>
          <rPr>
            <sz val="9"/>
            <color indexed="81"/>
            <rFont val="Tahoma"/>
            <family val="2"/>
          </rPr>
          <t xml:space="preserve">
Contains two disks:
- Disk-1: 80GB
(NOTE: For servers intended for more than 10 concurrent users the recommended size for disk C is Disk-1 size + RAM size.)
- Disk-2: 40GB</t>
        </r>
      </text>
    </comment>
    <comment ref="L37" authorId="1" shapeId="0" xr:uid="{389DDA2C-3F49-467F-B067-2AE19B51E1EC}">
      <text>
        <r>
          <rPr>
            <b/>
            <sz val="9"/>
            <color indexed="81"/>
            <rFont val="Tahoma"/>
            <family val="2"/>
          </rPr>
          <t>jarmylly:</t>
        </r>
        <r>
          <rPr>
            <sz val="9"/>
            <color indexed="81"/>
            <rFont val="Tahoma"/>
            <family val="2"/>
          </rPr>
          <t xml:space="preserve">
Image name:
- NMS_CTXDC_disk1
- NMS_CTXDC_disk2
- cdrom_nms</t>
        </r>
      </text>
    </comment>
    <comment ref="L38" authorId="1" shapeId="0" xr:uid="{C98E35D7-C639-4F26-8453-4D63E6BBC9E1}">
      <text>
        <r>
          <rPr>
            <b/>
            <sz val="9"/>
            <color indexed="81"/>
            <rFont val="Tahoma"/>
            <family val="2"/>
          </rPr>
          <t>jarmylly:</t>
        </r>
        <r>
          <rPr>
            <sz val="9"/>
            <color indexed="81"/>
            <rFont val="Tahoma"/>
            <family val="2"/>
          </rPr>
          <t xml:space="preserve">
Image name: netact_rhel_base</t>
        </r>
      </text>
    </comment>
    <comment ref="AN38" authorId="1" shapeId="0" xr:uid="{B089BA79-532C-48FC-A018-7FCD55B365B0}">
      <text>
        <r>
          <rPr>
            <b/>
            <sz val="9"/>
            <color indexed="81"/>
            <rFont val="Tahoma"/>
            <family val="2"/>
          </rPr>
          <t>jarmylly:</t>
        </r>
        <r>
          <rPr>
            <sz val="9"/>
            <color indexed="81"/>
            <rFont val="Tahoma"/>
            <family val="2"/>
          </rPr>
          <t xml:space="preserve">
Image name: vgrep</t>
        </r>
      </text>
    </comment>
    <comment ref="L39" authorId="1" shapeId="0" xr:uid="{D9A1EAEB-8264-4B3D-87CA-FA421D2414E0}">
      <text>
        <r>
          <rPr>
            <b/>
            <sz val="9"/>
            <color indexed="81"/>
            <rFont val="Tahoma"/>
            <family val="2"/>
          </rPr>
          <t>jarmylly:</t>
        </r>
        <r>
          <rPr>
            <sz val="9"/>
            <color indexed="81"/>
            <rFont val="Tahoma"/>
            <family val="2"/>
          </rPr>
          <t xml:space="preserve">
Image name: netact_rhel_base</t>
        </r>
      </text>
    </comment>
    <comment ref="AN39" authorId="1" shapeId="0" xr:uid="{DE02D73B-4AC6-4B51-BA96-0691A72EC699}">
      <text>
        <r>
          <rPr>
            <b/>
            <sz val="9"/>
            <color indexed="81"/>
            <rFont val="Tahoma"/>
            <family val="2"/>
          </rPr>
          <t>jarmylly:</t>
        </r>
        <r>
          <rPr>
            <sz val="9"/>
            <color indexed="81"/>
            <rFont val="Tahoma"/>
            <family val="2"/>
          </rPr>
          <t xml:space="preserve">
Image name: vgrep</t>
        </r>
      </text>
    </comment>
    <comment ref="L40" authorId="1" shapeId="0" xr:uid="{E4D42A2D-64DB-4233-9C43-887B2EE6AC01}">
      <text>
        <r>
          <rPr>
            <b/>
            <sz val="9"/>
            <color indexed="81"/>
            <rFont val="Tahoma"/>
            <family val="2"/>
          </rPr>
          <t>jarmylly:</t>
        </r>
        <r>
          <rPr>
            <sz val="9"/>
            <color indexed="81"/>
            <rFont val="Tahoma"/>
            <family val="2"/>
          </rPr>
          <t xml:space="preserve">
Image name: netact_rhel_base</t>
        </r>
      </text>
    </comment>
    <comment ref="AN40" authorId="1" shapeId="0" xr:uid="{25010F06-879B-4D04-BC14-A55004E1C3BE}">
      <text>
        <r>
          <rPr>
            <b/>
            <sz val="9"/>
            <color indexed="81"/>
            <rFont val="Tahoma"/>
            <family val="2"/>
          </rPr>
          <t>jarmylly:</t>
        </r>
        <r>
          <rPr>
            <sz val="9"/>
            <color indexed="81"/>
            <rFont val="Tahoma"/>
            <family val="2"/>
          </rPr>
          <t xml:space="preserve">
Image name: vgrep</t>
        </r>
      </text>
    </comment>
    <comment ref="L41" authorId="1" shapeId="0" xr:uid="{01D27856-8DFB-446A-BDF7-362A3C38D675}">
      <text>
        <r>
          <rPr>
            <b/>
            <sz val="9"/>
            <color indexed="81"/>
            <rFont val="Tahoma"/>
            <family val="2"/>
          </rPr>
          <t>jarmylly:</t>
        </r>
        <r>
          <rPr>
            <sz val="9"/>
            <color indexed="81"/>
            <rFont val="Tahoma"/>
            <family val="2"/>
          </rPr>
          <t xml:space="preserve">
Image name: netact_rhel_base</t>
        </r>
      </text>
    </comment>
    <comment ref="AN41" authorId="1" shapeId="0" xr:uid="{A1BA088C-3847-4BF4-A42D-11EB7B87BBAF}">
      <text>
        <r>
          <rPr>
            <b/>
            <sz val="9"/>
            <color indexed="81"/>
            <rFont val="Tahoma"/>
            <family val="2"/>
          </rPr>
          <t>jarmylly:</t>
        </r>
        <r>
          <rPr>
            <sz val="9"/>
            <color indexed="81"/>
            <rFont val="Tahoma"/>
            <family val="2"/>
          </rPr>
          <t xml:space="preserve">
Image name: vgrep</t>
        </r>
      </text>
    </comment>
    <comment ref="L42" authorId="1" shapeId="0" xr:uid="{D9CA5AAB-3E3A-4BCA-ADEB-E404D4127553}">
      <text>
        <r>
          <rPr>
            <b/>
            <sz val="9"/>
            <color indexed="81"/>
            <rFont val="Tahoma"/>
            <family val="2"/>
          </rPr>
          <t>jarmylly:</t>
        </r>
        <r>
          <rPr>
            <sz val="9"/>
            <color indexed="81"/>
            <rFont val="Tahoma"/>
            <family val="2"/>
          </rPr>
          <t xml:space="preserve">
Image name: netact_rhel_base</t>
        </r>
      </text>
    </comment>
    <comment ref="L43" authorId="1" shapeId="0" xr:uid="{4A1920AB-13FB-4D26-A7C1-3FBBE96ACEEB}">
      <text>
        <r>
          <rPr>
            <b/>
            <sz val="9"/>
            <color indexed="81"/>
            <rFont val="Tahoma"/>
            <family val="2"/>
          </rPr>
          <t>jarmylly:</t>
        </r>
        <r>
          <rPr>
            <sz val="9"/>
            <color indexed="81"/>
            <rFont val="Tahoma"/>
            <family val="2"/>
          </rPr>
          <t xml:space="preserve">
Image name: netact_rhel_base</t>
        </r>
      </text>
    </comment>
    <comment ref="L44" authorId="1" shapeId="0" xr:uid="{BB6792BD-DA45-44FC-B84B-EDD7BD6D7142}">
      <text>
        <r>
          <rPr>
            <b/>
            <sz val="9"/>
            <color indexed="81"/>
            <rFont val="Tahoma"/>
            <family val="2"/>
          </rPr>
          <t>jarmylly:</t>
        </r>
        <r>
          <rPr>
            <sz val="9"/>
            <color indexed="81"/>
            <rFont val="Tahoma"/>
            <family val="2"/>
          </rPr>
          <t xml:space="preserve">
Image name: netact_rhel_base</t>
        </r>
      </text>
    </comment>
    <comment ref="AZ44" authorId="0" shapeId="0" xr:uid="{0CBB1E95-3E10-427F-A544-212D3B56A553}">
      <text>
        <r>
          <rPr>
            <b/>
            <sz val="9"/>
            <color indexed="81"/>
            <rFont val="Tahoma"/>
            <charset val="1"/>
          </rPr>
          <t>Avuthu, Charan (EXT - IN/Bangalore):</t>
        </r>
        <r>
          <rPr>
            <sz val="9"/>
            <color indexed="81"/>
            <rFont val="Tahoma"/>
            <charset val="1"/>
          </rPr>
          <t xml:space="preserve">
Image Name:vgccr</t>
        </r>
      </text>
    </comment>
    <comment ref="BM45" authorId="1" shapeId="0" xr:uid="{1AD88C89-7CFE-497B-9FDA-DDC9500CE500}">
      <text>
        <r>
          <rPr>
            <b/>
            <sz val="9"/>
            <color indexed="81"/>
            <rFont val="Tahoma"/>
            <family val="2"/>
          </rPr>
          <t>jarmylly:</t>
        </r>
        <r>
          <rPr>
            <sz val="9"/>
            <color indexed="81"/>
            <rFont val="Tahoma"/>
            <family val="2"/>
          </rPr>
          <t xml:space="preserve">
IPv4: 3
IPv4/IPv6: 5</t>
        </r>
      </text>
    </comment>
    <comment ref="L48" authorId="1" shapeId="0" xr:uid="{0DBCEB11-322F-4CB2-B4B4-ACB6D94F2F20}">
      <text>
        <r>
          <rPr>
            <b/>
            <sz val="9"/>
            <color indexed="81"/>
            <rFont val="Tahoma"/>
            <family val="2"/>
          </rPr>
          <t>jarmylly:</t>
        </r>
        <r>
          <rPr>
            <sz val="9"/>
            <color indexed="81"/>
            <rFont val="Tahoma"/>
            <family val="2"/>
          </rPr>
          <t xml:space="preserve">
Image name: netact_rhel_base</t>
        </r>
      </text>
    </comment>
    <comment ref="Y48" authorId="0" shapeId="0" xr:uid="{1269D238-F26C-480D-9D57-61FB1CE1A460}">
      <text>
        <r>
          <rPr>
            <b/>
            <sz val="9"/>
            <color indexed="81"/>
            <rFont val="Tahoma"/>
            <charset val="1"/>
          </rPr>
          <t>Avuthu, Charan (EXT - IN/Bangalore):</t>
        </r>
        <r>
          <rPr>
            <sz val="9"/>
            <color indexed="81"/>
            <rFont val="Tahoma"/>
            <charset val="1"/>
          </rPr>
          <t xml:space="preserve">
Increase for NFSGlobal disk on VM#5 by 120GB
- 2 Disks for Global  (For LCM as optional service on Compute1): each disk size 647168 MB for striping</t>
        </r>
      </text>
    </comment>
    <comment ref="AB48" authorId="1" shapeId="0" xr:uid="{7C8EF19F-4E23-4F72-9D57-BA3A76093357}">
      <text>
        <r>
          <rPr>
            <b/>
            <sz val="9"/>
            <color indexed="81"/>
            <rFont val="Tahoma"/>
            <family val="2"/>
          </rPr>
          <t>jarmylly:</t>
        </r>
        <r>
          <rPr>
            <sz val="9"/>
            <color indexed="81"/>
            <rFont val="Tahoma"/>
            <family val="2"/>
          </rPr>
          <t xml:space="preserve">
Image names:
- vgglobal
- vghome</t>
        </r>
      </text>
    </comment>
    <comment ref="AG48" authorId="0" shapeId="0" xr:uid="{FE1304D7-4A0C-4885-B9BC-ED3994AB80F0}">
      <text>
        <r>
          <rPr>
            <b/>
            <sz val="9"/>
            <color indexed="81"/>
            <rFont val="Tahoma"/>
            <charset val="1"/>
          </rPr>
          <t>Avuthu, Charan (EXT - IN/Bangalore):</t>
        </r>
        <r>
          <rPr>
            <sz val="9"/>
            <color indexed="81"/>
            <rFont val="Tahoma"/>
            <charset val="1"/>
          </rPr>
          <t xml:space="preserve">
Increase for NFSBackup disk on VM#5 by 120GB</t>
        </r>
      </text>
    </comment>
    <comment ref="BM49" authorId="1" shapeId="0" xr:uid="{63F00A01-A707-45B3-92E3-8129D5F7046C}">
      <text>
        <r>
          <rPr>
            <b/>
            <sz val="9"/>
            <color indexed="81"/>
            <rFont val="Tahoma"/>
            <family val="2"/>
          </rPr>
          <t>jarmylly:</t>
        </r>
        <r>
          <rPr>
            <sz val="9"/>
            <color indexed="81"/>
            <rFont val="Tahoma"/>
            <family val="2"/>
          </rPr>
          <t xml:space="preserve">
IPv4: 3
IPv4/IPv6: 5</t>
        </r>
      </text>
    </comment>
    <comment ref="L53" authorId="1" shapeId="0" xr:uid="{5B441293-FBB9-4A1A-88BC-FB412A9F1AF9}">
      <text>
        <r>
          <rPr>
            <b/>
            <sz val="9"/>
            <color indexed="81"/>
            <rFont val="Tahoma"/>
            <family val="2"/>
          </rPr>
          <t>jarmylly:</t>
        </r>
        <r>
          <rPr>
            <sz val="9"/>
            <color indexed="81"/>
            <rFont val="Tahoma"/>
            <family val="2"/>
          </rPr>
          <t xml:space="preserve">
Image name: netact_rhel_base</t>
        </r>
      </text>
    </comment>
    <comment ref="H54" authorId="1" shapeId="0" xr:uid="{68CAFB4F-2C6A-47FF-AD51-F6362F0BF8B9}">
      <text>
        <r>
          <rPr>
            <b/>
            <sz val="9"/>
            <color indexed="81"/>
            <rFont val="Tahoma"/>
            <family val="2"/>
          </rPr>
          <t>jarmylly:</t>
        </r>
        <r>
          <rPr>
            <sz val="9"/>
            <color indexed="81"/>
            <rFont val="Tahoma"/>
            <family val="2"/>
          </rPr>
          <t xml:space="preserve">
Contains two disks:
- Disk-1: 60GB
- Disk-2: 40GB</t>
        </r>
      </text>
    </comment>
    <comment ref="L54" authorId="1" shapeId="0" xr:uid="{A984ABD5-9AC8-4339-BD5F-2F68A8F0DD5A}">
      <text>
        <r>
          <rPr>
            <b/>
            <sz val="9"/>
            <color indexed="81"/>
            <rFont val="Tahoma"/>
            <family val="2"/>
          </rPr>
          <t>jarmylly:</t>
        </r>
        <r>
          <rPr>
            <sz val="9"/>
            <color indexed="81"/>
            <rFont val="Tahoma"/>
            <family val="2"/>
          </rPr>
          <t xml:space="preserve">
Image name:
- NMS_CTXDC_disk1
- NMS_CTXDC_disk2
- cdrom_nms</t>
        </r>
      </text>
    </comment>
    <comment ref="H55" authorId="1" shapeId="0" xr:uid="{5470AF05-F96A-426F-BB8C-30429A125E26}">
      <text>
        <r>
          <rPr>
            <b/>
            <sz val="9"/>
            <color indexed="81"/>
            <rFont val="Tahoma"/>
            <family val="2"/>
          </rPr>
          <t>jarmylly:</t>
        </r>
        <r>
          <rPr>
            <sz val="9"/>
            <color indexed="81"/>
            <rFont val="Tahoma"/>
            <family val="2"/>
          </rPr>
          <t xml:space="preserve">
Contains two disks:
- Disk-1: 60GB
(NOTE: For servers intended for more than 10 concurrent users the recommended size for disk C is Disk-1 size + RAM size.)
- Disk-2: 40GB</t>
        </r>
      </text>
    </comment>
    <comment ref="L55" authorId="1" shapeId="0" xr:uid="{800D8638-DAF6-4D8B-A7C7-13F1D2038180}">
      <text>
        <r>
          <rPr>
            <b/>
            <sz val="9"/>
            <color indexed="81"/>
            <rFont val="Tahoma"/>
            <family val="2"/>
          </rPr>
          <t>jarmylly:</t>
        </r>
        <r>
          <rPr>
            <sz val="9"/>
            <color indexed="81"/>
            <rFont val="Tahoma"/>
            <family val="2"/>
          </rPr>
          <t xml:space="preserve">
Image name:
- NMS_VDA_disk1
- NMS_VDA_disk2</t>
        </r>
      </text>
    </comment>
    <comment ref="H56" authorId="1" shapeId="0" xr:uid="{EF9526C9-671D-4E80-82BE-1C89EA29669D}">
      <text>
        <r>
          <rPr>
            <b/>
            <sz val="9"/>
            <color indexed="81"/>
            <rFont val="Tahoma"/>
            <family val="2"/>
          </rPr>
          <t>jarmylly:</t>
        </r>
        <r>
          <rPr>
            <sz val="9"/>
            <color indexed="81"/>
            <rFont val="Tahoma"/>
            <family val="2"/>
          </rPr>
          <t xml:space="preserve">
Contains two disks:
- Disk-1: 60GB
(NOTE: For servers intended for more than 10 concurrent users the recommended size for disk C is Disk-1 size + RAM size.)
- Disk-2: 40GB</t>
        </r>
      </text>
    </comment>
    <comment ref="L56" authorId="1" shapeId="0" xr:uid="{8377041D-396A-4933-974B-EE760F2CAAD4}">
      <text>
        <r>
          <rPr>
            <b/>
            <sz val="9"/>
            <color indexed="81"/>
            <rFont val="Tahoma"/>
            <family val="2"/>
          </rPr>
          <t>jarmylly:</t>
        </r>
        <r>
          <rPr>
            <sz val="9"/>
            <color indexed="81"/>
            <rFont val="Tahoma"/>
            <family val="2"/>
          </rPr>
          <t xml:space="preserve">
Image name:
- NMS_VDA_disk1
- NMS_VDA_disk2</t>
        </r>
      </text>
    </comment>
    <comment ref="H57" authorId="1" shapeId="0" xr:uid="{66654435-98E8-40CF-A25E-60F35758B46B}">
      <text>
        <r>
          <rPr>
            <b/>
            <sz val="9"/>
            <color indexed="81"/>
            <rFont val="Tahoma"/>
            <family val="2"/>
          </rPr>
          <t>jarmylly:</t>
        </r>
        <r>
          <rPr>
            <sz val="9"/>
            <color indexed="81"/>
            <rFont val="Tahoma"/>
            <family val="2"/>
          </rPr>
          <t xml:space="preserve">
Contains two disks:
- Disk-1: 60GB
(NOTE: For servers intended for more than 10 concurrent users the recommended size for disk C is Disk-1 size + RAM size.)
- Disk-2: 40GB</t>
        </r>
      </text>
    </comment>
    <comment ref="L57" authorId="1" shapeId="0" xr:uid="{D155F95A-C527-4F39-A311-78497C28D5B4}">
      <text>
        <r>
          <rPr>
            <b/>
            <sz val="9"/>
            <color indexed="81"/>
            <rFont val="Tahoma"/>
            <family val="2"/>
          </rPr>
          <t>jarmylly:</t>
        </r>
        <r>
          <rPr>
            <sz val="9"/>
            <color indexed="81"/>
            <rFont val="Tahoma"/>
            <family val="2"/>
          </rPr>
          <t xml:space="preserve">
Image name:
- NMS_VDA_disk1
- NMS_VDA_disk2</t>
        </r>
      </text>
    </comment>
    <comment ref="H58" authorId="1" shapeId="0" xr:uid="{4855F499-296F-4649-A2F3-A043F0F67998}">
      <text>
        <r>
          <rPr>
            <b/>
            <sz val="9"/>
            <color indexed="81"/>
            <rFont val="Tahoma"/>
            <family val="2"/>
          </rPr>
          <t>jarmylly:</t>
        </r>
        <r>
          <rPr>
            <sz val="9"/>
            <color indexed="81"/>
            <rFont val="Tahoma"/>
            <family val="2"/>
          </rPr>
          <t xml:space="preserve">
Contains two disks:
- Disk-1: 60GB
(NOTE: For servers intended for more than 10 concurrent users the recommended size for disk C is Disk-1 size + RAM size.)
- Disk-2: 40GB</t>
        </r>
      </text>
    </comment>
    <comment ref="L58" authorId="1" shapeId="0" xr:uid="{B244D31A-2843-4727-855E-28E2C55C12F0}">
      <text>
        <r>
          <rPr>
            <b/>
            <sz val="9"/>
            <color indexed="81"/>
            <rFont val="Tahoma"/>
            <family val="2"/>
          </rPr>
          <t>jarmylly:</t>
        </r>
        <r>
          <rPr>
            <sz val="9"/>
            <color indexed="81"/>
            <rFont val="Tahoma"/>
            <family val="2"/>
          </rPr>
          <t xml:space="preserve">
Image name:
- NMS_VDA_disk1
- NMS_VDA_disk2</t>
        </r>
      </text>
    </comment>
    <comment ref="H59" authorId="1" shapeId="0" xr:uid="{C6D63155-06FC-4985-9CB6-8D90DF77A66D}">
      <text>
        <r>
          <rPr>
            <b/>
            <sz val="9"/>
            <color indexed="81"/>
            <rFont val="Tahoma"/>
            <family val="2"/>
          </rPr>
          <t>jarmylly:</t>
        </r>
        <r>
          <rPr>
            <sz val="9"/>
            <color indexed="81"/>
            <rFont val="Tahoma"/>
            <family val="2"/>
          </rPr>
          <t xml:space="preserve">
Contains two disks:
- Disk-1: 60GB
(NOTE: For servers intended for more than 10 concurrent users the recommended size for disk C is Disk-1 size + RAM size.)
- Disk-2: 40GB</t>
        </r>
      </text>
    </comment>
    <comment ref="L59" authorId="1" shapeId="0" xr:uid="{D8CE390C-4FBB-43ED-ABE5-BAF3D17FBBC8}">
      <text>
        <r>
          <rPr>
            <b/>
            <sz val="9"/>
            <color indexed="81"/>
            <rFont val="Tahoma"/>
            <family val="2"/>
          </rPr>
          <t>jarmylly:</t>
        </r>
        <r>
          <rPr>
            <sz val="9"/>
            <color indexed="81"/>
            <rFont val="Tahoma"/>
            <family val="2"/>
          </rPr>
          <t xml:space="preserve">
Image name:
- NMS_VDA_disk1
- NMS_VDA_disk2</t>
        </r>
      </text>
    </comment>
    <comment ref="H60" authorId="1" shapeId="0" xr:uid="{EF94CE5C-BDCF-4189-AC43-3403EE616293}">
      <text>
        <r>
          <rPr>
            <b/>
            <sz val="9"/>
            <color indexed="81"/>
            <rFont val="Tahoma"/>
            <family val="2"/>
          </rPr>
          <t>jarmylly:</t>
        </r>
        <r>
          <rPr>
            <sz val="9"/>
            <color indexed="81"/>
            <rFont val="Tahoma"/>
            <family val="2"/>
          </rPr>
          <t xml:space="preserve">
Contains two disks:
- Disk-1: 60GB
(NOTE: For servers intended for more than 10 concurrent users the recommended size for disk C is Disk-1 size + RAM size.)
- Disk-2: 40GB</t>
        </r>
      </text>
    </comment>
    <comment ref="L60" authorId="1" shapeId="0" xr:uid="{730DC71E-279D-408F-AEF9-2A0A09D6BBFE}">
      <text>
        <r>
          <rPr>
            <b/>
            <sz val="9"/>
            <color indexed="81"/>
            <rFont val="Tahoma"/>
            <family val="2"/>
          </rPr>
          <t>jarmylly:</t>
        </r>
        <r>
          <rPr>
            <sz val="9"/>
            <color indexed="81"/>
            <rFont val="Tahoma"/>
            <family val="2"/>
          </rPr>
          <t xml:space="preserve">
Image name:
- NMS_VDA_disk1
- NMS_VDA_disk2</t>
        </r>
      </text>
    </comment>
    <comment ref="H61" authorId="1" shapeId="0" xr:uid="{E42242E3-6CA8-41FB-9E8A-704C54C0C6F3}">
      <text>
        <r>
          <rPr>
            <b/>
            <sz val="9"/>
            <color indexed="81"/>
            <rFont val="Tahoma"/>
            <family val="2"/>
          </rPr>
          <t>jarmylly:</t>
        </r>
        <r>
          <rPr>
            <sz val="9"/>
            <color indexed="81"/>
            <rFont val="Tahoma"/>
            <family val="2"/>
          </rPr>
          <t xml:space="preserve">
Contains two disks:
- Disk-1: 60GB
(NOTE: For servers intended for more than 10 concurrent users the recommended size for disk C is Disk-1 size + RAM size.)
- Disk-2: 40GB</t>
        </r>
      </text>
    </comment>
    <comment ref="L61" authorId="1" shapeId="0" xr:uid="{8056EA56-FE50-4D73-B445-7A0F7A1A8F39}">
      <text>
        <r>
          <rPr>
            <b/>
            <sz val="9"/>
            <color indexed="81"/>
            <rFont val="Tahoma"/>
            <family val="2"/>
          </rPr>
          <t>jarmylly:</t>
        </r>
        <r>
          <rPr>
            <sz val="9"/>
            <color indexed="81"/>
            <rFont val="Tahoma"/>
            <family val="2"/>
          </rPr>
          <t xml:space="preserve">
Image name:
- NMS_VDA_disk1
- NMS_VDA_disk2</t>
        </r>
      </text>
    </comment>
    <comment ref="H62" authorId="1" shapeId="0" xr:uid="{A8FBD50E-3EA4-459F-A444-76FEC2CDCD4C}">
      <text>
        <r>
          <rPr>
            <b/>
            <sz val="9"/>
            <color indexed="81"/>
            <rFont val="Tahoma"/>
            <family val="2"/>
          </rPr>
          <t>jarmylly:</t>
        </r>
        <r>
          <rPr>
            <sz val="9"/>
            <color indexed="81"/>
            <rFont val="Tahoma"/>
            <family val="2"/>
          </rPr>
          <t xml:space="preserve">
Contains two disks:
- Disk-1: 80GB
(NOTE: For servers intended for more than 10 concurrent users the recommended size for disk C is Disk-1 size + RAM size.)
- Disk-2: 40GB</t>
        </r>
      </text>
    </comment>
    <comment ref="L62" authorId="1" shapeId="0" xr:uid="{7FFBB37C-B522-4396-9132-7546972B2106}">
      <text>
        <r>
          <rPr>
            <b/>
            <sz val="9"/>
            <color indexed="81"/>
            <rFont val="Tahoma"/>
            <family val="2"/>
          </rPr>
          <t>jarmylly:</t>
        </r>
        <r>
          <rPr>
            <sz val="9"/>
            <color indexed="81"/>
            <rFont val="Tahoma"/>
            <family val="2"/>
          </rPr>
          <t xml:space="preserve">
Image name:
- NMS_CTXDC_disk1
- NMS_CTXDC_disk2
- cdrom_nms</t>
        </r>
      </text>
    </comment>
    <comment ref="H63" authorId="1" shapeId="0" xr:uid="{CA621FB6-0618-4659-82B7-709D3989A97C}">
      <text>
        <r>
          <rPr>
            <b/>
            <sz val="9"/>
            <color indexed="81"/>
            <rFont val="Tahoma"/>
            <family val="2"/>
          </rPr>
          <t>jarmylly:</t>
        </r>
        <r>
          <rPr>
            <sz val="9"/>
            <color indexed="81"/>
            <rFont val="Tahoma"/>
            <family val="2"/>
          </rPr>
          <t xml:space="preserve">
Contains two disks:
- Disk-1: 60GB
(NOTE: For servers intended for more than 10 concurrent users the recommended size for disk C is Disk-1 size + RAM size.)
- Disk-2: 40GB</t>
        </r>
      </text>
    </comment>
    <comment ref="L63" authorId="1" shapeId="0" xr:uid="{FB7F82EF-716C-46D2-A0B9-1150C7C5990B}">
      <text>
        <r>
          <rPr>
            <b/>
            <sz val="9"/>
            <color indexed="81"/>
            <rFont val="Tahoma"/>
            <family val="2"/>
          </rPr>
          <t>jarmylly:</t>
        </r>
        <r>
          <rPr>
            <sz val="9"/>
            <color indexed="81"/>
            <rFont val="Tahoma"/>
            <family val="2"/>
          </rPr>
          <t xml:space="preserve">
Image name:
- NMS_VDA_disk1
- NMS_VDA_disk2</t>
        </r>
      </text>
    </comment>
    <comment ref="L64" authorId="1" shapeId="0" xr:uid="{857E914B-49FC-4FD2-86F3-35B171717DA4}">
      <text>
        <r>
          <rPr>
            <b/>
            <sz val="9"/>
            <color indexed="81"/>
            <rFont val="Tahoma"/>
            <family val="2"/>
          </rPr>
          <t>jarmylly:</t>
        </r>
        <r>
          <rPr>
            <sz val="9"/>
            <color indexed="81"/>
            <rFont val="Tahoma"/>
            <family val="2"/>
          </rPr>
          <t xml:space="preserve">
Image name: netact_rhel_base</t>
        </r>
      </text>
    </comment>
    <comment ref="L65" authorId="1" shapeId="0" xr:uid="{D2A89EB9-5D3D-4B6D-ABC5-FEB5B864DF11}">
      <text>
        <r>
          <rPr>
            <b/>
            <sz val="9"/>
            <color indexed="81"/>
            <rFont val="Tahoma"/>
            <family val="2"/>
          </rPr>
          <t>jarmylly:</t>
        </r>
        <r>
          <rPr>
            <sz val="9"/>
            <color indexed="81"/>
            <rFont val="Tahoma"/>
            <family val="2"/>
          </rPr>
          <t xml:space="preserve">
Image name: netact_rhel_base</t>
        </r>
      </text>
    </comment>
    <comment ref="L66" authorId="1" shapeId="0" xr:uid="{B1353E30-7143-4670-9B70-EB9FF5E35035}">
      <text>
        <r>
          <rPr>
            <b/>
            <sz val="9"/>
            <color indexed="81"/>
            <rFont val="Tahoma"/>
            <family val="2"/>
          </rPr>
          <t>jarmylly:</t>
        </r>
        <r>
          <rPr>
            <sz val="9"/>
            <color indexed="81"/>
            <rFont val="Tahoma"/>
            <family val="2"/>
          </rPr>
          <t xml:space="preserve">
Image name: netact_rhel_base</t>
        </r>
      </text>
    </comment>
    <comment ref="L67" authorId="1" shapeId="0" xr:uid="{CE12A727-3893-4256-8575-8230B65F15AA}">
      <text>
        <r>
          <rPr>
            <b/>
            <sz val="9"/>
            <color indexed="81"/>
            <rFont val="Tahoma"/>
            <family val="2"/>
          </rPr>
          <t>jarmylly:</t>
        </r>
        <r>
          <rPr>
            <sz val="9"/>
            <color indexed="81"/>
            <rFont val="Tahoma"/>
            <family val="2"/>
          </rPr>
          <t xml:space="preserve">
Image name: netact_rhel_base</t>
        </r>
      </text>
    </comment>
    <comment ref="L68" authorId="1" shapeId="0" xr:uid="{2FE995AF-4DF0-4B8E-A976-99F159357B14}">
      <text>
        <r>
          <rPr>
            <b/>
            <sz val="9"/>
            <color indexed="81"/>
            <rFont val="Tahoma"/>
            <family val="2"/>
          </rPr>
          <t>jarmylly:</t>
        </r>
        <r>
          <rPr>
            <sz val="9"/>
            <color indexed="81"/>
            <rFont val="Tahoma"/>
            <family val="2"/>
          </rPr>
          <t xml:space="preserve">
Image name: netact_rhel_base</t>
        </r>
      </text>
    </comment>
    <comment ref="L69" authorId="1" shapeId="0" xr:uid="{FEFDD981-A28A-4D9D-BE5F-15392D987605}">
      <text>
        <r>
          <rPr>
            <b/>
            <sz val="9"/>
            <color indexed="81"/>
            <rFont val="Tahoma"/>
            <family val="2"/>
          </rPr>
          <t>jarmylly:</t>
        </r>
        <r>
          <rPr>
            <sz val="9"/>
            <color indexed="81"/>
            <rFont val="Tahoma"/>
            <family val="2"/>
          </rPr>
          <t xml:space="preserve">
Image name: netact_rhel_base</t>
        </r>
      </text>
    </comment>
    <comment ref="L70" authorId="1" shapeId="0" xr:uid="{0A6FF225-C00B-478C-AD03-BBF1FBE5583C}">
      <text>
        <r>
          <rPr>
            <b/>
            <sz val="9"/>
            <color indexed="81"/>
            <rFont val="Tahoma"/>
            <family val="2"/>
          </rPr>
          <t>jarmylly:</t>
        </r>
        <r>
          <rPr>
            <sz val="9"/>
            <color indexed="81"/>
            <rFont val="Tahoma"/>
            <family val="2"/>
          </rPr>
          <t xml:space="preserve">
Image name: netact_rhel_base</t>
        </r>
      </text>
    </comment>
    <comment ref="H71" authorId="1" shapeId="0" xr:uid="{272ED97C-E13A-4B04-AC1B-3115D0127B02}">
      <text>
        <r>
          <rPr>
            <b/>
            <sz val="9"/>
            <color indexed="81"/>
            <rFont val="Tahoma"/>
            <family val="2"/>
          </rPr>
          <t>jarmylly:</t>
        </r>
        <r>
          <rPr>
            <sz val="9"/>
            <color indexed="81"/>
            <rFont val="Tahoma"/>
            <family val="2"/>
          </rPr>
          <t xml:space="preserve">
Contains two disks:
- Disk-1: 30GB
- Disk-2: 80GB</t>
        </r>
      </text>
    </comment>
    <comment ref="L71" authorId="1" shapeId="0" xr:uid="{35104C51-6FA1-4ACE-94FC-A6491D4FCEF7}">
      <text>
        <r>
          <rPr>
            <b/>
            <sz val="9"/>
            <color indexed="81"/>
            <rFont val="Tahoma"/>
            <family val="2"/>
          </rPr>
          <t>jarmylly:</t>
        </r>
        <r>
          <rPr>
            <sz val="9"/>
            <color indexed="81"/>
            <rFont val="Tahoma"/>
            <family val="2"/>
          </rPr>
          <t xml:space="preserve">
Image name: netact_rhel_base</t>
        </r>
      </text>
    </comment>
    <comment ref="H72" authorId="1" shapeId="0" xr:uid="{C05D3616-95EF-4405-9C5F-499FCAEAB9D3}">
      <text>
        <r>
          <rPr>
            <b/>
            <sz val="9"/>
            <color indexed="81"/>
            <rFont val="Tahoma"/>
            <family val="2"/>
          </rPr>
          <t>jarmylly:</t>
        </r>
        <r>
          <rPr>
            <sz val="9"/>
            <color indexed="81"/>
            <rFont val="Tahoma"/>
            <family val="2"/>
          </rPr>
          <t xml:space="preserve">
Contains two disks:
- Disk-1: 30GB
- Disk-2: 80GB</t>
        </r>
      </text>
    </comment>
    <comment ref="L72" authorId="1" shapeId="0" xr:uid="{AD936CAD-2D03-419F-A55E-34AFC297A7A8}">
      <text>
        <r>
          <rPr>
            <b/>
            <sz val="9"/>
            <color indexed="81"/>
            <rFont val="Tahoma"/>
            <family val="2"/>
          </rPr>
          <t>jarmylly:</t>
        </r>
        <r>
          <rPr>
            <sz val="9"/>
            <color indexed="81"/>
            <rFont val="Tahoma"/>
            <family val="2"/>
          </rPr>
          <t xml:space="preserve">
Image name: netact_rhel_base</t>
        </r>
      </text>
    </comment>
    <comment ref="L73" authorId="1" shapeId="0" xr:uid="{BDC3569D-C00F-446C-98C6-54A195C13E13}">
      <text>
        <r>
          <rPr>
            <b/>
            <sz val="9"/>
            <color indexed="81"/>
            <rFont val="Tahoma"/>
            <family val="2"/>
          </rPr>
          <t>jarmylly:</t>
        </r>
        <r>
          <rPr>
            <sz val="9"/>
            <color indexed="81"/>
            <rFont val="Tahoma"/>
            <family val="2"/>
          </rPr>
          <t xml:space="preserve">
Image name: netact_rhel_base</t>
        </r>
      </text>
    </comment>
    <comment ref="L74" authorId="1" shapeId="0" xr:uid="{6ED26566-B379-48F1-BD9A-634F7E990843}">
      <text>
        <r>
          <rPr>
            <b/>
            <sz val="9"/>
            <color indexed="81"/>
            <rFont val="Tahoma"/>
            <family val="2"/>
          </rPr>
          <t>jarmylly:</t>
        </r>
        <r>
          <rPr>
            <sz val="9"/>
            <color indexed="81"/>
            <rFont val="Tahoma"/>
            <family val="2"/>
          </rPr>
          <t xml:space="preserve">
Image name: netact_rhel_base</t>
        </r>
      </text>
    </comment>
    <comment ref="L75" authorId="1" shapeId="0" xr:uid="{D9FE2120-DFC2-429E-9BF9-D026039AD3FB}">
      <text>
        <r>
          <rPr>
            <b/>
            <sz val="9"/>
            <color indexed="81"/>
            <rFont val="Tahoma"/>
            <family val="2"/>
          </rPr>
          <t>jarmylly:</t>
        </r>
        <r>
          <rPr>
            <sz val="9"/>
            <color indexed="81"/>
            <rFont val="Tahoma"/>
            <family val="2"/>
          </rPr>
          <t xml:space="preserve">
Image name: netact_rhel_base</t>
        </r>
      </text>
    </comment>
    <comment ref="L76" authorId="1" shapeId="0" xr:uid="{41F8EB74-FBA8-4245-81AE-B0C3A1AC3F10}">
      <text>
        <r>
          <rPr>
            <b/>
            <sz val="9"/>
            <color indexed="81"/>
            <rFont val="Tahoma"/>
            <family val="2"/>
          </rPr>
          <t>jarmylly:</t>
        </r>
        <r>
          <rPr>
            <sz val="9"/>
            <color indexed="81"/>
            <rFont val="Tahoma"/>
            <family val="2"/>
          </rPr>
          <t xml:space="preserve">
Image name: netact_rhel_base</t>
        </r>
      </text>
    </comment>
    <comment ref="L77" authorId="0" shapeId="0" xr:uid="{A1BB1B5C-63F8-468F-B10B-32FC11D4EF95}">
      <text>
        <r>
          <rPr>
            <b/>
            <sz val="9"/>
            <color indexed="81"/>
            <rFont val="Tahoma"/>
            <charset val="1"/>
          </rPr>
          <t>Avuthu, Charan (EXT - IN/Bangalore):</t>
        </r>
        <r>
          <rPr>
            <sz val="9"/>
            <color indexed="81"/>
            <rFont val="Tahoma"/>
            <charset val="1"/>
          </rPr>
          <t xml:space="preserve">
Image name: netact_rhel_base</t>
        </r>
      </text>
    </comment>
    <comment ref="BM78" authorId="1" shapeId="0" xr:uid="{0D22F239-4EE1-4A69-98B2-7091344668B5}">
      <text>
        <r>
          <rPr>
            <b/>
            <sz val="9"/>
            <color indexed="81"/>
            <rFont val="Tahoma"/>
            <family val="2"/>
          </rPr>
          <t>jarmylly:</t>
        </r>
        <r>
          <rPr>
            <sz val="9"/>
            <color indexed="81"/>
            <rFont val="Tahoma"/>
            <family val="2"/>
          </rPr>
          <t xml:space="preserve">
IPv4: 3
IPv4/IPv6: 5</t>
        </r>
      </text>
    </comment>
    <comment ref="L82" authorId="1" shapeId="0" xr:uid="{E1064CB5-E86E-41D7-B80A-5C4026B1B619}">
      <text>
        <r>
          <rPr>
            <b/>
            <sz val="9"/>
            <color indexed="81"/>
            <rFont val="Tahoma"/>
            <family val="2"/>
          </rPr>
          <t>jarmylly:</t>
        </r>
        <r>
          <rPr>
            <sz val="9"/>
            <color indexed="81"/>
            <rFont val="Tahoma"/>
            <family val="2"/>
          </rPr>
          <t xml:space="preserve">
Image name: netact_rhel_base</t>
        </r>
      </text>
    </comment>
    <comment ref="L83" authorId="1" shapeId="0" xr:uid="{87F842E1-B0B8-4B67-90B1-62B73DDE00E6}">
      <text>
        <r>
          <rPr>
            <b/>
            <sz val="9"/>
            <color indexed="81"/>
            <rFont val="Tahoma"/>
            <family val="2"/>
          </rPr>
          <t>jarmylly:</t>
        </r>
        <r>
          <rPr>
            <sz val="9"/>
            <color indexed="81"/>
            <rFont val="Tahoma"/>
            <family val="2"/>
          </rPr>
          <t xml:space="preserve">
Image name: netact_rhel_base</t>
        </r>
      </text>
    </comment>
    <comment ref="L84" authorId="1" shapeId="0" xr:uid="{F7713630-A5B8-42A8-BE34-23FCA9F9603F}">
      <text>
        <r>
          <rPr>
            <b/>
            <sz val="9"/>
            <color indexed="81"/>
            <rFont val="Tahoma"/>
            <family val="2"/>
          </rPr>
          <t>jarmylly:</t>
        </r>
        <r>
          <rPr>
            <sz val="9"/>
            <color indexed="81"/>
            <rFont val="Tahoma"/>
            <family val="2"/>
          </rPr>
          <t xml:space="preserve">
Image name: netact_rhel_base</t>
        </r>
      </text>
    </comment>
    <comment ref="L85" authorId="1" shapeId="0" xr:uid="{EEB86C87-E0D7-489C-BFA5-46CD81B64938}">
      <text>
        <r>
          <rPr>
            <b/>
            <sz val="9"/>
            <color indexed="81"/>
            <rFont val="Tahoma"/>
            <family val="2"/>
          </rPr>
          <t>jarmylly:</t>
        </r>
        <r>
          <rPr>
            <sz val="9"/>
            <color indexed="81"/>
            <rFont val="Tahoma"/>
            <family val="2"/>
          </rPr>
          <t xml:space="preserve">
Image name: netact_rhel_base</t>
        </r>
      </text>
    </comment>
    <comment ref="L86" authorId="1" shapeId="0" xr:uid="{F813914B-DBBB-4F33-BED9-1BC64378E927}">
      <text>
        <r>
          <rPr>
            <b/>
            <sz val="9"/>
            <color indexed="81"/>
            <rFont val="Tahoma"/>
            <family val="2"/>
          </rPr>
          <t>jarmylly:</t>
        </r>
        <r>
          <rPr>
            <sz val="9"/>
            <color indexed="81"/>
            <rFont val="Tahoma"/>
            <family val="2"/>
          </rPr>
          <t xml:space="preserve">
Image name: netact_rhel_base</t>
        </r>
      </text>
    </comment>
    <comment ref="L87" authorId="1" shapeId="0" xr:uid="{C3EC37F1-F756-4AC1-B974-55B34E124D38}">
      <text>
        <r>
          <rPr>
            <b/>
            <sz val="9"/>
            <color indexed="81"/>
            <rFont val="Tahoma"/>
            <family val="2"/>
          </rPr>
          <t>jarmylly:</t>
        </r>
        <r>
          <rPr>
            <sz val="9"/>
            <color indexed="81"/>
            <rFont val="Tahoma"/>
            <family val="2"/>
          </rPr>
          <t xml:space="preserve">
Image name: netact_rhel_base</t>
        </r>
      </text>
    </comment>
    <comment ref="BM88" authorId="1" shapeId="0" xr:uid="{6E5CF606-8BF2-4E58-8419-6AD96D4CBB0B}">
      <text>
        <r>
          <rPr>
            <b/>
            <sz val="9"/>
            <color indexed="81"/>
            <rFont val="Tahoma"/>
            <family val="2"/>
          </rPr>
          <t>jarmylly:</t>
        </r>
        <r>
          <rPr>
            <sz val="9"/>
            <color indexed="81"/>
            <rFont val="Tahoma"/>
            <family val="2"/>
          </rPr>
          <t xml:space="preserve">
IPv4: 3
IPv4/IPv6: 5</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<sst xmlns="http://schemas.openxmlformats.org/spreadsheetml/2006/main" count="10979" uniqueCount="729">
  <si>
    <t xml:space="preserve">MantaRay NM Node Architecture and Resource Plan </t>
  </si>
  <si>
    <t>Date:</t>
  </si>
  <si>
    <t>Change History:</t>
  </si>
  <si>
    <t>Virtual Machines, Compute1 description updated</t>
  </si>
  <si>
    <t>*CRSR-450: AVE Backup disk increase, *CRSR-424 updates</t>
  </si>
  <si>
    <t>*CRSR-446: Admin server RAM increased Compact/Small/Mainstream to 8GB, Large, XXL and 3XL to 16GB</t>
  </si>
  <si>
    <t>*CRSR-444: Updated note to CTXDC and VDA/AS disks, added to OpenStack XXL and 3XL configurations missing flashback disk, fixing formulas</t>
  </si>
  <si>
    <t>*CRSR-418: Introduction of vCSA8.0 required increase on RAM as per configuration, VMDK size to 600GB and additional 200 GB space in the InfraVMDisk data store for vCenter VM on standard Variant</t>
  </si>
  <si>
    <t>*CRSR-387: New service(workingset-manager) in MantaRay NM on NWI3 VM (VM9) across all configurations and all variants.</t>
  </si>
  <si>
    <t>*CRSR-424: RAM increase on VM3 by 3GB, on VM5 by 4GB,on VM12 by 2GB, and on IHS VMs (85 and 86) by 2GB on L, XXL and 3XL configs for Openstack</t>
  </si>
  <si>
    <t>*CRSR-423: Root Disk size increase for JBI-COMMON_MEDIATION VMs by 10GB on XXL and 3XL configurations to have root FS more than lower configurations across all variants</t>
  </si>
  <si>
    <t>*CRSR-377 &amp; 410: New VMs and resources for Trace Expert on Podman (TEAS) on Baremetal for S, M, L, XXL and 3XL. Removal of TREX VMs with TEAS VMs introduction</t>
  </si>
  <si>
    <t>*CRSR-414: VMDK Size Increase for Compute1 VM as Mandatory VM</t>
  </si>
  <si>
    <t>*CRSR-348: Increase by 1 for CPU and 1GB RAM on LTEA_MED node VM81 across all configurations and addition of optional node VM81 to compact configuration.</t>
  </si>
  <si>
    <t>*CRSR-407: Mandating VM150 with DRE service and added the optional service (LCM, CCR) resource to same VM across all variants and configurations</t>
  </si>
  <si>
    <t>MantaRay NM Node Architecture and Resource Plan</t>
  </si>
  <si>
    <t>Virtual Machine Name</t>
  </si>
  <si>
    <t>Description</t>
  </si>
  <si>
    <t>Optional Virtual Machines</t>
  </si>
  <si>
    <t>Admin Server</t>
  </si>
  <si>
    <t>This virtual machine (VM) hosts the Administration Server (formerly called Virtual Installation Server, ViiS), which is used in MantaRay NM deployment.</t>
  </si>
  <si>
    <t>T&amp;P</t>
  </si>
  <si>
    <t>This VM hosts the Thresholder &amp; Profiler application, which is used to set and manage thresholds for performance indicators.</t>
  </si>
  <si>
    <t>vCSA</t>
  </si>
  <si>
    <t>This VM hosts vCenter Server Appliance, which is used to manage the VMware vSphere virtual infrastructure.</t>
  </si>
  <si>
    <t>Node Mgr</t>
  </si>
  <si>
    <t xml:space="preserve">The Node Manager Server VM is the virtual machine where the Node Managers reside (Microsoft Windows-based applications used for performing configurations and O&amp;M tasks on BTS and transmission elements). </t>
  </si>
  <si>
    <t>LDAP-1, DNS-Master</t>
  </si>
  <si>
    <t>This VM hosts Red Hat Directory Server (LDAP), the MantaRay NM DNS server, and the virtual manager.</t>
  </si>
  <si>
    <t xml:space="preserve">This VM hosts the Telco Elasticity Management application, which works with Cloud Application Manager to enable efficient resource management in a telecommunications network cloud environment. </t>
  </si>
  <si>
    <t>DB</t>
  </si>
  <si>
    <t>This VM hosts the Oracle database.</t>
  </si>
  <si>
    <t>SLC</t>
  </si>
  <si>
    <t>This VM hosts the Security Log Collector, which is used for forwarding security logs from the network managed by MantaRay NM and from MantaRay NM itself to the SIEM (Security Information and Event Management) system through secured syslog protocol.</t>
  </si>
  <si>
    <t>NFS, LDAP-2</t>
  </si>
  <si>
    <t>This VM hosts Network File System and Red Hat Directory Server (LDAP).</t>
  </si>
  <si>
    <t>*SBTS Adapter</t>
  </si>
  <si>
    <t>*27-06-2019 : removed from NA20 onwards 
This VM provides functions as a prerequisite for the plug-and-play  service to integrate virtual SBTS instances before physical ones are ready.</t>
  </si>
  <si>
    <t>LB-1</t>
  </si>
  <si>
    <t>This VM hosts the load balancer.</t>
  </si>
  <si>
    <t>CLS FrontEnd</t>
  </si>
  <si>
    <t>This VM hosts the Web server of Centralized License Server (CLS). CLS provides network-wide licensed capacity pooling.</t>
  </si>
  <si>
    <t>SelfMonitor, vManager</t>
  </si>
  <si>
    <t>This VM hosts the System Self-Monitoring application ,vManager.</t>
  </si>
  <si>
    <t>CLS BackEnd</t>
  </si>
  <si>
    <t>This VM hosts the CLS remote licensing services deployed on JBoss Application Server.</t>
  </si>
  <si>
    <t>JBI-NBI3GC, NBI INVENTORY, NTCApp</t>
  </si>
  <si>
    <t>This VM hosts NBI Mediation Framework and NBI Inventory Mediation. Also in small delivery (from NA18 onwards) it hosts NTCApp functionality, which is meant to provide CBTS On-demand Scaling.</t>
  </si>
  <si>
    <t>CLS DB</t>
  </si>
  <si>
    <t>This VM hosts the CLS database</t>
  </si>
  <si>
    <t>JBI-NWI3, SAU</t>
  </si>
  <si>
    <t>This VM hosts the NWI mediation,PnP Server and SAU. Workingset-Manager</t>
  </si>
  <si>
    <t>NW360</t>
  </si>
  <si>
    <t xml:space="preserve">Network 360 sits on top of the Nokia MantaRay NM™ network management system to provide a single, simplified and integrated view of all the operational data from the mass of network elements. This consolidated "window of the network” enables operations personnel to finally cut through the tangle of information to see the big picture. </t>
  </si>
  <si>
    <t>JBI-Q3</t>
  </si>
  <si>
    <t>This VM hosts the Q3 mediation, FCE (Feature Configuration Engine).</t>
  </si>
  <si>
    <t xml:space="preserve">LTE-A Mediation: </t>
  </si>
  <si>
    <t>SNMP Mediator for LTE-A</t>
  </si>
  <si>
    <t>LB-2, Socks Proxy</t>
  </si>
  <si>
    <t>This VM hosts the load balancer and the SOCKS proxy for user workstations.</t>
  </si>
  <si>
    <t>*27-06-2019 : removed from NA20 onwards 
SBTS Adapter is running on a dedicated virtual machine in MantaRay NM virtual data center which controls the creation and removal of virtual SBTS OAM instances and also works as a transparent proxy to forward operation and maintenance requests from MantaRay NM to virtual SBTS OAM. Multiple virtual SBTS OAM instances can be running on the SBTS Adapter, and one virtual SBTS OAM instance represents one physical SBTS. Virtual SBTS Operation and Maintenance (OAM) provides software and configuration management functionalities for an SBTS that has not yet been integrated physically to the network.</t>
  </si>
  <si>
    <t>JBI-NX2S_XOH, JBI-GENMED, JBI-DA</t>
  </si>
  <si>
    <t>This VM hosts the NX2S and XoH mediation as well as Dynamic Adaptation.</t>
  </si>
  <si>
    <t>BTSMED</t>
  </si>
  <si>
    <t xml:space="preserve">BTS Mediator (a.k.a. BTSMED) is:
• Part of BTS OAM SW
• Loosely coupled and co-located with MantaRay NM
• Own software delivery 
• Virtualized and bare-metal deliveries
• Gets OAM metadata from BTS (minimizes SW changes due to BTS radio features )
• Maps between BTS internal object model and management object model (visible to user)
• Validates parameters
</t>
  </si>
  <si>
    <t>JBI-NBI_NSN</t>
  </si>
  <si>
    <t>This VM hosts SNMP NBI.</t>
  </si>
  <si>
    <t>NetGuard</t>
  </si>
  <si>
    <t>NetGuard Virtual Firewall Virtual Machine Appliance is targeted for the Network Segregation Solution solution (earlier called Closed Network MantaRay NM) as it provides MantaRay NM multi-homing solution.</t>
  </si>
  <si>
    <t>JBI-NBI3GCPM, NTCApp</t>
  </si>
  <si>
    <t>This VM hosts the Mediation Framework for the northbound interface. Also in mainstream, large and XL deliveries (from NA18 onwards) it hosts NTCApp functionality, which is meant to provide CBTS On-demand Scaling.</t>
  </si>
  <si>
    <t>NBIVES</t>
  </si>
  <si>
    <t xml:space="preserve">MantaRay NM API solution for integration with AT&amp;T ECOMP (REST based API with JSON payload), it will be used as temporary solution to forward NVF scaling related events to ECOMP.
</t>
  </si>
  <si>
    <t>JBI-COMMON-MEDIATION, DNS-Slave</t>
  </si>
  <si>
    <t>This VM hosts the Mediation Framework and the MantaRay NM DNS server.</t>
  </si>
  <si>
    <t>NetGuard VFM</t>
  </si>
  <si>
    <t>NetGuard Virtual Firewall Manager is an Optional Virtual Machine for the Network Segregation Solution (earlier called Closed Network MantaRay NM).  NetGuard VFM product is an administrative tool for the centralized management of one or many NetGuard Virtual Firewalls (NG VF) using a Command Line Interface (CLI).</t>
  </si>
  <si>
    <t>JBI-COMMON-MEDIATION</t>
  </si>
  <si>
    <t>This VM hosts the Mediation Framework.</t>
  </si>
  <si>
    <t xml:space="preserve">Conversion Suite </t>
  </si>
  <si>
    <t xml:space="preserve">The Conversion Suite is optional VM developed MN which is needed for the migration to LTE 19B and onwards. </t>
  </si>
  <si>
    <t>FM-PIPE</t>
  </si>
  <si>
    <t>This VM hosts the Generic Event Platform for fault management functionality.</t>
  </si>
  <si>
    <t>PDL Validator Service (PVS)</t>
  </si>
  <si>
    <t>The PVS  is optional VM developed MN which is needed for the BTS O&amp;M Purpose</t>
  </si>
  <si>
    <t>WebSphere AppSrv</t>
  </si>
  <si>
    <t>This VM hosts WebSphere Application Server (WAS) and the WAS applications in MantaRay NM.</t>
  </si>
  <si>
    <t>Network Alarm Pattern Discovery(NAPD)</t>
  </si>
  <si>
    <t>This VM is an optional VM developed for the Network Alarm Pattern Discovery(NAPD) in MantaRay NM.</t>
  </si>
  <si>
    <t>NMS Windows Domain Controller</t>
  </si>
  <si>
    <t>Manages the Windows domain and Active Directory. Amount of virtual machines: 1-2. One virtual machine non-HA configuration, 2 virtual machines HA configuration.</t>
  </si>
  <si>
    <t>TREX Analyzer VMs</t>
  </si>
  <si>
    <t>These VMs are optional and used for Trace Data collection and anlysis.</t>
  </si>
  <si>
    <t>NMS Citrix Delivery Controller</t>
  </si>
  <si>
    <t>Citrix Management. Amount of virtual machines: 1-2. One virtual machine non-HA configuration, 2 virtual machines HA configuration.</t>
  </si>
  <si>
    <t>Graylog</t>
  </si>
  <si>
    <t>Graylog is a SIEM system being deployed as optional extension of MantaRay NM’s SLNBI in VMWare cloud</t>
  </si>
  <si>
    <t>NMS VDA (for Node Manager) / Access server (for Applications)</t>
  </si>
  <si>
    <t>Virtual machine can have two different roles: Virtual Delivery Agent or Access Server. Virtual Delivery Agent, VDA, acts as Element Manager, EM, launch server where EM software is installed to provide EM launch functionality. Access Server, AS, is used as workstation to access MantaRay NM. No EM SW is installed on AS. 
Amount of virtual machines: 1-9.</t>
  </si>
  <si>
    <t>Oracle EMCC</t>
  </si>
  <si>
    <t>PM Backend</t>
  </si>
  <si>
    <t>This VM hosts the Performance Management backend service.</t>
  </si>
  <si>
    <t>TEAS</t>
  </si>
  <si>
    <t>This service is meant to provide L3 trace data collection capability for Trace Expert application - it is mandatory component for Trace Expert.</t>
  </si>
  <si>
    <t>VDP</t>
  </si>
  <si>
    <t>This VM hosts vSphere Data Protection, which is used to take backups of VM root disks and restoring them.</t>
  </si>
  <si>
    <t>IHS</t>
  </si>
  <si>
    <t>This VM hosts IBM HTTP Server and keyclock service</t>
  </si>
  <si>
    <t>Compute1</t>
  </si>
  <si>
    <t>This VM hosts LCMaaS-Engine micro-service needed for CloudRAN in MantaRay NM, as an optional service, needed only for CloudRAN customers. That LCMaaS-Engine is available, written in Go, and it interacts with internal MantaRay NM services (e.g. CM Operations Service, MantaRay NM NFS), as well as with external APIs (Kubernetes API, future - ImageRegistry),
Central Container Registry (CCR) is an Open Container Initiative (OCI) compliant registry which offers storage and content delivery system for OCI artifacts. CCR disk and backup disk are added only when CCR optional service is selected.</t>
  </si>
  <si>
    <t>AVE</t>
  </si>
  <si>
    <t>Avamar Virtual Edition -This VM is used for Backup Solution</t>
  </si>
  <si>
    <t>AVECP</t>
  </si>
  <si>
    <t>Avamar Virtual Edition Combined Proxy -This VM is used for Backup Solution</t>
  </si>
  <si>
    <t>Apukenttiä optionaalisiin laskuihin</t>
  </si>
  <si>
    <t>Column</t>
  </si>
  <si>
    <t>Ends</t>
  </si>
  <si>
    <t>NM info located</t>
  </si>
  <si>
    <t>T&amp;P Volumes</t>
  </si>
  <si>
    <t>Used stack</t>
  </si>
  <si>
    <t>OpenStack</t>
  </si>
  <si>
    <t>Cloud Configurations sheet is meant for Cloud delieveries to help calculating the MantaRay NM resource requirement</t>
  </si>
  <si>
    <t>nimike</t>
  </si>
  <si>
    <t>NMS</t>
  </si>
  <si>
    <t>OpenStack reference Table</t>
  </si>
  <si>
    <t>VMWare Cloud reference Table</t>
  </si>
  <si>
    <t>MantaRay Release</t>
  </si>
  <si>
    <t>Release 24R1-NM</t>
  </si>
  <si>
    <t>Release</t>
  </si>
  <si>
    <t>vCPU</t>
  </si>
  <si>
    <t>Flexible CM Search</t>
  </si>
  <si>
    <t>Vmware</t>
  </si>
  <si>
    <t>SmallDatabaseOpenStack</t>
  </si>
  <si>
    <t>MainstreamDatabaseOpenStack</t>
  </si>
  <si>
    <t>LargeDatabaseOpenStack</t>
  </si>
  <si>
    <t>XXLDatabaseOpenStack</t>
  </si>
  <si>
    <t>XXXLDatabaseOpenstack</t>
  </si>
  <si>
    <t>SmallDatabaseVmware</t>
  </si>
  <si>
    <t>MainstreamDatabaseVmware</t>
  </si>
  <si>
    <t>LargeDatabaseVmware</t>
  </si>
  <si>
    <t>XXLDatabaseVmware</t>
  </si>
  <si>
    <t>XXXLDatabaseVmware</t>
  </si>
  <si>
    <t>Configuration</t>
  </si>
  <si>
    <t>Small</t>
  </si>
  <si>
    <t>Sheet</t>
  </si>
  <si>
    <t>INSTRUCTIONS</t>
  </si>
  <si>
    <t>vRAM</t>
  </si>
  <si>
    <t>Database</t>
  </si>
  <si>
    <t>1) Select 'Used Stack'</t>
  </si>
  <si>
    <t>VMDK</t>
  </si>
  <si>
    <t>SBTS Adapter</t>
  </si>
  <si>
    <t>Mainstream</t>
  </si>
  <si>
    <t>2) Select 'MantaRay NM release'</t>
  </si>
  <si>
    <t>Network360</t>
  </si>
  <si>
    <t>CLS</t>
  </si>
  <si>
    <t>Large</t>
  </si>
  <si>
    <t>3) Select 'Configuration'</t>
  </si>
  <si>
    <t>Mandatory ending</t>
  </si>
  <si>
    <t>CAM</t>
  </si>
  <si>
    <t>XXL</t>
  </si>
  <si>
    <t>SmallDatabase675vCPU</t>
  </si>
  <si>
    <t>MainstreamDatabase1350vCPU</t>
  </si>
  <si>
    <t>LargeDatabase2250vCPU</t>
  </si>
  <si>
    <t>XXLDatabase8100vCPU</t>
  </si>
  <si>
    <t>XXXLDatabase15200vCPU</t>
  </si>
  <si>
    <t>SmallDatabase750vCPU</t>
  </si>
  <si>
    <t>MainstreamDatabase1500vCPU</t>
  </si>
  <si>
    <t>LargeDatabase2500vCPU</t>
  </si>
  <si>
    <t>XXLDatabase9000vCPU</t>
  </si>
  <si>
    <t>XXXLDatabase16400vCPU</t>
  </si>
  <si>
    <t>Redo</t>
  </si>
  <si>
    <t>4) Select 'Database' size</t>
  </si>
  <si>
    <t>Node manager</t>
  </si>
  <si>
    <t>TEM</t>
  </si>
  <si>
    <t>3XL</t>
  </si>
  <si>
    <t>Arc</t>
  </si>
  <si>
    <t>5) Select separately vRAM, Redo, Arc, Backup, Global, ExtRep sizes (MUST BE DONE EVERY TIME when changing 1-4)</t>
  </si>
  <si>
    <t>Number of VMs</t>
  </si>
  <si>
    <t>Used</t>
  </si>
  <si>
    <t>Backup</t>
  </si>
  <si>
    <t>7) Select additional items</t>
  </si>
  <si>
    <t>Not used</t>
  </si>
  <si>
    <t>LTE-A Med</t>
  </si>
  <si>
    <t>SmallDatabase2115vCPU</t>
  </si>
  <si>
    <t>MainstreamDatabase1855.79vCPU</t>
  </si>
  <si>
    <t>LargeDatabase5535vCPU</t>
  </si>
  <si>
    <t>SmallDatabase2350vCPU</t>
  </si>
  <si>
    <t>MainstreamDatabase2062vCPU</t>
  </si>
  <si>
    <t>LargeDatabase6150vCPU</t>
  </si>
  <si>
    <t>Global</t>
  </si>
  <si>
    <t xml:space="preserve">6) Fill the customer HW resources and remove one server (MantaRay NM needs to be able to run in one server fail situation) </t>
  </si>
  <si>
    <t>Volumes</t>
  </si>
  <si>
    <t>ExtRep</t>
  </si>
  <si>
    <t>7) Status field describes whether the infrastructure provides enough resources</t>
  </si>
  <si>
    <t>Customer</t>
  </si>
  <si>
    <t>SmallDatabase675vRAM</t>
  </si>
  <si>
    <t>MainstreamDatabase1350vRAM</t>
  </si>
  <si>
    <t>LargeDatabase2250vRAM</t>
  </si>
  <si>
    <t>XXLDatabase8100vRAM</t>
  </si>
  <si>
    <t>XXXLDatabase15200vRAM</t>
  </si>
  <si>
    <t>SmallDatabase750vRAM</t>
  </si>
  <si>
    <t>MainstreamDatabase1500vRAM</t>
  </si>
  <si>
    <t>LargeDatabase2500vRAM</t>
  </si>
  <si>
    <t>XXLDatabase9000vRAM</t>
  </si>
  <si>
    <t>XXXLDatabase16400vRAM</t>
  </si>
  <si>
    <t>ADM</t>
  </si>
  <si>
    <t>ISDK</t>
  </si>
  <si>
    <t>IF($C$14&gt;20;1;0)*SUMIF(INDIRECT($P$2)</t>
  </si>
  <si>
    <t>SmallDatabase2115vRAM</t>
  </si>
  <si>
    <t>MainstreamDatabase1855.79vRAM</t>
  </si>
  <si>
    <t>LargeDatabase5535vRAM</t>
  </si>
  <si>
    <t>SmallDatabase2350vRAM</t>
  </si>
  <si>
    <t>MainstreamDatabase2062vRAM</t>
  </si>
  <si>
    <t>LargeDatabase6150vRAM</t>
  </si>
  <si>
    <t>Additional items</t>
  </si>
  <si>
    <t>Thresholder and Profiler</t>
  </si>
  <si>
    <t>Operators Hardware</t>
  </si>
  <si>
    <t>Number of concurrent users</t>
  </si>
  <si>
    <t>Virtual CPU</t>
  </si>
  <si>
    <t>Virtual RAM</t>
  </si>
  <si>
    <t>Backup Storage</t>
  </si>
  <si>
    <t>SmallUsers</t>
  </si>
  <si>
    <t>SmallDatabase675Redo</t>
  </si>
  <si>
    <t>MainstreamDatabase1350Redo</t>
  </si>
  <si>
    <t>LargeDatabase2250Redo</t>
  </si>
  <si>
    <t>XXLDatabase8100Redo</t>
  </si>
  <si>
    <t>XXXLDatabase15200Redo</t>
  </si>
  <si>
    <t>SmallDatabase750Redo</t>
  </si>
  <si>
    <t>MainstreamDatabase1500Redo</t>
  </si>
  <si>
    <t>LargeDatabase2500Redo</t>
  </si>
  <si>
    <t>XXLDatabase9000Redo</t>
  </si>
  <si>
    <t>XXXLDatabase16400Redo</t>
  </si>
  <si>
    <t>Security Log Collector</t>
  </si>
  <si>
    <t>Hardware</t>
  </si>
  <si>
    <t>Single RAN BTS Adapter</t>
  </si>
  <si>
    <t>Not Used</t>
  </si>
  <si>
    <t>Required</t>
  </si>
  <si>
    <t>BTSMediationOpenStack</t>
  </si>
  <si>
    <t>Centralized license Server</t>
  </si>
  <si>
    <t>Status</t>
  </si>
  <si>
    <t>SmallDatabase2115Redo</t>
  </si>
  <si>
    <t>MainstreamDatabase1855.79Redo</t>
  </si>
  <si>
    <t>LargeDatabase5535Redo</t>
  </si>
  <si>
    <t>SmallDatabase2350Redo</t>
  </si>
  <si>
    <t>MainstreamDatabase2062Redo</t>
  </si>
  <si>
    <t>LargeDatabase6150Redo</t>
  </si>
  <si>
    <t>BTSMediation</t>
  </si>
  <si>
    <t>LTE-A Mediation</t>
  </si>
  <si>
    <t>BTSMediationVMware</t>
  </si>
  <si>
    <t>Network 360</t>
  </si>
  <si>
    <t>SmallDatabase675Arc</t>
  </si>
  <si>
    <t>MainstreamDatabase1350Arc</t>
  </si>
  <si>
    <t>LargeDatabase2250Arc</t>
  </si>
  <si>
    <t>XXLDatabase8100Arc</t>
  </si>
  <si>
    <t>XXXLDatabase15200Arc</t>
  </si>
  <si>
    <t>SmallDatabase750Arc</t>
  </si>
  <si>
    <t>MainstreamDatabase1500Arc</t>
  </si>
  <si>
    <t>LargeDatabase2500Arc</t>
  </si>
  <si>
    <t>XXLDatabase9000Arc</t>
  </si>
  <si>
    <t>XXXLDatabase16400Arc</t>
  </si>
  <si>
    <t>MainstreamUsers</t>
  </si>
  <si>
    <t>SmallDatabase2115Arc</t>
  </si>
  <si>
    <t>MainstreamDatabase1855.79Arc</t>
  </si>
  <si>
    <t>LargeDatabase5535Arc</t>
  </si>
  <si>
    <t>SmallDatabase2350Arc</t>
  </si>
  <si>
    <t>MainstreamDatabase2062Arc</t>
  </si>
  <si>
    <t>LargeDatabase6150Arc</t>
  </si>
  <si>
    <t>SmallDatabase675Backup</t>
  </si>
  <si>
    <t>MainstreamDatabase1350Backup</t>
  </si>
  <si>
    <t>LargeDatabase2250Backup</t>
  </si>
  <si>
    <t>XXLDatabase8100Backup</t>
  </si>
  <si>
    <t>XXXLDatabase15200Backup</t>
  </si>
  <si>
    <t>SmallDatabase750Backup</t>
  </si>
  <si>
    <t>MainstreamDatabase1500Backup</t>
  </si>
  <si>
    <t>LargeDatabase2500Backup</t>
  </si>
  <si>
    <t>XXLDatabase9000Backup</t>
  </si>
  <si>
    <t>XXXLDatabase16400Backup</t>
  </si>
  <si>
    <t>Selected configuration</t>
  </si>
  <si>
    <t>VMs</t>
  </si>
  <si>
    <t>Disk</t>
  </si>
  <si>
    <t>Backup disk</t>
  </si>
  <si>
    <t>SmallDatabase2115Backup</t>
  </si>
  <si>
    <t>MainstreamDatabase1855.79Backup</t>
  </si>
  <si>
    <t>LargeDatabase5535Backup</t>
  </si>
  <si>
    <t>SmallDatabase2350Backup</t>
  </si>
  <si>
    <t>MainstreamDatabase2062Backup</t>
  </si>
  <si>
    <t>LargeDatabase6150Backup</t>
  </si>
  <si>
    <t>Mandatory Virtual machines</t>
  </si>
  <si>
    <t>Node Managers</t>
  </si>
  <si>
    <r>
      <rPr>
        <b/>
        <sz val="11"/>
        <color theme="0"/>
        <rFont val="Calibri"/>
        <family val="2"/>
        <scheme val="minor"/>
      </rPr>
      <t>Note</t>
    </r>
    <r>
      <rPr>
        <sz val="11"/>
        <color theme="0"/>
        <rFont val="Calibri"/>
        <family val="2"/>
        <scheme val="minor"/>
      </rPr>
      <t>: First 3 VM resources are within mandatory values</t>
    </r>
  </si>
  <si>
    <t>LargeUsers</t>
  </si>
  <si>
    <t>SmallGlobalOpenStack</t>
  </si>
  <si>
    <t>MainstreamGlobalOpenStack</t>
  </si>
  <si>
    <t>LargeGlobalOpenStack</t>
  </si>
  <si>
    <t>XXLGlobalOpenStack</t>
  </si>
  <si>
    <t>XXXLGlobalOpenStack</t>
  </si>
  <si>
    <t>SmallGlobalVmware</t>
  </si>
  <si>
    <t>MainstreamGlobalVmware</t>
  </si>
  <si>
    <t>LargeGlobalVmware</t>
  </si>
  <si>
    <t>XXLGlobalVmware</t>
  </si>
  <si>
    <t>XXXLGlobalVmware</t>
  </si>
  <si>
    <t>SmallExtRepOpenStack</t>
  </si>
  <si>
    <t>MainstreamExtRepOpenStack</t>
  </si>
  <si>
    <t>LargeExtRepOpenStack</t>
  </si>
  <si>
    <t>XXLExtRepOpenStack</t>
  </si>
  <si>
    <t>XXXLExtRepOpenStack</t>
  </si>
  <si>
    <t>SmallExtRepVmware</t>
  </si>
  <si>
    <t>MainstreamExtRepVmware</t>
  </si>
  <si>
    <t>LargeExtRepVmware</t>
  </si>
  <si>
    <t>XXLExtRepVmware</t>
  </si>
  <si>
    <t>XXXLExtRepVmware</t>
  </si>
  <si>
    <t>SmallADMOpenStack</t>
  </si>
  <si>
    <t>MainstreamADMOpenStack</t>
  </si>
  <si>
    <t>LargeADMOpenStack</t>
  </si>
  <si>
    <t>XXLADMOpenStack</t>
  </si>
  <si>
    <t>XXXLADMOpenStack</t>
  </si>
  <si>
    <t>SmallADMVmware</t>
  </si>
  <si>
    <t>MainstreamADMVmware</t>
  </si>
  <si>
    <t>LargeADMVmware</t>
  </si>
  <si>
    <t>XXLADMVmware</t>
  </si>
  <si>
    <t>XXXLADMVmware</t>
  </si>
  <si>
    <t>SmallISDKOpenStack</t>
  </si>
  <si>
    <t>MainstreamISDKOpenStack</t>
  </si>
  <si>
    <t>LargeISDKOpenStack</t>
  </si>
  <si>
    <t>XXLISDKOpenStack</t>
  </si>
  <si>
    <t>XXXLISDKOpenStack</t>
  </si>
  <si>
    <t>SmallISDKVmware</t>
  </si>
  <si>
    <t>MainstreamISDKVmware</t>
  </si>
  <si>
    <t>LargeISDKVmware</t>
  </si>
  <si>
    <t>XXLISDKVmware</t>
  </si>
  <si>
    <t>XXXLISDKVmware</t>
  </si>
  <si>
    <t>Total</t>
  </si>
  <si>
    <t/>
  </si>
  <si>
    <t>XXLUsers</t>
  </si>
  <si>
    <t>SmallCustomerOpenStack</t>
  </si>
  <si>
    <t>MainstreamCustomerOpenStack</t>
  </si>
  <si>
    <t>LargeCustomerOpenStack</t>
  </si>
  <si>
    <t>XXLCustomerOpenStack</t>
  </si>
  <si>
    <t>XXXLCustomerOpenStack</t>
  </si>
  <si>
    <t>SmallCustomerVmware</t>
  </si>
  <si>
    <t>MainstreamCustomerVmware</t>
  </si>
  <si>
    <t>LargeCustomerVmware</t>
  </si>
  <si>
    <t>XXLCustomerVmware</t>
  </si>
  <si>
    <t>XXXLCustomerVmware</t>
  </si>
  <si>
    <t>XXXLUsers</t>
  </si>
  <si>
    <t>Guidelines to calculate number of servers required in server pool:</t>
  </si>
  <si>
    <t xml:space="preserve">1) Calculate MantaRay NM grand total vCPU/RAM amounts
</t>
  </si>
  <si>
    <t xml:space="preserve">2) Calculate optional VMs grand total vCPU/ RAM amounts
</t>
  </si>
  <si>
    <t xml:space="preserve">3) Compare the 1 and 2 combined amount of vCPU and vRAM values against what server pool provides. If one server goes down, remaining server needs to provide enough capacity to run MantaRay NM + optional VMs. </t>
  </si>
  <si>
    <t>NOTE!  ESXi hosts needs 8GB for internal purpose and same should not be used for calculation while adding additional hosts .</t>
  </si>
  <si>
    <t>NOTE! Overcommitted number of CPUs allowed from NA20SP2011. In case of one HOST failure, the overcommitment of CPU can go above the specified ratio thereby reduced system performance</t>
  </si>
  <si>
    <t>Compact</t>
  </si>
  <si>
    <t>Extended Small</t>
  </si>
  <si>
    <t>Extended Large</t>
  </si>
  <si>
    <t>Release: MantaRay 24R1-NM</t>
  </si>
  <si>
    <t xml:space="preserve">1pCPU = 1vCPU  </t>
  </si>
  <si>
    <r>
      <rPr>
        <b/>
        <sz val="10"/>
        <color theme="1"/>
        <rFont val="Arial"/>
        <family val="2"/>
      </rPr>
      <t xml:space="preserve">NOTE! </t>
    </r>
    <r>
      <rPr>
        <sz val="10"/>
        <color theme="1"/>
        <rFont val="Arial"/>
        <family val="2"/>
      </rPr>
      <t>LUN and datastore sizes are equal, LUN size is given straight as datastore size.</t>
    </r>
  </si>
  <si>
    <t>1 vRAM = 1GB vRAM</t>
  </si>
  <si>
    <t>Back to shortcuts</t>
  </si>
  <si>
    <t>1 VMDK = 1GB VMDK</t>
  </si>
  <si>
    <t>1 GB = 1024 MB</t>
  </si>
  <si>
    <t>1 TB = 1024 GB</t>
  </si>
  <si>
    <t>Startup Priority</t>
  </si>
  <si>
    <t>Resource Pool</t>
  </si>
  <si>
    <t>Operating System</t>
  </si>
  <si>
    <t>Services</t>
  </si>
  <si>
    <t>Memory Reservation</t>
  </si>
  <si>
    <t>SWAP</t>
  </si>
  <si>
    <t>Datastore</t>
  </si>
  <si>
    <t>Backuptool</t>
  </si>
  <si>
    <t xml:space="preserve">Ext rep </t>
  </si>
  <si>
    <t>ADM Fastpass</t>
  </si>
  <si>
    <t>ISDK Disk</t>
  </si>
  <si>
    <t>CCR Disk</t>
  </si>
  <si>
    <t>Network (SB default)</t>
  </si>
  <si>
    <t xml:space="preserve">IP address </t>
  </si>
  <si>
    <t>VIP address</t>
  </si>
  <si>
    <t>VM#1</t>
  </si>
  <si>
    <t>RHEL8</t>
  </si>
  <si>
    <t>VMGuestDisk</t>
  </si>
  <si>
    <t>SB</t>
  </si>
  <si>
    <t>x</t>
  </si>
  <si>
    <t>VM#2</t>
  </si>
  <si>
    <t>VPOS3.0</t>
  </si>
  <si>
    <t>vCSA8.0</t>
  </si>
  <si>
    <t>VM#3</t>
  </si>
  <si>
    <t>HIGH</t>
  </si>
  <si>
    <t>MantaRay NM VMs</t>
  </si>
  <si>
    <t>LDAP-1, DNS-M</t>
  </si>
  <si>
    <t>VM#4</t>
  </si>
  <si>
    <t>DBRedo</t>
  </si>
  <si>
    <t>DBData</t>
  </si>
  <si>
    <t>DBArc</t>
  </si>
  <si>
    <t>VM#5</t>
  </si>
  <si>
    <t>NFSGlobal</t>
  </si>
  <si>
    <t>VM#6</t>
  </si>
  <si>
    <t>SB, NB</t>
  </si>
  <si>
    <t>x (x)</t>
  </si>
  <si>
    <t>VM#7</t>
  </si>
  <si>
    <t>VM#8</t>
  </si>
  <si>
    <t xml:space="preserve">JBI-NBI3GC, JBI-NBI3GCPM, NBI INVENTORY, NTCApp </t>
  </si>
  <si>
    <t>VM#9</t>
  </si>
  <si>
    <t>JBI-NWI3, SAU, Workingset-Manager</t>
  </si>
  <si>
    <t>VM#10</t>
  </si>
  <si>
    <t>VM#11</t>
  </si>
  <si>
    <t>VM#12</t>
  </si>
  <si>
    <t>JBI-NX2S_XOH, JBI-DA</t>
  </si>
  <si>
    <t>VM#13</t>
  </si>
  <si>
    <t>VM#14</t>
  </si>
  <si>
    <t>VM#15</t>
  </si>
  <si>
    <t>VM#16</t>
  </si>
  <si>
    <t>VM#17</t>
  </si>
  <si>
    <t>VM#66</t>
  </si>
  <si>
    <t>PMDatastore</t>
  </si>
  <si>
    <t>VM#67</t>
  </si>
  <si>
    <t>VM#85</t>
  </si>
  <si>
    <t>IHS-1</t>
  </si>
  <si>
    <t>VM#86</t>
  </si>
  <si>
    <t>IHS-2</t>
  </si>
  <si>
    <t>VM#150</t>
  </si>
  <si>
    <t>Compute1(DRE)</t>
  </si>
  <si>
    <t>CommonDatastore1</t>
  </si>
  <si>
    <t>24 (32)</t>
  </si>
  <si>
    <t>Applicable for CloudRAN clusters</t>
  </si>
  <si>
    <t>OPTIONAL SERVICES (MantaRay NM Applications inside MantaRay NM VM):</t>
  </si>
  <si>
    <t>LCM+CCR</t>
  </si>
  <si>
    <t>24(32)</t>
  </si>
  <si>
    <t>HW RESOURCE POOL</t>
  </si>
  <si>
    <t>1 x DL360 G10 plus 2p28c 512GB RAM</t>
  </si>
  <si>
    <t>1 x ProLiant DL360 Gen11 2p32c 512GB</t>
  </si>
  <si>
    <t>OPTIONAL (MantaRay NM Applications inside MantaRay NM Resource Pool):</t>
  </si>
  <si>
    <t>VM#44</t>
  </si>
  <si>
    <t>.</t>
  </si>
  <si>
    <t>VM#18</t>
  </si>
  <si>
    <t>Microsoft Windows Server 2019 Standard</t>
  </si>
  <si>
    <t>VM#19</t>
  </si>
  <si>
    <t>VM#70</t>
  </si>
  <si>
    <t>VM#47</t>
  </si>
  <si>
    <t>VM#56</t>
  </si>
  <si>
    <t>VM#57</t>
  </si>
  <si>
    <t>VM#73</t>
  </si>
  <si>
    <t>VM#74</t>
  </si>
  <si>
    <t>VM#75</t>
  </si>
  <si>
    <t>VM#81</t>
  </si>
  <si>
    <t>VM#110</t>
  </si>
  <si>
    <t>SLES12</t>
  </si>
  <si>
    <t>AVE 2TB(Avamar Virtual Edition)</t>
  </si>
  <si>
    <t>VM#111</t>
  </si>
  <si>
    <t>AVECP( Avamar Virtual Edition Combined Proxy)</t>
  </si>
  <si>
    <t>36(44)</t>
  </si>
  <si>
    <t>Name</t>
  </si>
  <si>
    <t>Usage Size in GB</t>
  </si>
  <si>
    <t>Total Size in GB</t>
  </si>
  <si>
    <t>Bootdisk server</t>
  </si>
  <si>
    <t>DB Redo</t>
  </si>
  <si>
    <t>DB Data</t>
  </si>
  <si>
    <t>DB Arc</t>
  </si>
  <si>
    <t>PMDisk</t>
  </si>
  <si>
    <t>Backup (DB, NFS,  and AVE 2TB)</t>
  </si>
  <si>
    <t xml:space="preserve"> = Standard / Customized sizes</t>
  </si>
  <si>
    <r>
      <rPr>
        <b/>
        <sz val="10"/>
        <color theme="1"/>
        <rFont val="Arial"/>
        <family val="2"/>
      </rPr>
      <t>NOTE:</t>
    </r>
    <r>
      <rPr>
        <sz val="10"/>
        <color theme="1"/>
        <rFont val="Arial"/>
        <family val="2"/>
      </rPr>
      <t xml:space="preserve"> NMS /Access  Server optional VMs can be scaled up based on #user upto following conifguration (16 vCPU,160 GB vRAM,450 GB disk)</t>
    </r>
  </si>
  <si>
    <r>
      <rPr>
        <b/>
        <sz val="10"/>
        <color rgb="FF000000"/>
        <rFont val="Arial"/>
      </rPr>
      <t>NOTE:</t>
    </r>
    <r>
      <rPr>
        <sz val="10"/>
        <color rgb="FF000000"/>
        <rFont val="Arial"/>
      </rPr>
      <t xml:space="preserve"> For VM#2, select the vCSA version in "Services" column to get the needed computing resources for the given vCSA version</t>
    </r>
  </si>
  <si>
    <r>
      <rPr>
        <b/>
        <sz val="10"/>
        <color rgb="FF000000"/>
        <rFont val="Arial"/>
      </rPr>
      <t xml:space="preserve">NOTE: </t>
    </r>
    <r>
      <rPr>
        <sz val="10"/>
        <color rgb="FF000000"/>
        <rFont val="Arial"/>
      </rPr>
      <t>Compact legacy system is same as Small configuration with 2 servers and external storage</t>
    </r>
  </si>
  <si>
    <t>NAPD Disk</t>
  </si>
  <si>
    <t>kafka Disk</t>
  </si>
  <si>
    <t>cap disk</t>
  </si>
  <si>
    <t>Click House Disk</t>
  </si>
  <si>
    <t>DB Flashback 
(optional)</t>
  </si>
  <si>
    <t>InfravmDisk</t>
  </si>
  <si>
    <t>VMGuestDisk1</t>
  </si>
  <si>
    <t>VMGuestDisk2</t>
  </si>
  <si>
    <t>DBFB</t>
  </si>
  <si>
    <t>VMGuestDisk3</t>
  </si>
  <si>
    <t>26(34)</t>
  </si>
  <si>
    <t>4 x G9 1p12c 96GB</t>
  </si>
  <si>
    <t>3 x G10 1p16c 192GB(Check the note3)</t>
  </si>
  <si>
    <t>2x DL360 G9 2p12c 256GB (Compact)</t>
  </si>
  <si>
    <t>2x DL360 G10 2p16c 384GB (Compact)</t>
  </si>
  <si>
    <t>3 x Dell PowerEdge R650xs 2p28c 512 GB</t>
  </si>
  <si>
    <t>3 x HPE Synergy 480 Gen10 plus 2p28c 512GB</t>
  </si>
  <si>
    <t>3 x Synergy 480 Gen11 2p32c 512GB</t>
  </si>
  <si>
    <t>VM#46</t>
  </si>
  <si>
    <t>VM#48</t>
  </si>
  <si>
    <t>VM#71</t>
  </si>
  <si>
    <t>VM#98</t>
  </si>
  <si>
    <t>VM#99</t>
  </si>
  <si>
    <t>VM#100</t>
  </si>
  <si>
    <t>VM#102</t>
  </si>
  <si>
    <t>VM#130</t>
  </si>
  <si>
    <t>NAPDDisk</t>
  </si>
  <si>
    <t>VM#140</t>
  </si>
  <si>
    <t>VM#310</t>
  </si>
  <si>
    <t>TREXDisk</t>
  </si>
  <si>
    <t>VM#311</t>
  </si>
  <si>
    <t>43(51)</t>
  </si>
  <si>
    <t>OPTIONAL (MantaRay NM Applications outside MantaRay NM Resource Pool):</t>
  </si>
  <si>
    <t>VM#350</t>
  </si>
  <si>
    <t>ARC  VMs</t>
  </si>
  <si>
    <t>ARC Proxy #1</t>
  </si>
  <si>
    <t>ARCDisk</t>
  </si>
  <si>
    <t>VM#351</t>
  </si>
  <si>
    <t>ARC Proxy #2(Optional)</t>
  </si>
  <si>
    <t>51(59)</t>
  </si>
  <si>
    <t>OPTIONAL (Other Applicatios outside MantaRay NM Resource Pool):</t>
  </si>
  <si>
    <t>VM#76</t>
  </si>
  <si>
    <t>Network360 VMs</t>
  </si>
  <si>
    <t>RHEL6</t>
  </si>
  <si>
    <t>OoDVMGuestDisk1</t>
  </si>
  <si>
    <t>OoDDBDisk</t>
  </si>
  <si>
    <t>VM#77</t>
  </si>
  <si>
    <t>Database VM (postgres)</t>
  </si>
  <si>
    <t>VM#78</t>
  </si>
  <si>
    <t>Portal VM (tomcat,solr)</t>
  </si>
  <si>
    <t>OoDVMGuestDisk2</t>
  </si>
  <si>
    <t>VM#79</t>
  </si>
  <si>
    <t>Backend VM (jboss eap)</t>
  </si>
  <si>
    <t>VM#80</t>
  </si>
  <si>
    <t>Map VM (apache server)</t>
  </si>
  <si>
    <t>Map Disk</t>
  </si>
  <si>
    <t>NFS Disk</t>
  </si>
  <si>
    <t>VM#101</t>
  </si>
  <si>
    <t>Selfmon</t>
  </si>
  <si>
    <t>VM#84</t>
  </si>
  <si>
    <t>BTSMed VMs</t>
  </si>
  <si>
    <t>BTSMedGuestDisk1</t>
  </si>
  <si>
    <t>VM#87</t>
  </si>
  <si>
    <t>VM#201</t>
  </si>
  <si>
    <t>BTSCSVMPool</t>
  </si>
  <si>
    <t>RHEL7</t>
  </si>
  <si>
    <t>btscsvm (Conversion Suite)</t>
  </si>
  <si>
    <t>BTSCSVMDisk</t>
  </si>
  <si>
    <t>VM#202</t>
  </si>
  <si>
    <t>PdlValidationServicePool</t>
  </si>
  <si>
    <t>PdlValidationServiceDisk</t>
  </si>
  <si>
    <t>61(72)</t>
  </si>
  <si>
    <t>Bootdisk server 1</t>
  </si>
  <si>
    <t>Bootdisk server 2</t>
  </si>
  <si>
    <t>Bootdisk server 3</t>
  </si>
  <si>
    <t>Bootdisk server 4</t>
  </si>
  <si>
    <t>Bootdisk server 5</t>
  </si>
  <si>
    <t>DB FB</t>
  </si>
  <si>
    <t>Note: The above  mentioned datastore space total size is dimensioned only for MantaRay NM VMs and not for Optional VMs. In case VMGuestDisk is used for optional VM, make sure that 11% free space is available in the associated VMGuestDisk datastores</t>
  </si>
  <si>
    <t>Scratch</t>
  </si>
  <si>
    <t>Upgrade</t>
  </si>
  <si>
    <t>DB size</t>
  </si>
  <si>
    <t>DB Disk Size</t>
  </si>
  <si>
    <t>CPU</t>
  </si>
  <si>
    <t>Memory</t>
  </si>
  <si>
    <t>DB Archive Disk Size</t>
  </si>
  <si>
    <t>DB Backup</t>
  </si>
  <si>
    <t>Backup DS (DB, NFS and AVE)</t>
  </si>
  <si>
    <t>Standard</t>
  </si>
  <si>
    <t>Extended</t>
  </si>
  <si>
    <r>
      <rPr>
        <b/>
        <sz val="10"/>
        <color theme="1"/>
        <rFont val="Arial"/>
        <family val="2"/>
      </rPr>
      <t>NOTE:</t>
    </r>
    <r>
      <rPr>
        <sz val="10"/>
        <color theme="1"/>
        <rFont val="Arial"/>
        <family val="2"/>
      </rPr>
      <t>For VM#2, select the vCSA version in "Services" column to get the needed computing resources for the given vCSA version</t>
    </r>
  </si>
  <si>
    <t>Ext rep</t>
  </si>
  <si>
    <t>JBI-NBI3GC, NBI INVENTORY</t>
  </si>
  <si>
    <t xml:space="preserve">JBI-NBI3GCPM, NTCApp </t>
  </si>
  <si>
    <t>VM#20</t>
  </si>
  <si>
    <t>VM#21</t>
  </si>
  <si>
    <t>VM#22</t>
  </si>
  <si>
    <t>VM#23</t>
  </si>
  <si>
    <t>30(40)</t>
  </si>
  <si>
    <t>6 x G9 2p8c 128GB</t>
  </si>
  <si>
    <t>4 x G10 2p16c 384GB</t>
  </si>
  <si>
    <t>4 x Synergy 480 G11 2p32c 512GB</t>
  </si>
  <si>
    <t>Select the AVE Licence capacity from the drop down in the next column, Based on the selction, AVE resource need will be shown</t>
  </si>
  <si>
    <t>VM#24</t>
  </si>
  <si>
    <t>VM#25</t>
  </si>
  <si>
    <t>VM#49</t>
  </si>
  <si>
    <t>VM#50</t>
  </si>
  <si>
    <t>VM#58</t>
  </si>
  <si>
    <t>VM#59</t>
  </si>
  <si>
    <t>VM#112</t>
  </si>
  <si>
    <t>AVECP( Optional)</t>
  </si>
  <si>
    <t>Vm#130</t>
  </si>
  <si>
    <t>51(61)</t>
  </si>
  <si>
    <t>53(63)</t>
  </si>
  <si>
    <t>63(66)</t>
  </si>
  <si>
    <t>Bootdisk server 6</t>
  </si>
  <si>
    <t>Custom</t>
  </si>
  <si>
    <t xml:space="preserve"> = Standard / Customized  sizes</t>
  </si>
  <si>
    <t>JBI-NWI3, SAU, Workignset-Manager</t>
  </si>
  <si>
    <t>VM#26</t>
  </si>
  <si>
    <t>VM#27</t>
  </si>
  <si>
    <t>VM#68</t>
  </si>
  <si>
    <t>VM#69</t>
  </si>
  <si>
    <t>36(50)</t>
  </si>
  <si>
    <t>6 x G9 2p12c 256GB</t>
  </si>
  <si>
    <t>4 x Dell PowerEdge R650xs 2p28c 512 GB</t>
  </si>
  <si>
    <t>4 x HPE Synergy 480 Gen10 plus 2p28c 512GB</t>
  </si>
  <si>
    <t>VM#28</t>
  </si>
  <si>
    <t>VM#29</t>
  </si>
  <si>
    <t>VM#51</t>
  </si>
  <si>
    <t>VM#52</t>
  </si>
  <si>
    <t>VM#53</t>
  </si>
  <si>
    <t>VM#83</t>
  </si>
  <si>
    <t>VM#82</t>
  </si>
  <si>
    <t>68(82)</t>
  </si>
  <si>
    <t>76(90)</t>
  </si>
  <si>
    <t>86(103)</t>
  </si>
  <si>
    <t>40*</t>
  </si>
  <si>
    <t>Bootdisk server 7</t>
  </si>
  <si>
    <t>* Note: If you are performing MantaRay NM Scaling, the minimum Bootdisk server size must be 35 GB for all MantaRay NM configurations.</t>
  </si>
  <si>
    <t>JBI-NWI3, SAU, Workingset-manager</t>
  </si>
  <si>
    <t>36 (50)</t>
  </si>
  <si>
    <t>5 x G10 2p16c 384GB</t>
  </si>
  <si>
    <t>vCSA7.0</t>
  </si>
  <si>
    <t>DBRedo(1..2)</t>
  </si>
  <si>
    <t>DBData(1..8)</t>
  </si>
  <si>
    <t>DBArch(1..2)</t>
  </si>
  <si>
    <t>DBBackup(1..8)</t>
  </si>
  <si>
    <t>NFSGlobal(1..2)</t>
  </si>
  <si>
    <t>NFSBackup</t>
  </si>
  <si>
    <t>CommonBackup</t>
  </si>
  <si>
    <t>6 x G9 2p12c 256GB + 2 x G10 2p16c 384GB</t>
  </si>
  <si>
    <t>5 x G10 2p16c 384GB ( For 2BCPH, Additionally add one "G10 2p16c 384GB" if the cluster is not synergy G10)</t>
  </si>
  <si>
    <t>5 x Dell PowerEdge R650xs 2p28c 512 GB</t>
  </si>
  <si>
    <t>5 x HPE Synergy 480 Gen10 plus 2p28c 512GB</t>
  </si>
  <si>
    <t>AVE 4TB (Avamar Virtual Edition)</t>
  </si>
  <si>
    <t>AVEBackup</t>
  </si>
  <si>
    <t>AVECP ( Avamar Virtual Edition Combined Proxy)</t>
  </si>
  <si>
    <t>AVECP ( Optional)</t>
  </si>
  <si>
    <t>DBRedo1</t>
  </si>
  <si>
    <t>DBRedo2</t>
  </si>
  <si>
    <t>DBData1</t>
  </si>
  <si>
    <t>DBData2</t>
  </si>
  <si>
    <t>DBData3</t>
  </si>
  <si>
    <t>DBData4</t>
  </si>
  <si>
    <t>DBData5</t>
  </si>
  <si>
    <t>DBData6</t>
  </si>
  <si>
    <t>DBData7</t>
  </si>
  <si>
    <t>DBData8</t>
  </si>
  <si>
    <t>DBArch1</t>
  </si>
  <si>
    <t>DBArch2</t>
  </si>
  <si>
    <t>NFSGlobal1</t>
  </si>
  <si>
    <t>NFSGlobal2</t>
  </si>
  <si>
    <t>DBBackup1</t>
  </si>
  <si>
    <t>DBBackup2</t>
  </si>
  <si>
    <t>DBBackup3</t>
  </si>
  <si>
    <t>DBBackup4</t>
  </si>
  <si>
    <t>DBBackup5</t>
  </si>
  <si>
    <t>DBBackup6</t>
  </si>
  <si>
    <t>DBBackup7</t>
  </si>
  <si>
    <t>DBBackup8</t>
  </si>
  <si>
    <t>AVEBackup(AVE 4TB)</t>
  </si>
  <si>
    <t>Release: MantaRay 24R1-NM SW on Vmware</t>
  </si>
  <si>
    <t>Release: MantaRay 24R1-NM SW on VMware</t>
  </si>
  <si>
    <t xml:space="preserve"> = VM part of an image</t>
  </si>
  <si>
    <t>NOTE: NMS /Access  Server optional VMs can be scaled up based on #user upto following conifguration (16 vCPU,160 GB vRAM,450 GB disk)</t>
  </si>
  <si>
    <t>Est rep</t>
  </si>
  <si>
    <t>Compute1 (DRE)</t>
  </si>
  <si>
    <t>23 (31)</t>
  </si>
  <si>
    <t>51(62)</t>
  </si>
  <si>
    <t>Release: MantaRay 24-NM SW on OpenStack</t>
  </si>
  <si>
    <t>Node Type</t>
  </si>
  <si>
    <t>Root</t>
  </si>
  <si>
    <t>CEPH</t>
  </si>
  <si>
    <t>Airfame</t>
  </si>
  <si>
    <t>Image</t>
  </si>
  <si>
    <t>FastPass
ADM</t>
  </si>
  <si>
    <t xml:space="preserve">
DB
Flashback
Optional</t>
  </si>
  <si>
    <t>Floating IPs</t>
  </si>
  <si>
    <t>Ports</t>
  </si>
  <si>
    <t>Inst Eng Network</t>
  </si>
  <si>
    <t>Internal Network</t>
  </si>
  <si>
    <t>Routable Network or
provider Network</t>
  </si>
  <si>
    <t>Subnets</t>
  </si>
  <si>
    <t>Routers</t>
  </si>
  <si>
    <t>Security Group Rules</t>
  </si>
  <si>
    <t>Security Groups</t>
  </si>
  <si>
    <t>-</t>
  </si>
  <si>
    <t>Inst Eng</t>
  </si>
  <si>
    <t>insteng</t>
  </si>
  <si>
    <t>Y</t>
  </si>
  <si>
    <t>tripleo-ceph</t>
  </si>
  <si>
    <t>as</t>
  </si>
  <si>
    <t>N</t>
  </si>
  <si>
    <t>dns</t>
  </si>
  <si>
    <t>db</t>
  </si>
  <si>
    <t>tripleo-ceph-fast</t>
  </si>
  <si>
    <t>nfs</t>
  </si>
  <si>
    <t>lb</t>
  </si>
  <si>
    <t>selfmon</t>
  </si>
  <si>
    <t>nbi3gc</t>
  </si>
  <si>
    <t>nwi3</t>
  </si>
  <si>
    <t>q3</t>
  </si>
  <si>
    <t>xoh</t>
  </si>
  <si>
    <t>nbi</t>
  </si>
  <si>
    <t>common</t>
  </si>
  <si>
    <t>fm</t>
  </si>
  <si>
    <t>was</t>
  </si>
  <si>
    <t>nsdoc</t>
  </si>
  <si>
    <t>nsda</t>
  </si>
  <si>
    <t>nsdec</t>
  </si>
  <si>
    <t>pm</t>
  </si>
  <si>
    <t>ihs</t>
  </si>
  <si>
    <t>compute1</t>
  </si>
  <si>
    <t>3 (5)</t>
  </si>
  <si>
    <t>OPTIONAL SERVICES:</t>
  </si>
  <si>
    <t>CCR</t>
  </si>
  <si>
    <t>OPTIONAL COMPONENTS:</t>
  </si>
  <si>
    <t>tp</t>
  </si>
  <si>
    <t>slc</t>
  </si>
  <si>
    <t>cls</t>
  </si>
  <si>
    <t>ltea_med</t>
  </si>
  <si>
    <t>net_guard</t>
  </si>
  <si>
    <t>nbi_ves</t>
  </si>
  <si>
    <t>net_guard_vfm</t>
  </si>
  <si>
    <t>emcc</t>
  </si>
  <si>
    <t>OPTIONAL PRODUCTS:</t>
  </si>
  <si>
    <t>asnw360</t>
  </si>
  <si>
    <t>dbnw360</t>
  </si>
  <si>
    <t>pnw360</t>
  </si>
  <si>
    <t>bnw360</t>
  </si>
  <si>
    <t>mnw360</t>
  </si>
  <si>
    <t>snw360</t>
  </si>
  <si>
    <t>Release: MantaRay 24-NM SW on VMware</t>
  </si>
  <si>
    <t>61(74)</t>
  </si>
  <si>
    <t>Release: MantaRay 24-NM on OpenStack</t>
  </si>
  <si>
    <t xml:space="preserve">
DB
Flashback
(optional)</t>
  </si>
  <si>
    <t>nbi3gcpm</t>
  </si>
  <si>
    <t>nbives</t>
  </si>
  <si>
    <t>38(52)</t>
  </si>
  <si>
    <t>64(78)</t>
  </si>
  <si>
    <t>72(89)</t>
  </si>
  <si>
    <t>bts_med</t>
  </si>
  <si>
    <t>NOTE: 3XL configuration is supported in CBIS and not in RHOSP</t>
  </si>
  <si>
    <t>LM+CCR</t>
  </si>
  <si>
    <t>Compact 24R1-NM sheet renamed to Compact Single Node 24R1-NM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</si>
</sst>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1">
    <font>
      <sz val="11"/>
      <color theme="1"/>
      <name val="Calibri"/>
      <family val="2"/>
      <scheme val="minor"/>
    </font>
    <font>
      <b/>
      <sz val="11"/>
      <color theme="1"/>
      <name val="Calibri"/>
      <family val="2"/>
      <scheme val="minor"/>
    </font>
    <font>
      <b/>
      <sz val="9"/>
      <color indexed="81"/>
      <name val="Tahoma"/>
      <family val="2"/>
    </font>
    <font>
      <sz val="9"/>
      <color indexed="81"/>
      <name val="Tahoma"/>
      <family val="2"/>
    </font>
    <font>
      <sz val="10"/>
      <name val="Arial"/>
      <family val="2"/>
    </font>
    <font>
      <sz val="11"/>
      <color theme="1"/>
      <name val="宋体"/>
      <charset val="134"/>
    </font>
    <font>
      <b/>
      <sz val="10"/>
      <color rgb="FF0070C0"/>
      <name val="Arial"/>
      <family val="2"/>
    </font>
    <font>
      <sz val="10"/>
      <color theme="1"/>
      <name val="Arial"/>
      <family val="2"/>
    </font>
    <font>
      <b/>
      <sz val="10"/>
      <color theme="1"/>
      <name val="Arial"/>
      <family val="2"/>
    </font>
    <font>
      <sz val="9"/>
      <color indexed="81"/>
      <name val="Calibri"/>
      <family val="2"/>
    </font>
    <font>
      <b/>
      <sz val="9"/>
      <color indexed="81"/>
      <name val="Calibri"/>
      <family val="2"/>
    </font>
    <font>
      <sz val="11"/>
      <color theme="0"/>
      <name val="Calibri"/>
      <family val="2"/>
      <scheme val="minor"/>
    </font>
    <font>
      <sz val="11"/>
      <color rgb="FF92D050"/>
      <name val="Calibri"/>
      <family val="2"/>
      <scheme val="minor"/>
    </font>
    <font>
      <sz val="11"/>
      <color theme="3"/>
      <name val="Calibri"/>
      <family val="2"/>
      <scheme val="minor"/>
    </font>
    <font>
      <b/>
      <sz val="11"/>
      <color theme="3"/>
      <name val="Calibri"/>
      <family val="2"/>
      <scheme val="minor"/>
    </font>
    <font>
      <b/>
      <sz val="11"/>
      <color theme="0"/>
      <name val="Calibri"/>
      <family val="2"/>
      <scheme val="minor"/>
    </font>
    <font>
      <b/>
      <u/>
      <sz val="11"/>
      <color theme="0"/>
      <name val="Calibri"/>
      <family val="2"/>
      <scheme val="minor"/>
    </font>
    <font>
      <u/>
      <sz val="11"/>
      <color theme="10"/>
      <name val="Calibri"/>
      <family val="2"/>
      <scheme val="minor"/>
    </font>
    <font>
      <sz val="10"/>
      <color rgb="FF000000"/>
      <name val="Arial"/>
      <family val="2"/>
    </font>
    <font>
      <sz val="11"/>
      <name val="Calibri"/>
      <family val="2"/>
      <scheme val="minor"/>
    </font>
    <font>
      <sz val="14"/>
      <color rgb="FF5BB8E9"/>
      <name val="Inherit"/>
    </font>
    <font>
      <sz val="11"/>
      <color theme="1"/>
      <name val="Calibri"/>
      <family val="2"/>
      <scheme val="minor"/>
    </font>
    <font>
      <sz val="11"/>
      <color theme="1"/>
      <name val="Trebuchet MS"/>
      <family val="2"/>
    </font>
    <font>
      <sz val="11"/>
      <color theme="1"/>
      <name val="Calibri"/>
      <family val="2"/>
      <charset val="238"/>
      <scheme val="minor"/>
    </font>
    <font>
      <sz val="7"/>
      <color rgb="FF172B4D"/>
      <name val="Segoe UI"/>
      <family val="2"/>
    </font>
    <font>
      <sz val="9"/>
      <color indexed="81"/>
      <name val="Tahoma"/>
      <charset val="1"/>
    </font>
    <font>
      <b/>
      <sz val="9"/>
      <color indexed="81"/>
      <name val="Tahoma"/>
      <charset val="1"/>
    </font>
    <font>
      <sz val="8"/>
      <name val="Calibri"/>
      <family val="2"/>
      <scheme val="minor"/>
    </font>
    <font>
      <sz val="11"/>
      <color theme="1"/>
      <name val="Arial"/>
      <family val="2"/>
    </font>
    <font>
      <b/>
      <sz val="10"/>
      <color rgb="FF000000"/>
      <name val="Arial"/>
    </font>
    <font>
      <sz val="10"/>
      <color rgb="FF000000"/>
      <name val="Arial"/>
    </font>
  </fonts>
  <fills count="13">
    <fill>
      <patternFill patternType="none"/>
    </fill>
    <fill>
      <patternFill patternType="gray125"/>
    </fill>
    <fill>
      <patternFill patternType="solid">
        <fgColor theme="0"/>
        <bgColor indexed="64"/>
      </patternFill>
    </fill>
    <fill>
      <patternFill patternType="solid">
        <fgColor theme="8" tint="0.7999816888943144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59999389629810485"/>
        <bgColor indexed="64"/>
      </patternFill>
    </fill>
    <fill>
      <patternFill patternType="solid">
        <fgColor rgb="FF00B0F0"/>
        <bgColor indexed="64"/>
      </patternFill>
    </fill>
    <fill>
      <patternFill patternType="solid">
        <fgColor rgb="FFFFFF00"/>
        <bgColor indexed="64"/>
      </patternFill>
    </fill>
    <fill>
      <patternFill patternType="solid">
        <fgColor theme="3"/>
        <bgColor indexed="64"/>
      </patternFill>
    </fill>
    <fill>
      <patternFill patternType="solid">
        <fgColor theme="4" tint="0.79998168889431442"/>
        <bgColor indexed="64"/>
      </patternFill>
    </fill>
    <fill>
      <patternFill patternType="solid">
        <fgColor rgb="FFFF0000"/>
        <bgColor indexed="64"/>
      </patternFill>
    </fill>
    <fill>
      <patternFill patternType="solid">
        <fgColor theme="6" tint="0.79998168889431442"/>
        <bgColor indexed="64"/>
      </patternFill>
    </fill>
  </fills>
  <borders count="12">
    <border>
      <left/>
      <right/>
      <top/>
      <bottom/>
      <diagonal/>
    </border>
    <border>
      <left/>
      <right/>
      <top/>
      <bottom style="thin">
        <color auto="1"/>
      </bottom>
      <diagonal/>
    </border>
    <border>
      <left/>
      <right/>
      <top style="thin">
        <color auto="1"/>
      </top>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s>
  <cellStyleXfs count="6">
    <xf numFmtId="0" fontId="0" fillId="0" borderId="0"/>
    <xf numFmtId="0" fontId="4" fillId="0" borderId="0"/>
    <xf numFmtId="0" fontId="5" fillId="0" borderId="0"/>
    <xf numFmtId="0" fontId="17" fillId="0" borderId="0" applyNumberFormat="0" applyFill="0" applyBorder="0" applyAlignment="0" applyProtection="0"/>
    <xf numFmtId="0" fontId="22" fillId="0" borderId="0"/>
    <xf numFmtId="0" fontId="21" fillId="0" borderId="0"/>
  </cellStyleXfs>
  <cellXfs count="183">
    <xf numFmtId="0" fontId="0" fillId="0" borderId="0" xfId="0"/>
    <xf numFmtId="0" fontId="0" fillId="0" borderId="0" xfId="0" applyAlignment="1">
      <alignment horizontal="center"/>
    </xf>
    <xf numFmtId="0" fontId="1" fillId="0" borderId="0" xfId="0" applyFont="1"/>
    <xf numFmtId="0" fontId="4" fillId="0" borderId="0" xfId="1"/>
    <xf numFmtId="0" fontId="7" fillId="0" borderId="0" xfId="0" applyFont="1"/>
    <xf numFmtId="0" fontId="6" fillId="0" borderId="0" xfId="0" applyFont="1"/>
    <xf numFmtId="0" fontId="6" fillId="0" borderId="1" xfId="0" applyFont="1" applyBorder="1" applyAlignment="1">
      <alignment horizontal="center"/>
    </xf>
    <xf numFmtId="0" fontId="6" fillId="0" borderId="1" xfId="0" applyFont="1" applyBorder="1"/>
    <xf numFmtId="0" fontId="6" fillId="0" borderId="0" xfId="0" applyFont="1" applyAlignment="1">
      <alignment horizontal="center"/>
    </xf>
    <xf numFmtId="0" fontId="4" fillId="0" borderId="0" xfId="0" applyFont="1"/>
    <xf numFmtId="16" fontId="6" fillId="0" borderId="0" xfId="0" applyNumberFormat="1" applyFont="1" applyAlignment="1">
      <alignment horizontal="center"/>
    </xf>
    <xf numFmtId="0" fontId="7" fillId="0" borderId="0" xfId="0" applyFont="1" applyAlignment="1">
      <alignment wrapText="1"/>
    </xf>
    <xf numFmtId="0" fontId="7" fillId="0" borderId="0" xfId="0" applyFont="1" applyAlignment="1">
      <alignment horizontal="center"/>
    </xf>
    <xf numFmtId="0" fontId="7" fillId="0" borderId="0" xfId="0" applyFont="1" applyAlignment="1">
      <alignment vertical="top" wrapText="1"/>
    </xf>
    <xf numFmtId="0" fontId="8" fillId="0" borderId="0" xfId="0" applyFont="1"/>
    <xf numFmtId="0" fontId="7" fillId="0" borderId="1" xfId="0" applyFont="1" applyBorder="1" applyAlignment="1">
      <alignment horizontal="center"/>
    </xf>
    <xf numFmtId="0" fontId="7" fillId="0" borderId="2" xfId="0" applyFont="1" applyBorder="1" applyAlignment="1">
      <alignment horizontal="center"/>
    </xf>
    <xf numFmtId="0" fontId="7" fillId="0" borderId="1" xfId="0" applyFont="1" applyBorder="1"/>
    <xf numFmtId="0" fontId="7" fillId="0" borderId="2" xfId="0" applyFont="1" applyBorder="1"/>
    <xf numFmtId="0" fontId="7" fillId="0" borderId="0" xfId="0" applyFont="1" applyAlignment="1">
      <alignment horizontal="left"/>
    </xf>
    <xf numFmtId="0" fontId="7" fillId="4" borderId="0" xfId="0" applyFont="1" applyFill="1"/>
    <xf numFmtId="0" fontId="8" fillId="3" borderId="3" xfId="0" applyFont="1" applyFill="1" applyBorder="1" applyAlignment="1">
      <alignment horizontal="center"/>
    </xf>
    <xf numFmtId="0" fontId="7" fillId="0" borderId="0" xfId="0" applyFont="1" applyAlignment="1">
      <alignment vertical="top"/>
    </xf>
    <xf numFmtId="0" fontId="8" fillId="4" borderId="0" xfId="0" applyFont="1" applyFill="1"/>
    <xf numFmtId="0" fontId="7" fillId="5" borderId="0" xfId="0" applyFont="1" applyFill="1"/>
    <xf numFmtId="0" fontId="7" fillId="5" borderId="0" xfId="0" applyFont="1" applyFill="1" applyAlignment="1">
      <alignment horizontal="center"/>
    </xf>
    <xf numFmtId="0" fontId="7" fillId="5" borderId="0" xfId="0" applyFont="1" applyFill="1" applyAlignment="1">
      <alignment horizontal="left"/>
    </xf>
    <xf numFmtId="0" fontId="7" fillId="6" borderId="0" xfId="0" applyFont="1" applyFill="1"/>
    <xf numFmtId="1" fontId="7" fillId="0" borderId="0" xfId="0" applyNumberFormat="1" applyFont="1" applyAlignment="1">
      <alignment horizontal="center"/>
    </xf>
    <xf numFmtId="0" fontId="0" fillId="0" borderId="0" xfId="0" applyAlignment="1">
      <alignment vertical="top"/>
    </xf>
    <xf numFmtId="1" fontId="7" fillId="0" borderId="2" xfId="0" applyNumberFormat="1" applyFont="1" applyBorder="1" applyAlignment="1">
      <alignment horizontal="center"/>
    </xf>
    <xf numFmtId="1" fontId="7" fillId="0" borderId="0" xfId="0" applyNumberFormat="1" applyFont="1"/>
    <xf numFmtId="0" fontId="6" fillId="0" borderId="0" xfId="0" applyFont="1" applyProtection="1">
      <protection locked="0"/>
    </xf>
    <xf numFmtId="0" fontId="7" fillId="0" borderId="0" xfId="0" applyFont="1" applyProtection="1">
      <protection locked="0"/>
    </xf>
    <xf numFmtId="0" fontId="6" fillId="0" borderId="1" xfId="0" applyFont="1" applyBorder="1" applyProtection="1">
      <protection locked="0"/>
    </xf>
    <xf numFmtId="0" fontId="6" fillId="0" borderId="1" xfId="0" applyFont="1" applyBorder="1" applyAlignment="1" applyProtection="1">
      <alignment horizontal="center"/>
      <protection locked="0"/>
    </xf>
    <xf numFmtId="0" fontId="7" fillId="0" borderId="1" xfId="0" applyFont="1" applyBorder="1" applyAlignment="1" applyProtection="1">
      <alignment horizontal="center"/>
      <protection locked="0"/>
    </xf>
    <xf numFmtId="0" fontId="7" fillId="0" borderId="2" xfId="0" applyFont="1" applyBorder="1" applyProtection="1">
      <protection locked="0"/>
    </xf>
    <xf numFmtId="0" fontId="7" fillId="0" borderId="2" xfId="0" applyFont="1" applyBorder="1" applyAlignment="1" applyProtection="1">
      <alignment horizontal="center"/>
      <protection locked="0"/>
    </xf>
    <xf numFmtId="0" fontId="8" fillId="4" borderId="0" xfId="0" applyFont="1" applyFill="1" applyProtection="1">
      <protection locked="0"/>
    </xf>
    <xf numFmtId="0" fontId="7" fillId="4" borderId="0" xfId="0" applyFont="1" applyFill="1" applyProtection="1">
      <protection locked="0"/>
    </xf>
    <xf numFmtId="0" fontId="0" fillId="0" borderId="0" xfId="0" applyProtection="1">
      <protection locked="0"/>
    </xf>
    <xf numFmtId="0" fontId="0" fillId="0" borderId="0" xfId="0" applyAlignment="1" applyProtection="1">
      <alignment horizontal="center"/>
      <protection locked="0"/>
    </xf>
    <xf numFmtId="0" fontId="7" fillId="0" borderId="1" xfId="0" applyFont="1" applyBorder="1" applyProtection="1">
      <protection locked="0"/>
    </xf>
    <xf numFmtId="0" fontId="0" fillId="7" borderId="0" xfId="0" applyFill="1"/>
    <xf numFmtId="0" fontId="0" fillId="2" borderId="0" xfId="0" applyFill="1"/>
    <xf numFmtId="0" fontId="0" fillId="8" borderId="0" xfId="0" applyFill="1"/>
    <xf numFmtId="0" fontId="12" fillId="7" borderId="0" xfId="0" applyFont="1" applyFill="1"/>
    <xf numFmtId="0" fontId="11" fillId="9" borderId="0" xfId="0" applyFont="1" applyFill="1"/>
    <xf numFmtId="0" fontId="0" fillId="9" borderId="0" xfId="0" applyFill="1"/>
    <xf numFmtId="0" fontId="15" fillId="7" borderId="0" xfId="0" applyFont="1" applyFill="1"/>
    <xf numFmtId="0" fontId="15" fillId="9" borderId="0" xfId="0" applyFont="1" applyFill="1"/>
    <xf numFmtId="0" fontId="14" fillId="10" borderId="0" xfId="0" applyFont="1" applyFill="1"/>
    <xf numFmtId="0" fontId="16" fillId="7" borderId="0" xfId="0" applyFont="1" applyFill="1"/>
    <xf numFmtId="0" fontId="7" fillId="0" borderId="0" xfId="0" quotePrefix="1" applyFont="1"/>
    <xf numFmtId="1" fontId="0" fillId="2" borderId="0" xfId="0" applyNumberFormat="1" applyFill="1"/>
    <xf numFmtId="0" fontId="15" fillId="9" borderId="0" xfId="0" applyFont="1" applyFill="1" applyAlignment="1">
      <alignment horizontal="center" wrapText="1"/>
    </xf>
    <xf numFmtId="1" fontId="0" fillId="2" borderId="0" xfId="0" applyNumberFormat="1" applyFill="1" applyAlignment="1">
      <alignment horizontal="center"/>
    </xf>
    <xf numFmtId="1" fontId="13" fillId="10" borderId="0" xfId="0" applyNumberFormat="1" applyFont="1" applyFill="1" applyAlignment="1">
      <alignment horizontal="center"/>
    </xf>
    <xf numFmtId="2" fontId="7" fillId="0" borderId="0" xfId="0" applyNumberFormat="1" applyFont="1" applyAlignment="1">
      <alignment horizontal="center"/>
    </xf>
    <xf numFmtId="2" fontId="7" fillId="0" borderId="2" xfId="0" applyNumberFormat="1" applyFont="1" applyBorder="1" applyAlignment="1">
      <alignment horizontal="center"/>
    </xf>
    <xf numFmtId="2" fontId="7" fillId="0" borderId="0" xfId="0" applyNumberFormat="1" applyFont="1" applyAlignment="1" applyProtection="1">
      <alignment horizontal="center"/>
      <protection locked="0"/>
    </xf>
    <xf numFmtId="2" fontId="7" fillId="0" borderId="1" xfId="0" applyNumberFormat="1" applyFont="1" applyBorder="1" applyAlignment="1" applyProtection="1">
      <alignment horizontal="center"/>
      <protection locked="0"/>
    </xf>
    <xf numFmtId="2" fontId="7" fillId="0" borderId="0" xfId="0" applyNumberFormat="1" applyFont="1" applyProtection="1">
      <protection locked="0"/>
    </xf>
    <xf numFmtId="2" fontId="7" fillId="0" borderId="0" xfId="0" applyNumberFormat="1" applyFont="1"/>
    <xf numFmtId="2" fontId="7" fillId="0" borderId="1" xfId="0" applyNumberFormat="1" applyFont="1" applyBorder="1" applyAlignment="1">
      <alignment horizontal="center"/>
    </xf>
    <xf numFmtId="0" fontId="0" fillId="8" borderId="0" xfId="0" applyFill="1" applyAlignment="1">
      <alignment horizontal="right"/>
    </xf>
    <xf numFmtId="0" fontId="7" fillId="0" borderId="0" xfId="0" applyFont="1" applyAlignment="1">
      <alignment horizontal="right"/>
    </xf>
    <xf numFmtId="2" fontId="7" fillId="0" borderId="0" xfId="0" applyNumberFormat="1" applyFont="1" applyAlignment="1">
      <alignment horizontal="right"/>
    </xf>
    <xf numFmtId="2" fontId="7" fillId="0" borderId="0" xfId="0" applyNumberFormat="1" applyFont="1" applyAlignment="1" applyProtection="1">
      <alignment horizontal="right"/>
      <protection locked="0"/>
    </xf>
    <xf numFmtId="0" fontId="0" fillId="0" borderId="0" xfId="0" applyAlignment="1">
      <alignment horizontal="right"/>
    </xf>
    <xf numFmtId="0" fontId="7" fillId="0" borderId="0" xfId="0" quotePrefix="1" applyFont="1" applyAlignment="1">
      <alignment horizontal="center"/>
    </xf>
    <xf numFmtId="0" fontId="18" fillId="0" borderId="0" xfId="0" applyFont="1" applyAlignment="1">
      <alignment vertical="top"/>
    </xf>
    <xf numFmtId="0" fontId="4" fillId="0" borderId="0" xfId="0" applyFont="1" applyAlignment="1">
      <alignment vertical="top" wrapText="1"/>
    </xf>
    <xf numFmtId="0" fontId="0" fillId="7" borderId="0" xfId="0" applyFill="1" applyAlignment="1">
      <alignment horizontal="left"/>
    </xf>
    <xf numFmtId="0" fontId="0" fillId="9" borderId="0" xfId="0" quotePrefix="1" applyFill="1"/>
    <xf numFmtId="1" fontId="7" fillId="0" borderId="1" xfId="0" applyNumberFormat="1" applyFont="1" applyBorder="1" applyAlignment="1">
      <alignment horizontal="center"/>
    </xf>
    <xf numFmtId="1" fontId="7" fillId="0" borderId="0" xfId="0" applyNumberFormat="1" applyFont="1" applyProtection="1">
      <protection locked="0"/>
    </xf>
    <xf numFmtId="0" fontId="20" fillId="0" borderId="0" xfId="0" applyFont="1" applyAlignment="1">
      <alignment vertical="center"/>
    </xf>
    <xf numFmtId="0" fontId="6" fillId="0" borderId="1" xfId="0" applyFont="1" applyBorder="1" applyAlignment="1">
      <alignment horizontal="center" wrapText="1"/>
    </xf>
    <xf numFmtId="2" fontId="23" fillId="0" borderId="0" xfId="0" applyNumberFormat="1" applyFont="1"/>
    <xf numFmtId="0" fontId="7" fillId="0" borderId="0" xfId="0" applyFont="1" applyAlignment="1" applyProtection="1">
      <alignment horizontal="center" vertical="center"/>
      <protection locked="0"/>
    </xf>
    <xf numFmtId="0" fontId="7" fillId="0" borderId="0" xfId="0" applyFont="1" applyAlignment="1" applyProtection="1">
      <alignment horizontal="center"/>
      <protection locked="0"/>
    </xf>
    <xf numFmtId="0" fontId="19" fillId="0" borderId="3" xfId="0" applyFont="1" applyBorder="1"/>
    <xf numFmtId="0" fontId="7" fillId="4" borderId="0" xfId="0" applyFont="1" applyFill="1" applyAlignment="1">
      <alignment vertical="top" wrapText="1"/>
    </xf>
    <xf numFmtId="0" fontId="8" fillId="4" borderId="0" xfId="0" applyFont="1" applyFill="1" applyAlignment="1">
      <alignment horizontal="center"/>
    </xf>
    <xf numFmtId="0" fontId="8" fillId="4" borderId="0" xfId="0" applyFont="1" applyFill="1" applyAlignment="1" applyProtection="1">
      <alignment horizontal="center"/>
      <protection locked="0"/>
    </xf>
    <xf numFmtId="0" fontId="7" fillId="0" borderId="3" xfId="0" applyFont="1" applyBorder="1" applyAlignment="1" applyProtection="1">
      <alignment horizontal="center"/>
      <protection locked="0"/>
    </xf>
    <xf numFmtId="0" fontId="7" fillId="0" borderId="3" xfId="0" applyFont="1" applyBorder="1" applyAlignment="1">
      <alignment horizontal="center"/>
    </xf>
    <xf numFmtId="0" fontId="7" fillId="0" borderId="3" xfId="0" applyFont="1" applyBorder="1"/>
    <xf numFmtId="0" fontId="7" fillId="0" borderId="3" xfId="0" applyFont="1" applyBorder="1" applyProtection="1">
      <protection locked="0"/>
    </xf>
    <xf numFmtId="0" fontId="6" fillId="6" borderId="3" xfId="0" applyFont="1" applyFill="1" applyBorder="1" applyAlignment="1">
      <alignment horizontal="center"/>
    </xf>
    <xf numFmtId="0" fontId="7" fillId="0" borderId="3" xfId="0" applyFont="1" applyBorder="1" applyAlignment="1">
      <alignment horizontal="center" vertical="center"/>
    </xf>
    <xf numFmtId="0" fontId="24" fillId="0" borderId="0" xfId="0" applyFont="1" applyAlignment="1">
      <alignment vertical="center" wrapText="1"/>
    </xf>
    <xf numFmtId="0" fontId="24" fillId="0" borderId="1" xfId="0" applyFont="1" applyBorder="1" applyAlignment="1">
      <alignment vertical="center" wrapText="1"/>
    </xf>
    <xf numFmtId="0" fontId="0" fillId="0" borderId="1" xfId="0" applyBorder="1"/>
    <xf numFmtId="0" fontId="0" fillId="0" borderId="1" xfId="0" applyBorder="1" applyAlignment="1">
      <alignment horizontal="center"/>
    </xf>
    <xf numFmtId="0" fontId="7" fillId="0" borderId="0" xfId="0" applyFont="1" applyAlignment="1">
      <alignment horizontal="center" vertical="top"/>
    </xf>
    <xf numFmtId="0" fontId="6" fillId="0" borderId="1" xfId="0" applyFont="1" applyBorder="1" applyAlignment="1">
      <alignment horizontal="center" vertical="top"/>
    </xf>
    <xf numFmtId="0" fontId="7" fillId="6" borderId="0" xfId="0" applyFont="1" applyFill="1" applyAlignment="1">
      <alignment horizontal="center" vertical="top"/>
    </xf>
    <xf numFmtId="0" fontId="6" fillId="0" borderId="1" xfId="0" applyFont="1" applyBorder="1" applyAlignment="1" applyProtection="1">
      <alignment horizontal="center" vertical="top"/>
      <protection locked="0"/>
    </xf>
    <xf numFmtId="0" fontId="7" fillId="10" borderId="0" xfId="0" applyFont="1" applyFill="1" applyAlignment="1">
      <alignment horizontal="center"/>
    </xf>
    <xf numFmtId="1" fontId="7" fillId="10" borderId="0" xfId="0" applyNumberFormat="1" applyFont="1" applyFill="1" applyAlignment="1">
      <alignment horizontal="center"/>
    </xf>
    <xf numFmtId="0" fontId="7" fillId="10" borderId="3" xfId="0" applyFont="1" applyFill="1" applyBorder="1" applyAlignment="1">
      <alignment horizontal="center"/>
    </xf>
    <xf numFmtId="0" fontId="7" fillId="0" borderId="0" xfId="0" applyFont="1" applyAlignment="1" applyProtection="1">
      <alignment horizontal="center" vertical="top"/>
      <protection locked="0"/>
    </xf>
    <xf numFmtId="0" fontId="7" fillId="10" borderId="0" xfId="0" applyFont="1" applyFill="1" applyAlignment="1" applyProtection="1">
      <alignment horizontal="center"/>
      <protection locked="0"/>
    </xf>
    <xf numFmtId="14" fontId="0" fillId="0" borderId="0" xfId="0" applyNumberFormat="1" applyAlignment="1">
      <alignment horizontal="left"/>
    </xf>
    <xf numFmtId="0" fontId="7" fillId="0" borderId="4" xfId="0" applyFont="1" applyBorder="1" applyAlignment="1">
      <alignment horizontal="center"/>
    </xf>
    <xf numFmtId="0" fontId="7" fillId="0" borderId="1" xfId="0" applyFont="1" applyBorder="1" applyAlignment="1">
      <alignment vertical="top" wrapText="1"/>
    </xf>
    <xf numFmtId="0" fontId="7" fillId="0" borderId="5" xfId="0" applyFont="1" applyBorder="1"/>
    <xf numFmtId="0" fontId="7" fillId="0" borderId="6" xfId="0" applyFont="1" applyBorder="1" applyAlignment="1">
      <alignment horizontal="center"/>
    </xf>
    <xf numFmtId="0" fontId="0" fillId="0" borderId="1" xfId="0" applyBorder="1" applyAlignment="1" applyProtection="1">
      <alignment horizontal="center"/>
      <protection locked="0"/>
    </xf>
    <xf numFmtId="0" fontId="0" fillId="0" borderId="1" xfId="0" applyBorder="1" applyProtection="1">
      <protection locked="0"/>
    </xf>
    <xf numFmtId="0" fontId="7" fillId="10" borderId="0" xfId="0" applyFont="1" applyFill="1"/>
    <xf numFmtId="0" fontId="6" fillId="0" borderId="0" xfId="0" applyFont="1" applyAlignment="1" applyProtection="1">
      <alignment horizontal="center"/>
      <protection locked="0"/>
    </xf>
    <xf numFmtId="0" fontId="6" fillId="0" borderId="0" xfId="0" applyFont="1" applyAlignment="1" applyProtection="1">
      <alignment horizontal="center" vertical="top"/>
      <protection locked="0"/>
    </xf>
    <xf numFmtId="0" fontId="4" fillId="0" borderId="0" xfId="0" applyFont="1" applyAlignment="1">
      <alignment wrapText="1"/>
    </xf>
    <xf numFmtId="0" fontId="7" fillId="0" borderId="3" xfId="0" applyFont="1" applyBorder="1" applyAlignment="1" applyProtection="1">
      <alignment horizontal="center" vertical="top"/>
      <protection locked="0"/>
    </xf>
    <xf numFmtId="0" fontId="8" fillId="0" borderId="0" xfId="0" applyFont="1" applyAlignment="1" applyProtection="1">
      <alignment horizontal="center"/>
      <protection locked="0"/>
    </xf>
    <xf numFmtId="0" fontId="7" fillId="10" borderId="3" xfId="0" applyFont="1" applyFill="1" applyBorder="1" applyAlignment="1" applyProtection="1">
      <alignment horizontal="center" vertical="top"/>
      <protection locked="0"/>
    </xf>
    <xf numFmtId="0" fontId="7" fillId="10" borderId="0" xfId="0" applyFont="1" applyFill="1" applyProtection="1">
      <protection locked="0"/>
    </xf>
    <xf numFmtId="0" fontId="7" fillId="10" borderId="3" xfId="0" applyFont="1" applyFill="1" applyBorder="1" applyAlignment="1">
      <alignment horizontal="center" vertical="top"/>
    </xf>
    <xf numFmtId="0" fontId="7" fillId="0" borderId="3" xfId="0" applyFont="1" applyBorder="1" applyAlignment="1">
      <alignment horizontal="center" vertical="top"/>
    </xf>
    <xf numFmtId="0" fontId="7" fillId="6" borderId="3" xfId="0" applyFont="1" applyFill="1" applyBorder="1" applyAlignment="1">
      <alignment horizontal="center"/>
    </xf>
    <xf numFmtId="2" fontId="7" fillId="10" borderId="0" xfId="0" applyNumberFormat="1" applyFont="1" applyFill="1" applyAlignment="1">
      <alignment horizontal="center"/>
    </xf>
    <xf numFmtId="2" fontId="7" fillId="10" borderId="0" xfId="0" applyNumberFormat="1" applyFont="1" applyFill="1" applyAlignment="1" applyProtection="1">
      <alignment horizontal="center"/>
      <protection locked="0"/>
    </xf>
    <xf numFmtId="0" fontId="7" fillId="10" borderId="0" xfId="0" applyFont="1" applyFill="1" applyAlignment="1">
      <alignment horizontal="center" vertical="top"/>
    </xf>
    <xf numFmtId="0" fontId="7" fillId="10" borderId="3" xfId="0" applyFont="1" applyFill="1" applyBorder="1" applyAlignment="1" applyProtection="1">
      <alignment horizontal="center" vertical="center"/>
      <protection locked="0"/>
    </xf>
    <xf numFmtId="0" fontId="0" fillId="0" borderId="0" xfId="0" applyAlignment="1">
      <alignment horizontal="center" vertical="center"/>
    </xf>
    <xf numFmtId="0" fontId="0" fillId="0" borderId="1" xfId="0" applyBorder="1" applyAlignment="1">
      <alignment horizontal="center" vertical="center"/>
    </xf>
    <xf numFmtId="0" fontId="7" fillId="4" borderId="0" xfId="0" applyFont="1" applyFill="1" applyAlignment="1">
      <alignment horizontal="center"/>
    </xf>
    <xf numFmtId="0" fontId="8" fillId="11" borderId="0" xfId="0" applyFont="1" applyFill="1"/>
    <xf numFmtId="1" fontId="7" fillId="0" borderId="0" xfId="0" applyNumberFormat="1" applyFont="1" applyAlignment="1" applyProtection="1">
      <alignment horizontal="center"/>
      <protection locked="0"/>
    </xf>
    <xf numFmtId="2" fontId="7" fillId="0" borderId="0" xfId="4" applyNumberFormat="1" applyFont="1" applyAlignment="1">
      <alignment horizontal="center"/>
    </xf>
    <xf numFmtId="0" fontId="7" fillId="0" borderId="7" xfId="0" applyFont="1" applyBorder="1"/>
    <xf numFmtId="0" fontId="7" fillId="0" borderId="8" xfId="0" applyFont="1" applyBorder="1" applyAlignment="1">
      <alignment horizontal="center"/>
    </xf>
    <xf numFmtId="0" fontId="7" fillId="8" borderId="3" xfId="0" applyFont="1" applyFill="1" applyBorder="1" applyProtection="1">
      <protection locked="0"/>
    </xf>
    <xf numFmtId="0" fontId="0" fillId="8" borderId="3" xfId="0" applyFill="1" applyBorder="1"/>
    <xf numFmtId="0" fontId="0" fillId="12" borderId="9" xfId="0" applyFill="1" applyBorder="1"/>
    <xf numFmtId="0" fontId="0" fillId="8" borderId="10" xfId="0" applyFill="1" applyBorder="1"/>
    <xf numFmtId="0" fontId="0" fillId="8" borderId="3" xfId="0" applyFill="1" applyBorder="1" applyAlignment="1">
      <alignment horizontal="right"/>
    </xf>
    <xf numFmtId="0" fontId="7" fillId="8" borderId="3" xfId="0" applyFont="1" applyFill="1" applyBorder="1"/>
    <xf numFmtId="0" fontId="7" fillId="8" borderId="3" xfId="0" applyFont="1" applyFill="1" applyBorder="1" applyAlignment="1">
      <alignment horizontal="right"/>
    </xf>
    <xf numFmtId="0" fontId="7" fillId="8" borderId="3" xfId="0" applyFont="1" applyFill="1" applyBorder="1" applyAlignment="1" applyProtection="1">
      <alignment horizontal="right"/>
      <protection locked="0"/>
    </xf>
    <xf numFmtId="0" fontId="0" fillId="0" borderId="3" xfId="0" applyBorder="1"/>
    <xf numFmtId="0" fontId="0" fillId="8" borderId="11" xfId="0" applyFill="1" applyBorder="1"/>
    <xf numFmtId="0" fontId="0" fillId="12" borderId="3" xfId="0" applyFill="1" applyBorder="1"/>
    <xf numFmtId="0" fontId="0" fillId="0" borderId="0" xfId="0" quotePrefix="1"/>
    <xf numFmtId="0" fontId="1" fillId="8" borderId="3" xfId="0" applyFont="1" applyFill="1" applyBorder="1"/>
    <xf numFmtId="0" fontId="0" fillId="8" borderId="9" xfId="0" applyFill="1" applyBorder="1"/>
    <xf numFmtId="0" fontId="0" fillId="0" borderId="2" xfId="0" applyBorder="1"/>
    <xf numFmtId="0" fontId="0" fillId="12" borderId="11" xfId="0" applyFill="1" applyBorder="1"/>
    <xf numFmtId="14" fontId="4" fillId="0" borderId="0" xfId="0" applyNumberFormat="1" applyFont="1" applyAlignment="1">
      <alignment horizontal="center"/>
    </xf>
    <xf numFmtId="0" fontId="8" fillId="8" borderId="3" xfId="0" applyFont="1" applyFill="1" applyBorder="1" applyProtection="1">
      <protection locked="0"/>
    </xf>
    <xf numFmtId="0" fontId="29" fillId="0" borderId="0" xfId="0" applyFont="1"/>
    <xf numFmtId="0" fontId="30" fillId="0" borderId="0" xfId="0" applyFont="1"/>
    <xf numFmtId="0" fontId="6" fillId="0" borderId="0" xfId="0" applyFont="1"/>
    <xf numFmtId="0" fontId="7" fillId="0" borderId="0" xfId="0" applyFont="1"/>
    <xf numFmtId="0" fontId="0" fillId="12" borderId="3" xfId="0" applyFill="1" applyBorder="1" applyAlignment="1">
      <alignment horizontal="center" vertical="center"/>
    </xf>
    <xf numFmtId="0" fontId="0" fillId="12" borderId="5" xfId="0" applyFill="1" applyBorder="1" applyAlignment="1">
      <alignment horizontal="center" vertical="center"/>
    </xf>
    <xf numFmtId="0" fontId="0" fillId="12" borderId="4" xfId="0" applyFill="1" applyBorder="1" applyAlignment="1">
      <alignment horizontal="center" vertical="center"/>
    </xf>
    <xf numFmtId="0" fontId="0" fillId="12" borderId="6" xfId="0" applyFill="1" applyBorder="1" applyAlignment="1">
      <alignment horizontal="center" vertical="center"/>
    </xf>
    <xf numFmtId="0" fontId="7" fillId="0" borderId="0" xfId="0" applyFont="1" applyAlignment="1">
      <alignment horizontal="center"/>
    </xf>
    <xf numFmtId="0" fontId="8" fillId="4" borderId="0" xfId="0" applyFont="1" applyFill="1" applyAlignment="1">
      <alignment horizontal="center"/>
    </xf>
    <xf numFmtId="0" fontId="7" fillId="4" borderId="0" xfId="0" applyFont="1" applyFill="1" applyAlignment="1">
      <alignment vertical="top" wrapText="1"/>
    </xf>
    <xf numFmtId="0" fontId="6" fillId="6" borderId="5" xfId="0" applyFont="1" applyFill="1" applyBorder="1" applyAlignment="1">
      <alignment horizontal="center"/>
    </xf>
    <xf numFmtId="0" fontId="6" fillId="6" borderId="4" xfId="0" applyFont="1" applyFill="1" applyBorder="1" applyAlignment="1">
      <alignment horizontal="center"/>
    </xf>
    <xf numFmtId="0" fontId="6" fillId="6" borderId="6" xfId="0" applyFont="1" applyFill="1" applyBorder="1" applyAlignment="1">
      <alignment horizontal="center"/>
    </xf>
    <xf numFmtId="0" fontId="0" fillId="0" borderId="0" xfId="0" applyAlignment="1">
      <alignment horizontal="center"/>
    </xf>
    <xf numFmtId="0" fontId="17" fillId="0" borderId="0" xfId="3" applyAlignment="1">
      <alignment horizontal="center"/>
    </xf>
    <xf numFmtId="0" fontId="6" fillId="6" borderId="3" xfId="0" applyFont="1" applyFill="1" applyBorder="1" applyAlignment="1">
      <alignment horizontal="center"/>
    </xf>
    <xf numFmtId="0" fontId="0" fillId="6" borderId="3" xfId="0" applyFill="1" applyBorder="1"/>
    <xf numFmtId="0" fontId="28" fillId="4" borderId="0" xfId="0" applyFont="1" applyFill="1" applyAlignment="1">
      <alignment vertical="top" wrapText="1"/>
    </xf>
    <xf numFmtId="0" fontId="7" fillId="8" borderId="3" xfId="0" applyFont="1" applyFill="1" applyBorder="1" applyProtection="1">
      <protection locked="0"/>
    </xf>
    <xf numFmtId="0" fontId="0" fillId="8" borderId="3" xfId="0" applyFill="1" applyBorder="1"/>
    <xf numFmtId="0" fontId="7" fillId="6" borderId="3" xfId="0" applyFont="1" applyFill="1" applyBorder="1" applyAlignment="1">
      <alignment horizontal="center"/>
    </xf>
    <xf numFmtId="0" fontId="8" fillId="4" borderId="0" xfId="0" applyFont="1" applyFill="1" applyAlignment="1" applyProtection="1">
      <alignment horizontal="center"/>
      <protection locked="0"/>
    </xf>
    <xf numFmtId="0" fontId="7" fillId="4" borderId="0" xfId="0" applyFont="1" applyFill="1" applyAlignment="1">
      <alignment horizontal="left" vertical="top" wrapText="1"/>
    </xf>
    <xf numFmtId="0" fontId="7" fillId="0" borderId="0" xfId="0" applyFont="1" applyAlignment="1" applyProtection="1">
      <alignment horizontal="center"/>
      <protection locked="0"/>
    </xf>
    <xf numFmtId="0" fontId="8" fillId="8" borderId="5" xfId="0" applyFont="1" applyFill="1" applyBorder="1" applyAlignment="1" applyProtection="1">
      <alignment horizontal="left"/>
      <protection locked="0"/>
    </xf>
    <xf numFmtId="0" fontId="8" fillId="8" borderId="6" xfId="0" applyFont="1" applyFill="1" applyBorder="1" applyAlignment="1" applyProtection="1">
      <alignment horizontal="left"/>
      <protection locked="0"/>
    </xf>
    <xf numFmtId="0" fontId="8" fillId="8" borderId="5" xfId="0" applyFont="1" applyFill="1" applyBorder="1" applyAlignment="1">
      <alignment horizontal="left"/>
    </xf>
    <xf numFmtId="0" fontId="8" fillId="8" borderId="6" xfId="0" applyFont="1" applyFill="1" applyBorder="1" applyAlignment="1">
      <alignment horizontal="left"/>
    </xf>
  </cellXfs>
  <cellStyles count="6">
    <cellStyle name="Hyperlink" xfId="3" builtinId="8"/>
    <cellStyle name="Normal" xfId="0" builtinId="0"/>
    <cellStyle name="Normal 2" xfId="1" xr:uid="{00000000-0005-0000-0000-000002000000}"/>
    <cellStyle name="Normal 3" xfId="2" xr:uid="{00000000-0005-0000-0000-000003000000}"/>
    <cellStyle name="Normal 4" xfId="5" xr:uid="{00000000-0005-0000-0000-000034000000}"/>
    <cellStyle name="Normal 5" xfId="4" xr:uid="{00000000-0005-0000-0000-000033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ustomXml" Target="../customXml/item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33"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2.xml"/><Relationship Id="rId32"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1.xml"/><Relationship Id="rId28" Type="http://schemas.openxmlformats.org/officeDocument/2006/relationships/sheetMetadata" Target="metadata.xml"/><Relationship Id="rId36" Type="http://schemas.openxmlformats.org/officeDocument/2006/relationships/customXml" Target="../customXml/item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 Id="rId30" Type="http://schemas.openxmlformats.org/officeDocument/2006/relationships/calcChain" Target="calcChain.xml"/><Relationship Id="rId35" Type="http://schemas.openxmlformats.org/officeDocument/2006/relationships/customXml" Target="../customXml/item5.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10</xdr:col>
      <xdr:colOff>608322</xdr:colOff>
      <xdr:row>65</xdr:row>
      <xdr:rowOff>136071</xdr:rowOff>
    </xdr:to>
    <xdr:sp macro="" textlink="">
      <xdr:nvSpPr>
        <xdr:cNvPr id="3" name="Text Box 1">
          <a:extLst>
            <a:ext uri="{FF2B5EF4-FFF2-40B4-BE49-F238E27FC236}">
              <a16:creationId xmlns:a16="http://schemas.microsoft.com/office/drawing/2014/main" id="{00000000-0008-0000-0000-000003000000}"/>
            </a:ext>
          </a:extLst>
        </xdr:cNvPr>
        <xdr:cNvSpPr txBox="1">
          <a:spLocks noChangeArrowheads="1"/>
        </xdr:cNvSpPr>
      </xdr:nvSpPr>
      <xdr:spPr bwMode="auto">
        <a:xfrm>
          <a:off x="0" y="0"/>
          <a:ext cx="7466322" cy="11032671"/>
        </a:xfrm>
        <a:prstGeom prst="rect">
          <a:avLst/>
        </a:prstGeom>
        <a:solidFill>
          <a:srgbClr val="FFFFFF"/>
        </a:solidFill>
        <a:ln w="9525">
          <a:solidFill>
            <a:srgbClr val="000000"/>
          </a:solidFill>
          <a:miter lim="800000"/>
          <a:headEnd/>
          <a:tailEnd/>
        </a:ln>
      </xdr:spPr>
      <xdr:txBody>
        <a:bodyPr vertOverflow="clip" wrap="square" lIns="45720" tIns="36576" rIns="0" bIns="0" anchor="t" upright="1"/>
        <a:lstStyle/>
        <a:p>
          <a:pPr algn="l" rtl="0">
            <a:defRPr sz="1000"/>
          </a:pPr>
          <a:endParaRPr lang="en-US" sz="1800" b="0" i="0" u="none" strike="noStrike" baseline="0">
            <a:solidFill>
              <a:srgbClr val="000000"/>
            </a:solidFill>
            <a:latin typeface="宋体"/>
            <a:ea typeface="宋体"/>
          </a:endParaRPr>
        </a:p>
        <a:p>
          <a:pPr algn="l" rtl="0">
            <a:defRPr sz="1000"/>
          </a:pPr>
          <a:endParaRPr lang="en-US" sz="1800" b="0" i="0" u="none" strike="noStrike" baseline="0">
            <a:solidFill>
              <a:srgbClr val="969696"/>
            </a:solidFill>
            <a:latin typeface="宋体"/>
            <a:ea typeface="宋体"/>
          </a:endParaRPr>
        </a:p>
        <a:p>
          <a:pPr algn="l" rtl="0">
            <a:defRPr sz="1000"/>
          </a:pPr>
          <a:endParaRPr lang="en-US" sz="1800" b="0" i="0" u="none" strike="noStrike" baseline="0">
            <a:solidFill>
              <a:srgbClr val="969696"/>
            </a:solidFill>
            <a:latin typeface="宋体"/>
            <a:ea typeface="宋体"/>
          </a:endParaRPr>
        </a:p>
        <a:p>
          <a:pPr algn="l" rtl="0">
            <a:defRPr sz="1000"/>
          </a:pPr>
          <a:endParaRPr lang="en-US" sz="1800" b="0" i="0" u="none" strike="noStrike" baseline="0">
            <a:solidFill>
              <a:srgbClr val="969696"/>
            </a:solidFill>
            <a:latin typeface="宋体"/>
            <a:ea typeface="宋体"/>
          </a:endParaRPr>
        </a:p>
        <a:p>
          <a:pPr algn="l" rtl="0">
            <a:defRPr sz="1000"/>
          </a:pPr>
          <a:endParaRPr lang="en-US" sz="2200" b="1" i="0" u="none" strike="noStrike" baseline="0">
            <a:solidFill>
              <a:srgbClr val="333333"/>
            </a:solidFill>
            <a:latin typeface="宋体"/>
            <a:ea typeface="宋体"/>
          </a:endParaRPr>
        </a:p>
        <a:p>
          <a:pPr algn="l" rtl="0">
            <a:defRPr sz="1000"/>
          </a:pPr>
          <a:endParaRPr lang="en-US" sz="2200" b="1" i="0" u="none" strike="noStrike" baseline="0">
            <a:solidFill>
              <a:srgbClr val="333333"/>
            </a:solidFill>
            <a:latin typeface="宋体"/>
            <a:ea typeface="宋体"/>
          </a:endParaRPr>
        </a:p>
        <a:p>
          <a:pPr algn="l" rtl="0">
            <a:defRPr sz="1000"/>
          </a:pPr>
          <a:endParaRPr lang="en-US" sz="2200" b="1" i="0" u="none" strike="noStrike" baseline="0">
            <a:solidFill>
              <a:srgbClr val="333333"/>
            </a:solidFill>
            <a:latin typeface="宋体"/>
            <a:ea typeface="宋体"/>
          </a:endParaRPr>
        </a:p>
        <a:p>
          <a:pPr algn="l" rtl="0">
            <a:defRPr sz="1000"/>
          </a:pPr>
          <a:endParaRPr lang="en-US" sz="2200" b="1" i="0" u="none" strike="noStrike" baseline="0">
            <a:solidFill>
              <a:srgbClr val="808080"/>
            </a:solidFill>
            <a:latin typeface="宋体"/>
            <a:ea typeface="宋体"/>
          </a:endParaRPr>
        </a:p>
        <a:p>
          <a:pPr algn="l" rtl="0">
            <a:defRPr sz="1000"/>
          </a:pPr>
          <a:endParaRPr lang="en-US" sz="2200" b="1" i="0" u="none" strike="noStrike" baseline="0">
            <a:solidFill>
              <a:srgbClr val="333333"/>
            </a:solidFill>
            <a:latin typeface="宋体"/>
            <a:ea typeface="宋体"/>
          </a:endParaRPr>
        </a:p>
        <a:p>
          <a:pPr algn="l" rtl="0">
            <a:defRPr sz="1000"/>
          </a:pPr>
          <a:endParaRPr lang="en-US" sz="2200" b="1" i="0" u="none" strike="noStrike" baseline="0">
            <a:solidFill>
              <a:srgbClr val="808080"/>
            </a:solidFill>
            <a:latin typeface="宋体"/>
            <a:ea typeface="宋体"/>
          </a:endParaRPr>
        </a:p>
        <a:p>
          <a:pPr algn="l" rtl="0">
            <a:defRPr sz="1000"/>
          </a:pPr>
          <a:endParaRPr lang="en-US" sz="2400" b="1" i="0" u="none" strike="noStrike" baseline="0">
            <a:solidFill>
              <a:srgbClr val="1F497D"/>
            </a:solidFill>
            <a:latin typeface="宋体"/>
            <a:ea typeface="宋体"/>
          </a:endParaRPr>
        </a:p>
        <a:p>
          <a:pPr algn="l" rtl="0">
            <a:defRPr sz="1000"/>
          </a:pPr>
          <a:endParaRPr lang="en-US" sz="1400" b="1" i="0" u="none" strike="noStrike" baseline="0">
            <a:solidFill>
              <a:srgbClr val="808080"/>
            </a:solidFill>
            <a:latin typeface="宋体"/>
            <a:ea typeface="宋体"/>
          </a:endParaRPr>
        </a:p>
        <a:p>
          <a:pPr algn="l" rtl="0">
            <a:defRPr sz="1000"/>
          </a:pPr>
          <a:r>
            <a:rPr lang="en-US" sz="1400" b="1" i="0" u="none" strike="noStrike" baseline="0">
              <a:solidFill>
                <a:srgbClr val="1F497D"/>
              </a:solidFill>
              <a:latin typeface="Arial"/>
              <a:cs typeface="Arial"/>
            </a:rPr>
            <a:t>                                  </a:t>
          </a:r>
          <a:endParaRPr lang="en-US" sz="1400" b="1" i="0" u="none" strike="noStrike" baseline="0">
            <a:solidFill>
              <a:srgbClr val="1F497D"/>
            </a:solidFill>
            <a:latin typeface="宋体"/>
            <a:ea typeface="宋体"/>
          </a:endParaRPr>
        </a:p>
        <a:p>
          <a:pPr algn="l" rtl="0">
            <a:defRPr sz="1000"/>
          </a:pPr>
          <a:endParaRPr lang="en-US" sz="2200" b="1" i="0" u="none" strike="noStrike" baseline="0">
            <a:solidFill>
              <a:srgbClr val="000000"/>
            </a:solidFill>
            <a:latin typeface="宋体"/>
            <a:ea typeface="宋体"/>
          </a:endParaRPr>
        </a:p>
        <a:p>
          <a:pPr algn="l" rtl="0">
            <a:defRPr sz="1000"/>
          </a:pPr>
          <a:endParaRPr lang="en-US" sz="1800" b="0" i="0" u="none" strike="noStrike" baseline="0">
            <a:solidFill>
              <a:srgbClr val="000000"/>
            </a:solidFill>
            <a:latin typeface="宋体"/>
            <a:ea typeface="宋体"/>
          </a:endParaRPr>
        </a:p>
        <a:p>
          <a:pPr algn="l" rtl="0">
            <a:defRPr sz="1000"/>
          </a:pPr>
          <a:endParaRPr lang="en-US" sz="1800" b="0" i="0" u="none" strike="noStrike" baseline="0">
            <a:solidFill>
              <a:srgbClr val="000000"/>
            </a:solidFill>
            <a:latin typeface="宋体"/>
            <a:ea typeface="宋体"/>
          </a:endParaRPr>
        </a:p>
        <a:p>
          <a:pPr algn="l" rtl="0">
            <a:defRPr sz="1000"/>
          </a:pPr>
          <a:endParaRPr lang="en-US" sz="1800" b="0" i="0" u="none" strike="noStrike" baseline="0">
            <a:solidFill>
              <a:srgbClr val="000000"/>
            </a:solidFill>
            <a:latin typeface="宋体"/>
            <a:ea typeface="宋体"/>
          </a:endParaRPr>
        </a:p>
        <a:p>
          <a:pPr algn="l" rtl="0">
            <a:defRPr sz="1000"/>
          </a:pPr>
          <a:endParaRPr lang="en-US" sz="1800" b="0" i="0" u="none" strike="noStrike" baseline="0">
            <a:solidFill>
              <a:srgbClr val="000000"/>
            </a:solidFill>
            <a:latin typeface="宋体"/>
            <a:ea typeface="宋体"/>
          </a:endParaRPr>
        </a:p>
        <a:p>
          <a:pPr algn="l" rtl="0">
            <a:defRPr sz="1000"/>
          </a:pPr>
          <a:endParaRPr lang="en-US" sz="1800" b="0" i="0" u="none" strike="noStrike" baseline="0">
            <a:solidFill>
              <a:srgbClr val="000000"/>
            </a:solidFill>
            <a:latin typeface="宋体"/>
            <a:ea typeface="宋体"/>
          </a:endParaRPr>
        </a:p>
        <a:p>
          <a:pPr algn="l" rtl="0">
            <a:defRPr sz="1000"/>
          </a:pPr>
          <a:endParaRPr lang="en-US" sz="1800" b="0" i="0" u="none" strike="noStrike" baseline="0">
            <a:solidFill>
              <a:srgbClr val="000000"/>
            </a:solidFill>
            <a:latin typeface="宋体"/>
            <a:ea typeface="宋体"/>
          </a:endParaRPr>
        </a:p>
        <a:p>
          <a:pPr algn="l" rtl="0">
            <a:defRPr sz="1000"/>
          </a:pPr>
          <a:endParaRPr lang="en-US" sz="1800" b="0" i="0" u="none" strike="noStrike" baseline="0">
            <a:solidFill>
              <a:srgbClr val="000000"/>
            </a:solidFill>
            <a:latin typeface="宋体"/>
            <a:ea typeface="宋体"/>
          </a:endParaRPr>
        </a:p>
        <a:p>
          <a:pPr algn="l" rtl="0">
            <a:defRPr sz="1000"/>
          </a:pPr>
          <a:endParaRPr lang="en-US" sz="1200" b="1" i="0" u="none" strike="noStrike" baseline="0">
            <a:solidFill>
              <a:srgbClr val="000000"/>
            </a:solidFill>
            <a:latin typeface="宋体"/>
            <a:ea typeface="宋体"/>
          </a:endParaRPr>
        </a:p>
        <a:p>
          <a:pPr algn="l" rtl="0">
            <a:defRPr sz="1000"/>
          </a:pPr>
          <a:endParaRPr lang="en-US" sz="1200" b="1" i="0" u="none" strike="noStrike" baseline="0">
            <a:solidFill>
              <a:srgbClr val="000000"/>
            </a:solidFill>
            <a:latin typeface="宋体"/>
            <a:ea typeface="宋体"/>
          </a:endParaRPr>
        </a:p>
      </xdr:txBody>
    </xdr:sp>
    <xdr:clientData/>
  </xdr:twoCellAnchor>
  <xdr:oneCellAnchor>
    <xdr:from>
      <xdr:col>2</xdr:col>
      <xdr:colOff>261893</xdr:colOff>
      <xdr:row>13</xdr:row>
      <xdr:rowOff>61079</xdr:rowOff>
    </xdr:from>
    <xdr:ext cx="4764667" cy="769501"/>
    <xdr:sp macro="" textlink="">
      <xdr:nvSpPr>
        <xdr:cNvPr id="7" name="TextBox 6">
          <a:extLst>
            <a:ext uri="{FF2B5EF4-FFF2-40B4-BE49-F238E27FC236}">
              <a16:creationId xmlns:a16="http://schemas.microsoft.com/office/drawing/2014/main" id="{00000000-0008-0000-0000-000007000000}"/>
            </a:ext>
          </a:extLst>
        </xdr:cNvPr>
        <xdr:cNvSpPr txBox="1"/>
      </xdr:nvSpPr>
      <xdr:spPr>
        <a:xfrm>
          <a:off x="1633493" y="2240399"/>
          <a:ext cx="4764667" cy="769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p>
          <a:pPr algn="l" rtl="0">
            <a:lnSpc>
              <a:spcPts val="1300"/>
            </a:lnSpc>
            <a:defRPr sz="1000"/>
          </a:pPr>
          <a:r>
            <a:rPr lang="en-US" sz="1600" b="1" i="0" u="none" strike="noStrike" baseline="0">
              <a:solidFill>
                <a:srgbClr val="808080"/>
              </a:solidFill>
              <a:latin typeface="Arial"/>
              <a:ea typeface="Arial"/>
              <a:cs typeface="Arial"/>
            </a:rPr>
            <a:t>MantaRay NM internal document</a:t>
          </a:r>
          <a:endParaRPr lang="en-US" sz="2200" b="1" i="0" u="none" strike="noStrike" baseline="0">
            <a:solidFill>
              <a:srgbClr val="808080"/>
            </a:solidFill>
            <a:latin typeface="Arial"/>
            <a:ea typeface="Arial"/>
            <a:cs typeface="Arial"/>
          </a:endParaRPr>
        </a:p>
        <a:p>
          <a:pPr algn="l" rtl="0">
            <a:lnSpc>
              <a:spcPts val="2100"/>
            </a:lnSpc>
            <a:defRPr sz="1000"/>
          </a:pPr>
          <a:endParaRPr/>
        </a:p>
        <a:p>
          <a:pPr algn="l" rtl="0">
            <a:lnSpc>
              <a:spcPts val="2100"/>
            </a:lnSpc>
            <a:defRPr sz="1000"/>
          </a:pPr>
          <a:endParaRPr lang="en-US" sz="2200" b="1" i="0" u="none" strike="noStrike" baseline="0">
            <a:solidFill>
              <a:srgbClr val="808080"/>
            </a:solidFill>
            <a:latin typeface="Arial"/>
            <a:ea typeface="Arial"/>
            <a:cs typeface="Arial"/>
          </a:endParaRPr>
        </a:p>
      </xdr:txBody>
    </xdr:sp>
    <xdr:clientData/>
  </xdr:oneCellAnchor>
  <xdr:oneCellAnchor>
    <xdr:from>
      <xdr:col>2</xdr:col>
      <xdr:colOff>288876</xdr:colOff>
      <xdr:row>29</xdr:row>
      <xdr:rowOff>141942</xdr:rowOff>
    </xdr:from>
    <xdr:ext cx="5189904" cy="5196540"/>
    <xdr:sp macro="" textlink="">
      <xdr:nvSpPr>
        <xdr:cNvPr id="8" name="TextBox 7">
          <a:extLst>
            <a:ext uri="{FF2B5EF4-FFF2-40B4-BE49-F238E27FC236}">
              <a16:creationId xmlns:a16="http://schemas.microsoft.com/office/drawing/2014/main" id="{00000000-0008-0000-0000-000008000000}"/>
            </a:ext>
          </a:extLst>
        </xdr:cNvPr>
        <xdr:cNvSpPr txBox="1"/>
      </xdr:nvSpPr>
      <xdr:spPr>
        <a:xfrm>
          <a:off x="1693347" y="4691530"/>
          <a:ext cx="5189904" cy="51965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p>
          <a:pPr rtl="0"/>
          <a:r>
            <a:rPr lang="en-US" sz="1200" b="1" i="0" u="none" strike="noStrike" baseline="0">
              <a:solidFill>
                <a:srgbClr val="808080"/>
              </a:solidFill>
              <a:latin typeface="Arial"/>
              <a:ea typeface="Arial"/>
              <a:cs typeface="Arial"/>
            </a:rPr>
            <a:t>For following releases:</a:t>
          </a:r>
        </a:p>
        <a:p>
          <a:pPr rtl="0"/>
          <a:r>
            <a:rPr lang="en-US" sz="1200" b="1" i="0" u="none" strike="noStrike" baseline="0">
              <a:solidFill>
                <a:srgbClr val="808080"/>
              </a:solidFill>
              <a:latin typeface="Arial"/>
              <a:ea typeface="Arial"/>
              <a:cs typeface="Arial"/>
            </a:rPr>
            <a:t>MantaRay 24R1-NM</a:t>
          </a:r>
        </a:p>
        <a:p>
          <a:pPr rtl="0"/>
          <a:r>
            <a:rPr lang="en-US" sz="1200" b="1" i="0" u="none" strike="noStrike" baseline="0">
              <a:solidFill>
                <a:srgbClr val="808080"/>
              </a:solidFill>
              <a:latin typeface="Arial"/>
              <a:ea typeface="Arial"/>
              <a:cs typeface="Arial"/>
            </a:rPr>
            <a:t>MantaRay 24R1-NM SW on VMware</a:t>
          </a:r>
        </a:p>
        <a:p>
          <a:pPr rtl="0"/>
          <a:r>
            <a:rPr lang="en-US" sz="1200" b="1" i="0" u="none" strike="noStrike" baseline="0">
              <a:solidFill>
                <a:srgbClr val="808080"/>
              </a:solidFill>
              <a:latin typeface="Arial"/>
              <a:ea typeface="Arial"/>
              <a:cs typeface="Arial"/>
            </a:rPr>
            <a:t>MantaRay 24R1-NM SW on OpenStack</a:t>
          </a:r>
        </a:p>
        <a:p>
          <a:pPr rtl="0"/>
          <a:endParaRPr lang="en-US" sz="1200" b="1" i="0" u="none" strike="noStrike" baseline="0">
            <a:solidFill>
              <a:srgbClr val="808080"/>
            </a:solidFill>
            <a:latin typeface="Arial"/>
            <a:ea typeface="Arial"/>
            <a:cs typeface="Arial"/>
          </a:endParaRPr>
        </a:p>
        <a:p>
          <a:pPr rtl="0"/>
          <a:endParaRPr lang="en-US" sz="1200" b="1" i="0" u="none" strike="noStrike" baseline="0">
            <a:solidFill>
              <a:srgbClr val="808080"/>
            </a:solidFill>
            <a:latin typeface="Arial"/>
            <a:ea typeface="Arial"/>
            <a:cs typeface="Arial"/>
          </a:endParaRPr>
        </a:p>
      </xdr:txBody>
    </xdr:sp>
    <xdr:clientData/>
  </xdr:oneCellAnchor>
  <xdr:oneCellAnchor>
    <xdr:from>
      <xdr:col>2</xdr:col>
      <xdr:colOff>291354</xdr:colOff>
      <xdr:row>22</xdr:row>
      <xdr:rowOff>96934</xdr:rowOff>
    </xdr:from>
    <xdr:ext cx="5147422" cy="865091"/>
    <xdr:sp macro="" textlink="">
      <xdr:nvSpPr>
        <xdr:cNvPr id="9" name="TextBox 8">
          <a:extLst>
            <a:ext uri="{FF2B5EF4-FFF2-40B4-BE49-F238E27FC236}">
              <a16:creationId xmlns:a16="http://schemas.microsoft.com/office/drawing/2014/main" id="{00000000-0008-0000-0000-000009000000}"/>
            </a:ext>
          </a:extLst>
        </xdr:cNvPr>
        <xdr:cNvSpPr txBox="1"/>
      </xdr:nvSpPr>
      <xdr:spPr>
        <a:xfrm>
          <a:off x="1662954" y="3785014"/>
          <a:ext cx="5147422" cy="86509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p>
          <a:pPr algn="l" rtl="0">
            <a:defRPr sz="1000"/>
          </a:pPr>
          <a:r>
            <a:rPr lang="en-US" sz="2000" b="1" i="0" u="none" strike="noStrike" baseline="0">
              <a:solidFill>
                <a:srgbClr val="1F497D"/>
              </a:solidFill>
              <a:latin typeface="Arial"/>
              <a:cs typeface="Arial"/>
            </a:rPr>
            <a:t>MantaRay NM</a:t>
          </a:r>
        </a:p>
        <a:p>
          <a:pPr algn="l" rtl="0">
            <a:defRPr sz="1000"/>
          </a:pPr>
          <a:r>
            <a:rPr lang="en-US" sz="2000" b="1" i="0" u="none" strike="noStrike" baseline="0">
              <a:solidFill>
                <a:srgbClr val="1F497D"/>
              </a:solidFill>
              <a:latin typeface="Arial"/>
              <a:cs typeface="Arial"/>
            </a:rPr>
            <a:t>Node Architecture and Resource Plan</a:t>
          </a:r>
        </a:p>
        <a:p>
          <a:pPr algn="l" rtl="0">
            <a:defRPr sz="1000"/>
          </a:pPr>
          <a:endParaRPr lang="en-US" sz="2000" b="1" i="0" u="none" strike="noStrike" baseline="0">
            <a:solidFill>
              <a:srgbClr val="1F497D"/>
            </a:solidFill>
            <a:latin typeface="Arial"/>
            <a:cs typeface="Arial"/>
          </a:endParaRPr>
        </a:p>
      </xdr:txBody>
    </xdr:sp>
    <xdr:clientData/>
  </xdr:oneCellAnchor>
  <xdr:twoCellAnchor editAs="oneCell">
    <xdr:from>
      <xdr:col>0</xdr:col>
      <xdr:colOff>582706</xdr:colOff>
      <xdr:row>2</xdr:row>
      <xdr:rowOff>59765</xdr:rowOff>
    </xdr:from>
    <xdr:to>
      <xdr:col>5</xdr:col>
      <xdr:colOff>2252</xdr:colOff>
      <xdr:row>9</xdr:row>
      <xdr:rowOff>85399</xdr:rowOff>
    </xdr:to>
    <xdr:pic>
      <xdr:nvPicPr>
        <xdr:cNvPr id="4" name="Picture 3">
          <a:extLst>
            <a:ext uri="{FF2B5EF4-FFF2-40B4-BE49-F238E27FC236}">
              <a16:creationId xmlns:a16="http://schemas.microsoft.com/office/drawing/2014/main" id="{FE5690AD-1313-1435-80C3-515AA513FE66}"/>
            </a:ext>
          </a:extLst>
        </xdr:cNvPr>
        <xdr:cNvPicPr>
          <a:picLocks noChangeAspect="1"/>
        </xdr:cNvPicPr>
      </xdr:nvPicPr>
      <xdr:blipFill>
        <a:blip xmlns:r="http://schemas.openxmlformats.org/officeDocument/2006/relationships" r:embed="rId1"/>
        <a:stretch>
          <a:fillRect/>
        </a:stretch>
      </xdr:blipFill>
      <xdr:spPr>
        <a:xfrm>
          <a:off x="582706" y="373530"/>
          <a:ext cx="2904762" cy="1123810"/>
        </a:xfrm>
        <a:prstGeom prst="rect">
          <a:avLst/>
        </a:prstGeom>
      </xdr:spPr>
    </xdr:pic>
    <xdr:clientData/>
  </xdr:twoCellAnchor>
  <xdr:twoCellAnchor>
    <xdr:from>
      <xdr:col>0</xdr:col>
      <xdr:colOff>0</xdr:colOff>
      <xdr:row>67</xdr:row>
      <xdr:rowOff>5637</xdr:rowOff>
    </xdr:from>
    <xdr:to>
      <xdr:col>10</xdr:col>
      <xdr:colOff>590176</xdr:colOff>
      <xdr:row>135</xdr:row>
      <xdr:rowOff>40932</xdr:rowOff>
    </xdr:to>
    <xdr:sp macro="" textlink="">
      <xdr:nvSpPr>
        <xdr:cNvPr id="5" name="Text Box 2">
          <a:extLst>
            <a:ext uri="{FF2B5EF4-FFF2-40B4-BE49-F238E27FC236}">
              <a16:creationId xmlns:a16="http://schemas.microsoft.com/office/drawing/2014/main" id="{A42243E8-8EA3-4B8E-B178-544E82EF8B90}"/>
            </a:ext>
          </a:extLst>
        </xdr:cNvPr>
        <xdr:cNvSpPr txBox="1">
          <a:spLocks noChangeArrowheads="1"/>
        </xdr:cNvSpPr>
      </xdr:nvSpPr>
      <xdr:spPr bwMode="auto">
        <a:xfrm>
          <a:off x="0" y="10516755"/>
          <a:ext cx="7612529" cy="10703295"/>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endParaRPr lang="pl-PL" sz="1000" b="0" i="0" u="none" strike="noStrike" baseline="0">
            <a:solidFill>
              <a:srgbClr val="000000"/>
            </a:solidFill>
            <a:latin typeface="Arial"/>
            <a:cs typeface="Arial"/>
          </a:endParaRPr>
        </a:p>
        <a:p>
          <a:pPr lvl="1"/>
          <a:endParaRPr lang="pl-PL" sz="1000" baseline="0">
            <a:latin typeface="Arial" pitchFamily="34" charset="0"/>
            <a:ea typeface="+mn-ea"/>
            <a:cs typeface="Arial" pitchFamily="34" charset="0"/>
          </a:endParaRPr>
        </a:p>
        <a:p>
          <a:pPr lvl="1"/>
          <a:endParaRPr lang="pl-PL" sz="1000" baseline="0">
            <a:latin typeface="Arial" pitchFamily="34" charset="0"/>
            <a:ea typeface="+mn-ea"/>
            <a:cs typeface="Arial" pitchFamily="34" charset="0"/>
          </a:endParaRPr>
        </a:p>
        <a:p>
          <a:pPr lvl="1"/>
          <a:endParaRPr lang="pl-PL" sz="1000" baseline="0">
            <a:latin typeface="Arial" pitchFamily="34" charset="0"/>
            <a:ea typeface="+mn-ea"/>
            <a:cs typeface="Arial" pitchFamily="34" charset="0"/>
          </a:endParaRPr>
        </a:p>
        <a:p>
          <a:r>
            <a:rPr lang="pl-PL" sz="1100" baseline="0">
              <a:latin typeface="+mn-lt"/>
              <a:ea typeface="+mn-ea"/>
              <a:cs typeface="+mn-cs"/>
            </a:rPr>
            <a:t>	</a:t>
          </a:r>
          <a:r>
            <a:rPr lang="en-US" sz="1000" baseline="0">
              <a:latin typeface="Arial" pitchFamily="34" charset="0"/>
              <a:ea typeface="+mn-ea"/>
              <a:cs typeface="Arial" pitchFamily="34" charset="0"/>
            </a:rPr>
            <a:t>The information in this document applies solely to the hardware/software product (“Product”) specified</a:t>
          </a:r>
        </a:p>
        <a:p>
          <a:r>
            <a:rPr lang="en-US" sz="1000" baseline="0">
              <a:latin typeface="Arial" pitchFamily="34" charset="0"/>
              <a:ea typeface="+mn-ea"/>
              <a:cs typeface="Arial" pitchFamily="34" charset="0"/>
            </a:rPr>
            <a:t>	herein, and only as specified herein.</a:t>
          </a:r>
        </a:p>
        <a:p>
          <a:endParaRPr lang="en-US" sz="1000" baseline="0">
            <a:latin typeface="Arial" pitchFamily="34" charset="0"/>
            <a:ea typeface="+mn-ea"/>
            <a:cs typeface="Arial" pitchFamily="34" charset="0"/>
          </a:endParaRPr>
        </a:p>
        <a:p>
          <a:r>
            <a:rPr lang="en-US" sz="1000" baseline="0">
              <a:latin typeface="Arial" pitchFamily="34" charset="0"/>
              <a:ea typeface="+mn-ea"/>
              <a:cs typeface="Arial" pitchFamily="34" charset="0"/>
            </a:rPr>
            <a:t>	The information in this document applies solely to the hardware/software product (“Product”) specified</a:t>
          </a:r>
        </a:p>
        <a:p>
          <a:r>
            <a:rPr lang="en-US" sz="1000" baseline="0">
              <a:latin typeface="Arial" pitchFamily="34" charset="0"/>
              <a:ea typeface="+mn-ea"/>
              <a:cs typeface="Arial" pitchFamily="34" charset="0"/>
            </a:rPr>
            <a:t>	herein, and only as specified herein.</a:t>
          </a:r>
        </a:p>
        <a:p>
          <a:endParaRPr lang="en-US" sz="1000" baseline="0">
            <a:latin typeface="Arial" pitchFamily="34" charset="0"/>
            <a:ea typeface="+mn-ea"/>
            <a:cs typeface="Arial" pitchFamily="34" charset="0"/>
          </a:endParaRPr>
        </a:p>
        <a:p>
          <a:r>
            <a:rPr lang="en-US" sz="1000" baseline="0">
              <a:latin typeface="Arial" pitchFamily="34" charset="0"/>
              <a:ea typeface="+mn-ea"/>
              <a:cs typeface="Arial" pitchFamily="34" charset="0"/>
            </a:rPr>
            <a:t>	This document is intended for use by Nokia's customers (“You”) only, and it may not</a:t>
          </a:r>
        </a:p>
        <a:p>
          <a:r>
            <a:rPr lang="en-US" sz="1000" baseline="0">
              <a:latin typeface="Arial" pitchFamily="34" charset="0"/>
              <a:ea typeface="+mn-ea"/>
              <a:cs typeface="Arial" pitchFamily="34" charset="0"/>
            </a:rPr>
            <a:t>	be used except for the purposes defined in the agreement between You and Nokia</a:t>
          </a:r>
        </a:p>
        <a:p>
          <a:r>
            <a:rPr lang="en-US" sz="1000" baseline="0">
              <a:latin typeface="Arial" pitchFamily="34" charset="0"/>
              <a:ea typeface="+mn-ea"/>
              <a:cs typeface="Arial" pitchFamily="34" charset="0"/>
            </a:rPr>
            <a:t>	(“Agreement”) under which this document is distributed. No part of this document may be used, copied,</a:t>
          </a:r>
        </a:p>
        <a:p>
          <a:r>
            <a:rPr lang="en-US" sz="1000" baseline="0">
              <a:latin typeface="Arial" pitchFamily="34" charset="0"/>
              <a:ea typeface="+mn-ea"/>
              <a:cs typeface="Arial" pitchFamily="34" charset="0"/>
            </a:rPr>
            <a:t>	reproduced, modified or transmitted in any form or means without the prior written permission of Nokia. If 	         	you have not entered into an Agreement applicable to the Product, or if that</a:t>
          </a:r>
        </a:p>
        <a:p>
          <a:r>
            <a:rPr lang="en-US" sz="1000" baseline="0">
              <a:latin typeface="Arial" pitchFamily="34" charset="0"/>
              <a:ea typeface="+mn-ea"/>
              <a:cs typeface="Arial" pitchFamily="34" charset="0"/>
            </a:rPr>
            <a:t>	Agreement has expired or has been terminated, You may not use this document in any manner and You</a:t>
          </a:r>
        </a:p>
        <a:p>
          <a:r>
            <a:rPr lang="en-US" sz="1000" baseline="0">
              <a:latin typeface="Arial" pitchFamily="34" charset="0"/>
              <a:ea typeface="+mn-ea"/>
              <a:cs typeface="Arial" pitchFamily="34" charset="0"/>
            </a:rPr>
            <a:t>	are obliged to return it to Nokia and destroy or delete any copies thereof.</a:t>
          </a:r>
        </a:p>
        <a:p>
          <a:endParaRPr lang="en-US" sz="1000" baseline="0">
            <a:latin typeface="Arial" pitchFamily="34" charset="0"/>
            <a:ea typeface="+mn-ea"/>
            <a:cs typeface="Arial" pitchFamily="34" charset="0"/>
          </a:endParaRPr>
        </a:p>
        <a:p>
          <a:r>
            <a:rPr lang="en-US" sz="1000" baseline="0">
              <a:latin typeface="Arial" pitchFamily="34" charset="0"/>
              <a:ea typeface="+mn-ea"/>
              <a:cs typeface="Arial" pitchFamily="34" charset="0"/>
            </a:rPr>
            <a:t>	The document has been prepared to be used by professional and properly trained personnel, and You</a:t>
          </a:r>
        </a:p>
        <a:p>
          <a:r>
            <a:rPr lang="en-US" sz="1000" baseline="0">
              <a:latin typeface="Arial" pitchFamily="34" charset="0"/>
              <a:ea typeface="+mn-ea"/>
              <a:cs typeface="Arial" pitchFamily="34" charset="0"/>
            </a:rPr>
            <a:t>	assume full responsibility when using it. Nokia welcome Your comments as part of</a:t>
          </a:r>
        </a:p>
        <a:p>
          <a:r>
            <a:rPr lang="en-US" sz="1000" baseline="0">
              <a:latin typeface="Arial" pitchFamily="34" charset="0"/>
              <a:ea typeface="+mn-ea"/>
              <a:cs typeface="Arial" pitchFamily="34" charset="0"/>
            </a:rPr>
            <a:t>	the process of continuous development and improvement of the documentation.</a:t>
          </a:r>
        </a:p>
        <a:p>
          <a:endParaRPr lang="en-US" sz="1000" baseline="0">
            <a:latin typeface="Arial" pitchFamily="34" charset="0"/>
            <a:ea typeface="+mn-ea"/>
            <a:cs typeface="Arial" pitchFamily="34" charset="0"/>
          </a:endParaRPr>
        </a:p>
        <a:p>
          <a:r>
            <a:rPr lang="en-US" sz="1000" baseline="0">
              <a:latin typeface="Arial" pitchFamily="34" charset="0"/>
              <a:ea typeface="+mn-ea"/>
              <a:cs typeface="Arial" pitchFamily="34" charset="0"/>
            </a:rPr>
            <a:t>	This document and its contents are provided as a convenience to You. Any information or statements</a:t>
          </a:r>
        </a:p>
        <a:p>
          <a:r>
            <a:rPr lang="en-US" sz="1000" baseline="0">
              <a:latin typeface="Arial" pitchFamily="34" charset="0"/>
              <a:ea typeface="+mn-ea"/>
              <a:cs typeface="Arial" pitchFamily="34" charset="0"/>
            </a:rPr>
            <a:t>	concerning the suitability, capacity, fitness for purpose or performance of the Product are given solely on</a:t>
          </a:r>
        </a:p>
        <a:p>
          <a:r>
            <a:rPr lang="en-US" sz="1000" baseline="0">
              <a:latin typeface="Arial" pitchFamily="34" charset="0"/>
              <a:ea typeface="+mn-ea"/>
              <a:cs typeface="Arial" pitchFamily="34" charset="0"/>
            </a:rPr>
            <a:t>	an “as is” and “as available” basis in this document, and Nokia reserves the right</a:t>
          </a:r>
        </a:p>
        <a:p>
          <a:r>
            <a:rPr lang="en-US" sz="1000" baseline="0">
              <a:latin typeface="Arial" pitchFamily="34" charset="0"/>
              <a:ea typeface="+mn-ea"/>
              <a:cs typeface="Arial" pitchFamily="34" charset="0"/>
            </a:rPr>
            <a:t>	to change any such information and statements without notice. Nokia has made all</a:t>
          </a:r>
        </a:p>
        <a:p>
          <a:r>
            <a:rPr lang="en-US" sz="1000" baseline="0">
              <a:latin typeface="Arial" pitchFamily="34" charset="0"/>
              <a:ea typeface="+mn-ea"/>
              <a:cs typeface="Arial" pitchFamily="34" charset="0"/>
            </a:rPr>
            <a:t>	reasonable efforts to ensure that the content of this document is adequate and free of material errors and</a:t>
          </a:r>
        </a:p>
        <a:p>
          <a:r>
            <a:rPr lang="en-US" sz="1000" baseline="0">
              <a:latin typeface="Arial" pitchFamily="34" charset="0"/>
              <a:ea typeface="+mn-ea"/>
              <a:cs typeface="Arial" pitchFamily="34" charset="0"/>
            </a:rPr>
            <a:t>	omissions, and Nokia will correct errors that You identify in this document. But,</a:t>
          </a:r>
        </a:p>
        <a:p>
          <a:r>
            <a:rPr lang="en-US" sz="1000" baseline="0">
              <a:latin typeface="Arial" pitchFamily="34" charset="0"/>
              <a:ea typeface="+mn-ea"/>
              <a:cs typeface="Arial" pitchFamily="34" charset="0"/>
            </a:rPr>
            <a:t>	Nokia's total liability for any errors in the document is strictly limited to the correction</a:t>
          </a:r>
        </a:p>
        <a:p>
          <a:r>
            <a:rPr lang="en-US" sz="1000" baseline="0">
              <a:latin typeface="Arial" pitchFamily="34" charset="0"/>
              <a:ea typeface="+mn-ea"/>
              <a:cs typeface="Arial" pitchFamily="34" charset="0"/>
            </a:rPr>
            <a:t>	of such error(s). Nokia does not warrant that the use of the software in the Product</a:t>
          </a:r>
        </a:p>
        <a:p>
          <a:r>
            <a:rPr lang="en-US" sz="1000" baseline="0">
              <a:latin typeface="Arial" pitchFamily="34" charset="0"/>
              <a:ea typeface="+mn-ea"/>
              <a:cs typeface="Arial" pitchFamily="34" charset="0"/>
            </a:rPr>
            <a:t>	will be uninterrupted or error-free.</a:t>
          </a:r>
        </a:p>
        <a:p>
          <a:endParaRPr lang="en-US" sz="1000" baseline="0">
            <a:latin typeface="Arial" pitchFamily="34" charset="0"/>
            <a:ea typeface="+mn-ea"/>
            <a:cs typeface="Arial" pitchFamily="34" charset="0"/>
          </a:endParaRPr>
        </a:p>
        <a:p>
          <a:r>
            <a:rPr lang="en-US" sz="1000" baseline="0">
              <a:latin typeface="Arial" pitchFamily="34" charset="0"/>
              <a:ea typeface="+mn-ea"/>
              <a:cs typeface="Arial" pitchFamily="34" charset="0"/>
            </a:rPr>
            <a:t>	NO WARRANTY OF ANY KIND, EITHER EXPRESS OR IMPLIED, INCLUDING BUT NOT LIMITED TO</a:t>
          </a:r>
        </a:p>
        <a:p>
          <a:r>
            <a:rPr lang="en-US" sz="1000" baseline="0">
              <a:latin typeface="Arial" pitchFamily="34" charset="0"/>
              <a:ea typeface="+mn-ea"/>
              <a:cs typeface="Arial" pitchFamily="34" charset="0"/>
            </a:rPr>
            <a:t>	ANY WARRANTY OF AVAILABILITY, ACCURACY, RELIABILITY, TITLE, NON-INFRINGEMENT,</a:t>
          </a:r>
        </a:p>
        <a:p>
          <a:r>
            <a:rPr lang="en-US" sz="1000" baseline="0">
              <a:latin typeface="Arial" pitchFamily="34" charset="0"/>
              <a:ea typeface="+mn-ea"/>
              <a:cs typeface="Arial" pitchFamily="34" charset="0"/>
            </a:rPr>
            <a:t>	MERCHANTABILITY OR FITNESS FOR A PARTICULAR PURPOSE, IS MADE IN RELATION TO THE</a:t>
          </a:r>
        </a:p>
        <a:p>
          <a:r>
            <a:rPr lang="en-US" sz="1000" baseline="0">
              <a:latin typeface="Arial" pitchFamily="34" charset="0"/>
              <a:ea typeface="+mn-ea"/>
              <a:cs typeface="Arial" pitchFamily="34" charset="0"/>
            </a:rPr>
            <a:t>	CONTENT OF THIS DOCUMENT. IN NO EVENT WILL NOKIA BE</a:t>
          </a:r>
        </a:p>
        <a:p>
          <a:r>
            <a:rPr lang="en-US" sz="1000" baseline="0">
              <a:latin typeface="Arial" pitchFamily="34" charset="0"/>
              <a:ea typeface="+mn-ea"/>
              <a:cs typeface="Arial" pitchFamily="34" charset="0"/>
            </a:rPr>
            <a:t>	LIABLE FOR ANY DAMAGES, INCLUDING BUT NOT LIMITED TO SPECIAL, DIRECT, INDIRECT,</a:t>
          </a:r>
        </a:p>
        <a:p>
          <a:r>
            <a:rPr lang="en-US" sz="1000" baseline="0">
              <a:latin typeface="Arial" pitchFamily="34" charset="0"/>
              <a:ea typeface="+mn-ea"/>
              <a:cs typeface="Arial" pitchFamily="34" charset="0"/>
            </a:rPr>
            <a:t>	INCIDENTAL OR CONSEQUENTIAL OR ANY LOSSES, SUCH AS BUT NOT LIMITED TO LOSS OF</a:t>
          </a:r>
        </a:p>
        <a:p>
          <a:r>
            <a:rPr lang="en-US" sz="1000" baseline="0">
              <a:latin typeface="Arial" pitchFamily="34" charset="0"/>
              <a:ea typeface="+mn-ea"/>
              <a:cs typeface="Arial" pitchFamily="34" charset="0"/>
            </a:rPr>
            <a:t>	PROFIT, REVENUE, BUSINESS INTERRUPTION, BUSINESS OPPORTUNITY OR DATA THAT MAY</a:t>
          </a:r>
        </a:p>
        <a:p>
          <a:r>
            <a:rPr lang="en-US" sz="1000" baseline="0">
              <a:latin typeface="Arial" pitchFamily="34" charset="0"/>
              <a:ea typeface="+mn-ea"/>
              <a:cs typeface="Arial" pitchFamily="34" charset="0"/>
            </a:rPr>
            <a:t>	ARISE FROM THE USE OF THIS DOCUMENT OR THE INFORMATION IN IT, EVEN IN THE CASE OF</a:t>
          </a:r>
        </a:p>
        <a:p>
          <a:r>
            <a:rPr lang="en-US" sz="1000" baseline="0">
              <a:latin typeface="Arial" pitchFamily="34" charset="0"/>
              <a:ea typeface="+mn-ea"/>
              <a:cs typeface="Arial" pitchFamily="34" charset="0"/>
            </a:rPr>
            <a:t>	ERRORS IN OR OMISSIONS FROM THIS DOCUMENT OR ITS CONTENT.</a:t>
          </a:r>
        </a:p>
        <a:p>
          <a:endParaRPr lang="en-US" sz="1000" baseline="0">
            <a:latin typeface="Arial" pitchFamily="34" charset="0"/>
            <a:ea typeface="+mn-ea"/>
            <a:cs typeface="Arial" pitchFamily="34" charset="0"/>
          </a:endParaRPr>
        </a:p>
        <a:p>
          <a:r>
            <a:rPr lang="en-US" sz="1000" baseline="0">
              <a:latin typeface="Arial" pitchFamily="34" charset="0"/>
              <a:ea typeface="+mn-ea"/>
              <a:cs typeface="Arial" pitchFamily="34" charset="0"/>
            </a:rPr>
            <a:t>	This document is Nokia's proprietary and confidential information, which may not be</a:t>
          </a:r>
        </a:p>
        <a:p>
          <a:r>
            <a:rPr lang="en-US" sz="1000" baseline="0">
              <a:latin typeface="Arial" pitchFamily="34" charset="0"/>
              <a:ea typeface="+mn-ea"/>
              <a:cs typeface="Arial" pitchFamily="34" charset="0"/>
            </a:rPr>
            <a:t>	distributed or disclosed to any third parties without the prior written consent of Nokia.</a:t>
          </a:r>
        </a:p>
        <a:p>
          <a:endParaRPr lang="en-US" sz="1000" baseline="0">
            <a:latin typeface="Arial" pitchFamily="34" charset="0"/>
            <a:ea typeface="+mn-ea"/>
            <a:cs typeface="Arial" pitchFamily="34" charset="0"/>
          </a:endParaRPr>
        </a:p>
        <a:p>
          <a:r>
            <a:rPr lang="en-US" sz="1000" baseline="0">
              <a:latin typeface="Arial" pitchFamily="34" charset="0"/>
              <a:ea typeface="+mn-ea"/>
              <a:cs typeface="Arial" pitchFamily="34" charset="0"/>
            </a:rPr>
            <a:t>	Nokia is a registered trademark of Nokia Corporation. Other product names mentioned in this document</a:t>
          </a:r>
        </a:p>
        <a:p>
          <a:r>
            <a:rPr lang="en-US" sz="1000" baseline="0">
              <a:latin typeface="Arial" pitchFamily="34" charset="0"/>
              <a:ea typeface="+mn-ea"/>
              <a:cs typeface="Arial" pitchFamily="34" charset="0"/>
            </a:rPr>
            <a:t>	may be trademarks of their respective owners, and they are mentioned for identification purposes only.</a:t>
          </a:r>
        </a:p>
        <a:p>
          <a:endParaRPr lang="en-US" sz="1000" baseline="0">
            <a:latin typeface="Arial" pitchFamily="34" charset="0"/>
            <a:ea typeface="+mn-ea"/>
            <a:cs typeface="Arial" pitchFamily="34" charset="0"/>
          </a:endParaRPr>
        </a:p>
        <a:p>
          <a:r>
            <a:rPr lang="en-US" sz="1000" baseline="0">
              <a:latin typeface="Arial" pitchFamily="34" charset="0"/>
              <a:ea typeface="+mn-ea"/>
              <a:cs typeface="Arial" pitchFamily="34" charset="0"/>
            </a:rPr>
            <a:t>	Copyright © 2022 Nokia. All rights reserved.</a:t>
          </a:r>
        </a:p>
        <a:p>
          <a:endParaRPr lang="en-US" sz="1000" baseline="0">
            <a:latin typeface="Arial" pitchFamily="34" charset="0"/>
            <a:ea typeface="+mn-ea"/>
            <a:cs typeface="Arial" pitchFamily="34" charset="0"/>
          </a:endParaRPr>
        </a:p>
        <a:p>
          <a:r>
            <a:rPr lang="en-US" sz="1000" baseline="0">
              <a:latin typeface="Arial" pitchFamily="34" charset="0"/>
              <a:ea typeface="+mn-ea"/>
              <a:cs typeface="Arial" pitchFamily="34" charset="0"/>
            </a:rPr>
            <a:t>		</a:t>
          </a:r>
          <a:r>
            <a:rPr lang="en-US" sz="1000" b="1" baseline="0">
              <a:latin typeface="Arial" pitchFamily="34" charset="0"/>
              <a:ea typeface="+mn-ea"/>
              <a:cs typeface="Arial" pitchFamily="34" charset="0"/>
            </a:rPr>
            <a:t>Important Notice on Product Safety</a:t>
          </a:r>
        </a:p>
        <a:p>
          <a:r>
            <a:rPr lang="en-US" sz="1000" baseline="0">
              <a:latin typeface="Arial" pitchFamily="34" charset="0"/>
              <a:ea typeface="+mn-ea"/>
              <a:cs typeface="Arial" pitchFamily="34" charset="0"/>
            </a:rPr>
            <a:t>		This product may present safety risks due to laser, electricity, heat, and other sources of </a:t>
          </a:r>
        </a:p>
        <a:p>
          <a:r>
            <a:rPr lang="en-US" sz="1000" baseline="0">
              <a:latin typeface="Arial" pitchFamily="34" charset="0"/>
              <a:ea typeface="+mn-ea"/>
              <a:cs typeface="Arial" pitchFamily="34" charset="0"/>
            </a:rPr>
            <a:t>		danger.</a:t>
          </a:r>
        </a:p>
        <a:p>
          <a:endParaRPr lang="en-US" sz="1000" baseline="0">
            <a:latin typeface="Arial" pitchFamily="34" charset="0"/>
            <a:ea typeface="+mn-ea"/>
            <a:cs typeface="Arial" pitchFamily="34" charset="0"/>
          </a:endParaRPr>
        </a:p>
        <a:p>
          <a:r>
            <a:rPr lang="en-US" sz="1000" baseline="0">
              <a:latin typeface="Arial" pitchFamily="34" charset="0"/>
              <a:ea typeface="+mn-ea"/>
              <a:cs typeface="Arial" pitchFamily="34" charset="0"/>
            </a:rPr>
            <a:t>		Only trained and qualified personnel may install, operate, maintain or otherwise handle this</a:t>
          </a:r>
        </a:p>
        <a:p>
          <a:r>
            <a:rPr lang="en-US" sz="1000" baseline="0">
              <a:latin typeface="Arial" pitchFamily="34" charset="0"/>
              <a:ea typeface="+mn-ea"/>
              <a:cs typeface="Arial" pitchFamily="34" charset="0"/>
            </a:rPr>
            <a:t>		product and only after having carefully read the safety information applicable to this product.</a:t>
          </a:r>
        </a:p>
        <a:p>
          <a:endParaRPr lang="en-US" sz="1000" baseline="0">
            <a:latin typeface="Arial" pitchFamily="34" charset="0"/>
            <a:ea typeface="+mn-ea"/>
            <a:cs typeface="Arial" pitchFamily="34" charset="0"/>
          </a:endParaRPr>
        </a:p>
        <a:p>
          <a:r>
            <a:rPr lang="en-US" sz="1000" baseline="0">
              <a:latin typeface="Arial" pitchFamily="34" charset="0"/>
              <a:ea typeface="+mn-ea"/>
              <a:cs typeface="Arial" pitchFamily="34" charset="0"/>
            </a:rPr>
            <a:t>		The safety information is provided in the Safety Information section in the “Legal, Safety and</a:t>
          </a:r>
        </a:p>
        <a:p>
          <a:r>
            <a:rPr lang="en-US" sz="1000" baseline="0">
              <a:latin typeface="Arial" pitchFamily="34" charset="0"/>
              <a:ea typeface="+mn-ea"/>
              <a:cs typeface="Arial" pitchFamily="34" charset="0"/>
            </a:rPr>
            <a:t>		Environmental Information” part of this document or documentation set.</a:t>
          </a:r>
        </a:p>
        <a:p>
          <a:r>
            <a:rPr lang="en-US" sz="1000" baseline="0">
              <a:latin typeface="Arial" pitchFamily="34" charset="0"/>
              <a:ea typeface="+mn-ea"/>
              <a:cs typeface="Arial" pitchFamily="34" charset="0"/>
            </a:rPr>
            <a:t>	</a:t>
          </a:r>
        </a:p>
        <a:p>
          <a:r>
            <a:rPr lang="en-US" sz="1000" baseline="0">
              <a:latin typeface="Arial" pitchFamily="34" charset="0"/>
              <a:ea typeface="+mn-ea"/>
              <a:cs typeface="Arial" pitchFamily="34" charset="0"/>
            </a:rPr>
            <a:t>	Nokia is continually striving to reduce the adverse environmental effects of its</a:t>
          </a:r>
        </a:p>
        <a:p>
          <a:r>
            <a:rPr lang="en-US" sz="1000" baseline="0">
              <a:latin typeface="Arial" pitchFamily="34" charset="0"/>
              <a:ea typeface="+mn-ea"/>
              <a:cs typeface="Arial" pitchFamily="34" charset="0"/>
            </a:rPr>
            <a:t>	products and services. We would like to encourage you as our customers and users to join us in working</a:t>
          </a:r>
        </a:p>
        <a:p>
          <a:r>
            <a:rPr lang="en-US" sz="1000" baseline="0">
              <a:latin typeface="Arial" pitchFamily="34" charset="0"/>
              <a:ea typeface="+mn-ea"/>
              <a:cs typeface="Arial" pitchFamily="34" charset="0"/>
            </a:rPr>
            <a:t>	towards a cleaner, safer environment. Please recycle product packaging and follow the recommendations</a:t>
          </a:r>
        </a:p>
        <a:p>
          <a:r>
            <a:rPr lang="en-US" sz="1000" baseline="0">
              <a:latin typeface="Arial" pitchFamily="34" charset="0"/>
              <a:ea typeface="+mn-ea"/>
              <a:cs typeface="Arial" pitchFamily="34" charset="0"/>
            </a:rPr>
            <a:t>	for power use and proper disposal of our products and their components.</a:t>
          </a:r>
        </a:p>
        <a:p>
          <a:r>
            <a:rPr lang="en-US" sz="1000" baseline="0">
              <a:latin typeface="Arial" pitchFamily="34" charset="0"/>
              <a:ea typeface="+mn-ea"/>
              <a:cs typeface="Arial" pitchFamily="34" charset="0"/>
            </a:rPr>
            <a:t>	</a:t>
          </a:r>
        </a:p>
        <a:p>
          <a:r>
            <a:rPr lang="en-US" sz="1000" baseline="0">
              <a:latin typeface="Arial" pitchFamily="34" charset="0"/>
              <a:ea typeface="+mn-ea"/>
              <a:cs typeface="Arial" pitchFamily="34" charset="0"/>
            </a:rPr>
            <a:t>	If you should have questions regarding our Environmental Policy or any of the environmental services we</a:t>
          </a:r>
        </a:p>
        <a:p>
          <a:r>
            <a:rPr lang="en-US" sz="1000" baseline="0">
              <a:latin typeface="Arial" pitchFamily="34" charset="0"/>
              <a:ea typeface="+mn-ea"/>
              <a:cs typeface="Arial" pitchFamily="34" charset="0"/>
            </a:rPr>
            <a:t>	offer, please contact us at Nokia for any additional information.</a:t>
          </a:r>
          <a:endParaRPr lang="pl-PL" sz="1000" baseline="0">
            <a:latin typeface="Arial" pitchFamily="34" charset="0"/>
            <a:ea typeface="+mn-ea"/>
            <a:cs typeface="Arial"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201704</xdr:colOff>
      <xdr:row>0</xdr:row>
      <xdr:rowOff>104588</xdr:rowOff>
    </xdr:from>
    <xdr:to>
      <xdr:col>0</xdr:col>
      <xdr:colOff>1606175</xdr:colOff>
      <xdr:row>3</xdr:row>
      <xdr:rowOff>29883</xdr:rowOff>
    </xdr:to>
    <xdr:pic>
      <xdr:nvPicPr>
        <xdr:cNvPr id="2" name="Picture 1">
          <a:extLst>
            <a:ext uri="{FF2B5EF4-FFF2-40B4-BE49-F238E27FC236}">
              <a16:creationId xmlns:a16="http://schemas.microsoft.com/office/drawing/2014/main" id="{CFFE3CBF-0F7D-428D-B9E1-86C99B3172EB}"/>
            </a:ext>
          </a:extLst>
        </xdr:cNvPr>
        <xdr:cNvPicPr>
          <a:picLocks noChangeAspect="1"/>
        </xdr:cNvPicPr>
      </xdr:nvPicPr>
      <xdr:blipFill rotWithShape="1">
        <a:blip xmlns:r="http://schemas.openxmlformats.org/officeDocument/2006/relationships" r:embed="rId1"/>
        <a:srcRect l="5213" t="9801" r="5687" b="25274"/>
        <a:stretch/>
      </xdr:blipFill>
      <xdr:spPr>
        <a:xfrm>
          <a:off x="201704" y="104588"/>
          <a:ext cx="1401483" cy="398183"/>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absolute">
    <xdr:from>
      <xdr:col>7</xdr:col>
      <xdr:colOff>782462</xdr:colOff>
      <xdr:row>8</xdr:row>
      <xdr:rowOff>49082</xdr:rowOff>
    </xdr:from>
    <xdr:to>
      <xdr:col>8</xdr:col>
      <xdr:colOff>182849</xdr:colOff>
      <xdr:row>13</xdr:row>
      <xdr:rowOff>10982</xdr:rowOff>
    </xdr:to>
    <xdr:sp macro="" textlink="">
      <xdr:nvSpPr>
        <xdr:cNvPr id="2" name="Text Box 29" hidden="1">
          <a:extLst>
            <a:ext uri="{FF2B5EF4-FFF2-40B4-BE49-F238E27FC236}">
              <a16:creationId xmlns:a16="http://schemas.microsoft.com/office/drawing/2014/main" id="{3467E2F4-4369-4542-BDD4-8B469DA2AEB7}"/>
            </a:ext>
          </a:extLst>
        </xdr:cNvPr>
        <xdr:cNvSpPr txBox="1">
          <a:spLocks noChangeArrowheads="1"/>
        </xdr:cNvSpPr>
      </xdr:nvSpPr>
      <xdr:spPr bwMode="auto">
        <a:xfrm>
          <a:off x="12752212" y="1541332"/>
          <a:ext cx="1273637"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wsDr>
</file>

<file path=xl/drawings/drawing4.xml><?xml version="1.0" encoding="utf-8"?>
<xdr:wsDr xmlns:xdr="http://schemas.openxmlformats.org/drawingml/2006/spreadsheetDrawing" xmlns:a="http://schemas.openxmlformats.org/drawingml/2006/main">
  <xdr:twoCellAnchor editAs="absolute">
    <xdr:from>
      <xdr:col>7</xdr:col>
      <xdr:colOff>1235421</xdr:colOff>
      <xdr:row>9</xdr:row>
      <xdr:rowOff>39557</xdr:rowOff>
    </xdr:from>
    <xdr:to>
      <xdr:col>9</xdr:col>
      <xdr:colOff>401151</xdr:colOff>
      <xdr:row>14</xdr:row>
      <xdr:rowOff>1457</xdr:rowOff>
    </xdr:to>
    <xdr:sp macro="" textlink="">
      <xdr:nvSpPr>
        <xdr:cNvPr id="2" name="Text Box 29" hidden="1">
          <a:extLst>
            <a:ext uri="{FF2B5EF4-FFF2-40B4-BE49-F238E27FC236}">
              <a16:creationId xmlns:a16="http://schemas.microsoft.com/office/drawing/2014/main" id="{4EA8E222-FE56-41A7-9EA1-C81F78301140}"/>
            </a:ext>
          </a:extLst>
        </xdr:cNvPr>
        <xdr:cNvSpPr txBox="1">
          <a:spLocks noChangeArrowheads="1"/>
        </xdr:cNvSpPr>
      </xdr:nvSpPr>
      <xdr:spPr bwMode="auto">
        <a:xfrm>
          <a:off x="12735271" y="1525457"/>
          <a:ext cx="126123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wsDr>
</file>

<file path=xl/drawings/drawing5.xml><?xml version="1.0" encoding="utf-8"?>
<xdr:wsDr xmlns:xdr="http://schemas.openxmlformats.org/drawingml/2006/spreadsheetDrawing" xmlns:a="http://schemas.openxmlformats.org/drawingml/2006/main">
  <xdr:twoCellAnchor editAs="absolute">
    <xdr:from>
      <xdr:col>8</xdr:col>
      <xdr:colOff>109052</xdr:colOff>
      <xdr:row>9</xdr:row>
      <xdr:rowOff>39557</xdr:rowOff>
    </xdr:from>
    <xdr:to>
      <xdr:col>10</xdr:col>
      <xdr:colOff>151686</xdr:colOff>
      <xdr:row>14</xdr:row>
      <xdr:rowOff>1457</xdr:rowOff>
    </xdr:to>
    <xdr:sp macro="" textlink="">
      <xdr:nvSpPr>
        <xdr:cNvPr id="2" name="Text Box 29" hidden="1">
          <a:extLst>
            <a:ext uri="{FF2B5EF4-FFF2-40B4-BE49-F238E27FC236}">
              <a16:creationId xmlns:a16="http://schemas.microsoft.com/office/drawing/2014/main" id="{E9FAF814-CD21-44A1-938B-6B72438D05F2}"/>
            </a:ext>
          </a:extLst>
        </xdr:cNvPr>
        <xdr:cNvSpPr txBox="1">
          <a:spLocks noChangeArrowheads="1"/>
        </xdr:cNvSpPr>
      </xdr:nvSpPr>
      <xdr:spPr bwMode="auto">
        <a:xfrm>
          <a:off x="12745552" y="1525457"/>
          <a:ext cx="1274534"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wsDr>
</file>

<file path=xl/drawings/drawing6.xml><?xml version="1.0" encoding="utf-8"?>
<xdr:wsDr xmlns:xdr="http://schemas.openxmlformats.org/drawingml/2006/spreadsheetDrawing" xmlns:a="http://schemas.openxmlformats.org/drawingml/2006/main">
  <xdr:twoCellAnchor editAs="absolute">
    <xdr:from>
      <xdr:col>8</xdr:col>
      <xdr:colOff>184647</xdr:colOff>
      <xdr:row>8</xdr:row>
      <xdr:rowOff>31997</xdr:rowOff>
    </xdr:from>
    <xdr:to>
      <xdr:col>10</xdr:col>
      <xdr:colOff>227282</xdr:colOff>
      <xdr:row>13</xdr:row>
      <xdr:rowOff>247</xdr:rowOff>
    </xdr:to>
    <xdr:sp macro="" textlink="">
      <xdr:nvSpPr>
        <xdr:cNvPr id="2" name="Text Box 29" hidden="1">
          <a:extLst>
            <a:ext uri="{FF2B5EF4-FFF2-40B4-BE49-F238E27FC236}">
              <a16:creationId xmlns:a16="http://schemas.microsoft.com/office/drawing/2014/main" id="{16F2F535-4BF2-46A5-AB66-A2270DB2C2C4}"/>
            </a:ext>
          </a:extLst>
        </xdr:cNvPr>
        <xdr:cNvSpPr txBox="1">
          <a:spLocks noChangeArrowheads="1"/>
        </xdr:cNvSpPr>
      </xdr:nvSpPr>
      <xdr:spPr bwMode="auto">
        <a:xfrm>
          <a:off x="12751297" y="1525457"/>
          <a:ext cx="1274535"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Dhanish\Dhanish\NetAct\CRSR\NetAct22\3XL-VMware-Cloud-R&amp;D\NetAct%20Node%20Architecture%20and%20Resource%20Plan%20R&amp;D.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C:\Users\avuthu\Downloads\MantaRay%20NM%20Node%20Architecture%20and%20Resource%20Plan%20R&amp;D.xlsx" TargetMode="External"/><Relationship Id="rId1" Type="http://schemas.openxmlformats.org/officeDocument/2006/relationships/externalLinkPath" Target="/Users/saollika/Downloads/MantaRay%20NM%20Node%20Architecture%20and%20Resource%20Plan%20R&amp;D.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ront Page"/>
      <sheetName val="Summary"/>
      <sheetName val="Shortcuts"/>
      <sheetName val="Virtual Machines"/>
      <sheetName val="Details"/>
      <sheetName val="Cloud Configuration"/>
      <sheetName val="Resource Pools"/>
      <sheetName val="Number of Servers Required"/>
      <sheetName val="Small 22"/>
      <sheetName val="Mainstream 22"/>
      <sheetName val="Large 22"/>
      <sheetName val="XXL 22"/>
      <sheetName val="3XL 22"/>
      <sheetName val="Small 22 SW on VMware"/>
      <sheetName val="Small 22 SW on OpenStack"/>
      <sheetName val="Mainstream 22 SW on VMware "/>
      <sheetName val="Mainstream 22 SW on OpenStack"/>
      <sheetName val="Large 22 SW on VMware"/>
      <sheetName val="Large 22 SW on OpenStack"/>
      <sheetName val="XXL 22 SW on VMware"/>
      <sheetName val="XXL 22 SW on OpenStack"/>
      <sheetName val="3XL 22 SW on VMware"/>
      <sheetName val="3XL 22 SW on OpenStack"/>
      <sheetName val="Small 20"/>
      <sheetName val="Mainstream 20"/>
      <sheetName val="Large 20"/>
      <sheetName val="XXL 20"/>
      <sheetName val="3XL 20"/>
      <sheetName val="Small 20 SW on VMware"/>
      <sheetName val="Small 20 SW on OpenStack"/>
      <sheetName val="Mainstream 20 SW on VMware"/>
      <sheetName val="Mainstream 20 SW on OpenStack"/>
      <sheetName val="Large 20 SW on VMware"/>
      <sheetName val="Large 20 SW on OpenStack"/>
      <sheetName val="XXL 20 SW on VMware"/>
      <sheetName val="XXL 20 SW on OpenStack"/>
      <sheetName val="3XL 20 SW on OpenStack"/>
      <sheetName val="Small 19"/>
      <sheetName val="Mainstream 19"/>
      <sheetName val="Large 19"/>
      <sheetName val="XXL 19"/>
      <sheetName val="Small 19 SW on VMware"/>
      <sheetName val="Small 19 SW on OpenStack"/>
      <sheetName val="Mainstream 19 SW on VMware"/>
      <sheetName val="Mainstream 19 SW on OpenStack"/>
      <sheetName val="Large 19 SW on VMware"/>
      <sheetName val="Large 19 SW on OpenStack"/>
      <sheetName val="XXL 19 SW on VMware"/>
      <sheetName val="XXL 19 SW on OpenStack"/>
      <sheetName val="Small 18A"/>
      <sheetName val="Mainstream 18A"/>
      <sheetName val="Large 18A"/>
      <sheetName val="XXL 18A"/>
      <sheetName val="Small 18A SW on VMware"/>
      <sheetName val="Small 18A SW on OpenStack"/>
      <sheetName val="Mainstream 18A SW on VMware"/>
      <sheetName val="Mainstream 18A SW on OpenStack"/>
      <sheetName val="Large 18A SW on VMware"/>
      <sheetName val="Large 18A SW on OpenStack"/>
      <sheetName val="XXL 18A SW on VMware"/>
      <sheetName val="XXL 18A SW on OpenStack"/>
      <sheetName val="Small 18"/>
      <sheetName val="Mainstream 18"/>
      <sheetName val="Large 18"/>
      <sheetName val="XXL 18"/>
      <sheetName val="Small 18 SW on VMware"/>
      <sheetName val="Small 18 SW on OpenStack"/>
      <sheetName val="Mainstream 18 SW on VMware"/>
      <sheetName val="Mainstream 18 SW on OpenStack"/>
      <sheetName val="Large 18 SW on VMware"/>
      <sheetName val="Large 18 SW on OpenStack"/>
      <sheetName val="XXL 18 SW on VMware"/>
      <sheetName val="XXL 18 SW on OpenStack"/>
      <sheetName val="Small 17.8"/>
      <sheetName val="Mainstream 17.8"/>
      <sheetName val="Large 17.8"/>
      <sheetName val="Small 17.8 SW on VMware"/>
      <sheetName val="Small 17.8 SW on OpenStack"/>
      <sheetName val="Mainstream 17.8 SW on VMware"/>
      <sheetName val="Mainstream 17.8 SW on OpenStack"/>
      <sheetName val="Large 17.8 SW on VMware"/>
      <sheetName val="Large 17.8 SW on OpenStack"/>
      <sheetName val="Small 17.2"/>
      <sheetName val="Mainstream 17.2"/>
      <sheetName val="Large 17.2"/>
      <sheetName val="Small 17.2 SW on VMware"/>
      <sheetName val="Small 17.2 SW on OpenStack"/>
      <sheetName val="Mainstream 17.2 SW on VMware"/>
      <sheetName val="Mainstream 17.2 SW on OpenStack"/>
      <sheetName val="Large 17.2 SW on VMware"/>
      <sheetName val="Large 17.2 SW on OpenStack"/>
      <sheetName val="Small 16.8"/>
      <sheetName val="Mainstream 16.8"/>
      <sheetName val="Large 16.8"/>
      <sheetName val="Small 16.8 SW on VMware"/>
      <sheetName val="Mainstream 16.8 SW on VMware"/>
      <sheetName val="Large 16.8 SW on VMware"/>
      <sheetName val="Small 16.5"/>
      <sheetName val="Mainstream 16.5"/>
      <sheetName val="Large 16.5"/>
      <sheetName val="Small 16.5 SW on VMware"/>
      <sheetName val="Mainstream 16.5 SW on VMware"/>
      <sheetName val="Large 16.5 SW on VMware"/>
      <sheetName val="Small 16.2"/>
      <sheetName val="Mainstream 16.2"/>
      <sheetName val="Large 16.2"/>
      <sheetName val="Small 16.2 SW on VMware"/>
      <sheetName val="Small 16.2 SW on OpenStack"/>
      <sheetName val="Mainstream 16.2 SW on VMware"/>
      <sheetName val="Mainstream 16.2 SW on OpenStack"/>
      <sheetName val="Large 16.2 SW on VMware"/>
      <sheetName val="Large 16.2 SW on OpenStack"/>
      <sheetName val="Small 16"/>
      <sheetName val="Mainstream 16"/>
      <sheetName val="Large 16"/>
      <sheetName val="Small 16 Cloud"/>
      <sheetName val="Mainstream 16 Cloud"/>
      <sheetName val="Large 16 Cloud"/>
      <sheetName val="Small 15.5"/>
      <sheetName val="Mainstream 15.5"/>
      <sheetName val="Large 15.5"/>
      <sheetName val="Small 15.2"/>
      <sheetName val="Mainstream 15.2"/>
      <sheetName val="Large 15.2"/>
      <sheetName val="Small NA8 EP2"/>
      <sheetName val="Mainstream NA8 EP2"/>
      <sheetName val="Large NA8 EP2"/>
      <sheetName val="Small NA8 EP1"/>
      <sheetName val="Mainstream NA8 EP1"/>
      <sheetName val="Large NA8 EP1"/>
      <sheetName val="Small NA8"/>
      <sheetName val="Mainstream NA8"/>
      <sheetName val="Large NA8"/>
      <sheetName val="Small NA8LTE"/>
      <sheetName val="Mainstream NA8LTE"/>
      <sheetName val="Large NA8LT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Front Page"/>
      <sheetName val="Summary"/>
      <sheetName val="Shortcuts"/>
      <sheetName val="Virtual Machines"/>
      <sheetName val="Details"/>
      <sheetName val="Cloud Configuration"/>
      <sheetName val="Resource Pools"/>
      <sheetName val="Number of Servers Required"/>
      <sheetName val="Compact 24-NM"/>
      <sheetName val="Small 24-NM"/>
      <sheetName val="Mainstream 24-NM"/>
      <sheetName val="Large 24-NM"/>
      <sheetName val="XXL 24-NM"/>
      <sheetName val="3XL 24-NM"/>
      <sheetName val="Compact 24-NM SW on VMware"/>
      <sheetName val="Small 24-NM SW on VMware"/>
      <sheetName val="Small 24-NM SW on OpenStack"/>
      <sheetName val="Mainstream 24-NM SW on VMware"/>
      <sheetName val="Mainstream 24-NM SW OpenStack"/>
      <sheetName val="Large 24-NM SW on VMware"/>
      <sheetName val="Large 24-NM SW on OpenStack"/>
      <sheetName val="XXL 24-NM SW on VMware"/>
      <sheetName val="XXL 24-NM SW on OpenStack"/>
      <sheetName val="3XL 24-NM SW on VMware"/>
      <sheetName val="3XL 24-NM SW on OpenStack-CBIS"/>
      <sheetName val="Compact 23-NM"/>
      <sheetName val="Small 23-NM"/>
      <sheetName val="Mainstream 23-NM"/>
      <sheetName val="Large 23-NM"/>
      <sheetName val="XXL 23-NM"/>
      <sheetName val="3XL 23-NM"/>
      <sheetName val="Compact 23-NM SW VMware"/>
      <sheetName val="Small 23-NM SW on VMware"/>
      <sheetName val="Small 23-NM SW on OpenStack"/>
      <sheetName val="Mainstream 23-NM SW on VMware"/>
      <sheetName val="Mainstream 23-NM SW OpenStack"/>
      <sheetName val="Large 23-NM SW on VMware"/>
      <sheetName val="Large 23-NM SW on OpenStack"/>
      <sheetName val="XXL 23-NM SW on VMware"/>
      <sheetName val="XXL 23-NM SW on OpenStack"/>
      <sheetName val="3XL 23-NM SW on VMware"/>
      <sheetName val="3XL 23-NM SW on OpenStack-CBIS"/>
      <sheetName val=" Compact 22"/>
      <sheetName val="Small 22"/>
      <sheetName val="Mainstream 22"/>
      <sheetName val="Large 22"/>
      <sheetName val="XXL 22"/>
      <sheetName val="3XL 22"/>
      <sheetName val="Small 22 SW on VMware"/>
      <sheetName val="Small 22 SW on OpenStack"/>
      <sheetName val="Mainstream 22 SW on VMware "/>
      <sheetName val="Mainstream 22 SW on OpenStack"/>
      <sheetName val="Large 22 SW on VMware"/>
      <sheetName val="Large 22 SW on OpenStack"/>
      <sheetName val="XXL 22 SW on VMware"/>
      <sheetName val="XXL 22 SW on OpenStack"/>
      <sheetName val="3XL 22 SW on VMware"/>
      <sheetName val="3XL 22 SW on OpenStack"/>
      <sheetName val="Small 20"/>
      <sheetName val="Mainstream 20"/>
      <sheetName val="Large 20"/>
      <sheetName val="XXL 20"/>
      <sheetName val="3XL 20"/>
      <sheetName val="Small 20 SW on VMware"/>
      <sheetName val="Small 20 SW on OpenStack"/>
      <sheetName val="Mainstream 20 SW on VMware"/>
      <sheetName val="Mainstream 20 SW on OpenStack"/>
      <sheetName val="Large 20 SW on VMware"/>
      <sheetName val="Large 20 SW on OpenStack"/>
      <sheetName val="XXL 20 SW on VMware"/>
      <sheetName val="XXL 20 SW on OpenStack"/>
      <sheetName val="3XL 20 SW on OpenStack"/>
      <sheetName val="Small 19"/>
      <sheetName val="Mainstream 19"/>
      <sheetName val="Large 19"/>
      <sheetName val="XXL 19"/>
      <sheetName val="Small 19 SW on VMware"/>
      <sheetName val="Small 19 SW on OpenStack"/>
      <sheetName val="Mainstream 19 SW on VMware"/>
      <sheetName val="Mainstream 19 SW on OpenStack"/>
      <sheetName val="Large 19 SW on VMware"/>
      <sheetName val="Large 19 SW on OpenStack"/>
      <sheetName val="XXL 19 SW on VMware"/>
      <sheetName val="XXL 19 SW on OpenStack"/>
      <sheetName val="Small 18A"/>
      <sheetName val="Mainstream 18A"/>
      <sheetName val="Large 18A"/>
      <sheetName val="XXL 18A"/>
      <sheetName val="Small 18A SW on VMware"/>
      <sheetName val="Small 18A SW on OpenStack"/>
      <sheetName val="Mainstream 18A SW on VMware"/>
      <sheetName val="Mainstream 18A SW on OpenStack"/>
      <sheetName val="Large 18A SW on VMware"/>
      <sheetName val="Large 18A SW on OpenStack"/>
      <sheetName val="XXL 18A SW on VMware"/>
      <sheetName val="XXL 18A SW on OpenStack"/>
      <sheetName val="Small 18"/>
      <sheetName val="Mainstream 18"/>
      <sheetName val="Large 18"/>
      <sheetName val="XXL 18"/>
      <sheetName val="Small 18 SW on VMware"/>
      <sheetName val="Small 18 SW on OpenStack"/>
      <sheetName val="Mainstream 18 SW on VMware"/>
      <sheetName val="Mainstream 18 SW on OpenStack"/>
      <sheetName val="Large 18 SW on VMware"/>
      <sheetName val="Large 18 SW on OpenStack"/>
      <sheetName val="XXL 18 SW on VMware"/>
      <sheetName val="XXL 18 SW on OpenStack"/>
      <sheetName val="Small 17.8"/>
      <sheetName val="Mainstream 17.8"/>
      <sheetName val="Large 17.8"/>
      <sheetName val="Small 17.8 SW on VMware"/>
      <sheetName val="Small 17.8 SW on OpenStack"/>
      <sheetName val="Mainstream 17.8 SW on VMware"/>
      <sheetName val="Mainstream 17.8 SW on OpenStack"/>
      <sheetName val="Large 17.8 SW on VMware"/>
      <sheetName val="Large 17.8 SW on OpenStack"/>
      <sheetName val="Small 17.2"/>
      <sheetName val="Mainstream 17.2"/>
      <sheetName val="Large 17.2"/>
      <sheetName val="Small 17.2 SW on VMware"/>
      <sheetName val="Small 17.2 SW on OpenStack"/>
      <sheetName val="Mainstream 17.2 SW on VMware"/>
      <sheetName val="Mainstream 17.2 SW on OpenStack"/>
      <sheetName val="Large 17.2 SW on VMware"/>
      <sheetName val="Large 17.2 SW on OpenStack"/>
      <sheetName val="Small 16.8"/>
      <sheetName val="Mainstream 16.8"/>
      <sheetName val="Large 16.8"/>
      <sheetName val="Small 16.8 SW on VMware"/>
      <sheetName val="Mainstream 16.8 SW on VMware"/>
      <sheetName val="Large 16.8 SW on VMware"/>
      <sheetName val="Small 16.5"/>
      <sheetName val="Mainstream 16.5"/>
      <sheetName val="Large 16.5"/>
      <sheetName val="Small 16.5 SW on VMware"/>
      <sheetName val="Mainstream 16.5 SW on VMware"/>
      <sheetName val="Large 16.5 SW on VMware"/>
      <sheetName val="Small 16.2"/>
      <sheetName val="Mainstream 16.2"/>
      <sheetName val="Large 16.2"/>
      <sheetName val="Small 16.2 SW on VMware"/>
      <sheetName val="Small 16.2 SW on OpenStack"/>
      <sheetName val="Mainstream 16.2 SW on VMware"/>
      <sheetName val="Mainstream 16.2 SW on OpenStack"/>
      <sheetName val="Large 16.2 SW on VMware"/>
      <sheetName val="Large 16.2 SW on OpenStack"/>
      <sheetName val="Small 16"/>
      <sheetName val="Mainstream 16"/>
      <sheetName val="Large 16"/>
      <sheetName val="Small 16 Cloud"/>
      <sheetName val="Mainstream 16 Cloud"/>
      <sheetName val="Large 16 Cloud"/>
      <sheetName val="Small 15.5"/>
      <sheetName val="Mainstream 15.5"/>
      <sheetName val="Large 15.5"/>
      <sheetName val="Small 15.2"/>
      <sheetName val="Mainstream 15.2"/>
      <sheetName val="Large 15.2"/>
      <sheetName val="Small NA8 EP2"/>
      <sheetName val="Mainstream NA8 EP2"/>
      <sheetName val="Large NA8 EP2"/>
      <sheetName val="Small NA8 EP1"/>
      <sheetName val="Mainstream NA8 EP1"/>
      <sheetName val="Large NA8 EP1"/>
      <sheetName val="Small NA8"/>
      <sheetName val="Mainstream NA8"/>
      <sheetName val="Large NA8"/>
      <sheetName val="Small NA8LTE"/>
      <sheetName val="Mainstream NA8LTE"/>
      <sheetName val="Large NA8LT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sheetData sheetId="127" refreshError="1"/>
      <sheetData sheetId="128" refreshError="1"/>
      <sheetData sheetId="129" refreshError="1"/>
      <sheetData sheetId="130" refreshError="1"/>
      <sheetData sheetId="131" refreshError="1"/>
      <sheetData sheetId="132"/>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Set>
  </externalBook>
</externalLink>
</file>

<file path=xl/persons/person.xml><?xml version="1.0" encoding="utf-8"?>
<personList xmlns="http://schemas.microsoft.com/office/spreadsheetml/2018/threadedcomments" xmlns:x="http://schemas.openxmlformats.org/spreadsheetml/2006/main">
  <person displayName="Singh, Vishek P. (Nokia - IN/Bangalore)" id="{8C58E055-6022-4F42-9A7F-0AC1FC125DC7}" userId="S::vishek.p.singh@nokia.com::95b975c7-b7cd-4dcf-b855-59bcbc799ace" providerId="AD"/>
</personList>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D21" dT="2020-04-28T11:05:31.25" personId="{8C58E055-6022-4F42-9A7F-0AC1FC125DC7}" id="{D90F44C2-4367-4F88-BE0B-3BC7B14AF6D5}">
    <text>SP2004 Onwards</text>
  </threadedComment>
</ThreadedComments>
</file>

<file path=xl/threadedComments/threadedComment2.xml><?xml version="1.0" encoding="utf-8"?>
<ThreadedComments xmlns="http://schemas.microsoft.com/office/spreadsheetml/2018/threadedcomments" xmlns:x="http://schemas.openxmlformats.org/spreadsheetml/2006/main">
  <threadedComment ref="A87" dT="2020-03-06T10:49:49.27" personId="{8C58E055-6022-4F42-9A7F-0AC1FC125DC7}" id="{36653C8E-B681-47C5-8FDD-456B3297EAA0}">
    <text>SP1911 Onwards</text>
  </threadedComment>
  <threadedComment ref="A88" dT="2020-04-24T13:36:44.07" personId="{8C58E055-6022-4F42-9A7F-0AC1FC125DC7}" id="{95227C23-4A89-4A07-B9CD-CCED140158E0}">
    <text>SP2004 onwards</text>
  </threadedComment>
</ThreadedComments>
</file>

<file path=xl/threadedComments/threadedComment3.xml><?xml version="1.0" encoding="utf-8"?>
<ThreadedComments xmlns="http://schemas.microsoft.com/office/spreadsheetml/2018/threadedcomments" xmlns:x="http://schemas.openxmlformats.org/spreadsheetml/2006/main">
  <threadedComment ref="A97" dT="2020-03-06T10:49:49.27" personId="{8C58E055-6022-4F42-9A7F-0AC1FC125DC7}" id="{07F1C193-7581-4E6F-925D-7E0CD7031595}">
    <text>SP1911 Onwards</text>
  </threadedComment>
  <threadedComment ref="A98" dT="2020-04-24T13:36:44.07" personId="{8C58E055-6022-4F42-9A7F-0AC1FC125DC7}" id="{BF0B1370-7916-40AA-89C5-7344181BEC20}">
    <text>SP2004 onwards</text>
  </threadedComment>
</ThreadedComments>
</file>

<file path=xl/threadedComments/threadedComment4.xml><?xml version="1.0" encoding="utf-8"?>
<ThreadedComments xmlns="http://schemas.microsoft.com/office/spreadsheetml/2018/threadedcomments" xmlns:x="http://schemas.openxmlformats.org/spreadsheetml/2006/main">
  <threadedComment ref="A109" dT="2020-03-06T10:49:49.27" personId="{8C58E055-6022-4F42-9A7F-0AC1FC125DC7}" id="{A855BC33-B3D4-4384-8878-AD7CE2A17EDA}">
    <text>SP1911 Onwards</text>
  </threadedComment>
  <threadedComment ref="A110" dT="2020-04-24T13:36:44.07" personId="{8C58E055-6022-4F42-9A7F-0AC1FC125DC7}" id="{7EEB618F-9B81-4BA9-B359-D7286F5F006E}">
    <text>SP2004 onwards</text>
  </threadedComment>
</ThreadedComments>
</file>

<file path=xl/threadedComments/threadedComment5.xml><?xml version="1.0" encoding="utf-8"?>
<ThreadedComments xmlns="http://schemas.microsoft.com/office/spreadsheetml/2018/threadedcomments" xmlns:x="http://schemas.openxmlformats.org/spreadsheetml/2006/main">
  <threadedComment ref="A108" dT="2020-03-06T10:49:49.27" personId="{8C58E055-6022-4F42-9A7F-0AC1FC125DC7}" id="{2FB00914-E3AF-49B8-AADE-09FE28695F05}">
    <text>SP1911 Onwards</text>
  </threadedComment>
  <threadedComment ref="A109" dT="2020-04-24T13:36:44.07" personId="{8C58E055-6022-4F42-9A7F-0AC1FC125DC7}" id="{8F965E32-5F61-47CE-87DC-EC44D893F1BD}">
    <text>SP2004 onwards</text>
  </threadedComment>
</ThreadedComments>
</file>

<file path=xl/threadedComments/threadedComment6.xml><?xml version="1.0" encoding="utf-8"?>
<ThreadedComments xmlns="http://schemas.microsoft.com/office/spreadsheetml/2018/threadedcomments" xmlns:x="http://schemas.openxmlformats.org/spreadsheetml/2006/main">
  <threadedComment ref="A108" dT="2020-03-06T10:49:49.27" personId="{8C58E055-6022-4F42-9A7F-0AC1FC125DC7}" id="{C57519E0-F4BE-43AB-90AF-A3F2AFC49923}">
    <text>SP1911 Onwards</text>
  </threadedComment>
  <threadedComment ref="A109" dT="2020-04-24T13:36:44.07" personId="{8C58E055-6022-4F42-9A7F-0AC1FC125DC7}" id="{03263E6D-41A1-483B-9AFD-D7F8F2945D64}">
    <text>SP2004 onwards</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 Id="rId4" Type="http://schemas.microsoft.com/office/2017/10/relationships/threadedComment" Target="../threadedComments/threadedComment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7.bin"/><Relationship Id="rId4" Type="http://schemas.microsoft.com/office/2017/10/relationships/threadedComment" Target="../threadedComments/threadedComment2.xml"/></Relationships>
</file>

<file path=xl/worksheets/_rels/sheet8.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8.bin"/><Relationship Id="rId4" Type="http://schemas.microsoft.com/office/2017/10/relationships/threadedComment" Target="../threadedComments/threadedComment3.xml"/></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3.xml"/><Relationship Id="rId1" Type="http://schemas.openxmlformats.org/officeDocument/2006/relationships/printerSettings" Target="../printerSettings/printerSettings9.bin"/><Relationship Id="rId5" Type="http://schemas.microsoft.com/office/2017/10/relationships/threadedComment" Target="../threadedComments/threadedComment4.xml"/><Relationship Id="rId4" Type="http://schemas.openxmlformats.org/officeDocument/2006/relationships/comments" Target="../comments5.xml"/></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4.xml"/><Relationship Id="rId1" Type="http://schemas.openxmlformats.org/officeDocument/2006/relationships/printerSettings" Target="../printerSettings/printerSettings10.bin"/><Relationship Id="rId5" Type="http://schemas.microsoft.com/office/2017/10/relationships/threadedComment" Target="../threadedComments/threadedComment5.xml"/><Relationship Id="rId4" Type="http://schemas.openxmlformats.org/officeDocument/2006/relationships/comments" Target="../comments6.xml"/></Relationships>
</file>

<file path=xl/worksheets/_rels/sheet11.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5.xml"/><Relationship Id="rId1" Type="http://schemas.openxmlformats.org/officeDocument/2006/relationships/printerSettings" Target="../printerSettings/printerSettings11.bin"/><Relationship Id="rId5" Type="http://schemas.microsoft.com/office/2017/10/relationships/threadedComment" Target="../threadedComments/threadedComment6.xml"/><Relationship Id="rId4" Type="http://schemas.openxmlformats.org/officeDocument/2006/relationships/comments" Target="../comments7.xml"/></Relationships>
</file>

<file path=xl/worksheets/_rels/sheet12.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3" Type="http://schemas.openxmlformats.org/officeDocument/2006/relationships/comments" Target="../comments13.xml"/><Relationship Id="rId2" Type="http://schemas.openxmlformats.org/officeDocument/2006/relationships/vmlDrawing" Target="../drawings/vmlDrawing13.v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comments" Target="../comments14.xml"/><Relationship Id="rId2" Type="http://schemas.openxmlformats.org/officeDocument/2006/relationships/vmlDrawing" Target="../drawings/vmlDrawing14.v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3" Type="http://schemas.openxmlformats.org/officeDocument/2006/relationships/comments" Target="../comments15.xml"/><Relationship Id="rId2" Type="http://schemas.openxmlformats.org/officeDocument/2006/relationships/vmlDrawing" Target="../drawings/vmlDrawing15.v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3" Type="http://schemas.openxmlformats.org/officeDocument/2006/relationships/comments" Target="../comments16.xml"/><Relationship Id="rId2" Type="http://schemas.openxmlformats.org/officeDocument/2006/relationships/vmlDrawing" Target="../drawings/vmlDrawing16.v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3" Type="http://schemas.openxmlformats.org/officeDocument/2006/relationships/vmlDrawing" Target="../drawings/vmlDrawing17.vml"/><Relationship Id="rId2" Type="http://schemas.openxmlformats.org/officeDocument/2006/relationships/drawing" Target="../drawings/drawing6.xml"/><Relationship Id="rId1" Type="http://schemas.openxmlformats.org/officeDocument/2006/relationships/printerSettings" Target="../printerSettings/printerSettings21.bin"/><Relationship Id="rId4" Type="http://schemas.openxmlformats.org/officeDocument/2006/relationships/comments" Target="../comments17.xml"/></Relationships>
</file>

<file path=xl/worksheets/_rels/sheet22.xml.rels><?xml version="1.0" encoding="UTF-8" standalone="yes"?>
<Relationships xmlns="http://schemas.openxmlformats.org/package/2006/relationships"><Relationship Id="rId3" Type="http://schemas.openxmlformats.org/officeDocument/2006/relationships/comments" Target="../comments18.xml"/><Relationship Id="rId2" Type="http://schemas.openxmlformats.org/officeDocument/2006/relationships/vmlDrawing" Target="../drawings/vmlDrawing18.vml"/><Relationship Id="rId1" Type="http://schemas.openxmlformats.org/officeDocument/2006/relationships/printerSettings" Target="../printerSettings/printerSettings2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5"/>
  <dimension ref="A1"/>
  <sheetViews>
    <sheetView tabSelected="1" zoomScale="85" zoomScaleNormal="85" workbookViewId="0">
      <selection activeCell="AN81" sqref="AN81"/>
    </sheetView>
  </sheetViews>
  <sheetFormatPr defaultColWidth="9.1796875" defaultRowHeight="12.5"/>
  <cols>
    <col min="1" max="11" width="10" style="3" customWidth="1"/>
    <col min="12" max="16384" width="9.1796875" style="3"/>
  </cols>
  <sheetData/>
  <pageMargins left="0.7" right="0.7" top="0.75" bottom="0.75" header="0.3" footer="0.3"/>
  <pageSetup paperSize="9" orientation="portrait" r:id="rId1"/>
  <headerFooter>
    <oddFooter>&amp;C&amp;1#&amp;"Arial"&amp;8&amp;K001753Nokia internal use</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760339-A6BC-4735-83EC-2C3EDB1D1842}">
  <dimension ref="A1:XFB453"/>
  <sheetViews>
    <sheetView zoomScale="85" zoomScaleNormal="85" zoomScalePageLayoutView="85" workbookViewId="0">
      <selection activeCell="B9" sqref="B9"/>
    </sheetView>
  </sheetViews>
  <sheetFormatPr defaultColWidth="8.81640625" defaultRowHeight="12.5"/>
  <cols>
    <col min="1" max="1" width="33.7265625" style="4" customWidth="1"/>
    <col min="2" max="2" width="163.81640625" style="4" customWidth="1"/>
    <col min="3" max="3" width="8.81640625" style="4" customWidth="1"/>
    <col min="4" max="16384" width="8.81640625" style="4"/>
  </cols>
  <sheetData>
    <row r="1" spans="1:2">
      <c r="A1" s="156"/>
    </row>
    <row r="2" spans="1:2">
      <c r="A2" s="156"/>
    </row>
    <row r="3" spans="1:2">
      <c r="A3" s="156"/>
    </row>
    <row r="4" spans="1:2">
      <c r="A4" s="156"/>
    </row>
    <row r="5" spans="1:2" ht="13">
      <c r="A5" s="5" t="s">
        <v>0</v>
      </c>
    </row>
    <row r="6" spans="1:2" ht="13">
      <c r="A6" s="5"/>
    </row>
    <row r="7" spans="1:2" ht="13">
      <c r="A7" s="5"/>
    </row>
    <row r="8" spans="1:2" ht="12" customHeight="1">
      <c r="A8" s="6" t="s">
        <v>1</v>
      </c>
      <c r="B8" s="7" t="s">
        <v>2</v>
      </c>
    </row>
    <row r="9" spans="1:2" ht="12" customHeight="1">
      <c r="A9" s="152">
        <v>45625</v>
      </c>
      <c r="B9" s="9" t="s">
        <v>728</v>
      </c>
    </row>
    <row r="10" spans="1:2" ht="12" customHeight="1">
      <c r="A10" s="152">
        <v>45422</v>
      </c>
      <c r="B10" s="9" t="s">
        <v>3</v>
      </c>
    </row>
    <row r="11" spans="1:2" ht="12" customHeight="1">
      <c r="A11" s="152">
        <v>45400</v>
      </c>
      <c r="B11" s="9" t="s">
        <v>4</v>
      </c>
    </row>
    <row r="12" spans="1:2" ht="12" customHeight="1">
      <c r="A12" s="152">
        <v>45370</v>
      </c>
      <c r="B12" s="9" t="s">
        <v>5</v>
      </c>
    </row>
    <row r="13" spans="1:2" ht="12" customHeight="1">
      <c r="A13" s="152">
        <v>45367</v>
      </c>
      <c r="B13" s="9" t="s">
        <v>6</v>
      </c>
    </row>
    <row r="14" spans="1:2" ht="12" customHeight="1">
      <c r="A14" s="152">
        <v>45351</v>
      </c>
      <c r="B14" s="9" t="s">
        <v>7</v>
      </c>
    </row>
    <row r="15" spans="1:2" ht="12" customHeight="1">
      <c r="A15" s="152">
        <v>45300</v>
      </c>
      <c r="B15" s="9" t="s">
        <v>8</v>
      </c>
    </row>
    <row r="16" spans="1:2" ht="12" customHeight="1">
      <c r="A16" s="152">
        <v>45266</v>
      </c>
      <c r="B16" s="9" t="s">
        <v>9</v>
      </c>
    </row>
    <row r="17" spans="1:2" ht="12" customHeight="1">
      <c r="A17" s="152">
        <v>45266</v>
      </c>
      <c r="B17" s="9" t="s">
        <v>10</v>
      </c>
    </row>
    <row r="18" spans="1:2" ht="12" customHeight="1">
      <c r="A18" s="152">
        <v>45237</v>
      </c>
      <c r="B18" s="9" t="s">
        <v>11</v>
      </c>
    </row>
    <row r="19" spans="1:2" ht="12" customHeight="1">
      <c r="A19" s="152">
        <v>45218</v>
      </c>
      <c r="B19" s="9" t="s">
        <v>12</v>
      </c>
    </row>
    <row r="20" spans="1:2" ht="12" customHeight="1">
      <c r="A20" s="152">
        <v>45195</v>
      </c>
      <c r="B20" s="9" t="s">
        <v>13</v>
      </c>
    </row>
    <row r="21" spans="1:2" ht="12" customHeight="1">
      <c r="A21" s="152">
        <v>45183</v>
      </c>
      <c r="B21" s="9" t="s">
        <v>14</v>
      </c>
    </row>
    <row r="22" spans="1:2" ht="12" customHeight="1">
      <c r="A22" s="8"/>
      <c r="B22" s="9"/>
    </row>
    <row r="23" spans="1:2" ht="12" customHeight="1">
      <c r="A23" s="8"/>
      <c r="B23" s="9"/>
    </row>
    <row r="24" spans="1:2" ht="12" customHeight="1">
      <c r="A24" s="8"/>
      <c r="B24" s="9"/>
    </row>
    <row r="25" spans="1:2" ht="12" customHeight="1">
      <c r="A25" s="8"/>
      <c r="B25" s="9"/>
    </row>
    <row r="26" spans="1:2" ht="12" customHeight="1">
      <c r="A26" s="8"/>
      <c r="B26" s="9"/>
    </row>
    <row r="27" spans="1:2" ht="12" customHeight="1">
      <c r="A27" s="8"/>
      <c r="B27" s="9"/>
    </row>
    <row r="28" spans="1:2" ht="12" customHeight="1">
      <c r="A28" s="8"/>
      <c r="B28" s="9"/>
    </row>
    <row r="29" spans="1:2" ht="12" customHeight="1">
      <c r="A29" s="8"/>
      <c r="B29" s="9"/>
    </row>
    <row r="30" spans="1:2" ht="12" customHeight="1">
      <c r="A30" s="8"/>
      <c r="B30" s="9"/>
    </row>
    <row r="31" spans="1:2" ht="12" customHeight="1">
      <c r="A31" s="8"/>
      <c r="B31" s="9"/>
    </row>
    <row r="32" spans="1:2" ht="12" customHeight="1">
      <c r="A32" s="8"/>
      <c r="B32" s="9"/>
    </row>
    <row r="33" spans="1:2" ht="12" customHeight="1">
      <c r="A33" s="8"/>
      <c r="B33" s="9"/>
    </row>
    <row r="34" spans="1:2" ht="12" customHeight="1">
      <c r="A34" s="8"/>
      <c r="B34" s="9"/>
    </row>
    <row r="35" spans="1:2" ht="12" customHeight="1">
      <c r="A35" s="8"/>
      <c r="B35" s="9"/>
    </row>
    <row r="36" spans="1:2" ht="12" customHeight="1">
      <c r="A36" s="8"/>
      <c r="B36" s="9"/>
    </row>
    <row r="37" spans="1:2" ht="12" customHeight="1">
      <c r="A37" s="8"/>
      <c r="B37" s="9"/>
    </row>
    <row r="38" spans="1:2" ht="12" customHeight="1">
      <c r="A38" s="8"/>
      <c r="B38" s="9"/>
    </row>
    <row r="39" spans="1:2" ht="12" customHeight="1">
      <c r="A39" s="8"/>
      <c r="B39" s="9"/>
    </row>
    <row r="40" spans="1:2" ht="12" customHeight="1">
      <c r="A40" s="8"/>
      <c r="B40" s="9"/>
    </row>
    <row r="41" spans="1:2" ht="12" customHeight="1">
      <c r="A41" s="8"/>
      <c r="B41" s="9"/>
    </row>
    <row r="42" spans="1:2" ht="12" customHeight="1">
      <c r="A42" s="8"/>
      <c r="B42" s="9"/>
    </row>
    <row r="43" spans="1:2" ht="12" customHeight="1">
      <c r="A43" s="8"/>
      <c r="B43" s="9"/>
    </row>
    <row r="44" spans="1:2" ht="12" customHeight="1">
      <c r="A44" s="8"/>
      <c r="B44" s="9"/>
    </row>
    <row r="45" spans="1:2" ht="12" customHeight="1">
      <c r="A45" s="8"/>
      <c r="B45" s="9"/>
    </row>
    <row r="46" spans="1:2" ht="12" customHeight="1">
      <c r="A46" s="8"/>
      <c r="B46" s="9"/>
    </row>
    <row r="47" spans="1:2" ht="12" customHeight="1">
      <c r="A47" s="8"/>
      <c r="B47" s="9"/>
    </row>
    <row r="48" spans="1:2" ht="12" customHeight="1">
      <c r="A48" s="8"/>
      <c r="B48" s="9"/>
    </row>
    <row r="49" spans="1:2" ht="12" customHeight="1">
      <c r="A49" s="8"/>
      <c r="B49" s="9"/>
    </row>
    <row r="50" spans="1:2" ht="12" customHeight="1">
      <c r="A50" s="8"/>
      <c r="B50" s="9"/>
    </row>
    <row r="51" spans="1:2" ht="12" customHeight="1">
      <c r="A51" s="8"/>
      <c r="B51" s="9"/>
    </row>
    <row r="52" spans="1:2" ht="12" customHeight="1">
      <c r="A52" s="8"/>
      <c r="B52" s="9"/>
    </row>
    <row r="53" spans="1:2" ht="12" customHeight="1">
      <c r="A53" s="8"/>
      <c r="B53" s="9"/>
    </row>
    <row r="54" spans="1:2" ht="12" customHeight="1">
      <c r="A54" s="8"/>
      <c r="B54" s="9"/>
    </row>
    <row r="55" spans="1:2" ht="12" customHeight="1">
      <c r="A55" s="8"/>
      <c r="B55" s="9"/>
    </row>
    <row r="56" spans="1:2" ht="12" customHeight="1">
      <c r="A56" s="8"/>
      <c r="B56" s="9"/>
    </row>
    <row r="57" spans="1:2" ht="12" customHeight="1">
      <c r="A57" s="8"/>
      <c r="B57" s="9"/>
    </row>
    <row r="58" spans="1:2" ht="12" customHeight="1">
      <c r="A58" s="8"/>
      <c r="B58" s="9"/>
    </row>
    <row r="59" spans="1:2" ht="12" customHeight="1">
      <c r="A59" s="8"/>
      <c r="B59" s="9"/>
    </row>
    <row r="60" spans="1:2" ht="12" customHeight="1">
      <c r="A60" s="8"/>
      <c r="B60" s="116"/>
    </row>
    <row r="61" spans="1:2" ht="12" customHeight="1">
      <c r="A61" s="8"/>
      <c r="B61" s="9"/>
    </row>
    <row r="62" spans="1:2" ht="13">
      <c r="A62" s="8"/>
      <c r="B62" s="116"/>
    </row>
    <row r="63" spans="1:2" ht="12" customHeight="1">
      <c r="A63" s="8"/>
      <c r="B63" s="9"/>
    </row>
    <row r="64" spans="1:2" ht="12" customHeight="1">
      <c r="A64" s="8"/>
      <c r="B64" s="9"/>
    </row>
    <row r="65" spans="1:2" ht="12" customHeight="1">
      <c r="A65" s="8"/>
      <c r="B65" s="9"/>
    </row>
    <row r="66" spans="1:2" ht="12" customHeight="1">
      <c r="A66" s="8"/>
      <c r="B66" s="9"/>
    </row>
    <row r="67" spans="1:2" ht="12" customHeight="1">
      <c r="A67" s="8"/>
      <c r="B67" s="9"/>
    </row>
    <row r="68" spans="1:2" ht="12" customHeight="1">
      <c r="A68" s="8"/>
    </row>
    <row r="69" spans="1:2" ht="12" customHeight="1">
      <c r="A69" s="8"/>
      <c r="B69" s="9"/>
    </row>
    <row r="70" spans="1:2" ht="12" customHeight="1">
      <c r="A70" s="8"/>
      <c r="B70" s="9"/>
    </row>
    <row r="71" spans="1:2" ht="12" customHeight="1">
      <c r="A71" s="8"/>
      <c r="B71" s="9"/>
    </row>
    <row r="72" spans="1:2" ht="12" customHeight="1">
      <c r="A72" s="8"/>
      <c r="B72" s="9"/>
    </row>
    <row r="73" spans="1:2" ht="12" customHeight="1">
      <c r="A73" s="8"/>
      <c r="B73" s="9"/>
    </row>
    <row r="74" spans="1:2" ht="12" customHeight="1">
      <c r="A74" s="8"/>
      <c r="B74" s="9"/>
    </row>
    <row r="75" spans="1:2" ht="12" customHeight="1">
      <c r="A75" s="8"/>
      <c r="B75" s="9"/>
    </row>
    <row r="76" spans="1:2" ht="12" customHeight="1">
      <c r="A76" s="8"/>
      <c r="B76" s="9"/>
    </row>
    <row r="77" spans="1:2" ht="12" customHeight="1">
      <c r="A77" s="8"/>
      <c r="B77" s="9"/>
    </row>
    <row r="78" spans="1:2" ht="12" customHeight="1">
      <c r="A78" s="8"/>
      <c r="B78" s="9"/>
    </row>
    <row r="79" spans="1:2" ht="12" customHeight="1">
      <c r="A79" s="8"/>
      <c r="B79" s="9"/>
    </row>
    <row r="80" spans="1:2" ht="12" customHeight="1">
      <c r="A80" s="8"/>
      <c r="B80" s="9"/>
    </row>
    <row r="81" spans="1:16382" ht="12" customHeight="1">
      <c r="A81" s="8"/>
      <c r="B81" s="9"/>
    </row>
    <row r="82" spans="1:16382" ht="12" customHeight="1">
      <c r="A82" s="8"/>
      <c r="B82" s="9"/>
      <c r="C82" s="106"/>
      <c r="D82" s="9"/>
      <c r="E82" s="106"/>
      <c r="F82" s="9"/>
      <c r="G82" s="106"/>
      <c r="H82" s="9"/>
      <c r="I82" s="106"/>
      <c r="J82" s="9"/>
      <c r="K82" s="106"/>
      <c r="L82" s="9"/>
      <c r="M82" s="106"/>
      <c r="N82" s="9"/>
      <c r="O82" s="106"/>
      <c r="P82" s="9"/>
      <c r="Q82" s="106"/>
      <c r="R82" s="9"/>
      <c r="S82" s="106"/>
      <c r="T82" s="9"/>
      <c r="U82" s="106"/>
      <c r="V82" s="9"/>
      <c r="W82" s="106"/>
      <c r="X82" s="9"/>
      <c r="Y82" s="106"/>
      <c r="Z82" s="9"/>
      <c r="AA82" s="106"/>
      <c r="AB82" s="9"/>
      <c r="AC82" s="106"/>
      <c r="AD82" s="9"/>
      <c r="AE82" s="106"/>
      <c r="AF82" s="9"/>
      <c r="AG82" s="106"/>
      <c r="AH82" s="9"/>
      <c r="AI82" s="106"/>
      <c r="AJ82" s="9"/>
      <c r="AK82" s="106"/>
      <c r="AL82" s="9"/>
      <c r="AM82" s="106"/>
      <c r="AN82" s="9"/>
      <c r="AO82" s="106"/>
      <c r="AP82" s="9"/>
      <c r="AQ82" s="106"/>
      <c r="AR82" s="9"/>
      <c r="AS82" s="106"/>
      <c r="AT82" s="9"/>
      <c r="AU82" s="106"/>
      <c r="AV82" s="9"/>
      <c r="AW82" s="106"/>
      <c r="AX82" s="9"/>
      <c r="AY82" s="106"/>
      <c r="AZ82" s="9"/>
      <c r="BA82" s="106"/>
      <c r="BB82" s="9"/>
      <c r="BC82" s="106"/>
      <c r="BD82" s="9"/>
      <c r="BE82" s="106"/>
      <c r="BF82" s="9"/>
      <c r="BG82" s="106"/>
      <c r="BH82" s="9"/>
      <c r="BI82" s="106"/>
      <c r="BJ82" s="9"/>
      <c r="BK82" s="106"/>
      <c r="BL82" s="9"/>
      <c r="BM82" s="106"/>
      <c r="BN82" s="9"/>
      <c r="BO82" s="106"/>
      <c r="BP82" s="9"/>
      <c r="BQ82" s="106"/>
      <c r="BR82" s="9"/>
      <c r="BS82" s="106"/>
      <c r="BT82" s="9"/>
      <c r="BU82" s="106"/>
      <c r="BV82" s="9"/>
      <c r="BW82" s="106"/>
      <c r="BX82" s="9"/>
      <c r="BY82" s="106"/>
      <c r="BZ82" s="9"/>
      <c r="CA82" s="106"/>
      <c r="CB82" s="9"/>
      <c r="CC82" s="106"/>
      <c r="CD82" s="9"/>
      <c r="CE82" s="106"/>
      <c r="CF82" s="9"/>
      <c r="CG82" s="106"/>
      <c r="CH82" s="9"/>
      <c r="CI82" s="106"/>
      <c r="CJ82" s="9"/>
      <c r="CK82" s="106"/>
      <c r="CL82" s="9"/>
      <c r="CM82" s="106"/>
      <c r="CN82" s="9"/>
      <c r="CO82" s="106"/>
      <c r="CP82" s="9"/>
      <c r="CQ82" s="106"/>
      <c r="CR82" s="9"/>
      <c r="CS82" s="106"/>
      <c r="CT82" s="9"/>
      <c r="CU82" s="106"/>
      <c r="CV82" s="9"/>
      <c r="CW82" s="106"/>
      <c r="CX82" s="9"/>
      <c r="CY82" s="106"/>
      <c r="CZ82" s="9"/>
      <c r="DA82" s="106"/>
      <c r="DB82" s="9"/>
      <c r="DC82" s="106"/>
      <c r="DD82" s="9"/>
      <c r="DE82" s="106"/>
      <c r="DF82" s="9"/>
      <c r="DG82" s="106"/>
      <c r="DH82" s="9"/>
      <c r="DI82" s="106"/>
      <c r="DJ82" s="9"/>
      <c r="DK82" s="106"/>
      <c r="DL82" s="9"/>
      <c r="DM82" s="106"/>
      <c r="DN82" s="9"/>
      <c r="DO82" s="106"/>
      <c r="DP82" s="9"/>
      <c r="DQ82" s="106"/>
      <c r="DR82" s="9"/>
      <c r="DS82" s="106"/>
      <c r="DT82" s="9"/>
      <c r="DU82" s="106"/>
      <c r="DV82" s="9"/>
      <c r="DW82" s="106"/>
      <c r="DX82" s="9"/>
      <c r="DY82" s="106"/>
      <c r="DZ82" s="9"/>
      <c r="EA82" s="106"/>
      <c r="EB82" s="9"/>
      <c r="EC82" s="106"/>
      <c r="ED82" s="9"/>
      <c r="EE82" s="106"/>
      <c r="EF82" s="9"/>
      <c r="EG82" s="106"/>
      <c r="EH82" s="9"/>
      <c r="EI82" s="106"/>
      <c r="EJ82" s="9"/>
      <c r="EK82" s="106"/>
      <c r="EL82" s="9"/>
      <c r="EM82" s="106"/>
      <c r="EN82" s="9"/>
      <c r="EO82" s="106"/>
      <c r="EP82" s="9"/>
      <c r="EQ82" s="106"/>
      <c r="ER82" s="9"/>
      <c r="ES82" s="106"/>
      <c r="ET82" s="9"/>
      <c r="EU82" s="106"/>
      <c r="EV82" s="9"/>
      <c r="EW82" s="106"/>
      <c r="EX82" s="9"/>
      <c r="EY82" s="106"/>
      <c r="EZ82" s="9"/>
      <c r="FA82" s="106"/>
      <c r="FB82" s="9"/>
      <c r="FC82" s="106"/>
      <c r="FD82" s="9"/>
      <c r="FE82" s="106"/>
      <c r="FF82" s="9"/>
      <c r="FG82" s="106"/>
      <c r="FH82" s="9"/>
      <c r="FI82" s="106"/>
      <c r="FJ82" s="9"/>
      <c r="FK82" s="106"/>
      <c r="FL82" s="9"/>
      <c r="FM82" s="106"/>
      <c r="FN82" s="9"/>
      <c r="FO82" s="106"/>
      <c r="FP82" s="9"/>
      <c r="FQ82" s="106"/>
      <c r="FR82" s="9"/>
      <c r="FS82" s="106"/>
      <c r="FT82" s="9"/>
      <c r="FU82" s="106"/>
      <c r="FV82" s="9"/>
      <c r="FW82" s="106"/>
      <c r="FX82" s="9"/>
      <c r="FY82" s="106"/>
      <c r="FZ82" s="9"/>
      <c r="GA82" s="106"/>
      <c r="GB82" s="9"/>
      <c r="GC82" s="106"/>
      <c r="GD82" s="9"/>
      <c r="GE82" s="106"/>
      <c r="GF82" s="9"/>
      <c r="GG82" s="106"/>
      <c r="GH82" s="9"/>
      <c r="GI82" s="106"/>
      <c r="GJ82" s="9"/>
      <c r="GK82" s="106"/>
      <c r="GL82" s="9"/>
      <c r="GM82" s="106"/>
      <c r="GN82" s="9"/>
      <c r="GO82" s="106"/>
      <c r="GP82" s="9"/>
      <c r="GQ82" s="106"/>
      <c r="GR82" s="9"/>
      <c r="GS82" s="106"/>
      <c r="GT82" s="9"/>
      <c r="GU82" s="106"/>
      <c r="GV82" s="9"/>
      <c r="GW82" s="106"/>
      <c r="GX82" s="9"/>
      <c r="GY82" s="106"/>
      <c r="GZ82" s="9"/>
      <c r="HA82" s="106"/>
      <c r="HB82" s="9"/>
      <c r="HC82" s="106"/>
      <c r="HD82" s="9"/>
      <c r="HE82" s="106"/>
      <c r="HF82" s="9"/>
      <c r="HG82" s="106"/>
      <c r="HH82" s="9"/>
      <c r="HI82" s="106"/>
      <c r="HJ82" s="9"/>
      <c r="HK82" s="106"/>
      <c r="HL82" s="9"/>
      <c r="HM82" s="106"/>
      <c r="HN82" s="9"/>
      <c r="HO82" s="106"/>
      <c r="HP82" s="9"/>
      <c r="HQ82" s="106"/>
      <c r="HR82" s="9"/>
      <c r="HS82" s="106"/>
      <c r="HT82" s="9"/>
      <c r="HU82" s="106"/>
      <c r="HV82" s="9"/>
      <c r="HW82" s="106"/>
      <c r="HX82" s="9"/>
      <c r="HY82" s="106"/>
      <c r="HZ82" s="9"/>
      <c r="IA82" s="106"/>
      <c r="IB82" s="9"/>
      <c r="IC82" s="106"/>
      <c r="ID82" s="9"/>
      <c r="IE82" s="106"/>
      <c r="IF82" s="9"/>
      <c r="IG82" s="106"/>
      <c r="IH82" s="9"/>
      <c r="II82" s="106"/>
      <c r="IJ82" s="9"/>
      <c r="IK82" s="106"/>
      <c r="IL82" s="9"/>
      <c r="IM82" s="106"/>
      <c r="IN82" s="9"/>
      <c r="IO82" s="106"/>
      <c r="IP82" s="9"/>
      <c r="IQ82" s="106"/>
      <c r="IR82" s="9"/>
      <c r="IS82" s="106"/>
      <c r="IT82" s="9"/>
      <c r="IU82" s="106"/>
      <c r="IV82" s="9"/>
      <c r="IW82" s="106"/>
      <c r="IX82" s="9"/>
      <c r="IY82" s="106"/>
      <c r="IZ82" s="9"/>
      <c r="JA82" s="106"/>
      <c r="JB82" s="9"/>
      <c r="JC82" s="106"/>
      <c r="JD82" s="9"/>
      <c r="JE82" s="106"/>
      <c r="JF82" s="9"/>
      <c r="JG82" s="106"/>
      <c r="JH82" s="9"/>
      <c r="JI82" s="106"/>
      <c r="JJ82" s="9"/>
      <c r="JK82" s="106"/>
      <c r="JL82" s="9"/>
      <c r="JM82" s="106"/>
      <c r="JN82" s="9"/>
      <c r="JO82" s="106"/>
      <c r="JP82" s="9"/>
      <c r="JQ82" s="106"/>
      <c r="JR82" s="9"/>
      <c r="JS82" s="106"/>
      <c r="JT82" s="9"/>
      <c r="JU82" s="106"/>
      <c r="JV82" s="9"/>
      <c r="JW82" s="106"/>
      <c r="JX82" s="9"/>
      <c r="JY82" s="106"/>
      <c r="JZ82" s="9"/>
      <c r="KA82" s="106"/>
      <c r="KB82" s="9"/>
      <c r="KC82" s="106"/>
      <c r="KD82" s="9"/>
      <c r="KE82" s="106"/>
      <c r="KF82" s="9"/>
      <c r="KG82" s="106"/>
      <c r="KH82" s="9"/>
      <c r="KI82" s="106"/>
      <c r="KJ82" s="9"/>
      <c r="KK82" s="106"/>
      <c r="KL82" s="9"/>
      <c r="KM82" s="106"/>
      <c r="KN82" s="9"/>
      <c r="KO82" s="106"/>
      <c r="KP82" s="9"/>
      <c r="KQ82" s="106"/>
      <c r="KR82" s="9"/>
      <c r="KS82" s="106"/>
      <c r="KT82" s="9"/>
      <c r="KU82" s="106"/>
      <c r="KV82" s="9"/>
      <c r="KW82" s="106"/>
      <c r="KX82" s="9"/>
      <c r="KY82" s="106"/>
      <c r="KZ82" s="9"/>
      <c r="LA82" s="106"/>
      <c r="LB82" s="9"/>
      <c r="LC82" s="106"/>
      <c r="LD82" s="9"/>
      <c r="LE82" s="106"/>
      <c r="LF82" s="9"/>
      <c r="LG82" s="106"/>
      <c r="LH82" s="9"/>
      <c r="LI82" s="106"/>
      <c r="LJ82" s="9"/>
      <c r="LK82" s="106"/>
      <c r="LL82" s="9"/>
      <c r="LM82" s="106"/>
      <c r="LN82" s="9"/>
      <c r="LO82" s="106"/>
      <c r="LP82" s="9"/>
      <c r="LQ82" s="106"/>
      <c r="LR82" s="9"/>
      <c r="LS82" s="106"/>
      <c r="LT82" s="9"/>
      <c r="LU82" s="106"/>
      <c r="LV82" s="9"/>
      <c r="LW82" s="106"/>
      <c r="LX82" s="9"/>
      <c r="LY82" s="106"/>
      <c r="LZ82" s="9"/>
      <c r="MA82" s="106"/>
      <c r="MB82" s="9"/>
      <c r="MC82" s="106"/>
      <c r="MD82" s="9"/>
      <c r="ME82" s="106"/>
      <c r="MF82" s="9"/>
      <c r="MG82" s="106"/>
      <c r="MH82" s="9"/>
      <c r="MI82" s="106"/>
      <c r="MJ82" s="9"/>
      <c r="MK82" s="106"/>
      <c r="ML82" s="9"/>
      <c r="MM82" s="106"/>
      <c r="MN82" s="9"/>
      <c r="MO82" s="106"/>
      <c r="MP82" s="9"/>
      <c r="MQ82" s="106"/>
      <c r="MR82" s="9"/>
      <c r="MS82" s="106"/>
      <c r="MT82" s="9"/>
      <c r="MU82" s="106"/>
      <c r="MV82" s="9"/>
      <c r="MW82" s="106"/>
      <c r="MX82" s="9"/>
      <c r="MY82" s="106"/>
      <c r="MZ82" s="9"/>
      <c r="NA82" s="106"/>
      <c r="NB82" s="9"/>
      <c r="NC82" s="106"/>
      <c r="ND82" s="9"/>
      <c r="NE82" s="106"/>
      <c r="NF82" s="9"/>
      <c r="NG82" s="106"/>
      <c r="NH82" s="9"/>
      <c r="NI82" s="106"/>
      <c r="NJ82" s="9"/>
      <c r="NK82" s="106"/>
      <c r="NL82" s="9"/>
      <c r="NM82" s="106"/>
      <c r="NN82" s="9"/>
      <c r="NO82" s="106"/>
      <c r="NP82" s="9"/>
      <c r="NQ82" s="106"/>
      <c r="NR82" s="9"/>
      <c r="NS82" s="106"/>
      <c r="NT82" s="9"/>
      <c r="NU82" s="106"/>
      <c r="NV82" s="9"/>
      <c r="NW82" s="106"/>
      <c r="NX82" s="9"/>
      <c r="NY82" s="106"/>
      <c r="NZ82" s="9"/>
      <c r="OA82" s="106"/>
      <c r="OB82" s="9"/>
      <c r="OC82" s="106"/>
      <c r="OD82" s="9"/>
      <c r="OE82" s="106"/>
      <c r="OF82" s="9"/>
      <c r="OG82" s="106"/>
      <c r="OH82" s="9"/>
      <c r="OI82" s="106"/>
      <c r="OJ82" s="9"/>
      <c r="OK82" s="106"/>
      <c r="OL82" s="9"/>
      <c r="OM82" s="106"/>
      <c r="ON82" s="9"/>
      <c r="OO82" s="106"/>
      <c r="OP82" s="9"/>
      <c r="OQ82" s="106"/>
      <c r="OR82" s="9"/>
      <c r="OS82" s="106"/>
      <c r="OT82" s="9"/>
      <c r="OU82" s="106"/>
      <c r="OV82" s="9"/>
      <c r="OW82" s="106"/>
      <c r="OX82" s="9"/>
      <c r="OY82" s="106"/>
      <c r="OZ82" s="9"/>
      <c r="PA82" s="106"/>
      <c r="PB82" s="9"/>
      <c r="PC82" s="106"/>
      <c r="PD82" s="9"/>
      <c r="PE82" s="106"/>
      <c r="PF82" s="9"/>
      <c r="PG82" s="106"/>
      <c r="PH82" s="9"/>
      <c r="PI82" s="106"/>
      <c r="PJ82" s="9"/>
      <c r="PK82" s="106"/>
      <c r="PL82" s="9"/>
      <c r="PM82" s="106"/>
      <c r="PN82" s="9"/>
      <c r="PO82" s="106"/>
      <c r="PP82" s="9"/>
      <c r="PQ82" s="106"/>
      <c r="PR82" s="9"/>
      <c r="PS82" s="106"/>
      <c r="PT82" s="9"/>
      <c r="PU82" s="106"/>
      <c r="PV82" s="9"/>
      <c r="PW82" s="106"/>
      <c r="PX82" s="9"/>
      <c r="PY82" s="106"/>
      <c r="PZ82" s="9"/>
      <c r="QA82" s="106"/>
      <c r="QB82" s="9"/>
      <c r="QC82" s="106"/>
      <c r="QD82" s="9"/>
      <c r="QE82" s="106"/>
      <c r="QF82" s="9"/>
      <c r="QG82" s="106"/>
      <c r="QH82" s="9"/>
      <c r="QI82" s="106"/>
      <c r="QJ82" s="9"/>
      <c r="QK82" s="106"/>
      <c r="QL82" s="9"/>
      <c r="QM82" s="106"/>
      <c r="QN82" s="9"/>
      <c r="QO82" s="106"/>
      <c r="QP82" s="9"/>
      <c r="QQ82" s="106"/>
      <c r="QR82" s="9"/>
      <c r="QS82" s="106"/>
      <c r="QT82" s="9"/>
      <c r="QU82" s="106"/>
      <c r="QV82" s="9"/>
      <c r="QW82" s="106"/>
      <c r="QX82" s="9"/>
      <c r="QY82" s="106"/>
      <c r="QZ82" s="9"/>
      <c r="RA82" s="106"/>
      <c r="RB82" s="9"/>
      <c r="RC82" s="106"/>
      <c r="RD82" s="9"/>
      <c r="RE82" s="106"/>
      <c r="RF82" s="9"/>
      <c r="RG82" s="106"/>
      <c r="RH82" s="9"/>
      <c r="RI82" s="106"/>
      <c r="RJ82" s="9"/>
      <c r="RK82" s="106"/>
      <c r="RL82" s="9"/>
      <c r="RM82" s="106"/>
      <c r="RN82" s="9"/>
      <c r="RO82" s="106"/>
      <c r="RP82" s="9"/>
      <c r="RQ82" s="106"/>
      <c r="RR82" s="9"/>
      <c r="RS82" s="106"/>
      <c r="RT82" s="9"/>
      <c r="RU82" s="106"/>
      <c r="RV82" s="9"/>
      <c r="RW82" s="106"/>
      <c r="RX82" s="9"/>
      <c r="RY82" s="106"/>
      <c r="RZ82" s="9"/>
      <c r="SA82" s="106"/>
      <c r="SB82" s="9"/>
      <c r="SC82" s="106"/>
      <c r="SD82" s="9"/>
      <c r="SE82" s="106"/>
      <c r="SF82" s="9"/>
      <c r="SG82" s="106"/>
      <c r="SH82" s="9"/>
      <c r="SI82" s="106"/>
      <c r="SJ82" s="9"/>
      <c r="SK82" s="106"/>
      <c r="SL82" s="9"/>
      <c r="SM82" s="106"/>
      <c r="SN82" s="9"/>
      <c r="SO82" s="106"/>
      <c r="SP82" s="9"/>
      <c r="SQ82" s="106"/>
      <c r="SR82" s="9"/>
      <c r="SS82" s="106"/>
      <c r="ST82" s="9"/>
      <c r="SU82" s="106"/>
      <c r="SV82" s="9"/>
      <c r="SW82" s="106"/>
      <c r="SX82" s="9"/>
      <c r="SY82" s="106"/>
      <c r="SZ82" s="9"/>
      <c r="TA82" s="106"/>
      <c r="TB82" s="9"/>
      <c r="TC82" s="106"/>
      <c r="TD82" s="9"/>
      <c r="TE82" s="106"/>
      <c r="TF82" s="9"/>
      <c r="TG82" s="106"/>
      <c r="TH82" s="9"/>
      <c r="TI82" s="106"/>
      <c r="TJ82" s="9"/>
      <c r="TK82" s="106"/>
      <c r="TL82" s="9"/>
      <c r="TM82" s="106"/>
      <c r="TN82" s="9"/>
      <c r="TO82" s="106"/>
      <c r="TP82" s="9"/>
      <c r="TQ82" s="106"/>
      <c r="TR82" s="9"/>
      <c r="TS82" s="106"/>
      <c r="TT82" s="9"/>
      <c r="TU82" s="106"/>
      <c r="TV82" s="9"/>
      <c r="TW82" s="106"/>
      <c r="TX82" s="9"/>
      <c r="TY82" s="106"/>
      <c r="TZ82" s="9"/>
      <c r="UA82" s="106"/>
      <c r="UB82" s="9"/>
      <c r="UC82" s="106"/>
      <c r="UD82" s="9"/>
      <c r="UE82" s="106"/>
      <c r="UF82" s="9"/>
      <c r="UG82" s="106"/>
      <c r="UH82" s="9"/>
      <c r="UI82" s="106"/>
      <c r="UJ82" s="9"/>
      <c r="UK82" s="106"/>
      <c r="UL82" s="9"/>
      <c r="UM82" s="106"/>
      <c r="UN82" s="9"/>
      <c r="UO82" s="106"/>
      <c r="UP82" s="9"/>
      <c r="UQ82" s="106"/>
      <c r="UR82" s="9"/>
      <c r="US82" s="106"/>
      <c r="UT82" s="9"/>
      <c r="UU82" s="106"/>
      <c r="UV82" s="9"/>
      <c r="UW82" s="106"/>
      <c r="UX82" s="9"/>
      <c r="UY82" s="106"/>
      <c r="UZ82" s="9"/>
      <c r="VA82" s="106"/>
      <c r="VB82" s="9"/>
      <c r="VC82" s="106"/>
      <c r="VD82" s="9"/>
      <c r="VE82" s="106"/>
      <c r="VF82" s="9"/>
      <c r="VG82" s="106"/>
      <c r="VH82" s="9"/>
      <c r="VI82" s="106"/>
      <c r="VJ82" s="9"/>
      <c r="VK82" s="106"/>
      <c r="VL82" s="9"/>
      <c r="VM82" s="106"/>
      <c r="VN82" s="9"/>
      <c r="VO82" s="106"/>
      <c r="VP82" s="9"/>
      <c r="VQ82" s="106"/>
      <c r="VR82" s="9"/>
      <c r="VS82" s="106"/>
      <c r="VT82" s="9"/>
      <c r="VU82" s="106"/>
      <c r="VV82" s="9"/>
      <c r="VW82" s="106"/>
      <c r="VX82" s="9"/>
      <c r="VY82" s="106"/>
      <c r="VZ82" s="9"/>
      <c r="WA82" s="106"/>
      <c r="WB82" s="9"/>
      <c r="WC82" s="106"/>
      <c r="WD82" s="9"/>
      <c r="WE82" s="106"/>
      <c r="WF82" s="9"/>
      <c r="WG82" s="106"/>
      <c r="WH82" s="9"/>
      <c r="WI82" s="106"/>
      <c r="WJ82" s="9"/>
      <c r="WK82" s="106"/>
      <c r="WL82" s="9"/>
      <c r="WM82" s="106"/>
      <c r="WN82" s="9"/>
      <c r="WO82" s="106"/>
      <c r="WP82" s="9"/>
      <c r="WQ82" s="106"/>
      <c r="WR82" s="9"/>
      <c r="WS82" s="106"/>
      <c r="WT82" s="9"/>
      <c r="WU82" s="106"/>
      <c r="WV82" s="9"/>
      <c r="WW82" s="106"/>
      <c r="WX82" s="9"/>
      <c r="WY82" s="106"/>
      <c r="WZ82" s="9"/>
      <c r="XA82" s="106"/>
      <c r="XB82" s="9"/>
      <c r="XC82" s="106"/>
      <c r="XD82" s="9"/>
      <c r="XE82" s="106"/>
      <c r="XF82" s="9"/>
      <c r="XG82" s="106"/>
      <c r="XH82" s="9"/>
      <c r="XI82" s="106"/>
      <c r="XJ82" s="9"/>
      <c r="XK82" s="106"/>
      <c r="XL82" s="9"/>
      <c r="XM82" s="106"/>
      <c r="XN82" s="9"/>
      <c r="XO82" s="106"/>
      <c r="XP82" s="9"/>
      <c r="XQ82" s="106"/>
      <c r="XR82" s="9"/>
      <c r="XS82" s="106"/>
      <c r="XT82" s="9"/>
      <c r="XU82" s="106"/>
      <c r="XV82" s="9"/>
      <c r="XW82" s="106"/>
      <c r="XX82" s="9"/>
      <c r="XY82" s="106"/>
      <c r="XZ82" s="9"/>
      <c r="YA82" s="106"/>
      <c r="YB82" s="9"/>
      <c r="YC82" s="106"/>
      <c r="YD82" s="9"/>
      <c r="YE82" s="106"/>
      <c r="YF82" s="9"/>
      <c r="YG82" s="106"/>
      <c r="YH82" s="9"/>
      <c r="YI82" s="106"/>
      <c r="YJ82" s="9"/>
      <c r="YK82" s="106"/>
      <c r="YL82" s="9"/>
      <c r="YM82" s="106"/>
      <c r="YN82" s="9"/>
      <c r="YO82" s="106"/>
      <c r="YP82" s="9"/>
      <c r="YQ82" s="106"/>
      <c r="YR82" s="9"/>
      <c r="YS82" s="106"/>
      <c r="YT82" s="9"/>
      <c r="YU82" s="106"/>
      <c r="YV82" s="9"/>
      <c r="YW82" s="106"/>
      <c r="YX82" s="9"/>
      <c r="YY82" s="106"/>
      <c r="YZ82" s="9"/>
      <c r="ZA82" s="106"/>
      <c r="ZB82" s="9"/>
      <c r="ZC82" s="106"/>
      <c r="ZD82" s="9"/>
      <c r="ZE82" s="106"/>
      <c r="ZF82" s="9"/>
      <c r="ZG82" s="106"/>
      <c r="ZH82" s="9"/>
      <c r="ZI82" s="106"/>
      <c r="ZJ82" s="9"/>
      <c r="ZK82" s="106"/>
      <c r="ZL82" s="9"/>
      <c r="ZM82" s="106"/>
      <c r="ZN82" s="9"/>
      <c r="ZO82" s="106"/>
      <c r="ZP82" s="9"/>
      <c r="ZQ82" s="106"/>
      <c r="ZR82" s="9"/>
      <c r="ZS82" s="106"/>
      <c r="ZT82" s="9"/>
      <c r="ZU82" s="106"/>
      <c r="ZV82" s="9"/>
      <c r="ZW82" s="106"/>
      <c r="ZX82" s="9"/>
      <c r="ZY82" s="106"/>
      <c r="ZZ82" s="9"/>
      <c r="AAA82" s="106"/>
      <c r="AAB82" s="9"/>
      <c r="AAC82" s="106"/>
      <c r="AAD82" s="9"/>
      <c r="AAE82" s="106"/>
      <c r="AAF82" s="9"/>
      <c r="AAG82" s="106"/>
      <c r="AAH82" s="9"/>
      <c r="AAI82" s="106"/>
      <c r="AAJ82" s="9"/>
      <c r="AAK82" s="106"/>
      <c r="AAL82" s="9"/>
      <c r="AAM82" s="106"/>
      <c r="AAN82" s="9"/>
      <c r="AAO82" s="106"/>
      <c r="AAP82" s="9"/>
      <c r="AAQ82" s="106"/>
      <c r="AAR82" s="9"/>
      <c r="AAS82" s="106"/>
      <c r="AAT82" s="9"/>
      <c r="AAU82" s="106"/>
      <c r="AAV82" s="9"/>
      <c r="AAW82" s="106"/>
      <c r="AAX82" s="9"/>
      <c r="AAY82" s="106"/>
      <c r="AAZ82" s="9"/>
      <c r="ABA82" s="106"/>
      <c r="ABB82" s="9"/>
      <c r="ABC82" s="106"/>
      <c r="ABD82" s="9"/>
      <c r="ABE82" s="106"/>
      <c r="ABF82" s="9"/>
      <c r="ABG82" s="106"/>
      <c r="ABH82" s="9"/>
      <c r="ABI82" s="106"/>
      <c r="ABJ82" s="9"/>
      <c r="ABK82" s="106"/>
      <c r="ABL82" s="9"/>
      <c r="ABM82" s="106"/>
      <c r="ABN82" s="9"/>
      <c r="ABO82" s="106"/>
      <c r="ABP82" s="9"/>
      <c r="ABQ82" s="106"/>
      <c r="ABR82" s="9"/>
      <c r="ABS82" s="106"/>
      <c r="ABT82" s="9"/>
      <c r="ABU82" s="106"/>
      <c r="ABV82" s="9"/>
      <c r="ABW82" s="106"/>
      <c r="ABX82" s="9"/>
      <c r="ABY82" s="106"/>
      <c r="ABZ82" s="9"/>
      <c r="ACA82" s="106"/>
      <c r="ACB82" s="9"/>
      <c r="ACC82" s="106"/>
      <c r="ACD82" s="9"/>
      <c r="ACE82" s="106"/>
      <c r="ACF82" s="9"/>
      <c r="ACG82" s="106"/>
      <c r="ACH82" s="9"/>
      <c r="ACI82" s="106"/>
      <c r="ACJ82" s="9"/>
      <c r="ACK82" s="106"/>
      <c r="ACL82" s="9"/>
      <c r="ACM82" s="106"/>
      <c r="ACN82" s="9"/>
      <c r="ACO82" s="106"/>
      <c r="ACP82" s="9"/>
      <c r="ACQ82" s="106"/>
      <c r="ACR82" s="9"/>
      <c r="ACS82" s="106"/>
      <c r="ACT82" s="9"/>
      <c r="ACU82" s="106"/>
      <c r="ACV82" s="9"/>
      <c r="ACW82" s="106"/>
      <c r="ACX82" s="9"/>
      <c r="ACY82" s="106"/>
      <c r="ACZ82" s="9"/>
      <c r="ADA82" s="106"/>
      <c r="ADB82" s="9"/>
      <c r="ADC82" s="106"/>
      <c r="ADD82" s="9"/>
      <c r="ADE82" s="106"/>
      <c r="ADF82" s="9"/>
      <c r="ADG82" s="106"/>
      <c r="ADH82" s="9"/>
      <c r="ADI82" s="106"/>
      <c r="ADJ82" s="9"/>
      <c r="ADK82" s="106"/>
      <c r="ADL82" s="9"/>
      <c r="ADM82" s="106"/>
      <c r="ADN82" s="9"/>
      <c r="ADO82" s="106"/>
      <c r="ADP82" s="9"/>
      <c r="ADQ82" s="106"/>
      <c r="ADR82" s="9"/>
      <c r="ADS82" s="106"/>
      <c r="ADT82" s="9"/>
      <c r="ADU82" s="106"/>
      <c r="ADV82" s="9"/>
      <c r="ADW82" s="106"/>
      <c r="ADX82" s="9"/>
      <c r="ADY82" s="106"/>
      <c r="ADZ82" s="9"/>
      <c r="AEA82" s="106"/>
      <c r="AEB82" s="9"/>
      <c r="AEC82" s="106"/>
      <c r="AED82" s="9"/>
      <c r="AEE82" s="106"/>
      <c r="AEF82" s="9"/>
      <c r="AEG82" s="106"/>
      <c r="AEH82" s="9"/>
      <c r="AEI82" s="106"/>
      <c r="AEJ82" s="9"/>
      <c r="AEK82" s="106"/>
      <c r="AEL82" s="9"/>
      <c r="AEM82" s="106"/>
      <c r="AEN82" s="9"/>
      <c r="AEO82" s="106"/>
      <c r="AEP82" s="9"/>
      <c r="AEQ82" s="106"/>
      <c r="AER82" s="9"/>
      <c r="AES82" s="106"/>
      <c r="AET82" s="9"/>
      <c r="AEU82" s="106"/>
      <c r="AEV82" s="9"/>
      <c r="AEW82" s="106"/>
      <c r="AEX82" s="9"/>
      <c r="AEY82" s="106"/>
      <c r="AEZ82" s="9"/>
      <c r="AFA82" s="106"/>
      <c r="AFB82" s="9"/>
      <c r="AFC82" s="106"/>
      <c r="AFD82" s="9"/>
      <c r="AFE82" s="106"/>
      <c r="AFF82" s="9"/>
      <c r="AFG82" s="106"/>
      <c r="AFH82" s="9"/>
      <c r="AFI82" s="106"/>
      <c r="AFJ82" s="9"/>
      <c r="AFK82" s="106"/>
      <c r="AFL82" s="9"/>
      <c r="AFM82" s="106"/>
      <c r="AFN82" s="9"/>
      <c r="AFO82" s="106"/>
      <c r="AFP82" s="9"/>
      <c r="AFQ82" s="106"/>
      <c r="AFR82" s="9"/>
      <c r="AFS82" s="106"/>
      <c r="AFT82" s="9"/>
      <c r="AFU82" s="106"/>
      <c r="AFV82" s="9"/>
      <c r="AFW82" s="106"/>
      <c r="AFX82" s="9"/>
      <c r="AFY82" s="106"/>
      <c r="AFZ82" s="9"/>
      <c r="AGA82" s="106"/>
      <c r="AGB82" s="9"/>
      <c r="AGC82" s="106"/>
      <c r="AGD82" s="9"/>
      <c r="AGE82" s="106"/>
      <c r="AGF82" s="9"/>
      <c r="AGG82" s="106"/>
      <c r="AGH82" s="9"/>
      <c r="AGI82" s="106"/>
      <c r="AGJ82" s="9"/>
      <c r="AGK82" s="106"/>
      <c r="AGL82" s="9"/>
      <c r="AGM82" s="106"/>
      <c r="AGN82" s="9"/>
      <c r="AGO82" s="106"/>
      <c r="AGP82" s="9"/>
      <c r="AGQ82" s="106"/>
      <c r="AGR82" s="9"/>
      <c r="AGS82" s="106"/>
      <c r="AGT82" s="9"/>
      <c r="AGU82" s="106"/>
      <c r="AGV82" s="9"/>
      <c r="AGW82" s="106"/>
      <c r="AGX82" s="9"/>
      <c r="AGY82" s="106"/>
      <c r="AGZ82" s="9"/>
      <c r="AHA82" s="106"/>
      <c r="AHB82" s="9"/>
      <c r="AHC82" s="106"/>
      <c r="AHD82" s="9"/>
      <c r="AHE82" s="106"/>
      <c r="AHF82" s="9"/>
      <c r="AHG82" s="106"/>
      <c r="AHH82" s="9"/>
      <c r="AHI82" s="106"/>
      <c r="AHJ82" s="9"/>
      <c r="AHK82" s="106"/>
      <c r="AHL82" s="9"/>
      <c r="AHM82" s="106"/>
      <c r="AHN82" s="9"/>
      <c r="AHO82" s="106"/>
      <c r="AHP82" s="9"/>
      <c r="AHQ82" s="106"/>
      <c r="AHR82" s="9"/>
      <c r="AHS82" s="106"/>
      <c r="AHT82" s="9"/>
      <c r="AHU82" s="106"/>
      <c r="AHV82" s="9"/>
      <c r="AHW82" s="106"/>
      <c r="AHX82" s="9"/>
      <c r="AHY82" s="106"/>
      <c r="AHZ82" s="9"/>
      <c r="AIA82" s="106"/>
      <c r="AIB82" s="9"/>
      <c r="AIC82" s="106"/>
      <c r="AID82" s="9"/>
      <c r="AIE82" s="106"/>
      <c r="AIF82" s="9"/>
      <c r="AIG82" s="106"/>
      <c r="AIH82" s="9"/>
      <c r="AII82" s="106"/>
      <c r="AIJ82" s="9"/>
      <c r="AIK82" s="106"/>
      <c r="AIL82" s="9"/>
      <c r="AIM82" s="106"/>
      <c r="AIN82" s="9"/>
      <c r="AIO82" s="106"/>
      <c r="AIP82" s="9"/>
      <c r="AIQ82" s="106"/>
      <c r="AIR82" s="9"/>
      <c r="AIS82" s="106"/>
      <c r="AIT82" s="9"/>
      <c r="AIU82" s="106"/>
      <c r="AIV82" s="9"/>
      <c r="AIW82" s="106"/>
      <c r="AIX82" s="9"/>
      <c r="AIY82" s="106"/>
      <c r="AIZ82" s="9"/>
      <c r="AJA82" s="106"/>
      <c r="AJB82" s="9"/>
      <c r="AJC82" s="106"/>
      <c r="AJD82" s="9"/>
      <c r="AJE82" s="106"/>
      <c r="AJF82" s="9"/>
      <c r="AJG82" s="106"/>
      <c r="AJH82" s="9"/>
      <c r="AJI82" s="106"/>
      <c r="AJJ82" s="9"/>
      <c r="AJK82" s="106"/>
      <c r="AJL82" s="9"/>
      <c r="AJM82" s="106"/>
      <c r="AJN82" s="9"/>
      <c r="AJO82" s="106"/>
      <c r="AJP82" s="9"/>
      <c r="AJQ82" s="106"/>
      <c r="AJR82" s="9"/>
      <c r="AJS82" s="106"/>
      <c r="AJT82" s="9"/>
      <c r="AJU82" s="106"/>
      <c r="AJV82" s="9"/>
      <c r="AJW82" s="106"/>
      <c r="AJX82" s="9"/>
      <c r="AJY82" s="106"/>
      <c r="AJZ82" s="9"/>
      <c r="AKA82" s="106"/>
      <c r="AKB82" s="9"/>
      <c r="AKC82" s="106"/>
      <c r="AKD82" s="9"/>
      <c r="AKE82" s="106"/>
      <c r="AKF82" s="9"/>
      <c r="AKG82" s="106"/>
      <c r="AKH82" s="9"/>
      <c r="AKI82" s="106"/>
      <c r="AKJ82" s="9"/>
      <c r="AKK82" s="106"/>
      <c r="AKL82" s="9"/>
      <c r="AKM82" s="106"/>
      <c r="AKN82" s="9"/>
      <c r="AKO82" s="106"/>
      <c r="AKP82" s="9"/>
      <c r="AKQ82" s="106"/>
      <c r="AKR82" s="9"/>
      <c r="AKS82" s="106"/>
      <c r="AKT82" s="9"/>
      <c r="AKU82" s="106"/>
      <c r="AKV82" s="9"/>
      <c r="AKW82" s="106"/>
      <c r="AKX82" s="9"/>
      <c r="AKY82" s="106"/>
      <c r="AKZ82" s="9"/>
      <c r="ALA82" s="106"/>
      <c r="ALB82" s="9"/>
      <c r="ALC82" s="106"/>
      <c r="ALD82" s="9"/>
      <c r="ALE82" s="106"/>
      <c r="ALF82" s="9"/>
      <c r="ALG82" s="106"/>
      <c r="ALH82" s="9"/>
      <c r="ALI82" s="106"/>
      <c r="ALJ82" s="9"/>
      <c r="ALK82" s="106"/>
      <c r="ALL82" s="9"/>
      <c r="ALM82" s="106"/>
      <c r="ALN82" s="9"/>
      <c r="ALO82" s="106"/>
      <c r="ALP82" s="9"/>
      <c r="ALQ82" s="106"/>
      <c r="ALR82" s="9"/>
      <c r="ALS82" s="106"/>
      <c r="ALT82" s="9"/>
      <c r="ALU82" s="106"/>
      <c r="ALV82" s="9"/>
      <c r="ALW82" s="106"/>
      <c r="ALX82" s="9"/>
      <c r="ALY82" s="106"/>
      <c r="ALZ82" s="9"/>
      <c r="AMA82" s="106"/>
      <c r="AMB82" s="9"/>
      <c r="AMC82" s="106"/>
      <c r="AMD82" s="9"/>
      <c r="AME82" s="106"/>
      <c r="AMF82" s="9"/>
      <c r="AMG82" s="106"/>
      <c r="AMH82" s="9"/>
      <c r="AMI82" s="106"/>
      <c r="AMJ82" s="9"/>
      <c r="AMK82" s="106"/>
      <c r="AML82" s="9"/>
      <c r="AMM82" s="106"/>
      <c r="AMN82" s="9"/>
      <c r="AMO82" s="106"/>
      <c r="AMP82" s="9"/>
      <c r="AMQ82" s="106"/>
      <c r="AMR82" s="9"/>
      <c r="AMS82" s="106"/>
      <c r="AMT82" s="9"/>
      <c r="AMU82" s="106"/>
      <c r="AMV82" s="9"/>
      <c r="AMW82" s="106"/>
      <c r="AMX82" s="9"/>
      <c r="AMY82" s="106"/>
      <c r="AMZ82" s="9"/>
      <c r="ANA82" s="106"/>
      <c r="ANB82" s="9"/>
      <c r="ANC82" s="106"/>
      <c r="AND82" s="9"/>
      <c r="ANE82" s="106"/>
      <c r="ANF82" s="9"/>
      <c r="ANG82" s="106"/>
      <c r="ANH82" s="9"/>
      <c r="ANI82" s="106"/>
      <c r="ANJ82" s="9"/>
      <c r="ANK82" s="106"/>
      <c r="ANL82" s="9"/>
      <c r="ANM82" s="106"/>
      <c r="ANN82" s="9"/>
      <c r="ANO82" s="106"/>
      <c r="ANP82" s="9"/>
      <c r="ANQ82" s="106"/>
      <c r="ANR82" s="9"/>
      <c r="ANS82" s="106"/>
      <c r="ANT82" s="9"/>
      <c r="ANU82" s="106"/>
      <c r="ANV82" s="9"/>
      <c r="ANW82" s="106"/>
      <c r="ANX82" s="9"/>
      <c r="ANY82" s="106"/>
      <c r="ANZ82" s="9"/>
      <c r="AOA82" s="106"/>
      <c r="AOB82" s="9"/>
      <c r="AOC82" s="106"/>
      <c r="AOD82" s="9"/>
      <c r="AOE82" s="106"/>
      <c r="AOF82" s="9"/>
      <c r="AOG82" s="106"/>
      <c r="AOH82" s="9"/>
      <c r="AOI82" s="106"/>
      <c r="AOJ82" s="9"/>
      <c r="AOK82" s="106"/>
      <c r="AOL82" s="9"/>
      <c r="AOM82" s="106"/>
      <c r="AON82" s="9"/>
      <c r="AOO82" s="106"/>
      <c r="AOP82" s="9"/>
      <c r="AOQ82" s="106"/>
      <c r="AOR82" s="9"/>
      <c r="AOS82" s="106"/>
      <c r="AOT82" s="9"/>
      <c r="AOU82" s="106"/>
      <c r="AOV82" s="9"/>
      <c r="AOW82" s="106"/>
      <c r="AOX82" s="9"/>
      <c r="AOY82" s="106"/>
      <c r="AOZ82" s="9"/>
      <c r="APA82" s="106"/>
      <c r="APB82" s="9"/>
      <c r="APC82" s="106"/>
      <c r="APD82" s="9"/>
      <c r="APE82" s="106"/>
      <c r="APF82" s="9"/>
      <c r="APG82" s="106"/>
      <c r="APH82" s="9"/>
      <c r="API82" s="106"/>
      <c r="APJ82" s="9"/>
      <c r="APK82" s="106"/>
      <c r="APL82" s="9"/>
      <c r="APM82" s="106"/>
      <c r="APN82" s="9"/>
      <c r="APO82" s="106"/>
      <c r="APP82" s="9"/>
      <c r="APQ82" s="106"/>
      <c r="APR82" s="9"/>
      <c r="APS82" s="106"/>
      <c r="APT82" s="9"/>
      <c r="APU82" s="106"/>
      <c r="APV82" s="9"/>
      <c r="APW82" s="106"/>
      <c r="APX82" s="9"/>
      <c r="APY82" s="106"/>
      <c r="APZ82" s="9"/>
      <c r="AQA82" s="106"/>
      <c r="AQB82" s="9"/>
      <c r="AQC82" s="106"/>
      <c r="AQD82" s="9"/>
      <c r="AQE82" s="106"/>
      <c r="AQF82" s="9"/>
      <c r="AQG82" s="106"/>
      <c r="AQH82" s="9"/>
      <c r="AQI82" s="106"/>
      <c r="AQJ82" s="9"/>
      <c r="AQK82" s="106"/>
      <c r="AQL82" s="9"/>
      <c r="AQM82" s="106"/>
      <c r="AQN82" s="9"/>
      <c r="AQO82" s="106"/>
      <c r="AQP82" s="9"/>
      <c r="AQQ82" s="106"/>
      <c r="AQR82" s="9"/>
      <c r="AQS82" s="106"/>
      <c r="AQT82" s="9"/>
      <c r="AQU82" s="106"/>
      <c r="AQV82" s="9"/>
      <c r="AQW82" s="106"/>
      <c r="AQX82" s="9"/>
      <c r="AQY82" s="106"/>
      <c r="AQZ82" s="9"/>
      <c r="ARA82" s="106"/>
      <c r="ARB82" s="9"/>
      <c r="ARC82" s="106"/>
      <c r="ARD82" s="9"/>
      <c r="ARE82" s="106"/>
      <c r="ARF82" s="9"/>
      <c r="ARG82" s="106"/>
      <c r="ARH82" s="9"/>
      <c r="ARI82" s="106"/>
      <c r="ARJ82" s="9"/>
      <c r="ARK82" s="106"/>
      <c r="ARL82" s="9"/>
      <c r="ARM82" s="106"/>
      <c r="ARN82" s="9"/>
      <c r="ARO82" s="106"/>
      <c r="ARP82" s="9"/>
      <c r="ARQ82" s="106"/>
      <c r="ARR82" s="9"/>
      <c r="ARS82" s="106"/>
      <c r="ART82" s="9"/>
      <c r="ARU82" s="106"/>
      <c r="ARV82" s="9"/>
      <c r="ARW82" s="106"/>
      <c r="ARX82" s="9"/>
      <c r="ARY82" s="106"/>
      <c r="ARZ82" s="9"/>
      <c r="ASA82" s="106"/>
      <c r="ASB82" s="9"/>
      <c r="ASC82" s="106"/>
      <c r="ASD82" s="9"/>
      <c r="ASE82" s="106"/>
      <c r="ASF82" s="9"/>
      <c r="ASG82" s="106"/>
      <c r="ASH82" s="9"/>
      <c r="ASI82" s="106"/>
      <c r="ASJ82" s="9"/>
      <c r="ASK82" s="106"/>
      <c r="ASL82" s="9"/>
      <c r="ASM82" s="106"/>
      <c r="ASN82" s="9"/>
      <c r="ASO82" s="106"/>
      <c r="ASP82" s="9"/>
      <c r="ASQ82" s="106"/>
      <c r="ASR82" s="9"/>
      <c r="ASS82" s="106"/>
      <c r="AST82" s="9"/>
      <c r="ASU82" s="106"/>
      <c r="ASV82" s="9"/>
      <c r="ASW82" s="106"/>
      <c r="ASX82" s="9"/>
      <c r="ASY82" s="106"/>
      <c r="ASZ82" s="9"/>
      <c r="ATA82" s="106"/>
      <c r="ATB82" s="9"/>
      <c r="ATC82" s="106"/>
      <c r="ATD82" s="9"/>
      <c r="ATE82" s="106"/>
      <c r="ATF82" s="9"/>
      <c r="ATG82" s="106"/>
      <c r="ATH82" s="9"/>
      <c r="ATI82" s="106"/>
      <c r="ATJ82" s="9"/>
      <c r="ATK82" s="106"/>
      <c r="ATL82" s="9"/>
      <c r="ATM82" s="106"/>
      <c r="ATN82" s="9"/>
      <c r="ATO82" s="106"/>
      <c r="ATP82" s="9"/>
      <c r="ATQ82" s="106"/>
      <c r="ATR82" s="9"/>
      <c r="ATS82" s="106"/>
      <c r="ATT82" s="9"/>
      <c r="ATU82" s="106"/>
      <c r="ATV82" s="9"/>
      <c r="ATW82" s="106"/>
      <c r="ATX82" s="9"/>
      <c r="ATY82" s="106"/>
      <c r="ATZ82" s="9"/>
      <c r="AUA82" s="106"/>
      <c r="AUB82" s="9"/>
      <c r="AUC82" s="106"/>
      <c r="AUD82" s="9"/>
      <c r="AUE82" s="106"/>
      <c r="AUF82" s="9"/>
      <c r="AUG82" s="106"/>
      <c r="AUH82" s="9"/>
      <c r="AUI82" s="106"/>
      <c r="AUJ82" s="9"/>
      <c r="AUK82" s="106"/>
      <c r="AUL82" s="9"/>
      <c r="AUM82" s="106"/>
      <c r="AUN82" s="9"/>
      <c r="AUO82" s="106"/>
      <c r="AUP82" s="9"/>
      <c r="AUQ82" s="106"/>
      <c r="AUR82" s="9"/>
      <c r="AUS82" s="106"/>
      <c r="AUT82" s="9"/>
      <c r="AUU82" s="106"/>
      <c r="AUV82" s="9"/>
      <c r="AUW82" s="106"/>
      <c r="AUX82" s="9"/>
      <c r="AUY82" s="106"/>
      <c r="AUZ82" s="9"/>
      <c r="AVA82" s="106"/>
      <c r="AVB82" s="9"/>
      <c r="AVC82" s="106"/>
      <c r="AVD82" s="9"/>
      <c r="AVE82" s="106"/>
      <c r="AVF82" s="9"/>
      <c r="AVG82" s="106"/>
      <c r="AVH82" s="9"/>
      <c r="AVI82" s="106"/>
      <c r="AVJ82" s="9"/>
      <c r="AVK82" s="106"/>
      <c r="AVL82" s="9"/>
      <c r="AVM82" s="106"/>
      <c r="AVN82" s="9"/>
      <c r="AVO82" s="106"/>
      <c r="AVP82" s="9"/>
      <c r="AVQ82" s="106"/>
      <c r="AVR82" s="9"/>
      <c r="AVS82" s="106"/>
      <c r="AVT82" s="9"/>
      <c r="AVU82" s="106"/>
      <c r="AVV82" s="9"/>
      <c r="AVW82" s="106"/>
      <c r="AVX82" s="9"/>
      <c r="AVY82" s="106"/>
      <c r="AVZ82" s="9"/>
      <c r="AWA82" s="106"/>
      <c r="AWB82" s="9"/>
      <c r="AWC82" s="106"/>
      <c r="AWD82" s="9"/>
      <c r="AWE82" s="106"/>
      <c r="AWF82" s="9"/>
      <c r="AWG82" s="106"/>
      <c r="AWH82" s="9"/>
      <c r="AWI82" s="106"/>
      <c r="AWJ82" s="9"/>
      <c r="AWK82" s="106"/>
      <c r="AWL82" s="9"/>
      <c r="AWM82" s="106"/>
      <c r="AWN82" s="9"/>
      <c r="AWO82" s="106"/>
      <c r="AWP82" s="9"/>
      <c r="AWQ82" s="106"/>
      <c r="AWR82" s="9"/>
      <c r="AWS82" s="106"/>
      <c r="AWT82" s="9"/>
      <c r="AWU82" s="106"/>
      <c r="AWV82" s="9"/>
      <c r="AWW82" s="106"/>
      <c r="AWX82" s="9"/>
      <c r="AWY82" s="106"/>
      <c r="AWZ82" s="9"/>
      <c r="AXA82" s="106"/>
      <c r="AXB82" s="9"/>
      <c r="AXC82" s="106"/>
      <c r="AXD82" s="9"/>
      <c r="AXE82" s="106"/>
      <c r="AXF82" s="9"/>
      <c r="AXG82" s="106"/>
      <c r="AXH82" s="9"/>
      <c r="AXI82" s="106"/>
      <c r="AXJ82" s="9"/>
      <c r="AXK82" s="106"/>
      <c r="AXL82" s="9"/>
      <c r="AXM82" s="106"/>
      <c r="AXN82" s="9"/>
      <c r="AXO82" s="106"/>
      <c r="AXP82" s="9"/>
      <c r="AXQ82" s="106"/>
      <c r="AXR82" s="9"/>
      <c r="AXS82" s="106"/>
      <c r="AXT82" s="9"/>
      <c r="AXU82" s="106"/>
      <c r="AXV82" s="9"/>
      <c r="AXW82" s="106"/>
      <c r="AXX82" s="9"/>
      <c r="AXY82" s="106"/>
      <c r="AXZ82" s="9"/>
      <c r="AYA82" s="106"/>
      <c r="AYB82" s="9"/>
      <c r="AYC82" s="106"/>
      <c r="AYD82" s="9"/>
      <c r="AYE82" s="106"/>
      <c r="AYF82" s="9"/>
      <c r="AYG82" s="106"/>
      <c r="AYH82" s="9"/>
      <c r="AYI82" s="106"/>
      <c r="AYJ82" s="9"/>
      <c r="AYK82" s="106"/>
      <c r="AYL82" s="9"/>
      <c r="AYM82" s="106"/>
      <c r="AYN82" s="9"/>
      <c r="AYO82" s="106"/>
      <c r="AYP82" s="9"/>
      <c r="AYQ82" s="106"/>
      <c r="AYR82" s="9"/>
      <c r="AYS82" s="106"/>
      <c r="AYT82" s="9"/>
      <c r="AYU82" s="106"/>
      <c r="AYV82" s="9"/>
      <c r="AYW82" s="106"/>
      <c r="AYX82" s="9"/>
      <c r="AYY82" s="106"/>
      <c r="AYZ82" s="9"/>
      <c r="AZA82" s="106"/>
      <c r="AZB82" s="9"/>
      <c r="AZC82" s="106"/>
      <c r="AZD82" s="9"/>
      <c r="AZE82" s="106"/>
      <c r="AZF82" s="9"/>
      <c r="AZG82" s="106"/>
      <c r="AZH82" s="9"/>
      <c r="AZI82" s="106"/>
      <c r="AZJ82" s="9"/>
      <c r="AZK82" s="106"/>
      <c r="AZL82" s="9"/>
      <c r="AZM82" s="106"/>
      <c r="AZN82" s="9"/>
      <c r="AZO82" s="106"/>
      <c r="AZP82" s="9"/>
      <c r="AZQ82" s="106"/>
      <c r="AZR82" s="9"/>
      <c r="AZS82" s="106"/>
      <c r="AZT82" s="9"/>
      <c r="AZU82" s="106"/>
      <c r="AZV82" s="9"/>
      <c r="AZW82" s="106"/>
      <c r="AZX82" s="9"/>
      <c r="AZY82" s="106"/>
      <c r="AZZ82" s="9"/>
      <c r="BAA82" s="106"/>
      <c r="BAB82" s="9"/>
      <c r="BAC82" s="106"/>
      <c r="BAD82" s="9"/>
      <c r="BAE82" s="106"/>
      <c r="BAF82" s="9"/>
      <c r="BAG82" s="106"/>
      <c r="BAH82" s="9"/>
      <c r="BAI82" s="106"/>
      <c r="BAJ82" s="9"/>
      <c r="BAK82" s="106"/>
      <c r="BAL82" s="9"/>
      <c r="BAM82" s="106"/>
      <c r="BAN82" s="9"/>
      <c r="BAO82" s="106"/>
      <c r="BAP82" s="9"/>
      <c r="BAQ82" s="106"/>
      <c r="BAR82" s="9"/>
      <c r="BAS82" s="106"/>
      <c r="BAT82" s="9"/>
      <c r="BAU82" s="106"/>
      <c r="BAV82" s="9"/>
      <c r="BAW82" s="106"/>
      <c r="BAX82" s="9"/>
      <c r="BAY82" s="106"/>
      <c r="BAZ82" s="9"/>
      <c r="BBA82" s="106"/>
      <c r="BBB82" s="9"/>
      <c r="BBC82" s="106"/>
      <c r="BBD82" s="9"/>
      <c r="BBE82" s="106"/>
      <c r="BBF82" s="9"/>
      <c r="BBG82" s="106"/>
      <c r="BBH82" s="9"/>
      <c r="BBI82" s="106"/>
      <c r="BBJ82" s="9"/>
      <c r="BBK82" s="106"/>
      <c r="BBL82" s="9"/>
      <c r="BBM82" s="106"/>
      <c r="BBN82" s="9"/>
      <c r="BBO82" s="106"/>
      <c r="BBP82" s="9"/>
      <c r="BBQ82" s="106"/>
      <c r="BBR82" s="9"/>
      <c r="BBS82" s="106"/>
      <c r="BBT82" s="9"/>
      <c r="BBU82" s="106"/>
      <c r="BBV82" s="9"/>
      <c r="BBW82" s="106"/>
      <c r="BBX82" s="9"/>
      <c r="BBY82" s="106"/>
      <c r="BBZ82" s="9"/>
      <c r="BCA82" s="106"/>
      <c r="BCB82" s="9"/>
      <c r="BCC82" s="106"/>
      <c r="BCD82" s="9"/>
      <c r="BCE82" s="106"/>
      <c r="BCF82" s="9"/>
      <c r="BCG82" s="106"/>
      <c r="BCH82" s="9"/>
      <c r="BCI82" s="106"/>
      <c r="BCJ82" s="9"/>
      <c r="BCK82" s="106"/>
      <c r="BCL82" s="9"/>
      <c r="BCM82" s="106"/>
      <c r="BCN82" s="9"/>
      <c r="BCO82" s="106"/>
      <c r="BCP82" s="9"/>
      <c r="BCQ82" s="106"/>
      <c r="BCR82" s="9"/>
      <c r="BCS82" s="106"/>
      <c r="BCT82" s="9"/>
      <c r="BCU82" s="106"/>
      <c r="BCV82" s="9"/>
      <c r="BCW82" s="106"/>
      <c r="BCX82" s="9"/>
      <c r="BCY82" s="106"/>
      <c r="BCZ82" s="9"/>
      <c r="BDA82" s="106"/>
      <c r="BDB82" s="9"/>
      <c r="BDC82" s="106"/>
      <c r="BDD82" s="9"/>
      <c r="BDE82" s="106"/>
      <c r="BDF82" s="9"/>
      <c r="BDG82" s="106"/>
      <c r="BDH82" s="9"/>
      <c r="BDI82" s="106"/>
      <c r="BDJ82" s="9"/>
      <c r="BDK82" s="106"/>
      <c r="BDL82" s="9"/>
      <c r="BDM82" s="106"/>
      <c r="BDN82" s="9"/>
      <c r="BDO82" s="106"/>
      <c r="BDP82" s="9"/>
      <c r="BDQ82" s="106"/>
      <c r="BDR82" s="9"/>
      <c r="BDS82" s="106"/>
      <c r="BDT82" s="9"/>
      <c r="BDU82" s="106"/>
      <c r="BDV82" s="9"/>
      <c r="BDW82" s="106"/>
      <c r="BDX82" s="9"/>
      <c r="BDY82" s="106"/>
      <c r="BDZ82" s="9"/>
      <c r="BEA82" s="106"/>
      <c r="BEB82" s="9"/>
      <c r="BEC82" s="106"/>
      <c r="BED82" s="9"/>
      <c r="BEE82" s="106"/>
      <c r="BEF82" s="9"/>
      <c r="BEG82" s="106"/>
      <c r="BEH82" s="9"/>
      <c r="BEI82" s="106"/>
      <c r="BEJ82" s="9"/>
      <c r="BEK82" s="106"/>
      <c r="BEL82" s="9"/>
      <c r="BEM82" s="106"/>
      <c r="BEN82" s="9"/>
      <c r="BEO82" s="106"/>
      <c r="BEP82" s="9"/>
      <c r="BEQ82" s="106"/>
      <c r="BER82" s="9"/>
      <c r="BES82" s="106"/>
      <c r="BET82" s="9"/>
      <c r="BEU82" s="106"/>
      <c r="BEV82" s="9"/>
      <c r="BEW82" s="106"/>
      <c r="BEX82" s="9"/>
      <c r="BEY82" s="106"/>
      <c r="BEZ82" s="9"/>
      <c r="BFA82" s="106"/>
      <c r="BFB82" s="9"/>
      <c r="BFC82" s="106"/>
      <c r="BFD82" s="9"/>
      <c r="BFE82" s="106"/>
      <c r="BFF82" s="9"/>
      <c r="BFG82" s="106"/>
      <c r="BFH82" s="9"/>
      <c r="BFI82" s="106"/>
      <c r="BFJ82" s="9"/>
      <c r="BFK82" s="106"/>
      <c r="BFL82" s="9"/>
      <c r="BFM82" s="106"/>
      <c r="BFN82" s="9"/>
      <c r="BFO82" s="106"/>
      <c r="BFP82" s="9"/>
      <c r="BFQ82" s="106"/>
      <c r="BFR82" s="9"/>
      <c r="BFS82" s="106"/>
      <c r="BFT82" s="9"/>
      <c r="BFU82" s="106"/>
      <c r="BFV82" s="9"/>
      <c r="BFW82" s="106"/>
      <c r="BFX82" s="9"/>
      <c r="BFY82" s="106"/>
      <c r="BFZ82" s="9"/>
      <c r="BGA82" s="106"/>
      <c r="BGB82" s="9"/>
      <c r="BGC82" s="106"/>
      <c r="BGD82" s="9"/>
      <c r="BGE82" s="106"/>
      <c r="BGF82" s="9"/>
      <c r="BGG82" s="106"/>
      <c r="BGH82" s="9"/>
      <c r="BGI82" s="106"/>
      <c r="BGJ82" s="9"/>
      <c r="BGK82" s="106"/>
      <c r="BGL82" s="9"/>
      <c r="BGM82" s="106"/>
      <c r="BGN82" s="9"/>
      <c r="BGO82" s="106"/>
      <c r="BGP82" s="9"/>
      <c r="BGQ82" s="106"/>
      <c r="BGR82" s="9"/>
      <c r="BGS82" s="106"/>
      <c r="BGT82" s="9"/>
      <c r="BGU82" s="106"/>
      <c r="BGV82" s="9"/>
      <c r="BGW82" s="106"/>
      <c r="BGX82" s="9"/>
      <c r="BGY82" s="106"/>
      <c r="BGZ82" s="9"/>
      <c r="BHA82" s="106"/>
      <c r="BHB82" s="9"/>
      <c r="BHC82" s="106"/>
      <c r="BHD82" s="9"/>
      <c r="BHE82" s="106"/>
      <c r="BHF82" s="9"/>
      <c r="BHG82" s="106"/>
      <c r="BHH82" s="9"/>
      <c r="BHI82" s="106"/>
      <c r="BHJ82" s="9"/>
      <c r="BHK82" s="106"/>
      <c r="BHL82" s="9"/>
      <c r="BHM82" s="106"/>
      <c r="BHN82" s="9"/>
      <c r="BHO82" s="106"/>
      <c r="BHP82" s="9"/>
      <c r="BHQ82" s="106"/>
      <c r="BHR82" s="9"/>
      <c r="BHS82" s="106"/>
      <c r="BHT82" s="9"/>
      <c r="BHU82" s="106"/>
      <c r="BHV82" s="9"/>
      <c r="BHW82" s="106"/>
      <c r="BHX82" s="9"/>
      <c r="BHY82" s="106"/>
      <c r="BHZ82" s="9"/>
      <c r="BIA82" s="106"/>
      <c r="BIB82" s="9"/>
      <c r="BIC82" s="106"/>
      <c r="BID82" s="9"/>
      <c r="BIE82" s="106"/>
      <c r="BIF82" s="9"/>
      <c r="BIG82" s="106"/>
      <c r="BIH82" s="9"/>
      <c r="BII82" s="106"/>
      <c r="BIJ82" s="9"/>
      <c r="BIK82" s="106"/>
      <c r="BIL82" s="9"/>
      <c r="BIM82" s="106"/>
      <c r="BIN82" s="9"/>
      <c r="BIO82" s="106"/>
      <c r="BIP82" s="9"/>
      <c r="BIQ82" s="106"/>
      <c r="BIR82" s="9"/>
      <c r="BIS82" s="106"/>
      <c r="BIT82" s="9"/>
      <c r="BIU82" s="106"/>
      <c r="BIV82" s="9"/>
      <c r="BIW82" s="106"/>
      <c r="BIX82" s="9"/>
      <c r="BIY82" s="106"/>
      <c r="BIZ82" s="9"/>
      <c r="BJA82" s="106"/>
      <c r="BJB82" s="9"/>
      <c r="BJC82" s="106"/>
      <c r="BJD82" s="9"/>
      <c r="BJE82" s="106"/>
      <c r="BJF82" s="9"/>
      <c r="BJG82" s="106"/>
      <c r="BJH82" s="9"/>
      <c r="BJI82" s="106"/>
      <c r="BJJ82" s="9"/>
      <c r="BJK82" s="106"/>
      <c r="BJL82" s="9"/>
      <c r="BJM82" s="106"/>
      <c r="BJN82" s="9"/>
      <c r="BJO82" s="106"/>
      <c r="BJP82" s="9"/>
      <c r="BJQ82" s="106"/>
      <c r="BJR82" s="9"/>
      <c r="BJS82" s="106"/>
      <c r="BJT82" s="9"/>
      <c r="BJU82" s="106"/>
      <c r="BJV82" s="9"/>
      <c r="BJW82" s="106"/>
      <c r="BJX82" s="9"/>
      <c r="BJY82" s="106"/>
      <c r="BJZ82" s="9"/>
      <c r="BKA82" s="106"/>
      <c r="BKB82" s="9"/>
      <c r="BKC82" s="106"/>
      <c r="BKD82" s="9"/>
      <c r="BKE82" s="106"/>
      <c r="BKF82" s="9"/>
      <c r="BKG82" s="106"/>
      <c r="BKH82" s="9"/>
      <c r="BKI82" s="106"/>
      <c r="BKJ82" s="9"/>
      <c r="BKK82" s="106"/>
      <c r="BKL82" s="9"/>
      <c r="BKM82" s="106"/>
      <c r="BKN82" s="9"/>
      <c r="BKO82" s="106"/>
      <c r="BKP82" s="9"/>
      <c r="BKQ82" s="106"/>
      <c r="BKR82" s="9"/>
      <c r="BKS82" s="106"/>
      <c r="BKT82" s="9"/>
      <c r="BKU82" s="106"/>
      <c r="BKV82" s="9"/>
      <c r="BKW82" s="106"/>
      <c r="BKX82" s="9"/>
      <c r="BKY82" s="106"/>
      <c r="BKZ82" s="9"/>
      <c r="BLA82" s="106"/>
      <c r="BLB82" s="9"/>
      <c r="BLC82" s="106"/>
      <c r="BLD82" s="9"/>
      <c r="BLE82" s="106"/>
      <c r="BLF82" s="9"/>
      <c r="BLG82" s="106"/>
      <c r="BLH82" s="9"/>
      <c r="BLI82" s="106"/>
      <c r="BLJ82" s="9"/>
      <c r="BLK82" s="106"/>
      <c r="BLL82" s="9"/>
      <c r="BLM82" s="106"/>
      <c r="BLN82" s="9"/>
      <c r="BLO82" s="106"/>
      <c r="BLP82" s="9"/>
      <c r="BLQ82" s="106"/>
      <c r="BLR82" s="9"/>
      <c r="BLS82" s="106"/>
      <c r="BLT82" s="9"/>
      <c r="BLU82" s="106"/>
      <c r="BLV82" s="9"/>
      <c r="BLW82" s="106"/>
      <c r="BLX82" s="9"/>
      <c r="BLY82" s="106"/>
      <c r="BLZ82" s="9"/>
      <c r="BMA82" s="106"/>
      <c r="BMB82" s="9"/>
      <c r="BMC82" s="106"/>
      <c r="BMD82" s="9"/>
      <c r="BME82" s="106"/>
      <c r="BMF82" s="9"/>
      <c r="BMG82" s="106"/>
      <c r="BMH82" s="9"/>
      <c r="BMI82" s="106"/>
      <c r="BMJ82" s="9"/>
      <c r="BMK82" s="106"/>
      <c r="BML82" s="9"/>
      <c r="BMM82" s="106"/>
      <c r="BMN82" s="9"/>
      <c r="BMO82" s="106"/>
      <c r="BMP82" s="9"/>
      <c r="BMQ82" s="106"/>
      <c r="BMR82" s="9"/>
      <c r="BMS82" s="106"/>
      <c r="BMT82" s="9"/>
      <c r="BMU82" s="106"/>
      <c r="BMV82" s="9"/>
      <c r="BMW82" s="106"/>
      <c r="BMX82" s="9"/>
      <c r="BMY82" s="106"/>
      <c r="BMZ82" s="9"/>
      <c r="BNA82" s="106"/>
      <c r="BNB82" s="9"/>
      <c r="BNC82" s="106"/>
      <c r="BND82" s="9"/>
      <c r="BNE82" s="106"/>
      <c r="BNF82" s="9"/>
      <c r="BNG82" s="106"/>
      <c r="BNH82" s="9"/>
      <c r="BNI82" s="106"/>
      <c r="BNJ82" s="9"/>
      <c r="BNK82" s="106"/>
      <c r="BNL82" s="9"/>
      <c r="BNM82" s="106"/>
      <c r="BNN82" s="9"/>
      <c r="BNO82" s="106"/>
      <c r="BNP82" s="9"/>
      <c r="BNQ82" s="106"/>
      <c r="BNR82" s="9"/>
      <c r="BNS82" s="106"/>
      <c r="BNT82" s="9"/>
      <c r="BNU82" s="106"/>
      <c r="BNV82" s="9"/>
      <c r="BNW82" s="106"/>
      <c r="BNX82" s="9"/>
      <c r="BNY82" s="106"/>
      <c r="BNZ82" s="9"/>
      <c r="BOA82" s="106"/>
      <c r="BOB82" s="9"/>
      <c r="BOC82" s="106"/>
      <c r="BOD82" s="9"/>
      <c r="BOE82" s="106"/>
      <c r="BOF82" s="9"/>
      <c r="BOG82" s="106"/>
      <c r="BOH82" s="9"/>
      <c r="BOI82" s="106"/>
      <c r="BOJ82" s="9"/>
      <c r="BOK82" s="106"/>
      <c r="BOL82" s="9"/>
      <c r="BOM82" s="106"/>
      <c r="BON82" s="9"/>
      <c r="BOO82" s="106"/>
      <c r="BOP82" s="9"/>
      <c r="BOQ82" s="106"/>
      <c r="BOR82" s="9"/>
      <c r="BOS82" s="106"/>
      <c r="BOT82" s="9"/>
      <c r="BOU82" s="106"/>
      <c r="BOV82" s="9"/>
      <c r="BOW82" s="106"/>
      <c r="BOX82" s="9"/>
      <c r="BOY82" s="106"/>
      <c r="BOZ82" s="9"/>
      <c r="BPA82" s="106"/>
      <c r="BPB82" s="9"/>
      <c r="BPC82" s="106"/>
      <c r="BPD82" s="9"/>
      <c r="BPE82" s="106"/>
      <c r="BPF82" s="9"/>
      <c r="BPG82" s="106"/>
      <c r="BPH82" s="9"/>
      <c r="BPI82" s="106"/>
      <c r="BPJ82" s="9"/>
      <c r="BPK82" s="106"/>
      <c r="BPL82" s="9"/>
      <c r="BPM82" s="106"/>
      <c r="BPN82" s="9"/>
      <c r="BPO82" s="106"/>
      <c r="BPP82" s="9"/>
      <c r="BPQ82" s="106"/>
      <c r="BPR82" s="9"/>
      <c r="BPS82" s="106"/>
      <c r="BPT82" s="9"/>
      <c r="BPU82" s="106"/>
      <c r="BPV82" s="9"/>
      <c r="BPW82" s="106"/>
      <c r="BPX82" s="9"/>
      <c r="BPY82" s="106"/>
      <c r="BPZ82" s="9"/>
      <c r="BQA82" s="106"/>
      <c r="BQB82" s="9"/>
      <c r="BQC82" s="106"/>
      <c r="BQD82" s="9"/>
      <c r="BQE82" s="106"/>
      <c r="BQF82" s="9"/>
      <c r="BQG82" s="106"/>
      <c r="BQH82" s="9"/>
      <c r="BQI82" s="106"/>
      <c r="BQJ82" s="9"/>
      <c r="BQK82" s="106"/>
      <c r="BQL82" s="9"/>
      <c r="BQM82" s="106"/>
      <c r="BQN82" s="9"/>
      <c r="BQO82" s="106"/>
      <c r="BQP82" s="9"/>
      <c r="BQQ82" s="106"/>
      <c r="BQR82" s="9"/>
      <c r="BQS82" s="106"/>
      <c r="BQT82" s="9"/>
      <c r="BQU82" s="106"/>
      <c r="BQV82" s="9"/>
      <c r="BQW82" s="106"/>
      <c r="BQX82" s="9"/>
      <c r="BQY82" s="106"/>
      <c r="BQZ82" s="9"/>
      <c r="BRA82" s="106"/>
      <c r="BRB82" s="9"/>
      <c r="BRC82" s="106"/>
      <c r="BRD82" s="9"/>
      <c r="BRE82" s="106"/>
      <c r="BRF82" s="9"/>
      <c r="BRG82" s="106"/>
      <c r="BRH82" s="9"/>
      <c r="BRI82" s="106"/>
      <c r="BRJ82" s="9"/>
      <c r="BRK82" s="106"/>
      <c r="BRL82" s="9"/>
      <c r="BRM82" s="106"/>
      <c r="BRN82" s="9"/>
      <c r="BRO82" s="106"/>
      <c r="BRP82" s="9"/>
      <c r="BRQ82" s="106"/>
      <c r="BRR82" s="9"/>
      <c r="BRS82" s="106"/>
      <c r="BRT82" s="9"/>
      <c r="BRU82" s="106"/>
      <c r="BRV82" s="9"/>
      <c r="BRW82" s="106"/>
      <c r="BRX82" s="9"/>
      <c r="BRY82" s="106"/>
      <c r="BRZ82" s="9"/>
      <c r="BSA82" s="106"/>
      <c r="BSB82" s="9"/>
      <c r="BSC82" s="106"/>
      <c r="BSD82" s="9"/>
      <c r="BSE82" s="106"/>
      <c r="BSF82" s="9"/>
      <c r="BSG82" s="106"/>
      <c r="BSH82" s="9"/>
      <c r="BSI82" s="106"/>
      <c r="BSJ82" s="9"/>
      <c r="BSK82" s="106"/>
      <c r="BSL82" s="9"/>
      <c r="BSM82" s="106"/>
      <c r="BSN82" s="9"/>
      <c r="BSO82" s="106"/>
      <c r="BSP82" s="9"/>
      <c r="BSQ82" s="106"/>
      <c r="BSR82" s="9"/>
      <c r="BSS82" s="106"/>
      <c r="BST82" s="9"/>
      <c r="BSU82" s="106"/>
      <c r="BSV82" s="9"/>
      <c r="BSW82" s="106"/>
      <c r="BSX82" s="9"/>
      <c r="BSY82" s="106"/>
      <c r="BSZ82" s="9"/>
      <c r="BTA82" s="106"/>
      <c r="BTB82" s="9"/>
      <c r="BTC82" s="106"/>
      <c r="BTD82" s="9"/>
      <c r="BTE82" s="106"/>
      <c r="BTF82" s="9"/>
      <c r="BTG82" s="106"/>
      <c r="BTH82" s="9"/>
      <c r="BTI82" s="106"/>
      <c r="BTJ82" s="9"/>
      <c r="BTK82" s="106"/>
      <c r="BTL82" s="9"/>
      <c r="BTM82" s="106"/>
      <c r="BTN82" s="9"/>
      <c r="BTO82" s="106"/>
      <c r="BTP82" s="9"/>
      <c r="BTQ82" s="106"/>
      <c r="BTR82" s="9"/>
      <c r="BTS82" s="106"/>
      <c r="BTT82" s="9"/>
      <c r="BTU82" s="106"/>
      <c r="BTV82" s="9"/>
      <c r="BTW82" s="106"/>
      <c r="BTX82" s="9"/>
      <c r="BTY82" s="106"/>
      <c r="BTZ82" s="9"/>
      <c r="BUA82" s="106"/>
      <c r="BUB82" s="9"/>
      <c r="BUC82" s="106"/>
      <c r="BUD82" s="9"/>
      <c r="BUE82" s="106"/>
      <c r="BUF82" s="9"/>
      <c r="BUG82" s="106"/>
      <c r="BUH82" s="9"/>
      <c r="BUI82" s="106"/>
      <c r="BUJ82" s="9"/>
      <c r="BUK82" s="106"/>
      <c r="BUL82" s="9"/>
      <c r="BUM82" s="106"/>
      <c r="BUN82" s="9"/>
      <c r="BUO82" s="106"/>
      <c r="BUP82" s="9"/>
      <c r="BUQ82" s="106"/>
      <c r="BUR82" s="9"/>
      <c r="BUS82" s="106"/>
      <c r="BUT82" s="9"/>
      <c r="BUU82" s="106"/>
      <c r="BUV82" s="9"/>
      <c r="BUW82" s="106"/>
      <c r="BUX82" s="9"/>
      <c r="BUY82" s="106"/>
      <c r="BUZ82" s="9"/>
      <c r="BVA82" s="106"/>
      <c r="BVB82" s="9"/>
      <c r="BVC82" s="106"/>
      <c r="BVD82" s="9"/>
      <c r="BVE82" s="106"/>
      <c r="BVF82" s="9"/>
      <c r="BVG82" s="106"/>
      <c r="BVH82" s="9"/>
      <c r="BVI82" s="106"/>
      <c r="BVJ82" s="9"/>
      <c r="BVK82" s="106"/>
      <c r="BVL82" s="9"/>
      <c r="BVM82" s="106"/>
      <c r="BVN82" s="9"/>
      <c r="BVO82" s="106"/>
      <c r="BVP82" s="9"/>
      <c r="BVQ82" s="106"/>
      <c r="BVR82" s="9"/>
      <c r="BVS82" s="106"/>
      <c r="BVT82" s="9"/>
      <c r="BVU82" s="106"/>
      <c r="BVV82" s="9"/>
      <c r="BVW82" s="106"/>
      <c r="BVX82" s="9"/>
      <c r="BVY82" s="106"/>
      <c r="BVZ82" s="9"/>
      <c r="BWA82" s="106"/>
      <c r="BWB82" s="9"/>
      <c r="BWC82" s="106"/>
      <c r="BWD82" s="9"/>
      <c r="BWE82" s="106"/>
      <c r="BWF82" s="9"/>
      <c r="BWG82" s="106"/>
      <c r="BWH82" s="9"/>
      <c r="BWI82" s="106"/>
      <c r="BWJ82" s="9"/>
      <c r="BWK82" s="106"/>
      <c r="BWL82" s="9"/>
      <c r="BWM82" s="106"/>
      <c r="BWN82" s="9"/>
      <c r="BWO82" s="106"/>
      <c r="BWP82" s="9"/>
      <c r="BWQ82" s="106"/>
      <c r="BWR82" s="9"/>
      <c r="BWS82" s="106"/>
      <c r="BWT82" s="9"/>
      <c r="BWU82" s="106"/>
      <c r="BWV82" s="9"/>
      <c r="BWW82" s="106"/>
      <c r="BWX82" s="9"/>
      <c r="BWY82" s="106"/>
      <c r="BWZ82" s="9"/>
      <c r="BXA82" s="106"/>
      <c r="BXB82" s="9"/>
      <c r="BXC82" s="106"/>
      <c r="BXD82" s="9"/>
      <c r="BXE82" s="106"/>
      <c r="BXF82" s="9"/>
      <c r="BXG82" s="106"/>
      <c r="BXH82" s="9"/>
      <c r="BXI82" s="106"/>
      <c r="BXJ82" s="9"/>
      <c r="BXK82" s="106"/>
      <c r="BXL82" s="9"/>
      <c r="BXM82" s="106"/>
      <c r="BXN82" s="9"/>
      <c r="BXO82" s="106"/>
      <c r="BXP82" s="9"/>
      <c r="BXQ82" s="106"/>
      <c r="BXR82" s="9"/>
      <c r="BXS82" s="106"/>
      <c r="BXT82" s="9"/>
      <c r="BXU82" s="106"/>
      <c r="BXV82" s="9"/>
      <c r="BXW82" s="106"/>
      <c r="BXX82" s="9"/>
      <c r="BXY82" s="106"/>
      <c r="BXZ82" s="9"/>
      <c r="BYA82" s="106"/>
      <c r="BYB82" s="9"/>
      <c r="BYC82" s="106"/>
      <c r="BYD82" s="9"/>
      <c r="BYE82" s="106"/>
      <c r="BYF82" s="9"/>
      <c r="BYG82" s="106"/>
      <c r="BYH82" s="9"/>
      <c r="BYI82" s="106"/>
      <c r="BYJ82" s="9"/>
      <c r="BYK82" s="106"/>
      <c r="BYL82" s="9"/>
      <c r="BYM82" s="106"/>
      <c r="BYN82" s="9"/>
      <c r="BYO82" s="106"/>
      <c r="BYP82" s="9"/>
      <c r="BYQ82" s="106"/>
      <c r="BYR82" s="9"/>
      <c r="BYS82" s="106"/>
      <c r="BYT82" s="9"/>
      <c r="BYU82" s="106"/>
      <c r="BYV82" s="9"/>
      <c r="BYW82" s="106"/>
      <c r="BYX82" s="9"/>
      <c r="BYY82" s="106"/>
      <c r="BYZ82" s="9"/>
      <c r="BZA82" s="106"/>
      <c r="BZB82" s="9"/>
      <c r="BZC82" s="106"/>
      <c r="BZD82" s="9"/>
      <c r="BZE82" s="106"/>
      <c r="BZF82" s="9"/>
      <c r="BZG82" s="106"/>
      <c r="BZH82" s="9"/>
      <c r="BZI82" s="106"/>
      <c r="BZJ82" s="9"/>
      <c r="BZK82" s="106"/>
      <c r="BZL82" s="9"/>
      <c r="BZM82" s="106"/>
      <c r="BZN82" s="9"/>
      <c r="BZO82" s="106"/>
      <c r="BZP82" s="9"/>
      <c r="BZQ82" s="106"/>
      <c r="BZR82" s="9"/>
      <c r="BZS82" s="106"/>
      <c r="BZT82" s="9"/>
      <c r="BZU82" s="106"/>
      <c r="BZV82" s="9"/>
      <c r="BZW82" s="106"/>
      <c r="BZX82" s="9"/>
      <c r="BZY82" s="106"/>
      <c r="BZZ82" s="9"/>
      <c r="CAA82" s="106"/>
      <c r="CAB82" s="9"/>
      <c r="CAC82" s="106"/>
      <c r="CAD82" s="9"/>
      <c r="CAE82" s="106"/>
      <c r="CAF82" s="9"/>
      <c r="CAG82" s="106"/>
      <c r="CAH82" s="9"/>
      <c r="CAI82" s="106"/>
      <c r="CAJ82" s="9"/>
      <c r="CAK82" s="106"/>
      <c r="CAL82" s="9"/>
      <c r="CAM82" s="106"/>
      <c r="CAN82" s="9"/>
      <c r="CAO82" s="106"/>
      <c r="CAP82" s="9"/>
      <c r="CAQ82" s="106"/>
      <c r="CAR82" s="9"/>
      <c r="CAS82" s="106"/>
      <c r="CAT82" s="9"/>
      <c r="CAU82" s="106"/>
      <c r="CAV82" s="9"/>
      <c r="CAW82" s="106"/>
      <c r="CAX82" s="9"/>
      <c r="CAY82" s="106"/>
      <c r="CAZ82" s="9"/>
      <c r="CBA82" s="106"/>
      <c r="CBB82" s="9"/>
      <c r="CBC82" s="106"/>
      <c r="CBD82" s="9"/>
      <c r="CBE82" s="106"/>
      <c r="CBF82" s="9"/>
      <c r="CBG82" s="106"/>
      <c r="CBH82" s="9"/>
      <c r="CBI82" s="106"/>
      <c r="CBJ82" s="9"/>
      <c r="CBK82" s="106"/>
      <c r="CBL82" s="9"/>
      <c r="CBM82" s="106"/>
      <c r="CBN82" s="9"/>
      <c r="CBO82" s="106"/>
      <c r="CBP82" s="9"/>
      <c r="CBQ82" s="106"/>
      <c r="CBR82" s="9"/>
      <c r="CBS82" s="106"/>
      <c r="CBT82" s="9"/>
      <c r="CBU82" s="106"/>
      <c r="CBV82" s="9"/>
      <c r="CBW82" s="106"/>
      <c r="CBX82" s="9"/>
      <c r="CBY82" s="106"/>
      <c r="CBZ82" s="9"/>
      <c r="CCA82" s="106"/>
      <c r="CCB82" s="9"/>
      <c r="CCC82" s="106"/>
      <c r="CCD82" s="9"/>
      <c r="CCE82" s="106"/>
      <c r="CCF82" s="9"/>
      <c r="CCG82" s="106"/>
      <c r="CCH82" s="9"/>
      <c r="CCI82" s="106"/>
      <c r="CCJ82" s="9"/>
      <c r="CCK82" s="106"/>
      <c r="CCL82" s="9"/>
      <c r="CCM82" s="106"/>
      <c r="CCN82" s="9"/>
      <c r="CCO82" s="106"/>
      <c r="CCP82" s="9"/>
      <c r="CCQ82" s="106"/>
      <c r="CCR82" s="9"/>
      <c r="CCS82" s="106"/>
      <c r="CCT82" s="9"/>
      <c r="CCU82" s="106"/>
      <c r="CCV82" s="9"/>
      <c r="CCW82" s="106"/>
      <c r="CCX82" s="9"/>
      <c r="CCY82" s="106"/>
      <c r="CCZ82" s="9"/>
      <c r="CDA82" s="106"/>
      <c r="CDB82" s="9"/>
      <c r="CDC82" s="106"/>
      <c r="CDD82" s="9"/>
      <c r="CDE82" s="106"/>
      <c r="CDF82" s="9"/>
      <c r="CDG82" s="106"/>
      <c r="CDH82" s="9"/>
      <c r="CDI82" s="106"/>
      <c r="CDJ82" s="9"/>
      <c r="CDK82" s="106"/>
      <c r="CDL82" s="9"/>
      <c r="CDM82" s="106"/>
      <c r="CDN82" s="9"/>
      <c r="CDO82" s="106"/>
      <c r="CDP82" s="9"/>
      <c r="CDQ82" s="106"/>
      <c r="CDR82" s="9"/>
      <c r="CDS82" s="106"/>
      <c r="CDT82" s="9"/>
      <c r="CDU82" s="106"/>
      <c r="CDV82" s="9"/>
      <c r="CDW82" s="106"/>
      <c r="CDX82" s="9"/>
      <c r="CDY82" s="106"/>
      <c r="CDZ82" s="9"/>
      <c r="CEA82" s="106"/>
      <c r="CEB82" s="9"/>
      <c r="CEC82" s="106"/>
      <c r="CED82" s="9"/>
      <c r="CEE82" s="106"/>
      <c r="CEF82" s="9"/>
      <c r="CEG82" s="106"/>
      <c r="CEH82" s="9"/>
      <c r="CEI82" s="106"/>
      <c r="CEJ82" s="9"/>
      <c r="CEK82" s="106"/>
      <c r="CEL82" s="9"/>
      <c r="CEM82" s="106"/>
      <c r="CEN82" s="9"/>
      <c r="CEO82" s="106"/>
      <c r="CEP82" s="9"/>
      <c r="CEQ82" s="106"/>
      <c r="CER82" s="9"/>
      <c r="CES82" s="106"/>
      <c r="CET82" s="9"/>
      <c r="CEU82" s="106"/>
      <c r="CEV82" s="9"/>
      <c r="CEW82" s="106"/>
      <c r="CEX82" s="9"/>
      <c r="CEY82" s="106"/>
      <c r="CEZ82" s="9"/>
      <c r="CFA82" s="106"/>
      <c r="CFB82" s="9"/>
      <c r="CFC82" s="106"/>
      <c r="CFD82" s="9"/>
      <c r="CFE82" s="106"/>
      <c r="CFF82" s="9"/>
      <c r="CFG82" s="106"/>
      <c r="CFH82" s="9"/>
      <c r="CFI82" s="106"/>
      <c r="CFJ82" s="9"/>
      <c r="CFK82" s="106"/>
      <c r="CFL82" s="9"/>
      <c r="CFM82" s="106"/>
      <c r="CFN82" s="9"/>
      <c r="CFO82" s="106"/>
      <c r="CFP82" s="9"/>
      <c r="CFQ82" s="106"/>
      <c r="CFR82" s="9"/>
      <c r="CFS82" s="106"/>
      <c r="CFT82" s="9"/>
      <c r="CFU82" s="106"/>
      <c r="CFV82" s="9"/>
      <c r="CFW82" s="106"/>
      <c r="CFX82" s="9"/>
      <c r="CFY82" s="106"/>
      <c r="CFZ82" s="9"/>
      <c r="CGA82" s="106"/>
      <c r="CGB82" s="9"/>
      <c r="CGC82" s="106"/>
      <c r="CGD82" s="9"/>
      <c r="CGE82" s="106"/>
      <c r="CGF82" s="9"/>
      <c r="CGG82" s="106"/>
      <c r="CGH82" s="9"/>
      <c r="CGI82" s="106"/>
      <c r="CGJ82" s="9"/>
      <c r="CGK82" s="106"/>
      <c r="CGL82" s="9"/>
      <c r="CGM82" s="106"/>
      <c r="CGN82" s="9"/>
      <c r="CGO82" s="106"/>
      <c r="CGP82" s="9"/>
      <c r="CGQ82" s="106"/>
      <c r="CGR82" s="9"/>
      <c r="CGS82" s="106"/>
      <c r="CGT82" s="9"/>
      <c r="CGU82" s="106"/>
      <c r="CGV82" s="9"/>
      <c r="CGW82" s="106"/>
      <c r="CGX82" s="9"/>
      <c r="CGY82" s="106"/>
      <c r="CGZ82" s="9"/>
      <c r="CHA82" s="106"/>
      <c r="CHB82" s="9"/>
      <c r="CHC82" s="106"/>
      <c r="CHD82" s="9"/>
      <c r="CHE82" s="106"/>
      <c r="CHF82" s="9"/>
      <c r="CHG82" s="106"/>
      <c r="CHH82" s="9"/>
      <c r="CHI82" s="106"/>
      <c r="CHJ82" s="9"/>
      <c r="CHK82" s="106"/>
      <c r="CHL82" s="9"/>
      <c r="CHM82" s="106"/>
      <c r="CHN82" s="9"/>
      <c r="CHO82" s="106"/>
      <c r="CHP82" s="9"/>
      <c r="CHQ82" s="106"/>
      <c r="CHR82" s="9"/>
      <c r="CHS82" s="106"/>
      <c r="CHT82" s="9"/>
      <c r="CHU82" s="106"/>
      <c r="CHV82" s="9"/>
      <c r="CHW82" s="106"/>
      <c r="CHX82" s="9"/>
      <c r="CHY82" s="106"/>
      <c r="CHZ82" s="9"/>
      <c r="CIA82" s="106"/>
      <c r="CIB82" s="9"/>
      <c r="CIC82" s="106"/>
      <c r="CID82" s="9"/>
      <c r="CIE82" s="106"/>
      <c r="CIF82" s="9"/>
      <c r="CIG82" s="106"/>
      <c r="CIH82" s="9"/>
      <c r="CII82" s="106"/>
      <c r="CIJ82" s="9"/>
      <c r="CIK82" s="106"/>
      <c r="CIL82" s="9"/>
      <c r="CIM82" s="106"/>
      <c r="CIN82" s="9"/>
      <c r="CIO82" s="106"/>
      <c r="CIP82" s="9"/>
      <c r="CIQ82" s="106"/>
      <c r="CIR82" s="9"/>
      <c r="CIS82" s="106"/>
      <c r="CIT82" s="9"/>
      <c r="CIU82" s="106"/>
      <c r="CIV82" s="9"/>
      <c r="CIW82" s="106"/>
      <c r="CIX82" s="9"/>
      <c r="CIY82" s="106"/>
      <c r="CIZ82" s="9"/>
      <c r="CJA82" s="106"/>
      <c r="CJB82" s="9"/>
      <c r="CJC82" s="106"/>
      <c r="CJD82" s="9"/>
      <c r="CJE82" s="106"/>
      <c r="CJF82" s="9"/>
      <c r="CJG82" s="106"/>
      <c r="CJH82" s="9"/>
      <c r="CJI82" s="106"/>
      <c r="CJJ82" s="9"/>
      <c r="CJK82" s="106"/>
      <c r="CJL82" s="9"/>
      <c r="CJM82" s="106"/>
      <c r="CJN82" s="9"/>
      <c r="CJO82" s="106"/>
      <c r="CJP82" s="9"/>
      <c r="CJQ82" s="106"/>
      <c r="CJR82" s="9"/>
      <c r="CJS82" s="106"/>
      <c r="CJT82" s="9"/>
      <c r="CJU82" s="106"/>
      <c r="CJV82" s="9"/>
      <c r="CJW82" s="106"/>
      <c r="CJX82" s="9"/>
      <c r="CJY82" s="106"/>
      <c r="CJZ82" s="9"/>
      <c r="CKA82" s="106"/>
      <c r="CKB82" s="9"/>
      <c r="CKC82" s="106"/>
      <c r="CKD82" s="9"/>
      <c r="CKE82" s="106"/>
      <c r="CKF82" s="9"/>
      <c r="CKG82" s="106"/>
      <c r="CKH82" s="9"/>
      <c r="CKI82" s="106"/>
      <c r="CKJ82" s="9"/>
      <c r="CKK82" s="106"/>
      <c r="CKL82" s="9"/>
      <c r="CKM82" s="106"/>
      <c r="CKN82" s="9"/>
      <c r="CKO82" s="106"/>
      <c r="CKP82" s="9"/>
      <c r="CKQ82" s="106"/>
      <c r="CKR82" s="9"/>
      <c r="CKS82" s="106"/>
      <c r="CKT82" s="9"/>
      <c r="CKU82" s="106"/>
      <c r="CKV82" s="9"/>
      <c r="CKW82" s="106"/>
      <c r="CKX82" s="9"/>
      <c r="CKY82" s="106"/>
      <c r="CKZ82" s="9"/>
      <c r="CLA82" s="106"/>
      <c r="CLB82" s="9"/>
      <c r="CLC82" s="106"/>
      <c r="CLD82" s="9"/>
      <c r="CLE82" s="106"/>
      <c r="CLF82" s="9"/>
      <c r="CLG82" s="106"/>
      <c r="CLH82" s="9"/>
      <c r="CLI82" s="106"/>
      <c r="CLJ82" s="9"/>
      <c r="CLK82" s="106"/>
      <c r="CLL82" s="9"/>
      <c r="CLM82" s="106"/>
      <c r="CLN82" s="9"/>
      <c r="CLO82" s="106"/>
      <c r="CLP82" s="9"/>
      <c r="CLQ82" s="106"/>
      <c r="CLR82" s="9"/>
      <c r="CLS82" s="106"/>
      <c r="CLT82" s="9"/>
      <c r="CLU82" s="106"/>
      <c r="CLV82" s="9"/>
      <c r="CLW82" s="106"/>
      <c r="CLX82" s="9"/>
      <c r="CLY82" s="106"/>
      <c r="CLZ82" s="9"/>
      <c r="CMA82" s="106"/>
      <c r="CMB82" s="9"/>
      <c r="CMC82" s="106"/>
      <c r="CMD82" s="9"/>
      <c r="CME82" s="106"/>
      <c r="CMF82" s="9"/>
      <c r="CMG82" s="106"/>
      <c r="CMH82" s="9"/>
      <c r="CMI82" s="106"/>
      <c r="CMJ82" s="9"/>
      <c r="CMK82" s="106"/>
      <c r="CML82" s="9"/>
      <c r="CMM82" s="106"/>
      <c r="CMN82" s="9"/>
      <c r="CMO82" s="106"/>
      <c r="CMP82" s="9"/>
      <c r="CMQ82" s="106"/>
      <c r="CMR82" s="9"/>
      <c r="CMS82" s="106"/>
      <c r="CMT82" s="9"/>
      <c r="CMU82" s="106"/>
      <c r="CMV82" s="9"/>
      <c r="CMW82" s="106"/>
      <c r="CMX82" s="9"/>
      <c r="CMY82" s="106"/>
      <c r="CMZ82" s="9"/>
      <c r="CNA82" s="106"/>
      <c r="CNB82" s="9"/>
      <c r="CNC82" s="106"/>
      <c r="CND82" s="9"/>
      <c r="CNE82" s="106"/>
      <c r="CNF82" s="9"/>
      <c r="CNG82" s="106"/>
      <c r="CNH82" s="9"/>
      <c r="CNI82" s="106"/>
      <c r="CNJ82" s="9"/>
      <c r="CNK82" s="106"/>
      <c r="CNL82" s="9"/>
      <c r="CNM82" s="106"/>
      <c r="CNN82" s="9"/>
      <c r="CNO82" s="106"/>
      <c r="CNP82" s="9"/>
      <c r="CNQ82" s="106"/>
      <c r="CNR82" s="9"/>
      <c r="CNS82" s="106"/>
      <c r="CNT82" s="9"/>
      <c r="CNU82" s="106"/>
      <c r="CNV82" s="9"/>
      <c r="CNW82" s="106"/>
      <c r="CNX82" s="9"/>
      <c r="CNY82" s="106"/>
      <c r="CNZ82" s="9"/>
      <c r="COA82" s="106"/>
      <c r="COB82" s="9"/>
      <c r="COC82" s="106"/>
      <c r="COD82" s="9"/>
      <c r="COE82" s="106"/>
      <c r="COF82" s="9"/>
      <c r="COG82" s="106"/>
      <c r="COH82" s="9"/>
      <c r="COI82" s="106"/>
      <c r="COJ82" s="9"/>
      <c r="COK82" s="106"/>
      <c r="COL82" s="9"/>
      <c r="COM82" s="106"/>
      <c r="CON82" s="9"/>
      <c r="COO82" s="106"/>
      <c r="COP82" s="9"/>
      <c r="COQ82" s="106"/>
      <c r="COR82" s="9"/>
      <c r="COS82" s="106"/>
      <c r="COT82" s="9"/>
      <c r="COU82" s="106"/>
      <c r="COV82" s="9"/>
      <c r="COW82" s="106"/>
      <c r="COX82" s="9"/>
      <c r="COY82" s="106"/>
      <c r="COZ82" s="9"/>
      <c r="CPA82" s="106"/>
      <c r="CPB82" s="9"/>
      <c r="CPC82" s="106"/>
      <c r="CPD82" s="9"/>
      <c r="CPE82" s="106"/>
      <c r="CPF82" s="9"/>
      <c r="CPG82" s="106"/>
      <c r="CPH82" s="9"/>
      <c r="CPI82" s="106"/>
      <c r="CPJ82" s="9"/>
      <c r="CPK82" s="106"/>
      <c r="CPL82" s="9"/>
      <c r="CPM82" s="106"/>
      <c r="CPN82" s="9"/>
      <c r="CPO82" s="106"/>
      <c r="CPP82" s="9"/>
      <c r="CPQ82" s="106"/>
      <c r="CPR82" s="9"/>
      <c r="CPS82" s="106"/>
      <c r="CPT82" s="9"/>
      <c r="CPU82" s="106"/>
      <c r="CPV82" s="9"/>
      <c r="CPW82" s="106"/>
      <c r="CPX82" s="9"/>
      <c r="CPY82" s="106"/>
      <c r="CPZ82" s="9"/>
      <c r="CQA82" s="106"/>
      <c r="CQB82" s="9"/>
      <c r="CQC82" s="106"/>
      <c r="CQD82" s="9"/>
      <c r="CQE82" s="106"/>
      <c r="CQF82" s="9"/>
      <c r="CQG82" s="106"/>
      <c r="CQH82" s="9"/>
      <c r="CQI82" s="106"/>
      <c r="CQJ82" s="9"/>
      <c r="CQK82" s="106"/>
      <c r="CQL82" s="9"/>
      <c r="CQM82" s="106"/>
      <c r="CQN82" s="9"/>
      <c r="CQO82" s="106"/>
      <c r="CQP82" s="9"/>
      <c r="CQQ82" s="106"/>
      <c r="CQR82" s="9"/>
      <c r="CQS82" s="106"/>
      <c r="CQT82" s="9"/>
      <c r="CQU82" s="106"/>
      <c r="CQV82" s="9"/>
      <c r="CQW82" s="106"/>
      <c r="CQX82" s="9"/>
      <c r="CQY82" s="106"/>
      <c r="CQZ82" s="9"/>
      <c r="CRA82" s="106"/>
      <c r="CRB82" s="9"/>
      <c r="CRC82" s="106"/>
      <c r="CRD82" s="9"/>
      <c r="CRE82" s="106"/>
      <c r="CRF82" s="9"/>
      <c r="CRG82" s="106"/>
      <c r="CRH82" s="9"/>
      <c r="CRI82" s="106"/>
      <c r="CRJ82" s="9"/>
      <c r="CRK82" s="106"/>
      <c r="CRL82" s="9"/>
      <c r="CRM82" s="106"/>
      <c r="CRN82" s="9"/>
      <c r="CRO82" s="106"/>
      <c r="CRP82" s="9"/>
      <c r="CRQ82" s="106"/>
      <c r="CRR82" s="9"/>
      <c r="CRS82" s="106"/>
      <c r="CRT82" s="9"/>
      <c r="CRU82" s="106"/>
      <c r="CRV82" s="9"/>
      <c r="CRW82" s="106"/>
      <c r="CRX82" s="9"/>
      <c r="CRY82" s="106"/>
      <c r="CRZ82" s="9"/>
      <c r="CSA82" s="106"/>
      <c r="CSB82" s="9"/>
      <c r="CSC82" s="106"/>
      <c r="CSD82" s="9"/>
      <c r="CSE82" s="106"/>
      <c r="CSF82" s="9"/>
      <c r="CSG82" s="106"/>
      <c r="CSH82" s="9"/>
      <c r="CSI82" s="106"/>
      <c r="CSJ82" s="9"/>
      <c r="CSK82" s="106"/>
      <c r="CSL82" s="9"/>
      <c r="CSM82" s="106"/>
      <c r="CSN82" s="9"/>
      <c r="CSO82" s="106"/>
      <c r="CSP82" s="9"/>
      <c r="CSQ82" s="106"/>
      <c r="CSR82" s="9"/>
      <c r="CSS82" s="106"/>
      <c r="CST82" s="9"/>
      <c r="CSU82" s="106"/>
      <c r="CSV82" s="9"/>
      <c r="CSW82" s="106"/>
      <c r="CSX82" s="9"/>
      <c r="CSY82" s="106"/>
      <c r="CSZ82" s="9"/>
      <c r="CTA82" s="106"/>
      <c r="CTB82" s="9"/>
      <c r="CTC82" s="106"/>
      <c r="CTD82" s="9"/>
      <c r="CTE82" s="106"/>
      <c r="CTF82" s="9"/>
      <c r="CTG82" s="106"/>
      <c r="CTH82" s="9"/>
      <c r="CTI82" s="106"/>
      <c r="CTJ82" s="9"/>
      <c r="CTK82" s="106"/>
      <c r="CTL82" s="9"/>
      <c r="CTM82" s="106"/>
      <c r="CTN82" s="9"/>
      <c r="CTO82" s="106"/>
      <c r="CTP82" s="9"/>
      <c r="CTQ82" s="106"/>
      <c r="CTR82" s="9"/>
      <c r="CTS82" s="106"/>
      <c r="CTT82" s="9"/>
      <c r="CTU82" s="106"/>
      <c r="CTV82" s="9"/>
      <c r="CTW82" s="106"/>
      <c r="CTX82" s="9"/>
      <c r="CTY82" s="106"/>
      <c r="CTZ82" s="9"/>
      <c r="CUA82" s="106"/>
      <c r="CUB82" s="9"/>
      <c r="CUC82" s="106"/>
      <c r="CUD82" s="9"/>
      <c r="CUE82" s="106"/>
      <c r="CUF82" s="9"/>
      <c r="CUG82" s="106"/>
      <c r="CUH82" s="9"/>
      <c r="CUI82" s="106"/>
      <c r="CUJ82" s="9"/>
      <c r="CUK82" s="106"/>
      <c r="CUL82" s="9"/>
      <c r="CUM82" s="106"/>
      <c r="CUN82" s="9"/>
      <c r="CUO82" s="106"/>
      <c r="CUP82" s="9"/>
      <c r="CUQ82" s="106"/>
      <c r="CUR82" s="9"/>
      <c r="CUS82" s="106"/>
      <c r="CUT82" s="9"/>
      <c r="CUU82" s="106"/>
      <c r="CUV82" s="9"/>
      <c r="CUW82" s="106"/>
      <c r="CUX82" s="9"/>
      <c r="CUY82" s="106"/>
      <c r="CUZ82" s="9"/>
      <c r="CVA82" s="106"/>
      <c r="CVB82" s="9"/>
      <c r="CVC82" s="106"/>
      <c r="CVD82" s="9"/>
      <c r="CVE82" s="106"/>
      <c r="CVF82" s="9"/>
      <c r="CVG82" s="106"/>
      <c r="CVH82" s="9"/>
      <c r="CVI82" s="106"/>
      <c r="CVJ82" s="9"/>
      <c r="CVK82" s="106"/>
      <c r="CVL82" s="9"/>
      <c r="CVM82" s="106"/>
      <c r="CVN82" s="9"/>
      <c r="CVO82" s="106"/>
      <c r="CVP82" s="9"/>
      <c r="CVQ82" s="106"/>
      <c r="CVR82" s="9"/>
      <c r="CVS82" s="106"/>
      <c r="CVT82" s="9"/>
      <c r="CVU82" s="106"/>
      <c r="CVV82" s="9"/>
      <c r="CVW82" s="106"/>
      <c r="CVX82" s="9"/>
      <c r="CVY82" s="106"/>
      <c r="CVZ82" s="9"/>
      <c r="CWA82" s="106"/>
      <c r="CWB82" s="9"/>
      <c r="CWC82" s="106"/>
      <c r="CWD82" s="9"/>
      <c r="CWE82" s="106"/>
      <c r="CWF82" s="9"/>
      <c r="CWG82" s="106"/>
      <c r="CWH82" s="9"/>
      <c r="CWI82" s="106"/>
      <c r="CWJ82" s="9"/>
      <c r="CWK82" s="106"/>
      <c r="CWL82" s="9"/>
      <c r="CWM82" s="106"/>
      <c r="CWN82" s="9"/>
      <c r="CWO82" s="106"/>
      <c r="CWP82" s="9"/>
      <c r="CWQ82" s="106"/>
      <c r="CWR82" s="9"/>
      <c r="CWS82" s="106"/>
      <c r="CWT82" s="9"/>
      <c r="CWU82" s="106"/>
      <c r="CWV82" s="9"/>
      <c r="CWW82" s="106"/>
      <c r="CWX82" s="9"/>
      <c r="CWY82" s="106"/>
      <c r="CWZ82" s="9"/>
      <c r="CXA82" s="106"/>
      <c r="CXB82" s="9"/>
      <c r="CXC82" s="106"/>
      <c r="CXD82" s="9"/>
      <c r="CXE82" s="106"/>
      <c r="CXF82" s="9"/>
      <c r="CXG82" s="106"/>
      <c r="CXH82" s="9"/>
      <c r="CXI82" s="106"/>
      <c r="CXJ82" s="9"/>
      <c r="CXK82" s="106"/>
      <c r="CXL82" s="9"/>
      <c r="CXM82" s="106"/>
      <c r="CXN82" s="9"/>
      <c r="CXO82" s="106"/>
      <c r="CXP82" s="9"/>
      <c r="CXQ82" s="106"/>
      <c r="CXR82" s="9"/>
      <c r="CXS82" s="106"/>
      <c r="CXT82" s="9"/>
      <c r="CXU82" s="106"/>
      <c r="CXV82" s="9"/>
      <c r="CXW82" s="106"/>
      <c r="CXX82" s="9"/>
      <c r="CXY82" s="106"/>
      <c r="CXZ82" s="9"/>
      <c r="CYA82" s="106"/>
      <c r="CYB82" s="9"/>
      <c r="CYC82" s="106"/>
      <c r="CYD82" s="9"/>
      <c r="CYE82" s="106"/>
      <c r="CYF82" s="9"/>
      <c r="CYG82" s="106"/>
      <c r="CYH82" s="9"/>
      <c r="CYI82" s="106"/>
      <c r="CYJ82" s="9"/>
      <c r="CYK82" s="106"/>
      <c r="CYL82" s="9"/>
      <c r="CYM82" s="106"/>
      <c r="CYN82" s="9"/>
      <c r="CYO82" s="106"/>
      <c r="CYP82" s="9"/>
      <c r="CYQ82" s="106"/>
      <c r="CYR82" s="9"/>
      <c r="CYS82" s="106"/>
      <c r="CYT82" s="9"/>
      <c r="CYU82" s="106"/>
      <c r="CYV82" s="9"/>
      <c r="CYW82" s="106"/>
      <c r="CYX82" s="9"/>
      <c r="CYY82" s="106"/>
      <c r="CYZ82" s="9"/>
      <c r="CZA82" s="106"/>
      <c r="CZB82" s="9"/>
      <c r="CZC82" s="106"/>
      <c r="CZD82" s="9"/>
      <c r="CZE82" s="106"/>
      <c r="CZF82" s="9"/>
      <c r="CZG82" s="106"/>
      <c r="CZH82" s="9"/>
      <c r="CZI82" s="106"/>
      <c r="CZJ82" s="9"/>
      <c r="CZK82" s="106"/>
      <c r="CZL82" s="9"/>
      <c r="CZM82" s="106"/>
      <c r="CZN82" s="9"/>
      <c r="CZO82" s="106"/>
      <c r="CZP82" s="9"/>
      <c r="CZQ82" s="106"/>
      <c r="CZR82" s="9"/>
      <c r="CZS82" s="106"/>
      <c r="CZT82" s="9"/>
      <c r="CZU82" s="106"/>
      <c r="CZV82" s="9"/>
      <c r="CZW82" s="106"/>
      <c r="CZX82" s="9"/>
      <c r="CZY82" s="106"/>
      <c r="CZZ82" s="9"/>
      <c r="DAA82" s="106"/>
      <c r="DAB82" s="9"/>
      <c r="DAC82" s="106"/>
      <c r="DAD82" s="9"/>
      <c r="DAE82" s="106"/>
      <c r="DAF82" s="9"/>
      <c r="DAG82" s="106"/>
      <c r="DAH82" s="9"/>
      <c r="DAI82" s="106"/>
      <c r="DAJ82" s="9"/>
      <c r="DAK82" s="106"/>
      <c r="DAL82" s="9"/>
      <c r="DAM82" s="106"/>
      <c r="DAN82" s="9"/>
      <c r="DAO82" s="106"/>
      <c r="DAP82" s="9"/>
      <c r="DAQ82" s="106"/>
      <c r="DAR82" s="9"/>
      <c r="DAS82" s="106"/>
      <c r="DAT82" s="9"/>
      <c r="DAU82" s="106"/>
      <c r="DAV82" s="9"/>
      <c r="DAW82" s="106"/>
      <c r="DAX82" s="9"/>
      <c r="DAY82" s="106"/>
      <c r="DAZ82" s="9"/>
      <c r="DBA82" s="106"/>
      <c r="DBB82" s="9"/>
      <c r="DBC82" s="106"/>
      <c r="DBD82" s="9"/>
      <c r="DBE82" s="106"/>
      <c r="DBF82" s="9"/>
      <c r="DBG82" s="106"/>
      <c r="DBH82" s="9"/>
      <c r="DBI82" s="106"/>
      <c r="DBJ82" s="9"/>
      <c r="DBK82" s="106"/>
      <c r="DBL82" s="9"/>
      <c r="DBM82" s="106"/>
      <c r="DBN82" s="9"/>
      <c r="DBO82" s="106"/>
      <c r="DBP82" s="9"/>
      <c r="DBQ82" s="106"/>
      <c r="DBR82" s="9"/>
      <c r="DBS82" s="106"/>
      <c r="DBT82" s="9"/>
      <c r="DBU82" s="106"/>
      <c r="DBV82" s="9"/>
      <c r="DBW82" s="106"/>
      <c r="DBX82" s="9"/>
      <c r="DBY82" s="106"/>
      <c r="DBZ82" s="9"/>
      <c r="DCA82" s="106"/>
      <c r="DCB82" s="9"/>
      <c r="DCC82" s="106"/>
      <c r="DCD82" s="9"/>
      <c r="DCE82" s="106"/>
      <c r="DCF82" s="9"/>
      <c r="DCG82" s="106"/>
      <c r="DCH82" s="9"/>
      <c r="DCI82" s="106"/>
      <c r="DCJ82" s="9"/>
      <c r="DCK82" s="106"/>
      <c r="DCL82" s="9"/>
      <c r="DCM82" s="106"/>
      <c r="DCN82" s="9"/>
      <c r="DCO82" s="106"/>
      <c r="DCP82" s="9"/>
      <c r="DCQ82" s="106"/>
      <c r="DCR82" s="9"/>
      <c r="DCS82" s="106"/>
      <c r="DCT82" s="9"/>
      <c r="DCU82" s="106"/>
      <c r="DCV82" s="9"/>
      <c r="DCW82" s="106"/>
      <c r="DCX82" s="9"/>
      <c r="DCY82" s="106"/>
      <c r="DCZ82" s="9"/>
      <c r="DDA82" s="106"/>
      <c r="DDB82" s="9"/>
      <c r="DDC82" s="106"/>
      <c r="DDD82" s="9"/>
      <c r="DDE82" s="106"/>
      <c r="DDF82" s="9"/>
      <c r="DDG82" s="106"/>
      <c r="DDH82" s="9"/>
      <c r="DDI82" s="106"/>
      <c r="DDJ82" s="9"/>
      <c r="DDK82" s="106"/>
      <c r="DDL82" s="9"/>
      <c r="DDM82" s="106"/>
      <c r="DDN82" s="9"/>
      <c r="DDO82" s="106"/>
      <c r="DDP82" s="9"/>
      <c r="DDQ82" s="106"/>
      <c r="DDR82" s="9"/>
      <c r="DDS82" s="106"/>
      <c r="DDT82" s="9"/>
      <c r="DDU82" s="106"/>
      <c r="DDV82" s="9"/>
      <c r="DDW82" s="106"/>
      <c r="DDX82" s="9"/>
      <c r="DDY82" s="106"/>
      <c r="DDZ82" s="9"/>
      <c r="DEA82" s="106"/>
      <c r="DEB82" s="9"/>
      <c r="DEC82" s="106"/>
      <c r="DED82" s="9"/>
      <c r="DEE82" s="106"/>
      <c r="DEF82" s="9"/>
      <c r="DEG82" s="106"/>
      <c r="DEH82" s="9"/>
      <c r="DEI82" s="106"/>
      <c r="DEJ82" s="9"/>
      <c r="DEK82" s="106"/>
      <c r="DEL82" s="9"/>
      <c r="DEM82" s="106"/>
      <c r="DEN82" s="9"/>
      <c r="DEO82" s="106"/>
      <c r="DEP82" s="9"/>
      <c r="DEQ82" s="106"/>
      <c r="DER82" s="9"/>
      <c r="DES82" s="106"/>
      <c r="DET82" s="9"/>
      <c r="DEU82" s="106"/>
      <c r="DEV82" s="9"/>
      <c r="DEW82" s="106"/>
      <c r="DEX82" s="9"/>
      <c r="DEY82" s="106"/>
      <c r="DEZ82" s="9"/>
      <c r="DFA82" s="106"/>
      <c r="DFB82" s="9"/>
      <c r="DFC82" s="106"/>
      <c r="DFD82" s="9"/>
      <c r="DFE82" s="106"/>
      <c r="DFF82" s="9"/>
      <c r="DFG82" s="106"/>
      <c r="DFH82" s="9"/>
      <c r="DFI82" s="106"/>
      <c r="DFJ82" s="9"/>
      <c r="DFK82" s="106"/>
      <c r="DFL82" s="9"/>
      <c r="DFM82" s="106"/>
      <c r="DFN82" s="9"/>
      <c r="DFO82" s="106"/>
      <c r="DFP82" s="9"/>
      <c r="DFQ82" s="106"/>
      <c r="DFR82" s="9"/>
      <c r="DFS82" s="106"/>
      <c r="DFT82" s="9"/>
      <c r="DFU82" s="106"/>
      <c r="DFV82" s="9"/>
      <c r="DFW82" s="106"/>
      <c r="DFX82" s="9"/>
      <c r="DFY82" s="106"/>
      <c r="DFZ82" s="9"/>
      <c r="DGA82" s="106"/>
      <c r="DGB82" s="9"/>
      <c r="DGC82" s="106"/>
      <c r="DGD82" s="9"/>
      <c r="DGE82" s="106"/>
      <c r="DGF82" s="9"/>
      <c r="DGG82" s="106"/>
      <c r="DGH82" s="9"/>
      <c r="DGI82" s="106"/>
      <c r="DGJ82" s="9"/>
      <c r="DGK82" s="106"/>
      <c r="DGL82" s="9"/>
      <c r="DGM82" s="106"/>
      <c r="DGN82" s="9"/>
      <c r="DGO82" s="106"/>
      <c r="DGP82" s="9"/>
      <c r="DGQ82" s="106"/>
      <c r="DGR82" s="9"/>
      <c r="DGS82" s="106"/>
      <c r="DGT82" s="9"/>
      <c r="DGU82" s="106"/>
      <c r="DGV82" s="9"/>
      <c r="DGW82" s="106"/>
      <c r="DGX82" s="9"/>
      <c r="DGY82" s="106"/>
      <c r="DGZ82" s="9"/>
      <c r="DHA82" s="106"/>
      <c r="DHB82" s="9"/>
      <c r="DHC82" s="106"/>
      <c r="DHD82" s="9"/>
      <c r="DHE82" s="106"/>
      <c r="DHF82" s="9"/>
      <c r="DHG82" s="106"/>
      <c r="DHH82" s="9"/>
      <c r="DHI82" s="106"/>
      <c r="DHJ82" s="9"/>
      <c r="DHK82" s="106"/>
      <c r="DHL82" s="9"/>
      <c r="DHM82" s="106"/>
      <c r="DHN82" s="9"/>
      <c r="DHO82" s="106"/>
      <c r="DHP82" s="9"/>
      <c r="DHQ82" s="106"/>
      <c r="DHR82" s="9"/>
      <c r="DHS82" s="106"/>
      <c r="DHT82" s="9"/>
      <c r="DHU82" s="106"/>
      <c r="DHV82" s="9"/>
      <c r="DHW82" s="106"/>
      <c r="DHX82" s="9"/>
      <c r="DHY82" s="106"/>
      <c r="DHZ82" s="9"/>
      <c r="DIA82" s="106"/>
      <c r="DIB82" s="9"/>
      <c r="DIC82" s="106"/>
      <c r="DID82" s="9"/>
      <c r="DIE82" s="106"/>
      <c r="DIF82" s="9"/>
      <c r="DIG82" s="106"/>
      <c r="DIH82" s="9"/>
      <c r="DII82" s="106"/>
      <c r="DIJ82" s="9"/>
      <c r="DIK82" s="106"/>
      <c r="DIL82" s="9"/>
      <c r="DIM82" s="106"/>
      <c r="DIN82" s="9"/>
      <c r="DIO82" s="106"/>
      <c r="DIP82" s="9"/>
      <c r="DIQ82" s="106"/>
      <c r="DIR82" s="9"/>
      <c r="DIS82" s="106"/>
      <c r="DIT82" s="9"/>
      <c r="DIU82" s="106"/>
      <c r="DIV82" s="9"/>
      <c r="DIW82" s="106"/>
      <c r="DIX82" s="9"/>
      <c r="DIY82" s="106"/>
      <c r="DIZ82" s="9"/>
      <c r="DJA82" s="106"/>
      <c r="DJB82" s="9"/>
      <c r="DJC82" s="106"/>
      <c r="DJD82" s="9"/>
      <c r="DJE82" s="106"/>
      <c r="DJF82" s="9"/>
      <c r="DJG82" s="106"/>
      <c r="DJH82" s="9"/>
      <c r="DJI82" s="106"/>
      <c r="DJJ82" s="9"/>
      <c r="DJK82" s="106"/>
      <c r="DJL82" s="9"/>
      <c r="DJM82" s="106"/>
      <c r="DJN82" s="9"/>
      <c r="DJO82" s="106"/>
      <c r="DJP82" s="9"/>
      <c r="DJQ82" s="106"/>
      <c r="DJR82" s="9"/>
      <c r="DJS82" s="106"/>
      <c r="DJT82" s="9"/>
      <c r="DJU82" s="106"/>
      <c r="DJV82" s="9"/>
      <c r="DJW82" s="106"/>
      <c r="DJX82" s="9"/>
      <c r="DJY82" s="106"/>
      <c r="DJZ82" s="9"/>
      <c r="DKA82" s="106"/>
      <c r="DKB82" s="9"/>
      <c r="DKC82" s="106"/>
      <c r="DKD82" s="9"/>
      <c r="DKE82" s="106"/>
      <c r="DKF82" s="9"/>
      <c r="DKG82" s="106"/>
      <c r="DKH82" s="9"/>
      <c r="DKI82" s="106"/>
      <c r="DKJ82" s="9"/>
      <c r="DKK82" s="106"/>
      <c r="DKL82" s="9"/>
      <c r="DKM82" s="106"/>
      <c r="DKN82" s="9"/>
      <c r="DKO82" s="106"/>
      <c r="DKP82" s="9"/>
      <c r="DKQ82" s="106"/>
      <c r="DKR82" s="9"/>
      <c r="DKS82" s="106"/>
      <c r="DKT82" s="9"/>
      <c r="DKU82" s="106"/>
      <c r="DKV82" s="9"/>
      <c r="DKW82" s="106"/>
      <c r="DKX82" s="9"/>
      <c r="DKY82" s="106"/>
      <c r="DKZ82" s="9"/>
      <c r="DLA82" s="106"/>
      <c r="DLB82" s="9"/>
      <c r="DLC82" s="106"/>
      <c r="DLD82" s="9"/>
      <c r="DLE82" s="106"/>
      <c r="DLF82" s="9"/>
      <c r="DLG82" s="106"/>
      <c r="DLH82" s="9"/>
      <c r="DLI82" s="106"/>
      <c r="DLJ82" s="9"/>
      <c r="DLK82" s="106"/>
      <c r="DLL82" s="9"/>
      <c r="DLM82" s="106"/>
      <c r="DLN82" s="9"/>
      <c r="DLO82" s="106"/>
      <c r="DLP82" s="9"/>
      <c r="DLQ82" s="106"/>
      <c r="DLR82" s="9"/>
      <c r="DLS82" s="106"/>
      <c r="DLT82" s="9"/>
      <c r="DLU82" s="106"/>
      <c r="DLV82" s="9"/>
      <c r="DLW82" s="106"/>
      <c r="DLX82" s="9"/>
      <c r="DLY82" s="106"/>
      <c r="DLZ82" s="9"/>
      <c r="DMA82" s="106"/>
      <c r="DMB82" s="9"/>
      <c r="DMC82" s="106"/>
      <c r="DMD82" s="9"/>
      <c r="DME82" s="106"/>
      <c r="DMF82" s="9"/>
      <c r="DMG82" s="106"/>
      <c r="DMH82" s="9"/>
      <c r="DMI82" s="106"/>
      <c r="DMJ82" s="9"/>
      <c r="DMK82" s="106"/>
      <c r="DML82" s="9"/>
      <c r="DMM82" s="106"/>
      <c r="DMN82" s="9"/>
      <c r="DMO82" s="106"/>
      <c r="DMP82" s="9"/>
      <c r="DMQ82" s="106"/>
      <c r="DMR82" s="9"/>
      <c r="DMS82" s="106"/>
      <c r="DMT82" s="9"/>
      <c r="DMU82" s="106"/>
      <c r="DMV82" s="9"/>
      <c r="DMW82" s="106"/>
      <c r="DMX82" s="9"/>
      <c r="DMY82" s="106"/>
      <c r="DMZ82" s="9"/>
      <c r="DNA82" s="106"/>
      <c r="DNB82" s="9"/>
      <c r="DNC82" s="106"/>
      <c r="DND82" s="9"/>
      <c r="DNE82" s="106"/>
      <c r="DNF82" s="9"/>
      <c r="DNG82" s="106"/>
      <c r="DNH82" s="9"/>
      <c r="DNI82" s="106"/>
      <c r="DNJ82" s="9"/>
      <c r="DNK82" s="106"/>
      <c r="DNL82" s="9"/>
      <c r="DNM82" s="106"/>
      <c r="DNN82" s="9"/>
      <c r="DNO82" s="106"/>
      <c r="DNP82" s="9"/>
      <c r="DNQ82" s="106"/>
      <c r="DNR82" s="9"/>
      <c r="DNS82" s="106"/>
      <c r="DNT82" s="9"/>
      <c r="DNU82" s="106"/>
      <c r="DNV82" s="9"/>
      <c r="DNW82" s="106"/>
      <c r="DNX82" s="9"/>
      <c r="DNY82" s="106"/>
      <c r="DNZ82" s="9"/>
      <c r="DOA82" s="106"/>
      <c r="DOB82" s="9"/>
      <c r="DOC82" s="106"/>
      <c r="DOD82" s="9"/>
      <c r="DOE82" s="106"/>
      <c r="DOF82" s="9"/>
      <c r="DOG82" s="106"/>
      <c r="DOH82" s="9"/>
      <c r="DOI82" s="106"/>
      <c r="DOJ82" s="9"/>
      <c r="DOK82" s="106"/>
      <c r="DOL82" s="9"/>
      <c r="DOM82" s="106"/>
      <c r="DON82" s="9"/>
      <c r="DOO82" s="106"/>
      <c r="DOP82" s="9"/>
      <c r="DOQ82" s="106"/>
      <c r="DOR82" s="9"/>
      <c r="DOS82" s="106"/>
      <c r="DOT82" s="9"/>
      <c r="DOU82" s="106"/>
      <c r="DOV82" s="9"/>
      <c r="DOW82" s="106"/>
      <c r="DOX82" s="9"/>
      <c r="DOY82" s="106"/>
      <c r="DOZ82" s="9"/>
      <c r="DPA82" s="106"/>
      <c r="DPB82" s="9"/>
      <c r="DPC82" s="106"/>
      <c r="DPD82" s="9"/>
      <c r="DPE82" s="106"/>
      <c r="DPF82" s="9"/>
      <c r="DPG82" s="106"/>
      <c r="DPH82" s="9"/>
      <c r="DPI82" s="106"/>
      <c r="DPJ82" s="9"/>
      <c r="DPK82" s="106"/>
      <c r="DPL82" s="9"/>
      <c r="DPM82" s="106"/>
      <c r="DPN82" s="9"/>
      <c r="DPO82" s="106"/>
      <c r="DPP82" s="9"/>
      <c r="DPQ82" s="106"/>
      <c r="DPR82" s="9"/>
      <c r="DPS82" s="106"/>
      <c r="DPT82" s="9"/>
      <c r="DPU82" s="106"/>
      <c r="DPV82" s="9"/>
      <c r="DPW82" s="106"/>
      <c r="DPX82" s="9"/>
      <c r="DPY82" s="106"/>
      <c r="DPZ82" s="9"/>
      <c r="DQA82" s="106"/>
      <c r="DQB82" s="9"/>
      <c r="DQC82" s="106"/>
      <c r="DQD82" s="9"/>
      <c r="DQE82" s="106"/>
      <c r="DQF82" s="9"/>
      <c r="DQG82" s="106"/>
      <c r="DQH82" s="9"/>
      <c r="DQI82" s="106"/>
      <c r="DQJ82" s="9"/>
      <c r="DQK82" s="106"/>
      <c r="DQL82" s="9"/>
      <c r="DQM82" s="106"/>
      <c r="DQN82" s="9"/>
      <c r="DQO82" s="106"/>
      <c r="DQP82" s="9"/>
      <c r="DQQ82" s="106"/>
      <c r="DQR82" s="9"/>
      <c r="DQS82" s="106"/>
      <c r="DQT82" s="9"/>
      <c r="DQU82" s="106"/>
      <c r="DQV82" s="9"/>
      <c r="DQW82" s="106"/>
      <c r="DQX82" s="9"/>
      <c r="DQY82" s="106"/>
      <c r="DQZ82" s="9"/>
      <c r="DRA82" s="106"/>
      <c r="DRB82" s="9"/>
      <c r="DRC82" s="106"/>
      <c r="DRD82" s="9"/>
      <c r="DRE82" s="106"/>
      <c r="DRF82" s="9"/>
      <c r="DRG82" s="106"/>
      <c r="DRH82" s="9"/>
      <c r="DRI82" s="106"/>
      <c r="DRJ82" s="9"/>
      <c r="DRK82" s="106"/>
      <c r="DRL82" s="9"/>
      <c r="DRM82" s="106"/>
      <c r="DRN82" s="9"/>
      <c r="DRO82" s="106"/>
      <c r="DRP82" s="9"/>
      <c r="DRQ82" s="106"/>
      <c r="DRR82" s="9"/>
      <c r="DRS82" s="106"/>
      <c r="DRT82" s="9"/>
      <c r="DRU82" s="106"/>
      <c r="DRV82" s="9"/>
      <c r="DRW82" s="106"/>
      <c r="DRX82" s="9"/>
      <c r="DRY82" s="106"/>
      <c r="DRZ82" s="9"/>
      <c r="DSA82" s="106"/>
      <c r="DSB82" s="9"/>
      <c r="DSC82" s="106"/>
      <c r="DSD82" s="9"/>
      <c r="DSE82" s="106"/>
      <c r="DSF82" s="9"/>
      <c r="DSG82" s="106"/>
      <c r="DSH82" s="9"/>
      <c r="DSI82" s="106"/>
      <c r="DSJ82" s="9"/>
      <c r="DSK82" s="106"/>
      <c r="DSL82" s="9"/>
      <c r="DSM82" s="106"/>
      <c r="DSN82" s="9"/>
      <c r="DSO82" s="106"/>
      <c r="DSP82" s="9"/>
      <c r="DSQ82" s="106"/>
      <c r="DSR82" s="9"/>
      <c r="DSS82" s="106"/>
      <c r="DST82" s="9"/>
      <c r="DSU82" s="106"/>
      <c r="DSV82" s="9"/>
      <c r="DSW82" s="106"/>
      <c r="DSX82" s="9"/>
      <c r="DSY82" s="106"/>
      <c r="DSZ82" s="9"/>
      <c r="DTA82" s="106"/>
      <c r="DTB82" s="9"/>
      <c r="DTC82" s="106"/>
      <c r="DTD82" s="9"/>
      <c r="DTE82" s="106"/>
      <c r="DTF82" s="9"/>
      <c r="DTG82" s="106"/>
      <c r="DTH82" s="9"/>
      <c r="DTI82" s="106"/>
      <c r="DTJ82" s="9"/>
      <c r="DTK82" s="106"/>
      <c r="DTL82" s="9"/>
      <c r="DTM82" s="106"/>
      <c r="DTN82" s="9"/>
      <c r="DTO82" s="106"/>
      <c r="DTP82" s="9"/>
      <c r="DTQ82" s="106"/>
      <c r="DTR82" s="9"/>
      <c r="DTS82" s="106"/>
      <c r="DTT82" s="9"/>
      <c r="DTU82" s="106"/>
      <c r="DTV82" s="9"/>
      <c r="DTW82" s="106"/>
      <c r="DTX82" s="9"/>
      <c r="DTY82" s="106"/>
      <c r="DTZ82" s="9"/>
      <c r="DUA82" s="106"/>
      <c r="DUB82" s="9"/>
      <c r="DUC82" s="106"/>
      <c r="DUD82" s="9"/>
      <c r="DUE82" s="106"/>
      <c r="DUF82" s="9"/>
      <c r="DUG82" s="106"/>
      <c r="DUH82" s="9"/>
      <c r="DUI82" s="106"/>
      <c r="DUJ82" s="9"/>
      <c r="DUK82" s="106"/>
      <c r="DUL82" s="9"/>
      <c r="DUM82" s="106"/>
      <c r="DUN82" s="9"/>
      <c r="DUO82" s="106"/>
      <c r="DUP82" s="9"/>
      <c r="DUQ82" s="106"/>
      <c r="DUR82" s="9"/>
      <c r="DUS82" s="106"/>
      <c r="DUT82" s="9"/>
      <c r="DUU82" s="106"/>
      <c r="DUV82" s="9"/>
      <c r="DUW82" s="106"/>
      <c r="DUX82" s="9"/>
      <c r="DUY82" s="106"/>
      <c r="DUZ82" s="9"/>
      <c r="DVA82" s="106"/>
      <c r="DVB82" s="9"/>
      <c r="DVC82" s="106"/>
      <c r="DVD82" s="9"/>
      <c r="DVE82" s="106"/>
      <c r="DVF82" s="9"/>
      <c r="DVG82" s="106"/>
      <c r="DVH82" s="9"/>
      <c r="DVI82" s="106"/>
      <c r="DVJ82" s="9"/>
      <c r="DVK82" s="106"/>
      <c r="DVL82" s="9"/>
      <c r="DVM82" s="106"/>
      <c r="DVN82" s="9"/>
      <c r="DVO82" s="106"/>
      <c r="DVP82" s="9"/>
      <c r="DVQ82" s="106"/>
      <c r="DVR82" s="9"/>
      <c r="DVS82" s="106"/>
      <c r="DVT82" s="9"/>
      <c r="DVU82" s="106"/>
      <c r="DVV82" s="9"/>
      <c r="DVW82" s="106"/>
      <c r="DVX82" s="9"/>
      <c r="DVY82" s="106"/>
      <c r="DVZ82" s="9"/>
      <c r="DWA82" s="106"/>
      <c r="DWB82" s="9"/>
      <c r="DWC82" s="106"/>
      <c r="DWD82" s="9"/>
      <c r="DWE82" s="106"/>
      <c r="DWF82" s="9"/>
      <c r="DWG82" s="106"/>
      <c r="DWH82" s="9"/>
      <c r="DWI82" s="106"/>
      <c r="DWJ82" s="9"/>
      <c r="DWK82" s="106"/>
      <c r="DWL82" s="9"/>
      <c r="DWM82" s="106"/>
      <c r="DWN82" s="9"/>
      <c r="DWO82" s="106"/>
      <c r="DWP82" s="9"/>
      <c r="DWQ82" s="106"/>
      <c r="DWR82" s="9"/>
      <c r="DWS82" s="106"/>
      <c r="DWT82" s="9"/>
      <c r="DWU82" s="106"/>
      <c r="DWV82" s="9"/>
      <c r="DWW82" s="106"/>
      <c r="DWX82" s="9"/>
      <c r="DWY82" s="106"/>
      <c r="DWZ82" s="9"/>
      <c r="DXA82" s="106"/>
      <c r="DXB82" s="9"/>
      <c r="DXC82" s="106"/>
      <c r="DXD82" s="9"/>
      <c r="DXE82" s="106"/>
      <c r="DXF82" s="9"/>
      <c r="DXG82" s="106"/>
      <c r="DXH82" s="9"/>
      <c r="DXI82" s="106"/>
      <c r="DXJ82" s="9"/>
      <c r="DXK82" s="106"/>
      <c r="DXL82" s="9"/>
      <c r="DXM82" s="106"/>
      <c r="DXN82" s="9"/>
      <c r="DXO82" s="106"/>
      <c r="DXP82" s="9"/>
      <c r="DXQ82" s="106"/>
      <c r="DXR82" s="9"/>
      <c r="DXS82" s="106"/>
      <c r="DXT82" s="9"/>
      <c r="DXU82" s="106"/>
      <c r="DXV82" s="9"/>
      <c r="DXW82" s="106"/>
      <c r="DXX82" s="9"/>
      <c r="DXY82" s="106"/>
      <c r="DXZ82" s="9"/>
      <c r="DYA82" s="106"/>
      <c r="DYB82" s="9"/>
      <c r="DYC82" s="106"/>
      <c r="DYD82" s="9"/>
      <c r="DYE82" s="106"/>
      <c r="DYF82" s="9"/>
      <c r="DYG82" s="106"/>
      <c r="DYH82" s="9"/>
      <c r="DYI82" s="106"/>
      <c r="DYJ82" s="9"/>
      <c r="DYK82" s="106"/>
      <c r="DYL82" s="9"/>
      <c r="DYM82" s="106"/>
      <c r="DYN82" s="9"/>
      <c r="DYO82" s="106"/>
      <c r="DYP82" s="9"/>
      <c r="DYQ82" s="106"/>
      <c r="DYR82" s="9"/>
      <c r="DYS82" s="106"/>
      <c r="DYT82" s="9"/>
      <c r="DYU82" s="106"/>
      <c r="DYV82" s="9"/>
      <c r="DYW82" s="106"/>
      <c r="DYX82" s="9"/>
      <c r="DYY82" s="106"/>
      <c r="DYZ82" s="9"/>
      <c r="DZA82" s="106"/>
      <c r="DZB82" s="9"/>
      <c r="DZC82" s="106"/>
      <c r="DZD82" s="9"/>
      <c r="DZE82" s="106"/>
      <c r="DZF82" s="9"/>
      <c r="DZG82" s="106"/>
      <c r="DZH82" s="9"/>
      <c r="DZI82" s="106"/>
      <c r="DZJ82" s="9"/>
      <c r="DZK82" s="106"/>
      <c r="DZL82" s="9"/>
      <c r="DZM82" s="106"/>
      <c r="DZN82" s="9"/>
      <c r="DZO82" s="106"/>
      <c r="DZP82" s="9"/>
      <c r="DZQ82" s="106"/>
      <c r="DZR82" s="9"/>
      <c r="DZS82" s="106"/>
      <c r="DZT82" s="9"/>
      <c r="DZU82" s="106"/>
      <c r="DZV82" s="9"/>
      <c r="DZW82" s="106"/>
      <c r="DZX82" s="9"/>
      <c r="DZY82" s="106"/>
      <c r="DZZ82" s="9"/>
      <c r="EAA82" s="106"/>
      <c r="EAB82" s="9"/>
      <c r="EAC82" s="106"/>
      <c r="EAD82" s="9"/>
      <c r="EAE82" s="106"/>
      <c r="EAF82" s="9"/>
      <c r="EAG82" s="106"/>
      <c r="EAH82" s="9"/>
      <c r="EAI82" s="106"/>
      <c r="EAJ82" s="9"/>
      <c r="EAK82" s="106"/>
      <c r="EAL82" s="9"/>
      <c r="EAM82" s="106"/>
      <c r="EAN82" s="9"/>
      <c r="EAO82" s="106"/>
      <c r="EAP82" s="9"/>
      <c r="EAQ82" s="106"/>
      <c r="EAR82" s="9"/>
      <c r="EAS82" s="106"/>
      <c r="EAT82" s="9"/>
      <c r="EAU82" s="106"/>
      <c r="EAV82" s="9"/>
      <c r="EAW82" s="106"/>
      <c r="EAX82" s="9"/>
      <c r="EAY82" s="106"/>
      <c r="EAZ82" s="9"/>
      <c r="EBA82" s="106"/>
      <c r="EBB82" s="9"/>
      <c r="EBC82" s="106"/>
      <c r="EBD82" s="9"/>
      <c r="EBE82" s="106"/>
      <c r="EBF82" s="9"/>
      <c r="EBG82" s="106"/>
      <c r="EBH82" s="9"/>
      <c r="EBI82" s="106"/>
      <c r="EBJ82" s="9"/>
      <c r="EBK82" s="106"/>
      <c r="EBL82" s="9"/>
      <c r="EBM82" s="106"/>
      <c r="EBN82" s="9"/>
      <c r="EBO82" s="106"/>
      <c r="EBP82" s="9"/>
      <c r="EBQ82" s="106"/>
      <c r="EBR82" s="9"/>
      <c r="EBS82" s="106"/>
      <c r="EBT82" s="9"/>
      <c r="EBU82" s="106"/>
      <c r="EBV82" s="9"/>
      <c r="EBW82" s="106"/>
      <c r="EBX82" s="9"/>
      <c r="EBY82" s="106"/>
      <c r="EBZ82" s="9"/>
      <c r="ECA82" s="106"/>
      <c r="ECB82" s="9"/>
      <c r="ECC82" s="106"/>
      <c r="ECD82" s="9"/>
      <c r="ECE82" s="106"/>
      <c r="ECF82" s="9"/>
      <c r="ECG82" s="106"/>
      <c r="ECH82" s="9"/>
      <c r="ECI82" s="106"/>
      <c r="ECJ82" s="9"/>
      <c r="ECK82" s="106"/>
      <c r="ECL82" s="9"/>
      <c r="ECM82" s="106"/>
      <c r="ECN82" s="9"/>
      <c r="ECO82" s="106"/>
      <c r="ECP82" s="9"/>
      <c r="ECQ82" s="106"/>
      <c r="ECR82" s="9"/>
      <c r="ECS82" s="106"/>
      <c r="ECT82" s="9"/>
      <c r="ECU82" s="106"/>
      <c r="ECV82" s="9"/>
      <c r="ECW82" s="106"/>
      <c r="ECX82" s="9"/>
      <c r="ECY82" s="106"/>
      <c r="ECZ82" s="9"/>
      <c r="EDA82" s="106"/>
      <c r="EDB82" s="9"/>
      <c r="EDC82" s="106"/>
      <c r="EDD82" s="9"/>
      <c r="EDE82" s="106"/>
      <c r="EDF82" s="9"/>
      <c r="EDG82" s="106"/>
      <c r="EDH82" s="9"/>
      <c r="EDI82" s="106"/>
      <c r="EDJ82" s="9"/>
      <c r="EDK82" s="106"/>
      <c r="EDL82" s="9"/>
      <c r="EDM82" s="106"/>
      <c r="EDN82" s="9"/>
      <c r="EDO82" s="106"/>
      <c r="EDP82" s="9"/>
      <c r="EDQ82" s="106"/>
      <c r="EDR82" s="9"/>
      <c r="EDS82" s="106"/>
      <c r="EDT82" s="9"/>
      <c r="EDU82" s="106"/>
      <c r="EDV82" s="9"/>
      <c r="EDW82" s="106"/>
      <c r="EDX82" s="9"/>
      <c r="EDY82" s="106"/>
      <c r="EDZ82" s="9"/>
      <c r="EEA82" s="106"/>
      <c r="EEB82" s="9"/>
      <c r="EEC82" s="106"/>
      <c r="EED82" s="9"/>
      <c r="EEE82" s="106"/>
      <c r="EEF82" s="9"/>
      <c r="EEG82" s="106"/>
      <c r="EEH82" s="9"/>
      <c r="EEI82" s="106"/>
      <c r="EEJ82" s="9"/>
      <c r="EEK82" s="106"/>
      <c r="EEL82" s="9"/>
      <c r="EEM82" s="106"/>
      <c r="EEN82" s="9"/>
      <c r="EEO82" s="106"/>
      <c r="EEP82" s="9"/>
      <c r="EEQ82" s="106"/>
      <c r="EER82" s="9"/>
      <c r="EES82" s="106"/>
      <c r="EET82" s="9"/>
      <c r="EEU82" s="106"/>
      <c r="EEV82" s="9"/>
      <c r="EEW82" s="106"/>
      <c r="EEX82" s="9"/>
      <c r="EEY82" s="106"/>
      <c r="EEZ82" s="9"/>
      <c r="EFA82" s="106"/>
      <c r="EFB82" s="9"/>
      <c r="EFC82" s="106"/>
      <c r="EFD82" s="9"/>
      <c r="EFE82" s="106"/>
      <c r="EFF82" s="9"/>
      <c r="EFG82" s="106"/>
      <c r="EFH82" s="9"/>
      <c r="EFI82" s="106"/>
      <c r="EFJ82" s="9"/>
      <c r="EFK82" s="106"/>
      <c r="EFL82" s="9"/>
      <c r="EFM82" s="106"/>
      <c r="EFN82" s="9"/>
      <c r="EFO82" s="106"/>
      <c r="EFP82" s="9"/>
      <c r="EFQ82" s="106"/>
      <c r="EFR82" s="9"/>
      <c r="EFS82" s="106"/>
      <c r="EFT82" s="9"/>
      <c r="EFU82" s="106"/>
      <c r="EFV82" s="9"/>
      <c r="EFW82" s="106"/>
      <c r="EFX82" s="9"/>
      <c r="EFY82" s="106"/>
      <c r="EFZ82" s="9"/>
      <c r="EGA82" s="106"/>
      <c r="EGB82" s="9"/>
      <c r="EGC82" s="106"/>
      <c r="EGD82" s="9"/>
      <c r="EGE82" s="106"/>
      <c r="EGF82" s="9"/>
      <c r="EGG82" s="106"/>
      <c r="EGH82" s="9"/>
      <c r="EGI82" s="106"/>
      <c r="EGJ82" s="9"/>
      <c r="EGK82" s="106"/>
      <c r="EGL82" s="9"/>
      <c r="EGM82" s="106"/>
      <c r="EGN82" s="9"/>
      <c r="EGO82" s="106"/>
      <c r="EGP82" s="9"/>
      <c r="EGQ82" s="106"/>
      <c r="EGR82" s="9"/>
      <c r="EGS82" s="106"/>
      <c r="EGT82" s="9"/>
      <c r="EGU82" s="106"/>
      <c r="EGV82" s="9"/>
      <c r="EGW82" s="106"/>
      <c r="EGX82" s="9"/>
      <c r="EGY82" s="106"/>
      <c r="EGZ82" s="9"/>
      <c r="EHA82" s="106"/>
      <c r="EHB82" s="9"/>
      <c r="EHC82" s="106"/>
      <c r="EHD82" s="9"/>
      <c r="EHE82" s="106"/>
      <c r="EHF82" s="9"/>
      <c r="EHG82" s="106"/>
      <c r="EHH82" s="9"/>
      <c r="EHI82" s="106"/>
      <c r="EHJ82" s="9"/>
      <c r="EHK82" s="106"/>
      <c r="EHL82" s="9"/>
      <c r="EHM82" s="106"/>
      <c r="EHN82" s="9"/>
      <c r="EHO82" s="106"/>
      <c r="EHP82" s="9"/>
      <c r="EHQ82" s="106"/>
      <c r="EHR82" s="9"/>
      <c r="EHS82" s="106"/>
      <c r="EHT82" s="9"/>
      <c r="EHU82" s="106"/>
      <c r="EHV82" s="9"/>
      <c r="EHW82" s="106"/>
      <c r="EHX82" s="9"/>
      <c r="EHY82" s="106"/>
      <c r="EHZ82" s="9"/>
      <c r="EIA82" s="106"/>
      <c r="EIB82" s="9"/>
      <c r="EIC82" s="106"/>
      <c r="EID82" s="9"/>
      <c r="EIE82" s="106"/>
      <c r="EIF82" s="9"/>
      <c r="EIG82" s="106"/>
      <c r="EIH82" s="9"/>
      <c r="EII82" s="106"/>
      <c r="EIJ82" s="9"/>
      <c r="EIK82" s="106"/>
      <c r="EIL82" s="9"/>
      <c r="EIM82" s="106"/>
      <c r="EIN82" s="9"/>
      <c r="EIO82" s="106"/>
      <c r="EIP82" s="9"/>
      <c r="EIQ82" s="106"/>
      <c r="EIR82" s="9"/>
      <c r="EIS82" s="106"/>
      <c r="EIT82" s="9"/>
      <c r="EIU82" s="106"/>
      <c r="EIV82" s="9"/>
      <c r="EIW82" s="106"/>
      <c r="EIX82" s="9"/>
      <c r="EIY82" s="106"/>
      <c r="EIZ82" s="9"/>
      <c r="EJA82" s="106"/>
      <c r="EJB82" s="9"/>
      <c r="EJC82" s="106"/>
      <c r="EJD82" s="9"/>
      <c r="EJE82" s="106"/>
      <c r="EJF82" s="9"/>
      <c r="EJG82" s="106"/>
      <c r="EJH82" s="9"/>
      <c r="EJI82" s="106"/>
      <c r="EJJ82" s="9"/>
      <c r="EJK82" s="106"/>
      <c r="EJL82" s="9"/>
      <c r="EJM82" s="106"/>
      <c r="EJN82" s="9"/>
      <c r="EJO82" s="106"/>
      <c r="EJP82" s="9"/>
      <c r="EJQ82" s="106"/>
      <c r="EJR82" s="9"/>
      <c r="EJS82" s="106"/>
      <c r="EJT82" s="9"/>
      <c r="EJU82" s="106"/>
      <c r="EJV82" s="9"/>
      <c r="EJW82" s="106"/>
      <c r="EJX82" s="9"/>
      <c r="EJY82" s="106"/>
      <c r="EJZ82" s="9"/>
      <c r="EKA82" s="106"/>
      <c r="EKB82" s="9"/>
      <c r="EKC82" s="106"/>
      <c r="EKD82" s="9"/>
      <c r="EKE82" s="106"/>
      <c r="EKF82" s="9"/>
      <c r="EKG82" s="106"/>
      <c r="EKH82" s="9"/>
      <c r="EKI82" s="106"/>
      <c r="EKJ82" s="9"/>
      <c r="EKK82" s="106"/>
      <c r="EKL82" s="9"/>
      <c r="EKM82" s="106"/>
      <c r="EKN82" s="9"/>
      <c r="EKO82" s="106"/>
      <c r="EKP82" s="9"/>
      <c r="EKQ82" s="106"/>
      <c r="EKR82" s="9"/>
      <c r="EKS82" s="106"/>
      <c r="EKT82" s="9"/>
      <c r="EKU82" s="106"/>
      <c r="EKV82" s="9"/>
      <c r="EKW82" s="106"/>
      <c r="EKX82" s="9"/>
      <c r="EKY82" s="106"/>
      <c r="EKZ82" s="9"/>
      <c r="ELA82" s="106"/>
      <c r="ELB82" s="9"/>
      <c r="ELC82" s="106"/>
      <c r="ELD82" s="9"/>
      <c r="ELE82" s="106"/>
      <c r="ELF82" s="9"/>
      <c r="ELG82" s="106"/>
      <c r="ELH82" s="9"/>
      <c r="ELI82" s="106"/>
      <c r="ELJ82" s="9"/>
      <c r="ELK82" s="106"/>
      <c r="ELL82" s="9"/>
      <c r="ELM82" s="106"/>
      <c r="ELN82" s="9"/>
      <c r="ELO82" s="106"/>
      <c r="ELP82" s="9"/>
      <c r="ELQ82" s="106"/>
      <c r="ELR82" s="9"/>
      <c r="ELS82" s="106"/>
      <c r="ELT82" s="9"/>
      <c r="ELU82" s="106"/>
      <c r="ELV82" s="9"/>
      <c r="ELW82" s="106"/>
      <c r="ELX82" s="9"/>
      <c r="ELY82" s="106"/>
      <c r="ELZ82" s="9"/>
      <c r="EMA82" s="106"/>
      <c r="EMB82" s="9"/>
      <c r="EMC82" s="106"/>
      <c r="EMD82" s="9"/>
      <c r="EME82" s="106"/>
      <c r="EMF82" s="9"/>
      <c r="EMG82" s="106"/>
      <c r="EMH82" s="9"/>
      <c r="EMI82" s="106"/>
      <c r="EMJ82" s="9"/>
      <c r="EMK82" s="106"/>
      <c r="EML82" s="9"/>
      <c r="EMM82" s="106"/>
      <c r="EMN82" s="9"/>
      <c r="EMO82" s="106"/>
      <c r="EMP82" s="9"/>
      <c r="EMQ82" s="106"/>
      <c r="EMR82" s="9"/>
      <c r="EMS82" s="106"/>
      <c r="EMT82" s="9"/>
      <c r="EMU82" s="106"/>
      <c r="EMV82" s="9"/>
      <c r="EMW82" s="106"/>
      <c r="EMX82" s="9"/>
      <c r="EMY82" s="106"/>
      <c r="EMZ82" s="9"/>
      <c r="ENA82" s="106"/>
      <c r="ENB82" s="9"/>
      <c r="ENC82" s="106"/>
      <c r="END82" s="9"/>
      <c r="ENE82" s="106"/>
      <c r="ENF82" s="9"/>
      <c r="ENG82" s="106"/>
      <c r="ENH82" s="9"/>
      <c r="ENI82" s="106"/>
      <c r="ENJ82" s="9"/>
      <c r="ENK82" s="106"/>
      <c r="ENL82" s="9"/>
      <c r="ENM82" s="106"/>
      <c r="ENN82" s="9"/>
      <c r="ENO82" s="106"/>
      <c r="ENP82" s="9"/>
      <c r="ENQ82" s="106"/>
      <c r="ENR82" s="9"/>
      <c r="ENS82" s="106"/>
      <c r="ENT82" s="9"/>
      <c r="ENU82" s="106"/>
      <c r="ENV82" s="9"/>
      <c r="ENW82" s="106"/>
      <c r="ENX82" s="9"/>
      <c r="ENY82" s="106"/>
      <c r="ENZ82" s="9"/>
      <c r="EOA82" s="106"/>
      <c r="EOB82" s="9"/>
      <c r="EOC82" s="106"/>
      <c r="EOD82" s="9"/>
      <c r="EOE82" s="106"/>
      <c r="EOF82" s="9"/>
      <c r="EOG82" s="106"/>
      <c r="EOH82" s="9"/>
      <c r="EOI82" s="106"/>
      <c r="EOJ82" s="9"/>
      <c r="EOK82" s="106"/>
      <c r="EOL82" s="9"/>
      <c r="EOM82" s="106"/>
      <c r="EON82" s="9"/>
      <c r="EOO82" s="106"/>
      <c r="EOP82" s="9"/>
      <c r="EOQ82" s="106"/>
      <c r="EOR82" s="9"/>
      <c r="EOS82" s="106"/>
      <c r="EOT82" s="9"/>
      <c r="EOU82" s="106"/>
      <c r="EOV82" s="9"/>
      <c r="EOW82" s="106"/>
      <c r="EOX82" s="9"/>
      <c r="EOY82" s="106"/>
      <c r="EOZ82" s="9"/>
      <c r="EPA82" s="106"/>
      <c r="EPB82" s="9"/>
      <c r="EPC82" s="106"/>
      <c r="EPD82" s="9"/>
      <c r="EPE82" s="106"/>
      <c r="EPF82" s="9"/>
      <c r="EPG82" s="106"/>
      <c r="EPH82" s="9"/>
      <c r="EPI82" s="106"/>
      <c r="EPJ82" s="9"/>
      <c r="EPK82" s="106"/>
      <c r="EPL82" s="9"/>
      <c r="EPM82" s="106"/>
      <c r="EPN82" s="9"/>
      <c r="EPO82" s="106"/>
      <c r="EPP82" s="9"/>
      <c r="EPQ82" s="106"/>
      <c r="EPR82" s="9"/>
      <c r="EPS82" s="106"/>
      <c r="EPT82" s="9"/>
      <c r="EPU82" s="106"/>
      <c r="EPV82" s="9"/>
      <c r="EPW82" s="106"/>
      <c r="EPX82" s="9"/>
      <c r="EPY82" s="106"/>
      <c r="EPZ82" s="9"/>
      <c r="EQA82" s="106"/>
      <c r="EQB82" s="9"/>
      <c r="EQC82" s="106"/>
      <c r="EQD82" s="9"/>
      <c r="EQE82" s="106"/>
      <c r="EQF82" s="9"/>
      <c r="EQG82" s="106"/>
      <c r="EQH82" s="9"/>
      <c r="EQI82" s="106"/>
      <c r="EQJ82" s="9"/>
      <c r="EQK82" s="106"/>
      <c r="EQL82" s="9"/>
      <c r="EQM82" s="106"/>
      <c r="EQN82" s="9"/>
      <c r="EQO82" s="106"/>
      <c r="EQP82" s="9"/>
      <c r="EQQ82" s="106"/>
      <c r="EQR82" s="9"/>
      <c r="EQS82" s="106"/>
      <c r="EQT82" s="9"/>
      <c r="EQU82" s="106"/>
      <c r="EQV82" s="9"/>
      <c r="EQW82" s="106"/>
      <c r="EQX82" s="9"/>
      <c r="EQY82" s="106"/>
      <c r="EQZ82" s="9"/>
      <c r="ERA82" s="106"/>
      <c r="ERB82" s="9"/>
      <c r="ERC82" s="106"/>
      <c r="ERD82" s="9"/>
      <c r="ERE82" s="106"/>
      <c r="ERF82" s="9"/>
      <c r="ERG82" s="106"/>
      <c r="ERH82" s="9"/>
      <c r="ERI82" s="106"/>
      <c r="ERJ82" s="9"/>
      <c r="ERK82" s="106"/>
      <c r="ERL82" s="9"/>
      <c r="ERM82" s="106"/>
      <c r="ERN82" s="9"/>
      <c r="ERO82" s="106"/>
      <c r="ERP82" s="9"/>
      <c r="ERQ82" s="106"/>
      <c r="ERR82" s="9"/>
      <c r="ERS82" s="106"/>
      <c r="ERT82" s="9"/>
      <c r="ERU82" s="106"/>
      <c r="ERV82" s="9"/>
      <c r="ERW82" s="106"/>
      <c r="ERX82" s="9"/>
      <c r="ERY82" s="106"/>
      <c r="ERZ82" s="9"/>
      <c r="ESA82" s="106"/>
      <c r="ESB82" s="9"/>
      <c r="ESC82" s="106"/>
      <c r="ESD82" s="9"/>
      <c r="ESE82" s="106"/>
      <c r="ESF82" s="9"/>
      <c r="ESG82" s="106"/>
      <c r="ESH82" s="9"/>
      <c r="ESI82" s="106"/>
      <c r="ESJ82" s="9"/>
      <c r="ESK82" s="106"/>
      <c r="ESL82" s="9"/>
      <c r="ESM82" s="106"/>
      <c r="ESN82" s="9"/>
      <c r="ESO82" s="106"/>
      <c r="ESP82" s="9"/>
      <c r="ESQ82" s="106"/>
      <c r="ESR82" s="9"/>
      <c r="ESS82" s="106"/>
      <c r="EST82" s="9"/>
      <c r="ESU82" s="106"/>
      <c r="ESV82" s="9"/>
      <c r="ESW82" s="106"/>
      <c r="ESX82" s="9"/>
      <c r="ESY82" s="106"/>
      <c r="ESZ82" s="9"/>
      <c r="ETA82" s="106"/>
      <c r="ETB82" s="9"/>
      <c r="ETC82" s="106"/>
      <c r="ETD82" s="9"/>
      <c r="ETE82" s="106"/>
      <c r="ETF82" s="9"/>
      <c r="ETG82" s="106"/>
      <c r="ETH82" s="9"/>
      <c r="ETI82" s="106"/>
      <c r="ETJ82" s="9"/>
      <c r="ETK82" s="106"/>
      <c r="ETL82" s="9"/>
      <c r="ETM82" s="106"/>
      <c r="ETN82" s="9"/>
      <c r="ETO82" s="106"/>
      <c r="ETP82" s="9"/>
      <c r="ETQ82" s="106"/>
      <c r="ETR82" s="9"/>
      <c r="ETS82" s="106"/>
      <c r="ETT82" s="9"/>
      <c r="ETU82" s="106"/>
      <c r="ETV82" s="9"/>
      <c r="ETW82" s="106"/>
      <c r="ETX82" s="9"/>
      <c r="ETY82" s="106"/>
      <c r="ETZ82" s="9"/>
      <c r="EUA82" s="106"/>
      <c r="EUB82" s="9"/>
      <c r="EUC82" s="106"/>
      <c r="EUD82" s="9"/>
      <c r="EUE82" s="106"/>
      <c r="EUF82" s="9"/>
      <c r="EUG82" s="106"/>
      <c r="EUH82" s="9"/>
      <c r="EUI82" s="106"/>
      <c r="EUJ82" s="9"/>
      <c r="EUK82" s="106"/>
      <c r="EUL82" s="9"/>
      <c r="EUM82" s="106"/>
      <c r="EUN82" s="9"/>
      <c r="EUO82" s="106"/>
      <c r="EUP82" s="9"/>
      <c r="EUQ82" s="106"/>
      <c r="EUR82" s="9"/>
      <c r="EUS82" s="106"/>
      <c r="EUT82" s="9"/>
      <c r="EUU82" s="106"/>
      <c r="EUV82" s="9"/>
      <c r="EUW82" s="106"/>
      <c r="EUX82" s="9"/>
      <c r="EUY82" s="106"/>
      <c r="EUZ82" s="9"/>
      <c r="EVA82" s="106"/>
      <c r="EVB82" s="9"/>
      <c r="EVC82" s="106"/>
      <c r="EVD82" s="9"/>
      <c r="EVE82" s="106"/>
      <c r="EVF82" s="9"/>
      <c r="EVG82" s="106"/>
      <c r="EVH82" s="9"/>
      <c r="EVI82" s="106"/>
      <c r="EVJ82" s="9"/>
      <c r="EVK82" s="106"/>
      <c r="EVL82" s="9"/>
      <c r="EVM82" s="106"/>
      <c r="EVN82" s="9"/>
      <c r="EVO82" s="106"/>
      <c r="EVP82" s="9"/>
      <c r="EVQ82" s="106"/>
      <c r="EVR82" s="9"/>
      <c r="EVS82" s="106"/>
      <c r="EVT82" s="9"/>
      <c r="EVU82" s="106"/>
      <c r="EVV82" s="9"/>
      <c r="EVW82" s="106"/>
      <c r="EVX82" s="9"/>
      <c r="EVY82" s="106"/>
      <c r="EVZ82" s="9"/>
      <c r="EWA82" s="106"/>
      <c r="EWB82" s="9"/>
      <c r="EWC82" s="106"/>
      <c r="EWD82" s="9"/>
      <c r="EWE82" s="106"/>
      <c r="EWF82" s="9"/>
      <c r="EWG82" s="106"/>
      <c r="EWH82" s="9"/>
      <c r="EWI82" s="106"/>
      <c r="EWJ82" s="9"/>
      <c r="EWK82" s="106"/>
      <c r="EWL82" s="9"/>
      <c r="EWM82" s="106"/>
      <c r="EWN82" s="9"/>
      <c r="EWO82" s="106"/>
      <c r="EWP82" s="9"/>
      <c r="EWQ82" s="106"/>
      <c r="EWR82" s="9"/>
      <c r="EWS82" s="106"/>
      <c r="EWT82" s="9"/>
      <c r="EWU82" s="106"/>
      <c r="EWV82" s="9"/>
      <c r="EWW82" s="106"/>
      <c r="EWX82" s="9"/>
      <c r="EWY82" s="106"/>
      <c r="EWZ82" s="9"/>
      <c r="EXA82" s="106"/>
      <c r="EXB82" s="9"/>
      <c r="EXC82" s="106"/>
      <c r="EXD82" s="9"/>
      <c r="EXE82" s="106"/>
      <c r="EXF82" s="9"/>
      <c r="EXG82" s="106"/>
      <c r="EXH82" s="9"/>
      <c r="EXI82" s="106"/>
      <c r="EXJ82" s="9"/>
      <c r="EXK82" s="106"/>
      <c r="EXL82" s="9"/>
      <c r="EXM82" s="106"/>
      <c r="EXN82" s="9"/>
      <c r="EXO82" s="106"/>
      <c r="EXP82" s="9"/>
      <c r="EXQ82" s="106"/>
      <c r="EXR82" s="9"/>
      <c r="EXS82" s="106"/>
      <c r="EXT82" s="9"/>
      <c r="EXU82" s="106"/>
      <c r="EXV82" s="9"/>
      <c r="EXW82" s="106"/>
      <c r="EXX82" s="9"/>
      <c r="EXY82" s="106"/>
      <c r="EXZ82" s="9"/>
      <c r="EYA82" s="106"/>
      <c r="EYB82" s="9"/>
      <c r="EYC82" s="106"/>
      <c r="EYD82" s="9"/>
      <c r="EYE82" s="106"/>
      <c r="EYF82" s="9"/>
      <c r="EYG82" s="106"/>
      <c r="EYH82" s="9"/>
      <c r="EYI82" s="106"/>
      <c r="EYJ82" s="9"/>
      <c r="EYK82" s="106"/>
      <c r="EYL82" s="9"/>
      <c r="EYM82" s="106"/>
      <c r="EYN82" s="9"/>
      <c r="EYO82" s="106"/>
      <c r="EYP82" s="9"/>
      <c r="EYQ82" s="106"/>
      <c r="EYR82" s="9"/>
      <c r="EYS82" s="106"/>
      <c r="EYT82" s="9"/>
      <c r="EYU82" s="106"/>
      <c r="EYV82" s="9"/>
      <c r="EYW82" s="106"/>
      <c r="EYX82" s="9"/>
      <c r="EYY82" s="106"/>
      <c r="EYZ82" s="9"/>
      <c r="EZA82" s="106"/>
      <c r="EZB82" s="9"/>
      <c r="EZC82" s="106"/>
      <c r="EZD82" s="9"/>
      <c r="EZE82" s="106"/>
      <c r="EZF82" s="9"/>
      <c r="EZG82" s="106"/>
      <c r="EZH82" s="9"/>
      <c r="EZI82" s="106"/>
      <c r="EZJ82" s="9"/>
      <c r="EZK82" s="106"/>
      <c r="EZL82" s="9"/>
      <c r="EZM82" s="106"/>
      <c r="EZN82" s="9"/>
      <c r="EZO82" s="106"/>
      <c r="EZP82" s="9"/>
      <c r="EZQ82" s="106"/>
      <c r="EZR82" s="9"/>
      <c r="EZS82" s="106"/>
      <c r="EZT82" s="9"/>
      <c r="EZU82" s="106"/>
      <c r="EZV82" s="9"/>
      <c r="EZW82" s="106"/>
      <c r="EZX82" s="9"/>
      <c r="EZY82" s="106"/>
      <c r="EZZ82" s="9"/>
      <c r="FAA82" s="106"/>
      <c r="FAB82" s="9"/>
      <c r="FAC82" s="106"/>
      <c r="FAD82" s="9"/>
      <c r="FAE82" s="106"/>
      <c r="FAF82" s="9"/>
      <c r="FAG82" s="106"/>
      <c r="FAH82" s="9"/>
      <c r="FAI82" s="106"/>
      <c r="FAJ82" s="9"/>
      <c r="FAK82" s="106"/>
      <c r="FAL82" s="9"/>
      <c r="FAM82" s="106"/>
      <c r="FAN82" s="9"/>
      <c r="FAO82" s="106"/>
      <c r="FAP82" s="9"/>
      <c r="FAQ82" s="106"/>
      <c r="FAR82" s="9"/>
      <c r="FAS82" s="106"/>
      <c r="FAT82" s="9"/>
      <c r="FAU82" s="106"/>
      <c r="FAV82" s="9"/>
      <c r="FAW82" s="106"/>
      <c r="FAX82" s="9"/>
      <c r="FAY82" s="106"/>
      <c r="FAZ82" s="9"/>
      <c r="FBA82" s="106"/>
      <c r="FBB82" s="9"/>
      <c r="FBC82" s="106"/>
      <c r="FBD82" s="9"/>
      <c r="FBE82" s="106"/>
      <c r="FBF82" s="9"/>
      <c r="FBG82" s="106"/>
      <c r="FBH82" s="9"/>
      <c r="FBI82" s="106"/>
      <c r="FBJ82" s="9"/>
      <c r="FBK82" s="106"/>
      <c r="FBL82" s="9"/>
      <c r="FBM82" s="106"/>
      <c r="FBN82" s="9"/>
      <c r="FBO82" s="106"/>
      <c r="FBP82" s="9"/>
      <c r="FBQ82" s="106"/>
      <c r="FBR82" s="9"/>
      <c r="FBS82" s="106"/>
      <c r="FBT82" s="9"/>
      <c r="FBU82" s="106"/>
      <c r="FBV82" s="9"/>
      <c r="FBW82" s="106"/>
      <c r="FBX82" s="9"/>
      <c r="FBY82" s="106"/>
      <c r="FBZ82" s="9"/>
      <c r="FCA82" s="106"/>
      <c r="FCB82" s="9"/>
      <c r="FCC82" s="106"/>
      <c r="FCD82" s="9"/>
      <c r="FCE82" s="106"/>
      <c r="FCF82" s="9"/>
      <c r="FCG82" s="106"/>
      <c r="FCH82" s="9"/>
      <c r="FCI82" s="106"/>
      <c r="FCJ82" s="9"/>
      <c r="FCK82" s="106"/>
      <c r="FCL82" s="9"/>
      <c r="FCM82" s="106"/>
      <c r="FCN82" s="9"/>
      <c r="FCO82" s="106"/>
      <c r="FCP82" s="9"/>
      <c r="FCQ82" s="106"/>
      <c r="FCR82" s="9"/>
      <c r="FCS82" s="106"/>
      <c r="FCT82" s="9"/>
      <c r="FCU82" s="106"/>
      <c r="FCV82" s="9"/>
      <c r="FCW82" s="106"/>
      <c r="FCX82" s="9"/>
      <c r="FCY82" s="106"/>
      <c r="FCZ82" s="9"/>
      <c r="FDA82" s="106"/>
      <c r="FDB82" s="9"/>
      <c r="FDC82" s="106"/>
      <c r="FDD82" s="9"/>
      <c r="FDE82" s="106"/>
      <c r="FDF82" s="9"/>
      <c r="FDG82" s="106"/>
      <c r="FDH82" s="9"/>
      <c r="FDI82" s="106"/>
      <c r="FDJ82" s="9"/>
      <c r="FDK82" s="106"/>
      <c r="FDL82" s="9"/>
      <c r="FDM82" s="106"/>
      <c r="FDN82" s="9"/>
      <c r="FDO82" s="106"/>
      <c r="FDP82" s="9"/>
      <c r="FDQ82" s="106"/>
      <c r="FDR82" s="9"/>
      <c r="FDS82" s="106"/>
      <c r="FDT82" s="9"/>
      <c r="FDU82" s="106"/>
      <c r="FDV82" s="9"/>
      <c r="FDW82" s="106"/>
      <c r="FDX82" s="9"/>
      <c r="FDY82" s="106"/>
      <c r="FDZ82" s="9"/>
      <c r="FEA82" s="106"/>
      <c r="FEB82" s="9"/>
      <c r="FEC82" s="106"/>
      <c r="FED82" s="9"/>
      <c r="FEE82" s="106"/>
      <c r="FEF82" s="9"/>
      <c r="FEG82" s="106"/>
      <c r="FEH82" s="9"/>
      <c r="FEI82" s="106"/>
      <c r="FEJ82" s="9"/>
      <c r="FEK82" s="106"/>
      <c r="FEL82" s="9"/>
      <c r="FEM82" s="106"/>
      <c r="FEN82" s="9"/>
      <c r="FEO82" s="106"/>
      <c r="FEP82" s="9"/>
      <c r="FEQ82" s="106"/>
      <c r="FER82" s="9"/>
      <c r="FES82" s="106"/>
      <c r="FET82" s="9"/>
      <c r="FEU82" s="106"/>
      <c r="FEV82" s="9"/>
      <c r="FEW82" s="106"/>
      <c r="FEX82" s="9"/>
      <c r="FEY82" s="106"/>
      <c r="FEZ82" s="9"/>
      <c r="FFA82" s="106"/>
      <c r="FFB82" s="9"/>
      <c r="FFC82" s="106"/>
      <c r="FFD82" s="9"/>
      <c r="FFE82" s="106"/>
      <c r="FFF82" s="9"/>
      <c r="FFG82" s="106"/>
      <c r="FFH82" s="9"/>
      <c r="FFI82" s="106"/>
      <c r="FFJ82" s="9"/>
      <c r="FFK82" s="106"/>
      <c r="FFL82" s="9"/>
      <c r="FFM82" s="106"/>
      <c r="FFN82" s="9"/>
      <c r="FFO82" s="106"/>
      <c r="FFP82" s="9"/>
      <c r="FFQ82" s="106"/>
      <c r="FFR82" s="9"/>
      <c r="FFS82" s="106"/>
      <c r="FFT82" s="9"/>
      <c r="FFU82" s="106"/>
      <c r="FFV82" s="9"/>
      <c r="FFW82" s="106"/>
      <c r="FFX82" s="9"/>
      <c r="FFY82" s="106"/>
      <c r="FFZ82" s="9"/>
      <c r="FGA82" s="106"/>
      <c r="FGB82" s="9"/>
      <c r="FGC82" s="106"/>
      <c r="FGD82" s="9"/>
      <c r="FGE82" s="106"/>
      <c r="FGF82" s="9"/>
      <c r="FGG82" s="106"/>
      <c r="FGH82" s="9"/>
      <c r="FGI82" s="106"/>
      <c r="FGJ82" s="9"/>
      <c r="FGK82" s="106"/>
      <c r="FGL82" s="9"/>
      <c r="FGM82" s="106"/>
      <c r="FGN82" s="9"/>
      <c r="FGO82" s="106"/>
      <c r="FGP82" s="9"/>
      <c r="FGQ82" s="106"/>
      <c r="FGR82" s="9"/>
      <c r="FGS82" s="106"/>
      <c r="FGT82" s="9"/>
      <c r="FGU82" s="106"/>
      <c r="FGV82" s="9"/>
      <c r="FGW82" s="106"/>
      <c r="FGX82" s="9"/>
      <c r="FGY82" s="106"/>
      <c r="FGZ82" s="9"/>
      <c r="FHA82" s="106"/>
      <c r="FHB82" s="9"/>
      <c r="FHC82" s="106"/>
      <c r="FHD82" s="9"/>
      <c r="FHE82" s="106"/>
      <c r="FHF82" s="9"/>
      <c r="FHG82" s="106"/>
      <c r="FHH82" s="9"/>
      <c r="FHI82" s="106"/>
      <c r="FHJ82" s="9"/>
      <c r="FHK82" s="106"/>
      <c r="FHL82" s="9"/>
      <c r="FHM82" s="106"/>
      <c r="FHN82" s="9"/>
      <c r="FHO82" s="106"/>
      <c r="FHP82" s="9"/>
      <c r="FHQ82" s="106"/>
      <c r="FHR82" s="9"/>
      <c r="FHS82" s="106"/>
      <c r="FHT82" s="9"/>
      <c r="FHU82" s="106"/>
      <c r="FHV82" s="9"/>
      <c r="FHW82" s="106"/>
      <c r="FHX82" s="9"/>
      <c r="FHY82" s="106"/>
      <c r="FHZ82" s="9"/>
      <c r="FIA82" s="106"/>
      <c r="FIB82" s="9"/>
      <c r="FIC82" s="106"/>
      <c r="FID82" s="9"/>
      <c r="FIE82" s="106"/>
      <c r="FIF82" s="9"/>
      <c r="FIG82" s="106"/>
      <c r="FIH82" s="9"/>
      <c r="FII82" s="106"/>
      <c r="FIJ82" s="9"/>
      <c r="FIK82" s="106"/>
      <c r="FIL82" s="9"/>
      <c r="FIM82" s="106"/>
      <c r="FIN82" s="9"/>
      <c r="FIO82" s="106"/>
      <c r="FIP82" s="9"/>
      <c r="FIQ82" s="106"/>
      <c r="FIR82" s="9"/>
      <c r="FIS82" s="106"/>
      <c r="FIT82" s="9"/>
      <c r="FIU82" s="106"/>
      <c r="FIV82" s="9"/>
      <c r="FIW82" s="106"/>
      <c r="FIX82" s="9"/>
      <c r="FIY82" s="106"/>
      <c r="FIZ82" s="9"/>
      <c r="FJA82" s="106"/>
      <c r="FJB82" s="9"/>
      <c r="FJC82" s="106"/>
      <c r="FJD82" s="9"/>
      <c r="FJE82" s="106"/>
      <c r="FJF82" s="9"/>
      <c r="FJG82" s="106"/>
      <c r="FJH82" s="9"/>
      <c r="FJI82" s="106"/>
      <c r="FJJ82" s="9"/>
      <c r="FJK82" s="106"/>
      <c r="FJL82" s="9"/>
      <c r="FJM82" s="106"/>
      <c r="FJN82" s="9"/>
      <c r="FJO82" s="106"/>
      <c r="FJP82" s="9"/>
      <c r="FJQ82" s="106"/>
      <c r="FJR82" s="9"/>
      <c r="FJS82" s="106"/>
      <c r="FJT82" s="9"/>
      <c r="FJU82" s="106"/>
      <c r="FJV82" s="9"/>
      <c r="FJW82" s="106"/>
      <c r="FJX82" s="9"/>
      <c r="FJY82" s="106"/>
      <c r="FJZ82" s="9"/>
      <c r="FKA82" s="106"/>
      <c r="FKB82" s="9"/>
      <c r="FKC82" s="106"/>
      <c r="FKD82" s="9"/>
      <c r="FKE82" s="106"/>
      <c r="FKF82" s="9"/>
      <c r="FKG82" s="106"/>
      <c r="FKH82" s="9"/>
      <c r="FKI82" s="106"/>
      <c r="FKJ82" s="9"/>
      <c r="FKK82" s="106"/>
      <c r="FKL82" s="9"/>
      <c r="FKM82" s="106"/>
      <c r="FKN82" s="9"/>
      <c r="FKO82" s="106"/>
      <c r="FKP82" s="9"/>
      <c r="FKQ82" s="106"/>
      <c r="FKR82" s="9"/>
      <c r="FKS82" s="106"/>
      <c r="FKT82" s="9"/>
      <c r="FKU82" s="106"/>
      <c r="FKV82" s="9"/>
      <c r="FKW82" s="106"/>
      <c r="FKX82" s="9"/>
      <c r="FKY82" s="106"/>
      <c r="FKZ82" s="9"/>
      <c r="FLA82" s="106"/>
      <c r="FLB82" s="9"/>
      <c r="FLC82" s="106"/>
      <c r="FLD82" s="9"/>
      <c r="FLE82" s="106"/>
      <c r="FLF82" s="9"/>
      <c r="FLG82" s="106"/>
      <c r="FLH82" s="9"/>
      <c r="FLI82" s="106"/>
      <c r="FLJ82" s="9"/>
      <c r="FLK82" s="106"/>
      <c r="FLL82" s="9"/>
      <c r="FLM82" s="106"/>
      <c r="FLN82" s="9"/>
      <c r="FLO82" s="106"/>
      <c r="FLP82" s="9"/>
      <c r="FLQ82" s="106"/>
      <c r="FLR82" s="9"/>
      <c r="FLS82" s="106"/>
      <c r="FLT82" s="9"/>
      <c r="FLU82" s="106"/>
      <c r="FLV82" s="9"/>
      <c r="FLW82" s="106"/>
      <c r="FLX82" s="9"/>
      <c r="FLY82" s="106"/>
      <c r="FLZ82" s="9"/>
      <c r="FMA82" s="106"/>
      <c r="FMB82" s="9"/>
      <c r="FMC82" s="106"/>
      <c r="FMD82" s="9"/>
      <c r="FME82" s="106"/>
      <c r="FMF82" s="9"/>
      <c r="FMG82" s="106"/>
      <c r="FMH82" s="9"/>
      <c r="FMI82" s="106"/>
      <c r="FMJ82" s="9"/>
      <c r="FMK82" s="106"/>
      <c r="FML82" s="9"/>
      <c r="FMM82" s="106"/>
      <c r="FMN82" s="9"/>
      <c r="FMO82" s="106"/>
      <c r="FMP82" s="9"/>
      <c r="FMQ82" s="106"/>
      <c r="FMR82" s="9"/>
      <c r="FMS82" s="106"/>
      <c r="FMT82" s="9"/>
      <c r="FMU82" s="106"/>
      <c r="FMV82" s="9"/>
      <c r="FMW82" s="106"/>
      <c r="FMX82" s="9"/>
      <c r="FMY82" s="106"/>
      <c r="FMZ82" s="9"/>
      <c r="FNA82" s="106"/>
      <c r="FNB82" s="9"/>
      <c r="FNC82" s="106"/>
      <c r="FND82" s="9"/>
      <c r="FNE82" s="106"/>
      <c r="FNF82" s="9"/>
      <c r="FNG82" s="106"/>
      <c r="FNH82" s="9"/>
      <c r="FNI82" s="106"/>
      <c r="FNJ82" s="9"/>
      <c r="FNK82" s="106"/>
      <c r="FNL82" s="9"/>
      <c r="FNM82" s="106"/>
      <c r="FNN82" s="9"/>
      <c r="FNO82" s="106"/>
      <c r="FNP82" s="9"/>
      <c r="FNQ82" s="106"/>
      <c r="FNR82" s="9"/>
      <c r="FNS82" s="106"/>
      <c r="FNT82" s="9"/>
      <c r="FNU82" s="106"/>
      <c r="FNV82" s="9"/>
      <c r="FNW82" s="106"/>
      <c r="FNX82" s="9"/>
      <c r="FNY82" s="106"/>
      <c r="FNZ82" s="9"/>
      <c r="FOA82" s="106"/>
      <c r="FOB82" s="9"/>
      <c r="FOC82" s="106"/>
      <c r="FOD82" s="9"/>
      <c r="FOE82" s="106"/>
      <c r="FOF82" s="9"/>
      <c r="FOG82" s="106"/>
      <c r="FOH82" s="9"/>
      <c r="FOI82" s="106"/>
      <c r="FOJ82" s="9"/>
      <c r="FOK82" s="106"/>
      <c r="FOL82" s="9"/>
      <c r="FOM82" s="106"/>
      <c r="FON82" s="9"/>
      <c r="FOO82" s="106"/>
      <c r="FOP82" s="9"/>
      <c r="FOQ82" s="106"/>
      <c r="FOR82" s="9"/>
      <c r="FOS82" s="106"/>
      <c r="FOT82" s="9"/>
      <c r="FOU82" s="106"/>
      <c r="FOV82" s="9"/>
      <c r="FOW82" s="106"/>
      <c r="FOX82" s="9"/>
      <c r="FOY82" s="106"/>
      <c r="FOZ82" s="9"/>
      <c r="FPA82" s="106"/>
      <c r="FPB82" s="9"/>
      <c r="FPC82" s="106"/>
      <c r="FPD82" s="9"/>
      <c r="FPE82" s="106"/>
      <c r="FPF82" s="9"/>
      <c r="FPG82" s="106"/>
      <c r="FPH82" s="9"/>
      <c r="FPI82" s="106"/>
      <c r="FPJ82" s="9"/>
      <c r="FPK82" s="106"/>
      <c r="FPL82" s="9"/>
      <c r="FPM82" s="106"/>
      <c r="FPN82" s="9"/>
      <c r="FPO82" s="106"/>
      <c r="FPP82" s="9"/>
      <c r="FPQ82" s="106"/>
      <c r="FPR82" s="9"/>
      <c r="FPS82" s="106"/>
      <c r="FPT82" s="9"/>
      <c r="FPU82" s="106"/>
      <c r="FPV82" s="9"/>
      <c r="FPW82" s="106"/>
      <c r="FPX82" s="9"/>
      <c r="FPY82" s="106"/>
      <c r="FPZ82" s="9"/>
      <c r="FQA82" s="106"/>
      <c r="FQB82" s="9"/>
      <c r="FQC82" s="106"/>
      <c r="FQD82" s="9"/>
      <c r="FQE82" s="106"/>
      <c r="FQF82" s="9"/>
      <c r="FQG82" s="106"/>
      <c r="FQH82" s="9"/>
      <c r="FQI82" s="106"/>
      <c r="FQJ82" s="9"/>
      <c r="FQK82" s="106"/>
      <c r="FQL82" s="9"/>
      <c r="FQM82" s="106"/>
      <c r="FQN82" s="9"/>
      <c r="FQO82" s="106"/>
      <c r="FQP82" s="9"/>
      <c r="FQQ82" s="106"/>
      <c r="FQR82" s="9"/>
      <c r="FQS82" s="106"/>
      <c r="FQT82" s="9"/>
      <c r="FQU82" s="106"/>
      <c r="FQV82" s="9"/>
      <c r="FQW82" s="106"/>
      <c r="FQX82" s="9"/>
      <c r="FQY82" s="106"/>
      <c r="FQZ82" s="9"/>
      <c r="FRA82" s="106"/>
      <c r="FRB82" s="9"/>
      <c r="FRC82" s="106"/>
      <c r="FRD82" s="9"/>
      <c r="FRE82" s="106"/>
      <c r="FRF82" s="9"/>
      <c r="FRG82" s="106"/>
      <c r="FRH82" s="9"/>
      <c r="FRI82" s="106"/>
      <c r="FRJ82" s="9"/>
      <c r="FRK82" s="106"/>
      <c r="FRL82" s="9"/>
      <c r="FRM82" s="106"/>
      <c r="FRN82" s="9"/>
      <c r="FRO82" s="106"/>
      <c r="FRP82" s="9"/>
      <c r="FRQ82" s="106"/>
      <c r="FRR82" s="9"/>
      <c r="FRS82" s="106"/>
      <c r="FRT82" s="9"/>
      <c r="FRU82" s="106"/>
      <c r="FRV82" s="9"/>
      <c r="FRW82" s="106"/>
      <c r="FRX82" s="9"/>
      <c r="FRY82" s="106"/>
      <c r="FRZ82" s="9"/>
      <c r="FSA82" s="106"/>
      <c r="FSB82" s="9"/>
      <c r="FSC82" s="106"/>
      <c r="FSD82" s="9"/>
      <c r="FSE82" s="106"/>
      <c r="FSF82" s="9"/>
      <c r="FSG82" s="106"/>
      <c r="FSH82" s="9"/>
      <c r="FSI82" s="106"/>
      <c r="FSJ82" s="9"/>
      <c r="FSK82" s="106"/>
      <c r="FSL82" s="9"/>
      <c r="FSM82" s="106"/>
      <c r="FSN82" s="9"/>
      <c r="FSO82" s="106"/>
      <c r="FSP82" s="9"/>
      <c r="FSQ82" s="106"/>
      <c r="FSR82" s="9"/>
      <c r="FSS82" s="106"/>
      <c r="FST82" s="9"/>
      <c r="FSU82" s="106"/>
      <c r="FSV82" s="9"/>
      <c r="FSW82" s="106"/>
      <c r="FSX82" s="9"/>
      <c r="FSY82" s="106"/>
      <c r="FSZ82" s="9"/>
      <c r="FTA82" s="106"/>
      <c r="FTB82" s="9"/>
      <c r="FTC82" s="106"/>
      <c r="FTD82" s="9"/>
      <c r="FTE82" s="106"/>
      <c r="FTF82" s="9"/>
      <c r="FTG82" s="106"/>
      <c r="FTH82" s="9"/>
      <c r="FTI82" s="106"/>
      <c r="FTJ82" s="9"/>
      <c r="FTK82" s="106"/>
      <c r="FTL82" s="9"/>
      <c r="FTM82" s="106"/>
      <c r="FTN82" s="9"/>
      <c r="FTO82" s="106"/>
      <c r="FTP82" s="9"/>
      <c r="FTQ82" s="106"/>
      <c r="FTR82" s="9"/>
      <c r="FTS82" s="106"/>
      <c r="FTT82" s="9"/>
      <c r="FTU82" s="106"/>
      <c r="FTV82" s="9"/>
      <c r="FTW82" s="106"/>
      <c r="FTX82" s="9"/>
      <c r="FTY82" s="106"/>
      <c r="FTZ82" s="9"/>
      <c r="FUA82" s="106"/>
      <c r="FUB82" s="9"/>
      <c r="FUC82" s="106"/>
      <c r="FUD82" s="9"/>
      <c r="FUE82" s="106"/>
      <c r="FUF82" s="9"/>
      <c r="FUG82" s="106"/>
      <c r="FUH82" s="9"/>
      <c r="FUI82" s="106"/>
      <c r="FUJ82" s="9"/>
      <c r="FUK82" s="106"/>
      <c r="FUL82" s="9"/>
      <c r="FUM82" s="106"/>
      <c r="FUN82" s="9"/>
      <c r="FUO82" s="106"/>
      <c r="FUP82" s="9"/>
      <c r="FUQ82" s="106"/>
      <c r="FUR82" s="9"/>
      <c r="FUS82" s="106"/>
      <c r="FUT82" s="9"/>
      <c r="FUU82" s="106"/>
      <c r="FUV82" s="9"/>
      <c r="FUW82" s="106"/>
      <c r="FUX82" s="9"/>
      <c r="FUY82" s="106"/>
      <c r="FUZ82" s="9"/>
      <c r="FVA82" s="106"/>
      <c r="FVB82" s="9"/>
      <c r="FVC82" s="106"/>
      <c r="FVD82" s="9"/>
      <c r="FVE82" s="106"/>
      <c r="FVF82" s="9"/>
      <c r="FVG82" s="106"/>
      <c r="FVH82" s="9"/>
      <c r="FVI82" s="106"/>
      <c r="FVJ82" s="9"/>
      <c r="FVK82" s="106"/>
      <c r="FVL82" s="9"/>
      <c r="FVM82" s="106"/>
      <c r="FVN82" s="9"/>
      <c r="FVO82" s="106"/>
      <c r="FVP82" s="9"/>
      <c r="FVQ82" s="106"/>
      <c r="FVR82" s="9"/>
      <c r="FVS82" s="106"/>
      <c r="FVT82" s="9"/>
      <c r="FVU82" s="106"/>
      <c r="FVV82" s="9"/>
      <c r="FVW82" s="106"/>
      <c r="FVX82" s="9"/>
      <c r="FVY82" s="106"/>
      <c r="FVZ82" s="9"/>
      <c r="FWA82" s="106"/>
      <c r="FWB82" s="9"/>
      <c r="FWC82" s="106"/>
      <c r="FWD82" s="9"/>
      <c r="FWE82" s="106"/>
      <c r="FWF82" s="9"/>
      <c r="FWG82" s="106"/>
      <c r="FWH82" s="9"/>
      <c r="FWI82" s="106"/>
      <c r="FWJ82" s="9"/>
      <c r="FWK82" s="106"/>
      <c r="FWL82" s="9"/>
      <c r="FWM82" s="106"/>
      <c r="FWN82" s="9"/>
      <c r="FWO82" s="106"/>
      <c r="FWP82" s="9"/>
      <c r="FWQ82" s="106"/>
      <c r="FWR82" s="9"/>
      <c r="FWS82" s="106"/>
      <c r="FWT82" s="9"/>
      <c r="FWU82" s="106"/>
      <c r="FWV82" s="9"/>
      <c r="FWW82" s="106"/>
      <c r="FWX82" s="9"/>
      <c r="FWY82" s="106"/>
      <c r="FWZ82" s="9"/>
      <c r="FXA82" s="106"/>
      <c r="FXB82" s="9"/>
      <c r="FXC82" s="106"/>
      <c r="FXD82" s="9"/>
      <c r="FXE82" s="106"/>
      <c r="FXF82" s="9"/>
      <c r="FXG82" s="106"/>
      <c r="FXH82" s="9"/>
      <c r="FXI82" s="106"/>
      <c r="FXJ82" s="9"/>
      <c r="FXK82" s="106"/>
      <c r="FXL82" s="9"/>
      <c r="FXM82" s="106"/>
      <c r="FXN82" s="9"/>
      <c r="FXO82" s="106"/>
      <c r="FXP82" s="9"/>
      <c r="FXQ82" s="106"/>
      <c r="FXR82" s="9"/>
      <c r="FXS82" s="106"/>
      <c r="FXT82" s="9"/>
      <c r="FXU82" s="106"/>
      <c r="FXV82" s="9"/>
      <c r="FXW82" s="106"/>
      <c r="FXX82" s="9"/>
      <c r="FXY82" s="106"/>
      <c r="FXZ82" s="9"/>
      <c r="FYA82" s="106"/>
      <c r="FYB82" s="9"/>
      <c r="FYC82" s="106"/>
      <c r="FYD82" s="9"/>
      <c r="FYE82" s="106"/>
      <c r="FYF82" s="9"/>
      <c r="FYG82" s="106"/>
      <c r="FYH82" s="9"/>
      <c r="FYI82" s="106"/>
      <c r="FYJ82" s="9"/>
      <c r="FYK82" s="106"/>
      <c r="FYL82" s="9"/>
      <c r="FYM82" s="106"/>
      <c r="FYN82" s="9"/>
      <c r="FYO82" s="106"/>
      <c r="FYP82" s="9"/>
      <c r="FYQ82" s="106"/>
      <c r="FYR82" s="9"/>
      <c r="FYS82" s="106"/>
      <c r="FYT82" s="9"/>
      <c r="FYU82" s="106"/>
      <c r="FYV82" s="9"/>
      <c r="FYW82" s="106"/>
      <c r="FYX82" s="9"/>
      <c r="FYY82" s="106"/>
      <c r="FYZ82" s="9"/>
      <c r="FZA82" s="106"/>
      <c r="FZB82" s="9"/>
      <c r="FZC82" s="106"/>
      <c r="FZD82" s="9"/>
      <c r="FZE82" s="106"/>
      <c r="FZF82" s="9"/>
      <c r="FZG82" s="106"/>
      <c r="FZH82" s="9"/>
      <c r="FZI82" s="106"/>
      <c r="FZJ82" s="9"/>
      <c r="FZK82" s="106"/>
      <c r="FZL82" s="9"/>
      <c r="FZM82" s="106"/>
      <c r="FZN82" s="9"/>
      <c r="FZO82" s="106"/>
      <c r="FZP82" s="9"/>
      <c r="FZQ82" s="106"/>
      <c r="FZR82" s="9"/>
      <c r="FZS82" s="106"/>
      <c r="FZT82" s="9"/>
      <c r="FZU82" s="106"/>
      <c r="FZV82" s="9"/>
      <c r="FZW82" s="106"/>
      <c r="FZX82" s="9"/>
      <c r="FZY82" s="106"/>
      <c r="FZZ82" s="9"/>
      <c r="GAA82" s="106"/>
      <c r="GAB82" s="9"/>
      <c r="GAC82" s="106"/>
      <c r="GAD82" s="9"/>
      <c r="GAE82" s="106"/>
      <c r="GAF82" s="9"/>
      <c r="GAG82" s="106"/>
      <c r="GAH82" s="9"/>
      <c r="GAI82" s="106"/>
      <c r="GAJ82" s="9"/>
      <c r="GAK82" s="106"/>
      <c r="GAL82" s="9"/>
      <c r="GAM82" s="106"/>
      <c r="GAN82" s="9"/>
      <c r="GAO82" s="106"/>
      <c r="GAP82" s="9"/>
      <c r="GAQ82" s="106"/>
      <c r="GAR82" s="9"/>
      <c r="GAS82" s="106"/>
      <c r="GAT82" s="9"/>
      <c r="GAU82" s="106"/>
      <c r="GAV82" s="9"/>
      <c r="GAW82" s="106"/>
      <c r="GAX82" s="9"/>
      <c r="GAY82" s="106"/>
      <c r="GAZ82" s="9"/>
      <c r="GBA82" s="106"/>
      <c r="GBB82" s="9"/>
      <c r="GBC82" s="106"/>
      <c r="GBD82" s="9"/>
      <c r="GBE82" s="106"/>
      <c r="GBF82" s="9"/>
      <c r="GBG82" s="106"/>
      <c r="GBH82" s="9"/>
      <c r="GBI82" s="106"/>
      <c r="GBJ82" s="9"/>
      <c r="GBK82" s="106"/>
      <c r="GBL82" s="9"/>
      <c r="GBM82" s="106"/>
      <c r="GBN82" s="9"/>
      <c r="GBO82" s="106"/>
      <c r="GBP82" s="9"/>
      <c r="GBQ82" s="106"/>
      <c r="GBR82" s="9"/>
      <c r="GBS82" s="106"/>
      <c r="GBT82" s="9"/>
      <c r="GBU82" s="106"/>
      <c r="GBV82" s="9"/>
      <c r="GBW82" s="106"/>
      <c r="GBX82" s="9"/>
      <c r="GBY82" s="106"/>
      <c r="GBZ82" s="9"/>
      <c r="GCA82" s="106"/>
      <c r="GCB82" s="9"/>
      <c r="GCC82" s="106"/>
      <c r="GCD82" s="9"/>
      <c r="GCE82" s="106"/>
      <c r="GCF82" s="9"/>
      <c r="GCG82" s="106"/>
      <c r="GCH82" s="9"/>
      <c r="GCI82" s="106"/>
      <c r="GCJ82" s="9"/>
      <c r="GCK82" s="106"/>
      <c r="GCL82" s="9"/>
      <c r="GCM82" s="106"/>
      <c r="GCN82" s="9"/>
      <c r="GCO82" s="106"/>
      <c r="GCP82" s="9"/>
      <c r="GCQ82" s="106"/>
      <c r="GCR82" s="9"/>
      <c r="GCS82" s="106"/>
      <c r="GCT82" s="9"/>
      <c r="GCU82" s="106"/>
      <c r="GCV82" s="9"/>
      <c r="GCW82" s="106"/>
      <c r="GCX82" s="9"/>
      <c r="GCY82" s="106"/>
      <c r="GCZ82" s="9"/>
      <c r="GDA82" s="106"/>
      <c r="GDB82" s="9"/>
      <c r="GDC82" s="106"/>
      <c r="GDD82" s="9"/>
      <c r="GDE82" s="106"/>
      <c r="GDF82" s="9"/>
      <c r="GDG82" s="106"/>
      <c r="GDH82" s="9"/>
      <c r="GDI82" s="106"/>
      <c r="GDJ82" s="9"/>
      <c r="GDK82" s="106"/>
      <c r="GDL82" s="9"/>
      <c r="GDM82" s="106"/>
      <c r="GDN82" s="9"/>
      <c r="GDO82" s="106"/>
      <c r="GDP82" s="9"/>
      <c r="GDQ82" s="106"/>
      <c r="GDR82" s="9"/>
      <c r="GDS82" s="106"/>
      <c r="GDT82" s="9"/>
      <c r="GDU82" s="106"/>
      <c r="GDV82" s="9"/>
      <c r="GDW82" s="106"/>
      <c r="GDX82" s="9"/>
      <c r="GDY82" s="106"/>
      <c r="GDZ82" s="9"/>
      <c r="GEA82" s="106"/>
      <c r="GEB82" s="9"/>
      <c r="GEC82" s="106"/>
      <c r="GED82" s="9"/>
      <c r="GEE82" s="106"/>
      <c r="GEF82" s="9"/>
      <c r="GEG82" s="106"/>
      <c r="GEH82" s="9"/>
      <c r="GEI82" s="106"/>
      <c r="GEJ82" s="9"/>
      <c r="GEK82" s="106"/>
      <c r="GEL82" s="9"/>
      <c r="GEM82" s="106"/>
      <c r="GEN82" s="9"/>
      <c r="GEO82" s="106"/>
      <c r="GEP82" s="9"/>
      <c r="GEQ82" s="106"/>
      <c r="GER82" s="9"/>
      <c r="GES82" s="106"/>
      <c r="GET82" s="9"/>
      <c r="GEU82" s="106"/>
      <c r="GEV82" s="9"/>
      <c r="GEW82" s="106"/>
      <c r="GEX82" s="9"/>
      <c r="GEY82" s="106"/>
      <c r="GEZ82" s="9"/>
      <c r="GFA82" s="106"/>
      <c r="GFB82" s="9"/>
      <c r="GFC82" s="106"/>
      <c r="GFD82" s="9"/>
      <c r="GFE82" s="106"/>
      <c r="GFF82" s="9"/>
      <c r="GFG82" s="106"/>
      <c r="GFH82" s="9"/>
      <c r="GFI82" s="106"/>
      <c r="GFJ82" s="9"/>
      <c r="GFK82" s="106"/>
      <c r="GFL82" s="9"/>
      <c r="GFM82" s="106"/>
      <c r="GFN82" s="9"/>
      <c r="GFO82" s="106"/>
      <c r="GFP82" s="9"/>
      <c r="GFQ82" s="106"/>
      <c r="GFR82" s="9"/>
      <c r="GFS82" s="106"/>
      <c r="GFT82" s="9"/>
      <c r="GFU82" s="106"/>
      <c r="GFV82" s="9"/>
      <c r="GFW82" s="106"/>
      <c r="GFX82" s="9"/>
      <c r="GFY82" s="106"/>
      <c r="GFZ82" s="9"/>
      <c r="GGA82" s="106"/>
      <c r="GGB82" s="9"/>
      <c r="GGC82" s="106"/>
      <c r="GGD82" s="9"/>
      <c r="GGE82" s="106"/>
      <c r="GGF82" s="9"/>
      <c r="GGG82" s="106"/>
      <c r="GGH82" s="9"/>
      <c r="GGI82" s="106"/>
      <c r="GGJ82" s="9"/>
      <c r="GGK82" s="106"/>
      <c r="GGL82" s="9"/>
      <c r="GGM82" s="106"/>
      <c r="GGN82" s="9"/>
      <c r="GGO82" s="106"/>
      <c r="GGP82" s="9"/>
      <c r="GGQ82" s="106"/>
      <c r="GGR82" s="9"/>
      <c r="GGS82" s="106"/>
      <c r="GGT82" s="9"/>
      <c r="GGU82" s="106"/>
      <c r="GGV82" s="9"/>
      <c r="GGW82" s="106"/>
      <c r="GGX82" s="9"/>
      <c r="GGY82" s="106"/>
      <c r="GGZ82" s="9"/>
      <c r="GHA82" s="106"/>
      <c r="GHB82" s="9"/>
      <c r="GHC82" s="106"/>
      <c r="GHD82" s="9"/>
      <c r="GHE82" s="106"/>
      <c r="GHF82" s="9"/>
      <c r="GHG82" s="106"/>
      <c r="GHH82" s="9"/>
      <c r="GHI82" s="106"/>
      <c r="GHJ82" s="9"/>
      <c r="GHK82" s="106"/>
      <c r="GHL82" s="9"/>
      <c r="GHM82" s="106"/>
      <c r="GHN82" s="9"/>
      <c r="GHO82" s="106"/>
      <c r="GHP82" s="9"/>
      <c r="GHQ82" s="106"/>
      <c r="GHR82" s="9"/>
      <c r="GHS82" s="106"/>
      <c r="GHT82" s="9"/>
      <c r="GHU82" s="106"/>
      <c r="GHV82" s="9"/>
      <c r="GHW82" s="106"/>
      <c r="GHX82" s="9"/>
      <c r="GHY82" s="106"/>
      <c r="GHZ82" s="9"/>
      <c r="GIA82" s="106"/>
      <c r="GIB82" s="9"/>
      <c r="GIC82" s="106"/>
      <c r="GID82" s="9"/>
      <c r="GIE82" s="106"/>
      <c r="GIF82" s="9"/>
      <c r="GIG82" s="106"/>
      <c r="GIH82" s="9"/>
      <c r="GII82" s="106"/>
      <c r="GIJ82" s="9"/>
      <c r="GIK82" s="106"/>
      <c r="GIL82" s="9"/>
      <c r="GIM82" s="106"/>
      <c r="GIN82" s="9"/>
      <c r="GIO82" s="106"/>
      <c r="GIP82" s="9"/>
      <c r="GIQ82" s="106"/>
      <c r="GIR82" s="9"/>
      <c r="GIS82" s="106"/>
      <c r="GIT82" s="9"/>
      <c r="GIU82" s="106"/>
      <c r="GIV82" s="9"/>
      <c r="GIW82" s="106"/>
      <c r="GIX82" s="9"/>
      <c r="GIY82" s="106"/>
      <c r="GIZ82" s="9"/>
      <c r="GJA82" s="106"/>
      <c r="GJB82" s="9"/>
      <c r="GJC82" s="106"/>
      <c r="GJD82" s="9"/>
      <c r="GJE82" s="106"/>
      <c r="GJF82" s="9"/>
      <c r="GJG82" s="106"/>
      <c r="GJH82" s="9"/>
      <c r="GJI82" s="106"/>
      <c r="GJJ82" s="9"/>
      <c r="GJK82" s="106"/>
      <c r="GJL82" s="9"/>
      <c r="GJM82" s="106"/>
      <c r="GJN82" s="9"/>
      <c r="GJO82" s="106"/>
      <c r="GJP82" s="9"/>
      <c r="GJQ82" s="106"/>
      <c r="GJR82" s="9"/>
      <c r="GJS82" s="106"/>
      <c r="GJT82" s="9"/>
      <c r="GJU82" s="106"/>
      <c r="GJV82" s="9"/>
      <c r="GJW82" s="106"/>
      <c r="GJX82" s="9"/>
      <c r="GJY82" s="106"/>
      <c r="GJZ82" s="9"/>
      <c r="GKA82" s="106"/>
      <c r="GKB82" s="9"/>
      <c r="GKC82" s="106"/>
      <c r="GKD82" s="9"/>
      <c r="GKE82" s="106"/>
      <c r="GKF82" s="9"/>
      <c r="GKG82" s="106"/>
      <c r="GKH82" s="9"/>
      <c r="GKI82" s="106"/>
      <c r="GKJ82" s="9"/>
      <c r="GKK82" s="106"/>
      <c r="GKL82" s="9"/>
      <c r="GKM82" s="106"/>
      <c r="GKN82" s="9"/>
      <c r="GKO82" s="106"/>
      <c r="GKP82" s="9"/>
      <c r="GKQ82" s="106"/>
      <c r="GKR82" s="9"/>
      <c r="GKS82" s="106"/>
      <c r="GKT82" s="9"/>
      <c r="GKU82" s="106"/>
      <c r="GKV82" s="9"/>
      <c r="GKW82" s="106"/>
      <c r="GKX82" s="9"/>
      <c r="GKY82" s="106"/>
      <c r="GKZ82" s="9"/>
      <c r="GLA82" s="106"/>
      <c r="GLB82" s="9"/>
      <c r="GLC82" s="106"/>
      <c r="GLD82" s="9"/>
      <c r="GLE82" s="106"/>
      <c r="GLF82" s="9"/>
      <c r="GLG82" s="106"/>
      <c r="GLH82" s="9"/>
      <c r="GLI82" s="106"/>
      <c r="GLJ82" s="9"/>
      <c r="GLK82" s="106"/>
      <c r="GLL82" s="9"/>
      <c r="GLM82" s="106"/>
      <c r="GLN82" s="9"/>
      <c r="GLO82" s="106"/>
      <c r="GLP82" s="9"/>
      <c r="GLQ82" s="106"/>
      <c r="GLR82" s="9"/>
      <c r="GLS82" s="106"/>
      <c r="GLT82" s="9"/>
      <c r="GLU82" s="106"/>
      <c r="GLV82" s="9"/>
      <c r="GLW82" s="106"/>
      <c r="GLX82" s="9"/>
      <c r="GLY82" s="106"/>
      <c r="GLZ82" s="9"/>
      <c r="GMA82" s="106"/>
      <c r="GMB82" s="9"/>
      <c r="GMC82" s="106"/>
      <c r="GMD82" s="9"/>
      <c r="GME82" s="106"/>
      <c r="GMF82" s="9"/>
      <c r="GMG82" s="106"/>
      <c r="GMH82" s="9"/>
      <c r="GMI82" s="106"/>
      <c r="GMJ82" s="9"/>
      <c r="GMK82" s="106"/>
      <c r="GML82" s="9"/>
      <c r="GMM82" s="106"/>
      <c r="GMN82" s="9"/>
      <c r="GMO82" s="106"/>
      <c r="GMP82" s="9"/>
      <c r="GMQ82" s="106"/>
      <c r="GMR82" s="9"/>
      <c r="GMS82" s="106"/>
      <c r="GMT82" s="9"/>
      <c r="GMU82" s="106"/>
      <c r="GMV82" s="9"/>
      <c r="GMW82" s="106"/>
      <c r="GMX82" s="9"/>
      <c r="GMY82" s="106"/>
      <c r="GMZ82" s="9"/>
      <c r="GNA82" s="106"/>
      <c r="GNB82" s="9"/>
      <c r="GNC82" s="106"/>
      <c r="GND82" s="9"/>
      <c r="GNE82" s="106"/>
      <c r="GNF82" s="9"/>
      <c r="GNG82" s="106"/>
      <c r="GNH82" s="9"/>
      <c r="GNI82" s="106"/>
      <c r="GNJ82" s="9"/>
      <c r="GNK82" s="106"/>
      <c r="GNL82" s="9"/>
      <c r="GNM82" s="106"/>
      <c r="GNN82" s="9"/>
      <c r="GNO82" s="106"/>
      <c r="GNP82" s="9"/>
      <c r="GNQ82" s="106"/>
      <c r="GNR82" s="9"/>
      <c r="GNS82" s="106"/>
      <c r="GNT82" s="9"/>
      <c r="GNU82" s="106"/>
      <c r="GNV82" s="9"/>
      <c r="GNW82" s="106"/>
      <c r="GNX82" s="9"/>
      <c r="GNY82" s="106"/>
      <c r="GNZ82" s="9"/>
      <c r="GOA82" s="106"/>
      <c r="GOB82" s="9"/>
      <c r="GOC82" s="106"/>
      <c r="GOD82" s="9"/>
      <c r="GOE82" s="106"/>
      <c r="GOF82" s="9"/>
      <c r="GOG82" s="106"/>
      <c r="GOH82" s="9"/>
      <c r="GOI82" s="106"/>
      <c r="GOJ82" s="9"/>
      <c r="GOK82" s="106"/>
      <c r="GOL82" s="9"/>
      <c r="GOM82" s="106"/>
      <c r="GON82" s="9"/>
      <c r="GOO82" s="106"/>
      <c r="GOP82" s="9"/>
      <c r="GOQ82" s="106"/>
      <c r="GOR82" s="9"/>
      <c r="GOS82" s="106"/>
      <c r="GOT82" s="9"/>
      <c r="GOU82" s="106"/>
      <c r="GOV82" s="9"/>
      <c r="GOW82" s="106"/>
      <c r="GOX82" s="9"/>
      <c r="GOY82" s="106"/>
      <c r="GOZ82" s="9"/>
      <c r="GPA82" s="106"/>
      <c r="GPB82" s="9"/>
      <c r="GPC82" s="106"/>
      <c r="GPD82" s="9"/>
      <c r="GPE82" s="106"/>
      <c r="GPF82" s="9"/>
      <c r="GPG82" s="106"/>
      <c r="GPH82" s="9"/>
      <c r="GPI82" s="106"/>
      <c r="GPJ82" s="9"/>
      <c r="GPK82" s="106"/>
      <c r="GPL82" s="9"/>
      <c r="GPM82" s="106"/>
      <c r="GPN82" s="9"/>
      <c r="GPO82" s="106"/>
      <c r="GPP82" s="9"/>
      <c r="GPQ82" s="106"/>
      <c r="GPR82" s="9"/>
      <c r="GPS82" s="106"/>
      <c r="GPT82" s="9"/>
      <c r="GPU82" s="106"/>
      <c r="GPV82" s="9"/>
      <c r="GPW82" s="106"/>
      <c r="GPX82" s="9"/>
      <c r="GPY82" s="106"/>
      <c r="GPZ82" s="9"/>
      <c r="GQA82" s="106"/>
      <c r="GQB82" s="9"/>
      <c r="GQC82" s="106"/>
      <c r="GQD82" s="9"/>
      <c r="GQE82" s="106"/>
      <c r="GQF82" s="9"/>
      <c r="GQG82" s="106"/>
      <c r="GQH82" s="9"/>
      <c r="GQI82" s="106"/>
      <c r="GQJ82" s="9"/>
      <c r="GQK82" s="106"/>
      <c r="GQL82" s="9"/>
      <c r="GQM82" s="106"/>
      <c r="GQN82" s="9"/>
      <c r="GQO82" s="106"/>
      <c r="GQP82" s="9"/>
      <c r="GQQ82" s="106"/>
      <c r="GQR82" s="9"/>
      <c r="GQS82" s="106"/>
      <c r="GQT82" s="9"/>
      <c r="GQU82" s="106"/>
      <c r="GQV82" s="9"/>
      <c r="GQW82" s="106"/>
      <c r="GQX82" s="9"/>
      <c r="GQY82" s="106"/>
      <c r="GQZ82" s="9"/>
      <c r="GRA82" s="106"/>
      <c r="GRB82" s="9"/>
      <c r="GRC82" s="106"/>
      <c r="GRD82" s="9"/>
      <c r="GRE82" s="106"/>
      <c r="GRF82" s="9"/>
      <c r="GRG82" s="106"/>
      <c r="GRH82" s="9"/>
      <c r="GRI82" s="106"/>
      <c r="GRJ82" s="9"/>
      <c r="GRK82" s="106"/>
      <c r="GRL82" s="9"/>
      <c r="GRM82" s="106"/>
      <c r="GRN82" s="9"/>
      <c r="GRO82" s="106"/>
      <c r="GRP82" s="9"/>
      <c r="GRQ82" s="106"/>
      <c r="GRR82" s="9"/>
      <c r="GRS82" s="106"/>
      <c r="GRT82" s="9"/>
      <c r="GRU82" s="106"/>
      <c r="GRV82" s="9"/>
      <c r="GRW82" s="106"/>
      <c r="GRX82" s="9"/>
      <c r="GRY82" s="106"/>
      <c r="GRZ82" s="9"/>
      <c r="GSA82" s="106"/>
      <c r="GSB82" s="9"/>
      <c r="GSC82" s="106"/>
      <c r="GSD82" s="9"/>
      <c r="GSE82" s="106"/>
      <c r="GSF82" s="9"/>
      <c r="GSG82" s="106"/>
      <c r="GSH82" s="9"/>
      <c r="GSI82" s="106"/>
      <c r="GSJ82" s="9"/>
      <c r="GSK82" s="106"/>
      <c r="GSL82" s="9"/>
      <c r="GSM82" s="106"/>
      <c r="GSN82" s="9"/>
      <c r="GSO82" s="106"/>
      <c r="GSP82" s="9"/>
      <c r="GSQ82" s="106"/>
      <c r="GSR82" s="9"/>
      <c r="GSS82" s="106"/>
      <c r="GST82" s="9"/>
      <c r="GSU82" s="106"/>
      <c r="GSV82" s="9"/>
      <c r="GSW82" s="106"/>
      <c r="GSX82" s="9"/>
      <c r="GSY82" s="106"/>
      <c r="GSZ82" s="9"/>
      <c r="GTA82" s="106"/>
      <c r="GTB82" s="9"/>
      <c r="GTC82" s="106"/>
      <c r="GTD82" s="9"/>
      <c r="GTE82" s="106"/>
      <c r="GTF82" s="9"/>
      <c r="GTG82" s="106"/>
      <c r="GTH82" s="9"/>
      <c r="GTI82" s="106"/>
      <c r="GTJ82" s="9"/>
      <c r="GTK82" s="106"/>
      <c r="GTL82" s="9"/>
      <c r="GTM82" s="106"/>
      <c r="GTN82" s="9"/>
      <c r="GTO82" s="106"/>
      <c r="GTP82" s="9"/>
      <c r="GTQ82" s="106"/>
      <c r="GTR82" s="9"/>
      <c r="GTS82" s="106"/>
      <c r="GTT82" s="9"/>
      <c r="GTU82" s="106"/>
      <c r="GTV82" s="9"/>
      <c r="GTW82" s="106"/>
      <c r="GTX82" s="9"/>
      <c r="GTY82" s="106"/>
      <c r="GTZ82" s="9"/>
      <c r="GUA82" s="106"/>
      <c r="GUB82" s="9"/>
      <c r="GUC82" s="106"/>
      <c r="GUD82" s="9"/>
      <c r="GUE82" s="106"/>
      <c r="GUF82" s="9"/>
      <c r="GUG82" s="106"/>
      <c r="GUH82" s="9"/>
      <c r="GUI82" s="106"/>
      <c r="GUJ82" s="9"/>
      <c r="GUK82" s="106"/>
      <c r="GUL82" s="9"/>
      <c r="GUM82" s="106"/>
      <c r="GUN82" s="9"/>
      <c r="GUO82" s="106"/>
      <c r="GUP82" s="9"/>
      <c r="GUQ82" s="106"/>
      <c r="GUR82" s="9"/>
      <c r="GUS82" s="106"/>
      <c r="GUT82" s="9"/>
      <c r="GUU82" s="106"/>
      <c r="GUV82" s="9"/>
      <c r="GUW82" s="106"/>
      <c r="GUX82" s="9"/>
      <c r="GUY82" s="106"/>
      <c r="GUZ82" s="9"/>
      <c r="GVA82" s="106"/>
      <c r="GVB82" s="9"/>
      <c r="GVC82" s="106"/>
      <c r="GVD82" s="9"/>
      <c r="GVE82" s="106"/>
      <c r="GVF82" s="9"/>
      <c r="GVG82" s="106"/>
      <c r="GVH82" s="9"/>
      <c r="GVI82" s="106"/>
      <c r="GVJ82" s="9"/>
      <c r="GVK82" s="106"/>
      <c r="GVL82" s="9"/>
      <c r="GVM82" s="106"/>
      <c r="GVN82" s="9"/>
      <c r="GVO82" s="106"/>
      <c r="GVP82" s="9"/>
      <c r="GVQ82" s="106"/>
      <c r="GVR82" s="9"/>
      <c r="GVS82" s="106"/>
      <c r="GVT82" s="9"/>
      <c r="GVU82" s="106"/>
      <c r="GVV82" s="9"/>
      <c r="GVW82" s="106"/>
      <c r="GVX82" s="9"/>
      <c r="GVY82" s="106"/>
      <c r="GVZ82" s="9"/>
      <c r="GWA82" s="106"/>
      <c r="GWB82" s="9"/>
      <c r="GWC82" s="106"/>
      <c r="GWD82" s="9"/>
      <c r="GWE82" s="106"/>
      <c r="GWF82" s="9"/>
      <c r="GWG82" s="106"/>
      <c r="GWH82" s="9"/>
      <c r="GWI82" s="106"/>
      <c r="GWJ82" s="9"/>
      <c r="GWK82" s="106"/>
      <c r="GWL82" s="9"/>
      <c r="GWM82" s="106"/>
      <c r="GWN82" s="9"/>
      <c r="GWO82" s="106"/>
      <c r="GWP82" s="9"/>
      <c r="GWQ82" s="106"/>
      <c r="GWR82" s="9"/>
      <c r="GWS82" s="106"/>
      <c r="GWT82" s="9"/>
      <c r="GWU82" s="106"/>
      <c r="GWV82" s="9"/>
      <c r="GWW82" s="106"/>
      <c r="GWX82" s="9"/>
      <c r="GWY82" s="106"/>
      <c r="GWZ82" s="9"/>
      <c r="GXA82" s="106"/>
      <c r="GXB82" s="9"/>
      <c r="GXC82" s="106"/>
      <c r="GXD82" s="9"/>
      <c r="GXE82" s="106"/>
      <c r="GXF82" s="9"/>
      <c r="GXG82" s="106"/>
      <c r="GXH82" s="9"/>
      <c r="GXI82" s="106"/>
      <c r="GXJ82" s="9"/>
      <c r="GXK82" s="106"/>
      <c r="GXL82" s="9"/>
      <c r="GXM82" s="106"/>
      <c r="GXN82" s="9"/>
      <c r="GXO82" s="106"/>
      <c r="GXP82" s="9"/>
      <c r="GXQ82" s="106"/>
      <c r="GXR82" s="9"/>
      <c r="GXS82" s="106"/>
      <c r="GXT82" s="9"/>
      <c r="GXU82" s="106"/>
      <c r="GXV82" s="9"/>
      <c r="GXW82" s="106"/>
      <c r="GXX82" s="9"/>
      <c r="GXY82" s="106"/>
      <c r="GXZ82" s="9"/>
      <c r="GYA82" s="106"/>
      <c r="GYB82" s="9"/>
      <c r="GYC82" s="106"/>
      <c r="GYD82" s="9"/>
      <c r="GYE82" s="106"/>
      <c r="GYF82" s="9"/>
      <c r="GYG82" s="106"/>
      <c r="GYH82" s="9"/>
      <c r="GYI82" s="106"/>
      <c r="GYJ82" s="9"/>
      <c r="GYK82" s="106"/>
      <c r="GYL82" s="9"/>
      <c r="GYM82" s="106"/>
      <c r="GYN82" s="9"/>
      <c r="GYO82" s="106"/>
      <c r="GYP82" s="9"/>
      <c r="GYQ82" s="106"/>
      <c r="GYR82" s="9"/>
      <c r="GYS82" s="106"/>
      <c r="GYT82" s="9"/>
      <c r="GYU82" s="106"/>
      <c r="GYV82" s="9"/>
      <c r="GYW82" s="106"/>
      <c r="GYX82" s="9"/>
      <c r="GYY82" s="106"/>
      <c r="GYZ82" s="9"/>
      <c r="GZA82" s="106"/>
      <c r="GZB82" s="9"/>
      <c r="GZC82" s="106"/>
      <c r="GZD82" s="9"/>
      <c r="GZE82" s="106"/>
      <c r="GZF82" s="9"/>
      <c r="GZG82" s="106"/>
      <c r="GZH82" s="9"/>
      <c r="GZI82" s="106"/>
      <c r="GZJ82" s="9"/>
      <c r="GZK82" s="106"/>
      <c r="GZL82" s="9"/>
      <c r="GZM82" s="106"/>
      <c r="GZN82" s="9"/>
      <c r="GZO82" s="106"/>
      <c r="GZP82" s="9"/>
      <c r="GZQ82" s="106"/>
      <c r="GZR82" s="9"/>
      <c r="GZS82" s="106"/>
      <c r="GZT82" s="9"/>
      <c r="GZU82" s="106"/>
      <c r="GZV82" s="9"/>
      <c r="GZW82" s="106"/>
      <c r="GZX82" s="9"/>
      <c r="GZY82" s="106"/>
      <c r="GZZ82" s="9"/>
      <c r="HAA82" s="106"/>
      <c r="HAB82" s="9"/>
      <c r="HAC82" s="106"/>
      <c r="HAD82" s="9"/>
      <c r="HAE82" s="106"/>
      <c r="HAF82" s="9"/>
      <c r="HAG82" s="106"/>
      <c r="HAH82" s="9"/>
      <c r="HAI82" s="106"/>
      <c r="HAJ82" s="9"/>
      <c r="HAK82" s="106"/>
      <c r="HAL82" s="9"/>
      <c r="HAM82" s="106"/>
      <c r="HAN82" s="9"/>
      <c r="HAO82" s="106"/>
      <c r="HAP82" s="9"/>
      <c r="HAQ82" s="106"/>
      <c r="HAR82" s="9"/>
      <c r="HAS82" s="106"/>
      <c r="HAT82" s="9"/>
      <c r="HAU82" s="106"/>
      <c r="HAV82" s="9"/>
      <c r="HAW82" s="106"/>
      <c r="HAX82" s="9"/>
      <c r="HAY82" s="106"/>
      <c r="HAZ82" s="9"/>
      <c r="HBA82" s="106"/>
      <c r="HBB82" s="9"/>
      <c r="HBC82" s="106"/>
      <c r="HBD82" s="9"/>
      <c r="HBE82" s="106"/>
      <c r="HBF82" s="9"/>
      <c r="HBG82" s="106"/>
      <c r="HBH82" s="9"/>
      <c r="HBI82" s="106"/>
      <c r="HBJ82" s="9"/>
      <c r="HBK82" s="106"/>
      <c r="HBL82" s="9"/>
      <c r="HBM82" s="106"/>
      <c r="HBN82" s="9"/>
      <c r="HBO82" s="106"/>
      <c r="HBP82" s="9"/>
      <c r="HBQ82" s="106"/>
      <c r="HBR82" s="9"/>
      <c r="HBS82" s="106"/>
      <c r="HBT82" s="9"/>
      <c r="HBU82" s="106"/>
      <c r="HBV82" s="9"/>
      <c r="HBW82" s="106"/>
      <c r="HBX82" s="9"/>
      <c r="HBY82" s="106"/>
      <c r="HBZ82" s="9"/>
      <c r="HCA82" s="106"/>
      <c r="HCB82" s="9"/>
      <c r="HCC82" s="106"/>
      <c r="HCD82" s="9"/>
      <c r="HCE82" s="106"/>
      <c r="HCF82" s="9"/>
      <c r="HCG82" s="106"/>
      <c r="HCH82" s="9"/>
      <c r="HCI82" s="106"/>
      <c r="HCJ82" s="9"/>
      <c r="HCK82" s="106"/>
      <c r="HCL82" s="9"/>
      <c r="HCM82" s="106"/>
      <c r="HCN82" s="9"/>
      <c r="HCO82" s="106"/>
      <c r="HCP82" s="9"/>
      <c r="HCQ82" s="106"/>
      <c r="HCR82" s="9"/>
      <c r="HCS82" s="106"/>
      <c r="HCT82" s="9"/>
      <c r="HCU82" s="106"/>
      <c r="HCV82" s="9"/>
      <c r="HCW82" s="106"/>
      <c r="HCX82" s="9"/>
      <c r="HCY82" s="106"/>
      <c r="HCZ82" s="9"/>
      <c r="HDA82" s="106"/>
      <c r="HDB82" s="9"/>
      <c r="HDC82" s="106"/>
      <c r="HDD82" s="9"/>
      <c r="HDE82" s="106"/>
      <c r="HDF82" s="9"/>
      <c r="HDG82" s="106"/>
      <c r="HDH82" s="9"/>
      <c r="HDI82" s="106"/>
      <c r="HDJ82" s="9"/>
      <c r="HDK82" s="106"/>
      <c r="HDL82" s="9"/>
      <c r="HDM82" s="106"/>
      <c r="HDN82" s="9"/>
      <c r="HDO82" s="106"/>
      <c r="HDP82" s="9"/>
      <c r="HDQ82" s="106"/>
      <c r="HDR82" s="9"/>
      <c r="HDS82" s="106"/>
      <c r="HDT82" s="9"/>
      <c r="HDU82" s="106"/>
      <c r="HDV82" s="9"/>
      <c r="HDW82" s="106"/>
      <c r="HDX82" s="9"/>
      <c r="HDY82" s="106"/>
      <c r="HDZ82" s="9"/>
      <c r="HEA82" s="106"/>
      <c r="HEB82" s="9"/>
      <c r="HEC82" s="106"/>
      <c r="HED82" s="9"/>
      <c r="HEE82" s="106"/>
      <c r="HEF82" s="9"/>
      <c r="HEG82" s="106"/>
      <c r="HEH82" s="9"/>
      <c r="HEI82" s="106"/>
      <c r="HEJ82" s="9"/>
      <c r="HEK82" s="106"/>
      <c r="HEL82" s="9"/>
      <c r="HEM82" s="106"/>
      <c r="HEN82" s="9"/>
      <c r="HEO82" s="106"/>
      <c r="HEP82" s="9"/>
      <c r="HEQ82" s="106"/>
      <c r="HER82" s="9"/>
      <c r="HES82" s="106"/>
      <c r="HET82" s="9"/>
      <c r="HEU82" s="106"/>
      <c r="HEV82" s="9"/>
      <c r="HEW82" s="106"/>
      <c r="HEX82" s="9"/>
      <c r="HEY82" s="106"/>
      <c r="HEZ82" s="9"/>
      <c r="HFA82" s="106"/>
      <c r="HFB82" s="9"/>
      <c r="HFC82" s="106"/>
      <c r="HFD82" s="9"/>
      <c r="HFE82" s="106"/>
      <c r="HFF82" s="9"/>
      <c r="HFG82" s="106"/>
      <c r="HFH82" s="9"/>
      <c r="HFI82" s="106"/>
      <c r="HFJ82" s="9"/>
      <c r="HFK82" s="106"/>
      <c r="HFL82" s="9"/>
      <c r="HFM82" s="106"/>
      <c r="HFN82" s="9"/>
      <c r="HFO82" s="106"/>
      <c r="HFP82" s="9"/>
      <c r="HFQ82" s="106"/>
      <c r="HFR82" s="9"/>
      <c r="HFS82" s="106"/>
      <c r="HFT82" s="9"/>
      <c r="HFU82" s="106"/>
      <c r="HFV82" s="9"/>
      <c r="HFW82" s="106"/>
      <c r="HFX82" s="9"/>
      <c r="HFY82" s="106"/>
      <c r="HFZ82" s="9"/>
      <c r="HGA82" s="106"/>
      <c r="HGB82" s="9"/>
      <c r="HGC82" s="106"/>
      <c r="HGD82" s="9"/>
      <c r="HGE82" s="106"/>
      <c r="HGF82" s="9"/>
      <c r="HGG82" s="106"/>
      <c r="HGH82" s="9"/>
      <c r="HGI82" s="106"/>
      <c r="HGJ82" s="9"/>
      <c r="HGK82" s="106"/>
      <c r="HGL82" s="9"/>
      <c r="HGM82" s="106"/>
      <c r="HGN82" s="9"/>
      <c r="HGO82" s="106"/>
      <c r="HGP82" s="9"/>
      <c r="HGQ82" s="106"/>
      <c r="HGR82" s="9"/>
      <c r="HGS82" s="106"/>
      <c r="HGT82" s="9"/>
      <c r="HGU82" s="106"/>
      <c r="HGV82" s="9"/>
      <c r="HGW82" s="106"/>
      <c r="HGX82" s="9"/>
      <c r="HGY82" s="106"/>
      <c r="HGZ82" s="9"/>
      <c r="HHA82" s="106"/>
      <c r="HHB82" s="9"/>
      <c r="HHC82" s="106"/>
      <c r="HHD82" s="9"/>
      <c r="HHE82" s="106"/>
      <c r="HHF82" s="9"/>
      <c r="HHG82" s="106"/>
      <c r="HHH82" s="9"/>
      <c r="HHI82" s="106"/>
      <c r="HHJ82" s="9"/>
      <c r="HHK82" s="106"/>
      <c r="HHL82" s="9"/>
      <c r="HHM82" s="106"/>
      <c r="HHN82" s="9"/>
      <c r="HHO82" s="106"/>
      <c r="HHP82" s="9"/>
      <c r="HHQ82" s="106"/>
      <c r="HHR82" s="9"/>
      <c r="HHS82" s="106"/>
      <c r="HHT82" s="9"/>
      <c r="HHU82" s="106"/>
      <c r="HHV82" s="9"/>
      <c r="HHW82" s="106"/>
      <c r="HHX82" s="9"/>
      <c r="HHY82" s="106"/>
      <c r="HHZ82" s="9"/>
      <c r="HIA82" s="106"/>
      <c r="HIB82" s="9"/>
      <c r="HIC82" s="106"/>
      <c r="HID82" s="9"/>
      <c r="HIE82" s="106"/>
      <c r="HIF82" s="9"/>
      <c r="HIG82" s="106"/>
      <c r="HIH82" s="9"/>
      <c r="HII82" s="106"/>
      <c r="HIJ82" s="9"/>
      <c r="HIK82" s="106"/>
      <c r="HIL82" s="9"/>
      <c r="HIM82" s="106"/>
      <c r="HIN82" s="9"/>
      <c r="HIO82" s="106"/>
      <c r="HIP82" s="9"/>
      <c r="HIQ82" s="106"/>
      <c r="HIR82" s="9"/>
      <c r="HIS82" s="106"/>
      <c r="HIT82" s="9"/>
      <c r="HIU82" s="106"/>
      <c r="HIV82" s="9"/>
      <c r="HIW82" s="106"/>
      <c r="HIX82" s="9"/>
      <c r="HIY82" s="106"/>
      <c r="HIZ82" s="9"/>
      <c r="HJA82" s="106"/>
      <c r="HJB82" s="9"/>
      <c r="HJC82" s="106"/>
      <c r="HJD82" s="9"/>
      <c r="HJE82" s="106"/>
      <c r="HJF82" s="9"/>
      <c r="HJG82" s="106"/>
      <c r="HJH82" s="9"/>
      <c r="HJI82" s="106"/>
      <c r="HJJ82" s="9"/>
      <c r="HJK82" s="106"/>
      <c r="HJL82" s="9"/>
      <c r="HJM82" s="106"/>
      <c r="HJN82" s="9"/>
      <c r="HJO82" s="106"/>
      <c r="HJP82" s="9"/>
      <c r="HJQ82" s="106"/>
      <c r="HJR82" s="9"/>
      <c r="HJS82" s="106"/>
      <c r="HJT82" s="9"/>
      <c r="HJU82" s="106"/>
      <c r="HJV82" s="9"/>
      <c r="HJW82" s="106"/>
      <c r="HJX82" s="9"/>
      <c r="HJY82" s="106"/>
      <c r="HJZ82" s="9"/>
      <c r="HKA82" s="106"/>
      <c r="HKB82" s="9"/>
      <c r="HKC82" s="106"/>
      <c r="HKD82" s="9"/>
      <c r="HKE82" s="106"/>
      <c r="HKF82" s="9"/>
      <c r="HKG82" s="106"/>
      <c r="HKH82" s="9"/>
      <c r="HKI82" s="106"/>
      <c r="HKJ82" s="9"/>
      <c r="HKK82" s="106"/>
      <c r="HKL82" s="9"/>
      <c r="HKM82" s="106"/>
      <c r="HKN82" s="9"/>
      <c r="HKO82" s="106"/>
      <c r="HKP82" s="9"/>
      <c r="HKQ82" s="106"/>
      <c r="HKR82" s="9"/>
      <c r="HKS82" s="106"/>
      <c r="HKT82" s="9"/>
      <c r="HKU82" s="106"/>
      <c r="HKV82" s="9"/>
      <c r="HKW82" s="106"/>
      <c r="HKX82" s="9"/>
      <c r="HKY82" s="106"/>
      <c r="HKZ82" s="9"/>
      <c r="HLA82" s="106"/>
      <c r="HLB82" s="9"/>
      <c r="HLC82" s="106"/>
      <c r="HLD82" s="9"/>
      <c r="HLE82" s="106"/>
      <c r="HLF82" s="9"/>
      <c r="HLG82" s="106"/>
      <c r="HLH82" s="9"/>
      <c r="HLI82" s="106"/>
      <c r="HLJ82" s="9"/>
      <c r="HLK82" s="106"/>
      <c r="HLL82" s="9"/>
      <c r="HLM82" s="106"/>
      <c r="HLN82" s="9"/>
      <c r="HLO82" s="106"/>
      <c r="HLP82" s="9"/>
      <c r="HLQ82" s="106"/>
      <c r="HLR82" s="9"/>
      <c r="HLS82" s="106"/>
      <c r="HLT82" s="9"/>
      <c r="HLU82" s="106"/>
      <c r="HLV82" s="9"/>
      <c r="HLW82" s="106"/>
      <c r="HLX82" s="9"/>
      <c r="HLY82" s="106"/>
      <c r="HLZ82" s="9"/>
      <c r="HMA82" s="106"/>
      <c r="HMB82" s="9"/>
      <c r="HMC82" s="106"/>
      <c r="HMD82" s="9"/>
      <c r="HME82" s="106"/>
      <c r="HMF82" s="9"/>
      <c r="HMG82" s="106"/>
      <c r="HMH82" s="9"/>
      <c r="HMI82" s="106"/>
      <c r="HMJ82" s="9"/>
      <c r="HMK82" s="106"/>
      <c r="HML82" s="9"/>
      <c r="HMM82" s="106"/>
      <c r="HMN82" s="9"/>
      <c r="HMO82" s="106"/>
      <c r="HMP82" s="9"/>
      <c r="HMQ82" s="106"/>
      <c r="HMR82" s="9"/>
      <c r="HMS82" s="106"/>
      <c r="HMT82" s="9"/>
      <c r="HMU82" s="106"/>
      <c r="HMV82" s="9"/>
      <c r="HMW82" s="106"/>
      <c r="HMX82" s="9"/>
      <c r="HMY82" s="106"/>
      <c r="HMZ82" s="9"/>
      <c r="HNA82" s="106"/>
      <c r="HNB82" s="9"/>
      <c r="HNC82" s="106"/>
      <c r="HND82" s="9"/>
      <c r="HNE82" s="106"/>
      <c r="HNF82" s="9"/>
      <c r="HNG82" s="106"/>
      <c r="HNH82" s="9"/>
      <c r="HNI82" s="106"/>
      <c r="HNJ82" s="9"/>
      <c r="HNK82" s="106"/>
      <c r="HNL82" s="9"/>
      <c r="HNM82" s="106"/>
      <c r="HNN82" s="9"/>
      <c r="HNO82" s="106"/>
      <c r="HNP82" s="9"/>
      <c r="HNQ82" s="106"/>
      <c r="HNR82" s="9"/>
      <c r="HNS82" s="106"/>
      <c r="HNT82" s="9"/>
      <c r="HNU82" s="106"/>
      <c r="HNV82" s="9"/>
      <c r="HNW82" s="106"/>
      <c r="HNX82" s="9"/>
      <c r="HNY82" s="106"/>
      <c r="HNZ82" s="9"/>
      <c r="HOA82" s="106"/>
      <c r="HOB82" s="9"/>
      <c r="HOC82" s="106"/>
      <c r="HOD82" s="9"/>
      <c r="HOE82" s="106"/>
      <c r="HOF82" s="9"/>
      <c r="HOG82" s="106"/>
      <c r="HOH82" s="9"/>
      <c r="HOI82" s="106"/>
      <c r="HOJ82" s="9"/>
      <c r="HOK82" s="106"/>
      <c r="HOL82" s="9"/>
      <c r="HOM82" s="106"/>
      <c r="HON82" s="9"/>
      <c r="HOO82" s="106"/>
      <c r="HOP82" s="9"/>
      <c r="HOQ82" s="106"/>
      <c r="HOR82" s="9"/>
      <c r="HOS82" s="106"/>
      <c r="HOT82" s="9"/>
      <c r="HOU82" s="106"/>
      <c r="HOV82" s="9"/>
      <c r="HOW82" s="106"/>
      <c r="HOX82" s="9"/>
      <c r="HOY82" s="106"/>
      <c r="HOZ82" s="9"/>
      <c r="HPA82" s="106"/>
      <c r="HPB82" s="9"/>
      <c r="HPC82" s="106"/>
      <c r="HPD82" s="9"/>
      <c r="HPE82" s="106"/>
      <c r="HPF82" s="9"/>
      <c r="HPG82" s="106"/>
      <c r="HPH82" s="9"/>
      <c r="HPI82" s="106"/>
      <c r="HPJ82" s="9"/>
      <c r="HPK82" s="106"/>
      <c r="HPL82" s="9"/>
      <c r="HPM82" s="106"/>
      <c r="HPN82" s="9"/>
      <c r="HPO82" s="106"/>
      <c r="HPP82" s="9"/>
      <c r="HPQ82" s="106"/>
      <c r="HPR82" s="9"/>
      <c r="HPS82" s="106"/>
      <c r="HPT82" s="9"/>
      <c r="HPU82" s="106"/>
      <c r="HPV82" s="9"/>
      <c r="HPW82" s="106"/>
      <c r="HPX82" s="9"/>
      <c r="HPY82" s="106"/>
      <c r="HPZ82" s="9"/>
      <c r="HQA82" s="106"/>
      <c r="HQB82" s="9"/>
      <c r="HQC82" s="106"/>
      <c r="HQD82" s="9"/>
      <c r="HQE82" s="106"/>
      <c r="HQF82" s="9"/>
      <c r="HQG82" s="106"/>
      <c r="HQH82" s="9"/>
      <c r="HQI82" s="106"/>
      <c r="HQJ82" s="9"/>
      <c r="HQK82" s="106"/>
      <c r="HQL82" s="9"/>
      <c r="HQM82" s="106"/>
      <c r="HQN82" s="9"/>
      <c r="HQO82" s="106"/>
      <c r="HQP82" s="9"/>
      <c r="HQQ82" s="106"/>
      <c r="HQR82" s="9"/>
      <c r="HQS82" s="106"/>
      <c r="HQT82" s="9"/>
      <c r="HQU82" s="106"/>
      <c r="HQV82" s="9"/>
      <c r="HQW82" s="106"/>
      <c r="HQX82" s="9"/>
      <c r="HQY82" s="106"/>
      <c r="HQZ82" s="9"/>
      <c r="HRA82" s="106"/>
      <c r="HRB82" s="9"/>
      <c r="HRC82" s="106"/>
      <c r="HRD82" s="9"/>
      <c r="HRE82" s="106"/>
      <c r="HRF82" s="9"/>
      <c r="HRG82" s="106"/>
      <c r="HRH82" s="9"/>
      <c r="HRI82" s="106"/>
      <c r="HRJ82" s="9"/>
      <c r="HRK82" s="106"/>
      <c r="HRL82" s="9"/>
      <c r="HRM82" s="106"/>
      <c r="HRN82" s="9"/>
      <c r="HRO82" s="106"/>
      <c r="HRP82" s="9"/>
      <c r="HRQ82" s="106"/>
      <c r="HRR82" s="9"/>
      <c r="HRS82" s="106"/>
      <c r="HRT82" s="9"/>
      <c r="HRU82" s="106"/>
      <c r="HRV82" s="9"/>
      <c r="HRW82" s="106"/>
      <c r="HRX82" s="9"/>
      <c r="HRY82" s="106"/>
      <c r="HRZ82" s="9"/>
      <c r="HSA82" s="106"/>
      <c r="HSB82" s="9"/>
      <c r="HSC82" s="106"/>
      <c r="HSD82" s="9"/>
      <c r="HSE82" s="106"/>
      <c r="HSF82" s="9"/>
      <c r="HSG82" s="106"/>
      <c r="HSH82" s="9"/>
      <c r="HSI82" s="106"/>
      <c r="HSJ82" s="9"/>
      <c r="HSK82" s="106"/>
      <c r="HSL82" s="9"/>
      <c r="HSM82" s="106"/>
      <c r="HSN82" s="9"/>
      <c r="HSO82" s="106"/>
      <c r="HSP82" s="9"/>
      <c r="HSQ82" s="106"/>
      <c r="HSR82" s="9"/>
      <c r="HSS82" s="106"/>
      <c r="HST82" s="9"/>
      <c r="HSU82" s="106"/>
      <c r="HSV82" s="9"/>
      <c r="HSW82" s="106"/>
      <c r="HSX82" s="9"/>
      <c r="HSY82" s="106"/>
      <c r="HSZ82" s="9"/>
      <c r="HTA82" s="106"/>
      <c r="HTB82" s="9"/>
      <c r="HTC82" s="106"/>
      <c r="HTD82" s="9"/>
      <c r="HTE82" s="106"/>
      <c r="HTF82" s="9"/>
      <c r="HTG82" s="106"/>
      <c r="HTH82" s="9"/>
      <c r="HTI82" s="106"/>
      <c r="HTJ82" s="9"/>
      <c r="HTK82" s="106"/>
      <c r="HTL82" s="9"/>
      <c r="HTM82" s="106"/>
      <c r="HTN82" s="9"/>
      <c r="HTO82" s="106"/>
      <c r="HTP82" s="9"/>
      <c r="HTQ82" s="106"/>
      <c r="HTR82" s="9"/>
      <c r="HTS82" s="106"/>
      <c r="HTT82" s="9"/>
      <c r="HTU82" s="106"/>
      <c r="HTV82" s="9"/>
      <c r="HTW82" s="106"/>
      <c r="HTX82" s="9"/>
      <c r="HTY82" s="106"/>
      <c r="HTZ82" s="9"/>
      <c r="HUA82" s="106"/>
      <c r="HUB82" s="9"/>
      <c r="HUC82" s="106"/>
      <c r="HUD82" s="9"/>
      <c r="HUE82" s="106"/>
      <c r="HUF82" s="9"/>
      <c r="HUG82" s="106"/>
      <c r="HUH82" s="9"/>
      <c r="HUI82" s="106"/>
      <c r="HUJ82" s="9"/>
      <c r="HUK82" s="106"/>
      <c r="HUL82" s="9"/>
      <c r="HUM82" s="106"/>
      <c r="HUN82" s="9"/>
      <c r="HUO82" s="106"/>
      <c r="HUP82" s="9"/>
      <c r="HUQ82" s="106"/>
      <c r="HUR82" s="9"/>
      <c r="HUS82" s="106"/>
      <c r="HUT82" s="9"/>
      <c r="HUU82" s="106"/>
      <c r="HUV82" s="9"/>
      <c r="HUW82" s="106"/>
      <c r="HUX82" s="9"/>
      <c r="HUY82" s="106"/>
      <c r="HUZ82" s="9"/>
      <c r="HVA82" s="106"/>
      <c r="HVB82" s="9"/>
      <c r="HVC82" s="106"/>
      <c r="HVD82" s="9"/>
      <c r="HVE82" s="106"/>
      <c r="HVF82" s="9"/>
      <c r="HVG82" s="106"/>
      <c r="HVH82" s="9"/>
      <c r="HVI82" s="106"/>
      <c r="HVJ82" s="9"/>
      <c r="HVK82" s="106"/>
      <c r="HVL82" s="9"/>
      <c r="HVM82" s="106"/>
      <c r="HVN82" s="9"/>
      <c r="HVO82" s="106"/>
      <c r="HVP82" s="9"/>
      <c r="HVQ82" s="106"/>
      <c r="HVR82" s="9"/>
      <c r="HVS82" s="106"/>
      <c r="HVT82" s="9"/>
      <c r="HVU82" s="106"/>
      <c r="HVV82" s="9"/>
      <c r="HVW82" s="106"/>
      <c r="HVX82" s="9"/>
      <c r="HVY82" s="106"/>
      <c r="HVZ82" s="9"/>
      <c r="HWA82" s="106"/>
      <c r="HWB82" s="9"/>
      <c r="HWC82" s="106"/>
      <c r="HWD82" s="9"/>
      <c r="HWE82" s="106"/>
      <c r="HWF82" s="9"/>
      <c r="HWG82" s="106"/>
      <c r="HWH82" s="9"/>
      <c r="HWI82" s="106"/>
      <c r="HWJ82" s="9"/>
      <c r="HWK82" s="106"/>
      <c r="HWL82" s="9"/>
      <c r="HWM82" s="106"/>
      <c r="HWN82" s="9"/>
      <c r="HWO82" s="106"/>
      <c r="HWP82" s="9"/>
      <c r="HWQ82" s="106"/>
      <c r="HWR82" s="9"/>
      <c r="HWS82" s="106"/>
      <c r="HWT82" s="9"/>
      <c r="HWU82" s="106"/>
      <c r="HWV82" s="9"/>
      <c r="HWW82" s="106"/>
      <c r="HWX82" s="9"/>
      <c r="HWY82" s="106"/>
      <c r="HWZ82" s="9"/>
      <c r="HXA82" s="106"/>
      <c r="HXB82" s="9"/>
      <c r="HXC82" s="106"/>
      <c r="HXD82" s="9"/>
      <c r="HXE82" s="106"/>
      <c r="HXF82" s="9"/>
      <c r="HXG82" s="106"/>
      <c r="HXH82" s="9"/>
      <c r="HXI82" s="106"/>
      <c r="HXJ82" s="9"/>
      <c r="HXK82" s="106"/>
      <c r="HXL82" s="9"/>
      <c r="HXM82" s="106"/>
      <c r="HXN82" s="9"/>
      <c r="HXO82" s="106"/>
      <c r="HXP82" s="9"/>
      <c r="HXQ82" s="106"/>
      <c r="HXR82" s="9"/>
      <c r="HXS82" s="106"/>
      <c r="HXT82" s="9"/>
      <c r="HXU82" s="106"/>
      <c r="HXV82" s="9"/>
      <c r="HXW82" s="106"/>
      <c r="HXX82" s="9"/>
      <c r="HXY82" s="106"/>
      <c r="HXZ82" s="9"/>
      <c r="HYA82" s="106"/>
      <c r="HYB82" s="9"/>
      <c r="HYC82" s="106"/>
      <c r="HYD82" s="9"/>
      <c r="HYE82" s="106"/>
      <c r="HYF82" s="9"/>
      <c r="HYG82" s="106"/>
      <c r="HYH82" s="9"/>
      <c r="HYI82" s="106"/>
      <c r="HYJ82" s="9"/>
      <c r="HYK82" s="106"/>
      <c r="HYL82" s="9"/>
      <c r="HYM82" s="106"/>
      <c r="HYN82" s="9"/>
      <c r="HYO82" s="106"/>
      <c r="HYP82" s="9"/>
      <c r="HYQ82" s="106"/>
      <c r="HYR82" s="9"/>
      <c r="HYS82" s="106"/>
      <c r="HYT82" s="9"/>
      <c r="HYU82" s="106"/>
      <c r="HYV82" s="9"/>
      <c r="HYW82" s="106"/>
      <c r="HYX82" s="9"/>
      <c r="HYY82" s="106"/>
      <c r="HYZ82" s="9"/>
      <c r="HZA82" s="106"/>
      <c r="HZB82" s="9"/>
      <c r="HZC82" s="106"/>
      <c r="HZD82" s="9"/>
      <c r="HZE82" s="106"/>
      <c r="HZF82" s="9"/>
      <c r="HZG82" s="106"/>
      <c r="HZH82" s="9"/>
      <c r="HZI82" s="106"/>
      <c r="HZJ82" s="9"/>
      <c r="HZK82" s="106"/>
      <c r="HZL82" s="9"/>
      <c r="HZM82" s="106"/>
      <c r="HZN82" s="9"/>
      <c r="HZO82" s="106"/>
      <c r="HZP82" s="9"/>
      <c r="HZQ82" s="106"/>
      <c r="HZR82" s="9"/>
      <c r="HZS82" s="106"/>
      <c r="HZT82" s="9"/>
      <c r="HZU82" s="106"/>
      <c r="HZV82" s="9"/>
      <c r="HZW82" s="106"/>
      <c r="HZX82" s="9"/>
      <c r="HZY82" s="106"/>
      <c r="HZZ82" s="9"/>
      <c r="IAA82" s="106"/>
      <c r="IAB82" s="9"/>
      <c r="IAC82" s="106"/>
      <c r="IAD82" s="9"/>
      <c r="IAE82" s="106"/>
      <c r="IAF82" s="9"/>
      <c r="IAG82" s="106"/>
      <c r="IAH82" s="9"/>
      <c r="IAI82" s="106"/>
      <c r="IAJ82" s="9"/>
      <c r="IAK82" s="106"/>
      <c r="IAL82" s="9"/>
      <c r="IAM82" s="106"/>
      <c r="IAN82" s="9"/>
      <c r="IAO82" s="106"/>
      <c r="IAP82" s="9"/>
      <c r="IAQ82" s="106"/>
      <c r="IAR82" s="9"/>
      <c r="IAS82" s="106"/>
      <c r="IAT82" s="9"/>
      <c r="IAU82" s="106"/>
      <c r="IAV82" s="9"/>
      <c r="IAW82" s="106"/>
      <c r="IAX82" s="9"/>
      <c r="IAY82" s="106"/>
      <c r="IAZ82" s="9"/>
      <c r="IBA82" s="106"/>
      <c r="IBB82" s="9"/>
      <c r="IBC82" s="106"/>
      <c r="IBD82" s="9"/>
      <c r="IBE82" s="106"/>
      <c r="IBF82" s="9"/>
      <c r="IBG82" s="106"/>
      <c r="IBH82" s="9"/>
      <c r="IBI82" s="106"/>
      <c r="IBJ82" s="9"/>
      <c r="IBK82" s="106"/>
      <c r="IBL82" s="9"/>
      <c r="IBM82" s="106"/>
      <c r="IBN82" s="9"/>
      <c r="IBO82" s="106"/>
      <c r="IBP82" s="9"/>
      <c r="IBQ82" s="106"/>
      <c r="IBR82" s="9"/>
      <c r="IBS82" s="106"/>
      <c r="IBT82" s="9"/>
      <c r="IBU82" s="106"/>
      <c r="IBV82" s="9"/>
      <c r="IBW82" s="106"/>
      <c r="IBX82" s="9"/>
      <c r="IBY82" s="106"/>
      <c r="IBZ82" s="9"/>
      <c r="ICA82" s="106"/>
      <c r="ICB82" s="9"/>
      <c r="ICC82" s="106"/>
      <c r="ICD82" s="9"/>
      <c r="ICE82" s="106"/>
      <c r="ICF82" s="9"/>
      <c r="ICG82" s="106"/>
      <c r="ICH82" s="9"/>
      <c r="ICI82" s="106"/>
      <c r="ICJ82" s="9"/>
      <c r="ICK82" s="106"/>
      <c r="ICL82" s="9"/>
      <c r="ICM82" s="106"/>
      <c r="ICN82" s="9"/>
      <c r="ICO82" s="106"/>
      <c r="ICP82" s="9"/>
      <c r="ICQ82" s="106"/>
      <c r="ICR82" s="9"/>
      <c r="ICS82" s="106"/>
      <c r="ICT82" s="9"/>
      <c r="ICU82" s="106"/>
      <c r="ICV82" s="9"/>
      <c r="ICW82" s="106"/>
      <c r="ICX82" s="9"/>
      <c r="ICY82" s="106"/>
      <c r="ICZ82" s="9"/>
      <c r="IDA82" s="106"/>
      <c r="IDB82" s="9"/>
      <c r="IDC82" s="106"/>
      <c r="IDD82" s="9"/>
      <c r="IDE82" s="106"/>
      <c r="IDF82" s="9"/>
      <c r="IDG82" s="106"/>
      <c r="IDH82" s="9"/>
      <c r="IDI82" s="106"/>
      <c r="IDJ82" s="9"/>
      <c r="IDK82" s="106"/>
      <c r="IDL82" s="9"/>
      <c r="IDM82" s="106"/>
      <c r="IDN82" s="9"/>
      <c r="IDO82" s="106"/>
      <c r="IDP82" s="9"/>
      <c r="IDQ82" s="106"/>
      <c r="IDR82" s="9"/>
      <c r="IDS82" s="106"/>
      <c r="IDT82" s="9"/>
      <c r="IDU82" s="106"/>
      <c r="IDV82" s="9"/>
      <c r="IDW82" s="106"/>
      <c r="IDX82" s="9"/>
      <c r="IDY82" s="106"/>
      <c r="IDZ82" s="9"/>
      <c r="IEA82" s="106"/>
      <c r="IEB82" s="9"/>
      <c r="IEC82" s="106"/>
      <c r="IED82" s="9"/>
      <c r="IEE82" s="106"/>
      <c r="IEF82" s="9"/>
      <c r="IEG82" s="106"/>
      <c r="IEH82" s="9"/>
      <c r="IEI82" s="106"/>
      <c r="IEJ82" s="9"/>
      <c r="IEK82" s="106"/>
      <c r="IEL82" s="9"/>
      <c r="IEM82" s="106"/>
      <c r="IEN82" s="9"/>
      <c r="IEO82" s="106"/>
      <c r="IEP82" s="9"/>
      <c r="IEQ82" s="106"/>
      <c r="IER82" s="9"/>
      <c r="IES82" s="106"/>
      <c r="IET82" s="9"/>
      <c r="IEU82" s="106"/>
      <c r="IEV82" s="9"/>
      <c r="IEW82" s="106"/>
      <c r="IEX82" s="9"/>
      <c r="IEY82" s="106"/>
      <c r="IEZ82" s="9"/>
      <c r="IFA82" s="106"/>
      <c r="IFB82" s="9"/>
      <c r="IFC82" s="106"/>
      <c r="IFD82" s="9"/>
      <c r="IFE82" s="106"/>
      <c r="IFF82" s="9"/>
      <c r="IFG82" s="106"/>
      <c r="IFH82" s="9"/>
      <c r="IFI82" s="106"/>
      <c r="IFJ82" s="9"/>
      <c r="IFK82" s="106"/>
      <c r="IFL82" s="9"/>
      <c r="IFM82" s="106"/>
      <c r="IFN82" s="9"/>
      <c r="IFO82" s="106"/>
      <c r="IFP82" s="9"/>
      <c r="IFQ82" s="106"/>
      <c r="IFR82" s="9"/>
      <c r="IFS82" s="106"/>
      <c r="IFT82" s="9"/>
      <c r="IFU82" s="106"/>
      <c r="IFV82" s="9"/>
      <c r="IFW82" s="106"/>
      <c r="IFX82" s="9"/>
      <c r="IFY82" s="106"/>
      <c r="IFZ82" s="9"/>
      <c r="IGA82" s="106"/>
      <c r="IGB82" s="9"/>
      <c r="IGC82" s="106"/>
      <c r="IGD82" s="9"/>
      <c r="IGE82" s="106"/>
      <c r="IGF82" s="9"/>
      <c r="IGG82" s="106"/>
      <c r="IGH82" s="9"/>
      <c r="IGI82" s="106"/>
      <c r="IGJ82" s="9"/>
      <c r="IGK82" s="106"/>
      <c r="IGL82" s="9"/>
      <c r="IGM82" s="106"/>
      <c r="IGN82" s="9"/>
      <c r="IGO82" s="106"/>
      <c r="IGP82" s="9"/>
      <c r="IGQ82" s="106"/>
      <c r="IGR82" s="9"/>
      <c r="IGS82" s="106"/>
      <c r="IGT82" s="9"/>
      <c r="IGU82" s="106"/>
      <c r="IGV82" s="9"/>
      <c r="IGW82" s="106"/>
      <c r="IGX82" s="9"/>
      <c r="IGY82" s="106"/>
      <c r="IGZ82" s="9"/>
      <c r="IHA82" s="106"/>
      <c r="IHB82" s="9"/>
      <c r="IHC82" s="106"/>
      <c r="IHD82" s="9"/>
      <c r="IHE82" s="106"/>
      <c r="IHF82" s="9"/>
      <c r="IHG82" s="106"/>
      <c r="IHH82" s="9"/>
      <c r="IHI82" s="106"/>
      <c r="IHJ82" s="9"/>
      <c r="IHK82" s="106"/>
      <c r="IHL82" s="9"/>
      <c r="IHM82" s="106"/>
      <c r="IHN82" s="9"/>
      <c r="IHO82" s="106"/>
      <c r="IHP82" s="9"/>
      <c r="IHQ82" s="106"/>
      <c r="IHR82" s="9"/>
      <c r="IHS82" s="106"/>
      <c r="IHT82" s="9"/>
      <c r="IHU82" s="106"/>
      <c r="IHV82" s="9"/>
      <c r="IHW82" s="106"/>
      <c r="IHX82" s="9"/>
      <c r="IHY82" s="106"/>
      <c r="IHZ82" s="9"/>
      <c r="IIA82" s="106"/>
      <c r="IIB82" s="9"/>
      <c r="IIC82" s="106"/>
      <c r="IID82" s="9"/>
      <c r="IIE82" s="106"/>
      <c r="IIF82" s="9"/>
      <c r="IIG82" s="106"/>
      <c r="IIH82" s="9"/>
      <c r="III82" s="106"/>
      <c r="IIJ82" s="9"/>
      <c r="IIK82" s="106"/>
      <c r="IIL82" s="9"/>
      <c r="IIM82" s="106"/>
      <c r="IIN82" s="9"/>
      <c r="IIO82" s="106"/>
      <c r="IIP82" s="9"/>
      <c r="IIQ82" s="106"/>
      <c r="IIR82" s="9"/>
      <c r="IIS82" s="106"/>
      <c r="IIT82" s="9"/>
      <c r="IIU82" s="106"/>
      <c r="IIV82" s="9"/>
      <c r="IIW82" s="106"/>
      <c r="IIX82" s="9"/>
      <c r="IIY82" s="106"/>
      <c r="IIZ82" s="9"/>
      <c r="IJA82" s="106"/>
      <c r="IJB82" s="9"/>
      <c r="IJC82" s="106"/>
      <c r="IJD82" s="9"/>
      <c r="IJE82" s="106"/>
      <c r="IJF82" s="9"/>
      <c r="IJG82" s="106"/>
      <c r="IJH82" s="9"/>
      <c r="IJI82" s="106"/>
      <c r="IJJ82" s="9"/>
      <c r="IJK82" s="106"/>
      <c r="IJL82" s="9"/>
      <c r="IJM82" s="106"/>
      <c r="IJN82" s="9"/>
      <c r="IJO82" s="106"/>
      <c r="IJP82" s="9"/>
      <c r="IJQ82" s="106"/>
      <c r="IJR82" s="9"/>
      <c r="IJS82" s="106"/>
      <c r="IJT82" s="9"/>
      <c r="IJU82" s="106"/>
      <c r="IJV82" s="9"/>
      <c r="IJW82" s="106"/>
      <c r="IJX82" s="9"/>
      <c r="IJY82" s="106"/>
      <c r="IJZ82" s="9"/>
      <c r="IKA82" s="106"/>
      <c r="IKB82" s="9"/>
      <c r="IKC82" s="106"/>
      <c r="IKD82" s="9"/>
      <c r="IKE82" s="106"/>
      <c r="IKF82" s="9"/>
      <c r="IKG82" s="106"/>
      <c r="IKH82" s="9"/>
      <c r="IKI82" s="106"/>
      <c r="IKJ82" s="9"/>
      <c r="IKK82" s="106"/>
      <c r="IKL82" s="9"/>
      <c r="IKM82" s="106"/>
      <c r="IKN82" s="9"/>
      <c r="IKO82" s="106"/>
      <c r="IKP82" s="9"/>
      <c r="IKQ82" s="106"/>
      <c r="IKR82" s="9"/>
      <c r="IKS82" s="106"/>
      <c r="IKT82" s="9"/>
      <c r="IKU82" s="106"/>
      <c r="IKV82" s="9"/>
      <c r="IKW82" s="106"/>
      <c r="IKX82" s="9"/>
      <c r="IKY82" s="106"/>
      <c r="IKZ82" s="9"/>
      <c r="ILA82" s="106"/>
      <c r="ILB82" s="9"/>
      <c r="ILC82" s="106"/>
      <c r="ILD82" s="9"/>
      <c r="ILE82" s="106"/>
      <c r="ILF82" s="9"/>
      <c r="ILG82" s="106"/>
      <c r="ILH82" s="9"/>
      <c r="ILI82" s="106"/>
      <c r="ILJ82" s="9"/>
      <c r="ILK82" s="106"/>
      <c r="ILL82" s="9"/>
      <c r="ILM82" s="106"/>
      <c r="ILN82" s="9"/>
      <c r="ILO82" s="106"/>
      <c r="ILP82" s="9"/>
      <c r="ILQ82" s="106"/>
      <c r="ILR82" s="9"/>
      <c r="ILS82" s="106"/>
      <c r="ILT82" s="9"/>
      <c r="ILU82" s="106"/>
      <c r="ILV82" s="9"/>
      <c r="ILW82" s="106"/>
      <c r="ILX82" s="9"/>
      <c r="ILY82" s="106"/>
      <c r="ILZ82" s="9"/>
      <c r="IMA82" s="106"/>
      <c r="IMB82" s="9"/>
      <c r="IMC82" s="106"/>
      <c r="IMD82" s="9"/>
      <c r="IME82" s="106"/>
      <c r="IMF82" s="9"/>
      <c r="IMG82" s="106"/>
      <c r="IMH82" s="9"/>
      <c r="IMI82" s="106"/>
      <c r="IMJ82" s="9"/>
      <c r="IMK82" s="106"/>
      <c r="IML82" s="9"/>
      <c r="IMM82" s="106"/>
      <c r="IMN82" s="9"/>
      <c r="IMO82" s="106"/>
      <c r="IMP82" s="9"/>
      <c r="IMQ82" s="106"/>
      <c r="IMR82" s="9"/>
      <c r="IMS82" s="106"/>
      <c r="IMT82" s="9"/>
      <c r="IMU82" s="106"/>
      <c r="IMV82" s="9"/>
      <c r="IMW82" s="106"/>
      <c r="IMX82" s="9"/>
      <c r="IMY82" s="106"/>
      <c r="IMZ82" s="9"/>
      <c r="INA82" s="106"/>
      <c r="INB82" s="9"/>
      <c r="INC82" s="106"/>
      <c r="IND82" s="9"/>
      <c r="INE82" s="106"/>
      <c r="INF82" s="9"/>
      <c r="ING82" s="106"/>
      <c r="INH82" s="9"/>
      <c r="INI82" s="106"/>
      <c r="INJ82" s="9"/>
      <c r="INK82" s="106"/>
      <c r="INL82" s="9"/>
      <c r="INM82" s="106"/>
      <c r="INN82" s="9"/>
      <c r="INO82" s="106"/>
      <c r="INP82" s="9"/>
      <c r="INQ82" s="106"/>
      <c r="INR82" s="9"/>
      <c r="INS82" s="106"/>
      <c r="INT82" s="9"/>
      <c r="INU82" s="106"/>
      <c r="INV82" s="9"/>
      <c r="INW82" s="106"/>
      <c r="INX82" s="9"/>
      <c r="INY82" s="106"/>
      <c r="INZ82" s="9"/>
      <c r="IOA82" s="106"/>
      <c r="IOB82" s="9"/>
      <c r="IOC82" s="106"/>
      <c r="IOD82" s="9"/>
      <c r="IOE82" s="106"/>
      <c r="IOF82" s="9"/>
      <c r="IOG82" s="106"/>
      <c r="IOH82" s="9"/>
      <c r="IOI82" s="106"/>
      <c r="IOJ82" s="9"/>
      <c r="IOK82" s="106"/>
      <c r="IOL82" s="9"/>
      <c r="IOM82" s="106"/>
      <c r="ION82" s="9"/>
      <c r="IOO82" s="106"/>
      <c r="IOP82" s="9"/>
      <c r="IOQ82" s="106"/>
      <c r="IOR82" s="9"/>
      <c r="IOS82" s="106"/>
      <c r="IOT82" s="9"/>
      <c r="IOU82" s="106"/>
      <c r="IOV82" s="9"/>
      <c r="IOW82" s="106"/>
      <c r="IOX82" s="9"/>
      <c r="IOY82" s="106"/>
      <c r="IOZ82" s="9"/>
      <c r="IPA82" s="106"/>
      <c r="IPB82" s="9"/>
      <c r="IPC82" s="106"/>
      <c r="IPD82" s="9"/>
      <c r="IPE82" s="106"/>
      <c r="IPF82" s="9"/>
      <c r="IPG82" s="106"/>
      <c r="IPH82" s="9"/>
      <c r="IPI82" s="106"/>
      <c r="IPJ82" s="9"/>
      <c r="IPK82" s="106"/>
      <c r="IPL82" s="9"/>
      <c r="IPM82" s="106"/>
      <c r="IPN82" s="9"/>
      <c r="IPO82" s="106"/>
      <c r="IPP82" s="9"/>
      <c r="IPQ82" s="106"/>
      <c r="IPR82" s="9"/>
      <c r="IPS82" s="106"/>
      <c r="IPT82" s="9"/>
      <c r="IPU82" s="106"/>
      <c r="IPV82" s="9"/>
      <c r="IPW82" s="106"/>
      <c r="IPX82" s="9"/>
      <c r="IPY82" s="106"/>
      <c r="IPZ82" s="9"/>
      <c r="IQA82" s="106"/>
      <c r="IQB82" s="9"/>
      <c r="IQC82" s="106"/>
      <c r="IQD82" s="9"/>
      <c r="IQE82" s="106"/>
      <c r="IQF82" s="9"/>
      <c r="IQG82" s="106"/>
      <c r="IQH82" s="9"/>
      <c r="IQI82" s="106"/>
      <c r="IQJ82" s="9"/>
      <c r="IQK82" s="106"/>
      <c r="IQL82" s="9"/>
      <c r="IQM82" s="106"/>
      <c r="IQN82" s="9"/>
      <c r="IQO82" s="106"/>
      <c r="IQP82" s="9"/>
      <c r="IQQ82" s="106"/>
      <c r="IQR82" s="9"/>
      <c r="IQS82" s="106"/>
      <c r="IQT82" s="9"/>
      <c r="IQU82" s="106"/>
      <c r="IQV82" s="9"/>
      <c r="IQW82" s="106"/>
      <c r="IQX82" s="9"/>
      <c r="IQY82" s="106"/>
      <c r="IQZ82" s="9"/>
      <c r="IRA82" s="106"/>
      <c r="IRB82" s="9"/>
      <c r="IRC82" s="106"/>
      <c r="IRD82" s="9"/>
      <c r="IRE82" s="106"/>
      <c r="IRF82" s="9"/>
      <c r="IRG82" s="106"/>
      <c r="IRH82" s="9"/>
      <c r="IRI82" s="106"/>
      <c r="IRJ82" s="9"/>
      <c r="IRK82" s="106"/>
      <c r="IRL82" s="9"/>
      <c r="IRM82" s="106"/>
      <c r="IRN82" s="9"/>
      <c r="IRO82" s="106"/>
      <c r="IRP82" s="9"/>
      <c r="IRQ82" s="106"/>
      <c r="IRR82" s="9"/>
      <c r="IRS82" s="106"/>
      <c r="IRT82" s="9"/>
      <c r="IRU82" s="106"/>
      <c r="IRV82" s="9"/>
      <c r="IRW82" s="106"/>
      <c r="IRX82" s="9"/>
      <c r="IRY82" s="106"/>
      <c r="IRZ82" s="9"/>
      <c r="ISA82" s="106"/>
      <c r="ISB82" s="9"/>
      <c r="ISC82" s="106"/>
      <c r="ISD82" s="9"/>
      <c r="ISE82" s="106"/>
      <c r="ISF82" s="9"/>
      <c r="ISG82" s="106"/>
      <c r="ISH82" s="9"/>
      <c r="ISI82" s="106"/>
      <c r="ISJ82" s="9"/>
      <c r="ISK82" s="106"/>
      <c r="ISL82" s="9"/>
      <c r="ISM82" s="106"/>
      <c r="ISN82" s="9"/>
      <c r="ISO82" s="106"/>
      <c r="ISP82" s="9"/>
      <c r="ISQ82" s="106"/>
      <c r="ISR82" s="9"/>
      <c r="ISS82" s="106"/>
      <c r="IST82" s="9"/>
      <c r="ISU82" s="106"/>
      <c r="ISV82" s="9"/>
      <c r="ISW82" s="106"/>
      <c r="ISX82" s="9"/>
      <c r="ISY82" s="106"/>
      <c r="ISZ82" s="9"/>
      <c r="ITA82" s="106"/>
      <c r="ITB82" s="9"/>
      <c r="ITC82" s="106"/>
      <c r="ITD82" s="9"/>
      <c r="ITE82" s="106"/>
      <c r="ITF82" s="9"/>
      <c r="ITG82" s="106"/>
      <c r="ITH82" s="9"/>
      <c r="ITI82" s="106"/>
      <c r="ITJ82" s="9"/>
      <c r="ITK82" s="106"/>
      <c r="ITL82" s="9"/>
      <c r="ITM82" s="106"/>
      <c r="ITN82" s="9"/>
      <c r="ITO82" s="106"/>
      <c r="ITP82" s="9"/>
      <c r="ITQ82" s="106"/>
      <c r="ITR82" s="9"/>
      <c r="ITS82" s="106"/>
      <c r="ITT82" s="9"/>
      <c r="ITU82" s="106"/>
      <c r="ITV82" s="9"/>
      <c r="ITW82" s="106"/>
      <c r="ITX82" s="9"/>
      <c r="ITY82" s="106"/>
      <c r="ITZ82" s="9"/>
      <c r="IUA82" s="106"/>
      <c r="IUB82" s="9"/>
      <c r="IUC82" s="106"/>
      <c r="IUD82" s="9"/>
      <c r="IUE82" s="106"/>
      <c r="IUF82" s="9"/>
      <c r="IUG82" s="106"/>
      <c r="IUH82" s="9"/>
      <c r="IUI82" s="106"/>
      <c r="IUJ82" s="9"/>
      <c r="IUK82" s="106"/>
      <c r="IUL82" s="9"/>
      <c r="IUM82" s="106"/>
      <c r="IUN82" s="9"/>
      <c r="IUO82" s="106"/>
      <c r="IUP82" s="9"/>
      <c r="IUQ82" s="106"/>
      <c r="IUR82" s="9"/>
      <c r="IUS82" s="106"/>
      <c r="IUT82" s="9"/>
      <c r="IUU82" s="106"/>
      <c r="IUV82" s="9"/>
      <c r="IUW82" s="106"/>
      <c r="IUX82" s="9"/>
      <c r="IUY82" s="106"/>
      <c r="IUZ82" s="9"/>
      <c r="IVA82" s="106"/>
      <c r="IVB82" s="9"/>
      <c r="IVC82" s="106"/>
      <c r="IVD82" s="9"/>
      <c r="IVE82" s="106"/>
      <c r="IVF82" s="9"/>
      <c r="IVG82" s="106"/>
      <c r="IVH82" s="9"/>
      <c r="IVI82" s="106"/>
      <c r="IVJ82" s="9"/>
      <c r="IVK82" s="106"/>
      <c r="IVL82" s="9"/>
      <c r="IVM82" s="106"/>
      <c r="IVN82" s="9"/>
      <c r="IVO82" s="106"/>
      <c r="IVP82" s="9"/>
      <c r="IVQ82" s="106"/>
      <c r="IVR82" s="9"/>
      <c r="IVS82" s="106"/>
      <c r="IVT82" s="9"/>
      <c r="IVU82" s="106"/>
      <c r="IVV82" s="9"/>
      <c r="IVW82" s="106"/>
      <c r="IVX82" s="9"/>
      <c r="IVY82" s="106"/>
      <c r="IVZ82" s="9"/>
      <c r="IWA82" s="106"/>
      <c r="IWB82" s="9"/>
      <c r="IWC82" s="106"/>
      <c r="IWD82" s="9"/>
      <c r="IWE82" s="106"/>
      <c r="IWF82" s="9"/>
      <c r="IWG82" s="106"/>
      <c r="IWH82" s="9"/>
      <c r="IWI82" s="106"/>
      <c r="IWJ82" s="9"/>
      <c r="IWK82" s="106"/>
      <c r="IWL82" s="9"/>
      <c r="IWM82" s="106"/>
      <c r="IWN82" s="9"/>
      <c r="IWO82" s="106"/>
      <c r="IWP82" s="9"/>
      <c r="IWQ82" s="106"/>
      <c r="IWR82" s="9"/>
      <c r="IWS82" s="106"/>
      <c r="IWT82" s="9"/>
      <c r="IWU82" s="106"/>
      <c r="IWV82" s="9"/>
      <c r="IWW82" s="106"/>
      <c r="IWX82" s="9"/>
      <c r="IWY82" s="106"/>
      <c r="IWZ82" s="9"/>
      <c r="IXA82" s="106"/>
      <c r="IXB82" s="9"/>
      <c r="IXC82" s="106"/>
      <c r="IXD82" s="9"/>
      <c r="IXE82" s="106"/>
      <c r="IXF82" s="9"/>
      <c r="IXG82" s="106"/>
      <c r="IXH82" s="9"/>
      <c r="IXI82" s="106"/>
      <c r="IXJ82" s="9"/>
      <c r="IXK82" s="106"/>
      <c r="IXL82" s="9"/>
      <c r="IXM82" s="106"/>
      <c r="IXN82" s="9"/>
      <c r="IXO82" s="106"/>
      <c r="IXP82" s="9"/>
      <c r="IXQ82" s="106"/>
      <c r="IXR82" s="9"/>
      <c r="IXS82" s="106"/>
      <c r="IXT82" s="9"/>
      <c r="IXU82" s="106"/>
      <c r="IXV82" s="9"/>
      <c r="IXW82" s="106"/>
      <c r="IXX82" s="9"/>
      <c r="IXY82" s="106"/>
      <c r="IXZ82" s="9"/>
      <c r="IYA82" s="106"/>
      <c r="IYB82" s="9"/>
      <c r="IYC82" s="106"/>
      <c r="IYD82" s="9"/>
      <c r="IYE82" s="106"/>
      <c r="IYF82" s="9"/>
      <c r="IYG82" s="106"/>
      <c r="IYH82" s="9"/>
      <c r="IYI82" s="106"/>
      <c r="IYJ82" s="9"/>
      <c r="IYK82" s="106"/>
      <c r="IYL82" s="9"/>
      <c r="IYM82" s="106"/>
      <c r="IYN82" s="9"/>
      <c r="IYO82" s="106"/>
      <c r="IYP82" s="9"/>
      <c r="IYQ82" s="106"/>
      <c r="IYR82" s="9"/>
      <c r="IYS82" s="106"/>
      <c r="IYT82" s="9"/>
      <c r="IYU82" s="106"/>
      <c r="IYV82" s="9"/>
      <c r="IYW82" s="106"/>
      <c r="IYX82" s="9"/>
      <c r="IYY82" s="106"/>
      <c r="IYZ82" s="9"/>
      <c r="IZA82" s="106"/>
      <c r="IZB82" s="9"/>
      <c r="IZC82" s="106"/>
      <c r="IZD82" s="9"/>
      <c r="IZE82" s="106"/>
      <c r="IZF82" s="9"/>
      <c r="IZG82" s="106"/>
      <c r="IZH82" s="9"/>
      <c r="IZI82" s="106"/>
      <c r="IZJ82" s="9"/>
      <c r="IZK82" s="106"/>
      <c r="IZL82" s="9"/>
      <c r="IZM82" s="106"/>
      <c r="IZN82" s="9"/>
      <c r="IZO82" s="106"/>
      <c r="IZP82" s="9"/>
      <c r="IZQ82" s="106"/>
      <c r="IZR82" s="9"/>
      <c r="IZS82" s="106"/>
      <c r="IZT82" s="9"/>
      <c r="IZU82" s="106"/>
      <c r="IZV82" s="9"/>
      <c r="IZW82" s="106"/>
      <c r="IZX82" s="9"/>
      <c r="IZY82" s="106"/>
      <c r="IZZ82" s="9"/>
      <c r="JAA82" s="106"/>
      <c r="JAB82" s="9"/>
      <c r="JAC82" s="106"/>
      <c r="JAD82" s="9"/>
      <c r="JAE82" s="106"/>
      <c r="JAF82" s="9"/>
      <c r="JAG82" s="106"/>
      <c r="JAH82" s="9"/>
      <c r="JAI82" s="106"/>
      <c r="JAJ82" s="9"/>
      <c r="JAK82" s="106"/>
      <c r="JAL82" s="9"/>
      <c r="JAM82" s="106"/>
      <c r="JAN82" s="9"/>
      <c r="JAO82" s="106"/>
      <c r="JAP82" s="9"/>
      <c r="JAQ82" s="106"/>
      <c r="JAR82" s="9"/>
      <c r="JAS82" s="106"/>
      <c r="JAT82" s="9"/>
      <c r="JAU82" s="106"/>
      <c r="JAV82" s="9"/>
      <c r="JAW82" s="106"/>
      <c r="JAX82" s="9"/>
      <c r="JAY82" s="106"/>
      <c r="JAZ82" s="9"/>
      <c r="JBA82" s="106"/>
      <c r="JBB82" s="9"/>
      <c r="JBC82" s="106"/>
      <c r="JBD82" s="9"/>
      <c r="JBE82" s="106"/>
      <c r="JBF82" s="9"/>
      <c r="JBG82" s="106"/>
      <c r="JBH82" s="9"/>
      <c r="JBI82" s="106"/>
      <c r="JBJ82" s="9"/>
      <c r="JBK82" s="106"/>
      <c r="JBL82" s="9"/>
      <c r="JBM82" s="106"/>
      <c r="JBN82" s="9"/>
      <c r="JBO82" s="106"/>
      <c r="JBP82" s="9"/>
      <c r="JBQ82" s="106"/>
      <c r="JBR82" s="9"/>
      <c r="JBS82" s="106"/>
      <c r="JBT82" s="9"/>
      <c r="JBU82" s="106"/>
      <c r="JBV82" s="9"/>
      <c r="JBW82" s="106"/>
      <c r="JBX82" s="9"/>
      <c r="JBY82" s="106"/>
      <c r="JBZ82" s="9"/>
      <c r="JCA82" s="106"/>
      <c r="JCB82" s="9"/>
      <c r="JCC82" s="106"/>
      <c r="JCD82" s="9"/>
      <c r="JCE82" s="106"/>
      <c r="JCF82" s="9"/>
      <c r="JCG82" s="106"/>
      <c r="JCH82" s="9"/>
      <c r="JCI82" s="106"/>
      <c r="JCJ82" s="9"/>
      <c r="JCK82" s="106"/>
      <c r="JCL82" s="9"/>
      <c r="JCM82" s="106"/>
      <c r="JCN82" s="9"/>
      <c r="JCO82" s="106"/>
      <c r="JCP82" s="9"/>
      <c r="JCQ82" s="106"/>
      <c r="JCR82" s="9"/>
      <c r="JCS82" s="106"/>
      <c r="JCT82" s="9"/>
      <c r="JCU82" s="106"/>
      <c r="JCV82" s="9"/>
      <c r="JCW82" s="106"/>
      <c r="JCX82" s="9"/>
      <c r="JCY82" s="106"/>
      <c r="JCZ82" s="9"/>
      <c r="JDA82" s="106"/>
      <c r="JDB82" s="9"/>
      <c r="JDC82" s="106"/>
      <c r="JDD82" s="9"/>
      <c r="JDE82" s="106"/>
      <c r="JDF82" s="9"/>
      <c r="JDG82" s="106"/>
      <c r="JDH82" s="9"/>
      <c r="JDI82" s="106"/>
      <c r="JDJ82" s="9"/>
      <c r="JDK82" s="106"/>
      <c r="JDL82" s="9"/>
      <c r="JDM82" s="106"/>
      <c r="JDN82" s="9"/>
      <c r="JDO82" s="106"/>
      <c r="JDP82" s="9"/>
      <c r="JDQ82" s="106"/>
      <c r="JDR82" s="9"/>
      <c r="JDS82" s="106"/>
      <c r="JDT82" s="9"/>
      <c r="JDU82" s="106"/>
      <c r="JDV82" s="9"/>
      <c r="JDW82" s="106"/>
      <c r="JDX82" s="9"/>
      <c r="JDY82" s="106"/>
      <c r="JDZ82" s="9"/>
      <c r="JEA82" s="106"/>
      <c r="JEB82" s="9"/>
      <c r="JEC82" s="106"/>
      <c r="JED82" s="9"/>
      <c r="JEE82" s="106"/>
      <c r="JEF82" s="9"/>
      <c r="JEG82" s="106"/>
      <c r="JEH82" s="9"/>
      <c r="JEI82" s="106"/>
      <c r="JEJ82" s="9"/>
      <c r="JEK82" s="106"/>
      <c r="JEL82" s="9"/>
      <c r="JEM82" s="106"/>
      <c r="JEN82" s="9"/>
      <c r="JEO82" s="106"/>
      <c r="JEP82" s="9"/>
      <c r="JEQ82" s="106"/>
      <c r="JER82" s="9"/>
      <c r="JES82" s="106"/>
      <c r="JET82" s="9"/>
      <c r="JEU82" s="106"/>
      <c r="JEV82" s="9"/>
      <c r="JEW82" s="106"/>
      <c r="JEX82" s="9"/>
      <c r="JEY82" s="106"/>
      <c r="JEZ82" s="9"/>
      <c r="JFA82" s="106"/>
      <c r="JFB82" s="9"/>
      <c r="JFC82" s="106"/>
      <c r="JFD82" s="9"/>
      <c r="JFE82" s="106"/>
      <c r="JFF82" s="9"/>
      <c r="JFG82" s="106"/>
      <c r="JFH82" s="9"/>
      <c r="JFI82" s="106"/>
      <c r="JFJ82" s="9"/>
      <c r="JFK82" s="106"/>
      <c r="JFL82" s="9"/>
      <c r="JFM82" s="106"/>
      <c r="JFN82" s="9"/>
      <c r="JFO82" s="106"/>
      <c r="JFP82" s="9"/>
      <c r="JFQ82" s="106"/>
      <c r="JFR82" s="9"/>
      <c r="JFS82" s="106"/>
      <c r="JFT82" s="9"/>
      <c r="JFU82" s="106"/>
      <c r="JFV82" s="9"/>
      <c r="JFW82" s="106"/>
      <c r="JFX82" s="9"/>
      <c r="JFY82" s="106"/>
      <c r="JFZ82" s="9"/>
      <c r="JGA82" s="106"/>
      <c r="JGB82" s="9"/>
      <c r="JGC82" s="106"/>
      <c r="JGD82" s="9"/>
      <c r="JGE82" s="106"/>
      <c r="JGF82" s="9"/>
      <c r="JGG82" s="106"/>
      <c r="JGH82" s="9"/>
      <c r="JGI82" s="106"/>
      <c r="JGJ82" s="9"/>
      <c r="JGK82" s="106"/>
      <c r="JGL82" s="9"/>
      <c r="JGM82" s="106"/>
      <c r="JGN82" s="9"/>
      <c r="JGO82" s="106"/>
      <c r="JGP82" s="9"/>
      <c r="JGQ82" s="106"/>
      <c r="JGR82" s="9"/>
      <c r="JGS82" s="106"/>
      <c r="JGT82" s="9"/>
      <c r="JGU82" s="106"/>
      <c r="JGV82" s="9"/>
      <c r="JGW82" s="106"/>
      <c r="JGX82" s="9"/>
      <c r="JGY82" s="106"/>
      <c r="JGZ82" s="9"/>
      <c r="JHA82" s="106"/>
      <c r="JHB82" s="9"/>
      <c r="JHC82" s="106"/>
      <c r="JHD82" s="9"/>
      <c r="JHE82" s="106"/>
      <c r="JHF82" s="9"/>
      <c r="JHG82" s="106"/>
      <c r="JHH82" s="9"/>
      <c r="JHI82" s="106"/>
      <c r="JHJ82" s="9"/>
      <c r="JHK82" s="106"/>
      <c r="JHL82" s="9"/>
      <c r="JHM82" s="106"/>
      <c r="JHN82" s="9"/>
      <c r="JHO82" s="106"/>
      <c r="JHP82" s="9"/>
      <c r="JHQ82" s="106"/>
      <c r="JHR82" s="9"/>
      <c r="JHS82" s="106"/>
      <c r="JHT82" s="9"/>
      <c r="JHU82" s="106"/>
      <c r="JHV82" s="9"/>
      <c r="JHW82" s="106"/>
      <c r="JHX82" s="9"/>
      <c r="JHY82" s="106"/>
      <c r="JHZ82" s="9"/>
      <c r="JIA82" s="106"/>
      <c r="JIB82" s="9"/>
      <c r="JIC82" s="106"/>
      <c r="JID82" s="9"/>
      <c r="JIE82" s="106"/>
      <c r="JIF82" s="9"/>
      <c r="JIG82" s="106"/>
      <c r="JIH82" s="9"/>
      <c r="JII82" s="106"/>
      <c r="JIJ82" s="9"/>
      <c r="JIK82" s="106"/>
      <c r="JIL82" s="9"/>
      <c r="JIM82" s="106"/>
      <c r="JIN82" s="9"/>
      <c r="JIO82" s="106"/>
      <c r="JIP82" s="9"/>
      <c r="JIQ82" s="106"/>
      <c r="JIR82" s="9"/>
      <c r="JIS82" s="106"/>
      <c r="JIT82" s="9"/>
      <c r="JIU82" s="106"/>
      <c r="JIV82" s="9"/>
      <c r="JIW82" s="106"/>
      <c r="JIX82" s="9"/>
      <c r="JIY82" s="106"/>
      <c r="JIZ82" s="9"/>
      <c r="JJA82" s="106"/>
      <c r="JJB82" s="9"/>
      <c r="JJC82" s="106"/>
      <c r="JJD82" s="9"/>
      <c r="JJE82" s="106"/>
      <c r="JJF82" s="9"/>
      <c r="JJG82" s="106"/>
      <c r="JJH82" s="9"/>
      <c r="JJI82" s="106"/>
      <c r="JJJ82" s="9"/>
      <c r="JJK82" s="106"/>
      <c r="JJL82" s="9"/>
      <c r="JJM82" s="106"/>
      <c r="JJN82" s="9"/>
      <c r="JJO82" s="106"/>
      <c r="JJP82" s="9"/>
      <c r="JJQ82" s="106"/>
      <c r="JJR82" s="9"/>
      <c r="JJS82" s="106"/>
      <c r="JJT82" s="9"/>
      <c r="JJU82" s="106"/>
      <c r="JJV82" s="9"/>
      <c r="JJW82" s="106"/>
      <c r="JJX82" s="9"/>
      <c r="JJY82" s="106"/>
      <c r="JJZ82" s="9"/>
      <c r="JKA82" s="106"/>
      <c r="JKB82" s="9"/>
      <c r="JKC82" s="106"/>
      <c r="JKD82" s="9"/>
      <c r="JKE82" s="106"/>
      <c r="JKF82" s="9"/>
      <c r="JKG82" s="106"/>
      <c r="JKH82" s="9"/>
      <c r="JKI82" s="106"/>
      <c r="JKJ82" s="9"/>
      <c r="JKK82" s="106"/>
      <c r="JKL82" s="9"/>
      <c r="JKM82" s="106"/>
      <c r="JKN82" s="9"/>
      <c r="JKO82" s="106"/>
      <c r="JKP82" s="9"/>
      <c r="JKQ82" s="106"/>
      <c r="JKR82" s="9"/>
      <c r="JKS82" s="106"/>
      <c r="JKT82" s="9"/>
      <c r="JKU82" s="106"/>
      <c r="JKV82" s="9"/>
      <c r="JKW82" s="106"/>
      <c r="JKX82" s="9"/>
      <c r="JKY82" s="106"/>
      <c r="JKZ82" s="9"/>
      <c r="JLA82" s="106"/>
      <c r="JLB82" s="9"/>
      <c r="JLC82" s="106"/>
      <c r="JLD82" s="9"/>
      <c r="JLE82" s="106"/>
      <c r="JLF82" s="9"/>
      <c r="JLG82" s="106"/>
      <c r="JLH82" s="9"/>
      <c r="JLI82" s="106"/>
      <c r="JLJ82" s="9"/>
      <c r="JLK82" s="106"/>
      <c r="JLL82" s="9"/>
      <c r="JLM82" s="106"/>
      <c r="JLN82" s="9"/>
      <c r="JLO82" s="106"/>
      <c r="JLP82" s="9"/>
      <c r="JLQ82" s="106"/>
      <c r="JLR82" s="9"/>
      <c r="JLS82" s="106"/>
      <c r="JLT82" s="9"/>
      <c r="JLU82" s="106"/>
      <c r="JLV82" s="9"/>
      <c r="JLW82" s="106"/>
      <c r="JLX82" s="9"/>
      <c r="JLY82" s="106"/>
      <c r="JLZ82" s="9"/>
      <c r="JMA82" s="106"/>
      <c r="JMB82" s="9"/>
      <c r="JMC82" s="106"/>
      <c r="JMD82" s="9"/>
      <c r="JME82" s="106"/>
      <c r="JMF82" s="9"/>
      <c r="JMG82" s="106"/>
      <c r="JMH82" s="9"/>
      <c r="JMI82" s="106"/>
      <c r="JMJ82" s="9"/>
      <c r="JMK82" s="106"/>
      <c r="JML82" s="9"/>
      <c r="JMM82" s="106"/>
      <c r="JMN82" s="9"/>
      <c r="JMO82" s="106"/>
      <c r="JMP82" s="9"/>
      <c r="JMQ82" s="106"/>
      <c r="JMR82" s="9"/>
      <c r="JMS82" s="106"/>
      <c r="JMT82" s="9"/>
      <c r="JMU82" s="106"/>
      <c r="JMV82" s="9"/>
      <c r="JMW82" s="106"/>
      <c r="JMX82" s="9"/>
      <c r="JMY82" s="106"/>
      <c r="JMZ82" s="9"/>
      <c r="JNA82" s="106"/>
      <c r="JNB82" s="9"/>
      <c r="JNC82" s="106"/>
      <c r="JND82" s="9"/>
      <c r="JNE82" s="106"/>
      <c r="JNF82" s="9"/>
      <c r="JNG82" s="106"/>
      <c r="JNH82" s="9"/>
      <c r="JNI82" s="106"/>
      <c r="JNJ82" s="9"/>
      <c r="JNK82" s="106"/>
      <c r="JNL82" s="9"/>
      <c r="JNM82" s="106"/>
      <c r="JNN82" s="9"/>
      <c r="JNO82" s="106"/>
      <c r="JNP82" s="9"/>
      <c r="JNQ82" s="106"/>
      <c r="JNR82" s="9"/>
      <c r="JNS82" s="106"/>
      <c r="JNT82" s="9"/>
      <c r="JNU82" s="106"/>
      <c r="JNV82" s="9"/>
      <c r="JNW82" s="106"/>
      <c r="JNX82" s="9"/>
      <c r="JNY82" s="106"/>
      <c r="JNZ82" s="9"/>
      <c r="JOA82" s="106"/>
      <c r="JOB82" s="9"/>
      <c r="JOC82" s="106"/>
      <c r="JOD82" s="9"/>
      <c r="JOE82" s="106"/>
      <c r="JOF82" s="9"/>
      <c r="JOG82" s="106"/>
      <c r="JOH82" s="9"/>
      <c r="JOI82" s="106"/>
      <c r="JOJ82" s="9"/>
      <c r="JOK82" s="106"/>
      <c r="JOL82" s="9"/>
      <c r="JOM82" s="106"/>
      <c r="JON82" s="9"/>
      <c r="JOO82" s="106"/>
      <c r="JOP82" s="9"/>
      <c r="JOQ82" s="106"/>
      <c r="JOR82" s="9"/>
      <c r="JOS82" s="106"/>
      <c r="JOT82" s="9"/>
      <c r="JOU82" s="106"/>
      <c r="JOV82" s="9"/>
      <c r="JOW82" s="106"/>
      <c r="JOX82" s="9"/>
      <c r="JOY82" s="106"/>
      <c r="JOZ82" s="9"/>
      <c r="JPA82" s="106"/>
      <c r="JPB82" s="9"/>
      <c r="JPC82" s="106"/>
      <c r="JPD82" s="9"/>
      <c r="JPE82" s="106"/>
      <c r="JPF82" s="9"/>
      <c r="JPG82" s="106"/>
      <c r="JPH82" s="9"/>
      <c r="JPI82" s="106"/>
      <c r="JPJ82" s="9"/>
      <c r="JPK82" s="106"/>
      <c r="JPL82" s="9"/>
      <c r="JPM82" s="106"/>
      <c r="JPN82" s="9"/>
      <c r="JPO82" s="106"/>
      <c r="JPP82" s="9"/>
      <c r="JPQ82" s="106"/>
      <c r="JPR82" s="9"/>
      <c r="JPS82" s="106"/>
      <c r="JPT82" s="9"/>
      <c r="JPU82" s="106"/>
      <c r="JPV82" s="9"/>
      <c r="JPW82" s="106"/>
      <c r="JPX82" s="9"/>
      <c r="JPY82" s="106"/>
      <c r="JPZ82" s="9"/>
      <c r="JQA82" s="106"/>
      <c r="JQB82" s="9"/>
      <c r="JQC82" s="106"/>
      <c r="JQD82" s="9"/>
      <c r="JQE82" s="106"/>
      <c r="JQF82" s="9"/>
      <c r="JQG82" s="106"/>
      <c r="JQH82" s="9"/>
      <c r="JQI82" s="106"/>
      <c r="JQJ82" s="9"/>
      <c r="JQK82" s="106"/>
      <c r="JQL82" s="9"/>
      <c r="JQM82" s="106"/>
      <c r="JQN82" s="9"/>
      <c r="JQO82" s="106"/>
      <c r="JQP82" s="9"/>
      <c r="JQQ82" s="106"/>
      <c r="JQR82" s="9"/>
      <c r="JQS82" s="106"/>
      <c r="JQT82" s="9"/>
      <c r="JQU82" s="106"/>
      <c r="JQV82" s="9"/>
      <c r="JQW82" s="106"/>
      <c r="JQX82" s="9"/>
      <c r="JQY82" s="106"/>
      <c r="JQZ82" s="9"/>
      <c r="JRA82" s="106"/>
      <c r="JRB82" s="9"/>
      <c r="JRC82" s="106"/>
      <c r="JRD82" s="9"/>
      <c r="JRE82" s="106"/>
      <c r="JRF82" s="9"/>
      <c r="JRG82" s="106"/>
      <c r="JRH82" s="9"/>
      <c r="JRI82" s="106"/>
      <c r="JRJ82" s="9"/>
      <c r="JRK82" s="106"/>
      <c r="JRL82" s="9"/>
      <c r="JRM82" s="106"/>
      <c r="JRN82" s="9"/>
      <c r="JRO82" s="106"/>
      <c r="JRP82" s="9"/>
      <c r="JRQ82" s="106"/>
      <c r="JRR82" s="9"/>
      <c r="JRS82" s="106"/>
      <c r="JRT82" s="9"/>
      <c r="JRU82" s="106"/>
      <c r="JRV82" s="9"/>
      <c r="JRW82" s="106"/>
      <c r="JRX82" s="9"/>
      <c r="JRY82" s="106"/>
      <c r="JRZ82" s="9"/>
      <c r="JSA82" s="106"/>
      <c r="JSB82" s="9"/>
      <c r="JSC82" s="106"/>
      <c r="JSD82" s="9"/>
      <c r="JSE82" s="106"/>
      <c r="JSF82" s="9"/>
      <c r="JSG82" s="106"/>
      <c r="JSH82" s="9"/>
      <c r="JSI82" s="106"/>
      <c r="JSJ82" s="9"/>
      <c r="JSK82" s="106"/>
      <c r="JSL82" s="9"/>
      <c r="JSM82" s="106"/>
      <c r="JSN82" s="9"/>
      <c r="JSO82" s="106"/>
      <c r="JSP82" s="9"/>
      <c r="JSQ82" s="106"/>
      <c r="JSR82" s="9"/>
      <c r="JSS82" s="106"/>
      <c r="JST82" s="9"/>
      <c r="JSU82" s="106"/>
      <c r="JSV82" s="9"/>
      <c r="JSW82" s="106"/>
      <c r="JSX82" s="9"/>
      <c r="JSY82" s="106"/>
      <c r="JSZ82" s="9"/>
      <c r="JTA82" s="106"/>
      <c r="JTB82" s="9"/>
      <c r="JTC82" s="106"/>
      <c r="JTD82" s="9"/>
      <c r="JTE82" s="106"/>
      <c r="JTF82" s="9"/>
      <c r="JTG82" s="106"/>
      <c r="JTH82" s="9"/>
      <c r="JTI82" s="106"/>
      <c r="JTJ82" s="9"/>
      <c r="JTK82" s="106"/>
      <c r="JTL82" s="9"/>
      <c r="JTM82" s="106"/>
      <c r="JTN82" s="9"/>
      <c r="JTO82" s="106"/>
      <c r="JTP82" s="9"/>
      <c r="JTQ82" s="106"/>
      <c r="JTR82" s="9"/>
      <c r="JTS82" s="106"/>
      <c r="JTT82" s="9"/>
      <c r="JTU82" s="106"/>
      <c r="JTV82" s="9"/>
      <c r="JTW82" s="106"/>
      <c r="JTX82" s="9"/>
      <c r="JTY82" s="106"/>
      <c r="JTZ82" s="9"/>
      <c r="JUA82" s="106"/>
      <c r="JUB82" s="9"/>
      <c r="JUC82" s="106"/>
      <c r="JUD82" s="9"/>
      <c r="JUE82" s="106"/>
      <c r="JUF82" s="9"/>
      <c r="JUG82" s="106"/>
      <c r="JUH82" s="9"/>
      <c r="JUI82" s="106"/>
      <c r="JUJ82" s="9"/>
      <c r="JUK82" s="106"/>
      <c r="JUL82" s="9"/>
      <c r="JUM82" s="106"/>
      <c r="JUN82" s="9"/>
      <c r="JUO82" s="106"/>
      <c r="JUP82" s="9"/>
      <c r="JUQ82" s="106"/>
      <c r="JUR82" s="9"/>
      <c r="JUS82" s="106"/>
      <c r="JUT82" s="9"/>
      <c r="JUU82" s="106"/>
      <c r="JUV82" s="9"/>
      <c r="JUW82" s="106"/>
      <c r="JUX82" s="9"/>
      <c r="JUY82" s="106"/>
      <c r="JUZ82" s="9"/>
      <c r="JVA82" s="106"/>
      <c r="JVB82" s="9"/>
      <c r="JVC82" s="106"/>
      <c r="JVD82" s="9"/>
      <c r="JVE82" s="106"/>
      <c r="JVF82" s="9"/>
      <c r="JVG82" s="106"/>
      <c r="JVH82" s="9"/>
      <c r="JVI82" s="106"/>
      <c r="JVJ82" s="9"/>
      <c r="JVK82" s="106"/>
      <c r="JVL82" s="9"/>
      <c r="JVM82" s="106"/>
      <c r="JVN82" s="9"/>
      <c r="JVO82" s="106"/>
      <c r="JVP82" s="9"/>
      <c r="JVQ82" s="106"/>
      <c r="JVR82" s="9"/>
      <c r="JVS82" s="106"/>
      <c r="JVT82" s="9"/>
      <c r="JVU82" s="106"/>
      <c r="JVV82" s="9"/>
      <c r="JVW82" s="106"/>
      <c r="JVX82" s="9"/>
      <c r="JVY82" s="106"/>
      <c r="JVZ82" s="9"/>
      <c r="JWA82" s="106"/>
      <c r="JWB82" s="9"/>
      <c r="JWC82" s="106"/>
      <c r="JWD82" s="9"/>
      <c r="JWE82" s="106"/>
      <c r="JWF82" s="9"/>
      <c r="JWG82" s="106"/>
      <c r="JWH82" s="9"/>
      <c r="JWI82" s="106"/>
      <c r="JWJ82" s="9"/>
      <c r="JWK82" s="106"/>
      <c r="JWL82" s="9"/>
      <c r="JWM82" s="106"/>
      <c r="JWN82" s="9"/>
      <c r="JWO82" s="106"/>
      <c r="JWP82" s="9"/>
      <c r="JWQ82" s="106"/>
      <c r="JWR82" s="9"/>
      <c r="JWS82" s="106"/>
      <c r="JWT82" s="9"/>
      <c r="JWU82" s="106"/>
      <c r="JWV82" s="9"/>
      <c r="JWW82" s="106"/>
      <c r="JWX82" s="9"/>
      <c r="JWY82" s="106"/>
      <c r="JWZ82" s="9"/>
      <c r="JXA82" s="106"/>
      <c r="JXB82" s="9"/>
      <c r="JXC82" s="106"/>
      <c r="JXD82" s="9"/>
      <c r="JXE82" s="106"/>
      <c r="JXF82" s="9"/>
      <c r="JXG82" s="106"/>
      <c r="JXH82" s="9"/>
      <c r="JXI82" s="106"/>
      <c r="JXJ82" s="9"/>
      <c r="JXK82" s="106"/>
      <c r="JXL82" s="9"/>
      <c r="JXM82" s="106"/>
      <c r="JXN82" s="9"/>
      <c r="JXO82" s="106"/>
      <c r="JXP82" s="9"/>
      <c r="JXQ82" s="106"/>
      <c r="JXR82" s="9"/>
      <c r="JXS82" s="106"/>
      <c r="JXT82" s="9"/>
      <c r="JXU82" s="106"/>
      <c r="JXV82" s="9"/>
      <c r="JXW82" s="106"/>
      <c r="JXX82" s="9"/>
      <c r="JXY82" s="106"/>
      <c r="JXZ82" s="9"/>
      <c r="JYA82" s="106"/>
      <c r="JYB82" s="9"/>
      <c r="JYC82" s="106"/>
      <c r="JYD82" s="9"/>
      <c r="JYE82" s="106"/>
      <c r="JYF82" s="9"/>
      <c r="JYG82" s="106"/>
      <c r="JYH82" s="9"/>
      <c r="JYI82" s="106"/>
      <c r="JYJ82" s="9"/>
      <c r="JYK82" s="106"/>
      <c r="JYL82" s="9"/>
      <c r="JYM82" s="106"/>
      <c r="JYN82" s="9"/>
      <c r="JYO82" s="106"/>
      <c r="JYP82" s="9"/>
      <c r="JYQ82" s="106"/>
      <c r="JYR82" s="9"/>
      <c r="JYS82" s="106"/>
      <c r="JYT82" s="9"/>
      <c r="JYU82" s="106"/>
      <c r="JYV82" s="9"/>
      <c r="JYW82" s="106"/>
      <c r="JYX82" s="9"/>
      <c r="JYY82" s="106"/>
      <c r="JYZ82" s="9"/>
      <c r="JZA82" s="106"/>
      <c r="JZB82" s="9"/>
      <c r="JZC82" s="106"/>
      <c r="JZD82" s="9"/>
      <c r="JZE82" s="106"/>
      <c r="JZF82" s="9"/>
      <c r="JZG82" s="106"/>
      <c r="JZH82" s="9"/>
      <c r="JZI82" s="106"/>
      <c r="JZJ82" s="9"/>
      <c r="JZK82" s="106"/>
      <c r="JZL82" s="9"/>
      <c r="JZM82" s="106"/>
      <c r="JZN82" s="9"/>
      <c r="JZO82" s="106"/>
      <c r="JZP82" s="9"/>
      <c r="JZQ82" s="106"/>
      <c r="JZR82" s="9"/>
      <c r="JZS82" s="106"/>
      <c r="JZT82" s="9"/>
      <c r="JZU82" s="106"/>
      <c r="JZV82" s="9"/>
      <c r="JZW82" s="106"/>
      <c r="JZX82" s="9"/>
      <c r="JZY82" s="106"/>
      <c r="JZZ82" s="9"/>
      <c r="KAA82" s="106"/>
      <c r="KAB82" s="9"/>
      <c r="KAC82" s="106"/>
      <c r="KAD82" s="9"/>
      <c r="KAE82" s="106"/>
      <c r="KAF82" s="9"/>
      <c r="KAG82" s="106"/>
      <c r="KAH82" s="9"/>
      <c r="KAI82" s="106"/>
      <c r="KAJ82" s="9"/>
      <c r="KAK82" s="106"/>
      <c r="KAL82" s="9"/>
      <c r="KAM82" s="106"/>
      <c r="KAN82" s="9"/>
      <c r="KAO82" s="106"/>
      <c r="KAP82" s="9"/>
      <c r="KAQ82" s="106"/>
      <c r="KAR82" s="9"/>
      <c r="KAS82" s="106"/>
      <c r="KAT82" s="9"/>
      <c r="KAU82" s="106"/>
      <c r="KAV82" s="9"/>
      <c r="KAW82" s="106"/>
      <c r="KAX82" s="9"/>
      <c r="KAY82" s="106"/>
      <c r="KAZ82" s="9"/>
      <c r="KBA82" s="106"/>
      <c r="KBB82" s="9"/>
      <c r="KBC82" s="106"/>
      <c r="KBD82" s="9"/>
      <c r="KBE82" s="106"/>
      <c r="KBF82" s="9"/>
      <c r="KBG82" s="106"/>
      <c r="KBH82" s="9"/>
      <c r="KBI82" s="106"/>
      <c r="KBJ82" s="9"/>
      <c r="KBK82" s="106"/>
      <c r="KBL82" s="9"/>
      <c r="KBM82" s="106"/>
      <c r="KBN82" s="9"/>
      <c r="KBO82" s="106"/>
      <c r="KBP82" s="9"/>
      <c r="KBQ82" s="106"/>
      <c r="KBR82" s="9"/>
      <c r="KBS82" s="106"/>
      <c r="KBT82" s="9"/>
      <c r="KBU82" s="106"/>
      <c r="KBV82" s="9"/>
      <c r="KBW82" s="106"/>
      <c r="KBX82" s="9"/>
      <c r="KBY82" s="106"/>
      <c r="KBZ82" s="9"/>
      <c r="KCA82" s="106"/>
      <c r="KCB82" s="9"/>
      <c r="KCC82" s="106"/>
      <c r="KCD82" s="9"/>
      <c r="KCE82" s="106"/>
      <c r="KCF82" s="9"/>
      <c r="KCG82" s="106"/>
      <c r="KCH82" s="9"/>
      <c r="KCI82" s="106"/>
      <c r="KCJ82" s="9"/>
      <c r="KCK82" s="106"/>
      <c r="KCL82" s="9"/>
      <c r="KCM82" s="106"/>
      <c r="KCN82" s="9"/>
      <c r="KCO82" s="106"/>
      <c r="KCP82" s="9"/>
      <c r="KCQ82" s="106"/>
      <c r="KCR82" s="9"/>
      <c r="KCS82" s="106"/>
      <c r="KCT82" s="9"/>
      <c r="KCU82" s="106"/>
      <c r="KCV82" s="9"/>
      <c r="KCW82" s="106"/>
      <c r="KCX82" s="9"/>
      <c r="KCY82" s="106"/>
      <c r="KCZ82" s="9"/>
      <c r="KDA82" s="106"/>
      <c r="KDB82" s="9"/>
      <c r="KDC82" s="106"/>
      <c r="KDD82" s="9"/>
      <c r="KDE82" s="106"/>
      <c r="KDF82" s="9"/>
      <c r="KDG82" s="106"/>
      <c r="KDH82" s="9"/>
      <c r="KDI82" s="106"/>
      <c r="KDJ82" s="9"/>
      <c r="KDK82" s="106"/>
      <c r="KDL82" s="9"/>
      <c r="KDM82" s="106"/>
      <c r="KDN82" s="9"/>
      <c r="KDO82" s="106"/>
      <c r="KDP82" s="9"/>
      <c r="KDQ82" s="106"/>
      <c r="KDR82" s="9"/>
      <c r="KDS82" s="106"/>
      <c r="KDT82" s="9"/>
      <c r="KDU82" s="106"/>
      <c r="KDV82" s="9"/>
      <c r="KDW82" s="106"/>
      <c r="KDX82" s="9"/>
      <c r="KDY82" s="106"/>
      <c r="KDZ82" s="9"/>
      <c r="KEA82" s="106"/>
      <c r="KEB82" s="9"/>
      <c r="KEC82" s="106"/>
      <c r="KED82" s="9"/>
      <c r="KEE82" s="106"/>
      <c r="KEF82" s="9"/>
      <c r="KEG82" s="106"/>
      <c r="KEH82" s="9"/>
      <c r="KEI82" s="106"/>
      <c r="KEJ82" s="9"/>
      <c r="KEK82" s="106"/>
      <c r="KEL82" s="9"/>
      <c r="KEM82" s="106"/>
      <c r="KEN82" s="9"/>
      <c r="KEO82" s="106"/>
      <c r="KEP82" s="9"/>
      <c r="KEQ82" s="106"/>
      <c r="KER82" s="9"/>
      <c r="KES82" s="106"/>
      <c r="KET82" s="9"/>
      <c r="KEU82" s="106"/>
      <c r="KEV82" s="9"/>
      <c r="KEW82" s="106"/>
      <c r="KEX82" s="9"/>
      <c r="KEY82" s="106"/>
      <c r="KEZ82" s="9"/>
      <c r="KFA82" s="106"/>
      <c r="KFB82" s="9"/>
      <c r="KFC82" s="106"/>
      <c r="KFD82" s="9"/>
      <c r="KFE82" s="106"/>
      <c r="KFF82" s="9"/>
      <c r="KFG82" s="106"/>
      <c r="KFH82" s="9"/>
      <c r="KFI82" s="106"/>
      <c r="KFJ82" s="9"/>
      <c r="KFK82" s="106"/>
      <c r="KFL82" s="9"/>
      <c r="KFM82" s="106"/>
      <c r="KFN82" s="9"/>
      <c r="KFO82" s="106"/>
      <c r="KFP82" s="9"/>
      <c r="KFQ82" s="106"/>
      <c r="KFR82" s="9"/>
      <c r="KFS82" s="106"/>
      <c r="KFT82" s="9"/>
      <c r="KFU82" s="106"/>
      <c r="KFV82" s="9"/>
      <c r="KFW82" s="106"/>
      <c r="KFX82" s="9"/>
      <c r="KFY82" s="106"/>
      <c r="KFZ82" s="9"/>
      <c r="KGA82" s="106"/>
      <c r="KGB82" s="9"/>
      <c r="KGC82" s="106"/>
      <c r="KGD82" s="9"/>
      <c r="KGE82" s="106"/>
      <c r="KGF82" s="9"/>
      <c r="KGG82" s="106"/>
      <c r="KGH82" s="9"/>
      <c r="KGI82" s="106"/>
      <c r="KGJ82" s="9"/>
      <c r="KGK82" s="106"/>
      <c r="KGL82" s="9"/>
      <c r="KGM82" s="106"/>
      <c r="KGN82" s="9"/>
      <c r="KGO82" s="106"/>
      <c r="KGP82" s="9"/>
      <c r="KGQ82" s="106"/>
      <c r="KGR82" s="9"/>
      <c r="KGS82" s="106"/>
      <c r="KGT82" s="9"/>
      <c r="KGU82" s="106"/>
      <c r="KGV82" s="9"/>
      <c r="KGW82" s="106"/>
      <c r="KGX82" s="9"/>
      <c r="KGY82" s="106"/>
      <c r="KGZ82" s="9"/>
      <c r="KHA82" s="106"/>
      <c r="KHB82" s="9"/>
      <c r="KHC82" s="106"/>
      <c r="KHD82" s="9"/>
      <c r="KHE82" s="106"/>
      <c r="KHF82" s="9"/>
      <c r="KHG82" s="106"/>
      <c r="KHH82" s="9"/>
      <c r="KHI82" s="106"/>
      <c r="KHJ82" s="9"/>
      <c r="KHK82" s="106"/>
      <c r="KHL82" s="9"/>
      <c r="KHM82" s="106"/>
      <c r="KHN82" s="9"/>
      <c r="KHO82" s="106"/>
      <c r="KHP82" s="9"/>
      <c r="KHQ82" s="106"/>
      <c r="KHR82" s="9"/>
      <c r="KHS82" s="106"/>
      <c r="KHT82" s="9"/>
      <c r="KHU82" s="106"/>
      <c r="KHV82" s="9"/>
      <c r="KHW82" s="106"/>
      <c r="KHX82" s="9"/>
      <c r="KHY82" s="106"/>
      <c r="KHZ82" s="9"/>
      <c r="KIA82" s="106"/>
      <c r="KIB82" s="9"/>
      <c r="KIC82" s="106"/>
      <c r="KID82" s="9"/>
      <c r="KIE82" s="106"/>
      <c r="KIF82" s="9"/>
      <c r="KIG82" s="106"/>
      <c r="KIH82" s="9"/>
      <c r="KII82" s="106"/>
      <c r="KIJ82" s="9"/>
      <c r="KIK82" s="106"/>
      <c r="KIL82" s="9"/>
      <c r="KIM82" s="106"/>
      <c r="KIN82" s="9"/>
      <c r="KIO82" s="106"/>
      <c r="KIP82" s="9"/>
      <c r="KIQ82" s="106"/>
      <c r="KIR82" s="9"/>
      <c r="KIS82" s="106"/>
      <c r="KIT82" s="9"/>
      <c r="KIU82" s="106"/>
      <c r="KIV82" s="9"/>
      <c r="KIW82" s="106"/>
      <c r="KIX82" s="9"/>
      <c r="KIY82" s="106"/>
      <c r="KIZ82" s="9"/>
      <c r="KJA82" s="106"/>
      <c r="KJB82" s="9"/>
      <c r="KJC82" s="106"/>
      <c r="KJD82" s="9"/>
      <c r="KJE82" s="106"/>
      <c r="KJF82" s="9"/>
      <c r="KJG82" s="106"/>
      <c r="KJH82" s="9"/>
      <c r="KJI82" s="106"/>
      <c r="KJJ82" s="9"/>
      <c r="KJK82" s="106"/>
      <c r="KJL82" s="9"/>
      <c r="KJM82" s="106"/>
      <c r="KJN82" s="9"/>
      <c r="KJO82" s="106"/>
      <c r="KJP82" s="9"/>
      <c r="KJQ82" s="106"/>
      <c r="KJR82" s="9"/>
      <c r="KJS82" s="106"/>
      <c r="KJT82" s="9"/>
      <c r="KJU82" s="106"/>
      <c r="KJV82" s="9"/>
      <c r="KJW82" s="106"/>
      <c r="KJX82" s="9"/>
      <c r="KJY82" s="106"/>
      <c r="KJZ82" s="9"/>
      <c r="KKA82" s="106"/>
      <c r="KKB82" s="9"/>
      <c r="KKC82" s="106"/>
      <c r="KKD82" s="9"/>
      <c r="KKE82" s="106"/>
      <c r="KKF82" s="9"/>
      <c r="KKG82" s="106"/>
      <c r="KKH82" s="9"/>
      <c r="KKI82" s="106"/>
      <c r="KKJ82" s="9"/>
      <c r="KKK82" s="106"/>
      <c r="KKL82" s="9"/>
      <c r="KKM82" s="106"/>
      <c r="KKN82" s="9"/>
      <c r="KKO82" s="106"/>
      <c r="KKP82" s="9"/>
      <c r="KKQ82" s="106"/>
      <c r="KKR82" s="9"/>
      <c r="KKS82" s="106"/>
      <c r="KKT82" s="9"/>
      <c r="KKU82" s="106"/>
      <c r="KKV82" s="9"/>
      <c r="KKW82" s="106"/>
      <c r="KKX82" s="9"/>
      <c r="KKY82" s="106"/>
      <c r="KKZ82" s="9"/>
      <c r="KLA82" s="106"/>
      <c r="KLB82" s="9"/>
      <c r="KLC82" s="106"/>
      <c r="KLD82" s="9"/>
      <c r="KLE82" s="106"/>
      <c r="KLF82" s="9"/>
      <c r="KLG82" s="106"/>
      <c r="KLH82" s="9"/>
      <c r="KLI82" s="106"/>
      <c r="KLJ82" s="9"/>
      <c r="KLK82" s="106"/>
      <c r="KLL82" s="9"/>
      <c r="KLM82" s="106"/>
      <c r="KLN82" s="9"/>
      <c r="KLO82" s="106"/>
      <c r="KLP82" s="9"/>
      <c r="KLQ82" s="106"/>
      <c r="KLR82" s="9"/>
      <c r="KLS82" s="106"/>
      <c r="KLT82" s="9"/>
      <c r="KLU82" s="106"/>
      <c r="KLV82" s="9"/>
      <c r="KLW82" s="106"/>
      <c r="KLX82" s="9"/>
      <c r="KLY82" s="106"/>
      <c r="KLZ82" s="9"/>
      <c r="KMA82" s="106"/>
      <c r="KMB82" s="9"/>
      <c r="KMC82" s="106"/>
      <c r="KMD82" s="9"/>
      <c r="KME82" s="106"/>
      <c r="KMF82" s="9"/>
      <c r="KMG82" s="106"/>
      <c r="KMH82" s="9"/>
      <c r="KMI82" s="106"/>
      <c r="KMJ82" s="9"/>
      <c r="KMK82" s="106"/>
      <c r="KML82" s="9"/>
      <c r="KMM82" s="106"/>
      <c r="KMN82" s="9"/>
      <c r="KMO82" s="106"/>
      <c r="KMP82" s="9"/>
      <c r="KMQ82" s="106"/>
      <c r="KMR82" s="9"/>
      <c r="KMS82" s="106"/>
      <c r="KMT82" s="9"/>
      <c r="KMU82" s="106"/>
      <c r="KMV82" s="9"/>
      <c r="KMW82" s="106"/>
      <c r="KMX82" s="9"/>
      <c r="KMY82" s="106"/>
      <c r="KMZ82" s="9"/>
      <c r="KNA82" s="106"/>
      <c r="KNB82" s="9"/>
      <c r="KNC82" s="106"/>
      <c r="KND82" s="9"/>
      <c r="KNE82" s="106"/>
      <c r="KNF82" s="9"/>
      <c r="KNG82" s="106"/>
      <c r="KNH82" s="9"/>
      <c r="KNI82" s="106"/>
      <c r="KNJ82" s="9"/>
      <c r="KNK82" s="106"/>
      <c r="KNL82" s="9"/>
      <c r="KNM82" s="106"/>
      <c r="KNN82" s="9"/>
      <c r="KNO82" s="106"/>
      <c r="KNP82" s="9"/>
      <c r="KNQ82" s="106"/>
      <c r="KNR82" s="9"/>
      <c r="KNS82" s="106"/>
      <c r="KNT82" s="9"/>
      <c r="KNU82" s="106"/>
      <c r="KNV82" s="9"/>
      <c r="KNW82" s="106"/>
      <c r="KNX82" s="9"/>
      <c r="KNY82" s="106"/>
      <c r="KNZ82" s="9"/>
      <c r="KOA82" s="106"/>
      <c r="KOB82" s="9"/>
      <c r="KOC82" s="106"/>
      <c r="KOD82" s="9"/>
      <c r="KOE82" s="106"/>
      <c r="KOF82" s="9"/>
      <c r="KOG82" s="106"/>
      <c r="KOH82" s="9"/>
      <c r="KOI82" s="106"/>
      <c r="KOJ82" s="9"/>
      <c r="KOK82" s="106"/>
      <c r="KOL82" s="9"/>
      <c r="KOM82" s="106"/>
      <c r="KON82" s="9"/>
      <c r="KOO82" s="106"/>
      <c r="KOP82" s="9"/>
      <c r="KOQ82" s="106"/>
      <c r="KOR82" s="9"/>
      <c r="KOS82" s="106"/>
      <c r="KOT82" s="9"/>
      <c r="KOU82" s="106"/>
      <c r="KOV82" s="9"/>
      <c r="KOW82" s="106"/>
      <c r="KOX82" s="9"/>
      <c r="KOY82" s="106"/>
      <c r="KOZ82" s="9"/>
      <c r="KPA82" s="106"/>
      <c r="KPB82" s="9"/>
      <c r="KPC82" s="106"/>
      <c r="KPD82" s="9"/>
      <c r="KPE82" s="106"/>
      <c r="KPF82" s="9"/>
      <c r="KPG82" s="106"/>
      <c r="KPH82" s="9"/>
      <c r="KPI82" s="106"/>
      <c r="KPJ82" s="9"/>
      <c r="KPK82" s="106"/>
      <c r="KPL82" s="9"/>
      <c r="KPM82" s="106"/>
      <c r="KPN82" s="9"/>
      <c r="KPO82" s="106"/>
      <c r="KPP82" s="9"/>
      <c r="KPQ82" s="106"/>
      <c r="KPR82" s="9"/>
      <c r="KPS82" s="106"/>
      <c r="KPT82" s="9"/>
      <c r="KPU82" s="106"/>
      <c r="KPV82" s="9"/>
      <c r="KPW82" s="106"/>
      <c r="KPX82" s="9"/>
      <c r="KPY82" s="106"/>
      <c r="KPZ82" s="9"/>
      <c r="KQA82" s="106"/>
      <c r="KQB82" s="9"/>
      <c r="KQC82" s="106"/>
      <c r="KQD82" s="9"/>
      <c r="KQE82" s="106"/>
      <c r="KQF82" s="9"/>
      <c r="KQG82" s="106"/>
      <c r="KQH82" s="9"/>
      <c r="KQI82" s="106"/>
      <c r="KQJ82" s="9"/>
      <c r="KQK82" s="106"/>
      <c r="KQL82" s="9"/>
      <c r="KQM82" s="106"/>
      <c r="KQN82" s="9"/>
      <c r="KQO82" s="106"/>
      <c r="KQP82" s="9"/>
      <c r="KQQ82" s="106"/>
      <c r="KQR82" s="9"/>
      <c r="KQS82" s="106"/>
      <c r="KQT82" s="9"/>
      <c r="KQU82" s="106"/>
      <c r="KQV82" s="9"/>
      <c r="KQW82" s="106"/>
      <c r="KQX82" s="9"/>
      <c r="KQY82" s="106"/>
      <c r="KQZ82" s="9"/>
      <c r="KRA82" s="106"/>
      <c r="KRB82" s="9"/>
      <c r="KRC82" s="106"/>
      <c r="KRD82" s="9"/>
      <c r="KRE82" s="106"/>
      <c r="KRF82" s="9"/>
      <c r="KRG82" s="106"/>
      <c r="KRH82" s="9"/>
      <c r="KRI82" s="106"/>
      <c r="KRJ82" s="9"/>
      <c r="KRK82" s="106"/>
      <c r="KRL82" s="9"/>
      <c r="KRM82" s="106"/>
      <c r="KRN82" s="9"/>
      <c r="KRO82" s="106"/>
      <c r="KRP82" s="9"/>
      <c r="KRQ82" s="106"/>
      <c r="KRR82" s="9"/>
      <c r="KRS82" s="106"/>
      <c r="KRT82" s="9"/>
      <c r="KRU82" s="106"/>
      <c r="KRV82" s="9"/>
      <c r="KRW82" s="106"/>
      <c r="KRX82" s="9"/>
      <c r="KRY82" s="106"/>
      <c r="KRZ82" s="9"/>
      <c r="KSA82" s="106"/>
      <c r="KSB82" s="9"/>
      <c r="KSC82" s="106"/>
      <c r="KSD82" s="9"/>
      <c r="KSE82" s="106"/>
      <c r="KSF82" s="9"/>
      <c r="KSG82" s="106"/>
      <c r="KSH82" s="9"/>
      <c r="KSI82" s="106"/>
      <c r="KSJ82" s="9"/>
      <c r="KSK82" s="106"/>
      <c r="KSL82" s="9"/>
      <c r="KSM82" s="106"/>
      <c r="KSN82" s="9"/>
      <c r="KSO82" s="106"/>
      <c r="KSP82" s="9"/>
      <c r="KSQ82" s="106"/>
      <c r="KSR82" s="9"/>
      <c r="KSS82" s="106"/>
      <c r="KST82" s="9"/>
      <c r="KSU82" s="106"/>
      <c r="KSV82" s="9"/>
      <c r="KSW82" s="106"/>
      <c r="KSX82" s="9"/>
      <c r="KSY82" s="106"/>
      <c r="KSZ82" s="9"/>
      <c r="KTA82" s="106"/>
      <c r="KTB82" s="9"/>
      <c r="KTC82" s="106"/>
      <c r="KTD82" s="9"/>
      <c r="KTE82" s="106"/>
      <c r="KTF82" s="9"/>
      <c r="KTG82" s="106"/>
      <c r="KTH82" s="9"/>
      <c r="KTI82" s="106"/>
      <c r="KTJ82" s="9"/>
      <c r="KTK82" s="106"/>
      <c r="KTL82" s="9"/>
      <c r="KTM82" s="106"/>
      <c r="KTN82" s="9"/>
      <c r="KTO82" s="106"/>
      <c r="KTP82" s="9"/>
      <c r="KTQ82" s="106"/>
      <c r="KTR82" s="9"/>
      <c r="KTS82" s="106"/>
      <c r="KTT82" s="9"/>
      <c r="KTU82" s="106"/>
      <c r="KTV82" s="9"/>
      <c r="KTW82" s="106"/>
      <c r="KTX82" s="9"/>
      <c r="KTY82" s="106"/>
      <c r="KTZ82" s="9"/>
      <c r="KUA82" s="106"/>
      <c r="KUB82" s="9"/>
      <c r="KUC82" s="106"/>
      <c r="KUD82" s="9"/>
      <c r="KUE82" s="106"/>
      <c r="KUF82" s="9"/>
      <c r="KUG82" s="106"/>
      <c r="KUH82" s="9"/>
      <c r="KUI82" s="106"/>
      <c r="KUJ82" s="9"/>
      <c r="KUK82" s="106"/>
      <c r="KUL82" s="9"/>
      <c r="KUM82" s="106"/>
      <c r="KUN82" s="9"/>
      <c r="KUO82" s="106"/>
      <c r="KUP82" s="9"/>
      <c r="KUQ82" s="106"/>
      <c r="KUR82" s="9"/>
      <c r="KUS82" s="106"/>
      <c r="KUT82" s="9"/>
      <c r="KUU82" s="106"/>
      <c r="KUV82" s="9"/>
      <c r="KUW82" s="106"/>
      <c r="KUX82" s="9"/>
      <c r="KUY82" s="106"/>
      <c r="KUZ82" s="9"/>
      <c r="KVA82" s="106"/>
      <c r="KVB82" s="9"/>
      <c r="KVC82" s="106"/>
      <c r="KVD82" s="9"/>
      <c r="KVE82" s="106"/>
      <c r="KVF82" s="9"/>
      <c r="KVG82" s="106"/>
      <c r="KVH82" s="9"/>
      <c r="KVI82" s="106"/>
      <c r="KVJ82" s="9"/>
      <c r="KVK82" s="106"/>
      <c r="KVL82" s="9"/>
      <c r="KVM82" s="106"/>
      <c r="KVN82" s="9"/>
      <c r="KVO82" s="106"/>
      <c r="KVP82" s="9"/>
      <c r="KVQ82" s="106"/>
      <c r="KVR82" s="9"/>
      <c r="KVS82" s="106"/>
      <c r="KVT82" s="9"/>
      <c r="KVU82" s="106"/>
      <c r="KVV82" s="9"/>
      <c r="KVW82" s="106"/>
      <c r="KVX82" s="9"/>
      <c r="KVY82" s="106"/>
      <c r="KVZ82" s="9"/>
      <c r="KWA82" s="106"/>
      <c r="KWB82" s="9"/>
      <c r="KWC82" s="106"/>
      <c r="KWD82" s="9"/>
      <c r="KWE82" s="106"/>
      <c r="KWF82" s="9"/>
      <c r="KWG82" s="106"/>
      <c r="KWH82" s="9"/>
      <c r="KWI82" s="106"/>
      <c r="KWJ82" s="9"/>
      <c r="KWK82" s="106"/>
      <c r="KWL82" s="9"/>
      <c r="KWM82" s="106"/>
      <c r="KWN82" s="9"/>
      <c r="KWO82" s="106"/>
      <c r="KWP82" s="9"/>
      <c r="KWQ82" s="106"/>
      <c r="KWR82" s="9"/>
      <c r="KWS82" s="106"/>
      <c r="KWT82" s="9"/>
      <c r="KWU82" s="106"/>
      <c r="KWV82" s="9"/>
      <c r="KWW82" s="106"/>
      <c r="KWX82" s="9"/>
      <c r="KWY82" s="106"/>
      <c r="KWZ82" s="9"/>
      <c r="KXA82" s="106"/>
      <c r="KXB82" s="9"/>
      <c r="KXC82" s="106"/>
      <c r="KXD82" s="9"/>
      <c r="KXE82" s="106"/>
      <c r="KXF82" s="9"/>
      <c r="KXG82" s="106"/>
      <c r="KXH82" s="9"/>
      <c r="KXI82" s="106"/>
      <c r="KXJ82" s="9"/>
      <c r="KXK82" s="106"/>
      <c r="KXL82" s="9"/>
      <c r="KXM82" s="106"/>
      <c r="KXN82" s="9"/>
      <c r="KXO82" s="106"/>
      <c r="KXP82" s="9"/>
      <c r="KXQ82" s="106"/>
      <c r="KXR82" s="9"/>
      <c r="KXS82" s="106"/>
      <c r="KXT82" s="9"/>
      <c r="KXU82" s="106"/>
      <c r="KXV82" s="9"/>
      <c r="KXW82" s="106"/>
      <c r="KXX82" s="9"/>
      <c r="KXY82" s="106"/>
      <c r="KXZ82" s="9"/>
      <c r="KYA82" s="106"/>
      <c r="KYB82" s="9"/>
      <c r="KYC82" s="106"/>
      <c r="KYD82" s="9"/>
      <c r="KYE82" s="106"/>
      <c r="KYF82" s="9"/>
      <c r="KYG82" s="106"/>
      <c r="KYH82" s="9"/>
      <c r="KYI82" s="106"/>
      <c r="KYJ82" s="9"/>
      <c r="KYK82" s="106"/>
      <c r="KYL82" s="9"/>
      <c r="KYM82" s="106"/>
      <c r="KYN82" s="9"/>
      <c r="KYO82" s="106"/>
      <c r="KYP82" s="9"/>
      <c r="KYQ82" s="106"/>
      <c r="KYR82" s="9"/>
      <c r="KYS82" s="106"/>
      <c r="KYT82" s="9"/>
      <c r="KYU82" s="106"/>
      <c r="KYV82" s="9"/>
      <c r="KYW82" s="106"/>
      <c r="KYX82" s="9"/>
      <c r="KYY82" s="106"/>
      <c r="KYZ82" s="9"/>
      <c r="KZA82" s="106"/>
      <c r="KZB82" s="9"/>
      <c r="KZC82" s="106"/>
      <c r="KZD82" s="9"/>
      <c r="KZE82" s="106"/>
      <c r="KZF82" s="9"/>
      <c r="KZG82" s="106"/>
      <c r="KZH82" s="9"/>
      <c r="KZI82" s="106"/>
      <c r="KZJ82" s="9"/>
      <c r="KZK82" s="106"/>
      <c r="KZL82" s="9"/>
      <c r="KZM82" s="106"/>
      <c r="KZN82" s="9"/>
      <c r="KZO82" s="106"/>
      <c r="KZP82" s="9"/>
      <c r="KZQ82" s="106"/>
      <c r="KZR82" s="9"/>
      <c r="KZS82" s="106"/>
      <c r="KZT82" s="9"/>
      <c r="KZU82" s="106"/>
      <c r="KZV82" s="9"/>
      <c r="KZW82" s="106"/>
      <c r="KZX82" s="9"/>
      <c r="KZY82" s="106"/>
      <c r="KZZ82" s="9"/>
      <c r="LAA82" s="106"/>
      <c r="LAB82" s="9"/>
      <c r="LAC82" s="106"/>
      <c r="LAD82" s="9"/>
      <c r="LAE82" s="106"/>
      <c r="LAF82" s="9"/>
      <c r="LAG82" s="106"/>
      <c r="LAH82" s="9"/>
      <c r="LAI82" s="106"/>
      <c r="LAJ82" s="9"/>
      <c r="LAK82" s="106"/>
      <c r="LAL82" s="9"/>
      <c r="LAM82" s="106"/>
      <c r="LAN82" s="9"/>
      <c r="LAO82" s="106"/>
      <c r="LAP82" s="9"/>
      <c r="LAQ82" s="106"/>
      <c r="LAR82" s="9"/>
      <c r="LAS82" s="106"/>
      <c r="LAT82" s="9"/>
      <c r="LAU82" s="106"/>
      <c r="LAV82" s="9"/>
      <c r="LAW82" s="106"/>
      <c r="LAX82" s="9"/>
      <c r="LAY82" s="106"/>
      <c r="LAZ82" s="9"/>
      <c r="LBA82" s="106"/>
      <c r="LBB82" s="9"/>
      <c r="LBC82" s="106"/>
      <c r="LBD82" s="9"/>
      <c r="LBE82" s="106"/>
      <c r="LBF82" s="9"/>
      <c r="LBG82" s="106"/>
      <c r="LBH82" s="9"/>
      <c r="LBI82" s="106"/>
      <c r="LBJ82" s="9"/>
      <c r="LBK82" s="106"/>
      <c r="LBL82" s="9"/>
      <c r="LBM82" s="106"/>
      <c r="LBN82" s="9"/>
      <c r="LBO82" s="106"/>
      <c r="LBP82" s="9"/>
      <c r="LBQ82" s="106"/>
      <c r="LBR82" s="9"/>
      <c r="LBS82" s="106"/>
      <c r="LBT82" s="9"/>
      <c r="LBU82" s="106"/>
      <c r="LBV82" s="9"/>
      <c r="LBW82" s="106"/>
      <c r="LBX82" s="9"/>
      <c r="LBY82" s="106"/>
      <c r="LBZ82" s="9"/>
      <c r="LCA82" s="106"/>
      <c r="LCB82" s="9"/>
      <c r="LCC82" s="106"/>
      <c r="LCD82" s="9"/>
      <c r="LCE82" s="106"/>
      <c r="LCF82" s="9"/>
      <c r="LCG82" s="106"/>
      <c r="LCH82" s="9"/>
      <c r="LCI82" s="106"/>
      <c r="LCJ82" s="9"/>
      <c r="LCK82" s="106"/>
      <c r="LCL82" s="9"/>
      <c r="LCM82" s="106"/>
      <c r="LCN82" s="9"/>
      <c r="LCO82" s="106"/>
      <c r="LCP82" s="9"/>
      <c r="LCQ82" s="106"/>
      <c r="LCR82" s="9"/>
      <c r="LCS82" s="106"/>
      <c r="LCT82" s="9"/>
      <c r="LCU82" s="106"/>
      <c r="LCV82" s="9"/>
      <c r="LCW82" s="106"/>
      <c r="LCX82" s="9"/>
      <c r="LCY82" s="106"/>
      <c r="LCZ82" s="9"/>
      <c r="LDA82" s="106"/>
      <c r="LDB82" s="9"/>
      <c r="LDC82" s="106"/>
      <c r="LDD82" s="9"/>
      <c r="LDE82" s="106"/>
      <c r="LDF82" s="9"/>
      <c r="LDG82" s="106"/>
      <c r="LDH82" s="9"/>
      <c r="LDI82" s="106"/>
      <c r="LDJ82" s="9"/>
      <c r="LDK82" s="106"/>
      <c r="LDL82" s="9"/>
      <c r="LDM82" s="106"/>
      <c r="LDN82" s="9"/>
      <c r="LDO82" s="106"/>
      <c r="LDP82" s="9"/>
      <c r="LDQ82" s="106"/>
      <c r="LDR82" s="9"/>
      <c r="LDS82" s="106"/>
      <c r="LDT82" s="9"/>
      <c r="LDU82" s="106"/>
      <c r="LDV82" s="9"/>
      <c r="LDW82" s="106"/>
      <c r="LDX82" s="9"/>
      <c r="LDY82" s="106"/>
      <c r="LDZ82" s="9"/>
      <c r="LEA82" s="106"/>
      <c r="LEB82" s="9"/>
      <c r="LEC82" s="106"/>
      <c r="LED82" s="9"/>
      <c r="LEE82" s="106"/>
      <c r="LEF82" s="9"/>
      <c r="LEG82" s="106"/>
      <c r="LEH82" s="9"/>
      <c r="LEI82" s="106"/>
      <c r="LEJ82" s="9"/>
      <c r="LEK82" s="106"/>
      <c r="LEL82" s="9"/>
      <c r="LEM82" s="106"/>
      <c r="LEN82" s="9"/>
      <c r="LEO82" s="106"/>
      <c r="LEP82" s="9"/>
      <c r="LEQ82" s="106"/>
      <c r="LER82" s="9"/>
      <c r="LES82" s="106"/>
      <c r="LET82" s="9"/>
      <c r="LEU82" s="106"/>
      <c r="LEV82" s="9"/>
      <c r="LEW82" s="106"/>
      <c r="LEX82" s="9"/>
      <c r="LEY82" s="106"/>
      <c r="LEZ82" s="9"/>
      <c r="LFA82" s="106"/>
      <c r="LFB82" s="9"/>
      <c r="LFC82" s="106"/>
      <c r="LFD82" s="9"/>
      <c r="LFE82" s="106"/>
      <c r="LFF82" s="9"/>
      <c r="LFG82" s="106"/>
      <c r="LFH82" s="9"/>
      <c r="LFI82" s="106"/>
      <c r="LFJ82" s="9"/>
      <c r="LFK82" s="106"/>
      <c r="LFL82" s="9"/>
      <c r="LFM82" s="106"/>
      <c r="LFN82" s="9"/>
      <c r="LFO82" s="106"/>
      <c r="LFP82" s="9"/>
      <c r="LFQ82" s="106"/>
      <c r="LFR82" s="9"/>
      <c r="LFS82" s="106"/>
      <c r="LFT82" s="9"/>
      <c r="LFU82" s="106"/>
      <c r="LFV82" s="9"/>
      <c r="LFW82" s="106"/>
      <c r="LFX82" s="9"/>
      <c r="LFY82" s="106"/>
      <c r="LFZ82" s="9"/>
      <c r="LGA82" s="106"/>
      <c r="LGB82" s="9"/>
      <c r="LGC82" s="106"/>
      <c r="LGD82" s="9"/>
      <c r="LGE82" s="106"/>
      <c r="LGF82" s="9"/>
      <c r="LGG82" s="106"/>
      <c r="LGH82" s="9"/>
      <c r="LGI82" s="106"/>
      <c r="LGJ82" s="9"/>
      <c r="LGK82" s="106"/>
      <c r="LGL82" s="9"/>
      <c r="LGM82" s="106"/>
      <c r="LGN82" s="9"/>
      <c r="LGO82" s="106"/>
      <c r="LGP82" s="9"/>
      <c r="LGQ82" s="106"/>
      <c r="LGR82" s="9"/>
      <c r="LGS82" s="106"/>
      <c r="LGT82" s="9"/>
      <c r="LGU82" s="106"/>
      <c r="LGV82" s="9"/>
      <c r="LGW82" s="106"/>
      <c r="LGX82" s="9"/>
      <c r="LGY82" s="106"/>
      <c r="LGZ82" s="9"/>
      <c r="LHA82" s="106"/>
      <c r="LHB82" s="9"/>
      <c r="LHC82" s="106"/>
      <c r="LHD82" s="9"/>
      <c r="LHE82" s="106"/>
      <c r="LHF82" s="9"/>
      <c r="LHG82" s="106"/>
      <c r="LHH82" s="9"/>
      <c r="LHI82" s="106"/>
      <c r="LHJ82" s="9"/>
      <c r="LHK82" s="106"/>
      <c r="LHL82" s="9"/>
      <c r="LHM82" s="106"/>
      <c r="LHN82" s="9"/>
      <c r="LHO82" s="106"/>
      <c r="LHP82" s="9"/>
      <c r="LHQ82" s="106"/>
      <c r="LHR82" s="9"/>
      <c r="LHS82" s="106"/>
      <c r="LHT82" s="9"/>
      <c r="LHU82" s="106"/>
      <c r="LHV82" s="9"/>
      <c r="LHW82" s="106"/>
      <c r="LHX82" s="9"/>
      <c r="LHY82" s="106"/>
      <c r="LHZ82" s="9"/>
      <c r="LIA82" s="106"/>
      <c r="LIB82" s="9"/>
      <c r="LIC82" s="106"/>
      <c r="LID82" s="9"/>
      <c r="LIE82" s="106"/>
      <c r="LIF82" s="9"/>
      <c r="LIG82" s="106"/>
      <c r="LIH82" s="9"/>
      <c r="LII82" s="106"/>
      <c r="LIJ82" s="9"/>
      <c r="LIK82" s="106"/>
      <c r="LIL82" s="9"/>
      <c r="LIM82" s="106"/>
      <c r="LIN82" s="9"/>
      <c r="LIO82" s="106"/>
      <c r="LIP82" s="9"/>
      <c r="LIQ82" s="106"/>
      <c r="LIR82" s="9"/>
      <c r="LIS82" s="106"/>
      <c r="LIT82" s="9"/>
      <c r="LIU82" s="106"/>
      <c r="LIV82" s="9"/>
      <c r="LIW82" s="106"/>
      <c r="LIX82" s="9"/>
      <c r="LIY82" s="106"/>
      <c r="LIZ82" s="9"/>
      <c r="LJA82" s="106"/>
      <c r="LJB82" s="9"/>
      <c r="LJC82" s="106"/>
      <c r="LJD82" s="9"/>
      <c r="LJE82" s="106"/>
      <c r="LJF82" s="9"/>
      <c r="LJG82" s="106"/>
      <c r="LJH82" s="9"/>
      <c r="LJI82" s="106"/>
      <c r="LJJ82" s="9"/>
      <c r="LJK82" s="106"/>
      <c r="LJL82" s="9"/>
      <c r="LJM82" s="106"/>
      <c r="LJN82" s="9"/>
      <c r="LJO82" s="106"/>
      <c r="LJP82" s="9"/>
      <c r="LJQ82" s="106"/>
      <c r="LJR82" s="9"/>
      <c r="LJS82" s="106"/>
      <c r="LJT82" s="9"/>
      <c r="LJU82" s="106"/>
      <c r="LJV82" s="9"/>
      <c r="LJW82" s="106"/>
      <c r="LJX82" s="9"/>
      <c r="LJY82" s="106"/>
      <c r="LJZ82" s="9"/>
      <c r="LKA82" s="106"/>
      <c r="LKB82" s="9"/>
      <c r="LKC82" s="106"/>
      <c r="LKD82" s="9"/>
      <c r="LKE82" s="106"/>
      <c r="LKF82" s="9"/>
      <c r="LKG82" s="106"/>
      <c r="LKH82" s="9"/>
      <c r="LKI82" s="106"/>
      <c r="LKJ82" s="9"/>
      <c r="LKK82" s="106"/>
      <c r="LKL82" s="9"/>
      <c r="LKM82" s="106"/>
      <c r="LKN82" s="9"/>
      <c r="LKO82" s="106"/>
      <c r="LKP82" s="9"/>
      <c r="LKQ82" s="106"/>
      <c r="LKR82" s="9"/>
      <c r="LKS82" s="106"/>
      <c r="LKT82" s="9"/>
      <c r="LKU82" s="106"/>
      <c r="LKV82" s="9"/>
      <c r="LKW82" s="106"/>
      <c r="LKX82" s="9"/>
      <c r="LKY82" s="106"/>
      <c r="LKZ82" s="9"/>
      <c r="LLA82" s="106"/>
      <c r="LLB82" s="9"/>
      <c r="LLC82" s="106"/>
      <c r="LLD82" s="9"/>
      <c r="LLE82" s="106"/>
      <c r="LLF82" s="9"/>
      <c r="LLG82" s="106"/>
      <c r="LLH82" s="9"/>
      <c r="LLI82" s="106"/>
      <c r="LLJ82" s="9"/>
      <c r="LLK82" s="106"/>
      <c r="LLL82" s="9"/>
      <c r="LLM82" s="106"/>
      <c r="LLN82" s="9"/>
      <c r="LLO82" s="106"/>
      <c r="LLP82" s="9"/>
      <c r="LLQ82" s="106"/>
      <c r="LLR82" s="9"/>
      <c r="LLS82" s="106"/>
      <c r="LLT82" s="9"/>
      <c r="LLU82" s="106"/>
      <c r="LLV82" s="9"/>
      <c r="LLW82" s="106"/>
      <c r="LLX82" s="9"/>
      <c r="LLY82" s="106"/>
      <c r="LLZ82" s="9"/>
      <c r="LMA82" s="106"/>
      <c r="LMB82" s="9"/>
      <c r="LMC82" s="106"/>
      <c r="LMD82" s="9"/>
      <c r="LME82" s="106"/>
      <c r="LMF82" s="9"/>
      <c r="LMG82" s="106"/>
      <c r="LMH82" s="9"/>
      <c r="LMI82" s="106"/>
      <c r="LMJ82" s="9"/>
      <c r="LMK82" s="106"/>
      <c r="LML82" s="9"/>
      <c r="LMM82" s="106"/>
      <c r="LMN82" s="9"/>
      <c r="LMO82" s="106"/>
      <c r="LMP82" s="9"/>
      <c r="LMQ82" s="106"/>
      <c r="LMR82" s="9"/>
      <c r="LMS82" s="106"/>
      <c r="LMT82" s="9"/>
      <c r="LMU82" s="106"/>
      <c r="LMV82" s="9"/>
      <c r="LMW82" s="106"/>
      <c r="LMX82" s="9"/>
      <c r="LMY82" s="106"/>
      <c r="LMZ82" s="9"/>
      <c r="LNA82" s="106"/>
      <c r="LNB82" s="9"/>
      <c r="LNC82" s="106"/>
      <c r="LND82" s="9"/>
      <c r="LNE82" s="106"/>
      <c r="LNF82" s="9"/>
      <c r="LNG82" s="106"/>
      <c r="LNH82" s="9"/>
      <c r="LNI82" s="106"/>
      <c r="LNJ82" s="9"/>
      <c r="LNK82" s="106"/>
      <c r="LNL82" s="9"/>
      <c r="LNM82" s="106"/>
      <c r="LNN82" s="9"/>
      <c r="LNO82" s="106"/>
      <c r="LNP82" s="9"/>
      <c r="LNQ82" s="106"/>
      <c r="LNR82" s="9"/>
      <c r="LNS82" s="106"/>
      <c r="LNT82" s="9"/>
      <c r="LNU82" s="106"/>
      <c r="LNV82" s="9"/>
      <c r="LNW82" s="106"/>
      <c r="LNX82" s="9"/>
      <c r="LNY82" s="106"/>
      <c r="LNZ82" s="9"/>
      <c r="LOA82" s="106"/>
      <c r="LOB82" s="9"/>
      <c r="LOC82" s="106"/>
      <c r="LOD82" s="9"/>
      <c r="LOE82" s="106"/>
      <c r="LOF82" s="9"/>
      <c r="LOG82" s="106"/>
      <c r="LOH82" s="9"/>
      <c r="LOI82" s="106"/>
      <c r="LOJ82" s="9"/>
      <c r="LOK82" s="106"/>
      <c r="LOL82" s="9"/>
      <c r="LOM82" s="106"/>
      <c r="LON82" s="9"/>
      <c r="LOO82" s="106"/>
      <c r="LOP82" s="9"/>
      <c r="LOQ82" s="106"/>
      <c r="LOR82" s="9"/>
      <c r="LOS82" s="106"/>
      <c r="LOT82" s="9"/>
      <c r="LOU82" s="106"/>
      <c r="LOV82" s="9"/>
      <c r="LOW82" s="106"/>
      <c r="LOX82" s="9"/>
      <c r="LOY82" s="106"/>
      <c r="LOZ82" s="9"/>
      <c r="LPA82" s="106"/>
      <c r="LPB82" s="9"/>
      <c r="LPC82" s="106"/>
      <c r="LPD82" s="9"/>
      <c r="LPE82" s="106"/>
      <c r="LPF82" s="9"/>
      <c r="LPG82" s="106"/>
      <c r="LPH82" s="9"/>
      <c r="LPI82" s="106"/>
      <c r="LPJ82" s="9"/>
      <c r="LPK82" s="106"/>
      <c r="LPL82" s="9"/>
      <c r="LPM82" s="106"/>
      <c r="LPN82" s="9"/>
      <c r="LPO82" s="106"/>
      <c r="LPP82" s="9"/>
      <c r="LPQ82" s="106"/>
      <c r="LPR82" s="9"/>
      <c r="LPS82" s="106"/>
      <c r="LPT82" s="9"/>
      <c r="LPU82" s="106"/>
      <c r="LPV82" s="9"/>
      <c r="LPW82" s="106"/>
      <c r="LPX82" s="9"/>
      <c r="LPY82" s="106"/>
      <c r="LPZ82" s="9"/>
      <c r="LQA82" s="106"/>
      <c r="LQB82" s="9"/>
      <c r="LQC82" s="106"/>
      <c r="LQD82" s="9"/>
      <c r="LQE82" s="106"/>
      <c r="LQF82" s="9"/>
      <c r="LQG82" s="106"/>
      <c r="LQH82" s="9"/>
      <c r="LQI82" s="106"/>
      <c r="LQJ82" s="9"/>
      <c r="LQK82" s="106"/>
      <c r="LQL82" s="9"/>
      <c r="LQM82" s="106"/>
      <c r="LQN82" s="9"/>
      <c r="LQO82" s="106"/>
      <c r="LQP82" s="9"/>
      <c r="LQQ82" s="106"/>
      <c r="LQR82" s="9"/>
      <c r="LQS82" s="106"/>
      <c r="LQT82" s="9"/>
      <c r="LQU82" s="106"/>
      <c r="LQV82" s="9"/>
      <c r="LQW82" s="106"/>
      <c r="LQX82" s="9"/>
      <c r="LQY82" s="106"/>
      <c r="LQZ82" s="9"/>
      <c r="LRA82" s="106"/>
      <c r="LRB82" s="9"/>
      <c r="LRC82" s="106"/>
      <c r="LRD82" s="9"/>
      <c r="LRE82" s="106"/>
      <c r="LRF82" s="9"/>
      <c r="LRG82" s="106"/>
      <c r="LRH82" s="9"/>
      <c r="LRI82" s="106"/>
      <c r="LRJ82" s="9"/>
      <c r="LRK82" s="106"/>
      <c r="LRL82" s="9"/>
      <c r="LRM82" s="106"/>
      <c r="LRN82" s="9"/>
      <c r="LRO82" s="106"/>
      <c r="LRP82" s="9"/>
      <c r="LRQ82" s="106"/>
      <c r="LRR82" s="9"/>
      <c r="LRS82" s="106"/>
      <c r="LRT82" s="9"/>
      <c r="LRU82" s="106"/>
      <c r="LRV82" s="9"/>
      <c r="LRW82" s="106"/>
      <c r="LRX82" s="9"/>
      <c r="LRY82" s="106"/>
      <c r="LRZ82" s="9"/>
      <c r="LSA82" s="106"/>
      <c r="LSB82" s="9"/>
      <c r="LSC82" s="106"/>
      <c r="LSD82" s="9"/>
      <c r="LSE82" s="106"/>
      <c r="LSF82" s="9"/>
      <c r="LSG82" s="106"/>
      <c r="LSH82" s="9"/>
      <c r="LSI82" s="106"/>
      <c r="LSJ82" s="9"/>
      <c r="LSK82" s="106"/>
      <c r="LSL82" s="9"/>
      <c r="LSM82" s="106"/>
      <c r="LSN82" s="9"/>
      <c r="LSO82" s="106"/>
      <c r="LSP82" s="9"/>
      <c r="LSQ82" s="106"/>
      <c r="LSR82" s="9"/>
      <c r="LSS82" s="106"/>
      <c r="LST82" s="9"/>
      <c r="LSU82" s="106"/>
      <c r="LSV82" s="9"/>
      <c r="LSW82" s="106"/>
      <c r="LSX82" s="9"/>
      <c r="LSY82" s="106"/>
      <c r="LSZ82" s="9"/>
      <c r="LTA82" s="106"/>
      <c r="LTB82" s="9"/>
      <c r="LTC82" s="106"/>
      <c r="LTD82" s="9"/>
      <c r="LTE82" s="106"/>
      <c r="LTF82" s="9"/>
      <c r="LTG82" s="106"/>
      <c r="LTH82" s="9"/>
      <c r="LTI82" s="106"/>
      <c r="LTJ82" s="9"/>
      <c r="LTK82" s="106"/>
      <c r="LTL82" s="9"/>
      <c r="LTM82" s="106"/>
      <c r="LTN82" s="9"/>
      <c r="LTO82" s="106"/>
      <c r="LTP82" s="9"/>
      <c r="LTQ82" s="106"/>
      <c r="LTR82" s="9"/>
      <c r="LTS82" s="106"/>
      <c r="LTT82" s="9"/>
      <c r="LTU82" s="106"/>
      <c r="LTV82" s="9"/>
      <c r="LTW82" s="106"/>
      <c r="LTX82" s="9"/>
      <c r="LTY82" s="106"/>
      <c r="LTZ82" s="9"/>
      <c r="LUA82" s="106"/>
      <c r="LUB82" s="9"/>
      <c r="LUC82" s="106"/>
      <c r="LUD82" s="9"/>
      <c r="LUE82" s="106"/>
      <c r="LUF82" s="9"/>
      <c r="LUG82" s="106"/>
      <c r="LUH82" s="9"/>
      <c r="LUI82" s="106"/>
      <c r="LUJ82" s="9"/>
      <c r="LUK82" s="106"/>
      <c r="LUL82" s="9"/>
      <c r="LUM82" s="106"/>
      <c r="LUN82" s="9"/>
      <c r="LUO82" s="106"/>
      <c r="LUP82" s="9"/>
      <c r="LUQ82" s="106"/>
      <c r="LUR82" s="9"/>
      <c r="LUS82" s="106"/>
      <c r="LUT82" s="9"/>
      <c r="LUU82" s="106"/>
      <c r="LUV82" s="9"/>
      <c r="LUW82" s="106"/>
      <c r="LUX82" s="9"/>
      <c r="LUY82" s="106"/>
      <c r="LUZ82" s="9"/>
      <c r="LVA82" s="106"/>
      <c r="LVB82" s="9"/>
      <c r="LVC82" s="106"/>
      <c r="LVD82" s="9"/>
      <c r="LVE82" s="106"/>
      <c r="LVF82" s="9"/>
      <c r="LVG82" s="106"/>
      <c r="LVH82" s="9"/>
      <c r="LVI82" s="106"/>
      <c r="LVJ82" s="9"/>
      <c r="LVK82" s="106"/>
      <c r="LVL82" s="9"/>
      <c r="LVM82" s="106"/>
      <c r="LVN82" s="9"/>
      <c r="LVO82" s="106"/>
      <c r="LVP82" s="9"/>
      <c r="LVQ82" s="106"/>
      <c r="LVR82" s="9"/>
      <c r="LVS82" s="106"/>
      <c r="LVT82" s="9"/>
      <c r="LVU82" s="106"/>
      <c r="LVV82" s="9"/>
      <c r="LVW82" s="106"/>
      <c r="LVX82" s="9"/>
      <c r="LVY82" s="106"/>
      <c r="LVZ82" s="9"/>
      <c r="LWA82" s="106"/>
      <c r="LWB82" s="9"/>
      <c r="LWC82" s="106"/>
      <c r="LWD82" s="9"/>
      <c r="LWE82" s="106"/>
      <c r="LWF82" s="9"/>
      <c r="LWG82" s="106"/>
      <c r="LWH82" s="9"/>
      <c r="LWI82" s="106"/>
      <c r="LWJ82" s="9"/>
      <c r="LWK82" s="106"/>
      <c r="LWL82" s="9"/>
      <c r="LWM82" s="106"/>
      <c r="LWN82" s="9"/>
      <c r="LWO82" s="106"/>
      <c r="LWP82" s="9"/>
      <c r="LWQ82" s="106"/>
      <c r="LWR82" s="9"/>
      <c r="LWS82" s="106"/>
      <c r="LWT82" s="9"/>
      <c r="LWU82" s="106"/>
      <c r="LWV82" s="9"/>
      <c r="LWW82" s="106"/>
      <c r="LWX82" s="9"/>
      <c r="LWY82" s="106"/>
      <c r="LWZ82" s="9"/>
      <c r="LXA82" s="106"/>
      <c r="LXB82" s="9"/>
      <c r="LXC82" s="106"/>
      <c r="LXD82" s="9"/>
      <c r="LXE82" s="106"/>
      <c r="LXF82" s="9"/>
      <c r="LXG82" s="106"/>
      <c r="LXH82" s="9"/>
      <c r="LXI82" s="106"/>
      <c r="LXJ82" s="9"/>
      <c r="LXK82" s="106"/>
      <c r="LXL82" s="9"/>
      <c r="LXM82" s="106"/>
      <c r="LXN82" s="9"/>
      <c r="LXO82" s="106"/>
      <c r="LXP82" s="9"/>
      <c r="LXQ82" s="106"/>
      <c r="LXR82" s="9"/>
      <c r="LXS82" s="106"/>
      <c r="LXT82" s="9"/>
      <c r="LXU82" s="106"/>
      <c r="LXV82" s="9"/>
      <c r="LXW82" s="106"/>
      <c r="LXX82" s="9"/>
      <c r="LXY82" s="106"/>
      <c r="LXZ82" s="9"/>
      <c r="LYA82" s="106"/>
      <c r="LYB82" s="9"/>
      <c r="LYC82" s="106"/>
      <c r="LYD82" s="9"/>
      <c r="LYE82" s="106"/>
      <c r="LYF82" s="9"/>
      <c r="LYG82" s="106"/>
      <c r="LYH82" s="9"/>
      <c r="LYI82" s="106"/>
      <c r="LYJ82" s="9"/>
      <c r="LYK82" s="106"/>
      <c r="LYL82" s="9"/>
      <c r="LYM82" s="106"/>
      <c r="LYN82" s="9"/>
      <c r="LYO82" s="106"/>
      <c r="LYP82" s="9"/>
      <c r="LYQ82" s="106"/>
      <c r="LYR82" s="9"/>
      <c r="LYS82" s="106"/>
      <c r="LYT82" s="9"/>
      <c r="LYU82" s="106"/>
      <c r="LYV82" s="9"/>
      <c r="LYW82" s="106"/>
      <c r="LYX82" s="9"/>
      <c r="LYY82" s="106"/>
      <c r="LYZ82" s="9"/>
      <c r="LZA82" s="106"/>
      <c r="LZB82" s="9"/>
      <c r="LZC82" s="106"/>
      <c r="LZD82" s="9"/>
      <c r="LZE82" s="106"/>
      <c r="LZF82" s="9"/>
      <c r="LZG82" s="106"/>
      <c r="LZH82" s="9"/>
      <c r="LZI82" s="106"/>
      <c r="LZJ82" s="9"/>
      <c r="LZK82" s="106"/>
      <c r="LZL82" s="9"/>
      <c r="LZM82" s="106"/>
      <c r="LZN82" s="9"/>
      <c r="LZO82" s="106"/>
      <c r="LZP82" s="9"/>
      <c r="LZQ82" s="106"/>
      <c r="LZR82" s="9"/>
      <c r="LZS82" s="106"/>
      <c r="LZT82" s="9"/>
      <c r="LZU82" s="106"/>
      <c r="LZV82" s="9"/>
      <c r="LZW82" s="106"/>
      <c r="LZX82" s="9"/>
      <c r="LZY82" s="106"/>
      <c r="LZZ82" s="9"/>
      <c r="MAA82" s="106"/>
      <c r="MAB82" s="9"/>
      <c r="MAC82" s="106"/>
      <c r="MAD82" s="9"/>
      <c r="MAE82" s="106"/>
      <c r="MAF82" s="9"/>
      <c r="MAG82" s="106"/>
      <c r="MAH82" s="9"/>
      <c r="MAI82" s="106"/>
      <c r="MAJ82" s="9"/>
      <c r="MAK82" s="106"/>
      <c r="MAL82" s="9"/>
      <c r="MAM82" s="106"/>
      <c r="MAN82" s="9"/>
      <c r="MAO82" s="106"/>
      <c r="MAP82" s="9"/>
      <c r="MAQ82" s="106"/>
      <c r="MAR82" s="9"/>
      <c r="MAS82" s="106"/>
      <c r="MAT82" s="9"/>
      <c r="MAU82" s="106"/>
      <c r="MAV82" s="9"/>
      <c r="MAW82" s="106"/>
      <c r="MAX82" s="9"/>
      <c r="MAY82" s="106"/>
      <c r="MAZ82" s="9"/>
      <c r="MBA82" s="106"/>
      <c r="MBB82" s="9"/>
      <c r="MBC82" s="106"/>
      <c r="MBD82" s="9"/>
      <c r="MBE82" s="106"/>
      <c r="MBF82" s="9"/>
      <c r="MBG82" s="106"/>
      <c r="MBH82" s="9"/>
      <c r="MBI82" s="106"/>
      <c r="MBJ82" s="9"/>
      <c r="MBK82" s="106"/>
      <c r="MBL82" s="9"/>
      <c r="MBM82" s="106"/>
      <c r="MBN82" s="9"/>
      <c r="MBO82" s="106"/>
      <c r="MBP82" s="9"/>
      <c r="MBQ82" s="106"/>
      <c r="MBR82" s="9"/>
      <c r="MBS82" s="106"/>
      <c r="MBT82" s="9"/>
      <c r="MBU82" s="106"/>
      <c r="MBV82" s="9"/>
      <c r="MBW82" s="106"/>
      <c r="MBX82" s="9"/>
      <c r="MBY82" s="106"/>
      <c r="MBZ82" s="9"/>
      <c r="MCA82" s="106"/>
      <c r="MCB82" s="9"/>
      <c r="MCC82" s="106"/>
      <c r="MCD82" s="9"/>
      <c r="MCE82" s="106"/>
      <c r="MCF82" s="9"/>
      <c r="MCG82" s="106"/>
      <c r="MCH82" s="9"/>
      <c r="MCI82" s="106"/>
      <c r="MCJ82" s="9"/>
      <c r="MCK82" s="106"/>
      <c r="MCL82" s="9"/>
      <c r="MCM82" s="106"/>
      <c r="MCN82" s="9"/>
      <c r="MCO82" s="106"/>
      <c r="MCP82" s="9"/>
      <c r="MCQ82" s="106"/>
      <c r="MCR82" s="9"/>
      <c r="MCS82" s="106"/>
      <c r="MCT82" s="9"/>
      <c r="MCU82" s="106"/>
      <c r="MCV82" s="9"/>
      <c r="MCW82" s="106"/>
      <c r="MCX82" s="9"/>
      <c r="MCY82" s="106"/>
      <c r="MCZ82" s="9"/>
      <c r="MDA82" s="106"/>
      <c r="MDB82" s="9"/>
      <c r="MDC82" s="106"/>
      <c r="MDD82" s="9"/>
      <c r="MDE82" s="106"/>
      <c r="MDF82" s="9"/>
      <c r="MDG82" s="106"/>
      <c r="MDH82" s="9"/>
      <c r="MDI82" s="106"/>
      <c r="MDJ82" s="9"/>
      <c r="MDK82" s="106"/>
      <c r="MDL82" s="9"/>
      <c r="MDM82" s="106"/>
      <c r="MDN82" s="9"/>
      <c r="MDO82" s="106"/>
      <c r="MDP82" s="9"/>
      <c r="MDQ82" s="106"/>
      <c r="MDR82" s="9"/>
      <c r="MDS82" s="106"/>
      <c r="MDT82" s="9"/>
      <c r="MDU82" s="106"/>
      <c r="MDV82" s="9"/>
      <c r="MDW82" s="106"/>
      <c r="MDX82" s="9"/>
      <c r="MDY82" s="106"/>
      <c r="MDZ82" s="9"/>
      <c r="MEA82" s="106"/>
      <c r="MEB82" s="9"/>
      <c r="MEC82" s="106"/>
      <c r="MED82" s="9"/>
      <c r="MEE82" s="106"/>
      <c r="MEF82" s="9"/>
      <c r="MEG82" s="106"/>
      <c r="MEH82" s="9"/>
      <c r="MEI82" s="106"/>
      <c r="MEJ82" s="9"/>
      <c r="MEK82" s="106"/>
      <c r="MEL82" s="9"/>
      <c r="MEM82" s="106"/>
      <c r="MEN82" s="9"/>
      <c r="MEO82" s="106"/>
      <c r="MEP82" s="9"/>
      <c r="MEQ82" s="106"/>
      <c r="MER82" s="9"/>
      <c r="MES82" s="106"/>
      <c r="MET82" s="9"/>
      <c r="MEU82" s="106"/>
      <c r="MEV82" s="9"/>
      <c r="MEW82" s="106"/>
      <c r="MEX82" s="9"/>
      <c r="MEY82" s="106"/>
      <c r="MEZ82" s="9"/>
      <c r="MFA82" s="106"/>
      <c r="MFB82" s="9"/>
      <c r="MFC82" s="106"/>
      <c r="MFD82" s="9"/>
      <c r="MFE82" s="106"/>
      <c r="MFF82" s="9"/>
      <c r="MFG82" s="106"/>
      <c r="MFH82" s="9"/>
      <c r="MFI82" s="106"/>
      <c r="MFJ82" s="9"/>
      <c r="MFK82" s="106"/>
      <c r="MFL82" s="9"/>
      <c r="MFM82" s="106"/>
      <c r="MFN82" s="9"/>
      <c r="MFO82" s="106"/>
      <c r="MFP82" s="9"/>
      <c r="MFQ82" s="106"/>
      <c r="MFR82" s="9"/>
      <c r="MFS82" s="106"/>
      <c r="MFT82" s="9"/>
      <c r="MFU82" s="106"/>
      <c r="MFV82" s="9"/>
      <c r="MFW82" s="106"/>
      <c r="MFX82" s="9"/>
      <c r="MFY82" s="106"/>
      <c r="MFZ82" s="9"/>
      <c r="MGA82" s="106"/>
      <c r="MGB82" s="9"/>
      <c r="MGC82" s="106"/>
      <c r="MGD82" s="9"/>
      <c r="MGE82" s="106"/>
      <c r="MGF82" s="9"/>
      <c r="MGG82" s="106"/>
      <c r="MGH82" s="9"/>
      <c r="MGI82" s="106"/>
      <c r="MGJ82" s="9"/>
      <c r="MGK82" s="106"/>
      <c r="MGL82" s="9"/>
      <c r="MGM82" s="106"/>
      <c r="MGN82" s="9"/>
      <c r="MGO82" s="106"/>
      <c r="MGP82" s="9"/>
      <c r="MGQ82" s="106"/>
      <c r="MGR82" s="9"/>
      <c r="MGS82" s="106"/>
      <c r="MGT82" s="9"/>
      <c r="MGU82" s="106"/>
      <c r="MGV82" s="9"/>
      <c r="MGW82" s="106"/>
      <c r="MGX82" s="9"/>
      <c r="MGY82" s="106"/>
      <c r="MGZ82" s="9"/>
      <c r="MHA82" s="106"/>
      <c r="MHB82" s="9"/>
      <c r="MHC82" s="106"/>
      <c r="MHD82" s="9"/>
      <c r="MHE82" s="106"/>
      <c r="MHF82" s="9"/>
      <c r="MHG82" s="106"/>
      <c r="MHH82" s="9"/>
      <c r="MHI82" s="106"/>
      <c r="MHJ82" s="9"/>
      <c r="MHK82" s="106"/>
      <c r="MHL82" s="9"/>
      <c r="MHM82" s="106"/>
      <c r="MHN82" s="9"/>
      <c r="MHO82" s="106"/>
      <c r="MHP82" s="9"/>
      <c r="MHQ82" s="106"/>
      <c r="MHR82" s="9"/>
      <c r="MHS82" s="106"/>
      <c r="MHT82" s="9"/>
      <c r="MHU82" s="106"/>
      <c r="MHV82" s="9"/>
      <c r="MHW82" s="106"/>
      <c r="MHX82" s="9"/>
      <c r="MHY82" s="106"/>
      <c r="MHZ82" s="9"/>
      <c r="MIA82" s="106"/>
      <c r="MIB82" s="9"/>
      <c r="MIC82" s="106"/>
      <c r="MID82" s="9"/>
      <c r="MIE82" s="106"/>
      <c r="MIF82" s="9"/>
      <c r="MIG82" s="106"/>
      <c r="MIH82" s="9"/>
      <c r="MII82" s="106"/>
      <c r="MIJ82" s="9"/>
      <c r="MIK82" s="106"/>
      <c r="MIL82" s="9"/>
      <c r="MIM82" s="106"/>
      <c r="MIN82" s="9"/>
      <c r="MIO82" s="106"/>
      <c r="MIP82" s="9"/>
      <c r="MIQ82" s="106"/>
      <c r="MIR82" s="9"/>
      <c r="MIS82" s="106"/>
      <c r="MIT82" s="9"/>
      <c r="MIU82" s="106"/>
      <c r="MIV82" s="9"/>
      <c r="MIW82" s="106"/>
      <c r="MIX82" s="9"/>
      <c r="MIY82" s="106"/>
      <c r="MIZ82" s="9"/>
      <c r="MJA82" s="106"/>
      <c r="MJB82" s="9"/>
      <c r="MJC82" s="106"/>
      <c r="MJD82" s="9"/>
      <c r="MJE82" s="106"/>
      <c r="MJF82" s="9"/>
      <c r="MJG82" s="106"/>
      <c r="MJH82" s="9"/>
      <c r="MJI82" s="106"/>
      <c r="MJJ82" s="9"/>
      <c r="MJK82" s="106"/>
      <c r="MJL82" s="9"/>
      <c r="MJM82" s="106"/>
      <c r="MJN82" s="9"/>
      <c r="MJO82" s="106"/>
      <c r="MJP82" s="9"/>
      <c r="MJQ82" s="106"/>
      <c r="MJR82" s="9"/>
      <c r="MJS82" s="106"/>
      <c r="MJT82" s="9"/>
      <c r="MJU82" s="106"/>
      <c r="MJV82" s="9"/>
      <c r="MJW82" s="106"/>
      <c r="MJX82" s="9"/>
      <c r="MJY82" s="106"/>
      <c r="MJZ82" s="9"/>
      <c r="MKA82" s="106"/>
      <c r="MKB82" s="9"/>
      <c r="MKC82" s="106"/>
      <c r="MKD82" s="9"/>
      <c r="MKE82" s="106"/>
      <c r="MKF82" s="9"/>
      <c r="MKG82" s="106"/>
      <c r="MKH82" s="9"/>
      <c r="MKI82" s="106"/>
      <c r="MKJ82" s="9"/>
      <c r="MKK82" s="106"/>
      <c r="MKL82" s="9"/>
      <c r="MKM82" s="106"/>
      <c r="MKN82" s="9"/>
      <c r="MKO82" s="106"/>
      <c r="MKP82" s="9"/>
      <c r="MKQ82" s="106"/>
      <c r="MKR82" s="9"/>
      <c r="MKS82" s="106"/>
      <c r="MKT82" s="9"/>
      <c r="MKU82" s="106"/>
      <c r="MKV82" s="9"/>
      <c r="MKW82" s="106"/>
      <c r="MKX82" s="9"/>
      <c r="MKY82" s="106"/>
      <c r="MKZ82" s="9"/>
      <c r="MLA82" s="106"/>
      <c r="MLB82" s="9"/>
      <c r="MLC82" s="106"/>
      <c r="MLD82" s="9"/>
      <c r="MLE82" s="106"/>
      <c r="MLF82" s="9"/>
      <c r="MLG82" s="106"/>
      <c r="MLH82" s="9"/>
      <c r="MLI82" s="106"/>
      <c r="MLJ82" s="9"/>
      <c r="MLK82" s="106"/>
      <c r="MLL82" s="9"/>
      <c r="MLM82" s="106"/>
      <c r="MLN82" s="9"/>
      <c r="MLO82" s="106"/>
      <c r="MLP82" s="9"/>
      <c r="MLQ82" s="106"/>
      <c r="MLR82" s="9"/>
      <c r="MLS82" s="106"/>
      <c r="MLT82" s="9"/>
      <c r="MLU82" s="106"/>
      <c r="MLV82" s="9"/>
      <c r="MLW82" s="106"/>
      <c r="MLX82" s="9"/>
      <c r="MLY82" s="106"/>
      <c r="MLZ82" s="9"/>
      <c r="MMA82" s="106"/>
      <c r="MMB82" s="9"/>
      <c r="MMC82" s="106"/>
      <c r="MMD82" s="9"/>
      <c r="MME82" s="106"/>
      <c r="MMF82" s="9"/>
      <c r="MMG82" s="106"/>
      <c r="MMH82" s="9"/>
      <c r="MMI82" s="106"/>
      <c r="MMJ82" s="9"/>
      <c r="MMK82" s="106"/>
      <c r="MML82" s="9"/>
      <c r="MMM82" s="106"/>
      <c r="MMN82" s="9"/>
      <c r="MMO82" s="106"/>
      <c r="MMP82" s="9"/>
      <c r="MMQ82" s="106"/>
      <c r="MMR82" s="9"/>
      <c r="MMS82" s="106"/>
      <c r="MMT82" s="9"/>
      <c r="MMU82" s="106"/>
      <c r="MMV82" s="9"/>
      <c r="MMW82" s="106"/>
      <c r="MMX82" s="9"/>
      <c r="MMY82" s="106"/>
      <c r="MMZ82" s="9"/>
      <c r="MNA82" s="106"/>
      <c r="MNB82" s="9"/>
      <c r="MNC82" s="106"/>
      <c r="MND82" s="9"/>
      <c r="MNE82" s="106"/>
      <c r="MNF82" s="9"/>
      <c r="MNG82" s="106"/>
      <c r="MNH82" s="9"/>
      <c r="MNI82" s="106"/>
      <c r="MNJ82" s="9"/>
      <c r="MNK82" s="106"/>
      <c r="MNL82" s="9"/>
      <c r="MNM82" s="106"/>
      <c r="MNN82" s="9"/>
      <c r="MNO82" s="106"/>
      <c r="MNP82" s="9"/>
      <c r="MNQ82" s="106"/>
      <c r="MNR82" s="9"/>
      <c r="MNS82" s="106"/>
      <c r="MNT82" s="9"/>
      <c r="MNU82" s="106"/>
      <c r="MNV82" s="9"/>
      <c r="MNW82" s="106"/>
      <c r="MNX82" s="9"/>
      <c r="MNY82" s="106"/>
      <c r="MNZ82" s="9"/>
      <c r="MOA82" s="106"/>
      <c r="MOB82" s="9"/>
      <c r="MOC82" s="106"/>
      <c r="MOD82" s="9"/>
      <c r="MOE82" s="106"/>
      <c r="MOF82" s="9"/>
      <c r="MOG82" s="106"/>
      <c r="MOH82" s="9"/>
      <c r="MOI82" s="106"/>
      <c r="MOJ82" s="9"/>
      <c r="MOK82" s="106"/>
      <c r="MOL82" s="9"/>
      <c r="MOM82" s="106"/>
      <c r="MON82" s="9"/>
      <c r="MOO82" s="106"/>
      <c r="MOP82" s="9"/>
      <c r="MOQ82" s="106"/>
      <c r="MOR82" s="9"/>
      <c r="MOS82" s="106"/>
      <c r="MOT82" s="9"/>
      <c r="MOU82" s="106"/>
      <c r="MOV82" s="9"/>
      <c r="MOW82" s="106"/>
      <c r="MOX82" s="9"/>
      <c r="MOY82" s="106"/>
      <c r="MOZ82" s="9"/>
      <c r="MPA82" s="106"/>
      <c r="MPB82" s="9"/>
      <c r="MPC82" s="106"/>
      <c r="MPD82" s="9"/>
      <c r="MPE82" s="106"/>
      <c r="MPF82" s="9"/>
      <c r="MPG82" s="106"/>
      <c r="MPH82" s="9"/>
      <c r="MPI82" s="106"/>
      <c r="MPJ82" s="9"/>
      <c r="MPK82" s="106"/>
      <c r="MPL82" s="9"/>
      <c r="MPM82" s="106"/>
      <c r="MPN82" s="9"/>
      <c r="MPO82" s="106"/>
      <c r="MPP82" s="9"/>
      <c r="MPQ82" s="106"/>
      <c r="MPR82" s="9"/>
      <c r="MPS82" s="106"/>
      <c r="MPT82" s="9"/>
      <c r="MPU82" s="106"/>
      <c r="MPV82" s="9"/>
      <c r="MPW82" s="106"/>
      <c r="MPX82" s="9"/>
      <c r="MPY82" s="106"/>
      <c r="MPZ82" s="9"/>
      <c r="MQA82" s="106"/>
      <c r="MQB82" s="9"/>
      <c r="MQC82" s="106"/>
      <c r="MQD82" s="9"/>
      <c r="MQE82" s="106"/>
      <c r="MQF82" s="9"/>
      <c r="MQG82" s="106"/>
      <c r="MQH82" s="9"/>
      <c r="MQI82" s="106"/>
      <c r="MQJ82" s="9"/>
      <c r="MQK82" s="106"/>
      <c r="MQL82" s="9"/>
      <c r="MQM82" s="106"/>
      <c r="MQN82" s="9"/>
      <c r="MQO82" s="106"/>
      <c r="MQP82" s="9"/>
      <c r="MQQ82" s="106"/>
      <c r="MQR82" s="9"/>
      <c r="MQS82" s="106"/>
      <c r="MQT82" s="9"/>
      <c r="MQU82" s="106"/>
      <c r="MQV82" s="9"/>
      <c r="MQW82" s="106"/>
      <c r="MQX82" s="9"/>
      <c r="MQY82" s="106"/>
      <c r="MQZ82" s="9"/>
      <c r="MRA82" s="106"/>
      <c r="MRB82" s="9"/>
      <c r="MRC82" s="106"/>
      <c r="MRD82" s="9"/>
      <c r="MRE82" s="106"/>
      <c r="MRF82" s="9"/>
      <c r="MRG82" s="106"/>
      <c r="MRH82" s="9"/>
      <c r="MRI82" s="106"/>
      <c r="MRJ82" s="9"/>
      <c r="MRK82" s="106"/>
      <c r="MRL82" s="9"/>
      <c r="MRM82" s="106"/>
      <c r="MRN82" s="9"/>
      <c r="MRO82" s="106"/>
      <c r="MRP82" s="9"/>
      <c r="MRQ82" s="106"/>
      <c r="MRR82" s="9"/>
      <c r="MRS82" s="106"/>
      <c r="MRT82" s="9"/>
      <c r="MRU82" s="106"/>
      <c r="MRV82" s="9"/>
      <c r="MRW82" s="106"/>
      <c r="MRX82" s="9"/>
      <c r="MRY82" s="106"/>
      <c r="MRZ82" s="9"/>
      <c r="MSA82" s="106"/>
      <c r="MSB82" s="9"/>
      <c r="MSC82" s="106"/>
      <c r="MSD82" s="9"/>
      <c r="MSE82" s="106"/>
      <c r="MSF82" s="9"/>
      <c r="MSG82" s="106"/>
      <c r="MSH82" s="9"/>
      <c r="MSI82" s="106"/>
      <c r="MSJ82" s="9"/>
      <c r="MSK82" s="106"/>
      <c r="MSL82" s="9"/>
      <c r="MSM82" s="106"/>
      <c r="MSN82" s="9"/>
      <c r="MSO82" s="106"/>
      <c r="MSP82" s="9"/>
      <c r="MSQ82" s="106"/>
      <c r="MSR82" s="9"/>
      <c r="MSS82" s="106"/>
      <c r="MST82" s="9"/>
      <c r="MSU82" s="106"/>
      <c r="MSV82" s="9"/>
      <c r="MSW82" s="106"/>
      <c r="MSX82" s="9"/>
      <c r="MSY82" s="106"/>
      <c r="MSZ82" s="9"/>
      <c r="MTA82" s="106"/>
      <c r="MTB82" s="9"/>
      <c r="MTC82" s="106"/>
      <c r="MTD82" s="9"/>
      <c r="MTE82" s="106"/>
      <c r="MTF82" s="9"/>
      <c r="MTG82" s="106"/>
      <c r="MTH82" s="9"/>
      <c r="MTI82" s="106"/>
      <c r="MTJ82" s="9"/>
      <c r="MTK82" s="106"/>
      <c r="MTL82" s="9"/>
      <c r="MTM82" s="106"/>
      <c r="MTN82" s="9"/>
      <c r="MTO82" s="106"/>
      <c r="MTP82" s="9"/>
      <c r="MTQ82" s="106"/>
      <c r="MTR82" s="9"/>
      <c r="MTS82" s="106"/>
      <c r="MTT82" s="9"/>
      <c r="MTU82" s="106"/>
      <c r="MTV82" s="9"/>
      <c r="MTW82" s="106"/>
      <c r="MTX82" s="9"/>
      <c r="MTY82" s="106"/>
      <c r="MTZ82" s="9"/>
      <c r="MUA82" s="106"/>
      <c r="MUB82" s="9"/>
      <c r="MUC82" s="106"/>
      <c r="MUD82" s="9"/>
      <c r="MUE82" s="106"/>
      <c r="MUF82" s="9"/>
      <c r="MUG82" s="106"/>
      <c r="MUH82" s="9"/>
      <c r="MUI82" s="106"/>
      <c r="MUJ82" s="9"/>
      <c r="MUK82" s="106"/>
      <c r="MUL82" s="9"/>
      <c r="MUM82" s="106"/>
      <c r="MUN82" s="9"/>
      <c r="MUO82" s="106"/>
      <c r="MUP82" s="9"/>
      <c r="MUQ82" s="106"/>
      <c r="MUR82" s="9"/>
      <c r="MUS82" s="106"/>
      <c r="MUT82" s="9"/>
      <c r="MUU82" s="106"/>
      <c r="MUV82" s="9"/>
      <c r="MUW82" s="106"/>
      <c r="MUX82" s="9"/>
      <c r="MUY82" s="106"/>
      <c r="MUZ82" s="9"/>
      <c r="MVA82" s="106"/>
      <c r="MVB82" s="9"/>
      <c r="MVC82" s="106"/>
      <c r="MVD82" s="9"/>
      <c r="MVE82" s="106"/>
      <c r="MVF82" s="9"/>
      <c r="MVG82" s="106"/>
      <c r="MVH82" s="9"/>
      <c r="MVI82" s="106"/>
      <c r="MVJ82" s="9"/>
      <c r="MVK82" s="106"/>
      <c r="MVL82" s="9"/>
      <c r="MVM82" s="106"/>
      <c r="MVN82" s="9"/>
      <c r="MVO82" s="106"/>
      <c r="MVP82" s="9"/>
      <c r="MVQ82" s="106"/>
      <c r="MVR82" s="9"/>
      <c r="MVS82" s="106"/>
      <c r="MVT82" s="9"/>
      <c r="MVU82" s="106"/>
      <c r="MVV82" s="9"/>
      <c r="MVW82" s="106"/>
      <c r="MVX82" s="9"/>
      <c r="MVY82" s="106"/>
      <c r="MVZ82" s="9"/>
      <c r="MWA82" s="106"/>
      <c r="MWB82" s="9"/>
      <c r="MWC82" s="106"/>
      <c r="MWD82" s="9"/>
      <c r="MWE82" s="106"/>
      <c r="MWF82" s="9"/>
      <c r="MWG82" s="106"/>
      <c r="MWH82" s="9"/>
      <c r="MWI82" s="106"/>
      <c r="MWJ82" s="9"/>
      <c r="MWK82" s="106"/>
      <c r="MWL82" s="9"/>
      <c r="MWM82" s="106"/>
      <c r="MWN82" s="9"/>
      <c r="MWO82" s="106"/>
      <c r="MWP82" s="9"/>
      <c r="MWQ82" s="106"/>
      <c r="MWR82" s="9"/>
      <c r="MWS82" s="106"/>
      <c r="MWT82" s="9"/>
      <c r="MWU82" s="106"/>
      <c r="MWV82" s="9"/>
      <c r="MWW82" s="106"/>
      <c r="MWX82" s="9"/>
      <c r="MWY82" s="106"/>
      <c r="MWZ82" s="9"/>
      <c r="MXA82" s="106"/>
      <c r="MXB82" s="9"/>
      <c r="MXC82" s="106"/>
      <c r="MXD82" s="9"/>
      <c r="MXE82" s="106"/>
      <c r="MXF82" s="9"/>
      <c r="MXG82" s="106"/>
      <c r="MXH82" s="9"/>
      <c r="MXI82" s="106"/>
      <c r="MXJ82" s="9"/>
      <c r="MXK82" s="106"/>
      <c r="MXL82" s="9"/>
      <c r="MXM82" s="106"/>
      <c r="MXN82" s="9"/>
      <c r="MXO82" s="106"/>
      <c r="MXP82" s="9"/>
      <c r="MXQ82" s="106"/>
      <c r="MXR82" s="9"/>
      <c r="MXS82" s="106"/>
      <c r="MXT82" s="9"/>
      <c r="MXU82" s="106"/>
      <c r="MXV82" s="9"/>
      <c r="MXW82" s="106"/>
      <c r="MXX82" s="9"/>
      <c r="MXY82" s="106"/>
      <c r="MXZ82" s="9"/>
      <c r="MYA82" s="106"/>
      <c r="MYB82" s="9"/>
      <c r="MYC82" s="106"/>
      <c r="MYD82" s="9"/>
      <c r="MYE82" s="106"/>
      <c r="MYF82" s="9"/>
      <c r="MYG82" s="106"/>
      <c r="MYH82" s="9"/>
      <c r="MYI82" s="106"/>
      <c r="MYJ82" s="9"/>
      <c r="MYK82" s="106"/>
      <c r="MYL82" s="9"/>
      <c r="MYM82" s="106"/>
      <c r="MYN82" s="9"/>
      <c r="MYO82" s="106"/>
      <c r="MYP82" s="9"/>
      <c r="MYQ82" s="106"/>
      <c r="MYR82" s="9"/>
      <c r="MYS82" s="106"/>
      <c r="MYT82" s="9"/>
      <c r="MYU82" s="106"/>
      <c r="MYV82" s="9"/>
      <c r="MYW82" s="106"/>
      <c r="MYX82" s="9"/>
      <c r="MYY82" s="106"/>
      <c r="MYZ82" s="9"/>
      <c r="MZA82" s="106"/>
      <c r="MZB82" s="9"/>
      <c r="MZC82" s="106"/>
      <c r="MZD82" s="9"/>
      <c r="MZE82" s="106"/>
      <c r="MZF82" s="9"/>
      <c r="MZG82" s="106"/>
      <c r="MZH82" s="9"/>
      <c r="MZI82" s="106"/>
      <c r="MZJ82" s="9"/>
      <c r="MZK82" s="106"/>
      <c r="MZL82" s="9"/>
      <c r="MZM82" s="106"/>
      <c r="MZN82" s="9"/>
      <c r="MZO82" s="106"/>
      <c r="MZP82" s="9"/>
      <c r="MZQ82" s="106"/>
      <c r="MZR82" s="9"/>
      <c r="MZS82" s="106"/>
      <c r="MZT82" s="9"/>
      <c r="MZU82" s="106"/>
      <c r="MZV82" s="9"/>
      <c r="MZW82" s="106"/>
      <c r="MZX82" s="9"/>
      <c r="MZY82" s="106"/>
      <c r="MZZ82" s="9"/>
      <c r="NAA82" s="106"/>
      <c r="NAB82" s="9"/>
      <c r="NAC82" s="106"/>
      <c r="NAD82" s="9"/>
      <c r="NAE82" s="106"/>
      <c r="NAF82" s="9"/>
      <c r="NAG82" s="106"/>
      <c r="NAH82" s="9"/>
      <c r="NAI82" s="106"/>
      <c r="NAJ82" s="9"/>
      <c r="NAK82" s="106"/>
      <c r="NAL82" s="9"/>
      <c r="NAM82" s="106"/>
      <c r="NAN82" s="9"/>
      <c r="NAO82" s="106"/>
      <c r="NAP82" s="9"/>
      <c r="NAQ82" s="106"/>
      <c r="NAR82" s="9"/>
      <c r="NAS82" s="106"/>
      <c r="NAT82" s="9"/>
      <c r="NAU82" s="106"/>
      <c r="NAV82" s="9"/>
      <c r="NAW82" s="106"/>
      <c r="NAX82" s="9"/>
      <c r="NAY82" s="106"/>
      <c r="NAZ82" s="9"/>
      <c r="NBA82" s="106"/>
      <c r="NBB82" s="9"/>
      <c r="NBC82" s="106"/>
      <c r="NBD82" s="9"/>
      <c r="NBE82" s="106"/>
      <c r="NBF82" s="9"/>
      <c r="NBG82" s="106"/>
      <c r="NBH82" s="9"/>
      <c r="NBI82" s="106"/>
      <c r="NBJ82" s="9"/>
      <c r="NBK82" s="106"/>
      <c r="NBL82" s="9"/>
      <c r="NBM82" s="106"/>
      <c r="NBN82" s="9"/>
      <c r="NBO82" s="106"/>
      <c r="NBP82" s="9"/>
      <c r="NBQ82" s="106"/>
      <c r="NBR82" s="9"/>
      <c r="NBS82" s="106"/>
      <c r="NBT82" s="9"/>
      <c r="NBU82" s="106"/>
      <c r="NBV82" s="9"/>
      <c r="NBW82" s="106"/>
      <c r="NBX82" s="9"/>
      <c r="NBY82" s="106"/>
      <c r="NBZ82" s="9"/>
      <c r="NCA82" s="106"/>
      <c r="NCB82" s="9"/>
      <c r="NCC82" s="106"/>
      <c r="NCD82" s="9"/>
      <c r="NCE82" s="106"/>
      <c r="NCF82" s="9"/>
      <c r="NCG82" s="106"/>
      <c r="NCH82" s="9"/>
      <c r="NCI82" s="106"/>
      <c r="NCJ82" s="9"/>
      <c r="NCK82" s="106"/>
      <c r="NCL82" s="9"/>
      <c r="NCM82" s="106"/>
      <c r="NCN82" s="9"/>
      <c r="NCO82" s="106"/>
      <c r="NCP82" s="9"/>
      <c r="NCQ82" s="106"/>
      <c r="NCR82" s="9"/>
      <c r="NCS82" s="106"/>
      <c r="NCT82" s="9"/>
      <c r="NCU82" s="106"/>
      <c r="NCV82" s="9"/>
      <c r="NCW82" s="106"/>
      <c r="NCX82" s="9"/>
      <c r="NCY82" s="106"/>
      <c r="NCZ82" s="9"/>
      <c r="NDA82" s="106"/>
      <c r="NDB82" s="9"/>
      <c r="NDC82" s="106"/>
      <c r="NDD82" s="9"/>
      <c r="NDE82" s="106"/>
      <c r="NDF82" s="9"/>
      <c r="NDG82" s="106"/>
      <c r="NDH82" s="9"/>
      <c r="NDI82" s="106"/>
      <c r="NDJ82" s="9"/>
      <c r="NDK82" s="106"/>
      <c r="NDL82" s="9"/>
      <c r="NDM82" s="106"/>
      <c r="NDN82" s="9"/>
      <c r="NDO82" s="106"/>
      <c r="NDP82" s="9"/>
      <c r="NDQ82" s="106"/>
      <c r="NDR82" s="9"/>
      <c r="NDS82" s="106"/>
      <c r="NDT82" s="9"/>
      <c r="NDU82" s="106"/>
      <c r="NDV82" s="9"/>
      <c r="NDW82" s="106"/>
      <c r="NDX82" s="9"/>
      <c r="NDY82" s="106"/>
      <c r="NDZ82" s="9"/>
      <c r="NEA82" s="106"/>
      <c r="NEB82" s="9"/>
      <c r="NEC82" s="106"/>
      <c r="NED82" s="9"/>
      <c r="NEE82" s="106"/>
      <c r="NEF82" s="9"/>
      <c r="NEG82" s="106"/>
      <c r="NEH82" s="9"/>
      <c r="NEI82" s="106"/>
      <c r="NEJ82" s="9"/>
      <c r="NEK82" s="106"/>
      <c r="NEL82" s="9"/>
      <c r="NEM82" s="106"/>
      <c r="NEN82" s="9"/>
      <c r="NEO82" s="106"/>
      <c r="NEP82" s="9"/>
      <c r="NEQ82" s="106"/>
      <c r="NER82" s="9"/>
      <c r="NES82" s="106"/>
      <c r="NET82" s="9"/>
      <c r="NEU82" s="106"/>
      <c r="NEV82" s="9"/>
      <c r="NEW82" s="106"/>
      <c r="NEX82" s="9"/>
      <c r="NEY82" s="106"/>
      <c r="NEZ82" s="9"/>
      <c r="NFA82" s="106"/>
      <c r="NFB82" s="9"/>
      <c r="NFC82" s="106"/>
      <c r="NFD82" s="9"/>
      <c r="NFE82" s="106"/>
      <c r="NFF82" s="9"/>
      <c r="NFG82" s="106"/>
      <c r="NFH82" s="9"/>
      <c r="NFI82" s="106"/>
      <c r="NFJ82" s="9"/>
      <c r="NFK82" s="106"/>
      <c r="NFL82" s="9"/>
      <c r="NFM82" s="106"/>
      <c r="NFN82" s="9"/>
      <c r="NFO82" s="106"/>
      <c r="NFP82" s="9"/>
      <c r="NFQ82" s="106"/>
      <c r="NFR82" s="9"/>
      <c r="NFS82" s="106"/>
      <c r="NFT82" s="9"/>
      <c r="NFU82" s="106"/>
      <c r="NFV82" s="9"/>
      <c r="NFW82" s="106"/>
      <c r="NFX82" s="9"/>
      <c r="NFY82" s="106"/>
      <c r="NFZ82" s="9"/>
      <c r="NGA82" s="106"/>
      <c r="NGB82" s="9"/>
      <c r="NGC82" s="106"/>
      <c r="NGD82" s="9"/>
      <c r="NGE82" s="106"/>
      <c r="NGF82" s="9"/>
      <c r="NGG82" s="106"/>
      <c r="NGH82" s="9"/>
      <c r="NGI82" s="106"/>
      <c r="NGJ82" s="9"/>
      <c r="NGK82" s="106"/>
      <c r="NGL82" s="9"/>
      <c r="NGM82" s="106"/>
      <c r="NGN82" s="9"/>
      <c r="NGO82" s="106"/>
      <c r="NGP82" s="9"/>
      <c r="NGQ82" s="106"/>
      <c r="NGR82" s="9"/>
      <c r="NGS82" s="106"/>
      <c r="NGT82" s="9"/>
      <c r="NGU82" s="106"/>
      <c r="NGV82" s="9"/>
      <c r="NGW82" s="106"/>
      <c r="NGX82" s="9"/>
      <c r="NGY82" s="106"/>
      <c r="NGZ82" s="9"/>
      <c r="NHA82" s="106"/>
      <c r="NHB82" s="9"/>
      <c r="NHC82" s="106"/>
      <c r="NHD82" s="9"/>
      <c r="NHE82" s="106"/>
      <c r="NHF82" s="9"/>
      <c r="NHG82" s="106"/>
      <c r="NHH82" s="9"/>
      <c r="NHI82" s="106"/>
      <c r="NHJ82" s="9"/>
      <c r="NHK82" s="106"/>
      <c r="NHL82" s="9"/>
      <c r="NHM82" s="106"/>
      <c r="NHN82" s="9"/>
      <c r="NHO82" s="106"/>
      <c r="NHP82" s="9"/>
      <c r="NHQ82" s="106"/>
      <c r="NHR82" s="9"/>
      <c r="NHS82" s="106"/>
      <c r="NHT82" s="9"/>
      <c r="NHU82" s="106"/>
      <c r="NHV82" s="9"/>
      <c r="NHW82" s="106"/>
      <c r="NHX82" s="9"/>
      <c r="NHY82" s="106"/>
      <c r="NHZ82" s="9"/>
      <c r="NIA82" s="106"/>
      <c r="NIB82" s="9"/>
      <c r="NIC82" s="106"/>
      <c r="NID82" s="9"/>
      <c r="NIE82" s="106"/>
      <c r="NIF82" s="9"/>
      <c r="NIG82" s="106"/>
      <c r="NIH82" s="9"/>
      <c r="NII82" s="106"/>
      <c r="NIJ82" s="9"/>
      <c r="NIK82" s="106"/>
      <c r="NIL82" s="9"/>
      <c r="NIM82" s="106"/>
      <c r="NIN82" s="9"/>
      <c r="NIO82" s="106"/>
      <c r="NIP82" s="9"/>
      <c r="NIQ82" s="106"/>
      <c r="NIR82" s="9"/>
      <c r="NIS82" s="106"/>
      <c r="NIT82" s="9"/>
      <c r="NIU82" s="106"/>
      <c r="NIV82" s="9"/>
      <c r="NIW82" s="106"/>
      <c r="NIX82" s="9"/>
      <c r="NIY82" s="106"/>
      <c r="NIZ82" s="9"/>
      <c r="NJA82" s="106"/>
      <c r="NJB82" s="9"/>
      <c r="NJC82" s="106"/>
      <c r="NJD82" s="9"/>
      <c r="NJE82" s="106"/>
      <c r="NJF82" s="9"/>
      <c r="NJG82" s="106"/>
      <c r="NJH82" s="9"/>
      <c r="NJI82" s="106"/>
      <c r="NJJ82" s="9"/>
      <c r="NJK82" s="106"/>
      <c r="NJL82" s="9"/>
      <c r="NJM82" s="106"/>
      <c r="NJN82" s="9"/>
      <c r="NJO82" s="106"/>
      <c r="NJP82" s="9"/>
      <c r="NJQ82" s="106"/>
      <c r="NJR82" s="9"/>
      <c r="NJS82" s="106"/>
      <c r="NJT82" s="9"/>
      <c r="NJU82" s="106"/>
      <c r="NJV82" s="9"/>
      <c r="NJW82" s="106"/>
      <c r="NJX82" s="9"/>
      <c r="NJY82" s="106"/>
      <c r="NJZ82" s="9"/>
      <c r="NKA82" s="106"/>
      <c r="NKB82" s="9"/>
      <c r="NKC82" s="106"/>
      <c r="NKD82" s="9"/>
      <c r="NKE82" s="106"/>
      <c r="NKF82" s="9"/>
      <c r="NKG82" s="106"/>
      <c r="NKH82" s="9"/>
      <c r="NKI82" s="106"/>
      <c r="NKJ82" s="9"/>
      <c r="NKK82" s="106"/>
      <c r="NKL82" s="9"/>
      <c r="NKM82" s="106"/>
      <c r="NKN82" s="9"/>
      <c r="NKO82" s="106"/>
      <c r="NKP82" s="9"/>
      <c r="NKQ82" s="106"/>
      <c r="NKR82" s="9"/>
      <c r="NKS82" s="106"/>
      <c r="NKT82" s="9"/>
      <c r="NKU82" s="106"/>
      <c r="NKV82" s="9"/>
      <c r="NKW82" s="106"/>
      <c r="NKX82" s="9"/>
      <c r="NKY82" s="106"/>
      <c r="NKZ82" s="9"/>
      <c r="NLA82" s="106"/>
      <c r="NLB82" s="9"/>
      <c r="NLC82" s="106"/>
      <c r="NLD82" s="9"/>
      <c r="NLE82" s="106"/>
      <c r="NLF82" s="9"/>
      <c r="NLG82" s="106"/>
      <c r="NLH82" s="9"/>
      <c r="NLI82" s="106"/>
      <c r="NLJ82" s="9"/>
      <c r="NLK82" s="106"/>
      <c r="NLL82" s="9"/>
      <c r="NLM82" s="106"/>
      <c r="NLN82" s="9"/>
      <c r="NLO82" s="106"/>
      <c r="NLP82" s="9"/>
      <c r="NLQ82" s="106"/>
      <c r="NLR82" s="9"/>
      <c r="NLS82" s="106"/>
      <c r="NLT82" s="9"/>
      <c r="NLU82" s="106"/>
      <c r="NLV82" s="9"/>
      <c r="NLW82" s="106"/>
      <c r="NLX82" s="9"/>
      <c r="NLY82" s="106"/>
      <c r="NLZ82" s="9"/>
      <c r="NMA82" s="106"/>
      <c r="NMB82" s="9"/>
      <c r="NMC82" s="106"/>
      <c r="NMD82" s="9"/>
      <c r="NME82" s="106"/>
      <c r="NMF82" s="9"/>
      <c r="NMG82" s="106"/>
      <c r="NMH82" s="9"/>
      <c r="NMI82" s="106"/>
      <c r="NMJ82" s="9"/>
      <c r="NMK82" s="106"/>
      <c r="NML82" s="9"/>
      <c r="NMM82" s="106"/>
      <c r="NMN82" s="9"/>
      <c r="NMO82" s="106"/>
      <c r="NMP82" s="9"/>
      <c r="NMQ82" s="106"/>
      <c r="NMR82" s="9"/>
      <c r="NMS82" s="106"/>
      <c r="NMT82" s="9"/>
      <c r="NMU82" s="106"/>
      <c r="NMV82" s="9"/>
      <c r="NMW82" s="106"/>
      <c r="NMX82" s="9"/>
      <c r="NMY82" s="106"/>
      <c r="NMZ82" s="9"/>
      <c r="NNA82" s="106"/>
      <c r="NNB82" s="9"/>
      <c r="NNC82" s="106"/>
      <c r="NND82" s="9"/>
      <c r="NNE82" s="106"/>
      <c r="NNF82" s="9"/>
      <c r="NNG82" s="106"/>
      <c r="NNH82" s="9"/>
      <c r="NNI82" s="106"/>
      <c r="NNJ82" s="9"/>
      <c r="NNK82" s="106"/>
      <c r="NNL82" s="9"/>
      <c r="NNM82" s="106"/>
      <c r="NNN82" s="9"/>
      <c r="NNO82" s="106"/>
      <c r="NNP82" s="9"/>
      <c r="NNQ82" s="106"/>
      <c r="NNR82" s="9"/>
      <c r="NNS82" s="106"/>
      <c r="NNT82" s="9"/>
      <c r="NNU82" s="106"/>
      <c r="NNV82" s="9"/>
      <c r="NNW82" s="106"/>
      <c r="NNX82" s="9"/>
      <c r="NNY82" s="106"/>
      <c r="NNZ82" s="9"/>
      <c r="NOA82" s="106"/>
      <c r="NOB82" s="9"/>
      <c r="NOC82" s="106"/>
      <c r="NOD82" s="9"/>
      <c r="NOE82" s="106"/>
      <c r="NOF82" s="9"/>
      <c r="NOG82" s="106"/>
      <c r="NOH82" s="9"/>
      <c r="NOI82" s="106"/>
      <c r="NOJ82" s="9"/>
      <c r="NOK82" s="106"/>
      <c r="NOL82" s="9"/>
      <c r="NOM82" s="106"/>
      <c r="NON82" s="9"/>
      <c r="NOO82" s="106"/>
      <c r="NOP82" s="9"/>
      <c r="NOQ82" s="106"/>
      <c r="NOR82" s="9"/>
      <c r="NOS82" s="106"/>
      <c r="NOT82" s="9"/>
      <c r="NOU82" s="106"/>
      <c r="NOV82" s="9"/>
      <c r="NOW82" s="106"/>
      <c r="NOX82" s="9"/>
      <c r="NOY82" s="106"/>
      <c r="NOZ82" s="9"/>
      <c r="NPA82" s="106"/>
      <c r="NPB82" s="9"/>
      <c r="NPC82" s="106"/>
      <c r="NPD82" s="9"/>
      <c r="NPE82" s="106"/>
      <c r="NPF82" s="9"/>
      <c r="NPG82" s="106"/>
      <c r="NPH82" s="9"/>
      <c r="NPI82" s="106"/>
      <c r="NPJ82" s="9"/>
      <c r="NPK82" s="106"/>
      <c r="NPL82" s="9"/>
      <c r="NPM82" s="106"/>
      <c r="NPN82" s="9"/>
      <c r="NPO82" s="106"/>
      <c r="NPP82" s="9"/>
      <c r="NPQ82" s="106"/>
      <c r="NPR82" s="9"/>
      <c r="NPS82" s="106"/>
      <c r="NPT82" s="9"/>
      <c r="NPU82" s="106"/>
      <c r="NPV82" s="9"/>
      <c r="NPW82" s="106"/>
      <c r="NPX82" s="9"/>
      <c r="NPY82" s="106"/>
      <c r="NPZ82" s="9"/>
      <c r="NQA82" s="106"/>
      <c r="NQB82" s="9"/>
      <c r="NQC82" s="106"/>
      <c r="NQD82" s="9"/>
      <c r="NQE82" s="106"/>
      <c r="NQF82" s="9"/>
      <c r="NQG82" s="106"/>
      <c r="NQH82" s="9"/>
      <c r="NQI82" s="106"/>
      <c r="NQJ82" s="9"/>
      <c r="NQK82" s="106"/>
      <c r="NQL82" s="9"/>
      <c r="NQM82" s="106"/>
      <c r="NQN82" s="9"/>
      <c r="NQO82" s="106"/>
      <c r="NQP82" s="9"/>
      <c r="NQQ82" s="106"/>
      <c r="NQR82" s="9"/>
      <c r="NQS82" s="106"/>
      <c r="NQT82" s="9"/>
      <c r="NQU82" s="106"/>
      <c r="NQV82" s="9"/>
      <c r="NQW82" s="106"/>
      <c r="NQX82" s="9"/>
      <c r="NQY82" s="106"/>
      <c r="NQZ82" s="9"/>
      <c r="NRA82" s="106"/>
      <c r="NRB82" s="9"/>
      <c r="NRC82" s="106"/>
      <c r="NRD82" s="9"/>
      <c r="NRE82" s="106"/>
      <c r="NRF82" s="9"/>
      <c r="NRG82" s="106"/>
      <c r="NRH82" s="9"/>
      <c r="NRI82" s="106"/>
      <c r="NRJ82" s="9"/>
      <c r="NRK82" s="106"/>
      <c r="NRL82" s="9"/>
      <c r="NRM82" s="106"/>
      <c r="NRN82" s="9"/>
      <c r="NRO82" s="106"/>
      <c r="NRP82" s="9"/>
      <c r="NRQ82" s="106"/>
      <c r="NRR82" s="9"/>
      <c r="NRS82" s="106"/>
      <c r="NRT82" s="9"/>
      <c r="NRU82" s="106"/>
      <c r="NRV82" s="9"/>
      <c r="NRW82" s="106"/>
      <c r="NRX82" s="9"/>
      <c r="NRY82" s="106"/>
      <c r="NRZ82" s="9"/>
      <c r="NSA82" s="106"/>
      <c r="NSB82" s="9"/>
      <c r="NSC82" s="106"/>
      <c r="NSD82" s="9"/>
      <c r="NSE82" s="106"/>
      <c r="NSF82" s="9"/>
      <c r="NSG82" s="106"/>
      <c r="NSH82" s="9"/>
      <c r="NSI82" s="106"/>
      <c r="NSJ82" s="9"/>
      <c r="NSK82" s="106"/>
      <c r="NSL82" s="9"/>
      <c r="NSM82" s="106"/>
      <c r="NSN82" s="9"/>
      <c r="NSO82" s="106"/>
      <c r="NSP82" s="9"/>
      <c r="NSQ82" s="106"/>
      <c r="NSR82" s="9"/>
      <c r="NSS82" s="106"/>
      <c r="NST82" s="9"/>
      <c r="NSU82" s="106"/>
      <c r="NSV82" s="9"/>
      <c r="NSW82" s="106"/>
      <c r="NSX82" s="9"/>
      <c r="NSY82" s="106"/>
      <c r="NSZ82" s="9"/>
      <c r="NTA82" s="106"/>
      <c r="NTB82" s="9"/>
      <c r="NTC82" s="106"/>
      <c r="NTD82" s="9"/>
      <c r="NTE82" s="106"/>
      <c r="NTF82" s="9"/>
      <c r="NTG82" s="106"/>
      <c r="NTH82" s="9"/>
      <c r="NTI82" s="106"/>
      <c r="NTJ82" s="9"/>
      <c r="NTK82" s="106"/>
      <c r="NTL82" s="9"/>
      <c r="NTM82" s="106"/>
      <c r="NTN82" s="9"/>
      <c r="NTO82" s="106"/>
      <c r="NTP82" s="9"/>
      <c r="NTQ82" s="106"/>
      <c r="NTR82" s="9"/>
      <c r="NTS82" s="106"/>
      <c r="NTT82" s="9"/>
      <c r="NTU82" s="106"/>
      <c r="NTV82" s="9"/>
      <c r="NTW82" s="106"/>
      <c r="NTX82" s="9"/>
      <c r="NTY82" s="106"/>
      <c r="NTZ82" s="9"/>
      <c r="NUA82" s="106"/>
      <c r="NUB82" s="9"/>
      <c r="NUC82" s="106"/>
      <c r="NUD82" s="9"/>
      <c r="NUE82" s="106"/>
      <c r="NUF82" s="9"/>
      <c r="NUG82" s="106"/>
      <c r="NUH82" s="9"/>
      <c r="NUI82" s="106"/>
      <c r="NUJ82" s="9"/>
      <c r="NUK82" s="106"/>
      <c r="NUL82" s="9"/>
      <c r="NUM82" s="106"/>
      <c r="NUN82" s="9"/>
      <c r="NUO82" s="106"/>
      <c r="NUP82" s="9"/>
      <c r="NUQ82" s="106"/>
      <c r="NUR82" s="9"/>
      <c r="NUS82" s="106"/>
      <c r="NUT82" s="9"/>
      <c r="NUU82" s="106"/>
      <c r="NUV82" s="9"/>
      <c r="NUW82" s="106"/>
      <c r="NUX82" s="9"/>
      <c r="NUY82" s="106"/>
      <c r="NUZ82" s="9"/>
      <c r="NVA82" s="106"/>
      <c r="NVB82" s="9"/>
      <c r="NVC82" s="106"/>
      <c r="NVD82" s="9"/>
      <c r="NVE82" s="106"/>
      <c r="NVF82" s="9"/>
      <c r="NVG82" s="106"/>
      <c r="NVH82" s="9"/>
      <c r="NVI82" s="106"/>
      <c r="NVJ82" s="9"/>
      <c r="NVK82" s="106"/>
      <c r="NVL82" s="9"/>
      <c r="NVM82" s="106"/>
      <c r="NVN82" s="9"/>
      <c r="NVO82" s="106"/>
      <c r="NVP82" s="9"/>
      <c r="NVQ82" s="106"/>
      <c r="NVR82" s="9"/>
      <c r="NVS82" s="106"/>
      <c r="NVT82" s="9"/>
      <c r="NVU82" s="106"/>
      <c r="NVV82" s="9"/>
      <c r="NVW82" s="106"/>
      <c r="NVX82" s="9"/>
      <c r="NVY82" s="106"/>
      <c r="NVZ82" s="9"/>
      <c r="NWA82" s="106"/>
      <c r="NWB82" s="9"/>
      <c r="NWC82" s="106"/>
      <c r="NWD82" s="9"/>
      <c r="NWE82" s="106"/>
      <c r="NWF82" s="9"/>
      <c r="NWG82" s="106"/>
      <c r="NWH82" s="9"/>
      <c r="NWI82" s="106"/>
      <c r="NWJ82" s="9"/>
      <c r="NWK82" s="106"/>
      <c r="NWL82" s="9"/>
      <c r="NWM82" s="106"/>
      <c r="NWN82" s="9"/>
      <c r="NWO82" s="106"/>
      <c r="NWP82" s="9"/>
      <c r="NWQ82" s="106"/>
      <c r="NWR82" s="9"/>
      <c r="NWS82" s="106"/>
      <c r="NWT82" s="9"/>
      <c r="NWU82" s="106"/>
      <c r="NWV82" s="9"/>
      <c r="NWW82" s="106"/>
      <c r="NWX82" s="9"/>
      <c r="NWY82" s="106"/>
      <c r="NWZ82" s="9"/>
      <c r="NXA82" s="106"/>
      <c r="NXB82" s="9"/>
      <c r="NXC82" s="106"/>
      <c r="NXD82" s="9"/>
      <c r="NXE82" s="106"/>
      <c r="NXF82" s="9"/>
      <c r="NXG82" s="106"/>
      <c r="NXH82" s="9"/>
      <c r="NXI82" s="106"/>
      <c r="NXJ82" s="9"/>
      <c r="NXK82" s="106"/>
      <c r="NXL82" s="9"/>
      <c r="NXM82" s="106"/>
      <c r="NXN82" s="9"/>
      <c r="NXO82" s="106"/>
      <c r="NXP82" s="9"/>
      <c r="NXQ82" s="106"/>
      <c r="NXR82" s="9"/>
      <c r="NXS82" s="106"/>
      <c r="NXT82" s="9"/>
      <c r="NXU82" s="106"/>
      <c r="NXV82" s="9"/>
      <c r="NXW82" s="106"/>
      <c r="NXX82" s="9"/>
      <c r="NXY82" s="106"/>
      <c r="NXZ82" s="9"/>
      <c r="NYA82" s="106"/>
      <c r="NYB82" s="9"/>
      <c r="NYC82" s="106"/>
      <c r="NYD82" s="9"/>
      <c r="NYE82" s="106"/>
      <c r="NYF82" s="9"/>
      <c r="NYG82" s="106"/>
      <c r="NYH82" s="9"/>
      <c r="NYI82" s="106"/>
      <c r="NYJ82" s="9"/>
      <c r="NYK82" s="106"/>
      <c r="NYL82" s="9"/>
      <c r="NYM82" s="106"/>
      <c r="NYN82" s="9"/>
      <c r="NYO82" s="106"/>
      <c r="NYP82" s="9"/>
      <c r="NYQ82" s="106"/>
      <c r="NYR82" s="9"/>
      <c r="NYS82" s="106"/>
      <c r="NYT82" s="9"/>
      <c r="NYU82" s="106"/>
      <c r="NYV82" s="9"/>
      <c r="NYW82" s="106"/>
      <c r="NYX82" s="9"/>
      <c r="NYY82" s="106"/>
      <c r="NYZ82" s="9"/>
      <c r="NZA82" s="106"/>
      <c r="NZB82" s="9"/>
      <c r="NZC82" s="106"/>
      <c r="NZD82" s="9"/>
      <c r="NZE82" s="106"/>
      <c r="NZF82" s="9"/>
      <c r="NZG82" s="106"/>
      <c r="NZH82" s="9"/>
      <c r="NZI82" s="106"/>
      <c r="NZJ82" s="9"/>
      <c r="NZK82" s="106"/>
      <c r="NZL82" s="9"/>
      <c r="NZM82" s="106"/>
      <c r="NZN82" s="9"/>
      <c r="NZO82" s="106"/>
      <c r="NZP82" s="9"/>
      <c r="NZQ82" s="106"/>
      <c r="NZR82" s="9"/>
      <c r="NZS82" s="106"/>
      <c r="NZT82" s="9"/>
      <c r="NZU82" s="106"/>
      <c r="NZV82" s="9"/>
      <c r="NZW82" s="106"/>
      <c r="NZX82" s="9"/>
      <c r="NZY82" s="106"/>
      <c r="NZZ82" s="9"/>
      <c r="OAA82" s="106"/>
      <c r="OAB82" s="9"/>
      <c r="OAC82" s="106"/>
      <c r="OAD82" s="9"/>
      <c r="OAE82" s="106"/>
      <c r="OAF82" s="9"/>
      <c r="OAG82" s="106"/>
      <c r="OAH82" s="9"/>
      <c r="OAI82" s="106"/>
      <c r="OAJ82" s="9"/>
      <c r="OAK82" s="106"/>
      <c r="OAL82" s="9"/>
      <c r="OAM82" s="106"/>
      <c r="OAN82" s="9"/>
      <c r="OAO82" s="106"/>
      <c r="OAP82" s="9"/>
      <c r="OAQ82" s="106"/>
      <c r="OAR82" s="9"/>
      <c r="OAS82" s="106"/>
      <c r="OAT82" s="9"/>
      <c r="OAU82" s="106"/>
      <c r="OAV82" s="9"/>
      <c r="OAW82" s="106"/>
      <c r="OAX82" s="9"/>
      <c r="OAY82" s="106"/>
      <c r="OAZ82" s="9"/>
      <c r="OBA82" s="106"/>
      <c r="OBB82" s="9"/>
      <c r="OBC82" s="106"/>
      <c r="OBD82" s="9"/>
      <c r="OBE82" s="106"/>
      <c r="OBF82" s="9"/>
      <c r="OBG82" s="106"/>
      <c r="OBH82" s="9"/>
      <c r="OBI82" s="106"/>
      <c r="OBJ82" s="9"/>
      <c r="OBK82" s="106"/>
      <c r="OBL82" s="9"/>
      <c r="OBM82" s="106"/>
      <c r="OBN82" s="9"/>
      <c r="OBO82" s="106"/>
      <c r="OBP82" s="9"/>
      <c r="OBQ82" s="106"/>
      <c r="OBR82" s="9"/>
      <c r="OBS82" s="106"/>
      <c r="OBT82" s="9"/>
      <c r="OBU82" s="106"/>
      <c r="OBV82" s="9"/>
      <c r="OBW82" s="106"/>
      <c r="OBX82" s="9"/>
      <c r="OBY82" s="106"/>
      <c r="OBZ82" s="9"/>
      <c r="OCA82" s="106"/>
      <c r="OCB82" s="9"/>
      <c r="OCC82" s="106"/>
      <c r="OCD82" s="9"/>
      <c r="OCE82" s="106"/>
      <c r="OCF82" s="9"/>
      <c r="OCG82" s="106"/>
      <c r="OCH82" s="9"/>
      <c r="OCI82" s="106"/>
      <c r="OCJ82" s="9"/>
      <c r="OCK82" s="106"/>
      <c r="OCL82" s="9"/>
      <c r="OCM82" s="106"/>
      <c r="OCN82" s="9"/>
      <c r="OCO82" s="106"/>
      <c r="OCP82" s="9"/>
      <c r="OCQ82" s="106"/>
      <c r="OCR82" s="9"/>
      <c r="OCS82" s="106"/>
      <c r="OCT82" s="9"/>
      <c r="OCU82" s="106"/>
      <c r="OCV82" s="9"/>
      <c r="OCW82" s="106"/>
      <c r="OCX82" s="9"/>
      <c r="OCY82" s="106"/>
      <c r="OCZ82" s="9"/>
      <c r="ODA82" s="106"/>
      <c r="ODB82" s="9"/>
      <c r="ODC82" s="106"/>
      <c r="ODD82" s="9"/>
      <c r="ODE82" s="106"/>
      <c r="ODF82" s="9"/>
      <c r="ODG82" s="106"/>
      <c r="ODH82" s="9"/>
      <c r="ODI82" s="106"/>
      <c r="ODJ82" s="9"/>
      <c r="ODK82" s="106"/>
      <c r="ODL82" s="9"/>
      <c r="ODM82" s="106"/>
      <c r="ODN82" s="9"/>
      <c r="ODO82" s="106"/>
      <c r="ODP82" s="9"/>
      <c r="ODQ82" s="106"/>
      <c r="ODR82" s="9"/>
      <c r="ODS82" s="106"/>
      <c r="ODT82" s="9"/>
      <c r="ODU82" s="106"/>
      <c r="ODV82" s="9"/>
      <c r="ODW82" s="106"/>
      <c r="ODX82" s="9"/>
      <c r="ODY82" s="106"/>
      <c r="ODZ82" s="9"/>
      <c r="OEA82" s="106"/>
      <c r="OEB82" s="9"/>
      <c r="OEC82" s="106"/>
      <c r="OED82" s="9"/>
      <c r="OEE82" s="106"/>
      <c r="OEF82" s="9"/>
      <c r="OEG82" s="106"/>
      <c r="OEH82" s="9"/>
      <c r="OEI82" s="106"/>
      <c r="OEJ82" s="9"/>
      <c r="OEK82" s="106"/>
      <c r="OEL82" s="9"/>
      <c r="OEM82" s="106"/>
      <c r="OEN82" s="9"/>
      <c r="OEO82" s="106"/>
      <c r="OEP82" s="9"/>
      <c r="OEQ82" s="106"/>
      <c r="OER82" s="9"/>
      <c r="OES82" s="106"/>
      <c r="OET82" s="9"/>
      <c r="OEU82" s="106"/>
      <c r="OEV82" s="9"/>
      <c r="OEW82" s="106"/>
      <c r="OEX82" s="9"/>
      <c r="OEY82" s="106"/>
      <c r="OEZ82" s="9"/>
      <c r="OFA82" s="106"/>
      <c r="OFB82" s="9"/>
      <c r="OFC82" s="106"/>
      <c r="OFD82" s="9"/>
      <c r="OFE82" s="106"/>
      <c r="OFF82" s="9"/>
      <c r="OFG82" s="106"/>
      <c r="OFH82" s="9"/>
      <c r="OFI82" s="106"/>
      <c r="OFJ82" s="9"/>
      <c r="OFK82" s="106"/>
      <c r="OFL82" s="9"/>
      <c r="OFM82" s="106"/>
      <c r="OFN82" s="9"/>
      <c r="OFO82" s="106"/>
      <c r="OFP82" s="9"/>
      <c r="OFQ82" s="106"/>
      <c r="OFR82" s="9"/>
      <c r="OFS82" s="106"/>
      <c r="OFT82" s="9"/>
      <c r="OFU82" s="106"/>
      <c r="OFV82" s="9"/>
      <c r="OFW82" s="106"/>
      <c r="OFX82" s="9"/>
      <c r="OFY82" s="106"/>
      <c r="OFZ82" s="9"/>
      <c r="OGA82" s="106"/>
      <c r="OGB82" s="9"/>
      <c r="OGC82" s="106"/>
      <c r="OGD82" s="9"/>
      <c r="OGE82" s="106"/>
      <c r="OGF82" s="9"/>
      <c r="OGG82" s="106"/>
      <c r="OGH82" s="9"/>
      <c r="OGI82" s="106"/>
      <c r="OGJ82" s="9"/>
      <c r="OGK82" s="106"/>
      <c r="OGL82" s="9"/>
      <c r="OGM82" s="106"/>
      <c r="OGN82" s="9"/>
      <c r="OGO82" s="106"/>
      <c r="OGP82" s="9"/>
      <c r="OGQ82" s="106"/>
      <c r="OGR82" s="9"/>
      <c r="OGS82" s="106"/>
      <c r="OGT82" s="9"/>
      <c r="OGU82" s="106"/>
      <c r="OGV82" s="9"/>
      <c r="OGW82" s="106"/>
      <c r="OGX82" s="9"/>
      <c r="OGY82" s="106"/>
      <c r="OGZ82" s="9"/>
      <c r="OHA82" s="106"/>
      <c r="OHB82" s="9"/>
      <c r="OHC82" s="106"/>
      <c r="OHD82" s="9"/>
      <c r="OHE82" s="106"/>
      <c r="OHF82" s="9"/>
      <c r="OHG82" s="106"/>
      <c r="OHH82" s="9"/>
      <c r="OHI82" s="106"/>
      <c r="OHJ82" s="9"/>
      <c r="OHK82" s="106"/>
      <c r="OHL82" s="9"/>
      <c r="OHM82" s="106"/>
      <c r="OHN82" s="9"/>
      <c r="OHO82" s="106"/>
      <c r="OHP82" s="9"/>
      <c r="OHQ82" s="106"/>
      <c r="OHR82" s="9"/>
      <c r="OHS82" s="106"/>
      <c r="OHT82" s="9"/>
      <c r="OHU82" s="106"/>
      <c r="OHV82" s="9"/>
      <c r="OHW82" s="106"/>
      <c r="OHX82" s="9"/>
      <c r="OHY82" s="106"/>
      <c r="OHZ82" s="9"/>
      <c r="OIA82" s="106"/>
      <c r="OIB82" s="9"/>
      <c r="OIC82" s="106"/>
      <c r="OID82" s="9"/>
      <c r="OIE82" s="106"/>
      <c r="OIF82" s="9"/>
      <c r="OIG82" s="106"/>
      <c r="OIH82" s="9"/>
      <c r="OII82" s="106"/>
      <c r="OIJ82" s="9"/>
      <c r="OIK82" s="106"/>
      <c r="OIL82" s="9"/>
      <c r="OIM82" s="106"/>
      <c r="OIN82" s="9"/>
      <c r="OIO82" s="106"/>
      <c r="OIP82" s="9"/>
      <c r="OIQ82" s="106"/>
      <c r="OIR82" s="9"/>
      <c r="OIS82" s="106"/>
      <c r="OIT82" s="9"/>
      <c r="OIU82" s="106"/>
      <c r="OIV82" s="9"/>
      <c r="OIW82" s="106"/>
      <c r="OIX82" s="9"/>
      <c r="OIY82" s="106"/>
      <c r="OIZ82" s="9"/>
      <c r="OJA82" s="106"/>
      <c r="OJB82" s="9"/>
      <c r="OJC82" s="106"/>
      <c r="OJD82" s="9"/>
      <c r="OJE82" s="106"/>
      <c r="OJF82" s="9"/>
      <c r="OJG82" s="106"/>
      <c r="OJH82" s="9"/>
      <c r="OJI82" s="106"/>
      <c r="OJJ82" s="9"/>
      <c r="OJK82" s="106"/>
      <c r="OJL82" s="9"/>
      <c r="OJM82" s="106"/>
      <c r="OJN82" s="9"/>
      <c r="OJO82" s="106"/>
      <c r="OJP82" s="9"/>
      <c r="OJQ82" s="106"/>
      <c r="OJR82" s="9"/>
      <c r="OJS82" s="106"/>
      <c r="OJT82" s="9"/>
      <c r="OJU82" s="106"/>
      <c r="OJV82" s="9"/>
      <c r="OJW82" s="106"/>
      <c r="OJX82" s="9"/>
      <c r="OJY82" s="106"/>
      <c r="OJZ82" s="9"/>
      <c r="OKA82" s="106"/>
      <c r="OKB82" s="9"/>
      <c r="OKC82" s="106"/>
      <c r="OKD82" s="9"/>
      <c r="OKE82" s="106"/>
      <c r="OKF82" s="9"/>
      <c r="OKG82" s="106"/>
      <c r="OKH82" s="9"/>
      <c r="OKI82" s="106"/>
      <c r="OKJ82" s="9"/>
      <c r="OKK82" s="106"/>
      <c r="OKL82" s="9"/>
      <c r="OKM82" s="106"/>
      <c r="OKN82" s="9"/>
      <c r="OKO82" s="106"/>
      <c r="OKP82" s="9"/>
      <c r="OKQ82" s="106"/>
      <c r="OKR82" s="9"/>
      <c r="OKS82" s="106"/>
      <c r="OKT82" s="9"/>
      <c r="OKU82" s="106"/>
      <c r="OKV82" s="9"/>
      <c r="OKW82" s="106"/>
      <c r="OKX82" s="9"/>
      <c r="OKY82" s="106"/>
      <c r="OKZ82" s="9"/>
      <c r="OLA82" s="106"/>
      <c r="OLB82" s="9"/>
      <c r="OLC82" s="106"/>
      <c r="OLD82" s="9"/>
      <c r="OLE82" s="106"/>
      <c r="OLF82" s="9"/>
      <c r="OLG82" s="106"/>
      <c r="OLH82" s="9"/>
      <c r="OLI82" s="106"/>
      <c r="OLJ82" s="9"/>
      <c r="OLK82" s="106"/>
      <c r="OLL82" s="9"/>
      <c r="OLM82" s="106"/>
      <c r="OLN82" s="9"/>
      <c r="OLO82" s="106"/>
      <c r="OLP82" s="9"/>
      <c r="OLQ82" s="106"/>
      <c r="OLR82" s="9"/>
      <c r="OLS82" s="106"/>
      <c r="OLT82" s="9"/>
      <c r="OLU82" s="106"/>
      <c r="OLV82" s="9"/>
      <c r="OLW82" s="106"/>
      <c r="OLX82" s="9"/>
      <c r="OLY82" s="106"/>
      <c r="OLZ82" s="9"/>
      <c r="OMA82" s="106"/>
      <c r="OMB82" s="9"/>
      <c r="OMC82" s="106"/>
      <c r="OMD82" s="9"/>
      <c r="OME82" s="106"/>
      <c r="OMF82" s="9"/>
      <c r="OMG82" s="106"/>
      <c r="OMH82" s="9"/>
      <c r="OMI82" s="106"/>
      <c r="OMJ82" s="9"/>
      <c r="OMK82" s="106"/>
      <c r="OML82" s="9"/>
      <c r="OMM82" s="106"/>
      <c r="OMN82" s="9"/>
      <c r="OMO82" s="106"/>
      <c r="OMP82" s="9"/>
      <c r="OMQ82" s="106"/>
      <c r="OMR82" s="9"/>
      <c r="OMS82" s="106"/>
      <c r="OMT82" s="9"/>
      <c r="OMU82" s="106"/>
      <c r="OMV82" s="9"/>
      <c r="OMW82" s="106"/>
      <c r="OMX82" s="9"/>
      <c r="OMY82" s="106"/>
      <c r="OMZ82" s="9"/>
      <c r="ONA82" s="106"/>
      <c r="ONB82" s="9"/>
      <c r="ONC82" s="106"/>
      <c r="OND82" s="9"/>
      <c r="ONE82" s="106"/>
      <c r="ONF82" s="9"/>
      <c r="ONG82" s="106"/>
      <c r="ONH82" s="9"/>
      <c r="ONI82" s="106"/>
      <c r="ONJ82" s="9"/>
      <c r="ONK82" s="106"/>
      <c r="ONL82" s="9"/>
      <c r="ONM82" s="106"/>
      <c r="ONN82" s="9"/>
      <c r="ONO82" s="106"/>
      <c r="ONP82" s="9"/>
      <c r="ONQ82" s="106"/>
      <c r="ONR82" s="9"/>
      <c r="ONS82" s="106"/>
      <c r="ONT82" s="9"/>
      <c r="ONU82" s="106"/>
      <c r="ONV82" s="9"/>
      <c r="ONW82" s="106"/>
      <c r="ONX82" s="9"/>
      <c r="ONY82" s="106"/>
      <c r="ONZ82" s="9"/>
      <c r="OOA82" s="106"/>
      <c r="OOB82" s="9"/>
      <c r="OOC82" s="106"/>
      <c r="OOD82" s="9"/>
      <c r="OOE82" s="106"/>
      <c r="OOF82" s="9"/>
      <c r="OOG82" s="106"/>
      <c r="OOH82" s="9"/>
      <c r="OOI82" s="106"/>
      <c r="OOJ82" s="9"/>
      <c r="OOK82" s="106"/>
      <c r="OOL82" s="9"/>
      <c r="OOM82" s="106"/>
      <c r="OON82" s="9"/>
      <c r="OOO82" s="106"/>
      <c r="OOP82" s="9"/>
      <c r="OOQ82" s="106"/>
      <c r="OOR82" s="9"/>
      <c r="OOS82" s="106"/>
      <c r="OOT82" s="9"/>
      <c r="OOU82" s="106"/>
      <c r="OOV82" s="9"/>
      <c r="OOW82" s="106"/>
      <c r="OOX82" s="9"/>
      <c r="OOY82" s="106"/>
      <c r="OOZ82" s="9"/>
      <c r="OPA82" s="106"/>
      <c r="OPB82" s="9"/>
      <c r="OPC82" s="106"/>
      <c r="OPD82" s="9"/>
      <c r="OPE82" s="106"/>
      <c r="OPF82" s="9"/>
      <c r="OPG82" s="106"/>
      <c r="OPH82" s="9"/>
      <c r="OPI82" s="106"/>
      <c r="OPJ82" s="9"/>
      <c r="OPK82" s="106"/>
      <c r="OPL82" s="9"/>
      <c r="OPM82" s="106"/>
      <c r="OPN82" s="9"/>
      <c r="OPO82" s="106"/>
      <c r="OPP82" s="9"/>
      <c r="OPQ82" s="106"/>
      <c r="OPR82" s="9"/>
      <c r="OPS82" s="106"/>
      <c r="OPT82" s="9"/>
      <c r="OPU82" s="106"/>
      <c r="OPV82" s="9"/>
      <c r="OPW82" s="106"/>
      <c r="OPX82" s="9"/>
      <c r="OPY82" s="106"/>
      <c r="OPZ82" s="9"/>
      <c r="OQA82" s="106"/>
      <c r="OQB82" s="9"/>
      <c r="OQC82" s="106"/>
      <c r="OQD82" s="9"/>
      <c r="OQE82" s="106"/>
      <c r="OQF82" s="9"/>
      <c r="OQG82" s="106"/>
      <c r="OQH82" s="9"/>
      <c r="OQI82" s="106"/>
      <c r="OQJ82" s="9"/>
      <c r="OQK82" s="106"/>
      <c r="OQL82" s="9"/>
      <c r="OQM82" s="106"/>
      <c r="OQN82" s="9"/>
      <c r="OQO82" s="106"/>
      <c r="OQP82" s="9"/>
      <c r="OQQ82" s="106"/>
      <c r="OQR82" s="9"/>
      <c r="OQS82" s="106"/>
      <c r="OQT82" s="9"/>
      <c r="OQU82" s="106"/>
      <c r="OQV82" s="9"/>
      <c r="OQW82" s="106"/>
      <c r="OQX82" s="9"/>
      <c r="OQY82" s="106"/>
      <c r="OQZ82" s="9"/>
      <c r="ORA82" s="106"/>
      <c r="ORB82" s="9"/>
      <c r="ORC82" s="106"/>
      <c r="ORD82" s="9"/>
      <c r="ORE82" s="106"/>
      <c r="ORF82" s="9"/>
      <c r="ORG82" s="106"/>
      <c r="ORH82" s="9"/>
      <c r="ORI82" s="106"/>
      <c r="ORJ82" s="9"/>
      <c r="ORK82" s="106"/>
      <c r="ORL82" s="9"/>
      <c r="ORM82" s="106"/>
      <c r="ORN82" s="9"/>
      <c r="ORO82" s="106"/>
      <c r="ORP82" s="9"/>
      <c r="ORQ82" s="106"/>
      <c r="ORR82" s="9"/>
      <c r="ORS82" s="106"/>
      <c r="ORT82" s="9"/>
      <c r="ORU82" s="106"/>
      <c r="ORV82" s="9"/>
      <c r="ORW82" s="106"/>
      <c r="ORX82" s="9"/>
      <c r="ORY82" s="106"/>
      <c r="ORZ82" s="9"/>
      <c r="OSA82" s="106"/>
      <c r="OSB82" s="9"/>
      <c r="OSC82" s="106"/>
      <c r="OSD82" s="9"/>
      <c r="OSE82" s="106"/>
      <c r="OSF82" s="9"/>
      <c r="OSG82" s="106"/>
      <c r="OSH82" s="9"/>
      <c r="OSI82" s="106"/>
      <c r="OSJ82" s="9"/>
      <c r="OSK82" s="106"/>
      <c r="OSL82" s="9"/>
      <c r="OSM82" s="106"/>
      <c r="OSN82" s="9"/>
      <c r="OSO82" s="106"/>
      <c r="OSP82" s="9"/>
      <c r="OSQ82" s="106"/>
      <c r="OSR82" s="9"/>
      <c r="OSS82" s="106"/>
      <c r="OST82" s="9"/>
      <c r="OSU82" s="106"/>
      <c r="OSV82" s="9"/>
      <c r="OSW82" s="106"/>
      <c r="OSX82" s="9"/>
      <c r="OSY82" s="106"/>
      <c r="OSZ82" s="9"/>
      <c r="OTA82" s="106"/>
      <c r="OTB82" s="9"/>
      <c r="OTC82" s="106"/>
      <c r="OTD82" s="9"/>
      <c r="OTE82" s="106"/>
      <c r="OTF82" s="9"/>
      <c r="OTG82" s="106"/>
      <c r="OTH82" s="9"/>
      <c r="OTI82" s="106"/>
      <c r="OTJ82" s="9"/>
      <c r="OTK82" s="106"/>
      <c r="OTL82" s="9"/>
      <c r="OTM82" s="106"/>
      <c r="OTN82" s="9"/>
      <c r="OTO82" s="106"/>
      <c r="OTP82" s="9"/>
      <c r="OTQ82" s="106"/>
      <c r="OTR82" s="9"/>
      <c r="OTS82" s="106"/>
      <c r="OTT82" s="9"/>
      <c r="OTU82" s="106"/>
      <c r="OTV82" s="9"/>
      <c r="OTW82" s="106"/>
      <c r="OTX82" s="9"/>
      <c r="OTY82" s="106"/>
      <c r="OTZ82" s="9"/>
      <c r="OUA82" s="106"/>
      <c r="OUB82" s="9"/>
      <c r="OUC82" s="106"/>
      <c r="OUD82" s="9"/>
      <c r="OUE82" s="106"/>
      <c r="OUF82" s="9"/>
      <c r="OUG82" s="106"/>
      <c r="OUH82" s="9"/>
      <c r="OUI82" s="106"/>
      <c r="OUJ82" s="9"/>
      <c r="OUK82" s="106"/>
      <c r="OUL82" s="9"/>
      <c r="OUM82" s="106"/>
      <c r="OUN82" s="9"/>
      <c r="OUO82" s="106"/>
      <c r="OUP82" s="9"/>
      <c r="OUQ82" s="106"/>
      <c r="OUR82" s="9"/>
      <c r="OUS82" s="106"/>
      <c r="OUT82" s="9"/>
      <c r="OUU82" s="106"/>
      <c r="OUV82" s="9"/>
      <c r="OUW82" s="106"/>
      <c r="OUX82" s="9"/>
      <c r="OUY82" s="106"/>
      <c r="OUZ82" s="9"/>
      <c r="OVA82" s="106"/>
      <c r="OVB82" s="9"/>
      <c r="OVC82" s="106"/>
      <c r="OVD82" s="9"/>
      <c r="OVE82" s="106"/>
      <c r="OVF82" s="9"/>
      <c r="OVG82" s="106"/>
      <c r="OVH82" s="9"/>
      <c r="OVI82" s="106"/>
      <c r="OVJ82" s="9"/>
      <c r="OVK82" s="106"/>
      <c r="OVL82" s="9"/>
      <c r="OVM82" s="106"/>
      <c r="OVN82" s="9"/>
      <c r="OVO82" s="106"/>
      <c r="OVP82" s="9"/>
      <c r="OVQ82" s="106"/>
      <c r="OVR82" s="9"/>
      <c r="OVS82" s="106"/>
      <c r="OVT82" s="9"/>
      <c r="OVU82" s="106"/>
      <c r="OVV82" s="9"/>
      <c r="OVW82" s="106"/>
      <c r="OVX82" s="9"/>
      <c r="OVY82" s="106"/>
      <c r="OVZ82" s="9"/>
      <c r="OWA82" s="106"/>
      <c r="OWB82" s="9"/>
      <c r="OWC82" s="106"/>
      <c r="OWD82" s="9"/>
      <c r="OWE82" s="106"/>
      <c r="OWF82" s="9"/>
      <c r="OWG82" s="106"/>
      <c r="OWH82" s="9"/>
      <c r="OWI82" s="106"/>
      <c r="OWJ82" s="9"/>
      <c r="OWK82" s="106"/>
      <c r="OWL82" s="9"/>
      <c r="OWM82" s="106"/>
      <c r="OWN82" s="9"/>
      <c r="OWO82" s="106"/>
      <c r="OWP82" s="9"/>
      <c r="OWQ82" s="106"/>
      <c r="OWR82" s="9"/>
      <c r="OWS82" s="106"/>
      <c r="OWT82" s="9"/>
      <c r="OWU82" s="106"/>
      <c r="OWV82" s="9"/>
      <c r="OWW82" s="106"/>
      <c r="OWX82" s="9"/>
      <c r="OWY82" s="106"/>
      <c r="OWZ82" s="9"/>
      <c r="OXA82" s="106"/>
      <c r="OXB82" s="9"/>
      <c r="OXC82" s="106"/>
      <c r="OXD82" s="9"/>
      <c r="OXE82" s="106"/>
      <c r="OXF82" s="9"/>
      <c r="OXG82" s="106"/>
      <c r="OXH82" s="9"/>
      <c r="OXI82" s="106"/>
      <c r="OXJ82" s="9"/>
      <c r="OXK82" s="106"/>
      <c r="OXL82" s="9"/>
      <c r="OXM82" s="106"/>
      <c r="OXN82" s="9"/>
      <c r="OXO82" s="106"/>
      <c r="OXP82" s="9"/>
      <c r="OXQ82" s="106"/>
      <c r="OXR82" s="9"/>
      <c r="OXS82" s="106"/>
      <c r="OXT82" s="9"/>
      <c r="OXU82" s="106"/>
      <c r="OXV82" s="9"/>
      <c r="OXW82" s="106"/>
      <c r="OXX82" s="9"/>
      <c r="OXY82" s="106"/>
      <c r="OXZ82" s="9"/>
      <c r="OYA82" s="106"/>
      <c r="OYB82" s="9"/>
      <c r="OYC82" s="106"/>
      <c r="OYD82" s="9"/>
      <c r="OYE82" s="106"/>
      <c r="OYF82" s="9"/>
      <c r="OYG82" s="106"/>
      <c r="OYH82" s="9"/>
      <c r="OYI82" s="106"/>
      <c r="OYJ82" s="9"/>
      <c r="OYK82" s="106"/>
      <c r="OYL82" s="9"/>
      <c r="OYM82" s="106"/>
      <c r="OYN82" s="9"/>
      <c r="OYO82" s="106"/>
      <c r="OYP82" s="9"/>
      <c r="OYQ82" s="106"/>
      <c r="OYR82" s="9"/>
      <c r="OYS82" s="106"/>
      <c r="OYT82" s="9"/>
      <c r="OYU82" s="106"/>
      <c r="OYV82" s="9"/>
      <c r="OYW82" s="106"/>
      <c r="OYX82" s="9"/>
      <c r="OYY82" s="106"/>
      <c r="OYZ82" s="9"/>
      <c r="OZA82" s="106"/>
      <c r="OZB82" s="9"/>
      <c r="OZC82" s="106"/>
      <c r="OZD82" s="9"/>
      <c r="OZE82" s="106"/>
      <c r="OZF82" s="9"/>
      <c r="OZG82" s="106"/>
      <c r="OZH82" s="9"/>
      <c r="OZI82" s="106"/>
      <c r="OZJ82" s="9"/>
      <c r="OZK82" s="106"/>
      <c r="OZL82" s="9"/>
      <c r="OZM82" s="106"/>
      <c r="OZN82" s="9"/>
      <c r="OZO82" s="106"/>
      <c r="OZP82" s="9"/>
      <c r="OZQ82" s="106"/>
      <c r="OZR82" s="9"/>
      <c r="OZS82" s="106"/>
      <c r="OZT82" s="9"/>
      <c r="OZU82" s="106"/>
      <c r="OZV82" s="9"/>
      <c r="OZW82" s="106"/>
      <c r="OZX82" s="9"/>
      <c r="OZY82" s="106"/>
      <c r="OZZ82" s="9"/>
      <c r="PAA82" s="106"/>
      <c r="PAB82" s="9"/>
      <c r="PAC82" s="106"/>
      <c r="PAD82" s="9"/>
      <c r="PAE82" s="106"/>
      <c r="PAF82" s="9"/>
      <c r="PAG82" s="106"/>
      <c r="PAH82" s="9"/>
      <c r="PAI82" s="106"/>
      <c r="PAJ82" s="9"/>
      <c r="PAK82" s="106"/>
      <c r="PAL82" s="9"/>
      <c r="PAM82" s="106"/>
      <c r="PAN82" s="9"/>
      <c r="PAO82" s="106"/>
      <c r="PAP82" s="9"/>
      <c r="PAQ82" s="106"/>
      <c r="PAR82" s="9"/>
      <c r="PAS82" s="106"/>
      <c r="PAT82" s="9"/>
      <c r="PAU82" s="106"/>
      <c r="PAV82" s="9"/>
      <c r="PAW82" s="106"/>
      <c r="PAX82" s="9"/>
      <c r="PAY82" s="106"/>
      <c r="PAZ82" s="9"/>
      <c r="PBA82" s="106"/>
      <c r="PBB82" s="9"/>
      <c r="PBC82" s="106"/>
      <c r="PBD82" s="9"/>
      <c r="PBE82" s="106"/>
      <c r="PBF82" s="9"/>
      <c r="PBG82" s="106"/>
      <c r="PBH82" s="9"/>
      <c r="PBI82" s="106"/>
      <c r="PBJ82" s="9"/>
      <c r="PBK82" s="106"/>
      <c r="PBL82" s="9"/>
      <c r="PBM82" s="106"/>
      <c r="PBN82" s="9"/>
      <c r="PBO82" s="106"/>
      <c r="PBP82" s="9"/>
      <c r="PBQ82" s="106"/>
      <c r="PBR82" s="9"/>
      <c r="PBS82" s="106"/>
      <c r="PBT82" s="9"/>
      <c r="PBU82" s="106"/>
      <c r="PBV82" s="9"/>
      <c r="PBW82" s="106"/>
      <c r="PBX82" s="9"/>
      <c r="PBY82" s="106"/>
      <c r="PBZ82" s="9"/>
      <c r="PCA82" s="106"/>
      <c r="PCB82" s="9"/>
      <c r="PCC82" s="106"/>
      <c r="PCD82" s="9"/>
      <c r="PCE82" s="106"/>
      <c r="PCF82" s="9"/>
      <c r="PCG82" s="106"/>
      <c r="PCH82" s="9"/>
      <c r="PCI82" s="106"/>
      <c r="PCJ82" s="9"/>
      <c r="PCK82" s="106"/>
      <c r="PCL82" s="9"/>
      <c r="PCM82" s="106"/>
      <c r="PCN82" s="9"/>
      <c r="PCO82" s="106"/>
      <c r="PCP82" s="9"/>
      <c r="PCQ82" s="106"/>
      <c r="PCR82" s="9"/>
      <c r="PCS82" s="106"/>
      <c r="PCT82" s="9"/>
      <c r="PCU82" s="106"/>
      <c r="PCV82" s="9"/>
      <c r="PCW82" s="106"/>
      <c r="PCX82" s="9"/>
      <c r="PCY82" s="106"/>
      <c r="PCZ82" s="9"/>
      <c r="PDA82" s="106"/>
      <c r="PDB82" s="9"/>
      <c r="PDC82" s="106"/>
      <c r="PDD82" s="9"/>
      <c r="PDE82" s="106"/>
      <c r="PDF82" s="9"/>
      <c r="PDG82" s="106"/>
      <c r="PDH82" s="9"/>
      <c r="PDI82" s="106"/>
      <c r="PDJ82" s="9"/>
      <c r="PDK82" s="106"/>
      <c r="PDL82" s="9"/>
      <c r="PDM82" s="106"/>
      <c r="PDN82" s="9"/>
      <c r="PDO82" s="106"/>
      <c r="PDP82" s="9"/>
      <c r="PDQ82" s="106"/>
      <c r="PDR82" s="9"/>
      <c r="PDS82" s="106"/>
      <c r="PDT82" s="9"/>
      <c r="PDU82" s="106"/>
      <c r="PDV82" s="9"/>
      <c r="PDW82" s="106"/>
      <c r="PDX82" s="9"/>
      <c r="PDY82" s="106"/>
      <c r="PDZ82" s="9"/>
      <c r="PEA82" s="106"/>
      <c r="PEB82" s="9"/>
      <c r="PEC82" s="106"/>
      <c r="PED82" s="9"/>
      <c r="PEE82" s="106"/>
      <c r="PEF82" s="9"/>
      <c r="PEG82" s="106"/>
      <c r="PEH82" s="9"/>
      <c r="PEI82" s="106"/>
      <c r="PEJ82" s="9"/>
      <c r="PEK82" s="106"/>
      <c r="PEL82" s="9"/>
      <c r="PEM82" s="106"/>
      <c r="PEN82" s="9"/>
      <c r="PEO82" s="106"/>
      <c r="PEP82" s="9"/>
      <c r="PEQ82" s="106"/>
      <c r="PER82" s="9"/>
      <c r="PES82" s="106"/>
      <c r="PET82" s="9"/>
      <c r="PEU82" s="106"/>
      <c r="PEV82" s="9"/>
      <c r="PEW82" s="106"/>
      <c r="PEX82" s="9"/>
      <c r="PEY82" s="106"/>
      <c r="PEZ82" s="9"/>
      <c r="PFA82" s="106"/>
      <c r="PFB82" s="9"/>
      <c r="PFC82" s="106"/>
      <c r="PFD82" s="9"/>
      <c r="PFE82" s="106"/>
      <c r="PFF82" s="9"/>
      <c r="PFG82" s="106"/>
      <c r="PFH82" s="9"/>
      <c r="PFI82" s="106"/>
      <c r="PFJ82" s="9"/>
      <c r="PFK82" s="106"/>
      <c r="PFL82" s="9"/>
      <c r="PFM82" s="106"/>
      <c r="PFN82" s="9"/>
      <c r="PFO82" s="106"/>
      <c r="PFP82" s="9"/>
      <c r="PFQ82" s="106"/>
      <c r="PFR82" s="9"/>
      <c r="PFS82" s="106"/>
      <c r="PFT82" s="9"/>
      <c r="PFU82" s="106"/>
      <c r="PFV82" s="9"/>
      <c r="PFW82" s="106"/>
      <c r="PFX82" s="9"/>
      <c r="PFY82" s="106"/>
      <c r="PFZ82" s="9"/>
      <c r="PGA82" s="106"/>
      <c r="PGB82" s="9"/>
      <c r="PGC82" s="106"/>
      <c r="PGD82" s="9"/>
      <c r="PGE82" s="106"/>
      <c r="PGF82" s="9"/>
      <c r="PGG82" s="106"/>
      <c r="PGH82" s="9"/>
      <c r="PGI82" s="106"/>
      <c r="PGJ82" s="9"/>
      <c r="PGK82" s="106"/>
      <c r="PGL82" s="9"/>
      <c r="PGM82" s="106"/>
      <c r="PGN82" s="9"/>
      <c r="PGO82" s="106"/>
      <c r="PGP82" s="9"/>
      <c r="PGQ82" s="106"/>
      <c r="PGR82" s="9"/>
      <c r="PGS82" s="106"/>
      <c r="PGT82" s="9"/>
      <c r="PGU82" s="106"/>
      <c r="PGV82" s="9"/>
      <c r="PGW82" s="106"/>
      <c r="PGX82" s="9"/>
      <c r="PGY82" s="106"/>
      <c r="PGZ82" s="9"/>
      <c r="PHA82" s="106"/>
      <c r="PHB82" s="9"/>
      <c r="PHC82" s="106"/>
      <c r="PHD82" s="9"/>
      <c r="PHE82" s="106"/>
      <c r="PHF82" s="9"/>
      <c r="PHG82" s="106"/>
      <c r="PHH82" s="9"/>
      <c r="PHI82" s="106"/>
      <c r="PHJ82" s="9"/>
      <c r="PHK82" s="106"/>
      <c r="PHL82" s="9"/>
      <c r="PHM82" s="106"/>
      <c r="PHN82" s="9"/>
      <c r="PHO82" s="106"/>
      <c r="PHP82" s="9"/>
      <c r="PHQ82" s="106"/>
      <c r="PHR82" s="9"/>
      <c r="PHS82" s="106"/>
      <c r="PHT82" s="9"/>
      <c r="PHU82" s="106"/>
      <c r="PHV82" s="9"/>
      <c r="PHW82" s="106"/>
      <c r="PHX82" s="9"/>
      <c r="PHY82" s="106"/>
      <c r="PHZ82" s="9"/>
      <c r="PIA82" s="106"/>
      <c r="PIB82" s="9"/>
      <c r="PIC82" s="106"/>
      <c r="PID82" s="9"/>
      <c r="PIE82" s="106"/>
      <c r="PIF82" s="9"/>
      <c r="PIG82" s="106"/>
      <c r="PIH82" s="9"/>
      <c r="PII82" s="106"/>
      <c r="PIJ82" s="9"/>
      <c r="PIK82" s="106"/>
      <c r="PIL82" s="9"/>
      <c r="PIM82" s="106"/>
      <c r="PIN82" s="9"/>
      <c r="PIO82" s="106"/>
      <c r="PIP82" s="9"/>
      <c r="PIQ82" s="106"/>
      <c r="PIR82" s="9"/>
      <c r="PIS82" s="106"/>
      <c r="PIT82" s="9"/>
      <c r="PIU82" s="106"/>
      <c r="PIV82" s="9"/>
      <c r="PIW82" s="106"/>
      <c r="PIX82" s="9"/>
      <c r="PIY82" s="106"/>
      <c r="PIZ82" s="9"/>
      <c r="PJA82" s="106"/>
      <c r="PJB82" s="9"/>
      <c r="PJC82" s="106"/>
      <c r="PJD82" s="9"/>
      <c r="PJE82" s="106"/>
      <c r="PJF82" s="9"/>
      <c r="PJG82" s="106"/>
      <c r="PJH82" s="9"/>
      <c r="PJI82" s="106"/>
      <c r="PJJ82" s="9"/>
      <c r="PJK82" s="106"/>
      <c r="PJL82" s="9"/>
      <c r="PJM82" s="106"/>
      <c r="PJN82" s="9"/>
      <c r="PJO82" s="106"/>
      <c r="PJP82" s="9"/>
      <c r="PJQ82" s="106"/>
      <c r="PJR82" s="9"/>
      <c r="PJS82" s="106"/>
      <c r="PJT82" s="9"/>
      <c r="PJU82" s="106"/>
      <c r="PJV82" s="9"/>
      <c r="PJW82" s="106"/>
      <c r="PJX82" s="9"/>
      <c r="PJY82" s="106"/>
      <c r="PJZ82" s="9"/>
      <c r="PKA82" s="106"/>
      <c r="PKB82" s="9"/>
      <c r="PKC82" s="106"/>
      <c r="PKD82" s="9"/>
      <c r="PKE82" s="106"/>
      <c r="PKF82" s="9"/>
      <c r="PKG82" s="106"/>
      <c r="PKH82" s="9"/>
      <c r="PKI82" s="106"/>
      <c r="PKJ82" s="9"/>
      <c r="PKK82" s="106"/>
      <c r="PKL82" s="9"/>
      <c r="PKM82" s="106"/>
      <c r="PKN82" s="9"/>
      <c r="PKO82" s="106"/>
      <c r="PKP82" s="9"/>
      <c r="PKQ82" s="106"/>
      <c r="PKR82" s="9"/>
      <c r="PKS82" s="106"/>
      <c r="PKT82" s="9"/>
      <c r="PKU82" s="106"/>
      <c r="PKV82" s="9"/>
      <c r="PKW82" s="106"/>
      <c r="PKX82" s="9"/>
      <c r="PKY82" s="106"/>
      <c r="PKZ82" s="9"/>
      <c r="PLA82" s="106"/>
      <c r="PLB82" s="9"/>
      <c r="PLC82" s="106"/>
      <c r="PLD82" s="9"/>
      <c r="PLE82" s="106"/>
      <c r="PLF82" s="9"/>
      <c r="PLG82" s="106"/>
      <c r="PLH82" s="9"/>
      <c r="PLI82" s="106"/>
      <c r="PLJ82" s="9"/>
      <c r="PLK82" s="106"/>
      <c r="PLL82" s="9"/>
      <c r="PLM82" s="106"/>
      <c r="PLN82" s="9"/>
      <c r="PLO82" s="106"/>
      <c r="PLP82" s="9"/>
      <c r="PLQ82" s="106"/>
      <c r="PLR82" s="9"/>
      <c r="PLS82" s="106"/>
      <c r="PLT82" s="9"/>
      <c r="PLU82" s="106"/>
      <c r="PLV82" s="9"/>
      <c r="PLW82" s="106"/>
      <c r="PLX82" s="9"/>
      <c r="PLY82" s="106"/>
      <c r="PLZ82" s="9"/>
      <c r="PMA82" s="106"/>
      <c r="PMB82" s="9"/>
      <c r="PMC82" s="106"/>
      <c r="PMD82" s="9"/>
      <c r="PME82" s="106"/>
      <c r="PMF82" s="9"/>
      <c r="PMG82" s="106"/>
      <c r="PMH82" s="9"/>
      <c r="PMI82" s="106"/>
      <c r="PMJ82" s="9"/>
      <c r="PMK82" s="106"/>
      <c r="PML82" s="9"/>
      <c r="PMM82" s="106"/>
      <c r="PMN82" s="9"/>
      <c r="PMO82" s="106"/>
      <c r="PMP82" s="9"/>
      <c r="PMQ82" s="106"/>
      <c r="PMR82" s="9"/>
      <c r="PMS82" s="106"/>
      <c r="PMT82" s="9"/>
      <c r="PMU82" s="106"/>
      <c r="PMV82" s="9"/>
      <c r="PMW82" s="106"/>
      <c r="PMX82" s="9"/>
      <c r="PMY82" s="106"/>
      <c r="PMZ82" s="9"/>
      <c r="PNA82" s="106"/>
      <c r="PNB82" s="9"/>
      <c r="PNC82" s="106"/>
      <c r="PND82" s="9"/>
      <c r="PNE82" s="106"/>
      <c r="PNF82" s="9"/>
      <c r="PNG82" s="106"/>
      <c r="PNH82" s="9"/>
      <c r="PNI82" s="106"/>
      <c r="PNJ82" s="9"/>
      <c r="PNK82" s="106"/>
      <c r="PNL82" s="9"/>
      <c r="PNM82" s="106"/>
      <c r="PNN82" s="9"/>
      <c r="PNO82" s="106"/>
      <c r="PNP82" s="9"/>
      <c r="PNQ82" s="106"/>
      <c r="PNR82" s="9"/>
      <c r="PNS82" s="106"/>
      <c r="PNT82" s="9"/>
      <c r="PNU82" s="106"/>
      <c r="PNV82" s="9"/>
      <c r="PNW82" s="106"/>
      <c r="PNX82" s="9"/>
      <c r="PNY82" s="106"/>
      <c r="PNZ82" s="9"/>
      <c r="POA82" s="106"/>
      <c r="POB82" s="9"/>
      <c r="POC82" s="106"/>
      <c r="POD82" s="9"/>
      <c r="POE82" s="106"/>
      <c r="POF82" s="9"/>
      <c r="POG82" s="106"/>
      <c r="POH82" s="9"/>
      <c r="POI82" s="106"/>
      <c r="POJ82" s="9"/>
      <c r="POK82" s="106"/>
      <c r="POL82" s="9"/>
      <c r="POM82" s="106"/>
      <c r="PON82" s="9"/>
      <c r="POO82" s="106"/>
      <c r="POP82" s="9"/>
      <c r="POQ82" s="106"/>
      <c r="POR82" s="9"/>
      <c r="POS82" s="106"/>
      <c r="POT82" s="9"/>
      <c r="POU82" s="106"/>
      <c r="POV82" s="9"/>
      <c r="POW82" s="106"/>
      <c r="POX82" s="9"/>
      <c r="POY82" s="106"/>
      <c r="POZ82" s="9"/>
      <c r="PPA82" s="106"/>
      <c r="PPB82" s="9"/>
      <c r="PPC82" s="106"/>
      <c r="PPD82" s="9"/>
      <c r="PPE82" s="106"/>
      <c r="PPF82" s="9"/>
      <c r="PPG82" s="106"/>
      <c r="PPH82" s="9"/>
      <c r="PPI82" s="106"/>
      <c r="PPJ82" s="9"/>
      <c r="PPK82" s="106"/>
      <c r="PPL82" s="9"/>
      <c r="PPM82" s="106"/>
      <c r="PPN82" s="9"/>
      <c r="PPO82" s="106"/>
      <c r="PPP82" s="9"/>
      <c r="PPQ82" s="106"/>
      <c r="PPR82" s="9"/>
      <c r="PPS82" s="106"/>
      <c r="PPT82" s="9"/>
      <c r="PPU82" s="106"/>
      <c r="PPV82" s="9"/>
      <c r="PPW82" s="106"/>
      <c r="PPX82" s="9"/>
      <c r="PPY82" s="106"/>
      <c r="PPZ82" s="9"/>
      <c r="PQA82" s="106"/>
      <c r="PQB82" s="9"/>
      <c r="PQC82" s="106"/>
      <c r="PQD82" s="9"/>
      <c r="PQE82" s="106"/>
      <c r="PQF82" s="9"/>
      <c r="PQG82" s="106"/>
      <c r="PQH82" s="9"/>
      <c r="PQI82" s="106"/>
      <c r="PQJ82" s="9"/>
      <c r="PQK82" s="106"/>
      <c r="PQL82" s="9"/>
      <c r="PQM82" s="106"/>
      <c r="PQN82" s="9"/>
      <c r="PQO82" s="106"/>
      <c r="PQP82" s="9"/>
      <c r="PQQ82" s="106"/>
      <c r="PQR82" s="9"/>
      <c r="PQS82" s="106"/>
      <c r="PQT82" s="9"/>
      <c r="PQU82" s="106"/>
      <c r="PQV82" s="9"/>
      <c r="PQW82" s="106"/>
      <c r="PQX82" s="9"/>
      <c r="PQY82" s="106"/>
      <c r="PQZ82" s="9"/>
      <c r="PRA82" s="106"/>
      <c r="PRB82" s="9"/>
      <c r="PRC82" s="106"/>
      <c r="PRD82" s="9"/>
      <c r="PRE82" s="106"/>
      <c r="PRF82" s="9"/>
      <c r="PRG82" s="106"/>
      <c r="PRH82" s="9"/>
      <c r="PRI82" s="106"/>
      <c r="PRJ82" s="9"/>
      <c r="PRK82" s="106"/>
      <c r="PRL82" s="9"/>
      <c r="PRM82" s="106"/>
      <c r="PRN82" s="9"/>
      <c r="PRO82" s="106"/>
      <c r="PRP82" s="9"/>
      <c r="PRQ82" s="106"/>
      <c r="PRR82" s="9"/>
      <c r="PRS82" s="106"/>
      <c r="PRT82" s="9"/>
      <c r="PRU82" s="106"/>
      <c r="PRV82" s="9"/>
      <c r="PRW82" s="106"/>
      <c r="PRX82" s="9"/>
      <c r="PRY82" s="106"/>
      <c r="PRZ82" s="9"/>
      <c r="PSA82" s="106"/>
      <c r="PSB82" s="9"/>
      <c r="PSC82" s="106"/>
      <c r="PSD82" s="9"/>
      <c r="PSE82" s="106"/>
      <c r="PSF82" s="9"/>
      <c r="PSG82" s="106"/>
      <c r="PSH82" s="9"/>
      <c r="PSI82" s="106"/>
      <c r="PSJ82" s="9"/>
      <c r="PSK82" s="106"/>
      <c r="PSL82" s="9"/>
      <c r="PSM82" s="106"/>
      <c r="PSN82" s="9"/>
      <c r="PSO82" s="106"/>
      <c r="PSP82" s="9"/>
      <c r="PSQ82" s="106"/>
      <c r="PSR82" s="9"/>
      <c r="PSS82" s="106"/>
      <c r="PST82" s="9"/>
      <c r="PSU82" s="106"/>
      <c r="PSV82" s="9"/>
      <c r="PSW82" s="106"/>
      <c r="PSX82" s="9"/>
      <c r="PSY82" s="106"/>
      <c r="PSZ82" s="9"/>
      <c r="PTA82" s="106"/>
      <c r="PTB82" s="9"/>
      <c r="PTC82" s="106"/>
      <c r="PTD82" s="9"/>
      <c r="PTE82" s="106"/>
      <c r="PTF82" s="9"/>
      <c r="PTG82" s="106"/>
      <c r="PTH82" s="9"/>
      <c r="PTI82" s="106"/>
      <c r="PTJ82" s="9"/>
      <c r="PTK82" s="106"/>
      <c r="PTL82" s="9"/>
      <c r="PTM82" s="106"/>
      <c r="PTN82" s="9"/>
      <c r="PTO82" s="106"/>
      <c r="PTP82" s="9"/>
      <c r="PTQ82" s="106"/>
      <c r="PTR82" s="9"/>
      <c r="PTS82" s="106"/>
      <c r="PTT82" s="9"/>
      <c r="PTU82" s="106"/>
      <c r="PTV82" s="9"/>
      <c r="PTW82" s="106"/>
      <c r="PTX82" s="9"/>
      <c r="PTY82" s="106"/>
      <c r="PTZ82" s="9"/>
      <c r="PUA82" s="106"/>
      <c r="PUB82" s="9"/>
      <c r="PUC82" s="106"/>
      <c r="PUD82" s="9"/>
      <c r="PUE82" s="106"/>
      <c r="PUF82" s="9"/>
      <c r="PUG82" s="106"/>
      <c r="PUH82" s="9"/>
      <c r="PUI82" s="106"/>
      <c r="PUJ82" s="9"/>
      <c r="PUK82" s="106"/>
      <c r="PUL82" s="9"/>
      <c r="PUM82" s="106"/>
      <c r="PUN82" s="9"/>
      <c r="PUO82" s="106"/>
      <c r="PUP82" s="9"/>
      <c r="PUQ82" s="106"/>
      <c r="PUR82" s="9"/>
      <c r="PUS82" s="106"/>
      <c r="PUT82" s="9"/>
      <c r="PUU82" s="106"/>
      <c r="PUV82" s="9"/>
      <c r="PUW82" s="106"/>
      <c r="PUX82" s="9"/>
      <c r="PUY82" s="106"/>
      <c r="PUZ82" s="9"/>
      <c r="PVA82" s="106"/>
      <c r="PVB82" s="9"/>
      <c r="PVC82" s="106"/>
      <c r="PVD82" s="9"/>
      <c r="PVE82" s="106"/>
      <c r="PVF82" s="9"/>
      <c r="PVG82" s="106"/>
      <c r="PVH82" s="9"/>
      <c r="PVI82" s="106"/>
      <c r="PVJ82" s="9"/>
      <c r="PVK82" s="106"/>
      <c r="PVL82" s="9"/>
      <c r="PVM82" s="106"/>
      <c r="PVN82" s="9"/>
      <c r="PVO82" s="106"/>
      <c r="PVP82" s="9"/>
      <c r="PVQ82" s="106"/>
      <c r="PVR82" s="9"/>
      <c r="PVS82" s="106"/>
      <c r="PVT82" s="9"/>
      <c r="PVU82" s="106"/>
      <c r="PVV82" s="9"/>
      <c r="PVW82" s="106"/>
      <c r="PVX82" s="9"/>
      <c r="PVY82" s="106"/>
      <c r="PVZ82" s="9"/>
      <c r="PWA82" s="106"/>
      <c r="PWB82" s="9"/>
      <c r="PWC82" s="106"/>
      <c r="PWD82" s="9"/>
      <c r="PWE82" s="106"/>
      <c r="PWF82" s="9"/>
      <c r="PWG82" s="106"/>
      <c r="PWH82" s="9"/>
      <c r="PWI82" s="106"/>
      <c r="PWJ82" s="9"/>
      <c r="PWK82" s="106"/>
      <c r="PWL82" s="9"/>
      <c r="PWM82" s="106"/>
      <c r="PWN82" s="9"/>
      <c r="PWO82" s="106"/>
      <c r="PWP82" s="9"/>
      <c r="PWQ82" s="106"/>
      <c r="PWR82" s="9"/>
      <c r="PWS82" s="106"/>
      <c r="PWT82" s="9"/>
      <c r="PWU82" s="106"/>
      <c r="PWV82" s="9"/>
      <c r="PWW82" s="106"/>
      <c r="PWX82" s="9"/>
      <c r="PWY82" s="106"/>
      <c r="PWZ82" s="9"/>
      <c r="PXA82" s="106"/>
      <c r="PXB82" s="9"/>
      <c r="PXC82" s="106"/>
      <c r="PXD82" s="9"/>
      <c r="PXE82" s="106"/>
      <c r="PXF82" s="9"/>
      <c r="PXG82" s="106"/>
      <c r="PXH82" s="9"/>
      <c r="PXI82" s="106"/>
      <c r="PXJ82" s="9"/>
      <c r="PXK82" s="106"/>
      <c r="PXL82" s="9"/>
      <c r="PXM82" s="106"/>
      <c r="PXN82" s="9"/>
      <c r="PXO82" s="106"/>
      <c r="PXP82" s="9"/>
      <c r="PXQ82" s="106"/>
      <c r="PXR82" s="9"/>
      <c r="PXS82" s="106"/>
      <c r="PXT82" s="9"/>
      <c r="PXU82" s="106"/>
      <c r="PXV82" s="9"/>
      <c r="PXW82" s="106"/>
      <c r="PXX82" s="9"/>
      <c r="PXY82" s="106"/>
      <c r="PXZ82" s="9"/>
      <c r="PYA82" s="106"/>
      <c r="PYB82" s="9"/>
      <c r="PYC82" s="106"/>
      <c r="PYD82" s="9"/>
      <c r="PYE82" s="106"/>
      <c r="PYF82" s="9"/>
      <c r="PYG82" s="106"/>
      <c r="PYH82" s="9"/>
      <c r="PYI82" s="106"/>
      <c r="PYJ82" s="9"/>
      <c r="PYK82" s="106"/>
      <c r="PYL82" s="9"/>
      <c r="PYM82" s="106"/>
      <c r="PYN82" s="9"/>
      <c r="PYO82" s="106"/>
      <c r="PYP82" s="9"/>
      <c r="PYQ82" s="106"/>
      <c r="PYR82" s="9"/>
      <c r="PYS82" s="106"/>
      <c r="PYT82" s="9"/>
      <c r="PYU82" s="106"/>
      <c r="PYV82" s="9"/>
      <c r="PYW82" s="106"/>
      <c r="PYX82" s="9"/>
      <c r="PYY82" s="106"/>
      <c r="PYZ82" s="9"/>
      <c r="PZA82" s="106"/>
      <c r="PZB82" s="9"/>
      <c r="PZC82" s="106"/>
      <c r="PZD82" s="9"/>
      <c r="PZE82" s="106"/>
      <c r="PZF82" s="9"/>
      <c r="PZG82" s="106"/>
      <c r="PZH82" s="9"/>
      <c r="PZI82" s="106"/>
      <c r="PZJ82" s="9"/>
      <c r="PZK82" s="106"/>
      <c r="PZL82" s="9"/>
      <c r="PZM82" s="106"/>
      <c r="PZN82" s="9"/>
      <c r="PZO82" s="106"/>
      <c r="PZP82" s="9"/>
      <c r="PZQ82" s="106"/>
      <c r="PZR82" s="9"/>
      <c r="PZS82" s="106"/>
      <c r="PZT82" s="9"/>
      <c r="PZU82" s="106"/>
      <c r="PZV82" s="9"/>
      <c r="PZW82" s="106"/>
      <c r="PZX82" s="9"/>
      <c r="PZY82" s="106"/>
      <c r="PZZ82" s="9"/>
      <c r="QAA82" s="106"/>
      <c r="QAB82" s="9"/>
      <c r="QAC82" s="106"/>
      <c r="QAD82" s="9"/>
      <c r="QAE82" s="106"/>
      <c r="QAF82" s="9"/>
      <c r="QAG82" s="106"/>
      <c r="QAH82" s="9"/>
      <c r="QAI82" s="106"/>
      <c r="QAJ82" s="9"/>
      <c r="QAK82" s="106"/>
      <c r="QAL82" s="9"/>
      <c r="QAM82" s="106"/>
      <c r="QAN82" s="9"/>
      <c r="QAO82" s="106"/>
      <c r="QAP82" s="9"/>
      <c r="QAQ82" s="106"/>
      <c r="QAR82" s="9"/>
      <c r="QAS82" s="106"/>
      <c r="QAT82" s="9"/>
      <c r="QAU82" s="106"/>
      <c r="QAV82" s="9"/>
      <c r="QAW82" s="106"/>
      <c r="QAX82" s="9"/>
      <c r="QAY82" s="106"/>
      <c r="QAZ82" s="9"/>
      <c r="QBA82" s="106"/>
      <c r="QBB82" s="9"/>
      <c r="QBC82" s="106"/>
      <c r="QBD82" s="9"/>
      <c r="QBE82" s="106"/>
      <c r="QBF82" s="9"/>
      <c r="QBG82" s="106"/>
      <c r="QBH82" s="9"/>
      <c r="QBI82" s="106"/>
      <c r="QBJ82" s="9"/>
      <c r="QBK82" s="106"/>
      <c r="QBL82" s="9"/>
      <c r="QBM82" s="106"/>
      <c r="QBN82" s="9"/>
      <c r="QBO82" s="106"/>
      <c r="QBP82" s="9"/>
      <c r="QBQ82" s="106"/>
      <c r="QBR82" s="9"/>
      <c r="QBS82" s="106"/>
      <c r="QBT82" s="9"/>
      <c r="QBU82" s="106"/>
      <c r="QBV82" s="9"/>
      <c r="QBW82" s="106"/>
      <c r="QBX82" s="9"/>
      <c r="QBY82" s="106"/>
      <c r="QBZ82" s="9"/>
      <c r="QCA82" s="106"/>
      <c r="QCB82" s="9"/>
      <c r="QCC82" s="106"/>
      <c r="QCD82" s="9"/>
      <c r="QCE82" s="106"/>
      <c r="QCF82" s="9"/>
      <c r="QCG82" s="106"/>
      <c r="QCH82" s="9"/>
      <c r="QCI82" s="106"/>
      <c r="QCJ82" s="9"/>
      <c r="QCK82" s="106"/>
      <c r="QCL82" s="9"/>
      <c r="QCM82" s="106"/>
      <c r="QCN82" s="9"/>
      <c r="QCO82" s="106"/>
      <c r="QCP82" s="9"/>
      <c r="QCQ82" s="106"/>
      <c r="QCR82" s="9"/>
      <c r="QCS82" s="106"/>
      <c r="QCT82" s="9"/>
      <c r="QCU82" s="106"/>
      <c r="QCV82" s="9"/>
      <c r="QCW82" s="106"/>
      <c r="QCX82" s="9"/>
      <c r="QCY82" s="106"/>
      <c r="QCZ82" s="9"/>
      <c r="QDA82" s="106"/>
      <c r="QDB82" s="9"/>
      <c r="QDC82" s="106"/>
      <c r="QDD82" s="9"/>
      <c r="QDE82" s="106"/>
      <c r="QDF82" s="9"/>
      <c r="QDG82" s="106"/>
      <c r="QDH82" s="9"/>
      <c r="QDI82" s="106"/>
      <c r="QDJ82" s="9"/>
      <c r="QDK82" s="106"/>
      <c r="QDL82" s="9"/>
      <c r="QDM82" s="106"/>
      <c r="QDN82" s="9"/>
      <c r="QDO82" s="106"/>
      <c r="QDP82" s="9"/>
      <c r="QDQ82" s="106"/>
      <c r="QDR82" s="9"/>
      <c r="QDS82" s="106"/>
      <c r="QDT82" s="9"/>
      <c r="QDU82" s="106"/>
      <c r="QDV82" s="9"/>
      <c r="QDW82" s="106"/>
      <c r="QDX82" s="9"/>
      <c r="QDY82" s="106"/>
      <c r="QDZ82" s="9"/>
      <c r="QEA82" s="106"/>
      <c r="QEB82" s="9"/>
      <c r="QEC82" s="106"/>
      <c r="QED82" s="9"/>
      <c r="QEE82" s="106"/>
      <c r="QEF82" s="9"/>
      <c r="QEG82" s="106"/>
      <c r="QEH82" s="9"/>
      <c r="QEI82" s="106"/>
      <c r="QEJ82" s="9"/>
      <c r="QEK82" s="106"/>
      <c r="QEL82" s="9"/>
      <c r="QEM82" s="106"/>
      <c r="QEN82" s="9"/>
      <c r="QEO82" s="106"/>
      <c r="QEP82" s="9"/>
      <c r="QEQ82" s="106"/>
      <c r="QER82" s="9"/>
      <c r="QES82" s="106"/>
      <c r="QET82" s="9"/>
      <c r="QEU82" s="106"/>
      <c r="QEV82" s="9"/>
      <c r="QEW82" s="106"/>
      <c r="QEX82" s="9"/>
      <c r="QEY82" s="106"/>
      <c r="QEZ82" s="9"/>
      <c r="QFA82" s="106"/>
      <c r="QFB82" s="9"/>
      <c r="QFC82" s="106"/>
      <c r="QFD82" s="9"/>
      <c r="QFE82" s="106"/>
      <c r="QFF82" s="9"/>
      <c r="QFG82" s="106"/>
      <c r="QFH82" s="9"/>
      <c r="QFI82" s="106"/>
      <c r="QFJ82" s="9"/>
      <c r="QFK82" s="106"/>
      <c r="QFL82" s="9"/>
      <c r="QFM82" s="106"/>
      <c r="QFN82" s="9"/>
      <c r="QFO82" s="106"/>
      <c r="QFP82" s="9"/>
      <c r="QFQ82" s="106"/>
      <c r="QFR82" s="9"/>
      <c r="QFS82" s="106"/>
      <c r="QFT82" s="9"/>
      <c r="QFU82" s="106"/>
      <c r="QFV82" s="9"/>
      <c r="QFW82" s="106"/>
      <c r="QFX82" s="9"/>
      <c r="QFY82" s="106"/>
      <c r="QFZ82" s="9"/>
      <c r="QGA82" s="106"/>
      <c r="QGB82" s="9"/>
      <c r="QGC82" s="106"/>
      <c r="QGD82" s="9"/>
      <c r="QGE82" s="106"/>
      <c r="QGF82" s="9"/>
      <c r="QGG82" s="106"/>
      <c r="QGH82" s="9"/>
      <c r="QGI82" s="106"/>
      <c r="QGJ82" s="9"/>
      <c r="QGK82" s="106"/>
      <c r="QGL82" s="9"/>
      <c r="QGM82" s="106"/>
      <c r="QGN82" s="9"/>
      <c r="QGO82" s="106"/>
      <c r="QGP82" s="9"/>
      <c r="QGQ82" s="106"/>
      <c r="QGR82" s="9"/>
      <c r="QGS82" s="106"/>
      <c r="QGT82" s="9"/>
      <c r="QGU82" s="106"/>
      <c r="QGV82" s="9"/>
      <c r="QGW82" s="106"/>
      <c r="QGX82" s="9"/>
      <c r="QGY82" s="106"/>
      <c r="QGZ82" s="9"/>
      <c r="QHA82" s="106"/>
      <c r="QHB82" s="9"/>
      <c r="QHC82" s="106"/>
      <c r="QHD82" s="9"/>
      <c r="QHE82" s="106"/>
      <c r="QHF82" s="9"/>
      <c r="QHG82" s="106"/>
      <c r="QHH82" s="9"/>
      <c r="QHI82" s="106"/>
      <c r="QHJ82" s="9"/>
      <c r="QHK82" s="106"/>
      <c r="QHL82" s="9"/>
      <c r="QHM82" s="106"/>
      <c r="QHN82" s="9"/>
      <c r="QHO82" s="106"/>
      <c r="QHP82" s="9"/>
      <c r="QHQ82" s="106"/>
      <c r="QHR82" s="9"/>
      <c r="QHS82" s="106"/>
      <c r="QHT82" s="9"/>
      <c r="QHU82" s="106"/>
      <c r="QHV82" s="9"/>
      <c r="QHW82" s="106"/>
      <c r="QHX82" s="9"/>
      <c r="QHY82" s="106"/>
      <c r="QHZ82" s="9"/>
      <c r="QIA82" s="106"/>
      <c r="QIB82" s="9"/>
      <c r="QIC82" s="106"/>
      <c r="QID82" s="9"/>
      <c r="QIE82" s="106"/>
      <c r="QIF82" s="9"/>
      <c r="QIG82" s="106"/>
      <c r="QIH82" s="9"/>
      <c r="QII82" s="106"/>
      <c r="QIJ82" s="9"/>
      <c r="QIK82" s="106"/>
      <c r="QIL82" s="9"/>
      <c r="QIM82" s="106"/>
      <c r="QIN82" s="9"/>
      <c r="QIO82" s="106"/>
      <c r="QIP82" s="9"/>
      <c r="QIQ82" s="106"/>
      <c r="QIR82" s="9"/>
      <c r="QIS82" s="106"/>
      <c r="QIT82" s="9"/>
      <c r="QIU82" s="106"/>
      <c r="QIV82" s="9"/>
      <c r="QIW82" s="106"/>
      <c r="QIX82" s="9"/>
      <c r="QIY82" s="106"/>
      <c r="QIZ82" s="9"/>
      <c r="QJA82" s="106"/>
      <c r="QJB82" s="9"/>
      <c r="QJC82" s="106"/>
      <c r="QJD82" s="9"/>
      <c r="QJE82" s="106"/>
      <c r="QJF82" s="9"/>
      <c r="QJG82" s="106"/>
      <c r="QJH82" s="9"/>
      <c r="QJI82" s="106"/>
      <c r="QJJ82" s="9"/>
      <c r="QJK82" s="106"/>
      <c r="QJL82" s="9"/>
      <c r="QJM82" s="106"/>
      <c r="QJN82" s="9"/>
      <c r="QJO82" s="106"/>
      <c r="QJP82" s="9"/>
      <c r="QJQ82" s="106"/>
      <c r="QJR82" s="9"/>
      <c r="QJS82" s="106"/>
      <c r="QJT82" s="9"/>
      <c r="QJU82" s="106"/>
      <c r="QJV82" s="9"/>
      <c r="QJW82" s="106"/>
      <c r="QJX82" s="9"/>
      <c r="QJY82" s="106"/>
      <c r="QJZ82" s="9"/>
      <c r="QKA82" s="106"/>
      <c r="QKB82" s="9"/>
      <c r="QKC82" s="106"/>
      <c r="QKD82" s="9"/>
      <c r="QKE82" s="106"/>
      <c r="QKF82" s="9"/>
      <c r="QKG82" s="106"/>
      <c r="QKH82" s="9"/>
      <c r="QKI82" s="106"/>
      <c r="QKJ82" s="9"/>
      <c r="QKK82" s="106"/>
      <c r="QKL82" s="9"/>
      <c r="QKM82" s="106"/>
      <c r="QKN82" s="9"/>
      <c r="QKO82" s="106"/>
      <c r="QKP82" s="9"/>
      <c r="QKQ82" s="106"/>
      <c r="QKR82" s="9"/>
      <c r="QKS82" s="106"/>
      <c r="QKT82" s="9"/>
      <c r="QKU82" s="106"/>
      <c r="QKV82" s="9"/>
      <c r="QKW82" s="106"/>
      <c r="QKX82" s="9"/>
      <c r="QKY82" s="106"/>
      <c r="QKZ82" s="9"/>
      <c r="QLA82" s="106"/>
      <c r="QLB82" s="9"/>
      <c r="QLC82" s="106"/>
      <c r="QLD82" s="9"/>
      <c r="QLE82" s="106"/>
      <c r="QLF82" s="9"/>
      <c r="QLG82" s="106"/>
      <c r="QLH82" s="9"/>
      <c r="QLI82" s="106"/>
      <c r="QLJ82" s="9"/>
      <c r="QLK82" s="106"/>
      <c r="QLL82" s="9"/>
      <c r="QLM82" s="106"/>
      <c r="QLN82" s="9"/>
      <c r="QLO82" s="106"/>
      <c r="QLP82" s="9"/>
      <c r="QLQ82" s="106"/>
      <c r="QLR82" s="9"/>
      <c r="QLS82" s="106"/>
      <c r="QLT82" s="9"/>
      <c r="QLU82" s="106"/>
      <c r="QLV82" s="9"/>
      <c r="QLW82" s="106"/>
      <c r="QLX82" s="9"/>
      <c r="QLY82" s="106"/>
      <c r="QLZ82" s="9"/>
      <c r="QMA82" s="106"/>
      <c r="QMB82" s="9"/>
      <c r="QMC82" s="106"/>
      <c r="QMD82" s="9"/>
      <c r="QME82" s="106"/>
      <c r="QMF82" s="9"/>
      <c r="QMG82" s="106"/>
      <c r="QMH82" s="9"/>
      <c r="QMI82" s="106"/>
      <c r="QMJ82" s="9"/>
      <c r="QMK82" s="106"/>
      <c r="QML82" s="9"/>
      <c r="QMM82" s="106"/>
      <c r="QMN82" s="9"/>
      <c r="QMO82" s="106"/>
      <c r="QMP82" s="9"/>
      <c r="QMQ82" s="106"/>
      <c r="QMR82" s="9"/>
      <c r="QMS82" s="106"/>
      <c r="QMT82" s="9"/>
      <c r="QMU82" s="106"/>
      <c r="QMV82" s="9"/>
      <c r="QMW82" s="106"/>
      <c r="QMX82" s="9"/>
      <c r="QMY82" s="106"/>
      <c r="QMZ82" s="9"/>
      <c r="QNA82" s="106"/>
      <c r="QNB82" s="9"/>
      <c r="QNC82" s="106"/>
      <c r="QND82" s="9"/>
      <c r="QNE82" s="106"/>
      <c r="QNF82" s="9"/>
      <c r="QNG82" s="106"/>
      <c r="QNH82" s="9"/>
      <c r="QNI82" s="106"/>
      <c r="QNJ82" s="9"/>
      <c r="QNK82" s="106"/>
      <c r="QNL82" s="9"/>
      <c r="QNM82" s="106"/>
      <c r="QNN82" s="9"/>
      <c r="QNO82" s="106"/>
      <c r="QNP82" s="9"/>
      <c r="QNQ82" s="106"/>
      <c r="QNR82" s="9"/>
      <c r="QNS82" s="106"/>
      <c r="QNT82" s="9"/>
      <c r="QNU82" s="106"/>
      <c r="QNV82" s="9"/>
      <c r="QNW82" s="106"/>
      <c r="QNX82" s="9"/>
      <c r="QNY82" s="106"/>
      <c r="QNZ82" s="9"/>
      <c r="QOA82" s="106"/>
      <c r="QOB82" s="9"/>
      <c r="QOC82" s="106"/>
      <c r="QOD82" s="9"/>
      <c r="QOE82" s="106"/>
      <c r="QOF82" s="9"/>
      <c r="QOG82" s="106"/>
      <c r="QOH82" s="9"/>
      <c r="QOI82" s="106"/>
      <c r="QOJ82" s="9"/>
      <c r="QOK82" s="106"/>
      <c r="QOL82" s="9"/>
      <c r="QOM82" s="106"/>
      <c r="QON82" s="9"/>
      <c r="QOO82" s="106"/>
      <c r="QOP82" s="9"/>
      <c r="QOQ82" s="106"/>
      <c r="QOR82" s="9"/>
      <c r="QOS82" s="106"/>
      <c r="QOT82" s="9"/>
      <c r="QOU82" s="106"/>
      <c r="QOV82" s="9"/>
      <c r="QOW82" s="106"/>
      <c r="QOX82" s="9"/>
      <c r="QOY82" s="106"/>
      <c r="QOZ82" s="9"/>
      <c r="QPA82" s="106"/>
      <c r="QPB82" s="9"/>
      <c r="QPC82" s="106"/>
      <c r="QPD82" s="9"/>
      <c r="QPE82" s="106"/>
      <c r="QPF82" s="9"/>
      <c r="QPG82" s="106"/>
      <c r="QPH82" s="9"/>
      <c r="QPI82" s="106"/>
      <c r="QPJ82" s="9"/>
      <c r="QPK82" s="106"/>
      <c r="QPL82" s="9"/>
      <c r="QPM82" s="106"/>
      <c r="QPN82" s="9"/>
      <c r="QPO82" s="106"/>
      <c r="QPP82" s="9"/>
      <c r="QPQ82" s="106"/>
      <c r="QPR82" s="9"/>
      <c r="QPS82" s="106"/>
      <c r="QPT82" s="9"/>
      <c r="QPU82" s="106"/>
      <c r="QPV82" s="9"/>
      <c r="QPW82" s="106"/>
      <c r="QPX82" s="9"/>
      <c r="QPY82" s="106"/>
      <c r="QPZ82" s="9"/>
      <c r="QQA82" s="106"/>
      <c r="QQB82" s="9"/>
      <c r="QQC82" s="106"/>
      <c r="QQD82" s="9"/>
      <c r="QQE82" s="106"/>
      <c r="QQF82" s="9"/>
      <c r="QQG82" s="106"/>
      <c r="QQH82" s="9"/>
      <c r="QQI82" s="106"/>
      <c r="QQJ82" s="9"/>
      <c r="QQK82" s="106"/>
      <c r="QQL82" s="9"/>
      <c r="QQM82" s="106"/>
      <c r="QQN82" s="9"/>
      <c r="QQO82" s="106"/>
      <c r="QQP82" s="9"/>
      <c r="QQQ82" s="106"/>
      <c r="QQR82" s="9"/>
      <c r="QQS82" s="106"/>
      <c r="QQT82" s="9"/>
      <c r="QQU82" s="106"/>
      <c r="QQV82" s="9"/>
      <c r="QQW82" s="106"/>
      <c r="QQX82" s="9"/>
      <c r="QQY82" s="106"/>
      <c r="QQZ82" s="9"/>
      <c r="QRA82" s="106"/>
      <c r="QRB82" s="9"/>
      <c r="QRC82" s="106"/>
      <c r="QRD82" s="9"/>
      <c r="QRE82" s="106"/>
      <c r="QRF82" s="9"/>
      <c r="QRG82" s="106"/>
      <c r="QRH82" s="9"/>
      <c r="QRI82" s="106"/>
      <c r="QRJ82" s="9"/>
      <c r="QRK82" s="106"/>
      <c r="QRL82" s="9"/>
      <c r="QRM82" s="106"/>
      <c r="QRN82" s="9"/>
      <c r="QRO82" s="106"/>
      <c r="QRP82" s="9"/>
      <c r="QRQ82" s="106"/>
      <c r="QRR82" s="9"/>
      <c r="QRS82" s="106"/>
      <c r="QRT82" s="9"/>
      <c r="QRU82" s="106"/>
      <c r="QRV82" s="9"/>
      <c r="QRW82" s="106"/>
      <c r="QRX82" s="9"/>
      <c r="QRY82" s="106"/>
      <c r="QRZ82" s="9"/>
      <c r="QSA82" s="106"/>
      <c r="QSB82" s="9"/>
      <c r="QSC82" s="106"/>
      <c r="QSD82" s="9"/>
      <c r="QSE82" s="106"/>
      <c r="QSF82" s="9"/>
      <c r="QSG82" s="106"/>
      <c r="QSH82" s="9"/>
      <c r="QSI82" s="106"/>
      <c r="QSJ82" s="9"/>
      <c r="QSK82" s="106"/>
      <c r="QSL82" s="9"/>
      <c r="QSM82" s="106"/>
      <c r="QSN82" s="9"/>
      <c r="QSO82" s="106"/>
      <c r="QSP82" s="9"/>
      <c r="QSQ82" s="106"/>
      <c r="QSR82" s="9"/>
      <c r="QSS82" s="106"/>
      <c r="QST82" s="9"/>
      <c r="QSU82" s="106"/>
      <c r="QSV82" s="9"/>
      <c r="QSW82" s="106"/>
      <c r="QSX82" s="9"/>
      <c r="QSY82" s="106"/>
      <c r="QSZ82" s="9"/>
      <c r="QTA82" s="106"/>
      <c r="QTB82" s="9"/>
      <c r="QTC82" s="106"/>
      <c r="QTD82" s="9"/>
      <c r="QTE82" s="106"/>
      <c r="QTF82" s="9"/>
      <c r="QTG82" s="106"/>
      <c r="QTH82" s="9"/>
      <c r="QTI82" s="106"/>
      <c r="QTJ82" s="9"/>
      <c r="QTK82" s="106"/>
      <c r="QTL82" s="9"/>
      <c r="QTM82" s="106"/>
      <c r="QTN82" s="9"/>
      <c r="QTO82" s="106"/>
      <c r="QTP82" s="9"/>
      <c r="QTQ82" s="106"/>
      <c r="QTR82" s="9"/>
      <c r="QTS82" s="106"/>
      <c r="QTT82" s="9"/>
      <c r="QTU82" s="106"/>
      <c r="QTV82" s="9"/>
      <c r="QTW82" s="106"/>
      <c r="QTX82" s="9"/>
      <c r="QTY82" s="106"/>
      <c r="QTZ82" s="9"/>
      <c r="QUA82" s="106"/>
      <c r="QUB82" s="9"/>
      <c r="QUC82" s="106"/>
      <c r="QUD82" s="9"/>
      <c r="QUE82" s="106"/>
      <c r="QUF82" s="9"/>
      <c r="QUG82" s="106"/>
      <c r="QUH82" s="9"/>
      <c r="QUI82" s="106"/>
      <c r="QUJ82" s="9"/>
      <c r="QUK82" s="106"/>
      <c r="QUL82" s="9"/>
      <c r="QUM82" s="106"/>
      <c r="QUN82" s="9"/>
      <c r="QUO82" s="106"/>
      <c r="QUP82" s="9"/>
      <c r="QUQ82" s="106"/>
      <c r="QUR82" s="9"/>
      <c r="QUS82" s="106"/>
      <c r="QUT82" s="9"/>
      <c r="QUU82" s="106"/>
      <c r="QUV82" s="9"/>
      <c r="QUW82" s="106"/>
      <c r="QUX82" s="9"/>
      <c r="QUY82" s="106"/>
      <c r="QUZ82" s="9"/>
      <c r="QVA82" s="106"/>
      <c r="QVB82" s="9"/>
      <c r="QVC82" s="106"/>
      <c r="QVD82" s="9"/>
      <c r="QVE82" s="106"/>
      <c r="QVF82" s="9"/>
      <c r="QVG82" s="106"/>
      <c r="QVH82" s="9"/>
      <c r="QVI82" s="106"/>
      <c r="QVJ82" s="9"/>
      <c r="QVK82" s="106"/>
      <c r="QVL82" s="9"/>
      <c r="QVM82" s="106"/>
      <c r="QVN82" s="9"/>
      <c r="QVO82" s="106"/>
      <c r="QVP82" s="9"/>
      <c r="QVQ82" s="106"/>
      <c r="QVR82" s="9"/>
      <c r="QVS82" s="106"/>
      <c r="QVT82" s="9"/>
      <c r="QVU82" s="106"/>
      <c r="QVV82" s="9"/>
      <c r="QVW82" s="106"/>
      <c r="QVX82" s="9"/>
      <c r="QVY82" s="106"/>
      <c r="QVZ82" s="9"/>
      <c r="QWA82" s="106"/>
      <c r="QWB82" s="9"/>
      <c r="QWC82" s="106"/>
      <c r="QWD82" s="9"/>
      <c r="QWE82" s="106"/>
      <c r="QWF82" s="9"/>
      <c r="QWG82" s="106"/>
      <c r="QWH82" s="9"/>
      <c r="QWI82" s="106"/>
      <c r="QWJ82" s="9"/>
      <c r="QWK82" s="106"/>
      <c r="QWL82" s="9"/>
      <c r="QWM82" s="106"/>
      <c r="QWN82" s="9"/>
      <c r="QWO82" s="106"/>
      <c r="QWP82" s="9"/>
      <c r="QWQ82" s="106"/>
      <c r="QWR82" s="9"/>
      <c r="QWS82" s="106"/>
      <c r="QWT82" s="9"/>
      <c r="QWU82" s="106"/>
      <c r="QWV82" s="9"/>
      <c r="QWW82" s="106"/>
      <c r="QWX82" s="9"/>
      <c r="QWY82" s="106"/>
      <c r="QWZ82" s="9"/>
      <c r="QXA82" s="106"/>
      <c r="QXB82" s="9"/>
      <c r="QXC82" s="106"/>
      <c r="QXD82" s="9"/>
      <c r="QXE82" s="106"/>
      <c r="QXF82" s="9"/>
      <c r="QXG82" s="106"/>
      <c r="QXH82" s="9"/>
      <c r="QXI82" s="106"/>
      <c r="QXJ82" s="9"/>
      <c r="QXK82" s="106"/>
      <c r="QXL82" s="9"/>
      <c r="QXM82" s="106"/>
      <c r="QXN82" s="9"/>
      <c r="QXO82" s="106"/>
      <c r="QXP82" s="9"/>
      <c r="QXQ82" s="106"/>
      <c r="QXR82" s="9"/>
      <c r="QXS82" s="106"/>
      <c r="QXT82" s="9"/>
      <c r="QXU82" s="106"/>
      <c r="QXV82" s="9"/>
      <c r="QXW82" s="106"/>
      <c r="QXX82" s="9"/>
      <c r="QXY82" s="106"/>
      <c r="QXZ82" s="9"/>
      <c r="QYA82" s="106"/>
      <c r="QYB82" s="9"/>
      <c r="QYC82" s="106"/>
      <c r="QYD82" s="9"/>
      <c r="QYE82" s="106"/>
      <c r="QYF82" s="9"/>
      <c r="QYG82" s="106"/>
      <c r="QYH82" s="9"/>
      <c r="QYI82" s="106"/>
      <c r="QYJ82" s="9"/>
      <c r="QYK82" s="106"/>
      <c r="QYL82" s="9"/>
      <c r="QYM82" s="106"/>
      <c r="QYN82" s="9"/>
      <c r="QYO82" s="106"/>
      <c r="QYP82" s="9"/>
      <c r="QYQ82" s="106"/>
      <c r="QYR82" s="9"/>
      <c r="QYS82" s="106"/>
      <c r="QYT82" s="9"/>
      <c r="QYU82" s="106"/>
      <c r="QYV82" s="9"/>
      <c r="QYW82" s="106"/>
      <c r="QYX82" s="9"/>
      <c r="QYY82" s="106"/>
      <c r="QYZ82" s="9"/>
      <c r="QZA82" s="106"/>
      <c r="QZB82" s="9"/>
      <c r="QZC82" s="106"/>
      <c r="QZD82" s="9"/>
      <c r="QZE82" s="106"/>
      <c r="QZF82" s="9"/>
      <c r="QZG82" s="106"/>
      <c r="QZH82" s="9"/>
      <c r="QZI82" s="106"/>
      <c r="QZJ82" s="9"/>
      <c r="QZK82" s="106"/>
      <c r="QZL82" s="9"/>
      <c r="QZM82" s="106"/>
      <c r="QZN82" s="9"/>
      <c r="QZO82" s="106"/>
      <c r="QZP82" s="9"/>
      <c r="QZQ82" s="106"/>
      <c r="QZR82" s="9"/>
      <c r="QZS82" s="106"/>
      <c r="QZT82" s="9"/>
      <c r="QZU82" s="106"/>
      <c r="QZV82" s="9"/>
      <c r="QZW82" s="106"/>
      <c r="QZX82" s="9"/>
      <c r="QZY82" s="106"/>
      <c r="QZZ82" s="9"/>
      <c r="RAA82" s="106"/>
      <c r="RAB82" s="9"/>
      <c r="RAC82" s="106"/>
      <c r="RAD82" s="9"/>
      <c r="RAE82" s="106"/>
      <c r="RAF82" s="9"/>
      <c r="RAG82" s="106"/>
      <c r="RAH82" s="9"/>
      <c r="RAI82" s="106"/>
      <c r="RAJ82" s="9"/>
      <c r="RAK82" s="106"/>
      <c r="RAL82" s="9"/>
      <c r="RAM82" s="106"/>
      <c r="RAN82" s="9"/>
      <c r="RAO82" s="106"/>
      <c r="RAP82" s="9"/>
      <c r="RAQ82" s="106"/>
      <c r="RAR82" s="9"/>
      <c r="RAS82" s="106"/>
      <c r="RAT82" s="9"/>
      <c r="RAU82" s="106"/>
      <c r="RAV82" s="9"/>
      <c r="RAW82" s="106"/>
      <c r="RAX82" s="9"/>
      <c r="RAY82" s="106"/>
      <c r="RAZ82" s="9"/>
      <c r="RBA82" s="106"/>
      <c r="RBB82" s="9"/>
      <c r="RBC82" s="106"/>
      <c r="RBD82" s="9"/>
      <c r="RBE82" s="106"/>
      <c r="RBF82" s="9"/>
      <c r="RBG82" s="106"/>
      <c r="RBH82" s="9"/>
      <c r="RBI82" s="106"/>
      <c r="RBJ82" s="9"/>
      <c r="RBK82" s="106"/>
      <c r="RBL82" s="9"/>
      <c r="RBM82" s="106"/>
      <c r="RBN82" s="9"/>
      <c r="RBO82" s="106"/>
      <c r="RBP82" s="9"/>
      <c r="RBQ82" s="106"/>
      <c r="RBR82" s="9"/>
      <c r="RBS82" s="106"/>
      <c r="RBT82" s="9"/>
      <c r="RBU82" s="106"/>
      <c r="RBV82" s="9"/>
      <c r="RBW82" s="106"/>
      <c r="RBX82" s="9"/>
      <c r="RBY82" s="106"/>
      <c r="RBZ82" s="9"/>
      <c r="RCA82" s="106"/>
      <c r="RCB82" s="9"/>
      <c r="RCC82" s="106"/>
      <c r="RCD82" s="9"/>
      <c r="RCE82" s="106"/>
      <c r="RCF82" s="9"/>
      <c r="RCG82" s="106"/>
      <c r="RCH82" s="9"/>
      <c r="RCI82" s="106"/>
      <c r="RCJ82" s="9"/>
      <c r="RCK82" s="106"/>
      <c r="RCL82" s="9"/>
      <c r="RCM82" s="106"/>
      <c r="RCN82" s="9"/>
      <c r="RCO82" s="106"/>
      <c r="RCP82" s="9"/>
      <c r="RCQ82" s="106"/>
      <c r="RCR82" s="9"/>
      <c r="RCS82" s="106"/>
      <c r="RCT82" s="9"/>
      <c r="RCU82" s="106"/>
      <c r="RCV82" s="9"/>
      <c r="RCW82" s="106"/>
      <c r="RCX82" s="9"/>
      <c r="RCY82" s="106"/>
      <c r="RCZ82" s="9"/>
      <c r="RDA82" s="106"/>
      <c r="RDB82" s="9"/>
      <c r="RDC82" s="106"/>
      <c r="RDD82" s="9"/>
      <c r="RDE82" s="106"/>
      <c r="RDF82" s="9"/>
      <c r="RDG82" s="106"/>
      <c r="RDH82" s="9"/>
      <c r="RDI82" s="106"/>
      <c r="RDJ82" s="9"/>
      <c r="RDK82" s="106"/>
      <c r="RDL82" s="9"/>
      <c r="RDM82" s="106"/>
      <c r="RDN82" s="9"/>
      <c r="RDO82" s="106"/>
      <c r="RDP82" s="9"/>
      <c r="RDQ82" s="106"/>
      <c r="RDR82" s="9"/>
      <c r="RDS82" s="106"/>
      <c r="RDT82" s="9"/>
      <c r="RDU82" s="106"/>
      <c r="RDV82" s="9"/>
      <c r="RDW82" s="106"/>
      <c r="RDX82" s="9"/>
      <c r="RDY82" s="106"/>
      <c r="RDZ82" s="9"/>
      <c r="REA82" s="106"/>
      <c r="REB82" s="9"/>
      <c r="REC82" s="106"/>
      <c r="RED82" s="9"/>
      <c r="REE82" s="106"/>
      <c r="REF82" s="9"/>
      <c r="REG82" s="106"/>
      <c r="REH82" s="9"/>
      <c r="REI82" s="106"/>
      <c r="REJ82" s="9"/>
      <c r="REK82" s="106"/>
      <c r="REL82" s="9"/>
      <c r="REM82" s="106"/>
      <c r="REN82" s="9"/>
      <c r="REO82" s="106"/>
      <c r="REP82" s="9"/>
      <c r="REQ82" s="106"/>
      <c r="RER82" s="9"/>
      <c r="RES82" s="106"/>
      <c r="RET82" s="9"/>
      <c r="REU82" s="106"/>
      <c r="REV82" s="9"/>
      <c r="REW82" s="106"/>
      <c r="REX82" s="9"/>
      <c r="REY82" s="106"/>
      <c r="REZ82" s="9"/>
      <c r="RFA82" s="106"/>
      <c r="RFB82" s="9"/>
      <c r="RFC82" s="106"/>
      <c r="RFD82" s="9"/>
      <c r="RFE82" s="106"/>
      <c r="RFF82" s="9"/>
      <c r="RFG82" s="106"/>
      <c r="RFH82" s="9"/>
      <c r="RFI82" s="106"/>
      <c r="RFJ82" s="9"/>
      <c r="RFK82" s="106"/>
      <c r="RFL82" s="9"/>
      <c r="RFM82" s="106"/>
      <c r="RFN82" s="9"/>
      <c r="RFO82" s="106"/>
      <c r="RFP82" s="9"/>
      <c r="RFQ82" s="106"/>
      <c r="RFR82" s="9"/>
      <c r="RFS82" s="106"/>
      <c r="RFT82" s="9"/>
      <c r="RFU82" s="106"/>
      <c r="RFV82" s="9"/>
      <c r="RFW82" s="106"/>
      <c r="RFX82" s="9"/>
      <c r="RFY82" s="106"/>
      <c r="RFZ82" s="9"/>
      <c r="RGA82" s="106"/>
      <c r="RGB82" s="9"/>
      <c r="RGC82" s="106"/>
      <c r="RGD82" s="9"/>
      <c r="RGE82" s="106"/>
      <c r="RGF82" s="9"/>
      <c r="RGG82" s="106"/>
      <c r="RGH82" s="9"/>
      <c r="RGI82" s="106"/>
      <c r="RGJ82" s="9"/>
      <c r="RGK82" s="106"/>
      <c r="RGL82" s="9"/>
      <c r="RGM82" s="106"/>
      <c r="RGN82" s="9"/>
      <c r="RGO82" s="106"/>
      <c r="RGP82" s="9"/>
      <c r="RGQ82" s="106"/>
      <c r="RGR82" s="9"/>
      <c r="RGS82" s="106"/>
      <c r="RGT82" s="9"/>
      <c r="RGU82" s="106"/>
      <c r="RGV82" s="9"/>
      <c r="RGW82" s="106"/>
      <c r="RGX82" s="9"/>
      <c r="RGY82" s="106"/>
      <c r="RGZ82" s="9"/>
      <c r="RHA82" s="106"/>
      <c r="RHB82" s="9"/>
      <c r="RHC82" s="106"/>
      <c r="RHD82" s="9"/>
      <c r="RHE82" s="106"/>
      <c r="RHF82" s="9"/>
      <c r="RHG82" s="106"/>
      <c r="RHH82" s="9"/>
      <c r="RHI82" s="106"/>
      <c r="RHJ82" s="9"/>
      <c r="RHK82" s="106"/>
      <c r="RHL82" s="9"/>
      <c r="RHM82" s="106"/>
      <c r="RHN82" s="9"/>
      <c r="RHO82" s="106"/>
      <c r="RHP82" s="9"/>
      <c r="RHQ82" s="106"/>
      <c r="RHR82" s="9"/>
      <c r="RHS82" s="106"/>
      <c r="RHT82" s="9"/>
      <c r="RHU82" s="106"/>
      <c r="RHV82" s="9"/>
      <c r="RHW82" s="106"/>
      <c r="RHX82" s="9"/>
      <c r="RHY82" s="106"/>
      <c r="RHZ82" s="9"/>
      <c r="RIA82" s="106"/>
      <c r="RIB82" s="9"/>
      <c r="RIC82" s="106"/>
      <c r="RID82" s="9"/>
      <c r="RIE82" s="106"/>
      <c r="RIF82" s="9"/>
      <c r="RIG82" s="106"/>
      <c r="RIH82" s="9"/>
      <c r="RII82" s="106"/>
      <c r="RIJ82" s="9"/>
      <c r="RIK82" s="106"/>
      <c r="RIL82" s="9"/>
      <c r="RIM82" s="106"/>
      <c r="RIN82" s="9"/>
      <c r="RIO82" s="106"/>
      <c r="RIP82" s="9"/>
      <c r="RIQ82" s="106"/>
      <c r="RIR82" s="9"/>
      <c r="RIS82" s="106"/>
      <c r="RIT82" s="9"/>
      <c r="RIU82" s="106"/>
      <c r="RIV82" s="9"/>
      <c r="RIW82" s="106"/>
      <c r="RIX82" s="9"/>
      <c r="RIY82" s="106"/>
      <c r="RIZ82" s="9"/>
      <c r="RJA82" s="106"/>
      <c r="RJB82" s="9"/>
      <c r="RJC82" s="106"/>
      <c r="RJD82" s="9"/>
      <c r="RJE82" s="106"/>
      <c r="RJF82" s="9"/>
      <c r="RJG82" s="106"/>
      <c r="RJH82" s="9"/>
      <c r="RJI82" s="106"/>
      <c r="RJJ82" s="9"/>
      <c r="RJK82" s="106"/>
      <c r="RJL82" s="9"/>
      <c r="RJM82" s="106"/>
      <c r="RJN82" s="9"/>
      <c r="RJO82" s="106"/>
      <c r="RJP82" s="9"/>
      <c r="RJQ82" s="106"/>
      <c r="RJR82" s="9"/>
      <c r="RJS82" s="106"/>
      <c r="RJT82" s="9"/>
      <c r="RJU82" s="106"/>
      <c r="RJV82" s="9"/>
      <c r="RJW82" s="106"/>
      <c r="RJX82" s="9"/>
      <c r="RJY82" s="106"/>
      <c r="RJZ82" s="9"/>
      <c r="RKA82" s="106"/>
      <c r="RKB82" s="9"/>
      <c r="RKC82" s="106"/>
      <c r="RKD82" s="9"/>
      <c r="RKE82" s="106"/>
      <c r="RKF82" s="9"/>
      <c r="RKG82" s="106"/>
      <c r="RKH82" s="9"/>
      <c r="RKI82" s="106"/>
      <c r="RKJ82" s="9"/>
      <c r="RKK82" s="106"/>
      <c r="RKL82" s="9"/>
      <c r="RKM82" s="106"/>
      <c r="RKN82" s="9"/>
      <c r="RKO82" s="106"/>
      <c r="RKP82" s="9"/>
      <c r="RKQ82" s="106"/>
      <c r="RKR82" s="9"/>
      <c r="RKS82" s="106"/>
      <c r="RKT82" s="9"/>
      <c r="RKU82" s="106"/>
      <c r="RKV82" s="9"/>
      <c r="RKW82" s="106"/>
      <c r="RKX82" s="9"/>
      <c r="RKY82" s="106"/>
      <c r="RKZ82" s="9"/>
      <c r="RLA82" s="106"/>
      <c r="RLB82" s="9"/>
      <c r="RLC82" s="106"/>
      <c r="RLD82" s="9"/>
      <c r="RLE82" s="106"/>
      <c r="RLF82" s="9"/>
      <c r="RLG82" s="106"/>
      <c r="RLH82" s="9"/>
      <c r="RLI82" s="106"/>
      <c r="RLJ82" s="9"/>
      <c r="RLK82" s="106"/>
      <c r="RLL82" s="9"/>
      <c r="RLM82" s="106"/>
      <c r="RLN82" s="9"/>
      <c r="RLO82" s="106"/>
      <c r="RLP82" s="9"/>
      <c r="RLQ82" s="106"/>
      <c r="RLR82" s="9"/>
      <c r="RLS82" s="106"/>
      <c r="RLT82" s="9"/>
      <c r="RLU82" s="106"/>
      <c r="RLV82" s="9"/>
      <c r="RLW82" s="106"/>
      <c r="RLX82" s="9"/>
      <c r="RLY82" s="106"/>
      <c r="RLZ82" s="9"/>
      <c r="RMA82" s="106"/>
      <c r="RMB82" s="9"/>
      <c r="RMC82" s="106"/>
      <c r="RMD82" s="9"/>
      <c r="RME82" s="106"/>
      <c r="RMF82" s="9"/>
      <c r="RMG82" s="106"/>
      <c r="RMH82" s="9"/>
      <c r="RMI82" s="106"/>
      <c r="RMJ82" s="9"/>
      <c r="RMK82" s="106"/>
      <c r="RML82" s="9"/>
      <c r="RMM82" s="106"/>
      <c r="RMN82" s="9"/>
      <c r="RMO82" s="106"/>
      <c r="RMP82" s="9"/>
      <c r="RMQ82" s="106"/>
      <c r="RMR82" s="9"/>
      <c r="RMS82" s="106"/>
      <c r="RMT82" s="9"/>
      <c r="RMU82" s="106"/>
      <c r="RMV82" s="9"/>
      <c r="RMW82" s="106"/>
      <c r="RMX82" s="9"/>
      <c r="RMY82" s="106"/>
      <c r="RMZ82" s="9"/>
      <c r="RNA82" s="106"/>
      <c r="RNB82" s="9"/>
      <c r="RNC82" s="106"/>
      <c r="RND82" s="9"/>
      <c r="RNE82" s="106"/>
      <c r="RNF82" s="9"/>
      <c r="RNG82" s="106"/>
      <c r="RNH82" s="9"/>
      <c r="RNI82" s="106"/>
      <c r="RNJ82" s="9"/>
      <c r="RNK82" s="106"/>
      <c r="RNL82" s="9"/>
      <c r="RNM82" s="106"/>
      <c r="RNN82" s="9"/>
      <c r="RNO82" s="106"/>
      <c r="RNP82" s="9"/>
      <c r="RNQ82" s="106"/>
      <c r="RNR82" s="9"/>
      <c r="RNS82" s="106"/>
      <c r="RNT82" s="9"/>
      <c r="RNU82" s="106"/>
      <c r="RNV82" s="9"/>
      <c r="RNW82" s="106"/>
      <c r="RNX82" s="9"/>
      <c r="RNY82" s="106"/>
      <c r="RNZ82" s="9"/>
      <c r="ROA82" s="106"/>
      <c r="ROB82" s="9"/>
      <c r="ROC82" s="106"/>
      <c r="ROD82" s="9"/>
      <c r="ROE82" s="106"/>
      <c r="ROF82" s="9"/>
      <c r="ROG82" s="106"/>
      <c r="ROH82" s="9"/>
      <c r="ROI82" s="106"/>
      <c r="ROJ82" s="9"/>
      <c r="ROK82" s="106"/>
      <c r="ROL82" s="9"/>
      <c r="ROM82" s="106"/>
      <c r="RON82" s="9"/>
      <c r="ROO82" s="106"/>
      <c r="ROP82" s="9"/>
      <c r="ROQ82" s="106"/>
      <c r="ROR82" s="9"/>
      <c r="ROS82" s="106"/>
      <c r="ROT82" s="9"/>
      <c r="ROU82" s="106"/>
      <c r="ROV82" s="9"/>
      <c r="ROW82" s="106"/>
      <c r="ROX82" s="9"/>
      <c r="ROY82" s="106"/>
      <c r="ROZ82" s="9"/>
      <c r="RPA82" s="106"/>
      <c r="RPB82" s="9"/>
      <c r="RPC82" s="106"/>
      <c r="RPD82" s="9"/>
      <c r="RPE82" s="106"/>
      <c r="RPF82" s="9"/>
      <c r="RPG82" s="106"/>
      <c r="RPH82" s="9"/>
      <c r="RPI82" s="106"/>
      <c r="RPJ82" s="9"/>
      <c r="RPK82" s="106"/>
      <c r="RPL82" s="9"/>
      <c r="RPM82" s="106"/>
      <c r="RPN82" s="9"/>
      <c r="RPO82" s="106"/>
      <c r="RPP82" s="9"/>
      <c r="RPQ82" s="106"/>
      <c r="RPR82" s="9"/>
      <c r="RPS82" s="106"/>
      <c r="RPT82" s="9"/>
      <c r="RPU82" s="106"/>
      <c r="RPV82" s="9"/>
      <c r="RPW82" s="106"/>
      <c r="RPX82" s="9"/>
      <c r="RPY82" s="106"/>
      <c r="RPZ82" s="9"/>
      <c r="RQA82" s="106"/>
      <c r="RQB82" s="9"/>
      <c r="RQC82" s="106"/>
      <c r="RQD82" s="9"/>
      <c r="RQE82" s="106"/>
      <c r="RQF82" s="9"/>
      <c r="RQG82" s="106"/>
      <c r="RQH82" s="9"/>
      <c r="RQI82" s="106"/>
      <c r="RQJ82" s="9"/>
      <c r="RQK82" s="106"/>
      <c r="RQL82" s="9"/>
      <c r="RQM82" s="106"/>
      <c r="RQN82" s="9"/>
      <c r="RQO82" s="106"/>
      <c r="RQP82" s="9"/>
      <c r="RQQ82" s="106"/>
      <c r="RQR82" s="9"/>
      <c r="RQS82" s="106"/>
      <c r="RQT82" s="9"/>
      <c r="RQU82" s="106"/>
      <c r="RQV82" s="9"/>
      <c r="RQW82" s="106"/>
      <c r="RQX82" s="9"/>
      <c r="RQY82" s="106"/>
      <c r="RQZ82" s="9"/>
      <c r="RRA82" s="106"/>
      <c r="RRB82" s="9"/>
      <c r="RRC82" s="106"/>
      <c r="RRD82" s="9"/>
      <c r="RRE82" s="106"/>
      <c r="RRF82" s="9"/>
      <c r="RRG82" s="106"/>
      <c r="RRH82" s="9"/>
      <c r="RRI82" s="106"/>
      <c r="RRJ82" s="9"/>
      <c r="RRK82" s="106"/>
      <c r="RRL82" s="9"/>
      <c r="RRM82" s="106"/>
      <c r="RRN82" s="9"/>
      <c r="RRO82" s="106"/>
      <c r="RRP82" s="9"/>
      <c r="RRQ82" s="106"/>
      <c r="RRR82" s="9"/>
      <c r="RRS82" s="106"/>
      <c r="RRT82" s="9"/>
      <c r="RRU82" s="106"/>
      <c r="RRV82" s="9"/>
      <c r="RRW82" s="106"/>
      <c r="RRX82" s="9"/>
      <c r="RRY82" s="106"/>
      <c r="RRZ82" s="9"/>
      <c r="RSA82" s="106"/>
      <c r="RSB82" s="9"/>
      <c r="RSC82" s="106"/>
      <c r="RSD82" s="9"/>
      <c r="RSE82" s="106"/>
      <c r="RSF82" s="9"/>
      <c r="RSG82" s="106"/>
      <c r="RSH82" s="9"/>
      <c r="RSI82" s="106"/>
      <c r="RSJ82" s="9"/>
      <c r="RSK82" s="106"/>
      <c r="RSL82" s="9"/>
      <c r="RSM82" s="106"/>
      <c r="RSN82" s="9"/>
      <c r="RSO82" s="106"/>
      <c r="RSP82" s="9"/>
      <c r="RSQ82" s="106"/>
      <c r="RSR82" s="9"/>
      <c r="RSS82" s="106"/>
      <c r="RST82" s="9"/>
      <c r="RSU82" s="106"/>
      <c r="RSV82" s="9"/>
      <c r="RSW82" s="106"/>
      <c r="RSX82" s="9"/>
      <c r="RSY82" s="106"/>
      <c r="RSZ82" s="9"/>
      <c r="RTA82" s="106"/>
      <c r="RTB82" s="9"/>
      <c r="RTC82" s="106"/>
      <c r="RTD82" s="9"/>
      <c r="RTE82" s="106"/>
      <c r="RTF82" s="9"/>
      <c r="RTG82" s="106"/>
      <c r="RTH82" s="9"/>
      <c r="RTI82" s="106"/>
      <c r="RTJ82" s="9"/>
      <c r="RTK82" s="106"/>
      <c r="RTL82" s="9"/>
      <c r="RTM82" s="106"/>
      <c r="RTN82" s="9"/>
      <c r="RTO82" s="106"/>
      <c r="RTP82" s="9"/>
      <c r="RTQ82" s="106"/>
      <c r="RTR82" s="9"/>
      <c r="RTS82" s="106"/>
      <c r="RTT82" s="9"/>
      <c r="RTU82" s="106"/>
      <c r="RTV82" s="9"/>
      <c r="RTW82" s="106"/>
      <c r="RTX82" s="9"/>
      <c r="RTY82" s="106"/>
      <c r="RTZ82" s="9"/>
      <c r="RUA82" s="106"/>
      <c r="RUB82" s="9"/>
      <c r="RUC82" s="106"/>
      <c r="RUD82" s="9"/>
      <c r="RUE82" s="106"/>
      <c r="RUF82" s="9"/>
      <c r="RUG82" s="106"/>
      <c r="RUH82" s="9"/>
      <c r="RUI82" s="106"/>
      <c r="RUJ82" s="9"/>
      <c r="RUK82" s="106"/>
      <c r="RUL82" s="9"/>
      <c r="RUM82" s="106"/>
      <c r="RUN82" s="9"/>
      <c r="RUO82" s="106"/>
      <c r="RUP82" s="9"/>
      <c r="RUQ82" s="106"/>
      <c r="RUR82" s="9"/>
      <c r="RUS82" s="106"/>
      <c r="RUT82" s="9"/>
      <c r="RUU82" s="106"/>
      <c r="RUV82" s="9"/>
      <c r="RUW82" s="106"/>
      <c r="RUX82" s="9"/>
      <c r="RUY82" s="106"/>
      <c r="RUZ82" s="9"/>
      <c r="RVA82" s="106"/>
      <c r="RVB82" s="9"/>
      <c r="RVC82" s="106"/>
      <c r="RVD82" s="9"/>
      <c r="RVE82" s="106"/>
      <c r="RVF82" s="9"/>
      <c r="RVG82" s="106"/>
      <c r="RVH82" s="9"/>
      <c r="RVI82" s="106"/>
      <c r="RVJ82" s="9"/>
      <c r="RVK82" s="106"/>
      <c r="RVL82" s="9"/>
      <c r="RVM82" s="106"/>
      <c r="RVN82" s="9"/>
      <c r="RVO82" s="106"/>
      <c r="RVP82" s="9"/>
      <c r="RVQ82" s="106"/>
      <c r="RVR82" s="9"/>
      <c r="RVS82" s="106"/>
      <c r="RVT82" s="9"/>
      <c r="RVU82" s="106"/>
      <c r="RVV82" s="9"/>
      <c r="RVW82" s="106"/>
      <c r="RVX82" s="9"/>
      <c r="RVY82" s="106"/>
      <c r="RVZ82" s="9"/>
      <c r="RWA82" s="106"/>
      <c r="RWB82" s="9"/>
      <c r="RWC82" s="106"/>
      <c r="RWD82" s="9"/>
      <c r="RWE82" s="106"/>
      <c r="RWF82" s="9"/>
      <c r="RWG82" s="106"/>
      <c r="RWH82" s="9"/>
      <c r="RWI82" s="106"/>
      <c r="RWJ82" s="9"/>
      <c r="RWK82" s="106"/>
      <c r="RWL82" s="9"/>
      <c r="RWM82" s="106"/>
      <c r="RWN82" s="9"/>
      <c r="RWO82" s="106"/>
      <c r="RWP82" s="9"/>
      <c r="RWQ82" s="106"/>
      <c r="RWR82" s="9"/>
      <c r="RWS82" s="106"/>
      <c r="RWT82" s="9"/>
      <c r="RWU82" s="106"/>
      <c r="RWV82" s="9"/>
      <c r="RWW82" s="106"/>
      <c r="RWX82" s="9"/>
      <c r="RWY82" s="106"/>
      <c r="RWZ82" s="9"/>
      <c r="RXA82" s="106"/>
      <c r="RXB82" s="9"/>
      <c r="RXC82" s="106"/>
      <c r="RXD82" s="9"/>
      <c r="RXE82" s="106"/>
      <c r="RXF82" s="9"/>
      <c r="RXG82" s="106"/>
      <c r="RXH82" s="9"/>
      <c r="RXI82" s="106"/>
      <c r="RXJ82" s="9"/>
      <c r="RXK82" s="106"/>
      <c r="RXL82" s="9"/>
      <c r="RXM82" s="106"/>
      <c r="RXN82" s="9"/>
      <c r="RXO82" s="106"/>
      <c r="RXP82" s="9"/>
      <c r="RXQ82" s="106"/>
      <c r="RXR82" s="9"/>
      <c r="RXS82" s="106"/>
      <c r="RXT82" s="9"/>
      <c r="RXU82" s="106"/>
      <c r="RXV82" s="9"/>
      <c r="RXW82" s="106"/>
      <c r="RXX82" s="9"/>
      <c r="RXY82" s="106"/>
      <c r="RXZ82" s="9"/>
      <c r="RYA82" s="106"/>
      <c r="RYB82" s="9"/>
      <c r="RYC82" s="106"/>
      <c r="RYD82" s="9"/>
      <c r="RYE82" s="106"/>
      <c r="RYF82" s="9"/>
      <c r="RYG82" s="106"/>
      <c r="RYH82" s="9"/>
      <c r="RYI82" s="106"/>
      <c r="RYJ82" s="9"/>
      <c r="RYK82" s="106"/>
      <c r="RYL82" s="9"/>
      <c r="RYM82" s="106"/>
      <c r="RYN82" s="9"/>
      <c r="RYO82" s="106"/>
      <c r="RYP82" s="9"/>
      <c r="RYQ82" s="106"/>
      <c r="RYR82" s="9"/>
      <c r="RYS82" s="106"/>
      <c r="RYT82" s="9"/>
      <c r="RYU82" s="106"/>
      <c r="RYV82" s="9"/>
      <c r="RYW82" s="106"/>
      <c r="RYX82" s="9"/>
      <c r="RYY82" s="106"/>
      <c r="RYZ82" s="9"/>
      <c r="RZA82" s="106"/>
      <c r="RZB82" s="9"/>
      <c r="RZC82" s="106"/>
      <c r="RZD82" s="9"/>
      <c r="RZE82" s="106"/>
      <c r="RZF82" s="9"/>
      <c r="RZG82" s="106"/>
      <c r="RZH82" s="9"/>
      <c r="RZI82" s="106"/>
      <c r="RZJ82" s="9"/>
      <c r="RZK82" s="106"/>
      <c r="RZL82" s="9"/>
      <c r="RZM82" s="106"/>
      <c r="RZN82" s="9"/>
      <c r="RZO82" s="106"/>
      <c r="RZP82" s="9"/>
      <c r="RZQ82" s="106"/>
      <c r="RZR82" s="9"/>
      <c r="RZS82" s="106"/>
      <c r="RZT82" s="9"/>
      <c r="RZU82" s="106"/>
      <c r="RZV82" s="9"/>
      <c r="RZW82" s="106"/>
      <c r="RZX82" s="9"/>
      <c r="RZY82" s="106"/>
      <c r="RZZ82" s="9"/>
      <c r="SAA82" s="106"/>
      <c r="SAB82" s="9"/>
      <c r="SAC82" s="106"/>
      <c r="SAD82" s="9"/>
      <c r="SAE82" s="106"/>
      <c r="SAF82" s="9"/>
      <c r="SAG82" s="106"/>
      <c r="SAH82" s="9"/>
      <c r="SAI82" s="106"/>
      <c r="SAJ82" s="9"/>
      <c r="SAK82" s="106"/>
      <c r="SAL82" s="9"/>
      <c r="SAM82" s="106"/>
      <c r="SAN82" s="9"/>
      <c r="SAO82" s="106"/>
      <c r="SAP82" s="9"/>
      <c r="SAQ82" s="106"/>
      <c r="SAR82" s="9"/>
      <c r="SAS82" s="106"/>
      <c r="SAT82" s="9"/>
      <c r="SAU82" s="106"/>
      <c r="SAV82" s="9"/>
      <c r="SAW82" s="106"/>
      <c r="SAX82" s="9"/>
      <c r="SAY82" s="106"/>
      <c r="SAZ82" s="9"/>
      <c r="SBA82" s="106"/>
      <c r="SBB82" s="9"/>
      <c r="SBC82" s="106"/>
      <c r="SBD82" s="9"/>
      <c r="SBE82" s="106"/>
      <c r="SBF82" s="9"/>
      <c r="SBG82" s="106"/>
      <c r="SBH82" s="9"/>
      <c r="SBI82" s="106"/>
      <c r="SBJ82" s="9"/>
      <c r="SBK82" s="106"/>
      <c r="SBL82" s="9"/>
      <c r="SBM82" s="106"/>
      <c r="SBN82" s="9"/>
      <c r="SBO82" s="106"/>
      <c r="SBP82" s="9"/>
      <c r="SBQ82" s="106"/>
      <c r="SBR82" s="9"/>
      <c r="SBS82" s="106"/>
      <c r="SBT82" s="9"/>
      <c r="SBU82" s="106"/>
      <c r="SBV82" s="9"/>
      <c r="SBW82" s="106"/>
      <c r="SBX82" s="9"/>
      <c r="SBY82" s="106"/>
      <c r="SBZ82" s="9"/>
      <c r="SCA82" s="106"/>
      <c r="SCB82" s="9"/>
      <c r="SCC82" s="106"/>
      <c r="SCD82" s="9"/>
      <c r="SCE82" s="106"/>
      <c r="SCF82" s="9"/>
      <c r="SCG82" s="106"/>
      <c r="SCH82" s="9"/>
      <c r="SCI82" s="106"/>
      <c r="SCJ82" s="9"/>
      <c r="SCK82" s="106"/>
      <c r="SCL82" s="9"/>
      <c r="SCM82" s="106"/>
      <c r="SCN82" s="9"/>
      <c r="SCO82" s="106"/>
      <c r="SCP82" s="9"/>
      <c r="SCQ82" s="106"/>
      <c r="SCR82" s="9"/>
      <c r="SCS82" s="106"/>
      <c r="SCT82" s="9"/>
      <c r="SCU82" s="106"/>
      <c r="SCV82" s="9"/>
      <c r="SCW82" s="106"/>
      <c r="SCX82" s="9"/>
      <c r="SCY82" s="106"/>
      <c r="SCZ82" s="9"/>
      <c r="SDA82" s="106"/>
      <c r="SDB82" s="9"/>
      <c r="SDC82" s="106"/>
      <c r="SDD82" s="9"/>
      <c r="SDE82" s="106"/>
      <c r="SDF82" s="9"/>
      <c r="SDG82" s="106"/>
      <c r="SDH82" s="9"/>
      <c r="SDI82" s="106"/>
      <c r="SDJ82" s="9"/>
      <c r="SDK82" s="106"/>
      <c r="SDL82" s="9"/>
      <c r="SDM82" s="106"/>
      <c r="SDN82" s="9"/>
      <c r="SDO82" s="106"/>
      <c r="SDP82" s="9"/>
      <c r="SDQ82" s="106"/>
      <c r="SDR82" s="9"/>
      <c r="SDS82" s="106"/>
      <c r="SDT82" s="9"/>
      <c r="SDU82" s="106"/>
      <c r="SDV82" s="9"/>
      <c r="SDW82" s="106"/>
      <c r="SDX82" s="9"/>
      <c r="SDY82" s="106"/>
      <c r="SDZ82" s="9"/>
      <c r="SEA82" s="106"/>
      <c r="SEB82" s="9"/>
      <c r="SEC82" s="106"/>
      <c r="SED82" s="9"/>
      <c r="SEE82" s="106"/>
      <c r="SEF82" s="9"/>
      <c r="SEG82" s="106"/>
      <c r="SEH82" s="9"/>
      <c r="SEI82" s="106"/>
      <c r="SEJ82" s="9"/>
      <c r="SEK82" s="106"/>
      <c r="SEL82" s="9"/>
      <c r="SEM82" s="106"/>
      <c r="SEN82" s="9"/>
      <c r="SEO82" s="106"/>
      <c r="SEP82" s="9"/>
      <c r="SEQ82" s="106"/>
      <c r="SER82" s="9"/>
      <c r="SES82" s="106"/>
      <c r="SET82" s="9"/>
      <c r="SEU82" s="106"/>
      <c r="SEV82" s="9"/>
      <c r="SEW82" s="106"/>
      <c r="SEX82" s="9"/>
      <c r="SEY82" s="106"/>
      <c r="SEZ82" s="9"/>
      <c r="SFA82" s="106"/>
      <c r="SFB82" s="9"/>
      <c r="SFC82" s="106"/>
      <c r="SFD82" s="9"/>
      <c r="SFE82" s="106"/>
      <c r="SFF82" s="9"/>
      <c r="SFG82" s="106"/>
      <c r="SFH82" s="9"/>
      <c r="SFI82" s="106"/>
      <c r="SFJ82" s="9"/>
      <c r="SFK82" s="106"/>
      <c r="SFL82" s="9"/>
      <c r="SFM82" s="106"/>
      <c r="SFN82" s="9"/>
      <c r="SFO82" s="106"/>
      <c r="SFP82" s="9"/>
      <c r="SFQ82" s="106"/>
      <c r="SFR82" s="9"/>
      <c r="SFS82" s="106"/>
      <c r="SFT82" s="9"/>
      <c r="SFU82" s="106"/>
      <c r="SFV82" s="9"/>
      <c r="SFW82" s="106"/>
      <c r="SFX82" s="9"/>
      <c r="SFY82" s="106"/>
      <c r="SFZ82" s="9"/>
      <c r="SGA82" s="106"/>
      <c r="SGB82" s="9"/>
      <c r="SGC82" s="106"/>
      <c r="SGD82" s="9"/>
      <c r="SGE82" s="106"/>
      <c r="SGF82" s="9"/>
      <c r="SGG82" s="106"/>
      <c r="SGH82" s="9"/>
      <c r="SGI82" s="106"/>
      <c r="SGJ82" s="9"/>
      <c r="SGK82" s="106"/>
      <c r="SGL82" s="9"/>
      <c r="SGM82" s="106"/>
      <c r="SGN82" s="9"/>
      <c r="SGO82" s="106"/>
      <c r="SGP82" s="9"/>
      <c r="SGQ82" s="106"/>
      <c r="SGR82" s="9"/>
      <c r="SGS82" s="106"/>
      <c r="SGT82" s="9"/>
      <c r="SGU82" s="106"/>
      <c r="SGV82" s="9"/>
      <c r="SGW82" s="106"/>
      <c r="SGX82" s="9"/>
      <c r="SGY82" s="106"/>
      <c r="SGZ82" s="9"/>
      <c r="SHA82" s="106"/>
      <c r="SHB82" s="9"/>
      <c r="SHC82" s="106"/>
      <c r="SHD82" s="9"/>
      <c r="SHE82" s="106"/>
      <c r="SHF82" s="9"/>
      <c r="SHG82" s="106"/>
      <c r="SHH82" s="9"/>
      <c r="SHI82" s="106"/>
      <c r="SHJ82" s="9"/>
      <c r="SHK82" s="106"/>
      <c r="SHL82" s="9"/>
      <c r="SHM82" s="106"/>
      <c r="SHN82" s="9"/>
      <c r="SHO82" s="106"/>
      <c r="SHP82" s="9"/>
      <c r="SHQ82" s="106"/>
      <c r="SHR82" s="9"/>
      <c r="SHS82" s="106"/>
      <c r="SHT82" s="9"/>
      <c r="SHU82" s="106"/>
      <c r="SHV82" s="9"/>
      <c r="SHW82" s="106"/>
      <c r="SHX82" s="9"/>
      <c r="SHY82" s="106"/>
      <c r="SHZ82" s="9"/>
      <c r="SIA82" s="106"/>
      <c r="SIB82" s="9"/>
      <c r="SIC82" s="106"/>
      <c r="SID82" s="9"/>
      <c r="SIE82" s="106"/>
      <c r="SIF82" s="9"/>
      <c r="SIG82" s="106"/>
      <c r="SIH82" s="9"/>
      <c r="SII82" s="106"/>
      <c r="SIJ82" s="9"/>
      <c r="SIK82" s="106"/>
      <c r="SIL82" s="9"/>
      <c r="SIM82" s="106"/>
      <c r="SIN82" s="9"/>
      <c r="SIO82" s="106"/>
      <c r="SIP82" s="9"/>
      <c r="SIQ82" s="106"/>
      <c r="SIR82" s="9"/>
      <c r="SIS82" s="106"/>
      <c r="SIT82" s="9"/>
      <c r="SIU82" s="106"/>
      <c r="SIV82" s="9"/>
      <c r="SIW82" s="106"/>
      <c r="SIX82" s="9"/>
      <c r="SIY82" s="106"/>
      <c r="SIZ82" s="9"/>
      <c r="SJA82" s="106"/>
      <c r="SJB82" s="9"/>
      <c r="SJC82" s="106"/>
      <c r="SJD82" s="9"/>
      <c r="SJE82" s="106"/>
      <c r="SJF82" s="9"/>
      <c r="SJG82" s="106"/>
      <c r="SJH82" s="9"/>
      <c r="SJI82" s="106"/>
      <c r="SJJ82" s="9"/>
      <c r="SJK82" s="106"/>
      <c r="SJL82" s="9"/>
      <c r="SJM82" s="106"/>
      <c r="SJN82" s="9"/>
      <c r="SJO82" s="106"/>
      <c r="SJP82" s="9"/>
      <c r="SJQ82" s="106"/>
      <c r="SJR82" s="9"/>
      <c r="SJS82" s="106"/>
      <c r="SJT82" s="9"/>
      <c r="SJU82" s="106"/>
      <c r="SJV82" s="9"/>
      <c r="SJW82" s="106"/>
      <c r="SJX82" s="9"/>
      <c r="SJY82" s="106"/>
      <c r="SJZ82" s="9"/>
      <c r="SKA82" s="106"/>
      <c r="SKB82" s="9"/>
      <c r="SKC82" s="106"/>
      <c r="SKD82" s="9"/>
      <c r="SKE82" s="106"/>
      <c r="SKF82" s="9"/>
      <c r="SKG82" s="106"/>
      <c r="SKH82" s="9"/>
      <c r="SKI82" s="106"/>
      <c r="SKJ82" s="9"/>
      <c r="SKK82" s="106"/>
      <c r="SKL82" s="9"/>
      <c r="SKM82" s="106"/>
      <c r="SKN82" s="9"/>
      <c r="SKO82" s="106"/>
      <c r="SKP82" s="9"/>
      <c r="SKQ82" s="106"/>
      <c r="SKR82" s="9"/>
      <c r="SKS82" s="106"/>
      <c r="SKT82" s="9"/>
      <c r="SKU82" s="106"/>
      <c r="SKV82" s="9"/>
      <c r="SKW82" s="106"/>
      <c r="SKX82" s="9"/>
      <c r="SKY82" s="106"/>
      <c r="SKZ82" s="9"/>
      <c r="SLA82" s="106"/>
      <c r="SLB82" s="9"/>
      <c r="SLC82" s="106"/>
      <c r="SLD82" s="9"/>
      <c r="SLE82" s="106"/>
      <c r="SLF82" s="9"/>
      <c r="SLG82" s="106"/>
      <c r="SLH82" s="9"/>
      <c r="SLI82" s="106"/>
      <c r="SLJ82" s="9"/>
      <c r="SLK82" s="106"/>
      <c r="SLL82" s="9"/>
      <c r="SLM82" s="106"/>
      <c r="SLN82" s="9"/>
      <c r="SLO82" s="106"/>
      <c r="SLP82" s="9"/>
      <c r="SLQ82" s="106"/>
      <c r="SLR82" s="9"/>
      <c r="SLS82" s="106"/>
      <c r="SLT82" s="9"/>
      <c r="SLU82" s="106"/>
      <c r="SLV82" s="9"/>
      <c r="SLW82" s="106"/>
      <c r="SLX82" s="9"/>
      <c r="SLY82" s="106"/>
      <c r="SLZ82" s="9"/>
      <c r="SMA82" s="106"/>
      <c r="SMB82" s="9"/>
      <c r="SMC82" s="106"/>
      <c r="SMD82" s="9"/>
      <c r="SME82" s="106"/>
      <c r="SMF82" s="9"/>
      <c r="SMG82" s="106"/>
      <c r="SMH82" s="9"/>
      <c r="SMI82" s="106"/>
      <c r="SMJ82" s="9"/>
      <c r="SMK82" s="106"/>
      <c r="SML82" s="9"/>
      <c r="SMM82" s="106"/>
      <c r="SMN82" s="9"/>
      <c r="SMO82" s="106"/>
      <c r="SMP82" s="9"/>
      <c r="SMQ82" s="106"/>
      <c r="SMR82" s="9"/>
      <c r="SMS82" s="106"/>
      <c r="SMT82" s="9"/>
      <c r="SMU82" s="106"/>
      <c r="SMV82" s="9"/>
      <c r="SMW82" s="106"/>
      <c r="SMX82" s="9"/>
      <c r="SMY82" s="106"/>
      <c r="SMZ82" s="9"/>
      <c r="SNA82" s="106"/>
      <c r="SNB82" s="9"/>
      <c r="SNC82" s="106"/>
      <c r="SND82" s="9"/>
      <c r="SNE82" s="106"/>
      <c r="SNF82" s="9"/>
      <c r="SNG82" s="106"/>
      <c r="SNH82" s="9"/>
      <c r="SNI82" s="106"/>
      <c r="SNJ82" s="9"/>
      <c r="SNK82" s="106"/>
      <c r="SNL82" s="9"/>
      <c r="SNM82" s="106"/>
      <c r="SNN82" s="9"/>
      <c r="SNO82" s="106"/>
      <c r="SNP82" s="9"/>
      <c r="SNQ82" s="106"/>
      <c r="SNR82" s="9"/>
      <c r="SNS82" s="106"/>
      <c r="SNT82" s="9"/>
      <c r="SNU82" s="106"/>
      <c r="SNV82" s="9"/>
      <c r="SNW82" s="106"/>
      <c r="SNX82" s="9"/>
      <c r="SNY82" s="106"/>
      <c r="SNZ82" s="9"/>
      <c r="SOA82" s="106"/>
      <c r="SOB82" s="9"/>
      <c r="SOC82" s="106"/>
      <c r="SOD82" s="9"/>
      <c r="SOE82" s="106"/>
      <c r="SOF82" s="9"/>
      <c r="SOG82" s="106"/>
      <c r="SOH82" s="9"/>
      <c r="SOI82" s="106"/>
      <c r="SOJ82" s="9"/>
      <c r="SOK82" s="106"/>
      <c r="SOL82" s="9"/>
      <c r="SOM82" s="106"/>
      <c r="SON82" s="9"/>
      <c r="SOO82" s="106"/>
      <c r="SOP82" s="9"/>
      <c r="SOQ82" s="106"/>
      <c r="SOR82" s="9"/>
      <c r="SOS82" s="106"/>
      <c r="SOT82" s="9"/>
      <c r="SOU82" s="106"/>
      <c r="SOV82" s="9"/>
      <c r="SOW82" s="106"/>
      <c r="SOX82" s="9"/>
      <c r="SOY82" s="106"/>
      <c r="SOZ82" s="9"/>
      <c r="SPA82" s="106"/>
      <c r="SPB82" s="9"/>
      <c r="SPC82" s="106"/>
      <c r="SPD82" s="9"/>
      <c r="SPE82" s="106"/>
      <c r="SPF82" s="9"/>
      <c r="SPG82" s="106"/>
      <c r="SPH82" s="9"/>
      <c r="SPI82" s="106"/>
      <c r="SPJ82" s="9"/>
      <c r="SPK82" s="106"/>
      <c r="SPL82" s="9"/>
      <c r="SPM82" s="106"/>
      <c r="SPN82" s="9"/>
      <c r="SPO82" s="106"/>
      <c r="SPP82" s="9"/>
      <c r="SPQ82" s="106"/>
      <c r="SPR82" s="9"/>
      <c r="SPS82" s="106"/>
      <c r="SPT82" s="9"/>
      <c r="SPU82" s="106"/>
      <c r="SPV82" s="9"/>
      <c r="SPW82" s="106"/>
      <c r="SPX82" s="9"/>
      <c r="SPY82" s="106"/>
      <c r="SPZ82" s="9"/>
      <c r="SQA82" s="106"/>
      <c r="SQB82" s="9"/>
      <c r="SQC82" s="106"/>
      <c r="SQD82" s="9"/>
      <c r="SQE82" s="106"/>
      <c r="SQF82" s="9"/>
      <c r="SQG82" s="106"/>
      <c r="SQH82" s="9"/>
      <c r="SQI82" s="106"/>
      <c r="SQJ82" s="9"/>
      <c r="SQK82" s="106"/>
      <c r="SQL82" s="9"/>
      <c r="SQM82" s="106"/>
      <c r="SQN82" s="9"/>
      <c r="SQO82" s="106"/>
      <c r="SQP82" s="9"/>
      <c r="SQQ82" s="106"/>
      <c r="SQR82" s="9"/>
      <c r="SQS82" s="106"/>
      <c r="SQT82" s="9"/>
      <c r="SQU82" s="106"/>
      <c r="SQV82" s="9"/>
      <c r="SQW82" s="106"/>
      <c r="SQX82" s="9"/>
      <c r="SQY82" s="106"/>
      <c r="SQZ82" s="9"/>
      <c r="SRA82" s="106"/>
      <c r="SRB82" s="9"/>
      <c r="SRC82" s="106"/>
      <c r="SRD82" s="9"/>
      <c r="SRE82" s="106"/>
      <c r="SRF82" s="9"/>
      <c r="SRG82" s="106"/>
      <c r="SRH82" s="9"/>
      <c r="SRI82" s="106"/>
      <c r="SRJ82" s="9"/>
      <c r="SRK82" s="106"/>
      <c r="SRL82" s="9"/>
      <c r="SRM82" s="106"/>
      <c r="SRN82" s="9"/>
      <c r="SRO82" s="106"/>
      <c r="SRP82" s="9"/>
      <c r="SRQ82" s="106"/>
      <c r="SRR82" s="9"/>
      <c r="SRS82" s="106"/>
      <c r="SRT82" s="9"/>
      <c r="SRU82" s="106"/>
      <c r="SRV82" s="9"/>
      <c r="SRW82" s="106"/>
      <c r="SRX82" s="9"/>
      <c r="SRY82" s="106"/>
      <c r="SRZ82" s="9"/>
      <c r="SSA82" s="106"/>
      <c r="SSB82" s="9"/>
      <c r="SSC82" s="106"/>
      <c r="SSD82" s="9"/>
      <c r="SSE82" s="106"/>
      <c r="SSF82" s="9"/>
      <c r="SSG82" s="106"/>
      <c r="SSH82" s="9"/>
      <c r="SSI82" s="106"/>
      <c r="SSJ82" s="9"/>
      <c r="SSK82" s="106"/>
      <c r="SSL82" s="9"/>
      <c r="SSM82" s="106"/>
      <c r="SSN82" s="9"/>
      <c r="SSO82" s="106"/>
      <c r="SSP82" s="9"/>
      <c r="SSQ82" s="106"/>
      <c r="SSR82" s="9"/>
      <c r="SSS82" s="106"/>
      <c r="SST82" s="9"/>
      <c r="SSU82" s="106"/>
      <c r="SSV82" s="9"/>
      <c r="SSW82" s="106"/>
      <c r="SSX82" s="9"/>
      <c r="SSY82" s="106"/>
      <c r="SSZ82" s="9"/>
      <c r="STA82" s="106"/>
      <c r="STB82" s="9"/>
      <c r="STC82" s="106"/>
      <c r="STD82" s="9"/>
      <c r="STE82" s="106"/>
      <c r="STF82" s="9"/>
      <c r="STG82" s="106"/>
      <c r="STH82" s="9"/>
      <c r="STI82" s="106"/>
      <c r="STJ82" s="9"/>
      <c r="STK82" s="106"/>
      <c r="STL82" s="9"/>
      <c r="STM82" s="106"/>
      <c r="STN82" s="9"/>
      <c r="STO82" s="106"/>
      <c r="STP82" s="9"/>
      <c r="STQ82" s="106"/>
      <c r="STR82" s="9"/>
      <c r="STS82" s="106"/>
      <c r="STT82" s="9"/>
      <c r="STU82" s="106"/>
      <c r="STV82" s="9"/>
      <c r="STW82" s="106"/>
      <c r="STX82" s="9"/>
      <c r="STY82" s="106"/>
      <c r="STZ82" s="9"/>
      <c r="SUA82" s="106"/>
      <c r="SUB82" s="9"/>
      <c r="SUC82" s="106"/>
      <c r="SUD82" s="9"/>
      <c r="SUE82" s="106"/>
      <c r="SUF82" s="9"/>
      <c r="SUG82" s="106"/>
      <c r="SUH82" s="9"/>
      <c r="SUI82" s="106"/>
      <c r="SUJ82" s="9"/>
      <c r="SUK82" s="106"/>
      <c r="SUL82" s="9"/>
      <c r="SUM82" s="106"/>
      <c r="SUN82" s="9"/>
      <c r="SUO82" s="106"/>
      <c r="SUP82" s="9"/>
      <c r="SUQ82" s="106"/>
      <c r="SUR82" s="9"/>
      <c r="SUS82" s="106"/>
      <c r="SUT82" s="9"/>
      <c r="SUU82" s="106"/>
      <c r="SUV82" s="9"/>
      <c r="SUW82" s="106"/>
      <c r="SUX82" s="9"/>
      <c r="SUY82" s="106"/>
      <c r="SUZ82" s="9"/>
      <c r="SVA82" s="106"/>
      <c r="SVB82" s="9"/>
      <c r="SVC82" s="106"/>
      <c r="SVD82" s="9"/>
      <c r="SVE82" s="106"/>
      <c r="SVF82" s="9"/>
      <c r="SVG82" s="106"/>
      <c r="SVH82" s="9"/>
      <c r="SVI82" s="106"/>
      <c r="SVJ82" s="9"/>
      <c r="SVK82" s="106"/>
      <c r="SVL82" s="9"/>
      <c r="SVM82" s="106"/>
      <c r="SVN82" s="9"/>
      <c r="SVO82" s="106"/>
      <c r="SVP82" s="9"/>
      <c r="SVQ82" s="106"/>
      <c r="SVR82" s="9"/>
      <c r="SVS82" s="106"/>
      <c r="SVT82" s="9"/>
      <c r="SVU82" s="106"/>
      <c r="SVV82" s="9"/>
      <c r="SVW82" s="106"/>
      <c r="SVX82" s="9"/>
      <c r="SVY82" s="106"/>
      <c r="SVZ82" s="9"/>
      <c r="SWA82" s="106"/>
      <c r="SWB82" s="9"/>
      <c r="SWC82" s="106"/>
      <c r="SWD82" s="9"/>
      <c r="SWE82" s="106"/>
      <c r="SWF82" s="9"/>
      <c r="SWG82" s="106"/>
      <c r="SWH82" s="9"/>
      <c r="SWI82" s="106"/>
      <c r="SWJ82" s="9"/>
      <c r="SWK82" s="106"/>
      <c r="SWL82" s="9"/>
      <c r="SWM82" s="106"/>
      <c r="SWN82" s="9"/>
      <c r="SWO82" s="106"/>
      <c r="SWP82" s="9"/>
      <c r="SWQ82" s="106"/>
      <c r="SWR82" s="9"/>
      <c r="SWS82" s="106"/>
      <c r="SWT82" s="9"/>
      <c r="SWU82" s="106"/>
      <c r="SWV82" s="9"/>
      <c r="SWW82" s="106"/>
      <c r="SWX82" s="9"/>
      <c r="SWY82" s="106"/>
      <c r="SWZ82" s="9"/>
      <c r="SXA82" s="106"/>
      <c r="SXB82" s="9"/>
      <c r="SXC82" s="106"/>
      <c r="SXD82" s="9"/>
      <c r="SXE82" s="106"/>
      <c r="SXF82" s="9"/>
      <c r="SXG82" s="106"/>
      <c r="SXH82" s="9"/>
      <c r="SXI82" s="106"/>
      <c r="SXJ82" s="9"/>
      <c r="SXK82" s="106"/>
      <c r="SXL82" s="9"/>
      <c r="SXM82" s="106"/>
      <c r="SXN82" s="9"/>
      <c r="SXO82" s="106"/>
      <c r="SXP82" s="9"/>
      <c r="SXQ82" s="106"/>
      <c r="SXR82" s="9"/>
      <c r="SXS82" s="106"/>
      <c r="SXT82" s="9"/>
      <c r="SXU82" s="106"/>
      <c r="SXV82" s="9"/>
      <c r="SXW82" s="106"/>
      <c r="SXX82" s="9"/>
      <c r="SXY82" s="106"/>
      <c r="SXZ82" s="9"/>
      <c r="SYA82" s="106"/>
      <c r="SYB82" s="9"/>
      <c r="SYC82" s="106"/>
      <c r="SYD82" s="9"/>
      <c r="SYE82" s="106"/>
      <c r="SYF82" s="9"/>
      <c r="SYG82" s="106"/>
      <c r="SYH82" s="9"/>
      <c r="SYI82" s="106"/>
      <c r="SYJ82" s="9"/>
      <c r="SYK82" s="106"/>
      <c r="SYL82" s="9"/>
      <c r="SYM82" s="106"/>
      <c r="SYN82" s="9"/>
      <c r="SYO82" s="106"/>
      <c r="SYP82" s="9"/>
      <c r="SYQ82" s="106"/>
      <c r="SYR82" s="9"/>
      <c r="SYS82" s="106"/>
      <c r="SYT82" s="9"/>
      <c r="SYU82" s="106"/>
      <c r="SYV82" s="9"/>
      <c r="SYW82" s="106"/>
      <c r="SYX82" s="9"/>
      <c r="SYY82" s="106"/>
      <c r="SYZ82" s="9"/>
      <c r="SZA82" s="106"/>
      <c r="SZB82" s="9"/>
      <c r="SZC82" s="106"/>
      <c r="SZD82" s="9"/>
      <c r="SZE82" s="106"/>
      <c r="SZF82" s="9"/>
      <c r="SZG82" s="106"/>
      <c r="SZH82" s="9"/>
      <c r="SZI82" s="106"/>
      <c r="SZJ82" s="9"/>
      <c r="SZK82" s="106"/>
      <c r="SZL82" s="9"/>
      <c r="SZM82" s="106"/>
      <c r="SZN82" s="9"/>
      <c r="SZO82" s="106"/>
      <c r="SZP82" s="9"/>
      <c r="SZQ82" s="106"/>
      <c r="SZR82" s="9"/>
      <c r="SZS82" s="106"/>
      <c r="SZT82" s="9"/>
      <c r="SZU82" s="106"/>
      <c r="SZV82" s="9"/>
      <c r="SZW82" s="106"/>
      <c r="SZX82" s="9"/>
      <c r="SZY82" s="106"/>
      <c r="SZZ82" s="9"/>
      <c r="TAA82" s="106"/>
      <c r="TAB82" s="9"/>
      <c r="TAC82" s="106"/>
      <c r="TAD82" s="9"/>
      <c r="TAE82" s="106"/>
      <c r="TAF82" s="9"/>
      <c r="TAG82" s="106"/>
      <c r="TAH82" s="9"/>
      <c r="TAI82" s="106"/>
      <c r="TAJ82" s="9"/>
      <c r="TAK82" s="106"/>
      <c r="TAL82" s="9"/>
      <c r="TAM82" s="106"/>
      <c r="TAN82" s="9"/>
      <c r="TAO82" s="106"/>
      <c r="TAP82" s="9"/>
      <c r="TAQ82" s="106"/>
      <c r="TAR82" s="9"/>
      <c r="TAS82" s="106"/>
      <c r="TAT82" s="9"/>
      <c r="TAU82" s="106"/>
      <c r="TAV82" s="9"/>
      <c r="TAW82" s="106"/>
      <c r="TAX82" s="9"/>
      <c r="TAY82" s="106"/>
      <c r="TAZ82" s="9"/>
      <c r="TBA82" s="106"/>
      <c r="TBB82" s="9"/>
      <c r="TBC82" s="106"/>
      <c r="TBD82" s="9"/>
      <c r="TBE82" s="106"/>
      <c r="TBF82" s="9"/>
      <c r="TBG82" s="106"/>
      <c r="TBH82" s="9"/>
      <c r="TBI82" s="106"/>
      <c r="TBJ82" s="9"/>
      <c r="TBK82" s="106"/>
      <c r="TBL82" s="9"/>
      <c r="TBM82" s="106"/>
      <c r="TBN82" s="9"/>
      <c r="TBO82" s="106"/>
      <c r="TBP82" s="9"/>
      <c r="TBQ82" s="106"/>
      <c r="TBR82" s="9"/>
      <c r="TBS82" s="106"/>
      <c r="TBT82" s="9"/>
      <c r="TBU82" s="106"/>
      <c r="TBV82" s="9"/>
      <c r="TBW82" s="106"/>
      <c r="TBX82" s="9"/>
      <c r="TBY82" s="106"/>
      <c r="TBZ82" s="9"/>
      <c r="TCA82" s="106"/>
      <c r="TCB82" s="9"/>
      <c r="TCC82" s="106"/>
      <c r="TCD82" s="9"/>
      <c r="TCE82" s="106"/>
      <c r="TCF82" s="9"/>
      <c r="TCG82" s="106"/>
      <c r="TCH82" s="9"/>
      <c r="TCI82" s="106"/>
      <c r="TCJ82" s="9"/>
      <c r="TCK82" s="106"/>
      <c r="TCL82" s="9"/>
      <c r="TCM82" s="106"/>
      <c r="TCN82" s="9"/>
      <c r="TCO82" s="106"/>
      <c r="TCP82" s="9"/>
      <c r="TCQ82" s="106"/>
      <c r="TCR82" s="9"/>
      <c r="TCS82" s="106"/>
      <c r="TCT82" s="9"/>
      <c r="TCU82" s="106"/>
      <c r="TCV82" s="9"/>
      <c r="TCW82" s="106"/>
      <c r="TCX82" s="9"/>
      <c r="TCY82" s="106"/>
      <c r="TCZ82" s="9"/>
      <c r="TDA82" s="106"/>
      <c r="TDB82" s="9"/>
      <c r="TDC82" s="106"/>
      <c r="TDD82" s="9"/>
      <c r="TDE82" s="106"/>
      <c r="TDF82" s="9"/>
      <c r="TDG82" s="106"/>
      <c r="TDH82" s="9"/>
      <c r="TDI82" s="106"/>
      <c r="TDJ82" s="9"/>
      <c r="TDK82" s="106"/>
      <c r="TDL82" s="9"/>
      <c r="TDM82" s="106"/>
      <c r="TDN82" s="9"/>
      <c r="TDO82" s="106"/>
      <c r="TDP82" s="9"/>
      <c r="TDQ82" s="106"/>
      <c r="TDR82" s="9"/>
      <c r="TDS82" s="106"/>
      <c r="TDT82" s="9"/>
      <c r="TDU82" s="106"/>
      <c r="TDV82" s="9"/>
      <c r="TDW82" s="106"/>
      <c r="TDX82" s="9"/>
      <c r="TDY82" s="106"/>
      <c r="TDZ82" s="9"/>
      <c r="TEA82" s="106"/>
      <c r="TEB82" s="9"/>
      <c r="TEC82" s="106"/>
      <c r="TED82" s="9"/>
      <c r="TEE82" s="106"/>
      <c r="TEF82" s="9"/>
      <c r="TEG82" s="106"/>
      <c r="TEH82" s="9"/>
      <c r="TEI82" s="106"/>
      <c r="TEJ82" s="9"/>
      <c r="TEK82" s="106"/>
      <c r="TEL82" s="9"/>
      <c r="TEM82" s="106"/>
      <c r="TEN82" s="9"/>
      <c r="TEO82" s="106"/>
      <c r="TEP82" s="9"/>
      <c r="TEQ82" s="106"/>
      <c r="TER82" s="9"/>
      <c r="TES82" s="106"/>
      <c r="TET82" s="9"/>
      <c r="TEU82" s="106"/>
      <c r="TEV82" s="9"/>
      <c r="TEW82" s="106"/>
      <c r="TEX82" s="9"/>
      <c r="TEY82" s="106"/>
      <c r="TEZ82" s="9"/>
      <c r="TFA82" s="106"/>
      <c r="TFB82" s="9"/>
      <c r="TFC82" s="106"/>
      <c r="TFD82" s="9"/>
      <c r="TFE82" s="106"/>
      <c r="TFF82" s="9"/>
      <c r="TFG82" s="106"/>
      <c r="TFH82" s="9"/>
      <c r="TFI82" s="106"/>
      <c r="TFJ82" s="9"/>
      <c r="TFK82" s="106"/>
      <c r="TFL82" s="9"/>
      <c r="TFM82" s="106"/>
      <c r="TFN82" s="9"/>
      <c r="TFO82" s="106"/>
      <c r="TFP82" s="9"/>
      <c r="TFQ82" s="106"/>
      <c r="TFR82" s="9"/>
      <c r="TFS82" s="106"/>
      <c r="TFT82" s="9"/>
      <c r="TFU82" s="106"/>
      <c r="TFV82" s="9"/>
      <c r="TFW82" s="106"/>
      <c r="TFX82" s="9"/>
      <c r="TFY82" s="106"/>
      <c r="TFZ82" s="9"/>
      <c r="TGA82" s="106"/>
      <c r="TGB82" s="9"/>
      <c r="TGC82" s="106"/>
      <c r="TGD82" s="9"/>
      <c r="TGE82" s="106"/>
      <c r="TGF82" s="9"/>
      <c r="TGG82" s="106"/>
      <c r="TGH82" s="9"/>
      <c r="TGI82" s="106"/>
      <c r="TGJ82" s="9"/>
      <c r="TGK82" s="106"/>
      <c r="TGL82" s="9"/>
      <c r="TGM82" s="106"/>
      <c r="TGN82" s="9"/>
      <c r="TGO82" s="106"/>
      <c r="TGP82" s="9"/>
      <c r="TGQ82" s="106"/>
      <c r="TGR82" s="9"/>
      <c r="TGS82" s="106"/>
      <c r="TGT82" s="9"/>
      <c r="TGU82" s="106"/>
      <c r="TGV82" s="9"/>
      <c r="TGW82" s="106"/>
      <c r="TGX82" s="9"/>
      <c r="TGY82" s="106"/>
      <c r="TGZ82" s="9"/>
      <c r="THA82" s="106"/>
      <c r="THB82" s="9"/>
      <c r="THC82" s="106"/>
      <c r="THD82" s="9"/>
      <c r="THE82" s="106"/>
      <c r="THF82" s="9"/>
      <c r="THG82" s="106"/>
      <c r="THH82" s="9"/>
      <c r="THI82" s="106"/>
      <c r="THJ82" s="9"/>
      <c r="THK82" s="106"/>
      <c r="THL82" s="9"/>
      <c r="THM82" s="106"/>
      <c r="THN82" s="9"/>
      <c r="THO82" s="106"/>
      <c r="THP82" s="9"/>
      <c r="THQ82" s="106"/>
      <c r="THR82" s="9"/>
      <c r="THS82" s="106"/>
      <c r="THT82" s="9"/>
      <c r="THU82" s="106"/>
      <c r="THV82" s="9"/>
      <c r="THW82" s="106"/>
      <c r="THX82" s="9"/>
      <c r="THY82" s="106"/>
      <c r="THZ82" s="9"/>
      <c r="TIA82" s="106"/>
      <c r="TIB82" s="9"/>
      <c r="TIC82" s="106"/>
      <c r="TID82" s="9"/>
      <c r="TIE82" s="106"/>
      <c r="TIF82" s="9"/>
      <c r="TIG82" s="106"/>
      <c r="TIH82" s="9"/>
      <c r="TII82" s="106"/>
      <c r="TIJ82" s="9"/>
      <c r="TIK82" s="106"/>
      <c r="TIL82" s="9"/>
      <c r="TIM82" s="106"/>
      <c r="TIN82" s="9"/>
      <c r="TIO82" s="106"/>
      <c r="TIP82" s="9"/>
      <c r="TIQ82" s="106"/>
      <c r="TIR82" s="9"/>
      <c r="TIS82" s="106"/>
      <c r="TIT82" s="9"/>
      <c r="TIU82" s="106"/>
      <c r="TIV82" s="9"/>
      <c r="TIW82" s="106"/>
      <c r="TIX82" s="9"/>
      <c r="TIY82" s="106"/>
      <c r="TIZ82" s="9"/>
      <c r="TJA82" s="106"/>
      <c r="TJB82" s="9"/>
      <c r="TJC82" s="106"/>
      <c r="TJD82" s="9"/>
      <c r="TJE82" s="106"/>
      <c r="TJF82" s="9"/>
      <c r="TJG82" s="106"/>
      <c r="TJH82" s="9"/>
      <c r="TJI82" s="106"/>
      <c r="TJJ82" s="9"/>
      <c r="TJK82" s="106"/>
      <c r="TJL82" s="9"/>
      <c r="TJM82" s="106"/>
      <c r="TJN82" s="9"/>
      <c r="TJO82" s="106"/>
      <c r="TJP82" s="9"/>
      <c r="TJQ82" s="106"/>
      <c r="TJR82" s="9"/>
      <c r="TJS82" s="106"/>
      <c r="TJT82" s="9"/>
      <c r="TJU82" s="106"/>
      <c r="TJV82" s="9"/>
      <c r="TJW82" s="106"/>
      <c r="TJX82" s="9"/>
      <c r="TJY82" s="106"/>
      <c r="TJZ82" s="9"/>
      <c r="TKA82" s="106"/>
      <c r="TKB82" s="9"/>
      <c r="TKC82" s="106"/>
      <c r="TKD82" s="9"/>
      <c r="TKE82" s="106"/>
      <c r="TKF82" s="9"/>
      <c r="TKG82" s="106"/>
      <c r="TKH82" s="9"/>
      <c r="TKI82" s="106"/>
      <c r="TKJ82" s="9"/>
      <c r="TKK82" s="106"/>
      <c r="TKL82" s="9"/>
      <c r="TKM82" s="106"/>
      <c r="TKN82" s="9"/>
      <c r="TKO82" s="106"/>
      <c r="TKP82" s="9"/>
      <c r="TKQ82" s="106"/>
      <c r="TKR82" s="9"/>
      <c r="TKS82" s="106"/>
      <c r="TKT82" s="9"/>
      <c r="TKU82" s="106"/>
      <c r="TKV82" s="9"/>
      <c r="TKW82" s="106"/>
      <c r="TKX82" s="9"/>
      <c r="TKY82" s="106"/>
      <c r="TKZ82" s="9"/>
      <c r="TLA82" s="106"/>
      <c r="TLB82" s="9"/>
      <c r="TLC82" s="106"/>
      <c r="TLD82" s="9"/>
      <c r="TLE82" s="106"/>
      <c r="TLF82" s="9"/>
      <c r="TLG82" s="106"/>
      <c r="TLH82" s="9"/>
      <c r="TLI82" s="106"/>
      <c r="TLJ82" s="9"/>
      <c r="TLK82" s="106"/>
      <c r="TLL82" s="9"/>
      <c r="TLM82" s="106"/>
      <c r="TLN82" s="9"/>
      <c r="TLO82" s="106"/>
      <c r="TLP82" s="9"/>
      <c r="TLQ82" s="106"/>
      <c r="TLR82" s="9"/>
      <c r="TLS82" s="106"/>
      <c r="TLT82" s="9"/>
      <c r="TLU82" s="106"/>
      <c r="TLV82" s="9"/>
      <c r="TLW82" s="106"/>
      <c r="TLX82" s="9"/>
      <c r="TLY82" s="106"/>
      <c r="TLZ82" s="9"/>
      <c r="TMA82" s="106"/>
      <c r="TMB82" s="9"/>
      <c r="TMC82" s="106"/>
      <c r="TMD82" s="9"/>
      <c r="TME82" s="106"/>
      <c r="TMF82" s="9"/>
      <c r="TMG82" s="106"/>
      <c r="TMH82" s="9"/>
      <c r="TMI82" s="106"/>
      <c r="TMJ82" s="9"/>
      <c r="TMK82" s="106"/>
      <c r="TML82" s="9"/>
      <c r="TMM82" s="106"/>
      <c r="TMN82" s="9"/>
      <c r="TMO82" s="106"/>
      <c r="TMP82" s="9"/>
      <c r="TMQ82" s="106"/>
      <c r="TMR82" s="9"/>
      <c r="TMS82" s="106"/>
      <c r="TMT82" s="9"/>
      <c r="TMU82" s="106"/>
      <c r="TMV82" s="9"/>
      <c r="TMW82" s="106"/>
      <c r="TMX82" s="9"/>
      <c r="TMY82" s="106"/>
      <c r="TMZ82" s="9"/>
      <c r="TNA82" s="106"/>
      <c r="TNB82" s="9"/>
      <c r="TNC82" s="106"/>
      <c r="TND82" s="9"/>
      <c r="TNE82" s="106"/>
      <c r="TNF82" s="9"/>
      <c r="TNG82" s="106"/>
      <c r="TNH82" s="9"/>
      <c r="TNI82" s="106"/>
      <c r="TNJ82" s="9"/>
      <c r="TNK82" s="106"/>
      <c r="TNL82" s="9"/>
      <c r="TNM82" s="106"/>
      <c r="TNN82" s="9"/>
      <c r="TNO82" s="106"/>
      <c r="TNP82" s="9"/>
      <c r="TNQ82" s="106"/>
      <c r="TNR82" s="9"/>
      <c r="TNS82" s="106"/>
      <c r="TNT82" s="9"/>
      <c r="TNU82" s="106"/>
      <c r="TNV82" s="9"/>
      <c r="TNW82" s="106"/>
      <c r="TNX82" s="9"/>
      <c r="TNY82" s="106"/>
      <c r="TNZ82" s="9"/>
      <c r="TOA82" s="106"/>
      <c r="TOB82" s="9"/>
      <c r="TOC82" s="106"/>
      <c r="TOD82" s="9"/>
      <c r="TOE82" s="106"/>
      <c r="TOF82" s="9"/>
      <c r="TOG82" s="106"/>
      <c r="TOH82" s="9"/>
      <c r="TOI82" s="106"/>
      <c r="TOJ82" s="9"/>
      <c r="TOK82" s="106"/>
      <c r="TOL82" s="9"/>
      <c r="TOM82" s="106"/>
      <c r="TON82" s="9"/>
      <c r="TOO82" s="106"/>
      <c r="TOP82" s="9"/>
      <c r="TOQ82" s="106"/>
      <c r="TOR82" s="9"/>
      <c r="TOS82" s="106"/>
      <c r="TOT82" s="9"/>
      <c r="TOU82" s="106"/>
      <c r="TOV82" s="9"/>
      <c r="TOW82" s="106"/>
      <c r="TOX82" s="9"/>
      <c r="TOY82" s="106"/>
      <c r="TOZ82" s="9"/>
      <c r="TPA82" s="106"/>
      <c r="TPB82" s="9"/>
      <c r="TPC82" s="106"/>
      <c r="TPD82" s="9"/>
      <c r="TPE82" s="106"/>
      <c r="TPF82" s="9"/>
      <c r="TPG82" s="106"/>
      <c r="TPH82" s="9"/>
      <c r="TPI82" s="106"/>
      <c r="TPJ82" s="9"/>
      <c r="TPK82" s="106"/>
      <c r="TPL82" s="9"/>
      <c r="TPM82" s="106"/>
      <c r="TPN82" s="9"/>
      <c r="TPO82" s="106"/>
      <c r="TPP82" s="9"/>
      <c r="TPQ82" s="106"/>
      <c r="TPR82" s="9"/>
      <c r="TPS82" s="106"/>
      <c r="TPT82" s="9"/>
      <c r="TPU82" s="106"/>
      <c r="TPV82" s="9"/>
      <c r="TPW82" s="106"/>
      <c r="TPX82" s="9"/>
      <c r="TPY82" s="106"/>
      <c r="TPZ82" s="9"/>
      <c r="TQA82" s="106"/>
      <c r="TQB82" s="9"/>
      <c r="TQC82" s="106"/>
      <c r="TQD82" s="9"/>
      <c r="TQE82" s="106"/>
      <c r="TQF82" s="9"/>
      <c r="TQG82" s="106"/>
      <c r="TQH82" s="9"/>
      <c r="TQI82" s="106"/>
      <c r="TQJ82" s="9"/>
      <c r="TQK82" s="106"/>
      <c r="TQL82" s="9"/>
      <c r="TQM82" s="106"/>
      <c r="TQN82" s="9"/>
      <c r="TQO82" s="106"/>
      <c r="TQP82" s="9"/>
      <c r="TQQ82" s="106"/>
      <c r="TQR82" s="9"/>
      <c r="TQS82" s="106"/>
      <c r="TQT82" s="9"/>
      <c r="TQU82" s="106"/>
      <c r="TQV82" s="9"/>
      <c r="TQW82" s="106"/>
      <c r="TQX82" s="9"/>
      <c r="TQY82" s="106"/>
      <c r="TQZ82" s="9"/>
      <c r="TRA82" s="106"/>
      <c r="TRB82" s="9"/>
      <c r="TRC82" s="106"/>
      <c r="TRD82" s="9"/>
      <c r="TRE82" s="106"/>
      <c r="TRF82" s="9"/>
      <c r="TRG82" s="106"/>
      <c r="TRH82" s="9"/>
      <c r="TRI82" s="106"/>
      <c r="TRJ82" s="9"/>
      <c r="TRK82" s="106"/>
      <c r="TRL82" s="9"/>
      <c r="TRM82" s="106"/>
      <c r="TRN82" s="9"/>
      <c r="TRO82" s="106"/>
      <c r="TRP82" s="9"/>
      <c r="TRQ82" s="106"/>
      <c r="TRR82" s="9"/>
      <c r="TRS82" s="106"/>
      <c r="TRT82" s="9"/>
      <c r="TRU82" s="106"/>
      <c r="TRV82" s="9"/>
      <c r="TRW82" s="106"/>
      <c r="TRX82" s="9"/>
      <c r="TRY82" s="106"/>
      <c r="TRZ82" s="9"/>
      <c r="TSA82" s="106"/>
      <c r="TSB82" s="9"/>
      <c r="TSC82" s="106"/>
      <c r="TSD82" s="9"/>
      <c r="TSE82" s="106"/>
      <c r="TSF82" s="9"/>
      <c r="TSG82" s="106"/>
      <c r="TSH82" s="9"/>
      <c r="TSI82" s="106"/>
      <c r="TSJ82" s="9"/>
      <c r="TSK82" s="106"/>
      <c r="TSL82" s="9"/>
      <c r="TSM82" s="106"/>
      <c r="TSN82" s="9"/>
      <c r="TSO82" s="106"/>
      <c r="TSP82" s="9"/>
      <c r="TSQ82" s="106"/>
      <c r="TSR82" s="9"/>
      <c r="TSS82" s="106"/>
      <c r="TST82" s="9"/>
      <c r="TSU82" s="106"/>
      <c r="TSV82" s="9"/>
      <c r="TSW82" s="106"/>
      <c r="TSX82" s="9"/>
      <c r="TSY82" s="106"/>
      <c r="TSZ82" s="9"/>
      <c r="TTA82" s="106"/>
      <c r="TTB82" s="9"/>
      <c r="TTC82" s="106"/>
      <c r="TTD82" s="9"/>
      <c r="TTE82" s="106"/>
      <c r="TTF82" s="9"/>
      <c r="TTG82" s="106"/>
      <c r="TTH82" s="9"/>
      <c r="TTI82" s="106"/>
      <c r="TTJ82" s="9"/>
      <c r="TTK82" s="106"/>
      <c r="TTL82" s="9"/>
      <c r="TTM82" s="106"/>
      <c r="TTN82" s="9"/>
      <c r="TTO82" s="106"/>
      <c r="TTP82" s="9"/>
      <c r="TTQ82" s="106"/>
      <c r="TTR82" s="9"/>
      <c r="TTS82" s="106"/>
      <c r="TTT82" s="9"/>
      <c r="TTU82" s="106"/>
      <c r="TTV82" s="9"/>
      <c r="TTW82" s="106"/>
      <c r="TTX82" s="9"/>
      <c r="TTY82" s="106"/>
      <c r="TTZ82" s="9"/>
      <c r="TUA82" s="106"/>
      <c r="TUB82" s="9"/>
      <c r="TUC82" s="106"/>
      <c r="TUD82" s="9"/>
      <c r="TUE82" s="106"/>
      <c r="TUF82" s="9"/>
      <c r="TUG82" s="106"/>
      <c r="TUH82" s="9"/>
      <c r="TUI82" s="106"/>
      <c r="TUJ82" s="9"/>
      <c r="TUK82" s="106"/>
      <c r="TUL82" s="9"/>
      <c r="TUM82" s="106"/>
      <c r="TUN82" s="9"/>
      <c r="TUO82" s="106"/>
      <c r="TUP82" s="9"/>
      <c r="TUQ82" s="106"/>
      <c r="TUR82" s="9"/>
      <c r="TUS82" s="106"/>
      <c r="TUT82" s="9"/>
      <c r="TUU82" s="106"/>
      <c r="TUV82" s="9"/>
      <c r="TUW82" s="106"/>
      <c r="TUX82" s="9"/>
      <c r="TUY82" s="106"/>
      <c r="TUZ82" s="9"/>
      <c r="TVA82" s="106"/>
      <c r="TVB82" s="9"/>
      <c r="TVC82" s="106"/>
      <c r="TVD82" s="9"/>
      <c r="TVE82" s="106"/>
      <c r="TVF82" s="9"/>
      <c r="TVG82" s="106"/>
      <c r="TVH82" s="9"/>
      <c r="TVI82" s="106"/>
      <c r="TVJ82" s="9"/>
      <c r="TVK82" s="106"/>
      <c r="TVL82" s="9"/>
      <c r="TVM82" s="106"/>
      <c r="TVN82" s="9"/>
      <c r="TVO82" s="106"/>
      <c r="TVP82" s="9"/>
      <c r="TVQ82" s="106"/>
      <c r="TVR82" s="9"/>
      <c r="TVS82" s="106"/>
      <c r="TVT82" s="9"/>
      <c r="TVU82" s="106"/>
      <c r="TVV82" s="9"/>
      <c r="TVW82" s="106"/>
      <c r="TVX82" s="9"/>
      <c r="TVY82" s="106"/>
      <c r="TVZ82" s="9"/>
      <c r="TWA82" s="106"/>
      <c r="TWB82" s="9"/>
      <c r="TWC82" s="106"/>
      <c r="TWD82" s="9"/>
      <c r="TWE82" s="106"/>
      <c r="TWF82" s="9"/>
      <c r="TWG82" s="106"/>
      <c r="TWH82" s="9"/>
      <c r="TWI82" s="106"/>
      <c r="TWJ82" s="9"/>
      <c r="TWK82" s="106"/>
      <c r="TWL82" s="9"/>
      <c r="TWM82" s="106"/>
      <c r="TWN82" s="9"/>
      <c r="TWO82" s="106"/>
      <c r="TWP82" s="9"/>
      <c r="TWQ82" s="106"/>
      <c r="TWR82" s="9"/>
      <c r="TWS82" s="106"/>
      <c r="TWT82" s="9"/>
      <c r="TWU82" s="106"/>
      <c r="TWV82" s="9"/>
      <c r="TWW82" s="106"/>
      <c r="TWX82" s="9"/>
      <c r="TWY82" s="106"/>
      <c r="TWZ82" s="9"/>
      <c r="TXA82" s="106"/>
      <c r="TXB82" s="9"/>
      <c r="TXC82" s="106"/>
      <c r="TXD82" s="9"/>
      <c r="TXE82" s="106"/>
      <c r="TXF82" s="9"/>
      <c r="TXG82" s="106"/>
      <c r="TXH82" s="9"/>
      <c r="TXI82" s="106"/>
      <c r="TXJ82" s="9"/>
      <c r="TXK82" s="106"/>
      <c r="TXL82" s="9"/>
      <c r="TXM82" s="106"/>
      <c r="TXN82" s="9"/>
      <c r="TXO82" s="106"/>
      <c r="TXP82" s="9"/>
      <c r="TXQ82" s="106"/>
      <c r="TXR82" s="9"/>
      <c r="TXS82" s="106"/>
      <c r="TXT82" s="9"/>
      <c r="TXU82" s="106"/>
      <c r="TXV82" s="9"/>
      <c r="TXW82" s="106"/>
      <c r="TXX82" s="9"/>
      <c r="TXY82" s="106"/>
      <c r="TXZ82" s="9"/>
      <c r="TYA82" s="106"/>
      <c r="TYB82" s="9"/>
      <c r="TYC82" s="106"/>
      <c r="TYD82" s="9"/>
      <c r="TYE82" s="106"/>
      <c r="TYF82" s="9"/>
      <c r="TYG82" s="106"/>
      <c r="TYH82" s="9"/>
      <c r="TYI82" s="106"/>
      <c r="TYJ82" s="9"/>
      <c r="TYK82" s="106"/>
      <c r="TYL82" s="9"/>
      <c r="TYM82" s="106"/>
      <c r="TYN82" s="9"/>
      <c r="TYO82" s="106"/>
      <c r="TYP82" s="9"/>
      <c r="TYQ82" s="106"/>
      <c r="TYR82" s="9"/>
      <c r="TYS82" s="106"/>
      <c r="TYT82" s="9"/>
      <c r="TYU82" s="106"/>
      <c r="TYV82" s="9"/>
      <c r="TYW82" s="106"/>
      <c r="TYX82" s="9"/>
      <c r="TYY82" s="106"/>
      <c r="TYZ82" s="9"/>
      <c r="TZA82" s="106"/>
      <c r="TZB82" s="9"/>
      <c r="TZC82" s="106"/>
      <c r="TZD82" s="9"/>
      <c r="TZE82" s="106"/>
      <c r="TZF82" s="9"/>
      <c r="TZG82" s="106"/>
      <c r="TZH82" s="9"/>
      <c r="TZI82" s="106"/>
      <c r="TZJ82" s="9"/>
      <c r="TZK82" s="106"/>
      <c r="TZL82" s="9"/>
      <c r="TZM82" s="106"/>
      <c r="TZN82" s="9"/>
      <c r="TZO82" s="106"/>
      <c r="TZP82" s="9"/>
      <c r="TZQ82" s="106"/>
      <c r="TZR82" s="9"/>
      <c r="TZS82" s="106"/>
      <c r="TZT82" s="9"/>
      <c r="TZU82" s="106"/>
      <c r="TZV82" s="9"/>
      <c r="TZW82" s="106"/>
      <c r="TZX82" s="9"/>
      <c r="TZY82" s="106"/>
      <c r="TZZ82" s="9"/>
      <c r="UAA82" s="106"/>
      <c r="UAB82" s="9"/>
      <c r="UAC82" s="106"/>
      <c r="UAD82" s="9"/>
      <c r="UAE82" s="106"/>
      <c r="UAF82" s="9"/>
      <c r="UAG82" s="106"/>
      <c r="UAH82" s="9"/>
      <c r="UAI82" s="106"/>
      <c r="UAJ82" s="9"/>
      <c r="UAK82" s="106"/>
      <c r="UAL82" s="9"/>
      <c r="UAM82" s="106"/>
      <c r="UAN82" s="9"/>
      <c r="UAO82" s="106"/>
      <c r="UAP82" s="9"/>
      <c r="UAQ82" s="106"/>
      <c r="UAR82" s="9"/>
      <c r="UAS82" s="106"/>
      <c r="UAT82" s="9"/>
      <c r="UAU82" s="106"/>
      <c r="UAV82" s="9"/>
      <c r="UAW82" s="106"/>
      <c r="UAX82" s="9"/>
      <c r="UAY82" s="106"/>
      <c r="UAZ82" s="9"/>
      <c r="UBA82" s="106"/>
      <c r="UBB82" s="9"/>
      <c r="UBC82" s="106"/>
      <c r="UBD82" s="9"/>
      <c r="UBE82" s="106"/>
      <c r="UBF82" s="9"/>
      <c r="UBG82" s="106"/>
      <c r="UBH82" s="9"/>
      <c r="UBI82" s="106"/>
      <c r="UBJ82" s="9"/>
      <c r="UBK82" s="106"/>
      <c r="UBL82" s="9"/>
      <c r="UBM82" s="106"/>
      <c r="UBN82" s="9"/>
      <c r="UBO82" s="106"/>
      <c r="UBP82" s="9"/>
      <c r="UBQ82" s="106"/>
      <c r="UBR82" s="9"/>
      <c r="UBS82" s="106"/>
      <c r="UBT82" s="9"/>
      <c r="UBU82" s="106"/>
      <c r="UBV82" s="9"/>
      <c r="UBW82" s="106"/>
      <c r="UBX82" s="9"/>
      <c r="UBY82" s="106"/>
      <c r="UBZ82" s="9"/>
      <c r="UCA82" s="106"/>
      <c r="UCB82" s="9"/>
      <c r="UCC82" s="106"/>
      <c r="UCD82" s="9"/>
      <c r="UCE82" s="106"/>
      <c r="UCF82" s="9"/>
      <c r="UCG82" s="106"/>
      <c r="UCH82" s="9"/>
      <c r="UCI82" s="106"/>
      <c r="UCJ82" s="9"/>
      <c r="UCK82" s="106"/>
      <c r="UCL82" s="9"/>
      <c r="UCM82" s="106"/>
      <c r="UCN82" s="9"/>
      <c r="UCO82" s="106"/>
      <c r="UCP82" s="9"/>
      <c r="UCQ82" s="106"/>
      <c r="UCR82" s="9"/>
      <c r="UCS82" s="106"/>
      <c r="UCT82" s="9"/>
      <c r="UCU82" s="106"/>
      <c r="UCV82" s="9"/>
      <c r="UCW82" s="106"/>
      <c r="UCX82" s="9"/>
      <c r="UCY82" s="106"/>
      <c r="UCZ82" s="9"/>
      <c r="UDA82" s="106"/>
      <c r="UDB82" s="9"/>
      <c r="UDC82" s="106"/>
      <c r="UDD82" s="9"/>
      <c r="UDE82" s="106"/>
      <c r="UDF82" s="9"/>
      <c r="UDG82" s="106"/>
      <c r="UDH82" s="9"/>
      <c r="UDI82" s="106"/>
      <c r="UDJ82" s="9"/>
      <c r="UDK82" s="106"/>
      <c r="UDL82" s="9"/>
      <c r="UDM82" s="106"/>
      <c r="UDN82" s="9"/>
      <c r="UDO82" s="106"/>
      <c r="UDP82" s="9"/>
      <c r="UDQ82" s="106"/>
      <c r="UDR82" s="9"/>
      <c r="UDS82" s="106"/>
      <c r="UDT82" s="9"/>
      <c r="UDU82" s="106"/>
      <c r="UDV82" s="9"/>
      <c r="UDW82" s="106"/>
      <c r="UDX82" s="9"/>
      <c r="UDY82" s="106"/>
      <c r="UDZ82" s="9"/>
      <c r="UEA82" s="106"/>
      <c r="UEB82" s="9"/>
      <c r="UEC82" s="106"/>
      <c r="UED82" s="9"/>
      <c r="UEE82" s="106"/>
      <c r="UEF82" s="9"/>
      <c r="UEG82" s="106"/>
      <c r="UEH82" s="9"/>
      <c r="UEI82" s="106"/>
      <c r="UEJ82" s="9"/>
      <c r="UEK82" s="106"/>
      <c r="UEL82" s="9"/>
      <c r="UEM82" s="106"/>
      <c r="UEN82" s="9"/>
      <c r="UEO82" s="106"/>
      <c r="UEP82" s="9"/>
      <c r="UEQ82" s="106"/>
      <c r="UER82" s="9"/>
      <c r="UES82" s="106"/>
      <c r="UET82" s="9"/>
      <c r="UEU82" s="106"/>
      <c r="UEV82" s="9"/>
      <c r="UEW82" s="106"/>
      <c r="UEX82" s="9"/>
      <c r="UEY82" s="106"/>
      <c r="UEZ82" s="9"/>
      <c r="UFA82" s="106"/>
      <c r="UFB82" s="9"/>
      <c r="UFC82" s="106"/>
      <c r="UFD82" s="9"/>
      <c r="UFE82" s="106"/>
      <c r="UFF82" s="9"/>
      <c r="UFG82" s="106"/>
      <c r="UFH82" s="9"/>
      <c r="UFI82" s="106"/>
      <c r="UFJ82" s="9"/>
      <c r="UFK82" s="106"/>
      <c r="UFL82" s="9"/>
      <c r="UFM82" s="106"/>
      <c r="UFN82" s="9"/>
      <c r="UFO82" s="106"/>
      <c r="UFP82" s="9"/>
      <c r="UFQ82" s="106"/>
      <c r="UFR82" s="9"/>
      <c r="UFS82" s="106"/>
      <c r="UFT82" s="9"/>
      <c r="UFU82" s="106"/>
      <c r="UFV82" s="9"/>
      <c r="UFW82" s="106"/>
      <c r="UFX82" s="9"/>
      <c r="UFY82" s="106"/>
      <c r="UFZ82" s="9"/>
      <c r="UGA82" s="106"/>
      <c r="UGB82" s="9"/>
      <c r="UGC82" s="106"/>
      <c r="UGD82" s="9"/>
      <c r="UGE82" s="106"/>
      <c r="UGF82" s="9"/>
      <c r="UGG82" s="106"/>
      <c r="UGH82" s="9"/>
      <c r="UGI82" s="106"/>
      <c r="UGJ82" s="9"/>
      <c r="UGK82" s="106"/>
      <c r="UGL82" s="9"/>
      <c r="UGM82" s="106"/>
      <c r="UGN82" s="9"/>
      <c r="UGO82" s="106"/>
      <c r="UGP82" s="9"/>
      <c r="UGQ82" s="106"/>
      <c r="UGR82" s="9"/>
      <c r="UGS82" s="106"/>
      <c r="UGT82" s="9"/>
      <c r="UGU82" s="106"/>
      <c r="UGV82" s="9"/>
      <c r="UGW82" s="106"/>
      <c r="UGX82" s="9"/>
      <c r="UGY82" s="106"/>
      <c r="UGZ82" s="9"/>
      <c r="UHA82" s="106"/>
      <c r="UHB82" s="9"/>
      <c r="UHC82" s="106"/>
      <c r="UHD82" s="9"/>
      <c r="UHE82" s="106"/>
      <c r="UHF82" s="9"/>
      <c r="UHG82" s="106"/>
      <c r="UHH82" s="9"/>
      <c r="UHI82" s="106"/>
      <c r="UHJ82" s="9"/>
      <c r="UHK82" s="106"/>
      <c r="UHL82" s="9"/>
      <c r="UHM82" s="106"/>
      <c r="UHN82" s="9"/>
      <c r="UHO82" s="106"/>
      <c r="UHP82" s="9"/>
      <c r="UHQ82" s="106"/>
      <c r="UHR82" s="9"/>
      <c r="UHS82" s="106"/>
      <c r="UHT82" s="9"/>
      <c r="UHU82" s="106"/>
      <c r="UHV82" s="9"/>
      <c r="UHW82" s="106"/>
      <c r="UHX82" s="9"/>
      <c r="UHY82" s="106"/>
      <c r="UHZ82" s="9"/>
      <c r="UIA82" s="106"/>
      <c r="UIB82" s="9"/>
      <c r="UIC82" s="106"/>
      <c r="UID82" s="9"/>
      <c r="UIE82" s="106"/>
      <c r="UIF82" s="9"/>
      <c r="UIG82" s="106"/>
      <c r="UIH82" s="9"/>
      <c r="UII82" s="106"/>
      <c r="UIJ82" s="9"/>
      <c r="UIK82" s="106"/>
      <c r="UIL82" s="9"/>
      <c r="UIM82" s="106"/>
      <c r="UIN82" s="9"/>
      <c r="UIO82" s="106"/>
      <c r="UIP82" s="9"/>
      <c r="UIQ82" s="106"/>
      <c r="UIR82" s="9"/>
      <c r="UIS82" s="106"/>
      <c r="UIT82" s="9"/>
      <c r="UIU82" s="106"/>
      <c r="UIV82" s="9"/>
      <c r="UIW82" s="106"/>
      <c r="UIX82" s="9"/>
      <c r="UIY82" s="106"/>
      <c r="UIZ82" s="9"/>
      <c r="UJA82" s="106"/>
      <c r="UJB82" s="9"/>
      <c r="UJC82" s="106"/>
      <c r="UJD82" s="9"/>
      <c r="UJE82" s="106"/>
      <c r="UJF82" s="9"/>
      <c r="UJG82" s="106"/>
      <c r="UJH82" s="9"/>
      <c r="UJI82" s="106"/>
      <c r="UJJ82" s="9"/>
      <c r="UJK82" s="106"/>
      <c r="UJL82" s="9"/>
      <c r="UJM82" s="106"/>
      <c r="UJN82" s="9"/>
      <c r="UJO82" s="106"/>
      <c r="UJP82" s="9"/>
      <c r="UJQ82" s="106"/>
      <c r="UJR82" s="9"/>
      <c r="UJS82" s="106"/>
      <c r="UJT82" s="9"/>
      <c r="UJU82" s="106"/>
      <c r="UJV82" s="9"/>
      <c r="UJW82" s="106"/>
      <c r="UJX82" s="9"/>
      <c r="UJY82" s="106"/>
      <c r="UJZ82" s="9"/>
      <c r="UKA82" s="106"/>
      <c r="UKB82" s="9"/>
      <c r="UKC82" s="106"/>
      <c r="UKD82" s="9"/>
      <c r="UKE82" s="106"/>
      <c r="UKF82" s="9"/>
      <c r="UKG82" s="106"/>
      <c r="UKH82" s="9"/>
      <c r="UKI82" s="106"/>
      <c r="UKJ82" s="9"/>
      <c r="UKK82" s="106"/>
      <c r="UKL82" s="9"/>
      <c r="UKM82" s="106"/>
      <c r="UKN82" s="9"/>
      <c r="UKO82" s="106"/>
      <c r="UKP82" s="9"/>
      <c r="UKQ82" s="106"/>
      <c r="UKR82" s="9"/>
      <c r="UKS82" s="106"/>
      <c r="UKT82" s="9"/>
      <c r="UKU82" s="106"/>
      <c r="UKV82" s="9"/>
      <c r="UKW82" s="106"/>
      <c r="UKX82" s="9"/>
      <c r="UKY82" s="106"/>
      <c r="UKZ82" s="9"/>
      <c r="ULA82" s="106"/>
      <c r="ULB82" s="9"/>
      <c r="ULC82" s="106"/>
      <c r="ULD82" s="9"/>
      <c r="ULE82" s="106"/>
      <c r="ULF82" s="9"/>
      <c r="ULG82" s="106"/>
      <c r="ULH82" s="9"/>
      <c r="ULI82" s="106"/>
      <c r="ULJ82" s="9"/>
      <c r="ULK82" s="106"/>
      <c r="ULL82" s="9"/>
      <c r="ULM82" s="106"/>
      <c r="ULN82" s="9"/>
      <c r="ULO82" s="106"/>
      <c r="ULP82" s="9"/>
      <c r="ULQ82" s="106"/>
      <c r="ULR82" s="9"/>
      <c r="ULS82" s="106"/>
      <c r="ULT82" s="9"/>
      <c r="ULU82" s="106"/>
      <c r="ULV82" s="9"/>
      <c r="ULW82" s="106"/>
      <c r="ULX82" s="9"/>
      <c r="ULY82" s="106"/>
      <c r="ULZ82" s="9"/>
      <c r="UMA82" s="106"/>
      <c r="UMB82" s="9"/>
      <c r="UMC82" s="106"/>
      <c r="UMD82" s="9"/>
      <c r="UME82" s="106"/>
      <c r="UMF82" s="9"/>
      <c r="UMG82" s="106"/>
      <c r="UMH82" s="9"/>
      <c r="UMI82" s="106"/>
      <c r="UMJ82" s="9"/>
      <c r="UMK82" s="106"/>
      <c r="UML82" s="9"/>
      <c r="UMM82" s="106"/>
      <c r="UMN82" s="9"/>
      <c r="UMO82" s="106"/>
      <c r="UMP82" s="9"/>
      <c r="UMQ82" s="106"/>
      <c r="UMR82" s="9"/>
      <c r="UMS82" s="106"/>
      <c r="UMT82" s="9"/>
      <c r="UMU82" s="106"/>
      <c r="UMV82" s="9"/>
      <c r="UMW82" s="106"/>
      <c r="UMX82" s="9"/>
      <c r="UMY82" s="106"/>
      <c r="UMZ82" s="9"/>
      <c r="UNA82" s="106"/>
      <c r="UNB82" s="9"/>
      <c r="UNC82" s="106"/>
      <c r="UND82" s="9"/>
      <c r="UNE82" s="106"/>
      <c r="UNF82" s="9"/>
      <c r="UNG82" s="106"/>
      <c r="UNH82" s="9"/>
      <c r="UNI82" s="106"/>
      <c r="UNJ82" s="9"/>
      <c r="UNK82" s="106"/>
      <c r="UNL82" s="9"/>
      <c r="UNM82" s="106"/>
      <c r="UNN82" s="9"/>
      <c r="UNO82" s="106"/>
      <c r="UNP82" s="9"/>
      <c r="UNQ82" s="106"/>
      <c r="UNR82" s="9"/>
      <c r="UNS82" s="106"/>
      <c r="UNT82" s="9"/>
      <c r="UNU82" s="106"/>
      <c r="UNV82" s="9"/>
      <c r="UNW82" s="106"/>
      <c r="UNX82" s="9"/>
      <c r="UNY82" s="106"/>
      <c r="UNZ82" s="9"/>
      <c r="UOA82" s="106"/>
      <c r="UOB82" s="9"/>
      <c r="UOC82" s="106"/>
      <c r="UOD82" s="9"/>
      <c r="UOE82" s="106"/>
      <c r="UOF82" s="9"/>
      <c r="UOG82" s="106"/>
      <c r="UOH82" s="9"/>
      <c r="UOI82" s="106"/>
      <c r="UOJ82" s="9"/>
      <c r="UOK82" s="106"/>
      <c r="UOL82" s="9"/>
      <c r="UOM82" s="106"/>
      <c r="UON82" s="9"/>
      <c r="UOO82" s="106"/>
      <c r="UOP82" s="9"/>
      <c r="UOQ82" s="106"/>
      <c r="UOR82" s="9"/>
      <c r="UOS82" s="106"/>
      <c r="UOT82" s="9"/>
      <c r="UOU82" s="106"/>
      <c r="UOV82" s="9"/>
      <c r="UOW82" s="106"/>
      <c r="UOX82" s="9"/>
      <c r="UOY82" s="106"/>
      <c r="UOZ82" s="9"/>
      <c r="UPA82" s="106"/>
      <c r="UPB82" s="9"/>
      <c r="UPC82" s="106"/>
      <c r="UPD82" s="9"/>
      <c r="UPE82" s="106"/>
      <c r="UPF82" s="9"/>
      <c r="UPG82" s="106"/>
      <c r="UPH82" s="9"/>
      <c r="UPI82" s="106"/>
      <c r="UPJ82" s="9"/>
      <c r="UPK82" s="106"/>
      <c r="UPL82" s="9"/>
      <c r="UPM82" s="106"/>
      <c r="UPN82" s="9"/>
      <c r="UPO82" s="106"/>
      <c r="UPP82" s="9"/>
      <c r="UPQ82" s="106"/>
      <c r="UPR82" s="9"/>
      <c r="UPS82" s="106"/>
      <c r="UPT82" s="9"/>
      <c r="UPU82" s="106"/>
      <c r="UPV82" s="9"/>
      <c r="UPW82" s="106"/>
      <c r="UPX82" s="9"/>
      <c r="UPY82" s="106"/>
      <c r="UPZ82" s="9"/>
      <c r="UQA82" s="106"/>
      <c r="UQB82" s="9"/>
      <c r="UQC82" s="106"/>
      <c r="UQD82" s="9"/>
      <c r="UQE82" s="106"/>
      <c r="UQF82" s="9"/>
      <c r="UQG82" s="106"/>
      <c r="UQH82" s="9"/>
      <c r="UQI82" s="106"/>
      <c r="UQJ82" s="9"/>
      <c r="UQK82" s="106"/>
      <c r="UQL82" s="9"/>
      <c r="UQM82" s="106"/>
      <c r="UQN82" s="9"/>
      <c r="UQO82" s="106"/>
      <c r="UQP82" s="9"/>
      <c r="UQQ82" s="106"/>
      <c r="UQR82" s="9"/>
      <c r="UQS82" s="106"/>
      <c r="UQT82" s="9"/>
      <c r="UQU82" s="106"/>
      <c r="UQV82" s="9"/>
      <c r="UQW82" s="106"/>
      <c r="UQX82" s="9"/>
      <c r="UQY82" s="106"/>
      <c r="UQZ82" s="9"/>
      <c r="URA82" s="106"/>
      <c r="URB82" s="9"/>
      <c r="URC82" s="106"/>
      <c r="URD82" s="9"/>
      <c r="URE82" s="106"/>
      <c r="URF82" s="9"/>
      <c r="URG82" s="106"/>
      <c r="URH82" s="9"/>
      <c r="URI82" s="106"/>
      <c r="URJ82" s="9"/>
      <c r="URK82" s="106"/>
      <c r="URL82" s="9"/>
      <c r="URM82" s="106"/>
      <c r="URN82" s="9"/>
      <c r="URO82" s="106"/>
      <c r="URP82" s="9"/>
      <c r="URQ82" s="106"/>
      <c r="URR82" s="9"/>
      <c r="URS82" s="106"/>
      <c r="URT82" s="9"/>
      <c r="URU82" s="106"/>
      <c r="URV82" s="9"/>
      <c r="URW82" s="106"/>
      <c r="URX82" s="9"/>
      <c r="URY82" s="106"/>
      <c r="URZ82" s="9"/>
      <c r="USA82" s="106"/>
      <c r="USB82" s="9"/>
      <c r="USC82" s="106"/>
      <c r="USD82" s="9"/>
      <c r="USE82" s="106"/>
      <c r="USF82" s="9"/>
      <c r="USG82" s="106"/>
      <c r="USH82" s="9"/>
      <c r="USI82" s="106"/>
      <c r="USJ82" s="9"/>
      <c r="USK82" s="106"/>
      <c r="USL82" s="9"/>
      <c r="USM82" s="106"/>
      <c r="USN82" s="9"/>
      <c r="USO82" s="106"/>
      <c r="USP82" s="9"/>
      <c r="USQ82" s="106"/>
      <c r="USR82" s="9"/>
      <c r="USS82" s="106"/>
      <c r="UST82" s="9"/>
      <c r="USU82" s="106"/>
      <c r="USV82" s="9"/>
      <c r="USW82" s="106"/>
      <c r="USX82" s="9"/>
      <c r="USY82" s="106"/>
      <c r="USZ82" s="9"/>
      <c r="UTA82" s="106"/>
      <c r="UTB82" s="9"/>
      <c r="UTC82" s="106"/>
      <c r="UTD82" s="9"/>
      <c r="UTE82" s="106"/>
      <c r="UTF82" s="9"/>
      <c r="UTG82" s="106"/>
      <c r="UTH82" s="9"/>
      <c r="UTI82" s="106"/>
      <c r="UTJ82" s="9"/>
      <c r="UTK82" s="106"/>
      <c r="UTL82" s="9"/>
      <c r="UTM82" s="106"/>
      <c r="UTN82" s="9"/>
      <c r="UTO82" s="106"/>
      <c r="UTP82" s="9"/>
      <c r="UTQ82" s="106"/>
      <c r="UTR82" s="9"/>
      <c r="UTS82" s="106"/>
      <c r="UTT82" s="9"/>
      <c r="UTU82" s="106"/>
      <c r="UTV82" s="9"/>
      <c r="UTW82" s="106"/>
      <c r="UTX82" s="9"/>
      <c r="UTY82" s="106"/>
      <c r="UTZ82" s="9"/>
      <c r="UUA82" s="106"/>
      <c r="UUB82" s="9"/>
      <c r="UUC82" s="106"/>
      <c r="UUD82" s="9"/>
      <c r="UUE82" s="106"/>
      <c r="UUF82" s="9"/>
      <c r="UUG82" s="106"/>
      <c r="UUH82" s="9"/>
      <c r="UUI82" s="106"/>
      <c r="UUJ82" s="9"/>
      <c r="UUK82" s="106"/>
      <c r="UUL82" s="9"/>
      <c r="UUM82" s="106"/>
      <c r="UUN82" s="9"/>
      <c r="UUO82" s="106"/>
      <c r="UUP82" s="9"/>
      <c r="UUQ82" s="106"/>
      <c r="UUR82" s="9"/>
      <c r="UUS82" s="106"/>
      <c r="UUT82" s="9"/>
      <c r="UUU82" s="106"/>
      <c r="UUV82" s="9"/>
      <c r="UUW82" s="106"/>
      <c r="UUX82" s="9"/>
      <c r="UUY82" s="106"/>
      <c r="UUZ82" s="9"/>
      <c r="UVA82" s="106"/>
      <c r="UVB82" s="9"/>
      <c r="UVC82" s="106"/>
      <c r="UVD82" s="9"/>
      <c r="UVE82" s="106"/>
      <c r="UVF82" s="9"/>
      <c r="UVG82" s="106"/>
      <c r="UVH82" s="9"/>
      <c r="UVI82" s="106"/>
      <c r="UVJ82" s="9"/>
      <c r="UVK82" s="106"/>
      <c r="UVL82" s="9"/>
      <c r="UVM82" s="106"/>
      <c r="UVN82" s="9"/>
      <c r="UVO82" s="106"/>
      <c r="UVP82" s="9"/>
      <c r="UVQ82" s="106"/>
      <c r="UVR82" s="9"/>
      <c r="UVS82" s="106"/>
      <c r="UVT82" s="9"/>
      <c r="UVU82" s="106"/>
      <c r="UVV82" s="9"/>
      <c r="UVW82" s="106"/>
      <c r="UVX82" s="9"/>
      <c r="UVY82" s="106"/>
      <c r="UVZ82" s="9"/>
      <c r="UWA82" s="106"/>
      <c r="UWB82" s="9"/>
      <c r="UWC82" s="106"/>
      <c r="UWD82" s="9"/>
      <c r="UWE82" s="106"/>
      <c r="UWF82" s="9"/>
      <c r="UWG82" s="106"/>
      <c r="UWH82" s="9"/>
      <c r="UWI82" s="106"/>
      <c r="UWJ82" s="9"/>
      <c r="UWK82" s="106"/>
      <c r="UWL82" s="9"/>
      <c r="UWM82" s="106"/>
      <c r="UWN82" s="9"/>
      <c r="UWO82" s="106"/>
      <c r="UWP82" s="9"/>
      <c r="UWQ82" s="106"/>
      <c r="UWR82" s="9"/>
      <c r="UWS82" s="106"/>
      <c r="UWT82" s="9"/>
      <c r="UWU82" s="106"/>
      <c r="UWV82" s="9"/>
      <c r="UWW82" s="106"/>
      <c r="UWX82" s="9"/>
      <c r="UWY82" s="106"/>
      <c r="UWZ82" s="9"/>
      <c r="UXA82" s="106"/>
      <c r="UXB82" s="9"/>
      <c r="UXC82" s="106"/>
      <c r="UXD82" s="9"/>
      <c r="UXE82" s="106"/>
      <c r="UXF82" s="9"/>
      <c r="UXG82" s="106"/>
      <c r="UXH82" s="9"/>
      <c r="UXI82" s="106"/>
      <c r="UXJ82" s="9"/>
      <c r="UXK82" s="106"/>
      <c r="UXL82" s="9"/>
      <c r="UXM82" s="106"/>
      <c r="UXN82" s="9"/>
      <c r="UXO82" s="106"/>
      <c r="UXP82" s="9"/>
      <c r="UXQ82" s="106"/>
      <c r="UXR82" s="9"/>
      <c r="UXS82" s="106"/>
      <c r="UXT82" s="9"/>
      <c r="UXU82" s="106"/>
      <c r="UXV82" s="9"/>
      <c r="UXW82" s="106"/>
      <c r="UXX82" s="9"/>
      <c r="UXY82" s="106"/>
      <c r="UXZ82" s="9"/>
      <c r="UYA82" s="106"/>
      <c r="UYB82" s="9"/>
      <c r="UYC82" s="106"/>
      <c r="UYD82" s="9"/>
      <c r="UYE82" s="106"/>
      <c r="UYF82" s="9"/>
      <c r="UYG82" s="106"/>
      <c r="UYH82" s="9"/>
      <c r="UYI82" s="106"/>
      <c r="UYJ82" s="9"/>
      <c r="UYK82" s="106"/>
      <c r="UYL82" s="9"/>
      <c r="UYM82" s="106"/>
      <c r="UYN82" s="9"/>
      <c r="UYO82" s="106"/>
      <c r="UYP82" s="9"/>
      <c r="UYQ82" s="106"/>
      <c r="UYR82" s="9"/>
      <c r="UYS82" s="106"/>
      <c r="UYT82" s="9"/>
      <c r="UYU82" s="106"/>
      <c r="UYV82" s="9"/>
      <c r="UYW82" s="106"/>
      <c r="UYX82" s="9"/>
      <c r="UYY82" s="106"/>
      <c r="UYZ82" s="9"/>
      <c r="UZA82" s="106"/>
      <c r="UZB82" s="9"/>
      <c r="UZC82" s="106"/>
      <c r="UZD82" s="9"/>
      <c r="UZE82" s="106"/>
      <c r="UZF82" s="9"/>
      <c r="UZG82" s="106"/>
      <c r="UZH82" s="9"/>
      <c r="UZI82" s="106"/>
      <c r="UZJ82" s="9"/>
      <c r="UZK82" s="106"/>
      <c r="UZL82" s="9"/>
      <c r="UZM82" s="106"/>
      <c r="UZN82" s="9"/>
      <c r="UZO82" s="106"/>
      <c r="UZP82" s="9"/>
      <c r="UZQ82" s="106"/>
      <c r="UZR82" s="9"/>
      <c r="UZS82" s="106"/>
      <c r="UZT82" s="9"/>
      <c r="UZU82" s="106"/>
      <c r="UZV82" s="9"/>
      <c r="UZW82" s="106"/>
      <c r="UZX82" s="9"/>
      <c r="UZY82" s="106"/>
      <c r="UZZ82" s="9"/>
      <c r="VAA82" s="106"/>
      <c r="VAB82" s="9"/>
      <c r="VAC82" s="106"/>
      <c r="VAD82" s="9"/>
      <c r="VAE82" s="106"/>
      <c r="VAF82" s="9"/>
      <c r="VAG82" s="106"/>
      <c r="VAH82" s="9"/>
      <c r="VAI82" s="106"/>
      <c r="VAJ82" s="9"/>
      <c r="VAK82" s="106"/>
      <c r="VAL82" s="9"/>
      <c r="VAM82" s="106"/>
      <c r="VAN82" s="9"/>
      <c r="VAO82" s="106"/>
      <c r="VAP82" s="9"/>
      <c r="VAQ82" s="106"/>
      <c r="VAR82" s="9"/>
      <c r="VAS82" s="106"/>
      <c r="VAT82" s="9"/>
      <c r="VAU82" s="106"/>
      <c r="VAV82" s="9"/>
      <c r="VAW82" s="106"/>
      <c r="VAX82" s="9"/>
      <c r="VAY82" s="106"/>
      <c r="VAZ82" s="9"/>
      <c r="VBA82" s="106"/>
      <c r="VBB82" s="9"/>
      <c r="VBC82" s="106"/>
      <c r="VBD82" s="9"/>
      <c r="VBE82" s="106"/>
      <c r="VBF82" s="9"/>
      <c r="VBG82" s="106"/>
      <c r="VBH82" s="9"/>
      <c r="VBI82" s="106"/>
      <c r="VBJ82" s="9"/>
      <c r="VBK82" s="106"/>
      <c r="VBL82" s="9"/>
      <c r="VBM82" s="106"/>
      <c r="VBN82" s="9"/>
      <c r="VBO82" s="106"/>
      <c r="VBP82" s="9"/>
      <c r="VBQ82" s="106"/>
      <c r="VBR82" s="9"/>
      <c r="VBS82" s="106"/>
      <c r="VBT82" s="9"/>
      <c r="VBU82" s="106"/>
      <c r="VBV82" s="9"/>
      <c r="VBW82" s="106"/>
      <c r="VBX82" s="9"/>
      <c r="VBY82" s="106"/>
      <c r="VBZ82" s="9"/>
      <c r="VCA82" s="106"/>
      <c r="VCB82" s="9"/>
      <c r="VCC82" s="106"/>
      <c r="VCD82" s="9"/>
      <c r="VCE82" s="106"/>
      <c r="VCF82" s="9"/>
      <c r="VCG82" s="106"/>
      <c r="VCH82" s="9"/>
      <c r="VCI82" s="106"/>
      <c r="VCJ82" s="9"/>
      <c r="VCK82" s="106"/>
      <c r="VCL82" s="9"/>
      <c r="VCM82" s="106"/>
      <c r="VCN82" s="9"/>
      <c r="VCO82" s="106"/>
      <c r="VCP82" s="9"/>
      <c r="VCQ82" s="106"/>
      <c r="VCR82" s="9"/>
      <c r="VCS82" s="106"/>
      <c r="VCT82" s="9"/>
      <c r="VCU82" s="106"/>
      <c r="VCV82" s="9"/>
      <c r="VCW82" s="106"/>
      <c r="VCX82" s="9"/>
      <c r="VCY82" s="106"/>
      <c r="VCZ82" s="9"/>
      <c r="VDA82" s="106"/>
      <c r="VDB82" s="9"/>
      <c r="VDC82" s="106"/>
      <c r="VDD82" s="9"/>
      <c r="VDE82" s="106"/>
      <c r="VDF82" s="9"/>
      <c r="VDG82" s="106"/>
      <c r="VDH82" s="9"/>
      <c r="VDI82" s="106"/>
      <c r="VDJ82" s="9"/>
      <c r="VDK82" s="106"/>
      <c r="VDL82" s="9"/>
      <c r="VDM82" s="106"/>
      <c r="VDN82" s="9"/>
      <c r="VDO82" s="106"/>
      <c r="VDP82" s="9"/>
      <c r="VDQ82" s="106"/>
      <c r="VDR82" s="9"/>
      <c r="VDS82" s="106"/>
      <c r="VDT82" s="9"/>
      <c r="VDU82" s="106"/>
      <c r="VDV82" s="9"/>
      <c r="VDW82" s="106"/>
      <c r="VDX82" s="9"/>
      <c r="VDY82" s="106"/>
      <c r="VDZ82" s="9"/>
      <c r="VEA82" s="106"/>
      <c r="VEB82" s="9"/>
      <c r="VEC82" s="106"/>
      <c r="VED82" s="9"/>
      <c r="VEE82" s="106"/>
      <c r="VEF82" s="9"/>
      <c r="VEG82" s="106"/>
      <c r="VEH82" s="9"/>
      <c r="VEI82" s="106"/>
      <c r="VEJ82" s="9"/>
      <c r="VEK82" s="106"/>
      <c r="VEL82" s="9"/>
      <c r="VEM82" s="106"/>
      <c r="VEN82" s="9"/>
      <c r="VEO82" s="106"/>
      <c r="VEP82" s="9"/>
      <c r="VEQ82" s="106"/>
      <c r="VER82" s="9"/>
      <c r="VES82" s="106"/>
      <c r="VET82" s="9"/>
      <c r="VEU82" s="106"/>
      <c r="VEV82" s="9"/>
      <c r="VEW82" s="106"/>
      <c r="VEX82" s="9"/>
      <c r="VEY82" s="106"/>
      <c r="VEZ82" s="9"/>
      <c r="VFA82" s="106"/>
      <c r="VFB82" s="9"/>
      <c r="VFC82" s="106"/>
      <c r="VFD82" s="9"/>
      <c r="VFE82" s="106"/>
      <c r="VFF82" s="9"/>
      <c r="VFG82" s="106"/>
      <c r="VFH82" s="9"/>
      <c r="VFI82" s="106"/>
      <c r="VFJ82" s="9"/>
      <c r="VFK82" s="106"/>
      <c r="VFL82" s="9"/>
      <c r="VFM82" s="106"/>
      <c r="VFN82" s="9"/>
      <c r="VFO82" s="106"/>
      <c r="VFP82" s="9"/>
      <c r="VFQ82" s="106"/>
      <c r="VFR82" s="9"/>
      <c r="VFS82" s="106"/>
      <c r="VFT82" s="9"/>
      <c r="VFU82" s="106"/>
      <c r="VFV82" s="9"/>
      <c r="VFW82" s="106"/>
      <c r="VFX82" s="9"/>
      <c r="VFY82" s="106"/>
      <c r="VFZ82" s="9"/>
      <c r="VGA82" s="106"/>
      <c r="VGB82" s="9"/>
      <c r="VGC82" s="106"/>
      <c r="VGD82" s="9"/>
      <c r="VGE82" s="106"/>
      <c r="VGF82" s="9"/>
      <c r="VGG82" s="106"/>
      <c r="VGH82" s="9"/>
      <c r="VGI82" s="106"/>
      <c r="VGJ82" s="9"/>
      <c r="VGK82" s="106"/>
      <c r="VGL82" s="9"/>
      <c r="VGM82" s="106"/>
      <c r="VGN82" s="9"/>
      <c r="VGO82" s="106"/>
      <c r="VGP82" s="9"/>
      <c r="VGQ82" s="106"/>
      <c r="VGR82" s="9"/>
      <c r="VGS82" s="106"/>
      <c r="VGT82" s="9"/>
      <c r="VGU82" s="106"/>
      <c r="VGV82" s="9"/>
      <c r="VGW82" s="106"/>
      <c r="VGX82" s="9"/>
      <c r="VGY82" s="106"/>
      <c r="VGZ82" s="9"/>
      <c r="VHA82" s="106"/>
      <c r="VHB82" s="9"/>
      <c r="VHC82" s="106"/>
      <c r="VHD82" s="9"/>
      <c r="VHE82" s="106"/>
      <c r="VHF82" s="9"/>
      <c r="VHG82" s="106"/>
      <c r="VHH82" s="9"/>
      <c r="VHI82" s="106"/>
      <c r="VHJ82" s="9"/>
      <c r="VHK82" s="106"/>
      <c r="VHL82" s="9"/>
      <c r="VHM82" s="106"/>
      <c r="VHN82" s="9"/>
      <c r="VHO82" s="106"/>
      <c r="VHP82" s="9"/>
      <c r="VHQ82" s="106"/>
      <c r="VHR82" s="9"/>
      <c r="VHS82" s="106"/>
      <c r="VHT82" s="9"/>
      <c r="VHU82" s="106"/>
      <c r="VHV82" s="9"/>
      <c r="VHW82" s="106"/>
      <c r="VHX82" s="9"/>
      <c r="VHY82" s="106"/>
      <c r="VHZ82" s="9"/>
      <c r="VIA82" s="106"/>
      <c r="VIB82" s="9"/>
      <c r="VIC82" s="106"/>
      <c r="VID82" s="9"/>
      <c r="VIE82" s="106"/>
      <c r="VIF82" s="9"/>
      <c r="VIG82" s="106"/>
      <c r="VIH82" s="9"/>
      <c r="VII82" s="106"/>
      <c r="VIJ82" s="9"/>
      <c r="VIK82" s="106"/>
      <c r="VIL82" s="9"/>
      <c r="VIM82" s="106"/>
      <c r="VIN82" s="9"/>
      <c r="VIO82" s="106"/>
      <c r="VIP82" s="9"/>
      <c r="VIQ82" s="106"/>
      <c r="VIR82" s="9"/>
      <c r="VIS82" s="106"/>
      <c r="VIT82" s="9"/>
      <c r="VIU82" s="106"/>
      <c r="VIV82" s="9"/>
      <c r="VIW82" s="106"/>
      <c r="VIX82" s="9"/>
      <c r="VIY82" s="106"/>
      <c r="VIZ82" s="9"/>
      <c r="VJA82" s="106"/>
      <c r="VJB82" s="9"/>
      <c r="VJC82" s="106"/>
      <c r="VJD82" s="9"/>
      <c r="VJE82" s="106"/>
      <c r="VJF82" s="9"/>
      <c r="VJG82" s="106"/>
      <c r="VJH82" s="9"/>
      <c r="VJI82" s="106"/>
      <c r="VJJ82" s="9"/>
      <c r="VJK82" s="106"/>
      <c r="VJL82" s="9"/>
      <c r="VJM82" s="106"/>
      <c r="VJN82" s="9"/>
      <c r="VJO82" s="106"/>
      <c r="VJP82" s="9"/>
      <c r="VJQ82" s="106"/>
      <c r="VJR82" s="9"/>
      <c r="VJS82" s="106"/>
      <c r="VJT82" s="9"/>
      <c r="VJU82" s="106"/>
      <c r="VJV82" s="9"/>
      <c r="VJW82" s="106"/>
      <c r="VJX82" s="9"/>
      <c r="VJY82" s="106"/>
      <c r="VJZ82" s="9"/>
      <c r="VKA82" s="106"/>
      <c r="VKB82" s="9"/>
      <c r="VKC82" s="106"/>
      <c r="VKD82" s="9"/>
      <c r="VKE82" s="106"/>
      <c r="VKF82" s="9"/>
      <c r="VKG82" s="106"/>
      <c r="VKH82" s="9"/>
      <c r="VKI82" s="106"/>
      <c r="VKJ82" s="9"/>
      <c r="VKK82" s="106"/>
      <c r="VKL82" s="9"/>
      <c r="VKM82" s="106"/>
      <c r="VKN82" s="9"/>
      <c r="VKO82" s="106"/>
      <c r="VKP82" s="9"/>
      <c r="VKQ82" s="106"/>
      <c r="VKR82" s="9"/>
      <c r="VKS82" s="106"/>
      <c r="VKT82" s="9"/>
      <c r="VKU82" s="106"/>
      <c r="VKV82" s="9"/>
      <c r="VKW82" s="106"/>
      <c r="VKX82" s="9"/>
      <c r="VKY82" s="106"/>
      <c r="VKZ82" s="9"/>
      <c r="VLA82" s="106"/>
      <c r="VLB82" s="9"/>
      <c r="VLC82" s="106"/>
      <c r="VLD82" s="9"/>
      <c r="VLE82" s="106"/>
      <c r="VLF82" s="9"/>
      <c r="VLG82" s="106"/>
      <c r="VLH82" s="9"/>
      <c r="VLI82" s="106"/>
      <c r="VLJ82" s="9"/>
      <c r="VLK82" s="106"/>
      <c r="VLL82" s="9"/>
      <c r="VLM82" s="106"/>
      <c r="VLN82" s="9"/>
      <c r="VLO82" s="106"/>
      <c r="VLP82" s="9"/>
      <c r="VLQ82" s="106"/>
      <c r="VLR82" s="9"/>
      <c r="VLS82" s="106"/>
      <c r="VLT82" s="9"/>
      <c r="VLU82" s="106"/>
      <c r="VLV82" s="9"/>
      <c r="VLW82" s="106"/>
      <c r="VLX82" s="9"/>
      <c r="VLY82" s="106"/>
      <c r="VLZ82" s="9"/>
      <c r="VMA82" s="106"/>
      <c r="VMB82" s="9"/>
      <c r="VMC82" s="106"/>
      <c r="VMD82" s="9"/>
      <c r="VME82" s="106"/>
      <c r="VMF82" s="9"/>
      <c r="VMG82" s="106"/>
      <c r="VMH82" s="9"/>
      <c r="VMI82" s="106"/>
      <c r="VMJ82" s="9"/>
      <c r="VMK82" s="106"/>
      <c r="VML82" s="9"/>
      <c r="VMM82" s="106"/>
      <c r="VMN82" s="9"/>
      <c r="VMO82" s="106"/>
      <c r="VMP82" s="9"/>
      <c r="VMQ82" s="106"/>
      <c r="VMR82" s="9"/>
      <c r="VMS82" s="106"/>
      <c r="VMT82" s="9"/>
      <c r="VMU82" s="106"/>
      <c r="VMV82" s="9"/>
      <c r="VMW82" s="106"/>
      <c r="VMX82" s="9"/>
      <c r="VMY82" s="106"/>
      <c r="VMZ82" s="9"/>
      <c r="VNA82" s="106"/>
      <c r="VNB82" s="9"/>
      <c r="VNC82" s="106"/>
      <c r="VND82" s="9"/>
      <c r="VNE82" s="106"/>
      <c r="VNF82" s="9"/>
      <c r="VNG82" s="106"/>
      <c r="VNH82" s="9"/>
      <c r="VNI82" s="106"/>
      <c r="VNJ82" s="9"/>
      <c r="VNK82" s="106"/>
      <c r="VNL82" s="9"/>
      <c r="VNM82" s="106"/>
      <c r="VNN82" s="9"/>
      <c r="VNO82" s="106"/>
      <c r="VNP82" s="9"/>
      <c r="VNQ82" s="106"/>
      <c r="VNR82" s="9"/>
      <c r="VNS82" s="106"/>
      <c r="VNT82" s="9"/>
      <c r="VNU82" s="106"/>
      <c r="VNV82" s="9"/>
      <c r="VNW82" s="106"/>
      <c r="VNX82" s="9"/>
      <c r="VNY82" s="106"/>
      <c r="VNZ82" s="9"/>
      <c r="VOA82" s="106"/>
      <c r="VOB82" s="9"/>
      <c r="VOC82" s="106"/>
      <c r="VOD82" s="9"/>
      <c r="VOE82" s="106"/>
      <c r="VOF82" s="9"/>
      <c r="VOG82" s="106"/>
      <c r="VOH82" s="9"/>
      <c r="VOI82" s="106"/>
      <c r="VOJ82" s="9"/>
      <c r="VOK82" s="106"/>
      <c r="VOL82" s="9"/>
      <c r="VOM82" s="106"/>
      <c r="VON82" s="9"/>
      <c r="VOO82" s="106"/>
      <c r="VOP82" s="9"/>
      <c r="VOQ82" s="106"/>
      <c r="VOR82" s="9"/>
      <c r="VOS82" s="106"/>
      <c r="VOT82" s="9"/>
      <c r="VOU82" s="106"/>
      <c r="VOV82" s="9"/>
      <c r="VOW82" s="106"/>
      <c r="VOX82" s="9"/>
      <c r="VOY82" s="106"/>
      <c r="VOZ82" s="9"/>
      <c r="VPA82" s="106"/>
      <c r="VPB82" s="9"/>
      <c r="VPC82" s="106"/>
      <c r="VPD82" s="9"/>
      <c r="VPE82" s="106"/>
      <c r="VPF82" s="9"/>
      <c r="VPG82" s="106"/>
      <c r="VPH82" s="9"/>
      <c r="VPI82" s="106"/>
      <c r="VPJ82" s="9"/>
      <c r="VPK82" s="106"/>
      <c r="VPL82" s="9"/>
      <c r="VPM82" s="106"/>
      <c r="VPN82" s="9"/>
      <c r="VPO82" s="106"/>
      <c r="VPP82" s="9"/>
      <c r="VPQ82" s="106"/>
      <c r="VPR82" s="9"/>
      <c r="VPS82" s="106"/>
      <c r="VPT82" s="9"/>
      <c r="VPU82" s="106"/>
      <c r="VPV82" s="9"/>
      <c r="VPW82" s="106"/>
      <c r="VPX82" s="9"/>
      <c r="VPY82" s="106"/>
      <c r="VPZ82" s="9"/>
      <c r="VQA82" s="106"/>
      <c r="VQB82" s="9"/>
      <c r="VQC82" s="106"/>
      <c r="VQD82" s="9"/>
      <c r="VQE82" s="106"/>
      <c r="VQF82" s="9"/>
      <c r="VQG82" s="106"/>
      <c r="VQH82" s="9"/>
      <c r="VQI82" s="106"/>
      <c r="VQJ82" s="9"/>
      <c r="VQK82" s="106"/>
      <c r="VQL82" s="9"/>
      <c r="VQM82" s="106"/>
      <c r="VQN82" s="9"/>
      <c r="VQO82" s="106"/>
      <c r="VQP82" s="9"/>
      <c r="VQQ82" s="106"/>
      <c r="VQR82" s="9"/>
      <c r="VQS82" s="106"/>
      <c r="VQT82" s="9"/>
      <c r="VQU82" s="106"/>
      <c r="VQV82" s="9"/>
      <c r="VQW82" s="106"/>
      <c r="VQX82" s="9"/>
      <c r="VQY82" s="106"/>
      <c r="VQZ82" s="9"/>
      <c r="VRA82" s="106"/>
      <c r="VRB82" s="9"/>
      <c r="VRC82" s="106"/>
      <c r="VRD82" s="9"/>
      <c r="VRE82" s="106"/>
      <c r="VRF82" s="9"/>
      <c r="VRG82" s="106"/>
      <c r="VRH82" s="9"/>
      <c r="VRI82" s="106"/>
      <c r="VRJ82" s="9"/>
      <c r="VRK82" s="106"/>
      <c r="VRL82" s="9"/>
      <c r="VRM82" s="106"/>
      <c r="VRN82" s="9"/>
      <c r="VRO82" s="106"/>
      <c r="VRP82" s="9"/>
      <c r="VRQ82" s="106"/>
      <c r="VRR82" s="9"/>
      <c r="VRS82" s="106"/>
      <c r="VRT82" s="9"/>
      <c r="VRU82" s="106"/>
      <c r="VRV82" s="9"/>
      <c r="VRW82" s="106"/>
      <c r="VRX82" s="9"/>
      <c r="VRY82" s="106"/>
      <c r="VRZ82" s="9"/>
      <c r="VSA82" s="106"/>
      <c r="VSB82" s="9"/>
      <c r="VSC82" s="106"/>
      <c r="VSD82" s="9"/>
      <c r="VSE82" s="106"/>
      <c r="VSF82" s="9"/>
      <c r="VSG82" s="106"/>
      <c r="VSH82" s="9"/>
      <c r="VSI82" s="106"/>
      <c r="VSJ82" s="9"/>
      <c r="VSK82" s="106"/>
      <c r="VSL82" s="9"/>
      <c r="VSM82" s="106"/>
      <c r="VSN82" s="9"/>
      <c r="VSO82" s="106"/>
      <c r="VSP82" s="9"/>
      <c r="VSQ82" s="106"/>
      <c r="VSR82" s="9"/>
      <c r="VSS82" s="106"/>
      <c r="VST82" s="9"/>
      <c r="VSU82" s="106"/>
      <c r="VSV82" s="9"/>
      <c r="VSW82" s="106"/>
      <c r="VSX82" s="9"/>
      <c r="VSY82" s="106"/>
      <c r="VSZ82" s="9"/>
      <c r="VTA82" s="106"/>
      <c r="VTB82" s="9"/>
      <c r="VTC82" s="106"/>
      <c r="VTD82" s="9"/>
      <c r="VTE82" s="106"/>
      <c r="VTF82" s="9"/>
      <c r="VTG82" s="106"/>
      <c r="VTH82" s="9"/>
      <c r="VTI82" s="106"/>
      <c r="VTJ82" s="9"/>
      <c r="VTK82" s="106"/>
      <c r="VTL82" s="9"/>
      <c r="VTM82" s="106"/>
      <c r="VTN82" s="9"/>
      <c r="VTO82" s="106"/>
      <c r="VTP82" s="9"/>
      <c r="VTQ82" s="106"/>
      <c r="VTR82" s="9"/>
      <c r="VTS82" s="106"/>
      <c r="VTT82" s="9"/>
      <c r="VTU82" s="106"/>
      <c r="VTV82" s="9"/>
      <c r="VTW82" s="106"/>
      <c r="VTX82" s="9"/>
      <c r="VTY82" s="106"/>
      <c r="VTZ82" s="9"/>
      <c r="VUA82" s="106"/>
      <c r="VUB82" s="9"/>
      <c r="VUC82" s="106"/>
      <c r="VUD82" s="9"/>
      <c r="VUE82" s="106"/>
      <c r="VUF82" s="9"/>
      <c r="VUG82" s="106"/>
      <c r="VUH82" s="9"/>
      <c r="VUI82" s="106"/>
      <c r="VUJ82" s="9"/>
      <c r="VUK82" s="106"/>
      <c r="VUL82" s="9"/>
      <c r="VUM82" s="106"/>
      <c r="VUN82" s="9"/>
      <c r="VUO82" s="106"/>
      <c r="VUP82" s="9"/>
      <c r="VUQ82" s="106"/>
      <c r="VUR82" s="9"/>
      <c r="VUS82" s="106"/>
      <c r="VUT82" s="9"/>
      <c r="VUU82" s="106"/>
      <c r="VUV82" s="9"/>
      <c r="VUW82" s="106"/>
      <c r="VUX82" s="9"/>
      <c r="VUY82" s="106"/>
      <c r="VUZ82" s="9"/>
      <c r="VVA82" s="106"/>
      <c r="VVB82" s="9"/>
      <c r="VVC82" s="106"/>
      <c r="VVD82" s="9"/>
      <c r="VVE82" s="106"/>
      <c r="VVF82" s="9"/>
      <c r="VVG82" s="106"/>
      <c r="VVH82" s="9"/>
      <c r="VVI82" s="106"/>
      <c r="VVJ82" s="9"/>
      <c r="VVK82" s="106"/>
      <c r="VVL82" s="9"/>
      <c r="VVM82" s="106"/>
      <c r="VVN82" s="9"/>
      <c r="VVO82" s="106"/>
      <c r="VVP82" s="9"/>
      <c r="VVQ82" s="106"/>
      <c r="VVR82" s="9"/>
      <c r="VVS82" s="106"/>
      <c r="VVT82" s="9"/>
      <c r="VVU82" s="106"/>
      <c r="VVV82" s="9"/>
      <c r="VVW82" s="106"/>
      <c r="VVX82" s="9"/>
      <c r="VVY82" s="106"/>
      <c r="VVZ82" s="9"/>
      <c r="VWA82" s="106"/>
      <c r="VWB82" s="9"/>
      <c r="VWC82" s="106"/>
      <c r="VWD82" s="9"/>
      <c r="VWE82" s="106"/>
      <c r="VWF82" s="9"/>
      <c r="VWG82" s="106"/>
      <c r="VWH82" s="9"/>
      <c r="VWI82" s="106"/>
      <c r="VWJ82" s="9"/>
      <c r="VWK82" s="106"/>
      <c r="VWL82" s="9"/>
      <c r="VWM82" s="106"/>
      <c r="VWN82" s="9"/>
      <c r="VWO82" s="106"/>
      <c r="VWP82" s="9"/>
      <c r="VWQ82" s="106"/>
      <c r="VWR82" s="9"/>
      <c r="VWS82" s="106"/>
      <c r="VWT82" s="9"/>
      <c r="VWU82" s="106"/>
      <c r="VWV82" s="9"/>
      <c r="VWW82" s="106"/>
      <c r="VWX82" s="9"/>
      <c r="VWY82" s="106"/>
      <c r="VWZ82" s="9"/>
      <c r="VXA82" s="106"/>
      <c r="VXB82" s="9"/>
      <c r="VXC82" s="106"/>
      <c r="VXD82" s="9"/>
      <c r="VXE82" s="106"/>
      <c r="VXF82" s="9"/>
      <c r="VXG82" s="106"/>
      <c r="VXH82" s="9"/>
      <c r="VXI82" s="106"/>
      <c r="VXJ82" s="9"/>
      <c r="VXK82" s="106"/>
      <c r="VXL82" s="9"/>
      <c r="VXM82" s="106"/>
      <c r="VXN82" s="9"/>
      <c r="VXO82" s="106"/>
      <c r="VXP82" s="9"/>
      <c r="VXQ82" s="106"/>
      <c r="VXR82" s="9"/>
      <c r="VXS82" s="106"/>
      <c r="VXT82" s="9"/>
      <c r="VXU82" s="106"/>
      <c r="VXV82" s="9"/>
      <c r="VXW82" s="106"/>
      <c r="VXX82" s="9"/>
      <c r="VXY82" s="106"/>
      <c r="VXZ82" s="9"/>
      <c r="VYA82" s="106"/>
      <c r="VYB82" s="9"/>
      <c r="VYC82" s="106"/>
      <c r="VYD82" s="9"/>
      <c r="VYE82" s="106"/>
      <c r="VYF82" s="9"/>
      <c r="VYG82" s="106"/>
      <c r="VYH82" s="9"/>
      <c r="VYI82" s="106"/>
      <c r="VYJ82" s="9"/>
      <c r="VYK82" s="106"/>
      <c r="VYL82" s="9"/>
      <c r="VYM82" s="106"/>
      <c r="VYN82" s="9"/>
      <c r="VYO82" s="106"/>
      <c r="VYP82" s="9"/>
      <c r="VYQ82" s="106"/>
      <c r="VYR82" s="9"/>
      <c r="VYS82" s="106"/>
      <c r="VYT82" s="9"/>
      <c r="VYU82" s="106"/>
      <c r="VYV82" s="9"/>
      <c r="VYW82" s="106"/>
      <c r="VYX82" s="9"/>
      <c r="VYY82" s="106"/>
      <c r="VYZ82" s="9"/>
      <c r="VZA82" s="106"/>
      <c r="VZB82" s="9"/>
      <c r="VZC82" s="106"/>
      <c r="VZD82" s="9"/>
      <c r="VZE82" s="106"/>
      <c r="VZF82" s="9"/>
      <c r="VZG82" s="106"/>
      <c r="VZH82" s="9"/>
      <c r="VZI82" s="106"/>
      <c r="VZJ82" s="9"/>
      <c r="VZK82" s="106"/>
      <c r="VZL82" s="9"/>
      <c r="VZM82" s="106"/>
      <c r="VZN82" s="9"/>
      <c r="VZO82" s="106"/>
      <c r="VZP82" s="9"/>
      <c r="VZQ82" s="106"/>
      <c r="VZR82" s="9"/>
      <c r="VZS82" s="106"/>
      <c r="VZT82" s="9"/>
      <c r="VZU82" s="106"/>
      <c r="VZV82" s="9"/>
      <c r="VZW82" s="106"/>
      <c r="VZX82" s="9"/>
      <c r="VZY82" s="106"/>
      <c r="VZZ82" s="9"/>
      <c r="WAA82" s="106"/>
      <c r="WAB82" s="9"/>
      <c r="WAC82" s="106"/>
      <c r="WAD82" s="9"/>
      <c r="WAE82" s="106"/>
      <c r="WAF82" s="9"/>
      <c r="WAG82" s="106"/>
      <c r="WAH82" s="9"/>
      <c r="WAI82" s="106"/>
      <c r="WAJ82" s="9"/>
      <c r="WAK82" s="106"/>
      <c r="WAL82" s="9"/>
      <c r="WAM82" s="106"/>
      <c r="WAN82" s="9"/>
      <c r="WAO82" s="106"/>
      <c r="WAP82" s="9"/>
      <c r="WAQ82" s="106"/>
      <c r="WAR82" s="9"/>
      <c r="WAS82" s="106"/>
      <c r="WAT82" s="9"/>
      <c r="WAU82" s="106"/>
      <c r="WAV82" s="9"/>
      <c r="WAW82" s="106"/>
      <c r="WAX82" s="9"/>
      <c r="WAY82" s="106"/>
      <c r="WAZ82" s="9"/>
      <c r="WBA82" s="106"/>
      <c r="WBB82" s="9"/>
      <c r="WBC82" s="106"/>
      <c r="WBD82" s="9"/>
      <c r="WBE82" s="106"/>
      <c r="WBF82" s="9"/>
      <c r="WBG82" s="106"/>
      <c r="WBH82" s="9"/>
      <c r="WBI82" s="106"/>
      <c r="WBJ82" s="9"/>
      <c r="WBK82" s="106"/>
      <c r="WBL82" s="9"/>
      <c r="WBM82" s="106"/>
      <c r="WBN82" s="9"/>
      <c r="WBO82" s="106"/>
      <c r="WBP82" s="9"/>
      <c r="WBQ82" s="106"/>
      <c r="WBR82" s="9"/>
      <c r="WBS82" s="106"/>
      <c r="WBT82" s="9"/>
      <c r="WBU82" s="106"/>
      <c r="WBV82" s="9"/>
      <c r="WBW82" s="106"/>
      <c r="WBX82" s="9"/>
      <c r="WBY82" s="106"/>
      <c r="WBZ82" s="9"/>
      <c r="WCA82" s="106"/>
      <c r="WCB82" s="9"/>
      <c r="WCC82" s="106"/>
      <c r="WCD82" s="9"/>
      <c r="WCE82" s="106"/>
      <c r="WCF82" s="9"/>
      <c r="WCG82" s="106"/>
      <c r="WCH82" s="9"/>
      <c r="WCI82" s="106"/>
      <c r="WCJ82" s="9"/>
      <c r="WCK82" s="106"/>
      <c r="WCL82" s="9"/>
      <c r="WCM82" s="106"/>
      <c r="WCN82" s="9"/>
      <c r="WCO82" s="106"/>
      <c r="WCP82" s="9"/>
      <c r="WCQ82" s="106"/>
      <c r="WCR82" s="9"/>
      <c r="WCS82" s="106"/>
      <c r="WCT82" s="9"/>
      <c r="WCU82" s="106"/>
      <c r="WCV82" s="9"/>
      <c r="WCW82" s="106"/>
      <c r="WCX82" s="9"/>
      <c r="WCY82" s="106"/>
      <c r="WCZ82" s="9"/>
      <c r="WDA82" s="106"/>
      <c r="WDB82" s="9"/>
      <c r="WDC82" s="106"/>
      <c r="WDD82" s="9"/>
      <c r="WDE82" s="106"/>
      <c r="WDF82" s="9"/>
      <c r="WDG82" s="106"/>
      <c r="WDH82" s="9"/>
      <c r="WDI82" s="106"/>
      <c r="WDJ82" s="9"/>
      <c r="WDK82" s="106"/>
      <c r="WDL82" s="9"/>
      <c r="WDM82" s="106"/>
      <c r="WDN82" s="9"/>
      <c r="WDO82" s="106"/>
      <c r="WDP82" s="9"/>
      <c r="WDQ82" s="106"/>
      <c r="WDR82" s="9"/>
      <c r="WDS82" s="106"/>
      <c r="WDT82" s="9"/>
      <c r="WDU82" s="106"/>
      <c r="WDV82" s="9"/>
      <c r="WDW82" s="106"/>
      <c r="WDX82" s="9"/>
      <c r="WDY82" s="106"/>
      <c r="WDZ82" s="9"/>
      <c r="WEA82" s="106"/>
      <c r="WEB82" s="9"/>
      <c r="WEC82" s="106"/>
      <c r="WED82" s="9"/>
      <c r="WEE82" s="106"/>
      <c r="WEF82" s="9"/>
      <c r="WEG82" s="106"/>
      <c r="WEH82" s="9"/>
      <c r="WEI82" s="106"/>
      <c r="WEJ82" s="9"/>
      <c r="WEK82" s="106"/>
      <c r="WEL82" s="9"/>
      <c r="WEM82" s="106"/>
      <c r="WEN82" s="9"/>
      <c r="WEO82" s="106"/>
      <c r="WEP82" s="9"/>
      <c r="WEQ82" s="106"/>
      <c r="WER82" s="9"/>
      <c r="WES82" s="106"/>
      <c r="WET82" s="9"/>
      <c r="WEU82" s="106"/>
      <c r="WEV82" s="9"/>
      <c r="WEW82" s="106"/>
      <c r="WEX82" s="9"/>
      <c r="WEY82" s="106"/>
      <c r="WEZ82" s="9"/>
      <c r="WFA82" s="106"/>
      <c r="WFB82" s="9"/>
      <c r="WFC82" s="106"/>
      <c r="WFD82" s="9"/>
      <c r="WFE82" s="106"/>
      <c r="WFF82" s="9"/>
      <c r="WFG82" s="106"/>
      <c r="WFH82" s="9"/>
      <c r="WFI82" s="106"/>
      <c r="WFJ82" s="9"/>
      <c r="WFK82" s="106"/>
      <c r="WFL82" s="9"/>
      <c r="WFM82" s="106"/>
      <c r="WFN82" s="9"/>
      <c r="WFO82" s="106"/>
      <c r="WFP82" s="9"/>
      <c r="WFQ82" s="106"/>
      <c r="WFR82" s="9"/>
      <c r="WFS82" s="106"/>
      <c r="WFT82" s="9"/>
      <c r="WFU82" s="106"/>
      <c r="WFV82" s="9"/>
      <c r="WFW82" s="106"/>
      <c r="WFX82" s="9"/>
      <c r="WFY82" s="106"/>
      <c r="WFZ82" s="9"/>
      <c r="WGA82" s="106"/>
      <c r="WGB82" s="9"/>
      <c r="WGC82" s="106"/>
      <c r="WGD82" s="9"/>
      <c r="WGE82" s="106"/>
      <c r="WGF82" s="9"/>
      <c r="WGG82" s="106"/>
      <c r="WGH82" s="9"/>
      <c r="WGI82" s="106"/>
      <c r="WGJ82" s="9"/>
      <c r="WGK82" s="106"/>
      <c r="WGL82" s="9"/>
      <c r="WGM82" s="106"/>
      <c r="WGN82" s="9"/>
      <c r="WGO82" s="106"/>
      <c r="WGP82" s="9"/>
      <c r="WGQ82" s="106"/>
      <c r="WGR82" s="9"/>
      <c r="WGS82" s="106"/>
      <c r="WGT82" s="9"/>
      <c r="WGU82" s="106"/>
      <c r="WGV82" s="9"/>
      <c r="WGW82" s="106"/>
      <c r="WGX82" s="9"/>
      <c r="WGY82" s="106"/>
      <c r="WGZ82" s="9"/>
      <c r="WHA82" s="106"/>
      <c r="WHB82" s="9"/>
      <c r="WHC82" s="106"/>
      <c r="WHD82" s="9"/>
      <c r="WHE82" s="106"/>
      <c r="WHF82" s="9"/>
      <c r="WHG82" s="106"/>
      <c r="WHH82" s="9"/>
      <c r="WHI82" s="106"/>
      <c r="WHJ82" s="9"/>
      <c r="WHK82" s="106"/>
      <c r="WHL82" s="9"/>
      <c r="WHM82" s="106"/>
      <c r="WHN82" s="9"/>
      <c r="WHO82" s="106"/>
      <c r="WHP82" s="9"/>
      <c r="WHQ82" s="106"/>
      <c r="WHR82" s="9"/>
      <c r="WHS82" s="106"/>
      <c r="WHT82" s="9"/>
      <c r="WHU82" s="106"/>
      <c r="WHV82" s="9"/>
      <c r="WHW82" s="106"/>
      <c r="WHX82" s="9"/>
      <c r="WHY82" s="106"/>
      <c r="WHZ82" s="9"/>
      <c r="WIA82" s="106"/>
      <c r="WIB82" s="9"/>
      <c r="WIC82" s="106"/>
      <c r="WID82" s="9"/>
      <c r="WIE82" s="106"/>
      <c r="WIF82" s="9"/>
      <c r="WIG82" s="106"/>
      <c r="WIH82" s="9"/>
      <c r="WII82" s="106"/>
      <c r="WIJ82" s="9"/>
      <c r="WIK82" s="106"/>
      <c r="WIL82" s="9"/>
      <c r="WIM82" s="106"/>
      <c r="WIN82" s="9"/>
      <c r="WIO82" s="106"/>
      <c r="WIP82" s="9"/>
      <c r="WIQ82" s="106"/>
      <c r="WIR82" s="9"/>
      <c r="WIS82" s="106"/>
      <c r="WIT82" s="9"/>
      <c r="WIU82" s="106"/>
      <c r="WIV82" s="9"/>
      <c r="WIW82" s="106"/>
      <c r="WIX82" s="9"/>
      <c r="WIY82" s="106"/>
      <c r="WIZ82" s="9"/>
      <c r="WJA82" s="106"/>
      <c r="WJB82" s="9"/>
      <c r="WJC82" s="106"/>
      <c r="WJD82" s="9"/>
      <c r="WJE82" s="106"/>
      <c r="WJF82" s="9"/>
      <c r="WJG82" s="106"/>
      <c r="WJH82" s="9"/>
      <c r="WJI82" s="106"/>
      <c r="WJJ82" s="9"/>
      <c r="WJK82" s="106"/>
      <c r="WJL82" s="9"/>
      <c r="WJM82" s="106"/>
      <c r="WJN82" s="9"/>
      <c r="WJO82" s="106"/>
      <c r="WJP82" s="9"/>
      <c r="WJQ82" s="106"/>
      <c r="WJR82" s="9"/>
      <c r="WJS82" s="106"/>
      <c r="WJT82" s="9"/>
      <c r="WJU82" s="106"/>
      <c r="WJV82" s="9"/>
      <c r="WJW82" s="106"/>
      <c r="WJX82" s="9"/>
      <c r="WJY82" s="106"/>
      <c r="WJZ82" s="9"/>
      <c r="WKA82" s="106"/>
      <c r="WKB82" s="9"/>
      <c r="WKC82" s="106"/>
      <c r="WKD82" s="9"/>
      <c r="WKE82" s="106"/>
      <c r="WKF82" s="9"/>
      <c r="WKG82" s="106"/>
      <c r="WKH82" s="9"/>
      <c r="WKI82" s="106"/>
      <c r="WKJ82" s="9"/>
      <c r="WKK82" s="106"/>
      <c r="WKL82" s="9"/>
      <c r="WKM82" s="106"/>
      <c r="WKN82" s="9"/>
      <c r="WKO82" s="106"/>
      <c r="WKP82" s="9"/>
      <c r="WKQ82" s="106"/>
      <c r="WKR82" s="9"/>
      <c r="WKS82" s="106"/>
      <c r="WKT82" s="9"/>
      <c r="WKU82" s="106"/>
      <c r="WKV82" s="9"/>
      <c r="WKW82" s="106"/>
      <c r="WKX82" s="9"/>
      <c r="WKY82" s="106"/>
      <c r="WKZ82" s="9"/>
      <c r="WLA82" s="106"/>
      <c r="WLB82" s="9"/>
      <c r="WLC82" s="106"/>
      <c r="WLD82" s="9"/>
      <c r="WLE82" s="106"/>
      <c r="WLF82" s="9"/>
      <c r="WLG82" s="106"/>
      <c r="WLH82" s="9"/>
      <c r="WLI82" s="106"/>
      <c r="WLJ82" s="9"/>
      <c r="WLK82" s="106"/>
      <c r="WLL82" s="9"/>
      <c r="WLM82" s="106"/>
      <c r="WLN82" s="9"/>
      <c r="WLO82" s="106"/>
      <c r="WLP82" s="9"/>
      <c r="WLQ82" s="106"/>
      <c r="WLR82" s="9"/>
      <c r="WLS82" s="106"/>
      <c r="WLT82" s="9"/>
      <c r="WLU82" s="106"/>
      <c r="WLV82" s="9"/>
      <c r="WLW82" s="106"/>
      <c r="WLX82" s="9"/>
      <c r="WLY82" s="106"/>
      <c r="WLZ82" s="9"/>
      <c r="WMA82" s="106"/>
      <c r="WMB82" s="9"/>
      <c r="WMC82" s="106"/>
      <c r="WMD82" s="9"/>
      <c r="WME82" s="106"/>
      <c r="WMF82" s="9"/>
      <c r="WMG82" s="106"/>
      <c r="WMH82" s="9"/>
      <c r="WMI82" s="106"/>
      <c r="WMJ82" s="9"/>
      <c r="WMK82" s="106"/>
      <c r="WML82" s="9"/>
      <c r="WMM82" s="106"/>
      <c r="WMN82" s="9"/>
      <c r="WMO82" s="106"/>
      <c r="WMP82" s="9"/>
      <c r="WMQ82" s="106"/>
      <c r="WMR82" s="9"/>
      <c r="WMS82" s="106"/>
      <c r="WMT82" s="9"/>
      <c r="WMU82" s="106"/>
      <c r="WMV82" s="9"/>
      <c r="WMW82" s="106"/>
      <c r="WMX82" s="9"/>
      <c r="WMY82" s="106"/>
      <c r="WMZ82" s="9"/>
      <c r="WNA82" s="106"/>
      <c r="WNB82" s="9"/>
      <c r="WNC82" s="106"/>
      <c r="WND82" s="9"/>
      <c r="WNE82" s="106"/>
      <c r="WNF82" s="9"/>
      <c r="WNG82" s="106"/>
      <c r="WNH82" s="9"/>
      <c r="WNI82" s="106"/>
      <c r="WNJ82" s="9"/>
      <c r="WNK82" s="106"/>
      <c r="WNL82" s="9"/>
      <c r="WNM82" s="106"/>
      <c r="WNN82" s="9"/>
      <c r="WNO82" s="106"/>
      <c r="WNP82" s="9"/>
      <c r="WNQ82" s="106"/>
      <c r="WNR82" s="9"/>
      <c r="WNS82" s="106"/>
      <c r="WNT82" s="9"/>
      <c r="WNU82" s="106"/>
      <c r="WNV82" s="9"/>
      <c r="WNW82" s="106"/>
      <c r="WNX82" s="9"/>
      <c r="WNY82" s="106"/>
      <c r="WNZ82" s="9"/>
      <c r="WOA82" s="106"/>
      <c r="WOB82" s="9"/>
      <c r="WOC82" s="106"/>
      <c r="WOD82" s="9"/>
      <c r="WOE82" s="106"/>
      <c r="WOF82" s="9"/>
      <c r="WOG82" s="106"/>
      <c r="WOH82" s="9"/>
      <c r="WOI82" s="106"/>
      <c r="WOJ82" s="9"/>
      <c r="WOK82" s="106"/>
      <c r="WOL82" s="9"/>
      <c r="WOM82" s="106"/>
      <c r="WON82" s="9"/>
      <c r="WOO82" s="106"/>
      <c r="WOP82" s="9"/>
      <c r="WOQ82" s="106"/>
      <c r="WOR82" s="9"/>
      <c r="WOS82" s="106"/>
      <c r="WOT82" s="9"/>
      <c r="WOU82" s="106"/>
      <c r="WOV82" s="9"/>
      <c r="WOW82" s="106"/>
      <c r="WOX82" s="9"/>
      <c r="WOY82" s="106"/>
      <c r="WOZ82" s="9"/>
      <c r="WPA82" s="106"/>
      <c r="WPB82" s="9"/>
      <c r="WPC82" s="106"/>
      <c r="WPD82" s="9"/>
      <c r="WPE82" s="106"/>
      <c r="WPF82" s="9"/>
      <c r="WPG82" s="106"/>
      <c r="WPH82" s="9"/>
      <c r="WPI82" s="106"/>
      <c r="WPJ82" s="9"/>
      <c r="WPK82" s="106"/>
      <c r="WPL82" s="9"/>
      <c r="WPM82" s="106"/>
      <c r="WPN82" s="9"/>
      <c r="WPO82" s="106"/>
      <c r="WPP82" s="9"/>
      <c r="WPQ82" s="106"/>
      <c r="WPR82" s="9"/>
      <c r="WPS82" s="106"/>
      <c r="WPT82" s="9"/>
      <c r="WPU82" s="106"/>
      <c r="WPV82" s="9"/>
      <c r="WPW82" s="106"/>
      <c r="WPX82" s="9"/>
      <c r="WPY82" s="106"/>
      <c r="WPZ82" s="9"/>
      <c r="WQA82" s="106"/>
      <c r="WQB82" s="9"/>
      <c r="WQC82" s="106"/>
      <c r="WQD82" s="9"/>
      <c r="WQE82" s="106"/>
      <c r="WQF82" s="9"/>
      <c r="WQG82" s="106"/>
      <c r="WQH82" s="9"/>
      <c r="WQI82" s="106"/>
      <c r="WQJ82" s="9"/>
      <c r="WQK82" s="106"/>
      <c r="WQL82" s="9"/>
      <c r="WQM82" s="106"/>
      <c r="WQN82" s="9"/>
      <c r="WQO82" s="106"/>
      <c r="WQP82" s="9"/>
      <c r="WQQ82" s="106"/>
      <c r="WQR82" s="9"/>
      <c r="WQS82" s="106"/>
      <c r="WQT82" s="9"/>
      <c r="WQU82" s="106"/>
      <c r="WQV82" s="9"/>
      <c r="WQW82" s="106"/>
      <c r="WQX82" s="9"/>
      <c r="WQY82" s="106"/>
      <c r="WQZ82" s="9"/>
      <c r="WRA82" s="106"/>
      <c r="WRB82" s="9"/>
      <c r="WRC82" s="106"/>
      <c r="WRD82" s="9"/>
      <c r="WRE82" s="106"/>
      <c r="WRF82" s="9"/>
      <c r="WRG82" s="106"/>
      <c r="WRH82" s="9"/>
      <c r="WRI82" s="106"/>
      <c r="WRJ82" s="9"/>
      <c r="WRK82" s="106"/>
      <c r="WRL82" s="9"/>
      <c r="WRM82" s="106"/>
      <c r="WRN82" s="9"/>
      <c r="WRO82" s="106"/>
      <c r="WRP82" s="9"/>
      <c r="WRQ82" s="106"/>
      <c r="WRR82" s="9"/>
      <c r="WRS82" s="106"/>
      <c r="WRT82" s="9"/>
      <c r="WRU82" s="106"/>
      <c r="WRV82" s="9"/>
      <c r="WRW82" s="106"/>
      <c r="WRX82" s="9"/>
      <c r="WRY82" s="106"/>
      <c r="WRZ82" s="9"/>
      <c r="WSA82" s="106"/>
      <c r="WSB82" s="9"/>
      <c r="WSC82" s="106"/>
      <c r="WSD82" s="9"/>
      <c r="WSE82" s="106"/>
      <c r="WSF82" s="9"/>
      <c r="WSG82" s="106"/>
      <c r="WSH82" s="9"/>
      <c r="WSI82" s="106"/>
      <c r="WSJ82" s="9"/>
      <c r="WSK82" s="106"/>
      <c r="WSL82" s="9"/>
      <c r="WSM82" s="106"/>
      <c r="WSN82" s="9"/>
      <c r="WSO82" s="106"/>
      <c r="WSP82" s="9"/>
      <c r="WSQ82" s="106"/>
      <c r="WSR82" s="9"/>
      <c r="WSS82" s="106"/>
      <c r="WST82" s="9"/>
      <c r="WSU82" s="106"/>
      <c r="WSV82" s="9"/>
      <c r="WSW82" s="106"/>
      <c r="WSX82" s="9"/>
      <c r="WSY82" s="106"/>
      <c r="WSZ82" s="9"/>
      <c r="WTA82" s="106"/>
      <c r="WTB82" s="9"/>
      <c r="WTC82" s="106"/>
      <c r="WTD82" s="9"/>
      <c r="WTE82" s="106"/>
      <c r="WTF82" s="9"/>
      <c r="WTG82" s="106"/>
      <c r="WTH82" s="9"/>
      <c r="WTI82" s="106"/>
      <c r="WTJ82" s="9"/>
      <c r="WTK82" s="106"/>
      <c r="WTL82" s="9"/>
      <c r="WTM82" s="106"/>
      <c r="WTN82" s="9"/>
      <c r="WTO82" s="106"/>
      <c r="WTP82" s="9"/>
      <c r="WTQ82" s="106"/>
      <c r="WTR82" s="9"/>
      <c r="WTS82" s="106"/>
      <c r="WTT82" s="9"/>
      <c r="WTU82" s="106"/>
      <c r="WTV82" s="9"/>
      <c r="WTW82" s="106"/>
      <c r="WTX82" s="9"/>
      <c r="WTY82" s="106"/>
      <c r="WTZ82" s="9"/>
      <c r="WUA82" s="106"/>
      <c r="WUB82" s="9"/>
      <c r="WUC82" s="106"/>
      <c r="WUD82" s="9"/>
      <c r="WUE82" s="106"/>
      <c r="WUF82" s="9"/>
      <c r="WUG82" s="106"/>
      <c r="WUH82" s="9"/>
      <c r="WUI82" s="106"/>
      <c r="WUJ82" s="9"/>
      <c r="WUK82" s="106"/>
      <c r="WUL82" s="9"/>
      <c r="WUM82" s="106"/>
      <c r="WUN82" s="9"/>
      <c r="WUO82" s="106"/>
      <c r="WUP82" s="9"/>
      <c r="WUQ82" s="106"/>
      <c r="WUR82" s="9"/>
      <c r="WUS82" s="106"/>
      <c r="WUT82" s="9"/>
      <c r="WUU82" s="106"/>
      <c r="WUV82" s="9"/>
      <c r="WUW82" s="106"/>
      <c r="WUX82" s="9"/>
      <c r="WUY82" s="106"/>
      <c r="WUZ82" s="9"/>
      <c r="WVA82" s="106"/>
      <c r="WVB82" s="9"/>
      <c r="WVC82" s="106"/>
      <c r="WVD82" s="9"/>
      <c r="WVE82" s="106"/>
      <c r="WVF82" s="9"/>
      <c r="WVG82" s="106"/>
      <c r="WVH82" s="9"/>
      <c r="WVI82" s="106"/>
      <c r="WVJ82" s="9"/>
      <c r="WVK82" s="106"/>
      <c r="WVL82" s="9"/>
      <c r="WVM82" s="106"/>
      <c r="WVN82" s="9"/>
      <c r="WVO82" s="106"/>
      <c r="WVP82" s="9"/>
      <c r="WVQ82" s="106"/>
      <c r="WVR82" s="9"/>
      <c r="WVS82" s="106"/>
      <c r="WVT82" s="9"/>
      <c r="WVU82" s="106"/>
      <c r="WVV82" s="9"/>
      <c r="WVW82" s="106"/>
      <c r="WVX82" s="9"/>
      <c r="WVY82" s="106"/>
      <c r="WVZ82" s="9"/>
      <c r="WWA82" s="106"/>
      <c r="WWB82" s="9"/>
      <c r="WWC82" s="106"/>
      <c r="WWD82" s="9"/>
      <c r="WWE82" s="106"/>
      <c r="WWF82" s="9"/>
      <c r="WWG82" s="106"/>
      <c r="WWH82" s="9"/>
      <c r="WWI82" s="106"/>
      <c r="WWJ82" s="9"/>
      <c r="WWK82" s="106"/>
      <c r="WWL82" s="9"/>
      <c r="WWM82" s="106"/>
      <c r="WWN82" s="9"/>
      <c r="WWO82" s="106"/>
      <c r="WWP82" s="9"/>
      <c r="WWQ82" s="106"/>
      <c r="WWR82" s="9"/>
      <c r="WWS82" s="106"/>
      <c r="WWT82" s="9"/>
      <c r="WWU82" s="106"/>
      <c r="WWV82" s="9"/>
      <c r="WWW82" s="106"/>
      <c r="WWX82" s="9"/>
      <c r="WWY82" s="106"/>
      <c r="WWZ82" s="9"/>
      <c r="WXA82" s="106"/>
      <c r="WXB82" s="9"/>
      <c r="WXC82" s="106"/>
      <c r="WXD82" s="9"/>
      <c r="WXE82" s="106"/>
      <c r="WXF82" s="9"/>
      <c r="WXG82" s="106"/>
      <c r="WXH82" s="9"/>
      <c r="WXI82" s="106"/>
      <c r="WXJ82" s="9"/>
      <c r="WXK82" s="106"/>
      <c r="WXL82" s="9"/>
      <c r="WXM82" s="106"/>
      <c r="WXN82" s="9"/>
      <c r="WXO82" s="106"/>
      <c r="WXP82" s="9"/>
      <c r="WXQ82" s="106"/>
      <c r="WXR82" s="9"/>
      <c r="WXS82" s="106"/>
      <c r="WXT82" s="9"/>
      <c r="WXU82" s="106"/>
      <c r="WXV82" s="9"/>
      <c r="WXW82" s="106"/>
      <c r="WXX82" s="9"/>
      <c r="WXY82" s="106"/>
      <c r="WXZ82" s="9"/>
      <c r="WYA82" s="106"/>
      <c r="WYB82" s="9"/>
      <c r="WYC82" s="106"/>
      <c r="WYD82" s="9"/>
      <c r="WYE82" s="106"/>
      <c r="WYF82" s="9"/>
      <c r="WYG82" s="106"/>
      <c r="WYH82" s="9"/>
      <c r="WYI82" s="106"/>
      <c r="WYJ82" s="9"/>
      <c r="WYK82" s="106"/>
      <c r="WYL82" s="9"/>
      <c r="WYM82" s="106"/>
      <c r="WYN82" s="9"/>
      <c r="WYO82" s="106"/>
      <c r="WYP82" s="9"/>
      <c r="WYQ82" s="106"/>
      <c r="WYR82" s="9"/>
      <c r="WYS82" s="106"/>
      <c r="WYT82" s="9"/>
      <c r="WYU82" s="106"/>
      <c r="WYV82" s="9"/>
      <c r="WYW82" s="106"/>
      <c r="WYX82" s="9"/>
      <c r="WYY82" s="106"/>
      <c r="WYZ82" s="9"/>
      <c r="WZA82" s="106"/>
      <c r="WZB82" s="9"/>
      <c r="WZC82" s="106"/>
      <c r="WZD82" s="9"/>
      <c r="WZE82" s="106"/>
      <c r="WZF82" s="9"/>
      <c r="WZG82" s="106"/>
      <c r="WZH82" s="9"/>
      <c r="WZI82" s="106"/>
      <c r="WZJ82" s="9"/>
      <c r="WZK82" s="106"/>
      <c r="WZL82" s="9"/>
      <c r="WZM82" s="106"/>
      <c r="WZN82" s="9"/>
      <c r="WZO82" s="106"/>
      <c r="WZP82" s="9"/>
      <c r="WZQ82" s="106"/>
      <c r="WZR82" s="9"/>
      <c r="WZS82" s="106"/>
      <c r="WZT82" s="9"/>
      <c r="WZU82" s="106"/>
      <c r="WZV82" s="9"/>
      <c r="WZW82" s="106"/>
      <c r="WZX82" s="9"/>
      <c r="WZY82" s="106"/>
      <c r="WZZ82" s="9"/>
      <c r="XAA82" s="106"/>
      <c r="XAB82" s="9"/>
      <c r="XAC82" s="106"/>
      <c r="XAD82" s="9"/>
      <c r="XAE82" s="106"/>
      <c r="XAF82" s="9"/>
      <c r="XAG82" s="106"/>
      <c r="XAH82" s="9"/>
      <c r="XAI82" s="106"/>
      <c r="XAJ82" s="9"/>
      <c r="XAK82" s="106"/>
      <c r="XAL82" s="9"/>
      <c r="XAM82" s="106"/>
      <c r="XAN82" s="9"/>
      <c r="XAO82" s="106"/>
      <c r="XAP82" s="9"/>
      <c r="XAQ82" s="106"/>
      <c r="XAR82" s="9"/>
      <c r="XAS82" s="106"/>
      <c r="XAT82" s="9"/>
      <c r="XAU82" s="106"/>
      <c r="XAV82" s="9"/>
      <c r="XAW82" s="106"/>
      <c r="XAX82" s="9"/>
      <c r="XAY82" s="106"/>
      <c r="XAZ82" s="9"/>
      <c r="XBA82" s="106"/>
      <c r="XBB82" s="9"/>
      <c r="XBC82" s="106"/>
      <c r="XBD82" s="9"/>
      <c r="XBE82" s="106"/>
      <c r="XBF82" s="9"/>
      <c r="XBG82" s="106"/>
      <c r="XBH82" s="9"/>
      <c r="XBI82" s="106"/>
      <c r="XBJ82" s="9"/>
      <c r="XBK82" s="106"/>
      <c r="XBL82" s="9"/>
      <c r="XBM82" s="106"/>
      <c r="XBN82" s="9"/>
      <c r="XBO82" s="106"/>
      <c r="XBP82" s="9"/>
      <c r="XBQ82" s="106"/>
      <c r="XBR82" s="9"/>
      <c r="XBS82" s="106"/>
      <c r="XBT82" s="9"/>
      <c r="XBU82" s="106"/>
      <c r="XBV82" s="9"/>
      <c r="XBW82" s="106"/>
      <c r="XBX82" s="9"/>
      <c r="XBY82" s="106"/>
      <c r="XBZ82" s="9"/>
      <c r="XCA82" s="106"/>
      <c r="XCB82" s="9"/>
      <c r="XCC82" s="106"/>
      <c r="XCD82" s="9"/>
      <c r="XCE82" s="106"/>
      <c r="XCF82" s="9"/>
      <c r="XCG82" s="106"/>
      <c r="XCH82" s="9"/>
      <c r="XCI82" s="106"/>
      <c r="XCJ82" s="9"/>
      <c r="XCK82" s="106"/>
      <c r="XCL82" s="9"/>
      <c r="XCM82" s="106"/>
      <c r="XCN82" s="9"/>
      <c r="XCO82" s="106"/>
      <c r="XCP82" s="9"/>
      <c r="XCQ82" s="106"/>
      <c r="XCR82" s="9"/>
      <c r="XCS82" s="106"/>
      <c r="XCT82" s="9"/>
      <c r="XCU82" s="106"/>
      <c r="XCV82" s="9"/>
      <c r="XCW82" s="106"/>
      <c r="XCX82" s="9"/>
      <c r="XCY82" s="106"/>
      <c r="XCZ82" s="9"/>
      <c r="XDA82" s="106"/>
      <c r="XDB82" s="9"/>
      <c r="XDC82" s="106"/>
      <c r="XDD82" s="9"/>
      <c r="XDE82" s="106"/>
      <c r="XDF82" s="9"/>
      <c r="XDG82" s="106"/>
      <c r="XDH82" s="9"/>
      <c r="XDI82" s="106"/>
      <c r="XDJ82" s="9"/>
      <c r="XDK82" s="106"/>
      <c r="XDL82" s="9"/>
      <c r="XDM82" s="106"/>
      <c r="XDN82" s="9"/>
      <c r="XDO82" s="106"/>
      <c r="XDP82" s="9"/>
      <c r="XDQ82" s="106"/>
      <c r="XDR82" s="9"/>
      <c r="XDS82" s="106"/>
      <c r="XDT82" s="9"/>
      <c r="XDU82" s="106"/>
      <c r="XDV82" s="9"/>
      <c r="XDW82" s="106"/>
      <c r="XDX82" s="9"/>
      <c r="XDY82" s="106"/>
      <c r="XDZ82" s="9"/>
      <c r="XEA82" s="106"/>
      <c r="XEB82" s="9"/>
      <c r="XEC82" s="106"/>
      <c r="XED82" s="9"/>
      <c r="XEE82" s="106"/>
      <c r="XEF82" s="9"/>
      <c r="XEG82" s="106"/>
      <c r="XEH82" s="9"/>
      <c r="XEI82" s="106"/>
      <c r="XEJ82" s="9"/>
      <c r="XEK82" s="106"/>
      <c r="XEL82" s="9"/>
      <c r="XEM82" s="106"/>
      <c r="XEN82" s="9"/>
      <c r="XEO82" s="106"/>
      <c r="XEP82" s="9"/>
      <c r="XEQ82" s="106"/>
      <c r="XER82" s="9"/>
      <c r="XES82" s="106"/>
      <c r="XET82" s="9"/>
      <c r="XEU82" s="106"/>
      <c r="XEV82" s="9"/>
      <c r="XEW82" s="106"/>
      <c r="XEX82" s="9"/>
      <c r="XEY82" s="106"/>
      <c r="XEZ82" s="9"/>
      <c r="XFA82" s="106"/>
      <c r="XFB82" s="9"/>
    </row>
    <row r="83" spans="1:16382" ht="12" customHeight="1">
      <c r="A83" s="8"/>
      <c r="B83" s="9"/>
    </row>
    <row r="84" spans="1:16382" ht="12" customHeight="1">
      <c r="A84" s="8"/>
      <c r="B84" s="9"/>
    </row>
    <row r="85" spans="1:16382" ht="12" customHeight="1">
      <c r="A85" s="8"/>
      <c r="B85" s="9"/>
    </row>
    <row r="86" spans="1:16382" ht="12" customHeight="1">
      <c r="A86" s="8"/>
      <c r="B86" s="9"/>
    </row>
    <row r="87" spans="1:16382" ht="12" customHeight="1">
      <c r="A87" s="8"/>
      <c r="B87" s="9"/>
    </row>
    <row r="88" spans="1:16382" ht="12" customHeight="1">
      <c r="A88" s="8"/>
      <c r="B88" s="9"/>
    </row>
    <row r="89" spans="1:16382" ht="12" customHeight="1">
      <c r="A89" s="8"/>
      <c r="B89" s="9"/>
    </row>
    <row r="90" spans="1:16382" ht="12" customHeight="1">
      <c r="A90" s="8"/>
      <c r="B90" s="9"/>
    </row>
    <row r="91" spans="1:16382" ht="12" customHeight="1">
      <c r="A91" s="8"/>
      <c r="B91" s="9"/>
    </row>
    <row r="92" spans="1:16382" ht="12" customHeight="1">
      <c r="A92" s="8"/>
      <c r="B92" s="9"/>
    </row>
    <row r="93" spans="1:16382" ht="12" customHeight="1">
      <c r="A93" s="8"/>
      <c r="B93" s="9"/>
    </row>
    <row r="94" spans="1:16382" ht="12" customHeight="1">
      <c r="A94" s="8"/>
      <c r="B94" s="9"/>
    </row>
    <row r="95" spans="1:16382" ht="12" customHeight="1">
      <c r="A95" s="8"/>
      <c r="B95" s="9"/>
    </row>
    <row r="96" spans="1:16382" ht="12" customHeight="1">
      <c r="A96" s="8"/>
      <c r="B96" s="9"/>
    </row>
    <row r="97" spans="1:3" ht="12" customHeight="1">
      <c r="A97" s="8"/>
      <c r="B97" s="9"/>
    </row>
    <row r="98" spans="1:3" ht="12" customHeight="1">
      <c r="A98" s="8"/>
      <c r="B98" s="9"/>
    </row>
    <row r="99" spans="1:3" s="83" customFormat="1" ht="12" customHeight="1">
      <c r="A99" s="8"/>
      <c r="B99" s="9"/>
      <c r="C99" s="4"/>
    </row>
    <row r="100" spans="1:3" s="83" customFormat="1" ht="12" customHeight="1">
      <c r="A100" s="8"/>
      <c r="B100" s="9"/>
      <c r="C100" s="4"/>
    </row>
    <row r="101" spans="1:3" s="83" customFormat="1" ht="12" customHeight="1">
      <c r="A101" s="8"/>
      <c r="B101" s="9"/>
      <c r="C101" s="4"/>
    </row>
    <row r="102" spans="1:3" s="83" customFormat="1" ht="12" customHeight="1">
      <c r="A102" s="8"/>
      <c r="B102" s="9"/>
      <c r="C102" s="4"/>
    </row>
    <row r="103" spans="1:3" ht="12" customHeight="1">
      <c r="A103" s="8"/>
      <c r="B103" s="9"/>
    </row>
    <row r="104" spans="1:3" ht="12" customHeight="1">
      <c r="A104" s="8"/>
      <c r="B104" s="9"/>
    </row>
    <row r="105" spans="1:3" ht="12" customHeight="1">
      <c r="A105" s="8"/>
      <c r="B105" s="9"/>
    </row>
    <row r="106" spans="1:3" ht="12" customHeight="1">
      <c r="A106" s="8"/>
      <c r="B106" s="9"/>
    </row>
    <row r="107" spans="1:3" ht="12" customHeight="1">
      <c r="A107" s="8"/>
      <c r="B107" s="9"/>
    </row>
    <row r="108" spans="1:3" ht="12" customHeight="1">
      <c r="A108" s="8"/>
      <c r="B108" s="9"/>
    </row>
    <row r="109" spans="1:3" ht="12" customHeight="1">
      <c r="A109" s="8"/>
      <c r="B109" s="9"/>
    </row>
    <row r="110" spans="1:3" ht="12" customHeight="1">
      <c r="A110" s="8"/>
      <c r="B110" s="9"/>
    </row>
    <row r="111" spans="1:3" ht="12" customHeight="1">
      <c r="A111" s="8"/>
      <c r="B111" s="9"/>
    </row>
    <row r="112" spans="1:3" ht="12" customHeight="1">
      <c r="A112" s="8"/>
      <c r="B112" s="9"/>
    </row>
    <row r="113" spans="1:2" ht="12" customHeight="1">
      <c r="A113" s="8"/>
      <c r="B113" s="9"/>
    </row>
    <row r="114" spans="1:2" ht="12" customHeight="1">
      <c r="A114" s="8"/>
      <c r="B114" s="9"/>
    </row>
    <row r="115" spans="1:2" ht="12" customHeight="1">
      <c r="A115" s="8"/>
      <c r="B115" s="9"/>
    </row>
    <row r="116" spans="1:2" ht="12" customHeight="1">
      <c r="A116" s="8"/>
      <c r="B116" s="9"/>
    </row>
    <row r="117" spans="1:2" ht="12" customHeight="1">
      <c r="A117" s="8"/>
      <c r="B117" s="9"/>
    </row>
    <row r="118" spans="1:2" ht="12" customHeight="1">
      <c r="A118" s="8"/>
      <c r="B118" s="9"/>
    </row>
    <row r="119" spans="1:2" ht="12" customHeight="1">
      <c r="A119" s="8"/>
      <c r="B119" s="9"/>
    </row>
    <row r="120" spans="1:2" ht="12" customHeight="1">
      <c r="A120" s="8"/>
      <c r="B120" s="9"/>
    </row>
    <row r="121" spans="1:2" ht="12" customHeight="1">
      <c r="A121" s="8"/>
      <c r="B121" s="9"/>
    </row>
    <row r="122" spans="1:2" ht="12" customHeight="1">
      <c r="A122" s="8"/>
      <c r="B122" s="9"/>
    </row>
    <row r="123" spans="1:2" ht="12" customHeight="1">
      <c r="A123" s="8"/>
      <c r="B123" s="9"/>
    </row>
    <row r="124" spans="1:2" ht="12" customHeight="1">
      <c r="A124" s="8"/>
      <c r="B124" s="9"/>
    </row>
    <row r="125" spans="1:2" ht="12" customHeight="1">
      <c r="A125" s="8"/>
      <c r="B125" s="9"/>
    </row>
    <row r="126" spans="1:2" ht="12" customHeight="1">
      <c r="A126" s="8"/>
      <c r="B126" s="9"/>
    </row>
    <row r="127" spans="1:2" ht="12" customHeight="1">
      <c r="A127" s="8"/>
      <c r="B127" s="9"/>
    </row>
    <row r="128" spans="1:2" ht="12" customHeight="1">
      <c r="A128" s="8"/>
      <c r="B128" s="54"/>
    </row>
    <row r="129" spans="1:16382" ht="12" customHeight="1">
      <c r="A129" s="8"/>
      <c r="B129" s="54"/>
    </row>
    <row r="130" spans="1:16382" ht="12" customHeight="1">
      <c r="A130" s="8"/>
      <c r="B130" s="54"/>
    </row>
    <row r="131" spans="1:16382" ht="12" customHeight="1">
      <c r="A131" s="8"/>
      <c r="B131" s="54"/>
    </row>
    <row r="132" spans="1:16382" ht="12" customHeight="1">
      <c r="A132" s="8"/>
      <c r="B132" s="54"/>
    </row>
    <row r="133" spans="1:16382" ht="12" customHeight="1">
      <c r="A133" s="8"/>
      <c r="B133" s="54"/>
    </row>
    <row r="134" spans="1:16382" ht="12" customHeight="1">
      <c r="A134" s="8"/>
      <c r="B134" s="54"/>
    </row>
    <row r="135" spans="1:16382" ht="12" customHeight="1">
      <c r="A135" s="8"/>
      <c r="B135" s="54"/>
    </row>
    <row r="136" spans="1:16382" ht="12" customHeight="1">
      <c r="A136" s="8"/>
      <c r="B136" s="54"/>
      <c r="C136" s="8"/>
      <c r="D136" s="54"/>
      <c r="E136" s="8"/>
      <c r="F136" s="54"/>
      <c r="G136" s="8"/>
      <c r="H136" s="54"/>
      <c r="I136" s="8"/>
      <c r="J136" s="54"/>
      <c r="K136" s="8"/>
      <c r="L136" s="54"/>
      <c r="M136" s="8"/>
      <c r="N136" s="54"/>
      <c r="O136" s="8"/>
      <c r="P136" s="54"/>
      <c r="Q136" s="8"/>
      <c r="R136" s="54"/>
      <c r="S136" s="8"/>
      <c r="T136" s="54"/>
      <c r="U136" s="8"/>
      <c r="V136" s="54"/>
      <c r="W136" s="8"/>
      <c r="X136" s="54"/>
      <c r="Y136" s="8"/>
      <c r="Z136" s="54"/>
      <c r="AA136" s="8"/>
      <c r="AB136" s="54"/>
      <c r="AC136" s="8"/>
      <c r="AD136" s="54"/>
      <c r="AE136" s="8"/>
      <c r="AF136" s="54"/>
      <c r="AG136" s="8"/>
      <c r="AH136" s="54"/>
      <c r="AI136" s="8"/>
      <c r="AJ136" s="54"/>
      <c r="AK136" s="8"/>
      <c r="AL136" s="54"/>
      <c r="AM136" s="8"/>
      <c r="AN136" s="54"/>
      <c r="AO136" s="8"/>
      <c r="AP136" s="54"/>
      <c r="AQ136" s="8"/>
      <c r="AR136" s="54"/>
      <c r="AS136" s="8"/>
      <c r="AT136" s="54"/>
      <c r="AU136" s="8"/>
      <c r="AV136" s="54"/>
      <c r="AW136" s="8"/>
      <c r="AX136" s="54"/>
      <c r="AY136" s="8"/>
      <c r="AZ136" s="54"/>
      <c r="BA136" s="8"/>
      <c r="BB136" s="54"/>
      <c r="BC136" s="8"/>
      <c r="BD136" s="54"/>
      <c r="BE136" s="8"/>
      <c r="BF136" s="54"/>
      <c r="BG136" s="8"/>
      <c r="BH136" s="54"/>
      <c r="BI136" s="8"/>
      <c r="BJ136" s="54"/>
      <c r="BK136" s="8"/>
      <c r="BL136" s="54"/>
      <c r="BM136" s="8"/>
      <c r="BN136" s="54"/>
      <c r="BO136" s="8"/>
      <c r="BP136" s="54"/>
      <c r="BQ136" s="8"/>
      <c r="BR136" s="54"/>
      <c r="BS136" s="8"/>
      <c r="BT136" s="54"/>
      <c r="BU136" s="8"/>
      <c r="BV136" s="54"/>
      <c r="BW136" s="8"/>
      <c r="BX136" s="54"/>
      <c r="BY136" s="8"/>
      <c r="BZ136" s="54"/>
      <c r="CA136" s="8"/>
      <c r="CB136" s="54"/>
      <c r="CC136" s="8"/>
      <c r="CD136" s="54"/>
      <c r="CE136" s="8"/>
      <c r="CF136" s="54"/>
      <c r="CG136" s="8"/>
      <c r="CH136" s="54"/>
      <c r="CI136" s="8"/>
      <c r="CJ136" s="54"/>
      <c r="CK136" s="8"/>
      <c r="CL136" s="54"/>
      <c r="CM136" s="8"/>
      <c r="CN136" s="54"/>
      <c r="CO136" s="8"/>
      <c r="CP136" s="54"/>
      <c r="CQ136" s="8"/>
      <c r="CR136" s="54"/>
      <c r="CS136" s="8"/>
      <c r="CT136" s="54"/>
      <c r="CU136" s="8"/>
      <c r="CV136" s="54"/>
      <c r="CW136" s="8"/>
      <c r="CX136" s="54"/>
      <c r="CY136" s="8"/>
      <c r="CZ136" s="54"/>
      <c r="DA136" s="8"/>
      <c r="DB136" s="54"/>
      <c r="DC136" s="8"/>
      <c r="DD136" s="54"/>
      <c r="DE136" s="8"/>
      <c r="DF136" s="54"/>
      <c r="DG136" s="8"/>
      <c r="DH136" s="54"/>
      <c r="DI136" s="8"/>
      <c r="DJ136" s="54"/>
      <c r="DK136" s="8"/>
      <c r="DL136" s="54"/>
      <c r="DM136" s="8"/>
      <c r="DN136" s="54"/>
      <c r="DO136" s="8"/>
      <c r="DP136" s="54"/>
      <c r="DQ136" s="8"/>
      <c r="DR136" s="54"/>
      <c r="DS136" s="8"/>
      <c r="DT136" s="54"/>
      <c r="DU136" s="8"/>
      <c r="DV136" s="54"/>
      <c r="DW136" s="8"/>
      <c r="DX136" s="54"/>
      <c r="DY136" s="8"/>
      <c r="DZ136" s="54"/>
      <c r="EA136" s="8"/>
      <c r="EB136" s="54"/>
      <c r="EC136" s="8"/>
      <c r="ED136" s="54"/>
      <c r="EE136" s="8"/>
      <c r="EF136" s="54"/>
      <c r="EG136" s="8"/>
      <c r="EH136" s="54"/>
      <c r="EI136" s="8"/>
      <c r="EJ136" s="54"/>
      <c r="EK136" s="8"/>
      <c r="EL136" s="54"/>
      <c r="EM136" s="8"/>
      <c r="EN136" s="54"/>
      <c r="EO136" s="8"/>
      <c r="EP136" s="54"/>
      <c r="EQ136" s="8"/>
      <c r="ER136" s="54"/>
      <c r="ES136" s="8"/>
      <c r="ET136" s="54"/>
      <c r="EU136" s="8"/>
      <c r="EV136" s="54"/>
      <c r="EW136" s="8"/>
      <c r="EX136" s="54"/>
      <c r="EY136" s="8"/>
      <c r="EZ136" s="54"/>
      <c r="FA136" s="8"/>
      <c r="FB136" s="54"/>
      <c r="FC136" s="8"/>
      <c r="FD136" s="54"/>
      <c r="FE136" s="8"/>
      <c r="FF136" s="54"/>
      <c r="FG136" s="8"/>
      <c r="FH136" s="54"/>
      <c r="FI136" s="8"/>
      <c r="FJ136" s="54"/>
      <c r="FK136" s="8"/>
      <c r="FL136" s="54"/>
      <c r="FM136" s="8"/>
      <c r="FN136" s="54"/>
      <c r="FO136" s="8"/>
      <c r="FP136" s="54"/>
      <c r="FQ136" s="8"/>
      <c r="FR136" s="54"/>
      <c r="FS136" s="8"/>
      <c r="FT136" s="54"/>
      <c r="FU136" s="8"/>
      <c r="FV136" s="54"/>
      <c r="FW136" s="8"/>
      <c r="FX136" s="54"/>
      <c r="FY136" s="8"/>
      <c r="FZ136" s="54"/>
      <c r="GA136" s="8"/>
      <c r="GB136" s="54"/>
      <c r="GC136" s="8"/>
      <c r="GD136" s="54"/>
      <c r="GE136" s="8"/>
      <c r="GF136" s="54"/>
      <c r="GG136" s="8"/>
      <c r="GH136" s="54"/>
      <c r="GI136" s="8"/>
      <c r="GJ136" s="54"/>
      <c r="GK136" s="8"/>
      <c r="GL136" s="54"/>
      <c r="GM136" s="8"/>
      <c r="GN136" s="54"/>
      <c r="GO136" s="8"/>
      <c r="GP136" s="54"/>
      <c r="GQ136" s="8"/>
      <c r="GR136" s="54"/>
      <c r="GS136" s="8"/>
      <c r="GT136" s="54"/>
      <c r="GU136" s="8"/>
      <c r="GV136" s="54"/>
      <c r="GW136" s="8"/>
      <c r="GX136" s="54"/>
      <c r="GY136" s="8"/>
      <c r="GZ136" s="54"/>
      <c r="HA136" s="8"/>
      <c r="HB136" s="54"/>
      <c r="HC136" s="8"/>
      <c r="HD136" s="54"/>
      <c r="HE136" s="8"/>
      <c r="HF136" s="54"/>
      <c r="HG136" s="8"/>
      <c r="HH136" s="54"/>
      <c r="HI136" s="8"/>
      <c r="HJ136" s="54"/>
      <c r="HK136" s="8"/>
      <c r="HL136" s="54"/>
      <c r="HM136" s="8"/>
      <c r="HN136" s="54"/>
      <c r="HO136" s="8"/>
      <c r="HP136" s="54"/>
      <c r="HQ136" s="8"/>
      <c r="HR136" s="54"/>
      <c r="HS136" s="8"/>
      <c r="HT136" s="54"/>
      <c r="HU136" s="8"/>
      <c r="HV136" s="54"/>
      <c r="HW136" s="8"/>
      <c r="HX136" s="54"/>
      <c r="HY136" s="8"/>
      <c r="HZ136" s="54"/>
      <c r="IA136" s="8"/>
      <c r="IB136" s="54"/>
      <c r="IC136" s="8"/>
      <c r="ID136" s="54"/>
      <c r="IE136" s="8"/>
      <c r="IF136" s="54"/>
      <c r="IG136" s="8"/>
      <c r="IH136" s="54"/>
      <c r="II136" s="8"/>
      <c r="IJ136" s="54"/>
      <c r="IK136" s="8"/>
      <c r="IL136" s="54"/>
      <c r="IM136" s="8"/>
      <c r="IN136" s="54"/>
      <c r="IO136" s="8"/>
      <c r="IP136" s="54"/>
      <c r="IQ136" s="8"/>
      <c r="IR136" s="54"/>
      <c r="IS136" s="8"/>
      <c r="IT136" s="54"/>
      <c r="IU136" s="8"/>
      <c r="IV136" s="54"/>
      <c r="IW136" s="8"/>
      <c r="IX136" s="54"/>
      <c r="IY136" s="8"/>
      <c r="IZ136" s="54"/>
      <c r="JA136" s="8"/>
      <c r="JB136" s="54"/>
      <c r="JC136" s="8"/>
      <c r="JD136" s="54"/>
      <c r="JE136" s="8"/>
      <c r="JF136" s="54"/>
      <c r="JG136" s="8"/>
      <c r="JH136" s="54"/>
      <c r="JI136" s="8"/>
      <c r="JJ136" s="54"/>
      <c r="JK136" s="8"/>
      <c r="JL136" s="54"/>
      <c r="JM136" s="8"/>
      <c r="JN136" s="54"/>
      <c r="JO136" s="8"/>
      <c r="JP136" s="54"/>
      <c r="JQ136" s="8"/>
      <c r="JR136" s="54"/>
      <c r="JS136" s="8"/>
      <c r="JT136" s="54"/>
      <c r="JU136" s="8"/>
      <c r="JV136" s="54"/>
      <c r="JW136" s="8"/>
      <c r="JX136" s="54"/>
      <c r="JY136" s="8"/>
      <c r="JZ136" s="54"/>
      <c r="KA136" s="8"/>
      <c r="KB136" s="54"/>
      <c r="KC136" s="8"/>
      <c r="KD136" s="54"/>
      <c r="KE136" s="8"/>
      <c r="KF136" s="54"/>
      <c r="KG136" s="8"/>
      <c r="KH136" s="54"/>
      <c r="KI136" s="8"/>
      <c r="KJ136" s="54"/>
      <c r="KK136" s="8"/>
      <c r="KL136" s="54"/>
      <c r="KM136" s="8"/>
      <c r="KN136" s="54"/>
      <c r="KO136" s="8"/>
      <c r="KP136" s="54"/>
      <c r="KQ136" s="8"/>
      <c r="KR136" s="54"/>
      <c r="KS136" s="8"/>
      <c r="KT136" s="54"/>
      <c r="KU136" s="8"/>
      <c r="KV136" s="54"/>
      <c r="KW136" s="8"/>
      <c r="KX136" s="54"/>
      <c r="KY136" s="8"/>
      <c r="KZ136" s="54"/>
      <c r="LA136" s="8"/>
      <c r="LB136" s="54"/>
      <c r="LC136" s="8"/>
      <c r="LD136" s="54"/>
      <c r="LE136" s="8"/>
      <c r="LF136" s="54"/>
      <c r="LG136" s="8"/>
      <c r="LH136" s="54"/>
      <c r="LI136" s="8"/>
      <c r="LJ136" s="54"/>
      <c r="LK136" s="8"/>
      <c r="LL136" s="54"/>
      <c r="LM136" s="8"/>
      <c r="LN136" s="54"/>
      <c r="LO136" s="8"/>
      <c r="LP136" s="54"/>
      <c r="LQ136" s="8"/>
      <c r="LR136" s="54"/>
      <c r="LS136" s="8"/>
      <c r="LT136" s="54"/>
      <c r="LU136" s="8"/>
      <c r="LV136" s="54"/>
      <c r="LW136" s="8"/>
      <c r="LX136" s="54"/>
      <c r="LY136" s="8"/>
      <c r="LZ136" s="54"/>
      <c r="MA136" s="8"/>
      <c r="MB136" s="54"/>
      <c r="MC136" s="8"/>
      <c r="MD136" s="54"/>
      <c r="ME136" s="8"/>
      <c r="MF136" s="54"/>
      <c r="MG136" s="8"/>
      <c r="MH136" s="54"/>
      <c r="MI136" s="8"/>
      <c r="MJ136" s="54"/>
      <c r="MK136" s="8"/>
      <c r="ML136" s="54"/>
      <c r="MM136" s="8"/>
      <c r="MN136" s="54"/>
      <c r="MO136" s="8"/>
      <c r="MP136" s="54"/>
      <c r="MQ136" s="8"/>
      <c r="MR136" s="54"/>
      <c r="MS136" s="8"/>
      <c r="MT136" s="54"/>
      <c r="MU136" s="8"/>
      <c r="MV136" s="54"/>
      <c r="MW136" s="8"/>
      <c r="MX136" s="54"/>
      <c r="MY136" s="8"/>
      <c r="MZ136" s="54"/>
      <c r="NA136" s="8"/>
      <c r="NB136" s="54"/>
      <c r="NC136" s="8"/>
      <c r="ND136" s="54"/>
      <c r="NE136" s="8"/>
      <c r="NF136" s="54"/>
      <c r="NG136" s="8"/>
      <c r="NH136" s="54"/>
      <c r="NI136" s="8"/>
      <c r="NJ136" s="54"/>
      <c r="NK136" s="8"/>
      <c r="NL136" s="54"/>
      <c r="NM136" s="8"/>
      <c r="NN136" s="54"/>
      <c r="NO136" s="8"/>
      <c r="NP136" s="54"/>
      <c r="NQ136" s="8"/>
      <c r="NR136" s="54"/>
      <c r="NS136" s="8"/>
      <c r="NT136" s="54"/>
      <c r="NU136" s="8"/>
      <c r="NV136" s="54"/>
      <c r="NW136" s="8"/>
      <c r="NX136" s="54"/>
      <c r="NY136" s="8"/>
      <c r="NZ136" s="54"/>
      <c r="OA136" s="8"/>
      <c r="OB136" s="54"/>
      <c r="OC136" s="8"/>
      <c r="OD136" s="54"/>
      <c r="OE136" s="8"/>
      <c r="OF136" s="54"/>
      <c r="OG136" s="8"/>
      <c r="OH136" s="54"/>
      <c r="OI136" s="8"/>
      <c r="OJ136" s="54"/>
      <c r="OK136" s="8"/>
      <c r="OL136" s="54"/>
      <c r="OM136" s="8"/>
      <c r="ON136" s="54"/>
      <c r="OO136" s="8"/>
      <c r="OP136" s="54"/>
      <c r="OQ136" s="8"/>
      <c r="OR136" s="54"/>
      <c r="OS136" s="8"/>
      <c r="OT136" s="54"/>
      <c r="OU136" s="8"/>
      <c r="OV136" s="54"/>
      <c r="OW136" s="8"/>
      <c r="OX136" s="54"/>
      <c r="OY136" s="8"/>
      <c r="OZ136" s="54"/>
      <c r="PA136" s="8"/>
      <c r="PB136" s="54"/>
      <c r="PC136" s="8"/>
      <c r="PD136" s="54"/>
      <c r="PE136" s="8"/>
      <c r="PF136" s="54"/>
      <c r="PG136" s="8"/>
      <c r="PH136" s="54"/>
      <c r="PI136" s="8"/>
      <c r="PJ136" s="54"/>
      <c r="PK136" s="8"/>
      <c r="PL136" s="54"/>
      <c r="PM136" s="8"/>
      <c r="PN136" s="54"/>
      <c r="PO136" s="8"/>
      <c r="PP136" s="54"/>
      <c r="PQ136" s="8"/>
      <c r="PR136" s="54"/>
      <c r="PS136" s="8"/>
      <c r="PT136" s="54"/>
      <c r="PU136" s="8"/>
      <c r="PV136" s="54"/>
      <c r="PW136" s="8"/>
      <c r="PX136" s="54"/>
      <c r="PY136" s="8"/>
      <c r="PZ136" s="54"/>
      <c r="QA136" s="8"/>
      <c r="QB136" s="54"/>
      <c r="QC136" s="8"/>
      <c r="QD136" s="54"/>
      <c r="QE136" s="8"/>
      <c r="QF136" s="54"/>
      <c r="QG136" s="8"/>
      <c r="QH136" s="54"/>
      <c r="QI136" s="8"/>
      <c r="QJ136" s="54"/>
      <c r="QK136" s="8"/>
      <c r="QL136" s="54"/>
      <c r="QM136" s="8"/>
      <c r="QN136" s="54"/>
      <c r="QO136" s="8"/>
      <c r="QP136" s="54"/>
      <c r="QQ136" s="8"/>
      <c r="QR136" s="54"/>
      <c r="QS136" s="8"/>
      <c r="QT136" s="54"/>
      <c r="QU136" s="8"/>
      <c r="QV136" s="54"/>
      <c r="QW136" s="8"/>
      <c r="QX136" s="54"/>
      <c r="QY136" s="8"/>
      <c r="QZ136" s="54"/>
      <c r="RA136" s="8"/>
      <c r="RB136" s="54"/>
      <c r="RC136" s="8"/>
      <c r="RD136" s="54"/>
      <c r="RE136" s="8"/>
      <c r="RF136" s="54"/>
      <c r="RG136" s="8"/>
      <c r="RH136" s="54"/>
      <c r="RI136" s="8"/>
      <c r="RJ136" s="54"/>
      <c r="RK136" s="8"/>
      <c r="RL136" s="54"/>
      <c r="RM136" s="8"/>
      <c r="RN136" s="54"/>
      <c r="RO136" s="8"/>
      <c r="RP136" s="54"/>
      <c r="RQ136" s="8"/>
      <c r="RR136" s="54"/>
      <c r="RS136" s="8"/>
      <c r="RT136" s="54"/>
      <c r="RU136" s="8"/>
      <c r="RV136" s="54"/>
      <c r="RW136" s="8"/>
      <c r="RX136" s="54"/>
      <c r="RY136" s="8"/>
      <c r="RZ136" s="54"/>
      <c r="SA136" s="8"/>
      <c r="SB136" s="54"/>
      <c r="SC136" s="8"/>
      <c r="SD136" s="54"/>
      <c r="SE136" s="8"/>
      <c r="SF136" s="54"/>
      <c r="SG136" s="8"/>
      <c r="SH136" s="54"/>
      <c r="SI136" s="8"/>
      <c r="SJ136" s="54"/>
      <c r="SK136" s="8"/>
      <c r="SL136" s="54"/>
      <c r="SM136" s="8"/>
      <c r="SN136" s="54"/>
      <c r="SO136" s="8"/>
      <c r="SP136" s="54"/>
      <c r="SQ136" s="8"/>
      <c r="SR136" s="54"/>
      <c r="SS136" s="8"/>
      <c r="ST136" s="54"/>
      <c r="SU136" s="8"/>
      <c r="SV136" s="54"/>
      <c r="SW136" s="8"/>
      <c r="SX136" s="54"/>
      <c r="SY136" s="8"/>
      <c r="SZ136" s="54"/>
      <c r="TA136" s="8"/>
      <c r="TB136" s="54"/>
      <c r="TC136" s="8"/>
      <c r="TD136" s="54"/>
      <c r="TE136" s="8"/>
      <c r="TF136" s="54"/>
      <c r="TG136" s="8"/>
      <c r="TH136" s="54"/>
      <c r="TI136" s="8"/>
      <c r="TJ136" s="54"/>
      <c r="TK136" s="8"/>
      <c r="TL136" s="54"/>
      <c r="TM136" s="8"/>
      <c r="TN136" s="54"/>
      <c r="TO136" s="8"/>
      <c r="TP136" s="54"/>
      <c r="TQ136" s="8"/>
      <c r="TR136" s="54"/>
      <c r="TS136" s="8"/>
      <c r="TT136" s="54"/>
      <c r="TU136" s="8"/>
      <c r="TV136" s="54"/>
      <c r="TW136" s="8"/>
      <c r="TX136" s="54"/>
      <c r="TY136" s="8"/>
      <c r="TZ136" s="54"/>
      <c r="UA136" s="8"/>
      <c r="UB136" s="54"/>
      <c r="UC136" s="8"/>
      <c r="UD136" s="54"/>
      <c r="UE136" s="8"/>
      <c r="UF136" s="54"/>
      <c r="UG136" s="8"/>
      <c r="UH136" s="54"/>
      <c r="UI136" s="8"/>
      <c r="UJ136" s="54"/>
      <c r="UK136" s="8"/>
      <c r="UL136" s="54"/>
      <c r="UM136" s="8"/>
      <c r="UN136" s="54"/>
      <c r="UO136" s="8"/>
      <c r="UP136" s="54"/>
      <c r="UQ136" s="8"/>
      <c r="UR136" s="54"/>
      <c r="US136" s="8"/>
      <c r="UT136" s="54"/>
      <c r="UU136" s="8"/>
      <c r="UV136" s="54"/>
      <c r="UW136" s="8"/>
      <c r="UX136" s="54"/>
      <c r="UY136" s="8"/>
      <c r="UZ136" s="54"/>
      <c r="VA136" s="8"/>
      <c r="VB136" s="54"/>
      <c r="VC136" s="8"/>
      <c r="VD136" s="54"/>
      <c r="VE136" s="8"/>
      <c r="VF136" s="54"/>
      <c r="VG136" s="8"/>
      <c r="VH136" s="54"/>
      <c r="VI136" s="8"/>
      <c r="VJ136" s="54"/>
      <c r="VK136" s="8"/>
      <c r="VL136" s="54"/>
      <c r="VM136" s="8"/>
      <c r="VN136" s="54"/>
      <c r="VO136" s="8"/>
      <c r="VP136" s="54"/>
      <c r="VQ136" s="8"/>
      <c r="VR136" s="54"/>
      <c r="VS136" s="8"/>
      <c r="VT136" s="54"/>
      <c r="VU136" s="8"/>
      <c r="VV136" s="54"/>
      <c r="VW136" s="8"/>
      <c r="VX136" s="54"/>
      <c r="VY136" s="8"/>
      <c r="VZ136" s="54"/>
      <c r="WA136" s="8"/>
      <c r="WB136" s="54"/>
      <c r="WC136" s="8"/>
      <c r="WD136" s="54"/>
      <c r="WE136" s="8"/>
      <c r="WF136" s="54"/>
      <c r="WG136" s="8"/>
      <c r="WH136" s="54"/>
      <c r="WI136" s="8"/>
      <c r="WJ136" s="54"/>
      <c r="WK136" s="8"/>
      <c r="WL136" s="54"/>
      <c r="WM136" s="8"/>
      <c r="WN136" s="54"/>
      <c r="WO136" s="8"/>
      <c r="WP136" s="54"/>
      <c r="WQ136" s="8"/>
      <c r="WR136" s="54"/>
      <c r="WS136" s="8"/>
      <c r="WT136" s="54"/>
      <c r="WU136" s="8"/>
      <c r="WV136" s="54"/>
      <c r="WW136" s="8"/>
      <c r="WX136" s="54"/>
      <c r="WY136" s="8"/>
      <c r="WZ136" s="54"/>
      <c r="XA136" s="8"/>
      <c r="XB136" s="54"/>
      <c r="XC136" s="8"/>
      <c r="XD136" s="54"/>
      <c r="XE136" s="8"/>
      <c r="XF136" s="54"/>
      <c r="XG136" s="8"/>
      <c r="XH136" s="54"/>
      <c r="XI136" s="8"/>
      <c r="XJ136" s="54"/>
      <c r="XK136" s="8"/>
      <c r="XL136" s="54"/>
      <c r="XM136" s="8"/>
      <c r="XN136" s="54"/>
      <c r="XO136" s="8"/>
      <c r="XP136" s="54"/>
      <c r="XQ136" s="8"/>
      <c r="XR136" s="54"/>
      <c r="XS136" s="8"/>
      <c r="XT136" s="54"/>
      <c r="XU136" s="8"/>
      <c r="XV136" s="54"/>
      <c r="XW136" s="8"/>
      <c r="XX136" s="54"/>
      <c r="XY136" s="8"/>
      <c r="XZ136" s="54"/>
      <c r="YA136" s="8"/>
      <c r="YB136" s="54"/>
      <c r="YC136" s="8"/>
      <c r="YD136" s="54"/>
      <c r="YE136" s="8"/>
      <c r="YF136" s="54"/>
      <c r="YG136" s="8"/>
      <c r="YH136" s="54"/>
      <c r="YI136" s="8"/>
      <c r="YJ136" s="54"/>
      <c r="YK136" s="8"/>
      <c r="YL136" s="54"/>
      <c r="YM136" s="8"/>
      <c r="YN136" s="54"/>
      <c r="YO136" s="8"/>
      <c r="YP136" s="54"/>
      <c r="YQ136" s="8"/>
      <c r="YR136" s="54"/>
      <c r="YS136" s="8"/>
      <c r="YT136" s="54"/>
      <c r="YU136" s="8"/>
      <c r="YV136" s="54"/>
      <c r="YW136" s="8"/>
      <c r="YX136" s="54"/>
      <c r="YY136" s="8"/>
      <c r="YZ136" s="54"/>
      <c r="ZA136" s="8"/>
      <c r="ZB136" s="54"/>
      <c r="ZC136" s="8"/>
      <c r="ZD136" s="54"/>
      <c r="ZE136" s="8"/>
      <c r="ZF136" s="54"/>
      <c r="ZG136" s="8"/>
      <c r="ZH136" s="54"/>
      <c r="ZI136" s="8"/>
      <c r="ZJ136" s="54"/>
      <c r="ZK136" s="8"/>
      <c r="ZL136" s="54"/>
      <c r="ZM136" s="8"/>
      <c r="ZN136" s="54"/>
      <c r="ZO136" s="8"/>
      <c r="ZP136" s="54"/>
      <c r="ZQ136" s="8"/>
      <c r="ZR136" s="54"/>
      <c r="ZS136" s="8"/>
      <c r="ZT136" s="54"/>
      <c r="ZU136" s="8"/>
      <c r="ZV136" s="54"/>
      <c r="ZW136" s="8"/>
      <c r="ZX136" s="54"/>
      <c r="ZY136" s="8"/>
      <c r="ZZ136" s="54"/>
      <c r="AAA136" s="8"/>
      <c r="AAB136" s="54"/>
      <c r="AAC136" s="8"/>
      <c r="AAD136" s="54"/>
      <c r="AAE136" s="8"/>
      <c r="AAF136" s="54"/>
      <c r="AAG136" s="8"/>
      <c r="AAH136" s="54"/>
      <c r="AAI136" s="8"/>
      <c r="AAJ136" s="54"/>
      <c r="AAK136" s="8"/>
      <c r="AAL136" s="54"/>
      <c r="AAM136" s="8"/>
      <c r="AAN136" s="54"/>
      <c r="AAO136" s="8"/>
      <c r="AAP136" s="54"/>
      <c r="AAQ136" s="8"/>
      <c r="AAR136" s="54"/>
      <c r="AAS136" s="8"/>
      <c r="AAT136" s="54"/>
      <c r="AAU136" s="8"/>
      <c r="AAV136" s="54"/>
      <c r="AAW136" s="8"/>
      <c r="AAX136" s="54"/>
      <c r="AAY136" s="8"/>
      <c r="AAZ136" s="54"/>
      <c r="ABA136" s="8"/>
      <c r="ABB136" s="54"/>
      <c r="ABC136" s="8"/>
      <c r="ABD136" s="54"/>
      <c r="ABE136" s="8"/>
      <c r="ABF136" s="54"/>
      <c r="ABG136" s="8"/>
      <c r="ABH136" s="54"/>
      <c r="ABI136" s="8"/>
      <c r="ABJ136" s="54"/>
      <c r="ABK136" s="8"/>
      <c r="ABL136" s="54"/>
      <c r="ABM136" s="8"/>
      <c r="ABN136" s="54"/>
      <c r="ABO136" s="8"/>
      <c r="ABP136" s="54"/>
      <c r="ABQ136" s="8"/>
      <c r="ABR136" s="54"/>
      <c r="ABS136" s="8"/>
      <c r="ABT136" s="54"/>
      <c r="ABU136" s="8"/>
      <c r="ABV136" s="54"/>
      <c r="ABW136" s="8"/>
      <c r="ABX136" s="54"/>
      <c r="ABY136" s="8"/>
      <c r="ABZ136" s="54"/>
      <c r="ACA136" s="8"/>
      <c r="ACB136" s="54"/>
      <c r="ACC136" s="8"/>
      <c r="ACD136" s="54"/>
      <c r="ACE136" s="8"/>
      <c r="ACF136" s="54"/>
      <c r="ACG136" s="8"/>
      <c r="ACH136" s="54"/>
      <c r="ACI136" s="8"/>
      <c r="ACJ136" s="54"/>
      <c r="ACK136" s="8"/>
      <c r="ACL136" s="54"/>
      <c r="ACM136" s="8"/>
      <c r="ACN136" s="54"/>
      <c r="ACO136" s="8"/>
      <c r="ACP136" s="54"/>
      <c r="ACQ136" s="8"/>
      <c r="ACR136" s="54"/>
      <c r="ACS136" s="8"/>
      <c r="ACT136" s="54"/>
      <c r="ACU136" s="8"/>
      <c r="ACV136" s="54"/>
      <c r="ACW136" s="8"/>
      <c r="ACX136" s="54"/>
      <c r="ACY136" s="8"/>
      <c r="ACZ136" s="54"/>
      <c r="ADA136" s="8"/>
      <c r="ADB136" s="54"/>
      <c r="ADC136" s="8"/>
      <c r="ADD136" s="54"/>
      <c r="ADE136" s="8"/>
      <c r="ADF136" s="54"/>
      <c r="ADG136" s="8"/>
      <c r="ADH136" s="54"/>
      <c r="ADI136" s="8"/>
      <c r="ADJ136" s="54"/>
      <c r="ADK136" s="8"/>
      <c r="ADL136" s="54"/>
      <c r="ADM136" s="8"/>
      <c r="ADN136" s="54"/>
      <c r="ADO136" s="8"/>
      <c r="ADP136" s="54"/>
      <c r="ADQ136" s="8"/>
      <c r="ADR136" s="54"/>
      <c r="ADS136" s="8"/>
      <c r="ADT136" s="54"/>
      <c r="ADU136" s="8"/>
      <c r="ADV136" s="54"/>
      <c r="ADW136" s="8"/>
      <c r="ADX136" s="54"/>
      <c r="ADY136" s="8"/>
      <c r="ADZ136" s="54"/>
      <c r="AEA136" s="8"/>
      <c r="AEB136" s="54"/>
      <c r="AEC136" s="8"/>
      <c r="AED136" s="54"/>
      <c r="AEE136" s="8"/>
      <c r="AEF136" s="54"/>
      <c r="AEG136" s="8"/>
      <c r="AEH136" s="54"/>
      <c r="AEI136" s="8"/>
      <c r="AEJ136" s="54"/>
      <c r="AEK136" s="8"/>
      <c r="AEL136" s="54"/>
      <c r="AEM136" s="8"/>
      <c r="AEN136" s="54"/>
      <c r="AEO136" s="8"/>
      <c r="AEP136" s="54"/>
      <c r="AEQ136" s="8"/>
      <c r="AER136" s="54"/>
      <c r="AES136" s="8"/>
      <c r="AET136" s="54"/>
      <c r="AEU136" s="8"/>
      <c r="AEV136" s="54"/>
      <c r="AEW136" s="8"/>
      <c r="AEX136" s="54"/>
      <c r="AEY136" s="8"/>
      <c r="AEZ136" s="54"/>
      <c r="AFA136" s="8"/>
      <c r="AFB136" s="54"/>
      <c r="AFC136" s="8"/>
      <c r="AFD136" s="54"/>
      <c r="AFE136" s="8"/>
      <c r="AFF136" s="54"/>
      <c r="AFG136" s="8"/>
      <c r="AFH136" s="54"/>
      <c r="AFI136" s="8"/>
      <c r="AFJ136" s="54"/>
      <c r="AFK136" s="8"/>
      <c r="AFL136" s="54"/>
      <c r="AFM136" s="8"/>
      <c r="AFN136" s="54"/>
      <c r="AFO136" s="8"/>
      <c r="AFP136" s="54"/>
      <c r="AFQ136" s="8"/>
      <c r="AFR136" s="54"/>
      <c r="AFS136" s="8"/>
      <c r="AFT136" s="54"/>
      <c r="AFU136" s="8"/>
      <c r="AFV136" s="54"/>
      <c r="AFW136" s="8"/>
      <c r="AFX136" s="54"/>
      <c r="AFY136" s="8"/>
      <c r="AFZ136" s="54"/>
      <c r="AGA136" s="8"/>
      <c r="AGB136" s="54"/>
      <c r="AGC136" s="8"/>
      <c r="AGD136" s="54"/>
      <c r="AGE136" s="8"/>
      <c r="AGF136" s="54"/>
      <c r="AGG136" s="8"/>
      <c r="AGH136" s="54"/>
      <c r="AGI136" s="8"/>
      <c r="AGJ136" s="54"/>
      <c r="AGK136" s="8"/>
      <c r="AGL136" s="54"/>
      <c r="AGM136" s="8"/>
      <c r="AGN136" s="54"/>
      <c r="AGO136" s="8"/>
      <c r="AGP136" s="54"/>
      <c r="AGQ136" s="8"/>
      <c r="AGR136" s="54"/>
      <c r="AGS136" s="8"/>
      <c r="AGT136" s="54"/>
      <c r="AGU136" s="8"/>
      <c r="AGV136" s="54"/>
      <c r="AGW136" s="8"/>
      <c r="AGX136" s="54"/>
      <c r="AGY136" s="8"/>
      <c r="AGZ136" s="54"/>
      <c r="AHA136" s="8"/>
      <c r="AHB136" s="54"/>
      <c r="AHC136" s="8"/>
      <c r="AHD136" s="54"/>
      <c r="AHE136" s="8"/>
      <c r="AHF136" s="54"/>
      <c r="AHG136" s="8"/>
      <c r="AHH136" s="54"/>
      <c r="AHI136" s="8"/>
      <c r="AHJ136" s="54"/>
      <c r="AHK136" s="8"/>
      <c r="AHL136" s="54"/>
      <c r="AHM136" s="8"/>
      <c r="AHN136" s="54"/>
      <c r="AHO136" s="8"/>
      <c r="AHP136" s="54"/>
      <c r="AHQ136" s="8"/>
      <c r="AHR136" s="54"/>
      <c r="AHS136" s="8"/>
      <c r="AHT136" s="54"/>
      <c r="AHU136" s="8"/>
      <c r="AHV136" s="54"/>
      <c r="AHW136" s="8"/>
      <c r="AHX136" s="54"/>
      <c r="AHY136" s="8"/>
      <c r="AHZ136" s="54"/>
      <c r="AIA136" s="8"/>
      <c r="AIB136" s="54"/>
      <c r="AIC136" s="8"/>
      <c r="AID136" s="54"/>
      <c r="AIE136" s="8"/>
      <c r="AIF136" s="54"/>
      <c r="AIG136" s="8"/>
      <c r="AIH136" s="54"/>
      <c r="AII136" s="8"/>
      <c r="AIJ136" s="54"/>
      <c r="AIK136" s="8"/>
      <c r="AIL136" s="54"/>
      <c r="AIM136" s="8"/>
      <c r="AIN136" s="54"/>
      <c r="AIO136" s="8"/>
      <c r="AIP136" s="54"/>
      <c r="AIQ136" s="8"/>
      <c r="AIR136" s="54"/>
      <c r="AIS136" s="8"/>
      <c r="AIT136" s="54"/>
      <c r="AIU136" s="8"/>
      <c r="AIV136" s="54"/>
      <c r="AIW136" s="8"/>
      <c r="AIX136" s="54"/>
      <c r="AIY136" s="8"/>
      <c r="AIZ136" s="54"/>
      <c r="AJA136" s="8"/>
      <c r="AJB136" s="54"/>
      <c r="AJC136" s="8"/>
      <c r="AJD136" s="54"/>
      <c r="AJE136" s="8"/>
      <c r="AJF136" s="54"/>
      <c r="AJG136" s="8"/>
      <c r="AJH136" s="54"/>
      <c r="AJI136" s="8"/>
      <c r="AJJ136" s="54"/>
      <c r="AJK136" s="8"/>
      <c r="AJL136" s="54"/>
      <c r="AJM136" s="8"/>
      <c r="AJN136" s="54"/>
      <c r="AJO136" s="8"/>
      <c r="AJP136" s="54"/>
      <c r="AJQ136" s="8"/>
      <c r="AJR136" s="54"/>
      <c r="AJS136" s="8"/>
      <c r="AJT136" s="54"/>
      <c r="AJU136" s="8"/>
      <c r="AJV136" s="54"/>
      <c r="AJW136" s="8"/>
      <c r="AJX136" s="54"/>
      <c r="AJY136" s="8"/>
      <c r="AJZ136" s="54"/>
      <c r="AKA136" s="8"/>
      <c r="AKB136" s="54"/>
      <c r="AKC136" s="8"/>
      <c r="AKD136" s="54"/>
      <c r="AKE136" s="8"/>
      <c r="AKF136" s="54"/>
      <c r="AKG136" s="8"/>
      <c r="AKH136" s="54"/>
      <c r="AKI136" s="8"/>
      <c r="AKJ136" s="54"/>
      <c r="AKK136" s="8"/>
      <c r="AKL136" s="54"/>
      <c r="AKM136" s="8"/>
      <c r="AKN136" s="54"/>
      <c r="AKO136" s="8"/>
      <c r="AKP136" s="54"/>
      <c r="AKQ136" s="8"/>
      <c r="AKR136" s="54"/>
      <c r="AKS136" s="8"/>
      <c r="AKT136" s="54"/>
      <c r="AKU136" s="8"/>
      <c r="AKV136" s="54"/>
      <c r="AKW136" s="8"/>
      <c r="AKX136" s="54"/>
      <c r="AKY136" s="8"/>
      <c r="AKZ136" s="54"/>
      <c r="ALA136" s="8"/>
      <c r="ALB136" s="54"/>
      <c r="ALC136" s="8"/>
      <c r="ALD136" s="54"/>
      <c r="ALE136" s="8"/>
      <c r="ALF136" s="54"/>
      <c r="ALG136" s="8"/>
      <c r="ALH136" s="54"/>
      <c r="ALI136" s="8"/>
      <c r="ALJ136" s="54"/>
      <c r="ALK136" s="8"/>
      <c r="ALL136" s="54"/>
      <c r="ALM136" s="8"/>
      <c r="ALN136" s="54"/>
      <c r="ALO136" s="8"/>
      <c r="ALP136" s="54"/>
      <c r="ALQ136" s="8"/>
      <c r="ALR136" s="54"/>
      <c r="ALS136" s="8"/>
      <c r="ALT136" s="54"/>
      <c r="ALU136" s="8"/>
      <c r="ALV136" s="54"/>
      <c r="ALW136" s="8"/>
      <c r="ALX136" s="54"/>
      <c r="ALY136" s="8"/>
      <c r="ALZ136" s="54"/>
      <c r="AMA136" s="8"/>
      <c r="AMB136" s="54"/>
      <c r="AMC136" s="8"/>
      <c r="AMD136" s="54"/>
      <c r="AME136" s="8"/>
      <c r="AMF136" s="54"/>
      <c r="AMG136" s="8"/>
      <c r="AMH136" s="54"/>
      <c r="AMI136" s="8"/>
      <c r="AMJ136" s="54"/>
      <c r="AMK136" s="8"/>
      <c r="AML136" s="54"/>
      <c r="AMM136" s="8"/>
      <c r="AMN136" s="54"/>
      <c r="AMO136" s="8"/>
      <c r="AMP136" s="54"/>
      <c r="AMQ136" s="8"/>
      <c r="AMR136" s="54"/>
      <c r="AMS136" s="8"/>
      <c r="AMT136" s="54"/>
      <c r="AMU136" s="8"/>
      <c r="AMV136" s="54"/>
      <c r="AMW136" s="8"/>
      <c r="AMX136" s="54"/>
      <c r="AMY136" s="8"/>
      <c r="AMZ136" s="54"/>
      <c r="ANA136" s="8"/>
      <c r="ANB136" s="54"/>
      <c r="ANC136" s="8"/>
      <c r="AND136" s="54"/>
      <c r="ANE136" s="8"/>
      <c r="ANF136" s="54"/>
      <c r="ANG136" s="8"/>
      <c r="ANH136" s="54"/>
      <c r="ANI136" s="8"/>
      <c r="ANJ136" s="54"/>
      <c r="ANK136" s="8"/>
      <c r="ANL136" s="54"/>
      <c r="ANM136" s="8"/>
      <c r="ANN136" s="54"/>
      <c r="ANO136" s="8"/>
      <c r="ANP136" s="54"/>
      <c r="ANQ136" s="8"/>
      <c r="ANR136" s="54"/>
      <c r="ANS136" s="8"/>
      <c r="ANT136" s="54"/>
      <c r="ANU136" s="8"/>
      <c r="ANV136" s="54"/>
      <c r="ANW136" s="8"/>
      <c r="ANX136" s="54"/>
      <c r="ANY136" s="8"/>
      <c r="ANZ136" s="54"/>
      <c r="AOA136" s="8"/>
      <c r="AOB136" s="54"/>
      <c r="AOC136" s="8"/>
      <c r="AOD136" s="54"/>
      <c r="AOE136" s="8"/>
      <c r="AOF136" s="54"/>
      <c r="AOG136" s="8"/>
      <c r="AOH136" s="54"/>
      <c r="AOI136" s="8"/>
      <c r="AOJ136" s="54"/>
      <c r="AOK136" s="8"/>
      <c r="AOL136" s="54"/>
      <c r="AOM136" s="8"/>
      <c r="AON136" s="54"/>
      <c r="AOO136" s="8"/>
      <c r="AOP136" s="54"/>
      <c r="AOQ136" s="8"/>
      <c r="AOR136" s="54"/>
      <c r="AOS136" s="8"/>
      <c r="AOT136" s="54"/>
      <c r="AOU136" s="8"/>
      <c r="AOV136" s="54"/>
      <c r="AOW136" s="8"/>
      <c r="AOX136" s="54"/>
      <c r="AOY136" s="8"/>
      <c r="AOZ136" s="54"/>
      <c r="APA136" s="8"/>
      <c r="APB136" s="54"/>
      <c r="APC136" s="8"/>
      <c r="APD136" s="54"/>
      <c r="APE136" s="8"/>
      <c r="APF136" s="54"/>
      <c r="APG136" s="8"/>
      <c r="APH136" s="54"/>
      <c r="API136" s="8"/>
      <c r="APJ136" s="54"/>
      <c r="APK136" s="8"/>
      <c r="APL136" s="54"/>
      <c r="APM136" s="8"/>
      <c r="APN136" s="54"/>
      <c r="APO136" s="8"/>
      <c r="APP136" s="54"/>
      <c r="APQ136" s="8"/>
      <c r="APR136" s="54"/>
      <c r="APS136" s="8"/>
      <c r="APT136" s="54"/>
      <c r="APU136" s="8"/>
      <c r="APV136" s="54"/>
      <c r="APW136" s="8"/>
      <c r="APX136" s="54"/>
      <c r="APY136" s="8"/>
      <c r="APZ136" s="54"/>
      <c r="AQA136" s="8"/>
      <c r="AQB136" s="54"/>
      <c r="AQC136" s="8"/>
      <c r="AQD136" s="54"/>
      <c r="AQE136" s="8"/>
      <c r="AQF136" s="54"/>
      <c r="AQG136" s="8"/>
      <c r="AQH136" s="54"/>
      <c r="AQI136" s="8"/>
      <c r="AQJ136" s="54"/>
      <c r="AQK136" s="8"/>
      <c r="AQL136" s="54"/>
      <c r="AQM136" s="8"/>
      <c r="AQN136" s="54"/>
      <c r="AQO136" s="8"/>
      <c r="AQP136" s="54"/>
      <c r="AQQ136" s="8"/>
      <c r="AQR136" s="54"/>
      <c r="AQS136" s="8"/>
      <c r="AQT136" s="54"/>
      <c r="AQU136" s="8"/>
      <c r="AQV136" s="54"/>
      <c r="AQW136" s="8"/>
      <c r="AQX136" s="54"/>
      <c r="AQY136" s="8"/>
      <c r="AQZ136" s="54"/>
      <c r="ARA136" s="8"/>
      <c r="ARB136" s="54"/>
      <c r="ARC136" s="8"/>
      <c r="ARD136" s="54"/>
      <c r="ARE136" s="8"/>
      <c r="ARF136" s="54"/>
      <c r="ARG136" s="8"/>
      <c r="ARH136" s="54"/>
      <c r="ARI136" s="8"/>
      <c r="ARJ136" s="54"/>
      <c r="ARK136" s="8"/>
      <c r="ARL136" s="54"/>
      <c r="ARM136" s="8"/>
      <c r="ARN136" s="54"/>
      <c r="ARO136" s="8"/>
      <c r="ARP136" s="54"/>
      <c r="ARQ136" s="8"/>
      <c r="ARR136" s="54"/>
      <c r="ARS136" s="8"/>
      <c r="ART136" s="54"/>
      <c r="ARU136" s="8"/>
      <c r="ARV136" s="54"/>
      <c r="ARW136" s="8"/>
      <c r="ARX136" s="54"/>
      <c r="ARY136" s="8"/>
      <c r="ARZ136" s="54"/>
      <c r="ASA136" s="8"/>
      <c r="ASB136" s="54"/>
      <c r="ASC136" s="8"/>
      <c r="ASD136" s="54"/>
      <c r="ASE136" s="8"/>
      <c r="ASF136" s="54"/>
      <c r="ASG136" s="8"/>
      <c r="ASH136" s="54"/>
      <c r="ASI136" s="8"/>
      <c r="ASJ136" s="54"/>
      <c r="ASK136" s="8"/>
      <c r="ASL136" s="54"/>
      <c r="ASM136" s="8"/>
      <c r="ASN136" s="54"/>
      <c r="ASO136" s="8"/>
      <c r="ASP136" s="54"/>
      <c r="ASQ136" s="8"/>
      <c r="ASR136" s="54"/>
      <c r="ASS136" s="8"/>
      <c r="AST136" s="54"/>
      <c r="ASU136" s="8"/>
      <c r="ASV136" s="54"/>
      <c r="ASW136" s="8"/>
      <c r="ASX136" s="54"/>
      <c r="ASY136" s="8"/>
      <c r="ASZ136" s="54"/>
      <c r="ATA136" s="8"/>
      <c r="ATB136" s="54"/>
      <c r="ATC136" s="8"/>
      <c r="ATD136" s="54"/>
      <c r="ATE136" s="8"/>
      <c r="ATF136" s="54"/>
      <c r="ATG136" s="8"/>
      <c r="ATH136" s="54"/>
      <c r="ATI136" s="8"/>
      <c r="ATJ136" s="54"/>
      <c r="ATK136" s="8"/>
      <c r="ATL136" s="54"/>
      <c r="ATM136" s="8"/>
      <c r="ATN136" s="54"/>
      <c r="ATO136" s="8"/>
      <c r="ATP136" s="54"/>
      <c r="ATQ136" s="8"/>
      <c r="ATR136" s="54"/>
      <c r="ATS136" s="8"/>
      <c r="ATT136" s="54"/>
      <c r="ATU136" s="8"/>
      <c r="ATV136" s="54"/>
      <c r="ATW136" s="8"/>
      <c r="ATX136" s="54"/>
      <c r="ATY136" s="8"/>
      <c r="ATZ136" s="54"/>
      <c r="AUA136" s="8"/>
      <c r="AUB136" s="54"/>
      <c r="AUC136" s="8"/>
      <c r="AUD136" s="54"/>
      <c r="AUE136" s="8"/>
      <c r="AUF136" s="54"/>
      <c r="AUG136" s="8"/>
      <c r="AUH136" s="54"/>
      <c r="AUI136" s="8"/>
      <c r="AUJ136" s="54"/>
      <c r="AUK136" s="8"/>
      <c r="AUL136" s="54"/>
      <c r="AUM136" s="8"/>
      <c r="AUN136" s="54"/>
      <c r="AUO136" s="8"/>
      <c r="AUP136" s="54"/>
      <c r="AUQ136" s="8"/>
      <c r="AUR136" s="54"/>
      <c r="AUS136" s="8"/>
      <c r="AUT136" s="54"/>
      <c r="AUU136" s="8"/>
      <c r="AUV136" s="54"/>
      <c r="AUW136" s="8"/>
      <c r="AUX136" s="54"/>
      <c r="AUY136" s="8"/>
      <c r="AUZ136" s="54"/>
      <c r="AVA136" s="8"/>
      <c r="AVB136" s="54"/>
      <c r="AVC136" s="8"/>
      <c r="AVD136" s="54"/>
      <c r="AVE136" s="8"/>
      <c r="AVF136" s="54"/>
      <c r="AVG136" s="8"/>
      <c r="AVH136" s="54"/>
      <c r="AVI136" s="8"/>
      <c r="AVJ136" s="54"/>
      <c r="AVK136" s="8"/>
      <c r="AVL136" s="54"/>
      <c r="AVM136" s="8"/>
      <c r="AVN136" s="54"/>
      <c r="AVO136" s="8"/>
      <c r="AVP136" s="54"/>
      <c r="AVQ136" s="8"/>
      <c r="AVR136" s="54"/>
      <c r="AVS136" s="8"/>
      <c r="AVT136" s="54"/>
      <c r="AVU136" s="8"/>
      <c r="AVV136" s="54"/>
      <c r="AVW136" s="8"/>
      <c r="AVX136" s="54"/>
      <c r="AVY136" s="8"/>
      <c r="AVZ136" s="54"/>
      <c r="AWA136" s="8"/>
      <c r="AWB136" s="54"/>
      <c r="AWC136" s="8"/>
      <c r="AWD136" s="54"/>
      <c r="AWE136" s="8"/>
      <c r="AWF136" s="54"/>
      <c r="AWG136" s="8"/>
      <c r="AWH136" s="54"/>
      <c r="AWI136" s="8"/>
      <c r="AWJ136" s="54"/>
      <c r="AWK136" s="8"/>
      <c r="AWL136" s="54"/>
      <c r="AWM136" s="8"/>
      <c r="AWN136" s="54"/>
      <c r="AWO136" s="8"/>
      <c r="AWP136" s="54"/>
      <c r="AWQ136" s="8"/>
      <c r="AWR136" s="54"/>
      <c r="AWS136" s="8"/>
      <c r="AWT136" s="54"/>
      <c r="AWU136" s="8"/>
      <c r="AWV136" s="54"/>
      <c r="AWW136" s="8"/>
      <c r="AWX136" s="54"/>
      <c r="AWY136" s="8"/>
      <c r="AWZ136" s="54"/>
      <c r="AXA136" s="8"/>
      <c r="AXB136" s="54"/>
      <c r="AXC136" s="8"/>
      <c r="AXD136" s="54"/>
      <c r="AXE136" s="8"/>
      <c r="AXF136" s="54"/>
      <c r="AXG136" s="8"/>
      <c r="AXH136" s="54"/>
      <c r="AXI136" s="8"/>
      <c r="AXJ136" s="54"/>
      <c r="AXK136" s="8"/>
      <c r="AXL136" s="54"/>
      <c r="AXM136" s="8"/>
      <c r="AXN136" s="54"/>
      <c r="AXO136" s="8"/>
      <c r="AXP136" s="54"/>
      <c r="AXQ136" s="8"/>
      <c r="AXR136" s="54"/>
      <c r="AXS136" s="8"/>
      <c r="AXT136" s="54"/>
      <c r="AXU136" s="8"/>
      <c r="AXV136" s="54"/>
      <c r="AXW136" s="8"/>
      <c r="AXX136" s="54"/>
      <c r="AXY136" s="8"/>
      <c r="AXZ136" s="54"/>
      <c r="AYA136" s="8"/>
      <c r="AYB136" s="54"/>
      <c r="AYC136" s="8"/>
      <c r="AYD136" s="54"/>
      <c r="AYE136" s="8"/>
      <c r="AYF136" s="54"/>
      <c r="AYG136" s="8"/>
      <c r="AYH136" s="54"/>
      <c r="AYI136" s="8"/>
      <c r="AYJ136" s="54"/>
      <c r="AYK136" s="8"/>
      <c r="AYL136" s="54"/>
      <c r="AYM136" s="8"/>
      <c r="AYN136" s="54"/>
      <c r="AYO136" s="8"/>
      <c r="AYP136" s="54"/>
      <c r="AYQ136" s="8"/>
      <c r="AYR136" s="54"/>
      <c r="AYS136" s="8"/>
      <c r="AYT136" s="54"/>
      <c r="AYU136" s="8"/>
      <c r="AYV136" s="54"/>
      <c r="AYW136" s="8"/>
      <c r="AYX136" s="54"/>
      <c r="AYY136" s="8"/>
      <c r="AYZ136" s="54"/>
      <c r="AZA136" s="8"/>
      <c r="AZB136" s="54"/>
      <c r="AZC136" s="8"/>
      <c r="AZD136" s="54"/>
      <c r="AZE136" s="8"/>
      <c r="AZF136" s="54"/>
      <c r="AZG136" s="8"/>
      <c r="AZH136" s="54"/>
      <c r="AZI136" s="8"/>
      <c r="AZJ136" s="54"/>
      <c r="AZK136" s="8"/>
      <c r="AZL136" s="54"/>
      <c r="AZM136" s="8"/>
      <c r="AZN136" s="54"/>
      <c r="AZO136" s="8"/>
      <c r="AZP136" s="54"/>
      <c r="AZQ136" s="8"/>
      <c r="AZR136" s="54"/>
      <c r="AZS136" s="8"/>
      <c r="AZT136" s="54"/>
      <c r="AZU136" s="8"/>
      <c r="AZV136" s="54"/>
      <c r="AZW136" s="8"/>
      <c r="AZX136" s="54"/>
      <c r="AZY136" s="8"/>
      <c r="AZZ136" s="54"/>
      <c r="BAA136" s="8"/>
      <c r="BAB136" s="54"/>
      <c r="BAC136" s="8"/>
      <c r="BAD136" s="54"/>
      <c r="BAE136" s="8"/>
      <c r="BAF136" s="54"/>
      <c r="BAG136" s="8"/>
      <c r="BAH136" s="54"/>
      <c r="BAI136" s="8"/>
      <c r="BAJ136" s="54"/>
      <c r="BAK136" s="8"/>
      <c r="BAL136" s="54"/>
      <c r="BAM136" s="8"/>
      <c r="BAN136" s="54"/>
      <c r="BAO136" s="8"/>
      <c r="BAP136" s="54"/>
      <c r="BAQ136" s="8"/>
      <c r="BAR136" s="54"/>
      <c r="BAS136" s="8"/>
      <c r="BAT136" s="54"/>
      <c r="BAU136" s="8"/>
      <c r="BAV136" s="54"/>
      <c r="BAW136" s="8"/>
      <c r="BAX136" s="54"/>
      <c r="BAY136" s="8"/>
      <c r="BAZ136" s="54"/>
      <c r="BBA136" s="8"/>
      <c r="BBB136" s="54"/>
      <c r="BBC136" s="8"/>
      <c r="BBD136" s="54"/>
      <c r="BBE136" s="8"/>
      <c r="BBF136" s="54"/>
      <c r="BBG136" s="8"/>
      <c r="BBH136" s="54"/>
      <c r="BBI136" s="8"/>
      <c r="BBJ136" s="54"/>
      <c r="BBK136" s="8"/>
      <c r="BBL136" s="54"/>
      <c r="BBM136" s="8"/>
      <c r="BBN136" s="54"/>
      <c r="BBO136" s="8"/>
      <c r="BBP136" s="54"/>
      <c r="BBQ136" s="8"/>
      <c r="BBR136" s="54"/>
      <c r="BBS136" s="8"/>
      <c r="BBT136" s="54"/>
      <c r="BBU136" s="8"/>
      <c r="BBV136" s="54"/>
      <c r="BBW136" s="8"/>
      <c r="BBX136" s="54"/>
      <c r="BBY136" s="8"/>
      <c r="BBZ136" s="54"/>
      <c r="BCA136" s="8"/>
      <c r="BCB136" s="54"/>
      <c r="BCC136" s="8"/>
      <c r="BCD136" s="54"/>
      <c r="BCE136" s="8"/>
      <c r="BCF136" s="54"/>
      <c r="BCG136" s="8"/>
      <c r="BCH136" s="54"/>
      <c r="BCI136" s="8"/>
      <c r="BCJ136" s="54"/>
      <c r="BCK136" s="8"/>
      <c r="BCL136" s="54"/>
      <c r="BCM136" s="8"/>
      <c r="BCN136" s="54"/>
      <c r="BCO136" s="8"/>
      <c r="BCP136" s="54"/>
      <c r="BCQ136" s="8"/>
      <c r="BCR136" s="54"/>
      <c r="BCS136" s="8"/>
      <c r="BCT136" s="54"/>
      <c r="BCU136" s="8"/>
      <c r="BCV136" s="54"/>
      <c r="BCW136" s="8"/>
      <c r="BCX136" s="54"/>
      <c r="BCY136" s="8"/>
      <c r="BCZ136" s="54"/>
      <c r="BDA136" s="8"/>
      <c r="BDB136" s="54"/>
      <c r="BDC136" s="8"/>
      <c r="BDD136" s="54"/>
      <c r="BDE136" s="8"/>
      <c r="BDF136" s="54"/>
      <c r="BDG136" s="8"/>
      <c r="BDH136" s="54"/>
      <c r="BDI136" s="8"/>
      <c r="BDJ136" s="54"/>
      <c r="BDK136" s="8"/>
      <c r="BDL136" s="54"/>
      <c r="BDM136" s="8"/>
      <c r="BDN136" s="54"/>
      <c r="BDO136" s="8"/>
      <c r="BDP136" s="54"/>
      <c r="BDQ136" s="8"/>
      <c r="BDR136" s="54"/>
      <c r="BDS136" s="8"/>
      <c r="BDT136" s="54"/>
      <c r="BDU136" s="8"/>
      <c r="BDV136" s="54"/>
      <c r="BDW136" s="8"/>
      <c r="BDX136" s="54"/>
      <c r="BDY136" s="8"/>
      <c r="BDZ136" s="54"/>
      <c r="BEA136" s="8"/>
      <c r="BEB136" s="54"/>
      <c r="BEC136" s="8"/>
      <c r="BED136" s="54"/>
      <c r="BEE136" s="8"/>
      <c r="BEF136" s="54"/>
      <c r="BEG136" s="8"/>
      <c r="BEH136" s="54"/>
      <c r="BEI136" s="8"/>
      <c r="BEJ136" s="54"/>
      <c r="BEK136" s="8"/>
      <c r="BEL136" s="54"/>
      <c r="BEM136" s="8"/>
      <c r="BEN136" s="54"/>
      <c r="BEO136" s="8"/>
      <c r="BEP136" s="54"/>
      <c r="BEQ136" s="8"/>
      <c r="BER136" s="54"/>
      <c r="BES136" s="8"/>
      <c r="BET136" s="54"/>
      <c r="BEU136" s="8"/>
      <c r="BEV136" s="54"/>
      <c r="BEW136" s="8"/>
      <c r="BEX136" s="54"/>
      <c r="BEY136" s="8"/>
      <c r="BEZ136" s="54"/>
      <c r="BFA136" s="8"/>
      <c r="BFB136" s="54"/>
      <c r="BFC136" s="8"/>
      <c r="BFD136" s="54"/>
      <c r="BFE136" s="8"/>
      <c r="BFF136" s="54"/>
      <c r="BFG136" s="8"/>
      <c r="BFH136" s="54"/>
      <c r="BFI136" s="8"/>
      <c r="BFJ136" s="54"/>
      <c r="BFK136" s="8"/>
      <c r="BFL136" s="54"/>
      <c r="BFM136" s="8"/>
      <c r="BFN136" s="54"/>
      <c r="BFO136" s="8"/>
      <c r="BFP136" s="54"/>
      <c r="BFQ136" s="8"/>
      <c r="BFR136" s="54"/>
      <c r="BFS136" s="8"/>
      <c r="BFT136" s="54"/>
      <c r="BFU136" s="8"/>
      <c r="BFV136" s="54"/>
      <c r="BFW136" s="8"/>
      <c r="BFX136" s="54"/>
      <c r="BFY136" s="8"/>
      <c r="BFZ136" s="54"/>
      <c r="BGA136" s="8"/>
      <c r="BGB136" s="54"/>
      <c r="BGC136" s="8"/>
      <c r="BGD136" s="54"/>
      <c r="BGE136" s="8"/>
      <c r="BGF136" s="54"/>
      <c r="BGG136" s="8"/>
      <c r="BGH136" s="54"/>
      <c r="BGI136" s="8"/>
      <c r="BGJ136" s="54"/>
      <c r="BGK136" s="8"/>
      <c r="BGL136" s="54"/>
      <c r="BGM136" s="8"/>
      <c r="BGN136" s="54"/>
      <c r="BGO136" s="8"/>
      <c r="BGP136" s="54"/>
      <c r="BGQ136" s="8"/>
      <c r="BGR136" s="54"/>
      <c r="BGS136" s="8"/>
      <c r="BGT136" s="54"/>
      <c r="BGU136" s="8"/>
      <c r="BGV136" s="54"/>
      <c r="BGW136" s="8"/>
      <c r="BGX136" s="54"/>
      <c r="BGY136" s="8"/>
      <c r="BGZ136" s="54"/>
      <c r="BHA136" s="8"/>
      <c r="BHB136" s="54"/>
      <c r="BHC136" s="8"/>
      <c r="BHD136" s="54"/>
      <c r="BHE136" s="8"/>
      <c r="BHF136" s="54"/>
      <c r="BHG136" s="8"/>
      <c r="BHH136" s="54"/>
      <c r="BHI136" s="8"/>
      <c r="BHJ136" s="54"/>
      <c r="BHK136" s="8"/>
      <c r="BHL136" s="54"/>
      <c r="BHM136" s="8"/>
      <c r="BHN136" s="54"/>
      <c r="BHO136" s="8"/>
      <c r="BHP136" s="54"/>
      <c r="BHQ136" s="8"/>
      <c r="BHR136" s="54"/>
      <c r="BHS136" s="8"/>
      <c r="BHT136" s="54"/>
      <c r="BHU136" s="8"/>
      <c r="BHV136" s="54"/>
      <c r="BHW136" s="8"/>
      <c r="BHX136" s="54"/>
      <c r="BHY136" s="8"/>
      <c r="BHZ136" s="54"/>
      <c r="BIA136" s="8"/>
      <c r="BIB136" s="54"/>
      <c r="BIC136" s="8"/>
      <c r="BID136" s="54"/>
      <c r="BIE136" s="8"/>
      <c r="BIF136" s="54"/>
      <c r="BIG136" s="8"/>
      <c r="BIH136" s="54"/>
      <c r="BII136" s="8"/>
      <c r="BIJ136" s="54"/>
      <c r="BIK136" s="8"/>
      <c r="BIL136" s="54"/>
      <c r="BIM136" s="8"/>
      <c r="BIN136" s="54"/>
      <c r="BIO136" s="8"/>
      <c r="BIP136" s="54"/>
      <c r="BIQ136" s="8"/>
      <c r="BIR136" s="54"/>
      <c r="BIS136" s="8"/>
      <c r="BIT136" s="54"/>
      <c r="BIU136" s="8"/>
      <c r="BIV136" s="54"/>
      <c r="BIW136" s="8"/>
      <c r="BIX136" s="54"/>
      <c r="BIY136" s="8"/>
      <c r="BIZ136" s="54"/>
      <c r="BJA136" s="8"/>
      <c r="BJB136" s="54"/>
      <c r="BJC136" s="8"/>
      <c r="BJD136" s="54"/>
      <c r="BJE136" s="8"/>
      <c r="BJF136" s="54"/>
      <c r="BJG136" s="8"/>
      <c r="BJH136" s="54"/>
      <c r="BJI136" s="8"/>
      <c r="BJJ136" s="54"/>
      <c r="BJK136" s="8"/>
      <c r="BJL136" s="54"/>
      <c r="BJM136" s="8"/>
      <c r="BJN136" s="54"/>
      <c r="BJO136" s="8"/>
      <c r="BJP136" s="54"/>
      <c r="BJQ136" s="8"/>
      <c r="BJR136" s="54"/>
      <c r="BJS136" s="8"/>
      <c r="BJT136" s="54"/>
      <c r="BJU136" s="8"/>
      <c r="BJV136" s="54"/>
      <c r="BJW136" s="8"/>
      <c r="BJX136" s="54"/>
      <c r="BJY136" s="8"/>
      <c r="BJZ136" s="54"/>
      <c r="BKA136" s="8"/>
      <c r="BKB136" s="54"/>
      <c r="BKC136" s="8"/>
      <c r="BKD136" s="54"/>
      <c r="BKE136" s="8"/>
      <c r="BKF136" s="54"/>
      <c r="BKG136" s="8"/>
      <c r="BKH136" s="54"/>
      <c r="BKI136" s="8"/>
      <c r="BKJ136" s="54"/>
      <c r="BKK136" s="8"/>
      <c r="BKL136" s="54"/>
      <c r="BKM136" s="8"/>
      <c r="BKN136" s="54"/>
      <c r="BKO136" s="8"/>
      <c r="BKP136" s="54"/>
      <c r="BKQ136" s="8"/>
      <c r="BKR136" s="54"/>
      <c r="BKS136" s="8"/>
      <c r="BKT136" s="54"/>
      <c r="BKU136" s="8"/>
      <c r="BKV136" s="54"/>
      <c r="BKW136" s="8"/>
      <c r="BKX136" s="54"/>
      <c r="BKY136" s="8"/>
      <c r="BKZ136" s="54"/>
      <c r="BLA136" s="8"/>
      <c r="BLB136" s="54"/>
      <c r="BLC136" s="8"/>
      <c r="BLD136" s="54"/>
      <c r="BLE136" s="8"/>
      <c r="BLF136" s="54"/>
      <c r="BLG136" s="8"/>
      <c r="BLH136" s="54"/>
      <c r="BLI136" s="8"/>
      <c r="BLJ136" s="54"/>
      <c r="BLK136" s="8"/>
      <c r="BLL136" s="54"/>
      <c r="BLM136" s="8"/>
      <c r="BLN136" s="54"/>
      <c r="BLO136" s="8"/>
      <c r="BLP136" s="54"/>
      <c r="BLQ136" s="8"/>
      <c r="BLR136" s="54"/>
      <c r="BLS136" s="8"/>
      <c r="BLT136" s="54"/>
      <c r="BLU136" s="8"/>
      <c r="BLV136" s="54"/>
      <c r="BLW136" s="8"/>
      <c r="BLX136" s="54"/>
      <c r="BLY136" s="8"/>
      <c r="BLZ136" s="54"/>
      <c r="BMA136" s="8"/>
      <c r="BMB136" s="54"/>
      <c r="BMC136" s="8"/>
      <c r="BMD136" s="54"/>
      <c r="BME136" s="8"/>
      <c r="BMF136" s="54"/>
      <c r="BMG136" s="8"/>
      <c r="BMH136" s="54"/>
      <c r="BMI136" s="8"/>
      <c r="BMJ136" s="54"/>
      <c r="BMK136" s="8"/>
      <c r="BML136" s="54"/>
      <c r="BMM136" s="8"/>
      <c r="BMN136" s="54"/>
      <c r="BMO136" s="8"/>
      <c r="BMP136" s="54"/>
      <c r="BMQ136" s="8"/>
      <c r="BMR136" s="54"/>
      <c r="BMS136" s="8"/>
      <c r="BMT136" s="54"/>
      <c r="BMU136" s="8"/>
      <c r="BMV136" s="54"/>
      <c r="BMW136" s="8"/>
      <c r="BMX136" s="54"/>
      <c r="BMY136" s="8"/>
      <c r="BMZ136" s="54"/>
      <c r="BNA136" s="8"/>
      <c r="BNB136" s="54"/>
      <c r="BNC136" s="8"/>
      <c r="BND136" s="54"/>
      <c r="BNE136" s="8"/>
      <c r="BNF136" s="54"/>
      <c r="BNG136" s="8"/>
      <c r="BNH136" s="54"/>
      <c r="BNI136" s="8"/>
      <c r="BNJ136" s="54"/>
      <c r="BNK136" s="8"/>
      <c r="BNL136" s="54"/>
      <c r="BNM136" s="8"/>
      <c r="BNN136" s="54"/>
      <c r="BNO136" s="8"/>
      <c r="BNP136" s="54"/>
      <c r="BNQ136" s="8"/>
      <c r="BNR136" s="54"/>
      <c r="BNS136" s="8"/>
      <c r="BNT136" s="54"/>
      <c r="BNU136" s="8"/>
      <c r="BNV136" s="54"/>
      <c r="BNW136" s="8"/>
      <c r="BNX136" s="54"/>
      <c r="BNY136" s="8"/>
      <c r="BNZ136" s="54"/>
      <c r="BOA136" s="8"/>
      <c r="BOB136" s="54"/>
      <c r="BOC136" s="8"/>
      <c r="BOD136" s="54"/>
      <c r="BOE136" s="8"/>
      <c r="BOF136" s="54"/>
      <c r="BOG136" s="8"/>
      <c r="BOH136" s="54"/>
      <c r="BOI136" s="8"/>
      <c r="BOJ136" s="54"/>
      <c r="BOK136" s="8"/>
      <c r="BOL136" s="54"/>
      <c r="BOM136" s="8"/>
      <c r="BON136" s="54"/>
      <c r="BOO136" s="8"/>
      <c r="BOP136" s="54"/>
      <c r="BOQ136" s="8"/>
      <c r="BOR136" s="54"/>
      <c r="BOS136" s="8"/>
      <c r="BOT136" s="54"/>
      <c r="BOU136" s="8"/>
      <c r="BOV136" s="54"/>
      <c r="BOW136" s="8"/>
      <c r="BOX136" s="54"/>
      <c r="BOY136" s="8"/>
      <c r="BOZ136" s="54"/>
      <c r="BPA136" s="8"/>
      <c r="BPB136" s="54"/>
      <c r="BPC136" s="8"/>
      <c r="BPD136" s="54"/>
      <c r="BPE136" s="8"/>
      <c r="BPF136" s="54"/>
      <c r="BPG136" s="8"/>
      <c r="BPH136" s="54"/>
      <c r="BPI136" s="8"/>
      <c r="BPJ136" s="54"/>
      <c r="BPK136" s="8"/>
      <c r="BPL136" s="54"/>
      <c r="BPM136" s="8"/>
      <c r="BPN136" s="54"/>
      <c r="BPO136" s="8"/>
      <c r="BPP136" s="54"/>
      <c r="BPQ136" s="8"/>
      <c r="BPR136" s="54"/>
      <c r="BPS136" s="8"/>
      <c r="BPT136" s="54"/>
      <c r="BPU136" s="8"/>
      <c r="BPV136" s="54"/>
      <c r="BPW136" s="8"/>
      <c r="BPX136" s="54"/>
      <c r="BPY136" s="8"/>
      <c r="BPZ136" s="54"/>
      <c r="BQA136" s="8"/>
      <c r="BQB136" s="54"/>
      <c r="BQC136" s="8"/>
      <c r="BQD136" s="54"/>
      <c r="BQE136" s="8"/>
      <c r="BQF136" s="54"/>
      <c r="BQG136" s="8"/>
      <c r="BQH136" s="54"/>
      <c r="BQI136" s="8"/>
      <c r="BQJ136" s="54"/>
      <c r="BQK136" s="8"/>
      <c r="BQL136" s="54"/>
      <c r="BQM136" s="8"/>
      <c r="BQN136" s="54"/>
      <c r="BQO136" s="8"/>
      <c r="BQP136" s="54"/>
      <c r="BQQ136" s="8"/>
      <c r="BQR136" s="54"/>
      <c r="BQS136" s="8"/>
      <c r="BQT136" s="54"/>
      <c r="BQU136" s="8"/>
      <c r="BQV136" s="54"/>
      <c r="BQW136" s="8"/>
      <c r="BQX136" s="54"/>
      <c r="BQY136" s="8"/>
      <c r="BQZ136" s="54"/>
      <c r="BRA136" s="8"/>
      <c r="BRB136" s="54"/>
      <c r="BRC136" s="8"/>
      <c r="BRD136" s="54"/>
      <c r="BRE136" s="8"/>
      <c r="BRF136" s="54"/>
      <c r="BRG136" s="8"/>
      <c r="BRH136" s="54"/>
      <c r="BRI136" s="8"/>
      <c r="BRJ136" s="54"/>
      <c r="BRK136" s="8"/>
      <c r="BRL136" s="54"/>
      <c r="BRM136" s="8"/>
      <c r="BRN136" s="54"/>
      <c r="BRO136" s="8"/>
      <c r="BRP136" s="54"/>
      <c r="BRQ136" s="8"/>
      <c r="BRR136" s="54"/>
      <c r="BRS136" s="8"/>
      <c r="BRT136" s="54"/>
      <c r="BRU136" s="8"/>
      <c r="BRV136" s="54"/>
      <c r="BRW136" s="8"/>
      <c r="BRX136" s="54"/>
      <c r="BRY136" s="8"/>
      <c r="BRZ136" s="54"/>
      <c r="BSA136" s="8"/>
      <c r="BSB136" s="54"/>
      <c r="BSC136" s="8"/>
      <c r="BSD136" s="54"/>
      <c r="BSE136" s="8"/>
      <c r="BSF136" s="54"/>
      <c r="BSG136" s="8"/>
      <c r="BSH136" s="54"/>
      <c r="BSI136" s="8"/>
      <c r="BSJ136" s="54"/>
      <c r="BSK136" s="8"/>
      <c r="BSL136" s="54"/>
      <c r="BSM136" s="8"/>
      <c r="BSN136" s="54"/>
      <c r="BSO136" s="8"/>
      <c r="BSP136" s="54"/>
      <c r="BSQ136" s="8"/>
      <c r="BSR136" s="54"/>
      <c r="BSS136" s="8"/>
      <c r="BST136" s="54"/>
      <c r="BSU136" s="8"/>
      <c r="BSV136" s="54"/>
      <c r="BSW136" s="8"/>
      <c r="BSX136" s="54"/>
      <c r="BSY136" s="8"/>
      <c r="BSZ136" s="54"/>
      <c r="BTA136" s="8"/>
      <c r="BTB136" s="54"/>
      <c r="BTC136" s="8"/>
      <c r="BTD136" s="54"/>
      <c r="BTE136" s="8"/>
      <c r="BTF136" s="54"/>
      <c r="BTG136" s="8"/>
      <c r="BTH136" s="54"/>
      <c r="BTI136" s="8"/>
      <c r="BTJ136" s="54"/>
      <c r="BTK136" s="8"/>
      <c r="BTL136" s="54"/>
      <c r="BTM136" s="8"/>
      <c r="BTN136" s="54"/>
      <c r="BTO136" s="8"/>
      <c r="BTP136" s="54"/>
      <c r="BTQ136" s="8"/>
      <c r="BTR136" s="54"/>
      <c r="BTS136" s="8"/>
      <c r="BTT136" s="54"/>
      <c r="BTU136" s="8"/>
      <c r="BTV136" s="54"/>
      <c r="BTW136" s="8"/>
      <c r="BTX136" s="54"/>
      <c r="BTY136" s="8"/>
      <c r="BTZ136" s="54"/>
      <c r="BUA136" s="8"/>
      <c r="BUB136" s="54"/>
      <c r="BUC136" s="8"/>
      <c r="BUD136" s="54"/>
      <c r="BUE136" s="8"/>
      <c r="BUF136" s="54"/>
      <c r="BUG136" s="8"/>
      <c r="BUH136" s="54"/>
      <c r="BUI136" s="8"/>
      <c r="BUJ136" s="54"/>
      <c r="BUK136" s="8"/>
      <c r="BUL136" s="54"/>
      <c r="BUM136" s="8"/>
      <c r="BUN136" s="54"/>
      <c r="BUO136" s="8"/>
      <c r="BUP136" s="54"/>
      <c r="BUQ136" s="8"/>
      <c r="BUR136" s="54"/>
      <c r="BUS136" s="8"/>
      <c r="BUT136" s="54"/>
      <c r="BUU136" s="8"/>
      <c r="BUV136" s="54"/>
      <c r="BUW136" s="8"/>
      <c r="BUX136" s="54"/>
      <c r="BUY136" s="8"/>
      <c r="BUZ136" s="54"/>
      <c r="BVA136" s="8"/>
      <c r="BVB136" s="54"/>
      <c r="BVC136" s="8"/>
      <c r="BVD136" s="54"/>
      <c r="BVE136" s="8"/>
      <c r="BVF136" s="54"/>
      <c r="BVG136" s="8"/>
      <c r="BVH136" s="54"/>
      <c r="BVI136" s="8"/>
      <c r="BVJ136" s="54"/>
      <c r="BVK136" s="8"/>
      <c r="BVL136" s="54"/>
      <c r="BVM136" s="8"/>
      <c r="BVN136" s="54"/>
      <c r="BVO136" s="8"/>
      <c r="BVP136" s="54"/>
      <c r="BVQ136" s="8"/>
      <c r="BVR136" s="54"/>
      <c r="BVS136" s="8"/>
      <c r="BVT136" s="54"/>
      <c r="BVU136" s="8"/>
      <c r="BVV136" s="54"/>
      <c r="BVW136" s="8"/>
      <c r="BVX136" s="54"/>
      <c r="BVY136" s="8"/>
      <c r="BVZ136" s="54"/>
      <c r="BWA136" s="8"/>
      <c r="BWB136" s="54"/>
      <c r="BWC136" s="8"/>
      <c r="BWD136" s="54"/>
      <c r="BWE136" s="8"/>
      <c r="BWF136" s="54"/>
      <c r="BWG136" s="8"/>
      <c r="BWH136" s="54"/>
      <c r="BWI136" s="8"/>
      <c r="BWJ136" s="54"/>
      <c r="BWK136" s="8"/>
      <c r="BWL136" s="54"/>
      <c r="BWM136" s="8"/>
      <c r="BWN136" s="54"/>
      <c r="BWO136" s="8"/>
      <c r="BWP136" s="54"/>
      <c r="BWQ136" s="8"/>
      <c r="BWR136" s="54"/>
      <c r="BWS136" s="8"/>
      <c r="BWT136" s="54"/>
      <c r="BWU136" s="8"/>
      <c r="BWV136" s="54"/>
      <c r="BWW136" s="8"/>
      <c r="BWX136" s="54"/>
      <c r="BWY136" s="8"/>
      <c r="BWZ136" s="54"/>
      <c r="BXA136" s="8"/>
      <c r="BXB136" s="54"/>
      <c r="BXC136" s="8"/>
      <c r="BXD136" s="54"/>
      <c r="BXE136" s="8"/>
      <c r="BXF136" s="54"/>
      <c r="BXG136" s="8"/>
      <c r="BXH136" s="54"/>
      <c r="BXI136" s="8"/>
      <c r="BXJ136" s="54"/>
      <c r="BXK136" s="8"/>
      <c r="BXL136" s="54"/>
      <c r="BXM136" s="8"/>
      <c r="BXN136" s="54"/>
      <c r="BXO136" s="8"/>
      <c r="BXP136" s="54"/>
      <c r="BXQ136" s="8"/>
      <c r="BXR136" s="54"/>
      <c r="BXS136" s="8"/>
      <c r="BXT136" s="54"/>
      <c r="BXU136" s="8"/>
      <c r="BXV136" s="54"/>
      <c r="BXW136" s="8"/>
      <c r="BXX136" s="54"/>
      <c r="BXY136" s="8"/>
      <c r="BXZ136" s="54"/>
      <c r="BYA136" s="8"/>
      <c r="BYB136" s="54"/>
      <c r="BYC136" s="8"/>
      <c r="BYD136" s="54"/>
      <c r="BYE136" s="8"/>
      <c r="BYF136" s="54"/>
      <c r="BYG136" s="8"/>
      <c r="BYH136" s="54"/>
      <c r="BYI136" s="8"/>
      <c r="BYJ136" s="54"/>
      <c r="BYK136" s="8"/>
      <c r="BYL136" s="54"/>
      <c r="BYM136" s="8"/>
      <c r="BYN136" s="54"/>
      <c r="BYO136" s="8"/>
      <c r="BYP136" s="54"/>
      <c r="BYQ136" s="8"/>
      <c r="BYR136" s="54"/>
      <c r="BYS136" s="8"/>
      <c r="BYT136" s="54"/>
      <c r="BYU136" s="8"/>
      <c r="BYV136" s="54"/>
      <c r="BYW136" s="8"/>
      <c r="BYX136" s="54"/>
      <c r="BYY136" s="8"/>
      <c r="BYZ136" s="54"/>
      <c r="BZA136" s="8"/>
      <c r="BZB136" s="54"/>
      <c r="BZC136" s="8"/>
      <c r="BZD136" s="54"/>
      <c r="BZE136" s="8"/>
      <c r="BZF136" s="54"/>
      <c r="BZG136" s="8"/>
      <c r="BZH136" s="54"/>
      <c r="BZI136" s="8"/>
      <c r="BZJ136" s="54"/>
      <c r="BZK136" s="8"/>
      <c r="BZL136" s="54"/>
      <c r="BZM136" s="8"/>
      <c r="BZN136" s="54"/>
      <c r="BZO136" s="8"/>
      <c r="BZP136" s="54"/>
      <c r="BZQ136" s="8"/>
      <c r="BZR136" s="54"/>
      <c r="BZS136" s="8"/>
      <c r="BZT136" s="54"/>
      <c r="BZU136" s="8"/>
      <c r="BZV136" s="54"/>
      <c r="BZW136" s="8"/>
      <c r="BZX136" s="54"/>
      <c r="BZY136" s="8"/>
      <c r="BZZ136" s="54"/>
      <c r="CAA136" s="8"/>
      <c r="CAB136" s="54"/>
      <c r="CAC136" s="8"/>
      <c r="CAD136" s="54"/>
      <c r="CAE136" s="8"/>
      <c r="CAF136" s="54"/>
      <c r="CAG136" s="8"/>
      <c r="CAH136" s="54"/>
      <c r="CAI136" s="8"/>
      <c r="CAJ136" s="54"/>
      <c r="CAK136" s="8"/>
      <c r="CAL136" s="54"/>
      <c r="CAM136" s="8"/>
      <c r="CAN136" s="54"/>
      <c r="CAO136" s="8"/>
      <c r="CAP136" s="54"/>
      <c r="CAQ136" s="8"/>
      <c r="CAR136" s="54"/>
      <c r="CAS136" s="8"/>
      <c r="CAT136" s="54"/>
      <c r="CAU136" s="8"/>
      <c r="CAV136" s="54"/>
      <c r="CAW136" s="8"/>
      <c r="CAX136" s="54"/>
      <c r="CAY136" s="8"/>
      <c r="CAZ136" s="54"/>
      <c r="CBA136" s="8"/>
      <c r="CBB136" s="54"/>
      <c r="CBC136" s="8"/>
      <c r="CBD136" s="54"/>
      <c r="CBE136" s="8"/>
      <c r="CBF136" s="54"/>
      <c r="CBG136" s="8"/>
      <c r="CBH136" s="54"/>
      <c r="CBI136" s="8"/>
      <c r="CBJ136" s="54"/>
      <c r="CBK136" s="8"/>
      <c r="CBL136" s="54"/>
      <c r="CBM136" s="8"/>
      <c r="CBN136" s="54"/>
      <c r="CBO136" s="8"/>
      <c r="CBP136" s="54"/>
      <c r="CBQ136" s="8"/>
      <c r="CBR136" s="54"/>
      <c r="CBS136" s="8"/>
      <c r="CBT136" s="54"/>
      <c r="CBU136" s="8"/>
      <c r="CBV136" s="54"/>
      <c r="CBW136" s="8"/>
      <c r="CBX136" s="54"/>
      <c r="CBY136" s="8"/>
      <c r="CBZ136" s="54"/>
      <c r="CCA136" s="8"/>
      <c r="CCB136" s="54"/>
      <c r="CCC136" s="8"/>
      <c r="CCD136" s="54"/>
      <c r="CCE136" s="8"/>
      <c r="CCF136" s="54"/>
      <c r="CCG136" s="8"/>
      <c r="CCH136" s="54"/>
      <c r="CCI136" s="8"/>
      <c r="CCJ136" s="54"/>
      <c r="CCK136" s="8"/>
      <c r="CCL136" s="54"/>
      <c r="CCM136" s="8"/>
      <c r="CCN136" s="54"/>
      <c r="CCO136" s="8"/>
      <c r="CCP136" s="54"/>
      <c r="CCQ136" s="8"/>
      <c r="CCR136" s="54"/>
      <c r="CCS136" s="8"/>
      <c r="CCT136" s="54"/>
      <c r="CCU136" s="8"/>
      <c r="CCV136" s="54"/>
      <c r="CCW136" s="8"/>
      <c r="CCX136" s="54"/>
      <c r="CCY136" s="8"/>
      <c r="CCZ136" s="54"/>
      <c r="CDA136" s="8"/>
      <c r="CDB136" s="54"/>
      <c r="CDC136" s="8"/>
      <c r="CDD136" s="54"/>
      <c r="CDE136" s="8"/>
      <c r="CDF136" s="54"/>
      <c r="CDG136" s="8"/>
      <c r="CDH136" s="54"/>
      <c r="CDI136" s="8"/>
      <c r="CDJ136" s="54"/>
      <c r="CDK136" s="8"/>
      <c r="CDL136" s="54"/>
      <c r="CDM136" s="8"/>
      <c r="CDN136" s="54"/>
      <c r="CDO136" s="8"/>
      <c r="CDP136" s="54"/>
      <c r="CDQ136" s="8"/>
      <c r="CDR136" s="54"/>
      <c r="CDS136" s="8"/>
      <c r="CDT136" s="54"/>
      <c r="CDU136" s="8"/>
      <c r="CDV136" s="54"/>
      <c r="CDW136" s="8"/>
      <c r="CDX136" s="54"/>
      <c r="CDY136" s="8"/>
      <c r="CDZ136" s="54"/>
      <c r="CEA136" s="8"/>
      <c r="CEB136" s="54"/>
      <c r="CEC136" s="8"/>
      <c r="CED136" s="54"/>
      <c r="CEE136" s="8"/>
      <c r="CEF136" s="54"/>
      <c r="CEG136" s="8"/>
      <c r="CEH136" s="54"/>
      <c r="CEI136" s="8"/>
      <c r="CEJ136" s="54"/>
      <c r="CEK136" s="8"/>
      <c r="CEL136" s="54"/>
      <c r="CEM136" s="8"/>
      <c r="CEN136" s="54"/>
      <c r="CEO136" s="8"/>
      <c r="CEP136" s="54"/>
      <c r="CEQ136" s="8"/>
      <c r="CER136" s="54"/>
      <c r="CES136" s="8"/>
      <c r="CET136" s="54"/>
      <c r="CEU136" s="8"/>
      <c r="CEV136" s="54"/>
      <c r="CEW136" s="8"/>
      <c r="CEX136" s="54"/>
      <c r="CEY136" s="8"/>
      <c r="CEZ136" s="54"/>
      <c r="CFA136" s="8"/>
      <c r="CFB136" s="54"/>
      <c r="CFC136" s="8"/>
      <c r="CFD136" s="54"/>
      <c r="CFE136" s="8"/>
      <c r="CFF136" s="54"/>
      <c r="CFG136" s="8"/>
      <c r="CFH136" s="54"/>
      <c r="CFI136" s="8"/>
      <c r="CFJ136" s="54"/>
      <c r="CFK136" s="8"/>
      <c r="CFL136" s="54"/>
      <c r="CFM136" s="8"/>
      <c r="CFN136" s="54"/>
      <c r="CFO136" s="8"/>
      <c r="CFP136" s="54"/>
      <c r="CFQ136" s="8"/>
      <c r="CFR136" s="54"/>
      <c r="CFS136" s="8"/>
      <c r="CFT136" s="54"/>
      <c r="CFU136" s="8"/>
      <c r="CFV136" s="54"/>
      <c r="CFW136" s="8"/>
      <c r="CFX136" s="54"/>
      <c r="CFY136" s="8"/>
      <c r="CFZ136" s="54"/>
      <c r="CGA136" s="8"/>
      <c r="CGB136" s="54"/>
      <c r="CGC136" s="8"/>
      <c r="CGD136" s="54"/>
      <c r="CGE136" s="8"/>
      <c r="CGF136" s="54"/>
      <c r="CGG136" s="8"/>
      <c r="CGH136" s="54"/>
      <c r="CGI136" s="8"/>
      <c r="CGJ136" s="54"/>
      <c r="CGK136" s="8"/>
      <c r="CGL136" s="54"/>
      <c r="CGM136" s="8"/>
      <c r="CGN136" s="54"/>
      <c r="CGO136" s="8"/>
      <c r="CGP136" s="54"/>
      <c r="CGQ136" s="8"/>
      <c r="CGR136" s="54"/>
      <c r="CGS136" s="8"/>
      <c r="CGT136" s="54"/>
      <c r="CGU136" s="8"/>
      <c r="CGV136" s="54"/>
      <c r="CGW136" s="8"/>
      <c r="CGX136" s="54"/>
      <c r="CGY136" s="8"/>
      <c r="CGZ136" s="54"/>
      <c r="CHA136" s="8"/>
      <c r="CHB136" s="54"/>
      <c r="CHC136" s="8"/>
      <c r="CHD136" s="54"/>
      <c r="CHE136" s="8"/>
      <c r="CHF136" s="54"/>
      <c r="CHG136" s="8"/>
      <c r="CHH136" s="54"/>
      <c r="CHI136" s="8"/>
      <c r="CHJ136" s="54"/>
      <c r="CHK136" s="8"/>
      <c r="CHL136" s="54"/>
      <c r="CHM136" s="8"/>
      <c r="CHN136" s="54"/>
      <c r="CHO136" s="8"/>
      <c r="CHP136" s="54"/>
      <c r="CHQ136" s="8"/>
      <c r="CHR136" s="54"/>
      <c r="CHS136" s="8"/>
      <c r="CHT136" s="54"/>
      <c r="CHU136" s="8"/>
      <c r="CHV136" s="54"/>
      <c r="CHW136" s="8"/>
      <c r="CHX136" s="54"/>
      <c r="CHY136" s="8"/>
      <c r="CHZ136" s="54"/>
      <c r="CIA136" s="8"/>
      <c r="CIB136" s="54"/>
      <c r="CIC136" s="8"/>
      <c r="CID136" s="54"/>
      <c r="CIE136" s="8"/>
      <c r="CIF136" s="54"/>
      <c r="CIG136" s="8"/>
      <c r="CIH136" s="54"/>
      <c r="CII136" s="8"/>
      <c r="CIJ136" s="54"/>
      <c r="CIK136" s="8"/>
      <c r="CIL136" s="54"/>
      <c r="CIM136" s="8"/>
      <c r="CIN136" s="54"/>
      <c r="CIO136" s="8"/>
      <c r="CIP136" s="54"/>
      <c r="CIQ136" s="8"/>
      <c r="CIR136" s="54"/>
      <c r="CIS136" s="8"/>
      <c r="CIT136" s="54"/>
      <c r="CIU136" s="8"/>
      <c r="CIV136" s="54"/>
      <c r="CIW136" s="8"/>
      <c r="CIX136" s="54"/>
      <c r="CIY136" s="8"/>
      <c r="CIZ136" s="54"/>
      <c r="CJA136" s="8"/>
      <c r="CJB136" s="54"/>
      <c r="CJC136" s="8"/>
      <c r="CJD136" s="54"/>
      <c r="CJE136" s="8"/>
      <c r="CJF136" s="54"/>
      <c r="CJG136" s="8"/>
      <c r="CJH136" s="54"/>
      <c r="CJI136" s="8"/>
      <c r="CJJ136" s="54"/>
      <c r="CJK136" s="8"/>
      <c r="CJL136" s="54"/>
      <c r="CJM136" s="8"/>
      <c r="CJN136" s="54"/>
      <c r="CJO136" s="8"/>
      <c r="CJP136" s="54"/>
      <c r="CJQ136" s="8"/>
      <c r="CJR136" s="54"/>
      <c r="CJS136" s="8"/>
      <c r="CJT136" s="54"/>
      <c r="CJU136" s="8"/>
      <c r="CJV136" s="54"/>
      <c r="CJW136" s="8"/>
      <c r="CJX136" s="54"/>
      <c r="CJY136" s="8"/>
      <c r="CJZ136" s="54"/>
      <c r="CKA136" s="8"/>
      <c r="CKB136" s="54"/>
      <c r="CKC136" s="8"/>
      <c r="CKD136" s="54"/>
      <c r="CKE136" s="8"/>
      <c r="CKF136" s="54"/>
      <c r="CKG136" s="8"/>
      <c r="CKH136" s="54"/>
      <c r="CKI136" s="8"/>
      <c r="CKJ136" s="54"/>
      <c r="CKK136" s="8"/>
      <c r="CKL136" s="54"/>
      <c r="CKM136" s="8"/>
      <c r="CKN136" s="54"/>
      <c r="CKO136" s="8"/>
      <c r="CKP136" s="54"/>
      <c r="CKQ136" s="8"/>
      <c r="CKR136" s="54"/>
      <c r="CKS136" s="8"/>
      <c r="CKT136" s="54"/>
      <c r="CKU136" s="8"/>
      <c r="CKV136" s="54"/>
      <c r="CKW136" s="8"/>
      <c r="CKX136" s="54"/>
      <c r="CKY136" s="8"/>
      <c r="CKZ136" s="54"/>
      <c r="CLA136" s="8"/>
      <c r="CLB136" s="54"/>
      <c r="CLC136" s="8"/>
      <c r="CLD136" s="54"/>
      <c r="CLE136" s="8"/>
      <c r="CLF136" s="54"/>
      <c r="CLG136" s="8"/>
      <c r="CLH136" s="54"/>
      <c r="CLI136" s="8"/>
      <c r="CLJ136" s="54"/>
      <c r="CLK136" s="8"/>
      <c r="CLL136" s="54"/>
      <c r="CLM136" s="8"/>
      <c r="CLN136" s="54"/>
      <c r="CLO136" s="8"/>
      <c r="CLP136" s="54"/>
      <c r="CLQ136" s="8"/>
      <c r="CLR136" s="54"/>
      <c r="CLS136" s="8"/>
      <c r="CLT136" s="54"/>
      <c r="CLU136" s="8"/>
      <c r="CLV136" s="54"/>
      <c r="CLW136" s="8"/>
      <c r="CLX136" s="54"/>
      <c r="CLY136" s="8"/>
      <c r="CLZ136" s="54"/>
      <c r="CMA136" s="8"/>
      <c r="CMB136" s="54"/>
      <c r="CMC136" s="8"/>
      <c r="CMD136" s="54"/>
      <c r="CME136" s="8"/>
      <c r="CMF136" s="54"/>
      <c r="CMG136" s="8"/>
      <c r="CMH136" s="54"/>
      <c r="CMI136" s="8"/>
      <c r="CMJ136" s="54"/>
      <c r="CMK136" s="8"/>
      <c r="CML136" s="54"/>
      <c r="CMM136" s="8"/>
      <c r="CMN136" s="54"/>
      <c r="CMO136" s="8"/>
      <c r="CMP136" s="54"/>
      <c r="CMQ136" s="8"/>
      <c r="CMR136" s="54"/>
      <c r="CMS136" s="8"/>
      <c r="CMT136" s="54"/>
      <c r="CMU136" s="8"/>
      <c r="CMV136" s="54"/>
      <c r="CMW136" s="8"/>
      <c r="CMX136" s="54"/>
      <c r="CMY136" s="8"/>
      <c r="CMZ136" s="54"/>
      <c r="CNA136" s="8"/>
      <c r="CNB136" s="54"/>
      <c r="CNC136" s="8"/>
      <c r="CND136" s="54"/>
      <c r="CNE136" s="8"/>
      <c r="CNF136" s="54"/>
      <c r="CNG136" s="8"/>
      <c r="CNH136" s="54"/>
      <c r="CNI136" s="8"/>
      <c r="CNJ136" s="54"/>
      <c r="CNK136" s="8"/>
      <c r="CNL136" s="54"/>
      <c r="CNM136" s="8"/>
      <c r="CNN136" s="54"/>
      <c r="CNO136" s="8"/>
      <c r="CNP136" s="54"/>
      <c r="CNQ136" s="8"/>
      <c r="CNR136" s="54"/>
      <c r="CNS136" s="8"/>
      <c r="CNT136" s="54"/>
      <c r="CNU136" s="8"/>
      <c r="CNV136" s="54"/>
      <c r="CNW136" s="8"/>
      <c r="CNX136" s="54"/>
      <c r="CNY136" s="8"/>
      <c r="CNZ136" s="54"/>
      <c r="COA136" s="8"/>
      <c r="COB136" s="54"/>
      <c r="COC136" s="8"/>
      <c r="COD136" s="54"/>
      <c r="COE136" s="8"/>
      <c r="COF136" s="54"/>
      <c r="COG136" s="8"/>
      <c r="COH136" s="54"/>
      <c r="COI136" s="8"/>
      <c r="COJ136" s="54"/>
      <c r="COK136" s="8"/>
      <c r="COL136" s="54"/>
      <c r="COM136" s="8"/>
      <c r="CON136" s="54"/>
      <c r="COO136" s="8"/>
      <c r="COP136" s="54"/>
      <c r="COQ136" s="8"/>
      <c r="COR136" s="54"/>
      <c r="COS136" s="8"/>
      <c r="COT136" s="54"/>
      <c r="COU136" s="8"/>
      <c r="COV136" s="54"/>
      <c r="COW136" s="8"/>
      <c r="COX136" s="54"/>
      <c r="COY136" s="8"/>
      <c r="COZ136" s="54"/>
      <c r="CPA136" s="8"/>
      <c r="CPB136" s="54"/>
      <c r="CPC136" s="8"/>
      <c r="CPD136" s="54"/>
      <c r="CPE136" s="8"/>
      <c r="CPF136" s="54"/>
      <c r="CPG136" s="8"/>
      <c r="CPH136" s="54"/>
      <c r="CPI136" s="8"/>
      <c r="CPJ136" s="54"/>
      <c r="CPK136" s="8"/>
      <c r="CPL136" s="54"/>
      <c r="CPM136" s="8"/>
      <c r="CPN136" s="54"/>
      <c r="CPO136" s="8"/>
      <c r="CPP136" s="54"/>
      <c r="CPQ136" s="8"/>
      <c r="CPR136" s="54"/>
      <c r="CPS136" s="8"/>
      <c r="CPT136" s="54"/>
      <c r="CPU136" s="8"/>
      <c r="CPV136" s="54"/>
      <c r="CPW136" s="8"/>
      <c r="CPX136" s="54"/>
      <c r="CPY136" s="8"/>
      <c r="CPZ136" s="54"/>
      <c r="CQA136" s="8"/>
      <c r="CQB136" s="54"/>
      <c r="CQC136" s="8"/>
      <c r="CQD136" s="54"/>
      <c r="CQE136" s="8"/>
      <c r="CQF136" s="54"/>
      <c r="CQG136" s="8"/>
      <c r="CQH136" s="54"/>
      <c r="CQI136" s="8"/>
      <c r="CQJ136" s="54"/>
      <c r="CQK136" s="8"/>
      <c r="CQL136" s="54"/>
      <c r="CQM136" s="8"/>
      <c r="CQN136" s="54"/>
      <c r="CQO136" s="8"/>
      <c r="CQP136" s="54"/>
      <c r="CQQ136" s="8"/>
      <c r="CQR136" s="54"/>
      <c r="CQS136" s="8"/>
      <c r="CQT136" s="54"/>
      <c r="CQU136" s="8"/>
      <c r="CQV136" s="54"/>
      <c r="CQW136" s="8"/>
      <c r="CQX136" s="54"/>
      <c r="CQY136" s="8"/>
      <c r="CQZ136" s="54"/>
      <c r="CRA136" s="8"/>
      <c r="CRB136" s="54"/>
      <c r="CRC136" s="8"/>
      <c r="CRD136" s="54"/>
      <c r="CRE136" s="8"/>
      <c r="CRF136" s="54"/>
      <c r="CRG136" s="8"/>
      <c r="CRH136" s="54"/>
      <c r="CRI136" s="8"/>
      <c r="CRJ136" s="54"/>
      <c r="CRK136" s="8"/>
      <c r="CRL136" s="54"/>
      <c r="CRM136" s="8"/>
      <c r="CRN136" s="54"/>
      <c r="CRO136" s="8"/>
      <c r="CRP136" s="54"/>
      <c r="CRQ136" s="8"/>
      <c r="CRR136" s="54"/>
      <c r="CRS136" s="8"/>
      <c r="CRT136" s="54"/>
      <c r="CRU136" s="8"/>
      <c r="CRV136" s="54"/>
      <c r="CRW136" s="8"/>
      <c r="CRX136" s="54"/>
      <c r="CRY136" s="8"/>
      <c r="CRZ136" s="54"/>
      <c r="CSA136" s="8"/>
      <c r="CSB136" s="54"/>
      <c r="CSC136" s="8"/>
      <c r="CSD136" s="54"/>
      <c r="CSE136" s="8"/>
      <c r="CSF136" s="54"/>
      <c r="CSG136" s="8"/>
      <c r="CSH136" s="54"/>
      <c r="CSI136" s="8"/>
      <c r="CSJ136" s="54"/>
      <c r="CSK136" s="8"/>
      <c r="CSL136" s="54"/>
      <c r="CSM136" s="8"/>
      <c r="CSN136" s="54"/>
      <c r="CSO136" s="8"/>
      <c r="CSP136" s="54"/>
      <c r="CSQ136" s="8"/>
      <c r="CSR136" s="54"/>
      <c r="CSS136" s="8"/>
      <c r="CST136" s="54"/>
      <c r="CSU136" s="8"/>
      <c r="CSV136" s="54"/>
      <c r="CSW136" s="8"/>
      <c r="CSX136" s="54"/>
      <c r="CSY136" s="8"/>
      <c r="CSZ136" s="54"/>
      <c r="CTA136" s="8"/>
      <c r="CTB136" s="54"/>
      <c r="CTC136" s="8"/>
      <c r="CTD136" s="54"/>
      <c r="CTE136" s="8"/>
      <c r="CTF136" s="54"/>
      <c r="CTG136" s="8"/>
      <c r="CTH136" s="54"/>
      <c r="CTI136" s="8"/>
      <c r="CTJ136" s="54"/>
      <c r="CTK136" s="8"/>
      <c r="CTL136" s="54"/>
      <c r="CTM136" s="8"/>
      <c r="CTN136" s="54"/>
      <c r="CTO136" s="8"/>
      <c r="CTP136" s="54"/>
      <c r="CTQ136" s="8"/>
      <c r="CTR136" s="54"/>
      <c r="CTS136" s="8"/>
      <c r="CTT136" s="54"/>
      <c r="CTU136" s="8"/>
      <c r="CTV136" s="54"/>
      <c r="CTW136" s="8"/>
      <c r="CTX136" s="54"/>
      <c r="CTY136" s="8"/>
      <c r="CTZ136" s="54"/>
      <c r="CUA136" s="8"/>
      <c r="CUB136" s="54"/>
      <c r="CUC136" s="8"/>
      <c r="CUD136" s="54"/>
      <c r="CUE136" s="8"/>
      <c r="CUF136" s="54"/>
      <c r="CUG136" s="8"/>
      <c r="CUH136" s="54"/>
      <c r="CUI136" s="8"/>
      <c r="CUJ136" s="54"/>
      <c r="CUK136" s="8"/>
      <c r="CUL136" s="54"/>
      <c r="CUM136" s="8"/>
      <c r="CUN136" s="54"/>
      <c r="CUO136" s="8"/>
      <c r="CUP136" s="54"/>
      <c r="CUQ136" s="8"/>
      <c r="CUR136" s="54"/>
      <c r="CUS136" s="8"/>
      <c r="CUT136" s="54"/>
      <c r="CUU136" s="8"/>
      <c r="CUV136" s="54"/>
      <c r="CUW136" s="8"/>
      <c r="CUX136" s="54"/>
      <c r="CUY136" s="8"/>
      <c r="CUZ136" s="54"/>
      <c r="CVA136" s="8"/>
      <c r="CVB136" s="54"/>
      <c r="CVC136" s="8"/>
      <c r="CVD136" s="54"/>
      <c r="CVE136" s="8"/>
      <c r="CVF136" s="54"/>
      <c r="CVG136" s="8"/>
      <c r="CVH136" s="54"/>
      <c r="CVI136" s="8"/>
      <c r="CVJ136" s="54"/>
      <c r="CVK136" s="8"/>
      <c r="CVL136" s="54"/>
      <c r="CVM136" s="8"/>
      <c r="CVN136" s="54"/>
      <c r="CVO136" s="8"/>
      <c r="CVP136" s="54"/>
      <c r="CVQ136" s="8"/>
      <c r="CVR136" s="54"/>
      <c r="CVS136" s="8"/>
      <c r="CVT136" s="54"/>
      <c r="CVU136" s="8"/>
      <c r="CVV136" s="54"/>
      <c r="CVW136" s="8"/>
      <c r="CVX136" s="54"/>
      <c r="CVY136" s="8"/>
      <c r="CVZ136" s="54"/>
      <c r="CWA136" s="8"/>
      <c r="CWB136" s="54"/>
      <c r="CWC136" s="8"/>
      <c r="CWD136" s="54"/>
      <c r="CWE136" s="8"/>
      <c r="CWF136" s="54"/>
      <c r="CWG136" s="8"/>
      <c r="CWH136" s="54"/>
      <c r="CWI136" s="8"/>
      <c r="CWJ136" s="54"/>
      <c r="CWK136" s="8"/>
      <c r="CWL136" s="54"/>
      <c r="CWM136" s="8"/>
      <c r="CWN136" s="54"/>
      <c r="CWO136" s="8"/>
      <c r="CWP136" s="54"/>
      <c r="CWQ136" s="8"/>
      <c r="CWR136" s="54"/>
      <c r="CWS136" s="8"/>
      <c r="CWT136" s="54"/>
      <c r="CWU136" s="8"/>
      <c r="CWV136" s="54"/>
      <c r="CWW136" s="8"/>
      <c r="CWX136" s="54"/>
      <c r="CWY136" s="8"/>
      <c r="CWZ136" s="54"/>
      <c r="CXA136" s="8"/>
      <c r="CXB136" s="54"/>
      <c r="CXC136" s="8"/>
      <c r="CXD136" s="54"/>
      <c r="CXE136" s="8"/>
      <c r="CXF136" s="54"/>
      <c r="CXG136" s="8"/>
      <c r="CXH136" s="54"/>
      <c r="CXI136" s="8"/>
      <c r="CXJ136" s="54"/>
      <c r="CXK136" s="8"/>
      <c r="CXL136" s="54"/>
      <c r="CXM136" s="8"/>
      <c r="CXN136" s="54"/>
      <c r="CXO136" s="8"/>
      <c r="CXP136" s="54"/>
      <c r="CXQ136" s="8"/>
      <c r="CXR136" s="54"/>
      <c r="CXS136" s="8"/>
      <c r="CXT136" s="54"/>
      <c r="CXU136" s="8"/>
      <c r="CXV136" s="54"/>
      <c r="CXW136" s="8"/>
      <c r="CXX136" s="54"/>
      <c r="CXY136" s="8"/>
      <c r="CXZ136" s="54"/>
      <c r="CYA136" s="8"/>
      <c r="CYB136" s="54"/>
      <c r="CYC136" s="8"/>
      <c r="CYD136" s="54"/>
      <c r="CYE136" s="8"/>
      <c r="CYF136" s="54"/>
      <c r="CYG136" s="8"/>
      <c r="CYH136" s="54"/>
      <c r="CYI136" s="8"/>
      <c r="CYJ136" s="54"/>
      <c r="CYK136" s="8"/>
      <c r="CYL136" s="54"/>
      <c r="CYM136" s="8"/>
      <c r="CYN136" s="54"/>
      <c r="CYO136" s="8"/>
      <c r="CYP136" s="54"/>
      <c r="CYQ136" s="8"/>
      <c r="CYR136" s="54"/>
      <c r="CYS136" s="8"/>
      <c r="CYT136" s="54"/>
      <c r="CYU136" s="8"/>
      <c r="CYV136" s="54"/>
      <c r="CYW136" s="8"/>
      <c r="CYX136" s="54"/>
      <c r="CYY136" s="8"/>
      <c r="CYZ136" s="54"/>
      <c r="CZA136" s="8"/>
      <c r="CZB136" s="54"/>
      <c r="CZC136" s="8"/>
      <c r="CZD136" s="54"/>
      <c r="CZE136" s="8"/>
      <c r="CZF136" s="54"/>
      <c r="CZG136" s="8"/>
      <c r="CZH136" s="54"/>
      <c r="CZI136" s="8"/>
      <c r="CZJ136" s="54"/>
      <c r="CZK136" s="8"/>
      <c r="CZL136" s="54"/>
      <c r="CZM136" s="8"/>
      <c r="CZN136" s="54"/>
      <c r="CZO136" s="8"/>
      <c r="CZP136" s="54"/>
      <c r="CZQ136" s="8"/>
      <c r="CZR136" s="54"/>
      <c r="CZS136" s="8"/>
      <c r="CZT136" s="54"/>
      <c r="CZU136" s="8"/>
      <c r="CZV136" s="54"/>
      <c r="CZW136" s="8"/>
      <c r="CZX136" s="54"/>
      <c r="CZY136" s="8"/>
      <c r="CZZ136" s="54"/>
      <c r="DAA136" s="8"/>
      <c r="DAB136" s="54"/>
      <c r="DAC136" s="8"/>
      <c r="DAD136" s="54"/>
      <c r="DAE136" s="8"/>
      <c r="DAF136" s="54"/>
      <c r="DAG136" s="8"/>
      <c r="DAH136" s="54"/>
      <c r="DAI136" s="8"/>
      <c r="DAJ136" s="54"/>
      <c r="DAK136" s="8"/>
      <c r="DAL136" s="54"/>
      <c r="DAM136" s="8"/>
      <c r="DAN136" s="54"/>
      <c r="DAO136" s="8"/>
      <c r="DAP136" s="54"/>
      <c r="DAQ136" s="8"/>
      <c r="DAR136" s="54"/>
      <c r="DAS136" s="8"/>
      <c r="DAT136" s="54"/>
      <c r="DAU136" s="8"/>
      <c r="DAV136" s="54"/>
      <c r="DAW136" s="8"/>
      <c r="DAX136" s="54"/>
      <c r="DAY136" s="8"/>
      <c r="DAZ136" s="54"/>
      <c r="DBA136" s="8"/>
      <c r="DBB136" s="54"/>
      <c r="DBC136" s="8"/>
      <c r="DBD136" s="54"/>
      <c r="DBE136" s="8"/>
      <c r="DBF136" s="54"/>
      <c r="DBG136" s="8"/>
      <c r="DBH136" s="54"/>
      <c r="DBI136" s="8"/>
      <c r="DBJ136" s="54"/>
      <c r="DBK136" s="8"/>
      <c r="DBL136" s="54"/>
      <c r="DBM136" s="8"/>
      <c r="DBN136" s="54"/>
      <c r="DBO136" s="8"/>
      <c r="DBP136" s="54"/>
      <c r="DBQ136" s="8"/>
      <c r="DBR136" s="54"/>
      <c r="DBS136" s="8"/>
      <c r="DBT136" s="54"/>
      <c r="DBU136" s="8"/>
      <c r="DBV136" s="54"/>
      <c r="DBW136" s="8"/>
      <c r="DBX136" s="54"/>
      <c r="DBY136" s="8"/>
      <c r="DBZ136" s="54"/>
      <c r="DCA136" s="8"/>
      <c r="DCB136" s="54"/>
      <c r="DCC136" s="8"/>
      <c r="DCD136" s="54"/>
      <c r="DCE136" s="8"/>
      <c r="DCF136" s="54"/>
      <c r="DCG136" s="8"/>
      <c r="DCH136" s="54"/>
      <c r="DCI136" s="8"/>
      <c r="DCJ136" s="54"/>
      <c r="DCK136" s="8"/>
      <c r="DCL136" s="54"/>
      <c r="DCM136" s="8"/>
      <c r="DCN136" s="54"/>
      <c r="DCO136" s="8"/>
      <c r="DCP136" s="54"/>
      <c r="DCQ136" s="8"/>
      <c r="DCR136" s="54"/>
      <c r="DCS136" s="8"/>
      <c r="DCT136" s="54"/>
      <c r="DCU136" s="8"/>
      <c r="DCV136" s="54"/>
      <c r="DCW136" s="8"/>
      <c r="DCX136" s="54"/>
      <c r="DCY136" s="8"/>
      <c r="DCZ136" s="54"/>
      <c r="DDA136" s="8"/>
      <c r="DDB136" s="54"/>
      <c r="DDC136" s="8"/>
      <c r="DDD136" s="54"/>
      <c r="DDE136" s="8"/>
      <c r="DDF136" s="54"/>
      <c r="DDG136" s="8"/>
      <c r="DDH136" s="54"/>
      <c r="DDI136" s="8"/>
      <c r="DDJ136" s="54"/>
      <c r="DDK136" s="8"/>
      <c r="DDL136" s="54"/>
      <c r="DDM136" s="8"/>
      <c r="DDN136" s="54"/>
      <c r="DDO136" s="8"/>
      <c r="DDP136" s="54"/>
      <c r="DDQ136" s="8"/>
      <c r="DDR136" s="54"/>
      <c r="DDS136" s="8"/>
      <c r="DDT136" s="54"/>
      <c r="DDU136" s="8"/>
      <c r="DDV136" s="54"/>
      <c r="DDW136" s="8"/>
      <c r="DDX136" s="54"/>
      <c r="DDY136" s="8"/>
      <c r="DDZ136" s="54"/>
      <c r="DEA136" s="8"/>
      <c r="DEB136" s="54"/>
      <c r="DEC136" s="8"/>
      <c r="DED136" s="54"/>
      <c r="DEE136" s="8"/>
      <c r="DEF136" s="54"/>
      <c r="DEG136" s="8"/>
      <c r="DEH136" s="54"/>
      <c r="DEI136" s="8"/>
      <c r="DEJ136" s="54"/>
      <c r="DEK136" s="8"/>
      <c r="DEL136" s="54"/>
      <c r="DEM136" s="8"/>
      <c r="DEN136" s="54"/>
      <c r="DEO136" s="8"/>
      <c r="DEP136" s="54"/>
      <c r="DEQ136" s="8"/>
      <c r="DER136" s="54"/>
      <c r="DES136" s="8"/>
      <c r="DET136" s="54"/>
      <c r="DEU136" s="8"/>
      <c r="DEV136" s="54"/>
      <c r="DEW136" s="8"/>
      <c r="DEX136" s="54"/>
      <c r="DEY136" s="8"/>
      <c r="DEZ136" s="54"/>
      <c r="DFA136" s="8"/>
      <c r="DFB136" s="54"/>
      <c r="DFC136" s="8"/>
      <c r="DFD136" s="54"/>
      <c r="DFE136" s="8"/>
      <c r="DFF136" s="54"/>
      <c r="DFG136" s="8"/>
      <c r="DFH136" s="54"/>
      <c r="DFI136" s="8"/>
      <c r="DFJ136" s="54"/>
      <c r="DFK136" s="8"/>
      <c r="DFL136" s="54"/>
      <c r="DFM136" s="8"/>
      <c r="DFN136" s="54"/>
      <c r="DFO136" s="8"/>
      <c r="DFP136" s="54"/>
      <c r="DFQ136" s="8"/>
      <c r="DFR136" s="54"/>
      <c r="DFS136" s="8"/>
      <c r="DFT136" s="54"/>
      <c r="DFU136" s="8"/>
      <c r="DFV136" s="54"/>
      <c r="DFW136" s="8"/>
      <c r="DFX136" s="54"/>
      <c r="DFY136" s="8"/>
      <c r="DFZ136" s="54"/>
      <c r="DGA136" s="8"/>
      <c r="DGB136" s="54"/>
      <c r="DGC136" s="8"/>
      <c r="DGD136" s="54"/>
      <c r="DGE136" s="8"/>
      <c r="DGF136" s="54"/>
      <c r="DGG136" s="8"/>
      <c r="DGH136" s="54"/>
      <c r="DGI136" s="8"/>
      <c r="DGJ136" s="54"/>
      <c r="DGK136" s="8"/>
      <c r="DGL136" s="54"/>
      <c r="DGM136" s="8"/>
      <c r="DGN136" s="54"/>
      <c r="DGO136" s="8"/>
      <c r="DGP136" s="54"/>
      <c r="DGQ136" s="8"/>
      <c r="DGR136" s="54"/>
      <c r="DGS136" s="8"/>
      <c r="DGT136" s="54"/>
      <c r="DGU136" s="8"/>
      <c r="DGV136" s="54"/>
      <c r="DGW136" s="8"/>
      <c r="DGX136" s="54"/>
      <c r="DGY136" s="8"/>
      <c r="DGZ136" s="54"/>
      <c r="DHA136" s="8"/>
      <c r="DHB136" s="54"/>
      <c r="DHC136" s="8"/>
      <c r="DHD136" s="54"/>
      <c r="DHE136" s="8"/>
      <c r="DHF136" s="54"/>
      <c r="DHG136" s="8"/>
      <c r="DHH136" s="54"/>
      <c r="DHI136" s="8"/>
      <c r="DHJ136" s="54"/>
      <c r="DHK136" s="8"/>
      <c r="DHL136" s="54"/>
      <c r="DHM136" s="8"/>
      <c r="DHN136" s="54"/>
      <c r="DHO136" s="8"/>
      <c r="DHP136" s="54"/>
      <c r="DHQ136" s="8"/>
      <c r="DHR136" s="54"/>
      <c r="DHS136" s="8"/>
      <c r="DHT136" s="54"/>
      <c r="DHU136" s="8"/>
      <c r="DHV136" s="54"/>
      <c r="DHW136" s="8"/>
      <c r="DHX136" s="54"/>
      <c r="DHY136" s="8"/>
      <c r="DHZ136" s="54"/>
      <c r="DIA136" s="8"/>
      <c r="DIB136" s="54"/>
      <c r="DIC136" s="8"/>
      <c r="DID136" s="54"/>
      <c r="DIE136" s="8"/>
      <c r="DIF136" s="54"/>
      <c r="DIG136" s="8"/>
      <c r="DIH136" s="54"/>
      <c r="DII136" s="8"/>
      <c r="DIJ136" s="54"/>
      <c r="DIK136" s="8"/>
      <c r="DIL136" s="54"/>
      <c r="DIM136" s="8"/>
      <c r="DIN136" s="54"/>
      <c r="DIO136" s="8"/>
      <c r="DIP136" s="54"/>
      <c r="DIQ136" s="8"/>
      <c r="DIR136" s="54"/>
      <c r="DIS136" s="8"/>
      <c r="DIT136" s="54"/>
      <c r="DIU136" s="8"/>
      <c r="DIV136" s="54"/>
      <c r="DIW136" s="8"/>
      <c r="DIX136" s="54"/>
      <c r="DIY136" s="8"/>
      <c r="DIZ136" s="54"/>
      <c r="DJA136" s="8"/>
      <c r="DJB136" s="54"/>
      <c r="DJC136" s="8"/>
      <c r="DJD136" s="54"/>
      <c r="DJE136" s="8"/>
      <c r="DJF136" s="54"/>
      <c r="DJG136" s="8"/>
      <c r="DJH136" s="54"/>
      <c r="DJI136" s="8"/>
      <c r="DJJ136" s="54"/>
      <c r="DJK136" s="8"/>
      <c r="DJL136" s="54"/>
      <c r="DJM136" s="8"/>
      <c r="DJN136" s="54"/>
      <c r="DJO136" s="8"/>
      <c r="DJP136" s="54"/>
      <c r="DJQ136" s="8"/>
      <c r="DJR136" s="54"/>
      <c r="DJS136" s="8"/>
      <c r="DJT136" s="54"/>
      <c r="DJU136" s="8"/>
      <c r="DJV136" s="54"/>
      <c r="DJW136" s="8"/>
      <c r="DJX136" s="54"/>
      <c r="DJY136" s="8"/>
      <c r="DJZ136" s="54"/>
      <c r="DKA136" s="8"/>
      <c r="DKB136" s="54"/>
      <c r="DKC136" s="8"/>
      <c r="DKD136" s="54"/>
      <c r="DKE136" s="8"/>
      <c r="DKF136" s="54"/>
      <c r="DKG136" s="8"/>
      <c r="DKH136" s="54"/>
      <c r="DKI136" s="8"/>
      <c r="DKJ136" s="54"/>
      <c r="DKK136" s="8"/>
      <c r="DKL136" s="54"/>
      <c r="DKM136" s="8"/>
      <c r="DKN136" s="54"/>
      <c r="DKO136" s="8"/>
      <c r="DKP136" s="54"/>
      <c r="DKQ136" s="8"/>
      <c r="DKR136" s="54"/>
      <c r="DKS136" s="8"/>
      <c r="DKT136" s="54"/>
      <c r="DKU136" s="8"/>
      <c r="DKV136" s="54"/>
      <c r="DKW136" s="8"/>
      <c r="DKX136" s="54"/>
      <c r="DKY136" s="8"/>
      <c r="DKZ136" s="54"/>
      <c r="DLA136" s="8"/>
      <c r="DLB136" s="54"/>
      <c r="DLC136" s="8"/>
      <c r="DLD136" s="54"/>
      <c r="DLE136" s="8"/>
      <c r="DLF136" s="54"/>
      <c r="DLG136" s="8"/>
      <c r="DLH136" s="54"/>
      <c r="DLI136" s="8"/>
      <c r="DLJ136" s="54"/>
      <c r="DLK136" s="8"/>
      <c r="DLL136" s="54"/>
      <c r="DLM136" s="8"/>
      <c r="DLN136" s="54"/>
      <c r="DLO136" s="8"/>
      <c r="DLP136" s="54"/>
      <c r="DLQ136" s="8"/>
      <c r="DLR136" s="54"/>
      <c r="DLS136" s="8"/>
      <c r="DLT136" s="54"/>
      <c r="DLU136" s="8"/>
      <c r="DLV136" s="54"/>
      <c r="DLW136" s="8"/>
      <c r="DLX136" s="54"/>
      <c r="DLY136" s="8"/>
      <c r="DLZ136" s="54"/>
      <c r="DMA136" s="8"/>
      <c r="DMB136" s="54"/>
      <c r="DMC136" s="8"/>
      <c r="DMD136" s="54"/>
      <c r="DME136" s="8"/>
      <c r="DMF136" s="54"/>
      <c r="DMG136" s="8"/>
      <c r="DMH136" s="54"/>
      <c r="DMI136" s="8"/>
      <c r="DMJ136" s="54"/>
      <c r="DMK136" s="8"/>
      <c r="DML136" s="54"/>
      <c r="DMM136" s="8"/>
      <c r="DMN136" s="54"/>
      <c r="DMO136" s="8"/>
      <c r="DMP136" s="54"/>
      <c r="DMQ136" s="8"/>
      <c r="DMR136" s="54"/>
      <c r="DMS136" s="8"/>
      <c r="DMT136" s="54"/>
      <c r="DMU136" s="8"/>
      <c r="DMV136" s="54"/>
      <c r="DMW136" s="8"/>
      <c r="DMX136" s="54"/>
      <c r="DMY136" s="8"/>
      <c r="DMZ136" s="54"/>
      <c r="DNA136" s="8"/>
      <c r="DNB136" s="54"/>
      <c r="DNC136" s="8"/>
      <c r="DND136" s="54"/>
      <c r="DNE136" s="8"/>
      <c r="DNF136" s="54"/>
      <c r="DNG136" s="8"/>
      <c r="DNH136" s="54"/>
      <c r="DNI136" s="8"/>
      <c r="DNJ136" s="54"/>
      <c r="DNK136" s="8"/>
      <c r="DNL136" s="54"/>
      <c r="DNM136" s="8"/>
      <c r="DNN136" s="54"/>
      <c r="DNO136" s="8"/>
      <c r="DNP136" s="54"/>
      <c r="DNQ136" s="8"/>
      <c r="DNR136" s="54"/>
      <c r="DNS136" s="8"/>
      <c r="DNT136" s="54"/>
      <c r="DNU136" s="8"/>
      <c r="DNV136" s="54"/>
      <c r="DNW136" s="8"/>
      <c r="DNX136" s="54"/>
      <c r="DNY136" s="8"/>
      <c r="DNZ136" s="54"/>
      <c r="DOA136" s="8"/>
      <c r="DOB136" s="54"/>
      <c r="DOC136" s="8"/>
      <c r="DOD136" s="54"/>
      <c r="DOE136" s="8"/>
      <c r="DOF136" s="54"/>
      <c r="DOG136" s="8"/>
      <c r="DOH136" s="54"/>
      <c r="DOI136" s="8"/>
      <c r="DOJ136" s="54"/>
      <c r="DOK136" s="8"/>
      <c r="DOL136" s="54"/>
      <c r="DOM136" s="8"/>
      <c r="DON136" s="54"/>
      <c r="DOO136" s="8"/>
      <c r="DOP136" s="54"/>
      <c r="DOQ136" s="8"/>
      <c r="DOR136" s="54"/>
      <c r="DOS136" s="8"/>
      <c r="DOT136" s="54"/>
      <c r="DOU136" s="8"/>
      <c r="DOV136" s="54"/>
      <c r="DOW136" s="8"/>
      <c r="DOX136" s="54"/>
      <c r="DOY136" s="8"/>
      <c r="DOZ136" s="54"/>
      <c r="DPA136" s="8"/>
      <c r="DPB136" s="54"/>
      <c r="DPC136" s="8"/>
      <c r="DPD136" s="54"/>
      <c r="DPE136" s="8"/>
      <c r="DPF136" s="54"/>
      <c r="DPG136" s="8"/>
      <c r="DPH136" s="54"/>
      <c r="DPI136" s="8"/>
      <c r="DPJ136" s="54"/>
      <c r="DPK136" s="8"/>
      <c r="DPL136" s="54"/>
      <c r="DPM136" s="8"/>
      <c r="DPN136" s="54"/>
      <c r="DPO136" s="8"/>
      <c r="DPP136" s="54"/>
      <c r="DPQ136" s="8"/>
      <c r="DPR136" s="54"/>
      <c r="DPS136" s="8"/>
      <c r="DPT136" s="54"/>
      <c r="DPU136" s="8"/>
      <c r="DPV136" s="54"/>
      <c r="DPW136" s="8"/>
      <c r="DPX136" s="54"/>
      <c r="DPY136" s="8"/>
      <c r="DPZ136" s="54"/>
      <c r="DQA136" s="8"/>
      <c r="DQB136" s="54"/>
      <c r="DQC136" s="8"/>
      <c r="DQD136" s="54"/>
      <c r="DQE136" s="8"/>
      <c r="DQF136" s="54"/>
      <c r="DQG136" s="8"/>
      <c r="DQH136" s="54"/>
      <c r="DQI136" s="8"/>
      <c r="DQJ136" s="54"/>
      <c r="DQK136" s="8"/>
      <c r="DQL136" s="54"/>
      <c r="DQM136" s="8"/>
      <c r="DQN136" s="54"/>
      <c r="DQO136" s="8"/>
      <c r="DQP136" s="54"/>
      <c r="DQQ136" s="8"/>
      <c r="DQR136" s="54"/>
      <c r="DQS136" s="8"/>
      <c r="DQT136" s="54"/>
      <c r="DQU136" s="8"/>
      <c r="DQV136" s="54"/>
      <c r="DQW136" s="8"/>
      <c r="DQX136" s="54"/>
      <c r="DQY136" s="8"/>
      <c r="DQZ136" s="54"/>
      <c r="DRA136" s="8"/>
      <c r="DRB136" s="54"/>
      <c r="DRC136" s="8"/>
      <c r="DRD136" s="54"/>
      <c r="DRE136" s="8"/>
      <c r="DRF136" s="54"/>
      <c r="DRG136" s="8"/>
      <c r="DRH136" s="54"/>
      <c r="DRI136" s="8"/>
      <c r="DRJ136" s="54"/>
      <c r="DRK136" s="8"/>
      <c r="DRL136" s="54"/>
      <c r="DRM136" s="8"/>
      <c r="DRN136" s="54"/>
      <c r="DRO136" s="8"/>
      <c r="DRP136" s="54"/>
      <c r="DRQ136" s="8"/>
      <c r="DRR136" s="54"/>
      <c r="DRS136" s="8"/>
      <c r="DRT136" s="54"/>
      <c r="DRU136" s="8"/>
      <c r="DRV136" s="54"/>
      <c r="DRW136" s="8"/>
      <c r="DRX136" s="54"/>
      <c r="DRY136" s="8"/>
      <c r="DRZ136" s="54"/>
      <c r="DSA136" s="8"/>
      <c r="DSB136" s="54"/>
      <c r="DSC136" s="8"/>
      <c r="DSD136" s="54"/>
      <c r="DSE136" s="8"/>
      <c r="DSF136" s="54"/>
      <c r="DSG136" s="8"/>
      <c r="DSH136" s="54"/>
      <c r="DSI136" s="8"/>
      <c r="DSJ136" s="54"/>
      <c r="DSK136" s="8"/>
      <c r="DSL136" s="54"/>
      <c r="DSM136" s="8"/>
      <c r="DSN136" s="54"/>
      <c r="DSO136" s="8"/>
      <c r="DSP136" s="54"/>
      <c r="DSQ136" s="8"/>
      <c r="DSR136" s="54"/>
      <c r="DSS136" s="8"/>
      <c r="DST136" s="54"/>
      <c r="DSU136" s="8"/>
      <c r="DSV136" s="54"/>
      <c r="DSW136" s="8"/>
      <c r="DSX136" s="54"/>
      <c r="DSY136" s="8"/>
      <c r="DSZ136" s="54"/>
      <c r="DTA136" s="8"/>
      <c r="DTB136" s="54"/>
      <c r="DTC136" s="8"/>
      <c r="DTD136" s="54"/>
      <c r="DTE136" s="8"/>
      <c r="DTF136" s="54"/>
      <c r="DTG136" s="8"/>
      <c r="DTH136" s="54"/>
      <c r="DTI136" s="8"/>
      <c r="DTJ136" s="54"/>
      <c r="DTK136" s="8"/>
      <c r="DTL136" s="54"/>
      <c r="DTM136" s="8"/>
      <c r="DTN136" s="54"/>
      <c r="DTO136" s="8"/>
      <c r="DTP136" s="54"/>
      <c r="DTQ136" s="8"/>
      <c r="DTR136" s="54"/>
      <c r="DTS136" s="8"/>
      <c r="DTT136" s="54"/>
      <c r="DTU136" s="8"/>
      <c r="DTV136" s="54"/>
      <c r="DTW136" s="8"/>
      <c r="DTX136" s="54"/>
      <c r="DTY136" s="8"/>
      <c r="DTZ136" s="54"/>
      <c r="DUA136" s="8"/>
      <c r="DUB136" s="54"/>
      <c r="DUC136" s="8"/>
      <c r="DUD136" s="54"/>
      <c r="DUE136" s="8"/>
      <c r="DUF136" s="54"/>
      <c r="DUG136" s="8"/>
      <c r="DUH136" s="54"/>
      <c r="DUI136" s="8"/>
      <c r="DUJ136" s="54"/>
      <c r="DUK136" s="8"/>
      <c r="DUL136" s="54"/>
      <c r="DUM136" s="8"/>
      <c r="DUN136" s="54"/>
      <c r="DUO136" s="8"/>
      <c r="DUP136" s="54"/>
      <c r="DUQ136" s="8"/>
      <c r="DUR136" s="54"/>
      <c r="DUS136" s="8"/>
      <c r="DUT136" s="54"/>
      <c r="DUU136" s="8"/>
      <c r="DUV136" s="54"/>
      <c r="DUW136" s="8"/>
      <c r="DUX136" s="54"/>
      <c r="DUY136" s="8"/>
      <c r="DUZ136" s="54"/>
      <c r="DVA136" s="8"/>
      <c r="DVB136" s="54"/>
      <c r="DVC136" s="8"/>
      <c r="DVD136" s="54"/>
      <c r="DVE136" s="8"/>
      <c r="DVF136" s="54"/>
      <c r="DVG136" s="8"/>
      <c r="DVH136" s="54"/>
      <c r="DVI136" s="8"/>
      <c r="DVJ136" s="54"/>
      <c r="DVK136" s="8"/>
      <c r="DVL136" s="54"/>
      <c r="DVM136" s="8"/>
      <c r="DVN136" s="54"/>
      <c r="DVO136" s="8"/>
      <c r="DVP136" s="54"/>
      <c r="DVQ136" s="8"/>
      <c r="DVR136" s="54"/>
      <c r="DVS136" s="8"/>
      <c r="DVT136" s="54"/>
      <c r="DVU136" s="8"/>
      <c r="DVV136" s="54"/>
      <c r="DVW136" s="8"/>
      <c r="DVX136" s="54"/>
      <c r="DVY136" s="8"/>
      <c r="DVZ136" s="54"/>
      <c r="DWA136" s="8"/>
      <c r="DWB136" s="54"/>
      <c r="DWC136" s="8"/>
      <c r="DWD136" s="54"/>
      <c r="DWE136" s="8"/>
      <c r="DWF136" s="54"/>
      <c r="DWG136" s="8"/>
      <c r="DWH136" s="54"/>
      <c r="DWI136" s="8"/>
      <c r="DWJ136" s="54"/>
      <c r="DWK136" s="8"/>
      <c r="DWL136" s="54"/>
      <c r="DWM136" s="8"/>
      <c r="DWN136" s="54"/>
      <c r="DWO136" s="8"/>
      <c r="DWP136" s="54"/>
      <c r="DWQ136" s="8"/>
      <c r="DWR136" s="54"/>
      <c r="DWS136" s="8"/>
      <c r="DWT136" s="54"/>
      <c r="DWU136" s="8"/>
      <c r="DWV136" s="54"/>
      <c r="DWW136" s="8"/>
      <c r="DWX136" s="54"/>
      <c r="DWY136" s="8"/>
      <c r="DWZ136" s="54"/>
      <c r="DXA136" s="8"/>
      <c r="DXB136" s="54"/>
      <c r="DXC136" s="8"/>
      <c r="DXD136" s="54"/>
      <c r="DXE136" s="8"/>
      <c r="DXF136" s="54"/>
      <c r="DXG136" s="8"/>
      <c r="DXH136" s="54"/>
      <c r="DXI136" s="8"/>
      <c r="DXJ136" s="54"/>
      <c r="DXK136" s="8"/>
      <c r="DXL136" s="54"/>
      <c r="DXM136" s="8"/>
      <c r="DXN136" s="54"/>
      <c r="DXO136" s="8"/>
      <c r="DXP136" s="54"/>
      <c r="DXQ136" s="8"/>
      <c r="DXR136" s="54"/>
      <c r="DXS136" s="8"/>
      <c r="DXT136" s="54"/>
      <c r="DXU136" s="8"/>
      <c r="DXV136" s="54"/>
      <c r="DXW136" s="8"/>
      <c r="DXX136" s="54"/>
      <c r="DXY136" s="8"/>
      <c r="DXZ136" s="54"/>
      <c r="DYA136" s="8"/>
      <c r="DYB136" s="54"/>
      <c r="DYC136" s="8"/>
      <c r="DYD136" s="54"/>
      <c r="DYE136" s="8"/>
      <c r="DYF136" s="54"/>
      <c r="DYG136" s="8"/>
      <c r="DYH136" s="54"/>
      <c r="DYI136" s="8"/>
      <c r="DYJ136" s="54"/>
      <c r="DYK136" s="8"/>
      <c r="DYL136" s="54"/>
      <c r="DYM136" s="8"/>
      <c r="DYN136" s="54"/>
      <c r="DYO136" s="8"/>
      <c r="DYP136" s="54"/>
      <c r="DYQ136" s="8"/>
      <c r="DYR136" s="54"/>
      <c r="DYS136" s="8"/>
      <c r="DYT136" s="54"/>
      <c r="DYU136" s="8"/>
      <c r="DYV136" s="54"/>
      <c r="DYW136" s="8"/>
      <c r="DYX136" s="54"/>
      <c r="DYY136" s="8"/>
      <c r="DYZ136" s="54"/>
      <c r="DZA136" s="8"/>
      <c r="DZB136" s="54"/>
      <c r="DZC136" s="8"/>
      <c r="DZD136" s="54"/>
      <c r="DZE136" s="8"/>
      <c r="DZF136" s="54"/>
      <c r="DZG136" s="8"/>
      <c r="DZH136" s="54"/>
      <c r="DZI136" s="8"/>
      <c r="DZJ136" s="54"/>
      <c r="DZK136" s="8"/>
      <c r="DZL136" s="54"/>
      <c r="DZM136" s="8"/>
      <c r="DZN136" s="54"/>
      <c r="DZO136" s="8"/>
      <c r="DZP136" s="54"/>
      <c r="DZQ136" s="8"/>
      <c r="DZR136" s="54"/>
      <c r="DZS136" s="8"/>
      <c r="DZT136" s="54"/>
      <c r="DZU136" s="8"/>
      <c r="DZV136" s="54"/>
      <c r="DZW136" s="8"/>
      <c r="DZX136" s="54"/>
      <c r="DZY136" s="8"/>
      <c r="DZZ136" s="54"/>
      <c r="EAA136" s="8"/>
      <c r="EAB136" s="54"/>
      <c r="EAC136" s="8"/>
      <c r="EAD136" s="54"/>
      <c r="EAE136" s="8"/>
      <c r="EAF136" s="54"/>
      <c r="EAG136" s="8"/>
      <c r="EAH136" s="54"/>
      <c r="EAI136" s="8"/>
      <c r="EAJ136" s="54"/>
      <c r="EAK136" s="8"/>
      <c r="EAL136" s="54"/>
      <c r="EAM136" s="8"/>
      <c r="EAN136" s="54"/>
      <c r="EAO136" s="8"/>
      <c r="EAP136" s="54"/>
      <c r="EAQ136" s="8"/>
      <c r="EAR136" s="54"/>
      <c r="EAS136" s="8"/>
      <c r="EAT136" s="54"/>
      <c r="EAU136" s="8"/>
      <c r="EAV136" s="54"/>
      <c r="EAW136" s="8"/>
      <c r="EAX136" s="54"/>
      <c r="EAY136" s="8"/>
      <c r="EAZ136" s="54"/>
      <c r="EBA136" s="8"/>
      <c r="EBB136" s="54"/>
      <c r="EBC136" s="8"/>
      <c r="EBD136" s="54"/>
      <c r="EBE136" s="8"/>
      <c r="EBF136" s="54"/>
      <c r="EBG136" s="8"/>
      <c r="EBH136" s="54"/>
      <c r="EBI136" s="8"/>
      <c r="EBJ136" s="54"/>
      <c r="EBK136" s="8"/>
      <c r="EBL136" s="54"/>
      <c r="EBM136" s="8"/>
      <c r="EBN136" s="54"/>
      <c r="EBO136" s="8"/>
      <c r="EBP136" s="54"/>
      <c r="EBQ136" s="8"/>
      <c r="EBR136" s="54"/>
      <c r="EBS136" s="8"/>
      <c r="EBT136" s="54"/>
      <c r="EBU136" s="8"/>
      <c r="EBV136" s="54"/>
      <c r="EBW136" s="8"/>
      <c r="EBX136" s="54"/>
      <c r="EBY136" s="8"/>
      <c r="EBZ136" s="54"/>
      <c r="ECA136" s="8"/>
      <c r="ECB136" s="54"/>
      <c r="ECC136" s="8"/>
      <c r="ECD136" s="54"/>
      <c r="ECE136" s="8"/>
      <c r="ECF136" s="54"/>
      <c r="ECG136" s="8"/>
      <c r="ECH136" s="54"/>
      <c r="ECI136" s="8"/>
      <c r="ECJ136" s="54"/>
      <c r="ECK136" s="8"/>
      <c r="ECL136" s="54"/>
      <c r="ECM136" s="8"/>
      <c r="ECN136" s="54"/>
      <c r="ECO136" s="8"/>
      <c r="ECP136" s="54"/>
      <c r="ECQ136" s="8"/>
      <c r="ECR136" s="54"/>
      <c r="ECS136" s="8"/>
      <c r="ECT136" s="54"/>
      <c r="ECU136" s="8"/>
      <c r="ECV136" s="54"/>
      <c r="ECW136" s="8"/>
      <c r="ECX136" s="54"/>
      <c r="ECY136" s="8"/>
      <c r="ECZ136" s="54"/>
      <c r="EDA136" s="8"/>
      <c r="EDB136" s="54"/>
      <c r="EDC136" s="8"/>
      <c r="EDD136" s="54"/>
      <c r="EDE136" s="8"/>
      <c r="EDF136" s="54"/>
      <c r="EDG136" s="8"/>
      <c r="EDH136" s="54"/>
      <c r="EDI136" s="8"/>
      <c r="EDJ136" s="54"/>
      <c r="EDK136" s="8"/>
      <c r="EDL136" s="54"/>
      <c r="EDM136" s="8"/>
      <c r="EDN136" s="54"/>
      <c r="EDO136" s="8"/>
      <c r="EDP136" s="54"/>
      <c r="EDQ136" s="8"/>
      <c r="EDR136" s="54"/>
      <c r="EDS136" s="8"/>
      <c r="EDT136" s="54"/>
      <c r="EDU136" s="8"/>
      <c r="EDV136" s="54"/>
      <c r="EDW136" s="8"/>
      <c r="EDX136" s="54"/>
      <c r="EDY136" s="8"/>
      <c r="EDZ136" s="54"/>
      <c r="EEA136" s="8"/>
      <c r="EEB136" s="54"/>
      <c r="EEC136" s="8"/>
      <c r="EED136" s="54"/>
      <c r="EEE136" s="8"/>
      <c r="EEF136" s="54"/>
      <c r="EEG136" s="8"/>
      <c r="EEH136" s="54"/>
      <c r="EEI136" s="8"/>
      <c r="EEJ136" s="54"/>
      <c r="EEK136" s="8"/>
      <c r="EEL136" s="54"/>
      <c r="EEM136" s="8"/>
      <c r="EEN136" s="54"/>
      <c r="EEO136" s="8"/>
      <c r="EEP136" s="54"/>
      <c r="EEQ136" s="8"/>
      <c r="EER136" s="54"/>
      <c r="EES136" s="8"/>
      <c r="EET136" s="54"/>
      <c r="EEU136" s="8"/>
      <c r="EEV136" s="54"/>
      <c r="EEW136" s="8"/>
      <c r="EEX136" s="54"/>
      <c r="EEY136" s="8"/>
      <c r="EEZ136" s="54"/>
      <c r="EFA136" s="8"/>
      <c r="EFB136" s="54"/>
      <c r="EFC136" s="8"/>
      <c r="EFD136" s="54"/>
      <c r="EFE136" s="8"/>
      <c r="EFF136" s="54"/>
      <c r="EFG136" s="8"/>
      <c r="EFH136" s="54"/>
      <c r="EFI136" s="8"/>
      <c r="EFJ136" s="54"/>
      <c r="EFK136" s="8"/>
      <c r="EFL136" s="54"/>
      <c r="EFM136" s="8"/>
      <c r="EFN136" s="54"/>
      <c r="EFO136" s="8"/>
      <c r="EFP136" s="54"/>
      <c r="EFQ136" s="8"/>
      <c r="EFR136" s="54"/>
      <c r="EFS136" s="8"/>
      <c r="EFT136" s="54"/>
      <c r="EFU136" s="8"/>
      <c r="EFV136" s="54"/>
      <c r="EFW136" s="8"/>
      <c r="EFX136" s="54"/>
      <c r="EFY136" s="8"/>
      <c r="EFZ136" s="54"/>
      <c r="EGA136" s="8"/>
      <c r="EGB136" s="54"/>
      <c r="EGC136" s="8"/>
      <c r="EGD136" s="54"/>
      <c r="EGE136" s="8"/>
      <c r="EGF136" s="54"/>
      <c r="EGG136" s="8"/>
      <c r="EGH136" s="54"/>
      <c r="EGI136" s="8"/>
      <c r="EGJ136" s="54"/>
      <c r="EGK136" s="8"/>
      <c r="EGL136" s="54"/>
      <c r="EGM136" s="8"/>
      <c r="EGN136" s="54"/>
      <c r="EGO136" s="8"/>
      <c r="EGP136" s="54"/>
      <c r="EGQ136" s="8"/>
      <c r="EGR136" s="54"/>
      <c r="EGS136" s="8"/>
      <c r="EGT136" s="54"/>
      <c r="EGU136" s="8"/>
      <c r="EGV136" s="54"/>
      <c r="EGW136" s="8"/>
      <c r="EGX136" s="54"/>
      <c r="EGY136" s="8"/>
      <c r="EGZ136" s="54"/>
      <c r="EHA136" s="8"/>
      <c r="EHB136" s="54"/>
      <c r="EHC136" s="8"/>
      <c r="EHD136" s="54"/>
      <c r="EHE136" s="8"/>
      <c r="EHF136" s="54"/>
      <c r="EHG136" s="8"/>
      <c r="EHH136" s="54"/>
      <c r="EHI136" s="8"/>
      <c r="EHJ136" s="54"/>
      <c r="EHK136" s="8"/>
      <c r="EHL136" s="54"/>
      <c r="EHM136" s="8"/>
      <c r="EHN136" s="54"/>
      <c r="EHO136" s="8"/>
      <c r="EHP136" s="54"/>
      <c r="EHQ136" s="8"/>
      <c r="EHR136" s="54"/>
      <c r="EHS136" s="8"/>
      <c r="EHT136" s="54"/>
      <c r="EHU136" s="8"/>
      <c r="EHV136" s="54"/>
      <c r="EHW136" s="8"/>
      <c r="EHX136" s="54"/>
      <c r="EHY136" s="8"/>
      <c r="EHZ136" s="54"/>
      <c r="EIA136" s="8"/>
      <c r="EIB136" s="54"/>
      <c r="EIC136" s="8"/>
      <c r="EID136" s="54"/>
      <c r="EIE136" s="8"/>
      <c r="EIF136" s="54"/>
      <c r="EIG136" s="8"/>
      <c r="EIH136" s="54"/>
      <c r="EII136" s="8"/>
      <c r="EIJ136" s="54"/>
      <c r="EIK136" s="8"/>
      <c r="EIL136" s="54"/>
      <c r="EIM136" s="8"/>
      <c r="EIN136" s="54"/>
      <c r="EIO136" s="8"/>
      <c r="EIP136" s="54"/>
      <c r="EIQ136" s="8"/>
      <c r="EIR136" s="54"/>
      <c r="EIS136" s="8"/>
      <c r="EIT136" s="54"/>
      <c r="EIU136" s="8"/>
      <c r="EIV136" s="54"/>
      <c r="EIW136" s="8"/>
      <c r="EIX136" s="54"/>
      <c r="EIY136" s="8"/>
      <c r="EIZ136" s="54"/>
      <c r="EJA136" s="8"/>
      <c r="EJB136" s="54"/>
      <c r="EJC136" s="8"/>
      <c r="EJD136" s="54"/>
      <c r="EJE136" s="8"/>
      <c r="EJF136" s="54"/>
      <c r="EJG136" s="8"/>
      <c r="EJH136" s="54"/>
      <c r="EJI136" s="8"/>
      <c r="EJJ136" s="54"/>
      <c r="EJK136" s="8"/>
      <c r="EJL136" s="54"/>
      <c r="EJM136" s="8"/>
      <c r="EJN136" s="54"/>
      <c r="EJO136" s="8"/>
      <c r="EJP136" s="54"/>
      <c r="EJQ136" s="8"/>
      <c r="EJR136" s="54"/>
      <c r="EJS136" s="8"/>
      <c r="EJT136" s="54"/>
      <c r="EJU136" s="8"/>
      <c r="EJV136" s="54"/>
      <c r="EJW136" s="8"/>
      <c r="EJX136" s="54"/>
      <c r="EJY136" s="8"/>
      <c r="EJZ136" s="54"/>
      <c r="EKA136" s="8"/>
      <c r="EKB136" s="54"/>
      <c r="EKC136" s="8"/>
      <c r="EKD136" s="54"/>
      <c r="EKE136" s="8"/>
      <c r="EKF136" s="54"/>
      <c r="EKG136" s="8"/>
      <c r="EKH136" s="54"/>
      <c r="EKI136" s="8"/>
      <c r="EKJ136" s="54"/>
      <c r="EKK136" s="8"/>
      <c r="EKL136" s="54"/>
      <c r="EKM136" s="8"/>
      <c r="EKN136" s="54"/>
      <c r="EKO136" s="8"/>
      <c r="EKP136" s="54"/>
      <c r="EKQ136" s="8"/>
      <c r="EKR136" s="54"/>
      <c r="EKS136" s="8"/>
      <c r="EKT136" s="54"/>
      <c r="EKU136" s="8"/>
      <c r="EKV136" s="54"/>
      <c r="EKW136" s="8"/>
      <c r="EKX136" s="54"/>
      <c r="EKY136" s="8"/>
      <c r="EKZ136" s="54"/>
      <c r="ELA136" s="8"/>
      <c r="ELB136" s="54"/>
      <c r="ELC136" s="8"/>
      <c r="ELD136" s="54"/>
      <c r="ELE136" s="8"/>
      <c r="ELF136" s="54"/>
      <c r="ELG136" s="8"/>
      <c r="ELH136" s="54"/>
      <c r="ELI136" s="8"/>
      <c r="ELJ136" s="54"/>
      <c r="ELK136" s="8"/>
      <c r="ELL136" s="54"/>
      <c r="ELM136" s="8"/>
      <c r="ELN136" s="54"/>
      <c r="ELO136" s="8"/>
      <c r="ELP136" s="54"/>
      <c r="ELQ136" s="8"/>
      <c r="ELR136" s="54"/>
      <c r="ELS136" s="8"/>
      <c r="ELT136" s="54"/>
      <c r="ELU136" s="8"/>
      <c r="ELV136" s="54"/>
      <c r="ELW136" s="8"/>
      <c r="ELX136" s="54"/>
      <c r="ELY136" s="8"/>
      <c r="ELZ136" s="54"/>
      <c r="EMA136" s="8"/>
      <c r="EMB136" s="54"/>
      <c r="EMC136" s="8"/>
      <c r="EMD136" s="54"/>
      <c r="EME136" s="8"/>
      <c r="EMF136" s="54"/>
      <c r="EMG136" s="8"/>
      <c r="EMH136" s="54"/>
      <c r="EMI136" s="8"/>
      <c r="EMJ136" s="54"/>
      <c r="EMK136" s="8"/>
      <c r="EML136" s="54"/>
      <c r="EMM136" s="8"/>
      <c r="EMN136" s="54"/>
      <c r="EMO136" s="8"/>
      <c r="EMP136" s="54"/>
      <c r="EMQ136" s="8"/>
      <c r="EMR136" s="54"/>
      <c r="EMS136" s="8"/>
      <c r="EMT136" s="54"/>
      <c r="EMU136" s="8"/>
      <c r="EMV136" s="54"/>
      <c r="EMW136" s="8"/>
      <c r="EMX136" s="54"/>
      <c r="EMY136" s="8"/>
      <c r="EMZ136" s="54"/>
      <c r="ENA136" s="8"/>
      <c r="ENB136" s="54"/>
      <c r="ENC136" s="8"/>
      <c r="END136" s="54"/>
      <c r="ENE136" s="8"/>
      <c r="ENF136" s="54"/>
      <c r="ENG136" s="8"/>
      <c r="ENH136" s="54"/>
      <c r="ENI136" s="8"/>
      <c r="ENJ136" s="54"/>
      <c r="ENK136" s="8"/>
      <c r="ENL136" s="54"/>
      <c r="ENM136" s="8"/>
      <c r="ENN136" s="54"/>
      <c r="ENO136" s="8"/>
      <c r="ENP136" s="54"/>
      <c r="ENQ136" s="8"/>
      <c r="ENR136" s="54"/>
      <c r="ENS136" s="8"/>
      <c r="ENT136" s="54"/>
      <c r="ENU136" s="8"/>
      <c r="ENV136" s="54"/>
      <c r="ENW136" s="8"/>
      <c r="ENX136" s="54"/>
      <c r="ENY136" s="8"/>
      <c r="ENZ136" s="54"/>
      <c r="EOA136" s="8"/>
      <c r="EOB136" s="54"/>
      <c r="EOC136" s="8"/>
      <c r="EOD136" s="54"/>
      <c r="EOE136" s="8"/>
      <c r="EOF136" s="54"/>
      <c r="EOG136" s="8"/>
      <c r="EOH136" s="54"/>
      <c r="EOI136" s="8"/>
      <c r="EOJ136" s="54"/>
      <c r="EOK136" s="8"/>
      <c r="EOL136" s="54"/>
      <c r="EOM136" s="8"/>
      <c r="EON136" s="54"/>
      <c r="EOO136" s="8"/>
      <c r="EOP136" s="54"/>
      <c r="EOQ136" s="8"/>
      <c r="EOR136" s="54"/>
      <c r="EOS136" s="8"/>
      <c r="EOT136" s="54"/>
      <c r="EOU136" s="8"/>
      <c r="EOV136" s="54"/>
      <c r="EOW136" s="8"/>
      <c r="EOX136" s="54"/>
      <c r="EOY136" s="8"/>
      <c r="EOZ136" s="54"/>
      <c r="EPA136" s="8"/>
      <c r="EPB136" s="54"/>
      <c r="EPC136" s="8"/>
      <c r="EPD136" s="54"/>
      <c r="EPE136" s="8"/>
      <c r="EPF136" s="54"/>
      <c r="EPG136" s="8"/>
      <c r="EPH136" s="54"/>
      <c r="EPI136" s="8"/>
      <c r="EPJ136" s="54"/>
      <c r="EPK136" s="8"/>
      <c r="EPL136" s="54"/>
      <c r="EPM136" s="8"/>
      <c r="EPN136" s="54"/>
      <c r="EPO136" s="8"/>
      <c r="EPP136" s="54"/>
      <c r="EPQ136" s="8"/>
      <c r="EPR136" s="54"/>
      <c r="EPS136" s="8"/>
      <c r="EPT136" s="54"/>
      <c r="EPU136" s="8"/>
      <c r="EPV136" s="54"/>
      <c r="EPW136" s="8"/>
      <c r="EPX136" s="54"/>
      <c r="EPY136" s="8"/>
      <c r="EPZ136" s="54"/>
      <c r="EQA136" s="8"/>
      <c r="EQB136" s="54"/>
      <c r="EQC136" s="8"/>
      <c r="EQD136" s="54"/>
      <c r="EQE136" s="8"/>
      <c r="EQF136" s="54"/>
      <c r="EQG136" s="8"/>
      <c r="EQH136" s="54"/>
      <c r="EQI136" s="8"/>
      <c r="EQJ136" s="54"/>
      <c r="EQK136" s="8"/>
      <c r="EQL136" s="54"/>
      <c r="EQM136" s="8"/>
      <c r="EQN136" s="54"/>
      <c r="EQO136" s="8"/>
      <c r="EQP136" s="54"/>
      <c r="EQQ136" s="8"/>
      <c r="EQR136" s="54"/>
      <c r="EQS136" s="8"/>
      <c r="EQT136" s="54"/>
      <c r="EQU136" s="8"/>
      <c r="EQV136" s="54"/>
      <c r="EQW136" s="8"/>
      <c r="EQX136" s="54"/>
      <c r="EQY136" s="8"/>
      <c r="EQZ136" s="54"/>
      <c r="ERA136" s="8"/>
      <c r="ERB136" s="54"/>
      <c r="ERC136" s="8"/>
      <c r="ERD136" s="54"/>
      <c r="ERE136" s="8"/>
      <c r="ERF136" s="54"/>
      <c r="ERG136" s="8"/>
      <c r="ERH136" s="54"/>
      <c r="ERI136" s="8"/>
      <c r="ERJ136" s="54"/>
      <c r="ERK136" s="8"/>
      <c r="ERL136" s="54"/>
      <c r="ERM136" s="8"/>
      <c r="ERN136" s="54"/>
      <c r="ERO136" s="8"/>
      <c r="ERP136" s="54"/>
      <c r="ERQ136" s="8"/>
      <c r="ERR136" s="54"/>
      <c r="ERS136" s="8"/>
      <c r="ERT136" s="54"/>
      <c r="ERU136" s="8"/>
      <c r="ERV136" s="54"/>
      <c r="ERW136" s="8"/>
      <c r="ERX136" s="54"/>
      <c r="ERY136" s="8"/>
      <c r="ERZ136" s="54"/>
      <c r="ESA136" s="8"/>
      <c r="ESB136" s="54"/>
      <c r="ESC136" s="8"/>
      <c r="ESD136" s="54"/>
      <c r="ESE136" s="8"/>
      <c r="ESF136" s="54"/>
      <c r="ESG136" s="8"/>
      <c r="ESH136" s="54"/>
      <c r="ESI136" s="8"/>
      <c r="ESJ136" s="54"/>
      <c r="ESK136" s="8"/>
      <c r="ESL136" s="54"/>
      <c r="ESM136" s="8"/>
      <c r="ESN136" s="54"/>
      <c r="ESO136" s="8"/>
      <c r="ESP136" s="54"/>
      <c r="ESQ136" s="8"/>
      <c r="ESR136" s="54"/>
      <c r="ESS136" s="8"/>
      <c r="EST136" s="54"/>
      <c r="ESU136" s="8"/>
      <c r="ESV136" s="54"/>
      <c r="ESW136" s="8"/>
      <c r="ESX136" s="54"/>
      <c r="ESY136" s="8"/>
      <c r="ESZ136" s="54"/>
      <c r="ETA136" s="8"/>
      <c r="ETB136" s="54"/>
      <c r="ETC136" s="8"/>
      <c r="ETD136" s="54"/>
      <c r="ETE136" s="8"/>
      <c r="ETF136" s="54"/>
      <c r="ETG136" s="8"/>
      <c r="ETH136" s="54"/>
      <c r="ETI136" s="8"/>
      <c r="ETJ136" s="54"/>
      <c r="ETK136" s="8"/>
      <c r="ETL136" s="54"/>
      <c r="ETM136" s="8"/>
      <c r="ETN136" s="54"/>
      <c r="ETO136" s="8"/>
      <c r="ETP136" s="54"/>
      <c r="ETQ136" s="8"/>
      <c r="ETR136" s="54"/>
      <c r="ETS136" s="8"/>
      <c r="ETT136" s="54"/>
      <c r="ETU136" s="8"/>
      <c r="ETV136" s="54"/>
      <c r="ETW136" s="8"/>
      <c r="ETX136" s="54"/>
      <c r="ETY136" s="8"/>
      <c r="ETZ136" s="54"/>
      <c r="EUA136" s="8"/>
      <c r="EUB136" s="54"/>
      <c r="EUC136" s="8"/>
      <c r="EUD136" s="54"/>
      <c r="EUE136" s="8"/>
      <c r="EUF136" s="54"/>
      <c r="EUG136" s="8"/>
      <c r="EUH136" s="54"/>
      <c r="EUI136" s="8"/>
      <c r="EUJ136" s="54"/>
      <c r="EUK136" s="8"/>
      <c r="EUL136" s="54"/>
      <c r="EUM136" s="8"/>
      <c r="EUN136" s="54"/>
      <c r="EUO136" s="8"/>
      <c r="EUP136" s="54"/>
      <c r="EUQ136" s="8"/>
      <c r="EUR136" s="54"/>
      <c r="EUS136" s="8"/>
      <c r="EUT136" s="54"/>
      <c r="EUU136" s="8"/>
      <c r="EUV136" s="54"/>
      <c r="EUW136" s="8"/>
      <c r="EUX136" s="54"/>
      <c r="EUY136" s="8"/>
      <c r="EUZ136" s="54"/>
      <c r="EVA136" s="8"/>
      <c r="EVB136" s="54"/>
      <c r="EVC136" s="8"/>
      <c r="EVD136" s="54"/>
      <c r="EVE136" s="8"/>
      <c r="EVF136" s="54"/>
      <c r="EVG136" s="8"/>
      <c r="EVH136" s="54"/>
      <c r="EVI136" s="8"/>
      <c r="EVJ136" s="54"/>
      <c r="EVK136" s="8"/>
      <c r="EVL136" s="54"/>
      <c r="EVM136" s="8"/>
      <c r="EVN136" s="54"/>
      <c r="EVO136" s="8"/>
      <c r="EVP136" s="54"/>
      <c r="EVQ136" s="8"/>
      <c r="EVR136" s="54"/>
      <c r="EVS136" s="8"/>
      <c r="EVT136" s="54"/>
      <c r="EVU136" s="8"/>
      <c r="EVV136" s="54"/>
      <c r="EVW136" s="8"/>
      <c r="EVX136" s="54"/>
      <c r="EVY136" s="8"/>
      <c r="EVZ136" s="54"/>
      <c r="EWA136" s="8"/>
      <c r="EWB136" s="54"/>
      <c r="EWC136" s="8"/>
      <c r="EWD136" s="54"/>
      <c r="EWE136" s="8"/>
      <c r="EWF136" s="54"/>
      <c r="EWG136" s="8"/>
      <c r="EWH136" s="54"/>
      <c r="EWI136" s="8"/>
      <c r="EWJ136" s="54"/>
      <c r="EWK136" s="8"/>
      <c r="EWL136" s="54"/>
      <c r="EWM136" s="8"/>
      <c r="EWN136" s="54"/>
      <c r="EWO136" s="8"/>
      <c r="EWP136" s="54"/>
      <c r="EWQ136" s="8"/>
      <c r="EWR136" s="54"/>
      <c r="EWS136" s="8"/>
      <c r="EWT136" s="54"/>
      <c r="EWU136" s="8"/>
      <c r="EWV136" s="54"/>
      <c r="EWW136" s="8"/>
      <c r="EWX136" s="54"/>
      <c r="EWY136" s="8"/>
      <c r="EWZ136" s="54"/>
      <c r="EXA136" s="8"/>
      <c r="EXB136" s="54"/>
      <c r="EXC136" s="8"/>
      <c r="EXD136" s="54"/>
      <c r="EXE136" s="8"/>
      <c r="EXF136" s="54"/>
      <c r="EXG136" s="8"/>
      <c r="EXH136" s="54"/>
      <c r="EXI136" s="8"/>
      <c r="EXJ136" s="54"/>
      <c r="EXK136" s="8"/>
      <c r="EXL136" s="54"/>
      <c r="EXM136" s="8"/>
      <c r="EXN136" s="54"/>
      <c r="EXO136" s="8"/>
      <c r="EXP136" s="54"/>
      <c r="EXQ136" s="8"/>
      <c r="EXR136" s="54"/>
      <c r="EXS136" s="8"/>
      <c r="EXT136" s="54"/>
      <c r="EXU136" s="8"/>
      <c r="EXV136" s="54"/>
      <c r="EXW136" s="8"/>
      <c r="EXX136" s="54"/>
      <c r="EXY136" s="8"/>
      <c r="EXZ136" s="54"/>
      <c r="EYA136" s="8"/>
      <c r="EYB136" s="54"/>
      <c r="EYC136" s="8"/>
      <c r="EYD136" s="54"/>
      <c r="EYE136" s="8"/>
      <c r="EYF136" s="54"/>
      <c r="EYG136" s="8"/>
      <c r="EYH136" s="54"/>
      <c r="EYI136" s="8"/>
      <c r="EYJ136" s="54"/>
      <c r="EYK136" s="8"/>
      <c r="EYL136" s="54"/>
      <c r="EYM136" s="8"/>
      <c r="EYN136" s="54"/>
      <c r="EYO136" s="8"/>
      <c r="EYP136" s="54"/>
      <c r="EYQ136" s="8"/>
      <c r="EYR136" s="54"/>
      <c r="EYS136" s="8"/>
      <c r="EYT136" s="54"/>
      <c r="EYU136" s="8"/>
      <c r="EYV136" s="54"/>
      <c r="EYW136" s="8"/>
      <c r="EYX136" s="54"/>
      <c r="EYY136" s="8"/>
      <c r="EYZ136" s="54"/>
      <c r="EZA136" s="8"/>
      <c r="EZB136" s="54"/>
      <c r="EZC136" s="8"/>
      <c r="EZD136" s="54"/>
      <c r="EZE136" s="8"/>
      <c r="EZF136" s="54"/>
      <c r="EZG136" s="8"/>
      <c r="EZH136" s="54"/>
      <c r="EZI136" s="8"/>
      <c r="EZJ136" s="54"/>
      <c r="EZK136" s="8"/>
      <c r="EZL136" s="54"/>
      <c r="EZM136" s="8"/>
      <c r="EZN136" s="54"/>
      <c r="EZO136" s="8"/>
      <c r="EZP136" s="54"/>
      <c r="EZQ136" s="8"/>
      <c r="EZR136" s="54"/>
      <c r="EZS136" s="8"/>
      <c r="EZT136" s="54"/>
      <c r="EZU136" s="8"/>
      <c r="EZV136" s="54"/>
      <c r="EZW136" s="8"/>
      <c r="EZX136" s="54"/>
      <c r="EZY136" s="8"/>
      <c r="EZZ136" s="54"/>
      <c r="FAA136" s="8"/>
      <c r="FAB136" s="54"/>
      <c r="FAC136" s="8"/>
      <c r="FAD136" s="54"/>
      <c r="FAE136" s="8"/>
      <c r="FAF136" s="54"/>
      <c r="FAG136" s="8"/>
      <c r="FAH136" s="54"/>
      <c r="FAI136" s="8"/>
      <c r="FAJ136" s="54"/>
      <c r="FAK136" s="8"/>
      <c r="FAL136" s="54"/>
      <c r="FAM136" s="8"/>
      <c r="FAN136" s="54"/>
      <c r="FAO136" s="8"/>
      <c r="FAP136" s="54"/>
      <c r="FAQ136" s="8"/>
      <c r="FAR136" s="54"/>
      <c r="FAS136" s="8"/>
      <c r="FAT136" s="54"/>
      <c r="FAU136" s="8"/>
      <c r="FAV136" s="54"/>
      <c r="FAW136" s="8"/>
      <c r="FAX136" s="54"/>
      <c r="FAY136" s="8"/>
      <c r="FAZ136" s="54"/>
      <c r="FBA136" s="8"/>
      <c r="FBB136" s="54"/>
      <c r="FBC136" s="8"/>
      <c r="FBD136" s="54"/>
      <c r="FBE136" s="8"/>
      <c r="FBF136" s="54"/>
      <c r="FBG136" s="8"/>
      <c r="FBH136" s="54"/>
      <c r="FBI136" s="8"/>
      <c r="FBJ136" s="54"/>
      <c r="FBK136" s="8"/>
      <c r="FBL136" s="54"/>
      <c r="FBM136" s="8"/>
      <c r="FBN136" s="54"/>
      <c r="FBO136" s="8"/>
      <c r="FBP136" s="54"/>
      <c r="FBQ136" s="8"/>
      <c r="FBR136" s="54"/>
      <c r="FBS136" s="8"/>
      <c r="FBT136" s="54"/>
      <c r="FBU136" s="8"/>
      <c r="FBV136" s="54"/>
      <c r="FBW136" s="8"/>
      <c r="FBX136" s="54"/>
      <c r="FBY136" s="8"/>
      <c r="FBZ136" s="54"/>
      <c r="FCA136" s="8"/>
      <c r="FCB136" s="54"/>
      <c r="FCC136" s="8"/>
      <c r="FCD136" s="54"/>
      <c r="FCE136" s="8"/>
      <c r="FCF136" s="54"/>
      <c r="FCG136" s="8"/>
      <c r="FCH136" s="54"/>
      <c r="FCI136" s="8"/>
      <c r="FCJ136" s="54"/>
      <c r="FCK136" s="8"/>
      <c r="FCL136" s="54"/>
      <c r="FCM136" s="8"/>
      <c r="FCN136" s="54"/>
      <c r="FCO136" s="8"/>
      <c r="FCP136" s="54"/>
      <c r="FCQ136" s="8"/>
      <c r="FCR136" s="54"/>
      <c r="FCS136" s="8"/>
      <c r="FCT136" s="54"/>
      <c r="FCU136" s="8"/>
      <c r="FCV136" s="54"/>
      <c r="FCW136" s="8"/>
      <c r="FCX136" s="54"/>
      <c r="FCY136" s="8"/>
      <c r="FCZ136" s="54"/>
      <c r="FDA136" s="8"/>
      <c r="FDB136" s="54"/>
      <c r="FDC136" s="8"/>
      <c r="FDD136" s="54"/>
      <c r="FDE136" s="8"/>
      <c r="FDF136" s="54"/>
      <c r="FDG136" s="8"/>
      <c r="FDH136" s="54"/>
      <c r="FDI136" s="8"/>
      <c r="FDJ136" s="54"/>
      <c r="FDK136" s="8"/>
      <c r="FDL136" s="54"/>
      <c r="FDM136" s="8"/>
      <c r="FDN136" s="54"/>
      <c r="FDO136" s="8"/>
      <c r="FDP136" s="54"/>
      <c r="FDQ136" s="8"/>
      <c r="FDR136" s="54"/>
      <c r="FDS136" s="8"/>
      <c r="FDT136" s="54"/>
      <c r="FDU136" s="8"/>
      <c r="FDV136" s="54"/>
      <c r="FDW136" s="8"/>
      <c r="FDX136" s="54"/>
      <c r="FDY136" s="8"/>
      <c r="FDZ136" s="54"/>
      <c r="FEA136" s="8"/>
      <c r="FEB136" s="54"/>
      <c r="FEC136" s="8"/>
      <c r="FED136" s="54"/>
      <c r="FEE136" s="8"/>
      <c r="FEF136" s="54"/>
      <c r="FEG136" s="8"/>
      <c r="FEH136" s="54"/>
      <c r="FEI136" s="8"/>
      <c r="FEJ136" s="54"/>
      <c r="FEK136" s="8"/>
      <c r="FEL136" s="54"/>
      <c r="FEM136" s="8"/>
      <c r="FEN136" s="54"/>
      <c r="FEO136" s="8"/>
      <c r="FEP136" s="54"/>
      <c r="FEQ136" s="8"/>
      <c r="FER136" s="54"/>
      <c r="FES136" s="8"/>
      <c r="FET136" s="54"/>
      <c r="FEU136" s="8"/>
      <c r="FEV136" s="54"/>
      <c r="FEW136" s="8"/>
      <c r="FEX136" s="54"/>
      <c r="FEY136" s="8"/>
      <c r="FEZ136" s="54"/>
      <c r="FFA136" s="8"/>
      <c r="FFB136" s="54"/>
      <c r="FFC136" s="8"/>
      <c r="FFD136" s="54"/>
      <c r="FFE136" s="8"/>
      <c r="FFF136" s="54"/>
      <c r="FFG136" s="8"/>
      <c r="FFH136" s="54"/>
      <c r="FFI136" s="8"/>
      <c r="FFJ136" s="54"/>
      <c r="FFK136" s="8"/>
      <c r="FFL136" s="54"/>
      <c r="FFM136" s="8"/>
      <c r="FFN136" s="54"/>
      <c r="FFO136" s="8"/>
      <c r="FFP136" s="54"/>
      <c r="FFQ136" s="8"/>
      <c r="FFR136" s="54"/>
      <c r="FFS136" s="8"/>
      <c r="FFT136" s="54"/>
      <c r="FFU136" s="8"/>
      <c r="FFV136" s="54"/>
      <c r="FFW136" s="8"/>
      <c r="FFX136" s="54"/>
      <c r="FFY136" s="8"/>
      <c r="FFZ136" s="54"/>
      <c r="FGA136" s="8"/>
      <c r="FGB136" s="54"/>
      <c r="FGC136" s="8"/>
      <c r="FGD136" s="54"/>
      <c r="FGE136" s="8"/>
      <c r="FGF136" s="54"/>
      <c r="FGG136" s="8"/>
      <c r="FGH136" s="54"/>
      <c r="FGI136" s="8"/>
      <c r="FGJ136" s="54"/>
      <c r="FGK136" s="8"/>
      <c r="FGL136" s="54"/>
      <c r="FGM136" s="8"/>
      <c r="FGN136" s="54"/>
      <c r="FGO136" s="8"/>
      <c r="FGP136" s="54"/>
      <c r="FGQ136" s="8"/>
      <c r="FGR136" s="54"/>
      <c r="FGS136" s="8"/>
      <c r="FGT136" s="54"/>
      <c r="FGU136" s="8"/>
      <c r="FGV136" s="54"/>
      <c r="FGW136" s="8"/>
      <c r="FGX136" s="54"/>
      <c r="FGY136" s="8"/>
      <c r="FGZ136" s="54"/>
      <c r="FHA136" s="8"/>
      <c r="FHB136" s="54"/>
      <c r="FHC136" s="8"/>
      <c r="FHD136" s="54"/>
      <c r="FHE136" s="8"/>
      <c r="FHF136" s="54"/>
      <c r="FHG136" s="8"/>
      <c r="FHH136" s="54"/>
      <c r="FHI136" s="8"/>
      <c r="FHJ136" s="54"/>
      <c r="FHK136" s="8"/>
      <c r="FHL136" s="54"/>
      <c r="FHM136" s="8"/>
      <c r="FHN136" s="54"/>
      <c r="FHO136" s="8"/>
      <c r="FHP136" s="54"/>
      <c r="FHQ136" s="8"/>
      <c r="FHR136" s="54"/>
      <c r="FHS136" s="8"/>
      <c r="FHT136" s="54"/>
      <c r="FHU136" s="8"/>
      <c r="FHV136" s="54"/>
      <c r="FHW136" s="8"/>
      <c r="FHX136" s="54"/>
      <c r="FHY136" s="8"/>
      <c r="FHZ136" s="54"/>
      <c r="FIA136" s="8"/>
      <c r="FIB136" s="54"/>
      <c r="FIC136" s="8"/>
      <c r="FID136" s="54"/>
      <c r="FIE136" s="8"/>
      <c r="FIF136" s="54"/>
      <c r="FIG136" s="8"/>
      <c r="FIH136" s="54"/>
      <c r="FII136" s="8"/>
      <c r="FIJ136" s="54"/>
      <c r="FIK136" s="8"/>
      <c r="FIL136" s="54"/>
      <c r="FIM136" s="8"/>
      <c r="FIN136" s="54"/>
      <c r="FIO136" s="8"/>
      <c r="FIP136" s="54"/>
      <c r="FIQ136" s="8"/>
      <c r="FIR136" s="54"/>
      <c r="FIS136" s="8"/>
      <c r="FIT136" s="54"/>
      <c r="FIU136" s="8"/>
      <c r="FIV136" s="54"/>
      <c r="FIW136" s="8"/>
      <c r="FIX136" s="54"/>
      <c r="FIY136" s="8"/>
      <c r="FIZ136" s="54"/>
      <c r="FJA136" s="8"/>
      <c r="FJB136" s="54"/>
      <c r="FJC136" s="8"/>
      <c r="FJD136" s="54"/>
      <c r="FJE136" s="8"/>
      <c r="FJF136" s="54"/>
      <c r="FJG136" s="8"/>
      <c r="FJH136" s="54"/>
      <c r="FJI136" s="8"/>
      <c r="FJJ136" s="54"/>
      <c r="FJK136" s="8"/>
      <c r="FJL136" s="54"/>
      <c r="FJM136" s="8"/>
      <c r="FJN136" s="54"/>
      <c r="FJO136" s="8"/>
      <c r="FJP136" s="54"/>
      <c r="FJQ136" s="8"/>
      <c r="FJR136" s="54"/>
      <c r="FJS136" s="8"/>
      <c r="FJT136" s="54"/>
      <c r="FJU136" s="8"/>
      <c r="FJV136" s="54"/>
      <c r="FJW136" s="8"/>
      <c r="FJX136" s="54"/>
      <c r="FJY136" s="8"/>
      <c r="FJZ136" s="54"/>
      <c r="FKA136" s="8"/>
      <c r="FKB136" s="54"/>
      <c r="FKC136" s="8"/>
      <c r="FKD136" s="54"/>
      <c r="FKE136" s="8"/>
      <c r="FKF136" s="54"/>
      <c r="FKG136" s="8"/>
      <c r="FKH136" s="54"/>
      <c r="FKI136" s="8"/>
      <c r="FKJ136" s="54"/>
      <c r="FKK136" s="8"/>
      <c r="FKL136" s="54"/>
      <c r="FKM136" s="8"/>
      <c r="FKN136" s="54"/>
      <c r="FKO136" s="8"/>
      <c r="FKP136" s="54"/>
      <c r="FKQ136" s="8"/>
      <c r="FKR136" s="54"/>
      <c r="FKS136" s="8"/>
      <c r="FKT136" s="54"/>
      <c r="FKU136" s="8"/>
      <c r="FKV136" s="54"/>
      <c r="FKW136" s="8"/>
      <c r="FKX136" s="54"/>
      <c r="FKY136" s="8"/>
      <c r="FKZ136" s="54"/>
      <c r="FLA136" s="8"/>
      <c r="FLB136" s="54"/>
      <c r="FLC136" s="8"/>
      <c r="FLD136" s="54"/>
      <c r="FLE136" s="8"/>
      <c r="FLF136" s="54"/>
      <c r="FLG136" s="8"/>
      <c r="FLH136" s="54"/>
      <c r="FLI136" s="8"/>
      <c r="FLJ136" s="54"/>
      <c r="FLK136" s="8"/>
      <c r="FLL136" s="54"/>
      <c r="FLM136" s="8"/>
      <c r="FLN136" s="54"/>
      <c r="FLO136" s="8"/>
      <c r="FLP136" s="54"/>
      <c r="FLQ136" s="8"/>
      <c r="FLR136" s="54"/>
      <c r="FLS136" s="8"/>
      <c r="FLT136" s="54"/>
      <c r="FLU136" s="8"/>
      <c r="FLV136" s="54"/>
      <c r="FLW136" s="8"/>
      <c r="FLX136" s="54"/>
      <c r="FLY136" s="8"/>
      <c r="FLZ136" s="54"/>
      <c r="FMA136" s="8"/>
      <c r="FMB136" s="54"/>
      <c r="FMC136" s="8"/>
      <c r="FMD136" s="54"/>
      <c r="FME136" s="8"/>
      <c r="FMF136" s="54"/>
      <c r="FMG136" s="8"/>
      <c r="FMH136" s="54"/>
      <c r="FMI136" s="8"/>
      <c r="FMJ136" s="54"/>
      <c r="FMK136" s="8"/>
      <c r="FML136" s="54"/>
      <c r="FMM136" s="8"/>
      <c r="FMN136" s="54"/>
      <c r="FMO136" s="8"/>
      <c r="FMP136" s="54"/>
      <c r="FMQ136" s="8"/>
      <c r="FMR136" s="54"/>
      <c r="FMS136" s="8"/>
      <c r="FMT136" s="54"/>
      <c r="FMU136" s="8"/>
      <c r="FMV136" s="54"/>
      <c r="FMW136" s="8"/>
      <c r="FMX136" s="54"/>
      <c r="FMY136" s="8"/>
      <c r="FMZ136" s="54"/>
      <c r="FNA136" s="8"/>
      <c r="FNB136" s="54"/>
      <c r="FNC136" s="8"/>
      <c r="FND136" s="54"/>
      <c r="FNE136" s="8"/>
      <c r="FNF136" s="54"/>
      <c r="FNG136" s="8"/>
      <c r="FNH136" s="54"/>
      <c r="FNI136" s="8"/>
      <c r="FNJ136" s="54"/>
      <c r="FNK136" s="8"/>
      <c r="FNL136" s="54"/>
      <c r="FNM136" s="8"/>
      <c r="FNN136" s="54"/>
      <c r="FNO136" s="8"/>
      <c r="FNP136" s="54"/>
      <c r="FNQ136" s="8"/>
      <c r="FNR136" s="54"/>
      <c r="FNS136" s="8"/>
      <c r="FNT136" s="54"/>
      <c r="FNU136" s="8"/>
      <c r="FNV136" s="54"/>
      <c r="FNW136" s="8"/>
      <c r="FNX136" s="54"/>
      <c r="FNY136" s="8"/>
      <c r="FNZ136" s="54"/>
      <c r="FOA136" s="8"/>
      <c r="FOB136" s="54"/>
      <c r="FOC136" s="8"/>
      <c r="FOD136" s="54"/>
      <c r="FOE136" s="8"/>
      <c r="FOF136" s="54"/>
      <c r="FOG136" s="8"/>
      <c r="FOH136" s="54"/>
      <c r="FOI136" s="8"/>
      <c r="FOJ136" s="54"/>
      <c r="FOK136" s="8"/>
      <c r="FOL136" s="54"/>
      <c r="FOM136" s="8"/>
      <c r="FON136" s="54"/>
      <c r="FOO136" s="8"/>
      <c r="FOP136" s="54"/>
      <c r="FOQ136" s="8"/>
      <c r="FOR136" s="54"/>
      <c r="FOS136" s="8"/>
      <c r="FOT136" s="54"/>
      <c r="FOU136" s="8"/>
      <c r="FOV136" s="54"/>
      <c r="FOW136" s="8"/>
      <c r="FOX136" s="54"/>
      <c r="FOY136" s="8"/>
      <c r="FOZ136" s="54"/>
      <c r="FPA136" s="8"/>
      <c r="FPB136" s="54"/>
      <c r="FPC136" s="8"/>
      <c r="FPD136" s="54"/>
      <c r="FPE136" s="8"/>
      <c r="FPF136" s="54"/>
      <c r="FPG136" s="8"/>
      <c r="FPH136" s="54"/>
      <c r="FPI136" s="8"/>
      <c r="FPJ136" s="54"/>
      <c r="FPK136" s="8"/>
      <c r="FPL136" s="54"/>
      <c r="FPM136" s="8"/>
      <c r="FPN136" s="54"/>
      <c r="FPO136" s="8"/>
      <c r="FPP136" s="54"/>
      <c r="FPQ136" s="8"/>
      <c r="FPR136" s="54"/>
      <c r="FPS136" s="8"/>
      <c r="FPT136" s="54"/>
      <c r="FPU136" s="8"/>
      <c r="FPV136" s="54"/>
      <c r="FPW136" s="8"/>
      <c r="FPX136" s="54"/>
      <c r="FPY136" s="8"/>
      <c r="FPZ136" s="54"/>
      <c r="FQA136" s="8"/>
      <c r="FQB136" s="54"/>
      <c r="FQC136" s="8"/>
      <c r="FQD136" s="54"/>
      <c r="FQE136" s="8"/>
      <c r="FQF136" s="54"/>
      <c r="FQG136" s="8"/>
      <c r="FQH136" s="54"/>
      <c r="FQI136" s="8"/>
      <c r="FQJ136" s="54"/>
      <c r="FQK136" s="8"/>
      <c r="FQL136" s="54"/>
      <c r="FQM136" s="8"/>
      <c r="FQN136" s="54"/>
      <c r="FQO136" s="8"/>
      <c r="FQP136" s="54"/>
      <c r="FQQ136" s="8"/>
      <c r="FQR136" s="54"/>
      <c r="FQS136" s="8"/>
      <c r="FQT136" s="54"/>
      <c r="FQU136" s="8"/>
      <c r="FQV136" s="54"/>
      <c r="FQW136" s="8"/>
      <c r="FQX136" s="54"/>
      <c r="FQY136" s="8"/>
      <c r="FQZ136" s="54"/>
      <c r="FRA136" s="8"/>
      <c r="FRB136" s="54"/>
      <c r="FRC136" s="8"/>
      <c r="FRD136" s="54"/>
      <c r="FRE136" s="8"/>
      <c r="FRF136" s="54"/>
      <c r="FRG136" s="8"/>
      <c r="FRH136" s="54"/>
      <c r="FRI136" s="8"/>
      <c r="FRJ136" s="54"/>
      <c r="FRK136" s="8"/>
      <c r="FRL136" s="54"/>
      <c r="FRM136" s="8"/>
      <c r="FRN136" s="54"/>
      <c r="FRO136" s="8"/>
      <c r="FRP136" s="54"/>
      <c r="FRQ136" s="8"/>
      <c r="FRR136" s="54"/>
      <c r="FRS136" s="8"/>
      <c r="FRT136" s="54"/>
      <c r="FRU136" s="8"/>
      <c r="FRV136" s="54"/>
      <c r="FRW136" s="8"/>
      <c r="FRX136" s="54"/>
      <c r="FRY136" s="8"/>
      <c r="FRZ136" s="54"/>
      <c r="FSA136" s="8"/>
      <c r="FSB136" s="54"/>
      <c r="FSC136" s="8"/>
      <c r="FSD136" s="54"/>
      <c r="FSE136" s="8"/>
      <c r="FSF136" s="54"/>
      <c r="FSG136" s="8"/>
      <c r="FSH136" s="54"/>
      <c r="FSI136" s="8"/>
      <c r="FSJ136" s="54"/>
      <c r="FSK136" s="8"/>
      <c r="FSL136" s="54"/>
      <c r="FSM136" s="8"/>
      <c r="FSN136" s="54"/>
      <c r="FSO136" s="8"/>
      <c r="FSP136" s="54"/>
      <c r="FSQ136" s="8"/>
      <c r="FSR136" s="54"/>
      <c r="FSS136" s="8"/>
      <c r="FST136" s="54"/>
      <c r="FSU136" s="8"/>
      <c r="FSV136" s="54"/>
      <c r="FSW136" s="8"/>
      <c r="FSX136" s="54"/>
      <c r="FSY136" s="8"/>
      <c r="FSZ136" s="54"/>
      <c r="FTA136" s="8"/>
      <c r="FTB136" s="54"/>
      <c r="FTC136" s="8"/>
      <c r="FTD136" s="54"/>
      <c r="FTE136" s="8"/>
      <c r="FTF136" s="54"/>
      <c r="FTG136" s="8"/>
      <c r="FTH136" s="54"/>
      <c r="FTI136" s="8"/>
      <c r="FTJ136" s="54"/>
      <c r="FTK136" s="8"/>
      <c r="FTL136" s="54"/>
      <c r="FTM136" s="8"/>
      <c r="FTN136" s="54"/>
      <c r="FTO136" s="8"/>
      <c r="FTP136" s="54"/>
      <c r="FTQ136" s="8"/>
      <c r="FTR136" s="54"/>
      <c r="FTS136" s="8"/>
      <c r="FTT136" s="54"/>
      <c r="FTU136" s="8"/>
      <c r="FTV136" s="54"/>
      <c r="FTW136" s="8"/>
      <c r="FTX136" s="54"/>
      <c r="FTY136" s="8"/>
      <c r="FTZ136" s="54"/>
      <c r="FUA136" s="8"/>
      <c r="FUB136" s="54"/>
      <c r="FUC136" s="8"/>
      <c r="FUD136" s="54"/>
      <c r="FUE136" s="8"/>
      <c r="FUF136" s="54"/>
      <c r="FUG136" s="8"/>
      <c r="FUH136" s="54"/>
      <c r="FUI136" s="8"/>
      <c r="FUJ136" s="54"/>
      <c r="FUK136" s="8"/>
      <c r="FUL136" s="54"/>
      <c r="FUM136" s="8"/>
      <c r="FUN136" s="54"/>
      <c r="FUO136" s="8"/>
      <c r="FUP136" s="54"/>
      <c r="FUQ136" s="8"/>
      <c r="FUR136" s="54"/>
      <c r="FUS136" s="8"/>
      <c r="FUT136" s="54"/>
      <c r="FUU136" s="8"/>
      <c r="FUV136" s="54"/>
      <c r="FUW136" s="8"/>
      <c r="FUX136" s="54"/>
      <c r="FUY136" s="8"/>
      <c r="FUZ136" s="54"/>
      <c r="FVA136" s="8"/>
      <c r="FVB136" s="54"/>
      <c r="FVC136" s="8"/>
      <c r="FVD136" s="54"/>
      <c r="FVE136" s="8"/>
      <c r="FVF136" s="54"/>
      <c r="FVG136" s="8"/>
      <c r="FVH136" s="54"/>
      <c r="FVI136" s="8"/>
      <c r="FVJ136" s="54"/>
      <c r="FVK136" s="8"/>
      <c r="FVL136" s="54"/>
      <c r="FVM136" s="8"/>
      <c r="FVN136" s="54"/>
      <c r="FVO136" s="8"/>
      <c r="FVP136" s="54"/>
      <c r="FVQ136" s="8"/>
      <c r="FVR136" s="54"/>
      <c r="FVS136" s="8"/>
      <c r="FVT136" s="54"/>
      <c r="FVU136" s="8"/>
      <c r="FVV136" s="54"/>
      <c r="FVW136" s="8"/>
      <c r="FVX136" s="54"/>
      <c r="FVY136" s="8"/>
      <c r="FVZ136" s="54"/>
      <c r="FWA136" s="8"/>
      <c r="FWB136" s="54"/>
      <c r="FWC136" s="8"/>
      <c r="FWD136" s="54"/>
      <c r="FWE136" s="8"/>
      <c r="FWF136" s="54"/>
      <c r="FWG136" s="8"/>
      <c r="FWH136" s="54"/>
      <c r="FWI136" s="8"/>
      <c r="FWJ136" s="54"/>
      <c r="FWK136" s="8"/>
      <c r="FWL136" s="54"/>
      <c r="FWM136" s="8"/>
      <c r="FWN136" s="54"/>
      <c r="FWO136" s="8"/>
      <c r="FWP136" s="54"/>
      <c r="FWQ136" s="8"/>
      <c r="FWR136" s="54"/>
      <c r="FWS136" s="8"/>
      <c r="FWT136" s="54"/>
      <c r="FWU136" s="8"/>
      <c r="FWV136" s="54"/>
      <c r="FWW136" s="8"/>
      <c r="FWX136" s="54"/>
      <c r="FWY136" s="8"/>
      <c r="FWZ136" s="54"/>
      <c r="FXA136" s="8"/>
      <c r="FXB136" s="54"/>
      <c r="FXC136" s="8"/>
      <c r="FXD136" s="54"/>
      <c r="FXE136" s="8"/>
      <c r="FXF136" s="54"/>
      <c r="FXG136" s="8"/>
      <c r="FXH136" s="54"/>
      <c r="FXI136" s="8"/>
      <c r="FXJ136" s="54"/>
      <c r="FXK136" s="8"/>
      <c r="FXL136" s="54"/>
      <c r="FXM136" s="8"/>
      <c r="FXN136" s="54"/>
      <c r="FXO136" s="8"/>
      <c r="FXP136" s="54"/>
      <c r="FXQ136" s="8"/>
      <c r="FXR136" s="54"/>
      <c r="FXS136" s="8"/>
      <c r="FXT136" s="54"/>
      <c r="FXU136" s="8"/>
      <c r="FXV136" s="54"/>
      <c r="FXW136" s="8"/>
      <c r="FXX136" s="54"/>
      <c r="FXY136" s="8"/>
      <c r="FXZ136" s="54"/>
      <c r="FYA136" s="8"/>
      <c r="FYB136" s="54"/>
      <c r="FYC136" s="8"/>
      <c r="FYD136" s="54"/>
      <c r="FYE136" s="8"/>
      <c r="FYF136" s="54"/>
      <c r="FYG136" s="8"/>
      <c r="FYH136" s="54"/>
      <c r="FYI136" s="8"/>
      <c r="FYJ136" s="54"/>
      <c r="FYK136" s="8"/>
      <c r="FYL136" s="54"/>
      <c r="FYM136" s="8"/>
      <c r="FYN136" s="54"/>
      <c r="FYO136" s="8"/>
      <c r="FYP136" s="54"/>
      <c r="FYQ136" s="8"/>
      <c r="FYR136" s="54"/>
      <c r="FYS136" s="8"/>
      <c r="FYT136" s="54"/>
      <c r="FYU136" s="8"/>
      <c r="FYV136" s="54"/>
      <c r="FYW136" s="8"/>
      <c r="FYX136" s="54"/>
      <c r="FYY136" s="8"/>
      <c r="FYZ136" s="54"/>
      <c r="FZA136" s="8"/>
      <c r="FZB136" s="54"/>
      <c r="FZC136" s="8"/>
      <c r="FZD136" s="54"/>
      <c r="FZE136" s="8"/>
      <c r="FZF136" s="54"/>
      <c r="FZG136" s="8"/>
      <c r="FZH136" s="54"/>
      <c r="FZI136" s="8"/>
      <c r="FZJ136" s="54"/>
      <c r="FZK136" s="8"/>
      <c r="FZL136" s="54"/>
      <c r="FZM136" s="8"/>
      <c r="FZN136" s="54"/>
      <c r="FZO136" s="8"/>
      <c r="FZP136" s="54"/>
      <c r="FZQ136" s="8"/>
      <c r="FZR136" s="54"/>
      <c r="FZS136" s="8"/>
      <c r="FZT136" s="54"/>
      <c r="FZU136" s="8"/>
      <c r="FZV136" s="54"/>
      <c r="FZW136" s="8"/>
      <c r="FZX136" s="54"/>
      <c r="FZY136" s="8"/>
      <c r="FZZ136" s="54"/>
      <c r="GAA136" s="8"/>
      <c r="GAB136" s="54"/>
      <c r="GAC136" s="8"/>
      <c r="GAD136" s="54"/>
      <c r="GAE136" s="8"/>
      <c r="GAF136" s="54"/>
      <c r="GAG136" s="8"/>
      <c r="GAH136" s="54"/>
      <c r="GAI136" s="8"/>
      <c r="GAJ136" s="54"/>
      <c r="GAK136" s="8"/>
      <c r="GAL136" s="54"/>
      <c r="GAM136" s="8"/>
      <c r="GAN136" s="54"/>
      <c r="GAO136" s="8"/>
      <c r="GAP136" s="54"/>
      <c r="GAQ136" s="8"/>
      <c r="GAR136" s="54"/>
      <c r="GAS136" s="8"/>
      <c r="GAT136" s="54"/>
      <c r="GAU136" s="8"/>
      <c r="GAV136" s="54"/>
      <c r="GAW136" s="8"/>
      <c r="GAX136" s="54"/>
      <c r="GAY136" s="8"/>
      <c r="GAZ136" s="54"/>
      <c r="GBA136" s="8"/>
      <c r="GBB136" s="54"/>
      <c r="GBC136" s="8"/>
      <c r="GBD136" s="54"/>
      <c r="GBE136" s="8"/>
      <c r="GBF136" s="54"/>
      <c r="GBG136" s="8"/>
      <c r="GBH136" s="54"/>
      <c r="GBI136" s="8"/>
      <c r="GBJ136" s="54"/>
      <c r="GBK136" s="8"/>
      <c r="GBL136" s="54"/>
      <c r="GBM136" s="8"/>
      <c r="GBN136" s="54"/>
      <c r="GBO136" s="8"/>
      <c r="GBP136" s="54"/>
      <c r="GBQ136" s="8"/>
      <c r="GBR136" s="54"/>
      <c r="GBS136" s="8"/>
      <c r="GBT136" s="54"/>
      <c r="GBU136" s="8"/>
      <c r="GBV136" s="54"/>
      <c r="GBW136" s="8"/>
      <c r="GBX136" s="54"/>
      <c r="GBY136" s="8"/>
      <c r="GBZ136" s="54"/>
      <c r="GCA136" s="8"/>
      <c r="GCB136" s="54"/>
      <c r="GCC136" s="8"/>
      <c r="GCD136" s="54"/>
      <c r="GCE136" s="8"/>
      <c r="GCF136" s="54"/>
      <c r="GCG136" s="8"/>
      <c r="GCH136" s="54"/>
      <c r="GCI136" s="8"/>
      <c r="GCJ136" s="54"/>
      <c r="GCK136" s="8"/>
      <c r="GCL136" s="54"/>
      <c r="GCM136" s="8"/>
      <c r="GCN136" s="54"/>
      <c r="GCO136" s="8"/>
      <c r="GCP136" s="54"/>
      <c r="GCQ136" s="8"/>
      <c r="GCR136" s="54"/>
      <c r="GCS136" s="8"/>
      <c r="GCT136" s="54"/>
      <c r="GCU136" s="8"/>
      <c r="GCV136" s="54"/>
      <c r="GCW136" s="8"/>
      <c r="GCX136" s="54"/>
      <c r="GCY136" s="8"/>
      <c r="GCZ136" s="54"/>
      <c r="GDA136" s="8"/>
      <c r="GDB136" s="54"/>
      <c r="GDC136" s="8"/>
      <c r="GDD136" s="54"/>
      <c r="GDE136" s="8"/>
      <c r="GDF136" s="54"/>
      <c r="GDG136" s="8"/>
      <c r="GDH136" s="54"/>
      <c r="GDI136" s="8"/>
      <c r="GDJ136" s="54"/>
      <c r="GDK136" s="8"/>
      <c r="GDL136" s="54"/>
      <c r="GDM136" s="8"/>
      <c r="GDN136" s="54"/>
      <c r="GDO136" s="8"/>
      <c r="GDP136" s="54"/>
      <c r="GDQ136" s="8"/>
      <c r="GDR136" s="54"/>
      <c r="GDS136" s="8"/>
      <c r="GDT136" s="54"/>
      <c r="GDU136" s="8"/>
      <c r="GDV136" s="54"/>
      <c r="GDW136" s="8"/>
      <c r="GDX136" s="54"/>
      <c r="GDY136" s="8"/>
      <c r="GDZ136" s="54"/>
      <c r="GEA136" s="8"/>
      <c r="GEB136" s="54"/>
      <c r="GEC136" s="8"/>
      <c r="GED136" s="54"/>
      <c r="GEE136" s="8"/>
      <c r="GEF136" s="54"/>
      <c r="GEG136" s="8"/>
      <c r="GEH136" s="54"/>
      <c r="GEI136" s="8"/>
      <c r="GEJ136" s="54"/>
      <c r="GEK136" s="8"/>
      <c r="GEL136" s="54"/>
      <c r="GEM136" s="8"/>
      <c r="GEN136" s="54"/>
      <c r="GEO136" s="8"/>
      <c r="GEP136" s="54"/>
      <c r="GEQ136" s="8"/>
      <c r="GER136" s="54"/>
      <c r="GES136" s="8"/>
      <c r="GET136" s="54"/>
      <c r="GEU136" s="8"/>
      <c r="GEV136" s="54"/>
      <c r="GEW136" s="8"/>
      <c r="GEX136" s="54"/>
      <c r="GEY136" s="8"/>
      <c r="GEZ136" s="54"/>
      <c r="GFA136" s="8"/>
      <c r="GFB136" s="54"/>
      <c r="GFC136" s="8"/>
      <c r="GFD136" s="54"/>
      <c r="GFE136" s="8"/>
      <c r="GFF136" s="54"/>
      <c r="GFG136" s="8"/>
      <c r="GFH136" s="54"/>
      <c r="GFI136" s="8"/>
      <c r="GFJ136" s="54"/>
      <c r="GFK136" s="8"/>
      <c r="GFL136" s="54"/>
      <c r="GFM136" s="8"/>
      <c r="GFN136" s="54"/>
      <c r="GFO136" s="8"/>
      <c r="GFP136" s="54"/>
      <c r="GFQ136" s="8"/>
      <c r="GFR136" s="54"/>
      <c r="GFS136" s="8"/>
      <c r="GFT136" s="54"/>
      <c r="GFU136" s="8"/>
      <c r="GFV136" s="54"/>
      <c r="GFW136" s="8"/>
      <c r="GFX136" s="54"/>
      <c r="GFY136" s="8"/>
      <c r="GFZ136" s="54"/>
      <c r="GGA136" s="8"/>
      <c r="GGB136" s="54"/>
      <c r="GGC136" s="8"/>
      <c r="GGD136" s="54"/>
      <c r="GGE136" s="8"/>
      <c r="GGF136" s="54"/>
      <c r="GGG136" s="8"/>
      <c r="GGH136" s="54"/>
      <c r="GGI136" s="8"/>
      <c r="GGJ136" s="54"/>
      <c r="GGK136" s="8"/>
      <c r="GGL136" s="54"/>
      <c r="GGM136" s="8"/>
      <c r="GGN136" s="54"/>
      <c r="GGO136" s="8"/>
      <c r="GGP136" s="54"/>
      <c r="GGQ136" s="8"/>
      <c r="GGR136" s="54"/>
      <c r="GGS136" s="8"/>
      <c r="GGT136" s="54"/>
      <c r="GGU136" s="8"/>
      <c r="GGV136" s="54"/>
      <c r="GGW136" s="8"/>
      <c r="GGX136" s="54"/>
      <c r="GGY136" s="8"/>
      <c r="GGZ136" s="54"/>
      <c r="GHA136" s="8"/>
      <c r="GHB136" s="54"/>
      <c r="GHC136" s="8"/>
      <c r="GHD136" s="54"/>
      <c r="GHE136" s="8"/>
      <c r="GHF136" s="54"/>
      <c r="GHG136" s="8"/>
      <c r="GHH136" s="54"/>
      <c r="GHI136" s="8"/>
      <c r="GHJ136" s="54"/>
      <c r="GHK136" s="8"/>
      <c r="GHL136" s="54"/>
      <c r="GHM136" s="8"/>
      <c r="GHN136" s="54"/>
      <c r="GHO136" s="8"/>
      <c r="GHP136" s="54"/>
      <c r="GHQ136" s="8"/>
      <c r="GHR136" s="54"/>
      <c r="GHS136" s="8"/>
      <c r="GHT136" s="54"/>
      <c r="GHU136" s="8"/>
      <c r="GHV136" s="54"/>
      <c r="GHW136" s="8"/>
      <c r="GHX136" s="54"/>
      <c r="GHY136" s="8"/>
      <c r="GHZ136" s="54"/>
      <c r="GIA136" s="8"/>
      <c r="GIB136" s="54"/>
      <c r="GIC136" s="8"/>
      <c r="GID136" s="54"/>
      <c r="GIE136" s="8"/>
      <c r="GIF136" s="54"/>
      <c r="GIG136" s="8"/>
      <c r="GIH136" s="54"/>
      <c r="GII136" s="8"/>
      <c r="GIJ136" s="54"/>
      <c r="GIK136" s="8"/>
      <c r="GIL136" s="54"/>
      <c r="GIM136" s="8"/>
      <c r="GIN136" s="54"/>
      <c r="GIO136" s="8"/>
      <c r="GIP136" s="54"/>
      <c r="GIQ136" s="8"/>
      <c r="GIR136" s="54"/>
      <c r="GIS136" s="8"/>
      <c r="GIT136" s="54"/>
      <c r="GIU136" s="8"/>
      <c r="GIV136" s="54"/>
      <c r="GIW136" s="8"/>
      <c r="GIX136" s="54"/>
      <c r="GIY136" s="8"/>
      <c r="GIZ136" s="54"/>
      <c r="GJA136" s="8"/>
      <c r="GJB136" s="54"/>
      <c r="GJC136" s="8"/>
      <c r="GJD136" s="54"/>
      <c r="GJE136" s="8"/>
      <c r="GJF136" s="54"/>
      <c r="GJG136" s="8"/>
      <c r="GJH136" s="54"/>
      <c r="GJI136" s="8"/>
      <c r="GJJ136" s="54"/>
      <c r="GJK136" s="8"/>
      <c r="GJL136" s="54"/>
      <c r="GJM136" s="8"/>
      <c r="GJN136" s="54"/>
      <c r="GJO136" s="8"/>
      <c r="GJP136" s="54"/>
      <c r="GJQ136" s="8"/>
      <c r="GJR136" s="54"/>
      <c r="GJS136" s="8"/>
      <c r="GJT136" s="54"/>
      <c r="GJU136" s="8"/>
      <c r="GJV136" s="54"/>
      <c r="GJW136" s="8"/>
      <c r="GJX136" s="54"/>
      <c r="GJY136" s="8"/>
      <c r="GJZ136" s="54"/>
      <c r="GKA136" s="8"/>
      <c r="GKB136" s="54"/>
      <c r="GKC136" s="8"/>
      <c r="GKD136" s="54"/>
      <c r="GKE136" s="8"/>
      <c r="GKF136" s="54"/>
      <c r="GKG136" s="8"/>
      <c r="GKH136" s="54"/>
      <c r="GKI136" s="8"/>
      <c r="GKJ136" s="54"/>
      <c r="GKK136" s="8"/>
      <c r="GKL136" s="54"/>
      <c r="GKM136" s="8"/>
      <c r="GKN136" s="54"/>
      <c r="GKO136" s="8"/>
      <c r="GKP136" s="54"/>
      <c r="GKQ136" s="8"/>
      <c r="GKR136" s="54"/>
      <c r="GKS136" s="8"/>
      <c r="GKT136" s="54"/>
      <c r="GKU136" s="8"/>
      <c r="GKV136" s="54"/>
      <c r="GKW136" s="8"/>
      <c r="GKX136" s="54"/>
      <c r="GKY136" s="8"/>
      <c r="GKZ136" s="54"/>
      <c r="GLA136" s="8"/>
      <c r="GLB136" s="54"/>
      <c r="GLC136" s="8"/>
      <c r="GLD136" s="54"/>
      <c r="GLE136" s="8"/>
      <c r="GLF136" s="54"/>
      <c r="GLG136" s="8"/>
      <c r="GLH136" s="54"/>
      <c r="GLI136" s="8"/>
      <c r="GLJ136" s="54"/>
      <c r="GLK136" s="8"/>
      <c r="GLL136" s="54"/>
      <c r="GLM136" s="8"/>
      <c r="GLN136" s="54"/>
      <c r="GLO136" s="8"/>
      <c r="GLP136" s="54"/>
      <c r="GLQ136" s="8"/>
      <c r="GLR136" s="54"/>
      <c r="GLS136" s="8"/>
      <c r="GLT136" s="54"/>
      <c r="GLU136" s="8"/>
      <c r="GLV136" s="54"/>
      <c r="GLW136" s="8"/>
      <c r="GLX136" s="54"/>
      <c r="GLY136" s="8"/>
      <c r="GLZ136" s="54"/>
      <c r="GMA136" s="8"/>
      <c r="GMB136" s="54"/>
      <c r="GMC136" s="8"/>
      <c r="GMD136" s="54"/>
      <c r="GME136" s="8"/>
      <c r="GMF136" s="54"/>
      <c r="GMG136" s="8"/>
      <c r="GMH136" s="54"/>
      <c r="GMI136" s="8"/>
      <c r="GMJ136" s="54"/>
      <c r="GMK136" s="8"/>
      <c r="GML136" s="54"/>
      <c r="GMM136" s="8"/>
      <c r="GMN136" s="54"/>
      <c r="GMO136" s="8"/>
      <c r="GMP136" s="54"/>
      <c r="GMQ136" s="8"/>
      <c r="GMR136" s="54"/>
      <c r="GMS136" s="8"/>
      <c r="GMT136" s="54"/>
      <c r="GMU136" s="8"/>
      <c r="GMV136" s="54"/>
      <c r="GMW136" s="8"/>
      <c r="GMX136" s="54"/>
      <c r="GMY136" s="8"/>
      <c r="GMZ136" s="54"/>
      <c r="GNA136" s="8"/>
      <c r="GNB136" s="54"/>
      <c r="GNC136" s="8"/>
      <c r="GND136" s="54"/>
      <c r="GNE136" s="8"/>
      <c r="GNF136" s="54"/>
      <c r="GNG136" s="8"/>
      <c r="GNH136" s="54"/>
      <c r="GNI136" s="8"/>
      <c r="GNJ136" s="54"/>
      <c r="GNK136" s="8"/>
      <c r="GNL136" s="54"/>
      <c r="GNM136" s="8"/>
      <c r="GNN136" s="54"/>
      <c r="GNO136" s="8"/>
      <c r="GNP136" s="54"/>
      <c r="GNQ136" s="8"/>
      <c r="GNR136" s="54"/>
      <c r="GNS136" s="8"/>
      <c r="GNT136" s="54"/>
      <c r="GNU136" s="8"/>
      <c r="GNV136" s="54"/>
      <c r="GNW136" s="8"/>
      <c r="GNX136" s="54"/>
      <c r="GNY136" s="8"/>
      <c r="GNZ136" s="54"/>
      <c r="GOA136" s="8"/>
      <c r="GOB136" s="54"/>
      <c r="GOC136" s="8"/>
      <c r="GOD136" s="54"/>
      <c r="GOE136" s="8"/>
      <c r="GOF136" s="54"/>
      <c r="GOG136" s="8"/>
      <c r="GOH136" s="54"/>
      <c r="GOI136" s="8"/>
      <c r="GOJ136" s="54"/>
      <c r="GOK136" s="8"/>
      <c r="GOL136" s="54"/>
      <c r="GOM136" s="8"/>
      <c r="GON136" s="54"/>
      <c r="GOO136" s="8"/>
      <c r="GOP136" s="54"/>
      <c r="GOQ136" s="8"/>
      <c r="GOR136" s="54"/>
      <c r="GOS136" s="8"/>
      <c r="GOT136" s="54"/>
      <c r="GOU136" s="8"/>
      <c r="GOV136" s="54"/>
      <c r="GOW136" s="8"/>
      <c r="GOX136" s="54"/>
      <c r="GOY136" s="8"/>
      <c r="GOZ136" s="54"/>
      <c r="GPA136" s="8"/>
      <c r="GPB136" s="54"/>
      <c r="GPC136" s="8"/>
      <c r="GPD136" s="54"/>
      <c r="GPE136" s="8"/>
      <c r="GPF136" s="54"/>
      <c r="GPG136" s="8"/>
      <c r="GPH136" s="54"/>
      <c r="GPI136" s="8"/>
      <c r="GPJ136" s="54"/>
      <c r="GPK136" s="8"/>
      <c r="GPL136" s="54"/>
      <c r="GPM136" s="8"/>
      <c r="GPN136" s="54"/>
      <c r="GPO136" s="8"/>
      <c r="GPP136" s="54"/>
      <c r="GPQ136" s="8"/>
      <c r="GPR136" s="54"/>
      <c r="GPS136" s="8"/>
      <c r="GPT136" s="54"/>
      <c r="GPU136" s="8"/>
      <c r="GPV136" s="54"/>
      <c r="GPW136" s="8"/>
      <c r="GPX136" s="54"/>
      <c r="GPY136" s="8"/>
      <c r="GPZ136" s="54"/>
      <c r="GQA136" s="8"/>
      <c r="GQB136" s="54"/>
      <c r="GQC136" s="8"/>
      <c r="GQD136" s="54"/>
      <c r="GQE136" s="8"/>
      <c r="GQF136" s="54"/>
      <c r="GQG136" s="8"/>
      <c r="GQH136" s="54"/>
      <c r="GQI136" s="8"/>
      <c r="GQJ136" s="54"/>
      <c r="GQK136" s="8"/>
      <c r="GQL136" s="54"/>
      <c r="GQM136" s="8"/>
      <c r="GQN136" s="54"/>
      <c r="GQO136" s="8"/>
      <c r="GQP136" s="54"/>
      <c r="GQQ136" s="8"/>
      <c r="GQR136" s="54"/>
      <c r="GQS136" s="8"/>
      <c r="GQT136" s="54"/>
      <c r="GQU136" s="8"/>
      <c r="GQV136" s="54"/>
      <c r="GQW136" s="8"/>
      <c r="GQX136" s="54"/>
      <c r="GQY136" s="8"/>
      <c r="GQZ136" s="54"/>
      <c r="GRA136" s="8"/>
      <c r="GRB136" s="54"/>
      <c r="GRC136" s="8"/>
      <c r="GRD136" s="54"/>
      <c r="GRE136" s="8"/>
      <c r="GRF136" s="54"/>
      <c r="GRG136" s="8"/>
      <c r="GRH136" s="54"/>
      <c r="GRI136" s="8"/>
      <c r="GRJ136" s="54"/>
      <c r="GRK136" s="8"/>
      <c r="GRL136" s="54"/>
      <c r="GRM136" s="8"/>
      <c r="GRN136" s="54"/>
      <c r="GRO136" s="8"/>
      <c r="GRP136" s="54"/>
      <c r="GRQ136" s="8"/>
      <c r="GRR136" s="54"/>
      <c r="GRS136" s="8"/>
      <c r="GRT136" s="54"/>
      <c r="GRU136" s="8"/>
      <c r="GRV136" s="54"/>
      <c r="GRW136" s="8"/>
      <c r="GRX136" s="54"/>
      <c r="GRY136" s="8"/>
      <c r="GRZ136" s="54"/>
      <c r="GSA136" s="8"/>
      <c r="GSB136" s="54"/>
      <c r="GSC136" s="8"/>
      <c r="GSD136" s="54"/>
      <c r="GSE136" s="8"/>
      <c r="GSF136" s="54"/>
      <c r="GSG136" s="8"/>
      <c r="GSH136" s="54"/>
      <c r="GSI136" s="8"/>
      <c r="GSJ136" s="54"/>
      <c r="GSK136" s="8"/>
      <c r="GSL136" s="54"/>
      <c r="GSM136" s="8"/>
      <c r="GSN136" s="54"/>
      <c r="GSO136" s="8"/>
      <c r="GSP136" s="54"/>
      <c r="GSQ136" s="8"/>
      <c r="GSR136" s="54"/>
      <c r="GSS136" s="8"/>
      <c r="GST136" s="54"/>
      <c r="GSU136" s="8"/>
      <c r="GSV136" s="54"/>
      <c r="GSW136" s="8"/>
      <c r="GSX136" s="54"/>
      <c r="GSY136" s="8"/>
      <c r="GSZ136" s="54"/>
      <c r="GTA136" s="8"/>
      <c r="GTB136" s="54"/>
      <c r="GTC136" s="8"/>
      <c r="GTD136" s="54"/>
      <c r="GTE136" s="8"/>
      <c r="GTF136" s="54"/>
      <c r="GTG136" s="8"/>
      <c r="GTH136" s="54"/>
      <c r="GTI136" s="8"/>
      <c r="GTJ136" s="54"/>
      <c r="GTK136" s="8"/>
      <c r="GTL136" s="54"/>
      <c r="GTM136" s="8"/>
      <c r="GTN136" s="54"/>
      <c r="GTO136" s="8"/>
      <c r="GTP136" s="54"/>
      <c r="GTQ136" s="8"/>
      <c r="GTR136" s="54"/>
      <c r="GTS136" s="8"/>
      <c r="GTT136" s="54"/>
      <c r="GTU136" s="8"/>
      <c r="GTV136" s="54"/>
      <c r="GTW136" s="8"/>
      <c r="GTX136" s="54"/>
      <c r="GTY136" s="8"/>
      <c r="GTZ136" s="54"/>
      <c r="GUA136" s="8"/>
      <c r="GUB136" s="54"/>
      <c r="GUC136" s="8"/>
      <c r="GUD136" s="54"/>
      <c r="GUE136" s="8"/>
      <c r="GUF136" s="54"/>
      <c r="GUG136" s="8"/>
      <c r="GUH136" s="54"/>
      <c r="GUI136" s="8"/>
      <c r="GUJ136" s="54"/>
      <c r="GUK136" s="8"/>
      <c r="GUL136" s="54"/>
      <c r="GUM136" s="8"/>
      <c r="GUN136" s="54"/>
      <c r="GUO136" s="8"/>
      <c r="GUP136" s="54"/>
      <c r="GUQ136" s="8"/>
      <c r="GUR136" s="54"/>
      <c r="GUS136" s="8"/>
      <c r="GUT136" s="54"/>
      <c r="GUU136" s="8"/>
      <c r="GUV136" s="54"/>
      <c r="GUW136" s="8"/>
      <c r="GUX136" s="54"/>
      <c r="GUY136" s="8"/>
      <c r="GUZ136" s="54"/>
      <c r="GVA136" s="8"/>
      <c r="GVB136" s="54"/>
      <c r="GVC136" s="8"/>
      <c r="GVD136" s="54"/>
      <c r="GVE136" s="8"/>
      <c r="GVF136" s="54"/>
      <c r="GVG136" s="8"/>
      <c r="GVH136" s="54"/>
      <c r="GVI136" s="8"/>
      <c r="GVJ136" s="54"/>
      <c r="GVK136" s="8"/>
      <c r="GVL136" s="54"/>
      <c r="GVM136" s="8"/>
      <c r="GVN136" s="54"/>
      <c r="GVO136" s="8"/>
      <c r="GVP136" s="54"/>
      <c r="GVQ136" s="8"/>
      <c r="GVR136" s="54"/>
      <c r="GVS136" s="8"/>
      <c r="GVT136" s="54"/>
      <c r="GVU136" s="8"/>
      <c r="GVV136" s="54"/>
      <c r="GVW136" s="8"/>
      <c r="GVX136" s="54"/>
      <c r="GVY136" s="8"/>
      <c r="GVZ136" s="54"/>
      <c r="GWA136" s="8"/>
      <c r="GWB136" s="54"/>
      <c r="GWC136" s="8"/>
      <c r="GWD136" s="54"/>
      <c r="GWE136" s="8"/>
      <c r="GWF136" s="54"/>
      <c r="GWG136" s="8"/>
      <c r="GWH136" s="54"/>
      <c r="GWI136" s="8"/>
      <c r="GWJ136" s="54"/>
      <c r="GWK136" s="8"/>
      <c r="GWL136" s="54"/>
      <c r="GWM136" s="8"/>
      <c r="GWN136" s="54"/>
      <c r="GWO136" s="8"/>
      <c r="GWP136" s="54"/>
      <c r="GWQ136" s="8"/>
      <c r="GWR136" s="54"/>
      <c r="GWS136" s="8"/>
      <c r="GWT136" s="54"/>
      <c r="GWU136" s="8"/>
      <c r="GWV136" s="54"/>
      <c r="GWW136" s="8"/>
      <c r="GWX136" s="54"/>
      <c r="GWY136" s="8"/>
      <c r="GWZ136" s="54"/>
      <c r="GXA136" s="8"/>
      <c r="GXB136" s="54"/>
      <c r="GXC136" s="8"/>
      <c r="GXD136" s="54"/>
      <c r="GXE136" s="8"/>
      <c r="GXF136" s="54"/>
      <c r="GXG136" s="8"/>
      <c r="GXH136" s="54"/>
      <c r="GXI136" s="8"/>
      <c r="GXJ136" s="54"/>
      <c r="GXK136" s="8"/>
      <c r="GXL136" s="54"/>
      <c r="GXM136" s="8"/>
      <c r="GXN136" s="54"/>
      <c r="GXO136" s="8"/>
      <c r="GXP136" s="54"/>
      <c r="GXQ136" s="8"/>
      <c r="GXR136" s="54"/>
      <c r="GXS136" s="8"/>
      <c r="GXT136" s="54"/>
      <c r="GXU136" s="8"/>
      <c r="GXV136" s="54"/>
      <c r="GXW136" s="8"/>
      <c r="GXX136" s="54"/>
      <c r="GXY136" s="8"/>
      <c r="GXZ136" s="54"/>
      <c r="GYA136" s="8"/>
      <c r="GYB136" s="54"/>
      <c r="GYC136" s="8"/>
      <c r="GYD136" s="54"/>
      <c r="GYE136" s="8"/>
      <c r="GYF136" s="54"/>
      <c r="GYG136" s="8"/>
      <c r="GYH136" s="54"/>
      <c r="GYI136" s="8"/>
      <c r="GYJ136" s="54"/>
      <c r="GYK136" s="8"/>
      <c r="GYL136" s="54"/>
      <c r="GYM136" s="8"/>
      <c r="GYN136" s="54"/>
      <c r="GYO136" s="8"/>
      <c r="GYP136" s="54"/>
      <c r="GYQ136" s="8"/>
      <c r="GYR136" s="54"/>
      <c r="GYS136" s="8"/>
      <c r="GYT136" s="54"/>
      <c r="GYU136" s="8"/>
      <c r="GYV136" s="54"/>
      <c r="GYW136" s="8"/>
      <c r="GYX136" s="54"/>
      <c r="GYY136" s="8"/>
      <c r="GYZ136" s="54"/>
      <c r="GZA136" s="8"/>
      <c r="GZB136" s="54"/>
      <c r="GZC136" s="8"/>
      <c r="GZD136" s="54"/>
      <c r="GZE136" s="8"/>
      <c r="GZF136" s="54"/>
      <c r="GZG136" s="8"/>
      <c r="GZH136" s="54"/>
      <c r="GZI136" s="8"/>
      <c r="GZJ136" s="54"/>
      <c r="GZK136" s="8"/>
      <c r="GZL136" s="54"/>
      <c r="GZM136" s="8"/>
      <c r="GZN136" s="54"/>
      <c r="GZO136" s="8"/>
      <c r="GZP136" s="54"/>
      <c r="GZQ136" s="8"/>
      <c r="GZR136" s="54"/>
      <c r="GZS136" s="8"/>
      <c r="GZT136" s="54"/>
      <c r="GZU136" s="8"/>
      <c r="GZV136" s="54"/>
      <c r="GZW136" s="8"/>
      <c r="GZX136" s="54"/>
      <c r="GZY136" s="8"/>
      <c r="GZZ136" s="54"/>
      <c r="HAA136" s="8"/>
      <c r="HAB136" s="54"/>
      <c r="HAC136" s="8"/>
      <c r="HAD136" s="54"/>
      <c r="HAE136" s="8"/>
      <c r="HAF136" s="54"/>
      <c r="HAG136" s="8"/>
      <c r="HAH136" s="54"/>
      <c r="HAI136" s="8"/>
      <c r="HAJ136" s="54"/>
      <c r="HAK136" s="8"/>
      <c r="HAL136" s="54"/>
      <c r="HAM136" s="8"/>
      <c r="HAN136" s="54"/>
      <c r="HAO136" s="8"/>
      <c r="HAP136" s="54"/>
      <c r="HAQ136" s="8"/>
      <c r="HAR136" s="54"/>
      <c r="HAS136" s="8"/>
      <c r="HAT136" s="54"/>
      <c r="HAU136" s="8"/>
      <c r="HAV136" s="54"/>
      <c r="HAW136" s="8"/>
      <c r="HAX136" s="54"/>
      <c r="HAY136" s="8"/>
      <c r="HAZ136" s="54"/>
      <c r="HBA136" s="8"/>
      <c r="HBB136" s="54"/>
      <c r="HBC136" s="8"/>
      <c r="HBD136" s="54"/>
      <c r="HBE136" s="8"/>
      <c r="HBF136" s="54"/>
      <c r="HBG136" s="8"/>
      <c r="HBH136" s="54"/>
      <c r="HBI136" s="8"/>
      <c r="HBJ136" s="54"/>
      <c r="HBK136" s="8"/>
      <c r="HBL136" s="54"/>
      <c r="HBM136" s="8"/>
      <c r="HBN136" s="54"/>
      <c r="HBO136" s="8"/>
      <c r="HBP136" s="54"/>
      <c r="HBQ136" s="8"/>
      <c r="HBR136" s="54"/>
      <c r="HBS136" s="8"/>
      <c r="HBT136" s="54"/>
      <c r="HBU136" s="8"/>
      <c r="HBV136" s="54"/>
      <c r="HBW136" s="8"/>
      <c r="HBX136" s="54"/>
      <c r="HBY136" s="8"/>
      <c r="HBZ136" s="54"/>
      <c r="HCA136" s="8"/>
      <c r="HCB136" s="54"/>
      <c r="HCC136" s="8"/>
      <c r="HCD136" s="54"/>
      <c r="HCE136" s="8"/>
      <c r="HCF136" s="54"/>
      <c r="HCG136" s="8"/>
      <c r="HCH136" s="54"/>
      <c r="HCI136" s="8"/>
      <c r="HCJ136" s="54"/>
      <c r="HCK136" s="8"/>
      <c r="HCL136" s="54"/>
      <c r="HCM136" s="8"/>
      <c r="HCN136" s="54"/>
      <c r="HCO136" s="8"/>
      <c r="HCP136" s="54"/>
      <c r="HCQ136" s="8"/>
      <c r="HCR136" s="54"/>
      <c r="HCS136" s="8"/>
      <c r="HCT136" s="54"/>
      <c r="HCU136" s="8"/>
      <c r="HCV136" s="54"/>
      <c r="HCW136" s="8"/>
      <c r="HCX136" s="54"/>
      <c r="HCY136" s="8"/>
      <c r="HCZ136" s="54"/>
      <c r="HDA136" s="8"/>
      <c r="HDB136" s="54"/>
      <c r="HDC136" s="8"/>
      <c r="HDD136" s="54"/>
      <c r="HDE136" s="8"/>
      <c r="HDF136" s="54"/>
      <c r="HDG136" s="8"/>
      <c r="HDH136" s="54"/>
      <c r="HDI136" s="8"/>
      <c r="HDJ136" s="54"/>
      <c r="HDK136" s="8"/>
      <c r="HDL136" s="54"/>
      <c r="HDM136" s="8"/>
      <c r="HDN136" s="54"/>
      <c r="HDO136" s="8"/>
      <c r="HDP136" s="54"/>
      <c r="HDQ136" s="8"/>
      <c r="HDR136" s="54"/>
      <c r="HDS136" s="8"/>
      <c r="HDT136" s="54"/>
      <c r="HDU136" s="8"/>
      <c r="HDV136" s="54"/>
      <c r="HDW136" s="8"/>
      <c r="HDX136" s="54"/>
      <c r="HDY136" s="8"/>
      <c r="HDZ136" s="54"/>
      <c r="HEA136" s="8"/>
      <c r="HEB136" s="54"/>
      <c r="HEC136" s="8"/>
      <c r="HED136" s="54"/>
      <c r="HEE136" s="8"/>
      <c r="HEF136" s="54"/>
      <c r="HEG136" s="8"/>
      <c r="HEH136" s="54"/>
      <c r="HEI136" s="8"/>
      <c r="HEJ136" s="54"/>
      <c r="HEK136" s="8"/>
      <c r="HEL136" s="54"/>
      <c r="HEM136" s="8"/>
      <c r="HEN136" s="54"/>
      <c r="HEO136" s="8"/>
      <c r="HEP136" s="54"/>
      <c r="HEQ136" s="8"/>
      <c r="HER136" s="54"/>
      <c r="HES136" s="8"/>
      <c r="HET136" s="54"/>
      <c r="HEU136" s="8"/>
      <c r="HEV136" s="54"/>
      <c r="HEW136" s="8"/>
      <c r="HEX136" s="54"/>
      <c r="HEY136" s="8"/>
      <c r="HEZ136" s="54"/>
      <c r="HFA136" s="8"/>
      <c r="HFB136" s="54"/>
      <c r="HFC136" s="8"/>
      <c r="HFD136" s="54"/>
      <c r="HFE136" s="8"/>
      <c r="HFF136" s="54"/>
      <c r="HFG136" s="8"/>
      <c r="HFH136" s="54"/>
      <c r="HFI136" s="8"/>
      <c r="HFJ136" s="54"/>
      <c r="HFK136" s="8"/>
      <c r="HFL136" s="54"/>
      <c r="HFM136" s="8"/>
      <c r="HFN136" s="54"/>
      <c r="HFO136" s="8"/>
      <c r="HFP136" s="54"/>
      <c r="HFQ136" s="8"/>
      <c r="HFR136" s="54"/>
      <c r="HFS136" s="8"/>
      <c r="HFT136" s="54"/>
      <c r="HFU136" s="8"/>
      <c r="HFV136" s="54"/>
      <c r="HFW136" s="8"/>
      <c r="HFX136" s="54"/>
      <c r="HFY136" s="8"/>
      <c r="HFZ136" s="54"/>
      <c r="HGA136" s="8"/>
      <c r="HGB136" s="54"/>
      <c r="HGC136" s="8"/>
      <c r="HGD136" s="54"/>
      <c r="HGE136" s="8"/>
      <c r="HGF136" s="54"/>
      <c r="HGG136" s="8"/>
      <c r="HGH136" s="54"/>
      <c r="HGI136" s="8"/>
      <c r="HGJ136" s="54"/>
      <c r="HGK136" s="8"/>
      <c r="HGL136" s="54"/>
      <c r="HGM136" s="8"/>
      <c r="HGN136" s="54"/>
      <c r="HGO136" s="8"/>
      <c r="HGP136" s="54"/>
      <c r="HGQ136" s="8"/>
      <c r="HGR136" s="54"/>
      <c r="HGS136" s="8"/>
      <c r="HGT136" s="54"/>
      <c r="HGU136" s="8"/>
      <c r="HGV136" s="54"/>
      <c r="HGW136" s="8"/>
      <c r="HGX136" s="54"/>
      <c r="HGY136" s="8"/>
      <c r="HGZ136" s="54"/>
      <c r="HHA136" s="8"/>
      <c r="HHB136" s="54"/>
      <c r="HHC136" s="8"/>
      <c r="HHD136" s="54"/>
      <c r="HHE136" s="8"/>
      <c r="HHF136" s="54"/>
      <c r="HHG136" s="8"/>
      <c r="HHH136" s="54"/>
      <c r="HHI136" s="8"/>
      <c r="HHJ136" s="54"/>
      <c r="HHK136" s="8"/>
      <c r="HHL136" s="54"/>
      <c r="HHM136" s="8"/>
      <c r="HHN136" s="54"/>
      <c r="HHO136" s="8"/>
      <c r="HHP136" s="54"/>
      <c r="HHQ136" s="8"/>
      <c r="HHR136" s="54"/>
      <c r="HHS136" s="8"/>
      <c r="HHT136" s="54"/>
      <c r="HHU136" s="8"/>
      <c r="HHV136" s="54"/>
      <c r="HHW136" s="8"/>
      <c r="HHX136" s="54"/>
      <c r="HHY136" s="8"/>
      <c r="HHZ136" s="54"/>
      <c r="HIA136" s="8"/>
      <c r="HIB136" s="54"/>
      <c r="HIC136" s="8"/>
      <c r="HID136" s="54"/>
      <c r="HIE136" s="8"/>
      <c r="HIF136" s="54"/>
      <c r="HIG136" s="8"/>
      <c r="HIH136" s="54"/>
      <c r="HII136" s="8"/>
      <c r="HIJ136" s="54"/>
      <c r="HIK136" s="8"/>
      <c r="HIL136" s="54"/>
      <c r="HIM136" s="8"/>
      <c r="HIN136" s="54"/>
      <c r="HIO136" s="8"/>
      <c r="HIP136" s="54"/>
      <c r="HIQ136" s="8"/>
      <c r="HIR136" s="54"/>
      <c r="HIS136" s="8"/>
      <c r="HIT136" s="54"/>
      <c r="HIU136" s="8"/>
      <c r="HIV136" s="54"/>
      <c r="HIW136" s="8"/>
      <c r="HIX136" s="54"/>
      <c r="HIY136" s="8"/>
      <c r="HIZ136" s="54"/>
      <c r="HJA136" s="8"/>
      <c r="HJB136" s="54"/>
      <c r="HJC136" s="8"/>
      <c r="HJD136" s="54"/>
      <c r="HJE136" s="8"/>
      <c r="HJF136" s="54"/>
      <c r="HJG136" s="8"/>
      <c r="HJH136" s="54"/>
      <c r="HJI136" s="8"/>
      <c r="HJJ136" s="54"/>
      <c r="HJK136" s="8"/>
      <c r="HJL136" s="54"/>
      <c r="HJM136" s="8"/>
      <c r="HJN136" s="54"/>
      <c r="HJO136" s="8"/>
      <c r="HJP136" s="54"/>
      <c r="HJQ136" s="8"/>
      <c r="HJR136" s="54"/>
      <c r="HJS136" s="8"/>
      <c r="HJT136" s="54"/>
      <c r="HJU136" s="8"/>
      <c r="HJV136" s="54"/>
      <c r="HJW136" s="8"/>
      <c r="HJX136" s="54"/>
      <c r="HJY136" s="8"/>
      <c r="HJZ136" s="54"/>
      <c r="HKA136" s="8"/>
      <c r="HKB136" s="54"/>
      <c r="HKC136" s="8"/>
      <c r="HKD136" s="54"/>
      <c r="HKE136" s="8"/>
      <c r="HKF136" s="54"/>
      <c r="HKG136" s="8"/>
      <c r="HKH136" s="54"/>
      <c r="HKI136" s="8"/>
      <c r="HKJ136" s="54"/>
      <c r="HKK136" s="8"/>
      <c r="HKL136" s="54"/>
      <c r="HKM136" s="8"/>
      <c r="HKN136" s="54"/>
      <c r="HKO136" s="8"/>
      <c r="HKP136" s="54"/>
      <c r="HKQ136" s="8"/>
      <c r="HKR136" s="54"/>
      <c r="HKS136" s="8"/>
      <c r="HKT136" s="54"/>
      <c r="HKU136" s="8"/>
      <c r="HKV136" s="54"/>
      <c r="HKW136" s="8"/>
      <c r="HKX136" s="54"/>
      <c r="HKY136" s="8"/>
      <c r="HKZ136" s="54"/>
      <c r="HLA136" s="8"/>
      <c r="HLB136" s="54"/>
      <c r="HLC136" s="8"/>
      <c r="HLD136" s="54"/>
      <c r="HLE136" s="8"/>
      <c r="HLF136" s="54"/>
      <c r="HLG136" s="8"/>
      <c r="HLH136" s="54"/>
      <c r="HLI136" s="8"/>
      <c r="HLJ136" s="54"/>
      <c r="HLK136" s="8"/>
      <c r="HLL136" s="54"/>
      <c r="HLM136" s="8"/>
      <c r="HLN136" s="54"/>
      <c r="HLO136" s="8"/>
      <c r="HLP136" s="54"/>
      <c r="HLQ136" s="8"/>
      <c r="HLR136" s="54"/>
      <c r="HLS136" s="8"/>
      <c r="HLT136" s="54"/>
      <c r="HLU136" s="8"/>
      <c r="HLV136" s="54"/>
      <c r="HLW136" s="8"/>
      <c r="HLX136" s="54"/>
      <c r="HLY136" s="8"/>
      <c r="HLZ136" s="54"/>
      <c r="HMA136" s="8"/>
      <c r="HMB136" s="54"/>
      <c r="HMC136" s="8"/>
      <c r="HMD136" s="54"/>
      <c r="HME136" s="8"/>
      <c r="HMF136" s="54"/>
      <c r="HMG136" s="8"/>
      <c r="HMH136" s="54"/>
      <c r="HMI136" s="8"/>
      <c r="HMJ136" s="54"/>
      <c r="HMK136" s="8"/>
      <c r="HML136" s="54"/>
      <c r="HMM136" s="8"/>
      <c r="HMN136" s="54"/>
      <c r="HMO136" s="8"/>
      <c r="HMP136" s="54"/>
      <c r="HMQ136" s="8"/>
      <c r="HMR136" s="54"/>
      <c r="HMS136" s="8"/>
      <c r="HMT136" s="54"/>
      <c r="HMU136" s="8"/>
      <c r="HMV136" s="54"/>
      <c r="HMW136" s="8"/>
      <c r="HMX136" s="54"/>
      <c r="HMY136" s="8"/>
      <c r="HMZ136" s="54"/>
      <c r="HNA136" s="8"/>
      <c r="HNB136" s="54"/>
      <c r="HNC136" s="8"/>
      <c r="HND136" s="54"/>
      <c r="HNE136" s="8"/>
      <c r="HNF136" s="54"/>
      <c r="HNG136" s="8"/>
      <c r="HNH136" s="54"/>
      <c r="HNI136" s="8"/>
      <c r="HNJ136" s="54"/>
      <c r="HNK136" s="8"/>
      <c r="HNL136" s="54"/>
      <c r="HNM136" s="8"/>
      <c r="HNN136" s="54"/>
      <c r="HNO136" s="8"/>
      <c r="HNP136" s="54"/>
      <c r="HNQ136" s="8"/>
      <c r="HNR136" s="54"/>
      <c r="HNS136" s="8"/>
      <c r="HNT136" s="54"/>
      <c r="HNU136" s="8"/>
      <c r="HNV136" s="54"/>
      <c r="HNW136" s="8"/>
      <c r="HNX136" s="54"/>
      <c r="HNY136" s="8"/>
      <c r="HNZ136" s="54"/>
      <c r="HOA136" s="8"/>
      <c r="HOB136" s="54"/>
      <c r="HOC136" s="8"/>
      <c r="HOD136" s="54"/>
      <c r="HOE136" s="8"/>
      <c r="HOF136" s="54"/>
      <c r="HOG136" s="8"/>
      <c r="HOH136" s="54"/>
      <c r="HOI136" s="8"/>
      <c r="HOJ136" s="54"/>
      <c r="HOK136" s="8"/>
      <c r="HOL136" s="54"/>
      <c r="HOM136" s="8"/>
      <c r="HON136" s="54"/>
      <c r="HOO136" s="8"/>
      <c r="HOP136" s="54"/>
      <c r="HOQ136" s="8"/>
      <c r="HOR136" s="54"/>
      <c r="HOS136" s="8"/>
      <c r="HOT136" s="54"/>
      <c r="HOU136" s="8"/>
      <c r="HOV136" s="54"/>
      <c r="HOW136" s="8"/>
      <c r="HOX136" s="54"/>
      <c r="HOY136" s="8"/>
      <c r="HOZ136" s="54"/>
      <c r="HPA136" s="8"/>
      <c r="HPB136" s="54"/>
      <c r="HPC136" s="8"/>
      <c r="HPD136" s="54"/>
      <c r="HPE136" s="8"/>
      <c r="HPF136" s="54"/>
      <c r="HPG136" s="8"/>
      <c r="HPH136" s="54"/>
      <c r="HPI136" s="8"/>
      <c r="HPJ136" s="54"/>
      <c r="HPK136" s="8"/>
      <c r="HPL136" s="54"/>
      <c r="HPM136" s="8"/>
      <c r="HPN136" s="54"/>
      <c r="HPO136" s="8"/>
      <c r="HPP136" s="54"/>
      <c r="HPQ136" s="8"/>
      <c r="HPR136" s="54"/>
      <c r="HPS136" s="8"/>
      <c r="HPT136" s="54"/>
      <c r="HPU136" s="8"/>
      <c r="HPV136" s="54"/>
      <c r="HPW136" s="8"/>
      <c r="HPX136" s="54"/>
      <c r="HPY136" s="8"/>
      <c r="HPZ136" s="54"/>
      <c r="HQA136" s="8"/>
      <c r="HQB136" s="54"/>
      <c r="HQC136" s="8"/>
      <c r="HQD136" s="54"/>
      <c r="HQE136" s="8"/>
      <c r="HQF136" s="54"/>
      <c r="HQG136" s="8"/>
      <c r="HQH136" s="54"/>
      <c r="HQI136" s="8"/>
      <c r="HQJ136" s="54"/>
      <c r="HQK136" s="8"/>
      <c r="HQL136" s="54"/>
      <c r="HQM136" s="8"/>
      <c r="HQN136" s="54"/>
      <c r="HQO136" s="8"/>
      <c r="HQP136" s="54"/>
      <c r="HQQ136" s="8"/>
      <c r="HQR136" s="54"/>
      <c r="HQS136" s="8"/>
      <c r="HQT136" s="54"/>
      <c r="HQU136" s="8"/>
      <c r="HQV136" s="54"/>
      <c r="HQW136" s="8"/>
      <c r="HQX136" s="54"/>
      <c r="HQY136" s="8"/>
      <c r="HQZ136" s="54"/>
      <c r="HRA136" s="8"/>
      <c r="HRB136" s="54"/>
      <c r="HRC136" s="8"/>
      <c r="HRD136" s="54"/>
      <c r="HRE136" s="8"/>
      <c r="HRF136" s="54"/>
      <c r="HRG136" s="8"/>
      <c r="HRH136" s="54"/>
      <c r="HRI136" s="8"/>
      <c r="HRJ136" s="54"/>
      <c r="HRK136" s="8"/>
      <c r="HRL136" s="54"/>
      <c r="HRM136" s="8"/>
      <c r="HRN136" s="54"/>
      <c r="HRO136" s="8"/>
      <c r="HRP136" s="54"/>
      <c r="HRQ136" s="8"/>
      <c r="HRR136" s="54"/>
      <c r="HRS136" s="8"/>
      <c r="HRT136" s="54"/>
      <c r="HRU136" s="8"/>
      <c r="HRV136" s="54"/>
      <c r="HRW136" s="8"/>
      <c r="HRX136" s="54"/>
      <c r="HRY136" s="8"/>
      <c r="HRZ136" s="54"/>
      <c r="HSA136" s="8"/>
      <c r="HSB136" s="54"/>
      <c r="HSC136" s="8"/>
      <c r="HSD136" s="54"/>
      <c r="HSE136" s="8"/>
      <c r="HSF136" s="54"/>
      <c r="HSG136" s="8"/>
      <c r="HSH136" s="54"/>
      <c r="HSI136" s="8"/>
      <c r="HSJ136" s="54"/>
      <c r="HSK136" s="8"/>
      <c r="HSL136" s="54"/>
      <c r="HSM136" s="8"/>
      <c r="HSN136" s="54"/>
      <c r="HSO136" s="8"/>
      <c r="HSP136" s="54"/>
      <c r="HSQ136" s="8"/>
      <c r="HSR136" s="54"/>
      <c r="HSS136" s="8"/>
      <c r="HST136" s="54"/>
      <c r="HSU136" s="8"/>
      <c r="HSV136" s="54"/>
      <c r="HSW136" s="8"/>
      <c r="HSX136" s="54"/>
      <c r="HSY136" s="8"/>
      <c r="HSZ136" s="54"/>
      <c r="HTA136" s="8"/>
      <c r="HTB136" s="54"/>
      <c r="HTC136" s="8"/>
      <c r="HTD136" s="54"/>
      <c r="HTE136" s="8"/>
      <c r="HTF136" s="54"/>
      <c r="HTG136" s="8"/>
      <c r="HTH136" s="54"/>
      <c r="HTI136" s="8"/>
      <c r="HTJ136" s="54"/>
      <c r="HTK136" s="8"/>
      <c r="HTL136" s="54"/>
      <c r="HTM136" s="8"/>
      <c r="HTN136" s="54"/>
      <c r="HTO136" s="8"/>
      <c r="HTP136" s="54"/>
      <c r="HTQ136" s="8"/>
      <c r="HTR136" s="54"/>
      <c r="HTS136" s="8"/>
      <c r="HTT136" s="54"/>
      <c r="HTU136" s="8"/>
      <c r="HTV136" s="54"/>
      <c r="HTW136" s="8"/>
      <c r="HTX136" s="54"/>
      <c r="HTY136" s="8"/>
      <c r="HTZ136" s="54"/>
      <c r="HUA136" s="8"/>
      <c r="HUB136" s="54"/>
      <c r="HUC136" s="8"/>
      <c r="HUD136" s="54"/>
      <c r="HUE136" s="8"/>
      <c r="HUF136" s="54"/>
      <c r="HUG136" s="8"/>
      <c r="HUH136" s="54"/>
      <c r="HUI136" s="8"/>
      <c r="HUJ136" s="54"/>
      <c r="HUK136" s="8"/>
      <c r="HUL136" s="54"/>
      <c r="HUM136" s="8"/>
      <c r="HUN136" s="54"/>
      <c r="HUO136" s="8"/>
      <c r="HUP136" s="54"/>
      <c r="HUQ136" s="8"/>
      <c r="HUR136" s="54"/>
      <c r="HUS136" s="8"/>
      <c r="HUT136" s="54"/>
      <c r="HUU136" s="8"/>
      <c r="HUV136" s="54"/>
      <c r="HUW136" s="8"/>
      <c r="HUX136" s="54"/>
      <c r="HUY136" s="8"/>
      <c r="HUZ136" s="54"/>
      <c r="HVA136" s="8"/>
      <c r="HVB136" s="54"/>
      <c r="HVC136" s="8"/>
      <c r="HVD136" s="54"/>
      <c r="HVE136" s="8"/>
      <c r="HVF136" s="54"/>
      <c r="HVG136" s="8"/>
      <c r="HVH136" s="54"/>
      <c r="HVI136" s="8"/>
      <c r="HVJ136" s="54"/>
      <c r="HVK136" s="8"/>
      <c r="HVL136" s="54"/>
      <c r="HVM136" s="8"/>
      <c r="HVN136" s="54"/>
      <c r="HVO136" s="8"/>
      <c r="HVP136" s="54"/>
      <c r="HVQ136" s="8"/>
      <c r="HVR136" s="54"/>
      <c r="HVS136" s="8"/>
      <c r="HVT136" s="54"/>
      <c r="HVU136" s="8"/>
      <c r="HVV136" s="54"/>
      <c r="HVW136" s="8"/>
      <c r="HVX136" s="54"/>
      <c r="HVY136" s="8"/>
      <c r="HVZ136" s="54"/>
      <c r="HWA136" s="8"/>
      <c r="HWB136" s="54"/>
      <c r="HWC136" s="8"/>
      <c r="HWD136" s="54"/>
      <c r="HWE136" s="8"/>
      <c r="HWF136" s="54"/>
      <c r="HWG136" s="8"/>
      <c r="HWH136" s="54"/>
      <c r="HWI136" s="8"/>
      <c r="HWJ136" s="54"/>
      <c r="HWK136" s="8"/>
      <c r="HWL136" s="54"/>
      <c r="HWM136" s="8"/>
      <c r="HWN136" s="54"/>
      <c r="HWO136" s="8"/>
      <c r="HWP136" s="54"/>
      <c r="HWQ136" s="8"/>
      <c r="HWR136" s="54"/>
      <c r="HWS136" s="8"/>
      <c r="HWT136" s="54"/>
      <c r="HWU136" s="8"/>
      <c r="HWV136" s="54"/>
      <c r="HWW136" s="8"/>
      <c r="HWX136" s="54"/>
      <c r="HWY136" s="8"/>
      <c r="HWZ136" s="54"/>
      <c r="HXA136" s="8"/>
      <c r="HXB136" s="54"/>
      <c r="HXC136" s="8"/>
      <c r="HXD136" s="54"/>
      <c r="HXE136" s="8"/>
      <c r="HXF136" s="54"/>
      <c r="HXG136" s="8"/>
      <c r="HXH136" s="54"/>
      <c r="HXI136" s="8"/>
      <c r="HXJ136" s="54"/>
      <c r="HXK136" s="8"/>
      <c r="HXL136" s="54"/>
      <c r="HXM136" s="8"/>
      <c r="HXN136" s="54"/>
      <c r="HXO136" s="8"/>
      <c r="HXP136" s="54"/>
      <c r="HXQ136" s="8"/>
      <c r="HXR136" s="54"/>
      <c r="HXS136" s="8"/>
      <c r="HXT136" s="54"/>
      <c r="HXU136" s="8"/>
      <c r="HXV136" s="54"/>
      <c r="HXW136" s="8"/>
      <c r="HXX136" s="54"/>
      <c r="HXY136" s="8"/>
      <c r="HXZ136" s="54"/>
      <c r="HYA136" s="8"/>
      <c r="HYB136" s="54"/>
      <c r="HYC136" s="8"/>
      <c r="HYD136" s="54"/>
      <c r="HYE136" s="8"/>
      <c r="HYF136" s="54"/>
      <c r="HYG136" s="8"/>
      <c r="HYH136" s="54"/>
      <c r="HYI136" s="8"/>
      <c r="HYJ136" s="54"/>
      <c r="HYK136" s="8"/>
      <c r="HYL136" s="54"/>
      <c r="HYM136" s="8"/>
      <c r="HYN136" s="54"/>
      <c r="HYO136" s="8"/>
      <c r="HYP136" s="54"/>
      <c r="HYQ136" s="8"/>
      <c r="HYR136" s="54"/>
      <c r="HYS136" s="8"/>
      <c r="HYT136" s="54"/>
      <c r="HYU136" s="8"/>
      <c r="HYV136" s="54"/>
      <c r="HYW136" s="8"/>
      <c r="HYX136" s="54"/>
      <c r="HYY136" s="8"/>
      <c r="HYZ136" s="54"/>
      <c r="HZA136" s="8"/>
      <c r="HZB136" s="54"/>
      <c r="HZC136" s="8"/>
      <c r="HZD136" s="54"/>
      <c r="HZE136" s="8"/>
      <c r="HZF136" s="54"/>
      <c r="HZG136" s="8"/>
      <c r="HZH136" s="54"/>
      <c r="HZI136" s="8"/>
      <c r="HZJ136" s="54"/>
      <c r="HZK136" s="8"/>
      <c r="HZL136" s="54"/>
      <c r="HZM136" s="8"/>
      <c r="HZN136" s="54"/>
      <c r="HZO136" s="8"/>
      <c r="HZP136" s="54"/>
      <c r="HZQ136" s="8"/>
      <c r="HZR136" s="54"/>
      <c r="HZS136" s="8"/>
      <c r="HZT136" s="54"/>
      <c r="HZU136" s="8"/>
      <c r="HZV136" s="54"/>
      <c r="HZW136" s="8"/>
      <c r="HZX136" s="54"/>
      <c r="HZY136" s="8"/>
      <c r="HZZ136" s="54"/>
      <c r="IAA136" s="8"/>
      <c r="IAB136" s="54"/>
      <c r="IAC136" s="8"/>
      <c r="IAD136" s="54"/>
      <c r="IAE136" s="8"/>
      <c r="IAF136" s="54"/>
      <c r="IAG136" s="8"/>
      <c r="IAH136" s="54"/>
      <c r="IAI136" s="8"/>
      <c r="IAJ136" s="54"/>
      <c r="IAK136" s="8"/>
      <c r="IAL136" s="54"/>
      <c r="IAM136" s="8"/>
      <c r="IAN136" s="54"/>
      <c r="IAO136" s="8"/>
      <c r="IAP136" s="54"/>
      <c r="IAQ136" s="8"/>
      <c r="IAR136" s="54"/>
      <c r="IAS136" s="8"/>
      <c r="IAT136" s="54"/>
      <c r="IAU136" s="8"/>
      <c r="IAV136" s="54"/>
      <c r="IAW136" s="8"/>
      <c r="IAX136" s="54"/>
      <c r="IAY136" s="8"/>
      <c r="IAZ136" s="54"/>
      <c r="IBA136" s="8"/>
      <c r="IBB136" s="54"/>
      <c r="IBC136" s="8"/>
      <c r="IBD136" s="54"/>
      <c r="IBE136" s="8"/>
      <c r="IBF136" s="54"/>
      <c r="IBG136" s="8"/>
      <c r="IBH136" s="54"/>
      <c r="IBI136" s="8"/>
      <c r="IBJ136" s="54"/>
      <c r="IBK136" s="8"/>
      <c r="IBL136" s="54"/>
      <c r="IBM136" s="8"/>
      <c r="IBN136" s="54"/>
      <c r="IBO136" s="8"/>
      <c r="IBP136" s="54"/>
      <c r="IBQ136" s="8"/>
      <c r="IBR136" s="54"/>
      <c r="IBS136" s="8"/>
      <c r="IBT136" s="54"/>
      <c r="IBU136" s="8"/>
      <c r="IBV136" s="54"/>
      <c r="IBW136" s="8"/>
      <c r="IBX136" s="54"/>
      <c r="IBY136" s="8"/>
      <c r="IBZ136" s="54"/>
      <c r="ICA136" s="8"/>
      <c r="ICB136" s="54"/>
      <c r="ICC136" s="8"/>
      <c r="ICD136" s="54"/>
      <c r="ICE136" s="8"/>
      <c r="ICF136" s="54"/>
      <c r="ICG136" s="8"/>
      <c r="ICH136" s="54"/>
      <c r="ICI136" s="8"/>
      <c r="ICJ136" s="54"/>
      <c r="ICK136" s="8"/>
      <c r="ICL136" s="54"/>
      <c r="ICM136" s="8"/>
      <c r="ICN136" s="54"/>
      <c r="ICO136" s="8"/>
      <c r="ICP136" s="54"/>
      <c r="ICQ136" s="8"/>
      <c r="ICR136" s="54"/>
      <c r="ICS136" s="8"/>
      <c r="ICT136" s="54"/>
      <c r="ICU136" s="8"/>
      <c r="ICV136" s="54"/>
      <c r="ICW136" s="8"/>
      <c r="ICX136" s="54"/>
      <c r="ICY136" s="8"/>
      <c r="ICZ136" s="54"/>
      <c r="IDA136" s="8"/>
      <c r="IDB136" s="54"/>
      <c r="IDC136" s="8"/>
      <c r="IDD136" s="54"/>
      <c r="IDE136" s="8"/>
      <c r="IDF136" s="54"/>
      <c r="IDG136" s="8"/>
      <c r="IDH136" s="54"/>
      <c r="IDI136" s="8"/>
      <c r="IDJ136" s="54"/>
      <c r="IDK136" s="8"/>
      <c r="IDL136" s="54"/>
      <c r="IDM136" s="8"/>
      <c r="IDN136" s="54"/>
      <c r="IDO136" s="8"/>
      <c r="IDP136" s="54"/>
      <c r="IDQ136" s="8"/>
      <c r="IDR136" s="54"/>
      <c r="IDS136" s="8"/>
      <c r="IDT136" s="54"/>
      <c r="IDU136" s="8"/>
      <c r="IDV136" s="54"/>
      <c r="IDW136" s="8"/>
      <c r="IDX136" s="54"/>
      <c r="IDY136" s="8"/>
      <c r="IDZ136" s="54"/>
      <c r="IEA136" s="8"/>
      <c r="IEB136" s="54"/>
      <c r="IEC136" s="8"/>
      <c r="IED136" s="54"/>
      <c r="IEE136" s="8"/>
      <c r="IEF136" s="54"/>
      <c r="IEG136" s="8"/>
      <c r="IEH136" s="54"/>
      <c r="IEI136" s="8"/>
      <c r="IEJ136" s="54"/>
      <c r="IEK136" s="8"/>
      <c r="IEL136" s="54"/>
      <c r="IEM136" s="8"/>
      <c r="IEN136" s="54"/>
      <c r="IEO136" s="8"/>
      <c r="IEP136" s="54"/>
      <c r="IEQ136" s="8"/>
      <c r="IER136" s="54"/>
      <c r="IES136" s="8"/>
      <c r="IET136" s="54"/>
      <c r="IEU136" s="8"/>
      <c r="IEV136" s="54"/>
      <c r="IEW136" s="8"/>
      <c r="IEX136" s="54"/>
      <c r="IEY136" s="8"/>
      <c r="IEZ136" s="54"/>
      <c r="IFA136" s="8"/>
      <c r="IFB136" s="54"/>
      <c r="IFC136" s="8"/>
      <c r="IFD136" s="54"/>
      <c r="IFE136" s="8"/>
      <c r="IFF136" s="54"/>
      <c r="IFG136" s="8"/>
      <c r="IFH136" s="54"/>
      <c r="IFI136" s="8"/>
      <c r="IFJ136" s="54"/>
      <c r="IFK136" s="8"/>
      <c r="IFL136" s="54"/>
      <c r="IFM136" s="8"/>
      <c r="IFN136" s="54"/>
      <c r="IFO136" s="8"/>
      <c r="IFP136" s="54"/>
      <c r="IFQ136" s="8"/>
      <c r="IFR136" s="54"/>
      <c r="IFS136" s="8"/>
      <c r="IFT136" s="54"/>
      <c r="IFU136" s="8"/>
      <c r="IFV136" s="54"/>
      <c r="IFW136" s="8"/>
      <c r="IFX136" s="54"/>
      <c r="IFY136" s="8"/>
      <c r="IFZ136" s="54"/>
      <c r="IGA136" s="8"/>
      <c r="IGB136" s="54"/>
      <c r="IGC136" s="8"/>
      <c r="IGD136" s="54"/>
      <c r="IGE136" s="8"/>
      <c r="IGF136" s="54"/>
      <c r="IGG136" s="8"/>
      <c r="IGH136" s="54"/>
      <c r="IGI136" s="8"/>
      <c r="IGJ136" s="54"/>
      <c r="IGK136" s="8"/>
      <c r="IGL136" s="54"/>
      <c r="IGM136" s="8"/>
      <c r="IGN136" s="54"/>
      <c r="IGO136" s="8"/>
      <c r="IGP136" s="54"/>
      <c r="IGQ136" s="8"/>
      <c r="IGR136" s="54"/>
      <c r="IGS136" s="8"/>
      <c r="IGT136" s="54"/>
      <c r="IGU136" s="8"/>
      <c r="IGV136" s="54"/>
      <c r="IGW136" s="8"/>
      <c r="IGX136" s="54"/>
      <c r="IGY136" s="8"/>
      <c r="IGZ136" s="54"/>
      <c r="IHA136" s="8"/>
      <c r="IHB136" s="54"/>
      <c r="IHC136" s="8"/>
      <c r="IHD136" s="54"/>
      <c r="IHE136" s="8"/>
      <c r="IHF136" s="54"/>
      <c r="IHG136" s="8"/>
      <c r="IHH136" s="54"/>
      <c r="IHI136" s="8"/>
      <c r="IHJ136" s="54"/>
      <c r="IHK136" s="8"/>
      <c r="IHL136" s="54"/>
      <c r="IHM136" s="8"/>
      <c r="IHN136" s="54"/>
      <c r="IHO136" s="8"/>
      <c r="IHP136" s="54"/>
      <c r="IHQ136" s="8"/>
      <c r="IHR136" s="54"/>
      <c r="IHS136" s="8"/>
      <c r="IHT136" s="54"/>
      <c r="IHU136" s="8"/>
      <c r="IHV136" s="54"/>
      <c r="IHW136" s="8"/>
      <c r="IHX136" s="54"/>
      <c r="IHY136" s="8"/>
      <c r="IHZ136" s="54"/>
      <c r="IIA136" s="8"/>
      <c r="IIB136" s="54"/>
      <c r="IIC136" s="8"/>
      <c r="IID136" s="54"/>
      <c r="IIE136" s="8"/>
      <c r="IIF136" s="54"/>
      <c r="IIG136" s="8"/>
      <c r="IIH136" s="54"/>
      <c r="III136" s="8"/>
      <c r="IIJ136" s="54"/>
      <c r="IIK136" s="8"/>
      <c r="IIL136" s="54"/>
      <c r="IIM136" s="8"/>
      <c r="IIN136" s="54"/>
      <c r="IIO136" s="8"/>
      <c r="IIP136" s="54"/>
      <c r="IIQ136" s="8"/>
      <c r="IIR136" s="54"/>
      <c r="IIS136" s="8"/>
      <c r="IIT136" s="54"/>
      <c r="IIU136" s="8"/>
      <c r="IIV136" s="54"/>
      <c r="IIW136" s="8"/>
      <c r="IIX136" s="54"/>
      <c r="IIY136" s="8"/>
      <c r="IIZ136" s="54"/>
      <c r="IJA136" s="8"/>
      <c r="IJB136" s="54"/>
      <c r="IJC136" s="8"/>
      <c r="IJD136" s="54"/>
      <c r="IJE136" s="8"/>
      <c r="IJF136" s="54"/>
      <c r="IJG136" s="8"/>
      <c r="IJH136" s="54"/>
      <c r="IJI136" s="8"/>
      <c r="IJJ136" s="54"/>
      <c r="IJK136" s="8"/>
      <c r="IJL136" s="54"/>
      <c r="IJM136" s="8"/>
      <c r="IJN136" s="54"/>
      <c r="IJO136" s="8"/>
      <c r="IJP136" s="54"/>
      <c r="IJQ136" s="8"/>
      <c r="IJR136" s="54"/>
      <c r="IJS136" s="8"/>
      <c r="IJT136" s="54"/>
      <c r="IJU136" s="8"/>
      <c r="IJV136" s="54"/>
      <c r="IJW136" s="8"/>
      <c r="IJX136" s="54"/>
      <c r="IJY136" s="8"/>
      <c r="IJZ136" s="54"/>
      <c r="IKA136" s="8"/>
      <c r="IKB136" s="54"/>
      <c r="IKC136" s="8"/>
      <c r="IKD136" s="54"/>
      <c r="IKE136" s="8"/>
      <c r="IKF136" s="54"/>
      <c r="IKG136" s="8"/>
      <c r="IKH136" s="54"/>
      <c r="IKI136" s="8"/>
      <c r="IKJ136" s="54"/>
      <c r="IKK136" s="8"/>
      <c r="IKL136" s="54"/>
      <c r="IKM136" s="8"/>
      <c r="IKN136" s="54"/>
      <c r="IKO136" s="8"/>
      <c r="IKP136" s="54"/>
      <c r="IKQ136" s="8"/>
      <c r="IKR136" s="54"/>
      <c r="IKS136" s="8"/>
      <c r="IKT136" s="54"/>
      <c r="IKU136" s="8"/>
      <c r="IKV136" s="54"/>
      <c r="IKW136" s="8"/>
      <c r="IKX136" s="54"/>
      <c r="IKY136" s="8"/>
      <c r="IKZ136" s="54"/>
      <c r="ILA136" s="8"/>
      <c r="ILB136" s="54"/>
      <c r="ILC136" s="8"/>
      <c r="ILD136" s="54"/>
      <c r="ILE136" s="8"/>
      <c r="ILF136" s="54"/>
      <c r="ILG136" s="8"/>
      <c r="ILH136" s="54"/>
      <c r="ILI136" s="8"/>
      <c r="ILJ136" s="54"/>
      <c r="ILK136" s="8"/>
      <c r="ILL136" s="54"/>
      <c r="ILM136" s="8"/>
      <c r="ILN136" s="54"/>
      <c r="ILO136" s="8"/>
      <c r="ILP136" s="54"/>
      <c r="ILQ136" s="8"/>
      <c r="ILR136" s="54"/>
      <c r="ILS136" s="8"/>
      <c r="ILT136" s="54"/>
      <c r="ILU136" s="8"/>
      <c r="ILV136" s="54"/>
      <c r="ILW136" s="8"/>
      <c r="ILX136" s="54"/>
      <c r="ILY136" s="8"/>
      <c r="ILZ136" s="54"/>
      <c r="IMA136" s="8"/>
      <c r="IMB136" s="54"/>
      <c r="IMC136" s="8"/>
      <c r="IMD136" s="54"/>
      <c r="IME136" s="8"/>
      <c r="IMF136" s="54"/>
      <c r="IMG136" s="8"/>
      <c r="IMH136" s="54"/>
      <c r="IMI136" s="8"/>
      <c r="IMJ136" s="54"/>
      <c r="IMK136" s="8"/>
      <c r="IML136" s="54"/>
      <c r="IMM136" s="8"/>
      <c r="IMN136" s="54"/>
      <c r="IMO136" s="8"/>
      <c r="IMP136" s="54"/>
      <c r="IMQ136" s="8"/>
      <c r="IMR136" s="54"/>
      <c r="IMS136" s="8"/>
      <c r="IMT136" s="54"/>
      <c r="IMU136" s="8"/>
      <c r="IMV136" s="54"/>
      <c r="IMW136" s="8"/>
      <c r="IMX136" s="54"/>
      <c r="IMY136" s="8"/>
      <c r="IMZ136" s="54"/>
      <c r="INA136" s="8"/>
      <c r="INB136" s="54"/>
      <c r="INC136" s="8"/>
      <c r="IND136" s="54"/>
      <c r="INE136" s="8"/>
      <c r="INF136" s="54"/>
      <c r="ING136" s="8"/>
      <c r="INH136" s="54"/>
      <c r="INI136" s="8"/>
      <c r="INJ136" s="54"/>
      <c r="INK136" s="8"/>
      <c r="INL136" s="54"/>
      <c r="INM136" s="8"/>
      <c r="INN136" s="54"/>
      <c r="INO136" s="8"/>
      <c r="INP136" s="54"/>
      <c r="INQ136" s="8"/>
      <c r="INR136" s="54"/>
      <c r="INS136" s="8"/>
      <c r="INT136" s="54"/>
      <c r="INU136" s="8"/>
      <c r="INV136" s="54"/>
      <c r="INW136" s="8"/>
      <c r="INX136" s="54"/>
      <c r="INY136" s="8"/>
      <c r="INZ136" s="54"/>
      <c r="IOA136" s="8"/>
      <c r="IOB136" s="54"/>
      <c r="IOC136" s="8"/>
      <c r="IOD136" s="54"/>
      <c r="IOE136" s="8"/>
      <c r="IOF136" s="54"/>
      <c r="IOG136" s="8"/>
      <c r="IOH136" s="54"/>
      <c r="IOI136" s="8"/>
      <c r="IOJ136" s="54"/>
      <c r="IOK136" s="8"/>
      <c r="IOL136" s="54"/>
      <c r="IOM136" s="8"/>
      <c r="ION136" s="54"/>
      <c r="IOO136" s="8"/>
      <c r="IOP136" s="54"/>
      <c r="IOQ136" s="8"/>
      <c r="IOR136" s="54"/>
      <c r="IOS136" s="8"/>
      <c r="IOT136" s="54"/>
      <c r="IOU136" s="8"/>
      <c r="IOV136" s="54"/>
      <c r="IOW136" s="8"/>
      <c r="IOX136" s="54"/>
      <c r="IOY136" s="8"/>
      <c r="IOZ136" s="54"/>
      <c r="IPA136" s="8"/>
      <c r="IPB136" s="54"/>
      <c r="IPC136" s="8"/>
      <c r="IPD136" s="54"/>
      <c r="IPE136" s="8"/>
      <c r="IPF136" s="54"/>
      <c r="IPG136" s="8"/>
      <c r="IPH136" s="54"/>
      <c r="IPI136" s="8"/>
      <c r="IPJ136" s="54"/>
      <c r="IPK136" s="8"/>
      <c r="IPL136" s="54"/>
      <c r="IPM136" s="8"/>
      <c r="IPN136" s="54"/>
      <c r="IPO136" s="8"/>
      <c r="IPP136" s="54"/>
      <c r="IPQ136" s="8"/>
      <c r="IPR136" s="54"/>
      <c r="IPS136" s="8"/>
      <c r="IPT136" s="54"/>
      <c r="IPU136" s="8"/>
      <c r="IPV136" s="54"/>
      <c r="IPW136" s="8"/>
      <c r="IPX136" s="54"/>
      <c r="IPY136" s="8"/>
      <c r="IPZ136" s="54"/>
      <c r="IQA136" s="8"/>
      <c r="IQB136" s="54"/>
      <c r="IQC136" s="8"/>
      <c r="IQD136" s="54"/>
      <c r="IQE136" s="8"/>
      <c r="IQF136" s="54"/>
      <c r="IQG136" s="8"/>
      <c r="IQH136" s="54"/>
      <c r="IQI136" s="8"/>
      <c r="IQJ136" s="54"/>
      <c r="IQK136" s="8"/>
      <c r="IQL136" s="54"/>
      <c r="IQM136" s="8"/>
      <c r="IQN136" s="54"/>
      <c r="IQO136" s="8"/>
      <c r="IQP136" s="54"/>
      <c r="IQQ136" s="8"/>
      <c r="IQR136" s="54"/>
      <c r="IQS136" s="8"/>
      <c r="IQT136" s="54"/>
      <c r="IQU136" s="8"/>
      <c r="IQV136" s="54"/>
      <c r="IQW136" s="8"/>
      <c r="IQX136" s="54"/>
      <c r="IQY136" s="8"/>
      <c r="IQZ136" s="54"/>
      <c r="IRA136" s="8"/>
      <c r="IRB136" s="54"/>
      <c r="IRC136" s="8"/>
      <c r="IRD136" s="54"/>
      <c r="IRE136" s="8"/>
      <c r="IRF136" s="54"/>
      <c r="IRG136" s="8"/>
      <c r="IRH136" s="54"/>
      <c r="IRI136" s="8"/>
      <c r="IRJ136" s="54"/>
      <c r="IRK136" s="8"/>
      <c r="IRL136" s="54"/>
      <c r="IRM136" s="8"/>
      <c r="IRN136" s="54"/>
      <c r="IRO136" s="8"/>
      <c r="IRP136" s="54"/>
      <c r="IRQ136" s="8"/>
      <c r="IRR136" s="54"/>
      <c r="IRS136" s="8"/>
      <c r="IRT136" s="54"/>
      <c r="IRU136" s="8"/>
      <c r="IRV136" s="54"/>
      <c r="IRW136" s="8"/>
      <c r="IRX136" s="54"/>
      <c r="IRY136" s="8"/>
      <c r="IRZ136" s="54"/>
      <c r="ISA136" s="8"/>
      <c r="ISB136" s="54"/>
      <c r="ISC136" s="8"/>
      <c r="ISD136" s="54"/>
      <c r="ISE136" s="8"/>
      <c r="ISF136" s="54"/>
      <c r="ISG136" s="8"/>
      <c r="ISH136" s="54"/>
      <c r="ISI136" s="8"/>
      <c r="ISJ136" s="54"/>
      <c r="ISK136" s="8"/>
      <c r="ISL136" s="54"/>
      <c r="ISM136" s="8"/>
      <c r="ISN136" s="54"/>
      <c r="ISO136" s="8"/>
      <c r="ISP136" s="54"/>
      <c r="ISQ136" s="8"/>
      <c r="ISR136" s="54"/>
      <c r="ISS136" s="8"/>
      <c r="IST136" s="54"/>
      <c r="ISU136" s="8"/>
      <c r="ISV136" s="54"/>
      <c r="ISW136" s="8"/>
      <c r="ISX136" s="54"/>
      <c r="ISY136" s="8"/>
      <c r="ISZ136" s="54"/>
      <c r="ITA136" s="8"/>
      <c r="ITB136" s="54"/>
      <c r="ITC136" s="8"/>
      <c r="ITD136" s="54"/>
      <c r="ITE136" s="8"/>
      <c r="ITF136" s="54"/>
      <c r="ITG136" s="8"/>
      <c r="ITH136" s="54"/>
      <c r="ITI136" s="8"/>
      <c r="ITJ136" s="54"/>
      <c r="ITK136" s="8"/>
      <c r="ITL136" s="54"/>
      <c r="ITM136" s="8"/>
      <c r="ITN136" s="54"/>
      <c r="ITO136" s="8"/>
      <c r="ITP136" s="54"/>
      <c r="ITQ136" s="8"/>
      <c r="ITR136" s="54"/>
      <c r="ITS136" s="8"/>
      <c r="ITT136" s="54"/>
      <c r="ITU136" s="8"/>
      <c r="ITV136" s="54"/>
      <c r="ITW136" s="8"/>
      <c r="ITX136" s="54"/>
      <c r="ITY136" s="8"/>
      <c r="ITZ136" s="54"/>
      <c r="IUA136" s="8"/>
      <c r="IUB136" s="54"/>
      <c r="IUC136" s="8"/>
      <c r="IUD136" s="54"/>
      <c r="IUE136" s="8"/>
      <c r="IUF136" s="54"/>
      <c r="IUG136" s="8"/>
      <c r="IUH136" s="54"/>
      <c r="IUI136" s="8"/>
      <c r="IUJ136" s="54"/>
      <c r="IUK136" s="8"/>
      <c r="IUL136" s="54"/>
      <c r="IUM136" s="8"/>
      <c r="IUN136" s="54"/>
      <c r="IUO136" s="8"/>
      <c r="IUP136" s="54"/>
      <c r="IUQ136" s="8"/>
      <c r="IUR136" s="54"/>
      <c r="IUS136" s="8"/>
      <c r="IUT136" s="54"/>
      <c r="IUU136" s="8"/>
      <c r="IUV136" s="54"/>
      <c r="IUW136" s="8"/>
      <c r="IUX136" s="54"/>
      <c r="IUY136" s="8"/>
      <c r="IUZ136" s="54"/>
      <c r="IVA136" s="8"/>
      <c r="IVB136" s="54"/>
      <c r="IVC136" s="8"/>
      <c r="IVD136" s="54"/>
      <c r="IVE136" s="8"/>
      <c r="IVF136" s="54"/>
      <c r="IVG136" s="8"/>
      <c r="IVH136" s="54"/>
      <c r="IVI136" s="8"/>
      <c r="IVJ136" s="54"/>
      <c r="IVK136" s="8"/>
      <c r="IVL136" s="54"/>
      <c r="IVM136" s="8"/>
      <c r="IVN136" s="54"/>
      <c r="IVO136" s="8"/>
      <c r="IVP136" s="54"/>
      <c r="IVQ136" s="8"/>
      <c r="IVR136" s="54"/>
      <c r="IVS136" s="8"/>
      <c r="IVT136" s="54"/>
      <c r="IVU136" s="8"/>
      <c r="IVV136" s="54"/>
      <c r="IVW136" s="8"/>
      <c r="IVX136" s="54"/>
      <c r="IVY136" s="8"/>
      <c r="IVZ136" s="54"/>
      <c r="IWA136" s="8"/>
      <c r="IWB136" s="54"/>
      <c r="IWC136" s="8"/>
      <c r="IWD136" s="54"/>
      <c r="IWE136" s="8"/>
      <c r="IWF136" s="54"/>
      <c r="IWG136" s="8"/>
      <c r="IWH136" s="54"/>
      <c r="IWI136" s="8"/>
      <c r="IWJ136" s="54"/>
      <c r="IWK136" s="8"/>
      <c r="IWL136" s="54"/>
      <c r="IWM136" s="8"/>
      <c r="IWN136" s="54"/>
      <c r="IWO136" s="8"/>
      <c r="IWP136" s="54"/>
      <c r="IWQ136" s="8"/>
      <c r="IWR136" s="54"/>
      <c r="IWS136" s="8"/>
      <c r="IWT136" s="54"/>
      <c r="IWU136" s="8"/>
      <c r="IWV136" s="54"/>
      <c r="IWW136" s="8"/>
      <c r="IWX136" s="54"/>
      <c r="IWY136" s="8"/>
      <c r="IWZ136" s="54"/>
      <c r="IXA136" s="8"/>
      <c r="IXB136" s="54"/>
      <c r="IXC136" s="8"/>
      <c r="IXD136" s="54"/>
      <c r="IXE136" s="8"/>
      <c r="IXF136" s="54"/>
      <c r="IXG136" s="8"/>
      <c r="IXH136" s="54"/>
      <c r="IXI136" s="8"/>
      <c r="IXJ136" s="54"/>
      <c r="IXK136" s="8"/>
      <c r="IXL136" s="54"/>
      <c r="IXM136" s="8"/>
      <c r="IXN136" s="54"/>
      <c r="IXO136" s="8"/>
      <c r="IXP136" s="54"/>
      <c r="IXQ136" s="8"/>
      <c r="IXR136" s="54"/>
      <c r="IXS136" s="8"/>
      <c r="IXT136" s="54"/>
      <c r="IXU136" s="8"/>
      <c r="IXV136" s="54"/>
      <c r="IXW136" s="8"/>
      <c r="IXX136" s="54"/>
      <c r="IXY136" s="8"/>
      <c r="IXZ136" s="54"/>
      <c r="IYA136" s="8"/>
      <c r="IYB136" s="54"/>
      <c r="IYC136" s="8"/>
      <c r="IYD136" s="54"/>
      <c r="IYE136" s="8"/>
      <c r="IYF136" s="54"/>
      <c r="IYG136" s="8"/>
      <c r="IYH136" s="54"/>
      <c r="IYI136" s="8"/>
      <c r="IYJ136" s="54"/>
      <c r="IYK136" s="8"/>
      <c r="IYL136" s="54"/>
      <c r="IYM136" s="8"/>
      <c r="IYN136" s="54"/>
      <c r="IYO136" s="8"/>
      <c r="IYP136" s="54"/>
      <c r="IYQ136" s="8"/>
      <c r="IYR136" s="54"/>
      <c r="IYS136" s="8"/>
      <c r="IYT136" s="54"/>
      <c r="IYU136" s="8"/>
      <c r="IYV136" s="54"/>
      <c r="IYW136" s="8"/>
      <c r="IYX136" s="54"/>
      <c r="IYY136" s="8"/>
      <c r="IYZ136" s="54"/>
      <c r="IZA136" s="8"/>
      <c r="IZB136" s="54"/>
      <c r="IZC136" s="8"/>
      <c r="IZD136" s="54"/>
      <c r="IZE136" s="8"/>
      <c r="IZF136" s="54"/>
      <c r="IZG136" s="8"/>
      <c r="IZH136" s="54"/>
      <c r="IZI136" s="8"/>
      <c r="IZJ136" s="54"/>
      <c r="IZK136" s="8"/>
      <c r="IZL136" s="54"/>
      <c r="IZM136" s="8"/>
      <c r="IZN136" s="54"/>
      <c r="IZO136" s="8"/>
      <c r="IZP136" s="54"/>
      <c r="IZQ136" s="8"/>
      <c r="IZR136" s="54"/>
      <c r="IZS136" s="8"/>
      <c r="IZT136" s="54"/>
      <c r="IZU136" s="8"/>
      <c r="IZV136" s="54"/>
      <c r="IZW136" s="8"/>
      <c r="IZX136" s="54"/>
      <c r="IZY136" s="8"/>
      <c r="IZZ136" s="54"/>
      <c r="JAA136" s="8"/>
      <c r="JAB136" s="54"/>
      <c r="JAC136" s="8"/>
      <c r="JAD136" s="54"/>
      <c r="JAE136" s="8"/>
      <c r="JAF136" s="54"/>
      <c r="JAG136" s="8"/>
      <c r="JAH136" s="54"/>
      <c r="JAI136" s="8"/>
      <c r="JAJ136" s="54"/>
      <c r="JAK136" s="8"/>
      <c r="JAL136" s="54"/>
      <c r="JAM136" s="8"/>
      <c r="JAN136" s="54"/>
      <c r="JAO136" s="8"/>
      <c r="JAP136" s="54"/>
      <c r="JAQ136" s="8"/>
      <c r="JAR136" s="54"/>
      <c r="JAS136" s="8"/>
      <c r="JAT136" s="54"/>
      <c r="JAU136" s="8"/>
      <c r="JAV136" s="54"/>
      <c r="JAW136" s="8"/>
      <c r="JAX136" s="54"/>
      <c r="JAY136" s="8"/>
      <c r="JAZ136" s="54"/>
      <c r="JBA136" s="8"/>
      <c r="JBB136" s="54"/>
      <c r="JBC136" s="8"/>
      <c r="JBD136" s="54"/>
      <c r="JBE136" s="8"/>
      <c r="JBF136" s="54"/>
      <c r="JBG136" s="8"/>
      <c r="JBH136" s="54"/>
      <c r="JBI136" s="8"/>
      <c r="JBJ136" s="54"/>
      <c r="JBK136" s="8"/>
      <c r="JBL136" s="54"/>
      <c r="JBM136" s="8"/>
      <c r="JBN136" s="54"/>
      <c r="JBO136" s="8"/>
      <c r="JBP136" s="54"/>
      <c r="JBQ136" s="8"/>
      <c r="JBR136" s="54"/>
      <c r="JBS136" s="8"/>
      <c r="JBT136" s="54"/>
      <c r="JBU136" s="8"/>
      <c r="JBV136" s="54"/>
      <c r="JBW136" s="8"/>
      <c r="JBX136" s="54"/>
      <c r="JBY136" s="8"/>
      <c r="JBZ136" s="54"/>
      <c r="JCA136" s="8"/>
      <c r="JCB136" s="54"/>
      <c r="JCC136" s="8"/>
      <c r="JCD136" s="54"/>
      <c r="JCE136" s="8"/>
      <c r="JCF136" s="54"/>
      <c r="JCG136" s="8"/>
      <c r="JCH136" s="54"/>
      <c r="JCI136" s="8"/>
      <c r="JCJ136" s="54"/>
      <c r="JCK136" s="8"/>
      <c r="JCL136" s="54"/>
      <c r="JCM136" s="8"/>
      <c r="JCN136" s="54"/>
      <c r="JCO136" s="8"/>
      <c r="JCP136" s="54"/>
      <c r="JCQ136" s="8"/>
      <c r="JCR136" s="54"/>
      <c r="JCS136" s="8"/>
      <c r="JCT136" s="54"/>
      <c r="JCU136" s="8"/>
      <c r="JCV136" s="54"/>
      <c r="JCW136" s="8"/>
      <c r="JCX136" s="54"/>
      <c r="JCY136" s="8"/>
      <c r="JCZ136" s="54"/>
      <c r="JDA136" s="8"/>
      <c r="JDB136" s="54"/>
      <c r="JDC136" s="8"/>
      <c r="JDD136" s="54"/>
      <c r="JDE136" s="8"/>
      <c r="JDF136" s="54"/>
      <c r="JDG136" s="8"/>
      <c r="JDH136" s="54"/>
      <c r="JDI136" s="8"/>
      <c r="JDJ136" s="54"/>
      <c r="JDK136" s="8"/>
      <c r="JDL136" s="54"/>
      <c r="JDM136" s="8"/>
      <c r="JDN136" s="54"/>
      <c r="JDO136" s="8"/>
      <c r="JDP136" s="54"/>
      <c r="JDQ136" s="8"/>
      <c r="JDR136" s="54"/>
      <c r="JDS136" s="8"/>
      <c r="JDT136" s="54"/>
      <c r="JDU136" s="8"/>
      <c r="JDV136" s="54"/>
      <c r="JDW136" s="8"/>
      <c r="JDX136" s="54"/>
      <c r="JDY136" s="8"/>
      <c r="JDZ136" s="54"/>
      <c r="JEA136" s="8"/>
      <c r="JEB136" s="54"/>
      <c r="JEC136" s="8"/>
      <c r="JED136" s="54"/>
      <c r="JEE136" s="8"/>
      <c r="JEF136" s="54"/>
      <c r="JEG136" s="8"/>
      <c r="JEH136" s="54"/>
      <c r="JEI136" s="8"/>
      <c r="JEJ136" s="54"/>
      <c r="JEK136" s="8"/>
      <c r="JEL136" s="54"/>
      <c r="JEM136" s="8"/>
      <c r="JEN136" s="54"/>
      <c r="JEO136" s="8"/>
      <c r="JEP136" s="54"/>
      <c r="JEQ136" s="8"/>
      <c r="JER136" s="54"/>
      <c r="JES136" s="8"/>
      <c r="JET136" s="54"/>
      <c r="JEU136" s="8"/>
      <c r="JEV136" s="54"/>
      <c r="JEW136" s="8"/>
      <c r="JEX136" s="54"/>
      <c r="JEY136" s="8"/>
      <c r="JEZ136" s="54"/>
      <c r="JFA136" s="8"/>
      <c r="JFB136" s="54"/>
      <c r="JFC136" s="8"/>
      <c r="JFD136" s="54"/>
      <c r="JFE136" s="8"/>
      <c r="JFF136" s="54"/>
      <c r="JFG136" s="8"/>
      <c r="JFH136" s="54"/>
      <c r="JFI136" s="8"/>
      <c r="JFJ136" s="54"/>
      <c r="JFK136" s="8"/>
      <c r="JFL136" s="54"/>
      <c r="JFM136" s="8"/>
      <c r="JFN136" s="54"/>
      <c r="JFO136" s="8"/>
      <c r="JFP136" s="54"/>
      <c r="JFQ136" s="8"/>
      <c r="JFR136" s="54"/>
      <c r="JFS136" s="8"/>
      <c r="JFT136" s="54"/>
      <c r="JFU136" s="8"/>
      <c r="JFV136" s="54"/>
      <c r="JFW136" s="8"/>
      <c r="JFX136" s="54"/>
      <c r="JFY136" s="8"/>
      <c r="JFZ136" s="54"/>
      <c r="JGA136" s="8"/>
      <c r="JGB136" s="54"/>
      <c r="JGC136" s="8"/>
      <c r="JGD136" s="54"/>
      <c r="JGE136" s="8"/>
      <c r="JGF136" s="54"/>
      <c r="JGG136" s="8"/>
      <c r="JGH136" s="54"/>
      <c r="JGI136" s="8"/>
      <c r="JGJ136" s="54"/>
      <c r="JGK136" s="8"/>
      <c r="JGL136" s="54"/>
      <c r="JGM136" s="8"/>
      <c r="JGN136" s="54"/>
      <c r="JGO136" s="8"/>
      <c r="JGP136" s="54"/>
      <c r="JGQ136" s="8"/>
      <c r="JGR136" s="54"/>
      <c r="JGS136" s="8"/>
      <c r="JGT136" s="54"/>
      <c r="JGU136" s="8"/>
      <c r="JGV136" s="54"/>
      <c r="JGW136" s="8"/>
      <c r="JGX136" s="54"/>
      <c r="JGY136" s="8"/>
      <c r="JGZ136" s="54"/>
      <c r="JHA136" s="8"/>
      <c r="JHB136" s="54"/>
      <c r="JHC136" s="8"/>
      <c r="JHD136" s="54"/>
      <c r="JHE136" s="8"/>
      <c r="JHF136" s="54"/>
      <c r="JHG136" s="8"/>
      <c r="JHH136" s="54"/>
      <c r="JHI136" s="8"/>
      <c r="JHJ136" s="54"/>
      <c r="JHK136" s="8"/>
      <c r="JHL136" s="54"/>
      <c r="JHM136" s="8"/>
      <c r="JHN136" s="54"/>
      <c r="JHO136" s="8"/>
      <c r="JHP136" s="54"/>
      <c r="JHQ136" s="8"/>
      <c r="JHR136" s="54"/>
      <c r="JHS136" s="8"/>
      <c r="JHT136" s="54"/>
      <c r="JHU136" s="8"/>
      <c r="JHV136" s="54"/>
      <c r="JHW136" s="8"/>
      <c r="JHX136" s="54"/>
      <c r="JHY136" s="8"/>
      <c r="JHZ136" s="54"/>
      <c r="JIA136" s="8"/>
      <c r="JIB136" s="54"/>
      <c r="JIC136" s="8"/>
      <c r="JID136" s="54"/>
      <c r="JIE136" s="8"/>
      <c r="JIF136" s="54"/>
      <c r="JIG136" s="8"/>
      <c r="JIH136" s="54"/>
      <c r="JII136" s="8"/>
      <c r="JIJ136" s="54"/>
      <c r="JIK136" s="8"/>
      <c r="JIL136" s="54"/>
      <c r="JIM136" s="8"/>
      <c r="JIN136" s="54"/>
      <c r="JIO136" s="8"/>
      <c r="JIP136" s="54"/>
      <c r="JIQ136" s="8"/>
      <c r="JIR136" s="54"/>
      <c r="JIS136" s="8"/>
      <c r="JIT136" s="54"/>
      <c r="JIU136" s="8"/>
      <c r="JIV136" s="54"/>
      <c r="JIW136" s="8"/>
      <c r="JIX136" s="54"/>
      <c r="JIY136" s="8"/>
      <c r="JIZ136" s="54"/>
      <c r="JJA136" s="8"/>
      <c r="JJB136" s="54"/>
      <c r="JJC136" s="8"/>
      <c r="JJD136" s="54"/>
      <c r="JJE136" s="8"/>
      <c r="JJF136" s="54"/>
      <c r="JJG136" s="8"/>
      <c r="JJH136" s="54"/>
      <c r="JJI136" s="8"/>
      <c r="JJJ136" s="54"/>
      <c r="JJK136" s="8"/>
      <c r="JJL136" s="54"/>
      <c r="JJM136" s="8"/>
      <c r="JJN136" s="54"/>
      <c r="JJO136" s="8"/>
      <c r="JJP136" s="54"/>
      <c r="JJQ136" s="8"/>
      <c r="JJR136" s="54"/>
      <c r="JJS136" s="8"/>
      <c r="JJT136" s="54"/>
      <c r="JJU136" s="8"/>
      <c r="JJV136" s="54"/>
      <c r="JJW136" s="8"/>
      <c r="JJX136" s="54"/>
      <c r="JJY136" s="8"/>
      <c r="JJZ136" s="54"/>
      <c r="JKA136" s="8"/>
      <c r="JKB136" s="54"/>
      <c r="JKC136" s="8"/>
      <c r="JKD136" s="54"/>
      <c r="JKE136" s="8"/>
      <c r="JKF136" s="54"/>
      <c r="JKG136" s="8"/>
      <c r="JKH136" s="54"/>
      <c r="JKI136" s="8"/>
      <c r="JKJ136" s="54"/>
      <c r="JKK136" s="8"/>
      <c r="JKL136" s="54"/>
      <c r="JKM136" s="8"/>
      <c r="JKN136" s="54"/>
      <c r="JKO136" s="8"/>
      <c r="JKP136" s="54"/>
      <c r="JKQ136" s="8"/>
      <c r="JKR136" s="54"/>
      <c r="JKS136" s="8"/>
      <c r="JKT136" s="54"/>
      <c r="JKU136" s="8"/>
      <c r="JKV136" s="54"/>
      <c r="JKW136" s="8"/>
      <c r="JKX136" s="54"/>
      <c r="JKY136" s="8"/>
      <c r="JKZ136" s="54"/>
      <c r="JLA136" s="8"/>
      <c r="JLB136" s="54"/>
      <c r="JLC136" s="8"/>
      <c r="JLD136" s="54"/>
      <c r="JLE136" s="8"/>
      <c r="JLF136" s="54"/>
      <c r="JLG136" s="8"/>
      <c r="JLH136" s="54"/>
      <c r="JLI136" s="8"/>
      <c r="JLJ136" s="54"/>
      <c r="JLK136" s="8"/>
      <c r="JLL136" s="54"/>
      <c r="JLM136" s="8"/>
      <c r="JLN136" s="54"/>
      <c r="JLO136" s="8"/>
      <c r="JLP136" s="54"/>
      <c r="JLQ136" s="8"/>
      <c r="JLR136" s="54"/>
      <c r="JLS136" s="8"/>
      <c r="JLT136" s="54"/>
      <c r="JLU136" s="8"/>
      <c r="JLV136" s="54"/>
      <c r="JLW136" s="8"/>
      <c r="JLX136" s="54"/>
      <c r="JLY136" s="8"/>
      <c r="JLZ136" s="54"/>
      <c r="JMA136" s="8"/>
      <c r="JMB136" s="54"/>
      <c r="JMC136" s="8"/>
      <c r="JMD136" s="54"/>
      <c r="JME136" s="8"/>
      <c r="JMF136" s="54"/>
      <c r="JMG136" s="8"/>
      <c r="JMH136" s="54"/>
      <c r="JMI136" s="8"/>
      <c r="JMJ136" s="54"/>
      <c r="JMK136" s="8"/>
      <c r="JML136" s="54"/>
      <c r="JMM136" s="8"/>
      <c r="JMN136" s="54"/>
      <c r="JMO136" s="8"/>
      <c r="JMP136" s="54"/>
      <c r="JMQ136" s="8"/>
      <c r="JMR136" s="54"/>
      <c r="JMS136" s="8"/>
      <c r="JMT136" s="54"/>
      <c r="JMU136" s="8"/>
      <c r="JMV136" s="54"/>
      <c r="JMW136" s="8"/>
      <c r="JMX136" s="54"/>
      <c r="JMY136" s="8"/>
      <c r="JMZ136" s="54"/>
      <c r="JNA136" s="8"/>
      <c r="JNB136" s="54"/>
      <c r="JNC136" s="8"/>
      <c r="JND136" s="54"/>
      <c r="JNE136" s="8"/>
      <c r="JNF136" s="54"/>
      <c r="JNG136" s="8"/>
      <c r="JNH136" s="54"/>
      <c r="JNI136" s="8"/>
      <c r="JNJ136" s="54"/>
      <c r="JNK136" s="8"/>
      <c r="JNL136" s="54"/>
      <c r="JNM136" s="8"/>
      <c r="JNN136" s="54"/>
      <c r="JNO136" s="8"/>
      <c r="JNP136" s="54"/>
      <c r="JNQ136" s="8"/>
      <c r="JNR136" s="54"/>
      <c r="JNS136" s="8"/>
      <c r="JNT136" s="54"/>
      <c r="JNU136" s="8"/>
      <c r="JNV136" s="54"/>
      <c r="JNW136" s="8"/>
      <c r="JNX136" s="54"/>
      <c r="JNY136" s="8"/>
      <c r="JNZ136" s="54"/>
      <c r="JOA136" s="8"/>
      <c r="JOB136" s="54"/>
      <c r="JOC136" s="8"/>
      <c r="JOD136" s="54"/>
      <c r="JOE136" s="8"/>
      <c r="JOF136" s="54"/>
      <c r="JOG136" s="8"/>
      <c r="JOH136" s="54"/>
      <c r="JOI136" s="8"/>
      <c r="JOJ136" s="54"/>
      <c r="JOK136" s="8"/>
      <c r="JOL136" s="54"/>
      <c r="JOM136" s="8"/>
      <c r="JON136" s="54"/>
      <c r="JOO136" s="8"/>
      <c r="JOP136" s="54"/>
      <c r="JOQ136" s="8"/>
      <c r="JOR136" s="54"/>
      <c r="JOS136" s="8"/>
      <c r="JOT136" s="54"/>
      <c r="JOU136" s="8"/>
      <c r="JOV136" s="54"/>
      <c r="JOW136" s="8"/>
      <c r="JOX136" s="54"/>
      <c r="JOY136" s="8"/>
      <c r="JOZ136" s="54"/>
      <c r="JPA136" s="8"/>
      <c r="JPB136" s="54"/>
      <c r="JPC136" s="8"/>
      <c r="JPD136" s="54"/>
      <c r="JPE136" s="8"/>
      <c r="JPF136" s="54"/>
      <c r="JPG136" s="8"/>
      <c r="JPH136" s="54"/>
      <c r="JPI136" s="8"/>
      <c r="JPJ136" s="54"/>
      <c r="JPK136" s="8"/>
      <c r="JPL136" s="54"/>
      <c r="JPM136" s="8"/>
      <c r="JPN136" s="54"/>
      <c r="JPO136" s="8"/>
      <c r="JPP136" s="54"/>
      <c r="JPQ136" s="8"/>
      <c r="JPR136" s="54"/>
      <c r="JPS136" s="8"/>
      <c r="JPT136" s="54"/>
      <c r="JPU136" s="8"/>
      <c r="JPV136" s="54"/>
      <c r="JPW136" s="8"/>
      <c r="JPX136" s="54"/>
      <c r="JPY136" s="8"/>
      <c r="JPZ136" s="54"/>
      <c r="JQA136" s="8"/>
      <c r="JQB136" s="54"/>
      <c r="JQC136" s="8"/>
      <c r="JQD136" s="54"/>
      <c r="JQE136" s="8"/>
      <c r="JQF136" s="54"/>
      <c r="JQG136" s="8"/>
      <c r="JQH136" s="54"/>
      <c r="JQI136" s="8"/>
      <c r="JQJ136" s="54"/>
      <c r="JQK136" s="8"/>
      <c r="JQL136" s="54"/>
      <c r="JQM136" s="8"/>
      <c r="JQN136" s="54"/>
      <c r="JQO136" s="8"/>
      <c r="JQP136" s="54"/>
      <c r="JQQ136" s="8"/>
      <c r="JQR136" s="54"/>
      <c r="JQS136" s="8"/>
      <c r="JQT136" s="54"/>
      <c r="JQU136" s="8"/>
      <c r="JQV136" s="54"/>
      <c r="JQW136" s="8"/>
      <c r="JQX136" s="54"/>
      <c r="JQY136" s="8"/>
      <c r="JQZ136" s="54"/>
      <c r="JRA136" s="8"/>
      <c r="JRB136" s="54"/>
      <c r="JRC136" s="8"/>
      <c r="JRD136" s="54"/>
      <c r="JRE136" s="8"/>
      <c r="JRF136" s="54"/>
      <c r="JRG136" s="8"/>
      <c r="JRH136" s="54"/>
      <c r="JRI136" s="8"/>
      <c r="JRJ136" s="54"/>
      <c r="JRK136" s="8"/>
      <c r="JRL136" s="54"/>
      <c r="JRM136" s="8"/>
      <c r="JRN136" s="54"/>
      <c r="JRO136" s="8"/>
      <c r="JRP136" s="54"/>
      <c r="JRQ136" s="8"/>
      <c r="JRR136" s="54"/>
      <c r="JRS136" s="8"/>
      <c r="JRT136" s="54"/>
      <c r="JRU136" s="8"/>
      <c r="JRV136" s="54"/>
      <c r="JRW136" s="8"/>
      <c r="JRX136" s="54"/>
      <c r="JRY136" s="8"/>
      <c r="JRZ136" s="54"/>
      <c r="JSA136" s="8"/>
      <c r="JSB136" s="54"/>
      <c r="JSC136" s="8"/>
      <c r="JSD136" s="54"/>
      <c r="JSE136" s="8"/>
      <c r="JSF136" s="54"/>
      <c r="JSG136" s="8"/>
      <c r="JSH136" s="54"/>
      <c r="JSI136" s="8"/>
      <c r="JSJ136" s="54"/>
      <c r="JSK136" s="8"/>
      <c r="JSL136" s="54"/>
      <c r="JSM136" s="8"/>
      <c r="JSN136" s="54"/>
      <c r="JSO136" s="8"/>
      <c r="JSP136" s="54"/>
      <c r="JSQ136" s="8"/>
      <c r="JSR136" s="54"/>
      <c r="JSS136" s="8"/>
      <c r="JST136" s="54"/>
      <c r="JSU136" s="8"/>
      <c r="JSV136" s="54"/>
      <c r="JSW136" s="8"/>
      <c r="JSX136" s="54"/>
      <c r="JSY136" s="8"/>
      <c r="JSZ136" s="54"/>
      <c r="JTA136" s="8"/>
      <c r="JTB136" s="54"/>
      <c r="JTC136" s="8"/>
      <c r="JTD136" s="54"/>
      <c r="JTE136" s="8"/>
      <c r="JTF136" s="54"/>
      <c r="JTG136" s="8"/>
      <c r="JTH136" s="54"/>
      <c r="JTI136" s="8"/>
      <c r="JTJ136" s="54"/>
      <c r="JTK136" s="8"/>
      <c r="JTL136" s="54"/>
      <c r="JTM136" s="8"/>
      <c r="JTN136" s="54"/>
      <c r="JTO136" s="8"/>
      <c r="JTP136" s="54"/>
      <c r="JTQ136" s="8"/>
      <c r="JTR136" s="54"/>
      <c r="JTS136" s="8"/>
      <c r="JTT136" s="54"/>
      <c r="JTU136" s="8"/>
      <c r="JTV136" s="54"/>
      <c r="JTW136" s="8"/>
      <c r="JTX136" s="54"/>
      <c r="JTY136" s="8"/>
      <c r="JTZ136" s="54"/>
      <c r="JUA136" s="8"/>
      <c r="JUB136" s="54"/>
      <c r="JUC136" s="8"/>
      <c r="JUD136" s="54"/>
      <c r="JUE136" s="8"/>
      <c r="JUF136" s="54"/>
      <c r="JUG136" s="8"/>
      <c r="JUH136" s="54"/>
      <c r="JUI136" s="8"/>
      <c r="JUJ136" s="54"/>
      <c r="JUK136" s="8"/>
      <c r="JUL136" s="54"/>
      <c r="JUM136" s="8"/>
      <c r="JUN136" s="54"/>
      <c r="JUO136" s="8"/>
      <c r="JUP136" s="54"/>
      <c r="JUQ136" s="8"/>
      <c r="JUR136" s="54"/>
      <c r="JUS136" s="8"/>
      <c r="JUT136" s="54"/>
      <c r="JUU136" s="8"/>
      <c r="JUV136" s="54"/>
      <c r="JUW136" s="8"/>
      <c r="JUX136" s="54"/>
      <c r="JUY136" s="8"/>
      <c r="JUZ136" s="54"/>
      <c r="JVA136" s="8"/>
      <c r="JVB136" s="54"/>
      <c r="JVC136" s="8"/>
      <c r="JVD136" s="54"/>
      <c r="JVE136" s="8"/>
      <c r="JVF136" s="54"/>
      <c r="JVG136" s="8"/>
      <c r="JVH136" s="54"/>
      <c r="JVI136" s="8"/>
      <c r="JVJ136" s="54"/>
      <c r="JVK136" s="8"/>
      <c r="JVL136" s="54"/>
      <c r="JVM136" s="8"/>
      <c r="JVN136" s="54"/>
      <c r="JVO136" s="8"/>
      <c r="JVP136" s="54"/>
      <c r="JVQ136" s="8"/>
      <c r="JVR136" s="54"/>
      <c r="JVS136" s="8"/>
      <c r="JVT136" s="54"/>
      <c r="JVU136" s="8"/>
      <c r="JVV136" s="54"/>
      <c r="JVW136" s="8"/>
      <c r="JVX136" s="54"/>
      <c r="JVY136" s="8"/>
      <c r="JVZ136" s="54"/>
      <c r="JWA136" s="8"/>
      <c r="JWB136" s="54"/>
      <c r="JWC136" s="8"/>
      <c r="JWD136" s="54"/>
      <c r="JWE136" s="8"/>
      <c r="JWF136" s="54"/>
      <c r="JWG136" s="8"/>
      <c r="JWH136" s="54"/>
      <c r="JWI136" s="8"/>
      <c r="JWJ136" s="54"/>
      <c r="JWK136" s="8"/>
      <c r="JWL136" s="54"/>
      <c r="JWM136" s="8"/>
      <c r="JWN136" s="54"/>
      <c r="JWO136" s="8"/>
      <c r="JWP136" s="54"/>
      <c r="JWQ136" s="8"/>
      <c r="JWR136" s="54"/>
      <c r="JWS136" s="8"/>
      <c r="JWT136" s="54"/>
      <c r="JWU136" s="8"/>
      <c r="JWV136" s="54"/>
      <c r="JWW136" s="8"/>
      <c r="JWX136" s="54"/>
      <c r="JWY136" s="8"/>
      <c r="JWZ136" s="54"/>
      <c r="JXA136" s="8"/>
      <c r="JXB136" s="54"/>
      <c r="JXC136" s="8"/>
      <c r="JXD136" s="54"/>
      <c r="JXE136" s="8"/>
      <c r="JXF136" s="54"/>
      <c r="JXG136" s="8"/>
      <c r="JXH136" s="54"/>
      <c r="JXI136" s="8"/>
      <c r="JXJ136" s="54"/>
      <c r="JXK136" s="8"/>
      <c r="JXL136" s="54"/>
      <c r="JXM136" s="8"/>
      <c r="JXN136" s="54"/>
      <c r="JXO136" s="8"/>
      <c r="JXP136" s="54"/>
      <c r="JXQ136" s="8"/>
      <c r="JXR136" s="54"/>
      <c r="JXS136" s="8"/>
      <c r="JXT136" s="54"/>
      <c r="JXU136" s="8"/>
      <c r="JXV136" s="54"/>
      <c r="JXW136" s="8"/>
      <c r="JXX136" s="54"/>
      <c r="JXY136" s="8"/>
      <c r="JXZ136" s="54"/>
      <c r="JYA136" s="8"/>
      <c r="JYB136" s="54"/>
      <c r="JYC136" s="8"/>
      <c r="JYD136" s="54"/>
      <c r="JYE136" s="8"/>
      <c r="JYF136" s="54"/>
      <c r="JYG136" s="8"/>
      <c r="JYH136" s="54"/>
      <c r="JYI136" s="8"/>
      <c r="JYJ136" s="54"/>
      <c r="JYK136" s="8"/>
      <c r="JYL136" s="54"/>
      <c r="JYM136" s="8"/>
      <c r="JYN136" s="54"/>
      <c r="JYO136" s="8"/>
      <c r="JYP136" s="54"/>
      <c r="JYQ136" s="8"/>
      <c r="JYR136" s="54"/>
      <c r="JYS136" s="8"/>
      <c r="JYT136" s="54"/>
      <c r="JYU136" s="8"/>
      <c r="JYV136" s="54"/>
      <c r="JYW136" s="8"/>
      <c r="JYX136" s="54"/>
      <c r="JYY136" s="8"/>
      <c r="JYZ136" s="54"/>
      <c r="JZA136" s="8"/>
      <c r="JZB136" s="54"/>
      <c r="JZC136" s="8"/>
      <c r="JZD136" s="54"/>
      <c r="JZE136" s="8"/>
      <c r="JZF136" s="54"/>
      <c r="JZG136" s="8"/>
      <c r="JZH136" s="54"/>
      <c r="JZI136" s="8"/>
      <c r="JZJ136" s="54"/>
      <c r="JZK136" s="8"/>
      <c r="JZL136" s="54"/>
      <c r="JZM136" s="8"/>
      <c r="JZN136" s="54"/>
      <c r="JZO136" s="8"/>
      <c r="JZP136" s="54"/>
      <c r="JZQ136" s="8"/>
      <c r="JZR136" s="54"/>
      <c r="JZS136" s="8"/>
      <c r="JZT136" s="54"/>
      <c r="JZU136" s="8"/>
      <c r="JZV136" s="54"/>
      <c r="JZW136" s="8"/>
      <c r="JZX136" s="54"/>
      <c r="JZY136" s="8"/>
      <c r="JZZ136" s="54"/>
      <c r="KAA136" s="8"/>
      <c r="KAB136" s="54"/>
      <c r="KAC136" s="8"/>
      <c r="KAD136" s="54"/>
      <c r="KAE136" s="8"/>
      <c r="KAF136" s="54"/>
      <c r="KAG136" s="8"/>
      <c r="KAH136" s="54"/>
      <c r="KAI136" s="8"/>
      <c r="KAJ136" s="54"/>
      <c r="KAK136" s="8"/>
      <c r="KAL136" s="54"/>
      <c r="KAM136" s="8"/>
      <c r="KAN136" s="54"/>
      <c r="KAO136" s="8"/>
      <c r="KAP136" s="54"/>
      <c r="KAQ136" s="8"/>
      <c r="KAR136" s="54"/>
      <c r="KAS136" s="8"/>
      <c r="KAT136" s="54"/>
      <c r="KAU136" s="8"/>
      <c r="KAV136" s="54"/>
      <c r="KAW136" s="8"/>
      <c r="KAX136" s="54"/>
      <c r="KAY136" s="8"/>
      <c r="KAZ136" s="54"/>
      <c r="KBA136" s="8"/>
      <c r="KBB136" s="54"/>
      <c r="KBC136" s="8"/>
      <c r="KBD136" s="54"/>
      <c r="KBE136" s="8"/>
      <c r="KBF136" s="54"/>
      <c r="KBG136" s="8"/>
      <c r="KBH136" s="54"/>
      <c r="KBI136" s="8"/>
      <c r="KBJ136" s="54"/>
      <c r="KBK136" s="8"/>
      <c r="KBL136" s="54"/>
      <c r="KBM136" s="8"/>
      <c r="KBN136" s="54"/>
      <c r="KBO136" s="8"/>
      <c r="KBP136" s="54"/>
      <c r="KBQ136" s="8"/>
      <c r="KBR136" s="54"/>
      <c r="KBS136" s="8"/>
      <c r="KBT136" s="54"/>
      <c r="KBU136" s="8"/>
      <c r="KBV136" s="54"/>
      <c r="KBW136" s="8"/>
      <c r="KBX136" s="54"/>
      <c r="KBY136" s="8"/>
      <c r="KBZ136" s="54"/>
      <c r="KCA136" s="8"/>
      <c r="KCB136" s="54"/>
      <c r="KCC136" s="8"/>
      <c r="KCD136" s="54"/>
      <c r="KCE136" s="8"/>
      <c r="KCF136" s="54"/>
      <c r="KCG136" s="8"/>
      <c r="KCH136" s="54"/>
      <c r="KCI136" s="8"/>
      <c r="KCJ136" s="54"/>
      <c r="KCK136" s="8"/>
      <c r="KCL136" s="54"/>
      <c r="KCM136" s="8"/>
      <c r="KCN136" s="54"/>
      <c r="KCO136" s="8"/>
      <c r="KCP136" s="54"/>
      <c r="KCQ136" s="8"/>
      <c r="KCR136" s="54"/>
      <c r="KCS136" s="8"/>
      <c r="KCT136" s="54"/>
      <c r="KCU136" s="8"/>
      <c r="KCV136" s="54"/>
      <c r="KCW136" s="8"/>
      <c r="KCX136" s="54"/>
      <c r="KCY136" s="8"/>
      <c r="KCZ136" s="54"/>
      <c r="KDA136" s="8"/>
      <c r="KDB136" s="54"/>
      <c r="KDC136" s="8"/>
      <c r="KDD136" s="54"/>
      <c r="KDE136" s="8"/>
      <c r="KDF136" s="54"/>
      <c r="KDG136" s="8"/>
      <c r="KDH136" s="54"/>
      <c r="KDI136" s="8"/>
      <c r="KDJ136" s="54"/>
      <c r="KDK136" s="8"/>
      <c r="KDL136" s="54"/>
      <c r="KDM136" s="8"/>
      <c r="KDN136" s="54"/>
      <c r="KDO136" s="8"/>
      <c r="KDP136" s="54"/>
      <c r="KDQ136" s="8"/>
      <c r="KDR136" s="54"/>
      <c r="KDS136" s="8"/>
      <c r="KDT136" s="54"/>
      <c r="KDU136" s="8"/>
      <c r="KDV136" s="54"/>
      <c r="KDW136" s="8"/>
      <c r="KDX136" s="54"/>
      <c r="KDY136" s="8"/>
      <c r="KDZ136" s="54"/>
      <c r="KEA136" s="8"/>
      <c r="KEB136" s="54"/>
      <c r="KEC136" s="8"/>
      <c r="KED136" s="54"/>
      <c r="KEE136" s="8"/>
      <c r="KEF136" s="54"/>
      <c r="KEG136" s="8"/>
      <c r="KEH136" s="54"/>
      <c r="KEI136" s="8"/>
      <c r="KEJ136" s="54"/>
      <c r="KEK136" s="8"/>
      <c r="KEL136" s="54"/>
      <c r="KEM136" s="8"/>
      <c r="KEN136" s="54"/>
      <c r="KEO136" s="8"/>
      <c r="KEP136" s="54"/>
      <c r="KEQ136" s="8"/>
      <c r="KER136" s="54"/>
      <c r="KES136" s="8"/>
      <c r="KET136" s="54"/>
      <c r="KEU136" s="8"/>
      <c r="KEV136" s="54"/>
      <c r="KEW136" s="8"/>
      <c r="KEX136" s="54"/>
      <c r="KEY136" s="8"/>
      <c r="KEZ136" s="54"/>
      <c r="KFA136" s="8"/>
      <c r="KFB136" s="54"/>
      <c r="KFC136" s="8"/>
      <c r="KFD136" s="54"/>
      <c r="KFE136" s="8"/>
      <c r="KFF136" s="54"/>
      <c r="KFG136" s="8"/>
      <c r="KFH136" s="54"/>
      <c r="KFI136" s="8"/>
      <c r="KFJ136" s="54"/>
      <c r="KFK136" s="8"/>
      <c r="KFL136" s="54"/>
      <c r="KFM136" s="8"/>
      <c r="KFN136" s="54"/>
      <c r="KFO136" s="8"/>
      <c r="KFP136" s="54"/>
      <c r="KFQ136" s="8"/>
      <c r="KFR136" s="54"/>
      <c r="KFS136" s="8"/>
      <c r="KFT136" s="54"/>
      <c r="KFU136" s="8"/>
      <c r="KFV136" s="54"/>
      <c r="KFW136" s="8"/>
      <c r="KFX136" s="54"/>
      <c r="KFY136" s="8"/>
      <c r="KFZ136" s="54"/>
      <c r="KGA136" s="8"/>
      <c r="KGB136" s="54"/>
      <c r="KGC136" s="8"/>
      <c r="KGD136" s="54"/>
      <c r="KGE136" s="8"/>
      <c r="KGF136" s="54"/>
      <c r="KGG136" s="8"/>
      <c r="KGH136" s="54"/>
      <c r="KGI136" s="8"/>
      <c r="KGJ136" s="54"/>
      <c r="KGK136" s="8"/>
      <c r="KGL136" s="54"/>
      <c r="KGM136" s="8"/>
      <c r="KGN136" s="54"/>
      <c r="KGO136" s="8"/>
      <c r="KGP136" s="54"/>
      <c r="KGQ136" s="8"/>
      <c r="KGR136" s="54"/>
      <c r="KGS136" s="8"/>
      <c r="KGT136" s="54"/>
      <c r="KGU136" s="8"/>
      <c r="KGV136" s="54"/>
      <c r="KGW136" s="8"/>
      <c r="KGX136" s="54"/>
      <c r="KGY136" s="8"/>
      <c r="KGZ136" s="54"/>
      <c r="KHA136" s="8"/>
      <c r="KHB136" s="54"/>
      <c r="KHC136" s="8"/>
      <c r="KHD136" s="54"/>
      <c r="KHE136" s="8"/>
      <c r="KHF136" s="54"/>
      <c r="KHG136" s="8"/>
      <c r="KHH136" s="54"/>
      <c r="KHI136" s="8"/>
      <c r="KHJ136" s="54"/>
      <c r="KHK136" s="8"/>
      <c r="KHL136" s="54"/>
      <c r="KHM136" s="8"/>
      <c r="KHN136" s="54"/>
      <c r="KHO136" s="8"/>
      <c r="KHP136" s="54"/>
      <c r="KHQ136" s="8"/>
      <c r="KHR136" s="54"/>
      <c r="KHS136" s="8"/>
      <c r="KHT136" s="54"/>
      <c r="KHU136" s="8"/>
      <c r="KHV136" s="54"/>
      <c r="KHW136" s="8"/>
      <c r="KHX136" s="54"/>
      <c r="KHY136" s="8"/>
      <c r="KHZ136" s="54"/>
      <c r="KIA136" s="8"/>
      <c r="KIB136" s="54"/>
      <c r="KIC136" s="8"/>
      <c r="KID136" s="54"/>
      <c r="KIE136" s="8"/>
      <c r="KIF136" s="54"/>
      <c r="KIG136" s="8"/>
      <c r="KIH136" s="54"/>
      <c r="KII136" s="8"/>
      <c r="KIJ136" s="54"/>
      <c r="KIK136" s="8"/>
      <c r="KIL136" s="54"/>
      <c r="KIM136" s="8"/>
      <c r="KIN136" s="54"/>
      <c r="KIO136" s="8"/>
      <c r="KIP136" s="54"/>
      <c r="KIQ136" s="8"/>
      <c r="KIR136" s="54"/>
      <c r="KIS136" s="8"/>
      <c r="KIT136" s="54"/>
      <c r="KIU136" s="8"/>
      <c r="KIV136" s="54"/>
      <c r="KIW136" s="8"/>
      <c r="KIX136" s="54"/>
      <c r="KIY136" s="8"/>
      <c r="KIZ136" s="54"/>
      <c r="KJA136" s="8"/>
      <c r="KJB136" s="54"/>
      <c r="KJC136" s="8"/>
      <c r="KJD136" s="54"/>
      <c r="KJE136" s="8"/>
      <c r="KJF136" s="54"/>
      <c r="KJG136" s="8"/>
      <c r="KJH136" s="54"/>
      <c r="KJI136" s="8"/>
      <c r="KJJ136" s="54"/>
      <c r="KJK136" s="8"/>
      <c r="KJL136" s="54"/>
      <c r="KJM136" s="8"/>
      <c r="KJN136" s="54"/>
      <c r="KJO136" s="8"/>
      <c r="KJP136" s="54"/>
      <c r="KJQ136" s="8"/>
      <c r="KJR136" s="54"/>
      <c r="KJS136" s="8"/>
      <c r="KJT136" s="54"/>
      <c r="KJU136" s="8"/>
      <c r="KJV136" s="54"/>
      <c r="KJW136" s="8"/>
      <c r="KJX136" s="54"/>
      <c r="KJY136" s="8"/>
      <c r="KJZ136" s="54"/>
      <c r="KKA136" s="8"/>
      <c r="KKB136" s="54"/>
      <c r="KKC136" s="8"/>
      <c r="KKD136" s="54"/>
      <c r="KKE136" s="8"/>
      <c r="KKF136" s="54"/>
      <c r="KKG136" s="8"/>
      <c r="KKH136" s="54"/>
      <c r="KKI136" s="8"/>
      <c r="KKJ136" s="54"/>
      <c r="KKK136" s="8"/>
      <c r="KKL136" s="54"/>
      <c r="KKM136" s="8"/>
      <c r="KKN136" s="54"/>
      <c r="KKO136" s="8"/>
      <c r="KKP136" s="54"/>
      <c r="KKQ136" s="8"/>
      <c r="KKR136" s="54"/>
      <c r="KKS136" s="8"/>
      <c r="KKT136" s="54"/>
      <c r="KKU136" s="8"/>
      <c r="KKV136" s="54"/>
      <c r="KKW136" s="8"/>
      <c r="KKX136" s="54"/>
      <c r="KKY136" s="8"/>
      <c r="KKZ136" s="54"/>
      <c r="KLA136" s="8"/>
      <c r="KLB136" s="54"/>
      <c r="KLC136" s="8"/>
      <c r="KLD136" s="54"/>
      <c r="KLE136" s="8"/>
      <c r="KLF136" s="54"/>
      <c r="KLG136" s="8"/>
      <c r="KLH136" s="54"/>
      <c r="KLI136" s="8"/>
      <c r="KLJ136" s="54"/>
      <c r="KLK136" s="8"/>
      <c r="KLL136" s="54"/>
      <c r="KLM136" s="8"/>
      <c r="KLN136" s="54"/>
      <c r="KLO136" s="8"/>
      <c r="KLP136" s="54"/>
      <c r="KLQ136" s="8"/>
      <c r="KLR136" s="54"/>
      <c r="KLS136" s="8"/>
      <c r="KLT136" s="54"/>
      <c r="KLU136" s="8"/>
      <c r="KLV136" s="54"/>
      <c r="KLW136" s="8"/>
      <c r="KLX136" s="54"/>
      <c r="KLY136" s="8"/>
      <c r="KLZ136" s="54"/>
      <c r="KMA136" s="8"/>
      <c r="KMB136" s="54"/>
      <c r="KMC136" s="8"/>
      <c r="KMD136" s="54"/>
      <c r="KME136" s="8"/>
      <c r="KMF136" s="54"/>
      <c r="KMG136" s="8"/>
      <c r="KMH136" s="54"/>
      <c r="KMI136" s="8"/>
      <c r="KMJ136" s="54"/>
      <c r="KMK136" s="8"/>
      <c r="KML136" s="54"/>
      <c r="KMM136" s="8"/>
      <c r="KMN136" s="54"/>
      <c r="KMO136" s="8"/>
      <c r="KMP136" s="54"/>
      <c r="KMQ136" s="8"/>
      <c r="KMR136" s="54"/>
      <c r="KMS136" s="8"/>
      <c r="KMT136" s="54"/>
      <c r="KMU136" s="8"/>
      <c r="KMV136" s="54"/>
      <c r="KMW136" s="8"/>
      <c r="KMX136" s="54"/>
      <c r="KMY136" s="8"/>
      <c r="KMZ136" s="54"/>
      <c r="KNA136" s="8"/>
      <c r="KNB136" s="54"/>
      <c r="KNC136" s="8"/>
      <c r="KND136" s="54"/>
      <c r="KNE136" s="8"/>
      <c r="KNF136" s="54"/>
      <c r="KNG136" s="8"/>
      <c r="KNH136" s="54"/>
      <c r="KNI136" s="8"/>
      <c r="KNJ136" s="54"/>
      <c r="KNK136" s="8"/>
      <c r="KNL136" s="54"/>
      <c r="KNM136" s="8"/>
      <c r="KNN136" s="54"/>
      <c r="KNO136" s="8"/>
      <c r="KNP136" s="54"/>
      <c r="KNQ136" s="8"/>
      <c r="KNR136" s="54"/>
      <c r="KNS136" s="8"/>
      <c r="KNT136" s="54"/>
      <c r="KNU136" s="8"/>
      <c r="KNV136" s="54"/>
      <c r="KNW136" s="8"/>
      <c r="KNX136" s="54"/>
      <c r="KNY136" s="8"/>
      <c r="KNZ136" s="54"/>
      <c r="KOA136" s="8"/>
      <c r="KOB136" s="54"/>
      <c r="KOC136" s="8"/>
      <c r="KOD136" s="54"/>
      <c r="KOE136" s="8"/>
      <c r="KOF136" s="54"/>
      <c r="KOG136" s="8"/>
      <c r="KOH136" s="54"/>
      <c r="KOI136" s="8"/>
      <c r="KOJ136" s="54"/>
      <c r="KOK136" s="8"/>
      <c r="KOL136" s="54"/>
      <c r="KOM136" s="8"/>
      <c r="KON136" s="54"/>
      <c r="KOO136" s="8"/>
      <c r="KOP136" s="54"/>
      <c r="KOQ136" s="8"/>
      <c r="KOR136" s="54"/>
      <c r="KOS136" s="8"/>
      <c r="KOT136" s="54"/>
      <c r="KOU136" s="8"/>
      <c r="KOV136" s="54"/>
      <c r="KOW136" s="8"/>
      <c r="KOX136" s="54"/>
      <c r="KOY136" s="8"/>
      <c r="KOZ136" s="54"/>
      <c r="KPA136" s="8"/>
      <c r="KPB136" s="54"/>
      <c r="KPC136" s="8"/>
      <c r="KPD136" s="54"/>
      <c r="KPE136" s="8"/>
      <c r="KPF136" s="54"/>
      <c r="KPG136" s="8"/>
      <c r="KPH136" s="54"/>
      <c r="KPI136" s="8"/>
      <c r="KPJ136" s="54"/>
      <c r="KPK136" s="8"/>
      <c r="KPL136" s="54"/>
      <c r="KPM136" s="8"/>
      <c r="KPN136" s="54"/>
      <c r="KPO136" s="8"/>
      <c r="KPP136" s="54"/>
      <c r="KPQ136" s="8"/>
      <c r="KPR136" s="54"/>
      <c r="KPS136" s="8"/>
      <c r="KPT136" s="54"/>
      <c r="KPU136" s="8"/>
      <c r="KPV136" s="54"/>
      <c r="KPW136" s="8"/>
      <c r="KPX136" s="54"/>
      <c r="KPY136" s="8"/>
      <c r="KPZ136" s="54"/>
      <c r="KQA136" s="8"/>
      <c r="KQB136" s="54"/>
      <c r="KQC136" s="8"/>
      <c r="KQD136" s="54"/>
      <c r="KQE136" s="8"/>
      <c r="KQF136" s="54"/>
      <c r="KQG136" s="8"/>
      <c r="KQH136" s="54"/>
      <c r="KQI136" s="8"/>
      <c r="KQJ136" s="54"/>
      <c r="KQK136" s="8"/>
      <c r="KQL136" s="54"/>
      <c r="KQM136" s="8"/>
      <c r="KQN136" s="54"/>
      <c r="KQO136" s="8"/>
      <c r="KQP136" s="54"/>
      <c r="KQQ136" s="8"/>
      <c r="KQR136" s="54"/>
      <c r="KQS136" s="8"/>
      <c r="KQT136" s="54"/>
      <c r="KQU136" s="8"/>
      <c r="KQV136" s="54"/>
      <c r="KQW136" s="8"/>
      <c r="KQX136" s="54"/>
      <c r="KQY136" s="8"/>
      <c r="KQZ136" s="54"/>
      <c r="KRA136" s="8"/>
      <c r="KRB136" s="54"/>
      <c r="KRC136" s="8"/>
      <c r="KRD136" s="54"/>
      <c r="KRE136" s="8"/>
      <c r="KRF136" s="54"/>
      <c r="KRG136" s="8"/>
      <c r="KRH136" s="54"/>
      <c r="KRI136" s="8"/>
      <c r="KRJ136" s="54"/>
      <c r="KRK136" s="8"/>
      <c r="KRL136" s="54"/>
      <c r="KRM136" s="8"/>
      <c r="KRN136" s="54"/>
      <c r="KRO136" s="8"/>
      <c r="KRP136" s="54"/>
      <c r="KRQ136" s="8"/>
      <c r="KRR136" s="54"/>
      <c r="KRS136" s="8"/>
      <c r="KRT136" s="54"/>
      <c r="KRU136" s="8"/>
      <c r="KRV136" s="54"/>
      <c r="KRW136" s="8"/>
      <c r="KRX136" s="54"/>
      <c r="KRY136" s="8"/>
      <c r="KRZ136" s="54"/>
      <c r="KSA136" s="8"/>
      <c r="KSB136" s="54"/>
      <c r="KSC136" s="8"/>
      <c r="KSD136" s="54"/>
      <c r="KSE136" s="8"/>
      <c r="KSF136" s="54"/>
      <c r="KSG136" s="8"/>
      <c r="KSH136" s="54"/>
      <c r="KSI136" s="8"/>
      <c r="KSJ136" s="54"/>
      <c r="KSK136" s="8"/>
      <c r="KSL136" s="54"/>
      <c r="KSM136" s="8"/>
      <c r="KSN136" s="54"/>
      <c r="KSO136" s="8"/>
      <c r="KSP136" s="54"/>
      <c r="KSQ136" s="8"/>
      <c r="KSR136" s="54"/>
      <c r="KSS136" s="8"/>
      <c r="KST136" s="54"/>
      <c r="KSU136" s="8"/>
      <c r="KSV136" s="54"/>
      <c r="KSW136" s="8"/>
      <c r="KSX136" s="54"/>
      <c r="KSY136" s="8"/>
      <c r="KSZ136" s="54"/>
      <c r="KTA136" s="8"/>
      <c r="KTB136" s="54"/>
      <c r="KTC136" s="8"/>
      <c r="KTD136" s="54"/>
      <c r="KTE136" s="8"/>
      <c r="KTF136" s="54"/>
      <c r="KTG136" s="8"/>
      <c r="KTH136" s="54"/>
      <c r="KTI136" s="8"/>
      <c r="KTJ136" s="54"/>
      <c r="KTK136" s="8"/>
      <c r="KTL136" s="54"/>
      <c r="KTM136" s="8"/>
      <c r="KTN136" s="54"/>
      <c r="KTO136" s="8"/>
      <c r="KTP136" s="54"/>
      <c r="KTQ136" s="8"/>
      <c r="KTR136" s="54"/>
      <c r="KTS136" s="8"/>
      <c r="KTT136" s="54"/>
      <c r="KTU136" s="8"/>
      <c r="KTV136" s="54"/>
      <c r="KTW136" s="8"/>
      <c r="KTX136" s="54"/>
      <c r="KTY136" s="8"/>
      <c r="KTZ136" s="54"/>
      <c r="KUA136" s="8"/>
      <c r="KUB136" s="54"/>
      <c r="KUC136" s="8"/>
      <c r="KUD136" s="54"/>
      <c r="KUE136" s="8"/>
      <c r="KUF136" s="54"/>
      <c r="KUG136" s="8"/>
      <c r="KUH136" s="54"/>
      <c r="KUI136" s="8"/>
      <c r="KUJ136" s="54"/>
      <c r="KUK136" s="8"/>
      <c r="KUL136" s="54"/>
      <c r="KUM136" s="8"/>
      <c r="KUN136" s="54"/>
      <c r="KUO136" s="8"/>
      <c r="KUP136" s="54"/>
      <c r="KUQ136" s="8"/>
      <c r="KUR136" s="54"/>
      <c r="KUS136" s="8"/>
      <c r="KUT136" s="54"/>
      <c r="KUU136" s="8"/>
      <c r="KUV136" s="54"/>
      <c r="KUW136" s="8"/>
      <c r="KUX136" s="54"/>
      <c r="KUY136" s="8"/>
      <c r="KUZ136" s="54"/>
      <c r="KVA136" s="8"/>
      <c r="KVB136" s="54"/>
      <c r="KVC136" s="8"/>
      <c r="KVD136" s="54"/>
      <c r="KVE136" s="8"/>
      <c r="KVF136" s="54"/>
      <c r="KVG136" s="8"/>
      <c r="KVH136" s="54"/>
      <c r="KVI136" s="8"/>
      <c r="KVJ136" s="54"/>
      <c r="KVK136" s="8"/>
      <c r="KVL136" s="54"/>
      <c r="KVM136" s="8"/>
      <c r="KVN136" s="54"/>
      <c r="KVO136" s="8"/>
      <c r="KVP136" s="54"/>
      <c r="KVQ136" s="8"/>
      <c r="KVR136" s="54"/>
      <c r="KVS136" s="8"/>
      <c r="KVT136" s="54"/>
      <c r="KVU136" s="8"/>
      <c r="KVV136" s="54"/>
      <c r="KVW136" s="8"/>
      <c r="KVX136" s="54"/>
      <c r="KVY136" s="8"/>
      <c r="KVZ136" s="54"/>
      <c r="KWA136" s="8"/>
      <c r="KWB136" s="54"/>
      <c r="KWC136" s="8"/>
      <c r="KWD136" s="54"/>
      <c r="KWE136" s="8"/>
      <c r="KWF136" s="54"/>
      <c r="KWG136" s="8"/>
      <c r="KWH136" s="54"/>
      <c r="KWI136" s="8"/>
      <c r="KWJ136" s="54"/>
      <c r="KWK136" s="8"/>
      <c r="KWL136" s="54"/>
      <c r="KWM136" s="8"/>
      <c r="KWN136" s="54"/>
      <c r="KWO136" s="8"/>
      <c r="KWP136" s="54"/>
      <c r="KWQ136" s="8"/>
      <c r="KWR136" s="54"/>
      <c r="KWS136" s="8"/>
      <c r="KWT136" s="54"/>
      <c r="KWU136" s="8"/>
      <c r="KWV136" s="54"/>
      <c r="KWW136" s="8"/>
      <c r="KWX136" s="54"/>
      <c r="KWY136" s="8"/>
      <c r="KWZ136" s="54"/>
      <c r="KXA136" s="8"/>
      <c r="KXB136" s="54"/>
      <c r="KXC136" s="8"/>
      <c r="KXD136" s="54"/>
      <c r="KXE136" s="8"/>
      <c r="KXF136" s="54"/>
      <c r="KXG136" s="8"/>
      <c r="KXH136" s="54"/>
      <c r="KXI136" s="8"/>
      <c r="KXJ136" s="54"/>
      <c r="KXK136" s="8"/>
      <c r="KXL136" s="54"/>
      <c r="KXM136" s="8"/>
      <c r="KXN136" s="54"/>
      <c r="KXO136" s="8"/>
      <c r="KXP136" s="54"/>
      <c r="KXQ136" s="8"/>
      <c r="KXR136" s="54"/>
      <c r="KXS136" s="8"/>
      <c r="KXT136" s="54"/>
      <c r="KXU136" s="8"/>
      <c r="KXV136" s="54"/>
      <c r="KXW136" s="8"/>
      <c r="KXX136" s="54"/>
      <c r="KXY136" s="8"/>
      <c r="KXZ136" s="54"/>
      <c r="KYA136" s="8"/>
      <c r="KYB136" s="54"/>
      <c r="KYC136" s="8"/>
      <c r="KYD136" s="54"/>
      <c r="KYE136" s="8"/>
      <c r="KYF136" s="54"/>
      <c r="KYG136" s="8"/>
      <c r="KYH136" s="54"/>
      <c r="KYI136" s="8"/>
      <c r="KYJ136" s="54"/>
      <c r="KYK136" s="8"/>
      <c r="KYL136" s="54"/>
      <c r="KYM136" s="8"/>
      <c r="KYN136" s="54"/>
      <c r="KYO136" s="8"/>
      <c r="KYP136" s="54"/>
      <c r="KYQ136" s="8"/>
      <c r="KYR136" s="54"/>
      <c r="KYS136" s="8"/>
      <c r="KYT136" s="54"/>
      <c r="KYU136" s="8"/>
      <c r="KYV136" s="54"/>
      <c r="KYW136" s="8"/>
      <c r="KYX136" s="54"/>
      <c r="KYY136" s="8"/>
      <c r="KYZ136" s="54"/>
      <c r="KZA136" s="8"/>
      <c r="KZB136" s="54"/>
      <c r="KZC136" s="8"/>
      <c r="KZD136" s="54"/>
      <c r="KZE136" s="8"/>
      <c r="KZF136" s="54"/>
      <c r="KZG136" s="8"/>
      <c r="KZH136" s="54"/>
      <c r="KZI136" s="8"/>
      <c r="KZJ136" s="54"/>
      <c r="KZK136" s="8"/>
      <c r="KZL136" s="54"/>
      <c r="KZM136" s="8"/>
      <c r="KZN136" s="54"/>
      <c r="KZO136" s="8"/>
      <c r="KZP136" s="54"/>
      <c r="KZQ136" s="8"/>
      <c r="KZR136" s="54"/>
      <c r="KZS136" s="8"/>
      <c r="KZT136" s="54"/>
      <c r="KZU136" s="8"/>
      <c r="KZV136" s="54"/>
      <c r="KZW136" s="8"/>
      <c r="KZX136" s="54"/>
      <c r="KZY136" s="8"/>
      <c r="KZZ136" s="54"/>
      <c r="LAA136" s="8"/>
      <c r="LAB136" s="54"/>
      <c r="LAC136" s="8"/>
      <c r="LAD136" s="54"/>
      <c r="LAE136" s="8"/>
      <c r="LAF136" s="54"/>
      <c r="LAG136" s="8"/>
      <c r="LAH136" s="54"/>
      <c r="LAI136" s="8"/>
      <c r="LAJ136" s="54"/>
      <c r="LAK136" s="8"/>
      <c r="LAL136" s="54"/>
      <c r="LAM136" s="8"/>
      <c r="LAN136" s="54"/>
      <c r="LAO136" s="8"/>
      <c r="LAP136" s="54"/>
      <c r="LAQ136" s="8"/>
      <c r="LAR136" s="54"/>
      <c r="LAS136" s="8"/>
      <c r="LAT136" s="54"/>
      <c r="LAU136" s="8"/>
      <c r="LAV136" s="54"/>
      <c r="LAW136" s="8"/>
      <c r="LAX136" s="54"/>
      <c r="LAY136" s="8"/>
      <c r="LAZ136" s="54"/>
      <c r="LBA136" s="8"/>
      <c r="LBB136" s="54"/>
      <c r="LBC136" s="8"/>
      <c r="LBD136" s="54"/>
      <c r="LBE136" s="8"/>
      <c r="LBF136" s="54"/>
      <c r="LBG136" s="8"/>
      <c r="LBH136" s="54"/>
      <c r="LBI136" s="8"/>
      <c r="LBJ136" s="54"/>
      <c r="LBK136" s="8"/>
      <c r="LBL136" s="54"/>
      <c r="LBM136" s="8"/>
      <c r="LBN136" s="54"/>
      <c r="LBO136" s="8"/>
      <c r="LBP136" s="54"/>
      <c r="LBQ136" s="8"/>
      <c r="LBR136" s="54"/>
      <c r="LBS136" s="8"/>
      <c r="LBT136" s="54"/>
      <c r="LBU136" s="8"/>
      <c r="LBV136" s="54"/>
      <c r="LBW136" s="8"/>
      <c r="LBX136" s="54"/>
      <c r="LBY136" s="8"/>
      <c r="LBZ136" s="54"/>
      <c r="LCA136" s="8"/>
      <c r="LCB136" s="54"/>
      <c r="LCC136" s="8"/>
      <c r="LCD136" s="54"/>
      <c r="LCE136" s="8"/>
      <c r="LCF136" s="54"/>
      <c r="LCG136" s="8"/>
      <c r="LCH136" s="54"/>
      <c r="LCI136" s="8"/>
      <c r="LCJ136" s="54"/>
      <c r="LCK136" s="8"/>
      <c r="LCL136" s="54"/>
      <c r="LCM136" s="8"/>
      <c r="LCN136" s="54"/>
      <c r="LCO136" s="8"/>
      <c r="LCP136" s="54"/>
      <c r="LCQ136" s="8"/>
      <c r="LCR136" s="54"/>
      <c r="LCS136" s="8"/>
      <c r="LCT136" s="54"/>
      <c r="LCU136" s="8"/>
      <c r="LCV136" s="54"/>
      <c r="LCW136" s="8"/>
      <c r="LCX136" s="54"/>
      <c r="LCY136" s="8"/>
      <c r="LCZ136" s="54"/>
      <c r="LDA136" s="8"/>
      <c r="LDB136" s="54"/>
      <c r="LDC136" s="8"/>
      <c r="LDD136" s="54"/>
      <c r="LDE136" s="8"/>
      <c r="LDF136" s="54"/>
      <c r="LDG136" s="8"/>
      <c r="LDH136" s="54"/>
      <c r="LDI136" s="8"/>
      <c r="LDJ136" s="54"/>
      <c r="LDK136" s="8"/>
      <c r="LDL136" s="54"/>
      <c r="LDM136" s="8"/>
      <c r="LDN136" s="54"/>
      <c r="LDO136" s="8"/>
      <c r="LDP136" s="54"/>
      <c r="LDQ136" s="8"/>
      <c r="LDR136" s="54"/>
      <c r="LDS136" s="8"/>
      <c r="LDT136" s="54"/>
      <c r="LDU136" s="8"/>
      <c r="LDV136" s="54"/>
      <c r="LDW136" s="8"/>
      <c r="LDX136" s="54"/>
      <c r="LDY136" s="8"/>
      <c r="LDZ136" s="54"/>
      <c r="LEA136" s="8"/>
      <c r="LEB136" s="54"/>
      <c r="LEC136" s="8"/>
      <c r="LED136" s="54"/>
      <c r="LEE136" s="8"/>
      <c r="LEF136" s="54"/>
      <c r="LEG136" s="8"/>
      <c r="LEH136" s="54"/>
      <c r="LEI136" s="8"/>
      <c r="LEJ136" s="54"/>
      <c r="LEK136" s="8"/>
      <c r="LEL136" s="54"/>
      <c r="LEM136" s="8"/>
      <c r="LEN136" s="54"/>
      <c r="LEO136" s="8"/>
      <c r="LEP136" s="54"/>
      <c r="LEQ136" s="8"/>
      <c r="LER136" s="54"/>
      <c r="LES136" s="8"/>
      <c r="LET136" s="54"/>
      <c r="LEU136" s="8"/>
      <c r="LEV136" s="54"/>
      <c r="LEW136" s="8"/>
      <c r="LEX136" s="54"/>
      <c r="LEY136" s="8"/>
      <c r="LEZ136" s="54"/>
      <c r="LFA136" s="8"/>
      <c r="LFB136" s="54"/>
      <c r="LFC136" s="8"/>
      <c r="LFD136" s="54"/>
      <c r="LFE136" s="8"/>
      <c r="LFF136" s="54"/>
      <c r="LFG136" s="8"/>
      <c r="LFH136" s="54"/>
      <c r="LFI136" s="8"/>
      <c r="LFJ136" s="54"/>
      <c r="LFK136" s="8"/>
      <c r="LFL136" s="54"/>
      <c r="LFM136" s="8"/>
      <c r="LFN136" s="54"/>
      <c r="LFO136" s="8"/>
      <c r="LFP136" s="54"/>
      <c r="LFQ136" s="8"/>
      <c r="LFR136" s="54"/>
      <c r="LFS136" s="8"/>
      <c r="LFT136" s="54"/>
      <c r="LFU136" s="8"/>
      <c r="LFV136" s="54"/>
      <c r="LFW136" s="8"/>
      <c r="LFX136" s="54"/>
      <c r="LFY136" s="8"/>
      <c r="LFZ136" s="54"/>
      <c r="LGA136" s="8"/>
      <c r="LGB136" s="54"/>
      <c r="LGC136" s="8"/>
      <c r="LGD136" s="54"/>
      <c r="LGE136" s="8"/>
      <c r="LGF136" s="54"/>
      <c r="LGG136" s="8"/>
      <c r="LGH136" s="54"/>
      <c r="LGI136" s="8"/>
      <c r="LGJ136" s="54"/>
      <c r="LGK136" s="8"/>
      <c r="LGL136" s="54"/>
      <c r="LGM136" s="8"/>
      <c r="LGN136" s="54"/>
      <c r="LGO136" s="8"/>
      <c r="LGP136" s="54"/>
      <c r="LGQ136" s="8"/>
      <c r="LGR136" s="54"/>
      <c r="LGS136" s="8"/>
      <c r="LGT136" s="54"/>
      <c r="LGU136" s="8"/>
      <c r="LGV136" s="54"/>
      <c r="LGW136" s="8"/>
      <c r="LGX136" s="54"/>
      <c r="LGY136" s="8"/>
      <c r="LGZ136" s="54"/>
      <c r="LHA136" s="8"/>
      <c r="LHB136" s="54"/>
      <c r="LHC136" s="8"/>
      <c r="LHD136" s="54"/>
      <c r="LHE136" s="8"/>
      <c r="LHF136" s="54"/>
      <c r="LHG136" s="8"/>
      <c r="LHH136" s="54"/>
      <c r="LHI136" s="8"/>
      <c r="LHJ136" s="54"/>
      <c r="LHK136" s="8"/>
      <c r="LHL136" s="54"/>
      <c r="LHM136" s="8"/>
      <c r="LHN136" s="54"/>
      <c r="LHO136" s="8"/>
      <c r="LHP136" s="54"/>
      <c r="LHQ136" s="8"/>
      <c r="LHR136" s="54"/>
      <c r="LHS136" s="8"/>
      <c r="LHT136" s="54"/>
      <c r="LHU136" s="8"/>
      <c r="LHV136" s="54"/>
      <c r="LHW136" s="8"/>
      <c r="LHX136" s="54"/>
      <c r="LHY136" s="8"/>
      <c r="LHZ136" s="54"/>
      <c r="LIA136" s="8"/>
      <c r="LIB136" s="54"/>
      <c r="LIC136" s="8"/>
      <c r="LID136" s="54"/>
      <c r="LIE136" s="8"/>
      <c r="LIF136" s="54"/>
      <c r="LIG136" s="8"/>
      <c r="LIH136" s="54"/>
      <c r="LII136" s="8"/>
      <c r="LIJ136" s="54"/>
      <c r="LIK136" s="8"/>
      <c r="LIL136" s="54"/>
      <c r="LIM136" s="8"/>
      <c r="LIN136" s="54"/>
      <c r="LIO136" s="8"/>
      <c r="LIP136" s="54"/>
      <c r="LIQ136" s="8"/>
      <c r="LIR136" s="54"/>
      <c r="LIS136" s="8"/>
      <c r="LIT136" s="54"/>
      <c r="LIU136" s="8"/>
      <c r="LIV136" s="54"/>
      <c r="LIW136" s="8"/>
      <c r="LIX136" s="54"/>
      <c r="LIY136" s="8"/>
      <c r="LIZ136" s="54"/>
      <c r="LJA136" s="8"/>
      <c r="LJB136" s="54"/>
      <c r="LJC136" s="8"/>
      <c r="LJD136" s="54"/>
      <c r="LJE136" s="8"/>
      <c r="LJF136" s="54"/>
      <c r="LJG136" s="8"/>
      <c r="LJH136" s="54"/>
      <c r="LJI136" s="8"/>
      <c r="LJJ136" s="54"/>
      <c r="LJK136" s="8"/>
      <c r="LJL136" s="54"/>
      <c r="LJM136" s="8"/>
      <c r="LJN136" s="54"/>
      <c r="LJO136" s="8"/>
      <c r="LJP136" s="54"/>
      <c r="LJQ136" s="8"/>
      <c r="LJR136" s="54"/>
      <c r="LJS136" s="8"/>
      <c r="LJT136" s="54"/>
      <c r="LJU136" s="8"/>
      <c r="LJV136" s="54"/>
      <c r="LJW136" s="8"/>
      <c r="LJX136" s="54"/>
      <c r="LJY136" s="8"/>
      <c r="LJZ136" s="54"/>
      <c r="LKA136" s="8"/>
      <c r="LKB136" s="54"/>
      <c r="LKC136" s="8"/>
      <c r="LKD136" s="54"/>
      <c r="LKE136" s="8"/>
      <c r="LKF136" s="54"/>
      <c r="LKG136" s="8"/>
      <c r="LKH136" s="54"/>
      <c r="LKI136" s="8"/>
      <c r="LKJ136" s="54"/>
      <c r="LKK136" s="8"/>
      <c r="LKL136" s="54"/>
      <c r="LKM136" s="8"/>
      <c r="LKN136" s="54"/>
      <c r="LKO136" s="8"/>
      <c r="LKP136" s="54"/>
      <c r="LKQ136" s="8"/>
      <c r="LKR136" s="54"/>
      <c r="LKS136" s="8"/>
      <c r="LKT136" s="54"/>
      <c r="LKU136" s="8"/>
      <c r="LKV136" s="54"/>
      <c r="LKW136" s="8"/>
      <c r="LKX136" s="54"/>
      <c r="LKY136" s="8"/>
      <c r="LKZ136" s="54"/>
      <c r="LLA136" s="8"/>
      <c r="LLB136" s="54"/>
      <c r="LLC136" s="8"/>
      <c r="LLD136" s="54"/>
      <c r="LLE136" s="8"/>
      <c r="LLF136" s="54"/>
      <c r="LLG136" s="8"/>
      <c r="LLH136" s="54"/>
      <c r="LLI136" s="8"/>
      <c r="LLJ136" s="54"/>
      <c r="LLK136" s="8"/>
      <c r="LLL136" s="54"/>
      <c r="LLM136" s="8"/>
      <c r="LLN136" s="54"/>
      <c r="LLO136" s="8"/>
      <c r="LLP136" s="54"/>
      <c r="LLQ136" s="8"/>
      <c r="LLR136" s="54"/>
      <c r="LLS136" s="8"/>
      <c r="LLT136" s="54"/>
      <c r="LLU136" s="8"/>
      <c r="LLV136" s="54"/>
      <c r="LLW136" s="8"/>
      <c r="LLX136" s="54"/>
      <c r="LLY136" s="8"/>
      <c r="LLZ136" s="54"/>
      <c r="LMA136" s="8"/>
      <c r="LMB136" s="54"/>
      <c r="LMC136" s="8"/>
      <c r="LMD136" s="54"/>
      <c r="LME136" s="8"/>
      <c r="LMF136" s="54"/>
      <c r="LMG136" s="8"/>
      <c r="LMH136" s="54"/>
      <c r="LMI136" s="8"/>
      <c r="LMJ136" s="54"/>
      <c r="LMK136" s="8"/>
      <c r="LML136" s="54"/>
      <c r="LMM136" s="8"/>
      <c r="LMN136" s="54"/>
      <c r="LMO136" s="8"/>
      <c r="LMP136" s="54"/>
      <c r="LMQ136" s="8"/>
      <c r="LMR136" s="54"/>
      <c r="LMS136" s="8"/>
      <c r="LMT136" s="54"/>
      <c r="LMU136" s="8"/>
      <c r="LMV136" s="54"/>
      <c r="LMW136" s="8"/>
      <c r="LMX136" s="54"/>
      <c r="LMY136" s="8"/>
      <c r="LMZ136" s="54"/>
      <c r="LNA136" s="8"/>
      <c r="LNB136" s="54"/>
      <c r="LNC136" s="8"/>
      <c r="LND136" s="54"/>
      <c r="LNE136" s="8"/>
      <c r="LNF136" s="54"/>
      <c r="LNG136" s="8"/>
      <c r="LNH136" s="54"/>
      <c r="LNI136" s="8"/>
      <c r="LNJ136" s="54"/>
      <c r="LNK136" s="8"/>
      <c r="LNL136" s="54"/>
      <c r="LNM136" s="8"/>
      <c r="LNN136" s="54"/>
      <c r="LNO136" s="8"/>
      <c r="LNP136" s="54"/>
      <c r="LNQ136" s="8"/>
      <c r="LNR136" s="54"/>
      <c r="LNS136" s="8"/>
      <c r="LNT136" s="54"/>
      <c r="LNU136" s="8"/>
      <c r="LNV136" s="54"/>
      <c r="LNW136" s="8"/>
      <c r="LNX136" s="54"/>
      <c r="LNY136" s="8"/>
      <c r="LNZ136" s="54"/>
      <c r="LOA136" s="8"/>
      <c r="LOB136" s="54"/>
      <c r="LOC136" s="8"/>
      <c r="LOD136" s="54"/>
      <c r="LOE136" s="8"/>
      <c r="LOF136" s="54"/>
      <c r="LOG136" s="8"/>
      <c r="LOH136" s="54"/>
      <c r="LOI136" s="8"/>
      <c r="LOJ136" s="54"/>
      <c r="LOK136" s="8"/>
      <c r="LOL136" s="54"/>
      <c r="LOM136" s="8"/>
      <c r="LON136" s="54"/>
      <c r="LOO136" s="8"/>
      <c r="LOP136" s="54"/>
      <c r="LOQ136" s="8"/>
      <c r="LOR136" s="54"/>
      <c r="LOS136" s="8"/>
      <c r="LOT136" s="54"/>
      <c r="LOU136" s="8"/>
      <c r="LOV136" s="54"/>
      <c r="LOW136" s="8"/>
      <c r="LOX136" s="54"/>
      <c r="LOY136" s="8"/>
      <c r="LOZ136" s="54"/>
      <c r="LPA136" s="8"/>
      <c r="LPB136" s="54"/>
      <c r="LPC136" s="8"/>
      <c r="LPD136" s="54"/>
      <c r="LPE136" s="8"/>
      <c r="LPF136" s="54"/>
      <c r="LPG136" s="8"/>
      <c r="LPH136" s="54"/>
      <c r="LPI136" s="8"/>
      <c r="LPJ136" s="54"/>
      <c r="LPK136" s="8"/>
      <c r="LPL136" s="54"/>
      <c r="LPM136" s="8"/>
      <c r="LPN136" s="54"/>
      <c r="LPO136" s="8"/>
      <c r="LPP136" s="54"/>
      <c r="LPQ136" s="8"/>
      <c r="LPR136" s="54"/>
      <c r="LPS136" s="8"/>
      <c r="LPT136" s="54"/>
      <c r="LPU136" s="8"/>
      <c r="LPV136" s="54"/>
      <c r="LPW136" s="8"/>
      <c r="LPX136" s="54"/>
      <c r="LPY136" s="8"/>
      <c r="LPZ136" s="54"/>
      <c r="LQA136" s="8"/>
      <c r="LQB136" s="54"/>
      <c r="LQC136" s="8"/>
      <c r="LQD136" s="54"/>
      <c r="LQE136" s="8"/>
      <c r="LQF136" s="54"/>
      <c r="LQG136" s="8"/>
      <c r="LQH136" s="54"/>
      <c r="LQI136" s="8"/>
      <c r="LQJ136" s="54"/>
      <c r="LQK136" s="8"/>
      <c r="LQL136" s="54"/>
      <c r="LQM136" s="8"/>
      <c r="LQN136" s="54"/>
      <c r="LQO136" s="8"/>
      <c r="LQP136" s="54"/>
      <c r="LQQ136" s="8"/>
      <c r="LQR136" s="54"/>
      <c r="LQS136" s="8"/>
      <c r="LQT136" s="54"/>
      <c r="LQU136" s="8"/>
      <c r="LQV136" s="54"/>
      <c r="LQW136" s="8"/>
      <c r="LQX136" s="54"/>
      <c r="LQY136" s="8"/>
      <c r="LQZ136" s="54"/>
      <c r="LRA136" s="8"/>
      <c r="LRB136" s="54"/>
      <c r="LRC136" s="8"/>
      <c r="LRD136" s="54"/>
      <c r="LRE136" s="8"/>
      <c r="LRF136" s="54"/>
      <c r="LRG136" s="8"/>
      <c r="LRH136" s="54"/>
      <c r="LRI136" s="8"/>
      <c r="LRJ136" s="54"/>
      <c r="LRK136" s="8"/>
      <c r="LRL136" s="54"/>
      <c r="LRM136" s="8"/>
      <c r="LRN136" s="54"/>
      <c r="LRO136" s="8"/>
      <c r="LRP136" s="54"/>
      <c r="LRQ136" s="8"/>
      <c r="LRR136" s="54"/>
      <c r="LRS136" s="8"/>
      <c r="LRT136" s="54"/>
      <c r="LRU136" s="8"/>
      <c r="LRV136" s="54"/>
      <c r="LRW136" s="8"/>
      <c r="LRX136" s="54"/>
      <c r="LRY136" s="8"/>
      <c r="LRZ136" s="54"/>
      <c r="LSA136" s="8"/>
      <c r="LSB136" s="54"/>
      <c r="LSC136" s="8"/>
      <c r="LSD136" s="54"/>
      <c r="LSE136" s="8"/>
      <c r="LSF136" s="54"/>
      <c r="LSG136" s="8"/>
      <c r="LSH136" s="54"/>
      <c r="LSI136" s="8"/>
      <c r="LSJ136" s="54"/>
      <c r="LSK136" s="8"/>
      <c r="LSL136" s="54"/>
      <c r="LSM136" s="8"/>
      <c r="LSN136" s="54"/>
      <c r="LSO136" s="8"/>
      <c r="LSP136" s="54"/>
      <c r="LSQ136" s="8"/>
      <c r="LSR136" s="54"/>
      <c r="LSS136" s="8"/>
      <c r="LST136" s="54"/>
      <c r="LSU136" s="8"/>
      <c r="LSV136" s="54"/>
      <c r="LSW136" s="8"/>
      <c r="LSX136" s="54"/>
      <c r="LSY136" s="8"/>
      <c r="LSZ136" s="54"/>
      <c r="LTA136" s="8"/>
      <c r="LTB136" s="54"/>
      <c r="LTC136" s="8"/>
      <c r="LTD136" s="54"/>
      <c r="LTE136" s="8"/>
      <c r="LTF136" s="54"/>
      <c r="LTG136" s="8"/>
      <c r="LTH136" s="54"/>
      <c r="LTI136" s="8"/>
      <c r="LTJ136" s="54"/>
      <c r="LTK136" s="8"/>
      <c r="LTL136" s="54"/>
      <c r="LTM136" s="8"/>
      <c r="LTN136" s="54"/>
      <c r="LTO136" s="8"/>
      <c r="LTP136" s="54"/>
      <c r="LTQ136" s="8"/>
      <c r="LTR136" s="54"/>
      <c r="LTS136" s="8"/>
      <c r="LTT136" s="54"/>
      <c r="LTU136" s="8"/>
      <c r="LTV136" s="54"/>
      <c r="LTW136" s="8"/>
      <c r="LTX136" s="54"/>
      <c r="LTY136" s="8"/>
      <c r="LTZ136" s="54"/>
      <c r="LUA136" s="8"/>
      <c r="LUB136" s="54"/>
      <c r="LUC136" s="8"/>
      <c r="LUD136" s="54"/>
      <c r="LUE136" s="8"/>
      <c r="LUF136" s="54"/>
      <c r="LUG136" s="8"/>
      <c r="LUH136" s="54"/>
      <c r="LUI136" s="8"/>
      <c r="LUJ136" s="54"/>
      <c r="LUK136" s="8"/>
      <c r="LUL136" s="54"/>
      <c r="LUM136" s="8"/>
      <c r="LUN136" s="54"/>
      <c r="LUO136" s="8"/>
      <c r="LUP136" s="54"/>
      <c r="LUQ136" s="8"/>
      <c r="LUR136" s="54"/>
      <c r="LUS136" s="8"/>
      <c r="LUT136" s="54"/>
      <c r="LUU136" s="8"/>
      <c r="LUV136" s="54"/>
      <c r="LUW136" s="8"/>
      <c r="LUX136" s="54"/>
      <c r="LUY136" s="8"/>
      <c r="LUZ136" s="54"/>
      <c r="LVA136" s="8"/>
      <c r="LVB136" s="54"/>
      <c r="LVC136" s="8"/>
      <c r="LVD136" s="54"/>
      <c r="LVE136" s="8"/>
      <c r="LVF136" s="54"/>
      <c r="LVG136" s="8"/>
      <c r="LVH136" s="54"/>
      <c r="LVI136" s="8"/>
      <c r="LVJ136" s="54"/>
      <c r="LVK136" s="8"/>
      <c r="LVL136" s="54"/>
      <c r="LVM136" s="8"/>
      <c r="LVN136" s="54"/>
      <c r="LVO136" s="8"/>
      <c r="LVP136" s="54"/>
      <c r="LVQ136" s="8"/>
      <c r="LVR136" s="54"/>
      <c r="LVS136" s="8"/>
      <c r="LVT136" s="54"/>
      <c r="LVU136" s="8"/>
      <c r="LVV136" s="54"/>
      <c r="LVW136" s="8"/>
      <c r="LVX136" s="54"/>
      <c r="LVY136" s="8"/>
      <c r="LVZ136" s="54"/>
      <c r="LWA136" s="8"/>
      <c r="LWB136" s="54"/>
      <c r="LWC136" s="8"/>
      <c r="LWD136" s="54"/>
      <c r="LWE136" s="8"/>
      <c r="LWF136" s="54"/>
      <c r="LWG136" s="8"/>
      <c r="LWH136" s="54"/>
      <c r="LWI136" s="8"/>
      <c r="LWJ136" s="54"/>
      <c r="LWK136" s="8"/>
      <c r="LWL136" s="54"/>
      <c r="LWM136" s="8"/>
      <c r="LWN136" s="54"/>
      <c r="LWO136" s="8"/>
      <c r="LWP136" s="54"/>
      <c r="LWQ136" s="8"/>
      <c r="LWR136" s="54"/>
      <c r="LWS136" s="8"/>
      <c r="LWT136" s="54"/>
      <c r="LWU136" s="8"/>
      <c r="LWV136" s="54"/>
      <c r="LWW136" s="8"/>
      <c r="LWX136" s="54"/>
      <c r="LWY136" s="8"/>
      <c r="LWZ136" s="54"/>
      <c r="LXA136" s="8"/>
      <c r="LXB136" s="54"/>
      <c r="LXC136" s="8"/>
      <c r="LXD136" s="54"/>
      <c r="LXE136" s="8"/>
      <c r="LXF136" s="54"/>
      <c r="LXG136" s="8"/>
      <c r="LXH136" s="54"/>
      <c r="LXI136" s="8"/>
      <c r="LXJ136" s="54"/>
      <c r="LXK136" s="8"/>
      <c r="LXL136" s="54"/>
      <c r="LXM136" s="8"/>
      <c r="LXN136" s="54"/>
      <c r="LXO136" s="8"/>
      <c r="LXP136" s="54"/>
      <c r="LXQ136" s="8"/>
      <c r="LXR136" s="54"/>
      <c r="LXS136" s="8"/>
      <c r="LXT136" s="54"/>
      <c r="LXU136" s="8"/>
      <c r="LXV136" s="54"/>
      <c r="LXW136" s="8"/>
      <c r="LXX136" s="54"/>
      <c r="LXY136" s="8"/>
      <c r="LXZ136" s="54"/>
      <c r="LYA136" s="8"/>
      <c r="LYB136" s="54"/>
      <c r="LYC136" s="8"/>
      <c r="LYD136" s="54"/>
      <c r="LYE136" s="8"/>
      <c r="LYF136" s="54"/>
      <c r="LYG136" s="8"/>
      <c r="LYH136" s="54"/>
      <c r="LYI136" s="8"/>
      <c r="LYJ136" s="54"/>
      <c r="LYK136" s="8"/>
      <c r="LYL136" s="54"/>
      <c r="LYM136" s="8"/>
      <c r="LYN136" s="54"/>
      <c r="LYO136" s="8"/>
      <c r="LYP136" s="54"/>
      <c r="LYQ136" s="8"/>
      <c r="LYR136" s="54"/>
      <c r="LYS136" s="8"/>
      <c r="LYT136" s="54"/>
      <c r="LYU136" s="8"/>
      <c r="LYV136" s="54"/>
      <c r="LYW136" s="8"/>
      <c r="LYX136" s="54"/>
      <c r="LYY136" s="8"/>
      <c r="LYZ136" s="54"/>
      <c r="LZA136" s="8"/>
      <c r="LZB136" s="54"/>
      <c r="LZC136" s="8"/>
      <c r="LZD136" s="54"/>
      <c r="LZE136" s="8"/>
      <c r="LZF136" s="54"/>
      <c r="LZG136" s="8"/>
      <c r="LZH136" s="54"/>
      <c r="LZI136" s="8"/>
      <c r="LZJ136" s="54"/>
      <c r="LZK136" s="8"/>
      <c r="LZL136" s="54"/>
      <c r="LZM136" s="8"/>
      <c r="LZN136" s="54"/>
      <c r="LZO136" s="8"/>
      <c r="LZP136" s="54"/>
      <c r="LZQ136" s="8"/>
      <c r="LZR136" s="54"/>
      <c r="LZS136" s="8"/>
      <c r="LZT136" s="54"/>
      <c r="LZU136" s="8"/>
      <c r="LZV136" s="54"/>
      <c r="LZW136" s="8"/>
      <c r="LZX136" s="54"/>
      <c r="LZY136" s="8"/>
      <c r="LZZ136" s="54"/>
      <c r="MAA136" s="8"/>
      <c r="MAB136" s="54"/>
      <c r="MAC136" s="8"/>
      <c r="MAD136" s="54"/>
      <c r="MAE136" s="8"/>
      <c r="MAF136" s="54"/>
      <c r="MAG136" s="8"/>
      <c r="MAH136" s="54"/>
      <c r="MAI136" s="8"/>
      <c r="MAJ136" s="54"/>
      <c r="MAK136" s="8"/>
      <c r="MAL136" s="54"/>
      <c r="MAM136" s="8"/>
      <c r="MAN136" s="54"/>
      <c r="MAO136" s="8"/>
      <c r="MAP136" s="54"/>
      <c r="MAQ136" s="8"/>
      <c r="MAR136" s="54"/>
      <c r="MAS136" s="8"/>
      <c r="MAT136" s="54"/>
      <c r="MAU136" s="8"/>
      <c r="MAV136" s="54"/>
      <c r="MAW136" s="8"/>
      <c r="MAX136" s="54"/>
      <c r="MAY136" s="8"/>
      <c r="MAZ136" s="54"/>
      <c r="MBA136" s="8"/>
      <c r="MBB136" s="54"/>
      <c r="MBC136" s="8"/>
      <c r="MBD136" s="54"/>
      <c r="MBE136" s="8"/>
      <c r="MBF136" s="54"/>
      <c r="MBG136" s="8"/>
      <c r="MBH136" s="54"/>
      <c r="MBI136" s="8"/>
      <c r="MBJ136" s="54"/>
      <c r="MBK136" s="8"/>
      <c r="MBL136" s="54"/>
      <c r="MBM136" s="8"/>
      <c r="MBN136" s="54"/>
      <c r="MBO136" s="8"/>
      <c r="MBP136" s="54"/>
      <c r="MBQ136" s="8"/>
      <c r="MBR136" s="54"/>
      <c r="MBS136" s="8"/>
      <c r="MBT136" s="54"/>
      <c r="MBU136" s="8"/>
      <c r="MBV136" s="54"/>
      <c r="MBW136" s="8"/>
      <c r="MBX136" s="54"/>
      <c r="MBY136" s="8"/>
      <c r="MBZ136" s="54"/>
      <c r="MCA136" s="8"/>
      <c r="MCB136" s="54"/>
      <c r="MCC136" s="8"/>
      <c r="MCD136" s="54"/>
      <c r="MCE136" s="8"/>
      <c r="MCF136" s="54"/>
      <c r="MCG136" s="8"/>
      <c r="MCH136" s="54"/>
      <c r="MCI136" s="8"/>
      <c r="MCJ136" s="54"/>
      <c r="MCK136" s="8"/>
      <c r="MCL136" s="54"/>
      <c r="MCM136" s="8"/>
      <c r="MCN136" s="54"/>
      <c r="MCO136" s="8"/>
      <c r="MCP136" s="54"/>
      <c r="MCQ136" s="8"/>
      <c r="MCR136" s="54"/>
      <c r="MCS136" s="8"/>
      <c r="MCT136" s="54"/>
      <c r="MCU136" s="8"/>
      <c r="MCV136" s="54"/>
      <c r="MCW136" s="8"/>
      <c r="MCX136" s="54"/>
      <c r="MCY136" s="8"/>
      <c r="MCZ136" s="54"/>
      <c r="MDA136" s="8"/>
      <c r="MDB136" s="54"/>
      <c r="MDC136" s="8"/>
      <c r="MDD136" s="54"/>
      <c r="MDE136" s="8"/>
      <c r="MDF136" s="54"/>
      <c r="MDG136" s="8"/>
      <c r="MDH136" s="54"/>
      <c r="MDI136" s="8"/>
      <c r="MDJ136" s="54"/>
      <c r="MDK136" s="8"/>
      <c r="MDL136" s="54"/>
      <c r="MDM136" s="8"/>
      <c r="MDN136" s="54"/>
      <c r="MDO136" s="8"/>
      <c r="MDP136" s="54"/>
      <c r="MDQ136" s="8"/>
      <c r="MDR136" s="54"/>
      <c r="MDS136" s="8"/>
      <c r="MDT136" s="54"/>
      <c r="MDU136" s="8"/>
      <c r="MDV136" s="54"/>
      <c r="MDW136" s="8"/>
      <c r="MDX136" s="54"/>
      <c r="MDY136" s="8"/>
      <c r="MDZ136" s="54"/>
      <c r="MEA136" s="8"/>
      <c r="MEB136" s="54"/>
      <c r="MEC136" s="8"/>
      <c r="MED136" s="54"/>
      <c r="MEE136" s="8"/>
      <c r="MEF136" s="54"/>
      <c r="MEG136" s="8"/>
      <c r="MEH136" s="54"/>
      <c r="MEI136" s="8"/>
      <c r="MEJ136" s="54"/>
      <c r="MEK136" s="8"/>
      <c r="MEL136" s="54"/>
      <c r="MEM136" s="8"/>
      <c r="MEN136" s="54"/>
      <c r="MEO136" s="8"/>
      <c r="MEP136" s="54"/>
      <c r="MEQ136" s="8"/>
      <c r="MER136" s="54"/>
      <c r="MES136" s="8"/>
      <c r="MET136" s="54"/>
      <c r="MEU136" s="8"/>
      <c r="MEV136" s="54"/>
      <c r="MEW136" s="8"/>
      <c r="MEX136" s="54"/>
      <c r="MEY136" s="8"/>
      <c r="MEZ136" s="54"/>
      <c r="MFA136" s="8"/>
      <c r="MFB136" s="54"/>
      <c r="MFC136" s="8"/>
      <c r="MFD136" s="54"/>
      <c r="MFE136" s="8"/>
      <c r="MFF136" s="54"/>
      <c r="MFG136" s="8"/>
      <c r="MFH136" s="54"/>
      <c r="MFI136" s="8"/>
      <c r="MFJ136" s="54"/>
      <c r="MFK136" s="8"/>
      <c r="MFL136" s="54"/>
      <c r="MFM136" s="8"/>
      <c r="MFN136" s="54"/>
      <c r="MFO136" s="8"/>
      <c r="MFP136" s="54"/>
      <c r="MFQ136" s="8"/>
      <c r="MFR136" s="54"/>
      <c r="MFS136" s="8"/>
      <c r="MFT136" s="54"/>
      <c r="MFU136" s="8"/>
      <c r="MFV136" s="54"/>
      <c r="MFW136" s="8"/>
      <c r="MFX136" s="54"/>
      <c r="MFY136" s="8"/>
      <c r="MFZ136" s="54"/>
      <c r="MGA136" s="8"/>
      <c r="MGB136" s="54"/>
      <c r="MGC136" s="8"/>
      <c r="MGD136" s="54"/>
      <c r="MGE136" s="8"/>
      <c r="MGF136" s="54"/>
      <c r="MGG136" s="8"/>
      <c r="MGH136" s="54"/>
      <c r="MGI136" s="8"/>
      <c r="MGJ136" s="54"/>
      <c r="MGK136" s="8"/>
      <c r="MGL136" s="54"/>
      <c r="MGM136" s="8"/>
      <c r="MGN136" s="54"/>
      <c r="MGO136" s="8"/>
      <c r="MGP136" s="54"/>
      <c r="MGQ136" s="8"/>
      <c r="MGR136" s="54"/>
      <c r="MGS136" s="8"/>
      <c r="MGT136" s="54"/>
      <c r="MGU136" s="8"/>
      <c r="MGV136" s="54"/>
      <c r="MGW136" s="8"/>
      <c r="MGX136" s="54"/>
      <c r="MGY136" s="8"/>
      <c r="MGZ136" s="54"/>
      <c r="MHA136" s="8"/>
      <c r="MHB136" s="54"/>
      <c r="MHC136" s="8"/>
      <c r="MHD136" s="54"/>
      <c r="MHE136" s="8"/>
      <c r="MHF136" s="54"/>
      <c r="MHG136" s="8"/>
      <c r="MHH136" s="54"/>
      <c r="MHI136" s="8"/>
      <c r="MHJ136" s="54"/>
      <c r="MHK136" s="8"/>
      <c r="MHL136" s="54"/>
      <c r="MHM136" s="8"/>
      <c r="MHN136" s="54"/>
      <c r="MHO136" s="8"/>
      <c r="MHP136" s="54"/>
      <c r="MHQ136" s="8"/>
      <c r="MHR136" s="54"/>
      <c r="MHS136" s="8"/>
      <c r="MHT136" s="54"/>
      <c r="MHU136" s="8"/>
      <c r="MHV136" s="54"/>
      <c r="MHW136" s="8"/>
      <c r="MHX136" s="54"/>
      <c r="MHY136" s="8"/>
      <c r="MHZ136" s="54"/>
      <c r="MIA136" s="8"/>
      <c r="MIB136" s="54"/>
      <c r="MIC136" s="8"/>
      <c r="MID136" s="54"/>
      <c r="MIE136" s="8"/>
      <c r="MIF136" s="54"/>
      <c r="MIG136" s="8"/>
      <c r="MIH136" s="54"/>
      <c r="MII136" s="8"/>
      <c r="MIJ136" s="54"/>
      <c r="MIK136" s="8"/>
      <c r="MIL136" s="54"/>
      <c r="MIM136" s="8"/>
      <c r="MIN136" s="54"/>
      <c r="MIO136" s="8"/>
      <c r="MIP136" s="54"/>
      <c r="MIQ136" s="8"/>
      <c r="MIR136" s="54"/>
      <c r="MIS136" s="8"/>
      <c r="MIT136" s="54"/>
      <c r="MIU136" s="8"/>
      <c r="MIV136" s="54"/>
      <c r="MIW136" s="8"/>
      <c r="MIX136" s="54"/>
      <c r="MIY136" s="8"/>
      <c r="MIZ136" s="54"/>
      <c r="MJA136" s="8"/>
      <c r="MJB136" s="54"/>
      <c r="MJC136" s="8"/>
      <c r="MJD136" s="54"/>
      <c r="MJE136" s="8"/>
      <c r="MJF136" s="54"/>
      <c r="MJG136" s="8"/>
      <c r="MJH136" s="54"/>
      <c r="MJI136" s="8"/>
      <c r="MJJ136" s="54"/>
      <c r="MJK136" s="8"/>
      <c r="MJL136" s="54"/>
      <c r="MJM136" s="8"/>
      <c r="MJN136" s="54"/>
      <c r="MJO136" s="8"/>
      <c r="MJP136" s="54"/>
      <c r="MJQ136" s="8"/>
      <c r="MJR136" s="54"/>
      <c r="MJS136" s="8"/>
      <c r="MJT136" s="54"/>
      <c r="MJU136" s="8"/>
      <c r="MJV136" s="54"/>
      <c r="MJW136" s="8"/>
      <c r="MJX136" s="54"/>
      <c r="MJY136" s="8"/>
      <c r="MJZ136" s="54"/>
      <c r="MKA136" s="8"/>
      <c r="MKB136" s="54"/>
      <c r="MKC136" s="8"/>
      <c r="MKD136" s="54"/>
      <c r="MKE136" s="8"/>
      <c r="MKF136" s="54"/>
      <c r="MKG136" s="8"/>
      <c r="MKH136" s="54"/>
      <c r="MKI136" s="8"/>
      <c r="MKJ136" s="54"/>
      <c r="MKK136" s="8"/>
      <c r="MKL136" s="54"/>
      <c r="MKM136" s="8"/>
      <c r="MKN136" s="54"/>
      <c r="MKO136" s="8"/>
      <c r="MKP136" s="54"/>
      <c r="MKQ136" s="8"/>
      <c r="MKR136" s="54"/>
      <c r="MKS136" s="8"/>
      <c r="MKT136" s="54"/>
      <c r="MKU136" s="8"/>
      <c r="MKV136" s="54"/>
      <c r="MKW136" s="8"/>
      <c r="MKX136" s="54"/>
      <c r="MKY136" s="8"/>
      <c r="MKZ136" s="54"/>
      <c r="MLA136" s="8"/>
      <c r="MLB136" s="54"/>
      <c r="MLC136" s="8"/>
      <c r="MLD136" s="54"/>
      <c r="MLE136" s="8"/>
      <c r="MLF136" s="54"/>
      <c r="MLG136" s="8"/>
      <c r="MLH136" s="54"/>
      <c r="MLI136" s="8"/>
      <c r="MLJ136" s="54"/>
      <c r="MLK136" s="8"/>
      <c r="MLL136" s="54"/>
      <c r="MLM136" s="8"/>
      <c r="MLN136" s="54"/>
      <c r="MLO136" s="8"/>
      <c r="MLP136" s="54"/>
      <c r="MLQ136" s="8"/>
      <c r="MLR136" s="54"/>
      <c r="MLS136" s="8"/>
      <c r="MLT136" s="54"/>
      <c r="MLU136" s="8"/>
      <c r="MLV136" s="54"/>
      <c r="MLW136" s="8"/>
      <c r="MLX136" s="54"/>
      <c r="MLY136" s="8"/>
      <c r="MLZ136" s="54"/>
      <c r="MMA136" s="8"/>
      <c r="MMB136" s="54"/>
      <c r="MMC136" s="8"/>
      <c r="MMD136" s="54"/>
      <c r="MME136" s="8"/>
      <c r="MMF136" s="54"/>
      <c r="MMG136" s="8"/>
      <c r="MMH136" s="54"/>
      <c r="MMI136" s="8"/>
      <c r="MMJ136" s="54"/>
      <c r="MMK136" s="8"/>
      <c r="MML136" s="54"/>
      <c r="MMM136" s="8"/>
      <c r="MMN136" s="54"/>
      <c r="MMO136" s="8"/>
      <c r="MMP136" s="54"/>
      <c r="MMQ136" s="8"/>
      <c r="MMR136" s="54"/>
      <c r="MMS136" s="8"/>
      <c r="MMT136" s="54"/>
      <c r="MMU136" s="8"/>
      <c r="MMV136" s="54"/>
      <c r="MMW136" s="8"/>
      <c r="MMX136" s="54"/>
      <c r="MMY136" s="8"/>
      <c r="MMZ136" s="54"/>
      <c r="MNA136" s="8"/>
      <c r="MNB136" s="54"/>
      <c r="MNC136" s="8"/>
      <c r="MND136" s="54"/>
      <c r="MNE136" s="8"/>
      <c r="MNF136" s="54"/>
      <c r="MNG136" s="8"/>
      <c r="MNH136" s="54"/>
      <c r="MNI136" s="8"/>
      <c r="MNJ136" s="54"/>
      <c r="MNK136" s="8"/>
      <c r="MNL136" s="54"/>
      <c r="MNM136" s="8"/>
      <c r="MNN136" s="54"/>
      <c r="MNO136" s="8"/>
      <c r="MNP136" s="54"/>
      <c r="MNQ136" s="8"/>
      <c r="MNR136" s="54"/>
      <c r="MNS136" s="8"/>
      <c r="MNT136" s="54"/>
      <c r="MNU136" s="8"/>
      <c r="MNV136" s="54"/>
      <c r="MNW136" s="8"/>
      <c r="MNX136" s="54"/>
      <c r="MNY136" s="8"/>
      <c r="MNZ136" s="54"/>
      <c r="MOA136" s="8"/>
      <c r="MOB136" s="54"/>
      <c r="MOC136" s="8"/>
      <c r="MOD136" s="54"/>
      <c r="MOE136" s="8"/>
      <c r="MOF136" s="54"/>
      <c r="MOG136" s="8"/>
      <c r="MOH136" s="54"/>
      <c r="MOI136" s="8"/>
      <c r="MOJ136" s="54"/>
      <c r="MOK136" s="8"/>
      <c r="MOL136" s="54"/>
      <c r="MOM136" s="8"/>
      <c r="MON136" s="54"/>
      <c r="MOO136" s="8"/>
      <c r="MOP136" s="54"/>
      <c r="MOQ136" s="8"/>
      <c r="MOR136" s="54"/>
      <c r="MOS136" s="8"/>
      <c r="MOT136" s="54"/>
      <c r="MOU136" s="8"/>
      <c r="MOV136" s="54"/>
      <c r="MOW136" s="8"/>
      <c r="MOX136" s="54"/>
      <c r="MOY136" s="8"/>
      <c r="MOZ136" s="54"/>
      <c r="MPA136" s="8"/>
      <c r="MPB136" s="54"/>
      <c r="MPC136" s="8"/>
      <c r="MPD136" s="54"/>
      <c r="MPE136" s="8"/>
      <c r="MPF136" s="54"/>
      <c r="MPG136" s="8"/>
      <c r="MPH136" s="54"/>
      <c r="MPI136" s="8"/>
      <c r="MPJ136" s="54"/>
      <c r="MPK136" s="8"/>
      <c r="MPL136" s="54"/>
      <c r="MPM136" s="8"/>
      <c r="MPN136" s="54"/>
      <c r="MPO136" s="8"/>
      <c r="MPP136" s="54"/>
      <c r="MPQ136" s="8"/>
      <c r="MPR136" s="54"/>
      <c r="MPS136" s="8"/>
      <c r="MPT136" s="54"/>
      <c r="MPU136" s="8"/>
      <c r="MPV136" s="54"/>
      <c r="MPW136" s="8"/>
      <c r="MPX136" s="54"/>
      <c r="MPY136" s="8"/>
      <c r="MPZ136" s="54"/>
      <c r="MQA136" s="8"/>
      <c r="MQB136" s="54"/>
      <c r="MQC136" s="8"/>
      <c r="MQD136" s="54"/>
      <c r="MQE136" s="8"/>
      <c r="MQF136" s="54"/>
      <c r="MQG136" s="8"/>
      <c r="MQH136" s="54"/>
      <c r="MQI136" s="8"/>
      <c r="MQJ136" s="54"/>
      <c r="MQK136" s="8"/>
      <c r="MQL136" s="54"/>
      <c r="MQM136" s="8"/>
      <c r="MQN136" s="54"/>
      <c r="MQO136" s="8"/>
      <c r="MQP136" s="54"/>
      <c r="MQQ136" s="8"/>
      <c r="MQR136" s="54"/>
      <c r="MQS136" s="8"/>
      <c r="MQT136" s="54"/>
      <c r="MQU136" s="8"/>
      <c r="MQV136" s="54"/>
      <c r="MQW136" s="8"/>
      <c r="MQX136" s="54"/>
      <c r="MQY136" s="8"/>
      <c r="MQZ136" s="54"/>
      <c r="MRA136" s="8"/>
      <c r="MRB136" s="54"/>
      <c r="MRC136" s="8"/>
      <c r="MRD136" s="54"/>
      <c r="MRE136" s="8"/>
      <c r="MRF136" s="54"/>
      <c r="MRG136" s="8"/>
      <c r="MRH136" s="54"/>
      <c r="MRI136" s="8"/>
      <c r="MRJ136" s="54"/>
      <c r="MRK136" s="8"/>
      <c r="MRL136" s="54"/>
      <c r="MRM136" s="8"/>
      <c r="MRN136" s="54"/>
      <c r="MRO136" s="8"/>
      <c r="MRP136" s="54"/>
      <c r="MRQ136" s="8"/>
      <c r="MRR136" s="54"/>
      <c r="MRS136" s="8"/>
      <c r="MRT136" s="54"/>
      <c r="MRU136" s="8"/>
      <c r="MRV136" s="54"/>
      <c r="MRW136" s="8"/>
      <c r="MRX136" s="54"/>
      <c r="MRY136" s="8"/>
      <c r="MRZ136" s="54"/>
      <c r="MSA136" s="8"/>
      <c r="MSB136" s="54"/>
      <c r="MSC136" s="8"/>
      <c r="MSD136" s="54"/>
      <c r="MSE136" s="8"/>
      <c r="MSF136" s="54"/>
      <c r="MSG136" s="8"/>
      <c r="MSH136" s="54"/>
      <c r="MSI136" s="8"/>
      <c r="MSJ136" s="54"/>
      <c r="MSK136" s="8"/>
      <c r="MSL136" s="54"/>
      <c r="MSM136" s="8"/>
      <c r="MSN136" s="54"/>
      <c r="MSO136" s="8"/>
      <c r="MSP136" s="54"/>
      <c r="MSQ136" s="8"/>
      <c r="MSR136" s="54"/>
      <c r="MSS136" s="8"/>
      <c r="MST136" s="54"/>
      <c r="MSU136" s="8"/>
      <c r="MSV136" s="54"/>
      <c r="MSW136" s="8"/>
      <c r="MSX136" s="54"/>
      <c r="MSY136" s="8"/>
      <c r="MSZ136" s="54"/>
      <c r="MTA136" s="8"/>
      <c r="MTB136" s="54"/>
      <c r="MTC136" s="8"/>
      <c r="MTD136" s="54"/>
      <c r="MTE136" s="8"/>
      <c r="MTF136" s="54"/>
      <c r="MTG136" s="8"/>
      <c r="MTH136" s="54"/>
      <c r="MTI136" s="8"/>
      <c r="MTJ136" s="54"/>
      <c r="MTK136" s="8"/>
      <c r="MTL136" s="54"/>
      <c r="MTM136" s="8"/>
      <c r="MTN136" s="54"/>
      <c r="MTO136" s="8"/>
      <c r="MTP136" s="54"/>
      <c r="MTQ136" s="8"/>
      <c r="MTR136" s="54"/>
      <c r="MTS136" s="8"/>
      <c r="MTT136" s="54"/>
      <c r="MTU136" s="8"/>
      <c r="MTV136" s="54"/>
      <c r="MTW136" s="8"/>
      <c r="MTX136" s="54"/>
      <c r="MTY136" s="8"/>
      <c r="MTZ136" s="54"/>
      <c r="MUA136" s="8"/>
      <c r="MUB136" s="54"/>
      <c r="MUC136" s="8"/>
      <c r="MUD136" s="54"/>
      <c r="MUE136" s="8"/>
      <c r="MUF136" s="54"/>
      <c r="MUG136" s="8"/>
      <c r="MUH136" s="54"/>
      <c r="MUI136" s="8"/>
      <c r="MUJ136" s="54"/>
      <c r="MUK136" s="8"/>
      <c r="MUL136" s="54"/>
      <c r="MUM136" s="8"/>
      <c r="MUN136" s="54"/>
      <c r="MUO136" s="8"/>
      <c r="MUP136" s="54"/>
      <c r="MUQ136" s="8"/>
      <c r="MUR136" s="54"/>
      <c r="MUS136" s="8"/>
      <c r="MUT136" s="54"/>
      <c r="MUU136" s="8"/>
      <c r="MUV136" s="54"/>
      <c r="MUW136" s="8"/>
      <c r="MUX136" s="54"/>
      <c r="MUY136" s="8"/>
      <c r="MUZ136" s="54"/>
      <c r="MVA136" s="8"/>
      <c r="MVB136" s="54"/>
      <c r="MVC136" s="8"/>
      <c r="MVD136" s="54"/>
      <c r="MVE136" s="8"/>
      <c r="MVF136" s="54"/>
      <c r="MVG136" s="8"/>
      <c r="MVH136" s="54"/>
      <c r="MVI136" s="8"/>
      <c r="MVJ136" s="54"/>
      <c r="MVK136" s="8"/>
      <c r="MVL136" s="54"/>
      <c r="MVM136" s="8"/>
      <c r="MVN136" s="54"/>
      <c r="MVO136" s="8"/>
      <c r="MVP136" s="54"/>
      <c r="MVQ136" s="8"/>
      <c r="MVR136" s="54"/>
      <c r="MVS136" s="8"/>
      <c r="MVT136" s="54"/>
      <c r="MVU136" s="8"/>
      <c r="MVV136" s="54"/>
      <c r="MVW136" s="8"/>
      <c r="MVX136" s="54"/>
      <c r="MVY136" s="8"/>
      <c r="MVZ136" s="54"/>
      <c r="MWA136" s="8"/>
      <c r="MWB136" s="54"/>
      <c r="MWC136" s="8"/>
      <c r="MWD136" s="54"/>
      <c r="MWE136" s="8"/>
      <c r="MWF136" s="54"/>
      <c r="MWG136" s="8"/>
      <c r="MWH136" s="54"/>
      <c r="MWI136" s="8"/>
      <c r="MWJ136" s="54"/>
      <c r="MWK136" s="8"/>
      <c r="MWL136" s="54"/>
      <c r="MWM136" s="8"/>
      <c r="MWN136" s="54"/>
      <c r="MWO136" s="8"/>
      <c r="MWP136" s="54"/>
      <c r="MWQ136" s="8"/>
      <c r="MWR136" s="54"/>
      <c r="MWS136" s="8"/>
      <c r="MWT136" s="54"/>
      <c r="MWU136" s="8"/>
      <c r="MWV136" s="54"/>
      <c r="MWW136" s="8"/>
      <c r="MWX136" s="54"/>
      <c r="MWY136" s="8"/>
      <c r="MWZ136" s="54"/>
      <c r="MXA136" s="8"/>
      <c r="MXB136" s="54"/>
      <c r="MXC136" s="8"/>
      <c r="MXD136" s="54"/>
      <c r="MXE136" s="8"/>
      <c r="MXF136" s="54"/>
      <c r="MXG136" s="8"/>
      <c r="MXH136" s="54"/>
      <c r="MXI136" s="8"/>
      <c r="MXJ136" s="54"/>
      <c r="MXK136" s="8"/>
      <c r="MXL136" s="54"/>
      <c r="MXM136" s="8"/>
      <c r="MXN136" s="54"/>
      <c r="MXO136" s="8"/>
      <c r="MXP136" s="54"/>
      <c r="MXQ136" s="8"/>
      <c r="MXR136" s="54"/>
      <c r="MXS136" s="8"/>
      <c r="MXT136" s="54"/>
      <c r="MXU136" s="8"/>
      <c r="MXV136" s="54"/>
      <c r="MXW136" s="8"/>
      <c r="MXX136" s="54"/>
      <c r="MXY136" s="8"/>
      <c r="MXZ136" s="54"/>
      <c r="MYA136" s="8"/>
      <c r="MYB136" s="54"/>
      <c r="MYC136" s="8"/>
      <c r="MYD136" s="54"/>
      <c r="MYE136" s="8"/>
      <c r="MYF136" s="54"/>
      <c r="MYG136" s="8"/>
      <c r="MYH136" s="54"/>
      <c r="MYI136" s="8"/>
      <c r="MYJ136" s="54"/>
      <c r="MYK136" s="8"/>
      <c r="MYL136" s="54"/>
      <c r="MYM136" s="8"/>
      <c r="MYN136" s="54"/>
      <c r="MYO136" s="8"/>
      <c r="MYP136" s="54"/>
      <c r="MYQ136" s="8"/>
      <c r="MYR136" s="54"/>
      <c r="MYS136" s="8"/>
      <c r="MYT136" s="54"/>
      <c r="MYU136" s="8"/>
      <c r="MYV136" s="54"/>
      <c r="MYW136" s="8"/>
      <c r="MYX136" s="54"/>
      <c r="MYY136" s="8"/>
      <c r="MYZ136" s="54"/>
      <c r="MZA136" s="8"/>
      <c r="MZB136" s="54"/>
      <c r="MZC136" s="8"/>
      <c r="MZD136" s="54"/>
      <c r="MZE136" s="8"/>
      <c r="MZF136" s="54"/>
      <c r="MZG136" s="8"/>
      <c r="MZH136" s="54"/>
      <c r="MZI136" s="8"/>
      <c r="MZJ136" s="54"/>
      <c r="MZK136" s="8"/>
      <c r="MZL136" s="54"/>
      <c r="MZM136" s="8"/>
      <c r="MZN136" s="54"/>
      <c r="MZO136" s="8"/>
      <c r="MZP136" s="54"/>
      <c r="MZQ136" s="8"/>
      <c r="MZR136" s="54"/>
      <c r="MZS136" s="8"/>
      <c r="MZT136" s="54"/>
      <c r="MZU136" s="8"/>
      <c r="MZV136" s="54"/>
      <c r="MZW136" s="8"/>
      <c r="MZX136" s="54"/>
      <c r="MZY136" s="8"/>
      <c r="MZZ136" s="54"/>
      <c r="NAA136" s="8"/>
      <c r="NAB136" s="54"/>
      <c r="NAC136" s="8"/>
      <c r="NAD136" s="54"/>
      <c r="NAE136" s="8"/>
      <c r="NAF136" s="54"/>
      <c r="NAG136" s="8"/>
      <c r="NAH136" s="54"/>
      <c r="NAI136" s="8"/>
      <c r="NAJ136" s="54"/>
      <c r="NAK136" s="8"/>
      <c r="NAL136" s="54"/>
      <c r="NAM136" s="8"/>
      <c r="NAN136" s="54"/>
      <c r="NAO136" s="8"/>
      <c r="NAP136" s="54"/>
      <c r="NAQ136" s="8"/>
      <c r="NAR136" s="54"/>
      <c r="NAS136" s="8"/>
      <c r="NAT136" s="54"/>
      <c r="NAU136" s="8"/>
      <c r="NAV136" s="54"/>
      <c r="NAW136" s="8"/>
      <c r="NAX136" s="54"/>
      <c r="NAY136" s="8"/>
      <c r="NAZ136" s="54"/>
      <c r="NBA136" s="8"/>
      <c r="NBB136" s="54"/>
      <c r="NBC136" s="8"/>
      <c r="NBD136" s="54"/>
      <c r="NBE136" s="8"/>
      <c r="NBF136" s="54"/>
      <c r="NBG136" s="8"/>
      <c r="NBH136" s="54"/>
      <c r="NBI136" s="8"/>
      <c r="NBJ136" s="54"/>
      <c r="NBK136" s="8"/>
      <c r="NBL136" s="54"/>
      <c r="NBM136" s="8"/>
      <c r="NBN136" s="54"/>
      <c r="NBO136" s="8"/>
      <c r="NBP136" s="54"/>
      <c r="NBQ136" s="8"/>
      <c r="NBR136" s="54"/>
      <c r="NBS136" s="8"/>
      <c r="NBT136" s="54"/>
      <c r="NBU136" s="8"/>
      <c r="NBV136" s="54"/>
      <c r="NBW136" s="8"/>
      <c r="NBX136" s="54"/>
      <c r="NBY136" s="8"/>
      <c r="NBZ136" s="54"/>
      <c r="NCA136" s="8"/>
      <c r="NCB136" s="54"/>
      <c r="NCC136" s="8"/>
      <c r="NCD136" s="54"/>
      <c r="NCE136" s="8"/>
      <c r="NCF136" s="54"/>
      <c r="NCG136" s="8"/>
      <c r="NCH136" s="54"/>
      <c r="NCI136" s="8"/>
      <c r="NCJ136" s="54"/>
      <c r="NCK136" s="8"/>
      <c r="NCL136" s="54"/>
      <c r="NCM136" s="8"/>
      <c r="NCN136" s="54"/>
      <c r="NCO136" s="8"/>
      <c r="NCP136" s="54"/>
      <c r="NCQ136" s="8"/>
      <c r="NCR136" s="54"/>
      <c r="NCS136" s="8"/>
      <c r="NCT136" s="54"/>
      <c r="NCU136" s="8"/>
      <c r="NCV136" s="54"/>
      <c r="NCW136" s="8"/>
      <c r="NCX136" s="54"/>
      <c r="NCY136" s="8"/>
      <c r="NCZ136" s="54"/>
      <c r="NDA136" s="8"/>
      <c r="NDB136" s="54"/>
      <c r="NDC136" s="8"/>
      <c r="NDD136" s="54"/>
      <c r="NDE136" s="8"/>
      <c r="NDF136" s="54"/>
      <c r="NDG136" s="8"/>
      <c r="NDH136" s="54"/>
      <c r="NDI136" s="8"/>
      <c r="NDJ136" s="54"/>
      <c r="NDK136" s="8"/>
      <c r="NDL136" s="54"/>
      <c r="NDM136" s="8"/>
      <c r="NDN136" s="54"/>
      <c r="NDO136" s="8"/>
      <c r="NDP136" s="54"/>
      <c r="NDQ136" s="8"/>
      <c r="NDR136" s="54"/>
      <c r="NDS136" s="8"/>
      <c r="NDT136" s="54"/>
      <c r="NDU136" s="8"/>
      <c r="NDV136" s="54"/>
      <c r="NDW136" s="8"/>
      <c r="NDX136" s="54"/>
      <c r="NDY136" s="8"/>
      <c r="NDZ136" s="54"/>
      <c r="NEA136" s="8"/>
      <c r="NEB136" s="54"/>
      <c r="NEC136" s="8"/>
      <c r="NED136" s="54"/>
      <c r="NEE136" s="8"/>
      <c r="NEF136" s="54"/>
      <c r="NEG136" s="8"/>
      <c r="NEH136" s="54"/>
      <c r="NEI136" s="8"/>
      <c r="NEJ136" s="54"/>
      <c r="NEK136" s="8"/>
      <c r="NEL136" s="54"/>
      <c r="NEM136" s="8"/>
      <c r="NEN136" s="54"/>
      <c r="NEO136" s="8"/>
      <c r="NEP136" s="54"/>
      <c r="NEQ136" s="8"/>
      <c r="NER136" s="54"/>
      <c r="NES136" s="8"/>
      <c r="NET136" s="54"/>
      <c r="NEU136" s="8"/>
      <c r="NEV136" s="54"/>
      <c r="NEW136" s="8"/>
      <c r="NEX136" s="54"/>
      <c r="NEY136" s="8"/>
      <c r="NEZ136" s="54"/>
      <c r="NFA136" s="8"/>
      <c r="NFB136" s="54"/>
      <c r="NFC136" s="8"/>
      <c r="NFD136" s="54"/>
      <c r="NFE136" s="8"/>
      <c r="NFF136" s="54"/>
      <c r="NFG136" s="8"/>
      <c r="NFH136" s="54"/>
      <c r="NFI136" s="8"/>
      <c r="NFJ136" s="54"/>
      <c r="NFK136" s="8"/>
      <c r="NFL136" s="54"/>
      <c r="NFM136" s="8"/>
      <c r="NFN136" s="54"/>
      <c r="NFO136" s="8"/>
      <c r="NFP136" s="54"/>
      <c r="NFQ136" s="8"/>
      <c r="NFR136" s="54"/>
      <c r="NFS136" s="8"/>
      <c r="NFT136" s="54"/>
      <c r="NFU136" s="8"/>
      <c r="NFV136" s="54"/>
      <c r="NFW136" s="8"/>
      <c r="NFX136" s="54"/>
      <c r="NFY136" s="8"/>
      <c r="NFZ136" s="54"/>
      <c r="NGA136" s="8"/>
      <c r="NGB136" s="54"/>
      <c r="NGC136" s="8"/>
      <c r="NGD136" s="54"/>
      <c r="NGE136" s="8"/>
      <c r="NGF136" s="54"/>
      <c r="NGG136" s="8"/>
      <c r="NGH136" s="54"/>
      <c r="NGI136" s="8"/>
      <c r="NGJ136" s="54"/>
      <c r="NGK136" s="8"/>
      <c r="NGL136" s="54"/>
      <c r="NGM136" s="8"/>
      <c r="NGN136" s="54"/>
      <c r="NGO136" s="8"/>
      <c r="NGP136" s="54"/>
      <c r="NGQ136" s="8"/>
      <c r="NGR136" s="54"/>
      <c r="NGS136" s="8"/>
      <c r="NGT136" s="54"/>
      <c r="NGU136" s="8"/>
      <c r="NGV136" s="54"/>
      <c r="NGW136" s="8"/>
      <c r="NGX136" s="54"/>
      <c r="NGY136" s="8"/>
      <c r="NGZ136" s="54"/>
      <c r="NHA136" s="8"/>
      <c r="NHB136" s="54"/>
      <c r="NHC136" s="8"/>
      <c r="NHD136" s="54"/>
      <c r="NHE136" s="8"/>
      <c r="NHF136" s="54"/>
      <c r="NHG136" s="8"/>
      <c r="NHH136" s="54"/>
      <c r="NHI136" s="8"/>
      <c r="NHJ136" s="54"/>
      <c r="NHK136" s="8"/>
      <c r="NHL136" s="54"/>
      <c r="NHM136" s="8"/>
      <c r="NHN136" s="54"/>
      <c r="NHO136" s="8"/>
      <c r="NHP136" s="54"/>
      <c r="NHQ136" s="8"/>
      <c r="NHR136" s="54"/>
      <c r="NHS136" s="8"/>
      <c r="NHT136" s="54"/>
      <c r="NHU136" s="8"/>
      <c r="NHV136" s="54"/>
      <c r="NHW136" s="8"/>
      <c r="NHX136" s="54"/>
      <c r="NHY136" s="8"/>
      <c r="NHZ136" s="54"/>
      <c r="NIA136" s="8"/>
      <c r="NIB136" s="54"/>
      <c r="NIC136" s="8"/>
      <c r="NID136" s="54"/>
      <c r="NIE136" s="8"/>
      <c r="NIF136" s="54"/>
      <c r="NIG136" s="8"/>
      <c r="NIH136" s="54"/>
      <c r="NII136" s="8"/>
      <c r="NIJ136" s="54"/>
      <c r="NIK136" s="8"/>
      <c r="NIL136" s="54"/>
      <c r="NIM136" s="8"/>
      <c r="NIN136" s="54"/>
      <c r="NIO136" s="8"/>
      <c r="NIP136" s="54"/>
      <c r="NIQ136" s="8"/>
      <c r="NIR136" s="54"/>
      <c r="NIS136" s="8"/>
      <c r="NIT136" s="54"/>
      <c r="NIU136" s="8"/>
      <c r="NIV136" s="54"/>
      <c r="NIW136" s="8"/>
      <c r="NIX136" s="54"/>
      <c r="NIY136" s="8"/>
      <c r="NIZ136" s="54"/>
      <c r="NJA136" s="8"/>
      <c r="NJB136" s="54"/>
      <c r="NJC136" s="8"/>
      <c r="NJD136" s="54"/>
      <c r="NJE136" s="8"/>
      <c r="NJF136" s="54"/>
      <c r="NJG136" s="8"/>
      <c r="NJH136" s="54"/>
      <c r="NJI136" s="8"/>
      <c r="NJJ136" s="54"/>
      <c r="NJK136" s="8"/>
      <c r="NJL136" s="54"/>
      <c r="NJM136" s="8"/>
      <c r="NJN136" s="54"/>
      <c r="NJO136" s="8"/>
      <c r="NJP136" s="54"/>
      <c r="NJQ136" s="8"/>
      <c r="NJR136" s="54"/>
      <c r="NJS136" s="8"/>
      <c r="NJT136" s="54"/>
      <c r="NJU136" s="8"/>
      <c r="NJV136" s="54"/>
      <c r="NJW136" s="8"/>
      <c r="NJX136" s="54"/>
      <c r="NJY136" s="8"/>
      <c r="NJZ136" s="54"/>
      <c r="NKA136" s="8"/>
      <c r="NKB136" s="54"/>
      <c r="NKC136" s="8"/>
      <c r="NKD136" s="54"/>
      <c r="NKE136" s="8"/>
      <c r="NKF136" s="54"/>
      <c r="NKG136" s="8"/>
      <c r="NKH136" s="54"/>
      <c r="NKI136" s="8"/>
      <c r="NKJ136" s="54"/>
      <c r="NKK136" s="8"/>
      <c r="NKL136" s="54"/>
      <c r="NKM136" s="8"/>
      <c r="NKN136" s="54"/>
      <c r="NKO136" s="8"/>
      <c r="NKP136" s="54"/>
      <c r="NKQ136" s="8"/>
      <c r="NKR136" s="54"/>
      <c r="NKS136" s="8"/>
      <c r="NKT136" s="54"/>
      <c r="NKU136" s="8"/>
      <c r="NKV136" s="54"/>
      <c r="NKW136" s="8"/>
      <c r="NKX136" s="54"/>
      <c r="NKY136" s="8"/>
      <c r="NKZ136" s="54"/>
      <c r="NLA136" s="8"/>
      <c r="NLB136" s="54"/>
      <c r="NLC136" s="8"/>
      <c r="NLD136" s="54"/>
      <c r="NLE136" s="8"/>
      <c r="NLF136" s="54"/>
      <c r="NLG136" s="8"/>
      <c r="NLH136" s="54"/>
      <c r="NLI136" s="8"/>
      <c r="NLJ136" s="54"/>
      <c r="NLK136" s="8"/>
      <c r="NLL136" s="54"/>
      <c r="NLM136" s="8"/>
      <c r="NLN136" s="54"/>
      <c r="NLO136" s="8"/>
      <c r="NLP136" s="54"/>
      <c r="NLQ136" s="8"/>
      <c r="NLR136" s="54"/>
      <c r="NLS136" s="8"/>
      <c r="NLT136" s="54"/>
      <c r="NLU136" s="8"/>
      <c r="NLV136" s="54"/>
      <c r="NLW136" s="8"/>
      <c r="NLX136" s="54"/>
      <c r="NLY136" s="8"/>
      <c r="NLZ136" s="54"/>
      <c r="NMA136" s="8"/>
      <c r="NMB136" s="54"/>
      <c r="NMC136" s="8"/>
      <c r="NMD136" s="54"/>
      <c r="NME136" s="8"/>
      <c r="NMF136" s="54"/>
      <c r="NMG136" s="8"/>
      <c r="NMH136" s="54"/>
      <c r="NMI136" s="8"/>
      <c r="NMJ136" s="54"/>
      <c r="NMK136" s="8"/>
      <c r="NML136" s="54"/>
      <c r="NMM136" s="8"/>
      <c r="NMN136" s="54"/>
      <c r="NMO136" s="8"/>
      <c r="NMP136" s="54"/>
      <c r="NMQ136" s="8"/>
      <c r="NMR136" s="54"/>
      <c r="NMS136" s="8"/>
      <c r="NMT136" s="54"/>
      <c r="NMU136" s="8"/>
      <c r="NMV136" s="54"/>
      <c r="NMW136" s="8"/>
      <c r="NMX136" s="54"/>
      <c r="NMY136" s="8"/>
      <c r="NMZ136" s="54"/>
      <c r="NNA136" s="8"/>
      <c r="NNB136" s="54"/>
      <c r="NNC136" s="8"/>
      <c r="NND136" s="54"/>
      <c r="NNE136" s="8"/>
      <c r="NNF136" s="54"/>
      <c r="NNG136" s="8"/>
      <c r="NNH136" s="54"/>
      <c r="NNI136" s="8"/>
      <c r="NNJ136" s="54"/>
      <c r="NNK136" s="8"/>
      <c r="NNL136" s="54"/>
      <c r="NNM136" s="8"/>
      <c r="NNN136" s="54"/>
      <c r="NNO136" s="8"/>
      <c r="NNP136" s="54"/>
      <c r="NNQ136" s="8"/>
      <c r="NNR136" s="54"/>
      <c r="NNS136" s="8"/>
      <c r="NNT136" s="54"/>
      <c r="NNU136" s="8"/>
      <c r="NNV136" s="54"/>
      <c r="NNW136" s="8"/>
      <c r="NNX136" s="54"/>
      <c r="NNY136" s="8"/>
      <c r="NNZ136" s="54"/>
      <c r="NOA136" s="8"/>
      <c r="NOB136" s="54"/>
      <c r="NOC136" s="8"/>
      <c r="NOD136" s="54"/>
      <c r="NOE136" s="8"/>
      <c r="NOF136" s="54"/>
      <c r="NOG136" s="8"/>
      <c r="NOH136" s="54"/>
      <c r="NOI136" s="8"/>
      <c r="NOJ136" s="54"/>
      <c r="NOK136" s="8"/>
      <c r="NOL136" s="54"/>
      <c r="NOM136" s="8"/>
      <c r="NON136" s="54"/>
      <c r="NOO136" s="8"/>
      <c r="NOP136" s="54"/>
      <c r="NOQ136" s="8"/>
      <c r="NOR136" s="54"/>
      <c r="NOS136" s="8"/>
      <c r="NOT136" s="54"/>
      <c r="NOU136" s="8"/>
      <c r="NOV136" s="54"/>
      <c r="NOW136" s="8"/>
      <c r="NOX136" s="54"/>
      <c r="NOY136" s="8"/>
      <c r="NOZ136" s="54"/>
      <c r="NPA136" s="8"/>
      <c r="NPB136" s="54"/>
      <c r="NPC136" s="8"/>
      <c r="NPD136" s="54"/>
      <c r="NPE136" s="8"/>
      <c r="NPF136" s="54"/>
      <c r="NPG136" s="8"/>
      <c r="NPH136" s="54"/>
      <c r="NPI136" s="8"/>
      <c r="NPJ136" s="54"/>
      <c r="NPK136" s="8"/>
      <c r="NPL136" s="54"/>
      <c r="NPM136" s="8"/>
      <c r="NPN136" s="54"/>
      <c r="NPO136" s="8"/>
      <c r="NPP136" s="54"/>
      <c r="NPQ136" s="8"/>
      <c r="NPR136" s="54"/>
      <c r="NPS136" s="8"/>
      <c r="NPT136" s="54"/>
      <c r="NPU136" s="8"/>
      <c r="NPV136" s="54"/>
      <c r="NPW136" s="8"/>
      <c r="NPX136" s="54"/>
      <c r="NPY136" s="8"/>
      <c r="NPZ136" s="54"/>
      <c r="NQA136" s="8"/>
      <c r="NQB136" s="54"/>
      <c r="NQC136" s="8"/>
      <c r="NQD136" s="54"/>
      <c r="NQE136" s="8"/>
      <c r="NQF136" s="54"/>
      <c r="NQG136" s="8"/>
      <c r="NQH136" s="54"/>
      <c r="NQI136" s="8"/>
      <c r="NQJ136" s="54"/>
      <c r="NQK136" s="8"/>
      <c r="NQL136" s="54"/>
      <c r="NQM136" s="8"/>
      <c r="NQN136" s="54"/>
      <c r="NQO136" s="8"/>
      <c r="NQP136" s="54"/>
      <c r="NQQ136" s="8"/>
      <c r="NQR136" s="54"/>
      <c r="NQS136" s="8"/>
      <c r="NQT136" s="54"/>
      <c r="NQU136" s="8"/>
      <c r="NQV136" s="54"/>
      <c r="NQW136" s="8"/>
      <c r="NQX136" s="54"/>
      <c r="NQY136" s="8"/>
      <c r="NQZ136" s="54"/>
      <c r="NRA136" s="8"/>
      <c r="NRB136" s="54"/>
      <c r="NRC136" s="8"/>
      <c r="NRD136" s="54"/>
      <c r="NRE136" s="8"/>
      <c r="NRF136" s="54"/>
      <c r="NRG136" s="8"/>
      <c r="NRH136" s="54"/>
      <c r="NRI136" s="8"/>
      <c r="NRJ136" s="54"/>
      <c r="NRK136" s="8"/>
      <c r="NRL136" s="54"/>
      <c r="NRM136" s="8"/>
      <c r="NRN136" s="54"/>
      <c r="NRO136" s="8"/>
      <c r="NRP136" s="54"/>
      <c r="NRQ136" s="8"/>
      <c r="NRR136" s="54"/>
      <c r="NRS136" s="8"/>
      <c r="NRT136" s="54"/>
      <c r="NRU136" s="8"/>
      <c r="NRV136" s="54"/>
      <c r="NRW136" s="8"/>
      <c r="NRX136" s="54"/>
      <c r="NRY136" s="8"/>
      <c r="NRZ136" s="54"/>
      <c r="NSA136" s="8"/>
      <c r="NSB136" s="54"/>
      <c r="NSC136" s="8"/>
      <c r="NSD136" s="54"/>
      <c r="NSE136" s="8"/>
      <c r="NSF136" s="54"/>
      <c r="NSG136" s="8"/>
      <c r="NSH136" s="54"/>
      <c r="NSI136" s="8"/>
      <c r="NSJ136" s="54"/>
      <c r="NSK136" s="8"/>
      <c r="NSL136" s="54"/>
      <c r="NSM136" s="8"/>
      <c r="NSN136" s="54"/>
      <c r="NSO136" s="8"/>
      <c r="NSP136" s="54"/>
      <c r="NSQ136" s="8"/>
      <c r="NSR136" s="54"/>
      <c r="NSS136" s="8"/>
      <c r="NST136" s="54"/>
      <c r="NSU136" s="8"/>
      <c r="NSV136" s="54"/>
      <c r="NSW136" s="8"/>
      <c r="NSX136" s="54"/>
      <c r="NSY136" s="8"/>
      <c r="NSZ136" s="54"/>
      <c r="NTA136" s="8"/>
      <c r="NTB136" s="54"/>
      <c r="NTC136" s="8"/>
      <c r="NTD136" s="54"/>
      <c r="NTE136" s="8"/>
      <c r="NTF136" s="54"/>
      <c r="NTG136" s="8"/>
      <c r="NTH136" s="54"/>
      <c r="NTI136" s="8"/>
      <c r="NTJ136" s="54"/>
      <c r="NTK136" s="8"/>
      <c r="NTL136" s="54"/>
      <c r="NTM136" s="8"/>
      <c r="NTN136" s="54"/>
      <c r="NTO136" s="8"/>
      <c r="NTP136" s="54"/>
      <c r="NTQ136" s="8"/>
      <c r="NTR136" s="54"/>
      <c r="NTS136" s="8"/>
      <c r="NTT136" s="54"/>
      <c r="NTU136" s="8"/>
      <c r="NTV136" s="54"/>
      <c r="NTW136" s="8"/>
      <c r="NTX136" s="54"/>
      <c r="NTY136" s="8"/>
      <c r="NTZ136" s="54"/>
      <c r="NUA136" s="8"/>
      <c r="NUB136" s="54"/>
      <c r="NUC136" s="8"/>
      <c r="NUD136" s="54"/>
      <c r="NUE136" s="8"/>
      <c r="NUF136" s="54"/>
      <c r="NUG136" s="8"/>
      <c r="NUH136" s="54"/>
      <c r="NUI136" s="8"/>
      <c r="NUJ136" s="54"/>
      <c r="NUK136" s="8"/>
      <c r="NUL136" s="54"/>
      <c r="NUM136" s="8"/>
      <c r="NUN136" s="54"/>
      <c r="NUO136" s="8"/>
      <c r="NUP136" s="54"/>
      <c r="NUQ136" s="8"/>
      <c r="NUR136" s="54"/>
      <c r="NUS136" s="8"/>
      <c r="NUT136" s="54"/>
      <c r="NUU136" s="8"/>
      <c r="NUV136" s="54"/>
      <c r="NUW136" s="8"/>
      <c r="NUX136" s="54"/>
      <c r="NUY136" s="8"/>
      <c r="NUZ136" s="54"/>
      <c r="NVA136" s="8"/>
      <c r="NVB136" s="54"/>
      <c r="NVC136" s="8"/>
      <c r="NVD136" s="54"/>
      <c r="NVE136" s="8"/>
      <c r="NVF136" s="54"/>
      <c r="NVG136" s="8"/>
      <c r="NVH136" s="54"/>
      <c r="NVI136" s="8"/>
      <c r="NVJ136" s="54"/>
      <c r="NVK136" s="8"/>
      <c r="NVL136" s="54"/>
      <c r="NVM136" s="8"/>
      <c r="NVN136" s="54"/>
      <c r="NVO136" s="8"/>
      <c r="NVP136" s="54"/>
      <c r="NVQ136" s="8"/>
      <c r="NVR136" s="54"/>
      <c r="NVS136" s="8"/>
      <c r="NVT136" s="54"/>
      <c r="NVU136" s="8"/>
      <c r="NVV136" s="54"/>
      <c r="NVW136" s="8"/>
      <c r="NVX136" s="54"/>
      <c r="NVY136" s="8"/>
      <c r="NVZ136" s="54"/>
      <c r="NWA136" s="8"/>
      <c r="NWB136" s="54"/>
      <c r="NWC136" s="8"/>
      <c r="NWD136" s="54"/>
      <c r="NWE136" s="8"/>
      <c r="NWF136" s="54"/>
      <c r="NWG136" s="8"/>
      <c r="NWH136" s="54"/>
      <c r="NWI136" s="8"/>
      <c r="NWJ136" s="54"/>
      <c r="NWK136" s="8"/>
      <c r="NWL136" s="54"/>
      <c r="NWM136" s="8"/>
      <c r="NWN136" s="54"/>
      <c r="NWO136" s="8"/>
      <c r="NWP136" s="54"/>
      <c r="NWQ136" s="8"/>
      <c r="NWR136" s="54"/>
      <c r="NWS136" s="8"/>
      <c r="NWT136" s="54"/>
      <c r="NWU136" s="8"/>
      <c r="NWV136" s="54"/>
      <c r="NWW136" s="8"/>
      <c r="NWX136" s="54"/>
      <c r="NWY136" s="8"/>
      <c r="NWZ136" s="54"/>
      <c r="NXA136" s="8"/>
      <c r="NXB136" s="54"/>
      <c r="NXC136" s="8"/>
      <c r="NXD136" s="54"/>
      <c r="NXE136" s="8"/>
      <c r="NXF136" s="54"/>
      <c r="NXG136" s="8"/>
      <c r="NXH136" s="54"/>
      <c r="NXI136" s="8"/>
      <c r="NXJ136" s="54"/>
      <c r="NXK136" s="8"/>
      <c r="NXL136" s="54"/>
      <c r="NXM136" s="8"/>
      <c r="NXN136" s="54"/>
      <c r="NXO136" s="8"/>
      <c r="NXP136" s="54"/>
      <c r="NXQ136" s="8"/>
      <c r="NXR136" s="54"/>
      <c r="NXS136" s="8"/>
      <c r="NXT136" s="54"/>
      <c r="NXU136" s="8"/>
      <c r="NXV136" s="54"/>
      <c r="NXW136" s="8"/>
      <c r="NXX136" s="54"/>
      <c r="NXY136" s="8"/>
      <c r="NXZ136" s="54"/>
      <c r="NYA136" s="8"/>
      <c r="NYB136" s="54"/>
      <c r="NYC136" s="8"/>
      <c r="NYD136" s="54"/>
      <c r="NYE136" s="8"/>
      <c r="NYF136" s="54"/>
      <c r="NYG136" s="8"/>
      <c r="NYH136" s="54"/>
      <c r="NYI136" s="8"/>
      <c r="NYJ136" s="54"/>
      <c r="NYK136" s="8"/>
      <c r="NYL136" s="54"/>
      <c r="NYM136" s="8"/>
      <c r="NYN136" s="54"/>
      <c r="NYO136" s="8"/>
      <c r="NYP136" s="54"/>
      <c r="NYQ136" s="8"/>
      <c r="NYR136" s="54"/>
      <c r="NYS136" s="8"/>
      <c r="NYT136" s="54"/>
      <c r="NYU136" s="8"/>
      <c r="NYV136" s="54"/>
      <c r="NYW136" s="8"/>
      <c r="NYX136" s="54"/>
      <c r="NYY136" s="8"/>
      <c r="NYZ136" s="54"/>
      <c r="NZA136" s="8"/>
      <c r="NZB136" s="54"/>
      <c r="NZC136" s="8"/>
      <c r="NZD136" s="54"/>
      <c r="NZE136" s="8"/>
      <c r="NZF136" s="54"/>
      <c r="NZG136" s="8"/>
      <c r="NZH136" s="54"/>
      <c r="NZI136" s="8"/>
      <c r="NZJ136" s="54"/>
      <c r="NZK136" s="8"/>
      <c r="NZL136" s="54"/>
      <c r="NZM136" s="8"/>
      <c r="NZN136" s="54"/>
      <c r="NZO136" s="8"/>
      <c r="NZP136" s="54"/>
      <c r="NZQ136" s="8"/>
      <c r="NZR136" s="54"/>
      <c r="NZS136" s="8"/>
      <c r="NZT136" s="54"/>
      <c r="NZU136" s="8"/>
      <c r="NZV136" s="54"/>
      <c r="NZW136" s="8"/>
      <c r="NZX136" s="54"/>
      <c r="NZY136" s="8"/>
      <c r="NZZ136" s="54"/>
      <c r="OAA136" s="8"/>
      <c r="OAB136" s="54"/>
      <c r="OAC136" s="8"/>
      <c r="OAD136" s="54"/>
      <c r="OAE136" s="8"/>
      <c r="OAF136" s="54"/>
      <c r="OAG136" s="8"/>
      <c r="OAH136" s="54"/>
      <c r="OAI136" s="8"/>
      <c r="OAJ136" s="54"/>
      <c r="OAK136" s="8"/>
      <c r="OAL136" s="54"/>
      <c r="OAM136" s="8"/>
      <c r="OAN136" s="54"/>
      <c r="OAO136" s="8"/>
      <c r="OAP136" s="54"/>
      <c r="OAQ136" s="8"/>
      <c r="OAR136" s="54"/>
      <c r="OAS136" s="8"/>
      <c r="OAT136" s="54"/>
      <c r="OAU136" s="8"/>
      <c r="OAV136" s="54"/>
      <c r="OAW136" s="8"/>
      <c r="OAX136" s="54"/>
      <c r="OAY136" s="8"/>
      <c r="OAZ136" s="54"/>
      <c r="OBA136" s="8"/>
      <c r="OBB136" s="54"/>
      <c r="OBC136" s="8"/>
      <c r="OBD136" s="54"/>
      <c r="OBE136" s="8"/>
      <c r="OBF136" s="54"/>
      <c r="OBG136" s="8"/>
      <c r="OBH136" s="54"/>
      <c r="OBI136" s="8"/>
      <c r="OBJ136" s="54"/>
      <c r="OBK136" s="8"/>
      <c r="OBL136" s="54"/>
      <c r="OBM136" s="8"/>
      <c r="OBN136" s="54"/>
      <c r="OBO136" s="8"/>
      <c r="OBP136" s="54"/>
      <c r="OBQ136" s="8"/>
      <c r="OBR136" s="54"/>
      <c r="OBS136" s="8"/>
      <c r="OBT136" s="54"/>
      <c r="OBU136" s="8"/>
      <c r="OBV136" s="54"/>
      <c r="OBW136" s="8"/>
      <c r="OBX136" s="54"/>
      <c r="OBY136" s="8"/>
      <c r="OBZ136" s="54"/>
      <c r="OCA136" s="8"/>
      <c r="OCB136" s="54"/>
      <c r="OCC136" s="8"/>
      <c r="OCD136" s="54"/>
      <c r="OCE136" s="8"/>
      <c r="OCF136" s="54"/>
      <c r="OCG136" s="8"/>
      <c r="OCH136" s="54"/>
      <c r="OCI136" s="8"/>
      <c r="OCJ136" s="54"/>
      <c r="OCK136" s="8"/>
      <c r="OCL136" s="54"/>
      <c r="OCM136" s="8"/>
      <c r="OCN136" s="54"/>
      <c r="OCO136" s="8"/>
      <c r="OCP136" s="54"/>
      <c r="OCQ136" s="8"/>
      <c r="OCR136" s="54"/>
      <c r="OCS136" s="8"/>
      <c r="OCT136" s="54"/>
      <c r="OCU136" s="8"/>
      <c r="OCV136" s="54"/>
      <c r="OCW136" s="8"/>
      <c r="OCX136" s="54"/>
      <c r="OCY136" s="8"/>
      <c r="OCZ136" s="54"/>
      <c r="ODA136" s="8"/>
      <c r="ODB136" s="54"/>
      <c r="ODC136" s="8"/>
      <c r="ODD136" s="54"/>
      <c r="ODE136" s="8"/>
      <c r="ODF136" s="54"/>
      <c r="ODG136" s="8"/>
      <c r="ODH136" s="54"/>
      <c r="ODI136" s="8"/>
      <c r="ODJ136" s="54"/>
      <c r="ODK136" s="8"/>
      <c r="ODL136" s="54"/>
      <c r="ODM136" s="8"/>
      <c r="ODN136" s="54"/>
      <c r="ODO136" s="8"/>
      <c r="ODP136" s="54"/>
      <c r="ODQ136" s="8"/>
      <c r="ODR136" s="54"/>
      <c r="ODS136" s="8"/>
      <c r="ODT136" s="54"/>
      <c r="ODU136" s="8"/>
      <c r="ODV136" s="54"/>
      <c r="ODW136" s="8"/>
      <c r="ODX136" s="54"/>
      <c r="ODY136" s="8"/>
      <c r="ODZ136" s="54"/>
      <c r="OEA136" s="8"/>
      <c r="OEB136" s="54"/>
      <c r="OEC136" s="8"/>
      <c r="OED136" s="54"/>
      <c r="OEE136" s="8"/>
      <c r="OEF136" s="54"/>
      <c r="OEG136" s="8"/>
      <c r="OEH136" s="54"/>
      <c r="OEI136" s="8"/>
      <c r="OEJ136" s="54"/>
      <c r="OEK136" s="8"/>
      <c r="OEL136" s="54"/>
      <c r="OEM136" s="8"/>
      <c r="OEN136" s="54"/>
      <c r="OEO136" s="8"/>
      <c r="OEP136" s="54"/>
      <c r="OEQ136" s="8"/>
      <c r="OER136" s="54"/>
      <c r="OES136" s="8"/>
      <c r="OET136" s="54"/>
      <c r="OEU136" s="8"/>
      <c r="OEV136" s="54"/>
      <c r="OEW136" s="8"/>
      <c r="OEX136" s="54"/>
      <c r="OEY136" s="8"/>
      <c r="OEZ136" s="54"/>
      <c r="OFA136" s="8"/>
      <c r="OFB136" s="54"/>
      <c r="OFC136" s="8"/>
      <c r="OFD136" s="54"/>
      <c r="OFE136" s="8"/>
      <c r="OFF136" s="54"/>
      <c r="OFG136" s="8"/>
      <c r="OFH136" s="54"/>
      <c r="OFI136" s="8"/>
      <c r="OFJ136" s="54"/>
      <c r="OFK136" s="8"/>
      <c r="OFL136" s="54"/>
      <c r="OFM136" s="8"/>
      <c r="OFN136" s="54"/>
      <c r="OFO136" s="8"/>
      <c r="OFP136" s="54"/>
      <c r="OFQ136" s="8"/>
      <c r="OFR136" s="54"/>
      <c r="OFS136" s="8"/>
      <c r="OFT136" s="54"/>
      <c r="OFU136" s="8"/>
      <c r="OFV136" s="54"/>
      <c r="OFW136" s="8"/>
      <c r="OFX136" s="54"/>
      <c r="OFY136" s="8"/>
      <c r="OFZ136" s="54"/>
      <c r="OGA136" s="8"/>
      <c r="OGB136" s="54"/>
      <c r="OGC136" s="8"/>
      <c r="OGD136" s="54"/>
      <c r="OGE136" s="8"/>
      <c r="OGF136" s="54"/>
      <c r="OGG136" s="8"/>
      <c r="OGH136" s="54"/>
      <c r="OGI136" s="8"/>
      <c r="OGJ136" s="54"/>
      <c r="OGK136" s="8"/>
      <c r="OGL136" s="54"/>
      <c r="OGM136" s="8"/>
      <c r="OGN136" s="54"/>
      <c r="OGO136" s="8"/>
      <c r="OGP136" s="54"/>
      <c r="OGQ136" s="8"/>
      <c r="OGR136" s="54"/>
      <c r="OGS136" s="8"/>
      <c r="OGT136" s="54"/>
      <c r="OGU136" s="8"/>
      <c r="OGV136" s="54"/>
      <c r="OGW136" s="8"/>
      <c r="OGX136" s="54"/>
      <c r="OGY136" s="8"/>
      <c r="OGZ136" s="54"/>
      <c r="OHA136" s="8"/>
      <c r="OHB136" s="54"/>
      <c r="OHC136" s="8"/>
      <c r="OHD136" s="54"/>
      <c r="OHE136" s="8"/>
      <c r="OHF136" s="54"/>
      <c r="OHG136" s="8"/>
      <c r="OHH136" s="54"/>
      <c r="OHI136" s="8"/>
      <c r="OHJ136" s="54"/>
      <c r="OHK136" s="8"/>
      <c r="OHL136" s="54"/>
      <c r="OHM136" s="8"/>
      <c r="OHN136" s="54"/>
      <c r="OHO136" s="8"/>
      <c r="OHP136" s="54"/>
      <c r="OHQ136" s="8"/>
      <c r="OHR136" s="54"/>
      <c r="OHS136" s="8"/>
      <c r="OHT136" s="54"/>
      <c r="OHU136" s="8"/>
      <c r="OHV136" s="54"/>
      <c r="OHW136" s="8"/>
      <c r="OHX136" s="54"/>
      <c r="OHY136" s="8"/>
      <c r="OHZ136" s="54"/>
      <c r="OIA136" s="8"/>
      <c r="OIB136" s="54"/>
      <c r="OIC136" s="8"/>
      <c r="OID136" s="54"/>
      <c r="OIE136" s="8"/>
      <c r="OIF136" s="54"/>
      <c r="OIG136" s="8"/>
      <c r="OIH136" s="54"/>
      <c r="OII136" s="8"/>
      <c r="OIJ136" s="54"/>
      <c r="OIK136" s="8"/>
      <c r="OIL136" s="54"/>
      <c r="OIM136" s="8"/>
      <c r="OIN136" s="54"/>
      <c r="OIO136" s="8"/>
      <c r="OIP136" s="54"/>
      <c r="OIQ136" s="8"/>
      <c r="OIR136" s="54"/>
      <c r="OIS136" s="8"/>
      <c r="OIT136" s="54"/>
      <c r="OIU136" s="8"/>
      <c r="OIV136" s="54"/>
      <c r="OIW136" s="8"/>
      <c r="OIX136" s="54"/>
      <c r="OIY136" s="8"/>
      <c r="OIZ136" s="54"/>
      <c r="OJA136" s="8"/>
      <c r="OJB136" s="54"/>
      <c r="OJC136" s="8"/>
      <c r="OJD136" s="54"/>
      <c r="OJE136" s="8"/>
      <c r="OJF136" s="54"/>
      <c r="OJG136" s="8"/>
      <c r="OJH136" s="54"/>
      <c r="OJI136" s="8"/>
      <c r="OJJ136" s="54"/>
      <c r="OJK136" s="8"/>
      <c r="OJL136" s="54"/>
      <c r="OJM136" s="8"/>
      <c r="OJN136" s="54"/>
      <c r="OJO136" s="8"/>
      <c r="OJP136" s="54"/>
      <c r="OJQ136" s="8"/>
      <c r="OJR136" s="54"/>
      <c r="OJS136" s="8"/>
      <c r="OJT136" s="54"/>
      <c r="OJU136" s="8"/>
      <c r="OJV136" s="54"/>
      <c r="OJW136" s="8"/>
      <c r="OJX136" s="54"/>
      <c r="OJY136" s="8"/>
      <c r="OJZ136" s="54"/>
      <c r="OKA136" s="8"/>
      <c r="OKB136" s="54"/>
      <c r="OKC136" s="8"/>
      <c r="OKD136" s="54"/>
      <c r="OKE136" s="8"/>
      <c r="OKF136" s="54"/>
      <c r="OKG136" s="8"/>
      <c r="OKH136" s="54"/>
      <c r="OKI136" s="8"/>
      <c r="OKJ136" s="54"/>
      <c r="OKK136" s="8"/>
      <c r="OKL136" s="54"/>
      <c r="OKM136" s="8"/>
      <c r="OKN136" s="54"/>
      <c r="OKO136" s="8"/>
      <c r="OKP136" s="54"/>
      <c r="OKQ136" s="8"/>
      <c r="OKR136" s="54"/>
      <c r="OKS136" s="8"/>
      <c r="OKT136" s="54"/>
      <c r="OKU136" s="8"/>
      <c r="OKV136" s="54"/>
      <c r="OKW136" s="8"/>
      <c r="OKX136" s="54"/>
      <c r="OKY136" s="8"/>
      <c r="OKZ136" s="54"/>
      <c r="OLA136" s="8"/>
      <c r="OLB136" s="54"/>
      <c r="OLC136" s="8"/>
      <c r="OLD136" s="54"/>
      <c r="OLE136" s="8"/>
      <c r="OLF136" s="54"/>
      <c r="OLG136" s="8"/>
      <c r="OLH136" s="54"/>
      <c r="OLI136" s="8"/>
      <c r="OLJ136" s="54"/>
      <c r="OLK136" s="8"/>
      <c r="OLL136" s="54"/>
      <c r="OLM136" s="8"/>
      <c r="OLN136" s="54"/>
      <c r="OLO136" s="8"/>
      <c r="OLP136" s="54"/>
      <c r="OLQ136" s="8"/>
      <c r="OLR136" s="54"/>
      <c r="OLS136" s="8"/>
      <c r="OLT136" s="54"/>
      <c r="OLU136" s="8"/>
      <c r="OLV136" s="54"/>
      <c r="OLW136" s="8"/>
      <c r="OLX136" s="54"/>
      <c r="OLY136" s="8"/>
      <c r="OLZ136" s="54"/>
      <c r="OMA136" s="8"/>
      <c r="OMB136" s="54"/>
      <c r="OMC136" s="8"/>
      <c r="OMD136" s="54"/>
      <c r="OME136" s="8"/>
      <c r="OMF136" s="54"/>
      <c r="OMG136" s="8"/>
      <c r="OMH136" s="54"/>
      <c r="OMI136" s="8"/>
      <c r="OMJ136" s="54"/>
      <c r="OMK136" s="8"/>
      <c r="OML136" s="54"/>
      <c r="OMM136" s="8"/>
      <c r="OMN136" s="54"/>
      <c r="OMO136" s="8"/>
      <c r="OMP136" s="54"/>
      <c r="OMQ136" s="8"/>
      <c r="OMR136" s="54"/>
      <c r="OMS136" s="8"/>
      <c r="OMT136" s="54"/>
      <c r="OMU136" s="8"/>
      <c r="OMV136" s="54"/>
      <c r="OMW136" s="8"/>
      <c r="OMX136" s="54"/>
      <c r="OMY136" s="8"/>
      <c r="OMZ136" s="54"/>
      <c r="ONA136" s="8"/>
      <c r="ONB136" s="54"/>
      <c r="ONC136" s="8"/>
      <c r="OND136" s="54"/>
      <c r="ONE136" s="8"/>
      <c r="ONF136" s="54"/>
      <c r="ONG136" s="8"/>
      <c r="ONH136" s="54"/>
      <c r="ONI136" s="8"/>
      <c r="ONJ136" s="54"/>
      <c r="ONK136" s="8"/>
      <c r="ONL136" s="54"/>
      <c r="ONM136" s="8"/>
      <c r="ONN136" s="54"/>
      <c r="ONO136" s="8"/>
      <c r="ONP136" s="54"/>
      <c r="ONQ136" s="8"/>
      <c r="ONR136" s="54"/>
      <c r="ONS136" s="8"/>
      <c r="ONT136" s="54"/>
      <c r="ONU136" s="8"/>
      <c r="ONV136" s="54"/>
      <c r="ONW136" s="8"/>
      <c r="ONX136" s="54"/>
      <c r="ONY136" s="8"/>
      <c r="ONZ136" s="54"/>
      <c r="OOA136" s="8"/>
      <c r="OOB136" s="54"/>
      <c r="OOC136" s="8"/>
      <c r="OOD136" s="54"/>
      <c r="OOE136" s="8"/>
      <c r="OOF136" s="54"/>
      <c r="OOG136" s="8"/>
      <c r="OOH136" s="54"/>
      <c r="OOI136" s="8"/>
      <c r="OOJ136" s="54"/>
      <c r="OOK136" s="8"/>
      <c r="OOL136" s="54"/>
      <c r="OOM136" s="8"/>
      <c r="OON136" s="54"/>
      <c r="OOO136" s="8"/>
      <c r="OOP136" s="54"/>
      <c r="OOQ136" s="8"/>
      <c r="OOR136" s="54"/>
      <c r="OOS136" s="8"/>
      <c r="OOT136" s="54"/>
      <c r="OOU136" s="8"/>
      <c r="OOV136" s="54"/>
      <c r="OOW136" s="8"/>
      <c r="OOX136" s="54"/>
      <c r="OOY136" s="8"/>
      <c r="OOZ136" s="54"/>
      <c r="OPA136" s="8"/>
      <c r="OPB136" s="54"/>
      <c r="OPC136" s="8"/>
      <c r="OPD136" s="54"/>
      <c r="OPE136" s="8"/>
      <c r="OPF136" s="54"/>
      <c r="OPG136" s="8"/>
      <c r="OPH136" s="54"/>
      <c r="OPI136" s="8"/>
      <c r="OPJ136" s="54"/>
      <c r="OPK136" s="8"/>
      <c r="OPL136" s="54"/>
      <c r="OPM136" s="8"/>
      <c r="OPN136" s="54"/>
      <c r="OPO136" s="8"/>
      <c r="OPP136" s="54"/>
      <c r="OPQ136" s="8"/>
      <c r="OPR136" s="54"/>
      <c r="OPS136" s="8"/>
      <c r="OPT136" s="54"/>
      <c r="OPU136" s="8"/>
      <c r="OPV136" s="54"/>
      <c r="OPW136" s="8"/>
      <c r="OPX136" s="54"/>
      <c r="OPY136" s="8"/>
      <c r="OPZ136" s="54"/>
      <c r="OQA136" s="8"/>
      <c r="OQB136" s="54"/>
      <c r="OQC136" s="8"/>
      <c r="OQD136" s="54"/>
      <c r="OQE136" s="8"/>
      <c r="OQF136" s="54"/>
      <c r="OQG136" s="8"/>
      <c r="OQH136" s="54"/>
      <c r="OQI136" s="8"/>
      <c r="OQJ136" s="54"/>
      <c r="OQK136" s="8"/>
      <c r="OQL136" s="54"/>
      <c r="OQM136" s="8"/>
      <c r="OQN136" s="54"/>
      <c r="OQO136" s="8"/>
      <c r="OQP136" s="54"/>
      <c r="OQQ136" s="8"/>
      <c r="OQR136" s="54"/>
      <c r="OQS136" s="8"/>
      <c r="OQT136" s="54"/>
      <c r="OQU136" s="8"/>
      <c r="OQV136" s="54"/>
      <c r="OQW136" s="8"/>
      <c r="OQX136" s="54"/>
      <c r="OQY136" s="8"/>
      <c r="OQZ136" s="54"/>
      <c r="ORA136" s="8"/>
      <c r="ORB136" s="54"/>
      <c r="ORC136" s="8"/>
      <c r="ORD136" s="54"/>
      <c r="ORE136" s="8"/>
      <c r="ORF136" s="54"/>
      <c r="ORG136" s="8"/>
      <c r="ORH136" s="54"/>
      <c r="ORI136" s="8"/>
      <c r="ORJ136" s="54"/>
      <c r="ORK136" s="8"/>
      <c r="ORL136" s="54"/>
      <c r="ORM136" s="8"/>
      <c r="ORN136" s="54"/>
      <c r="ORO136" s="8"/>
      <c r="ORP136" s="54"/>
      <c r="ORQ136" s="8"/>
      <c r="ORR136" s="54"/>
      <c r="ORS136" s="8"/>
      <c r="ORT136" s="54"/>
      <c r="ORU136" s="8"/>
      <c r="ORV136" s="54"/>
      <c r="ORW136" s="8"/>
      <c r="ORX136" s="54"/>
      <c r="ORY136" s="8"/>
      <c r="ORZ136" s="54"/>
      <c r="OSA136" s="8"/>
      <c r="OSB136" s="54"/>
      <c r="OSC136" s="8"/>
      <c r="OSD136" s="54"/>
      <c r="OSE136" s="8"/>
      <c r="OSF136" s="54"/>
      <c r="OSG136" s="8"/>
      <c r="OSH136" s="54"/>
      <c r="OSI136" s="8"/>
      <c r="OSJ136" s="54"/>
      <c r="OSK136" s="8"/>
      <c r="OSL136" s="54"/>
      <c r="OSM136" s="8"/>
      <c r="OSN136" s="54"/>
      <c r="OSO136" s="8"/>
      <c r="OSP136" s="54"/>
      <c r="OSQ136" s="8"/>
      <c r="OSR136" s="54"/>
      <c r="OSS136" s="8"/>
      <c r="OST136" s="54"/>
      <c r="OSU136" s="8"/>
      <c r="OSV136" s="54"/>
      <c r="OSW136" s="8"/>
      <c r="OSX136" s="54"/>
      <c r="OSY136" s="8"/>
      <c r="OSZ136" s="54"/>
      <c r="OTA136" s="8"/>
      <c r="OTB136" s="54"/>
      <c r="OTC136" s="8"/>
      <c r="OTD136" s="54"/>
      <c r="OTE136" s="8"/>
      <c r="OTF136" s="54"/>
      <c r="OTG136" s="8"/>
      <c r="OTH136" s="54"/>
      <c r="OTI136" s="8"/>
      <c r="OTJ136" s="54"/>
      <c r="OTK136" s="8"/>
      <c r="OTL136" s="54"/>
      <c r="OTM136" s="8"/>
      <c r="OTN136" s="54"/>
      <c r="OTO136" s="8"/>
      <c r="OTP136" s="54"/>
      <c r="OTQ136" s="8"/>
      <c r="OTR136" s="54"/>
      <c r="OTS136" s="8"/>
      <c r="OTT136" s="54"/>
      <c r="OTU136" s="8"/>
      <c r="OTV136" s="54"/>
      <c r="OTW136" s="8"/>
      <c r="OTX136" s="54"/>
      <c r="OTY136" s="8"/>
      <c r="OTZ136" s="54"/>
      <c r="OUA136" s="8"/>
      <c r="OUB136" s="54"/>
      <c r="OUC136" s="8"/>
      <c r="OUD136" s="54"/>
      <c r="OUE136" s="8"/>
      <c r="OUF136" s="54"/>
      <c r="OUG136" s="8"/>
      <c r="OUH136" s="54"/>
      <c r="OUI136" s="8"/>
      <c r="OUJ136" s="54"/>
      <c r="OUK136" s="8"/>
      <c r="OUL136" s="54"/>
      <c r="OUM136" s="8"/>
      <c r="OUN136" s="54"/>
      <c r="OUO136" s="8"/>
      <c r="OUP136" s="54"/>
      <c r="OUQ136" s="8"/>
      <c r="OUR136" s="54"/>
      <c r="OUS136" s="8"/>
      <c r="OUT136" s="54"/>
      <c r="OUU136" s="8"/>
      <c r="OUV136" s="54"/>
      <c r="OUW136" s="8"/>
      <c r="OUX136" s="54"/>
      <c r="OUY136" s="8"/>
      <c r="OUZ136" s="54"/>
      <c r="OVA136" s="8"/>
      <c r="OVB136" s="54"/>
      <c r="OVC136" s="8"/>
      <c r="OVD136" s="54"/>
      <c r="OVE136" s="8"/>
      <c r="OVF136" s="54"/>
      <c r="OVG136" s="8"/>
      <c r="OVH136" s="54"/>
      <c r="OVI136" s="8"/>
      <c r="OVJ136" s="54"/>
      <c r="OVK136" s="8"/>
      <c r="OVL136" s="54"/>
      <c r="OVM136" s="8"/>
      <c r="OVN136" s="54"/>
      <c r="OVO136" s="8"/>
      <c r="OVP136" s="54"/>
      <c r="OVQ136" s="8"/>
      <c r="OVR136" s="54"/>
      <c r="OVS136" s="8"/>
      <c r="OVT136" s="54"/>
      <c r="OVU136" s="8"/>
      <c r="OVV136" s="54"/>
      <c r="OVW136" s="8"/>
      <c r="OVX136" s="54"/>
      <c r="OVY136" s="8"/>
      <c r="OVZ136" s="54"/>
      <c r="OWA136" s="8"/>
      <c r="OWB136" s="54"/>
      <c r="OWC136" s="8"/>
      <c r="OWD136" s="54"/>
      <c r="OWE136" s="8"/>
      <c r="OWF136" s="54"/>
      <c r="OWG136" s="8"/>
      <c r="OWH136" s="54"/>
      <c r="OWI136" s="8"/>
      <c r="OWJ136" s="54"/>
      <c r="OWK136" s="8"/>
      <c r="OWL136" s="54"/>
      <c r="OWM136" s="8"/>
      <c r="OWN136" s="54"/>
      <c r="OWO136" s="8"/>
      <c r="OWP136" s="54"/>
      <c r="OWQ136" s="8"/>
      <c r="OWR136" s="54"/>
      <c r="OWS136" s="8"/>
      <c r="OWT136" s="54"/>
      <c r="OWU136" s="8"/>
      <c r="OWV136" s="54"/>
      <c r="OWW136" s="8"/>
      <c r="OWX136" s="54"/>
      <c r="OWY136" s="8"/>
      <c r="OWZ136" s="54"/>
      <c r="OXA136" s="8"/>
      <c r="OXB136" s="54"/>
      <c r="OXC136" s="8"/>
      <c r="OXD136" s="54"/>
      <c r="OXE136" s="8"/>
      <c r="OXF136" s="54"/>
      <c r="OXG136" s="8"/>
      <c r="OXH136" s="54"/>
      <c r="OXI136" s="8"/>
      <c r="OXJ136" s="54"/>
      <c r="OXK136" s="8"/>
      <c r="OXL136" s="54"/>
      <c r="OXM136" s="8"/>
      <c r="OXN136" s="54"/>
      <c r="OXO136" s="8"/>
      <c r="OXP136" s="54"/>
      <c r="OXQ136" s="8"/>
      <c r="OXR136" s="54"/>
      <c r="OXS136" s="8"/>
      <c r="OXT136" s="54"/>
      <c r="OXU136" s="8"/>
      <c r="OXV136" s="54"/>
      <c r="OXW136" s="8"/>
      <c r="OXX136" s="54"/>
      <c r="OXY136" s="8"/>
      <c r="OXZ136" s="54"/>
      <c r="OYA136" s="8"/>
      <c r="OYB136" s="54"/>
      <c r="OYC136" s="8"/>
      <c r="OYD136" s="54"/>
      <c r="OYE136" s="8"/>
      <c r="OYF136" s="54"/>
      <c r="OYG136" s="8"/>
      <c r="OYH136" s="54"/>
      <c r="OYI136" s="8"/>
      <c r="OYJ136" s="54"/>
      <c r="OYK136" s="8"/>
      <c r="OYL136" s="54"/>
      <c r="OYM136" s="8"/>
      <c r="OYN136" s="54"/>
      <c r="OYO136" s="8"/>
      <c r="OYP136" s="54"/>
      <c r="OYQ136" s="8"/>
      <c r="OYR136" s="54"/>
      <c r="OYS136" s="8"/>
      <c r="OYT136" s="54"/>
      <c r="OYU136" s="8"/>
      <c r="OYV136" s="54"/>
      <c r="OYW136" s="8"/>
      <c r="OYX136" s="54"/>
      <c r="OYY136" s="8"/>
      <c r="OYZ136" s="54"/>
      <c r="OZA136" s="8"/>
      <c r="OZB136" s="54"/>
      <c r="OZC136" s="8"/>
      <c r="OZD136" s="54"/>
      <c r="OZE136" s="8"/>
      <c r="OZF136" s="54"/>
      <c r="OZG136" s="8"/>
      <c r="OZH136" s="54"/>
      <c r="OZI136" s="8"/>
      <c r="OZJ136" s="54"/>
      <c r="OZK136" s="8"/>
      <c r="OZL136" s="54"/>
      <c r="OZM136" s="8"/>
      <c r="OZN136" s="54"/>
      <c r="OZO136" s="8"/>
      <c r="OZP136" s="54"/>
      <c r="OZQ136" s="8"/>
      <c r="OZR136" s="54"/>
      <c r="OZS136" s="8"/>
      <c r="OZT136" s="54"/>
      <c r="OZU136" s="8"/>
      <c r="OZV136" s="54"/>
      <c r="OZW136" s="8"/>
      <c r="OZX136" s="54"/>
      <c r="OZY136" s="8"/>
      <c r="OZZ136" s="54"/>
      <c r="PAA136" s="8"/>
      <c r="PAB136" s="54"/>
      <c r="PAC136" s="8"/>
      <c r="PAD136" s="54"/>
      <c r="PAE136" s="8"/>
      <c r="PAF136" s="54"/>
      <c r="PAG136" s="8"/>
      <c r="PAH136" s="54"/>
      <c r="PAI136" s="8"/>
      <c r="PAJ136" s="54"/>
      <c r="PAK136" s="8"/>
      <c r="PAL136" s="54"/>
      <c r="PAM136" s="8"/>
      <c r="PAN136" s="54"/>
      <c r="PAO136" s="8"/>
      <c r="PAP136" s="54"/>
      <c r="PAQ136" s="8"/>
      <c r="PAR136" s="54"/>
      <c r="PAS136" s="8"/>
      <c r="PAT136" s="54"/>
      <c r="PAU136" s="8"/>
      <c r="PAV136" s="54"/>
      <c r="PAW136" s="8"/>
      <c r="PAX136" s="54"/>
      <c r="PAY136" s="8"/>
      <c r="PAZ136" s="54"/>
      <c r="PBA136" s="8"/>
      <c r="PBB136" s="54"/>
      <c r="PBC136" s="8"/>
      <c r="PBD136" s="54"/>
      <c r="PBE136" s="8"/>
      <c r="PBF136" s="54"/>
      <c r="PBG136" s="8"/>
      <c r="PBH136" s="54"/>
      <c r="PBI136" s="8"/>
      <c r="PBJ136" s="54"/>
      <c r="PBK136" s="8"/>
      <c r="PBL136" s="54"/>
      <c r="PBM136" s="8"/>
      <c r="PBN136" s="54"/>
      <c r="PBO136" s="8"/>
      <c r="PBP136" s="54"/>
      <c r="PBQ136" s="8"/>
      <c r="PBR136" s="54"/>
      <c r="PBS136" s="8"/>
      <c r="PBT136" s="54"/>
      <c r="PBU136" s="8"/>
      <c r="PBV136" s="54"/>
      <c r="PBW136" s="8"/>
      <c r="PBX136" s="54"/>
      <c r="PBY136" s="8"/>
      <c r="PBZ136" s="54"/>
      <c r="PCA136" s="8"/>
      <c r="PCB136" s="54"/>
      <c r="PCC136" s="8"/>
      <c r="PCD136" s="54"/>
      <c r="PCE136" s="8"/>
      <c r="PCF136" s="54"/>
      <c r="PCG136" s="8"/>
      <c r="PCH136" s="54"/>
      <c r="PCI136" s="8"/>
      <c r="PCJ136" s="54"/>
      <c r="PCK136" s="8"/>
      <c r="PCL136" s="54"/>
      <c r="PCM136" s="8"/>
      <c r="PCN136" s="54"/>
      <c r="PCO136" s="8"/>
      <c r="PCP136" s="54"/>
      <c r="PCQ136" s="8"/>
      <c r="PCR136" s="54"/>
      <c r="PCS136" s="8"/>
      <c r="PCT136" s="54"/>
      <c r="PCU136" s="8"/>
      <c r="PCV136" s="54"/>
      <c r="PCW136" s="8"/>
      <c r="PCX136" s="54"/>
      <c r="PCY136" s="8"/>
      <c r="PCZ136" s="54"/>
      <c r="PDA136" s="8"/>
      <c r="PDB136" s="54"/>
      <c r="PDC136" s="8"/>
      <c r="PDD136" s="54"/>
      <c r="PDE136" s="8"/>
      <c r="PDF136" s="54"/>
      <c r="PDG136" s="8"/>
      <c r="PDH136" s="54"/>
      <c r="PDI136" s="8"/>
      <c r="PDJ136" s="54"/>
      <c r="PDK136" s="8"/>
      <c r="PDL136" s="54"/>
      <c r="PDM136" s="8"/>
      <c r="PDN136" s="54"/>
      <c r="PDO136" s="8"/>
      <c r="PDP136" s="54"/>
      <c r="PDQ136" s="8"/>
      <c r="PDR136" s="54"/>
      <c r="PDS136" s="8"/>
      <c r="PDT136" s="54"/>
      <c r="PDU136" s="8"/>
      <c r="PDV136" s="54"/>
      <c r="PDW136" s="8"/>
      <c r="PDX136" s="54"/>
      <c r="PDY136" s="8"/>
      <c r="PDZ136" s="54"/>
      <c r="PEA136" s="8"/>
      <c r="PEB136" s="54"/>
      <c r="PEC136" s="8"/>
      <c r="PED136" s="54"/>
      <c r="PEE136" s="8"/>
      <c r="PEF136" s="54"/>
      <c r="PEG136" s="8"/>
      <c r="PEH136" s="54"/>
      <c r="PEI136" s="8"/>
      <c r="PEJ136" s="54"/>
      <c r="PEK136" s="8"/>
      <c r="PEL136" s="54"/>
      <c r="PEM136" s="8"/>
      <c r="PEN136" s="54"/>
      <c r="PEO136" s="8"/>
      <c r="PEP136" s="54"/>
      <c r="PEQ136" s="8"/>
      <c r="PER136" s="54"/>
      <c r="PES136" s="8"/>
      <c r="PET136" s="54"/>
      <c r="PEU136" s="8"/>
      <c r="PEV136" s="54"/>
      <c r="PEW136" s="8"/>
      <c r="PEX136" s="54"/>
      <c r="PEY136" s="8"/>
      <c r="PEZ136" s="54"/>
      <c r="PFA136" s="8"/>
      <c r="PFB136" s="54"/>
      <c r="PFC136" s="8"/>
      <c r="PFD136" s="54"/>
      <c r="PFE136" s="8"/>
      <c r="PFF136" s="54"/>
      <c r="PFG136" s="8"/>
      <c r="PFH136" s="54"/>
      <c r="PFI136" s="8"/>
      <c r="PFJ136" s="54"/>
      <c r="PFK136" s="8"/>
      <c r="PFL136" s="54"/>
      <c r="PFM136" s="8"/>
      <c r="PFN136" s="54"/>
      <c r="PFO136" s="8"/>
      <c r="PFP136" s="54"/>
      <c r="PFQ136" s="8"/>
      <c r="PFR136" s="54"/>
      <c r="PFS136" s="8"/>
      <c r="PFT136" s="54"/>
      <c r="PFU136" s="8"/>
      <c r="PFV136" s="54"/>
      <c r="PFW136" s="8"/>
      <c r="PFX136" s="54"/>
      <c r="PFY136" s="8"/>
      <c r="PFZ136" s="54"/>
      <c r="PGA136" s="8"/>
      <c r="PGB136" s="54"/>
      <c r="PGC136" s="8"/>
      <c r="PGD136" s="54"/>
      <c r="PGE136" s="8"/>
      <c r="PGF136" s="54"/>
      <c r="PGG136" s="8"/>
      <c r="PGH136" s="54"/>
      <c r="PGI136" s="8"/>
      <c r="PGJ136" s="54"/>
      <c r="PGK136" s="8"/>
      <c r="PGL136" s="54"/>
      <c r="PGM136" s="8"/>
      <c r="PGN136" s="54"/>
      <c r="PGO136" s="8"/>
      <c r="PGP136" s="54"/>
      <c r="PGQ136" s="8"/>
      <c r="PGR136" s="54"/>
      <c r="PGS136" s="8"/>
      <c r="PGT136" s="54"/>
      <c r="PGU136" s="8"/>
      <c r="PGV136" s="54"/>
      <c r="PGW136" s="8"/>
      <c r="PGX136" s="54"/>
      <c r="PGY136" s="8"/>
      <c r="PGZ136" s="54"/>
      <c r="PHA136" s="8"/>
      <c r="PHB136" s="54"/>
      <c r="PHC136" s="8"/>
      <c r="PHD136" s="54"/>
      <c r="PHE136" s="8"/>
      <c r="PHF136" s="54"/>
      <c r="PHG136" s="8"/>
      <c r="PHH136" s="54"/>
      <c r="PHI136" s="8"/>
      <c r="PHJ136" s="54"/>
      <c r="PHK136" s="8"/>
      <c r="PHL136" s="54"/>
      <c r="PHM136" s="8"/>
      <c r="PHN136" s="54"/>
      <c r="PHO136" s="8"/>
      <c r="PHP136" s="54"/>
      <c r="PHQ136" s="8"/>
      <c r="PHR136" s="54"/>
      <c r="PHS136" s="8"/>
      <c r="PHT136" s="54"/>
      <c r="PHU136" s="8"/>
      <c r="PHV136" s="54"/>
      <c r="PHW136" s="8"/>
      <c r="PHX136" s="54"/>
      <c r="PHY136" s="8"/>
      <c r="PHZ136" s="54"/>
      <c r="PIA136" s="8"/>
      <c r="PIB136" s="54"/>
      <c r="PIC136" s="8"/>
      <c r="PID136" s="54"/>
      <c r="PIE136" s="8"/>
      <c r="PIF136" s="54"/>
      <c r="PIG136" s="8"/>
      <c r="PIH136" s="54"/>
      <c r="PII136" s="8"/>
      <c r="PIJ136" s="54"/>
      <c r="PIK136" s="8"/>
      <c r="PIL136" s="54"/>
      <c r="PIM136" s="8"/>
      <c r="PIN136" s="54"/>
      <c r="PIO136" s="8"/>
      <c r="PIP136" s="54"/>
      <c r="PIQ136" s="8"/>
      <c r="PIR136" s="54"/>
      <c r="PIS136" s="8"/>
      <c r="PIT136" s="54"/>
      <c r="PIU136" s="8"/>
      <c r="PIV136" s="54"/>
      <c r="PIW136" s="8"/>
      <c r="PIX136" s="54"/>
      <c r="PIY136" s="8"/>
      <c r="PIZ136" s="54"/>
      <c r="PJA136" s="8"/>
      <c r="PJB136" s="54"/>
      <c r="PJC136" s="8"/>
      <c r="PJD136" s="54"/>
      <c r="PJE136" s="8"/>
      <c r="PJF136" s="54"/>
      <c r="PJG136" s="8"/>
      <c r="PJH136" s="54"/>
      <c r="PJI136" s="8"/>
      <c r="PJJ136" s="54"/>
      <c r="PJK136" s="8"/>
      <c r="PJL136" s="54"/>
      <c r="PJM136" s="8"/>
      <c r="PJN136" s="54"/>
      <c r="PJO136" s="8"/>
      <c r="PJP136" s="54"/>
      <c r="PJQ136" s="8"/>
      <c r="PJR136" s="54"/>
      <c r="PJS136" s="8"/>
      <c r="PJT136" s="54"/>
      <c r="PJU136" s="8"/>
      <c r="PJV136" s="54"/>
      <c r="PJW136" s="8"/>
      <c r="PJX136" s="54"/>
      <c r="PJY136" s="8"/>
      <c r="PJZ136" s="54"/>
      <c r="PKA136" s="8"/>
      <c r="PKB136" s="54"/>
      <c r="PKC136" s="8"/>
      <c r="PKD136" s="54"/>
      <c r="PKE136" s="8"/>
      <c r="PKF136" s="54"/>
      <c r="PKG136" s="8"/>
      <c r="PKH136" s="54"/>
      <c r="PKI136" s="8"/>
      <c r="PKJ136" s="54"/>
      <c r="PKK136" s="8"/>
      <c r="PKL136" s="54"/>
      <c r="PKM136" s="8"/>
      <c r="PKN136" s="54"/>
      <c r="PKO136" s="8"/>
      <c r="PKP136" s="54"/>
      <c r="PKQ136" s="8"/>
      <c r="PKR136" s="54"/>
      <c r="PKS136" s="8"/>
      <c r="PKT136" s="54"/>
      <c r="PKU136" s="8"/>
      <c r="PKV136" s="54"/>
      <c r="PKW136" s="8"/>
      <c r="PKX136" s="54"/>
      <c r="PKY136" s="8"/>
      <c r="PKZ136" s="54"/>
      <c r="PLA136" s="8"/>
      <c r="PLB136" s="54"/>
      <c r="PLC136" s="8"/>
      <c r="PLD136" s="54"/>
      <c r="PLE136" s="8"/>
      <c r="PLF136" s="54"/>
      <c r="PLG136" s="8"/>
      <c r="PLH136" s="54"/>
      <c r="PLI136" s="8"/>
      <c r="PLJ136" s="54"/>
      <c r="PLK136" s="8"/>
      <c r="PLL136" s="54"/>
      <c r="PLM136" s="8"/>
      <c r="PLN136" s="54"/>
      <c r="PLO136" s="8"/>
      <c r="PLP136" s="54"/>
      <c r="PLQ136" s="8"/>
      <c r="PLR136" s="54"/>
      <c r="PLS136" s="8"/>
      <c r="PLT136" s="54"/>
      <c r="PLU136" s="8"/>
      <c r="PLV136" s="54"/>
      <c r="PLW136" s="8"/>
      <c r="PLX136" s="54"/>
      <c r="PLY136" s="8"/>
      <c r="PLZ136" s="54"/>
      <c r="PMA136" s="8"/>
      <c r="PMB136" s="54"/>
      <c r="PMC136" s="8"/>
      <c r="PMD136" s="54"/>
      <c r="PME136" s="8"/>
      <c r="PMF136" s="54"/>
      <c r="PMG136" s="8"/>
      <c r="PMH136" s="54"/>
      <c r="PMI136" s="8"/>
      <c r="PMJ136" s="54"/>
      <c r="PMK136" s="8"/>
      <c r="PML136" s="54"/>
      <c r="PMM136" s="8"/>
      <c r="PMN136" s="54"/>
      <c r="PMO136" s="8"/>
      <c r="PMP136" s="54"/>
      <c r="PMQ136" s="8"/>
      <c r="PMR136" s="54"/>
      <c r="PMS136" s="8"/>
      <c r="PMT136" s="54"/>
      <c r="PMU136" s="8"/>
      <c r="PMV136" s="54"/>
      <c r="PMW136" s="8"/>
      <c r="PMX136" s="54"/>
      <c r="PMY136" s="8"/>
      <c r="PMZ136" s="54"/>
      <c r="PNA136" s="8"/>
      <c r="PNB136" s="54"/>
      <c r="PNC136" s="8"/>
      <c r="PND136" s="54"/>
      <c r="PNE136" s="8"/>
      <c r="PNF136" s="54"/>
      <c r="PNG136" s="8"/>
      <c r="PNH136" s="54"/>
      <c r="PNI136" s="8"/>
      <c r="PNJ136" s="54"/>
      <c r="PNK136" s="8"/>
      <c r="PNL136" s="54"/>
      <c r="PNM136" s="8"/>
      <c r="PNN136" s="54"/>
      <c r="PNO136" s="8"/>
      <c r="PNP136" s="54"/>
      <c r="PNQ136" s="8"/>
      <c r="PNR136" s="54"/>
      <c r="PNS136" s="8"/>
      <c r="PNT136" s="54"/>
      <c r="PNU136" s="8"/>
      <c r="PNV136" s="54"/>
      <c r="PNW136" s="8"/>
      <c r="PNX136" s="54"/>
      <c r="PNY136" s="8"/>
      <c r="PNZ136" s="54"/>
      <c r="POA136" s="8"/>
      <c r="POB136" s="54"/>
      <c r="POC136" s="8"/>
      <c r="POD136" s="54"/>
      <c r="POE136" s="8"/>
      <c r="POF136" s="54"/>
      <c r="POG136" s="8"/>
      <c r="POH136" s="54"/>
      <c r="POI136" s="8"/>
      <c r="POJ136" s="54"/>
      <c r="POK136" s="8"/>
      <c r="POL136" s="54"/>
      <c r="POM136" s="8"/>
      <c r="PON136" s="54"/>
      <c r="POO136" s="8"/>
      <c r="POP136" s="54"/>
      <c r="POQ136" s="8"/>
      <c r="POR136" s="54"/>
      <c r="POS136" s="8"/>
      <c r="POT136" s="54"/>
      <c r="POU136" s="8"/>
      <c r="POV136" s="54"/>
      <c r="POW136" s="8"/>
      <c r="POX136" s="54"/>
      <c r="POY136" s="8"/>
      <c r="POZ136" s="54"/>
      <c r="PPA136" s="8"/>
      <c r="PPB136" s="54"/>
      <c r="PPC136" s="8"/>
      <c r="PPD136" s="54"/>
      <c r="PPE136" s="8"/>
      <c r="PPF136" s="54"/>
      <c r="PPG136" s="8"/>
      <c r="PPH136" s="54"/>
      <c r="PPI136" s="8"/>
      <c r="PPJ136" s="54"/>
      <c r="PPK136" s="8"/>
      <c r="PPL136" s="54"/>
      <c r="PPM136" s="8"/>
      <c r="PPN136" s="54"/>
      <c r="PPO136" s="8"/>
      <c r="PPP136" s="54"/>
      <c r="PPQ136" s="8"/>
      <c r="PPR136" s="54"/>
      <c r="PPS136" s="8"/>
      <c r="PPT136" s="54"/>
      <c r="PPU136" s="8"/>
      <c r="PPV136" s="54"/>
      <c r="PPW136" s="8"/>
      <c r="PPX136" s="54"/>
      <c r="PPY136" s="8"/>
      <c r="PPZ136" s="54"/>
      <c r="PQA136" s="8"/>
      <c r="PQB136" s="54"/>
      <c r="PQC136" s="8"/>
      <c r="PQD136" s="54"/>
      <c r="PQE136" s="8"/>
      <c r="PQF136" s="54"/>
      <c r="PQG136" s="8"/>
      <c r="PQH136" s="54"/>
      <c r="PQI136" s="8"/>
      <c r="PQJ136" s="54"/>
      <c r="PQK136" s="8"/>
      <c r="PQL136" s="54"/>
      <c r="PQM136" s="8"/>
      <c r="PQN136" s="54"/>
      <c r="PQO136" s="8"/>
      <c r="PQP136" s="54"/>
      <c r="PQQ136" s="8"/>
      <c r="PQR136" s="54"/>
      <c r="PQS136" s="8"/>
      <c r="PQT136" s="54"/>
      <c r="PQU136" s="8"/>
      <c r="PQV136" s="54"/>
      <c r="PQW136" s="8"/>
      <c r="PQX136" s="54"/>
      <c r="PQY136" s="8"/>
      <c r="PQZ136" s="54"/>
      <c r="PRA136" s="8"/>
      <c r="PRB136" s="54"/>
      <c r="PRC136" s="8"/>
      <c r="PRD136" s="54"/>
      <c r="PRE136" s="8"/>
      <c r="PRF136" s="54"/>
      <c r="PRG136" s="8"/>
      <c r="PRH136" s="54"/>
      <c r="PRI136" s="8"/>
      <c r="PRJ136" s="54"/>
      <c r="PRK136" s="8"/>
      <c r="PRL136" s="54"/>
      <c r="PRM136" s="8"/>
      <c r="PRN136" s="54"/>
      <c r="PRO136" s="8"/>
      <c r="PRP136" s="54"/>
      <c r="PRQ136" s="8"/>
      <c r="PRR136" s="54"/>
      <c r="PRS136" s="8"/>
      <c r="PRT136" s="54"/>
      <c r="PRU136" s="8"/>
      <c r="PRV136" s="54"/>
      <c r="PRW136" s="8"/>
      <c r="PRX136" s="54"/>
      <c r="PRY136" s="8"/>
      <c r="PRZ136" s="54"/>
      <c r="PSA136" s="8"/>
      <c r="PSB136" s="54"/>
      <c r="PSC136" s="8"/>
      <c r="PSD136" s="54"/>
      <c r="PSE136" s="8"/>
      <c r="PSF136" s="54"/>
      <c r="PSG136" s="8"/>
      <c r="PSH136" s="54"/>
      <c r="PSI136" s="8"/>
      <c r="PSJ136" s="54"/>
      <c r="PSK136" s="8"/>
      <c r="PSL136" s="54"/>
      <c r="PSM136" s="8"/>
      <c r="PSN136" s="54"/>
      <c r="PSO136" s="8"/>
      <c r="PSP136" s="54"/>
      <c r="PSQ136" s="8"/>
      <c r="PSR136" s="54"/>
      <c r="PSS136" s="8"/>
      <c r="PST136" s="54"/>
      <c r="PSU136" s="8"/>
      <c r="PSV136" s="54"/>
      <c r="PSW136" s="8"/>
      <c r="PSX136" s="54"/>
      <c r="PSY136" s="8"/>
      <c r="PSZ136" s="54"/>
      <c r="PTA136" s="8"/>
      <c r="PTB136" s="54"/>
      <c r="PTC136" s="8"/>
      <c r="PTD136" s="54"/>
      <c r="PTE136" s="8"/>
      <c r="PTF136" s="54"/>
      <c r="PTG136" s="8"/>
      <c r="PTH136" s="54"/>
      <c r="PTI136" s="8"/>
      <c r="PTJ136" s="54"/>
      <c r="PTK136" s="8"/>
      <c r="PTL136" s="54"/>
      <c r="PTM136" s="8"/>
      <c r="PTN136" s="54"/>
      <c r="PTO136" s="8"/>
      <c r="PTP136" s="54"/>
      <c r="PTQ136" s="8"/>
      <c r="PTR136" s="54"/>
      <c r="PTS136" s="8"/>
      <c r="PTT136" s="54"/>
      <c r="PTU136" s="8"/>
      <c r="PTV136" s="54"/>
      <c r="PTW136" s="8"/>
      <c r="PTX136" s="54"/>
      <c r="PTY136" s="8"/>
      <c r="PTZ136" s="54"/>
      <c r="PUA136" s="8"/>
      <c r="PUB136" s="54"/>
      <c r="PUC136" s="8"/>
      <c r="PUD136" s="54"/>
      <c r="PUE136" s="8"/>
      <c r="PUF136" s="54"/>
      <c r="PUG136" s="8"/>
      <c r="PUH136" s="54"/>
      <c r="PUI136" s="8"/>
      <c r="PUJ136" s="54"/>
      <c r="PUK136" s="8"/>
      <c r="PUL136" s="54"/>
      <c r="PUM136" s="8"/>
      <c r="PUN136" s="54"/>
      <c r="PUO136" s="8"/>
      <c r="PUP136" s="54"/>
      <c r="PUQ136" s="8"/>
      <c r="PUR136" s="54"/>
      <c r="PUS136" s="8"/>
      <c r="PUT136" s="54"/>
      <c r="PUU136" s="8"/>
      <c r="PUV136" s="54"/>
      <c r="PUW136" s="8"/>
      <c r="PUX136" s="54"/>
      <c r="PUY136" s="8"/>
      <c r="PUZ136" s="54"/>
      <c r="PVA136" s="8"/>
      <c r="PVB136" s="54"/>
      <c r="PVC136" s="8"/>
      <c r="PVD136" s="54"/>
      <c r="PVE136" s="8"/>
      <c r="PVF136" s="54"/>
      <c r="PVG136" s="8"/>
      <c r="PVH136" s="54"/>
      <c r="PVI136" s="8"/>
      <c r="PVJ136" s="54"/>
      <c r="PVK136" s="8"/>
      <c r="PVL136" s="54"/>
      <c r="PVM136" s="8"/>
      <c r="PVN136" s="54"/>
      <c r="PVO136" s="8"/>
      <c r="PVP136" s="54"/>
      <c r="PVQ136" s="8"/>
      <c r="PVR136" s="54"/>
      <c r="PVS136" s="8"/>
      <c r="PVT136" s="54"/>
      <c r="PVU136" s="8"/>
      <c r="PVV136" s="54"/>
      <c r="PVW136" s="8"/>
      <c r="PVX136" s="54"/>
      <c r="PVY136" s="8"/>
      <c r="PVZ136" s="54"/>
      <c r="PWA136" s="8"/>
      <c r="PWB136" s="54"/>
      <c r="PWC136" s="8"/>
      <c r="PWD136" s="54"/>
      <c r="PWE136" s="8"/>
      <c r="PWF136" s="54"/>
      <c r="PWG136" s="8"/>
      <c r="PWH136" s="54"/>
      <c r="PWI136" s="8"/>
      <c r="PWJ136" s="54"/>
      <c r="PWK136" s="8"/>
      <c r="PWL136" s="54"/>
      <c r="PWM136" s="8"/>
      <c r="PWN136" s="54"/>
      <c r="PWO136" s="8"/>
      <c r="PWP136" s="54"/>
      <c r="PWQ136" s="8"/>
      <c r="PWR136" s="54"/>
      <c r="PWS136" s="8"/>
      <c r="PWT136" s="54"/>
      <c r="PWU136" s="8"/>
      <c r="PWV136" s="54"/>
      <c r="PWW136" s="8"/>
      <c r="PWX136" s="54"/>
      <c r="PWY136" s="8"/>
      <c r="PWZ136" s="54"/>
      <c r="PXA136" s="8"/>
      <c r="PXB136" s="54"/>
      <c r="PXC136" s="8"/>
      <c r="PXD136" s="54"/>
      <c r="PXE136" s="8"/>
      <c r="PXF136" s="54"/>
      <c r="PXG136" s="8"/>
      <c r="PXH136" s="54"/>
      <c r="PXI136" s="8"/>
      <c r="PXJ136" s="54"/>
      <c r="PXK136" s="8"/>
      <c r="PXL136" s="54"/>
      <c r="PXM136" s="8"/>
      <c r="PXN136" s="54"/>
      <c r="PXO136" s="8"/>
      <c r="PXP136" s="54"/>
      <c r="PXQ136" s="8"/>
      <c r="PXR136" s="54"/>
      <c r="PXS136" s="8"/>
      <c r="PXT136" s="54"/>
      <c r="PXU136" s="8"/>
      <c r="PXV136" s="54"/>
      <c r="PXW136" s="8"/>
      <c r="PXX136" s="54"/>
      <c r="PXY136" s="8"/>
      <c r="PXZ136" s="54"/>
      <c r="PYA136" s="8"/>
      <c r="PYB136" s="54"/>
      <c r="PYC136" s="8"/>
      <c r="PYD136" s="54"/>
      <c r="PYE136" s="8"/>
      <c r="PYF136" s="54"/>
      <c r="PYG136" s="8"/>
      <c r="PYH136" s="54"/>
      <c r="PYI136" s="8"/>
      <c r="PYJ136" s="54"/>
      <c r="PYK136" s="8"/>
      <c r="PYL136" s="54"/>
      <c r="PYM136" s="8"/>
      <c r="PYN136" s="54"/>
      <c r="PYO136" s="8"/>
      <c r="PYP136" s="54"/>
      <c r="PYQ136" s="8"/>
      <c r="PYR136" s="54"/>
      <c r="PYS136" s="8"/>
      <c r="PYT136" s="54"/>
      <c r="PYU136" s="8"/>
      <c r="PYV136" s="54"/>
      <c r="PYW136" s="8"/>
      <c r="PYX136" s="54"/>
      <c r="PYY136" s="8"/>
      <c r="PYZ136" s="54"/>
      <c r="PZA136" s="8"/>
      <c r="PZB136" s="54"/>
      <c r="PZC136" s="8"/>
      <c r="PZD136" s="54"/>
      <c r="PZE136" s="8"/>
      <c r="PZF136" s="54"/>
      <c r="PZG136" s="8"/>
      <c r="PZH136" s="54"/>
      <c r="PZI136" s="8"/>
      <c r="PZJ136" s="54"/>
      <c r="PZK136" s="8"/>
      <c r="PZL136" s="54"/>
      <c r="PZM136" s="8"/>
      <c r="PZN136" s="54"/>
      <c r="PZO136" s="8"/>
      <c r="PZP136" s="54"/>
      <c r="PZQ136" s="8"/>
      <c r="PZR136" s="54"/>
      <c r="PZS136" s="8"/>
      <c r="PZT136" s="54"/>
      <c r="PZU136" s="8"/>
      <c r="PZV136" s="54"/>
      <c r="PZW136" s="8"/>
      <c r="PZX136" s="54"/>
      <c r="PZY136" s="8"/>
      <c r="PZZ136" s="54"/>
      <c r="QAA136" s="8"/>
      <c r="QAB136" s="54"/>
      <c r="QAC136" s="8"/>
      <c r="QAD136" s="54"/>
      <c r="QAE136" s="8"/>
      <c r="QAF136" s="54"/>
      <c r="QAG136" s="8"/>
      <c r="QAH136" s="54"/>
      <c r="QAI136" s="8"/>
      <c r="QAJ136" s="54"/>
      <c r="QAK136" s="8"/>
      <c r="QAL136" s="54"/>
      <c r="QAM136" s="8"/>
      <c r="QAN136" s="54"/>
      <c r="QAO136" s="8"/>
      <c r="QAP136" s="54"/>
      <c r="QAQ136" s="8"/>
      <c r="QAR136" s="54"/>
      <c r="QAS136" s="8"/>
      <c r="QAT136" s="54"/>
      <c r="QAU136" s="8"/>
      <c r="QAV136" s="54"/>
      <c r="QAW136" s="8"/>
      <c r="QAX136" s="54"/>
      <c r="QAY136" s="8"/>
      <c r="QAZ136" s="54"/>
      <c r="QBA136" s="8"/>
      <c r="QBB136" s="54"/>
      <c r="QBC136" s="8"/>
      <c r="QBD136" s="54"/>
      <c r="QBE136" s="8"/>
      <c r="QBF136" s="54"/>
      <c r="QBG136" s="8"/>
      <c r="QBH136" s="54"/>
      <c r="QBI136" s="8"/>
      <c r="QBJ136" s="54"/>
      <c r="QBK136" s="8"/>
      <c r="QBL136" s="54"/>
      <c r="QBM136" s="8"/>
      <c r="QBN136" s="54"/>
      <c r="QBO136" s="8"/>
      <c r="QBP136" s="54"/>
      <c r="QBQ136" s="8"/>
      <c r="QBR136" s="54"/>
      <c r="QBS136" s="8"/>
      <c r="QBT136" s="54"/>
      <c r="QBU136" s="8"/>
      <c r="QBV136" s="54"/>
      <c r="QBW136" s="8"/>
      <c r="QBX136" s="54"/>
      <c r="QBY136" s="8"/>
      <c r="QBZ136" s="54"/>
      <c r="QCA136" s="8"/>
      <c r="QCB136" s="54"/>
      <c r="QCC136" s="8"/>
      <c r="QCD136" s="54"/>
      <c r="QCE136" s="8"/>
      <c r="QCF136" s="54"/>
      <c r="QCG136" s="8"/>
      <c r="QCH136" s="54"/>
      <c r="QCI136" s="8"/>
      <c r="QCJ136" s="54"/>
      <c r="QCK136" s="8"/>
      <c r="QCL136" s="54"/>
      <c r="QCM136" s="8"/>
      <c r="QCN136" s="54"/>
      <c r="QCO136" s="8"/>
      <c r="QCP136" s="54"/>
      <c r="QCQ136" s="8"/>
      <c r="QCR136" s="54"/>
      <c r="QCS136" s="8"/>
      <c r="QCT136" s="54"/>
      <c r="QCU136" s="8"/>
      <c r="QCV136" s="54"/>
      <c r="QCW136" s="8"/>
      <c r="QCX136" s="54"/>
      <c r="QCY136" s="8"/>
      <c r="QCZ136" s="54"/>
      <c r="QDA136" s="8"/>
      <c r="QDB136" s="54"/>
      <c r="QDC136" s="8"/>
      <c r="QDD136" s="54"/>
      <c r="QDE136" s="8"/>
      <c r="QDF136" s="54"/>
      <c r="QDG136" s="8"/>
      <c r="QDH136" s="54"/>
      <c r="QDI136" s="8"/>
      <c r="QDJ136" s="54"/>
      <c r="QDK136" s="8"/>
      <c r="QDL136" s="54"/>
      <c r="QDM136" s="8"/>
      <c r="QDN136" s="54"/>
      <c r="QDO136" s="8"/>
      <c r="QDP136" s="54"/>
      <c r="QDQ136" s="8"/>
      <c r="QDR136" s="54"/>
      <c r="QDS136" s="8"/>
      <c r="QDT136" s="54"/>
      <c r="QDU136" s="8"/>
      <c r="QDV136" s="54"/>
      <c r="QDW136" s="8"/>
      <c r="QDX136" s="54"/>
      <c r="QDY136" s="8"/>
      <c r="QDZ136" s="54"/>
      <c r="QEA136" s="8"/>
      <c r="QEB136" s="54"/>
      <c r="QEC136" s="8"/>
      <c r="QED136" s="54"/>
      <c r="QEE136" s="8"/>
      <c r="QEF136" s="54"/>
      <c r="QEG136" s="8"/>
      <c r="QEH136" s="54"/>
      <c r="QEI136" s="8"/>
      <c r="QEJ136" s="54"/>
      <c r="QEK136" s="8"/>
      <c r="QEL136" s="54"/>
      <c r="QEM136" s="8"/>
      <c r="QEN136" s="54"/>
      <c r="QEO136" s="8"/>
      <c r="QEP136" s="54"/>
      <c r="QEQ136" s="8"/>
      <c r="QER136" s="54"/>
      <c r="QES136" s="8"/>
      <c r="QET136" s="54"/>
      <c r="QEU136" s="8"/>
      <c r="QEV136" s="54"/>
      <c r="QEW136" s="8"/>
      <c r="QEX136" s="54"/>
      <c r="QEY136" s="8"/>
      <c r="QEZ136" s="54"/>
      <c r="QFA136" s="8"/>
      <c r="QFB136" s="54"/>
      <c r="QFC136" s="8"/>
      <c r="QFD136" s="54"/>
      <c r="QFE136" s="8"/>
      <c r="QFF136" s="54"/>
      <c r="QFG136" s="8"/>
      <c r="QFH136" s="54"/>
      <c r="QFI136" s="8"/>
      <c r="QFJ136" s="54"/>
      <c r="QFK136" s="8"/>
      <c r="QFL136" s="54"/>
      <c r="QFM136" s="8"/>
      <c r="QFN136" s="54"/>
      <c r="QFO136" s="8"/>
      <c r="QFP136" s="54"/>
      <c r="QFQ136" s="8"/>
      <c r="QFR136" s="54"/>
      <c r="QFS136" s="8"/>
      <c r="QFT136" s="54"/>
      <c r="QFU136" s="8"/>
      <c r="QFV136" s="54"/>
      <c r="QFW136" s="8"/>
      <c r="QFX136" s="54"/>
      <c r="QFY136" s="8"/>
      <c r="QFZ136" s="54"/>
      <c r="QGA136" s="8"/>
      <c r="QGB136" s="54"/>
      <c r="QGC136" s="8"/>
      <c r="QGD136" s="54"/>
      <c r="QGE136" s="8"/>
      <c r="QGF136" s="54"/>
      <c r="QGG136" s="8"/>
      <c r="QGH136" s="54"/>
      <c r="QGI136" s="8"/>
      <c r="QGJ136" s="54"/>
      <c r="QGK136" s="8"/>
      <c r="QGL136" s="54"/>
      <c r="QGM136" s="8"/>
      <c r="QGN136" s="54"/>
      <c r="QGO136" s="8"/>
      <c r="QGP136" s="54"/>
      <c r="QGQ136" s="8"/>
      <c r="QGR136" s="54"/>
      <c r="QGS136" s="8"/>
      <c r="QGT136" s="54"/>
      <c r="QGU136" s="8"/>
      <c r="QGV136" s="54"/>
      <c r="QGW136" s="8"/>
      <c r="QGX136" s="54"/>
      <c r="QGY136" s="8"/>
      <c r="QGZ136" s="54"/>
      <c r="QHA136" s="8"/>
      <c r="QHB136" s="54"/>
      <c r="QHC136" s="8"/>
      <c r="QHD136" s="54"/>
      <c r="QHE136" s="8"/>
      <c r="QHF136" s="54"/>
      <c r="QHG136" s="8"/>
      <c r="QHH136" s="54"/>
      <c r="QHI136" s="8"/>
      <c r="QHJ136" s="54"/>
      <c r="QHK136" s="8"/>
      <c r="QHL136" s="54"/>
      <c r="QHM136" s="8"/>
      <c r="QHN136" s="54"/>
      <c r="QHO136" s="8"/>
      <c r="QHP136" s="54"/>
      <c r="QHQ136" s="8"/>
      <c r="QHR136" s="54"/>
      <c r="QHS136" s="8"/>
      <c r="QHT136" s="54"/>
      <c r="QHU136" s="8"/>
      <c r="QHV136" s="54"/>
      <c r="QHW136" s="8"/>
      <c r="QHX136" s="54"/>
      <c r="QHY136" s="8"/>
      <c r="QHZ136" s="54"/>
      <c r="QIA136" s="8"/>
      <c r="QIB136" s="54"/>
      <c r="QIC136" s="8"/>
      <c r="QID136" s="54"/>
      <c r="QIE136" s="8"/>
      <c r="QIF136" s="54"/>
      <c r="QIG136" s="8"/>
      <c r="QIH136" s="54"/>
      <c r="QII136" s="8"/>
      <c r="QIJ136" s="54"/>
      <c r="QIK136" s="8"/>
      <c r="QIL136" s="54"/>
      <c r="QIM136" s="8"/>
      <c r="QIN136" s="54"/>
      <c r="QIO136" s="8"/>
      <c r="QIP136" s="54"/>
      <c r="QIQ136" s="8"/>
      <c r="QIR136" s="54"/>
      <c r="QIS136" s="8"/>
      <c r="QIT136" s="54"/>
      <c r="QIU136" s="8"/>
      <c r="QIV136" s="54"/>
      <c r="QIW136" s="8"/>
      <c r="QIX136" s="54"/>
      <c r="QIY136" s="8"/>
      <c r="QIZ136" s="54"/>
      <c r="QJA136" s="8"/>
      <c r="QJB136" s="54"/>
      <c r="QJC136" s="8"/>
      <c r="QJD136" s="54"/>
      <c r="QJE136" s="8"/>
      <c r="QJF136" s="54"/>
      <c r="QJG136" s="8"/>
      <c r="QJH136" s="54"/>
      <c r="QJI136" s="8"/>
      <c r="QJJ136" s="54"/>
      <c r="QJK136" s="8"/>
      <c r="QJL136" s="54"/>
      <c r="QJM136" s="8"/>
      <c r="QJN136" s="54"/>
      <c r="QJO136" s="8"/>
      <c r="QJP136" s="54"/>
      <c r="QJQ136" s="8"/>
      <c r="QJR136" s="54"/>
      <c r="QJS136" s="8"/>
      <c r="QJT136" s="54"/>
      <c r="QJU136" s="8"/>
      <c r="QJV136" s="54"/>
      <c r="QJW136" s="8"/>
      <c r="QJX136" s="54"/>
      <c r="QJY136" s="8"/>
      <c r="QJZ136" s="54"/>
      <c r="QKA136" s="8"/>
      <c r="QKB136" s="54"/>
      <c r="QKC136" s="8"/>
      <c r="QKD136" s="54"/>
      <c r="QKE136" s="8"/>
      <c r="QKF136" s="54"/>
      <c r="QKG136" s="8"/>
      <c r="QKH136" s="54"/>
      <c r="QKI136" s="8"/>
      <c r="QKJ136" s="54"/>
      <c r="QKK136" s="8"/>
      <c r="QKL136" s="54"/>
      <c r="QKM136" s="8"/>
      <c r="QKN136" s="54"/>
      <c r="QKO136" s="8"/>
      <c r="QKP136" s="54"/>
      <c r="QKQ136" s="8"/>
      <c r="QKR136" s="54"/>
      <c r="QKS136" s="8"/>
      <c r="QKT136" s="54"/>
      <c r="QKU136" s="8"/>
      <c r="QKV136" s="54"/>
      <c r="QKW136" s="8"/>
      <c r="QKX136" s="54"/>
      <c r="QKY136" s="8"/>
      <c r="QKZ136" s="54"/>
      <c r="QLA136" s="8"/>
      <c r="QLB136" s="54"/>
      <c r="QLC136" s="8"/>
      <c r="QLD136" s="54"/>
      <c r="QLE136" s="8"/>
      <c r="QLF136" s="54"/>
      <c r="QLG136" s="8"/>
      <c r="QLH136" s="54"/>
      <c r="QLI136" s="8"/>
      <c r="QLJ136" s="54"/>
      <c r="QLK136" s="8"/>
      <c r="QLL136" s="54"/>
      <c r="QLM136" s="8"/>
      <c r="QLN136" s="54"/>
      <c r="QLO136" s="8"/>
      <c r="QLP136" s="54"/>
      <c r="QLQ136" s="8"/>
      <c r="QLR136" s="54"/>
      <c r="QLS136" s="8"/>
      <c r="QLT136" s="54"/>
      <c r="QLU136" s="8"/>
      <c r="QLV136" s="54"/>
      <c r="QLW136" s="8"/>
      <c r="QLX136" s="54"/>
      <c r="QLY136" s="8"/>
      <c r="QLZ136" s="54"/>
      <c r="QMA136" s="8"/>
      <c r="QMB136" s="54"/>
      <c r="QMC136" s="8"/>
      <c r="QMD136" s="54"/>
      <c r="QME136" s="8"/>
      <c r="QMF136" s="54"/>
      <c r="QMG136" s="8"/>
      <c r="QMH136" s="54"/>
      <c r="QMI136" s="8"/>
      <c r="QMJ136" s="54"/>
      <c r="QMK136" s="8"/>
      <c r="QML136" s="54"/>
      <c r="QMM136" s="8"/>
      <c r="QMN136" s="54"/>
      <c r="QMO136" s="8"/>
      <c r="QMP136" s="54"/>
      <c r="QMQ136" s="8"/>
      <c r="QMR136" s="54"/>
      <c r="QMS136" s="8"/>
      <c r="QMT136" s="54"/>
      <c r="QMU136" s="8"/>
      <c r="QMV136" s="54"/>
      <c r="QMW136" s="8"/>
      <c r="QMX136" s="54"/>
      <c r="QMY136" s="8"/>
      <c r="QMZ136" s="54"/>
      <c r="QNA136" s="8"/>
      <c r="QNB136" s="54"/>
      <c r="QNC136" s="8"/>
      <c r="QND136" s="54"/>
      <c r="QNE136" s="8"/>
      <c r="QNF136" s="54"/>
      <c r="QNG136" s="8"/>
      <c r="QNH136" s="54"/>
      <c r="QNI136" s="8"/>
      <c r="QNJ136" s="54"/>
      <c r="QNK136" s="8"/>
      <c r="QNL136" s="54"/>
      <c r="QNM136" s="8"/>
      <c r="QNN136" s="54"/>
      <c r="QNO136" s="8"/>
      <c r="QNP136" s="54"/>
      <c r="QNQ136" s="8"/>
      <c r="QNR136" s="54"/>
      <c r="QNS136" s="8"/>
      <c r="QNT136" s="54"/>
      <c r="QNU136" s="8"/>
      <c r="QNV136" s="54"/>
      <c r="QNW136" s="8"/>
      <c r="QNX136" s="54"/>
      <c r="QNY136" s="8"/>
      <c r="QNZ136" s="54"/>
      <c r="QOA136" s="8"/>
      <c r="QOB136" s="54"/>
      <c r="QOC136" s="8"/>
      <c r="QOD136" s="54"/>
      <c r="QOE136" s="8"/>
      <c r="QOF136" s="54"/>
      <c r="QOG136" s="8"/>
      <c r="QOH136" s="54"/>
      <c r="QOI136" s="8"/>
      <c r="QOJ136" s="54"/>
      <c r="QOK136" s="8"/>
      <c r="QOL136" s="54"/>
      <c r="QOM136" s="8"/>
      <c r="QON136" s="54"/>
      <c r="QOO136" s="8"/>
      <c r="QOP136" s="54"/>
      <c r="QOQ136" s="8"/>
      <c r="QOR136" s="54"/>
      <c r="QOS136" s="8"/>
      <c r="QOT136" s="54"/>
      <c r="QOU136" s="8"/>
      <c r="QOV136" s="54"/>
      <c r="QOW136" s="8"/>
      <c r="QOX136" s="54"/>
      <c r="QOY136" s="8"/>
      <c r="QOZ136" s="54"/>
      <c r="QPA136" s="8"/>
      <c r="QPB136" s="54"/>
      <c r="QPC136" s="8"/>
      <c r="QPD136" s="54"/>
      <c r="QPE136" s="8"/>
      <c r="QPF136" s="54"/>
      <c r="QPG136" s="8"/>
      <c r="QPH136" s="54"/>
      <c r="QPI136" s="8"/>
      <c r="QPJ136" s="54"/>
      <c r="QPK136" s="8"/>
      <c r="QPL136" s="54"/>
      <c r="QPM136" s="8"/>
      <c r="QPN136" s="54"/>
      <c r="QPO136" s="8"/>
      <c r="QPP136" s="54"/>
      <c r="QPQ136" s="8"/>
      <c r="QPR136" s="54"/>
      <c r="QPS136" s="8"/>
      <c r="QPT136" s="54"/>
      <c r="QPU136" s="8"/>
      <c r="QPV136" s="54"/>
      <c r="QPW136" s="8"/>
      <c r="QPX136" s="54"/>
      <c r="QPY136" s="8"/>
      <c r="QPZ136" s="54"/>
      <c r="QQA136" s="8"/>
      <c r="QQB136" s="54"/>
      <c r="QQC136" s="8"/>
      <c r="QQD136" s="54"/>
      <c r="QQE136" s="8"/>
      <c r="QQF136" s="54"/>
      <c r="QQG136" s="8"/>
      <c r="QQH136" s="54"/>
      <c r="QQI136" s="8"/>
      <c r="QQJ136" s="54"/>
      <c r="QQK136" s="8"/>
      <c r="QQL136" s="54"/>
      <c r="QQM136" s="8"/>
      <c r="QQN136" s="54"/>
      <c r="QQO136" s="8"/>
      <c r="QQP136" s="54"/>
      <c r="QQQ136" s="8"/>
      <c r="QQR136" s="54"/>
      <c r="QQS136" s="8"/>
      <c r="QQT136" s="54"/>
      <c r="QQU136" s="8"/>
      <c r="QQV136" s="54"/>
      <c r="QQW136" s="8"/>
      <c r="QQX136" s="54"/>
      <c r="QQY136" s="8"/>
      <c r="QQZ136" s="54"/>
      <c r="QRA136" s="8"/>
      <c r="QRB136" s="54"/>
      <c r="QRC136" s="8"/>
      <c r="QRD136" s="54"/>
      <c r="QRE136" s="8"/>
      <c r="QRF136" s="54"/>
      <c r="QRG136" s="8"/>
      <c r="QRH136" s="54"/>
      <c r="QRI136" s="8"/>
      <c r="QRJ136" s="54"/>
      <c r="QRK136" s="8"/>
      <c r="QRL136" s="54"/>
      <c r="QRM136" s="8"/>
      <c r="QRN136" s="54"/>
      <c r="QRO136" s="8"/>
      <c r="QRP136" s="54"/>
      <c r="QRQ136" s="8"/>
      <c r="QRR136" s="54"/>
      <c r="QRS136" s="8"/>
      <c r="QRT136" s="54"/>
      <c r="QRU136" s="8"/>
      <c r="QRV136" s="54"/>
      <c r="QRW136" s="8"/>
      <c r="QRX136" s="54"/>
      <c r="QRY136" s="8"/>
      <c r="QRZ136" s="54"/>
      <c r="QSA136" s="8"/>
      <c r="QSB136" s="54"/>
      <c r="QSC136" s="8"/>
      <c r="QSD136" s="54"/>
      <c r="QSE136" s="8"/>
      <c r="QSF136" s="54"/>
      <c r="QSG136" s="8"/>
      <c r="QSH136" s="54"/>
      <c r="QSI136" s="8"/>
      <c r="QSJ136" s="54"/>
      <c r="QSK136" s="8"/>
      <c r="QSL136" s="54"/>
      <c r="QSM136" s="8"/>
      <c r="QSN136" s="54"/>
      <c r="QSO136" s="8"/>
      <c r="QSP136" s="54"/>
      <c r="QSQ136" s="8"/>
      <c r="QSR136" s="54"/>
      <c r="QSS136" s="8"/>
      <c r="QST136" s="54"/>
      <c r="QSU136" s="8"/>
      <c r="QSV136" s="54"/>
      <c r="QSW136" s="8"/>
      <c r="QSX136" s="54"/>
      <c r="QSY136" s="8"/>
      <c r="QSZ136" s="54"/>
      <c r="QTA136" s="8"/>
      <c r="QTB136" s="54"/>
      <c r="QTC136" s="8"/>
      <c r="QTD136" s="54"/>
      <c r="QTE136" s="8"/>
      <c r="QTF136" s="54"/>
      <c r="QTG136" s="8"/>
      <c r="QTH136" s="54"/>
      <c r="QTI136" s="8"/>
      <c r="QTJ136" s="54"/>
      <c r="QTK136" s="8"/>
      <c r="QTL136" s="54"/>
      <c r="QTM136" s="8"/>
      <c r="QTN136" s="54"/>
      <c r="QTO136" s="8"/>
      <c r="QTP136" s="54"/>
      <c r="QTQ136" s="8"/>
      <c r="QTR136" s="54"/>
      <c r="QTS136" s="8"/>
      <c r="QTT136" s="54"/>
      <c r="QTU136" s="8"/>
      <c r="QTV136" s="54"/>
      <c r="QTW136" s="8"/>
      <c r="QTX136" s="54"/>
      <c r="QTY136" s="8"/>
      <c r="QTZ136" s="54"/>
      <c r="QUA136" s="8"/>
      <c r="QUB136" s="54"/>
      <c r="QUC136" s="8"/>
      <c r="QUD136" s="54"/>
      <c r="QUE136" s="8"/>
      <c r="QUF136" s="54"/>
      <c r="QUG136" s="8"/>
      <c r="QUH136" s="54"/>
      <c r="QUI136" s="8"/>
      <c r="QUJ136" s="54"/>
      <c r="QUK136" s="8"/>
      <c r="QUL136" s="54"/>
      <c r="QUM136" s="8"/>
      <c r="QUN136" s="54"/>
      <c r="QUO136" s="8"/>
      <c r="QUP136" s="54"/>
      <c r="QUQ136" s="8"/>
      <c r="QUR136" s="54"/>
      <c r="QUS136" s="8"/>
      <c r="QUT136" s="54"/>
      <c r="QUU136" s="8"/>
      <c r="QUV136" s="54"/>
      <c r="QUW136" s="8"/>
      <c r="QUX136" s="54"/>
      <c r="QUY136" s="8"/>
      <c r="QUZ136" s="54"/>
      <c r="QVA136" s="8"/>
      <c r="QVB136" s="54"/>
      <c r="QVC136" s="8"/>
      <c r="QVD136" s="54"/>
      <c r="QVE136" s="8"/>
      <c r="QVF136" s="54"/>
      <c r="QVG136" s="8"/>
      <c r="QVH136" s="54"/>
      <c r="QVI136" s="8"/>
      <c r="QVJ136" s="54"/>
      <c r="QVK136" s="8"/>
      <c r="QVL136" s="54"/>
      <c r="QVM136" s="8"/>
      <c r="QVN136" s="54"/>
      <c r="QVO136" s="8"/>
      <c r="QVP136" s="54"/>
      <c r="QVQ136" s="8"/>
      <c r="QVR136" s="54"/>
      <c r="QVS136" s="8"/>
      <c r="QVT136" s="54"/>
      <c r="QVU136" s="8"/>
      <c r="QVV136" s="54"/>
      <c r="QVW136" s="8"/>
      <c r="QVX136" s="54"/>
      <c r="QVY136" s="8"/>
      <c r="QVZ136" s="54"/>
      <c r="QWA136" s="8"/>
      <c r="QWB136" s="54"/>
      <c r="QWC136" s="8"/>
      <c r="QWD136" s="54"/>
      <c r="QWE136" s="8"/>
      <c r="QWF136" s="54"/>
      <c r="QWG136" s="8"/>
      <c r="QWH136" s="54"/>
      <c r="QWI136" s="8"/>
      <c r="QWJ136" s="54"/>
      <c r="QWK136" s="8"/>
      <c r="QWL136" s="54"/>
      <c r="QWM136" s="8"/>
      <c r="QWN136" s="54"/>
      <c r="QWO136" s="8"/>
      <c r="QWP136" s="54"/>
      <c r="QWQ136" s="8"/>
      <c r="QWR136" s="54"/>
      <c r="QWS136" s="8"/>
      <c r="QWT136" s="54"/>
      <c r="QWU136" s="8"/>
      <c r="QWV136" s="54"/>
      <c r="QWW136" s="8"/>
      <c r="QWX136" s="54"/>
      <c r="QWY136" s="8"/>
      <c r="QWZ136" s="54"/>
      <c r="QXA136" s="8"/>
      <c r="QXB136" s="54"/>
      <c r="QXC136" s="8"/>
      <c r="QXD136" s="54"/>
      <c r="QXE136" s="8"/>
      <c r="QXF136" s="54"/>
      <c r="QXG136" s="8"/>
      <c r="QXH136" s="54"/>
      <c r="QXI136" s="8"/>
      <c r="QXJ136" s="54"/>
      <c r="QXK136" s="8"/>
      <c r="QXL136" s="54"/>
      <c r="QXM136" s="8"/>
      <c r="QXN136" s="54"/>
      <c r="QXO136" s="8"/>
      <c r="QXP136" s="54"/>
      <c r="QXQ136" s="8"/>
      <c r="QXR136" s="54"/>
      <c r="QXS136" s="8"/>
      <c r="QXT136" s="54"/>
      <c r="QXU136" s="8"/>
      <c r="QXV136" s="54"/>
      <c r="QXW136" s="8"/>
      <c r="QXX136" s="54"/>
      <c r="QXY136" s="8"/>
      <c r="QXZ136" s="54"/>
      <c r="QYA136" s="8"/>
      <c r="QYB136" s="54"/>
      <c r="QYC136" s="8"/>
      <c r="QYD136" s="54"/>
      <c r="QYE136" s="8"/>
      <c r="QYF136" s="54"/>
      <c r="QYG136" s="8"/>
      <c r="QYH136" s="54"/>
      <c r="QYI136" s="8"/>
      <c r="QYJ136" s="54"/>
      <c r="QYK136" s="8"/>
      <c r="QYL136" s="54"/>
      <c r="QYM136" s="8"/>
      <c r="QYN136" s="54"/>
      <c r="QYO136" s="8"/>
      <c r="QYP136" s="54"/>
      <c r="QYQ136" s="8"/>
      <c r="QYR136" s="54"/>
      <c r="QYS136" s="8"/>
      <c r="QYT136" s="54"/>
      <c r="QYU136" s="8"/>
      <c r="QYV136" s="54"/>
      <c r="QYW136" s="8"/>
      <c r="QYX136" s="54"/>
      <c r="QYY136" s="8"/>
      <c r="QYZ136" s="54"/>
      <c r="QZA136" s="8"/>
      <c r="QZB136" s="54"/>
      <c r="QZC136" s="8"/>
      <c r="QZD136" s="54"/>
      <c r="QZE136" s="8"/>
      <c r="QZF136" s="54"/>
      <c r="QZG136" s="8"/>
      <c r="QZH136" s="54"/>
      <c r="QZI136" s="8"/>
      <c r="QZJ136" s="54"/>
      <c r="QZK136" s="8"/>
      <c r="QZL136" s="54"/>
      <c r="QZM136" s="8"/>
      <c r="QZN136" s="54"/>
      <c r="QZO136" s="8"/>
      <c r="QZP136" s="54"/>
      <c r="QZQ136" s="8"/>
      <c r="QZR136" s="54"/>
      <c r="QZS136" s="8"/>
      <c r="QZT136" s="54"/>
      <c r="QZU136" s="8"/>
      <c r="QZV136" s="54"/>
      <c r="QZW136" s="8"/>
      <c r="QZX136" s="54"/>
      <c r="QZY136" s="8"/>
      <c r="QZZ136" s="54"/>
      <c r="RAA136" s="8"/>
      <c r="RAB136" s="54"/>
      <c r="RAC136" s="8"/>
      <c r="RAD136" s="54"/>
      <c r="RAE136" s="8"/>
      <c r="RAF136" s="54"/>
      <c r="RAG136" s="8"/>
      <c r="RAH136" s="54"/>
      <c r="RAI136" s="8"/>
      <c r="RAJ136" s="54"/>
      <c r="RAK136" s="8"/>
      <c r="RAL136" s="54"/>
      <c r="RAM136" s="8"/>
      <c r="RAN136" s="54"/>
      <c r="RAO136" s="8"/>
      <c r="RAP136" s="54"/>
      <c r="RAQ136" s="8"/>
      <c r="RAR136" s="54"/>
      <c r="RAS136" s="8"/>
      <c r="RAT136" s="54"/>
      <c r="RAU136" s="8"/>
      <c r="RAV136" s="54"/>
      <c r="RAW136" s="8"/>
      <c r="RAX136" s="54"/>
      <c r="RAY136" s="8"/>
      <c r="RAZ136" s="54"/>
      <c r="RBA136" s="8"/>
      <c r="RBB136" s="54"/>
      <c r="RBC136" s="8"/>
      <c r="RBD136" s="54"/>
      <c r="RBE136" s="8"/>
      <c r="RBF136" s="54"/>
      <c r="RBG136" s="8"/>
      <c r="RBH136" s="54"/>
      <c r="RBI136" s="8"/>
      <c r="RBJ136" s="54"/>
      <c r="RBK136" s="8"/>
      <c r="RBL136" s="54"/>
      <c r="RBM136" s="8"/>
      <c r="RBN136" s="54"/>
      <c r="RBO136" s="8"/>
      <c r="RBP136" s="54"/>
      <c r="RBQ136" s="8"/>
      <c r="RBR136" s="54"/>
      <c r="RBS136" s="8"/>
      <c r="RBT136" s="54"/>
      <c r="RBU136" s="8"/>
      <c r="RBV136" s="54"/>
      <c r="RBW136" s="8"/>
      <c r="RBX136" s="54"/>
      <c r="RBY136" s="8"/>
      <c r="RBZ136" s="54"/>
      <c r="RCA136" s="8"/>
      <c r="RCB136" s="54"/>
      <c r="RCC136" s="8"/>
      <c r="RCD136" s="54"/>
      <c r="RCE136" s="8"/>
      <c r="RCF136" s="54"/>
      <c r="RCG136" s="8"/>
      <c r="RCH136" s="54"/>
      <c r="RCI136" s="8"/>
      <c r="RCJ136" s="54"/>
      <c r="RCK136" s="8"/>
      <c r="RCL136" s="54"/>
      <c r="RCM136" s="8"/>
      <c r="RCN136" s="54"/>
      <c r="RCO136" s="8"/>
      <c r="RCP136" s="54"/>
      <c r="RCQ136" s="8"/>
      <c r="RCR136" s="54"/>
      <c r="RCS136" s="8"/>
      <c r="RCT136" s="54"/>
      <c r="RCU136" s="8"/>
      <c r="RCV136" s="54"/>
      <c r="RCW136" s="8"/>
      <c r="RCX136" s="54"/>
      <c r="RCY136" s="8"/>
      <c r="RCZ136" s="54"/>
      <c r="RDA136" s="8"/>
      <c r="RDB136" s="54"/>
      <c r="RDC136" s="8"/>
      <c r="RDD136" s="54"/>
      <c r="RDE136" s="8"/>
      <c r="RDF136" s="54"/>
      <c r="RDG136" s="8"/>
      <c r="RDH136" s="54"/>
      <c r="RDI136" s="8"/>
      <c r="RDJ136" s="54"/>
      <c r="RDK136" s="8"/>
      <c r="RDL136" s="54"/>
      <c r="RDM136" s="8"/>
      <c r="RDN136" s="54"/>
      <c r="RDO136" s="8"/>
      <c r="RDP136" s="54"/>
      <c r="RDQ136" s="8"/>
      <c r="RDR136" s="54"/>
      <c r="RDS136" s="8"/>
      <c r="RDT136" s="54"/>
      <c r="RDU136" s="8"/>
      <c r="RDV136" s="54"/>
      <c r="RDW136" s="8"/>
      <c r="RDX136" s="54"/>
      <c r="RDY136" s="8"/>
      <c r="RDZ136" s="54"/>
      <c r="REA136" s="8"/>
      <c r="REB136" s="54"/>
      <c r="REC136" s="8"/>
      <c r="RED136" s="54"/>
      <c r="REE136" s="8"/>
      <c r="REF136" s="54"/>
      <c r="REG136" s="8"/>
      <c r="REH136" s="54"/>
      <c r="REI136" s="8"/>
      <c r="REJ136" s="54"/>
      <c r="REK136" s="8"/>
      <c r="REL136" s="54"/>
      <c r="REM136" s="8"/>
      <c r="REN136" s="54"/>
      <c r="REO136" s="8"/>
      <c r="REP136" s="54"/>
      <c r="REQ136" s="8"/>
      <c r="RER136" s="54"/>
      <c r="RES136" s="8"/>
      <c r="RET136" s="54"/>
      <c r="REU136" s="8"/>
      <c r="REV136" s="54"/>
      <c r="REW136" s="8"/>
      <c r="REX136" s="54"/>
      <c r="REY136" s="8"/>
      <c r="REZ136" s="54"/>
      <c r="RFA136" s="8"/>
      <c r="RFB136" s="54"/>
      <c r="RFC136" s="8"/>
      <c r="RFD136" s="54"/>
      <c r="RFE136" s="8"/>
      <c r="RFF136" s="54"/>
      <c r="RFG136" s="8"/>
      <c r="RFH136" s="54"/>
      <c r="RFI136" s="8"/>
      <c r="RFJ136" s="54"/>
      <c r="RFK136" s="8"/>
      <c r="RFL136" s="54"/>
      <c r="RFM136" s="8"/>
      <c r="RFN136" s="54"/>
      <c r="RFO136" s="8"/>
      <c r="RFP136" s="54"/>
      <c r="RFQ136" s="8"/>
      <c r="RFR136" s="54"/>
      <c r="RFS136" s="8"/>
      <c r="RFT136" s="54"/>
      <c r="RFU136" s="8"/>
      <c r="RFV136" s="54"/>
      <c r="RFW136" s="8"/>
      <c r="RFX136" s="54"/>
      <c r="RFY136" s="8"/>
      <c r="RFZ136" s="54"/>
      <c r="RGA136" s="8"/>
      <c r="RGB136" s="54"/>
      <c r="RGC136" s="8"/>
      <c r="RGD136" s="54"/>
      <c r="RGE136" s="8"/>
      <c r="RGF136" s="54"/>
      <c r="RGG136" s="8"/>
      <c r="RGH136" s="54"/>
      <c r="RGI136" s="8"/>
      <c r="RGJ136" s="54"/>
      <c r="RGK136" s="8"/>
      <c r="RGL136" s="54"/>
      <c r="RGM136" s="8"/>
      <c r="RGN136" s="54"/>
      <c r="RGO136" s="8"/>
      <c r="RGP136" s="54"/>
      <c r="RGQ136" s="8"/>
      <c r="RGR136" s="54"/>
      <c r="RGS136" s="8"/>
      <c r="RGT136" s="54"/>
      <c r="RGU136" s="8"/>
      <c r="RGV136" s="54"/>
      <c r="RGW136" s="8"/>
      <c r="RGX136" s="54"/>
      <c r="RGY136" s="8"/>
      <c r="RGZ136" s="54"/>
      <c r="RHA136" s="8"/>
      <c r="RHB136" s="54"/>
      <c r="RHC136" s="8"/>
      <c r="RHD136" s="54"/>
      <c r="RHE136" s="8"/>
      <c r="RHF136" s="54"/>
      <c r="RHG136" s="8"/>
      <c r="RHH136" s="54"/>
      <c r="RHI136" s="8"/>
      <c r="RHJ136" s="54"/>
      <c r="RHK136" s="8"/>
      <c r="RHL136" s="54"/>
      <c r="RHM136" s="8"/>
      <c r="RHN136" s="54"/>
      <c r="RHO136" s="8"/>
      <c r="RHP136" s="54"/>
      <c r="RHQ136" s="8"/>
      <c r="RHR136" s="54"/>
      <c r="RHS136" s="8"/>
      <c r="RHT136" s="54"/>
      <c r="RHU136" s="8"/>
      <c r="RHV136" s="54"/>
      <c r="RHW136" s="8"/>
      <c r="RHX136" s="54"/>
      <c r="RHY136" s="8"/>
      <c r="RHZ136" s="54"/>
      <c r="RIA136" s="8"/>
      <c r="RIB136" s="54"/>
      <c r="RIC136" s="8"/>
      <c r="RID136" s="54"/>
      <c r="RIE136" s="8"/>
      <c r="RIF136" s="54"/>
      <c r="RIG136" s="8"/>
      <c r="RIH136" s="54"/>
      <c r="RII136" s="8"/>
      <c r="RIJ136" s="54"/>
      <c r="RIK136" s="8"/>
      <c r="RIL136" s="54"/>
      <c r="RIM136" s="8"/>
      <c r="RIN136" s="54"/>
      <c r="RIO136" s="8"/>
      <c r="RIP136" s="54"/>
      <c r="RIQ136" s="8"/>
      <c r="RIR136" s="54"/>
      <c r="RIS136" s="8"/>
      <c r="RIT136" s="54"/>
      <c r="RIU136" s="8"/>
      <c r="RIV136" s="54"/>
      <c r="RIW136" s="8"/>
      <c r="RIX136" s="54"/>
      <c r="RIY136" s="8"/>
      <c r="RIZ136" s="54"/>
      <c r="RJA136" s="8"/>
      <c r="RJB136" s="54"/>
      <c r="RJC136" s="8"/>
      <c r="RJD136" s="54"/>
      <c r="RJE136" s="8"/>
      <c r="RJF136" s="54"/>
      <c r="RJG136" s="8"/>
      <c r="RJH136" s="54"/>
      <c r="RJI136" s="8"/>
      <c r="RJJ136" s="54"/>
      <c r="RJK136" s="8"/>
      <c r="RJL136" s="54"/>
      <c r="RJM136" s="8"/>
      <c r="RJN136" s="54"/>
      <c r="RJO136" s="8"/>
      <c r="RJP136" s="54"/>
      <c r="RJQ136" s="8"/>
      <c r="RJR136" s="54"/>
      <c r="RJS136" s="8"/>
      <c r="RJT136" s="54"/>
      <c r="RJU136" s="8"/>
      <c r="RJV136" s="54"/>
      <c r="RJW136" s="8"/>
      <c r="RJX136" s="54"/>
      <c r="RJY136" s="8"/>
      <c r="RJZ136" s="54"/>
      <c r="RKA136" s="8"/>
      <c r="RKB136" s="54"/>
      <c r="RKC136" s="8"/>
      <c r="RKD136" s="54"/>
      <c r="RKE136" s="8"/>
      <c r="RKF136" s="54"/>
      <c r="RKG136" s="8"/>
      <c r="RKH136" s="54"/>
      <c r="RKI136" s="8"/>
      <c r="RKJ136" s="54"/>
      <c r="RKK136" s="8"/>
      <c r="RKL136" s="54"/>
      <c r="RKM136" s="8"/>
      <c r="RKN136" s="54"/>
      <c r="RKO136" s="8"/>
      <c r="RKP136" s="54"/>
      <c r="RKQ136" s="8"/>
      <c r="RKR136" s="54"/>
      <c r="RKS136" s="8"/>
      <c r="RKT136" s="54"/>
      <c r="RKU136" s="8"/>
      <c r="RKV136" s="54"/>
      <c r="RKW136" s="8"/>
      <c r="RKX136" s="54"/>
      <c r="RKY136" s="8"/>
      <c r="RKZ136" s="54"/>
      <c r="RLA136" s="8"/>
      <c r="RLB136" s="54"/>
      <c r="RLC136" s="8"/>
      <c r="RLD136" s="54"/>
      <c r="RLE136" s="8"/>
      <c r="RLF136" s="54"/>
      <c r="RLG136" s="8"/>
      <c r="RLH136" s="54"/>
      <c r="RLI136" s="8"/>
      <c r="RLJ136" s="54"/>
      <c r="RLK136" s="8"/>
      <c r="RLL136" s="54"/>
      <c r="RLM136" s="8"/>
      <c r="RLN136" s="54"/>
      <c r="RLO136" s="8"/>
      <c r="RLP136" s="54"/>
      <c r="RLQ136" s="8"/>
      <c r="RLR136" s="54"/>
      <c r="RLS136" s="8"/>
      <c r="RLT136" s="54"/>
      <c r="RLU136" s="8"/>
      <c r="RLV136" s="54"/>
      <c r="RLW136" s="8"/>
      <c r="RLX136" s="54"/>
      <c r="RLY136" s="8"/>
      <c r="RLZ136" s="54"/>
      <c r="RMA136" s="8"/>
      <c r="RMB136" s="54"/>
      <c r="RMC136" s="8"/>
      <c r="RMD136" s="54"/>
      <c r="RME136" s="8"/>
      <c r="RMF136" s="54"/>
      <c r="RMG136" s="8"/>
      <c r="RMH136" s="54"/>
      <c r="RMI136" s="8"/>
      <c r="RMJ136" s="54"/>
      <c r="RMK136" s="8"/>
      <c r="RML136" s="54"/>
      <c r="RMM136" s="8"/>
      <c r="RMN136" s="54"/>
      <c r="RMO136" s="8"/>
      <c r="RMP136" s="54"/>
      <c r="RMQ136" s="8"/>
      <c r="RMR136" s="54"/>
      <c r="RMS136" s="8"/>
      <c r="RMT136" s="54"/>
      <c r="RMU136" s="8"/>
      <c r="RMV136" s="54"/>
      <c r="RMW136" s="8"/>
      <c r="RMX136" s="54"/>
      <c r="RMY136" s="8"/>
      <c r="RMZ136" s="54"/>
      <c r="RNA136" s="8"/>
      <c r="RNB136" s="54"/>
      <c r="RNC136" s="8"/>
      <c r="RND136" s="54"/>
      <c r="RNE136" s="8"/>
      <c r="RNF136" s="54"/>
      <c r="RNG136" s="8"/>
      <c r="RNH136" s="54"/>
      <c r="RNI136" s="8"/>
      <c r="RNJ136" s="54"/>
      <c r="RNK136" s="8"/>
      <c r="RNL136" s="54"/>
      <c r="RNM136" s="8"/>
      <c r="RNN136" s="54"/>
      <c r="RNO136" s="8"/>
      <c r="RNP136" s="54"/>
      <c r="RNQ136" s="8"/>
      <c r="RNR136" s="54"/>
      <c r="RNS136" s="8"/>
      <c r="RNT136" s="54"/>
      <c r="RNU136" s="8"/>
      <c r="RNV136" s="54"/>
      <c r="RNW136" s="8"/>
      <c r="RNX136" s="54"/>
      <c r="RNY136" s="8"/>
      <c r="RNZ136" s="54"/>
      <c r="ROA136" s="8"/>
      <c r="ROB136" s="54"/>
      <c r="ROC136" s="8"/>
      <c r="ROD136" s="54"/>
      <c r="ROE136" s="8"/>
      <c r="ROF136" s="54"/>
      <c r="ROG136" s="8"/>
      <c r="ROH136" s="54"/>
      <c r="ROI136" s="8"/>
      <c r="ROJ136" s="54"/>
      <c r="ROK136" s="8"/>
      <c r="ROL136" s="54"/>
      <c r="ROM136" s="8"/>
      <c r="RON136" s="54"/>
      <c r="ROO136" s="8"/>
      <c r="ROP136" s="54"/>
      <c r="ROQ136" s="8"/>
      <c r="ROR136" s="54"/>
      <c r="ROS136" s="8"/>
      <c r="ROT136" s="54"/>
      <c r="ROU136" s="8"/>
      <c r="ROV136" s="54"/>
      <c r="ROW136" s="8"/>
      <c r="ROX136" s="54"/>
      <c r="ROY136" s="8"/>
      <c r="ROZ136" s="54"/>
      <c r="RPA136" s="8"/>
      <c r="RPB136" s="54"/>
      <c r="RPC136" s="8"/>
      <c r="RPD136" s="54"/>
      <c r="RPE136" s="8"/>
      <c r="RPF136" s="54"/>
      <c r="RPG136" s="8"/>
      <c r="RPH136" s="54"/>
      <c r="RPI136" s="8"/>
      <c r="RPJ136" s="54"/>
      <c r="RPK136" s="8"/>
      <c r="RPL136" s="54"/>
      <c r="RPM136" s="8"/>
      <c r="RPN136" s="54"/>
      <c r="RPO136" s="8"/>
      <c r="RPP136" s="54"/>
      <c r="RPQ136" s="8"/>
      <c r="RPR136" s="54"/>
      <c r="RPS136" s="8"/>
      <c r="RPT136" s="54"/>
      <c r="RPU136" s="8"/>
      <c r="RPV136" s="54"/>
      <c r="RPW136" s="8"/>
      <c r="RPX136" s="54"/>
      <c r="RPY136" s="8"/>
      <c r="RPZ136" s="54"/>
      <c r="RQA136" s="8"/>
      <c r="RQB136" s="54"/>
      <c r="RQC136" s="8"/>
      <c r="RQD136" s="54"/>
      <c r="RQE136" s="8"/>
      <c r="RQF136" s="54"/>
      <c r="RQG136" s="8"/>
      <c r="RQH136" s="54"/>
      <c r="RQI136" s="8"/>
      <c r="RQJ136" s="54"/>
      <c r="RQK136" s="8"/>
      <c r="RQL136" s="54"/>
      <c r="RQM136" s="8"/>
      <c r="RQN136" s="54"/>
      <c r="RQO136" s="8"/>
      <c r="RQP136" s="54"/>
      <c r="RQQ136" s="8"/>
      <c r="RQR136" s="54"/>
      <c r="RQS136" s="8"/>
      <c r="RQT136" s="54"/>
      <c r="RQU136" s="8"/>
      <c r="RQV136" s="54"/>
      <c r="RQW136" s="8"/>
      <c r="RQX136" s="54"/>
      <c r="RQY136" s="8"/>
      <c r="RQZ136" s="54"/>
      <c r="RRA136" s="8"/>
      <c r="RRB136" s="54"/>
      <c r="RRC136" s="8"/>
      <c r="RRD136" s="54"/>
      <c r="RRE136" s="8"/>
      <c r="RRF136" s="54"/>
      <c r="RRG136" s="8"/>
      <c r="RRH136" s="54"/>
      <c r="RRI136" s="8"/>
      <c r="RRJ136" s="54"/>
      <c r="RRK136" s="8"/>
      <c r="RRL136" s="54"/>
      <c r="RRM136" s="8"/>
      <c r="RRN136" s="54"/>
      <c r="RRO136" s="8"/>
      <c r="RRP136" s="54"/>
      <c r="RRQ136" s="8"/>
      <c r="RRR136" s="54"/>
      <c r="RRS136" s="8"/>
      <c r="RRT136" s="54"/>
      <c r="RRU136" s="8"/>
      <c r="RRV136" s="54"/>
      <c r="RRW136" s="8"/>
      <c r="RRX136" s="54"/>
      <c r="RRY136" s="8"/>
      <c r="RRZ136" s="54"/>
      <c r="RSA136" s="8"/>
      <c r="RSB136" s="54"/>
      <c r="RSC136" s="8"/>
      <c r="RSD136" s="54"/>
      <c r="RSE136" s="8"/>
      <c r="RSF136" s="54"/>
      <c r="RSG136" s="8"/>
      <c r="RSH136" s="54"/>
      <c r="RSI136" s="8"/>
      <c r="RSJ136" s="54"/>
      <c r="RSK136" s="8"/>
      <c r="RSL136" s="54"/>
      <c r="RSM136" s="8"/>
      <c r="RSN136" s="54"/>
      <c r="RSO136" s="8"/>
      <c r="RSP136" s="54"/>
      <c r="RSQ136" s="8"/>
      <c r="RSR136" s="54"/>
      <c r="RSS136" s="8"/>
      <c r="RST136" s="54"/>
      <c r="RSU136" s="8"/>
      <c r="RSV136" s="54"/>
      <c r="RSW136" s="8"/>
      <c r="RSX136" s="54"/>
      <c r="RSY136" s="8"/>
      <c r="RSZ136" s="54"/>
      <c r="RTA136" s="8"/>
      <c r="RTB136" s="54"/>
      <c r="RTC136" s="8"/>
      <c r="RTD136" s="54"/>
      <c r="RTE136" s="8"/>
      <c r="RTF136" s="54"/>
      <c r="RTG136" s="8"/>
      <c r="RTH136" s="54"/>
      <c r="RTI136" s="8"/>
      <c r="RTJ136" s="54"/>
      <c r="RTK136" s="8"/>
      <c r="RTL136" s="54"/>
      <c r="RTM136" s="8"/>
      <c r="RTN136" s="54"/>
      <c r="RTO136" s="8"/>
      <c r="RTP136" s="54"/>
      <c r="RTQ136" s="8"/>
      <c r="RTR136" s="54"/>
      <c r="RTS136" s="8"/>
      <c r="RTT136" s="54"/>
      <c r="RTU136" s="8"/>
      <c r="RTV136" s="54"/>
      <c r="RTW136" s="8"/>
      <c r="RTX136" s="54"/>
      <c r="RTY136" s="8"/>
      <c r="RTZ136" s="54"/>
      <c r="RUA136" s="8"/>
      <c r="RUB136" s="54"/>
      <c r="RUC136" s="8"/>
      <c r="RUD136" s="54"/>
      <c r="RUE136" s="8"/>
      <c r="RUF136" s="54"/>
      <c r="RUG136" s="8"/>
      <c r="RUH136" s="54"/>
      <c r="RUI136" s="8"/>
      <c r="RUJ136" s="54"/>
      <c r="RUK136" s="8"/>
      <c r="RUL136" s="54"/>
      <c r="RUM136" s="8"/>
      <c r="RUN136" s="54"/>
      <c r="RUO136" s="8"/>
      <c r="RUP136" s="54"/>
      <c r="RUQ136" s="8"/>
      <c r="RUR136" s="54"/>
      <c r="RUS136" s="8"/>
      <c r="RUT136" s="54"/>
      <c r="RUU136" s="8"/>
      <c r="RUV136" s="54"/>
      <c r="RUW136" s="8"/>
      <c r="RUX136" s="54"/>
      <c r="RUY136" s="8"/>
      <c r="RUZ136" s="54"/>
      <c r="RVA136" s="8"/>
      <c r="RVB136" s="54"/>
      <c r="RVC136" s="8"/>
      <c r="RVD136" s="54"/>
      <c r="RVE136" s="8"/>
      <c r="RVF136" s="54"/>
      <c r="RVG136" s="8"/>
      <c r="RVH136" s="54"/>
      <c r="RVI136" s="8"/>
      <c r="RVJ136" s="54"/>
      <c r="RVK136" s="8"/>
      <c r="RVL136" s="54"/>
      <c r="RVM136" s="8"/>
      <c r="RVN136" s="54"/>
      <c r="RVO136" s="8"/>
      <c r="RVP136" s="54"/>
      <c r="RVQ136" s="8"/>
      <c r="RVR136" s="54"/>
      <c r="RVS136" s="8"/>
      <c r="RVT136" s="54"/>
      <c r="RVU136" s="8"/>
      <c r="RVV136" s="54"/>
      <c r="RVW136" s="8"/>
      <c r="RVX136" s="54"/>
      <c r="RVY136" s="8"/>
      <c r="RVZ136" s="54"/>
      <c r="RWA136" s="8"/>
      <c r="RWB136" s="54"/>
      <c r="RWC136" s="8"/>
      <c r="RWD136" s="54"/>
      <c r="RWE136" s="8"/>
      <c r="RWF136" s="54"/>
      <c r="RWG136" s="8"/>
      <c r="RWH136" s="54"/>
      <c r="RWI136" s="8"/>
      <c r="RWJ136" s="54"/>
      <c r="RWK136" s="8"/>
      <c r="RWL136" s="54"/>
      <c r="RWM136" s="8"/>
      <c r="RWN136" s="54"/>
      <c r="RWO136" s="8"/>
      <c r="RWP136" s="54"/>
      <c r="RWQ136" s="8"/>
      <c r="RWR136" s="54"/>
      <c r="RWS136" s="8"/>
      <c r="RWT136" s="54"/>
      <c r="RWU136" s="8"/>
      <c r="RWV136" s="54"/>
      <c r="RWW136" s="8"/>
      <c r="RWX136" s="54"/>
      <c r="RWY136" s="8"/>
      <c r="RWZ136" s="54"/>
      <c r="RXA136" s="8"/>
      <c r="RXB136" s="54"/>
      <c r="RXC136" s="8"/>
      <c r="RXD136" s="54"/>
      <c r="RXE136" s="8"/>
      <c r="RXF136" s="54"/>
      <c r="RXG136" s="8"/>
      <c r="RXH136" s="54"/>
      <c r="RXI136" s="8"/>
      <c r="RXJ136" s="54"/>
      <c r="RXK136" s="8"/>
      <c r="RXL136" s="54"/>
      <c r="RXM136" s="8"/>
      <c r="RXN136" s="54"/>
      <c r="RXO136" s="8"/>
      <c r="RXP136" s="54"/>
      <c r="RXQ136" s="8"/>
      <c r="RXR136" s="54"/>
      <c r="RXS136" s="8"/>
      <c r="RXT136" s="54"/>
      <c r="RXU136" s="8"/>
      <c r="RXV136" s="54"/>
      <c r="RXW136" s="8"/>
      <c r="RXX136" s="54"/>
      <c r="RXY136" s="8"/>
      <c r="RXZ136" s="54"/>
      <c r="RYA136" s="8"/>
      <c r="RYB136" s="54"/>
      <c r="RYC136" s="8"/>
      <c r="RYD136" s="54"/>
      <c r="RYE136" s="8"/>
      <c r="RYF136" s="54"/>
      <c r="RYG136" s="8"/>
      <c r="RYH136" s="54"/>
      <c r="RYI136" s="8"/>
      <c r="RYJ136" s="54"/>
      <c r="RYK136" s="8"/>
      <c r="RYL136" s="54"/>
      <c r="RYM136" s="8"/>
      <c r="RYN136" s="54"/>
      <c r="RYO136" s="8"/>
      <c r="RYP136" s="54"/>
      <c r="RYQ136" s="8"/>
      <c r="RYR136" s="54"/>
      <c r="RYS136" s="8"/>
      <c r="RYT136" s="54"/>
      <c r="RYU136" s="8"/>
      <c r="RYV136" s="54"/>
      <c r="RYW136" s="8"/>
      <c r="RYX136" s="54"/>
      <c r="RYY136" s="8"/>
      <c r="RYZ136" s="54"/>
      <c r="RZA136" s="8"/>
      <c r="RZB136" s="54"/>
      <c r="RZC136" s="8"/>
      <c r="RZD136" s="54"/>
      <c r="RZE136" s="8"/>
      <c r="RZF136" s="54"/>
      <c r="RZG136" s="8"/>
      <c r="RZH136" s="54"/>
      <c r="RZI136" s="8"/>
      <c r="RZJ136" s="54"/>
      <c r="RZK136" s="8"/>
      <c r="RZL136" s="54"/>
      <c r="RZM136" s="8"/>
      <c r="RZN136" s="54"/>
      <c r="RZO136" s="8"/>
      <c r="RZP136" s="54"/>
      <c r="RZQ136" s="8"/>
      <c r="RZR136" s="54"/>
      <c r="RZS136" s="8"/>
      <c r="RZT136" s="54"/>
      <c r="RZU136" s="8"/>
      <c r="RZV136" s="54"/>
      <c r="RZW136" s="8"/>
      <c r="RZX136" s="54"/>
      <c r="RZY136" s="8"/>
      <c r="RZZ136" s="54"/>
      <c r="SAA136" s="8"/>
      <c r="SAB136" s="54"/>
      <c r="SAC136" s="8"/>
      <c r="SAD136" s="54"/>
      <c r="SAE136" s="8"/>
      <c r="SAF136" s="54"/>
      <c r="SAG136" s="8"/>
      <c r="SAH136" s="54"/>
      <c r="SAI136" s="8"/>
      <c r="SAJ136" s="54"/>
      <c r="SAK136" s="8"/>
      <c r="SAL136" s="54"/>
      <c r="SAM136" s="8"/>
      <c r="SAN136" s="54"/>
      <c r="SAO136" s="8"/>
      <c r="SAP136" s="54"/>
      <c r="SAQ136" s="8"/>
      <c r="SAR136" s="54"/>
      <c r="SAS136" s="8"/>
      <c r="SAT136" s="54"/>
      <c r="SAU136" s="8"/>
      <c r="SAV136" s="54"/>
      <c r="SAW136" s="8"/>
      <c r="SAX136" s="54"/>
      <c r="SAY136" s="8"/>
      <c r="SAZ136" s="54"/>
      <c r="SBA136" s="8"/>
      <c r="SBB136" s="54"/>
      <c r="SBC136" s="8"/>
      <c r="SBD136" s="54"/>
      <c r="SBE136" s="8"/>
      <c r="SBF136" s="54"/>
      <c r="SBG136" s="8"/>
      <c r="SBH136" s="54"/>
      <c r="SBI136" s="8"/>
      <c r="SBJ136" s="54"/>
      <c r="SBK136" s="8"/>
      <c r="SBL136" s="54"/>
      <c r="SBM136" s="8"/>
      <c r="SBN136" s="54"/>
      <c r="SBO136" s="8"/>
      <c r="SBP136" s="54"/>
      <c r="SBQ136" s="8"/>
      <c r="SBR136" s="54"/>
      <c r="SBS136" s="8"/>
      <c r="SBT136" s="54"/>
      <c r="SBU136" s="8"/>
      <c r="SBV136" s="54"/>
      <c r="SBW136" s="8"/>
      <c r="SBX136" s="54"/>
      <c r="SBY136" s="8"/>
      <c r="SBZ136" s="54"/>
      <c r="SCA136" s="8"/>
      <c r="SCB136" s="54"/>
      <c r="SCC136" s="8"/>
      <c r="SCD136" s="54"/>
      <c r="SCE136" s="8"/>
      <c r="SCF136" s="54"/>
      <c r="SCG136" s="8"/>
      <c r="SCH136" s="54"/>
      <c r="SCI136" s="8"/>
      <c r="SCJ136" s="54"/>
      <c r="SCK136" s="8"/>
      <c r="SCL136" s="54"/>
      <c r="SCM136" s="8"/>
      <c r="SCN136" s="54"/>
      <c r="SCO136" s="8"/>
      <c r="SCP136" s="54"/>
      <c r="SCQ136" s="8"/>
      <c r="SCR136" s="54"/>
      <c r="SCS136" s="8"/>
      <c r="SCT136" s="54"/>
      <c r="SCU136" s="8"/>
      <c r="SCV136" s="54"/>
      <c r="SCW136" s="8"/>
      <c r="SCX136" s="54"/>
      <c r="SCY136" s="8"/>
      <c r="SCZ136" s="54"/>
      <c r="SDA136" s="8"/>
      <c r="SDB136" s="54"/>
      <c r="SDC136" s="8"/>
      <c r="SDD136" s="54"/>
      <c r="SDE136" s="8"/>
      <c r="SDF136" s="54"/>
      <c r="SDG136" s="8"/>
      <c r="SDH136" s="54"/>
      <c r="SDI136" s="8"/>
      <c r="SDJ136" s="54"/>
      <c r="SDK136" s="8"/>
      <c r="SDL136" s="54"/>
      <c r="SDM136" s="8"/>
      <c r="SDN136" s="54"/>
      <c r="SDO136" s="8"/>
      <c r="SDP136" s="54"/>
      <c r="SDQ136" s="8"/>
      <c r="SDR136" s="54"/>
      <c r="SDS136" s="8"/>
      <c r="SDT136" s="54"/>
      <c r="SDU136" s="8"/>
      <c r="SDV136" s="54"/>
      <c r="SDW136" s="8"/>
      <c r="SDX136" s="54"/>
      <c r="SDY136" s="8"/>
      <c r="SDZ136" s="54"/>
      <c r="SEA136" s="8"/>
      <c r="SEB136" s="54"/>
      <c r="SEC136" s="8"/>
      <c r="SED136" s="54"/>
      <c r="SEE136" s="8"/>
      <c r="SEF136" s="54"/>
      <c r="SEG136" s="8"/>
      <c r="SEH136" s="54"/>
      <c r="SEI136" s="8"/>
      <c r="SEJ136" s="54"/>
      <c r="SEK136" s="8"/>
      <c r="SEL136" s="54"/>
      <c r="SEM136" s="8"/>
      <c r="SEN136" s="54"/>
      <c r="SEO136" s="8"/>
      <c r="SEP136" s="54"/>
      <c r="SEQ136" s="8"/>
      <c r="SER136" s="54"/>
      <c r="SES136" s="8"/>
      <c r="SET136" s="54"/>
      <c r="SEU136" s="8"/>
      <c r="SEV136" s="54"/>
      <c r="SEW136" s="8"/>
      <c r="SEX136" s="54"/>
      <c r="SEY136" s="8"/>
      <c r="SEZ136" s="54"/>
      <c r="SFA136" s="8"/>
      <c r="SFB136" s="54"/>
      <c r="SFC136" s="8"/>
      <c r="SFD136" s="54"/>
      <c r="SFE136" s="8"/>
      <c r="SFF136" s="54"/>
      <c r="SFG136" s="8"/>
      <c r="SFH136" s="54"/>
      <c r="SFI136" s="8"/>
      <c r="SFJ136" s="54"/>
      <c r="SFK136" s="8"/>
      <c r="SFL136" s="54"/>
      <c r="SFM136" s="8"/>
      <c r="SFN136" s="54"/>
      <c r="SFO136" s="8"/>
      <c r="SFP136" s="54"/>
      <c r="SFQ136" s="8"/>
      <c r="SFR136" s="54"/>
      <c r="SFS136" s="8"/>
      <c r="SFT136" s="54"/>
      <c r="SFU136" s="8"/>
      <c r="SFV136" s="54"/>
      <c r="SFW136" s="8"/>
      <c r="SFX136" s="54"/>
      <c r="SFY136" s="8"/>
      <c r="SFZ136" s="54"/>
      <c r="SGA136" s="8"/>
      <c r="SGB136" s="54"/>
      <c r="SGC136" s="8"/>
      <c r="SGD136" s="54"/>
      <c r="SGE136" s="8"/>
      <c r="SGF136" s="54"/>
      <c r="SGG136" s="8"/>
      <c r="SGH136" s="54"/>
      <c r="SGI136" s="8"/>
      <c r="SGJ136" s="54"/>
      <c r="SGK136" s="8"/>
      <c r="SGL136" s="54"/>
      <c r="SGM136" s="8"/>
      <c r="SGN136" s="54"/>
      <c r="SGO136" s="8"/>
      <c r="SGP136" s="54"/>
      <c r="SGQ136" s="8"/>
      <c r="SGR136" s="54"/>
      <c r="SGS136" s="8"/>
      <c r="SGT136" s="54"/>
      <c r="SGU136" s="8"/>
      <c r="SGV136" s="54"/>
      <c r="SGW136" s="8"/>
      <c r="SGX136" s="54"/>
      <c r="SGY136" s="8"/>
      <c r="SGZ136" s="54"/>
      <c r="SHA136" s="8"/>
      <c r="SHB136" s="54"/>
      <c r="SHC136" s="8"/>
      <c r="SHD136" s="54"/>
      <c r="SHE136" s="8"/>
      <c r="SHF136" s="54"/>
      <c r="SHG136" s="8"/>
      <c r="SHH136" s="54"/>
      <c r="SHI136" s="8"/>
      <c r="SHJ136" s="54"/>
      <c r="SHK136" s="8"/>
      <c r="SHL136" s="54"/>
      <c r="SHM136" s="8"/>
      <c r="SHN136" s="54"/>
      <c r="SHO136" s="8"/>
      <c r="SHP136" s="54"/>
      <c r="SHQ136" s="8"/>
      <c r="SHR136" s="54"/>
      <c r="SHS136" s="8"/>
      <c r="SHT136" s="54"/>
      <c r="SHU136" s="8"/>
      <c r="SHV136" s="54"/>
      <c r="SHW136" s="8"/>
      <c r="SHX136" s="54"/>
      <c r="SHY136" s="8"/>
      <c r="SHZ136" s="54"/>
      <c r="SIA136" s="8"/>
      <c r="SIB136" s="54"/>
      <c r="SIC136" s="8"/>
      <c r="SID136" s="54"/>
      <c r="SIE136" s="8"/>
      <c r="SIF136" s="54"/>
      <c r="SIG136" s="8"/>
      <c r="SIH136" s="54"/>
      <c r="SII136" s="8"/>
      <c r="SIJ136" s="54"/>
      <c r="SIK136" s="8"/>
      <c r="SIL136" s="54"/>
      <c r="SIM136" s="8"/>
      <c r="SIN136" s="54"/>
      <c r="SIO136" s="8"/>
      <c r="SIP136" s="54"/>
      <c r="SIQ136" s="8"/>
      <c r="SIR136" s="54"/>
      <c r="SIS136" s="8"/>
      <c r="SIT136" s="54"/>
      <c r="SIU136" s="8"/>
      <c r="SIV136" s="54"/>
      <c r="SIW136" s="8"/>
      <c r="SIX136" s="54"/>
      <c r="SIY136" s="8"/>
      <c r="SIZ136" s="54"/>
      <c r="SJA136" s="8"/>
      <c r="SJB136" s="54"/>
      <c r="SJC136" s="8"/>
      <c r="SJD136" s="54"/>
      <c r="SJE136" s="8"/>
      <c r="SJF136" s="54"/>
      <c r="SJG136" s="8"/>
      <c r="SJH136" s="54"/>
      <c r="SJI136" s="8"/>
      <c r="SJJ136" s="54"/>
      <c r="SJK136" s="8"/>
      <c r="SJL136" s="54"/>
      <c r="SJM136" s="8"/>
      <c r="SJN136" s="54"/>
      <c r="SJO136" s="8"/>
      <c r="SJP136" s="54"/>
      <c r="SJQ136" s="8"/>
      <c r="SJR136" s="54"/>
      <c r="SJS136" s="8"/>
      <c r="SJT136" s="54"/>
      <c r="SJU136" s="8"/>
      <c r="SJV136" s="54"/>
      <c r="SJW136" s="8"/>
      <c r="SJX136" s="54"/>
      <c r="SJY136" s="8"/>
      <c r="SJZ136" s="54"/>
      <c r="SKA136" s="8"/>
      <c r="SKB136" s="54"/>
      <c r="SKC136" s="8"/>
      <c r="SKD136" s="54"/>
      <c r="SKE136" s="8"/>
      <c r="SKF136" s="54"/>
      <c r="SKG136" s="8"/>
      <c r="SKH136" s="54"/>
      <c r="SKI136" s="8"/>
      <c r="SKJ136" s="54"/>
      <c r="SKK136" s="8"/>
      <c r="SKL136" s="54"/>
      <c r="SKM136" s="8"/>
      <c r="SKN136" s="54"/>
      <c r="SKO136" s="8"/>
      <c r="SKP136" s="54"/>
      <c r="SKQ136" s="8"/>
      <c r="SKR136" s="54"/>
      <c r="SKS136" s="8"/>
      <c r="SKT136" s="54"/>
      <c r="SKU136" s="8"/>
      <c r="SKV136" s="54"/>
      <c r="SKW136" s="8"/>
      <c r="SKX136" s="54"/>
      <c r="SKY136" s="8"/>
      <c r="SKZ136" s="54"/>
      <c r="SLA136" s="8"/>
      <c r="SLB136" s="54"/>
      <c r="SLC136" s="8"/>
      <c r="SLD136" s="54"/>
      <c r="SLE136" s="8"/>
      <c r="SLF136" s="54"/>
      <c r="SLG136" s="8"/>
      <c r="SLH136" s="54"/>
      <c r="SLI136" s="8"/>
      <c r="SLJ136" s="54"/>
      <c r="SLK136" s="8"/>
      <c r="SLL136" s="54"/>
      <c r="SLM136" s="8"/>
      <c r="SLN136" s="54"/>
      <c r="SLO136" s="8"/>
      <c r="SLP136" s="54"/>
      <c r="SLQ136" s="8"/>
      <c r="SLR136" s="54"/>
      <c r="SLS136" s="8"/>
      <c r="SLT136" s="54"/>
      <c r="SLU136" s="8"/>
      <c r="SLV136" s="54"/>
      <c r="SLW136" s="8"/>
      <c r="SLX136" s="54"/>
      <c r="SLY136" s="8"/>
      <c r="SLZ136" s="54"/>
      <c r="SMA136" s="8"/>
      <c r="SMB136" s="54"/>
      <c r="SMC136" s="8"/>
      <c r="SMD136" s="54"/>
      <c r="SME136" s="8"/>
      <c r="SMF136" s="54"/>
      <c r="SMG136" s="8"/>
      <c r="SMH136" s="54"/>
      <c r="SMI136" s="8"/>
      <c r="SMJ136" s="54"/>
      <c r="SMK136" s="8"/>
      <c r="SML136" s="54"/>
      <c r="SMM136" s="8"/>
      <c r="SMN136" s="54"/>
      <c r="SMO136" s="8"/>
      <c r="SMP136" s="54"/>
      <c r="SMQ136" s="8"/>
      <c r="SMR136" s="54"/>
      <c r="SMS136" s="8"/>
      <c r="SMT136" s="54"/>
      <c r="SMU136" s="8"/>
      <c r="SMV136" s="54"/>
      <c r="SMW136" s="8"/>
      <c r="SMX136" s="54"/>
      <c r="SMY136" s="8"/>
      <c r="SMZ136" s="54"/>
      <c r="SNA136" s="8"/>
      <c r="SNB136" s="54"/>
      <c r="SNC136" s="8"/>
      <c r="SND136" s="54"/>
      <c r="SNE136" s="8"/>
      <c r="SNF136" s="54"/>
      <c r="SNG136" s="8"/>
      <c r="SNH136" s="54"/>
      <c r="SNI136" s="8"/>
      <c r="SNJ136" s="54"/>
      <c r="SNK136" s="8"/>
      <c r="SNL136" s="54"/>
      <c r="SNM136" s="8"/>
      <c r="SNN136" s="54"/>
      <c r="SNO136" s="8"/>
      <c r="SNP136" s="54"/>
      <c r="SNQ136" s="8"/>
      <c r="SNR136" s="54"/>
      <c r="SNS136" s="8"/>
      <c r="SNT136" s="54"/>
      <c r="SNU136" s="8"/>
      <c r="SNV136" s="54"/>
      <c r="SNW136" s="8"/>
      <c r="SNX136" s="54"/>
      <c r="SNY136" s="8"/>
      <c r="SNZ136" s="54"/>
      <c r="SOA136" s="8"/>
      <c r="SOB136" s="54"/>
      <c r="SOC136" s="8"/>
      <c r="SOD136" s="54"/>
      <c r="SOE136" s="8"/>
      <c r="SOF136" s="54"/>
      <c r="SOG136" s="8"/>
      <c r="SOH136" s="54"/>
      <c r="SOI136" s="8"/>
      <c r="SOJ136" s="54"/>
      <c r="SOK136" s="8"/>
      <c r="SOL136" s="54"/>
      <c r="SOM136" s="8"/>
      <c r="SON136" s="54"/>
      <c r="SOO136" s="8"/>
      <c r="SOP136" s="54"/>
      <c r="SOQ136" s="8"/>
      <c r="SOR136" s="54"/>
      <c r="SOS136" s="8"/>
      <c r="SOT136" s="54"/>
      <c r="SOU136" s="8"/>
      <c r="SOV136" s="54"/>
      <c r="SOW136" s="8"/>
      <c r="SOX136" s="54"/>
      <c r="SOY136" s="8"/>
      <c r="SOZ136" s="54"/>
      <c r="SPA136" s="8"/>
      <c r="SPB136" s="54"/>
      <c r="SPC136" s="8"/>
      <c r="SPD136" s="54"/>
      <c r="SPE136" s="8"/>
      <c r="SPF136" s="54"/>
      <c r="SPG136" s="8"/>
      <c r="SPH136" s="54"/>
      <c r="SPI136" s="8"/>
      <c r="SPJ136" s="54"/>
      <c r="SPK136" s="8"/>
      <c r="SPL136" s="54"/>
      <c r="SPM136" s="8"/>
      <c r="SPN136" s="54"/>
      <c r="SPO136" s="8"/>
      <c r="SPP136" s="54"/>
      <c r="SPQ136" s="8"/>
      <c r="SPR136" s="54"/>
      <c r="SPS136" s="8"/>
      <c r="SPT136" s="54"/>
      <c r="SPU136" s="8"/>
      <c r="SPV136" s="54"/>
      <c r="SPW136" s="8"/>
      <c r="SPX136" s="54"/>
      <c r="SPY136" s="8"/>
      <c r="SPZ136" s="54"/>
      <c r="SQA136" s="8"/>
      <c r="SQB136" s="54"/>
      <c r="SQC136" s="8"/>
      <c r="SQD136" s="54"/>
      <c r="SQE136" s="8"/>
      <c r="SQF136" s="54"/>
      <c r="SQG136" s="8"/>
      <c r="SQH136" s="54"/>
      <c r="SQI136" s="8"/>
      <c r="SQJ136" s="54"/>
      <c r="SQK136" s="8"/>
      <c r="SQL136" s="54"/>
      <c r="SQM136" s="8"/>
      <c r="SQN136" s="54"/>
      <c r="SQO136" s="8"/>
      <c r="SQP136" s="54"/>
      <c r="SQQ136" s="8"/>
      <c r="SQR136" s="54"/>
      <c r="SQS136" s="8"/>
      <c r="SQT136" s="54"/>
      <c r="SQU136" s="8"/>
      <c r="SQV136" s="54"/>
      <c r="SQW136" s="8"/>
      <c r="SQX136" s="54"/>
      <c r="SQY136" s="8"/>
      <c r="SQZ136" s="54"/>
      <c r="SRA136" s="8"/>
      <c r="SRB136" s="54"/>
      <c r="SRC136" s="8"/>
      <c r="SRD136" s="54"/>
      <c r="SRE136" s="8"/>
      <c r="SRF136" s="54"/>
      <c r="SRG136" s="8"/>
      <c r="SRH136" s="54"/>
      <c r="SRI136" s="8"/>
      <c r="SRJ136" s="54"/>
      <c r="SRK136" s="8"/>
      <c r="SRL136" s="54"/>
      <c r="SRM136" s="8"/>
      <c r="SRN136" s="54"/>
      <c r="SRO136" s="8"/>
      <c r="SRP136" s="54"/>
      <c r="SRQ136" s="8"/>
      <c r="SRR136" s="54"/>
      <c r="SRS136" s="8"/>
      <c r="SRT136" s="54"/>
      <c r="SRU136" s="8"/>
      <c r="SRV136" s="54"/>
      <c r="SRW136" s="8"/>
      <c r="SRX136" s="54"/>
      <c r="SRY136" s="8"/>
      <c r="SRZ136" s="54"/>
      <c r="SSA136" s="8"/>
      <c r="SSB136" s="54"/>
      <c r="SSC136" s="8"/>
      <c r="SSD136" s="54"/>
      <c r="SSE136" s="8"/>
      <c r="SSF136" s="54"/>
      <c r="SSG136" s="8"/>
      <c r="SSH136" s="54"/>
      <c r="SSI136" s="8"/>
      <c r="SSJ136" s="54"/>
      <c r="SSK136" s="8"/>
      <c r="SSL136" s="54"/>
      <c r="SSM136" s="8"/>
      <c r="SSN136" s="54"/>
      <c r="SSO136" s="8"/>
      <c r="SSP136" s="54"/>
      <c r="SSQ136" s="8"/>
      <c r="SSR136" s="54"/>
      <c r="SSS136" s="8"/>
      <c r="SST136" s="54"/>
      <c r="SSU136" s="8"/>
      <c r="SSV136" s="54"/>
      <c r="SSW136" s="8"/>
      <c r="SSX136" s="54"/>
      <c r="SSY136" s="8"/>
      <c r="SSZ136" s="54"/>
      <c r="STA136" s="8"/>
      <c r="STB136" s="54"/>
      <c r="STC136" s="8"/>
      <c r="STD136" s="54"/>
      <c r="STE136" s="8"/>
      <c r="STF136" s="54"/>
      <c r="STG136" s="8"/>
      <c r="STH136" s="54"/>
      <c r="STI136" s="8"/>
      <c r="STJ136" s="54"/>
      <c r="STK136" s="8"/>
      <c r="STL136" s="54"/>
      <c r="STM136" s="8"/>
      <c r="STN136" s="54"/>
      <c r="STO136" s="8"/>
      <c r="STP136" s="54"/>
      <c r="STQ136" s="8"/>
      <c r="STR136" s="54"/>
      <c r="STS136" s="8"/>
      <c r="STT136" s="54"/>
      <c r="STU136" s="8"/>
      <c r="STV136" s="54"/>
      <c r="STW136" s="8"/>
      <c r="STX136" s="54"/>
      <c r="STY136" s="8"/>
      <c r="STZ136" s="54"/>
      <c r="SUA136" s="8"/>
      <c r="SUB136" s="54"/>
      <c r="SUC136" s="8"/>
      <c r="SUD136" s="54"/>
      <c r="SUE136" s="8"/>
      <c r="SUF136" s="54"/>
      <c r="SUG136" s="8"/>
      <c r="SUH136" s="54"/>
      <c r="SUI136" s="8"/>
      <c r="SUJ136" s="54"/>
      <c r="SUK136" s="8"/>
      <c r="SUL136" s="54"/>
      <c r="SUM136" s="8"/>
      <c r="SUN136" s="54"/>
      <c r="SUO136" s="8"/>
      <c r="SUP136" s="54"/>
      <c r="SUQ136" s="8"/>
      <c r="SUR136" s="54"/>
      <c r="SUS136" s="8"/>
      <c r="SUT136" s="54"/>
      <c r="SUU136" s="8"/>
      <c r="SUV136" s="54"/>
      <c r="SUW136" s="8"/>
      <c r="SUX136" s="54"/>
      <c r="SUY136" s="8"/>
      <c r="SUZ136" s="54"/>
      <c r="SVA136" s="8"/>
      <c r="SVB136" s="54"/>
      <c r="SVC136" s="8"/>
      <c r="SVD136" s="54"/>
      <c r="SVE136" s="8"/>
      <c r="SVF136" s="54"/>
      <c r="SVG136" s="8"/>
      <c r="SVH136" s="54"/>
      <c r="SVI136" s="8"/>
      <c r="SVJ136" s="54"/>
      <c r="SVK136" s="8"/>
      <c r="SVL136" s="54"/>
      <c r="SVM136" s="8"/>
      <c r="SVN136" s="54"/>
      <c r="SVO136" s="8"/>
      <c r="SVP136" s="54"/>
      <c r="SVQ136" s="8"/>
      <c r="SVR136" s="54"/>
      <c r="SVS136" s="8"/>
      <c r="SVT136" s="54"/>
      <c r="SVU136" s="8"/>
      <c r="SVV136" s="54"/>
      <c r="SVW136" s="8"/>
      <c r="SVX136" s="54"/>
      <c r="SVY136" s="8"/>
      <c r="SVZ136" s="54"/>
      <c r="SWA136" s="8"/>
      <c r="SWB136" s="54"/>
      <c r="SWC136" s="8"/>
      <c r="SWD136" s="54"/>
      <c r="SWE136" s="8"/>
      <c r="SWF136" s="54"/>
      <c r="SWG136" s="8"/>
      <c r="SWH136" s="54"/>
      <c r="SWI136" s="8"/>
      <c r="SWJ136" s="54"/>
      <c r="SWK136" s="8"/>
      <c r="SWL136" s="54"/>
      <c r="SWM136" s="8"/>
      <c r="SWN136" s="54"/>
      <c r="SWO136" s="8"/>
      <c r="SWP136" s="54"/>
      <c r="SWQ136" s="8"/>
      <c r="SWR136" s="54"/>
      <c r="SWS136" s="8"/>
      <c r="SWT136" s="54"/>
      <c r="SWU136" s="8"/>
      <c r="SWV136" s="54"/>
      <c r="SWW136" s="8"/>
      <c r="SWX136" s="54"/>
      <c r="SWY136" s="8"/>
      <c r="SWZ136" s="54"/>
      <c r="SXA136" s="8"/>
      <c r="SXB136" s="54"/>
      <c r="SXC136" s="8"/>
      <c r="SXD136" s="54"/>
      <c r="SXE136" s="8"/>
      <c r="SXF136" s="54"/>
      <c r="SXG136" s="8"/>
      <c r="SXH136" s="54"/>
      <c r="SXI136" s="8"/>
      <c r="SXJ136" s="54"/>
      <c r="SXK136" s="8"/>
      <c r="SXL136" s="54"/>
      <c r="SXM136" s="8"/>
      <c r="SXN136" s="54"/>
      <c r="SXO136" s="8"/>
      <c r="SXP136" s="54"/>
      <c r="SXQ136" s="8"/>
      <c r="SXR136" s="54"/>
      <c r="SXS136" s="8"/>
      <c r="SXT136" s="54"/>
      <c r="SXU136" s="8"/>
      <c r="SXV136" s="54"/>
      <c r="SXW136" s="8"/>
      <c r="SXX136" s="54"/>
      <c r="SXY136" s="8"/>
      <c r="SXZ136" s="54"/>
      <c r="SYA136" s="8"/>
      <c r="SYB136" s="54"/>
      <c r="SYC136" s="8"/>
      <c r="SYD136" s="54"/>
      <c r="SYE136" s="8"/>
      <c r="SYF136" s="54"/>
      <c r="SYG136" s="8"/>
      <c r="SYH136" s="54"/>
      <c r="SYI136" s="8"/>
      <c r="SYJ136" s="54"/>
      <c r="SYK136" s="8"/>
      <c r="SYL136" s="54"/>
      <c r="SYM136" s="8"/>
      <c r="SYN136" s="54"/>
      <c r="SYO136" s="8"/>
      <c r="SYP136" s="54"/>
      <c r="SYQ136" s="8"/>
      <c r="SYR136" s="54"/>
      <c r="SYS136" s="8"/>
      <c r="SYT136" s="54"/>
      <c r="SYU136" s="8"/>
      <c r="SYV136" s="54"/>
      <c r="SYW136" s="8"/>
      <c r="SYX136" s="54"/>
      <c r="SYY136" s="8"/>
      <c r="SYZ136" s="54"/>
      <c r="SZA136" s="8"/>
      <c r="SZB136" s="54"/>
      <c r="SZC136" s="8"/>
      <c r="SZD136" s="54"/>
      <c r="SZE136" s="8"/>
      <c r="SZF136" s="54"/>
      <c r="SZG136" s="8"/>
      <c r="SZH136" s="54"/>
      <c r="SZI136" s="8"/>
      <c r="SZJ136" s="54"/>
      <c r="SZK136" s="8"/>
      <c r="SZL136" s="54"/>
      <c r="SZM136" s="8"/>
      <c r="SZN136" s="54"/>
      <c r="SZO136" s="8"/>
      <c r="SZP136" s="54"/>
      <c r="SZQ136" s="8"/>
      <c r="SZR136" s="54"/>
      <c r="SZS136" s="8"/>
      <c r="SZT136" s="54"/>
      <c r="SZU136" s="8"/>
      <c r="SZV136" s="54"/>
      <c r="SZW136" s="8"/>
      <c r="SZX136" s="54"/>
      <c r="SZY136" s="8"/>
      <c r="SZZ136" s="54"/>
      <c r="TAA136" s="8"/>
      <c r="TAB136" s="54"/>
      <c r="TAC136" s="8"/>
      <c r="TAD136" s="54"/>
      <c r="TAE136" s="8"/>
      <c r="TAF136" s="54"/>
      <c r="TAG136" s="8"/>
      <c r="TAH136" s="54"/>
      <c r="TAI136" s="8"/>
      <c r="TAJ136" s="54"/>
      <c r="TAK136" s="8"/>
      <c r="TAL136" s="54"/>
      <c r="TAM136" s="8"/>
      <c r="TAN136" s="54"/>
      <c r="TAO136" s="8"/>
      <c r="TAP136" s="54"/>
      <c r="TAQ136" s="8"/>
      <c r="TAR136" s="54"/>
      <c r="TAS136" s="8"/>
      <c r="TAT136" s="54"/>
      <c r="TAU136" s="8"/>
      <c r="TAV136" s="54"/>
      <c r="TAW136" s="8"/>
      <c r="TAX136" s="54"/>
      <c r="TAY136" s="8"/>
      <c r="TAZ136" s="54"/>
      <c r="TBA136" s="8"/>
      <c r="TBB136" s="54"/>
      <c r="TBC136" s="8"/>
      <c r="TBD136" s="54"/>
      <c r="TBE136" s="8"/>
      <c r="TBF136" s="54"/>
      <c r="TBG136" s="8"/>
      <c r="TBH136" s="54"/>
      <c r="TBI136" s="8"/>
      <c r="TBJ136" s="54"/>
      <c r="TBK136" s="8"/>
      <c r="TBL136" s="54"/>
      <c r="TBM136" s="8"/>
      <c r="TBN136" s="54"/>
      <c r="TBO136" s="8"/>
      <c r="TBP136" s="54"/>
      <c r="TBQ136" s="8"/>
      <c r="TBR136" s="54"/>
      <c r="TBS136" s="8"/>
      <c r="TBT136" s="54"/>
      <c r="TBU136" s="8"/>
      <c r="TBV136" s="54"/>
      <c r="TBW136" s="8"/>
      <c r="TBX136" s="54"/>
      <c r="TBY136" s="8"/>
      <c r="TBZ136" s="54"/>
      <c r="TCA136" s="8"/>
      <c r="TCB136" s="54"/>
      <c r="TCC136" s="8"/>
      <c r="TCD136" s="54"/>
      <c r="TCE136" s="8"/>
      <c r="TCF136" s="54"/>
      <c r="TCG136" s="8"/>
      <c r="TCH136" s="54"/>
      <c r="TCI136" s="8"/>
      <c r="TCJ136" s="54"/>
      <c r="TCK136" s="8"/>
      <c r="TCL136" s="54"/>
      <c r="TCM136" s="8"/>
      <c r="TCN136" s="54"/>
      <c r="TCO136" s="8"/>
      <c r="TCP136" s="54"/>
      <c r="TCQ136" s="8"/>
      <c r="TCR136" s="54"/>
      <c r="TCS136" s="8"/>
      <c r="TCT136" s="54"/>
      <c r="TCU136" s="8"/>
      <c r="TCV136" s="54"/>
      <c r="TCW136" s="8"/>
      <c r="TCX136" s="54"/>
      <c r="TCY136" s="8"/>
      <c r="TCZ136" s="54"/>
      <c r="TDA136" s="8"/>
      <c r="TDB136" s="54"/>
      <c r="TDC136" s="8"/>
      <c r="TDD136" s="54"/>
      <c r="TDE136" s="8"/>
      <c r="TDF136" s="54"/>
      <c r="TDG136" s="8"/>
      <c r="TDH136" s="54"/>
      <c r="TDI136" s="8"/>
      <c r="TDJ136" s="54"/>
      <c r="TDK136" s="8"/>
      <c r="TDL136" s="54"/>
      <c r="TDM136" s="8"/>
      <c r="TDN136" s="54"/>
      <c r="TDO136" s="8"/>
      <c r="TDP136" s="54"/>
      <c r="TDQ136" s="8"/>
      <c r="TDR136" s="54"/>
      <c r="TDS136" s="8"/>
      <c r="TDT136" s="54"/>
      <c r="TDU136" s="8"/>
      <c r="TDV136" s="54"/>
      <c r="TDW136" s="8"/>
      <c r="TDX136" s="54"/>
      <c r="TDY136" s="8"/>
      <c r="TDZ136" s="54"/>
      <c r="TEA136" s="8"/>
      <c r="TEB136" s="54"/>
      <c r="TEC136" s="8"/>
      <c r="TED136" s="54"/>
      <c r="TEE136" s="8"/>
      <c r="TEF136" s="54"/>
      <c r="TEG136" s="8"/>
      <c r="TEH136" s="54"/>
      <c r="TEI136" s="8"/>
      <c r="TEJ136" s="54"/>
      <c r="TEK136" s="8"/>
      <c r="TEL136" s="54"/>
      <c r="TEM136" s="8"/>
      <c r="TEN136" s="54"/>
      <c r="TEO136" s="8"/>
      <c r="TEP136" s="54"/>
      <c r="TEQ136" s="8"/>
      <c r="TER136" s="54"/>
      <c r="TES136" s="8"/>
      <c r="TET136" s="54"/>
      <c r="TEU136" s="8"/>
      <c r="TEV136" s="54"/>
      <c r="TEW136" s="8"/>
      <c r="TEX136" s="54"/>
      <c r="TEY136" s="8"/>
      <c r="TEZ136" s="54"/>
      <c r="TFA136" s="8"/>
      <c r="TFB136" s="54"/>
      <c r="TFC136" s="8"/>
      <c r="TFD136" s="54"/>
      <c r="TFE136" s="8"/>
      <c r="TFF136" s="54"/>
      <c r="TFG136" s="8"/>
      <c r="TFH136" s="54"/>
      <c r="TFI136" s="8"/>
      <c r="TFJ136" s="54"/>
      <c r="TFK136" s="8"/>
      <c r="TFL136" s="54"/>
      <c r="TFM136" s="8"/>
      <c r="TFN136" s="54"/>
      <c r="TFO136" s="8"/>
      <c r="TFP136" s="54"/>
      <c r="TFQ136" s="8"/>
      <c r="TFR136" s="54"/>
      <c r="TFS136" s="8"/>
      <c r="TFT136" s="54"/>
      <c r="TFU136" s="8"/>
      <c r="TFV136" s="54"/>
      <c r="TFW136" s="8"/>
      <c r="TFX136" s="54"/>
      <c r="TFY136" s="8"/>
      <c r="TFZ136" s="54"/>
      <c r="TGA136" s="8"/>
      <c r="TGB136" s="54"/>
      <c r="TGC136" s="8"/>
      <c r="TGD136" s="54"/>
      <c r="TGE136" s="8"/>
      <c r="TGF136" s="54"/>
      <c r="TGG136" s="8"/>
      <c r="TGH136" s="54"/>
      <c r="TGI136" s="8"/>
      <c r="TGJ136" s="54"/>
      <c r="TGK136" s="8"/>
      <c r="TGL136" s="54"/>
      <c r="TGM136" s="8"/>
      <c r="TGN136" s="54"/>
      <c r="TGO136" s="8"/>
      <c r="TGP136" s="54"/>
      <c r="TGQ136" s="8"/>
      <c r="TGR136" s="54"/>
      <c r="TGS136" s="8"/>
      <c r="TGT136" s="54"/>
      <c r="TGU136" s="8"/>
      <c r="TGV136" s="54"/>
      <c r="TGW136" s="8"/>
      <c r="TGX136" s="54"/>
      <c r="TGY136" s="8"/>
      <c r="TGZ136" s="54"/>
      <c r="THA136" s="8"/>
      <c r="THB136" s="54"/>
      <c r="THC136" s="8"/>
      <c r="THD136" s="54"/>
      <c r="THE136" s="8"/>
      <c r="THF136" s="54"/>
      <c r="THG136" s="8"/>
      <c r="THH136" s="54"/>
      <c r="THI136" s="8"/>
      <c r="THJ136" s="54"/>
      <c r="THK136" s="8"/>
      <c r="THL136" s="54"/>
      <c r="THM136" s="8"/>
      <c r="THN136" s="54"/>
      <c r="THO136" s="8"/>
      <c r="THP136" s="54"/>
      <c r="THQ136" s="8"/>
      <c r="THR136" s="54"/>
      <c r="THS136" s="8"/>
      <c r="THT136" s="54"/>
      <c r="THU136" s="8"/>
      <c r="THV136" s="54"/>
      <c r="THW136" s="8"/>
      <c r="THX136" s="54"/>
      <c r="THY136" s="8"/>
      <c r="THZ136" s="54"/>
      <c r="TIA136" s="8"/>
      <c r="TIB136" s="54"/>
      <c r="TIC136" s="8"/>
      <c r="TID136" s="54"/>
      <c r="TIE136" s="8"/>
      <c r="TIF136" s="54"/>
      <c r="TIG136" s="8"/>
      <c r="TIH136" s="54"/>
      <c r="TII136" s="8"/>
      <c r="TIJ136" s="54"/>
      <c r="TIK136" s="8"/>
      <c r="TIL136" s="54"/>
      <c r="TIM136" s="8"/>
      <c r="TIN136" s="54"/>
      <c r="TIO136" s="8"/>
      <c r="TIP136" s="54"/>
      <c r="TIQ136" s="8"/>
      <c r="TIR136" s="54"/>
      <c r="TIS136" s="8"/>
      <c r="TIT136" s="54"/>
      <c r="TIU136" s="8"/>
      <c r="TIV136" s="54"/>
      <c r="TIW136" s="8"/>
      <c r="TIX136" s="54"/>
      <c r="TIY136" s="8"/>
      <c r="TIZ136" s="54"/>
      <c r="TJA136" s="8"/>
      <c r="TJB136" s="54"/>
      <c r="TJC136" s="8"/>
      <c r="TJD136" s="54"/>
      <c r="TJE136" s="8"/>
      <c r="TJF136" s="54"/>
      <c r="TJG136" s="8"/>
      <c r="TJH136" s="54"/>
      <c r="TJI136" s="8"/>
      <c r="TJJ136" s="54"/>
      <c r="TJK136" s="8"/>
      <c r="TJL136" s="54"/>
      <c r="TJM136" s="8"/>
      <c r="TJN136" s="54"/>
      <c r="TJO136" s="8"/>
      <c r="TJP136" s="54"/>
      <c r="TJQ136" s="8"/>
      <c r="TJR136" s="54"/>
      <c r="TJS136" s="8"/>
      <c r="TJT136" s="54"/>
      <c r="TJU136" s="8"/>
      <c r="TJV136" s="54"/>
      <c r="TJW136" s="8"/>
      <c r="TJX136" s="54"/>
      <c r="TJY136" s="8"/>
      <c r="TJZ136" s="54"/>
      <c r="TKA136" s="8"/>
      <c r="TKB136" s="54"/>
      <c r="TKC136" s="8"/>
      <c r="TKD136" s="54"/>
      <c r="TKE136" s="8"/>
      <c r="TKF136" s="54"/>
      <c r="TKG136" s="8"/>
      <c r="TKH136" s="54"/>
      <c r="TKI136" s="8"/>
      <c r="TKJ136" s="54"/>
      <c r="TKK136" s="8"/>
      <c r="TKL136" s="54"/>
      <c r="TKM136" s="8"/>
      <c r="TKN136" s="54"/>
      <c r="TKO136" s="8"/>
      <c r="TKP136" s="54"/>
      <c r="TKQ136" s="8"/>
      <c r="TKR136" s="54"/>
      <c r="TKS136" s="8"/>
      <c r="TKT136" s="54"/>
      <c r="TKU136" s="8"/>
      <c r="TKV136" s="54"/>
      <c r="TKW136" s="8"/>
      <c r="TKX136" s="54"/>
      <c r="TKY136" s="8"/>
      <c r="TKZ136" s="54"/>
      <c r="TLA136" s="8"/>
      <c r="TLB136" s="54"/>
      <c r="TLC136" s="8"/>
      <c r="TLD136" s="54"/>
      <c r="TLE136" s="8"/>
      <c r="TLF136" s="54"/>
      <c r="TLG136" s="8"/>
      <c r="TLH136" s="54"/>
      <c r="TLI136" s="8"/>
      <c r="TLJ136" s="54"/>
      <c r="TLK136" s="8"/>
      <c r="TLL136" s="54"/>
      <c r="TLM136" s="8"/>
      <c r="TLN136" s="54"/>
      <c r="TLO136" s="8"/>
      <c r="TLP136" s="54"/>
      <c r="TLQ136" s="8"/>
      <c r="TLR136" s="54"/>
      <c r="TLS136" s="8"/>
      <c r="TLT136" s="54"/>
      <c r="TLU136" s="8"/>
      <c r="TLV136" s="54"/>
      <c r="TLW136" s="8"/>
      <c r="TLX136" s="54"/>
      <c r="TLY136" s="8"/>
      <c r="TLZ136" s="54"/>
      <c r="TMA136" s="8"/>
      <c r="TMB136" s="54"/>
      <c r="TMC136" s="8"/>
      <c r="TMD136" s="54"/>
      <c r="TME136" s="8"/>
      <c r="TMF136" s="54"/>
      <c r="TMG136" s="8"/>
      <c r="TMH136" s="54"/>
      <c r="TMI136" s="8"/>
      <c r="TMJ136" s="54"/>
      <c r="TMK136" s="8"/>
      <c r="TML136" s="54"/>
      <c r="TMM136" s="8"/>
      <c r="TMN136" s="54"/>
      <c r="TMO136" s="8"/>
      <c r="TMP136" s="54"/>
      <c r="TMQ136" s="8"/>
      <c r="TMR136" s="54"/>
      <c r="TMS136" s="8"/>
      <c r="TMT136" s="54"/>
      <c r="TMU136" s="8"/>
      <c r="TMV136" s="54"/>
      <c r="TMW136" s="8"/>
      <c r="TMX136" s="54"/>
      <c r="TMY136" s="8"/>
      <c r="TMZ136" s="54"/>
      <c r="TNA136" s="8"/>
      <c r="TNB136" s="54"/>
      <c r="TNC136" s="8"/>
      <c r="TND136" s="54"/>
      <c r="TNE136" s="8"/>
      <c r="TNF136" s="54"/>
      <c r="TNG136" s="8"/>
      <c r="TNH136" s="54"/>
      <c r="TNI136" s="8"/>
      <c r="TNJ136" s="54"/>
      <c r="TNK136" s="8"/>
      <c r="TNL136" s="54"/>
      <c r="TNM136" s="8"/>
      <c r="TNN136" s="54"/>
      <c r="TNO136" s="8"/>
      <c r="TNP136" s="54"/>
      <c r="TNQ136" s="8"/>
      <c r="TNR136" s="54"/>
      <c r="TNS136" s="8"/>
      <c r="TNT136" s="54"/>
      <c r="TNU136" s="8"/>
      <c r="TNV136" s="54"/>
      <c r="TNW136" s="8"/>
      <c r="TNX136" s="54"/>
      <c r="TNY136" s="8"/>
      <c r="TNZ136" s="54"/>
      <c r="TOA136" s="8"/>
      <c r="TOB136" s="54"/>
      <c r="TOC136" s="8"/>
      <c r="TOD136" s="54"/>
      <c r="TOE136" s="8"/>
      <c r="TOF136" s="54"/>
      <c r="TOG136" s="8"/>
      <c r="TOH136" s="54"/>
      <c r="TOI136" s="8"/>
      <c r="TOJ136" s="54"/>
      <c r="TOK136" s="8"/>
      <c r="TOL136" s="54"/>
      <c r="TOM136" s="8"/>
      <c r="TON136" s="54"/>
      <c r="TOO136" s="8"/>
      <c r="TOP136" s="54"/>
      <c r="TOQ136" s="8"/>
      <c r="TOR136" s="54"/>
      <c r="TOS136" s="8"/>
      <c r="TOT136" s="54"/>
      <c r="TOU136" s="8"/>
      <c r="TOV136" s="54"/>
      <c r="TOW136" s="8"/>
      <c r="TOX136" s="54"/>
      <c r="TOY136" s="8"/>
      <c r="TOZ136" s="54"/>
      <c r="TPA136" s="8"/>
      <c r="TPB136" s="54"/>
      <c r="TPC136" s="8"/>
      <c r="TPD136" s="54"/>
      <c r="TPE136" s="8"/>
      <c r="TPF136" s="54"/>
      <c r="TPG136" s="8"/>
      <c r="TPH136" s="54"/>
      <c r="TPI136" s="8"/>
      <c r="TPJ136" s="54"/>
      <c r="TPK136" s="8"/>
      <c r="TPL136" s="54"/>
      <c r="TPM136" s="8"/>
      <c r="TPN136" s="54"/>
      <c r="TPO136" s="8"/>
      <c r="TPP136" s="54"/>
      <c r="TPQ136" s="8"/>
      <c r="TPR136" s="54"/>
      <c r="TPS136" s="8"/>
      <c r="TPT136" s="54"/>
      <c r="TPU136" s="8"/>
      <c r="TPV136" s="54"/>
      <c r="TPW136" s="8"/>
      <c r="TPX136" s="54"/>
      <c r="TPY136" s="8"/>
      <c r="TPZ136" s="54"/>
      <c r="TQA136" s="8"/>
      <c r="TQB136" s="54"/>
      <c r="TQC136" s="8"/>
      <c r="TQD136" s="54"/>
      <c r="TQE136" s="8"/>
      <c r="TQF136" s="54"/>
      <c r="TQG136" s="8"/>
      <c r="TQH136" s="54"/>
      <c r="TQI136" s="8"/>
      <c r="TQJ136" s="54"/>
      <c r="TQK136" s="8"/>
      <c r="TQL136" s="54"/>
      <c r="TQM136" s="8"/>
      <c r="TQN136" s="54"/>
      <c r="TQO136" s="8"/>
      <c r="TQP136" s="54"/>
      <c r="TQQ136" s="8"/>
      <c r="TQR136" s="54"/>
      <c r="TQS136" s="8"/>
      <c r="TQT136" s="54"/>
      <c r="TQU136" s="8"/>
      <c r="TQV136" s="54"/>
      <c r="TQW136" s="8"/>
      <c r="TQX136" s="54"/>
      <c r="TQY136" s="8"/>
      <c r="TQZ136" s="54"/>
      <c r="TRA136" s="8"/>
      <c r="TRB136" s="54"/>
      <c r="TRC136" s="8"/>
      <c r="TRD136" s="54"/>
      <c r="TRE136" s="8"/>
      <c r="TRF136" s="54"/>
      <c r="TRG136" s="8"/>
      <c r="TRH136" s="54"/>
      <c r="TRI136" s="8"/>
      <c r="TRJ136" s="54"/>
      <c r="TRK136" s="8"/>
      <c r="TRL136" s="54"/>
      <c r="TRM136" s="8"/>
      <c r="TRN136" s="54"/>
      <c r="TRO136" s="8"/>
      <c r="TRP136" s="54"/>
      <c r="TRQ136" s="8"/>
      <c r="TRR136" s="54"/>
      <c r="TRS136" s="8"/>
      <c r="TRT136" s="54"/>
      <c r="TRU136" s="8"/>
      <c r="TRV136" s="54"/>
      <c r="TRW136" s="8"/>
      <c r="TRX136" s="54"/>
      <c r="TRY136" s="8"/>
      <c r="TRZ136" s="54"/>
      <c r="TSA136" s="8"/>
      <c r="TSB136" s="54"/>
      <c r="TSC136" s="8"/>
      <c r="TSD136" s="54"/>
      <c r="TSE136" s="8"/>
      <c r="TSF136" s="54"/>
      <c r="TSG136" s="8"/>
      <c r="TSH136" s="54"/>
      <c r="TSI136" s="8"/>
      <c r="TSJ136" s="54"/>
      <c r="TSK136" s="8"/>
      <c r="TSL136" s="54"/>
      <c r="TSM136" s="8"/>
      <c r="TSN136" s="54"/>
      <c r="TSO136" s="8"/>
      <c r="TSP136" s="54"/>
      <c r="TSQ136" s="8"/>
      <c r="TSR136" s="54"/>
      <c r="TSS136" s="8"/>
      <c r="TST136" s="54"/>
      <c r="TSU136" s="8"/>
      <c r="TSV136" s="54"/>
      <c r="TSW136" s="8"/>
      <c r="TSX136" s="54"/>
      <c r="TSY136" s="8"/>
      <c r="TSZ136" s="54"/>
      <c r="TTA136" s="8"/>
      <c r="TTB136" s="54"/>
      <c r="TTC136" s="8"/>
      <c r="TTD136" s="54"/>
      <c r="TTE136" s="8"/>
      <c r="TTF136" s="54"/>
      <c r="TTG136" s="8"/>
      <c r="TTH136" s="54"/>
      <c r="TTI136" s="8"/>
      <c r="TTJ136" s="54"/>
      <c r="TTK136" s="8"/>
      <c r="TTL136" s="54"/>
      <c r="TTM136" s="8"/>
      <c r="TTN136" s="54"/>
      <c r="TTO136" s="8"/>
      <c r="TTP136" s="54"/>
      <c r="TTQ136" s="8"/>
      <c r="TTR136" s="54"/>
      <c r="TTS136" s="8"/>
      <c r="TTT136" s="54"/>
      <c r="TTU136" s="8"/>
      <c r="TTV136" s="54"/>
      <c r="TTW136" s="8"/>
      <c r="TTX136" s="54"/>
      <c r="TTY136" s="8"/>
      <c r="TTZ136" s="54"/>
      <c r="TUA136" s="8"/>
      <c r="TUB136" s="54"/>
      <c r="TUC136" s="8"/>
      <c r="TUD136" s="54"/>
      <c r="TUE136" s="8"/>
      <c r="TUF136" s="54"/>
      <c r="TUG136" s="8"/>
      <c r="TUH136" s="54"/>
      <c r="TUI136" s="8"/>
      <c r="TUJ136" s="54"/>
      <c r="TUK136" s="8"/>
      <c r="TUL136" s="54"/>
      <c r="TUM136" s="8"/>
      <c r="TUN136" s="54"/>
      <c r="TUO136" s="8"/>
      <c r="TUP136" s="54"/>
      <c r="TUQ136" s="8"/>
      <c r="TUR136" s="54"/>
      <c r="TUS136" s="8"/>
      <c r="TUT136" s="54"/>
      <c r="TUU136" s="8"/>
      <c r="TUV136" s="54"/>
      <c r="TUW136" s="8"/>
      <c r="TUX136" s="54"/>
      <c r="TUY136" s="8"/>
      <c r="TUZ136" s="54"/>
      <c r="TVA136" s="8"/>
      <c r="TVB136" s="54"/>
      <c r="TVC136" s="8"/>
      <c r="TVD136" s="54"/>
      <c r="TVE136" s="8"/>
      <c r="TVF136" s="54"/>
      <c r="TVG136" s="8"/>
      <c r="TVH136" s="54"/>
      <c r="TVI136" s="8"/>
      <c r="TVJ136" s="54"/>
      <c r="TVK136" s="8"/>
      <c r="TVL136" s="54"/>
      <c r="TVM136" s="8"/>
      <c r="TVN136" s="54"/>
      <c r="TVO136" s="8"/>
      <c r="TVP136" s="54"/>
      <c r="TVQ136" s="8"/>
      <c r="TVR136" s="54"/>
      <c r="TVS136" s="8"/>
      <c r="TVT136" s="54"/>
      <c r="TVU136" s="8"/>
      <c r="TVV136" s="54"/>
      <c r="TVW136" s="8"/>
      <c r="TVX136" s="54"/>
      <c r="TVY136" s="8"/>
      <c r="TVZ136" s="54"/>
      <c r="TWA136" s="8"/>
      <c r="TWB136" s="54"/>
      <c r="TWC136" s="8"/>
      <c r="TWD136" s="54"/>
      <c r="TWE136" s="8"/>
      <c r="TWF136" s="54"/>
      <c r="TWG136" s="8"/>
      <c r="TWH136" s="54"/>
      <c r="TWI136" s="8"/>
      <c r="TWJ136" s="54"/>
      <c r="TWK136" s="8"/>
      <c r="TWL136" s="54"/>
      <c r="TWM136" s="8"/>
      <c r="TWN136" s="54"/>
      <c r="TWO136" s="8"/>
      <c r="TWP136" s="54"/>
      <c r="TWQ136" s="8"/>
      <c r="TWR136" s="54"/>
      <c r="TWS136" s="8"/>
      <c r="TWT136" s="54"/>
      <c r="TWU136" s="8"/>
      <c r="TWV136" s="54"/>
      <c r="TWW136" s="8"/>
      <c r="TWX136" s="54"/>
      <c r="TWY136" s="8"/>
      <c r="TWZ136" s="54"/>
      <c r="TXA136" s="8"/>
      <c r="TXB136" s="54"/>
      <c r="TXC136" s="8"/>
      <c r="TXD136" s="54"/>
      <c r="TXE136" s="8"/>
      <c r="TXF136" s="54"/>
      <c r="TXG136" s="8"/>
      <c r="TXH136" s="54"/>
      <c r="TXI136" s="8"/>
      <c r="TXJ136" s="54"/>
      <c r="TXK136" s="8"/>
      <c r="TXL136" s="54"/>
      <c r="TXM136" s="8"/>
      <c r="TXN136" s="54"/>
      <c r="TXO136" s="8"/>
      <c r="TXP136" s="54"/>
      <c r="TXQ136" s="8"/>
      <c r="TXR136" s="54"/>
      <c r="TXS136" s="8"/>
      <c r="TXT136" s="54"/>
      <c r="TXU136" s="8"/>
      <c r="TXV136" s="54"/>
      <c r="TXW136" s="8"/>
      <c r="TXX136" s="54"/>
      <c r="TXY136" s="8"/>
      <c r="TXZ136" s="54"/>
      <c r="TYA136" s="8"/>
      <c r="TYB136" s="54"/>
      <c r="TYC136" s="8"/>
      <c r="TYD136" s="54"/>
      <c r="TYE136" s="8"/>
      <c r="TYF136" s="54"/>
      <c r="TYG136" s="8"/>
      <c r="TYH136" s="54"/>
      <c r="TYI136" s="8"/>
      <c r="TYJ136" s="54"/>
      <c r="TYK136" s="8"/>
      <c r="TYL136" s="54"/>
      <c r="TYM136" s="8"/>
      <c r="TYN136" s="54"/>
      <c r="TYO136" s="8"/>
      <c r="TYP136" s="54"/>
      <c r="TYQ136" s="8"/>
      <c r="TYR136" s="54"/>
      <c r="TYS136" s="8"/>
      <c r="TYT136" s="54"/>
      <c r="TYU136" s="8"/>
      <c r="TYV136" s="54"/>
      <c r="TYW136" s="8"/>
      <c r="TYX136" s="54"/>
      <c r="TYY136" s="8"/>
      <c r="TYZ136" s="54"/>
      <c r="TZA136" s="8"/>
      <c r="TZB136" s="54"/>
      <c r="TZC136" s="8"/>
      <c r="TZD136" s="54"/>
      <c r="TZE136" s="8"/>
      <c r="TZF136" s="54"/>
      <c r="TZG136" s="8"/>
      <c r="TZH136" s="54"/>
      <c r="TZI136" s="8"/>
      <c r="TZJ136" s="54"/>
      <c r="TZK136" s="8"/>
      <c r="TZL136" s="54"/>
      <c r="TZM136" s="8"/>
      <c r="TZN136" s="54"/>
      <c r="TZO136" s="8"/>
      <c r="TZP136" s="54"/>
      <c r="TZQ136" s="8"/>
      <c r="TZR136" s="54"/>
      <c r="TZS136" s="8"/>
      <c r="TZT136" s="54"/>
      <c r="TZU136" s="8"/>
      <c r="TZV136" s="54"/>
      <c r="TZW136" s="8"/>
      <c r="TZX136" s="54"/>
      <c r="TZY136" s="8"/>
      <c r="TZZ136" s="54"/>
      <c r="UAA136" s="8"/>
      <c r="UAB136" s="54"/>
      <c r="UAC136" s="8"/>
      <c r="UAD136" s="54"/>
      <c r="UAE136" s="8"/>
      <c r="UAF136" s="54"/>
      <c r="UAG136" s="8"/>
      <c r="UAH136" s="54"/>
      <c r="UAI136" s="8"/>
      <c r="UAJ136" s="54"/>
      <c r="UAK136" s="8"/>
      <c r="UAL136" s="54"/>
      <c r="UAM136" s="8"/>
      <c r="UAN136" s="54"/>
      <c r="UAO136" s="8"/>
      <c r="UAP136" s="54"/>
      <c r="UAQ136" s="8"/>
      <c r="UAR136" s="54"/>
      <c r="UAS136" s="8"/>
      <c r="UAT136" s="54"/>
      <c r="UAU136" s="8"/>
      <c r="UAV136" s="54"/>
      <c r="UAW136" s="8"/>
      <c r="UAX136" s="54"/>
      <c r="UAY136" s="8"/>
      <c r="UAZ136" s="54"/>
      <c r="UBA136" s="8"/>
      <c r="UBB136" s="54"/>
      <c r="UBC136" s="8"/>
      <c r="UBD136" s="54"/>
      <c r="UBE136" s="8"/>
      <c r="UBF136" s="54"/>
      <c r="UBG136" s="8"/>
      <c r="UBH136" s="54"/>
      <c r="UBI136" s="8"/>
      <c r="UBJ136" s="54"/>
      <c r="UBK136" s="8"/>
      <c r="UBL136" s="54"/>
      <c r="UBM136" s="8"/>
      <c r="UBN136" s="54"/>
      <c r="UBO136" s="8"/>
      <c r="UBP136" s="54"/>
      <c r="UBQ136" s="8"/>
      <c r="UBR136" s="54"/>
      <c r="UBS136" s="8"/>
      <c r="UBT136" s="54"/>
      <c r="UBU136" s="8"/>
      <c r="UBV136" s="54"/>
      <c r="UBW136" s="8"/>
      <c r="UBX136" s="54"/>
      <c r="UBY136" s="8"/>
      <c r="UBZ136" s="54"/>
      <c r="UCA136" s="8"/>
      <c r="UCB136" s="54"/>
      <c r="UCC136" s="8"/>
      <c r="UCD136" s="54"/>
      <c r="UCE136" s="8"/>
      <c r="UCF136" s="54"/>
      <c r="UCG136" s="8"/>
      <c r="UCH136" s="54"/>
      <c r="UCI136" s="8"/>
      <c r="UCJ136" s="54"/>
      <c r="UCK136" s="8"/>
      <c r="UCL136" s="54"/>
      <c r="UCM136" s="8"/>
      <c r="UCN136" s="54"/>
      <c r="UCO136" s="8"/>
      <c r="UCP136" s="54"/>
      <c r="UCQ136" s="8"/>
      <c r="UCR136" s="54"/>
      <c r="UCS136" s="8"/>
      <c r="UCT136" s="54"/>
      <c r="UCU136" s="8"/>
      <c r="UCV136" s="54"/>
      <c r="UCW136" s="8"/>
      <c r="UCX136" s="54"/>
      <c r="UCY136" s="8"/>
      <c r="UCZ136" s="54"/>
      <c r="UDA136" s="8"/>
      <c r="UDB136" s="54"/>
      <c r="UDC136" s="8"/>
      <c r="UDD136" s="54"/>
      <c r="UDE136" s="8"/>
      <c r="UDF136" s="54"/>
      <c r="UDG136" s="8"/>
      <c r="UDH136" s="54"/>
      <c r="UDI136" s="8"/>
      <c r="UDJ136" s="54"/>
      <c r="UDK136" s="8"/>
      <c r="UDL136" s="54"/>
      <c r="UDM136" s="8"/>
      <c r="UDN136" s="54"/>
      <c r="UDO136" s="8"/>
      <c r="UDP136" s="54"/>
      <c r="UDQ136" s="8"/>
      <c r="UDR136" s="54"/>
      <c r="UDS136" s="8"/>
      <c r="UDT136" s="54"/>
      <c r="UDU136" s="8"/>
      <c r="UDV136" s="54"/>
      <c r="UDW136" s="8"/>
      <c r="UDX136" s="54"/>
      <c r="UDY136" s="8"/>
      <c r="UDZ136" s="54"/>
      <c r="UEA136" s="8"/>
      <c r="UEB136" s="54"/>
      <c r="UEC136" s="8"/>
      <c r="UED136" s="54"/>
      <c r="UEE136" s="8"/>
      <c r="UEF136" s="54"/>
      <c r="UEG136" s="8"/>
      <c r="UEH136" s="54"/>
      <c r="UEI136" s="8"/>
      <c r="UEJ136" s="54"/>
      <c r="UEK136" s="8"/>
      <c r="UEL136" s="54"/>
      <c r="UEM136" s="8"/>
      <c r="UEN136" s="54"/>
      <c r="UEO136" s="8"/>
      <c r="UEP136" s="54"/>
      <c r="UEQ136" s="8"/>
      <c r="UER136" s="54"/>
      <c r="UES136" s="8"/>
      <c r="UET136" s="54"/>
      <c r="UEU136" s="8"/>
      <c r="UEV136" s="54"/>
      <c r="UEW136" s="8"/>
      <c r="UEX136" s="54"/>
      <c r="UEY136" s="8"/>
      <c r="UEZ136" s="54"/>
      <c r="UFA136" s="8"/>
      <c r="UFB136" s="54"/>
      <c r="UFC136" s="8"/>
      <c r="UFD136" s="54"/>
      <c r="UFE136" s="8"/>
      <c r="UFF136" s="54"/>
      <c r="UFG136" s="8"/>
      <c r="UFH136" s="54"/>
      <c r="UFI136" s="8"/>
      <c r="UFJ136" s="54"/>
      <c r="UFK136" s="8"/>
      <c r="UFL136" s="54"/>
      <c r="UFM136" s="8"/>
      <c r="UFN136" s="54"/>
      <c r="UFO136" s="8"/>
      <c r="UFP136" s="54"/>
      <c r="UFQ136" s="8"/>
      <c r="UFR136" s="54"/>
      <c r="UFS136" s="8"/>
      <c r="UFT136" s="54"/>
      <c r="UFU136" s="8"/>
      <c r="UFV136" s="54"/>
      <c r="UFW136" s="8"/>
      <c r="UFX136" s="54"/>
      <c r="UFY136" s="8"/>
      <c r="UFZ136" s="54"/>
      <c r="UGA136" s="8"/>
      <c r="UGB136" s="54"/>
      <c r="UGC136" s="8"/>
      <c r="UGD136" s="54"/>
      <c r="UGE136" s="8"/>
      <c r="UGF136" s="54"/>
      <c r="UGG136" s="8"/>
      <c r="UGH136" s="54"/>
      <c r="UGI136" s="8"/>
      <c r="UGJ136" s="54"/>
      <c r="UGK136" s="8"/>
      <c r="UGL136" s="54"/>
      <c r="UGM136" s="8"/>
      <c r="UGN136" s="54"/>
      <c r="UGO136" s="8"/>
      <c r="UGP136" s="54"/>
      <c r="UGQ136" s="8"/>
      <c r="UGR136" s="54"/>
      <c r="UGS136" s="8"/>
      <c r="UGT136" s="54"/>
      <c r="UGU136" s="8"/>
      <c r="UGV136" s="54"/>
      <c r="UGW136" s="8"/>
      <c r="UGX136" s="54"/>
      <c r="UGY136" s="8"/>
      <c r="UGZ136" s="54"/>
      <c r="UHA136" s="8"/>
      <c r="UHB136" s="54"/>
      <c r="UHC136" s="8"/>
      <c r="UHD136" s="54"/>
      <c r="UHE136" s="8"/>
      <c r="UHF136" s="54"/>
      <c r="UHG136" s="8"/>
      <c r="UHH136" s="54"/>
      <c r="UHI136" s="8"/>
      <c r="UHJ136" s="54"/>
      <c r="UHK136" s="8"/>
      <c r="UHL136" s="54"/>
      <c r="UHM136" s="8"/>
      <c r="UHN136" s="54"/>
      <c r="UHO136" s="8"/>
      <c r="UHP136" s="54"/>
      <c r="UHQ136" s="8"/>
      <c r="UHR136" s="54"/>
      <c r="UHS136" s="8"/>
      <c r="UHT136" s="54"/>
      <c r="UHU136" s="8"/>
      <c r="UHV136" s="54"/>
      <c r="UHW136" s="8"/>
      <c r="UHX136" s="54"/>
      <c r="UHY136" s="8"/>
      <c r="UHZ136" s="54"/>
      <c r="UIA136" s="8"/>
      <c r="UIB136" s="54"/>
      <c r="UIC136" s="8"/>
      <c r="UID136" s="54"/>
      <c r="UIE136" s="8"/>
      <c r="UIF136" s="54"/>
      <c r="UIG136" s="8"/>
      <c r="UIH136" s="54"/>
      <c r="UII136" s="8"/>
      <c r="UIJ136" s="54"/>
      <c r="UIK136" s="8"/>
      <c r="UIL136" s="54"/>
      <c r="UIM136" s="8"/>
      <c r="UIN136" s="54"/>
      <c r="UIO136" s="8"/>
      <c r="UIP136" s="54"/>
      <c r="UIQ136" s="8"/>
      <c r="UIR136" s="54"/>
      <c r="UIS136" s="8"/>
      <c r="UIT136" s="54"/>
      <c r="UIU136" s="8"/>
      <c r="UIV136" s="54"/>
      <c r="UIW136" s="8"/>
      <c r="UIX136" s="54"/>
      <c r="UIY136" s="8"/>
      <c r="UIZ136" s="54"/>
      <c r="UJA136" s="8"/>
      <c r="UJB136" s="54"/>
      <c r="UJC136" s="8"/>
      <c r="UJD136" s="54"/>
      <c r="UJE136" s="8"/>
      <c r="UJF136" s="54"/>
      <c r="UJG136" s="8"/>
      <c r="UJH136" s="54"/>
      <c r="UJI136" s="8"/>
      <c r="UJJ136" s="54"/>
      <c r="UJK136" s="8"/>
      <c r="UJL136" s="54"/>
      <c r="UJM136" s="8"/>
      <c r="UJN136" s="54"/>
      <c r="UJO136" s="8"/>
      <c r="UJP136" s="54"/>
      <c r="UJQ136" s="8"/>
      <c r="UJR136" s="54"/>
      <c r="UJS136" s="8"/>
      <c r="UJT136" s="54"/>
      <c r="UJU136" s="8"/>
      <c r="UJV136" s="54"/>
      <c r="UJW136" s="8"/>
      <c r="UJX136" s="54"/>
      <c r="UJY136" s="8"/>
      <c r="UJZ136" s="54"/>
      <c r="UKA136" s="8"/>
      <c r="UKB136" s="54"/>
      <c r="UKC136" s="8"/>
      <c r="UKD136" s="54"/>
      <c r="UKE136" s="8"/>
      <c r="UKF136" s="54"/>
      <c r="UKG136" s="8"/>
      <c r="UKH136" s="54"/>
      <c r="UKI136" s="8"/>
      <c r="UKJ136" s="54"/>
      <c r="UKK136" s="8"/>
      <c r="UKL136" s="54"/>
      <c r="UKM136" s="8"/>
      <c r="UKN136" s="54"/>
      <c r="UKO136" s="8"/>
      <c r="UKP136" s="54"/>
      <c r="UKQ136" s="8"/>
      <c r="UKR136" s="54"/>
      <c r="UKS136" s="8"/>
      <c r="UKT136" s="54"/>
      <c r="UKU136" s="8"/>
      <c r="UKV136" s="54"/>
      <c r="UKW136" s="8"/>
      <c r="UKX136" s="54"/>
      <c r="UKY136" s="8"/>
      <c r="UKZ136" s="54"/>
      <c r="ULA136" s="8"/>
      <c r="ULB136" s="54"/>
      <c r="ULC136" s="8"/>
      <c r="ULD136" s="54"/>
      <c r="ULE136" s="8"/>
      <c r="ULF136" s="54"/>
      <c r="ULG136" s="8"/>
      <c r="ULH136" s="54"/>
      <c r="ULI136" s="8"/>
      <c r="ULJ136" s="54"/>
      <c r="ULK136" s="8"/>
      <c r="ULL136" s="54"/>
      <c r="ULM136" s="8"/>
      <c r="ULN136" s="54"/>
      <c r="ULO136" s="8"/>
      <c r="ULP136" s="54"/>
      <c r="ULQ136" s="8"/>
      <c r="ULR136" s="54"/>
      <c r="ULS136" s="8"/>
      <c r="ULT136" s="54"/>
      <c r="ULU136" s="8"/>
      <c r="ULV136" s="54"/>
      <c r="ULW136" s="8"/>
      <c r="ULX136" s="54"/>
      <c r="ULY136" s="8"/>
      <c r="ULZ136" s="54"/>
      <c r="UMA136" s="8"/>
      <c r="UMB136" s="54"/>
      <c r="UMC136" s="8"/>
      <c r="UMD136" s="54"/>
      <c r="UME136" s="8"/>
      <c r="UMF136" s="54"/>
      <c r="UMG136" s="8"/>
      <c r="UMH136" s="54"/>
      <c r="UMI136" s="8"/>
      <c r="UMJ136" s="54"/>
      <c r="UMK136" s="8"/>
      <c r="UML136" s="54"/>
      <c r="UMM136" s="8"/>
      <c r="UMN136" s="54"/>
      <c r="UMO136" s="8"/>
      <c r="UMP136" s="54"/>
      <c r="UMQ136" s="8"/>
      <c r="UMR136" s="54"/>
      <c r="UMS136" s="8"/>
      <c r="UMT136" s="54"/>
      <c r="UMU136" s="8"/>
      <c r="UMV136" s="54"/>
      <c r="UMW136" s="8"/>
      <c r="UMX136" s="54"/>
      <c r="UMY136" s="8"/>
      <c r="UMZ136" s="54"/>
      <c r="UNA136" s="8"/>
      <c r="UNB136" s="54"/>
      <c r="UNC136" s="8"/>
      <c r="UND136" s="54"/>
      <c r="UNE136" s="8"/>
      <c r="UNF136" s="54"/>
      <c r="UNG136" s="8"/>
      <c r="UNH136" s="54"/>
      <c r="UNI136" s="8"/>
      <c r="UNJ136" s="54"/>
      <c r="UNK136" s="8"/>
      <c r="UNL136" s="54"/>
      <c r="UNM136" s="8"/>
      <c r="UNN136" s="54"/>
      <c r="UNO136" s="8"/>
      <c r="UNP136" s="54"/>
      <c r="UNQ136" s="8"/>
      <c r="UNR136" s="54"/>
      <c r="UNS136" s="8"/>
      <c r="UNT136" s="54"/>
      <c r="UNU136" s="8"/>
      <c r="UNV136" s="54"/>
      <c r="UNW136" s="8"/>
      <c r="UNX136" s="54"/>
      <c r="UNY136" s="8"/>
      <c r="UNZ136" s="54"/>
      <c r="UOA136" s="8"/>
      <c r="UOB136" s="54"/>
      <c r="UOC136" s="8"/>
      <c r="UOD136" s="54"/>
      <c r="UOE136" s="8"/>
      <c r="UOF136" s="54"/>
      <c r="UOG136" s="8"/>
      <c r="UOH136" s="54"/>
      <c r="UOI136" s="8"/>
      <c r="UOJ136" s="54"/>
      <c r="UOK136" s="8"/>
      <c r="UOL136" s="54"/>
      <c r="UOM136" s="8"/>
      <c r="UON136" s="54"/>
      <c r="UOO136" s="8"/>
      <c r="UOP136" s="54"/>
      <c r="UOQ136" s="8"/>
      <c r="UOR136" s="54"/>
      <c r="UOS136" s="8"/>
      <c r="UOT136" s="54"/>
      <c r="UOU136" s="8"/>
      <c r="UOV136" s="54"/>
      <c r="UOW136" s="8"/>
      <c r="UOX136" s="54"/>
      <c r="UOY136" s="8"/>
      <c r="UOZ136" s="54"/>
      <c r="UPA136" s="8"/>
      <c r="UPB136" s="54"/>
      <c r="UPC136" s="8"/>
      <c r="UPD136" s="54"/>
      <c r="UPE136" s="8"/>
      <c r="UPF136" s="54"/>
      <c r="UPG136" s="8"/>
      <c r="UPH136" s="54"/>
      <c r="UPI136" s="8"/>
      <c r="UPJ136" s="54"/>
      <c r="UPK136" s="8"/>
      <c r="UPL136" s="54"/>
      <c r="UPM136" s="8"/>
      <c r="UPN136" s="54"/>
      <c r="UPO136" s="8"/>
      <c r="UPP136" s="54"/>
      <c r="UPQ136" s="8"/>
      <c r="UPR136" s="54"/>
      <c r="UPS136" s="8"/>
      <c r="UPT136" s="54"/>
      <c r="UPU136" s="8"/>
      <c r="UPV136" s="54"/>
      <c r="UPW136" s="8"/>
      <c r="UPX136" s="54"/>
      <c r="UPY136" s="8"/>
      <c r="UPZ136" s="54"/>
      <c r="UQA136" s="8"/>
      <c r="UQB136" s="54"/>
      <c r="UQC136" s="8"/>
      <c r="UQD136" s="54"/>
      <c r="UQE136" s="8"/>
      <c r="UQF136" s="54"/>
      <c r="UQG136" s="8"/>
      <c r="UQH136" s="54"/>
      <c r="UQI136" s="8"/>
      <c r="UQJ136" s="54"/>
      <c r="UQK136" s="8"/>
      <c r="UQL136" s="54"/>
      <c r="UQM136" s="8"/>
      <c r="UQN136" s="54"/>
      <c r="UQO136" s="8"/>
      <c r="UQP136" s="54"/>
      <c r="UQQ136" s="8"/>
      <c r="UQR136" s="54"/>
      <c r="UQS136" s="8"/>
      <c r="UQT136" s="54"/>
      <c r="UQU136" s="8"/>
      <c r="UQV136" s="54"/>
      <c r="UQW136" s="8"/>
      <c r="UQX136" s="54"/>
      <c r="UQY136" s="8"/>
      <c r="UQZ136" s="54"/>
      <c r="URA136" s="8"/>
      <c r="URB136" s="54"/>
      <c r="URC136" s="8"/>
      <c r="URD136" s="54"/>
      <c r="URE136" s="8"/>
      <c r="URF136" s="54"/>
      <c r="URG136" s="8"/>
      <c r="URH136" s="54"/>
      <c r="URI136" s="8"/>
      <c r="URJ136" s="54"/>
      <c r="URK136" s="8"/>
      <c r="URL136" s="54"/>
      <c r="URM136" s="8"/>
      <c r="URN136" s="54"/>
      <c r="URO136" s="8"/>
      <c r="URP136" s="54"/>
      <c r="URQ136" s="8"/>
      <c r="URR136" s="54"/>
      <c r="URS136" s="8"/>
      <c r="URT136" s="54"/>
      <c r="URU136" s="8"/>
      <c r="URV136" s="54"/>
      <c r="URW136" s="8"/>
      <c r="URX136" s="54"/>
      <c r="URY136" s="8"/>
      <c r="URZ136" s="54"/>
      <c r="USA136" s="8"/>
      <c r="USB136" s="54"/>
      <c r="USC136" s="8"/>
      <c r="USD136" s="54"/>
      <c r="USE136" s="8"/>
      <c r="USF136" s="54"/>
      <c r="USG136" s="8"/>
      <c r="USH136" s="54"/>
      <c r="USI136" s="8"/>
      <c r="USJ136" s="54"/>
      <c r="USK136" s="8"/>
      <c r="USL136" s="54"/>
      <c r="USM136" s="8"/>
      <c r="USN136" s="54"/>
      <c r="USO136" s="8"/>
      <c r="USP136" s="54"/>
      <c r="USQ136" s="8"/>
      <c r="USR136" s="54"/>
      <c r="USS136" s="8"/>
      <c r="UST136" s="54"/>
      <c r="USU136" s="8"/>
      <c r="USV136" s="54"/>
      <c r="USW136" s="8"/>
      <c r="USX136" s="54"/>
      <c r="USY136" s="8"/>
      <c r="USZ136" s="54"/>
      <c r="UTA136" s="8"/>
      <c r="UTB136" s="54"/>
      <c r="UTC136" s="8"/>
      <c r="UTD136" s="54"/>
      <c r="UTE136" s="8"/>
      <c r="UTF136" s="54"/>
      <c r="UTG136" s="8"/>
      <c r="UTH136" s="54"/>
      <c r="UTI136" s="8"/>
      <c r="UTJ136" s="54"/>
      <c r="UTK136" s="8"/>
      <c r="UTL136" s="54"/>
      <c r="UTM136" s="8"/>
      <c r="UTN136" s="54"/>
      <c r="UTO136" s="8"/>
      <c r="UTP136" s="54"/>
      <c r="UTQ136" s="8"/>
      <c r="UTR136" s="54"/>
      <c r="UTS136" s="8"/>
      <c r="UTT136" s="54"/>
      <c r="UTU136" s="8"/>
      <c r="UTV136" s="54"/>
      <c r="UTW136" s="8"/>
      <c r="UTX136" s="54"/>
      <c r="UTY136" s="8"/>
      <c r="UTZ136" s="54"/>
      <c r="UUA136" s="8"/>
      <c r="UUB136" s="54"/>
      <c r="UUC136" s="8"/>
      <c r="UUD136" s="54"/>
      <c r="UUE136" s="8"/>
      <c r="UUF136" s="54"/>
      <c r="UUG136" s="8"/>
      <c r="UUH136" s="54"/>
      <c r="UUI136" s="8"/>
      <c r="UUJ136" s="54"/>
      <c r="UUK136" s="8"/>
      <c r="UUL136" s="54"/>
      <c r="UUM136" s="8"/>
      <c r="UUN136" s="54"/>
      <c r="UUO136" s="8"/>
      <c r="UUP136" s="54"/>
      <c r="UUQ136" s="8"/>
      <c r="UUR136" s="54"/>
      <c r="UUS136" s="8"/>
      <c r="UUT136" s="54"/>
      <c r="UUU136" s="8"/>
      <c r="UUV136" s="54"/>
      <c r="UUW136" s="8"/>
      <c r="UUX136" s="54"/>
      <c r="UUY136" s="8"/>
      <c r="UUZ136" s="54"/>
      <c r="UVA136" s="8"/>
      <c r="UVB136" s="54"/>
      <c r="UVC136" s="8"/>
      <c r="UVD136" s="54"/>
      <c r="UVE136" s="8"/>
      <c r="UVF136" s="54"/>
      <c r="UVG136" s="8"/>
      <c r="UVH136" s="54"/>
      <c r="UVI136" s="8"/>
      <c r="UVJ136" s="54"/>
      <c r="UVK136" s="8"/>
      <c r="UVL136" s="54"/>
      <c r="UVM136" s="8"/>
      <c r="UVN136" s="54"/>
      <c r="UVO136" s="8"/>
      <c r="UVP136" s="54"/>
      <c r="UVQ136" s="8"/>
      <c r="UVR136" s="54"/>
      <c r="UVS136" s="8"/>
      <c r="UVT136" s="54"/>
      <c r="UVU136" s="8"/>
      <c r="UVV136" s="54"/>
      <c r="UVW136" s="8"/>
      <c r="UVX136" s="54"/>
      <c r="UVY136" s="8"/>
      <c r="UVZ136" s="54"/>
      <c r="UWA136" s="8"/>
      <c r="UWB136" s="54"/>
      <c r="UWC136" s="8"/>
      <c r="UWD136" s="54"/>
      <c r="UWE136" s="8"/>
      <c r="UWF136" s="54"/>
      <c r="UWG136" s="8"/>
      <c r="UWH136" s="54"/>
      <c r="UWI136" s="8"/>
      <c r="UWJ136" s="54"/>
      <c r="UWK136" s="8"/>
      <c r="UWL136" s="54"/>
      <c r="UWM136" s="8"/>
      <c r="UWN136" s="54"/>
      <c r="UWO136" s="8"/>
      <c r="UWP136" s="54"/>
      <c r="UWQ136" s="8"/>
      <c r="UWR136" s="54"/>
      <c r="UWS136" s="8"/>
      <c r="UWT136" s="54"/>
      <c r="UWU136" s="8"/>
      <c r="UWV136" s="54"/>
      <c r="UWW136" s="8"/>
      <c r="UWX136" s="54"/>
      <c r="UWY136" s="8"/>
      <c r="UWZ136" s="54"/>
      <c r="UXA136" s="8"/>
      <c r="UXB136" s="54"/>
      <c r="UXC136" s="8"/>
      <c r="UXD136" s="54"/>
      <c r="UXE136" s="8"/>
      <c r="UXF136" s="54"/>
      <c r="UXG136" s="8"/>
      <c r="UXH136" s="54"/>
      <c r="UXI136" s="8"/>
      <c r="UXJ136" s="54"/>
      <c r="UXK136" s="8"/>
      <c r="UXL136" s="54"/>
      <c r="UXM136" s="8"/>
      <c r="UXN136" s="54"/>
      <c r="UXO136" s="8"/>
      <c r="UXP136" s="54"/>
      <c r="UXQ136" s="8"/>
      <c r="UXR136" s="54"/>
      <c r="UXS136" s="8"/>
      <c r="UXT136" s="54"/>
      <c r="UXU136" s="8"/>
      <c r="UXV136" s="54"/>
      <c r="UXW136" s="8"/>
      <c r="UXX136" s="54"/>
      <c r="UXY136" s="8"/>
      <c r="UXZ136" s="54"/>
      <c r="UYA136" s="8"/>
      <c r="UYB136" s="54"/>
      <c r="UYC136" s="8"/>
      <c r="UYD136" s="54"/>
      <c r="UYE136" s="8"/>
      <c r="UYF136" s="54"/>
      <c r="UYG136" s="8"/>
      <c r="UYH136" s="54"/>
      <c r="UYI136" s="8"/>
      <c r="UYJ136" s="54"/>
      <c r="UYK136" s="8"/>
      <c r="UYL136" s="54"/>
      <c r="UYM136" s="8"/>
      <c r="UYN136" s="54"/>
      <c r="UYO136" s="8"/>
      <c r="UYP136" s="54"/>
      <c r="UYQ136" s="8"/>
      <c r="UYR136" s="54"/>
      <c r="UYS136" s="8"/>
      <c r="UYT136" s="54"/>
      <c r="UYU136" s="8"/>
      <c r="UYV136" s="54"/>
      <c r="UYW136" s="8"/>
      <c r="UYX136" s="54"/>
      <c r="UYY136" s="8"/>
      <c r="UYZ136" s="54"/>
      <c r="UZA136" s="8"/>
      <c r="UZB136" s="54"/>
      <c r="UZC136" s="8"/>
      <c r="UZD136" s="54"/>
      <c r="UZE136" s="8"/>
      <c r="UZF136" s="54"/>
      <c r="UZG136" s="8"/>
      <c r="UZH136" s="54"/>
      <c r="UZI136" s="8"/>
      <c r="UZJ136" s="54"/>
      <c r="UZK136" s="8"/>
      <c r="UZL136" s="54"/>
      <c r="UZM136" s="8"/>
      <c r="UZN136" s="54"/>
      <c r="UZO136" s="8"/>
      <c r="UZP136" s="54"/>
      <c r="UZQ136" s="8"/>
      <c r="UZR136" s="54"/>
      <c r="UZS136" s="8"/>
      <c r="UZT136" s="54"/>
      <c r="UZU136" s="8"/>
      <c r="UZV136" s="54"/>
      <c r="UZW136" s="8"/>
      <c r="UZX136" s="54"/>
      <c r="UZY136" s="8"/>
      <c r="UZZ136" s="54"/>
      <c r="VAA136" s="8"/>
      <c r="VAB136" s="54"/>
      <c r="VAC136" s="8"/>
      <c r="VAD136" s="54"/>
      <c r="VAE136" s="8"/>
      <c r="VAF136" s="54"/>
      <c r="VAG136" s="8"/>
      <c r="VAH136" s="54"/>
      <c r="VAI136" s="8"/>
      <c r="VAJ136" s="54"/>
      <c r="VAK136" s="8"/>
      <c r="VAL136" s="54"/>
      <c r="VAM136" s="8"/>
      <c r="VAN136" s="54"/>
      <c r="VAO136" s="8"/>
      <c r="VAP136" s="54"/>
      <c r="VAQ136" s="8"/>
      <c r="VAR136" s="54"/>
      <c r="VAS136" s="8"/>
      <c r="VAT136" s="54"/>
      <c r="VAU136" s="8"/>
      <c r="VAV136" s="54"/>
      <c r="VAW136" s="8"/>
      <c r="VAX136" s="54"/>
      <c r="VAY136" s="8"/>
      <c r="VAZ136" s="54"/>
      <c r="VBA136" s="8"/>
      <c r="VBB136" s="54"/>
      <c r="VBC136" s="8"/>
      <c r="VBD136" s="54"/>
      <c r="VBE136" s="8"/>
      <c r="VBF136" s="54"/>
      <c r="VBG136" s="8"/>
      <c r="VBH136" s="54"/>
      <c r="VBI136" s="8"/>
      <c r="VBJ136" s="54"/>
      <c r="VBK136" s="8"/>
      <c r="VBL136" s="54"/>
      <c r="VBM136" s="8"/>
      <c r="VBN136" s="54"/>
      <c r="VBO136" s="8"/>
      <c r="VBP136" s="54"/>
      <c r="VBQ136" s="8"/>
      <c r="VBR136" s="54"/>
      <c r="VBS136" s="8"/>
      <c r="VBT136" s="54"/>
      <c r="VBU136" s="8"/>
      <c r="VBV136" s="54"/>
      <c r="VBW136" s="8"/>
      <c r="VBX136" s="54"/>
      <c r="VBY136" s="8"/>
      <c r="VBZ136" s="54"/>
      <c r="VCA136" s="8"/>
      <c r="VCB136" s="54"/>
      <c r="VCC136" s="8"/>
      <c r="VCD136" s="54"/>
      <c r="VCE136" s="8"/>
      <c r="VCF136" s="54"/>
      <c r="VCG136" s="8"/>
      <c r="VCH136" s="54"/>
      <c r="VCI136" s="8"/>
      <c r="VCJ136" s="54"/>
      <c r="VCK136" s="8"/>
      <c r="VCL136" s="54"/>
      <c r="VCM136" s="8"/>
      <c r="VCN136" s="54"/>
      <c r="VCO136" s="8"/>
      <c r="VCP136" s="54"/>
      <c r="VCQ136" s="8"/>
      <c r="VCR136" s="54"/>
      <c r="VCS136" s="8"/>
      <c r="VCT136" s="54"/>
      <c r="VCU136" s="8"/>
      <c r="VCV136" s="54"/>
      <c r="VCW136" s="8"/>
      <c r="VCX136" s="54"/>
      <c r="VCY136" s="8"/>
      <c r="VCZ136" s="54"/>
      <c r="VDA136" s="8"/>
      <c r="VDB136" s="54"/>
      <c r="VDC136" s="8"/>
      <c r="VDD136" s="54"/>
      <c r="VDE136" s="8"/>
      <c r="VDF136" s="54"/>
      <c r="VDG136" s="8"/>
      <c r="VDH136" s="54"/>
      <c r="VDI136" s="8"/>
      <c r="VDJ136" s="54"/>
      <c r="VDK136" s="8"/>
      <c r="VDL136" s="54"/>
      <c r="VDM136" s="8"/>
      <c r="VDN136" s="54"/>
      <c r="VDO136" s="8"/>
      <c r="VDP136" s="54"/>
      <c r="VDQ136" s="8"/>
      <c r="VDR136" s="54"/>
      <c r="VDS136" s="8"/>
      <c r="VDT136" s="54"/>
      <c r="VDU136" s="8"/>
      <c r="VDV136" s="54"/>
      <c r="VDW136" s="8"/>
      <c r="VDX136" s="54"/>
      <c r="VDY136" s="8"/>
      <c r="VDZ136" s="54"/>
      <c r="VEA136" s="8"/>
      <c r="VEB136" s="54"/>
      <c r="VEC136" s="8"/>
      <c r="VED136" s="54"/>
      <c r="VEE136" s="8"/>
      <c r="VEF136" s="54"/>
      <c r="VEG136" s="8"/>
      <c r="VEH136" s="54"/>
      <c r="VEI136" s="8"/>
      <c r="VEJ136" s="54"/>
      <c r="VEK136" s="8"/>
      <c r="VEL136" s="54"/>
      <c r="VEM136" s="8"/>
      <c r="VEN136" s="54"/>
      <c r="VEO136" s="8"/>
      <c r="VEP136" s="54"/>
      <c r="VEQ136" s="8"/>
      <c r="VER136" s="54"/>
      <c r="VES136" s="8"/>
      <c r="VET136" s="54"/>
      <c r="VEU136" s="8"/>
      <c r="VEV136" s="54"/>
      <c r="VEW136" s="8"/>
      <c r="VEX136" s="54"/>
      <c r="VEY136" s="8"/>
      <c r="VEZ136" s="54"/>
      <c r="VFA136" s="8"/>
      <c r="VFB136" s="54"/>
      <c r="VFC136" s="8"/>
      <c r="VFD136" s="54"/>
      <c r="VFE136" s="8"/>
      <c r="VFF136" s="54"/>
      <c r="VFG136" s="8"/>
      <c r="VFH136" s="54"/>
      <c r="VFI136" s="8"/>
      <c r="VFJ136" s="54"/>
      <c r="VFK136" s="8"/>
      <c r="VFL136" s="54"/>
      <c r="VFM136" s="8"/>
      <c r="VFN136" s="54"/>
      <c r="VFO136" s="8"/>
      <c r="VFP136" s="54"/>
      <c r="VFQ136" s="8"/>
      <c r="VFR136" s="54"/>
      <c r="VFS136" s="8"/>
      <c r="VFT136" s="54"/>
      <c r="VFU136" s="8"/>
      <c r="VFV136" s="54"/>
      <c r="VFW136" s="8"/>
      <c r="VFX136" s="54"/>
      <c r="VFY136" s="8"/>
      <c r="VFZ136" s="54"/>
      <c r="VGA136" s="8"/>
      <c r="VGB136" s="54"/>
      <c r="VGC136" s="8"/>
      <c r="VGD136" s="54"/>
      <c r="VGE136" s="8"/>
      <c r="VGF136" s="54"/>
      <c r="VGG136" s="8"/>
      <c r="VGH136" s="54"/>
      <c r="VGI136" s="8"/>
      <c r="VGJ136" s="54"/>
      <c r="VGK136" s="8"/>
      <c r="VGL136" s="54"/>
      <c r="VGM136" s="8"/>
      <c r="VGN136" s="54"/>
      <c r="VGO136" s="8"/>
      <c r="VGP136" s="54"/>
      <c r="VGQ136" s="8"/>
      <c r="VGR136" s="54"/>
      <c r="VGS136" s="8"/>
      <c r="VGT136" s="54"/>
      <c r="VGU136" s="8"/>
      <c r="VGV136" s="54"/>
      <c r="VGW136" s="8"/>
      <c r="VGX136" s="54"/>
      <c r="VGY136" s="8"/>
      <c r="VGZ136" s="54"/>
      <c r="VHA136" s="8"/>
      <c r="VHB136" s="54"/>
      <c r="VHC136" s="8"/>
      <c r="VHD136" s="54"/>
      <c r="VHE136" s="8"/>
      <c r="VHF136" s="54"/>
      <c r="VHG136" s="8"/>
      <c r="VHH136" s="54"/>
      <c r="VHI136" s="8"/>
      <c r="VHJ136" s="54"/>
      <c r="VHK136" s="8"/>
      <c r="VHL136" s="54"/>
      <c r="VHM136" s="8"/>
      <c r="VHN136" s="54"/>
      <c r="VHO136" s="8"/>
      <c r="VHP136" s="54"/>
      <c r="VHQ136" s="8"/>
      <c r="VHR136" s="54"/>
      <c r="VHS136" s="8"/>
      <c r="VHT136" s="54"/>
      <c r="VHU136" s="8"/>
      <c r="VHV136" s="54"/>
      <c r="VHW136" s="8"/>
      <c r="VHX136" s="54"/>
      <c r="VHY136" s="8"/>
      <c r="VHZ136" s="54"/>
      <c r="VIA136" s="8"/>
      <c r="VIB136" s="54"/>
      <c r="VIC136" s="8"/>
      <c r="VID136" s="54"/>
      <c r="VIE136" s="8"/>
      <c r="VIF136" s="54"/>
      <c r="VIG136" s="8"/>
      <c r="VIH136" s="54"/>
      <c r="VII136" s="8"/>
      <c r="VIJ136" s="54"/>
      <c r="VIK136" s="8"/>
      <c r="VIL136" s="54"/>
      <c r="VIM136" s="8"/>
      <c r="VIN136" s="54"/>
      <c r="VIO136" s="8"/>
      <c r="VIP136" s="54"/>
      <c r="VIQ136" s="8"/>
      <c r="VIR136" s="54"/>
      <c r="VIS136" s="8"/>
      <c r="VIT136" s="54"/>
      <c r="VIU136" s="8"/>
      <c r="VIV136" s="54"/>
      <c r="VIW136" s="8"/>
      <c r="VIX136" s="54"/>
      <c r="VIY136" s="8"/>
      <c r="VIZ136" s="54"/>
      <c r="VJA136" s="8"/>
      <c r="VJB136" s="54"/>
      <c r="VJC136" s="8"/>
      <c r="VJD136" s="54"/>
      <c r="VJE136" s="8"/>
      <c r="VJF136" s="54"/>
      <c r="VJG136" s="8"/>
      <c r="VJH136" s="54"/>
      <c r="VJI136" s="8"/>
      <c r="VJJ136" s="54"/>
      <c r="VJK136" s="8"/>
      <c r="VJL136" s="54"/>
      <c r="VJM136" s="8"/>
      <c r="VJN136" s="54"/>
      <c r="VJO136" s="8"/>
      <c r="VJP136" s="54"/>
      <c r="VJQ136" s="8"/>
      <c r="VJR136" s="54"/>
      <c r="VJS136" s="8"/>
      <c r="VJT136" s="54"/>
      <c r="VJU136" s="8"/>
      <c r="VJV136" s="54"/>
      <c r="VJW136" s="8"/>
      <c r="VJX136" s="54"/>
      <c r="VJY136" s="8"/>
      <c r="VJZ136" s="54"/>
      <c r="VKA136" s="8"/>
      <c r="VKB136" s="54"/>
      <c r="VKC136" s="8"/>
      <c r="VKD136" s="54"/>
      <c r="VKE136" s="8"/>
      <c r="VKF136" s="54"/>
      <c r="VKG136" s="8"/>
      <c r="VKH136" s="54"/>
      <c r="VKI136" s="8"/>
      <c r="VKJ136" s="54"/>
      <c r="VKK136" s="8"/>
      <c r="VKL136" s="54"/>
      <c r="VKM136" s="8"/>
      <c r="VKN136" s="54"/>
      <c r="VKO136" s="8"/>
      <c r="VKP136" s="54"/>
      <c r="VKQ136" s="8"/>
      <c r="VKR136" s="54"/>
      <c r="VKS136" s="8"/>
      <c r="VKT136" s="54"/>
      <c r="VKU136" s="8"/>
      <c r="VKV136" s="54"/>
      <c r="VKW136" s="8"/>
      <c r="VKX136" s="54"/>
      <c r="VKY136" s="8"/>
      <c r="VKZ136" s="54"/>
      <c r="VLA136" s="8"/>
      <c r="VLB136" s="54"/>
      <c r="VLC136" s="8"/>
      <c r="VLD136" s="54"/>
      <c r="VLE136" s="8"/>
      <c r="VLF136" s="54"/>
      <c r="VLG136" s="8"/>
      <c r="VLH136" s="54"/>
      <c r="VLI136" s="8"/>
      <c r="VLJ136" s="54"/>
      <c r="VLK136" s="8"/>
      <c r="VLL136" s="54"/>
      <c r="VLM136" s="8"/>
      <c r="VLN136" s="54"/>
      <c r="VLO136" s="8"/>
      <c r="VLP136" s="54"/>
      <c r="VLQ136" s="8"/>
      <c r="VLR136" s="54"/>
      <c r="VLS136" s="8"/>
      <c r="VLT136" s="54"/>
      <c r="VLU136" s="8"/>
      <c r="VLV136" s="54"/>
      <c r="VLW136" s="8"/>
      <c r="VLX136" s="54"/>
      <c r="VLY136" s="8"/>
      <c r="VLZ136" s="54"/>
      <c r="VMA136" s="8"/>
      <c r="VMB136" s="54"/>
      <c r="VMC136" s="8"/>
      <c r="VMD136" s="54"/>
      <c r="VME136" s="8"/>
      <c r="VMF136" s="54"/>
      <c r="VMG136" s="8"/>
      <c r="VMH136" s="54"/>
      <c r="VMI136" s="8"/>
      <c r="VMJ136" s="54"/>
      <c r="VMK136" s="8"/>
      <c r="VML136" s="54"/>
      <c r="VMM136" s="8"/>
      <c r="VMN136" s="54"/>
      <c r="VMO136" s="8"/>
      <c r="VMP136" s="54"/>
      <c r="VMQ136" s="8"/>
      <c r="VMR136" s="54"/>
      <c r="VMS136" s="8"/>
      <c r="VMT136" s="54"/>
      <c r="VMU136" s="8"/>
      <c r="VMV136" s="54"/>
      <c r="VMW136" s="8"/>
      <c r="VMX136" s="54"/>
      <c r="VMY136" s="8"/>
      <c r="VMZ136" s="54"/>
      <c r="VNA136" s="8"/>
      <c r="VNB136" s="54"/>
      <c r="VNC136" s="8"/>
      <c r="VND136" s="54"/>
      <c r="VNE136" s="8"/>
      <c r="VNF136" s="54"/>
      <c r="VNG136" s="8"/>
      <c r="VNH136" s="54"/>
      <c r="VNI136" s="8"/>
      <c r="VNJ136" s="54"/>
      <c r="VNK136" s="8"/>
      <c r="VNL136" s="54"/>
      <c r="VNM136" s="8"/>
      <c r="VNN136" s="54"/>
      <c r="VNO136" s="8"/>
      <c r="VNP136" s="54"/>
      <c r="VNQ136" s="8"/>
      <c r="VNR136" s="54"/>
      <c r="VNS136" s="8"/>
      <c r="VNT136" s="54"/>
      <c r="VNU136" s="8"/>
      <c r="VNV136" s="54"/>
      <c r="VNW136" s="8"/>
      <c r="VNX136" s="54"/>
      <c r="VNY136" s="8"/>
      <c r="VNZ136" s="54"/>
      <c r="VOA136" s="8"/>
      <c r="VOB136" s="54"/>
      <c r="VOC136" s="8"/>
      <c r="VOD136" s="54"/>
      <c r="VOE136" s="8"/>
      <c r="VOF136" s="54"/>
      <c r="VOG136" s="8"/>
      <c r="VOH136" s="54"/>
      <c r="VOI136" s="8"/>
      <c r="VOJ136" s="54"/>
      <c r="VOK136" s="8"/>
      <c r="VOL136" s="54"/>
      <c r="VOM136" s="8"/>
      <c r="VON136" s="54"/>
      <c r="VOO136" s="8"/>
      <c r="VOP136" s="54"/>
      <c r="VOQ136" s="8"/>
      <c r="VOR136" s="54"/>
      <c r="VOS136" s="8"/>
      <c r="VOT136" s="54"/>
      <c r="VOU136" s="8"/>
      <c r="VOV136" s="54"/>
      <c r="VOW136" s="8"/>
      <c r="VOX136" s="54"/>
      <c r="VOY136" s="8"/>
      <c r="VOZ136" s="54"/>
      <c r="VPA136" s="8"/>
      <c r="VPB136" s="54"/>
      <c r="VPC136" s="8"/>
      <c r="VPD136" s="54"/>
      <c r="VPE136" s="8"/>
      <c r="VPF136" s="54"/>
      <c r="VPG136" s="8"/>
      <c r="VPH136" s="54"/>
      <c r="VPI136" s="8"/>
      <c r="VPJ136" s="54"/>
      <c r="VPK136" s="8"/>
      <c r="VPL136" s="54"/>
      <c r="VPM136" s="8"/>
      <c r="VPN136" s="54"/>
      <c r="VPO136" s="8"/>
      <c r="VPP136" s="54"/>
      <c r="VPQ136" s="8"/>
      <c r="VPR136" s="54"/>
      <c r="VPS136" s="8"/>
      <c r="VPT136" s="54"/>
      <c r="VPU136" s="8"/>
      <c r="VPV136" s="54"/>
      <c r="VPW136" s="8"/>
      <c r="VPX136" s="54"/>
      <c r="VPY136" s="8"/>
      <c r="VPZ136" s="54"/>
      <c r="VQA136" s="8"/>
      <c r="VQB136" s="54"/>
      <c r="VQC136" s="8"/>
      <c r="VQD136" s="54"/>
      <c r="VQE136" s="8"/>
      <c r="VQF136" s="54"/>
      <c r="VQG136" s="8"/>
      <c r="VQH136" s="54"/>
      <c r="VQI136" s="8"/>
      <c r="VQJ136" s="54"/>
      <c r="VQK136" s="8"/>
      <c r="VQL136" s="54"/>
      <c r="VQM136" s="8"/>
      <c r="VQN136" s="54"/>
      <c r="VQO136" s="8"/>
      <c r="VQP136" s="54"/>
      <c r="VQQ136" s="8"/>
      <c r="VQR136" s="54"/>
      <c r="VQS136" s="8"/>
      <c r="VQT136" s="54"/>
      <c r="VQU136" s="8"/>
      <c r="VQV136" s="54"/>
      <c r="VQW136" s="8"/>
      <c r="VQX136" s="54"/>
      <c r="VQY136" s="8"/>
      <c r="VQZ136" s="54"/>
      <c r="VRA136" s="8"/>
      <c r="VRB136" s="54"/>
      <c r="VRC136" s="8"/>
      <c r="VRD136" s="54"/>
      <c r="VRE136" s="8"/>
      <c r="VRF136" s="54"/>
      <c r="VRG136" s="8"/>
      <c r="VRH136" s="54"/>
      <c r="VRI136" s="8"/>
      <c r="VRJ136" s="54"/>
      <c r="VRK136" s="8"/>
      <c r="VRL136" s="54"/>
      <c r="VRM136" s="8"/>
      <c r="VRN136" s="54"/>
      <c r="VRO136" s="8"/>
      <c r="VRP136" s="54"/>
      <c r="VRQ136" s="8"/>
      <c r="VRR136" s="54"/>
      <c r="VRS136" s="8"/>
      <c r="VRT136" s="54"/>
      <c r="VRU136" s="8"/>
      <c r="VRV136" s="54"/>
      <c r="VRW136" s="8"/>
      <c r="VRX136" s="54"/>
      <c r="VRY136" s="8"/>
      <c r="VRZ136" s="54"/>
      <c r="VSA136" s="8"/>
      <c r="VSB136" s="54"/>
      <c r="VSC136" s="8"/>
      <c r="VSD136" s="54"/>
      <c r="VSE136" s="8"/>
      <c r="VSF136" s="54"/>
      <c r="VSG136" s="8"/>
      <c r="VSH136" s="54"/>
      <c r="VSI136" s="8"/>
      <c r="VSJ136" s="54"/>
      <c r="VSK136" s="8"/>
      <c r="VSL136" s="54"/>
      <c r="VSM136" s="8"/>
      <c r="VSN136" s="54"/>
      <c r="VSO136" s="8"/>
      <c r="VSP136" s="54"/>
      <c r="VSQ136" s="8"/>
      <c r="VSR136" s="54"/>
      <c r="VSS136" s="8"/>
      <c r="VST136" s="54"/>
      <c r="VSU136" s="8"/>
      <c r="VSV136" s="54"/>
      <c r="VSW136" s="8"/>
      <c r="VSX136" s="54"/>
      <c r="VSY136" s="8"/>
      <c r="VSZ136" s="54"/>
      <c r="VTA136" s="8"/>
      <c r="VTB136" s="54"/>
      <c r="VTC136" s="8"/>
      <c r="VTD136" s="54"/>
      <c r="VTE136" s="8"/>
      <c r="VTF136" s="54"/>
      <c r="VTG136" s="8"/>
      <c r="VTH136" s="54"/>
      <c r="VTI136" s="8"/>
      <c r="VTJ136" s="54"/>
      <c r="VTK136" s="8"/>
      <c r="VTL136" s="54"/>
      <c r="VTM136" s="8"/>
      <c r="VTN136" s="54"/>
      <c r="VTO136" s="8"/>
      <c r="VTP136" s="54"/>
      <c r="VTQ136" s="8"/>
      <c r="VTR136" s="54"/>
      <c r="VTS136" s="8"/>
      <c r="VTT136" s="54"/>
      <c r="VTU136" s="8"/>
      <c r="VTV136" s="54"/>
      <c r="VTW136" s="8"/>
      <c r="VTX136" s="54"/>
      <c r="VTY136" s="8"/>
      <c r="VTZ136" s="54"/>
      <c r="VUA136" s="8"/>
      <c r="VUB136" s="54"/>
      <c r="VUC136" s="8"/>
      <c r="VUD136" s="54"/>
      <c r="VUE136" s="8"/>
      <c r="VUF136" s="54"/>
      <c r="VUG136" s="8"/>
      <c r="VUH136" s="54"/>
      <c r="VUI136" s="8"/>
      <c r="VUJ136" s="54"/>
      <c r="VUK136" s="8"/>
      <c r="VUL136" s="54"/>
      <c r="VUM136" s="8"/>
      <c r="VUN136" s="54"/>
      <c r="VUO136" s="8"/>
      <c r="VUP136" s="54"/>
      <c r="VUQ136" s="8"/>
      <c r="VUR136" s="54"/>
      <c r="VUS136" s="8"/>
      <c r="VUT136" s="54"/>
      <c r="VUU136" s="8"/>
      <c r="VUV136" s="54"/>
      <c r="VUW136" s="8"/>
      <c r="VUX136" s="54"/>
      <c r="VUY136" s="8"/>
      <c r="VUZ136" s="54"/>
      <c r="VVA136" s="8"/>
      <c r="VVB136" s="54"/>
      <c r="VVC136" s="8"/>
      <c r="VVD136" s="54"/>
      <c r="VVE136" s="8"/>
      <c r="VVF136" s="54"/>
      <c r="VVG136" s="8"/>
      <c r="VVH136" s="54"/>
      <c r="VVI136" s="8"/>
      <c r="VVJ136" s="54"/>
      <c r="VVK136" s="8"/>
      <c r="VVL136" s="54"/>
      <c r="VVM136" s="8"/>
      <c r="VVN136" s="54"/>
      <c r="VVO136" s="8"/>
      <c r="VVP136" s="54"/>
      <c r="VVQ136" s="8"/>
      <c r="VVR136" s="54"/>
      <c r="VVS136" s="8"/>
      <c r="VVT136" s="54"/>
      <c r="VVU136" s="8"/>
      <c r="VVV136" s="54"/>
      <c r="VVW136" s="8"/>
      <c r="VVX136" s="54"/>
      <c r="VVY136" s="8"/>
      <c r="VVZ136" s="54"/>
      <c r="VWA136" s="8"/>
      <c r="VWB136" s="54"/>
      <c r="VWC136" s="8"/>
      <c r="VWD136" s="54"/>
      <c r="VWE136" s="8"/>
      <c r="VWF136" s="54"/>
      <c r="VWG136" s="8"/>
      <c r="VWH136" s="54"/>
      <c r="VWI136" s="8"/>
      <c r="VWJ136" s="54"/>
      <c r="VWK136" s="8"/>
      <c r="VWL136" s="54"/>
      <c r="VWM136" s="8"/>
      <c r="VWN136" s="54"/>
      <c r="VWO136" s="8"/>
      <c r="VWP136" s="54"/>
      <c r="VWQ136" s="8"/>
      <c r="VWR136" s="54"/>
      <c r="VWS136" s="8"/>
      <c r="VWT136" s="54"/>
      <c r="VWU136" s="8"/>
      <c r="VWV136" s="54"/>
      <c r="VWW136" s="8"/>
      <c r="VWX136" s="54"/>
      <c r="VWY136" s="8"/>
      <c r="VWZ136" s="54"/>
      <c r="VXA136" s="8"/>
      <c r="VXB136" s="54"/>
      <c r="VXC136" s="8"/>
      <c r="VXD136" s="54"/>
      <c r="VXE136" s="8"/>
      <c r="VXF136" s="54"/>
      <c r="VXG136" s="8"/>
      <c r="VXH136" s="54"/>
      <c r="VXI136" s="8"/>
      <c r="VXJ136" s="54"/>
      <c r="VXK136" s="8"/>
      <c r="VXL136" s="54"/>
      <c r="VXM136" s="8"/>
      <c r="VXN136" s="54"/>
      <c r="VXO136" s="8"/>
      <c r="VXP136" s="54"/>
      <c r="VXQ136" s="8"/>
      <c r="VXR136" s="54"/>
      <c r="VXS136" s="8"/>
      <c r="VXT136" s="54"/>
      <c r="VXU136" s="8"/>
      <c r="VXV136" s="54"/>
      <c r="VXW136" s="8"/>
      <c r="VXX136" s="54"/>
      <c r="VXY136" s="8"/>
      <c r="VXZ136" s="54"/>
      <c r="VYA136" s="8"/>
      <c r="VYB136" s="54"/>
      <c r="VYC136" s="8"/>
      <c r="VYD136" s="54"/>
      <c r="VYE136" s="8"/>
      <c r="VYF136" s="54"/>
      <c r="VYG136" s="8"/>
      <c r="VYH136" s="54"/>
      <c r="VYI136" s="8"/>
      <c r="VYJ136" s="54"/>
      <c r="VYK136" s="8"/>
      <c r="VYL136" s="54"/>
      <c r="VYM136" s="8"/>
      <c r="VYN136" s="54"/>
      <c r="VYO136" s="8"/>
      <c r="VYP136" s="54"/>
      <c r="VYQ136" s="8"/>
      <c r="VYR136" s="54"/>
      <c r="VYS136" s="8"/>
      <c r="VYT136" s="54"/>
      <c r="VYU136" s="8"/>
      <c r="VYV136" s="54"/>
      <c r="VYW136" s="8"/>
      <c r="VYX136" s="54"/>
      <c r="VYY136" s="8"/>
      <c r="VYZ136" s="54"/>
      <c r="VZA136" s="8"/>
      <c r="VZB136" s="54"/>
      <c r="VZC136" s="8"/>
      <c r="VZD136" s="54"/>
      <c r="VZE136" s="8"/>
      <c r="VZF136" s="54"/>
      <c r="VZG136" s="8"/>
      <c r="VZH136" s="54"/>
      <c r="VZI136" s="8"/>
      <c r="VZJ136" s="54"/>
      <c r="VZK136" s="8"/>
      <c r="VZL136" s="54"/>
      <c r="VZM136" s="8"/>
      <c r="VZN136" s="54"/>
      <c r="VZO136" s="8"/>
      <c r="VZP136" s="54"/>
      <c r="VZQ136" s="8"/>
      <c r="VZR136" s="54"/>
      <c r="VZS136" s="8"/>
      <c r="VZT136" s="54"/>
      <c r="VZU136" s="8"/>
      <c r="VZV136" s="54"/>
      <c r="VZW136" s="8"/>
      <c r="VZX136" s="54"/>
      <c r="VZY136" s="8"/>
      <c r="VZZ136" s="54"/>
      <c r="WAA136" s="8"/>
      <c r="WAB136" s="54"/>
      <c r="WAC136" s="8"/>
      <c r="WAD136" s="54"/>
      <c r="WAE136" s="8"/>
      <c r="WAF136" s="54"/>
      <c r="WAG136" s="8"/>
      <c r="WAH136" s="54"/>
      <c r="WAI136" s="8"/>
      <c r="WAJ136" s="54"/>
      <c r="WAK136" s="8"/>
      <c r="WAL136" s="54"/>
      <c r="WAM136" s="8"/>
      <c r="WAN136" s="54"/>
      <c r="WAO136" s="8"/>
      <c r="WAP136" s="54"/>
      <c r="WAQ136" s="8"/>
      <c r="WAR136" s="54"/>
      <c r="WAS136" s="8"/>
      <c r="WAT136" s="54"/>
      <c r="WAU136" s="8"/>
      <c r="WAV136" s="54"/>
      <c r="WAW136" s="8"/>
      <c r="WAX136" s="54"/>
      <c r="WAY136" s="8"/>
      <c r="WAZ136" s="54"/>
      <c r="WBA136" s="8"/>
      <c r="WBB136" s="54"/>
      <c r="WBC136" s="8"/>
      <c r="WBD136" s="54"/>
      <c r="WBE136" s="8"/>
      <c r="WBF136" s="54"/>
      <c r="WBG136" s="8"/>
      <c r="WBH136" s="54"/>
      <c r="WBI136" s="8"/>
      <c r="WBJ136" s="54"/>
      <c r="WBK136" s="8"/>
      <c r="WBL136" s="54"/>
      <c r="WBM136" s="8"/>
      <c r="WBN136" s="54"/>
      <c r="WBO136" s="8"/>
      <c r="WBP136" s="54"/>
      <c r="WBQ136" s="8"/>
      <c r="WBR136" s="54"/>
      <c r="WBS136" s="8"/>
      <c r="WBT136" s="54"/>
      <c r="WBU136" s="8"/>
      <c r="WBV136" s="54"/>
      <c r="WBW136" s="8"/>
      <c r="WBX136" s="54"/>
      <c r="WBY136" s="8"/>
      <c r="WBZ136" s="54"/>
      <c r="WCA136" s="8"/>
      <c r="WCB136" s="54"/>
      <c r="WCC136" s="8"/>
      <c r="WCD136" s="54"/>
      <c r="WCE136" s="8"/>
      <c r="WCF136" s="54"/>
      <c r="WCG136" s="8"/>
      <c r="WCH136" s="54"/>
      <c r="WCI136" s="8"/>
      <c r="WCJ136" s="54"/>
      <c r="WCK136" s="8"/>
      <c r="WCL136" s="54"/>
      <c r="WCM136" s="8"/>
      <c r="WCN136" s="54"/>
      <c r="WCO136" s="8"/>
      <c r="WCP136" s="54"/>
      <c r="WCQ136" s="8"/>
      <c r="WCR136" s="54"/>
      <c r="WCS136" s="8"/>
      <c r="WCT136" s="54"/>
      <c r="WCU136" s="8"/>
      <c r="WCV136" s="54"/>
      <c r="WCW136" s="8"/>
      <c r="WCX136" s="54"/>
      <c r="WCY136" s="8"/>
      <c r="WCZ136" s="54"/>
      <c r="WDA136" s="8"/>
      <c r="WDB136" s="54"/>
      <c r="WDC136" s="8"/>
      <c r="WDD136" s="54"/>
      <c r="WDE136" s="8"/>
      <c r="WDF136" s="54"/>
      <c r="WDG136" s="8"/>
      <c r="WDH136" s="54"/>
      <c r="WDI136" s="8"/>
      <c r="WDJ136" s="54"/>
      <c r="WDK136" s="8"/>
      <c r="WDL136" s="54"/>
      <c r="WDM136" s="8"/>
      <c r="WDN136" s="54"/>
      <c r="WDO136" s="8"/>
      <c r="WDP136" s="54"/>
      <c r="WDQ136" s="8"/>
      <c r="WDR136" s="54"/>
      <c r="WDS136" s="8"/>
      <c r="WDT136" s="54"/>
      <c r="WDU136" s="8"/>
      <c r="WDV136" s="54"/>
      <c r="WDW136" s="8"/>
      <c r="WDX136" s="54"/>
      <c r="WDY136" s="8"/>
      <c r="WDZ136" s="54"/>
      <c r="WEA136" s="8"/>
      <c r="WEB136" s="54"/>
      <c r="WEC136" s="8"/>
      <c r="WED136" s="54"/>
      <c r="WEE136" s="8"/>
      <c r="WEF136" s="54"/>
      <c r="WEG136" s="8"/>
      <c r="WEH136" s="54"/>
      <c r="WEI136" s="8"/>
      <c r="WEJ136" s="54"/>
      <c r="WEK136" s="8"/>
      <c r="WEL136" s="54"/>
      <c r="WEM136" s="8"/>
      <c r="WEN136" s="54"/>
      <c r="WEO136" s="8"/>
      <c r="WEP136" s="54"/>
      <c r="WEQ136" s="8"/>
      <c r="WER136" s="54"/>
      <c r="WES136" s="8"/>
      <c r="WET136" s="54"/>
      <c r="WEU136" s="8"/>
      <c r="WEV136" s="54"/>
      <c r="WEW136" s="8"/>
      <c r="WEX136" s="54"/>
      <c r="WEY136" s="8"/>
      <c r="WEZ136" s="54"/>
      <c r="WFA136" s="8"/>
      <c r="WFB136" s="54"/>
      <c r="WFC136" s="8"/>
      <c r="WFD136" s="54"/>
      <c r="WFE136" s="8"/>
      <c r="WFF136" s="54"/>
      <c r="WFG136" s="8"/>
      <c r="WFH136" s="54"/>
      <c r="WFI136" s="8"/>
      <c r="WFJ136" s="54"/>
      <c r="WFK136" s="8"/>
      <c r="WFL136" s="54"/>
      <c r="WFM136" s="8"/>
      <c r="WFN136" s="54"/>
      <c r="WFO136" s="8"/>
      <c r="WFP136" s="54"/>
      <c r="WFQ136" s="8"/>
      <c r="WFR136" s="54"/>
      <c r="WFS136" s="8"/>
      <c r="WFT136" s="54"/>
      <c r="WFU136" s="8"/>
      <c r="WFV136" s="54"/>
      <c r="WFW136" s="8"/>
      <c r="WFX136" s="54"/>
      <c r="WFY136" s="8"/>
      <c r="WFZ136" s="54"/>
      <c r="WGA136" s="8"/>
      <c r="WGB136" s="54"/>
      <c r="WGC136" s="8"/>
      <c r="WGD136" s="54"/>
      <c r="WGE136" s="8"/>
      <c r="WGF136" s="54"/>
      <c r="WGG136" s="8"/>
      <c r="WGH136" s="54"/>
      <c r="WGI136" s="8"/>
      <c r="WGJ136" s="54"/>
      <c r="WGK136" s="8"/>
      <c r="WGL136" s="54"/>
      <c r="WGM136" s="8"/>
      <c r="WGN136" s="54"/>
      <c r="WGO136" s="8"/>
      <c r="WGP136" s="54"/>
      <c r="WGQ136" s="8"/>
      <c r="WGR136" s="54"/>
      <c r="WGS136" s="8"/>
      <c r="WGT136" s="54"/>
      <c r="WGU136" s="8"/>
      <c r="WGV136" s="54"/>
      <c r="WGW136" s="8"/>
      <c r="WGX136" s="54"/>
      <c r="WGY136" s="8"/>
      <c r="WGZ136" s="54"/>
      <c r="WHA136" s="8"/>
      <c r="WHB136" s="54"/>
      <c r="WHC136" s="8"/>
      <c r="WHD136" s="54"/>
      <c r="WHE136" s="8"/>
      <c r="WHF136" s="54"/>
      <c r="WHG136" s="8"/>
      <c r="WHH136" s="54"/>
      <c r="WHI136" s="8"/>
      <c r="WHJ136" s="54"/>
      <c r="WHK136" s="8"/>
      <c r="WHL136" s="54"/>
      <c r="WHM136" s="8"/>
      <c r="WHN136" s="54"/>
      <c r="WHO136" s="8"/>
      <c r="WHP136" s="54"/>
      <c r="WHQ136" s="8"/>
      <c r="WHR136" s="54"/>
      <c r="WHS136" s="8"/>
      <c r="WHT136" s="54"/>
      <c r="WHU136" s="8"/>
      <c r="WHV136" s="54"/>
      <c r="WHW136" s="8"/>
      <c r="WHX136" s="54"/>
      <c r="WHY136" s="8"/>
      <c r="WHZ136" s="54"/>
      <c r="WIA136" s="8"/>
      <c r="WIB136" s="54"/>
      <c r="WIC136" s="8"/>
      <c r="WID136" s="54"/>
      <c r="WIE136" s="8"/>
      <c r="WIF136" s="54"/>
      <c r="WIG136" s="8"/>
      <c r="WIH136" s="54"/>
      <c r="WII136" s="8"/>
      <c r="WIJ136" s="54"/>
      <c r="WIK136" s="8"/>
      <c r="WIL136" s="54"/>
      <c r="WIM136" s="8"/>
      <c r="WIN136" s="54"/>
      <c r="WIO136" s="8"/>
      <c r="WIP136" s="54"/>
      <c r="WIQ136" s="8"/>
      <c r="WIR136" s="54"/>
      <c r="WIS136" s="8"/>
      <c r="WIT136" s="54"/>
      <c r="WIU136" s="8"/>
      <c r="WIV136" s="54"/>
      <c r="WIW136" s="8"/>
      <c r="WIX136" s="54"/>
      <c r="WIY136" s="8"/>
      <c r="WIZ136" s="54"/>
      <c r="WJA136" s="8"/>
      <c r="WJB136" s="54"/>
      <c r="WJC136" s="8"/>
      <c r="WJD136" s="54"/>
      <c r="WJE136" s="8"/>
      <c r="WJF136" s="54"/>
      <c r="WJG136" s="8"/>
      <c r="WJH136" s="54"/>
      <c r="WJI136" s="8"/>
      <c r="WJJ136" s="54"/>
      <c r="WJK136" s="8"/>
      <c r="WJL136" s="54"/>
      <c r="WJM136" s="8"/>
      <c r="WJN136" s="54"/>
      <c r="WJO136" s="8"/>
      <c r="WJP136" s="54"/>
      <c r="WJQ136" s="8"/>
      <c r="WJR136" s="54"/>
      <c r="WJS136" s="8"/>
      <c r="WJT136" s="54"/>
      <c r="WJU136" s="8"/>
      <c r="WJV136" s="54"/>
      <c r="WJW136" s="8"/>
      <c r="WJX136" s="54"/>
      <c r="WJY136" s="8"/>
      <c r="WJZ136" s="54"/>
      <c r="WKA136" s="8"/>
      <c r="WKB136" s="54"/>
      <c r="WKC136" s="8"/>
      <c r="WKD136" s="54"/>
      <c r="WKE136" s="8"/>
      <c r="WKF136" s="54"/>
      <c r="WKG136" s="8"/>
      <c r="WKH136" s="54"/>
      <c r="WKI136" s="8"/>
      <c r="WKJ136" s="54"/>
      <c r="WKK136" s="8"/>
      <c r="WKL136" s="54"/>
      <c r="WKM136" s="8"/>
      <c r="WKN136" s="54"/>
      <c r="WKO136" s="8"/>
      <c r="WKP136" s="54"/>
      <c r="WKQ136" s="8"/>
      <c r="WKR136" s="54"/>
      <c r="WKS136" s="8"/>
      <c r="WKT136" s="54"/>
      <c r="WKU136" s="8"/>
      <c r="WKV136" s="54"/>
      <c r="WKW136" s="8"/>
      <c r="WKX136" s="54"/>
      <c r="WKY136" s="8"/>
      <c r="WKZ136" s="54"/>
      <c r="WLA136" s="8"/>
      <c r="WLB136" s="54"/>
      <c r="WLC136" s="8"/>
      <c r="WLD136" s="54"/>
      <c r="WLE136" s="8"/>
      <c r="WLF136" s="54"/>
      <c r="WLG136" s="8"/>
      <c r="WLH136" s="54"/>
      <c r="WLI136" s="8"/>
      <c r="WLJ136" s="54"/>
      <c r="WLK136" s="8"/>
      <c r="WLL136" s="54"/>
      <c r="WLM136" s="8"/>
      <c r="WLN136" s="54"/>
      <c r="WLO136" s="8"/>
      <c r="WLP136" s="54"/>
      <c r="WLQ136" s="8"/>
      <c r="WLR136" s="54"/>
      <c r="WLS136" s="8"/>
      <c r="WLT136" s="54"/>
      <c r="WLU136" s="8"/>
      <c r="WLV136" s="54"/>
      <c r="WLW136" s="8"/>
      <c r="WLX136" s="54"/>
      <c r="WLY136" s="8"/>
      <c r="WLZ136" s="54"/>
      <c r="WMA136" s="8"/>
      <c r="WMB136" s="54"/>
      <c r="WMC136" s="8"/>
      <c r="WMD136" s="54"/>
      <c r="WME136" s="8"/>
      <c r="WMF136" s="54"/>
      <c r="WMG136" s="8"/>
      <c r="WMH136" s="54"/>
      <c r="WMI136" s="8"/>
      <c r="WMJ136" s="54"/>
      <c r="WMK136" s="8"/>
      <c r="WML136" s="54"/>
      <c r="WMM136" s="8"/>
      <c r="WMN136" s="54"/>
      <c r="WMO136" s="8"/>
      <c r="WMP136" s="54"/>
      <c r="WMQ136" s="8"/>
      <c r="WMR136" s="54"/>
      <c r="WMS136" s="8"/>
      <c r="WMT136" s="54"/>
      <c r="WMU136" s="8"/>
      <c r="WMV136" s="54"/>
      <c r="WMW136" s="8"/>
      <c r="WMX136" s="54"/>
      <c r="WMY136" s="8"/>
      <c r="WMZ136" s="54"/>
      <c r="WNA136" s="8"/>
      <c r="WNB136" s="54"/>
      <c r="WNC136" s="8"/>
      <c r="WND136" s="54"/>
      <c r="WNE136" s="8"/>
      <c r="WNF136" s="54"/>
      <c r="WNG136" s="8"/>
      <c r="WNH136" s="54"/>
      <c r="WNI136" s="8"/>
      <c r="WNJ136" s="54"/>
      <c r="WNK136" s="8"/>
      <c r="WNL136" s="54"/>
      <c r="WNM136" s="8"/>
      <c r="WNN136" s="54"/>
      <c r="WNO136" s="8"/>
      <c r="WNP136" s="54"/>
      <c r="WNQ136" s="8"/>
      <c r="WNR136" s="54"/>
      <c r="WNS136" s="8"/>
      <c r="WNT136" s="54"/>
      <c r="WNU136" s="8"/>
      <c r="WNV136" s="54"/>
      <c r="WNW136" s="8"/>
      <c r="WNX136" s="54"/>
      <c r="WNY136" s="8"/>
      <c r="WNZ136" s="54"/>
      <c r="WOA136" s="8"/>
      <c r="WOB136" s="54"/>
      <c r="WOC136" s="8"/>
      <c r="WOD136" s="54"/>
      <c r="WOE136" s="8"/>
      <c r="WOF136" s="54"/>
      <c r="WOG136" s="8"/>
      <c r="WOH136" s="54"/>
      <c r="WOI136" s="8"/>
      <c r="WOJ136" s="54"/>
      <c r="WOK136" s="8"/>
      <c r="WOL136" s="54"/>
      <c r="WOM136" s="8"/>
      <c r="WON136" s="54"/>
      <c r="WOO136" s="8"/>
      <c r="WOP136" s="54"/>
      <c r="WOQ136" s="8"/>
      <c r="WOR136" s="54"/>
      <c r="WOS136" s="8"/>
      <c r="WOT136" s="54"/>
      <c r="WOU136" s="8"/>
      <c r="WOV136" s="54"/>
      <c r="WOW136" s="8"/>
      <c r="WOX136" s="54"/>
      <c r="WOY136" s="8"/>
      <c r="WOZ136" s="54"/>
      <c r="WPA136" s="8"/>
      <c r="WPB136" s="54"/>
      <c r="WPC136" s="8"/>
      <c r="WPD136" s="54"/>
      <c r="WPE136" s="8"/>
      <c r="WPF136" s="54"/>
      <c r="WPG136" s="8"/>
      <c r="WPH136" s="54"/>
      <c r="WPI136" s="8"/>
      <c r="WPJ136" s="54"/>
      <c r="WPK136" s="8"/>
      <c r="WPL136" s="54"/>
      <c r="WPM136" s="8"/>
      <c r="WPN136" s="54"/>
      <c r="WPO136" s="8"/>
      <c r="WPP136" s="54"/>
      <c r="WPQ136" s="8"/>
      <c r="WPR136" s="54"/>
      <c r="WPS136" s="8"/>
      <c r="WPT136" s="54"/>
      <c r="WPU136" s="8"/>
      <c r="WPV136" s="54"/>
      <c r="WPW136" s="8"/>
      <c r="WPX136" s="54"/>
      <c r="WPY136" s="8"/>
      <c r="WPZ136" s="54"/>
      <c r="WQA136" s="8"/>
      <c r="WQB136" s="54"/>
      <c r="WQC136" s="8"/>
      <c r="WQD136" s="54"/>
      <c r="WQE136" s="8"/>
      <c r="WQF136" s="54"/>
      <c r="WQG136" s="8"/>
      <c r="WQH136" s="54"/>
      <c r="WQI136" s="8"/>
      <c r="WQJ136" s="54"/>
      <c r="WQK136" s="8"/>
      <c r="WQL136" s="54"/>
      <c r="WQM136" s="8"/>
      <c r="WQN136" s="54"/>
      <c r="WQO136" s="8"/>
      <c r="WQP136" s="54"/>
      <c r="WQQ136" s="8"/>
      <c r="WQR136" s="54"/>
      <c r="WQS136" s="8"/>
      <c r="WQT136" s="54"/>
      <c r="WQU136" s="8"/>
      <c r="WQV136" s="54"/>
      <c r="WQW136" s="8"/>
      <c r="WQX136" s="54"/>
      <c r="WQY136" s="8"/>
      <c r="WQZ136" s="54"/>
      <c r="WRA136" s="8"/>
      <c r="WRB136" s="54"/>
      <c r="WRC136" s="8"/>
      <c r="WRD136" s="54"/>
      <c r="WRE136" s="8"/>
      <c r="WRF136" s="54"/>
      <c r="WRG136" s="8"/>
      <c r="WRH136" s="54"/>
      <c r="WRI136" s="8"/>
      <c r="WRJ136" s="54"/>
      <c r="WRK136" s="8"/>
      <c r="WRL136" s="54"/>
      <c r="WRM136" s="8"/>
      <c r="WRN136" s="54"/>
      <c r="WRO136" s="8"/>
      <c r="WRP136" s="54"/>
      <c r="WRQ136" s="8"/>
      <c r="WRR136" s="54"/>
      <c r="WRS136" s="8"/>
      <c r="WRT136" s="54"/>
      <c r="WRU136" s="8"/>
      <c r="WRV136" s="54"/>
      <c r="WRW136" s="8"/>
      <c r="WRX136" s="54"/>
      <c r="WRY136" s="8"/>
      <c r="WRZ136" s="54"/>
      <c r="WSA136" s="8"/>
      <c r="WSB136" s="54"/>
      <c r="WSC136" s="8"/>
      <c r="WSD136" s="54"/>
      <c r="WSE136" s="8"/>
      <c r="WSF136" s="54"/>
      <c r="WSG136" s="8"/>
      <c r="WSH136" s="54"/>
      <c r="WSI136" s="8"/>
      <c r="WSJ136" s="54"/>
      <c r="WSK136" s="8"/>
      <c r="WSL136" s="54"/>
      <c r="WSM136" s="8"/>
      <c r="WSN136" s="54"/>
      <c r="WSO136" s="8"/>
      <c r="WSP136" s="54"/>
      <c r="WSQ136" s="8"/>
      <c r="WSR136" s="54"/>
      <c r="WSS136" s="8"/>
      <c r="WST136" s="54"/>
      <c r="WSU136" s="8"/>
      <c r="WSV136" s="54"/>
      <c r="WSW136" s="8"/>
      <c r="WSX136" s="54"/>
      <c r="WSY136" s="8"/>
      <c r="WSZ136" s="54"/>
      <c r="WTA136" s="8"/>
      <c r="WTB136" s="54"/>
      <c r="WTC136" s="8"/>
      <c r="WTD136" s="54"/>
      <c r="WTE136" s="8"/>
      <c r="WTF136" s="54"/>
      <c r="WTG136" s="8"/>
      <c r="WTH136" s="54"/>
      <c r="WTI136" s="8"/>
      <c r="WTJ136" s="54"/>
      <c r="WTK136" s="8"/>
      <c r="WTL136" s="54"/>
      <c r="WTM136" s="8"/>
      <c r="WTN136" s="54"/>
      <c r="WTO136" s="8"/>
      <c r="WTP136" s="54"/>
      <c r="WTQ136" s="8"/>
      <c r="WTR136" s="54"/>
      <c r="WTS136" s="8"/>
      <c r="WTT136" s="54"/>
      <c r="WTU136" s="8"/>
      <c r="WTV136" s="54"/>
      <c r="WTW136" s="8"/>
      <c r="WTX136" s="54"/>
      <c r="WTY136" s="8"/>
      <c r="WTZ136" s="54"/>
      <c r="WUA136" s="8"/>
      <c r="WUB136" s="54"/>
      <c r="WUC136" s="8"/>
      <c r="WUD136" s="54"/>
      <c r="WUE136" s="8"/>
      <c r="WUF136" s="54"/>
      <c r="WUG136" s="8"/>
      <c r="WUH136" s="54"/>
      <c r="WUI136" s="8"/>
      <c r="WUJ136" s="54"/>
      <c r="WUK136" s="8"/>
      <c r="WUL136" s="54"/>
      <c r="WUM136" s="8"/>
      <c r="WUN136" s="54"/>
      <c r="WUO136" s="8"/>
      <c r="WUP136" s="54"/>
      <c r="WUQ136" s="8"/>
      <c r="WUR136" s="54"/>
      <c r="WUS136" s="8"/>
      <c r="WUT136" s="54"/>
      <c r="WUU136" s="8"/>
      <c r="WUV136" s="54"/>
      <c r="WUW136" s="8"/>
      <c r="WUX136" s="54"/>
      <c r="WUY136" s="8"/>
      <c r="WUZ136" s="54"/>
      <c r="WVA136" s="8"/>
      <c r="WVB136" s="54"/>
      <c r="WVC136" s="8"/>
      <c r="WVD136" s="54"/>
      <c r="WVE136" s="8"/>
      <c r="WVF136" s="54"/>
      <c r="WVG136" s="8"/>
      <c r="WVH136" s="54"/>
      <c r="WVI136" s="8"/>
      <c r="WVJ136" s="54"/>
      <c r="WVK136" s="8"/>
      <c r="WVL136" s="54"/>
      <c r="WVM136" s="8"/>
      <c r="WVN136" s="54"/>
      <c r="WVO136" s="8"/>
      <c r="WVP136" s="54"/>
      <c r="WVQ136" s="8"/>
      <c r="WVR136" s="54"/>
      <c r="WVS136" s="8"/>
      <c r="WVT136" s="54"/>
      <c r="WVU136" s="8"/>
      <c r="WVV136" s="54"/>
      <c r="WVW136" s="8"/>
      <c r="WVX136" s="54"/>
      <c r="WVY136" s="8"/>
      <c r="WVZ136" s="54"/>
      <c r="WWA136" s="8"/>
      <c r="WWB136" s="54"/>
      <c r="WWC136" s="8"/>
      <c r="WWD136" s="54"/>
      <c r="WWE136" s="8"/>
      <c r="WWF136" s="54"/>
      <c r="WWG136" s="8"/>
      <c r="WWH136" s="54"/>
      <c r="WWI136" s="8"/>
      <c r="WWJ136" s="54"/>
      <c r="WWK136" s="8"/>
      <c r="WWL136" s="54"/>
      <c r="WWM136" s="8"/>
      <c r="WWN136" s="54"/>
      <c r="WWO136" s="8"/>
      <c r="WWP136" s="54"/>
      <c r="WWQ136" s="8"/>
      <c r="WWR136" s="54"/>
      <c r="WWS136" s="8"/>
      <c r="WWT136" s="54"/>
      <c r="WWU136" s="8"/>
      <c r="WWV136" s="54"/>
      <c r="WWW136" s="8"/>
      <c r="WWX136" s="54"/>
      <c r="WWY136" s="8"/>
      <c r="WWZ136" s="54"/>
      <c r="WXA136" s="8"/>
      <c r="WXB136" s="54"/>
      <c r="WXC136" s="8"/>
      <c r="WXD136" s="54"/>
      <c r="WXE136" s="8"/>
      <c r="WXF136" s="54"/>
      <c r="WXG136" s="8"/>
      <c r="WXH136" s="54"/>
      <c r="WXI136" s="8"/>
      <c r="WXJ136" s="54"/>
      <c r="WXK136" s="8"/>
      <c r="WXL136" s="54"/>
      <c r="WXM136" s="8"/>
      <c r="WXN136" s="54"/>
      <c r="WXO136" s="8"/>
      <c r="WXP136" s="54"/>
      <c r="WXQ136" s="8"/>
      <c r="WXR136" s="54"/>
      <c r="WXS136" s="8"/>
      <c r="WXT136" s="54"/>
      <c r="WXU136" s="8"/>
      <c r="WXV136" s="54"/>
      <c r="WXW136" s="8"/>
      <c r="WXX136" s="54"/>
      <c r="WXY136" s="8"/>
      <c r="WXZ136" s="54"/>
      <c r="WYA136" s="8"/>
      <c r="WYB136" s="54"/>
      <c r="WYC136" s="8"/>
      <c r="WYD136" s="54"/>
      <c r="WYE136" s="8"/>
      <c r="WYF136" s="54"/>
      <c r="WYG136" s="8"/>
      <c r="WYH136" s="54"/>
      <c r="WYI136" s="8"/>
      <c r="WYJ136" s="54"/>
      <c r="WYK136" s="8"/>
      <c r="WYL136" s="54"/>
      <c r="WYM136" s="8"/>
      <c r="WYN136" s="54"/>
      <c r="WYO136" s="8"/>
      <c r="WYP136" s="54"/>
      <c r="WYQ136" s="8"/>
      <c r="WYR136" s="54"/>
      <c r="WYS136" s="8"/>
      <c r="WYT136" s="54"/>
      <c r="WYU136" s="8"/>
      <c r="WYV136" s="54"/>
      <c r="WYW136" s="8"/>
      <c r="WYX136" s="54"/>
      <c r="WYY136" s="8"/>
      <c r="WYZ136" s="54"/>
      <c r="WZA136" s="8"/>
      <c r="WZB136" s="54"/>
      <c r="WZC136" s="8"/>
      <c r="WZD136" s="54"/>
      <c r="WZE136" s="8"/>
      <c r="WZF136" s="54"/>
      <c r="WZG136" s="8"/>
      <c r="WZH136" s="54"/>
      <c r="WZI136" s="8"/>
      <c r="WZJ136" s="54"/>
      <c r="WZK136" s="8"/>
      <c r="WZL136" s="54"/>
      <c r="WZM136" s="8"/>
      <c r="WZN136" s="54"/>
      <c r="WZO136" s="8"/>
      <c r="WZP136" s="54"/>
      <c r="WZQ136" s="8"/>
      <c r="WZR136" s="54"/>
      <c r="WZS136" s="8"/>
      <c r="WZT136" s="54"/>
      <c r="WZU136" s="8"/>
      <c r="WZV136" s="54"/>
      <c r="WZW136" s="8"/>
      <c r="WZX136" s="54"/>
      <c r="WZY136" s="8"/>
      <c r="WZZ136" s="54"/>
      <c r="XAA136" s="8"/>
      <c r="XAB136" s="54"/>
      <c r="XAC136" s="8"/>
      <c r="XAD136" s="54"/>
      <c r="XAE136" s="8"/>
      <c r="XAF136" s="54"/>
      <c r="XAG136" s="8"/>
      <c r="XAH136" s="54"/>
      <c r="XAI136" s="8"/>
      <c r="XAJ136" s="54"/>
      <c r="XAK136" s="8"/>
      <c r="XAL136" s="54"/>
      <c r="XAM136" s="8"/>
      <c r="XAN136" s="54"/>
      <c r="XAO136" s="8"/>
      <c r="XAP136" s="54"/>
      <c r="XAQ136" s="8"/>
      <c r="XAR136" s="54"/>
      <c r="XAS136" s="8"/>
      <c r="XAT136" s="54"/>
      <c r="XAU136" s="8"/>
      <c r="XAV136" s="54"/>
      <c r="XAW136" s="8"/>
      <c r="XAX136" s="54"/>
      <c r="XAY136" s="8"/>
      <c r="XAZ136" s="54"/>
      <c r="XBA136" s="8"/>
      <c r="XBB136" s="54"/>
      <c r="XBC136" s="8"/>
      <c r="XBD136" s="54"/>
      <c r="XBE136" s="8"/>
      <c r="XBF136" s="54"/>
      <c r="XBG136" s="8"/>
      <c r="XBH136" s="54"/>
      <c r="XBI136" s="8"/>
      <c r="XBJ136" s="54"/>
      <c r="XBK136" s="8"/>
      <c r="XBL136" s="54"/>
      <c r="XBM136" s="8"/>
      <c r="XBN136" s="54"/>
      <c r="XBO136" s="8"/>
      <c r="XBP136" s="54"/>
      <c r="XBQ136" s="8"/>
      <c r="XBR136" s="54"/>
      <c r="XBS136" s="8"/>
      <c r="XBT136" s="54"/>
      <c r="XBU136" s="8"/>
      <c r="XBV136" s="54"/>
      <c r="XBW136" s="8"/>
      <c r="XBX136" s="54"/>
      <c r="XBY136" s="8"/>
      <c r="XBZ136" s="54"/>
      <c r="XCA136" s="8"/>
      <c r="XCB136" s="54"/>
      <c r="XCC136" s="8"/>
      <c r="XCD136" s="54"/>
      <c r="XCE136" s="8"/>
      <c r="XCF136" s="54"/>
      <c r="XCG136" s="8"/>
      <c r="XCH136" s="54"/>
      <c r="XCI136" s="8"/>
      <c r="XCJ136" s="54"/>
      <c r="XCK136" s="8"/>
      <c r="XCL136" s="54"/>
      <c r="XCM136" s="8"/>
      <c r="XCN136" s="54"/>
      <c r="XCO136" s="8"/>
      <c r="XCP136" s="54"/>
      <c r="XCQ136" s="8"/>
      <c r="XCR136" s="54"/>
      <c r="XCS136" s="8"/>
      <c r="XCT136" s="54"/>
      <c r="XCU136" s="8"/>
      <c r="XCV136" s="54"/>
      <c r="XCW136" s="8"/>
      <c r="XCX136" s="54"/>
      <c r="XCY136" s="8"/>
      <c r="XCZ136" s="54"/>
      <c r="XDA136" s="8"/>
      <c r="XDB136" s="54"/>
      <c r="XDC136" s="8"/>
      <c r="XDD136" s="54"/>
      <c r="XDE136" s="8"/>
      <c r="XDF136" s="54"/>
      <c r="XDG136" s="8"/>
      <c r="XDH136" s="54"/>
      <c r="XDI136" s="8"/>
      <c r="XDJ136" s="54"/>
      <c r="XDK136" s="8"/>
      <c r="XDL136" s="54"/>
      <c r="XDM136" s="8"/>
      <c r="XDN136" s="54"/>
      <c r="XDO136" s="8"/>
      <c r="XDP136" s="54"/>
      <c r="XDQ136" s="8"/>
      <c r="XDR136" s="54"/>
      <c r="XDS136" s="8"/>
      <c r="XDT136" s="54"/>
      <c r="XDU136" s="8"/>
      <c r="XDV136" s="54"/>
      <c r="XDW136" s="8"/>
      <c r="XDX136" s="54"/>
      <c r="XDY136" s="8"/>
      <c r="XDZ136" s="54"/>
      <c r="XEA136" s="8"/>
      <c r="XEB136" s="54"/>
      <c r="XEC136" s="8"/>
      <c r="XED136" s="54"/>
      <c r="XEE136" s="8"/>
      <c r="XEF136" s="54"/>
      <c r="XEG136" s="8"/>
      <c r="XEH136" s="54"/>
      <c r="XEI136" s="8"/>
      <c r="XEJ136" s="54"/>
      <c r="XEK136" s="8"/>
      <c r="XEL136" s="54"/>
      <c r="XEM136" s="8"/>
      <c r="XEN136" s="54"/>
      <c r="XEO136" s="8"/>
      <c r="XEP136" s="54"/>
      <c r="XEQ136" s="8"/>
      <c r="XER136" s="54"/>
      <c r="XES136" s="8"/>
      <c r="XET136" s="54"/>
      <c r="XEU136" s="8"/>
      <c r="XEV136" s="54"/>
      <c r="XEW136" s="8"/>
      <c r="XEX136" s="54"/>
      <c r="XEY136" s="8"/>
      <c r="XEZ136" s="54"/>
      <c r="XFA136" s="8"/>
      <c r="XFB136" s="54"/>
    </row>
    <row r="137" spans="1:16382" ht="12" customHeight="1">
      <c r="A137" s="8"/>
      <c r="B137" s="54"/>
    </row>
    <row r="138" spans="1:16382" ht="12" customHeight="1">
      <c r="A138" s="8"/>
      <c r="B138" s="54"/>
    </row>
    <row r="139" spans="1:16382" ht="12" customHeight="1">
      <c r="A139" s="8"/>
      <c r="B139" s="54"/>
    </row>
    <row r="140" spans="1:16382" ht="12" customHeight="1">
      <c r="A140" s="8"/>
      <c r="B140" s="54"/>
    </row>
    <row r="141" spans="1:16382" ht="12" customHeight="1">
      <c r="A141" s="8"/>
      <c r="B141" s="54"/>
    </row>
    <row r="142" spans="1:16382" ht="12" customHeight="1">
      <c r="A142" s="8"/>
      <c r="B142" s="54"/>
    </row>
    <row r="143" spans="1:16382" ht="12" customHeight="1">
      <c r="A143" s="8"/>
      <c r="B143" s="54"/>
    </row>
    <row r="144" spans="1:16382" ht="12" customHeight="1">
      <c r="A144" s="8"/>
      <c r="B144" s="54"/>
    </row>
    <row r="145" spans="1:2" ht="12" customHeight="1">
      <c r="A145" s="8"/>
      <c r="B145" s="54"/>
    </row>
    <row r="146" spans="1:2" ht="12" customHeight="1">
      <c r="A146" s="8"/>
      <c r="B146" s="54"/>
    </row>
    <row r="147" spans="1:2" ht="12" customHeight="1">
      <c r="A147" s="8"/>
      <c r="B147" s="54"/>
    </row>
    <row r="148" spans="1:2" ht="12" customHeight="1">
      <c r="A148" s="8"/>
      <c r="B148" s="54"/>
    </row>
    <row r="149" spans="1:2" ht="12" customHeight="1">
      <c r="A149" s="8"/>
      <c r="B149" s="54"/>
    </row>
    <row r="150" spans="1:2" ht="12" customHeight="1">
      <c r="A150" s="8"/>
      <c r="B150" s="54"/>
    </row>
    <row r="151" spans="1:2" ht="12" customHeight="1">
      <c r="A151" s="8"/>
      <c r="B151" s="54"/>
    </row>
    <row r="152" spans="1:2" ht="12" customHeight="1">
      <c r="A152" s="8"/>
      <c r="B152" s="54"/>
    </row>
    <row r="153" spans="1:2" ht="12" customHeight="1">
      <c r="A153" s="8"/>
      <c r="B153" s="54"/>
    </row>
    <row r="154" spans="1:2" ht="12" customHeight="1">
      <c r="A154" s="8"/>
      <c r="B154" s="54"/>
    </row>
    <row r="155" spans="1:2" ht="12" customHeight="1">
      <c r="A155" s="8"/>
      <c r="B155" s="54"/>
    </row>
    <row r="156" spans="1:2" ht="12" customHeight="1">
      <c r="A156" s="8"/>
      <c r="B156" s="54"/>
    </row>
    <row r="157" spans="1:2" ht="12" customHeight="1">
      <c r="A157" s="8"/>
      <c r="B157" s="54"/>
    </row>
    <row r="158" spans="1:2" ht="12" customHeight="1">
      <c r="A158" s="8"/>
      <c r="B158" s="54"/>
    </row>
    <row r="159" spans="1:2" ht="12" customHeight="1">
      <c r="A159" s="8"/>
      <c r="B159" s="54"/>
    </row>
    <row r="160" spans="1:2" ht="12" customHeight="1">
      <c r="A160" s="8"/>
      <c r="B160" s="54"/>
    </row>
    <row r="161" spans="1:4" ht="12" customHeight="1">
      <c r="A161" s="8"/>
      <c r="B161" s="54"/>
      <c r="D161" s="54"/>
    </row>
    <row r="162" spans="1:4" ht="12" customHeight="1">
      <c r="A162" s="8"/>
      <c r="B162" s="54"/>
    </row>
    <row r="163" spans="1:4" ht="12" customHeight="1">
      <c r="A163" s="8"/>
      <c r="B163" s="54"/>
    </row>
    <row r="164" spans="1:4" ht="12" customHeight="1">
      <c r="A164" s="8"/>
      <c r="B164" s="54"/>
    </row>
    <row r="165" spans="1:4" ht="12" customHeight="1">
      <c r="A165" s="8"/>
      <c r="B165" s="54"/>
    </row>
    <row r="166" spans="1:4" ht="12" customHeight="1">
      <c r="A166" s="8"/>
      <c r="B166" s="54"/>
    </row>
    <row r="167" spans="1:4" ht="12" customHeight="1">
      <c r="A167" s="8"/>
      <c r="B167" s="54"/>
    </row>
    <row r="168" spans="1:4" ht="12" customHeight="1">
      <c r="A168" s="8"/>
      <c r="B168" s="54"/>
    </row>
    <row r="169" spans="1:4" ht="12" customHeight="1">
      <c r="A169" s="8"/>
      <c r="B169" s="54"/>
    </row>
    <row r="170" spans="1:4" ht="12" customHeight="1">
      <c r="A170" s="8"/>
      <c r="B170" s="54"/>
    </row>
    <row r="171" spans="1:4" ht="12" customHeight="1">
      <c r="A171" s="8"/>
      <c r="B171" s="54"/>
    </row>
    <row r="172" spans="1:4" ht="12" customHeight="1">
      <c r="A172" s="8"/>
      <c r="B172" s="54"/>
    </row>
    <row r="173" spans="1:4" ht="12" customHeight="1">
      <c r="A173" s="8"/>
      <c r="B173" s="54"/>
    </row>
    <row r="174" spans="1:4" ht="13">
      <c r="A174" s="8"/>
      <c r="B174" s="54"/>
    </row>
    <row r="175" spans="1:4" ht="13">
      <c r="A175" s="8"/>
      <c r="B175" s="54"/>
    </row>
    <row r="176" spans="1:4" ht="13">
      <c r="A176" s="8"/>
      <c r="B176" s="54"/>
    </row>
    <row r="177" spans="1:2" ht="13">
      <c r="A177" s="8"/>
      <c r="B177" s="54"/>
    </row>
    <row r="178" spans="1:2" ht="13">
      <c r="A178" s="8"/>
      <c r="B178" s="54"/>
    </row>
    <row r="179" spans="1:2" ht="13">
      <c r="A179" s="8"/>
      <c r="B179" s="54"/>
    </row>
    <row r="180" spans="1:2" ht="13">
      <c r="A180" s="8"/>
      <c r="B180" s="54"/>
    </row>
    <row r="181" spans="1:2" ht="13">
      <c r="A181" s="8"/>
      <c r="B181" s="54"/>
    </row>
    <row r="182" spans="1:2" ht="13">
      <c r="A182" s="8"/>
      <c r="B182" s="54"/>
    </row>
    <row r="183" spans="1:2" ht="13">
      <c r="A183" s="8"/>
      <c r="B183" s="54"/>
    </row>
    <row r="184" spans="1:2" ht="13">
      <c r="A184" s="8"/>
      <c r="B184" s="54"/>
    </row>
    <row r="185" spans="1:2" ht="13">
      <c r="A185" s="8"/>
      <c r="B185" s="54"/>
    </row>
    <row r="186" spans="1:2" ht="13">
      <c r="A186" s="8"/>
      <c r="B186" s="54"/>
    </row>
    <row r="187" spans="1:2" ht="13">
      <c r="A187" s="8"/>
      <c r="B187" s="54"/>
    </row>
    <row r="188" spans="1:2" ht="13">
      <c r="A188" s="8"/>
      <c r="B188" s="54"/>
    </row>
    <row r="189" spans="1:2" ht="13">
      <c r="A189" s="8"/>
      <c r="B189" s="54"/>
    </row>
    <row r="190" spans="1:2" ht="13">
      <c r="A190" s="8"/>
      <c r="B190" s="54"/>
    </row>
    <row r="191" spans="1:2" ht="13">
      <c r="A191" s="8"/>
      <c r="B191" s="54"/>
    </row>
    <row r="192" spans="1:2" ht="13">
      <c r="A192" s="8"/>
      <c r="B192" s="54"/>
    </row>
    <row r="193" spans="1:2" ht="13">
      <c r="A193" s="8"/>
      <c r="B193" s="54"/>
    </row>
    <row r="194" spans="1:2" ht="13">
      <c r="A194" s="8"/>
      <c r="B194" s="54"/>
    </row>
    <row r="195" spans="1:2" ht="13">
      <c r="A195" s="8"/>
      <c r="B195" s="54"/>
    </row>
    <row r="196" spans="1:2" ht="13">
      <c r="A196" s="8"/>
      <c r="B196" s="54"/>
    </row>
    <row r="197" spans="1:2" ht="13">
      <c r="A197" s="8"/>
      <c r="B197" s="54"/>
    </row>
    <row r="198" spans="1:2" ht="13">
      <c r="A198" s="8"/>
      <c r="B198" s="54"/>
    </row>
    <row r="199" spans="1:2" ht="13">
      <c r="A199" s="8"/>
      <c r="B199" s="54"/>
    </row>
    <row r="200" spans="1:2" ht="13">
      <c r="A200" s="8"/>
      <c r="B200" s="54"/>
    </row>
    <row r="201" spans="1:2" ht="13">
      <c r="A201" s="8"/>
      <c r="B201" s="54"/>
    </row>
    <row r="202" spans="1:2" ht="13">
      <c r="A202" s="8"/>
      <c r="B202" s="54"/>
    </row>
    <row r="203" spans="1:2" ht="13">
      <c r="A203" s="8"/>
      <c r="B203" s="54"/>
    </row>
    <row r="204" spans="1:2" ht="13">
      <c r="A204" s="8"/>
      <c r="B204" s="54"/>
    </row>
    <row r="205" spans="1:2" ht="13">
      <c r="A205" s="8"/>
      <c r="B205" s="54"/>
    </row>
    <row r="206" spans="1:2" ht="13">
      <c r="A206" s="8"/>
      <c r="B206" s="54"/>
    </row>
    <row r="207" spans="1:2" ht="13">
      <c r="A207" s="8"/>
      <c r="B207" s="54"/>
    </row>
    <row r="208" spans="1:2" ht="13">
      <c r="A208" s="8"/>
      <c r="B208" s="54"/>
    </row>
    <row r="209" spans="1:2" ht="13">
      <c r="A209" s="8"/>
      <c r="B209" s="54"/>
    </row>
    <row r="210" spans="1:2" ht="13">
      <c r="A210" s="8"/>
      <c r="B210" s="54"/>
    </row>
    <row r="211" spans="1:2" ht="13">
      <c r="A211" s="8"/>
      <c r="B211" s="54"/>
    </row>
    <row r="212" spans="1:2" ht="13">
      <c r="A212" s="8"/>
      <c r="B212" s="54"/>
    </row>
    <row r="213" spans="1:2" ht="13">
      <c r="A213" s="8"/>
      <c r="B213" s="54"/>
    </row>
    <row r="214" spans="1:2" ht="13">
      <c r="A214" s="8"/>
      <c r="B214" s="54"/>
    </row>
    <row r="215" spans="1:2" ht="13">
      <c r="A215" s="8"/>
      <c r="B215" s="54"/>
    </row>
    <row r="216" spans="1:2" ht="13">
      <c r="A216" s="8"/>
      <c r="B216" s="54"/>
    </row>
    <row r="217" spans="1:2" ht="13">
      <c r="A217" s="8"/>
      <c r="B217" s="54"/>
    </row>
    <row r="218" spans="1:2" ht="13">
      <c r="A218" s="8"/>
      <c r="B218" s="54"/>
    </row>
    <row r="219" spans="1:2" ht="13">
      <c r="A219" s="8"/>
      <c r="B219" s="54"/>
    </row>
    <row r="220" spans="1:2" ht="13">
      <c r="A220" s="8"/>
      <c r="B220" s="54"/>
    </row>
    <row r="221" spans="1:2" ht="13">
      <c r="A221" s="8"/>
      <c r="B221" s="54"/>
    </row>
    <row r="222" spans="1:2" ht="13">
      <c r="A222" s="8"/>
      <c r="B222" s="54"/>
    </row>
    <row r="223" spans="1:2" ht="13">
      <c r="A223" s="8"/>
      <c r="B223" s="54"/>
    </row>
    <row r="224" spans="1:2" ht="13">
      <c r="A224" s="8"/>
      <c r="B224" s="54"/>
    </row>
    <row r="225" spans="1:2" ht="13">
      <c r="A225" s="8"/>
      <c r="B225" s="54"/>
    </row>
    <row r="226" spans="1:2" ht="13">
      <c r="A226" s="8"/>
      <c r="B226" s="54"/>
    </row>
    <row r="227" spans="1:2" ht="13">
      <c r="A227" s="8"/>
      <c r="B227" s="54"/>
    </row>
    <row r="228" spans="1:2" ht="13">
      <c r="A228" s="8"/>
      <c r="B228" s="54"/>
    </row>
    <row r="229" spans="1:2" ht="13">
      <c r="A229" s="8"/>
      <c r="B229" s="54"/>
    </row>
    <row r="230" spans="1:2" ht="13">
      <c r="A230" s="8"/>
      <c r="B230" s="54"/>
    </row>
    <row r="231" spans="1:2" ht="13">
      <c r="A231" s="8"/>
      <c r="B231" s="54"/>
    </row>
    <row r="232" spans="1:2" ht="13">
      <c r="A232" s="8"/>
      <c r="B232" s="54"/>
    </row>
    <row r="233" spans="1:2" ht="13">
      <c r="A233" s="8"/>
      <c r="B233" s="54"/>
    </row>
    <row r="234" spans="1:2" ht="13">
      <c r="A234" s="8"/>
      <c r="B234" s="54"/>
    </row>
    <row r="235" spans="1:2" ht="13">
      <c r="A235" s="8"/>
      <c r="B235" s="54"/>
    </row>
    <row r="236" spans="1:2" ht="13">
      <c r="A236" s="8"/>
      <c r="B236" s="54"/>
    </row>
    <row r="237" spans="1:2" ht="13">
      <c r="A237" s="8"/>
      <c r="B237" s="54"/>
    </row>
    <row r="238" spans="1:2" ht="13">
      <c r="A238" s="8"/>
      <c r="B238" s="54"/>
    </row>
    <row r="239" spans="1:2" ht="13">
      <c r="A239" s="8"/>
      <c r="B239" s="54"/>
    </row>
    <row r="240" spans="1:2" ht="13">
      <c r="A240" s="8"/>
      <c r="B240" s="54"/>
    </row>
    <row r="241" spans="1:16382" ht="13">
      <c r="A241" s="8"/>
      <c r="B241" s="54"/>
    </row>
    <row r="242" spans="1:16382" ht="13">
      <c r="A242" s="8"/>
      <c r="B242" s="54"/>
      <c r="C242" s="8"/>
      <c r="D242" s="54"/>
      <c r="E242" s="8"/>
      <c r="F242" s="54"/>
      <c r="G242" s="8"/>
      <c r="H242" s="54"/>
      <c r="I242" s="8"/>
      <c r="J242" s="54"/>
      <c r="K242" s="8"/>
      <c r="L242" s="54"/>
      <c r="M242" s="8"/>
      <c r="N242" s="54"/>
      <c r="O242" s="8"/>
      <c r="P242" s="54"/>
      <c r="Q242" s="8"/>
      <c r="R242" s="54"/>
      <c r="S242" s="8"/>
      <c r="T242" s="54"/>
      <c r="U242" s="8"/>
      <c r="V242" s="54"/>
      <c r="W242" s="8"/>
      <c r="X242" s="54"/>
      <c r="Y242" s="8"/>
      <c r="Z242" s="54"/>
      <c r="AA242" s="8"/>
      <c r="AB242" s="54"/>
      <c r="AC242" s="8"/>
      <c r="AD242" s="54"/>
      <c r="AE242" s="8"/>
      <c r="AF242" s="54"/>
      <c r="AG242" s="8"/>
      <c r="AH242" s="54"/>
      <c r="AI242" s="8"/>
      <c r="AJ242" s="54"/>
      <c r="AK242" s="8"/>
      <c r="AL242" s="54"/>
      <c r="AM242" s="8"/>
      <c r="AN242" s="54"/>
      <c r="AO242" s="8"/>
      <c r="AP242" s="54"/>
      <c r="AQ242" s="8"/>
      <c r="AR242" s="54"/>
      <c r="AS242" s="8"/>
      <c r="AT242" s="54"/>
      <c r="AU242" s="8"/>
      <c r="AV242" s="54"/>
      <c r="AW242" s="8"/>
      <c r="AX242" s="54"/>
      <c r="AY242" s="8"/>
      <c r="AZ242" s="54"/>
      <c r="BA242" s="8"/>
      <c r="BB242" s="54"/>
      <c r="BC242" s="8"/>
      <c r="BD242" s="54"/>
      <c r="BE242" s="8"/>
      <c r="BF242" s="54"/>
      <c r="BG242" s="8"/>
      <c r="BH242" s="54"/>
      <c r="BI242" s="8"/>
      <c r="BJ242" s="54"/>
      <c r="BK242" s="8"/>
      <c r="BL242" s="54"/>
      <c r="BM242" s="8"/>
      <c r="BN242" s="54"/>
      <c r="BO242" s="8"/>
      <c r="BP242" s="54"/>
      <c r="BQ242" s="8"/>
      <c r="BR242" s="54"/>
      <c r="BS242" s="8"/>
      <c r="BT242" s="54"/>
      <c r="BU242" s="8"/>
      <c r="BV242" s="54"/>
      <c r="BW242" s="8"/>
      <c r="BX242" s="54"/>
      <c r="BY242" s="8"/>
      <c r="BZ242" s="54"/>
      <c r="CA242" s="8"/>
      <c r="CB242" s="54"/>
      <c r="CC242" s="8"/>
      <c r="CD242" s="54"/>
      <c r="CE242" s="8"/>
      <c r="CF242" s="54"/>
      <c r="CG242" s="8"/>
      <c r="CH242" s="54"/>
      <c r="CI242" s="8"/>
      <c r="CJ242" s="54"/>
      <c r="CK242" s="8"/>
      <c r="CL242" s="54"/>
      <c r="CM242" s="8"/>
      <c r="CN242" s="54"/>
      <c r="CO242" s="8"/>
      <c r="CP242" s="54"/>
      <c r="CQ242" s="8"/>
      <c r="CR242" s="54"/>
      <c r="CS242" s="8"/>
      <c r="CT242" s="54"/>
      <c r="CU242" s="8"/>
      <c r="CV242" s="54"/>
      <c r="CW242" s="8"/>
      <c r="CX242" s="54"/>
      <c r="CY242" s="8"/>
      <c r="CZ242" s="54"/>
      <c r="DA242" s="8"/>
      <c r="DB242" s="54"/>
      <c r="DC242" s="8"/>
      <c r="DD242" s="54"/>
      <c r="DE242" s="8"/>
      <c r="DF242" s="54"/>
      <c r="DG242" s="8"/>
      <c r="DH242" s="54"/>
      <c r="DI242" s="8"/>
      <c r="DJ242" s="54"/>
      <c r="DK242" s="8"/>
      <c r="DL242" s="54"/>
      <c r="DM242" s="8"/>
      <c r="DN242" s="54"/>
      <c r="DO242" s="8"/>
      <c r="DP242" s="54"/>
      <c r="DQ242" s="8"/>
      <c r="DR242" s="54"/>
      <c r="DS242" s="8"/>
      <c r="DT242" s="54"/>
      <c r="DU242" s="8"/>
      <c r="DV242" s="54"/>
      <c r="DW242" s="8"/>
      <c r="DX242" s="54"/>
      <c r="DY242" s="8"/>
      <c r="DZ242" s="54"/>
      <c r="EA242" s="8"/>
      <c r="EB242" s="54"/>
      <c r="EC242" s="8"/>
      <c r="ED242" s="54"/>
      <c r="EE242" s="8"/>
      <c r="EF242" s="54"/>
      <c r="EG242" s="8"/>
      <c r="EH242" s="54"/>
      <c r="EI242" s="8"/>
      <c r="EJ242" s="54"/>
      <c r="EK242" s="8"/>
      <c r="EL242" s="54"/>
      <c r="EM242" s="8"/>
      <c r="EN242" s="54"/>
      <c r="EO242" s="8"/>
      <c r="EP242" s="54"/>
      <c r="EQ242" s="8"/>
      <c r="ER242" s="54"/>
      <c r="ES242" s="8"/>
      <c r="ET242" s="54"/>
      <c r="EU242" s="8"/>
      <c r="EV242" s="54"/>
      <c r="EW242" s="8"/>
      <c r="EX242" s="54"/>
      <c r="EY242" s="8"/>
      <c r="EZ242" s="54"/>
      <c r="FA242" s="8"/>
      <c r="FB242" s="54"/>
      <c r="FC242" s="8"/>
      <c r="FD242" s="54"/>
      <c r="FE242" s="8"/>
      <c r="FF242" s="54"/>
      <c r="FG242" s="8"/>
      <c r="FH242" s="54"/>
      <c r="FI242" s="8"/>
      <c r="FJ242" s="54"/>
      <c r="FK242" s="8"/>
      <c r="FL242" s="54"/>
      <c r="FM242" s="8"/>
      <c r="FN242" s="54"/>
      <c r="FO242" s="8"/>
      <c r="FP242" s="54"/>
      <c r="FQ242" s="8"/>
      <c r="FR242" s="54"/>
      <c r="FS242" s="8"/>
      <c r="FT242" s="54"/>
      <c r="FU242" s="8"/>
      <c r="FV242" s="54"/>
      <c r="FW242" s="8"/>
      <c r="FX242" s="54"/>
      <c r="FY242" s="8"/>
      <c r="FZ242" s="54"/>
      <c r="GA242" s="8"/>
      <c r="GB242" s="54"/>
      <c r="GC242" s="8"/>
      <c r="GD242" s="54"/>
      <c r="GE242" s="8"/>
      <c r="GF242" s="54"/>
      <c r="GG242" s="8"/>
      <c r="GH242" s="54"/>
      <c r="GI242" s="8"/>
      <c r="GJ242" s="54"/>
      <c r="GK242" s="8"/>
      <c r="GL242" s="54"/>
      <c r="GM242" s="8"/>
      <c r="GN242" s="54"/>
      <c r="GO242" s="8"/>
      <c r="GP242" s="54"/>
      <c r="GQ242" s="8"/>
      <c r="GR242" s="54"/>
      <c r="GS242" s="8"/>
      <c r="GT242" s="54"/>
      <c r="GU242" s="8"/>
      <c r="GV242" s="54"/>
      <c r="GW242" s="8"/>
      <c r="GX242" s="54"/>
      <c r="GY242" s="8"/>
      <c r="GZ242" s="54"/>
      <c r="HA242" s="8"/>
      <c r="HB242" s="54"/>
      <c r="HC242" s="8"/>
      <c r="HD242" s="54"/>
      <c r="HE242" s="8"/>
      <c r="HF242" s="54"/>
      <c r="HG242" s="8"/>
      <c r="HH242" s="54"/>
      <c r="HI242" s="8"/>
      <c r="HJ242" s="54"/>
      <c r="HK242" s="8"/>
      <c r="HL242" s="54"/>
      <c r="HM242" s="8"/>
      <c r="HN242" s="54"/>
      <c r="HO242" s="8"/>
      <c r="HP242" s="54"/>
      <c r="HQ242" s="8"/>
      <c r="HR242" s="54"/>
      <c r="HS242" s="8"/>
      <c r="HT242" s="54"/>
      <c r="HU242" s="8"/>
      <c r="HV242" s="54"/>
      <c r="HW242" s="8"/>
      <c r="HX242" s="54"/>
      <c r="HY242" s="8"/>
      <c r="HZ242" s="54"/>
      <c r="IA242" s="8"/>
      <c r="IB242" s="54"/>
      <c r="IC242" s="8"/>
      <c r="ID242" s="54"/>
      <c r="IE242" s="8"/>
      <c r="IF242" s="54"/>
      <c r="IG242" s="8"/>
      <c r="IH242" s="54"/>
      <c r="II242" s="8"/>
      <c r="IJ242" s="54"/>
      <c r="IK242" s="8"/>
      <c r="IL242" s="54"/>
      <c r="IM242" s="8"/>
      <c r="IN242" s="54"/>
      <c r="IO242" s="8"/>
      <c r="IP242" s="54"/>
      <c r="IQ242" s="8"/>
      <c r="IR242" s="54"/>
      <c r="IS242" s="8"/>
      <c r="IT242" s="54"/>
      <c r="IU242" s="8"/>
      <c r="IV242" s="54"/>
      <c r="IW242" s="8"/>
      <c r="IX242" s="54"/>
      <c r="IY242" s="8"/>
      <c r="IZ242" s="54"/>
      <c r="JA242" s="8"/>
      <c r="JB242" s="54"/>
      <c r="JC242" s="8"/>
      <c r="JD242" s="54"/>
      <c r="JE242" s="8"/>
      <c r="JF242" s="54"/>
      <c r="JG242" s="8"/>
      <c r="JH242" s="54"/>
      <c r="JI242" s="8"/>
      <c r="JJ242" s="54"/>
      <c r="JK242" s="8"/>
      <c r="JL242" s="54"/>
      <c r="JM242" s="8"/>
      <c r="JN242" s="54"/>
      <c r="JO242" s="8"/>
      <c r="JP242" s="54"/>
      <c r="JQ242" s="8"/>
      <c r="JR242" s="54"/>
      <c r="JS242" s="8"/>
      <c r="JT242" s="54"/>
      <c r="JU242" s="8"/>
      <c r="JV242" s="54"/>
      <c r="JW242" s="8"/>
      <c r="JX242" s="54"/>
      <c r="JY242" s="8"/>
      <c r="JZ242" s="54"/>
      <c r="KA242" s="8"/>
      <c r="KB242" s="54"/>
      <c r="KC242" s="8"/>
      <c r="KD242" s="54"/>
      <c r="KE242" s="8"/>
      <c r="KF242" s="54"/>
      <c r="KG242" s="8"/>
      <c r="KH242" s="54"/>
      <c r="KI242" s="8"/>
      <c r="KJ242" s="54"/>
      <c r="KK242" s="8"/>
      <c r="KL242" s="54"/>
      <c r="KM242" s="8"/>
      <c r="KN242" s="54"/>
      <c r="KO242" s="8"/>
      <c r="KP242" s="54"/>
      <c r="KQ242" s="8"/>
      <c r="KR242" s="54"/>
      <c r="KS242" s="8"/>
      <c r="KT242" s="54"/>
      <c r="KU242" s="8"/>
      <c r="KV242" s="54"/>
      <c r="KW242" s="8"/>
      <c r="KX242" s="54"/>
      <c r="KY242" s="8"/>
      <c r="KZ242" s="54"/>
      <c r="LA242" s="8"/>
      <c r="LB242" s="54"/>
      <c r="LC242" s="8"/>
      <c r="LD242" s="54"/>
      <c r="LE242" s="8"/>
      <c r="LF242" s="54"/>
      <c r="LG242" s="8"/>
      <c r="LH242" s="54"/>
      <c r="LI242" s="8"/>
      <c r="LJ242" s="54"/>
      <c r="LK242" s="8"/>
      <c r="LL242" s="54"/>
      <c r="LM242" s="8"/>
      <c r="LN242" s="54"/>
      <c r="LO242" s="8"/>
      <c r="LP242" s="54"/>
      <c r="LQ242" s="8"/>
      <c r="LR242" s="54"/>
      <c r="LS242" s="8"/>
      <c r="LT242" s="54"/>
      <c r="LU242" s="8"/>
      <c r="LV242" s="54"/>
      <c r="LW242" s="8"/>
      <c r="LX242" s="54"/>
      <c r="LY242" s="8"/>
      <c r="LZ242" s="54"/>
      <c r="MA242" s="8"/>
      <c r="MB242" s="54"/>
      <c r="MC242" s="8"/>
      <c r="MD242" s="54"/>
      <c r="ME242" s="8"/>
      <c r="MF242" s="54"/>
      <c r="MG242" s="8"/>
      <c r="MH242" s="54"/>
      <c r="MI242" s="8"/>
      <c r="MJ242" s="54"/>
      <c r="MK242" s="8"/>
      <c r="ML242" s="54"/>
      <c r="MM242" s="8"/>
      <c r="MN242" s="54"/>
      <c r="MO242" s="8"/>
      <c r="MP242" s="54"/>
      <c r="MQ242" s="8"/>
      <c r="MR242" s="54"/>
      <c r="MS242" s="8"/>
      <c r="MT242" s="54"/>
      <c r="MU242" s="8"/>
      <c r="MV242" s="54"/>
      <c r="MW242" s="8"/>
      <c r="MX242" s="54"/>
      <c r="MY242" s="8"/>
      <c r="MZ242" s="54"/>
      <c r="NA242" s="8"/>
      <c r="NB242" s="54"/>
      <c r="NC242" s="8"/>
      <c r="ND242" s="54"/>
      <c r="NE242" s="8"/>
      <c r="NF242" s="54"/>
      <c r="NG242" s="8"/>
      <c r="NH242" s="54"/>
      <c r="NI242" s="8"/>
      <c r="NJ242" s="54"/>
      <c r="NK242" s="8"/>
      <c r="NL242" s="54"/>
      <c r="NM242" s="8"/>
      <c r="NN242" s="54"/>
      <c r="NO242" s="8"/>
      <c r="NP242" s="54"/>
      <c r="NQ242" s="8"/>
      <c r="NR242" s="54"/>
      <c r="NS242" s="8"/>
      <c r="NT242" s="54"/>
      <c r="NU242" s="8"/>
      <c r="NV242" s="54"/>
      <c r="NW242" s="8"/>
      <c r="NX242" s="54"/>
      <c r="NY242" s="8"/>
      <c r="NZ242" s="54"/>
      <c r="OA242" s="8"/>
      <c r="OB242" s="54"/>
      <c r="OC242" s="8"/>
      <c r="OD242" s="54"/>
      <c r="OE242" s="8"/>
      <c r="OF242" s="54"/>
      <c r="OG242" s="8"/>
      <c r="OH242" s="54"/>
      <c r="OI242" s="8"/>
      <c r="OJ242" s="54"/>
      <c r="OK242" s="8"/>
      <c r="OL242" s="54"/>
      <c r="OM242" s="8"/>
      <c r="ON242" s="54"/>
      <c r="OO242" s="8"/>
      <c r="OP242" s="54"/>
      <c r="OQ242" s="8"/>
      <c r="OR242" s="54"/>
      <c r="OS242" s="8"/>
      <c r="OT242" s="54"/>
      <c r="OU242" s="8"/>
      <c r="OV242" s="54"/>
      <c r="OW242" s="8"/>
      <c r="OX242" s="54"/>
      <c r="OY242" s="8"/>
      <c r="OZ242" s="54"/>
      <c r="PA242" s="8"/>
      <c r="PB242" s="54"/>
      <c r="PC242" s="8"/>
      <c r="PD242" s="54"/>
      <c r="PE242" s="8"/>
      <c r="PF242" s="54"/>
      <c r="PG242" s="8"/>
      <c r="PH242" s="54"/>
      <c r="PI242" s="8"/>
      <c r="PJ242" s="54"/>
      <c r="PK242" s="8"/>
      <c r="PL242" s="54"/>
      <c r="PM242" s="8"/>
      <c r="PN242" s="54"/>
      <c r="PO242" s="8"/>
      <c r="PP242" s="54"/>
      <c r="PQ242" s="8"/>
      <c r="PR242" s="54"/>
      <c r="PS242" s="8"/>
      <c r="PT242" s="54"/>
      <c r="PU242" s="8"/>
      <c r="PV242" s="54"/>
      <c r="PW242" s="8"/>
      <c r="PX242" s="54"/>
      <c r="PY242" s="8"/>
      <c r="PZ242" s="54"/>
      <c r="QA242" s="8"/>
      <c r="QB242" s="54"/>
      <c r="QC242" s="8"/>
      <c r="QD242" s="54"/>
      <c r="QE242" s="8"/>
      <c r="QF242" s="54"/>
      <c r="QG242" s="8"/>
      <c r="QH242" s="54"/>
      <c r="QI242" s="8"/>
      <c r="QJ242" s="54"/>
      <c r="QK242" s="8"/>
      <c r="QL242" s="54"/>
      <c r="QM242" s="8"/>
      <c r="QN242" s="54"/>
      <c r="QO242" s="8"/>
      <c r="QP242" s="54"/>
      <c r="QQ242" s="8"/>
      <c r="QR242" s="54"/>
      <c r="QS242" s="8"/>
      <c r="QT242" s="54"/>
      <c r="QU242" s="8"/>
      <c r="QV242" s="54"/>
      <c r="QW242" s="8"/>
      <c r="QX242" s="54"/>
      <c r="QY242" s="8"/>
      <c r="QZ242" s="54"/>
      <c r="RA242" s="8"/>
      <c r="RB242" s="54"/>
      <c r="RC242" s="8"/>
      <c r="RD242" s="54"/>
      <c r="RE242" s="8"/>
      <c r="RF242" s="54"/>
      <c r="RG242" s="8"/>
      <c r="RH242" s="54"/>
      <c r="RI242" s="8"/>
      <c r="RJ242" s="54"/>
      <c r="RK242" s="8"/>
      <c r="RL242" s="54"/>
      <c r="RM242" s="8"/>
      <c r="RN242" s="54"/>
      <c r="RO242" s="8"/>
      <c r="RP242" s="54"/>
      <c r="RQ242" s="8"/>
      <c r="RR242" s="54"/>
      <c r="RS242" s="8"/>
      <c r="RT242" s="54"/>
      <c r="RU242" s="8"/>
      <c r="RV242" s="54"/>
      <c r="RW242" s="8"/>
      <c r="RX242" s="54"/>
      <c r="RY242" s="8"/>
      <c r="RZ242" s="54"/>
      <c r="SA242" s="8"/>
      <c r="SB242" s="54"/>
      <c r="SC242" s="8"/>
      <c r="SD242" s="54"/>
      <c r="SE242" s="8"/>
      <c r="SF242" s="54"/>
      <c r="SG242" s="8"/>
      <c r="SH242" s="54"/>
      <c r="SI242" s="8"/>
      <c r="SJ242" s="54"/>
      <c r="SK242" s="8"/>
      <c r="SL242" s="54"/>
      <c r="SM242" s="8"/>
      <c r="SN242" s="54"/>
      <c r="SO242" s="8"/>
      <c r="SP242" s="54"/>
      <c r="SQ242" s="8"/>
      <c r="SR242" s="54"/>
      <c r="SS242" s="8"/>
      <c r="ST242" s="54"/>
      <c r="SU242" s="8"/>
      <c r="SV242" s="54"/>
      <c r="SW242" s="8"/>
      <c r="SX242" s="54"/>
      <c r="SY242" s="8"/>
      <c r="SZ242" s="54"/>
      <c r="TA242" s="8"/>
      <c r="TB242" s="54"/>
      <c r="TC242" s="8"/>
      <c r="TD242" s="54"/>
      <c r="TE242" s="8"/>
      <c r="TF242" s="54"/>
      <c r="TG242" s="8"/>
      <c r="TH242" s="54"/>
      <c r="TI242" s="8"/>
      <c r="TJ242" s="54"/>
      <c r="TK242" s="8"/>
      <c r="TL242" s="54"/>
      <c r="TM242" s="8"/>
      <c r="TN242" s="54"/>
      <c r="TO242" s="8"/>
      <c r="TP242" s="54"/>
      <c r="TQ242" s="8"/>
      <c r="TR242" s="54"/>
      <c r="TS242" s="8"/>
      <c r="TT242" s="54"/>
      <c r="TU242" s="8"/>
      <c r="TV242" s="54"/>
      <c r="TW242" s="8"/>
      <c r="TX242" s="54"/>
      <c r="TY242" s="8"/>
      <c r="TZ242" s="54"/>
      <c r="UA242" s="8"/>
      <c r="UB242" s="54"/>
      <c r="UC242" s="8"/>
      <c r="UD242" s="54"/>
      <c r="UE242" s="8"/>
      <c r="UF242" s="54"/>
      <c r="UG242" s="8"/>
      <c r="UH242" s="54"/>
      <c r="UI242" s="8"/>
      <c r="UJ242" s="54"/>
      <c r="UK242" s="8"/>
      <c r="UL242" s="54"/>
      <c r="UM242" s="8"/>
      <c r="UN242" s="54"/>
      <c r="UO242" s="8"/>
      <c r="UP242" s="54"/>
      <c r="UQ242" s="8"/>
      <c r="UR242" s="54"/>
      <c r="US242" s="8"/>
      <c r="UT242" s="54"/>
      <c r="UU242" s="8"/>
      <c r="UV242" s="54"/>
      <c r="UW242" s="8"/>
      <c r="UX242" s="54"/>
      <c r="UY242" s="8"/>
      <c r="UZ242" s="54"/>
      <c r="VA242" s="8"/>
      <c r="VB242" s="54"/>
      <c r="VC242" s="8"/>
      <c r="VD242" s="54"/>
      <c r="VE242" s="8"/>
      <c r="VF242" s="54"/>
      <c r="VG242" s="8"/>
      <c r="VH242" s="54"/>
      <c r="VI242" s="8"/>
      <c r="VJ242" s="54"/>
      <c r="VK242" s="8"/>
      <c r="VL242" s="54"/>
      <c r="VM242" s="8"/>
      <c r="VN242" s="54"/>
      <c r="VO242" s="8"/>
      <c r="VP242" s="54"/>
      <c r="VQ242" s="8"/>
      <c r="VR242" s="54"/>
      <c r="VS242" s="8"/>
      <c r="VT242" s="54"/>
      <c r="VU242" s="8"/>
      <c r="VV242" s="54"/>
      <c r="VW242" s="8"/>
      <c r="VX242" s="54"/>
      <c r="VY242" s="8"/>
      <c r="VZ242" s="54"/>
      <c r="WA242" s="8"/>
      <c r="WB242" s="54"/>
      <c r="WC242" s="8"/>
      <c r="WD242" s="54"/>
      <c r="WE242" s="8"/>
      <c r="WF242" s="54"/>
      <c r="WG242" s="8"/>
      <c r="WH242" s="54"/>
      <c r="WI242" s="8"/>
      <c r="WJ242" s="54"/>
      <c r="WK242" s="8"/>
      <c r="WL242" s="54"/>
      <c r="WM242" s="8"/>
      <c r="WN242" s="54"/>
      <c r="WO242" s="8"/>
      <c r="WP242" s="54"/>
      <c r="WQ242" s="8"/>
      <c r="WR242" s="54"/>
      <c r="WS242" s="8"/>
      <c r="WT242" s="54"/>
      <c r="WU242" s="8"/>
      <c r="WV242" s="54"/>
      <c r="WW242" s="8"/>
      <c r="WX242" s="54"/>
      <c r="WY242" s="8"/>
      <c r="WZ242" s="54"/>
      <c r="XA242" s="8"/>
      <c r="XB242" s="54"/>
      <c r="XC242" s="8"/>
      <c r="XD242" s="54"/>
      <c r="XE242" s="8"/>
      <c r="XF242" s="54"/>
      <c r="XG242" s="8"/>
      <c r="XH242" s="54"/>
      <c r="XI242" s="8"/>
      <c r="XJ242" s="54"/>
      <c r="XK242" s="8"/>
      <c r="XL242" s="54"/>
      <c r="XM242" s="8"/>
      <c r="XN242" s="54"/>
      <c r="XO242" s="8"/>
      <c r="XP242" s="54"/>
      <c r="XQ242" s="8"/>
      <c r="XR242" s="54"/>
      <c r="XS242" s="8"/>
      <c r="XT242" s="54"/>
      <c r="XU242" s="8"/>
      <c r="XV242" s="54"/>
      <c r="XW242" s="8"/>
      <c r="XX242" s="54"/>
      <c r="XY242" s="8"/>
      <c r="XZ242" s="54"/>
      <c r="YA242" s="8"/>
      <c r="YB242" s="54"/>
      <c r="YC242" s="8"/>
      <c r="YD242" s="54"/>
      <c r="YE242" s="8"/>
      <c r="YF242" s="54"/>
      <c r="YG242" s="8"/>
      <c r="YH242" s="54"/>
      <c r="YI242" s="8"/>
      <c r="YJ242" s="54"/>
      <c r="YK242" s="8"/>
      <c r="YL242" s="54"/>
      <c r="YM242" s="8"/>
      <c r="YN242" s="54"/>
      <c r="YO242" s="8"/>
      <c r="YP242" s="54"/>
      <c r="YQ242" s="8"/>
      <c r="YR242" s="54"/>
      <c r="YS242" s="8"/>
      <c r="YT242" s="54"/>
      <c r="YU242" s="8"/>
      <c r="YV242" s="54"/>
      <c r="YW242" s="8"/>
      <c r="YX242" s="54"/>
      <c r="YY242" s="8"/>
      <c r="YZ242" s="54"/>
      <c r="ZA242" s="8"/>
      <c r="ZB242" s="54"/>
      <c r="ZC242" s="8"/>
      <c r="ZD242" s="54"/>
      <c r="ZE242" s="8"/>
      <c r="ZF242" s="54"/>
      <c r="ZG242" s="8"/>
      <c r="ZH242" s="54"/>
      <c r="ZI242" s="8"/>
      <c r="ZJ242" s="54"/>
      <c r="ZK242" s="8"/>
      <c r="ZL242" s="54"/>
      <c r="ZM242" s="8"/>
      <c r="ZN242" s="54"/>
      <c r="ZO242" s="8"/>
      <c r="ZP242" s="54"/>
      <c r="ZQ242" s="8"/>
      <c r="ZR242" s="54"/>
      <c r="ZS242" s="8"/>
      <c r="ZT242" s="54"/>
      <c r="ZU242" s="8"/>
      <c r="ZV242" s="54"/>
      <c r="ZW242" s="8"/>
      <c r="ZX242" s="54"/>
      <c r="ZY242" s="8"/>
      <c r="ZZ242" s="54"/>
      <c r="AAA242" s="8"/>
      <c r="AAB242" s="54"/>
      <c r="AAC242" s="8"/>
      <c r="AAD242" s="54"/>
      <c r="AAE242" s="8"/>
      <c r="AAF242" s="54"/>
      <c r="AAG242" s="8"/>
      <c r="AAH242" s="54"/>
      <c r="AAI242" s="8"/>
      <c r="AAJ242" s="54"/>
      <c r="AAK242" s="8"/>
      <c r="AAL242" s="54"/>
      <c r="AAM242" s="8"/>
      <c r="AAN242" s="54"/>
      <c r="AAO242" s="8"/>
      <c r="AAP242" s="54"/>
      <c r="AAQ242" s="8"/>
      <c r="AAR242" s="54"/>
      <c r="AAS242" s="8"/>
      <c r="AAT242" s="54"/>
      <c r="AAU242" s="8"/>
      <c r="AAV242" s="54"/>
      <c r="AAW242" s="8"/>
      <c r="AAX242" s="54"/>
      <c r="AAY242" s="8"/>
      <c r="AAZ242" s="54"/>
      <c r="ABA242" s="8"/>
      <c r="ABB242" s="54"/>
      <c r="ABC242" s="8"/>
      <c r="ABD242" s="54"/>
      <c r="ABE242" s="8"/>
      <c r="ABF242" s="54"/>
      <c r="ABG242" s="8"/>
      <c r="ABH242" s="54"/>
      <c r="ABI242" s="8"/>
      <c r="ABJ242" s="54"/>
      <c r="ABK242" s="8"/>
      <c r="ABL242" s="54"/>
      <c r="ABM242" s="8"/>
      <c r="ABN242" s="54"/>
      <c r="ABO242" s="8"/>
      <c r="ABP242" s="54"/>
      <c r="ABQ242" s="8"/>
      <c r="ABR242" s="54"/>
      <c r="ABS242" s="8"/>
      <c r="ABT242" s="54"/>
      <c r="ABU242" s="8"/>
      <c r="ABV242" s="54"/>
      <c r="ABW242" s="8"/>
      <c r="ABX242" s="54"/>
      <c r="ABY242" s="8"/>
      <c r="ABZ242" s="54"/>
      <c r="ACA242" s="8"/>
      <c r="ACB242" s="54"/>
      <c r="ACC242" s="8"/>
      <c r="ACD242" s="54"/>
      <c r="ACE242" s="8"/>
      <c r="ACF242" s="54"/>
      <c r="ACG242" s="8"/>
      <c r="ACH242" s="54"/>
      <c r="ACI242" s="8"/>
      <c r="ACJ242" s="54"/>
      <c r="ACK242" s="8"/>
      <c r="ACL242" s="54"/>
      <c r="ACM242" s="8"/>
      <c r="ACN242" s="54"/>
      <c r="ACO242" s="8"/>
      <c r="ACP242" s="54"/>
      <c r="ACQ242" s="8"/>
      <c r="ACR242" s="54"/>
      <c r="ACS242" s="8"/>
      <c r="ACT242" s="54"/>
      <c r="ACU242" s="8"/>
      <c r="ACV242" s="54"/>
      <c r="ACW242" s="8"/>
      <c r="ACX242" s="54"/>
      <c r="ACY242" s="8"/>
      <c r="ACZ242" s="54"/>
      <c r="ADA242" s="8"/>
      <c r="ADB242" s="54"/>
      <c r="ADC242" s="8"/>
      <c r="ADD242" s="54"/>
      <c r="ADE242" s="8"/>
      <c r="ADF242" s="54"/>
      <c r="ADG242" s="8"/>
      <c r="ADH242" s="54"/>
      <c r="ADI242" s="8"/>
      <c r="ADJ242" s="54"/>
      <c r="ADK242" s="8"/>
      <c r="ADL242" s="54"/>
      <c r="ADM242" s="8"/>
      <c r="ADN242" s="54"/>
      <c r="ADO242" s="8"/>
      <c r="ADP242" s="54"/>
      <c r="ADQ242" s="8"/>
      <c r="ADR242" s="54"/>
      <c r="ADS242" s="8"/>
      <c r="ADT242" s="54"/>
      <c r="ADU242" s="8"/>
      <c r="ADV242" s="54"/>
      <c r="ADW242" s="8"/>
      <c r="ADX242" s="54"/>
      <c r="ADY242" s="8"/>
      <c r="ADZ242" s="54"/>
      <c r="AEA242" s="8"/>
      <c r="AEB242" s="54"/>
      <c r="AEC242" s="8"/>
      <c r="AED242" s="54"/>
      <c r="AEE242" s="8"/>
      <c r="AEF242" s="54"/>
      <c r="AEG242" s="8"/>
      <c r="AEH242" s="54"/>
      <c r="AEI242" s="8"/>
      <c r="AEJ242" s="54"/>
      <c r="AEK242" s="8"/>
      <c r="AEL242" s="54"/>
      <c r="AEM242" s="8"/>
      <c r="AEN242" s="54"/>
      <c r="AEO242" s="8"/>
      <c r="AEP242" s="54"/>
      <c r="AEQ242" s="8"/>
      <c r="AER242" s="54"/>
      <c r="AES242" s="8"/>
      <c r="AET242" s="54"/>
      <c r="AEU242" s="8"/>
      <c r="AEV242" s="54"/>
      <c r="AEW242" s="8"/>
      <c r="AEX242" s="54"/>
      <c r="AEY242" s="8"/>
      <c r="AEZ242" s="54"/>
      <c r="AFA242" s="8"/>
      <c r="AFB242" s="54"/>
      <c r="AFC242" s="8"/>
      <c r="AFD242" s="54"/>
      <c r="AFE242" s="8"/>
      <c r="AFF242" s="54"/>
      <c r="AFG242" s="8"/>
      <c r="AFH242" s="54"/>
      <c r="AFI242" s="8"/>
      <c r="AFJ242" s="54"/>
      <c r="AFK242" s="8"/>
      <c r="AFL242" s="54"/>
      <c r="AFM242" s="8"/>
      <c r="AFN242" s="54"/>
      <c r="AFO242" s="8"/>
      <c r="AFP242" s="54"/>
      <c r="AFQ242" s="8"/>
      <c r="AFR242" s="54"/>
      <c r="AFS242" s="8"/>
      <c r="AFT242" s="54"/>
      <c r="AFU242" s="8"/>
      <c r="AFV242" s="54"/>
      <c r="AFW242" s="8"/>
      <c r="AFX242" s="54"/>
      <c r="AFY242" s="8"/>
      <c r="AFZ242" s="54"/>
      <c r="AGA242" s="8"/>
      <c r="AGB242" s="54"/>
      <c r="AGC242" s="8"/>
      <c r="AGD242" s="54"/>
      <c r="AGE242" s="8"/>
      <c r="AGF242" s="54"/>
      <c r="AGG242" s="8"/>
      <c r="AGH242" s="54"/>
      <c r="AGI242" s="8"/>
      <c r="AGJ242" s="54"/>
      <c r="AGK242" s="8"/>
      <c r="AGL242" s="54"/>
      <c r="AGM242" s="8"/>
      <c r="AGN242" s="54"/>
      <c r="AGO242" s="8"/>
      <c r="AGP242" s="54"/>
      <c r="AGQ242" s="8"/>
      <c r="AGR242" s="54"/>
      <c r="AGS242" s="8"/>
      <c r="AGT242" s="54"/>
      <c r="AGU242" s="8"/>
      <c r="AGV242" s="54"/>
      <c r="AGW242" s="8"/>
      <c r="AGX242" s="54"/>
      <c r="AGY242" s="8"/>
      <c r="AGZ242" s="54"/>
      <c r="AHA242" s="8"/>
      <c r="AHB242" s="54"/>
      <c r="AHC242" s="8"/>
      <c r="AHD242" s="54"/>
      <c r="AHE242" s="8"/>
      <c r="AHF242" s="54"/>
      <c r="AHG242" s="8"/>
      <c r="AHH242" s="54"/>
      <c r="AHI242" s="8"/>
      <c r="AHJ242" s="54"/>
      <c r="AHK242" s="8"/>
      <c r="AHL242" s="54"/>
      <c r="AHM242" s="8"/>
      <c r="AHN242" s="54"/>
      <c r="AHO242" s="8"/>
      <c r="AHP242" s="54"/>
      <c r="AHQ242" s="8"/>
      <c r="AHR242" s="54"/>
      <c r="AHS242" s="8"/>
      <c r="AHT242" s="54"/>
      <c r="AHU242" s="8"/>
      <c r="AHV242" s="54"/>
      <c r="AHW242" s="8"/>
      <c r="AHX242" s="54"/>
      <c r="AHY242" s="8"/>
      <c r="AHZ242" s="54"/>
      <c r="AIA242" s="8"/>
      <c r="AIB242" s="54"/>
      <c r="AIC242" s="8"/>
      <c r="AID242" s="54"/>
      <c r="AIE242" s="8"/>
      <c r="AIF242" s="54"/>
      <c r="AIG242" s="8"/>
      <c r="AIH242" s="54"/>
      <c r="AII242" s="8"/>
      <c r="AIJ242" s="54"/>
      <c r="AIK242" s="8"/>
      <c r="AIL242" s="54"/>
      <c r="AIM242" s="8"/>
      <c r="AIN242" s="54"/>
      <c r="AIO242" s="8"/>
      <c r="AIP242" s="54"/>
      <c r="AIQ242" s="8"/>
      <c r="AIR242" s="54"/>
      <c r="AIS242" s="8"/>
      <c r="AIT242" s="54"/>
      <c r="AIU242" s="8"/>
      <c r="AIV242" s="54"/>
      <c r="AIW242" s="8"/>
      <c r="AIX242" s="54"/>
      <c r="AIY242" s="8"/>
      <c r="AIZ242" s="54"/>
      <c r="AJA242" s="8"/>
      <c r="AJB242" s="54"/>
      <c r="AJC242" s="8"/>
      <c r="AJD242" s="54"/>
      <c r="AJE242" s="8"/>
      <c r="AJF242" s="54"/>
      <c r="AJG242" s="8"/>
      <c r="AJH242" s="54"/>
      <c r="AJI242" s="8"/>
      <c r="AJJ242" s="54"/>
      <c r="AJK242" s="8"/>
      <c r="AJL242" s="54"/>
      <c r="AJM242" s="8"/>
      <c r="AJN242" s="54"/>
      <c r="AJO242" s="8"/>
      <c r="AJP242" s="54"/>
      <c r="AJQ242" s="8"/>
      <c r="AJR242" s="54"/>
      <c r="AJS242" s="8"/>
      <c r="AJT242" s="54"/>
      <c r="AJU242" s="8"/>
      <c r="AJV242" s="54"/>
      <c r="AJW242" s="8"/>
      <c r="AJX242" s="54"/>
      <c r="AJY242" s="8"/>
      <c r="AJZ242" s="54"/>
      <c r="AKA242" s="8"/>
      <c r="AKB242" s="54"/>
      <c r="AKC242" s="8"/>
      <c r="AKD242" s="54"/>
      <c r="AKE242" s="8"/>
      <c r="AKF242" s="54"/>
      <c r="AKG242" s="8"/>
      <c r="AKH242" s="54"/>
      <c r="AKI242" s="8"/>
      <c r="AKJ242" s="54"/>
      <c r="AKK242" s="8"/>
      <c r="AKL242" s="54"/>
      <c r="AKM242" s="8"/>
      <c r="AKN242" s="54"/>
      <c r="AKO242" s="8"/>
      <c r="AKP242" s="54"/>
      <c r="AKQ242" s="8"/>
      <c r="AKR242" s="54"/>
      <c r="AKS242" s="8"/>
      <c r="AKT242" s="54"/>
      <c r="AKU242" s="8"/>
      <c r="AKV242" s="54"/>
      <c r="AKW242" s="8"/>
      <c r="AKX242" s="54"/>
      <c r="AKY242" s="8"/>
      <c r="AKZ242" s="54"/>
      <c r="ALA242" s="8"/>
      <c r="ALB242" s="54"/>
      <c r="ALC242" s="8"/>
      <c r="ALD242" s="54"/>
      <c r="ALE242" s="8"/>
      <c r="ALF242" s="54"/>
      <c r="ALG242" s="8"/>
      <c r="ALH242" s="54"/>
      <c r="ALI242" s="8"/>
      <c r="ALJ242" s="54"/>
      <c r="ALK242" s="8"/>
      <c r="ALL242" s="54"/>
      <c r="ALM242" s="8"/>
      <c r="ALN242" s="54"/>
      <c r="ALO242" s="8"/>
      <c r="ALP242" s="54"/>
      <c r="ALQ242" s="8"/>
      <c r="ALR242" s="54"/>
      <c r="ALS242" s="8"/>
      <c r="ALT242" s="54"/>
      <c r="ALU242" s="8"/>
      <c r="ALV242" s="54"/>
      <c r="ALW242" s="8"/>
      <c r="ALX242" s="54"/>
      <c r="ALY242" s="8"/>
      <c r="ALZ242" s="54"/>
      <c r="AMA242" s="8"/>
      <c r="AMB242" s="54"/>
      <c r="AMC242" s="8"/>
      <c r="AMD242" s="54"/>
      <c r="AME242" s="8"/>
      <c r="AMF242" s="54"/>
      <c r="AMG242" s="8"/>
      <c r="AMH242" s="54"/>
      <c r="AMI242" s="8"/>
      <c r="AMJ242" s="54"/>
      <c r="AMK242" s="8"/>
      <c r="AML242" s="54"/>
      <c r="AMM242" s="8"/>
      <c r="AMN242" s="54"/>
      <c r="AMO242" s="8"/>
      <c r="AMP242" s="54"/>
      <c r="AMQ242" s="8"/>
      <c r="AMR242" s="54"/>
      <c r="AMS242" s="8"/>
      <c r="AMT242" s="54"/>
      <c r="AMU242" s="8"/>
      <c r="AMV242" s="54"/>
      <c r="AMW242" s="8"/>
      <c r="AMX242" s="54"/>
      <c r="AMY242" s="8"/>
      <c r="AMZ242" s="54"/>
      <c r="ANA242" s="8"/>
      <c r="ANB242" s="54"/>
      <c r="ANC242" s="8"/>
      <c r="AND242" s="54"/>
      <c r="ANE242" s="8"/>
      <c r="ANF242" s="54"/>
      <c r="ANG242" s="8"/>
      <c r="ANH242" s="54"/>
      <c r="ANI242" s="8"/>
      <c r="ANJ242" s="54"/>
      <c r="ANK242" s="8"/>
      <c r="ANL242" s="54"/>
      <c r="ANM242" s="8"/>
      <c r="ANN242" s="54"/>
      <c r="ANO242" s="8"/>
      <c r="ANP242" s="54"/>
      <c r="ANQ242" s="8"/>
      <c r="ANR242" s="54"/>
      <c r="ANS242" s="8"/>
      <c r="ANT242" s="54"/>
      <c r="ANU242" s="8"/>
      <c r="ANV242" s="54"/>
      <c r="ANW242" s="8"/>
      <c r="ANX242" s="54"/>
      <c r="ANY242" s="8"/>
      <c r="ANZ242" s="54"/>
      <c r="AOA242" s="8"/>
      <c r="AOB242" s="54"/>
      <c r="AOC242" s="8"/>
      <c r="AOD242" s="54"/>
      <c r="AOE242" s="8"/>
      <c r="AOF242" s="54"/>
      <c r="AOG242" s="8"/>
      <c r="AOH242" s="54"/>
      <c r="AOI242" s="8"/>
      <c r="AOJ242" s="54"/>
      <c r="AOK242" s="8"/>
      <c r="AOL242" s="54"/>
      <c r="AOM242" s="8"/>
      <c r="AON242" s="54"/>
      <c r="AOO242" s="8"/>
      <c r="AOP242" s="54"/>
      <c r="AOQ242" s="8"/>
      <c r="AOR242" s="54"/>
      <c r="AOS242" s="8"/>
      <c r="AOT242" s="54"/>
      <c r="AOU242" s="8"/>
      <c r="AOV242" s="54"/>
      <c r="AOW242" s="8"/>
      <c r="AOX242" s="54"/>
      <c r="AOY242" s="8"/>
      <c r="AOZ242" s="54"/>
      <c r="APA242" s="8"/>
      <c r="APB242" s="54"/>
      <c r="APC242" s="8"/>
      <c r="APD242" s="54"/>
      <c r="APE242" s="8"/>
      <c r="APF242" s="54"/>
      <c r="APG242" s="8"/>
      <c r="APH242" s="54"/>
      <c r="API242" s="8"/>
      <c r="APJ242" s="54"/>
      <c r="APK242" s="8"/>
      <c r="APL242" s="54"/>
      <c r="APM242" s="8"/>
      <c r="APN242" s="54"/>
      <c r="APO242" s="8"/>
      <c r="APP242" s="54"/>
      <c r="APQ242" s="8"/>
      <c r="APR242" s="54"/>
      <c r="APS242" s="8"/>
      <c r="APT242" s="54"/>
      <c r="APU242" s="8"/>
      <c r="APV242" s="54"/>
      <c r="APW242" s="8"/>
      <c r="APX242" s="54"/>
      <c r="APY242" s="8"/>
      <c r="APZ242" s="54"/>
      <c r="AQA242" s="8"/>
      <c r="AQB242" s="54"/>
      <c r="AQC242" s="8"/>
      <c r="AQD242" s="54"/>
      <c r="AQE242" s="8"/>
      <c r="AQF242" s="54"/>
      <c r="AQG242" s="8"/>
      <c r="AQH242" s="54"/>
      <c r="AQI242" s="8"/>
      <c r="AQJ242" s="54"/>
      <c r="AQK242" s="8"/>
      <c r="AQL242" s="54"/>
      <c r="AQM242" s="8"/>
      <c r="AQN242" s="54"/>
      <c r="AQO242" s="8"/>
      <c r="AQP242" s="54"/>
      <c r="AQQ242" s="8"/>
      <c r="AQR242" s="54"/>
      <c r="AQS242" s="8"/>
      <c r="AQT242" s="54"/>
      <c r="AQU242" s="8"/>
      <c r="AQV242" s="54"/>
      <c r="AQW242" s="8"/>
      <c r="AQX242" s="54"/>
      <c r="AQY242" s="8"/>
      <c r="AQZ242" s="54"/>
      <c r="ARA242" s="8"/>
      <c r="ARB242" s="54"/>
      <c r="ARC242" s="8"/>
      <c r="ARD242" s="54"/>
      <c r="ARE242" s="8"/>
      <c r="ARF242" s="54"/>
      <c r="ARG242" s="8"/>
      <c r="ARH242" s="54"/>
      <c r="ARI242" s="8"/>
      <c r="ARJ242" s="54"/>
      <c r="ARK242" s="8"/>
      <c r="ARL242" s="54"/>
      <c r="ARM242" s="8"/>
      <c r="ARN242" s="54"/>
      <c r="ARO242" s="8"/>
      <c r="ARP242" s="54"/>
      <c r="ARQ242" s="8"/>
      <c r="ARR242" s="54"/>
      <c r="ARS242" s="8"/>
      <c r="ART242" s="54"/>
      <c r="ARU242" s="8"/>
      <c r="ARV242" s="54"/>
      <c r="ARW242" s="8"/>
      <c r="ARX242" s="54"/>
      <c r="ARY242" s="8"/>
      <c r="ARZ242" s="54"/>
      <c r="ASA242" s="8"/>
      <c r="ASB242" s="54"/>
      <c r="ASC242" s="8"/>
      <c r="ASD242" s="54"/>
      <c r="ASE242" s="8"/>
      <c r="ASF242" s="54"/>
      <c r="ASG242" s="8"/>
      <c r="ASH242" s="54"/>
      <c r="ASI242" s="8"/>
      <c r="ASJ242" s="54"/>
      <c r="ASK242" s="8"/>
      <c r="ASL242" s="54"/>
      <c r="ASM242" s="8"/>
      <c r="ASN242" s="54"/>
      <c r="ASO242" s="8"/>
      <c r="ASP242" s="54"/>
      <c r="ASQ242" s="8"/>
      <c r="ASR242" s="54"/>
      <c r="ASS242" s="8"/>
      <c r="AST242" s="54"/>
      <c r="ASU242" s="8"/>
      <c r="ASV242" s="54"/>
      <c r="ASW242" s="8"/>
      <c r="ASX242" s="54"/>
      <c r="ASY242" s="8"/>
      <c r="ASZ242" s="54"/>
      <c r="ATA242" s="8"/>
      <c r="ATB242" s="54"/>
      <c r="ATC242" s="8"/>
      <c r="ATD242" s="54"/>
      <c r="ATE242" s="8"/>
      <c r="ATF242" s="54"/>
      <c r="ATG242" s="8"/>
      <c r="ATH242" s="54"/>
      <c r="ATI242" s="8"/>
      <c r="ATJ242" s="54"/>
      <c r="ATK242" s="8"/>
      <c r="ATL242" s="54"/>
      <c r="ATM242" s="8"/>
      <c r="ATN242" s="54"/>
      <c r="ATO242" s="8"/>
      <c r="ATP242" s="54"/>
      <c r="ATQ242" s="8"/>
      <c r="ATR242" s="54"/>
      <c r="ATS242" s="8"/>
      <c r="ATT242" s="54"/>
      <c r="ATU242" s="8"/>
      <c r="ATV242" s="54"/>
      <c r="ATW242" s="8"/>
      <c r="ATX242" s="54"/>
      <c r="ATY242" s="8"/>
      <c r="ATZ242" s="54"/>
      <c r="AUA242" s="8"/>
      <c r="AUB242" s="54"/>
      <c r="AUC242" s="8"/>
      <c r="AUD242" s="54"/>
      <c r="AUE242" s="8"/>
      <c r="AUF242" s="54"/>
      <c r="AUG242" s="8"/>
      <c r="AUH242" s="54"/>
      <c r="AUI242" s="8"/>
      <c r="AUJ242" s="54"/>
      <c r="AUK242" s="8"/>
      <c r="AUL242" s="54"/>
      <c r="AUM242" s="8"/>
      <c r="AUN242" s="54"/>
      <c r="AUO242" s="8"/>
      <c r="AUP242" s="54"/>
      <c r="AUQ242" s="8"/>
      <c r="AUR242" s="54"/>
      <c r="AUS242" s="8"/>
      <c r="AUT242" s="54"/>
      <c r="AUU242" s="8"/>
      <c r="AUV242" s="54"/>
      <c r="AUW242" s="8"/>
      <c r="AUX242" s="54"/>
      <c r="AUY242" s="8"/>
      <c r="AUZ242" s="54"/>
      <c r="AVA242" s="8"/>
      <c r="AVB242" s="54"/>
      <c r="AVC242" s="8"/>
      <c r="AVD242" s="54"/>
      <c r="AVE242" s="8"/>
      <c r="AVF242" s="54"/>
      <c r="AVG242" s="8"/>
      <c r="AVH242" s="54"/>
      <c r="AVI242" s="8"/>
      <c r="AVJ242" s="54"/>
      <c r="AVK242" s="8"/>
      <c r="AVL242" s="54"/>
      <c r="AVM242" s="8"/>
      <c r="AVN242" s="54"/>
      <c r="AVO242" s="8"/>
      <c r="AVP242" s="54"/>
      <c r="AVQ242" s="8"/>
      <c r="AVR242" s="54"/>
      <c r="AVS242" s="8"/>
      <c r="AVT242" s="54"/>
      <c r="AVU242" s="8"/>
      <c r="AVV242" s="54"/>
      <c r="AVW242" s="8"/>
      <c r="AVX242" s="54"/>
      <c r="AVY242" s="8"/>
      <c r="AVZ242" s="54"/>
      <c r="AWA242" s="8"/>
      <c r="AWB242" s="54"/>
      <c r="AWC242" s="8"/>
      <c r="AWD242" s="54"/>
      <c r="AWE242" s="8"/>
      <c r="AWF242" s="54"/>
      <c r="AWG242" s="8"/>
      <c r="AWH242" s="54"/>
      <c r="AWI242" s="8"/>
      <c r="AWJ242" s="54"/>
      <c r="AWK242" s="8"/>
      <c r="AWL242" s="54"/>
      <c r="AWM242" s="8"/>
      <c r="AWN242" s="54"/>
      <c r="AWO242" s="8"/>
      <c r="AWP242" s="54"/>
      <c r="AWQ242" s="8"/>
      <c r="AWR242" s="54"/>
      <c r="AWS242" s="8"/>
      <c r="AWT242" s="54"/>
      <c r="AWU242" s="8"/>
      <c r="AWV242" s="54"/>
      <c r="AWW242" s="8"/>
      <c r="AWX242" s="54"/>
      <c r="AWY242" s="8"/>
      <c r="AWZ242" s="54"/>
      <c r="AXA242" s="8"/>
      <c r="AXB242" s="54"/>
      <c r="AXC242" s="8"/>
      <c r="AXD242" s="54"/>
      <c r="AXE242" s="8"/>
      <c r="AXF242" s="54"/>
      <c r="AXG242" s="8"/>
      <c r="AXH242" s="54"/>
      <c r="AXI242" s="8"/>
      <c r="AXJ242" s="54"/>
      <c r="AXK242" s="8"/>
      <c r="AXL242" s="54"/>
      <c r="AXM242" s="8"/>
      <c r="AXN242" s="54"/>
      <c r="AXO242" s="8"/>
      <c r="AXP242" s="54"/>
      <c r="AXQ242" s="8"/>
      <c r="AXR242" s="54"/>
      <c r="AXS242" s="8"/>
      <c r="AXT242" s="54"/>
      <c r="AXU242" s="8"/>
      <c r="AXV242" s="54"/>
      <c r="AXW242" s="8"/>
      <c r="AXX242" s="54"/>
      <c r="AXY242" s="8"/>
      <c r="AXZ242" s="54"/>
      <c r="AYA242" s="8"/>
      <c r="AYB242" s="54"/>
      <c r="AYC242" s="8"/>
      <c r="AYD242" s="54"/>
      <c r="AYE242" s="8"/>
      <c r="AYF242" s="54"/>
      <c r="AYG242" s="8"/>
      <c r="AYH242" s="54"/>
      <c r="AYI242" s="8"/>
      <c r="AYJ242" s="54"/>
      <c r="AYK242" s="8"/>
      <c r="AYL242" s="54"/>
      <c r="AYM242" s="8"/>
      <c r="AYN242" s="54"/>
      <c r="AYO242" s="8"/>
      <c r="AYP242" s="54"/>
      <c r="AYQ242" s="8"/>
      <c r="AYR242" s="54"/>
      <c r="AYS242" s="8"/>
      <c r="AYT242" s="54"/>
      <c r="AYU242" s="8"/>
      <c r="AYV242" s="54"/>
      <c r="AYW242" s="8"/>
      <c r="AYX242" s="54"/>
      <c r="AYY242" s="8"/>
      <c r="AYZ242" s="54"/>
      <c r="AZA242" s="8"/>
      <c r="AZB242" s="54"/>
      <c r="AZC242" s="8"/>
      <c r="AZD242" s="54"/>
      <c r="AZE242" s="8"/>
      <c r="AZF242" s="54"/>
      <c r="AZG242" s="8"/>
      <c r="AZH242" s="54"/>
      <c r="AZI242" s="8"/>
      <c r="AZJ242" s="54"/>
      <c r="AZK242" s="8"/>
      <c r="AZL242" s="54"/>
      <c r="AZM242" s="8"/>
      <c r="AZN242" s="54"/>
      <c r="AZO242" s="8"/>
      <c r="AZP242" s="54"/>
      <c r="AZQ242" s="8"/>
      <c r="AZR242" s="54"/>
      <c r="AZS242" s="8"/>
      <c r="AZT242" s="54"/>
      <c r="AZU242" s="8"/>
      <c r="AZV242" s="54"/>
      <c r="AZW242" s="8"/>
      <c r="AZX242" s="54"/>
      <c r="AZY242" s="8"/>
      <c r="AZZ242" s="54"/>
      <c r="BAA242" s="8"/>
      <c r="BAB242" s="54"/>
      <c r="BAC242" s="8"/>
      <c r="BAD242" s="54"/>
      <c r="BAE242" s="8"/>
      <c r="BAF242" s="54"/>
      <c r="BAG242" s="8"/>
      <c r="BAH242" s="54"/>
      <c r="BAI242" s="8"/>
      <c r="BAJ242" s="54"/>
      <c r="BAK242" s="8"/>
      <c r="BAL242" s="54"/>
      <c r="BAM242" s="8"/>
      <c r="BAN242" s="54"/>
      <c r="BAO242" s="8"/>
      <c r="BAP242" s="54"/>
      <c r="BAQ242" s="8"/>
      <c r="BAR242" s="54"/>
      <c r="BAS242" s="8"/>
      <c r="BAT242" s="54"/>
      <c r="BAU242" s="8"/>
      <c r="BAV242" s="54"/>
      <c r="BAW242" s="8"/>
      <c r="BAX242" s="54"/>
      <c r="BAY242" s="8"/>
      <c r="BAZ242" s="54"/>
      <c r="BBA242" s="8"/>
      <c r="BBB242" s="54"/>
      <c r="BBC242" s="8"/>
      <c r="BBD242" s="54"/>
      <c r="BBE242" s="8"/>
      <c r="BBF242" s="54"/>
      <c r="BBG242" s="8"/>
      <c r="BBH242" s="54"/>
      <c r="BBI242" s="8"/>
      <c r="BBJ242" s="54"/>
      <c r="BBK242" s="8"/>
      <c r="BBL242" s="54"/>
      <c r="BBM242" s="8"/>
      <c r="BBN242" s="54"/>
      <c r="BBO242" s="8"/>
      <c r="BBP242" s="54"/>
      <c r="BBQ242" s="8"/>
      <c r="BBR242" s="54"/>
      <c r="BBS242" s="8"/>
      <c r="BBT242" s="54"/>
      <c r="BBU242" s="8"/>
      <c r="BBV242" s="54"/>
      <c r="BBW242" s="8"/>
      <c r="BBX242" s="54"/>
      <c r="BBY242" s="8"/>
      <c r="BBZ242" s="54"/>
      <c r="BCA242" s="8"/>
      <c r="BCB242" s="54"/>
      <c r="BCC242" s="8"/>
      <c r="BCD242" s="54"/>
      <c r="BCE242" s="8"/>
      <c r="BCF242" s="54"/>
      <c r="BCG242" s="8"/>
      <c r="BCH242" s="54"/>
      <c r="BCI242" s="8"/>
      <c r="BCJ242" s="54"/>
      <c r="BCK242" s="8"/>
      <c r="BCL242" s="54"/>
      <c r="BCM242" s="8"/>
      <c r="BCN242" s="54"/>
      <c r="BCO242" s="8"/>
      <c r="BCP242" s="54"/>
      <c r="BCQ242" s="8"/>
      <c r="BCR242" s="54"/>
      <c r="BCS242" s="8"/>
      <c r="BCT242" s="54"/>
      <c r="BCU242" s="8"/>
      <c r="BCV242" s="54"/>
      <c r="BCW242" s="8"/>
      <c r="BCX242" s="54"/>
      <c r="BCY242" s="8"/>
      <c r="BCZ242" s="54"/>
      <c r="BDA242" s="8"/>
      <c r="BDB242" s="54"/>
      <c r="BDC242" s="8"/>
      <c r="BDD242" s="54"/>
      <c r="BDE242" s="8"/>
      <c r="BDF242" s="54"/>
      <c r="BDG242" s="8"/>
      <c r="BDH242" s="54"/>
      <c r="BDI242" s="8"/>
      <c r="BDJ242" s="54"/>
      <c r="BDK242" s="8"/>
      <c r="BDL242" s="54"/>
      <c r="BDM242" s="8"/>
      <c r="BDN242" s="54"/>
      <c r="BDO242" s="8"/>
      <c r="BDP242" s="54"/>
      <c r="BDQ242" s="8"/>
      <c r="BDR242" s="54"/>
      <c r="BDS242" s="8"/>
      <c r="BDT242" s="54"/>
      <c r="BDU242" s="8"/>
      <c r="BDV242" s="54"/>
      <c r="BDW242" s="8"/>
      <c r="BDX242" s="54"/>
      <c r="BDY242" s="8"/>
      <c r="BDZ242" s="54"/>
      <c r="BEA242" s="8"/>
      <c r="BEB242" s="54"/>
      <c r="BEC242" s="8"/>
      <c r="BED242" s="54"/>
      <c r="BEE242" s="8"/>
      <c r="BEF242" s="54"/>
      <c r="BEG242" s="8"/>
      <c r="BEH242" s="54"/>
      <c r="BEI242" s="8"/>
      <c r="BEJ242" s="54"/>
      <c r="BEK242" s="8"/>
      <c r="BEL242" s="54"/>
      <c r="BEM242" s="8"/>
      <c r="BEN242" s="54"/>
      <c r="BEO242" s="8"/>
      <c r="BEP242" s="54"/>
      <c r="BEQ242" s="8"/>
      <c r="BER242" s="54"/>
      <c r="BES242" s="8"/>
      <c r="BET242" s="54"/>
      <c r="BEU242" s="8"/>
      <c r="BEV242" s="54"/>
      <c r="BEW242" s="8"/>
      <c r="BEX242" s="54"/>
      <c r="BEY242" s="8"/>
      <c r="BEZ242" s="54"/>
      <c r="BFA242" s="8"/>
      <c r="BFB242" s="54"/>
      <c r="BFC242" s="8"/>
      <c r="BFD242" s="54"/>
      <c r="BFE242" s="8"/>
      <c r="BFF242" s="54"/>
      <c r="BFG242" s="8"/>
      <c r="BFH242" s="54"/>
      <c r="BFI242" s="8"/>
      <c r="BFJ242" s="54"/>
      <c r="BFK242" s="8"/>
      <c r="BFL242" s="54"/>
      <c r="BFM242" s="8"/>
      <c r="BFN242" s="54"/>
      <c r="BFO242" s="8"/>
      <c r="BFP242" s="54"/>
      <c r="BFQ242" s="8"/>
      <c r="BFR242" s="54"/>
      <c r="BFS242" s="8"/>
      <c r="BFT242" s="54"/>
      <c r="BFU242" s="8"/>
      <c r="BFV242" s="54"/>
      <c r="BFW242" s="8"/>
      <c r="BFX242" s="54"/>
      <c r="BFY242" s="8"/>
      <c r="BFZ242" s="54"/>
      <c r="BGA242" s="8"/>
      <c r="BGB242" s="54"/>
      <c r="BGC242" s="8"/>
      <c r="BGD242" s="54"/>
      <c r="BGE242" s="8"/>
      <c r="BGF242" s="54"/>
      <c r="BGG242" s="8"/>
      <c r="BGH242" s="54"/>
      <c r="BGI242" s="8"/>
      <c r="BGJ242" s="54"/>
      <c r="BGK242" s="8"/>
      <c r="BGL242" s="54"/>
      <c r="BGM242" s="8"/>
      <c r="BGN242" s="54"/>
      <c r="BGO242" s="8"/>
      <c r="BGP242" s="54"/>
      <c r="BGQ242" s="8"/>
      <c r="BGR242" s="54"/>
      <c r="BGS242" s="8"/>
      <c r="BGT242" s="54"/>
      <c r="BGU242" s="8"/>
      <c r="BGV242" s="54"/>
      <c r="BGW242" s="8"/>
      <c r="BGX242" s="54"/>
      <c r="BGY242" s="8"/>
      <c r="BGZ242" s="54"/>
      <c r="BHA242" s="8"/>
      <c r="BHB242" s="54"/>
      <c r="BHC242" s="8"/>
      <c r="BHD242" s="54"/>
      <c r="BHE242" s="8"/>
      <c r="BHF242" s="54"/>
      <c r="BHG242" s="8"/>
      <c r="BHH242" s="54"/>
      <c r="BHI242" s="8"/>
      <c r="BHJ242" s="54"/>
      <c r="BHK242" s="8"/>
      <c r="BHL242" s="54"/>
      <c r="BHM242" s="8"/>
      <c r="BHN242" s="54"/>
      <c r="BHO242" s="8"/>
      <c r="BHP242" s="54"/>
      <c r="BHQ242" s="8"/>
      <c r="BHR242" s="54"/>
      <c r="BHS242" s="8"/>
      <c r="BHT242" s="54"/>
      <c r="BHU242" s="8"/>
      <c r="BHV242" s="54"/>
      <c r="BHW242" s="8"/>
      <c r="BHX242" s="54"/>
      <c r="BHY242" s="8"/>
      <c r="BHZ242" s="54"/>
      <c r="BIA242" s="8"/>
      <c r="BIB242" s="54"/>
      <c r="BIC242" s="8"/>
      <c r="BID242" s="54"/>
      <c r="BIE242" s="8"/>
      <c r="BIF242" s="54"/>
      <c r="BIG242" s="8"/>
      <c r="BIH242" s="54"/>
      <c r="BII242" s="8"/>
      <c r="BIJ242" s="54"/>
      <c r="BIK242" s="8"/>
      <c r="BIL242" s="54"/>
      <c r="BIM242" s="8"/>
      <c r="BIN242" s="54"/>
      <c r="BIO242" s="8"/>
      <c r="BIP242" s="54"/>
      <c r="BIQ242" s="8"/>
      <c r="BIR242" s="54"/>
      <c r="BIS242" s="8"/>
      <c r="BIT242" s="54"/>
      <c r="BIU242" s="8"/>
      <c r="BIV242" s="54"/>
      <c r="BIW242" s="8"/>
      <c r="BIX242" s="54"/>
      <c r="BIY242" s="8"/>
      <c r="BIZ242" s="54"/>
      <c r="BJA242" s="8"/>
      <c r="BJB242" s="54"/>
      <c r="BJC242" s="8"/>
      <c r="BJD242" s="54"/>
      <c r="BJE242" s="8"/>
      <c r="BJF242" s="54"/>
      <c r="BJG242" s="8"/>
      <c r="BJH242" s="54"/>
      <c r="BJI242" s="8"/>
      <c r="BJJ242" s="54"/>
      <c r="BJK242" s="8"/>
      <c r="BJL242" s="54"/>
      <c r="BJM242" s="8"/>
      <c r="BJN242" s="54"/>
      <c r="BJO242" s="8"/>
      <c r="BJP242" s="54"/>
      <c r="BJQ242" s="8"/>
      <c r="BJR242" s="54"/>
      <c r="BJS242" s="8"/>
      <c r="BJT242" s="54"/>
      <c r="BJU242" s="8"/>
      <c r="BJV242" s="54"/>
      <c r="BJW242" s="8"/>
      <c r="BJX242" s="54"/>
      <c r="BJY242" s="8"/>
      <c r="BJZ242" s="54"/>
      <c r="BKA242" s="8"/>
      <c r="BKB242" s="54"/>
      <c r="BKC242" s="8"/>
      <c r="BKD242" s="54"/>
      <c r="BKE242" s="8"/>
      <c r="BKF242" s="54"/>
      <c r="BKG242" s="8"/>
      <c r="BKH242" s="54"/>
      <c r="BKI242" s="8"/>
      <c r="BKJ242" s="54"/>
      <c r="BKK242" s="8"/>
      <c r="BKL242" s="54"/>
      <c r="BKM242" s="8"/>
      <c r="BKN242" s="54"/>
      <c r="BKO242" s="8"/>
      <c r="BKP242" s="54"/>
      <c r="BKQ242" s="8"/>
      <c r="BKR242" s="54"/>
      <c r="BKS242" s="8"/>
      <c r="BKT242" s="54"/>
      <c r="BKU242" s="8"/>
      <c r="BKV242" s="54"/>
      <c r="BKW242" s="8"/>
      <c r="BKX242" s="54"/>
      <c r="BKY242" s="8"/>
      <c r="BKZ242" s="54"/>
      <c r="BLA242" s="8"/>
      <c r="BLB242" s="54"/>
      <c r="BLC242" s="8"/>
      <c r="BLD242" s="54"/>
      <c r="BLE242" s="8"/>
      <c r="BLF242" s="54"/>
      <c r="BLG242" s="8"/>
      <c r="BLH242" s="54"/>
      <c r="BLI242" s="8"/>
      <c r="BLJ242" s="54"/>
      <c r="BLK242" s="8"/>
      <c r="BLL242" s="54"/>
      <c r="BLM242" s="8"/>
      <c r="BLN242" s="54"/>
      <c r="BLO242" s="8"/>
      <c r="BLP242" s="54"/>
      <c r="BLQ242" s="8"/>
      <c r="BLR242" s="54"/>
      <c r="BLS242" s="8"/>
      <c r="BLT242" s="54"/>
      <c r="BLU242" s="8"/>
      <c r="BLV242" s="54"/>
      <c r="BLW242" s="8"/>
      <c r="BLX242" s="54"/>
      <c r="BLY242" s="8"/>
      <c r="BLZ242" s="54"/>
      <c r="BMA242" s="8"/>
      <c r="BMB242" s="54"/>
      <c r="BMC242" s="8"/>
      <c r="BMD242" s="54"/>
      <c r="BME242" s="8"/>
      <c r="BMF242" s="54"/>
      <c r="BMG242" s="8"/>
      <c r="BMH242" s="54"/>
      <c r="BMI242" s="8"/>
      <c r="BMJ242" s="54"/>
      <c r="BMK242" s="8"/>
      <c r="BML242" s="54"/>
      <c r="BMM242" s="8"/>
      <c r="BMN242" s="54"/>
      <c r="BMO242" s="8"/>
      <c r="BMP242" s="54"/>
      <c r="BMQ242" s="8"/>
      <c r="BMR242" s="54"/>
      <c r="BMS242" s="8"/>
      <c r="BMT242" s="54"/>
      <c r="BMU242" s="8"/>
      <c r="BMV242" s="54"/>
      <c r="BMW242" s="8"/>
      <c r="BMX242" s="54"/>
      <c r="BMY242" s="8"/>
      <c r="BMZ242" s="54"/>
      <c r="BNA242" s="8"/>
      <c r="BNB242" s="54"/>
      <c r="BNC242" s="8"/>
      <c r="BND242" s="54"/>
      <c r="BNE242" s="8"/>
      <c r="BNF242" s="54"/>
      <c r="BNG242" s="8"/>
      <c r="BNH242" s="54"/>
      <c r="BNI242" s="8"/>
      <c r="BNJ242" s="54"/>
      <c r="BNK242" s="8"/>
      <c r="BNL242" s="54"/>
      <c r="BNM242" s="8"/>
      <c r="BNN242" s="54"/>
      <c r="BNO242" s="8"/>
      <c r="BNP242" s="54"/>
      <c r="BNQ242" s="8"/>
      <c r="BNR242" s="54"/>
      <c r="BNS242" s="8"/>
      <c r="BNT242" s="54"/>
      <c r="BNU242" s="8"/>
      <c r="BNV242" s="54"/>
      <c r="BNW242" s="8"/>
      <c r="BNX242" s="54"/>
      <c r="BNY242" s="8"/>
      <c r="BNZ242" s="54"/>
      <c r="BOA242" s="8"/>
      <c r="BOB242" s="54"/>
      <c r="BOC242" s="8"/>
      <c r="BOD242" s="54"/>
      <c r="BOE242" s="8"/>
      <c r="BOF242" s="54"/>
      <c r="BOG242" s="8"/>
      <c r="BOH242" s="54"/>
      <c r="BOI242" s="8"/>
      <c r="BOJ242" s="54"/>
      <c r="BOK242" s="8"/>
      <c r="BOL242" s="54"/>
      <c r="BOM242" s="8"/>
      <c r="BON242" s="54"/>
      <c r="BOO242" s="8"/>
      <c r="BOP242" s="54"/>
      <c r="BOQ242" s="8"/>
      <c r="BOR242" s="54"/>
      <c r="BOS242" s="8"/>
      <c r="BOT242" s="54"/>
      <c r="BOU242" s="8"/>
      <c r="BOV242" s="54"/>
      <c r="BOW242" s="8"/>
      <c r="BOX242" s="54"/>
      <c r="BOY242" s="8"/>
      <c r="BOZ242" s="54"/>
      <c r="BPA242" s="8"/>
      <c r="BPB242" s="54"/>
      <c r="BPC242" s="8"/>
      <c r="BPD242" s="54"/>
      <c r="BPE242" s="8"/>
      <c r="BPF242" s="54"/>
      <c r="BPG242" s="8"/>
      <c r="BPH242" s="54"/>
      <c r="BPI242" s="8"/>
      <c r="BPJ242" s="54"/>
      <c r="BPK242" s="8"/>
      <c r="BPL242" s="54"/>
      <c r="BPM242" s="8"/>
      <c r="BPN242" s="54"/>
      <c r="BPO242" s="8"/>
      <c r="BPP242" s="54"/>
      <c r="BPQ242" s="8"/>
      <c r="BPR242" s="54"/>
      <c r="BPS242" s="8"/>
      <c r="BPT242" s="54"/>
      <c r="BPU242" s="8"/>
      <c r="BPV242" s="54"/>
      <c r="BPW242" s="8"/>
      <c r="BPX242" s="54"/>
      <c r="BPY242" s="8"/>
      <c r="BPZ242" s="54"/>
      <c r="BQA242" s="8"/>
      <c r="BQB242" s="54"/>
      <c r="BQC242" s="8"/>
      <c r="BQD242" s="54"/>
      <c r="BQE242" s="8"/>
      <c r="BQF242" s="54"/>
      <c r="BQG242" s="8"/>
      <c r="BQH242" s="54"/>
      <c r="BQI242" s="8"/>
      <c r="BQJ242" s="54"/>
      <c r="BQK242" s="8"/>
      <c r="BQL242" s="54"/>
      <c r="BQM242" s="8"/>
      <c r="BQN242" s="54"/>
      <c r="BQO242" s="8"/>
      <c r="BQP242" s="54"/>
      <c r="BQQ242" s="8"/>
      <c r="BQR242" s="54"/>
      <c r="BQS242" s="8"/>
      <c r="BQT242" s="54"/>
      <c r="BQU242" s="8"/>
      <c r="BQV242" s="54"/>
      <c r="BQW242" s="8"/>
      <c r="BQX242" s="54"/>
      <c r="BQY242" s="8"/>
      <c r="BQZ242" s="54"/>
      <c r="BRA242" s="8"/>
      <c r="BRB242" s="54"/>
      <c r="BRC242" s="8"/>
      <c r="BRD242" s="54"/>
      <c r="BRE242" s="8"/>
      <c r="BRF242" s="54"/>
      <c r="BRG242" s="8"/>
      <c r="BRH242" s="54"/>
      <c r="BRI242" s="8"/>
      <c r="BRJ242" s="54"/>
      <c r="BRK242" s="8"/>
      <c r="BRL242" s="54"/>
      <c r="BRM242" s="8"/>
      <c r="BRN242" s="54"/>
      <c r="BRO242" s="8"/>
      <c r="BRP242" s="54"/>
      <c r="BRQ242" s="8"/>
      <c r="BRR242" s="54"/>
      <c r="BRS242" s="8"/>
      <c r="BRT242" s="54"/>
      <c r="BRU242" s="8"/>
      <c r="BRV242" s="54"/>
      <c r="BRW242" s="8"/>
      <c r="BRX242" s="54"/>
      <c r="BRY242" s="8"/>
      <c r="BRZ242" s="54"/>
      <c r="BSA242" s="8"/>
      <c r="BSB242" s="54"/>
      <c r="BSC242" s="8"/>
      <c r="BSD242" s="54"/>
      <c r="BSE242" s="8"/>
      <c r="BSF242" s="54"/>
      <c r="BSG242" s="8"/>
      <c r="BSH242" s="54"/>
      <c r="BSI242" s="8"/>
      <c r="BSJ242" s="54"/>
      <c r="BSK242" s="8"/>
      <c r="BSL242" s="54"/>
      <c r="BSM242" s="8"/>
      <c r="BSN242" s="54"/>
      <c r="BSO242" s="8"/>
      <c r="BSP242" s="54"/>
      <c r="BSQ242" s="8"/>
      <c r="BSR242" s="54"/>
      <c r="BSS242" s="8"/>
      <c r="BST242" s="54"/>
      <c r="BSU242" s="8"/>
      <c r="BSV242" s="54"/>
      <c r="BSW242" s="8"/>
      <c r="BSX242" s="54"/>
      <c r="BSY242" s="8"/>
      <c r="BSZ242" s="54"/>
      <c r="BTA242" s="8"/>
      <c r="BTB242" s="54"/>
      <c r="BTC242" s="8"/>
      <c r="BTD242" s="54"/>
      <c r="BTE242" s="8"/>
      <c r="BTF242" s="54"/>
      <c r="BTG242" s="8"/>
      <c r="BTH242" s="54"/>
      <c r="BTI242" s="8"/>
      <c r="BTJ242" s="54"/>
      <c r="BTK242" s="8"/>
      <c r="BTL242" s="54"/>
      <c r="BTM242" s="8"/>
      <c r="BTN242" s="54"/>
      <c r="BTO242" s="8"/>
      <c r="BTP242" s="54"/>
      <c r="BTQ242" s="8"/>
      <c r="BTR242" s="54"/>
      <c r="BTS242" s="8"/>
      <c r="BTT242" s="54"/>
      <c r="BTU242" s="8"/>
      <c r="BTV242" s="54"/>
      <c r="BTW242" s="8"/>
      <c r="BTX242" s="54"/>
      <c r="BTY242" s="8"/>
      <c r="BTZ242" s="54"/>
      <c r="BUA242" s="8"/>
      <c r="BUB242" s="54"/>
      <c r="BUC242" s="8"/>
      <c r="BUD242" s="54"/>
      <c r="BUE242" s="8"/>
      <c r="BUF242" s="54"/>
      <c r="BUG242" s="8"/>
      <c r="BUH242" s="54"/>
      <c r="BUI242" s="8"/>
      <c r="BUJ242" s="54"/>
      <c r="BUK242" s="8"/>
      <c r="BUL242" s="54"/>
      <c r="BUM242" s="8"/>
      <c r="BUN242" s="54"/>
      <c r="BUO242" s="8"/>
      <c r="BUP242" s="54"/>
      <c r="BUQ242" s="8"/>
      <c r="BUR242" s="54"/>
      <c r="BUS242" s="8"/>
      <c r="BUT242" s="54"/>
      <c r="BUU242" s="8"/>
      <c r="BUV242" s="54"/>
      <c r="BUW242" s="8"/>
      <c r="BUX242" s="54"/>
      <c r="BUY242" s="8"/>
      <c r="BUZ242" s="54"/>
      <c r="BVA242" s="8"/>
      <c r="BVB242" s="54"/>
      <c r="BVC242" s="8"/>
      <c r="BVD242" s="54"/>
      <c r="BVE242" s="8"/>
      <c r="BVF242" s="54"/>
      <c r="BVG242" s="8"/>
      <c r="BVH242" s="54"/>
      <c r="BVI242" s="8"/>
      <c r="BVJ242" s="54"/>
      <c r="BVK242" s="8"/>
      <c r="BVL242" s="54"/>
      <c r="BVM242" s="8"/>
      <c r="BVN242" s="54"/>
      <c r="BVO242" s="8"/>
      <c r="BVP242" s="54"/>
      <c r="BVQ242" s="8"/>
      <c r="BVR242" s="54"/>
      <c r="BVS242" s="8"/>
      <c r="BVT242" s="54"/>
      <c r="BVU242" s="8"/>
      <c r="BVV242" s="54"/>
      <c r="BVW242" s="8"/>
      <c r="BVX242" s="54"/>
      <c r="BVY242" s="8"/>
      <c r="BVZ242" s="54"/>
      <c r="BWA242" s="8"/>
      <c r="BWB242" s="54"/>
      <c r="BWC242" s="8"/>
      <c r="BWD242" s="54"/>
      <c r="BWE242" s="8"/>
      <c r="BWF242" s="54"/>
      <c r="BWG242" s="8"/>
      <c r="BWH242" s="54"/>
      <c r="BWI242" s="8"/>
      <c r="BWJ242" s="54"/>
      <c r="BWK242" s="8"/>
      <c r="BWL242" s="54"/>
      <c r="BWM242" s="8"/>
      <c r="BWN242" s="54"/>
      <c r="BWO242" s="8"/>
      <c r="BWP242" s="54"/>
      <c r="BWQ242" s="8"/>
      <c r="BWR242" s="54"/>
      <c r="BWS242" s="8"/>
      <c r="BWT242" s="54"/>
      <c r="BWU242" s="8"/>
      <c r="BWV242" s="54"/>
      <c r="BWW242" s="8"/>
      <c r="BWX242" s="54"/>
      <c r="BWY242" s="8"/>
      <c r="BWZ242" s="54"/>
      <c r="BXA242" s="8"/>
      <c r="BXB242" s="54"/>
      <c r="BXC242" s="8"/>
      <c r="BXD242" s="54"/>
      <c r="BXE242" s="8"/>
      <c r="BXF242" s="54"/>
      <c r="BXG242" s="8"/>
      <c r="BXH242" s="54"/>
      <c r="BXI242" s="8"/>
      <c r="BXJ242" s="54"/>
      <c r="BXK242" s="8"/>
      <c r="BXL242" s="54"/>
      <c r="BXM242" s="8"/>
      <c r="BXN242" s="54"/>
      <c r="BXO242" s="8"/>
      <c r="BXP242" s="54"/>
      <c r="BXQ242" s="8"/>
      <c r="BXR242" s="54"/>
      <c r="BXS242" s="8"/>
      <c r="BXT242" s="54"/>
      <c r="BXU242" s="8"/>
      <c r="BXV242" s="54"/>
      <c r="BXW242" s="8"/>
      <c r="BXX242" s="54"/>
      <c r="BXY242" s="8"/>
      <c r="BXZ242" s="54"/>
      <c r="BYA242" s="8"/>
      <c r="BYB242" s="54"/>
      <c r="BYC242" s="8"/>
      <c r="BYD242" s="54"/>
      <c r="BYE242" s="8"/>
      <c r="BYF242" s="54"/>
      <c r="BYG242" s="8"/>
      <c r="BYH242" s="54"/>
      <c r="BYI242" s="8"/>
      <c r="BYJ242" s="54"/>
      <c r="BYK242" s="8"/>
      <c r="BYL242" s="54"/>
      <c r="BYM242" s="8"/>
      <c r="BYN242" s="54"/>
      <c r="BYO242" s="8"/>
      <c r="BYP242" s="54"/>
      <c r="BYQ242" s="8"/>
      <c r="BYR242" s="54"/>
      <c r="BYS242" s="8"/>
      <c r="BYT242" s="54"/>
      <c r="BYU242" s="8"/>
      <c r="BYV242" s="54"/>
      <c r="BYW242" s="8"/>
      <c r="BYX242" s="54"/>
      <c r="BYY242" s="8"/>
      <c r="BYZ242" s="54"/>
      <c r="BZA242" s="8"/>
      <c r="BZB242" s="54"/>
      <c r="BZC242" s="8"/>
      <c r="BZD242" s="54"/>
      <c r="BZE242" s="8"/>
      <c r="BZF242" s="54"/>
      <c r="BZG242" s="8"/>
      <c r="BZH242" s="54"/>
      <c r="BZI242" s="8"/>
      <c r="BZJ242" s="54"/>
      <c r="BZK242" s="8"/>
      <c r="BZL242" s="54"/>
      <c r="BZM242" s="8"/>
      <c r="BZN242" s="54"/>
      <c r="BZO242" s="8"/>
      <c r="BZP242" s="54"/>
      <c r="BZQ242" s="8"/>
      <c r="BZR242" s="54"/>
      <c r="BZS242" s="8"/>
      <c r="BZT242" s="54"/>
      <c r="BZU242" s="8"/>
      <c r="BZV242" s="54"/>
      <c r="BZW242" s="8"/>
      <c r="BZX242" s="54"/>
      <c r="BZY242" s="8"/>
      <c r="BZZ242" s="54"/>
      <c r="CAA242" s="8"/>
      <c r="CAB242" s="54"/>
      <c r="CAC242" s="8"/>
      <c r="CAD242" s="54"/>
      <c r="CAE242" s="8"/>
      <c r="CAF242" s="54"/>
      <c r="CAG242" s="8"/>
      <c r="CAH242" s="54"/>
      <c r="CAI242" s="8"/>
      <c r="CAJ242" s="54"/>
      <c r="CAK242" s="8"/>
      <c r="CAL242" s="54"/>
      <c r="CAM242" s="8"/>
      <c r="CAN242" s="54"/>
      <c r="CAO242" s="8"/>
      <c r="CAP242" s="54"/>
      <c r="CAQ242" s="8"/>
      <c r="CAR242" s="54"/>
      <c r="CAS242" s="8"/>
      <c r="CAT242" s="54"/>
      <c r="CAU242" s="8"/>
      <c r="CAV242" s="54"/>
      <c r="CAW242" s="8"/>
      <c r="CAX242" s="54"/>
      <c r="CAY242" s="8"/>
      <c r="CAZ242" s="54"/>
      <c r="CBA242" s="8"/>
      <c r="CBB242" s="54"/>
      <c r="CBC242" s="8"/>
      <c r="CBD242" s="54"/>
      <c r="CBE242" s="8"/>
      <c r="CBF242" s="54"/>
      <c r="CBG242" s="8"/>
      <c r="CBH242" s="54"/>
      <c r="CBI242" s="8"/>
      <c r="CBJ242" s="54"/>
      <c r="CBK242" s="8"/>
      <c r="CBL242" s="54"/>
      <c r="CBM242" s="8"/>
      <c r="CBN242" s="54"/>
      <c r="CBO242" s="8"/>
      <c r="CBP242" s="54"/>
      <c r="CBQ242" s="8"/>
      <c r="CBR242" s="54"/>
      <c r="CBS242" s="8"/>
      <c r="CBT242" s="54"/>
      <c r="CBU242" s="8"/>
      <c r="CBV242" s="54"/>
      <c r="CBW242" s="8"/>
      <c r="CBX242" s="54"/>
      <c r="CBY242" s="8"/>
      <c r="CBZ242" s="54"/>
      <c r="CCA242" s="8"/>
      <c r="CCB242" s="54"/>
      <c r="CCC242" s="8"/>
      <c r="CCD242" s="54"/>
      <c r="CCE242" s="8"/>
      <c r="CCF242" s="54"/>
      <c r="CCG242" s="8"/>
      <c r="CCH242" s="54"/>
      <c r="CCI242" s="8"/>
      <c r="CCJ242" s="54"/>
      <c r="CCK242" s="8"/>
      <c r="CCL242" s="54"/>
      <c r="CCM242" s="8"/>
      <c r="CCN242" s="54"/>
      <c r="CCO242" s="8"/>
      <c r="CCP242" s="54"/>
      <c r="CCQ242" s="8"/>
      <c r="CCR242" s="54"/>
      <c r="CCS242" s="8"/>
      <c r="CCT242" s="54"/>
      <c r="CCU242" s="8"/>
      <c r="CCV242" s="54"/>
      <c r="CCW242" s="8"/>
      <c r="CCX242" s="54"/>
      <c r="CCY242" s="8"/>
      <c r="CCZ242" s="54"/>
      <c r="CDA242" s="8"/>
      <c r="CDB242" s="54"/>
      <c r="CDC242" s="8"/>
      <c r="CDD242" s="54"/>
      <c r="CDE242" s="8"/>
      <c r="CDF242" s="54"/>
      <c r="CDG242" s="8"/>
      <c r="CDH242" s="54"/>
      <c r="CDI242" s="8"/>
      <c r="CDJ242" s="54"/>
      <c r="CDK242" s="8"/>
      <c r="CDL242" s="54"/>
      <c r="CDM242" s="8"/>
      <c r="CDN242" s="54"/>
      <c r="CDO242" s="8"/>
      <c r="CDP242" s="54"/>
      <c r="CDQ242" s="8"/>
      <c r="CDR242" s="54"/>
      <c r="CDS242" s="8"/>
      <c r="CDT242" s="54"/>
      <c r="CDU242" s="8"/>
      <c r="CDV242" s="54"/>
      <c r="CDW242" s="8"/>
      <c r="CDX242" s="54"/>
      <c r="CDY242" s="8"/>
      <c r="CDZ242" s="54"/>
      <c r="CEA242" s="8"/>
      <c r="CEB242" s="54"/>
      <c r="CEC242" s="8"/>
      <c r="CED242" s="54"/>
      <c r="CEE242" s="8"/>
      <c r="CEF242" s="54"/>
      <c r="CEG242" s="8"/>
      <c r="CEH242" s="54"/>
      <c r="CEI242" s="8"/>
      <c r="CEJ242" s="54"/>
      <c r="CEK242" s="8"/>
      <c r="CEL242" s="54"/>
      <c r="CEM242" s="8"/>
      <c r="CEN242" s="54"/>
      <c r="CEO242" s="8"/>
      <c r="CEP242" s="54"/>
      <c r="CEQ242" s="8"/>
      <c r="CER242" s="54"/>
      <c r="CES242" s="8"/>
      <c r="CET242" s="54"/>
      <c r="CEU242" s="8"/>
      <c r="CEV242" s="54"/>
      <c r="CEW242" s="8"/>
      <c r="CEX242" s="54"/>
      <c r="CEY242" s="8"/>
      <c r="CEZ242" s="54"/>
      <c r="CFA242" s="8"/>
      <c r="CFB242" s="54"/>
      <c r="CFC242" s="8"/>
      <c r="CFD242" s="54"/>
      <c r="CFE242" s="8"/>
      <c r="CFF242" s="54"/>
      <c r="CFG242" s="8"/>
      <c r="CFH242" s="54"/>
      <c r="CFI242" s="8"/>
      <c r="CFJ242" s="54"/>
      <c r="CFK242" s="8"/>
      <c r="CFL242" s="54"/>
      <c r="CFM242" s="8"/>
      <c r="CFN242" s="54"/>
      <c r="CFO242" s="8"/>
      <c r="CFP242" s="54"/>
      <c r="CFQ242" s="8"/>
      <c r="CFR242" s="54"/>
      <c r="CFS242" s="8"/>
      <c r="CFT242" s="54"/>
      <c r="CFU242" s="8"/>
      <c r="CFV242" s="54"/>
      <c r="CFW242" s="8"/>
      <c r="CFX242" s="54"/>
      <c r="CFY242" s="8"/>
      <c r="CFZ242" s="54"/>
      <c r="CGA242" s="8"/>
      <c r="CGB242" s="54"/>
      <c r="CGC242" s="8"/>
      <c r="CGD242" s="54"/>
      <c r="CGE242" s="8"/>
      <c r="CGF242" s="54"/>
      <c r="CGG242" s="8"/>
      <c r="CGH242" s="54"/>
      <c r="CGI242" s="8"/>
      <c r="CGJ242" s="54"/>
      <c r="CGK242" s="8"/>
      <c r="CGL242" s="54"/>
      <c r="CGM242" s="8"/>
      <c r="CGN242" s="54"/>
      <c r="CGO242" s="8"/>
      <c r="CGP242" s="54"/>
      <c r="CGQ242" s="8"/>
      <c r="CGR242" s="54"/>
      <c r="CGS242" s="8"/>
      <c r="CGT242" s="54"/>
      <c r="CGU242" s="8"/>
      <c r="CGV242" s="54"/>
      <c r="CGW242" s="8"/>
      <c r="CGX242" s="54"/>
      <c r="CGY242" s="8"/>
      <c r="CGZ242" s="54"/>
      <c r="CHA242" s="8"/>
      <c r="CHB242" s="54"/>
      <c r="CHC242" s="8"/>
      <c r="CHD242" s="54"/>
      <c r="CHE242" s="8"/>
      <c r="CHF242" s="54"/>
      <c r="CHG242" s="8"/>
      <c r="CHH242" s="54"/>
      <c r="CHI242" s="8"/>
      <c r="CHJ242" s="54"/>
      <c r="CHK242" s="8"/>
      <c r="CHL242" s="54"/>
      <c r="CHM242" s="8"/>
      <c r="CHN242" s="54"/>
      <c r="CHO242" s="8"/>
      <c r="CHP242" s="54"/>
      <c r="CHQ242" s="8"/>
      <c r="CHR242" s="54"/>
      <c r="CHS242" s="8"/>
      <c r="CHT242" s="54"/>
      <c r="CHU242" s="8"/>
      <c r="CHV242" s="54"/>
      <c r="CHW242" s="8"/>
      <c r="CHX242" s="54"/>
      <c r="CHY242" s="8"/>
      <c r="CHZ242" s="54"/>
      <c r="CIA242" s="8"/>
      <c r="CIB242" s="54"/>
      <c r="CIC242" s="8"/>
      <c r="CID242" s="54"/>
      <c r="CIE242" s="8"/>
      <c r="CIF242" s="54"/>
      <c r="CIG242" s="8"/>
      <c r="CIH242" s="54"/>
      <c r="CII242" s="8"/>
      <c r="CIJ242" s="54"/>
      <c r="CIK242" s="8"/>
      <c r="CIL242" s="54"/>
      <c r="CIM242" s="8"/>
      <c r="CIN242" s="54"/>
      <c r="CIO242" s="8"/>
      <c r="CIP242" s="54"/>
      <c r="CIQ242" s="8"/>
      <c r="CIR242" s="54"/>
      <c r="CIS242" s="8"/>
      <c r="CIT242" s="54"/>
      <c r="CIU242" s="8"/>
      <c r="CIV242" s="54"/>
      <c r="CIW242" s="8"/>
      <c r="CIX242" s="54"/>
      <c r="CIY242" s="8"/>
      <c r="CIZ242" s="54"/>
      <c r="CJA242" s="8"/>
      <c r="CJB242" s="54"/>
      <c r="CJC242" s="8"/>
      <c r="CJD242" s="54"/>
      <c r="CJE242" s="8"/>
      <c r="CJF242" s="54"/>
      <c r="CJG242" s="8"/>
      <c r="CJH242" s="54"/>
      <c r="CJI242" s="8"/>
      <c r="CJJ242" s="54"/>
      <c r="CJK242" s="8"/>
      <c r="CJL242" s="54"/>
      <c r="CJM242" s="8"/>
      <c r="CJN242" s="54"/>
      <c r="CJO242" s="8"/>
      <c r="CJP242" s="54"/>
      <c r="CJQ242" s="8"/>
      <c r="CJR242" s="54"/>
      <c r="CJS242" s="8"/>
      <c r="CJT242" s="54"/>
      <c r="CJU242" s="8"/>
      <c r="CJV242" s="54"/>
      <c r="CJW242" s="8"/>
      <c r="CJX242" s="54"/>
      <c r="CJY242" s="8"/>
      <c r="CJZ242" s="54"/>
      <c r="CKA242" s="8"/>
      <c r="CKB242" s="54"/>
      <c r="CKC242" s="8"/>
      <c r="CKD242" s="54"/>
      <c r="CKE242" s="8"/>
      <c r="CKF242" s="54"/>
      <c r="CKG242" s="8"/>
      <c r="CKH242" s="54"/>
      <c r="CKI242" s="8"/>
      <c r="CKJ242" s="54"/>
      <c r="CKK242" s="8"/>
      <c r="CKL242" s="54"/>
      <c r="CKM242" s="8"/>
      <c r="CKN242" s="54"/>
      <c r="CKO242" s="8"/>
      <c r="CKP242" s="54"/>
      <c r="CKQ242" s="8"/>
      <c r="CKR242" s="54"/>
      <c r="CKS242" s="8"/>
      <c r="CKT242" s="54"/>
      <c r="CKU242" s="8"/>
      <c r="CKV242" s="54"/>
      <c r="CKW242" s="8"/>
      <c r="CKX242" s="54"/>
      <c r="CKY242" s="8"/>
      <c r="CKZ242" s="54"/>
      <c r="CLA242" s="8"/>
      <c r="CLB242" s="54"/>
      <c r="CLC242" s="8"/>
      <c r="CLD242" s="54"/>
      <c r="CLE242" s="8"/>
      <c r="CLF242" s="54"/>
      <c r="CLG242" s="8"/>
      <c r="CLH242" s="54"/>
      <c r="CLI242" s="8"/>
      <c r="CLJ242" s="54"/>
      <c r="CLK242" s="8"/>
      <c r="CLL242" s="54"/>
      <c r="CLM242" s="8"/>
      <c r="CLN242" s="54"/>
      <c r="CLO242" s="8"/>
      <c r="CLP242" s="54"/>
      <c r="CLQ242" s="8"/>
      <c r="CLR242" s="54"/>
      <c r="CLS242" s="8"/>
      <c r="CLT242" s="54"/>
      <c r="CLU242" s="8"/>
      <c r="CLV242" s="54"/>
      <c r="CLW242" s="8"/>
      <c r="CLX242" s="54"/>
      <c r="CLY242" s="8"/>
      <c r="CLZ242" s="54"/>
      <c r="CMA242" s="8"/>
      <c r="CMB242" s="54"/>
      <c r="CMC242" s="8"/>
      <c r="CMD242" s="54"/>
      <c r="CME242" s="8"/>
      <c r="CMF242" s="54"/>
      <c r="CMG242" s="8"/>
      <c r="CMH242" s="54"/>
      <c r="CMI242" s="8"/>
      <c r="CMJ242" s="54"/>
      <c r="CMK242" s="8"/>
      <c r="CML242" s="54"/>
      <c r="CMM242" s="8"/>
      <c r="CMN242" s="54"/>
      <c r="CMO242" s="8"/>
      <c r="CMP242" s="54"/>
      <c r="CMQ242" s="8"/>
      <c r="CMR242" s="54"/>
      <c r="CMS242" s="8"/>
      <c r="CMT242" s="54"/>
      <c r="CMU242" s="8"/>
      <c r="CMV242" s="54"/>
      <c r="CMW242" s="8"/>
      <c r="CMX242" s="54"/>
      <c r="CMY242" s="8"/>
      <c r="CMZ242" s="54"/>
      <c r="CNA242" s="8"/>
      <c r="CNB242" s="54"/>
      <c r="CNC242" s="8"/>
      <c r="CND242" s="54"/>
      <c r="CNE242" s="8"/>
      <c r="CNF242" s="54"/>
      <c r="CNG242" s="8"/>
      <c r="CNH242" s="54"/>
      <c r="CNI242" s="8"/>
      <c r="CNJ242" s="54"/>
      <c r="CNK242" s="8"/>
      <c r="CNL242" s="54"/>
      <c r="CNM242" s="8"/>
      <c r="CNN242" s="54"/>
      <c r="CNO242" s="8"/>
      <c r="CNP242" s="54"/>
      <c r="CNQ242" s="8"/>
      <c r="CNR242" s="54"/>
      <c r="CNS242" s="8"/>
      <c r="CNT242" s="54"/>
      <c r="CNU242" s="8"/>
      <c r="CNV242" s="54"/>
      <c r="CNW242" s="8"/>
      <c r="CNX242" s="54"/>
      <c r="CNY242" s="8"/>
      <c r="CNZ242" s="54"/>
      <c r="COA242" s="8"/>
      <c r="COB242" s="54"/>
      <c r="COC242" s="8"/>
      <c r="COD242" s="54"/>
      <c r="COE242" s="8"/>
      <c r="COF242" s="54"/>
      <c r="COG242" s="8"/>
      <c r="COH242" s="54"/>
      <c r="COI242" s="8"/>
      <c r="COJ242" s="54"/>
      <c r="COK242" s="8"/>
      <c r="COL242" s="54"/>
      <c r="COM242" s="8"/>
      <c r="CON242" s="54"/>
      <c r="COO242" s="8"/>
      <c r="COP242" s="54"/>
      <c r="COQ242" s="8"/>
      <c r="COR242" s="54"/>
      <c r="COS242" s="8"/>
      <c r="COT242" s="54"/>
      <c r="COU242" s="8"/>
      <c r="COV242" s="54"/>
      <c r="COW242" s="8"/>
      <c r="COX242" s="54"/>
      <c r="COY242" s="8"/>
      <c r="COZ242" s="54"/>
      <c r="CPA242" s="8"/>
      <c r="CPB242" s="54"/>
      <c r="CPC242" s="8"/>
      <c r="CPD242" s="54"/>
      <c r="CPE242" s="8"/>
      <c r="CPF242" s="54"/>
      <c r="CPG242" s="8"/>
      <c r="CPH242" s="54"/>
      <c r="CPI242" s="8"/>
      <c r="CPJ242" s="54"/>
      <c r="CPK242" s="8"/>
      <c r="CPL242" s="54"/>
      <c r="CPM242" s="8"/>
      <c r="CPN242" s="54"/>
      <c r="CPO242" s="8"/>
      <c r="CPP242" s="54"/>
      <c r="CPQ242" s="8"/>
      <c r="CPR242" s="54"/>
      <c r="CPS242" s="8"/>
      <c r="CPT242" s="54"/>
      <c r="CPU242" s="8"/>
      <c r="CPV242" s="54"/>
      <c r="CPW242" s="8"/>
      <c r="CPX242" s="54"/>
      <c r="CPY242" s="8"/>
      <c r="CPZ242" s="54"/>
      <c r="CQA242" s="8"/>
      <c r="CQB242" s="54"/>
      <c r="CQC242" s="8"/>
      <c r="CQD242" s="54"/>
      <c r="CQE242" s="8"/>
      <c r="CQF242" s="54"/>
      <c r="CQG242" s="8"/>
      <c r="CQH242" s="54"/>
      <c r="CQI242" s="8"/>
      <c r="CQJ242" s="54"/>
      <c r="CQK242" s="8"/>
      <c r="CQL242" s="54"/>
      <c r="CQM242" s="8"/>
      <c r="CQN242" s="54"/>
      <c r="CQO242" s="8"/>
      <c r="CQP242" s="54"/>
      <c r="CQQ242" s="8"/>
      <c r="CQR242" s="54"/>
      <c r="CQS242" s="8"/>
      <c r="CQT242" s="54"/>
      <c r="CQU242" s="8"/>
      <c r="CQV242" s="54"/>
      <c r="CQW242" s="8"/>
      <c r="CQX242" s="54"/>
      <c r="CQY242" s="8"/>
      <c r="CQZ242" s="54"/>
      <c r="CRA242" s="8"/>
      <c r="CRB242" s="54"/>
      <c r="CRC242" s="8"/>
      <c r="CRD242" s="54"/>
      <c r="CRE242" s="8"/>
      <c r="CRF242" s="54"/>
      <c r="CRG242" s="8"/>
      <c r="CRH242" s="54"/>
      <c r="CRI242" s="8"/>
      <c r="CRJ242" s="54"/>
      <c r="CRK242" s="8"/>
      <c r="CRL242" s="54"/>
      <c r="CRM242" s="8"/>
      <c r="CRN242" s="54"/>
      <c r="CRO242" s="8"/>
      <c r="CRP242" s="54"/>
      <c r="CRQ242" s="8"/>
      <c r="CRR242" s="54"/>
      <c r="CRS242" s="8"/>
      <c r="CRT242" s="54"/>
      <c r="CRU242" s="8"/>
      <c r="CRV242" s="54"/>
      <c r="CRW242" s="8"/>
      <c r="CRX242" s="54"/>
      <c r="CRY242" s="8"/>
      <c r="CRZ242" s="54"/>
      <c r="CSA242" s="8"/>
      <c r="CSB242" s="54"/>
      <c r="CSC242" s="8"/>
      <c r="CSD242" s="54"/>
      <c r="CSE242" s="8"/>
      <c r="CSF242" s="54"/>
      <c r="CSG242" s="8"/>
      <c r="CSH242" s="54"/>
      <c r="CSI242" s="8"/>
      <c r="CSJ242" s="54"/>
      <c r="CSK242" s="8"/>
      <c r="CSL242" s="54"/>
      <c r="CSM242" s="8"/>
      <c r="CSN242" s="54"/>
      <c r="CSO242" s="8"/>
      <c r="CSP242" s="54"/>
      <c r="CSQ242" s="8"/>
      <c r="CSR242" s="54"/>
      <c r="CSS242" s="8"/>
      <c r="CST242" s="54"/>
      <c r="CSU242" s="8"/>
      <c r="CSV242" s="54"/>
      <c r="CSW242" s="8"/>
      <c r="CSX242" s="54"/>
      <c r="CSY242" s="8"/>
      <c r="CSZ242" s="54"/>
      <c r="CTA242" s="8"/>
      <c r="CTB242" s="54"/>
      <c r="CTC242" s="8"/>
      <c r="CTD242" s="54"/>
      <c r="CTE242" s="8"/>
      <c r="CTF242" s="54"/>
      <c r="CTG242" s="8"/>
      <c r="CTH242" s="54"/>
      <c r="CTI242" s="8"/>
      <c r="CTJ242" s="54"/>
      <c r="CTK242" s="8"/>
      <c r="CTL242" s="54"/>
      <c r="CTM242" s="8"/>
      <c r="CTN242" s="54"/>
      <c r="CTO242" s="8"/>
      <c r="CTP242" s="54"/>
      <c r="CTQ242" s="8"/>
      <c r="CTR242" s="54"/>
      <c r="CTS242" s="8"/>
      <c r="CTT242" s="54"/>
      <c r="CTU242" s="8"/>
      <c r="CTV242" s="54"/>
      <c r="CTW242" s="8"/>
      <c r="CTX242" s="54"/>
      <c r="CTY242" s="8"/>
      <c r="CTZ242" s="54"/>
      <c r="CUA242" s="8"/>
      <c r="CUB242" s="54"/>
      <c r="CUC242" s="8"/>
      <c r="CUD242" s="54"/>
      <c r="CUE242" s="8"/>
      <c r="CUF242" s="54"/>
      <c r="CUG242" s="8"/>
      <c r="CUH242" s="54"/>
      <c r="CUI242" s="8"/>
      <c r="CUJ242" s="54"/>
      <c r="CUK242" s="8"/>
      <c r="CUL242" s="54"/>
      <c r="CUM242" s="8"/>
      <c r="CUN242" s="54"/>
      <c r="CUO242" s="8"/>
      <c r="CUP242" s="54"/>
      <c r="CUQ242" s="8"/>
      <c r="CUR242" s="54"/>
      <c r="CUS242" s="8"/>
      <c r="CUT242" s="54"/>
      <c r="CUU242" s="8"/>
      <c r="CUV242" s="54"/>
      <c r="CUW242" s="8"/>
      <c r="CUX242" s="54"/>
      <c r="CUY242" s="8"/>
      <c r="CUZ242" s="54"/>
      <c r="CVA242" s="8"/>
      <c r="CVB242" s="54"/>
      <c r="CVC242" s="8"/>
      <c r="CVD242" s="54"/>
      <c r="CVE242" s="8"/>
      <c r="CVF242" s="54"/>
      <c r="CVG242" s="8"/>
      <c r="CVH242" s="54"/>
      <c r="CVI242" s="8"/>
      <c r="CVJ242" s="54"/>
      <c r="CVK242" s="8"/>
      <c r="CVL242" s="54"/>
      <c r="CVM242" s="8"/>
      <c r="CVN242" s="54"/>
      <c r="CVO242" s="8"/>
      <c r="CVP242" s="54"/>
      <c r="CVQ242" s="8"/>
      <c r="CVR242" s="54"/>
      <c r="CVS242" s="8"/>
      <c r="CVT242" s="54"/>
      <c r="CVU242" s="8"/>
      <c r="CVV242" s="54"/>
      <c r="CVW242" s="8"/>
      <c r="CVX242" s="54"/>
      <c r="CVY242" s="8"/>
      <c r="CVZ242" s="54"/>
      <c r="CWA242" s="8"/>
      <c r="CWB242" s="54"/>
      <c r="CWC242" s="8"/>
      <c r="CWD242" s="54"/>
      <c r="CWE242" s="8"/>
      <c r="CWF242" s="54"/>
      <c r="CWG242" s="8"/>
      <c r="CWH242" s="54"/>
      <c r="CWI242" s="8"/>
      <c r="CWJ242" s="54"/>
      <c r="CWK242" s="8"/>
      <c r="CWL242" s="54"/>
      <c r="CWM242" s="8"/>
      <c r="CWN242" s="54"/>
      <c r="CWO242" s="8"/>
      <c r="CWP242" s="54"/>
      <c r="CWQ242" s="8"/>
      <c r="CWR242" s="54"/>
      <c r="CWS242" s="8"/>
      <c r="CWT242" s="54"/>
      <c r="CWU242" s="8"/>
      <c r="CWV242" s="54"/>
      <c r="CWW242" s="8"/>
      <c r="CWX242" s="54"/>
      <c r="CWY242" s="8"/>
      <c r="CWZ242" s="54"/>
      <c r="CXA242" s="8"/>
      <c r="CXB242" s="54"/>
      <c r="CXC242" s="8"/>
      <c r="CXD242" s="54"/>
      <c r="CXE242" s="8"/>
      <c r="CXF242" s="54"/>
      <c r="CXG242" s="8"/>
      <c r="CXH242" s="54"/>
      <c r="CXI242" s="8"/>
      <c r="CXJ242" s="54"/>
      <c r="CXK242" s="8"/>
      <c r="CXL242" s="54"/>
      <c r="CXM242" s="8"/>
      <c r="CXN242" s="54"/>
      <c r="CXO242" s="8"/>
      <c r="CXP242" s="54"/>
      <c r="CXQ242" s="8"/>
      <c r="CXR242" s="54"/>
      <c r="CXS242" s="8"/>
      <c r="CXT242" s="54"/>
      <c r="CXU242" s="8"/>
      <c r="CXV242" s="54"/>
      <c r="CXW242" s="8"/>
      <c r="CXX242" s="54"/>
      <c r="CXY242" s="8"/>
      <c r="CXZ242" s="54"/>
      <c r="CYA242" s="8"/>
      <c r="CYB242" s="54"/>
      <c r="CYC242" s="8"/>
      <c r="CYD242" s="54"/>
      <c r="CYE242" s="8"/>
      <c r="CYF242" s="54"/>
      <c r="CYG242" s="8"/>
      <c r="CYH242" s="54"/>
      <c r="CYI242" s="8"/>
      <c r="CYJ242" s="54"/>
      <c r="CYK242" s="8"/>
      <c r="CYL242" s="54"/>
      <c r="CYM242" s="8"/>
      <c r="CYN242" s="54"/>
      <c r="CYO242" s="8"/>
      <c r="CYP242" s="54"/>
      <c r="CYQ242" s="8"/>
      <c r="CYR242" s="54"/>
      <c r="CYS242" s="8"/>
      <c r="CYT242" s="54"/>
      <c r="CYU242" s="8"/>
      <c r="CYV242" s="54"/>
      <c r="CYW242" s="8"/>
      <c r="CYX242" s="54"/>
      <c r="CYY242" s="8"/>
      <c r="CYZ242" s="54"/>
      <c r="CZA242" s="8"/>
      <c r="CZB242" s="54"/>
      <c r="CZC242" s="8"/>
      <c r="CZD242" s="54"/>
      <c r="CZE242" s="8"/>
      <c r="CZF242" s="54"/>
      <c r="CZG242" s="8"/>
      <c r="CZH242" s="54"/>
      <c r="CZI242" s="8"/>
      <c r="CZJ242" s="54"/>
      <c r="CZK242" s="8"/>
      <c r="CZL242" s="54"/>
      <c r="CZM242" s="8"/>
      <c r="CZN242" s="54"/>
      <c r="CZO242" s="8"/>
      <c r="CZP242" s="54"/>
      <c r="CZQ242" s="8"/>
      <c r="CZR242" s="54"/>
      <c r="CZS242" s="8"/>
      <c r="CZT242" s="54"/>
      <c r="CZU242" s="8"/>
      <c r="CZV242" s="54"/>
      <c r="CZW242" s="8"/>
      <c r="CZX242" s="54"/>
      <c r="CZY242" s="8"/>
      <c r="CZZ242" s="54"/>
      <c r="DAA242" s="8"/>
      <c r="DAB242" s="54"/>
      <c r="DAC242" s="8"/>
      <c r="DAD242" s="54"/>
      <c r="DAE242" s="8"/>
      <c r="DAF242" s="54"/>
      <c r="DAG242" s="8"/>
      <c r="DAH242" s="54"/>
      <c r="DAI242" s="8"/>
      <c r="DAJ242" s="54"/>
      <c r="DAK242" s="8"/>
      <c r="DAL242" s="54"/>
      <c r="DAM242" s="8"/>
      <c r="DAN242" s="54"/>
      <c r="DAO242" s="8"/>
      <c r="DAP242" s="54"/>
      <c r="DAQ242" s="8"/>
      <c r="DAR242" s="54"/>
      <c r="DAS242" s="8"/>
      <c r="DAT242" s="54"/>
      <c r="DAU242" s="8"/>
      <c r="DAV242" s="54"/>
      <c r="DAW242" s="8"/>
      <c r="DAX242" s="54"/>
      <c r="DAY242" s="8"/>
      <c r="DAZ242" s="54"/>
      <c r="DBA242" s="8"/>
      <c r="DBB242" s="54"/>
      <c r="DBC242" s="8"/>
      <c r="DBD242" s="54"/>
      <c r="DBE242" s="8"/>
      <c r="DBF242" s="54"/>
      <c r="DBG242" s="8"/>
      <c r="DBH242" s="54"/>
      <c r="DBI242" s="8"/>
      <c r="DBJ242" s="54"/>
      <c r="DBK242" s="8"/>
      <c r="DBL242" s="54"/>
      <c r="DBM242" s="8"/>
      <c r="DBN242" s="54"/>
      <c r="DBO242" s="8"/>
      <c r="DBP242" s="54"/>
      <c r="DBQ242" s="8"/>
      <c r="DBR242" s="54"/>
      <c r="DBS242" s="8"/>
      <c r="DBT242" s="54"/>
      <c r="DBU242" s="8"/>
      <c r="DBV242" s="54"/>
      <c r="DBW242" s="8"/>
      <c r="DBX242" s="54"/>
      <c r="DBY242" s="8"/>
      <c r="DBZ242" s="54"/>
      <c r="DCA242" s="8"/>
      <c r="DCB242" s="54"/>
      <c r="DCC242" s="8"/>
      <c r="DCD242" s="54"/>
      <c r="DCE242" s="8"/>
      <c r="DCF242" s="54"/>
      <c r="DCG242" s="8"/>
      <c r="DCH242" s="54"/>
      <c r="DCI242" s="8"/>
      <c r="DCJ242" s="54"/>
      <c r="DCK242" s="8"/>
      <c r="DCL242" s="54"/>
      <c r="DCM242" s="8"/>
      <c r="DCN242" s="54"/>
      <c r="DCO242" s="8"/>
      <c r="DCP242" s="54"/>
      <c r="DCQ242" s="8"/>
      <c r="DCR242" s="54"/>
      <c r="DCS242" s="8"/>
      <c r="DCT242" s="54"/>
      <c r="DCU242" s="8"/>
      <c r="DCV242" s="54"/>
      <c r="DCW242" s="8"/>
      <c r="DCX242" s="54"/>
      <c r="DCY242" s="8"/>
      <c r="DCZ242" s="54"/>
      <c r="DDA242" s="8"/>
      <c r="DDB242" s="54"/>
      <c r="DDC242" s="8"/>
      <c r="DDD242" s="54"/>
      <c r="DDE242" s="8"/>
      <c r="DDF242" s="54"/>
      <c r="DDG242" s="8"/>
      <c r="DDH242" s="54"/>
      <c r="DDI242" s="8"/>
      <c r="DDJ242" s="54"/>
      <c r="DDK242" s="8"/>
      <c r="DDL242" s="54"/>
      <c r="DDM242" s="8"/>
      <c r="DDN242" s="54"/>
      <c r="DDO242" s="8"/>
      <c r="DDP242" s="54"/>
      <c r="DDQ242" s="8"/>
      <c r="DDR242" s="54"/>
      <c r="DDS242" s="8"/>
      <c r="DDT242" s="54"/>
      <c r="DDU242" s="8"/>
      <c r="DDV242" s="54"/>
      <c r="DDW242" s="8"/>
      <c r="DDX242" s="54"/>
      <c r="DDY242" s="8"/>
      <c r="DDZ242" s="54"/>
      <c r="DEA242" s="8"/>
      <c r="DEB242" s="54"/>
      <c r="DEC242" s="8"/>
      <c r="DED242" s="54"/>
      <c r="DEE242" s="8"/>
      <c r="DEF242" s="54"/>
      <c r="DEG242" s="8"/>
      <c r="DEH242" s="54"/>
      <c r="DEI242" s="8"/>
      <c r="DEJ242" s="54"/>
      <c r="DEK242" s="8"/>
      <c r="DEL242" s="54"/>
      <c r="DEM242" s="8"/>
      <c r="DEN242" s="54"/>
      <c r="DEO242" s="8"/>
      <c r="DEP242" s="54"/>
      <c r="DEQ242" s="8"/>
      <c r="DER242" s="54"/>
      <c r="DES242" s="8"/>
      <c r="DET242" s="54"/>
      <c r="DEU242" s="8"/>
      <c r="DEV242" s="54"/>
      <c r="DEW242" s="8"/>
      <c r="DEX242" s="54"/>
      <c r="DEY242" s="8"/>
      <c r="DEZ242" s="54"/>
      <c r="DFA242" s="8"/>
      <c r="DFB242" s="54"/>
      <c r="DFC242" s="8"/>
      <c r="DFD242" s="54"/>
      <c r="DFE242" s="8"/>
      <c r="DFF242" s="54"/>
      <c r="DFG242" s="8"/>
      <c r="DFH242" s="54"/>
      <c r="DFI242" s="8"/>
      <c r="DFJ242" s="54"/>
      <c r="DFK242" s="8"/>
      <c r="DFL242" s="54"/>
      <c r="DFM242" s="8"/>
      <c r="DFN242" s="54"/>
      <c r="DFO242" s="8"/>
      <c r="DFP242" s="54"/>
      <c r="DFQ242" s="8"/>
      <c r="DFR242" s="54"/>
      <c r="DFS242" s="8"/>
      <c r="DFT242" s="54"/>
      <c r="DFU242" s="8"/>
      <c r="DFV242" s="54"/>
      <c r="DFW242" s="8"/>
      <c r="DFX242" s="54"/>
      <c r="DFY242" s="8"/>
      <c r="DFZ242" s="54"/>
      <c r="DGA242" s="8"/>
      <c r="DGB242" s="54"/>
      <c r="DGC242" s="8"/>
      <c r="DGD242" s="54"/>
      <c r="DGE242" s="8"/>
      <c r="DGF242" s="54"/>
      <c r="DGG242" s="8"/>
      <c r="DGH242" s="54"/>
      <c r="DGI242" s="8"/>
      <c r="DGJ242" s="54"/>
      <c r="DGK242" s="8"/>
      <c r="DGL242" s="54"/>
      <c r="DGM242" s="8"/>
      <c r="DGN242" s="54"/>
      <c r="DGO242" s="8"/>
      <c r="DGP242" s="54"/>
      <c r="DGQ242" s="8"/>
      <c r="DGR242" s="54"/>
      <c r="DGS242" s="8"/>
      <c r="DGT242" s="54"/>
      <c r="DGU242" s="8"/>
      <c r="DGV242" s="54"/>
      <c r="DGW242" s="8"/>
      <c r="DGX242" s="54"/>
      <c r="DGY242" s="8"/>
      <c r="DGZ242" s="54"/>
      <c r="DHA242" s="8"/>
      <c r="DHB242" s="54"/>
      <c r="DHC242" s="8"/>
      <c r="DHD242" s="54"/>
      <c r="DHE242" s="8"/>
      <c r="DHF242" s="54"/>
      <c r="DHG242" s="8"/>
      <c r="DHH242" s="54"/>
      <c r="DHI242" s="8"/>
      <c r="DHJ242" s="54"/>
      <c r="DHK242" s="8"/>
      <c r="DHL242" s="54"/>
      <c r="DHM242" s="8"/>
      <c r="DHN242" s="54"/>
      <c r="DHO242" s="8"/>
      <c r="DHP242" s="54"/>
      <c r="DHQ242" s="8"/>
      <c r="DHR242" s="54"/>
      <c r="DHS242" s="8"/>
      <c r="DHT242" s="54"/>
      <c r="DHU242" s="8"/>
      <c r="DHV242" s="54"/>
      <c r="DHW242" s="8"/>
      <c r="DHX242" s="54"/>
      <c r="DHY242" s="8"/>
      <c r="DHZ242" s="54"/>
      <c r="DIA242" s="8"/>
      <c r="DIB242" s="54"/>
      <c r="DIC242" s="8"/>
      <c r="DID242" s="54"/>
      <c r="DIE242" s="8"/>
      <c r="DIF242" s="54"/>
      <c r="DIG242" s="8"/>
      <c r="DIH242" s="54"/>
      <c r="DII242" s="8"/>
      <c r="DIJ242" s="54"/>
      <c r="DIK242" s="8"/>
      <c r="DIL242" s="54"/>
      <c r="DIM242" s="8"/>
      <c r="DIN242" s="54"/>
      <c r="DIO242" s="8"/>
      <c r="DIP242" s="54"/>
      <c r="DIQ242" s="8"/>
      <c r="DIR242" s="54"/>
      <c r="DIS242" s="8"/>
      <c r="DIT242" s="54"/>
      <c r="DIU242" s="8"/>
      <c r="DIV242" s="54"/>
      <c r="DIW242" s="8"/>
      <c r="DIX242" s="54"/>
      <c r="DIY242" s="8"/>
      <c r="DIZ242" s="54"/>
      <c r="DJA242" s="8"/>
      <c r="DJB242" s="54"/>
      <c r="DJC242" s="8"/>
      <c r="DJD242" s="54"/>
      <c r="DJE242" s="8"/>
      <c r="DJF242" s="54"/>
      <c r="DJG242" s="8"/>
      <c r="DJH242" s="54"/>
      <c r="DJI242" s="8"/>
      <c r="DJJ242" s="54"/>
      <c r="DJK242" s="8"/>
      <c r="DJL242" s="54"/>
      <c r="DJM242" s="8"/>
      <c r="DJN242" s="54"/>
      <c r="DJO242" s="8"/>
      <c r="DJP242" s="54"/>
      <c r="DJQ242" s="8"/>
      <c r="DJR242" s="54"/>
      <c r="DJS242" s="8"/>
      <c r="DJT242" s="54"/>
      <c r="DJU242" s="8"/>
      <c r="DJV242" s="54"/>
      <c r="DJW242" s="8"/>
      <c r="DJX242" s="54"/>
      <c r="DJY242" s="8"/>
      <c r="DJZ242" s="54"/>
      <c r="DKA242" s="8"/>
      <c r="DKB242" s="54"/>
      <c r="DKC242" s="8"/>
      <c r="DKD242" s="54"/>
      <c r="DKE242" s="8"/>
      <c r="DKF242" s="54"/>
      <c r="DKG242" s="8"/>
      <c r="DKH242" s="54"/>
      <c r="DKI242" s="8"/>
      <c r="DKJ242" s="54"/>
      <c r="DKK242" s="8"/>
      <c r="DKL242" s="54"/>
      <c r="DKM242" s="8"/>
      <c r="DKN242" s="54"/>
      <c r="DKO242" s="8"/>
      <c r="DKP242" s="54"/>
      <c r="DKQ242" s="8"/>
      <c r="DKR242" s="54"/>
      <c r="DKS242" s="8"/>
      <c r="DKT242" s="54"/>
      <c r="DKU242" s="8"/>
      <c r="DKV242" s="54"/>
      <c r="DKW242" s="8"/>
      <c r="DKX242" s="54"/>
      <c r="DKY242" s="8"/>
      <c r="DKZ242" s="54"/>
      <c r="DLA242" s="8"/>
      <c r="DLB242" s="54"/>
      <c r="DLC242" s="8"/>
      <c r="DLD242" s="54"/>
      <c r="DLE242" s="8"/>
      <c r="DLF242" s="54"/>
      <c r="DLG242" s="8"/>
      <c r="DLH242" s="54"/>
      <c r="DLI242" s="8"/>
      <c r="DLJ242" s="54"/>
      <c r="DLK242" s="8"/>
      <c r="DLL242" s="54"/>
      <c r="DLM242" s="8"/>
      <c r="DLN242" s="54"/>
      <c r="DLO242" s="8"/>
      <c r="DLP242" s="54"/>
      <c r="DLQ242" s="8"/>
      <c r="DLR242" s="54"/>
      <c r="DLS242" s="8"/>
      <c r="DLT242" s="54"/>
      <c r="DLU242" s="8"/>
      <c r="DLV242" s="54"/>
      <c r="DLW242" s="8"/>
      <c r="DLX242" s="54"/>
      <c r="DLY242" s="8"/>
      <c r="DLZ242" s="54"/>
      <c r="DMA242" s="8"/>
      <c r="DMB242" s="54"/>
      <c r="DMC242" s="8"/>
      <c r="DMD242" s="54"/>
      <c r="DME242" s="8"/>
      <c r="DMF242" s="54"/>
      <c r="DMG242" s="8"/>
      <c r="DMH242" s="54"/>
      <c r="DMI242" s="8"/>
      <c r="DMJ242" s="54"/>
      <c r="DMK242" s="8"/>
      <c r="DML242" s="54"/>
      <c r="DMM242" s="8"/>
      <c r="DMN242" s="54"/>
      <c r="DMO242" s="8"/>
      <c r="DMP242" s="54"/>
      <c r="DMQ242" s="8"/>
      <c r="DMR242" s="54"/>
      <c r="DMS242" s="8"/>
      <c r="DMT242" s="54"/>
      <c r="DMU242" s="8"/>
      <c r="DMV242" s="54"/>
      <c r="DMW242" s="8"/>
      <c r="DMX242" s="54"/>
      <c r="DMY242" s="8"/>
      <c r="DMZ242" s="54"/>
      <c r="DNA242" s="8"/>
      <c r="DNB242" s="54"/>
      <c r="DNC242" s="8"/>
      <c r="DND242" s="54"/>
      <c r="DNE242" s="8"/>
      <c r="DNF242" s="54"/>
      <c r="DNG242" s="8"/>
      <c r="DNH242" s="54"/>
      <c r="DNI242" s="8"/>
      <c r="DNJ242" s="54"/>
      <c r="DNK242" s="8"/>
      <c r="DNL242" s="54"/>
      <c r="DNM242" s="8"/>
      <c r="DNN242" s="54"/>
      <c r="DNO242" s="8"/>
      <c r="DNP242" s="54"/>
      <c r="DNQ242" s="8"/>
      <c r="DNR242" s="54"/>
      <c r="DNS242" s="8"/>
      <c r="DNT242" s="54"/>
      <c r="DNU242" s="8"/>
      <c r="DNV242" s="54"/>
      <c r="DNW242" s="8"/>
      <c r="DNX242" s="54"/>
      <c r="DNY242" s="8"/>
      <c r="DNZ242" s="54"/>
      <c r="DOA242" s="8"/>
      <c r="DOB242" s="54"/>
      <c r="DOC242" s="8"/>
      <c r="DOD242" s="54"/>
      <c r="DOE242" s="8"/>
      <c r="DOF242" s="54"/>
      <c r="DOG242" s="8"/>
      <c r="DOH242" s="54"/>
      <c r="DOI242" s="8"/>
      <c r="DOJ242" s="54"/>
      <c r="DOK242" s="8"/>
      <c r="DOL242" s="54"/>
      <c r="DOM242" s="8"/>
      <c r="DON242" s="54"/>
      <c r="DOO242" s="8"/>
      <c r="DOP242" s="54"/>
      <c r="DOQ242" s="8"/>
      <c r="DOR242" s="54"/>
      <c r="DOS242" s="8"/>
      <c r="DOT242" s="54"/>
      <c r="DOU242" s="8"/>
      <c r="DOV242" s="54"/>
      <c r="DOW242" s="8"/>
      <c r="DOX242" s="54"/>
      <c r="DOY242" s="8"/>
      <c r="DOZ242" s="54"/>
      <c r="DPA242" s="8"/>
      <c r="DPB242" s="54"/>
      <c r="DPC242" s="8"/>
      <c r="DPD242" s="54"/>
      <c r="DPE242" s="8"/>
      <c r="DPF242" s="54"/>
      <c r="DPG242" s="8"/>
      <c r="DPH242" s="54"/>
      <c r="DPI242" s="8"/>
      <c r="DPJ242" s="54"/>
      <c r="DPK242" s="8"/>
      <c r="DPL242" s="54"/>
      <c r="DPM242" s="8"/>
      <c r="DPN242" s="54"/>
      <c r="DPO242" s="8"/>
      <c r="DPP242" s="54"/>
      <c r="DPQ242" s="8"/>
      <c r="DPR242" s="54"/>
      <c r="DPS242" s="8"/>
      <c r="DPT242" s="54"/>
      <c r="DPU242" s="8"/>
      <c r="DPV242" s="54"/>
      <c r="DPW242" s="8"/>
      <c r="DPX242" s="54"/>
      <c r="DPY242" s="8"/>
      <c r="DPZ242" s="54"/>
      <c r="DQA242" s="8"/>
      <c r="DQB242" s="54"/>
      <c r="DQC242" s="8"/>
      <c r="DQD242" s="54"/>
      <c r="DQE242" s="8"/>
      <c r="DQF242" s="54"/>
      <c r="DQG242" s="8"/>
      <c r="DQH242" s="54"/>
      <c r="DQI242" s="8"/>
      <c r="DQJ242" s="54"/>
      <c r="DQK242" s="8"/>
      <c r="DQL242" s="54"/>
      <c r="DQM242" s="8"/>
      <c r="DQN242" s="54"/>
      <c r="DQO242" s="8"/>
      <c r="DQP242" s="54"/>
      <c r="DQQ242" s="8"/>
      <c r="DQR242" s="54"/>
      <c r="DQS242" s="8"/>
      <c r="DQT242" s="54"/>
      <c r="DQU242" s="8"/>
      <c r="DQV242" s="54"/>
      <c r="DQW242" s="8"/>
      <c r="DQX242" s="54"/>
      <c r="DQY242" s="8"/>
      <c r="DQZ242" s="54"/>
      <c r="DRA242" s="8"/>
      <c r="DRB242" s="54"/>
      <c r="DRC242" s="8"/>
      <c r="DRD242" s="54"/>
      <c r="DRE242" s="8"/>
      <c r="DRF242" s="54"/>
      <c r="DRG242" s="8"/>
      <c r="DRH242" s="54"/>
      <c r="DRI242" s="8"/>
      <c r="DRJ242" s="54"/>
      <c r="DRK242" s="8"/>
      <c r="DRL242" s="54"/>
      <c r="DRM242" s="8"/>
      <c r="DRN242" s="54"/>
      <c r="DRO242" s="8"/>
      <c r="DRP242" s="54"/>
      <c r="DRQ242" s="8"/>
      <c r="DRR242" s="54"/>
      <c r="DRS242" s="8"/>
      <c r="DRT242" s="54"/>
      <c r="DRU242" s="8"/>
      <c r="DRV242" s="54"/>
      <c r="DRW242" s="8"/>
      <c r="DRX242" s="54"/>
      <c r="DRY242" s="8"/>
      <c r="DRZ242" s="54"/>
      <c r="DSA242" s="8"/>
      <c r="DSB242" s="54"/>
      <c r="DSC242" s="8"/>
      <c r="DSD242" s="54"/>
      <c r="DSE242" s="8"/>
      <c r="DSF242" s="54"/>
      <c r="DSG242" s="8"/>
      <c r="DSH242" s="54"/>
      <c r="DSI242" s="8"/>
      <c r="DSJ242" s="54"/>
      <c r="DSK242" s="8"/>
      <c r="DSL242" s="54"/>
      <c r="DSM242" s="8"/>
      <c r="DSN242" s="54"/>
      <c r="DSO242" s="8"/>
      <c r="DSP242" s="54"/>
      <c r="DSQ242" s="8"/>
      <c r="DSR242" s="54"/>
      <c r="DSS242" s="8"/>
      <c r="DST242" s="54"/>
      <c r="DSU242" s="8"/>
      <c r="DSV242" s="54"/>
      <c r="DSW242" s="8"/>
      <c r="DSX242" s="54"/>
      <c r="DSY242" s="8"/>
      <c r="DSZ242" s="54"/>
      <c r="DTA242" s="8"/>
      <c r="DTB242" s="54"/>
      <c r="DTC242" s="8"/>
      <c r="DTD242" s="54"/>
      <c r="DTE242" s="8"/>
      <c r="DTF242" s="54"/>
      <c r="DTG242" s="8"/>
      <c r="DTH242" s="54"/>
      <c r="DTI242" s="8"/>
      <c r="DTJ242" s="54"/>
      <c r="DTK242" s="8"/>
      <c r="DTL242" s="54"/>
      <c r="DTM242" s="8"/>
      <c r="DTN242" s="54"/>
      <c r="DTO242" s="8"/>
      <c r="DTP242" s="54"/>
      <c r="DTQ242" s="8"/>
      <c r="DTR242" s="54"/>
      <c r="DTS242" s="8"/>
      <c r="DTT242" s="54"/>
      <c r="DTU242" s="8"/>
      <c r="DTV242" s="54"/>
      <c r="DTW242" s="8"/>
      <c r="DTX242" s="54"/>
      <c r="DTY242" s="8"/>
      <c r="DTZ242" s="54"/>
      <c r="DUA242" s="8"/>
      <c r="DUB242" s="54"/>
      <c r="DUC242" s="8"/>
      <c r="DUD242" s="54"/>
      <c r="DUE242" s="8"/>
      <c r="DUF242" s="54"/>
      <c r="DUG242" s="8"/>
      <c r="DUH242" s="54"/>
      <c r="DUI242" s="8"/>
      <c r="DUJ242" s="54"/>
      <c r="DUK242" s="8"/>
      <c r="DUL242" s="54"/>
      <c r="DUM242" s="8"/>
      <c r="DUN242" s="54"/>
      <c r="DUO242" s="8"/>
      <c r="DUP242" s="54"/>
      <c r="DUQ242" s="8"/>
      <c r="DUR242" s="54"/>
      <c r="DUS242" s="8"/>
      <c r="DUT242" s="54"/>
      <c r="DUU242" s="8"/>
      <c r="DUV242" s="54"/>
      <c r="DUW242" s="8"/>
      <c r="DUX242" s="54"/>
      <c r="DUY242" s="8"/>
      <c r="DUZ242" s="54"/>
      <c r="DVA242" s="8"/>
      <c r="DVB242" s="54"/>
      <c r="DVC242" s="8"/>
      <c r="DVD242" s="54"/>
      <c r="DVE242" s="8"/>
      <c r="DVF242" s="54"/>
      <c r="DVG242" s="8"/>
      <c r="DVH242" s="54"/>
      <c r="DVI242" s="8"/>
      <c r="DVJ242" s="54"/>
      <c r="DVK242" s="8"/>
      <c r="DVL242" s="54"/>
      <c r="DVM242" s="8"/>
      <c r="DVN242" s="54"/>
      <c r="DVO242" s="8"/>
      <c r="DVP242" s="54"/>
      <c r="DVQ242" s="8"/>
      <c r="DVR242" s="54"/>
      <c r="DVS242" s="8"/>
      <c r="DVT242" s="54"/>
      <c r="DVU242" s="8"/>
      <c r="DVV242" s="54"/>
      <c r="DVW242" s="8"/>
      <c r="DVX242" s="54"/>
      <c r="DVY242" s="8"/>
      <c r="DVZ242" s="54"/>
      <c r="DWA242" s="8"/>
      <c r="DWB242" s="54"/>
      <c r="DWC242" s="8"/>
      <c r="DWD242" s="54"/>
      <c r="DWE242" s="8"/>
      <c r="DWF242" s="54"/>
      <c r="DWG242" s="8"/>
      <c r="DWH242" s="54"/>
      <c r="DWI242" s="8"/>
      <c r="DWJ242" s="54"/>
      <c r="DWK242" s="8"/>
      <c r="DWL242" s="54"/>
      <c r="DWM242" s="8"/>
      <c r="DWN242" s="54"/>
      <c r="DWO242" s="8"/>
      <c r="DWP242" s="54"/>
      <c r="DWQ242" s="8"/>
      <c r="DWR242" s="54"/>
      <c r="DWS242" s="8"/>
      <c r="DWT242" s="54"/>
      <c r="DWU242" s="8"/>
      <c r="DWV242" s="54"/>
      <c r="DWW242" s="8"/>
      <c r="DWX242" s="54"/>
      <c r="DWY242" s="8"/>
      <c r="DWZ242" s="54"/>
      <c r="DXA242" s="8"/>
      <c r="DXB242" s="54"/>
      <c r="DXC242" s="8"/>
      <c r="DXD242" s="54"/>
      <c r="DXE242" s="8"/>
      <c r="DXF242" s="54"/>
      <c r="DXG242" s="8"/>
      <c r="DXH242" s="54"/>
      <c r="DXI242" s="8"/>
      <c r="DXJ242" s="54"/>
      <c r="DXK242" s="8"/>
      <c r="DXL242" s="54"/>
      <c r="DXM242" s="8"/>
      <c r="DXN242" s="54"/>
      <c r="DXO242" s="8"/>
      <c r="DXP242" s="54"/>
      <c r="DXQ242" s="8"/>
      <c r="DXR242" s="54"/>
      <c r="DXS242" s="8"/>
      <c r="DXT242" s="54"/>
      <c r="DXU242" s="8"/>
      <c r="DXV242" s="54"/>
      <c r="DXW242" s="8"/>
      <c r="DXX242" s="54"/>
      <c r="DXY242" s="8"/>
      <c r="DXZ242" s="54"/>
      <c r="DYA242" s="8"/>
      <c r="DYB242" s="54"/>
      <c r="DYC242" s="8"/>
      <c r="DYD242" s="54"/>
      <c r="DYE242" s="8"/>
      <c r="DYF242" s="54"/>
      <c r="DYG242" s="8"/>
      <c r="DYH242" s="54"/>
      <c r="DYI242" s="8"/>
      <c r="DYJ242" s="54"/>
      <c r="DYK242" s="8"/>
      <c r="DYL242" s="54"/>
      <c r="DYM242" s="8"/>
      <c r="DYN242" s="54"/>
      <c r="DYO242" s="8"/>
      <c r="DYP242" s="54"/>
      <c r="DYQ242" s="8"/>
      <c r="DYR242" s="54"/>
      <c r="DYS242" s="8"/>
      <c r="DYT242" s="54"/>
      <c r="DYU242" s="8"/>
      <c r="DYV242" s="54"/>
      <c r="DYW242" s="8"/>
      <c r="DYX242" s="54"/>
      <c r="DYY242" s="8"/>
      <c r="DYZ242" s="54"/>
      <c r="DZA242" s="8"/>
      <c r="DZB242" s="54"/>
      <c r="DZC242" s="8"/>
      <c r="DZD242" s="54"/>
      <c r="DZE242" s="8"/>
      <c r="DZF242" s="54"/>
      <c r="DZG242" s="8"/>
      <c r="DZH242" s="54"/>
      <c r="DZI242" s="8"/>
      <c r="DZJ242" s="54"/>
      <c r="DZK242" s="8"/>
      <c r="DZL242" s="54"/>
      <c r="DZM242" s="8"/>
      <c r="DZN242" s="54"/>
      <c r="DZO242" s="8"/>
      <c r="DZP242" s="54"/>
      <c r="DZQ242" s="8"/>
      <c r="DZR242" s="54"/>
      <c r="DZS242" s="8"/>
      <c r="DZT242" s="54"/>
      <c r="DZU242" s="8"/>
      <c r="DZV242" s="54"/>
      <c r="DZW242" s="8"/>
      <c r="DZX242" s="54"/>
      <c r="DZY242" s="8"/>
      <c r="DZZ242" s="54"/>
      <c r="EAA242" s="8"/>
      <c r="EAB242" s="54"/>
      <c r="EAC242" s="8"/>
      <c r="EAD242" s="54"/>
      <c r="EAE242" s="8"/>
      <c r="EAF242" s="54"/>
      <c r="EAG242" s="8"/>
      <c r="EAH242" s="54"/>
      <c r="EAI242" s="8"/>
      <c r="EAJ242" s="54"/>
      <c r="EAK242" s="8"/>
      <c r="EAL242" s="54"/>
      <c r="EAM242" s="8"/>
      <c r="EAN242" s="54"/>
      <c r="EAO242" s="8"/>
      <c r="EAP242" s="54"/>
      <c r="EAQ242" s="8"/>
      <c r="EAR242" s="54"/>
      <c r="EAS242" s="8"/>
      <c r="EAT242" s="54"/>
      <c r="EAU242" s="8"/>
      <c r="EAV242" s="54"/>
      <c r="EAW242" s="8"/>
      <c r="EAX242" s="54"/>
      <c r="EAY242" s="8"/>
      <c r="EAZ242" s="54"/>
      <c r="EBA242" s="8"/>
      <c r="EBB242" s="54"/>
      <c r="EBC242" s="8"/>
      <c r="EBD242" s="54"/>
      <c r="EBE242" s="8"/>
      <c r="EBF242" s="54"/>
      <c r="EBG242" s="8"/>
      <c r="EBH242" s="54"/>
      <c r="EBI242" s="8"/>
      <c r="EBJ242" s="54"/>
      <c r="EBK242" s="8"/>
      <c r="EBL242" s="54"/>
      <c r="EBM242" s="8"/>
      <c r="EBN242" s="54"/>
      <c r="EBO242" s="8"/>
      <c r="EBP242" s="54"/>
      <c r="EBQ242" s="8"/>
      <c r="EBR242" s="54"/>
      <c r="EBS242" s="8"/>
      <c r="EBT242" s="54"/>
      <c r="EBU242" s="8"/>
      <c r="EBV242" s="54"/>
      <c r="EBW242" s="8"/>
      <c r="EBX242" s="54"/>
      <c r="EBY242" s="8"/>
      <c r="EBZ242" s="54"/>
      <c r="ECA242" s="8"/>
      <c r="ECB242" s="54"/>
      <c r="ECC242" s="8"/>
      <c r="ECD242" s="54"/>
      <c r="ECE242" s="8"/>
      <c r="ECF242" s="54"/>
      <c r="ECG242" s="8"/>
      <c r="ECH242" s="54"/>
      <c r="ECI242" s="8"/>
      <c r="ECJ242" s="54"/>
      <c r="ECK242" s="8"/>
      <c r="ECL242" s="54"/>
      <c r="ECM242" s="8"/>
      <c r="ECN242" s="54"/>
      <c r="ECO242" s="8"/>
      <c r="ECP242" s="54"/>
      <c r="ECQ242" s="8"/>
      <c r="ECR242" s="54"/>
      <c r="ECS242" s="8"/>
      <c r="ECT242" s="54"/>
      <c r="ECU242" s="8"/>
      <c r="ECV242" s="54"/>
      <c r="ECW242" s="8"/>
      <c r="ECX242" s="54"/>
      <c r="ECY242" s="8"/>
      <c r="ECZ242" s="54"/>
      <c r="EDA242" s="8"/>
      <c r="EDB242" s="54"/>
      <c r="EDC242" s="8"/>
      <c r="EDD242" s="54"/>
      <c r="EDE242" s="8"/>
      <c r="EDF242" s="54"/>
      <c r="EDG242" s="8"/>
      <c r="EDH242" s="54"/>
      <c r="EDI242" s="8"/>
      <c r="EDJ242" s="54"/>
      <c r="EDK242" s="8"/>
      <c r="EDL242" s="54"/>
      <c r="EDM242" s="8"/>
      <c r="EDN242" s="54"/>
      <c r="EDO242" s="8"/>
      <c r="EDP242" s="54"/>
      <c r="EDQ242" s="8"/>
      <c r="EDR242" s="54"/>
      <c r="EDS242" s="8"/>
      <c r="EDT242" s="54"/>
      <c r="EDU242" s="8"/>
      <c r="EDV242" s="54"/>
      <c r="EDW242" s="8"/>
      <c r="EDX242" s="54"/>
      <c r="EDY242" s="8"/>
      <c r="EDZ242" s="54"/>
      <c r="EEA242" s="8"/>
      <c r="EEB242" s="54"/>
      <c r="EEC242" s="8"/>
      <c r="EED242" s="54"/>
      <c r="EEE242" s="8"/>
      <c r="EEF242" s="54"/>
      <c r="EEG242" s="8"/>
      <c r="EEH242" s="54"/>
      <c r="EEI242" s="8"/>
      <c r="EEJ242" s="54"/>
      <c r="EEK242" s="8"/>
      <c r="EEL242" s="54"/>
      <c r="EEM242" s="8"/>
      <c r="EEN242" s="54"/>
      <c r="EEO242" s="8"/>
      <c r="EEP242" s="54"/>
      <c r="EEQ242" s="8"/>
      <c r="EER242" s="54"/>
      <c r="EES242" s="8"/>
      <c r="EET242" s="54"/>
      <c r="EEU242" s="8"/>
      <c r="EEV242" s="54"/>
      <c r="EEW242" s="8"/>
      <c r="EEX242" s="54"/>
      <c r="EEY242" s="8"/>
      <c r="EEZ242" s="54"/>
      <c r="EFA242" s="8"/>
      <c r="EFB242" s="54"/>
      <c r="EFC242" s="8"/>
      <c r="EFD242" s="54"/>
      <c r="EFE242" s="8"/>
      <c r="EFF242" s="54"/>
      <c r="EFG242" s="8"/>
      <c r="EFH242" s="54"/>
      <c r="EFI242" s="8"/>
      <c r="EFJ242" s="54"/>
      <c r="EFK242" s="8"/>
      <c r="EFL242" s="54"/>
      <c r="EFM242" s="8"/>
      <c r="EFN242" s="54"/>
      <c r="EFO242" s="8"/>
      <c r="EFP242" s="54"/>
      <c r="EFQ242" s="8"/>
      <c r="EFR242" s="54"/>
      <c r="EFS242" s="8"/>
      <c r="EFT242" s="54"/>
      <c r="EFU242" s="8"/>
      <c r="EFV242" s="54"/>
      <c r="EFW242" s="8"/>
      <c r="EFX242" s="54"/>
      <c r="EFY242" s="8"/>
      <c r="EFZ242" s="54"/>
      <c r="EGA242" s="8"/>
      <c r="EGB242" s="54"/>
      <c r="EGC242" s="8"/>
      <c r="EGD242" s="54"/>
      <c r="EGE242" s="8"/>
      <c r="EGF242" s="54"/>
      <c r="EGG242" s="8"/>
      <c r="EGH242" s="54"/>
      <c r="EGI242" s="8"/>
      <c r="EGJ242" s="54"/>
      <c r="EGK242" s="8"/>
      <c r="EGL242" s="54"/>
      <c r="EGM242" s="8"/>
      <c r="EGN242" s="54"/>
      <c r="EGO242" s="8"/>
      <c r="EGP242" s="54"/>
      <c r="EGQ242" s="8"/>
      <c r="EGR242" s="54"/>
      <c r="EGS242" s="8"/>
      <c r="EGT242" s="54"/>
      <c r="EGU242" s="8"/>
      <c r="EGV242" s="54"/>
      <c r="EGW242" s="8"/>
      <c r="EGX242" s="54"/>
      <c r="EGY242" s="8"/>
      <c r="EGZ242" s="54"/>
      <c r="EHA242" s="8"/>
      <c r="EHB242" s="54"/>
      <c r="EHC242" s="8"/>
      <c r="EHD242" s="54"/>
      <c r="EHE242" s="8"/>
      <c r="EHF242" s="54"/>
      <c r="EHG242" s="8"/>
      <c r="EHH242" s="54"/>
      <c r="EHI242" s="8"/>
      <c r="EHJ242" s="54"/>
      <c r="EHK242" s="8"/>
      <c r="EHL242" s="54"/>
      <c r="EHM242" s="8"/>
      <c r="EHN242" s="54"/>
      <c r="EHO242" s="8"/>
      <c r="EHP242" s="54"/>
      <c r="EHQ242" s="8"/>
      <c r="EHR242" s="54"/>
      <c r="EHS242" s="8"/>
      <c r="EHT242" s="54"/>
      <c r="EHU242" s="8"/>
      <c r="EHV242" s="54"/>
      <c r="EHW242" s="8"/>
      <c r="EHX242" s="54"/>
      <c r="EHY242" s="8"/>
      <c r="EHZ242" s="54"/>
      <c r="EIA242" s="8"/>
      <c r="EIB242" s="54"/>
      <c r="EIC242" s="8"/>
      <c r="EID242" s="54"/>
      <c r="EIE242" s="8"/>
      <c r="EIF242" s="54"/>
      <c r="EIG242" s="8"/>
      <c r="EIH242" s="54"/>
      <c r="EII242" s="8"/>
      <c r="EIJ242" s="54"/>
      <c r="EIK242" s="8"/>
      <c r="EIL242" s="54"/>
      <c r="EIM242" s="8"/>
      <c r="EIN242" s="54"/>
      <c r="EIO242" s="8"/>
      <c r="EIP242" s="54"/>
      <c r="EIQ242" s="8"/>
      <c r="EIR242" s="54"/>
      <c r="EIS242" s="8"/>
      <c r="EIT242" s="54"/>
      <c r="EIU242" s="8"/>
      <c r="EIV242" s="54"/>
      <c r="EIW242" s="8"/>
      <c r="EIX242" s="54"/>
      <c r="EIY242" s="8"/>
      <c r="EIZ242" s="54"/>
      <c r="EJA242" s="8"/>
      <c r="EJB242" s="54"/>
      <c r="EJC242" s="8"/>
      <c r="EJD242" s="54"/>
      <c r="EJE242" s="8"/>
      <c r="EJF242" s="54"/>
      <c r="EJG242" s="8"/>
      <c r="EJH242" s="54"/>
      <c r="EJI242" s="8"/>
      <c r="EJJ242" s="54"/>
      <c r="EJK242" s="8"/>
      <c r="EJL242" s="54"/>
      <c r="EJM242" s="8"/>
      <c r="EJN242" s="54"/>
      <c r="EJO242" s="8"/>
      <c r="EJP242" s="54"/>
      <c r="EJQ242" s="8"/>
      <c r="EJR242" s="54"/>
      <c r="EJS242" s="8"/>
      <c r="EJT242" s="54"/>
      <c r="EJU242" s="8"/>
      <c r="EJV242" s="54"/>
      <c r="EJW242" s="8"/>
      <c r="EJX242" s="54"/>
      <c r="EJY242" s="8"/>
      <c r="EJZ242" s="54"/>
      <c r="EKA242" s="8"/>
      <c r="EKB242" s="54"/>
      <c r="EKC242" s="8"/>
      <c r="EKD242" s="54"/>
      <c r="EKE242" s="8"/>
      <c r="EKF242" s="54"/>
      <c r="EKG242" s="8"/>
      <c r="EKH242" s="54"/>
      <c r="EKI242" s="8"/>
      <c r="EKJ242" s="54"/>
      <c r="EKK242" s="8"/>
      <c r="EKL242" s="54"/>
      <c r="EKM242" s="8"/>
      <c r="EKN242" s="54"/>
      <c r="EKO242" s="8"/>
      <c r="EKP242" s="54"/>
      <c r="EKQ242" s="8"/>
      <c r="EKR242" s="54"/>
      <c r="EKS242" s="8"/>
      <c r="EKT242" s="54"/>
      <c r="EKU242" s="8"/>
      <c r="EKV242" s="54"/>
      <c r="EKW242" s="8"/>
      <c r="EKX242" s="54"/>
      <c r="EKY242" s="8"/>
      <c r="EKZ242" s="54"/>
      <c r="ELA242" s="8"/>
      <c r="ELB242" s="54"/>
      <c r="ELC242" s="8"/>
      <c r="ELD242" s="54"/>
      <c r="ELE242" s="8"/>
      <c r="ELF242" s="54"/>
      <c r="ELG242" s="8"/>
      <c r="ELH242" s="54"/>
      <c r="ELI242" s="8"/>
      <c r="ELJ242" s="54"/>
      <c r="ELK242" s="8"/>
      <c r="ELL242" s="54"/>
      <c r="ELM242" s="8"/>
      <c r="ELN242" s="54"/>
      <c r="ELO242" s="8"/>
      <c r="ELP242" s="54"/>
      <c r="ELQ242" s="8"/>
      <c r="ELR242" s="54"/>
      <c r="ELS242" s="8"/>
      <c r="ELT242" s="54"/>
      <c r="ELU242" s="8"/>
      <c r="ELV242" s="54"/>
      <c r="ELW242" s="8"/>
      <c r="ELX242" s="54"/>
      <c r="ELY242" s="8"/>
      <c r="ELZ242" s="54"/>
      <c r="EMA242" s="8"/>
      <c r="EMB242" s="54"/>
      <c r="EMC242" s="8"/>
      <c r="EMD242" s="54"/>
      <c r="EME242" s="8"/>
      <c r="EMF242" s="54"/>
      <c r="EMG242" s="8"/>
      <c r="EMH242" s="54"/>
      <c r="EMI242" s="8"/>
      <c r="EMJ242" s="54"/>
      <c r="EMK242" s="8"/>
      <c r="EML242" s="54"/>
      <c r="EMM242" s="8"/>
      <c r="EMN242" s="54"/>
      <c r="EMO242" s="8"/>
      <c r="EMP242" s="54"/>
      <c r="EMQ242" s="8"/>
      <c r="EMR242" s="54"/>
      <c r="EMS242" s="8"/>
      <c r="EMT242" s="54"/>
      <c r="EMU242" s="8"/>
      <c r="EMV242" s="54"/>
      <c r="EMW242" s="8"/>
      <c r="EMX242" s="54"/>
      <c r="EMY242" s="8"/>
      <c r="EMZ242" s="54"/>
      <c r="ENA242" s="8"/>
      <c r="ENB242" s="54"/>
      <c r="ENC242" s="8"/>
      <c r="END242" s="54"/>
      <c r="ENE242" s="8"/>
      <c r="ENF242" s="54"/>
      <c r="ENG242" s="8"/>
      <c r="ENH242" s="54"/>
      <c r="ENI242" s="8"/>
      <c r="ENJ242" s="54"/>
      <c r="ENK242" s="8"/>
      <c r="ENL242" s="54"/>
      <c r="ENM242" s="8"/>
      <c r="ENN242" s="54"/>
      <c r="ENO242" s="8"/>
      <c r="ENP242" s="54"/>
      <c r="ENQ242" s="8"/>
      <c r="ENR242" s="54"/>
      <c r="ENS242" s="8"/>
      <c r="ENT242" s="54"/>
      <c r="ENU242" s="8"/>
      <c r="ENV242" s="54"/>
      <c r="ENW242" s="8"/>
      <c r="ENX242" s="54"/>
      <c r="ENY242" s="8"/>
      <c r="ENZ242" s="54"/>
      <c r="EOA242" s="8"/>
      <c r="EOB242" s="54"/>
      <c r="EOC242" s="8"/>
      <c r="EOD242" s="54"/>
      <c r="EOE242" s="8"/>
      <c r="EOF242" s="54"/>
      <c r="EOG242" s="8"/>
      <c r="EOH242" s="54"/>
      <c r="EOI242" s="8"/>
      <c r="EOJ242" s="54"/>
      <c r="EOK242" s="8"/>
      <c r="EOL242" s="54"/>
      <c r="EOM242" s="8"/>
      <c r="EON242" s="54"/>
      <c r="EOO242" s="8"/>
      <c r="EOP242" s="54"/>
      <c r="EOQ242" s="8"/>
      <c r="EOR242" s="54"/>
      <c r="EOS242" s="8"/>
      <c r="EOT242" s="54"/>
      <c r="EOU242" s="8"/>
      <c r="EOV242" s="54"/>
      <c r="EOW242" s="8"/>
      <c r="EOX242" s="54"/>
      <c r="EOY242" s="8"/>
      <c r="EOZ242" s="54"/>
      <c r="EPA242" s="8"/>
      <c r="EPB242" s="54"/>
      <c r="EPC242" s="8"/>
      <c r="EPD242" s="54"/>
      <c r="EPE242" s="8"/>
      <c r="EPF242" s="54"/>
      <c r="EPG242" s="8"/>
      <c r="EPH242" s="54"/>
      <c r="EPI242" s="8"/>
      <c r="EPJ242" s="54"/>
      <c r="EPK242" s="8"/>
      <c r="EPL242" s="54"/>
      <c r="EPM242" s="8"/>
      <c r="EPN242" s="54"/>
      <c r="EPO242" s="8"/>
      <c r="EPP242" s="54"/>
      <c r="EPQ242" s="8"/>
      <c r="EPR242" s="54"/>
      <c r="EPS242" s="8"/>
      <c r="EPT242" s="54"/>
      <c r="EPU242" s="8"/>
      <c r="EPV242" s="54"/>
      <c r="EPW242" s="8"/>
      <c r="EPX242" s="54"/>
      <c r="EPY242" s="8"/>
      <c r="EPZ242" s="54"/>
      <c r="EQA242" s="8"/>
      <c r="EQB242" s="54"/>
      <c r="EQC242" s="8"/>
      <c r="EQD242" s="54"/>
      <c r="EQE242" s="8"/>
      <c r="EQF242" s="54"/>
      <c r="EQG242" s="8"/>
      <c r="EQH242" s="54"/>
      <c r="EQI242" s="8"/>
      <c r="EQJ242" s="54"/>
      <c r="EQK242" s="8"/>
      <c r="EQL242" s="54"/>
      <c r="EQM242" s="8"/>
      <c r="EQN242" s="54"/>
      <c r="EQO242" s="8"/>
      <c r="EQP242" s="54"/>
      <c r="EQQ242" s="8"/>
      <c r="EQR242" s="54"/>
      <c r="EQS242" s="8"/>
      <c r="EQT242" s="54"/>
      <c r="EQU242" s="8"/>
      <c r="EQV242" s="54"/>
      <c r="EQW242" s="8"/>
      <c r="EQX242" s="54"/>
      <c r="EQY242" s="8"/>
      <c r="EQZ242" s="54"/>
      <c r="ERA242" s="8"/>
      <c r="ERB242" s="54"/>
      <c r="ERC242" s="8"/>
      <c r="ERD242" s="54"/>
      <c r="ERE242" s="8"/>
      <c r="ERF242" s="54"/>
      <c r="ERG242" s="8"/>
      <c r="ERH242" s="54"/>
      <c r="ERI242" s="8"/>
      <c r="ERJ242" s="54"/>
      <c r="ERK242" s="8"/>
      <c r="ERL242" s="54"/>
      <c r="ERM242" s="8"/>
      <c r="ERN242" s="54"/>
      <c r="ERO242" s="8"/>
      <c r="ERP242" s="54"/>
      <c r="ERQ242" s="8"/>
      <c r="ERR242" s="54"/>
      <c r="ERS242" s="8"/>
      <c r="ERT242" s="54"/>
      <c r="ERU242" s="8"/>
      <c r="ERV242" s="54"/>
      <c r="ERW242" s="8"/>
      <c r="ERX242" s="54"/>
      <c r="ERY242" s="8"/>
      <c r="ERZ242" s="54"/>
      <c r="ESA242" s="8"/>
      <c r="ESB242" s="54"/>
      <c r="ESC242" s="8"/>
      <c r="ESD242" s="54"/>
      <c r="ESE242" s="8"/>
      <c r="ESF242" s="54"/>
      <c r="ESG242" s="8"/>
      <c r="ESH242" s="54"/>
      <c r="ESI242" s="8"/>
      <c r="ESJ242" s="54"/>
      <c r="ESK242" s="8"/>
      <c r="ESL242" s="54"/>
      <c r="ESM242" s="8"/>
      <c r="ESN242" s="54"/>
      <c r="ESO242" s="8"/>
      <c r="ESP242" s="54"/>
      <c r="ESQ242" s="8"/>
      <c r="ESR242" s="54"/>
      <c r="ESS242" s="8"/>
      <c r="EST242" s="54"/>
      <c r="ESU242" s="8"/>
      <c r="ESV242" s="54"/>
      <c r="ESW242" s="8"/>
      <c r="ESX242" s="54"/>
      <c r="ESY242" s="8"/>
      <c r="ESZ242" s="54"/>
      <c r="ETA242" s="8"/>
      <c r="ETB242" s="54"/>
      <c r="ETC242" s="8"/>
      <c r="ETD242" s="54"/>
      <c r="ETE242" s="8"/>
      <c r="ETF242" s="54"/>
      <c r="ETG242" s="8"/>
      <c r="ETH242" s="54"/>
      <c r="ETI242" s="8"/>
      <c r="ETJ242" s="54"/>
      <c r="ETK242" s="8"/>
      <c r="ETL242" s="54"/>
      <c r="ETM242" s="8"/>
      <c r="ETN242" s="54"/>
      <c r="ETO242" s="8"/>
      <c r="ETP242" s="54"/>
      <c r="ETQ242" s="8"/>
      <c r="ETR242" s="54"/>
      <c r="ETS242" s="8"/>
      <c r="ETT242" s="54"/>
      <c r="ETU242" s="8"/>
      <c r="ETV242" s="54"/>
      <c r="ETW242" s="8"/>
      <c r="ETX242" s="54"/>
      <c r="ETY242" s="8"/>
      <c r="ETZ242" s="54"/>
      <c r="EUA242" s="8"/>
      <c r="EUB242" s="54"/>
      <c r="EUC242" s="8"/>
      <c r="EUD242" s="54"/>
      <c r="EUE242" s="8"/>
      <c r="EUF242" s="54"/>
      <c r="EUG242" s="8"/>
      <c r="EUH242" s="54"/>
      <c r="EUI242" s="8"/>
      <c r="EUJ242" s="54"/>
      <c r="EUK242" s="8"/>
      <c r="EUL242" s="54"/>
      <c r="EUM242" s="8"/>
      <c r="EUN242" s="54"/>
      <c r="EUO242" s="8"/>
      <c r="EUP242" s="54"/>
      <c r="EUQ242" s="8"/>
      <c r="EUR242" s="54"/>
      <c r="EUS242" s="8"/>
      <c r="EUT242" s="54"/>
      <c r="EUU242" s="8"/>
      <c r="EUV242" s="54"/>
      <c r="EUW242" s="8"/>
      <c r="EUX242" s="54"/>
      <c r="EUY242" s="8"/>
      <c r="EUZ242" s="54"/>
      <c r="EVA242" s="8"/>
      <c r="EVB242" s="54"/>
      <c r="EVC242" s="8"/>
      <c r="EVD242" s="54"/>
      <c r="EVE242" s="8"/>
      <c r="EVF242" s="54"/>
      <c r="EVG242" s="8"/>
      <c r="EVH242" s="54"/>
      <c r="EVI242" s="8"/>
      <c r="EVJ242" s="54"/>
      <c r="EVK242" s="8"/>
      <c r="EVL242" s="54"/>
      <c r="EVM242" s="8"/>
      <c r="EVN242" s="54"/>
      <c r="EVO242" s="8"/>
      <c r="EVP242" s="54"/>
      <c r="EVQ242" s="8"/>
      <c r="EVR242" s="54"/>
      <c r="EVS242" s="8"/>
      <c r="EVT242" s="54"/>
      <c r="EVU242" s="8"/>
      <c r="EVV242" s="54"/>
      <c r="EVW242" s="8"/>
      <c r="EVX242" s="54"/>
      <c r="EVY242" s="8"/>
      <c r="EVZ242" s="54"/>
      <c r="EWA242" s="8"/>
      <c r="EWB242" s="54"/>
      <c r="EWC242" s="8"/>
      <c r="EWD242" s="54"/>
      <c r="EWE242" s="8"/>
      <c r="EWF242" s="54"/>
      <c r="EWG242" s="8"/>
      <c r="EWH242" s="54"/>
      <c r="EWI242" s="8"/>
      <c r="EWJ242" s="54"/>
      <c r="EWK242" s="8"/>
      <c r="EWL242" s="54"/>
      <c r="EWM242" s="8"/>
      <c r="EWN242" s="54"/>
      <c r="EWO242" s="8"/>
      <c r="EWP242" s="54"/>
      <c r="EWQ242" s="8"/>
      <c r="EWR242" s="54"/>
      <c r="EWS242" s="8"/>
      <c r="EWT242" s="54"/>
      <c r="EWU242" s="8"/>
      <c r="EWV242" s="54"/>
      <c r="EWW242" s="8"/>
      <c r="EWX242" s="54"/>
      <c r="EWY242" s="8"/>
      <c r="EWZ242" s="54"/>
      <c r="EXA242" s="8"/>
      <c r="EXB242" s="54"/>
      <c r="EXC242" s="8"/>
      <c r="EXD242" s="54"/>
      <c r="EXE242" s="8"/>
      <c r="EXF242" s="54"/>
      <c r="EXG242" s="8"/>
      <c r="EXH242" s="54"/>
      <c r="EXI242" s="8"/>
      <c r="EXJ242" s="54"/>
      <c r="EXK242" s="8"/>
      <c r="EXL242" s="54"/>
      <c r="EXM242" s="8"/>
      <c r="EXN242" s="54"/>
      <c r="EXO242" s="8"/>
      <c r="EXP242" s="54"/>
      <c r="EXQ242" s="8"/>
      <c r="EXR242" s="54"/>
      <c r="EXS242" s="8"/>
      <c r="EXT242" s="54"/>
      <c r="EXU242" s="8"/>
      <c r="EXV242" s="54"/>
      <c r="EXW242" s="8"/>
      <c r="EXX242" s="54"/>
      <c r="EXY242" s="8"/>
      <c r="EXZ242" s="54"/>
      <c r="EYA242" s="8"/>
      <c r="EYB242" s="54"/>
      <c r="EYC242" s="8"/>
      <c r="EYD242" s="54"/>
      <c r="EYE242" s="8"/>
      <c r="EYF242" s="54"/>
      <c r="EYG242" s="8"/>
      <c r="EYH242" s="54"/>
      <c r="EYI242" s="8"/>
      <c r="EYJ242" s="54"/>
      <c r="EYK242" s="8"/>
      <c r="EYL242" s="54"/>
      <c r="EYM242" s="8"/>
      <c r="EYN242" s="54"/>
      <c r="EYO242" s="8"/>
      <c r="EYP242" s="54"/>
      <c r="EYQ242" s="8"/>
      <c r="EYR242" s="54"/>
      <c r="EYS242" s="8"/>
      <c r="EYT242" s="54"/>
      <c r="EYU242" s="8"/>
      <c r="EYV242" s="54"/>
      <c r="EYW242" s="8"/>
      <c r="EYX242" s="54"/>
      <c r="EYY242" s="8"/>
      <c r="EYZ242" s="54"/>
      <c r="EZA242" s="8"/>
      <c r="EZB242" s="54"/>
      <c r="EZC242" s="8"/>
      <c r="EZD242" s="54"/>
      <c r="EZE242" s="8"/>
      <c r="EZF242" s="54"/>
      <c r="EZG242" s="8"/>
      <c r="EZH242" s="54"/>
      <c r="EZI242" s="8"/>
      <c r="EZJ242" s="54"/>
      <c r="EZK242" s="8"/>
      <c r="EZL242" s="54"/>
      <c r="EZM242" s="8"/>
      <c r="EZN242" s="54"/>
      <c r="EZO242" s="8"/>
      <c r="EZP242" s="54"/>
      <c r="EZQ242" s="8"/>
      <c r="EZR242" s="54"/>
      <c r="EZS242" s="8"/>
      <c r="EZT242" s="54"/>
      <c r="EZU242" s="8"/>
      <c r="EZV242" s="54"/>
      <c r="EZW242" s="8"/>
      <c r="EZX242" s="54"/>
      <c r="EZY242" s="8"/>
      <c r="EZZ242" s="54"/>
      <c r="FAA242" s="8"/>
      <c r="FAB242" s="54"/>
      <c r="FAC242" s="8"/>
      <c r="FAD242" s="54"/>
      <c r="FAE242" s="8"/>
      <c r="FAF242" s="54"/>
      <c r="FAG242" s="8"/>
      <c r="FAH242" s="54"/>
      <c r="FAI242" s="8"/>
      <c r="FAJ242" s="54"/>
      <c r="FAK242" s="8"/>
      <c r="FAL242" s="54"/>
      <c r="FAM242" s="8"/>
      <c r="FAN242" s="54"/>
      <c r="FAO242" s="8"/>
      <c r="FAP242" s="54"/>
      <c r="FAQ242" s="8"/>
      <c r="FAR242" s="54"/>
      <c r="FAS242" s="8"/>
      <c r="FAT242" s="54"/>
      <c r="FAU242" s="8"/>
      <c r="FAV242" s="54"/>
      <c r="FAW242" s="8"/>
      <c r="FAX242" s="54"/>
      <c r="FAY242" s="8"/>
      <c r="FAZ242" s="54"/>
      <c r="FBA242" s="8"/>
      <c r="FBB242" s="54"/>
      <c r="FBC242" s="8"/>
      <c r="FBD242" s="54"/>
      <c r="FBE242" s="8"/>
      <c r="FBF242" s="54"/>
      <c r="FBG242" s="8"/>
      <c r="FBH242" s="54"/>
      <c r="FBI242" s="8"/>
      <c r="FBJ242" s="54"/>
      <c r="FBK242" s="8"/>
      <c r="FBL242" s="54"/>
      <c r="FBM242" s="8"/>
      <c r="FBN242" s="54"/>
      <c r="FBO242" s="8"/>
      <c r="FBP242" s="54"/>
      <c r="FBQ242" s="8"/>
      <c r="FBR242" s="54"/>
      <c r="FBS242" s="8"/>
      <c r="FBT242" s="54"/>
      <c r="FBU242" s="8"/>
      <c r="FBV242" s="54"/>
      <c r="FBW242" s="8"/>
      <c r="FBX242" s="54"/>
      <c r="FBY242" s="8"/>
      <c r="FBZ242" s="54"/>
      <c r="FCA242" s="8"/>
      <c r="FCB242" s="54"/>
      <c r="FCC242" s="8"/>
      <c r="FCD242" s="54"/>
      <c r="FCE242" s="8"/>
      <c r="FCF242" s="54"/>
      <c r="FCG242" s="8"/>
      <c r="FCH242" s="54"/>
      <c r="FCI242" s="8"/>
      <c r="FCJ242" s="54"/>
      <c r="FCK242" s="8"/>
      <c r="FCL242" s="54"/>
      <c r="FCM242" s="8"/>
      <c r="FCN242" s="54"/>
      <c r="FCO242" s="8"/>
      <c r="FCP242" s="54"/>
      <c r="FCQ242" s="8"/>
      <c r="FCR242" s="54"/>
      <c r="FCS242" s="8"/>
      <c r="FCT242" s="54"/>
      <c r="FCU242" s="8"/>
      <c r="FCV242" s="54"/>
      <c r="FCW242" s="8"/>
      <c r="FCX242" s="54"/>
      <c r="FCY242" s="8"/>
      <c r="FCZ242" s="54"/>
      <c r="FDA242" s="8"/>
      <c r="FDB242" s="54"/>
      <c r="FDC242" s="8"/>
      <c r="FDD242" s="54"/>
      <c r="FDE242" s="8"/>
      <c r="FDF242" s="54"/>
      <c r="FDG242" s="8"/>
      <c r="FDH242" s="54"/>
      <c r="FDI242" s="8"/>
      <c r="FDJ242" s="54"/>
      <c r="FDK242" s="8"/>
      <c r="FDL242" s="54"/>
      <c r="FDM242" s="8"/>
      <c r="FDN242" s="54"/>
      <c r="FDO242" s="8"/>
      <c r="FDP242" s="54"/>
      <c r="FDQ242" s="8"/>
      <c r="FDR242" s="54"/>
      <c r="FDS242" s="8"/>
      <c r="FDT242" s="54"/>
      <c r="FDU242" s="8"/>
      <c r="FDV242" s="54"/>
      <c r="FDW242" s="8"/>
      <c r="FDX242" s="54"/>
      <c r="FDY242" s="8"/>
      <c r="FDZ242" s="54"/>
      <c r="FEA242" s="8"/>
      <c r="FEB242" s="54"/>
      <c r="FEC242" s="8"/>
      <c r="FED242" s="54"/>
      <c r="FEE242" s="8"/>
      <c r="FEF242" s="54"/>
      <c r="FEG242" s="8"/>
      <c r="FEH242" s="54"/>
      <c r="FEI242" s="8"/>
      <c r="FEJ242" s="54"/>
      <c r="FEK242" s="8"/>
      <c r="FEL242" s="54"/>
      <c r="FEM242" s="8"/>
      <c r="FEN242" s="54"/>
      <c r="FEO242" s="8"/>
      <c r="FEP242" s="54"/>
      <c r="FEQ242" s="8"/>
      <c r="FER242" s="54"/>
      <c r="FES242" s="8"/>
      <c r="FET242" s="54"/>
      <c r="FEU242" s="8"/>
      <c r="FEV242" s="54"/>
      <c r="FEW242" s="8"/>
      <c r="FEX242" s="54"/>
      <c r="FEY242" s="8"/>
      <c r="FEZ242" s="54"/>
      <c r="FFA242" s="8"/>
      <c r="FFB242" s="54"/>
      <c r="FFC242" s="8"/>
      <c r="FFD242" s="54"/>
      <c r="FFE242" s="8"/>
      <c r="FFF242" s="54"/>
      <c r="FFG242" s="8"/>
      <c r="FFH242" s="54"/>
      <c r="FFI242" s="8"/>
      <c r="FFJ242" s="54"/>
      <c r="FFK242" s="8"/>
      <c r="FFL242" s="54"/>
      <c r="FFM242" s="8"/>
      <c r="FFN242" s="54"/>
      <c r="FFO242" s="8"/>
      <c r="FFP242" s="54"/>
      <c r="FFQ242" s="8"/>
      <c r="FFR242" s="54"/>
      <c r="FFS242" s="8"/>
      <c r="FFT242" s="54"/>
      <c r="FFU242" s="8"/>
      <c r="FFV242" s="54"/>
      <c r="FFW242" s="8"/>
      <c r="FFX242" s="54"/>
      <c r="FFY242" s="8"/>
      <c r="FFZ242" s="54"/>
      <c r="FGA242" s="8"/>
      <c r="FGB242" s="54"/>
      <c r="FGC242" s="8"/>
      <c r="FGD242" s="54"/>
      <c r="FGE242" s="8"/>
      <c r="FGF242" s="54"/>
      <c r="FGG242" s="8"/>
      <c r="FGH242" s="54"/>
      <c r="FGI242" s="8"/>
      <c r="FGJ242" s="54"/>
      <c r="FGK242" s="8"/>
      <c r="FGL242" s="54"/>
      <c r="FGM242" s="8"/>
      <c r="FGN242" s="54"/>
      <c r="FGO242" s="8"/>
      <c r="FGP242" s="54"/>
      <c r="FGQ242" s="8"/>
      <c r="FGR242" s="54"/>
      <c r="FGS242" s="8"/>
      <c r="FGT242" s="54"/>
      <c r="FGU242" s="8"/>
      <c r="FGV242" s="54"/>
      <c r="FGW242" s="8"/>
      <c r="FGX242" s="54"/>
      <c r="FGY242" s="8"/>
      <c r="FGZ242" s="54"/>
      <c r="FHA242" s="8"/>
      <c r="FHB242" s="54"/>
      <c r="FHC242" s="8"/>
      <c r="FHD242" s="54"/>
      <c r="FHE242" s="8"/>
      <c r="FHF242" s="54"/>
      <c r="FHG242" s="8"/>
      <c r="FHH242" s="54"/>
      <c r="FHI242" s="8"/>
      <c r="FHJ242" s="54"/>
      <c r="FHK242" s="8"/>
      <c r="FHL242" s="54"/>
      <c r="FHM242" s="8"/>
      <c r="FHN242" s="54"/>
      <c r="FHO242" s="8"/>
      <c r="FHP242" s="54"/>
      <c r="FHQ242" s="8"/>
      <c r="FHR242" s="54"/>
      <c r="FHS242" s="8"/>
      <c r="FHT242" s="54"/>
      <c r="FHU242" s="8"/>
      <c r="FHV242" s="54"/>
      <c r="FHW242" s="8"/>
      <c r="FHX242" s="54"/>
      <c r="FHY242" s="8"/>
      <c r="FHZ242" s="54"/>
      <c r="FIA242" s="8"/>
      <c r="FIB242" s="54"/>
      <c r="FIC242" s="8"/>
      <c r="FID242" s="54"/>
      <c r="FIE242" s="8"/>
      <c r="FIF242" s="54"/>
      <c r="FIG242" s="8"/>
      <c r="FIH242" s="54"/>
      <c r="FII242" s="8"/>
      <c r="FIJ242" s="54"/>
      <c r="FIK242" s="8"/>
      <c r="FIL242" s="54"/>
      <c r="FIM242" s="8"/>
      <c r="FIN242" s="54"/>
      <c r="FIO242" s="8"/>
      <c r="FIP242" s="54"/>
      <c r="FIQ242" s="8"/>
      <c r="FIR242" s="54"/>
      <c r="FIS242" s="8"/>
      <c r="FIT242" s="54"/>
      <c r="FIU242" s="8"/>
      <c r="FIV242" s="54"/>
      <c r="FIW242" s="8"/>
      <c r="FIX242" s="54"/>
      <c r="FIY242" s="8"/>
      <c r="FIZ242" s="54"/>
      <c r="FJA242" s="8"/>
      <c r="FJB242" s="54"/>
      <c r="FJC242" s="8"/>
      <c r="FJD242" s="54"/>
      <c r="FJE242" s="8"/>
      <c r="FJF242" s="54"/>
      <c r="FJG242" s="8"/>
      <c r="FJH242" s="54"/>
      <c r="FJI242" s="8"/>
      <c r="FJJ242" s="54"/>
      <c r="FJK242" s="8"/>
      <c r="FJL242" s="54"/>
      <c r="FJM242" s="8"/>
      <c r="FJN242" s="54"/>
      <c r="FJO242" s="8"/>
      <c r="FJP242" s="54"/>
      <c r="FJQ242" s="8"/>
      <c r="FJR242" s="54"/>
      <c r="FJS242" s="8"/>
      <c r="FJT242" s="54"/>
      <c r="FJU242" s="8"/>
      <c r="FJV242" s="54"/>
      <c r="FJW242" s="8"/>
      <c r="FJX242" s="54"/>
      <c r="FJY242" s="8"/>
      <c r="FJZ242" s="54"/>
      <c r="FKA242" s="8"/>
      <c r="FKB242" s="54"/>
      <c r="FKC242" s="8"/>
      <c r="FKD242" s="54"/>
      <c r="FKE242" s="8"/>
      <c r="FKF242" s="54"/>
      <c r="FKG242" s="8"/>
      <c r="FKH242" s="54"/>
      <c r="FKI242" s="8"/>
      <c r="FKJ242" s="54"/>
      <c r="FKK242" s="8"/>
      <c r="FKL242" s="54"/>
      <c r="FKM242" s="8"/>
      <c r="FKN242" s="54"/>
      <c r="FKO242" s="8"/>
      <c r="FKP242" s="54"/>
      <c r="FKQ242" s="8"/>
      <c r="FKR242" s="54"/>
      <c r="FKS242" s="8"/>
      <c r="FKT242" s="54"/>
      <c r="FKU242" s="8"/>
      <c r="FKV242" s="54"/>
      <c r="FKW242" s="8"/>
      <c r="FKX242" s="54"/>
      <c r="FKY242" s="8"/>
      <c r="FKZ242" s="54"/>
      <c r="FLA242" s="8"/>
      <c r="FLB242" s="54"/>
      <c r="FLC242" s="8"/>
      <c r="FLD242" s="54"/>
      <c r="FLE242" s="8"/>
      <c r="FLF242" s="54"/>
      <c r="FLG242" s="8"/>
      <c r="FLH242" s="54"/>
      <c r="FLI242" s="8"/>
      <c r="FLJ242" s="54"/>
      <c r="FLK242" s="8"/>
      <c r="FLL242" s="54"/>
      <c r="FLM242" s="8"/>
      <c r="FLN242" s="54"/>
      <c r="FLO242" s="8"/>
      <c r="FLP242" s="54"/>
      <c r="FLQ242" s="8"/>
      <c r="FLR242" s="54"/>
      <c r="FLS242" s="8"/>
      <c r="FLT242" s="54"/>
      <c r="FLU242" s="8"/>
      <c r="FLV242" s="54"/>
      <c r="FLW242" s="8"/>
      <c r="FLX242" s="54"/>
      <c r="FLY242" s="8"/>
      <c r="FLZ242" s="54"/>
      <c r="FMA242" s="8"/>
      <c r="FMB242" s="54"/>
      <c r="FMC242" s="8"/>
      <c r="FMD242" s="54"/>
      <c r="FME242" s="8"/>
      <c r="FMF242" s="54"/>
      <c r="FMG242" s="8"/>
      <c r="FMH242" s="54"/>
      <c r="FMI242" s="8"/>
      <c r="FMJ242" s="54"/>
      <c r="FMK242" s="8"/>
      <c r="FML242" s="54"/>
      <c r="FMM242" s="8"/>
      <c r="FMN242" s="54"/>
      <c r="FMO242" s="8"/>
      <c r="FMP242" s="54"/>
      <c r="FMQ242" s="8"/>
      <c r="FMR242" s="54"/>
      <c r="FMS242" s="8"/>
      <c r="FMT242" s="54"/>
      <c r="FMU242" s="8"/>
      <c r="FMV242" s="54"/>
      <c r="FMW242" s="8"/>
      <c r="FMX242" s="54"/>
      <c r="FMY242" s="8"/>
      <c r="FMZ242" s="54"/>
      <c r="FNA242" s="8"/>
      <c r="FNB242" s="54"/>
      <c r="FNC242" s="8"/>
      <c r="FND242" s="54"/>
      <c r="FNE242" s="8"/>
      <c r="FNF242" s="54"/>
      <c r="FNG242" s="8"/>
      <c r="FNH242" s="54"/>
      <c r="FNI242" s="8"/>
      <c r="FNJ242" s="54"/>
      <c r="FNK242" s="8"/>
      <c r="FNL242" s="54"/>
      <c r="FNM242" s="8"/>
      <c r="FNN242" s="54"/>
      <c r="FNO242" s="8"/>
      <c r="FNP242" s="54"/>
      <c r="FNQ242" s="8"/>
      <c r="FNR242" s="54"/>
      <c r="FNS242" s="8"/>
      <c r="FNT242" s="54"/>
      <c r="FNU242" s="8"/>
      <c r="FNV242" s="54"/>
      <c r="FNW242" s="8"/>
      <c r="FNX242" s="54"/>
      <c r="FNY242" s="8"/>
      <c r="FNZ242" s="54"/>
      <c r="FOA242" s="8"/>
      <c r="FOB242" s="54"/>
      <c r="FOC242" s="8"/>
      <c r="FOD242" s="54"/>
      <c r="FOE242" s="8"/>
      <c r="FOF242" s="54"/>
      <c r="FOG242" s="8"/>
      <c r="FOH242" s="54"/>
      <c r="FOI242" s="8"/>
      <c r="FOJ242" s="54"/>
      <c r="FOK242" s="8"/>
      <c r="FOL242" s="54"/>
      <c r="FOM242" s="8"/>
      <c r="FON242" s="54"/>
      <c r="FOO242" s="8"/>
      <c r="FOP242" s="54"/>
      <c r="FOQ242" s="8"/>
      <c r="FOR242" s="54"/>
      <c r="FOS242" s="8"/>
      <c r="FOT242" s="54"/>
      <c r="FOU242" s="8"/>
      <c r="FOV242" s="54"/>
      <c r="FOW242" s="8"/>
      <c r="FOX242" s="54"/>
      <c r="FOY242" s="8"/>
      <c r="FOZ242" s="54"/>
      <c r="FPA242" s="8"/>
      <c r="FPB242" s="54"/>
      <c r="FPC242" s="8"/>
      <c r="FPD242" s="54"/>
      <c r="FPE242" s="8"/>
      <c r="FPF242" s="54"/>
      <c r="FPG242" s="8"/>
      <c r="FPH242" s="54"/>
      <c r="FPI242" s="8"/>
      <c r="FPJ242" s="54"/>
      <c r="FPK242" s="8"/>
      <c r="FPL242" s="54"/>
      <c r="FPM242" s="8"/>
      <c r="FPN242" s="54"/>
      <c r="FPO242" s="8"/>
      <c r="FPP242" s="54"/>
      <c r="FPQ242" s="8"/>
      <c r="FPR242" s="54"/>
      <c r="FPS242" s="8"/>
      <c r="FPT242" s="54"/>
      <c r="FPU242" s="8"/>
      <c r="FPV242" s="54"/>
      <c r="FPW242" s="8"/>
      <c r="FPX242" s="54"/>
      <c r="FPY242" s="8"/>
      <c r="FPZ242" s="54"/>
      <c r="FQA242" s="8"/>
      <c r="FQB242" s="54"/>
      <c r="FQC242" s="8"/>
      <c r="FQD242" s="54"/>
      <c r="FQE242" s="8"/>
      <c r="FQF242" s="54"/>
      <c r="FQG242" s="8"/>
      <c r="FQH242" s="54"/>
      <c r="FQI242" s="8"/>
      <c r="FQJ242" s="54"/>
      <c r="FQK242" s="8"/>
      <c r="FQL242" s="54"/>
      <c r="FQM242" s="8"/>
      <c r="FQN242" s="54"/>
      <c r="FQO242" s="8"/>
      <c r="FQP242" s="54"/>
      <c r="FQQ242" s="8"/>
      <c r="FQR242" s="54"/>
      <c r="FQS242" s="8"/>
      <c r="FQT242" s="54"/>
      <c r="FQU242" s="8"/>
      <c r="FQV242" s="54"/>
      <c r="FQW242" s="8"/>
      <c r="FQX242" s="54"/>
      <c r="FQY242" s="8"/>
      <c r="FQZ242" s="54"/>
      <c r="FRA242" s="8"/>
      <c r="FRB242" s="54"/>
      <c r="FRC242" s="8"/>
      <c r="FRD242" s="54"/>
      <c r="FRE242" s="8"/>
      <c r="FRF242" s="54"/>
      <c r="FRG242" s="8"/>
      <c r="FRH242" s="54"/>
      <c r="FRI242" s="8"/>
      <c r="FRJ242" s="54"/>
      <c r="FRK242" s="8"/>
      <c r="FRL242" s="54"/>
      <c r="FRM242" s="8"/>
      <c r="FRN242" s="54"/>
      <c r="FRO242" s="8"/>
      <c r="FRP242" s="54"/>
      <c r="FRQ242" s="8"/>
      <c r="FRR242" s="54"/>
      <c r="FRS242" s="8"/>
      <c r="FRT242" s="54"/>
      <c r="FRU242" s="8"/>
      <c r="FRV242" s="54"/>
      <c r="FRW242" s="8"/>
      <c r="FRX242" s="54"/>
      <c r="FRY242" s="8"/>
      <c r="FRZ242" s="54"/>
      <c r="FSA242" s="8"/>
      <c r="FSB242" s="54"/>
      <c r="FSC242" s="8"/>
      <c r="FSD242" s="54"/>
      <c r="FSE242" s="8"/>
      <c r="FSF242" s="54"/>
      <c r="FSG242" s="8"/>
      <c r="FSH242" s="54"/>
      <c r="FSI242" s="8"/>
      <c r="FSJ242" s="54"/>
      <c r="FSK242" s="8"/>
      <c r="FSL242" s="54"/>
      <c r="FSM242" s="8"/>
      <c r="FSN242" s="54"/>
      <c r="FSO242" s="8"/>
      <c r="FSP242" s="54"/>
      <c r="FSQ242" s="8"/>
      <c r="FSR242" s="54"/>
      <c r="FSS242" s="8"/>
      <c r="FST242" s="54"/>
      <c r="FSU242" s="8"/>
      <c r="FSV242" s="54"/>
      <c r="FSW242" s="8"/>
      <c r="FSX242" s="54"/>
      <c r="FSY242" s="8"/>
      <c r="FSZ242" s="54"/>
      <c r="FTA242" s="8"/>
      <c r="FTB242" s="54"/>
      <c r="FTC242" s="8"/>
      <c r="FTD242" s="54"/>
      <c r="FTE242" s="8"/>
      <c r="FTF242" s="54"/>
      <c r="FTG242" s="8"/>
      <c r="FTH242" s="54"/>
      <c r="FTI242" s="8"/>
      <c r="FTJ242" s="54"/>
      <c r="FTK242" s="8"/>
      <c r="FTL242" s="54"/>
      <c r="FTM242" s="8"/>
      <c r="FTN242" s="54"/>
      <c r="FTO242" s="8"/>
      <c r="FTP242" s="54"/>
      <c r="FTQ242" s="8"/>
      <c r="FTR242" s="54"/>
      <c r="FTS242" s="8"/>
      <c r="FTT242" s="54"/>
      <c r="FTU242" s="8"/>
      <c r="FTV242" s="54"/>
      <c r="FTW242" s="8"/>
      <c r="FTX242" s="54"/>
      <c r="FTY242" s="8"/>
      <c r="FTZ242" s="54"/>
      <c r="FUA242" s="8"/>
      <c r="FUB242" s="54"/>
      <c r="FUC242" s="8"/>
      <c r="FUD242" s="54"/>
      <c r="FUE242" s="8"/>
      <c r="FUF242" s="54"/>
      <c r="FUG242" s="8"/>
      <c r="FUH242" s="54"/>
      <c r="FUI242" s="8"/>
      <c r="FUJ242" s="54"/>
      <c r="FUK242" s="8"/>
      <c r="FUL242" s="54"/>
      <c r="FUM242" s="8"/>
      <c r="FUN242" s="54"/>
      <c r="FUO242" s="8"/>
      <c r="FUP242" s="54"/>
      <c r="FUQ242" s="8"/>
      <c r="FUR242" s="54"/>
      <c r="FUS242" s="8"/>
      <c r="FUT242" s="54"/>
      <c r="FUU242" s="8"/>
      <c r="FUV242" s="54"/>
      <c r="FUW242" s="8"/>
      <c r="FUX242" s="54"/>
      <c r="FUY242" s="8"/>
      <c r="FUZ242" s="54"/>
      <c r="FVA242" s="8"/>
      <c r="FVB242" s="54"/>
      <c r="FVC242" s="8"/>
      <c r="FVD242" s="54"/>
      <c r="FVE242" s="8"/>
      <c r="FVF242" s="54"/>
      <c r="FVG242" s="8"/>
      <c r="FVH242" s="54"/>
      <c r="FVI242" s="8"/>
      <c r="FVJ242" s="54"/>
      <c r="FVK242" s="8"/>
      <c r="FVL242" s="54"/>
      <c r="FVM242" s="8"/>
      <c r="FVN242" s="54"/>
      <c r="FVO242" s="8"/>
      <c r="FVP242" s="54"/>
      <c r="FVQ242" s="8"/>
      <c r="FVR242" s="54"/>
      <c r="FVS242" s="8"/>
      <c r="FVT242" s="54"/>
      <c r="FVU242" s="8"/>
      <c r="FVV242" s="54"/>
      <c r="FVW242" s="8"/>
      <c r="FVX242" s="54"/>
      <c r="FVY242" s="8"/>
      <c r="FVZ242" s="54"/>
      <c r="FWA242" s="8"/>
      <c r="FWB242" s="54"/>
      <c r="FWC242" s="8"/>
      <c r="FWD242" s="54"/>
      <c r="FWE242" s="8"/>
      <c r="FWF242" s="54"/>
      <c r="FWG242" s="8"/>
      <c r="FWH242" s="54"/>
      <c r="FWI242" s="8"/>
      <c r="FWJ242" s="54"/>
      <c r="FWK242" s="8"/>
      <c r="FWL242" s="54"/>
      <c r="FWM242" s="8"/>
      <c r="FWN242" s="54"/>
      <c r="FWO242" s="8"/>
      <c r="FWP242" s="54"/>
      <c r="FWQ242" s="8"/>
      <c r="FWR242" s="54"/>
      <c r="FWS242" s="8"/>
      <c r="FWT242" s="54"/>
      <c r="FWU242" s="8"/>
      <c r="FWV242" s="54"/>
      <c r="FWW242" s="8"/>
      <c r="FWX242" s="54"/>
      <c r="FWY242" s="8"/>
      <c r="FWZ242" s="54"/>
      <c r="FXA242" s="8"/>
      <c r="FXB242" s="54"/>
      <c r="FXC242" s="8"/>
      <c r="FXD242" s="54"/>
      <c r="FXE242" s="8"/>
      <c r="FXF242" s="54"/>
      <c r="FXG242" s="8"/>
      <c r="FXH242" s="54"/>
      <c r="FXI242" s="8"/>
      <c r="FXJ242" s="54"/>
      <c r="FXK242" s="8"/>
      <c r="FXL242" s="54"/>
      <c r="FXM242" s="8"/>
      <c r="FXN242" s="54"/>
      <c r="FXO242" s="8"/>
      <c r="FXP242" s="54"/>
      <c r="FXQ242" s="8"/>
      <c r="FXR242" s="54"/>
      <c r="FXS242" s="8"/>
      <c r="FXT242" s="54"/>
      <c r="FXU242" s="8"/>
      <c r="FXV242" s="54"/>
      <c r="FXW242" s="8"/>
      <c r="FXX242" s="54"/>
      <c r="FXY242" s="8"/>
      <c r="FXZ242" s="54"/>
      <c r="FYA242" s="8"/>
      <c r="FYB242" s="54"/>
      <c r="FYC242" s="8"/>
      <c r="FYD242" s="54"/>
      <c r="FYE242" s="8"/>
      <c r="FYF242" s="54"/>
      <c r="FYG242" s="8"/>
      <c r="FYH242" s="54"/>
      <c r="FYI242" s="8"/>
      <c r="FYJ242" s="54"/>
      <c r="FYK242" s="8"/>
      <c r="FYL242" s="54"/>
      <c r="FYM242" s="8"/>
      <c r="FYN242" s="54"/>
      <c r="FYO242" s="8"/>
      <c r="FYP242" s="54"/>
      <c r="FYQ242" s="8"/>
      <c r="FYR242" s="54"/>
      <c r="FYS242" s="8"/>
      <c r="FYT242" s="54"/>
      <c r="FYU242" s="8"/>
      <c r="FYV242" s="54"/>
      <c r="FYW242" s="8"/>
      <c r="FYX242" s="54"/>
      <c r="FYY242" s="8"/>
      <c r="FYZ242" s="54"/>
      <c r="FZA242" s="8"/>
      <c r="FZB242" s="54"/>
      <c r="FZC242" s="8"/>
      <c r="FZD242" s="54"/>
      <c r="FZE242" s="8"/>
      <c r="FZF242" s="54"/>
      <c r="FZG242" s="8"/>
      <c r="FZH242" s="54"/>
      <c r="FZI242" s="8"/>
      <c r="FZJ242" s="54"/>
      <c r="FZK242" s="8"/>
      <c r="FZL242" s="54"/>
      <c r="FZM242" s="8"/>
      <c r="FZN242" s="54"/>
      <c r="FZO242" s="8"/>
      <c r="FZP242" s="54"/>
      <c r="FZQ242" s="8"/>
      <c r="FZR242" s="54"/>
      <c r="FZS242" s="8"/>
      <c r="FZT242" s="54"/>
      <c r="FZU242" s="8"/>
      <c r="FZV242" s="54"/>
      <c r="FZW242" s="8"/>
      <c r="FZX242" s="54"/>
      <c r="FZY242" s="8"/>
      <c r="FZZ242" s="54"/>
      <c r="GAA242" s="8"/>
      <c r="GAB242" s="54"/>
      <c r="GAC242" s="8"/>
      <c r="GAD242" s="54"/>
      <c r="GAE242" s="8"/>
      <c r="GAF242" s="54"/>
      <c r="GAG242" s="8"/>
      <c r="GAH242" s="54"/>
      <c r="GAI242" s="8"/>
      <c r="GAJ242" s="54"/>
      <c r="GAK242" s="8"/>
      <c r="GAL242" s="54"/>
      <c r="GAM242" s="8"/>
      <c r="GAN242" s="54"/>
      <c r="GAO242" s="8"/>
      <c r="GAP242" s="54"/>
      <c r="GAQ242" s="8"/>
      <c r="GAR242" s="54"/>
      <c r="GAS242" s="8"/>
      <c r="GAT242" s="54"/>
      <c r="GAU242" s="8"/>
      <c r="GAV242" s="54"/>
      <c r="GAW242" s="8"/>
      <c r="GAX242" s="54"/>
      <c r="GAY242" s="8"/>
      <c r="GAZ242" s="54"/>
      <c r="GBA242" s="8"/>
      <c r="GBB242" s="54"/>
      <c r="GBC242" s="8"/>
      <c r="GBD242" s="54"/>
      <c r="GBE242" s="8"/>
      <c r="GBF242" s="54"/>
      <c r="GBG242" s="8"/>
      <c r="GBH242" s="54"/>
      <c r="GBI242" s="8"/>
      <c r="GBJ242" s="54"/>
      <c r="GBK242" s="8"/>
      <c r="GBL242" s="54"/>
      <c r="GBM242" s="8"/>
      <c r="GBN242" s="54"/>
      <c r="GBO242" s="8"/>
      <c r="GBP242" s="54"/>
      <c r="GBQ242" s="8"/>
      <c r="GBR242" s="54"/>
      <c r="GBS242" s="8"/>
      <c r="GBT242" s="54"/>
      <c r="GBU242" s="8"/>
      <c r="GBV242" s="54"/>
      <c r="GBW242" s="8"/>
      <c r="GBX242" s="54"/>
      <c r="GBY242" s="8"/>
      <c r="GBZ242" s="54"/>
      <c r="GCA242" s="8"/>
      <c r="GCB242" s="54"/>
      <c r="GCC242" s="8"/>
      <c r="GCD242" s="54"/>
      <c r="GCE242" s="8"/>
      <c r="GCF242" s="54"/>
      <c r="GCG242" s="8"/>
      <c r="GCH242" s="54"/>
      <c r="GCI242" s="8"/>
      <c r="GCJ242" s="54"/>
      <c r="GCK242" s="8"/>
      <c r="GCL242" s="54"/>
      <c r="GCM242" s="8"/>
      <c r="GCN242" s="54"/>
      <c r="GCO242" s="8"/>
      <c r="GCP242" s="54"/>
      <c r="GCQ242" s="8"/>
      <c r="GCR242" s="54"/>
      <c r="GCS242" s="8"/>
      <c r="GCT242" s="54"/>
      <c r="GCU242" s="8"/>
      <c r="GCV242" s="54"/>
      <c r="GCW242" s="8"/>
      <c r="GCX242" s="54"/>
      <c r="GCY242" s="8"/>
      <c r="GCZ242" s="54"/>
      <c r="GDA242" s="8"/>
      <c r="GDB242" s="54"/>
      <c r="GDC242" s="8"/>
      <c r="GDD242" s="54"/>
      <c r="GDE242" s="8"/>
      <c r="GDF242" s="54"/>
      <c r="GDG242" s="8"/>
      <c r="GDH242" s="54"/>
      <c r="GDI242" s="8"/>
      <c r="GDJ242" s="54"/>
      <c r="GDK242" s="8"/>
      <c r="GDL242" s="54"/>
      <c r="GDM242" s="8"/>
      <c r="GDN242" s="54"/>
      <c r="GDO242" s="8"/>
      <c r="GDP242" s="54"/>
      <c r="GDQ242" s="8"/>
      <c r="GDR242" s="54"/>
      <c r="GDS242" s="8"/>
      <c r="GDT242" s="54"/>
      <c r="GDU242" s="8"/>
      <c r="GDV242" s="54"/>
      <c r="GDW242" s="8"/>
      <c r="GDX242" s="54"/>
      <c r="GDY242" s="8"/>
      <c r="GDZ242" s="54"/>
      <c r="GEA242" s="8"/>
      <c r="GEB242" s="54"/>
      <c r="GEC242" s="8"/>
      <c r="GED242" s="54"/>
      <c r="GEE242" s="8"/>
      <c r="GEF242" s="54"/>
      <c r="GEG242" s="8"/>
      <c r="GEH242" s="54"/>
      <c r="GEI242" s="8"/>
      <c r="GEJ242" s="54"/>
      <c r="GEK242" s="8"/>
      <c r="GEL242" s="54"/>
      <c r="GEM242" s="8"/>
      <c r="GEN242" s="54"/>
      <c r="GEO242" s="8"/>
      <c r="GEP242" s="54"/>
      <c r="GEQ242" s="8"/>
      <c r="GER242" s="54"/>
      <c r="GES242" s="8"/>
      <c r="GET242" s="54"/>
      <c r="GEU242" s="8"/>
      <c r="GEV242" s="54"/>
      <c r="GEW242" s="8"/>
      <c r="GEX242" s="54"/>
      <c r="GEY242" s="8"/>
      <c r="GEZ242" s="54"/>
      <c r="GFA242" s="8"/>
      <c r="GFB242" s="54"/>
      <c r="GFC242" s="8"/>
      <c r="GFD242" s="54"/>
      <c r="GFE242" s="8"/>
      <c r="GFF242" s="54"/>
      <c r="GFG242" s="8"/>
      <c r="GFH242" s="54"/>
      <c r="GFI242" s="8"/>
      <c r="GFJ242" s="54"/>
      <c r="GFK242" s="8"/>
      <c r="GFL242" s="54"/>
      <c r="GFM242" s="8"/>
      <c r="GFN242" s="54"/>
      <c r="GFO242" s="8"/>
      <c r="GFP242" s="54"/>
      <c r="GFQ242" s="8"/>
      <c r="GFR242" s="54"/>
      <c r="GFS242" s="8"/>
      <c r="GFT242" s="54"/>
      <c r="GFU242" s="8"/>
      <c r="GFV242" s="54"/>
      <c r="GFW242" s="8"/>
      <c r="GFX242" s="54"/>
      <c r="GFY242" s="8"/>
      <c r="GFZ242" s="54"/>
      <c r="GGA242" s="8"/>
      <c r="GGB242" s="54"/>
      <c r="GGC242" s="8"/>
      <c r="GGD242" s="54"/>
      <c r="GGE242" s="8"/>
      <c r="GGF242" s="54"/>
      <c r="GGG242" s="8"/>
      <c r="GGH242" s="54"/>
      <c r="GGI242" s="8"/>
      <c r="GGJ242" s="54"/>
      <c r="GGK242" s="8"/>
      <c r="GGL242" s="54"/>
      <c r="GGM242" s="8"/>
      <c r="GGN242" s="54"/>
      <c r="GGO242" s="8"/>
      <c r="GGP242" s="54"/>
      <c r="GGQ242" s="8"/>
      <c r="GGR242" s="54"/>
      <c r="GGS242" s="8"/>
      <c r="GGT242" s="54"/>
      <c r="GGU242" s="8"/>
      <c r="GGV242" s="54"/>
      <c r="GGW242" s="8"/>
      <c r="GGX242" s="54"/>
      <c r="GGY242" s="8"/>
      <c r="GGZ242" s="54"/>
      <c r="GHA242" s="8"/>
      <c r="GHB242" s="54"/>
      <c r="GHC242" s="8"/>
      <c r="GHD242" s="54"/>
      <c r="GHE242" s="8"/>
      <c r="GHF242" s="54"/>
      <c r="GHG242" s="8"/>
      <c r="GHH242" s="54"/>
      <c r="GHI242" s="8"/>
      <c r="GHJ242" s="54"/>
      <c r="GHK242" s="8"/>
      <c r="GHL242" s="54"/>
      <c r="GHM242" s="8"/>
      <c r="GHN242" s="54"/>
      <c r="GHO242" s="8"/>
      <c r="GHP242" s="54"/>
      <c r="GHQ242" s="8"/>
      <c r="GHR242" s="54"/>
      <c r="GHS242" s="8"/>
      <c r="GHT242" s="54"/>
      <c r="GHU242" s="8"/>
      <c r="GHV242" s="54"/>
      <c r="GHW242" s="8"/>
      <c r="GHX242" s="54"/>
      <c r="GHY242" s="8"/>
      <c r="GHZ242" s="54"/>
      <c r="GIA242" s="8"/>
      <c r="GIB242" s="54"/>
      <c r="GIC242" s="8"/>
      <c r="GID242" s="54"/>
      <c r="GIE242" s="8"/>
      <c r="GIF242" s="54"/>
      <c r="GIG242" s="8"/>
      <c r="GIH242" s="54"/>
      <c r="GII242" s="8"/>
      <c r="GIJ242" s="54"/>
      <c r="GIK242" s="8"/>
      <c r="GIL242" s="54"/>
      <c r="GIM242" s="8"/>
      <c r="GIN242" s="54"/>
      <c r="GIO242" s="8"/>
      <c r="GIP242" s="54"/>
      <c r="GIQ242" s="8"/>
      <c r="GIR242" s="54"/>
      <c r="GIS242" s="8"/>
      <c r="GIT242" s="54"/>
      <c r="GIU242" s="8"/>
      <c r="GIV242" s="54"/>
      <c r="GIW242" s="8"/>
      <c r="GIX242" s="54"/>
      <c r="GIY242" s="8"/>
      <c r="GIZ242" s="54"/>
      <c r="GJA242" s="8"/>
      <c r="GJB242" s="54"/>
      <c r="GJC242" s="8"/>
      <c r="GJD242" s="54"/>
      <c r="GJE242" s="8"/>
      <c r="GJF242" s="54"/>
      <c r="GJG242" s="8"/>
      <c r="GJH242" s="54"/>
      <c r="GJI242" s="8"/>
      <c r="GJJ242" s="54"/>
      <c r="GJK242" s="8"/>
      <c r="GJL242" s="54"/>
      <c r="GJM242" s="8"/>
      <c r="GJN242" s="54"/>
      <c r="GJO242" s="8"/>
      <c r="GJP242" s="54"/>
      <c r="GJQ242" s="8"/>
      <c r="GJR242" s="54"/>
      <c r="GJS242" s="8"/>
      <c r="GJT242" s="54"/>
      <c r="GJU242" s="8"/>
      <c r="GJV242" s="54"/>
      <c r="GJW242" s="8"/>
      <c r="GJX242" s="54"/>
      <c r="GJY242" s="8"/>
      <c r="GJZ242" s="54"/>
      <c r="GKA242" s="8"/>
      <c r="GKB242" s="54"/>
      <c r="GKC242" s="8"/>
      <c r="GKD242" s="54"/>
      <c r="GKE242" s="8"/>
      <c r="GKF242" s="54"/>
      <c r="GKG242" s="8"/>
      <c r="GKH242" s="54"/>
      <c r="GKI242" s="8"/>
      <c r="GKJ242" s="54"/>
      <c r="GKK242" s="8"/>
      <c r="GKL242" s="54"/>
      <c r="GKM242" s="8"/>
      <c r="GKN242" s="54"/>
      <c r="GKO242" s="8"/>
      <c r="GKP242" s="54"/>
      <c r="GKQ242" s="8"/>
      <c r="GKR242" s="54"/>
      <c r="GKS242" s="8"/>
      <c r="GKT242" s="54"/>
      <c r="GKU242" s="8"/>
      <c r="GKV242" s="54"/>
      <c r="GKW242" s="8"/>
      <c r="GKX242" s="54"/>
      <c r="GKY242" s="8"/>
      <c r="GKZ242" s="54"/>
      <c r="GLA242" s="8"/>
      <c r="GLB242" s="54"/>
      <c r="GLC242" s="8"/>
      <c r="GLD242" s="54"/>
      <c r="GLE242" s="8"/>
      <c r="GLF242" s="54"/>
      <c r="GLG242" s="8"/>
      <c r="GLH242" s="54"/>
      <c r="GLI242" s="8"/>
      <c r="GLJ242" s="54"/>
      <c r="GLK242" s="8"/>
      <c r="GLL242" s="54"/>
      <c r="GLM242" s="8"/>
      <c r="GLN242" s="54"/>
      <c r="GLO242" s="8"/>
      <c r="GLP242" s="54"/>
      <c r="GLQ242" s="8"/>
      <c r="GLR242" s="54"/>
      <c r="GLS242" s="8"/>
      <c r="GLT242" s="54"/>
      <c r="GLU242" s="8"/>
      <c r="GLV242" s="54"/>
      <c r="GLW242" s="8"/>
      <c r="GLX242" s="54"/>
      <c r="GLY242" s="8"/>
      <c r="GLZ242" s="54"/>
      <c r="GMA242" s="8"/>
      <c r="GMB242" s="54"/>
      <c r="GMC242" s="8"/>
      <c r="GMD242" s="54"/>
      <c r="GME242" s="8"/>
      <c r="GMF242" s="54"/>
      <c r="GMG242" s="8"/>
      <c r="GMH242" s="54"/>
      <c r="GMI242" s="8"/>
      <c r="GMJ242" s="54"/>
      <c r="GMK242" s="8"/>
      <c r="GML242" s="54"/>
      <c r="GMM242" s="8"/>
      <c r="GMN242" s="54"/>
      <c r="GMO242" s="8"/>
      <c r="GMP242" s="54"/>
      <c r="GMQ242" s="8"/>
      <c r="GMR242" s="54"/>
      <c r="GMS242" s="8"/>
      <c r="GMT242" s="54"/>
      <c r="GMU242" s="8"/>
      <c r="GMV242" s="54"/>
      <c r="GMW242" s="8"/>
      <c r="GMX242" s="54"/>
      <c r="GMY242" s="8"/>
      <c r="GMZ242" s="54"/>
      <c r="GNA242" s="8"/>
      <c r="GNB242" s="54"/>
      <c r="GNC242" s="8"/>
      <c r="GND242" s="54"/>
      <c r="GNE242" s="8"/>
      <c r="GNF242" s="54"/>
      <c r="GNG242" s="8"/>
      <c r="GNH242" s="54"/>
      <c r="GNI242" s="8"/>
      <c r="GNJ242" s="54"/>
      <c r="GNK242" s="8"/>
      <c r="GNL242" s="54"/>
      <c r="GNM242" s="8"/>
      <c r="GNN242" s="54"/>
      <c r="GNO242" s="8"/>
      <c r="GNP242" s="54"/>
      <c r="GNQ242" s="8"/>
      <c r="GNR242" s="54"/>
      <c r="GNS242" s="8"/>
      <c r="GNT242" s="54"/>
      <c r="GNU242" s="8"/>
      <c r="GNV242" s="54"/>
      <c r="GNW242" s="8"/>
      <c r="GNX242" s="54"/>
      <c r="GNY242" s="8"/>
      <c r="GNZ242" s="54"/>
      <c r="GOA242" s="8"/>
      <c r="GOB242" s="54"/>
      <c r="GOC242" s="8"/>
      <c r="GOD242" s="54"/>
      <c r="GOE242" s="8"/>
      <c r="GOF242" s="54"/>
      <c r="GOG242" s="8"/>
      <c r="GOH242" s="54"/>
      <c r="GOI242" s="8"/>
      <c r="GOJ242" s="54"/>
      <c r="GOK242" s="8"/>
      <c r="GOL242" s="54"/>
      <c r="GOM242" s="8"/>
      <c r="GON242" s="54"/>
      <c r="GOO242" s="8"/>
      <c r="GOP242" s="54"/>
      <c r="GOQ242" s="8"/>
      <c r="GOR242" s="54"/>
      <c r="GOS242" s="8"/>
      <c r="GOT242" s="54"/>
      <c r="GOU242" s="8"/>
      <c r="GOV242" s="54"/>
      <c r="GOW242" s="8"/>
      <c r="GOX242" s="54"/>
      <c r="GOY242" s="8"/>
      <c r="GOZ242" s="54"/>
      <c r="GPA242" s="8"/>
      <c r="GPB242" s="54"/>
      <c r="GPC242" s="8"/>
      <c r="GPD242" s="54"/>
      <c r="GPE242" s="8"/>
      <c r="GPF242" s="54"/>
      <c r="GPG242" s="8"/>
      <c r="GPH242" s="54"/>
      <c r="GPI242" s="8"/>
      <c r="GPJ242" s="54"/>
      <c r="GPK242" s="8"/>
      <c r="GPL242" s="54"/>
      <c r="GPM242" s="8"/>
      <c r="GPN242" s="54"/>
      <c r="GPO242" s="8"/>
      <c r="GPP242" s="54"/>
      <c r="GPQ242" s="8"/>
      <c r="GPR242" s="54"/>
      <c r="GPS242" s="8"/>
      <c r="GPT242" s="54"/>
      <c r="GPU242" s="8"/>
      <c r="GPV242" s="54"/>
      <c r="GPW242" s="8"/>
      <c r="GPX242" s="54"/>
      <c r="GPY242" s="8"/>
      <c r="GPZ242" s="54"/>
      <c r="GQA242" s="8"/>
      <c r="GQB242" s="54"/>
      <c r="GQC242" s="8"/>
      <c r="GQD242" s="54"/>
      <c r="GQE242" s="8"/>
      <c r="GQF242" s="54"/>
      <c r="GQG242" s="8"/>
      <c r="GQH242" s="54"/>
      <c r="GQI242" s="8"/>
      <c r="GQJ242" s="54"/>
      <c r="GQK242" s="8"/>
      <c r="GQL242" s="54"/>
      <c r="GQM242" s="8"/>
      <c r="GQN242" s="54"/>
      <c r="GQO242" s="8"/>
      <c r="GQP242" s="54"/>
      <c r="GQQ242" s="8"/>
      <c r="GQR242" s="54"/>
      <c r="GQS242" s="8"/>
      <c r="GQT242" s="54"/>
      <c r="GQU242" s="8"/>
      <c r="GQV242" s="54"/>
      <c r="GQW242" s="8"/>
      <c r="GQX242" s="54"/>
      <c r="GQY242" s="8"/>
      <c r="GQZ242" s="54"/>
      <c r="GRA242" s="8"/>
      <c r="GRB242" s="54"/>
      <c r="GRC242" s="8"/>
      <c r="GRD242" s="54"/>
      <c r="GRE242" s="8"/>
      <c r="GRF242" s="54"/>
      <c r="GRG242" s="8"/>
      <c r="GRH242" s="54"/>
      <c r="GRI242" s="8"/>
      <c r="GRJ242" s="54"/>
      <c r="GRK242" s="8"/>
      <c r="GRL242" s="54"/>
      <c r="GRM242" s="8"/>
      <c r="GRN242" s="54"/>
      <c r="GRO242" s="8"/>
      <c r="GRP242" s="54"/>
      <c r="GRQ242" s="8"/>
      <c r="GRR242" s="54"/>
      <c r="GRS242" s="8"/>
      <c r="GRT242" s="54"/>
      <c r="GRU242" s="8"/>
      <c r="GRV242" s="54"/>
      <c r="GRW242" s="8"/>
      <c r="GRX242" s="54"/>
      <c r="GRY242" s="8"/>
      <c r="GRZ242" s="54"/>
      <c r="GSA242" s="8"/>
      <c r="GSB242" s="54"/>
      <c r="GSC242" s="8"/>
      <c r="GSD242" s="54"/>
      <c r="GSE242" s="8"/>
      <c r="GSF242" s="54"/>
      <c r="GSG242" s="8"/>
      <c r="GSH242" s="54"/>
      <c r="GSI242" s="8"/>
      <c r="GSJ242" s="54"/>
      <c r="GSK242" s="8"/>
      <c r="GSL242" s="54"/>
      <c r="GSM242" s="8"/>
      <c r="GSN242" s="54"/>
      <c r="GSO242" s="8"/>
      <c r="GSP242" s="54"/>
      <c r="GSQ242" s="8"/>
      <c r="GSR242" s="54"/>
      <c r="GSS242" s="8"/>
      <c r="GST242" s="54"/>
      <c r="GSU242" s="8"/>
      <c r="GSV242" s="54"/>
      <c r="GSW242" s="8"/>
      <c r="GSX242" s="54"/>
      <c r="GSY242" s="8"/>
      <c r="GSZ242" s="54"/>
      <c r="GTA242" s="8"/>
      <c r="GTB242" s="54"/>
      <c r="GTC242" s="8"/>
      <c r="GTD242" s="54"/>
      <c r="GTE242" s="8"/>
      <c r="GTF242" s="54"/>
      <c r="GTG242" s="8"/>
      <c r="GTH242" s="54"/>
      <c r="GTI242" s="8"/>
      <c r="GTJ242" s="54"/>
      <c r="GTK242" s="8"/>
      <c r="GTL242" s="54"/>
      <c r="GTM242" s="8"/>
      <c r="GTN242" s="54"/>
      <c r="GTO242" s="8"/>
      <c r="GTP242" s="54"/>
      <c r="GTQ242" s="8"/>
      <c r="GTR242" s="54"/>
      <c r="GTS242" s="8"/>
      <c r="GTT242" s="54"/>
      <c r="GTU242" s="8"/>
      <c r="GTV242" s="54"/>
      <c r="GTW242" s="8"/>
      <c r="GTX242" s="54"/>
      <c r="GTY242" s="8"/>
      <c r="GTZ242" s="54"/>
      <c r="GUA242" s="8"/>
      <c r="GUB242" s="54"/>
      <c r="GUC242" s="8"/>
      <c r="GUD242" s="54"/>
      <c r="GUE242" s="8"/>
      <c r="GUF242" s="54"/>
      <c r="GUG242" s="8"/>
      <c r="GUH242" s="54"/>
      <c r="GUI242" s="8"/>
      <c r="GUJ242" s="54"/>
      <c r="GUK242" s="8"/>
      <c r="GUL242" s="54"/>
      <c r="GUM242" s="8"/>
      <c r="GUN242" s="54"/>
      <c r="GUO242" s="8"/>
      <c r="GUP242" s="54"/>
      <c r="GUQ242" s="8"/>
      <c r="GUR242" s="54"/>
      <c r="GUS242" s="8"/>
      <c r="GUT242" s="54"/>
      <c r="GUU242" s="8"/>
      <c r="GUV242" s="54"/>
      <c r="GUW242" s="8"/>
      <c r="GUX242" s="54"/>
      <c r="GUY242" s="8"/>
      <c r="GUZ242" s="54"/>
      <c r="GVA242" s="8"/>
      <c r="GVB242" s="54"/>
      <c r="GVC242" s="8"/>
      <c r="GVD242" s="54"/>
      <c r="GVE242" s="8"/>
      <c r="GVF242" s="54"/>
      <c r="GVG242" s="8"/>
      <c r="GVH242" s="54"/>
      <c r="GVI242" s="8"/>
      <c r="GVJ242" s="54"/>
      <c r="GVK242" s="8"/>
      <c r="GVL242" s="54"/>
      <c r="GVM242" s="8"/>
      <c r="GVN242" s="54"/>
      <c r="GVO242" s="8"/>
      <c r="GVP242" s="54"/>
      <c r="GVQ242" s="8"/>
      <c r="GVR242" s="54"/>
      <c r="GVS242" s="8"/>
      <c r="GVT242" s="54"/>
      <c r="GVU242" s="8"/>
      <c r="GVV242" s="54"/>
      <c r="GVW242" s="8"/>
      <c r="GVX242" s="54"/>
      <c r="GVY242" s="8"/>
      <c r="GVZ242" s="54"/>
      <c r="GWA242" s="8"/>
      <c r="GWB242" s="54"/>
      <c r="GWC242" s="8"/>
      <c r="GWD242" s="54"/>
      <c r="GWE242" s="8"/>
      <c r="GWF242" s="54"/>
      <c r="GWG242" s="8"/>
      <c r="GWH242" s="54"/>
      <c r="GWI242" s="8"/>
      <c r="GWJ242" s="54"/>
      <c r="GWK242" s="8"/>
      <c r="GWL242" s="54"/>
      <c r="GWM242" s="8"/>
      <c r="GWN242" s="54"/>
      <c r="GWO242" s="8"/>
      <c r="GWP242" s="54"/>
      <c r="GWQ242" s="8"/>
      <c r="GWR242" s="54"/>
      <c r="GWS242" s="8"/>
      <c r="GWT242" s="54"/>
      <c r="GWU242" s="8"/>
      <c r="GWV242" s="54"/>
      <c r="GWW242" s="8"/>
      <c r="GWX242" s="54"/>
      <c r="GWY242" s="8"/>
      <c r="GWZ242" s="54"/>
      <c r="GXA242" s="8"/>
      <c r="GXB242" s="54"/>
      <c r="GXC242" s="8"/>
      <c r="GXD242" s="54"/>
      <c r="GXE242" s="8"/>
      <c r="GXF242" s="54"/>
      <c r="GXG242" s="8"/>
      <c r="GXH242" s="54"/>
      <c r="GXI242" s="8"/>
      <c r="GXJ242" s="54"/>
      <c r="GXK242" s="8"/>
      <c r="GXL242" s="54"/>
      <c r="GXM242" s="8"/>
      <c r="GXN242" s="54"/>
      <c r="GXO242" s="8"/>
      <c r="GXP242" s="54"/>
      <c r="GXQ242" s="8"/>
      <c r="GXR242" s="54"/>
      <c r="GXS242" s="8"/>
      <c r="GXT242" s="54"/>
      <c r="GXU242" s="8"/>
      <c r="GXV242" s="54"/>
      <c r="GXW242" s="8"/>
      <c r="GXX242" s="54"/>
      <c r="GXY242" s="8"/>
      <c r="GXZ242" s="54"/>
      <c r="GYA242" s="8"/>
      <c r="GYB242" s="54"/>
      <c r="GYC242" s="8"/>
      <c r="GYD242" s="54"/>
      <c r="GYE242" s="8"/>
      <c r="GYF242" s="54"/>
      <c r="GYG242" s="8"/>
      <c r="GYH242" s="54"/>
      <c r="GYI242" s="8"/>
      <c r="GYJ242" s="54"/>
      <c r="GYK242" s="8"/>
      <c r="GYL242" s="54"/>
      <c r="GYM242" s="8"/>
      <c r="GYN242" s="54"/>
      <c r="GYO242" s="8"/>
      <c r="GYP242" s="54"/>
      <c r="GYQ242" s="8"/>
      <c r="GYR242" s="54"/>
      <c r="GYS242" s="8"/>
      <c r="GYT242" s="54"/>
      <c r="GYU242" s="8"/>
      <c r="GYV242" s="54"/>
      <c r="GYW242" s="8"/>
      <c r="GYX242" s="54"/>
      <c r="GYY242" s="8"/>
      <c r="GYZ242" s="54"/>
      <c r="GZA242" s="8"/>
      <c r="GZB242" s="54"/>
      <c r="GZC242" s="8"/>
      <c r="GZD242" s="54"/>
      <c r="GZE242" s="8"/>
      <c r="GZF242" s="54"/>
      <c r="GZG242" s="8"/>
      <c r="GZH242" s="54"/>
      <c r="GZI242" s="8"/>
      <c r="GZJ242" s="54"/>
      <c r="GZK242" s="8"/>
      <c r="GZL242" s="54"/>
      <c r="GZM242" s="8"/>
      <c r="GZN242" s="54"/>
      <c r="GZO242" s="8"/>
      <c r="GZP242" s="54"/>
      <c r="GZQ242" s="8"/>
      <c r="GZR242" s="54"/>
      <c r="GZS242" s="8"/>
      <c r="GZT242" s="54"/>
      <c r="GZU242" s="8"/>
      <c r="GZV242" s="54"/>
      <c r="GZW242" s="8"/>
      <c r="GZX242" s="54"/>
      <c r="GZY242" s="8"/>
      <c r="GZZ242" s="54"/>
      <c r="HAA242" s="8"/>
      <c r="HAB242" s="54"/>
      <c r="HAC242" s="8"/>
      <c r="HAD242" s="54"/>
      <c r="HAE242" s="8"/>
      <c r="HAF242" s="54"/>
      <c r="HAG242" s="8"/>
      <c r="HAH242" s="54"/>
      <c r="HAI242" s="8"/>
      <c r="HAJ242" s="54"/>
      <c r="HAK242" s="8"/>
      <c r="HAL242" s="54"/>
      <c r="HAM242" s="8"/>
      <c r="HAN242" s="54"/>
      <c r="HAO242" s="8"/>
      <c r="HAP242" s="54"/>
      <c r="HAQ242" s="8"/>
      <c r="HAR242" s="54"/>
      <c r="HAS242" s="8"/>
      <c r="HAT242" s="54"/>
      <c r="HAU242" s="8"/>
      <c r="HAV242" s="54"/>
      <c r="HAW242" s="8"/>
      <c r="HAX242" s="54"/>
      <c r="HAY242" s="8"/>
      <c r="HAZ242" s="54"/>
      <c r="HBA242" s="8"/>
      <c r="HBB242" s="54"/>
      <c r="HBC242" s="8"/>
      <c r="HBD242" s="54"/>
      <c r="HBE242" s="8"/>
      <c r="HBF242" s="54"/>
      <c r="HBG242" s="8"/>
      <c r="HBH242" s="54"/>
      <c r="HBI242" s="8"/>
      <c r="HBJ242" s="54"/>
      <c r="HBK242" s="8"/>
      <c r="HBL242" s="54"/>
      <c r="HBM242" s="8"/>
      <c r="HBN242" s="54"/>
      <c r="HBO242" s="8"/>
      <c r="HBP242" s="54"/>
      <c r="HBQ242" s="8"/>
      <c r="HBR242" s="54"/>
      <c r="HBS242" s="8"/>
      <c r="HBT242" s="54"/>
      <c r="HBU242" s="8"/>
      <c r="HBV242" s="54"/>
      <c r="HBW242" s="8"/>
      <c r="HBX242" s="54"/>
      <c r="HBY242" s="8"/>
      <c r="HBZ242" s="54"/>
      <c r="HCA242" s="8"/>
      <c r="HCB242" s="54"/>
      <c r="HCC242" s="8"/>
      <c r="HCD242" s="54"/>
      <c r="HCE242" s="8"/>
      <c r="HCF242" s="54"/>
      <c r="HCG242" s="8"/>
      <c r="HCH242" s="54"/>
      <c r="HCI242" s="8"/>
      <c r="HCJ242" s="54"/>
      <c r="HCK242" s="8"/>
      <c r="HCL242" s="54"/>
      <c r="HCM242" s="8"/>
      <c r="HCN242" s="54"/>
      <c r="HCO242" s="8"/>
      <c r="HCP242" s="54"/>
      <c r="HCQ242" s="8"/>
      <c r="HCR242" s="54"/>
      <c r="HCS242" s="8"/>
      <c r="HCT242" s="54"/>
      <c r="HCU242" s="8"/>
      <c r="HCV242" s="54"/>
      <c r="HCW242" s="8"/>
      <c r="HCX242" s="54"/>
      <c r="HCY242" s="8"/>
      <c r="HCZ242" s="54"/>
      <c r="HDA242" s="8"/>
      <c r="HDB242" s="54"/>
      <c r="HDC242" s="8"/>
      <c r="HDD242" s="54"/>
      <c r="HDE242" s="8"/>
      <c r="HDF242" s="54"/>
      <c r="HDG242" s="8"/>
      <c r="HDH242" s="54"/>
      <c r="HDI242" s="8"/>
      <c r="HDJ242" s="54"/>
      <c r="HDK242" s="8"/>
      <c r="HDL242" s="54"/>
      <c r="HDM242" s="8"/>
      <c r="HDN242" s="54"/>
      <c r="HDO242" s="8"/>
      <c r="HDP242" s="54"/>
      <c r="HDQ242" s="8"/>
      <c r="HDR242" s="54"/>
      <c r="HDS242" s="8"/>
      <c r="HDT242" s="54"/>
      <c r="HDU242" s="8"/>
      <c r="HDV242" s="54"/>
      <c r="HDW242" s="8"/>
      <c r="HDX242" s="54"/>
      <c r="HDY242" s="8"/>
      <c r="HDZ242" s="54"/>
      <c r="HEA242" s="8"/>
      <c r="HEB242" s="54"/>
      <c r="HEC242" s="8"/>
      <c r="HED242" s="54"/>
      <c r="HEE242" s="8"/>
      <c r="HEF242" s="54"/>
      <c r="HEG242" s="8"/>
      <c r="HEH242" s="54"/>
      <c r="HEI242" s="8"/>
      <c r="HEJ242" s="54"/>
      <c r="HEK242" s="8"/>
      <c r="HEL242" s="54"/>
      <c r="HEM242" s="8"/>
      <c r="HEN242" s="54"/>
      <c r="HEO242" s="8"/>
      <c r="HEP242" s="54"/>
      <c r="HEQ242" s="8"/>
      <c r="HER242" s="54"/>
      <c r="HES242" s="8"/>
      <c r="HET242" s="54"/>
      <c r="HEU242" s="8"/>
      <c r="HEV242" s="54"/>
      <c r="HEW242" s="8"/>
      <c r="HEX242" s="54"/>
      <c r="HEY242" s="8"/>
      <c r="HEZ242" s="54"/>
      <c r="HFA242" s="8"/>
      <c r="HFB242" s="54"/>
      <c r="HFC242" s="8"/>
      <c r="HFD242" s="54"/>
      <c r="HFE242" s="8"/>
      <c r="HFF242" s="54"/>
      <c r="HFG242" s="8"/>
      <c r="HFH242" s="54"/>
      <c r="HFI242" s="8"/>
      <c r="HFJ242" s="54"/>
      <c r="HFK242" s="8"/>
      <c r="HFL242" s="54"/>
      <c r="HFM242" s="8"/>
      <c r="HFN242" s="54"/>
      <c r="HFO242" s="8"/>
      <c r="HFP242" s="54"/>
      <c r="HFQ242" s="8"/>
      <c r="HFR242" s="54"/>
      <c r="HFS242" s="8"/>
      <c r="HFT242" s="54"/>
      <c r="HFU242" s="8"/>
      <c r="HFV242" s="54"/>
      <c r="HFW242" s="8"/>
      <c r="HFX242" s="54"/>
      <c r="HFY242" s="8"/>
      <c r="HFZ242" s="54"/>
      <c r="HGA242" s="8"/>
      <c r="HGB242" s="54"/>
      <c r="HGC242" s="8"/>
      <c r="HGD242" s="54"/>
      <c r="HGE242" s="8"/>
      <c r="HGF242" s="54"/>
      <c r="HGG242" s="8"/>
      <c r="HGH242" s="54"/>
      <c r="HGI242" s="8"/>
      <c r="HGJ242" s="54"/>
      <c r="HGK242" s="8"/>
      <c r="HGL242" s="54"/>
      <c r="HGM242" s="8"/>
      <c r="HGN242" s="54"/>
      <c r="HGO242" s="8"/>
      <c r="HGP242" s="54"/>
      <c r="HGQ242" s="8"/>
      <c r="HGR242" s="54"/>
      <c r="HGS242" s="8"/>
      <c r="HGT242" s="54"/>
      <c r="HGU242" s="8"/>
      <c r="HGV242" s="54"/>
      <c r="HGW242" s="8"/>
      <c r="HGX242" s="54"/>
      <c r="HGY242" s="8"/>
      <c r="HGZ242" s="54"/>
      <c r="HHA242" s="8"/>
      <c r="HHB242" s="54"/>
      <c r="HHC242" s="8"/>
      <c r="HHD242" s="54"/>
      <c r="HHE242" s="8"/>
      <c r="HHF242" s="54"/>
      <c r="HHG242" s="8"/>
      <c r="HHH242" s="54"/>
      <c r="HHI242" s="8"/>
      <c r="HHJ242" s="54"/>
      <c r="HHK242" s="8"/>
      <c r="HHL242" s="54"/>
      <c r="HHM242" s="8"/>
      <c r="HHN242" s="54"/>
      <c r="HHO242" s="8"/>
      <c r="HHP242" s="54"/>
      <c r="HHQ242" s="8"/>
      <c r="HHR242" s="54"/>
      <c r="HHS242" s="8"/>
      <c r="HHT242" s="54"/>
      <c r="HHU242" s="8"/>
      <c r="HHV242" s="54"/>
      <c r="HHW242" s="8"/>
      <c r="HHX242" s="54"/>
      <c r="HHY242" s="8"/>
      <c r="HHZ242" s="54"/>
      <c r="HIA242" s="8"/>
      <c r="HIB242" s="54"/>
      <c r="HIC242" s="8"/>
      <c r="HID242" s="54"/>
      <c r="HIE242" s="8"/>
      <c r="HIF242" s="54"/>
      <c r="HIG242" s="8"/>
      <c r="HIH242" s="54"/>
      <c r="HII242" s="8"/>
      <c r="HIJ242" s="54"/>
      <c r="HIK242" s="8"/>
      <c r="HIL242" s="54"/>
      <c r="HIM242" s="8"/>
      <c r="HIN242" s="54"/>
      <c r="HIO242" s="8"/>
      <c r="HIP242" s="54"/>
      <c r="HIQ242" s="8"/>
      <c r="HIR242" s="54"/>
      <c r="HIS242" s="8"/>
      <c r="HIT242" s="54"/>
      <c r="HIU242" s="8"/>
      <c r="HIV242" s="54"/>
      <c r="HIW242" s="8"/>
      <c r="HIX242" s="54"/>
      <c r="HIY242" s="8"/>
      <c r="HIZ242" s="54"/>
      <c r="HJA242" s="8"/>
      <c r="HJB242" s="54"/>
      <c r="HJC242" s="8"/>
      <c r="HJD242" s="54"/>
      <c r="HJE242" s="8"/>
      <c r="HJF242" s="54"/>
      <c r="HJG242" s="8"/>
      <c r="HJH242" s="54"/>
      <c r="HJI242" s="8"/>
      <c r="HJJ242" s="54"/>
      <c r="HJK242" s="8"/>
      <c r="HJL242" s="54"/>
      <c r="HJM242" s="8"/>
      <c r="HJN242" s="54"/>
      <c r="HJO242" s="8"/>
      <c r="HJP242" s="54"/>
      <c r="HJQ242" s="8"/>
      <c r="HJR242" s="54"/>
      <c r="HJS242" s="8"/>
      <c r="HJT242" s="54"/>
      <c r="HJU242" s="8"/>
      <c r="HJV242" s="54"/>
      <c r="HJW242" s="8"/>
      <c r="HJX242" s="54"/>
      <c r="HJY242" s="8"/>
      <c r="HJZ242" s="54"/>
      <c r="HKA242" s="8"/>
      <c r="HKB242" s="54"/>
      <c r="HKC242" s="8"/>
      <c r="HKD242" s="54"/>
      <c r="HKE242" s="8"/>
      <c r="HKF242" s="54"/>
      <c r="HKG242" s="8"/>
      <c r="HKH242" s="54"/>
      <c r="HKI242" s="8"/>
      <c r="HKJ242" s="54"/>
      <c r="HKK242" s="8"/>
      <c r="HKL242" s="54"/>
      <c r="HKM242" s="8"/>
      <c r="HKN242" s="54"/>
      <c r="HKO242" s="8"/>
      <c r="HKP242" s="54"/>
      <c r="HKQ242" s="8"/>
      <c r="HKR242" s="54"/>
      <c r="HKS242" s="8"/>
      <c r="HKT242" s="54"/>
      <c r="HKU242" s="8"/>
      <c r="HKV242" s="54"/>
      <c r="HKW242" s="8"/>
      <c r="HKX242" s="54"/>
      <c r="HKY242" s="8"/>
      <c r="HKZ242" s="54"/>
      <c r="HLA242" s="8"/>
      <c r="HLB242" s="54"/>
      <c r="HLC242" s="8"/>
      <c r="HLD242" s="54"/>
      <c r="HLE242" s="8"/>
      <c r="HLF242" s="54"/>
      <c r="HLG242" s="8"/>
      <c r="HLH242" s="54"/>
      <c r="HLI242" s="8"/>
      <c r="HLJ242" s="54"/>
      <c r="HLK242" s="8"/>
      <c r="HLL242" s="54"/>
      <c r="HLM242" s="8"/>
      <c r="HLN242" s="54"/>
      <c r="HLO242" s="8"/>
      <c r="HLP242" s="54"/>
      <c r="HLQ242" s="8"/>
      <c r="HLR242" s="54"/>
      <c r="HLS242" s="8"/>
      <c r="HLT242" s="54"/>
      <c r="HLU242" s="8"/>
      <c r="HLV242" s="54"/>
      <c r="HLW242" s="8"/>
      <c r="HLX242" s="54"/>
      <c r="HLY242" s="8"/>
      <c r="HLZ242" s="54"/>
      <c r="HMA242" s="8"/>
      <c r="HMB242" s="54"/>
      <c r="HMC242" s="8"/>
      <c r="HMD242" s="54"/>
      <c r="HME242" s="8"/>
      <c r="HMF242" s="54"/>
      <c r="HMG242" s="8"/>
      <c r="HMH242" s="54"/>
      <c r="HMI242" s="8"/>
      <c r="HMJ242" s="54"/>
      <c r="HMK242" s="8"/>
      <c r="HML242" s="54"/>
      <c r="HMM242" s="8"/>
      <c r="HMN242" s="54"/>
      <c r="HMO242" s="8"/>
      <c r="HMP242" s="54"/>
      <c r="HMQ242" s="8"/>
      <c r="HMR242" s="54"/>
      <c r="HMS242" s="8"/>
      <c r="HMT242" s="54"/>
      <c r="HMU242" s="8"/>
      <c r="HMV242" s="54"/>
      <c r="HMW242" s="8"/>
      <c r="HMX242" s="54"/>
      <c r="HMY242" s="8"/>
      <c r="HMZ242" s="54"/>
      <c r="HNA242" s="8"/>
      <c r="HNB242" s="54"/>
      <c r="HNC242" s="8"/>
      <c r="HND242" s="54"/>
      <c r="HNE242" s="8"/>
      <c r="HNF242" s="54"/>
      <c r="HNG242" s="8"/>
      <c r="HNH242" s="54"/>
      <c r="HNI242" s="8"/>
      <c r="HNJ242" s="54"/>
      <c r="HNK242" s="8"/>
      <c r="HNL242" s="54"/>
      <c r="HNM242" s="8"/>
      <c r="HNN242" s="54"/>
      <c r="HNO242" s="8"/>
      <c r="HNP242" s="54"/>
      <c r="HNQ242" s="8"/>
      <c r="HNR242" s="54"/>
      <c r="HNS242" s="8"/>
      <c r="HNT242" s="54"/>
      <c r="HNU242" s="8"/>
      <c r="HNV242" s="54"/>
      <c r="HNW242" s="8"/>
      <c r="HNX242" s="54"/>
      <c r="HNY242" s="8"/>
      <c r="HNZ242" s="54"/>
      <c r="HOA242" s="8"/>
      <c r="HOB242" s="54"/>
      <c r="HOC242" s="8"/>
      <c r="HOD242" s="54"/>
      <c r="HOE242" s="8"/>
      <c r="HOF242" s="54"/>
      <c r="HOG242" s="8"/>
      <c r="HOH242" s="54"/>
      <c r="HOI242" s="8"/>
      <c r="HOJ242" s="54"/>
      <c r="HOK242" s="8"/>
      <c r="HOL242" s="54"/>
      <c r="HOM242" s="8"/>
      <c r="HON242" s="54"/>
      <c r="HOO242" s="8"/>
      <c r="HOP242" s="54"/>
      <c r="HOQ242" s="8"/>
      <c r="HOR242" s="54"/>
      <c r="HOS242" s="8"/>
      <c r="HOT242" s="54"/>
      <c r="HOU242" s="8"/>
      <c r="HOV242" s="54"/>
      <c r="HOW242" s="8"/>
      <c r="HOX242" s="54"/>
      <c r="HOY242" s="8"/>
      <c r="HOZ242" s="54"/>
      <c r="HPA242" s="8"/>
      <c r="HPB242" s="54"/>
      <c r="HPC242" s="8"/>
      <c r="HPD242" s="54"/>
      <c r="HPE242" s="8"/>
      <c r="HPF242" s="54"/>
      <c r="HPG242" s="8"/>
      <c r="HPH242" s="54"/>
      <c r="HPI242" s="8"/>
      <c r="HPJ242" s="54"/>
      <c r="HPK242" s="8"/>
      <c r="HPL242" s="54"/>
      <c r="HPM242" s="8"/>
      <c r="HPN242" s="54"/>
      <c r="HPO242" s="8"/>
      <c r="HPP242" s="54"/>
      <c r="HPQ242" s="8"/>
      <c r="HPR242" s="54"/>
      <c r="HPS242" s="8"/>
      <c r="HPT242" s="54"/>
      <c r="HPU242" s="8"/>
      <c r="HPV242" s="54"/>
      <c r="HPW242" s="8"/>
      <c r="HPX242" s="54"/>
      <c r="HPY242" s="8"/>
      <c r="HPZ242" s="54"/>
      <c r="HQA242" s="8"/>
      <c r="HQB242" s="54"/>
      <c r="HQC242" s="8"/>
      <c r="HQD242" s="54"/>
      <c r="HQE242" s="8"/>
      <c r="HQF242" s="54"/>
      <c r="HQG242" s="8"/>
      <c r="HQH242" s="54"/>
      <c r="HQI242" s="8"/>
      <c r="HQJ242" s="54"/>
      <c r="HQK242" s="8"/>
      <c r="HQL242" s="54"/>
      <c r="HQM242" s="8"/>
      <c r="HQN242" s="54"/>
      <c r="HQO242" s="8"/>
      <c r="HQP242" s="54"/>
      <c r="HQQ242" s="8"/>
      <c r="HQR242" s="54"/>
      <c r="HQS242" s="8"/>
      <c r="HQT242" s="54"/>
      <c r="HQU242" s="8"/>
      <c r="HQV242" s="54"/>
      <c r="HQW242" s="8"/>
      <c r="HQX242" s="54"/>
      <c r="HQY242" s="8"/>
      <c r="HQZ242" s="54"/>
      <c r="HRA242" s="8"/>
      <c r="HRB242" s="54"/>
      <c r="HRC242" s="8"/>
      <c r="HRD242" s="54"/>
      <c r="HRE242" s="8"/>
      <c r="HRF242" s="54"/>
      <c r="HRG242" s="8"/>
      <c r="HRH242" s="54"/>
      <c r="HRI242" s="8"/>
      <c r="HRJ242" s="54"/>
      <c r="HRK242" s="8"/>
      <c r="HRL242" s="54"/>
      <c r="HRM242" s="8"/>
      <c r="HRN242" s="54"/>
      <c r="HRO242" s="8"/>
      <c r="HRP242" s="54"/>
      <c r="HRQ242" s="8"/>
      <c r="HRR242" s="54"/>
      <c r="HRS242" s="8"/>
      <c r="HRT242" s="54"/>
      <c r="HRU242" s="8"/>
      <c r="HRV242" s="54"/>
      <c r="HRW242" s="8"/>
      <c r="HRX242" s="54"/>
      <c r="HRY242" s="8"/>
      <c r="HRZ242" s="54"/>
      <c r="HSA242" s="8"/>
      <c r="HSB242" s="54"/>
      <c r="HSC242" s="8"/>
      <c r="HSD242" s="54"/>
      <c r="HSE242" s="8"/>
      <c r="HSF242" s="54"/>
      <c r="HSG242" s="8"/>
      <c r="HSH242" s="54"/>
      <c r="HSI242" s="8"/>
      <c r="HSJ242" s="54"/>
      <c r="HSK242" s="8"/>
      <c r="HSL242" s="54"/>
      <c r="HSM242" s="8"/>
      <c r="HSN242" s="54"/>
      <c r="HSO242" s="8"/>
      <c r="HSP242" s="54"/>
      <c r="HSQ242" s="8"/>
      <c r="HSR242" s="54"/>
      <c r="HSS242" s="8"/>
      <c r="HST242" s="54"/>
      <c r="HSU242" s="8"/>
      <c r="HSV242" s="54"/>
      <c r="HSW242" s="8"/>
      <c r="HSX242" s="54"/>
      <c r="HSY242" s="8"/>
      <c r="HSZ242" s="54"/>
      <c r="HTA242" s="8"/>
      <c r="HTB242" s="54"/>
      <c r="HTC242" s="8"/>
      <c r="HTD242" s="54"/>
      <c r="HTE242" s="8"/>
      <c r="HTF242" s="54"/>
      <c r="HTG242" s="8"/>
      <c r="HTH242" s="54"/>
      <c r="HTI242" s="8"/>
      <c r="HTJ242" s="54"/>
      <c r="HTK242" s="8"/>
      <c r="HTL242" s="54"/>
      <c r="HTM242" s="8"/>
      <c r="HTN242" s="54"/>
      <c r="HTO242" s="8"/>
      <c r="HTP242" s="54"/>
      <c r="HTQ242" s="8"/>
      <c r="HTR242" s="54"/>
      <c r="HTS242" s="8"/>
      <c r="HTT242" s="54"/>
      <c r="HTU242" s="8"/>
      <c r="HTV242" s="54"/>
      <c r="HTW242" s="8"/>
      <c r="HTX242" s="54"/>
      <c r="HTY242" s="8"/>
      <c r="HTZ242" s="54"/>
      <c r="HUA242" s="8"/>
      <c r="HUB242" s="54"/>
      <c r="HUC242" s="8"/>
      <c r="HUD242" s="54"/>
      <c r="HUE242" s="8"/>
      <c r="HUF242" s="54"/>
      <c r="HUG242" s="8"/>
      <c r="HUH242" s="54"/>
      <c r="HUI242" s="8"/>
      <c r="HUJ242" s="54"/>
      <c r="HUK242" s="8"/>
      <c r="HUL242" s="54"/>
      <c r="HUM242" s="8"/>
      <c r="HUN242" s="54"/>
      <c r="HUO242" s="8"/>
      <c r="HUP242" s="54"/>
      <c r="HUQ242" s="8"/>
      <c r="HUR242" s="54"/>
      <c r="HUS242" s="8"/>
      <c r="HUT242" s="54"/>
      <c r="HUU242" s="8"/>
      <c r="HUV242" s="54"/>
      <c r="HUW242" s="8"/>
      <c r="HUX242" s="54"/>
      <c r="HUY242" s="8"/>
      <c r="HUZ242" s="54"/>
      <c r="HVA242" s="8"/>
      <c r="HVB242" s="54"/>
      <c r="HVC242" s="8"/>
      <c r="HVD242" s="54"/>
      <c r="HVE242" s="8"/>
      <c r="HVF242" s="54"/>
      <c r="HVG242" s="8"/>
      <c r="HVH242" s="54"/>
      <c r="HVI242" s="8"/>
      <c r="HVJ242" s="54"/>
      <c r="HVK242" s="8"/>
      <c r="HVL242" s="54"/>
      <c r="HVM242" s="8"/>
      <c r="HVN242" s="54"/>
      <c r="HVO242" s="8"/>
      <c r="HVP242" s="54"/>
      <c r="HVQ242" s="8"/>
      <c r="HVR242" s="54"/>
      <c r="HVS242" s="8"/>
      <c r="HVT242" s="54"/>
      <c r="HVU242" s="8"/>
      <c r="HVV242" s="54"/>
      <c r="HVW242" s="8"/>
      <c r="HVX242" s="54"/>
      <c r="HVY242" s="8"/>
      <c r="HVZ242" s="54"/>
      <c r="HWA242" s="8"/>
      <c r="HWB242" s="54"/>
      <c r="HWC242" s="8"/>
      <c r="HWD242" s="54"/>
      <c r="HWE242" s="8"/>
      <c r="HWF242" s="54"/>
      <c r="HWG242" s="8"/>
      <c r="HWH242" s="54"/>
      <c r="HWI242" s="8"/>
      <c r="HWJ242" s="54"/>
      <c r="HWK242" s="8"/>
      <c r="HWL242" s="54"/>
      <c r="HWM242" s="8"/>
      <c r="HWN242" s="54"/>
      <c r="HWO242" s="8"/>
      <c r="HWP242" s="54"/>
      <c r="HWQ242" s="8"/>
      <c r="HWR242" s="54"/>
      <c r="HWS242" s="8"/>
      <c r="HWT242" s="54"/>
      <c r="HWU242" s="8"/>
      <c r="HWV242" s="54"/>
      <c r="HWW242" s="8"/>
      <c r="HWX242" s="54"/>
      <c r="HWY242" s="8"/>
      <c r="HWZ242" s="54"/>
      <c r="HXA242" s="8"/>
      <c r="HXB242" s="54"/>
      <c r="HXC242" s="8"/>
      <c r="HXD242" s="54"/>
      <c r="HXE242" s="8"/>
      <c r="HXF242" s="54"/>
      <c r="HXG242" s="8"/>
      <c r="HXH242" s="54"/>
      <c r="HXI242" s="8"/>
      <c r="HXJ242" s="54"/>
      <c r="HXK242" s="8"/>
      <c r="HXL242" s="54"/>
      <c r="HXM242" s="8"/>
      <c r="HXN242" s="54"/>
      <c r="HXO242" s="8"/>
      <c r="HXP242" s="54"/>
      <c r="HXQ242" s="8"/>
      <c r="HXR242" s="54"/>
      <c r="HXS242" s="8"/>
      <c r="HXT242" s="54"/>
      <c r="HXU242" s="8"/>
      <c r="HXV242" s="54"/>
      <c r="HXW242" s="8"/>
      <c r="HXX242" s="54"/>
      <c r="HXY242" s="8"/>
      <c r="HXZ242" s="54"/>
      <c r="HYA242" s="8"/>
      <c r="HYB242" s="54"/>
      <c r="HYC242" s="8"/>
      <c r="HYD242" s="54"/>
      <c r="HYE242" s="8"/>
      <c r="HYF242" s="54"/>
      <c r="HYG242" s="8"/>
      <c r="HYH242" s="54"/>
      <c r="HYI242" s="8"/>
      <c r="HYJ242" s="54"/>
      <c r="HYK242" s="8"/>
      <c r="HYL242" s="54"/>
      <c r="HYM242" s="8"/>
      <c r="HYN242" s="54"/>
      <c r="HYO242" s="8"/>
      <c r="HYP242" s="54"/>
      <c r="HYQ242" s="8"/>
      <c r="HYR242" s="54"/>
      <c r="HYS242" s="8"/>
      <c r="HYT242" s="54"/>
      <c r="HYU242" s="8"/>
      <c r="HYV242" s="54"/>
      <c r="HYW242" s="8"/>
      <c r="HYX242" s="54"/>
      <c r="HYY242" s="8"/>
      <c r="HYZ242" s="54"/>
      <c r="HZA242" s="8"/>
      <c r="HZB242" s="54"/>
      <c r="HZC242" s="8"/>
      <c r="HZD242" s="54"/>
      <c r="HZE242" s="8"/>
      <c r="HZF242" s="54"/>
      <c r="HZG242" s="8"/>
      <c r="HZH242" s="54"/>
      <c r="HZI242" s="8"/>
      <c r="HZJ242" s="54"/>
      <c r="HZK242" s="8"/>
      <c r="HZL242" s="54"/>
      <c r="HZM242" s="8"/>
      <c r="HZN242" s="54"/>
      <c r="HZO242" s="8"/>
      <c r="HZP242" s="54"/>
      <c r="HZQ242" s="8"/>
      <c r="HZR242" s="54"/>
      <c r="HZS242" s="8"/>
      <c r="HZT242" s="54"/>
      <c r="HZU242" s="8"/>
      <c r="HZV242" s="54"/>
      <c r="HZW242" s="8"/>
      <c r="HZX242" s="54"/>
      <c r="HZY242" s="8"/>
      <c r="HZZ242" s="54"/>
      <c r="IAA242" s="8"/>
      <c r="IAB242" s="54"/>
      <c r="IAC242" s="8"/>
      <c r="IAD242" s="54"/>
      <c r="IAE242" s="8"/>
      <c r="IAF242" s="54"/>
      <c r="IAG242" s="8"/>
      <c r="IAH242" s="54"/>
      <c r="IAI242" s="8"/>
      <c r="IAJ242" s="54"/>
      <c r="IAK242" s="8"/>
      <c r="IAL242" s="54"/>
      <c r="IAM242" s="8"/>
      <c r="IAN242" s="54"/>
      <c r="IAO242" s="8"/>
      <c r="IAP242" s="54"/>
      <c r="IAQ242" s="8"/>
      <c r="IAR242" s="54"/>
      <c r="IAS242" s="8"/>
      <c r="IAT242" s="54"/>
      <c r="IAU242" s="8"/>
      <c r="IAV242" s="54"/>
      <c r="IAW242" s="8"/>
      <c r="IAX242" s="54"/>
      <c r="IAY242" s="8"/>
      <c r="IAZ242" s="54"/>
      <c r="IBA242" s="8"/>
      <c r="IBB242" s="54"/>
      <c r="IBC242" s="8"/>
      <c r="IBD242" s="54"/>
      <c r="IBE242" s="8"/>
      <c r="IBF242" s="54"/>
      <c r="IBG242" s="8"/>
      <c r="IBH242" s="54"/>
      <c r="IBI242" s="8"/>
      <c r="IBJ242" s="54"/>
      <c r="IBK242" s="8"/>
      <c r="IBL242" s="54"/>
      <c r="IBM242" s="8"/>
      <c r="IBN242" s="54"/>
      <c r="IBO242" s="8"/>
      <c r="IBP242" s="54"/>
      <c r="IBQ242" s="8"/>
      <c r="IBR242" s="54"/>
      <c r="IBS242" s="8"/>
      <c r="IBT242" s="54"/>
      <c r="IBU242" s="8"/>
      <c r="IBV242" s="54"/>
      <c r="IBW242" s="8"/>
      <c r="IBX242" s="54"/>
      <c r="IBY242" s="8"/>
      <c r="IBZ242" s="54"/>
      <c r="ICA242" s="8"/>
      <c r="ICB242" s="54"/>
      <c r="ICC242" s="8"/>
      <c r="ICD242" s="54"/>
      <c r="ICE242" s="8"/>
      <c r="ICF242" s="54"/>
      <c r="ICG242" s="8"/>
      <c r="ICH242" s="54"/>
      <c r="ICI242" s="8"/>
      <c r="ICJ242" s="54"/>
      <c r="ICK242" s="8"/>
      <c r="ICL242" s="54"/>
      <c r="ICM242" s="8"/>
      <c r="ICN242" s="54"/>
      <c r="ICO242" s="8"/>
      <c r="ICP242" s="54"/>
      <c r="ICQ242" s="8"/>
      <c r="ICR242" s="54"/>
      <c r="ICS242" s="8"/>
      <c r="ICT242" s="54"/>
      <c r="ICU242" s="8"/>
      <c r="ICV242" s="54"/>
      <c r="ICW242" s="8"/>
      <c r="ICX242" s="54"/>
      <c r="ICY242" s="8"/>
      <c r="ICZ242" s="54"/>
      <c r="IDA242" s="8"/>
      <c r="IDB242" s="54"/>
      <c r="IDC242" s="8"/>
      <c r="IDD242" s="54"/>
      <c r="IDE242" s="8"/>
      <c r="IDF242" s="54"/>
      <c r="IDG242" s="8"/>
      <c r="IDH242" s="54"/>
      <c r="IDI242" s="8"/>
      <c r="IDJ242" s="54"/>
      <c r="IDK242" s="8"/>
      <c r="IDL242" s="54"/>
      <c r="IDM242" s="8"/>
      <c r="IDN242" s="54"/>
      <c r="IDO242" s="8"/>
      <c r="IDP242" s="54"/>
      <c r="IDQ242" s="8"/>
      <c r="IDR242" s="54"/>
      <c r="IDS242" s="8"/>
      <c r="IDT242" s="54"/>
      <c r="IDU242" s="8"/>
      <c r="IDV242" s="54"/>
      <c r="IDW242" s="8"/>
      <c r="IDX242" s="54"/>
      <c r="IDY242" s="8"/>
      <c r="IDZ242" s="54"/>
      <c r="IEA242" s="8"/>
      <c r="IEB242" s="54"/>
      <c r="IEC242" s="8"/>
      <c r="IED242" s="54"/>
      <c r="IEE242" s="8"/>
      <c r="IEF242" s="54"/>
      <c r="IEG242" s="8"/>
      <c r="IEH242" s="54"/>
      <c r="IEI242" s="8"/>
      <c r="IEJ242" s="54"/>
      <c r="IEK242" s="8"/>
      <c r="IEL242" s="54"/>
      <c r="IEM242" s="8"/>
      <c r="IEN242" s="54"/>
      <c r="IEO242" s="8"/>
      <c r="IEP242" s="54"/>
      <c r="IEQ242" s="8"/>
      <c r="IER242" s="54"/>
      <c r="IES242" s="8"/>
      <c r="IET242" s="54"/>
      <c r="IEU242" s="8"/>
      <c r="IEV242" s="54"/>
      <c r="IEW242" s="8"/>
      <c r="IEX242" s="54"/>
      <c r="IEY242" s="8"/>
      <c r="IEZ242" s="54"/>
      <c r="IFA242" s="8"/>
      <c r="IFB242" s="54"/>
      <c r="IFC242" s="8"/>
      <c r="IFD242" s="54"/>
      <c r="IFE242" s="8"/>
      <c r="IFF242" s="54"/>
      <c r="IFG242" s="8"/>
      <c r="IFH242" s="54"/>
      <c r="IFI242" s="8"/>
      <c r="IFJ242" s="54"/>
      <c r="IFK242" s="8"/>
      <c r="IFL242" s="54"/>
      <c r="IFM242" s="8"/>
      <c r="IFN242" s="54"/>
      <c r="IFO242" s="8"/>
      <c r="IFP242" s="54"/>
      <c r="IFQ242" s="8"/>
      <c r="IFR242" s="54"/>
      <c r="IFS242" s="8"/>
      <c r="IFT242" s="54"/>
      <c r="IFU242" s="8"/>
      <c r="IFV242" s="54"/>
      <c r="IFW242" s="8"/>
      <c r="IFX242" s="54"/>
      <c r="IFY242" s="8"/>
      <c r="IFZ242" s="54"/>
      <c r="IGA242" s="8"/>
      <c r="IGB242" s="54"/>
      <c r="IGC242" s="8"/>
      <c r="IGD242" s="54"/>
      <c r="IGE242" s="8"/>
      <c r="IGF242" s="54"/>
      <c r="IGG242" s="8"/>
      <c r="IGH242" s="54"/>
      <c r="IGI242" s="8"/>
      <c r="IGJ242" s="54"/>
      <c r="IGK242" s="8"/>
      <c r="IGL242" s="54"/>
      <c r="IGM242" s="8"/>
      <c r="IGN242" s="54"/>
      <c r="IGO242" s="8"/>
      <c r="IGP242" s="54"/>
      <c r="IGQ242" s="8"/>
      <c r="IGR242" s="54"/>
      <c r="IGS242" s="8"/>
      <c r="IGT242" s="54"/>
      <c r="IGU242" s="8"/>
      <c r="IGV242" s="54"/>
      <c r="IGW242" s="8"/>
      <c r="IGX242" s="54"/>
      <c r="IGY242" s="8"/>
      <c r="IGZ242" s="54"/>
      <c r="IHA242" s="8"/>
      <c r="IHB242" s="54"/>
      <c r="IHC242" s="8"/>
      <c r="IHD242" s="54"/>
      <c r="IHE242" s="8"/>
      <c r="IHF242" s="54"/>
      <c r="IHG242" s="8"/>
      <c r="IHH242" s="54"/>
      <c r="IHI242" s="8"/>
      <c r="IHJ242" s="54"/>
      <c r="IHK242" s="8"/>
      <c r="IHL242" s="54"/>
      <c r="IHM242" s="8"/>
      <c r="IHN242" s="54"/>
      <c r="IHO242" s="8"/>
      <c r="IHP242" s="54"/>
      <c r="IHQ242" s="8"/>
      <c r="IHR242" s="54"/>
      <c r="IHS242" s="8"/>
      <c r="IHT242" s="54"/>
      <c r="IHU242" s="8"/>
      <c r="IHV242" s="54"/>
      <c r="IHW242" s="8"/>
      <c r="IHX242" s="54"/>
      <c r="IHY242" s="8"/>
      <c r="IHZ242" s="54"/>
      <c r="IIA242" s="8"/>
      <c r="IIB242" s="54"/>
      <c r="IIC242" s="8"/>
      <c r="IID242" s="54"/>
      <c r="IIE242" s="8"/>
      <c r="IIF242" s="54"/>
      <c r="IIG242" s="8"/>
      <c r="IIH242" s="54"/>
      <c r="III242" s="8"/>
      <c r="IIJ242" s="54"/>
      <c r="IIK242" s="8"/>
      <c r="IIL242" s="54"/>
      <c r="IIM242" s="8"/>
      <c r="IIN242" s="54"/>
      <c r="IIO242" s="8"/>
      <c r="IIP242" s="54"/>
      <c r="IIQ242" s="8"/>
      <c r="IIR242" s="54"/>
      <c r="IIS242" s="8"/>
      <c r="IIT242" s="54"/>
      <c r="IIU242" s="8"/>
      <c r="IIV242" s="54"/>
      <c r="IIW242" s="8"/>
      <c r="IIX242" s="54"/>
      <c r="IIY242" s="8"/>
      <c r="IIZ242" s="54"/>
      <c r="IJA242" s="8"/>
      <c r="IJB242" s="54"/>
      <c r="IJC242" s="8"/>
      <c r="IJD242" s="54"/>
      <c r="IJE242" s="8"/>
      <c r="IJF242" s="54"/>
      <c r="IJG242" s="8"/>
      <c r="IJH242" s="54"/>
      <c r="IJI242" s="8"/>
      <c r="IJJ242" s="54"/>
      <c r="IJK242" s="8"/>
      <c r="IJL242" s="54"/>
      <c r="IJM242" s="8"/>
      <c r="IJN242" s="54"/>
      <c r="IJO242" s="8"/>
      <c r="IJP242" s="54"/>
      <c r="IJQ242" s="8"/>
      <c r="IJR242" s="54"/>
      <c r="IJS242" s="8"/>
      <c r="IJT242" s="54"/>
      <c r="IJU242" s="8"/>
      <c r="IJV242" s="54"/>
      <c r="IJW242" s="8"/>
      <c r="IJX242" s="54"/>
      <c r="IJY242" s="8"/>
      <c r="IJZ242" s="54"/>
      <c r="IKA242" s="8"/>
      <c r="IKB242" s="54"/>
      <c r="IKC242" s="8"/>
      <c r="IKD242" s="54"/>
      <c r="IKE242" s="8"/>
      <c r="IKF242" s="54"/>
      <c r="IKG242" s="8"/>
      <c r="IKH242" s="54"/>
      <c r="IKI242" s="8"/>
      <c r="IKJ242" s="54"/>
      <c r="IKK242" s="8"/>
      <c r="IKL242" s="54"/>
      <c r="IKM242" s="8"/>
      <c r="IKN242" s="54"/>
      <c r="IKO242" s="8"/>
      <c r="IKP242" s="54"/>
      <c r="IKQ242" s="8"/>
      <c r="IKR242" s="54"/>
      <c r="IKS242" s="8"/>
      <c r="IKT242" s="54"/>
      <c r="IKU242" s="8"/>
      <c r="IKV242" s="54"/>
      <c r="IKW242" s="8"/>
      <c r="IKX242" s="54"/>
      <c r="IKY242" s="8"/>
      <c r="IKZ242" s="54"/>
      <c r="ILA242" s="8"/>
      <c r="ILB242" s="54"/>
      <c r="ILC242" s="8"/>
      <c r="ILD242" s="54"/>
      <c r="ILE242" s="8"/>
      <c r="ILF242" s="54"/>
      <c r="ILG242" s="8"/>
      <c r="ILH242" s="54"/>
      <c r="ILI242" s="8"/>
      <c r="ILJ242" s="54"/>
      <c r="ILK242" s="8"/>
      <c r="ILL242" s="54"/>
      <c r="ILM242" s="8"/>
      <c r="ILN242" s="54"/>
      <c r="ILO242" s="8"/>
      <c r="ILP242" s="54"/>
      <c r="ILQ242" s="8"/>
      <c r="ILR242" s="54"/>
      <c r="ILS242" s="8"/>
      <c r="ILT242" s="54"/>
      <c r="ILU242" s="8"/>
      <c r="ILV242" s="54"/>
      <c r="ILW242" s="8"/>
      <c r="ILX242" s="54"/>
      <c r="ILY242" s="8"/>
      <c r="ILZ242" s="54"/>
      <c r="IMA242" s="8"/>
      <c r="IMB242" s="54"/>
      <c r="IMC242" s="8"/>
      <c r="IMD242" s="54"/>
      <c r="IME242" s="8"/>
      <c r="IMF242" s="54"/>
      <c r="IMG242" s="8"/>
      <c r="IMH242" s="54"/>
      <c r="IMI242" s="8"/>
      <c r="IMJ242" s="54"/>
      <c r="IMK242" s="8"/>
      <c r="IML242" s="54"/>
      <c r="IMM242" s="8"/>
      <c r="IMN242" s="54"/>
      <c r="IMO242" s="8"/>
      <c r="IMP242" s="54"/>
      <c r="IMQ242" s="8"/>
      <c r="IMR242" s="54"/>
      <c r="IMS242" s="8"/>
      <c r="IMT242" s="54"/>
      <c r="IMU242" s="8"/>
      <c r="IMV242" s="54"/>
      <c r="IMW242" s="8"/>
      <c r="IMX242" s="54"/>
      <c r="IMY242" s="8"/>
      <c r="IMZ242" s="54"/>
      <c r="INA242" s="8"/>
      <c r="INB242" s="54"/>
      <c r="INC242" s="8"/>
      <c r="IND242" s="54"/>
      <c r="INE242" s="8"/>
      <c r="INF242" s="54"/>
      <c r="ING242" s="8"/>
      <c r="INH242" s="54"/>
      <c r="INI242" s="8"/>
      <c r="INJ242" s="54"/>
      <c r="INK242" s="8"/>
      <c r="INL242" s="54"/>
      <c r="INM242" s="8"/>
      <c r="INN242" s="54"/>
      <c r="INO242" s="8"/>
      <c r="INP242" s="54"/>
      <c r="INQ242" s="8"/>
      <c r="INR242" s="54"/>
      <c r="INS242" s="8"/>
      <c r="INT242" s="54"/>
      <c r="INU242" s="8"/>
      <c r="INV242" s="54"/>
      <c r="INW242" s="8"/>
      <c r="INX242" s="54"/>
      <c r="INY242" s="8"/>
      <c r="INZ242" s="54"/>
      <c r="IOA242" s="8"/>
      <c r="IOB242" s="54"/>
      <c r="IOC242" s="8"/>
      <c r="IOD242" s="54"/>
      <c r="IOE242" s="8"/>
      <c r="IOF242" s="54"/>
      <c r="IOG242" s="8"/>
      <c r="IOH242" s="54"/>
      <c r="IOI242" s="8"/>
      <c r="IOJ242" s="54"/>
      <c r="IOK242" s="8"/>
      <c r="IOL242" s="54"/>
      <c r="IOM242" s="8"/>
      <c r="ION242" s="54"/>
      <c r="IOO242" s="8"/>
      <c r="IOP242" s="54"/>
      <c r="IOQ242" s="8"/>
      <c r="IOR242" s="54"/>
      <c r="IOS242" s="8"/>
      <c r="IOT242" s="54"/>
      <c r="IOU242" s="8"/>
      <c r="IOV242" s="54"/>
      <c r="IOW242" s="8"/>
      <c r="IOX242" s="54"/>
      <c r="IOY242" s="8"/>
      <c r="IOZ242" s="54"/>
      <c r="IPA242" s="8"/>
      <c r="IPB242" s="54"/>
      <c r="IPC242" s="8"/>
      <c r="IPD242" s="54"/>
      <c r="IPE242" s="8"/>
      <c r="IPF242" s="54"/>
      <c r="IPG242" s="8"/>
      <c r="IPH242" s="54"/>
      <c r="IPI242" s="8"/>
      <c r="IPJ242" s="54"/>
      <c r="IPK242" s="8"/>
      <c r="IPL242" s="54"/>
      <c r="IPM242" s="8"/>
      <c r="IPN242" s="54"/>
      <c r="IPO242" s="8"/>
      <c r="IPP242" s="54"/>
      <c r="IPQ242" s="8"/>
      <c r="IPR242" s="54"/>
      <c r="IPS242" s="8"/>
      <c r="IPT242" s="54"/>
      <c r="IPU242" s="8"/>
      <c r="IPV242" s="54"/>
      <c r="IPW242" s="8"/>
      <c r="IPX242" s="54"/>
      <c r="IPY242" s="8"/>
      <c r="IPZ242" s="54"/>
      <c r="IQA242" s="8"/>
      <c r="IQB242" s="54"/>
      <c r="IQC242" s="8"/>
      <c r="IQD242" s="54"/>
      <c r="IQE242" s="8"/>
      <c r="IQF242" s="54"/>
      <c r="IQG242" s="8"/>
      <c r="IQH242" s="54"/>
      <c r="IQI242" s="8"/>
      <c r="IQJ242" s="54"/>
      <c r="IQK242" s="8"/>
      <c r="IQL242" s="54"/>
      <c r="IQM242" s="8"/>
      <c r="IQN242" s="54"/>
      <c r="IQO242" s="8"/>
      <c r="IQP242" s="54"/>
      <c r="IQQ242" s="8"/>
      <c r="IQR242" s="54"/>
      <c r="IQS242" s="8"/>
      <c r="IQT242" s="54"/>
      <c r="IQU242" s="8"/>
      <c r="IQV242" s="54"/>
      <c r="IQW242" s="8"/>
      <c r="IQX242" s="54"/>
      <c r="IQY242" s="8"/>
      <c r="IQZ242" s="54"/>
      <c r="IRA242" s="8"/>
      <c r="IRB242" s="54"/>
      <c r="IRC242" s="8"/>
      <c r="IRD242" s="54"/>
      <c r="IRE242" s="8"/>
      <c r="IRF242" s="54"/>
      <c r="IRG242" s="8"/>
      <c r="IRH242" s="54"/>
      <c r="IRI242" s="8"/>
      <c r="IRJ242" s="54"/>
      <c r="IRK242" s="8"/>
      <c r="IRL242" s="54"/>
      <c r="IRM242" s="8"/>
      <c r="IRN242" s="54"/>
      <c r="IRO242" s="8"/>
      <c r="IRP242" s="54"/>
      <c r="IRQ242" s="8"/>
      <c r="IRR242" s="54"/>
      <c r="IRS242" s="8"/>
      <c r="IRT242" s="54"/>
      <c r="IRU242" s="8"/>
      <c r="IRV242" s="54"/>
      <c r="IRW242" s="8"/>
      <c r="IRX242" s="54"/>
      <c r="IRY242" s="8"/>
      <c r="IRZ242" s="54"/>
      <c r="ISA242" s="8"/>
      <c r="ISB242" s="54"/>
      <c r="ISC242" s="8"/>
      <c r="ISD242" s="54"/>
      <c r="ISE242" s="8"/>
      <c r="ISF242" s="54"/>
      <c r="ISG242" s="8"/>
      <c r="ISH242" s="54"/>
      <c r="ISI242" s="8"/>
      <c r="ISJ242" s="54"/>
      <c r="ISK242" s="8"/>
      <c r="ISL242" s="54"/>
      <c r="ISM242" s="8"/>
      <c r="ISN242" s="54"/>
      <c r="ISO242" s="8"/>
      <c r="ISP242" s="54"/>
      <c r="ISQ242" s="8"/>
      <c r="ISR242" s="54"/>
      <c r="ISS242" s="8"/>
      <c r="IST242" s="54"/>
      <c r="ISU242" s="8"/>
      <c r="ISV242" s="54"/>
      <c r="ISW242" s="8"/>
      <c r="ISX242" s="54"/>
      <c r="ISY242" s="8"/>
      <c r="ISZ242" s="54"/>
      <c r="ITA242" s="8"/>
      <c r="ITB242" s="54"/>
      <c r="ITC242" s="8"/>
      <c r="ITD242" s="54"/>
      <c r="ITE242" s="8"/>
      <c r="ITF242" s="54"/>
      <c r="ITG242" s="8"/>
      <c r="ITH242" s="54"/>
      <c r="ITI242" s="8"/>
      <c r="ITJ242" s="54"/>
      <c r="ITK242" s="8"/>
      <c r="ITL242" s="54"/>
      <c r="ITM242" s="8"/>
      <c r="ITN242" s="54"/>
      <c r="ITO242" s="8"/>
      <c r="ITP242" s="54"/>
      <c r="ITQ242" s="8"/>
      <c r="ITR242" s="54"/>
      <c r="ITS242" s="8"/>
      <c r="ITT242" s="54"/>
      <c r="ITU242" s="8"/>
      <c r="ITV242" s="54"/>
      <c r="ITW242" s="8"/>
      <c r="ITX242" s="54"/>
      <c r="ITY242" s="8"/>
      <c r="ITZ242" s="54"/>
      <c r="IUA242" s="8"/>
      <c r="IUB242" s="54"/>
      <c r="IUC242" s="8"/>
      <c r="IUD242" s="54"/>
      <c r="IUE242" s="8"/>
      <c r="IUF242" s="54"/>
      <c r="IUG242" s="8"/>
      <c r="IUH242" s="54"/>
      <c r="IUI242" s="8"/>
      <c r="IUJ242" s="54"/>
      <c r="IUK242" s="8"/>
      <c r="IUL242" s="54"/>
      <c r="IUM242" s="8"/>
      <c r="IUN242" s="54"/>
      <c r="IUO242" s="8"/>
      <c r="IUP242" s="54"/>
      <c r="IUQ242" s="8"/>
      <c r="IUR242" s="54"/>
      <c r="IUS242" s="8"/>
      <c r="IUT242" s="54"/>
      <c r="IUU242" s="8"/>
      <c r="IUV242" s="54"/>
      <c r="IUW242" s="8"/>
      <c r="IUX242" s="54"/>
      <c r="IUY242" s="8"/>
      <c r="IUZ242" s="54"/>
      <c r="IVA242" s="8"/>
      <c r="IVB242" s="54"/>
      <c r="IVC242" s="8"/>
      <c r="IVD242" s="54"/>
      <c r="IVE242" s="8"/>
      <c r="IVF242" s="54"/>
      <c r="IVG242" s="8"/>
      <c r="IVH242" s="54"/>
      <c r="IVI242" s="8"/>
      <c r="IVJ242" s="54"/>
      <c r="IVK242" s="8"/>
      <c r="IVL242" s="54"/>
      <c r="IVM242" s="8"/>
      <c r="IVN242" s="54"/>
      <c r="IVO242" s="8"/>
      <c r="IVP242" s="54"/>
      <c r="IVQ242" s="8"/>
      <c r="IVR242" s="54"/>
      <c r="IVS242" s="8"/>
      <c r="IVT242" s="54"/>
      <c r="IVU242" s="8"/>
      <c r="IVV242" s="54"/>
      <c r="IVW242" s="8"/>
      <c r="IVX242" s="54"/>
      <c r="IVY242" s="8"/>
      <c r="IVZ242" s="54"/>
      <c r="IWA242" s="8"/>
      <c r="IWB242" s="54"/>
      <c r="IWC242" s="8"/>
      <c r="IWD242" s="54"/>
      <c r="IWE242" s="8"/>
      <c r="IWF242" s="54"/>
      <c r="IWG242" s="8"/>
      <c r="IWH242" s="54"/>
      <c r="IWI242" s="8"/>
      <c r="IWJ242" s="54"/>
      <c r="IWK242" s="8"/>
      <c r="IWL242" s="54"/>
      <c r="IWM242" s="8"/>
      <c r="IWN242" s="54"/>
      <c r="IWO242" s="8"/>
      <c r="IWP242" s="54"/>
      <c r="IWQ242" s="8"/>
      <c r="IWR242" s="54"/>
      <c r="IWS242" s="8"/>
      <c r="IWT242" s="54"/>
      <c r="IWU242" s="8"/>
      <c r="IWV242" s="54"/>
      <c r="IWW242" s="8"/>
      <c r="IWX242" s="54"/>
      <c r="IWY242" s="8"/>
      <c r="IWZ242" s="54"/>
      <c r="IXA242" s="8"/>
      <c r="IXB242" s="54"/>
      <c r="IXC242" s="8"/>
      <c r="IXD242" s="54"/>
      <c r="IXE242" s="8"/>
      <c r="IXF242" s="54"/>
      <c r="IXG242" s="8"/>
      <c r="IXH242" s="54"/>
      <c r="IXI242" s="8"/>
      <c r="IXJ242" s="54"/>
      <c r="IXK242" s="8"/>
      <c r="IXL242" s="54"/>
      <c r="IXM242" s="8"/>
      <c r="IXN242" s="54"/>
      <c r="IXO242" s="8"/>
      <c r="IXP242" s="54"/>
      <c r="IXQ242" s="8"/>
      <c r="IXR242" s="54"/>
      <c r="IXS242" s="8"/>
      <c r="IXT242" s="54"/>
      <c r="IXU242" s="8"/>
      <c r="IXV242" s="54"/>
      <c r="IXW242" s="8"/>
      <c r="IXX242" s="54"/>
      <c r="IXY242" s="8"/>
      <c r="IXZ242" s="54"/>
      <c r="IYA242" s="8"/>
      <c r="IYB242" s="54"/>
      <c r="IYC242" s="8"/>
      <c r="IYD242" s="54"/>
      <c r="IYE242" s="8"/>
      <c r="IYF242" s="54"/>
      <c r="IYG242" s="8"/>
      <c r="IYH242" s="54"/>
      <c r="IYI242" s="8"/>
      <c r="IYJ242" s="54"/>
      <c r="IYK242" s="8"/>
      <c r="IYL242" s="54"/>
      <c r="IYM242" s="8"/>
      <c r="IYN242" s="54"/>
      <c r="IYO242" s="8"/>
      <c r="IYP242" s="54"/>
      <c r="IYQ242" s="8"/>
      <c r="IYR242" s="54"/>
      <c r="IYS242" s="8"/>
      <c r="IYT242" s="54"/>
      <c r="IYU242" s="8"/>
      <c r="IYV242" s="54"/>
      <c r="IYW242" s="8"/>
      <c r="IYX242" s="54"/>
      <c r="IYY242" s="8"/>
      <c r="IYZ242" s="54"/>
      <c r="IZA242" s="8"/>
      <c r="IZB242" s="54"/>
      <c r="IZC242" s="8"/>
      <c r="IZD242" s="54"/>
      <c r="IZE242" s="8"/>
      <c r="IZF242" s="54"/>
      <c r="IZG242" s="8"/>
      <c r="IZH242" s="54"/>
      <c r="IZI242" s="8"/>
      <c r="IZJ242" s="54"/>
      <c r="IZK242" s="8"/>
      <c r="IZL242" s="54"/>
      <c r="IZM242" s="8"/>
      <c r="IZN242" s="54"/>
      <c r="IZO242" s="8"/>
      <c r="IZP242" s="54"/>
      <c r="IZQ242" s="8"/>
      <c r="IZR242" s="54"/>
      <c r="IZS242" s="8"/>
      <c r="IZT242" s="54"/>
      <c r="IZU242" s="8"/>
      <c r="IZV242" s="54"/>
      <c r="IZW242" s="8"/>
      <c r="IZX242" s="54"/>
      <c r="IZY242" s="8"/>
      <c r="IZZ242" s="54"/>
      <c r="JAA242" s="8"/>
      <c r="JAB242" s="54"/>
      <c r="JAC242" s="8"/>
      <c r="JAD242" s="54"/>
      <c r="JAE242" s="8"/>
      <c r="JAF242" s="54"/>
      <c r="JAG242" s="8"/>
      <c r="JAH242" s="54"/>
      <c r="JAI242" s="8"/>
      <c r="JAJ242" s="54"/>
      <c r="JAK242" s="8"/>
      <c r="JAL242" s="54"/>
      <c r="JAM242" s="8"/>
      <c r="JAN242" s="54"/>
      <c r="JAO242" s="8"/>
      <c r="JAP242" s="54"/>
      <c r="JAQ242" s="8"/>
      <c r="JAR242" s="54"/>
      <c r="JAS242" s="8"/>
      <c r="JAT242" s="54"/>
      <c r="JAU242" s="8"/>
      <c r="JAV242" s="54"/>
      <c r="JAW242" s="8"/>
      <c r="JAX242" s="54"/>
      <c r="JAY242" s="8"/>
      <c r="JAZ242" s="54"/>
      <c r="JBA242" s="8"/>
      <c r="JBB242" s="54"/>
      <c r="JBC242" s="8"/>
      <c r="JBD242" s="54"/>
      <c r="JBE242" s="8"/>
      <c r="JBF242" s="54"/>
      <c r="JBG242" s="8"/>
      <c r="JBH242" s="54"/>
      <c r="JBI242" s="8"/>
      <c r="JBJ242" s="54"/>
      <c r="JBK242" s="8"/>
      <c r="JBL242" s="54"/>
      <c r="JBM242" s="8"/>
      <c r="JBN242" s="54"/>
      <c r="JBO242" s="8"/>
      <c r="JBP242" s="54"/>
      <c r="JBQ242" s="8"/>
      <c r="JBR242" s="54"/>
      <c r="JBS242" s="8"/>
      <c r="JBT242" s="54"/>
      <c r="JBU242" s="8"/>
      <c r="JBV242" s="54"/>
      <c r="JBW242" s="8"/>
      <c r="JBX242" s="54"/>
      <c r="JBY242" s="8"/>
      <c r="JBZ242" s="54"/>
      <c r="JCA242" s="8"/>
      <c r="JCB242" s="54"/>
      <c r="JCC242" s="8"/>
      <c r="JCD242" s="54"/>
      <c r="JCE242" s="8"/>
      <c r="JCF242" s="54"/>
      <c r="JCG242" s="8"/>
      <c r="JCH242" s="54"/>
      <c r="JCI242" s="8"/>
      <c r="JCJ242" s="54"/>
      <c r="JCK242" s="8"/>
      <c r="JCL242" s="54"/>
      <c r="JCM242" s="8"/>
      <c r="JCN242" s="54"/>
      <c r="JCO242" s="8"/>
      <c r="JCP242" s="54"/>
      <c r="JCQ242" s="8"/>
      <c r="JCR242" s="54"/>
      <c r="JCS242" s="8"/>
      <c r="JCT242" s="54"/>
      <c r="JCU242" s="8"/>
      <c r="JCV242" s="54"/>
      <c r="JCW242" s="8"/>
      <c r="JCX242" s="54"/>
      <c r="JCY242" s="8"/>
      <c r="JCZ242" s="54"/>
      <c r="JDA242" s="8"/>
      <c r="JDB242" s="54"/>
      <c r="JDC242" s="8"/>
      <c r="JDD242" s="54"/>
      <c r="JDE242" s="8"/>
      <c r="JDF242" s="54"/>
      <c r="JDG242" s="8"/>
      <c r="JDH242" s="54"/>
      <c r="JDI242" s="8"/>
      <c r="JDJ242" s="54"/>
      <c r="JDK242" s="8"/>
      <c r="JDL242" s="54"/>
      <c r="JDM242" s="8"/>
      <c r="JDN242" s="54"/>
      <c r="JDO242" s="8"/>
      <c r="JDP242" s="54"/>
      <c r="JDQ242" s="8"/>
      <c r="JDR242" s="54"/>
      <c r="JDS242" s="8"/>
      <c r="JDT242" s="54"/>
      <c r="JDU242" s="8"/>
      <c r="JDV242" s="54"/>
      <c r="JDW242" s="8"/>
      <c r="JDX242" s="54"/>
      <c r="JDY242" s="8"/>
      <c r="JDZ242" s="54"/>
      <c r="JEA242" s="8"/>
      <c r="JEB242" s="54"/>
      <c r="JEC242" s="8"/>
      <c r="JED242" s="54"/>
      <c r="JEE242" s="8"/>
      <c r="JEF242" s="54"/>
      <c r="JEG242" s="8"/>
      <c r="JEH242" s="54"/>
      <c r="JEI242" s="8"/>
      <c r="JEJ242" s="54"/>
      <c r="JEK242" s="8"/>
      <c r="JEL242" s="54"/>
      <c r="JEM242" s="8"/>
      <c r="JEN242" s="54"/>
      <c r="JEO242" s="8"/>
      <c r="JEP242" s="54"/>
      <c r="JEQ242" s="8"/>
      <c r="JER242" s="54"/>
      <c r="JES242" s="8"/>
      <c r="JET242" s="54"/>
      <c r="JEU242" s="8"/>
      <c r="JEV242" s="54"/>
      <c r="JEW242" s="8"/>
      <c r="JEX242" s="54"/>
      <c r="JEY242" s="8"/>
      <c r="JEZ242" s="54"/>
      <c r="JFA242" s="8"/>
      <c r="JFB242" s="54"/>
      <c r="JFC242" s="8"/>
      <c r="JFD242" s="54"/>
      <c r="JFE242" s="8"/>
      <c r="JFF242" s="54"/>
      <c r="JFG242" s="8"/>
      <c r="JFH242" s="54"/>
      <c r="JFI242" s="8"/>
      <c r="JFJ242" s="54"/>
      <c r="JFK242" s="8"/>
      <c r="JFL242" s="54"/>
      <c r="JFM242" s="8"/>
      <c r="JFN242" s="54"/>
      <c r="JFO242" s="8"/>
      <c r="JFP242" s="54"/>
      <c r="JFQ242" s="8"/>
      <c r="JFR242" s="54"/>
      <c r="JFS242" s="8"/>
      <c r="JFT242" s="54"/>
      <c r="JFU242" s="8"/>
      <c r="JFV242" s="54"/>
      <c r="JFW242" s="8"/>
      <c r="JFX242" s="54"/>
      <c r="JFY242" s="8"/>
      <c r="JFZ242" s="54"/>
      <c r="JGA242" s="8"/>
      <c r="JGB242" s="54"/>
      <c r="JGC242" s="8"/>
      <c r="JGD242" s="54"/>
      <c r="JGE242" s="8"/>
      <c r="JGF242" s="54"/>
      <c r="JGG242" s="8"/>
      <c r="JGH242" s="54"/>
      <c r="JGI242" s="8"/>
      <c r="JGJ242" s="54"/>
      <c r="JGK242" s="8"/>
      <c r="JGL242" s="54"/>
      <c r="JGM242" s="8"/>
      <c r="JGN242" s="54"/>
      <c r="JGO242" s="8"/>
      <c r="JGP242" s="54"/>
      <c r="JGQ242" s="8"/>
      <c r="JGR242" s="54"/>
      <c r="JGS242" s="8"/>
      <c r="JGT242" s="54"/>
      <c r="JGU242" s="8"/>
      <c r="JGV242" s="54"/>
      <c r="JGW242" s="8"/>
      <c r="JGX242" s="54"/>
      <c r="JGY242" s="8"/>
      <c r="JGZ242" s="54"/>
      <c r="JHA242" s="8"/>
      <c r="JHB242" s="54"/>
      <c r="JHC242" s="8"/>
      <c r="JHD242" s="54"/>
      <c r="JHE242" s="8"/>
      <c r="JHF242" s="54"/>
      <c r="JHG242" s="8"/>
      <c r="JHH242" s="54"/>
      <c r="JHI242" s="8"/>
      <c r="JHJ242" s="54"/>
      <c r="JHK242" s="8"/>
      <c r="JHL242" s="54"/>
      <c r="JHM242" s="8"/>
      <c r="JHN242" s="54"/>
      <c r="JHO242" s="8"/>
      <c r="JHP242" s="54"/>
      <c r="JHQ242" s="8"/>
      <c r="JHR242" s="54"/>
      <c r="JHS242" s="8"/>
      <c r="JHT242" s="54"/>
      <c r="JHU242" s="8"/>
      <c r="JHV242" s="54"/>
      <c r="JHW242" s="8"/>
      <c r="JHX242" s="54"/>
      <c r="JHY242" s="8"/>
      <c r="JHZ242" s="54"/>
      <c r="JIA242" s="8"/>
      <c r="JIB242" s="54"/>
      <c r="JIC242" s="8"/>
      <c r="JID242" s="54"/>
      <c r="JIE242" s="8"/>
      <c r="JIF242" s="54"/>
      <c r="JIG242" s="8"/>
      <c r="JIH242" s="54"/>
      <c r="JII242" s="8"/>
      <c r="JIJ242" s="54"/>
      <c r="JIK242" s="8"/>
      <c r="JIL242" s="54"/>
      <c r="JIM242" s="8"/>
      <c r="JIN242" s="54"/>
      <c r="JIO242" s="8"/>
      <c r="JIP242" s="54"/>
      <c r="JIQ242" s="8"/>
      <c r="JIR242" s="54"/>
      <c r="JIS242" s="8"/>
      <c r="JIT242" s="54"/>
      <c r="JIU242" s="8"/>
      <c r="JIV242" s="54"/>
      <c r="JIW242" s="8"/>
      <c r="JIX242" s="54"/>
      <c r="JIY242" s="8"/>
      <c r="JIZ242" s="54"/>
      <c r="JJA242" s="8"/>
      <c r="JJB242" s="54"/>
      <c r="JJC242" s="8"/>
      <c r="JJD242" s="54"/>
      <c r="JJE242" s="8"/>
      <c r="JJF242" s="54"/>
      <c r="JJG242" s="8"/>
      <c r="JJH242" s="54"/>
      <c r="JJI242" s="8"/>
      <c r="JJJ242" s="54"/>
      <c r="JJK242" s="8"/>
      <c r="JJL242" s="54"/>
      <c r="JJM242" s="8"/>
      <c r="JJN242" s="54"/>
      <c r="JJO242" s="8"/>
      <c r="JJP242" s="54"/>
      <c r="JJQ242" s="8"/>
      <c r="JJR242" s="54"/>
      <c r="JJS242" s="8"/>
      <c r="JJT242" s="54"/>
      <c r="JJU242" s="8"/>
      <c r="JJV242" s="54"/>
      <c r="JJW242" s="8"/>
      <c r="JJX242" s="54"/>
      <c r="JJY242" s="8"/>
      <c r="JJZ242" s="54"/>
      <c r="JKA242" s="8"/>
      <c r="JKB242" s="54"/>
      <c r="JKC242" s="8"/>
      <c r="JKD242" s="54"/>
      <c r="JKE242" s="8"/>
      <c r="JKF242" s="54"/>
      <c r="JKG242" s="8"/>
      <c r="JKH242" s="54"/>
      <c r="JKI242" s="8"/>
      <c r="JKJ242" s="54"/>
      <c r="JKK242" s="8"/>
      <c r="JKL242" s="54"/>
      <c r="JKM242" s="8"/>
      <c r="JKN242" s="54"/>
      <c r="JKO242" s="8"/>
      <c r="JKP242" s="54"/>
      <c r="JKQ242" s="8"/>
      <c r="JKR242" s="54"/>
      <c r="JKS242" s="8"/>
      <c r="JKT242" s="54"/>
      <c r="JKU242" s="8"/>
      <c r="JKV242" s="54"/>
      <c r="JKW242" s="8"/>
      <c r="JKX242" s="54"/>
      <c r="JKY242" s="8"/>
      <c r="JKZ242" s="54"/>
      <c r="JLA242" s="8"/>
      <c r="JLB242" s="54"/>
      <c r="JLC242" s="8"/>
      <c r="JLD242" s="54"/>
      <c r="JLE242" s="8"/>
      <c r="JLF242" s="54"/>
      <c r="JLG242" s="8"/>
      <c r="JLH242" s="54"/>
      <c r="JLI242" s="8"/>
      <c r="JLJ242" s="54"/>
      <c r="JLK242" s="8"/>
      <c r="JLL242" s="54"/>
      <c r="JLM242" s="8"/>
      <c r="JLN242" s="54"/>
      <c r="JLO242" s="8"/>
      <c r="JLP242" s="54"/>
      <c r="JLQ242" s="8"/>
      <c r="JLR242" s="54"/>
      <c r="JLS242" s="8"/>
      <c r="JLT242" s="54"/>
      <c r="JLU242" s="8"/>
      <c r="JLV242" s="54"/>
      <c r="JLW242" s="8"/>
      <c r="JLX242" s="54"/>
      <c r="JLY242" s="8"/>
      <c r="JLZ242" s="54"/>
      <c r="JMA242" s="8"/>
      <c r="JMB242" s="54"/>
      <c r="JMC242" s="8"/>
      <c r="JMD242" s="54"/>
      <c r="JME242" s="8"/>
      <c r="JMF242" s="54"/>
      <c r="JMG242" s="8"/>
      <c r="JMH242" s="54"/>
      <c r="JMI242" s="8"/>
      <c r="JMJ242" s="54"/>
      <c r="JMK242" s="8"/>
      <c r="JML242" s="54"/>
      <c r="JMM242" s="8"/>
      <c r="JMN242" s="54"/>
      <c r="JMO242" s="8"/>
      <c r="JMP242" s="54"/>
      <c r="JMQ242" s="8"/>
      <c r="JMR242" s="54"/>
      <c r="JMS242" s="8"/>
      <c r="JMT242" s="54"/>
      <c r="JMU242" s="8"/>
      <c r="JMV242" s="54"/>
      <c r="JMW242" s="8"/>
      <c r="JMX242" s="54"/>
      <c r="JMY242" s="8"/>
      <c r="JMZ242" s="54"/>
      <c r="JNA242" s="8"/>
      <c r="JNB242" s="54"/>
      <c r="JNC242" s="8"/>
      <c r="JND242" s="54"/>
      <c r="JNE242" s="8"/>
      <c r="JNF242" s="54"/>
      <c r="JNG242" s="8"/>
      <c r="JNH242" s="54"/>
      <c r="JNI242" s="8"/>
      <c r="JNJ242" s="54"/>
      <c r="JNK242" s="8"/>
      <c r="JNL242" s="54"/>
      <c r="JNM242" s="8"/>
      <c r="JNN242" s="54"/>
      <c r="JNO242" s="8"/>
      <c r="JNP242" s="54"/>
      <c r="JNQ242" s="8"/>
      <c r="JNR242" s="54"/>
      <c r="JNS242" s="8"/>
      <c r="JNT242" s="54"/>
      <c r="JNU242" s="8"/>
      <c r="JNV242" s="54"/>
      <c r="JNW242" s="8"/>
      <c r="JNX242" s="54"/>
      <c r="JNY242" s="8"/>
      <c r="JNZ242" s="54"/>
      <c r="JOA242" s="8"/>
      <c r="JOB242" s="54"/>
      <c r="JOC242" s="8"/>
      <c r="JOD242" s="54"/>
      <c r="JOE242" s="8"/>
      <c r="JOF242" s="54"/>
      <c r="JOG242" s="8"/>
      <c r="JOH242" s="54"/>
      <c r="JOI242" s="8"/>
      <c r="JOJ242" s="54"/>
      <c r="JOK242" s="8"/>
      <c r="JOL242" s="54"/>
      <c r="JOM242" s="8"/>
      <c r="JON242" s="54"/>
      <c r="JOO242" s="8"/>
      <c r="JOP242" s="54"/>
      <c r="JOQ242" s="8"/>
      <c r="JOR242" s="54"/>
      <c r="JOS242" s="8"/>
      <c r="JOT242" s="54"/>
      <c r="JOU242" s="8"/>
      <c r="JOV242" s="54"/>
      <c r="JOW242" s="8"/>
      <c r="JOX242" s="54"/>
      <c r="JOY242" s="8"/>
      <c r="JOZ242" s="54"/>
      <c r="JPA242" s="8"/>
      <c r="JPB242" s="54"/>
      <c r="JPC242" s="8"/>
      <c r="JPD242" s="54"/>
      <c r="JPE242" s="8"/>
      <c r="JPF242" s="54"/>
      <c r="JPG242" s="8"/>
      <c r="JPH242" s="54"/>
      <c r="JPI242" s="8"/>
      <c r="JPJ242" s="54"/>
      <c r="JPK242" s="8"/>
      <c r="JPL242" s="54"/>
      <c r="JPM242" s="8"/>
      <c r="JPN242" s="54"/>
      <c r="JPO242" s="8"/>
      <c r="JPP242" s="54"/>
      <c r="JPQ242" s="8"/>
      <c r="JPR242" s="54"/>
      <c r="JPS242" s="8"/>
      <c r="JPT242" s="54"/>
      <c r="JPU242" s="8"/>
      <c r="JPV242" s="54"/>
      <c r="JPW242" s="8"/>
      <c r="JPX242" s="54"/>
      <c r="JPY242" s="8"/>
      <c r="JPZ242" s="54"/>
      <c r="JQA242" s="8"/>
      <c r="JQB242" s="54"/>
      <c r="JQC242" s="8"/>
      <c r="JQD242" s="54"/>
      <c r="JQE242" s="8"/>
      <c r="JQF242" s="54"/>
      <c r="JQG242" s="8"/>
      <c r="JQH242" s="54"/>
      <c r="JQI242" s="8"/>
      <c r="JQJ242" s="54"/>
      <c r="JQK242" s="8"/>
      <c r="JQL242" s="54"/>
      <c r="JQM242" s="8"/>
      <c r="JQN242" s="54"/>
      <c r="JQO242" s="8"/>
      <c r="JQP242" s="54"/>
      <c r="JQQ242" s="8"/>
      <c r="JQR242" s="54"/>
      <c r="JQS242" s="8"/>
      <c r="JQT242" s="54"/>
      <c r="JQU242" s="8"/>
      <c r="JQV242" s="54"/>
      <c r="JQW242" s="8"/>
      <c r="JQX242" s="54"/>
      <c r="JQY242" s="8"/>
      <c r="JQZ242" s="54"/>
      <c r="JRA242" s="8"/>
      <c r="JRB242" s="54"/>
      <c r="JRC242" s="8"/>
      <c r="JRD242" s="54"/>
      <c r="JRE242" s="8"/>
      <c r="JRF242" s="54"/>
      <c r="JRG242" s="8"/>
      <c r="JRH242" s="54"/>
      <c r="JRI242" s="8"/>
      <c r="JRJ242" s="54"/>
      <c r="JRK242" s="8"/>
      <c r="JRL242" s="54"/>
      <c r="JRM242" s="8"/>
      <c r="JRN242" s="54"/>
      <c r="JRO242" s="8"/>
      <c r="JRP242" s="54"/>
      <c r="JRQ242" s="8"/>
      <c r="JRR242" s="54"/>
      <c r="JRS242" s="8"/>
      <c r="JRT242" s="54"/>
      <c r="JRU242" s="8"/>
      <c r="JRV242" s="54"/>
      <c r="JRW242" s="8"/>
      <c r="JRX242" s="54"/>
      <c r="JRY242" s="8"/>
      <c r="JRZ242" s="54"/>
      <c r="JSA242" s="8"/>
      <c r="JSB242" s="54"/>
      <c r="JSC242" s="8"/>
      <c r="JSD242" s="54"/>
      <c r="JSE242" s="8"/>
      <c r="JSF242" s="54"/>
      <c r="JSG242" s="8"/>
      <c r="JSH242" s="54"/>
      <c r="JSI242" s="8"/>
      <c r="JSJ242" s="54"/>
      <c r="JSK242" s="8"/>
      <c r="JSL242" s="54"/>
      <c r="JSM242" s="8"/>
      <c r="JSN242" s="54"/>
      <c r="JSO242" s="8"/>
      <c r="JSP242" s="54"/>
      <c r="JSQ242" s="8"/>
      <c r="JSR242" s="54"/>
      <c r="JSS242" s="8"/>
      <c r="JST242" s="54"/>
      <c r="JSU242" s="8"/>
      <c r="JSV242" s="54"/>
      <c r="JSW242" s="8"/>
      <c r="JSX242" s="54"/>
      <c r="JSY242" s="8"/>
      <c r="JSZ242" s="54"/>
      <c r="JTA242" s="8"/>
      <c r="JTB242" s="54"/>
      <c r="JTC242" s="8"/>
      <c r="JTD242" s="54"/>
      <c r="JTE242" s="8"/>
      <c r="JTF242" s="54"/>
      <c r="JTG242" s="8"/>
      <c r="JTH242" s="54"/>
      <c r="JTI242" s="8"/>
      <c r="JTJ242" s="54"/>
      <c r="JTK242" s="8"/>
      <c r="JTL242" s="54"/>
      <c r="JTM242" s="8"/>
      <c r="JTN242" s="54"/>
      <c r="JTO242" s="8"/>
      <c r="JTP242" s="54"/>
      <c r="JTQ242" s="8"/>
      <c r="JTR242" s="54"/>
      <c r="JTS242" s="8"/>
      <c r="JTT242" s="54"/>
      <c r="JTU242" s="8"/>
      <c r="JTV242" s="54"/>
      <c r="JTW242" s="8"/>
      <c r="JTX242" s="54"/>
      <c r="JTY242" s="8"/>
      <c r="JTZ242" s="54"/>
      <c r="JUA242" s="8"/>
      <c r="JUB242" s="54"/>
      <c r="JUC242" s="8"/>
      <c r="JUD242" s="54"/>
      <c r="JUE242" s="8"/>
      <c r="JUF242" s="54"/>
      <c r="JUG242" s="8"/>
      <c r="JUH242" s="54"/>
      <c r="JUI242" s="8"/>
      <c r="JUJ242" s="54"/>
      <c r="JUK242" s="8"/>
      <c r="JUL242" s="54"/>
      <c r="JUM242" s="8"/>
      <c r="JUN242" s="54"/>
      <c r="JUO242" s="8"/>
      <c r="JUP242" s="54"/>
      <c r="JUQ242" s="8"/>
      <c r="JUR242" s="54"/>
      <c r="JUS242" s="8"/>
      <c r="JUT242" s="54"/>
      <c r="JUU242" s="8"/>
      <c r="JUV242" s="54"/>
      <c r="JUW242" s="8"/>
      <c r="JUX242" s="54"/>
      <c r="JUY242" s="8"/>
      <c r="JUZ242" s="54"/>
      <c r="JVA242" s="8"/>
      <c r="JVB242" s="54"/>
      <c r="JVC242" s="8"/>
      <c r="JVD242" s="54"/>
      <c r="JVE242" s="8"/>
      <c r="JVF242" s="54"/>
      <c r="JVG242" s="8"/>
      <c r="JVH242" s="54"/>
      <c r="JVI242" s="8"/>
      <c r="JVJ242" s="54"/>
      <c r="JVK242" s="8"/>
      <c r="JVL242" s="54"/>
      <c r="JVM242" s="8"/>
      <c r="JVN242" s="54"/>
      <c r="JVO242" s="8"/>
      <c r="JVP242" s="54"/>
      <c r="JVQ242" s="8"/>
      <c r="JVR242" s="54"/>
      <c r="JVS242" s="8"/>
      <c r="JVT242" s="54"/>
      <c r="JVU242" s="8"/>
      <c r="JVV242" s="54"/>
      <c r="JVW242" s="8"/>
      <c r="JVX242" s="54"/>
      <c r="JVY242" s="8"/>
      <c r="JVZ242" s="54"/>
      <c r="JWA242" s="8"/>
      <c r="JWB242" s="54"/>
      <c r="JWC242" s="8"/>
      <c r="JWD242" s="54"/>
      <c r="JWE242" s="8"/>
      <c r="JWF242" s="54"/>
      <c r="JWG242" s="8"/>
      <c r="JWH242" s="54"/>
      <c r="JWI242" s="8"/>
      <c r="JWJ242" s="54"/>
      <c r="JWK242" s="8"/>
      <c r="JWL242" s="54"/>
      <c r="JWM242" s="8"/>
      <c r="JWN242" s="54"/>
      <c r="JWO242" s="8"/>
      <c r="JWP242" s="54"/>
      <c r="JWQ242" s="8"/>
      <c r="JWR242" s="54"/>
      <c r="JWS242" s="8"/>
      <c r="JWT242" s="54"/>
      <c r="JWU242" s="8"/>
      <c r="JWV242" s="54"/>
      <c r="JWW242" s="8"/>
      <c r="JWX242" s="54"/>
      <c r="JWY242" s="8"/>
      <c r="JWZ242" s="54"/>
      <c r="JXA242" s="8"/>
      <c r="JXB242" s="54"/>
      <c r="JXC242" s="8"/>
      <c r="JXD242" s="54"/>
      <c r="JXE242" s="8"/>
      <c r="JXF242" s="54"/>
      <c r="JXG242" s="8"/>
      <c r="JXH242" s="54"/>
      <c r="JXI242" s="8"/>
      <c r="JXJ242" s="54"/>
      <c r="JXK242" s="8"/>
      <c r="JXL242" s="54"/>
      <c r="JXM242" s="8"/>
      <c r="JXN242" s="54"/>
      <c r="JXO242" s="8"/>
      <c r="JXP242" s="54"/>
      <c r="JXQ242" s="8"/>
      <c r="JXR242" s="54"/>
      <c r="JXS242" s="8"/>
      <c r="JXT242" s="54"/>
      <c r="JXU242" s="8"/>
      <c r="JXV242" s="54"/>
      <c r="JXW242" s="8"/>
      <c r="JXX242" s="54"/>
      <c r="JXY242" s="8"/>
      <c r="JXZ242" s="54"/>
      <c r="JYA242" s="8"/>
      <c r="JYB242" s="54"/>
      <c r="JYC242" s="8"/>
      <c r="JYD242" s="54"/>
      <c r="JYE242" s="8"/>
      <c r="JYF242" s="54"/>
      <c r="JYG242" s="8"/>
      <c r="JYH242" s="54"/>
      <c r="JYI242" s="8"/>
      <c r="JYJ242" s="54"/>
      <c r="JYK242" s="8"/>
      <c r="JYL242" s="54"/>
      <c r="JYM242" s="8"/>
      <c r="JYN242" s="54"/>
      <c r="JYO242" s="8"/>
      <c r="JYP242" s="54"/>
      <c r="JYQ242" s="8"/>
      <c r="JYR242" s="54"/>
      <c r="JYS242" s="8"/>
      <c r="JYT242" s="54"/>
      <c r="JYU242" s="8"/>
      <c r="JYV242" s="54"/>
      <c r="JYW242" s="8"/>
      <c r="JYX242" s="54"/>
      <c r="JYY242" s="8"/>
      <c r="JYZ242" s="54"/>
      <c r="JZA242" s="8"/>
      <c r="JZB242" s="54"/>
      <c r="JZC242" s="8"/>
      <c r="JZD242" s="54"/>
      <c r="JZE242" s="8"/>
      <c r="JZF242" s="54"/>
      <c r="JZG242" s="8"/>
      <c r="JZH242" s="54"/>
      <c r="JZI242" s="8"/>
      <c r="JZJ242" s="54"/>
      <c r="JZK242" s="8"/>
      <c r="JZL242" s="54"/>
      <c r="JZM242" s="8"/>
      <c r="JZN242" s="54"/>
      <c r="JZO242" s="8"/>
      <c r="JZP242" s="54"/>
      <c r="JZQ242" s="8"/>
      <c r="JZR242" s="54"/>
      <c r="JZS242" s="8"/>
      <c r="JZT242" s="54"/>
      <c r="JZU242" s="8"/>
      <c r="JZV242" s="54"/>
      <c r="JZW242" s="8"/>
      <c r="JZX242" s="54"/>
      <c r="JZY242" s="8"/>
      <c r="JZZ242" s="54"/>
      <c r="KAA242" s="8"/>
      <c r="KAB242" s="54"/>
      <c r="KAC242" s="8"/>
      <c r="KAD242" s="54"/>
      <c r="KAE242" s="8"/>
      <c r="KAF242" s="54"/>
      <c r="KAG242" s="8"/>
      <c r="KAH242" s="54"/>
      <c r="KAI242" s="8"/>
      <c r="KAJ242" s="54"/>
      <c r="KAK242" s="8"/>
      <c r="KAL242" s="54"/>
      <c r="KAM242" s="8"/>
      <c r="KAN242" s="54"/>
      <c r="KAO242" s="8"/>
      <c r="KAP242" s="54"/>
      <c r="KAQ242" s="8"/>
      <c r="KAR242" s="54"/>
      <c r="KAS242" s="8"/>
      <c r="KAT242" s="54"/>
      <c r="KAU242" s="8"/>
      <c r="KAV242" s="54"/>
      <c r="KAW242" s="8"/>
      <c r="KAX242" s="54"/>
      <c r="KAY242" s="8"/>
      <c r="KAZ242" s="54"/>
      <c r="KBA242" s="8"/>
      <c r="KBB242" s="54"/>
      <c r="KBC242" s="8"/>
      <c r="KBD242" s="54"/>
      <c r="KBE242" s="8"/>
      <c r="KBF242" s="54"/>
      <c r="KBG242" s="8"/>
      <c r="KBH242" s="54"/>
      <c r="KBI242" s="8"/>
      <c r="KBJ242" s="54"/>
      <c r="KBK242" s="8"/>
      <c r="KBL242" s="54"/>
      <c r="KBM242" s="8"/>
      <c r="KBN242" s="54"/>
      <c r="KBO242" s="8"/>
      <c r="KBP242" s="54"/>
      <c r="KBQ242" s="8"/>
      <c r="KBR242" s="54"/>
      <c r="KBS242" s="8"/>
      <c r="KBT242" s="54"/>
      <c r="KBU242" s="8"/>
      <c r="KBV242" s="54"/>
      <c r="KBW242" s="8"/>
      <c r="KBX242" s="54"/>
      <c r="KBY242" s="8"/>
      <c r="KBZ242" s="54"/>
      <c r="KCA242" s="8"/>
      <c r="KCB242" s="54"/>
      <c r="KCC242" s="8"/>
      <c r="KCD242" s="54"/>
      <c r="KCE242" s="8"/>
      <c r="KCF242" s="54"/>
      <c r="KCG242" s="8"/>
      <c r="KCH242" s="54"/>
      <c r="KCI242" s="8"/>
      <c r="KCJ242" s="54"/>
      <c r="KCK242" s="8"/>
      <c r="KCL242" s="54"/>
      <c r="KCM242" s="8"/>
      <c r="KCN242" s="54"/>
      <c r="KCO242" s="8"/>
      <c r="KCP242" s="54"/>
      <c r="KCQ242" s="8"/>
      <c r="KCR242" s="54"/>
      <c r="KCS242" s="8"/>
      <c r="KCT242" s="54"/>
      <c r="KCU242" s="8"/>
      <c r="KCV242" s="54"/>
      <c r="KCW242" s="8"/>
      <c r="KCX242" s="54"/>
      <c r="KCY242" s="8"/>
      <c r="KCZ242" s="54"/>
      <c r="KDA242" s="8"/>
      <c r="KDB242" s="54"/>
      <c r="KDC242" s="8"/>
      <c r="KDD242" s="54"/>
      <c r="KDE242" s="8"/>
      <c r="KDF242" s="54"/>
      <c r="KDG242" s="8"/>
      <c r="KDH242" s="54"/>
      <c r="KDI242" s="8"/>
      <c r="KDJ242" s="54"/>
      <c r="KDK242" s="8"/>
      <c r="KDL242" s="54"/>
      <c r="KDM242" s="8"/>
      <c r="KDN242" s="54"/>
      <c r="KDO242" s="8"/>
      <c r="KDP242" s="54"/>
      <c r="KDQ242" s="8"/>
      <c r="KDR242" s="54"/>
      <c r="KDS242" s="8"/>
      <c r="KDT242" s="54"/>
      <c r="KDU242" s="8"/>
      <c r="KDV242" s="54"/>
      <c r="KDW242" s="8"/>
      <c r="KDX242" s="54"/>
      <c r="KDY242" s="8"/>
      <c r="KDZ242" s="54"/>
      <c r="KEA242" s="8"/>
      <c r="KEB242" s="54"/>
      <c r="KEC242" s="8"/>
      <c r="KED242" s="54"/>
      <c r="KEE242" s="8"/>
      <c r="KEF242" s="54"/>
      <c r="KEG242" s="8"/>
      <c r="KEH242" s="54"/>
      <c r="KEI242" s="8"/>
      <c r="KEJ242" s="54"/>
      <c r="KEK242" s="8"/>
      <c r="KEL242" s="54"/>
      <c r="KEM242" s="8"/>
      <c r="KEN242" s="54"/>
      <c r="KEO242" s="8"/>
      <c r="KEP242" s="54"/>
      <c r="KEQ242" s="8"/>
      <c r="KER242" s="54"/>
      <c r="KES242" s="8"/>
      <c r="KET242" s="54"/>
      <c r="KEU242" s="8"/>
      <c r="KEV242" s="54"/>
      <c r="KEW242" s="8"/>
      <c r="KEX242" s="54"/>
      <c r="KEY242" s="8"/>
      <c r="KEZ242" s="54"/>
      <c r="KFA242" s="8"/>
      <c r="KFB242" s="54"/>
      <c r="KFC242" s="8"/>
      <c r="KFD242" s="54"/>
      <c r="KFE242" s="8"/>
      <c r="KFF242" s="54"/>
      <c r="KFG242" s="8"/>
      <c r="KFH242" s="54"/>
      <c r="KFI242" s="8"/>
      <c r="KFJ242" s="54"/>
      <c r="KFK242" s="8"/>
      <c r="KFL242" s="54"/>
      <c r="KFM242" s="8"/>
      <c r="KFN242" s="54"/>
      <c r="KFO242" s="8"/>
      <c r="KFP242" s="54"/>
      <c r="KFQ242" s="8"/>
      <c r="KFR242" s="54"/>
      <c r="KFS242" s="8"/>
      <c r="KFT242" s="54"/>
      <c r="KFU242" s="8"/>
      <c r="KFV242" s="54"/>
      <c r="KFW242" s="8"/>
      <c r="KFX242" s="54"/>
      <c r="KFY242" s="8"/>
      <c r="KFZ242" s="54"/>
      <c r="KGA242" s="8"/>
      <c r="KGB242" s="54"/>
      <c r="KGC242" s="8"/>
      <c r="KGD242" s="54"/>
      <c r="KGE242" s="8"/>
      <c r="KGF242" s="54"/>
      <c r="KGG242" s="8"/>
      <c r="KGH242" s="54"/>
      <c r="KGI242" s="8"/>
      <c r="KGJ242" s="54"/>
      <c r="KGK242" s="8"/>
      <c r="KGL242" s="54"/>
      <c r="KGM242" s="8"/>
      <c r="KGN242" s="54"/>
      <c r="KGO242" s="8"/>
      <c r="KGP242" s="54"/>
      <c r="KGQ242" s="8"/>
      <c r="KGR242" s="54"/>
      <c r="KGS242" s="8"/>
      <c r="KGT242" s="54"/>
      <c r="KGU242" s="8"/>
      <c r="KGV242" s="54"/>
      <c r="KGW242" s="8"/>
      <c r="KGX242" s="54"/>
      <c r="KGY242" s="8"/>
      <c r="KGZ242" s="54"/>
      <c r="KHA242" s="8"/>
      <c r="KHB242" s="54"/>
      <c r="KHC242" s="8"/>
      <c r="KHD242" s="54"/>
      <c r="KHE242" s="8"/>
      <c r="KHF242" s="54"/>
      <c r="KHG242" s="8"/>
      <c r="KHH242" s="54"/>
      <c r="KHI242" s="8"/>
      <c r="KHJ242" s="54"/>
      <c r="KHK242" s="8"/>
      <c r="KHL242" s="54"/>
      <c r="KHM242" s="8"/>
      <c r="KHN242" s="54"/>
      <c r="KHO242" s="8"/>
      <c r="KHP242" s="54"/>
      <c r="KHQ242" s="8"/>
      <c r="KHR242" s="54"/>
      <c r="KHS242" s="8"/>
      <c r="KHT242" s="54"/>
      <c r="KHU242" s="8"/>
      <c r="KHV242" s="54"/>
      <c r="KHW242" s="8"/>
      <c r="KHX242" s="54"/>
      <c r="KHY242" s="8"/>
      <c r="KHZ242" s="54"/>
      <c r="KIA242" s="8"/>
      <c r="KIB242" s="54"/>
      <c r="KIC242" s="8"/>
      <c r="KID242" s="54"/>
      <c r="KIE242" s="8"/>
      <c r="KIF242" s="54"/>
      <c r="KIG242" s="8"/>
      <c r="KIH242" s="54"/>
      <c r="KII242" s="8"/>
      <c r="KIJ242" s="54"/>
      <c r="KIK242" s="8"/>
      <c r="KIL242" s="54"/>
      <c r="KIM242" s="8"/>
      <c r="KIN242" s="54"/>
      <c r="KIO242" s="8"/>
      <c r="KIP242" s="54"/>
      <c r="KIQ242" s="8"/>
      <c r="KIR242" s="54"/>
      <c r="KIS242" s="8"/>
      <c r="KIT242" s="54"/>
      <c r="KIU242" s="8"/>
      <c r="KIV242" s="54"/>
      <c r="KIW242" s="8"/>
      <c r="KIX242" s="54"/>
      <c r="KIY242" s="8"/>
      <c r="KIZ242" s="54"/>
      <c r="KJA242" s="8"/>
      <c r="KJB242" s="54"/>
      <c r="KJC242" s="8"/>
      <c r="KJD242" s="54"/>
      <c r="KJE242" s="8"/>
      <c r="KJF242" s="54"/>
      <c r="KJG242" s="8"/>
      <c r="KJH242" s="54"/>
      <c r="KJI242" s="8"/>
      <c r="KJJ242" s="54"/>
      <c r="KJK242" s="8"/>
      <c r="KJL242" s="54"/>
      <c r="KJM242" s="8"/>
      <c r="KJN242" s="54"/>
      <c r="KJO242" s="8"/>
      <c r="KJP242" s="54"/>
      <c r="KJQ242" s="8"/>
      <c r="KJR242" s="54"/>
      <c r="KJS242" s="8"/>
      <c r="KJT242" s="54"/>
      <c r="KJU242" s="8"/>
      <c r="KJV242" s="54"/>
      <c r="KJW242" s="8"/>
      <c r="KJX242" s="54"/>
      <c r="KJY242" s="8"/>
      <c r="KJZ242" s="54"/>
      <c r="KKA242" s="8"/>
      <c r="KKB242" s="54"/>
      <c r="KKC242" s="8"/>
      <c r="KKD242" s="54"/>
      <c r="KKE242" s="8"/>
      <c r="KKF242" s="54"/>
      <c r="KKG242" s="8"/>
      <c r="KKH242" s="54"/>
      <c r="KKI242" s="8"/>
      <c r="KKJ242" s="54"/>
      <c r="KKK242" s="8"/>
      <c r="KKL242" s="54"/>
      <c r="KKM242" s="8"/>
      <c r="KKN242" s="54"/>
      <c r="KKO242" s="8"/>
      <c r="KKP242" s="54"/>
      <c r="KKQ242" s="8"/>
      <c r="KKR242" s="54"/>
      <c r="KKS242" s="8"/>
      <c r="KKT242" s="54"/>
      <c r="KKU242" s="8"/>
      <c r="KKV242" s="54"/>
      <c r="KKW242" s="8"/>
      <c r="KKX242" s="54"/>
      <c r="KKY242" s="8"/>
      <c r="KKZ242" s="54"/>
      <c r="KLA242" s="8"/>
      <c r="KLB242" s="54"/>
      <c r="KLC242" s="8"/>
      <c r="KLD242" s="54"/>
      <c r="KLE242" s="8"/>
      <c r="KLF242" s="54"/>
      <c r="KLG242" s="8"/>
      <c r="KLH242" s="54"/>
      <c r="KLI242" s="8"/>
      <c r="KLJ242" s="54"/>
      <c r="KLK242" s="8"/>
      <c r="KLL242" s="54"/>
      <c r="KLM242" s="8"/>
      <c r="KLN242" s="54"/>
      <c r="KLO242" s="8"/>
      <c r="KLP242" s="54"/>
      <c r="KLQ242" s="8"/>
      <c r="KLR242" s="54"/>
      <c r="KLS242" s="8"/>
      <c r="KLT242" s="54"/>
      <c r="KLU242" s="8"/>
      <c r="KLV242" s="54"/>
      <c r="KLW242" s="8"/>
      <c r="KLX242" s="54"/>
      <c r="KLY242" s="8"/>
      <c r="KLZ242" s="54"/>
      <c r="KMA242" s="8"/>
      <c r="KMB242" s="54"/>
      <c r="KMC242" s="8"/>
      <c r="KMD242" s="54"/>
      <c r="KME242" s="8"/>
      <c r="KMF242" s="54"/>
      <c r="KMG242" s="8"/>
      <c r="KMH242" s="54"/>
      <c r="KMI242" s="8"/>
      <c r="KMJ242" s="54"/>
      <c r="KMK242" s="8"/>
      <c r="KML242" s="54"/>
      <c r="KMM242" s="8"/>
      <c r="KMN242" s="54"/>
      <c r="KMO242" s="8"/>
      <c r="KMP242" s="54"/>
      <c r="KMQ242" s="8"/>
      <c r="KMR242" s="54"/>
      <c r="KMS242" s="8"/>
      <c r="KMT242" s="54"/>
      <c r="KMU242" s="8"/>
      <c r="KMV242" s="54"/>
      <c r="KMW242" s="8"/>
      <c r="KMX242" s="54"/>
      <c r="KMY242" s="8"/>
      <c r="KMZ242" s="54"/>
      <c r="KNA242" s="8"/>
      <c r="KNB242" s="54"/>
      <c r="KNC242" s="8"/>
      <c r="KND242" s="54"/>
      <c r="KNE242" s="8"/>
      <c r="KNF242" s="54"/>
      <c r="KNG242" s="8"/>
      <c r="KNH242" s="54"/>
      <c r="KNI242" s="8"/>
      <c r="KNJ242" s="54"/>
      <c r="KNK242" s="8"/>
      <c r="KNL242" s="54"/>
      <c r="KNM242" s="8"/>
      <c r="KNN242" s="54"/>
      <c r="KNO242" s="8"/>
      <c r="KNP242" s="54"/>
      <c r="KNQ242" s="8"/>
      <c r="KNR242" s="54"/>
      <c r="KNS242" s="8"/>
      <c r="KNT242" s="54"/>
      <c r="KNU242" s="8"/>
      <c r="KNV242" s="54"/>
      <c r="KNW242" s="8"/>
      <c r="KNX242" s="54"/>
      <c r="KNY242" s="8"/>
      <c r="KNZ242" s="54"/>
      <c r="KOA242" s="8"/>
      <c r="KOB242" s="54"/>
      <c r="KOC242" s="8"/>
      <c r="KOD242" s="54"/>
      <c r="KOE242" s="8"/>
      <c r="KOF242" s="54"/>
      <c r="KOG242" s="8"/>
      <c r="KOH242" s="54"/>
      <c r="KOI242" s="8"/>
      <c r="KOJ242" s="54"/>
      <c r="KOK242" s="8"/>
      <c r="KOL242" s="54"/>
      <c r="KOM242" s="8"/>
      <c r="KON242" s="54"/>
      <c r="KOO242" s="8"/>
      <c r="KOP242" s="54"/>
      <c r="KOQ242" s="8"/>
      <c r="KOR242" s="54"/>
      <c r="KOS242" s="8"/>
      <c r="KOT242" s="54"/>
      <c r="KOU242" s="8"/>
      <c r="KOV242" s="54"/>
      <c r="KOW242" s="8"/>
      <c r="KOX242" s="54"/>
      <c r="KOY242" s="8"/>
      <c r="KOZ242" s="54"/>
      <c r="KPA242" s="8"/>
      <c r="KPB242" s="54"/>
      <c r="KPC242" s="8"/>
      <c r="KPD242" s="54"/>
      <c r="KPE242" s="8"/>
      <c r="KPF242" s="54"/>
      <c r="KPG242" s="8"/>
      <c r="KPH242" s="54"/>
      <c r="KPI242" s="8"/>
      <c r="KPJ242" s="54"/>
      <c r="KPK242" s="8"/>
      <c r="KPL242" s="54"/>
      <c r="KPM242" s="8"/>
      <c r="KPN242" s="54"/>
      <c r="KPO242" s="8"/>
      <c r="KPP242" s="54"/>
      <c r="KPQ242" s="8"/>
      <c r="KPR242" s="54"/>
      <c r="KPS242" s="8"/>
      <c r="KPT242" s="54"/>
      <c r="KPU242" s="8"/>
      <c r="KPV242" s="54"/>
      <c r="KPW242" s="8"/>
      <c r="KPX242" s="54"/>
      <c r="KPY242" s="8"/>
      <c r="KPZ242" s="54"/>
      <c r="KQA242" s="8"/>
      <c r="KQB242" s="54"/>
      <c r="KQC242" s="8"/>
      <c r="KQD242" s="54"/>
      <c r="KQE242" s="8"/>
      <c r="KQF242" s="54"/>
      <c r="KQG242" s="8"/>
      <c r="KQH242" s="54"/>
      <c r="KQI242" s="8"/>
      <c r="KQJ242" s="54"/>
      <c r="KQK242" s="8"/>
      <c r="KQL242" s="54"/>
      <c r="KQM242" s="8"/>
      <c r="KQN242" s="54"/>
      <c r="KQO242" s="8"/>
      <c r="KQP242" s="54"/>
      <c r="KQQ242" s="8"/>
      <c r="KQR242" s="54"/>
      <c r="KQS242" s="8"/>
      <c r="KQT242" s="54"/>
      <c r="KQU242" s="8"/>
      <c r="KQV242" s="54"/>
      <c r="KQW242" s="8"/>
      <c r="KQX242" s="54"/>
      <c r="KQY242" s="8"/>
      <c r="KQZ242" s="54"/>
      <c r="KRA242" s="8"/>
      <c r="KRB242" s="54"/>
      <c r="KRC242" s="8"/>
      <c r="KRD242" s="54"/>
      <c r="KRE242" s="8"/>
      <c r="KRF242" s="54"/>
      <c r="KRG242" s="8"/>
      <c r="KRH242" s="54"/>
      <c r="KRI242" s="8"/>
      <c r="KRJ242" s="54"/>
      <c r="KRK242" s="8"/>
      <c r="KRL242" s="54"/>
      <c r="KRM242" s="8"/>
      <c r="KRN242" s="54"/>
      <c r="KRO242" s="8"/>
      <c r="KRP242" s="54"/>
      <c r="KRQ242" s="8"/>
      <c r="KRR242" s="54"/>
      <c r="KRS242" s="8"/>
      <c r="KRT242" s="54"/>
      <c r="KRU242" s="8"/>
      <c r="KRV242" s="54"/>
      <c r="KRW242" s="8"/>
      <c r="KRX242" s="54"/>
      <c r="KRY242" s="8"/>
      <c r="KRZ242" s="54"/>
      <c r="KSA242" s="8"/>
      <c r="KSB242" s="54"/>
      <c r="KSC242" s="8"/>
      <c r="KSD242" s="54"/>
      <c r="KSE242" s="8"/>
      <c r="KSF242" s="54"/>
      <c r="KSG242" s="8"/>
      <c r="KSH242" s="54"/>
      <c r="KSI242" s="8"/>
      <c r="KSJ242" s="54"/>
      <c r="KSK242" s="8"/>
      <c r="KSL242" s="54"/>
      <c r="KSM242" s="8"/>
      <c r="KSN242" s="54"/>
      <c r="KSO242" s="8"/>
      <c r="KSP242" s="54"/>
      <c r="KSQ242" s="8"/>
      <c r="KSR242" s="54"/>
      <c r="KSS242" s="8"/>
      <c r="KST242" s="54"/>
      <c r="KSU242" s="8"/>
      <c r="KSV242" s="54"/>
      <c r="KSW242" s="8"/>
      <c r="KSX242" s="54"/>
      <c r="KSY242" s="8"/>
      <c r="KSZ242" s="54"/>
      <c r="KTA242" s="8"/>
      <c r="KTB242" s="54"/>
      <c r="KTC242" s="8"/>
      <c r="KTD242" s="54"/>
      <c r="KTE242" s="8"/>
      <c r="KTF242" s="54"/>
      <c r="KTG242" s="8"/>
      <c r="KTH242" s="54"/>
      <c r="KTI242" s="8"/>
      <c r="KTJ242" s="54"/>
      <c r="KTK242" s="8"/>
      <c r="KTL242" s="54"/>
      <c r="KTM242" s="8"/>
      <c r="KTN242" s="54"/>
      <c r="KTO242" s="8"/>
      <c r="KTP242" s="54"/>
      <c r="KTQ242" s="8"/>
      <c r="KTR242" s="54"/>
      <c r="KTS242" s="8"/>
      <c r="KTT242" s="54"/>
      <c r="KTU242" s="8"/>
      <c r="KTV242" s="54"/>
      <c r="KTW242" s="8"/>
      <c r="KTX242" s="54"/>
      <c r="KTY242" s="8"/>
      <c r="KTZ242" s="54"/>
      <c r="KUA242" s="8"/>
      <c r="KUB242" s="54"/>
      <c r="KUC242" s="8"/>
      <c r="KUD242" s="54"/>
      <c r="KUE242" s="8"/>
      <c r="KUF242" s="54"/>
      <c r="KUG242" s="8"/>
      <c r="KUH242" s="54"/>
      <c r="KUI242" s="8"/>
      <c r="KUJ242" s="54"/>
      <c r="KUK242" s="8"/>
      <c r="KUL242" s="54"/>
      <c r="KUM242" s="8"/>
      <c r="KUN242" s="54"/>
      <c r="KUO242" s="8"/>
      <c r="KUP242" s="54"/>
      <c r="KUQ242" s="8"/>
      <c r="KUR242" s="54"/>
      <c r="KUS242" s="8"/>
      <c r="KUT242" s="54"/>
      <c r="KUU242" s="8"/>
      <c r="KUV242" s="54"/>
      <c r="KUW242" s="8"/>
      <c r="KUX242" s="54"/>
      <c r="KUY242" s="8"/>
      <c r="KUZ242" s="54"/>
      <c r="KVA242" s="8"/>
      <c r="KVB242" s="54"/>
      <c r="KVC242" s="8"/>
      <c r="KVD242" s="54"/>
      <c r="KVE242" s="8"/>
      <c r="KVF242" s="54"/>
      <c r="KVG242" s="8"/>
      <c r="KVH242" s="54"/>
      <c r="KVI242" s="8"/>
      <c r="KVJ242" s="54"/>
      <c r="KVK242" s="8"/>
      <c r="KVL242" s="54"/>
      <c r="KVM242" s="8"/>
      <c r="KVN242" s="54"/>
      <c r="KVO242" s="8"/>
      <c r="KVP242" s="54"/>
      <c r="KVQ242" s="8"/>
      <c r="KVR242" s="54"/>
      <c r="KVS242" s="8"/>
      <c r="KVT242" s="54"/>
      <c r="KVU242" s="8"/>
      <c r="KVV242" s="54"/>
      <c r="KVW242" s="8"/>
      <c r="KVX242" s="54"/>
      <c r="KVY242" s="8"/>
      <c r="KVZ242" s="54"/>
      <c r="KWA242" s="8"/>
      <c r="KWB242" s="54"/>
      <c r="KWC242" s="8"/>
      <c r="KWD242" s="54"/>
      <c r="KWE242" s="8"/>
      <c r="KWF242" s="54"/>
      <c r="KWG242" s="8"/>
      <c r="KWH242" s="54"/>
      <c r="KWI242" s="8"/>
      <c r="KWJ242" s="54"/>
      <c r="KWK242" s="8"/>
      <c r="KWL242" s="54"/>
      <c r="KWM242" s="8"/>
      <c r="KWN242" s="54"/>
      <c r="KWO242" s="8"/>
      <c r="KWP242" s="54"/>
      <c r="KWQ242" s="8"/>
      <c r="KWR242" s="54"/>
      <c r="KWS242" s="8"/>
      <c r="KWT242" s="54"/>
      <c r="KWU242" s="8"/>
      <c r="KWV242" s="54"/>
      <c r="KWW242" s="8"/>
      <c r="KWX242" s="54"/>
      <c r="KWY242" s="8"/>
      <c r="KWZ242" s="54"/>
      <c r="KXA242" s="8"/>
      <c r="KXB242" s="54"/>
      <c r="KXC242" s="8"/>
      <c r="KXD242" s="54"/>
      <c r="KXE242" s="8"/>
      <c r="KXF242" s="54"/>
      <c r="KXG242" s="8"/>
      <c r="KXH242" s="54"/>
      <c r="KXI242" s="8"/>
      <c r="KXJ242" s="54"/>
      <c r="KXK242" s="8"/>
      <c r="KXL242" s="54"/>
      <c r="KXM242" s="8"/>
      <c r="KXN242" s="54"/>
      <c r="KXO242" s="8"/>
      <c r="KXP242" s="54"/>
      <c r="KXQ242" s="8"/>
      <c r="KXR242" s="54"/>
      <c r="KXS242" s="8"/>
      <c r="KXT242" s="54"/>
      <c r="KXU242" s="8"/>
      <c r="KXV242" s="54"/>
      <c r="KXW242" s="8"/>
      <c r="KXX242" s="54"/>
      <c r="KXY242" s="8"/>
      <c r="KXZ242" s="54"/>
      <c r="KYA242" s="8"/>
      <c r="KYB242" s="54"/>
      <c r="KYC242" s="8"/>
      <c r="KYD242" s="54"/>
      <c r="KYE242" s="8"/>
      <c r="KYF242" s="54"/>
      <c r="KYG242" s="8"/>
      <c r="KYH242" s="54"/>
      <c r="KYI242" s="8"/>
      <c r="KYJ242" s="54"/>
      <c r="KYK242" s="8"/>
      <c r="KYL242" s="54"/>
      <c r="KYM242" s="8"/>
      <c r="KYN242" s="54"/>
      <c r="KYO242" s="8"/>
      <c r="KYP242" s="54"/>
      <c r="KYQ242" s="8"/>
      <c r="KYR242" s="54"/>
      <c r="KYS242" s="8"/>
      <c r="KYT242" s="54"/>
      <c r="KYU242" s="8"/>
      <c r="KYV242" s="54"/>
      <c r="KYW242" s="8"/>
      <c r="KYX242" s="54"/>
      <c r="KYY242" s="8"/>
      <c r="KYZ242" s="54"/>
      <c r="KZA242" s="8"/>
      <c r="KZB242" s="54"/>
      <c r="KZC242" s="8"/>
      <c r="KZD242" s="54"/>
      <c r="KZE242" s="8"/>
      <c r="KZF242" s="54"/>
      <c r="KZG242" s="8"/>
      <c r="KZH242" s="54"/>
      <c r="KZI242" s="8"/>
      <c r="KZJ242" s="54"/>
      <c r="KZK242" s="8"/>
      <c r="KZL242" s="54"/>
      <c r="KZM242" s="8"/>
      <c r="KZN242" s="54"/>
      <c r="KZO242" s="8"/>
      <c r="KZP242" s="54"/>
      <c r="KZQ242" s="8"/>
      <c r="KZR242" s="54"/>
      <c r="KZS242" s="8"/>
      <c r="KZT242" s="54"/>
      <c r="KZU242" s="8"/>
      <c r="KZV242" s="54"/>
      <c r="KZW242" s="8"/>
      <c r="KZX242" s="54"/>
      <c r="KZY242" s="8"/>
      <c r="KZZ242" s="54"/>
      <c r="LAA242" s="8"/>
      <c r="LAB242" s="54"/>
      <c r="LAC242" s="8"/>
      <c r="LAD242" s="54"/>
      <c r="LAE242" s="8"/>
      <c r="LAF242" s="54"/>
      <c r="LAG242" s="8"/>
      <c r="LAH242" s="54"/>
      <c r="LAI242" s="8"/>
      <c r="LAJ242" s="54"/>
      <c r="LAK242" s="8"/>
      <c r="LAL242" s="54"/>
      <c r="LAM242" s="8"/>
      <c r="LAN242" s="54"/>
      <c r="LAO242" s="8"/>
      <c r="LAP242" s="54"/>
      <c r="LAQ242" s="8"/>
      <c r="LAR242" s="54"/>
      <c r="LAS242" s="8"/>
      <c r="LAT242" s="54"/>
      <c r="LAU242" s="8"/>
      <c r="LAV242" s="54"/>
      <c r="LAW242" s="8"/>
      <c r="LAX242" s="54"/>
      <c r="LAY242" s="8"/>
      <c r="LAZ242" s="54"/>
      <c r="LBA242" s="8"/>
      <c r="LBB242" s="54"/>
      <c r="LBC242" s="8"/>
      <c r="LBD242" s="54"/>
      <c r="LBE242" s="8"/>
      <c r="LBF242" s="54"/>
      <c r="LBG242" s="8"/>
      <c r="LBH242" s="54"/>
      <c r="LBI242" s="8"/>
      <c r="LBJ242" s="54"/>
      <c r="LBK242" s="8"/>
      <c r="LBL242" s="54"/>
      <c r="LBM242" s="8"/>
      <c r="LBN242" s="54"/>
      <c r="LBO242" s="8"/>
      <c r="LBP242" s="54"/>
      <c r="LBQ242" s="8"/>
      <c r="LBR242" s="54"/>
      <c r="LBS242" s="8"/>
      <c r="LBT242" s="54"/>
      <c r="LBU242" s="8"/>
      <c r="LBV242" s="54"/>
      <c r="LBW242" s="8"/>
      <c r="LBX242" s="54"/>
      <c r="LBY242" s="8"/>
      <c r="LBZ242" s="54"/>
      <c r="LCA242" s="8"/>
      <c r="LCB242" s="54"/>
      <c r="LCC242" s="8"/>
      <c r="LCD242" s="54"/>
      <c r="LCE242" s="8"/>
      <c r="LCF242" s="54"/>
      <c r="LCG242" s="8"/>
      <c r="LCH242" s="54"/>
      <c r="LCI242" s="8"/>
      <c r="LCJ242" s="54"/>
      <c r="LCK242" s="8"/>
      <c r="LCL242" s="54"/>
      <c r="LCM242" s="8"/>
      <c r="LCN242" s="54"/>
      <c r="LCO242" s="8"/>
      <c r="LCP242" s="54"/>
      <c r="LCQ242" s="8"/>
      <c r="LCR242" s="54"/>
      <c r="LCS242" s="8"/>
      <c r="LCT242" s="54"/>
      <c r="LCU242" s="8"/>
      <c r="LCV242" s="54"/>
      <c r="LCW242" s="8"/>
      <c r="LCX242" s="54"/>
      <c r="LCY242" s="8"/>
      <c r="LCZ242" s="54"/>
      <c r="LDA242" s="8"/>
      <c r="LDB242" s="54"/>
      <c r="LDC242" s="8"/>
      <c r="LDD242" s="54"/>
      <c r="LDE242" s="8"/>
      <c r="LDF242" s="54"/>
      <c r="LDG242" s="8"/>
      <c r="LDH242" s="54"/>
      <c r="LDI242" s="8"/>
      <c r="LDJ242" s="54"/>
      <c r="LDK242" s="8"/>
      <c r="LDL242" s="54"/>
      <c r="LDM242" s="8"/>
      <c r="LDN242" s="54"/>
      <c r="LDO242" s="8"/>
      <c r="LDP242" s="54"/>
      <c r="LDQ242" s="8"/>
      <c r="LDR242" s="54"/>
      <c r="LDS242" s="8"/>
      <c r="LDT242" s="54"/>
      <c r="LDU242" s="8"/>
      <c r="LDV242" s="54"/>
      <c r="LDW242" s="8"/>
      <c r="LDX242" s="54"/>
      <c r="LDY242" s="8"/>
      <c r="LDZ242" s="54"/>
      <c r="LEA242" s="8"/>
      <c r="LEB242" s="54"/>
      <c r="LEC242" s="8"/>
      <c r="LED242" s="54"/>
      <c r="LEE242" s="8"/>
      <c r="LEF242" s="54"/>
      <c r="LEG242" s="8"/>
      <c r="LEH242" s="54"/>
      <c r="LEI242" s="8"/>
      <c r="LEJ242" s="54"/>
      <c r="LEK242" s="8"/>
      <c r="LEL242" s="54"/>
      <c r="LEM242" s="8"/>
      <c r="LEN242" s="54"/>
      <c r="LEO242" s="8"/>
      <c r="LEP242" s="54"/>
      <c r="LEQ242" s="8"/>
      <c r="LER242" s="54"/>
      <c r="LES242" s="8"/>
      <c r="LET242" s="54"/>
      <c r="LEU242" s="8"/>
      <c r="LEV242" s="54"/>
      <c r="LEW242" s="8"/>
      <c r="LEX242" s="54"/>
      <c r="LEY242" s="8"/>
      <c r="LEZ242" s="54"/>
      <c r="LFA242" s="8"/>
      <c r="LFB242" s="54"/>
      <c r="LFC242" s="8"/>
      <c r="LFD242" s="54"/>
      <c r="LFE242" s="8"/>
      <c r="LFF242" s="54"/>
      <c r="LFG242" s="8"/>
      <c r="LFH242" s="54"/>
      <c r="LFI242" s="8"/>
      <c r="LFJ242" s="54"/>
      <c r="LFK242" s="8"/>
      <c r="LFL242" s="54"/>
      <c r="LFM242" s="8"/>
      <c r="LFN242" s="54"/>
      <c r="LFO242" s="8"/>
      <c r="LFP242" s="54"/>
      <c r="LFQ242" s="8"/>
      <c r="LFR242" s="54"/>
      <c r="LFS242" s="8"/>
      <c r="LFT242" s="54"/>
      <c r="LFU242" s="8"/>
      <c r="LFV242" s="54"/>
      <c r="LFW242" s="8"/>
      <c r="LFX242" s="54"/>
      <c r="LFY242" s="8"/>
      <c r="LFZ242" s="54"/>
      <c r="LGA242" s="8"/>
      <c r="LGB242" s="54"/>
      <c r="LGC242" s="8"/>
      <c r="LGD242" s="54"/>
      <c r="LGE242" s="8"/>
      <c r="LGF242" s="54"/>
      <c r="LGG242" s="8"/>
      <c r="LGH242" s="54"/>
      <c r="LGI242" s="8"/>
      <c r="LGJ242" s="54"/>
      <c r="LGK242" s="8"/>
      <c r="LGL242" s="54"/>
      <c r="LGM242" s="8"/>
      <c r="LGN242" s="54"/>
      <c r="LGO242" s="8"/>
      <c r="LGP242" s="54"/>
      <c r="LGQ242" s="8"/>
      <c r="LGR242" s="54"/>
      <c r="LGS242" s="8"/>
      <c r="LGT242" s="54"/>
      <c r="LGU242" s="8"/>
      <c r="LGV242" s="54"/>
      <c r="LGW242" s="8"/>
      <c r="LGX242" s="54"/>
      <c r="LGY242" s="8"/>
      <c r="LGZ242" s="54"/>
      <c r="LHA242" s="8"/>
      <c r="LHB242" s="54"/>
      <c r="LHC242" s="8"/>
      <c r="LHD242" s="54"/>
      <c r="LHE242" s="8"/>
      <c r="LHF242" s="54"/>
      <c r="LHG242" s="8"/>
      <c r="LHH242" s="54"/>
      <c r="LHI242" s="8"/>
      <c r="LHJ242" s="54"/>
      <c r="LHK242" s="8"/>
      <c r="LHL242" s="54"/>
      <c r="LHM242" s="8"/>
      <c r="LHN242" s="54"/>
      <c r="LHO242" s="8"/>
      <c r="LHP242" s="54"/>
      <c r="LHQ242" s="8"/>
      <c r="LHR242" s="54"/>
      <c r="LHS242" s="8"/>
      <c r="LHT242" s="54"/>
      <c r="LHU242" s="8"/>
      <c r="LHV242" s="54"/>
      <c r="LHW242" s="8"/>
      <c r="LHX242" s="54"/>
      <c r="LHY242" s="8"/>
      <c r="LHZ242" s="54"/>
      <c r="LIA242" s="8"/>
      <c r="LIB242" s="54"/>
      <c r="LIC242" s="8"/>
      <c r="LID242" s="54"/>
      <c r="LIE242" s="8"/>
      <c r="LIF242" s="54"/>
      <c r="LIG242" s="8"/>
      <c r="LIH242" s="54"/>
      <c r="LII242" s="8"/>
      <c r="LIJ242" s="54"/>
      <c r="LIK242" s="8"/>
      <c r="LIL242" s="54"/>
      <c r="LIM242" s="8"/>
      <c r="LIN242" s="54"/>
      <c r="LIO242" s="8"/>
      <c r="LIP242" s="54"/>
      <c r="LIQ242" s="8"/>
      <c r="LIR242" s="54"/>
      <c r="LIS242" s="8"/>
      <c r="LIT242" s="54"/>
      <c r="LIU242" s="8"/>
      <c r="LIV242" s="54"/>
      <c r="LIW242" s="8"/>
      <c r="LIX242" s="54"/>
      <c r="LIY242" s="8"/>
      <c r="LIZ242" s="54"/>
      <c r="LJA242" s="8"/>
      <c r="LJB242" s="54"/>
      <c r="LJC242" s="8"/>
      <c r="LJD242" s="54"/>
      <c r="LJE242" s="8"/>
      <c r="LJF242" s="54"/>
      <c r="LJG242" s="8"/>
      <c r="LJH242" s="54"/>
      <c r="LJI242" s="8"/>
      <c r="LJJ242" s="54"/>
      <c r="LJK242" s="8"/>
      <c r="LJL242" s="54"/>
      <c r="LJM242" s="8"/>
      <c r="LJN242" s="54"/>
      <c r="LJO242" s="8"/>
      <c r="LJP242" s="54"/>
      <c r="LJQ242" s="8"/>
      <c r="LJR242" s="54"/>
      <c r="LJS242" s="8"/>
      <c r="LJT242" s="54"/>
      <c r="LJU242" s="8"/>
      <c r="LJV242" s="54"/>
      <c r="LJW242" s="8"/>
      <c r="LJX242" s="54"/>
      <c r="LJY242" s="8"/>
      <c r="LJZ242" s="54"/>
      <c r="LKA242" s="8"/>
      <c r="LKB242" s="54"/>
      <c r="LKC242" s="8"/>
      <c r="LKD242" s="54"/>
      <c r="LKE242" s="8"/>
      <c r="LKF242" s="54"/>
      <c r="LKG242" s="8"/>
      <c r="LKH242" s="54"/>
      <c r="LKI242" s="8"/>
      <c r="LKJ242" s="54"/>
      <c r="LKK242" s="8"/>
      <c r="LKL242" s="54"/>
      <c r="LKM242" s="8"/>
      <c r="LKN242" s="54"/>
      <c r="LKO242" s="8"/>
      <c r="LKP242" s="54"/>
      <c r="LKQ242" s="8"/>
      <c r="LKR242" s="54"/>
      <c r="LKS242" s="8"/>
      <c r="LKT242" s="54"/>
      <c r="LKU242" s="8"/>
      <c r="LKV242" s="54"/>
      <c r="LKW242" s="8"/>
      <c r="LKX242" s="54"/>
      <c r="LKY242" s="8"/>
      <c r="LKZ242" s="54"/>
      <c r="LLA242" s="8"/>
      <c r="LLB242" s="54"/>
      <c r="LLC242" s="8"/>
      <c r="LLD242" s="54"/>
      <c r="LLE242" s="8"/>
      <c r="LLF242" s="54"/>
      <c r="LLG242" s="8"/>
      <c r="LLH242" s="54"/>
      <c r="LLI242" s="8"/>
      <c r="LLJ242" s="54"/>
      <c r="LLK242" s="8"/>
      <c r="LLL242" s="54"/>
      <c r="LLM242" s="8"/>
      <c r="LLN242" s="54"/>
      <c r="LLO242" s="8"/>
      <c r="LLP242" s="54"/>
      <c r="LLQ242" s="8"/>
      <c r="LLR242" s="54"/>
      <c r="LLS242" s="8"/>
      <c r="LLT242" s="54"/>
      <c r="LLU242" s="8"/>
      <c r="LLV242" s="54"/>
      <c r="LLW242" s="8"/>
      <c r="LLX242" s="54"/>
      <c r="LLY242" s="8"/>
      <c r="LLZ242" s="54"/>
      <c r="LMA242" s="8"/>
      <c r="LMB242" s="54"/>
      <c r="LMC242" s="8"/>
      <c r="LMD242" s="54"/>
      <c r="LME242" s="8"/>
      <c r="LMF242" s="54"/>
      <c r="LMG242" s="8"/>
      <c r="LMH242" s="54"/>
      <c r="LMI242" s="8"/>
      <c r="LMJ242" s="54"/>
      <c r="LMK242" s="8"/>
      <c r="LML242" s="54"/>
      <c r="LMM242" s="8"/>
      <c r="LMN242" s="54"/>
      <c r="LMO242" s="8"/>
      <c r="LMP242" s="54"/>
      <c r="LMQ242" s="8"/>
      <c r="LMR242" s="54"/>
      <c r="LMS242" s="8"/>
      <c r="LMT242" s="54"/>
      <c r="LMU242" s="8"/>
      <c r="LMV242" s="54"/>
      <c r="LMW242" s="8"/>
      <c r="LMX242" s="54"/>
      <c r="LMY242" s="8"/>
      <c r="LMZ242" s="54"/>
      <c r="LNA242" s="8"/>
      <c r="LNB242" s="54"/>
      <c r="LNC242" s="8"/>
      <c r="LND242" s="54"/>
      <c r="LNE242" s="8"/>
      <c r="LNF242" s="54"/>
      <c r="LNG242" s="8"/>
      <c r="LNH242" s="54"/>
      <c r="LNI242" s="8"/>
      <c r="LNJ242" s="54"/>
      <c r="LNK242" s="8"/>
      <c r="LNL242" s="54"/>
      <c r="LNM242" s="8"/>
      <c r="LNN242" s="54"/>
      <c r="LNO242" s="8"/>
      <c r="LNP242" s="54"/>
      <c r="LNQ242" s="8"/>
      <c r="LNR242" s="54"/>
      <c r="LNS242" s="8"/>
      <c r="LNT242" s="54"/>
      <c r="LNU242" s="8"/>
      <c r="LNV242" s="54"/>
      <c r="LNW242" s="8"/>
      <c r="LNX242" s="54"/>
      <c r="LNY242" s="8"/>
      <c r="LNZ242" s="54"/>
      <c r="LOA242" s="8"/>
      <c r="LOB242" s="54"/>
      <c r="LOC242" s="8"/>
      <c r="LOD242" s="54"/>
      <c r="LOE242" s="8"/>
      <c r="LOF242" s="54"/>
      <c r="LOG242" s="8"/>
      <c r="LOH242" s="54"/>
      <c r="LOI242" s="8"/>
      <c r="LOJ242" s="54"/>
      <c r="LOK242" s="8"/>
      <c r="LOL242" s="54"/>
      <c r="LOM242" s="8"/>
      <c r="LON242" s="54"/>
      <c r="LOO242" s="8"/>
      <c r="LOP242" s="54"/>
      <c r="LOQ242" s="8"/>
      <c r="LOR242" s="54"/>
      <c r="LOS242" s="8"/>
      <c r="LOT242" s="54"/>
      <c r="LOU242" s="8"/>
      <c r="LOV242" s="54"/>
      <c r="LOW242" s="8"/>
      <c r="LOX242" s="54"/>
      <c r="LOY242" s="8"/>
      <c r="LOZ242" s="54"/>
      <c r="LPA242" s="8"/>
      <c r="LPB242" s="54"/>
      <c r="LPC242" s="8"/>
      <c r="LPD242" s="54"/>
      <c r="LPE242" s="8"/>
      <c r="LPF242" s="54"/>
      <c r="LPG242" s="8"/>
      <c r="LPH242" s="54"/>
      <c r="LPI242" s="8"/>
      <c r="LPJ242" s="54"/>
      <c r="LPK242" s="8"/>
      <c r="LPL242" s="54"/>
      <c r="LPM242" s="8"/>
      <c r="LPN242" s="54"/>
      <c r="LPO242" s="8"/>
      <c r="LPP242" s="54"/>
      <c r="LPQ242" s="8"/>
      <c r="LPR242" s="54"/>
      <c r="LPS242" s="8"/>
      <c r="LPT242" s="54"/>
      <c r="LPU242" s="8"/>
      <c r="LPV242" s="54"/>
      <c r="LPW242" s="8"/>
      <c r="LPX242" s="54"/>
      <c r="LPY242" s="8"/>
      <c r="LPZ242" s="54"/>
      <c r="LQA242" s="8"/>
      <c r="LQB242" s="54"/>
      <c r="LQC242" s="8"/>
      <c r="LQD242" s="54"/>
      <c r="LQE242" s="8"/>
      <c r="LQF242" s="54"/>
      <c r="LQG242" s="8"/>
      <c r="LQH242" s="54"/>
      <c r="LQI242" s="8"/>
      <c r="LQJ242" s="54"/>
      <c r="LQK242" s="8"/>
      <c r="LQL242" s="54"/>
      <c r="LQM242" s="8"/>
      <c r="LQN242" s="54"/>
      <c r="LQO242" s="8"/>
      <c r="LQP242" s="54"/>
      <c r="LQQ242" s="8"/>
      <c r="LQR242" s="54"/>
      <c r="LQS242" s="8"/>
      <c r="LQT242" s="54"/>
      <c r="LQU242" s="8"/>
      <c r="LQV242" s="54"/>
      <c r="LQW242" s="8"/>
      <c r="LQX242" s="54"/>
      <c r="LQY242" s="8"/>
      <c r="LQZ242" s="54"/>
      <c r="LRA242" s="8"/>
      <c r="LRB242" s="54"/>
      <c r="LRC242" s="8"/>
      <c r="LRD242" s="54"/>
      <c r="LRE242" s="8"/>
      <c r="LRF242" s="54"/>
      <c r="LRG242" s="8"/>
      <c r="LRH242" s="54"/>
      <c r="LRI242" s="8"/>
      <c r="LRJ242" s="54"/>
      <c r="LRK242" s="8"/>
      <c r="LRL242" s="54"/>
      <c r="LRM242" s="8"/>
      <c r="LRN242" s="54"/>
      <c r="LRO242" s="8"/>
      <c r="LRP242" s="54"/>
      <c r="LRQ242" s="8"/>
      <c r="LRR242" s="54"/>
      <c r="LRS242" s="8"/>
      <c r="LRT242" s="54"/>
      <c r="LRU242" s="8"/>
      <c r="LRV242" s="54"/>
      <c r="LRW242" s="8"/>
      <c r="LRX242" s="54"/>
      <c r="LRY242" s="8"/>
      <c r="LRZ242" s="54"/>
      <c r="LSA242" s="8"/>
      <c r="LSB242" s="54"/>
      <c r="LSC242" s="8"/>
      <c r="LSD242" s="54"/>
      <c r="LSE242" s="8"/>
      <c r="LSF242" s="54"/>
      <c r="LSG242" s="8"/>
      <c r="LSH242" s="54"/>
      <c r="LSI242" s="8"/>
      <c r="LSJ242" s="54"/>
      <c r="LSK242" s="8"/>
      <c r="LSL242" s="54"/>
      <c r="LSM242" s="8"/>
      <c r="LSN242" s="54"/>
      <c r="LSO242" s="8"/>
      <c r="LSP242" s="54"/>
      <c r="LSQ242" s="8"/>
      <c r="LSR242" s="54"/>
      <c r="LSS242" s="8"/>
      <c r="LST242" s="54"/>
      <c r="LSU242" s="8"/>
      <c r="LSV242" s="54"/>
      <c r="LSW242" s="8"/>
      <c r="LSX242" s="54"/>
      <c r="LSY242" s="8"/>
      <c r="LSZ242" s="54"/>
      <c r="LTA242" s="8"/>
      <c r="LTB242" s="54"/>
      <c r="LTC242" s="8"/>
      <c r="LTD242" s="54"/>
      <c r="LTE242" s="8"/>
      <c r="LTF242" s="54"/>
      <c r="LTG242" s="8"/>
      <c r="LTH242" s="54"/>
      <c r="LTI242" s="8"/>
      <c r="LTJ242" s="54"/>
      <c r="LTK242" s="8"/>
      <c r="LTL242" s="54"/>
      <c r="LTM242" s="8"/>
      <c r="LTN242" s="54"/>
      <c r="LTO242" s="8"/>
      <c r="LTP242" s="54"/>
      <c r="LTQ242" s="8"/>
      <c r="LTR242" s="54"/>
      <c r="LTS242" s="8"/>
      <c r="LTT242" s="54"/>
      <c r="LTU242" s="8"/>
      <c r="LTV242" s="54"/>
      <c r="LTW242" s="8"/>
      <c r="LTX242" s="54"/>
      <c r="LTY242" s="8"/>
      <c r="LTZ242" s="54"/>
      <c r="LUA242" s="8"/>
      <c r="LUB242" s="54"/>
      <c r="LUC242" s="8"/>
      <c r="LUD242" s="54"/>
      <c r="LUE242" s="8"/>
      <c r="LUF242" s="54"/>
      <c r="LUG242" s="8"/>
      <c r="LUH242" s="54"/>
      <c r="LUI242" s="8"/>
      <c r="LUJ242" s="54"/>
      <c r="LUK242" s="8"/>
      <c r="LUL242" s="54"/>
      <c r="LUM242" s="8"/>
      <c r="LUN242" s="54"/>
      <c r="LUO242" s="8"/>
      <c r="LUP242" s="54"/>
      <c r="LUQ242" s="8"/>
      <c r="LUR242" s="54"/>
      <c r="LUS242" s="8"/>
      <c r="LUT242" s="54"/>
      <c r="LUU242" s="8"/>
      <c r="LUV242" s="54"/>
      <c r="LUW242" s="8"/>
      <c r="LUX242" s="54"/>
      <c r="LUY242" s="8"/>
      <c r="LUZ242" s="54"/>
      <c r="LVA242" s="8"/>
      <c r="LVB242" s="54"/>
      <c r="LVC242" s="8"/>
      <c r="LVD242" s="54"/>
      <c r="LVE242" s="8"/>
      <c r="LVF242" s="54"/>
      <c r="LVG242" s="8"/>
      <c r="LVH242" s="54"/>
      <c r="LVI242" s="8"/>
      <c r="LVJ242" s="54"/>
      <c r="LVK242" s="8"/>
      <c r="LVL242" s="54"/>
      <c r="LVM242" s="8"/>
      <c r="LVN242" s="54"/>
      <c r="LVO242" s="8"/>
      <c r="LVP242" s="54"/>
      <c r="LVQ242" s="8"/>
      <c r="LVR242" s="54"/>
      <c r="LVS242" s="8"/>
      <c r="LVT242" s="54"/>
      <c r="LVU242" s="8"/>
      <c r="LVV242" s="54"/>
      <c r="LVW242" s="8"/>
      <c r="LVX242" s="54"/>
      <c r="LVY242" s="8"/>
      <c r="LVZ242" s="54"/>
      <c r="LWA242" s="8"/>
      <c r="LWB242" s="54"/>
      <c r="LWC242" s="8"/>
      <c r="LWD242" s="54"/>
      <c r="LWE242" s="8"/>
      <c r="LWF242" s="54"/>
      <c r="LWG242" s="8"/>
      <c r="LWH242" s="54"/>
      <c r="LWI242" s="8"/>
      <c r="LWJ242" s="54"/>
      <c r="LWK242" s="8"/>
      <c r="LWL242" s="54"/>
      <c r="LWM242" s="8"/>
      <c r="LWN242" s="54"/>
      <c r="LWO242" s="8"/>
      <c r="LWP242" s="54"/>
      <c r="LWQ242" s="8"/>
      <c r="LWR242" s="54"/>
      <c r="LWS242" s="8"/>
      <c r="LWT242" s="54"/>
      <c r="LWU242" s="8"/>
      <c r="LWV242" s="54"/>
      <c r="LWW242" s="8"/>
      <c r="LWX242" s="54"/>
      <c r="LWY242" s="8"/>
      <c r="LWZ242" s="54"/>
      <c r="LXA242" s="8"/>
      <c r="LXB242" s="54"/>
      <c r="LXC242" s="8"/>
      <c r="LXD242" s="54"/>
      <c r="LXE242" s="8"/>
      <c r="LXF242" s="54"/>
      <c r="LXG242" s="8"/>
      <c r="LXH242" s="54"/>
      <c r="LXI242" s="8"/>
      <c r="LXJ242" s="54"/>
      <c r="LXK242" s="8"/>
      <c r="LXL242" s="54"/>
      <c r="LXM242" s="8"/>
      <c r="LXN242" s="54"/>
      <c r="LXO242" s="8"/>
      <c r="LXP242" s="54"/>
      <c r="LXQ242" s="8"/>
      <c r="LXR242" s="54"/>
      <c r="LXS242" s="8"/>
      <c r="LXT242" s="54"/>
      <c r="LXU242" s="8"/>
      <c r="LXV242" s="54"/>
      <c r="LXW242" s="8"/>
      <c r="LXX242" s="54"/>
      <c r="LXY242" s="8"/>
      <c r="LXZ242" s="54"/>
      <c r="LYA242" s="8"/>
      <c r="LYB242" s="54"/>
      <c r="LYC242" s="8"/>
      <c r="LYD242" s="54"/>
      <c r="LYE242" s="8"/>
      <c r="LYF242" s="54"/>
      <c r="LYG242" s="8"/>
      <c r="LYH242" s="54"/>
      <c r="LYI242" s="8"/>
      <c r="LYJ242" s="54"/>
      <c r="LYK242" s="8"/>
      <c r="LYL242" s="54"/>
      <c r="LYM242" s="8"/>
      <c r="LYN242" s="54"/>
      <c r="LYO242" s="8"/>
      <c r="LYP242" s="54"/>
      <c r="LYQ242" s="8"/>
      <c r="LYR242" s="54"/>
      <c r="LYS242" s="8"/>
      <c r="LYT242" s="54"/>
      <c r="LYU242" s="8"/>
      <c r="LYV242" s="54"/>
      <c r="LYW242" s="8"/>
      <c r="LYX242" s="54"/>
      <c r="LYY242" s="8"/>
      <c r="LYZ242" s="54"/>
      <c r="LZA242" s="8"/>
      <c r="LZB242" s="54"/>
      <c r="LZC242" s="8"/>
      <c r="LZD242" s="54"/>
      <c r="LZE242" s="8"/>
      <c r="LZF242" s="54"/>
      <c r="LZG242" s="8"/>
      <c r="LZH242" s="54"/>
      <c r="LZI242" s="8"/>
      <c r="LZJ242" s="54"/>
      <c r="LZK242" s="8"/>
      <c r="LZL242" s="54"/>
      <c r="LZM242" s="8"/>
      <c r="LZN242" s="54"/>
      <c r="LZO242" s="8"/>
      <c r="LZP242" s="54"/>
      <c r="LZQ242" s="8"/>
      <c r="LZR242" s="54"/>
      <c r="LZS242" s="8"/>
      <c r="LZT242" s="54"/>
      <c r="LZU242" s="8"/>
      <c r="LZV242" s="54"/>
      <c r="LZW242" s="8"/>
      <c r="LZX242" s="54"/>
      <c r="LZY242" s="8"/>
      <c r="LZZ242" s="54"/>
      <c r="MAA242" s="8"/>
      <c r="MAB242" s="54"/>
      <c r="MAC242" s="8"/>
      <c r="MAD242" s="54"/>
      <c r="MAE242" s="8"/>
      <c r="MAF242" s="54"/>
      <c r="MAG242" s="8"/>
      <c r="MAH242" s="54"/>
      <c r="MAI242" s="8"/>
      <c r="MAJ242" s="54"/>
      <c r="MAK242" s="8"/>
      <c r="MAL242" s="54"/>
      <c r="MAM242" s="8"/>
      <c r="MAN242" s="54"/>
      <c r="MAO242" s="8"/>
      <c r="MAP242" s="54"/>
      <c r="MAQ242" s="8"/>
      <c r="MAR242" s="54"/>
      <c r="MAS242" s="8"/>
      <c r="MAT242" s="54"/>
      <c r="MAU242" s="8"/>
      <c r="MAV242" s="54"/>
      <c r="MAW242" s="8"/>
      <c r="MAX242" s="54"/>
      <c r="MAY242" s="8"/>
      <c r="MAZ242" s="54"/>
      <c r="MBA242" s="8"/>
      <c r="MBB242" s="54"/>
      <c r="MBC242" s="8"/>
      <c r="MBD242" s="54"/>
      <c r="MBE242" s="8"/>
      <c r="MBF242" s="54"/>
      <c r="MBG242" s="8"/>
      <c r="MBH242" s="54"/>
      <c r="MBI242" s="8"/>
      <c r="MBJ242" s="54"/>
      <c r="MBK242" s="8"/>
      <c r="MBL242" s="54"/>
      <c r="MBM242" s="8"/>
      <c r="MBN242" s="54"/>
      <c r="MBO242" s="8"/>
      <c r="MBP242" s="54"/>
      <c r="MBQ242" s="8"/>
      <c r="MBR242" s="54"/>
      <c r="MBS242" s="8"/>
      <c r="MBT242" s="54"/>
      <c r="MBU242" s="8"/>
      <c r="MBV242" s="54"/>
      <c r="MBW242" s="8"/>
      <c r="MBX242" s="54"/>
      <c r="MBY242" s="8"/>
      <c r="MBZ242" s="54"/>
      <c r="MCA242" s="8"/>
      <c r="MCB242" s="54"/>
      <c r="MCC242" s="8"/>
      <c r="MCD242" s="54"/>
      <c r="MCE242" s="8"/>
      <c r="MCF242" s="54"/>
      <c r="MCG242" s="8"/>
      <c r="MCH242" s="54"/>
      <c r="MCI242" s="8"/>
      <c r="MCJ242" s="54"/>
      <c r="MCK242" s="8"/>
      <c r="MCL242" s="54"/>
      <c r="MCM242" s="8"/>
      <c r="MCN242" s="54"/>
      <c r="MCO242" s="8"/>
      <c r="MCP242" s="54"/>
      <c r="MCQ242" s="8"/>
      <c r="MCR242" s="54"/>
      <c r="MCS242" s="8"/>
      <c r="MCT242" s="54"/>
      <c r="MCU242" s="8"/>
      <c r="MCV242" s="54"/>
      <c r="MCW242" s="8"/>
      <c r="MCX242" s="54"/>
      <c r="MCY242" s="8"/>
      <c r="MCZ242" s="54"/>
      <c r="MDA242" s="8"/>
      <c r="MDB242" s="54"/>
      <c r="MDC242" s="8"/>
      <c r="MDD242" s="54"/>
      <c r="MDE242" s="8"/>
      <c r="MDF242" s="54"/>
      <c r="MDG242" s="8"/>
      <c r="MDH242" s="54"/>
      <c r="MDI242" s="8"/>
      <c r="MDJ242" s="54"/>
      <c r="MDK242" s="8"/>
      <c r="MDL242" s="54"/>
      <c r="MDM242" s="8"/>
      <c r="MDN242" s="54"/>
      <c r="MDO242" s="8"/>
      <c r="MDP242" s="54"/>
      <c r="MDQ242" s="8"/>
      <c r="MDR242" s="54"/>
      <c r="MDS242" s="8"/>
      <c r="MDT242" s="54"/>
      <c r="MDU242" s="8"/>
      <c r="MDV242" s="54"/>
      <c r="MDW242" s="8"/>
      <c r="MDX242" s="54"/>
      <c r="MDY242" s="8"/>
      <c r="MDZ242" s="54"/>
      <c r="MEA242" s="8"/>
      <c r="MEB242" s="54"/>
      <c r="MEC242" s="8"/>
      <c r="MED242" s="54"/>
      <c r="MEE242" s="8"/>
      <c r="MEF242" s="54"/>
      <c r="MEG242" s="8"/>
      <c r="MEH242" s="54"/>
      <c r="MEI242" s="8"/>
      <c r="MEJ242" s="54"/>
      <c r="MEK242" s="8"/>
      <c r="MEL242" s="54"/>
      <c r="MEM242" s="8"/>
      <c r="MEN242" s="54"/>
      <c r="MEO242" s="8"/>
      <c r="MEP242" s="54"/>
      <c r="MEQ242" s="8"/>
      <c r="MER242" s="54"/>
      <c r="MES242" s="8"/>
      <c r="MET242" s="54"/>
      <c r="MEU242" s="8"/>
      <c r="MEV242" s="54"/>
      <c r="MEW242" s="8"/>
      <c r="MEX242" s="54"/>
      <c r="MEY242" s="8"/>
      <c r="MEZ242" s="54"/>
      <c r="MFA242" s="8"/>
      <c r="MFB242" s="54"/>
      <c r="MFC242" s="8"/>
      <c r="MFD242" s="54"/>
      <c r="MFE242" s="8"/>
      <c r="MFF242" s="54"/>
      <c r="MFG242" s="8"/>
      <c r="MFH242" s="54"/>
      <c r="MFI242" s="8"/>
      <c r="MFJ242" s="54"/>
      <c r="MFK242" s="8"/>
      <c r="MFL242" s="54"/>
      <c r="MFM242" s="8"/>
      <c r="MFN242" s="54"/>
      <c r="MFO242" s="8"/>
      <c r="MFP242" s="54"/>
      <c r="MFQ242" s="8"/>
      <c r="MFR242" s="54"/>
      <c r="MFS242" s="8"/>
      <c r="MFT242" s="54"/>
      <c r="MFU242" s="8"/>
      <c r="MFV242" s="54"/>
      <c r="MFW242" s="8"/>
      <c r="MFX242" s="54"/>
      <c r="MFY242" s="8"/>
      <c r="MFZ242" s="54"/>
      <c r="MGA242" s="8"/>
      <c r="MGB242" s="54"/>
      <c r="MGC242" s="8"/>
      <c r="MGD242" s="54"/>
      <c r="MGE242" s="8"/>
      <c r="MGF242" s="54"/>
      <c r="MGG242" s="8"/>
      <c r="MGH242" s="54"/>
      <c r="MGI242" s="8"/>
      <c r="MGJ242" s="54"/>
      <c r="MGK242" s="8"/>
      <c r="MGL242" s="54"/>
      <c r="MGM242" s="8"/>
      <c r="MGN242" s="54"/>
      <c r="MGO242" s="8"/>
      <c r="MGP242" s="54"/>
      <c r="MGQ242" s="8"/>
      <c r="MGR242" s="54"/>
      <c r="MGS242" s="8"/>
      <c r="MGT242" s="54"/>
      <c r="MGU242" s="8"/>
      <c r="MGV242" s="54"/>
      <c r="MGW242" s="8"/>
      <c r="MGX242" s="54"/>
      <c r="MGY242" s="8"/>
      <c r="MGZ242" s="54"/>
      <c r="MHA242" s="8"/>
      <c r="MHB242" s="54"/>
      <c r="MHC242" s="8"/>
      <c r="MHD242" s="54"/>
      <c r="MHE242" s="8"/>
      <c r="MHF242" s="54"/>
      <c r="MHG242" s="8"/>
      <c r="MHH242" s="54"/>
      <c r="MHI242" s="8"/>
      <c r="MHJ242" s="54"/>
      <c r="MHK242" s="8"/>
      <c r="MHL242" s="54"/>
      <c r="MHM242" s="8"/>
      <c r="MHN242" s="54"/>
      <c r="MHO242" s="8"/>
      <c r="MHP242" s="54"/>
      <c r="MHQ242" s="8"/>
      <c r="MHR242" s="54"/>
      <c r="MHS242" s="8"/>
      <c r="MHT242" s="54"/>
      <c r="MHU242" s="8"/>
      <c r="MHV242" s="54"/>
      <c r="MHW242" s="8"/>
      <c r="MHX242" s="54"/>
      <c r="MHY242" s="8"/>
      <c r="MHZ242" s="54"/>
      <c r="MIA242" s="8"/>
      <c r="MIB242" s="54"/>
      <c r="MIC242" s="8"/>
      <c r="MID242" s="54"/>
      <c r="MIE242" s="8"/>
      <c r="MIF242" s="54"/>
      <c r="MIG242" s="8"/>
      <c r="MIH242" s="54"/>
      <c r="MII242" s="8"/>
      <c r="MIJ242" s="54"/>
      <c r="MIK242" s="8"/>
      <c r="MIL242" s="54"/>
      <c r="MIM242" s="8"/>
      <c r="MIN242" s="54"/>
      <c r="MIO242" s="8"/>
      <c r="MIP242" s="54"/>
      <c r="MIQ242" s="8"/>
      <c r="MIR242" s="54"/>
      <c r="MIS242" s="8"/>
      <c r="MIT242" s="54"/>
      <c r="MIU242" s="8"/>
      <c r="MIV242" s="54"/>
      <c r="MIW242" s="8"/>
      <c r="MIX242" s="54"/>
      <c r="MIY242" s="8"/>
      <c r="MIZ242" s="54"/>
      <c r="MJA242" s="8"/>
      <c r="MJB242" s="54"/>
      <c r="MJC242" s="8"/>
      <c r="MJD242" s="54"/>
      <c r="MJE242" s="8"/>
      <c r="MJF242" s="54"/>
      <c r="MJG242" s="8"/>
      <c r="MJH242" s="54"/>
      <c r="MJI242" s="8"/>
      <c r="MJJ242" s="54"/>
      <c r="MJK242" s="8"/>
      <c r="MJL242" s="54"/>
      <c r="MJM242" s="8"/>
      <c r="MJN242" s="54"/>
      <c r="MJO242" s="8"/>
      <c r="MJP242" s="54"/>
      <c r="MJQ242" s="8"/>
      <c r="MJR242" s="54"/>
      <c r="MJS242" s="8"/>
      <c r="MJT242" s="54"/>
      <c r="MJU242" s="8"/>
      <c r="MJV242" s="54"/>
      <c r="MJW242" s="8"/>
      <c r="MJX242" s="54"/>
      <c r="MJY242" s="8"/>
      <c r="MJZ242" s="54"/>
      <c r="MKA242" s="8"/>
      <c r="MKB242" s="54"/>
      <c r="MKC242" s="8"/>
      <c r="MKD242" s="54"/>
      <c r="MKE242" s="8"/>
      <c r="MKF242" s="54"/>
      <c r="MKG242" s="8"/>
      <c r="MKH242" s="54"/>
      <c r="MKI242" s="8"/>
      <c r="MKJ242" s="54"/>
      <c r="MKK242" s="8"/>
      <c r="MKL242" s="54"/>
      <c r="MKM242" s="8"/>
      <c r="MKN242" s="54"/>
      <c r="MKO242" s="8"/>
      <c r="MKP242" s="54"/>
      <c r="MKQ242" s="8"/>
      <c r="MKR242" s="54"/>
      <c r="MKS242" s="8"/>
      <c r="MKT242" s="54"/>
      <c r="MKU242" s="8"/>
      <c r="MKV242" s="54"/>
      <c r="MKW242" s="8"/>
      <c r="MKX242" s="54"/>
      <c r="MKY242" s="8"/>
      <c r="MKZ242" s="54"/>
      <c r="MLA242" s="8"/>
      <c r="MLB242" s="54"/>
      <c r="MLC242" s="8"/>
      <c r="MLD242" s="54"/>
      <c r="MLE242" s="8"/>
      <c r="MLF242" s="54"/>
      <c r="MLG242" s="8"/>
      <c r="MLH242" s="54"/>
      <c r="MLI242" s="8"/>
      <c r="MLJ242" s="54"/>
      <c r="MLK242" s="8"/>
      <c r="MLL242" s="54"/>
      <c r="MLM242" s="8"/>
      <c r="MLN242" s="54"/>
      <c r="MLO242" s="8"/>
      <c r="MLP242" s="54"/>
      <c r="MLQ242" s="8"/>
      <c r="MLR242" s="54"/>
      <c r="MLS242" s="8"/>
      <c r="MLT242" s="54"/>
      <c r="MLU242" s="8"/>
      <c r="MLV242" s="54"/>
      <c r="MLW242" s="8"/>
      <c r="MLX242" s="54"/>
      <c r="MLY242" s="8"/>
      <c r="MLZ242" s="54"/>
      <c r="MMA242" s="8"/>
      <c r="MMB242" s="54"/>
      <c r="MMC242" s="8"/>
      <c r="MMD242" s="54"/>
      <c r="MME242" s="8"/>
      <c r="MMF242" s="54"/>
      <c r="MMG242" s="8"/>
      <c r="MMH242" s="54"/>
      <c r="MMI242" s="8"/>
      <c r="MMJ242" s="54"/>
      <c r="MMK242" s="8"/>
      <c r="MML242" s="54"/>
      <c r="MMM242" s="8"/>
      <c r="MMN242" s="54"/>
      <c r="MMO242" s="8"/>
      <c r="MMP242" s="54"/>
      <c r="MMQ242" s="8"/>
      <c r="MMR242" s="54"/>
      <c r="MMS242" s="8"/>
      <c r="MMT242" s="54"/>
      <c r="MMU242" s="8"/>
      <c r="MMV242" s="54"/>
      <c r="MMW242" s="8"/>
      <c r="MMX242" s="54"/>
      <c r="MMY242" s="8"/>
      <c r="MMZ242" s="54"/>
      <c r="MNA242" s="8"/>
      <c r="MNB242" s="54"/>
      <c r="MNC242" s="8"/>
      <c r="MND242" s="54"/>
      <c r="MNE242" s="8"/>
      <c r="MNF242" s="54"/>
      <c r="MNG242" s="8"/>
      <c r="MNH242" s="54"/>
      <c r="MNI242" s="8"/>
      <c r="MNJ242" s="54"/>
      <c r="MNK242" s="8"/>
      <c r="MNL242" s="54"/>
      <c r="MNM242" s="8"/>
      <c r="MNN242" s="54"/>
      <c r="MNO242" s="8"/>
      <c r="MNP242" s="54"/>
      <c r="MNQ242" s="8"/>
      <c r="MNR242" s="54"/>
      <c r="MNS242" s="8"/>
      <c r="MNT242" s="54"/>
      <c r="MNU242" s="8"/>
      <c r="MNV242" s="54"/>
      <c r="MNW242" s="8"/>
      <c r="MNX242" s="54"/>
      <c r="MNY242" s="8"/>
      <c r="MNZ242" s="54"/>
      <c r="MOA242" s="8"/>
      <c r="MOB242" s="54"/>
      <c r="MOC242" s="8"/>
      <c r="MOD242" s="54"/>
      <c r="MOE242" s="8"/>
      <c r="MOF242" s="54"/>
      <c r="MOG242" s="8"/>
      <c r="MOH242" s="54"/>
      <c r="MOI242" s="8"/>
      <c r="MOJ242" s="54"/>
      <c r="MOK242" s="8"/>
      <c r="MOL242" s="54"/>
      <c r="MOM242" s="8"/>
      <c r="MON242" s="54"/>
      <c r="MOO242" s="8"/>
      <c r="MOP242" s="54"/>
      <c r="MOQ242" s="8"/>
      <c r="MOR242" s="54"/>
      <c r="MOS242" s="8"/>
      <c r="MOT242" s="54"/>
      <c r="MOU242" s="8"/>
      <c r="MOV242" s="54"/>
      <c r="MOW242" s="8"/>
      <c r="MOX242" s="54"/>
      <c r="MOY242" s="8"/>
      <c r="MOZ242" s="54"/>
      <c r="MPA242" s="8"/>
      <c r="MPB242" s="54"/>
      <c r="MPC242" s="8"/>
      <c r="MPD242" s="54"/>
      <c r="MPE242" s="8"/>
      <c r="MPF242" s="54"/>
      <c r="MPG242" s="8"/>
      <c r="MPH242" s="54"/>
      <c r="MPI242" s="8"/>
      <c r="MPJ242" s="54"/>
      <c r="MPK242" s="8"/>
      <c r="MPL242" s="54"/>
      <c r="MPM242" s="8"/>
      <c r="MPN242" s="54"/>
      <c r="MPO242" s="8"/>
      <c r="MPP242" s="54"/>
      <c r="MPQ242" s="8"/>
      <c r="MPR242" s="54"/>
      <c r="MPS242" s="8"/>
      <c r="MPT242" s="54"/>
      <c r="MPU242" s="8"/>
      <c r="MPV242" s="54"/>
      <c r="MPW242" s="8"/>
      <c r="MPX242" s="54"/>
      <c r="MPY242" s="8"/>
      <c r="MPZ242" s="54"/>
      <c r="MQA242" s="8"/>
      <c r="MQB242" s="54"/>
      <c r="MQC242" s="8"/>
      <c r="MQD242" s="54"/>
      <c r="MQE242" s="8"/>
      <c r="MQF242" s="54"/>
      <c r="MQG242" s="8"/>
      <c r="MQH242" s="54"/>
      <c r="MQI242" s="8"/>
      <c r="MQJ242" s="54"/>
      <c r="MQK242" s="8"/>
      <c r="MQL242" s="54"/>
      <c r="MQM242" s="8"/>
      <c r="MQN242" s="54"/>
      <c r="MQO242" s="8"/>
      <c r="MQP242" s="54"/>
      <c r="MQQ242" s="8"/>
      <c r="MQR242" s="54"/>
      <c r="MQS242" s="8"/>
      <c r="MQT242" s="54"/>
      <c r="MQU242" s="8"/>
      <c r="MQV242" s="54"/>
      <c r="MQW242" s="8"/>
      <c r="MQX242" s="54"/>
      <c r="MQY242" s="8"/>
      <c r="MQZ242" s="54"/>
      <c r="MRA242" s="8"/>
      <c r="MRB242" s="54"/>
      <c r="MRC242" s="8"/>
      <c r="MRD242" s="54"/>
      <c r="MRE242" s="8"/>
      <c r="MRF242" s="54"/>
      <c r="MRG242" s="8"/>
      <c r="MRH242" s="54"/>
      <c r="MRI242" s="8"/>
      <c r="MRJ242" s="54"/>
      <c r="MRK242" s="8"/>
      <c r="MRL242" s="54"/>
      <c r="MRM242" s="8"/>
      <c r="MRN242" s="54"/>
      <c r="MRO242" s="8"/>
      <c r="MRP242" s="54"/>
      <c r="MRQ242" s="8"/>
      <c r="MRR242" s="54"/>
      <c r="MRS242" s="8"/>
      <c r="MRT242" s="54"/>
      <c r="MRU242" s="8"/>
      <c r="MRV242" s="54"/>
      <c r="MRW242" s="8"/>
      <c r="MRX242" s="54"/>
      <c r="MRY242" s="8"/>
      <c r="MRZ242" s="54"/>
      <c r="MSA242" s="8"/>
      <c r="MSB242" s="54"/>
      <c r="MSC242" s="8"/>
      <c r="MSD242" s="54"/>
      <c r="MSE242" s="8"/>
      <c r="MSF242" s="54"/>
      <c r="MSG242" s="8"/>
      <c r="MSH242" s="54"/>
      <c r="MSI242" s="8"/>
      <c r="MSJ242" s="54"/>
      <c r="MSK242" s="8"/>
      <c r="MSL242" s="54"/>
      <c r="MSM242" s="8"/>
      <c r="MSN242" s="54"/>
      <c r="MSO242" s="8"/>
      <c r="MSP242" s="54"/>
      <c r="MSQ242" s="8"/>
      <c r="MSR242" s="54"/>
      <c r="MSS242" s="8"/>
      <c r="MST242" s="54"/>
      <c r="MSU242" s="8"/>
      <c r="MSV242" s="54"/>
      <c r="MSW242" s="8"/>
      <c r="MSX242" s="54"/>
      <c r="MSY242" s="8"/>
      <c r="MSZ242" s="54"/>
      <c r="MTA242" s="8"/>
      <c r="MTB242" s="54"/>
      <c r="MTC242" s="8"/>
      <c r="MTD242" s="54"/>
      <c r="MTE242" s="8"/>
      <c r="MTF242" s="54"/>
      <c r="MTG242" s="8"/>
      <c r="MTH242" s="54"/>
      <c r="MTI242" s="8"/>
      <c r="MTJ242" s="54"/>
      <c r="MTK242" s="8"/>
      <c r="MTL242" s="54"/>
      <c r="MTM242" s="8"/>
      <c r="MTN242" s="54"/>
      <c r="MTO242" s="8"/>
      <c r="MTP242" s="54"/>
      <c r="MTQ242" s="8"/>
      <c r="MTR242" s="54"/>
      <c r="MTS242" s="8"/>
      <c r="MTT242" s="54"/>
      <c r="MTU242" s="8"/>
      <c r="MTV242" s="54"/>
      <c r="MTW242" s="8"/>
      <c r="MTX242" s="54"/>
      <c r="MTY242" s="8"/>
      <c r="MTZ242" s="54"/>
      <c r="MUA242" s="8"/>
      <c r="MUB242" s="54"/>
      <c r="MUC242" s="8"/>
      <c r="MUD242" s="54"/>
      <c r="MUE242" s="8"/>
      <c r="MUF242" s="54"/>
      <c r="MUG242" s="8"/>
      <c r="MUH242" s="54"/>
      <c r="MUI242" s="8"/>
      <c r="MUJ242" s="54"/>
      <c r="MUK242" s="8"/>
      <c r="MUL242" s="54"/>
      <c r="MUM242" s="8"/>
      <c r="MUN242" s="54"/>
      <c r="MUO242" s="8"/>
      <c r="MUP242" s="54"/>
      <c r="MUQ242" s="8"/>
      <c r="MUR242" s="54"/>
      <c r="MUS242" s="8"/>
      <c r="MUT242" s="54"/>
      <c r="MUU242" s="8"/>
      <c r="MUV242" s="54"/>
      <c r="MUW242" s="8"/>
      <c r="MUX242" s="54"/>
      <c r="MUY242" s="8"/>
      <c r="MUZ242" s="54"/>
      <c r="MVA242" s="8"/>
      <c r="MVB242" s="54"/>
      <c r="MVC242" s="8"/>
      <c r="MVD242" s="54"/>
      <c r="MVE242" s="8"/>
      <c r="MVF242" s="54"/>
      <c r="MVG242" s="8"/>
      <c r="MVH242" s="54"/>
      <c r="MVI242" s="8"/>
      <c r="MVJ242" s="54"/>
      <c r="MVK242" s="8"/>
      <c r="MVL242" s="54"/>
      <c r="MVM242" s="8"/>
      <c r="MVN242" s="54"/>
      <c r="MVO242" s="8"/>
      <c r="MVP242" s="54"/>
      <c r="MVQ242" s="8"/>
      <c r="MVR242" s="54"/>
      <c r="MVS242" s="8"/>
      <c r="MVT242" s="54"/>
      <c r="MVU242" s="8"/>
      <c r="MVV242" s="54"/>
      <c r="MVW242" s="8"/>
      <c r="MVX242" s="54"/>
      <c r="MVY242" s="8"/>
      <c r="MVZ242" s="54"/>
      <c r="MWA242" s="8"/>
      <c r="MWB242" s="54"/>
      <c r="MWC242" s="8"/>
      <c r="MWD242" s="54"/>
      <c r="MWE242" s="8"/>
      <c r="MWF242" s="54"/>
      <c r="MWG242" s="8"/>
      <c r="MWH242" s="54"/>
      <c r="MWI242" s="8"/>
      <c r="MWJ242" s="54"/>
      <c r="MWK242" s="8"/>
      <c r="MWL242" s="54"/>
      <c r="MWM242" s="8"/>
      <c r="MWN242" s="54"/>
      <c r="MWO242" s="8"/>
      <c r="MWP242" s="54"/>
      <c r="MWQ242" s="8"/>
      <c r="MWR242" s="54"/>
      <c r="MWS242" s="8"/>
      <c r="MWT242" s="54"/>
      <c r="MWU242" s="8"/>
      <c r="MWV242" s="54"/>
      <c r="MWW242" s="8"/>
      <c r="MWX242" s="54"/>
      <c r="MWY242" s="8"/>
      <c r="MWZ242" s="54"/>
      <c r="MXA242" s="8"/>
      <c r="MXB242" s="54"/>
      <c r="MXC242" s="8"/>
      <c r="MXD242" s="54"/>
      <c r="MXE242" s="8"/>
      <c r="MXF242" s="54"/>
      <c r="MXG242" s="8"/>
      <c r="MXH242" s="54"/>
      <c r="MXI242" s="8"/>
      <c r="MXJ242" s="54"/>
      <c r="MXK242" s="8"/>
      <c r="MXL242" s="54"/>
      <c r="MXM242" s="8"/>
      <c r="MXN242" s="54"/>
      <c r="MXO242" s="8"/>
      <c r="MXP242" s="54"/>
      <c r="MXQ242" s="8"/>
      <c r="MXR242" s="54"/>
      <c r="MXS242" s="8"/>
      <c r="MXT242" s="54"/>
      <c r="MXU242" s="8"/>
      <c r="MXV242" s="54"/>
      <c r="MXW242" s="8"/>
      <c r="MXX242" s="54"/>
      <c r="MXY242" s="8"/>
      <c r="MXZ242" s="54"/>
      <c r="MYA242" s="8"/>
      <c r="MYB242" s="54"/>
      <c r="MYC242" s="8"/>
      <c r="MYD242" s="54"/>
      <c r="MYE242" s="8"/>
      <c r="MYF242" s="54"/>
      <c r="MYG242" s="8"/>
      <c r="MYH242" s="54"/>
      <c r="MYI242" s="8"/>
      <c r="MYJ242" s="54"/>
      <c r="MYK242" s="8"/>
      <c r="MYL242" s="54"/>
      <c r="MYM242" s="8"/>
      <c r="MYN242" s="54"/>
      <c r="MYO242" s="8"/>
      <c r="MYP242" s="54"/>
      <c r="MYQ242" s="8"/>
      <c r="MYR242" s="54"/>
      <c r="MYS242" s="8"/>
      <c r="MYT242" s="54"/>
      <c r="MYU242" s="8"/>
      <c r="MYV242" s="54"/>
      <c r="MYW242" s="8"/>
      <c r="MYX242" s="54"/>
      <c r="MYY242" s="8"/>
      <c r="MYZ242" s="54"/>
      <c r="MZA242" s="8"/>
      <c r="MZB242" s="54"/>
      <c r="MZC242" s="8"/>
      <c r="MZD242" s="54"/>
      <c r="MZE242" s="8"/>
      <c r="MZF242" s="54"/>
      <c r="MZG242" s="8"/>
      <c r="MZH242" s="54"/>
      <c r="MZI242" s="8"/>
      <c r="MZJ242" s="54"/>
      <c r="MZK242" s="8"/>
      <c r="MZL242" s="54"/>
      <c r="MZM242" s="8"/>
      <c r="MZN242" s="54"/>
      <c r="MZO242" s="8"/>
      <c r="MZP242" s="54"/>
      <c r="MZQ242" s="8"/>
      <c r="MZR242" s="54"/>
      <c r="MZS242" s="8"/>
      <c r="MZT242" s="54"/>
      <c r="MZU242" s="8"/>
      <c r="MZV242" s="54"/>
      <c r="MZW242" s="8"/>
      <c r="MZX242" s="54"/>
      <c r="MZY242" s="8"/>
      <c r="MZZ242" s="54"/>
      <c r="NAA242" s="8"/>
      <c r="NAB242" s="54"/>
      <c r="NAC242" s="8"/>
      <c r="NAD242" s="54"/>
      <c r="NAE242" s="8"/>
      <c r="NAF242" s="54"/>
      <c r="NAG242" s="8"/>
      <c r="NAH242" s="54"/>
      <c r="NAI242" s="8"/>
      <c r="NAJ242" s="54"/>
      <c r="NAK242" s="8"/>
      <c r="NAL242" s="54"/>
      <c r="NAM242" s="8"/>
      <c r="NAN242" s="54"/>
      <c r="NAO242" s="8"/>
      <c r="NAP242" s="54"/>
      <c r="NAQ242" s="8"/>
      <c r="NAR242" s="54"/>
      <c r="NAS242" s="8"/>
      <c r="NAT242" s="54"/>
      <c r="NAU242" s="8"/>
      <c r="NAV242" s="54"/>
      <c r="NAW242" s="8"/>
      <c r="NAX242" s="54"/>
      <c r="NAY242" s="8"/>
      <c r="NAZ242" s="54"/>
      <c r="NBA242" s="8"/>
      <c r="NBB242" s="54"/>
      <c r="NBC242" s="8"/>
      <c r="NBD242" s="54"/>
      <c r="NBE242" s="8"/>
      <c r="NBF242" s="54"/>
      <c r="NBG242" s="8"/>
      <c r="NBH242" s="54"/>
      <c r="NBI242" s="8"/>
      <c r="NBJ242" s="54"/>
      <c r="NBK242" s="8"/>
      <c r="NBL242" s="54"/>
      <c r="NBM242" s="8"/>
      <c r="NBN242" s="54"/>
      <c r="NBO242" s="8"/>
      <c r="NBP242" s="54"/>
      <c r="NBQ242" s="8"/>
      <c r="NBR242" s="54"/>
      <c r="NBS242" s="8"/>
      <c r="NBT242" s="54"/>
      <c r="NBU242" s="8"/>
      <c r="NBV242" s="54"/>
      <c r="NBW242" s="8"/>
      <c r="NBX242" s="54"/>
      <c r="NBY242" s="8"/>
      <c r="NBZ242" s="54"/>
      <c r="NCA242" s="8"/>
      <c r="NCB242" s="54"/>
      <c r="NCC242" s="8"/>
      <c r="NCD242" s="54"/>
      <c r="NCE242" s="8"/>
      <c r="NCF242" s="54"/>
      <c r="NCG242" s="8"/>
      <c r="NCH242" s="54"/>
      <c r="NCI242" s="8"/>
      <c r="NCJ242" s="54"/>
      <c r="NCK242" s="8"/>
      <c r="NCL242" s="54"/>
      <c r="NCM242" s="8"/>
      <c r="NCN242" s="54"/>
      <c r="NCO242" s="8"/>
      <c r="NCP242" s="54"/>
      <c r="NCQ242" s="8"/>
      <c r="NCR242" s="54"/>
      <c r="NCS242" s="8"/>
      <c r="NCT242" s="54"/>
      <c r="NCU242" s="8"/>
      <c r="NCV242" s="54"/>
      <c r="NCW242" s="8"/>
      <c r="NCX242" s="54"/>
      <c r="NCY242" s="8"/>
      <c r="NCZ242" s="54"/>
      <c r="NDA242" s="8"/>
      <c r="NDB242" s="54"/>
      <c r="NDC242" s="8"/>
      <c r="NDD242" s="54"/>
      <c r="NDE242" s="8"/>
      <c r="NDF242" s="54"/>
      <c r="NDG242" s="8"/>
      <c r="NDH242" s="54"/>
      <c r="NDI242" s="8"/>
      <c r="NDJ242" s="54"/>
      <c r="NDK242" s="8"/>
      <c r="NDL242" s="54"/>
      <c r="NDM242" s="8"/>
      <c r="NDN242" s="54"/>
      <c r="NDO242" s="8"/>
      <c r="NDP242" s="54"/>
      <c r="NDQ242" s="8"/>
      <c r="NDR242" s="54"/>
      <c r="NDS242" s="8"/>
      <c r="NDT242" s="54"/>
      <c r="NDU242" s="8"/>
      <c r="NDV242" s="54"/>
      <c r="NDW242" s="8"/>
      <c r="NDX242" s="54"/>
      <c r="NDY242" s="8"/>
      <c r="NDZ242" s="54"/>
      <c r="NEA242" s="8"/>
      <c r="NEB242" s="54"/>
      <c r="NEC242" s="8"/>
      <c r="NED242" s="54"/>
      <c r="NEE242" s="8"/>
      <c r="NEF242" s="54"/>
      <c r="NEG242" s="8"/>
      <c r="NEH242" s="54"/>
      <c r="NEI242" s="8"/>
      <c r="NEJ242" s="54"/>
      <c r="NEK242" s="8"/>
      <c r="NEL242" s="54"/>
      <c r="NEM242" s="8"/>
      <c r="NEN242" s="54"/>
      <c r="NEO242" s="8"/>
      <c r="NEP242" s="54"/>
      <c r="NEQ242" s="8"/>
      <c r="NER242" s="54"/>
      <c r="NES242" s="8"/>
      <c r="NET242" s="54"/>
      <c r="NEU242" s="8"/>
      <c r="NEV242" s="54"/>
      <c r="NEW242" s="8"/>
      <c r="NEX242" s="54"/>
      <c r="NEY242" s="8"/>
      <c r="NEZ242" s="54"/>
      <c r="NFA242" s="8"/>
      <c r="NFB242" s="54"/>
      <c r="NFC242" s="8"/>
      <c r="NFD242" s="54"/>
      <c r="NFE242" s="8"/>
      <c r="NFF242" s="54"/>
      <c r="NFG242" s="8"/>
      <c r="NFH242" s="54"/>
      <c r="NFI242" s="8"/>
      <c r="NFJ242" s="54"/>
      <c r="NFK242" s="8"/>
      <c r="NFL242" s="54"/>
      <c r="NFM242" s="8"/>
      <c r="NFN242" s="54"/>
      <c r="NFO242" s="8"/>
      <c r="NFP242" s="54"/>
      <c r="NFQ242" s="8"/>
      <c r="NFR242" s="54"/>
      <c r="NFS242" s="8"/>
      <c r="NFT242" s="54"/>
      <c r="NFU242" s="8"/>
      <c r="NFV242" s="54"/>
      <c r="NFW242" s="8"/>
      <c r="NFX242" s="54"/>
      <c r="NFY242" s="8"/>
      <c r="NFZ242" s="54"/>
      <c r="NGA242" s="8"/>
      <c r="NGB242" s="54"/>
      <c r="NGC242" s="8"/>
      <c r="NGD242" s="54"/>
      <c r="NGE242" s="8"/>
      <c r="NGF242" s="54"/>
      <c r="NGG242" s="8"/>
      <c r="NGH242" s="54"/>
      <c r="NGI242" s="8"/>
      <c r="NGJ242" s="54"/>
      <c r="NGK242" s="8"/>
      <c r="NGL242" s="54"/>
      <c r="NGM242" s="8"/>
      <c r="NGN242" s="54"/>
      <c r="NGO242" s="8"/>
      <c r="NGP242" s="54"/>
      <c r="NGQ242" s="8"/>
      <c r="NGR242" s="54"/>
      <c r="NGS242" s="8"/>
      <c r="NGT242" s="54"/>
      <c r="NGU242" s="8"/>
      <c r="NGV242" s="54"/>
      <c r="NGW242" s="8"/>
      <c r="NGX242" s="54"/>
      <c r="NGY242" s="8"/>
      <c r="NGZ242" s="54"/>
      <c r="NHA242" s="8"/>
      <c r="NHB242" s="54"/>
      <c r="NHC242" s="8"/>
      <c r="NHD242" s="54"/>
      <c r="NHE242" s="8"/>
      <c r="NHF242" s="54"/>
      <c r="NHG242" s="8"/>
      <c r="NHH242" s="54"/>
      <c r="NHI242" s="8"/>
      <c r="NHJ242" s="54"/>
      <c r="NHK242" s="8"/>
      <c r="NHL242" s="54"/>
      <c r="NHM242" s="8"/>
      <c r="NHN242" s="54"/>
      <c r="NHO242" s="8"/>
      <c r="NHP242" s="54"/>
      <c r="NHQ242" s="8"/>
      <c r="NHR242" s="54"/>
      <c r="NHS242" s="8"/>
      <c r="NHT242" s="54"/>
      <c r="NHU242" s="8"/>
      <c r="NHV242" s="54"/>
      <c r="NHW242" s="8"/>
      <c r="NHX242" s="54"/>
      <c r="NHY242" s="8"/>
      <c r="NHZ242" s="54"/>
      <c r="NIA242" s="8"/>
      <c r="NIB242" s="54"/>
      <c r="NIC242" s="8"/>
      <c r="NID242" s="54"/>
      <c r="NIE242" s="8"/>
      <c r="NIF242" s="54"/>
      <c r="NIG242" s="8"/>
      <c r="NIH242" s="54"/>
      <c r="NII242" s="8"/>
      <c r="NIJ242" s="54"/>
      <c r="NIK242" s="8"/>
      <c r="NIL242" s="54"/>
      <c r="NIM242" s="8"/>
      <c r="NIN242" s="54"/>
      <c r="NIO242" s="8"/>
      <c r="NIP242" s="54"/>
      <c r="NIQ242" s="8"/>
      <c r="NIR242" s="54"/>
      <c r="NIS242" s="8"/>
      <c r="NIT242" s="54"/>
      <c r="NIU242" s="8"/>
      <c r="NIV242" s="54"/>
      <c r="NIW242" s="8"/>
      <c r="NIX242" s="54"/>
      <c r="NIY242" s="8"/>
      <c r="NIZ242" s="54"/>
      <c r="NJA242" s="8"/>
      <c r="NJB242" s="54"/>
      <c r="NJC242" s="8"/>
      <c r="NJD242" s="54"/>
      <c r="NJE242" s="8"/>
      <c r="NJF242" s="54"/>
      <c r="NJG242" s="8"/>
      <c r="NJH242" s="54"/>
      <c r="NJI242" s="8"/>
      <c r="NJJ242" s="54"/>
      <c r="NJK242" s="8"/>
      <c r="NJL242" s="54"/>
      <c r="NJM242" s="8"/>
      <c r="NJN242" s="54"/>
      <c r="NJO242" s="8"/>
      <c r="NJP242" s="54"/>
      <c r="NJQ242" s="8"/>
      <c r="NJR242" s="54"/>
      <c r="NJS242" s="8"/>
      <c r="NJT242" s="54"/>
      <c r="NJU242" s="8"/>
      <c r="NJV242" s="54"/>
      <c r="NJW242" s="8"/>
      <c r="NJX242" s="54"/>
      <c r="NJY242" s="8"/>
      <c r="NJZ242" s="54"/>
      <c r="NKA242" s="8"/>
      <c r="NKB242" s="54"/>
      <c r="NKC242" s="8"/>
      <c r="NKD242" s="54"/>
      <c r="NKE242" s="8"/>
      <c r="NKF242" s="54"/>
      <c r="NKG242" s="8"/>
      <c r="NKH242" s="54"/>
      <c r="NKI242" s="8"/>
      <c r="NKJ242" s="54"/>
      <c r="NKK242" s="8"/>
      <c r="NKL242" s="54"/>
      <c r="NKM242" s="8"/>
      <c r="NKN242" s="54"/>
      <c r="NKO242" s="8"/>
      <c r="NKP242" s="54"/>
      <c r="NKQ242" s="8"/>
      <c r="NKR242" s="54"/>
      <c r="NKS242" s="8"/>
      <c r="NKT242" s="54"/>
      <c r="NKU242" s="8"/>
      <c r="NKV242" s="54"/>
      <c r="NKW242" s="8"/>
      <c r="NKX242" s="54"/>
      <c r="NKY242" s="8"/>
      <c r="NKZ242" s="54"/>
      <c r="NLA242" s="8"/>
      <c r="NLB242" s="54"/>
      <c r="NLC242" s="8"/>
      <c r="NLD242" s="54"/>
      <c r="NLE242" s="8"/>
      <c r="NLF242" s="54"/>
      <c r="NLG242" s="8"/>
      <c r="NLH242" s="54"/>
      <c r="NLI242" s="8"/>
      <c r="NLJ242" s="54"/>
      <c r="NLK242" s="8"/>
      <c r="NLL242" s="54"/>
      <c r="NLM242" s="8"/>
      <c r="NLN242" s="54"/>
      <c r="NLO242" s="8"/>
      <c r="NLP242" s="54"/>
      <c r="NLQ242" s="8"/>
      <c r="NLR242" s="54"/>
      <c r="NLS242" s="8"/>
      <c r="NLT242" s="54"/>
      <c r="NLU242" s="8"/>
      <c r="NLV242" s="54"/>
      <c r="NLW242" s="8"/>
      <c r="NLX242" s="54"/>
      <c r="NLY242" s="8"/>
      <c r="NLZ242" s="54"/>
      <c r="NMA242" s="8"/>
      <c r="NMB242" s="54"/>
      <c r="NMC242" s="8"/>
      <c r="NMD242" s="54"/>
      <c r="NME242" s="8"/>
      <c r="NMF242" s="54"/>
      <c r="NMG242" s="8"/>
      <c r="NMH242" s="54"/>
      <c r="NMI242" s="8"/>
      <c r="NMJ242" s="54"/>
      <c r="NMK242" s="8"/>
      <c r="NML242" s="54"/>
      <c r="NMM242" s="8"/>
      <c r="NMN242" s="54"/>
      <c r="NMO242" s="8"/>
      <c r="NMP242" s="54"/>
      <c r="NMQ242" s="8"/>
      <c r="NMR242" s="54"/>
      <c r="NMS242" s="8"/>
      <c r="NMT242" s="54"/>
      <c r="NMU242" s="8"/>
      <c r="NMV242" s="54"/>
      <c r="NMW242" s="8"/>
      <c r="NMX242" s="54"/>
      <c r="NMY242" s="8"/>
      <c r="NMZ242" s="54"/>
      <c r="NNA242" s="8"/>
      <c r="NNB242" s="54"/>
      <c r="NNC242" s="8"/>
      <c r="NND242" s="54"/>
      <c r="NNE242" s="8"/>
      <c r="NNF242" s="54"/>
      <c r="NNG242" s="8"/>
      <c r="NNH242" s="54"/>
      <c r="NNI242" s="8"/>
      <c r="NNJ242" s="54"/>
      <c r="NNK242" s="8"/>
      <c r="NNL242" s="54"/>
      <c r="NNM242" s="8"/>
      <c r="NNN242" s="54"/>
      <c r="NNO242" s="8"/>
      <c r="NNP242" s="54"/>
      <c r="NNQ242" s="8"/>
      <c r="NNR242" s="54"/>
      <c r="NNS242" s="8"/>
      <c r="NNT242" s="54"/>
      <c r="NNU242" s="8"/>
      <c r="NNV242" s="54"/>
      <c r="NNW242" s="8"/>
      <c r="NNX242" s="54"/>
      <c r="NNY242" s="8"/>
      <c r="NNZ242" s="54"/>
      <c r="NOA242" s="8"/>
      <c r="NOB242" s="54"/>
      <c r="NOC242" s="8"/>
      <c r="NOD242" s="54"/>
      <c r="NOE242" s="8"/>
      <c r="NOF242" s="54"/>
      <c r="NOG242" s="8"/>
      <c r="NOH242" s="54"/>
      <c r="NOI242" s="8"/>
      <c r="NOJ242" s="54"/>
      <c r="NOK242" s="8"/>
      <c r="NOL242" s="54"/>
      <c r="NOM242" s="8"/>
      <c r="NON242" s="54"/>
      <c r="NOO242" s="8"/>
      <c r="NOP242" s="54"/>
      <c r="NOQ242" s="8"/>
      <c r="NOR242" s="54"/>
      <c r="NOS242" s="8"/>
      <c r="NOT242" s="54"/>
      <c r="NOU242" s="8"/>
      <c r="NOV242" s="54"/>
      <c r="NOW242" s="8"/>
      <c r="NOX242" s="54"/>
      <c r="NOY242" s="8"/>
      <c r="NOZ242" s="54"/>
      <c r="NPA242" s="8"/>
      <c r="NPB242" s="54"/>
      <c r="NPC242" s="8"/>
      <c r="NPD242" s="54"/>
      <c r="NPE242" s="8"/>
      <c r="NPF242" s="54"/>
      <c r="NPG242" s="8"/>
      <c r="NPH242" s="54"/>
      <c r="NPI242" s="8"/>
      <c r="NPJ242" s="54"/>
      <c r="NPK242" s="8"/>
      <c r="NPL242" s="54"/>
      <c r="NPM242" s="8"/>
      <c r="NPN242" s="54"/>
      <c r="NPO242" s="8"/>
      <c r="NPP242" s="54"/>
      <c r="NPQ242" s="8"/>
      <c r="NPR242" s="54"/>
      <c r="NPS242" s="8"/>
      <c r="NPT242" s="54"/>
      <c r="NPU242" s="8"/>
      <c r="NPV242" s="54"/>
      <c r="NPW242" s="8"/>
      <c r="NPX242" s="54"/>
      <c r="NPY242" s="8"/>
      <c r="NPZ242" s="54"/>
      <c r="NQA242" s="8"/>
      <c r="NQB242" s="54"/>
      <c r="NQC242" s="8"/>
      <c r="NQD242" s="54"/>
      <c r="NQE242" s="8"/>
      <c r="NQF242" s="54"/>
      <c r="NQG242" s="8"/>
      <c r="NQH242" s="54"/>
      <c r="NQI242" s="8"/>
      <c r="NQJ242" s="54"/>
      <c r="NQK242" s="8"/>
      <c r="NQL242" s="54"/>
      <c r="NQM242" s="8"/>
      <c r="NQN242" s="54"/>
      <c r="NQO242" s="8"/>
      <c r="NQP242" s="54"/>
      <c r="NQQ242" s="8"/>
      <c r="NQR242" s="54"/>
      <c r="NQS242" s="8"/>
      <c r="NQT242" s="54"/>
      <c r="NQU242" s="8"/>
      <c r="NQV242" s="54"/>
      <c r="NQW242" s="8"/>
      <c r="NQX242" s="54"/>
      <c r="NQY242" s="8"/>
      <c r="NQZ242" s="54"/>
      <c r="NRA242" s="8"/>
      <c r="NRB242" s="54"/>
      <c r="NRC242" s="8"/>
      <c r="NRD242" s="54"/>
      <c r="NRE242" s="8"/>
      <c r="NRF242" s="54"/>
      <c r="NRG242" s="8"/>
      <c r="NRH242" s="54"/>
      <c r="NRI242" s="8"/>
      <c r="NRJ242" s="54"/>
      <c r="NRK242" s="8"/>
      <c r="NRL242" s="54"/>
      <c r="NRM242" s="8"/>
      <c r="NRN242" s="54"/>
      <c r="NRO242" s="8"/>
      <c r="NRP242" s="54"/>
      <c r="NRQ242" s="8"/>
      <c r="NRR242" s="54"/>
      <c r="NRS242" s="8"/>
      <c r="NRT242" s="54"/>
      <c r="NRU242" s="8"/>
      <c r="NRV242" s="54"/>
      <c r="NRW242" s="8"/>
      <c r="NRX242" s="54"/>
      <c r="NRY242" s="8"/>
      <c r="NRZ242" s="54"/>
      <c r="NSA242" s="8"/>
      <c r="NSB242" s="54"/>
      <c r="NSC242" s="8"/>
      <c r="NSD242" s="54"/>
      <c r="NSE242" s="8"/>
      <c r="NSF242" s="54"/>
      <c r="NSG242" s="8"/>
      <c r="NSH242" s="54"/>
      <c r="NSI242" s="8"/>
      <c r="NSJ242" s="54"/>
      <c r="NSK242" s="8"/>
      <c r="NSL242" s="54"/>
      <c r="NSM242" s="8"/>
      <c r="NSN242" s="54"/>
      <c r="NSO242" s="8"/>
      <c r="NSP242" s="54"/>
      <c r="NSQ242" s="8"/>
      <c r="NSR242" s="54"/>
      <c r="NSS242" s="8"/>
      <c r="NST242" s="54"/>
      <c r="NSU242" s="8"/>
      <c r="NSV242" s="54"/>
      <c r="NSW242" s="8"/>
      <c r="NSX242" s="54"/>
      <c r="NSY242" s="8"/>
      <c r="NSZ242" s="54"/>
      <c r="NTA242" s="8"/>
      <c r="NTB242" s="54"/>
      <c r="NTC242" s="8"/>
      <c r="NTD242" s="54"/>
      <c r="NTE242" s="8"/>
      <c r="NTF242" s="54"/>
      <c r="NTG242" s="8"/>
      <c r="NTH242" s="54"/>
      <c r="NTI242" s="8"/>
      <c r="NTJ242" s="54"/>
      <c r="NTK242" s="8"/>
      <c r="NTL242" s="54"/>
      <c r="NTM242" s="8"/>
      <c r="NTN242" s="54"/>
      <c r="NTO242" s="8"/>
      <c r="NTP242" s="54"/>
      <c r="NTQ242" s="8"/>
      <c r="NTR242" s="54"/>
      <c r="NTS242" s="8"/>
      <c r="NTT242" s="54"/>
      <c r="NTU242" s="8"/>
      <c r="NTV242" s="54"/>
      <c r="NTW242" s="8"/>
      <c r="NTX242" s="54"/>
      <c r="NTY242" s="8"/>
      <c r="NTZ242" s="54"/>
      <c r="NUA242" s="8"/>
      <c r="NUB242" s="54"/>
      <c r="NUC242" s="8"/>
      <c r="NUD242" s="54"/>
      <c r="NUE242" s="8"/>
      <c r="NUF242" s="54"/>
      <c r="NUG242" s="8"/>
      <c r="NUH242" s="54"/>
      <c r="NUI242" s="8"/>
      <c r="NUJ242" s="54"/>
      <c r="NUK242" s="8"/>
      <c r="NUL242" s="54"/>
      <c r="NUM242" s="8"/>
      <c r="NUN242" s="54"/>
      <c r="NUO242" s="8"/>
      <c r="NUP242" s="54"/>
      <c r="NUQ242" s="8"/>
      <c r="NUR242" s="54"/>
      <c r="NUS242" s="8"/>
      <c r="NUT242" s="54"/>
      <c r="NUU242" s="8"/>
      <c r="NUV242" s="54"/>
      <c r="NUW242" s="8"/>
      <c r="NUX242" s="54"/>
      <c r="NUY242" s="8"/>
      <c r="NUZ242" s="54"/>
      <c r="NVA242" s="8"/>
      <c r="NVB242" s="54"/>
      <c r="NVC242" s="8"/>
      <c r="NVD242" s="54"/>
      <c r="NVE242" s="8"/>
      <c r="NVF242" s="54"/>
      <c r="NVG242" s="8"/>
      <c r="NVH242" s="54"/>
      <c r="NVI242" s="8"/>
      <c r="NVJ242" s="54"/>
      <c r="NVK242" s="8"/>
      <c r="NVL242" s="54"/>
      <c r="NVM242" s="8"/>
      <c r="NVN242" s="54"/>
      <c r="NVO242" s="8"/>
      <c r="NVP242" s="54"/>
      <c r="NVQ242" s="8"/>
      <c r="NVR242" s="54"/>
      <c r="NVS242" s="8"/>
      <c r="NVT242" s="54"/>
      <c r="NVU242" s="8"/>
      <c r="NVV242" s="54"/>
      <c r="NVW242" s="8"/>
      <c r="NVX242" s="54"/>
      <c r="NVY242" s="8"/>
      <c r="NVZ242" s="54"/>
      <c r="NWA242" s="8"/>
      <c r="NWB242" s="54"/>
      <c r="NWC242" s="8"/>
      <c r="NWD242" s="54"/>
      <c r="NWE242" s="8"/>
      <c r="NWF242" s="54"/>
      <c r="NWG242" s="8"/>
      <c r="NWH242" s="54"/>
      <c r="NWI242" s="8"/>
      <c r="NWJ242" s="54"/>
      <c r="NWK242" s="8"/>
      <c r="NWL242" s="54"/>
      <c r="NWM242" s="8"/>
      <c r="NWN242" s="54"/>
      <c r="NWO242" s="8"/>
      <c r="NWP242" s="54"/>
      <c r="NWQ242" s="8"/>
      <c r="NWR242" s="54"/>
      <c r="NWS242" s="8"/>
      <c r="NWT242" s="54"/>
      <c r="NWU242" s="8"/>
      <c r="NWV242" s="54"/>
      <c r="NWW242" s="8"/>
      <c r="NWX242" s="54"/>
      <c r="NWY242" s="8"/>
      <c r="NWZ242" s="54"/>
      <c r="NXA242" s="8"/>
      <c r="NXB242" s="54"/>
      <c r="NXC242" s="8"/>
      <c r="NXD242" s="54"/>
      <c r="NXE242" s="8"/>
      <c r="NXF242" s="54"/>
      <c r="NXG242" s="8"/>
      <c r="NXH242" s="54"/>
      <c r="NXI242" s="8"/>
      <c r="NXJ242" s="54"/>
      <c r="NXK242" s="8"/>
      <c r="NXL242" s="54"/>
      <c r="NXM242" s="8"/>
      <c r="NXN242" s="54"/>
      <c r="NXO242" s="8"/>
      <c r="NXP242" s="54"/>
      <c r="NXQ242" s="8"/>
      <c r="NXR242" s="54"/>
      <c r="NXS242" s="8"/>
      <c r="NXT242" s="54"/>
      <c r="NXU242" s="8"/>
      <c r="NXV242" s="54"/>
      <c r="NXW242" s="8"/>
      <c r="NXX242" s="54"/>
      <c r="NXY242" s="8"/>
      <c r="NXZ242" s="54"/>
      <c r="NYA242" s="8"/>
      <c r="NYB242" s="54"/>
      <c r="NYC242" s="8"/>
      <c r="NYD242" s="54"/>
      <c r="NYE242" s="8"/>
      <c r="NYF242" s="54"/>
      <c r="NYG242" s="8"/>
      <c r="NYH242" s="54"/>
      <c r="NYI242" s="8"/>
      <c r="NYJ242" s="54"/>
      <c r="NYK242" s="8"/>
      <c r="NYL242" s="54"/>
      <c r="NYM242" s="8"/>
      <c r="NYN242" s="54"/>
      <c r="NYO242" s="8"/>
      <c r="NYP242" s="54"/>
      <c r="NYQ242" s="8"/>
      <c r="NYR242" s="54"/>
      <c r="NYS242" s="8"/>
      <c r="NYT242" s="54"/>
      <c r="NYU242" s="8"/>
      <c r="NYV242" s="54"/>
      <c r="NYW242" s="8"/>
      <c r="NYX242" s="54"/>
      <c r="NYY242" s="8"/>
      <c r="NYZ242" s="54"/>
      <c r="NZA242" s="8"/>
      <c r="NZB242" s="54"/>
      <c r="NZC242" s="8"/>
      <c r="NZD242" s="54"/>
      <c r="NZE242" s="8"/>
      <c r="NZF242" s="54"/>
      <c r="NZG242" s="8"/>
      <c r="NZH242" s="54"/>
      <c r="NZI242" s="8"/>
      <c r="NZJ242" s="54"/>
      <c r="NZK242" s="8"/>
      <c r="NZL242" s="54"/>
      <c r="NZM242" s="8"/>
      <c r="NZN242" s="54"/>
      <c r="NZO242" s="8"/>
      <c r="NZP242" s="54"/>
      <c r="NZQ242" s="8"/>
      <c r="NZR242" s="54"/>
      <c r="NZS242" s="8"/>
      <c r="NZT242" s="54"/>
      <c r="NZU242" s="8"/>
      <c r="NZV242" s="54"/>
      <c r="NZW242" s="8"/>
      <c r="NZX242" s="54"/>
      <c r="NZY242" s="8"/>
      <c r="NZZ242" s="54"/>
      <c r="OAA242" s="8"/>
      <c r="OAB242" s="54"/>
      <c r="OAC242" s="8"/>
      <c r="OAD242" s="54"/>
      <c r="OAE242" s="8"/>
      <c r="OAF242" s="54"/>
      <c r="OAG242" s="8"/>
      <c r="OAH242" s="54"/>
      <c r="OAI242" s="8"/>
      <c r="OAJ242" s="54"/>
      <c r="OAK242" s="8"/>
      <c r="OAL242" s="54"/>
      <c r="OAM242" s="8"/>
      <c r="OAN242" s="54"/>
      <c r="OAO242" s="8"/>
      <c r="OAP242" s="54"/>
      <c r="OAQ242" s="8"/>
      <c r="OAR242" s="54"/>
      <c r="OAS242" s="8"/>
      <c r="OAT242" s="54"/>
      <c r="OAU242" s="8"/>
      <c r="OAV242" s="54"/>
      <c r="OAW242" s="8"/>
      <c r="OAX242" s="54"/>
      <c r="OAY242" s="8"/>
      <c r="OAZ242" s="54"/>
      <c r="OBA242" s="8"/>
      <c r="OBB242" s="54"/>
      <c r="OBC242" s="8"/>
      <c r="OBD242" s="54"/>
      <c r="OBE242" s="8"/>
      <c r="OBF242" s="54"/>
      <c r="OBG242" s="8"/>
      <c r="OBH242" s="54"/>
      <c r="OBI242" s="8"/>
      <c r="OBJ242" s="54"/>
      <c r="OBK242" s="8"/>
      <c r="OBL242" s="54"/>
      <c r="OBM242" s="8"/>
      <c r="OBN242" s="54"/>
      <c r="OBO242" s="8"/>
      <c r="OBP242" s="54"/>
      <c r="OBQ242" s="8"/>
      <c r="OBR242" s="54"/>
      <c r="OBS242" s="8"/>
      <c r="OBT242" s="54"/>
      <c r="OBU242" s="8"/>
      <c r="OBV242" s="54"/>
      <c r="OBW242" s="8"/>
      <c r="OBX242" s="54"/>
      <c r="OBY242" s="8"/>
      <c r="OBZ242" s="54"/>
      <c r="OCA242" s="8"/>
      <c r="OCB242" s="54"/>
      <c r="OCC242" s="8"/>
      <c r="OCD242" s="54"/>
      <c r="OCE242" s="8"/>
      <c r="OCF242" s="54"/>
      <c r="OCG242" s="8"/>
      <c r="OCH242" s="54"/>
      <c r="OCI242" s="8"/>
      <c r="OCJ242" s="54"/>
      <c r="OCK242" s="8"/>
      <c r="OCL242" s="54"/>
      <c r="OCM242" s="8"/>
      <c r="OCN242" s="54"/>
      <c r="OCO242" s="8"/>
      <c r="OCP242" s="54"/>
      <c r="OCQ242" s="8"/>
      <c r="OCR242" s="54"/>
      <c r="OCS242" s="8"/>
      <c r="OCT242" s="54"/>
      <c r="OCU242" s="8"/>
      <c r="OCV242" s="54"/>
      <c r="OCW242" s="8"/>
      <c r="OCX242" s="54"/>
      <c r="OCY242" s="8"/>
      <c r="OCZ242" s="54"/>
      <c r="ODA242" s="8"/>
      <c r="ODB242" s="54"/>
      <c r="ODC242" s="8"/>
      <c r="ODD242" s="54"/>
      <c r="ODE242" s="8"/>
      <c r="ODF242" s="54"/>
      <c r="ODG242" s="8"/>
      <c r="ODH242" s="54"/>
      <c r="ODI242" s="8"/>
      <c r="ODJ242" s="54"/>
      <c r="ODK242" s="8"/>
      <c r="ODL242" s="54"/>
      <c r="ODM242" s="8"/>
      <c r="ODN242" s="54"/>
      <c r="ODO242" s="8"/>
      <c r="ODP242" s="54"/>
      <c r="ODQ242" s="8"/>
      <c r="ODR242" s="54"/>
      <c r="ODS242" s="8"/>
      <c r="ODT242" s="54"/>
      <c r="ODU242" s="8"/>
      <c r="ODV242" s="54"/>
      <c r="ODW242" s="8"/>
      <c r="ODX242" s="54"/>
      <c r="ODY242" s="8"/>
      <c r="ODZ242" s="54"/>
      <c r="OEA242" s="8"/>
      <c r="OEB242" s="54"/>
      <c r="OEC242" s="8"/>
      <c r="OED242" s="54"/>
      <c r="OEE242" s="8"/>
      <c r="OEF242" s="54"/>
      <c r="OEG242" s="8"/>
      <c r="OEH242" s="54"/>
      <c r="OEI242" s="8"/>
      <c r="OEJ242" s="54"/>
      <c r="OEK242" s="8"/>
      <c r="OEL242" s="54"/>
      <c r="OEM242" s="8"/>
      <c r="OEN242" s="54"/>
      <c r="OEO242" s="8"/>
      <c r="OEP242" s="54"/>
      <c r="OEQ242" s="8"/>
      <c r="OER242" s="54"/>
      <c r="OES242" s="8"/>
      <c r="OET242" s="54"/>
      <c r="OEU242" s="8"/>
      <c r="OEV242" s="54"/>
      <c r="OEW242" s="8"/>
      <c r="OEX242" s="54"/>
      <c r="OEY242" s="8"/>
      <c r="OEZ242" s="54"/>
      <c r="OFA242" s="8"/>
      <c r="OFB242" s="54"/>
      <c r="OFC242" s="8"/>
      <c r="OFD242" s="54"/>
      <c r="OFE242" s="8"/>
      <c r="OFF242" s="54"/>
      <c r="OFG242" s="8"/>
      <c r="OFH242" s="54"/>
      <c r="OFI242" s="8"/>
      <c r="OFJ242" s="54"/>
      <c r="OFK242" s="8"/>
      <c r="OFL242" s="54"/>
      <c r="OFM242" s="8"/>
      <c r="OFN242" s="54"/>
      <c r="OFO242" s="8"/>
      <c r="OFP242" s="54"/>
      <c r="OFQ242" s="8"/>
      <c r="OFR242" s="54"/>
      <c r="OFS242" s="8"/>
      <c r="OFT242" s="54"/>
      <c r="OFU242" s="8"/>
      <c r="OFV242" s="54"/>
      <c r="OFW242" s="8"/>
      <c r="OFX242" s="54"/>
      <c r="OFY242" s="8"/>
      <c r="OFZ242" s="54"/>
      <c r="OGA242" s="8"/>
      <c r="OGB242" s="54"/>
      <c r="OGC242" s="8"/>
      <c r="OGD242" s="54"/>
      <c r="OGE242" s="8"/>
      <c r="OGF242" s="54"/>
      <c r="OGG242" s="8"/>
      <c r="OGH242" s="54"/>
      <c r="OGI242" s="8"/>
      <c r="OGJ242" s="54"/>
      <c r="OGK242" s="8"/>
      <c r="OGL242" s="54"/>
      <c r="OGM242" s="8"/>
      <c r="OGN242" s="54"/>
      <c r="OGO242" s="8"/>
      <c r="OGP242" s="54"/>
      <c r="OGQ242" s="8"/>
      <c r="OGR242" s="54"/>
      <c r="OGS242" s="8"/>
      <c r="OGT242" s="54"/>
      <c r="OGU242" s="8"/>
      <c r="OGV242" s="54"/>
      <c r="OGW242" s="8"/>
      <c r="OGX242" s="54"/>
      <c r="OGY242" s="8"/>
      <c r="OGZ242" s="54"/>
      <c r="OHA242" s="8"/>
      <c r="OHB242" s="54"/>
      <c r="OHC242" s="8"/>
      <c r="OHD242" s="54"/>
      <c r="OHE242" s="8"/>
      <c r="OHF242" s="54"/>
      <c r="OHG242" s="8"/>
      <c r="OHH242" s="54"/>
      <c r="OHI242" s="8"/>
      <c r="OHJ242" s="54"/>
      <c r="OHK242" s="8"/>
      <c r="OHL242" s="54"/>
      <c r="OHM242" s="8"/>
      <c r="OHN242" s="54"/>
      <c r="OHO242" s="8"/>
      <c r="OHP242" s="54"/>
      <c r="OHQ242" s="8"/>
      <c r="OHR242" s="54"/>
      <c r="OHS242" s="8"/>
      <c r="OHT242" s="54"/>
      <c r="OHU242" s="8"/>
      <c r="OHV242" s="54"/>
      <c r="OHW242" s="8"/>
      <c r="OHX242" s="54"/>
      <c r="OHY242" s="8"/>
      <c r="OHZ242" s="54"/>
      <c r="OIA242" s="8"/>
      <c r="OIB242" s="54"/>
      <c r="OIC242" s="8"/>
      <c r="OID242" s="54"/>
      <c r="OIE242" s="8"/>
      <c r="OIF242" s="54"/>
      <c r="OIG242" s="8"/>
      <c r="OIH242" s="54"/>
      <c r="OII242" s="8"/>
      <c r="OIJ242" s="54"/>
      <c r="OIK242" s="8"/>
      <c r="OIL242" s="54"/>
      <c r="OIM242" s="8"/>
      <c r="OIN242" s="54"/>
      <c r="OIO242" s="8"/>
      <c r="OIP242" s="54"/>
      <c r="OIQ242" s="8"/>
      <c r="OIR242" s="54"/>
      <c r="OIS242" s="8"/>
      <c r="OIT242" s="54"/>
      <c r="OIU242" s="8"/>
      <c r="OIV242" s="54"/>
      <c r="OIW242" s="8"/>
      <c r="OIX242" s="54"/>
      <c r="OIY242" s="8"/>
      <c r="OIZ242" s="54"/>
      <c r="OJA242" s="8"/>
      <c r="OJB242" s="54"/>
      <c r="OJC242" s="8"/>
      <c r="OJD242" s="54"/>
      <c r="OJE242" s="8"/>
      <c r="OJF242" s="54"/>
      <c r="OJG242" s="8"/>
      <c r="OJH242" s="54"/>
      <c r="OJI242" s="8"/>
      <c r="OJJ242" s="54"/>
      <c r="OJK242" s="8"/>
      <c r="OJL242" s="54"/>
      <c r="OJM242" s="8"/>
      <c r="OJN242" s="54"/>
      <c r="OJO242" s="8"/>
      <c r="OJP242" s="54"/>
      <c r="OJQ242" s="8"/>
      <c r="OJR242" s="54"/>
      <c r="OJS242" s="8"/>
      <c r="OJT242" s="54"/>
      <c r="OJU242" s="8"/>
      <c r="OJV242" s="54"/>
      <c r="OJW242" s="8"/>
      <c r="OJX242" s="54"/>
      <c r="OJY242" s="8"/>
      <c r="OJZ242" s="54"/>
      <c r="OKA242" s="8"/>
      <c r="OKB242" s="54"/>
      <c r="OKC242" s="8"/>
      <c r="OKD242" s="54"/>
      <c r="OKE242" s="8"/>
      <c r="OKF242" s="54"/>
      <c r="OKG242" s="8"/>
      <c r="OKH242" s="54"/>
      <c r="OKI242" s="8"/>
      <c r="OKJ242" s="54"/>
      <c r="OKK242" s="8"/>
      <c r="OKL242" s="54"/>
      <c r="OKM242" s="8"/>
      <c r="OKN242" s="54"/>
      <c r="OKO242" s="8"/>
      <c r="OKP242" s="54"/>
      <c r="OKQ242" s="8"/>
      <c r="OKR242" s="54"/>
      <c r="OKS242" s="8"/>
      <c r="OKT242" s="54"/>
      <c r="OKU242" s="8"/>
      <c r="OKV242" s="54"/>
      <c r="OKW242" s="8"/>
      <c r="OKX242" s="54"/>
      <c r="OKY242" s="8"/>
      <c r="OKZ242" s="54"/>
      <c r="OLA242" s="8"/>
      <c r="OLB242" s="54"/>
      <c r="OLC242" s="8"/>
      <c r="OLD242" s="54"/>
      <c r="OLE242" s="8"/>
      <c r="OLF242" s="54"/>
      <c r="OLG242" s="8"/>
      <c r="OLH242" s="54"/>
      <c r="OLI242" s="8"/>
      <c r="OLJ242" s="54"/>
      <c r="OLK242" s="8"/>
      <c r="OLL242" s="54"/>
      <c r="OLM242" s="8"/>
      <c r="OLN242" s="54"/>
      <c r="OLO242" s="8"/>
      <c r="OLP242" s="54"/>
      <c r="OLQ242" s="8"/>
      <c r="OLR242" s="54"/>
      <c r="OLS242" s="8"/>
      <c r="OLT242" s="54"/>
      <c r="OLU242" s="8"/>
      <c r="OLV242" s="54"/>
      <c r="OLW242" s="8"/>
      <c r="OLX242" s="54"/>
      <c r="OLY242" s="8"/>
      <c r="OLZ242" s="54"/>
      <c r="OMA242" s="8"/>
      <c r="OMB242" s="54"/>
      <c r="OMC242" s="8"/>
      <c r="OMD242" s="54"/>
      <c r="OME242" s="8"/>
      <c r="OMF242" s="54"/>
      <c r="OMG242" s="8"/>
      <c r="OMH242" s="54"/>
      <c r="OMI242" s="8"/>
      <c r="OMJ242" s="54"/>
      <c r="OMK242" s="8"/>
      <c r="OML242" s="54"/>
      <c r="OMM242" s="8"/>
      <c r="OMN242" s="54"/>
      <c r="OMO242" s="8"/>
      <c r="OMP242" s="54"/>
      <c r="OMQ242" s="8"/>
      <c r="OMR242" s="54"/>
      <c r="OMS242" s="8"/>
      <c r="OMT242" s="54"/>
      <c r="OMU242" s="8"/>
      <c r="OMV242" s="54"/>
      <c r="OMW242" s="8"/>
      <c r="OMX242" s="54"/>
      <c r="OMY242" s="8"/>
      <c r="OMZ242" s="54"/>
      <c r="ONA242" s="8"/>
      <c r="ONB242" s="54"/>
      <c r="ONC242" s="8"/>
      <c r="OND242" s="54"/>
      <c r="ONE242" s="8"/>
      <c r="ONF242" s="54"/>
      <c r="ONG242" s="8"/>
      <c r="ONH242" s="54"/>
      <c r="ONI242" s="8"/>
      <c r="ONJ242" s="54"/>
      <c r="ONK242" s="8"/>
      <c r="ONL242" s="54"/>
      <c r="ONM242" s="8"/>
      <c r="ONN242" s="54"/>
      <c r="ONO242" s="8"/>
      <c r="ONP242" s="54"/>
      <c r="ONQ242" s="8"/>
      <c r="ONR242" s="54"/>
      <c r="ONS242" s="8"/>
      <c r="ONT242" s="54"/>
      <c r="ONU242" s="8"/>
      <c r="ONV242" s="54"/>
      <c r="ONW242" s="8"/>
      <c r="ONX242" s="54"/>
      <c r="ONY242" s="8"/>
      <c r="ONZ242" s="54"/>
      <c r="OOA242" s="8"/>
      <c r="OOB242" s="54"/>
      <c r="OOC242" s="8"/>
      <c r="OOD242" s="54"/>
      <c r="OOE242" s="8"/>
      <c r="OOF242" s="54"/>
      <c r="OOG242" s="8"/>
      <c r="OOH242" s="54"/>
      <c r="OOI242" s="8"/>
      <c r="OOJ242" s="54"/>
      <c r="OOK242" s="8"/>
      <c r="OOL242" s="54"/>
      <c r="OOM242" s="8"/>
      <c r="OON242" s="54"/>
      <c r="OOO242" s="8"/>
      <c r="OOP242" s="54"/>
      <c r="OOQ242" s="8"/>
      <c r="OOR242" s="54"/>
      <c r="OOS242" s="8"/>
      <c r="OOT242" s="54"/>
      <c r="OOU242" s="8"/>
      <c r="OOV242" s="54"/>
      <c r="OOW242" s="8"/>
      <c r="OOX242" s="54"/>
      <c r="OOY242" s="8"/>
      <c r="OOZ242" s="54"/>
      <c r="OPA242" s="8"/>
      <c r="OPB242" s="54"/>
      <c r="OPC242" s="8"/>
      <c r="OPD242" s="54"/>
      <c r="OPE242" s="8"/>
      <c r="OPF242" s="54"/>
      <c r="OPG242" s="8"/>
      <c r="OPH242" s="54"/>
      <c r="OPI242" s="8"/>
      <c r="OPJ242" s="54"/>
      <c r="OPK242" s="8"/>
      <c r="OPL242" s="54"/>
      <c r="OPM242" s="8"/>
      <c r="OPN242" s="54"/>
      <c r="OPO242" s="8"/>
      <c r="OPP242" s="54"/>
      <c r="OPQ242" s="8"/>
      <c r="OPR242" s="54"/>
      <c r="OPS242" s="8"/>
      <c r="OPT242" s="54"/>
      <c r="OPU242" s="8"/>
      <c r="OPV242" s="54"/>
      <c r="OPW242" s="8"/>
      <c r="OPX242" s="54"/>
      <c r="OPY242" s="8"/>
      <c r="OPZ242" s="54"/>
      <c r="OQA242" s="8"/>
      <c r="OQB242" s="54"/>
      <c r="OQC242" s="8"/>
      <c r="OQD242" s="54"/>
      <c r="OQE242" s="8"/>
      <c r="OQF242" s="54"/>
      <c r="OQG242" s="8"/>
      <c r="OQH242" s="54"/>
      <c r="OQI242" s="8"/>
      <c r="OQJ242" s="54"/>
      <c r="OQK242" s="8"/>
      <c r="OQL242" s="54"/>
      <c r="OQM242" s="8"/>
      <c r="OQN242" s="54"/>
      <c r="OQO242" s="8"/>
      <c r="OQP242" s="54"/>
      <c r="OQQ242" s="8"/>
      <c r="OQR242" s="54"/>
      <c r="OQS242" s="8"/>
      <c r="OQT242" s="54"/>
      <c r="OQU242" s="8"/>
      <c r="OQV242" s="54"/>
      <c r="OQW242" s="8"/>
      <c r="OQX242" s="54"/>
      <c r="OQY242" s="8"/>
      <c r="OQZ242" s="54"/>
      <c r="ORA242" s="8"/>
      <c r="ORB242" s="54"/>
      <c r="ORC242" s="8"/>
      <c r="ORD242" s="54"/>
      <c r="ORE242" s="8"/>
      <c r="ORF242" s="54"/>
      <c r="ORG242" s="8"/>
      <c r="ORH242" s="54"/>
      <c r="ORI242" s="8"/>
      <c r="ORJ242" s="54"/>
      <c r="ORK242" s="8"/>
      <c r="ORL242" s="54"/>
      <c r="ORM242" s="8"/>
      <c r="ORN242" s="54"/>
      <c r="ORO242" s="8"/>
      <c r="ORP242" s="54"/>
      <c r="ORQ242" s="8"/>
      <c r="ORR242" s="54"/>
      <c r="ORS242" s="8"/>
      <c r="ORT242" s="54"/>
      <c r="ORU242" s="8"/>
      <c r="ORV242" s="54"/>
      <c r="ORW242" s="8"/>
      <c r="ORX242" s="54"/>
      <c r="ORY242" s="8"/>
      <c r="ORZ242" s="54"/>
      <c r="OSA242" s="8"/>
      <c r="OSB242" s="54"/>
      <c r="OSC242" s="8"/>
      <c r="OSD242" s="54"/>
      <c r="OSE242" s="8"/>
      <c r="OSF242" s="54"/>
      <c r="OSG242" s="8"/>
      <c r="OSH242" s="54"/>
      <c r="OSI242" s="8"/>
      <c r="OSJ242" s="54"/>
      <c r="OSK242" s="8"/>
      <c r="OSL242" s="54"/>
      <c r="OSM242" s="8"/>
      <c r="OSN242" s="54"/>
      <c r="OSO242" s="8"/>
      <c r="OSP242" s="54"/>
      <c r="OSQ242" s="8"/>
      <c r="OSR242" s="54"/>
      <c r="OSS242" s="8"/>
      <c r="OST242" s="54"/>
      <c r="OSU242" s="8"/>
      <c r="OSV242" s="54"/>
      <c r="OSW242" s="8"/>
      <c r="OSX242" s="54"/>
      <c r="OSY242" s="8"/>
      <c r="OSZ242" s="54"/>
      <c r="OTA242" s="8"/>
      <c r="OTB242" s="54"/>
      <c r="OTC242" s="8"/>
      <c r="OTD242" s="54"/>
      <c r="OTE242" s="8"/>
      <c r="OTF242" s="54"/>
      <c r="OTG242" s="8"/>
      <c r="OTH242" s="54"/>
      <c r="OTI242" s="8"/>
      <c r="OTJ242" s="54"/>
      <c r="OTK242" s="8"/>
      <c r="OTL242" s="54"/>
      <c r="OTM242" s="8"/>
      <c r="OTN242" s="54"/>
      <c r="OTO242" s="8"/>
      <c r="OTP242" s="54"/>
      <c r="OTQ242" s="8"/>
      <c r="OTR242" s="54"/>
      <c r="OTS242" s="8"/>
      <c r="OTT242" s="54"/>
      <c r="OTU242" s="8"/>
      <c r="OTV242" s="54"/>
      <c r="OTW242" s="8"/>
      <c r="OTX242" s="54"/>
      <c r="OTY242" s="8"/>
      <c r="OTZ242" s="54"/>
      <c r="OUA242" s="8"/>
      <c r="OUB242" s="54"/>
      <c r="OUC242" s="8"/>
      <c r="OUD242" s="54"/>
      <c r="OUE242" s="8"/>
      <c r="OUF242" s="54"/>
      <c r="OUG242" s="8"/>
      <c r="OUH242" s="54"/>
      <c r="OUI242" s="8"/>
      <c r="OUJ242" s="54"/>
      <c r="OUK242" s="8"/>
      <c r="OUL242" s="54"/>
      <c r="OUM242" s="8"/>
      <c r="OUN242" s="54"/>
      <c r="OUO242" s="8"/>
      <c r="OUP242" s="54"/>
      <c r="OUQ242" s="8"/>
      <c r="OUR242" s="54"/>
      <c r="OUS242" s="8"/>
      <c r="OUT242" s="54"/>
      <c r="OUU242" s="8"/>
      <c r="OUV242" s="54"/>
      <c r="OUW242" s="8"/>
      <c r="OUX242" s="54"/>
      <c r="OUY242" s="8"/>
      <c r="OUZ242" s="54"/>
      <c r="OVA242" s="8"/>
      <c r="OVB242" s="54"/>
      <c r="OVC242" s="8"/>
      <c r="OVD242" s="54"/>
      <c r="OVE242" s="8"/>
      <c r="OVF242" s="54"/>
      <c r="OVG242" s="8"/>
      <c r="OVH242" s="54"/>
      <c r="OVI242" s="8"/>
      <c r="OVJ242" s="54"/>
      <c r="OVK242" s="8"/>
      <c r="OVL242" s="54"/>
      <c r="OVM242" s="8"/>
      <c r="OVN242" s="54"/>
      <c r="OVO242" s="8"/>
      <c r="OVP242" s="54"/>
      <c r="OVQ242" s="8"/>
      <c r="OVR242" s="54"/>
      <c r="OVS242" s="8"/>
      <c r="OVT242" s="54"/>
      <c r="OVU242" s="8"/>
      <c r="OVV242" s="54"/>
      <c r="OVW242" s="8"/>
      <c r="OVX242" s="54"/>
      <c r="OVY242" s="8"/>
      <c r="OVZ242" s="54"/>
      <c r="OWA242" s="8"/>
      <c r="OWB242" s="54"/>
      <c r="OWC242" s="8"/>
      <c r="OWD242" s="54"/>
      <c r="OWE242" s="8"/>
      <c r="OWF242" s="54"/>
      <c r="OWG242" s="8"/>
      <c r="OWH242" s="54"/>
      <c r="OWI242" s="8"/>
      <c r="OWJ242" s="54"/>
      <c r="OWK242" s="8"/>
      <c r="OWL242" s="54"/>
      <c r="OWM242" s="8"/>
      <c r="OWN242" s="54"/>
      <c r="OWO242" s="8"/>
      <c r="OWP242" s="54"/>
      <c r="OWQ242" s="8"/>
      <c r="OWR242" s="54"/>
      <c r="OWS242" s="8"/>
      <c r="OWT242" s="54"/>
      <c r="OWU242" s="8"/>
      <c r="OWV242" s="54"/>
      <c r="OWW242" s="8"/>
      <c r="OWX242" s="54"/>
      <c r="OWY242" s="8"/>
      <c r="OWZ242" s="54"/>
      <c r="OXA242" s="8"/>
      <c r="OXB242" s="54"/>
      <c r="OXC242" s="8"/>
      <c r="OXD242" s="54"/>
      <c r="OXE242" s="8"/>
      <c r="OXF242" s="54"/>
      <c r="OXG242" s="8"/>
      <c r="OXH242" s="54"/>
      <c r="OXI242" s="8"/>
      <c r="OXJ242" s="54"/>
      <c r="OXK242" s="8"/>
      <c r="OXL242" s="54"/>
      <c r="OXM242" s="8"/>
      <c r="OXN242" s="54"/>
      <c r="OXO242" s="8"/>
      <c r="OXP242" s="54"/>
      <c r="OXQ242" s="8"/>
      <c r="OXR242" s="54"/>
      <c r="OXS242" s="8"/>
      <c r="OXT242" s="54"/>
      <c r="OXU242" s="8"/>
      <c r="OXV242" s="54"/>
      <c r="OXW242" s="8"/>
      <c r="OXX242" s="54"/>
      <c r="OXY242" s="8"/>
      <c r="OXZ242" s="54"/>
      <c r="OYA242" s="8"/>
      <c r="OYB242" s="54"/>
      <c r="OYC242" s="8"/>
      <c r="OYD242" s="54"/>
      <c r="OYE242" s="8"/>
      <c r="OYF242" s="54"/>
      <c r="OYG242" s="8"/>
      <c r="OYH242" s="54"/>
      <c r="OYI242" s="8"/>
      <c r="OYJ242" s="54"/>
      <c r="OYK242" s="8"/>
      <c r="OYL242" s="54"/>
      <c r="OYM242" s="8"/>
      <c r="OYN242" s="54"/>
      <c r="OYO242" s="8"/>
      <c r="OYP242" s="54"/>
      <c r="OYQ242" s="8"/>
      <c r="OYR242" s="54"/>
      <c r="OYS242" s="8"/>
      <c r="OYT242" s="54"/>
      <c r="OYU242" s="8"/>
      <c r="OYV242" s="54"/>
      <c r="OYW242" s="8"/>
      <c r="OYX242" s="54"/>
      <c r="OYY242" s="8"/>
      <c r="OYZ242" s="54"/>
      <c r="OZA242" s="8"/>
      <c r="OZB242" s="54"/>
      <c r="OZC242" s="8"/>
      <c r="OZD242" s="54"/>
      <c r="OZE242" s="8"/>
      <c r="OZF242" s="54"/>
      <c r="OZG242" s="8"/>
      <c r="OZH242" s="54"/>
      <c r="OZI242" s="8"/>
      <c r="OZJ242" s="54"/>
      <c r="OZK242" s="8"/>
      <c r="OZL242" s="54"/>
      <c r="OZM242" s="8"/>
      <c r="OZN242" s="54"/>
      <c r="OZO242" s="8"/>
      <c r="OZP242" s="54"/>
      <c r="OZQ242" s="8"/>
      <c r="OZR242" s="54"/>
      <c r="OZS242" s="8"/>
      <c r="OZT242" s="54"/>
      <c r="OZU242" s="8"/>
      <c r="OZV242" s="54"/>
      <c r="OZW242" s="8"/>
      <c r="OZX242" s="54"/>
      <c r="OZY242" s="8"/>
      <c r="OZZ242" s="54"/>
      <c r="PAA242" s="8"/>
      <c r="PAB242" s="54"/>
      <c r="PAC242" s="8"/>
      <c r="PAD242" s="54"/>
      <c r="PAE242" s="8"/>
      <c r="PAF242" s="54"/>
      <c r="PAG242" s="8"/>
      <c r="PAH242" s="54"/>
      <c r="PAI242" s="8"/>
      <c r="PAJ242" s="54"/>
      <c r="PAK242" s="8"/>
      <c r="PAL242" s="54"/>
      <c r="PAM242" s="8"/>
      <c r="PAN242" s="54"/>
      <c r="PAO242" s="8"/>
      <c r="PAP242" s="54"/>
      <c r="PAQ242" s="8"/>
      <c r="PAR242" s="54"/>
      <c r="PAS242" s="8"/>
      <c r="PAT242" s="54"/>
      <c r="PAU242" s="8"/>
      <c r="PAV242" s="54"/>
      <c r="PAW242" s="8"/>
      <c r="PAX242" s="54"/>
      <c r="PAY242" s="8"/>
      <c r="PAZ242" s="54"/>
      <c r="PBA242" s="8"/>
      <c r="PBB242" s="54"/>
      <c r="PBC242" s="8"/>
      <c r="PBD242" s="54"/>
      <c r="PBE242" s="8"/>
      <c r="PBF242" s="54"/>
      <c r="PBG242" s="8"/>
      <c r="PBH242" s="54"/>
      <c r="PBI242" s="8"/>
      <c r="PBJ242" s="54"/>
      <c r="PBK242" s="8"/>
      <c r="PBL242" s="54"/>
      <c r="PBM242" s="8"/>
      <c r="PBN242" s="54"/>
      <c r="PBO242" s="8"/>
      <c r="PBP242" s="54"/>
      <c r="PBQ242" s="8"/>
      <c r="PBR242" s="54"/>
      <c r="PBS242" s="8"/>
      <c r="PBT242" s="54"/>
      <c r="PBU242" s="8"/>
      <c r="PBV242" s="54"/>
      <c r="PBW242" s="8"/>
      <c r="PBX242" s="54"/>
      <c r="PBY242" s="8"/>
      <c r="PBZ242" s="54"/>
      <c r="PCA242" s="8"/>
      <c r="PCB242" s="54"/>
      <c r="PCC242" s="8"/>
      <c r="PCD242" s="54"/>
      <c r="PCE242" s="8"/>
      <c r="PCF242" s="54"/>
      <c r="PCG242" s="8"/>
      <c r="PCH242" s="54"/>
      <c r="PCI242" s="8"/>
      <c r="PCJ242" s="54"/>
      <c r="PCK242" s="8"/>
      <c r="PCL242" s="54"/>
      <c r="PCM242" s="8"/>
      <c r="PCN242" s="54"/>
      <c r="PCO242" s="8"/>
      <c r="PCP242" s="54"/>
      <c r="PCQ242" s="8"/>
      <c r="PCR242" s="54"/>
      <c r="PCS242" s="8"/>
      <c r="PCT242" s="54"/>
      <c r="PCU242" s="8"/>
      <c r="PCV242" s="54"/>
      <c r="PCW242" s="8"/>
      <c r="PCX242" s="54"/>
      <c r="PCY242" s="8"/>
      <c r="PCZ242" s="54"/>
      <c r="PDA242" s="8"/>
      <c r="PDB242" s="54"/>
      <c r="PDC242" s="8"/>
      <c r="PDD242" s="54"/>
      <c r="PDE242" s="8"/>
      <c r="PDF242" s="54"/>
      <c r="PDG242" s="8"/>
      <c r="PDH242" s="54"/>
      <c r="PDI242" s="8"/>
      <c r="PDJ242" s="54"/>
      <c r="PDK242" s="8"/>
      <c r="PDL242" s="54"/>
      <c r="PDM242" s="8"/>
      <c r="PDN242" s="54"/>
      <c r="PDO242" s="8"/>
      <c r="PDP242" s="54"/>
      <c r="PDQ242" s="8"/>
      <c r="PDR242" s="54"/>
      <c r="PDS242" s="8"/>
      <c r="PDT242" s="54"/>
      <c r="PDU242" s="8"/>
      <c r="PDV242" s="54"/>
      <c r="PDW242" s="8"/>
      <c r="PDX242" s="54"/>
      <c r="PDY242" s="8"/>
      <c r="PDZ242" s="54"/>
      <c r="PEA242" s="8"/>
      <c r="PEB242" s="54"/>
      <c r="PEC242" s="8"/>
      <c r="PED242" s="54"/>
      <c r="PEE242" s="8"/>
      <c r="PEF242" s="54"/>
      <c r="PEG242" s="8"/>
      <c r="PEH242" s="54"/>
      <c r="PEI242" s="8"/>
      <c r="PEJ242" s="54"/>
      <c r="PEK242" s="8"/>
      <c r="PEL242" s="54"/>
      <c r="PEM242" s="8"/>
      <c r="PEN242" s="54"/>
      <c r="PEO242" s="8"/>
      <c r="PEP242" s="54"/>
      <c r="PEQ242" s="8"/>
      <c r="PER242" s="54"/>
      <c r="PES242" s="8"/>
      <c r="PET242" s="54"/>
      <c r="PEU242" s="8"/>
      <c r="PEV242" s="54"/>
      <c r="PEW242" s="8"/>
      <c r="PEX242" s="54"/>
      <c r="PEY242" s="8"/>
      <c r="PEZ242" s="54"/>
      <c r="PFA242" s="8"/>
      <c r="PFB242" s="54"/>
      <c r="PFC242" s="8"/>
      <c r="PFD242" s="54"/>
      <c r="PFE242" s="8"/>
      <c r="PFF242" s="54"/>
      <c r="PFG242" s="8"/>
      <c r="PFH242" s="54"/>
      <c r="PFI242" s="8"/>
      <c r="PFJ242" s="54"/>
      <c r="PFK242" s="8"/>
      <c r="PFL242" s="54"/>
      <c r="PFM242" s="8"/>
      <c r="PFN242" s="54"/>
      <c r="PFO242" s="8"/>
      <c r="PFP242" s="54"/>
      <c r="PFQ242" s="8"/>
      <c r="PFR242" s="54"/>
      <c r="PFS242" s="8"/>
      <c r="PFT242" s="54"/>
      <c r="PFU242" s="8"/>
      <c r="PFV242" s="54"/>
      <c r="PFW242" s="8"/>
      <c r="PFX242" s="54"/>
      <c r="PFY242" s="8"/>
      <c r="PFZ242" s="54"/>
      <c r="PGA242" s="8"/>
      <c r="PGB242" s="54"/>
      <c r="PGC242" s="8"/>
      <c r="PGD242" s="54"/>
      <c r="PGE242" s="8"/>
      <c r="PGF242" s="54"/>
      <c r="PGG242" s="8"/>
      <c r="PGH242" s="54"/>
      <c r="PGI242" s="8"/>
      <c r="PGJ242" s="54"/>
      <c r="PGK242" s="8"/>
      <c r="PGL242" s="54"/>
      <c r="PGM242" s="8"/>
      <c r="PGN242" s="54"/>
      <c r="PGO242" s="8"/>
      <c r="PGP242" s="54"/>
      <c r="PGQ242" s="8"/>
      <c r="PGR242" s="54"/>
      <c r="PGS242" s="8"/>
      <c r="PGT242" s="54"/>
      <c r="PGU242" s="8"/>
      <c r="PGV242" s="54"/>
      <c r="PGW242" s="8"/>
      <c r="PGX242" s="54"/>
      <c r="PGY242" s="8"/>
      <c r="PGZ242" s="54"/>
      <c r="PHA242" s="8"/>
      <c r="PHB242" s="54"/>
      <c r="PHC242" s="8"/>
      <c r="PHD242" s="54"/>
      <c r="PHE242" s="8"/>
      <c r="PHF242" s="54"/>
      <c r="PHG242" s="8"/>
      <c r="PHH242" s="54"/>
      <c r="PHI242" s="8"/>
      <c r="PHJ242" s="54"/>
      <c r="PHK242" s="8"/>
      <c r="PHL242" s="54"/>
      <c r="PHM242" s="8"/>
      <c r="PHN242" s="54"/>
      <c r="PHO242" s="8"/>
      <c r="PHP242" s="54"/>
      <c r="PHQ242" s="8"/>
      <c r="PHR242" s="54"/>
      <c r="PHS242" s="8"/>
      <c r="PHT242" s="54"/>
      <c r="PHU242" s="8"/>
      <c r="PHV242" s="54"/>
      <c r="PHW242" s="8"/>
      <c r="PHX242" s="54"/>
      <c r="PHY242" s="8"/>
      <c r="PHZ242" s="54"/>
      <c r="PIA242" s="8"/>
      <c r="PIB242" s="54"/>
      <c r="PIC242" s="8"/>
      <c r="PID242" s="54"/>
      <c r="PIE242" s="8"/>
      <c r="PIF242" s="54"/>
      <c r="PIG242" s="8"/>
      <c r="PIH242" s="54"/>
      <c r="PII242" s="8"/>
      <c r="PIJ242" s="54"/>
      <c r="PIK242" s="8"/>
      <c r="PIL242" s="54"/>
      <c r="PIM242" s="8"/>
      <c r="PIN242" s="54"/>
      <c r="PIO242" s="8"/>
      <c r="PIP242" s="54"/>
      <c r="PIQ242" s="8"/>
      <c r="PIR242" s="54"/>
      <c r="PIS242" s="8"/>
      <c r="PIT242" s="54"/>
      <c r="PIU242" s="8"/>
      <c r="PIV242" s="54"/>
      <c r="PIW242" s="8"/>
      <c r="PIX242" s="54"/>
      <c r="PIY242" s="8"/>
      <c r="PIZ242" s="54"/>
      <c r="PJA242" s="8"/>
      <c r="PJB242" s="54"/>
      <c r="PJC242" s="8"/>
      <c r="PJD242" s="54"/>
      <c r="PJE242" s="8"/>
      <c r="PJF242" s="54"/>
      <c r="PJG242" s="8"/>
      <c r="PJH242" s="54"/>
      <c r="PJI242" s="8"/>
      <c r="PJJ242" s="54"/>
      <c r="PJK242" s="8"/>
      <c r="PJL242" s="54"/>
      <c r="PJM242" s="8"/>
      <c r="PJN242" s="54"/>
      <c r="PJO242" s="8"/>
      <c r="PJP242" s="54"/>
      <c r="PJQ242" s="8"/>
      <c r="PJR242" s="54"/>
      <c r="PJS242" s="8"/>
      <c r="PJT242" s="54"/>
      <c r="PJU242" s="8"/>
      <c r="PJV242" s="54"/>
      <c r="PJW242" s="8"/>
      <c r="PJX242" s="54"/>
      <c r="PJY242" s="8"/>
      <c r="PJZ242" s="54"/>
      <c r="PKA242" s="8"/>
      <c r="PKB242" s="54"/>
      <c r="PKC242" s="8"/>
      <c r="PKD242" s="54"/>
      <c r="PKE242" s="8"/>
      <c r="PKF242" s="54"/>
      <c r="PKG242" s="8"/>
      <c r="PKH242" s="54"/>
      <c r="PKI242" s="8"/>
      <c r="PKJ242" s="54"/>
      <c r="PKK242" s="8"/>
      <c r="PKL242" s="54"/>
      <c r="PKM242" s="8"/>
      <c r="PKN242" s="54"/>
      <c r="PKO242" s="8"/>
      <c r="PKP242" s="54"/>
      <c r="PKQ242" s="8"/>
      <c r="PKR242" s="54"/>
      <c r="PKS242" s="8"/>
      <c r="PKT242" s="54"/>
      <c r="PKU242" s="8"/>
      <c r="PKV242" s="54"/>
      <c r="PKW242" s="8"/>
      <c r="PKX242" s="54"/>
      <c r="PKY242" s="8"/>
      <c r="PKZ242" s="54"/>
      <c r="PLA242" s="8"/>
      <c r="PLB242" s="54"/>
      <c r="PLC242" s="8"/>
      <c r="PLD242" s="54"/>
      <c r="PLE242" s="8"/>
      <c r="PLF242" s="54"/>
      <c r="PLG242" s="8"/>
      <c r="PLH242" s="54"/>
      <c r="PLI242" s="8"/>
      <c r="PLJ242" s="54"/>
      <c r="PLK242" s="8"/>
      <c r="PLL242" s="54"/>
      <c r="PLM242" s="8"/>
      <c r="PLN242" s="54"/>
      <c r="PLO242" s="8"/>
      <c r="PLP242" s="54"/>
      <c r="PLQ242" s="8"/>
      <c r="PLR242" s="54"/>
      <c r="PLS242" s="8"/>
      <c r="PLT242" s="54"/>
      <c r="PLU242" s="8"/>
      <c r="PLV242" s="54"/>
      <c r="PLW242" s="8"/>
      <c r="PLX242" s="54"/>
      <c r="PLY242" s="8"/>
      <c r="PLZ242" s="54"/>
      <c r="PMA242" s="8"/>
      <c r="PMB242" s="54"/>
      <c r="PMC242" s="8"/>
      <c r="PMD242" s="54"/>
      <c r="PME242" s="8"/>
      <c r="PMF242" s="54"/>
      <c r="PMG242" s="8"/>
      <c r="PMH242" s="54"/>
      <c r="PMI242" s="8"/>
      <c r="PMJ242" s="54"/>
      <c r="PMK242" s="8"/>
      <c r="PML242" s="54"/>
      <c r="PMM242" s="8"/>
      <c r="PMN242" s="54"/>
      <c r="PMO242" s="8"/>
      <c r="PMP242" s="54"/>
      <c r="PMQ242" s="8"/>
      <c r="PMR242" s="54"/>
      <c r="PMS242" s="8"/>
      <c r="PMT242" s="54"/>
      <c r="PMU242" s="8"/>
      <c r="PMV242" s="54"/>
      <c r="PMW242" s="8"/>
      <c r="PMX242" s="54"/>
      <c r="PMY242" s="8"/>
      <c r="PMZ242" s="54"/>
      <c r="PNA242" s="8"/>
      <c r="PNB242" s="54"/>
      <c r="PNC242" s="8"/>
      <c r="PND242" s="54"/>
      <c r="PNE242" s="8"/>
      <c r="PNF242" s="54"/>
      <c r="PNG242" s="8"/>
      <c r="PNH242" s="54"/>
      <c r="PNI242" s="8"/>
      <c r="PNJ242" s="54"/>
      <c r="PNK242" s="8"/>
      <c r="PNL242" s="54"/>
      <c r="PNM242" s="8"/>
      <c r="PNN242" s="54"/>
      <c r="PNO242" s="8"/>
      <c r="PNP242" s="54"/>
      <c r="PNQ242" s="8"/>
      <c r="PNR242" s="54"/>
      <c r="PNS242" s="8"/>
      <c r="PNT242" s="54"/>
      <c r="PNU242" s="8"/>
      <c r="PNV242" s="54"/>
      <c r="PNW242" s="8"/>
      <c r="PNX242" s="54"/>
      <c r="PNY242" s="8"/>
      <c r="PNZ242" s="54"/>
      <c r="POA242" s="8"/>
      <c r="POB242" s="54"/>
      <c r="POC242" s="8"/>
      <c r="POD242" s="54"/>
      <c r="POE242" s="8"/>
      <c r="POF242" s="54"/>
      <c r="POG242" s="8"/>
      <c r="POH242" s="54"/>
      <c r="POI242" s="8"/>
      <c r="POJ242" s="54"/>
      <c r="POK242" s="8"/>
      <c r="POL242" s="54"/>
      <c r="POM242" s="8"/>
      <c r="PON242" s="54"/>
      <c r="POO242" s="8"/>
      <c r="POP242" s="54"/>
      <c r="POQ242" s="8"/>
      <c r="POR242" s="54"/>
      <c r="POS242" s="8"/>
      <c r="POT242" s="54"/>
      <c r="POU242" s="8"/>
      <c r="POV242" s="54"/>
      <c r="POW242" s="8"/>
      <c r="POX242" s="54"/>
      <c r="POY242" s="8"/>
      <c r="POZ242" s="54"/>
      <c r="PPA242" s="8"/>
      <c r="PPB242" s="54"/>
      <c r="PPC242" s="8"/>
      <c r="PPD242" s="54"/>
      <c r="PPE242" s="8"/>
      <c r="PPF242" s="54"/>
      <c r="PPG242" s="8"/>
      <c r="PPH242" s="54"/>
      <c r="PPI242" s="8"/>
      <c r="PPJ242" s="54"/>
      <c r="PPK242" s="8"/>
      <c r="PPL242" s="54"/>
      <c r="PPM242" s="8"/>
      <c r="PPN242" s="54"/>
      <c r="PPO242" s="8"/>
      <c r="PPP242" s="54"/>
      <c r="PPQ242" s="8"/>
      <c r="PPR242" s="54"/>
      <c r="PPS242" s="8"/>
      <c r="PPT242" s="54"/>
      <c r="PPU242" s="8"/>
      <c r="PPV242" s="54"/>
      <c r="PPW242" s="8"/>
      <c r="PPX242" s="54"/>
      <c r="PPY242" s="8"/>
      <c r="PPZ242" s="54"/>
      <c r="PQA242" s="8"/>
      <c r="PQB242" s="54"/>
      <c r="PQC242" s="8"/>
      <c r="PQD242" s="54"/>
      <c r="PQE242" s="8"/>
      <c r="PQF242" s="54"/>
      <c r="PQG242" s="8"/>
      <c r="PQH242" s="54"/>
      <c r="PQI242" s="8"/>
      <c r="PQJ242" s="54"/>
      <c r="PQK242" s="8"/>
      <c r="PQL242" s="54"/>
      <c r="PQM242" s="8"/>
      <c r="PQN242" s="54"/>
      <c r="PQO242" s="8"/>
      <c r="PQP242" s="54"/>
      <c r="PQQ242" s="8"/>
      <c r="PQR242" s="54"/>
      <c r="PQS242" s="8"/>
      <c r="PQT242" s="54"/>
      <c r="PQU242" s="8"/>
      <c r="PQV242" s="54"/>
      <c r="PQW242" s="8"/>
      <c r="PQX242" s="54"/>
      <c r="PQY242" s="8"/>
      <c r="PQZ242" s="54"/>
      <c r="PRA242" s="8"/>
      <c r="PRB242" s="54"/>
      <c r="PRC242" s="8"/>
      <c r="PRD242" s="54"/>
      <c r="PRE242" s="8"/>
      <c r="PRF242" s="54"/>
      <c r="PRG242" s="8"/>
      <c r="PRH242" s="54"/>
      <c r="PRI242" s="8"/>
      <c r="PRJ242" s="54"/>
      <c r="PRK242" s="8"/>
      <c r="PRL242" s="54"/>
      <c r="PRM242" s="8"/>
      <c r="PRN242" s="54"/>
      <c r="PRO242" s="8"/>
      <c r="PRP242" s="54"/>
      <c r="PRQ242" s="8"/>
      <c r="PRR242" s="54"/>
      <c r="PRS242" s="8"/>
      <c r="PRT242" s="54"/>
      <c r="PRU242" s="8"/>
      <c r="PRV242" s="54"/>
      <c r="PRW242" s="8"/>
      <c r="PRX242" s="54"/>
      <c r="PRY242" s="8"/>
      <c r="PRZ242" s="54"/>
      <c r="PSA242" s="8"/>
      <c r="PSB242" s="54"/>
      <c r="PSC242" s="8"/>
      <c r="PSD242" s="54"/>
      <c r="PSE242" s="8"/>
      <c r="PSF242" s="54"/>
      <c r="PSG242" s="8"/>
      <c r="PSH242" s="54"/>
      <c r="PSI242" s="8"/>
      <c r="PSJ242" s="54"/>
      <c r="PSK242" s="8"/>
      <c r="PSL242" s="54"/>
      <c r="PSM242" s="8"/>
      <c r="PSN242" s="54"/>
      <c r="PSO242" s="8"/>
      <c r="PSP242" s="54"/>
      <c r="PSQ242" s="8"/>
      <c r="PSR242" s="54"/>
      <c r="PSS242" s="8"/>
      <c r="PST242" s="54"/>
      <c r="PSU242" s="8"/>
      <c r="PSV242" s="54"/>
      <c r="PSW242" s="8"/>
      <c r="PSX242" s="54"/>
      <c r="PSY242" s="8"/>
      <c r="PSZ242" s="54"/>
      <c r="PTA242" s="8"/>
      <c r="PTB242" s="54"/>
      <c r="PTC242" s="8"/>
      <c r="PTD242" s="54"/>
      <c r="PTE242" s="8"/>
      <c r="PTF242" s="54"/>
      <c r="PTG242" s="8"/>
      <c r="PTH242" s="54"/>
      <c r="PTI242" s="8"/>
      <c r="PTJ242" s="54"/>
      <c r="PTK242" s="8"/>
      <c r="PTL242" s="54"/>
      <c r="PTM242" s="8"/>
      <c r="PTN242" s="54"/>
      <c r="PTO242" s="8"/>
      <c r="PTP242" s="54"/>
      <c r="PTQ242" s="8"/>
      <c r="PTR242" s="54"/>
      <c r="PTS242" s="8"/>
      <c r="PTT242" s="54"/>
      <c r="PTU242" s="8"/>
      <c r="PTV242" s="54"/>
      <c r="PTW242" s="8"/>
      <c r="PTX242" s="54"/>
      <c r="PTY242" s="8"/>
      <c r="PTZ242" s="54"/>
      <c r="PUA242" s="8"/>
      <c r="PUB242" s="54"/>
      <c r="PUC242" s="8"/>
      <c r="PUD242" s="54"/>
      <c r="PUE242" s="8"/>
      <c r="PUF242" s="54"/>
      <c r="PUG242" s="8"/>
      <c r="PUH242" s="54"/>
      <c r="PUI242" s="8"/>
      <c r="PUJ242" s="54"/>
      <c r="PUK242" s="8"/>
      <c r="PUL242" s="54"/>
      <c r="PUM242" s="8"/>
      <c r="PUN242" s="54"/>
      <c r="PUO242" s="8"/>
      <c r="PUP242" s="54"/>
      <c r="PUQ242" s="8"/>
      <c r="PUR242" s="54"/>
      <c r="PUS242" s="8"/>
      <c r="PUT242" s="54"/>
      <c r="PUU242" s="8"/>
      <c r="PUV242" s="54"/>
      <c r="PUW242" s="8"/>
      <c r="PUX242" s="54"/>
      <c r="PUY242" s="8"/>
      <c r="PUZ242" s="54"/>
      <c r="PVA242" s="8"/>
      <c r="PVB242" s="54"/>
      <c r="PVC242" s="8"/>
      <c r="PVD242" s="54"/>
      <c r="PVE242" s="8"/>
      <c r="PVF242" s="54"/>
      <c r="PVG242" s="8"/>
      <c r="PVH242" s="54"/>
      <c r="PVI242" s="8"/>
      <c r="PVJ242" s="54"/>
      <c r="PVK242" s="8"/>
      <c r="PVL242" s="54"/>
      <c r="PVM242" s="8"/>
      <c r="PVN242" s="54"/>
      <c r="PVO242" s="8"/>
      <c r="PVP242" s="54"/>
      <c r="PVQ242" s="8"/>
      <c r="PVR242" s="54"/>
      <c r="PVS242" s="8"/>
      <c r="PVT242" s="54"/>
      <c r="PVU242" s="8"/>
      <c r="PVV242" s="54"/>
      <c r="PVW242" s="8"/>
      <c r="PVX242" s="54"/>
      <c r="PVY242" s="8"/>
      <c r="PVZ242" s="54"/>
      <c r="PWA242" s="8"/>
      <c r="PWB242" s="54"/>
      <c r="PWC242" s="8"/>
      <c r="PWD242" s="54"/>
      <c r="PWE242" s="8"/>
      <c r="PWF242" s="54"/>
      <c r="PWG242" s="8"/>
      <c r="PWH242" s="54"/>
      <c r="PWI242" s="8"/>
      <c r="PWJ242" s="54"/>
      <c r="PWK242" s="8"/>
      <c r="PWL242" s="54"/>
      <c r="PWM242" s="8"/>
      <c r="PWN242" s="54"/>
      <c r="PWO242" s="8"/>
      <c r="PWP242" s="54"/>
      <c r="PWQ242" s="8"/>
      <c r="PWR242" s="54"/>
      <c r="PWS242" s="8"/>
      <c r="PWT242" s="54"/>
      <c r="PWU242" s="8"/>
      <c r="PWV242" s="54"/>
      <c r="PWW242" s="8"/>
      <c r="PWX242" s="54"/>
      <c r="PWY242" s="8"/>
      <c r="PWZ242" s="54"/>
      <c r="PXA242" s="8"/>
      <c r="PXB242" s="54"/>
      <c r="PXC242" s="8"/>
      <c r="PXD242" s="54"/>
      <c r="PXE242" s="8"/>
      <c r="PXF242" s="54"/>
      <c r="PXG242" s="8"/>
      <c r="PXH242" s="54"/>
      <c r="PXI242" s="8"/>
      <c r="PXJ242" s="54"/>
      <c r="PXK242" s="8"/>
      <c r="PXL242" s="54"/>
      <c r="PXM242" s="8"/>
      <c r="PXN242" s="54"/>
      <c r="PXO242" s="8"/>
      <c r="PXP242" s="54"/>
      <c r="PXQ242" s="8"/>
      <c r="PXR242" s="54"/>
      <c r="PXS242" s="8"/>
      <c r="PXT242" s="54"/>
      <c r="PXU242" s="8"/>
      <c r="PXV242" s="54"/>
      <c r="PXW242" s="8"/>
      <c r="PXX242" s="54"/>
      <c r="PXY242" s="8"/>
      <c r="PXZ242" s="54"/>
      <c r="PYA242" s="8"/>
      <c r="PYB242" s="54"/>
      <c r="PYC242" s="8"/>
      <c r="PYD242" s="54"/>
      <c r="PYE242" s="8"/>
      <c r="PYF242" s="54"/>
      <c r="PYG242" s="8"/>
      <c r="PYH242" s="54"/>
      <c r="PYI242" s="8"/>
      <c r="PYJ242" s="54"/>
      <c r="PYK242" s="8"/>
      <c r="PYL242" s="54"/>
      <c r="PYM242" s="8"/>
      <c r="PYN242" s="54"/>
      <c r="PYO242" s="8"/>
      <c r="PYP242" s="54"/>
      <c r="PYQ242" s="8"/>
      <c r="PYR242" s="54"/>
      <c r="PYS242" s="8"/>
      <c r="PYT242" s="54"/>
      <c r="PYU242" s="8"/>
      <c r="PYV242" s="54"/>
      <c r="PYW242" s="8"/>
      <c r="PYX242" s="54"/>
      <c r="PYY242" s="8"/>
      <c r="PYZ242" s="54"/>
      <c r="PZA242" s="8"/>
      <c r="PZB242" s="54"/>
      <c r="PZC242" s="8"/>
      <c r="PZD242" s="54"/>
      <c r="PZE242" s="8"/>
      <c r="PZF242" s="54"/>
      <c r="PZG242" s="8"/>
      <c r="PZH242" s="54"/>
      <c r="PZI242" s="8"/>
      <c r="PZJ242" s="54"/>
      <c r="PZK242" s="8"/>
      <c r="PZL242" s="54"/>
      <c r="PZM242" s="8"/>
      <c r="PZN242" s="54"/>
      <c r="PZO242" s="8"/>
      <c r="PZP242" s="54"/>
      <c r="PZQ242" s="8"/>
      <c r="PZR242" s="54"/>
      <c r="PZS242" s="8"/>
      <c r="PZT242" s="54"/>
      <c r="PZU242" s="8"/>
      <c r="PZV242" s="54"/>
      <c r="PZW242" s="8"/>
      <c r="PZX242" s="54"/>
      <c r="PZY242" s="8"/>
      <c r="PZZ242" s="54"/>
      <c r="QAA242" s="8"/>
      <c r="QAB242" s="54"/>
      <c r="QAC242" s="8"/>
      <c r="QAD242" s="54"/>
      <c r="QAE242" s="8"/>
      <c r="QAF242" s="54"/>
      <c r="QAG242" s="8"/>
      <c r="QAH242" s="54"/>
      <c r="QAI242" s="8"/>
      <c r="QAJ242" s="54"/>
      <c r="QAK242" s="8"/>
      <c r="QAL242" s="54"/>
      <c r="QAM242" s="8"/>
      <c r="QAN242" s="54"/>
      <c r="QAO242" s="8"/>
      <c r="QAP242" s="54"/>
      <c r="QAQ242" s="8"/>
      <c r="QAR242" s="54"/>
      <c r="QAS242" s="8"/>
      <c r="QAT242" s="54"/>
      <c r="QAU242" s="8"/>
      <c r="QAV242" s="54"/>
      <c r="QAW242" s="8"/>
      <c r="QAX242" s="54"/>
      <c r="QAY242" s="8"/>
      <c r="QAZ242" s="54"/>
      <c r="QBA242" s="8"/>
      <c r="QBB242" s="54"/>
      <c r="QBC242" s="8"/>
      <c r="QBD242" s="54"/>
      <c r="QBE242" s="8"/>
      <c r="QBF242" s="54"/>
      <c r="QBG242" s="8"/>
      <c r="QBH242" s="54"/>
      <c r="QBI242" s="8"/>
      <c r="QBJ242" s="54"/>
      <c r="QBK242" s="8"/>
      <c r="QBL242" s="54"/>
      <c r="QBM242" s="8"/>
      <c r="QBN242" s="54"/>
      <c r="QBO242" s="8"/>
      <c r="QBP242" s="54"/>
      <c r="QBQ242" s="8"/>
      <c r="QBR242" s="54"/>
      <c r="QBS242" s="8"/>
      <c r="QBT242" s="54"/>
      <c r="QBU242" s="8"/>
      <c r="QBV242" s="54"/>
      <c r="QBW242" s="8"/>
      <c r="QBX242" s="54"/>
      <c r="QBY242" s="8"/>
      <c r="QBZ242" s="54"/>
      <c r="QCA242" s="8"/>
      <c r="QCB242" s="54"/>
      <c r="QCC242" s="8"/>
      <c r="QCD242" s="54"/>
      <c r="QCE242" s="8"/>
      <c r="QCF242" s="54"/>
      <c r="QCG242" s="8"/>
      <c r="QCH242" s="54"/>
      <c r="QCI242" s="8"/>
      <c r="QCJ242" s="54"/>
      <c r="QCK242" s="8"/>
      <c r="QCL242" s="54"/>
      <c r="QCM242" s="8"/>
      <c r="QCN242" s="54"/>
      <c r="QCO242" s="8"/>
      <c r="QCP242" s="54"/>
      <c r="QCQ242" s="8"/>
      <c r="QCR242" s="54"/>
      <c r="QCS242" s="8"/>
      <c r="QCT242" s="54"/>
      <c r="QCU242" s="8"/>
      <c r="QCV242" s="54"/>
      <c r="QCW242" s="8"/>
      <c r="QCX242" s="54"/>
      <c r="QCY242" s="8"/>
      <c r="QCZ242" s="54"/>
      <c r="QDA242" s="8"/>
      <c r="QDB242" s="54"/>
      <c r="QDC242" s="8"/>
      <c r="QDD242" s="54"/>
      <c r="QDE242" s="8"/>
      <c r="QDF242" s="54"/>
      <c r="QDG242" s="8"/>
      <c r="QDH242" s="54"/>
      <c r="QDI242" s="8"/>
      <c r="QDJ242" s="54"/>
      <c r="QDK242" s="8"/>
      <c r="QDL242" s="54"/>
      <c r="QDM242" s="8"/>
      <c r="QDN242" s="54"/>
      <c r="QDO242" s="8"/>
      <c r="QDP242" s="54"/>
      <c r="QDQ242" s="8"/>
      <c r="QDR242" s="54"/>
      <c r="QDS242" s="8"/>
      <c r="QDT242" s="54"/>
      <c r="QDU242" s="8"/>
      <c r="QDV242" s="54"/>
      <c r="QDW242" s="8"/>
      <c r="QDX242" s="54"/>
      <c r="QDY242" s="8"/>
      <c r="QDZ242" s="54"/>
      <c r="QEA242" s="8"/>
      <c r="QEB242" s="54"/>
      <c r="QEC242" s="8"/>
      <c r="QED242" s="54"/>
      <c r="QEE242" s="8"/>
      <c r="QEF242" s="54"/>
      <c r="QEG242" s="8"/>
      <c r="QEH242" s="54"/>
      <c r="QEI242" s="8"/>
      <c r="QEJ242" s="54"/>
      <c r="QEK242" s="8"/>
      <c r="QEL242" s="54"/>
      <c r="QEM242" s="8"/>
      <c r="QEN242" s="54"/>
      <c r="QEO242" s="8"/>
      <c r="QEP242" s="54"/>
      <c r="QEQ242" s="8"/>
      <c r="QER242" s="54"/>
      <c r="QES242" s="8"/>
      <c r="QET242" s="54"/>
      <c r="QEU242" s="8"/>
      <c r="QEV242" s="54"/>
      <c r="QEW242" s="8"/>
      <c r="QEX242" s="54"/>
      <c r="QEY242" s="8"/>
      <c r="QEZ242" s="54"/>
      <c r="QFA242" s="8"/>
      <c r="QFB242" s="54"/>
      <c r="QFC242" s="8"/>
      <c r="QFD242" s="54"/>
      <c r="QFE242" s="8"/>
      <c r="QFF242" s="54"/>
      <c r="QFG242" s="8"/>
      <c r="QFH242" s="54"/>
      <c r="QFI242" s="8"/>
      <c r="QFJ242" s="54"/>
      <c r="QFK242" s="8"/>
      <c r="QFL242" s="54"/>
      <c r="QFM242" s="8"/>
      <c r="QFN242" s="54"/>
      <c r="QFO242" s="8"/>
      <c r="QFP242" s="54"/>
      <c r="QFQ242" s="8"/>
      <c r="QFR242" s="54"/>
      <c r="QFS242" s="8"/>
      <c r="QFT242" s="54"/>
      <c r="QFU242" s="8"/>
      <c r="QFV242" s="54"/>
      <c r="QFW242" s="8"/>
      <c r="QFX242" s="54"/>
      <c r="QFY242" s="8"/>
      <c r="QFZ242" s="54"/>
      <c r="QGA242" s="8"/>
      <c r="QGB242" s="54"/>
      <c r="QGC242" s="8"/>
      <c r="QGD242" s="54"/>
      <c r="QGE242" s="8"/>
      <c r="QGF242" s="54"/>
      <c r="QGG242" s="8"/>
      <c r="QGH242" s="54"/>
      <c r="QGI242" s="8"/>
      <c r="QGJ242" s="54"/>
      <c r="QGK242" s="8"/>
      <c r="QGL242" s="54"/>
      <c r="QGM242" s="8"/>
      <c r="QGN242" s="54"/>
      <c r="QGO242" s="8"/>
      <c r="QGP242" s="54"/>
      <c r="QGQ242" s="8"/>
      <c r="QGR242" s="54"/>
      <c r="QGS242" s="8"/>
      <c r="QGT242" s="54"/>
      <c r="QGU242" s="8"/>
      <c r="QGV242" s="54"/>
      <c r="QGW242" s="8"/>
      <c r="QGX242" s="54"/>
      <c r="QGY242" s="8"/>
      <c r="QGZ242" s="54"/>
      <c r="QHA242" s="8"/>
      <c r="QHB242" s="54"/>
      <c r="QHC242" s="8"/>
      <c r="QHD242" s="54"/>
      <c r="QHE242" s="8"/>
      <c r="QHF242" s="54"/>
      <c r="QHG242" s="8"/>
      <c r="QHH242" s="54"/>
      <c r="QHI242" s="8"/>
      <c r="QHJ242" s="54"/>
      <c r="QHK242" s="8"/>
      <c r="QHL242" s="54"/>
      <c r="QHM242" s="8"/>
      <c r="QHN242" s="54"/>
      <c r="QHO242" s="8"/>
      <c r="QHP242" s="54"/>
      <c r="QHQ242" s="8"/>
      <c r="QHR242" s="54"/>
      <c r="QHS242" s="8"/>
      <c r="QHT242" s="54"/>
      <c r="QHU242" s="8"/>
      <c r="QHV242" s="54"/>
      <c r="QHW242" s="8"/>
      <c r="QHX242" s="54"/>
      <c r="QHY242" s="8"/>
      <c r="QHZ242" s="54"/>
      <c r="QIA242" s="8"/>
      <c r="QIB242" s="54"/>
      <c r="QIC242" s="8"/>
      <c r="QID242" s="54"/>
      <c r="QIE242" s="8"/>
      <c r="QIF242" s="54"/>
      <c r="QIG242" s="8"/>
      <c r="QIH242" s="54"/>
      <c r="QII242" s="8"/>
      <c r="QIJ242" s="54"/>
      <c r="QIK242" s="8"/>
      <c r="QIL242" s="54"/>
      <c r="QIM242" s="8"/>
      <c r="QIN242" s="54"/>
      <c r="QIO242" s="8"/>
      <c r="QIP242" s="54"/>
      <c r="QIQ242" s="8"/>
      <c r="QIR242" s="54"/>
      <c r="QIS242" s="8"/>
      <c r="QIT242" s="54"/>
      <c r="QIU242" s="8"/>
      <c r="QIV242" s="54"/>
      <c r="QIW242" s="8"/>
      <c r="QIX242" s="54"/>
      <c r="QIY242" s="8"/>
      <c r="QIZ242" s="54"/>
      <c r="QJA242" s="8"/>
      <c r="QJB242" s="54"/>
      <c r="QJC242" s="8"/>
      <c r="QJD242" s="54"/>
      <c r="QJE242" s="8"/>
      <c r="QJF242" s="54"/>
      <c r="QJG242" s="8"/>
      <c r="QJH242" s="54"/>
      <c r="QJI242" s="8"/>
      <c r="QJJ242" s="54"/>
      <c r="QJK242" s="8"/>
      <c r="QJL242" s="54"/>
      <c r="QJM242" s="8"/>
      <c r="QJN242" s="54"/>
      <c r="QJO242" s="8"/>
      <c r="QJP242" s="54"/>
      <c r="QJQ242" s="8"/>
      <c r="QJR242" s="54"/>
      <c r="QJS242" s="8"/>
      <c r="QJT242" s="54"/>
      <c r="QJU242" s="8"/>
      <c r="QJV242" s="54"/>
      <c r="QJW242" s="8"/>
      <c r="QJX242" s="54"/>
      <c r="QJY242" s="8"/>
      <c r="QJZ242" s="54"/>
      <c r="QKA242" s="8"/>
      <c r="QKB242" s="54"/>
      <c r="QKC242" s="8"/>
      <c r="QKD242" s="54"/>
      <c r="QKE242" s="8"/>
      <c r="QKF242" s="54"/>
      <c r="QKG242" s="8"/>
      <c r="QKH242" s="54"/>
      <c r="QKI242" s="8"/>
      <c r="QKJ242" s="54"/>
      <c r="QKK242" s="8"/>
      <c r="QKL242" s="54"/>
      <c r="QKM242" s="8"/>
      <c r="QKN242" s="54"/>
      <c r="QKO242" s="8"/>
      <c r="QKP242" s="54"/>
      <c r="QKQ242" s="8"/>
      <c r="QKR242" s="54"/>
      <c r="QKS242" s="8"/>
      <c r="QKT242" s="54"/>
      <c r="QKU242" s="8"/>
      <c r="QKV242" s="54"/>
      <c r="QKW242" s="8"/>
      <c r="QKX242" s="54"/>
      <c r="QKY242" s="8"/>
      <c r="QKZ242" s="54"/>
      <c r="QLA242" s="8"/>
      <c r="QLB242" s="54"/>
      <c r="QLC242" s="8"/>
      <c r="QLD242" s="54"/>
      <c r="QLE242" s="8"/>
      <c r="QLF242" s="54"/>
      <c r="QLG242" s="8"/>
      <c r="QLH242" s="54"/>
      <c r="QLI242" s="8"/>
      <c r="QLJ242" s="54"/>
      <c r="QLK242" s="8"/>
      <c r="QLL242" s="54"/>
      <c r="QLM242" s="8"/>
      <c r="QLN242" s="54"/>
      <c r="QLO242" s="8"/>
      <c r="QLP242" s="54"/>
      <c r="QLQ242" s="8"/>
      <c r="QLR242" s="54"/>
      <c r="QLS242" s="8"/>
      <c r="QLT242" s="54"/>
      <c r="QLU242" s="8"/>
      <c r="QLV242" s="54"/>
      <c r="QLW242" s="8"/>
      <c r="QLX242" s="54"/>
      <c r="QLY242" s="8"/>
      <c r="QLZ242" s="54"/>
      <c r="QMA242" s="8"/>
      <c r="QMB242" s="54"/>
      <c r="QMC242" s="8"/>
      <c r="QMD242" s="54"/>
      <c r="QME242" s="8"/>
      <c r="QMF242" s="54"/>
      <c r="QMG242" s="8"/>
      <c r="QMH242" s="54"/>
      <c r="QMI242" s="8"/>
      <c r="QMJ242" s="54"/>
      <c r="QMK242" s="8"/>
      <c r="QML242" s="54"/>
      <c r="QMM242" s="8"/>
      <c r="QMN242" s="54"/>
      <c r="QMO242" s="8"/>
      <c r="QMP242" s="54"/>
      <c r="QMQ242" s="8"/>
      <c r="QMR242" s="54"/>
      <c r="QMS242" s="8"/>
      <c r="QMT242" s="54"/>
      <c r="QMU242" s="8"/>
      <c r="QMV242" s="54"/>
      <c r="QMW242" s="8"/>
      <c r="QMX242" s="54"/>
      <c r="QMY242" s="8"/>
      <c r="QMZ242" s="54"/>
      <c r="QNA242" s="8"/>
      <c r="QNB242" s="54"/>
      <c r="QNC242" s="8"/>
      <c r="QND242" s="54"/>
      <c r="QNE242" s="8"/>
      <c r="QNF242" s="54"/>
      <c r="QNG242" s="8"/>
      <c r="QNH242" s="54"/>
      <c r="QNI242" s="8"/>
      <c r="QNJ242" s="54"/>
      <c r="QNK242" s="8"/>
      <c r="QNL242" s="54"/>
      <c r="QNM242" s="8"/>
      <c r="QNN242" s="54"/>
      <c r="QNO242" s="8"/>
      <c r="QNP242" s="54"/>
      <c r="QNQ242" s="8"/>
      <c r="QNR242" s="54"/>
      <c r="QNS242" s="8"/>
      <c r="QNT242" s="54"/>
      <c r="QNU242" s="8"/>
      <c r="QNV242" s="54"/>
      <c r="QNW242" s="8"/>
      <c r="QNX242" s="54"/>
      <c r="QNY242" s="8"/>
      <c r="QNZ242" s="54"/>
      <c r="QOA242" s="8"/>
      <c r="QOB242" s="54"/>
      <c r="QOC242" s="8"/>
      <c r="QOD242" s="54"/>
      <c r="QOE242" s="8"/>
      <c r="QOF242" s="54"/>
      <c r="QOG242" s="8"/>
      <c r="QOH242" s="54"/>
      <c r="QOI242" s="8"/>
      <c r="QOJ242" s="54"/>
      <c r="QOK242" s="8"/>
      <c r="QOL242" s="54"/>
      <c r="QOM242" s="8"/>
      <c r="QON242" s="54"/>
      <c r="QOO242" s="8"/>
      <c r="QOP242" s="54"/>
      <c r="QOQ242" s="8"/>
      <c r="QOR242" s="54"/>
      <c r="QOS242" s="8"/>
      <c r="QOT242" s="54"/>
      <c r="QOU242" s="8"/>
      <c r="QOV242" s="54"/>
      <c r="QOW242" s="8"/>
      <c r="QOX242" s="54"/>
      <c r="QOY242" s="8"/>
      <c r="QOZ242" s="54"/>
      <c r="QPA242" s="8"/>
      <c r="QPB242" s="54"/>
      <c r="QPC242" s="8"/>
      <c r="QPD242" s="54"/>
      <c r="QPE242" s="8"/>
      <c r="QPF242" s="54"/>
      <c r="QPG242" s="8"/>
      <c r="QPH242" s="54"/>
      <c r="QPI242" s="8"/>
      <c r="QPJ242" s="54"/>
      <c r="QPK242" s="8"/>
      <c r="QPL242" s="54"/>
      <c r="QPM242" s="8"/>
      <c r="QPN242" s="54"/>
      <c r="QPO242" s="8"/>
      <c r="QPP242" s="54"/>
      <c r="QPQ242" s="8"/>
      <c r="QPR242" s="54"/>
      <c r="QPS242" s="8"/>
      <c r="QPT242" s="54"/>
      <c r="QPU242" s="8"/>
      <c r="QPV242" s="54"/>
      <c r="QPW242" s="8"/>
      <c r="QPX242" s="54"/>
      <c r="QPY242" s="8"/>
      <c r="QPZ242" s="54"/>
      <c r="QQA242" s="8"/>
      <c r="QQB242" s="54"/>
      <c r="QQC242" s="8"/>
      <c r="QQD242" s="54"/>
      <c r="QQE242" s="8"/>
      <c r="QQF242" s="54"/>
      <c r="QQG242" s="8"/>
      <c r="QQH242" s="54"/>
      <c r="QQI242" s="8"/>
      <c r="QQJ242" s="54"/>
      <c r="QQK242" s="8"/>
      <c r="QQL242" s="54"/>
      <c r="QQM242" s="8"/>
      <c r="QQN242" s="54"/>
      <c r="QQO242" s="8"/>
      <c r="QQP242" s="54"/>
      <c r="QQQ242" s="8"/>
      <c r="QQR242" s="54"/>
      <c r="QQS242" s="8"/>
      <c r="QQT242" s="54"/>
      <c r="QQU242" s="8"/>
      <c r="QQV242" s="54"/>
      <c r="QQW242" s="8"/>
      <c r="QQX242" s="54"/>
      <c r="QQY242" s="8"/>
      <c r="QQZ242" s="54"/>
      <c r="QRA242" s="8"/>
      <c r="QRB242" s="54"/>
      <c r="QRC242" s="8"/>
      <c r="QRD242" s="54"/>
      <c r="QRE242" s="8"/>
      <c r="QRF242" s="54"/>
      <c r="QRG242" s="8"/>
      <c r="QRH242" s="54"/>
      <c r="QRI242" s="8"/>
      <c r="QRJ242" s="54"/>
      <c r="QRK242" s="8"/>
      <c r="QRL242" s="54"/>
      <c r="QRM242" s="8"/>
      <c r="QRN242" s="54"/>
      <c r="QRO242" s="8"/>
      <c r="QRP242" s="54"/>
      <c r="QRQ242" s="8"/>
      <c r="QRR242" s="54"/>
      <c r="QRS242" s="8"/>
      <c r="QRT242" s="54"/>
      <c r="QRU242" s="8"/>
      <c r="QRV242" s="54"/>
      <c r="QRW242" s="8"/>
      <c r="QRX242" s="54"/>
      <c r="QRY242" s="8"/>
      <c r="QRZ242" s="54"/>
      <c r="QSA242" s="8"/>
      <c r="QSB242" s="54"/>
      <c r="QSC242" s="8"/>
      <c r="QSD242" s="54"/>
      <c r="QSE242" s="8"/>
      <c r="QSF242" s="54"/>
      <c r="QSG242" s="8"/>
      <c r="QSH242" s="54"/>
      <c r="QSI242" s="8"/>
      <c r="QSJ242" s="54"/>
      <c r="QSK242" s="8"/>
      <c r="QSL242" s="54"/>
      <c r="QSM242" s="8"/>
      <c r="QSN242" s="54"/>
      <c r="QSO242" s="8"/>
      <c r="QSP242" s="54"/>
      <c r="QSQ242" s="8"/>
      <c r="QSR242" s="54"/>
      <c r="QSS242" s="8"/>
      <c r="QST242" s="54"/>
      <c r="QSU242" s="8"/>
      <c r="QSV242" s="54"/>
      <c r="QSW242" s="8"/>
      <c r="QSX242" s="54"/>
      <c r="QSY242" s="8"/>
      <c r="QSZ242" s="54"/>
      <c r="QTA242" s="8"/>
      <c r="QTB242" s="54"/>
      <c r="QTC242" s="8"/>
      <c r="QTD242" s="54"/>
      <c r="QTE242" s="8"/>
      <c r="QTF242" s="54"/>
      <c r="QTG242" s="8"/>
      <c r="QTH242" s="54"/>
      <c r="QTI242" s="8"/>
      <c r="QTJ242" s="54"/>
      <c r="QTK242" s="8"/>
      <c r="QTL242" s="54"/>
      <c r="QTM242" s="8"/>
      <c r="QTN242" s="54"/>
      <c r="QTO242" s="8"/>
      <c r="QTP242" s="54"/>
      <c r="QTQ242" s="8"/>
      <c r="QTR242" s="54"/>
      <c r="QTS242" s="8"/>
      <c r="QTT242" s="54"/>
      <c r="QTU242" s="8"/>
      <c r="QTV242" s="54"/>
      <c r="QTW242" s="8"/>
      <c r="QTX242" s="54"/>
      <c r="QTY242" s="8"/>
      <c r="QTZ242" s="54"/>
      <c r="QUA242" s="8"/>
      <c r="QUB242" s="54"/>
      <c r="QUC242" s="8"/>
      <c r="QUD242" s="54"/>
      <c r="QUE242" s="8"/>
      <c r="QUF242" s="54"/>
      <c r="QUG242" s="8"/>
      <c r="QUH242" s="54"/>
      <c r="QUI242" s="8"/>
      <c r="QUJ242" s="54"/>
      <c r="QUK242" s="8"/>
      <c r="QUL242" s="54"/>
      <c r="QUM242" s="8"/>
      <c r="QUN242" s="54"/>
      <c r="QUO242" s="8"/>
      <c r="QUP242" s="54"/>
      <c r="QUQ242" s="8"/>
      <c r="QUR242" s="54"/>
      <c r="QUS242" s="8"/>
      <c r="QUT242" s="54"/>
      <c r="QUU242" s="8"/>
      <c r="QUV242" s="54"/>
      <c r="QUW242" s="8"/>
      <c r="QUX242" s="54"/>
      <c r="QUY242" s="8"/>
      <c r="QUZ242" s="54"/>
      <c r="QVA242" s="8"/>
      <c r="QVB242" s="54"/>
      <c r="QVC242" s="8"/>
      <c r="QVD242" s="54"/>
      <c r="QVE242" s="8"/>
      <c r="QVF242" s="54"/>
      <c r="QVG242" s="8"/>
      <c r="QVH242" s="54"/>
      <c r="QVI242" s="8"/>
      <c r="QVJ242" s="54"/>
      <c r="QVK242" s="8"/>
      <c r="QVL242" s="54"/>
      <c r="QVM242" s="8"/>
      <c r="QVN242" s="54"/>
      <c r="QVO242" s="8"/>
      <c r="QVP242" s="54"/>
      <c r="QVQ242" s="8"/>
      <c r="QVR242" s="54"/>
      <c r="QVS242" s="8"/>
      <c r="QVT242" s="54"/>
      <c r="QVU242" s="8"/>
      <c r="QVV242" s="54"/>
      <c r="QVW242" s="8"/>
      <c r="QVX242" s="54"/>
      <c r="QVY242" s="8"/>
      <c r="QVZ242" s="54"/>
      <c r="QWA242" s="8"/>
      <c r="QWB242" s="54"/>
      <c r="QWC242" s="8"/>
      <c r="QWD242" s="54"/>
      <c r="QWE242" s="8"/>
      <c r="QWF242" s="54"/>
      <c r="QWG242" s="8"/>
      <c r="QWH242" s="54"/>
      <c r="QWI242" s="8"/>
      <c r="QWJ242" s="54"/>
      <c r="QWK242" s="8"/>
      <c r="QWL242" s="54"/>
      <c r="QWM242" s="8"/>
      <c r="QWN242" s="54"/>
      <c r="QWO242" s="8"/>
      <c r="QWP242" s="54"/>
      <c r="QWQ242" s="8"/>
      <c r="QWR242" s="54"/>
      <c r="QWS242" s="8"/>
      <c r="QWT242" s="54"/>
      <c r="QWU242" s="8"/>
      <c r="QWV242" s="54"/>
      <c r="QWW242" s="8"/>
      <c r="QWX242" s="54"/>
      <c r="QWY242" s="8"/>
      <c r="QWZ242" s="54"/>
      <c r="QXA242" s="8"/>
      <c r="QXB242" s="54"/>
      <c r="QXC242" s="8"/>
      <c r="QXD242" s="54"/>
      <c r="QXE242" s="8"/>
      <c r="QXF242" s="54"/>
      <c r="QXG242" s="8"/>
      <c r="QXH242" s="54"/>
      <c r="QXI242" s="8"/>
      <c r="QXJ242" s="54"/>
      <c r="QXK242" s="8"/>
      <c r="QXL242" s="54"/>
      <c r="QXM242" s="8"/>
      <c r="QXN242" s="54"/>
      <c r="QXO242" s="8"/>
      <c r="QXP242" s="54"/>
      <c r="QXQ242" s="8"/>
      <c r="QXR242" s="54"/>
      <c r="QXS242" s="8"/>
      <c r="QXT242" s="54"/>
      <c r="QXU242" s="8"/>
      <c r="QXV242" s="54"/>
      <c r="QXW242" s="8"/>
      <c r="QXX242" s="54"/>
      <c r="QXY242" s="8"/>
      <c r="QXZ242" s="54"/>
      <c r="QYA242" s="8"/>
      <c r="QYB242" s="54"/>
      <c r="QYC242" s="8"/>
      <c r="QYD242" s="54"/>
      <c r="QYE242" s="8"/>
      <c r="QYF242" s="54"/>
      <c r="QYG242" s="8"/>
      <c r="QYH242" s="54"/>
      <c r="QYI242" s="8"/>
      <c r="QYJ242" s="54"/>
      <c r="QYK242" s="8"/>
      <c r="QYL242" s="54"/>
      <c r="QYM242" s="8"/>
      <c r="QYN242" s="54"/>
      <c r="QYO242" s="8"/>
      <c r="QYP242" s="54"/>
      <c r="QYQ242" s="8"/>
      <c r="QYR242" s="54"/>
      <c r="QYS242" s="8"/>
      <c r="QYT242" s="54"/>
      <c r="QYU242" s="8"/>
      <c r="QYV242" s="54"/>
      <c r="QYW242" s="8"/>
      <c r="QYX242" s="54"/>
      <c r="QYY242" s="8"/>
      <c r="QYZ242" s="54"/>
      <c r="QZA242" s="8"/>
      <c r="QZB242" s="54"/>
      <c r="QZC242" s="8"/>
      <c r="QZD242" s="54"/>
      <c r="QZE242" s="8"/>
      <c r="QZF242" s="54"/>
      <c r="QZG242" s="8"/>
      <c r="QZH242" s="54"/>
      <c r="QZI242" s="8"/>
      <c r="QZJ242" s="54"/>
      <c r="QZK242" s="8"/>
      <c r="QZL242" s="54"/>
      <c r="QZM242" s="8"/>
      <c r="QZN242" s="54"/>
      <c r="QZO242" s="8"/>
      <c r="QZP242" s="54"/>
      <c r="QZQ242" s="8"/>
      <c r="QZR242" s="54"/>
      <c r="QZS242" s="8"/>
      <c r="QZT242" s="54"/>
      <c r="QZU242" s="8"/>
      <c r="QZV242" s="54"/>
      <c r="QZW242" s="8"/>
      <c r="QZX242" s="54"/>
      <c r="QZY242" s="8"/>
      <c r="QZZ242" s="54"/>
      <c r="RAA242" s="8"/>
      <c r="RAB242" s="54"/>
      <c r="RAC242" s="8"/>
      <c r="RAD242" s="54"/>
      <c r="RAE242" s="8"/>
      <c r="RAF242" s="54"/>
      <c r="RAG242" s="8"/>
      <c r="RAH242" s="54"/>
      <c r="RAI242" s="8"/>
      <c r="RAJ242" s="54"/>
      <c r="RAK242" s="8"/>
      <c r="RAL242" s="54"/>
      <c r="RAM242" s="8"/>
      <c r="RAN242" s="54"/>
      <c r="RAO242" s="8"/>
      <c r="RAP242" s="54"/>
      <c r="RAQ242" s="8"/>
      <c r="RAR242" s="54"/>
      <c r="RAS242" s="8"/>
      <c r="RAT242" s="54"/>
      <c r="RAU242" s="8"/>
      <c r="RAV242" s="54"/>
      <c r="RAW242" s="8"/>
      <c r="RAX242" s="54"/>
      <c r="RAY242" s="8"/>
      <c r="RAZ242" s="54"/>
      <c r="RBA242" s="8"/>
      <c r="RBB242" s="54"/>
      <c r="RBC242" s="8"/>
      <c r="RBD242" s="54"/>
      <c r="RBE242" s="8"/>
      <c r="RBF242" s="54"/>
      <c r="RBG242" s="8"/>
      <c r="RBH242" s="54"/>
      <c r="RBI242" s="8"/>
      <c r="RBJ242" s="54"/>
      <c r="RBK242" s="8"/>
      <c r="RBL242" s="54"/>
      <c r="RBM242" s="8"/>
      <c r="RBN242" s="54"/>
      <c r="RBO242" s="8"/>
      <c r="RBP242" s="54"/>
      <c r="RBQ242" s="8"/>
      <c r="RBR242" s="54"/>
      <c r="RBS242" s="8"/>
      <c r="RBT242" s="54"/>
      <c r="RBU242" s="8"/>
      <c r="RBV242" s="54"/>
      <c r="RBW242" s="8"/>
      <c r="RBX242" s="54"/>
      <c r="RBY242" s="8"/>
      <c r="RBZ242" s="54"/>
      <c r="RCA242" s="8"/>
      <c r="RCB242" s="54"/>
      <c r="RCC242" s="8"/>
      <c r="RCD242" s="54"/>
      <c r="RCE242" s="8"/>
      <c r="RCF242" s="54"/>
      <c r="RCG242" s="8"/>
      <c r="RCH242" s="54"/>
      <c r="RCI242" s="8"/>
      <c r="RCJ242" s="54"/>
      <c r="RCK242" s="8"/>
      <c r="RCL242" s="54"/>
      <c r="RCM242" s="8"/>
      <c r="RCN242" s="54"/>
      <c r="RCO242" s="8"/>
      <c r="RCP242" s="54"/>
      <c r="RCQ242" s="8"/>
      <c r="RCR242" s="54"/>
      <c r="RCS242" s="8"/>
      <c r="RCT242" s="54"/>
      <c r="RCU242" s="8"/>
      <c r="RCV242" s="54"/>
      <c r="RCW242" s="8"/>
      <c r="RCX242" s="54"/>
      <c r="RCY242" s="8"/>
      <c r="RCZ242" s="54"/>
      <c r="RDA242" s="8"/>
      <c r="RDB242" s="54"/>
      <c r="RDC242" s="8"/>
      <c r="RDD242" s="54"/>
      <c r="RDE242" s="8"/>
      <c r="RDF242" s="54"/>
      <c r="RDG242" s="8"/>
      <c r="RDH242" s="54"/>
      <c r="RDI242" s="8"/>
      <c r="RDJ242" s="54"/>
      <c r="RDK242" s="8"/>
      <c r="RDL242" s="54"/>
      <c r="RDM242" s="8"/>
      <c r="RDN242" s="54"/>
      <c r="RDO242" s="8"/>
      <c r="RDP242" s="54"/>
      <c r="RDQ242" s="8"/>
      <c r="RDR242" s="54"/>
      <c r="RDS242" s="8"/>
      <c r="RDT242" s="54"/>
      <c r="RDU242" s="8"/>
      <c r="RDV242" s="54"/>
      <c r="RDW242" s="8"/>
      <c r="RDX242" s="54"/>
      <c r="RDY242" s="8"/>
      <c r="RDZ242" s="54"/>
      <c r="REA242" s="8"/>
      <c r="REB242" s="54"/>
      <c r="REC242" s="8"/>
      <c r="RED242" s="54"/>
      <c r="REE242" s="8"/>
      <c r="REF242" s="54"/>
      <c r="REG242" s="8"/>
      <c r="REH242" s="54"/>
      <c r="REI242" s="8"/>
      <c r="REJ242" s="54"/>
      <c r="REK242" s="8"/>
      <c r="REL242" s="54"/>
      <c r="REM242" s="8"/>
      <c r="REN242" s="54"/>
      <c r="REO242" s="8"/>
      <c r="REP242" s="54"/>
      <c r="REQ242" s="8"/>
      <c r="RER242" s="54"/>
      <c r="RES242" s="8"/>
      <c r="RET242" s="54"/>
      <c r="REU242" s="8"/>
      <c r="REV242" s="54"/>
      <c r="REW242" s="8"/>
      <c r="REX242" s="54"/>
      <c r="REY242" s="8"/>
      <c r="REZ242" s="54"/>
      <c r="RFA242" s="8"/>
      <c r="RFB242" s="54"/>
      <c r="RFC242" s="8"/>
      <c r="RFD242" s="54"/>
      <c r="RFE242" s="8"/>
      <c r="RFF242" s="54"/>
      <c r="RFG242" s="8"/>
      <c r="RFH242" s="54"/>
      <c r="RFI242" s="8"/>
      <c r="RFJ242" s="54"/>
      <c r="RFK242" s="8"/>
      <c r="RFL242" s="54"/>
      <c r="RFM242" s="8"/>
      <c r="RFN242" s="54"/>
      <c r="RFO242" s="8"/>
      <c r="RFP242" s="54"/>
      <c r="RFQ242" s="8"/>
      <c r="RFR242" s="54"/>
      <c r="RFS242" s="8"/>
      <c r="RFT242" s="54"/>
      <c r="RFU242" s="8"/>
      <c r="RFV242" s="54"/>
      <c r="RFW242" s="8"/>
      <c r="RFX242" s="54"/>
      <c r="RFY242" s="8"/>
      <c r="RFZ242" s="54"/>
      <c r="RGA242" s="8"/>
      <c r="RGB242" s="54"/>
      <c r="RGC242" s="8"/>
      <c r="RGD242" s="54"/>
      <c r="RGE242" s="8"/>
      <c r="RGF242" s="54"/>
      <c r="RGG242" s="8"/>
      <c r="RGH242" s="54"/>
      <c r="RGI242" s="8"/>
      <c r="RGJ242" s="54"/>
      <c r="RGK242" s="8"/>
      <c r="RGL242" s="54"/>
      <c r="RGM242" s="8"/>
      <c r="RGN242" s="54"/>
      <c r="RGO242" s="8"/>
      <c r="RGP242" s="54"/>
      <c r="RGQ242" s="8"/>
      <c r="RGR242" s="54"/>
      <c r="RGS242" s="8"/>
      <c r="RGT242" s="54"/>
      <c r="RGU242" s="8"/>
      <c r="RGV242" s="54"/>
      <c r="RGW242" s="8"/>
      <c r="RGX242" s="54"/>
      <c r="RGY242" s="8"/>
      <c r="RGZ242" s="54"/>
      <c r="RHA242" s="8"/>
      <c r="RHB242" s="54"/>
      <c r="RHC242" s="8"/>
      <c r="RHD242" s="54"/>
      <c r="RHE242" s="8"/>
      <c r="RHF242" s="54"/>
      <c r="RHG242" s="8"/>
      <c r="RHH242" s="54"/>
      <c r="RHI242" s="8"/>
      <c r="RHJ242" s="54"/>
      <c r="RHK242" s="8"/>
      <c r="RHL242" s="54"/>
      <c r="RHM242" s="8"/>
      <c r="RHN242" s="54"/>
      <c r="RHO242" s="8"/>
      <c r="RHP242" s="54"/>
      <c r="RHQ242" s="8"/>
      <c r="RHR242" s="54"/>
      <c r="RHS242" s="8"/>
      <c r="RHT242" s="54"/>
      <c r="RHU242" s="8"/>
      <c r="RHV242" s="54"/>
      <c r="RHW242" s="8"/>
      <c r="RHX242" s="54"/>
      <c r="RHY242" s="8"/>
      <c r="RHZ242" s="54"/>
      <c r="RIA242" s="8"/>
      <c r="RIB242" s="54"/>
      <c r="RIC242" s="8"/>
      <c r="RID242" s="54"/>
      <c r="RIE242" s="8"/>
      <c r="RIF242" s="54"/>
      <c r="RIG242" s="8"/>
      <c r="RIH242" s="54"/>
      <c r="RII242" s="8"/>
      <c r="RIJ242" s="54"/>
      <c r="RIK242" s="8"/>
      <c r="RIL242" s="54"/>
      <c r="RIM242" s="8"/>
      <c r="RIN242" s="54"/>
      <c r="RIO242" s="8"/>
      <c r="RIP242" s="54"/>
      <c r="RIQ242" s="8"/>
      <c r="RIR242" s="54"/>
      <c r="RIS242" s="8"/>
      <c r="RIT242" s="54"/>
      <c r="RIU242" s="8"/>
      <c r="RIV242" s="54"/>
      <c r="RIW242" s="8"/>
      <c r="RIX242" s="54"/>
      <c r="RIY242" s="8"/>
      <c r="RIZ242" s="54"/>
      <c r="RJA242" s="8"/>
      <c r="RJB242" s="54"/>
      <c r="RJC242" s="8"/>
      <c r="RJD242" s="54"/>
      <c r="RJE242" s="8"/>
      <c r="RJF242" s="54"/>
      <c r="RJG242" s="8"/>
      <c r="RJH242" s="54"/>
      <c r="RJI242" s="8"/>
      <c r="RJJ242" s="54"/>
      <c r="RJK242" s="8"/>
      <c r="RJL242" s="54"/>
      <c r="RJM242" s="8"/>
      <c r="RJN242" s="54"/>
      <c r="RJO242" s="8"/>
      <c r="RJP242" s="54"/>
      <c r="RJQ242" s="8"/>
      <c r="RJR242" s="54"/>
      <c r="RJS242" s="8"/>
      <c r="RJT242" s="54"/>
      <c r="RJU242" s="8"/>
      <c r="RJV242" s="54"/>
      <c r="RJW242" s="8"/>
      <c r="RJX242" s="54"/>
      <c r="RJY242" s="8"/>
      <c r="RJZ242" s="54"/>
      <c r="RKA242" s="8"/>
      <c r="RKB242" s="54"/>
      <c r="RKC242" s="8"/>
      <c r="RKD242" s="54"/>
      <c r="RKE242" s="8"/>
      <c r="RKF242" s="54"/>
      <c r="RKG242" s="8"/>
      <c r="RKH242" s="54"/>
      <c r="RKI242" s="8"/>
      <c r="RKJ242" s="54"/>
      <c r="RKK242" s="8"/>
      <c r="RKL242" s="54"/>
      <c r="RKM242" s="8"/>
      <c r="RKN242" s="54"/>
      <c r="RKO242" s="8"/>
      <c r="RKP242" s="54"/>
      <c r="RKQ242" s="8"/>
      <c r="RKR242" s="54"/>
      <c r="RKS242" s="8"/>
      <c r="RKT242" s="54"/>
      <c r="RKU242" s="8"/>
      <c r="RKV242" s="54"/>
      <c r="RKW242" s="8"/>
      <c r="RKX242" s="54"/>
      <c r="RKY242" s="8"/>
      <c r="RKZ242" s="54"/>
      <c r="RLA242" s="8"/>
      <c r="RLB242" s="54"/>
      <c r="RLC242" s="8"/>
      <c r="RLD242" s="54"/>
      <c r="RLE242" s="8"/>
      <c r="RLF242" s="54"/>
      <c r="RLG242" s="8"/>
      <c r="RLH242" s="54"/>
      <c r="RLI242" s="8"/>
      <c r="RLJ242" s="54"/>
      <c r="RLK242" s="8"/>
      <c r="RLL242" s="54"/>
      <c r="RLM242" s="8"/>
      <c r="RLN242" s="54"/>
      <c r="RLO242" s="8"/>
      <c r="RLP242" s="54"/>
      <c r="RLQ242" s="8"/>
      <c r="RLR242" s="54"/>
      <c r="RLS242" s="8"/>
      <c r="RLT242" s="54"/>
      <c r="RLU242" s="8"/>
      <c r="RLV242" s="54"/>
      <c r="RLW242" s="8"/>
      <c r="RLX242" s="54"/>
      <c r="RLY242" s="8"/>
      <c r="RLZ242" s="54"/>
      <c r="RMA242" s="8"/>
      <c r="RMB242" s="54"/>
      <c r="RMC242" s="8"/>
      <c r="RMD242" s="54"/>
      <c r="RME242" s="8"/>
      <c r="RMF242" s="54"/>
      <c r="RMG242" s="8"/>
      <c r="RMH242" s="54"/>
      <c r="RMI242" s="8"/>
      <c r="RMJ242" s="54"/>
      <c r="RMK242" s="8"/>
      <c r="RML242" s="54"/>
      <c r="RMM242" s="8"/>
      <c r="RMN242" s="54"/>
      <c r="RMO242" s="8"/>
      <c r="RMP242" s="54"/>
      <c r="RMQ242" s="8"/>
      <c r="RMR242" s="54"/>
      <c r="RMS242" s="8"/>
      <c r="RMT242" s="54"/>
      <c r="RMU242" s="8"/>
      <c r="RMV242" s="54"/>
      <c r="RMW242" s="8"/>
      <c r="RMX242" s="54"/>
      <c r="RMY242" s="8"/>
      <c r="RMZ242" s="54"/>
      <c r="RNA242" s="8"/>
      <c r="RNB242" s="54"/>
      <c r="RNC242" s="8"/>
      <c r="RND242" s="54"/>
      <c r="RNE242" s="8"/>
      <c r="RNF242" s="54"/>
      <c r="RNG242" s="8"/>
      <c r="RNH242" s="54"/>
      <c r="RNI242" s="8"/>
      <c r="RNJ242" s="54"/>
      <c r="RNK242" s="8"/>
      <c r="RNL242" s="54"/>
      <c r="RNM242" s="8"/>
      <c r="RNN242" s="54"/>
      <c r="RNO242" s="8"/>
      <c r="RNP242" s="54"/>
      <c r="RNQ242" s="8"/>
      <c r="RNR242" s="54"/>
      <c r="RNS242" s="8"/>
      <c r="RNT242" s="54"/>
      <c r="RNU242" s="8"/>
      <c r="RNV242" s="54"/>
      <c r="RNW242" s="8"/>
      <c r="RNX242" s="54"/>
      <c r="RNY242" s="8"/>
      <c r="RNZ242" s="54"/>
      <c r="ROA242" s="8"/>
      <c r="ROB242" s="54"/>
      <c r="ROC242" s="8"/>
      <c r="ROD242" s="54"/>
      <c r="ROE242" s="8"/>
      <c r="ROF242" s="54"/>
      <c r="ROG242" s="8"/>
      <c r="ROH242" s="54"/>
      <c r="ROI242" s="8"/>
      <c r="ROJ242" s="54"/>
      <c r="ROK242" s="8"/>
      <c r="ROL242" s="54"/>
      <c r="ROM242" s="8"/>
      <c r="RON242" s="54"/>
      <c r="ROO242" s="8"/>
      <c r="ROP242" s="54"/>
      <c r="ROQ242" s="8"/>
      <c r="ROR242" s="54"/>
      <c r="ROS242" s="8"/>
      <c r="ROT242" s="54"/>
      <c r="ROU242" s="8"/>
      <c r="ROV242" s="54"/>
      <c r="ROW242" s="8"/>
      <c r="ROX242" s="54"/>
      <c r="ROY242" s="8"/>
      <c r="ROZ242" s="54"/>
      <c r="RPA242" s="8"/>
      <c r="RPB242" s="54"/>
      <c r="RPC242" s="8"/>
      <c r="RPD242" s="54"/>
      <c r="RPE242" s="8"/>
      <c r="RPF242" s="54"/>
      <c r="RPG242" s="8"/>
      <c r="RPH242" s="54"/>
      <c r="RPI242" s="8"/>
      <c r="RPJ242" s="54"/>
      <c r="RPK242" s="8"/>
      <c r="RPL242" s="54"/>
      <c r="RPM242" s="8"/>
      <c r="RPN242" s="54"/>
      <c r="RPO242" s="8"/>
      <c r="RPP242" s="54"/>
      <c r="RPQ242" s="8"/>
      <c r="RPR242" s="54"/>
      <c r="RPS242" s="8"/>
      <c r="RPT242" s="54"/>
      <c r="RPU242" s="8"/>
      <c r="RPV242" s="54"/>
      <c r="RPW242" s="8"/>
      <c r="RPX242" s="54"/>
      <c r="RPY242" s="8"/>
      <c r="RPZ242" s="54"/>
      <c r="RQA242" s="8"/>
      <c r="RQB242" s="54"/>
      <c r="RQC242" s="8"/>
      <c r="RQD242" s="54"/>
      <c r="RQE242" s="8"/>
      <c r="RQF242" s="54"/>
      <c r="RQG242" s="8"/>
      <c r="RQH242" s="54"/>
      <c r="RQI242" s="8"/>
      <c r="RQJ242" s="54"/>
      <c r="RQK242" s="8"/>
      <c r="RQL242" s="54"/>
      <c r="RQM242" s="8"/>
      <c r="RQN242" s="54"/>
      <c r="RQO242" s="8"/>
      <c r="RQP242" s="54"/>
      <c r="RQQ242" s="8"/>
      <c r="RQR242" s="54"/>
      <c r="RQS242" s="8"/>
      <c r="RQT242" s="54"/>
      <c r="RQU242" s="8"/>
      <c r="RQV242" s="54"/>
      <c r="RQW242" s="8"/>
      <c r="RQX242" s="54"/>
      <c r="RQY242" s="8"/>
      <c r="RQZ242" s="54"/>
      <c r="RRA242" s="8"/>
      <c r="RRB242" s="54"/>
      <c r="RRC242" s="8"/>
      <c r="RRD242" s="54"/>
      <c r="RRE242" s="8"/>
      <c r="RRF242" s="54"/>
      <c r="RRG242" s="8"/>
      <c r="RRH242" s="54"/>
      <c r="RRI242" s="8"/>
      <c r="RRJ242" s="54"/>
      <c r="RRK242" s="8"/>
      <c r="RRL242" s="54"/>
      <c r="RRM242" s="8"/>
      <c r="RRN242" s="54"/>
      <c r="RRO242" s="8"/>
      <c r="RRP242" s="54"/>
      <c r="RRQ242" s="8"/>
      <c r="RRR242" s="54"/>
      <c r="RRS242" s="8"/>
      <c r="RRT242" s="54"/>
      <c r="RRU242" s="8"/>
      <c r="RRV242" s="54"/>
      <c r="RRW242" s="8"/>
      <c r="RRX242" s="54"/>
      <c r="RRY242" s="8"/>
      <c r="RRZ242" s="54"/>
      <c r="RSA242" s="8"/>
      <c r="RSB242" s="54"/>
      <c r="RSC242" s="8"/>
      <c r="RSD242" s="54"/>
      <c r="RSE242" s="8"/>
      <c r="RSF242" s="54"/>
      <c r="RSG242" s="8"/>
      <c r="RSH242" s="54"/>
      <c r="RSI242" s="8"/>
      <c r="RSJ242" s="54"/>
      <c r="RSK242" s="8"/>
      <c r="RSL242" s="54"/>
      <c r="RSM242" s="8"/>
      <c r="RSN242" s="54"/>
      <c r="RSO242" s="8"/>
      <c r="RSP242" s="54"/>
      <c r="RSQ242" s="8"/>
      <c r="RSR242" s="54"/>
      <c r="RSS242" s="8"/>
      <c r="RST242" s="54"/>
      <c r="RSU242" s="8"/>
      <c r="RSV242" s="54"/>
      <c r="RSW242" s="8"/>
      <c r="RSX242" s="54"/>
      <c r="RSY242" s="8"/>
      <c r="RSZ242" s="54"/>
      <c r="RTA242" s="8"/>
      <c r="RTB242" s="54"/>
      <c r="RTC242" s="8"/>
      <c r="RTD242" s="54"/>
      <c r="RTE242" s="8"/>
      <c r="RTF242" s="54"/>
      <c r="RTG242" s="8"/>
      <c r="RTH242" s="54"/>
      <c r="RTI242" s="8"/>
      <c r="RTJ242" s="54"/>
      <c r="RTK242" s="8"/>
      <c r="RTL242" s="54"/>
      <c r="RTM242" s="8"/>
      <c r="RTN242" s="54"/>
      <c r="RTO242" s="8"/>
      <c r="RTP242" s="54"/>
      <c r="RTQ242" s="8"/>
      <c r="RTR242" s="54"/>
      <c r="RTS242" s="8"/>
      <c r="RTT242" s="54"/>
      <c r="RTU242" s="8"/>
      <c r="RTV242" s="54"/>
      <c r="RTW242" s="8"/>
      <c r="RTX242" s="54"/>
      <c r="RTY242" s="8"/>
      <c r="RTZ242" s="54"/>
      <c r="RUA242" s="8"/>
      <c r="RUB242" s="54"/>
      <c r="RUC242" s="8"/>
      <c r="RUD242" s="54"/>
      <c r="RUE242" s="8"/>
      <c r="RUF242" s="54"/>
      <c r="RUG242" s="8"/>
      <c r="RUH242" s="54"/>
      <c r="RUI242" s="8"/>
      <c r="RUJ242" s="54"/>
      <c r="RUK242" s="8"/>
      <c r="RUL242" s="54"/>
      <c r="RUM242" s="8"/>
      <c r="RUN242" s="54"/>
      <c r="RUO242" s="8"/>
      <c r="RUP242" s="54"/>
      <c r="RUQ242" s="8"/>
      <c r="RUR242" s="54"/>
      <c r="RUS242" s="8"/>
      <c r="RUT242" s="54"/>
      <c r="RUU242" s="8"/>
      <c r="RUV242" s="54"/>
      <c r="RUW242" s="8"/>
      <c r="RUX242" s="54"/>
      <c r="RUY242" s="8"/>
      <c r="RUZ242" s="54"/>
      <c r="RVA242" s="8"/>
      <c r="RVB242" s="54"/>
      <c r="RVC242" s="8"/>
      <c r="RVD242" s="54"/>
      <c r="RVE242" s="8"/>
      <c r="RVF242" s="54"/>
      <c r="RVG242" s="8"/>
      <c r="RVH242" s="54"/>
      <c r="RVI242" s="8"/>
      <c r="RVJ242" s="54"/>
      <c r="RVK242" s="8"/>
      <c r="RVL242" s="54"/>
      <c r="RVM242" s="8"/>
      <c r="RVN242" s="54"/>
      <c r="RVO242" s="8"/>
      <c r="RVP242" s="54"/>
      <c r="RVQ242" s="8"/>
      <c r="RVR242" s="54"/>
      <c r="RVS242" s="8"/>
      <c r="RVT242" s="54"/>
      <c r="RVU242" s="8"/>
      <c r="RVV242" s="54"/>
      <c r="RVW242" s="8"/>
      <c r="RVX242" s="54"/>
      <c r="RVY242" s="8"/>
      <c r="RVZ242" s="54"/>
      <c r="RWA242" s="8"/>
      <c r="RWB242" s="54"/>
      <c r="RWC242" s="8"/>
      <c r="RWD242" s="54"/>
      <c r="RWE242" s="8"/>
      <c r="RWF242" s="54"/>
      <c r="RWG242" s="8"/>
      <c r="RWH242" s="54"/>
      <c r="RWI242" s="8"/>
      <c r="RWJ242" s="54"/>
      <c r="RWK242" s="8"/>
      <c r="RWL242" s="54"/>
      <c r="RWM242" s="8"/>
      <c r="RWN242" s="54"/>
      <c r="RWO242" s="8"/>
      <c r="RWP242" s="54"/>
      <c r="RWQ242" s="8"/>
      <c r="RWR242" s="54"/>
      <c r="RWS242" s="8"/>
      <c r="RWT242" s="54"/>
      <c r="RWU242" s="8"/>
      <c r="RWV242" s="54"/>
      <c r="RWW242" s="8"/>
      <c r="RWX242" s="54"/>
      <c r="RWY242" s="8"/>
      <c r="RWZ242" s="54"/>
      <c r="RXA242" s="8"/>
      <c r="RXB242" s="54"/>
      <c r="RXC242" s="8"/>
      <c r="RXD242" s="54"/>
      <c r="RXE242" s="8"/>
      <c r="RXF242" s="54"/>
      <c r="RXG242" s="8"/>
      <c r="RXH242" s="54"/>
      <c r="RXI242" s="8"/>
      <c r="RXJ242" s="54"/>
      <c r="RXK242" s="8"/>
      <c r="RXL242" s="54"/>
      <c r="RXM242" s="8"/>
      <c r="RXN242" s="54"/>
      <c r="RXO242" s="8"/>
      <c r="RXP242" s="54"/>
      <c r="RXQ242" s="8"/>
      <c r="RXR242" s="54"/>
      <c r="RXS242" s="8"/>
      <c r="RXT242" s="54"/>
      <c r="RXU242" s="8"/>
      <c r="RXV242" s="54"/>
      <c r="RXW242" s="8"/>
      <c r="RXX242" s="54"/>
      <c r="RXY242" s="8"/>
      <c r="RXZ242" s="54"/>
      <c r="RYA242" s="8"/>
      <c r="RYB242" s="54"/>
      <c r="RYC242" s="8"/>
      <c r="RYD242" s="54"/>
      <c r="RYE242" s="8"/>
      <c r="RYF242" s="54"/>
      <c r="RYG242" s="8"/>
      <c r="RYH242" s="54"/>
      <c r="RYI242" s="8"/>
      <c r="RYJ242" s="54"/>
      <c r="RYK242" s="8"/>
      <c r="RYL242" s="54"/>
      <c r="RYM242" s="8"/>
      <c r="RYN242" s="54"/>
      <c r="RYO242" s="8"/>
      <c r="RYP242" s="54"/>
      <c r="RYQ242" s="8"/>
      <c r="RYR242" s="54"/>
      <c r="RYS242" s="8"/>
      <c r="RYT242" s="54"/>
      <c r="RYU242" s="8"/>
      <c r="RYV242" s="54"/>
      <c r="RYW242" s="8"/>
      <c r="RYX242" s="54"/>
      <c r="RYY242" s="8"/>
      <c r="RYZ242" s="54"/>
      <c r="RZA242" s="8"/>
      <c r="RZB242" s="54"/>
      <c r="RZC242" s="8"/>
      <c r="RZD242" s="54"/>
      <c r="RZE242" s="8"/>
      <c r="RZF242" s="54"/>
      <c r="RZG242" s="8"/>
      <c r="RZH242" s="54"/>
      <c r="RZI242" s="8"/>
      <c r="RZJ242" s="54"/>
      <c r="RZK242" s="8"/>
      <c r="RZL242" s="54"/>
      <c r="RZM242" s="8"/>
      <c r="RZN242" s="54"/>
      <c r="RZO242" s="8"/>
      <c r="RZP242" s="54"/>
      <c r="RZQ242" s="8"/>
      <c r="RZR242" s="54"/>
      <c r="RZS242" s="8"/>
      <c r="RZT242" s="54"/>
      <c r="RZU242" s="8"/>
      <c r="RZV242" s="54"/>
      <c r="RZW242" s="8"/>
      <c r="RZX242" s="54"/>
      <c r="RZY242" s="8"/>
      <c r="RZZ242" s="54"/>
      <c r="SAA242" s="8"/>
      <c r="SAB242" s="54"/>
      <c r="SAC242" s="8"/>
      <c r="SAD242" s="54"/>
      <c r="SAE242" s="8"/>
      <c r="SAF242" s="54"/>
      <c r="SAG242" s="8"/>
      <c r="SAH242" s="54"/>
      <c r="SAI242" s="8"/>
      <c r="SAJ242" s="54"/>
      <c r="SAK242" s="8"/>
      <c r="SAL242" s="54"/>
      <c r="SAM242" s="8"/>
      <c r="SAN242" s="54"/>
      <c r="SAO242" s="8"/>
      <c r="SAP242" s="54"/>
      <c r="SAQ242" s="8"/>
      <c r="SAR242" s="54"/>
      <c r="SAS242" s="8"/>
      <c r="SAT242" s="54"/>
      <c r="SAU242" s="8"/>
      <c r="SAV242" s="54"/>
      <c r="SAW242" s="8"/>
      <c r="SAX242" s="54"/>
      <c r="SAY242" s="8"/>
      <c r="SAZ242" s="54"/>
      <c r="SBA242" s="8"/>
      <c r="SBB242" s="54"/>
      <c r="SBC242" s="8"/>
      <c r="SBD242" s="54"/>
      <c r="SBE242" s="8"/>
      <c r="SBF242" s="54"/>
      <c r="SBG242" s="8"/>
      <c r="SBH242" s="54"/>
      <c r="SBI242" s="8"/>
      <c r="SBJ242" s="54"/>
      <c r="SBK242" s="8"/>
      <c r="SBL242" s="54"/>
      <c r="SBM242" s="8"/>
      <c r="SBN242" s="54"/>
      <c r="SBO242" s="8"/>
      <c r="SBP242" s="54"/>
      <c r="SBQ242" s="8"/>
      <c r="SBR242" s="54"/>
      <c r="SBS242" s="8"/>
      <c r="SBT242" s="54"/>
      <c r="SBU242" s="8"/>
      <c r="SBV242" s="54"/>
      <c r="SBW242" s="8"/>
      <c r="SBX242" s="54"/>
      <c r="SBY242" s="8"/>
      <c r="SBZ242" s="54"/>
      <c r="SCA242" s="8"/>
      <c r="SCB242" s="54"/>
      <c r="SCC242" s="8"/>
      <c r="SCD242" s="54"/>
      <c r="SCE242" s="8"/>
      <c r="SCF242" s="54"/>
      <c r="SCG242" s="8"/>
      <c r="SCH242" s="54"/>
      <c r="SCI242" s="8"/>
      <c r="SCJ242" s="54"/>
      <c r="SCK242" s="8"/>
      <c r="SCL242" s="54"/>
      <c r="SCM242" s="8"/>
      <c r="SCN242" s="54"/>
      <c r="SCO242" s="8"/>
      <c r="SCP242" s="54"/>
      <c r="SCQ242" s="8"/>
      <c r="SCR242" s="54"/>
      <c r="SCS242" s="8"/>
      <c r="SCT242" s="54"/>
      <c r="SCU242" s="8"/>
      <c r="SCV242" s="54"/>
      <c r="SCW242" s="8"/>
      <c r="SCX242" s="54"/>
      <c r="SCY242" s="8"/>
      <c r="SCZ242" s="54"/>
      <c r="SDA242" s="8"/>
      <c r="SDB242" s="54"/>
      <c r="SDC242" s="8"/>
      <c r="SDD242" s="54"/>
      <c r="SDE242" s="8"/>
      <c r="SDF242" s="54"/>
      <c r="SDG242" s="8"/>
      <c r="SDH242" s="54"/>
      <c r="SDI242" s="8"/>
      <c r="SDJ242" s="54"/>
      <c r="SDK242" s="8"/>
      <c r="SDL242" s="54"/>
      <c r="SDM242" s="8"/>
      <c r="SDN242" s="54"/>
      <c r="SDO242" s="8"/>
      <c r="SDP242" s="54"/>
      <c r="SDQ242" s="8"/>
      <c r="SDR242" s="54"/>
      <c r="SDS242" s="8"/>
      <c r="SDT242" s="54"/>
      <c r="SDU242" s="8"/>
      <c r="SDV242" s="54"/>
      <c r="SDW242" s="8"/>
      <c r="SDX242" s="54"/>
      <c r="SDY242" s="8"/>
      <c r="SDZ242" s="54"/>
      <c r="SEA242" s="8"/>
      <c r="SEB242" s="54"/>
      <c r="SEC242" s="8"/>
      <c r="SED242" s="54"/>
      <c r="SEE242" s="8"/>
      <c r="SEF242" s="54"/>
      <c r="SEG242" s="8"/>
      <c r="SEH242" s="54"/>
      <c r="SEI242" s="8"/>
      <c r="SEJ242" s="54"/>
      <c r="SEK242" s="8"/>
      <c r="SEL242" s="54"/>
      <c r="SEM242" s="8"/>
      <c r="SEN242" s="54"/>
      <c r="SEO242" s="8"/>
      <c r="SEP242" s="54"/>
      <c r="SEQ242" s="8"/>
      <c r="SER242" s="54"/>
      <c r="SES242" s="8"/>
      <c r="SET242" s="54"/>
      <c r="SEU242" s="8"/>
      <c r="SEV242" s="54"/>
      <c r="SEW242" s="8"/>
      <c r="SEX242" s="54"/>
      <c r="SEY242" s="8"/>
      <c r="SEZ242" s="54"/>
      <c r="SFA242" s="8"/>
      <c r="SFB242" s="54"/>
      <c r="SFC242" s="8"/>
      <c r="SFD242" s="54"/>
      <c r="SFE242" s="8"/>
      <c r="SFF242" s="54"/>
      <c r="SFG242" s="8"/>
      <c r="SFH242" s="54"/>
      <c r="SFI242" s="8"/>
      <c r="SFJ242" s="54"/>
      <c r="SFK242" s="8"/>
      <c r="SFL242" s="54"/>
      <c r="SFM242" s="8"/>
      <c r="SFN242" s="54"/>
      <c r="SFO242" s="8"/>
      <c r="SFP242" s="54"/>
      <c r="SFQ242" s="8"/>
      <c r="SFR242" s="54"/>
      <c r="SFS242" s="8"/>
      <c r="SFT242" s="54"/>
      <c r="SFU242" s="8"/>
      <c r="SFV242" s="54"/>
      <c r="SFW242" s="8"/>
      <c r="SFX242" s="54"/>
      <c r="SFY242" s="8"/>
      <c r="SFZ242" s="54"/>
      <c r="SGA242" s="8"/>
      <c r="SGB242" s="54"/>
      <c r="SGC242" s="8"/>
      <c r="SGD242" s="54"/>
      <c r="SGE242" s="8"/>
      <c r="SGF242" s="54"/>
      <c r="SGG242" s="8"/>
      <c r="SGH242" s="54"/>
      <c r="SGI242" s="8"/>
      <c r="SGJ242" s="54"/>
      <c r="SGK242" s="8"/>
      <c r="SGL242" s="54"/>
      <c r="SGM242" s="8"/>
      <c r="SGN242" s="54"/>
      <c r="SGO242" s="8"/>
      <c r="SGP242" s="54"/>
      <c r="SGQ242" s="8"/>
      <c r="SGR242" s="54"/>
      <c r="SGS242" s="8"/>
      <c r="SGT242" s="54"/>
      <c r="SGU242" s="8"/>
      <c r="SGV242" s="54"/>
      <c r="SGW242" s="8"/>
      <c r="SGX242" s="54"/>
      <c r="SGY242" s="8"/>
      <c r="SGZ242" s="54"/>
      <c r="SHA242" s="8"/>
      <c r="SHB242" s="54"/>
      <c r="SHC242" s="8"/>
      <c r="SHD242" s="54"/>
      <c r="SHE242" s="8"/>
      <c r="SHF242" s="54"/>
      <c r="SHG242" s="8"/>
      <c r="SHH242" s="54"/>
      <c r="SHI242" s="8"/>
      <c r="SHJ242" s="54"/>
      <c r="SHK242" s="8"/>
      <c r="SHL242" s="54"/>
      <c r="SHM242" s="8"/>
      <c r="SHN242" s="54"/>
      <c r="SHO242" s="8"/>
      <c r="SHP242" s="54"/>
      <c r="SHQ242" s="8"/>
      <c r="SHR242" s="54"/>
      <c r="SHS242" s="8"/>
      <c r="SHT242" s="54"/>
      <c r="SHU242" s="8"/>
      <c r="SHV242" s="54"/>
      <c r="SHW242" s="8"/>
      <c r="SHX242" s="54"/>
      <c r="SHY242" s="8"/>
      <c r="SHZ242" s="54"/>
      <c r="SIA242" s="8"/>
      <c r="SIB242" s="54"/>
      <c r="SIC242" s="8"/>
      <c r="SID242" s="54"/>
      <c r="SIE242" s="8"/>
      <c r="SIF242" s="54"/>
      <c r="SIG242" s="8"/>
      <c r="SIH242" s="54"/>
      <c r="SII242" s="8"/>
      <c r="SIJ242" s="54"/>
      <c r="SIK242" s="8"/>
      <c r="SIL242" s="54"/>
      <c r="SIM242" s="8"/>
      <c r="SIN242" s="54"/>
      <c r="SIO242" s="8"/>
      <c r="SIP242" s="54"/>
      <c r="SIQ242" s="8"/>
      <c r="SIR242" s="54"/>
      <c r="SIS242" s="8"/>
      <c r="SIT242" s="54"/>
      <c r="SIU242" s="8"/>
      <c r="SIV242" s="54"/>
      <c r="SIW242" s="8"/>
      <c r="SIX242" s="54"/>
      <c r="SIY242" s="8"/>
      <c r="SIZ242" s="54"/>
      <c r="SJA242" s="8"/>
      <c r="SJB242" s="54"/>
      <c r="SJC242" s="8"/>
      <c r="SJD242" s="54"/>
      <c r="SJE242" s="8"/>
      <c r="SJF242" s="54"/>
      <c r="SJG242" s="8"/>
      <c r="SJH242" s="54"/>
      <c r="SJI242" s="8"/>
      <c r="SJJ242" s="54"/>
      <c r="SJK242" s="8"/>
      <c r="SJL242" s="54"/>
      <c r="SJM242" s="8"/>
      <c r="SJN242" s="54"/>
      <c r="SJO242" s="8"/>
      <c r="SJP242" s="54"/>
      <c r="SJQ242" s="8"/>
      <c r="SJR242" s="54"/>
      <c r="SJS242" s="8"/>
      <c r="SJT242" s="54"/>
      <c r="SJU242" s="8"/>
      <c r="SJV242" s="54"/>
      <c r="SJW242" s="8"/>
      <c r="SJX242" s="54"/>
      <c r="SJY242" s="8"/>
      <c r="SJZ242" s="54"/>
      <c r="SKA242" s="8"/>
      <c r="SKB242" s="54"/>
      <c r="SKC242" s="8"/>
      <c r="SKD242" s="54"/>
      <c r="SKE242" s="8"/>
      <c r="SKF242" s="54"/>
      <c r="SKG242" s="8"/>
      <c r="SKH242" s="54"/>
      <c r="SKI242" s="8"/>
      <c r="SKJ242" s="54"/>
      <c r="SKK242" s="8"/>
      <c r="SKL242" s="54"/>
      <c r="SKM242" s="8"/>
      <c r="SKN242" s="54"/>
      <c r="SKO242" s="8"/>
      <c r="SKP242" s="54"/>
      <c r="SKQ242" s="8"/>
      <c r="SKR242" s="54"/>
      <c r="SKS242" s="8"/>
      <c r="SKT242" s="54"/>
      <c r="SKU242" s="8"/>
      <c r="SKV242" s="54"/>
      <c r="SKW242" s="8"/>
      <c r="SKX242" s="54"/>
      <c r="SKY242" s="8"/>
      <c r="SKZ242" s="54"/>
      <c r="SLA242" s="8"/>
      <c r="SLB242" s="54"/>
      <c r="SLC242" s="8"/>
      <c r="SLD242" s="54"/>
      <c r="SLE242" s="8"/>
      <c r="SLF242" s="54"/>
      <c r="SLG242" s="8"/>
      <c r="SLH242" s="54"/>
      <c r="SLI242" s="8"/>
      <c r="SLJ242" s="54"/>
      <c r="SLK242" s="8"/>
      <c r="SLL242" s="54"/>
      <c r="SLM242" s="8"/>
      <c r="SLN242" s="54"/>
      <c r="SLO242" s="8"/>
      <c r="SLP242" s="54"/>
      <c r="SLQ242" s="8"/>
      <c r="SLR242" s="54"/>
      <c r="SLS242" s="8"/>
      <c r="SLT242" s="54"/>
      <c r="SLU242" s="8"/>
      <c r="SLV242" s="54"/>
      <c r="SLW242" s="8"/>
      <c r="SLX242" s="54"/>
      <c r="SLY242" s="8"/>
      <c r="SLZ242" s="54"/>
      <c r="SMA242" s="8"/>
      <c r="SMB242" s="54"/>
      <c r="SMC242" s="8"/>
      <c r="SMD242" s="54"/>
      <c r="SME242" s="8"/>
      <c r="SMF242" s="54"/>
      <c r="SMG242" s="8"/>
      <c r="SMH242" s="54"/>
      <c r="SMI242" s="8"/>
      <c r="SMJ242" s="54"/>
      <c r="SMK242" s="8"/>
      <c r="SML242" s="54"/>
      <c r="SMM242" s="8"/>
      <c r="SMN242" s="54"/>
      <c r="SMO242" s="8"/>
      <c r="SMP242" s="54"/>
      <c r="SMQ242" s="8"/>
      <c r="SMR242" s="54"/>
      <c r="SMS242" s="8"/>
      <c r="SMT242" s="54"/>
      <c r="SMU242" s="8"/>
      <c r="SMV242" s="54"/>
      <c r="SMW242" s="8"/>
      <c r="SMX242" s="54"/>
      <c r="SMY242" s="8"/>
      <c r="SMZ242" s="54"/>
      <c r="SNA242" s="8"/>
      <c r="SNB242" s="54"/>
      <c r="SNC242" s="8"/>
      <c r="SND242" s="54"/>
      <c r="SNE242" s="8"/>
      <c r="SNF242" s="54"/>
      <c r="SNG242" s="8"/>
      <c r="SNH242" s="54"/>
      <c r="SNI242" s="8"/>
      <c r="SNJ242" s="54"/>
      <c r="SNK242" s="8"/>
      <c r="SNL242" s="54"/>
      <c r="SNM242" s="8"/>
      <c r="SNN242" s="54"/>
      <c r="SNO242" s="8"/>
      <c r="SNP242" s="54"/>
      <c r="SNQ242" s="8"/>
      <c r="SNR242" s="54"/>
      <c r="SNS242" s="8"/>
      <c r="SNT242" s="54"/>
      <c r="SNU242" s="8"/>
      <c r="SNV242" s="54"/>
      <c r="SNW242" s="8"/>
      <c r="SNX242" s="54"/>
      <c r="SNY242" s="8"/>
      <c r="SNZ242" s="54"/>
      <c r="SOA242" s="8"/>
      <c r="SOB242" s="54"/>
      <c r="SOC242" s="8"/>
      <c r="SOD242" s="54"/>
      <c r="SOE242" s="8"/>
      <c r="SOF242" s="54"/>
      <c r="SOG242" s="8"/>
      <c r="SOH242" s="54"/>
      <c r="SOI242" s="8"/>
      <c r="SOJ242" s="54"/>
      <c r="SOK242" s="8"/>
      <c r="SOL242" s="54"/>
      <c r="SOM242" s="8"/>
      <c r="SON242" s="54"/>
      <c r="SOO242" s="8"/>
      <c r="SOP242" s="54"/>
      <c r="SOQ242" s="8"/>
      <c r="SOR242" s="54"/>
      <c r="SOS242" s="8"/>
      <c r="SOT242" s="54"/>
      <c r="SOU242" s="8"/>
      <c r="SOV242" s="54"/>
      <c r="SOW242" s="8"/>
      <c r="SOX242" s="54"/>
      <c r="SOY242" s="8"/>
      <c r="SOZ242" s="54"/>
      <c r="SPA242" s="8"/>
      <c r="SPB242" s="54"/>
      <c r="SPC242" s="8"/>
      <c r="SPD242" s="54"/>
      <c r="SPE242" s="8"/>
      <c r="SPF242" s="54"/>
      <c r="SPG242" s="8"/>
      <c r="SPH242" s="54"/>
      <c r="SPI242" s="8"/>
      <c r="SPJ242" s="54"/>
      <c r="SPK242" s="8"/>
      <c r="SPL242" s="54"/>
      <c r="SPM242" s="8"/>
      <c r="SPN242" s="54"/>
      <c r="SPO242" s="8"/>
      <c r="SPP242" s="54"/>
      <c r="SPQ242" s="8"/>
      <c r="SPR242" s="54"/>
      <c r="SPS242" s="8"/>
      <c r="SPT242" s="54"/>
      <c r="SPU242" s="8"/>
      <c r="SPV242" s="54"/>
      <c r="SPW242" s="8"/>
      <c r="SPX242" s="54"/>
      <c r="SPY242" s="8"/>
      <c r="SPZ242" s="54"/>
      <c r="SQA242" s="8"/>
      <c r="SQB242" s="54"/>
      <c r="SQC242" s="8"/>
      <c r="SQD242" s="54"/>
      <c r="SQE242" s="8"/>
      <c r="SQF242" s="54"/>
      <c r="SQG242" s="8"/>
      <c r="SQH242" s="54"/>
      <c r="SQI242" s="8"/>
      <c r="SQJ242" s="54"/>
      <c r="SQK242" s="8"/>
      <c r="SQL242" s="54"/>
      <c r="SQM242" s="8"/>
      <c r="SQN242" s="54"/>
      <c r="SQO242" s="8"/>
      <c r="SQP242" s="54"/>
      <c r="SQQ242" s="8"/>
      <c r="SQR242" s="54"/>
      <c r="SQS242" s="8"/>
      <c r="SQT242" s="54"/>
      <c r="SQU242" s="8"/>
      <c r="SQV242" s="54"/>
      <c r="SQW242" s="8"/>
      <c r="SQX242" s="54"/>
      <c r="SQY242" s="8"/>
      <c r="SQZ242" s="54"/>
      <c r="SRA242" s="8"/>
      <c r="SRB242" s="54"/>
      <c r="SRC242" s="8"/>
      <c r="SRD242" s="54"/>
      <c r="SRE242" s="8"/>
      <c r="SRF242" s="54"/>
      <c r="SRG242" s="8"/>
      <c r="SRH242" s="54"/>
      <c r="SRI242" s="8"/>
      <c r="SRJ242" s="54"/>
      <c r="SRK242" s="8"/>
      <c r="SRL242" s="54"/>
      <c r="SRM242" s="8"/>
      <c r="SRN242" s="54"/>
      <c r="SRO242" s="8"/>
      <c r="SRP242" s="54"/>
      <c r="SRQ242" s="8"/>
      <c r="SRR242" s="54"/>
      <c r="SRS242" s="8"/>
      <c r="SRT242" s="54"/>
      <c r="SRU242" s="8"/>
      <c r="SRV242" s="54"/>
      <c r="SRW242" s="8"/>
      <c r="SRX242" s="54"/>
      <c r="SRY242" s="8"/>
      <c r="SRZ242" s="54"/>
      <c r="SSA242" s="8"/>
      <c r="SSB242" s="54"/>
      <c r="SSC242" s="8"/>
      <c r="SSD242" s="54"/>
      <c r="SSE242" s="8"/>
      <c r="SSF242" s="54"/>
      <c r="SSG242" s="8"/>
      <c r="SSH242" s="54"/>
      <c r="SSI242" s="8"/>
      <c r="SSJ242" s="54"/>
      <c r="SSK242" s="8"/>
      <c r="SSL242" s="54"/>
      <c r="SSM242" s="8"/>
      <c r="SSN242" s="54"/>
      <c r="SSO242" s="8"/>
      <c r="SSP242" s="54"/>
      <c r="SSQ242" s="8"/>
      <c r="SSR242" s="54"/>
      <c r="SSS242" s="8"/>
      <c r="SST242" s="54"/>
      <c r="SSU242" s="8"/>
      <c r="SSV242" s="54"/>
      <c r="SSW242" s="8"/>
      <c r="SSX242" s="54"/>
      <c r="SSY242" s="8"/>
      <c r="SSZ242" s="54"/>
      <c r="STA242" s="8"/>
      <c r="STB242" s="54"/>
      <c r="STC242" s="8"/>
      <c r="STD242" s="54"/>
      <c r="STE242" s="8"/>
      <c r="STF242" s="54"/>
      <c r="STG242" s="8"/>
      <c r="STH242" s="54"/>
      <c r="STI242" s="8"/>
      <c r="STJ242" s="54"/>
      <c r="STK242" s="8"/>
      <c r="STL242" s="54"/>
      <c r="STM242" s="8"/>
      <c r="STN242" s="54"/>
      <c r="STO242" s="8"/>
      <c r="STP242" s="54"/>
      <c r="STQ242" s="8"/>
      <c r="STR242" s="54"/>
      <c r="STS242" s="8"/>
      <c r="STT242" s="54"/>
      <c r="STU242" s="8"/>
      <c r="STV242" s="54"/>
      <c r="STW242" s="8"/>
      <c r="STX242" s="54"/>
      <c r="STY242" s="8"/>
      <c r="STZ242" s="54"/>
      <c r="SUA242" s="8"/>
      <c r="SUB242" s="54"/>
      <c r="SUC242" s="8"/>
      <c r="SUD242" s="54"/>
      <c r="SUE242" s="8"/>
      <c r="SUF242" s="54"/>
      <c r="SUG242" s="8"/>
      <c r="SUH242" s="54"/>
      <c r="SUI242" s="8"/>
      <c r="SUJ242" s="54"/>
      <c r="SUK242" s="8"/>
      <c r="SUL242" s="54"/>
      <c r="SUM242" s="8"/>
      <c r="SUN242" s="54"/>
      <c r="SUO242" s="8"/>
      <c r="SUP242" s="54"/>
      <c r="SUQ242" s="8"/>
      <c r="SUR242" s="54"/>
      <c r="SUS242" s="8"/>
      <c r="SUT242" s="54"/>
      <c r="SUU242" s="8"/>
      <c r="SUV242" s="54"/>
      <c r="SUW242" s="8"/>
      <c r="SUX242" s="54"/>
      <c r="SUY242" s="8"/>
      <c r="SUZ242" s="54"/>
      <c r="SVA242" s="8"/>
      <c r="SVB242" s="54"/>
      <c r="SVC242" s="8"/>
      <c r="SVD242" s="54"/>
      <c r="SVE242" s="8"/>
      <c r="SVF242" s="54"/>
      <c r="SVG242" s="8"/>
      <c r="SVH242" s="54"/>
      <c r="SVI242" s="8"/>
      <c r="SVJ242" s="54"/>
      <c r="SVK242" s="8"/>
      <c r="SVL242" s="54"/>
      <c r="SVM242" s="8"/>
      <c r="SVN242" s="54"/>
      <c r="SVO242" s="8"/>
      <c r="SVP242" s="54"/>
      <c r="SVQ242" s="8"/>
      <c r="SVR242" s="54"/>
      <c r="SVS242" s="8"/>
      <c r="SVT242" s="54"/>
      <c r="SVU242" s="8"/>
      <c r="SVV242" s="54"/>
      <c r="SVW242" s="8"/>
      <c r="SVX242" s="54"/>
      <c r="SVY242" s="8"/>
      <c r="SVZ242" s="54"/>
      <c r="SWA242" s="8"/>
      <c r="SWB242" s="54"/>
      <c r="SWC242" s="8"/>
      <c r="SWD242" s="54"/>
      <c r="SWE242" s="8"/>
      <c r="SWF242" s="54"/>
      <c r="SWG242" s="8"/>
      <c r="SWH242" s="54"/>
      <c r="SWI242" s="8"/>
      <c r="SWJ242" s="54"/>
      <c r="SWK242" s="8"/>
      <c r="SWL242" s="54"/>
      <c r="SWM242" s="8"/>
      <c r="SWN242" s="54"/>
      <c r="SWO242" s="8"/>
      <c r="SWP242" s="54"/>
      <c r="SWQ242" s="8"/>
      <c r="SWR242" s="54"/>
      <c r="SWS242" s="8"/>
      <c r="SWT242" s="54"/>
      <c r="SWU242" s="8"/>
      <c r="SWV242" s="54"/>
      <c r="SWW242" s="8"/>
      <c r="SWX242" s="54"/>
      <c r="SWY242" s="8"/>
      <c r="SWZ242" s="54"/>
      <c r="SXA242" s="8"/>
      <c r="SXB242" s="54"/>
      <c r="SXC242" s="8"/>
      <c r="SXD242" s="54"/>
      <c r="SXE242" s="8"/>
      <c r="SXF242" s="54"/>
      <c r="SXG242" s="8"/>
      <c r="SXH242" s="54"/>
      <c r="SXI242" s="8"/>
      <c r="SXJ242" s="54"/>
      <c r="SXK242" s="8"/>
      <c r="SXL242" s="54"/>
      <c r="SXM242" s="8"/>
      <c r="SXN242" s="54"/>
      <c r="SXO242" s="8"/>
      <c r="SXP242" s="54"/>
      <c r="SXQ242" s="8"/>
      <c r="SXR242" s="54"/>
      <c r="SXS242" s="8"/>
      <c r="SXT242" s="54"/>
      <c r="SXU242" s="8"/>
      <c r="SXV242" s="54"/>
      <c r="SXW242" s="8"/>
      <c r="SXX242" s="54"/>
      <c r="SXY242" s="8"/>
      <c r="SXZ242" s="54"/>
      <c r="SYA242" s="8"/>
      <c r="SYB242" s="54"/>
      <c r="SYC242" s="8"/>
      <c r="SYD242" s="54"/>
      <c r="SYE242" s="8"/>
      <c r="SYF242" s="54"/>
      <c r="SYG242" s="8"/>
      <c r="SYH242" s="54"/>
      <c r="SYI242" s="8"/>
      <c r="SYJ242" s="54"/>
      <c r="SYK242" s="8"/>
      <c r="SYL242" s="54"/>
      <c r="SYM242" s="8"/>
      <c r="SYN242" s="54"/>
      <c r="SYO242" s="8"/>
      <c r="SYP242" s="54"/>
      <c r="SYQ242" s="8"/>
      <c r="SYR242" s="54"/>
      <c r="SYS242" s="8"/>
      <c r="SYT242" s="54"/>
      <c r="SYU242" s="8"/>
      <c r="SYV242" s="54"/>
      <c r="SYW242" s="8"/>
      <c r="SYX242" s="54"/>
      <c r="SYY242" s="8"/>
      <c r="SYZ242" s="54"/>
      <c r="SZA242" s="8"/>
      <c r="SZB242" s="54"/>
      <c r="SZC242" s="8"/>
      <c r="SZD242" s="54"/>
      <c r="SZE242" s="8"/>
      <c r="SZF242" s="54"/>
      <c r="SZG242" s="8"/>
      <c r="SZH242" s="54"/>
      <c r="SZI242" s="8"/>
      <c r="SZJ242" s="54"/>
      <c r="SZK242" s="8"/>
      <c r="SZL242" s="54"/>
      <c r="SZM242" s="8"/>
      <c r="SZN242" s="54"/>
      <c r="SZO242" s="8"/>
      <c r="SZP242" s="54"/>
      <c r="SZQ242" s="8"/>
      <c r="SZR242" s="54"/>
      <c r="SZS242" s="8"/>
      <c r="SZT242" s="54"/>
      <c r="SZU242" s="8"/>
      <c r="SZV242" s="54"/>
      <c r="SZW242" s="8"/>
      <c r="SZX242" s="54"/>
      <c r="SZY242" s="8"/>
      <c r="SZZ242" s="54"/>
      <c r="TAA242" s="8"/>
      <c r="TAB242" s="54"/>
      <c r="TAC242" s="8"/>
      <c r="TAD242" s="54"/>
      <c r="TAE242" s="8"/>
      <c r="TAF242" s="54"/>
      <c r="TAG242" s="8"/>
      <c r="TAH242" s="54"/>
      <c r="TAI242" s="8"/>
      <c r="TAJ242" s="54"/>
      <c r="TAK242" s="8"/>
      <c r="TAL242" s="54"/>
      <c r="TAM242" s="8"/>
      <c r="TAN242" s="54"/>
      <c r="TAO242" s="8"/>
      <c r="TAP242" s="54"/>
      <c r="TAQ242" s="8"/>
      <c r="TAR242" s="54"/>
      <c r="TAS242" s="8"/>
      <c r="TAT242" s="54"/>
      <c r="TAU242" s="8"/>
      <c r="TAV242" s="54"/>
      <c r="TAW242" s="8"/>
      <c r="TAX242" s="54"/>
      <c r="TAY242" s="8"/>
      <c r="TAZ242" s="54"/>
      <c r="TBA242" s="8"/>
      <c r="TBB242" s="54"/>
      <c r="TBC242" s="8"/>
      <c r="TBD242" s="54"/>
      <c r="TBE242" s="8"/>
      <c r="TBF242" s="54"/>
      <c r="TBG242" s="8"/>
      <c r="TBH242" s="54"/>
      <c r="TBI242" s="8"/>
      <c r="TBJ242" s="54"/>
      <c r="TBK242" s="8"/>
      <c r="TBL242" s="54"/>
      <c r="TBM242" s="8"/>
      <c r="TBN242" s="54"/>
      <c r="TBO242" s="8"/>
      <c r="TBP242" s="54"/>
      <c r="TBQ242" s="8"/>
      <c r="TBR242" s="54"/>
      <c r="TBS242" s="8"/>
      <c r="TBT242" s="54"/>
      <c r="TBU242" s="8"/>
      <c r="TBV242" s="54"/>
      <c r="TBW242" s="8"/>
      <c r="TBX242" s="54"/>
      <c r="TBY242" s="8"/>
      <c r="TBZ242" s="54"/>
      <c r="TCA242" s="8"/>
      <c r="TCB242" s="54"/>
      <c r="TCC242" s="8"/>
      <c r="TCD242" s="54"/>
      <c r="TCE242" s="8"/>
      <c r="TCF242" s="54"/>
      <c r="TCG242" s="8"/>
      <c r="TCH242" s="54"/>
      <c r="TCI242" s="8"/>
      <c r="TCJ242" s="54"/>
      <c r="TCK242" s="8"/>
      <c r="TCL242" s="54"/>
      <c r="TCM242" s="8"/>
      <c r="TCN242" s="54"/>
      <c r="TCO242" s="8"/>
      <c r="TCP242" s="54"/>
      <c r="TCQ242" s="8"/>
      <c r="TCR242" s="54"/>
      <c r="TCS242" s="8"/>
      <c r="TCT242" s="54"/>
      <c r="TCU242" s="8"/>
      <c r="TCV242" s="54"/>
      <c r="TCW242" s="8"/>
      <c r="TCX242" s="54"/>
      <c r="TCY242" s="8"/>
      <c r="TCZ242" s="54"/>
      <c r="TDA242" s="8"/>
      <c r="TDB242" s="54"/>
      <c r="TDC242" s="8"/>
      <c r="TDD242" s="54"/>
      <c r="TDE242" s="8"/>
      <c r="TDF242" s="54"/>
      <c r="TDG242" s="8"/>
      <c r="TDH242" s="54"/>
      <c r="TDI242" s="8"/>
      <c r="TDJ242" s="54"/>
      <c r="TDK242" s="8"/>
      <c r="TDL242" s="54"/>
      <c r="TDM242" s="8"/>
      <c r="TDN242" s="54"/>
      <c r="TDO242" s="8"/>
      <c r="TDP242" s="54"/>
      <c r="TDQ242" s="8"/>
      <c r="TDR242" s="54"/>
      <c r="TDS242" s="8"/>
      <c r="TDT242" s="54"/>
      <c r="TDU242" s="8"/>
      <c r="TDV242" s="54"/>
      <c r="TDW242" s="8"/>
      <c r="TDX242" s="54"/>
      <c r="TDY242" s="8"/>
      <c r="TDZ242" s="54"/>
      <c r="TEA242" s="8"/>
      <c r="TEB242" s="54"/>
      <c r="TEC242" s="8"/>
      <c r="TED242" s="54"/>
      <c r="TEE242" s="8"/>
      <c r="TEF242" s="54"/>
      <c r="TEG242" s="8"/>
      <c r="TEH242" s="54"/>
      <c r="TEI242" s="8"/>
      <c r="TEJ242" s="54"/>
      <c r="TEK242" s="8"/>
      <c r="TEL242" s="54"/>
      <c r="TEM242" s="8"/>
      <c r="TEN242" s="54"/>
      <c r="TEO242" s="8"/>
      <c r="TEP242" s="54"/>
      <c r="TEQ242" s="8"/>
      <c r="TER242" s="54"/>
      <c r="TES242" s="8"/>
      <c r="TET242" s="54"/>
      <c r="TEU242" s="8"/>
      <c r="TEV242" s="54"/>
      <c r="TEW242" s="8"/>
      <c r="TEX242" s="54"/>
      <c r="TEY242" s="8"/>
      <c r="TEZ242" s="54"/>
      <c r="TFA242" s="8"/>
      <c r="TFB242" s="54"/>
      <c r="TFC242" s="8"/>
      <c r="TFD242" s="54"/>
      <c r="TFE242" s="8"/>
      <c r="TFF242" s="54"/>
      <c r="TFG242" s="8"/>
      <c r="TFH242" s="54"/>
      <c r="TFI242" s="8"/>
      <c r="TFJ242" s="54"/>
      <c r="TFK242" s="8"/>
      <c r="TFL242" s="54"/>
      <c r="TFM242" s="8"/>
      <c r="TFN242" s="54"/>
      <c r="TFO242" s="8"/>
      <c r="TFP242" s="54"/>
      <c r="TFQ242" s="8"/>
      <c r="TFR242" s="54"/>
      <c r="TFS242" s="8"/>
      <c r="TFT242" s="54"/>
      <c r="TFU242" s="8"/>
      <c r="TFV242" s="54"/>
      <c r="TFW242" s="8"/>
      <c r="TFX242" s="54"/>
      <c r="TFY242" s="8"/>
      <c r="TFZ242" s="54"/>
      <c r="TGA242" s="8"/>
      <c r="TGB242" s="54"/>
      <c r="TGC242" s="8"/>
      <c r="TGD242" s="54"/>
      <c r="TGE242" s="8"/>
      <c r="TGF242" s="54"/>
      <c r="TGG242" s="8"/>
      <c r="TGH242" s="54"/>
      <c r="TGI242" s="8"/>
      <c r="TGJ242" s="54"/>
      <c r="TGK242" s="8"/>
      <c r="TGL242" s="54"/>
      <c r="TGM242" s="8"/>
      <c r="TGN242" s="54"/>
      <c r="TGO242" s="8"/>
      <c r="TGP242" s="54"/>
      <c r="TGQ242" s="8"/>
      <c r="TGR242" s="54"/>
      <c r="TGS242" s="8"/>
      <c r="TGT242" s="54"/>
      <c r="TGU242" s="8"/>
      <c r="TGV242" s="54"/>
      <c r="TGW242" s="8"/>
      <c r="TGX242" s="54"/>
      <c r="TGY242" s="8"/>
      <c r="TGZ242" s="54"/>
      <c r="THA242" s="8"/>
      <c r="THB242" s="54"/>
      <c r="THC242" s="8"/>
      <c r="THD242" s="54"/>
      <c r="THE242" s="8"/>
      <c r="THF242" s="54"/>
      <c r="THG242" s="8"/>
      <c r="THH242" s="54"/>
      <c r="THI242" s="8"/>
      <c r="THJ242" s="54"/>
      <c r="THK242" s="8"/>
      <c r="THL242" s="54"/>
      <c r="THM242" s="8"/>
      <c r="THN242" s="54"/>
      <c r="THO242" s="8"/>
      <c r="THP242" s="54"/>
      <c r="THQ242" s="8"/>
      <c r="THR242" s="54"/>
      <c r="THS242" s="8"/>
      <c r="THT242" s="54"/>
      <c r="THU242" s="8"/>
      <c r="THV242" s="54"/>
      <c r="THW242" s="8"/>
      <c r="THX242" s="54"/>
      <c r="THY242" s="8"/>
      <c r="THZ242" s="54"/>
      <c r="TIA242" s="8"/>
      <c r="TIB242" s="54"/>
      <c r="TIC242" s="8"/>
      <c r="TID242" s="54"/>
      <c r="TIE242" s="8"/>
      <c r="TIF242" s="54"/>
      <c r="TIG242" s="8"/>
      <c r="TIH242" s="54"/>
      <c r="TII242" s="8"/>
      <c r="TIJ242" s="54"/>
      <c r="TIK242" s="8"/>
      <c r="TIL242" s="54"/>
      <c r="TIM242" s="8"/>
      <c r="TIN242" s="54"/>
      <c r="TIO242" s="8"/>
      <c r="TIP242" s="54"/>
      <c r="TIQ242" s="8"/>
      <c r="TIR242" s="54"/>
      <c r="TIS242" s="8"/>
      <c r="TIT242" s="54"/>
      <c r="TIU242" s="8"/>
      <c r="TIV242" s="54"/>
      <c r="TIW242" s="8"/>
      <c r="TIX242" s="54"/>
      <c r="TIY242" s="8"/>
      <c r="TIZ242" s="54"/>
      <c r="TJA242" s="8"/>
      <c r="TJB242" s="54"/>
      <c r="TJC242" s="8"/>
      <c r="TJD242" s="54"/>
      <c r="TJE242" s="8"/>
      <c r="TJF242" s="54"/>
      <c r="TJG242" s="8"/>
      <c r="TJH242" s="54"/>
      <c r="TJI242" s="8"/>
      <c r="TJJ242" s="54"/>
      <c r="TJK242" s="8"/>
      <c r="TJL242" s="54"/>
      <c r="TJM242" s="8"/>
      <c r="TJN242" s="54"/>
      <c r="TJO242" s="8"/>
      <c r="TJP242" s="54"/>
      <c r="TJQ242" s="8"/>
      <c r="TJR242" s="54"/>
      <c r="TJS242" s="8"/>
      <c r="TJT242" s="54"/>
      <c r="TJU242" s="8"/>
      <c r="TJV242" s="54"/>
      <c r="TJW242" s="8"/>
      <c r="TJX242" s="54"/>
      <c r="TJY242" s="8"/>
      <c r="TJZ242" s="54"/>
      <c r="TKA242" s="8"/>
      <c r="TKB242" s="54"/>
      <c r="TKC242" s="8"/>
      <c r="TKD242" s="54"/>
      <c r="TKE242" s="8"/>
      <c r="TKF242" s="54"/>
      <c r="TKG242" s="8"/>
      <c r="TKH242" s="54"/>
      <c r="TKI242" s="8"/>
      <c r="TKJ242" s="54"/>
      <c r="TKK242" s="8"/>
      <c r="TKL242" s="54"/>
      <c r="TKM242" s="8"/>
      <c r="TKN242" s="54"/>
      <c r="TKO242" s="8"/>
      <c r="TKP242" s="54"/>
      <c r="TKQ242" s="8"/>
      <c r="TKR242" s="54"/>
      <c r="TKS242" s="8"/>
      <c r="TKT242" s="54"/>
      <c r="TKU242" s="8"/>
      <c r="TKV242" s="54"/>
      <c r="TKW242" s="8"/>
      <c r="TKX242" s="54"/>
      <c r="TKY242" s="8"/>
      <c r="TKZ242" s="54"/>
      <c r="TLA242" s="8"/>
      <c r="TLB242" s="54"/>
      <c r="TLC242" s="8"/>
      <c r="TLD242" s="54"/>
      <c r="TLE242" s="8"/>
      <c r="TLF242" s="54"/>
      <c r="TLG242" s="8"/>
      <c r="TLH242" s="54"/>
      <c r="TLI242" s="8"/>
      <c r="TLJ242" s="54"/>
      <c r="TLK242" s="8"/>
      <c r="TLL242" s="54"/>
      <c r="TLM242" s="8"/>
      <c r="TLN242" s="54"/>
      <c r="TLO242" s="8"/>
      <c r="TLP242" s="54"/>
      <c r="TLQ242" s="8"/>
      <c r="TLR242" s="54"/>
      <c r="TLS242" s="8"/>
      <c r="TLT242" s="54"/>
      <c r="TLU242" s="8"/>
      <c r="TLV242" s="54"/>
      <c r="TLW242" s="8"/>
      <c r="TLX242" s="54"/>
      <c r="TLY242" s="8"/>
      <c r="TLZ242" s="54"/>
      <c r="TMA242" s="8"/>
      <c r="TMB242" s="54"/>
      <c r="TMC242" s="8"/>
      <c r="TMD242" s="54"/>
      <c r="TME242" s="8"/>
      <c r="TMF242" s="54"/>
      <c r="TMG242" s="8"/>
      <c r="TMH242" s="54"/>
      <c r="TMI242" s="8"/>
      <c r="TMJ242" s="54"/>
      <c r="TMK242" s="8"/>
      <c r="TML242" s="54"/>
      <c r="TMM242" s="8"/>
      <c r="TMN242" s="54"/>
      <c r="TMO242" s="8"/>
      <c r="TMP242" s="54"/>
      <c r="TMQ242" s="8"/>
      <c r="TMR242" s="54"/>
      <c r="TMS242" s="8"/>
      <c r="TMT242" s="54"/>
      <c r="TMU242" s="8"/>
      <c r="TMV242" s="54"/>
      <c r="TMW242" s="8"/>
      <c r="TMX242" s="54"/>
      <c r="TMY242" s="8"/>
      <c r="TMZ242" s="54"/>
      <c r="TNA242" s="8"/>
      <c r="TNB242" s="54"/>
      <c r="TNC242" s="8"/>
      <c r="TND242" s="54"/>
      <c r="TNE242" s="8"/>
      <c r="TNF242" s="54"/>
      <c r="TNG242" s="8"/>
      <c r="TNH242" s="54"/>
      <c r="TNI242" s="8"/>
      <c r="TNJ242" s="54"/>
      <c r="TNK242" s="8"/>
      <c r="TNL242" s="54"/>
      <c r="TNM242" s="8"/>
      <c r="TNN242" s="54"/>
      <c r="TNO242" s="8"/>
      <c r="TNP242" s="54"/>
      <c r="TNQ242" s="8"/>
      <c r="TNR242" s="54"/>
      <c r="TNS242" s="8"/>
      <c r="TNT242" s="54"/>
      <c r="TNU242" s="8"/>
      <c r="TNV242" s="54"/>
      <c r="TNW242" s="8"/>
      <c r="TNX242" s="54"/>
      <c r="TNY242" s="8"/>
      <c r="TNZ242" s="54"/>
      <c r="TOA242" s="8"/>
      <c r="TOB242" s="54"/>
      <c r="TOC242" s="8"/>
      <c r="TOD242" s="54"/>
      <c r="TOE242" s="8"/>
      <c r="TOF242" s="54"/>
      <c r="TOG242" s="8"/>
      <c r="TOH242" s="54"/>
      <c r="TOI242" s="8"/>
      <c r="TOJ242" s="54"/>
      <c r="TOK242" s="8"/>
      <c r="TOL242" s="54"/>
      <c r="TOM242" s="8"/>
      <c r="TON242" s="54"/>
      <c r="TOO242" s="8"/>
      <c r="TOP242" s="54"/>
      <c r="TOQ242" s="8"/>
      <c r="TOR242" s="54"/>
      <c r="TOS242" s="8"/>
      <c r="TOT242" s="54"/>
      <c r="TOU242" s="8"/>
      <c r="TOV242" s="54"/>
      <c r="TOW242" s="8"/>
      <c r="TOX242" s="54"/>
      <c r="TOY242" s="8"/>
      <c r="TOZ242" s="54"/>
      <c r="TPA242" s="8"/>
      <c r="TPB242" s="54"/>
      <c r="TPC242" s="8"/>
      <c r="TPD242" s="54"/>
      <c r="TPE242" s="8"/>
      <c r="TPF242" s="54"/>
      <c r="TPG242" s="8"/>
      <c r="TPH242" s="54"/>
      <c r="TPI242" s="8"/>
      <c r="TPJ242" s="54"/>
      <c r="TPK242" s="8"/>
      <c r="TPL242" s="54"/>
      <c r="TPM242" s="8"/>
      <c r="TPN242" s="54"/>
      <c r="TPO242" s="8"/>
      <c r="TPP242" s="54"/>
      <c r="TPQ242" s="8"/>
      <c r="TPR242" s="54"/>
      <c r="TPS242" s="8"/>
      <c r="TPT242" s="54"/>
      <c r="TPU242" s="8"/>
      <c r="TPV242" s="54"/>
      <c r="TPW242" s="8"/>
      <c r="TPX242" s="54"/>
      <c r="TPY242" s="8"/>
      <c r="TPZ242" s="54"/>
      <c r="TQA242" s="8"/>
      <c r="TQB242" s="54"/>
      <c r="TQC242" s="8"/>
      <c r="TQD242" s="54"/>
      <c r="TQE242" s="8"/>
      <c r="TQF242" s="54"/>
      <c r="TQG242" s="8"/>
      <c r="TQH242" s="54"/>
      <c r="TQI242" s="8"/>
      <c r="TQJ242" s="54"/>
      <c r="TQK242" s="8"/>
      <c r="TQL242" s="54"/>
      <c r="TQM242" s="8"/>
      <c r="TQN242" s="54"/>
      <c r="TQO242" s="8"/>
      <c r="TQP242" s="54"/>
      <c r="TQQ242" s="8"/>
      <c r="TQR242" s="54"/>
      <c r="TQS242" s="8"/>
      <c r="TQT242" s="54"/>
      <c r="TQU242" s="8"/>
      <c r="TQV242" s="54"/>
      <c r="TQW242" s="8"/>
      <c r="TQX242" s="54"/>
      <c r="TQY242" s="8"/>
      <c r="TQZ242" s="54"/>
      <c r="TRA242" s="8"/>
      <c r="TRB242" s="54"/>
      <c r="TRC242" s="8"/>
      <c r="TRD242" s="54"/>
      <c r="TRE242" s="8"/>
      <c r="TRF242" s="54"/>
      <c r="TRG242" s="8"/>
      <c r="TRH242" s="54"/>
      <c r="TRI242" s="8"/>
      <c r="TRJ242" s="54"/>
      <c r="TRK242" s="8"/>
      <c r="TRL242" s="54"/>
      <c r="TRM242" s="8"/>
      <c r="TRN242" s="54"/>
      <c r="TRO242" s="8"/>
      <c r="TRP242" s="54"/>
      <c r="TRQ242" s="8"/>
      <c r="TRR242" s="54"/>
      <c r="TRS242" s="8"/>
      <c r="TRT242" s="54"/>
      <c r="TRU242" s="8"/>
      <c r="TRV242" s="54"/>
      <c r="TRW242" s="8"/>
      <c r="TRX242" s="54"/>
      <c r="TRY242" s="8"/>
      <c r="TRZ242" s="54"/>
      <c r="TSA242" s="8"/>
      <c r="TSB242" s="54"/>
      <c r="TSC242" s="8"/>
      <c r="TSD242" s="54"/>
      <c r="TSE242" s="8"/>
      <c r="TSF242" s="54"/>
      <c r="TSG242" s="8"/>
      <c r="TSH242" s="54"/>
      <c r="TSI242" s="8"/>
      <c r="TSJ242" s="54"/>
      <c r="TSK242" s="8"/>
      <c r="TSL242" s="54"/>
      <c r="TSM242" s="8"/>
      <c r="TSN242" s="54"/>
      <c r="TSO242" s="8"/>
      <c r="TSP242" s="54"/>
      <c r="TSQ242" s="8"/>
      <c r="TSR242" s="54"/>
      <c r="TSS242" s="8"/>
      <c r="TST242" s="54"/>
      <c r="TSU242" s="8"/>
      <c r="TSV242" s="54"/>
      <c r="TSW242" s="8"/>
      <c r="TSX242" s="54"/>
      <c r="TSY242" s="8"/>
      <c r="TSZ242" s="54"/>
      <c r="TTA242" s="8"/>
      <c r="TTB242" s="54"/>
      <c r="TTC242" s="8"/>
      <c r="TTD242" s="54"/>
      <c r="TTE242" s="8"/>
      <c r="TTF242" s="54"/>
      <c r="TTG242" s="8"/>
      <c r="TTH242" s="54"/>
      <c r="TTI242" s="8"/>
      <c r="TTJ242" s="54"/>
      <c r="TTK242" s="8"/>
      <c r="TTL242" s="54"/>
      <c r="TTM242" s="8"/>
      <c r="TTN242" s="54"/>
      <c r="TTO242" s="8"/>
      <c r="TTP242" s="54"/>
      <c r="TTQ242" s="8"/>
      <c r="TTR242" s="54"/>
      <c r="TTS242" s="8"/>
      <c r="TTT242" s="54"/>
      <c r="TTU242" s="8"/>
      <c r="TTV242" s="54"/>
      <c r="TTW242" s="8"/>
      <c r="TTX242" s="54"/>
      <c r="TTY242" s="8"/>
      <c r="TTZ242" s="54"/>
      <c r="TUA242" s="8"/>
      <c r="TUB242" s="54"/>
      <c r="TUC242" s="8"/>
      <c r="TUD242" s="54"/>
      <c r="TUE242" s="8"/>
      <c r="TUF242" s="54"/>
      <c r="TUG242" s="8"/>
      <c r="TUH242" s="54"/>
      <c r="TUI242" s="8"/>
      <c r="TUJ242" s="54"/>
      <c r="TUK242" s="8"/>
      <c r="TUL242" s="54"/>
      <c r="TUM242" s="8"/>
      <c r="TUN242" s="54"/>
      <c r="TUO242" s="8"/>
      <c r="TUP242" s="54"/>
      <c r="TUQ242" s="8"/>
      <c r="TUR242" s="54"/>
      <c r="TUS242" s="8"/>
      <c r="TUT242" s="54"/>
      <c r="TUU242" s="8"/>
      <c r="TUV242" s="54"/>
      <c r="TUW242" s="8"/>
      <c r="TUX242" s="54"/>
      <c r="TUY242" s="8"/>
      <c r="TUZ242" s="54"/>
      <c r="TVA242" s="8"/>
      <c r="TVB242" s="54"/>
      <c r="TVC242" s="8"/>
      <c r="TVD242" s="54"/>
      <c r="TVE242" s="8"/>
      <c r="TVF242" s="54"/>
      <c r="TVG242" s="8"/>
      <c r="TVH242" s="54"/>
      <c r="TVI242" s="8"/>
      <c r="TVJ242" s="54"/>
      <c r="TVK242" s="8"/>
      <c r="TVL242" s="54"/>
      <c r="TVM242" s="8"/>
      <c r="TVN242" s="54"/>
      <c r="TVO242" s="8"/>
      <c r="TVP242" s="54"/>
      <c r="TVQ242" s="8"/>
      <c r="TVR242" s="54"/>
      <c r="TVS242" s="8"/>
      <c r="TVT242" s="54"/>
      <c r="TVU242" s="8"/>
      <c r="TVV242" s="54"/>
      <c r="TVW242" s="8"/>
      <c r="TVX242" s="54"/>
      <c r="TVY242" s="8"/>
      <c r="TVZ242" s="54"/>
      <c r="TWA242" s="8"/>
      <c r="TWB242" s="54"/>
      <c r="TWC242" s="8"/>
      <c r="TWD242" s="54"/>
      <c r="TWE242" s="8"/>
      <c r="TWF242" s="54"/>
      <c r="TWG242" s="8"/>
      <c r="TWH242" s="54"/>
      <c r="TWI242" s="8"/>
      <c r="TWJ242" s="54"/>
      <c r="TWK242" s="8"/>
      <c r="TWL242" s="54"/>
      <c r="TWM242" s="8"/>
      <c r="TWN242" s="54"/>
      <c r="TWO242" s="8"/>
      <c r="TWP242" s="54"/>
      <c r="TWQ242" s="8"/>
      <c r="TWR242" s="54"/>
      <c r="TWS242" s="8"/>
      <c r="TWT242" s="54"/>
      <c r="TWU242" s="8"/>
      <c r="TWV242" s="54"/>
      <c r="TWW242" s="8"/>
      <c r="TWX242" s="54"/>
      <c r="TWY242" s="8"/>
      <c r="TWZ242" s="54"/>
      <c r="TXA242" s="8"/>
      <c r="TXB242" s="54"/>
      <c r="TXC242" s="8"/>
      <c r="TXD242" s="54"/>
      <c r="TXE242" s="8"/>
      <c r="TXF242" s="54"/>
      <c r="TXG242" s="8"/>
      <c r="TXH242" s="54"/>
      <c r="TXI242" s="8"/>
      <c r="TXJ242" s="54"/>
      <c r="TXK242" s="8"/>
      <c r="TXL242" s="54"/>
      <c r="TXM242" s="8"/>
      <c r="TXN242" s="54"/>
      <c r="TXO242" s="8"/>
      <c r="TXP242" s="54"/>
      <c r="TXQ242" s="8"/>
      <c r="TXR242" s="54"/>
      <c r="TXS242" s="8"/>
      <c r="TXT242" s="54"/>
      <c r="TXU242" s="8"/>
      <c r="TXV242" s="54"/>
      <c r="TXW242" s="8"/>
      <c r="TXX242" s="54"/>
      <c r="TXY242" s="8"/>
      <c r="TXZ242" s="54"/>
      <c r="TYA242" s="8"/>
      <c r="TYB242" s="54"/>
      <c r="TYC242" s="8"/>
      <c r="TYD242" s="54"/>
      <c r="TYE242" s="8"/>
      <c r="TYF242" s="54"/>
      <c r="TYG242" s="8"/>
      <c r="TYH242" s="54"/>
      <c r="TYI242" s="8"/>
      <c r="TYJ242" s="54"/>
      <c r="TYK242" s="8"/>
      <c r="TYL242" s="54"/>
      <c r="TYM242" s="8"/>
      <c r="TYN242" s="54"/>
      <c r="TYO242" s="8"/>
      <c r="TYP242" s="54"/>
      <c r="TYQ242" s="8"/>
      <c r="TYR242" s="54"/>
      <c r="TYS242" s="8"/>
      <c r="TYT242" s="54"/>
      <c r="TYU242" s="8"/>
      <c r="TYV242" s="54"/>
      <c r="TYW242" s="8"/>
      <c r="TYX242" s="54"/>
      <c r="TYY242" s="8"/>
      <c r="TYZ242" s="54"/>
      <c r="TZA242" s="8"/>
      <c r="TZB242" s="54"/>
      <c r="TZC242" s="8"/>
      <c r="TZD242" s="54"/>
      <c r="TZE242" s="8"/>
      <c r="TZF242" s="54"/>
      <c r="TZG242" s="8"/>
      <c r="TZH242" s="54"/>
      <c r="TZI242" s="8"/>
      <c r="TZJ242" s="54"/>
      <c r="TZK242" s="8"/>
      <c r="TZL242" s="54"/>
      <c r="TZM242" s="8"/>
      <c r="TZN242" s="54"/>
      <c r="TZO242" s="8"/>
      <c r="TZP242" s="54"/>
      <c r="TZQ242" s="8"/>
      <c r="TZR242" s="54"/>
      <c r="TZS242" s="8"/>
      <c r="TZT242" s="54"/>
      <c r="TZU242" s="8"/>
      <c r="TZV242" s="54"/>
      <c r="TZW242" s="8"/>
      <c r="TZX242" s="54"/>
      <c r="TZY242" s="8"/>
      <c r="TZZ242" s="54"/>
      <c r="UAA242" s="8"/>
      <c r="UAB242" s="54"/>
      <c r="UAC242" s="8"/>
      <c r="UAD242" s="54"/>
      <c r="UAE242" s="8"/>
      <c r="UAF242" s="54"/>
      <c r="UAG242" s="8"/>
      <c r="UAH242" s="54"/>
      <c r="UAI242" s="8"/>
      <c r="UAJ242" s="54"/>
      <c r="UAK242" s="8"/>
      <c r="UAL242" s="54"/>
      <c r="UAM242" s="8"/>
      <c r="UAN242" s="54"/>
      <c r="UAO242" s="8"/>
      <c r="UAP242" s="54"/>
      <c r="UAQ242" s="8"/>
      <c r="UAR242" s="54"/>
      <c r="UAS242" s="8"/>
      <c r="UAT242" s="54"/>
      <c r="UAU242" s="8"/>
      <c r="UAV242" s="54"/>
      <c r="UAW242" s="8"/>
      <c r="UAX242" s="54"/>
      <c r="UAY242" s="8"/>
      <c r="UAZ242" s="54"/>
      <c r="UBA242" s="8"/>
      <c r="UBB242" s="54"/>
      <c r="UBC242" s="8"/>
      <c r="UBD242" s="54"/>
      <c r="UBE242" s="8"/>
      <c r="UBF242" s="54"/>
      <c r="UBG242" s="8"/>
      <c r="UBH242" s="54"/>
      <c r="UBI242" s="8"/>
      <c r="UBJ242" s="54"/>
      <c r="UBK242" s="8"/>
      <c r="UBL242" s="54"/>
      <c r="UBM242" s="8"/>
      <c r="UBN242" s="54"/>
      <c r="UBO242" s="8"/>
      <c r="UBP242" s="54"/>
      <c r="UBQ242" s="8"/>
      <c r="UBR242" s="54"/>
      <c r="UBS242" s="8"/>
      <c r="UBT242" s="54"/>
      <c r="UBU242" s="8"/>
      <c r="UBV242" s="54"/>
      <c r="UBW242" s="8"/>
      <c r="UBX242" s="54"/>
      <c r="UBY242" s="8"/>
      <c r="UBZ242" s="54"/>
      <c r="UCA242" s="8"/>
      <c r="UCB242" s="54"/>
      <c r="UCC242" s="8"/>
      <c r="UCD242" s="54"/>
      <c r="UCE242" s="8"/>
      <c r="UCF242" s="54"/>
      <c r="UCG242" s="8"/>
      <c r="UCH242" s="54"/>
      <c r="UCI242" s="8"/>
      <c r="UCJ242" s="54"/>
      <c r="UCK242" s="8"/>
      <c r="UCL242" s="54"/>
      <c r="UCM242" s="8"/>
      <c r="UCN242" s="54"/>
      <c r="UCO242" s="8"/>
      <c r="UCP242" s="54"/>
      <c r="UCQ242" s="8"/>
      <c r="UCR242" s="54"/>
      <c r="UCS242" s="8"/>
      <c r="UCT242" s="54"/>
      <c r="UCU242" s="8"/>
      <c r="UCV242" s="54"/>
      <c r="UCW242" s="8"/>
      <c r="UCX242" s="54"/>
      <c r="UCY242" s="8"/>
      <c r="UCZ242" s="54"/>
      <c r="UDA242" s="8"/>
      <c r="UDB242" s="54"/>
      <c r="UDC242" s="8"/>
      <c r="UDD242" s="54"/>
      <c r="UDE242" s="8"/>
      <c r="UDF242" s="54"/>
      <c r="UDG242" s="8"/>
      <c r="UDH242" s="54"/>
      <c r="UDI242" s="8"/>
      <c r="UDJ242" s="54"/>
      <c r="UDK242" s="8"/>
      <c r="UDL242" s="54"/>
      <c r="UDM242" s="8"/>
      <c r="UDN242" s="54"/>
      <c r="UDO242" s="8"/>
      <c r="UDP242" s="54"/>
      <c r="UDQ242" s="8"/>
      <c r="UDR242" s="54"/>
      <c r="UDS242" s="8"/>
      <c r="UDT242" s="54"/>
      <c r="UDU242" s="8"/>
      <c r="UDV242" s="54"/>
      <c r="UDW242" s="8"/>
      <c r="UDX242" s="54"/>
      <c r="UDY242" s="8"/>
      <c r="UDZ242" s="54"/>
      <c r="UEA242" s="8"/>
      <c r="UEB242" s="54"/>
      <c r="UEC242" s="8"/>
      <c r="UED242" s="54"/>
      <c r="UEE242" s="8"/>
      <c r="UEF242" s="54"/>
      <c r="UEG242" s="8"/>
      <c r="UEH242" s="54"/>
      <c r="UEI242" s="8"/>
      <c r="UEJ242" s="54"/>
      <c r="UEK242" s="8"/>
      <c r="UEL242" s="54"/>
      <c r="UEM242" s="8"/>
      <c r="UEN242" s="54"/>
      <c r="UEO242" s="8"/>
      <c r="UEP242" s="54"/>
      <c r="UEQ242" s="8"/>
      <c r="UER242" s="54"/>
      <c r="UES242" s="8"/>
      <c r="UET242" s="54"/>
      <c r="UEU242" s="8"/>
      <c r="UEV242" s="54"/>
      <c r="UEW242" s="8"/>
      <c r="UEX242" s="54"/>
      <c r="UEY242" s="8"/>
      <c r="UEZ242" s="54"/>
      <c r="UFA242" s="8"/>
      <c r="UFB242" s="54"/>
      <c r="UFC242" s="8"/>
      <c r="UFD242" s="54"/>
      <c r="UFE242" s="8"/>
      <c r="UFF242" s="54"/>
      <c r="UFG242" s="8"/>
      <c r="UFH242" s="54"/>
      <c r="UFI242" s="8"/>
      <c r="UFJ242" s="54"/>
      <c r="UFK242" s="8"/>
      <c r="UFL242" s="54"/>
      <c r="UFM242" s="8"/>
      <c r="UFN242" s="54"/>
      <c r="UFO242" s="8"/>
      <c r="UFP242" s="54"/>
      <c r="UFQ242" s="8"/>
      <c r="UFR242" s="54"/>
      <c r="UFS242" s="8"/>
      <c r="UFT242" s="54"/>
      <c r="UFU242" s="8"/>
      <c r="UFV242" s="54"/>
      <c r="UFW242" s="8"/>
      <c r="UFX242" s="54"/>
      <c r="UFY242" s="8"/>
      <c r="UFZ242" s="54"/>
      <c r="UGA242" s="8"/>
      <c r="UGB242" s="54"/>
      <c r="UGC242" s="8"/>
      <c r="UGD242" s="54"/>
      <c r="UGE242" s="8"/>
      <c r="UGF242" s="54"/>
      <c r="UGG242" s="8"/>
      <c r="UGH242" s="54"/>
      <c r="UGI242" s="8"/>
      <c r="UGJ242" s="54"/>
      <c r="UGK242" s="8"/>
      <c r="UGL242" s="54"/>
      <c r="UGM242" s="8"/>
      <c r="UGN242" s="54"/>
      <c r="UGO242" s="8"/>
      <c r="UGP242" s="54"/>
      <c r="UGQ242" s="8"/>
      <c r="UGR242" s="54"/>
      <c r="UGS242" s="8"/>
      <c r="UGT242" s="54"/>
      <c r="UGU242" s="8"/>
      <c r="UGV242" s="54"/>
      <c r="UGW242" s="8"/>
      <c r="UGX242" s="54"/>
      <c r="UGY242" s="8"/>
      <c r="UGZ242" s="54"/>
      <c r="UHA242" s="8"/>
      <c r="UHB242" s="54"/>
      <c r="UHC242" s="8"/>
      <c r="UHD242" s="54"/>
      <c r="UHE242" s="8"/>
      <c r="UHF242" s="54"/>
      <c r="UHG242" s="8"/>
      <c r="UHH242" s="54"/>
      <c r="UHI242" s="8"/>
      <c r="UHJ242" s="54"/>
      <c r="UHK242" s="8"/>
      <c r="UHL242" s="54"/>
      <c r="UHM242" s="8"/>
      <c r="UHN242" s="54"/>
      <c r="UHO242" s="8"/>
      <c r="UHP242" s="54"/>
      <c r="UHQ242" s="8"/>
      <c r="UHR242" s="54"/>
      <c r="UHS242" s="8"/>
      <c r="UHT242" s="54"/>
      <c r="UHU242" s="8"/>
      <c r="UHV242" s="54"/>
      <c r="UHW242" s="8"/>
      <c r="UHX242" s="54"/>
      <c r="UHY242" s="8"/>
      <c r="UHZ242" s="54"/>
      <c r="UIA242" s="8"/>
      <c r="UIB242" s="54"/>
      <c r="UIC242" s="8"/>
      <c r="UID242" s="54"/>
      <c r="UIE242" s="8"/>
      <c r="UIF242" s="54"/>
      <c r="UIG242" s="8"/>
      <c r="UIH242" s="54"/>
      <c r="UII242" s="8"/>
      <c r="UIJ242" s="54"/>
      <c r="UIK242" s="8"/>
      <c r="UIL242" s="54"/>
      <c r="UIM242" s="8"/>
      <c r="UIN242" s="54"/>
      <c r="UIO242" s="8"/>
      <c r="UIP242" s="54"/>
      <c r="UIQ242" s="8"/>
      <c r="UIR242" s="54"/>
      <c r="UIS242" s="8"/>
      <c r="UIT242" s="54"/>
      <c r="UIU242" s="8"/>
      <c r="UIV242" s="54"/>
      <c r="UIW242" s="8"/>
      <c r="UIX242" s="54"/>
      <c r="UIY242" s="8"/>
      <c r="UIZ242" s="54"/>
      <c r="UJA242" s="8"/>
      <c r="UJB242" s="54"/>
      <c r="UJC242" s="8"/>
      <c r="UJD242" s="54"/>
      <c r="UJE242" s="8"/>
      <c r="UJF242" s="54"/>
      <c r="UJG242" s="8"/>
      <c r="UJH242" s="54"/>
      <c r="UJI242" s="8"/>
      <c r="UJJ242" s="54"/>
      <c r="UJK242" s="8"/>
      <c r="UJL242" s="54"/>
      <c r="UJM242" s="8"/>
      <c r="UJN242" s="54"/>
      <c r="UJO242" s="8"/>
      <c r="UJP242" s="54"/>
      <c r="UJQ242" s="8"/>
      <c r="UJR242" s="54"/>
      <c r="UJS242" s="8"/>
      <c r="UJT242" s="54"/>
      <c r="UJU242" s="8"/>
      <c r="UJV242" s="54"/>
      <c r="UJW242" s="8"/>
      <c r="UJX242" s="54"/>
      <c r="UJY242" s="8"/>
      <c r="UJZ242" s="54"/>
      <c r="UKA242" s="8"/>
      <c r="UKB242" s="54"/>
      <c r="UKC242" s="8"/>
      <c r="UKD242" s="54"/>
      <c r="UKE242" s="8"/>
      <c r="UKF242" s="54"/>
      <c r="UKG242" s="8"/>
      <c r="UKH242" s="54"/>
      <c r="UKI242" s="8"/>
      <c r="UKJ242" s="54"/>
      <c r="UKK242" s="8"/>
      <c r="UKL242" s="54"/>
      <c r="UKM242" s="8"/>
      <c r="UKN242" s="54"/>
      <c r="UKO242" s="8"/>
      <c r="UKP242" s="54"/>
      <c r="UKQ242" s="8"/>
      <c r="UKR242" s="54"/>
      <c r="UKS242" s="8"/>
      <c r="UKT242" s="54"/>
      <c r="UKU242" s="8"/>
      <c r="UKV242" s="54"/>
      <c r="UKW242" s="8"/>
      <c r="UKX242" s="54"/>
      <c r="UKY242" s="8"/>
      <c r="UKZ242" s="54"/>
      <c r="ULA242" s="8"/>
      <c r="ULB242" s="54"/>
      <c r="ULC242" s="8"/>
      <c r="ULD242" s="54"/>
      <c r="ULE242" s="8"/>
      <c r="ULF242" s="54"/>
      <c r="ULG242" s="8"/>
      <c r="ULH242" s="54"/>
      <c r="ULI242" s="8"/>
      <c r="ULJ242" s="54"/>
      <c r="ULK242" s="8"/>
      <c r="ULL242" s="54"/>
      <c r="ULM242" s="8"/>
      <c r="ULN242" s="54"/>
      <c r="ULO242" s="8"/>
      <c r="ULP242" s="54"/>
      <c r="ULQ242" s="8"/>
      <c r="ULR242" s="54"/>
      <c r="ULS242" s="8"/>
      <c r="ULT242" s="54"/>
      <c r="ULU242" s="8"/>
      <c r="ULV242" s="54"/>
      <c r="ULW242" s="8"/>
      <c r="ULX242" s="54"/>
      <c r="ULY242" s="8"/>
      <c r="ULZ242" s="54"/>
      <c r="UMA242" s="8"/>
      <c r="UMB242" s="54"/>
      <c r="UMC242" s="8"/>
      <c r="UMD242" s="54"/>
      <c r="UME242" s="8"/>
      <c r="UMF242" s="54"/>
      <c r="UMG242" s="8"/>
      <c r="UMH242" s="54"/>
      <c r="UMI242" s="8"/>
      <c r="UMJ242" s="54"/>
      <c r="UMK242" s="8"/>
      <c r="UML242" s="54"/>
      <c r="UMM242" s="8"/>
      <c r="UMN242" s="54"/>
      <c r="UMO242" s="8"/>
      <c r="UMP242" s="54"/>
      <c r="UMQ242" s="8"/>
      <c r="UMR242" s="54"/>
      <c r="UMS242" s="8"/>
      <c r="UMT242" s="54"/>
      <c r="UMU242" s="8"/>
      <c r="UMV242" s="54"/>
      <c r="UMW242" s="8"/>
      <c r="UMX242" s="54"/>
      <c r="UMY242" s="8"/>
      <c r="UMZ242" s="54"/>
      <c r="UNA242" s="8"/>
      <c r="UNB242" s="54"/>
      <c r="UNC242" s="8"/>
      <c r="UND242" s="54"/>
      <c r="UNE242" s="8"/>
      <c r="UNF242" s="54"/>
      <c r="UNG242" s="8"/>
      <c r="UNH242" s="54"/>
      <c r="UNI242" s="8"/>
      <c r="UNJ242" s="54"/>
      <c r="UNK242" s="8"/>
      <c r="UNL242" s="54"/>
      <c r="UNM242" s="8"/>
      <c r="UNN242" s="54"/>
      <c r="UNO242" s="8"/>
      <c r="UNP242" s="54"/>
      <c r="UNQ242" s="8"/>
      <c r="UNR242" s="54"/>
      <c r="UNS242" s="8"/>
      <c r="UNT242" s="54"/>
      <c r="UNU242" s="8"/>
      <c r="UNV242" s="54"/>
      <c r="UNW242" s="8"/>
      <c r="UNX242" s="54"/>
      <c r="UNY242" s="8"/>
      <c r="UNZ242" s="54"/>
      <c r="UOA242" s="8"/>
      <c r="UOB242" s="54"/>
      <c r="UOC242" s="8"/>
      <c r="UOD242" s="54"/>
      <c r="UOE242" s="8"/>
      <c r="UOF242" s="54"/>
      <c r="UOG242" s="8"/>
      <c r="UOH242" s="54"/>
      <c r="UOI242" s="8"/>
      <c r="UOJ242" s="54"/>
      <c r="UOK242" s="8"/>
      <c r="UOL242" s="54"/>
      <c r="UOM242" s="8"/>
      <c r="UON242" s="54"/>
      <c r="UOO242" s="8"/>
      <c r="UOP242" s="54"/>
      <c r="UOQ242" s="8"/>
      <c r="UOR242" s="54"/>
      <c r="UOS242" s="8"/>
      <c r="UOT242" s="54"/>
      <c r="UOU242" s="8"/>
      <c r="UOV242" s="54"/>
      <c r="UOW242" s="8"/>
      <c r="UOX242" s="54"/>
      <c r="UOY242" s="8"/>
      <c r="UOZ242" s="54"/>
      <c r="UPA242" s="8"/>
      <c r="UPB242" s="54"/>
      <c r="UPC242" s="8"/>
      <c r="UPD242" s="54"/>
      <c r="UPE242" s="8"/>
      <c r="UPF242" s="54"/>
      <c r="UPG242" s="8"/>
      <c r="UPH242" s="54"/>
      <c r="UPI242" s="8"/>
      <c r="UPJ242" s="54"/>
      <c r="UPK242" s="8"/>
      <c r="UPL242" s="54"/>
      <c r="UPM242" s="8"/>
      <c r="UPN242" s="54"/>
      <c r="UPO242" s="8"/>
      <c r="UPP242" s="54"/>
      <c r="UPQ242" s="8"/>
      <c r="UPR242" s="54"/>
      <c r="UPS242" s="8"/>
      <c r="UPT242" s="54"/>
      <c r="UPU242" s="8"/>
      <c r="UPV242" s="54"/>
      <c r="UPW242" s="8"/>
      <c r="UPX242" s="54"/>
      <c r="UPY242" s="8"/>
      <c r="UPZ242" s="54"/>
      <c r="UQA242" s="8"/>
      <c r="UQB242" s="54"/>
      <c r="UQC242" s="8"/>
      <c r="UQD242" s="54"/>
      <c r="UQE242" s="8"/>
      <c r="UQF242" s="54"/>
      <c r="UQG242" s="8"/>
      <c r="UQH242" s="54"/>
      <c r="UQI242" s="8"/>
      <c r="UQJ242" s="54"/>
      <c r="UQK242" s="8"/>
      <c r="UQL242" s="54"/>
      <c r="UQM242" s="8"/>
      <c r="UQN242" s="54"/>
      <c r="UQO242" s="8"/>
      <c r="UQP242" s="54"/>
      <c r="UQQ242" s="8"/>
      <c r="UQR242" s="54"/>
      <c r="UQS242" s="8"/>
      <c r="UQT242" s="54"/>
      <c r="UQU242" s="8"/>
      <c r="UQV242" s="54"/>
      <c r="UQW242" s="8"/>
      <c r="UQX242" s="54"/>
      <c r="UQY242" s="8"/>
      <c r="UQZ242" s="54"/>
      <c r="URA242" s="8"/>
      <c r="URB242" s="54"/>
      <c r="URC242" s="8"/>
      <c r="URD242" s="54"/>
      <c r="URE242" s="8"/>
      <c r="URF242" s="54"/>
      <c r="URG242" s="8"/>
      <c r="URH242" s="54"/>
      <c r="URI242" s="8"/>
      <c r="URJ242" s="54"/>
      <c r="URK242" s="8"/>
      <c r="URL242" s="54"/>
      <c r="URM242" s="8"/>
      <c r="URN242" s="54"/>
      <c r="URO242" s="8"/>
      <c r="URP242" s="54"/>
      <c r="URQ242" s="8"/>
      <c r="URR242" s="54"/>
      <c r="URS242" s="8"/>
      <c r="URT242" s="54"/>
      <c r="URU242" s="8"/>
      <c r="URV242" s="54"/>
      <c r="URW242" s="8"/>
      <c r="URX242" s="54"/>
      <c r="URY242" s="8"/>
      <c r="URZ242" s="54"/>
      <c r="USA242" s="8"/>
      <c r="USB242" s="54"/>
      <c r="USC242" s="8"/>
      <c r="USD242" s="54"/>
      <c r="USE242" s="8"/>
      <c r="USF242" s="54"/>
      <c r="USG242" s="8"/>
      <c r="USH242" s="54"/>
      <c r="USI242" s="8"/>
      <c r="USJ242" s="54"/>
      <c r="USK242" s="8"/>
      <c r="USL242" s="54"/>
      <c r="USM242" s="8"/>
      <c r="USN242" s="54"/>
      <c r="USO242" s="8"/>
      <c r="USP242" s="54"/>
      <c r="USQ242" s="8"/>
      <c r="USR242" s="54"/>
      <c r="USS242" s="8"/>
      <c r="UST242" s="54"/>
      <c r="USU242" s="8"/>
      <c r="USV242" s="54"/>
      <c r="USW242" s="8"/>
      <c r="USX242" s="54"/>
      <c r="USY242" s="8"/>
      <c r="USZ242" s="54"/>
      <c r="UTA242" s="8"/>
      <c r="UTB242" s="54"/>
      <c r="UTC242" s="8"/>
      <c r="UTD242" s="54"/>
      <c r="UTE242" s="8"/>
      <c r="UTF242" s="54"/>
      <c r="UTG242" s="8"/>
      <c r="UTH242" s="54"/>
      <c r="UTI242" s="8"/>
      <c r="UTJ242" s="54"/>
      <c r="UTK242" s="8"/>
      <c r="UTL242" s="54"/>
      <c r="UTM242" s="8"/>
      <c r="UTN242" s="54"/>
      <c r="UTO242" s="8"/>
      <c r="UTP242" s="54"/>
      <c r="UTQ242" s="8"/>
      <c r="UTR242" s="54"/>
      <c r="UTS242" s="8"/>
      <c r="UTT242" s="54"/>
      <c r="UTU242" s="8"/>
      <c r="UTV242" s="54"/>
      <c r="UTW242" s="8"/>
      <c r="UTX242" s="54"/>
      <c r="UTY242" s="8"/>
      <c r="UTZ242" s="54"/>
      <c r="UUA242" s="8"/>
      <c r="UUB242" s="54"/>
      <c r="UUC242" s="8"/>
      <c r="UUD242" s="54"/>
      <c r="UUE242" s="8"/>
      <c r="UUF242" s="54"/>
      <c r="UUG242" s="8"/>
      <c r="UUH242" s="54"/>
      <c r="UUI242" s="8"/>
      <c r="UUJ242" s="54"/>
      <c r="UUK242" s="8"/>
      <c r="UUL242" s="54"/>
      <c r="UUM242" s="8"/>
      <c r="UUN242" s="54"/>
      <c r="UUO242" s="8"/>
      <c r="UUP242" s="54"/>
      <c r="UUQ242" s="8"/>
      <c r="UUR242" s="54"/>
      <c r="UUS242" s="8"/>
      <c r="UUT242" s="54"/>
      <c r="UUU242" s="8"/>
      <c r="UUV242" s="54"/>
      <c r="UUW242" s="8"/>
      <c r="UUX242" s="54"/>
      <c r="UUY242" s="8"/>
      <c r="UUZ242" s="54"/>
      <c r="UVA242" s="8"/>
      <c r="UVB242" s="54"/>
      <c r="UVC242" s="8"/>
      <c r="UVD242" s="54"/>
      <c r="UVE242" s="8"/>
      <c r="UVF242" s="54"/>
      <c r="UVG242" s="8"/>
      <c r="UVH242" s="54"/>
      <c r="UVI242" s="8"/>
      <c r="UVJ242" s="54"/>
      <c r="UVK242" s="8"/>
      <c r="UVL242" s="54"/>
      <c r="UVM242" s="8"/>
      <c r="UVN242" s="54"/>
      <c r="UVO242" s="8"/>
      <c r="UVP242" s="54"/>
      <c r="UVQ242" s="8"/>
      <c r="UVR242" s="54"/>
      <c r="UVS242" s="8"/>
      <c r="UVT242" s="54"/>
      <c r="UVU242" s="8"/>
      <c r="UVV242" s="54"/>
      <c r="UVW242" s="8"/>
      <c r="UVX242" s="54"/>
      <c r="UVY242" s="8"/>
      <c r="UVZ242" s="54"/>
      <c r="UWA242" s="8"/>
      <c r="UWB242" s="54"/>
      <c r="UWC242" s="8"/>
      <c r="UWD242" s="54"/>
      <c r="UWE242" s="8"/>
      <c r="UWF242" s="54"/>
      <c r="UWG242" s="8"/>
      <c r="UWH242" s="54"/>
      <c r="UWI242" s="8"/>
      <c r="UWJ242" s="54"/>
      <c r="UWK242" s="8"/>
      <c r="UWL242" s="54"/>
      <c r="UWM242" s="8"/>
      <c r="UWN242" s="54"/>
      <c r="UWO242" s="8"/>
      <c r="UWP242" s="54"/>
      <c r="UWQ242" s="8"/>
      <c r="UWR242" s="54"/>
      <c r="UWS242" s="8"/>
      <c r="UWT242" s="54"/>
      <c r="UWU242" s="8"/>
      <c r="UWV242" s="54"/>
      <c r="UWW242" s="8"/>
      <c r="UWX242" s="54"/>
      <c r="UWY242" s="8"/>
      <c r="UWZ242" s="54"/>
      <c r="UXA242" s="8"/>
      <c r="UXB242" s="54"/>
      <c r="UXC242" s="8"/>
      <c r="UXD242" s="54"/>
      <c r="UXE242" s="8"/>
      <c r="UXF242" s="54"/>
      <c r="UXG242" s="8"/>
      <c r="UXH242" s="54"/>
      <c r="UXI242" s="8"/>
      <c r="UXJ242" s="54"/>
      <c r="UXK242" s="8"/>
      <c r="UXL242" s="54"/>
      <c r="UXM242" s="8"/>
      <c r="UXN242" s="54"/>
      <c r="UXO242" s="8"/>
      <c r="UXP242" s="54"/>
      <c r="UXQ242" s="8"/>
      <c r="UXR242" s="54"/>
      <c r="UXS242" s="8"/>
      <c r="UXT242" s="54"/>
      <c r="UXU242" s="8"/>
      <c r="UXV242" s="54"/>
      <c r="UXW242" s="8"/>
      <c r="UXX242" s="54"/>
      <c r="UXY242" s="8"/>
      <c r="UXZ242" s="54"/>
      <c r="UYA242" s="8"/>
      <c r="UYB242" s="54"/>
      <c r="UYC242" s="8"/>
      <c r="UYD242" s="54"/>
      <c r="UYE242" s="8"/>
      <c r="UYF242" s="54"/>
      <c r="UYG242" s="8"/>
      <c r="UYH242" s="54"/>
      <c r="UYI242" s="8"/>
      <c r="UYJ242" s="54"/>
      <c r="UYK242" s="8"/>
      <c r="UYL242" s="54"/>
      <c r="UYM242" s="8"/>
      <c r="UYN242" s="54"/>
      <c r="UYO242" s="8"/>
      <c r="UYP242" s="54"/>
      <c r="UYQ242" s="8"/>
      <c r="UYR242" s="54"/>
      <c r="UYS242" s="8"/>
      <c r="UYT242" s="54"/>
      <c r="UYU242" s="8"/>
      <c r="UYV242" s="54"/>
      <c r="UYW242" s="8"/>
      <c r="UYX242" s="54"/>
      <c r="UYY242" s="8"/>
      <c r="UYZ242" s="54"/>
      <c r="UZA242" s="8"/>
      <c r="UZB242" s="54"/>
      <c r="UZC242" s="8"/>
      <c r="UZD242" s="54"/>
      <c r="UZE242" s="8"/>
      <c r="UZF242" s="54"/>
      <c r="UZG242" s="8"/>
      <c r="UZH242" s="54"/>
      <c r="UZI242" s="8"/>
      <c r="UZJ242" s="54"/>
      <c r="UZK242" s="8"/>
      <c r="UZL242" s="54"/>
      <c r="UZM242" s="8"/>
      <c r="UZN242" s="54"/>
      <c r="UZO242" s="8"/>
      <c r="UZP242" s="54"/>
      <c r="UZQ242" s="8"/>
      <c r="UZR242" s="54"/>
      <c r="UZS242" s="8"/>
      <c r="UZT242" s="54"/>
      <c r="UZU242" s="8"/>
      <c r="UZV242" s="54"/>
      <c r="UZW242" s="8"/>
      <c r="UZX242" s="54"/>
      <c r="UZY242" s="8"/>
      <c r="UZZ242" s="54"/>
      <c r="VAA242" s="8"/>
      <c r="VAB242" s="54"/>
      <c r="VAC242" s="8"/>
      <c r="VAD242" s="54"/>
      <c r="VAE242" s="8"/>
      <c r="VAF242" s="54"/>
      <c r="VAG242" s="8"/>
      <c r="VAH242" s="54"/>
      <c r="VAI242" s="8"/>
      <c r="VAJ242" s="54"/>
      <c r="VAK242" s="8"/>
      <c r="VAL242" s="54"/>
      <c r="VAM242" s="8"/>
      <c r="VAN242" s="54"/>
      <c r="VAO242" s="8"/>
      <c r="VAP242" s="54"/>
      <c r="VAQ242" s="8"/>
      <c r="VAR242" s="54"/>
      <c r="VAS242" s="8"/>
      <c r="VAT242" s="54"/>
      <c r="VAU242" s="8"/>
      <c r="VAV242" s="54"/>
      <c r="VAW242" s="8"/>
      <c r="VAX242" s="54"/>
      <c r="VAY242" s="8"/>
      <c r="VAZ242" s="54"/>
      <c r="VBA242" s="8"/>
      <c r="VBB242" s="54"/>
      <c r="VBC242" s="8"/>
      <c r="VBD242" s="54"/>
      <c r="VBE242" s="8"/>
      <c r="VBF242" s="54"/>
      <c r="VBG242" s="8"/>
      <c r="VBH242" s="54"/>
      <c r="VBI242" s="8"/>
      <c r="VBJ242" s="54"/>
      <c r="VBK242" s="8"/>
      <c r="VBL242" s="54"/>
      <c r="VBM242" s="8"/>
      <c r="VBN242" s="54"/>
      <c r="VBO242" s="8"/>
      <c r="VBP242" s="54"/>
      <c r="VBQ242" s="8"/>
      <c r="VBR242" s="54"/>
      <c r="VBS242" s="8"/>
      <c r="VBT242" s="54"/>
      <c r="VBU242" s="8"/>
      <c r="VBV242" s="54"/>
      <c r="VBW242" s="8"/>
      <c r="VBX242" s="54"/>
      <c r="VBY242" s="8"/>
      <c r="VBZ242" s="54"/>
      <c r="VCA242" s="8"/>
      <c r="VCB242" s="54"/>
      <c r="VCC242" s="8"/>
      <c r="VCD242" s="54"/>
      <c r="VCE242" s="8"/>
      <c r="VCF242" s="54"/>
      <c r="VCG242" s="8"/>
      <c r="VCH242" s="54"/>
      <c r="VCI242" s="8"/>
      <c r="VCJ242" s="54"/>
      <c r="VCK242" s="8"/>
      <c r="VCL242" s="54"/>
      <c r="VCM242" s="8"/>
      <c r="VCN242" s="54"/>
      <c r="VCO242" s="8"/>
      <c r="VCP242" s="54"/>
      <c r="VCQ242" s="8"/>
      <c r="VCR242" s="54"/>
      <c r="VCS242" s="8"/>
      <c r="VCT242" s="54"/>
      <c r="VCU242" s="8"/>
      <c r="VCV242" s="54"/>
      <c r="VCW242" s="8"/>
      <c r="VCX242" s="54"/>
      <c r="VCY242" s="8"/>
      <c r="VCZ242" s="54"/>
      <c r="VDA242" s="8"/>
      <c r="VDB242" s="54"/>
      <c r="VDC242" s="8"/>
      <c r="VDD242" s="54"/>
      <c r="VDE242" s="8"/>
      <c r="VDF242" s="54"/>
      <c r="VDG242" s="8"/>
      <c r="VDH242" s="54"/>
      <c r="VDI242" s="8"/>
      <c r="VDJ242" s="54"/>
      <c r="VDK242" s="8"/>
      <c r="VDL242" s="54"/>
      <c r="VDM242" s="8"/>
      <c r="VDN242" s="54"/>
      <c r="VDO242" s="8"/>
      <c r="VDP242" s="54"/>
      <c r="VDQ242" s="8"/>
      <c r="VDR242" s="54"/>
      <c r="VDS242" s="8"/>
      <c r="VDT242" s="54"/>
      <c r="VDU242" s="8"/>
      <c r="VDV242" s="54"/>
      <c r="VDW242" s="8"/>
      <c r="VDX242" s="54"/>
      <c r="VDY242" s="8"/>
      <c r="VDZ242" s="54"/>
      <c r="VEA242" s="8"/>
      <c r="VEB242" s="54"/>
      <c r="VEC242" s="8"/>
      <c r="VED242" s="54"/>
      <c r="VEE242" s="8"/>
      <c r="VEF242" s="54"/>
      <c r="VEG242" s="8"/>
      <c r="VEH242" s="54"/>
      <c r="VEI242" s="8"/>
      <c r="VEJ242" s="54"/>
      <c r="VEK242" s="8"/>
      <c r="VEL242" s="54"/>
      <c r="VEM242" s="8"/>
      <c r="VEN242" s="54"/>
      <c r="VEO242" s="8"/>
      <c r="VEP242" s="54"/>
      <c r="VEQ242" s="8"/>
      <c r="VER242" s="54"/>
      <c r="VES242" s="8"/>
      <c r="VET242" s="54"/>
      <c r="VEU242" s="8"/>
      <c r="VEV242" s="54"/>
      <c r="VEW242" s="8"/>
      <c r="VEX242" s="54"/>
      <c r="VEY242" s="8"/>
      <c r="VEZ242" s="54"/>
      <c r="VFA242" s="8"/>
      <c r="VFB242" s="54"/>
      <c r="VFC242" s="8"/>
      <c r="VFD242" s="54"/>
      <c r="VFE242" s="8"/>
      <c r="VFF242" s="54"/>
      <c r="VFG242" s="8"/>
      <c r="VFH242" s="54"/>
      <c r="VFI242" s="8"/>
      <c r="VFJ242" s="54"/>
      <c r="VFK242" s="8"/>
      <c r="VFL242" s="54"/>
      <c r="VFM242" s="8"/>
      <c r="VFN242" s="54"/>
      <c r="VFO242" s="8"/>
      <c r="VFP242" s="54"/>
      <c r="VFQ242" s="8"/>
      <c r="VFR242" s="54"/>
      <c r="VFS242" s="8"/>
      <c r="VFT242" s="54"/>
      <c r="VFU242" s="8"/>
      <c r="VFV242" s="54"/>
      <c r="VFW242" s="8"/>
      <c r="VFX242" s="54"/>
      <c r="VFY242" s="8"/>
      <c r="VFZ242" s="54"/>
      <c r="VGA242" s="8"/>
      <c r="VGB242" s="54"/>
      <c r="VGC242" s="8"/>
      <c r="VGD242" s="54"/>
      <c r="VGE242" s="8"/>
      <c r="VGF242" s="54"/>
      <c r="VGG242" s="8"/>
      <c r="VGH242" s="54"/>
      <c r="VGI242" s="8"/>
      <c r="VGJ242" s="54"/>
      <c r="VGK242" s="8"/>
      <c r="VGL242" s="54"/>
      <c r="VGM242" s="8"/>
      <c r="VGN242" s="54"/>
      <c r="VGO242" s="8"/>
      <c r="VGP242" s="54"/>
      <c r="VGQ242" s="8"/>
      <c r="VGR242" s="54"/>
      <c r="VGS242" s="8"/>
      <c r="VGT242" s="54"/>
      <c r="VGU242" s="8"/>
      <c r="VGV242" s="54"/>
      <c r="VGW242" s="8"/>
      <c r="VGX242" s="54"/>
      <c r="VGY242" s="8"/>
      <c r="VGZ242" s="54"/>
      <c r="VHA242" s="8"/>
      <c r="VHB242" s="54"/>
      <c r="VHC242" s="8"/>
      <c r="VHD242" s="54"/>
      <c r="VHE242" s="8"/>
      <c r="VHF242" s="54"/>
      <c r="VHG242" s="8"/>
      <c r="VHH242" s="54"/>
      <c r="VHI242" s="8"/>
      <c r="VHJ242" s="54"/>
      <c r="VHK242" s="8"/>
      <c r="VHL242" s="54"/>
      <c r="VHM242" s="8"/>
      <c r="VHN242" s="54"/>
      <c r="VHO242" s="8"/>
      <c r="VHP242" s="54"/>
      <c r="VHQ242" s="8"/>
      <c r="VHR242" s="54"/>
      <c r="VHS242" s="8"/>
      <c r="VHT242" s="54"/>
      <c r="VHU242" s="8"/>
      <c r="VHV242" s="54"/>
      <c r="VHW242" s="8"/>
      <c r="VHX242" s="54"/>
      <c r="VHY242" s="8"/>
      <c r="VHZ242" s="54"/>
      <c r="VIA242" s="8"/>
      <c r="VIB242" s="54"/>
      <c r="VIC242" s="8"/>
      <c r="VID242" s="54"/>
      <c r="VIE242" s="8"/>
      <c r="VIF242" s="54"/>
      <c r="VIG242" s="8"/>
      <c r="VIH242" s="54"/>
      <c r="VII242" s="8"/>
      <c r="VIJ242" s="54"/>
      <c r="VIK242" s="8"/>
      <c r="VIL242" s="54"/>
      <c r="VIM242" s="8"/>
      <c r="VIN242" s="54"/>
      <c r="VIO242" s="8"/>
      <c r="VIP242" s="54"/>
      <c r="VIQ242" s="8"/>
      <c r="VIR242" s="54"/>
      <c r="VIS242" s="8"/>
      <c r="VIT242" s="54"/>
      <c r="VIU242" s="8"/>
      <c r="VIV242" s="54"/>
      <c r="VIW242" s="8"/>
      <c r="VIX242" s="54"/>
      <c r="VIY242" s="8"/>
      <c r="VIZ242" s="54"/>
      <c r="VJA242" s="8"/>
      <c r="VJB242" s="54"/>
      <c r="VJC242" s="8"/>
      <c r="VJD242" s="54"/>
      <c r="VJE242" s="8"/>
      <c r="VJF242" s="54"/>
      <c r="VJG242" s="8"/>
      <c r="VJH242" s="54"/>
      <c r="VJI242" s="8"/>
      <c r="VJJ242" s="54"/>
      <c r="VJK242" s="8"/>
      <c r="VJL242" s="54"/>
      <c r="VJM242" s="8"/>
      <c r="VJN242" s="54"/>
      <c r="VJO242" s="8"/>
      <c r="VJP242" s="54"/>
      <c r="VJQ242" s="8"/>
      <c r="VJR242" s="54"/>
      <c r="VJS242" s="8"/>
      <c r="VJT242" s="54"/>
      <c r="VJU242" s="8"/>
      <c r="VJV242" s="54"/>
      <c r="VJW242" s="8"/>
      <c r="VJX242" s="54"/>
      <c r="VJY242" s="8"/>
      <c r="VJZ242" s="54"/>
      <c r="VKA242" s="8"/>
      <c r="VKB242" s="54"/>
      <c r="VKC242" s="8"/>
      <c r="VKD242" s="54"/>
      <c r="VKE242" s="8"/>
      <c r="VKF242" s="54"/>
      <c r="VKG242" s="8"/>
      <c r="VKH242" s="54"/>
      <c r="VKI242" s="8"/>
      <c r="VKJ242" s="54"/>
      <c r="VKK242" s="8"/>
      <c r="VKL242" s="54"/>
      <c r="VKM242" s="8"/>
      <c r="VKN242" s="54"/>
      <c r="VKO242" s="8"/>
      <c r="VKP242" s="54"/>
      <c r="VKQ242" s="8"/>
      <c r="VKR242" s="54"/>
      <c r="VKS242" s="8"/>
      <c r="VKT242" s="54"/>
      <c r="VKU242" s="8"/>
      <c r="VKV242" s="54"/>
      <c r="VKW242" s="8"/>
      <c r="VKX242" s="54"/>
      <c r="VKY242" s="8"/>
      <c r="VKZ242" s="54"/>
      <c r="VLA242" s="8"/>
      <c r="VLB242" s="54"/>
      <c r="VLC242" s="8"/>
      <c r="VLD242" s="54"/>
      <c r="VLE242" s="8"/>
      <c r="VLF242" s="54"/>
      <c r="VLG242" s="8"/>
      <c r="VLH242" s="54"/>
      <c r="VLI242" s="8"/>
      <c r="VLJ242" s="54"/>
      <c r="VLK242" s="8"/>
      <c r="VLL242" s="54"/>
      <c r="VLM242" s="8"/>
      <c r="VLN242" s="54"/>
      <c r="VLO242" s="8"/>
      <c r="VLP242" s="54"/>
      <c r="VLQ242" s="8"/>
      <c r="VLR242" s="54"/>
      <c r="VLS242" s="8"/>
      <c r="VLT242" s="54"/>
      <c r="VLU242" s="8"/>
      <c r="VLV242" s="54"/>
      <c r="VLW242" s="8"/>
      <c r="VLX242" s="54"/>
      <c r="VLY242" s="8"/>
      <c r="VLZ242" s="54"/>
      <c r="VMA242" s="8"/>
      <c r="VMB242" s="54"/>
      <c r="VMC242" s="8"/>
      <c r="VMD242" s="54"/>
      <c r="VME242" s="8"/>
      <c r="VMF242" s="54"/>
      <c r="VMG242" s="8"/>
      <c r="VMH242" s="54"/>
      <c r="VMI242" s="8"/>
      <c r="VMJ242" s="54"/>
      <c r="VMK242" s="8"/>
      <c r="VML242" s="54"/>
      <c r="VMM242" s="8"/>
      <c r="VMN242" s="54"/>
      <c r="VMO242" s="8"/>
      <c r="VMP242" s="54"/>
      <c r="VMQ242" s="8"/>
      <c r="VMR242" s="54"/>
      <c r="VMS242" s="8"/>
      <c r="VMT242" s="54"/>
      <c r="VMU242" s="8"/>
      <c r="VMV242" s="54"/>
      <c r="VMW242" s="8"/>
      <c r="VMX242" s="54"/>
      <c r="VMY242" s="8"/>
      <c r="VMZ242" s="54"/>
      <c r="VNA242" s="8"/>
      <c r="VNB242" s="54"/>
      <c r="VNC242" s="8"/>
      <c r="VND242" s="54"/>
      <c r="VNE242" s="8"/>
      <c r="VNF242" s="54"/>
      <c r="VNG242" s="8"/>
      <c r="VNH242" s="54"/>
      <c r="VNI242" s="8"/>
      <c r="VNJ242" s="54"/>
      <c r="VNK242" s="8"/>
      <c r="VNL242" s="54"/>
      <c r="VNM242" s="8"/>
      <c r="VNN242" s="54"/>
      <c r="VNO242" s="8"/>
      <c r="VNP242" s="54"/>
      <c r="VNQ242" s="8"/>
      <c r="VNR242" s="54"/>
      <c r="VNS242" s="8"/>
      <c r="VNT242" s="54"/>
      <c r="VNU242" s="8"/>
      <c r="VNV242" s="54"/>
      <c r="VNW242" s="8"/>
      <c r="VNX242" s="54"/>
      <c r="VNY242" s="8"/>
      <c r="VNZ242" s="54"/>
      <c r="VOA242" s="8"/>
      <c r="VOB242" s="54"/>
      <c r="VOC242" s="8"/>
      <c r="VOD242" s="54"/>
      <c r="VOE242" s="8"/>
      <c r="VOF242" s="54"/>
      <c r="VOG242" s="8"/>
      <c r="VOH242" s="54"/>
      <c r="VOI242" s="8"/>
      <c r="VOJ242" s="54"/>
      <c r="VOK242" s="8"/>
      <c r="VOL242" s="54"/>
      <c r="VOM242" s="8"/>
      <c r="VON242" s="54"/>
      <c r="VOO242" s="8"/>
      <c r="VOP242" s="54"/>
      <c r="VOQ242" s="8"/>
      <c r="VOR242" s="54"/>
      <c r="VOS242" s="8"/>
      <c r="VOT242" s="54"/>
      <c r="VOU242" s="8"/>
      <c r="VOV242" s="54"/>
      <c r="VOW242" s="8"/>
      <c r="VOX242" s="54"/>
      <c r="VOY242" s="8"/>
      <c r="VOZ242" s="54"/>
      <c r="VPA242" s="8"/>
      <c r="VPB242" s="54"/>
      <c r="VPC242" s="8"/>
      <c r="VPD242" s="54"/>
      <c r="VPE242" s="8"/>
      <c r="VPF242" s="54"/>
      <c r="VPG242" s="8"/>
      <c r="VPH242" s="54"/>
      <c r="VPI242" s="8"/>
      <c r="VPJ242" s="54"/>
      <c r="VPK242" s="8"/>
      <c r="VPL242" s="54"/>
      <c r="VPM242" s="8"/>
      <c r="VPN242" s="54"/>
      <c r="VPO242" s="8"/>
      <c r="VPP242" s="54"/>
      <c r="VPQ242" s="8"/>
      <c r="VPR242" s="54"/>
      <c r="VPS242" s="8"/>
      <c r="VPT242" s="54"/>
      <c r="VPU242" s="8"/>
      <c r="VPV242" s="54"/>
      <c r="VPW242" s="8"/>
      <c r="VPX242" s="54"/>
      <c r="VPY242" s="8"/>
      <c r="VPZ242" s="54"/>
      <c r="VQA242" s="8"/>
      <c r="VQB242" s="54"/>
      <c r="VQC242" s="8"/>
      <c r="VQD242" s="54"/>
      <c r="VQE242" s="8"/>
      <c r="VQF242" s="54"/>
      <c r="VQG242" s="8"/>
      <c r="VQH242" s="54"/>
      <c r="VQI242" s="8"/>
      <c r="VQJ242" s="54"/>
      <c r="VQK242" s="8"/>
      <c r="VQL242" s="54"/>
      <c r="VQM242" s="8"/>
      <c r="VQN242" s="54"/>
      <c r="VQO242" s="8"/>
      <c r="VQP242" s="54"/>
      <c r="VQQ242" s="8"/>
      <c r="VQR242" s="54"/>
      <c r="VQS242" s="8"/>
      <c r="VQT242" s="54"/>
      <c r="VQU242" s="8"/>
      <c r="VQV242" s="54"/>
      <c r="VQW242" s="8"/>
      <c r="VQX242" s="54"/>
      <c r="VQY242" s="8"/>
      <c r="VQZ242" s="54"/>
      <c r="VRA242" s="8"/>
      <c r="VRB242" s="54"/>
      <c r="VRC242" s="8"/>
      <c r="VRD242" s="54"/>
      <c r="VRE242" s="8"/>
      <c r="VRF242" s="54"/>
      <c r="VRG242" s="8"/>
      <c r="VRH242" s="54"/>
      <c r="VRI242" s="8"/>
      <c r="VRJ242" s="54"/>
      <c r="VRK242" s="8"/>
      <c r="VRL242" s="54"/>
      <c r="VRM242" s="8"/>
      <c r="VRN242" s="54"/>
      <c r="VRO242" s="8"/>
      <c r="VRP242" s="54"/>
      <c r="VRQ242" s="8"/>
      <c r="VRR242" s="54"/>
      <c r="VRS242" s="8"/>
      <c r="VRT242" s="54"/>
      <c r="VRU242" s="8"/>
      <c r="VRV242" s="54"/>
      <c r="VRW242" s="8"/>
      <c r="VRX242" s="54"/>
      <c r="VRY242" s="8"/>
      <c r="VRZ242" s="54"/>
      <c r="VSA242" s="8"/>
      <c r="VSB242" s="54"/>
      <c r="VSC242" s="8"/>
      <c r="VSD242" s="54"/>
      <c r="VSE242" s="8"/>
      <c r="VSF242" s="54"/>
      <c r="VSG242" s="8"/>
      <c r="VSH242" s="54"/>
      <c r="VSI242" s="8"/>
      <c r="VSJ242" s="54"/>
      <c r="VSK242" s="8"/>
      <c r="VSL242" s="54"/>
      <c r="VSM242" s="8"/>
      <c r="VSN242" s="54"/>
      <c r="VSO242" s="8"/>
      <c r="VSP242" s="54"/>
      <c r="VSQ242" s="8"/>
      <c r="VSR242" s="54"/>
      <c r="VSS242" s="8"/>
      <c r="VST242" s="54"/>
      <c r="VSU242" s="8"/>
      <c r="VSV242" s="54"/>
      <c r="VSW242" s="8"/>
      <c r="VSX242" s="54"/>
      <c r="VSY242" s="8"/>
      <c r="VSZ242" s="54"/>
      <c r="VTA242" s="8"/>
      <c r="VTB242" s="54"/>
      <c r="VTC242" s="8"/>
      <c r="VTD242" s="54"/>
      <c r="VTE242" s="8"/>
      <c r="VTF242" s="54"/>
      <c r="VTG242" s="8"/>
      <c r="VTH242" s="54"/>
      <c r="VTI242" s="8"/>
      <c r="VTJ242" s="54"/>
      <c r="VTK242" s="8"/>
      <c r="VTL242" s="54"/>
      <c r="VTM242" s="8"/>
      <c r="VTN242" s="54"/>
      <c r="VTO242" s="8"/>
      <c r="VTP242" s="54"/>
      <c r="VTQ242" s="8"/>
      <c r="VTR242" s="54"/>
      <c r="VTS242" s="8"/>
      <c r="VTT242" s="54"/>
      <c r="VTU242" s="8"/>
      <c r="VTV242" s="54"/>
      <c r="VTW242" s="8"/>
      <c r="VTX242" s="54"/>
      <c r="VTY242" s="8"/>
      <c r="VTZ242" s="54"/>
      <c r="VUA242" s="8"/>
      <c r="VUB242" s="54"/>
      <c r="VUC242" s="8"/>
      <c r="VUD242" s="54"/>
      <c r="VUE242" s="8"/>
      <c r="VUF242" s="54"/>
      <c r="VUG242" s="8"/>
      <c r="VUH242" s="54"/>
      <c r="VUI242" s="8"/>
      <c r="VUJ242" s="54"/>
      <c r="VUK242" s="8"/>
      <c r="VUL242" s="54"/>
      <c r="VUM242" s="8"/>
      <c r="VUN242" s="54"/>
      <c r="VUO242" s="8"/>
      <c r="VUP242" s="54"/>
      <c r="VUQ242" s="8"/>
      <c r="VUR242" s="54"/>
      <c r="VUS242" s="8"/>
      <c r="VUT242" s="54"/>
      <c r="VUU242" s="8"/>
      <c r="VUV242" s="54"/>
      <c r="VUW242" s="8"/>
      <c r="VUX242" s="54"/>
      <c r="VUY242" s="8"/>
      <c r="VUZ242" s="54"/>
      <c r="VVA242" s="8"/>
      <c r="VVB242" s="54"/>
      <c r="VVC242" s="8"/>
      <c r="VVD242" s="54"/>
      <c r="VVE242" s="8"/>
      <c r="VVF242" s="54"/>
      <c r="VVG242" s="8"/>
      <c r="VVH242" s="54"/>
      <c r="VVI242" s="8"/>
      <c r="VVJ242" s="54"/>
      <c r="VVK242" s="8"/>
      <c r="VVL242" s="54"/>
      <c r="VVM242" s="8"/>
      <c r="VVN242" s="54"/>
      <c r="VVO242" s="8"/>
      <c r="VVP242" s="54"/>
      <c r="VVQ242" s="8"/>
      <c r="VVR242" s="54"/>
      <c r="VVS242" s="8"/>
      <c r="VVT242" s="54"/>
      <c r="VVU242" s="8"/>
      <c r="VVV242" s="54"/>
      <c r="VVW242" s="8"/>
      <c r="VVX242" s="54"/>
      <c r="VVY242" s="8"/>
      <c r="VVZ242" s="54"/>
      <c r="VWA242" s="8"/>
      <c r="VWB242" s="54"/>
      <c r="VWC242" s="8"/>
      <c r="VWD242" s="54"/>
      <c r="VWE242" s="8"/>
      <c r="VWF242" s="54"/>
      <c r="VWG242" s="8"/>
      <c r="VWH242" s="54"/>
      <c r="VWI242" s="8"/>
      <c r="VWJ242" s="54"/>
      <c r="VWK242" s="8"/>
      <c r="VWL242" s="54"/>
      <c r="VWM242" s="8"/>
      <c r="VWN242" s="54"/>
      <c r="VWO242" s="8"/>
      <c r="VWP242" s="54"/>
      <c r="VWQ242" s="8"/>
      <c r="VWR242" s="54"/>
      <c r="VWS242" s="8"/>
      <c r="VWT242" s="54"/>
      <c r="VWU242" s="8"/>
      <c r="VWV242" s="54"/>
      <c r="VWW242" s="8"/>
      <c r="VWX242" s="54"/>
      <c r="VWY242" s="8"/>
      <c r="VWZ242" s="54"/>
      <c r="VXA242" s="8"/>
      <c r="VXB242" s="54"/>
      <c r="VXC242" s="8"/>
      <c r="VXD242" s="54"/>
      <c r="VXE242" s="8"/>
      <c r="VXF242" s="54"/>
      <c r="VXG242" s="8"/>
      <c r="VXH242" s="54"/>
      <c r="VXI242" s="8"/>
      <c r="VXJ242" s="54"/>
      <c r="VXK242" s="8"/>
      <c r="VXL242" s="54"/>
      <c r="VXM242" s="8"/>
      <c r="VXN242" s="54"/>
      <c r="VXO242" s="8"/>
      <c r="VXP242" s="54"/>
      <c r="VXQ242" s="8"/>
      <c r="VXR242" s="54"/>
      <c r="VXS242" s="8"/>
      <c r="VXT242" s="54"/>
      <c r="VXU242" s="8"/>
      <c r="VXV242" s="54"/>
      <c r="VXW242" s="8"/>
      <c r="VXX242" s="54"/>
      <c r="VXY242" s="8"/>
      <c r="VXZ242" s="54"/>
      <c r="VYA242" s="8"/>
      <c r="VYB242" s="54"/>
      <c r="VYC242" s="8"/>
      <c r="VYD242" s="54"/>
      <c r="VYE242" s="8"/>
      <c r="VYF242" s="54"/>
      <c r="VYG242" s="8"/>
      <c r="VYH242" s="54"/>
      <c r="VYI242" s="8"/>
      <c r="VYJ242" s="54"/>
      <c r="VYK242" s="8"/>
      <c r="VYL242" s="54"/>
      <c r="VYM242" s="8"/>
      <c r="VYN242" s="54"/>
      <c r="VYO242" s="8"/>
      <c r="VYP242" s="54"/>
      <c r="VYQ242" s="8"/>
      <c r="VYR242" s="54"/>
      <c r="VYS242" s="8"/>
      <c r="VYT242" s="54"/>
      <c r="VYU242" s="8"/>
      <c r="VYV242" s="54"/>
      <c r="VYW242" s="8"/>
      <c r="VYX242" s="54"/>
      <c r="VYY242" s="8"/>
      <c r="VYZ242" s="54"/>
      <c r="VZA242" s="8"/>
      <c r="VZB242" s="54"/>
      <c r="VZC242" s="8"/>
      <c r="VZD242" s="54"/>
      <c r="VZE242" s="8"/>
      <c r="VZF242" s="54"/>
      <c r="VZG242" s="8"/>
      <c r="VZH242" s="54"/>
      <c r="VZI242" s="8"/>
      <c r="VZJ242" s="54"/>
      <c r="VZK242" s="8"/>
      <c r="VZL242" s="54"/>
      <c r="VZM242" s="8"/>
      <c r="VZN242" s="54"/>
      <c r="VZO242" s="8"/>
      <c r="VZP242" s="54"/>
      <c r="VZQ242" s="8"/>
      <c r="VZR242" s="54"/>
      <c r="VZS242" s="8"/>
      <c r="VZT242" s="54"/>
      <c r="VZU242" s="8"/>
      <c r="VZV242" s="54"/>
      <c r="VZW242" s="8"/>
      <c r="VZX242" s="54"/>
      <c r="VZY242" s="8"/>
      <c r="VZZ242" s="54"/>
      <c r="WAA242" s="8"/>
      <c r="WAB242" s="54"/>
      <c r="WAC242" s="8"/>
      <c r="WAD242" s="54"/>
      <c r="WAE242" s="8"/>
      <c r="WAF242" s="54"/>
      <c r="WAG242" s="8"/>
      <c r="WAH242" s="54"/>
      <c r="WAI242" s="8"/>
      <c r="WAJ242" s="54"/>
      <c r="WAK242" s="8"/>
      <c r="WAL242" s="54"/>
      <c r="WAM242" s="8"/>
      <c r="WAN242" s="54"/>
      <c r="WAO242" s="8"/>
      <c r="WAP242" s="54"/>
      <c r="WAQ242" s="8"/>
      <c r="WAR242" s="54"/>
      <c r="WAS242" s="8"/>
      <c r="WAT242" s="54"/>
      <c r="WAU242" s="8"/>
      <c r="WAV242" s="54"/>
      <c r="WAW242" s="8"/>
      <c r="WAX242" s="54"/>
      <c r="WAY242" s="8"/>
      <c r="WAZ242" s="54"/>
      <c r="WBA242" s="8"/>
      <c r="WBB242" s="54"/>
      <c r="WBC242" s="8"/>
      <c r="WBD242" s="54"/>
      <c r="WBE242" s="8"/>
      <c r="WBF242" s="54"/>
      <c r="WBG242" s="8"/>
      <c r="WBH242" s="54"/>
      <c r="WBI242" s="8"/>
      <c r="WBJ242" s="54"/>
      <c r="WBK242" s="8"/>
      <c r="WBL242" s="54"/>
      <c r="WBM242" s="8"/>
      <c r="WBN242" s="54"/>
      <c r="WBO242" s="8"/>
      <c r="WBP242" s="54"/>
      <c r="WBQ242" s="8"/>
      <c r="WBR242" s="54"/>
      <c r="WBS242" s="8"/>
      <c r="WBT242" s="54"/>
      <c r="WBU242" s="8"/>
      <c r="WBV242" s="54"/>
      <c r="WBW242" s="8"/>
      <c r="WBX242" s="54"/>
      <c r="WBY242" s="8"/>
      <c r="WBZ242" s="54"/>
      <c r="WCA242" s="8"/>
      <c r="WCB242" s="54"/>
      <c r="WCC242" s="8"/>
      <c r="WCD242" s="54"/>
      <c r="WCE242" s="8"/>
      <c r="WCF242" s="54"/>
      <c r="WCG242" s="8"/>
      <c r="WCH242" s="54"/>
      <c r="WCI242" s="8"/>
      <c r="WCJ242" s="54"/>
      <c r="WCK242" s="8"/>
      <c r="WCL242" s="54"/>
      <c r="WCM242" s="8"/>
      <c r="WCN242" s="54"/>
      <c r="WCO242" s="8"/>
      <c r="WCP242" s="54"/>
      <c r="WCQ242" s="8"/>
      <c r="WCR242" s="54"/>
      <c r="WCS242" s="8"/>
      <c r="WCT242" s="54"/>
      <c r="WCU242" s="8"/>
      <c r="WCV242" s="54"/>
      <c r="WCW242" s="8"/>
      <c r="WCX242" s="54"/>
      <c r="WCY242" s="8"/>
      <c r="WCZ242" s="54"/>
      <c r="WDA242" s="8"/>
      <c r="WDB242" s="54"/>
      <c r="WDC242" s="8"/>
      <c r="WDD242" s="54"/>
      <c r="WDE242" s="8"/>
      <c r="WDF242" s="54"/>
      <c r="WDG242" s="8"/>
      <c r="WDH242" s="54"/>
      <c r="WDI242" s="8"/>
      <c r="WDJ242" s="54"/>
      <c r="WDK242" s="8"/>
      <c r="WDL242" s="54"/>
      <c r="WDM242" s="8"/>
      <c r="WDN242" s="54"/>
      <c r="WDO242" s="8"/>
      <c r="WDP242" s="54"/>
      <c r="WDQ242" s="8"/>
      <c r="WDR242" s="54"/>
      <c r="WDS242" s="8"/>
      <c r="WDT242" s="54"/>
      <c r="WDU242" s="8"/>
      <c r="WDV242" s="54"/>
      <c r="WDW242" s="8"/>
      <c r="WDX242" s="54"/>
      <c r="WDY242" s="8"/>
      <c r="WDZ242" s="54"/>
      <c r="WEA242" s="8"/>
      <c r="WEB242" s="54"/>
      <c r="WEC242" s="8"/>
      <c r="WED242" s="54"/>
      <c r="WEE242" s="8"/>
      <c r="WEF242" s="54"/>
      <c r="WEG242" s="8"/>
      <c r="WEH242" s="54"/>
      <c r="WEI242" s="8"/>
      <c r="WEJ242" s="54"/>
      <c r="WEK242" s="8"/>
      <c r="WEL242" s="54"/>
      <c r="WEM242" s="8"/>
      <c r="WEN242" s="54"/>
      <c r="WEO242" s="8"/>
      <c r="WEP242" s="54"/>
      <c r="WEQ242" s="8"/>
      <c r="WER242" s="54"/>
      <c r="WES242" s="8"/>
      <c r="WET242" s="54"/>
      <c r="WEU242" s="8"/>
      <c r="WEV242" s="54"/>
      <c r="WEW242" s="8"/>
      <c r="WEX242" s="54"/>
      <c r="WEY242" s="8"/>
      <c r="WEZ242" s="54"/>
      <c r="WFA242" s="8"/>
      <c r="WFB242" s="54"/>
      <c r="WFC242" s="8"/>
      <c r="WFD242" s="54"/>
      <c r="WFE242" s="8"/>
      <c r="WFF242" s="54"/>
      <c r="WFG242" s="8"/>
      <c r="WFH242" s="54"/>
      <c r="WFI242" s="8"/>
      <c r="WFJ242" s="54"/>
      <c r="WFK242" s="8"/>
      <c r="WFL242" s="54"/>
      <c r="WFM242" s="8"/>
      <c r="WFN242" s="54"/>
      <c r="WFO242" s="8"/>
      <c r="WFP242" s="54"/>
      <c r="WFQ242" s="8"/>
      <c r="WFR242" s="54"/>
      <c r="WFS242" s="8"/>
      <c r="WFT242" s="54"/>
      <c r="WFU242" s="8"/>
      <c r="WFV242" s="54"/>
      <c r="WFW242" s="8"/>
      <c r="WFX242" s="54"/>
      <c r="WFY242" s="8"/>
      <c r="WFZ242" s="54"/>
      <c r="WGA242" s="8"/>
      <c r="WGB242" s="54"/>
      <c r="WGC242" s="8"/>
      <c r="WGD242" s="54"/>
      <c r="WGE242" s="8"/>
      <c r="WGF242" s="54"/>
      <c r="WGG242" s="8"/>
      <c r="WGH242" s="54"/>
      <c r="WGI242" s="8"/>
      <c r="WGJ242" s="54"/>
      <c r="WGK242" s="8"/>
      <c r="WGL242" s="54"/>
      <c r="WGM242" s="8"/>
      <c r="WGN242" s="54"/>
      <c r="WGO242" s="8"/>
      <c r="WGP242" s="54"/>
      <c r="WGQ242" s="8"/>
      <c r="WGR242" s="54"/>
      <c r="WGS242" s="8"/>
      <c r="WGT242" s="54"/>
      <c r="WGU242" s="8"/>
      <c r="WGV242" s="54"/>
      <c r="WGW242" s="8"/>
      <c r="WGX242" s="54"/>
      <c r="WGY242" s="8"/>
      <c r="WGZ242" s="54"/>
      <c r="WHA242" s="8"/>
      <c r="WHB242" s="54"/>
      <c r="WHC242" s="8"/>
      <c r="WHD242" s="54"/>
      <c r="WHE242" s="8"/>
      <c r="WHF242" s="54"/>
      <c r="WHG242" s="8"/>
      <c r="WHH242" s="54"/>
      <c r="WHI242" s="8"/>
      <c r="WHJ242" s="54"/>
      <c r="WHK242" s="8"/>
      <c r="WHL242" s="54"/>
      <c r="WHM242" s="8"/>
      <c r="WHN242" s="54"/>
      <c r="WHO242" s="8"/>
      <c r="WHP242" s="54"/>
      <c r="WHQ242" s="8"/>
      <c r="WHR242" s="54"/>
      <c r="WHS242" s="8"/>
      <c r="WHT242" s="54"/>
      <c r="WHU242" s="8"/>
      <c r="WHV242" s="54"/>
      <c r="WHW242" s="8"/>
      <c r="WHX242" s="54"/>
      <c r="WHY242" s="8"/>
      <c r="WHZ242" s="54"/>
      <c r="WIA242" s="8"/>
      <c r="WIB242" s="54"/>
      <c r="WIC242" s="8"/>
      <c r="WID242" s="54"/>
      <c r="WIE242" s="8"/>
      <c r="WIF242" s="54"/>
      <c r="WIG242" s="8"/>
      <c r="WIH242" s="54"/>
      <c r="WII242" s="8"/>
      <c r="WIJ242" s="54"/>
      <c r="WIK242" s="8"/>
      <c r="WIL242" s="54"/>
      <c r="WIM242" s="8"/>
      <c r="WIN242" s="54"/>
      <c r="WIO242" s="8"/>
      <c r="WIP242" s="54"/>
      <c r="WIQ242" s="8"/>
      <c r="WIR242" s="54"/>
      <c r="WIS242" s="8"/>
      <c r="WIT242" s="54"/>
      <c r="WIU242" s="8"/>
      <c r="WIV242" s="54"/>
      <c r="WIW242" s="8"/>
      <c r="WIX242" s="54"/>
      <c r="WIY242" s="8"/>
      <c r="WIZ242" s="54"/>
      <c r="WJA242" s="8"/>
      <c r="WJB242" s="54"/>
      <c r="WJC242" s="8"/>
      <c r="WJD242" s="54"/>
      <c r="WJE242" s="8"/>
      <c r="WJF242" s="54"/>
      <c r="WJG242" s="8"/>
      <c r="WJH242" s="54"/>
      <c r="WJI242" s="8"/>
      <c r="WJJ242" s="54"/>
      <c r="WJK242" s="8"/>
      <c r="WJL242" s="54"/>
      <c r="WJM242" s="8"/>
      <c r="WJN242" s="54"/>
      <c r="WJO242" s="8"/>
      <c r="WJP242" s="54"/>
      <c r="WJQ242" s="8"/>
      <c r="WJR242" s="54"/>
      <c r="WJS242" s="8"/>
      <c r="WJT242" s="54"/>
      <c r="WJU242" s="8"/>
      <c r="WJV242" s="54"/>
      <c r="WJW242" s="8"/>
      <c r="WJX242" s="54"/>
      <c r="WJY242" s="8"/>
      <c r="WJZ242" s="54"/>
      <c r="WKA242" s="8"/>
      <c r="WKB242" s="54"/>
      <c r="WKC242" s="8"/>
      <c r="WKD242" s="54"/>
      <c r="WKE242" s="8"/>
      <c r="WKF242" s="54"/>
      <c r="WKG242" s="8"/>
      <c r="WKH242" s="54"/>
      <c r="WKI242" s="8"/>
      <c r="WKJ242" s="54"/>
      <c r="WKK242" s="8"/>
      <c r="WKL242" s="54"/>
      <c r="WKM242" s="8"/>
      <c r="WKN242" s="54"/>
      <c r="WKO242" s="8"/>
      <c r="WKP242" s="54"/>
      <c r="WKQ242" s="8"/>
      <c r="WKR242" s="54"/>
      <c r="WKS242" s="8"/>
      <c r="WKT242" s="54"/>
      <c r="WKU242" s="8"/>
      <c r="WKV242" s="54"/>
      <c r="WKW242" s="8"/>
      <c r="WKX242" s="54"/>
      <c r="WKY242" s="8"/>
      <c r="WKZ242" s="54"/>
      <c r="WLA242" s="8"/>
      <c r="WLB242" s="54"/>
      <c r="WLC242" s="8"/>
      <c r="WLD242" s="54"/>
      <c r="WLE242" s="8"/>
      <c r="WLF242" s="54"/>
      <c r="WLG242" s="8"/>
      <c r="WLH242" s="54"/>
      <c r="WLI242" s="8"/>
      <c r="WLJ242" s="54"/>
      <c r="WLK242" s="8"/>
      <c r="WLL242" s="54"/>
      <c r="WLM242" s="8"/>
      <c r="WLN242" s="54"/>
      <c r="WLO242" s="8"/>
      <c r="WLP242" s="54"/>
      <c r="WLQ242" s="8"/>
      <c r="WLR242" s="54"/>
      <c r="WLS242" s="8"/>
      <c r="WLT242" s="54"/>
      <c r="WLU242" s="8"/>
      <c r="WLV242" s="54"/>
      <c r="WLW242" s="8"/>
      <c r="WLX242" s="54"/>
      <c r="WLY242" s="8"/>
      <c r="WLZ242" s="54"/>
      <c r="WMA242" s="8"/>
      <c r="WMB242" s="54"/>
      <c r="WMC242" s="8"/>
      <c r="WMD242" s="54"/>
      <c r="WME242" s="8"/>
      <c r="WMF242" s="54"/>
      <c r="WMG242" s="8"/>
      <c r="WMH242" s="54"/>
      <c r="WMI242" s="8"/>
      <c r="WMJ242" s="54"/>
      <c r="WMK242" s="8"/>
      <c r="WML242" s="54"/>
      <c r="WMM242" s="8"/>
      <c r="WMN242" s="54"/>
      <c r="WMO242" s="8"/>
      <c r="WMP242" s="54"/>
      <c r="WMQ242" s="8"/>
      <c r="WMR242" s="54"/>
      <c r="WMS242" s="8"/>
      <c r="WMT242" s="54"/>
      <c r="WMU242" s="8"/>
      <c r="WMV242" s="54"/>
      <c r="WMW242" s="8"/>
      <c r="WMX242" s="54"/>
      <c r="WMY242" s="8"/>
      <c r="WMZ242" s="54"/>
      <c r="WNA242" s="8"/>
      <c r="WNB242" s="54"/>
      <c r="WNC242" s="8"/>
      <c r="WND242" s="54"/>
      <c r="WNE242" s="8"/>
      <c r="WNF242" s="54"/>
      <c r="WNG242" s="8"/>
      <c r="WNH242" s="54"/>
      <c r="WNI242" s="8"/>
      <c r="WNJ242" s="54"/>
      <c r="WNK242" s="8"/>
      <c r="WNL242" s="54"/>
      <c r="WNM242" s="8"/>
      <c r="WNN242" s="54"/>
      <c r="WNO242" s="8"/>
      <c r="WNP242" s="54"/>
      <c r="WNQ242" s="8"/>
      <c r="WNR242" s="54"/>
      <c r="WNS242" s="8"/>
      <c r="WNT242" s="54"/>
      <c r="WNU242" s="8"/>
      <c r="WNV242" s="54"/>
      <c r="WNW242" s="8"/>
      <c r="WNX242" s="54"/>
      <c r="WNY242" s="8"/>
      <c r="WNZ242" s="54"/>
      <c r="WOA242" s="8"/>
      <c r="WOB242" s="54"/>
      <c r="WOC242" s="8"/>
      <c r="WOD242" s="54"/>
      <c r="WOE242" s="8"/>
      <c r="WOF242" s="54"/>
      <c r="WOG242" s="8"/>
      <c r="WOH242" s="54"/>
      <c r="WOI242" s="8"/>
      <c r="WOJ242" s="54"/>
      <c r="WOK242" s="8"/>
      <c r="WOL242" s="54"/>
      <c r="WOM242" s="8"/>
      <c r="WON242" s="54"/>
      <c r="WOO242" s="8"/>
      <c r="WOP242" s="54"/>
      <c r="WOQ242" s="8"/>
      <c r="WOR242" s="54"/>
      <c r="WOS242" s="8"/>
      <c r="WOT242" s="54"/>
      <c r="WOU242" s="8"/>
      <c r="WOV242" s="54"/>
      <c r="WOW242" s="8"/>
      <c r="WOX242" s="54"/>
      <c r="WOY242" s="8"/>
      <c r="WOZ242" s="54"/>
      <c r="WPA242" s="8"/>
      <c r="WPB242" s="54"/>
      <c r="WPC242" s="8"/>
      <c r="WPD242" s="54"/>
      <c r="WPE242" s="8"/>
      <c r="WPF242" s="54"/>
      <c r="WPG242" s="8"/>
      <c r="WPH242" s="54"/>
      <c r="WPI242" s="8"/>
      <c r="WPJ242" s="54"/>
      <c r="WPK242" s="8"/>
      <c r="WPL242" s="54"/>
      <c r="WPM242" s="8"/>
      <c r="WPN242" s="54"/>
      <c r="WPO242" s="8"/>
      <c r="WPP242" s="54"/>
      <c r="WPQ242" s="8"/>
      <c r="WPR242" s="54"/>
      <c r="WPS242" s="8"/>
      <c r="WPT242" s="54"/>
      <c r="WPU242" s="8"/>
      <c r="WPV242" s="54"/>
      <c r="WPW242" s="8"/>
      <c r="WPX242" s="54"/>
      <c r="WPY242" s="8"/>
      <c r="WPZ242" s="54"/>
      <c r="WQA242" s="8"/>
      <c r="WQB242" s="54"/>
      <c r="WQC242" s="8"/>
      <c r="WQD242" s="54"/>
      <c r="WQE242" s="8"/>
      <c r="WQF242" s="54"/>
      <c r="WQG242" s="8"/>
      <c r="WQH242" s="54"/>
      <c r="WQI242" s="8"/>
      <c r="WQJ242" s="54"/>
      <c r="WQK242" s="8"/>
      <c r="WQL242" s="54"/>
      <c r="WQM242" s="8"/>
      <c r="WQN242" s="54"/>
      <c r="WQO242" s="8"/>
      <c r="WQP242" s="54"/>
      <c r="WQQ242" s="8"/>
      <c r="WQR242" s="54"/>
      <c r="WQS242" s="8"/>
      <c r="WQT242" s="54"/>
      <c r="WQU242" s="8"/>
      <c r="WQV242" s="54"/>
      <c r="WQW242" s="8"/>
      <c r="WQX242" s="54"/>
      <c r="WQY242" s="8"/>
      <c r="WQZ242" s="54"/>
      <c r="WRA242" s="8"/>
      <c r="WRB242" s="54"/>
      <c r="WRC242" s="8"/>
      <c r="WRD242" s="54"/>
      <c r="WRE242" s="8"/>
      <c r="WRF242" s="54"/>
      <c r="WRG242" s="8"/>
      <c r="WRH242" s="54"/>
      <c r="WRI242" s="8"/>
      <c r="WRJ242" s="54"/>
      <c r="WRK242" s="8"/>
      <c r="WRL242" s="54"/>
      <c r="WRM242" s="8"/>
      <c r="WRN242" s="54"/>
      <c r="WRO242" s="8"/>
      <c r="WRP242" s="54"/>
      <c r="WRQ242" s="8"/>
      <c r="WRR242" s="54"/>
      <c r="WRS242" s="8"/>
      <c r="WRT242" s="54"/>
      <c r="WRU242" s="8"/>
      <c r="WRV242" s="54"/>
      <c r="WRW242" s="8"/>
      <c r="WRX242" s="54"/>
      <c r="WRY242" s="8"/>
      <c r="WRZ242" s="54"/>
      <c r="WSA242" s="8"/>
      <c r="WSB242" s="54"/>
      <c r="WSC242" s="8"/>
      <c r="WSD242" s="54"/>
      <c r="WSE242" s="8"/>
      <c r="WSF242" s="54"/>
      <c r="WSG242" s="8"/>
      <c r="WSH242" s="54"/>
      <c r="WSI242" s="8"/>
      <c r="WSJ242" s="54"/>
      <c r="WSK242" s="8"/>
      <c r="WSL242" s="54"/>
      <c r="WSM242" s="8"/>
      <c r="WSN242" s="54"/>
      <c r="WSO242" s="8"/>
      <c r="WSP242" s="54"/>
      <c r="WSQ242" s="8"/>
      <c r="WSR242" s="54"/>
      <c r="WSS242" s="8"/>
      <c r="WST242" s="54"/>
      <c r="WSU242" s="8"/>
      <c r="WSV242" s="54"/>
      <c r="WSW242" s="8"/>
      <c r="WSX242" s="54"/>
      <c r="WSY242" s="8"/>
      <c r="WSZ242" s="54"/>
      <c r="WTA242" s="8"/>
      <c r="WTB242" s="54"/>
      <c r="WTC242" s="8"/>
      <c r="WTD242" s="54"/>
      <c r="WTE242" s="8"/>
      <c r="WTF242" s="54"/>
      <c r="WTG242" s="8"/>
      <c r="WTH242" s="54"/>
      <c r="WTI242" s="8"/>
      <c r="WTJ242" s="54"/>
      <c r="WTK242" s="8"/>
      <c r="WTL242" s="54"/>
      <c r="WTM242" s="8"/>
      <c r="WTN242" s="54"/>
      <c r="WTO242" s="8"/>
      <c r="WTP242" s="54"/>
      <c r="WTQ242" s="8"/>
      <c r="WTR242" s="54"/>
      <c r="WTS242" s="8"/>
      <c r="WTT242" s="54"/>
      <c r="WTU242" s="8"/>
      <c r="WTV242" s="54"/>
      <c r="WTW242" s="8"/>
      <c r="WTX242" s="54"/>
      <c r="WTY242" s="8"/>
      <c r="WTZ242" s="54"/>
      <c r="WUA242" s="8"/>
      <c r="WUB242" s="54"/>
      <c r="WUC242" s="8"/>
      <c r="WUD242" s="54"/>
      <c r="WUE242" s="8"/>
      <c r="WUF242" s="54"/>
      <c r="WUG242" s="8"/>
      <c r="WUH242" s="54"/>
      <c r="WUI242" s="8"/>
      <c r="WUJ242" s="54"/>
      <c r="WUK242" s="8"/>
      <c r="WUL242" s="54"/>
      <c r="WUM242" s="8"/>
      <c r="WUN242" s="54"/>
      <c r="WUO242" s="8"/>
      <c r="WUP242" s="54"/>
      <c r="WUQ242" s="8"/>
      <c r="WUR242" s="54"/>
      <c r="WUS242" s="8"/>
      <c r="WUT242" s="54"/>
      <c r="WUU242" s="8"/>
      <c r="WUV242" s="54"/>
      <c r="WUW242" s="8"/>
      <c r="WUX242" s="54"/>
      <c r="WUY242" s="8"/>
      <c r="WUZ242" s="54"/>
      <c r="WVA242" s="8"/>
      <c r="WVB242" s="54"/>
      <c r="WVC242" s="8"/>
      <c r="WVD242" s="54"/>
      <c r="WVE242" s="8"/>
      <c r="WVF242" s="54"/>
      <c r="WVG242" s="8"/>
      <c r="WVH242" s="54"/>
      <c r="WVI242" s="8"/>
      <c r="WVJ242" s="54"/>
      <c r="WVK242" s="8"/>
      <c r="WVL242" s="54"/>
      <c r="WVM242" s="8"/>
      <c r="WVN242" s="54"/>
      <c r="WVO242" s="8"/>
      <c r="WVP242" s="54"/>
      <c r="WVQ242" s="8"/>
      <c r="WVR242" s="54"/>
      <c r="WVS242" s="8"/>
      <c r="WVT242" s="54"/>
      <c r="WVU242" s="8"/>
      <c r="WVV242" s="54"/>
      <c r="WVW242" s="8"/>
      <c r="WVX242" s="54"/>
      <c r="WVY242" s="8"/>
      <c r="WVZ242" s="54"/>
      <c r="WWA242" s="8"/>
      <c r="WWB242" s="54"/>
      <c r="WWC242" s="8"/>
      <c r="WWD242" s="54"/>
      <c r="WWE242" s="8"/>
      <c r="WWF242" s="54"/>
      <c r="WWG242" s="8"/>
      <c r="WWH242" s="54"/>
      <c r="WWI242" s="8"/>
      <c r="WWJ242" s="54"/>
      <c r="WWK242" s="8"/>
      <c r="WWL242" s="54"/>
      <c r="WWM242" s="8"/>
      <c r="WWN242" s="54"/>
      <c r="WWO242" s="8"/>
      <c r="WWP242" s="54"/>
      <c r="WWQ242" s="8"/>
      <c r="WWR242" s="54"/>
      <c r="WWS242" s="8"/>
      <c r="WWT242" s="54"/>
      <c r="WWU242" s="8"/>
      <c r="WWV242" s="54"/>
      <c r="WWW242" s="8"/>
      <c r="WWX242" s="54"/>
      <c r="WWY242" s="8"/>
      <c r="WWZ242" s="54"/>
      <c r="WXA242" s="8"/>
      <c r="WXB242" s="54"/>
      <c r="WXC242" s="8"/>
      <c r="WXD242" s="54"/>
      <c r="WXE242" s="8"/>
      <c r="WXF242" s="54"/>
      <c r="WXG242" s="8"/>
      <c r="WXH242" s="54"/>
      <c r="WXI242" s="8"/>
      <c r="WXJ242" s="54"/>
      <c r="WXK242" s="8"/>
      <c r="WXL242" s="54"/>
      <c r="WXM242" s="8"/>
      <c r="WXN242" s="54"/>
      <c r="WXO242" s="8"/>
      <c r="WXP242" s="54"/>
      <c r="WXQ242" s="8"/>
      <c r="WXR242" s="54"/>
      <c r="WXS242" s="8"/>
      <c r="WXT242" s="54"/>
      <c r="WXU242" s="8"/>
      <c r="WXV242" s="54"/>
      <c r="WXW242" s="8"/>
      <c r="WXX242" s="54"/>
      <c r="WXY242" s="8"/>
      <c r="WXZ242" s="54"/>
      <c r="WYA242" s="8"/>
      <c r="WYB242" s="54"/>
      <c r="WYC242" s="8"/>
      <c r="WYD242" s="54"/>
      <c r="WYE242" s="8"/>
      <c r="WYF242" s="54"/>
      <c r="WYG242" s="8"/>
      <c r="WYH242" s="54"/>
      <c r="WYI242" s="8"/>
      <c r="WYJ242" s="54"/>
      <c r="WYK242" s="8"/>
      <c r="WYL242" s="54"/>
      <c r="WYM242" s="8"/>
      <c r="WYN242" s="54"/>
      <c r="WYO242" s="8"/>
      <c r="WYP242" s="54"/>
      <c r="WYQ242" s="8"/>
      <c r="WYR242" s="54"/>
      <c r="WYS242" s="8"/>
      <c r="WYT242" s="54"/>
      <c r="WYU242" s="8"/>
      <c r="WYV242" s="54"/>
      <c r="WYW242" s="8"/>
      <c r="WYX242" s="54"/>
      <c r="WYY242" s="8"/>
      <c r="WYZ242" s="54"/>
      <c r="WZA242" s="8"/>
      <c r="WZB242" s="54"/>
      <c r="WZC242" s="8"/>
      <c r="WZD242" s="54"/>
      <c r="WZE242" s="8"/>
      <c r="WZF242" s="54"/>
      <c r="WZG242" s="8"/>
      <c r="WZH242" s="54"/>
      <c r="WZI242" s="8"/>
      <c r="WZJ242" s="54"/>
      <c r="WZK242" s="8"/>
      <c r="WZL242" s="54"/>
      <c r="WZM242" s="8"/>
      <c r="WZN242" s="54"/>
      <c r="WZO242" s="8"/>
      <c r="WZP242" s="54"/>
      <c r="WZQ242" s="8"/>
      <c r="WZR242" s="54"/>
      <c r="WZS242" s="8"/>
      <c r="WZT242" s="54"/>
      <c r="WZU242" s="8"/>
      <c r="WZV242" s="54"/>
      <c r="WZW242" s="8"/>
      <c r="WZX242" s="54"/>
      <c r="WZY242" s="8"/>
      <c r="WZZ242" s="54"/>
      <c r="XAA242" s="8"/>
      <c r="XAB242" s="54"/>
      <c r="XAC242" s="8"/>
      <c r="XAD242" s="54"/>
      <c r="XAE242" s="8"/>
      <c r="XAF242" s="54"/>
      <c r="XAG242" s="8"/>
      <c r="XAH242" s="54"/>
      <c r="XAI242" s="8"/>
      <c r="XAJ242" s="54"/>
      <c r="XAK242" s="8"/>
      <c r="XAL242" s="54"/>
      <c r="XAM242" s="8"/>
      <c r="XAN242" s="54"/>
      <c r="XAO242" s="8"/>
      <c r="XAP242" s="54"/>
      <c r="XAQ242" s="8"/>
      <c r="XAR242" s="54"/>
      <c r="XAS242" s="8"/>
      <c r="XAT242" s="54"/>
      <c r="XAU242" s="8"/>
      <c r="XAV242" s="54"/>
      <c r="XAW242" s="8"/>
      <c r="XAX242" s="54"/>
      <c r="XAY242" s="8"/>
      <c r="XAZ242" s="54"/>
      <c r="XBA242" s="8"/>
      <c r="XBB242" s="54"/>
      <c r="XBC242" s="8"/>
      <c r="XBD242" s="54"/>
      <c r="XBE242" s="8"/>
      <c r="XBF242" s="54"/>
      <c r="XBG242" s="8"/>
      <c r="XBH242" s="54"/>
      <c r="XBI242" s="8"/>
      <c r="XBJ242" s="54"/>
      <c r="XBK242" s="8"/>
      <c r="XBL242" s="54"/>
      <c r="XBM242" s="8"/>
      <c r="XBN242" s="54"/>
      <c r="XBO242" s="8"/>
      <c r="XBP242" s="54"/>
      <c r="XBQ242" s="8"/>
      <c r="XBR242" s="54"/>
      <c r="XBS242" s="8"/>
      <c r="XBT242" s="54"/>
      <c r="XBU242" s="8"/>
      <c r="XBV242" s="54"/>
      <c r="XBW242" s="8"/>
      <c r="XBX242" s="54"/>
      <c r="XBY242" s="8"/>
      <c r="XBZ242" s="54"/>
      <c r="XCA242" s="8"/>
      <c r="XCB242" s="54"/>
      <c r="XCC242" s="8"/>
      <c r="XCD242" s="54"/>
      <c r="XCE242" s="8"/>
      <c r="XCF242" s="54"/>
      <c r="XCG242" s="8"/>
      <c r="XCH242" s="54"/>
      <c r="XCI242" s="8"/>
      <c r="XCJ242" s="54"/>
      <c r="XCK242" s="8"/>
      <c r="XCL242" s="54"/>
      <c r="XCM242" s="8"/>
      <c r="XCN242" s="54"/>
      <c r="XCO242" s="8"/>
      <c r="XCP242" s="54"/>
      <c r="XCQ242" s="8"/>
      <c r="XCR242" s="54"/>
      <c r="XCS242" s="8"/>
      <c r="XCT242" s="54"/>
      <c r="XCU242" s="8"/>
      <c r="XCV242" s="54"/>
      <c r="XCW242" s="8"/>
      <c r="XCX242" s="54"/>
      <c r="XCY242" s="8"/>
      <c r="XCZ242" s="54"/>
      <c r="XDA242" s="8"/>
      <c r="XDB242" s="54"/>
      <c r="XDC242" s="8"/>
      <c r="XDD242" s="54"/>
      <c r="XDE242" s="8"/>
      <c r="XDF242" s="54"/>
      <c r="XDG242" s="8"/>
      <c r="XDH242" s="54"/>
      <c r="XDI242" s="8"/>
      <c r="XDJ242" s="54"/>
      <c r="XDK242" s="8"/>
      <c r="XDL242" s="54"/>
      <c r="XDM242" s="8"/>
      <c r="XDN242" s="54"/>
      <c r="XDO242" s="8"/>
      <c r="XDP242" s="54"/>
      <c r="XDQ242" s="8"/>
      <c r="XDR242" s="54"/>
      <c r="XDS242" s="8"/>
      <c r="XDT242" s="54"/>
      <c r="XDU242" s="8"/>
      <c r="XDV242" s="54"/>
      <c r="XDW242" s="8"/>
      <c r="XDX242" s="54"/>
      <c r="XDY242" s="8"/>
      <c r="XDZ242" s="54"/>
      <c r="XEA242" s="8"/>
      <c r="XEB242" s="54"/>
      <c r="XEC242" s="8"/>
      <c r="XED242" s="54"/>
      <c r="XEE242" s="8"/>
      <c r="XEF242" s="54"/>
      <c r="XEG242" s="8"/>
      <c r="XEH242" s="54"/>
      <c r="XEI242" s="8"/>
      <c r="XEJ242" s="54"/>
      <c r="XEK242" s="8"/>
      <c r="XEL242" s="54"/>
      <c r="XEM242" s="8"/>
      <c r="XEN242" s="54"/>
      <c r="XEO242" s="8"/>
      <c r="XEP242" s="54"/>
      <c r="XEQ242" s="8"/>
      <c r="XER242" s="54"/>
      <c r="XES242" s="8"/>
      <c r="XET242" s="54"/>
      <c r="XEU242" s="8"/>
      <c r="XEV242" s="54"/>
      <c r="XEW242" s="8"/>
      <c r="XEX242" s="54"/>
      <c r="XEY242" s="8"/>
      <c r="XEZ242" s="54"/>
      <c r="XFA242" s="8"/>
      <c r="XFB242" s="54"/>
    </row>
    <row r="243" spans="1:16382" ht="13">
      <c r="A243" s="8"/>
      <c r="B243" s="54"/>
    </row>
    <row r="244" spans="1:16382" ht="13">
      <c r="A244" s="8"/>
      <c r="B244" s="54"/>
    </row>
    <row r="245" spans="1:16382" ht="13">
      <c r="A245" s="8"/>
      <c r="B245" s="54"/>
    </row>
    <row r="246" spans="1:16382" ht="13">
      <c r="A246" s="8"/>
      <c r="B246" s="54"/>
    </row>
    <row r="247" spans="1:16382" ht="13">
      <c r="A247" s="8"/>
      <c r="B247" s="54"/>
    </row>
    <row r="248" spans="1:16382" ht="13">
      <c r="A248" s="8"/>
      <c r="B248" s="54"/>
    </row>
    <row r="249" spans="1:16382" ht="13">
      <c r="A249" s="8"/>
      <c r="B249" s="54"/>
    </row>
    <row r="250" spans="1:16382" ht="13">
      <c r="A250" s="8"/>
      <c r="B250" s="54"/>
    </row>
    <row r="251" spans="1:16382" ht="13">
      <c r="A251" s="8"/>
      <c r="B251" s="54"/>
    </row>
    <row r="252" spans="1:16382" ht="13">
      <c r="A252" s="8"/>
      <c r="B252" s="54"/>
    </row>
    <row r="253" spans="1:16382" ht="13">
      <c r="A253" s="8"/>
      <c r="B253" s="54"/>
    </row>
    <row r="254" spans="1:16382" ht="13">
      <c r="A254" s="8"/>
      <c r="B254" s="54"/>
    </row>
    <row r="255" spans="1:16382" ht="13">
      <c r="A255" s="8"/>
      <c r="B255" s="54"/>
    </row>
    <row r="256" spans="1:16382" ht="13">
      <c r="A256" s="8"/>
      <c r="B256" s="54"/>
    </row>
    <row r="257" spans="1:2" ht="13">
      <c r="A257" s="8"/>
      <c r="B257" s="54"/>
    </row>
    <row r="258" spans="1:2" ht="13">
      <c r="A258" s="8"/>
      <c r="B258" s="54"/>
    </row>
    <row r="259" spans="1:2" ht="13">
      <c r="A259" s="8"/>
      <c r="B259" s="54"/>
    </row>
    <row r="260" spans="1:2" ht="13">
      <c r="A260" s="8"/>
      <c r="B260" s="54"/>
    </row>
    <row r="261" spans="1:2" ht="13">
      <c r="A261" s="8"/>
      <c r="B261" s="54"/>
    </row>
    <row r="262" spans="1:2" ht="13">
      <c r="A262" s="8"/>
      <c r="B262" s="54"/>
    </row>
    <row r="263" spans="1:2" ht="13">
      <c r="A263" s="8"/>
      <c r="B263" s="54"/>
    </row>
    <row r="264" spans="1:2" ht="13">
      <c r="A264" s="8"/>
      <c r="B264" s="54"/>
    </row>
    <row r="265" spans="1:2" ht="13">
      <c r="A265" s="8"/>
      <c r="B265" s="54"/>
    </row>
    <row r="266" spans="1:2" ht="13">
      <c r="A266" s="8"/>
    </row>
    <row r="267" spans="1:2" ht="13">
      <c r="A267" s="8"/>
    </row>
    <row r="268" spans="1:2" ht="13">
      <c r="A268" s="8"/>
    </row>
    <row r="269" spans="1:2" ht="13">
      <c r="A269" s="8"/>
    </row>
    <row r="270" spans="1:2" ht="13">
      <c r="A270" s="8"/>
    </row>
    <row r="271" spans="1:2" ht="13">
      <c r="A271" s="8"/>
    </row>
    <row r="272" spans="1:2" ht="13">
      <c r="A272" s="8"/>
    </row>
    <row r="273" spans="1:1" ht="13">
      <c r="A273" s="8"/>
    </row>
    <row r="274" spans="1:1" ht="13">
      <c r="A274" s="8"/>
    </row>
    <row r="275" spans="1:1" ht="13">
      <c r="A275" s="8"/>
    </row>
    <row r="276" spans="1:1" ht="13">
      <c r="A276" s="8"/>
    </row>
    <row r="277" spans="1:1" ht="13">
      <c r="A277" s="8"/>
    </row>
    <row r="278" spans="1:1" ht="13">
      <c r="A278" s="8"/>
    </row>
    <row r="279" spans="1:1" ht="13">
      <c r="A279" s="8"/>
    </row>
    <row r="280" spans="1:1" ht="13">
      <c r="A280" s="8"/>
    </row>
    <row r="281" spans="1:1" ht="13">
      <c r="A281" s="8"/>
    </row>
    <row r="282" spans="1:1" ht="13">
      <c r="A282" s="8"/>
    </row>
    <row r="283" spans="1:1" ht="13">
      <c r="A283" s="8"/>
    </row>
    <row r="284" spans="1:1" ht="13">
      <c r="A284" s="8"/>
    </row>
    <row r="285" spans="1:1" ht="13">
      <c r="A285" s="8"/>
    </row>
    <row r="286" spans="1:1" ht="13">
      <c r="A286" s="8"/>
    </row>
    <row r="287" spans="1:1" ht="13">
      <c r="A287" s="8"/>
    </row>
    <row r="288" spans="1:1" ht="13">
      <c r="A288" s="8"/>
    </row>
    <row r="289" spans="1:1" ht="13">
      <c r="A289" s="8"/>
    </row>
    <row r="290" spans="1:1" ht="13">
      <c r="A290" s="8"/>
    </row>
    <row r="291" spans="1:1" ht="13">
      <c r="A291" s="8"/>
    </row>
    <row r="292" spans="1:1" ht="13">
      <c r="A292" s="8"/>
    </row>
    <row r="293" spans="1:1" ht="13">
      <c r="A293" s="8"/>
    </row>
    <row r="294" spans="1:1" ht="13">
      <c r="A294" s="8"/>
    </row>
    <row r="295" spans="1:1" ht="13">
      <c r="A295" s="8"/>
    </row>
    <row r="296" spans="1:1" ht="13">
      <c r="A296" s="8"/>
    </row>
    <row r="297" spans="1:1" ht="13">
      <c r="A297" s="8"/>
    </row>
    <row r="298" spans="1:1" ht="13">
      <c r="A298" s="8"/>
    </row>
    <row r="299" spans="1:1" ht="13">
      <c r="A299" s="8"/>
    </row>
    <row r="300" spans="1:1" ht="13">
      <c r="A300" s="8"/>
    </row>
    <row r="301" spans="1:1" ht="13">
      <c r="A301" s="8"/>
    </row>
    <row r="302" spans="1:1" ht="13">
      <c r="A302" s="8"/>
    </row>
    <row r="303" spans="1:1" ht="13">
      <c r="A303" s="8"/>
    </row>
    <row r="304" spans="1:1" ht="13">
      <c r="A304" s="8"/>
    </row>
    <row r="305" spans="1:1" ht="13">
      <c r="A305" s="8"/>
    </row>
    <row r="306" spans="1:1" ht="13">
      <c r="A306" s="8"/>
    </row>
    <row r="307" spans="1:1" ht="13">
      <c r="A307" s="8"/>
    </row>
    <row r="308" spans="1:1" ht="13">
      <c r="A308" s="8"/>
    </row>
    <row r="309" spans="1:1" ht="13">
      <c r="A309" s="8"/>
    </row>
    <row r="310" spans="1:1" ht="13">
      <c r="A310" s="8"/>
    </row>
    <row r="311" spans="1:1" ht="13">
      <c r="A311" s="8"/>
    </row>
    <row r="312" spans="1:1" ht="13">
      <c r="A312" s="8"/>
    </row>
    <row r="313" spans="1:1" ht="13">
      <c r="A313" s="8"/>
    </row>
    <row r="314" spans="1:1" ht="13">
      <c r="A314" s="8"/>
    </row>
    <row r="315" spans="1:1" ht="13">
      <c r="A315" s="8"/>
    </row>
    <row r="316" spans="1:1" ht="13">
      <c r="A316" s="8"/>
    </row>
    <row r="317" spans="1:1" ht="13">
      <c r="A317" s="8"/>
    </row>
    <row r="318" spans="1:1" ht="13">
      <c r="A318" s="8"/>
    </row>
    <row r="319" spans="1:1" ht="13">
      <c r="A319" s="8"/>
    </row>
    <row r="320" spans="1:1" ht="13">
      <c r="A320" s="8"/>
    </row>
    <row r="321" spans="1:1" ht="13">
      <c r="A321" s="8"/>
    </row>
    <row r="322" spans="1:1" ht="13">
      <c r="A322" s="8"/>
    </row>
    <row r="323" spans="1:1" ht="13">
      <c r="A323" s="8"/>
    </row>
    <row r="324" spans="1:1" ht="13">
      <c r="A324" s="8"/>
    </row>
    <row r="325" spans="1:1" ht="13">
      <c r="A325" s="8"/>
    </row>
    <row r="326" spans="1:1" ht="13">
      <c r="A326" s="8"/>
    </row>
    <row r="327" spans="1:1" ht="13">
      <c r="A327" s="8"/>
    </row>
    <row r="328" spans="1:1" ht="13">
      <c r="A328" s="8"/>
    </row>
    <row r="329" spans="1:1" ht="13">
      <c r="A329" s="8"/>
    </row>
    <row r="330" spans="1:1" ht="13">
      <c r="A330" s="8"/>
    </row>
    <row r="331" spans="1:1" ht="13">
      <c r="A331" s="8"/>
    </row>
    <row r="332" spans="1:1" ht="13">
      <c r="A332" s="8"/>
    </row>
    <row r="333" spans="1:1" ht="13">
      <c r="A333" s="8"/>
    </row>
    <row r="334" spans="1:1" ht="13">
      <c r="A334" s="8"/>
    </row>
    <row r="335" spans="1:1" ht="13">
      <c r="A335" s="8"/>
    </row>
    <row r="336" spans="1:1" ht="13">
      <c r="A336" s="8"/>
    </row>
    <row r="337" spans="1:1" ht="13">
      <c r="A337" s="8"/>
    </row>
    <row r="338" spans="1:1" ht="13">
      <c r="A338" s="8"/>
    </row>
    <row r="339" spans="1:1" ht="13">
      <c r="A339" s="8"/>
    </row>
    <row r="340" spans="1:1" ht="13">
      <c r="A340" s="8"/>
    </row>
    <row r="341" spans="1:1" ht="13">
      <c r="A341" s="8"/>
    </row>
    <row r="342" spans="1:1" ht="13">
      <c r="A342" s="8"/>
    </row>
    <row r="343" spans="1:1" ht="13">
      <c r="A343" s="8"/>
    </row>
    <row r="344" spans="1:1" ht="13">
      <c r="A344" s="8"/>
    </row>
    <row r="345" spans="1:1" ht="13">
      <c r="A345" s="8"/>
    </row>
    <row r="346" spans="1:1" ht="13">
      <c r="A346" s="8"/>
    </row>
    <row r="347" spans="1:1" ht="13">
      <c r="A347" s="8"/>
    </row>
    <row r="348" spans="1:1" ht="13">
      <c r="A348" s="8"/>
    </row>
    <row r="349" spans="1:1" ht="13">
      <c r="A349" s="8"/>
    </row>
    <row r="350" spans="1:1" ht="13">
      <c r="A350" s="8"/>
    </row>
    <row r="351" spans="1:1" ht="13">
      <c r="A351" s="8"/>
    </row>
    <row r="352" spans="1:1" ht="13">
      <c r="A352" s="8"/>
    </row>
    <row r="353" spans="1:26" ht="13">
      <c r="A353" s="8"/>
    </row>
    <row r="354" spans="1:26" ht="13">
      <c r="A354" s="8"/>
    </row>
    <row r="355" spans="1:26" ht="13">
      <c r="A355" s="8"/>
    </row>
    <row r="356" spans="1:26" ht="13">
      <c r="A356" s="8"/>
    </row>
    <row r="357" spans="1:26" ht="13">
      <c r="A357" s="8"/>
    </row>
    <row r="358" spans="1:26" ht="13">
      <c r="A358" s="8"/>
    </row>
    <row r="359" spans="1:26" ht="13">
      <c r="A359" s="8"/>
    </row>
    <row r="360" spans="1:26" ht="13">
      <c r="A360" s="8"/>
    </row>
    <row r="361" spans="1:26" ht="13">
      <c r="A361" s="8"/>
    </row>
    <row r="362" spans="1:26">
      <c r="E362" s="12"/>
      <c r="F362" s="12"/>
      <c r="G362" s="12"/>
      <c r="H362" s="12"/>
      <c r="I362" s="12"/>
      <c r="J362" s="12"/>
      <c r="K362" s="12"/>
      <c r="L362" s="12"/>
      <c r="M362" s="12"/>
      <c r="N362" s="12"/>
      <c r="O362" s="12"/>
      <c r="P362" s="12"/>
      <c r="Q362" s="12"/>
      <c r="R362" s="12"/>
      <c r="S362" s="12"/>
      <c r="T362" s="12"/>
      <c r="U362" s="12"/>
      <c r="V362" s="12"/>
      <c r="W362" s="12"/>
      <c r="X362" s="12"/>
      <c r="Y362" s="12"/>
      <c r="Z362" s="12"/>
    </row>
    <row r="363" spans="1:26" ht="13">
      <c r="A363" s="8"/>
    </row>
    <row r="364" spans="1:26" ht="13">
      <c r="A364" s="8"/>
    </row>
    <row r="365" spans="1:26" ht="13">
      <c r="A365" s="8"/>
    </row>
    <row r="366" spans="1:26" ht="13">
      <c r="A366" s="8"/>
    </row>
    <row r="367" spans="1:26" ht="13">
      <c r="A367" s="8"/>
    </row>
    <row r="368" spans="1:26" ht="13">
      <c r="A368" s="8"/>
    </row>
    <row r="369" spans="1:1" ht="13">
      <c r="A369" s="8"/>
    </row>
    <row r="370" spans="1:1" ht="13">
      <c r="A370" s="8"/>
    </row>
    <row r="371" spans="1:1" ht="13">
      <c r="A371" s="8"/>
    </row>
    <row r="372" spans="1:1" ht="13">
      <c r="A372" s="8"/>
    </row>
    <row r="373" spans="1:1" ht="13">
      <c r="A373" s="8"/>
    </row>
    <row r="374" spans="1:1" ht="13">
      <c r="A374" s="8"/>
    </row>
    <row r="375" spans="1:1" ht="13">
      <c r="A375" s="8"/>
    </row>
    <row r="376" spans="1:1" ht="13">
      <c r="A376" s="8"/>
    </row>
    <row r="377" spans="1:1" ht="13">
      <c r="A377" s="8"/>
    </row>
    <row r="378" spans="1:1" ht="13">
      <c r="A378" s="8"/>
    </row>
    <row r="379" spans="1:1" ht="13">
      <c r="A379" s="8"/>
    </row>
    <row r="380" spans="1:1" ht="13">
      <c r="A380" s="8"/>
    </row>
    <row r="381" spans="1:1" ht="13">
      <c r="A381" s="8"/>
    </row>
    <row r="382" spans="1:1" ht="13">
      <c r="A382" s="8"/>
    </row>
    <row r="383" spans="1:1" ht="13">
      <c r="A383" s="8"/>
    </row>
    <row r="384" spans="1:1" ht="13">
      <c r="A384" s="8"/>
    </row>
    <row r="385" spans="1:1" ht="13">
      <c r="A385" s="8"/>
    </row>
    <row r="386" spans="1:1" ht="13">
      <c r="A386" s="8"/>
    </row>
    <row r="387" spans="1:1" ht="13">
      <c r="A387" s="8"/>
    </row>
    <row r="388" spans="1:1" ht="13">
      <c r="A388" s="8"/>
    </row>
    <row r="389" spans="1:1" ht="13">
      <c r="A389" s="8"/>
    </row>
    <row r="390" spans="1:1" ht="13">
      <c r="A390" s="8"/>
    </row>
    <row r="391" spans="1:1" ht="13">
      <c r="A391" s="8"/>
    </row>
    <row r="392" spans="1:1" ht="13">
      <c r="A392" s="8"/>
    </row>
    <row r="393" spans="1:1" ht="13">
      <c r="A393" s="8"/>
    </row>
    <row r="394" spans="1:1" ht="13">
      <c r="A394" s="8"/>
    </row>
    <row r="395" spans="1:1" ht="13">
      <c r="A395" s="8"/>
    </row>
    <row r="396" spans="1:1" ht="13">
      <c r="A396" s="8"/>
    </row>
    <row r="397" spans="1:1" ht="13">
      <c r="A397" s="8"/>
    </row>
    <row r="398" spans="1:1" ht="13">
      <c r="A398" s="8"/>
    </row>
    <row r="399" spans="1:1" ht="13">
      <c r="A399" s="8"/>
    </row>
    <row r="400" spans="1:1" ht="13">
      <c r="A400" s="8"/>
    </row>
    <row r="401" spans="1:2" ht="13">
      <c r="A401" s="8"/>
    </row>
    <row r="402" spans="1:2" ht="13">
      <c r="A402" s="8"/>
    </row>
    <row r="403" spans="1:2" ht="13">
      <c r="A403" s="8"/>
    </row>
    <row r="404" spans="1:2" ht="13">
      <c r="A404" s="8"/>
    </row>
    <row r="405" spans="1:2" ht="13">
      <c r="A405" s="8"/>
    </row>
    <row r="406" spans="1:2" ht="13">
      <c r="A406" s="8"/>
    </row>
    <row r="407" spans="1:2" ht="13">
      <c r="A407" s="8"/>
    </row>
    <row r="408" spans="1:2" ht="13">
      <c r="A408" s="8"/>
    </row>
    <row r="409" spans="1:2" ht="13">
      <c r="A409" s="8"/>
    </row>
    <row r="410" spans="1:2" ht="13">
      <c r="A410" s="8"/>
    </row>
    <row r="411" spans="1:2" ht="13">
      <c r="A411" s="8"/>
    </row>
    <row r="412" spans="1:2" ht="13">
      <c r="A412" s="8"/>
    </row>
    <row r="413" spans="1:2" ht="13">
      <c r="A413" s="8"/>
      <c r="B413" s="9"/>
    </row>
    <row r="414" spans="1:2" ht="13">
      <c r="A414" s="8"/>
      <c r="B414" s="9"/>
    </row>
    <row r="415" spans="1:2" ht="13">
      <c r="A415" s="8"/>
      <c r="B415" s="9"/>
    </row>
    <row r="416" spans="1:2" ht="13">
      <c r="A416" s="8"/>
    </row>
    <row r="417" spans="1:1" ht="13">
      <c r="A417" s="8"/>
    </row>
    <row r="418" spans="1:1" ht="13">
      <c r="A418" s="8"/>
    </row>
    <row r="419" spans="1:1" ht="13">
      <c r="A419" s="8"/>
    </row>
    <row r="420" spans="1:1" ht="13">
      <c r="A420" s="8"/>
    </row>
    <row r="421" spans="1:1" ht="13">
      <c r="A421" s="8"/>
    </row>
    <row r="422" spans="1:1" ht="13">
      <c r="A422" s="8"/>
    </row>
    <row r="423" spans="1:1" ht="13">
      <c r="A423" s="8"/>
    </row>
    <row r="424" spans="1:1" ht="13">
      <c r="A424" s="8"/>
    </row>
    <row r="425" spans="1:1" ht="13">
      <c r="A425" s="8"/>
    </row>
    <row r="426" spans="1:1" ht="13">
      <c r="A426" s="8"/>
    </row>
    <row r="427" spans="1:1" ht="13">
      <c r="A427" s="8"/>
    </row>
    <row r="428" spans="1:1" ht="13">
      <c r="A428" s="8"/>
    </row>
    <row r="429" spans="1:1" ht="13">
      <c r="A429" s="8"/>
    </row>
    <row r="430" spans="1:1" ht="13">
      <c r="A430" s="8"/>
    </row>
    <row r="431" spans="1:1" ht="13">
      <c r="A431" s="8"/>
    </row>
    <row r="432" spans="1:1" ht="13">
      <c r="A432" s="8"/>
    </row>
    <row r="433" spans="1:2" ht="13">
      <c r="A433" s="8"/>
    </row>
    <row r="434" spans="1:2" ht="13">
      <c r="A434" s="8"/>
    </row>
    <row r="435" spans="1:2" ht="13">
      <c r="A435" s="8"/>
    </row>
    <row r="436" spans="1:2" ht="13">
      <c r="A436" s="8"/>
    </row>
    <row r="437" spans="1:2" ht="13">
      <c r="A437" s="8"/>
    </row>
    <row r="438" spans="1:2" ht="13">
      <c r="A438" s="8"/>
    </row>
    <row r="439" spans="1:2" ht="13">
      <c r="A439" s="8"/>
    </row>
    <row r="440" spans="1:2" ht="13">
      <c r="A440" s="8"/>
    </row>
    <row r="441" spans="1:2" ht="13">
      <c r="A441" s="8"/>
    </row>
    <row r="442" spans="1:2" ht="13">
      <c r="A442" s="10"/>
    </row>
    <row r="443" spans="1:2" ht="13">
      <c r="A443" s="10"/>
    </row>
    <row r="444" spans="1:2" ht="13">
      <c r="A444" s="8"/>
    </row>
    <row r="445" spans="1:2" ht="13">
      <c r="A445" s="10"/>
    </row>
    <row r="446" spans="1:2" ht="13">
      <c r="A446" s="10"/>
    </row>
    <row r="447" spans="1:2" ht="13">
      <c r="A447" s="10"/>
      <c r="B447" s="11"/>
    </row>
    <row r="448" spans="1:2" ht="13">
      <c r="A448" s="8"/>
    </row>
    <row r="449" spans="1:2">
      <c r="A449" s="12"/>
    </row>
    <row r="450" spans="1:2">
      <c r="A450" s="12"/>
    </row>
    <row r="453" spans="1:2" ht="13">
      <c r="A453" s="5"/>
      <c r="B453" s="5"/>
    </row>
  </sheetData>
  <mergeCells count="1">
    <mergeCell ref="A1:A4"/>
  </mergeCells>
  <pageMargins left="0.7" right="0.7" top="0.75" bottom="0.75" header="0.3" footer="0.3"/>
  <pageSetup orientation="portrait" r:id="rId1"/>
  <headerFooter>
    <oddFooter>&amp;C&amp;1#&amp;"Arial"&amp;8&amp;K001753Nokia internal use</oddFooter>
  </headerFooter>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6"/>
  <dimension ref="A1:F31"/>
  <sheetViews>
    <sheetView zoomScale="85" zoomScaleNormal="85" workbookViewId="0">
      <selection activeCell="D29" sqref="D29"/>
    </sheetView>
  </sheetViews>
  <sheetFormatPr defaultColWidth="8.81640625" defaultRowHeight="12.5"/>
  <cols>
    <col min="1" max="1" width="40.1796875" style="4" bestFit="1" customWidth="1"/>
    <col min="2" max="2" width="57" style="4" customWidth="1"/>
    <col min="3" max="3" width="13.81640625" style="4" bestFit="1" customWidth="1"/>
    <col min="4" max="4" width="25.1796875" style="4" customWidth="1"/>
    <col min="5" max="5" width="59" style="4" customWidth="1"/>
    <col min="6" max="16384" width="8.81640625" style="4"/>
  </cols>
  <sheetData>
    <row r="1" spans="1:6" ht="13">
      <c r="A1" s="156" t="s">
        <v>15</v>
      </c>
      <c r="B1" s="156"/>
      <c r="C1" s="156"/>
      <c r="D1" s="156"/>
      <c r="E1" s="156"/>
      <c r="F1" s="157"/>
    </row>
    <row r="4" spans="1:6" ht="13">
      <c r="A4" s="21" t="s">
        <v>16</v>
      </c>
      <c r="B4" s="21" t="s">
        <v>17</v>
      </c>
      <c r="D4" s="21" t="s">
        <v>18</v>
      </c>
      <c r="E4" s="21" t="s">
        <v>17</v>
      </c>
    </row>
    <row r="5" spans="1:6" ht="44.15" customHeight="1">
      <c r="A5" s="13" t="s">
        <v>19</v>
      </c>
      <c r="B5" s="13" t="s">
        <v>20</v>
      </c>
      <c r="C5" s="13"/>
      <c r="D5" s="13" t="s">
        <v>21</v>
      </c>
      <c r="E5" s="13" t="s">
        <v>22</v>
      </c>
    </row>
    <row r="6" spans="1:6" ht="50.15" customHeight="1">
      <c r="A6" s="13" t="s">
        <v>23</v>
      </c>
      <c r="B6" s="13" t="s">
        <v>24</v>
      </c>
      <c r="C6" s="13"/>
      <c r="D6" s="13" t="s">
        <v>25</v>
      </c>
      <c r="E6" s="13" t="s">
        <v>26</v>
      </c>
    </row>
    <row r="7" spans="1:6" ht="29.15" customHeight="1">
      <c r="A7" s="13" t="s">
        <v>27</v>
      </c>
      <c r="B7" s="13" t="s">
        <v>28</v>
      </c>
      <c r="C7" s="13"/>
      <c r="D7" s="13"/>
      <c r="E7" s="13" t="s">
        <v>29</v>
      </c>
    </row>
    <row r="8" spans="1:6" ht="56.15" customHeight="1">
      <c r="A8" s="13" t="s">
        <v>30</v>
      </c>
      <c r="B8" s="13" t="s">
        <v>31</v>
      </c>
      <c r="C8" s="13"/>
      <c r="D8" s="13" t="s">
        <v>32</v>
      </c>
      <c r="E8" s="13" t="s">
        <v>33</v>
      </c>
    </row>
    <row r="9" spans="1:6" ht="43.4" customHeight="1">
      <c r="A9" s="13" t="s">
        <v>34</v>
      </c>
      <c r="B9" s="13" t="s">
        <v>35</v>
      </c>
      <c r="C9" s="13"/>
      <c r="D9" s="13" t="s">
        <v>36</v>
      </c>
      <c r="E9" s="13" t="s">
        <v>37</v>
      </c>
    </row>
    <row r="10" spans="1:6" ht="31.4" customHeight="1">
      <c r="A10" s="13" t="s">
        <v>38</v>
      </c>
      <c r="B10" s="13" t="s">
        <v>39</v>
      </c>
      <c r="C10" s="13"/>
      <c r="D10" s="13" t="s">
        <v>40</v>
      </c>
      <c r="E10" s="13" t="s">
        <v>41</v>
      </c>
    </row>
    <row r="11" spans="1:6" ht="25">
      <c r="A11" s="13" t="s">
        <v>42</v>
      </c>
      <c r="B11" s="13" t="s">
        <v>43</v>
      </c>
      <c r="C11" s="13"/>
      <c r="D11" s="13" t="s">
        <v>44</v>
      </c>
      <c r="E11" s="13" t="s">
        <v>45</v>
      </c>
    </row>
    <row r="12" spans="1:6" ht="42" customHeight="1">
      <c r="A12" s="13" t="s">
        <v>46</v>
      </c>
      <c r="B12" s="13" t="s">
        <v>47</v>
      </c>
      <c r="C12" s="13"/>
      <c r="D12" s="13" t="s">
        <v>48</v>
      </c>
      <c r="E12" s="13" t="s">
        <v>49</v>
      </c>
    </row>
    <row r="13" spans="1:6" ht="67" customHeight="1">
      <c r="A13" s="13" t="s">
        <v>50</v>
      </c>
      <c r="B13" s="13" t="s">
        <v>51</v>
      </c>
      <c r="C13" s="13"/>
      <c r="D13" s="13" t="s">
        <v>52</v>
      </c>
      <c r="E13" s="73" t="s">
        <v>53</v>
      </c>
    </row>
    <row r="14" spans="1:6" ht="29.15" customHeight="1">
      <c r="A14" s="13" t="s">
        <v>54</v>
      </c>
      <c r="B14" s="13" t="s">
        <v>55</v>
      </c>
      <c r="C14" s="13"/>
      <c r="D14" s="13" t="s">
        <v>56</v>
      </c>
      <c r="E14" s="13" t="s">
        <v>57</v>
      </c>
    </row>
    <row r="15" spans="1:6" ht="115.5" customHeight="1">
      <c r="A15" s="13" t="s">
        <v>58</v>
      </c>
      <c r="B15" s="13" t="s">
        <v>59</v>
      </c>
      <c r="C15" s="13"/>
      <c r="D15" s="13" t="s">
        <v>36</v>
      </c>
      <c r="E15" s="73" t="s">
        <v>60</v>
      </c>
    </row>
    <row r="16" spans="1:6" ht="126" customHeight="1">
      <c r="A16" s="13" t="s">
        <v>61</v>
      </c>
      <c r="B16" s="13" t="s">
        <v>62</v>
      </c>
      <c r="C16" s="13"/>
      <c r="D16" s="13" t="s">
        <v>63</v>
      </c>
      <c r="E16" s="13" t="s">
        <v>64</v>
      </c>
    </row>
    <row r="17" spans="1:5" ht="44.9" customHeight="1">
      <c r="A17" s="13" t="s">
        <v>65</v>
      </c>
      <c r="B17" s="13" t="s">
        <v>66</v>
      </c>
      <c r="C17" s="13"/>
      <c r="D17" s="13" t="s">
        <v>67</v>
      </c>
      <c r="E17" s="13" t="s">
        <v>68</v>
      </c>
    </row>
    <row r="18" spans="1:5" ht="50">
      <c r="A18" s="13" t="s">
        <v>69</v>
      </c>
      <c r="B18" s="13" t="s">
        <v>70</v>
      </c>
      <c r="C18" s="13"/>
      <c r="D18" s="13" t="s">
        <v>71</v>
      </c>
      <c r="E18" s="13" t="s">
        <v>72</v>
      </c>
    </row>
    <row r="19" spans="1:5" ht="62.5">
      <c r="A19" s="13" t="s">
        <v>73</v>
      </c>
      <c r="B19" s="13" t="s">
        <v>74</v>
      </c>
      <c r="C19" s="13"/>
      <c r="D19" s="22" t="s">
        <v>75</v>
      </c>
      <c r="E19" s="13" t="s">
        <v>76</v>
      </c>
    </row>
    <row r="20" spans="1:5" ht="25">
      <c r="A20" s="13" t="s">
        <v>77</v>
      </c>
      <c r="B20" s="13" t="s">
        <v>78</v>
      </c>
      <c r="C20" s="13"/>
      <c r="D20" s="22" t="s">
        <v>79</v>
      </c>
      <c r="E20" s="13" t="s">
        <v>80</v>
      </c>
    </row>
    <row r="21" spans="1:5" ht="25">
      <c r="A21" s="13" t="s">
        <v>81</v>
      </c>
      <c r="B21" s="13" t="s">
        <v>82</v>
      </c>
      <c r="C21" s="13"/>
      <c r="D21" s="22" t="s">
        <v>83</v>
      </c>
      <c r="E21" s="13" t="s">
        <v>84</v>
      </c>
    </row>
    <row r="22" spans="1:5" ht="25">
      <c r="A22" s="13" t="s">
        <v>85</v>
      </c>
      <c r="B22" s="13" t="s">
        <v>86</v>
      </c>
      <c r="C22" s="13"/>
      <c r="D22" s="13" t="s">
        <v>87</v>
      </c>
      <c r="E22" s="13" t="s">
        <v>88</v>
      </c>
    </row>
    <row r="23" spans="1:5" ht="37.5">
      <c r="A23" s="13" t="s">
        <v>89</v>
      </c>
      <c r="B23" s="11" t="s">
        <v>90</v>
      </c>
      <c r="C23" s="13"/>
      <c r="D23" s="13" t="s">
        <v>91</v>
      </c>
      <c r="E23" s="13" t="s">
        <v>92</v>
      </c>
    </row>
    <row r="24" spans="1:5" ht="27" customHeight="1">
      <c r="A24" s="13" t="s">
        <v>93</v>
      </c>
      <c r="B24" s="13" t="s">
        <v>94</v>
      </c>
      <c r="C24" s="13"/>
      <c r="D24" s="13" t="s">
        <v>95</v>
      </c>
      <c r="E24" s="13" t="s">
        <v>96</v>
      </c>
    </row>
    <row r="25" spans="1:5" ht="80.900000000000006" customHeight="1">
      <c r="A25" s="13" t="s">
        <v>97</v>
      </c>
      <c r="B25" s="13" t="s">
        <v>98</v>
      </c>
      <c r="C25" s="13"/>
      <c r="D25" s="22" t="s">
        <v>99</v>
      </c>
      <c r="E25" s="22"/>
    </row>
    <row r="26" spans="1:5" ht="105" customHeight="1">
      <c r="A26" s="13" t="s">
        <v>100</v>
      </c>
      <c r="B26" s="13" t="s">
        <v>101</v>
      </c>
      <c r="C26" s="13"/>
      <c r="D26" s="13" t="s">
        <v>102</v>
      </c>
      <c r="E26" s="13" t="s">
        <v>103</v>
      </c>
    </row>
    <row r="27" spans="1:5" ht="25">
      <c r="A27" s="13" t="s">
        <v>104</v>
      </c>
      <c r="B27" s="13" t="s">
        <v>105</v>
      </c>
      <c r="C27" s="13"/>
      <c r="D27" s="22"/>
      <c r="E27" s="22"/>
    </row>
    <row r="28" spans="1:5">
      <c r="A28" s="22" t="s">
        <v>106</v>
      </c>
      <c r="B28" s="22" t="s">
        <v>107</v>
      </c>
      <c r="C28" s="22"/>
      <c r="D28" s="22"/>
      <c r="E28" s="22"/>
    </row>
    <row r="29" spans="1:5" ht="125">
      <c r="A29" s="13" t="s">
        <v>108</v>
      </c>
      <c r="B29" s="13" t="s">
        <v>109</v>
      </c>
      <c r="C29" s="22"/>
    </row>
    <row r="30" spans="1:5">
      <c r="A30" s="4" t="s">
        <v>110</v>
      </c>
      <c r="B30" s="4" t="s">
        <v>111</v>
      </c>
    </row>
    <row r="31" spans="1:5">
      <c r="A31" s="4" t="s">
        <v>112</v>
      </c>
      <c r="B31" s="4" t="s">
        <v>113</v>
      </c>
    </row>
  </sheetData>
  <mergeCells count="1">
    <mergeCell ref="A1:F1"/>
  </mergeCells>
  <pageMargins left="0.7" right="0.7" top="0.75" bottom="0.75" header="0.3" footer="0.3"/>
  <pageSetup orientation="portrait" horizontalDpi="200" verticalDpi="200" r:id="rId1"/>
  <headerFooter>
    <oddFooter>&amp;C&amp;1#&amp;"Arial"&amp;8&amp;K001753Nokia internal use</oddFooter>
  </headerFooter>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A7D65C-9CE9-4575-AA70-C3B0454E5862}">
  <dimension ref="A1:AL988"/>
  <sheetViews>
    <sheetView zoomScale="70" zoomScaleNormal="70" workbookViewId="0">
      <selection activeCell="C4" sqref="C4"/>
    </sheetView>
  </sheetViews>
  <sheetFormatPr defaultRowHeight="14.5"/>
  <cols>
    <col min="1" max="1" width="8.7265625" style="45"/>
    <col min="2" max="2" width="33.81640625" customWidth="1"/>
    <col min="3" max="3" width="15.1796875" customWidth="1"/>
    <col min="4" max="4" width="31.54296875" customWidth="1"/>
    <col min="5" max="5" width="12.81640625" customWidth="1"/>
    <col min="6" max="6" width="11.453125" customWidth="1"/>
    <col min="7" max="7" width="12.81640625" customWidth="1"/>
    <col min="8" max="8" width="12.453125" customWidth="1"/>
    <col min="9" max="9" width="16.54296875" customWidth="1"/>
    <col min="10" max="11" width="14.54296875" bestFit="1" customWidth="1"/>
    <col min="13" max="13" width="71.54296875" customWidth="1"/>
    <col min="14" max="16" width="8.81640625" customWidth="1"/>
    <col min="17" max="17" width="32.54296875" customWidth="1"/>
    <col min="18" max="18" width="44.54296875" customWidth="1"/>
    <col min="19" max="20" width="8.81640625" customWidth="1"/>
    <col min="21" max="21" width="27" customWidth="1"/>
    <col min="22" max="22" width="22.453125" customWidth="1"/>
    <col min="23" max="23" width="10.81640625" customWidth="1"/>
    <col min="24" max="24" width="8.81640625" customWidth="1"/>
    <col min="25" max="25" width="31.453125" customWidth="1"/>
    <col min="26" max="26" width="31.81640625" customWidth="1"/>
    <col min="27" max="27" width="36" customWidth="1"/>
    <col min="28" max="28" width="31.81640625" customWidth="1"/>
    <col min="29" max="29" width="23.453125" customWidth="1"/>
    <col min="30" max="30" width="21.81640625" customWidth="1"/>
    <col min="31" max="31" width="23.81640625" customWidth="1"/>
    <col min="34" max="34" width="23.453125" bestFit="1" customWidth="1"/>
    <col min="35" max="35" width="31.81640625" bestFit="1" customWidth="1"/>
    <col min="36" max="36" width="23.453125" bestFit="1" customWidth="1"/>
    <col min="37" max="37" width="21.81640625" bestFit="1" customWidth="1"/>
    <col min="38" max="38" width="25.81640625" bestFit="1" customWidth="1"/>
  </cols>
  <sheetData>
    <row r="1" spans="1:38">
      <c r="A1" s="44"/>
      <c r="B1" s="44"/>
      <c r="C1" s="44"/>
      <c r="D1" s="44"/>
      <c r="E1" s="44"/>
      <c r="F1" s="44"/>
      <c r="G1" s="44"/>
      <c r="H1" s="44"/>
      <c r="I1" s="44"/>
      <c r="J1" s="44"/>
      <c r="K1" s="44"/>
      <c r="L1" s="44"/>
      <c r="M1" s="44"/>
      <c r="N1" s="45"/>
      <c r="O1" s="45"/>
      <c r="Q1" t="s">
        <v>114</v>
      </c>
      <c r="S1" t="s">
        <v>115</v>
      </c>
      <c r="T1" t="s">
        <v>116</v>
      </c>
      <c r="U1" t="s">
        <v>117</v>
      </c>
      <c r="V1" t="s">
        <v>118</v>
      </c>
      <c r="W1">
        <f>IF($C$2="OpenStack",2,0)</f>
        <v>2</v>
      </c>
    </row>
    <row r="2" spans="1:38">
      <c r="A2" s="44"/>
      <c r="B2" s="50" t="s">
        <v>119</v>
      </c>
      <c r="C2" s="46" t="s">
        <v>120</v>
      </c>
      <c r="D2" s="44"/>
      <c r="E2" s="74"/>
      <c r="F2" s="44"/>
      <c r="G2" s="44"/>
      <c r="H2" s="53" t="s">
        <v>121</v>
      </c>
      <c r="I2" s="44"/>
      <c r="J2" s="44"/>
      <c r="K2" s="44"/>
      <c r="L2" s="44"/>
      <c r="M2" s="44"/>
      <c r="N2" s="45"/>
      <c r="Q2" t="s">
        <v>122</v>
      </c>
      <c r="R2" t="str">
        <f>CONCATENATE((ADDRESS($R$7+1,$S$2,,,$E$4)),$T$2,$R$7+50)</f>
        <v>'Small 24R1-NM SW on OpenStack'!$D$34:$D$83</v>
      </c>
      <c r="S2">
        <f>IF($C$2="OpenStack",4,5)</f>
        <v>4</v>
      </c>
      <c r="T2" t="str">
        <f>IF($C$2="OpenStack",":$D$",":$E$")</f>
        <v>:$D$</v>
      </c>
      <c r="V2" t="s">
        <v>123</v>
      </c>
      <c r="W2">
        <f>IF(C19=20,0,0)+IF(C19=40,12,0)+IF(C19=60,16,0)+IF(C19=80,20,0)+IF(C19=100,24,0)+IF(C19=120,28,0)+IF(C19=140,32,0)+IF(C19=160,36,0)+IF(C19=180,40,0)</f>
        <v>0</v>
      </c>
      <c r="AA2" s="158" t="s">
        <v>124</v>
      </c>
      <c r="AB2" s="158"/>
      <c r="AC2" s="158"/>
      <c r="AD2" s="158"/>
      <c r="AE2" s="158"/>
      <c r="AH2" s="159" t="s">
        <v>125</v>
      </c>
      <c r="AI2" s="160"/>
      <c r="AJ2" s="160"/>
      <c r="AK2" s="160"/>
      <c r="AL2" s="161"/>
    </row>
    <row r="3" spans="1:38">
      <c r="A3" s="44"/>
      <c r="B3" s="50" t="s">
        <v>126</v>
      </c>
      <c r="C3" s="46" t="s">
        <v>127</v>
      </c>
      <c r="D3" s="50" t="s">
        <v>128</v>
      </c>
      <c r="E3" s="50" t="str">
        <f>SUBSTITUTE(C3,"Release "," ")</f>
        <v xml:space="preserve"> 24R1-NM</v>
      </c>
      <c r="F3" s="44"/>
      <c r="G3" s="44"/>
      <c r="H3" s="44"/>
      <c r="I3" s="44"/>
      <c r="J3" s="44"/>
      <c r="K3" s="44"/>
      <c r="L3" s="44"/>
      <c r="M3" s="44"/>
      <c r="N3" s="45"/>
      <c r="O3" s="45"/>
      <c r="Q3" t="s">
        <v>129</v>
      </c>
      <c r="R3" t="str">
        <f>CONCATENATE((ADDRESS($R$7+1,6,,,$E$4)),":$F$",$R$7+50)</f>
        <v>'Small 24R1-NM SW on OpenStack'!$F$34:$F$83</v>
      </c>
      <c r="U3">
        <v>3</v>
      </c>
      <c r="V3" t="s">
        <v>130</v>
      </c>
      <c r="W3">
        <f>IF($C$3="Release 24R1-NM",IF($C$2="OpenStack",IF($C$4="Small",2,0)+IF($C$4="Mainstream",2,0)+IF($C$4="Large",2,0),IF($C$4="Small",0,0)+IF($C$4="Mainstream",0,0)+IF($C$4="Large",0,0)))</f>
        <v>2</v>
      </c>
      <c r="Y3" s="138" t="s">
        <v>131</v>
      </c>
      <c r="AA3" s="137" t="s">
        <v>132</v>
      </c>
      <c r="AB3" s="137" t="s">
        <v>133</v>
      </c>
      <c r="AC3" s="137" t="s">
        <v>134</v>
      </c>
      <c r="AD3" s="137" t="s">
        <v>135</v>
      </c>
      <c r="AE3" s="137" t="s">
        <v>136</v>
      </c>
      <c r="AH3" s="137" t="s">
        <v>137</v>
      </c>
      <c r="AI3" s="137" t="s">
        <v>138</v>
      </c>
      <c r="AJ3" s="137" t="s">
        <v>139</v>
      </c>
      <c r="AK3" s="137" t="s">
        <v>140</v>
      </c>
      <c r="AL3" s="137" t="s">
        <v>141</v>
      </c>
    </row>
    <row r="4" spans="1:38">
      <c r="A4" s="44"/>
      <c r="B4" s="50" t="s">
        <v>142</v>
      </c>
      <c r="C4" s="46" t="s">
        <v>143</v>
      </c>
      <c r="D4" s="50" t="s">
        <v>144</v>
      </c>
      <c r="E4" s="50" t="str">
        <f>IF($C$2="OpenStack",IF($C$4="Mainstream",CONCATENATE($C$4,$E$3," SW ",$C$2),IF($C$4="3XL",CONCATENATE($C$4,$E$3," SW ",$C$2,"-CBIS"),CONCATENATE($C$4,$E$3," SW on ",$C$2))),CONCATENATE($C$4, $E$3, " SW on ", $C$2))</f>
        <v>Small 24R1-NM SW on OpenStack</v>
      </c>
      <c r="F4" s="44"/>
      <c r="G4" s="44"/>
      <c r="H4" s="53" t="s">
        <v>145</v>
      </c>
      <c r="I4" s="44"/>
      <c r="J4" s="44"/>
      <c r="K4" s="44"/>
      <c r="L4" s="44"/>
      <c r="M4" s="44"/>
      <c r="N4" s="45"/>
      <c r="O4" s="45"/>
      <c r="Q4" t="s">
        <v>146</v>
      </c>
      <c r="R4" t="str">
        <f>CONCATENATE((ADDRESS($R$7+1,7,,,$E$4)),":$G$",$R$7+50)</f>
        <v>'Small 24R1-NM SW on OpenStack'!$G$34:$G$83</v>
      </c>
      <c r="U4">
        <f>IF($C$2="OpenStack",4,3)</f>
        <v>4</v>
      </c>
      <c r="V4" t="s">
        <v>32</v>
      </c>
      <c r="W4">
        <f>IF($C$2="OpenStack",IF($C$4="Small",4,0)+IF($C$4="Mainstream",8,0)+IF($C$4="Large",8,0)+IF($C$4="XXL",8,0)+IF($C$4="3XL",8,0),IF($C$4="Small",0,0)+IF($C$4="Mainstream",0,0)+IF($C$4="Large",0,0)+IF($C$4="XXL",0,0))</f>
        <v>4</v>
      </c>
      <c r="Y4" s="139" t="s">
        <v>143</v>
      </c>
      <c r="AA4" s="140">
        <v>675</v>
      </c>
      <c r="AB4" s="141">
        <v>1350</v>
      </c>
      <c r="AC4" s="136">
        <v>2250</v>
      </c>
      <c r="AD4" s="137">
        <v>8100</v>
      </c>
      <c r="AE4" s="140">
        <v>15200</v>
      </c>
      <c r="AH4" s="140">
        <v>750</v>
      </c>
      <c r="AI4" s="141">
        <v>1500</v>
      </c>
      <c r="AJ4" s="136">
        <v>2500</v>
      </c>
      <c r="AK4" s="137">
        <v>9000</v>
      </c>
      <c r="AL4" s="137">
        <v>16400</v>
      </c>
    </row>
    <row r="5" spans="1:38">
      <c r="A5" s="44"/>
      <c r="B5" s="50" t="s">
        <v>147</v>
      </c>
      <c r="C5" s="66">
        <v>2500</v>
      </c>
      <c r="D5" s="44"/>
      <c r="E5" s="44"/>
      <c r="F5" s="44"/>
      <c r="G5" s="44"/>
      <c r="H5" s="50" t="s">
        <v>148</v>
      </c>
      <c r="I5" s="44"/>
      <c r="J5" s="44"/>
      <c r="K5" s="44"/>
      <c r="L5" s="44"/>
      <c r="M5" s="44"/>
      <c r="N5" s="45"/>
      <c r="O5" s="45"/>
      <c r="Q5" t="s">
        <v>149</v>
      </c>
      <c r="R5" t="str">
        <f>CONCATENATE((ADDRESS($R$7+1,$S$5,,,$E$4)),$T$5,$R$7+50)</f>
        <v>'Small 24R1-NM SW on OpenStack'!$H$34:$H$83</v>
      </c>
      <c r="S5">
        <f>IF($C$2="OpenStack",8,9)</f>
        <v>8</v>
      </c>
      <c r="T5" t="str">
        <f>IF($C$2="OpenStack",":$H$",":$I$")</f>
        <v>:$H$</v>
      </c>
      <c r="U5">
        <f>IF($C$2="OpenStack",5,5)</f>
        <v>5</v>
      </c>
      <c r="V5" t="s">
        <v>150</v>
      </c>
      <c r="W5">
        <v>0</v>
      </c>
      <c r="Y5" s="139" t="s">
        <v>151</v>
      </c>
      <c r="AA5" s="140">
        <v>2115</v>
      </c>
      <c r="AB5" s="142">
        <v>1855.79</v>
      </c>
      <c r="AC5" s="143">
        <v>5535</v>
      </c>
      <c r="AD5" s="137"/>
      <c r="AE5" s="137"/>
      <c r="AH5" s="140">
        <v>2350</v>
      </c>
      <c r="AI5" s="142">
        <v>2062</v>
      </c>
      <c r="AJ5" s="143">
        <v>6150</v>
      </c>
      <c r="AK5" s="137"/>
      <c r="AL5" s="137"/>
    </row>
    <row r="6" spans="1:38">
      <c r="A6" s="44"/>
      <c r="B6" s="50" t="s">
        <v>146</v>
      </c>
      <c r="C6" s="66">
        <v>90</v>
      </c>
      <c r="D6" s="44"/>
      <c r="E6" s="44"/>
      <c r="F6" s="44"/>
      <c r="G6" s="44"/>
      <c r="H6" s="50" t="s">
        <v>152</v>
      </c>
      <c r="I6" s="44"/>
      <c r="J6" s="44"/>
      <c r="K6" s="44"/>
      <c r="L6" s="44"/>
      <c r="M6" s="44"/>
      <c r="N6" s="45"/>
      <c r="O6" s="45"/>
      <c r="Q6" t="s">
        <v>153</v>
      </c>
      <c r="R6" t="str">
        <f>CONCATENATE((ADDRESS($R$7+1,$S$6,,,$E$4)),$T$6,$R$7+50)</f>
        <v>'Small 24R1-NM SW on OpenStack'!$E$34:$E$83</v>
      </c>
      <c r="S6">
        <f>IF($C$2="OpenStack",5,3)</f>
        <v>5</v>
      </c>
      <c r="T6" t="str">
        <f>IF($C$2="OpenStack",":$E$",":$C$")</f>
        <v>:$E$</v>
      </c>
      <c r="V6" t="s">
        <v>154</v>
      </c>
      <c r="W6">
        <f>IF($C$3="Release 24R1-NM",IF($C$2="OpenStack",IF($C$4="Small",6,0)+IF($C$4="Mainstream",6,0)+IF($C$4="Large",6,0)+IF($C$4="XXL",6,0)+IF($C$4="3XL",6,0),IF($C$4="Small",0,0)+IF($C$4="Mainstream",0,0)+IF($C$4="Large",0,0)+IF($C$4="XXL",0,0)))</f>
        <v>6</v>
      </c>
      <c r="Y6" s="139" t="s">
        <v>155</v>
      </c>
      <c r="AA6" s="144"/>
      <c r="AB6" s="144"/>
      <c r="AC6" s="144"/>
      <c r="AD6" s="144"/>
      <c r="AE6" s="144"/>
      <c r="AH6" s="144"/>
      <c r="AI6" s="144"/>
      <c r="AJ6" s="144"/>
      <c r="AK6" s="144"/>
      <c r="AL6" s="144"/>
    </row>
    <row r="7" spans="1:38">
      <c r="A7" s="44"/>
      <c r="B7" s="50" t="s">
        <v>129</v>
      </c>
      <c r="C7" s="66">
        <v>16</v>
      </c>
      <c r="D7" s="44"/>
      <c r="E7" s="50"/>
      <c r="F7" s="44"/>
      <c r="G7" s="44"/>
      <c r="H7" s="50" t="s">
        <v>156</v>
      </c>
      <c r="I7" s="44"/>
      <c r="J7" s="44"/>
      <c r="K7" s="44"/>
      <c r="L7" s="44"/>
      <c r="M7" s="44"/>
      <c r="N7" s="45"/>
      <c r="O7" s="45"/>
      <c r="Q7" t="s">
        <v>157</v>
      </c>
      <c r="R7">
        <f>IF($C$3="Release 24R1-NM",IF($C$2="OpenStack",IF($C$4="Small",33,0)+IF($C$4="Mainstream",39,0)+IF($C$4="Large",45,0)+IF($C$4="XXL",45,0)+IF($C$4="3XL",45,0),IF($C$4="Small",32,0)+IF($C$4="Mainstream",38,0)+IF($C$4="Large",44,0)+IF($C$4="XXL",44,0)+IF($C$4="3XL",44,0)),0)</f>
        <v>33</v>
      </c>
      <c r="V7" t="s">
        <v>158</v>
      </c>
      <c r="W7">
        <f>IF($C$3="Release 24R1-NM",IF($C$2="OpenStack",IF($C$4="Small",0,0)+IF($C$4="Mainstream",0,0)+IF($C$4="Large",0,0)+IF($C$4="XXL",0,0),IF($C$4="Small",0,0)+IF($C$4="Mainstream",0,0)+IF($C$4="Large",0,0)+IF($C$4="XXL",0,0)))</f>
        <v>0</v>
      </c>
      <c r="Y7" s="145" t="s">
        <v>159</v>
      </c>
      <c r="AA7" s="137" t="s">
        <v>160</v>
      </c>
      <c r="AB7" s="137" t="s">
        <v>161</v>
      </c>
      <c r="AC7" s="137" t="s">
        <v>162</v>
      </c>
      <c r="AD7" s="137" t="s">
        <v>163</v>
      </c>
      <c r="AE7" s="137" t="s">
        <v>164</v>
      </c>
      <c r="AH7" s="137" t="s">
        <v>165</v>
      </c>
      <c r="AI7" s="137" t="s">
        <v>166</v>
      </c>
      <c r="AJ7" s="137" t="s">
        <v>167</v>
      </c>
      <c r="AK7" s="137" t="s">
        <v>168</v>
      </c>
      <c r="AL7" s="137" t="s">
        <v>169</v>
      </c>
    </row>
    <row r="8" spans="1:38">
      <c r="A8" s="44"/>
      <c r="B8" s="50" t="s">
        <v>170</v>
      </c>
      <c r="C8" s="66">
        <v>130</v>
      </c>
      <c r="D8" s="44"/>
      <c r="E8" s="44"/>
      <c r="F8" s="44"/>
      <c r="G8" s="44"/>
      <c r="H8" s="50" t="s">
        <v>171</v>
      </c>
      <c r="I8" s="44"/>
      <c r="J8" s="44"/>
      <c r="K8" s="44"/>
      <c r="L8" s="44"/>
      <c r="M8" s="44"/>
      <c r="N8" s="45"/>
      <c r="O8" s="45"/>
      <c r="Q8" t="s">
        <v>172</v>
      </c>
      <c r="R8" t="str">
        <f>CONCATENATE((ADDRESS($R$7+1,$S$2,,,$E$4)),":$I$",$R$7+50)</f>
        <v>'Small 24R1-NM SW on OpenStack'!$D$34:$I$83</v>
      </c>
      <c r="V8" t="s">
        <v>173</v>
      </c>
      <c r="W8">
        <f>IF($C$3="Release 24R1-NM",IF($C$2="OpenStack",IF($C$4="Small",2,0)+IF($C$4="Mainstream",2,0)+IF($C$4="Large",2,0)+IF($C$4="XXL",2,0),IF($C$4="Small",0,0)+IF($C$4="Mainstream",0,0)+IF($C$4="Large",0,0)+IF($C$4="XXL",0,0)))</f>
        <v>2</v>
      </c>
      <c r="Y8" s="145" t="s">
        <v>174</v>
      </c>
      <c r="AA8" s="137">
        <v>6</v>
      </c>
      <c r="AB8" s="137">
        <v>11</v>
      </c>
      <c r="AC8" s="137">
        <v>16</v>
      </c>
      <c r="AD8" s="137">
        <v>16</v>
      </c>
      <c r="AE8" s="137">
        <v>24</v>
      </c>
      <c r="AH8" s="137">
        <v>6</v>
      </c>
      <c r="AI8" s="137">
        <v>11</v>
      </c>
      <c r="AJ8" s="137">
        <v>16</v>
      </c>
      <c r="AK8" s="137">
        <v>16</v>
      </c>
      <c r="AL8" s="137">
        <v>24</v>
      </c>
    </row>
    <row r="9" spans="1:38">
      <c r="A9" s="44"/>
      <c r="B9" s="50" t="s">
        <v>175</v>
      </c>
      <c r="C9" s="66">
        <v>2025</v>
      </c>
      <c r="D9" s="44"/>
      <c r="E9" s="44"/>
      <c r="F9" s="44"/>
      <c r="G9" s="44"/>
      <c r="H9" s="50" t="s">
        <v>176</v>
      </c>
      <c r="I9" s="44"/>
      <c r="J9" s="44"/>
      <c r="K9" s="44"/>
      <c r="L9" s="44"/>
      <c r="M9" s="44"/>
      <c r="N9" s="45"/>
      <c r="O9" s="45"/>
      <c r="Q9" t="s">
        <v>177</v>
      </c>
      <c r="R9">
        <f>IF($C$3="Release 24R1-NM",IF($C$2="OpenStack",IF($C$4="Small",25,0)+IF($C$4="Mainstream",31,0)+IF($C$4="Large",37,0)+IF($C$4="XXL",37,0)+IF($C$4="3XL",37,0),IF($C$4="Small",24,0)+IF($C$4="Mainstream",30,0)+IF($C$4="Large",36,0)+IF($C$4="XXL",36,0)+IF($C$4="3XL",36,0)))</f>
        <v>25</v>
      </c>
      <c r="U9" t="s">
        <v>178</v>
      </c>
      <c r="V9" t="s">
        <v>63</v>
      </c>
      <c r="W9">
        <f>IF($C$3="Release 24R1-NM",IF($C$2="OpenStack",IF($C$4="Small",2,0)+IF($C$4="Mainstream",2,0)+IF($C$4="Large",2,0)+IF($C$4="XXL",2,0),IF($C$4="Small",0,0)+IF($C$4="Mainstream",0,0)+IF($C$4="Large",0,0)+IF($C$4="XXL",0,0)))</f>
        <v>2</v>
      </c>
      <c r="AA9" s="144"/>
      <c r="AB9" s="144"/>
      <c r="AC9" s="144"/>
      <c r="AD9" s="144"/>
      <c r="AE9" s="144"/>
      <c r="AH9" s="144"/>
      <c r="AI9" s="144"/>
      <c r="AJ9" s="144"/>
      <c r="AK9" s="144"/>
      <c r="AL9" s="144"/>
    </row>
    <row r="10" spans="1:38">
      <c r="A10" s="44"/>
      <c r="B10" s="50" t="s">
        <v>179</v>
      </c>
      <c r="C10" s="66">
        <v>11249.5</v>
      </c>
      <c r="D10" s="44"/>
      <c r="E10" s="44"/>
      <c r="F10" s="44"/>
      <c r="G10" s="44"/>
      <c r="H10" s="50" t="s">
        <v>180</v>
      </c>
      <c r="I10" s="44"/>
      <c r="J10" s="44"/>
      <c r="K10" s="44"/>
      <c r="L10" s="44"/>
      <c r="M10" s="44"/>
      <c r="N10" s="45"/>
      <c r="O10" s="45"/>
      <c r="U10" t="s">
        <v>181</v>
      </c>
      <c r="V10" t="s">
        <v>182</v>
      </c>
      <c r="W10">
        <f>IF($C$3="Release 23R4-NM",IF($C$2="OpenStack",IF($C$4="Small",2,0)+IF($C$4="Mainstream",2,0)+IF($C$4="Large",4,0)+IF($C$4="XXL",4,0)+IF($C$4="3XL",4,0),IF($C$4="Small",0,0)+IF($C$4="Mainstream",0,0)+IF($C$4="Large",0,0)+IF($C$4="XXL",0,0)),0)</f>
        <v>0</v>
      </c>
      <c r="Y10" s="146" t="s">
        <v>120</v>
      </c>
      <c r="AA10" s="137" t="s">
        <v>183</v>
      </c>
      <c r="AB10" s="137" t="s">
        <v>184</v>
      </c>
      <c r="AC10" s="137" t="s">
        <v>185</v>
      </c>
      <c r="AD10" s="137"/>
      <c r="AE10" s="137"/>
      <c r="AH10" s="137" t="s">
        <v>186</v>
      </c>
      <c r="AI10" s="137" t="s">
        <v>187</v>
      </c>
      <c r="AJ10" s="137" t="s">
        <v>188</v>
      </c>
      <c r="AK10" s="137"/>
      <c r="AL10" s="137"/>
    </row>
    <row r="11" spans="1:38">
      <c r="A11" s="44"/>
      <c r="B11" s="50" t="s">
        <v>189</v>
      </c>
      <c r="C11" s="66">
        <v>393</v>
      </c>
      <c r="D11" s="44"/>
      <c r="E11" s="44"/>
      <c r="F11" s="44"/>
      <c r="G11" s="44"/>
      <c r="H11" s="50" t="s">
        <v>190</v>
      </c>
      <c r="I11" s="44"/>
      <c r="J11" s="44"/>
      <c r="K11" s="44"/>
      <c r="L11" s="44"/>
      <c r="M11" s="44"/>
      <c r="N11" s="45"/>
      <c r="O11" s="45"/>
      <c r="Q11" t="s">
        <v>191</v>
      </c>
      <c r="R11" s="147">
        <f ca="1">IF(C4="Small",INDIRECT(ADDRESS($R$7,57,,,$E$4)),IF(C4="Mainstream",INDIRECT(ADDRESS($R$7,57,,,$E$4)),IF(C4="Large",INDIRECT(ADDRESS($R$7,57,,,$E$4)),IF(C4="XXL",INDIRECT(ADDRESS($R$7,57,,,$E$4)),IF(C4="3XL",INDIRECT(ADDRESS($R$7,57,,,$E$4)))))))</f>
        <v>65</v>
      </c>
      <c r="V11" t="s">
        <v>52</v>
      </c>
      <c r="W11">
        <f>IF($C$2="OpenStack",14,0)</f>
        <v>14</v>
      </c>
      <c r="Y11" s="137" t="s">
        <v>143</v>
      </c>
      <c r="AA11" s="137">
        <v>11</v>
      </c>
      <c r="AB11" s="137">
        <v>11</v>
      </c>
      <c r="AC11" s="137">
        <v>16</v>
      </c>
      <c r="AD11" s="137"/>
      <c r="AE11" s="137"/>
      <c r="AH11" s="137">
        <v>11</v>
      </c>
      <c r="AI11" s="137">
        <v>11</v>
      </c>
      <c r="AJ11" s="137">
        <v>16</v>
      </c>
      <c r="AK11" s="137"/>
      <c r="AL11" s="137"/>
    </row>
    <row r="12" spans="1:38">
      <c r="A12" s="44"/>
      <c r="B12" s="50" t="s">
        <v>192</v>
      </c>
      <c r="C12" s="66">
        <v>90</v>
      </c>
      <c r="D12" s="44"/>
      <c r="E12" s="44"/>
      <c r="F12" s="44"/>
      <c r="G12" s="44"/>
      <c r="H12" s="50" t="s">
        <v>193</v>
      </c>
      <c r="I12" s="44"/>
      <c r="J12" s="44"/>
      <c r="K12" s="44"/>
      <c r="L12" s="44"/>
      <c r="M12" s="44"/>
      <c r="N12" s="45"/>
      <c r="O12" s="45"/>
      <c r="Q12" t="s">
        <v>194</v>
      </c>
      <c r="R12">
        <f>IF($C$2="OpenStack",IF($C$13&gt;0,1,0),0)</f>
        <v>1</v>
      </c>
      <c r="V12" t="s">
        <v>67</v>
      </c>
      <c r="W12">
        <f>IF($C$3="Release 24R1-NM",IF($C$2="OpenStack",IF($C$4="Small",6,0)+IF($C$4="Mainstream",6,0)+IF($C$4="Large",6,0)+IF($C$4="XXL",6,0)+IF($C$4="3XL",6,0),IF($C$4="Small",0,0)+IF($C$4="Mainstream",0,0)+IF($C$4="Large",0,0)+IF($C$4="XXL",0,0)),0)</f>
        <v>6</v>
      </c>
      <c r="Y12" s="137" t="s">
        <v>151</v>
      </c>
      <c r="AA12" s="144"/>
      <c r="AB12" s="144"/>
      <c r="AC12" s="144"/>
      <c r="AD12" s="144"/>
      <c r="AE12" s="144"/>
      <c r="AH12" s="144"/>
      <c r="AI12" s="144"/>
      <c r="AJ12" s="144"/>
      <c r="AK12" s="144"/>
      <c r="AL12" s="144"/>
    </row>
    <row r="13" spans="1:38">
      <c r="A13" s="44"/>
      <c r="B13" s="50" t="s">
        <v>194</v>
      </c>
      <c r="C13" s="66">
        <v>270</v>
      </c>
      <c r="D13" s="44"/>
      <c r="E13" s="44"/>
      <c r="F13" s="44"/>
      <c r="G13" s="44"/>
      <c r="H13" s="50"/>
      <c r="I13" s="44"/>
      <c r="J13" s="44"/>
      <c r="K13" s="44"/>
      <c r="L13" s="44"/>
      <c r="M13" s="44"/>
      <c r="N13" s="45"/>
      <c r="O13" s="45"/>
      <c r="Y13" s="137" t="s">
        <v>155</v>
      </c>
      <c r="AA13" s="137" t="s">
        <v>195</v>
      </c>
      <c r="AB13" s="137" t="s">
        <v>196</v>
      </c>
      <c r="AC13" s="137" t="s">
        <v>197</v>
      </c>
      <c r="AD13" s="137" t="s">
        <v>198</v>
      </c>
      <c r="AE13" s="137" t="s">
        <v>199</v>
      </c>
      <c r="AH13" s="137" t="s">
        <v>200</v>
      </c>
      <c r="AI13" s="137" t="s">
        <v>201</v>
      </c>
      <c r="AJ13" s="137" t="s">
        <v>202</v>
      </c>
      <c r="AK13" s="137" t="s">
        <v>203</v>
      </c>
      <c r="AL13" s="137" t="s">
        <v>204</v>
      </c>
    </row>
    <row r="14" spans="1:38">
      <c r="A14" s="44"/>
      <c r="B14" s="50" t="s">
        <v>205</v>
      </c>
      <c r="C14" s="66">
        <v>50</v>
      </c>
      <c r="D14" s="44"/>
      <c r="E14" s="44"/>
      <c r="F14" s="44"/>
      <c r="G14" s="44"/>
      <c r="H14" s="50"/>
      <c r="I14" s="44"/>
      <c r="J14" s="44"/>
      <c r="K14" s="44"/>
      <c r="L14" s="44"/>
      <c r="M14" s="44"/>
      <c r="N14" s="45"/>
      <c r="O14" s="45"/>
      <c r="Q14" t="str">
        <f>ADDRESS($R$7,6,,,$E$4)</f>
        <v>'Small 24R1-NM SW on OpenStack'!$F$33</v>
      </c>
      <c r="Y14" s="137" t="s">
        <v>159</v>
      </c>
      <c r="AA14" s="137">
        <v>40</v>
      </c>
      <c r="AB14" s="137">
        <v>70</v>
      </c>
      <c r="AC14" s="137">
        <v>90</v>
      </c>
      <c r="AD14" s="137">
        <v>160</v>
      </c>
      <c r="AE14" s="137">
        <v>240</v>
      </c>
      <c r="AH14" s="137">
        <v>40</v>
      </c>
      <c r="AI14" s="137">
        <v>70</v>
      </c>
      <c r="AJ14" s="137">
        <v>90</v>
      </c>
      <c r="AK14" s="137">
        <v>160</v>
      </c>
      <c r="AL14" s="137">
        <v>240</v>
      </c>
    </row>
    <row r="15" spans="1:38">
      <c r="A15" s="44"/>
      <c r="B15" s="50" t="s">
        <v>206</v>
      </c>
      <c r="C15" s="66">
        <v>170</v>
      </c>
      <c r="D15" s="44"/>
      <c r="E15" s="44"/>
      <c r="F15" s="44"/>
      <c r="G15" s="44"/>
      <c r="H15" s="44"/>
      <c r="I15" s="44"/>
      <c r="J15" s="44"/>
      <c r="K15" s="44"/>
      <c r="L15" s="44"/>
      <c r="M15" s="44"/>
      <c r="N15" s="45"/>
      <c r="O15" s="45"/>
      <c r="V15" t="s">
        <v>71</v>
      </c>
      <c r="W15">
        <f>IF($C$3="Release 24R1-NM",IF($C$2="OpenStack",IF($C$4="Small",2,0)+IF($C$4="Mainstream",2,0)+IF($C$4="Large",2,0)+IF($C$4="XXL",2,0)+IF($C$4="3XL",2,0),IF($C$4="Small",0,0)+IF($C$4="Mainstream",0,0)+IF($C$4="Large",0,0)+IF($C$4="XXL",0,0)),0)</f>
        <v>2</v>
      </c>
      <c r="Y15" s="148" t="s">
        <v>174</v>
      </c>
      <c r="AA15" s="144"/>
      <c r="AB15" s="144"/>
      <c r="AC15" s="144"/>
      <c r="AD15" s="144"/>
      <c r="AE15" s="144"/>
      <c r="AH15" s="144"/>
      <c r="AI15" s="144"/>
      <c r="AJ15" s="144"/>
      <c r="AK15" s="144"/>
      <c r="AL15" s="144"/>
    </row>
    <row r="16" spans="1:38">
      <c r="A16" s="44"/>
      <c r="B16" s="44"/>
      <c r="C16" s="44"/>
      <c r="D16" s="44"/>
      <c r="E16" s="44"/>
      <c r="F16" s="44"/>
      <c r="G16" s="44"/>
      <c r="H16" s="44"/>
      <c r="I16" s="44"/>
      <c r="J16" s="44"/>
      <c r="K16" s="44"/>
      <c r="L16" s="44"/>
      <c r="M16" s="44"/>
      <c r="N16" s="45"/>
      <c r="O16" s="45"/>
      <c r="R16" t="s">
        <v>207</v>
      </c>
      <c r="S16">
        <f ca="1">VLOOKUP("*VDA*",INDIRECT($R$8),3,FALSE)</f>
        <v>4</v>
      </c>
      <c r="V16" t="s">
        <v>95</v>
      </c>
      <c r="W16">
        <f>IF($C$3="Release 24R1-NM",IF($C$2="OpenStack",IF($C$4="Small",2,0)+IF($C$4="Mainstream",2,0)+IF($C$4="Large",2,0)+IF($C$4="XXL",2,0)+IF($C$4="3XL",2,0),IF($C$4="Small",0,0)+IF($C$4="Mainstream",0,0)+IF($C$4="Large",0,0)+IF($C$4="XXL",0,0)),0)</f>
        <v>2</v>
      </c>
      <c r="AA16" s="137" t="s">
        <v>208</v>
      </c>
      <c r="AB16" s="137" t="s">
        <v>209</v>
      </c>
      <c r="AC16" s="137" t="s">
        <v>210</v>
      </c>
      <c r="AD16" s="137"/>
      <c r="AE16" s="137"/>
      <c r="AH16" s="137" t="s">
        <v>211</v>
      </c>
      <c r="AI16" s="137" t="s">
        <v>212</v>
      </c>
      <c r="AJ16" s="137" t="s">
        <v>213</v>
      </c>
      <c r="AK16" s="137"/>
      <c r="AL16" s="137"/>
    </row>
    <row r="17" spans="1:38">
      <c r="A17" s="44"/>
      <c r="B17" s="50" t="s">
        <v>214</v>
      </c>
      <c r="C17" s="50"/>
      <c r="D17" s="44"/>
      <c r="E17" s="44"/>
      <c r="F17" s="44"/>
      <c r="G17" s="44"/>
      <c r="H17" s="44"/>
      <c r="I17" s="44"/>
      <c r="J17" s="44"/>
      <c r="K17" s="44"/>
      <c r="L17" s="44"/>
      <c r="M17" s="44"/>
      <c r="N17" s="45"/>
      <c r="O17" s="45"/>
      <c r="R17">
        <f ca="1">IF(OR($S$22,$S$26,$S$33,$W$33),((($C$19-20)/20)*VLOOKUP("*VDA*",INDIRECT($R$8),3,FALSE)+IF($C$19&gt;20,1,0)*SUMIF(INDIRECT($R$2),"*Controller*",INDIRECT($R$3))),NA())+IF($C$19=180,2,0)</f>
        <v>0</v>
      </c>
      <c r="AA17" s="137">
        <v>70</v>
      </c>
      <c r="AB17" s="137">
        <v>70</v>
      </c>
      <c r="AC17" s="137">
        <v>115</v>
      </c>
      <c r="AD17" s="137"/>
      <c r="AE17" s="137"/>
      <c r="AH17" s="137">
        <v>70</v>
      </c>
      <c r="AI17" s="137">
        <v>70</v>
      </c>
      <c r="AJ17" s="137">
        <v>115</v>
      </c>
      <c r="AK17" s="137"/>
      <c r="AL17" s="137"/>
    </row>
    <row r="18" spans="1:38">
      <c r="A18" s="44"/>
      <c r="B18" s="50" t="s">
        <v>215</v>
      </c>
      <c r="C18" s="46" t="s">
        <v>181</v>
      </c>
      <c r="D18" s="44"/>
      <c r="E18" s="44"/>
      <c r="F18" s="50" t="s">
        <v>216</v>
      </c>
      <c r="G18" s="44"/>
      <c r="H18" s="44"/>
      <c r="I18" s="44"/>
      <c r="J18" s="44"/>
      <c r="K18" s="44"/>
      <c r="L18" s="44"/>
      <c r="M18" s="44"/>
      <c r="N18" s="45"/>
      <c r="O18" s="45"/>
      <c r="R18">
        <f ca="1">IF(OR($S$22,$S$26,$S$33,$W$33),((($C$19-20)/20)*VLOOKUP("*VDA*",INDIRECT($R$8),3,FALSE)+IF($C$19&gt;20,1,0)*SUMIF(INDIRECT($R$2),"*Controller*",INDIRECT($R$3))),NA())+IF($C$19=180,2,0)</f>
        <v>0</v>
      </c>
      <c r="AA18" s="144"/>
      <c r="AB18" s="144"/>
      <c r="AC18" s="144"/>
      <c r="AD18" s="144"/>
      <c r="AE18" s="144"/>
      <c r="AH18" s="144"/>
      <c r="AI18" s="144"/>
      <c r="AJ18" s="144"/>
      <c r="AK18" s="144"/>
      <c r="AL18" s="144"/>
    </row>
    <row r="19" spans="1:38">
      <c r="A19" s="44"/>
      <c r="B19" s="50" t="s">
        <v>217</v>
      </c>
      <c r="C19" s="46">
        <v>20</v>
      </c>
      <c r="D19" s="44"/>
      <c r="E19" s="44"/>
      <c r="F19" s="45" t="s">
        <v>218</v>
      </c>
      <c r="G19" s="45" t="s">
        <v>219</v>
      </c>
      <c r="H19" s="45" t="s">
        <v>149</v>
      </c>
      <c r="I19" s="45" t="s">
        <v>220</v>
      </c>
      <c r="J19" s="44"/>
      <c r="K19" s="44"/>
      <c r="L19" s="44"/>
      <c r="M19" s="44"/>
      <c r="N19" s="45"/>
      <c r="O19" s="45"/>
      <c r="Y19" s="146" t="s">
        <v>221</v>
      </c>
      <c r="AA19" s="137" t="s">
        <v>222</v>
      </c>
      <c r="AB19" s="137" t="s">
        <v>223</v>
      </c>
      <c r="AC19" s="137" t="s">
        <v>224</v>
      </c>
      <c r="AD19" s="137" t="s">
        <v>225</v>
      </c>
      <c r="AE19" s="137" t="s">
        <v>226</v>
      </c>
      <c r="AH19" s="137" t="s">
        <v>227</v>
      </c>
      <c r="AI19" s="137" t="s">
        <v>228</v>
      </c>
      <c r="AJ19" s="137" t="s">
        <v>229</v>
      </c>
      <c r="AK19" s="137" t="s">
        <v>230</v>
      </c>
      <c r="AL19" s="137" t="s">
        <v>231</v>
      </c>
    </row>
    <row r="20" spans="1:38">
      <c r="A20" s="44"/>
      <c r="B20" s="50" t="s">
        <v>232</v>
      </c>
      <c r="C20" s="46" t="s">
        <v>181</v>
      </c>
      <c r="D20" s="44"/>
      <c r="E20" s="50" t="s">
        <v>233</v>
      </c>
      <c r="F20" s="46">
        <v>0</v>
      </c>
      <c r="G20" s="46">
        <v>0</v>
      </c>
      <c r="H20" s="46">
        <v>0</v>
      </c>
      <c r="I20" s="46">
        <v>0</v>
      </c>
      <c r="J20" s="44"/>
      <c r="K20" s="44"/>
      <c r="L20" s="47"/>
      <c r="M20" s="44"/>
      <c r="N20" s="45"/>
      <c r="O20" s="45"/>
      <c r="Y20" s="137">
        <v>20</v>
      </c>
      <c r="AA20" s="137">
        <v>59.4</v>
      </c>
      <c r="AB20" s="137">
        <v>59.4</v>
      </c>
      <c r="AC20" s="137">
        <v>116.99</v>
      </c>
      <c r="AD20" s="137">
        <v>460</v>
      </c>
      <c r="AE20" s="137">
        <v>460</v>
      </c>
      <c r="AH20" s="137">
        <v>66</v>
      </c>
      <c r="AI20" s="137">
        <v>66</v>
      </c>
      <c r="AJ20" s="137">
        <v>130</v>
      </c>
      <c r="AK20" s="137">
        <v>500</v>
      </c>
      <c r="AL20" s="137">
        <v>500</v>
      </c>
    </row>
    <row r="21" spans="1:38">
      <c r="A21" s="44"/>
      <c r="B21" s="50" t="s">
        <v>234</v>
      </c>
      <c r="C21" s="46" t="s">
        <v>235</v>
      </c>
      <c r="D21" s="44"/>
      <c r="E21" s="50" t="s">
        <v>236</v>
      </c>
      <c r="F21" s="55">
        <f ca="1">$D$47</f>
        <v>129</v>
      </c>
      <c r="G21" s="55">
        <f ca="1">$E$47</f>
        <v>333</v>
      </c>
      <c r="H21" s="55">
        <f ca="1">$F$47</f>
        <v>7843</v>
      </c>
      <c r="I21" s="55">
        <f>$G$47</f>
        <v>11889.5</v>
      </c>
      <c r="J21" s="44"/>
      <c r="K21" s="44"/>
      <c r="L21" s="44"/>
      <c r="M21" s="44"/>
      <c r="N21" s="45"/>
      <c r="O21" s="45"/>
      <c r="V21" t="s">
        <v>237</v>
      </c>
      <c r="Y21" s="137">
        <v>60</v>
      </c>
      <c r="AA21" s="144"/>
      <c r="AB21" s="144"/>
      <c r="AC21" s="144"/>
      <c r="AD21" s="144"/>
      <c r="AE21" s="144"/>
      <c r="AH21" s="144"/>
      <c r="AI21" s="144"/>
      <c r="AJ21" s="144"/>
      <c r="AK21" s="144"/>
      <c r="AL21" s="144"/>
    </row>
    <row r="22" spans="1:38">
      <c r="A22" s="44"/>
      <c r="B22" s="50" t="s">
        <v>238</v>
      </c>
      <c r="C22" s="46" t="s">
        <v>181</v>
      </c>
      <c r="D22" s="44"/>
      <c r="E22" s="50" t="s">
        <v>239</v>
      </c>
      <c r="F22" s="45" t="str">
        <f>IF(($F$20=0),"More vCPUs",(IF($C$4="Small",IF(($F$21/$F$20)&gt;2.25,"More vCPUs","OK"),IF($C$4="Mainstream",IF(($F$21/$F$20)&gt;1.5,"More vCPUs","OK"),IF($C$4="Large",IF(($F$21/$F$20)&gt;1.5,"More vCPUs","OK"),IF($C$4="XXL",IF(($F$21/$F$20)&gt;1.5,"More vCPUs","OK")))))))</f>
        <v>More vCPUs</v>
      </c>
      <c r="G22" s="45" t="str">
        <f ca="1">IF($G$21&gt;$G$20,"More vRAMs","OK")</f>
        <v>More vRAMs</v>
      </c>
      <c r="H22" s="45" t="str">
        <f ca="1">IF($H$21&gt;$H$20,"More VMDKs","OK")</f>
        <v>More VMDKs</v>
      </c>
      <c r="I22" s="45" t="str">
        <f>IF($I$21&gt;$I$20,"More storage","OK")</f>
        <v>More storage</v>
      </c>
      <c r="J22" s="44"/>
      <c r="K22" s="44"/>
      <c r="L22" s="44"/>
      <c r="M22" s="44"/>
      <c r="N22" s="45"/>
      <c r="O22" s="45"/>
      <c r="S22" t="b">
        <f>AND($C$4="Small",$C$19&lt;61)</f>
        <v>1</v>
      </c>
      <c r="V22" t="s">
        <v>181</v>
      </c>
      <c r="AA22" s="137" t="s">
        <v>240</v>
      </c>
      <c r="AB22" s="137" t="s">
        <v>241</v>
      </c>
      <c r="AC22" s="137" t="s">
        <v>242</v>
      </c>
      <c r="AD22" s="137"/>
      <c r="AE22" s="137"/>
      <c r="AH22" s="137" t="s">
        <v>243</v>
      </c>
      <c r="AI22" s="137" t="s">
        <v>244</v>
      </c>
      <c r="AJ22" s="137" t="s">
        <v>245</v>
      </c>
      <c r="AK22" s="137"/>
      <c r="AL22" s="137"/>
    </row>
    <row r="23" spans="1:38">
      <c r="A23" s="44"/>
      <c r="B23" s="50" t="s">
        <v>246</v>
      </c>
      <c r="C23" s="46" t="s">
        <v>181</v>
      </c>
      <c r="D23" s="44"/>
      <c r="E23" s="44"/>
      <c r="F23" s="44"/>
      <c r="G23" s="44"/>
      <c r="H23" s="44"/>
      <c r="I23" s="44"/>
      <c r="J23" s="44"/>
      <c r="K23" s="44"/>
      <c r="L23" s="44"/>
      <c r="M23" s="44"/>
      <c r="N23" s="45"/>
      <c r="O23" s="45"/>
      <c r="AA23" s="137">
        <v>59.4</v>
      </c>
      <c r="AB23" s="137">
        <v>59.4</v>
      </c>
      <c r="AC23" s="137">
        <v>116.99</v>
      </c>
      <c r="AD23" s="137"/>
      <c r="AE23" s="137"/>
      <c r="AH23" s="137">
        <v>66</v>
      </c>
      <c r="AI23" s="137">
        <v>66</v>
      </c>
      <c r="AJ23" s="137">
        <v>130</v>
      </c>
      <c r="AK23" s="137"/>
      <c r="AL23" s="137"/>
    </row>
    <row r="24" spans="1:38">
      <c r="A24" s="44"/>
      <c r="B24" s="50" t="s">
        <v>247</v>
      </c>
      <c r="C24" s="46" t="s">
        <v>181</v>
      </c>
      <c r="D24" s="44"/>
      <c r="E24" s="44"/>
      <c r="F24" s="44"/>
      <c r="G24" s="44"/>
      <c r="H24" s="44"/>
      <c r="I24" s="44"/>
      <c r="J24" s="44"/>
      <c r="K24" s="44"/>
      <c r="L24" s="44"/>
      <c r="M24" s="44"/>
      <c r="N24" s="45"/>
      <c r="O24" s="45"/>
      <c r="V24" t="s">
        <v>248</v>
      </c>
      <c r="AA24" s="144"/>
      <c r="AB24" s="144"/>
      <c r="AC24" s="144"/>
      <c r="AD24" s="144"/>
      <c r="AE24" s="144"/>
      <c r="AH24" s="144"/>
      <c r="AI24" s="144"/>
      <c r="AJ24" s="144"/>
      <c r="AK24" s="144"/>
      <c r="AL24" s="144"/>
    </row>
    <row r="25" spans="1:38">
      <c r="A25" s="44"/>
      <c r="B25" s="50" t="s">
        <v>249</v>
      </c>
      <c r="C25" s="46" t="s">
        <v>181</v>
      </c>
      <c r="D25" s="44"/>
      <c r="E25" s="44"/>
      <c r="F25" s="44"/>
      <c r="G25" s="44"/>
      <c r="H25" s="44"/>
      <c r="I25" s="44"/>
      <c r="J25" s="44"/>
      <c r="K25" s="44"/>
      <c r="L25" s="44"/>
      <c r="M25" s="44"/>
      <c r="N25" s="45"/>
      <c r="O25" s="45"/>
      <c r="V25" t="s">
        <v>181</v>
      </c>
      <c r="AA25" s="137" t="s">
        <v>250</v>
      </c>
      <c r="AB25" s="137" t="s">
        <v>251</v>
      </c>
      <c r="AC25" s="137" t="s">
        <v>252</v>
      </c>
      <c r="AD25" s="137" t="s">
        <v>253</v>
      </c>
      <c r="AE25" s="137" t="s">
        <v>254</v>
      </c>
      <c r="AH25" s="137" t="s">
        <v>255</v>
      </c>
      <c r="AI25" s="137" t="s">
        <v>256</v>
      </c>
      <c r="AJ25" s="137" t="s">
        <v>257</v>
      </c>
      <c r="AK25" s="137" t="s">
        <v>258</v>
      </c>
      <c r="AL25" s="137" t="s">
        <v>259</v>
      </c>
    </row>
    <row r="26" spans="1:38">
      <c r="A26" s="44"/>
      <c r="B26" s="50" t="s">
        <v>67</v>
      </c>
      <c r="C26" s="46" t="s">
        <v>181</v>
      </c>
      <c r="D26" s="44"/>
      <c r="E26" s="44"/>
      <c r="F26" s="44"/>
      <c r="G26" s="44"/>
      <c r="H26" s="44"/>
      <c r="I26" s="44"/>
      <c r="J26" s="44"/>
      <c r="K26" s="44"/>
      <c r="L26" s="44"/>
      <c r="M26" s="44"/>
      <c r="N26" s="45"/>
      <c r="O26" s="45"/>
      <c r="S26" t="b">
        <f>AND($C$4="Mainstream",$C$19&lt;101)</f>
        <v>0</v>
      </c>
      <c r="V26" t="s">
        <v>178</v>
      </c>
      <c r="AA26" s="137">
        <v>1012.5</v>
      </c>
      <c r="AB26" s="137">
        <v>2025</v>
      </c>
      <c r="AC26" s="137">
        <v>3375</v>
      </c>
      <c r="AD26" s="137">
        <v>12150</v>
      </c>
      <c r="AE26" s="137">
        <v>16600</v>
      </c>
      <c r="AH26" s="137">
        <v>1125</v>
      </c>
      <c r="AI26" s="137">
        <v>2250</v>
      </c>
      <c r="AJ26" s="137">
        <v>3750</v>
      </c>
      <c r="AK26" s="137">
        <v>13500</v>
      </c>
      <c r="AL26" s="137">
        <v>18000</v>
      </c>
    </row>
    <row r="27" spans="1:38">
      <c r="A27" s="44"/>
      <c r="B27" s="50" t="s">
        <v>71</v>
      </c>
      <c r="C27" s="46" t="s">
        <v>181</v>
      </c>
      <c r="D27" s="44"/>
      <c r="E27" s="44"/>
      <c r="F27" s="44"/>
      <c r="G27" s="44"/>
      <c r="H27" s="44"/>
      <c r="I27" s="44"/>
      <c r="J27" s="44"/>
      <c r="K27" s="44"/>
      <c r="L27" s="44"/>
      <c r="M27" s="44"/>
      <c r="N27" s="45"/>
      <c r="O27" s="45"/>
      <c r="Y27" s="146" t="s">
        <v>260</v>
      </c>
      <c r="AA27" s="144"/>
      <c r="AB27" s="144"/>
      <c r="AC27" s="144"/>
      <c r="AD27" s="144"/>
      <c r="AE27" s="144"/>
      <c r="AH27" s="144"/>
      <c r="AI27" s="144"/>
      <c r="AJ27" s="144"/>
      <c r="AK27" s="144"/>
      <c r="AL27" s="144"/>
    </row>
    <row r="28" spans="1:38">
      <c r="A28" s="44"/>
      <c r="B28" s="50" t="s">
        <v>95</v>
      </c>
      <c r="C28" s="46" t="s">
        <v>181</v>
      </c>
      <c r="D28" s="44"/>
      <c r="E28" s="44"/>
      <c r="F28" s="44"/>
      <c r="G28" s="44"/>
      <c r="H28" s="44"/>
      <c r="I28" s="44"/>
      <c r="J28" s="44"/>
      <c r="K28" s="44"/>
      <c r="L28" s="44"/>
      <c r="M28" s="44"/>
      <c r="N28" s="45"/>
      <c r="O28" s="45"/>
      <c r="Y28" s="137">
        <v>20</v>
      </c>
      <c r="AA28" s="137" t="s">
        <v>261</v>
      </c>
      <c r="AB28" s="137" t="s">
        <v>262</v>
      </c>
      <c r="AC28" s="137" t="s">
        <v>263</v>
      </c>
      <c r="AD28" s="137"/>
      <c r="AE28" s="137"/>
      <c r="AH28" s="137" t="s">
        <v>264</v>
      </c>
      <c r="AI28" s="137" t="s">
        <v>265</v>
      </c>
      <c r="AJ28" s="137" t="s">
        <v>266</v>
      </c>
      <c r="AK28" s="137"/>
      <c r="AL28" s="137"/>
    </row>
    <row r="29" spans="1:38">
      <c r="A29" s="44"/>
      <c r="B29" s="44"/>
      <c r="C29" s="44"/>
      <c r="D29" s="44"/>
      <c r="E29" s="44"/>
      <c r="F29" s="44"/>
      <c r="G29" s="44"/>
      <c r="H29" s="44"/>
      <c r="I29" s="44"/>
      <c r="J29" s="44"/>
      <c r="K29" s="44"/>
      <c r="L29" s="44"/>
      <c r="M29" s="44"/>
      <c r="N29" s="45"/>
      <c r="O29" s="45"/>
      <c r="Y29" s="137">
        <v>60</v>
      </c>
      <c r="AA29" s="137">
        <v>2295</v>
      </c>
      <c r="AB29" s="137">
        <v>2025</v>
      </c>
      <c r="AC29" s="137">
        <v>4590</v>
      </c>
      <c r="AD29" s="137"/>
      <c r="AE29" s="137"/>
      <c r="AH29" s="137">
        <v>2550</v>
      </c>
      <c r="AI29" s="137">
        <v>2250</v>
      </c>
      <c r="AJ29" s="137">
        <v>5100</v>
      </c>
      <c r="AK29" s="137"/>
      <c r="AL29" s="137"/>
    </row>
    <row r="30" spans="1:38">
      <c r="A30" s="44"/>
      <c r="B30" s="44"/>
      <c r="C30" s="44"/>
      <c r="D30" s="44"/>
      <c r="E30" s="44"/>
      <c r="F30" s="44"/>
      <c r="G30" s="44"/>
      <c r="H30" s="44"/>
      <c r="I30" s="44"/>
      <c r="J30" s="44"/>
      <c r="K30" s="44"/>
      <c r="L30" s="44"/>
      <c r="M30" s="44"/>
      <c r="N30" s="45"/>
      <c r="O30" s="45"/>
      <c r="Y30" s="149">
        <v>100</v>
      </c>
      <c r="AA30" s="144"/>
      <c r="AB30" s="144"/>
      <c r="AC30" s="144"/>
      <c r="AD30" s="144"/>
      <c r="AE30" s="144"/>
      <c r="AH30" s="144"/>
      <c r="AI30" s="144"/>
      <c r="AJ30" s="144"/>
      <c r="AK30" s="144"/>
      <c r="AL30" s="144"/>
    </row>
    <row r="31" spans="1:38">
      <c r="A31" s="44"/>
      <c r="B31" s="44"/>
      <c r="C31" s="44"/>
      <c r="D31" s="44"/>
      <c r="E31" s="44"/>
      <c r="F31" s="44"/>
      <c r="G31" s="44"/>
      <c r="H31" s="44"/>
      <c r="I31" s="44"/>
      <c r="J31" s="44"/>
      <c r="K31" s="44"/>
      <c r="L31" s="44"/>
      <c r="M31" s="44"/>
      <c r="N31" s="45"/>
      <c r="O31" s="45"/>
      <c r="Y31" s="150"/>
      <c r="AA31" s="137" t="s">
        <v>267</v>
      </c>
      <c r="AB31" s="137" t="s">
        <v>268</v>
      </c>
      <c r="AC31" s="137" t="s">
        <v>269</v>
      </c>
      <c r="AD31" s="137" t="s">
        <v>270</v>
      </c>
      <c r="AE31" s="137" t="s">
        <v>271</v>
      </c>
      <c r="AH31" s="137" t="s">
        <v>272</v>
      </c>
      <c r="AI31" s="137" t="s">
        <v>273</v>
      </c>
      <c r="AJ31" s="137" t="s">
        <v>274</v>
      </c>
      <c r="AK31" s="137" t="s">
        <v>275</v>
      </c>
      <c r="AL31" s="137" t="s">
        <v>276</v>
      </c>
    </row>
    <row r="32" spans="1:38">
      <c r="A32" s="48"/>
      <c r="B32" s="48"/>
      <c r="C32" s="48"/>
      <c r="D32" s="48"/>
      <c r="E32" s="48"/>
      <c r="F32" s="48"/>
      <c r="G32" s="48"/>
      <c r="H32" s="48"/>
      <c r="I32" s="48"/>
      <c r="J32" s="49"/>
      <c r="K32" s="49"/>
      <c r="L32" s="49"/>
      <c r="M32" s="49"/>
      <c r="N32" s="45"/>
      <c r="O32" s="45"/>
      <c r="AA32" s="137">
        <v>6735</v>
      </c>
      <c r="AB32" s="137">
        <v>11249.5</v>
      </c>
      <c r="AC32" s="137">
        <v>16771.5</v>
      </c>
      <c r="AD32" s="137">
        <v>35934</v>
      </c>
      <c r="AE32" s="137">
        <v>39113</v>
      </c>
      <c r="AH32" s="137">
        <v>3050</v>
      </c>
      <c r="AI32" s="137">
        <v>6855</v>
      </c>
      <c r="AJ32" s="137">
        <v>11375</v>
      </c>
      <c r="AK32" s="137">
        <v>31056</v>
      </c>
      <c r="AL32" s="137">
        <v>34400</v>
      </c>
    </row>
    <row r="33" spans="1:38">
      <c r="A33" s="48"/>
      <c r="B33" s="51" t="s">
        <v>277</v>
      </c>
      <c r="C33" s="51" t="str">
        <f>C4</f>
        <v>Small</v>
      </c>
      <c r="D33" s="51"/>
      <c r="E33" s="51"/>
      <c r="F33" s="51"/>
      <c r="G33" s="51"/>
      <c r="H33" s="51"/>
      <c r="I33" s="48"/>
      <c r="J33" s="49"/>
      <c r="K33" s="49"/>
      <c r="L33" s="49"/>
      <c r="M33" s="49"/>
      <c r="N33" s="45"/>
      <c r="O33" s="45"/>
      <c r="S33" t="b">
        <f>IF($C$4="Large",TRUE,FALSE)</f>
        <v>0</v>
      </c>
      <c r="W33" t="b">
        <f>IF($C$4="XXL",TRUE,FALSE)</f>
        <v>0</v>
      </c>
      <c r="Z33" t="b">
        <f>IF($C$4="3XL",TRUE,FALSE)</f>
        <v>0</v>
      </c>
      <c r="AA33" s="144"/>
      <c r="AB33" s="144"/>
      <c r="AC33" s="144"/>
      <c r="AD33" s="144"/>
      <c r="AE33" s="144"/>
      <c r="AH33" s="144"/>
      <c r="AI33" s="144"/>
      <c r="AJ33" s="144"/>
      <c r="AK33" s="144"/>
      <c r="AL33" s="144"/>
    </row>
    <row r="34" spans="1:38">
      <c r="A34" s="48"/>
      <c r="B34" s="51"/>
      <c r="C34" s="56" t="s">
        <v>278</v>
      </c>
      <c r="D34" s="56" t="s">
        <v>129</v>
      </c>
      <c r="E34" s="56" t="s">
        <v>146</v>
      </c>
      <c r="F34" s="56" t="s">
        <v>279</v>
      </c>
      <c r="G34" s="56" t="s">
        <v>280</v>
      </c>
      <c r="H34" s="56" t="s">
        <v>191</v>
      </c>
      <c r="I34" s="48"/>
      <c r="J34" s="49"/>
      <c r="K34" s="49"/>
      <c r="L34" s="49"/>
      <c r="M34" s="49"/>
      <c r="N34" s="45"/>
      <c r="O34" s="45"/>
      <c r="AA34" s="137" t="s">
        <v>281</v>
      </c>
      <c r="AB34" s="137" t="s">
        <v>282</v>
      </c>
      <c r="AC34" s="137" t="s">
        <v>283</v>
      </c>
      <c r="AD34" s="137"/>
      <c r="AE34" s="137"/>
      <c r="AH34" s="137" t="s">
        <v>284</v>
      </c>
      <c r="AI34" s="137" t="s">
        <v>285</v>
      </c>
      <c r="AJ34" s="137" t="s">
        <v>286</v>
      </c>
      <c r="AK34" s="137"/>
      <c r="AL34" s="137"/>
    </row>
    <row r="35" spans="1:38">
      <c r="A35" s="48"/>
      <c r="B35" s="51" t="s">
        <v>287</v>
      </c>
      <c r="C35" s="57">
        <f>R9</f>
        <v>25</v>
      </c>
      <c r="D35" s="57">
        <f ca="1">IF(C4="Small",INDIRECT(ADDRESS($R$7,6,,,$E$4))-6+C7,IF(C4="Mainstream",INDIRECT(ADDRESS($R$7,6,,,$E$4))-11+C7,IF(C4="Large",INDIRECT(ADDRESS($R$7,6,,,$E$4))-16+C7,IF(C4="XXL",INDIRECT(ADDRESS($R$7,6,,,$E$4))-16+C7,IF(C4="3XL",INDIRECT(ADDRESS($R$7,6,,,$E$4))-24+C7)))))</f>
        <v>117</v>
      </c>
      <c r="E35" s="57">
        <f ca="1">IF(C4="Small",INDIRECT(ADDRESS($R$7,7,,,$E$4))-40+C6,IF(C4="Mainstream",INDIRECT(ADDRESS($R$7,7,,,$E$4))-70+C6,IF(C4="Large",INDIRECT(ADDRESS($R$7,7,,,$E$4))-90+C6,IF(C4="XXL",INDIRECT(ADDRESS($R$7,7,,,$E$4))-160+C6,IF(C4="3XL",INDIRECT(ADDRESS($R$7,7,,,$E$4))-240+C6)))))</f>
        <v>299</v>
      </c>
      <c r="F35" s="57">
        <f ca="1">INDIRECT(ADDRESS($R$7,$S$5,,,$E$4))+C5+C8+C9+C11+C12+C13+C14+C15</f>
        <v>7523</v>
      </c>
      <c r="G35" s="57">
        <f>$C$10</f>
        <v>11249.5</v>
      </c>
      <c r="H35" s="57">
        <f ca="1">$R$11+$R$12</f>
        <v>66</v>
      </c>
      <c r="I35" s="48"/>
      <c r="J35" s="49"/>
      <c r="K35" s="49"/>
      <c r="L35" s="49"/>
      <c r="M35" s="49"/>
      <c r="N35" s="45"/>
      <c r="O35" s="45"/>
      <c r="AA35" s="137">
        <v>10560</v>
      </c>
      <c r="AB35" s="137">
        <v>11269.5</v>
      </c>
      <c r="AC35" s="137">
        <v>23589</v>
      </c>
      <c r="AD35" s="137"/>
      <c r="AE35" s="137"/>
      <c r="AH35" s="137">
        <v>7300</v>
      </c>
      <c r="AI35" s="137">
        <v>6855</v>
      </c>
      <c r="AJ35" s="137">
        <v>18950</v>
      </c>
      <c r="AK35" s="137"/>
      <c r="AL35" s="137"/>
    </row>
    <row r="36" spans="1:38">
      <c r="A36" s="48"/>
      <c r="B36" s="51" t="str">
        <f>B18</f>
        <v>Thresholder and Profiler</v>
      </c>
      <c r="C36" s="57">
        <f>IF($C$18="Used",IF($C$4="Small",1,0)+IF($C$4="Mainstream",1,0)+IF($C$4="Large",1,0)+IF($C$4="XXL",1,0)+IF($C$4="3XL",1,0),0)</f>
        <v>0</v>
      </c>
      <c r="D36" s="57">
        <f ca="1">IF($C$18="Used",1,0)*SUMIF(INDIRECT($R$2),"T&amp;P",INDIRECT($R$3))</f>
        <v>0</v>
      </c>
      <c r="E36" s="57">
        <f ca="1">IF($C$18="Used",1,0)*SUMIF(INDIRECT($R$2),"T&amp;P",INDIRECT($R$4))</f>
        <v>0</v>
      </c>
      <c r="F36" s="57">
        <f ca="1">IF($C$18="Used",1,0)*SUMIF(INDIRECT($R$2),"T&amp;P",INDIRECT($R$5))</f>
        <v>0</v>
      </c>
      <c r="G36" s="57">
        <f>IF($C$18="Used",IF($C$2="OpenStack",F36*2,0),0)</f>
        <v>0</v>
      </c>
      <c r="H36" s="57">
        <f>IF($C$18="Used",$W$1,0)</f>
        <v>0</v>
      </c>
      <c r="I36" s="48"/>
      <c r="J36" s="49"/>
      <c r="K36" s="49"/>
      <c r="L36" s="49"/>
      <c r="M36" s="49"/>
      <c r="N36" s="45"/>
      <c r="O36" s="45"/>
      <c r="AA36" s="144"/>
      <c r="AB36" s="144"/>
      <c r="AC36" s="144"/>
      <c r="AD36" s="144"/>
      <c r="AE36" s="144"/>
      <c r="AH36" s="144"/>
      <c r="AI36" s="144"/>
      <c r="AJ36" s="144"/>
      <c r="AK36" s="144"/>
      <c r="AL36" s="144"/>
    </row>
    <row r="37" spans="1:38">
      <c r="A37" s="48"/>
      <c r="B37" s="51" t="s">
        <v>288</v>
      </c>
      <c r="C37" s="57">
        <f>IF($C$19&gt;=20, IF(C19=20,3,0)+IF(C19=60,4,0)+IF(C19=100,6,0)+IF(C19=180,10,0),0)</f>
        <v>3</v>
      </c>
      <c r="D37" s="57">
        <f>IF($C$19&gt;=20, 4+4+4*IF($C$19=20,1,0)+4*IF($C$19=60,2,0)+4*IF($C$19=100,4,0)+4*IF($C$19=180,8,0),0)</f>
        <v>12</v>
      </c>
      <c r="E37" s="57">
        <f>IF($C$19&gt;=20, 4+14+16*IF($C$19=20,1,0)+16*IF($C$19=60,2,0)+16*IF($C$19=100,4,0)+16*IF($C$19=180,8,0),0)</f>
        <v>34</v>
      </c>
      <c r="F37" s="57">
        <f>IF($C$19&gt;=20, 100+100+100*IF($C$19=20,1.2,0)+100*IF($C$19=60,2.2,0)+100*IF($C$19=100,4.2,0)+100*IF($C$19=180,8.2,0),0)</f>
        <v>320</v>
      </c>
      <c r="G37" s="57">
        <f>IF($C$2="OpenStack",F37*2,0)</f>
        <v>640</v>
      </c>
      <c r="H37" s="57">
        <f>IF($C$2="OpenStack",$W$2,0)</f>
        <v>0</v>
      </c>
      <c r="I37" s="48" t="s">
        <v>289</v>
      </c>
      <c r="J37" s="49"/>
      <c r="K37" s="49"/>
      <c r="L37" s="49"/>
      <c r="M37" s="49"/>
      <c r="N37" s="45"/>
      <c r="O37" s="45"/>
      <c r="Y37" s="146" t="s">
        <v>290</v>
      </c>
      <c r="AA37" s="137" t="s">
        <v>291</v>
      </c>
      <c r="AB37" s="137" t="s">
        <v>292</v>
      </c>
      <c r="AC37" s="137" t="s">
        <v>293</v>
      </c>
      <c r="AD37" s="137" t="s">
        <v>294</v>
      </c>
      <c r="AE37" s="137" t="s">
        <v>295</v>
      </c>
      <c r="AH37" s="137" t="s">
        <v>296</v>
      </c>
      <c r="AI37" s="137" t="s">
        <v>297</v>
      </c>
      <c r="AJ37" s="137" t="s">
        <v>298</v>
      </c>
      <c r="AK37" s="137" t="s">
        <v>299</v>
      </c>
      <c r="AL37" s="137" t="s">
        <v>300</v>
      </c>
    </row>
    <row r="38" spans="1:38">
      <c r="A38" s="48"/>
      <c r="B38" s="51" t="str">
        <f>B20</f>
        <v>Security Log Collector</v>
      </c>
      <c r="C38" s="57">
        <f>IF($C$20="Used",IF($C$4="Small",2,0)+IF($C$4="Mainstream",4,0)+IF($C$4="Large",4,0)+IF($C$4="XXL",4,0)+IF($C$4="3XL",4,0),0)</f>
        <v>0</v>
      </c>
      <c r="D38" s="57">
        <f ca="1">IF($C$20="Used",1,0)*SUMIF(INDIRECT($R$2),"SLC*",INDIRECT($R$3))</f>
        <v>0</v>
      </c>
      <c r="E38" s="57">
        <f ca="1">IF($C$20="Used",1,0)*SUMIF(INDIRECT($R$2),"SLC*",INDIRECT($R$4))</f>
        <v>0</v>
      </c>
      <c r="F38" s="57">
        <f ca="1">IF($C$20="Used",1,0)*SUMIF(INDIRECT($R$2),"SLC*",INDIRECT($R$5))</f>
        <v>0</v>
      </c>
      <c r="G38" s="57">
        <f>IF($C$20="Used",IF($C$2="OpenStack",F38*2,0),0)</f>
        <v>0</v>
      </c>
      <c r="H38" s="57">
        <f>IF($C$20="Used",$W$4,0)</f>
        <v>0</v>
      </c>
      <c r="I38" s="48"/>
      <c r="J38" s="49"/>
      <c r="K38" s="49"/>
      <c r="L38" s="49"/>
      <c r="M38" s="49"/>
      <c r="N38" s="45"/>
      <c r="O38" s="45"/>
      <c r="Y38" s="137">
        <v>20</v>
      </c>
      <c r="AA38" s="137">
        <v>312</v>
      </c>
      <c r="AB38" s="137">
        <v>393</v>
      </c>
      <c r="AC38" s="137">
        <v>549</v>
      </c>
      <c r="AD38" s="137">
        <v>834.99</v>
      </c>
      <c r="AE38" s="137">
        <v>1250</v>
      </c>
      <c r="AH38" s="137">
        <v>340</v>
      </c>
      <c r="AI38" s="137">
        <v>430</v>
      </c>
      <c r="AJ38" s="137">
        <v>600</v>
      </c>
      <c r="AK38" s="137">
        <v>920</v>
      </c>
      <c r="AL38" s="137">
        <v>1395</v>
      </c>
    </row>
    <row r="39" spans="1:38">
      <c r="A39" s="48"/>
      <c r="B39" s="51" t="str">
        <f>B21</f>
        <v>Single RAN BTS Adapter</v>
      </c>
      <c r="C39" s="57">
        <f>IF($C$21="Used",0,0)</f>
        <v>0</v>
      </c>
      <c r="D39" s="57">
        <f ca="1">IF($C$21="Used",1,0)*SUMIF(INDIRECT($R$2),"SBTS*",INDIRECT($R$3))</f>
        <v>0</v>
      </c>
      <c r="E39" s="57">
        <f ca="1">IF($C$21="Used",1,0)*SUMIF(INDIRECT($R$2),"SBTS*",INDIRECT($R$4))</f>
        <v>0</v>
      </c>
      <c r="F39" s="57">
        <f ca="1">IF($C$21="Used",1,0)*SUMIF(INDIRECT($R$2),"SBTS*",INDIRECT($R$5))</f>
        <v>0</v>
      </c>
      <c r="G39" s="57">
        <f>IF($C$21="Used",IF($C$2="OpenStack",F39*2,0),0)</f>
        <v>0</v>
      </c>
      <c r="H39" s="57">
        <f>IF($C$21="Used",$W$5,0)</f>
        <v>0</v>
      </c>
      <c r="I39" s="48"/>
      <c r="J39" s="49"/>
      <c r="K39" s="49"/>
      <c r="L39" s="49"/>
      <c r="M39" s="49"/>
      <c r="N39" s="45"/>
      <c r="O39" s="45"/>
      <c r="Y39" s="137">
        <v>60</v>
      </c>
      <c r="AA39" s="144"/>
      <c r="AB39" s="144"/>
      <c r="AC39" s="144"/>
      <c r="AD39" s="144"/>
      <c r="AE39" s="144"/>
      <c r="AH39" s="144"/>
      <c r="AI39" s="144"/>
      <c r="AJ39" s="144"/>
      <c r="AK39" s="144"/>
      <c r="AL39" s="144"/>
    </row>
    <row r="40" spans="1:38">
      <c r="A40" s="48"/>
      <c r="B40" s="51" t="str">
        <f>B22</f>
        <v>Centralized license Server</v>
      </c>
      <c r="C40" s="57">
        <f>IF($C$22="Used",3,0)</f>
        <v>0</v>
      </c>
      <c r="D40" s="57">
        <f ca="1">IF($C$22="Used",1,0)*SUMIF(INDIRECT($R$2),"CLS*",INDIRECT($R$3))</f>
        <v>0</v>
      </c>
      <c r="E40" s="57">
        <f ca="1">IF($C$22="Used",1,0)*SUMIF(INDIRECT($R$2),"CLS*",INDIRECT($R$4))</f>
        <v>0</v>
      </c>
      <c r="F40" s="57">
        <f ca="1">IF($C$22="Used",1,0)*SUMIF(INDIRECT($R$2),"CLS*",INDIRECT($R$5))</f>
        <v>0</v>
      </c>
      <c r="G40" s="57">
        <f>IF($C$22="Used",IF($C$2="OpenStack",F40*2,0),0)</f>
        <v>0</v>
      </c>
      <c r="H40" s="57">
        <f>IF($C$22="Used",$W$6,0)</f>
        <v>0</v>
      </c>
      <c r="I40" s="48"/>
      <c r="J40" s="49"/>
      <c r="K40" s="49"/>
      <c r="L40" s="49"/>
      <c r="M40" s="49"/>
      <c r="N40" s="45"/>
      <c r="O40" s="45"/>
      <c r="Y40" s="137">
        <v>100</v>
      </c>
      <c r="AA40" s="137" t="s">
        <v>301</v>
      </c>
      <c r="AB40" s="137" t="s">
        <v>302</v>
      </c>
      <c r="AC40" s="137" t="s">
        <v>303</v>
      </c>
      <c r="AD40" s="137" t="s">
        <v>304</v>
      </c>
      <c r="AE40" s="137" t="s">
        <v>305</v>
      </c>
      <c r="AH40" s="137" t="s">
        <v>306</v>
      </c>
      <c r="AI40" s="137" t="s">
        <v>307</v>
      </c>
      <c r="AJ40" s="137" t="s">
        <v>308</v>
      </c>
      <c r="AK40" s="137" t="s">
        <v>309</v>
      </c>
      <c r="AL40" s="137" t="s">
        <v>310</v>
      </c>
    </row>
    <row r="41" spans="1:38">
      <c r="A41" s="48"/>
      <c r="B41" s="51" t="s">
        <v>246</v>
      </c>
      <c r="C41" s="57">
        <f>IF($C$23="Used",IF($C$4="Small",2,0)+IF($C$4="Mainstream",2,0)+IF($C$4="Large",2,0)+IF($C$4="XXL",2,0)+IF($C$4="3XL",2,0),0)</f>
        <v>0</v>
      </c>
      <c r="D41" s="57">
        <f ca="1">IF($C$23="Used",1,0)*SUMIF(INDIRECT($R$2),"BTSMED*",INDIRECT($R$3))</f>
        <v>0</v>
      </c>
      <c r="E41" s="57">
        <f ca="1">IF($C$23="Used",1,0)*SUMIF(INDIRECT($R$2),"BTSMED*",INDIRECT($R$4))</f>
        <v>0</v>
      </c>
      <c r="F41" s="57">
        <f ca="1">IF($C$23="Used",1,0)*SUMIF(INDIRECT($R$2),"BTSMED*",INDIRECT($R$5))</f>
        <v>0</v>
      </c>
      <c r="G41" s="57">
        <f>IF($C$23="Used",IF($C$2="OpenStack",F41*2,0),0)</f>
        <v>0</v>
      </c>
      <c r="H41" s="57">
        <f>IF($C$23="Used",$W$9,0)</f>
        <v>0</v>
      </c>
      <c r="I41" s="48"/>
      <c r="J41" s="49"/>
      <c r="K41" s="49"/>
      <c r="L41" s="49"/>
      <c r="M41" s="49"/>
      <c r="N41" s="45"/>
      <c r="O41" s="45"/>
      <c r="Y41" s="137">
        <v>180</v>
      </c>
      <c r="AA41" s="137">
        <v>90</v>
      </c>
      <c r="AB41" s="137">
        <v>90</v>
      </c>
      <c r="AC41" s="137">
        <v>180</v>
      </c>
      <c r="AD41" s="137">
        <v>180</v>
      </c>
      <c r="AE41" s="137">
        <v>300</v>
      </c>
      <c r="AH41" s="137">
        <v>100</v>
      </c>
      <c r="AI41" s="137">
        <v>100</v>
      </c>
      <c r="AJ41" s="137">
        <v>200</v>
      </c>
      <c r="AK41" s="137">
        <v>200</v>
      </c>
      <c r="AL41" s="137">
        <v>332</v>
      </c>
    </row>
    <row r="42" spans="1:38">
      <c r="A42" s="48"/>
      <c r="B42" s="51" t="s">
        <v>247</v>
      </c>
      <c r="C42" s="57">
        <f>IF($C$24="Used",IF($C$4="Small",1,0)+IF($C$4="Mainstream",1,0)+IF($C$4="Large",2,0)+IF($C$4="XXL",2,0)+IF($C$4="3XL",2,0),0)</f>
        <v>0</v>
      </c>
      <c r="D42" s="57">
        <f ca="1">IF($C$24="Used",1,0)*SUMIF(INDIRECT($R$2),"LTE-A*",INDIRECT($R$3))</f>
        <v>0</v>
      </c>
      <c r="E42" s="57">
        <f ca="1">IF($C$24="Used",1,0)*SUMIF(INDIRECT($R$2),"LTE-A*",INDIRECT($R$4))</f>
        <v>0</v>
      </c>
      <c r="F42" s="57">
        <f ca="1">IF($C$24="Used",1,0)*SUMIF(INDIRECT($R$2),"LTE-A*",INDIRECT($R$5))</f>
        <v>0</v>
      </c>
      <c r="G42" s="57">
        <f>IF($C$24="Used",IF($C$2="OpenStack",F42*2,0),0)</f>
        <v>0</v>
      </c>
      <c r="H42" s="57">
        <f>IF($C$24="Used",$W$10,0)</f>
        <v>0</v>
      </c>
      <c r="I42" s="48"/>
      <c r="J42" s="49"/>
      <c r="K42" s="49"/>
      <c r="L42" s="49"/>
      <c r="M42" s="49"/>
      <c r="N42" s="45"/>
      <c r="O42" s="45"/>
      <c r="AA42" s="144"/>
      <c r="AB42" s="144"/>
      <c r="AC42" s="144"/>
      <c r="AD42" s="144"/>
      <c r="AE42" s="144"/>
      <c r="AH42" s="144"/>
      <c r="AI42" s="144"/>
      <c r="AJ42" s="144"/>
      <c r="AK42" s="144"/>
      <c r="AL42" s="144"/>
    </row>
    <row r="43" spans="1:38">
      <c r="A43" s="48"/>
      <c r="B43" s="51" t="s">
        <v>249</v>
      </c>
      <c r="C43" s="57">
        <f>IF($C$25="Used",6,0)</f>
        <v>0</v>
      </c>
      <c r="D43" s="57">
        <f ca="1">IF($C$25="Used",1,0)*SUMIF((INDIRECT($R$6)),"*360*",INDIRECT($R$3))</f>
        <v>0</v>
      </c>
      <c r="E43" s="57">
        <f ca="1">IF($C$25="Used",1,0)*SUMIF((INDIRECT($R$6)),"*360*",INDIRECT($R$4))</f>
        <v>0</v>
      </c>
      <c r="F43" s="57">
        <f ca="1">IF($C$25="Used",1,0)*SUMIF((INDIRECT($R$6)),"*360*",INDIRECT($R$5)) + IF($C$25="Used",1,0)*IF($C$2="Vmware",250,IF($C$2="OpenStack",256,0))</f>
        <v>0</v>
      </c>
      <c r="G43" s="57">
        <f>IF($C$25="Used",IF($C$2="OpenStack",F43*2,0),0)</f>
        <v>0</v>
      </c>
      <c r="H43" s="57">
        <f>IF($C$25="Used",$W$11,0)</f>
        <v>0</v>
      </c>
      <c r="I43" s="48"/>
      <c r="J43" s="49"/>
      <c r="K43" s="49"/>
      <c r="L43" s="49"/>
      <c r="M43" s="49"/>
      <c r="N43" s="45"/>
      <c r="O43" s="45"/>
      <c r="R43" t="str">
        <f>CONCATENATE(IF($C$4="3XL","XXXL",$C$4),$B$5,$C$2)</f>
        <v>SmallDatabaseOpenStack</v>
      </c>
      <c r="Y43" s="95"/>
      <c r="AA43" s="137" t="s">
        <v>311</v>
      </c>
      <c r="AB43" s="137" t="s">
        <v>312</v>
      </c>
      <c r="AC43" s="137" t="s">
        <v>313</v>
      </c>
      <c r="AD43" s="137" t="s">
        <v>314</v>
      </c>
      <c r="AE43" s="137" t="s">
        <v>315</v>
      </c>
      <c r="AH43" s="137" t="s">
        <v>316</v>
      </c>
      <c r="AI43" s="137" t="s">
        <v>317</v>
      </c>
      <c r="AJ43" s="137" t="s">
        <v>318</v>
      </c>
      <c r="AK43" s="137" t="s">
        <v>319</v>
      </c>
      <c r="AL43" s="137" t="s">
        <v>320</v>
      </c>
    </row>
    <row r="44" spans="1:38">
      <c r="A44" s="48"/>
      <c r="B44" s="51" t="s">
        <v>67</v>
      </c>
      <c r="C44" s="57">
        <f>IF($C$26="Used",3,0)</f>
        <v>0</v>
      </c>
      <c r="D44" s="57">
        <f ca="1">IF($C$26="Used",1,0)*SUMIF(INDIRECT($R$2),"NetGuard*",INDIRECT($R$3))</f>
        <v>0</v>
      </c>
      <c r="E44" s="57">
        <f ca="1">IF($C$26="Used",1,0)*SUMIF(INDIRECT($R$2),"NetGuard*",INDIRECT($R$4))</f>
        <v>0</v>
      </c>
      <c r="F44" s="57">
        <f ca="1">IF($C$26="Used",1,0)*SUMIF(INDIRECT($R$2),"NetGuard*",INDIRECT($R$5))</f>
        <v>0</v>
      </c>
      <c r="G44" s="57">
        <f>IF($C$26="Used",IF($C$2="OpenStack",F44*2,0),0)</f>
        <v>0</v>
      </c>
      <c r="H44" s="57">
        <f>IF($C$26="Used",$W$12,0)</f>
        <v>0</v>
      </c>
      <c r="I44" s="48"/>
      <c r="J44" s="49"/>
      <c r="K44" s="49"/>
      <c r="L44" s="49"/>
      <c r="M44" s="49"/>
      <c r="N44" s="45"/>
      <c r="O44" s="45"/>
      <c r="AA44" s="137">
        <v>50</v>
      </c>
      <c r="AB44" s="137">
        <v>50</v>
      </c>
      <c r="AC44" s="137">
        <v>50</v>
      </c>
      <c r="AD44" s="137">
        <v>50</v>
      </c>
      <c r="AE44" s="137">
        <v>50</v>
      </c>
      <c r="AH44" s="137">
        <v>50</v>
      </c>
      <c r="AI44" s="137">
        <v>50</v>
      </c>
      <c r="AJ44" s="137">
        <v>50</v>
      </c>
      <c r="AK44" s="137">
        <v>50</v>
      </c>
      <c r="AL44" s="137">
        <v>50</v>
      </c>
    </row>
    <row r="45" spans="1:38">
      <c r="A45" s="48"/>
      <c r="B45" s="51" t="s">
        <v>71</v>
      </c>
      <c r="C45" s="57">
        <f>IF($C$27="Used",1,0)</f>
        <v>0</v>
      </c>
      <c r="D45" s="57">
        <f ca="1">IF($C$27="Used",1,0)*SUMIF(INDIRECT($R$2),"NBIVES*",INDIRECT($R$3))</f>
        <v>0</v>
      </c>
      <c r="E45" s="57">
        <f ca="1">IF($C$27="Used",1,0)*SUMIF(INDIRECT($R$2),"NBIVES*",INDIRECT($R$4))</f>
        <v>0</v>
      </c>
      <c r="F45" s="57">
        <f ca="1">IF($C$27="Used",1,0)*SUMIF(INDIRECT($R$2),"NBIVES*",INDIRECT($R$5))</f>
        <v>0</v>
      </c>
      <c r="G45" s="57">
        <f>IF($C$27="Used",IF($C$2="OpenStack",F45*2,0),0)</f>
        <v>0</v>
      </c>
      <c r="H45" s="57">
        <f>IF($C$27="Used",$W$15,0)</f>
        <v>0</v>
      </c>
      <c r="I45" s="48"/>
      <c r="J45" s="49"/>
      <c r="K45" s="49"/>
      <c r="L45" s="49"/>
      <c r="M45" s="49"/>
      <c r="N45" s="45"/>
      <c r="O45" s="45"/>
      <c r="S45" s="2"/>
      <c r="U45" s="2"/>
      <c r="AA45" s="144"/>
      <c r="AB45" s="144"/>
      <c r="AC45" s="144"/>
      <c r="AD45" s="144"/>
      <c r="AE45" s="144"/>
      <c r="AH45" s="144"/>
      <c r="AI45" s="144"/>
      <c r="AJ45" s="144"/>
      <c r="AK45" s="144"/>
      <c r="AL45" s="144"/>
    </row>
    <row r="46" spans="1:38">
      <c r="A46" s="48"/>
      <c r="B46" s="51" t="s">
        <v>95</v>
      </c>
      <c r="C46" s="57">
        <f>IF($C$2="VmWare",IF($C$28="Used",1,0),0)</f>
        <v>0</v>
      </c>
      <c r="D46" s="57">
        <f ca="1">IF($C$28="Used",1,0)*SUMIF(INDIRECT($R$2),"Graylog*",INDIRECT($R$3))</f>
        <v>0</v>
      </c>
      <c r="E46" s="57">
        <f ca="1">IF($C$28="Used",1,0)*SUMIF(INDIRECT($R$2),"Graylog*",INDIRECT($R$4))</f>
        <v>0</v>
      </c>
      <c r="F46" s="57">
        <f ca="1">IF($C$28="Used",1,0)*SUMIF(INDIRECT($R$2),"Graylog*",INDIRECT($R$5))</f>
        <v>0</v>
      </c>
      <c r="G46" s="57">
        <f>IF($C$27="Used",IF($C$2="OpenStack",F46*2,0),0)</f>
        <v>0</v>
      </c>
      <c r="H46" s="57">
        <f>IF($C$2="VmWare",0,0)</f>
        <v>0</v>
      </c>
      <c r="I46" s="48"/>
      <c r="J46" s="49"/>
      <c r="K46" s="49"/>
      <c r="L46" s="49"/>
      <c r="M46" s="49"/>
      <c r="N46" s="45"/>
      <c r="O46" s="45"/>
      <c r="S46" s="2"/>
      <c r="U46" s="2"/>
      <c r="AA46" s="137" t="s">
        <v>321</v>
      </c>
      <c r="AB46" s="137" t="s">
        <v>322</v>
      </c>
      <c r="AC46" s="137" t="s">
        <v>323</v>
      </c>
      <c r="AD46" s="137" t="s">
        <v>324</v>
      </c>
      <c r="AE46" s="137" t="s">
        <v>325</v>
      </c>
      <c r="AH46" s="137" t="s">
        <v>326</v>
      </c>
      <c r="AI46" s="137" t="s">
        <v>327</v>
      </c>
      <c r="AJ46" s="137" t="s">
        <v>328</v>
      </c>
      <c r="AK46" s="137" t="s">
        <v>329</v>
      </c>
      <c r="AL46" s="137" t="s">
        <v>330</v>
      </c>
    </row>
    <row r="47" spans="1:38">
      <c r="A47" s="48"/>
      <c r="B47" s="52" t="s">
        <v>331</v>
      </c>
      <c r="C47" s="58">
        <f>SUM(C35:C46)</f>
        <v>28</v>
      </c>
      <c r="D47" s="58">
        <f ca="1">SUM(D35:D46)</f>
        <v>129</v>
      </c>
      <c r="E47" s="58">
        <f ca="1">SUM(E35:E46)</f>
        <v>333</v>
      </c>
      <c r="F47" s="58">
        <f ca="1">SUM(F35:F46)</f>
        <v>7843</v>
      </c>
      <c r="G47" s="58">
        <f>C10+SUM(G36:G46)</f>
        <v>11889.5</v>
      </c>
      <c r="H47" s="58">
        <f ca="1">SUM(H35:H46)+$R$12</f>
        <v>67</v>
      </c>
      <c r="I47" s="48"/>
      <c r="J47" s="49"/>
      <c r="K47" s="49"/>
      <c r="L47" s="49"/>
      <c r="M47" s="49"/>
      <c r="N47" s="45"/>
      <c r="O47" s="45"/>
      <c r="AA47" s="137">
        <v>65</v>
      </c>
      <c r="AB47" s="137">
        <v>170</v>
      </c>
      <c r="AC47" s="137">
        <v>170</v>
      </c>
      <c r="AD47" s="137">
        <v>200</v>
      </c>
      <c r="AE47" s="137">
        <v>200</v>
      </c>
      <c r="AH47" s="137">
        <v>65</v>
      </c>
      <c r="AI47" s="137">
        <v>170</v>
      </c>
      <c r="AJ47" s="137">
        <v>170</v>
      </c>
      <c r="AK47" s="137">
        <v>200</v>
      </c>
      <c r="AL47" s="137">
        <v>200</v>
      </c>
    </row>
    <row r="48" spans="1:38">
      <c r="A48" s="48"/>
      <c r="B48" s="48"/>
      <c r="C48" s="48"/>
      <c r="D48" s="49"/>
      <c r="E48" s="49"/>
      <c r="F48" s="75" t="s">
        <v>332</v>
      </c>
      <c r="G48" s="49"/>
      <c r="H48" s="49"/>
      <c r="I48" s="48"/>
      <c r="J48" s="49"/>
      <c r="K48" s="49"/>
      <c r="L48" s="49"/>
      <c r="M48" s="49"/>
      <c r="N48" s="45"/>
      <c r="O48" s="45"/>
      <c r="Y48" s="151" t="s">
        <v>333</v>
      </c>
      <c r="AA48" s="144"/>
      <c r="AB48" s="144"/>
      <c r="AC48" s="144"/>
      <c r="AD48" s="144"/>
      <c r="AE48" s="144"/>
      <c r="AH48" s="144"/>
      <c r="AI48" s="144"/>
      <c r="AJ48" s="144"/>
      <c r="AK48" s="144"/>
      <c r="AL48" s="144"/>
    </row>
    <row r="49" spans="1:38">
      <c r="A49" s="48"/>
      <c r="B49" s="48"/>
      <c r="C49" s="48"/>
      <c r="D49" s="49"/>
      <c r="E49" s="49"/>
      <c r="F49" s="49"/>
      <c r="G49" s="49"/>
      <c r="H49" s="49"/>
      <c r="I49" s="48"/>
      <c r="J49" s="49"/>
      <c r="K49" s="49"/>
      <c r="L49" s="49"/>
      <c r="M49" s="49"/>
      <c r="N49" s="45"/>
      <c r="O49" s="45"/>
      <c r="Y49" s="137">
        <v>20</v>
      </c>
      <c r="AA49" s="137" t="s">
        <v>334</v>
      </c>
      <c r="AB49" s="137" t="s">
        <v>335</v>
      </c>
      <c r="AC49" s="137" t="s">
        <v>336</v>
      </c>
      <c r="AD49" s="137" t="s">
        <v>337</v>
      </c>
      <c r="AE49" s="137" t="s">
        <v>338</v>
      </c>
      <c r="AH49" s="137" t="s">
        <v>339</v>
      </c>
      <c r="AI49" s="137" t="s">
        <v>340</v>
      </c>
      <c r="AJ49" s="137" t="s">
        <v>341</v>
      </c>
      <c r="AK49" s="137" t="s">
        <v>342</v>
      </c>
      <c r="AL49" s="137" t="s">
        <v>343</v>
      </c>
    </row>
    <row r="50" spans="1:38">
      <c r="A50" s="48"/>
      <c r="B50" s="48"/>
      <c r="C50" s="48"/>
      <c r="D50" s="49"/>
      <c r="E50" s="49"/>
      <c r="F50" s="75" t="s">
        <v>332</v>
      </c>
      <c r="G50" s="49"/>
      <c r="H50" s="49"/>
      <c r="I50" s="48"/>
      <c r="J50" s="49"/>
      <c r="K50" s="49"/>
      <c r="L50" s="49"/>
      <c r="M50" s="49"/>
      <c r="N50" s="45"/>
      <c r="O50" s="45"/>
      <c r="Y50" s="137">
        <v>60</v>
      </c>
      <c r="AA50" s="137">
        <v>270</v>
      </c>
      <c r="AB50" s="137">
        <v>270</v>
      </c>
      <c r="AC50" s="137">
        <v>270</v>
      </c>
      <c r="AD50" s="137">
        <v>270</v>
      </c>
      <c r="AE50" s="137">
        <v>270</v>
      </c>
      <c r="AH50" s="137">
        <v>300</v>
      </c>
      <c r="AI50" s="137">
        <v>300</v>
      </c>
      <c r="AJ50" s="137">
        <v>300</v>
      </c>
      <c r="AK50" s="137">
        <v>300</v>
      </c>
      <c r="AL50" s="137">
        <v>300</v>
      </c>
    </row>
    <row r="51" spans="1:38">
      <c r="A51" s="48"/>
      <c r="B51" s="48"/>
      <c r="C51" s="48"/>
      <c r="D51" s="49"/>
      <c r="E51" s="49"/>
      <c r="F51" s="49"/>
      <c r="G51" s="49"/>
      <c r="H51" s="49"/>
      <c r="I51" s="48"/>
      <c r="J51" s="49"/>
      <c r="K51" s="49"/>
      <c r="L51" s="49"/>
      <c r="M51" s="49"/>
      <c r="N51" s="45"/>
      <c r="O51" s="45"/>
      <c r="S51" s="2"/>
      <c r="U51" s="2"/>
      <c r="Y51" s="137">
        <v>100</v>
      </c>
    </row>
    <row r="52" spans="1:38">
      <c r="A52" s="48"/>
      <c r="B52" s="48"/>
      <c r="C52" s="48"/>
      <c r="D52" s="49"/>
      <c r="E52" s="49"/>
      <c r="F52" s="49"/>
      <c r="G52" s="49"/>
      <c r="H52" s="49"/>
      <c r="I52" s="48"/>
      <c r="J52" s="49"/>
      <c r="K52" s="49"/>
      <c r="L52" s="49"/>
      <c r="M52" s="49"/>
      <c r="N52" s="45"/>
      <c r="O52" s="45"/>
      <c r="Y52" s="137">
        <v>180</v>
      </c>
    </row>
    <row r="53" spans="1:38">
      <c r="A53" s="48"/>
      <c r="B53" s="48"/>
      <c r="C53" s="48"/>
      <c r="D53" s="49"/>
      <c r="E53" s="49"/>
      <c r="F53" s="49"/>
      <c r="G53" s="49"/>
      <c r="H53" s="49"/>
      <c r="I53" s="48"/>
      <c r="J53" s="49"/>
      <c r="K53" s="49"/>
      <c r="L53" s="49"/>
      <c r="M53" s="49"/>
      <c r="N53" s="45"/>
      <c r="O53" s="45"/>
    </row>
    <row r="54" spans="1:38">
      <c r="B54" s="45"/>
      <c r="C54" s="45"/>
      <c r="D54" s="45"/>
      <c r="E54" s="45"/>
      <c r="F54" s="45"/>
      <c r="G54" s="45"/>
      <c r="H54" s="45"/>
      <c r="I54" s="45"/>
      <c r="J54" s="45"/>
      <c r="K54" s="45"/>
      <c r="L54" s="45"/>
      <c r="M54" s="45"/>
      <c r="N54" s="45"/>
      <c r="O54" s="45"/>
      <c r="S54" s="2"/>
      <c r="U54" s="2"/>
    </row>
    <row r="55" spans="1:38">
      <c r="B55" s="45"/>
      <c r="C55" s="45"/>
      <c r="D55" s="45"/>
      <c r="E55" s="45"/>
      <c r="F55" s="45"/>
      <c r="G55" s="45"/>
      <c r="H55" s="45"/>
      <c r="I55" s="45"/>
      <c r="J55" s="45"/>
      <c r="K55" s="45"/>
      <c r="L55" s="45"/>
      <c r="M55" s="45"/>
      <c r="N55" s="45"/>
      <c r="O55" s="45"/>
    </row>
    <row r="56" spans="1:38">
      <c r="B56" s="45"/>
      <c r="C56" s="45"/>
      <c r="D56" s="45"/>
      <c r="E56" s="45"/>
      <c r="F56" s="45"/>
      <c r="G56" s="45"/>
      <c r="H56" s="45"/>
      <c r="I56" s="45"/>
      <c r="J56" s="45"/>
      <c r="K56" s="45"/>
      <c r="L56" s="45"/>
      <c r="M56" s="45"/>
      <c r="N56" s="45"/>
      <c r="O56" s="45"/>
    </row>
    <row r="57" spans="1:38">
      <c r="B57" s="45"/>
      <c r="C57" s="45"/>
      <c r="D57" s="45"/>
      <c r="E57" s="45"/>
      <c r="F57" s="45"/>
      <c r="G57" s="45"/>
      <c r="H57" s="45"/>
      <c r="I57" s="45"/>
      <c r="J57" s="45"/>
      <c r="K57" s="45"/>
      <c r="L57" s="45"/>
      <c r="M57" s="45"/>
      <c r="N57" s="45"/>
      <c r="O57" s="45"/>
      <c r="R57" s="33"/>
    </row>
    <row r="58" spans="1:38">
      <c r="B58" s="45"/>
      <c r="C58" s="45"/>
      <c r="D58" s="45"/>
      <c r="E58" s="45"/>
      <c r="F58" s="45"/>
      <c r="G58" s="45"/>
      <c r="H58" s="45"/>
      <c r="I58" s="45"/>
      <c r="J58" s="45"/>
      <c r="K58" s="45"/>
      <c r="L58" s="45"/>
      <c r="M58" s="45"/>
      <c r="N58" s="45"/>
      <c r="O58" s="45"/>
      <c r="R58" s="33"/>
      <c r="Y58" s="151" t="s">
        <v>344</v>
      </c>
    </row>
    <row r="59" spans="1:38">
      <c r="B59" s="45"/>
      <c r="C59" s="45"/>
      <c r="D59" s="45"/>
      <c r="E59" s="45"/>
      <c r="F59" s="45"/>
      <c r="G59" s="45"/>
      <c r="H59" s="45"/>
      <c r="I59" s="45"/>
      <c r="J59" s="45"/>
      <c r="K59" s="45"/>
      <c r="L59" s="45"/>
      <c r="M59" s="45"/>
      <c r="N59" s="45"/>
      <c r="O59" s="45"/>
      <c r="Y59" s="137">
        <v>20</v>
      </c>
    </row>
    <row r="60" spans="1:38">
      <c r="B60" s="45"/>
      <c r="C60" s="45"/>
      <c r="D60" s="45"/>
      <c r="E60" s="45"/>
      <c r="F60" s="45"/>
      <c r="G60" s="45"/>
      <c r="H60" s="45"/>
      <c r="I60" s="45"/>
      <c r="J60" s="45"/>
      <c r="K60" s="45"/>
      <c r="L60" s="45"/>
      <c r="M60" s="45"/>
      <c r="N60" s="45"/>
      <c r="O60" s="45"/>
      <c r="Y60" s="137">
        <v>60</v>
      </c>
    </row>
    <row r="61" spans="1:38">
      <c r="B61" s="45"/>
      <c r="C61" s="45"/>
      <c r="D61" s="45"/>
      <c r="E61" s="45"/>
      <c r="F61" s="45"/>
      <c r="G61" s="45"/>
      <c r="H61" s="45"/>
      <c r="I61" s="45"/>
      <c r="J61" s="45"/>
      <c r="K61" s="45"/>
      <c r="L61" s="45"/>
      <c r="M61" s="45"/>
      <c r="N61" s="45"/>
      <c r="O61" s="45"/>
      <c r="Y61" s="137">
        <v>100</v>
      </c>
    </row>
    <row r="62" spans="1:38">
      <c r="B62" s="45"/>
      <c r="C62" s="45"/>
      <c r="D62" s="45"/>
      <c r="E62" s="45"/>
      <c r="F62" s="45"/>
      <c r="G62" s="45"/>
      <c r="H62" s="45"/>
      <c r="I62" s="45"/>
      <c r="J62" s="45"/>
      <c r="K62" s="45"/>
      <c r="L62" s="45"/>
      <c r="M62" s="45"/>
      <c r="N62" s="45"/>
      <c r="O62" s="45"/>
      <c r="Y62" s="137">
        <v>180</v>
      </c>
    </row>
    <row r="63" spans="1:38">
      <c r="B63" s="45"/>
      <c r="C63" s="45"/>
      <c r="D63" s="45"/>
      <c r="E63" s="45"/>
      <c r="F63" s="45"/>
      <c r="G63" s="45"/>
      <c r="H63" s="45"/>
      <c r="I63" s="45"/>
      <c r="J63" s="45"/>
      <c r="K63" s="45"/>
      <c r="L63" s="45"/>
      <c r="M63" s="45"/>
      <c r="N63" s="45"/>
      <c r="O63" s="45"/>
    </row>
    <row r="64" spans="1:38">
      <c r="B64" s="45"/>
      <c r="C64" s="45"/>
      <c r="D64" s="45"/>
      <c r="E64" s="45"/>
      <c r="F64" s="45"/>
      <c r="G64" s="45"/>
      <c r="H64" s="45"/>
      <c r="I64" s="45"/>
      <c r="J64" s="45"/>
      <c r="K64" s="45"/>
      <c r="L64" s="45"/>
      <c r="M64" s="45"/>
      <c r="N64" s="45"/>
      <c r="O64" s="45"/>
    </row>
    <row r="65" spans="2:17">
      <c r="B65" s="45"/>
      <c r="C65" s="45"/>
      <c r="D65" s="45"/>
      <c r="E65" s="45"/>
      <c r="F65" s="45"/>
      <c r="G65" s="45"/>
      <c r="H65" s="45"/>
      <c r="I65" s="45"/>
      <c r="J65" s="45"/>
      <c r="K65" s="45"/>
      <c r="L65" s="45"/>
      <c r="M65" s="45"/>
      <c r="N65" s="45"/>
      <c r="O65" s="45"/>
    </row>
    <row r="66" spans="2:17">
      <c r="B66" s="45"/>
      <c r="C66" s="45"/>
      <c r="D66" s="45"/>
      <c r="E66" s="45"/>
      <c r="F66" s="45"/>
      <c r="G66" s="45"/>
      <c r="H66" s="45"/>
      <c r="I66" s="45"/>
      <c r="J66" s="45"/>
      <c r="K66" s="45"/>
      <c r="L66" s="45"/>
      <c r="M66" s="45"/>
      <c r="N66" s="45"/>
      <c r="O66" s="45"/>
    </row>
    <row r="67" spans="2:17">
      <c r="B67" s="45"/>
      <c r="C67" s="45"/>
      <c r="D67" s="45"/>
      <c r="E67" s="45"/>
      <c r="F67" s="45"/>
      <c r="G67" s="45"/>
      <c r="H67" s="45"/>
      <c r="I67" s="45"/>
      <c r="J67" s="45"/>
      <c r="K67" s="45"/>
      <c r="L67" s="45"/>
      <c r="M67" s="45"/>
      <c r="N67" s="45"/>
      <c r="O67" s="45"/>
    </row>
    <row r="68" spans="2:17">
      <c r="B68" s="45"/>
      <c r="C68" s="45"/>
      <c r="D68" s="45"/>
      <c r="E68" s="45"/>
      <c r="F68" s="45"/>
      <c r="G68" s="45"/>
      <c r="H68" s="45"/>
      <c r="I68" s="45"/>
      <c r="J68" s="45"/>
      <c r="K68" s="45"/>
      <c r="L68" s="45"/>
      <c r="M68" s="45"/>
      <c r="N68" s="45"/>
      <c r="O68" s="45"/>
    </row>
    <row r="69" spans="2:17">
      <c r="B69" s="45"/>
      <c r="C69" s="45"/>
      <c r="D69" s="45"/>
      <c r="E69" s="45"/>
      <c r="F69" s="45"/>
      <c r="G69" s="45"/>
      <c r="H69" s="45"/>
      <c r="I69" s="45"/>
      <c r="J69" s="45"/>
      <c r="K69" s="45"/>
      <c r="L69" s="45"/>
      <c r="M69" s="45"/>
      <c r="N69" s="45"/>
      <c r="O69" s="45"/>
    </row>
    <row r="70" spans="2:17">
      <c r="B70" s="45"/>
      <c r="C70" s="45"/>
      <c r="D70" s="45"/>
      <c r="E70" s="45"/>
      <c r="F70" s="45"/>
      <c r="G70" s="45"/>
      <c r="H70" s="45"/>
      <c r="I70" s="45"/>
      <c r="J70" s="45"/>
      <c r="K70" s="45"/>
      <c r="L70" s="45"/>
      <c r="M70" s="45"/>
      <c r="N70" s="45"/>
      <c r="O70" s="45"/>
    </row>
    <row r="71" spans="2:17">
      <c r="B71" s="45"/>
      <c r="C71" s="45"/>
      <c r="D71" s="45"/>
      <c r="E71" s="45"/>
      <c r="F71" s="45"/>
      <c r="G71" s="45"/>
      <c r="H71" s="45"/>
      <c r="I71" s="45"/>
      <c r="J71" s="45"/>
      <c r="K71" s="45"/>
      <c r="L71" s="45"/>
      <c r="M71" s="45"/>
      <c r="N71" s="45"/>
      <c r="O71" s="45"/>
    </row>
    <row r="72" spans="2:17">
      <c r="B72" s="45"/>
      <c r="C72" s="45"/>
      <c r="D72" s="45"/>
      <c r="E72" s="45"/>
      <c r="F72" s="45"/>
      <c r="G72" s="45"/>
      <c r="H72" s="45"/>
      <c r="I72" s="45"/>
      <c r="J72" s="45"/>
      <c r="K72" s="45"/>
      <c r="L72" s="45"/>
      <c r="M72" s="45"/>
      <c r="N72" s="45"/>
      <c r="O72" s="45"/>
    </row>
    <row r="73" spans="2:17">
      <c r="B73" s="45"/>
      <c r="C73" s="45"/>
      <c r="D73" s="45"/>
      <c r="E73" s="45"/>
      <c r="F73" s="45"/>
      <c r="G73" s="45"/>
      <c r="H73" s="45"/>
      <c r="I73" s="45"/>
      <c r="J73" s="45"/>
      <c r="K73" s="45"/>
      <c r="L73" s="45"/>
      <c r="M73" s="45"/>
      <c r="N73" s="45"/>
      <c r="O73" s="45"/>
    </row>
    <row r="74" spans="2:17" ht="14.15" customHeight="1">
      <c r="B74" s="45"/>
      <c r="C74" s="45"/>
      <c r="D74" s="45"/>
      <c r="E74" s="45"/>
      <c r="F74" s="45"/>
      <c r="G74" s="45"/>
      <c r="H74" s="45"/>
      <c r="I74" s="45"/>
      <c r="J74" s="45"/>
      <c r="K74" s="45"/>
      <c r="L74" s="45"/>
      <c r="M74" s="45"/>
      <c r="N74" s="45"/>
      <c r="O74" s="45"/>
    </row>
    <row r="75" spans="2:17">
      <c r="B75" s="45"/>
      <c r="C75" s="45"/>
      <c r="D75" s="45"/>
      <c r="E75" s="45"/>
      <c r="F75" s="45"/>
      <c r="G75" s="45"/>
      <c r="H75" s="45"/>
      <c r="I75" s="45"/>
      <c r="J75" s="45"/>
      <c r="K75" s="45"/>
      <c r="L75" s="45"/>
      <c r="M75" s="45"/>
      <c r="N75" s="45"/>
      <c r="O75" s="45"/>
    </row>
    <row r="76" spans="2:17">
      <c r="B76" s="45"/>
      <c r="C76" s="45"/>
      <c r="D76" s="45"/>
      <c r="E76" s="45"/>
      <c r="F76" s="45"/>
      <c r="G76" s="45"/>
      <c r="H76" s="45"/>
      <c r="I76" s="45"/>
      <c r="J76" s="45"/>
      <c r="K76" s="45"/>
      <c r="L76" s="45"/>
      <c r="M76" s="45"/>
      <c r="N76" s="45"/>
      <c r="O76" s="45"/>
    </row>
    <row r="77" spans="2:17">
      <c r="B77" s="45"/>
      <c r="C77" s="45"/>
      <c r="D77" s="45"/>
      <c r="E77" s="45"/>
      <c r="F77" s="45"/>
      <c r="G77" s="45"/>
      <c r="H77" s="45"/>
      <c r="I77" s="45"/>
      <c r="J77" s="45"/>
      <c r="K77" s="45"/>
      <c r="L77" s="45"/>
      <c r="M77" s="45"/>
      <c r="N77" s="45"/>
      <c r="O77" s="45"/>
      <c r="Q77" s="2"/>
    </row>
    <row r="78" spans="2:17">
      <c r="B78" s="45"/>
      <c r="C78" s="45"/>
      <c r="D78" s="45"/>
      <c r="E78" s="45"/>
      <c r="F78" s="45"/>
      <c r="G78" s="45"/>
      <c r="H78" s="45"/>
      <c r="I78" s="45"/>
      <c r="J78" s="45"/>
      <c r="K78" s="45"/>
      <c r="L78" s="45"/>
      <c r="M78" s="45"/>
      <c r="N78" s="45"/>
      <c r="O78" s="45"/>
      <c r="Q78" s="2"/>
    </row>
    <row r="79" spans="2:17">
      <c r="B79" s="45"/>
      <c r="C79" s="45"/>
      <c r="D79" s="45"/>
      <c r="E79" s="45"/>
      <c r="F79" s="45"/>
      <c r="G79" s="45"/>
      <c r="H79" s="45"/>
      <c r="I79" s="45"/>
      <c r="J79" s="45"/>
      <c r="K79" s="45"/>
      <c r="L79" s="45"/>
      <c r="M79" s="45"/>
      <c r="N79" s="45"/>
      <c r="O79" s="45"/>
      <c r="Q79" s="2"/>
    </row>
    <row r="80" spans="2:17">
      <c r="B80" s="45"/>
      <c r="C80" s="45"/>
      <c r="D80" s="45"/>
      <c r="E80" s="45"/>
      <c r="F80" s="45"/>
      <c r="G80" s="45"/>
      <c r="H80" s="45"/>
      <c r="I80" s="45"/>
      <c r="J80" s="45"/>
      <c r="K80" s="45"/>
      <c r="L80" s="45"/>
      <c r="M80" s="45"/>
      <c r="N80" s="45"/>
      <c r="O80" s="45"/>
      <c r="Q80" s="2"/>
    </row>
    <row r="81" spans="2:18">
      <c r="B81" s="45"/>
      <c r="C81" s="45"/>
      <c r="D81" s="45"/>
      <c r="E81" s="45"/>
      <c r="F81" s="45"/>
      <c r="G81" s="45"/>
      <c r="H81" s="45"/>
      <c r="I81" s="45"/>
      <c r="J81" s="45"/>
      <c r="K81" s="45"/>
      <c r="L81" s="45"/>
      <c r="M81" s="45"/>
      <c r="N81" s="45"/>
      <c r="O81" s="45"/>
      <c r="Q81" s="2"/>
    </row>
    <row r="82" spans="2:18">
      <c r="B82" s="45"/>
      <c r="C82" s="45"/>
      <c r="D82" s="45"/>
      <c r="E82" s="45"/>
      <c r="F82" s="45"/>
      <c r="G82" s="45"/>
      <c r="H82" s="45"/>
      <c r="I82" s="45"/>
      <c r="J82" s="45"/>
      <c r="K82" s="45"/>
      <c r="L82" s="45"/>
      <c r="M82" s="45"/>
      <c r="N82" s="45"/>
      <c r="O82" s="45"/>
      <c r="Q82" s="2"/>
    </row>
    <row r="83" spans="2:18">
      <c r="B83" s="45"/>
      <c r="C83" s="45"/>
      <c r="D83" s="45"/>
      <c r="E83" s="45"/>
      <c r="F83" s="45"/>
      <c r="G83" s="45"/>
      <c r="H83" s="45"/>
      <c r="I83" s="45"/>
      <c r="J83" s="45"/>
      <c r="K83" s="45"/>
      <c r="L83" s="45"/>
      <c r="M83" s="45"/>
      <c r="N83" s="45"/>
      <c r="O83" s="45"/>
      <c r="Q83" s="2"/>
    </row>
    <row r="84" spans="2:18">
      <c r="B84" s="45"/>
      <c r="C84" s="45"/>
      <c r="D84" s="45"/>
      <c r="E84" s="45"/>
      <c r="F84" s="45"/>
      <c r="G84" s="45"/>
      <c r="H84" s="45"/>
      <c r="I84" s="45"/>
      <c r="J84" s="45"/>
      <c r="K84" s="45"/>
      <c r="L84" s="45"/>
      <c r="M84" s="45"/>
      <c r="N84" s="45"/>
      <c r="O84" s="45"/>
      <c r="Q84" s="2"/>
    </row>
    <row r="85" spans="2:18">
      <c r="B85" s="45"/>
      <c r="C85" s="45"/>
      <c r="D85" s="45"/>
      <c r="E85" s="45"/>
      <c r="F85" s="45"/>
      <c r="G85" s="45"/>
      <c r="H85" s="45"/>
      <c r="I85" s="45"/>
      <c r="J85" s="45"/>
      <c r="K85" s="45"/>
      <c r="L85" s="45"/>
      <c r="M85" s="45"/>
      <c r="N85" s="45"/>
      <c r="O85" s="45"/>
      <c r="Q85" s="2"/>
    </row>
    <row r="86" spans="2:18">
      <c r="B86" s="45"/>
      <c r="C86" s="45"/>
      <c r="D86" s="45"/>
      <c r="E86" s="45"/>
      <c r="F86" s="45"/>
      <c r="G86" s="45"/>
      <c r="H86" s="45"/>
      <c r="I86" s="45"/>
      <c r="J86" s="45"/>
      <c r="K86" s="45"/>
      <c r="L86" s="45"/>
      <c r="M86" s="45"/>
      <c r="N86" s="45"/>
      <c r="O86" s="45"/>
    </row>
    <row r="87" spans="2:18">
      <c r="B87" s="45"/>
      <c r="C87" s="45"/>
      <c r="D87" s="45"/>
      <c r="E87" s="45"/>
      <c r="F87" s="45"/>
      <c r="G87" s="45"/>
      <c r="H87" s="45"/>
      <c r="I87" s="45"/>
      <c r="J87" s="45"/>
      <c r="K87" s="45"/>
      <c r="L87" s="45"/>
      <c r="M87" s="45"/>
      <c r="N87" s="45"/>
      <c r="O87" s="45"/>
    </row>
    <row r="88" spans="2:18">
      <c r="B88" s="45"/>
      <c r="C88" s="45"/>
      <c r="D88" s="45"/>
      <c r="E88" s="45"/>
      <c r="F88" s="45"/>
      <c r="G88" s="45"/>
      <c r="H88" s="45"/>
      <c r="I88" s="45"/>
      <c r="J88" s="45"/>
      <c r="K88" s="45"/>
      <c r="L88" s="45"/>
      <c r="M88" s="45"/>
      <c r="N88" s="45"/>
      <c r="O88" s="45"/>
    </row>
    <row r="89" spans="2:18">
      <c r="B89" s="45"/>
      <c r="C89" s="45"/>
      <c r="D89" s="45"/>
      <c r="E89" s="45"/>
      <c r="F89" s="45"/>
      <c r="G89" s="45"/>
      <c r="H89" s="45"/>
      <c r="I89" s="45"/>
      <c r="J89" s="45"/>
      <c r="K89" s="45"/>
      <c r="L89" s="45"/>
      <c r="M89" s="45"/>
      <c r="N89" s="45"/>
      <c r="O89" s="45"/>
    </row>
    <row r="90" spans="2:18">
      <c r="B90" s="45"/>
      <c r="C90" s="45"/>
      <c r="D90" s="45"/>
      <c r="E90" s="45"/>
      <c r="F90" s="45"/>
      <c r="G90" s="45"/>
      <c r="H90" s="45"/>
      <c r="I90" s="45"/>
      <c r="J90" s="45"/>
      <c r="K90" s="45"/>
      <c r="L90" s="45"/>
      <c r="M90" s="45"/>
      <c r="N90" s="45"/>
      <c r="O90" s="45"/>
    </row>
    <row r="91" spans="2:18">
      <c r="M91" s="4"/>
    </row>
    <row r="92" spans="2:18">
      <c r="M92" s="4"/>
    </row>
    <row r="93" spans="2:18">
      <c r="M93" s="4"/>
    </row>
    <row r="94" spans="2:18">
      <c r="M94" s="4"/>
    </row>
    <row r="95" spans="2:18">
      <c r="R95" s="70"/>
    </row>
    <row r="96" spans="2:18">
      <c r="M96" s="4"/>
    </row>
    <row r="97" spans="2:18">
      <c r="M97" s="4"/>
    </row>
    <row r="98" spans="2:18">
      <c r="M98" s="4"/>
    </row>
    <row r="99" spans="2:18">
      <c r="M99" s="4"/>
    </row>
    <row r="100" spans="2:18" ht="17.5">
      <c r="B100" s="78"/>
      <c r="M100" s="4"/>
    </row>
    <row r="101" spans="2:18">
      <c r="M101" s="4"/>
      <c r="R101" s="70"/>
    </row>
    <row r="102" spans="2:18">
      <c r="M102" s="4"/>
    </row>
    <row r="107" spans="2:18">
      <c r="R107" s="70"/>
    </row>
    <row r="113" spans="18:18">
      <c r="R113" s="70"/>
    </row>
    <row r="114" spans="18:18">
      <c r="R114" s="70"/>
    </row>
    <row r="131" spans="18:18">
      <c r="R131" s="70"/>
    </row>
    <row r="137" spans="18:18">
      <c r="R137" s="70"/>
    </row>
    <row r="143" spans="18:18">
      <c r="R143" s="70"/>
    </row>
    <row r="149" spans="18:18">
      <c r="R149" s="70"/>
    </row>
    <row r="179" spans="18:18">
      <c r="R179" s="70"/>
    </row>
    <row r="185" spans="18:18">
      <c r="R185" s="70"/>
    </row>
    <row r="191" spans="18:18">
      <c r="R191" s="69"/>
    </row>
    <row r="192" spans="18:18">
      <c r="R192" s="69"/>
    </row>
    <row r="194" spans="18:18">
      <c r="R194" s="69"/>
    </row>
    <row r="195" spans="18:18">
      <c r="R195" s="69"/>
    </row>
    <row r="197" spans="18:18">
      <c r="R197" s="69"/>
    </row>
    <row r="215" spans="18:21">
      <c r="R215" s="69"/>
    </row>
    <row r="216" spans="18:21">
      <c r="R216" s="69"/>
    </row>
    <row r="218" spans="18:21">
      <c r="R218" s="69"/>
    </row>
    <row r="219" spans="18:21">
      <c r="R219" s="69"/>
    </row>
    <row r="221" spans="18:21">
      <c r="R221" s="69"/>
    </row>
    <row r="224" spans="18:21">
      <c r="U224" s="70"/>
    </row>
    <row r="234" spans="18:18">
      <c r="R234" s="68"/>
    </row>
    <row r="246" spans="18:21">
      <c r="R246" s="68"/>
    </row>
    <row r="254" spans="18:21">
      <c r="U254" s="70"/>
    </row>
    <row r="257" spans="18:21">
      <c r="U257" s="70"/>
    </row>
    <row r="264" spans="18:21">
      <c r="R264" s="70"/>
    </row>
    <row r="267" spans="18:21">
      <c r="R267" s="70"/>
    </row>
    <row r="273" spans="18:21">
      <c r="U273" s="70"/>
    </row>
    <row r="277" spans="18:21">
      <c r="U277" s="70"/>
    </row>
    <row r="278" spans="18:21">
      <c r="R278" s="70"/>
    </row>
    <row r="281" spans="18:21">
      <c r="U281" s="70"/>
    </row>
    <row r="284" spans="18:21">
      <c r="R284" s="70"/>
    </row>
    <row r="285" spans="18:21">
      <c r="R285" s="70"/>
      <c r="U285" s="70"/>
    </row>
    <row r="286" spans="18:21">
      <c r="R286" s="70"/>
    </row>
    <row r="294" spans="18:18">
      <c r="R294" s="70"/>
    </row>
    <row r="306" spans="18:18">
      <c r="R306" s="70"/>
    </row>
    <row r="312" spans="18:18">
      <c r="R312" s="70"/>
    </row>
    <row r="318" spans="18:18">
      <c r="R318" s="70"/>
    </row>
    <row r="324" spans="18:18">
      <c r="R324" s="70"/>
    </row>
    <row r="330" spans="18:18">
      <c r="R330" s="70"/>
    </row>
    <row r="336" spans="18:18">
      <c r="R336" s="70"/>
    </row>
    <row r="342" spans="18:21">
      <c r="R342" s="70"/>
    </row>
    <row r="351" spans="18:21">
      <c r="R351" s="70"/>
      <c r="U351" s="70"/>
    </row>
    <row r="354" spans="18:21">
      <c r="R354" s="70"/>
      <c r="U354" s="70"/>
    </row>
    <row r="357" spans="18:21">
      <c r="R357" s="70"/>
      <c r="U357" s="70"/>
    </row>
    <row r="360" spans="18:21">
      <c r="R360" s="70"/>
      <c r="U360" s="70"/>
    </row>
    <row r="361" spans="18:21">
      <c r="U361" s="67"/>
    </row>
    <row r="393" spans="18:18">
      <c r="R393" s="67"/>
    </row>
    <row r="856" spans="18:18">
      <c r="R856" s="70"/>
    </row>
    <row r="862" spans="18:18">
      <c r="R862" s="70"/>
    </row>
    <row r="868" spans="18:18">
      <c r="R868" s="70"/>
    </row>
    <row r="874" spans="18:18">
      <c r="R874" s="70"/>
    </row>
    <row r="880" spans="18:18">
      <c r="R880" s="70"/>
    </row>
    <row r="886" spans="18:18">
      <c r="R886" s="70"/>
    </row>
    <row r="892" spans="18:18">
      <c r="R892" s="70"/>
    </row>
    <row r="893" spans="18:18">
      <c r="R893" s="70"/>
    </row>
    <row r="904" spans="18:18">
      <c r="R904" s="70"/>
    </row>
    <row r="910" spans="18:18">
      <c r="R910" s="70"/>
    </row>
    <row r="916" spans="18:18">
      <c r="R916" s="70"/>
    </row>
    <row r="922" spans="18:18">
      <c r="R922" s="70"/>
    </row>
    <row r="928" spans="18:18">
      <c r="R928" s="70"/>
    </row>
    <row r="934" spans="18:18">
      <c r="R934" s="70"/>
    </row>
    <row r="940" spans="18:18">
      <c r="R940" s="70"/>
    </row>
    <row r="952" spans="18:18">
      <c r="R952" s="70"/>
    </row>
    <row r="958" spans="18:18">
      <c r="R958" s="70"/>
    </row>
    <row r="964" spans="18:18">
      <c r="R964" s="70"/>
    </row>
    <row r="970" spans="18:18">
      <c r="R970" s="70"/>
    </row>
    <row r="976" spans="18:18">
      <c r="R976" s="70"/>
    </row>
    <row r="982" spans="18:18">
      <c r="R982" s="70"/>
    </row>
    <row r="988" spans="18:18">
      <c r="R988" s="70"/>
    </row>
  </sheetData>
  <dataConsolidate/>
  <mergeCells count="2">
    <mergeCell ref="AA2:AE2"/>
    <mergeCell ref="AH2:AL2"/>
  </mergeCells>
  <dataValidations count="26">
    <dataValidation type="list" allowBlank="1" showInputMessage="1" showErrorMessage="1" prompt="Select if NBIVES is used." sqref="C27" xr:uid="{88CA1E4A-DFBA-4300-B3B1-C332535DABAC}">
      <formula1>"Not used,Used"</formula1>
    </dataValidation>
    <dataValidation type="list" allowBlank="1" showInputMessage="1" showErrorMessage="1" prompt="Select if NetGuard is used." sqref="C26" xr:uid="{B69256F2-EABF-4A01-A7EC-EE1C2372333E}">
      <formula1>"Not used,Used"</formula1>
    </dataValidation>
    <dataValidation type="list" allowBlank="1" showInputMessage="1" showErrorMessage="1" prompt="Backup size in GB (VM root disks and data)" sqref="C10" xr:uid="{2FD44154-CE91-4C59-8192-606F2C1D9711}">
      <formula1>INDIRECT(CONCATENATE(IF($C$4="3XL","XXXL",$C$4),$B$5,C5,$B$10))</formula1>
    </dataValidation>
    <dataValidation type="list" allowBlank="1" showInputMessage="1" showErrorMessage="1" prompt="Archive in GB" sqref="C9" xr:uid="{07159D71-8012-427E-8090-17F1C9B6A9C0}">
      <formula1>INDIRECT(CONCATENATE(IF($C$4="3XL","XXXL",$C$4),$B$5,C5,$B$9))</formula1>
    </dataValidation>
    <dataValidation type="list" allowBlank="1" showInputMessage="1" showErrorMessage="1" prompt="Redo in GB" sqref="C8" xr:uid="{68335867-C059-40CF-8763-37B31D8C8BA1}">
      <formula1>INDIRECT(CONCATENATE(IF($C$4="3XL","XXXL",$C$4),$B$5,C5,$B$8))</formula1>
    </dataValidation>
    <dataValidation type="list" allowBlank="1" showInputMessage="1" showErrorMessage="1" prompt="Oracle DB VM vRAM in GB" sqref="C6" xr:uid="{822A0CEA-7B6F-417E-B5EB-87E7B4D7B3B4}">
      <formula1>INDIRECT(CONCATENATE(IF($C$4="3XL","XXXL",$C$4),$B$5,$C$5,$B$6))</formula1>
    </dataValidation>
    <dataValidation type="list" allowBlank="1" showInputMessage="1" showErrorMessage="1" prompt="DB size:_x000a_- standard_x000a_- customized_x000a_- XL large" sqref="C5" xr:uid="{75840C6E-E5C2-490B-AF6D-9EDA69ABAF69}">
      <formula1>INDIRECT(CONCATENATE(IF($C$4="3XL","XXXL",$C$4),$B$5,$C$2))</formula1>
    </dataValidation>
    <dataValidation type="list" allowBlank="1" showInputMessage="1" showErrorMessage="1" prompt="Ext Rep size in GB" sqref="C13" xr:uid="{EADFC936-D2BC-4FCF-A564-9FCBFBF1A835}">
      <formula1>INDIRECT(CONCATENATE(IF($C$4="3XL","XXXL",$C$4),$B$13,C2))</formula1>
    </dataValidation>
    <dataValidation type="list" allowBlank="1" showInputMessage="1" showErrorMessage="1" prompt="Ext Rep size in GB" sqref="C12" xr:uid="{7198EC0D-B54A-454C-BD97-924FE3AC46F7}">
      <formula1>INDIRECT(CONCATENATE(IF($C$4="3XL","XXXL",$C$4),$B$12,C2))</formula1>
    </dataValidation>
    <dataValidation type="list" allowBlank="1" showInputMessage="1" showErrorMessage="1" prompt="Global size in GB" sqref="C11" xr:uid="{B9B9A08F-59E5-473C-9680-3CF72EAED938}">
      <formula1>INDIRECT(CONCATENATE(IF($C$4="3XL","XXXL",$C$4),$B$11,C2))</formula1>
    </dataValidation>
    <dataValidation type="list" allowBlank="1" showInputMessage="1" showErrorMessage="1" prompt="Number of additional node managers" sqref="C19" xr:uid="{F18C9B5B-E7F1-4CC2-BF49-54E851B95A1D}">
      <formula1>INDIRECT(CONCATENATE(IF($C$4="3XL","XXXL",$C$4),"Users"))</formula1>
    </dataValidation>
    <dataValidation type="list" allowBlank="1" showInputMessage="1" showErrorMessage="1" prompt="Select MantaRay NM configuration" sqref="C4" xr:uid="{61102373-BF2B-4BB1-95CD-054D11E61EC3}">
      <formula1>$Y$4:$Y$8</formula1>
    </dataValidation>
    <dataValidation type="list" allowBlank="1" showInputMessage="1" showErrorMessage="1" prompt="Select if Alcatel-Lucent LTE mediation is used." sqref="C24" xr:uid="{A38BD1B8-2DB4-48B4-9625-6466EA8709A9}">
      <formula1>"Not used,Used"</formula1>
    </dataValidation>
    <dataValidation type="list" allowBlank="1" showInputMessage="1" showErrorMessage="1" prompt="Select if Network 360 is used." sqref="C25" xr:uid="{8A0A76A8-0A12-4178-B128-DCCD57BD2013}">
      <formula1>"Not used,Used"</formula1>
    </dataValidation>
    <dataValidation type="list" allowBlank="1" showInputMessage="1" showErrorMessage="1" prompt="Select stack" sqref="C2" xr:uid="{3F4AF134-05AC-4AA4-90C8-1A3DB80AFEE4}">
      <formula1>"Vmware,OpenStack"</formula1>
    </dataValidation>
    <dataValidation type="list" allowBlank="1" showInputMessage="1" showErrorMessage="1" prompt="Select release" sqref="C3" xr:uid="{11702486-E2D8-4D08-B3CC-D06A0ED15718}">
      <formula1>"Release 24R1-NM"</formula1>
    </dataValidation>
    <dataValidation allowBlank="1" showErrorMessage="1" prompt="Select NetAct configuration" sqref="D15" xr:uid="{02B854C6-C9CB-4B44-B2DD-6835E2C56E12}"/>
    <dataValidation type="list" allowBlank="1" showInputMessage="1" showErrorMessage="1" prompt="Select if T&amp;P is used." sqref="C18" xr:uid="{1C64723B-2A95-4801-961F-1C7A03E8B09D}">
      <formula1>"Not used,Used"</formula1>
    </dataValidation>
    <dataValidation type="list" allowBlank="1" showInputMessage="1" showErrorMessage="1" prompt="Select if Security Log interface is used." sqref="C20" xr:uid="{F2B1B4DA-08C4-44FC-98E0-C4E8D61D429B}">
      <formula1>"Not used,Used"</formula1>
    </dataValidation>
    <dataValidation type="list" allowBlank="1" showInputMessage="1" showErrorMessage="1" prompt="Select if Single RAN is used." sqref="C21" xr:uid="{C8692886-ECCA-471E-B40E-2E3D730E1DDE}">
      <formula1>"Not Used"</formula1>
    </dataValidation>
    <dataValidation type="list" allowBlank="1" showInputMessage="1" showErrorMessage="1" prompt="Select if CLS is used." sqref="C22" xr:uid="{EF18E024-66CB-4B36-8A5E-6D6CAA93596B}">
      <formula1>"Not used,Used"</formula1>
    </dataValidation>
    <dataValidation type="list" allowBlank="1" showInputMessage="1" showErrorMessage="1" prompt="ADM size in GB" sqref="C14" xr:uid="{CAD10CB3-A99C-4EFD-AAE0-27A17BEF93B7}">
      <formula1>INDIRECT(CONCATENATE(IF($C$4="3XL","XXXL",$C$4),$B$14,C2))</formula1>
    </dataValidation>
    <dataValidation type="list" allowBlank="1" showInputMessage="1" showErrorMessage="1" prompt="ISDK size in GB" sqref="C15" xr:uid="{32D95A82-9004-48F4-A5EC-18ED8BA75606}">
      <formula1>INDIRECT(CONCATENATE(IF($C$4="3XL","XXXL",$C$4),$B$15,C2))</formula1>
    </dataValidation>
    <dataValidation type="list" allowBlank="1" showInputMessage="1" showErrorMessage="1" prompt="Select if Graylog is used." sqref="C28" xr:uid="{DB8B30AD-ACB0-4F29-A984-B8D5134243BD}">
      <formula1>"Not used,Used"</formula1>
    </dataValidation>
    <dataValidation type="list" allowBlank="1" showInputMessage="1" showErrorMessage="1" prompt="Select if BTS mediation is used." sqref="C23" xr:uid="{D96ED763-58F9-47BC-91AB-5118E6967116}">
      <formula1>INDIRECT(CONCATENATE($B$23,$C$2))</formula1>
    </dataValidation>
    <dataValidation type="list" allowBlank="1" showInputMessage="1" showErrorMessage="1" prompt="Oracle DB VM vRAM in GB" sqref="C7" xr:uid="{BB297429-2A84-48E1-85C4-15B9BCC83652}">
      <formula1>INDIRECT(CONCATENATE(IF($C$4="3XL","XXXL",$C$4),$B$5,$C$5,$B$7))</formula1>
    </dataValidation>
  </dataValidations>
  <pageMargins left="0.7" right="0.7" top="0.75" bottom="0.75" header="0.3" footer="0.3"/>
  <pageSetup paperSize="9" orientation="portrait" r:id="rId1"/>
  <headerFooter>
    <oddFooter>&amp;C&amp;1#&amp;"Arial"&amp;8&amp;K001753Nokia internal use</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9"/>
  <dimension ref="A1:F17"/>
  <sheetViews>
    <sheetView workbookViewId="0">
      <selection activeCell="AN81" sqref="AN81"/>
    </sheetView>
  </sheetViews>
  <sheetFormatPr defaultRowHeight="14.5"/>
  <cols>
    <col min="1" max="1" width="13.54296875" customWidth="1"/>
    <col min="4" max="4" width="11.1796875" bestFit="1" customWidth="1"/>
  </cols>
  <sheetData>
    <row r="1" spans="1:6">
      <c r="A1" s="156" t="s">
        <v>15</v>
      </c>
      <c r="B1" s="156"/>
      <c r="C1" s="156"/>
      <c r="D1" s="156"/>
      <c r="E1" s="156"/>
      <c r="F1" s="157"/>
    </row>
    <row r="3" spans="1:6">
      <c r="A3" s="2" t="s">
        <v>345</v>
      </c>
    </row>
    <row r="4" spans="1:6" s="29" customFormat="1">
      <c r="A4" s="29" t="s">
        <v>346</v>
      </c>
    </row>
    <row r="5" spans="1:6">
      <c r="A5" s="29" t="s">
        <v>347</v>
      </c>
    </row>
    <row r="6" spans="1:6">
      <c r="A6" t="s">
        <v>348</v>
      </c>
    </row>
    <row r="7" spans="1:6">
      <c r="A7" s="2" t="s">
        <v>349</v>
      </c>
    </row>
    <row r="8" spans="1:6">
      <c r="A8" s="2"/>
    </row>
    <row r="9" spans="1:6">
      <c r="A9" s="2" t="s">
        <v>350</v>
      </c>
    </row>
    <row r="10" spans="1:6">
      <c r="A10" s="2" t="s">
        <v>351</v>
      </c>
      <c r="B10">
        <v>4.5</v>
      </c>
      <c r="C10" s="80"/>
      <c r="D10" s="80"/>
      <c r="E10" s="80"/>
      <c r="F10" s="80"/>
    </row>
    <row r="11" spans="1:6">
      <c r="A11" s="2" t="s">
        <v>143</v>
      </c>
      <c r="B11">
        <v>4.5</v>
      </c>
      <c r="C11" s="80"/>
      <c r="D11" s="80"/>
      <c r="E11" s="80"/>
      <c r="F11" s="80"/>
    </row>
    <row r="12" spans="1:6">
      <c r="A12" s="2" t="s">
        <v>352</v>
      </c>
      <c r="B12">
        <v>2.5</v>
      </c>
      <c r="C12" s="80"/>
      <c r="D12" s="80"/>
      <c r="E12" s="80"/>
      <c r="F12" s="80"/>
    </row>
    <row r="13" spans="1:6">
      <c r="A13" s="2" t="s">
        <v>151</v>
      </c>
      <c r="B13">
        <v>3</v>
      </c>
      <c r="C13" s="80"/>
      <c r="D13" s="80"/>
      <c r="E13" s="80"/>
      <c r="F13" s="80"/>
    </row>
    <row r="14" spans="1:6">
      <c r="A14" s="2" t="s">
        <v>155</v>
      </c>
      <c r="B14">
        <v>3</v>
      </c>
      <c r="C14" s="80"/>
      <c r="D14" s="80"/>
      <c r="E14" s="80"/>
      <c r="F14" s="80"/>
    </row>
    <row r="15" spans="1:6">
      <c r="A15" s="2" t="s">
        <v>353</v>
      </c>
      <c r="B15">
        <v>3</v>
      </c>
      <c r="C15" s="80"/>
      <c r="D15" s="80"/>
      <c r="E15" s="80"/>
      <c r="F15" s="80"/>
    </row>
    <row r="16" spans="1:6">
      <c r="A16" s="2" t="s">
        <v>159</v>
      </c>
      <c r="B16">
        <v>2.5</v>
      </c>
      <c r="C16" s="80"/>
      <c r="D16" s="80"/>
      <c r="E16" s="80"/>
      <c r="F16" s="80"/>
    </row>
    <row r="17" spans="1:2">
      <c r="A17" s="2" t="s">
        <v>174</v>
      </c>
      <c r="B17">
        <v>1.5</v>
      </c>
    </row>
  </sheetData>
  <mergeCells count="1">
    <mergeCell ref="A1:F1"/>
  </mergeCells>
  <pageMargins left="0.7" right="0.7" top="0.75" bottom="0.75" header="0.3" footer="0.3"/>
  <pageSetup paperSize="9" orientation="portrait" r:id="rId1"/>
  <headerFooter>
    <oddFooter>&amp;C&amp;1#&amp;"Arial"&amp;8&amp;K001753Nokia internal use</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B0561C-9366-4ABD-BEC1-082CD6D14565}">
  <sheetPr codeName="Sheet90"/>
  <dimension ref="A1:AH75"/>
  <sheetViews>
    <sheetView zoomScale="80" zoomScaleNormal="80" zoomScalePageLayoutView="70" workbookViewId="0">
      <selection activeCell="G8" sqref="G8"/>
    </sheetView>
  </sheetViews>
  <sheetFormatPr defaultColWidth="30.54296875" defaultRowHeight="12.5"/>
  <cols>
    <col min="1" max="1" width="36.453125" style="4" customWidth="1"/>
    <col min="2" max="4" width="30.54296875" style="4"/>
    <col min="5" max="5" width="35.81640625" style="4" customWidth="1"/>
    <col min="6" max="29" width="30.54296875" style="4"/>
    <col min="30" max="30" width="30.54296875" style="12"/>
    <col min="31" max="16384" width="30.54296875" style="4"/>
  </cols>
  <sheetData>
    <row r="1" spans="1:34" ht="13">
      <c r="A1" s="156" t="s">
        <v>15</v>
      </c>
      <c r="B1" s="156"/>
      <c r="C1" s="156"/>
      <c r="D1" s="156"/>
      <c r="E1" s="157"/>
      <c r="F1" s="5" t="s">
        <v>354</v>
      </c>
    </row>
    <row r="2" spans="1:34" ht="14.5">
      <c r="A2" s="162" t="s">
        <v>355</v>
      </c>
      <c r="B2" s="168"/>
      <c r="C2" s="4" t="s">
        <v>356</v>
      </c>
    </row>
    <row r="3" spans="1:34" ht="14.5">
      <c r="A3" s="162" t="s">
        <v>357</v>
      </c>
      <c r="B3" s="162"/>
      <c r="F3" s="169" t="s">
        <v>358</v>
      </c>
      <c r="G3" s="169"/>
    </row>
    <row r="4" spans="1:34">
      <c r="A4" s="162" t="s">
        <v>359</v>
      </c>
      <c r="B4" s="162"/>
    </row>
    <row r="5" spans="1:34">
      <c r="A5" s="162" t="s">
        <v>360</v>
      </c>
      <c r="B5" s="162"/>
    </row>
    <row r="6" spans="1:34" ht="13">
      <c r="A6" s="162" t="s">
        <v>361</v>
      </c>
      <c r="B6" s="162"/>
      <c r="C6" s="14"/>
    </row>
    <row r="7" spans="1:34" ht="13">
      <c r="A7" s="7" t="s">
        <v>143</v>
      </c>
      <c r="B7" s="7" t="s">
        <v>362</v>
      </c>
      <c r="C7" s="7" t="s">
        <v>363</v>
      </c>
      <c r="D7" s="7" t="s">
        <v>364</v>
      </c>
      <c r="E7" s="7" t="s">
        <v>365</v>
      </c>
      <c r="F7" s="6" t="s">
        <v>129</v>
      </c>
      <c r="G7" s="6" t="s">
        <v>146</v>
      </c>
      <c r="H7" s="6" t="s">
        <v>366</v>
      </c>
      <c r="I7" s="6" t="s">
        <v>149</v>
      </c>
      <c r="J7" s="6" t="s">
        <v>367</v>
      </c>
      <c r="K7" s="6" t="s">
        <v>368</v>
      </c>
      <c r="L7" s="6" t="s">
        <v>170</v>
      </c>
      <c r="M7" s="6" t="s">
        <v>368</v>
      </c>
      <c r="N7" s="6" t="s">
        <v>30</v>
      </c>
      <c r="O7" s="6" t="s">
        <v>368</v>
      </c>
      <c r="P7" s="6" t="s">
        <v>175</v>
      </c>
      <c r="Q7" s="6" t="s">
        <v>368</v>
      </c>
      <c r="R7" s="6" t="s">
        <v>189</v>
      </c>
      <c r="S7" s="6" t="s">
        <v>368</v>
      </c>
      <c r="T7" s="6" t="s">
        <v>179</v>
      </c>
      <c r="U7" s="6" t="s">
        <v>368</v>
      </c>
      <c r="V7" s="6" t="s">
        <v>369</v>
      </c>
      <c r="W7" s="6" t="s">
        <v>368</v>
      </c>
      <c r="X7" s="6" t="s">
        <v>370</v>
      </c>
      <c r="Y7" s="6" t="s">
        <v>368</v>
      </c>
      <c r="Z7" s="6" t="s">
        <v>371</v>
      </c>
      <c r="AA7" s="6" t="s">
        <v>368</v>
      </c>
      <c r="AB7" s="6" t="s">
        <v>372</v>
      </c>
      <c r="AC7" s="6" t="s">
        <v>368</v>
      </c>
      <c r="AD7" s="6" t="s">
        <v>373</v>
      </c>
      <c r="AE7" s="6" t="s">
        <v>368</v>
      </c>
      <c r="AF7" s="6" t="s">
        <v>374</v>
      </c>
      <c r="AG7" s="6" t="s">
        <v>375</v>
      </c>
      <c r="AH7" s="6" t="s">
        <v>376</v>
      </c>
    </row>
    <row r="8" spans="1:34">
      <c r="A8" s="4" t="s">
        <v>377</v>
      </c>
      <c r="B8" s="12"/>
      <c r="D8" s="4" t="s">
        <v>378</v>
      </c>
      <c r="E8" s="4" t="s">
        <v>19</v>
      </c>
      <c r="F8" s="12">
        <v>4</v>
      </c>
      <c r="G8" s="12">
        <v>8</v>
      </c>
      <c r="H8" s="12">
        <v>0</v>
      </c>
      <c r="I8" s="12">
        <v>351</v>
      </c>
      <c r="J8" s="12">
        <f>G8-H8</f>
        <v>8</v>
      </c>
      <c r="K8" s="12" t="s">
        <v>379</v>
      </c>
      <c r="L8" s="12"/>
      <c r="M8" s="12"/>
      <c r="N8" s="12"/>
      <c r="O8" s="12"/>
      <c r="P8" s="12"/>
      <c r="Q8" s="12"/>
      <c r="R8" s="12"/>
      <c r="S8" s="12"/>
      <c r="T8" s="12"/>
      <c r="U8" s="12"/>
      <c r="V8" s="12"/>
      <c r="W8" s="12"/>
      <c r="X8" s="12"/>
      <c r="Y8" s="12"/>
      <c r="Z8" s="12"/>
      <c r="AA8" s="12"/>
      <c r="AB8" s="12"/>
      <c r="AC8" s="12"/>
      <c r="AE8" s="12"/>
      <c r="AF8" s="12" t="s">
        <v>380</v>
      </c>
      <c r="AG8" s="12" t="s">
        <v>381</v>
      </c>
      <c r="AH8" s="12"/>
    </row>
    <row r="9" spans="1:34">
      <c r="A9" s="4" t="s">
        <v>382</v>
      </c>
      <c r="B9" s="12"/>
      <c r="D9" s="113" t="s">
        <v>383</v>
      </c>
      <c r="E9" s="113" t="s">
        <v>384</v>
      </c>
      <c r="F9" s="12">
        <v>4</v>
      </c>
      <c r="G9" s="101">
        <f>IF(E9="vCSA8.0", 14, 12)</f>
        <v>14</v>
      </c>
      <c r="H9" s="12">
        <v>0</v>
      </c>
      <c r="I9" s="101">
        <f>IF(E9="vCSA8.0", 600, 450)</f>
        <v>600</v>
      </c>
      <c r="J9" s="12">
        <v>25</v>
      </c>
      <c r="K9" s="12" t="s">
        <v>379</v>
      </c>
      <c r="L9" s="12"/>
      <c r="M9" s="12"/>
      <c r="N9" s="12"/>
      <c r="O9" s="12"/>
      <c r="P9" s="12"/>
      <c r="Q9" s="12"/>
      <c r="R9" s="12"/>
      <c r="S9" s="12"/>
      <c r="T9" s="12"/>
      <c r="U9" s="12"/>
      <c r="V9" s="12"/>
      <c r="W9" s="12"/>
      <c r="X9" s="12"/>
      <c r="Y9" s="12"/>
      <c r="Z9" s="12"/>
      <c r="AA9" s="12"/>
      <c r="AB9" s="12"/>
      <c r="AC9" s="12"/>
      <c r="AE9" s="12"/>
      <c r="AF9" s="12" t="s">
        <v>380</v>
      </c>
      <c r="AG9" s="12" t="s">
        <v>381</v>
      </c>
      <c r="AH9" s="12"/>
    </row>
    <row r="10" spans="1:34">
      <c r="A10" s="4" t="s">
        <v>385</v>
      </c>
      <c r="B10" s="12" t="s">
        <v>386</v>
      </c>
      <c r="C10" s="4" t="s">
        <v>387</v>
      </c>
      <c r="D10" s="4" t="s">
        <v>378</v>
      </c>
      <c r="E10" s="4" t="s">
        <v>388</v>
      </c>
      <c r="F10" s="12">
        <v>4</v>
      </c>
      <c r="G10" s="12">
        <v>4</v>
      </c>
      <c r="H10" s="12">
        <v>4</v>
      </c>
      <c r="I10" s="12">
        <v>41</v>
      </c>
      <c r="J10" s="12">
        <f t="shared" ref="J10:J27" si="0">G10-H10</f>
        <v>0</v>
      </c>
      <c r="K10" s="12" t="s">
        <v>379</v>
      </c>
      <c r="L10" s="12"/>
      <c r="M10" s="12"/>
      <c r="N10" s="12"/>
      <c r="O10" s="12"/>
      <c r="P10" s="12"/>
      <c r="Q10" s="12"/>
      <c r="R10" s="12"/>
      <c r="S10" s="12"/>
      <c r="T10" s="12"/>
      <c r="U10" s="12"/>
      <c r="V10" s="12"/>
      <c r="W10" s="12"/>
      <c r="X10" s="12"/>
      <c r="Y10" s="12"/>
      <c r="Z10" s="12"/>
      <c r="AA10" s="12"/>
      <c r="AB10" s="12"/>
      <c r="AC10" s="12"/>
      <c r="AE10" s="12"/>
      <c r="AF10" s="12" t="s">
        <v>380</v>
      </c>
      <c r="AG10" s="12" t="s">
        <v>381</v>
      </c>
      <c r="AH10" s="12"/>
    </row>
    <row r="11" spans="1:34">
      <c r="A11" s="4" t="s">
        <v>389</v>
      </c>
      <c r="B11" s="12"/>
      <c r="C11" s="4" t="s">
        <v>387</v>
      </c>
      <c r="D11" s="4" t="s">
        <v>378</v>
      </c>
      <c r="E11" s="4" t="s">
        <v>30</v>
      </c>
      <c r="F11" s="12">
        <v>6</v>
      </c>
      <c r="G11" s="12">
        <v>40</v>
      </c>
      <c r="H11" s="12">
        <f>(G11*82.5)/100</f>
        <v>33</v>
      </c>
      <c r="I11" s="12">
        <v>101</v>
      </c>
      <c r="J11" s="12">
        <f t="shared" si="0"/>
        <v>7</v>
      </c>
      <c r="K11" s="12" t="s">
        <v>379</v>
      </c>
      <c r="L11" s="12">
        <v>66</v>
      </c>
      <c r="M11" s="12" t="s">
        <v>390</v>
      </c>
      <c r="N11" s="12">
        <v>1350</v>
      </c>
      <c r="O11" s="12" t="s">
        <v>391</v>
      </c>
      <c r="P11" s="12">
        <v>1650</v>
      </c>
      <c r="Q11" s="12" t="s">
        <v>392</v>
      </c>
      <c r="R11" s="12"/>
      <c r="S11" s="12"/>
      <c r="T11" s="12"/>
      <c r="U11" s="12"/>
      <c r="V11" s="28">
        <v>4500</v>
      </c>
      <c r="W11" s="12" t="s">
        <v>179</v>
      </c>
      <c r="X11" s="12"/>
      <c r="Y11" s="12"/>
      <c r="Z11" s="12"/>
      <c r="AA11" s="12"/>
      <c r="AB11" s="12"/>
      <c r="AC11" s="12"/>
      <c r="AE11" s="12"/>
      <c r="AF11" s="12" t="s">
        <v>380</v>
      </c>
      <c r="AG11" s="12" t="s">
        <v>381</v>
      </c>
      <c r="AH11" s="12"/>
    </row>
    <row r="12" spans="1:34">
      <c r="A12" s="4" t="s">
        <v>393</v>
      </c>
      <c r="B12" s="12" t="s">
        <v>386</v>
      </c>
      <c r="C12" s="4" t="s">
        <v>387</v>
      </c>
      <c r="D12" s="4" t="s">
        <v>378</v>
      </c>
      <c r="E12" s="4" t="s">
        <v>34</v>
      </c>
      <c r="F12" s="12">
        <v>3</v>
      </c>
      <c r="G12" s="12">
        <v>5</v>
      </c>
      <c r="H12" s="12">
        <v>5</v>
      </c>
      <c r="I12" s="12">
        <v>46</v>
      </c>
      <c r="J12" s="12">
        <f t="shared" si="0"/>
        <v>0</v>
      </c>
      <c r="K12" s="12" t="s">
        <v>379</v>
      </c>
      <c r="L12" s="12"/>
      <c r="M12" s="12"/>
      <c r="N12" s="12"/>
      <c r="O12" s="12"/>
      <c r="P12" s="12"/>
      <c r="Q12" s="12"/>
      <c r="R12" s="12">
        <v>340</v>
      </c>
      <c r="S12" s="12" t="s">
        <v>394</v>
      </c>
      <c r="T12" s="12"/>
      <c r="U12" s="12"/>
      <c r="V12" s="12">
        <v>250</v>
      </c>
      <c r="W12" s="12" t="s">
        <v>179</v>
      </c>
      <c r="X12" s="12"/>
      <c r="Y12" s="12"/>
      <c r="Z12" s="12"/>
      <c r="AA12" s="12"/>
      <c r="AB12" s="12"/>
      <c r="AC12" s="12"/>
      <c r="AE12" s="12"/>
      <c r="AF12" s="12" t="s">
        <v>380</v>
      </c>
      <c r="AG12" s="12" t="s">
        <v>381</v>
      </c>
      <c r="AH12" s="12"/>
    </row>
    <row r="13" spans="1:34">
      <c r="A13" s="4" t="s">
        <v>395</v>
      </c>
      <c r="B13" s="12"/>
      <c r="C13" s="4" t="s">
        <v>387</v>
      </c>
      <c r="D13" s="4" t="s">
        <v>378</v>
      </c>
      <c r="E13" s="4" t="s">
        <v>38</v>
      </c>
      <c r="F13" s="12">
        <v>2</v>
      </c>
      <c r="G13" s="12">
        <v>3</v>
      </c>
      <c r="H13" s="12">
        <v>0</v>
      </c>
      <c r="I13" s="12">
        <v>31</v>
      </c>
      <c r="J13" s="12">
        <f t="shared" si="0"/>
        <v>3</v>
      </c>
      <c r="K13" s="12" t="s">
        <v>379</v>
      </c>
      <c r="L13" s="12"/>
      <c r="M13" s="12"/>
      <c r="N13" s="12"/>
      <c r="O13" s="12"/>
      <c r="P13" s="12"/>
      <c r="Q13" s="12"/>
      <c r="R13" s="12"/>
      <c r="S13" s="12"/>
      <c r="T13" s="12"/>
      <c r="U13" s="12"/>
      <c r="V13" s="12"/>
      <c r="W13" s="12"/>
      <c r="X13" s="12"/>
      <c r="Y13" s="12"/>
      <c r="Z13" s="12"/>
      <c r="AA13" s="12"/>
      <c r="AB13" s="12"/>
      <c r="AC13" s="12"/>
      <c r="AE13" s="12"/>
      <c r="AF13" s="12" t="s">
        <v>396</v>
      </c>
      <c r="AG13" s="12" t="s">
        <v>397</v>
      </c>
      <c r="AH13" s="12" t="s">
        <v>381</v>
      </c>
    </row>
    <row r="14" spans="1:34">
      <c r="A14" s="4" t="s">
        <v>398</v>
      </c>
      <c r="B14" s="12"/>
      <c r="C14" s="4" t="s">
        <v>387</v>
      </c>
      <c r="D14" s="4" t="s">
        <v>378</v>
      </c>
      <c r="E14" s="4" t="s">
        <v>42</v>
      </c>
      <c r="F14" s="12">
        <v>2</v>
      </c>
      <c r="G14" s="12">
        <v>3</v>
      </c>
      <c r="H14" s="12">
        <v>0</v>
      </c>
      <c r="I14" s="12">
        <v>31</v>
      </c>
      <c r="J14" s="12">
        <f t="shared" si="0"/>
        <v>3</v>
      </c>
      <c r="K14" s="12" t="s">
        <v>379</v>
      </c>
      <c r="L14" s="12"/>
      <c r="M14" s="12"/>
      <c r="N14" s="12"/>
      <c r="O14" s="12"/>
      <c r="P14" s="12"/>
      <c r="Q14" s="12"/>
      <c r="R14" s="12"/>
      <c r="S14" s="12"/>
      <c r="T14" s="12"/>
      <c r="U14" s="12"/>
      <c r="V14" s="12"/>
      <c r="W14" s="12"/>
      <c r="X14" s="12"/>
      <c r="Y14" s="12"/>
      <c r="Z14" s="12"/>
      <c r="AA14" s="12"/>
      <c r="AB14" s="12"/>
      <c r="AC14" s="12"/>
      <c r="AE14" s="12"/>
      <c r="AF14" s="12" t="s">
        <v>380</v>
      </c>
      <c r="AG14" s="12" t="s">
        <v>381</v>
      </c>
      <c r="AH14" s="12"/>
    </row>
    <row r="15" spans="1:34">
      <c r="A15" s="4" t="s">
        <v>399</v>
      </c>
      <c r="B15" s="12"/>
      <c r="C15" s="4" t="s">
        <v>387</v>
      </c>
      <c r="D15" s="4" t="s">
        <v>378</v>
      </c>
      <c r="E15" s="4" t="s">
        <v>400</v>
      </c>
      <c r="F15" s="12">
        <v>3</v>
      </c>
      <c r="G15" s="12">
        <v>6</v>
      </c>
      <c r="H15" s="12">
        <v>0</v>
      </c>
      <c r="I15" s="12">
        <v>61</v>
      </c>
      <c r="J15" s="12">
        <f t="shared" si="0"/>
        <v>6</v>
      </c>
      <c r="K15" s="12" t="s">
        <v>379</v>
      </c>
      <c r="L15" s="12"/>
      <c r="M15" s="12"/>
      <c r="N15" s="12"/>
      <c r="O15" s="12"/>
      <c r="P15" s="12"/>
      <c r="Q15" s="12"/>
      <c r="R15" s="12"/>
      <c r="S15" s="12"/>
      <c r="T15" s="12"/>
      <c r="U15" s="12"/>
      <c r="V15" s="12"/>
      <c r="W15" s="12"/>
      <c r="X15" s="12"/>
      <c r="Y15" s="12"/>
      <c r="Z15" s="12"/>
      <c r="AA15" s="12"/>
      <c r="AB15" s="12"/>
      <c r="AC15" s="12"/>
      <c r="AE15" s="12"/>
      <c r="AF15" s="12" t="s">
        <v>396</v>
      </c>
      <c r="AG15" s="12" t="s">
        <v>397</v>
      </c>
      <c r="AH15" s="12"/>
    </row>
    <row r="16" spans="1:34">
      <c r="A16" s="4" t="s">
        <v>401</v>
      </c>
      <c r="B16" s="12"/>
      <c r="C16" s="4" t="s">
        <v>387</v>
      </c>
      <c r="D16" s="4" t="s">
        <v>378</v>
      </c>
      <c r="E16" s="4" t="s">
        <v>402</v>
      </c>
      <c r="F16" s="12">
        <v>3</v>
      </c>
      <c r="G16" s="12">
        <v>4</v>
      </c>
      <c r="H16" s="12">
        <v>0</v>
      </c>
      <c r="I16" s="12">
        <v>56</v>
      </c>
      <c r="J16" s="12">
        <f t="shared" si="0"/>
        <v>4</v>
      </c>
      <c r="K16" s="12" t="s">
        <v>379</v>
      </c>
      <c r="L16" s="12"/>
      <c r="M16" s="12"/>
      <c r="N16" s="12"/>
      <c r="O16" s="12"/>
      <c r="P16" s="12"/>
      <c r="Q16" s="12"/>
      <c r="S16" s="12"/>
      <c r="T16" s="12"/>
      <c r="U16" s="12"/>
      <c r="V16" s="12"/>
      <c r="W16" s="12"/>
      <c r="X16" s="12"/>
      <c r="Y16" s="12"/>
      <c r="Z16" s="12"/>
      <c r="AA16" s="12"/>
      <c r="AB16" s="12"/>
      <c r="AC16" s="12"/>
      <c r="AE16" s="12"/>
      <c r="AF16" s="12" t="s">
        <v>396</v>
      </c>
      <c r="AG16" s="12" t="s">
        <v>397</v>
      </c>
      <c r="AH16" s="12"/>
    </row>
    <row r="17" spans="1:34">
      <c r="A17" s="4" t="s">
        <v>403</v>
      </c>
      <c r="B17" s="12"/>
      <c r="C17" s="4" t="s">
        <v>387</v>
      </c>
      <c r="D17" s="4" t="s">
        <v>378</v>
      </c>
      <c r="E17" s="4" t="s">
        <v>54</v>
      </c>
      <c r="F17" s="12">
        <v>5</v>
      </c>
      <c r="G17" s="12">
        <v>9</v>
      </c>
      <c r="H17" s="12">
        <v>0</v>
      </c>
      <c r="I17" s="12">
        <v>71</v>
      </c>
      <c r="J17" s="12">
        <f t="shared" si="0"/>
        <v>9</v>
      </c>
      <c r="K17" s="12" t="s">
        <v>379</v>
      </c>
      <c r="L17" s="12"/>
      <c r="M17" s="12"/>
      <c r="N17" s="12"/>
      <c r="O17" s="12"/>
      <c r="P17" s="12"/>
      <c r="Q17" s="12"/>
      <c r="R17" s="12"/>
      <c r="S17" s="12"/>
      <c r="T17" s="12"/>
      <c r="U17" s="12"/>
      <c r="V17" s="12"/>
      <c r="W17" s="12"/>
      <c r="X17" s="12"/>
      <c r="Y17" s="12"/>
      <c r="Z17" s="12"/>
      <c r="AA17" s="12"/>
      <c r="AB17" s="12"/>
      <c r="AC17" s="12"/>
      <c r="AE17" s="12"/>
      <c r="AF17" s="12" t="s">
        <v>396</v>
      </c>
      <c r="AG17" s="12" t="s">
        <v>397</v>
      </c>
      <c r="AH17" s="12"/>
    </row>
    <row r="18" spans="1:34">
      <c r="A18" s="4" t="s">
        <v>404</v>
      </c>
      <c r="B18" s="12"/>
      <c r="C18" s="4" t="s">
        <v>387</v>
      </c>
      <c r="D18" s="4" t="s">
        <v>378</v>
      </c>
      <c r="E18" s="4" t="s">
        <v>58</v>
      </c>
      <c r="F18" s="12">
        <v>2</v>
      </c>
      <c r="G18" s="12">
        <v>4</v>
      </c>
      <c r="H18" s="12">
        <v>0</v>
      </c>
      <c r="I18" s="12">
        <v>31</v>
      </c>
      <c r="J18" s="12">
        <f t="shared" si="0"/>
        <v>4</v>
      </c>
      <c r="K18" s="12" t="s">
        <v>379</v>
      </c>
      <c r="L18" s="12"/>
      <c r="M18" s="12"/>
      <c r="N18" s="12"/>
      <c r="O18" s="12"/>
      <c r="P18" s="12"/>
      <c r="Q18" s="12"/>
      <c r="R18" s="12"/>
      <c r="S18" s="12"/>
      <c r="T18" s="12"/>
      <c r="U18" s="12"/>
      <c r="V18" s="12"/>
      <c r="W18" s="12"/>
      <c r="X18" s="12"/>
      <c r="Y18" s="12"/>
      <c r="Z18" s="12"/>
      <c r="AA18" s="12"/>
      <c r="AB18" s="12"/>
      <c r="AC18" s="12"/>
      <c r="AE18" s="12"/>
      <c r="AF18" s="12" t="s">
        <v>396</v>
      </c>
      <c r="AG18" s="12" t="s">
        <v>397</v>
      </c>
      <c r="AH18" s="12" t="s">
        <v>381</v>
      </c>
    </row>
    <row r="19" spans="1:34">
      <c r="A19" s="4" t="s">
        <v>405</v>
      </c>
      <c r="B19" s="12"/>
      <c r="C19" s="4" t="s">
        <v>387</v>
      </c>
      <c r="D19" s="4" t="s">
        <v>378</v>
      </c>
      <c r="E19" s="4" t="s">
        <v>406</v>
      </c>
      <c r="F19" s="12">
        <v>6</v>
      </c>
      <c r="G19" s="12">
        <v>9</v>
      </c>
      <c r="H19" s="12">
        <v>0</v>
      </c>
      <c r="I19" s="12">
        <v>101</v>
      </c>
      <c r="J19" s="12">
        <f t="shared" si="0"/>
        <v>9</v>
      </c>
      <c r="K19" s="12" t="s">
        <v>379</v>
      </c>
      <c r="L19" s="12"/>
      <c r="M19" s="12"/>
      <c r="N19" s="12"/>
      <c r="O19" s="12"/>
      <c r="P19" s="12"/>
      <c r="Q19" s="12"/>
      <c r="R19" s="12"/>
      <c r="S19" s="12"/>
      <c r="T19" s="12"/>
      <c r="U19" s="12"/>
      <c r="V19" s="12"/>
      <c r="W19" s="12"/>
      <c r="X19" s="12"/>
      <c r="Y19" s="12"/>
      <c r="Z19" s="12">
        <v>50</v>
      </c>
      <c r="AA19" s="12" t="s">
        <v>379</v>
      </c>
      <c r="AB19" s="12"/>
      <c r="AC19" s="12"/>
      <c r="AE19" s="12"/>
      <c r="AF19" s="12" t="s">
        <v>380</v>
      </c>
      <c r="AG19" s="12" t="s">
        <v>381</v>
      </c>
      <c r="AH19" s="12"/>
    </row>
    <row r="20" spans="1:34">
      <c r="A20" s="4" t="s">
        <v>407</v>
      </c>
      <c r="B20" s="12"/>
      <c r="C20" s="4" t="s">
        <v>387</v>
      </c>
      <c r="D20" s="4" t="s">
        <v>378</v>
      </c>
      <c r="E20" s="4" t="s">
        <v>65</v>
      </c>
      <c r="F20" s="12">
        <v>2</v>
      </c>
      <c r="G20" s="12">
        <v>5</v>
      </c>
      <c r="H20" s="12">
        <v>0</v>
      </c>
      <c r="I20" s="12">
        <v>51</v>
      </c>
      <c r="J20" s="12">
        <f t="shared" si="0"/>
        <v>5</v>
      </c>
      <c r="K20" s="12" t="s">
        <v>379</v>
      </c>
      <c r="L20" s="12"/>
      <c r="M20" s="12"/>
      <c r="N20" s="12"/>
      <c r="O20" s="12"/>
      <c r="P20" s="12"/>
      <c r="Q20" s="12"/>
      <c r="R20" s="12"/>
      <c r="S20" s="12"/>
      <c r="T20" s="12"/>
      <c r="U20" s="12"/>
      <c r="V20" s="12"/>
      <c r="W20" s="12"/>
      <c r="X20" s="12"/>
      <c r="Y20" s="12"/>
      <c r="Z20" s="12"/>
      <c r="AA20" s="12"/>
      <c r="AB20" s="12"/>
      <c r="AC20" s="12"/>
      <c r="AE20" s="12"/>
      <c r="AF20" s="12" t="s">
        <v>396</v>
      </c>
      <c r="AG20" s="12" t="s">
        <v>397</v>
      </c>
      <c r="AH20" s="12"/>
    </row>
    <row r="21" spans="1:34">
      <c r="A21" s="4" t="s">
        <v>408</v>
      </c>
      <c r="B21" s="12"/>
      <c r="C21" s="4" t="s">
        <v>387</v>
      </c>
      <c r="D21" s="4" t="s">
        <v>378</v>
      </c>
      <c r="E21" s="4" t="s">
        <v>73</v>
      </c>
      <c r="F21" s="12">
        <v>5</v>
      </c>
      <c r="G21" s="12">
        <v>12</v>
      </c>
      <c r="H21" s="12">
        <v>0</v>
      </c>
      <c r="I21" s="12">
        <v>56</v>
      </c>
      <c r="J21" s="12">
        <f t="shared" si="0"/>
        <v>12</v>
      </c>
      <c r="K21" s="12" t="s">
        <v>379</v>
      </c>
      <c r="L21" s="12"/>
      <c r="M21" s="12"/>
      <c r="N21" s="12"/>
      <c r="O21" s="12"/>
      <c r="P21" s="12"/>
      <c r="Q21" s="12"/>
      <c r="R21" s="12"/>
      <c r="S21" s="12"/>
      <c r="T21" s="12"/>
      <c r="U21" s="12"/>
      <c r="V21" s="12"/>
      <c r="W21" s="12"/>
      <c r="X21" s="12"/>
      <c r="Y21" s="12"/>
      <c r="Z21" s="12"/>
      <c r="AA21" s="12"/>
      <c r="AB21" s="12">
        <v>65</v>
      </c>
      <c r="AC21" s="12" t="s">
        <v>379</v>
      </c>
      <c r="AE21" s="12"/>
      <c r="AF21" s="12" t="s">
        <v>380</v>
      </c>
      <c r="AG21" s="12" t="s">
        <v>381</v>
      </c>
      <c r="AH21" s="12"/>
    </row>
    <row r="22" spans="1:34">
      <c r="A22" s="4" t="s">
        <v>409</v>
      </c>
      <c r="B22" s="12"/>
      <c r="C22" s="4" t="s">
        <v>387</v>
      </c>
      <c r="D22" s="4" t="s">
        <v>378</v>
      </c>
      <c r="E22" s="4" t="s">
        <v>81</v>
      </c>
      <c r="F22" s="12">
        <v>4</v>
      </c>
      <c r="G22" s="12">
        <v>7</v>
      </c>
      <c r="H22" s="12">
        <v>0</v>
      </c>
      <c r="I22" s="12">
        <v>41</v>
      </c>
      <c r="J22" s="12">
        <f t="shared" si="0"/>
        <v>7</v>
      </c>
      <c r="K22" s="12" t="s">
        <v>379</v>
      </c>
      <c r="L22" s="12"/>
      <c r="M22" s="12"/>
      <c r="N22" s="12"/>
      <c r="O22" s="12"/>
      <c r="P22" s="12"/>
      <c r="Q22" s="12"/>
      <c r="R22" s="12"/>
      <c r="S22" s="12"/>
      <c r="T22" s="12"/>
      <c r="U22" s="12"/>
      <c r="V22" s="12"/>
      <c r="W22" s="12"/>
      <c r="X22" s="12"/>
      <c r="Y22" s="12"/>
      <c r="Z22" s="12"/>
      <c r="AA22" s="12"/>
      <c r="AB22" s="12"/>
      <c r="AC22" s="12"/>
      <c r="AE22" s="12"/>
      <c r="AF22" s="12" t="s">
        <v>380</v>
      </c>
      <c r="AG22" s="12" t="s">
        <v>381</v>
      </c>
      <c r="AH22" s="12"/>
    </row>
    <row r="23" spans="1:34">
      <c r="A23" s="4" t="s">
        <v>410</v>
      </c>
      <c r="B23" s="12"/>
      <c r="C23" s="4" t="s">
        <v>387</v>
      </c>
      <c r="D23" s="4" t="s">
        <v>378</v>
      </c>
      <c r="E23" s="4" t="s">
        <v>85</v>
      </c>
      <c r="F23" s="12">
        <v>8</v>
      </c>
      <c r="G23" s="12">
        <v>34</v>
      </c>
      <c r="H23" s="12">
        <v>34</v>
      </c>
      <c r="I23" s="12">
        <v>136</v>
      </c>
      <c r="J23" s="12">
        <f t="shared" si="0"/>
        <v>0</v>
      </c>
      <c r="K23" s="12" t="s">
        <v>379</v>
      </c>
      <c r="L23" s="12"/>
      <c r="M23" s="12"/>
      <c r="N23" s="12"/>
      <c r="O23" s="12"/>
      <c r="P23" s="12"/>
      <c r="Q23" s="12"/>
      <c r="R23" s="12"/>
      <c r="S23" s="12"/>
      <c r="T23" s="12"/>
      <c r="U23" s="12"/>
      <c r="V23" s="12"/>
      <c r="W23" s="12"/>
      <c r="X23" s="12"/>
      <c r="Y23" s="12"/>
      <c r="Z23" s="12"/>
      <c r="AA23" s="12"/>
      <c r="AB23" s="12"/>
      <c r="AC23" s="12"/>
      <c r="AE23" s="12"/>
      <c r="AF23" s="12" t="s">
        <v>396</v>
      </c>
      <c r="AG23" s="12" t="s">
        <v>397</v>
      </c>
      <c r="AH23" s="12"/>
    </row>
    <row r="24" spans="1:34">
      <c r="A24" s="4" t="s">
        <v>411</v>
      </c>
      <c r="B24" s="12"/>
      <c r="C24" s="4" t="s">
        <v>387</v>
      </c>
      <c r="D24" s="4" t="s">
        <v>378</v>
      </c>
      <c r="E24" s="4" t="s">
        <v>85</v>
      </c>
      <c r="F24" s="12">
        <v>8</v>
      </c>
      <c r="G24" s="12">
        <v>34</v>
      </c>
      <c r="H24" s="12">
        <v>34</v>
      </c>
      <c r="I24" s="12">
        <v>136</v>
      </c>
      <c r="J24" s="12">
        <f t="shared" si="0"/>
        <v>0</v>
      </c>
      <c r="K24" s="12" t="s">
        <v>379</v>
      </c>
      <c r="L24" s="12"/>
      <c r="M24" s="12"/>
      <c r="N24" s="12"/>
      <c r="O24" s="12"/>
      <c r="P24" s="12"/>
      <c r="Q24" s="12"/>
      <c r="R24" s="12"/>
      <c r="S24" s="12"/>
      <c r="T24" s="12"/>
      <c r="U24" s="12"/>
      <c r="V24" s="12"/>
      <c r="W24" s="12"/>
      <c r="X24" s="12"/>
      <c r="Y24" s="12"/>
      <c r="Z24" s="12"/>
      <c r="AA24" s="12"/>
      <c r="AB24" s="12"/>
      <c r="AC24" s="12"/>
      <c r="AE24" s="12"/>
      <c r="AF24" s="12" t="s">
        <v>396</v>
      </c>
      <c r="AG24" s="12" t="s">
        <v>397</v>
      </c>
      <c r="AH24" s="12"/>
    </row>
    <row r="25" spans="1:34">
      <c r="A25" s="4" t="s">
        <v>412</v>
      </c>
      <c r="B25" s="12"/>
      <c r="C25" s="4" t="s">
        <v>387</v>
      </c>
      <c r="D25" s="4" t="s">
        <v>378</v>
      </c>
      <c r="E25" s="4" t="s">
        <v>100</v>
      </c>
      <c r="F25" s="12">
        <v>6</v>
      </c>
      <c r="G25" s="12">
        <v>6</v>
      </c>
      <c r="H25" s="12">
        <v>0</v>
      </c>
      <c r="I25" s="12">
        <v>56</v>
      </c>
      <c r="J25" s="12">
        <f t="shared" si="0"/>
        <v>6</v>
      </c>
      <c r="K25" s="12" t="s">
        <v>379</v>
      </c>
      <c r="L25" s="12"/>
      <c r="M25" s="12"/>
      <c r="N25" s="12"/>
      <c r="O25" s="12"/>
      <c r="P25" s="12"/>
      <c r="Q25" s="12"/>
      <c r="R25" s="12"/>
      <c r="S25" s="12"/>
      <c r="T25" s="12"/>
      <c r="U25" s="12"/>
      <c r="V25" s="12"/>
      <c r="W25" s="12"/>
      <c r="X25" s="12">
        <v>75</v>
      </c>
      <c r="Y25" s="12" t="s">
        <v>413</v>
      </c>
      <c r="Z25" s="12"/>
      <c r="AA25" s="12"/>
      <c r="AB25" s="12"/>
      <c r="AC25" s="12"/>
      <c r="AE25" s="12"/>
      <c r="AF25" s="12" t="s">
        <v>380</v>
      </c>
      <c r="AG25" s="12" t="s">
        <v>381</v>
      </c>
      <c r="AH25" s="12"/>
    </row>
    <row r="26" spans="1:34">
      <c r="A26" s="4" t="s">
        <v>414</v>
      </c>
      <c r="B26" s="12"/>
      <c r="C26" s="4" t="s">
        <v>387</v>
      </c>
      <c r="D26" s="4" t="s">
        <v>378</v>
      </c>
      <c r="E26" s="4" t="s">
        <v>100</v>
      </c>
      <c r="F26" s="12">
        <v>6</v>
      </c>
      <c r="G26" s="12">
        <v>6</v>
      </c>
      <c r="H26" s="12">
        <v>0</v>
      </c>
      <c r="I26" s="12">
        <v>56</v>
      </c>
      <c r="J26" s="12">
        <f t="shared" si="0"/>
        <v>6</v>
      </c>
      <c r="K26" s="12" t="s">
        <v>379</v>
      </c>
      <c r="L26" s="12"/>
      <c r="M26" s="12"/>
      <c r="N26" s="12"/>
      <c r="O26" s="12"/>
      <c r="P26" s="12"/>
      <c r="Q26" s="12"/>
      <c r="R26" s="12"/>
      <c r="S26" s="12"/>
      <c r="T26" s="12"/>
      <c r="U26" s="12"/>
      <c r="V26" s="12"/>
      <c r="W26" s="12"/>
      <c r="X26" s="12">
        <v>75</v>
      </c>
      <c r="Y26" s="12" t="s">
        <v>413</v>
      </c>
      <c r="Z26" s="12"/>
      <c r="AA26" s="12"/>
      <c r="AB26" s="12"/>
      <c r="AC26" s="12"/>
      <c r="AE26" s="12"/>
      <c r="AF26" s="12" t="s">
        <v>380</v>
      </c>
      <c r="AG26" s="12" t="s">
        <v>381</v>
      </c>
      <c r="AH26" s="12"/>
    </row>
    <row r="27" spans="1:34">
      <c r="A27" s="4" t="s">
        <v>415</v>
      </c>
      <c r="B27" s="12"/>
      <c r="C27" s="4" t="s">
        <v>387</v>
      </c>
      <c r="D27" s="4" t="s">
        <v>378</v>
      </c>
      <c r="E27" s="4" t="s">
        <v>416</v>
      </c>
      <c r="F27" s="12">
        <v>3</v>
      </c>
      <c r="G27" s="12">
        <v>3</v>
      </c>
      <c r="H27" s="12">
        <v>0</v>
      </c>
      <c r="I27" s="12">
        <v>41</v>
      </c>
      <c r="J27" s="12">
        <f t="shared" si="0"/>
        <v>3</v>
      </c>
      <c r="K27" s="12" t="s">
        <v>379</v>
      </c>
      <c r="L27" s="12"/>
      <c r="M27" s="12"/>
      <c r="N27" s="12"/>
      <c r="O27" s="12"/>
      <c r="P27" s="12"/>
      <c r="Q27" s="12"/>
      <c r="R27" s="12"/>
      <c r="S27" s="12"/>
      <c r="T27" s="12"/>
      <c r="U27" s="12"/>
      <c r="V27" s="12"/>
      <c r="W27" s="12"/>
      <c r="X27" s="12"/>
      <c r="Y27" s="12"/>
      <c r="Z27" s="12"/>
      <c r="AA27" s="12"/>
      <c r="AB27" s="12"/>
      <c r="AC27" s="12"/>
      <c r="AE27" s="12"/>
      <c r="AF27" s="12" t="s">
        <v>380</v>
      </c>
      <c r="AG27" s="12" t="s">
        <v>381</v>
      </c>
      <c r="AH27" s="12"/>
    </row>
    <row r="28" spans="1:34">
      <c r="A28" s="4" t="s">
        <v>417</v>
      </c>
      <c r="B28" s="12"/>
      <c r="C28" s="4" t="s">
        <v>387</v>
      </c>
      <c r="D28" s="4" t="s">
        <v>378</v>
      </c>
      <c r="E28" s="4" t="s">
        <v>418</v>
      </c>
      <c r="F28" s="12">
        <v>3</v>
      </c>
      <c r="G28" s="12">
        <v>3</v>
      </c>
      <c r="H28" s="12">
        <v>0</v>
      </c>
      <c r="I28" s="12">
        <v>41</v>
      </c>
      <c r="J28" s="12">
        <f>G28-H28</f>
        <v>3</v>
      </c>
      <c r="K28" s="12" t="s">
        <v>379</v>
      </c>
      <c r="L28" s="12"/>
      <c r="M28" s="12"/>
      <c r="N28" s="12"/>
      <c r="O28" s="12"/>
      <c r="P28" s="12"/>
      <c r="Q28" s="12"/>
      <c r="R28" s="12"/>
      <c r="S28" s="12"/>
      <c r="T28" s="12"/>
      <c r="U28" s="12"/>
      <c r="V28" s="12"/>
      <c r="W28" s="12"/>
      <c r="X28" s="12"/>
      <c r="Y28" s="12"/>
      <c r="Z28" s="12"/>
      <c r="AA28" s="12"/>
      <c r="AB28" s="12"/>
      <c r="AC28" s="12"/>
      <c r="AE28" s="12"/>
      <c r="AF28" s="12" t="s">
        <v>380</v>
      </c>
      <c r="AG28" s="12" t="s">
        <v>381</v>
      </c>
      <c r="AH28" s="12"/>
    </row>
    <row r="29" spans="1:34" s="17" customFormat="1" ht="13.5" customHeight="1">
      <c r="A29" s="17" t="s">
        <v>419</v>
      </c>
      <c r="C29" s="17" t="s">
        <v>387</v>
      </c>
      <c r="D29" s="17" t="s">
        <v>378</v>
      </c>
      <c r="E29" s="17" t="s">
        <v>420</v>
      </c>
      <c r="F29" s="15">
        <v>2</v>
      </c>
      <c r="G29" s="15">
        <v>4</v>
      </c>
      <c r="H29" s="15">
        <v>0</v>
      </c>
      <c r="I29" s="15">
        <v>65</v>
      </c>
      <c r="J29" s="15">
        <f>G29-H29</f>
        <v>4</v>
      </c>
      <c r="K29" s="15" t="s">
        <v>379</v>
      </c>
      <c r="L29" s="15"/>
      <c r="M29" s="15"/>
      <c r="N29" s="96"/>
      <c r="O29" s="95"/>
      <c r="P29" s="15"/>
      <c r="Q29" s="15"/>
      <c r="R29" s="15"/>
      <c r="S29" s="15"/>
      <c r="V29" s="15"/>
      <c r="W29" s="15"/>
      <c r="AD29" s="15">
        <v>200</v>
      </c>
      <c r="AE29" s="15" t="s">
        <v>421</v>
      </c>
      <c r="AF29" s="15" t="s">
        <v>380</v>
      </c>
      <c r="AG29" s="15" t="s">
        <v>381</v>
      </c>
      <c r="AH29" s="15"/>
    </row>
    <row r="30" spans="1:34">
      <c r="F30" s="12">
        <f>SUM(F8:F29)</f>
        <v>91</v>
      </c>
      <c r="G30" s="12">
        <f>SUM(G8:G29)</f>
        <v>223</v>
      </c>
      <c r="H30" s="12">
        <f>SUM(H8:H29)</f>
        <v>110</v>
      </c>
      <c r="I30" s="12">
        <f>SUM(I8:I29)</f>
        <v>2200</v>
      </c>
      <c r="J30" s="12"/>
      <c r="K30" s="12"/>
      <c r="L30" s="12">
        <f>SUM(L8:L29)</f>
        <v>66</v>
      </c>
      <c r="M30" s="12"/>
      <c r="N30" s="12">
        <f>SUM(N8:N29)</f>
        <v>1350</v>
      </c>
      <c r="O30" s="12"/>
      <c r="P30" s="12">
        <f>SUM(P8:P29)</f>
        <v>1650</v>
      </c>
      <c r="Q30" s="12"/>
      <c r="R30" s="12">
        <f>SUM(R8:R29)</f>
        <v>340</v>
      </c>
      <c r="S30" s="12"/>
      <c r="T30" s="12">
        <f>SUM(T8:T29)</f>
        <v>0</v>
      </c>
      <c r="U30" s="12"/>
      <c r="V30" s="12">
        <f>SUM(V8:V29)</f>
        <v>4750</v>
      </c>
      <c r="X30" s="12">
        <f>SUM(X8:X29)</f>
        <v>150</v>
      </c>
      <c r="Z30" s="12">
        <f>SUM(Z8:Z29)</f>
        <v>50</v>
      </c>
      <c r="AB30" s="12">
        <f>SUM(AB8:AB29)</f>
        <v>65</v>
      </c>
      <c r="AD30" s="12">
        <f>SUM(AD8:AD29)</f>
        <v>200</v>
      </c>
      <c r="AG30" s="12" t="s">
        <v>422</v>
      </c>
      <c r="AH30" s="12">
        <v>2</v>
      </c>
    </row>
    <row r="31" spans="1:34" ht="13">
      <c r="A31" s="153" t="s">
        <v>423</v>
      </c>
      <c r="F31" s="12"/>
      <c r="G31" s="12"/>
      <c r="H31" s="12"/>
      <c r="I31" s="12"/>
      <c r="J31" s="12"/>
      <c r="K31" s="12"/>
      <c r="L31" s="12"/>
      <c r="M31" s="12"/>
      <c r="N31" s="12"/>
      <c r="O31" s="12"/>
      <c r="P31" s="12"/>
      <c r="Q31" s="12"/>
      <c r="R31" s="12"/>
      <c r="S31" s="12"/>
      <c r="T31" s="12"/>
      <c r="U31" s="12"/>
      <c r="V31" s="12"/>
      <c r="X31" s="12"/>
      <c r="Z31" s="12"/>
      <c r="AB31" s="12"/>
      <c r="AG31" s="12"/>
      <c r="AH31" s="12"/>
    </row>
    <row r="32" spans="1:34" ht="13.5" customHeight="1">
      <c r="A32" s="14" t="s">
        <v>424</v>
      </c>
      <c r="F32" s="12"/>
      <c r="G32" s="12"/>
      <c r="H32" s="12"/>
      <c r="I32" s="12"/>
      <c r="J32" s="12"/>
      <c r="K32" s="12"/>
      <c r="L32" s="12"/>
      <c r="M32" s="12"/>
      <c r="N32" s="12"/>
      <c r="O32"/>
      <c r="P32" s="12"/>
      <c r="Q32" s="12"/>
      <c r="R32" s="12"/>
      <c r="S32" s="12"/>
      <c r="T32" s="12"/>
      <c r="U32" s="12"/>
      <c r="V32" s="12"/>
      <c r="X32" s="12"/>
      <c r="Z32" s="12"/>
      <c r="AB32" s="12"/>
      <c r="AF32" s="12"/>
      <c r="AG32" s="12"/>
      <c r="AH32" s="12"/>
    </row>
    <row r="33" spans="1:34" s="17" customFormat="1" ht="13.5" customHeight="1">
      <c r="A33" s="17" t="s">
        <v>419</v>
      </c>
      <c r="C33" s="17" t="s">
        <v>387</v>
      </c>
      <c r="D33" s="17" t="s">
        <v>378</v>
      </c>
      <c r="E33" s="17" t="s">
        <v>425</v>
      </c>
      <c r="F33" s="15">
        <v>7</v>
      </c>
      <c r="G33" s="15">
        <v>16</v>
      </c>
      <c r="H33" s="15">
        <v>0</v>
      </c>
      <c r="I33" s="15">
        <v>28</v>
      </c>
      <c r="J33" s="15">
        <f>G33-H33</f>
        <v>16</v>
      </c>
      <c r="K33" s="15" t="s">
        <v>379</v>
      </c>
      <c r="L33" s="15"/>
      <c r="M33" s="15"/>
      <c r="N33" s="96"/>
      <c r="O33" s="95"/>
      <c r="P33" s="15"/>
      <c r="Q33" s="15"/>
      <c r="R33" s="15">
        <v>120</v>
      </c>
      <c r="S33" s="15" t="s">
        <v>394</v>
      </c>
      <c r="V33" s="15">
        <v>340</v>
      </c>
      <c r="W33" s="15" t="s">
        <v>179</v>
      </c>
      <c r="AD33" s="15"/>
      <c r="AE33" s="15"/>
      <c r="AF33" s="15"/>
      <c r="AG33" s="15"/>
      <c r="AH33" s="15"/>
    </row>
    <row r="34" spans="1:34" ht="13.5" customHeight="1">
      <c r="F34" s="12">
        <f>SUM(F33:F33)+F30</f>
        <v>98</v>
      </c>
      <c r="G34" s="12">
        <f>SUM(G33:G33)+G30</f>
        <v>239</v>
      </c>
      <c r="H34" s="12">
        <f>SUM(H33:H33)+H30</f>
        <v>110</v>
      </c>
      <c r="I34" s="12">
        <f>SUM(I33:I33)+I30</f>
        <v>2228</v>
      </c>
      <c r="J34" s="12"/>
      <c r="K34" s="12"/>
      <c r="L34" s="12">
        <f>SUM(L33:L33)+L30</f>
        <v>66</v>
      </c>
      <c r="M34" s="12"/>
      <c r="N34" s="12">
        <f>SUM(N33:N33)+N30</f>
        <v>1350</v>
      </c>
      <c r="O34"/>
      <c r="P34" s="12">
        <f>SUM(P33:P33)+P30</f>
        <v>1650</v>
      </c>
      <c r="Q34" s="12"/>
      <c r="R34" s="12">
        <f>SUM(R33:R33)+R30</f>
        <v>460</v>
      </c>
      <c r="S34" s="12"/>
      <c r="T34" s="12">
        <f>SUM(T33:T33)+T30</f>
        <v>0</v>
      </c>
      <c r="V34" s="12">
        <f>SUM(V33:V33)+V30</f>
        <v>5090</v>
      </c>
      <c r="X34" s="12">
        <f>SUM(X33:X33)+X30</f>
        <v>150</v>
      </c>
      <c r="Z34" s="12">
        <f>SUM(Z33:Z33)+Z30</f>
        <v>50</v>
      </c>
      <c r="AB34" s="12">
        <f>SUM(AB33:AB33)+AB30</f>
        <v>65</v>
      </c>
      <c r="AD34" s="12">
        <f>SUM(AD33:AD33)+AD30</f>
        <v>200</v>
      </c>
      <c r="AF34" s="12"/>
      <c r="AG34" s="12" t="s">
        <v>426</v>
      </c>
      <c r="AH34" s="12">
        <v>2</v>
      </c>
    </row>
    <row r="36" spans="1:34">
      <c r="F36" s="12"/>
      <c r="G36" s="12"/>
      <c r="H36" s="12"/>
      <c r="I36" s="12"/>
      <c r="J36" s="12"/>
      <c r="K36" s="12"/>
      <c r="L36" s="12"/>
      <c r="M36" s="12"/>
      <c r="N36" s="12"/>
      <c r="O36" s="12"/>
      <c r="P36" s="12"/>
      <c r="Q36" s="12"/>
      <c r="R36" s="12"/>
      <c r="S36" s="12"/>
      <c r="T36" s="12"/>
      <c r="U36" s="12"/>
      <c r="V36" s="12"/>
    </row>
    <row r="37" spans="1:34" ht="13.4" customHeight="1">
      <c r="A37" s="163" t="s">
        <v>427</v>
      </c>
      <c r="B37" s="163"/>
      <c r="C37" s="163"/>
      <c r="D37" s="163"/>
      <c r="E37" s="23" t="s">
        <v>428</v>
      </c>
      <c r="F37" s="85">
        <f>2*28-(IF(E9="vCSA8.0", 2, 1))</f>
        <v>54</v>
      </c>
      <c r="G37" s="85">
        <f>1*(512-(IF(E9="vCSA8.0", 12, 8)))</f>
        <v>500</v>
      </c>
      <c r="H37" s="164" t="str">
        <f>"Note1: ESXi reserves " &amp; IF(E9="vCSA8.0", 12, 8) &amp;" GB Memory for internal purpose
Note2: "&amp; IF(E9="vCSA8.0", 2, 1) &amp; " CPU is used by vSphere "&amp; IF(E9="vCSA8.0", "8.0", "7.0 U1") &amp;" onwards for internal functionality."</f>
        <v>Note1: ESXi reserves 12 GB Memory for internal purpose
Note2: 2 CPU is used by vSphere 8.0 onwards for internal functionality.</v>
      </c>
      <c r="I37" s="164"/>
      <c r="J37" s="164"/>
      <c r="K37" s="164"/>
      <c r="L37" s="164"/>
      <c r="M37" s="20"/>
      <c r="N37" s="20"/>
      <c r="O37" s="20"/>
      <c r="P37" s="20"/>
      <c r="Q37" s="20"/>
      <c r="R37" s="20"/>
      <c r="S37" s="20"/>
      <c r="T37" s="20"/>
      <c r="U37" s="20"/>
      <c r="V37" s="20"/>
      <c r="W37" s="20"/>
      <c r="X37" s="20"/>
      <c r="Y37" s="20"/>
      <c r="Z37" s="20"/>
      <c r="AA37" s="20"/>
      <c r="AB37" s="20"/>
      <c r="AC37" s="20"/>
      <c r="AD37" s="130"/>
      <c r="AE37" s="20"/>
      <c r="AF37" s="20"/>
      <c r="AG37" s="20"/>
      <c r="AH37" s="20"/>
    </row>
    <row r="38" spans="1:34" ht="13.4" customHeight="1">
      <c r="A38" s="85"/>
      <c r="B38" s="85"/>
      <c r="C38" s="85"/>
      <c r="D38" s="85"/>
      <c r="E38" s="23" t="s">
        <v>429</v>
      </c>
      <c r="F38" s="85">
        <f>2*32-(IF(E9="vCSA8.0", 2, 1))</f>
        <v>62</v>
      </c>
      <c r="G38" s="85">
        <f>1*(512-(IF(E9="vCSA8.0", 12, 8)))</f>
        <v>500</v>
      </c>
      <c r="H38" s="164"/>
      <c r="I38" s="164"/>
      <c r="J38" s="164"/>
      <c r="K38" s="164"/>
      <c r="L38" s="164"/>
      <c r="M38" s="20"/>
      <c r="N38" s="20"/>
      <c r="O38" s="20"/>
      <c r="P38" s="20"/>
      <c r="Q38" s="20"/>
      <c r="R38" s="20"/>
      <c r="S38" s="20"/>
      <c r="T38" s="20"/>
      <c r="U38" s="20"/>
      <c r="V38" s="20"/>
      <c r="W38" s="20"/>
      <c r="X38" s="20"/>
      <c r="Y38" s="20"/>
      <c r="Z38" s="20"/>
      <c r="AA38" s="20"/>
      <c r="AB38" s="20"/>
      <c r="AC38" s="20"/>
      <c r="AD38" s="130"/>
      <c r="AE38" s="20"/>
      <c r="AF38" s="20"/>
      <c r="AG38" s="20"/>
      <c r="AH38" s="20"/>
    </row>
    <row r="39" spans="1:34" ht="13">
      <c r="A39" s="163"/>
      <c r="B39" s="163"/>
      <c r="C39" s="163"/>
      <c r="D39" s="163"/>
      <c r="E39" s="23"/>
      <c r="F39" s="85"/>
      <c r="G39" s="85"/>
      <c r="H39" s="164"/>
      <c r="I39" s="164"/>
      <c r="J39" s="164"/>
      <c r="K39" s="164"/>
      <c r="L39" s="164"/>
      <c r="M39" s="20"/>
      <c r="N39" s="20"/>
      <c r="O39" s="20"/>
      <c r="P39" s="20"/>
      <c r="Q39" s="20"/>
      <c r="R39" s="20"/>
      <c r="S39" s="20"/>
      <c r="T39" s="20"/>
      <c r="U39" s="20"/>
      <c r="V39" s="20"/>
      <c r="W39" s="20"/>
      <c r="X39" s="20"/>
      <c r="Y39" s="20"/>
      <c r="Z39" s="20"/>
      <c r="AA39" s="20"/>
      <c r="AB39" s="20"/>
      <c r="AC39" s="20"/>
      <c r="AD39" s="130"/>
      <c r="AE39" s="20"/>
      <c r="AF39" s="20"/>
      <c r="AG39" s="20"/>
      <c r="AH39" s="20"/>
    </row>
    <row r="40" spans="1:34" ht="13">
      <c r="A40" s="85"/>
      <c r="B40" s="85"/>
      <c r="C40" s="85"/>
      <c r="D40" s="85"/>
      <c r="E40" s="23"/>
      <c r="F40" s="85"/>
      <c r="G40" s="85"/>
      <c r="H40" s="164"/>
      <c r="I40" s="164"/>
      <c r="J40" s="164"/>
      <c r="K40" s="164"/>
      <c r="L40" s="164"/>
      <c r="M40" s="20"/>
      <c r="N40" s="20"/>
      <c r="O40" s="20"/>
      <c r="P40" s="20"/>
      <c r="Q40" s="20"/>
      <c r="R40" s="20"/>
      <c r="S40" s="20"/>
      <c r="T40" s="20"/>
      <c r="U40" s="20"/>
      <c r="V40" s="20"/>
      <c r="W40" s="20"/>
      <c r="X40" s="20"/>
      <c r="Y40" s="20"/>
      <c r="Z40" s="20"/>
      <c r="AA40" s="20"/>
      <c r="AB40" s="20"/>
      <c r="AC40" s="20"/>
      <c r="AD40" s="130"/>
      <c r="AE40" s="20"/>
      <c r="AF40" s="20"/>
      <c r="AG40" s="20"/>
      <c r="AH40" s="20"/>
    </row>
    <row r="42" spans="1:34">
      <c r="E42" s="33"/>
    </row>
    <row r="44" spans="1:34" ht="13">
      <c r="A44" s="14" t="s">
        <v>430</v>
      </c>
      <c r="AH44" s="12"/>
    </row>
    <row r="45" spans="1:34">
      <c r="A45" s="4" t="s">
        <v>431</v>
      </c>
      <c r="C45" s="4" t="s">
        <v>387</v>
      </c>
      <c r="D45" s="4" t="s">
        <v>378</v>
      </c>
      <c r="E45" s="4" t="s">
        <v>21</v>
      </c>
      <c r="F45" s="12">
        <v>4</v>
      </c>
      <c r="G45" s="12">
        <v>16</v>
      </c>
      <c r="H45" s="12">
        <v>0</v>
      </c>
      <c r="I45" s="12">
        <v>71</v>
      </c>
      <c r="J45" s="12">
        <f t="shared" ref="J45:J55" si="1">G45-H45</f>
        <v>16</v>
      </c>
      <c r="K45" s="12" t="s">
        <v>379</v>
      </c>
      <c r="L45" s="12"/>
      <c r="M45" s="12"/>
      <c r="N45" s="12"/>
      <c r="O45" s="12"/>
      <c r="P45" s="12"/>
      <c r="Q45" s="12"/>
      <c r="R45" s="12"/>
      <c r="S45" s="12"/>
      <c r="T45" s="12"/>
      <c r="U45" s="12"/>
      <c r="V45" s="12"/>
      <c r="AF45" s="12" t="s">
        <v>380</v>
      </c>
      <c r="AG45" s="12" t="s">
        <v>432</v>
      </c>
      <c r="AH45" s="12"/>
    </row>
    <row r="46" spans="1:34">
      <c r="A46" s="4" t="s">
        <v>433</v>
      </c>
      <c r="B46" s="12"/>
      <c r="C46" s="4" t="s">
        <v>387</v>
      </c>
      <c r="D46" s="19" t="s">
        <v>434</v>
      </c>
      <c r="E46" s="4" t="s">
        <v>89</v>
      </c>
      <c r="F46" s="12">
        <v>4</v>
      </c>
      <c r="G46" s="12">
        <v>4</v>
      </c>
      <c r="H46" s="12">
        <v>0</v>
      </c>
      <c r="I46" s="12">
        <v>100</v>
      </c>
      <c r="J46" s="12">
        <f t="shared" si="1"/>
        <v>4</v>
      </c>
      <c r="K46" s="12" t="s">
        <v>379</v>
      </c>
      <c r="L46" s="12"/>
      <c r="M46" s="12"/>
      <c r="N46" s="12"/>
      <c r="O46" s="12"/>
      <c r="P46" s="12"/>
      <c r="Q46" s="12"/>
      <c r="R46" s="12"/>
      <c r="S46" s="12"/>
      <c r="T46" s="12"/>
      <c r="U46" s="12"/>
      <c r="V46" s="12"/>
      <c r="W46" s="12"/>
      <c r="X46" s="12"/>
      <c r="Y46" s="12"/>
      <c r="Z46" s="12"/>
      <c r="AA46" s="12"/>
      <c r="AB46" s="12"/>
      <c r="AC46" s="12"/>
      <c r="AE46" s="12"/>
      <c r="AF46" s="12" t="s">
        <v>380</v>
      </c>
      <c r="AG46" s="12" t="s">
        <v>381</v>
      </c>
      <c r="AH46" s="12"/>
    </row>
    <row r="47" spans="1:34">
      <c r="A47" s="4" t="s">
        <v>435</v>
      </c>
      <c r="B47" s="12"/>
      <c r="C47" s="4" t="s">
        <v>387</v>
      </c>
      <c r="D47" s="19" t="s">
        <v>434</v>
      </c>
      <c r="E47" s="4" t="s">
        <v>97</v>
      </c>
      <c r="F47" s="12">
        <v>4</v>
      </c>
      <c r="G47" s="12">
        <v>16</v>
      </c>
      <c r="H47" s="12">
        <v>0</v>
      </c>
      <c r="I47" s="12">
        <v>100</v>
      </c>
      <c r="J47" s="12">
        <f t="shared" si="1"/>
        <v>16</v>
      </c>
      <c r="K47" s="12" t="s">
        <v>379</v>
      </c>
      <c r="L47" s="12"/>
      <c r="M47" s="12"/>
      <c r="N47" s="12"/>
      <c r="O47" s="12"/>
      <c r="P47" s="12"/>
      <c r="Q47" s="12"/>
      <c r="R47" s="12"/>
      <c r="S47" s="12"/>
      <c r="T47" s="12"/>
      <c r="U47" s="12"/>
      <c r="V47" s="12"/>
      <c r="W47" s="12"/>
      <c r="X47" s="12"/>
      <c r="Y47" s="12"/>
      <c r="Z47" s="12"/>
      <c r="AA47" s="12"/>
      <c r="AB47" s="12"/>
      <c r="AC47" s="12"/>
      <c r="AE47" s="12"/>
      <c r="AF47" s="12" t="s">
        <v>380</v>
      </c>
      <c r="AG47" s="12" t="s">
        <v>381</v>
      </c>
      <c r="AH47" s="12"/>
    </row>
    <row r="48" spans="1:34">
      <c r="A48" s="4" t="s">
        <v>436</v>
      </c>
      <c r="B48" s="12"/>
      <c r="C48" s="4" t="s">
        <v>387</v>
      </c>
      <c r="D48" s="19" t="s">
        <v>434</v>
      </c>
      <c r="E48" s="4" t="s">
        <v>93</v>
      </c>
      <c r="F48" s="12">
        <v>4</v>
      </c>
      <c r="G48" s="12">
        <v>14</v>
      </c>
      <c r="H48" s="12">
        <v>0</v>
      </c>
      <c r="I48" s="12">
        <v>120</v>
      </c>
      <c r="J48" s="12">
        <f t="shared" si="1"/>
        <v>14</v>
      </c>
      <c r="K48" s="12" t="s">
        <v>379</v>
      </c>
      <c r="L48" s="12"/>
      <c r="M48" s="12"/>
      <c r="N48" s="12"/>
      <c r="O48" s="12"/>
      <c r="P48" s="12"/>
      <c r="Q48" s="12"/>
      <c r="R48" s="12"/>
      <c r="S48" s="12"/>
      <c r="T48" s="12"/>
      <c r="U48" s="12"/>
      <c r="V48" s="12"/>
      <c r="W48" s="12"/>
      <c r="X48" s="12"/>
      <c r="Y48" s="12"/>
      <c r="Z48" s="12"/>
      <c r="AA48" s="12"/>
      <c r="AB48" s="12"/>
      <c r="AC48" s="12"/>
      <c r="AE48" s="12"/>
      <c r="AF48" s="12" t="s">
        <v>380</v>
      </c>
      <c r="AG48" s="12" t="s">
        <v>381</v>
      </c>
      <c r="AH48" s="12"/>
    </row>
    <row r="49" spans="1:34">
      <c r="A49" s="4" t="s">
        <v>437</v>
      </c>
      <c r="C49" s="4" t="s">
        <v>387</v>
      </c>
      <c r="D49" s="19" t="s">
        <v>434</v>
      </c>
      <c r="E49" s="4" t="s">
        <v>97</v>
      </c>
      <c r="F49" s="12">
        <v>4</v>
      </c>
      <c r="G49" s="12">
        <v>16</v>
      </c>
      <c r="H49" s="12">
        <v>0</v>
      </c>
      <c r="I49" s="12">
        <v>100</v>
      </c>
      <c r="J49" s="12">
        <f t="shared" si="1"/>
        <v>16</v>
      </c>
      <c r="K49" s="12" t="s">
        <v>379</v>
      </c>
      <c r="L49" s="12"/>
      <c r="M49" s="12"/>
      <c r="N49" s="12"/>
      <c r="O49" s="12"/>
      <c r="P49" s="12"/>
      <c r="Q49" s="12"/>
      <c r="R49" s="12"/>
      <c r="S49" s="12"/>
      <c r="T49" s="12"/>
      <c r="U49" s="12"/>
      <c r="V49" s="12"/>
      <c r="AF49" s="12" t="s">
        <v>380</v>
      </c>
      <c r="AG49" s="12" t="s">
        <v>381</v>
      </c>
      <c r="AH49" s="12"/>
    </row>
    <row r="50" spans="1:34">
      <c r="A50" s="4" t="s">
        <v>438</v>
      </c>
      <c r="C50" s="4" t="s">
        <v>387</v>
      </c>
      <c r="D50" s="4" t="s">
        <v>378</v>
      </c>
      <c r="E50" s="4" t="s">
        <v>32</v>
      </c>
      <c r="F50" s="12">
        <v>3</v>
      </c>
      <c r="G50" s="12">
        <v>8</v>
      </c>
      <c r="H50" s="12">
        <v>0</v>
      </c>
      <c r="I50" s="12">
        <v>121</v>
      </c>
      <c r="J50" s="12">
        <f t="shared" si="1"/>
        <v>8</v>
      </c>
      <c r="K50" s="12" t="s">
        <v>379</v>
      </c>
      <c r="L50" s="12"/>
      <c r="M50" s="12"/>
      <c r="N50" s="12"/>
      <c r="O50" s="12"/>
      <c r="P50" s="12"/>
      <c r="Q50" s="12"/>
      <c r="R50" s="12"/>
      <c r="S50" s="12"/>
      <c r="T50" s="12"/>
      <c r="U50" s="12"/>
      <c r="V50" s="12"/>
      <c r="AF50" s="12" t="s">
        <v>380</v>
      </c>
      <c r="AG50" s="12" t="s">
        <v>381</v>
      </c>
      <c r="AH50" s="12"/>
    </row>
    <row r="51" spans="1:34">
      <c r="A51" s="4" t="s">
        <v>439</v>
      </c>
      <c r="C51" s="4" t="s">
        <v>387</v>
      </c>
      <c r="D51" s="4" t="s">
        <v>378</v>
      </c>
      <c r="E51" s="4" t="s">
        <v>32</v>
      </c>
      <c r="F51" s="12">
        <v>3</v>
      </c>
      <c r="G51" s="12">
        <v>8</v>
      </c>
      <c r="H51" s="12">
        <v>0</v>
      </c>
      <c r="I51" s="12">
        <v>121</v>
      </c>
      <c r="J51" s="12">
        <f t="shared" si="1"/>
        <v>8</v>
      </c>
      <c r="K51" s="12" t="s">
        <v>379</v>
      </c>
      <c r="L51" s="12"/>
      <c r="M51" s="12"/>
      <c r="N51" s="12"/>
      <c r="O51" s="12"/>
      <c r="P51" s="12"/>
      <c r="Q51" s="12"/>
      <c r="R51" s="12"/>
      <c r="S51" s="12"/>
      <c r="T51" s="12"/>
      <c r="U51" s="12"/>
      <c r="V51" s="12"/>
      <c r="AF51" s="12" t="s">
        <v>380</v>
      </c>
      <c r="AG51" s="12" t="s">
        <v>381</v>
      </c>
      <c r="AH51" s="12"/>
    </row>
    <row r="52" spans="1:34">
      <c r="A52" s="4" t="s">
        <v>440</v>
      </c>
      <c r="C52" s="4" t="s">
        <v>387</v>
      </c>
      <c r="D52" s="4" t="s">
        <v>378</v>
      </c>
      <c r="E52" s="4" t="s">
        <v>48</v>
      </c>
      <c r="F52" s="12">
        <v>2</v>
      </c>
      <c r="G52" s="12">
        <v>4</v>
      </c>
      <c r="H52" s="12">
        <v>0</v>
      </c>
      <c r="I52" s="12">
        <v>41</v>
      </c>
      <c r="J52" s="12">
        <f t="shared" si="1"/>
        <v>4</v>
      </c>
      <c r="K52" s="12" t="s">
        <v>379</v>
      </c>
      <c r="L52" s="12"/>
      <c r="M52" s="12"/>
      <c r="N52" s="12"/>
      <c r="O52" s="12"/>
      <c r="P52" s="12"/>
      <c r="Q52" s="12"/>
      <c r="R52" s="12"/>
      <c r="S52" s="12"/>
      <c r="T52" s="12"/>
      <c r="U52" s="12"/>
      <c r="V52" s="12"/>
      <c r="AF52" s="12" t="s">
        <v>380</v>
      </c>
      <c r="AG52" s="12" t="s">
        <v>381</v>
      </c>
      <c r="AH52" s="12"/>
    </row>
    <row r="53" spans="1:34">
      <c r="A53" s="4" t="s">
        <v>441</v>
      </c>
      <c r="C53" s="4" t="s">
        <v>387</v>
      </c>
      <c r="D53" s="4" t="s">
        <v>378</v>
      </c>
      <c r="E53" s="4" t="s">
        <v>40</v>
      </c>
      <c r="F53" s="12">
        <v>2</v>
      </c>
      <c r="G53" s="12">
        <v>4</v>
      </c>
      <c r="H53" s="12">
        <v>0</v>
      </c>
      <c r="I53" s="12">
        <v>31</v>
      </c>
      <c r="J53" s="12">
        <f t="shared" si="1"/>
        <v>4</v>
      </c>
      <c r="K53" s="12" t="s">
        <v>379</v>
      </c>
      <c r="L53" s="12"/>
      <c r="M53" s="12"/>
      <c r="N53" s="12"/>
      <c r="O53" s="12"/>
      <c r="P53" s="12"/>
      <c r="Q53" s="12"/>
      <c r="R53" s="12"/>
      <c r="S53" s="12"/>
      <c r="T53" s="12"/>
      <c r="U53" s="12"/>
      <c r="V53" s="12"/>
      <c r="AF53" s="12" t="s">
        <v>380</v>
      </c>
      <c r="AG53" s="12" t="s">
        <v>381</v>
      </c>
      <c r="AH53" s="12"/>
    </row>
    <row r="54" spans="1:34">
      <c r="A54" s="4" t="s">
        <v>442</v>
      </c>
      <c r="C54" s="4" t="s">
        <v>387</v>
      </c>
      <c r="D54" s="4" t="s">
        <v>378</v>
      </c>
      <c r="E54" s="4" t="s">
        <v>44</v>
      </c>
      <c r="F54" s="12">
        <v>4</v>
      </c>
      <c r="G54" s="12">
        <v>4</v>
      </c>
      <c r="H54" s="12">
        <v>0</v>
      </c>
      <c r="I54" s="12">
        <v>36</v>
      </c>
      <c r="J54" s="12">
        <f t="shared" si="1"/>
        <v>4</v>
      </c>
      <c r="K54" s="12" t="s">
        <v>379</v>
      </c>
      <c r="M54" s="12"/>
      <c r="N54" s="12"/>
      <c r="O54" s="12"/>
      <c r="P54" s="12"/>
      <c r="Q54" s="12"/>
      <c r="R54" s="12"/>
      <c r="S54" s="12"/>
      <c r="T54" s="12"/>
      <c r="U54" s="12"/>
      <c r="V54" s="12"/>
      <c r="AF54" s="12" t="s">
        <v>380</v>
      </c>
      <c r="AG54" s="12" t="s">
        <v>381</v>
      </c>
      <c r="AH54" s="12"/>
    </row>
    <row r="55" spans="1:34" ht="14.5">
      <c r="A55" s="4" t="s">
        <v>443</v>
      </c>
      <c r="C55" s="4" t="s">
        <v>387</v>
      </c>
      <c r="D55" s="4" t="s">
        <v>378</v>
      </c>
      <c r="E55" s="4" t="s">
        <v>247</v>
      </c>
      <c r="F55" s="12">
        <v>5</v>
      </c>
      <c r="G55" s="12">
        <v>6</v>
      </c>
      <c r="H55" s="12">
        <v>0</v>
      </c>
      <c r="I55" s="12">
        <v>111</v>
      </c>
      <c r="J55" s="82">
        <f t="shared" si="1"/>
        <v>6</v>
      </c>
      <c r="K55" s="12" t="s">
        <v>379</v>
      </c>
      <c r="L55" s="12"/>
      <c r="M55" s="12"/>
      <c r="N55" s="1"/>
      <c r="O55"/>
      <c r="P55" s="12"/>
      <c r="Q55" s="12"/>
      <c r="R55" s="12"/>
      <c r="S55" s="12"/>
      <c r="T55" s="12"/>
      <c r="U55" s="12"/>
      <c r="V55" s="12"/>
      <c r="W55" s="12"/>
      <c r="X55" s="12"/>
      <c r="AD55" s="4"/>
      <c r="AF55" s="12" t="s">
        <v>380</v>
      </c>
      <c r="AG55" s="12" t="s">
        <v>381</v>
      </c>
      <c r="AH55" s="12" t="s">
        <v>381</v>
      </c>
    </row>
    <row r="56" spans="1:34" ht="13.5" customHeight="1">
      <c r="A56" s="4" t="s">
        <v>444</v>
      </c>
      <c r="D56" s="4" t="s">
        <v>445</v>
      </c>
      <c r="E56" s="4" t="s">
        <v>446</v>
      </c>
      <c r="F56" s="12">
        <v>2</v>
      </c>
      <c r="G56" s="12">
        <v>8</v>
      </c>
      <c r="H56" s="12">
        <v>0</v>
      </c>
      <c r="I56" s="12">
        <v>150</v>
      </c>
      <c r="J56" s="12">
        <f>G56-H56</f>
        <v>8</v>
      </c>
      <c r="K56" s="12" t="s">
        <v>179</v>
      </c>
      <c r="L56" s="12"/>
      <c r="M56" s="12"/>
      <c r="N56" s="1"/>
      <c r="O56"/>
      <c r="P56" s="12"/>
      <c r="Q56" s="12"/>
      <c r="R56" s="12"/>
      <c r="S56" s="12"/>
      <c r="T56" s="12">
        <v>3000</v>
      </c>
      <c r="U56" s="12" t="s">
        <v>179</v>
      </c>
      <c r="V56" s="12"/>
      <c r="AF56" s="12"/>
      <c r="AG56" s="12"/>
      <c r="AH56" s="12"/>
    </row>
    <row r="57" spans="1:34" s="17" customFormat="1" ht="13.5" customHeight="1">
      <c r="A57" s="17" t="s">
        <v>447</v>
      </c>
      <c r="D57" s="17" t="s">
        <v>445</v>
      </c>
      <c r="E57" s="17" t="s">
        <v>448</v>
      </c>
      <c r="F57" s="15">
        <v>4</v>
      </c>
      <c r="G57" s="15">
        <v>4</v>
      </c>
      <c r="H57" s="15">
        <v>0</v>
      </c>
      <c r="I57" s="15">
        <v>21</v>
      </c>
      <c r="J57" s="15">
        <f>G57-H57</f>
        <v>4</v>
      </c>
      <c r="K57" s="15" t="s">
        <v>179</v>
      </c>
      <c r="L57" s="15"/>
      <c r="M57" s="15"/>
      <c r="N57" s="96"/>
      <c r="O57" s="95"/>
      <c r="P57" s="15"/>
      <c r="Q57" s="15"/>
      <c r="R57" s="15"/>
      <c r="S57" s="15"/>
      <c r="T57" s="15"/>
      <c r="U57" s="15"/>
      <c r="V57" s="15"/>
      <c r="AD57" s="15"/>
      <c r="AF57" s="15"/>
      <c r="AG57" s="15"/>
      <c r="AH57" s="15"/>
    </row>
    <row r="58" spans="1:34" ht="13.5" customHeight="1">
      <c r="F58" s="12">
        <f>SUM(F45:F57)+F34</f>
        <v>143</v>
      </c>
      <c r="G58" s="12">
        <f t="shared" ref="G58:AD58" si="2">SUM(G45:G57)+G34</f>
        <v>351</v>
      </c>
      <c r="H58" s="12">
        <f t="shared" si="2"/>
        <v>110</v>
      </c>
      <c r="I58" s="12">
        <f t="shared" si="2"/>
        <v>3351</v>
      </c>
      <c r="J58" s="12"/>
      <c r="K58" s="12"/>
      <c r="L58" s="12">
        <f t="shared" si="2"/>
        <v>66</v>
      </c>
      <c r="M58" s="12"/>
      <c r="N58" s="12">
        <f t="shared" si="2"/>
        <v>1350</v>
      </c>
      <c r="O58"/>
      <c r="P58" s="12">
        <f t="shared" si="2"/>
        <v>1650</v>
      </c>
      <c r="Q58" s="12"/>
      <c r="R58" s="12">
        <f t="shared" si="2"/>
        <v>460</v>
      </c>
      <c r="S58" s="12"/>
      <c r="T58" s="12">
        <f t="shared" si="2"/>
        <v>3000</v>
      </c>
      <c r="U58" s="12"/>
      <c r="V58" s="12">
        <f t="shared" si="2"/>
        <v>5090</v>
      </c>
      <c r="X58" s="12">
        <f t="shared" si="2"/>
        <v>150</v>
      </c>
      <c r="Z58" s="12">
        <f t="shared" si="2"/>
        <v>50</v>
      </c>
      <c r="AB58" s="12">
        <f t="shared" si="2"/>
        <v>65</v>
      </c>
      <c r="AD58" s="12">
        <f t="shared" si="2"/>
        <v>200</v>
      </c>
      <c r="AF58" s="12"/>
      <c r="AG58" s="12" t="s">
        <v>449</v>
      </c>
      <c r="AH58" s="12">
        <v>3</v>
      </c>
    </row>
    <row r="59" spans="1:34">
      <c r="F59" s="12"/>
      <c r="G59" s="12"/>
      <c r="H59" s="12"/>
      <c r="I59" s="12"/>
      <c r="J59" s="12"/>
      <c r="K59" s="12"/>
    </row>
    <row r="60" spans="1:34" ht="13">
      <c r="A60" s="165" t="s">
        <v>368</v>
      </c>
      <c r="B60" s="166"/>
      <c r="C60" s="167"/>
    </row>
    <row r="61" spans="1:34" ht="13">
      <c r="A61" s="91" t="s">
        <v>450</v>
      </c>
      <c r="B61" s="91" t="s">
        <v>451</v>
      </c>
      <c r="C61" s="91" t="s">
        <v>452</v>
      </c>
      <c r="D61" s="8"/>
      <c r="E61" s="8"/>
    </row>
    <row r="62" spans="1:34">
      <c r="A62" s="89" t="s">
        <v>379</v>
      </c>
      <c r="B62" s="87" cm="1">
        <f t="array" ref="B62">SUM(IF(K8:K58=A62,I8:J58,""))+Z19+AB21</f>
        <v>3535</v>
      </c>
      <c r="C62" s="88">
        <f>4500+IF(E9="vCSA8.0", 200,0)</f>
        <v>4700</v>
      </c>
    </row>
    <row r="63" spans="1:34">
      <c r="A63" s="89" t="s">
        <v>453</v>
      </c>
      <c r="B63" s="88">
        <v>0.69</v>
      </c>
      <c r="C63" s="88">
        <v>750</v>
      </c>
    </row>
    <row r="64" spans="1:34">
      <c r="A64" s="89" t="s">
        <v>454</v>
      </c>
      <c r="B64" s="88">
        <v>59.4</v>
      </c>
      <c r="C64" s="88">
        <f>L11</f>
        <v>66</v>
      </c>
    </row>
    <row r="65" spans="1:7">
      <c r="A65" s="89" t="s">
        <v>455</v>
      </c>
      <c r="B65" s="88">
        <f>0.9*C65</f>
        <v>1215</v>
      </c>
      <c r="C65" s="88">
        <f>N11</f>
        <v>1350</v>
      </c>
    </row>
    <row r="66" spans="1:7">
      <c r="A66" s="89" t="s">
        <v>456</v>
      </c>
      <c r="B66" s="88">
        <f>0.9*C66</f>
        <v>1485</v>
      </c>
      <c r="C66" s="88">
        <f>P11</f>
        <v>1650</v>
      </c>
    </row>
    <row r="67" spans="1:7">
      <c r="A67" s="89" t="s">
        <v>189</v>
      </c>
      <c r="B67" s="88">
        <v>312</v>
      </c>
      <c r="C67" s="88">
        <v>340</v>
      </c>
    </row>
    <row r="68" spans="1:7">
      <c r="A68" s="89" t="s">
        <v>457</v>
      </c>
      <c r="B68" s="88">
        <v>90</v>
      </c>
      <c r="C68" s="88">
        <v>150</v>
      </c>
    </row>
    <row r="69" spans="1:7">
      <c r="A69" s="89" t="s">
        <v>421</v>
      </c>
      <c r="B69" s="88">
        <v>150</v>
      </c>
      <c r="C69" s="88">
        <v>200</v>
      </c>
    </row>
    <row r="70" spans="1:7">
      <c r="A70" s="89" t="s">
        <v>458</v>
      </c>
      <c r="B70" s="88">
        <f>4095+V12*0.9+SUM(I56:J57) + T56</f>
        <v>7503</v>
      </c>
      <c r="C70" s="88">
        <v>8500</v>
      </c>
      <c r="D70" s="12"/>
    </row>
    <row r="71" spans="1:7">
      <c r="B71" s="12"/>
      <c r="C71" s="12"/>
      <c r="D71" s="12"/>
    </row>
    <row r="72" spans="1:7">
      <c r="B72" s="12"/>
      <c r="C72" s="12"/>
      <c r="D72" s="12"/>
    </row>
    <row r="73" spans="1:7">
      <c r="B73" s="88"/>
      <c r="C73" s="12"/>
    </row>
    <row r="74" spans="1:7">
      <c r="B74" s="12"/>
      <c r="C74" s="12"/>
    </row>
    <row r="75" spans="1:7">
      <c r="B75" s="12"/>
      <c r="C75" s="12"/>
      <c r="D75" s="97"/>
      <c r="E75" s="97"/>
      <c r="F75" s="97"/>
      <c r="G75" s="97"/>
    </row>
  </sheetData>
  <mergeCells count="11">
    <mergeCell ref="A5:B5"/>
    <mergeCell ref="A1:E1"/>
    <mergeCell ref="A2:B2"/>
    <mergeCell ref="A3:B3"/>
    <mergeCell ref="F3:G3"/>
    <mergeCell ref="A4:B4"/>
    <mergeCell ref="A6:B6"/>
    <mergeCell ref="A37:D37"/>
    <mergeCell ref="H37:L40"/>
    <mergeCell ref="A39:D39"/>
    <mergeCell ref="A60:C60"/>
  </mergeCells>
  <dataValidations count="1">
    <dataValidation type="list" showInputMessage="1" showErrorMessage="1" sqref="E9" xr:uid="{CEDB7523-8A31-4DA1-9887-0ECB01CF012A}">
      <formula1>"vCSA8.0, vCSA7.0"</formula1>
    </dataValidation>
  </dataValidations>
  <hyperlinks>
    <hyperlink ref="F3:G3" location="Shortcuts!A1" display="Back to shortcuts" xr:uid="{6BDDE624-205B-46CD-8942-157681B7F856}"/>
  </hyperlinks>
  <pageMargins left="0.7" right="0.7" top="0.75" bottom="0.75" header="0.3" footer="0.3"/>
  <pageSetup paperSize="9" orientation="portrait" r:id="rId1"/>
  <headerFooter>
    <oddFooter>&amp;C&amp;1#&amp;"Arial"&amp;8&amp;K001753Nokia internal use</oddFooter>
  </headerFooter>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9C884A-5A1F-4D46-A174-5308A3D5EC64}">
  <sheetPr codeName="Sheet91"/>
  <dimension ref="A1:AT128"/>
  <sheetViews>
    <sheetView zoomScale="80" zoomScaleNormal="80" zoomScalePageLayoutView="70" workbookViewId="0">
      <selection activeCell="A16" sqref="A16"/>
    </sheetView>
  </sheetViews>
  <sheetFormatPr defaultColWidth="8.81640625" defaultRowHeight="12.5"/>
  <cols>
    <col min="1" max="1" width="53.81640625" style="4" customWidth="1"/>
    <col min="2" max="2" width="15" style="4" customWidth="1"/>
    <col min="3" max="3" width="17.81640625" style="4" customWidth="1"/>
    <col min="4" max="4" width="28.81640625" style="4" customWidth="1"/>
    <col min="5" max="5" width="56" style="4" customWidth="1"/>
    <col min="6" max="6" width="8.81640625" style="4"/>
    <col min="7" max="7" width="19.453125" style="4" customWidth="1"/>
    <col min="8" max="8" width="21.1796875" style="4" customWidth="1"/>
    <col min="9" max="9" width="26.81640625" style="4" customWidth="1"/>
    <col min="10" max="10" width="38.54296875" style="4" customWidth="1"/>
    <col min="11" max="11" width="17.81640625" style="4" customWidth="1"/>
    <col min="12" max="12" width="8.81640625" style="4"/>
    <col min="13" max="13" width="10.1796875" style="4" customWidth="1"/>
    <col min="14" max="14" width="8.81640625" style="4"/>
    <col min="15" max="15" width="10.1796875" style="4" customWidth="1"/>
    <col min="16" max="16" width="8.81640625" style="4"/>
    <col min="17" max="17" width="10.1796875" style="4" customWidth="1"/>
    <col min="18" max="18" width="8.81640625" style="4"/>
    <col min="19" max="19" width="10.1796875" style="4" customWidth="1"/>
    <col min="20" max="20" width="11.81640625" style="4" customWidth="1"/>
    <col min="21" max="21" width="10.1796875" style="4" customWidth="1"/>
    <col min="22" max="22" width="8.81640625" style="4"/>
    <col min="23" max="23" width="14.81640625" style="4" bestFit="1" customWidth="1"/>
    <col min="24" max="24" width="12.1796875" style="4" customWidth="1"/>
    <col min="25" max="26" width="10.1796875" style="4" customWidth="1"/>
    <col min="27" max="27" width="13.1796875" style="4" customWidth="1"/>
    <col min="28" max="28" width="21.54296875" style="4" customWidth="1"/>
    <col min="29" max="29" width="18.26953125" style="4" customWidth="1"/>
    <col min="30" max="34" width="13.1796875" style="4" customWidth="1"/>
    <col min="35" max="35" width="16.453125" style="4" customWidth="1"/>
    <col min="36" max="38" width="16.453125" style="12" customWidth="1"/>
    <col min="39" max="39" width="16.453125" style="4" customWidth="1"/>
    <col min="40" max="40" width="16.453125" style="12" customWidth="1"/>
    <col min="41" max="41" width="16.453125" style="4" customWidth="1"/>
    <col min="42" max="43" width="13.1796875" style="4" customWidth="1"/>
    <col min="44" max="44" width="22" style="4" customWidth="1"/>
    <col min="45" max="45" width="12.1796875" style="4" customWidth="1"/>
    <col min="46" max="46" width="13.1796875" style="4" customWidth="1"/>
    <col min="47" max="16384" width="8.81640625" style="4"/>
  </cols>
  <sheetData>
    <row r="1" spans="1:46" ht="13">
      <c r="A1" s="156" t="s">
        <v>15</v>
      </c>
      <c r="B1" s="156"/>
      <c r="C1" s="156"/>
      <c r="D1" s="156"/>
      <c r="E1" s="157"/>
      <c r="F1" s="5" t="s">
        <v>354</v>
      </c>
    </row>
    <row r="2" spans="1:46" ht="14.5">
      <c r="A2" s="162" t="s">
        <v>355</v>
      </c>
      <c r="B2" s="168"/>
      <c r="C2" s="113"/>
      <c r="D2" s="4" t="s">
        <v>459</v>
      </c>
    </row>
    <row r="3" spans="1:46" ht="14.5">
      <c r="A3" s="162" t="s">
        <v>357</v>
      </c>
      <c r="B3" s="162"/>
      <c r="C3" s="4" t="s">
        <v>356</v>
      </c>
      <c r="F3" s="169" t="s">
        <v>358</v>
      </c>
      <c r="G3" s="169"/>
    </row>
    <row r="4" spans="1:46" ht="13">
      <c r="A4" s="162" t="s">
        <v>359</v>
      </c>
      <c r="B4" s="162"/>
      <c r="C4" s="4" t="s">
        <v>460</v>
      </c>
    </row>
    <row r="5" spans="1:46" ht="13">
      <c r="A5" s="162" t="s">
        <v>360</v>
      </c>
      <c r="B5" s="162"/>
      <c r="C5" s="155" t="s">
        <v>461</v>
      </c>
    </row>
    <row r="6" spans="1:46" ht="13">
      <c r="A6" s="162" t="s">
        <v>361</v>
      </c>
      <c r="B6" s="162"/>
      <c r="C6" s="154" t="s">
        <v>462</v>
      </c>
    </row>
    <row r="7" spans="1:46" ht="26">
      <c r="A7" s="7" t="s">
        <v>143</v>
      </c>
      <c r="B7" s="7" t="s">
        <v>362</v>
      </c>
      <c r="C7" s="7" t="s">
        <v>363</v>
      </c>
      <c r="D7" s="7" t="s">
        <v>364</v>
      </c>
      <c r="E7" s="7" t="s">
        <v>365</v>
      </c>
      <c r="F7" s="6" t="s">
        <v>129</v>
      </c>
      <c r="G7" s="6" t="s">
        <v>146</v>
      </c>
      <c r="H7" s="6" t="s">
        <v>366</v>
      </c>
      <c r="I7" s="6" t="s">
        <v>149</v>
      </c>
      <c r="J7" s="6" t="s">
        <v>367</v>
      </c>
      <c r="K7" s="6" t="s">
        <v>368</v>
      </c>
      <c r="L7" s="6" t="s">
        <v>170</v>
      </c>
      <c r="M7" s="6" t="s">
        <v>368</v>
      </c>
      <c r="N7" s="6" t="s">
        <v>30</v>
      </c>
      <c r="O7" s="6" t="s">
        <v>368</v>
      </c>
      <c r="P7" s="6" t="s">
        <v>175</v>
      </c>
      <c r="Q7" s="6" t="s">
        <v>368</v>
      </c>
      <c r="R7" s="6" t="s">
        <v>189</v>
      </c>
      <c r="S7" s="6" t="s">
        <v>368</v>
      </c>
      <c r="T7" s="6" t="s">
        <v>194</v>
      </c>
      <c r="U7" s="6" t="s">
        <v>368</v>
      </c>
      <c r="V7" s="6" t="s">
        <v>179</v>
      </c>
      <c r="W7" s="6" t="s">
        <v>368</v>
      </c>
      <c r="X7" s="6" t="s">
        <v>369</v>
      </c>
      <c r="Y7" s="6" t="s">
        <v>368</v>
      </c>
      <c r="Z7" s="6" t="s">
        <v>370</v>
      </c>
      <c r="AA7" s="6" t="s">
        <v>368</v>
      </c>
      <c r="AB7" s="6" t="s">
        <v>371</v>
      </c>
      <c r="AC7" s="6" t="s">
        <v>368</v>
      </c>
      <c r="AD7" s="6" t="s">
        <v>372</v>
      </c>
      <c r="AE7" s="6" t="s">
        <v>368</v>
      </c>
      <c r="AF7" s="6" t="s">
        <v>463</v>
      </c>
      <c r="AG7" s="6" t="s">
        <v>368</v>
      </c>
      <c r="AH7" s="6" t="s">
        <v>373</v>
      </c>
      <c r="AI7" s="6" t="s">
        <v>368</v>
      </c>
      <c r="AJ7" s="6" t="s">
        <v>464</v>
      </c>
      <c r="AK7" s="6" t="s">
        <v>368</v>
      </c>
      <c r="AL7" s="6" t="s">
        <v>465</v>
      </c>
      <c r="AM7" s="6" t="s">
        <v>368</v>
      </c>
      <c r="AN7" s="6" t="s">
        <v>466</v>
      </c>
      <c r="AO7" s="6" t="s">
        <v>368</v>
      </c>
      <c r="AP7" s="79" t="s">
        <v>467</v>
      </c>
      <c r="AQ7" s="6" t="s">
        <v>368</v>
      </c>
      <c r="AR7" s="6" t="s">
        <v>374</v>
      </c>
      <c r="AS7" s="6" t="s">
        <v>375</v>
      </c>
      <c r="AT7" s="6" t="s">
        <v>376</v>
      </c>
    </row>
    <row r="8" spans="1:46">
      <c r="A8" s="4" t="s">
        <v>377</v>
      </c>
      <c r="B8" s="12"/>
      <c r="D8" s="4" t="s">
        <v>378</v>
      </c>
      <c r="E8" s="4" t="s">
        <v>19</v>
      </c>
      <c r="F8" s="12">
        <v>4</v>
      </c>
      <c r="G8" s="12">
        <v>8</v>
      </c>
      <c r="H8" s="12">
        <v>0</v>
      </c>
      <c r="I8" s="12">
        <v>351</v>
      </c>
      <c r="J8" s="12">
        <f>G8-H8</f>
        <v>8</v>
      </c>
      <c r="K8" s="12" t="s">
        <v>468</v>
      </c>
      <c r="L8" s="12"/>
      <c r="M8" s="12"/>
      <c r="N8" s="12"/>
      <c r="O8" s="12"/>
      <c r="P8" s="12"/>
      <c r="Q8" s="12"/>
      <c r="R8" s="12"/>
      <c r="S8" s="12"/>
      <c r="T8" s="12"/>
      <c r="U8" s="12"/>
      <c r="V8" s="12"/>
      <c r="W8" s="12"/>
      <c r="X8" s="12"/>
      <c r="Y8" s="12"/>
      <c r="Z8" s="12"/>
      <c r="AA8" s="12"/>
      <c r="AB8" s="12"/>
      <c r="AC8" s="12"/>
      <c r="AD8" s="12"/>
      <c r="AE8" s="12"/>
      <c r="AF8" s="12"/>
      <c r="AG8" s="12"/>
      <c r="AH8" s="12"/>
      <c r="AI8" s="12"/>
      <c r="AM8" s="12"/>
      <c r="AO8" s="12"/>
      <c r="AP8" s="12"/>
      <c r="AQ8" s="12"/>
      <c r="AR8" s="12" t="s">
        <v>380</v>
      </c>
      <c r="AS8" s="12" t="s">
        <v>381</v>
      </c>
      <c r="AT8" s="12"/>
    </row>
    <row r="9" spans="1:46">
      <c r="A9" s="4" t="s">
        <v>382</v>
      </c>
      <c r="B9" s="12"/>
      <c r="D9" s="113" t="s">
        <v>383</v>
      </c>
      <c r="E9" s="113" t="s">
        <v>384</v>
      </c>
      <c r="F9" s="12">
        <v>4</v>
      </c>
      <c r="G9" s="101">
        <f>IF(E9="vCSA8.0", 14, 12)</f>
        <v>14</v>
      </c>
      <c r="H9" s="12">
        <v>0</v>
      </c>
      <c r="I9" s="101">
        <f>IF(E9="vCSA8.0", 600, 450)</f>
        <v>600</v>
      </c>
      <c r="J9" s="12">
        <v>25</v>
      </c>
      <c r="K9" s="12" t="s">
        <v>468</v>
      </c>
      <c r="L9" s="12"/>
      <c r="M9" s="12"/>
      <c r="N9" s="12"/>
      <c r="O9" s="12"/>
      <c r="P9" s="12"/>
      <c r="Q9" s="12"/>
      <c r="R9" s="12"/>
      <c r="S9" s="12"/>
      <c r="T9" s="12"/>
      <c r="U9" s="12"/>
      <c r="V9" s="12"/>
      <c r="W9" s="12"/>
      <c r="X9" s="12"/>
      <c r="Y9" s="12"/>
      <c r="Z9" s="12"/>
      <c r="AA9" s="12"/>
      <c r="AB9" s="12"/>
      <c r="AC9" s="12"/>
      <c r="AD9" s="12"/>
      <c r="AE9" s="12"/>
      <c r="AF9" s="12"/>
      <c r="AG9" s="12"/>
      <c r="AH9" s="12"/>
      <c r="AI9" s="12"/>
      <c r="AM9" s="12"/>
      <c r="AO9" s="12"/>
      <c r="AP9" s="12"/>
      <c r="AQ9" s="12"/>
      <c r="AR9" s="12" t="s">
        <v>380</v>
      </c>
      <c r="AS9" s="12" t="s">
        <v>381</v>
      </c>
      <c r="AT9" s="12"/>
    </row>
    <row r="10" spans="1:46">
      <c r="A10" s="4" t="s">
        <v>385</v>
      </c>
      <c r="B10" s="12" t="s">
        <v>386</v>
      </c>
      <c r="C10" s="4" t="s">
        <v>387</v>
      </c>
      <c r="D10" s="4" t="s">
        <v>378</v>
      </c>
      <c r="E10" s="4" t="s">
        <v>388</v>
      </c>
      <c r="F10" s="12">
        <v>4</v>
      </c>
      <c r="G10" s="12">
        <v>4</v>
      </c>
      <c r="H10" s="12">
        <v>4</v>
      </c>
      <c r="I10" s="12">
        <v>41</v>
      </c>
      <c r="J10" s="12">
        <f t="shared" ref="J10:J27" si="0">G10-H10</f>
        <v>0</v>
      </c>
      <c r="K10" s="12" t="s">
        <v>469</v>
      </c>
      <c r="L10" s="12"/>
      <c r="M10" s="12"/>
      <c r="N10" s="12"/>
      <c r="O10" s="12"/>
      <c r="P10" s="12"/>
      <c r="Q10" s="12"/>
      <c r="R10" s="12"/>
      <c r="S10" s="12"/>
      <c r="T10" s="12"/>
      <c r="U10" s="12"/>
      <c r="V10" s="12"/>
      <c r="W10" s="12"/>
      <c r="X10" s="12"/>
      <c r="Y10" s="12"/>
      <c r="Z10" s="12"/>
      <c r="AA10" s="12"/>
      <c r="AB10" s="12"/>
      <c r="AC10" s="12"/>
      <c r="AD10" s="12"/>
      <c r="AE10" s="12"/>
      <c r="AF10" s="12"/>
      <c r="AG10" s="12"/>
      <c r="AH10" s="12"/>
      <c r="AI10" s="12"/>
      <c r="AM10" s="12"/>
      <c r="AO10" s="12"/>
      <c r="AP10" s="12"/>
      <c r="AQ10" s="12"/>
      <c r="AR10" s="12" t="s">
        <v>380</v>
      </c>
      <c r="AS10" s="12" t="s">
        <v>381</v>
      </c>
      <c r="AT10" s="12"/>
    </row>
    <row r="11" spans="1:46">
      <c r="A11" s="4" t="s">
        <v>389</v>
      </c>
      <c r="B11" s="12"/>
      <c r="C11" s="4" t="s">
        <v>387</v>
      </c>
      <c r="D11" s="4" t="s">
        <v>378</v>
      </c>
      <c r="E11" s="4" t="s">
        <v>30</v>
      </c>
      <c r="F11" s="101">
        <f>VLOOKUP(N11,B127:I128,3,FALSE)</f>
        <v>6</v>
      </c>
      <c r="G11" s="101">
        <f>VLOOKUP(N11,B127:I128,4,FALSE)</f>
        <v>40</v>
      </c>
      <c r="H11" s="101">
        <f>(G11*82.5)/100</f>
        <v>33</v>
      </c>
      <c r="I11" s="12">
        <v>101</v>
      </c>
      <c r="J11" s="12">
        <f t="shared" si="0"/>
        <v>7</v>
      </c>
      <c r="K11" s="12" t="s">
        <v>470</v>
      </c>
      <c r="L11" s="12">
        <v>66</v>
      </c>
      <c r="M11" s="12" t="s">
        <v>390</v>
      </c>
      <c r="N11" s="101">
        <v>750</v>
      </c>
      <c r="O11" s="12" t="s">
        <v>391</v>
      </c>
      <c r="P11" s="101">
        <f>VLOOKUP(N11,B127:I128,5,FALSE)</f>
        <v>1125</v>
      </c>
      <c r="Q11" s="12" t="s">
        <v>392</v>
      </c>
      <c r="R11" s="12"/>
      <c r="S11" s="12"/>
      <c r="T11" s="12"/>
      <c r="U11" s="12"/>
      <c r="V11" s="12"/>
      <c r="W11" s="12"/>
      <c r="X11" s="102">
        <f>VLOOKUP(N11,B127:I128,7,FALSE)</f>
        <v>2800</v>
      </c>
      <c r="Y11" s="12" t="s">
        <v>179</v>
      </c>
      <c r="Z11" s="12"/>
      <c r="AA11" s="12"/>
      <c r="AB11" s="12"/>
      <c r="AC11" s="12"/>
      <c r="AD11" s="12"/>
      <c r="AE11" s="12"/>
      <c r="AF11" s="12"/>
      <c r="AG11" s="12"/>
      <c r="AH11" s="12"/>
      <c r="AI11" s="12"/>
      <c r="AM11" s="12"/>
      <c r="AO11" s="12"/>
      <c r="AP11" s="12">
        <v>2500</v>
      </c>
      <c r="AQ11" s="12" t="s">
        <v>471</v>
      </c>
      <c r="AR11" s="12" t="s">
        <v>380</v>
      </c>
      <c r="AS11" s="12" t="s">
        <v>381</v>
      </c>
      <c r="AT11" s="12"/>
    </row>
    <row r="12" spans="1:46">
      <c r="A12" s="4" t="s">
        <v>393</v>
      </c>
      <c r="B12" s="12" t="s">
        <v>386</v>
      </c>
      <c r="C12" s="4" t="s">
        <v>387</v>
      </c>
      <c r="D12" s="4" t="s">
        <v>378</v>
      </c>
      <c r="E12" s="4" t="s">
        <v>34</v>
      </c>
      <c r="F12" s="12">
        <v>3</v>
      </c>
      <c r="G12" s="12">
        <v>5</v>
      </c>
      <c r="H12" s="12">
        <v>5</v>
      </c>
      <c r="I12" s="12">
        <v>46</v>
      </c>
      <c r="J12" s="12">
        <f t="shared" si="0"/>
        <v>0</v>
      </c>
      <c r="K12" s="12" t="s">
        <v>472</v>
      </c>
      <c r="L12" s="12"/>
      <c r="M12" s="12"/>
      <c r="N12" s="12"/>
      <c r="O12" s="12"/>
      <c r="P12" s="12"/>
      <c r="Q12" s="12"/>
      <c r="R12" s="12">
        <v>340</v>
      </c>
      <c r="S12" s="12" t="s">
        <v>394</v>
      </c>
      <c r="T12" s="12">
        <v>300</v>
      </c>
      <c r="U12" s="12" t="s">
        <v>194</v>
      </c>
      <c r="V12" s="12"/>
      <c r="W12" s="12"/>
      <c r="X12" s="12">
        <v>250</v>
      </c>
      <c r="Y12" s="12" t="s">
        <v>179</v>
      </c>
      <c r="Z12" s="12"/>
      <c r="AA12" s="12"/>
      <c r="AB12" s="12"/>
      <c r="AC12" s="12"/>
      <c r="AD12" s="12"/>
      <c r="AE12" s="12"/>
      <c r="AF12" s="12"/>
      <c r="AG12" s="12"/>
      <c r="AH12" s="12"/>
      <c r="AI12" s="12"/>
      <c r="AM12" s="12"/>
      <c r="AO12" s="12"/>
      <c r="AP12" s="12"/>
      <c r="AQ12" s="12"/>
      <c r="AR12" s="12" t="s">
        <v>380</v>
      </c>
      <c r="AS12" s="12" t="s">
        <v>381</v>
      </c>
      <c r="AT12" s="12"/>
    </row>
    <row r="13" spans="1:46">
      <c r="A13" s="4" t="s">
        <v>395</v>
      </c>
      <c r="B13" s="12"/>
      <c r="C13" s="4" t="s">
        <v>387</v>
      </c>
      <c r="D13" s="4" t="s">
        <v>378</v>
      </c>
      <c r="E13" s="4" t="s">
        <v>38</v>
      </c>
      <c r="F13" s="12">
        <v>2</v>
      </c>
      <c r="G13" s="12">
        <v>3</v>
      </c>
      <c r="H13" s="12">
        <v>0</v>
      </c>
      <c r="I13" s="12">
        <v>31</v>
      </c>
      <c r="J13" s="12">
        <f t="shared" si="0"/>
        <v>3</v>
      </c>
      <c r="K13" s="12" t="s">
        <v>469</v>
      </c>
      <c r="L13" s="12"/>
      <c r="M13" s="12"/>
      <c r="N13" s="12"/>
      <c r="O13" s="12"/>
      <c r="P13" s="12"/>
      <c r="Q13" s="12"/>
      <c r="R13" s="12"/>
      <c r="S13" s="12"/>
      <c r="T13" s="12"/>
      <c r="U13" s="12"/>
      <c r="V13" s="12"/>
      <c r="W13" s="12"/>
      <c r="X13" s="12"/>
      <c r="Y13" s="12"/>
      <c r="Z13" s="12"/>
      <c r="AA13" s="12"/>
      <c r="AB13" s="12"/>
      <c r="AC13" s="12"/>
      <c r="AD13" s="12"/>
      <c r="AE13" s="12"/>
      <c r="AF13" s="12"/>
      <c r="AG13" s="12"/>
      <c r="AH13" s="12"/>
      <c r="AI13" s="12"/>
      <c r="AM13" s="12"/>
      <c r="AO13" s="12"/>
      <c r="AP13" s="12"/>
      <c r="AQ13" s="12"/>
      <c r="AR13" s="12" t="s">
        <v>396</v>
      </c>
      <c r="AS13" s="12" t="s">
        <v>397</v>
      </c>
      <c r="AT13" s="12" t="s">
        <v>381</v>
      </c>
    </row>
    <row r="14" spans="1:46">
      <c r="A14" s="4" t="s">
        <v>398</v>
      </c>
      <c r="B14" s="12"/>
      <c r="C14" s="4" t="s">
        <v>387</v>
      </c>
      <c r="D14" s="4" t="s">
        <v>378</v>
      </c>
      <c r="E14" s="4" t="s">
        <v>42</v>
      </c>
      <c r="F14" s="12">
        <v>2</v>
      </c>
      <c r="G14" s="12">
        <v>3</v>
      </c>
      <c r="H14" s="12">
        <v>0</v>
      </c>
      <c r="I14" s="12">
        <v>31</v>
      </c>
      <c r="J14" s="12">
        <f t="shared" si="0"/>
        <v>3</v>
      </c>
      <c r="K14" s="12" t="s">
        <v>470</v>
      </c>
      <c r="L14" s="12"/>
      <c r="M14" s="12"/>
      <c r="O14" s="12"/>
      <c r="P14" s="12"/>
      <c r="Q14" s="12"/>
      <c r="R14" s="12"/>
      <c r="S14" s="12"/>
      <c r="T14" s="12"/>
      <c r="U14" s="12"/>
      <c r="V14" s="12"/>
      <c r="W14" s="12"/>
      <c r="X14" s="12"/>
      <c r="Y14" s="12"/>
      <c r="Z14" s="12"/>
      <c r="AA14" s="12"/>
      <c r="AB14" s="12"/>
      <c r="AC14" s="12"/>
      <c r="AD14" s="12"/>
      <c r="AE14" s="12"/>
      <c r="AF14" s="12"/>
      <c r="AG14" s="12"/>
      <c r="AH14" s="12"/>
      <c r="AI14" s="12"/>
      <c r="AM14" s="12"/>
      <c r="AO14" s="12"/>
      <c r="AP14" s="12"/>
      <c r="AQ14" s="12"/>
      <c r="AR14" s="12" t="s">
        <v>380</v>
      </c>
      <c r="AS14" s="12" t="s">
        <v>381</v>
      </c>
      <c r="AT14" s="12"/>
    </row>
    <row r="15" spans="1:46">
      <c r="A15" s="4" t="s">
        <v>399</v>
      </c>
      <c r="B15" s="12"/>
      <c r="C15" s="4" t="s">
        <v>387</v>
      </c>
      <c r="D15" s="4" t="s">
        <v>378</v>
      </c>
      <c r="E15" s="4" t="s">
        <v>400</v>
      </c>
      <c r="F15" s="12">
        <v>3</v>
      </c>
      <c r="G15" s="12">
        <v>6</v>
      </c>
      <c r="H15" s="12">
        <v>0</v>
      </c>
      <c r="I15" s="12">
        <v>61</v>
      </c>
      <c r="J15" s="12">
        <f t="shared" si="0"/>
        <v>6</v>
      </c>
      <c r="K15" s="12" t="s">
        <v>472</v>
      </c>
      <c r="L15" s="12"/>
      <c r="M15" s="12"/>
      <c r="N15" s="12"/>
      <c r="O15" s="12"/>
      <c r="P15" s="12"/>
      <c r="Q15" s="12"/>
      <c r="R15" s="12"/>
      <c r="S15" s="12"/>
      <c r="T15" s="12"/>
      <c r="U15" s="12"/>
      <c r="V15" s="12"/>
      <c r="W15" s="12"/>
      <c r="X15" s="12"/>
      <c r="Y15" s="12"/>
      <c r="Z15" s="12"/>
      <c r="AA15" s="12"/>
      <c r="AB15" s="12"/>
      <c r="AC15" s="12"/>
      <c r="AD15" s="12"/>
      <c r="AE15" s="12"/>
      <c r="AF15" s="12"/>
      <c r="AG15" s="12"/>
      <c r="AH15" s="12"/>
      <c r="AI15" s="12"/>
      <c r="AM15" s="12"/>
      <c r="AO15" s="12"/>
      <c r="AP15" s="12"/>
      <c r="AQ15" s="12"/>
      <c r="AR15" s="12" t="s">
        <v>396</v>
      </c>
      <c r="AS15" s="12" t="s">
        <v>397</v>
      </c>
      <c r="AT15" s="12"/>
    </row>
    <row r="16" spans="1:46">
      <c r="A16" s="4" t="s">
        <v>401</v>
      </c>
      <c r="B16" s="12"/>
      <c r="C16" s="4" t="s">
        <v>387</v>
      </c>
      <c r="D16" s="4" t="s">
        <v>378</v>
      </c>
      <c r="E16" s="4" t="s">
        <v>402</v>
      </c>
      <c r="F16" s="12">
        <v>3</v>
      </c>
      <c r="G16" s="12">
        <v>4</v>
      </c>
      <c r="H16" s="12">
        <v>0</v>
      </c>
      <c r="I16" s="12">
        <v>56</v>
      </c>
      <c r="J16" s="12">
        <f t="shared" si="0"/>
        <v>4</v>
      </c>
      <c r="K16" s="12" t="s">
        <v>469</v>
      </c>
      <c r="L16" s="12"/>
      <c r="M16" s="12"/>
      <c r="N16" s="12"/>
      <c r="O16" s="12"/>
      <c r="P16" s="12"/>
      <c r="Q16" s="12"/>
      <c r="S16" s="12"/>
      <c r="T16" s="12"/>
      <c r="U16" s="12"/>
      <c r="V16" s="12"/>
      <c r="W16" s="12"/>
      <c r="X16" s="12"/>
      <c r="Y16" s="12"/>
      <c r="Z16" s="12"/>
      <c r="AA16" s="12"/>
      <c r="AB16" s="12"/>
      <c r="AC16" s="12"/>
      <c r="AD16" s="12"/>
      <c r="AE16" s="12"/>
      <c r="AF16" s="12"/>
      <c r="AG16" s="12"/>
      <c r="AH16" s="12"/>
      <c r="AI16" s="12"/>
      <c r="AM16" s="12"/>
      <c r="AO16" s="12"/>
      <c r="AP16" s="12"/>
      <c r="AQ16" s="12"/>
      <c r="AR16" s="12" t="s">
        <v>396</v>
      </c>
      <c r="AS16" s="12" t="s">
        <v>397</v>
      </c>
      <c r="AT16" s="12"/>
    </row>
    <row r="17" spans="1:46">
      <c r="A17" s="4" t="s">
        <v>403</v>
      </c>
      <c r="B17" s="12"/>
      <c r="C17" s="4" t="s">
        <v>387</v>
      </c>
      <c r="D17" s="4" t="s">
        <v>378</v>
      </c>
      <c r="E17" s="4" t="s">
        <v>54</v>
      </c>
      <c r="F17" s="12">
        <v>5</v>
      </c>
      <c r="G17" s="12">
        <v>9</v>
      </c>
      <c r="H17" s="12">
        <v>0</v>
      </c>
      <c r="I17" s="12">
        <v>71</v>
      </c>
      <c r="J17" s="12">
        <f t="shared" si="0"/>
        <v>9</v>
      </c>
      <c r="K17" s="12" t="s">
        <v>470</v>
      </c>
      <c r="L17" s="12"/>
      <c r="M17" s="12"/>
      <c r="N17" s="12"/>
      <c r="O17" s="12"/>
      <c r="P17" s="12"/>
      <c r="Q17" s="12"/>
      <c r="R17" s="12"/>
      <c r="S17" s="12"/>
      <c r="T17" s="12"/>
      <c r="U17" s="12"/>
      <c r="V17" s="12"/>
      <c r="W17" s="12"/>
      <c r="X17" s="12"/>
      <c r="Y17" s="12"/>
      <c r="Z17" s="12"/>
      <c r="AA17" s="12"/>
      <c r="AB17" s="12"/>
      <c r="AC17" s="12"/>
      <c r="AD17" s="12"/>
      <c r="AE17" s="12"/>
      <c r="AF17" s="12"/>
      <c r="AG17" s="12"/>
      <c r="AH17" s="12"/>
      <c r="AI17" s="12"/>
      <c r="AM17" s="12"/>
      <c r="AO17" s="12"/>
      <c r="AP17" s="12"/>
      <c r="AQ17" s="12"/>
      <c r="AR17" s="12" t="s">
        <v>396</v>
      </c>
      <c r="AS17" s="12" t="s">
        <v>397</v>
      </c>
      <c r="AT17" s="12"/>
    </row>
    <row r="18" spans="1:46">
      <c r="A18" s="4" t="s">
        <v>404</v>
      </c>
      <c r="B18" s="12"/>
      <c r="C18" s="4" t="s">
        <v>387</v>
      </c>
      <c r="D18" s="4" t="s">
        <v>378</v>
      </c>
      <c r="E18" s="4" t="s">
        <v>58</v>
      </c>
      <c r="F18" s="12">
        <v>2</v>
      </c>
      <c r="G18" s="12">
        <v>4</v>
      </c>
      <c r="H18" s="12">
        <v>0</v>
      </c>
      <c r="I18" s="12">
        <v>31</v>
      </c>
      <c r="J18" s="12">
        <f t="shared" si="0"/>
        <v>4</v>
      </c>
      <c r="K18" s="12" t="s">
        <v>472</v>
      </c>
      <c r="L18" s="12"/>
      <c r="M18" s="12"/>
      <c r="N18" s="12"/>
      <c r="O18" s="12"/>
      <c r="P18" s="12"/>
      <c r="Q18" s="12"/>
      <c r="R18" s="12"/>
      <c r="S18" s="12"/>
      <c r="T18" s="12"/>
      <c r="U18" s="12"/>
      <c r="V18" s="12"/>
      <c r="W18" s="12"/>
      <c r="X18" s="12"/>
      <c r="Y18" s="12"/>
      <c r="Z18" s="12"/>
      <c r="AA18" s="12"/>
      <c r="AB18" s="12"/>
      <c r="AC18" s="12"/>
      <c r="AD18" s="12"/>
      <c r="AE18" s="12"/>
      <c r="AF18" s="12"/>
      <c r="AG18" s="12"/>
      <c r="AH18" s="12"/>
      <c r="AI18" s="12"/>
      <c r="AM18" s="12"/>
      <c r="AO18" s="12"/>
      <c r="AP18" s="12"/>
      <c r="AQ18" s="12"/>
      <c r="AR18" s="12" t="s">
        <v>396</v>
      </c>
      <c r="AS18" s="12" t="s">
        <v>397</v>
      </c>
      <c r="AT18" s="12" t="s">
        <v>381</v>
      </c>
    </row>
    <row r="19" spans="1:46">
      <c r="A19" s="4" t="s">
        <v>405</v>
      </c>
      <c r="B19" s="12"/>
      <c r="C19" s="4" t="s">
        <v>387</v>
      </c>
      <c r="D19" s="4" t="s">
        <v>378</v>
      </c>
      <c r="E19" s="4" t="s">
        <v>406</v>
      </c>
      <c r="F19" s="12">
        <v>6</v>
      </c>
      <c r="G19" s="12">
        <v>9</v>
      </c>
      <c r="H19" s="12">
        <v>0</v>
      </c>
      <c r="I19" s="12">
        <v>101</v>
      </c>
      <c r="J19" s="12">
        <f t="shared" si="0"/>
        <v>9</v>
      </c>
      <c r="K19" s="12" t="s">
        <v>469</v>
      </c>
      <c r="L19" s="12"/>
      <c r="M19" s="12"/>
      <c r="N19" s="12"/>
      <c r="O19" s="12"/>
      <c r="P19" s="12"/>
      <c r="Q19" s="12"/>
      <c r="R19" s="12"/>
      <c r="S19" s="12"/>
      <c r="T19" s="12"/>
      <c r="U19" s="12"/>
      <c r="V19" s="12"/>
      <c r="W19" s="12"/>
      <c r="X19" s="12"/>
      <c r="Y19" s="12"/>
      <c r="Z19" s="12"/>
      <c r="AA19" s="12"/>
      <c r="AB19" s="12">
        <v>50</v>
      </c>
      <c r="AC19" s="12" t="s">
        <v>472</v>
      </c>
      <c r="AD19" s="12"/>
      <c r="AE19" s="12"/>
      <c r="AF19" s="12"/>
      <c r="AG19" s="12"/>
      <c r="AH19" s="12"/>
      <c r="AI19" s="12"/>
      <c r="AM19" s="12"/>
      <c r="AO19" s="12"/>
      <c r="AP19" s="12"/>
      <c r="AQ19" s="12"/>
      <c r="AR19" s="12" t="s">
        <v>380</v>
      </c>
      <c r="AS19" s="12" t="s">
        <v>381</v>
      </c>
      <c r="AT19" s="12"/>
    </row>
    <row r="20" spans="1:46">
      <c r="A20" s="4" t="s">
        <v>407</v>
      </c>
      <c r="B20" s="12"/>
      <c r="C20" s="4" t="s">
        <v>387</v>
      </c>
      <c r="D20" s="4" t="s">
        <v>378</v>
      </c>
      <c r="E20" s="4" t="s">
        <v>65</v>
      </c>
      <c r="F20" s="12">
        <v>2</v>
      </c>
      <c r="G20" s="12">
        <v>5</v>
      </c>
      <c r="H20" s="12">
        <v>0</v>
      </c>
      <c r="I20" s="12">
        <v>51</v>
      </c>
      <c r="J20" s="12">
        <f t="shared" si="0"/>
        <v>5</v>
      </c>
      <c r="K20" s="12" t="s">
        <v>470</v>
      </c>
      <c r="L20" s="12"/>
      <c r="M20" s="12"/>
      <c r="N20" s="12"/>
      <c r="O20" s="12"/>
      <c r="P20" s="12"/>
      <c r="Q20" s="12"/>
      <c r="R20" s="12"/>
      <c r="S20" s="12"/>
      <c r="T20" s="12"/>
      <c r="U20" s="12"/>
      <c r="V20" s="12"/>
      <c r="W20" s="12"/>
      <c r="X20" s="12"/>
      <c r="Y20" s="12"/>
      <c r="Z20" s="12"/>
      <c r="AA20" s="12"/>
      <c r="AB20" s="12"/>
      <c r="AC20" s="12"/>
      <c r="AD20" s="12"/>
      <c r="AE20" s="12"/>
      <c r="AF20" s="12"/>
      <c r="AG20" s="12"/>
      <c r="AH20" s="12"/>
      <c r="AI20" s="12"/>
      <c r="AM20" s="12"/>
      <c r="AO20" s="12"/>
      <c r="AP20" s="12"/>
      <c r="AQ20" s="12"/>
      <c r="AR20" s="12" t="s">
        <v>396</v>
      </c>
      <c r="AS20" s="12" t="s">
        <v>397</v>
      </c>
      <c r="AT20" s="12"/>
    </row>
    <row r="21" spans="1:46">
      <c r="A21" s="4" t="s">
        <v>408</v>
      </c>
      <c r="B21" s="12"/>
      <c r="C21" s="4" t="s">
        <v>387</v>
      </c>
      <c r="D21" s="4" t="s">
        <v>378</v>
      </c>
      <c r="E21" s="4" t="s">
        <v>73</v>
      </c>
      <c r="F21" s="12">
        <v>5</v>
      </c>
      <c r="G21" s="12">
        <v>12</v>
      </c>
      <c r="H21" s="12">
        <v>0</v>
      </c>
      <c r="I21" s="12">
        <v>56</v>
      </c>
      <c r="J21" s="12">
        <f t="shared" si="0"/>
        <v>12</v>
      </c>
      <c r="K21" s="12" t="s">
        <v>472</v>
      </c>
      <c r="L21" s="12"/>
      <c r="M21" s="12"/>
      <c r="N21" s="12"/>
      <c r="O21" s="12"/>
      <c r="P21" s="12"/>
      <c r="Q21" s="12"/>
      <c r="R21" s="12"/>
      <c r="S21" s="12"/>
      <c r="T21" s="12"/>
      <c r="U21" s="12"/>
      <c r="V21" s="12"/>
      <c r="W21" s="12"/>
      <c r="X21" s="12"/>
      <c r="Y21" s="12"/>
      <c r="Z21" s="12"/>
      <c r="AA21" s="12"/>
      <c r="AB21" s="12"/>
      <c r="AC21" s="12"/>
      <c r="AD21" s="12">
        <v>65</v>
      </c>
      <c r="AE21" s="12" t="s">
        <v>472</v>
      </c>
      <c r="AF21" s="12"/>
      <c r="AG21" s="12"/>
      <c r="AH21" s="12"/>
      <c r="AI21" s="12"/>
      <c r="AM21" s="12"/>
      <c r="AO21" s="12"/>
      <c r="AP21" s="12"/>
      <c r="AQ21" s="12"/>
      <c r="AR21" s="12" t="s">
        <v>380</v>
      </c>
      <c r="AS21" s="12" t="s">
        <v>381</v>
      </c>
      <c r="AT21" s="12"/>
    </row>
    <row r="22" spans="1:46">
      <c r="A22" s="4" t="s">
        <v>409</v>
      </c>
      <c r="B22" s="12"/>
      <c r="C22" s="4" t="s">
        <v>387</v>
      </c>
      <c r="D22" s="4" t="s">
        <v>378</v>
      </c>
      <c r="E22" s="4" t="s">
        <v>81</v>
      </c>
      <c r="F22" s="12">
        <v>4</v>
      </c>
      <c r="G22" s="12">
        <v>7</v>
      </c>
      <c r="H22" s="12">
        <v>0</v>
      </c>
      <c r="I22" s="12">
        <v>41</v>
      </c>
      <c r="J22" s="12">
        <f t="shared" si="0"/>
        <v>7</v>
      </c>
      <c r="K22" s="12" t="s">
        <v>469</v>
      </c>
      <c r="L22" s="12"/>
      <c r="M22" s="12"/>
      <c r="N22" s="12"/>
      <c r="O22" s="12"/>
      <c r="P22" s="12"/>
      <c r="Q22" s="12"/>
      <c r="R22" s="12"/>
      <c r="S22" s="12"/>
      <c r="T22" s="12"/>
      <c r="U22" s="12"/>
      <c r="V22" s="12"/>
      <c r="W22" s="12"/>
      <c r="X22" s="12"/>
      <c r="Y22" s="12"/>
      <c r="Z22" s="12"/>
      <c r="AA22" s="12"/>
      <c r="AB22" s="12"/>
      <c r="AC22" s="12"/>
      <c r="AD22" s="12"/>
      <c r="AE22" s="12"/>
      <c r="AF22" s="12"/>
      <c r="AG22" s="12"/>
      <c r="AH22" s="12"/>
      <c r="AI22" s="12"/>
      <c r="AM22" s="12"/>
      <c r="AO22" s="12"/>
      <c r="AP22" s="12"/>
      <c r="AQ22" s="12"/>
      <c r="AR22" s="12" t="s">
        <v>380</v>
      </c>
      <c r="AS22" s="12" t="s">
        <v>381</v>
      </c>
      <c r="AT22" s="12"/>
    </row>
    <row r="23" spans="1:46">
      <c r="A23" s="4" t="s">
        <v>410</v>
      </c>
      <c r="B23" s="12"/>
      <c r="C23" s="4" t="s">
        <v>387</v>
      </c>
      <c r="D23" s="4" t="s">
        <v>378</v>
      </c>
      <c r="E23" s="4" t="s">
        <v>85</v>
      </c>
      <c r="F23" s="12">
        <v>8</v>
      </c>
      <c r="G23" s="12">
        <v>34</v>
      </c>
      <c r="H23" s="12">
        <v>34</v>
      </c>
      <c r="I23" s="12">
        <v>136</v>
      </c>
      <c r="J23" s="12">
        <f t="shared" si="0"/>
        <v>0</v>
      </c>
      <c r="K23" s="12" t="s">
        <v>470</v>
      </c>
      <c r="L23" s="12"/>
      <c r="M23" s="12"/>
      <c r="N23" s="12"/>
      <c r="O23" s="12"/>
      <c r="P23" s="12"/>
      <c r="Q23" s="12"/>
      <c r="R23" s="12"/>
      <c r="S23" s="12"/>
      <c r="T23" s="12"/>
      <c r="U23" s="12"/>
      <c r="V23" s="12"/>
      <c r="W23" s="12"/>
      <c r="X23" s="12"/>
      <c r="Y23" s="12"/>
      <c r="Z23" s="12"/>
      <c r="AA23" s="12"/>
      <c r="AB23" s="12"/>
      <c r="AC23" s="12"/>
      <c r="AD23" s="12"/>
      <c r="AE23" s="12"/>
      <c r="AF23" s="12"/>
      <c r="AG23" s="12"/>
      <c r="AH23" s="12"/>
      <c r="AI23" s="12"/>
      <c r="AM23" s="12"/>
      <c r="AO23" s="12"/>
      <c r="AP23" s="12"/>
      <c r="AQ23" s="12"/>
      <c r="AR23" s="12" t="s">
        <v>396</v>
      </c>
      <c r="AS23" s="12" t="s">
        <v>397</v>
      </c>
      <c r="AT23" s="12"/>
    </row>
    <row r="24" spans="1:46">
      <c r="A24" s="4" t="s">
        <v>411</v>
      </c>
      <c r="B24" s="12"/>
      <c r="C24" s="4" t="s">
        <v>387</v>
      </c>
      <c r="D24" s="4" t="s">
        <v>378</v>
      </c>
      <c r="E24" s="4" t="s">
        <v>85</v>
      </c>
      <c r="F24" s="12">
        <v>8</v>
      </c>
      <c r="G24" s="12">
        <v>34</v>
      </c>
      <c r="H24" s="12">
        <v>34</v>
      </c>
      <c r="I24" s="12">
        <v>136</v>
      </c>
      <c r="J24" s="12">
        <f t="shared" si="0"/>
        <v>0</v>
      </c>
      <c r="K24" s="12" t="s">
        <v>472</v>
      </c>
      <c r="L24" s="12"/>
      <c r="M24" s="12"/>
      <c r="N24" s="12"/>
      <c r="O24" s="12"/>
      <c r="P24" s="12"/>
      <c r="Q24" s="12"/>
      <c r="R24" s="12"/>
      <c r="S24" s="12"/>
      <c r="T24" s="12"/>
      <c r="U24" s="12"/>
      <c r="V24" s="12"/>
      <c r="W24" s="12"/>
      <c r="X24" s="12"/>
      <c r="Y24" s="12"/>
      <c r="Z24" s="12"/>
      <c r="AA24" s="12"/>
      <c r="AB24" s="12"/>
      <c r="AC24" s="12"/>
      <c r="AD24" s="12"/>
      <c r="AE24" s="12"/>
      <c r="AF24" s="12"/>
      <c r="AG24" s="12"/>
      <c r="AH24" s="12"/>
      <c r="AI24" s="12"/>
      <c r="AM24" s="12"/>
      <c r="AO24" s="12"/>
      <c r="AP24" s="12"/>
      <c r="AQ24" s="12"/>
      <c r="AR24" s="12" t="s">
        <v>396</v>
      </c>
      <c r="AS24" s="12" t="s">
        <v>397</v>
      </c>
      <c r="AT24" s="12"/>
    </row>
    <row r="25" spans="1:46">
      <c r="A25" s="4" t="s">
        <v>412</v>
      </c>
      <c r="B25" s="12"/>
      <c r="C25" s="4" t="s">
        <v>387</v>
      </c>
      <c r="D25" s="4" t="s">
        <v>378</v>
      </c>
      <c r="E25" s="4" t="s">
        <v>100</v>
      </c>
      <c r="F25" s="12">
        <v>6</v>
      </c>
      <c r="G25" s="12">
        <v>6</v>
      </c>
      <c r="H25" s="12">
        <v>0</v>
      </c>
      <c r="I25" s="12">
        <v>56</v>
      </c>
      <c r="J25" s="12">
        <f t="shared" si="0"/>
        <v>6</v>
      </c>
      <c r="K25" s="12" t="s">
        <v>472</v>
      </c>
      <c r="L25" s="12"/>
      <c r="M25" s="12"/>
      <c r="N25" s="12"/>
      <c r="O25" s="12"/>
      <c r="P25" s="12"/>
      <c r="Q25" s="12"/>
      <c r="R25" s="12"/>
      <c r="S25" s="12"/>
      <c r="T25" s="12"/>
      <c r="U25" s="12"/>
      <c r="V25" s="12"/>
      <c r="W25" s="12"/>
      <c r="X25" s="12"/>
      <c r="Y25" s="12"/>
      <c r="Z25" s="12">
        <v>50</v>
      </c>
      <c r="AA25" s="12" t="s">
        <v>413</v>
      </c>
      <c r="AB25" s="12"/>
      <c r="AC25" s="12"/>
      <c r="AD25" s="12"/>
      <c r="AE25" s="12"/>
      <c r="AF25" s="12"/>
      <c r="AG25" s="12"/>
      <c r="AH25" s="12"/>
      <c r="AI25" s="12"/>
      <c r="AM25" s="12"/>
      <c r="AO25" s="12"/>
      <c r="AP25" s="12"/>
      <c r="AQ25" s="12"/>
      <c r="AR25" s="12" t="s">
        <v>380</v>
      </c>
      <c r="AS25" s="12" t="s">
        <v>381</v>
      </c>
      <c r="AT25" s="12"/>
    </row>
    <row r="26" spans="1:46">
      <c r="A26" s="4" t="s">
        <v>414</v>
      </c>
      <c r="B26" s="12"/>
      <c r="C26" s="4" t="s">
        <v>387</v>
      </c>
      <c r="D26" s="4" t="s">
        <v>378</v>
      </c>
      <c r="E26" s="4" t="s">
        <v>100</v>
      </c>
      <c r="F26" s="12">
        <v>6</v>
      </c>
      <c r="G26" s="12">
        <v>6</v>
      </c>
      <c r="H26" s="12">
        <v>0</v>
      </c>
      <c r="I26" s="12">
        <v>56</v>
      </c>
      <c r="J26" s="12">
        <f t="shared" si="0"/>
        <v>6</v>
      </c>
      <c r="K26" s="12" t="s">
        <v>469</v>
      </c>
      <c r="L26" s="12"/>
      <c r="M26" s="12"/>
      <c r="N26" s="12"/>
      <c r="O26" s="12"/>
      <c r="P26" s="12"/>
      <c r="Q26" s="12"/>
      <c r="R26" s="12"/>
      <c r="S26" s="12"/>
      <c r="T26" s="12"/>
      <c r="U26" s="12"/>
      <c r="V26" s="12"/>
      <c r="W26" s="12"/>
      <c r="X26" s="12"/>
      <c r="Y26" s="12"/>
      <c r="Z26" s="12">
        <v>50</v>
      </c>
      <c r="AA26" s="12" t="s">
        <v>413</v>
      </c>
      <c r="AB26" s="12"/>
      <c r="AC26" s="12"/>
      <c r="AD26" s="12"/>
      <c r="AE26" s="12"/>
      <c r="AF26" s="12"/>
      <c r="AG26" s="12"/>
      <c r="AH26" s="12"/>
      <c r="AI26" s="12"/>
      <c r="AM26" s="12"/>
      <c r="AO26" s="12"/>
      <c r="AP26" s="12"/>
      <c r="AQ26" s="12"/>
      <c r="AR26" s="12" t="s">
        <v>380</v>
      </c>
      <c r="AS26" s="12" t="s">
        <v>381</v>
      </c>
      <c r="AT26" s="12"/>
    </row>
    <row r="27" spans="1:46">
      <c r="A27" s="4" t="s">
        <v>415</v>
      </c>
      <c r="B27" s="12"/>
      <c r="C27" s="4" t="s">
        <v>387</v>
      </c>
      <c r="D27" s="4" t="s">
        <v>378</v>
      </c>
      <c r="E27" s="4" t="s">
        <v>416</v>
      </c>
      <c r="F27" s="12">
        <v>3</v>
      </c>
      <c r="G27" s="12">
        <v>3</v>
      </c>
      <c r="H27" s="12">
        <v>0</v>
      </c>
      <c r="I27" s="12">
        <v>41</v>
      </c>
      <c r="J27" s="12">
        <f t="shared" si="0"/>
        <v>3</v>
      </c>
      <c r="K27" s="12" t="s">
        <v>472</v>
      </c>
      <c r="L27" s="12"/>
      <c r="M27" s="12"/>
      <c r="N27" s="12"/>
      <c r="O27" s="12"/>
      <c r="P27" s="12"/>
      <c r="Q27" s="12"/>
      <c r="R27" s="12"/>
      <c r="S27" s="12"/>
      <c r="T27" s="12"/>
      <c r="U27" s="12"/>
      <c r="V27" s="12"/>
      <c r="W27" s="12"/>
      <c r="X27" s="12"/>
      <c r="Y27" s="12"/>
      <c r="Z27" s="12"/>
      <c r="AA27" s="12"/>
      <c r="AB27" s="12"/>
      <c r="AC27" s="12"/>
      <c r="AD27" s="12"/>
      <c r="AE27" s="12"/>
      <c r="AF27" s="12"/>
      <c r="AG27" s="12"/>
      <c r="AH27" s="12"/>
      <c r="AI27" s="12"/>
      <c r="AM27" s="12"/>
      <c r="AO27" s="12"/>
      <c r="AP27" s="12"/>
      <c r="AQ27" s="12"/>
      <c r="AR27" s="12" t="s">
        <v>380</v>
      </c>
      <c r="AS27" s="12" t="s">
        <v>381</v>
      </c>
      <c r="AT27" s="12"/>
    </row>
    <row r="28" spans="1:46">
      <c r="A28" s="4" t="s">
        <v>417</v>
      </c>
      <c r="B28" s="12"/>
      <c r="C28" s="4" t="s">
        <v>387</v>
      </c>
      <c r="D28" s="4" t="s">
        <v>378</v>
      </c>
      <c r="E28" s="4" t="s">
        <v>418</v>
      </c>
      <c r="F28" s="12">
        <v>3</v>
      </c>
      <c r="G28" s="12">
        <v>3</v>
      </c>
      <c r="H28" s="12">
        <v>0</v>
      </c>
      <c r="I28" s="12">
        <v>41</v>
      </c>
      <c r="J28" s="12">
        <f t="shared" ref="J28" si="1">G28-H28</f>
        <v>3</v>
      </c>
      <c r="K28" s="12" t="s">
        <v>472</v>
      </c>
      <c r="L28" s="12"/>
      <c r="M28" s="12"/>
      <c r="N28" s="12"/>
      <c r="O28" s="12"/>
      <c r="P28" s="12"/>
      <c r="Q28" s="12"/>
      <c r="R28" s="12"/>
      <c r="S28" s="12"/>
      <c r="T28" s="12"/>
      <c r="U28" s="12"/>
      <c r="V28" s="12"/>
      <c r="W28" s="12"/>
      <c r="X28" s="12"/>
      <c r="Y28" s="12"/>
      <c r="Z28" s="12"/>
      <c r="AA28" s="12"/>
      <c r="AB28" s="12"/>
      <c r="AC28" s="12"/>
      <c r="AD28" s="12"/>
      <c r="AE28" s="12"/>
      <c r="AF28" s="12"/>
      <c r="AG28" s="12"/>
      <c r="AH28" s="12"/>
      <c r="AI28" s="12"/>
      <c r="AM28" s="12"/>
      <c r="AO28" s="12"/>
      <c r="AP28" s="12"/>
      <c r="AQ28" s="12"/>
      <c r="AR28" s="12" t="s">
        <v>380</v>
      </c>
      <c r="AS28" s="12" t="s">
        <v>381</v>
      </c>
      <c r="AT28" s="12"/>
    </row>
    <row r="29" spans="1:46" s="17" customFormat="1" ht="13.5" customHeight="1">
      <c r="A29" s="17" t="s">
        <v>419</v>
      </c>
      <c r="C29" s="17" t="s">
        <v>387</v>
      </c>
      <c r="D29" s="17" t="s">
        <v>378</v>
      </c>
      <c r="E29" s="108" t="s">
        <v>420</v>
      </c>
      <c r="F29" s="15">
        <v>2</v>
      </c>
      <c r="G29" s="15">
        <v>4</v>
      </c>
      <c r="H29" s="15">
        <v>0</v>
      </c>
      <c r="I29" s="15">
        <v>65</v>
      </c>
      <c r="J29" s="15">
        <f>G29-H29</f>
        <v>4</v>
      </c>
      <c r="K29" s="15" t="s">
        <v>469</v>
      </c>
      <c r="L29" s="15"/>
      <c r="M29" s="15"/>
      <c r="N29" s="96"/>
      <c r="O29" s="95"/>
      <c r="P29" s="15"/>
      <c r="Q29" s="15"/>
      <c r="R29" s="15"/>
      <c r="S29" s="15"/>
      <c r="T29" s="15"/>
      <c r="U29" s="15"/>
      <c r="X29" s="15"/>
      <c r="Y29" s="15"/>
      <c r="AG29" s="36"/>
      <c r="AH29" s="36">
        <v>200</v>
      </c>
      <c r="AI29" s="36" t="s">
        <v>421</v>
      </c>
      <c r="AJ29" s="36"/>
      <c r="AK29" s="36"/>
      <c r="AL29" s="36"/>
      <c r="AM29" s="36"/>
      <c r="AN29" s="36"/>
      <c r="AO29" s="36"/>
      <c r="AR29" s="15" t="s">
        <v>380</v>
      </c>
      <c r="AS29" s="15" t="s">
        <v>381</v>
      </c>
      <c r="AT29" s="15"/>
    </row>
    <row r="30" spans="1:46">
      <c r="F30" s="12">
        <f>SUM(F8:F29)</f>
        <v>91</v>
      </c>
      <c r="G30" s="12">
        <f>SUM(G8:G29)</f>
        <v>223</v>
      </c>
      <c r="H30" s="12">
        <f>SUM(H8:H29)</f>
        <v>110</v>
      </c>
      <c r="I30" s="12">
        <f>SUM(I8:I29)</f>
        <v>2200</v>
      </c>
      <c r="J30" s="12"/>
      <c r="K30" s="12"/>
      <c r="L30" s="12">
        <f>SUM(L8:L29)</f>
        <v>66</v>
      </c>
      <c r="M30" s="12"/>
      <c r="N30" s="12">
        <f>SUM(N8:N29)</f>
        <v>750</v>
      </c>
      <c r="O30" s="12"/>
      <c r="P30" s="12">
        <f>SUM(P8:P29)</f>
        <v>1125</v>
      </c>
      <c r="Q30" s="12"/>
      <c r="R30" s="12">
        <f>SUM(R8:R29)</f>
        <v>340</v>
      </c>
      <c r="S30" s="12"/>
      <c r="T30" s="12">
        <f>SUM(T8:T29)</f>
        <v>300</v>
      </c>
      <c r="U30" s="12"/>
      <c r="V30" s="12">
        <f>SUM(V8:V29)</f>
        <v>0</v>
      </c>
      <c r="W30" s="12"/>
      <c r="X30" s="12">
        <f>SUM(X8:X29)</f>
        <v>3050</v>
      </c>
      <c r="Z30" s="12">
        <f>SUM(Z8:Z29)</f>
        <v>100</v>
      </c>
      <c r="AB30" s="12">
        <f>SUM(AB8:AB29)</f>
        <v>50</v>
      </c>
      <c r="AD30" s="12">
        <f>SUM(AD8:AD29)</f>
        <v>65</v>
      </c>
      <c r="AF30" s="12">
        <f>SUM(AF8:AF29)</f>
        <v>0</v>
      </c>
      <c r="AH30" s="12">
        <f>SUM(AH8:AH29)</f>
        <v>200</v>
      </c>
      <c r="AJ30" s="12">
        <f>SUM(AJ8:AJ29)</f>
        <v>0</v>
      </c>
      <c r="AL30" s="12">
        <f>SUM(AL8:AL29)</f>
        <v>0</v>
      </c>
      <c r="AN30" s="12">
        <f>SUM(AN8:AN29)</f>
        <v>0</v>
      </c>
      <c r="AP30" s="12">
        <f>SUM(AP8:AP29)</f>
        <v>2500</v>
      </c>
      <c r="AS30" s="12" t="s">
        <v>422</v>
      </c>
      <c r="AT30" s="12">
        <v>2</v>
      </c>
    </row>
    <row r="31" spans="1:46" ht="13">
      <c r="A31" s="153" t="s">
        <v>423</v>
      </c>
    </row>
    <row r="32" spans="1:46" ht="13.5" customHeight="1">
      <c r="A32" s="14" t="s">
        <v>424</v>
      </c>
      <c r="F32" s="12"/>
      <c r="G32" s="12"/>
      <c r="H32" s="12"/>
      <c r="I32" s="12"/>
      <c r="J32" s="12"/>
      <c r="K32" s="12"/>
      <c r="L32" s="12"/>
      <c r="M32" s="12"/>
      <c r="N32" s="12"/>
      <c r="O32"/>
      <c r="P32" s="12"/>
      <c r="Q32" s="12"/>
      <c r="R32" s="12"/>
      <c r="S32" s="12"/>
      <c r="T32" s="12"/>
      <c r="U32" s="12"/>
      <c r="V32" s="12"/>
      <c r="X32" s="12"/>
      <c r="Z32" s="12"/>
      <c r="AB32" s="12"/>
      <c r="AD32" s="12"/>
      <c r="AF32" s="12"/>
      <c r="AG32" s="12"/>
      <c r="AH32" s="12"/>
    </row>
    <row r="33" spans="1:46" s="17" customFormat="1" ht="13.5" customHeight="1">
      <c r="A33" s="17" t="s">
        <v>419</v>
      </c>
      <c r="C33" s="17" t="s">
        <v>387</v>
      </c>
      <c r="D33" s="17" t="s">
        <v>378</v>
      </c>
      <c r="E33" s="17" t="s">
        <v>425</v>
      </c>
      <c r="F33" s="15">
        <v>7</v>
      </c>
      <c r="G33" s="15">
        <v>16</v>
      </c>
      <c r="H33" s="15">
        <v>0</v>
      </c>
      <c r="I33" s="15">
        <v>28</v>
      </c>
      <c r="J33" s="15">
        <f>G33-H33</f>
        <v>16</v>
      </c>
      <c r="K33" s="15" t="s">
        <v>469</v>
      </c>
      <c r="L33" s="15"/>
      <c r="M33" s="15"/>
      <c r="N33" s="96"/>
      <c r="O33" s="95"/>
      <c r="P33" s="15"/>
      <c r="Q33" s="15"/>
      <c r="R33" s="15">
        <v>120</v>
      </c>
      <c r="S33" s="15" t="s">
        <v>394</v>
      </c>
      <c r="V33" s="15"/>
      <c r="W33" s="15"/>
      <c r="X33" s="15">
        <v>340</v>
      </c>
      <c r="Y33" s="15" t="s">
        <v>179</v>
      </c>
      <c r="AD33" s="15"/>
      <c r="AE33" s="15"/>
      <c r="AF33" s="15"/>
      <c r="AG33" s="15"/>
      <c r="AH33" s="15"/>
      <c r="AJ33" s="15"/>
      <c r="AK33" s="15"/>
      <c r="AL33" s="15"/>
      <c r="AN33" s="15"/>
      <c r="AR33" s="15" t="s">
        <v>380</v>
      </c>
      <c r="AS33" s="15" t="s">
        <v>381</v>
      </c>
    </row>
    <row r="34" spans="1:46" ht="13.5" customHeight="1">
      <c r="F34" s="12">
        <f>SUM(F33:F33)+F30</f>
        <v>98</v>
      </c>
      <c r="G34" s="12">
        <f>SUM(G33:G33)+G30</f>
        <v>239</v>
      </c>
      <c r="H34" s="12">
        <f>SUM(H33:H33)+H30</f>
        <v>110</v>
      </c>
      <c r="I34" s="12">
        <f>SUM(I33:I33)+I30</f>
        <v>2228</v>
      </c>
      <c r="J34" s="12"/>
      <c r="K34" s="12"/>
      <c r="L34" s="12">
        <f>SUM(L33:L33)+L30</f>
        <v>66</v>
      </c>
      <c r="M34" s="12"/>
      <c r="N34" s="12">
        <f>SUM(N33:N33)+N30</f>
        <v>750</v>
      </c>
      <c r="O34"/>
      <c r="P34" s="12">
        <f>SUM(P33:P33)+P30</f>
        <v>1125</v>
      </c>
      <c r="Q34" s="12"/>
      <c r="R34" s="12">
        <f>SUM(R33:R33)+R30</f>
        <v>460</v>
      </c>
      <c r="S34" s="12"/>
      <c r="T34" s="12">
        <f>SUM(T33:T33)+T30</f>
        <v>300</v>
      </c>
      <c r="V34" s="12">
        <f>SUM(V33:V33)+V30</f>
        <v>0</v>
      </c>
      <c r="W34" s="12"/>
      <c r="X34" s="12">
        <f>SUM(X33:X33)+X30</f>
        <v>3390</v>
      </c>
      <c r="Z34" s="12">
        <f>SUM(Z33:Z33)+Z30</f>
        <v>100</v>
      </c>
      <c r="AB34" s="12">
        <f>SUM(AB33:AB33)+AB30</f>
        <v>50</v>
      </c>
      <c r="AD34" s="12">
        <f>SUM(AD33:AD33)+AD30</f>
        <v>65</v>
      </c>
      <c r="AE34" s="12"/>
      <c r="AF34" s="12">
        <f>SUM(AF33:AF33)+AF30</f>
        <v>0</v>
      </c>
      <c r="AG34" s="12"/>
      <c r="AH34" s="12">
        <f>SUM(AH33:AH33)+AH30</f>
        <v>200</v>
      </c>
      <c r="AJ34" s="12">
        <f>SUM(AJ33:AJ33)+AJ30</f>
        <v>0</v>
      </c>
      <c r="AL34" s="12">
        <f>SUM(AL33:AL33)+AL30</f>
        <v>0</v>
      </c>
      <c r="AN34" s="12">
        <f>SUM(AN33:AN33)+AN30</f>
        <v>0</v>
      </c>
      <c r="AP34" s="12">
        <f>SUM(AP33:AP33)+AP30</f>
        <v>2500</v>
      </c>
      <c r="AS34" s="12" t="s">
        <v>473</v>
      </c>
      <c r="AT34" s="12">
        <v>2</v>
      </c>
    </row>
    <row r="36" spans="1:46">
      <c r="F36" s="12"/>
      <c r="G36" s="12"/>
      <c r="H36" s="12"/>
      <c r="I36" s="12"/>
      <c r="J36" s="12"/>
      <c r="K36" s="12"/>
      <c r="L36" s="12"/>
      <c r="M36" s="12"/>
      <c r="N36" s="12"/>
      <c r="O36" s="12"/>
      <c r="P36" s="12"/>
      <c r="Q36" s="12"/>
      <c r="R36" s="12"/>
      <c r="S36" s="12"/>
      <c r="T36" s="12"/>
      <c r="U36" s="12"/>
      <c r="V36" s="12"/>
      <c r="W36" s="12"/>
      <c r="X36" s="12"/>
    </row>
    <row r="37" spans="1:46" ht="13.4" customHeight="1">
      <c r="A37" s="163" t="s">
        <v>427</v>
      </c>
      <c r="B37" s="163"/>
      <c r="C37" s="163"/>
      <c r="D37" s="163"/>
      <c r="E37" s="23" t="s">
        <v>474</v>
      </c>
      <c r="F37" s="85">
        <f>48-(IF(E9="vCSA8.0", 2, 1))</f>
        <v>46</v>
      </c>
      <c r="G37" s="85">
        <f>4*(96-(IF(E9="vCSA8.0", 12, 8)))</f>
        <v>336</v>
      </c>
      <c r="H37" s="172" t="str">
        <f>"Note1: The hardware resource pool provided here corresponds only to MantaRay NM virtual machines. If optional virtual machines are used then plan for the hardware resources accordingly.
Note2: ESXi reserves " &amp; IF(E9="vCSA8.0", 12, 8) &amp;" GB Memory for internal purpose
Note3: "&amp; IF(E9="vCSA8.0", 2, 1) &amp; " CPU is used by vSphere "&amp; IF(E9="vCSA8.0", "8.0", "7.0 U1") &amp;" onwards for internal functionality."</f>
        <v>Note1: The hardware resource pool provided here corresponds only to MantaRay NM virtual machines. If optional virtual machines are used then plan for the hardware resources accordingly.
Note2: ESXi reserves 12 GB Memory for internal purpose
Note3: 2 CPU is used by vSphere 8.0 onwards for internal functionality.</v>
      </c>
      <c r="I37" s="172"/>
      <c r="J37" s="172"/>
      <c r="K37" s="172"/>
      <c r="L37" s="172"/>
      <c r="M37" s="20"/>
      <c r="N37" s="20"/>
      <c r="O37" s="20"/>
      <c r="P37" s="20"/>
      <c r="Q37" s="20"/>
      <c r="R37" s="20"/>
      <c r="S37" s="20"/>
      <c r="T37" s="20"/>
      <c r="U37" s="20"/>
      <c r="V37" s="20"/>
      <c r="W37" s="20"/>
      <c r="X37" s="20"/>
      <c r="Y37" s="20"/>
      <c r="Z37" s="20"/>
      <c r="AA37" s="20"/>
      <c r="AB37" s="20"/>
      <c r="AC37" s="20"/>
      <c r="AD37" s="20"/>
      <c r="AE37" s="20"/>
      <c r="AF37" s="20"/>
      <c r="AG37" s="20"/>
      <c r="AH37" s="20"/>
      <c r="AI37" s="20"/>
      <c r="AJ37" s="130"/>
      <c r="AK37" s="130"/>
      <c r="AL37" s="130"/>
      <c r="AM37" s="20"/>
      <c r="AN37" s="130"/>
      <c r="AO37" s="20"/>
      <c r="AP37" s="20"/>
      <c r="AQ37" s="20"/>
      <c r="AR37" s="20"/>
      <c r="AS37" s="20"/>
      <c r="AT37" s="20"/>
    </row>
    <row r="38" spans="1:46" ht="13">
      <c r="A38" s="163"/>
      <c r="B38" s="163"/>
      <c r="C38" s="163"/>
      <c r="D38" s="163"/>
      <c r="E38" s="23" t="s">
        <v>475</v>
      </c>
      <c r="F38" s="85">
        <f>48-(IF(E9="vCSA8.0", 2, 1))</f>
        <v>46</v>
      </c>
      <c r="G38" s="85">
        <f>3*(198-(IF(E9="vCSA8.0", 12, 8)))</f>
        <v>558</v>
      </c>
      <c r="H38" s="172"/>
      <c r="I38" s="172"/>
      <c r="J38" s="172"/>
      <c r="K38" s="172"/>
      <c r="L38" s="172"/>
      <c r="M38" s="20"/>
      <c r="N38" s="20"/>
      <c r="O38" s="20"/>
      <c r="P38" s="20"/>
      <c r="Q38" s="20"/>
      <c r="R38" s="20"/>
      <c r="S38" s="20"/>
      <c r="T38" s="20"/>
      <c r="U38" s="20"/>
      <c r="V38" s="20"/>
      <c r="W38" s="20"/>
      <c r="X38" s="20"/>
      <c r="Y38" s="20"/>
      <c r="Z38" s="20"/>
      <c r="AA38" s="20"/>
      <c r="AB38" s="20"/>
      <c r="AC38" s="20"/>
      <c r="AD38" s="20"/>
      <c r="AE38" s="20"/>
      <c r="AF38" s="20"/>
      <c r="AG38" s="20"/>
      <c r="AH38" s="20"/>
      <c r="AI38" s="20"/>
      <c r="AJ38" s="130"/>
      <c r="AK38" s="130"/>
      <c r="AL38" s="130"/>
      <c r="AM38" s="20"/>
      <c r="AN38" s="130"/>
      <c r="AO38" s="20"/>
      <c r="AP38" s="20"/>
      <c r="AQ38" s="20"/>
      <c r="AR38" s="20"/>
      <c r="AS38" s="20"/>
      <c r="AT38" s="20"/>
    </row>
    <row r="39" spans="1:46" ht="13">
      <c r="A39" s="85"/>
      <c r="B39" s="85"/>
      <c r="C39" s="85"/>
      <c r="D39" s="85"/>
      <c r="E39" s="23" t="s">
        <v>476</v>
      </c>
      <c r="F39" s="85">
        <f>48-(IF(E9="vCSA8.0", 2, 1))</f>
        <v>46</v>
      </c>
      <c r="G39" s="85">
        <f>2*(256-(IF(E9="vCSA8.0", 12, 8)))</f>
        <v>488</v>
      </c>
      <c r="H39" s="172"/>
      <c r="I39" s="172"/>
      <c r="J39" s="172"/>
      <c r="K39" s="172"/>
      <c r="L39" s="172"/>
      <c r="M39" s="20"/>
      <c r="N39" s="20"/>
      <c r="O39" s="20"/>
      <c r="P39" s="20"/>
      <c r="Q39" s="20"/>
      <c r="R39" s="20"/>
      <c r="S39" s="20"/>
      <c r="T39" s="20"/>
      <c r="U39" s="20"/>
      <c r="V39" s="20"/>
      <c r="W39" s="20"/>
      <c r="X39" s="20"/>
      <c r="Y39" s="20"/>
      <c r="Z39" s="20"/>
      <c r="AA39" s="20"/>
      <c r="AB39" s="20"/>
      <c r="AC39" s="20"/>
      <c r="AD39" s="20"/>
      <c r="AE39" s="20"/>
      <c r="AF39" s="20"/>
      <c r="AG39" s="20"/>
      <c r="AH39" s="20"/>
      <c r="AI39" s="20"/>
      <c r="AJ39" s="130"/>
      <c r="AK39" s="130"/>
      <c r="AL39" s="130"/>
      <c r="AM39" s="20"/>
      <c r="AN39" s="130"/>
      <c r="AO39" s="20"/>
      <c r="AP39" s="20"/>
      <c r="AQ39" s="20"/>
      <c r="AR39" s="20"/>
      <c r="AS39" s="20"/>
      <c r="AT39" s="20"/>
    </row>
    <row r="40" spans="1:46" ht="13" customHeight="1">
      <c r="A40" s="85"/>
      <c r="B40" s="85"/>
      <c r="C40" s="85"/>
      <c r="D40" s="85"/>
      <c r="E40" s="23" t="s">
        <v>477</v>
      </c>
      <c r="F40" s="85">
        <f>64-(IF(E9="vCSA8.0", 2, 1))</f>
        <v>62</v>
      </c>
      <c r="G40" s="85">
        <f>2*(384-(IF(E9="vCSA8.0", 12, 8)))</f>
        <v>744</v>
      </c>
      <c r="H40" s="172"/>
      <c r="I40" s="172"/>
      <c r="J40" s="172"/>
      <c r="K40" s="172"/>
      <c r="L40" s="172"/>
      <c r="M40" s="20"/>
      <c r="N40" s="20"/>
      <c r="O40" s="20"/>
      <c r="P40" s="20"/>
      <c r="Q40" s="20"/>
      <c r="R40" s="20"/>
      <c r="S40" s="20"/>
      <c r="T40" s="20"/>
      <c r="U40" s="20"/>
      <c r="V40" s="20"/>
      <c r="W40" s="20"/>
      <c r="X40" s="20"/>
      <c r="Y40" s="20"/>
      <c r="Z40" s="20"/>
      <c r="AA40" s="20"/>
      <c r="AB40" s="20"/>
      <c r="AC40" s="20"/>
      <c r="AD40" s="20"/>
      <c r="AE40" s="20"/>
      <c r="AF40" s="20"/>
      <c r="AG40" s="20"/>
      <c r="AH40" s="20"/>
      <c r="AI40" s="20"/>
      <c r="AJ40" s="130"/>
      <c r="AK40" s="130"/>
      <c r="AL40" s="130"/>
      <c r="AM40" s="20"/>
      <c r="AN40" s="130"/>
      <c r="AO40" s="20"/>
      <c r="AP40" s="20"/>
      <c r="AQ40" s="20"/>
      <c r="AR40" s="20"/>
      <c r="AS40" s="20"/>
      <c r="AT40" s="20"/>
    </row>
    <row r="41" spans="1:46" ht="13" customHeight="1">
      <c r="A41" s="85"/>
      <c r="B41" s="85"/>
      <c r="C41" s="85"/>
      <c r="D41" s="85"/>
      <c r="E41" s="23" t="s">
        <v>478</v>
      </c>
      <c r="F41" s="85">
        <f>(3*2*28)-(IF(E9="vCSA8.0", 2, 1))</f>
        <v>166</v>
      </c>
      <c r="G41" s="85">
        <f>3*(512-(IF(E9="vCSA8.0", 12, 8)))</f>
        <v>1500</v>
      </c>
      <c r="H41" s="172"/>
      <c r="I41" s="172"/>
      <c r="J41" s="172"/>
      <c r="K41" s="172"/>
      <c r="L41" s="172"/>
      <c r="M41" s="20"/>
      <c r="N41" s="20"/>
      <c r="O41" s="20"/>
      <c r="P41" s="20"/>
      <c r="Q41" s="20"/>
      <c r="R41" s="20"/>
      <c r="S41" s="20"/>
      <c r="T41" s="20"/>
      <c r="U41" s="20"/>
      <c r="V41" s="20"/>
      <c r="W41" s="20"/>
      <c r="X41" s="20"/>
      <c r="Y41" s="20"/>
      <c r="Z41" s="20"/>
      <c r="AA41" s="20"/>
      <c r="AB41" s="20"/>
      <c r="AC41" s="20"/>
      <c r="AD41" s="20"/>
      <c r="AE41" s="20"/>
      <c r="AF41" s="20"/>
      <c r="AG41" s="20"/>
      <c r="AH41" s="20"/>
      <c r="AI41" s="20"/>
      <c r="AJ41" s="130"/>
      <c r="AK41" s="130"/>
      <c r="AL41" s="130"/>
      <c r="AM41" s="20"/>
      <c r="AN41" s="130"/>
      <c r="AO41" s="20"/>
      <c r="AP41" s="20"/>
      <c r="AQ41" s="20"/>
      <c r="AR41" s="20"/>
      <c r="AS41" s="20"/>
      <c r="AT41" s="20"/>
    </row>
    <row r="42" spans="1:46" ht="13" customHeight="1">
      <c r="A42" s="20"/>
      <c r="B42" s="20"/>
      <c r="C42" s="20"/>
      <c r="D42" s="20"/>
      <c r="E42" s="23" t="s">
        <v>479</v>
      </c>
      <c r="F42" s="85">
        <f>(3*2*28)-(IF(E9="vCSA8.0", 2, 1))</f>
        <v>166</v>
      </c>
      <c r="G42" s="85">
        <f>3*(512-(IF(E9="vCSA8.0", 12, 8)))</f>
        <v>1500</v>
      </c>
      <c r="H42" s="172"/>
      <c r="I42" s="172"/>
      <c r="J42" s="172"/>
      <c r="K42" s="172"/>
      <c r="L42" s="172"/>
      <c r="M42" s="20"/>
      <c r="N42" s="20"/>
      <c r="O42" s="20"/>
      <c r="P42" s="20"/>
      <c r="Q42" s="20"/>
      <c r="R42" s="20"/>
      <c r="S42" s="20"/>
      <c r="T42" s="20"/>
      <c r="U42" s="20"/>
      <c r="V42" s="20"/>
      <c r="W42" s="20"/>
      <c r="X42" s="20"/>
      <c r="Y42" s="20"/>
      <c r="Z42" s="20"/>
      <c r="AA42" s="20"/>
      <c r="AB42" s="20"/>
      <c r="AC42" s="20"/>
      <c r="AD42" s="20"/>
      <c r="AE42" s="20"/>
      <c r="AF42" s="20"/>
      <c r="AG42" s="20"/>
      <c r="AH42" s="20"/>
      <c r="AI42" s="20"/>
      <c r="AJ42" s="130"/>
      <c r="AK42" s="130"/>
      <c r="AL42" s="130"/>
      <c r="AM42" s="20"/>
      <c r="AN42" s="130"/>
      <c r="AO42" s="20"/>
      <c r="AP42" s="20"/>
      <c r="AQ42" s="20"/>
      <c r="AR42" s="20"/>
      <c r="AS42" s="20"/>
      <c r="AT42" s="20"/>
    </row>
    <row r="43" spans="1:46" ht="13">
      <c r="A43" s="20"/>
      <c r="B43" s="20"/>
      <c r="C43" s="20"/>
      <c r="D43" s="20"/>
      <c r="E43" s="23" t="s">
        <v>480</v>
      </c>
      <c r="F43" s="85">
        <f>(3*2*32)-(IF(E9="vCSA8.0", 2, 1))</f>
        <v>190</v>
      </c>
      <c r="G43" s="85">
        <f>3*(512-(IF(E9="vCSA8.0", 12, 8)))</f>
        <v>1500</v>
      </c>
      <c r="H43" s="172"/>
      <c r="I43" s="172"/>
      <c r="J43" s="172"/>
      <c r="K43" s="172"/>
      <c r="L43" s="172"/>
      <c r="M43" s="20"/>
    </row>
    <row r="44" spans="1:46">
      <c r="A44" s="20"/>
      <c r="B44" s="20"/>
      <c r="C44" s="20"/>
      <c r="D44" s="20"/>
      <c r="E44" s="20"/>
      <c r="F44" s="20"/>
      <c r="G44" s="20"/>
      <c r="H44" s="172"/>
      <c r="I44" s="172"/>
      <c r="J44" s="172"/>
      <c r="K44" s="172"/>
      <c r="L44" s="172"/>
      <c r="M44" s="20"/>
    </row>
    <row r="46" spans="1:46" ht="13">
      <c r="A46" s="14" t="s">
        <v>430</v>
      </c>
      <c r="AT46" s="12"/>
    </row>
    <row r="47" spans="1:46">
      <c r="A47" s="4" t="s">
        <v>431</v>
      </c>
      <c r="C47" s="4" t="s">
        <v>387</v>
      </c>
      <c r="D47" s="4" t="s">
        <v>378</v>
      </c>
      <c r="E47" s="4" t="s">
        <v>21</v>
      </c>
      <c r="F47" s="12">
        <v>4</v>
      </c>
      <c r="G47" s="12">
        <v>16</v>
      </c>
      <c r="H47" s="12">
        <v>0</v>
      </c>
      <c r="I47" s="12">
        <v>71</v>
      </c>
      <c r="J47" s="12">
        <f t="shared" ref="J47:J67" si="2">G47-H47</f>
        <v>16</v>
      </c>
      <c r="K47" s="12"/>
      <c r="L47" s="12"/>
      <c r="M47" s="12"/>
      <c r="N47" s="12"/>
      <c r="O47" s="12"/>
      <c r="P47" s="12"/>
      <c r="Q47" s="12"/>
      <c r="R47" s="12"/>
      <c r="S47" s="12"/>
      <c r="T47" s="12"/>
      <c r="U47" s="12"/>
      <c r="V47" s="12"/>
      <c r="W47" s="12"/>
      <c r="X47" s="12"/>
      <c r="AR47" s="12" t="s">
        <v>380</v>
      </c>
      <c r="AS47" s="12" t="s">
        <v>381</v>
      </c>
      <c r="AT47" s="12"/>
    </row>
    <row r="48" spans="1:46">
      <c r="A48" s="4" t="s">
        <v>433</v>
      </c>
      <c r="B48" s="12"/>
      <c r="C48" s="4" t="s">
        <v>387</v>
      </c>
      <c r="D48" s="19" t="s">
        <v>434</v>
      </c>
      <c r="E48" s="4" t="s">
        <v>89</v>
      </c>
      <c r="F48" s="12">
        <v>4</v>
      </c>
      <c r="G48" s="12">
        <v>4</v>
      </c>
      <c r="H48" s="12">
        <v>0</v>
      </c>
      <c r="I48" s="12">
        <v>100</v>
      </c>
      <c r="J48" s="12">
        <f t="shared" si="2"/>
        <v>4</v>
      </c>
      <c r="K48" s="12" t="s">
        <v>469</v>
      </c>
      <c r="L48" s="12"/>
      <c r="M48" s="12"/>
      <c r="N48" s="12"/>
      <c r="O48" s="12"/>
      <c r="P48" s="12"/>
      <c r="Q48" s="12"/>
      <c r="R48" s="12"/>
      <c r="S48" s="12"/>
      <c r="T48" s="12"/>
      <c r="U48" s="12"/>
      <c r="V48" s="12"/>
      <c r="W48" s="12"/>
      <c r="X48" s="12"/>
      <c r="Y48" s="12"/>
      <c r="Z48" s="12"/>
      <c r="AA48" s="12"/>
      <c r="AB48" s="12"/>
      <c r="AC48" s="12"/>
      <c r="AD48" s="12"/>
      <c r="AE48" s="12"/>
      <c r="AF48" s="12"/>
      <c r="AG48" s="12"/>
      <c r="AH48" s="12"/>
      <c r="AI48" s="12"/>
      <c r="AM48" s="12"/>
      <c r="AO48" s="12"/>
      <c r="AP48" s="12"/>
      <c r="AQ48" s="12"/>
      <c r="AR48" s="12" t="s">
        <v>380</v>
      </c>
      <c r="AS48" s="12" t="s">
        <v>381</v>
      </c>
      <c r="AT48" s="12"/>
    </row>
    <row r="49" spans="1:46">
      <c r="A49" s="4" t="s">
        <v>435</v>
      </c>
      <c r="B49" s="12"/>
      <c r="C49" s="4" t="s">
        <v>387</v>
      </c>
      <c r="D49" s="19" t="s">
        <v>434</v>
      </c>
      <c r="E49" s="4" t="s">
        <v>97</v>
      </c>
      <c r="F49" s="12">
        <v>4</v>
      </c>
      <c r="G49" s="12">
        <v>16</v>
      </c>
      <c r="H49" s="12">
        <v>0</v>
      </c>
      <c r="I49" s="12">
        <v>100</v>
      </c>
      <c r="J49" s="12">
        <f t="shared" si="2"/>
        <v>16</v>
      </c>
      <c r="K49" s="12" t="s">
        <v>470</v>
      </c>
      <c r="L49" s="12"/>
      <c r="M49" s="12"/>
      <c r="N49" s="12"/>
      <c r="O49" s="12"/>
      <c r="P49" s="12"/>
      <c r="Q49" s="12"/>
      <c r="R49" s="12"/>
      <c r="S49" s="12"/>
      <c r="T49" s="12"/>
      <c r="U49" s="12"/>
      <c r="V49" s="12"/>
      <c r="W49" s="12"/>
      <c r="X49" s="12"/>
      <c r="Y49" s="12"/>
      <c r="Z49" s="12"/>
      <c r="AA49" s="12"/>
      <c r="AB49" s="12"/>
      <c r="AC49" s="12"/>
      <c r="AD49" s="12"/>
      <c r="AE49" s="12"/>
      <c r="AF49" s="12"/>
      <c r="AG49" s="12"/>
      <c r="AH49" s="12"/>
      <c r="AI49" s="12"/>
      <c r="AM49" s="12"/>
      <c r="AO49" s="12"/>
      <c r="AP49" s="12"/>
      <c r="AQ49" s="12"/>
      <c r="AR49" s="12" t="s">
        <v>380</v>
      </c>
      <c r="AS49" s="12" t="s">
        <v>381</v>
      </c>
      <c r="AT49" s="12"/>
    </row>
    <row r="50" spans="1:46">
      <c r="A50" s="4" t="s">
        <v>436</v>
      </c>
      <c r="B50" s="12"/>
      <c r="C50" s="4" t="s">
        <v>387</v>
      </c>
      <c r="D50" s="19" t="s">
        <v>434</v>
      </c>
      <c r="E50" s="4" t="s">
        <v>93</v>
      </c>
      <c r="F50" s="12">
        <v>4</v>
      </c>
      <c r="G50" s="12">
        <v>14</v>
      </c>
      <c r="H50" s="12">
        <v>0</v>
      </c>
      <c r="I50" s="12">
        <v>120</v>
      </c>
      <c r="J50" s="12">
        <f t="shared" si="2"/>
        <v>14</v>
      </c>
      <c r="K50" s="12" t="s">
        <v>470</v>
      </c>
      <c r="L50" s="12"/>
      <c r="M50" s="12"/>
      <c r="N50" s="12"/>
      <c r="O50" s="12"/>
      <c r="P50" s="12"/>
      <c r="Q50" s="12"/>
      <c r="R50" s="12"/>
      <c r="S50" s="12"/>
      <c r="T50" s="12"/>
      <c r="U50" s="12"/>
      <c r="V50" s="12"/>
      <c r="W50" s="12"/>
      <c r="X50" s="12"/>
      <c r="Y50" s="12"/>
      <c r="Z50" s="12"/>
      <c r="AA50" s="12"/>
      <c r="AB50" s="12"/>
      <c r="AC50" s="12"/>
      <c r="AD50" s="12"/>
      <c r="AE50" s="12"/>
      <c r="AF50" s="12"/>
      <c r="AG50" s="12"/>
      <c r="AH50" s="12"/>
      <c r="AI50" s="12"/>
      <c r="AM50" s="12"/>
      <c r="AO50" s="12"/>
      <c r="AP50" s="12"/>
      <c r="AQ50" s="12"/>
      <c r="AR50" s="12" t="s">
        <v>380</v>
      </c>
      <c r="AS50" s="12" t="s">
        <v>381</v>
      </c>
      <c r="AT50" s="12"/>
    </row>
    <row r="51" spans="1:46">
      <c r="A51" s="4" t="s">
        <v>481</v>
      </c>
      <c r="C51" s="4" t="s">
        <v>387</v>
      </c>
      <c r="D51" s="19" t="s">
        <v>434</v>
      </c>
      <c r="E51" s="4" t="s">
        <v>89</v>
      </c>
      <c r="F51" s="12">
        <v>4</v>
      </c>
      <c r="G51" s="12">
        <v>4</v>
      </c>
      <c r="H51" s="12">
        <v>0</v>
      </c>
      <c r="I51" s="12">
        <v>100</v>
      </c>
      <c r="J51" s="12">
        <f t="shared" si="2"/>
        <v>4</v>
      </c>
      <c r="K51" s="12"/>
      <c r="L51" s="12"/>
      <c r="M51" s="12"/>
      <c r="N51" s="12"/>
      <c r="O51" s="12"/>
      <c r="P51" s="12"/>
      <c r="Q51" s="12"/>
      <c r="R51" s="12"/>
      <c r="S51" s="12"/>
      <c r="T51" s="12"/>
      <c r="U51" s="12"/>
      <c r="V51" s="12"/>
      <c r="W51" s="12"/>
      <c r="X51" s="12"/>
      <c r="AR51" s="12" t="s">
        <v>380</v>
      </c>
      <c r="AS51" s="12" t="s">
        <v>381</v>
      </c>
      <c r="AT51" s="12"/>
    </row>
    <row r="52" spans="1:46">
      <c r="A52" s="4" t="s">
        <v>437</v>
      </c>
      <c r="C52" s="4" t="s">
        <v>387</v>
      </c>
      <c r="D52" s="19" t="s">
        <v>434</v>
      </c>
      <c r="E52" s="4" t="s">
        <v>97</v>
      </c>
      <c r="F52" s="12">
        <v>4</v>
      </c>
      <c r="G52" s="12">
        <v>16</v>
      </c>
      <c r="H52" s="12">
        <v>0</v>
      </c>
      <c r="I52" s="12">
        <v>100</v>
      </c>
      <c r="J52" s="12">
        <f t="shared" si="2"/>
        <v>16</v>
      </c>
      <c r="K52" s="12"/>
      <c r="L52" s="12"/>
      <c r="M52" s="12"/>
      <c r="N52" s="12"/>
      <c r="O52" s="12"/>
      <c r="P52" s="12"/>
      <c r="Q52" s="12"/>
      <c r="R52" s="12"/>
      <c r="S52" s="12"/>
      <c r="T52" s="12"/>
      <c r="U52" s="12"/>
      <c r="V52" s="12"/>
      <c r="W52" s="12"/>
      <c r="X52" s="12"/>
      <c r="AR52" s="12" t="s">
        <v>380</v>
      </c>
      <c r="AS52" s="12" t="s">
        <v>381</v>
      </c>
      <c r="AT52" s="12"/>
    </row>
    <row r="53" spans="1:46">
      <c r="A53" s="4" t="s">
        <v>482</v>
      </c>
      <c r="C53" s="4" t="s">
        <v>387</v>
      </c>
      <c r="D53" s="19" t="s">
        <v>434</v>
      </c>
      <c r="E53" s="4" t="s">
        <v>97</v>
      </c>
      <c r="F53" s="12">
        <v>4</v>
      </c>
      <c r="G53" s="12">
        <v>16</v>
      </c>
      <c r="H53" s="12">
        <v>0</v>
      </c>
      <c r="I53" s="12">
        <v>100</v>
      </c>
      <c r="J53" s="12">
        <f t="shared" si="2"/>
        <v>16</v>
      </c>
      <c r="K53" s="12"/>
      <c r="L53" s="12"/>
      <c r="M53" s="12"/>
      <c r="N53" s="12"/>
      <c r="O53" s="12"/>
      <c r="P53" s="12"/>
      <c r="Q53" s="12"/>
      <c r="R53" s="12"/>
      <c r="S53" s="12"/>
      <c r="T53" s="12"/>
      <c r="U53" s="12"/>
      <c r="V53" s="12"/>
      <c r="W53" s="12"/>
      <c r="X53" s="12"/>
      <c r="AR53" s="12" t="s">
        <v>380</v>
      </c>
      <c r="AS53" s="12" t="s">
        <v>381</v>
      </c>
      <c r="AT53" s="12"/>
    </row>
    <row r="54" spans="1:46">
      <c r="A54" s="4" t="s">
        <v>483</v>
      </c>
      <c r="C54" s="4" t="s">
        <v>387</v>
      </c>
      <c r="D54" s="19" t="s">
        <v>434</v>
      </c>
      <c r="E54" s="4" t="s">
        <v>93</v>
      </c>
      <c r="F54" s="12">
        <v>4</v>
      </c>
      <c r="G54" s="12">
        <v>14</v>
      </c>
      <c r="H54" s="12">
        <v>0</v>
      </c>
      <c r="I54" s="12">
        <v>120</v>
      </c>
      <c r="J54" s="12">
        <f t="shared" si="2"/>
        <v>14</v>
      </c>
      <c r="K54" s="12"/>
      <c r="L54" s="12"/>
      <c r="M54" s="12"/>
      <c r="N54" s="12"/>
      <c r="O54" s="12"/>
      <c r="P54" s="12"/>
      <c r="Q54" s="12"/>
      <c r="R54" s="12"/>
      <c r="S54" s="12"/>
      <c r="T54" s="12"/>
      <c r="U54" s="12"/>
      <c r="V54" s="12"/>
      <c r="W54" s="12"/>
      <c r="X54" s="12"/>
      <c r="AR54" s="12" t="s">
        <v>380</v>
      </c>
      <c r="AS54" s="12" t="s">
        <v>381</v>
      </c>
      <c r="AT54" s="12"/>
    </row>
    <row r="55" spans="1:46">
      <c r="A55" s="4" t="s">
        <v>438</v>
      </c>
      <c r="C55" s="4" t="s">
        <v>387</v>
      </c>
      <c r="D55" s="4" t="s">
        <v>378</v>
      </c>
      <c r="E55" s="4" t="s">
        <v>32</v>
      </c>
      <c r="F55" s="12">
        <v>3</v>
      </c>
      <c r="G55" s="12">
        <v>8</v>
      </c>
      <c r="H55" s="12">
        <v>0</v>
      </c>
      <c r="I55" s="12">
        <v>121</v>
      </c>
      <c r="J55" s="12">
        <f t="shared" si="2"/>
        <v>8</v>
      </c>
      <c r="K55" s="12"/>
      <c r="L55" s="12"/>
      <c r="M55" s="12"/>
      <c r="N55" s="12"/>
      <c r="O55" s="12"/>
      <c r="P55" s="12"/>
      <c r="Q55" s="12"/>
      <c r="R55" s="12"/>
      <c r="S55" s="12"/>
      <c r="T55" s="12"/>
      <c r="U55" s="12"/>
      <c r="V55" s="12"/>
      <c r="W55" s="12"/>
      <c r="X55" s="12"/>
      <c r="AR55" s="12" t="s">
        <v>380</v>
      </c>
      <c r="AS55" s="12" t="s">
        <v>381</v>
      </c>
      <c r="AT55" s="12"/>
    </row>
    <row r="56" spans="1:46">
      <c r="A56" s="4" t="s">
        <v>439</v>
      </c>
      <c r="C56" s="4" t="s">
        <v>387</v>
      </c>
      <c r="D56" s="4" t="s">
        <v>378</v>
      </c>
      <c r="E56" s="4" t="s">
        <v>32</v>
      </c>
      <c r="F56" s="12">
        <v>3</v>
      </c>
      <c r="G56" s="12">
        <v>8</v>
      </c>
      <c r="H56" s="12">
        <v>0</v>
      </c>
      <c r="I56" s="12">
        <v>121</v>
      </c>
      <c r="J56" s="12">
        <f t="shared" si="2"/>
        <v>8</v>
      </c>
      <c r="K56" s="12"/>
      <c r="L56" s="12"/>
      <c r="M56" s="12"/>
      <c r="N56" s="12"/>
      <c r="O56" s="12"/>
      <c r="P56" s="12"/>
      <c r="Q56" s="12"/>
      <c r="R56" s="12"/>
      <c r="S56" s="12"/>
      <c r="T56" s="12"/>
      <c r="U56" s="12"/>
      <c r="V56" s="12"/>
      <c r="W56" s="12"/>
      <c r="X56" s="12"/>
      <c r="AR56" s="12" t="s">
        <v>380</v>
      </c>
      <c r="AS56" s="12" t="s">
        <v>381</v>
      </c>
      <c r="AT56" s="12"/>
    </row>
    <row r="57" spans="1:46">
      <c r="A57" s="4" t="s">
        <v>440</v>
      </c>
      <c r="C57" s="4" t="s">
        <v>387</v>
      </c>
      <c r="D57" s="4" t="s">
        <v>378</v>
      </c>
      <c r="E57" s="4" t="s">
        <v>48</v>
      </c>
      <c r="F57" s="12">
        <v>2</v>
      </c>
      <c r="G57" s="12">
        <v>4</v>
      </c>
      <c r="H57" s="12">
        <v>0</v>
      </c>
      <c r="I57" s="12">
        <v>41</v>
      </c>
      <c r="J57" s="12">
        <f t="shared" si="2"/>
        <v>4</v>
      </c>
      <c r="K57" s="12"/>
      <c r="L57" s="12"/>
      <c r="M57" s="12"/>
      <c r="N57" s="12"/>
      <c r="O57" s="12"/>
      <c r="P57" s="12"/>
      <c r="Q57" s="12"/>
      <c r="R57" s="12"/>
      <c r="S57" s="12"/>
      <c r="T57" s="12"/>
      <c r="U57" s="12"/>
      <c r="V57" s="12"/>
      <c r="W57" s="12"/>
      <c r="X57" s="12"/>
      <c r="AR57" s="12" t="s">
        <v>380</v>
      </c>
      <c r="AS57" s="12" t="s">
        <v>381</v>
      </c>
      <c r="AT57" s="12"/>
    </row>
    <row r="58" spans="1:46">
      <c r="A58" s="4" t="s">
        <v>441</v>
      </c>
      <c r="C58" s="4" t="s">
        <v>387</v>
      </c>
      <c r="D58" s="4" t="s">
        <v>378</v>
      </c>
      <c r="E58" s="4" t="s">
        <v>40</v>
      </c>
      <c r="F58" s="12">
        <v>2</v>
      </c>
      <c r="G58" s="12">
        <v>4</v>
      </c>
      <c r="H58" s="12">
        <v>0</v>
      </c>
      <c r="I58" s="12">
        <v>31</v>
      </c>
      <c r="J58" s="12">
        <f t="shared" si="2"/>
        <v>4</v>
      </c>
      <c r="K58" s="12"/>
      <c r="L58" s="12"/>
      <c r="M58" s="12"/>
      <c r="N58" s="12"/>
      <c r="O58" s="12"/>
      <c r="P58" s="12"/>
      <c r="Q58" s="12"/>
      <c r="R58" s="12"/>
      <c r="S58" s="12"/>
      <c r="T58" s="12"/>
      <c r="U58" s="12"/>
      <c r="V58" s="12"/>
      <c r="W58" s="12"/>
      <c r="X58" s="12"/>
      <c r="AR58" s="12" t="s">
        <v>380</v>
      </c>
      <c r="AS58" s="12" t="s">
        <v>381</v>
      </c>
      <c r="AT58" s="12"/>
    </row>
    <row r="59" spans="1:46">
      <c r="A59" s="4" t="s">
        <v>442</v>
      </c>
      <c r="C59" s="4" t="s">
        <v>387</v>
      </c>
      <c r="D59" s="4" t="s">
        <v>378</v>
      </c>
      <c r="E59" s="4" t="s">
        <v>44</v>
      </c>
      <c r="F59" s="12">
        <v>4</v>
      </c>
      <c r="G59" s="12">
        <v>4</v>
      </c>
      <c r="H59" s="12">
        <v>0</v>
      </c>
      <c r="I59" s="12">
        <v>36</v>
      </c>
      <c r="J59" s="12">
        <f t="shared" si="2"/>
        <v>4</v>
      </c>
      <c r="K59" s="12"/>
      <c r="L59" s="12"/>
      <c r="M59" s="12"/>
      <c r="N59" s="12"/>
      <c r="O59" s="12"/>
      <c r="P59" s="12"/>
      <c r="Q59" s="12"/>
      <c r="R59" s="12"/>
      <c r="S59" s="12"/>
      <c r="T59" s="12"/>
      <c r="U59" s="12"/>
      <c r="V59" s="12"/>
      <c r="W59" s="12"/>
      <c r="X59" s="12"/>
      <c r="AR59" s="12" t="s">
        <v>380</v>
      </c>
      <c r="AS59" s="12" t="s">
        <v>381</v>
      </c>
      <c r="AT59" s="12"/>
    </row>
    <row r="60" spans="1:46" ht="14.5">
      <c r="A60" s="4" t="s">
        <v>443</v>
      </c>
      <c r="C60" s="4" t="s">
        <v>387</v>
      </c>
      <c r="D60" s="4" t="s">
        <v>378</v>
      </c>
      <c r="E60" s="4" t="s">
        <v>247</v>
      </c>
      <c r="F60" s="12">
        <v>5</v>
      </c>
      <c r="G60" s="12">
        <v>6</v>
      </c>
      <c r="H60" s="12">
        <v>0</v>
      </c>
      <c r="I60" s="12">
        <v>111</v>
      </c>
      <c r="J60" s="82">
        <f t="shared" si="2"/>
        <v>6</v>
      </c>
      <c r="K60" s="1"/>
      <c r="L60" s="12"/>
      <c r="M60" s="12"/>
      <c r="N60" s="1"/>
      <c r="O60"/>
      <c r="P60" s="12"/>
      <c r="Q60" s="12"/>
      <c r="R60" s="12"/>
      <c r="S60" s="12"/>
      <c r="T60" s="12"/>
      <c r="U60" s="12"/>
      <c r="V60" s="12"/>
      <c r="W60" s="12"/>
      <c r="X60" s="12"/>
      <c r="AR60" s="12" t="s">
        <v>380</v>
      </c>
      <c r="AS60" s="12" t="s">
        <v>381</v>
      </c>
      <c r="AT60" s="12" t="s">
        <v>381</v>
      </c>
    </row>
    <row r="61" spans="1:46" ht="14.5">
      <c r="A61" s="4" t="s">
        <v>484</v>
      </c>
      <c r="D61" s="4" t="s">
        <v>378</v>
      </c>
      <c r="E61" s="4" t="s">
        <v>67</v>
      </c>
      <c r="F61" s="12">
        <v>2</v>
      </c>
      <c r="G61" s="12">
        <v>2</v>
      </c>
      <c r="H61" s="12">
        <v>0</v>
      </c>
      <c r="I61" s="12">
        <v>16</v>
      </c>
      <c r="J61" s="12">
        <f t="shared" si="2"/>
        <v>2</v>
      </c>
      <c r="K61" s="1"/>
      <c r="L61" s="12"/>
      <c r="M61" s="12"/>
      <c r="N61" s="1"/>
      <c r="O61"/>
      <c r="P61" s="12"/>
      <c r="Q61" s="12"/>
      <c r="R61" s="12"/>
      <c r="S61" s="12"/>
      <c r="T61" s="12"/>
      <c r="U61" s="12"/>
      <c r="V61" s="12"/>
      <c r="W61" s="12"/>
      <c r="X61" s="12"/>
      <c r="AR61" s="12" t="s">
        <v>380</v>
      </c>
      <c r="AS61" s="12" t="s">
        <v>381</v>
      </c>
      <c r="AT61" s="12"/>
    </row>
    <row r="62" spans="1:46" ht="14.5">
      <c r="A62" s="4" t="s">
        <v>485</v>
      </c>
      <c r="D62" s="4" t="s">
        <v>378</v>
      </c>
      <c r="E62" s="4" t="s">
        <v>67</v>
      </c>
      <c r="F62" s="12">
        <v>2</v>
      </c>
      <c r="G62" s="12">
        <v>2</v>
      </c>
      <c r="H62" s="12">
        <v>0</v>
      </c>
      <c r="I62" s="12">
        <v>16</v>
      </c>
      <c r="J62" s="12">
        <f t="shared" si="2"/>
        <v>2</v>
      </c>
      <c r="K62" s="1"/>
      <c r="L62" s="12"/>
      <c r="M62" s="12"/>
      <c r="N62" s="1"/>
      <c r="O62"/>
      <c r="P62" s="12"/>
      <c r="Q62" s="12"/>
      <c r="R62" s="12"/>
      <c r="S62" s="12"/>
      <c r="T62" s="12"/>
      <c r="U62" s="12"/>
      <c r="V62" s="12"/>
      <c r="W62" s="12"/>
      <c r="X62" s="12"/>
      <c r="AR62" s="12" t="s">
        <v>380</v>
      </c>
      <c r="AS62" s="12" t="s">
        <v>381</v>
      </c>
      <c r="AT62" s="12"/>
    </row>
    <row r="63" spans="1:46" ht="14.5">
      <c r="A63" s="4" t="s">
        <v>486</v>
      </c>
      <c r="C63" s="4" t="s">
        <v>387</v>
      </c>
      <c r="D63" s="4" t="s">
        <v>378</v>
      </c>
      <c r="E63" s="4" t="s">
        <v>71</v>
      </c>
      <c r="F63" s="12">
        <v>6</v>
      </c>
      <c r="G63" s="12">
        <v>5</v>
      </c>
      <c r="H63" s="12">
        <v>0</v>
      </c>
      <c r="I63" s="12">
        <v>41</v>
      </c>
      <c r="J63" s="12">
        <f t="shared" si="2"/>
        <v>5</v>
      </c>
      <c r="K63" s="1"/>
      <c r="L63" s="12"/>
      <c r="M63" s="12"/>
      <c r="N63" s="1"/>
      <c r="O63"/>
      <c r="P63" s="12"/>
      <c r="Q63" s="12"/>
      <c r="R63" s="12"/>
      <c r="S63" s="12"/>
      <c r="T63" s="12"/>
      <c r="U63" s="12"/>
      <c r="V63" s="12"/>
      <c r="W63" s="12"/>
      <c r="X63" s="12"/>
      <c r="AR63" s="12" t="s">
        <v>380</v>
      </c>
      <c r="AS63" s="12" t="s">
        <v>381</v>
      </c>
      <c r="AT63" s="12"/>
    </row>
    <row r="64" spans="1:46" ht="13.5" customHeight="1">
      <c r="A64" s="4" t="s">
        <v>487</v>
      </c>
      <c r="D64" s="4" t="s">
        <v>378</v>
      </c>
      <c r="E64" s="4" t="s">
        <v>75</v>
      </c>
      <c r="F64" s="12">
        <v>2</v>
      </c>
      <c r="G64" s="12">
        <v>2</v>
      </c>
      <c r="H64" s="12">
        <v>0</v>
      </c>
      <c r="I64" s="12">
        <v>31</v>
      </c>
      <c r="J64" s="12">
        <f t="shared" si="2"/>
        <v>2</v>
      </c>
      <c r="K64" s="1"/>
      <c r="L64" s="12"/>
      <c r="M64" s="12"/>
      <c r="N64" s="1"/>
      <c r="O64"/>
      <c r="P64" s="12"/>
      <c r="Q64" s="12"/>
      <c r="R64" s="12"/>
      <c r="S64" s="12"/>
      <c r="T64" s="12"/>
      <c r="U64" s="12"/>
      <c r="V64" s="12"/>
      <c r="W64" s="12"/>
      <c r="X64" s="12"/>
      <c r="AR64" s="12" t="s">
        <v>380</v>
      </c>
      <c r="AS64" s="12" t="s">
        <v>381</v>
      </c>
      <c r="AT64" s="12"/>
    </row>
    <row r="65" spans="1:46" ht="13.5" customHeight="1">
      <c r="A65" s="4" t="s">
        <v>444</v>
      </c>
      <c r="D65" s="4" t="s">
        <v>445</v>
      </c>
      <c r="E65" s="4" t="s">
        <v>446</v>
      </c>
      <c r="F65" s="12">
        <v>2</v>
      </c>
      <c r="G65" s="12">
        <v>8</v>
      </c>
      <c r="H65" s="12">
        <v>0</v>
      </c>
      <c r="I65" s="12">
        <v>150</v>
      </c>
      <c r="J65" s="12">
        <f t="shared" si="2"/>
        <v>8</v>
      </c>
      <c r="K65" s="12" t="s">
        <v>179</v>
      </c>
      <c r="L65" s="12"/>
      <c r="M65" s="12"/>
      <c r="N65" s="1"/>
      <c r="O65"/>
      <c r="P65" s="12"/>
      <c r="Q65" s="12"/>
      <c r="R65" s="12"/>
      <c r="S65" s="12"/>
      <c r="T65" s="12"/>
      <c r="U65" s="12"/>
      <c r="V65" s="12">
        <v>3500</v>
      </c>
      <c r="W65" s="12" t="s">
        <v>179</v>
      </c>
      <c r="X65" s="12"/>
      <c r="AR65" s="12"/>
      <c r="AS65" s="12"/>
      <c r="AT65" s="12"/>
    </row>
    <row r="66" spans="1:46" ht="13.5" customHeight="1">
      <c r="A66" s="4" t="s">
        <v>447</v>
      </c>
      <c r="D66" s="4" t="s">
        <v>445</v>
      </c>
      <c r="E66" s="4" t="s">
        <v>448</v>
      </c>
      <c r="F66" s="12">
        <v>4</v>
      </c>
      <c r="G66" s="12">
        <v>4</v>
      </c>
      <c r="H66" s="12">
        <v>0</v>
      </c>
      <c r="I66" s="12">
        <v>21</v>
      </c>
      <c r="J66" s="12">
        <f t="shared" si="2"/>
        <v>4</v>
      </c>
      <c r="K66" s="12" t="s">
        <v>179</v>
      </c>
      <c r="L66" s="12"/>
      <c r="M66" s="12"/>
      <c r="N66" s="1"/>
      <c r="O66"/>
      <c r="P66" s="12"/>
      <c r="Q66" s="12"/>
      <c r="R66" s="12"/>
      <c r="S66" s="12"/>
      <c r="T66" s="12"/>
      <c r="U66" s="12"/>
      <c r="V66" s="12"/>
      <c r="W66" s="12"/>
      <c r="X66" s="12"/>
      <c r="AR66" s="12"/>
      <c r="AS66" s="12"/>
      <c r="AT66" s="12"/>
    </row>
    <row r="67" spans="1:46" ht="13.5" customHeight="1">
      <c r="A67" s="4" t="s">
        <v>488</v>
      </c>
      <c r="C67" s="4" t="s">
        <v>387</v>
      </c>
      <c r="D67" s="4" t="s">
        <v>378</v>
      </c>
      <c r="E67" s="4" t="s">
        <v>87</v>
      </c>
      <c r="F67" s="12">
        <v>8</v>
      </c>
      <c r="G67" s="12">
        <v>24</v>
      </c>
      <c r="H67" s="12">
        <v>0</v>
      </c>
      <c r="I67" s="12">
        <v>71</v>
      </c>
      <c r="J67" s="12">
        <f t="shared" si="2"/>
        <v>24</v>
      </c>
      <c r="K67" s="12"/>
      <c r="L67" s="12"/>
      <c r="M67" s="12"/>
      <c r="N67" s="1"/>
      <c r="O67"/>
      <c r="P67" s="12"/>
      <c r="Q67" s="12"/>
      <c r="R67" s="12"/>
      <c r="S67" s="12"/>
      <c r="T67" s="12"/>
      <c r="U67" s="12"/>
      <c r="V67" s="12"/>
      <c r="W67" s="12"/>
      <c r="X67" s="12"/>
      <c r="AF67" s="12">
        <v>115</v>
      </c>
      <c r="AG67" s="82" t="s">
        <v>489</v>
      </c>
      <c r="AH67" s="82"/>
      <c r="AI67" s="82"/>
      <c r="AJ67" s="82"/>
      <c r="AK67" s="82"/>
      <c r="AL67" s="82"/>
      <c r="AM67" s="82"/>
      <c r="AN67" s="82"/>
      <c r="AO67" s="82"/>
      <c r="AR67" s="12" t="s">
        <v>380</v>
      </c>
      <c r="AS67" s="12" t="s">
        <v>381</v>
      </c>
      <c r="AT67" s="12"/>
    </row>
    <row r="68" spans="1:46" ht="13.5" customHeight="1">
      <c r="A68" s="4" t="s">
        <v>490</v>
      </c>
      <c r="C68" s="4" t="s">
        <v>387</v>
      </c>
      <c r="D68" s="4" t="s">
        <v>378</v>
      </c>
      <c r="E68" s="13" t="s">
        <v>99</v>
      </c>
      <c r="F68" s="12">
        <v>2</v>
      </c>
      <c r="G68" s="12">
        <v>10</v>
      </c>
      <c r="H68" s="12">
        <v>0</v>
      </c>
      <c r="I68" s="12">
        <v>60</v>
      </c>
      <c r="J68" s="12">
        <f t="shared" ref="J68" si="3">G68-H68</f>
        <v>10</v>
      </c>
      <c r="K68" s="12"/>
      <c r="L68" s="12"/>
      <c r="M68" s="12"/>
      <c r="N68" s="1"/>
      <c r="O68"/>
      <c r="P68" s="12"/>
      <c r="Q68" s="12"/>
      <c r="R68" s="12"/>
      <c r="S68" s="12"/>
      <c r="T68" s="12"/>
      <c r="U68" s="12"/>
      <c r="V68" s="12"/>
      <c r="W68" s="12"/>
      <c r="X68" s="12"/>
      <c r="AF68" s="12"/>
      <c r="AG68" s="82"/>
      <c r="AH68" s="82"/>
      <c r="AI68" s="82"/>
      <c r="AJ68" s="82"/>
      <c r="AK68" s="82"/>
      <c r="AL68" s="82"/>
      <c r="AM68" s="82"/>
      <c r="AN68" s="82"/>
      <c r="AO68" s="82"/>
      <c r="AR68" s="12" t="s">
        <v>380</v>
      </c>
      <c r="AS68" s="12" t="s">
        <v>381</v>
      </c>
      <c r="AT68" s="12"/>
    </row>
    <row r="69" spans="1:46" ht="13.5" customHeight="1">
      <c r="A69" s="4" t="s">
        <v>491</v>
      </c>
      <c r="C69" s="4" t="s">
        <v>387</v>
      </c>
      <c r="D69" s="4" t="s">
        <v>378</v>
      </c>
      <c r="E69" s="4" t="s">
        <v>102</v>
      </c>
      <c r="F69" s="12">
        <v>16</v>
      </c>
      <c r="G69" s="12">
        <v>32</v>
      </c>
      <c r="H69" s="12">
        <v>0</v>
      </c>
      <c r="I69" s="12">
        <v>70</v>
      </c>
      <c r="J69" s="12">
        <f t="shared" ref="J69" si="4">G69-H69</f>
        <v>32</v>
      </c>
      <c r="K69" s="82" t="s">
        <v>469</v>
      </c>
      <c r="N69" s="93"/>
      <c r="O69"/>
      <c r="P69" s="12"/>
      <c r="Q69" s="12"/>
      <c r="R69" s="12"/>
      <c r="S69" s="12"/>
      <c r="T69" s="12"/>
      <c r="U69" s="12"/>
      <c r="V69" s="128"/>
      <c r="W69" s="128"/>
      <c r="X69" s="12"/>
      <c r="AJ69" s="12">
        <v>135</v>
      </c>
      <c r="AK69" s="12" t="s">
        <v>492</v>
      </c>
      <c r="AL69" s="12">
        <v>5</v>
      </c>
      <c r="AM69" s="12" t="s">
        <v>492</v>
      </c>
      <c r="AR69" s="12" t="s">
        <v>380</v>
      </c>
      <c r="AS69" s="12" t="s">
        <v>381</v>
      </c>
      <c r="AT69" s="12"/>
    </row>
    <row r="70" spans="1:46" s="17" customFormat="1" ht="13.5" customHeight="1">
      <c r="A70" s="17" t="s">
        <v>493</v>
      </c>
      <c r="C70" s="17" t="s">
        <v>387</v>
      </c>
      <c r="D70" s="17" t="s">
        <v>378</v>
      </c>
      <c r="E70" s="17" t="s">
        <v>102</v>
      </c>
      <c r="F70" s="15">
        <v>16</v>
      </c>
      <c r="G70" s="15">
        <v>32</v>
      </c>
      <c r="H70" s="15">
        <v>0</v>
      </c>
      <c r="I70" s="15">
        <v>70</v>
      </c>
      <c r="J70" s="15">
        <f t="shared" ref="J70" si="5">G70-H70</f>
        <v>32</v>
      </c>
      <c r="K70" s="36" t="s">
        <v>470</v>
      </c>
      <c r="N70" s="94"/>
      <c r="O70" s="95"/>
      <c r="P70" s="15"/>
      <c r="Q70" s="15"/>
      <c r="R70" s="15"/>
      <c r="S70" s="15"/>
      <c r="T70" s="15"/>
      <c r="U70" s="15"/>
      <c r="V70" s="129"/>
      <c r="W70" s="129"/>
      <c r="X70" s="15"/>
      <c r="AJ70" s="15"/>
      <c r="AK70" s="15"/>
      <c r="AL70" s="15"/>
      <c r="AN70" s="15">
        <v>760</v>
      </c>
      <c r="AO70" s="15" t="s">
        <v>492</v>
      </c>
      <c r="AR70" s="15" t="s">
        <v>380</v>
      </c>
      <c r="AS70" s="15" t="s">
        <v>381</v>
      </c>
      <c r="AT70" s="15"/>
    </row>
    <row r="71" spans="1:46" ht="13.5" customHeight="1">
      <c r="F71" s="12">
        <f>SUM(F47:F70)+F34</f>
        <v>209</v>
      </c>
      <c r="G71" s="12">
        <f>SUM(G47:G70)+G34</f>
        <v>494</v>
      </c>
      <c r="H71" s="12">
        <f>SUM(H47:H70)+H34</f>
        <v>110</v>
      </c>
      <c r="I71" s="12">
        <f>SUM(I47:I70)+I34</f>
        <v>4046</v>
      </c>
      <c r="J71" s="12"/>
      <c r="K71" s="12"/>
      <c r="L71" s="12">
        <f>SUM(L47:L70)+L34</f>
        <v>66</v>
      </c>
      <c r="M71" s="12"/>
      <c r="N71" s="12">
        <f>SUM(N47:N70)+N30</f>
        <v>750</v>
      </c>
      <c r="O71"/>
      <c r="P71" s="12">
        <f>SUM(P47:P70)+P30</f>
        <v>1125</v>
      </c>
      <c r="Q71" s="12"/>
      <c r="R71" s="12">
        <f>SUM(R47:R70)+R30</f>
        <v>340</v>
      </c>
      <c r="S71" s="12"/>
      <c r="T71" s="12">
        <f>SUM(T47:T70)+T30</f>
        <v>300</v>
      </c>
      <c r="U71" s="12"/>
      <c r="V71" s="12">
        <f>SUM(V47:V70)+V30</f>
        <v>3500</v>
      </c>
      <c r="W71" s="12"/>
      <c r="X71" s="12">
        <f>SUM(X47:X70)+X30</f>
        <v>3050</v>
      </c>
      <c r="Z71" s="12">
        <f>SUM(Z47:Z70)+Z30</f>
        <v>100</v>
      </c>
      <c r="AB71" s="12">
        <f>SUM(AB47:AB70)+AB30</f>
        <v>50</v>
      </c>
      <c r="AD71" s="12">
        <f>SUM(AD47:AD70)+AD30</f>
        <v>65</v>
      </c>
      <c r="AF71" s="12">
        <f>SUM(AF47:AF70)+AF30</f>
        <v>115</v>
      </c>
      <c r="AH71" s="12">
        <f>SUM(AH47:AH70)+AH30</f>
        <v>200</v>
      </c>
      <c r="AJ71" s="12">
        <f>SUM(AJ47:AJ70)+AJ30</f>
        <v>135</v>
      </c>
      <c r="AL71" s="12">
        <f>SUM(AL47:AL70)+AL30</f>
        <v>5</v>
      </c>
      <c r="AN71" s="12">
        <f>SUM(AN47:AN70)+AN30</f>
        <v>760</v>
      </c>
      <c r="AP71" s="12">
        <f>SUM(AP47:AP70)+AP30</f>
        <v>2500</v>
      </c>
      <c r="AR71" s="12"/>
      <c r="AS71" s="12" t="s">
        <v>494</v>
      </c>
      <c r="AT71" s="12">
        <v>3</v>
      </c>
    </row>
    <row r="72" spans="1:46" ht="13.5" customHeight="1">
      <c r="F72" s="12"/>
      <c r="G72" s="12"/>
      <c r="H72" s="12"/>
      <c r="I72" s="12"/>
      <c r="J72" s="12"/>
      <c r="K72" s="12"/>
      <c r="L72" s="12"/>
      <c r="M72" s="12"/>
      <c r="N72" s="1"/>
      <c r="O72"/>
      <c r="P72" s="12"/>
      <c r="Q72" s="12"/>
      <c r="R72" s="12"/>
      <c r="S72" s="12"/>
      <c r="T72" s="12"/>
      <c r="U72" s="12"/>
      <c r="V72" s="12"/>
      <c r="W72" s="12"/>
      <c r="X72" s="12"/>
      <c r="AR72" s="12"/>
      <c r="AS72" s="12"/>
      <c r="AT72" s="12"/>
    </row>
    <row r="73" spans="1:46" ht="13.5" customHeight="1">
      <c r="A73" s="14" t="s">
        <v>495</v>
      </c>
      <c r="F73" s="12"/>
      <c r="G73" s="12"/>
      <c r="H73" s="12"/>
      <c r="I73" s="12"/>
      <c r="J73" s="12"/>
      <c r="K73" s="12"/>
      <c r="L73" s="12"/>
      <c r="M73" s="12"/>
      <c r="N73" s="1"/>
      <c r="O73"/>
      <c r="P73" s="12"/>
      <c r="Q73" s="12"/>
      <c r="R73" s="12"/>
      <c r="S73" s="12"/>
      <c r="T73" s="12"/>
      <c r="U73" s="12"/>
      <c r="V73" s="12"/>
      <c r="W73" s="12"/>
      <c r="X73" s="12"/>
      <c r="AR73" s="12"/>
      <c r="AS73" s="12"/>
      <c r="AT73" s="12"/>
    </row>
    <row r="74" spans="1:46" ht="13.5" customHeight="1">
      <c r="A74" s="4" t="s">
        <v>496</v>
      </c>
      <c r="C74" s="4" t="s">
        <v>497</v>
      </c>
      <c r="D74" s="4" t="s">
        <v>445</v>
      </c>
      <c r="E74" s="4" t="s">
        <v>498</v>
      </c>
      <c r="F74" s="12">
        <v>4</v>
      </c>
      <c r="G74" s="12">
        <v>4</v>
      </c>
      <c r="H74" s="12">
        <v>0</v>
      </c>
      <c r="I74" s="12">
        <v>25</v>
      </c>
      <c r="J74" s="12">
        <f>G74-H74</f>
        <v>4</v>
      </c>
      <c r="K74" s="82" t="s">
        <v>499</v>
      </c>
      <c r="N74" s="93"/>
      <c r="O74"/>
      <c r="P74" s="12"/>
      <c r="Q74" s="12"/>
      <c r="R74" s="12"/>
      <c r="S74" s="12"/>
      <c r="T74" s="12"/>
      <c r="U74" s="12"/>
      <c r="V74" s="128"/>
      <c r="W74" s="128"/>
      <c r="X74" s="12"/>
      <c r="AR74" s="12" t="s">
        <v>380</v>
      </c>
      <c r="AS74" s="12" t="s">
        <v>381</v>
      </c>
      <c r="AT74" s="12"/>
    </row>
    <row r="75" spans="1:46" s="17" customFormat="1" ht="13.5" customHeight="1">
      <c r="A75" s="17" t="s">
        <v>500</v>
      </c>
      <c r="C75" s="17" t="s">
        <v>497</v>
      </c>
      <c r="D75" s="17" t="s">
        <v>445</v>
      </c>
      <c r="E75" s="17" t="s">
        <v>501</v>
      </c>
      <c r="F75" s="15">
        <v>4</v>
      </c>
      <c r="G75" s="15">
        <v>4</v>
      </c>
      <c r="H75" s="15">
        <v>0</v>
      </c>
      <c r="I75" s="15">
        <v>25</v>
      </c>
      <c r="J75" s="15">
        <f>G75-H75</f>
        <v>4</v>
      </c>
      <c r="K75" s="36" t="s">
        <v>499</v>
      </c>
      <c r="V75" s="129"/>
      <c r="W75" s="129"/>
      <c r="AJ75" s="15"/>
      <c r="AK75" s="15"/>
      <c r="AL75" s="15"/>
      <c r="AN75" s="15"/>
      <c r="AR75" s="15" t="s">
        <v>380</v>
      </c>
      <c r="AS75" s="15" t="s">
        <v>381</v>
      </c>
    </row>
    <row r="76" spans="1:46">
      <c r="F76" s="12">
        <f>SUM(F74:F75)+F71</f>
        <v>217</v>
      </c>
      <c r="G76" s="12">
        <f>SUM(G74:G75)+G71</f>
        <v>502</v>
      </c>
      <c r="H76" s="12">
        <f>SUM(H74:H75)+H71</f>
        <v>110</v>
      </c>
      <c r="I76" s="12">
        <f>SUM(I74:I75)+I71</f>
        <v>4096</v>
      </c>
      <c r="J76" s="12"/>
      <c r="K76" s="12"/>
      <c r="L76" s="12">
        <f>SUM(L74:L75)+L71</f>
        <v>66</v>
      </c>
      <c r="M76" s="12"/>
      <c r="N76" s="12">
        <f>SUM(N74:N75)+N71</f>
        <v>750</v>
      </c>
      <c r="O76" s="12"/>
      <c r="P76" s="12">
        <f>SUM(P74:P75)+P71</f>
        <v>1125</v>
      </c>
      <c r="Q76" s="12"/>
      <c r="R76" s="12">
        <f>SUM(R74:R75)+R71</f>
        <v>340</v>
      </c>
      <c r="S76" s="12"/>
      <c r="T76" s="12">
        <f>SUM(T74:T75)+T71</f>
        <v>300</v>
      </c>
      <c r="U76" s="12"/>
      <c r="V76" s="12">
        <f>SUM(V74:V75)+V71</f>
        <v>3500</v>
      </c>
      <c r="W76" s="12"/>
      <c r="X76" s="12">
        <f>SUM(X74:X75)+X71</f>
        <v>3050</v>
      </c>
      <c r="Z76" s="12">
        <f>SUM(Z74:Z75)+Z71</f>
        <v>100</v>
      </c>
      <c r="AB76" s="12">
        <f>SUM(AB74:AB75)+AB71</f>
        <v>50</v>
      </c>
      <c r="AD76" s="12">
        <f>SUM(AD74:AD75)+AD71</f>
        <v>65</v>
      </c>
      <c r="AF76" s="12">
        <f>SUM(AF74:AF75)+AF71</f>
        <v>115</v>
      </c>
      <c r="AH76" s="12">
        <f>SUM(AH74:AH75)+AH71</f>
        <v>200</v>
      </c>
      <c r="AJ76" s="12">
        <f>SUM(AJ74:AJ75)+AJ71</f>
        <v>135</v>
      </c>
      <c r="AL76" s="12">
        <f>SUM(AL74:AL75)+AL71</f>
        <v>5</v>
      </c>
      <c r="AN76" s="12">
        <f>SUM(AN74:AN75)+AN71</f>
        <v>760</v>
      </c>
      <c r="AP76" s="12">
        <f>SUM(AP74:AP75)+AP71</f>
        <v>2500</v>
      </c>
      <c r="AS76" s="12" t="s">
        <v>502</v>
      </c>
      <c r="AT76" s="12">
        <f>3</f>
        <v>3</v>
      </c>
    </row>
    <row r="78" spans="1:46" ht="13">
      <c r="A78" s="14" t="s">
        <v>503</v>
      </c>
      <c r="L78" s="82"/>
      <c r="M78" s="82"/>
      <c r="N78" s="82"/>
      <c r="O78" s="82"/>
      <c r="P78" s="82"/>
      <c r="Q78" s="82"/>
      <c r="R78" s="82"/>
      <c r="S78" s="82"/>
      <c r="T78" s="82"/>
      <c r="U78" s="82"/>
      <c r="V78" s="12"/>
      <c r="W78" s="12"/>
      <c r="X78" s="12"/>
      <c r="AR78" s="12" t="s">
        <v>380</v>
      </c>
      <c r="AS78" s="12" t="s">
        <v>381</v>
      </c>
      <c r="AT78" s="12"/>
    </row>
    <row r="79" spans="1:46">
      <c r="A79" s="4" t="s">
        <v>504</v>
      </c>
      <c r="C79" s="4" t="s">
        <v>505</v>
      </c>
      <c r="D79" s="4" t="s">
        <v>506</v>
      </c>
      <c r="E79" s="4" t="s">
        <v>19</v>
      </c>
      <c r="F79" s="12">
        <v>2</v>
      </c>
      <c r="G79" s="12">
        <v>4</v>
      </c>
      <c r="H79" s="12">
        <v>4</v>
      </c>
      <c r="I79" s="12">
        <v>350</v>
      </c>
      <c r="J79" s="12">
        <f t="shared" ref="J79:J88" si="6">G79-H79</f>
        <v>0</v>
      </c>
      <c r="K79" s="82" t="s">
        <v>507</v>
      </c>
      <c r="L79" s="82"/>
      <c r="M79" s="82"/>
      <c r="N79" s="82">
        <v>200</v>
      </c>
      <c r="O79" s="82" t="s">
        <v>508</v>
      </c>
      <c r="P79" s="82"/>
      <c r="Q79" s="82"/>
      <c r="R79" s="82"/>
      <c r="S79" s="82"/>
      <c r="T79" s="82"/>
      <c r="U79" s="82"/>
      <c r="V79" s="12"/>
      <c r="W79" s="12"/>
      <c r="X79" s="12"/>
      <c r="AR79" s="12" t="s">
        <v>380</v>
      </c>
      <c r="AS79" s="12" t="s">
        <v>381</v>
      </c>
      <c r="AT79" s="12"/>
    </row>
    <row r="80" spans="1:46">
      <c r="A80" s="4" t="s">
        <v>509</v>
      </c>
      <c r="C80" s="4" t="s">
        <v>505</v>
      </c>
      <c r="D80" s="4" t="s">
        <v>506</v>
      </c>
      <c r="E80" s="4" t="s">
        <v>510</v>
      </c>
      <c r="F80" s="12">
        <v>6</v>
      </c>
      <c r="G80" s="12">
        <v>10</v>
      </c>
      <c r="H80" s="12">
        <v>10</v>
      </c>
      <c r="I80" s="12">
        <v>100</v>
      </c>
      <c r="J80" s="12">
        <f t="shared" si="6"/>
        <v>0</v>
      </c>
      <c r="K80" s="82" t="s">
        <v>507</v>
      </c>
      <c r="L80" s="82"/>
      <c r="M80" s="82"/>
      <c r="N80" s="82"/>
      <c r="O80" s="82"/>
      <c r="P80" s="82"/>
      <c r="Q80" s="82"/>
      <c r="R80" s="82"/>
      <c r="S80" s="82"/>
      <c r="T80" s="82"/>
      <c r="U80" s="82"/>
      <c r="V80" s="12"/>
      <c r="W80" s="12"/>
      <c r="X80" s="12"/>
      <c r="AR80" s="12" t="s">
        <v>396</v>
      </c>
      <c r="AS80" s="12" t="s">
        <v>397</v>
      </c>
      <c r="AT80" s="12"/>
    </row>
    <row r="81" spans="1:46">
      <c r="A81" s="4" t="s">
        <v>511</v>
      </c>
      <c r="C81" s="4" t="s">
        <v>505</v>
      </c>
      <c r="D81" s="4" t="s">
        <v>506</v>
      </c>
      <c r="E81" s="4" t="s">
        <v>512</v>
      </c>
      <c r="F81" s="12">
        <v>8</v>
      </c>
      <c r="G81" s="12">
        <v>16</v>
      </c>
      <c r="H81" s="12">
        <v>16</v>
      </c>
      <c r="I81" s="12">
        <v>60</v>
      </c>
      <c r="J81" s="12">
        <f t="shared" si="6"/>
        <v>0</v>
      </c>
      <c r="K81" s="82" t="s">
        <v>513</v>
      </c>
      <c r="L81" s="82"/>
      <c r="M81" s="82"/>
      <c r="N81" s="82"/>
      <c r="O81" s="82"/>
      <c r="P81" s="82"/>
      <c r="Q81" s="82"/>
      <c r="R81" s="82"/>
      <c r="S81" s="82"/>
      <c r="T81" s="82"/>
      <c r="U81" s="82"/>
      <c r="V81" s="12"/>
      <c r="W81" s="12"/>
      <c r="X81" s="12"/>
      <c r="AR81" s="12" t="s">
        <v>396</v>
      </c>
      <c r="AS81" s="12" t="s">
        <v>397</v>
      </c>
      <c r="AT81" s="12"/>
    </row>
    <row r="82" spans="1:46">
      <c r="A82" s="4" t="s">
        <v>514</v>
      </c>
      <c r="C82" s="4" t="s">
        <v>505</v>
      </c>
      <c r="D82" s="4" t="s">
        <v>506</v>
      </c>
      <c r="E82" s="4" t="s">
        <v>515</v>
      </c>
      <c r="F82" s="12">
        <v>10</v>
      </c>
      <c r="G82" s="12">
        <v>10</v>
      </c>
      <c r="H82" s="12">
        <v>10</v>
      </c>
      <c r="I82" s="12">
        <v>40</v>
      </c>
      <c r="J82" s="12">
        <f t="shared" si="6"/>
        <v>0</v>
      </c>
      <c r="K82" s="82" t="s">
        <v>513</v>
      </c>
      <c r="L82" s="82"/>
      <c r="M82" s="82"/>
      <c r="N82" s="82"/>
      <c r="O82" s="82"/>
      <c r="P82" s="82"/>
      <c r="Q82" s="82"/>
      <c r="R82" s="82"/>
      <c r="S82" s="82"/>
      <c r="T82" s="82"/>
      <c r="U82" s="82"/>
      <c r="V82" s="12"/>
      <c r="W82" s="12"/>
      <c r="X82" s="12"/>
      <c r="AR82" s="12" t="s">
        <v>396</v>
      </c>
      <c r="AS82" s="12" t="s">
        <v>397</v>
      </c>
      <c r="AT82" s="12"/>
    </row>
    <row r="83" spans="1:46">
      <c r="A83" s="4" t="s">
        <v>516</v>
      </c>
      <c r="C83" s="4" t="s">
        <v>505</v>
      </c>
      <c r="D83" s="4" t="s">
        <v>506</v>
      </c>
      <c r="E83" s="4" t="s">
        <v>517</v>
      </c>
      <c r="F83" s="12">
        <v>4</v>
      </c>
      <c r="G83" s="12">
        <v>16</v>
      </c>
      <c r="H83" s="12">
        <v>0</v>
      </c>
      <c r="I83" s="12">
        <v>550</v>
      </c>
      <c r="J83" s="12">
        <f t="shared" si="6"/>
        <v>16</v>
      </c>
      <c r="K83" s="82" t="s">
        <v>518</v>
      </c>
      <c r="L83" s="82"/>
      <c r="M83" s="82"/>
      <c r="N83" s="82"/>
      <c r="O83" s="82"/>
      <c r="P83" s="82"/>
      <c r="Q83" s="82"/>
      <c r="R83" s="82">
        <v>50</v>
      </c>
      <c r="S83" s="82" t="s">
        <v>519</v>
      </c>
      <c r="T83" s="82"/>
      <c r="U83" s="82"/>
      <c r="V83" s="12"/>
      <c r="W83" s="12"/>
      <c r="X83" s="12"/>
      <c r="AR83" s="12" t="s">
        <v>380</v>
      </c>
      <c r="AS83" s="12" t="s">
        <v>381</v>
      </c>
      <c r="AT83" s="12"/>
    </row>
    <row r="84" spans="1:46">
      <c r="A84" s="4" t="s">
        <v>520</v>
      </c>
      <c r="C84" s="4" t="s">
        <v>505</v>
      </c>
      <c r="D84" s="4" t="s">
        <v>506</v>
      </c>
      <c r="E84" s="4" t="s">
        <v>521</v>
      </c>
      <c r="F84" s="12">
        <v>2</v>
      </c>
      <c r="G84" s="12">
        <v>4</v>
      </c>
      <c r="H84" s="12">
        <v>4</v>
      </c>
      <c r="I84" s="12">
        <v>40</v>
      </c>
      <c r="J84" s="12">
        <f t="shared" si="6"/>
        <v>0</v>
      </c>
      <c r="K84" s="82" t="s">
        <v>513</v>
      </c>
      <c r="L84" s="82"/>
      <c r="M84" s="82"/>
      <c r="N84" s="82"/>
      <c r="O84" s="82"/>
      <c r="P84" s="82"/>
      <c r="Q84" s="82"/>
      <c r="R84" s="82"/>
      <c r="S84" s="82"/>
      <c r="T84" s="82"/>
      <c r="U84" s="82"/>
      <c r="V84" s="12"/>
      <c r="W84" s="12"/>
      <c r="X84" s="12"/>
      <c r="AR84" s="12" t="s">
        <v>380</v>
      </c>
      <c r="AS84" s="12" t="s">
        <v>381</v>
      </c>
      <c r="AT84" s="12"/>
    </row>
    <row r="85" spans="1:46">
      <c r="A85" s="4" t="s">
        <v>522</v>
      </c>
      <c r="C85" s="4" t="s">
        <v>523</v>
      </c>
      <c r="D85" s="4" t="s">
        <v>506</v>
      </c>
      <c r="E85" s="4" t="s">
        <v>63</v>
      </c>
      <c r="F85" s="12">
        <v>4</v>
      </c>
      <c r="G85" s="12">
        <v>16</v>
      </c>
      <c r="H85" s="12">
        <v>0</v>
      </c>
      <c r="I85" s="12">
        <v>80</v>
      </c>
      <c r="J85" s="12">
        <f t="shared" si="6"/>
        <v>16</v>
      </c>
      <c r="K85" s="82" t="s">
        <v>524</v>
      </c>
      <c r="L85" s="82"/>
      <c r="M85" s="82"/>
      <c r="N85" s="82"/>
      <c r="O85" s="82"/>
      <c r="P85" s="82"/>
      <c r="Q85" s="82"/>
      <c r="R85" s="82"/>
      <c r="S85" s="82"/>
      <c r="T85" s="82"/>
      <c r="U85" s="82"/>
      <c r="V85" s="12"/>
      <c r="W85" s="12"/>
      <c r="X85" s="12"/>
      <c r="AR85" s="12" t="s">
        <v>380</v>
      </c>
      <c r="AS85" s="12" t="s">
        <v>381</v>
      </c>
      <c r="AT85" s="12"/>
    </row>
    <row r="86" spans="1:46">
      <c r="A86" s="4" t="s">
        <v>525</v>
      </c>
      <c r="C86" s="4" t="s">
        <v>523</v>
      </c>
      <c r="D86" s="4" t="s">
        <v>506</v>
      </c>
      <c r="E86" s="4" t="s">
        <v>63</v>
      </c>
      <c r="F86" s="12">
        <v>4</v>
      </c>
      <c r="G86" s="12">
        <v>16</v>
      </c>
      <c r="H86" s="12">
        <v>0</v>
      </c>
      <c r="I86" s="12">
        <v>80</v>
      </c>
      <c r="J86" s="12">
        <f t="shared" si="6"/>
        <v>16</v>
      </c>
      <c r="K86" s="82" t="s">
        <v>524</v>
      </c>
      <c r="L86" s="82"/>
      <c r="M86" s="82"/>
      <c r="N86" s="82"/>
      <c r="O86" s="82"/>
      <c r="P86" s="82"/>
      <c r="Q86" s="82"/>
      <c r="R86" s="82"/>
      <c r="S86" s="82"/>
      <c r="T86" s="82"/>
      <c r="U86" s="82"/>
      <c r="V86" s="12"/>
      <c r="W86" s="12"/>
      <c r="X86" s="12"/>
      <c r="AR86" s="12" t="s">
        <v>380</v>
      </c>
      <c r="AS86" s="12" t="s">
        <v>381</v>
      </c>
      <c r="AT86" s="12"/>
    </row>
    <row r="87" spans="1:46">
      <c r="A87" s="4" t="s">
        <v>526</v>
      </c>
      <c r="C87" s="4" t="s">
        <v>527</v>
      </c>
      <c r="D87" s="4" t="s">
        <v>528</v>
      </c>
      <c r="E87" s="4" t="s">
        <v>529</v>
      </c>
      <c r="F87" s="12">
        <v>4</v>
      </c>
      <c r="G87" s="12">
        <v>8</v>
      </c>
      <c r="H87" s="12">
        <v>0</v>
      </c>
      <c r="I87" s="12">
        <v>30</v>
      </c>
      <c r="J87" s="12">
        <f t="shared" si="6"/>
        <v>8</v>
      </c>
      <c r="K87" s="82" t="s">
        <v>530</v>
      </c>
      <c r="L87" s="82"/>
      <c r="M87" s="82"/>
      <c r="N87" s="82"/>
      <c r="O87" s="82"/>
      <c r="P87" s="82"/>
      <c r="Q87" s="82"/>
      <c r="R87" s="82"/>
      <c r="S87" s="82"/>
      <c r="T87" s="82"/>
      <c r="U87" s="82"/>
      <c r="V87" s="12"/>
      <c r="W87" s="12"/>
      <c r="X87" s="12"/>
      <c r="AR87" s="12" t="s">
        <v>380</v>
      </c>
      <c r="AS87" s="12" t="s">
        <v>381</v>
      </c>
      <c r="AT87" s="12"/>
    </row>
    <row r="88" spans="1:46">
      <c r="A88" s="17" t="s">
        <v>531</v>
      </c>
      <c r="B88" s="17"/>
      <c r="C88" s="17" t="s">
        <v>532</v>
      </c>
      <c r="D88" s="17" t="s">
        <v>378</v>
      </c>
      <c r="E88" s="17" t="s">
        <v>83</v>
      </c>
      <c r="F88" s="15">
        <v>8</v>
      </c>
      <c r="G88" s="15">
        <v>6</v>
      </c>
      <c r="H88" s="15">
        <v>0</v>
      </c>
      <c r="I88" s="15">
        <v>70</v>
      </c>
      <c r="J88" s="15">
        <f t="shared" si="6"/>
        <v>6</v>
      </c>
      <c r="K88" s="36" t="s">
        <v>533</v>
      </c>
    </row>
    <row r="89" spans="1:46">
      <c r="A89" s="18"/>
      <c r="B89" s="18"/>
      <c r="C89" s="18"/>
      <c r="D89" s="18"/>
      <c r="E89" s="18"/>
      <c r="F89" s="16">
        <f>SUM(F79:F88)+F76</f>
        <v>269</v>
      </c>
      <c r="G89" s="16">
        <f>SUM(G79:G88)+G76</f>
        <v>608</v>
      </c>
      <c r="H89" s="16">
        <f>SUM(H79:H88)+H76</f>
        <v>154</v>
      </c>
      <c r="I89" s="16">
        <f>SUM(I79:I88)+I76</f>
        <v>5496</v>
      </c>
      <c r="J89" s="16"/>
      <c r="K89" s="16"/>
      <c r="L89" s="16">
        <f>SUM(L79:L88)+L76</f>
        <v>66</v>
      </c>
      <c r="M89" s="16"/>
      <c r="N89" s="16">
        <f>SUM(N79:N88)+N76</f>
        <v>950</v>
      </c>
      <c r="O89" s="16"/>
      <c r="P89" s="16">
        <f>SUM(P79:P88)+P76</f>
        <v>1125</v>
      </c>
      <c r="Q89" s="16"/>
      <c r="R89" s="16">
        <f>SUM(R79:R88)+R76</f>
        <v>390</v>
      </c>
      <c r="S89" s="16"/>
      <c r="T89" s="16">
        <f>SUM(T79:T88)+T76</f>
        <v>300</v>
      </c>
      <c r="U89" s="16"/>
      <c r="V89" s="16">
        <f>SUM(V79:V88)+V76</f>
        <v>3500</v>
      </c>
      <c r="W89" s="16"/>
      <c r="X89" s="16">
        <f>SUM(X79:X88)+X76</f>
        <v>3050</v>
      </c>
      <c r="Y89" s="16"/>
      <c r="Z89" s="16">
        <f>SUM(Z79:Z88)+Z76</f>
        <v>100</v>
      </c>
      <c r="AA89" s="16"/>
      <c r="AB89" s="16">
        <f>SUM(AB79:AB88)+AB76</f>
        <v>50</v>
      </c>
      <c r="AC89" s="16"/>
      <c r="AD89" s="16">
        <f>SUM(AD79:AD88)+AD76</f>
        <v>65</v>
      </c>
      <c r="AE89" s="16"/>
      <c r="AF89" s="16">
        <f>SUM(AF79:AF88)+AF76</f>
        <v>115</v>
      </c>
      <c r="AG89" s="16"/>
      <c r="AH89" s="16">
        <f>SUM(AH79:AH88)+AH76</f>
        <v>200</v>
      </c>
      <c r="AI89" s="16"/>
      <c r="AJ89" s="16">
        <f>SUM(AJ79:AJ88)+AJ76</f>
        <v>135</v>
      </c>
      <c r="AK89" s="16"/>
      <c r="AL89" s="16">
        <f>SUM(AL79:AL88)+AL76</f>
        <v>5</v>
      </c>
      <c r="AM89" s="16"/>
      <c r="AN89" s="16">
        <f>SUM(AN79:AN88)+AN76</f>
        <v>760</v>
      </c>
      <c r="AO89" s="16"/>
      <c r="AP89" s="16">
        <f>SUM(AP79:AP88)+AP76</f>
        <v>2500</v>
      </c>
      <c r="AQ89" s="16"/>
      <c r="AR89" s="16"/>
      <c r="AS89" s="16" t="s">
        <v>534</v>
      </c>
      <c r="AT89" s="16">
        <v>3</v>
      </c>
    </row>
    <row r="90" spans="1:46">
      <c r="F90" s="12"/>
      <c r="G90" s="12"/>
      <c r="H90" s="12"/>
      <c r="I90" s="12"/>
      <c r="J90" s="12"/>
      <c r="K90" s="12"/>
    </row>
    <row r="91" spans="1:46" ht="14.5">
      <c r="A91" s="170" t="s">
        <v>368</v>
      </c>
      <c r="B91" s="171"/>
      <c r="C91" s="171"/>
    </row>
    <row r="92" spans="1:46" ht="13">
      <c r="A92" s="91" t="s">
        <v>450</v>
      </c>
      <c r="B92" s="91" t="s">
        <v>451</v>
      </c>
      <c r="C92" s="91" t="s">
        <v>452</v>
      </c>
      <c r="D92" s="8"/>
      <c r="E92" s="8"/>
    </row>
    <row r="93" spans="1:46">
      <c r="A93" s="89" t="s">
        <v>469</v>
      </c>
      <c r="B93" s="87" cm="1">
        <f t="array" ref="B93">SUM(IF(K8:K88=A93,I8:J88,""))</f>
        <v>674</v>
      </c>
      <c r="C93" s="88">
        <v>800</v>
      </c>
    </row>
    <row r="94" spans="1:46">
      <c r="A94" s="89" t="s">
        <v>470</v>
      </c>
      <c r="B94" s="87" cm="1">
        <f t="array" ref="B94">SUM(IF(K8:K88=A94,I8:J88,""))</f>
        <v>766</v>
      </c>
      <c r="C94" s="88">
        <v>800</v>
      </c>
    </row>
    <row r="95" spans="1:46">
      <c r="A95" s="89" t="s">
        <v>472</v>
      </c>
      <c r="B95" s="87" cm="1">
        <f t="array" ref="B95">SUM(IF(K8:K88=A95,I8:J88,""),AB19,AD21)</f>
        <v>617</v>
      </c>
      <c r="C95" s="88">
        <v>850</v>
      </c>
    </row>
    <row r="96" spans="1:46">
      <c r="A96" s="89" t="s">
        <v>535</v>
      </c>
      <c r="B96" s="88">
        <v>10</v>
      </c>
      <c r="C96" s="88">
        <v>35</v>
      </c>
    </row>
    <row r="97" spans="1:3">
      <c r="A97" s="89" t="s">
        <v>536</v>
      </c>
      <c r="B97" s="88">
        <v>10</v>
      </c>
      <c r="C97" s="88">
        <v>35</v>
      </c>
    </row>
    <row r="98" spans="1:3">
      <c r="A98" s="89" t="s">
        <v>537</v>
      </c>
      <c r="B98" s="88">
        <v>10</v>
      </c>
      <c r="C98" s="88">
        <v>35</v>
      </c>
    </row>
    <row r="99" spans="1:3">
      <c r="A99" s="89" t="s">
        <v>538</v>
      </c>
      <c r="B99" s="88">
        <v>10</v>
      </c>
      <c r="C99" s="88">
        <v>35</v>
      </c>
    </row>
    <row r="100" spans="1:3">
      <c r="A100" s="89" t="s">
        <v>539</v>
      </c>
      <c r="B100" s="88">
        <v>10</v>
      </c>
      <c r="C100" s="88">
        <v>35</v>
      </c>
    </row>
    <row r="101" spans="1:3">
      <c r="A101" s="89" t="s">
        <v>454</v>
      </c>
      <c r="B101" s="88">
        <v>59.4</v>
      </c>
      <c r="C101" s="88">
        <f>L11</f>
        <v>66</v>
      </c>
    </row>
    <row r="102" spans="1:3">
      <c r="A102" s="89" t="s">
        <v>455</v>
      </c>
      <c r="B102" s="103">
        <f>VLOOKUP(N11,B127:G128,2,FALSE)</f>
        <v>675</v>
      </c>
      <c r="C102" s="103">
        <f>N11</f>
        <v>750</v>
      </c>
    </row>
    <row r="103" spans="1:3">
      <c r="A103" s="89" t="s">
        <v>456</v>
      </c>
      <c r="B103" s="103">
        <f>VLOOKUP(N11,B127:G128,6,FALSE)</f>
        <v>1012.5</v>
      </c>
      <c r="C103" s="103">
        <f>P11</f>
        <v>1125</v>
      </c>
    </row>
    <row r="104" spans="1:3">
      <c r="A104" s="89" t="s">
        <v>189</v>
      </c>
      <c r="B104" s="88">
        <v>312</v>
      </c>
      <c r="C104" s="88">
        <v>340</v>
      </c>
    </row>
    <row r="105" spans="1:3">
      <c r="A105" s="89" t="s">
        <v>194</v>
      </c>
      <c r="B105" s="88">
        <v>270</v>
      </c>
      <c r="C105" s="88">
        <v>300</v>
      </c>
    </row>
    <row r="106" spans="1:3">
      <c r="A106" s="89" t="s">
        <v>457</v>
      </c>
      <c r="B106" s="88">
        <v>90</v>
      </c>
      <c r="C106" s="88">
        <v>150</v>
      </c>
    </row>
    <row r="107" spans="1:3">
      <c r="A107" s="89" t="s">
        <v>421</v>
      </c>
      <c r="B107" s="88">
        <v>150</v>
      </c>
      <c r="C107" s="88">
        <v>200</v>
      </c>
    </row>
    <row r="108" spans="1:3">
      <c r="A108" s="89" t="s">
        <v>458</v>
      </c>
      <c r="B108" s="103">
        <f>X11*0.9+X12*0.9+SUM(I65:J66) + V65</f>
        <v>6428</v>
      </c>
      <c r="C108" s="103">
        <f>VLOOKUP(N11,B127:J128,8,FALSE)</f>
        <v>6550</v>
      </c>
    </row>
    <row r="109" spans="1:3">
      <c r="A109" s="89" t="s">
        <v>540</v>
      </c>
      <c r="B109" s="88">
        <v>2048</v>
      </c>
      <c r="C109" s="88">
        <v>2500</v>
      </c>
    </row>
    <row r="110" spans="1:3">
      <c r="A110" s="89" t="s">
        <v>468</v>
      </c>
      <c r="B110" s="103">
        <f>SUM(I8:J9)</f>
        <v>984</v>
      </c>
      <c r="C110" s="103">
        <f>IF(E9="vCSA8.0", 1100, 900)</f>
        <v>1100</v>
      </c>
    </row>
    <row r="111" spans="1:3">
      <c r="A111" s="109" t="s">
        <v>489</v>
      </c>
      <c r="B111" s="107">
        <v>100</v>
      </c>
      <c r="C111" s="110">
        <v>115</v>
      </c>
    </row>
    <row r="112" spans="1:3">
      <c r="A112" s="134" t="s">
        <v>499</v>
      </c>
      <c r="B112" s="16">
        <v>58</v>
      </c>
      <c r="C112" s="135">
        <v>100</v>
      </c>
    </row>
    <row r="113" spans="1:10">
      <c r="A113" s="109" t="s">
        <v>492</v>
      </c>
      <c r="B113" s="107">
        <v>824.5</v>
      </c>
      <c r="C113" s="110">
        <v>900</v>
      </c>
      <c r="D113" s="12"/>
    </row>
    <row r="114" spans="1:10">
      <c r="A114" s="72" t="s">
        <v>541</v>
      </c>
      <c r="B114" s="12"/>
      <c r="C114" s="12"/>
      <c r="D114" s="12"/>
    </row>
    <row r="115" spans="1:10">
      <c r="B115" s="12"/>
      <c r="C115" s="12"/>
      <c r="D115" s="12"/>
    </row>
    <row r="116" spans="1:10">
      <c r="B116" s="12"/>
      <c r="C116" s="12"/>
      <c r="D116" s="12"/>
    </row>
    <row r="117" spans="1:10">
      <c r="B117" s="12"/>
      <c r="C117" s="12"/>
      <c r="D117" s="12"/>
    </row>
    <row r="118" spans="1:10">
      <c r="B118" s="12"/>
      <c r="C118" s="12"/>
    </row>
    <row r="119" spans="1:10">
      <c r="B119" s="12"/>
      <c r="C119" s="12"/>
    </row>
    <row r="120" spans="1:10">
      <c r="D120" s="97"/>
      <c r="E120" s="97"/>
      <c r="F120" s="97"/>
      <c r="G120" s="97"/>
    </row>
    <row r="121" spans="1:10" ht="13">
      <c r="A121" s="97"/>
      <c r="B121" s="98" t="s">
        <v>179</v>
      </c>
      <c r="C121" s="97"/>
      <c r="D121" s="97"/>
      <c r="E121" s="97"/>
      <c r="F121" s="97"/>
      <c r="G121" s="97"/>
    </row>
    <row r="122" spans="1:10">
      <c r="A122" s="126" t="s">
        <v>542</v>
      </c>
      <c r="B122" s="97">
        <v>1500</v>
      </c>
      <c r="C122" s="97"/>
      <c r="D122" s="97"/>
      <c r="E122" s="97"/>
      <c r="F122" s="97"/>
      <c r="G122" s="97"/>
    </row>
    <row r="123" spans="1:10">
      <c r="A123" s="126" t="s">
        <v>543</v>
      </c>
      <c r="B123" s="97">
        <v>3000</v>
      </c>
      <c r="C123" s="97"/>
      <c r="D123" s="97"/>
      <c r="E123" s="97"/>
      <c r="F123" s="97"/>
      <c r="G123" s="97"/>
    </row>
    <row r="124" spans="1:10">
      <c r="A124" s="97"/>
      <c r="B124" s="97"/>
      <c r="C124" s="97"/>
      <c r="D124" s="97"/>
      <c r="E124" s="97"/>
      <c r="F124" s="97"/>
      <c r="G124" s="97"/>
    </row>
    <row r="125" spans="1:10" ht="13">
      <c r="A125" s="97"/>
      <c r="B125" s="97"/>
      <c r="C125" s="97"/>
      <c r="J125" s="100"/>
    </row>
    <row r="126" spans="1:10" ht="13">
      <c r="A126" s="97"/>
      <c r="B126" s="98" t="s">
        <v>544</v>
      </c>
      <c r="C126" s="98" t="s">
        <v>545</v>
      </c>
      <c r="D126" s="100" t="s">
        <v>546</v>
      </c>
      <c r="E126" s="100" t="s">
        <v>547</v>
      </c>
      <c r="F126" s="100" t="s">
        <v>175</v>
      </c>
      <c r="G126" s="98" t="s">
        <v>548</v>
      </c>
      <c r="H126" s="100" t="s">
        <v>549</v>
      </c>
      <c r="I126" s="100" t="s">
        <v>550</v>
      </c>
      <c r="J126" s="97"/>
    </row>
    <row r="127" spans="1:10">
      <c r="A127" s="126" t="s">
        <v>551</v>
      </c>
      <c r="B127" s="97">
        <v>750</v>
      </c>
      <c r="C127" s="97">
        <v>675</v>
      </c>
      <c r="D127" s="97">
        <v>6</v>
      </c>
      <c r="E127" s="97">
        <v>40</v>
      </c>
      <c r="F127" s="97">
        <v>1125</v>
      </c>
      <c r="G127" s="97">
        <v>1012.5</v>
      </c>
      <c r="H127" s="97">
        <v>2800</v>
      </c>
      <c r="I127" s="97">
        <v>6550</v>
      </c>
      <c r="J127" s="97"/>
    </row>
    <row r="128" spans="1:10">
      <c r="A128" s="126" t="s">
        <v>552</v>
      </c>
      <c r="B128" s="97">
        <v>2350</v>
      </c>
      <c r="C128" s="97">
        <v>2115</v>
      </c>
      <c r="D128" s="97">
        <v>11</v>
      </c>
      <c r="E128" s="97">
        <v>70</v>
      </c>
      <c r="F128" s="97">
        <v>2550</v>
      </c>
      <c r="G128" s="97">
        <v>2295</v>
      </c>
      <c r="H128" s="97">
        <v>7050</v>
      </c>
      <c r="I128" s="97">
        <v>9400</v>
      </c>
    </row>
  </sheetData>
  <mergeCells count="11">
    <mergeCell ref="A1:E1"/>
    <mergeCell ref="A2:B2"/>
    <mergeCell ref="A3:B3"/>
    <mergeCell ref="F3:G3"/>
    <mergeCell ref="A4:B4"/>
    <mergeCell ref="A5:B5"/>
    <mergeCell ref="A91:C91"/>
    <mergeCell ref="A6:B6"/>
    <mergeCell ref="A37:D37"/>
    <mergeCell ref="H37:L44"/>
    <mergeCell ref="A38:D38"/>
  </mergeCells>
  <phoneticPr fontId="27" type="noConversion"/>
  <dataValidations count="2">
    <dataValidation type="list" allowBlank="1" showInputMessage="1" showErrorMessage="1" sqref="E9" xr:uid="{13735893-A006-409D-85DD-BC145C2DDEDA}">
      <formula1>"vCSA8.0, vCSA7.0"</formula1>
    </dataValidation>
    <dataValidation type="list" allowBlank="1" showInputMessage="1" showErrorMessage="1" sqref="N11" xr:uid="{26E8B69D-65FC-4553-A093-B2F8861DA879}">
      <formula1>$B$127:$B$128</formula1>
    </dataValidation>
  </dataValidations>
  <hyperlinks>
    <hyperlink ref="F3:G3" location="Shortcuts!A1" display="Back to shortcuts" xr:uid="{5406E002-4FB3-424D-8A6E-86D594213639}"/>
  </hyperlinks>
  <pageMargins left="0.7" right="0.7" top="0.75" bottom="0.75" header="0.3" footer="0.3"/>
  <pageSetup paperSize="9" orientation="portrait" r:id="rId1"/>
  <headerFooter>
    <oddFooter>&amp;C&amp;1#&amp;"Arial"&amp;8&amp;K001753Nokia internal use</oddFooter>
  </headerFooter>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C351C6-6BAA-41F1-B64D-25C7C60B8C1C}">
  <dimension ref="A1:AT135"/>
  <sheetViews>
    <sheetView topLeftCell="B1" zoomScale="80" zoomScaleNormal="80" zoomScalePageLayoutView="70" workbookViewId="0">
      <selection activeCell="G8" sqref="G8"/>
    </sheetView>
  </sheetViews>
  <sheetFormatPr defaultColWidth="8.81640625" defaultRowHeight="12.5"/>
  <cols>
    <col min="1" max="1" width="35.1796875" style="4" customWidth="1"/>
    <col min="2" max="2" width="14.1796875" style="4" customWidth="1"/>
    <col min="3" max="3" width="17.453125" style="4" customWidth="1"/>
    <col min="4" max="4" width="23.1796875" style="4" customWidth="1"/>
    <col min="5" max="5" width="55.1796875" style="4" customWidth="1"/>
    <col min="6" max="7" width="8.81640625" style="4"/>
    <col min="8" max="8" width="21.1796875" style="4" customWidth="1"/>
    <col min="9" max="10" width="8.81640625" style="4"/>
    <col min="11" max="11" width="17.81640625" style="4" customWidth="1"/>
    <col min="12" max="12" width="8.81640625" style="4"/>
    <col min="13" max="13" width="9.81640625" style="4" customWidth="1"/>
    <col min="14" max="14" width="8.81640625" style="4"/>
    <col min="15" max="15" width="11.81640625" style="4" customWidth="1"/>
    <col min="16" max="16" width="8.81640625" style="4"/>
    <col min="17" max="17" width="9.81640625" style="4" customWidth="1"/>
    <col min="18" max="18" width="8.81640625" style="4"/>
    <col min="19" max="19" width="9.81640625" style="4" customWidth="1"/>
    <col min="20" max="20" width="8.81640625" style="4"/>
    <col min="21" max="21" width="9.81640625" style="4" customWidth="1"/>
    <col min="22" max="22" width="8.81640625" style="4"/>
    <col min="23" max="23" width="9.81640625" style="4" customWidth="1"/>
    <col min="24" max="24" width="11.1796875" style="4" customWidth="1"/>
    <col min="25" max="26" width="9.81640625" style="4" customWidth="1"/>
    <col min="27" max="34" width="13.81640625" style="4" customWidth="1"/>
    <col min="35" max="41" width="15.453125" style="4" customWidth="1"/>
    <col min="42" max="43" width="13.81640625" style="4" customWidth="1"/>
    <col min="44" max="44" width="22" style="4" customWidth="1"/>
    <col min="45" max="45" width="12.1796875" style="4" customWidth="1"/>
    <col min="46" max="46" width="13.1796875" style="4" customWidth="1"/>
    <col min="47" max="16384" width="8.81640625" style="4"/>
  </cols>
  <sheetData>
    <row r="1" spans="1:46" ht="13">
      <c r="A1" s="156" t="s">
        <v>15</v>
      </c>
      <c r="B1" s="156"/>
      <c r="C1" s="156"/>
      <c r="D1" s="156"/>
      <c r="E1" s="157"/>
      <c r="F1" s="5" t="s">
        <v>354</v>
      </c>
    </row>
    <row r="2" spans="1:46" ht="14.5">
      <c r="A2" s="162" t="s">
        <v>355</v>
      </c>
      <c r="B2" s="168"/>
      <c r="C2" s="113"/>
      <c r="D2" s="4" t="s">
        <v>459</v>
      </c>
      <c r="F2" s="5"/>
    </row>
    <row r="3" spans="1:46" ht="14.5">
      <c r="A3" s="162" t="s">
        <v>357</v>
      </c>
      <c r="B3" s="168"/>
      <c r="C3" s="4" t="s">
        <v>356</v>
      </c>
      <c r="F3" s="169" t="s">
        <v>358</v>
      </c>
      <c r="G3" s="169"/>
    </row>
    <row r="4" spans="1:46" ht="14.5">
      <c r="A4" s="162" t="s">
        <v>359</v>
      </c>
      <c r="B4" s="168"/>
      <c r="C4" s="4" t="s">
        <v>460</v>
      </c>
    </row>
    <row r="5" spans="1:46" ht="13">
      <c r="A5" s="162" t="s">
        <v>360</v>
      </c>
      <c r="B5" s="162"/>
      <c r="C5" s="4" t="s">
        <v>553</v>
      </c>
    </row>
    <row r="6" spans="1:46" ht="13">
      <c r="A6" s="162" t="s">
        <v>361</v>
      </c>
      <c r="B6" s="162"/>
      <c r="C6" s="14"/>
    </row>
    <row r="7" spans="1:46" ht="26">
      <c r="A7" s="7" t="s">
        <v>151</v>
      </c>
      <c r="B7" s="7" t="s">
        <v>362</v>
      </c>
      <c r="C7" s="7" t="s">
        <v>363</v>
      </c>
      <c r="D7" s="7" t="s">
        <v>364</v>
      </c>
      <c r="E7" s="7" t="s">
        <v>365</v>
      </c>
      <c r="F7" s="6" t="s">
        <v>129</v>
      </c>
      <c r="G7" s="6" t="s">
        <v>146</v>
      </c>
      <c r="H7" s="6" t="s">
        <v>366</v>
      </c>
      <c r="I7" s="6" t="s">
        <v>149</v>
      </c>
      <c r="J7" s="6" t="s">
        <v>367</v>
      </c>
      <c r="K7" s="6" t="s">
        <v>368</v>
      </c>
      <c r="L7" s="6" t="s">
        <v>170</v>
      </c>
      <c r="M7" s="6" t="s">
        <v>368</v>
      </c>
      <c r="N7" s="6" t="s">
        <v>30</v>
      </c>
      <c r="O7" s="6" t="s">
        <v>368</v>
      </c>
      <c r="P7" s="6" t="s">
        <v>175</v>
      </c>
      <c r="Q7" s="6" t="s">
        <v>368</v>
      </c>
      <c r="R7" s="6" t="s">
        <v>189</v>
      </c>
      <c r="S7" s="6" t="s">
        <v>368</v>
      </c>
      <c r="T7" s="6" t="s">
        <v>194</v>
      </c>
      <c r="U7" s="6" t="s">
        <v>368</v>
      </c>
      <c r="V7" s="6" t="s">
        <v>179</v>
      </c>
      <c r="W7" s="6" t="s">
        <v>368</v>
      </c>
      <c r="X7" s="6" t="s">
        <v>369</v>
      </c>
      <c r="Y7" s="6" t="s">
        <v>368</v>
      </c>
      <c r="Z7" s="6" t="s">
        <v>554</v>
      </c>
      <c r="AA7" s="6" t="s">
        <v>368</v>
      </c>
      <c r="AB7" s="6" t="s">
        <v>371</v>
      </c>
      <c r="AC7" s="6" t="s">
        <v>368</v>
      </c>
      <c r="AD7" s="6" t="s">
        <v>372</v>
      </c>
      <c r="AE7" s="6" t="s">
        <v>368</v>
      </c>
      <c r="AF7" s="6" t="s">
        <v>463</v>
      </c>
      <c r="AG7" s="6" t="s">
        <v>368</v>
      </c>
      <c r="AH7" s="6" t="s">
        <v>373</v>
      </c>
      <c r="AI7" s="6" t="s">
        <v>368</v>
      </c>
      <c r="AJ7" s="6" t="s">
        <v>464</v>
      </c>
      <c r="AK7" s="6" t="s">
        <v>368</v>
      </c>
      <c r="AL7" s="6" t="s">
        <v>465</v>
      </c>
      <c r="AM7" s="6" t="s">
        <v>368</v>
      </c>
      <c r="AN7" s="6" t="s">
        <v>466</v>
      </c>
      <c r="AO7" s="6" t="s">
        <v>368</v>
      </c>
      <c r="AP7" s="79" t="s">
        <v>467</v>
      </c>
      <c r="AQ7" s="6" t="s">
        <v>368</v>
      </c>
      <c r="AR7" s="6" t="s">
        <v>374</v>
      </c>
      <c r="AS7" s="6" t="s">
        <v>375</v>
      </c>
      <c r="AT7" s="6" t="s">
        <v>376</v>
      </c>
    </row>
    <row r="8" spans="1:46">
      <c r="A8" s="4" t="s">
        <v>377</v>
      </c>
      <c r="B8" s="12"/>
      <c r="C8" s="19"/>
      <c r="D8" s="4" t="s">
        <v>378</v>
      </c>
      <c r="E8" s="4" t="s">
        <v>19</v>
      </c>
      <c r="F8" s="12">
        <v>4</v>
      </c>
      <c r="G8" s="12">
        <v>8</v>
      </c>
      <c r="H8" s="12">
        <v>0</v>
      </c>
      <c r="I8" s="12">
        <v>351</v>
      </c>
      <c r="J8" s="82">
        <f>G8-H8</f>
        <v>8</v>
      </c>
      <c r="K8" s="12" t="s">
        <v>468</v>
      </c>
      <c r="L8" s="12"/>
      <c r="M8" s="12"/>
      <c r="N8" s="12"/>
      <c r="O8" s="12"/>
      <c r="P8" s="12"/>
      <c r="Q8" s="12"/>
      <c r="R8" s="12"/>
      <c r="S8" s="12"/>
      <c r="T8" s="12"/>
      <c r="U8" s="12"/>
      <c r="V8" s="12"/>
      <c r="W8" s="12"/>
      <c r="X8" s="12"/>
      <c r="Y8" s="12"/>
      <c r="Z8" s="12"/>
      <c r="AA8" s="12"/>
      <c r="AB8" s="12"/>
      <c r="AC8" s="12"/>
      <c r="AD8" s="12"/>
      <c r="AE8" s="12"/>
      <c r="AF8" s="12"/>
      <c r="AG8" s="12"/>
      <c r="AH8" s="12"/>
      <c r="AI8" s="12"/>
      <c r="AJ8" s="12"/>
      <c r="AK8" s="12"/>
      <c r="AL8" s="12"/>
      <c r="AM8" s="12"/>
      <c r="AN8" s="12"/>
      <c r="AO8" s="12"/>
      <c r="AP8" s="12"/>
      <c r="AQ8" s="12"/>
      <c r="AR8" s="12" t="s">
        <v>380</v>
      </c>
      <c r="AS8" s="12" t="s">
        <v>381</v>
      </c>
      <c r="AT8" s="12"/>
    </row>
    <row r="9" spans="1:46">
      <c r="A9" s="4" t="s">
        <v>382</v>
      </c>
      <c r="B9" s="12"/>
      <c r="C9" s="19"/>
      <c r="D9" s="113" t="s">
        <v>383</v>
      </c>
      <c r="E9" s="113" t="s">
        <v>384</v>
      </c>
      <c r="F9" s="12">
        <v>4</v>
      </c>
      <c r="G9" s="101">
        <f>IF(E9="vCSA8.0", 14, 12)</f>
        <v>14</v>
      </c>
      <c r="H9" s="12">
        <v>0</v>
      </c>
      <c r="I9" s="101">
        <f>IF(E9="vCSA8.0", 600, 450)</f>
        <v>600</v>
      </c>
      <c r="J9" s="82">
        <v>25</v>
      </c>
      <c r="K9" s="12" t="s">
        <v>468</v>
      </c>
      <c r="L9" s="12"/>
      <c r="M9" s="12"/>
      <c r="N9" s="12"/>
      <c r="O9" s="12"/>
      <c r="P9" s="12"/>
      <c r="Q9" s="12"/>
      <c r="R9" s="12"/>
      <c r="S9" s="12"/>
      <c r="T9" s="12"/>
      <c r="U9" s="12"/>
      <c r="V9" s="12"/>
      <c r="W9" s="12"/>
      <c r="X9" s="12"/>
      <c r="Y9" s="12"/>
      <c r="Z9" s="12"/>
      <c r="AA9" s="12"/>
      <c r="AB9" s="12"/>
      <c r="AC9" s="12"/>
      <c r="AD9" s="12"/>
      <c r="AE9" s="12"/>
      <c r="AF9" s="12"/>
      <c r="AG9" s="12"/>
      <c r="AH9" s="12"/>
      <c r="AI9" s="12"/>
      <c r="AJ9" s="12"/>
      <c r="AK9" s="12"/>
      <c r="AL9" s="12"/>
      <c r="AM9" s="12"/>
      <c r="AN9" s="12"/>
      <c r="AO9" s="12"/>
      <c r="AP9" s="12"/>
      <c r="AQ9" s="12"/>
      <c r="AR9" s="12" t="s">
        <v>380</v>
      </c>
      <c r="AS9" s="12" t="s">
        <v>381</v>
      </c>
      <c r="AT9" s="12"/>
    </row>
    <row r="10" spans="1:46">
      <c r="A10" s="4" t="s">
        <v>385</v>
      </c>
      <c r="B10" s="12" t="s">
        <v>386</v>
      </c>
      <c r="C10" s="19" t="s">
        <v>387</v>
      </c>
      <c r="D10" s="4" t="s">
        <v>378</v>
      </c>
      <c r="E10" s="4" t="s">
        <v>27</v>
      </c>
      <c r="F10" s="12">
        <v>4</v>
      </c>
      <c r="G10" s="12">
        <v>6</v>
      </c>
      <c r="H10" s="12">
        <v>6</v>
      </c>
      <c r="I10" s="12">
        <v>41</v>
      </c>
      <c r="J10" s="82">
        <f t="shared" ref="J10:J32" si="0">G10-H10</f>
        <v>0</v>
      </c>
      <c r="K10" s="12" t="s">
        <v>469</v>
      </c>
      <c r="L10" s="12"/>
      <c r="M10" s="12"/>
      <c r="N10" s="12"/>
      <c r="O10" s="12"/>
      <c r="P10" s="12"/>
      <c r="Q10" s="12"/>
      <c r="R10" s="12"/>
      <c r="S10" s="12"/>
      <c r="T10" s="12"/>
      <c r="U10" s="12"/>
      <c r="V10" s="12"/>
      <c r="W10" s="12"/>
      <c r="X10" s="12"/>
      <c r="Y10" s="12"/>
      <c r="Z10" s="12"/>
      <c r="AA10" s="12"/>
      <c r="AB10" s="12"/>
      <c r="AC10" s="12"/>
      <c r="AD10" s="12"/>
      <c r="AE10" s="12"/>
      <c r="AF10" s="12"/>
      <c r="AG10" s="12"/>
      <c r="AH10" s="12"/>
      <c r="AI10" s="12"/>
      <c r="AJ10" s="12"/>
      <c r="AK10" s="12"/>
      <c r="AL10" s="12"/>
      <c r="AM10" s="12"/>
      <c r="AN10" s="12"/>
      <c r="AO10" s="12"/>
      <c r="AP10" s="12"/>
      <c r="AQ10" s="12"/>
      <c r="AR10" s="12" t="s">
        <v>380</v>
      </c>
      <c r="AS10" s="12" t="s">
        <v>381</v>
      </c>
      <c r="AT10" s="12"/>
    </row>
    <row r="11" spans="1:46">
      <c r="A11" s="4" t="s">
        <v>389</v>
      </c>
      <c r="B11" s="12"/>
      <c r="C11" s="19" t="s">
        <v>387</v>
      </c>
      <c r="D11" s="4" t="s">
        <v>378</v>
      </c>
      <c r="E11" s="4" t="s">
        <v>30</v>
      </c>
      <c r="F11" s="12">
        <v>11</v>
      </c>
      <c r="G11" s="12">
        <v>70</v>
      </c>
      <c r="H11" s="12">
        <f>(G11*82.5)/100</f>
        <v>57.75</v>
      </c>
      <c r="I11" s="12">
        <v>101</v>
      </c>
      <c r="J11" s="82">
        <f t="shared" si="0"/>
        <v>12.25</v>
      </c>
      <c r="K11" s="12" t="s">
        <v>470</v>
      </c>
      <c r="L11" s="12">
        <v>66</v>
      </c>
      <c r="M11" s="12" t="s">
        <v>390</v>
      </c>
      <c r="N11" s="101">
        <v>1500</v>
      </c>
      <c r="O11" s="12" t="s">
        <v>391</v>
      </c>
      <c r="P11" s="12">
        <v>2250</v>
      </c>
      <c r="Q11" s="12" t="s">
        <v>392</v>
      </c>
      <c r="R11" s="12"/>
      <c r="S11" s="12"/>
      <c r="T11" s="12"/>
      <c r="U11" s="12"/>
      <c r="V11" s="12"/>
      <c r="W11" s="12"/>
      <c r="X11" s="28">
        <v>6525</v>
      </c>
      <c r="Y11" s="12" t="s">
        <v>179</v>
      </c>
      <c r="Z11" s="12"/>
      <c r="AA11" s="12"/>
      <c r="AB11" s="12"/>
      <c r="AC11" s="12"/>
      <c r="AD11" s="12"/>
      <c r="AE11" s="12"/>
      <c r="AF11" s="12"/>
      <c r="AG11" s="12"/>
      <c r="AH11" s="12"/>
      <c r="AI11" s="12"/>
      <c r="AJ11" s="12"/>
      <c r="AK11" s="12"/>
      <c r="AL11" s="12"/>
      <c r="AM11" s="12"/>
      <c r="AN11" s="12"/>
      <c r="AO11" s="12"/>
      <c r="AP11" s="12">
        <v>2500</v>
      </c>
      <c r="AQ11" s="12" t="s">
        <v>471</v>
      </c>
      <c r="AR11" s="12" t="s">
        <v>380</v>
      </c>
      <c r="AS11" s="12" t="s">
        <v>381</v>
      </c>
      <c r="AT11" s="12"/>
    </row>
    <row r="12" spans="1:46">
      <c r="A12" s="4" t="s">
        <v>393</v>
      </c>
      <c r="B12" s="12" t="s">
        <v>386</v>
      </c>
      <c r="C12" s="19" t="s">
        <v>387</v>
      </c>
      <c r="D12" s="4" t="s">
        <v>378</v>
      </c>
      <c r="E12" s="4" t="s">
        <v>34</v>
      </c>
      <c r="F12" s="12">
        <v>6</v>
      </c>
      <c r="G12" s="12">
        <v>7</v>
      </c>
      <c r="H12" s="12">
        <v>7</v>
      </c>
      <c r="I12" s="12">
        <v>46</v>
      </c>
      <c r="J12" s="82">
        <f t="shared" si="0"/>
        <v>0</v>
      </c>
      <c r="K12" s="12" t="s">
        <v>472</v>
      </c>
      <c r="L12" s="12"/>
      <c r="M12" s="12"/>
      <c r="N12" s="12"/>
      <c r="O12" s="12"/>
      <c r="P12" s="12"/>
      <c r="Q12" s="12"/>
      <c r="R12" s="12">
        <v>430</v>
      </c>
      <c r="S12" s="12" t="s">
        <v>394</v>
      </c>
      <c r="T12" s="12">
        <v>300</v>
      </c>
      <c r="U12" s="12" t="s">
        <v>194</v>
      </c>
      <c r="V12" s="12"/>
      <c r="W12" s="12"/>
      <c r="X12" s="12">
        <v>330</v>
      </c>
      <c r="Y12" s="12" t="s">
        <v>179</v>
      </c>
      <c r="Z12" s="12"/>
      <c r="AA12" s="12"/>
      <c r="AB12" s="12"/>
      <c r="AC12" s="12"/>
      <c r="AD12" s="12"/>
      <c r="AE12" s="12"/>
      <c r="AF12" s="12"/>
      <c r="AG12" s="12"/>
      <c r="AH12" s="12"/>
      <c r="AI12" s="12"/>
      <c r="AJ12" s="12"/>
      <c r="AK12" s="12"/>
      <c r="AL12" s="12"/>
      <c r="AM12" s="12"/>
      <c r="AN12" s="12"/>
      <c r="AO12" s="12"/>
      <c r="AP12" s="12"/>
      <c r="AQ12" s="12"/>
      <c r="AR12" s="12" t="s">
        <v>380</v>
      </c>
      <c r="AS12" s="12" t="s">
        <v>381</v>
      </c>
      <c r="AT12" s="12"/>
    </row>
    <row r="13" spans="1:46">
      <c r="A13" s="4" t="s">
        <v>395</v>
      </c>
      <c r="B13" s="12"/>
      <c r="C13" s="19" t="s">
        <v>387</v>
      </c>
      <c r="D13" s="4" t="s">
        <v>378</v>
      </c>
      <c r="E13" s="4" t="s">
        <v>38</v>
      </c>
      <c r="F13" s="12">
        <v>2</v>
      </c>
      <c r="G13" s="12">
        <v>3</v>
      </c>
      <c r="H13" s="12">
        <v>0</v>
      </c>
      <c r="I13" s="12">
        <v>31</v>
      </c>
      <c r="J13" s="82">
        <f t="shared" si="0"/>
        <v>3</v>
      </c>
      <c r="K13" s="12" t="s">
        <v>469</v>
      </c>
      <c r="L13" s="12"/>
      <c r="M13" s="12"/>
      <c r="N13" s="12"/>
      <c r="O13" s="12"/>
      <c r="P13" s="12"/>
      <c r="Q13" s="12"/>
      <c r="R13" s="12"/>
      <c r="S13" s="12"/>
      <c r="T13" s="12"/>
      <c r="U13" s="12"/>
      <c r="V13" s="12"/>
      <c r="W13" s="12"/>
      <c r="X13" s="12"/>
      <c r="Y13" s="12"/>
      <c r="Z13" s="12"/>
      <c r="AA13" s="12"/>
      <c r="AB13" s="12"/>
      <c r="AC13" s="12"/>
      <c r="AD13" s="12"/>
      <c r="AE13" s="12"/>
      <c r="AF13" s="12"/>
      <c r="AG13" s="12"/>
      <c r="AH13" s="12"/>
      <c r="AI13" s="12"/>
      <c r="AJ13" s="12"/>
      <c r="AK13" s="12"/>
      <c r="AL13" s="12"/>
      <c r="AM13" s="12"/>
      <c r="AN13" s="12"/>
      <c r="AO13" s="12"/>
      <c r="AP13" s="12"/>
      <c r="AQ13" s="12"/>
      <c r="AR13" s="12" t="s">
        <v>396</v>
      </c>
      <c r="AS13" s="12" t="s">
        <v>397</v>
      </c>
      <c r="AT13" s="12" t="s">
        <v>381</v>
      </c>
    </row>
    <row r="14" spans="1:46">
      <c r="A14" s="4" t="s">
        <v>398</v>
      </c>
      <c r="B14" s="12"/>
      <c r="C14" s="19" t="s">
        <v>387</v>
      </c>
      <c r="D14" s="4" t="s">
        <v>378</v>
      </c>
      <c r="E14" s="4" t="s">
        <v>42</v>
      </c>
      <c r="F14" s="12">
        <v>2</v>
      </c>
      <c r="G14" s="12">
        <v>5</v>
      </c>
      <c r="H14" s="12">
        <v>0</v>
      </c>
      <c r="I14" s="12">
        <v>31</v>
      </c>
      <c r="J14" s="82">
        <f t="shared" si="0"/>
        <v>5</v>
      </c>
      <c r="K14" s="12" t="s">
        <v>470</v>
      </c>
      <c r="L14" s="12"/>
      <c r="M14" s="12"/>
      <c r="N14" s="12"/>
      <c r="O14" s="12"/>
      <c r="P14" s="12"/>
      <c r="Q14" s="12"/>
      <c r="R14" s="12"/>
      <c r="S14" s="12"/>
      <c r="T14" s="12"/>
      <c r="U14" s="12"/>
      <c r="V14" s="12"/>
      <c r="W14" s="12"/>
      <c r="X14" s="12"/>
      <c r="Y14" s="12"/>
      <c r="Z14" s="12"/>
      <c r="AA14" s="12"/>
      <c r="AB14" s="12"/>
      <c r="AC14" s="12"/>
      <c r="AD14" s="12"/>
      <c r="AE14" s="12"/>
      <c r="AF14" s="12"/>
      <c r="AG14" s="12"/>
      <c r="AH14" s="12"/>
      <c r="AI14" s="12"/>
      <c r="AJ14" s="12"/>
      <c r="AK14" s="12"/>
      <c r="AL14" s="12"/>
      <c r="AM14" s="12"/>
      <c r="AN14" s="12"/>
      <c r="AO14" s="12"/>
      <c r="AP14" s="12"/>
      <c r="AQ14" s="12"/>
      <c r="AR14" s="12" t="s">
        <v>380</v>
      </c>
      <c r="AS14" s="12" t="s">
        <v>381</v>
      </c>
      <c r="AT14" s="12"/>
    </row>
    <row r="15" spans="1:46">
      <c r="A15" s="4" t="s">
        <v>399</v>
      </c>
      <c r="B15" s="12"/>
      <c r="C15" s="19" t="s">
        <v>387</v>
      </c>
      <c r="D15" s="4" t="s">
        <v>378</v>
      </c>
      <c r="E15" s="4" t="s">
        <v>555</v>
      </c>
      <c r="F15" s="12">
        <v>3</v>
      </c>
      <c r="G15" s="12">
        <v>6</v>
      </c>
      <c r="H15" s="12">
        <v>0</v>
      </c>
      <c r="I15" s="12">
        <v>41</v>
      </c>
      <c r="J15" s="82">
        <f t="shared" si="0"/>
        <v>6</v>
      </c>
      <c r="K15" s="12" t="s">
        <v>472</v>
      </c>
      <c r="L15" s="12"/>
      <c r="M15" s="12"/>
      <c r="N15" s="12"/>
      <c r="O15" s="12"/>
      <c r="P15" s="12"/>
      <c r="Q15" s="12"/>
      <c r="R15" s="12"/>
      <c r="S15" s="12"/>
      <c r="T15" s="12"/>
      <c r="U15" s="12"/>
      <c r="V15" s="12"/>
      <c r="W15" s="12"/>
      <c r="X15" s="12"/>
      <c r="Y15" s="12"/>
      <c r="Z15" s="12"/>
      <c r="AA15" s="12"/>
      <c r="AB15" s="12"/>
      <c r="AC15" s="12"/>
      <c r="AD15" s="12"/>
      <c r="AE15" s="12"/>
      <c r="AF15" s="12"/>
      <c r="AG15" s="12"/>
      <c r="AH15" s="12"/>
      <c r="AI15" s="12"/>
      <c r="AJ15" s="12"/>
      <c r="AK15" s="12"/>
      <c r="AL15" s="12"/>
      <c r="AM15" s="12"/>
      <c r="AN15" s="12"/>
      <c r="AO15" s="12"/>
      <c r="AP15" s="12"/>
      <c r="AQ15" s="12"/>
      <c r="AR15" s="12" t="s">
        <v>396</v>
      </c>
      <c r="AS15" s="12" t="s">
        <v>397</v>
      </c>
      <c r="AT15" s="12"/>
    </row>
    <row r="16" spans="1:46">
      <c r="A16" s="4" t="s">
        <v>401</v>
      </c>
      <c r="B16" s="12"/>
      <c r="C16" s="19" t="s">
        <v>387</v>
      </c>
      <c r="D16" s="4" t="s">
        <v>378</v>
      </c>
      <c r="E16" s="4" t="s">
        <v>402</v>
      </c>
      <c r="F16" s="12">
        <v>5</v>
      </c>
      <c r="G16" s="12">
        <v>5</v>
      </c>
      <c r="H16" s="12">
        <v>0</v>
      </c>
      <c r="I16" s="12">
        <v>56</v>
      </c>
      <c r="J16" s="82">
        <f t="shared" si="0"/>
        <v>5</v>
      </c>
      <c r="K16" s="12" t="s">
        <v>469</v>
      </c>
      <c r="M16" s="12"/>
      <c r="N16" s="12"/>
      <c r="O16" s="12"/>
      <c r="P16" s="12"/>
      <c r="Q16" s="12"/>
      <c r="R16" s="12"/>
      <c r="S16" s="12"/>
      <c r="T16" s="12"/>
      <c r="U16" s="12"/>
      <c r="V16" s="12"/>
      <c r="W16" s="12"/>
      <c r="X16" s="12"/>
      <c r="Y16" s="12"/>
      <c r="Z16" s="12"/>
      <c r="AA16" s="12"/>
      <c r="AB16" s="12"/>
      <c r="AC16" s="12"/>
      <c r="AD16" s="12"/>
      <c r="AE16" s="12"/>
      <c r="AF16" s="12"/>
      <c r="AG16" s="12"/>
      <c r="AH16" s="12"/>
      <c r="AI16" s="12"/>
      <c r="AJ16" s="12"/>
      <c r="AK16" s="12"/>
      <c r="AL16" s="12"/>
      <c r="AM16" s="12"/>
      <c r="AN16" s="12"/>
      <c r="AO16" s="12"/>
      <c r="AP16" s="12"/>
      <c r="AQ16" s="12"/>
      <c r="AR16" s="12" t="s">
        <v>396</v>
      </c>
      <c r="AS16" s="12" t="s">
        <v>397</v>
      </c>
      <c r="AT16" s="12"/>
    </row>
    <row r="17" spans="1:46">
      <c r="A17" s="4" t="s">
        <v>403</v>
      </c>
      <c r="B17" s="12"/>
      <c r="C17" s="19" t="s">
        <v>387</v>
      </c>
      <c r="D17" s="4" t="s">
        <v>378</v>
      </c>
      <c r="E17" s="4" t="s">
        <v>54</v>
      </c>
      <c r="F17" s="12">
        <v>8</v>
      </c>
      <c r="G17" s="12">
        <v>13</v>
      </c>
      <c r="H17" s="12">
        <v>0</v>
      </c>
      <c r="I17" s="12">
        <v>81</v>
      </c>
      <c r="J17" s="82">
        <f t="shared" si="0"/>
        <v>13</v>
      </c>
      <c r="K17" s="12" t="s">
        <v>470</v>
      </c>
      <c r="L17" s="12"/>
      <c r="M17" s="12"/>
      <c r="N17" s="12"/>
      <c r="O17" s="12"/>
      <c r="P17" s="12"/>
      <c r="Q17" s="12"/>
      <c r="R17" s="12"/>
      <c r="S17" s="12"/>
      <c r="T17" s="12"/>
      <c r="U17" s="12"/>
      <c r="V17" s="12"/>
      <c r="W17" s="12"/>
      <c r="X17" s="12"/>
      <c r="Y17" s="12"/>
      <c r="Z17" s="12"/>
      <c r="AA17" s="12"/>
      <c r="AB17" s="12"/>
      <c r="AC17" s="12"/>
      <c r="AD17" s="12"/>
      <c r="AE17" s="12"/>
      <c r="AF17" s="12"/>
      <c r="AG17" s="12"/>
      <c r="AH17" s="12"/>
      <c r="AI17" s="12"/>
      <c r="AJ17" s="12"/>
      <c r="AK17" s="12"/>
      <c r="AL17" s="12"/>
      <c r="AM17" s="12"/>
      <c r="AN17" s="12"/>
      <c r="AO17" s="12"/>
      <c r="AP17" s="12"/>
      <c r="AQ17" s="12"/>
      <c r="AR17" s="12" t="s">
        <v>396</v>
      </c>
      <c r="AS17" s="12" t="s">
        <v>397</v>
      </c>
      <c r="AT17" s="12"/>
    </row>
    <row r="18" spans="1:46">
      <c r="A18" s="4" t="s">
        <v>404</v>
      </c>
      <c r="B18" s="12"/>
      <c r="C18" s="19" t="s">
        <v>387</v>
      </c>
      <c r="D18" s="4" t="s">
        <v>378</v>
      </c>
      <c r="E18" s="4" t="s">
        <v>58</v>
      </c>
      <c r="F18" s="12">
        <v>4</v>
      </c>
      <c r="G18" s="12">
        <v>4</v>
      </c>
      <c r="H18" s="12">
        <v>0</v>
      </c>
      <c r="I18" s="12">
        <v>31</v>
      </c>
      <c r="J18" s="82">
        <f t="shared" si="0"/>
        <v>4</v>
      </c>
      <c r="K18" s="12" t="s">
        <v>472</v>
      </c>
      <c r="L18" s="12"/>
      <c r="M18" s="12"/>
      <c r="N18" s="12"/>
      <c r="O18" s="12"/>
      <c r="P18" s="12"/>
      <c r="Q18" s="12"/>
      <c r="R18" s="12"/>
      <c r="S18" s="12"/>
      <c r="T18" s="12"/>
      <c r="U18" s="12"/>
      <c r="V18" s="12"/>
      <c r="W18" s="12"/>
      <c r="X18" s="12"/>
      <c r="Y18" s="12"/>
      <c r="Z18" s="12"/>
      <c r="AA18" s="12"/>
      <c r="AB18" s="12"/>
      <c r="AC18" s="12"/>
      <c r="AD18" s="12"/>
      <c r="AE18" s="12"/>
      <c r="AF18" s="12"/>
      <c r="AG18" s="12"/>
      <c r="AH18" s="12"/>
      <c r="AI18" s="12"/>
      <c r="AJ18" s="12"/>
      <c r="AK18" s="12"/>
      <c r="AL18" s="12"/>
      <c r="AM18" s="12"/>
      <c r="AN18" s="12"/>
      <c r="AO18" s="12"/>
      <c r="AP18" s="12"/>
      <c r="AQ18" s="12"/>
      <c r="AR18" s="12" t="s">
        <v>396</v>
      </c>
      <c r="AS18" s="12" t="s">
        <v>397</v>
      </c>
      <c r="AT18" s="12" t="s">
        <v>381</v>
      </c>
    </row>
    <row r="19" spans="1:46">
      <c r="A19" s="4" t="s">
        <v>405</v>
      </c>
      <c r="B19" s="12"/>
      <c r="C19" s="19" t="s">
        <v>387</v>
      </c>
      <c r="D19" s="4" t="s">
        <v>378</v>
      </c>
      <c r="E19" s="4" t="s">
        <v>406</v>
      </c>
      <c r="F19" s="12">
        <v>8</v>
      </c>
      <c r="G19" s="12">
        <v>13</v>
      </c>
      <c r="H19" s="12">
        <v>0</v>
      </c>
      <c r="I19" s="12">
        <v>109</v>
      </c>
      <c r="J19" s="82">
        <f t="shared" si="0"/>
        <v>13</v>
      </c>
      <c r="K19" s="12" t="s">
        <v>469</v>
      </c>
      <c r="L19" s="12"/>
      <c r="M19" s="12"/>
      <c r="N19" s="12"/>
      <c r="O19" s="12"/>
      <c r="P19" s="12"/>
      <c r="Q19" s="12"/>
      <c r="R19" s="12"/>
      <c r="S19" s="12"/>
      <c r="T19" s="12"/>
      <c r="U19" s="12"/>
      <c r="V19" s="12"/>
      <c r="W19" s="12"/>
      <c r="X19" s="12"/>
      <c r="Y19" s="12"/>
      <c r="Z19" s="12"/>
      <c r="AA19" s="12"/>
      <c r="AB19" s="12">
        <v>50</v>
      </c>
      <c r="AC19" s="12" t="s">
        <v>472</v>
      </c>
      <c r="AD19" s="12"/>
      <c r="AE19" s="12"/>
      <c r="AF19" s="12"/>
      <c r="AG19" s="12"/>
      <c r="AH19" s="12"/>
      <c r="AI19" s="12"/>
      <c r="AJ19" s="12"/>
      <c r="AK19" s="12"/>
      <c r="AL19" s="12"/>
      <c r="AM19" s="12"/>
      <c r="AN19" s="12"/>
      <c r="AO19" s="12"/>
      <c r="AP19" s="12"/>
      <c r="AQ19" s="12"/>
      <c r="AR19" s="12" t="s">
        <v>380</v>
      </c>
      <c r="AS19" s="12" t="s">
        <v>381</v>
      </c>
      <c r="AT19" s="12"/>
    </row>
    <row r="20" spans="1:46">
      <c r="A20" s="4" t="s">
        <v>407</v>
      </c>
      <c r="B20" s="12"/>
      <c r="C20" s="19" t="s">
        <v>387</v>
      </c>
      <c r="D20" s="4" t="s">
        <v>378</v>
      </c>
      <c r="E20" s="4" t="s">
        <v>65</v>
      </c>
      <c r="F20" s="12">
        <v>6</v>
      </c>
      <c r="G20" s="12">
        <v>7</v>
      </c>
      <c r="H20" s="12">
        <v>0</v>
      </c>
      <c r="I20" s="12">
        <v>131</v>
      </c>
      <c r="J20" s="82">
        <f t="shared" si="0"/>
        <v>7</v>
      </c>
      <c r="K20" s="12" t="s">
        <v>470</v>
      </c>
      <c r="L20" s="12"/>
      <c r="M20" s="12"/>
      <c r="N20" s="12"/>
      <c r="O20" s="12"/>
      <c r="P20" s="12"/>
      <c r="Q20" s="12"/>
      <c r="R20" s="12"/>
      <c r="S20" s="12"/>
      <c r="T20" s="12"/>
      <c r="U20" s="12"/>
      <c r="V20" s="12"/>
      <c r="W20" s="12"/>
      <c r="X20" s="12"/>
      <c r="Y20" s="12"/>
      <c r="Z20" s="12"/>
      <c r="AA20" s="12"/>
      <c r="AB20" s="12"/>
      <c r="AC20" s="12"/>
      <c r="AD20" s="12"/>
      <c r="AE20" s="12"/>
      <c r="AF20" s="12"/>
      <c r="AG20" s="12"/>
      <c r="AH20" s="12"/>
      <c r="AI20" s="12"/>
      <c r="AJ20" s="12"/>
      <c r="AK20" s="12"/>
      <c r="AL20" s="12"/>
      <c r="AM20" s="12"/>
      <c r="AN20" s="12"/>
      <c r="AO20" s="12"/>
      <c r="AP20" s="12"/>
      <c r="AQ20" s="12"/>
      <c r="AR20" s="12" t="s">
        <v>396</v>
      </c>
      <c r="AS20" s="12" t="s">
        <v>397</v>
      </c>
      <c r="AT20" s="12"/>
    </row>
    <row r="21" spans="1:46">
      <c r="A21" s="4" t="s">
        <v>408</v>
      </c>
      <c r="B21" s="12"/>
      <c r="C21" s="19" t="s">
        <v>387</v>
      </c>
      <c r="D21" s="4" t="s">
        <v>378</v>
      </c>
      <c r="E21" s="4" t="s">
        <v>556</v>
      </c>
      <c r="F21" s="12">
        <v>5</v>
      </c>
      <c r="G21" s="12">
        <v>6</v>
      </c>
      <c r="H21" s="12">
        <v>0</v>
      </c>
      <c r="I21" s="12">
        <v>61</v>
      </c>
      <c r="J21" s="82">
        <f t="shared" si="0"/>
        <v>6</v>
      </c>
      <c r="K21" s="12" t="s">
        <v>472</v>
      </c>
      <c r="L21" s="12"/>
      <c r="M21" s="12"/>
      <c r="N21" s="12"/>
      <c r="O21" s="12"/>
      <c r="P21" s="12"/>
      <c r="Q21" s="12"/>
      <c r="R21" s="12"/>
      <c r="S21" s="12"/>
      <c r="T21" s="12"/>
      <c r="U21" s="12"/>
      <c r="V21" s="12"/>
      <c r="W21" s="12"/>
      <c r="X21" s="12"/>
      <c r="Y21" s="12"/>
      <c r="Z21" s="12"/>
      <c r="AA21" s="12"/>
      <c r="AB21" s="12"/>
      <c r="AC21" s="12"/>
      <c r="AD21" s="12"/>
      <c r="AE21" s="12"/>
      <c r="AF21" s="12"/>
      <c r="AG21" s="12"/>
      <c r="AH21" s="12"/>
      <c r="AI21" s="12"/>
      <c r="AJ21" s="12"/>
      <c r="AK21" s="12"/>
      <c r="AL21" s="12"/>
      <c r="AM21" s="12"/>
      <c r="AN21" s="12"/>
      <c r="AO21" s="12"/>
      <c r="AP21" s="12"/>
      <c r="AQ21" s="12"/>
      <c r="AR21" s="12" t="s">
        <v>380</v>
      </c>
      <c r="AS21" s="12" t="s">
        <v>381</v>
      </c>
      <c r="AT21" s="12"/>
    </row>
    <row r="22" spans="1:46">
      <c r="A22" s="4" t="s">
        <v>409</v>
      </c>
      <c r="B22" s="12"/>
      <c r="C22" s="19" t="s">
        <v>387</v>
      </c>
      <c r="D22" s="4" t="s">
        <v>378</v>
      </c>
      <c r="E22" s="4" t="s">
        <v>556</v>
      </c>
      <c r="F22" s="12">
        <v>5</v>
      </c>
      <c r="G22" s="12">
        <v>6</v>
      </c>
      <c r="H22" s="12">
        <v>0</v>
      </c>
      <c r="I22" s="12">
        <v>61</v>
      </c>
      <c r="J22" s="82">
        <f t="shared" si="0"/>
        <v>6</v>
      </c>
      <c r="K22" s="12" t="s">
        <v>469</v>
      </c>
      <c r="L22" s="12"/>
      <c r="M22" s="12"/>
      <c r="N22" s="12"/>
      <c r="O22" s="12"/>
      <c r="P22" s="12"/>
      <c r="Q22" s="12"/>
      <c r="R22" s="12"/>
      <c r="S22" s="12"/>
      <c r="T22" s="12"/>
      <c r="U22" s="12"/>
      <c r="V22" s="12"/>
      <c r="W22" s="12"/>
      <c r="X22" s="12"/>
      <c r="Y22" s="12"/>
      <c r="Z22" s="12"/>
      <c r="AA22" s="12"/>
      <c r="AB22" s="12"/>
      <c r="AC22" s="12"/>
      <c r="AD22" s="12"/>
      <c r="AE22" s="12"/>
      <c r="AF22" s="12"/>
      <c r="AG22" s="12"/>
      <c r="AH22" s="12"/>
      <c r="AI22" s="12"/>
      <c r="AJ22" s="12"/>
      <c r="AK22" s="12"/>
      <c r="AL22" s="12"/>
      <c r="AM22" s="12"/>
      <c r="AN22" s="12"/>
      <c r="AO22" s="12"/>
      <c r="AP22" s="12"/>
      <c r="AQ22" s="12"/>
      <c r="AR22" s="12" t="s">
        <v>380</v>
      </c>
      <c r="AS22" s="12" t="s">
        <v>381</v>
      </c>
      <c r="AT22" s="12"/>
    </row>
    <row r="23" spans="1:46">
      <c r="A23" s="4" t="s">
        <v>410</v>
      </c>
      <c r="B23" s="12"/>
      <c r="C23" s="19" t="s">
        <v>387</v>
      </c>
      <c r="D23" s="4" t="s">
        <v>378</v>
      </c>
      <c r="E23" s="4" t="s">
        <v>73</v>
      </c>
      <c r="F23" s="12">
        <v>5</v>
      </c>
      <c r="G23" s="12">
        <v>13</v>
      </c>
      <c r="H23" s="12">
        <v>0</v>
      </c>
      <c r="I23" s="12">
        <v>56</v>
      </c>
      <c r="J23" s="82">
        <f t="shared" si="0"/>
        <v>13</v>
      </c>
      <c r="K23" s="12" t="s">
        <v>470</v>
      </c>
      <c r="L23" s="12"/>
      <c r="M23" s="12"/>
      <c r="N23" s="12"/>
      <c r="O23" s="12"/>
      <c r="P23" s="12"/>
      <c r="Q23" s="12"/>
      <c r="R23" s="12"/>
      <c r="S23" s="12"/>
      <c r="T23" s="12"/>
      <c r="U23" s="12"/>
      <c r="V23" s="12"/>
      <c r="W23" s="12"/>
      <c r="X23" s="12"/>
      <c r="Y23" s="12"/>
      <c r="Z23" s="12"/>
      <c r="AA23" s="12"/>
      <c r="AB23" s="12"/>
      <c r="AC23" s="12"/>
      <c r="AD23" s="12">
        <v>85</v>
      </c>
      <c r="AE23" s="12" t="s">
        <v>470</v>
      </c>
      <c r="AF23" s="12"/>
      <c r="AG23" s="12"/>
      <c r="AH23" s="12"/>
      <c r="AI23" s="12"/>
      <c r="AJ23" s="12"/>
      <c r="AK23" s="12"/>
      <c r="AL23" s="12"/>
      <c r="AM23" s="12"/>
      <c r="AN23" s="12"/>
      <c r="AO23" s="12"/>
      <c r="AP23" s="12"/>
      <c r="AQ23" s="12"/>
      <c r="AR23" s="12" t="s">
        <v>380</v>
      </c>
      <c r="AS23" s="12" t="s">
        <v>381</v>
      </c>
      <c r="AT23" s="12"/>
    </row>
    <row r="24" spans="1:46">
      <c r="A24" s="4" t="s">
        <v>411</v>
      </c>
      <c r="B24" s="12"/>
      <c r="C24" s="19" t="s">
        <v>387</v>
      </c>
      <c r="D24" s="4" t="s">
        <v>378</v>
      </c>
      <c r="E24" s="4" t="s">
        <v>77</v>
      </c>
      <c r="F24" s="12">
        <v>5</v>
      </c>
      <c r="G24" s="12">
        <v>13</v>
      </c>
      <c r="H24" s="12">
        <v>0</v>
      </c>
      <c r="I24" s="12">
        <v>56</v>
      </c>
      <c r="J24" s="82">
        <f t="shared" si="0"/>
        <v>13</v>
      </c>
      <c r="K24" s="12" t="s">
        <v>472</v>
      </c>
      <c r="L24" s="12"/>
      <c r="M24" s="12"/>
      <c r="N24" s="12"/>
      <c r="O24" s="12"/>
      <c r="P24" s="12"/>
      <c r="Q24" s="12"/>
      <c r="R24" s="12"/>
      <c r="S24" s="12"/>
      <c r="T24" s="12"/>
      <c r="U24" s="12"/>
      <c r="V24" s="12"/>
      <c r="W24" s="12"/>
      <c r="X24" s="12"/>
      <c r="Y24" s="12"/>
      <c r="Z24" s="12"/>
      <c r="AA24" s="12"/>
      <c r="AB24" s="12"/>
      <c r="AC24" s="12"/>
      <c r="AD24" s="12">
        <v>85</v>
      </c>
      <c r="AE24" s="12" t="s">
        <v>472</v>
      </c>
      <c r="AF24" s="12"/>
      <c r="AG24" s="12"/>
      <c r="AH24" s="12"/>
      <c r="AI24" s="12"/>
      <c r="AJ24" s="12"/>
      <c r="AK24" s="12"/>
      <c r="AL24" s="12"/>
      <c r="AM24" s="12"/>
      <c r="AN24" s="12"/>
      <c r="AO24" s="12"/>
      <c r="AP24" s="12"/>
      <c r="AQ24" s="12"/>
      <c r="AR24" s="12" t="s">
        <v>380</v>
      </c>
      <c r="AS24" s="12" t="s">
        <v>381</v>
      </c>
      <c r="AT24" s="12"/>
    </row>
    <row r="25" spans="1:46">
      <c r="A25" s="4" t="s">
        <v>433</v>
      </c>
      <c r="B25" s="12"/>
      <c r="C25" s="19" t="s">
        <v>387</v>
      </c>
      <c r="D25" s="4" t="s">
        <v>378</v>
      </c>
      <c r="E25" s="4" t="s">
        <v>81</v>
      </c>
      <c r="F25" s="12">
        <v>5</v>
      </c>
      <c r="G25" s="12">
        <v>9</v>
      </c>
      <c r="H25" s="12">
        <v>0</v>
      </c>
      <c r="I25" s="12">
        <v>41</v>
      </c>
      <c r="J25" s="82">
        <f t="shared" si="0"/>
        <v>9</v>
      </c>
      <c r="K25" s="12" t="s">
        <v>469</v>
      </c>
      <c r="L25" s="12"/>
      <c r="M25" s="12"/>
      <c r="N25" s="12"/>
      <c r="O25" s="12"/>
      <c r="P25" s="12"/>
      <c r="Q25" s="12"/>
      <c r="R25" s="12"/>
      <c r="S25" s="12"/>
      <c r="T25" s="12"/>
      <c r="U25" s="12"/>
      <c r="V25" s="12"/>
      <c r="W25" s="12"/>
      <c r="X25" s="12"/>
      <c r="Y25" s="12"/>
      <c r="Z25" s="12"/>
      <c r="AA25" s="12"/>
      <c r="AB25" s="12"/>
      <c r="AC25" s="12"/>
      <c r="AD25" s="12"/>
      <c r="AE25" s="12"/>
      <c r="AF25" s="12"/>
      <c r="AG25" s="12"/>
      <c r="AH25" s="12"/>
      <c r="AI25" s="12"/>
      <c r="AJ25" s="12"/>
      <c r="AK25" s="12"/>
      <c r="AL25" s="12"/>
      <c r="AM25" s="12"/>
      <c r="AN25" s="12"/>
      <c r="AO25" s="12"/>
      <c r="AP25" s="12"/>
      <c r="AQ25" s="12"/>
      <c r="AR25" s="12" t="s">
        <v>380</v>
      </c>
      <c r="AS25" s="12" t="s">
        <v>381</v>
      </c>
      <c r="AT25" s="12"/>
    </row>
    <row r="26" spans="1:46">
      <c r="A26" s="4" t="s">
        <v>435</v>
      </c>
      <c r="B26" s="12"/>
      <c r="C26" s="19" t="s">
        <v>387</v>
      </c>
      <c r="D26" s="4" t="s">
        <v>378</v>
      </c>
      <c r="E26" s="4" t="s">
        <v>81</v>
      </c>
      <c r="F26" s="12">
        <v>5</v>
      </c>
      <c r="G26" s="12">
        <v>9</v>
      </c>
      <c r="H26" s="12">
        <v>0</v>
      </c>
      <c r="I26" s="12">
        <v>41</v>
      </c>
      <c r="J26" s="82">
        <f t="shared" si="0"/>
        <v>9</v>
      </c>
      <c r="K26" s="12" t="s">
        <v>470</v>
      </c>
      <c r="L26" s="12"/>
      <c r="M26" s="12"/>
      <c r="N26" s="12"/>
      <c r="O26" s="12"/>
      <c r="P26" s="12"/>
      <c r="Q26" s="12"/>
      <c r="R26" s="12"/>
      <c r="S26" s="12"/>
      <c r="T26" s="12"/>
      <c r="U26" s="12"/>
      <c r="V26" s="12"/>
      <c r="W26" s="12"/>
      <c r="X26" s="12"/>
      <c r="Y26" s="12"/>
      <c r="Z26" s="12"/>
      <c r="AA26" s="12"/>
      <c r="AB26" s="12"/>
      <c r="AC26" s="12"/>
      <c r="AD26" s="12"/>
      <c r="AE26" s="12"/>
      <c r="AF26" s="12"/>
      <c r="AG26" s="12"/>
      <c r="AH26" s="12"/>
      <c r="AI26" s="12"/>
      <c r="AJ26" s="12"/>
      <c r="AK26" s="12"/>
      <c r="AL26" s="12"/>
      <c r="AM26" s="12"/>
      <c r="AN26" s="12"/>
      <c r="AO26" s="12"/>
      <c r="AP26" s="12"/>
      <c r="AQ26" s="12"/>
      <c r="AR26" s="12" t="s">
        <v>380</v>
      </c>
      <c r="AS26" s="12" t="s">
        <v>381</v>
      </c>
      <c r="AT26" s="12"/>
    </row>
    <row r="27" spans="1:46">
      <c r="A27" s="4" t="s">
        <v>557</v>
      </c>
      <c r="B27" s="12"/>
      <c r="C27" s="19" t="s">
        <v>387</v>
      </c>
      <c r="D27" s="4" t="s">
        <v>378</v>
      </c>
      <c r="E27" s="4" t="s">
        <v>85</v>
      </c>
      <c r="F27" s="12">
        <v>8</v>
      </c>
      <c r="G27" s="12">
        <v>35</v>
      </c>
      <c r="H27" s="12">
        <v>35</v>
      </c>
      <c r="I27" s="12">
        <v>136</v>
      </c>
      <c r="J27" s="82">
        <f t="shared" si="0"/>
        <v>0</v>
      </c>
      <c r="K27" s="12" t="s">
        <v>472</v>
      </c>
      <c r="L27" s="12"/>
      <c r="M27" s="12"/>
      <c r="N27" s="12"/>
      <c r="O27" s="12"/>
      <c r="P27" s="12"/>
      <c r="Q27" s="12"/>
      <c r="R27" s="12"/>
      <c r="S27" s="12"/>
      <c r="T27" s="12"/>
      <c r="U27" s="12"/>
      <c r="V27" s="12"/>
      <c r="W27" s="12"/>
      <c r="X27" s="12"/>
      <c r="Y27" s="12"/>
      <c r="Z27" s="12"/>
      <c r="AA27" s="12"/>
      <c r="AB27" s="12"/>
      <c r="AC27" s="12"/>
      <c r="AD27" s="12"/>
      <c r="AE27" s="12"/>
      <c r="AF27" s="12"/>
      <c r="AG27" s="12"/>
      <c r="AH27" s="12"/>
      <c r="AI27" s="12"/>
      <c r="AJ27" s="12"/>
      <c r="AK27" s="12"/>
      <c r="AL27" s="12"/>
      <c r="AM27" s="12"/>
      <c r="AN27" s="12"/>
      <c r="AO27" s="12"/>
      <c r="AP27" s="12"/>
      <c r="AQ27" s="12"/>
      <c r="AR27" s="12" t="s">
        <v>396</v>
      </c>
      <c r="AS27" s="12" t="s">
        <v>397</v>
      </c>
      <c r="AT27" s="12"/>
    </row>
    <row r="28" spans="1:46">
      <c r="A28" s="4" t="s">
        <v>558</v>
      </c>
      <c r="B28" s="12"/>
      <c r="C28" s="19" t="s">
        <v>387</v>
      </c>
      <c r="D28" s="4" t="s">
        <v>378</v>
      </c>
      <c r="E28" s="4" t="s">
        <v>85</v>
      </c>
      <c r="F28" s="12">
        <v>8</v>
      </c>
      <c r="G28" s="12">
        <v>35</v>
      </c>
      <c r="H28" s="12">
        <v>35</v>
      </c>
      <c r="I28" s="12">
        <v>136</v>
      </c>
      <c r="J28" s="82">
        <f t="shared" si="0"/>
        <v>0</v>
      </c>
      <c r="K28" s="12" t="s">
        <v>469</v>
      </c>
      <c r="L28" s="12"/>
      <c r="M28" s="12"/>
      <c r="N28" s="12"/>
      <c r="O28" s="12"/>
      <c r="P28" s="12"/>
      <c r="Q28" s="12"/>
      <c r="R28" s="12"/>
      <c r="S28" s="12"/>
      <c r="T28" s="12"/>
      <c r="U28" s="12"/>
      <c r="V28" s="12"/>
      <c r="W28" s="12"/>
      <c r="X28" s="12"/>
      <c r="Y28" s="12"/>
      <c r="Z28" s="12"/>
      <c r="AA28" s="12"/>
      <c r="AB28" s="12"/>
      <c r="AC28" s="12"/>
      <c r="AD28" s="12"/>
      <c r="AE28" s="12"/>
      <c r="AF28" s="12"/>
      <c r="AG28" s="12"/>
      <c r="AH28" s="12"/>
      <c r="AI28" s="12"/>
      <c r="AJ28" s="12"/>
      <c r="AK28" s="12"/>
      <c r="AL28" s="12"/>
      <c r="AM28" s="12"/>
      <c r="AN28" s="12"/>
      <c r="AO28" s="12"/>
      <c r="AP28" s="12"/>
      <c r="AQ28" s="12"/>
      <c r="AR28" s="12" t="s">
        <v>396</v>
      </c>
      <c r="AS28" s="12" t="s">
        <v>397</v>
      </c>
      <c r="AT28" s="12"/>
    </row>
    <row r="29" spans="1:46">
      <c r="A29" s="4" t="s">
        <v>559</v>
      </c>
      <c r="B29" s="12"/>
      <c r="C29" s="19" t="s">
        <v>387</v>
      </c>
      <c r="D29" s="4" t="s">
        <v>378</v>
      </c>
      <c r="E29" s="4" t="s">
        <v>85</v>
      </c>
      <c r="F29" s="12">
        <v>8</v>
      </c>
      <c r="G29" s="12">
        <v>35</v>
      </c>
      <c r="H29" s="12">
        <v>35</v>
      </c>
      <c r="I29" s="12">
        <v>136</v>
      </c>
      <c r="J29" s="82">
        <f t="shared" si="0"/>
        <v>0</v>
      </c>
      <c r="K29" s="12" t="s">
        <v>470</v>
      </c>
      <c r="L29" s="12"/>
      <c r="M29" s="12"/>
      <c r="N29" s="12"/>
      <c r="O29" s="12"/>
      <c r="P29" s="12"/>
      <c r="Q29" s="12"/>
      <c r="R29" s="12"/>
      <c r="S29" s="12"/>
      <c r="T29" s="12"/>
      <c r="U29" s="12"/>
      <c r="V29" s="12"/>
      <c r="W29" s="12"/>
      <c r="X29" s="12"/>
      <c r="Y29" s="12"/>
      <c r="Z29" s="12"/>
      <c r="AA29" s="12"/>
      <c r="AB29" s="12"/>
      <c r="AC29" s="12"/>
      <c r="AD29" s="12"/>
      <c r="AE29" s="12"/>
      <c r="AF29" s="12"/>
      <c r="AG29" s="12"/>
      <c r="AH29" s="12"/>
      <c r="AI29" s="12"/>
      <c r="AJ29" s="12"/>
      <c r="AK29" s="12"/>
      <c r="AL29" s="12"/>
      <c r="AM29" s="12"/>
      <c r="AN29" s="12"/>
      <c r="AO29" s="12"/>
      <c r="AP29" s="12"/>
      <c r="AQ29" s="12"/>
      <c r="AR29" s="12" t="s">
        <v>396</v>
      </c>
      <c r="AS29" s="12" t="s">
        <v>397</v>
      </c>
      <c r="AT29" s="12"/>
    </row>
    <row r="30" spans="1:46">
      <c r="A30" s="4" t="s">
        <v>560</v>
      </c>
      <c r="B30" s="12"/>
      <c r="C30" s="19" t="s">
        <v>387</v>
      </c>
      <c r="D30" s="4" t="s">
        <v>378</v>
      </c>
      <c r="E30" s="4" t="s">
        <v>85</v>
      </c>
      <c r="F30" s="12">
        <v>8</v>
      </c>
      <c r="G30" s="12">
        <v>35</v>
      </c>
      <c r="H30" s="12">
        <v>35</v>
      </c>
      <c r="I30" s="12">
        <v>136</v>
      </c>
      <c r="J30" s="82">
        <f t="shared" si="0"/>
        <v>0</v>
      </c>
      <c r="K30" s="12" t="s">
        <v>472</v>
      </c>
      <c r="L30" s="12"/>
      <c r="M30" s="12"/>
      <c r="N30" s="12"/>
      <c r="O30" s="12"/>
      <c r="P30" s="12"/>
      <c r="Q30" s="12"/>
      <c r="R30" s="12"/>
      <c r="S30" s="12"/>
      <c r="T30" s="12"/>
      <c r="U30" s="12"/>
      <c r="V30" s="12"/>
      <c r="W30" s="12"/>
      <c r="X30" s="12"/>
      <c r="Y30" s="12"/>
      <c r="Z30" s="12"/>
      <c r="AA30" s="12"/>
      <c r="AB30" s="12"/>
      <c r="AC30" s="12"/>
      <c r="AD30" s="12"/>
      <c r="AE30" s="12"/>
      <c r="AF30" s="12"/>
      <c r="AG30" s="12"/>
      <c r="AH30" s="12"/>
      <c r="AI30" s="12"/>
      <c r="AJ30" s="12"/>
      <c r="AK30" s="12"/>
      <c r="AL30" s="12"/>
      <c r="AM30" s="12"/>
      <c r="AN30" s="12"/>
      <c r="AO30" s="12"/>
      <c r="AP30" s="12"/>
      <c r="AQ30" s="12"/>
      <c r="AR30" s="12" t="s">
        <v>396</v>
      </c>
      <c r="AS30" s="12" t="s">
        <v>397</v>
      </c>
      <c r="AT30" s="12"/>
    </row>
    <row r="31" spans="1:46">
      <c r="A31" s="4" t="s">
        <v>412</v>
      </c>
      <c r="B31" s="12"/>
      <c r="C31" s="19" t="s">
        <v>387</v>
      </c>
      <c r="D31" s="4" t="s">
        <v>378</v>
      </c>
      <c r="E31" s="4" t="s">
        <v>100</v>
      </c>
      <c r="F31" s="12">
        <v>9</v>
      </c>
      <c r="G31" s="12">
        <v>12</v>
      </c>
      <c r="H31" s="12">
        <v>0</v>
      </c>
      <c r="I31" s="12">
        <v>56</v>
      </c>
      <c r="J31" s="82">
        <f t="shared" si="0"/>
        <v>12</v>
      </c>
      <c r="K31" s="12" t="s">
        <v>472</v>
      </c>
      <c r="L31" s="12"/>
      <c r="M31" s="12"/>
      <c r="N31" s="12"/>
      <c r="O31" s="12"/>
      <c r="P31" s="12"/>
      <c r="Q31" s="12"/>
      <c r="R31" s="12"/>
      <c r="S31" s="12"/>
      <c r="T31" s="12"/>
      <c r="U31" s="12"/>
      <c r="V31" s="12"/>
      <c r="W31" s="12"/>
      <c r="X31" s="12"/>
      <c r="Y31" s="12"/>
      <c r="Z31" s="12">
        <v>50</v>
      </c>
      <c r="AA31" s="12" t="s">
        <v>413</v>
      </c>
      <c r="AB31" s="12"/>
      <c r="AC31" s="12"/>
      <c r="AD31" s="12"/>
      <c r="AE31" s="12"/>
      <c r="AF31" s="12"/>
      <c r="AG31" s="12"/>
      <c r="AH31" s="12"/>
      <c r="AI31" s="12"/>
      <c r="AJ31" s="12"/>
      <c r="AK31" s="12"/>
      <c r="AL31" s="12"/>
      <c r="AM31" s="12"/>
      <c r="AN31" s="12"/>
      <c r="AO31" s="12"/>
      <c r="AP31" s="12"/>
      <c r="AQ31" s="12"/>
      <c r="AR31" s="12" t="s">
        <v>380</v>
      </c>
      <c r="AS31" s="12" t="s">
        <v>381</v>
      </c>
      <c r="AT31" s="12"/>
    </row>
    <row r="32" spans="1:46">
      <c r="A32" s="4" t="s">
        <v>414</v>
      </c>
      <c r="B32" s="12"/>
      <c r="C32" s="19" t="s">
        <v>387</v>
      </c>
      <c r="D32" s="4" t="s">
        <v>378</v>
      </c>
      <c r="E32" s="4" t="s">
        <v>100</v>
      </c>
      <c r="F32" s="12">
        <v>9</v>
      </c>
      <c r="G32" s="12">
        <v>12</v>
      </c>
      <c r="H32" s="12">
        <v>0</v>
      </c>
      <c r="I32" s="12">
        <v>56</v>
      </c>
      <c r="J32" s="82">
        <f t="shared" si="0"/>
        <v>12</v>
      </c>
      <c r="K32" s="12" t="s">
        <v>469</v>
      </c>
      <c r="L32" s="12"/>
      <c r="M32" s="12"/>
      <c r="N32" s="12"/>
      <c r="O32" s="12"/>
      <c r="P32" s="12"/>
      <c r="Q32" s="12"/>
      <c r="R32" s="12"/>
      <c r="S32" s="12"/>
      <c r="T32" s="12"/>
      <c r="U32" s="12"/>
      <c r="V32" s="12"/>
      <c r="W32" s="12"/>
      <c r="X32" s="12"/>
      <c r="Y32" s="12"/>
      <c r="Z32" s="12">
        <v>50</v>
      </c>
      <c r="AA32" s="12" t="s">
        <v>413</v>
      </c>
      <c r="AB32" s="12"/>
      <c r="AC32" s="12"/>
      <c r="AD32" s="12"/>
      <c r="AE32" s="12"/>
      <c r="AF32" s="12"/>
      <c r="AG32" s="12"/>
      <c r="AH32" s="12"/>
      <c r="AI32" s="12"/>
      <c r="AJ32" s="12"/>
      <c r="AK32" s="12"/>
      <c r="AL32" s="12"/>
      <c r="AM32" s="12"/>
      <c r="AN32" s="12"/>
      <c r="AO32" s="12"/>
      <c r="AP32" s="12"/>
      <c r="AQ32" s="12"/>
      <c r="AR32" s="12" t="s">
        <v>380</v>
      </c>
      <c r="AS32" s="12" t="s">
        <v>381</v>
      </c>
      <c r="AT32" s="12"/>
    </row>
    <row r="33" spans="1:46">
      <c r="A33" s="4" t="s">
        <v>415</v>
      </c>
      <c r="B33" s="12"/>
      <c r="C33" s="19" t="s">
        <v>387</v>
      </c>
      <c r="D33" s="4" t="s">
        <v>378</v>
      </c>
      <c r="E33" s="4" t="s">
        <v>416</v>
      </c>
      <c r="F33" s="12">
        <v>4</v>
      </c>
      <c r="G33" s="12">
        <v>4</v>
      </c>
      <c r="H33" s="12">
        <v>0</v>
      </c>
      <c r="I33" s="12">
        <v>41</v>
      </c>
      <c r="J33" s="82">
        <f>G33-H33</f>
        <v>4</v>
      </c>
      <c r="K33" s="12" t="s">
        <v>472</v>
      </c>
      <c r="L33" s="12"/>
      <c r="M33" s="12"/>
      <c r="N33" s="12"/>
      <c r="O33" s="12"/>
      <c r="P33" s="12"/>
      <c r="Q33" s="12"/>
      <c r="R33" s="12"/>
      <c r="S33" s="12"/>
      <c r="T33" s="12"/>
      <c r="U33" s="12"/>
      <c r="V33" s="12"/>
      <c r="W33" s="12"/>
      <c r="X33" s="12"/>
      <c r="Y33" s="12"/>
      <c r="Z33" s="12"/>
      <c r="AA33" s="12"/>
      <c r="AB33" s="12"/>
      <c r="AC33" s="12"/>
      <c r="AD33" s="12"/>
      <c r="AE33" s="12"/>
      <c r="AF33" s="12"/>
      <c r="AG33" s="12"/>
      <c r="AH33" s="12"/>
      <c r="AI33" s="12"/>
      <c r="AJ33" s="12"/>
      <c r="AK33" s="12"/>
      <c r="AL33" s="12"/>
      <c r="AM33" s="12"/>
      <c r="AN33" s="12"/>
      <c r="AO33" s="12"/>
      <c r="AP33" s="12"/>
      <c r="AQ33" s="12"/>
      <c r="AR33" s="12" t="s">
        <v>380</v>
      </c>
      <c r="AS33" s="12" t="s">
        <v>381</v>
      </c>
      <c r="AT33" s="12"/>
    </row>
    <row r="34" spans="1:46">
      <c r="A34" s="4" t="s">
        <v>417</v>
      </c>
      <c r="B34" s="12"/>
      <c r="C34" s="19" t="s">
        <v>387</v>
      </c>
      <c r="D34" s="4" t="s">
        <v>378</v>
      </c>
      <c r="E34" s="4" t="s">
        <v>418</v>
      </c>
      <c r="F34" s="12">
        <v>4</v>
      </c>
      <c r="G34" s="12">
        <v>4</v>
      </c>
      <c r="H34" s="12">
        <v>0</v>
      </c>
      <c r="I34" s="12">
        <v>41</v>
      </c>
      <c r="J34" s="82">
        <f>G34-H34</f>
        <v>4</v>
      </c>
      <c r="K34" s="12" t="s">
        <v>472</v>
      </c>
      <c r="L34" s="12"/>
      <c r="M34" s="12"/>
      <c r="N34" s="12"/>
      <c r="O34" s="12"/>
      <c r="P34" s="12"/>
      <c r="Q34" s="12"/>
      <c r="R34" s="12"/>
      <c r="S34" s="12"/>
      <c r="T34" s="12"/>
      <c r="U34" s="12"/>
      <c r="V34" s="12"/>
      <c r="W34" s="12"/>
      <c r="X34" s="12"/>
      <c r="Y34" s="12"/>
      <c r="Z34" s="12"/>
      <c r="AA34" s="12"/>
      <c r="AB34" s="12"/>
      <c r="AC34" s="12"/>
      <c r="AD34" s="12"/>
      <c r="AE34" s="12"/>
      <c r="AF34" s="12"/>
      <c r="AG34" s="12"/>
      <c r="AH34" s="12"/>
      <c r="AI34" s="12"/>
      <c r="AJ34" s="12"/>
      <c r="AK34" s="12"/>
      <c r="AL34" s="12"/>
      <c r="AM34" s="12"/>
      <c r="AN34" s="12"/>
      <c r="AO34" s="12"/>
      <c r="AP34" s="12"/>
      <c r="AQ34" s="12"/>
      <c r="AR34" s="12" t="s">
        <v>380</v>
      </c>
      <c r="AS34" s="12" t="s">
        <v>381</v>
      </c>
      <c r="AT34" s="12"/>
    </row>
    <row r="35" spans="1:46" ht="13.5" customHeight="1">
      <c r="A35" s="4" t="s">
        <v>419</v>
      </c>
      <c r="C35" s="4" t="s">
        <v>387</v>
      </c>
      <c r="D35" s="4" t="s">
        <v>378</v>
      </c>
      <c r="E35" s="13" t="s">
        <v>420</v>
      </c>
      <c r="F35" s="12">
        <v>2</v>
      </c>
      <c r="G35" s="12">
        <v>4</v>
      </c>
      <c r="H35" s="12">
        <v>0</v>
      </c>
      <c r="I35" s="12">
        <v>65</v>
      </c>
      <c r="J35" s="12">
        <f t="shared" ref="J35" si="1">G35-H35</f>
        <v>4</v>
      </c>
      <c r="K35" s="12" t="s">
        <v>469</v>
      </c>
      <c r="L35" s="12"/>
      <c r="M35" s="12"/>
      <c r="N35" s="1"/>
      <c r="O35"/>
      <c r="P35" s="12"/>
      <c r="Q35" s="12"/>
      <c r="R35" s="12"/>
      <c r="S35" s="12"/>
      <c r="T35" s="12"/>
      <c r="U35" s="12"/>
      <c r="X35" s="12"/>
      <c r="Y35" s="12"/>
      <c r="AF35" s="17"/>
      <c r="AH35" s="36">
        <v>200</v>
      </c>
      <c r="AI35" s="36" t="s">
        <v>421</v>
      </c>
      <c r="AJ35" s="82"/>
      <c r="AK35" s="82"/>
      <c r="AL35" s="82"/>
      <c r="AM35" s="82"/>
      <c r="AN35" s="82"/>
      <c r="AO35" s="82"/>
      <c r="AR35" s="12" t="s">
        <v>380</v>
      </c>
      <c r="AS35" s="12" t="s">
        <v>381</v>
      </c>
      <c r="AT35" s="12"/>
    </row>
    <row r="36" spans="1:46" s="18" customFormat="1">
      <c r="F36" s="16">
        <f>SUM(F8:F35)</f>
        <v>157</v>
      </c>
      <c r="G36" s="16">
        <f>SUM(G8:G35)</f>
        <v>393</v>
      </c>
      <c r="H36" s="16">
        <f>SUM(H8:H35)</f>
        <v>210.75</v>
      </c>
      <c r="I36" s="16">
        <f>SUM(I8:I35)</f>
        <v>2769</v>
      </c>
      <c r="J36" s="16"/>
      <c r="K36" s="16"/>
      <c r="L36" s="16">
        <f>SUM(L8:L35)</f>
        <v>66</v>
      </c>
      <c r="M36" s="16"/>
      <c r="N36" s="16">
        <f>SUM(N8:N35)</f>
        <v>1500</v>
      </c>
      <c r="O36" s="16"/>
      <c r="P36" s="16">
        <f>SUM(P8:P35)</f>
        <v>2250</v>
      </c>
      <c r="Q36" s="16"/>
      <c r="R36" s="16">
        <f>SUM(R8:R35)</f>
        <v>430</v>
      </c>
      <c r="S36" s="16"/>
      <c r="T36" s="16">
        <f>SUM(T8:T35)</f>
        <v>300</v>
      </c>
      <c r="U36" s="16"/>
      <c r="V36" s="16">
        <f>SUM(V8:V35)</f>
        <v>0</v>
      </c>
      <c r="W36" s="16"/>
      <c r="X36" s="16">
        <f>SUM(X8:X35)</f>
        <v>6855</v>
      </c>
      <c r="Z36" s="16">
        <f>SUM(Z8:Z35)</f>
        <v>100</v>
      </c>
      <c r="AB36" s="16">
        <f>SUM(AB8:AB35)</f>
        <v>50</v>
      </c>
      <c r="AD36" s="16">
        <f>SUM(AD8:AD35)</f>
        <v>170</v>
      </c>
      <c r="AF36" s="16">
        <f>SUM(AF8:AF35)</f>
        <v>0</v>
      </c>
      <c r="AH36" s="16">
        <f>SUM(AH8:AH35)</f>
        <v>200</v>
      </c>
      <c r="AJ36" s="16">
        <f>SUM(AJ8:AJ35)</f>
        <v>0</v>
      </c>
      <c r="AL36" s="16">
        <f>SUM(AL8:AL35)</f>
        <v>0</v>
      </c>
      <c r="AN36" s="16">
        <f>SUM(AN8:AN35)</f>
        <v>0</v>
      </c>
      <c r="AP36" s="16">
        <f>SUM(AP8:AP35)</f>
        <v>2500</v>
      </c>
      <c r="AS36" s="16" t="s">
        <v>561</v>
      </c>
      <c r="AT36" s="16">
        <v>2</v>
      </c>
    </row>
    <row r="37" spans="1:46" ht="13">
      <c r="A37" s="153" t="s">
        <v>423</v>
      </c>
      <c r="F37" s="12"/>
      <c r="G37" s="12"/>
      <c r="H37" s="12"/>
      <c r="I37" s="12"/>
      <c r="J37" s="12"/>
      <c r="K37" s="12"/>
      <c r="L37" s="12"/>
      <c r="M37" s="12"/>
      <c r="N37" s="12"/>
      <c r="O37" s="12"/>
      <c r="P37" s="12"/>
      <c r="Q37" s="12"/>
      <c r="R37" s="12"/>
      <c r="S37" s="12"/>
      <c r="T37" s="12"/>
      <c r="U37" s="12"/>
      <c r="V37" s="12"/>
      <c r="W37" s="12"/>
      <c r="X37" s="12"/>
      <c r="Z37" s="12"/>
      <c r="AB37" s="12"/>
      <c r="AD37" s="12"/>
      <c r="AF37" s="12"/>
      <c r="AH37" s="12"/>
      <c r="AP37" s="12"/>
      <c r="AS37" s="12"/>
      <c r="AT37" s="12"/>
    </row>
    <row r="38" spans="1:46" ht="13.5" customHeight="1">
      <c r="A38" s="14" t="s">
        <v>424</v>
      </c>
      <c r="F38" s="12"/>
      <c r="G38" s="12"/>
      <c r="H38" s="12"/>
      <c r="I38" s="12"/>
      <c r="J38" s="12"/>
      <c r="K38" s="12"/>
      <c r="L38" s="12"/>
      <c r="M38" s="12"/>
      <c r="N38" s="12"/>
      <c r="O38"/>
      <c r="P38" s="12"/>
      <c r="Q38" s="12"/>
      <c r="R38" s="12"/>
      <c r="S38" s="12"/>
      <c r="T38" s="12"/>
      <c r="U38" s="12"/>
      <c r="V38" s="12"/>
      <c r="X38" s="12"/>
      <c r="Z38" s="12"/>
      <c r="AB38" s="12"/>
      <c r="AD38" s="12"/>
      <c r="AF38" s="12"/>
      <c r="AG38" s="12"/>
      <c r="AH38" s="12"/>
    </row>
    <row r="39" spans="1:46" s="17" customFormat="1" ht="13.5" customHeight="1">
      <c r="A39" s="17" t="s">
        <v>419</v>
      </c>
      <c r="C39" s="17" t="s">
        <v>387</v>
      </c>
      <c r="D39" s="17" t="s">
        <v>378</v>
      </c>
      <c r="E39" s="17" t="s">
        <v>425</v>
      </c>
      <c r="F39" s="15">
        <v>7</v>
      </c>
      <c r="G39" s="15">
        <v>16</v>
      </c>
      <c r="H39" s="15">
        <v>0</v>
      </c>
      <c r="I39" s="15">
        <v>28</v>
      </c>
      <c r="J39" s="15">
        <f>G39-H39</f>
        <v>16</v>
      </c>
      <c r="K39" s="15" t="s">
        <v>469</v>
      </c>
      <c r="L39" s="15"/>
      <c r="M39" s="15"/>
      <c r="N39" s="96"/>
      <c r="O39" s="95"/>
      <c r="P39" s="15"/>
      <c r="Q39" s="15"/>
      <c r="R39" s="15">
        <v>120</v>
      </c>
      <c r="S39" s="15" t="s">
        <v>394</v>
      </c>
      <c r="V39" s="15"/>
      <c r="W39" s="15"/>
      <c r="X39" s="15">
        <v>340</v>
      </c>
      <c r="Y39" s="15" t="s">
        <v>179</v>
      </c>
      <c r="AD39" s="15"/>
      <c r="AE39" s="15"/>
      <c r="AF39" s="15"/>
      <c r="AG39" s="15"/>
      <c r="AH39" s="15"/>
      <c r="AR39" s="15"/>
      <c r="AS39" s="15"/>
    </row>
    <row r="40" spans="1:46" ht="13.5" customHeight="1">
      <c r="F40" s="12">
        <f>SUM(F39:F39)+F36</f>
        <v>164</v>
      </c>
      <c r="G40" s="12">
        <f>SUM(G39:G39)+G36</f>
        <v>409</v>
      </c>
      <c r="H40" s="12">
        <f>SUM(H39:H39)+H36</f>
        <v>210.75</v>
      </c>
      <c r="I40" s="12">
        <f>SUM(I39:I39)+I36</f>
        <v>2797</v>
      </c>
      <c r="J40" s="12"/>
      <c r="K40" s="12"/>
      <c r="L40" s="12">
        <f>SUM(L39:L39)+L36</f>
        <v>66</v>
      </c>
      <c r="M40" s="12"/>
      <c r="N40" s="12">
        <f>SUM(N39:N39)+N36</f>
        <v>1500</v>
      </c>
      <c r="O40"/>
      <c r="P40" s="12">
        <f>SUM(P39:P39)+P36</f>
        <v>2250</v>
      </c>
      <c r="Q40" s="12"/>
      <c r="R40" s="12">
        <f>SUM(R39:R39)+R36</f>
        <v>550</v>
      </c>
      <c r="S40" s="12"/>
      <c r="T40" s="12">
        <f>SUM(T39:T39)+T36</f>
        <v>300</v>
      </c>
      <c r="V40" s="12">
        <f>SUM(V39:V39)+V36</f>
        <v>0</v>
      </c>
      <c r="W40" s="12"/>
      <c r="X40" s="12">
        <f>SUM(X39:X39)+X36</f>
        <v>7195</v>
      </c>
      <c r="Z40" s="12">
        <f>SUM(Z39:Z39)+Z36</f>
        <v>100</v>
      </c>
      <c r="AB40" s="12">
        <f>SUM(AB39:AB39)+AB36</f>
        <v>50</v>
      </c>
      <c r="AD40" s="12">
        <f>SUM(AD39:AD39)+AD36</f>
        <v>170</v>
      </c>
      <c r="AE40" s="12"/>
      <c r="AF40" s="12">
        <f>SUM(AF39:AF39)+AF36</f>
        <v>0</v>
      </c>
      <c r="AG40" s="12"/>
      <c r="AH40" s="12">
        <f>SUM(AH39:AH39)+AH36</f>
        <v>200</v>
      </c>
      <c r="AJ40" s="12">
        <f>SUM(AJ39:AJ39)+AJ36</f>
        <v>0</v>
      </c>
      <c r="AL40" s="12">
        <f>SUM(AL39:AL39)+AL36</f>
        <v>0</v>
      </c>
      <c r="AN40" s="12">
        <f>SUM(AN39:AN39)+AN36</f>
        <v>0</v>
      </c>
      <c r="AP40" s="12">
        <f>SUM(AP39:AP39)+AP36</f>
        <v>2500</v>
      </c>
      <c r="AS40" s="12" t="s">
        <v>561</v>
      </c>
      <c r="AT40" s="12">
        <v>2</v>
      </c>
    </row>
    <row r="41" spans="1:46">
      <c r="F41" s="12"/>
      <c r="G41" s="12"/>
      <c r="H41" s="12"/>
      <c r="I41" s="12"/>
      <c r="J41" s="12"/>
      <c r="K41" s="12"/>
      <c r="L41" s="12"/>
      <c r="M41" s="12"/>
      <c r="N41" s="12"/>
      <c r="O41" s="12"/>
      <c r="P41" s="12"/>
      <c r="Q41" s="12"/>
      <c r="R41" s="12"/>
      <c r="S41" s="12"/>
      <c r="T41" s="12"/>
      <c r="U41" s="12"/>
      <c r="V41" s="12"/>
      <c r="W41" s="12"/>
      <c r="X41" s="12"/>
      <c r="Z41" s="12"/>
      <c r="AB41" s="12"/>
      <c r="AD41" s="12"/>
      <c r="AF41" s="12"/>
      <c r="AH41" s="12"/>
      <c r="AP41" s="12"/>
      <c r="AS41" s="12"/>
      <c r="AT41" s="12"/>
    </row>
    <row r="42" spans="1:46">
      <c r="F42" s="12"/>
      <c r="G42" s="12"/>
      <c r="H42" s="12"/>
      <c r="I42" s="12"/>
      <c r="J42" s="12"/>
      <c r="K42" s="12"/>
      <c r="L42" s="12"/>
      <c r="M42" s="12"/>
      <c r="N42" s="12"/>
      <c r="O42" s="12"/>
      <c r="P42" s="12"/>
      <c r="Q42" s="12"/>
      <c r="R42" s="12"/>
      <c r="S42" s="12"/>
      <c r="T42" s="12"/>
      <c r="U42" s="12"/>
      <c r="V42" s="12"/>
      <c r="W42" s="12"/>
      <c r="X42" s="12"/>
    </row>
    <row r="43" spans="1:46" ht="13">
      <c r="A43" s="163" t="s">
        <v>427</v>
      </c>
      <c r="B43" s="163"/>
      <c r="C43" s="163"/>
      <c r="D43" s="163"/>
      <c r="E43" s="23" t="s">
        <v>562</v>
      </c>
      <c r="F43" s="85">
        <f>96-(IF(E9="vCSA8.0", 2, 1))</f>
        <v>94</v>
      </c>
      <c r="G43" s="85">
        <f>6*(128-(IF(E9="vCSA8.0", 12, 8)))</f>
        <v>696</v>
      </c>
      <c r="H43" s="164" t="str">
        <f>"Note1: The hardware resource pool provided here corresponds only to MantaRay NM virtual machines. If optional virtual machines are used then plan for the hardware resources accordingly.
Note2: ESXi reserves " &amp; IF(E9="vCSA8.0", 12, 8) &amp;" GB Memory for internal purpose
Note3: "&amp; IF(E9="vCSA8.0", 2, 1) &amp; " CPU is used by vSphere "&amp; IF(E9="vCSA8.0", "8.0", "7.0 U1") &amp;" onwards for internal functionality."</f>
        <v>Note1: The hardware resource pool provided here corresponds only to MantaRay NM virtual machines. If optional virtual machines are used then plan for the hardware resources accordingly.
Note2: ESXi reserves 12 GB Memory for internal purpose
Note3: 2 CPU is used by vSphere 8.0 onwards for internal functionality.</v>
      </c>
      <c r="I43" s="164"/>
      <c r="J43" s="164"/>
      <c r="K43" s="164"/>
      <c r="L43" s="164"/>
      <c r="M43" s="164"/>
      <c r="N43" s="164"/>
      <c r="O43" s="164"/>
      <c r="P43" s="20"/>
      <c r="Q43" s="20"/>
      <c r="R43" s="20"/>
      <c r="S43" s="20"/>
      <c r="T43" s="20"/>
      <c r="U43" s="20"/>
      <c r="V43" s="20"/>
      <c r="W43" s="20"/>
      <c r="X43" s="20"/>
      <c r="Y43" s="20"/>
      <c r="Z43" s="20"/>
      <c r="AA43" s="20"/>
      <c r="AB43" s="20"/>
      <c r="AC43" s="20"/>
      <c r="AD43" s="20"/>
      <c r="AE43" s="20"/>
      <c r="AF43" s="20"/>
      <c r="AG43" s="20"/>
      <c r="AH43" s="20"/>
      <c r="AI43" s="20"/>
      <c r="AJ43" s="20"/>
      <c r="AK43" s="20"/>
      <c r="AL43" s="20"/>
      <c r="AM43" s="20"/>
      <c r="AN43" s="20"/>
      <c r="AO43" s="20"/>
      <c r="AP43" s="20"/>
      <c r="AQ43" s="20"/>
      <c r="AR43" s="20"/>
      <c r="AS43" s="20"/>
      <c r="AT43" s="20"/>
    </row>
    <row r="44" spans="1:46" ht="13">
      <c r="A44" s="163"/>
      <c r="B44" s="163"/>
      <c r="C44" s="163"/>
      <c r="D44" s="163"/>
      <c r="E44" s="23" t="s">
        <v>563</v>
      </c>
      <c r="F44" s="85">
        <f>128-(IF(E9="vCSA8.0", 2, 1))</f>
        <v>126</v>
      </c>
      <c r="G44" s="85">
        <f>4*(384-(IF(E9="vCSA8.0", 12, 8)))</f>
        <v>1488</v>
      </c>
      <c r="H44" s="164"/>
      <c r="I44" s="164"/>
      <c r="J44" s="164"/>
      <c r="K44" s="164"/>
      <c r="L44" s="164"/>
      <c r="M44" s="164"/>
      <c r="N44" s="164"/>
      <c r="O44" s="164"/>
      <c r="P44" s="20"/>
      <c r="Q44" s="20"/>
      <c r="R44" s="20"/>
      <c r="S44" s="20"/>
      <c r="T44" s="20"/>
      <c r="U44" s="20"/>
      <c r="V44" s="20"/>
      <c r="W44" s="20"/>
      <c r="X44" s="20"/>
      <c r="Y44" s="20"/>
      <c r="Z44" s="20"/>
      <c r="AA44" s="20"/>
      <c r="AB44" s="20"/>
      <c r="AC44" s="20"/>
      <c r="AD44" s="20"/>
      <c r="AE44" s="20"/>
      <c r="AF44" s="20"/>
      <c r="AG44" s="20"/>
      <c r="AH44" s="20"/>
      <c r="AI44" s="20"/>
      <c r="AJ44" s="20"/>
      <c r="AK44" s="20"/>
      <c r="AL44" s="20"/>
      <c r="AM44" s="20"/>
      <c r="AN44" s="20"/>
      <c r="AO44" s="20"/>
      <c r="AP44" s="20"/>
      <c r="AQ44" s="20"/>
      <c r="AR44" s="20"/>
      <c r="AS44" s="20"/>
      <c r="AT44" s="20"/>
    </row>
    <row r="45" spans="1:46" ht="13.5" customHeight="1">
      <c r="A45" s="85"/>
      <c r="B45" s="85"/>
      <c r="C45" s="85"/>
      <c r="D45" s="85"/>
      <c r="E45" s="23" t="s">
        <v>478</v>
      </c>
      <c r="F45" s="85">
        <f>(3*2*28)-(IF(E9="vCSA8.0", 2, 1))</f>
        <v>166</v>
      </c>
      <c r="G45" s="85">
        <f>3*(512-(IF(E9="vCSA8.0", 12, 8)))</f>
        <v>1500</v>
      </c>
      <c r="H45" s="164"/>
      <c r="I45" s="164"/>
      <c r="J45" s="164"/>
      <c r="K45" s="164"/>
      <c r="L45" s="164"/>
      <c r="M45" s="164"/>
      <c r="N45" s="164"/>
      <c r="O45" s="164"/>
      <c r="P45" s="20"/>
      <c r="Q45" s="20"/>
      <c r="R45" s="20"/>
      <c r="S45" s="20"/>
      <c r="T45" s="20"/>
      <c r="U45" s="20"/>
      <c r="V45" s="20"/>
      <c r="W45" s="20"/>
      <c r="X45" s="20"/>
      <c r="Y45" s="20"/>
      <c r="Z45" s="20"/>
      <c r="AA45" s="20"/>
      <c r="AB45" s="20"/>
      <c r="AC45" s="20"/>
      <c r="AD45" s="20"/>
      <c r="AE45" s="20"/>
      <c r="AF45" s="20"/>
      <c r="AG45" s="20"/>
      <c r="AH45" s="20"/>
      <c r="AI45" s="20"/>
      <c r="AJ45" s="20"/>
      <c r="AK45" s="20"/>
      <c r="AL45" s="20"/>
      <c r="AM45" s="20"/>
      <c r="AN45" s="20"/>
      <c r="AO45" s="20"/>
      <c r="AP45" s="20"/>
      <c r="AQ45" s="20"/>
      <c r="AR45" s="20"/>
      <c r="AS45" s="20"/>
      <c r="AT45" s="20"/>
    </row>
    <row r="46" spans="1:46" ht="14.15" customHeight="1">
      <c r="A46" s="85"/>
      <c r="B46" s="85"/>
      <c r="C46" s="85"/>
      <c r="D46" s="85"/>
      <c r="E46" s="23" t="s">
        <v>479</v>
      </c>
      <c r="F46" s="85">
        <f>(3*2*28)-(IF(E9="vCSA8.0", 2, 1))</f>
        <v>166</v>
      </c>
      <c r="G46" s="85">
        <f>3*(512-(IF(E9="vCSA8.0", 12, 8)))</f>
        <v>1500</v>
      </c>
      <c r="H46" s="164"/>
      <c r="I46" s="164"/>
      <c r="J46" s="164"/>
      <c r="K46" s="164"/>
      <c r="L46" s="164"/>
      <c r="M46" s="164"/>
      <c r="N46" s="164"/>
      <c r="O46" s="164"/>
      <c r="P46" s="20"/>
      <c r="Q46" s="20"/>
      <c r="R46" s="20"/>
      <c r="S46" s="20"/>
      <c r="T46" s="20"/>
      <c r="U46" s="20"/>
      <c r="V46" s="20"/>
      <c r="W46" s="20"/>
      <c r="X46" s="20"/>
      <c r="Y46" s="20"/>
      <c r="Z46" s="20"/>
      <c r="AA46" s="20"/>
      <c r="AB46" s="20"/>
      <c r="AC46" s="20"/>
      <c r="AD46" s="20"/>
      <c r="AE46" s="20"/>
      <c r="AF46" s="20"/>
      <c r="AG46" s="20"/>
      <c r="AH46" s="20"/>
      <c r="AI46" s="20"/>
      <c r="AJ46" s="20"/>
      <c r="AK46" s="20"/>
      <c r="AL46" s="20"/>
      <c r="AM46" s="20"/>
      <c r="AN46" s="20"/>
      <c r="AO46" s="20"/>
      <c r="AP46" s="20"/>
      <c r="AQ46" s="20"/>
      <c r="AR46" s="20"/>
      <c r="AS46" s="20"/>
      <c r="AT46" s="20"/>
    </row>
    <row r="47" spans="1:46" ht="13.5" customHeight="1">
      <c r="A47" s="85"/>
      <c r="B47" s="85"/>
      <c r="C47" s="85"/>
      <c r="D47" s="85"/>
      <c r="E47" s="23" t="s">
        <v>564</v>
      </c>
      <c r="F47" s="85">
        <f>(4*2*32)-(IF(E9="vCSA8.0", 2, 1))</f>
        <v>254</v>
      </c>
      <c r="G47" s="85">
        <f>4*(512-(IF(E9="vCSA8.0", 12, 8)))</f>
        <v>2000</v>
      </c>
      <c r="H47" s="164"/>
      <c r="I47" s="164"/>
      <c r="J47" s="164"/>
      <c r="K47" s="164"/>
      <c r="L47" s="164"/>
      <c r="M47" s="164"/>
      <c r="N47" s="164"/>
      <c r="O47" s="164"/>
      <c r="P47" s="20"/>
      <c r="Q47" s="20"/>
      <c r="R47" s="20"/>
      <c r="S47" s="20"/>
      <c r="T47" s="20"/>
      <c r="U47" s="20"/>
      <c r="V47" s="20"/>
      <c r="W47" s="20"/>
      <c r="X47" s="20"/>
      <c r="Y47" s="20"/>
      <c r="Z47" s="20"/>
      <c r="AA47" s="20"/>
      <c r="AB47" s="20"/>
      <c r="AC47" s="20"/>
      <c r="AD47" s="20"/>
      <c r="AE47" s="20"/>
      <c r="AF47" s="20"/>
      <c r="AG47" s="20"/>
      <c r="AH47" s="20"/>
      <c r="AI47" s="20"/>
      <c r="AJ47" s="20"/>
      <c r="AK47" s="20"/>
      <c r="AL47" s="20"/>
      <c r="AM47" s="20"/>
      <c r="AN47" s="20"/>
      <c r="AO47" s="20"/>
      <c r="AP47" s="20"/>
      <c r="AQ47" s="20"/>
      <c r="AR47" s="20"/>
      <c r="AS47" s="20"/>
      <c r="AT47" s="20"/>
    </row>
    <row r="48" spans="1:46">
      <c r="F48" s="12"/>
      <c r="G48" s="12"/>
      <c r="H48" s="12"/>
      <c r="I48" s="12"/>
      <c r="J48" s="12"/>
      <c r="K48" s="12"/>
      <c r="L48" s="12"/>
      <c r="M48" s="12"/>
      <c r="N48" s="12"/>
      <c r="O48" s="12"/>
      <c r="P48" s="12"/>
      <c r="Q48" s="12"/>
      <c r="R48" s="12"/>
      <c r="S48" s="12"/>
      <c r="T48" s="12"/>
      <c r="U48" s="12"/>
      <c r="V48" s="12"/>
      <c r="W48" s="12"/>
      <c r="X48" s="12"/>
    </row>
    <row r="49" spans="1:46" ht="14.5">
      <c r="A49" s="173" t="s">
        <v>565</v>
      </c>
      <c r="B49" s="174"/>
      <c r="C49" s="174"/>
      <c r="D49" s="174"/>
      <c r="E49" s="174"/>
      <c r="F49" s="127"/>
      <c r="G49" s="12"/>
      <c r="H49" s="12"/>
      <c r="I49" s="12"/>
      <c r="J49" s="12"/>
      <c r="K49" s="12"/>
      <c r="L49" s="12"/>
      <c r="M49" s="12"/>
      <c r="N49" s="12"/>
      <c r="O49" s="12"/>
      <c r="P49" s="12"/>
      <c r="Q49" s="12"/>
      <c r="R49" s="12"/>
      <c r="S49" s="12"/>
      <c r="T49" s="12"/>
      <c r="U49" s="12"/>
      <c r="V49" s="12"/>
      <c r="W49" s="12"/>
      <c r="X49" s="12"/>
    </row>
    <row r="50" spans="1:46">
      <c r="F50" s="12"/>
      <c r="G50" s="12"/>
      <c r="H50" s="12"/>
      <c r="I50" s="12"/>
      <c r="J50" s="12"/>
      <c r="K50" s="12"/>
      <c r="L50" s="12"/>
      <c r="M50" s="12"/>
      <c r="N50" s="12"/>
      <c r="O50" s="12"/>
      <c r="P50" s="12"/>
      <c r="Q50" s="12"/>
      <c r="R50" s="12"/>
      <c r="S50" s="12"/>
      <c r="T50" s="12"/>
      <c r="U50" s="12"/>
      <c r="V50" s="12"/>
      <c r="W50" s="12"/>
      <c r="X50" s="12"/>
    </row>
    <row r="51" spans="1:46" ht="13">
      <c r="A51" s="14" t="s">
        <v>430</v>
      </c>
    </row>
    <row r="52" spans="1:46">
      <c r="A52" s="4" t="s">
        <v>431</v>
      </c>
      <c r="C52" s="4" t="s">
        <v>387</v>
      </c>
      <c r="D52" s="4" t="s">
        <v>378</v>
      </c>
      <c r="E52" s="4" t="s">
        <v>21</v>
      </c>
      <c r="F52" s="12">
        <v>8</v>
      </c>
      <c r="G52" s="12">
        <v>32</v>
      </c>
      <c r="H52" s="12">
        <v>0</v>
      </c>
      <c r="I52" s="12">
        <v>71</v>
      </c>
      <c r="J52" s="82">
        <f t="shared" ref="J52:J80" si="2">G52-H52</f>
        <v>32</v>
      </c>
      <c r="K52" s="12"/>
      <c r="L52" s="12"/>
      <c r="M52" s="12"/>
      <c r="N52" s="12"/>
      <c r="O52" s="12"/>
      <c r="P52" s="12"/>
      <c r="Q52" s="12"/>
      <c r="R52" s="12"/>
      <c r="S52" s="12"/>
      <c r="T52" s="12"/>
      <c r="U52" s="12"/>
      <c r="V52" s="12"/>
      <c r="W52" s="12"/>
      <c r="X52" s="12"/>
      <c r="AR52" s="12" t="s">
        <v>380</v>
      </c>
      <c r="AS52" s="12" t="s">
        <v>381</v>
      </c>
      <c r="AT52" s="12"/>
    </row>
    <row r="53" spans="1:46">
      <c r="A53" s="4" t="s">
        <v>566</v>
      </c>
      <c r="B53" s="12"/>
      <c r="C53" s="19" t="s">
        <v>387</v>
      </c>
      <c r="D53" s="19" t="s">
        <v>434</v>
      </c>
      <c r="E53" s="4" t="s">
        <v>89</v>
      </c>
      <c r="F53" s="12">
        <v>4</v>
      </c>
      <c r="G53" s="12">
        <v>4</v>
      </c>
      <c r="H53" s="12">
        <v>0</v>
      </c>
      <c r="I53" s="12">
        <v>100</v>
      </c>
      <c r="J53" s="82">
        <f t="shared" si="2"/>
        <v>4</v>
      </c>
      <c r="K53" s="12" t="s">
        <v>469</v>
      </c>
      <c r="L53" s="12"/>
      <c r="M53" s="12"/>
      <c r="N53" s="12"/>
      <c r="O53" s="12"/>
      <c r="P53" s="12"/>
      <c r="Q53" s="12"/>
      <c r="R53" s="12"/>
      <c r="S53" s="12"/>
      <c r="T53" s="12"/>
      <c r="U53" s="12"/>
      <c r="V53" s="12"/>
      <c r="W53" s="12"/>
      <c r="X53" s="12"/>
      <c r="Y53" s="12"/>
      <c r="Z53" s="12"/>
      <c r="AA53" s="12"/>
      <c r="AB53" s="12"/>
      <c r="AC53" s="12"/>
      <c r="AD53" s="12"/>
      <c r="AE53" s="12"/>
      <c r="AF53" s="12"/>
      <c r="AG53" s="12"/>
      <c r="AH53" s="12"/>
      <c r="AI53" s="12"/>
      <c r="AJ53" s="12"/>
      <c r="AK53" s="12"/>
      <c r="AL53" s="12"/>
      <c r="AM53" s="12"/>
      <c r="AN53" s="12"/>
      <c r="AO53" s="12"/>
      <c r="AP53" s="12"/>
      <c r="AQ53" s="12"/>
      <c r="AR53" s="12" t="s">
        <v>380</v>
      </c>
      <c r="AS53" s="12" t="s">
        <v>381</v>
      </c>
      <c r="AT53" s="12"/>
    </row>
    <row r="54" spans="1:46">
      <c r="A54" s="4" t="s">
        <v>567</v>
      </c>
      <c r="B54" s="12"/>
      <c r="C54" s="19" t="s">
        <v>387</v>
      </c>
      <c r="D54" s="19" t="s">
        <v>434</v>
      </c>
      <c r="E54" s="4" t="s">
        <v>97</v>
      </c>
      <c r="F54" s="12">
        <v>4</v>
      </c>
      <c r="G54" s="12">
        <v>16</v>
      </c>
      <c r="H54" s="12">
        <v>0</v>
      </c>
      <c r="I54" s="12">
        <v>110</v>
      </c>
      <c r="J54" s="82">
        <f t="shared" si="2"/>
        <v>16</v>
      </c>
      <c r="K54" s="12" t="s">
        <v>470</v>
      </c>
      <c r="L54" s="12"/>
      <c r="M54" s="12"/>
      <c r="N54" s="12"/>
      <c r="O54" s="12"/>
      <c r="P54" s="12"/>
      <c r="Q54" s="12"/>
      <c r="R54" s="12"/>
      <c r="S54" s="12"/>
      <c r="T54" s="12"/>
      <c r="U54" s="12"/>
      <c r="V54" s="12"/>
      <c r="W54" s="12"/>
      <c r="X54" s="12"/>
      <c r="Y54" s="12"/>
      <c r="Z54" s="12"/>
      <c r="AA54" s="12"/>
      <c r="AB54" s="12"/>
      <c r="AC54" s="12"/>
      <c r="AD54" s="12"/>
      <c r="AE54" s="12"/>
      <c r="AF54" s="12"/>
      <c r="AG54" s="12"/>
      <c r="AH54" s="12"/>
      <c r="AI54" s="12"/>
      <c r="AJ54" s="12"/>
      <c r="AK54" s="12"/>
      <c r="AL54" s="12"/>
      <c r="AM54" s="12"/>
      <c r="AN54" s="12"/>
      <c r="AO54" s="12"/>
      <c r="AP54" s="12"/>
      <c r="AQ54" s="12"/>
      <c r="AR54" s="12" t="s">
        <v>380</v>
      </c>
      <c r="AS54" s="12" t="s">
        <v>381</v>
      </c>
      <c r="AT54" s="12"/>
    </row>
    <row r="55" spans="1:46">
      <c r="A55" s="4" t="s">
        <v>436</v>
      </c>
      <c r="B55" s="12"/>
      <c r="C55" s="19" t="s">
        <v>387</v>
      </c>
      <c r="D55" s="19" t="s">
        <v>434</v>
      </c>
      <c r="E55" s="4" t="s">
        <v>93</v>
      </c>
      <c r="F55" s="12">
        <v>4</v>
      </c>
      <c r="G55" s="12">
        <v>14</v>
      </c>
      <c r="H55" s="12">
        <v>0</v>
      </c>
      <c r="I55" s="12">
        <v>120</v>
      </c>
      <c r="J55" s="82">
        <f t="shared" si="2"/>
        <v>14</v>
      </c>
      <c r="K55" s="12" t="s">
        <v>470</v>
      </c>
      <c r="L55" s="12"/>
      <c r="M55" s="12"/>
      <c r="N55" s="12"/>
      <c r="O55" s="12"/>
      <c r="P55" s="12"/>
      <c r="Q55" s="12"/>
      <c r="R55" s="12"/>
      <c r="S55" s="12"/>
      <c r="T55" s="12"/>
      <c r="U55" s="12"/>
      <c r="V55" s="12"/>
      <c r="W55" s="12"/>
      <c r="X55" s="12"/>
      <c r="Y55" s="12"/>
      <c r="Z55" s="12"/>
      <c r="AA55" s="12"/>
      <c r="AB55" s="12"/>
      <c r="AC55" s="12"/>
      <c r="AD55" s="12"/>
      <c r="AE55" s="12"/>
      <c r="AF55" s="12"/>
      <c r="AG55" s="12"/>
      <c r="AH55" s="12"/>
      <c r="AI55" s="12"/>
      <c r="AJ55" s="12"/>
      <c r="AK55" s="12"/>
      <c r="AL55" s="12"/>
      <c r="AM55" s="12"/>
      <c r="AN55" s="12"/>
      <c r="AO55" s="12"/>
      <c r="AP55" s="12"/>
      <c r="AQ55" s="12"/>
      <c r="AR55" s="12" t="s">
        <v>380</v>
      </c>
      <c r="AS55" s="12" t="s">
        <v>381</v>
      </c>
      <c r="AT55" s="12"/>
    </row>
    <row r="56" spans="1:46">
      <c r="A56" s="4" t="s">
        <v>481</v>
      </c>
      <c r="C56" s="4" t="s">
        <v>387</v>
      </c>
      <c r="D56" s="19" t="s">
        <v>434</v>
      </c>
      <c r="E56" s="4" t="s">
        <v>89</v>
      </c>
      <c r="F56" s="12">
        <v>4</v>
      </c>
      <c r="G56" s="12">
        <v>4</v>
      </c>
      <c r="H56" s="12">
        <v>0</v>
      </c>
      <c r="I56" s="12">
        <v>100</v>
      </c>
      <c r="J56" s="82">
        <f t="shared" si="2"/>
        <v>4</v>
      </c>
      <c r="K56" s="12"/>
      <c r="L56" s="12"/>
      <c r="M56" s="12"/>
      <c r="N56" s="12"/>
      <c r="O56" s="12"/>
      <c r="P56" s="12"/>
      <c r="Q56" s="12"/>
      <c r="R56" s="12"/>
      <c r="S56" s="12"/>
      <c r="T56" s="12"/>
      <c r="U56" s="12"/>
      <c r="V56" s="12"/>
      <c r="W56" s="12"/>
      <c r="X56" s="12"/>
      <c r="AR56" s="12" t="s">
        <v>380</v>
      </c>
      <c r="AS56" s="12" t="s">
        <v>381</v>
      </c>
      <c r="AT56" s="12"/>
    </row>
    <row r="57" spans="1:46">
      <c r="A57" s="4" t="s">
        <v>437</v>
      </c>
      <c r="C57" s="4" t="s">
        <v>387</v>
      </c>
      <c r="D57" s="19" t="s">
        <v>434</v>
      </c>
      <c r="E57" s="4" t="s">
        <v>97</v>
      </c>
      <c r="F57" s="12">
        <v>4</v>
      </c>
      <c r="G57" s="12">
        <v>16</v>
      </c>
      <c r="H57" s="12">
        <v>0</v>
      </c>
      <c r="I57" s="12">
        <v>100</v>
      </c>
      <c r="J57" s="82">
        <f t="shared" si="2"/>
        <v>16</v>
      </c>
      <c r="K57" s="12"/>
      <c r="L57" s="12"/>
      <c r="M57" s="12"/>
      <c r="N57" s="12"/>
      <c r="O57" s="12"/>
      <c r="P57" s="12"/>
      <c r="Q57" s="12"/>
      <c r="R57" s="12"/>
      <c r="S57" s="12"/>
      <c r="T57" s="12"/>
      <c r="U57" s="12"/>
      <c r="V57" s="12"/>
      <c r="W57" s="12"/>
      <c r="X57" s="12"/>
      <c r="AR57" s="12" t="s">
        <v>380</v>
      </c>
      <c r="AS57" s="12" t="s">
        <v>381</v>
      </c>
      <c r="AT57" s="12"/>
    </row>
    <row r="58" spans="1:46">
      <c r="A58" s="4" t="s">
        <v>482</v>
      </c>
      <c r="C58" s="4" t="s">
        <v>387</v>
      </c>
      <c r="D58" s="19" t="s">
        <v>434</v>
      </c>
      <c r="E58" s="4" t="s">
        <v>97</v>
      </c>
      <c r="F58" s="12">
        <v>4</v>
      </c>
      <c r="G58" s="12">
        <v>16</v>
      </c>
      <c r="H58" s="12">
        <v>0</v>
      </c>
      <c r="I58" s="12">
        <v>100</v>
      </c>
      <c r="J58" s="82">
        <f t="shared" si="2"/>
        <v>16</v>
      </c>
      <c r="K58" s="12"/>
      <c r="L58" s="12"/>
      <c r="M58" s="12"/>
      <c r="N58" s="12"/>
      <c r="O58" s="12"/>
      <c r="P58" s="12"/>
      <c r="Q58" s="12"/>
      <c r="R58" s="12"/>
      <c r="S58" s="12"/>
      <c r="T58" s="12"/>
      <c r="U58" s="12"/>
      <c r="V58" s="12"/>
      <c r="W58" s="12"/>
      <c r="X58" s="12"/>
      <c r="AR58" s="12" t="s">
        <v>380</v>
      </c>
      <c r="AS58" s="12" t="s">
        <v>381</v>
      </c>
      <c r="AT58" s="12"/>
    </row>
    <row r="59" spans="1:46">
      <c r="A59" s="4" t="s">
        <v>568</v>
      </c>
      <c r="C59" s="4" t="s">
        <v>387</v>
      </c>
      <c r="D59" s="19" t="s">
        <v>434</v>
      </c>
      <c r="E59" s="4" t="s">
        <v>97</v>
      </c>
      <c r="F59" s="12">
        <v>4</v>
      </c>
      <c r="G59" s="12">
        <v>16</v>
      </c>
      <c r="H59" s="12">
        <v>0</v>
      </c>
      <c r="I59" s="12">
        <v>100</v>
      </c>
      <c r="J59" s="82">
        <f t="shared" si="2"/>
        <v>16</v>
      </c>
      <c r="K59" s="12"/>
      <c r="L59" s="12"/>
      <c r="M59" s="12"/>
      <c r="N59" s="12"/>
      <c r="O59" s="12"/>
      <c r="P59" s="12"/>
      <c r="Q59" s="12"/>
      <c r="R59" s="12"/>
      <c r="S59" s="12"/>
      <c r="T59" s="12"/>
      <c r="U59" s="12"/>
      <c r="V59" s="12"/>
      <c r="W59" s="12"/>
      <c r="X59" s="12"/>
      <c r="AR59" s="12" t="s">
        <v>380</v>
      </c>
      <c r="AS59" s="12" t="s">
        <v>381</v>
      </c>
      <c r="AT59" s="12"/>
    </row>
    <row r="60" spans="1:46">
      <c r="A60" s="4" t="s">
        <v>569</v>
      </c>
      <c r="C60" s="4" t="s">
        <v>387</v>
      </c>
      <c r="D60" s="19" t="s">
        <v>434</v>
      </c>
      <c r="E60" s="4" t="s">
        <v>97</v>
      </c>
      <c r="F60" s="12">
        <v>4</v>
      </c>
      <c r="G60" s="12">
        <v>16</v>
      </c>
      <c r="H60" s="12">
        <v>0</v>
      </c>
      <c r="I60" s="12">
        <v>100</v>
      </c>
      <c r="J60" s="82">
        <f t="shared" si="2"/>
        <v>16</v>
      </c>
      <c r="K60" s="12"/>
      <c r="L60" s="12"/>
      <c r="M60" s="12"/>
      <c r="N60" s="12"/>
      <c r="O60" s="12"/>
      <c r="P60" s="12"/>
      <c r="Q60" s="12"/>
      <c r="R60" s="12"/>
      <c r="S60" s="12"/>
      <c r="T60" s="12"/>
      <c r="U60" s="12"/>
      <c r="V60" s="12"/>
      <c r="W60" s="12"/>
      <c r="X60" s="12"/>
      <c r="AR60" s="12" t="s">
        <v>380</v>
      </c>
      <c r="AS60" s="12" t="s">
        <v>381</v>
      </c>
      <c r="AT60" s="12"/>
    </row>
    <row r="61" spans="1:46">
      <c r="A61" s="4" t="s">
        <v>483</v>
      </c>
      <c r="C61" s="4" t="s">
        <v>387</v>
      </c>
      <c r="D61" s="19" t="s">
        <v>434</v>
      </c>
      <c r="E61" s="4" t="s">
        <v>93</v>
      </c>
      <c r="F61" s="12">
        <v>4</v>
      </c>
      <c r="G61" s="12">
        <v>14</v>
      </c>
      <c r="H61" s="12">
        <v>0</v>
      </c>
      <c r="I61" s="12">
        <v>120</v>
      </c>
      <c r="J61" s="82">
        <f t="shared" si="2"/>
        <v>14</v>
      </c>
      <c r="K61" s="12"/>
      <c r="L61" s="12"/>
      <c r="M61" s="12"/>
      <c r="N61" s="12"/>
      <c r="O61" s="12"/>
      <c r="P61" s="12"/>
      <c r="Q61" s="12"/>
      <c r="R61" s="12"/>
      <c r="S61" s="12"/>
      <c r="T61" s="12"/>
      <c r="U61" s="12"/>
      <c r="V61" s="12"/>
      <c r="W61" s="12"/>
      <c r="X61" s="12"/>
      <c r="AR61" s="12" t="s">
        <v>380</v>
      </c>
      <c r="AS61" s="12" t="s">
        <v>381</v>
      </c>
      <c r="AT61" s="12"/>
    </row>
    <row r="62" spans="1:46">
      <c r="A62" s="4" t="s">
        <v>438</v>
      </c>
      <c r="C62" s="4" t="s">
        <v>387</v>
      </c>
      <c r="D62" s="4" t="s">
        <v>378</v>
      </c>
      <c r="E62" s="4" t="s">
        <v>32</v>
      </c>
      <c r="F62" s="12">
        <v>3</v>
      </c>
      <c r="G62" s="12">
        <v>10</v>
      </c>
      <c r="H62" s="12">
        <v>0</v>
      </c>
      <c r="I62" s="12">
        <v>121</v>
      </c>
      <c r="J62" s="82">
        <f t="shared" si="2"/>
        <v>10</v>
      </c>
      <c r="K62" s="12"/>
      <c r="L62" s="12"/>
      <c r="M62" s="12"/>
      <c r="N62" s="12"/>
      <c r="O62" s="12"/>
      <c r="P62" s="12"/>
      <c r="Q62" s="12"/>
      <c r="R62" s="12"/>
      <c r="S62" s="12"/>
      <c r="T62" s="12"/>
      <c r="U62" s="12"/>
      <c r="V62" s="12"/>
      <c r="W62" s="12"/>
      <c r="X62" s="12"/>
      <c r="AR62" s="12" t="s">
        <v>380</v>
      </c>
      <c r="AS62" s="12" t="s">
        <v>381</v>
      </c>
      <c r="AT62" s="12"/>
    </row>
    <row r="63" spans="1:46">
      <c r="A63" s="4" t="s">
        <v>439</v>
      </c>
      <c r="C63" s="4" t="s">
        <v>387</v>
      </c>
      <c r="D63" s="4" t="s">
        <v>378</v>
      </c>
      <c r="E63" s="4" t="s">
        <v>32</v>
      </c>
      <c r="F63" s="12">
        <v>3</v>
      </c>
      <c r="G63" s="12">
        <v>10</v>
      </c>
      <c r="H63" s="12">
        <v>0</v>
      </c>
      <c r="I63" s="12">
        <v>121</v>
      </c>
      <c r="J63" s="82">
        <f t="shared" si="2"/>
        <v>10</v>
      </c>
      <c r="K63" s="12"/>
      <c r="L63" s="12"/>
      <c r="M63" s="12"/>
      <c r="N63" s="12"/>
      <c r="O63" s="12"/>
      <c r="P63" s="12"/>
      <c r="Q63" s="12"/>
      <c r="R63" s="12"/>
      <c r="S63" s="12"/>
      <c r="T63" s="12"/>
      <c r="U63" s="12"/>
      <c r="V63" s="12"/>
      <c r="W63" s="12"/>
      <c r="X63" s="12"/>
      <c r="AR63" s="12" t="s">
        <v>380</v>
      </c>
      <c r="AS63" s="12" t="s">
        <v>381</v>
      </c>
      <c r="AT63" s="12"/>
    </row>
    <row r="64" spans="1:46">
      <c r="A64" s="4" t="s">
        <v>570</v>
      </c>
      <c r="C64" s="4" t="s">
        <v>387</v>
      </c>
      <c r="D64" s="4" t="s">
        <v>378</v>
      </c>
      <c r="E64" s="4" t="s">
        <v>32</v>
      </c>
      <c r="F64" s="12">
        <v>3</v>
      </c>
      <c r="G64" s="12">
        <v>10</v>
      </c>
      <c r="H64" s="12">
        <v>0</v>
      </c>
      <c r="I64" s="12">
        <v>121</v>
      </c>
      <c r="J64" s="82">
        <f t="shared" si="2"/>
        <v>10</v>
      </c>
      <c r="K64" s="12"/>
      <c r="L64" s="12"/>
      <c r="M64" s="12"/>
      <c r="N64" s="12"/>
      <c r="O64" s="12"/>
      <c r="P64" s="12"/>
      <c r="Q64" s="12"/>
      <c r="R64" s="12"/>
      <c r="S64" s="12"/>
      <c r="T64" s="12"/>
      <c r="U64" s="12"/>
      <c r="V64" s="12"/>
      <c r="W64" s="12"/>
      <c r="X64" s="12"/>
      <c r="AR64" s="12" t="s">
        <v>380</v>
      </c>
      <c r="AS64" s="12" t="s">
        <v>381</v>
      </c>
      <c r="AT64" s="12"/>
    </row>
    <row r="65" spans="1:46">
      <c r="A65" s="4" t="s">
        <v>571</v>
      </c>
      <c r="C65" s="4" t="s">
        <v>387</v>
      </c>
      <c r="D65" s="4" t="s">
        <v>378</v>
      </c>
      <c r="E65" s="4" t="s">
        <v>32</v>
      </c>
      <c r="F65" s="12">
        <v>3</v>
      </c>
      <c r="G65" s="12">
        <v>10</v>
      </c>
      <c r="H65" s="12">
        <v>0</v>
      </c>
      <c r="I65" s="12">
        <v>121</v>
      </c>
      <c r="J65" s="82">
        <f t="shared" si="2"/>
        <v>10</v>
      </c>
      <c r="K65" s="12"/>
      <c r="L65" s="12"/>
      <c r="M65" s="12"/>
      <c r="N65" s="12"/>
      <c r="O65" s="12"/>
      <c r="P65" s="12"/>
      <c r="Q65" s="12"/>
      <c r="R65" s="12"/>
      <c r="S65" s="12"/>
      <c r="T65" s="12"/>
      <c r="U65" s="12"/>
      <c r="V65" s="12"/>
      <c r="W65" s="12"/>
      <c r="X65" s="12"/>
      <c r="AR65" s="12" t="s">
        <v>380</v>
      </c>
      <c r="AS65" s="12" t="s">
        <v>381</v>
      </c>
      <c r="AT65" s="12"/>
    </row>
    <row r="66" spans="1:46">
      <c r="A66" s="4" t="s">
        <v>440</v>
      </c>
      <c r="C66" s="4" t="s">
        <v>387</v>
      </c>
      <c r="D66" s="4" t="s">
        <v>378</v>
      </c>
      <c r="E66" s="4" t="s">
        <v>48</v>
      </c>
      <c r="F66" s="12">
        <v>2</v>
      </c>
      <c r="G66" s="12">
        <v>4</v>
      </c>
      <c r="H66" s="12">
        <v>0</v>
      </c>
      <c r="I66" s="12">
        <v>41</v>
      </c>
      <c r="J66" s="82">
        <f t="shared" si="2"/>
        <v>4</v>
      </c>
      <c r="K66" s="12"/>
      <c r="L66" s="12"/>
      <c r="M66" s="12"/>
      <c r="N66" s="12"/>
      <c r="O66" s="12"/>
      <c r="P66" s="12"/>
      <c r="Q66" s="12"/>
      <c r="R66" s="12"/>
      <c r="S66" s="12"/>
      <c r="T66" s="12"/>
      <c r="U66" s="12"/>
      <c r="V66" s="12"/>
      <c r="W66" s="12"/>
      <c r="X66" s="12"/>
      <c r="AR66" s="12" t="s">
        <v>380</v>
      </c>
      <c r="AS66" s="12" t="s">
        <v>381</v>
      </c>
      <c r="AT66" s="12"/>
    </row>
    <row r="67" spans="1:46">
      <c r="A67" s="4" t="s">
        <v>441</v>
      </c>
      <c r="C67" s="4" t="s">
        <v>387</v>
      </c>
      <c r="D67" s="4" t="s">
        <v>378</v>
      </c>
      <c r="E67" s="4" t="s">
        <v>40</v>
      </c>
      <c r="F67" s="12">
        <v>2</v>
      </c>
      <c r="G67" s="12">
        <v>4</v>
      </c>
      <c r="H67" s="12">
        <v>0</v>
      </c>
      <c r="I67" s="12">
        <v>31</v>
      </c>
      <c r="J67" s="82">
        <f t="shared" si="2"/>
        <v>4</v>
      </c>
      <c r="K67" s="12"/>
      <c r="L67" s="12"/>
      <c r="M67" s="12"/>
      <c r="N67" s="12"/>
      <c r="O67" s="12"/>
      <c r="P67" s="12"/>
      <c r="Q67" s="12"/>
      <c r="R67" s="12"/>
      <c r="S67" s="12"/>
      <c r="T67" s="12"/>
      <c r="U67" s="12"/>
      <c r="V67" s="12"/>
      <c r="W67" s="12"/>
      <c r="X67" s="12"/>
      <c r="AR67" s="12" t="s">
        <v>380</v>
      </c>
      <c r="AS67" s="12" t="s">
        <v>381</v>
      </c>
      <c r="AT67" s="12"/>
    </row>
    <row r="68" spans="1:46">
      <c r="A68" s="4" t="s">
        <v>442</v>
      </c>
      <c r="C68" s="4" t="s">
        <v>387</v>
      </c>
      <c r="D68" s="4" t="s">
        <v>378</v>
      </c>
      <c r="E68" s="4" t="s">
        <v>44</v>
      </c>
      <c r="F68" s="12">
        <v>4</v>
      </c>
      <c r="G68" s="12">
        <v>4</v>
      </c>
      <c r="H68" s="12">
        <v>0</v>
      </c>
      <c r="I68" s="12">
        <v>36</v>
      </c>
      <c r="J68" s="82">
        <f t="shared" si="2"/>
        <v>4</v>
      </c>
      <c r="K68" s="12"/>
      <c r="L68" s="12"/>
      <c r="M68" s="12"/>
      <c r="N68" s="12"/>
      <c r="O68" s="12"/>
      <c r="P68" s="12"/>
      <c r="Q68" s="12"/>
      <c r="R68" s="12"/>
      <c r="S68" s="12"/>
      <c r="T68" s="12"/>
      <c r="U68" s="12"/>
      <c r="V68" s="12"/>
      <c r="W68" s="12"/>
      <c r="X68" s="12"/>
      <c r="AR68" s="12" t="s">
        <v>380</v>
      </c>
      <c r="AS68" s="12" t="s">
        <v>381</v>
      </c>
      <c r="AT68" s="12"/>
    </row>
    <row r="69" spans="1:46">
      <c r="A69" s="4" t="s">
        <v>443</v>
      </c>
      <c r="C69" s="4" t="s">
        <v>387</v>
      </c>
      <c r="D69" s="4" t="s">
        <v>378</v>
      </c>
      <c r="E69" s="4" t="s">
        <v>247</v>
      </c>
      <c r="F69" s="12">
        <v>5</v>
      </c>
      <c r="G69" s="12">
        <v>6</v>
      </c>
      <c r="H69" s="12">
        <v>0</v>
      </c>
      <c r="I69" s="12">
        <v>111</v>
      </c>
      <c r="J69" s="82">
        <f t="shared" si="2"/>
        <v>6</v>
      </c>
      <c r="K69" s="12"/>
      <c r="L69" s="12"/>
      <c r="M69" s="12"/>
      <c r="N69" s="12"/>
      <c r="O69" s="12"/>
      <c r="P69" s="12"/>
      <c r="Q69" s="12"/>
      <c r="R69" s="12"/>
      <c r="S69" s="12"/>
      <c r="T69" s="12"/>
      <c r="U69" s="12"/>
      <c r="V69" s="12"/>
      <c r="W69" s="12"/>
      <c r="X69" s="12"/>
      <c r="AR69" s="12" t="s">
        <v>380</v>
      </c>
      <c r="AS69" s="12" t="s">
        <v>381</v>
      </c>
      <c r="AT69" s="12" t="s">
        <v>381</v>
      </c>
    </row>
    <row r="70" spans="1:46" ht="14.5">
      <c r="A70" s="4" t="s">
        <v>484</v>
      </c>
      <c r="D70" s="4" t="s">
        <v>378</v>
      </c>
      <c r="E70" s="4" t="s">
        <v>67</v>
      </c>
      <c r="F70" s="12">
        <v>2</v>
      </c>
      <c r="G70" s="12">
        <v>2</v>
      </c>
      <c r="H70" s="12">
        <v>0</v>
      </c>
      <c r="I70" s="12">
        <v>16</v>
      </c>
      <c r="J70" s="82">
        <f t="shared" si="2"/>
        <v>2</v>
      </c>
      <c r="K70" s="1"/>
      <c r="L70" s="12"/>
      <c r="M70" s="12"/>
      <c r="N70" s="1"/>
      <c r="O70"/>
      <c r="P70" s="12"/>
      <c r="Q70" s="12"/>
      <c r="R70" s="12"/>
      <c r="S70" s="12"/>
      <c r="T70" s="12"/>
      <c r="U70" s="12"/>
      <c r="V70" s="12"/>
      <c r="Z70" s="12"/>
      <c r="AA70" s="12"/>
      <c r="AB70" s="12"/>
      <c r="AC70" s="12"/>
      <c r="AD70" s="12"/>
      <c r="AE70" s="12"/>
      <c r="AF70" s="12"/>
      <c r="AG70" s="12"/>
      <c r="AH70" s="12"/>
      <c r="AI70" s="12"/>
      <c r="AJ70" s="12"/>
      <c r="AK70" s="12"/>
      <c r="AL70" s="12"/>
      <c r="AM70" s="12"/>
      <c r="AN70" s="12"/>
      <c r="AO70" s="12"/>
      <c r="AP70" s="12"/>
      <c r="AQ70" s="12"/>
      <c r="AR70" s="12" t="s">
        <v>380</v>
      </c>
      <c r="AS70" s="12" t="s">
        <v>381</v>
      </c>
      <c r="AT70" s="12"/>
    </row>
    <row r="71" spans="1:46" ht="14.5">
      <c r="A71" s="4" t="s">
        <v>485</v>
      </c>
      <c r="D71" s="4" t="s">
        <v>378</v>
      </c>
      <c r="E71" s="4" t="s">
        <v>67</v>
      </c>
      <c r="F71" s="12">
        <v>2</v>
      </c>
      <c r="G71" s="12">
        <v>2</v>
      </c>
      <c r="H71" s="12">
        <v>0</v>
      </c>
      <c r="I71" s="12">
        <v>16</v>
      </c>
      <c r="J71" s="82">
        <f t="shared" si="2"/>
        <v>2</v>
      </c>
      <c r="K71" s="1"/>
      <c r="L71" s="12"/>
      <c r="M71" s="12"/>
      <c r="N71" s="1"/>
      <c r="O71"/>
      <c r="P71" s="12"/>
      <c r="Q71" s="12"/>
      <c r="R71" s="12"/>
      <c r="S71" s="12"/>
      <c r="T71" s="12"/>
      <c r="U71" s="12"/>
      <c r="V71" s="12"/>
      <c r="Z71" s="12"/>
      <c r="AA71" s="12"/>
      <c r="AB71" s="12"/>
      <c r="AC71" s="12"/>
      <c r="AD71" s="12"/>
      <c r="AE71" s="12"/>
      <c r="AF71" s="12"/>
      <c r="AG71" s="12"/>
      <c r="AH71" s="12"/>
      <c r="AI71" s="12"/>
      <c r="AJ71" s="12"/>
      <c r="AK71" s="12"/>
      <c r="AL71" s="12"/>
      <c r="AM71" s="12"/>
      <c r="AN71" s="12"/>
      <c r="AO71" s="12"/>
      <c r="AP71" s="12"/>
      <c r="AQ71" s="12"/>
      <c r="AR71" s="12" t="s">
        <v>380</v>
      </c>
      <c r="AS71" s="12" t="s">
        <v>381</v>
      </c>
      <c r="AT71" s="12"/>
    </row>
    <row r="72" spans="1:46" ht="14.5">
      <c r="A72" s="4" t="s">
        <v>486</v>
      </c>
      <c r="C72" s="4" t="s">
        <v>387</v>
      </c>
      <c r="D72" s="4" t="s">
        <v>378</v>
      </c>
      <c r="E72" s="4" t="s">
        <v>71</v>
      </c>
      <c r="F72" s="12">
        <v>6</v>
      </c>
      <c r="G72" s="12">
        <v>5</v>
      </c>
      <c r="H72" s="12">
        <v>0</v>
      </c>
      <c r="I72" s="12">
        <v>41</v>
      </c>
      <c r="J72" s="82">
        <f t="shared" si="2"/>
        <v>5</v>
      </c>
      <c r="K72" s="1"/>
      <c r="L72" s="12"/>
      <c r="M72" s="12"/>
      <c r="N72" s="1"/>
      <c r="O72"/>
      <c r="P72" s="12"/>
      <c r="Q72" s="12"/>
      <c r="R72" s="12"/>
      <c r="S72" s="12"/>
      <c r="T72" s="12"/>
      <c r="U72" s="12"/>
      <c r="V72" s="12"/>
      <c r="Z72" s="12"/>
      <c r="AA72" s="12"/>
      <c r="AB72" s="12"/>
      <c r="AC72" s="12"/>
      <c r="AD72" s="12"/>
      <c r="AE72" s="12"/>
      <c r="AF72" s="12"/>
      <c r="AG72" s="12"/>
      <c r="AH72" s="12"/>
      <c r="AI72" s="12"/>
      <c r="AJ72" s="12"/>
      <c r="AK72" s="12"/>
      <c r="AL72" s="12"/>
      <c r="AM72" s="12"/>
      <c r="AN72" s="12"/>
      <c r="AO72" s="12"/>
      <c r="AP72" s="12"/>
      <c r="AQ72" s="12"/>
      <c r="AR72" s="12" t="s">
        <v>380</v>
      </c>
      <c r="AS72" s="12" t="s">
        <v>381</v>
      </c>
      <c r="AT72" s="12"/>
    </row>
    <row r="73" spans="1:46" ht="14.5">
      <c r="A73" s="4" t="s">
        <v>487</v>
      </c>
      <c r="D73" s="4" t="s">
        <v>378</v>
      </c>
      <c r="E73" s="4" t="s">
        <v>75</v>
      </c>
      <c r="F73" s="12">
        <v>2</v>
      </c>
      <c r="G73" s="12">
        <v>2</v>
      </c>
      <c r="H73" s="12">
        <v>0</v>
      </c>
      <c r="I73" s="12">
        <v>31</v>
      </c>
      <c r="J73" s="12">
        <f t="shared" si="2"/>
        <v>2</v>
      </c>
      <c r="K73" s="1"/>
      <c r="L73" s="12"/>
      <c r="M73" s="12"/>
      <c r="N73" s="1"/>
      <c r="O73"/>
      <c r="P73" s="12"/>
      <c r="Q73" s="12"/>
      <c r="R73" s="12"/>
      <c r="S73" s="12"/>
      <c r="T73" s="12"/>
      <c r="U73" s="12"/>
      <c r="V73" s="12"/>
      <c r="Z73" s="12"/>
      <c r="AA73" s="12"/>
      <c r="AB73" s="12"/>
      <c r="AC73" s="12"/>
      <c r="AD73" s="12"/>
      <c r="AE73" s="12"/>
      <c r="AF73" s="12"/>
      <c r="AG73" s="12"/>
      <c r="AH73" s="12"/>
      <c r="AI73" s="12"/>
      <c r="AJ73" s="12"/>
      <c r="AK73" s="12"/>
      <c r="AL73" s="12"/>
      <c r="AM73" s="12"/>
      <c r="AN73" s="12"/>
      <c r="AO73" s="12"/>
      <c r="AP73" s="12"/>
      <c r="AQ73" s="12"/>
      <c r="AR73" s="12" t="s">
        <v>380</v>
      </c>
      <c r="AS73" s="12" t="s">
        <v>381</v>
      </c>
      <c r="AT73" s="12"/>
    </row>
    <row r="74" spans="1:46" ht="13.5" customHeight="1">
      <c r="A74" s="4" t="s">
        <v>444</v>
      </c>
      <c r="D74" s="4" t="s">
        <v>445</v>
      </c>
      <c r="E74" s="4" t="str">
        <f>IF(F49&lt;&gt;"4TB","AVE 2TB (Avamar Virtual Edition)","AVE 4TB (Avamar Virtual Edition)")</f>
        <v>AVE 2TB (Avamar Virtual Edition)</v>
      </c>
      <c r="F74" s="12">
        <f>IF(F49&lt;&gt;"4TB",2,4)</f>
        <v>2</v>
      </c>
      <c r="G74" s="12">
        <f>IF(F49&lt;&gt;"4TB",16,36)</f>
        <v>16</v>
      </c>
      <c r="H74" s="12">
        <v>0</v>
      </c>
      <c r="I74" s="12">
        <v>150</v>
      </c>
      <c r="J74" s="12">
        <f t="shared" si="2"/>
        <v>16</v>
      </c>
      <c r="K74" s="12" t="s">
        <v>179</v>
      </c>
      <c r="L74" s="12"/>
      <c r="M74" s="12"/>
      <c r="N74" s="1"/>
      <c r="O74"/>
      <c r="P74" s="12"/>
      <c r="Q74" s="12"/>
      <c r="R74" s="12"/>
      <c r="S74" s="12"/>
      <c r="T74" s="12"/>
      <c r="U74" s="12"/>
      <c r="V74" s="12">
        <f>IF(F49&lt;&gt;"4TB",3000,6000)</f>
        <v>3000</v>
      </c>
      <c r="W74" s="12" t="s">
        <v>179</v>
      </c>
      <c r="X74" s="12"/>
      <c r="AR74" s="12"/>
      <c r="AS74" s="12"/>
      <c r="AT74" s="12"/>
    </row>
    <row r="75" spans="1:46" ht="13.5" customHeight="1">
      <c r="A75" s="4" t="s">
        <v>447</v>
      </c>
      <c r="D75" s="4" t="s">
        <v>445</v>
      </c>
      <c r="E75" s="4" t="s">
        <v>448</v>
      </c>
      <c r="F75" s="12">
        <f>IF(F49&lt;&gt;"4TB",4,4)</f>
        <v>4</v>
      </c>
      <c r="G75" s="12">
        <f>IF(F49&lt;&gt;"4TB",4,4)</f>
        <v>4</v>
      </c>
      <c r="H75" s="12">
        <v>0</v>
      </c>
      <c r="I75" s="12">
        <v>21</v>
      </c>
      <c r="J75" s="12">
        <f t="shared" si="2"/>
        <v>4</v>
      </c>
      <c r="K75" s="12" t="s">
        <v>179</v>
      </c>
      <c r="L75" s="12"/>
      <c r="M75" s="12"/>
      <c r="N75" s="1"/>
      <c r="O75"/>
      <c r="P75" s="12"/>
      <c r="Q75" s="12"/>
      <c r="R75" s="12"/>
      <c r="S75" s="12"/>
      <c r="T75" s="12"/>
      <c r="U75" s="12"/>
      <c r="V75" s="12"/>
      <c r="W75" s="12"/>
      <c r="X75" s="12"/>
      <c r="AR75" s="12"/>
      <c r="AS75" s="12"/>
      <c r="AT75" s="12"/>
    </row>
    <row r="76" spans="1:46" ht="13.5" customHeight="1">
      <c r="A76" s="4" t="s">
        <v>572</v>
      </c>
      <c r="D76" s="4" t="s">
        <v>445</v>
      </c>
      <c r="E76" s="4" t="s">
        <v>573</v>
      </c>
      <c r="F76" s="12">
        <f>IF(F49&lt;&gt;"4TB",0,4)</f>
        <v>0</v>
      </c>
      <c r="G76" s="12">
        <f>IF(F49&lt;&gt;"4TB",0,4)</f>
        <v>0</v>
      </c>
      <c r="H76" s="12">
        <v>0</v>
      </c>
      <c r="I76" s="12">
        <f>IF(F49&lt;&gt;"4TB",0,21)</f>
        <v>0</v>
      </c>
      <c r="J76" s="12">
        <f t="shared" si="2"/>
        <v>0</v>
      </c>
      <c r="K76" s="12" t="s">
        <v>179</v>
      </c>
      <c r="L76" s="12"/>
      <c r="M76" s="12"/>
      <c r="N76" s="1"/>
      <c r="O76"/>
      <c r="P76" s="12"/>
      <c r="Q76" s="12"/>
      <c r="R76" s="12"/>
      <c r="S76" s="12"/>
      <c r="T76" s="12"/>
      <c r="U76" s="12"/>
      <c r="V76" s="12"/>
      <c r="W76" s="12"/>
      <c r="X76" s="12"/>
      <c r="AR76" s="12"/>
      <c r="AS76" s="12"/>
      <c r="AT76" s="12"/>
    </row>
    <row r="77" spans="1:46" ht="13.5" customHeight="1">
      <c r="A77" s="4" t="s">
        <v>574</v>
      </c>
      <c r="C77" s="4" t="s">
        <v>387</v>
      </c>
      <c r="D77" s="4" t="s">
        <v>378</v>
      </c>
      <c r="E77" s="4" t="s">
        <v>87</v>
      </c>
      <c r="F77" s="12">
        <v>10</v>
      </c>
      <c r="G77" s="12">
        <v>32</v>
      </c>
      <c r="H77" s="12">
        <v>0</v>
      </c>
      <c r="I77" s="12">
        <v>71</v>
      </c>
      <c r="J77" s="12">
        <f t="shared" si="2"/>
        <v>32</v>
      </c>
      <c r="K77" s="12"/>
      <c r="L77" s="12"/>
      <c r="M77" s="12"/>
      <c r="N77" s="1"/>
      <c r="O77"/>
      <c r="P77" s="12"/>
      <c r="Q77" s="12"/>
      <c r="R77" s="12"/>
      <c r="S77" s="12"/>
      <c r="T77" s="12"/>
      <c r="U77" s="12"/>
      <c r="V77" s="12"/>
      <c r="W77" s="12"/>
      <c r="X77" s="12"/>
      <c r="AF77" s="12">
        <v>170</v>
      </c>
      <c r="AG77" s="4" t="s">
        <v>489</v>
      </c>
      <c r="AR77" s="12" t="s">
        <v>380</v>
      </c>
      <c r="AS77" s="12" t="s">
        <v>381</v>
      </c>
      <c r="AT77" s="12"/>
    </row>
    <row r="78" spans="1:46" ht="13.5" customHeight="1">
      <c r="A78" s="4" t="s">
        <v>490</v>
      </c>
      <c r="C78" s="4" t="s">
        <v>387</v>
      </c>
      <c r="D78" s="4" t="s">
        <v>378</v>
      </c>
      <c r="E78" s="13" t="s">
        <v>99</v>
      </c>
      <c r="F78" s="12">
        <v>2</v>
      </c>
      <c r="G78" s="12">
        <v>10</v>
      </c>
      <c r="H78" s="12">
        <v>0</v>
      </c>
      <c r="I78" s="12">
        <v>60</v>
      </c>
      <c r="J78" s="12">
        <f t="shared" si="2"/>
        <v>10</v>
      </c>
      <c r="K78" s="82"/>
      <c r="L78" s="12"/>
      <c r="M78" s="12"/>
      <c r="N78" s="1"/>
      <c r="O78"/>
      <c r="P78" s="12"/>
      <c r="Q78" s="12"/>
      <c r="R78" s="12"/>
      <c r="S78" s="12"/>
      <c r="T78" s="12"/>
      <c r="U78" s="12"/>
      <c r="V78" s="12"/>
      <c r="W78" s="12"/>
      <c r="X78" s="12"/>
      <c r="AR78" s="12" t="s">
        <v>380</v>
      </c>
      <c r="AS78" s="12" t="s">
        <v>381</v>
      </c>
      <c r="AT78" s="12"/>
    </row>
    <row r="79" spans="1:46" ht="13.5" customHeight="1">
      <c r="A79" s="4" t="s">
        <v>491</v>
      </c>
      <c r="C79" s="4" t="s">
        <v>387</v>
      </c>
      <c r="D79" s="4" t="s">
        <v>378</v>
      </c>
      <c r="E79" s="4" t="s">
        <v>102</v>
      </c>
      <c r="F79" s="12">
        <v>16</v>
      </c>
      <c r="G79" s="12">
        <v>32</v>
      </c>
      <c r="H79" s="12">
        <v>0</v>
      </c>
      <c r="I79" s="12">
        <v>70</v>
      </c>
      <c r="J79" s="12">
        <f t="shared" si="2"/>
        <v>32</v>
      </c>
      <c r="K79" s="82" t="s">
        <v>469</v>
      </c>
      <c r="N79" s="93"/>
      <c r="O79"/>
      <c r="P79" s="12"/>
      <c r="Q79" s="12"/>
      <c r="R79" s="12"/>
      <c r="S79" s="12"/>
      <c r="T79" s="12"/>
      <c r="U79" s="12"/>
      <c r="V79" s="128"/>
      <c r="W79" s="128"/>
      <c r="X79" s="12"/>
      <c r="AJ79" s="12">
        <v>135</v>
      </c>
      <c r="AK79" s="12" t="s">
        <v>492</v>
      </c>
      <c r="AL79" s="12">
        <v>5</v>
      </c>
      <c r="AM79" s="12" t="s">
        <v>492</v>
      </c>
      <c r="AN79" s="12"/>
      <c r="AR79" s="12" t="s">
        <v>380</v>
      </c>
      <c r="AS79" s="12" t="s">
        <v>381</v>
      </c>
      <c r="AT79" s="12"/>
    </row>
    <row r="80" spans="1:46" s="17" customFormat="1" ht="13.5" customHeight="1">
      <c r="A80" s="17" t="s">
        <v>493</v>
      </c>
      <c r="C80" s="17" t="s">
        <v>387</v>
      </c>
      <c r="D80" s="17" t="s">
        <v>378</v>
      </c>
      <c r="E80" s="17" t="s">
        <v>102</v>
      </c>
      <c r="F80" s="15">
        <v>16</v>
      </c>
      <c r="G80" s="15">
        <v>32</v>
      </c>
      <c r="H80" s="15">
        <v>0</v>
      </c>
      <c r="I80" s="15">
        <v>70</v>
      </c>
      <c r="J80" s="15">
        <f t="shared" si="2"/>
        <v>32</v>
      </c>
      <c r="K80" s="36" t="s">
        <v>470</v>
      </c>
      <c r="N80" s="94"/>
      <c r="O80" s="95"/>
      <c r="P80" s="15"/>
      <c r="Q80" s="15"/>
      <c r="R80" s="15"/>
      <c r="S80" s="15"/>
      <c r="T80" s="15"/>
      <c r="U80" s="15"/>
      <c r="V80" s="129"/>
      <c r="W80" s="129"/>
      <c r="X80" s="15"/>
      <c r="AJ80" s="15"/>
      <c r="AK80" s="15"/>
      <c r="AL80" s="15"/>
      <c r="AN80" s="15">
        <v>760</v>
      </c>
      <c r="AO80" s="15" t="s">
        <v>492</v>
      </c>
      <c r="AR80" s="12" t="s">
        <v>380</v>
      </c>
      <c r="AS80" s="12" t="s">
        <v>381</v>
      </c>
      <c r="AT80" s="15"/>
    </row>
    <row r="81" spans="1:46" s="18" customFormat="1">
      <c r="F81" s="16">
        <f>SUM(F52:F80)+F40</f>
        <v>295</v>
      </c>
      <c r="G81" s="16">
        <f>SUM(G52:G80)+G40</f>
        <v>752</v>
      </c>
      <c r="H81" s="16">
        <f>SUM(H52:H80)+H40</f>
        <v>210.75</v>
      </c>
      <c r="I81" s="16">
        <f>SUM(I52:I80)+I40</f>
        <v>5067</v>
      </c>
      <c r="J81" s="16"/>
      <c r="K81" s="16"/>
      <c r="L81" s="16">
        <f>SUM(L52:L80)+L40</f>
        <v>66</v>
      </c>
      <c r="M81" s="16"/>
      <c r="N81" s="16">
        <f>SUM(N52:N80)+N40</f>
        <v>1500</v>
      </c>
      <c r="O81" s="16"/>
      <c r="P81" s="16">
        <f>SUM(P52:P80)+P40</f>
        <v>2250</v>
      </c>
      <c r="Q81" s="16"/>
      <c r="R81" s="16">
        <f>SUM(R52:R80)+R40</f>
        <v>550</v>
      </c>
      <c r="S81" s="16"/>
      <c r="T81" s="16">
        <f>SUM(T52:T80)+T40</f>
        <v>300</v>
      </c>
      <c r="U81" s="16"/>
      <c r="V81" s="16">
        <f>SUM(V52:V80)+V40</f>
        <v>3000</v>
      </c>
      <c r="W81" s="16"/>
      <c r="X81" s="16">
        <f>SUM(X52:X80)+X40</f>
        <v>7195</v>
      </c>
      <c r="Z81" s="16">
        <f>SUM(Z52:Z80)+Z40</f>
        <v>100</v>
      </c>
      <c r="AB81" s="16">
        <f>SUM(AB52:AB80)+AB40</f>
        <v>50</v>
      </c>
      <c r="AD81" s="16">
        <f>SUM(AD52:AD80)+AD40</f>
        <v>170</v>
      </c>
      <c r="AF81" s="16">
        <f>SUM(AF52:AF80)+AF40</f>
        <v>170</v>
      </c>
      <c r="AH81" s="16">
        <f>SUM(AH52:AH80)+AH40</f>
        <v>200</v>
      </c>
      <c r="AJ81" s="16">
        <f>SUM(AJ52:AJ80)+AJ40</f>
        <v>135</v>
      </c>
      <c r="AL81" s="16">
        <f>SUM(AL52:AL80)+AL40</f>
        <v>5</v>
      </c>
      <c r="AN81" s="16">
        <f>SUM(AN52:AN80)+AN40</f>
        <v>760</v>
      </c>
      <c r="AP81" s="16">
        <f>SUM(AP52:AP80)+AP40</f>
        <v>2500</v>
      </c>
      <c r="AS81" s="16" t="s">
        <v>575</v>
      </c>
      <c r="AT81" s="16">
        <f>3</f>
        <v>3</v>
      </c>
    </row>
    <row r="82" spans="1:46">
      <c r="F82" s="12"/>
      <c r="G82" s="12"/>
      <c r="H82" s="12"/>
      <c r="I82" s="12"/>
      <c r="J82" s="12"/>
      <c r="K82" s="12"/>
      <c r="L82" s="12"/>
      <c r="M82" s="12"/>
      <c r="N82" s="12"/>
      <c r="O82" s="12"/>
      <c r="P82" s="12"/>
      <c r="Q82" s="12"/>
      <c r="R82" s="12"/>
      <c r="S82" s="12"/>
      <c r="T82" s="12"/>
      <c r="U82" s="12"/>
      <c r="V82" s="12"/>
      <c r="W82" s="12"/>
      <c r="X82" s="12"/>
      <c r="Z82" s="12"/>
      <c r="AB82" s="12"/>
      <c r="AD82" s="12"/>
      <c r="AP82" s="12"/>
      <c r="AS82" s="12"/>
      <c r="AT82" s="12"/>
    </row>
    <row r="83" spans="1:46" ht="13">
      <c r="A83" s="14" t="s">
        <v>495</v>
      </c>
      <c r="F83" s="12"/>
      <c r="G83" s="12"/>
      <c r="H83" s="12"/>
      <c r="I83" s="12"/>
      <c r="J83" s="12"/>
      <c r="K83" s="12"/>
      <c r="L83" s="12"/>
      <c r="M83" s="12"/>
      <c r="N83" s="12"/>
      <c r="O83" s="12"/>
      <c r="P83" s="12"/>
      <c r="Q83" s="12"/>
      <c r="R83" s="12"/>
      <c r="S83" s="12"/>
      <c r="T83" s="12"/>
      <c r="U83" s="12"/>
      <c r="V83" s="12"/>
      <c r="W83" s="12"/>
      <c r="X83" s="12"/>
      <c r="Z83" s="12"/>
      <c r="AB83" s="12"/>
      <c r="AD83" s="12"/>
      <c r="AP83" s="12"/>
      <c r="AS83" s="12"/>
      <c r="AT83" s="12"/>
    </row>
    <row r="84" spans="1:46" ht="13.5" customHeight="1">
      <c r="A84" s="4" t="s">
        <v>496</v>
      </c>
      <c r="C84" s="4" t="s">
        <v>497</v>
      </c>
      <c r="D84" s="4" t="s">
        <v>445</v>
      </c>
      <c r="E84" s="4" t="s">
        <v>498</v>
      </c>
      <c r="F84" s="12">
        <v>4</v>
      </c>
      <c r="G84" s="12">
        <v>4</v>
      </c>
      <c r="H84" s="12">
        <v>0</v>
      </c>
      <c r="I84" s="12">
        <v>25</v>
      </c>
      <c r="J84" s="12">
        <f>G84-H84</f>
        <v>4</v>
      </c>
      <c r="K84" s="82" t="s">
        <v>499</v>
      </c>
      <c r="N84" s="93"/>
      <c r="O84"/>
      <c r="P84" s="12"/>
      <c r="Q84" s="12"/>
      <c r="R84" s="12"/>
      <c r="S84" s="12"/>
      <c r="T84" s="12"/>
      <c r="U84" s="12"/>
      <c r="V84" s="128"/>
      <c r="W84" s="128"/>
      <c r="X84" s="12"/>
      <c r="AR84" s="12" t="s">
        <v>380</v>
      </c>
      <c r="AS84" s="12" t="s">
        <v>381</v>
      </c>
      <c r="AT84" s="12"/>
    </row>
    <row r="85" spans="1:46" s="17" customFormat="1" ht="13.5" customHeight="1">
      <c r="A85" s="17" t="s">
        <v>500</v>
      </c>
      <c r="C85" s="17" t="s">
        <v>497</v>
      </c>
      <c r="D85" s="17" t="s">
        <v>445</v>
      </c>
      <c r="E85" s="17" t="s">
        <v>501</v>
      </c>
      <c r="F85" s="15">
        <v>4</v>
      </c>
      <c r="G85" s="15">
        <v>4</v>
      </c>
      <c r="H85" s="15">
        <v>0</v>
      </c>
      <c r="I85" s="15">
        <v>25</v>
      </c>
      <c r="J85" s="15">
        <f>G85-H85</f>
        <v>4</v>
      </c>
      <c r="K85" s="36" t="s">
        <v>499</v>
      </c>
      <c r="V85" s="129"/>
      <c r="W85" s="129"/>
      <c r="AR85" s="15" t="s">
        <v>380</v>
      </c>
      <c r="AS85" s="15" t="s">
        <v>381</v>
      </c>
    </row>
    <row r="86" spans="1:46">
      <c r="F86" s="12">
        <f>SUM(F84:F85)+F81</f>
        <v>303</v>
      </c>
      <c r="G86" s="12">
        <f>SUM(G84:G85)+G81</f>
        <v>760</v>
      </c>
      <c r="H86" s="12">
        <f>SUM(H84:H85)+H81</f>
        <v>210.75</v>
      </c>
      <c r="I86" s="12">
        <f>SUM(I84:I85)+I81</f>
        <v>5117</v>
      </c>
      <c r="J86" s="12"/>
      <c r="K86" s="12"/>
      <c r="L86" s="12">
        <f>SUM(L84:L85)+L81</f>
        <v>66</v>
      </c>
      <c r="M86" s="12"/>
      <c r="N86" s="12">
        <f>SUM(N84:N85)+N81</f>
        <v>1500</v>
      </c>
      <c r="O86" s="12"/>
      <c r="P86" s="12">
        <f>SUM(P84:P85)+P81</f>
        <v>2250</v>
      </c>
      <c r="Q86" s="12"/>
      <c r="R86" s="12">
        <f>SUM(R84:R85)+R81</f>
        <v>550</v>
      </c>
      <c r="S86" s="12"/>
      <c r="T86" s="12">
        <f>SUM(T84:T85)+T81</f>
        <v>300</v>
      </c>
      <c r="U86" s="12"/>
      <c r="V86" s="12">
        <f>SUM(V84:V85)+V81</f>
        <v>3000</v>
      </c>
      <c r="W86" s="12"/>
      <c r="X86" s="12">
        <f>SUM(X84:X85)+X81</f>
        <v>7195</v>
      </c>
      <c r="Z86" s="12">
        <f>SUM(Z84:Z85)+Z81</f>
        <v>100</v>
      </c>
      <c r="AB86" s="12">
        <f>SUM(AB84:AB85)+AB81</f>
        <v>50</v>
      </c>
      <c r="AD86" s="12">
        <f>SUM(AD84:AD85)+AD81</f>
        <v>170</v>
      </c>
      <c r="AF86" s="12">
        <f>SUM(AF84:AF85)+AF81</f>
        <v>170</v>
      </c>
      <c r="AH86" s="12">
        <f>SUM(AH84:AH85)+AH81</f>
        <v>200</v>
      </c>
      <c r="AJ86" s="12">
        <f>SUM(AJ84:AJ85)+AJ81</f>
        <v>135</v>
      </c>
      <c r="AL86" s="12">
        <f>SUM(AL84:AL85)+AL81</f>
        <v>5</v>
      </c>
      <c r="AN86" s="12">
        <f>SUM(AN84:AN85)+AN81</f>
        <v>760</v>
      </c>
      <c r="AP86" s="12">
        <f>SUM(AP84:AP85)+AP81</f>
        <v>2500</v>
      </c>
      <c r="AS86" s="12" t="s">
        <v>576</v>
      </c>
      <c r="AT86" s="12"/>
    </row>
    <row r="87" spans="1:46">
      <c r="F87" s="12"/>
      <c r="G87" s="12"/>
      <c r="H87" s="12"/>
      <c r="I87" s="12"/>
      <c r="J87" s="12"/>
      <c r="K87" s="12"/>
      <c r="L87" s="12"/>
      <c r="M87" s="12"/>
      <c r="N87" s="12"/>
      <c r="O87" s="12"/>
      <c r="P87" s="12"/>
      <c r="Q87" s="12"/>
      <c r="R87" s="12"/>
      <c r="S87" s="12"/>
      <c r="T87" s="12"/>
      <c r="U87" s="12"/>
      <c r="V87" s="12"/>
      <c r="W87" s="12"/>
      <c r="X87" s="12"/>
      <c r="Z87" s="12"/>
      <c r="AB87" s="12"/>
      <c r="AD87" s="12"/>
      <c r="AP87" s="12"/>
      <c r="AS87" s="12"/>
      <c r="AT87" s="12"/>
    </row>
    <row r="88" spans="1:46" ht="13">
      <c r="A88" s="14" t="s">
        <v>503</v>
      </c>
    </row>
    <row r="89" spans="1:46">
      <c r="A89" s="4" t="s">
        <v>504</v>
      </c>
      <c r="C89" s="4" t="s">
        <v>505</v>
      </c>
      <c r="D89" s="4" t="s">
        <v>506</v>
      </c>
      <c r="E89" s="4" t="s">
        <v>19</v>
      </c>
      <c r="F89" s="12">
        <v>2</v>
      </c>
      <c r="G89" s="12">
        <v>4</v>
      </c>
      <c r="H89" s="12">
        <v>4</v>
      </c>
      <c r="I89" s="12">
        <v>350</v>
      </c>
      <c r="J89" s="12">
        <f t="shared" ref="J89:J94" si="3">G89-H89</f>
        <v>0</v>
      </c>
      <c r="K89" s="82" t="s">
        <v>507</v>
      </c>
      <c r="L89" s="82"/>
      <c r="M89" s="82"/>
      <c r="N89" s="82"/>
      <c r="O89" s="82"/>
      <c r="P89" s="82"/>
      <c r="Q89" s="82"/>
      <c r="R89" s="82"/>
      <c r="S89" s="82"/>
      <c r="T89" s="12"/>
      <c r="U89" s="12"/>
      <c r="V89" s="12"/>
      <c r="Z89" s="12"/>
      <c r="AA89" s="12"/>
      <c r="AB89" s="12"/>
      <c r="AC89" s="12"/>
      <c r="AD89" s="12"/>
      <c r="AE89" s="12"/>
      <c r="AF89" s="12"/>
      <c r="AG89" s="12"/>
      <c r="AH89" s="12"/>
      <c r="AI89" s="12"/>
      <c r="AJ89" s="12"/>
      <c r="AK89" s="12"/>
      <c r="AL89" s="12"/>
      <c r="AM89" s="12"/>
      <c r="AN89" s="12"/>
      <c r="AO89" s="12"/>
      <c r="AP89" s="12"/>
      <c r="AQ89" s="12"/>
      <c r="AR89" s="12" t="s">
        <v>380</v>
      </c>
      <c r="AS89" s="12" t="s">
        <v>381</v>
      </c>
      <c r="AT89" s="12"/>
    </row>
    <row r="90" spans="1:46">
      <c r="A90" s="4" t="s">
        <v>509</v>
      </c>
      <c r="C90" s="4" t="s">
        <v>505</v>
      </c>
      <c r="D90" s="4" t="s">
        <v>506</v>
      </c>
      <c r="E90" s="4" t="s">
        <v>510</v>
      </c>
      <c r="F90" s="12">
        <v>6</v>
      </c>
      <c r="G90" s="12">
        <v>10</v>
      </c>
      <c r="H90" s="12">
        <v>10</v>
      </c>
      <c r="I90" s="12">
        <v>100</v>
      </c>
      <c r="J90" s="12">
        <f t="shared" si="3"/>
        <v>0</v>
      </c>
      <c r="K90" s="82" t="s">
        <v>507</v>
      </c>
      <c r="L90" s="82"/>
      <c r="M90" s="82"/>
      <c r="N90" s="82">
        <v>200</v>
      </c>
      <c r="O90" s="82" t="s">
        <v>508</v>
      </c>
      <c r="P90" s="82"/>
      <c r="Q90" s="82"/>
      <c r="R90" s="82"/>
      <c r="S90" s="82"/>
      <c r="T90" s="12"/>
      <c r="U90" s="12"/>
      <c r="V90" s="12"/>
      <c r="Z90" s="12"/>
      <c r="AA90" s="12"/>
      <c r="AB90" s="12"/>
      <c r="AC90" s="12"/>
      <c r="AD90" s="12"/>
      <c r="AE90" s="12"/>
      <c r="AF90" s="12"/>
      <c r="AG90" s="12"/>
      <c r="AH90" s="12"/>
      <c r="AI90" s="12"/>
      <c r="AJ90" s="12"/>
      <c r="AK90" s="12"/>
      <c r="AL90" s="12"/>
      <c r="AM90" s="12"/>
      <c r="AN90" s="12"/>
      <c r="AO90" s="12"/>
      <c r="AP90" s="12"/>
      <c r="AQ90" s="12"/>
      <c r="AR90" s="12" t="s">
        <v>380</v>
      </c>
      <c r="AS90" s="12" t="s">
        <v>381</v>
      </c>
      <c r="AT90" s="12"/>
    </row>
    <row r="91" spans="1:46">
      <c r="A91" s="4" t="s">
        <v>511</v>
      </c>
      <c r="C91" s="4" t="s">
        <v>505</v>
      </c>
      <c r="D91" s="4" t="s">
        <v>506</v>
      </c>
      <c r="E91" s="4" t="s">
        <v>512</v>
      </c>
      <c r="F91" s="12">
        <v>8</v>
      </c>
      <c r="G91" s="12">
        <v>16</v>
      </c>
      <c r="H91" s="12">
        <v>16</v>
      </c>
      <c r="I91" s="12">
        <v>60</v>
      </c>
      <c r="J91" s="12">
        <f t="shared" si="3"/>
        <v>0</v>
      </c>
      <c r="K91" s="82" t="s">
        <v>513</v>
      </c>
      <c r="L91" s="82"/>
      <c r="M91" s="82"/>
      <c r="N91" s="82"/>
      <c r="O91" s="82"/>
      <c r="P91" s="82"/>
      <c r="Q91" s="82"/>
      <c r="R91" s="82"/>
      <c r="S91" s="82"/>
      <c r="T91" s="12"/>
      <c r="U91" s="12"/>
      <c r="V91" s="12"/>
      <c r="Z91" s="12"/>
      <c r="AA91" s="12"/>
      <c r="AB91" s="12"/>
      <c r="AC91" s="12"/>
      <c r="AD91" s="12"/>
      <c r="AE91" s="12"/>
      <c r="AF91" s="12"/>
      <c r="AG91" s="12"/>
      <c r="AH91" s="12"/>
      <c r="AI91" s="12"/>
      <c r="AJ91" s="12"/>
      <c r="AK91" s="12"/>
      <c r="AL91" s="12"/>
      <c r="AM91" s="12"/>
      <c r="AN91" s="12"/>
      <c r="AO91" s="12"/>
      <c r="AP91" s="12"/>
      <c r="AQ91" s="12"/>
      <c r="AR91" s="12" t="s">
        <v>396</v>
      </c>
      <c r="AS91" s="12" t="s">
        <v>397</v>
      </c>
      <c r="AT91" s="12"/>
    </row>
    <row r="92" spans="1:46">
      <c r="A92" s="4" t="s">
        <v>514</v>
      </c>
      <c r="C92" s="4" t="s">
        <v>505</v>
      </c>
      <c r="D92" s="4" t="s">
        <v>506</v>
      </c>
      <c r="E92" s="4" t="s">
        <v>515</v>
      </c>
      <c r="F92" s="12">
        <v>10</v>
      </c>
      <c r="G92" s="12">
        <v>10</v>
      </c>
      <c r="H92" s="12">
        <v>10</v>
      </c>
      <c r="I92" s="12">
        <v>40</v>
      </c>
      <c r="J92" s="12">
        <f t="shared" si="3"/>
        <v>0</v>
      </c>
      <c r="K92" s="82" t="s">
        <v>513</v>
      </c>
      <c r="L92" s="82"/>
      <c r="M92" s="82"/>
      <c r="N92" s="82"/>
      <c r="O92" s="82"/>
      <c r="P92" s="82"/>
      <c r="Q92" s="82"/>
      <c r="R92" s="82"/>
      <c r="S92" s="82"/>
      <c r="T92" s="12"/>
      <c r="U92" s="12"/>
      <c r="V92" s="12"/>
      <c r="Z92" s="12"/>
      <c r="AA92" s="12"/>
      <c r="AB92" s="12"/>
      <c r="AC92" s="12"/>
      <c r="AD92" s="12"/>
      <c r="AE92" s="12"/>
      <c r="AF92" s="12"/>
      <c r="AG92" s="12"/>
      <c r="AH92" s="12"/>
      <c r="AI92" s="12"/>
      <c r="AJ92" s="12"/>
      <c r="AK92" s="12"/>
      <c r="AL92" s="12"/>
      <c r="AM92" s="12"/>
      <c r="AN92" s="12"/>
      <c r="AO92" s="12"/>
      <c r="AP92" s="12"/>
      <c r="AQ92" s="12"/>
      <c r="AR92" s="12" t="s">
        <v>396</v>
      </c>
      <c r="AS92" s="12" t="s">
        <v>397</v>
      </c>
      <c r="AT92" s="12"/>
    </row>
    <row r="93" spans="1:46">
      <c r="A93" s="4" t="s">
        <v>516</v>
      </c>
      <c r="C93" s="4" t="s">
        <v>505</v>
      </c>
      <c r="D93" s="4" t="s">
        <v>506</v>
      </c>
      <c r="E93" s="4" t="s">
        <v>517</v>
      </c>
      <c r="F93" s="12">
        <v>4</v>
      </c>
      <c r="G93" s="12">
        <v>16</v>
      </c>
      <c r="H93" s="12">
        <v>0</v>
      </c>
      <c r="I93" s="12">
        <v>550</v>
      </c>
      <c r="J93" s="12">
        <f t="shared" si="3"/>
        <v>16</v>
      </c>
      <c r="K93" s="82" t="s">
        <v>518</v>
      </c>
      <c r="L93" s="82"/>
      <c r="M93" s="82"/>
      <c r="N93" s="82"/>
      <c r="O93" s="82"/>
      <c r="P93" s="82"/>
      <c r="Q93" s="82"/>
      <c r="R93" s="82"/>
      <c r="S93" s="82"/>
      <c r="T93" s="12"/>
      <c r="U93" s="12"/>
      <c r="V93" s="12"/>
      <c r="Z93" s="12"/>
      <c r="AA93" s="12"/>
      <c r="AB93" s="12"/>
      <c r="AC93" s="12"/>
      <c r="AD93" s="12"/>
      <c r="AE93" s="12"/>
      <c r="AF93" s="12"/>
      <c r="AG93" s="12"/>
      <c r="AH93" s="12"/>
      <c r="AI93" s="12"/>
      <c r="AJ93" s="12"/>
      <c r="AK93" s="12"/>
      <c r="AL93" s="12"/>
      <c r="AM93" s="12"/>
      <c r="AN93" s="12"/>
      <c r="AO93" s="12"/>
      <c r="AP93" s="12"/>
      <c r="AQ93" s="12"/>
      <c r="AR93" s="12" t="s">
        <v>396</v>
      </c>
      <c r="AS93" s="12" t="s">
        <v>397</v>
      </c>
      <c r="AT93" s="12"/>
    </row>
    <row r="94" spans="1:46">
      <c r="A94" s="4" t="s">
        <v>520</v>
      </c>
      <c r="C94" s="4" t="s">
        <v>505</v>
      </c>
      <c r="D94" s="4" t="s">
        <v>506</v>
      </c>
      <c r="E94" s="4" t="s">
        <v>521</v>
      </c>
      <c r="F94" s="12">
        <v>2</v>
      </c>
      <c r="G94" s="12">
        <v>4</v>
      </c>
      <c r="H94" s="12">
        <v>4</v>
      </c>
      <c r="I94" s="12">
        <v>40</v>
      </c>
      <c r="J94" s="12">
        <f t="shared" si="3"/>
        <v>0</v>
      </c>
      <c r="K94" s="82" t="s">
        <v>513</v>
      </c>
      <c r="L94" s="82"/>
      <c r="M94" s="82"/>
      <c r="N94" s="82"/>
      <c r="O94" s="82"/>
      <c r="P94" s="82"/>
      <c r="Q94" s="82"/>
      <c r="R94" s="82">
        <v>50</v>
      </c>
      <c r="S94" s="82" t="s">
        <v>519</v>
      </c>
      <c r="T94" s="12"/>
      <c r="U94" s="12"/>
      <c r="V94" s="12"/>
      <c r="Z94" s="12"/>
      <c r="AA94" s="12"/>
      <c r="AB94" s="12"/>
      <c r="AC94" s="12"/>
      <c r="AD94" s="12"/>
      <c r="AE94" s="12"/>
      <c r="AF94" s="12"/>
      <c r="AG94" s="12"/>
      <c r="AH94" s="12"/>
      <c r="AI94" s="12"/>
      <c r="AJ94" s="12"/>
      <c r="AK94" s="12"/>
      <c r="AL94" s="12"/>
      <c r="AM94" s="12"/>
      <c r="AN94" s="12"/>
      <c r="AO94" s="12"/>
      <c r="AP94" s="12"/>
      <c r="AQ94" s="12"/>
      <c r="AR94" s="12" t="s">
        <v>380</v>
      </c>
      <c r="AS94" s="12" t="s">
        <v>381</v>
      </c>
      <c r="AT94" s="12"/>
    </row>
    <row r="95" spans="1:46">
      <c r="A95" s="4" t="s">
        <v>522</v>
      </c>
      <c r="C95" s="4" t="s">
        <v>523</v>
      </c>
      <c r="D95" s="4" t="s">
        <v>506</v>
      </c>
      <c r="E95" s="4" t="s">
        <v>63</v>
      </c>
      <c r="F95" s="12">
        <v>6</v>
      </c>
      <c r="G95" s="12">
        <v>20</v>
      </c>
      <c r="H95" s="12">
        <v>0</v>
      </c>
      <c r="I95" s="12">
        <v>80</v>
      </c>
      <c r="J95" s="82">
        <f>G95-H95</f>
        <v>20</v>
      </c>
      <c r="K95" s="82" t="s">
        <v>524</v>
      </c>
      <c r="L95" s="82"/>
      <c r="M95" s="82"/>
      <c r="N95" s="82"/>
      <c r="O95" s="82"/>
      <c r="P95" s="82"/>
      <c r="Q95" s="82"/>
      <c r="R95" s="82"/>
      <c r="S95" s="82"/>
      <c r="T95" s="12"/>
      <c r="U95" s="12"/>
      <c r="V95" s="12"/>
      <c r="Z95" s="12"/>
      <c r="AA95" s="12"/>
      <c r="AB95" s="12"/>
      <c r="AC95" s="12"/>
      <c r="AD95" s="12"/>
      <c r="AE95" s="12"/>
      <c r="AF95" s="12"/>
      <c r="AG95" s="12"/>
      <c r="AH95" s="12"/>
      <c r="AI95" s="12"/>
      <c r="AJ95" s="12"/>
      <c r="AK95" s="12"/>
      <c r="AL95" s="12"/>
      <c r="AM95" s="12"/>
      <c r="AN95" s="12"/>
      <c r="AO95" s="12"/>
      <c r="AP95" s="12"/>
      <c r="AQ95" s="12"/>
      <c r="AR95" s="12" t="s">
        <v>380</v>
      </c>
      <c r="AS95" s="12" t="s">
        <v>381</v>
      </c>
      <c r="AT95" s="12"/>
    </row>
    <row r="96" spans="1:46">
      <c r="A96" s="4" t="s">
        <v>525</v>
      </c>
      <c r="C96" s="4" t="s">
        <v>523</v>
      </c>
      <c r="D96" s="4" t="s">
        <v>506</v>
      </c>
      <c r="E96" s="4" t="s">
        <v>63</v>
      </c>
      <c r="F96" s="12">
        <v>6</v>
      </c>
      <c r="G96" s="12">
        <v>20</v>
      </c>
      <c r="H96" s="12">
        <v>0</v>
      </c>
      <c r="I96" s="12">
        <v>80</v>
      </c>
      <c r="J96" s="82">
        <f>G96-H96</f>
        <v>20</v>
      </c>
      <c r="K96" s="82" t="s">
        <v>524</v>
      </c>
      <c r="L96" s="82"/>
      <c r="M96" s="82"/>
      <c r="N96" s="82"/>
      <c r="O96" s="82"/>
      <c r="P96" s="82"/>
      <c r="Q96" s="82"/>
      <c r="R96" s="82"/>
      <c r="S96" s="82"/>
      <c r="T96" s="12"/>
      <c r="U96" s="12"/>
      <c r="V96" s="12"/>
      <c r="Z96" s="12"/>
      <c r="AA96" s="12"/>
      <c r="AB96" s="12"/>
      <c r="AC96" s="12"/>
      <c r="AD96" s="12"/>
      <c r="AE96" s="12"/>
      <c r="AF96" s="12"/>
      <c r="AG96" s="12"/>
      <c r="AH96" s="12"/>
      <c r="AI96" s="12"/>
      <c r="AJ96" s="12"/>
      <c r="AK96" s="12"/>
      <c r="AL96" s="12"/>
      <c r="AM96" s="12"/>
      <c r="AN96" s="12"/>
      <c r="AO96" s="12"/>
      <c r="AP96" s="12"/>
      <c r="AQ96" s="12"/>
      <c r="AR96" s="12" t="s">
        <v>380</v>
      </c>
      <c r="AS96" s="12" t="s">
        <v>381</v>
      </c>
      <c r="AT96" s="12"/>
    </row>
    <row r="97" spans="1:46">
      <c r="A97" s="4" t="s">
        <v>526</v>
      </c>
      <c r="C97" s="4" t="s">
        <v>527</v>
      </c>
      <c r="D97" s="4" t="s">
        <v>528</v>
      </c>
      <c r="E97" s="4" t="s">
        <v>529</v>
      </c>
      <c r="F97" s="12">
        <v>4</v>
      </c>
      <c r="G97" s="12">
        <v>8</v>
      </c>
      <c r="H97" s="12">
        <v>0</v>
      </c>
      <c r="I97" s="12">
        <v>30</v>
      </c>
      <c r="J97" s="12">
        <f>G97-H97</f>
        <v>8</v>
      </c>
      <c r="K97" s="82" t="s">
        <v>530</v>
      </c>
      <c r="L97" s="82"/>
      <c r="M97" s="82"/>
      <c r="N97" s="82"/>
      <c r="O97" s="82"/>
      <c r="P97" s="82"/>
      <c r="Q97" s="82"/>
      <c r="R97" s="82"/>
      <c r="S97" s="82"/>
      <c r="T97" s="82"/>
      <c r="U97" s="82"/>
      <c r="V97" s="12"/>
      <c r="W97" s="12"/>
      <c r="X97" s="12"/>
      <c r="AR97" s="12" t="s">
        <v>380</v>
      </c>
      <c r="AS97" s="12" t="s">
        <v>381</v>
      </c>
      <c r="AT97" s="12"/>
    </row>
    <row r="98" spans="1:46" s="17" customFormat="1">
      <c r="A98" s="17" t="s">
        <v>531</v>
      </c>
      <c r="C98" s="17" t="s">
        <v>532</v>
      </c>
      <c r="D98" s="17" t="s">
        <v>378</v>
      </c>
      <c r="E98" s="17" t="s">
        <v>83</v>
      </c>
      <c r="F98" s="15">
        <v>8</v>
      </c>
      <c r="G98" s="15">
        <v>6</v>
      </c>
      <c r="H98" s="15">
        <v>0</v>
      </c>
      <c r="I98" s="15">
        <v>70</v>
      </c>
      <c r="J98" s="15">
        <f t="shared" ref="J98" si="4">G98-H98</f>
        <v>6</v>
      </c>
      <c r="K98" s="36" t="s">
        <v>533</v>
      </c>
      <c r="L98" s="36"/>
      <c r="M98" s="36"/>
      <c r="N98" s="36"/>
      <c r="O98" s="36"/>
      <c r="P98" s="36"/>
      <c r="Q98" s="36"/>
      <c r="R98" s="36"/>
      <c r="S98" s="36"/>
      <c r="T98" s="36"/>
      <c r="U98" s="36"/>
      <c r="V98" s="15"/>
      <c r="W98" s="15"/>
      <c r="X98" s="15"/>
      <c r="AR98" s="15" t="s">
        <v>380</v>
      </c>
      <c r="AS98" s="15" t="s">
        <v>381</v>
      </c>
      <c r="AT98" s="15"/>
    </row>
    <row r="99" spans="1:46" s="18" customFormat="1">
      <c r="F99" s="16">
        <f>SUM(F89:F98)+F86</f>
        <v>359</v>
      </c>
      <c r="G99" s="16">
        <f>SUM(G89:G98)+G86</f>
        <v>874</v>
      </c>
      <c r="H99" s="16">
        <f>SUM(H89:H98)+H86</f>
        <v>254.75</v>
      </c>
      <c r="I99" s="16">
        <f>SUM(I89:I98)+I86</f>
        <v>6517</v>
      </c>
      <c r="J99" s="16"/>
      <c r="K99" s="16"/>
      <c r="L99" s="16">
        <f>SUM(L89:L98)+L86</f>
        <v>66</v>
      </c>
      <c r="M99" s="16"/>
      <c r="N99" s="16">
        <f>SUM(N89:N98)+N86</f>
        <v>1700</v>
      </c>
      <c r="O99" s="16"/>
      <c r="P99" s="16">
        <f>SUM(P89:P98)+P86</f>
        <v>2250</v>
      </c>
      <c r="Q99" s="16"/>
      <c r="R99" s="16">
        <f>SUM(R89:R98)+R86</f>
        <v>600</v>
      </c>
      <c r="S99" s="16"/>
      <c r="T99" s="16">
        <f>SUM(T89:T98)+T86</f>
        <v>300</v>
      </c>
      <c r="U99" s="16"/>
      <c r="V99" s="16">
        <f>SUM(V89:V98)+V86</f>
        <v>3000</v>
      </c>
      <c r="W99" s="16"/>
      <c r="X99" s="16">
        <f>SUM(X89:X98)+X86</f>
        <v>7195</v>
      </c>
      <c r="Y99" s="16"/>
      <c r="Z99" s="16">
        <f>SUM(Z89:Z98)+Z86</f>
        <v>100</v>
      </c>
      <c r="AA99" s="16"/>
      <c r="AB99" s="16">
        <f>SUM(AB89:AB98)+AB86</f>
        <v>50</v>
      </c>
      <c r="AC99" s="16"/>
      <c r="AD99" s="16">
        <f>SUM(AD89:AD98)+AD86</f>
        <v>170</v>
      </c>
      <c r="AE99" s="16"/>
      <c r="AF99" s="16">
        <f>SUM(AF89:AF98)+AF86</f>
        <v>170</v>
      </c>
      <c r="AG99" s="16"/>
      <c r="AH99" s="16"/>
      <c r="AI99" s="16"/>
      <c r="AJ99" s="16"/>
      <c r="AK99" s="16"/>
      <c r="AL99" s="16"/>
      <c r="AM99" s="16"/>
      <c r="AN99" s="16"/>
      <c r="AO99" s="16"/>
      <c r="AP99" s="16">
        <f>SUM(AP89:AP98)+AP86</f>
        <v>2500</v>
      </c>
      <c r="AQ99" s="16"/>
      <c r="AR99" s="16"/>
      <c r="AS99" s="16" t="s">
        <v>577</v>
      </c>
      <c r="AT99" s="16">
        <v>3</v>
      </c>
    </row>
    <row r="102" spans="1:46" ht="14.5">
      <c r="A102" s="170" t="s">
        <v>368</v>
      </c>
      <c r="B102" s="171"/>
      <c r="C102" s="171"/>
    </row>
    <row r="103" spans="1:46" ht="13">
      <c r="A103" s="91" t="s">
        <v>450</v>
      </c>
      <c r="B103" s="91" t="s">
        <v>451</v>
      </c>
      <c r="C103" s="91" t="s">
        <v>452</v>
      </c>
      <c r="D103" s="8"/>
      <c r="E103" s="8"/>
    </row>
    <row r="104" spans="1:46">
      <c r="A104" s="89" t="s">
        <v>469</v>
      </c>
      <c r="B104" s="87" cm="1">
        <f t="array" ref="B104">SUM(IF(K8:K98=A104,I8:K98,""))</f>
        <v>898</v>
      </c>
      <c r="C104" s="88">
        <v>1000</v>
      </c>
    </row>
    <row r="105" spans="1:46">
      <c r="A105" s="89" t="s">
        <v>470</v>
      </c>
      <c r="B105" s="87" cm="1">
        <f t="array" ref="B105">SUM(IF(K8:K98=A105,I8:J98,""),AD23)</f>
        <v>1083.25</v>
      </c>
      <c r="C105" s="88">
        <v>1200</v>
      </c>
    </row>
    <row r="106" spans="1:46">
      <c r="A106" s="89" t="s">
        <v>472</v>
      </c>
      <c r="B106" s="87" cm="1">
        <f t="array" ref="B106">SUM(IF(K8:K98=A106,I8:J98,""),AB19,,AD24)</f>
        <v>829</v>
      </c>
      <c r="C106" s="88">
        <v>1100</v>
      </c>
    </row>
    <row r="107" spans="1:46">
      <c r="A107" s="89" t="s">
        <v>535</v>
      </c>
      <c r="B107" s="88">
        <v>10</v>
      </c>
      <c r="C107" s="88">
        <v>35</v>
      </c>
    </row>
    <row r="108" spans="1:46">
      <c r="A108" s="89" t="s">
        <v>536</v>
      </c>
      <c r="B108" s="88">
        <v>10</v>
      </c>
      <c r="C108" s="88">
        <v>35</v>
      </c>
    </row>
    <row r="109" spans="1:46">
      <c r="A109" s="89" t="s">
        <v>537</v>
      </c>
      <c r="B109" s="88">
        <v>10</v>
      </c>
      <c r="C109" s="88">
        <v>35</v>
      </c>
    </row>
    <row r="110" spans="1:46">
      <c r="A110" s="89" t="s">
        <v>538</v>
      </c>
      <c r="B110" s="88">
        <v>10</v>
      </c>
      <c r="C110" s="88">
        <v>35</v>
      </c>
    </row>
    <row r="111" spans="1:46">
      <c r="A111" s="89" t="s">
        <v>539</v>
      </c>
      <c r="B111" s="88">
        <v>10</v>
      </c>
      <c r="C111" s="88">
        <v>35</v>
      </c>
    </row>
    <row r="112" spans="1:46">
      <c r="A112" s="89" t="s">
        <v>578</v>
      </c>
      <c r="B112" s="88">
        <v>10</v>
      </c>
      <c r="C112" s="88">
        <v>35</v>
      </c>
    </row>
    <row r="113" spans="1:3">
      <c r="A113" s="89" t="s">
        <v>454</v>
      </c>
      <c r="B113" s="88">
        <v>59.4</v>
      </c>
      <c r="C113" s="88">
        <v>66</v>
      </c>
    </row>
    <row r="114" spans="1:3">
      <c r="A114" s="89" t="s">
        <v>455</v>
      </c>
      <c r="B114" s="103">
        <f>IF(N11=1500,1350,1885.79)</f>
        <v>1350</v>
      </c>
      <c r="C114" s="103">
        <f>N11</f>
        <v>1500</v>
      </c>
    </row>
    <row r="115" spans="1:3">
      <c r="A115" s="89" t="s">
        <v>456</v>
      </c>
      <c r="B115" s="88">
        <v>2025</v>
      </c>
      <c r="C115" s="88">
        <v>2250</v>
      </c>
    </row>
    <row r="116" spans="1:3">
      <c r="A116" s="89" t="s">
        <v>189</v>
      </c>
      <c r="B116" s="88">
        <f>393</f>
        <v>393</v>
      </c>
      <c r="C116" s="88">
        <v>430</v>
      </c>
    </row>
    <row r="117" spans="1:3">
      <c r="A117" s="89" t="s">
        <v>194</v>
      </c>
      <c r="B117" s="88">
        <v>270</v>
      </c>
      <c r="C117" s="88">
        <v>300</v>
      </c>
    </row>
    <row r="118" spans="1:3">
      <c r="A118" s="89" t="s">
        <v>457</v>
      </c>
      <c r="B118" s="88">
        <v>90</v>
      </c>
      <c r="C118" s="88">
        <v>150</v>
      </c>
    </row>
    <row r="119" spans="1:3">
      <c r="A119" s="89" t="s">
        <v>421</v>
      </c>
      <c r="B119" s="88">
        <v>150</v>
      </c>
      <c r="C119" s="88">
        <v>200</v>
      </c>
    </row>
    <row r="120" spans="1:3">
      <c r="A120" s="89" t="str">
        <f>IF(F49&lt;&gt;"4TB","Backup (DB, NFS, and AVE 2TB)","Backup (DB, NFS, and AVE 4TB)")</f>
        <v>Backup (DB, NFS, and AVE 2TB)</v>
      </c>
      <c r="B120" s="103">
        <f>X11*0.9+X12*0.9+SUM(I74:J76) + V74</f>
        <v>9360.5</v>
      </c>
      <c r="C120" s="103">
        <f>10752+IF(F49 &lt;&gt; "4TB", 0, 3000)</f>
        <v>10752</v>
      </c>
    </row>
    <row r="121" spans="1:3">
      <c r="A121" s="89" t="s">
        <v>540</v>
      </c>
      <c r="B121" s="88">
        <v>2048</v>
      </c>
      <c r="C121" s="88">
        <v>2500</v>
      </c>
    </row>
    <row r="122" spans="1:3">
      <c r="A122" s="89" t="s">
        <v>468</v>
      </c>
      <c r="B122" s="103">
        <f>SUM(I8:J9)</f>
        <v>984</v>
      </c>
      <c r="C122" s="103">
        <f>IF(E9="vCSA8.0", 1100, 900)</f>
        <v>1100</v>
      </c>
    </row>
    <row r="123" spans="1:3">
      <c r="A123" s="89" t="s">
        <v>489</v>
      </c>
      <c r="B123" s="88">
        <v>150</v>
      </c>
      <c r="C123" s="88">
        <v>170</v>
      </c>
    </row>
    <row r="124" spans="1:3">
      <c r="A124" s="109" t="s">
        <v>499</v>
      </c>
      <c r="B124" s="107">
        <v>58</v>
      </c>
      <c r="C124" s="110">
        <v>100</v>
      </c>
    </row>
    <row r="125" spans="1:3">
      <c r="A125" s="109" t="s">
        <v>492</v>
      </c>
      <c r="B125" s="88">
        <v>824.5</v>
      </c>
      <c r="C125" s="88">
        <v>900</v>
      </c>
    </row>
    <row r="126" spans="1:3">
      <c r="A126" s="72" t="s">
        <v>541</v>
      </c>
    </row>
    <row r="133" spans="1:2" ht="13">
      <c r="B133" s="6" t="s">
        <v>544</v>
      </c>
    </row>
    <row r="134" spans="1:2">
      <c r="A134" s="113" t="s">
        <v>551</v>
      </c>
      <c r="B134" s="4">
        <v>1500</v>
      </c>
    </row>
    <row r="135" spans="1:2">
      <c r="A135" s="113" t="s">
        <v>579</v>
      </c>
      <c r="B135" s="4">
        <v>2062</v>
      </c>
    </row>
  </sheetData>
  <mergeCells count="12">
    <mergeCell ref="H43:O47"/>
    <mergeCell ref="A44:D44"/>
    <mergeCell ref="A49:E49"/>
    <mergeCell ref="A102:C102"/>
    <mergeCell ref="A1:E1"/>
    <mergeCell ref="A2:B2"/>
    <mergeCell ref="A3:B3"/>
    <mergeCell ref="F3:G3"/>
    <mergeCell ref="A4:B4"/>
    <mergeCell ref="A5:B5"/>
    <mergeCell ref="A6:B6"/>
    <mergeCell ref="A43:D43"/>
  </mergeCells>
  <dataValidations count="3">
    <dataValidation type="list" allowBlank="1" showInputMessage="1" showErrorMessage="1" sqref="F49" xr:uid="{38A48674-1E41-4D18-8924-29CAB818457F}">
      <formula1>"2TB, 4TB"</formula1>
    </dataValidation>
    <dataValidation type="list" allowBlank="1" showInputMessage="1" showErrorMessage="1" sqref="N11" xr:uid="{325CFD7C-86C1-4AFB-9076-EB60ACDF1740}">
      <formula1>$B$134:$B$135</formula1>
    </dataValidation>
    <dataValidation type="list" allowBlank="1" showInputMessage="1" showErrorMessage="1" sqref="E9" xr:uid="{5844EE67-76F2-4166-A997-0AAACD8760BE}">
      <formula1>"vCSA8.0, vCSA7.0"</formula1>
    </dataValidation>
  </dataValidations>
  <hyperlinks>
    <hyperlink ref="F3:G3" location="Shortcuts!A1" display="Back to shortcuts" xr:uid="{4EDD6FD8-5C4F-48A7-A5B6-E70F69EE3849}"/>
  </hyperlinks>
  <pageMargins left="0.7" right="0.7" top="0.75" bottom="0.75" header="0.3" footer="0.3"/>
  <pageSetup paperSize="9" orientation="portrait" r:id="rId1"/>
  <headerFooter>
    <oddFooter>&amp;C&amp;1#&amp;"Arial"&amp;8&amp;K001753Nokia internal use</oddFooter>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24C1AA-C6C7-43D8-BF41-593258BA6259}">
  <sheetPr codeName="Sheet93"/>
  <dimension ref="A1:AT148"/>
  <sheetViews>
    <sheetView topLeftCell="D1" zoomScale="80" zoomScaleNormal="80" zoomScalePageLayoutView="70" workbookViewId="0">
      <selection activeCell="G8" sqref="G8"/>
    </sheetView>
  </sheetViews>
  <sheetFormatPr defaultColWidth="8.81640625" defaultRowHeight="12.5"/>
  <cols>
    <col min="1" max="1" width="37.453125" style="33" customWidth="1"/>
    <col min="2" max="2" width="14.81640625" style="33" customWidth="1"/>
    <col min="3" max="3" width="15.54296875" style="33" customWidth="1"/>
    <col min="4" max="4" width="23.81640625" style="33" customWidth="1"/>
    <col min="5" max="5" width="40.81640625" style="33" customWidth="1"/>
    <col min="6" max="6" width="22.1796875" style="33" customWidth="1"/>
    <col min="7" max="7" width="16.81640625" style="33" customWidth="1"/>
    <col min="8" max="8" width="26.81640625" style="33" customWidth="1"/>
    <col min="9" max="9" width="40" style="33" customWidth="1"/>
    <col min="10" max="10" width="8.81640625" style="33"/>
    <col min="11" max="11" width="17.81640625" style="33" customWidth="1"/>
    <col min="12" max="12" width="9.1796875" style="33" customWidth="1"/>
    <col min="13" max="13" width="9.81640625" style="33" customWidth="1"/>
    <col min="14" max="14" width="8.81640625" style="33"/>
    <col min="15" max="15" width="11.81640625" style="33" customWidth="1"/>
    <col min="16" max="16" width="8.81640625" style="33"/>
    <col min="17" max="17" width="9.81640625" style="33" customWidth="1"/>
    <col min="18" max="18" width="8.81640625" style="33"/>
    <col min="19" max="19" width="9.81640625" style="33" customWidth="1"/>
    <col min="20" max="20" width="8.81640625" style="33"/>
    <col min="21" max="21" width="9.81640625" style="33" customWidth="1"/>
    <col min="22" max="22" width="8.81640625" style="33"/>
    <col min="23" max="23" width="9.81640625" style="33" customWidth="1"/>
    <col min="24" max="24" width="12.1796875" style="33" customWidth="1"/>
    <col min="25" max="26" width="9.81640625" style="33" customWidth="1"/>
    <col min="27" max="32" width="12.81640625" style="33" customWidth="1"/>
    <col min="33" max="33" width="14.1796875" style="33" bestFit="1" customWidth="1"/>
    <col min="34" max="34" width="14.1796875" style="33" customWidth="1"/>
    <col min="35" max="41" width="15.453125" style="33" customWidth="1"/>
    <col min="42" max="43" width="12.81640625" style="33" customWidth="1"/>
    <col min="44" max="44" width="22" style="33" customWidth="1"/>
    <col min="45" max="45" width="12.1796875" style="33" customWidth="1"/>
    <col min="46" max="46" width="13.1796875" style="33" customWidth="1"/>
    <col min="47" max="16384" width="8.81640625" style="33"/>
  </cols>
  <sheetData>
    <row r="1" spans="1:46" ht="13">
      <c r="A1" s="156" t="s">
        <v>15</v>
      </c>
      <c r="B1" s="156"/>
      <c r="C1" s="156"/>
      <c r="D1" s="156"/>
      <c r="E1" s="157"/>
      <c r="F1" s="32" t="s">
        <v>354</v>
      </c>
    </row>
    <row r="2" spans="1:46">
      <c r="A2" s="178" t="s">
        <v>355</v>
      </c>
      <c r="B2" s="178"/>
      <c r="C2" s="120"/>
      <c r="D2" s="33" t="s">
        <v>580</v>
      </c>
    </row>
    <row r="3" spans="1:46" ht="14.5">
      <c r="A3" s="178" t="s">
        <v>357</v>
      </c>
      <c r="B3" s="178"/>
      <c r="C3" s="33" t="s">
        <v>356</v>
      </c>
      <c r="F3" s="169" t="s">
        <v>358</v>
      </c>
      <c r="G3" s="169"/>
    </row>
    <row r="4" spans="1:46" ht="13">
      <c r="A4" s="178" t="s">
        <v>359</v>
      </c>
      <c r="B4" s="178"/>
      <c r="C4" s="33" t="s">
        <v>460</v>
      </c>
    </row>
    <row r="5" spans="1:46" ht="13">
      <c r="A5" s="162" t="s">
        <v>360</v>
      </c>
      <c r="B5" s="162"/>
      <c r="C5" s="4" t="s">
        <v>553</v>
      </c>
    </row>
    <row r="6" spans="1:46" ht="13">
      <c r="A6" s="162" t="s">
        <v>361</v>
      </c>
      <c r="B6" s="162"/>
      <c r="C6" s="14"/>
    </row>
    <row r="7" spans="1:46" ht="26">
      <c r="A7" s="34" t="s">
        <v>155</v>
      </c>
      <c r="B7" s="34" t="s">
        <v>362</v>
      </c>
      <c r="C7" s="34" t="s">
        <v>363</v>
      </c>
      <c r="D7" s="34" t="s">
        <v>364</v>
      </c>
      <c r="E7" s="34" t="s">
        <v>365</v>
      </c>
      <c r="F7" s="35" t="s">
        <v>129</v>
      </c>
      <c r="G7" s="35" t="s">
        <v>146</v>
      </c>
      <c r="H7" s="35" t="s">
        <v>366</v>
      </c>
      <c r="I7" s="35" t="s">
        <v>149</v>
      </c>
      <c r="J7" s="35" t="s">
        <v>367</v>
      </c>
      <c r="K7" s="35" t="s">
        <v>368</v>
      </c>
      <c r="L7" s="35" t="s">
        <v>170</v>
      </c>
      <c r="M7" s="35" t="s">
        <v>368</v>
      </c>
      <c r="N7" s="35" t="s">
        <v>30</v>
      </c>
      <c r="O7" s="35" t="s">
        <v>368</v>
      </c>
      <c r="P7" s="35" t="s">
        <v>175</v>
      </c>
      <c r="Q7" s="35" t="s">
        <v>368</v>
      </c>
      <c r="R7" s="35" t="s">
        <v>189</v>
      </c>
      <c r="S7" s="35" t="s">
        <v>368</v>
      </c>
      <c r="T7" s="35" t="s">
        <v>194</v>
      </c>
      <c r="U7" s="35" t="s">
        <v>368</v>
      </c>
      <c r="V7" s="35" t="s">
        <v>179</v>
      </c>
      <c r="W7" s="35" t="s">
        <v>368</v>
      </c>
      <c r="X7" s="35" t="s">
        <v>369</v>
      </c>
      <c r="Y7" s="35" t="s">
        <v>368</v>
      </c>
      <c r="Z7" s="35" t="s">
        <v>554</v>
      </c>
      <c r="AA7" s="35" t="s">
        <v>368</v>
      </c>
      <c r="AB7" s="6" t="s">
        <v>371</v>
      </c>
      <c r="AC7" s="6" t="s">
        <v>368</v>
      </c>
      <c r="AD7" s="6" t="s">
        <v>372</v>
      </c>
      <c r="AE7" s="6" t="s">
        <v>368</v>
      </c>
      <c r="AF7" s="6" t="s">
        <v>463</v>
      </c>
      <c r="AG7" s="6" t="s">
        <v>368</v>
      </c>
      <c r="AH7" s="6" t="s">
        <v>373</v>
      </c>
      <c r="AI7" s="6" t="s">
        <v>368</v>
      </c>
      <c r="AJ7" s="6" t="s">
        <v>464</v>
      </c>
      <c r="AK7" s="6" t="s">
        <v>368</v>
      </c>
      <c r="AL7" s="6" t="s">
        <v>465</v>
      </c>
      <c r="AM7" s="6" t="s">
        <v>368</v>
      </c>
      <c r="AN7" s="6" t="s">
        <v>466</v>
      </c>
      <c r="AO7" s="6" t="s">
        <v>368</v>
      </c>
      <c r="AP7" s="79" t="s">
        <v>467</v>
      </c>
      <c r="AQ7" s="6" t="s">
        <v>368</v>
      </c>
      <c r="AR7" s="35" t="s">
        <v>374</v>
      </c>
      <c r="AS7" s="35" t="s">
        <v>375</v>
      </c>
      <c r="AT7" s="35" t="s">
        <v>376</v>
      </c>
    </row>
    <row r="8" spans="1:46">
      <c r="A8" s="33" t="s">
        <v>377</v>
      </c>
      <c r="D8" s="33" t="s">
        <v>378</v>
      </c>
      <c r="E8" s="33" t="s">
        <v>19</v>
      </c>
      <c r="F8" s="82">
        <v>4</v>
      </c>
      <c r="G8" s="82">
        <v>16</v>
      </c>
      <c r="H8" s="82">
        <v>0</v>
      </c>
      <c r="I8" s="82">
        <v>351</v>
      </c>
      <c r="J8" s="82">
        <f>G8-H8</f>
        <v>16</v>
      </c>
      <c r="K8" s="12" t="s">
        <v>468</v>
      </c>
      <c r="L8" s="82"/>
      <c r="M8" s="82"/>
      <c r="N8" s="82"/>
      <c r="O8" s="82"/>
      <c r="P8" s="82"/>
      <c r="Q8" s="82"/>
      <c r="R8" s="82"/>
      <c r="S8" s="82"/>
      <c r="T8" s="82"/>
      <c r="U8" s="82"/>
      <c r="V8" s="82"/>
      <c r="W8" s="82"/>
      <c r="X8" s="82"/>
      <c r="Y8" s="82"/>
      <c r="Z8" s="82"/>
      <c r="AA8" s="82"/>
      <c r="AB8" s="82"/>
      <c r="AC8" s="82"/>
      <c r="AD8" s="82"/>
      <c r="AE8" s="82"/>
      <c r="AF8" s="82"/>
      <c r="AG8" s="82"/>
      <c r="AH8" s="82"/>
      <c r="AI8" s="82"/>
      <c r="AJ8" s="82"/>
      <c r="AK8" s="82"/>
      <c r="AL8" s="82"/>
      <c r="AM8" s="82"/>
      <c r="AN8" s="82"/>
      <c r="AO8" s="82"/>
      <c r="AP8" s="12"/>
      <c r="AQ8" s="12"/>
      <c r="AR8" s="82" t="s">
        <v>380</v>
      </c>
      <c r="AS8" s="82" t="s">
        <v>381</v>
      </c>
      <c r="AT8" s="82"/>
    </row>
    <row r="9" spans="1:46">
      <c r="A9" s="33" t="s">
        <v>382</v>
      </c>
      <c r="D9" s="113" t="s">
        <v>383</v>
      </c>
      <c r="E9" s="113" t="s">
        <v>384</v>
      </c>
      <c r="F9" s="82">
        <v>4</v>
      </c>
      <c r="G9" s="101">
        <f>IF(E9="vCSA8.0", 19, 19)</f>
        <v>19</v>
      </c>
      <c r="H9" s="82">
        <v>0</v>
      </c>
      <c r="I9" s="101">
        <f>IF(E9="vCSA8.0", 600, 450)</f>
        <v>600</v>
      </c>
      <c r="J9" s="82">
        <v>25</v>
      </c>
      <c r="K9" s="12" t="s">
        <v>468</v>
      </c>
      <c r="L9" s="82"/>
      <c r="M9" s="82"/>
      <c r="N9" s="82"/>
      <c r="O9" s="82"/>
      <c r="P9" s="82"/>
      <c r="Q9" s="82"/>
      <c r="R9" s="82"/>
      <c r="S9" s="82"/>
      <c r="T9" s="82"/>
      <c r="U9" s="82"/>
      <c r="V9" s="82"/>
      <c r="W9" s="82"/>
      <c r="X9" s="82"/>
      <c r="Y9" s="82"/>
      <c r="Z9" s="82"/>
      <c r="AA9" s="82"/>
      <c r="AB9" s="82"/>
      <c r="AC9" s="82"/>
      <c r="AD9" s="82"/>
      <c r="AE9" s="82"/>
      <c r="AF9" s="82"/>
      <c r="AG9" s="82"/>
      <c r="AH9" s="82"/>
      <c r="AI9" s="82"/>
      <c r="AJ9" s="82"/>
      <c r="AK9" s="82"/>
      <c r="AL9" s="82"/>
      <c r="AM9" s="82"/>
      <c r="AN9" s="82"/>
      <c r="AO9" s="82"/>
      <c r="AP9" s="12"/>
      <c r="AQ9" s="12"/>
      <c r="AR9" s="82" t="s">
        <v>380</v>
      </c>
      <c r="AS9" s="82" t="s">
        <v>381</v>
      </c>
      <c r="AT9" s="82"/>
    </row>
    <row r="10" spans="1:46">
      <c r="A10" s="33" t="s">
        <v>385</v>
      </c>
      <c r="B10" s="82" t="s">
        <v>386</v>
      </c>
      <c r="C10" s="33" t="s">
        <v>387</v>
      </c>
      <c r="D10" s="33" t="s">
        <v>378</v>
      </c>
      <c r="E10" s="33" t="s">
        <v>27</v>
      </c>
      <c r="F10" s="82">
        <v>6</v>
      </c>
      <c r="G10" s="82">
        <v>6</v>
      </c>
      <c r="H10" s="82">
        <v>6</v>
      </c>
      <c r="I10" s="82">
        <v>41</v>
      </c>
      <c r="J10" s="82">
        <f t="shared" ref="J10:J38" si="0">G10-H10</f>
        <v>0</v>
      </c>
      <c r="K10" s="82" t="s">
        <v>469</v>
      </c>
      <c r="L10" s="82"/>
      <c r="M10" s="82"/>
      <c r="N10" s="82"/>
      <c r="O10" s="82"/>
      <c r="P10" s="82"/>
      <c r="Q10" s="82"/>
      <c r="R10" s="82"/>
      <c r="S10" s="82"/>
      <c r="T10" s="82"/>
      <c r="U10" s="82"/>
      <c r="V10" s="82"/>
      <c r="W10" s="82"/>
      <c r="X10" s="82"/>
      <c r="Y10" s="82"/>
      <c r="Z10" s="82"/>
      <c r="AA10" s="82"/>
      <c r="AB10" s="82"/>
      <c r="AC10" s="82"/>
      <c r="AD10" s="82"/>
      <c r="AE10" s="82"/>
      <c r="AF10" s="82"/>
      <c r="AG10" s="82"/>
      <c r="AH10" s="82"/>
      <c r="AI10" s="82"/>
      <c r="AJ10" s="82"/>
      <c r="AK10" s="82"/>
      <c r="AL10" s="82"/>
      <c r="AM10" s="82"/>
      <c r="AN10" s="82"/>
      <c r="AO10" s="82"/>
      <c r="AP10" s="12"/>
      <c r="AQ10" s="12"/>
      <c r="AR10" s="82" t="s">
        <v>380</v>
      </c>
      <c r="AS10" s="82" t="s">
        <v>381</v>
      </c>
      <c r="AT10" s="82"/>
    </row>
    <row r="11" spans="1:46">
      <c r="A11" s="33" t="s">
        <v>389</v>
      </c>
      <c r="B11" s="82"/>
      <c r="C11" s="33" t="s">
        <v>387</v>
      </c>
      <c r="D11" s="33" t="s">
        <v>378</v>
      </c>
      <c r="E11" s="33" t="s">
        <v>30</v>
      </c>
      <c r="F11" s="82">
        <v>16</v>
      </c>
      <c r="G11" s="105">
        <f>VLOOKUP(N11,B146:G148,3,FALSE)</f>
        <v>90</v>
      </c>
      <c r="H11" s="101">
        <f>G11*82.5/100</f>
        <v>74.25</v>
      </c>
      <c r="I11" s="82">
        <v>117</v>
      </c>
      <c r="J11" s="82">
        <f t="shared" si="0"/>
        <v>15.75</v>
      </c>
      <c r="K11" s="82" t="s">
        <v>470</v>
      </c>
      <c r="L11" s="82">
        <v>130</v>
      </c>
      <c r="M11" s="82" t="s">
        <v>390</v>
      </c>
      <c r="N11" s="105">
        <v>2500</v>
      </c>
      <c r="O11" s="82" t="s">
        <v>391</v>
      </c>
      <c r="P11" s="105">
        <f>VLOOKUP(N11,B146:G148,4,FALSE)</f>
        <v>3750</v>
      </c>
      <c r="Q11" s="82" t="s">
        <v>392</v>
      </c>
      <c r="R11" s="82"/>
      <c r="S11" s="82"/>
      <c r="T11" s="82"/>
      <c r="U11" s="82"/>
      <c r="V11" s="82"/>
      <c r="W11" s="82"/>
      <c r="X11" s="105">
        <f>VLOOKUP(N11,B137:G148,6,FALSE)</f>
        <v>10875</v>
      </c>
      <c r="Y11" s="82" t="s">
        <v>179</v>
      </c>
      <c r="Z11" s="82"/>
      <c r="AA11" s="82"/>
      <c r="AB11" s="82"/>
      <c r="AC11" s="82"/>
      <c r="AD11" s="82"/>
      <c r="AE11" s="82"/>
      <c r="AF11" s="82"/>
      <c r="AG11" s="82"/>
      <c r="AH11" s="82"/>
      <c r="AI11" s="82"/>
      <c r="AJ11" s="82"/>
      <c r="AK11" s="82"/>
      <c r="AL11" s="82"/>
      <c r="AM11" s="82"/>
      <c r="AN11" s="82"/>
      <c r="AO11" s="82"/>
      <c r="AP11" s="12">
        <v>3700</v>
      </c>
      <c r="AQ11" s="12" t="s">
        <v>471</v>
      </c>
      <c r="AR11" s="82" t="s">
        <v>380</v>
      </c>
      <c r="AS11" s="82" t="s">
        <v>381</v>
      </c>
      <c r="AT11" s="82"/>
    </row>
    <row r="12" spans="1:46">
      <c r="A12" s="33" t="s">
        <v>393</v>
      </c>
      <c r="B12" s="82" t="s">
        <v>386</v>
      </c>
      <c r="C12" s="33" t="s">
        <v>387</v>
      </c>
      <c r="D12" s="33" t="s">
        <v>378</v>
      </c>
      <c r="E12" s="33" t="s">
        <v>34</v>
      </c>
      <c r="F12" s="82">
        <v>8</v>
      </c>
      <c r="G12" s="82">
        <v>7</v>
      </c>
      <c r="H12" s="82">
        <v>7</v>
      </c>
      <c r="I12" s="82">
        <v>46</v>
      </c>
      <c r="J12" s="82">
        <f t="shared" si="0"/>
        <v>0</v>
      </c>
      <c r="K12" s="82" t="s">
        <v>472</v>
      </c>
      <c r="L12" s="82"/>
      <c r="M12" s="82"/>
      <c r="N12" s="82"/>
      <c r="O12" s="82"/>
      <c r="P12" s="82"/>
      <c r="Q12" s="82"/>
      <c r="R12" s="82">
        <v>600</v>
      </c>
      <c r="S12" s="82" t="s">
        <v>394</v>
      </c>
      <c r="T12" s="12">
        <v>300</v>
      </c>
      <c r="U12" s="82" t="s">
        <v>194</v>
      </c>
      <c r="V12" s="82"/>
      <c r="W12" s="82"/>
      <c r="X12" s="82">
        <v>500</v>
      </c>
      <c r="Y12" s="82" t="s">
        <v>179</v>
      </c>
      <c r="Z12" s="82"/>
      <c r="AA12" s="82"/>
      <c r="AB12" s="82"/>
      <c r="AC12" s="82"/>
      <c r="AD12" s="82"/>
      <c r="AE12" s="82"/>
      <c r="AF12" s="82"/>
      <c r="AG12" s="82"/>
      <c r="AH12" s="82"/>
      <c r="AI12" s="82"/>
      <c r="AJ12" s="82"/>
      <c r="AK12" s="82"/>
      <c r="AL12" s="82"/>
      <c r="AM12" s="82"/>
      <c r="AN12" s="82"/>
      <c r="AO12" s="82"/>
      <c r="AP12" s="82"/>
      <c r="AQ12" s="82"/>
      <c r="AR12" s="82" t="s">
        <v>380</v>
      </c>
      <c r="AS12" s="82" t="s">
        <v>381</v>
      </c>
      <c r="AT12" s="82"/>
    </row>
    <row r="13" spans="1:46">
      <c r="A13" s="33" t="s">
        <v>395</v>
      </c>
      <c r="C13" s="33" t="s">
        <v>387</v>
      </c>
      <c r="D13" s="33" t="s">
        <v>378</v>
      </c>
      <c r="E13" s="33" t="s">
        <v>38</v>
      </c>
      <c r="F13" s="82">
        <v>2</v>
      </c>
      <c r="G13" s="82">
        <v>3</v>
      </c>
      <c r="H13" s="82">
        <v>0</v>
      </c>
      <c r="I13" s="82">
        <v>31</v>
      </c>
      <c r="J13" s="82">
        <f t="shared" si="0"/>
        <v>3</v>
      </c>
      <c r="K13" s="82" t="s">
        <v>469</v>
      </c>
      <c r="L13" s="82"/>
      <c r="M13" s="82"/>
      <c r="N13" s="82"/>
      <c r="O13" s="82"/>
      <c r="P13" s="82"/>
      <c r="Q13" s="82"/>
      <c r="R13" s="82"/>
      <c r="S13" s="82"/>
      <c r="T13" s="82"/>
      <c r="U13" s="82"/>
      <c r="V13" s="82"/>
      <c r="W13" s="82"/>
      <c r="X13" s="82"/>
      <c r="Y13" s="82"/>
      <c r="Z13" s="82"/>
      <c r="AA13" s="82"/>
      <c r="AB13" s="82"/>
      <c r="AC13" s="82"/>
      <c r="AD13" s="82"/>
      <c r="AE13" s="82"/>
      <c r="AF13" s="82"/>
      <c r="AG13" s="82"/>
      <c r="AH13" s="82"/>
      <c r="AI13" s="82"/>
      <c r="AJ13" s="82"/>
      <c r="AK13" s="82"/>
      <c r="AL13" s="82"/>
      <c r="AM13" s="82"/>
      <c r="AN13" s="82"/>
      <c r="AO13" s="82"/>
      <c r="AP13" s="82"/>
      <c r="AQ13" s="82"/>
      <c r="AR13" s="82" t="s">
        <v>396</v>
      </c>
      <c r="AS13" s="12" t="s">
        <v>397</v>
      </c>
      <c r="AT13" s="82" t="s">
        <v>381</v>
      </c>
    </row>
    <row r="14" spans="1:46">
      <c r="A14" s="33" t="s">
        <v>398</v>
      </c>
      <c r="C14" s="33" t="s">
        <v>387</v>
      </c>
      <c r="D14" s="33" t="s">
        <v>378</v>
      </c>
      <c r="E14" s="33" t="s">
        <v>42</v>
      </c>
      <c r="F14" s="82">
        <v>2</v>
      </c>
      <c r="G14" s="82">
        <v>5</v>
      </c>
      <c r="H14" s="82">
        <v>0</v>
      </c>
      <c r="I14" s="82">
        <v>31</v>
      </c>
      <c r="J14" s="82">
        <f t="shared" si="0"/>
        <v>5</v>
      </c>
      <c r="K14" s="82" t="s">
        <v>470</v>
      </c>
      <c r="L14" s="82"/>
      <c r="M14" s="82"/>
      <c r="N14" s="82"/>
      <c r="O14" s="82"/>
      <c r="P14" s="82"/>
      <c r="Q14" s="82"/>
      <c r="R14" s="82"/>
      <c r="S14" s="82"/>
      <c r="T14" s="82"/>
      <c r="U14" s="82"/>
      <c r="V14" s="82"/>
      <c r="W14" s="82"/>
      <c r="X14" s="82"/>
      <c r="Y14" s="82"/>
      <c r="Z14" s="82"/>
      <c r="AA14" s="82"/>
      <c r="AB14" s="82"/>
      <c r="AC14" s="82"/>
      <c r="AD14" s="82"/>
      <c r="AE14" s="82"/>
      <c r="AF14" s="82"/>
      <c r="AG14" s="82"/>
      <c r="AH14" s="82"/>
      <c r="AI14" s="82"/>
      <c r="AJ14" s="82"/>
      <c r="AK14" s="82"/>
      <c r="AL14" s="82"/>
      <c r="AM14" s="82"/>
      <c r="AN14" s="82"/>
      <c r="AO14" s="82"/>
      <c r="AP14" s="82"/>
      <c r="AQ14" s="82"/>
      <c r="AR14" s="82" t="s">
        <v>380</v>
      </c>
      <c r="AS14" s="82" t="s">
        <v>381</v>
      </c>
      <c r="AT14" s="82"/>
    </row>
    <row r="15" spans="1:46">
      <c r="A15" s="33" t="s">
        <v>399</v>
      </c>
      <c r="C15" s="33" t="s">
        <v>387</v>
      </c>
      <c r="D15" s="33" t="s">
        <v>378</v>
      </c>
      <c r="E15" s="33" t="s">
        <v>555</v>
      </c>
      <c r="F15" s="82">
        <v>3</v>
      </c>
      <c r="G15" s="82">
        <v>6</v>
      </c>
      <c r="H15" s="82">
        <v>0</v>
      </c>
      <c r="I15" s="82">
        <v>41</v>
      </c>
      <c r="J15" s="82">
        <f t="shared" si="0"/>
        <v>6</v>
      </c>
      <c r="K15" s="82" t="s">
        <v>472</v>
      </c>
      <c r="L15" s="82"/>
      <c r="M15" s="82"/>
      <c r="N15" s="82"/>
      <c r="O15" s="82"/>
      <c r="P15" s="82"/>
      <c r="Q15" s="82"/>
      <c r="R15" s="82"/>
      <c r="S15" s="82"/>
      <c r="T15" s="82"/>
      <c r="U15" s="82"/>
      <c r="V15" s="82"/>
      <c r="W15" s="82"/>
      <c r="X15" s="82"/>
      <c r="Y15" s="82"/>
      <c r="Z15" s="82"/>
      <c r="AA15" s="82"/>
      <c r="AB15" s="82"/>
      <c r="AC15" s="82"/>
      <c r="AD15" s="82"/>
      <c r="AE15" s="82"/>
      <c r="AF15" s="82"/>
      <c r="AG15" s="82"/>
      <c r="AH15" s="82"/>
      <c r="AI15" s="82"/>
      <c r="AJ15" s="82"/>
      <c r="AK15" s="82"/>
      <c r="AL15" s="82"/>
      <c r="AM15" s="82"/>
      <c r="AN15" s="82"/>
      <c r="AO15" s="82"/>
      <c r="AP15" s="82"/>
      <c r="AQ15" s="82"/>
      <c r="AR15" s="82" t="s">
        <v>396</v>
      </c>
      <c r="AS15" s="12" t="s">
        <v>397</v>
      </c>
      <c r="AT15" s="82"/>
    </row>
    <row r="16" spans="1:46">
      <c r="A16" s="33" t="s">
        <v>401</v>
      </c>
      <c r="C16" s="33" t="s">
        <v>387</v>
      </c>
      <c r="D16" s="33" t="s">
        <v>378</v>
      </c>
      <c r="E16" s="33" t="s">
        <v>581</v>
      </c>
      <c r="F16" s="82">
        <v>5</v>
      </c>
      <c r="G16" s="82">
        <v>7</v>
      </c>
      <c r="H16" s="82">
        <v>0</v>
      </c>
      <c r="I16" s="82">
        <v>56</v>
      </c>
      <c r="J16" s="82">
        <f t="shared" si="0"/>
        <v>7</v>
      </c>
      <c r="K16" s="82" t="s">
        <v>469</v>
      </c>
      <c r="L16" s="82"/>
      <c r="M16" s="82"/>
      <c r="N16" s="82"/>
      <c r="O16" s="82"/>
      <c r="P16" s="82"/>
      <c r="Q16" s="82"/>
      <c r="R16" s="82"/>
      <c r="S16" s="82"/>
      <c r="T16" s="82"/>
      <c r="U16" s="82"/>
      <c r="V16" s="82"/>
      <c r="W16" s="82"/>
      <c r="X16" s="82"/>
      <c r="Y16" s="82"/>
      <c r="Z16" s="82"/>
      <c r="AA16" s="82"/>
      <c r="AB16" s="82"/>
      <c r="AC16" s="82"/>
      <c r="AD16" s="82"/>
      <c r="AE16" s="82"/>
      <c r="AF16" s="82"/>
      <c r="AG16" s="82"/>
      <c r="AH16" s="82"/>
      <c r="AI16" s="82"/>
      <c r="AJ16" s="82"/>
      <c r="AK16" s="82"/>
      <c r="AL16" s="82"/>
      <c r="AM16" s="82"/>
      <c r="AN16" s="82"/>
      <c r="AO16" s="82"/>
      <c r="AP16" s="82"/>
      <c r="AQ16" s="82"/>
      <c r="AR16" s="82" t="s">
        <v>396</v>
      </c>
      <c r="AS16" s="12" t="s">
        <v>397</v>
      </c>
      <c r="AT16" s="82"/>
    </row>
    <row r="17" spans="1:46">
      <c r="A17" s="33" t="s">
        <v>403</v>
      </c>
      <c r="C17" s="33" t="s">
        <v>387</v>
      </c>
      <c r="D17" s="33" t="s">
        <v>378</v>
      </c>
      <c r="E17" s="33" t="s">
        <v>54</v>
      </c>
      <c r="F17" s="82">
        <v>8</v>
      </c>
      <c r="G17" s="82">
        <v>13</v>
      </c>
      <c r="H17" s="82">
        <v>0</v>
      </c>
      <c r="I17" s="82">
        <v>81</v>
      </c>
      <c r="J17" s="82">
        <f t="shared" si="0"/>
        <v>13</v>
      </c>
      <c r="K17" s="82" t="s">
        <v>470</v>
      </c>
      <c r="L17" s="82"/>
      <c r="M17" s="82"/>
      <c r="N17" s="82"/>
      <c r="O17" s="82"/>
      <c r="P17" s="82"/>
      <c r="Q17" s="82"/>
      <c r="R17" s="82"/>
      <c r="S17" s="82"/>
      <c r="T17" s="82"/>
      <c r="U17" s="82"/>
      <c r="V17" s="82"/>
      <c r="W17" s="82"/>
      <c r="X17" s="82"/>
      <c r="Y17" s="82"/>
      <c r="Z17" s="82"/>
      <c r="AA17" s="82"/>
      <c r="AB17" s="82"/>
      <c r="AC17" s="82"/>
      <c r="AD17" s="82"/>
      <c r="AE17" s="82"/>
      <c r="AF17" s="82"/>
      <c r="AG17" s="82"/>
      <c r="AH17" s="82"/>
      <c r="AI17" s="82"/>
      <c r="AJ17" s="82"/>
      <c r="AK17" s="82"/>
      <c r="AL17" s="82"/>
      <c r="AM17" s="82"/>
      <c r="AN17" s="82"/>
      <c r="AO17" s="82"/>
      <c r="AP17" s="82"/>
      <c r="AQ17" s="82"/>
      <c r="AR17" s="82" t="s">
        <v>396</v>
      </c>
      <c r="AS17" s="12" t="s">
        <v>397</v>
      </c>
      <c r="AT17" s="82"/>
    </row>
    <row r="18" spans="1:46">
      <c r="A18" s="33" t="s">
        <v>404</v>
      </c>
      <c r="C18" s="33" t="s">
        <v>387</v>
      </c>
      <c r="D18" s="33" t="s">
        <v>378</v>
      </c>
      <c r="E18" s="33" t="s">
        <v>58</v>
      </c>
      <c r="F18" s="82">
        <v>4</v>
      </c>
      <c r="G18" s="82">
        <v>4</v>
      </c>
      <c r="H18" s="82">
        <v>0</v>
      </c>
      <c r="I18" s="82">
        <v>31</v>
      </c>
      <c r="J18" s="82">
        <f t="shared" si="0"/>
        <v>4</v>
      </c>
      <c r="K18" s="82" t="s">
        <v>472</v>
      </c>
      <c r="L18" s="82"/>
      <c r="M18" s="82"/>
      <c r="N18" s="82"/>
      <c r="O18" s="82"/>
      <c r="P18" s="82"/>
      <c r="Q18" s="82"/>
      <c r="R18" s="82"/>
      <c r="S18" s="82"/>
      <c r="T18" s="82"/>
      <c r="U18" s="82"/>
      <c r="V18" s="82"/>
      <c r="W18" s="82"/>
      <c r="X18" s="82"/>
      <c r="Y18" s="82"/>
      <c r="Z18" s="82"/>
      <c r="AA18" s="82"/>
      <c r="AB18" s="82"/>
      <c r="AC18" s="82"/>
      <c r="AD18" s="82"/>
      <c r="AE18" s="82"/>
      <c r="AF18" s="82"/>
      <c r="AG18" s="82"/>
      <c r="AH18" s="82"/>
      <c r="AI18" s="82"/>
      <c r="AJ18" s="82"/>
      <c r="AK18" s="82"/>
      <c r="AL18" s="82"/>
      <c r="AM18" s="82"/>
      <c r="AN18" s="82"/>
      <c r="AO18" s="82"/>
      <c r="AP18" s="82"/>
      <c r="AQ18" s="82"/>
      <c r="AR18" s="82" t="s">
        <v>396</v>
      </c>
      <c r="AS18" s="12" t="s">
        <v>397</v>
      </c>
      <c r="AT18" s="82" t="s">
        <v>381</v>
      </c>
    </row>
    <row r="19" spans="1:46">
      <c r="A19" s="33" t="s">
        <v>405</v>
      </c>
      <c r="C19" s="33" t="s">
        <v>387</v>
      </c>
      <c r="D19" s="33" t="s">
        <v>378</v>
      </c>
      <c r="E19" s="33" t="s">
        <v>406</v>
      </c>
      <c r="F19" s="82">
        <v>8</v>
      </c>
      <c r="G19" s="82">
        <v>13</v>
      </c>
      <c r="H19" s="82">
        <v>0</v>
      </c>
      <c r="I19" s="82">
        <v>109</v>
      </c>
      <c r="J19" s="82">
        <f t="shared" si="0"/>
        <v>13</v>
      </c>
      <c r="K19" s="82" t="s">
        <v>469</v>
      </c>
      <c r="L19" s="82"/>
      <c r="M19" s="82"/>
      <c r="N19" s="82"/>
      <c r="O19" s="82"/>
      <c r="P19" s="82"/>
      <c r="Q19" s="82"/>
      <c r="R19" s="82"/>
      <c r="S19" s="82"/>
      <c r="T19" s="82"/>
      <c r="U19" s="82"/>
      <c r="V19" s="82"/>
      <c r="W19" s="82"/>
      <c r="X19" s="82"/>
      <c r="Y19" s="82"/>
      <c r="Z19" s="82"/>
      <c r="AA19" s="82"/>
      <c r="AB19" s="12">
        <v>50</v>
      </c>
      <c r="AC19" s="12" t="s">
        <v>472</v>
      </c>
      <c r="AD19" s="12"/>
      <c r="AE19" s="12"/>
      <c r="AF19" s="12"/>
      <c r="AG19" s="12"/>
      <c r="AH19" s="12"/>
      <c r="AI19" s="12"/>
      <c r="AJ19" s="12"/>
      <c r="AK19" s="12"/>
      <c r="AL19" s="12"/>
      <c r="AM19" s="12"/>
      <c r="AN19" s="12"/>
      <c r="AO19" s="12"/>
      <c r="AP19" s="12"/>
      <c r="AQ19" s="12"/>
      <c r="AR19" s="82" t="s">
        <v>380</v>
      </c>
      <c r="AS19" s="82" t="s">
        <v>381</v>
      </c>
      <c r="AT19" s="82"/>
    </row>
    <row r="20" spans="1:46">
      <c r="A20" s="33" t="s">
        <v>407</v>
      </c>
      <c r="C20" s="33" t="s">
        <v>387</v>
      </c>
      <c r="D20" s="33" t="s">
        <v>378</v>
      </c>
      <c r="E20" s="33" t="s">
        <v>65</v>
      </c>
      <c r="F20" s="82">
        <v>6</v>
      </c>
      <c r="G20" s="82">
        <v>8</v>
      </c>
      <c r="H20" s="82">
        <v>0</v>
      </c>
      <c r="I20" s="82">
        <v>131</v>
      </c>
      <c r="J20" s="82">
        <f t="shared" si="0"/>
        <v>8</v>
      </c>
      <c r="K20" s="82" t="s">
        <v>470</v>
      </c>
      <c r="L20" s="82"/>
      <c r="M20" s="82"/>
      <c r="N20" s="82"/>
      <c r="O20" s="82"/>
      <c r="P20" s="82"/>
      <c r="Q20" s="82"/>
      <c r="R20" s="82"/>
      <c r="S20" s="82"/>
      <c r="T20" s="82"/>
      <c r="U20" s="82"/>
      <c r="V20" s="82"/>
      <c r="W20" s="82"/>
      <c r="X20" s="82"/>
      <c r="Y20" s="82"/>
      <c r="Z20" s="82"/>
      <c r="AA20" s="82"/>
      <c r="AB20" s="82"/>
      <c r="AC20" s="82"/>
      <c r="AD20" s="82"/>
      <c r="AE20" s="82"/>
      <c r="AF20" s="82"/>
      <c r="AG20" s="82"/>
      <c r="AH20" s="82"/>
      <c r="AI20" s="82"/>
      <c r="AJ20" s="82"/>
      <c r="AK20" s="82"/>
      <c r="AL20" s="82"/>
      <c r="AM20" s="82"/>
      <c r="AN20" s="82"/>
      <c r="AO20" s="82"/>
      <c r="AP20" s="82"/>
      <c r="AQ20" s="82"/>
      <c r="AR20" s="82" t="s">
        <v>396</v>
      </c>
      <c r="AS20" s="12" t="s">
        <v>397</v>
      </c>
      <c r="AT20" s="82"/>
    </row>
    <row r="21" spans="1:46">
      <c r="A21" s="33" t="s">
        <v>408</v>
      </c>
      <c r="C21" s="33" t="s">
        <v>387</v>
      </c>
      <c r="D21" s="33" t="s">
        <v>378</v>
      </c>
      <c r="E21" s="33" t="s">
        <v>556</v>
      </c>
      <c r="F21" s="82">
        <v>6</v>
      </c>
      <c r="G21" s="82">
        <v>7</v>
      </c>
      <c r="H21" s="82">
        <v>0</v>
      </c>
      <c r="I21" s="82">
        <v>61</v>
      </c>
      <c r="J21" s="82">
        <f t="shared" si="0"/>
        <v>7</v>
      </c>
      <c r="K21" s="82" t="s">
        <v>472</v>
      </c>
      <c r="L21" s="82"/>
      <c r="M21" s="82"/>
      <c r="N21" s="82"/>
      <c r="O21" s="82"/>
      <c r="P21" s="82"/>
      <c r="Q21" s="82"/>
      <c r="R21" s="82"/>
      <c r="S21" s="82"/>
      <c r="T21" s="82"/>
      <c r="U21" s="82"/>
      <c r="V21" s="82"/>
      <c r="W21" s="82"/>
      <c r="X21" s="82"/>
      <c r="Y21" s="82"/>
      <c r="Z21" s="82"/>
      <c r="AA21" s="82"/>
      <c r="AB21" s="82"/>
      <c r="AC21" s="82"/>
      <c r="AD21" s="82"/>
      <c r="AE21" s="82"/>
      <c r="AF21" s="82"/>
      <c r="AG21" s="82"/>
      <c r="AH21" s="82"/>
      <c r="AI21" s="82"/>
      <c r="AJ21" s="82"/>
      <c r="AK21" s="82"/>
      <c r="AL21" s="82"/>
      <c r="AM21" s="82"/>
      <c r="AN21" s="82"/>
      <c r="AO21" s="82"/>
      <c r="AP21" s="82"/>
      <c r="AQ21" s="82"/>
      <c r="AR21" s="82" t="s">
        <v>380</v>
      </c>
      <c r="AS21" s="82" t="s">
        <v>381</v>
      </c>
      <c r="AT21" s="82"/>
    </row>
    <row r="22" spans="1:46">
      <c r="A22" s="33" t="s">
        <v>409</v>
      </c>
      <c r="C22" s="33" t="s">
        <v>387</v>
      </c>
      <c r="D22" s="33" t="s">
        <v>378</v>
      </c>
      <c r="E22" s="33" t="s">
        <v>556</v>
      </c>
      <c r="F22" s="82">
        <v>6</v>
      </c>
      <c r="G22" s="82">
        <v>7</v>
      </c>
      <c r="H22" s="82">
        <v>0</v>
      </c>
      <c r="I22" s="82">
        <v>61</v>
      </c>
      <c r="J22" s="82">
        <f t="shared" si="0"/>
        <v>7</v>
      </c>
      <c r="K22" s="82" t="s">
        <v>469</v>
      </c>
      <c r="L22" s="82"/>
      <c r="M22" s="82"/>
      <c r="N22" s="82"/>
      <c r="O22" s="82"/>
      <c r="P22" s="82"/>
      <c r="Q22" s="82"/>
      <c r="R22" s="82"/>
      <c r="S22" s="82"/>
      <c r="T22" s="82"/>
      <c r="U22" s="82"/>
      <c r="V22" s="82"/>
      <c r="W22" s="82"/>
      <c r="X22" s="82"/>
      <c r="Y22" s="82"/>
      <c r="Z22" s="82"/>
      <c r="AA22" s="82"/>
      <c r="AB22" s="82"/>
      <c r="AC22" s="82"/>
      <c r="AD22" s="82"/>
      <c r="AE22" s="82"/>
      <c r="AF22" s="82"/>
      <c r="AG22" s="82"/>
      <c r="AH22" s="82"/>
      <c r="AI22" s="82"/>
      <c r="AJ22" s="82"/>
      <c r="AK22" s="82"/>
      <c r="AL22" s="82"/>
      <c r="AM22" s="82"/>
      <c r="AN22" s="82"/>
      <c r="AO22" s="82"/>
      <c r="AP22" s="82"/>
      <c r="AQ22" s="82"/>
      <c r="AR22" s="82" t="s">
        <v>380</v>
      </c>
      <c r="AS22" s="82" t="s">
        <v>381</v>
      </c>
      <c r="AT22" s="82"/>
    </row>
    <row r="23" spans="1:46">
      <c r="A23" s="33" t="s">
        <v>410</v>
      </c>
      <c r="C23" s="33" t="s">
        <v>387</v>
      </c>
      <c r="D23" s="33" t="s">
        <v>378</v>
      </c>
      <c r="E23" s="33" t="s">
        <v>73</v>
      </c>
      <c r="F23" s="82">
        <v>6</v>
      </c>
      <c r="G23" s="82">
        <v>13</v>
      </c>
      <c r="H23" s="82">
        <v>0</v>
      </c>
      <c r="I23" s="82">
        <v>56</v>
      </c>
      <c r="J23" s="82">
        <f t="shared" si="0"/>
        <v>13</v>
      </c>
      <c r="K23" s="82" t="s">
        <v>470</v>
      </c>
      <c r="L23" s="82"/>
      <c r="M23" s="82"/>
      <c r="N23" s="82"/>
      <c r="O23" s="82"/>
      <c r="P23" s="82"/>
      <c r="Q23" s="82"/>
      <c r="R23" s="82"/>
      <c r="S23" s="82"/>
      <c r="T23" s="82"/>
      <c r="U23" s="82"/>
      <c r="V23" s="82"/>
      <c r="W23" s="82"/>
      <c r="X23" s="82"/>
      <c r="Y23" s="82"/>
      <c r="Z23" s="82"/>
      <c r="AA23" s="82"/>
      <c r="AB23" s="82"/>
      <c r="AC23" s="82"/>
      <c r="AD23" s="12">
        <v>85</v>
      </c>
      <c r="AE23" s="12" t="s">
        <v>470</v>
      </c>
      <c r="AF23" s="12"/>
      <c r="AG23" s="12"/>
      <c r="AH23" s="12"/>
      <c r="AI23" s="12"/>
      <c r="AJ23" s="12"/>
      <c r="AK23" s="12"/>
      <c r="AL23" s="12"/>
      <c r="AM23" s="12"/>
      <c r="AN23" s="12"/>
      <c r="AO23" s="12"/>
      <c r="AP23" s="82"/>
      <c r="AQ23" s="82"/>
      <c r="AR23" s="82" t="s">
        <v>380</v>
      </c>
      <c r="AS23" s="82" t="s">
        <v>381</v>
      </c>
      <c r="AT23" s="82"/>
    </row>
    <row r="24" spans="1:46">
      <c r="A24" s="33" t="s">
        <v>411</v>
      </c>
      <c r="C24" s="33" t="s">
        <v>387</v>
      </c>
      <c r="D24" s="33" t="s">
        <v>378</v>
      </c>
      <c r="E24" s="33" t="s">
        <v>77</v>
      </c>
      <c r="F24" s="82">
        <v>6</v>
      </c>
      <c r="G24" s="82">
        <v>13</v>
      </c>
      <c r="H24" s="82">
        <v>0</v>
      </c>
      <c r="I24" s="82">
        <v>56</v>
      </c>
      <c r="J24" s="82">
        <f t="shared" si="0"/>
        <v>13</v>
      </c>
      <c r="K24" s="82" t="s">
        <v>472</v>
      </c>
      <c r="L24" s="82"/>
      <c r="M24" s="82"/>
      <c r="N24" s="82"/>
      <c r="O24" s="82"/>
      <c r="P24" s="82"/>
      <c r="Q24" s="82"/>
      <c r="R24" s="82"/>
      <c r="S24" s="82"/>
      <c r="T24" s="82"/>
      <c r="U24" s="82"/>
      <c r="V24" s="82"/>
      <c r="W24" s="82"/>
      <c r="X24" s="82"/>
      <c r="Y24" s="82"/>
      <c r="Z24" s="82"/>
      <c r="AA24" s="82"/>
      <c r="AB24" s="82"/>
      <c r="AC24" s="82"/>
      <c r="AD24" s="12">
        <v>85</v>
      </c>
      <c r="AE24" s="12" t="s">
        <v>472</v>
      </c>
      <c r="AF24" s="12"/>
      <c r="AG24" s="12"/>
      <c r="AH24" s="12"/>
      <c r="AI24" s="12"/>
      <c r="AJ24" s="12"/>
      <c r="AK24" s="12"/>
      <c r="AL24" s="12"/>
      <c r="AM24" s="12"/>
      <c r="AN24" s="12"/>
      <c r="AO24" s="12"/>
      <c r="AP24" s="82"/>
      <c r="AQ24" s="82"/>
      <c r="AR24" s="82" t="s">
        <v>380</v>
      </c>
      <c r="AS24" s="82" t="s">
        <v>381</v>
      </c>
      <c r="AT24" s="82"/>
    </row>
    <row r="25" spans="1:46">
      <c r="A25" s="33" t="s">
        <v>433</v>
      </c>
      <c r="C25" s="33" t="s">
        <v>387</v>
      </c>
      <c r="D25" s="33" t="s">
        <v>378</v>
      </c>
      <c r="E25" s="33" t="s">
        <v>81</v>
      </c>
      <c r="F25" s="82">
        <v>6</v>
      </c>
      <c r="G25" s="82">
        <v>9</v>
      </c>
      <c r="H25" s="82">
        <v>0</v>
      </c>
      <c r="I25" s="82">
        <v>41</v>
      </c>
      <c r="J25" s="82">
        <f t="shared" si="0"/>
        <v>9</v>
      </c>
      <c r="K25" s="82" t="s">
        <v>469</v>
      </c>
      <c r="L25" s="82"/>
      <c r="M25" s="82"/>
      <c r="N25" s="82"/>
      <c r="O25" s="82"/>
      <c r="P25" s="82"/>
      <c r="Q25" s="82"/>
      <c r="R25" s="82"/>
      <c r="S25" s="82"/>
      <c r="T25" s="82"/>
      <c r="U25" s="82"/>
      <c r="V25" s="82"/>
      <c r="W25" s="82"/>
      <c r="X25" s="82"/>
      <c r="Y25" s="82"/>
      <c r="Z25" s="82"/>
      <c r="AA25" s="82"/>
      <c r="AB25" s="82"/>
      <c r="AC25" s="82"/>
      <c r="AD25" s="82"/>
      <c r="AE25" s="82"/>
      <c r="AF25" s="82"/>
      <c r="AG25" s="82"/>
      <c r="AH25" s="82"/>
      <c r="AI25" s="82"/>
      <c r="AJ25" s="82"/>
      <c r="AK25" s="82"/>
      <c r="AL25" s="82"/>
      <c r="AM25" s="82"/>
      <c r="AN25" s="82"/>
      <c r="AO25" s="82"/>
      <c r="AP25" s="82"/>
      <c r="AQ25" s="82"/>
      <c r="AR25" s="82" t="s">
        <v>380</v>
      </c>
      <c r="AS25" s="82" t="s">
        <v>381</v>
      </c>
      <c r="AT25" s="82"/>
    </row>
    <row r="26" spans="1:46">
      <c r="A26" s="33" t="s">
        <v>435</v>
      </c>
      <c r="C26" s="33" t="s">
        <v>387</v>
      </c>
      <c r="D26" s="33" t="s">
        <v>378</v>
      </c>
      <c r="E26" s="33" t="s">
        <v>81</v>
      </c>
      <c r="F26" s="82">
        <v>6</v>
      </c>
      <c r="G26" s="82">
        <v>9</v>
      </c>
      <c r="H26" s="82">
        <v>0</v>
      </c>
      <c r="I26" s="82">
        <v>41</v>
      </c>
      <c r="J26" s="82">
        <f t="shared" si="0"/>
        <v>9</v>
      </c>
      <c r="K26" s="82" t="s">
        <v>470</v>
      </c>
      <c r="L26" s="82"/>
      <c r="M26" s="82"/>
      <c r="N26" s="82"/>
      <c r="O26" s="82"/>
      <c r="P26" s="82"/>
      <c r="Q26" s="82"/>
      <c r="R26" s="82"/>
      <c r="S26" s="82"/>
      <c r="T26" s="82"/>
      <c r="U26" s="82"/>
      <c r="V26" s="82"/>
      <c r="W26" s="82"/>
      <c r="X26" s="82"/>
      <c r="Y26" s="82"/>
      <c r="Z26" s="82"/>
      <c r="AA26" s="82"/>
      <c r="AB26" s="82"/>
      <c r="AC26" s="82"/>
      <c r="AD26" s="82"/>
      <c r="AE26" s="82"/>
      <c r="AF26" s="82"/>
      <c r="AG26" s="82"/>
      <c r="AH26" s="82"/>
      <c r="AI26" s="82"/>
      <c r="AJ26" s="82"/>
      <c r="AK26" s="82"/>
      <c r="AL26" s="82"/>
      <c r="AM26" s="82"/>
      <c r="AN26" s="82"/>
      <c r="AO26" s="82"/>
      <c r="AP26" s="82"/>
      <c r="AQ26" s="82"/>
      <c r="AR26" s="82" t="s">
        <v>380</v>
      </c>
      <c r="AS26" s="82" t="s">
        <v>381</v>
      </c>
      <c r="AT26" s="82"/>
    </row>
    <row r="27" spans="1:46">
      <c r="A27" s="33" t="s">
        <v>557</v>
      </c>
      <c r="C27" s="33" t="s">
        <v>387</v>
      </c>
      <c r="D27" s="33" t="s">
        <v>378</v>
      </c>
      <c r="E27" s="33" t="s">
        <v>85</v>
      </c>
      <c r="F27" s="82">
        <v>8</v>
      </c>
      <c r="G27" s="82">
        <v>36</v>
      </c>
      <c r="H27" s="82">
        <v>36</v>
      </c>
      <c r="I27" s="12">
        <v>136</v>
      </c>
      <c r="J27" s="82">
        <f t="shared" si="0"/>
        <v>0</v>
      </c>
      <c r="K27" s="82" t="s">
        <v>472</v>
      </c>
      <c r="L27" s="82"/>
      <c r="M27" s="82"/>
      <c r="N27" s="82"/>
      <c r="O27" s="82"/>
      <c r="P27" s="82"/>
      <c r="Q27" s="82"/>
      <c r="R27" s="82"/>
      <c r="S27" s="82"/>
      <c r="T27" s="82"/>
      <c r="U27" s="82"/>
      <c r="V27" s="82"/>
      <c r="W27" s="82"/>
      <c r="X27" s="82"/>
      <c r="Y27" s="82"/>
      <c r="Z27" s="82"/>
      <c r="AA27" s="82"/>
      <c r="AB27" s="82"/>
      <c r="AC27" s="82"/>
      <c r="AD27" s="82"/>
      <c r="AE27" s="82"/>
      <c r="AF27" s="82"/>
      <c r="AG27" s="82"/>
      <c r="AH27" s="82"/>
      <c r="AI27" s="82"/>
      <c r="AJ27" s="82"/>
      <c r="AK27" s="82"/>
      <c r="AL27" s="82"/>
      <c r="AM27" s="82"/>
      <c r="AN27" s="82"/>
      <c r="AO27" s="82"/>
      <c r="AP27" s="82"/>
      <c r="AQ27" s="82"/>
      <c r="AR27" s="82" t="s">
        <v>396</v>
      </c>
      <c r="AS27" s="12" t="s">
        <v>397</v>
      </c>
      <c r="AT27" s="82"/>
    </row>
    <row r="28" spans="1:46">
      <c r="A28" s="33" t="s">
        <v>558</v>
      </c>
      <c r="C28" s="33" t="s">
        <v>387</v>
      </c>
      <c r="D28" s="33" t="s">
        <v>378</v>
      </c>
      <c r="E28" s="33" t="s">
        <v>85</v>
      </c>
      <c r="F28" s="82">
        <v>8</v>
      </c>
      <c r="G28" s="82">
        <v>36</v>
      </c>
      <c r="H28" s="82">
        <v>36</v>
      </c>
      <c r="I28" s="12">
        <v>136</v>
      </c>
      <c r="J28" s="82">
        <f t="shared" si="0"/>
        <v>0</v>
      </c>
      <c r="K28" s="82" t="s">
        <v>469</v>
      </c>
      <c r="L28" s="82"/>
      <c r="M28" s="82"/>
      <c r="N28" s="82"/>
      <c r="O28" s="82"/>
      <c r="P28" s="82"/>
      <c r="Q28" s="82"/>
      <c r="R28" s="82"/>
      <c r="S28" s="82"/>
      <c r="T28" s="82"/>
      <c r="U28" s="82"/>
      <c r="V28" s="82"/>
      <c r="W28" s="82"/>
      <c r="X28" s="82"/>
      <c r="Y28" s="82"/>
      <c r="Z28" s="82"/>
      <c r="AA28" s="82"/>
      <c r="AB28" s="82"/>
      <c r="AC28" s="82"/>
      <c r="AD28" s="82"/>
      <c r="AE28" s="82"/>
      <c r="AF28" s="82"/>
      <c r="AG28" s="82"/>
      <c r="AH28" s="82"/>
      <c r="AI28" s="82"/>
      <c r="AJ28" s="82"/>
      <c r="AK28" s="82"/>
      <c r="AL28" s="82"/>
      <c r="AM28" s="82"/>
      <c r="AN28" s="82"/>
      <c r="AO28" s="82"/>
      <c r="AP28" s="82"/>
      <c r="AQ28" s="82"/>
      <c r="AR28" s="82" t="s">
        <v>396</v>
      </c>
      <c r="AS28" s="12" t="s">
        <v>397</v>
      </c>
      <c r="AT28" s="82"/>
    </row>
    <row r="29" spans="1:46">
      <c r="A29" s="33" t="s">
        <v>559</v>
      </c>
      <c r="C29" s="33" t="s">
        <v>387</v>
      </c>
      <c r="D29" s="33" t="s">
        <v>378</v>
      </c>
      <c r="E29" s="33" t="s">
        <v>85</v>
      </c>
      <c r="F29" s="82">
        <v>8</v>
      </c>
      <c r="G29" s="82">
        <v>36</v>
      </c>
      <c r="H29" s="82">
        <v>36</v>
      </c>
      <c r="I29" s="12">
        <v>136</v>
      </c>
      <c r="J29" s="82">
        <f t="shared" si="0"/>
        <v>0</v>
      </c>
      <c r="K29" s="82" t="s">
        <v>470</v>
      </c>
      <c r="L29" s="82"/>
      <c r="M29" s="82"/>
      <c r="N29" s="82"/>
      <c r="O29" s="82"/>
      <c r="P29" s="82"/>
      <c r="Q29" s="82"/>
      <c r="R29" s="82"/>
      <c r="S29" s="82"/>
      <c r="T29" s="82"/>
      <c r="U29" s="82"/>
      <c r="V29" s="82"/>
      <c r="W29" s="82"/>
      <c r="X29" s="82"/>
      <c r="Y29" s="82"/>
      <c r="Z29" s="82"/>
      <c r="AA29" s="82"/>
      <c r="AB29" s="82"/>
      <c r="AC29" s="82"/>
      <c r="AD29" s="82"/>
      <c r="AE29" s="82"/>
      <c r="AF29" s="82"/>
      <c r="AG29" s="82"/>
      <c r="AH29" s="82"/>
      <c r="AI29" s="82"/>
      <c r="AJ29" s="82"/>
      <c r="AK29" s="82"/>
      <c r="AL29" s="82"/>
      <c r="AM29" s="82"/>
      <c r="AN29" s="82"/>
      <c r="AO29" s="82"/>
      <c r="AP29" s="82"/>
      <c r="AQ29" s="82"/>
      <c r="AR29" s="82" t="s">
        <v>396</v>
      </c>
      <c r="AS29" s="12" t="s">
        <v>397</v>
      </c>
      <c r="AT29" s="82"/>
    </row>
    <row r="30" spans="1:46">
      <c r="A30" s="33" t="s">
        <v>560</v>
      </c>
      <c r="C30" s="33" t="s">
        <v>387</v>
      </c>
      <c r="D30" s="33" t="s">
        <v>378</v>
      </c>
      <c r="E30" s="33" t="s">
        <v>85</v>
      </c>
      <c r="F30" s="82">
        <v>8</v>
      </c>
      <c r="G30" s="82">
        <v>36</v>
      </c>
      <c r="H30" s="82">
        <v>36</v>
      </c>
      <c r="I30" s="12">
        <v>136</v>
      </c>
      <c r="J30" s="82">
        <f t="shared" si="0"/>
        <v>0</v>
      </c>
      <c r="K30" s="82" t="s">
        <v>472</v>
      </c>
      <c r="L30" s="82"/>
      <c r="M30" s="82"/>
      <c r="N30" s="82"/>
      <c r="O30" s="82"/>
      <c r="P30" s="82"/>
      <c r="Q30" s="82"/>
      <c r="R30" s="82"/>
      <c r="S30" s="82"/>
      <c r="T30" s="82"/>
      <c r="U30" s="82"/>
      <c r="V30" s="82"/>
      <c r="W30" s="82"/>
      <c r="X30" s="82"/>
      <c r="Y30" s="82"/>
      <c r="Z30" s="82"/>
      <c r="AA30" s="82"/>
      <c r="AB30" s="82"/>
      <c r="AC30" s="82"/>
      <c r="AD30" s="82"/>
      <c r="AE30" s="82"/>
      <c r="AF30" s="82"/>
      <c r="AG30" s="82"/>
      <c r="AH30" s="82"/>
      <c r="AI30" s="82"/>
      <c r="AJ30" s="82"/>
      <c r="AK30" s="82"/>
      <c r="AL30" s="82"/>
      <c r="AM30" s="82"/>
      <c r="AN30" s="82"/>
      <c r="AO30" s="82"/>
      <c r="AP30" s="82"/>
      <c r="AQ30" s="82"/>
      <c r="AR30" s="82" t="s">
        <v>396</v>
      </c>
      <c r="AS30" s="12" t="s">
        <v>397</v>
      </c>
      <c r="AT30" s="82"/>
    </row>
    <row r="31" spans="1:46">
      <c r="A31" s="33" t="s">
        <v>566</v>
      </c>
      <c r="C31" s="33" t="s">
        <v>387</v>
      </c>
      <c r="D31" s="33" t="s">
        <v>378</v>
      </c>
      <c r="E31" s="33" t="s">
        <v>85</v>
      </c>
      <c r="F31" s="82">
        <v>8</v>
      </c>
      <c r="G31" s="82">
        <v>36</v>
      </c>
      <c r="H31" s="82">
        <v>36</v>
      </c>
      <c r="I31" s="12">
        <v>136</v>
      </c>
      <c r="J31" s="82">
        <f t="shared" si="0"/>
        <v>0</v>
      </c>
      <c r="K31" s="82" t="s">
        <v>469</v>
      </c>
      <c r="L31" s="82"/>
      <c r="M31" s="82"/>
      <c r="N31" s="82"/>
      <c r="O31" s="82"/>
      <c r="P31" s="82"/>
      <c r="Q31" s="82"/>
      <c r="R31" s="82"/>
      <c r="S31" s="82"/>
      <c r="T31" s="82"/>
      <c r="U31" s="82"/>
      <c r="V31" s="82"/>
      <c r="W31" s="82"/>
      <c r="X31" s="82"/>
      <c r="Y31" s="82"/>
      <c r="Z31" s="82"/>
      <c r="AA31" s="82"/>
      <c r="AB31" s="82"/>
      <c r="AC31" s="82"/>
      <c r="AD31" s="82"/>
      <c r="AE31" s="82"/>
      <c r="AF31" s="82"/>
      <c r="AG31" s="82"/>
      <c r="AH31" s="82"/>
      <c r="AI31" s="82"/>
      <c r="AJ31" s="82"/>
      <c r="AK31" s="82"/>
      <c r="AL31" s="82"/>
      <c r="AM31" s="82"/>
      <c r="AN31" s="82"/>
      <c r="AO31" s="82"/>
      <c r="AP31" s="82"/>
      <c r="AQ31" s="82"/>
      <c r="AR31" s="82" t="s">
        <v>396</v>
      </c>
      <c r="AS31" s="12" t="s">
        <v>397</v>
      </c>
      <c r="AT31" s="82"/>
    </row>
    <row r="32" spans="1:46">
      <c r="A32" s="33" t="s">
        <v>567</v>
      </c>
      <c r="C32" s="33" t="s">
        <v>387</v>
      </c>
      <c r="D32" s="33" t="s">
        <v>378</v>
      </c>
      <c r="E32" s="33" t="s">
        <v>85</v>
      </c>
      <c r="F32" s="82">
        <v>8</v>
      </c>
      <c r="G32" s="82">
        <v>36</v>
      </c>
      <c r="H32" s="82">
        <v>36</v>
      </c>
      <c r="I32" s="12">
        <v>136</v>
      </c>
      <c r="J32" s="82">
        <f t="shared" si="0"/>
        <v>0</v>
      </c>
      <c r="K32" s="82" t="s">
        <v>470</v>
      </c>
      <c r="L32" s="82"/>
      <c r="M32" s="82"/>
      <c r="N32" s="82"/>
      <c r="O32" s="82"/>
      <c r="P32" s="82"/>
      <c r="Q32" s="82"/>
      <c r="R32" s="82"/>
      <c r="S32" s="82"/>
      <c r="T32" s="82"/>
      <c r="U32" s="82"/>
      <c r="V32" s="82"/>
      <c r="W32" s="82"/>
      <c r="X32" s="82"/>
      <c r="Y32" s="82"/>
      <c r="Z32" s="82"/>
      <c r="AA32" s="82"/>
      <c r="AB32" s="82"/>
      <c r="AC32" s="82"/>
      <c r="AD32" s="82"/>
      <c r="AE32" s="82"/>
      <c r="AF32" s="82"/>
      <c r="AG32" s="82"/>
      <c r="AH32" s="82"/>
      <c r="AI32" s="82"/>
      <c r="AJ32" s="82"/>
      <c r="AK32" s="82"/>
      <c r="AL32" s="82"/>
      <c r="AM32" s="82"/>
      <c r="AN32" s="82"/>
      <c r="AO32" s="82"/>
      <c r="AP32" s="82"/>
      <c r="AQ32" s="82"/>
      <c r="AR32" s="82" t="s">
        <v>396</v>
      </c>
      <c r="AS32" s="12" t="s">
        <v>397</v>
      </c>
      <c r="AT32" s="82"/>
    </row>
    <row r="33" spans="1:46">
      <c r="A33" s="33" t="s">
        <v>582</v>
      </c>
      <c r="C33" s="33" t="s">
        <v>387</v>
      </c>
      <c r="D33" s="33" t="s">
        <v>378</v>
      </c>
      <c r="E33" s="33" t="s">
        <v>85</v>
      </c>
      <c r="F33" s="82">
        <v>8</v>
      </c>
      <c r="G33" s="82">
        <v>36</v>
      </c>
      <c r="H33" s="82">
        <v>36</v>
      </c>
      <c r="I33" s="12">
        <v>136</v>
      </c>
      <c r="J33" s="82">
        <f t="shared" si="0"/>
        <v>0</v>
      </c>
      <c r="K33" s="82" t="s">
        <v>472</v>
      </c>
      <c r="L33" s="82"/>
      <c r="M33" s="82"/>
      <c r="N33" s="82"/>
      <c r="O33" s="82"/>
      <c r="P33" s="82"/>
      <c r="Q33" s="82"/>
      <c r="R33" s="82"/>
      <c r="S33" s="82"/>
      <c r="T33" s="82"/>
      <c r="U33" s="82"/>
      <c r="V33" s="82"/>
      <c r="W33" s="82"/>
      <c r="X33" s="82"/>
      <c r="Y33" s="82"/>
      <c r="Z33" s="82"/>
      <c r="AA33" s="82"/>
      <c r="AB33" s="82"/>
      <c r="AC33" s="82"/>
      <c r="AD33" s="82"/>
      <c r="AE33" s="82"/>
      <c r="AF33" s="82"/>
      <c r="AG33" s="82"/>
      <c r="AH33" s="82"/>
      <c r="AI33" s="82"/>
      <c r="AJ33" s="82"/>
      <c r="AK33" s="82"/>
      <c r="AL33" s="82"/>
      <c r="AM33" s="82"/>
      <c r="AN33" s="82"/>
      <c r="AO33" s="82"/>
      <c r="AP33" s="82"/>
      <c r="AQ33" s="82"/>
      <c r="AR33" s="82" t="s">
        <v>396</v>
      </c>
      <c r="AS33" s="12" t="s">
        <v>397</v>
      </c>
      <c r="AT33" s="82"/>
    </row>
    <row r="34" spans="1:46">
      <c r="A34" s="33" t="s">
        <v>583</v>
      </c>
      <c r="C34" s="33" t="s">
        <v>387</v>
      </c>
      <c r="D34" s="33" t="s">
        <v>378</v>
      </c>
      <c r="E34" s="33" t="s">
        <v>85</v>
      </c>
      <c r="F34" s="82">
        <v>8</v>
      </c>
      <c r="G34" s="82">
        <v>36</v>
      </c>
      <c r="H34" s="82">
        <v>36</v>
      </c>
      <c r="I34" s="12">
        <v>136</v>
      </c>
      <c r="J34" s="82">
        <f t="shared" si="0"/>
        <v>0</v>
      </c>
      <c r="K34" s="82" t="s">
        <v>469</v>
      </c>
      <c r="L34" s="82"/>
      <c r="M34" s="82"/>
      <c r="N34" s="82"/>
      <c r="O34" s="82"/>
      <c r="P34" s="82"/>
      <c r="Q34" s="82"/>
      <c r="R34" s="82"/>
      <c r="S34" s="82"/>
      <c r="T34" s="82"/>
      <c r="U34" s="82"/>
      <c r="V34" s="82"/>
      <c r="W34" s="82"/>
      <c r="X34" s="82"/>
      <c r="Y34" s="82"/>
      <c r="Z34" s="82"/>
      <c r="AA34" s="82"/>
      <c r="AB34" s="82"/>
      <c r="AC34" s="82"/>
      <c r="AD34" s="82"/>
      <c r="AE34" s="82"/>
      <c r="AF34" s="82"/>
      <c r="AG34" s="82"/>
      <c r="AH34" s="82"/>
      <c r="AI34" s="82"/>
      <c r="AJ34" s="82"/>
      <c r="AK34" s="82"/>
      <c r="AL34" s="82"/>
      <c r="AM34" s="82"/>
      <c r="AN34" s="82"/>
      <c r="AO34" s="82"/>
      <c r="AP34" s="82"/>
      <c r="AQ34" s="82"/>
      <c r="AR34" s="82" t="s">
        <v>396</v>
      </c>
      <c r="AS34" s="12" t="s">
        <v>397</v>
      </c>
      <c r="AT34" s="82"/>
    </row>
    <row r="35" spans="1:46">
      <c r="A35" s="33" t="s">
        <v>412</v>
      </c>
      <c r="B35" s="82"/>
      <c r="C35" s="33" t="s">
        <v>387</v>
      </c>
      <c r="D35" s="33" t="s">
        <v>378</v>
      </c>
      <c r="E35" s="33" t="s">
        <v>100</v>
      </c>
      <c r="F35" s="82">
        <v>9</v>
      </c>
      <c r="G35" s="82">
        <v>12</v>
      </c>
      <c r="H35" s="82">
        <v>0</v>
      </c>
      <c r="I35" s="82">
        <v>56</v>
      </c>
      <c r="J35" s="82">
        <f t="shared" si="0"/>
        <v>12</v>
      </c>
      <c r="K35" s="82" t="s">
        <v>469</v>
      </c>
      <c r="L35" s="82"/>
      <c r="M35" s="82"/>
      <c r="N35" s="82"/>
      <c r="O35" s="82"/>
      <c r="P35" s="82"/>
      <c r="Q35" s="82"/>
      <c r="R35" s="82"/>
      <c r="S35" s="82"/>
      <c r="T35" s="82"/>
      <c r="U35" s="82"/>
      <c r="V35" s="82"/>
      <c r="W35" s="82"/>
      <c r="X35" s="82"/>
      <c r="Y35" s="82"/>
      <c r="Z35" s="12">
        <v>50</v>
      </c>
      <c r="AA35" s="82" t="s">
        <v>413</v>
      </c>
      <c r="AB35" s="82"/>
      <c r="AC35" s="82"/>
      <c r="AD35" s="82"/>
      <c r="AE35" s="82"/>
      <c r="AF35" s="82"/>
      <c r="AG35" s="82"/>
      <c r="AH35" s="82"/>
      <c r="AI35" s="82"/>
      <c r="AJ35" s="82"/>
      <c r="AK35" s="82"/>
      <c r="AL35" s="82"/>
      <c r="AM35" s="82"/>
      <c r="AN35" s="82"/>
      <c r="AO35" s="82"/>
      <c r="AP35" s="82"/>
      <c r="AQ35" s="82"/>
      <c r="AR35" s="82" t="s">
        <v>380</v>
      </c>
      <c r="AS35" s="82" t="s">
        <v>381</v>
      </c>
      <c r="AT35" s="82"/>
    </row>
    <row r="36" spans="1:46">
      <c r="A36" s="33" t="s">
        <v>414</v>
      </c>
      <c r="C36" s="33" t="s">
        <v>387</v>
      </c>
      <c r="D36" s="33" t="s">
        <v>378</v>
      </c>
      <c r="E36" s="33" t="s">
        <v>100</v>
      </c>
      <c r="F36" s="82">
        <v>9</v>
      </c>
      <c r="G36" s="82">
        <v>12</v>
      </c>
      <c r="H36" s="82">
        <v>0</v>
      </c>
      <c r="I36" s="82">
        <v>56</v>
      </c>
      <c r="J36" s="82">
        <f t="shared" si="0"/>
        <v>12</v>
      </c>
      <c r="K36" s="82" t="s">
        <v>470</v>
      </c>
      <c r="L36" s="82"/>
      <c r="M36" s="82"/>
      <c r="N36" s="82"/>
      <c r="O36" s="82"/>
      <c r="P36" s="82"/>
      <c r="Q36" s="82"/>
      <c r="R36" s="82"/>
      <c r="S36" s="82"/>
      <c r="T36" s="82"/>
      <c r="U36" s="82"/>
      <c r="V36" s="82"/>
      <c r="W36" s="82"/>
      <c r="X36" s="82"/>
      <c r="Y36" s="82"/>
      <c r="Z36" s="12">
        <v>50</v>
      </c>
      <c r="AA36" s="82" t="s">
        <v>413</v>
      </c>
      <c r="AB36" s="82"/>
      <c r="AC36" s="82"/>
      <c r="AD36" s="82"/>
      <c r="AE36" s="82"/>
      <c r="AF36" s="82"/>
      <c r="AG36" s="82"/>
      <c r="AH36" s="82"/>
      <c r="AI36" s="82"/>
      <c r="AJ36" s="82"/>
      <c r="AK36" s="82"/>
      <c r="AL36" s="82"/>
      <c r="AM36" s="82"/>
      <c r="AN36" s="82"/>
      <c r="AO36" s="82"/>
      <c r="AP36" s="82"/>
      <c r="AQ36" s="82"/>
      <c r="AR36" s="82" t="s">
        <v>380</v>
      </c>
      <c r="AS36" s="82" t="s">
        <v>381</v>
      </c>
      <c r="AT36" s="82"/>
    </row>
    <row r="37" spans="1:46">
      <c r="A37" s="33" t="s">
        <v>584</v>
      </c>
      <c r="C37" s="33" t="s">
        <v>387</v>
      </c>
      <c r="D37" s="33" t="s">
        <v>378</v>
      </c>
      <c r="E37" s="33" t="s">
        <v>100</v>
      </c>
      <c r="F37" s="82">
        <v>9</v>
      </c>
      <c r="G37" s="82">
        <v>12</v>
      </c>
      <c r="H37" s="82">
        <v>0</v>
      </c>
      <c r="I37" s="82">
        <v>56</v>
      </c>
      <c r="J37" s="82">
        <f t="shared" si="0"/>
        <v>12</v>
      </c>
      <c r="K37" s="82" t="s">
        <v>472</v>
      </c>
      <c r="L37" s="82"/>
      <c r="M37" s="82"/>
      <c r="N37" s="82"/>
      <c r="O37" s="82"/>
      <c r="P37" s="82"/>
      <c r="Q37" s="82"/>
      <c r="R37" s="82"/>
      <c r="S37" s="82"/>
      <c r="T37" s="82"/>
      <c r="U37" s="82"/>
      <c r="V37" s="82"/>
      <c r="W37" s="82"/>
      <c r="X37" s="82"/>
      <c r="Y37" s="82"/>
      <c r="Z37" s="12">
        <v>50</v>
      </c>
      <c r="AA37" s="82" t="s">
        <v>413</v>
      </c>
      <c r="AB37" s="82"/>
      <c r="AC37" s="82"/>
      <c r="AD37" s="82"/>
      <c r="AE37" s="82"/>
      <c r="AF37" s="82"/>
      <c r="AG37" s="82"/>
      <c r="AH37" s="82"/>
      <c r="AI37" s="82"/>
      <c r="AJ37" s="82"/>
      <c r="AK37" s="82"/>
      <c r="AL37" s="82"/>
      <c r="AM37" s="82"/>
      <c r="AN37" s="82"/>
      <c r="AO37" s="82"/>
      <c r="AP37" s="82"/>
      <c r="AQ37" s="82"/>
      <c r="AR37" s="82" t="s">
        <v>380</v>
      </c>
      <c r="AS37" s="82" t="s">
        <v>381</v>
      </c>
      <c r="AT37" s="82"/>
    </row>
    <row r="38" spans="1:46">
      <c r="A38" s="33" t="s">
        <v>585</v>
      </c>
      <c r="C38" s="33" t="s">
        <v>387</v>
      </c>
      <c r="D38" s="33" t="s">
        <v>378</v>
      </c>
      <c r="E38" s="33" t="s">
        <v>100</v>
      </c>
      <c r="F38" s="82">
        <v>9</v>
      </c>
      <c r="G38" s="82">
        <v>12</v>
      </c>
      <c r="H38" s="82">
        <v>0</v>
      </c>
      <c r="I38" s="82">
        <v>56</v>
      </c>
      <c r="J38" s="82">
        <f t="shared" si="0"/>
        <v>12</v>
      </c>
      <c r="K38" s="82" t="s">
        <v>469</v>
      </c>
      <c r="L38" s="82"/>
      <c r="M38" s="82"/>
      <c r="N38" s="82"/>
      <c r="O38" s="82"/>
      <c r="P38" s="82"/>
      <c r="Q38" s="82"/>
      <c r="R38" s="82"/>
      <c r="S38" s="82"/>
      <c r="T38" s="82"/>
      <c r="U38" s="82"/>
      <c r="V38" s="82"/>
      <c r="W38" s="82"/>
      <c r="X38" s="82"/>
      <c r="Y38" s="82"/>
      <c r="Z38" s="12">
        <v>50</v>
      </c>
      <c r="AA38" s="82" t="s">
        <v>413</v>
      </c>
      <c r="AB38" s="82"/>
      <c r="AC38" s="82"/>
      <c r="AD38" s="82"/>
      <c r="AE38" s="82"/>
      <c r="AF38" s="82"/>
      <c r="AG38" s="82"/>
      <c r="AH38" s="82"/>
      <c r="AI38" s="82"/>
      <c r="AJ38" s="82"/>
      <c r="AK38" s="82"/>
      <c r="AL38" s="82"/>
      <c r="AM38" s="82"/>
      <c r="AN38" s="82"/>
      <c r="AO38" s="82"/>
      <c r="AP38" s="82"/>
      <c r="AQ38" s="82"/>
      <c r="AR38" s="82" t="s">
        <v>380</v>
      </c>
      <c r="AS38" s="82" t="s">
        <v>381</v>
      </c>
      <c r="AT38" s="82"/>
    </row>
    <row r="39" spans="1:46">
      <c r="A39" s="33" t="s">
        <v>415</v>
      </c>
      <c r="C39" s="33" t="s">
        <v>387</v>
      </c>
      <c r="D39" s="33" t="s">
        <v>378</v>
      </c>
      <c r="E39" s="33" t="s">
        <v>416</v>
      </c>
      <c r="F39" s="82">
        <v>4</v>
      </c>
      <c r="G39" s="82">
        <v>4</v>
      </c>
      <c r="H39" s="82">
        <v>0</v>
      </c>
      <c r="I39" s="82">
        <v>41</v>
      </c>
      <c r="J39" s="82">
        <f>G39-H39</f>
        <v>4</v>
      </c>
      <c r="K39" s="82" t="s">
        <v>472</v>
      </c>
      <c r="L39" s="82"/>
      <c r="M39" s="82"/>
      <c r="N39" s="82"/>
      <c r="O39" s="82"/>
      <c r="P39" s="82"/>
      <c r="Q39" s="82"/>
      <c r="R39" s="82"/>
      <c r="S39" s="82"/>
      <c r="T39" s="82"/>
      <c r="U39" s="82"/>
      <c r="V39" s="82"/>
      <c r="W39" s="82"/>
      <c r="X39" s="82"/>
      <c r="Y39" s="82"/>
      <c r="Z39" s="82"/>
      <c r="AA39" s="82"/>
      <c r="AB39" s="82"/>
      <c r="AC39" s="82"/>
      <c r="AD39" s="82"/>
      <c r="AE39" s="82"/>
      <c r="AF39" s="82"/>
      <c r="AG39" s="82"/>
      <c r="AH39" s="82"/>
      <c r="AI39" s="82"/>
      <c r="AJ39" s="82"/>
      <c r="AK39" s="82"/>
      <c r="AL39" s="82"/>
      <c r="AM39" s="82"/>
      <c r="AN39" s="82"/>
      <c r="AO39" s="82"/>
      <c r="AP39" s="82"/>
      <c r="AQ39" s="82"/>
      <c r="AR39" s="82" t="s">
        <v>380</v>
      </c>
      <c r="AS39" s="82" t="s">
        <v>381</v>
      </c>
      <c r="AT39" s="82"/>
    </row>
    <row r="40" spans="1:46">
      <c r="A40" s="33" t="s">
        <v>417</v>
      </c>
      <c r="C40" s="33" t="s">
        <v>387</v>
      </c>
      <c r="D40" s="33" t="s">
        <v>378</v>
      </c>
      <c r="E40" s="33" t="s">
        <v>418</v>
      </c>
      <c r="F40" s="82">
        <v>4</v>
      </c>
      <c r="G40" s="82">
        <v>4</v>
      </c>
      <c r="H40" s="82">
        <v>0</v>
      </c>
      <c r="I40" s="82">
        <v>41</v>
      </c>
      <c r="J40" s="82">
        <f>G40-H40</f>
        <v>4</v>
      </c>
      <c r="K40" s="82" t="s">
        <v>472</v>
      </c>
      <c r="L40" s="82"/>
      <c r="M40" s="82"/>
      <c r="N40" s="82"/>
      <c r="O40" s="82"/>
      <c r="P40" s="82"/>
      <c r="Q40" s="82"/>
      <c r="R40" s="82"/>
      <c r="S40" s="82"/>
      <c r="T40" s="82"/>
      <c r="U40" s="82"/>
      <c r="V40" s="82"/>
      <c r="W40" s="82"/>
      <c r="X40" s="82"/>
      <c r="Y40" s="82"/>
      <c r="Z40" s="82"/>
      <c r="AA40" s="82"/>
      <c r="AB40" s="82"/>
      <c r="AC40" s="82"/>
      <c r="AD40" s="82"/>
      <c r="AE40" s="82"/>
      <c r="AF40" s="82"/>
      <c r="AG40" s="82"/>
      <c r="AH40" s="82"/>
      <c r="AI40" s="82"/>
      <c r="AJ40" s="82"/>
      <c r="AK40" s="82"/>
      <c r="AL40" s="82"/>
      <c r="AM40" s="82"/>
      <c r="AN40" s="82"/>
      <c r="AO40" s="82"/>
      <c r="AP40" s="82"/>
      <c r="AQ40" s="82"/>
      <c r="AR40" s="82" t="s">
        <v>380</v>
      </c>
      <c r="AS40" s="82" t="s">
        <v>381</v>
      </c>
      <c r="AT40" s="82"/>
    </row>
    <row r="41" spans="1:46" s="17" customFormat="1" ht="13.5" customHeight="1">
      <c r="A41" s="17" t="s">
        <v>419</v>
      </c>
      <c r="C41" s="17" t="s">
        <v>387</v>
      </c>
      <c r="D41" s="43" t="s">
        <v>378</v>
      </c>
      <c r="E41" s="108" t="s">
        <v>420</v>
      </c>
      <c r="F41" s="15">
        <v>2</v>
      </c>
      <c r="G41" s="15">
        <v>4</v>
      </c>
      <c r="H41" s="15">
        <v>0</v>
      </c>
      <c r="I41" s="15">
        <v>65</v>
      </c>
      <c r="J41" s="15">
        <f t="shared" ref="J41" si="1">G41-H41</f>
        <v>4</v>
      </c>
      <c r="K41" s="82" t="s">
        <v>469</v>
      </c>
      <c r="L41" s="15"/>
      <c r="M41" s="15"/>
      <c r="N41" s="96"/>
      <c r="O41" s="95"/>
      <c r="P41" s="15"/>
      <c r="Q41" s="15"/>
      <c r="R41" s="15"/>
      <c r="S41" s="15"/>
      <c r="T41" s="15"/>
      <c r="U41" s="15"/>
      <c r="X41" s="15"/>
      <c r="Y41" s="15"/>
      <c r="AG41" s="36"/>
      <c r="AH41" s="36">
        <v>200</v>
      </c>
      <c r="AI41" s="36" t="s">
        <v>421</v>
      </c>
      <c r="AJ41" s="36"/>
      <c r="AK41" s="36"/>
      <c r="AL41" s="36"/>
      <c r="AM41" s="36"/>
      <c r="AN41" s="36"/>
      <c r="AO41" s="36"/>
      <c r="AR41" s="15" t="s">
        <v>380</v>
      </c>
      <c r="AS41" s="15" t="s">
        <v>381</v>
      </c>
      <c r="AT41" s="15"/>
    </row>
    <row r="42" spans="1:46" s="37" customFormat="1">
      <c r="F42" s="38">
        <f>SUM(F8:F41)</f>
        <v>222</v>
      </c>
      <c r="G42" s="38">
        <f>SUM(G8:G41)</f>
        <v>603</v>
      </c>
      <c r="H42" s="38">
        <f>SUM(H8:H41)</f>
        <v>375.25</v>
      </c>
      <c r="I42" s="38">
        <f>SUM(I8:I41)</f>
        <v>3441</v>
      </c>
      <c r="J42" s="38"/>
      <c r="K42" s="38"/>
      <c r="L42" s="38">
        <f>SUM(L8:L41)</f>
        <v>130</v>
      </c>
      <c r="M42" s="38"/>
      <c r="N42" s="38">
        <f>SUM(N8:N41)</f>
        <v>2500</v>
      </c>
      <c r="O42" s="38"/>
      <c r="P42" s="38">
        <f>SUM(P8:P41)</f>
        <v>3750</v>
      </c>
      <c r="Q42" s="38"/>
      <c r="R42" s="38">
        <f>SUM(R8:R41)</f>
        <v>600</v>
      </c>
      <c r="S42" s="38"/>
      <c r="T42" s="38">
        <f>SUM(T8:T41)</f>
        <v>300</v>
      </c>
      <c r="U42" s="38"/>
      <c r="V42" s="38">
        <f>SUM(V8:V41)</f>
        <v>0</v>
      </c>
      <c r="W42" s="38"/>
      <c r="X42" s="38">
        <f>SUM(X8:X41)</f>
        <v>11375</v>
      </c>
      <c r="Z42" s="38">
        <f>SUM(Z8:Z41)</f>
        <v>200</v>
      </c>
      <c r="AB42" s="38">
        <f>SUM(AB8:AB41)</f>
        <v>50</v>
      </c>
      <c r="AD42" s="38">
        <f>SUM(AD8:AD41)</f>
        <v>170</v>
      </c>
      <c r="AF42" s="38">
        <f>SUM(AF8:AF41)</f>
        <v>0</v>
      </c>
      <c r="AH42" s="38">
        <f>SUM(AH8:AH41)</f>
        <v>200</v>
      </c>
      <c r="AJ42" s="38">
        <f>SUM(AJ8:AJ41)</f>
        <v>0</v>
      </c>
      <c r="AL42" s="38">
        <f>SUM(AL8:AL41)</f>
        <v>0</v>
      </c>
      <c r="AN42" s="38">
        <f>SUM(AN8:AN41)</f>
        <v>0</v>
      </c>
      <c r="AP42" s="38">
        <f>SUM(AP8:AP41)</f>
        <v>3700</v>
      </c>
      <c r="AS42" s="38" t="s">
        <v>586</v>
      </c>
      <c r="AT42" s="38">
        <v>2</v>
      </c>
    </row>
    <row r="43" spans="1:46" ht="13">
      <c r="A43" s="153" t="s">
        <v>423</v>
      </c>
      <c r="F43" s="82"/>
      <c r="G43" s="82"/>
      <c r="H43" s="82"/>
      <c r="I43" s="82"/>
      <c r="J43" s="82"/>
      <c r="K43" s="82"/>
      <c r="L43" s="82"/>
      <c r="M43" s="82"/>
      <c r="N43" s="82"/>
      <c r="O43" s="82"/>
      <c r="P43" s="82"/>
      <c r="Q43" s="82"/>
      <c r="R43" s="82"/>
      <c r="S43" s="82"/>
      <c r="T43" s="82"/>
      <c r="U43" s="82"/>
      <c r="V43" s="82"/>
      <c r="W43" s="82"/>
      <c r="X43" s="82"/>
      <c r="Z43" s="82"/>
      <c r="AB43" s="82"/>
      <c r="AD43" s="82"/>
      <c r="AF43" s="82"/>
      <c r="AH43" s="82"/>
      <c r="AP43" s="82"/>
      <c r="AS43" s="82"/>
      <c r="AT43" s="82"/>
    </row>
    <row r="44" spans="1:46" s="4" customFormat="1" ht="13.5" customHeight="1">
      <c r="A44" s="14" t="s">
        <v>424</v>
      </c>
      <c r="F44" s="12"/>
      <c r="G44" s="12"/>
      <c r="H44" s="12"/>
      <c r="I44" s="12"/>
      <c r="J44" s="12"/>
      <c r="K44" s="12"/>
      <c r="L44" s="12"/>
      <c r="M44" s="12"/>
      <c r="N44" s="12"/>
      <c r="O44"/>
      <c r="P44" s="12"/>
      <c r="Q44" s="12"/>
      <c r="R44" s="12"/>
      <c r="S44" s="12"/>
      <c r="T44" s="12"/>
      <c r="U44" s="12"/>
      <c r="V44" s="12"/>
      <c r="X44" s="12"/>
      <c r="Z44" s="12"/>
      <c r="AB44" s="12"/>
      <c r="AD44" s="12"/>
      <c r="AF44" s="12"/>
      <c r="AG44" s="12"/>
      <c r="AH44" s="12"/>
    </row>
    <row r="45" spans="1:46" s="17" customFormat="1" ht="13.5" customHeight="1">
      <c r="A45" s="17" t="s">
        <v>419</v>
      </c>
      <c r="C45" s="17" t="s">
        <v>387</v>
      </c>
      <c r="D45" s="17" t="s">
        <v>378</v>
      </c>
      <c r="E45" s="17" t="s">
        <v>425</v>
      </c>
      <c r="F45" s="15">
        <v>7</v>
      </c>
      <c r="G45" s="15">
        <v>16</v>
      </c>
      <c r="H45" s="15">
        <v>0</v>
      </c>
      <c r="I45" s="15">
        <v>28</v>
      </c>
      <c r="J45" s="15">
        <f>G45-H45</f>
        <v>16</v>
      </c>
      <c r="K45" s="15" t="s">
        <v>469</v>
      </c>
      <c r="L45" s="15"/>
      <c r="M45" s="15"/>
      <c r="N45" s="96"/>
      <c r="O45" s="95"/>
      <c r="P45" s="15"/>
      <c r="Q45" s="15"/>
      <c r="R45" s="15">
        <v>120</v>
      </c>
      <c r="S45" s="15" t="s">
        <v>394</v>
      </c>
      <c r="V45" s="15"/>
      <c r="W45" s="15"/>
      <c r="X45" s="15">
        <v>340</v>
      </c>
      <c r="Y45" s="15" t="s">
        <v>179</v>
      </c>
      <c r="AD45" s="15"/>
      <c r="AE45" s="15"/>
      <c r="AF45" s="15"/>
      <c r="AG45" s="15"/>
      <c r="AH45" s="15"/>
      <c r="AR45" s="15"/>
      <c r="AS45" s="15"/>
    </row>
    <row r="46" spans="1:46" s="4" customFormat="1" ht="13.5" customHeight="1">
      <c r="F46" s="12">
        <f>SUM(F45:F45)+F42</f>
        <v>229</v>
      </c>
      <c r="G46" s="12">
        <f t="shared" ref="G46:H46" si="2">SUM(G45:G45)+G42</f>
        <v>619</v>
      </c>
      <c r="H46" s="12">
        <f t="shared" si="2"/>
        <v>375.25</v>
      </c>
      <c r="I46" s="12">
        <f>SUM(I45:I45)+I42</f>
        <v>3469</v>
      </c>
      <c r="J46" s="12"/>
      <c r="K46" s="12"/>
      <c r="L46" s="12">
        <f>SUM(L45:L45)+L42</f>
        <v>130</v>
      </c>
      <c r="M46" s="12"/>
      <c r="N46" s="12">
        <f>SUM(N45:N45)+N42</f>
        <v>2500</v>
      </c>
      <c r="O46"/>
      <c r="P46" s="12">
        <f>SUM(P45:P45)+P42</f>
        <v>3750</v>
      </c>
      <c r="Q46" s="12"/>
      <c r="R46" s="12">
        <f>SUM(R45:R45)+R42</f>
        <v>720</v>
      </c>
      <c r="S46" s="12"/>
      <c r="T46" s="12">
        <f>SUM(T45:T45)+T42</f>
        <v>300</v>
      </c>
      <c r="V46" s="12">
        <f>SUM(V45:V45)+V42</f>
        <v>0</v>
      </c>
      <c r="W46" s="12"/>
      <c r="X46" s="12">
        <f>SUM(X45:X45)+X42</f>
        <v>11715</v>
      </c>
      <c r="Z46" s="12">
        <f>SUM(Z45:Z45)+Z42</f>
        <v>200</v>
      </c>
      <c r="AB46" s="12">
        <f>SUM(AB45:AB45)+AB42</f>
        <v>50</v>
      </c>
      <c r="AD46" s="12">
        <f>SUM(AD45:AD45)+AD42</f>
        <v>170</v>
      </c>
      <c r="AE46" s="12"/>
      <c r="AF46" s="12">
        <f>SUM(AF45:AF45)+AF42</f>
        <v>0</v>
      </c>
      <c r="AG46" s="12"/>
      <c r="AH46" s="12">
        <f>SUM(AH45:AH45)+AH42</f>
        <v>200</v>
      </c>
      <c r="AJ46" s="12">
        <f>SUM(AJ45:AJ45)+AJ42</f>
        <v>0</v>
      </c>
      <c r="AL46" s="12">
        <f>SUM(AL45:AL45)+AL42</f>
        <v>0</v>
      </c>
      <c r="AN46" s="12">
        <f>SUM(AN45:AN45)+AN42</f>
        <v>0</v>
      </c>
      <c r="AP46" s="12">
        <f>SUM(AP45:AP45)+AP42</f>
        <v>3700</v>
      </c>
      <c r="AS46" s="38" t="s">
        <v>586</v>
      </c>
      <c r="AT46" s="12">
        <v>2</v>
      </c>
    </row>
    <row r="48" spans="1:46">
      <c r="F48" s="82"/>
      <c r="G48" s="82"/>
      <c r="H48" s="82"/>
      <c r="I48" s="82"/>
      <c r="J48" s="82"/>
      <c r="K48" s="82"/>
      <c r="L48" s="82"/>
      <c r="M48" s="82"/>
      <c r="N48" s="82"/>
      <c r="O48" s="82"/>
      <c r="P48" s="82"/>
      <c r="Q48" s="82"/>
      <c r="R48" s="82"/>
      <c r="S48" s="82"/>
      <c r="T48" s="82"/>
      <c r="U48" s="82"/>
      <c r="V48" s="82"/>
      <c r="W48" s="82"/>
      <c r="X48" s="82"/>
    </row>
    <row r="49" spans="1:46" ht="13">
      <c r="A49" s="176" t="s">
        <v>427</v>
      </c>
      <c r="B49" s="176"/>
      <c r="C49" s="176"/>
      <c r="D49" s="176"/>
      <c r="E49" s="39" t="s">
        <v>587</v>
      </c>
      <c r="F49" s="86">
        <f>144-(IF(E9="vCSA8.0", 2, 1))</f>
        <v>142</v>
      </c>
      <c r="G49" s="86">
        <f>6*(256-(IF(E9="vCSA8.0", 12, 8)))</f>
        <v>1464</v>
      </c>
      <c r="H49" s="177" t="str">
        <f>"Note1: The hardware resource pool provided here corresponds only to MantaRay NM virtual machines. If optional virtual machines are used then plan for the hardware resources accordingly.
Note2: ESXi reserves " &amp; IF(E9="vCSA8.0", 12, 8) &amp;" GB Memory for internal purpose
Note3: "&amp; IF(E9="vCSA8.0", 2, 1) &amp; " CPU is used by vSphere "&amp; IF(E9="vCSA8.0", "8.0", "7.0 U1") &amp;" onwards for internal functionality."</f>
        <v>Note1: The hardware resource pool provided here corresponds only to MantaRay NM virtual machines. If optional virtual machines are used then plan for the hardware resources accordingly.
Note2: ESXi reserves 12 GB Memory for internal purpose
Note3: 2 CPU is used by vSphere 8.0 onwards for internal functionality.</v>
      </c>
      <c r="I49" s="177"/>
      <c r="J49" s="177"/>
      <c r="K49" s="177"/>
      <c r="L49" s="177"/>
      <c r="M49" s="177"/>
      <c r="N49" s="177"/>
      <c r="O49" s="177"/>
      <c r="P49" s="40"/>
      <c r="Q49" s="40"/>
      <c r="R49" s="40"/>
      <c r="S49" s="40"/>
      <c r="T49" s="40"/>
      <c r="U49" s="40"/>
      <c r="V49" s="40"/>
      <c r="W49" s="40"/>
      <c r="X49" s="40"/>
      <c r="Y49" s="40"/>
      <c r="Z49" s="40"/>
      <c r="AA49" s="40"/>
      <c r="AB49" s="40"/>
      <c r="AC49" s="40"/>
      <c r="AD49" s="40"/>
      <c r="AE49" s="40"/>
      <c r="AF49" s="40"/>
      <c r="AG49" s="40"/>
      <c r="AH49" s="40"/>
      <c r="AI49" s="40"/>
      <c r="AJ49" s="40"/>
      <c r="AK49" s="40"/>
      <c r="AL49" s="40"/>
      <c r="AM49" s="40"/>
      <c r="AN49" s="40"/>
      <c r="AO49" s="40"/>
      <c r="AP49" s="40"/>
      <c r="AQ49" s="40"/>
      <c r="AR49" s="40"/>
      <c r="AS49" s="40"/>
      <c r="AT49" s="40"/>
    </row>
    <row r="50" spans="1:46" ht="13.5" customHeight="1">
      <c r="A50" s="176"/>
      <c r="B50" s="176"/>
      <c r="C50" s="176"/>
      <c r="D50" s="176"/>
      <c r="E50" s="23" t="s">
        <v>563</v>
      </c>
      <c r="F50" s="86">
        <f>128-(IF(E9="vCSA8.0", 2, 1))</f>
        <v>126</v>
      </c>
      <c r="G50" s="86">
        <f>4*(384-(IF(E9="vCSA8.0", 12, 8)))</f>
        <v>1488</v>
      </c>
      <c r="H50" s="177"/>
      <c r="I50" s="177"/>
      <c r="J50" s="177"/>
      <c r="K50" s="177"/>
      <c r="L50" s="177"/>
      <c r="M50" s="177"/>
      <c r="N50" s="177"/>
      <c r="O50" s="177"/>
      <c r="P50" s="40"/>
      <c r="Q50" s="40"/>
      <c r="R50" s="40"/>
      <c r="S50" s="40"/>
      <c r="T50" s="40"/>
      <c r="U50" s="40"/>
      <c r="V50" s="40"/>
      <c r="W50" s="40"/>
      <c r="X50" s="40"/>
      <c r="Y50" s="40"/>
      <c r="Z50" s="40"/>
      <c r="AA50" s="40"/>
      <c r="AB50" s="40"/>
      <c r="AC50" s="40"/>
      <c r="AD50" s="40"/>
      <c r="AE50" s="40"/>
      <c r="AF50" s="40"/>
      <c r="AG50" s="40"/>
      <c r="AH50" s="40"/>
      <c r="AI50" s="40"/>
      <c r="AJ50" s="40"/>
      <c r="AK50" s="40"/>
      <c r="AL50" s="40"/>
      <c r="AM50" s="40"/>
      <c r="AN50" s="40"/>
      <c r="AO50" s="40"/>
      <c r="AP50" s="40"/>
      <c r="AQ50" s="40"/>
      <c r="AR50" s="40"/>
      <c r="AS50" s="40"/>
      <c r="AT50" s="40"/>
    </row>
    <row r="51" spans="1:46" ht="13.5" customHeight="1">
      <c r="A51" s="86"/>
      <c r="B51" s="86"/>
      <c r="C51" s="86"/>
      <c r="D51" s="86"/>
      <c r="E51" s="23" t="s">
        <v>588</v>
      </c>
      <c r="F51" s="86">
        <f>(4*2*28)-(IF(E9="vCSA8.0", 2, 1))</f>
        <v>222</v>
      </c>
      <c r="G51" s="86">
        <f>4*(512-(IF(E9="vCSA8.0", 12, 8)))</f>
        <v>2000</v>
      </c>
      <c r="H51" s="177"/>
      <c r="I51" s="177"/>
      <c r="J51" s="177"/>
      <c r="K51" s="177"/>
      <c r="L51" s="177"/>
      <c r="M51" s="177"/>
      <c r="N51" s="177"/>
      <c r="O51" s="177"/>
      <c r="P51" s="40"/>
      <c r="Q51" s="40"/>
      <c r="R51" s="40"/>
      <c r="S51" s="40"/>
      <c r="T51" s="40"/>
      <c r="U51" s="40"/>
      <c r="V51" s="40"/>
      <c r="W51" s="40"/>
      <c r="X51" s="40"/>
      <c r="Y51" s="40"/>
      <c r="Z51" s="40"/>
      <c r="AA51" s="40"/>
      <c r="AB51" s="40"/>
      <c r="AC51" s="40"/>
      <c r="AD51" s="40"/>
      <c r="AE51" s="40"/>
      <c r="AF51" s="40"/>
      <c r="AG51" s="40"/>
      <c r="AH51" s="40"/>
      <c r="AI51" s="40"/>
      <c r="AJ51" s="40"/>
      <c r="AK51" s="40"/>
      <c r="AL51" s="40"/>
      <c r="AM51" s="40"/>
      <c r="AN51" s="40"/>
      <c r="AO51" s="40"/>
      <c r="AP51" s="40"/>
      <c r="AQ51" s="40"/>
      <c r="AR51" s="40"/>
      <c r="AS51" s="40"/>
      <c r="AT51" s="40"/>
    </row>
    <row r="52" spans="1:46" ht="13">
      <c r="A52" s="40"/>
      <c r="B52" s="40"/>
      <c r="C52" s="40"/>
      <c r="D52" s="40"/>
      <c r="E52" s="23" t="s">
        <v>589</v>
      </c>
      <c r="F52" s="86">
        <f>(4*2*28)-(IF(E9="vCSA8.0", 2, 1))</f>
        <v>222</v>
      </c>
      <c r="G52" s="86">
        <f>4*(512-(IF(E9="vCSA8.0", 12, 8)))</f>
        <v>2000</v>
      </c>
      <c r="H52" s="177"/>
      <c r="I52" s="177"/>
      <c r="J52" s="177"/>
      <c r="K52" s="177"/>
      <c r="L52" s="177"/>
      <c r="M52" s="177"/>
      <c r="N52" s="177"/>
      <c r="O52" s="177"/>
      <c r="P52" s="40"/>
      <c r="Q52" s="40"/>
      <c r="R52" s="40"/>
      <c r="S52" s="40"/>
      <c r="T52" s="40"/>
      <c r="U52" s="40"/>
      <c r="V52" s="40"/>
      <c r="W52" s="40"/>
      <c r="X52" s="40"/>
      <c r="Y52" s="40"/>
      <c r="Z52" s="40"/>
      <c r="AA52" s="40"/>
      <c r="AB52" s="40"/>
      <c r="AC52" s="40"/>
      <c r="AD52" s="40"/>
      <c r="AE52" s="40"/>
      <c r="AF52" s="40"/>
      <c r="AG52" s="40"/>
      <c r="AH52" s="40"/>
      <c r="AI52" s="40"/>
      <c r="AJ52" s="40"/>
      <c r="AK52" s="40"/>
      <c r="AL52" s="40"/>
      <c r="AM52" s="40"/>
      <c r="AN52" s="40"/>
      <c r="AO52" s="40"/>
      <c r="AP52" s="40"/>
      <c r="AQ52" s="40"/>
      <c r="AR52" s="40"/>
      <c r="AS52" s="40"/>
      <c r="AT52" s="40"/>
    </row>
    <row r="53" spans="1:46" ht="13">
      <c r="A53" s="40"/>
      <c r="B53" s="40"/>
      <c r="C53" s="40"/>
      <c r="D53" s="40"/>
      <c r="E53" s="39" t="s">
        <v>564</v>
      </c>
      <c r="F53" s="86">
        <f>(4*2*32)-(IF(E9="vCSA8.0", 2, 1))</f>
        <v>254</v>
      </c>
      <c r="G53" s="86">
        <f>4*(512-(IF(E9="vCSA8.0", 12, 8)))</f>
        <v>2000</v>
      </c>
      <c r="H53" s="177"/>
      <c r="I53" s="177"/>
      <c r="J53" s="177"/>
      <c r="K53" s="177"/>
      <c r="L53" s="177"/>
      <c r="M53" s="177"/>
      <c r="N53" s="177"/>
      <c r="O53" s="177"/>
      <c r="P53" s="40"/>
      <c r="Q53" s="40"/>
      <c r="R53" s="40"/>
      <c r="S53" s="40"/>
      <c r="T53" s="40"/>
      <c r="U53" s="40"/>
      <c r="V53" s="40"/>
      <c r="W53" s="40"/>
      <c r="X53" s="40"/>
      <c r="Y53" s="40"/>
      <c r="Z53" s="40"/>
      <c r="AA53" s="40"/>
      <c r="AB53" s="40"/>
      <c r="AC53" s="40"/>
      <c r="AD53" s="40"/>
      <c r="AE53" s="40"/>
      <c r="AF53" s="40"/>
      <c r="AG53" s="40"/>
      <c r="AH53" s="40"/>
      <c r="AI53" s="40"/>
      <c r="AJ53" s="40"/>
      <c r="AK53" s="40"/>
      <c r="AL53" s="40"/>
      <c r="AM53" s="40"/>
      <c r="AN53" s="40"/>
      <c r="AO53" s="40"/>
      <c r="AP53" s="40"/>
      <c r="AQ53" s="40"/>
      <c r="AR53" s="40"/>
      <c r="AS53" s="40"/>
      <c r="AT53" s="40"/>
    </row>
    <row r="54" spans="1:46">
      <c r="A54" s="40"/>
      <c r="B54" s="40"/>
      <c r="C54" s="40"/>
      <c r="D54" s="40"/>
      <c r="E54" s="40"/>
      <c r="F54" s="40"/>
      <c r="G54" s="40"/>
      <c r="H54" s="177"/>
      <c r="I54" s="177"/>
      <c r="J54" s="177"/>
      <c r="K54" s="177"/>
      <c r="L54" s="177"/>
      <c r="M54" s="177"/>
      <c r="N54" s="177"/>
      <c r="O54" s="177"/>
      <c r="P54" s="40"/>
      <c r="Q54" s="40"/>
      <c r="R54" s="40"/>
      <c r="S54" s="40"/>
      <c r="T54" s="40"/>
      <c r="U54" s="40"/>
      <c r="V54" s="40"/>
      <c r="W54" s="40"/>
      <c r="X54" s="40"/>
      <c r="Y54" s="40"/>
      <c r="Z54" s="40"/>
      <c r="AA54" s="40"/>
      <c r="AB54" s="40"/>
      <c r="AC54" s="40"/>
      <c r="AD54" s="40"/>
      <c r="AE54" s="40"/>
      <c r="AF54" s="40"/>
      <c r="AG54" s="40"/>
      <c r="AH54" s="40"/>
      <c r="AI54" s="40"/>
      <c r="AJ54" s="40"/>
      <c r="AK54" s="40"/>
      <c r="AL54" s="40"/>
      <c r="AM54" s="40"/>
      <c r="AN54" s="40"/>
      <c r="AO54" s="40"/>
      <c r="AP54" s="40"/>
      <c r="AQ54" s="40"/>
      <c r="AR54" s="40"/>
      <c r="AS54" s="40"/>
      <c r="AT54" s="40"/>
    </row>
    <row r="55" spans="1:46" ht="14.5">
      <c r="E55" s="14"/>
      <c r="F55" s="118"/>
      <c r="G55" s="118"/>
      <c r="H55"/>
      <c r="I55"/>
      <c r="J55"/>
      <c r="K55"/>
      <c r="L55"/>
      <c r="M55"/>
      <c r="N55"/>
      <c r="O55"/>
    </row>
    <row r="56" spans="1:46" ht="14.5">
      <c r="A56" s="173" t="s">
        <v>565</v>
      </c>
      <c r="B56" s="174"/>
      <c r="C56" s="174"/>
      <c r="D56" s="174"/>
      <c r="E56" s="174"/>
      <c r="F56" s="127"/>
      <c r="G56" s="118"/>
      <c r="H56"/>
      <c r="I56"/>
      <c r="J56"/>
      <c r="K56"/>
      <c r="L56"/>
      <c r="M56"/>
      <c r="N56"/>
      <c r="O56"/>
    </row>
    <row r="57" spans="1:46" ht="14.5">
      <c r="E57" s="14"/>
      <c r="F57" s="118"/>
      <c r="G57" s="118"/>
      <c r="H57"/>
      <c r="I57"/>
      <c r="J57"/>
      <c r="K57"/>
      <c r="L57"/>
      <c r="M57"/>
      <c r="N57"/>
      <c r="O57"/>
    </row>
    <row r="58" spans="1:46" ht="13">
      <c r="A58" s="14" t="s">
        <v>430</v>
      </c>
    </row>
    <row r="59" spans="1:46">
      <c r="A59" s="33" t="s">
        <v>431</v>
      </c>
      <c r="C59" s="33" t="s">
        <v>387</v>
      </c>
      <c r="D59" s="33" t="s">
        <v>378</v>
      </c>
      <c r="E59" s="33" t="s">
        <v>21</v>
      </c>
      <c r="F59" s="82">
        <v>12</v>
      </c>
      <c r="G59" s="82">
        <v>48</v>
      </c>
      <c r="H59" s="82">
        <v>0</v>
      </c>
      <c r="I59" s="12">
        <v>71</v>
      </c>
      <c r="J59" s="82">
        <f t="shared" ref="J59:J89" si="3">G59-H59</f>
        <v>48</v>
      </c>
      <c r="K59" s="82"/>
      <c r="AR59" s="82" t="s">
        <v>380</v>
      </c>
      <c r="AS59" s="82" t="s">
        <v>381</v>
      </c>
      <c r="AT59" s="82"/>
    </row>
    <row r="60" spans="1:46">
      <c r="A60" s="33" t="s">
        <v>590</v>
      </c>
      <c r="C60" s="33" t="s">
        <v>387</v>
      </c>
      <c r="D60" s="19" t="s">
        <v>434</v>
      </c>
      <c r="E60" s="4" t="s">
        <v>89</v>
      </c>
      <c r="F60" s="82">
        <v>4</v>
      </c>
      <c r="G60" s="82">
        <v>4</v>
      </c>
      <c r="H60" s="82">
        <v>0</v>
      </c>
      <c r="I60" s="82">
        <v>100</v>
      </c>
      <c r="J60" s="82">
        <f>G60-H60</f>
        <v>4</v>
      </c>
      <c r="K60" s="82" t="s">
        <v>470</v>
      </c>
      <c r="L60" s="82"/>
      <c r="M60" s="82"/>
      <c r="N60" s="82"/>
      <c r="O60" s="82"/>
      <c r="P60" s="82"/>
      <c r="Q60" s="82"/>
      <c r="R60" s="82"/>
      <c r="S60" s="82"/>
      <c r="T60" s="82"/>
      <c r="U60" s="82"/>
      <c r="V60" s="82"/>
      <c r="W60" s="82"/>
      <c r="X60" s="82"/>
      <c r="Y60" s="82"/>
      <c r="Z60" s="82"/>
      <c r="AA60" s="82"/>
      <c r="AB60" s="82"/>
      <c r="AC60" s="82"/>
      <c r="AD60" s="82"/>
      <c r="AE60" s="82"/>
      <c r="AF60" s="82"/>
      <c r="AG60" s="82"/>
      <c r="AH60" s="82"/>
      <c r="AI60" s="82"/>
      <c r="AJ60" s="82"/>
      <c r="AK60" s="82"/>
      <c r="AL60" s="82"/>
      <c r="AM60" s="82"/>
      <c r="AN60" s="82"/>
      <c r="AO60" s="82"/>
      <c r="AP60" s="82"/>
      <c r="AQ60" s="82"/>
      <c r="AR60" s="82" t="s">
        <v>380</v>
      </c>
      <c r="AS60" s="82" t="s">
        <v>381</v>
      </c>
      <c r="AT60" s="82"/>
    </row>
    <row r="61" spans="1:46">
      <c r="A61" s="33" t="s">
        <v>591</v>
      </c>
      <c r="C61" s="33" t="s">
        <v>387</v>
      </c>
      <c r="D61" s="19" t="s">
        <v>434</v>
      </c>
      <c r="E61" s="4" t="s">
        <v>97</v>
      </c>
      <c r="F61" s="82">
        <v>4</v>
      </c>
      <c r="G61" s="82">
        <v>16</v>
      </c>
      <c r="H61" s="82">
        <v>0</v>
      </c>
      <c r="I61" s="12">
        <v>110</v>
      </c>
      <c r="J61" s="82">
        <f>G61-H61</f>
        <v>16</v>
      </c>
      <c r="K61" s="82" t="s">
        <v>472</v>
      </c>
      <c r="L61" s="82"/>
      <c r="M61" s="82"/>
      <c r="N61" s="82"/>
      <c r="O61" s="82"/>
      <c r="P61" s="82"/>
      <c r="Q61" s="82"/>
      <c r="R61" s="82"/>
      <c r="S61" s="82"/>
      <c r="T61" s="82"/>
      <c r="U61" s="82"/>
      <c r="V61" s="82"/>
      <c r="W61" s="82"/>
      <c r="X61" s="82"/>
      <c r="Y61" s="82"/>
      <c r="Z61" s="82"/>
      <c r="AA61" s="82"/>
      <c r="AB61" s="82"/>
      <c r="AC61" s="82"/>
      <c r="AD61" s="82"/>
      <c r="AE61" s="82"/>
      <c r="AF61" s="82"/>
      <c r="AG61" s="82"/>
      <c r="AH61" s="82"/>
      <c r="AI61" s="82"/>
      <c r="AJ61" s="82"/>
      <c r="AK61" s="82"/>
      <c r="AL61" s="82"/>
      <c r="AM61" s="82"/>
      <c r="AN61" s="82"/>
      <c r="AO61" s="82"/>
      <c r="AP61" s="82"/>
      <c r="AQ61" s="82"/>
      <c r="AR61" s="82" t="s">
        <v>380</v>
      </c>
      <c r="AS61" s="82" t="s">
        <v>381</v>
      </c>
      <c r="AT61" s="82"/>
    </row>
    <row r="62" spans="1:46">
      <c r="A62" s="33" t="s">
        <v>436</v>
      </c>
      <c r="C62" s="33" t="s">
        <v>387</v>
      </c>
      <c r="D62" s="19" t="s">
        <v>434</v>
      </c>
      <c r="E62" s="4" t="s">
        <v>93</v>
      </c>
      <c r="F62" s="82">
        <v>4</v>
      </c>
      <c r="G62" s="82">
        <v>14</v>
      </c>
      <c r="H62" s="82">
        <v>0</v>
      </c>
      <c r="I62" s="12">
        <v>120</v>
      </c>
      <c r="J62" s="82">
        <f>G62-H62</f>
        <v>14</v>
      </c>
      <c r="K62" s="12" t="s">
        <v>470</v>
      </c>
      <c r="L62" s="82"/>
      <c r="M62" s="82"/>
      <c r="N62" s="82"/>
      <c r="O62" s="82"/>
      <c r="P62" s="82"/>
      <c r="Q62" s="82"/>
      <c r="R62" s="82"/>
      <c r="S62" s="82"/>
      <c r="T62" s="82"/>
      <c r="U62" s="82"/>
      <c r="V62" s="82"/>
      <c r="W62" s="82"/>
      <c r="X62" s="82"/>
      <c r="Y62" s="82"/>
      <c r="Z62" s="82"/>
      <c r="AA62" s="82"/>
      <c r="AB62" s="82"/>
      <c r="AC62" s="82"/>
      <c r="AD62" s="82"/>
      <c r="AE62" s="82"/>
      <c r="AF62" s="82"/>
      <c r="AG62" s="82"/>
      <c r="AH62" s="82"/>
      <c r="AI62" s="82"/>
      <c r="AJ62" s="82"/>
      <c r="AK62" s="82"/>
      <c r="AL62" s="82"/>
      <c r="AM62" s="82"/>
      <c r="AN62" s="82"/>
      <c r="AO62" s="82"/>
      <c r="AP62" s="82"/>
      <c r="AQ62" s="82"/>
      <c r="AR62" s="82" t="s">
        <v>380</v>
      </c>
      <c r="AS62" s="82" t="s">
        <v>381</v>
      </c>
      <c r="AT62" s="82"/>
    </row>
    <row r="63" spans="1:46">
      <c r="A63" s="33" t="s">
        <v>481</v>
      </c>
      <c r="C63" s="33" t="s">
        <v>387</v>
      </c>
      <c r="D63" s="19" t="s">
        <v>434</v>
      </c>
      <c r="E63" s="4" t="s">
        <v>89</v>
      </c>
      <c r="F63" s="82">
        <v>4</v>
      </c>
      <c r="G63" s="82">
        <v>4</v>
      </c>
      <c r="H63" s="82">
        <v>0</v>
      </c>
      <c r="I63" s="82">
        <v>100</v>
      </c>
      <c r="J63" s="82">
        <f t="shared" si="3"/>
        <v>4</v>
      </c>
      <c r="K63" s="82"/>
      <c r="AR63" s="82" t="s">
        <v>380</v>
      </c>
      <c r="AS63" s="82" t="s">
        <v>381</v>
      </c>
      <c r="AT63" s="82"/>
    </row>
    <row r="64" spans="1:46">
      <c r="A64" s="33" t="s">
        <v>437</v>
      </c>
      <c r="C64" s="33" t="s">
        <v>387</v>
      </c>
      <c r="D64" s="19" t="s">
        <v>434</v>
      </c>
      <c r="E64" s="4" t="s">
        <v>97</v>
      </c>
      <c r="F64" s="82">
        <v>4</v>
      </c>
      <c r="G64" s="82">
        <v>16</v>
      </c>
      <c r="H64" s="82">
        <v>0</v>
      </c>
      <c r="I64" s="82">
        <v>100</v>
      </c>
      <c r="J64" s="82">
        <f t="shared" si="3"/>
        <v>16</v>
      </c>
      <c r="K64" s="82"/>
      <c r="AR64" s="82" t="s">
        <v>380</v>
      </c>
      <c r="AS64" s="82" t="s">
        <v>381</v>
      </c>
      <c r="AT64" s="82"/>
    </row>
    <row r="65" spans="1:46">
      <c r="A65" s="33" t="s">
        <v>482</v>
      </c>
      <c r="C65" s="33" t="s">
        <v>387</v>
      </c>
      <c r="D65" s="19" t="s">
        <v>434</v>
      </c>
      <c r="E65" s="4" t="s">
        <v>97</v>
      </c>
      <c r="F65" s="82">
        <v>4</v>
      </c>
      <c r="G65" s="82">
        <v>16</v>
      </c>
      <c r="H65" s="82">
        <v>0</v>
      </c>
      <c r="I65" s="82">
        <v>100</v>
      </c>
      <c r="J65" s="82">
        <f t="shared" si="3"/>
        <v>16</v>
      </c>
      <c r="K65" s="82"/>
      <c r="AR65" s="82" t="s">
        <v>380</v>
      </c>
      <c r="AS65" s="82" t="s">
        <v>381</v>
      </c>
      <c r="AT65" s="82"/>
    </row>
    <row r="66" spans="1:46">
      <c r="A66" s="33" t="s">
        <v>568</v>
      </c>
      <c r="C66" s="33" t="s">
        <v>387</v>
      </c>
      <c r="D66" s="19" t="s">
        <v>434</v>
      </c>
      <c r="E66" s="4" t="s">
        <v>97</v>
      </c>
      <c r="F66" s="82">
        <v>4</v>
      </c>
      <c r="G66" s="82">
        <v>16</v>
      </c>
      <c r="H66" s="82">
        <v>0</v>
      </c>
      <c r="I66" s="82">
        <v>100</v>
      </c>
      <c r="J66" s="82">
        <f t="shared" si="3"/>
        <v>16</v>
      </c>
      <c r="K66" s="82"/>
      <c r="AR66" s="82" t="s">
        <v>380</v>
      </c>
      <c r="AS66" s="82" t="s">
        <v>381</v>
      </c>
      <c r="AT66" s="82"/>
    </row>
    <row r="67" spans="1:46">
      <c r="A67" s="33" t="s">
        <v>569</v>
      </c>
      <c r="C67" s="33" t="s">
        <v>387</v>
      </c>
      <c r="D67" s="19" t="s">
        <v>434</v>
      </c>
      <c r="E67" s="4" t="s">
        <v>97</v>
      </c>
      <c r="F67" s="82">
        <v>4</v>
      </c>
      <c r="G67" s="82">
        <v>16</v>
      </c>
      <c r="H67" s="82">
        <v>0</v>
      </c>
      <c r="I67" s="82">
        <v>100</v>
      </c>
      <c r="J67" s="82">
        <f t="shared" si="3"/>
        <v>16</v>
      </c>
      <c r="K67" s="82"/>
      <c r="AR67" s="82" t="s">
        <v>380</v>
      </c>
      <c r="AS67" s="82" t="s">
        <v>381</v>
      </c>
      <c r="AT67" s="82"/>
    </row>
    <row r="68" spans="1:46">
      <c r="A68" s="33" t="s">
        <v>592</v>
      </c>
      <c r="C68" s="33" t="s">
        <v>387</v>
      </c>
      <c r="D68" s="19" t="s">
        <v>434</v>
      </c>
      <c r="E68" s="4" t="s">
        <v>97</v>
      </c>
      <c r="F68" s="82">
        <v>4</v>
      </c>
      <c r="G68" s="82">
        <v>16</v>
      </c>
      <c r="H68" s="82">
        <v>0</v>
      </c>
      <c r="I68" s="82">
        <v>100</v>
      </c>
      <c r="J68" s="82">
        <f t="shared" si="3"/>
        <v>16</v>
      </c>
      <c r="K68" s="82"/>
      <c r="AR68" s="82" t="s">
        <v>380</v>
      </c>
      <c r="AS68" s="82" t="s">
        <v>381</v>
      </c>
      <c r="AT68" s="82"/>
    </row>
    <row r="69" spans="1:46">
      <c r="A69" s="33" t="s">
        <v>593</v>
      </c>
      <c r="C69" s="33" t="s">
        <v>387</v>
      </c>
      <c r="D69" s="19" t="s">
        <v>434</v>
      </c>
      <c r="E69" s="4" t="s">
        <v>97</v>
      </c>
      <c r="F69" s="82">
        <v>4</v>
      </c>
      <c r="G69" s="82">
        <v>16</v>
      </c>
      <c r="H69" s="82">
        <v>0</v>
      </c>
      <c r="I69" s="82">
        <v>100</v>
      </c>
      <c r="J69" s="82">
        <f t="shared" si="3"/>
        <v>16</v>
      </c>
      <c r="K69" s="82"/>
      <c r="AR69" s="82" t="s">
        <v>380</v>
      </c>
      <c r="AS69" s="82" t="s">
        <v>381</v>
      </c>
      <c r="AT69" s="82"/>
    </row>
    <row r="70" spans="1:46">
      <c r="A70" s="33" t="s">
        <v>594</v>
      </c>
      <c r="C70" s="33" t="s">
        <v>387</v>
      </c>
      <c r="D70" s="19" t="s">
        <v>434</v>
      </c>
      <c r="E70" s="4" t="s">
        <v>97</v>
      </c>
      <c r="F70" s="82">
        <v>4</v>
      </c>
      <c r="G70" s="82">
        <v>16</v>
      </c>
      <c r="H70" s="82">
        <v>0</v>
      </c>
      <c r="I70" s="82">
        <v>100</v>
      </c>
      <c r="J70" s="82">
        <f t="shared" si="3"/>
        <v>16</v>
      </c>
      <c r="K70" s="82"/>
      <c r="AR70" s="82" t="s">
        <v>380</v>
      </c>
      <c r="AS70" s="82" t="s">
        <v>381</v>
      </c>
      <c r="AT70" s="82"/>
    </row>
    <row r="71" spans="1:46">
      <c r="A71" s="33" t="s">
        <v>483</v>
      </c>
      <c r="C71" s="33" t="s">
        <v>387</v>
      </c>
      <c r="D71" s="19" t="s">
        <v>434</v>
      </c>
      <c r="E71" s="4" t="s">
        <v>93</v>
      </c>
      <c r="F71" s="82">
        <v>4</v>
      </c>
      <c r="G71" s="82">
        <v>14</v>
      </c>
      <c r="H71" s="82">
        <v>0</v>
      </c>
      <c r="I71" s="12">
        <v>120</v>
      </c>
      <c r="J71" s="82">
        <f t="shared" si="3"/>
        <v>14</v>
      </c>
      <c r="K71" s="82"/>
      <c r="AR71" s="82" t="s">
        <v>380</v>
      </c>
      <c r="AS71" s="82" t="s">
        <v>381</v>
      </c>
      <c r="AT71" s="82"/>
    </row>
    <row r="72" spans="1:46">
      <c r="A72" s="33" t="s">
        <v>595</v>
      </c>
      <c r="C72" s="33" t="s">
        <v>387</v>
      </c>
      <c r="D72" s="19" t="s">
        <v>434</v>
      </c>
      <c r="E72" s="4" t="s">
        <v>97</v>
      </c>
      <c r="F72" s="82">
        <v>4</v>
      </c>
      <c r="G72" s="82">
        <v>16</v>
      </c>
      <c r="H72" s="82">
        <v>0</v>
      </c>
      <c r="I72" s="82">
        <v>100</v>
      </c>
      <c r="J72" s="82">
        <f t="shared" si="3"/>
        <v>16</v>
      </c>
      <c r="K72" s="82"/>
      <c r="AR72" s="82" t="s">
        <v>380</v>
      </c>
      <c r="AS72" s="82" t="s">
        <v>381</v>
      </c>
      <c r="AT72" s="82"/>
    </row>
    <row r="73" spans="1:46">
      <c r="A73" s="33" t="s">
        <v>438</v>
      </c>
      <c r="C73" s="33" t="s">
        <v>387</v>
      </c>
      <c r="D73" s="33" t="s">
        <v>378</v>
      </c>
      <c r="E73" s="33" t="s">
        <v>32</v>
      </c>
      <c r="F73" s="82">
        <v>6</v>
      </c>
      <c r="G73" s="82">
        <v>20</v>
      </c>
      <c r="H73" s="82">
        <v>0</v>
      </c>
      <c r="I73" s="82">
        <v>201</v>
      </c>
      <c r="J73" s="82">
        <f t="shared" si="3"/>
        <v>20</v>
      </c>
      <c r="K73" s="82"/>
      <c r="AR73" s="82" t="s">
        <v>380</v>
      </c>
      <c r="AS73" s="82" t="s">
        <v>381</v>
      </c>
      <c r="AT73" s="82"/>
    </row>
    <row r="74" spans="1:46">
      <c r="A74" s="33" t="s">
        <v>439</v>
      </c>
      <c r="C74" s="33" t="s">
        <v>387</v>
      </c>
      <c r="D74" s="33" t="s">
        <v>378</v>
      </c>
      <c r="E74" s="33" t="s">
        <v>32</v>
      </c>
      <c r="F74" s="82">
        <v>6</v>
      </c>
      <c r="G74" s="82">
        <v>20</v>
      </c>
      <c r="H74" s="82">
        <v>0</v>
      </c>
      <c r="I74" s="82">
        <v>201</v>
      </c>
      <c r="J74" s="82">
        <f t="shared" si="3"/>
        <v>20</v>
      </c>
      <c r="K74" s="82"/>
      <c r="AR74" s="82" t="s">
        <v>380</v>
      </c>
      <c r="AS74" s="82" t="s">
        <v>381</v>
      </c>
      <c r="AT74" s="82"/>
    </row>
    <row r="75" spans="1:46">
      <c r="A75" s="33" t="s">
        <v>570</v>
      </c>
      <c r="C75" s="33" t="s">
        <v>387</v>
      </c>
      <c r="D75" s="33" t="s">
        <v>378</v>
      </c>
      <c r="E75" s="33" t="s">
        <v>32</v>
      </c>
      <c r="F75" s="82">
        <v>6</v>
      </c>
      <c r="G75" s="82">
        <v>20</v>
      </c>
      <c r="H75" s="82">
        <v>0</v>
      </c>
      <c r="I75" s="82">
        <v>201</v>
      </c>
      <c r="J75" s="82">
        <f t="shared" si="3"/>
        <v>20</v>
      </c>
      <c r="K75" s="82"/>
      <c r="AR75" s="82" t="s">
        <v>380</v>
      </c>
      <c r="AS75" s="82" t="s">
        <v>381</v>
      </c>
      <c r="AT75" s="82"/>
    </row>
    <row r="76" spans="1:46">
      <c r="A76" s="33" t="s">
        <v>571</v>
      </c>
      <c r="C76" s="33" t="s">
        <v>387</v>
      </c>
      <c r="D76" s="33" t="s">
        <v>378</v>
      </c>
      <c r="E76" s="33" t="s">
        <v>32</v>
      </c>
      <c r="F76" s="82">
        <v>6</v>
      </c>
      <c r="G76" s="82">
        <v>20</v>
      </c>
      <c r="H76" s="82">
        <v>0</v>
      </c>
      <c r="I76" s="82">
        <v>201</v>
      </c>
      <c r="J76" s="82">
        <f t="shared" si="3"/>
        <v>20</v>
      </c>
      <c r="K76" s="82"/>
      <c r="AR76" s="82" t="s">
        <v>380</v>
      </c>
      <c r="AS76" s="82" t="s">
        <v>381</v>
      </c>
      <c r="AT76" s="82"/>
    </row>
    <row r="77" spans="1:46">
      <c r="A77" s="33" t="s">
        <v>440</v>
      </c>
      <c r="C77" s="33" t="s">
        <v>387</v>
      </c>
      <c r="D77" s="33" t="s">
        <v>378</v>
      </c>
      <c r="E77" s="33" t="s">
        <v>48</v>
      </c>
      <c r="F77" s="82">
        <v>2</v>
      </c>
      <c r="G77" s="82">
        <v>4</v>
      </c>
      <c r="H77" s="82">
        <v>0</v>
      </c>
      <c r="I77" s="82">
        <v>41</v>
      </c>
      <c r="J77" s="82">
        <f t="shared" si="3"/>
        <v>4</v>
      </c>
      <c r="K77" s="82"/>
      <c r="AR77" s="82" t="s">
        <v>380</v>
      </c>
      <c r="AS77" s="82" t="s">
        <v>381</v>
      </c>
      <c r="AT77" s="82"/>
    </row>
    <row r="78" spans="1:46">
      <c r="A78" s="33" t="s">
        <v>441</v>
      </c>
      <c r="C78" s="33" t="s">
        <v>387</v>
      </c>
      <c r="D78" s="33" t="s">
        <v>378</v>
      </c>
      <c r="E78" s="33" t="s">
        <v>40</v>
      </c>
      <c r="F78" s="82">
        <v>2</v>
      </c>
      <c r="G78" s="82">
        <v>4</v>
      </c>
      <c r="H78" s="82">
        <v>0</v>
      </c>
      <c r="I78" s="82">
        <v>31</v>
      </c>
      <c r="J78" s="82">
        <f t="shared" si="3"/>
        <v>4</v>
      </c>
      <c r="K78" s="82"/>
      <c r="AR78" s="82" t="s">
        <v>380</v>
      </c>
      <c r="AS78" s="82" t="s">
        <v>381</v>
      </c>
      <c r="AT78" s="82"/>
    </row>
    <row r="79" spans="1:46">
      <c r="A79" s="33" t="s">
        <v>442</v>
      </c>
      <c r="C79" s="33" t="s">
        <v>387</v>
      </c>
      <c r="D79" s="33" t="s">
        <v>378</v>
      </c>
      <c r="E79" s="33" t="s">
        <v>44</v>
      </c>
      <c r="F79" s="82">
        <v>4</v>
      </c>
      <c r="G79" s="82">
        <v>4</v>
      </c>
      <c r="H79" s="82">
        <v>0</v>
      </c>
      <c r="I79" s="82">
        <v>36</v>
      </c>
      <c r="J79" s="82">
        <f t="shared" si="3"/>
        <v>4</v>
      </c>
      <c r="K79" s="82"/>
      <c r="AR79" s="82" t="s">
        <v>380</v>
      </c>
      <c r="AS79" s="82" t="s">
        <v>381</v>
      </c>
      <c r="AT79" s="82"/>
    </row>
    <row r="80" spans="1:46" ht="14.5">
      <c r="A80" s="33" t="s">
        <v>443</v>
      </c>
      <c r="C80" s="33" t="s">
        <v>387</v>
      </c>
      <c r="D80" s="33" t="s">
        <v>378</v>
      </c>
      <c r="E80" s="33" t="s">
        <v>247</v>
      </c>
      <c r="F80" s="82">
        <v>7</v>
      </c>
      <c r="G80" s="82">
        <v>8</v>
      </c>
      <c r="H80" s="82">
        <v>0</v>
      </c>
      <c r="I80" s="12">
        <v>111</v>
      </c>
      <c r="J80" s="82">
        <f t="shared" si="3"/>
        <v>8</v>
      </c>
      <c r="K80" s="42"/>
      <c r="L80" s="82"/>
      <c r="M80" s="82"/>
      <c r="N80" s="42"/>
      <c r="O80" s="41"/>
      <c r="P80" s="82"/>
      <c r="Q80" s="82"/>
      <c r="R80" s="82"/>
      <c r="S80" s="82"/>
      <c r="T80" s="82"/>
      <c r="U80" s="82"/>
      <c r="V80" s="82"/>
      <c r="X80" s="82"/>
      <c r="Z80" s="82"/>
      <c r="AA80" s="82"/>
      <c r="AB80" s="82"/>
      <c r="AC80" s="82"/>
      <c r="AD80" s="82"/>
      <c r="AE80" s="82"/>
      <c r="AF80" s="82"/>
      <c r="AG80" s="82"/>
      <c r="AH80" s="82"/>
      <c r="AI80" s="82"/>
      <c r="AJ80" s="82"/>
      <c r="AK80" s="82"/>
      <c r="AL80" s="82"/>
      <c r="AM80" s="82"/>
      <c r="AN80" s="82"/>
      <c r="AO80" s="82"/>
      <c r="AP80" s="82"/>
      <c r="AQ80" s="82"/>
      <c r="AR80" s="82" t="s">
        <v>380</v>
      </c>
      <c r="AS80" s="82" t="s">
        <v>381</v>
      </c>
      <c r="AT80" s="82" t="s">
        <v>381</v>
      </c>
    </row>
    <row r="81" spans="1:46" ht="14.5">
      <c r="A81" s="33" t="s">
        <v>596</v>
      </c>
      <c r="C81" s="33" t="s">
        <v>387</v>
      </c>
      <c r="D81" s="33" t="s">
        <v>378</v>
      </c>
      <c r="E81" s="33" t="s">
        <v>247</v>
      </c>
      <c r="F81" s="82">
        <v>6</v>
      </c>
      <c r="G81" s="82">
        <v>7</v>
      </c>
      <c r="H81" s="82">
        <v>0</v>
      </c>
      <c r="I81" s="12">
        <v>111</v>
      </c>
      <c r="J81" s="82">
        <f t="shared" si="3"/>
        <v>7</v>
      </c>
      <c r="K81" s="42"/>
      <c r="L81" s="82"/>
      <c r="M81" s="82"/>
      <c r="N81" s="42"/>
      <c r="O81" s="41"/>
      <c r="P81" s="82"/>
      <c r="Q81" s="82"/>
      <c r="R81" s="82"/>
      <c r="S81" s="82"/>
      <c r="T81" s="82"/>
      <c r="U81" s="82"/>
      <c r="V81" s="82"/>
      <c r="X81" s="82"/>
      <c r="Z81" s="82"/>
      <c r="AA81" s="82"/>
      <c r="AB81" s="82"/>
      <c r="AC81" s="82"/>
      <c r="AD81" s="82"/>
      <c r="AE81" s="82"/>
      <c r="AF81" s="82"/>
      <c r="AG81" s="82"/>
      <c r="AH81" s="82"/>
      <c r="AI81" s="82"/>
      <c r="AJ81" s="82"/>
      <c r="AK81" s="82"/>
      <c r="AL81" s="82"/>
      <c r="AM81" s="82"/>
      <c r="AN81" s="82"/>
      <c r="AO81" s="82"/>
      <c r="AP81" s="82"/>
      <c r="AQ81" s="82"/>
      <c r="AR81" s="82" t="s">
        <v>380</v>
      </c>
      <c r="AS81" s="82" t="s">
        <v>381</v>
      </c>
      <c r="AT81" s="82"/>
    </row>
    <row r="82" spans="1:46" ht="14.5">
      <c r="A82" s="4" t="s">
        <v>484</v>
      </c>
      <c r="B82" s="4"/>
      <c r="C82" s="4"/>
      <c r="D82" s="33" t="s">
        <v>378</v>
      </c>
      <c r="E82" s="4" t="s">
        <v>67</v>
      </c>
      <c r="F82" s="12">
        <v>2</v>
      </c>
      <c r="G82" s="12">
        <v>2</v>
      </c>
      <c r="H82" s="12">
        <v>0</v>
      </c>
      <c r="I82" s="12">
        <v>16</v>
      </c>
      <c r="J82" s="82">
        <f t="shared" si="3"/>
        <v>2</v>
      </c>
      <c r="K82" s="42"/>
      <c r="L82" s="82"/>
      <c r="M82" s="82"/>
      <c r="N82" s="42"/>
      <c r="O82" s="41"/>
      <c r="P82" s="82"/>
      <c r="Q82" s="82"/>
      <c r="R82" s="82"/>
      <c r="S82" s="82"/>
      <c r="T82" s="82"/>
      <c r="U82" s="82"/>
      <c r="V82" s="82"/>
      <c r="X82" s="82"/>
      <c r="Z82" s="82"/>
      <c r="AA82" s="82"/>
      <c r="AB82" s="82"/>
      <c r="AC82" s="82"/>
      <c r="AD82" s="82"/>
      <c r="AE82" s="82"/>
      <c r="AF82" s="82"/>
      <c r="AG82" s="82"/>
      <c r="AH82" s="82"/>
      <c r="AI82" s="82"/>
      <c r="AJ82" s="82"/>
      <c r="AK82" s="82"/>
      <c r="AL82" s="82"/>
      <c r="AM82" s="82"/>
      <c r="AN82" s="82"/>
      <c r="AO82" s="82"/>
      <c r="AP82" s="82"/>
      <c r="AQ82" s="82"/>
      <c r="AR82" s="82" t="s">
        <v>380</v>
      </c>
      <c r="AS82" s="82" t="s">
        <v>381</v>
      </c>
      <c r="AT82" s="82"/>
    </row>
    <row r="83" spans="1:46" ht="14.5">
      <c r="A83" s="4" t="s">
        <v>485</v>
      </c>
      <c r="B83" s="4"/>
      <c r="C83" s="4"/>
      <c r="D83" s="33" t="s">
        <v>378</v>
      </c>
      <c r="E83" s="4" t="s">
        <v>67</v>
      </c>
      <c r="F83" s="12">
        <v>2</v>
      </c>
      <c r="G83" s="12">
        <v>2</v>
      </c>
      <c r="H83" s="12">
        <v>0</v>
      </c>
      <c r="I83" s="12">
        <v>16</v>
      </c>
      <c r="J83" s="82">
        <f t="shared" si="3"/>
        <v>2</v>
      </c>
      <c r="K83" s="42"/>
      <c r="L83" s="82"/>
      <c r="M83" s="82"/>
      <c r="N83" s="42"/>
      <c r="O83" s="41"/>
      <c r="P83" s="82"/>
      <c r="Q83" s="82"/>
      <c r="R83" s="82"/>
      <c r="S83" s="82"/>
      <c r="T83" s="82"/>
      <c r="U83" s="82"/>
      <c r="V83" s="82"/>
      <c r="X83" s="82"/>
      <c r="Z83" s="82"/>
      <c r="AA83" s="82"/>
      <c r="AB83" s="82"/>
      <c r="AC83" s="82"/>
      <c r="AD83" s="82"/>
      <c r="AE83" s="82"/>
      <c r="AF83" s="82"/>
      <c r="AG83" s="82"/>
      <c r="AH83" s="82"/>
      <c r="AI83" s="82"/>
      <c r="AJ83" s="82"/>
      <c r="AK83" s="82"/>
      <c r="AL83" s="82"/>
      <c r="AM83" s="82"/>
      <c r="AN83" s="82"/>
      <c r="AO83" s="82"/>
      <c r="AP83" s="82"/>
      <c r="AQ83" s="82"/>
      <c r="AR83" s="82" t="s">
        <v>380</v>
      </c>
      <c r="AS83" s="82" t="s">
        <v>381</v>
      </c>
      <c r="AT83" s="82"/>
    </row>
    <row r="84" spans="1:46" ht="14.5">
      <c r="A84" s="4" t="s">
        <v>486</v>
      </c>
      <c r="B84" s="4"/>
      <c r="C84" s="4" t="s">
        <v>387</v>
      </c>
      <c r="D84" s="33" t="s">
        <v>378</v>
      </c>
      <c r="E84" s="4" t="s">
        <v>71</v>
      </c>
      <c r="F84" s="12">
        <v>6</v>
      </c>
      <c r="G84" s="12">
        <v>5</v>
      </c>
      <c r="H84" s="12">
        <v>0</v>
      </c>
      <c r="I84" s="12">
        <v>41</v>
      </c>
      <c r="J84" s="82">
        <f t="shared" si="3"/>
        <v>5</v>
      </c>
      <c r="K84" s="42"/>
      <c r="L84" s="82"/>
      <c r="M84" s="82"/>
      <c r="N84" s="42"/>
      <c r="O84" s="41"/>
      <c r="P84" s="82"/>
      <c r="Q84" s="82"/>
      <c r="R84" s="82"/>
      <c r="S84" s="82"/>
      <c r="T84" s="82"/>
      <c r="U84" s="82"/>
      <c r="V84" s="82"/>
      <c r="X84" s="82"/>
      <c r="Z84" s="82"/>
      <c r="AA84" s="82"/>
      <c r="AB84" s="82"/>
      <c r="AC84" s="82"/>
      <c r="AD84" s="82"/>
      <c r="AE84" s="82"/>
      <c r="AF84" s="82"/>
      <c r="AG84" s="82"/>
      <c r="AH84" s="82"/>
      <c r="AI84" s="82"/>
      <c r="AJ84" s="82"/>
      <c r="AK84" s="82"/>
      <c r="AL84" s="82"/>
      <c r="AM84" s="82"/>
      <c r="AN84" s="82"/>
      <c r="AO84" s="82"/>
      <c r="AP84" s="82"/>
      <c r="AQ84" s="82"/>
      <c r="AR84" s="82" t="s">
        <v>380</v>
      </c>
      <c r="AS84" s="82" t="s">
        <v>381</v>
      </c>
      <c r="AT84" s="82"/>
    </row>
    <row r="85" spans="1:46" ht="14.5">
      <c r="A85" s="4" t="s">
        <v>487</v>
      </c>
      <c r="B85" s="4"/>
      <c r="C85" s="4"/>
      <c r="D85" s="33" t="s">
        <v>378</v>
      </c>
      <c r="E85" s="4" t="s">
        <v>75</v>
      </c>
      <c r="F85" s="12">
        <v>2</v>
      </c>
      <c r="G85" s="12">
        <v>2</v>
      </c>
      <c r="H85" s="12">
        <v>0</v>
      </c>
      <c r="I85" s="12">
        <v>31</v>
      </c>
      <c r="J85" s="12">
        <f t="shared" si="3"/>
        <v>2</v>
      </c>
      <c r="K85" s="42"/>
      <c r="L85" s="82"/>
      <c r="M85" s="82"/>
      <c r="N85" s="42"/>
      <c r="O85" s="41"/>
      <c r="P85" s="82"/>
      <c r="Q85" s="82"/>
      <c r="R85" s="82"/>
      <c r="S85" s="82"/>
      <c r="T85" s="82"/>
      <c r="U85" s="82"/>
      <c r="V85" s="82"/>
      <c r="X85" s="82"/>
      <c r="Z85" s="82"/>
      <c r="AA85" s="82"/>
      <c r="AB85" s="82"/>
      <c r="AC85" s="82"/>
      <c r="AD85" s="82"/>
      <c r="AE85" s="82"/>
      <c r="AF85" s="82"/>
      <c r="AG85" s="82"/>
      <c r="AH85" s="82"/>
      <c r="AI85" s="82"/>
      <c r="AJ85" s="82"/>
      <c r="AK85" s="82"/>
      <c r="AL85" s="82"/>
      <c r="AM85" s="82"/>
      <c r="AN85" s="82"/>
      <c r="AO85" s="82"/>
      <c r="AP85" s="82"/>
      <c r="AQ85" s="82"/>
      <c r="AR85" s="82" t="s">
        <v>380</v>
      </c>
      <c r="AS85" s="82" t="s">
        <v>381</v>
      </c>
      <c r="AT85" s="82"/>
    </row>
    <row r="86" spans="1:46" s="4" customFormat="1" ht="13.5" customHeight="1">
      <c r="A86" s="4" t="s">
        <v>444</v>
      </c>
      <c r="D86" s="4" t="s">
        <v>445</v>
      </c>
      <c r="E86" s="4" t="str">
        <f>IF(F56&lt;&gt;"4TB","AVE 2TB (Avamar Virtual Edition)","AVE 4TB (Avamar Virtual Edition)")</f>
        <v>AVE 2TB (Avamar Virtual Edition)</v>
      </c>
      <c r="F86" s="12">
        <f>IF(F56&lt;&gt;"4TB",4,6)</f>
        <v>4</v>
      </c>
      <c r="G86" s="12">
        <f>IF(F56&lt;&gt;"4TB",16,36)</f>
        <v>16</v>
      </c>
      <c r="H86" s="12">
        <v>0</v>
      </c>
      <c r="I86" s="12">
        <v>150</v>
      </c>
      <c r="J86" s="12">
        <f t="shared" si="3"/>
        <v>16</v>
      </c>
      <c r="K86" s="12" t="s">
        <v>179</v>
      </c>
      <c r="L86" s="12"/>
      <c r="M86" s="12"/>
      <c r="N86" s="1"/>
      <c r="O86"/>
      <c r="P86" s="12"/>
      <c r="Q86" s="12"/>
      <c r="R86" s="12"/>
      <c r="S86" s="12"/>
      <c r="T86" s="12"/>
      <c r="U86" s="12"/>
      <c r="V86" s="12">
        <f>IF(F56&lt;&gt;"4TB",3000,6000)</f>
        <v>3000</v>
      </c>
      <c r="W86" s="12" t="s">
        <v>179</v>
      </c>
      <c r="X86" s="12"/>
      <c r="AR86" s="12"/>
      <c r="AS86" s="12"/>
      <c r="AT86" s="12"/>
    </row>
    <row r="87" spans="1:46" s="4" customFormat="1" ht="13.5" customHeight="1">
      <c r="A87" s="4" t="s">
        <v>447</v>
      </c>
      <c r="D87" s="4" t="s">
        <v>445</v>
      </c>
      <c r="E87" s="4" t="s">
        <v>448</v>
      </c>
      <c r="F87" s="12">
        <f>IF(F56&lt;&gt;"4TB",4,4)</f>
        <v>4</v>
      </c>
      <c r="G87" s="12">
        <f>IF(F56&lt;&gt;"4TB",4,4)</f>
        <v>4</v>
      </c>
      <c r="H87" s="12">
        <v>0</v>
      </c>
      <c r="I87" s="12">
        <v>21</v>
      </c>
      <c r="J87" s="12">
        <f t="shared" si="3"/>
        <v>4</v>
      </c>
      <c r="K87" s="12" t="s">
        <v>179</v>
      </c>
      <c r="L87" s="12"/>
      <c r="M87" s="12"/>
      <c r="N87" s="1"/>
      <c r="O87"/>
      <c r="P87" s="12"/>
      <c r="Q87" s="12"/>
      <c r="R87" s="12"/>
      <c r="S87" s="12"/>
      <c r="T87" s="12"/>
      <c r="U87" s="12"/>
      <c r="V87" s="12"/>
      <c r="W87" s="12"/>
      <c r="X87" s="12"/>
      <c r="AR87" s="12"/>
      <c r="AS87" s="12"/>
      <c r="AT87" s="12"/>
    </row>
    <row r="88" spans="1:46" s="4" customFormat="1" ht="13.5" customHeight="1">
      <c r="A88" s="4" t="s">
        <v>572</v>
      </c>
      <c r="D88" s="4" t="s">
        <v>445</v>
      </c>
      <c r="E88" s="4" t="s">
        <v>573</v>
      </c>
      <c r="F88" s="12">
        <f>IF(F56&lt;&gt;"4TB",0,4)</f>
        <v>0</v>
      </c>
      <c r="G88" s="12">
        <f>IF(F56&lt;&gt;"4TB",0,4)</f>
        <v>0</v>
      </c>
      <c r="H88" s="12">
        <v>0</v>
      </c>
      <c r="I88" s="12">
        <f>IF(F56&lt;&gt;"4TB",0,21)</f>
        <v>0</v>
      </c>
      <c r="J88" s="12">
        <f t="shared" si="3"/>
        <v>0</v>
      </c>
      <c r="K88" s="12" t="s">
        <v>179</v>
      </c>
      <c r="L88" s="12"/>
      <c r="M88" s="12"/>
      <c r="N88" s="1"/>
      <c r="O88"/>
      <c r="P88" s="12"/>
      <c r="Q88" s="12"/>
      <c r="R88" s="12"/>
      <c r="S88" s="12"/>
      <c r="T88" s="12"/>
      <c r="U88" s="12"/>
      <c r="V88" s="12"/>
      <c r="W88" s="12"/>
      <c r="X88" s="12"/>
      <c r="AR88" s="12"/>
      <c r="AS88" s="12"/>
      <c r="AT88" s="12"/>
    </row>
    <row r="89" spans="1:46" s="4" customFormat="1" ht="13.5" customHeight="1">
      <c r="A89" s="4" t="s">
        <v>488</v>
      </c>
      <c r="C89" s="4" t="s">
        <v>387</v>
      </c>
      <c r="D89" s="4" t="s">
        <v>378</v>
      </c>
      <c r="E89" s="4" t="s">
        <v>87</v>
      </c>
      <c r="F89" s="12">
        <v>10</v>
      </c>
      <c r="G89" s="12">
        <v>32</v>
      </c>
      <c r="H89" s="12">
        <v>0</v>
      </c>
      <c r="I89" s="12">
        <v>71</v>
      </c>
      <c r="J89" s="12">
        <f t="shared" si="3"/>
        <v>32</v>
      </c>
      <c r="K89" s="12"/>
      <c r="L89" s="12"/>
      <c r="M89" s="12"/>
      <c r="N89" s="1"/>
      <c r="O89"/>
      <c r="P89" s="12"/>
      <c r="Q89" s="12"/>
      <c r="R89" s="12"/>
      <c r="S89" s="12"/>
      <c r="T89" s="12"/>
      <c r="U89" s="12"/>
      <c r="V89" s="12"/>
      <c r="W89" s="12"/>
      <c r="X89" s="12"/>
      <c r="AF89" s="12">
        <v>225</v>
      </c>
      <c r="AG89" s="82" t="s">
        <v>489</v>
      </c>
      <c r="AH89" s="82"/>
      <c r="AI89" s="82"/>
      <c r="AJ89" s="82"/>
      <c r="AK89" s="82"/>
      <c r="AL89" s="82"/>
      <c r="AM89" s="82"/>
      <c r="AN89" s="82"/>
      <c r="AO89" s="82"/>
      <c r="AR89" s="12" t="s">
        <v>380</v>
      </c>
      <c r="AS89" s="12" t="s">
        <v>381</v>
      </c>
      <c r="AT89" s="12"/>
    </row>
    <row r="90" spans="1:46" s="4" customFormat="1" ht="13.5" customHeight="1">
      <c r="A90" s="4" t="s">
        <v>490</v>
      </c>
      <c r="C90" s="4" t="s">
        <v>387</v>
      </c>
      <c r="D90" s="4" t="s">
        <v>378</v>
      </c>
      <c r="E90" s="4" t="s">
        <v>99</v>
      </c>
      <c r="F90" s="12">
        <v>2</v>
      </c>
      <c r="G90" s="12">
        <v>10</v>
      </c>
      <c r="H90" s="12">
        <v>0</v>
      </c>
      <c r="I90" s="12">
        <v>60</v>
      </c>
      <c r="J90" s="12">
        <f t="shared" ref="J90:J92" si="4">G90-H90</f>
        <v>10</v>
      </c>
      <c r="K90" s="12"/>
      <c r="L90" s="12"/>
      <c r="M90" s="12"/>
      <c r="N90" s="1"/>
      <c r="O90"/>
      <c r="P90" s="12"/>
      <c r="Q90" s="12"/>
      <c r="R90" s="12"/>
      <c r="S90" s="12"/>
      <c r="T90" s="12"/>
      <c r="U90" s="12"/>
      <c r="V90" s="12"/>
      <c r="W90" s="12"/>
      <c r="X90" s="12"/>
      <c r="AF90" s="12"/>
      <c r="AG90" s="82"/>
      <c r="AH90" s="82"/>
      <c r="AI90" s="82"/>
      <c r="AJ90" s="82"/>
      <c r="AK90" s="82"/>
      <c r="AL90" s="82"/>
      <c r="AM90" s="82"/>
      <c r="AN90" s="82"/>
      <c r="AO90" s="82"/>
      <c r="AR90" s="12" t="s">
        <v>380</v>
      </c>
      <c r="AS90" s="12" t="s">
        <v>381</v>
      </c>
      <c r="AT90" s="12"/>
    </row>
    <row r="91" spans="1:46" s="4" customFormat="1" ht="13.5" customHeight="1">
      <c r="A91" s="4" t="s">
        <v>491</v>
      </c>
      <c r="C91" s="4" t="s">
        <v>387</v>
      </c>
      <c r="D91" s="4" t="s">
        <v>378</v>
      </c>
      <c r="E91" s="4" t="s">
        <v>102</v>
      </c>
      <c r="F91" s="12">
        <v>16</v>
      </c>
      <c r="G91" s="12">
        <v>32</v>
      </c>
      <c r="H91" s="12">
        <v>0</v>
      </c>
      <c r="I91" s="12">
        <v>70</v>
      </c>
      <c r="J91" s="12">
        <f t="shared" si="4"/>
        <v>32</v>
      </c>
      <c r="K91" s="82" t="s">
        <v>469</v>
      </c>
      <c r="N91" s="93"/>
      <c r="O91"/>
      <c r="P91" s="12"/>
      <c r="Q91" s="12"/>
      <c r="R91" s="12"/>
      <c r="S91" s="12"/>
      <c r="T91" s="12"/>
      <c r="U91" s="12"/>
      <c r="V91" s="128"/>
      <c r="W91" s="128"/>
      <c r="X91" s="12"/>
      <c r="AJ91" s="12">
        <v>135</v>
      </c>
      <c r="AK91" s="12" t="s">
        <v>492</v>
      </c>
      <c r="AL91" s="12">
        <v>5</v>
      </c>
      <c r="AM91" s="12" t="s">
        <v>492</v>
      </c>
      <c r="AN91" s="12"/>
      <c r="AR91" s="12"/>
      <c r="AS91" s="12"/>
      <c r="AT91" s="12"/>
    </row>
    <row r="92" spans="1:46" s="17" customFormat="1" ht="13.5" customHeight="1">
      <c r="A92" s="17" t="s">
        <v>493</v>
      </c>
      <c r="C92" s="17" t="s">
        <v>387</v>
      </c>
      <c r="D92" s="17" t="s">
        <v>378</v>
      </c>
      <c r="E92" s="17" t="s">
        <v>102</v>
      </c>
      <c r="F92" s="15">
        <v>16</v>
      </c>
      <c r="G92" s="15">
        <v>32</v>
      </c>
      <c r="H92" s="15">
        <v>0</v>
      </c>
      <c r="I92" s="15">
        <v>70</v>
      </c>
      <c r="J92" s="15">
        <f t="shared" si="4"/>
        <v>32</v>
      </c>
      <c r="K92" s="36" t="s">
        <v>470</v>
      </c>
      <c r="N92" s="94"/>
      <c r="O92" s="95"/>
      <c r="P92" s="15"/>
      <c r="Q92" s="15"/>
      <c r="R92" s="15"/>
      <c r="S92" s="15"/>
      <c r="T92" s="15"/>
      <c r="U92" s="15"/>
      <c r="V92" s="129"/>
      <c r="W92" s="129"/>
      <c r="X92" s="15"/>
      <c r="AJ92" s="15"/>
      <c r="AK92" s="15"/>
      <c r="AL92" s="15"/>
      <c r="AN92" s="15">
        <v>760</v>
      </c>
      <c r="AO92" s="15" t="s">
        <v>492</v>
      </c>
      <c r="AR92" s="15"/>
      <c r="AS92" s="15"/>
      <c r="AT92" s="15"/>
    </row>
    <row r="93" spans="1:46">
      <c r="F93" s="82">
        <f>SUM(F59:F92)+F46</f>
        <v>402</v>
      </c>
      <c r="G93" s="82">
        <f>SUM(G59:G92)+G46</f>
        <v>1091</v>
      </c>
      <c r="H93" s="82">
        <f>SUM(H59:H92)+H46</f>
        <v>375.25</v>
      </c>
      <c r="I93" s="82">
        <f>SUM(I59:I92)+I46</f>
        <v>6570</v>
      </c>
      <c r="J93" s="82"/>
      <c r="K93" s="82"/>
      <c r="L93" s="82">
        <f>SUM(L59:L92)+L46</f>
        <v>130</v>
      </c>
      <c r="M93" s="82"/>
      <c r="N93" s="82">
        <f>SUM(N59:N92)+N46</f>
        <v>2500</v>
      </c>
      <c r="O93" s="82"/>
      <c r="P93" s="82">
        <f>SUM(P59:P92)+P46</f>
        <v>3750</v>
      </c>
      <c r="Q93" s="82"/>
      <c r="R93" s="82">
        <f>SUM(R59:R92)+R46</f>
        <v>720</v>
      </c>
      <c r="S93" s="82"/>
      <c r="T93" s="82">
        <f>SUM(T59:T92)+T46</f>
        <v>300</v>
      </c>
      <c r="U93" s="82"/>
      <c r="V93" s="82">
        <f>SUM(V59:V92)+V46</f>
        <v>3000</v>
      </c>
      <c r="W93" s="82"/>
      <c r="X93" s="82">
        <f>SUM(X59:X92)+X46</f>
        <v>11715</v>
      </c>
      <c r="Z93" s="82">
        <f>SUM(Z59:Z92)+Z46</f>
        <v>200</v>
      </c>
      <c r="AB93" s="82">
        <f>SUM(AB59:AB92)+AB46</f>
        <v>50</v>
      </c>
      <c r="AD93" s="82">
        <f>SUM(AD59:AD92)+AD46</f>
        <v>170</v>
      </c>
      <c r="AF93" s="82">
        <f>SUM(AF59:AF92)+AF46</f>
        <v>225</v>
      </c>
      <c r="AH93" s="82">
        <f>SUM(AH59:AH92)+AH46</f>
        <v>200</v>
      </c>
      <c r="AJ93" s="82">
        <f>SUM(AJ59:AJ92)+AJ46</f>
        <v>135</v>
      </c>
      <c r="AL93" s="82">
        <f>SUM(AL59:AL92)+AL46</f>
        <v>5</v>
      </c>
      <c r="AN93" s="82">
        <f>SUM(AN59:AN92)+AN46</f>
        <v>760</v>
      </c>
      <c r="AP93" s="82">
        <f>SUM(AP59:AP92)+AP46</f>
        <v>3700</v>
      </c>
      <c r="AS93" s="82" t="s">
        <v>597</v>
      </c>
      <c r="AT93" s="82">
        <f>3</f>
        <v>3</v>
      </c>
    </row>
    <row r="94" spans="1:46">
      <c r="F94" s="82"/>
      <c r="G94" s="82"/>
      <c r="H94" s="82"/>
      <c r="I94" s="82"/>
      <c r="J94" s="82"/>
      <c r="K94" s="82"/>
      <c r="L94" s="82"/>
      <c r="M94" s="82"/>
      <c r="N94" s="82"/>
      <c r="O94" s="82"/>
      <c r="P94" s="82"/>
      <c r="Q94" s="82"/>
      <c r="R94" s="82"/>
      <c r="S94" s="82"/>
      <c r="T94" s="82"/>
      <c r="U94" s="82"/>
      <c r="V94" s="82"/>
      <c r="W94" s="82"/>
      <c r="X94" s="82"/>
      <c r="Z94" s="82"/>
      <c r="AS94" s="82"/>
      <c r="AT94" s="82"/>
    </row>
    <row r="95" spans="1:46" ht="13">
      <c r="A95" s="14" t="s">
        <v>495</v>
      </c>
      <c r="F95" s="82"/>
      <c r="G95" s="82"/>
      <c r="H95" s="82"/>
      <c r="I95" s="82"/>
      <c r="J95" s="82"/>
      <c r="K95" s="82"/>
      <c r="L95" s="82"/>
      <c r="M95" s="82"/>
      <c r="N95" s="82"/>
      <c r="O95" s="82"/>
      <c r="P95" s="82"/>
      <c r="Q95" s="82"/>
      <c r="R95" s="82"/>
      <c r="S95" s="82"/>
      <c r="T95" s="82"/>
      <c r="U95" s="82"/>
      <c r="V95" s="82"/>
      <c r="W95" s="82"/>
      <c r="X95" s="82"/>
      <c r="Z95" s="82"/>
      <c r="AS95" s="82"/>
      <c r="AT95" s="82"/>
    </row>
    <row r="96" spans="1:46" s="4" customFormat="1" ht="13.5" customHeight="1">
      <c r="A96" s="4" t="s">
        <v>496</v>
      </c>
      <c r="C96" s="4" t="s">
        <v>497</v>
      </c>
      <c r="D96" s="4" t="s">
        <v>445</v>
      </c>
      <c r="E96" s="4" t="s">
        <v>498</v>
      </c>
      <c r="F96" s="12">
        <v>4</v>
      </c>
      <c r="G96" s="12">
        <v>4</v>
      </c>
      <c r="H96" s="12">
        <v>0</v>
      </c>
      <c r="I96" s="12">
        <v>25</v>
      </c>
      <c r="J96" s="12">
        <f>G96-H96</f>
        <v>4</v>
      </c>
      <c r="K96" s="82" t="s">
        <v>499</v>
      </c>
      <c r="N96" s="93"/>
      <c r="O96"/>
      <c r="P96" s="12"/>
      <c r="Q96" s="12"/>
      <c r="R96" s="12"/>
      <c r="S96" s="12"/>
      <c r="T96" s="12"/>
      <c r="U96" s="12"/>
      <c r="V96" s="128"/>
      <c r="W96" s="128"/>
      <c r="X96" s="12"/>
      <c r="AR96" s="12" t="s">
        <v>380</v>
      </c>
      <c r="AS96" s="12" t="s">
        <v>381</v>
      </c>
      <c r="AT96" s="12"/>
    </row>
    <row r="97" spans="1:46" s="17" customFormat="1" ht="13.5" customHeight="1">
      <c r="A97" s="17" t="s">
        <v>500</v>
      </c>
      <c r="C97" s="17" t="s">
        <v>497</v>
      </c>
      <c r="D97" s="17" t="s">
        <v>445</v>
      </c>
      <c r="E97" s="17" t="s">
        <v>501</v>
      </c>
      <c r="F97" s="15">
        <v>4</v>
      </c>
      <c r="G97" s="15">
        <v>4</v>
      </c>
      <c r="H97" s="15">
        <v>0</v>
      </c>
      <c r="I97" s="15">
        <v>25</v>
      </c>
      <c r="J97" s="15">
        <f>G97-H97</f>
        <v>4</v>
      </c>
      <c r="K97" s="36" t="s">
        <v>499</v>
      </c>
      <c r="V97" s="129"/>
      <c r="W97" s="129"/>
      <c r="AR97" s="15" t="s">
        <v>380</v>
      </c>
      <c r="AS97" s="15" t="s">
        <v>381</v>
      </c>
    </row>
    <row r="98" spans="1:46" s="4" customFormat="1">
      <c r="F98" s="12">
        <f>SUM(F96:F97)+F93</f>
        <v>410</v>
      </c>
      <c r="G98" s="12">
        <f>SUM(G96:G97)+G93</f>
        <v>1099</v>
      </c>
      <c r="H98" s="12">
        <f>SUM(H96:H97)+H93</f>
        <v>375.25</v>
      </c>
      <c r="I98" s="12">
        <f>SUM(I96:I97)+I93</f>
        <v>6620</v>
      </c>
      <c r="J98" s="12"/>
      <c r="K98" s="12"/>
      <c r="L98" s="12">
        <f>SUM(L96:L97)+L93</f>
        <v>130</v>
      </c>
      <c r="M98" s="12"/>
      <c r="N98" s="12">
        <f>SUM(N96:N97)+N93</f>
        <v>2500</v>
      </c>
      <c r="O98" s="12"/>
      <c r="P98" s="12">
        <f>SUM(P96:P97)+P93</f>
        <v>3750</v>
      </c>
      <c r="Q98" s="12"/>
      <c r="R98" s="12">
        <f>SUM(R96:R97)+R93</f>
        <v>720</v>
      </c>
      <c r="S98" s="12"/>
      <c r="T98" s="12">
        <f>SUM(T96:T97)+T93</f>
        <v>300</v>
      </c>
      <c r="U98" s="12"/>
      <c r="V98" s="12">
        <f>SUM(V96:V97)+V93</f>
        <v>3000</v>
      </c>
      <c r="W98" s="12"/>
      <c r="X98" s="12">
        <f>SUM(X96:X97)+X93</f>
        <v>11715</v>
      </c>
      <c r="Z98" s="12">
        <f>SUM(Z96:Z97)+Z93</f>
        <v>200</v>
      </c>
      <c r="AB98" s="12">
        <f>SUM(AB96:AB97)+AB93</f>
        <v>50</v>
      </c>
      <c r="AD98" s="12">
        <f>SUM(AD96:AD97)+AD93</f>
        <v>170</v>
      </c>
      <c r="AF98" s="12">
        <f>SUM(AF96:AF97)+AF93</f>
        <v>225</v>
      </c>
      <c r="AH98" s="12">
        <f>SUM(AH96:AH97)+AH93</f>
        <v>200</v>
      </c>
      <c r="AJ98" s="12">
        <f>SUM(AJ96:AJ97)+AJ93</f>
        <v>135</v>
      </c>
      <c r="AL98" s="12">
        <f>SUM(AL96:AL97)+AL93</f>
        <v>5</v>
      </c>
      <c r="AN98" s="12">
        <f>SUM(AN96:AN97)+AN93</f>
        <v>760</v>
      </c>
      <c r="AP98" s="12">
        <f>SUM(AP96:AP97)+AP93</f>
        <v>3700</v>
      </c>
      <c r="AS98" s="12" t="s">
        <v>598</v>
      </c>
      <c r="AT98" s="12">
        <f>3</f>
        <v>3</v>
      </c>
    </row>
    <row r="100" spans="1:46" ht="13">
      <c r="A100" s="14" t="s">
        <v>503</v>
      </c>
    </row>
    <row r="101" spans="1:46">
      <c r="A101" s="4" t="s">
        <v>504</v>
      </c>
      <c r="B101" s="4"/>
      <c r="C101" s="4" t="s">
        <v>505</v>
      </c>
      <c r="D101" s="4" t="s">
        <v>506</v>
      </c>
      <c r="E101" s="4" t="s">
        <v>19</v>
      </c>
      <c r="F101" s="12">
        <v>2</v>
      </c>
      <c r="G101" s="12">
        <v>4</v>
      </c>
      <c r="H101" s="12">
        <v>4</v>
      </c>
      <c r="I101" s="12">
        <v>350</v>
      </c>
      <c r="J101" s="12">
        <f t="shared" ref="J101:J106" si="5">G101-H101</f>
        <v>0</v>
      </c>
      <c r="K101" s="82" t="s">
        <v>507</v>
      </c>
      <c r="L101" s="82"/>
      <c r="M101" s="82"/>
      <c r="N101" s="82"/>
      <c r="O101" s="82"/>
      <c r="P101" s="82"/>
      <c r="Q101" s="82"/>
      <c r="R101" s="82"/>
      <c r="S101" s="82"/>
      <c r="T101" s="82"/>
      <c r="U101" s="82"/>
      <c r="V101" s="82"/>
      <c r="Z101" s="82"/>
      <c r="AA101" s="82"/>
      <c r="AB101" s="82"/>
      <c r="AC101" s="82"/>
      <c r="AD101" s="82"/>
      <c r="AE101" s="82"/>
      <c r="AF101" s="82"/>
      <c r="AG101" s="82"/>
      <c r="AH101" s="82"/>
      <c r="AI101" s="82"/>
      <c r="AJ101" s="82"/>
      <c r="AK101" s="82"/>
      <c r="AL101" s="82"/>
      <c r="AM101" s="82"/>
      <c r="AN101" s="82"/>
      <c r="AO101" s="82"/>
      <c r="AP101" s="82"/>
      <c r="AQ101" s="82"/>
      <c r="AR101" s="82" t="s">
        <v>380</v>
      </c>
      <c r="AS101" s="82" t="s">
        <v>381</v>
      </c>
      <c r="AT101" s="82"/>
    </row>
    <row r="102" spans="1:46">
      <c r="A102" s="4" t="s">
        <v>509</v>
      </c>
      <c r="B102" s="4"/>
      <c r="C102" s="4" t="s">
        <v>505</v>
      </c>
      <c r="D102" s="4" t="s">
        <v>506</v>
      </c>
      <c r="E102" s="4" t="s">
        <v>510</v>
      </c>
      <c r="F102" s="12">
        <v>6</v>
      </c>
      <c r="G102" s="12">
        <v>10</v>
      </c>
      <c r="H102" s="12">
        <v>10</v>
      </c>
      <c r="I102" s="12">
        <v>100</v>
      </c>
      <c r="J102" s="12">
        <f t="shared" si="5"/>
        <v>0</v>
      </c>
      <c r="K102" s="82" t="s">
        <v>507</v>
      </c>
      <c r="L102" s="82"/>
      <c r="M102" s="82"/>
      <c r="N102" s="82">
        <v>200</v>
      </c>
      <c r="O102" s="82" t="s">
        <v>508</v>
      </c>
      <c r="P102" s="82"/>
      <c r="Q102" s="82"/>
      <c r="R102" s="82"/>
      <c r="S102" s="82"/>
      <c r="T102" s="82"/>
      <c r="U102" s="82"/>
      <c r="V102" s="82"/>
      <c r="Z102" s="82"/>
      <c r="AA102" s="82"/>
      <c r="AB102" s="82"/>
      <c r="AC102" s="82"/>
      <c r="AD102" s="82"/>
      <c r="AE102" s="82"/>
      <c r="AF102" s="82"/>
      <c r="AG102" s="82"/>
      <c r="AH102" s="82"/>
      <c r="AI102" s="82"/>
      <c r="AJ102" s="82"/>
      <c r="AK102" s="82"/>
      <c r="AL102" s="82"/>
      <c r="AM102" s="82"/>
      <c r="AN102" s="82"/>
      <c r="AO102" s="82"/>
      <c r="AP102" s="82"/>
      <c r="AQ102" s="82"/>
      <c r="AR102" s="82" t="s">
        <v>380</v>
      </c>
      <c r="AS102" s="82" t="s">
        <v>381</v>
      </c>
      <c r="AT102" s="82"/>
    </row>
    <row r="103" spans="1:46">
      <c r="A103" s="4" t="s">
        <v>511</v>
      </c>
      <c r="B103" s="4"/>
      <c r="C103" s="4" t="s">
        <v>505</v>
      </c>
      <c r="D103" s="4" t="s">
        <v>506</v>
      </c>
      <c r="E103" s="4" t="s">
        <v>512</v>
      </c>
      <c r="F103" s="12">
        <v>8</v>
      </c>
      <c r="G103" s="12">
        <v>16</v>
      </c>
      <c r="H103" s="12">
        <v>16</v>
      </c>
      <c r="I103" s="12">
        <v>60</v>
      </c>
      <c r="J103" s="12">
        <f t="shared" si="5"/>
        <v>0</v>
      </c>
      <c r="K103" s="82" t="s">
        <v>513</v>
      </c>
      <c r="L103" s="82"/>
      <c r="M103" s="82"/>
      <c r="N103" s="82"/>
      <c r="O103" s="82"/>
      <c r="P103" s="82"/>
      <c r="Q103" s="82"/>
      <c r="R103" s="82"/>
      <c r="S103" s="82"/>
      <c r="T103" s="82"/>
      <c r="U103" s="82"/>
      <c r="V103" s="82"/>
      <c r="Z103" s="82"/>
      <c r="AA103" s="82"/>
      <c r="AB103" s="82"/>
      <c r="AC103" s="82"/>
      <c r="AD103" s="82"/>
      <c r="AE103" s="82"/>
      <c r="AF103" s="82"/>
      <c r="AG103" s="82"/>
      <c r="AH103" s="82"/>
      <c r="AI103" s="82"/>
      <c r="AJ103" s="82"/>
      <c r="AK103" s="82"/>
      <c r="AL103" s="82"/>
      <c r="AM103" s="82"/>
      <c r="AN103" s="82"/>
      <c r="AO103" s="82"/>
      <c r="AP103" s="82"/>
      <c r="AQ103" s="82"/>
      <c r="AR103" s="82" t="s">
        <v>396</v>
      </c>
      <c r="AS103" s="12" t="s">
        <v>397</v>
      </c>
      <c r="AT103" s="82"/>
    </row>
    <row r="104" spans="1:46">
      <c r="A104" s="4" t="s">
        <v>514</v>
      </c>
      <c r="B104" s="4"/>
      <c r="C104" s="4" t="s">
        <v>505</v>
      </c>
      <c r="D104" s="4" t="s">
        <v>506</v>
      </c>
      <c r="E104" s="4" t="s">
        <v>515</v>
      </c>
      <c r="F104" s="12">
        <v>10</v>
      </c>
      <c r="G104" s="12">
        <v>10</v>
      </c>
      <c r="H104" s="12">
        <v>10</v>
      </c>
      <c r="I104" s="12">
        <v>40</v>
      </c>
      <c r="J104" s="12">
        <f t="shared" si="5"/>
        <v>0</v>
      </c>
      <c r="K104" s="82" t="s">
        <v>513</v>
      </c>
      <c r="L104" s="82"/>
      <c r="M104" s="82"/>
      <c r="N104" s="82"/>
      <c r="O104" s="82"/>
      <c r="P104" s="82"/>
      <c r="Q104" s="82"/>
      <c r="R104" s="82"/>
      <c r="S104" s="82"/>
      <c r="T104" s="82"/>
      <c r="U104" s="82"/>
      <c r="V104" s="82"/>
      <c r="Z104" s="82"/>
      <c r="AA104" s="82"/>
      <c r="AB104" s="82"/>
      <c r="AC104" s="82"/>
      <c r="AD104" s="82"/>
      <c r="AE104" s="82"/>
      <c r="AF104" s="82"/>
      <c r="AG104" s="82"/>
      <c r="AH104" s="82"/>
      <c r="AI104" s="82"/>
      <c r="AJ104" s="82"/>
      <c r="AK104" s="82"/>
      <c r="AL104" s="82"/>
      <c r="AM104" s="82"/>
      <c r="AN104" s="82"/>
      <c r="AO104" s="82"/>
      <c r="AP104" s="82"/>
      <c r="AQ104" s="82"/>
      <c r="AR104" s="82" t="s">
        <v>396</v>
      </c>
      <c r="AS104" s="12" t="s">
        <v>397</v>
      </c>
      <c r="AT104" s="82"/>
    </row>
    <row r="105" spans="1:46">
      <c r="A105" s="4" t="s">
        <v>516</v>
      </c>
      <c r="B105" s="4"/>
      <c r="C105" s="4" t="s">
        <v>505</v>
      </c>
      <c r="D105" s="4" t="s">
        <v>506</v>
      </c>
      <c r="E105" s="4" t="s">
        <v>517</v>
      </c>
      <c r="F105" s="12">
        <v>4</v>
      </c>
      <c r="G105" s="12">
        <v>16</v>
      </c>
      <c r="H105" s="12">
        <v>0</v>
      </c>
      <c r="I105" s="12">
        <v>550</v>
      </c>
      <c r="J105" s="12">
        <f t="shared" si="5"/>
        <v>16</v>
      </c>
      <c r="K105" s="82" t="s">
        <v>518</v>
      </c>
      <c r="L105" s="82"/>
      <c r="M105" s="82"/>
      <c r="N105" s="82"/>
      <c r="O105" s="82"/>
      <c r="P105" s="82"/>
      <c r="Q105" s="82"/>
      <c r="R105" s="82"/>
      <c r="S105" s="82"/>
      <c r="T105" s="82"/>
      <c r="U105" s="82"/>
      <c r="V105" s="82"/>
      <c r="Z105" s="82"/>
      <c r="AA105" s="82"/>
      <c r="AB105" s="82"/>
      <c r="AC105" s="82"/>
      <c r="AD105" s="82"/>
      <c r="AE105" s="82"/>
      <c r="AF105" s="82"/>
      <c r="AG105" s="82"/>
      <c r="AH105" s="82"/>
      <c r="AI105" s="82"/>
      <c r="AJ105" s="82"/>
      <c r="AK105" s="82"/>
      <c r="AL105" s="82"/>
      <c r="AM105" s="82"/>
      <c r="AN105" s="82"/>
      <c r="AO105" s="82"/>
      <c r="AP105" s="82"/>
      <c r="AQ105" s="82"/>
      <c r="AR105" s="82" t="s">
        <v>396</v>
      </c>
      <c r="AS105" s="12" t="s">
        <v>397</v>
      </c>
      <c r="AT105" s="82"/>
    </row>
    <row r="106" spans="1:46">
      <c r="A106" s="4" t="s">
        <v>520</v>
      </c>
      <c r="B106" s="4"/>
      <c r="C106" s="4" t="s">
        <v>505</v>
      </c>
      <c r="D106" s="4" t="s">
        <v>506</v>
      </c>
      <c r="E106" s="4" t="s">
        <v>521</v>
      </c>
      <c r="F106" s="12">
        <v>2</v>
      </c>
      <c r="G106" s="12">
        <v>4</v>
      </c>
      <c r="H106" s="12">
        <v>4</v>
      </c>
      <c r="I106" s="12">
        <v>40</v>
      </c>
      <c r="J106" s="12">
        <f t="shared" si="5"/>
        <v>0</v>
      </c>
      <c r="K106" s="82" t="s">
        <v>513</v>
      </c>
      <c r="L106" s="82"/>
      <c r="M106" s="82"/>
      <c r="N106" s="82"/>
      <c r="O106" s="82"/>
      <c r="P106" s="82"/>
      <c r="Q106" s="82"/>
      <c r="R106" s="82">
        <v>50</v>
      </c>
      <c r="S106" s="82" t="s">
        <v>519</v>
      </c>
      <c r="T106" s="82"/>
      <c r="U106" s="82"/>
      <c r="V106" s="82"/>
      <c r="Z106" s="82"/>
      <c r="AA106" s="82"/>
      <c r="AB106" s="82"/>
      <c r="AC106" s="82"/>
      <c r="AD106" s="82"/>
      <c r="AE106" s="82"/>
      <c r="AF106" s="82"/>
      <c r="AG106" s="82"/>
      <c r="AH106" s="82"/>
      <c r="AI106" s="82"/>
      <c r="AJ106" s="82"/>
      <c r="AK106" s="82"/>
      <c r="AL106" s="82"/>
      <c r="AM106" s="82"/>
      <c r="AN106" s="82"/>
      <c r="AO106" s="82"/>
      <c r="AP106" s="82"/>
      <c r="AQ106" s="82"/>
      <c r="AR106" s="82" t="s">
        <v>380</v>
      </c>
      <c r="AS106" s="82" t="s">
        <v>381</v>
      </c>
      <c r="AT106" s="82"/>
    </row>
    <row r="107" spans="1:46">
      <c r="A107" s="33" t="s">
        <v>522</v>
      </c>
      <c r="C107" s="4" t="s">
        <v>523</v>
      </c>
      <c r="D107" s="33" t="s">
        <v>506</v>
      </c>
      <c r="E107" s="4" t="s">
        <v>63</v>
      </c>
      <c r="F107" s="82">
        <v>8</v>
      </c>
      <c r="G107" s="82">
        <v>32</v>
      </c>
      <c r="H107" s="12">
        <v>0</v>
      </c>
      <c r="I107" s="82">
        <v>80</v>
      </c>
      <c r="J107" s="82">
        <f>G107-H107</f>
        <v>32</v>
      </c>
      <c r="K107" s="82" t="s">
        <v>524</v>
      </c>
      <c r="L107" s="82"/>
      <c r="M107" s="82"/>
      <c r="N107" s="82"/>
      <c r="O107" s="82"/>
      <c r="P107" s="82"/>
      <c r="Q107" s="82"/>
      <c r="R107" s="82"/>
      <c r="S107" s="82"/>
      <c r="T107" s="82"/>
      <c r="U107" s="82"/>
      <c r="V107" s="82"/>
      <c r="Z107" s="82"/>
      <c r="AA107" s="82"/>
      <c r="AB107" s="82"/>
      <c r="AC107" s="82"/>
      <c r="AD107" s="82"/>
      <c r="AE107" s="82"/>
      <c r="AF107" s="82"/>
      <c r="AG107" s="82"/>
      <c r="AH107" s="82"/>
      <c r="AI107" s="82"/>
      <c r="AJ107" s="82"/>
      <c r="AK107" s="82"/>
      <c r="AL107" s="82"/>
      <c r="AM107" s="82"/>
      <c r="AN107" s="82"/>
      <c r="AO107" s="82"/>
      <c r="AP107" s="82"/>
      <c r="AQ107" s="82"/>
      <c r="AR107" s="82" t="s">
        <v>380</v>
      </c>
      <c r="AS107" s="82" t="s">
        <v>381</v>
      </c>
      <c r="AT107" s="82"/>
    </row>
    <row r="108" spans="1:46">
      <c r="A108" s="33" t="s">
        <v>525</v>
      </c>
      <c r="C108" s="4" t="s">
        <v>523</v>
      </c>
      <c r="D108" s="33" t="s">
        <v>506</v>
      </c>
      <c r="E108" s="4" t="s">
        <v>63</v>
      </c>
      <c r="F108" s="82">
        <v>8</v>
      </c>
      <c r="G108" s="82">
        <v>32</v>
      </c>
      <c r="H108" s="12">
        <v>0</v>
      </c>
      <c r="I108" s="82">
        <v>80</v>
      </c>
      <c r="J108" s="82">
        <f>G108-H108</f>
        <v>32</v>
      </c>
      <c r="K108" s="82" t="s">
        <v>524</v>
      </c>
      <c r="L108" s="82"/>
      <c r="M108" s="82"/>
      <c r="N108" s="82"/>
      <c r="O108" s="82"/>
      <c r="P108" s="82"/>
      <c r="Q108" s="82"/>
      <c r="R108" s="82"/>
      <c r="S108" s="82"/>
      <c r="T108" s="82"/>
      <c r="U108" s="82"/>
      <c r="V108" s="82"/>
      <c r="Z108" s="82"/>
      <c r="AA108" s="82"/>
      <c r="AB108" s="82"/>
      <c r="AC108" s="82"/>
      <c r="AD108" s="82"/>
      <c r="AE108" s="82"/>
      <c r="AF108" s="82"/>
      <c r="AG108" s="82"/>
      <c r="AH108" s="82"/>
      <c r="AI108" s="82"/>
      <c r="AJ108" s="82"/>
      <c r="AK108" s="82"/>
      <c r="AL108" s="82"/>
      <c r="AM108" s="82"/>
      <c r="AN108" s="82"/>
      <c r="AO108" s="82"/>
      <c r="AP108" s="82"/>
      <c r="AQ108" s="82"/>
      <c r="AR108" s="82" t="s">
        <v>380</v>
      </c>
      <c r="AS108" s="82" t="s">
        <v>381</v>
      </c>
      <c r="AT108" s="82"/>
    </row>
    <row r="109" spans="1:46" s="4" customFormat="1">
      <c r="A109" s="4" t="s">
        <v>526</v>
      </c>
      <c r="C109" s="4" t="s">
        <v>527</v>
      </c>
      <c r="D109" s="4" t="s">
        <v>528</v>
      </c>
      <c r="E109" s="4" t="s">
        <v>529</v>
      </c>
      <c r="F109" s="12">
        <v>4</v>
      </c>
      <c r="G109" s="12">
        <v>8</v>
      </c>
      <c r="H109" s="12">
        <v>0</v>
      </c>
      <c r="I109" s="12">
        <v>30</v>
      </c>
      <c r="J109" s="12">
        <f>G109-H109</f>
        <v>8</v>
      </c>
      <c r="K109" s="82" t="s">
        <v>530</v>
      </c>
      <c r="L109" s="82"/>
      <c r="M109" s="82"/>
      <c r="N109" s="82"/>
      <c r="O109" s="82"/>
      <c r="P109" s="82"/>
      <c r="Q109" s="82"/>
      <c r="R109" s="82"/>
      <c r="S109" s="82"/>
      <c r="T109" s="82"/>
      <c r="U109" s="82"/>
      <c r="V109" s="12"/>
      <c r="W109" s="12"/>
      <c r="X109" s="12"/>
      <c r="AR109" s="12" t="s">
        <v>380</v>
      </c>
      <c r="AS109" s="12" t="s">
        <v>381</v>
      </c>
      <c r="AT109" s="12"/>
    </row>
    <row r="110" spans="1:46" s="17" customFormat="1">
      <c r="A110" s="17" t="s">
        <v>531</v>
      </c>
      <c r="C110" s="17" t="s">
        <v>532</v>
      </c>
      <c r="D110" s="17" t="s">
        <v>378</v>
      </c>
      <c r="E110" s="17" t="s">
        <v>83</v>
      </c>
      <c r="F110" s="15">
        <v>8</v>
      </c>
      <c r="G110" s="15">
        <v>6</v>
      </c>
      <c r="H110" s="15">
        <v>0</v>
      </c>
      <c r="I110" s="15">
        <v>70</v>
      </c>
      <c r="J110" s="15">
        <f t="shared" ref="J110" si="6">G110-H110</f>
        <v>6</v>
      </c>
      <c r="K110" s="36" t="s">
        <v>533</v>
      </c>
      <c r="L110" s="36"/>
      <c r="M110" s="36"/>
      <c r="N110" s="36"/>
      <c r="O110" s="36"/>
      <c r="P110" s="36"/>
      <c r="Q110" s="36"/>
      <c r="R110" s="36"/>
      <c r="S110" s="36"/>
      <c r="T110" s="36"/>
      <c r="U110" s="36"/>
      <c r="V110" s="15"/>
      <c r="W110" s="15"/>
      <c r="X110" s="15"/>
      <c r="AR110" s="15" t="s">
        <v>380</v>
      </c>
      <c r="AS110" s="15" t="s">
        <v>381</v>
      </c>
      <c r="AT110" s="15"/>
    </row>
    <row r="111" spans="1:46" s="37" customFormat="1">
      <c r="F111" s="38">
        <f>SUM(F101:F110)+F98</f>
        <v>470</v>
      </c>
      <c r="G111" s="38">
        <f>SUM(G101:G110)+G98</f>
        <v>1237</v>
      </c>
      <c r="H111" s="38">
        <f>SUM(H101:H110)+H98</f>
        <v>419.25</v>
      </c>
      <c r="I111" s="38">
        <f>SUM(I101:I110)+I98</f>
        <v>8020</v>
      </c>
      <c r="J111" s="38"/>
      <c r="K111" s="38"/>
      <c r="L111" s="38">
        <f>SUM(L101:L110)+L98</f>
        <v>130</v>
      </c>
      <c r="M111" s="38"/>
      <c r="N111" s="38">
        <f>SUM(N101:N110)+N98</f>
        <v>2700</v>
      </c>
      <c r="O111" s="38"/>
      <c r="P111" s="38">
        <f>SUM(P101:P110)+P98</f>
        <v>3750</v>
      </c>
      <c r="Q111" s="38"/>
      <c r="R111" s="38">
        <f>SUM(R101:R110)+R98</f>
        <v>770</v>
      </c>
      <c r="S111" s="38"/>
      <c r="T111" s="38">
        <f>SUM(T101:T110)+T98</f>
        <v>300</v>
      </c>
      <c r="U111" s="38"/>
      <c r="V111" s="38">
        <f>SUM(V101:V110)+V98</f>
        <v>3000</v>
      </c>
      <c r="W111" s="38"/>
      <c r="X111" s="38">
        <f>SUM(X101:X110)+X98</f>
        <v>11715</v>
      </c>
      <c r="Y111" s="38"/>
      <c r="Z111" s="38">
        <f>SUM(Z101:Z110)+Z98</f>
        <v>200</v>
      </c>
      <c r="AA111" s="38"/>
      <c r="AB111" s="38">
        <f>SUM(AB101:AB110)+AB98</f>
        <v>50</v>
      </c>
      <c r="AC111" s="38"/>
      <c r="AD111" s="38">
        <f>SUM(AD101:AD110)+AD98</f>
        <v>170</v>
      </c>
      <c r="AE111" s="38"/>
      <c r="AF111" s="38">
        <f>SUM(AF101:AF110)+AF98</f>
        <v>225</v>
      </c>
      <c r="AG111" s="38"/>
      <c r="AH111" s="38">
        <f>SUM(AH101:AH110)+AH98</f>
        <v>200</v>
      </c>
      <c r="AI111" s="38"/>
      <c r="AJ111" s="38">
        <f>SUM(AJ101:AJ110)+AJ98</f>
        <v>135</v>
      </c>
      <c r="AK111" s="38"/>
      <c r="AL111" s="38">
        <f>SUM(AL101:AL110)+AL98</f>
        <v>5</v>
      </c>
      <c r="AM111" s="38"/>
      <c r="AN111" s="38">
        <f>SUM(AN101:AN110)+AN98</f>
        <v>760</v>
      </c>
      <c r="AO111" s="38"/>
      <c r="AP111" s="38">
        <f>SUM(AP101:AP110)+AP98</f>
        <v>3700</v>
      </c>
      <c r="AQ111" s="38"/>
      <c r="AR111" s="38"/>
      <c r="AS111" s="38" t="s">
        <v>599</v>
      </c>
      <c r="AT111" s="38">
        <v>3</v>
      </c>
    </row>
    <row r="114" spans="1:5" ht="14.5">
      <c r="A114" s="175" t="s">
        <v>368</v>
      </c>
      <c r="B114" s="171"/>
      <c r="C114" s="171"/>
    </row>
    <row r="115" spans="1:5" ht="13">
      <c r="A115" s="123" t="s">
        <v>450</v>
      </c>
      <c r="B115" s="123" t="s">
        <v>451</v>
      </c>
      <c r="C115" s="123" t="s">
        <v>452</v>
      </c>
      <c r="D115" s="8"/>
      <c r="E115" s="8"/>
    </row>
    <row r="116" spans="1:5">
      <c r="A116" s="89" t="s">
        <v>469</v>
      </c>
      <c r="B116" s="87" cm="1">
        <f t="array" ref="B116">SUM(IF(K8:K110=A116,I8:K110,""))</f>
        <v>1137</v>
      </c>
      <c r="C116" s="88">
        <v>1250</v>
      </c>
      <c r="D116" s="4"/>
      <c r="E116" s="4"/>
    </row>
    <row r="117" spans="1:5">
      <c r="A117" s="89" t="s">
        <v>470</v>
      </c>
      <c r="B117" s="87" cm="1">
        <f t="array" ref="B117">SUM(IF(K8:K110=A117,I8:J110,""),AD23)</f>
        <v>1285.75</v>
      </c>
      <c r="C117" s="88">
        <v>1450</v>
      </c>
    </row>
    <row r="118" spans="1:5">
      <c r="A118" s="89" t="s">
        <v>472</v>
      </c>
      <c r="B118" s="87" cm="1">
        <f t="array" ref="B118">SUM(IF(K8:K110=A118,I8:J110,""),AB19,AD24)</f>
        <v>1092</v>
      </c>
      <c r="C118" s="88">
        <v>1450</v>
      </c>
      <c r="E118" s="4"/>
    </row>
    <row r="119" spans="1:5">
      <c r="A119" s="89" t="s">
        <v>535</v>
      </c>
      <c r="B119" s="88">
        <v>10</v>
      </c>
      <c r="C119" s="88" t="s">
        <v>600</v>
      </c>
    </row>
    <row r="120" spans="1:5">
      <c r="A120" s="89" t="s">
        <v>536</v>
      </c>
      <c r="B120" s="88">
        <v>10</v>
      </c>
      <c r="C120" s="88" t="s">
        <v>600</v>
      </c>
    </row>
    <row r="121" spans="1:5">
      <c r="A121" s="89" t="s">
        <v>537</v>
      </c>
      <c r="B121" s="88">
        <v>10</v>
      </c>
      <c r="C121" s="88" t="s">
        <v>600</v>
      </c>
    </row>
    <row r="122" spans="1:5">
      <c r="A122" s="89" t="s">
        <v>538</v>
      </c>
      <c r="B122" s="88">
        <v>10</v>
      </c>
      <c r="C122" s="88" t="s">
        <v>600</v>
      </c>
    </row>
    <row r="123" spans="1:5">
      <c r="A123" s="89" t="s">
        <v>539</v>
      </c>
      <c r="B123" s="88">
        <v>10</v>
      </c>
      <c r="C123" s="88" t="s">
        <v>600</v>
      </c>
    </row>
    <row r="124" spans="1:5">
      <c r="A124" s="89" t="s">
        <v>578</v>
      </c>
      <c r="B124" s="88">
        <v>10</v>
      </c>
      <c r="C124" s="88" t="s">
        <v>600</v>
      </c>
    </row>
    <row r="125" spans="1:5">
      <c r="A125" s="89" t="s">
        <v>601</v>
      </c>
      <c r="B125" s="88">
        <v>10</v>
      </c>
      <c r="C125" s="88" t="s">
        <v>600</v>
      </c>
    </row>
    <row r="126" spans="1:5">
      <c r="A126" s="89" t="s">
        <v>454</v>
      </c>
      <c r="B126" s="88">
        <v>116.99</v>
      </c>
      <c r="C126" s="88">
        <f>L11</f>
        <v>130</v>
      </c>
    </row>
    <row r="127" spans="1:5">
      <c r="A127" s="89" t="s">
        <v>455</v>
      </c>
      <c r="B127" s="103">
        <f>C127*0.9</f>
        <v>2250</v>
      </c>
      <c r="C127" s="103">
        <f>N11</f>
        <v>2500</v>
      </c>
    </row>
    <row r="128" spans="1:5">
      <c r="A128" s="89" t="s">
        <v>456</v>
      </c>
      <c r="B128" s="103">
        <f>C128*0.9</f>
        <v>3375</v>
      </c>
      <c r="C128" s="103">
        <f>P11</f>
        <v>3750</v>
      </c>
    </row>
    <row r="129" spans="1:9">
      <c r="A129" s="89" t="s">
        <v>189</v>
      </c>
      <c r="B129" s="88">
        <f>459+90</f>
        <v>549</v>
      </c>
      <c r="C129" s="88">
        <v>600</v>
      </c>
    </row>
    <row r="130" spans="1:9">
      <c r="A130" s="89" t="s">
        <v>194</v>
      </c>
      <c r="B130" s="88">
        <v>270</v>
      </c>
      <c r="C130" s="88">
        <v>300</v>
      </c>
    </row>
    <row r="131" spans="1:9">
      <c r="A131" s="89" t="s">
        <v>457</v>
      </c>
      <c r="B131" s="88">
        <v>180</v>
      </c>
      <c r="C131" s="88">
        <v>300</v>
      </c>
    </row>
    <row r="132" spans="1:9">
      <c r="A132" s="89" t="s">
        <v>421</v>
      </c>
      <c r="B132" s="88">
        <v>150</v>
      </c>
      <c r="C132" s="88">
        <v>200</v>
      </c>
    </row>
    <row r="133" spans="1:9">
      <c r="A133" s="89" t="str">
        <f>IF(F56&lt;&gt;"4TB","Backup (DB, NFS, and AVE 2TB)","Backup (DB, NFS, and AVE 4TB)")</f>
        <v>Backup (DB, NFS, and AVE 2TB)</v>
      </c>
      <c r="B133" s="103">
        <f>X11*0.9+X12*0.9+SUM(I86:J88) + V86</f>
        <v>13428.5</v>
      </c>
      <c r="C133" s="103">
        <f>VLOOKUP(N11,B146:I148,7,FALSE)+IF(F56&lt;&gt;"4TB",0,3000)</f>
        <v>15360</v>
      </c>
    </row>
    <row r="134" spans="1:9">
      <c r="A134" s="90" t="s">
        <v>540</v>
      </c>
      <c r="B134" s="87">
        <v>3072</v>
      </c>
      <c r="C134" s="87">
        <v>3700</v>
      </c>
      <c r="E134" s="12"/>
    </row>
    <row r="135" spans="1:9">
      <c r="A135" s="89" t="s">
        <v>468</v>
      </c>
      <c r="B135" s="103">
        <f>SUM(I8:J9)</f>
        <v>992</v>
      </c>
      <c r="C135" s="103">
        <f>IF(E9="vCSA8.0", 1100, 900)</f>
        <v>1100</v>
      </c>
    </row>
    <row r="136" spans="1:9">
      <c r="A136" s="89" t="s">
        <v>489</v>
      </c>
      <c r="B136" s="88">
        <v>200</v>
      </c>
      <c r="C136" s="88">
        <v>225</v>
      </c>
      <c r="D136" s="4"/>
    </row>
    <row r="137" spans="1:9">
      <c r="A137" s="109" t="s">
        <v>499</v>
      </c>
      <c r="B137" s="107">
        <v>58</v>
      </c>
      <c r="C137" s="110">
        <v>100</v>
      </c>
      <c r="D137" s="4"/>
    </row>
    <row r="138" spans="1:9">
      <c r="A138" s="109" t="s">
        <v>492</v>
      </c>
      <c r="B138" s="88">
        <v>824.5</v>
      </c>
      <c r="C138" s="88">
        <v>900</v>
      </c>
      <c r="D138" s="4"/>
    </row>
    <row r="139" spans="1:9">
      <c r="A139" s="72" t="s">
        <v>541</v>
      </c>
    </row>
    <row r="140" spans="1:9">
      <c r="A140" s="72" t="s">
        <v>602</v>
      </c>
    </row>
    <row r="144" spans="1:9" ht="13">
      <c r="I144" s="100"/>
    </row>
    <row r="145" spans="1:9">
      <c r="I145" s="104"/>
    </row>
    <row r="146" spans="1:9">
      <c r="A146" s="121"/>
      <c r="B146" s="121" t="s">
        <v>544</v>
      </c>
      <c r="C146" s="121" t="s">
        <v>545</v>
      </c>
      <c r="D146" s="119" t="s">
        <v>547</v>
      </c>
      <c r="E146" s="119" t="s">
        <v>175</v>
      </c>
      <c r="F146" s="121" t="s">
        <v>548</v>
      </c>
      <c r="G146" s="119" t="s">
        <v>179</v>
      </c>
      <c r="H146" s="119" t="s">
        <v>550</v>
      </c>
      <c r="I146" s="97"/>
    </row>
    <row r="147" spans="1:9">
      <c r="A147" s="121" t="s">
        <v>551</v>
      </c>
      <c r="B147" s="122">
        <v>2500</v>
      </c>
      <c r="C147" s="122">
        <v>2250</v>
      </c>
      <c r="D147" s="122">
        <v>90</v>
      </c>
      <c r="E147" s="117">
        <v>3750</v>
      </c>
      <c r="F147" s="122">
        <v>3375</v>
      </c>
      <c r="G147" s="117">
        <v>10875</v>
      </c>
      <c r="H147" s="117">
        <v>15360</v>
      </c>
    </row>
    <row r="148" spans="1:9">
      <c r="A148" s="121" t="s">
        <v>552</v>
      </c>
      <c r="B148" s="122">
        <v>6150</v>
      </c>
      <c r="C148" s="122">
        <v>5535</v>
      </c>
      <c r="D148" s="122">
        <v>115</v>
      </c>
      <c r="E148" s="122">
        <v>5100</v>
      </c>
      <c r="F148" s="122">
        <v>4590</v>
      </c>
      <c r="G148" s="122">
        <v>18450</v>
      </c>
      <c r="H148" s="122">
        <v>23000</v>
      </c>
    </row>
  </sheetData>
  <mergeCells count="12">
    <mergeCell ref="A5:B5"/>
    <mergeCell ref="A1:E1"/>
    <mergeCell ref="A2:B2"/>
    <mergeCell ref="A3:B3"/>
    <mergeCell ref="F3:G3"/>
    <mergeCell ref="A4:B4"/>
    <mergeCell ref="A114:C114"/>
    <mergeCell ref="A6:B6"/>
    <mergeCell ref="A49:D49"/>
    <mergeCell ref="H49:O54"/>
    <mergeCell ref="A50:D50"/>
    <mergeCell ref="A56:E56"/>
  </mergeCells>
  <dataValidations count="3">
    <dataValidation type="list" allowBlank="1" showInputMessage="1" showErrorMessage="1" sqref="E9" xr:uid="{5342E488-D55E-41F2-8A17-675D17755A9F}">
      <formula1>"vCSA8.0, vCSA7.0"</formula1>
    </dataValidation>
    <dataValidation type="list" allowBlank="1" showInputMessage="1" showErrorMessage="1" sqref="N11" xr:uid="{C53F93CA-51B0-4B35-BC52-B38784C53C1B}">
      <formula1>$B147:$B148</formula1>
    </dataValidation>
    <dataValidation type="list" allowBlank="1" showInputMessage="1" showErrorMessage="1" sqref="F56" xr:uid="{014D8461-2418-4B09-A383-6472E7CCB407}">
      <formula1>"2TB, 4TB"</formula1>
    </dataValidation>
  </dataValidations>
  <hyperlinks>
    <hyperlink ref="F3:G3" location="Shortcuts!A1" display="Back to shortcuts" xr:uid="{59CB97A8-2819-4EFC-B085-117805226E8B}"/>
  </hyperlinks>
  <pageMargins left="0.7" right="0.7" top="0.75" bottom="0.75" header="0.3" footer="0.3"/>
  <pageSetup paperSize="9" orientation="portrait" r:id="rId1"/>
  <headerFooter>
    <oddFooter>&amp;C&amp;1#&amp;"Arial"&amp;8&amp;K001753Nokia internal use</oddFooter>
  </headerFooter>
  <drawing r:id="rId2"/>
  <legacyDrawing r:id="rId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940FF1-2CE4-4F4B-B346-5740FC6DD81A}">
  <sheetPr codeName="Sheet94"/>
  <dimension ref="A1:AT137"/>
  <sheetViews>
    <sheetView topLeftCell="B1" zoomScale="84" zoomScaleNormal="84" zoomScalePageLayoutView="70" workbookViewId="0">
      <selection activeCell="G8" sqref="G8"/>
    </sheetView>
  </sheetViews>
  <sheetFormatPr defaultColWidth="8.81640625" defaultRowHeight="12.5"/>
  <cols>
    <col min="1" max="1" width="35.81640625" style="33" customWidth="1"/>
    <col min="2" max="2" width="16.54296875" style="33" customWidth="1"/>
    <col min="3" max="3" width="15.81640625" style="33" customWidth="1"/>
    <col min="4" max="4" width="23.81640625" style="33" customWidth="1"/>
    <col min="5" max="5" width="55" style="33" customWidth="1"/>
    <col min="6" max="7" width="8.81640625" style="33"/>
    <col min="8" max="8" width="21.1796875" style="33" customWidth="1"/>
    <col min="9" max="10" width="8.81640625" style="33"/>
    <col min="11" max="11" width="17.81640625" style="33" customWidth="1"/>
    <col min="12" max="12" width="9.1796875" style="33" customWidth="1"/>
    <col min="13" max="13" width="9.81640625" style="33" customWidth="1"/>
    <col min="14" max="14" width="8.81640625" style="33"/>
    <col min="15" max="15" width="11.81640625" style="33" customWidth="1"/>
    <col min="16" max="16" width="8.81640625" style="33"/>
    <col min="17" max="17" width="9.81640625" style="33" customWidth="1"/>
    <col min="18" max="18" width="8.81640625" style="33"/>
    <col min="19" max="19" width="9.81640625" style="33" customWidth="1"/>
    <col min="20" max="20" width="8.81640625" style="33"/>
    <col min="21" max="21" width="9.81640625" style="33" customWidth="1"/>
    <col min="22" max="22" width="8.81640625" style="33"/>
    <col min="23" max="23" width="11.1796875" style="33" bestFit="1" customWidth="1"/>
    <col min="24" max="24" width="12.1796875" style="33" customWidth="1"/>
    <col min="25" max="26" width="9.81640625" style="33" customWidth="1"/>
    <col min="27" max="34" width="12.81640625" style="33" customWidth="1"/>
    <col min="35" max="41" width="16.1796875" style="33" customWidth="1"/>
    <col min="42" max="42" width="22" style="33" customWidth="1"/>
    <col min="43" max="43" width="12.1796875" style="33" customWidth="1"/>
    <col min="44" max="44" width="13.1796875" style="33" customWidth="1"/>
    <col min="45" max="16384" width="8.81640625" style="33"/>
  </cols>
  <sheetData>
    <row r="1" spans="1:44" ht="13">
      <c r="A1" s="156" t="s">
        <v>15</v>
      </c>
      <c r="B1" s="156"/>
      <c r="C1" s="156"/>
      <c r="D1" s="156"/>
      <c r="E1" s="157"/>
      <c r="F1" s="32" t="s">
        <v>354</v>
      </c>
    </row>
    <row r="2" spans="1:44">
      <c r="A2" s="178" t="s">
        <v>355</v>
      </c>
      <c r="B2" s="178"/>
      <c r="C2" s="120"/>
      <c r="D2" s="33" t="s">
        <v>580</v>
      </c>
    </row>
    <row r="3" spans="1:44" ht="14.5">
      <c r="A3" s="178" t="s">
        <v>357</v>
      </c>
      <c r="B3" s="178"/>
      <c r="C3" s="33" t="s">
        <v>356</v>
      </c>
      <c r="F3" s="169" t="s">
        <v>358</v>
      </c>
      <c r="G3" s="169"/>
    </row>
    <row r="4" spans="1:44" ht="13">
      <c r="A4" s="178" t="s">
        <v>359</v>
      </c>
      <c r="B4" s="178"/>
      <c r="C4" s="33" t="s">
        <v>460</v>
      </c>
    </row>
    <row r="5" spans="1:44" ht="13">
      <c r="A5" s="162" t="s">
        <v>360</v>
      </c>
      <c r="B5" s="162"/>
      <c r="C5" s="4" t="s">
        <v>553</v>
      </c>
    </row>
    <row r="6" spans="1:44" ht="13">
      <c r="A6" s="162" t="s">
        <v>361</v>
      </c>
      <c r="B6" s="162"/>
      <c r="C6" s="14"/>
    </row>
    <row r="7" spans="1:44" ht="13">
      <c r="A7" s="34" t="s">
        <v>155</v>
      </c>
      <c r="B7" s="34" t="s">
        <v>362</v>
      </c>
      <c r="C7" s="34" t="s">
        <v>363</v>
      </c>
      <c r="D7" s="34" t="s">
        <v>364</v>
      </c>
      <c r="E7" s="34" t="s">
        <v>365</v>
      </c>
      <c r="F7" s="35" t="s">
        <v>129</v>
      </c>
      <c r="G7" s="35" t="s">
        <v>146</v>
      </c>
      <c r="H7" s="35" t="s">
        <v>366</v>
      </c>
      <c r="I7" s="35" t="s">
        <v>149</v>
      </c>
      <c r="J7" s="35" t="s">
        <v>367</v>
      </c>
      <c r="K7" s="35" t="s">
        <v>368</v>
      </c>
      <c r="L7" s="35" t="s">
        <v>170</v>
      </c>
      <c r="M7" s="35" t="s">
        <v>368</v>
      </c>
      <c r="N7" s="35" t="s">
        <v>30</v>
      </c>
      <c r="O7" s="35" t="s">
        <v>368</v>
      </c>
      <c r="P7" s="35" t="s">
        <v>175</v>
      </c>
      <c r="Q7" s="35" t="s">
        <v>368</v>
      </c>
      <c r="R7" s="35" t="s">
        <v>189</v>
      </c>
      <c r="S7" s="35" t="s">
        <v>368</v>
      </c>
      <c r="T7" s="35" t="s">
        <v>194</v>
      </c>
      <c r="U7" s="35" t="s">
        <v>368</v>
      </c>
      <c r="V7" s="35" t="s">
        <v>179</v>
      </c>
      <c r="W7" s="35" t="s">
        <v>368</v>
      </c>
      <c r="X7" s="35" t="s">
        <v>369</v>
      </c>
      <c r="Y7" s="35" t="s">
        <v>368</v>
      </c>
      <c r="Z7" s="35" t="s">
        <v>554</v>
      </c>
      <c r="AA7" s="35" t="s">
        <v>368</v>
      </c>
      <c r="AB7" s="6" t="s">
        <v>371</v>
      </c>
      <c r="AC7" s="6" t="s">
        <v>368</v>
      </c>
      <c r="AD7" s="6" t="s">
        <v>372</v>
      </c>
      <c r="AE7" s="6" t="s">
        <v>368</v>
      </c>
      <c r="AF7" s="6" t="s">
        <v>463</v>
      </c>
      <c r="AG7" s="6" t="s">
        <v>368</v>
      </c>
      <c r="AH7" s="6" t="s">
        <v>373</v>
      </c>
      <c r="AI7" s="6" t="s">
        <v>368</v>
      </c>
      <c r="AJ7" s="6" t="s">
        <v>464</v>
      </c>
      <c r="AK7" s="6" t="s">
        <v>368</v>
      </c>
      <c r="AL7" s="6" t="s">
        <v>465</v>
      </c>
      <c r="AM7" s="6" t="s">
        <v>368</v>
      </c>
      <c r="AN7" s="6" t="s">
        <v>466</v>
      </c>
      <c r="AO7" s="6" t="s">
        <v>368</v>
      </c>
      <c r="AP7" s="35" t="s">
        <v>374</v>
      </c>
      <c r="AQ7" s="35" t="s">
        <v>375</v>
      </c>
      <c r="AR7" s="35" t="s">
        <v>376</v>
      </c>
    </row>
    <row r="8" spans="1:44">
      <c r="A8" s="33" t="s">
        <v>377</v>
      </c>
      <c r="D8" s="33" t="s">
        <v>378</v>
      </c>
      <c r="E8" s="33" t="s">
        <v>19</v>
      </c>
      <c r="F8" s="82">
        <v>4</v>
      </c>
      <c r="G8" s="82">
        <v>16</v>
      </c>
      <c r="H8" s="82">
        <v>0</v>
      </c>
      <c r="I8" s="82">
        <v>351</v>
      </c>
      <c r="J8" s="82">
        <f>G8-H8</f>
        <v>16</v>
      </c>
      <c r="K8" s="12" t="s">
        <v>468</v>
      </c>
      <c r="L8" s="82"/>
      <c r="M8" s="82"/>
      <c r="N8" s="82"/>
      <c r="O8" s="82"/>
      <c r="P8" s="82"/>
      <c r="Q8" s="82"/>
      <c r="R8" s="82"/>
      <c r="S8" s="82"/>
      <c r="T8" s="82"/>
      <c r="U8" s="82"/>
      <c r="V8" s="82"/>
      <c r="W8" s="82"/>
      <c r="X8" s="82"/>
      <c r="Y8" s="82"/>
      <c r="Z8" s="82"/>
      <c r="AA8" s="82"/>
      <c r="AB8" s="82"/>
      <c r="AC8" s="82"/>
      <c r="AD8" s="82"/>
      <c r="AE8" s="82"/>
      <c r="AF8" s="82"/>
      <c r="AG8" s="82"/>
      <c r="AH8" s="82"/>
      <c r="AI8" s="82"/>
      <c r="AJ8" s="82"/>
      <c r="AK8" s="82"/>
      <c r="AL8" s="82"/>
      <c r="AM8" s="82"/>
      <c r="AN8" s="82"/>
      <c r="AO8" s="82"/>
      <c r="AP8" s="82" t="s">
        <v>380</v>
      </c>
      <c r="AQ8" s="82" t="s">
        <v>381</v>
      </c>
      <c r="AR8" s="82"/>
    </row>
    <row r="9" spans="1:44">
      <c r="A9" s="33" t="s">
        <v>382</v>
      </c>
      <c r="D9" s="113" t="s">
        <v>383</v>
      </c>
      <c r="E9" s="113" t="s">
        <v>384</v>
      </c>
      <c r="F9" s="82">
        <v>4</v>
      </c>
      <c r="G9" s="101">
        <f>IF(E9="vCSA8.0", 21, 19)</f>
        <v>21</v>
      </c>
      <c r="H9" s="82">
        <v>0</v>
      </c>
      <c r="I9" s="101">
        <f>IF(E9="vCSA8.0", 600, 450)</f>
        <v>600</v>
      </c>
      <c r="J9" s="82">
        <v>25</v>
      </c>
      <c r="K9" s="12" t="s">
        <v>468</v>
      </c>
      <c r="L9" s="82"/>
      <c r="M9" s="82"/>
      <c r="N9" s="82"/>
      <c r="O9" s="82"/>
      <c r="P9" s="82"/>
      <c r="Q9" s="82"/>
      <c r="R9" s="82"/>
      <c r="S9" s="82"/>
      <c r="T9" s="82"/>
      <c r="U9" s="82"/>
      <c r="V9" s="82"/>
      <c r="W9" s="82"/>
      <c r="X9" s="82"/>
      <c r="Y9" s="82"/>
      <c r="Z9" s="82"/>
      <c r="AA9" s="82"/>
      <c r="AB9" s="82"/>
      <c r="AC9" s="82"/>
      <c r="AD9" s="82"/>
      <c r="AE9" s="82"/>
      <c r="AF9" s="82"/>
      <c r="AG9" s="82"/>
      <c r="AH9" s="82"/>
      <c r="AI9" s="82"/>
      <c r="AJ9" s="82"/>
      <c r="AK9" s="82"/>
      <c r="AL9" s="82"/>
      <c r="AM9" s="82"/>
      <c r="AN9" s="82"/>
      <c r="AO9" s="82"/>
      <c r="AP9" s="82" t="s">
        <v>380</v>
      </c>
      <c r="AQ9" s="82" t="s">
        <v>381</v>
      </c>
      <c r="AR9" s="82"/>
    </row>
    <row r="10" spans="1:44">
      <c r="A10" s="33" t="s">
        <v>385</v>
      </c>
      <c r="B10" s="82" t="s">
        <v>386</v>
      </c>
      <c r="C10" s="33" t="s">
        <v>387</v>
      </c>
      <c r="D10" s="33" t="s">
        <v>378</v>
      </c>
      <c r="E10" s="33" t="s">
        <v>27</v>
      </c>
      <c r="F10" s="82">
        <v>6</v>
      </c>
      <c r="G10" s="82">
        <v>6</v>
      </c>
      <c r="H10" s="82">
        <v>6</v>
      </c>
      <c r="I10" s="82">
        <v>41</v>
      </c>
      <c r="J10" s="82">
        <f t="shared" ref="J10:J38" si="0">G10-H10</f>
        <v>0</v>
      </c>
      <c r="K10" s="82" t="s">
        <v>469</v>
      </c>
      <c r="L10" s="82"/>
      <c r="M10" s="82"/>
      <c r="N10" s="82"/>
      <c r="O10" s="82"/>
      <c r="P10" s="82"/>
      <c r="Q10" s="82"/>
      <c r="R10" s="82"/>
      <c r="S10" s="82"/>
      <c r="T10" s="82"/>
      <c r="U10" s="82"/>
      <c r="V10" s="82"/>
      <c r="W10" s="82"/>
      <c r="X10" s="82"/>
      <c r="Y10" s="82"/>
      <c r="Z10" s="82"/>
      <c r="AA10" s="82"/>
      <c r="AB10" s="82"/>
      <c r="AC10" s="82"/>
      <c r="AD10" s="82"/>
      <c r="AE10" s="82"/>
      <c r="AF10" s="82"/>
      <c r="AG10" s="82"/>
      <c r="AH10" s="82"/>
      <c r="AI10" s="82"/>
      <c r="AJ10" s="82"/>
      <c r="AK10" s="82"/>
      <c r="AL10" s="82"/>
      <c r="AM10" s="82"/>
      <c r="AN10" s="82"/>
      <c r="AO10" s="82"/>
      <c r="AP10" s="82" t="s">
        <v>380</v>
      </c>
      <c r="AQ10" s="82" t="s">
        <v>381</v>
      </c>
      <c r="AR10" s="82"/>
    </row>
    <row r="11" spans="1:44">
      <c r="A11" s="33" t="s">
        <v>389</v>
      </c>
      <c r="B11" s="82"/>
      <c r="C11" s="33" t="s">
        <v>387</v>
      </c>
      <c r="D11" s="33" t="s">
        <v>378</v>
      </c>
      <c r="E11" s="33" t="s">
        <v>30</v>
      </c>
      <c r="F11" s="82">
        <v>16</v>
      </c>
      <c r="G11" s="82">
        <v>160</v>
      </c>
      <c r="H11" s="82">
        <f>(G11*82.5)/100</f>
        <v>132</v>
      </c>
      <c r="I11" s="82">
        <v>117</v>
      </c>
      <c r="J11" s="82">
        <f t="shared" si="0"/>
        <v>28</v>
      </c>
      <c r="K11" s="82" t="s">
        <v>470</v>
      </c>
      <c r="L11" s="82">
        <v>500</v>
      </c>
      <c r="M11" s="82" t="s">
        <v>390</v>
      </c>
      <c r="N11" s="82">
        <v>9000</v>
      </c>
      <c r="O11" s="82" t="s">
        <v>391</v>
      </c>
      <c r="P11" s="82">
        <v>13500</v>
      </c>
      <c r="Q11" s="82" t="s">
        <v>392</v>
      </c>
      <c r="R11" s="82"/>
      <c r="S11" s="82"/>
      <c r="T11" s="82"/>
      <c r="U11" s="82"/>
      <c r="V11" s="82"/>
      <c r="W11" s="82"/>
      <c r="X11" s="82">
        <v>30556</v>
      </c>
      <c r="Y11" s="82" t="s">
        <v>179</v>
      </c>
      <c r="Z11" s="82"/>
      <c r="AA11" s="82"/>
      <c r="AB11" s="82"/>
      <c r="AC11" s="82"/>
      <c r="AD11" s="82"/>
      <c r="AE11" s="82"/>
      <c r="AF11" s="82"/>
      <c r="AG11" s="82"/>
      <c r="AH11" s="82"/>
      <c r="AI11" s="82"/>
      <c r="AJ11" s="82"/>
      <c r="AK11" s="82"/>
      <c r="AL11" s="82"/>
      <c r="AM11" s="82"/>
      <c r="AN11" s="82"/>
      <c r="AO11" s="82"/>
      <c r="AP11" s="82" t="s">
        <v>380</v>
      </c>
      <c r="AQ11" s="82" t="s">
        <v>381</v>
      </c>
      <c r="AR11" s="82"/>
    </row>
    <row r="12" spans="1:44">
      <c r="A12" s="33" t="s">
        <v>393</v>
      </c>
      <c r="B12" s="82" t="s">
        <v>386</v>
      </c>
      <c r="C12" s="33" t="s">
        <v>387</v>
      </c>
      <c r="D12" s="33" t="s">
        <v>378</v>
      </c>
      <c r="E12" s="33" t="s">
        <v>34</v>
      </c>
      <c r="F12" s="82">
        <v>8</v>
      </c>
      <c r="G12" s="82">
        <v>7</v>
      </c>
      <c r="H12" s="82">
        <v>7</v>
      </c>
      <c r="I12" s="82">
        <v>46</v>
      </c>
      <c r="J12" s="82">
        <f t="shared" si="0"/>
        <v>0</v>
      </c>
      <c r="K12" s="82" t="s">
        <v>472</v>
      </c>
      <c r="L12" s="82"/>
      <c r="M12" s="82"/>
      <c r="N12" s="82"/>
      <c r="O12" s="82"/>
      <c r="P12" s="82"/>
      <c r="Q12" s="82"/>
      <c r="R12" s="82">
        <v>920</v>
      </c>
      <c r="S12" s="82" t="s">
        <v>394</v>
      </c>
      <c r="T12" s="12">
        <v>300</v>
      </c>
      <c r="U12" s="82" t="s">
        <v>194</v>
      </c>
      <c r="V12" s="82"/>
      <c r="W12" s="82"/>
      <c r="X12" s="82">
        <v>500</v>
      </c>
      <c r="Y12" s="82" t="s">
        <v>179</v>
      </c>
      <c r="Z12" s="82"/>
      <c r="AA12" s="82"/>
      <c r="AB12" s="82"/>
      <c r="AC12" s="82"/>
      <c r="AD12" s="82"/>
      <c r="AE12" s="82"/>
      <c r="AF12" s="82"/>
      <c r="AG12" s="82"/>
      <c r="AH12" s="82"/>
      <c r="AI12" s="82"/>
      <c r="AJ12" s="82"/>
      <c r="AK12" s="82"/>
      <c r="AL12" s="82"/>
      <c r="AM12" s="82"/>
      <c r="AN12" s="82"/>
      <c r="AO12" s="82"/>
      <c r="AP12" s="82" t="s">
        <v>380</v>
      </c>
      <c r="AQ12" s="82" t="s">
        <v>381</v>
      </c>
      <c r="AR12" s="82"/>
    </row>
    <row r="13" spans="1:44">
      <c r="A13" s="33" t="s">
        <v>395</v>
      </c>
      <c r="C13" s="33" t="s">
        <v>387</v>
      </c>
      <c r="D13" s="33" t="s">
        <v>378</v>
      </c>
      <c r="E13" s="33" t="s">
        <v>38</v>
      </c>
      <c r="F13" s="82">
        <v>2</v>
      </c>
      <c r="G13" s="82">
        <v>3</v>
      </c>
      <c r="H13" s="82">
        <v>0</v>
      </c>
      <c r="I13" s="82">
        <v>31</v>
      </c>
      <c r="J13" s="82">
        <f t="shared" si="0"/>
        <v>3</v>
      </c>
      <c r="K13" s="82" t="s">
        <v>469</v>
      </c>
      <c r="L13" s="82"/>
      <c r="M13" s="82"/>
      <c r="N13" s="82"/>
      <c r="O13" s="82"/>
      <c r="P13" s="82"/>
      <c r="Q13" s="82"/>
      <c r="R13" s="82"/>
      <c r="S13" s="82"/>
      <c r="T13" s="82"/>
      <c r="U13" s="82"/>
      <c r="V13" s="82"/>
      <c r="W13" s="82"/>
      <c r="X13" s="82"/>
      <c r="Y13" s="82"/>
      <c r="Z13" s="82"/>
      <c r="AA13" s="82"/>
      <c r="AB13" s="82"/>
      <c r="AC13" s="82"/>
      <c r="AD13" s="82"/>
      <c r="AE13" s="82"/>
      <c r="AF13" s="82"/>
      <c r="AG13" s="82"/>
      <c r="AH13" s="82"/>
      <c r="AI13" s="82"/>
      <c r="AJ13" s="82"/>
      <c r="AK13" s="82"/>
      <c r="AL13" s="82"/>
      <c r="AM13" s="82"/>
      <c r="AN13" s="82"/>
      <c r="AO13" s="82"/>
      <c r="AP13" s="82" t="s">
        <v>396</v>
      </c>
      <c r="AQ13" s="12" t="s">
        <v>397</v>
      </c>
      <c r="AR13" s="82" t="s">
        <v>381</v>
      </c>
    </row>
    <row r="14" spans="1:44">
      <c r="A14" s="33" t="s">
        <v>398</v>
      </c>
      <c r="C14" s="33" t="s">
        <v>387</v>
      </c>
      <c r="D14" s="33" t="s">
        <v>378</v>
      </c>
      <c r="E14" s="33" t="s">
        <v>42</v>
      </c>
      <c r="F14" s="82">
        <v>2</v>
      </c>
      <c r="G14" s="82">
        <v>5</v>
      </c>
      <c r="H14" s="82">
        <v>0</v>
      </c>
      <c r="I14" s="82">
        <v>31</v>
      </c>
      <c r="J14" s="82">
        <f t="shared" si="0"/>
        <v>5</v>
      </c>
      <c r="K14" s="82" t="s">
        <v>470</v>
      </c>
      <c r="L14" s="82"/>
      <c r="M14" s="82"/>
      <c r="N14" s="82"/>
      <c r="O14" s="82"/>
      <c r="P14" s="82"/>
      <c r="Q14" s="82"/>
      <c r="R14" s="82"/>
      <c r="S14" s="82"/>
      <c r="T14" s="82"/>
      <c r="U14" s="82"/>
      <c r="V14" s="82"/>
      <c r="W14" s="82"/>
      <c r="X14" s="82"/>
      <c r="Y14" s="82"/>
      <c r="Z14" s="82"/>
      <c r="AA14" s="82"/>
      <c r="AB14" s="82"/>
      <c r="AC14" s="82"/>
      <c r="AD14" s="82"/>
      <c r="AE14" s="82"/>
      <c r="AF14" s="82"/>
      <c r="AG14" s="82"/>
      <c r="AH14" s="82"/>
      <c r="AI14" s="82"/>
      <c r="AJ14" s="82"/>
      <c r="AK14" s="82"/>
      <c r="AL14" s="82"/>
      <c r="AM14" s="82"/>
      <c r="AN14" s="82"/>
      <c r="AO14" s="82"/>
      <c r="AP14" s="82" t="s">
        <v>380</v>
      </c>
      <c r="AQ14" s="82" t="s">
        <v>381</v>
      </c>
      <c r="AR14" s="82"/>
    </row>
    <row r="15" spans="1:44">
      <c r="A15" s="33" t="s">
        <v>399</v>
      </c>
      <c r="C15" s="33" t="s">
        <v>387</v>
      </c>
      <c r="D15" s="33" t="s">
        <v>378</v>
      </c>
      <c r="E15" s="33" t="s">
        <v>555</v>
      </c>
      <c r="F15" s="82">
        <v>3</v>
      </c>
      <c r="G15" s="82">
        <v>6</v>
      </c>
      <c r="H15" s="82">
        <v>0</v>
      </c>
      <c r="I15" s="82">
        <v>41</v>
      </c>
      <c r="J15" s="82">
        <f t="shared" si="0"/>
        <v>6</v>
      </c>
      <c r="K15" s="82" t="s">
        <v>472</v>
      </c>
      <c r="L15" s="82"/>
      <c r="M15" s="82"/>
      <c r="N15" s="82"/>
      <c r="O15" s="82"/>
      <c r="P15" s="82"/>
      <c r="Q15" s="82"/>
      <c r="R15" s="82"/>
      <c r="S15" s="82"/>
      <c r="T15" s="82"/>
      <c r="U15" s="82"/>
      <c r="V15" s="82"/>
      <c r="W15" s="82"/>
      <c r="X15" s="82"/>
      <c r="Y15" s="82"/>
      <c r="Z15" s="82"/>
      <c r="AA15" s="82"/>
      <c r="AB15" s="82"/>
      <c r="AC15" s="82"/>
      <c r="AD15" s="82"/>
      <c r="AE15" s="82"/>
      <c r="AF15" s="82"/>
      <c r="AG15" s="82"/>
      <c r="AH15" s="82"/>
      <c r="AI15" s="82"/>
      <c r="AJ15" s="82"/>
      <c r="AK15" s="82"/>
      <c r="AL15" s="82"/>
      <c r="AM15" s="82"/>
      <c r="AN15" s="82"/>
      <c r="AO15" s="82"/>
      <c r="AP15" s="82" t="s">
        <v>396</v>
      </c>
      <c r="AQ15" s="12" t="s">
        <v>397</v>
      </c>
      <c r="AR15" s="82"/>
    </row>
    <row r="16" spans="1:44">
      <c r="A16" s="33" t="s">
        <v>401</v>
      </c>
      <c r="C16" s="33" t="s">
        <v>387</v>
      </c>
      <c r="D16" s="33" t="s">
        <v>378</v>
      </c>
      <c r="E16" s="33" t="s">
        <v>603</v>
      </c>
      <c r="F16" s="82">
        <v>5</v>
      </c>
      <c r="G16" s="82">
        <v>7</v>
      </c>
      <c r="H16" s="82">
        <v>0</v>
      </c>
      <c r="I16" s="82">
        <v>56</v>
      </c>
      <c r="J16" s="82">
        <f t="shared" si="0"/>
        <v>7</v>
      </c>
      <c r="K16" s="82" t="s">
        <v>469</v>
      </c>
      <c r="L16" s="82"/>
      <c r="M16" s="82"/>
      <c r="N16" s="82"/>
      <c r="O16" s="82"/>
      <c r="P16" s="82"/>
      <c r="Q16" s="82"/>
      <c r="R16" s="82"/>
      <c r="S16" s="82"/>
      <c r="T16" s="82"/>
      <c r="U16" s="82"/>
      <c r="V16" s="82"/>
      <c r="W16" s="82"/>
      <c r="X16" s="82"/>
      <c r="Y16" s="82"/>
      <c r="Z16" s="82"/>
      <c r="AA16" s="82"/>
      <c r="AB16" s="82"/>
      <c r="AC16" s="82"/>
      <c r="AD16" s="82"/>
      <c r="AE16" s="82"/>
      <c r="AF16" s="82"/>
      <c r="AG16" s="82"/>
      <c r="AH16" s="82"/>
      <c r="AI16" s="82"/>
      <c r="AJ16" s="82"/>
      <c r="AK16" s="82"/>
      <c r="AL16" s="82"/>
      <c r="AM16" s="82"/>
      <c r="AN16" s="82"/>
      <c r="AO16" s="82"/>
      <c r="AP16" s="82" t="s">
        <v>396</v>
      </c>
      <c r="AQ16" s="12" t="s">
        <v>397</v>
      </c>
      <c r="AR16" s="82"/>
    </row>
    <row r="17" spans="1:44">
      <c r="A17" s="33" t="s">
        <v>403</v>
      </c>
      <c r="C17" s="33" t="s">
        <v>387</v>
      </c>
      <c r="D17" s="33" t="s">
        <v>378</v>
      </c>
      <c r="E17" s="33" t="s">
        <v>54</v>
      </c>
      <c r="F17" s="82">
        <v>8</v>
      </c>
      <c r="G17" s="82">
        <v>13</v>
      </c>
      <c r="H17" s="82">
        <v>0</v>
      </c>
      <c r="I17" s="82">
        <v>81</v>
      </c>
      <c r="J17" s="82">
        <f t="shared" si="0"/>
        <v>13</v>
      </c>
      <c r="K17" s="82" t="s">
        <v>470</v>
      </c>
      <c r="L17" s="82"/>
      <c r="M17" s="82"/>
      <c r="N17" s="82"/>
      <c r="O17" s="82"/>
      <c r="P17" s="82"/>
      <c r="Q17" s="82"/>
      <c r="R17" s="82"/>
      <c r="S17" s="82"/>
      <c r="T17" s="82"/>
      <c r="U17" s="82"/>
      <c r="V17" s="82"/>
      <c r="W17" s="82"/>
      <c r="X17" s="82"/>
      <c r="Y17" s="82"/>
      <c r="Z17" s="82"/>
      <c r="AA17" s="82"/>
      <c r="AB17" s="82"/>
      <c r="AC17" s="82"/>
      <c r="AD17" s="82"/>
      <c r="AE17" s="82"/>
      <c r="AF17" s="82"/>
      <c r="AG17" s="82"/>
      <c r="AH17" s="82"/>
      <c r="AI17" s="82"/>
      <c r="AJ17" s="82"/>
      <c r="AK17" s="82"/>
      <c r="AL17" s="82"/>
      <c r="AM17" s="82"/>
      <c r="AN17" s="82"/>
      <c r="AO17" s="82"/>
      <c r="AP17" s="82" t="s">
        <v>396</v>
      </c>
      <c r="AQ17" s="12" t="s">
        <v>397</v>
      </c>
      <c r="AR17" s="82"/>
    </row>
    <row r="18" spans="1:44">
      <c r="A18" s="33" t="s">
        <v>404</v>
      </c>
      <c r="C18" s="33" t="s">
        <v>387</v>
      </c>
      <c r="D18" s="33" t="s">
        <v>378</v>
      </c>
      <c r="E18" s="33" t="s">
        <v>58</v>
      </c>
      <c r="F18" s="82">
        <v>4</v>
      </c>
      <c r="G18" s="82">
        <v>4</v>
      </c>
      <c r="H18" s="82">
        <v>0</v>
      </c>
      <c r="I18" s="82">
        <v>31</v>
      </c>
      <c r="J18" s="82">
        <f t="shared" si="0"/>
        <v>4</v>
      </c>
      <c r="K18" s="82" t="s">
        <v>472</v>
      </c>
      <c r="L18" s="82"/>
      <c r="M18" s="82"/>
      <c r="N18" s="82"/>
      <c r="O18" s="82"/>
      <c r="P18" s="82"/>
      <c r="Q18" s="82"/>
      <c r="R18" s="82"/>
      <c r="S18" s="82"/>
      <c r="T18" s="82"/>
      <c r="U18" s="82"/>
      <c r="V18" s="82"/>
      <c r="W18" s="82"/>
      <c r="X18" s="82"/>
      <c r="Y18" s="82"/>
      <c r="Z18" s="82"/>
      <c r="AA18" s="82"/>
      <c r="AB18" s="82"/>
      <c r="AC18" s="82"/>
      <c r="AD18" s="82"/>
      <c r="AE18" s="82"/>
      <c r="AF18" s="82"/>
      <c r="AG18" s="82"/>
      <c r="AH18" s="82"/>
      <c r="AI18" s="82"/>
      <c r="AJ18" s="82"/>
      <c r="AK18" s="82"/>
      <c r="AL18" s="82"/>
      <c r="AM18" s="82"/>
      <c r="AN18" s="82"/>
      <c r="AO18" s="82"/>
      <c r="AP18" s="82" t="s">
        <v>396</v>
      </c>
      <c r="AQ18" s="12" t="s">
        <v>397</v>
      </c>
      <c r="AR18" s="82" t="s">
        <v>381</v>
      </c>
    </row>
    <row r="19" spans="1:44">
      <c r="A19" s="33" t="s">
        <v>405</v>
      </c>
      <c r="C19" s="33" t="s">
        <v>387</v>
      </c>
      <c r="D19" s="33" t="s">
        <v>378</v>
      </c>
      <c r="E19" s="33" t="s">
        <v>406</v>
      </c>
      <c r="F19" s="82">
        <v>8</v>
      </c>
      <c r="G19" s="82">
        <v>13</v>
      </c>
      <c r="H19" s="82">
        <v>0</v>
      </c>
      <c r="I19" s="82">
        <v>109</v>
      </c>
      <c r="J19" s="82">
        <f t="shared" si="0"/>
        <v>13</v>
      </c>
      <c r="K19" s="82" t="s">
        <v>469</v>
      </c>
      <c r="L19" s="82"/>
      <c r="M19" s="82"/>
      <c r="N19" s="82"/>
      <c r="O19" s="82"/>
      <c r="P19" s="82"/>
      <c r="Q19" s="82"/>
      <c r="R19" s="82"/>
      <c r="S19" s="82"/>
      <c r="T19" s="82"/>
      <c r="U19" s="82"/>
      <c r="V19" s="82"/>
      <c r="W19" s="82"/>
      <c r="X19" s="82"/>
      <c r="Y19" s="82"/>
      <c r="Z19" s="82"/>
      <c r="AA19" s="82"/>
      <c r="AB19" s="12">
        <v>50</v>
      </c>
      <c r="AC19" s="12" t="s">
        <v>472</v>
      </c>
      <c r="AD19" s="12"/>
      <c r="AE19" s="12"/>
      <c r="AF19" s="12"/>
      <c r="AG19" s="12"/>
      <c r="AH19" s="12"/>
      <c r="AI19" s="12"/>
      <c r="AJ19" s="12"/>
      <c r="AK19" s="12"/>
      <c r="AL19" s="12"/>
      <c r="AM19" s="12"/>
      <c r="AN19" s="12"/>
      <c r="AO19" s="12"/>
      <c r="AP19" s="82" t="s">
        <v>380</v>
      </c>
      <c r="AQ19" s="82" t="s">
        <v>381</v>
      </c>
      <c r="AR19" s="82"/>
    </row>
    <row r="20" spans="1:44">
      <c r="A20" s="33" t="s">
        <v>407</v>
      </c>
      <c r="C20" s="33" t="s">
        <v>387</v>
      </c>
      <c r="D20" s="33" t="s">
        <v>378</v>
      </c>
      <c r="E20" s="33" t="s">
        <v>65</v>
      </c>
      <c r="F20" s="82">
        <v>6</v>
      </c>
      <c r="G20" s="82">
        <v>8</v>
      </c>
      <c r="H20" s="82">
        <v>0</v>
      </c>
      <c r="I20" s="82">
        <v>169</v>
      </c>
      <c r="J20" s="82">
        <f t="shared" si="0"/>
        <v>8</v>
      </c>
      <c r="K20" s="82" t="s">
        <v>470</v>
      </c>
      <c r="L20" s="82"/>
      <c r="M20" s="82"/>
      <c r="N20" s="82"/>
      <c r="O20" s="82"/>
      <c r="P20" s="82"/>
      <c r="Q20" s="82"/>
      <c r="R20" s="82"/>
      <c r="S20" s="82"/>
      <c r="T20" s="82"/>
      <c r="U20" s="82"/>
      <c r="V20" s="82"/>
      <c r="W20" s="82"/>
      <c r="X20" s="82"/>
      <c r="Y20" s="82"/>
      <c r="Z20" s="82"/>
      <c r="AA20" s="82"/>
      <c r="AB20" s="82"/>
      <c r="AC20" s="82"/>
      <c r="AD20" s="82"/>
      <c r="AE20" s="82"/>
      <c r="AF20" s="82"/>
      <c r="AG20" s="82"/>
      <c r="AH20" s="82"/>
      <c r="AI20" s="82"/>
      <c r="AJ20" s="82"/>
      <c r="AK20" s="82"/>
      <c r="AL20" s="82"/>
      <c r="AM20" s="82"/>
      <c r="AN20" s="82"/>
      <c r="AO20" s="82"/>
      <c r="AP20" s="82" t="s">
        <v>396</v>
      </c>
      <c r="AQ20" s="12" t="s">
        <v>397</v>
      </c>
      <c r="AR20" s="82"/>
    </row>
    <row r="21" spans="1:44">
      <c r="A21" s="33" t="s">
        <v>408</v>
      </c>
      <c r="C21" s="33" t="s">
        <v>387</v>
      </c>
      <c r="D21" s="33" t="s">
        <v>378</v>
      </c>
      <c r="E21" s="33" t="s">
        <v>556</v>
      </c>
      <c r="F21" s="82">
        <v>6</v>
      </c>
      <c r="G21" s="82">
        <v>8</v>
      </c>
      <c r="H21" s="82">
        <v>0</v>
      </c>
      <c r="I21" s="82">
        <v>61</v>
      </c>
      <c r="J21" s="82">
        <f t="shared" si="0"/>
        <v>8</v>
      </c>
      <c r="K21" s="82" t="s">
        <v>472</v>
      </c>
      <c r="L21" s="82"/>
      <c r="M21" s="82"/>
      <c r="N21" s="82"/>
      <c r="O21" s="82"/>
      <c r="P21" s="82"/>
      <c r="Q21" s="82"/>
      <c r="R21" s="82"/>
      <c r="S21" s="82"/>
      <c r="T21" s="82"/>
      <c r="U21" s="82"/>
      <c r="V21" s="82"/>
      <c r="W21" s="82"/>
      <c r="X21" s="82"/>
      <c r="Y21" s="82"/>
      <c r="Z21" s="82"/>
      <c r="AA21" s="82"/>
      <c r="AB21" s="82"/>
      <c r="AC21" s="82"/>
      <c r="AD21" s="82"/>
      <c r="AE21" s="82"/>
      <c r="AF21" s="82"/>
      <c r="AG21" s="82"/>
      <c r="AH21" s="82"/>
      <c r="AI21" s="82"/>
      <c r="AJ21" s="82"/>
      <c r="AK21" s="82"/>
      <c r="AL21" s="82"/>
      <c r="AM21" s="82"/>
      <c r="AN21" s="82"/>
      <c r="AO21" s="82"/>
      <c r="AP21" s="82" t="s">
        <v>380</v>
      </c>
      <c r="AQ21" s="82" t="s">
        <v>381</v>
      </c>
      <c r="AR21" s="82"/>
    </row>
    <row r="22" spans="1:44">
      <c r="A22" s="33" t="s">
        <v>409</v>
      </c>
      <c r="C22" s="33" t="s">
        <v>387</v>
      </c>
      <c r="D22" s="33" t="s">
        <v>378</v>
      </c>
      <c r="E22" s="33" t="s">
        <v>556</v>
      </c>
      <c r="F22" s="82">
        <v>6</v>
      </c>
      <c r="G22" s="82">
        <v>8</v>
      </c>
      <c r="H22" s="82">
        <v>0</v>
      </c>
      <c r="I22" s="82">
        <v>61</v>
      </c>
      <c r="J22" s="82">
        <f t="shared" si="0"/>
        <v>8</v>
      </c>
      <c r="K22" s="82" t="s">
        <v>469</v>
      </c>
      <c r="L22" s="82"/>
      <c r="M22" s="82"/>
      <c r="N22" s="82"/>
      <c r="O22" s="82"/>
      <c r="P22" s="82"/>
      <c r="Q22" s="82"/>
      <c r="R22" s="82"/>
      <c r="S22" s="82"/>
      <c r="T22" s="82"/>
      <c r="U22" s="82"/>
      <c r="V22" s="82"/>
      <c r="W22" s="82"/>
      <c r="X22" s="82"/>
      <c r="Y22" s="82"/>
      <c r="Z22" s="82"/>
      <c r="AA22" s="82"/>
      <c r="AB22" s="82"/>
      <c r="AC22" s="82"/>
      <c r="AD22" s="82"/>
      <c r="AE22" s="82"/>
      <c r="AF22" s="82"/>
      <c r="AG22" s="82"/>
      <c r="AH22" s="82"/>
      <c r="AI22" s="82"/>
      <c r="AJ22" s="82"/>
      <c r="AK22" s="82"/>
      <c r="AL22" s="82"/>
      <c r="AM22" s="82"/>
      <c r="AN22" s="82"/>
      <c r="AO22" s="82"/>
      <c r="AP22" s="82" t="s">
        <v>380</v>
      </c>
      <c r="AQ22" s="82" t="s">
        <v>381</v>
      </c>
      <c r="AR22" s="82"/>
    </row>
    <row r="23" spans="1:44">
      <c r="A23" s="33" t="s">
        <v>410</v>
      </c>
      <c r="C23" s="33" t="s">
        <v>387</v>
      </c>
      <c r="D23" s="33" t="s">
        <v>378</v>
      </c>
      <c r="E23" s="33" t="s">
        <v>73</v>
      </c>
      <c r="F23" s="82">
        <v>6</v>
      </c>
      <c r="G23" s="82">
        <v>18</v>
      </c>
      <c r="H23" s="82">
        <v>0</v>
      </c>
      <c r="I23" s="82">
        <v>151</v>
      </c>
      <c r="J23" s="82">
        <f t="shared" si="0"/>
        <v>18</v>
      </c>
      <c r="K23" s="82" t="s">
        <v>470</v>
      </c>
      <c r="L23" s="82"/>
      <c r="M23" s="82"/>
      <c r="N23" s="82"/>
      <c r="O23" s="82"/>
      <c r="P23" s="82"/>
      <c r="Q23" s="82"/>
      <c r="R23" s="82"/>
      <c r="S23" s="82"/>
      <c r="T23" s="82"/>
      <c r="U23" s="82"/>
      <c r="V23" s="82"/>
      <c r="W23" s="82"/>
      <c r="X23" s="82"/>
      <c r="Y23" s="82"/>
      <c r="Z23" s="82"/>
      <c r="AA23" s="82"/>
      <c r="AB23" s="82"/>
      <c r="AC23" s="82"/>
      <c r="AD23" s="12">
        <v>100</v>
      </c>
      <c r="AE23" s="12" t="s">
        <v>469</v>
      </c>
      <c r="AF23" s="12"/>
      <c r="AG23" s="12"/>
      <c r="AH23" s="12"/>
      <c r="AI23" s="12"/>
      <c r="AJ23" s="12"/>
      <c r="AK23" s="12"/>
      <c r="AL23" s="12"/>
      <c r="AM23" s="12"/>
      <c r="AN23" s="12"/>
      <c r="AO23" s="12"/>
      <c r="AP23" s="82" t="s">
        <v>380</v>
      </c>
      <c r="AQ23" s="82" t="s">
        <v>381</v>
      </c>
      <c r="AR23" s="82"/>
    </row>
    <row r="24" spans="1:44">
      <c r="A24" s="33" t="s">
        <v>411</v>
      </c>
      <c r="C24" s="33" t="s">
        <v>387</v>
      </c>
      <c r="D24" s="33" t="s">
        <v>378</v>
      </c>
      <c r="E24" s="33" t="s">
        <v>77</v>
      </c>
      <c r="F24" s="82">
        <v>6</v>
      </c>
      <c r="G24" s="82">
        <v>18</v>
      </c>
      <c r="H24" s="82">
        <v>0</v>
      </c>
      <c r="I24" s="82">
        <v>151</v>
      </c>
      <c r="J24" s="82">
        <f t="shared" si="0"/>
        <v>18</v>
      </c>
      <c r="K24" s="82" t="s">
        <v>472</v>
      </c>
      <c r="L24" s="82"/>
      <c r="M24" s="82"/>
      <c r="N24" s="82"/>
      <c r="O24" s="82"/>
      <c r="P24" s="82"/>
      <c r="Q24" s="82"/>
      <c r="R24" s="82"/>
      <c r="S24" s="82"/>
      <c r="T24" s="82"/>
      <c r="U24" s="82"/>
      <c r="V24" s="82"/>
      <c r="W24" s="82"/>
      <c r="X24" s="82"/>
      <c r="Y24" s="82"/>
      <c r="Z24" s="82"/>
      <c r="AA24" s="82"/>
      <c r="AB24" s="82"/>
      <c r="AC24" s="82"/>
      <c r="AD24" s="12">
        <v>100</v>
      </c>
      <c r="AE24" s="12" t="s">
        <v>472</v>
      </c>
      <c r="AF24" s="12"/>
      <c r="AG24" s="12"/>
      <c r="AH24" s="12"/>
      <c r="AI24" s="12"/>
      <c r="AJ24" s="12"/>
      <c r="AK24" s="12"/>
      <c r="AL24" s="12"/>
      <c r="AM24" s="12"/>
      <c r="AN24" s="12"/>
      <c r="AO24" s="12"/>
      <c r="AP24" s="82" t="s">
        <v>380</v>
      </c>
      <c r="AQ24" s="82" t="s">
        <v>381</v>
      </c>
      <c r="AR24" s="82"/>
    </row>
    <row r="25" spans="1:44">
      <c r="A25" s="33" t="s">
        <v>433</v>
      </c>
      <c r="C25" s="33" t="s">
        <v>387</v>
      </c>
      <c r="D25" s="33" t="s">
        <v>378</v>
      </c>
      <c r="E25" s="33" t="s">
        <v>81</v>
      </c>
      <c r="F25" s="82">
        <v>6</v>
      </c>
      <c r="G25" s="82">
        <v>9</v>
      </c>
      <c r="H25" s="82">
        <v>0</v>
      </c>
      <c r="I25" s="82">
        <v>41</v>
      </c>
      <c r="J25" s="82">
        <f t="shared" si="0"/>
        <v>9</v>
      </c>
      <c r="K25" s="82" t="s">
        <v>469</v>
      </c>
      <c r="L25" s="82"/>
      <c r="M25" s="82"/>
      <c r="N25" s="82"/>
      <c r="O25" s="82"/>
      <c r="P25" s="82"/>
      <c r="Q25" s="82"/>
      <c r="R25" s="82"/>
      <c r="S25" s="82"/>
      <c r="T25" s="82"/>
      <c r="U25" s="82"/>
      <c r="V25" s="82"/>
      <c r="W25" s="82"/>
      <c r="X25" s="82"/>
      <c r="Y25" s="82"/>
      <c r="Z25" s="82"/>
      <c r="AA25" s="82"/>
      <c r="AB25" s="82"/>
      <c r="AC25" s="82"/>
      <c r="AD25" s="82"/>
      <c r="AE25" s="82"/>
      <c r="AF25" s="82"/>
      <c r="AG25" s="82"/>
      <c r="AH25" s="82"/>
      <c r="AI25" s="82"/>
      <c r="AJ25" s="82"/>
      <c r="AK25" s="82"/>
      <c r="AL25" s="82"/>
      <c r="AM25" s="82"/>
      <c r="AN25" s="82"/>
      <c r="AO25" s="82"/>
      <c r="AP25" s="82" t="s">
        <v>380</v>
      </c>
      <c r="AQ25" s="82" t="s">
        <v>381</v>
      </c>
      <c r="AR25" s="82"/>
    </row>
    <row r="26" spans="1:44">
      <c r="A26" s="33" t="s">
        <v>435</v>
      </c>
      <c r="C26" s="33" t="s">
        <v>387</v>
      </c>
      <c r="D26" s="33" t="s">
        <v>378</v>
      </c>
      <c r="E26" s="33" t="s">
        <v>81</v>
      </c>
      <c r="F26" s="82">
        <v>6</v>
      </c>
      <c r="G26" s="82">
        <v>9</v>
      </c>
      <c r="H26" s="82">
        <v>0</v>
      </c>
      <c r="I26" s="82">
        <v>41</v>
      </c>
      <c r="J26" s="82">
        <f t="shared" si="0"/>
        <v>9</v>
      </c>
      <c r="K26" s="82" t="s">
        <v>470</v>
      </c>
      <c r="L26" s="82"/>
      <c r="M26" s="82"/>
      <c r="N26" s="82"/>
      <c r="O26" s="82"/>
      <c r="P26" s="82"/>
      <c r="Q26" s="82"/>
      <c r="R26" s="82"/>
      <c r="S26" s="82"/>
      <c r="T26" s="82"/>
      <c r="U26" s="82"/>
      <c r="V26" s="82"/>
      <c r="W26" s="82"/>
      <c r="X26" s="82"/>
      <c r="Y26" s="82"/>
      <c r="Z26" s="82"/>
      <c r="AA26" s="82"/>
      <c r="AB26" s="82"/>
      <c r="AC26" s="82"/>
      <c r="AD26" s="82"/>
      <c r="AE26" s="82"/>
      <c r="AF26" s="82"/>
      <c r="AG26" s="82"/>
      <c r="AH26" s="82"/>
      <c r="AI26" s="82"/>
      <c r="AJ26" s="82"/>
      <c r="AK26" s="82"/>
      <c r="AL26" s="82"/>
      <c r="AM26" s="82"/>
      <c r="AN26" s="82"/>
      <c r="AO26" s="82"/>
      <c r="AP26" s="82" t="s">
        <v>380</v>
      </c>
      <c r="AQ26" s="82" t="s">
        <v>381</v>
      </c>
      <c r="AR26" s="82"/>
    </row>
    <row r="27" spans="1:44">
      <c r="A27" s="33" t="s">
        <v>557</v>
      </c>
      <c r="C27" s="33" t="s">
        <v>387</v>
      </c>
      <c r="D27" s="33" t="s">
        <v>378</v>
      </c>
      <c r="E27" s="33" t="s">
        <v>85</v>
      </c>
      <c r="F27" s="82">
        <v>8</v>
      </c>
      <c r="G27" s="82">
        <v>36</v>
      </c>
      <c r="H27" s="82">
        <v>36</v>
      </c>
      <c r="I27" s="12">
        <v>136</v>
      </c>
      <c r="J27" s="82">
        <f t="shared" si="0"/>
        <v>0</v>
      </c>
      <c r="K27" s="82" t="s">
        <v>472</v>
      </c>
      <c r="L27" s="82"/>
      <c r="M27" s="82"/>
      <c r="N27" s="82"/>
      <c r="O27" s="82"/>
      <c r="P27" s="82"/>
      <c r="Q27" s="82"/>
      <c r="R27" s="82"/>
      <c r="S27" s="82"/>
      <c r="T27" s="82"/>
      <c r="U27" s="82"/>
      <c r="V27" s="82"/>
      <c r="W27" s="82"/>
      <c r="X27" s="82"/>
      <c r="Y27" s="82"/>
      <c r="Z27" s="82"/>
      <c r="AA27" s="82"/>
      <c r="AB27" s="82"/>
      <c r="AC27" s="82"/>
      <c r="AD27" s="82"/>
      <c r="AE27" s="82"/>
      <c r="AF27" s="82"/>
      <c r="AG27" s="82"/>
      <c r="AH27" s="82"/>
      <c r="AI27" s="82"/>
      <c r="AJ27" s="82"/>
      <c r="AK27" s="82"/>
      <c r="AL27" s="82"/>
      <c r="AM27" s="82"/>
      <c r="AN27" s="82"/>
      <c r="AO27" s="82"/>
      <c r="AP27" s="82" t="s">
        <v>396</v>
      </c>
      <c r="AQ27" s="12" t="s">
        <v>397</v>
      </c>
      <c r="AR27" s="82"/>
    </row>
    <row r="28" spans="1:44">
      <c r="A28" s="33" t="s">
        <v>558</v>
      </c>
      <c r="C28" s="33" t="s">
        <v>387</v>
      </c>
      <c r="D28" s="33" t="s">
        <v>378</v>
      </c>
      <c r="E28" s="33" t="s">
        <v>85</v>
      </c>
      <c r="F28" s="82">
        <v>8</v>
      </c>
      <c r="G28" s="82">
        <v>36</v>
      </c>
      <c r="H28" s="82">
        <v>36</v>
      </c>
      <c r="I28" s="12">
        <v>136</v>
      </c>
      <c r="J28" s="82">
        <f t="shared" si="0"/>
        <v>0</v>
      </c>
      <c r="K28" s="82" t="s">
        <v>469</v>
      </c>
      <c r="L28" s="82"/>
      <c r="M28" s="82"/>
      <c r="N28" s="82"/>
      <c r="O28" s="82"/>
      <c r="P28" s="82"/>
      <c r="Q28" s="82"/>
      <c r="R28" s="82"/>
      <c r="S28" s="82"/>
      <c r="T28" s="82"/>
      <c r="U28" s="82"/>
      <c r="V28" s="82"/>
      <c r="W28" s="82"/>
      <c r="X28" s="82"/>
      <c r="Y28" s="82"/>
      <c r="Z28" s="82"/>
      <c r="AA28" s="82"/>
      <c r="AB28" s="82"/>
      <c r="AC28" s="82"/>
      <c r="AD28" s="82"/>
      <c r="AE28" s="82"/>
      <c r="AF28" s="82"/>
      <c r="AG28" s="82"/>
      <c r="AH28" s="82"/>
      <c r="AI28" s="82"/>
      <c r="AJ28" s="82"/>
      <c r="AK28" s="82"/>
      <c r="AL28" s="82"/>
      <c r="AM28" s="82"/>
      <c r="AN28" s="82"/>
      <c r="AO28" s="82"/>
      <c r="AP28" s="82" t="s">
        <v>396</v>
      </c>
      <c r="AQ28" s="12" t="s">
        <v>397</v>
      </c>
      <c r="AR28" s="82"/>
    </row>
    <row r="29" spans="1:44">
      <c r="A29" s="33" t="s">
        <v>559</v>
      </c>
      <c r="C29" s="33" t="s">
        <v>387</v>
      </c>
      <c r="D29" s="33" t="s">
        <v>378</v>
      </c>
      <c r="E29" s="33" t="s">
        <v>85</v>
      </c>
      <c r="F29" s="82">
        <v>8</v>
      </c>
      <c r="G29" s="82">
        <v>36</v>
      </c>
      <c r="H29" s="82">
        <v>36</v>
      </c>
      <c r="I29" s="12">
        <v>136</v>
      </c>
      <c r="J29" s="82">
        <f t="shared" si="0"/>
        <v>0</v>
      </c>
      <c r="K29" s="82" t="s">
        <v>470</v>
      </c>
      <c r="L29" s="82"/>
      <c r="M29" s="82"/>
      <c r="N29" s="82"/>
      <c r="O29" s="82"/>
      <c r="P29" s="82"/>
      <c r="Q29" s="82"/>
      <c r="R29" s="82"/>
      <c r="S29" s="82"/>
      <c r="T29" s="82"/>
      <c r="U29" s="82"/>
      <c r="V29" s="82"/>
      <c r="W29" s="82"/>
      <c r="X29" s="82"/>
      <c r="Y29" s="82"/>
      <c r="Z29" s="82"/>
      <c r="AA29" s="82"/>
      <c r="AB29" s="82"/>
      <c r="AC29" s="82"/>
      <c r="AD29" s="82"/>
      <c r="AE29" s="82"/>
      <c r="AF29" s="82"/>
      <c r="AG29" s="82"/>
      <c r="AH29" s="82"/>
      <c r="AI29" s="82"/>
      <c r="AJ29" s="82"/>
      <c r="AK29" s="82"/>
      <c r="AL29" s="82"/>
      <c r="AM29" s="82"/>
      <c r="AN29" s="82"/>
      <c r="AO29" s="82"/>
      <c r="AP29" s="82" t="s">
        <v>396</v>
      </c>
      <c r="AQ29" s="12" t="s">
        <v>397</v>
      </c>
      <c r="AR29" s="82"/>
    </row>
    <row r="30" spans="1:44">
      <c r="A30" s="33" t="s">
        <v>560</v>
      </c>
      <c r="C30" s="33" t="s">
        <v>387</v>
      </c>
      <c r="D30" s="33" t="s">
        <v>378</v>
      </c>
      <c r="E30" s="33" t="s">
        <v>85</v>
      </c>
      <c r="F30" s="82">
        <v>8</v>
      </c>
      <c r="G30" s="82">
        <v>36</v>
      </c>
      <c r="H30" s="82">
        <v>36</v>
      </c>
      <c r="I30" s="12">
        <v>136</v>
      </c>
      <c r="J30" s="82">
        <f t="shared" si="0"/>
        <v>0</v>
      </c>
      <c r="K30" s="82" t="s">
        <v>472</v>
      </c>
      <c r="L30" s="82"/>
      <c r="M30" s="82"/>
      <c r="N30" s="82"/>
      <c r="O30" s="82"/>
      <c r="P30" s="82"/>
      <c r="Q30" s="82"/>
      <c r="R30" s="82"/>
      <c r="S30" s="82"/>
      <c r="T30" s="82"/>
      <c r="U30" s="82"/>
      <c r="V30" s="82"/>
      <c r="W30" s="82"/>
      <c r="X30" s="82"/>
      <c r="Y30" s="82"/>
      <c r="Z30" s="82"/>
      <c r="AA30" s="82"/>
      <c r="AB30" s="82"/>
      <c r="AC30" s="82"/>
      <c r="AD30" s="82"/>
      <c r="AE30" s="82"/>
      <c r="AF30" s="82"/>
      <c r="AG30" s="82"/>
      <c r="AH30" s="82"/>
      <c r="AI30" s="82"/>
      <c r="AJ30" s="82"/>
      <c r="AK30" s="82"/>
      <c r="AL30" s="82"/>
      <c r="AM30" s="82"/>
      <c r="AN30" s="82"/>
      <c r="AO30" s="82"/>
      <c r="AP30" s="82" t="s">
        <v>396</v>
      </c>
      <c r="AQ30" s="12" t="s">
        <v>397</v>
      </c>
      <c r="AR30" s="82"/>
    </row>
    <row r="31" spans="1:44">
      <c r="A31" s="33" t="s">
        <v>566</v>
      </c>
      <c r="C31" s="33" t="s">
        <v>387</v>
      </c>
      <c r="D31" s="33" t="s">
        <v>378</v>
      </c>
      <c r="E31" s="33" t="s">
        <v>85</v>
      </c>
      <c r="F31" s="82">
        <v>8</v>
      </c>
      <c r="G31" s="82">
        <v>36</v>
      </c>
      <c r="H31" s="82">
        <v>36</v>
      </c>
      <c r="I31" s="12">
        <v>136</v>
      </c>
      <c r="J31" s="82">
        <f t="shared" si="0"/>
        <v>0</v>
      </c>
      <c r="K31" s="82" t="s">
        <v>469</v>
      </c>
      <c r="L31" s="82"/>
      <c r="M31" s="82"/>
      <c r="N31" s="82"/>
      <c r="O31" s="82"/>
      <c r="P31" s="82"/>
      <c r="Q31" s="82"/>
      <c r="R31" s="82"/>
      <c r="S31" s="82"/>
      <c r="T31" s="82"/>
      <c r="U31" s="82"/>
      <c r="V31" s="82"/>
      <c r="W31" s="82"/>
      <c r="X31" s="82"/>
      <c r="Y31" s="82"/>
      <c r="Z31" s="82"/>
      <c r="AA31" s="82"/>
      <c r="AB31" s="82"/>
      <c r="AC31" s="82"/>
      <c r="AD31" s="82"/>
      <c r="AE31" s="82"/>
      <c r="AF31" s="82"/>
      <c r="AG31" s="82"/>
      <c r="AH31" s="82"/>
      <c r="AI31" s="82"/>
      <c r="AJ31" s="82"/>
      <c r="AK31" s="82"/>
      <c r="AL31" s="82"/>
      <c r="AM31" s="82"/>
      <c r="AN31" s="82"/>
      <c r="AO31" s="82"/>
      <c r="AP31" s="82" t="s">
        <v>396</v>
      </c>
      <c r="AQ31" s="12" t="s">
        <v>397</v>
      </c>
      <c r="AR31" s="82"/>
    </row>
    <row r="32" spans="1:44">
      <c r="A32" s="33" t="s">
        <v>567</v>
      </c>
      <c r="C32" s="33" t="s">
        <v>387</v>
      </c>
      <c r="D32" s="33" t="s">
        <v>378</v>
      </c>
      <c r="E32" s="33" t="s">
        <v>85</v>
      </c>
      <c r="F32" s="82">
        <v>8</v>
      </c>
      <c r="G32" s="82">
        <v>36</v>
      </c>
      <c r="H32" s="82">
        <v>36</v>
      </c>
      <c r="I32" s="12">
        <v>136</v>
      </c>
      <c r="J32" s="82">
        <f t="shared" si="0"/>
        <v>0</v>
      </c>
      <c r="K32" s="82" t="s">
        <v>470</v>
      </c>
      <c r="L32" s="82"/>
      <c r="M32" s="82"/>
      <c r="N32" s="82"/>
      <c r="O32" s="82"/>
      <c r="P32" s="82"/>
      <c r="Q32" s="82"/>
      <c r="R32" s="82"/>
      <c r="S32" s="82"/>
      <c r="T32" s="82"/>
      <c r="U32" s="82"/>
      <c r="V32" s="82"/>
      <c r="W32" s="82"/>
      <c r="X32" s="82"/>
      <c r="Y32" s="82"/>
      <c r="Z32" s="82"/>
      <c r="AA32" s="82"/>
      <c r="AB32" s="82"/>
      <c r="AC32" s="82"/>
      <c r="AD32" s="82"/>
      <c r="AE32" s="82"/>
      <c r="AF32" s="82"/>
      <c r="AG32" s="82"/>
      <c r="AH32" s="82"/>
      <c r="AI32" s="82"/>
      <c r="AJ32" s="82"/>
      <c r="AK32" s="82"/>
      <c r="AL32" s="82"/>
      <c r="AM32" s="82"/>
      <c r="AN32" s="82"/>
      <c r="AO32" s="82"/>
      <c r="AP32" s="82" t="s">
        <v>396</v>
      </c>
      <c r="AQ32" s="12" t="s">
        <v>397</v>
      </c>
      <c r="AR32" s="82"/>
    </row>
    <row r="33" spans="1:46">
      <c r="A33" s="33" t="s">
        <v>582</v>
      </c>
      <c r="C33" s="33" t="s">
        <v>387</v>
      </c>
      <c r="D33" s="33" t="s">
        <v>378</v>
      </c>
      <c r="E33" s="33" t="s">
        <v>85</v>
      </c>
      <c r="F33" s="82">
        <v>8</v>
      </c>
      <c r="G33" s="82">
        <v>36</v>
      </c>
      <c r="H33" s="82">
        <v>36</v>
      </c>
      <c r="I33" s="12">
        <v>136</v>
      </c>
      <c r="J33" s="82">
        <f t="shared" si="0"/>
        <v>0</v>
      </c>
      <c r="K33" s="82" t="s">
        <v>472</v>
      </c>
      <c r="L33" s="82"/>
      <c r="M33" s="82"/>
      <c r="N33" s="82"/>
      <c r="O33" s="82"/>
      <c r="P33" s="82"/>
      <c r="Q33" s="82"/>
      <c r="R33" s="82"/>
      <c r="S33" s="82"/>
      <c r="T33" s="82"/>
      <c r="U33" s="82"/>
      <c r="V33" s="82"/>
      <c r="W33" s="82"/>
      <c r="X33" s="82"/>
      <c r="Y33" s="82"/>
      <c r="Z33" s="82"/>
      <c r="AA33" s="82"/>
      <c r="AB33" s="82"/>
      <c r="AC33" s="82"/>
      <c r="AD33" s="82"/>
      <c r="AE33" s="82"/>
      <c r="AF33" s="82"/>
      <c r="AG33" s="82"/>
      <c r="AH33" s="82"/>
      <c r="AI33" s="82"/>
      <c r="AJ33" s="82"/>
      <c r="AK33" s="82"/>
      <c r="AL33" s="82"/>
      <c r="AM33" s="82"/>
      <c r="AN33" s="82"/>
      <c r="AO33" s="82"/>
      <c r="AP33" s="82" t="s">
        <v>396</v>
      </c>
      <c r="AQ33" s="12" t="s">
        <v>397</v>
      </c>
      <c r="AR33" s="82"/>
    </row>
    <row r="34" spans="1:46">
      <c r="A34" s="33" t="s">
        <v>583</v>
      </c>
      <c r="C34" s="33" t="s">
        <v>387</v>
      </c>
      <c r="D34" s="33" t="s">
        <v>378</v>
      </c>
      <c r="E34" s="33" t="s">
        <v>85</v>
      </c>
      <c r="F34" s="82">
        <v>8</v>
      </c>
      <c r="G34" s="82">
        <v>36</v>
      </c>
      <c r="H34" s="82">
        <v>36</v>
      </c>
      <c r="I34" s="12">
        <v>136</v>
      </c>
      <c r="J34" s="82">
        <f t="shared" si="0"/>
        <v>0</v>
      </c>
      <c r="K34" s="82" t="s">
        <v>469</v>
      </c>
      <c r="L34" s="82"/>
      <c r="M34" s="82"/>
      <c r="N34" s="82"/>
      <c r="O34" s="82"/>
      <c r="P34" s="82"/>
      <c r="Q34" s="82"/>
      <c r="R34" s="82"/>
      <c r="S34" s="82"/>
      <c r="T34" s="82"/>
      <c r="U34" s="82"/>
      <c r="V34" s="82"/>
      <c r="W34" s="82"/>
      <c r="X34" s="82"/>
      <c r="Y34" s="82"/>
      <c r="Z34" s="82"/>
      <c r="AA34" s="82"/>
      <c r="AB34" s="82"/>
      <c r="AC34" s="82"/>
      <c r="AD34" s="82"/>
      <c r="AE34" s="82"/>
      <c r="AF34" s="82"/>
      <c r="AG34" s="82"/>
      <c r="AH34" s="82"/>
      <c r="AI34" s="82"/>
      <c r="AJ34" s="82"/>
      <c r="AK34" s="82"/>
      <c r="AL34" s="82"/>
      <c r="AM34" s="82"/>
      <c r="AN34" s="82"/>
      <c r="AO34" s="82"/>
      <c r="AP34" s="82" t="s">
        <v>396</v>
      </c>
      <c r="AQ34" s="12" t="s">
        <v>397</v>
      </c>
      <c r="AR34" s="82"/>
    </row>
    <row r="35" spans="1:46">
      <c r="A35" s="33" t="s">
        <v>412</v>
      </c>
      <c r="B35" s="82"/>
      <c r="C35" s="33" t="s">
        <v>387</v>
      </c>
      <c r="D35" s="33" t="s">
        <v>378</v>
      </c>
      <c r="E35" s="33" t="s">
        <v>100</v>
      </c>
      <c r="F35" s="82">
        <v>9</v>
      </c>
      <c r="G35" s="82">
        <v>12</v>
      </c>
      <c r="H35" s="82">
        <v>0</v>
      </c>
      <c r="I35" s="82">
        <v>56</v>
      </c>
      <c r="J35" s="82">
        <f t="shared" si="0"/>
        <v>12</v>
      </c>
      <c r="K35" s="82" t="s">
        <v>469</v>
      </c>
      <c r="L35" s="82"/>
      <c r="M35" s="82"/>
      <c r="N35" s="82"/>
      <c r="O35" s="82"/>
      <c r="P35" s="82"/>
      <c r="Q35" s="82"/>
      <c r="R35" s="82"/>
      <c r="S35" s="82"/>
      <c r="T35" s="82"/>
      <c r="U35" s="82"/>
      <c r="V35" s="82"/>
      <c r="W35" s="82"/>
      <c r="X35" s="82"/>
      <c r="Y35" s="82"/>
      <c r="Z35" s="12">
        <v>50</v>
      </c>
      <c r="AA35" s="82" t="s">
        <v>413</v>
      </c>
      <c r="AB35" s="82"/>
      <c r="AC35" s="82"/>
      <c r="AD35" s="82"/>
      <c r="AE35" s="82"/>
      <c r="AF35" s="82"/>
      <c r="AG35" s="82"/>
      <c r="AH35" s="82"/>
      <c r="AI35" s="82"/>
      <c r="AJ35" s="82"/>
      <c r="AK35" s="82"/>
      <c r="AL35" s="82"/>
      <c r="AM35" s="82"/>
      <c r="AN35" s="82"/>
      <c r="AO35" s="82"/>
      <c r="AP35" s="82" t="s">
        <v>380</v>
      </c>
      <c r="AQ35" s="82" t="s">
        <v>381</v>
      </c>
      <c r="AR35" s="82"/>
    </row>
    <row r="36" spans="1:46">
      <c r="A36" s="33" t="s">
        <v>414</v>
      </c>
      <c r="C36" s="33" t="s">
        <v>387</v>
      </c>
      <c r="D36" s="33" t="s">
        <v>378</v>
      </c>
      <c r="E36" s="33" t="s">
        <v>100</v>
      </c>
      <c r="F36" s="82">
        <v>9</v>
      </c>
      <c r="G36" s="82">
        <v>12</v>
      </c>
      <c r="H36" s="82">
        <v>0</v>
      </c>
      <c r="I36" s="82">
        <v>56</v>
      </c>
      <c r="J36" s="82">
        <f t="shared" si="0"/>
        <v>12</v>
      </c>
      <c r="K36" s="82" t="s">
        <v>470</v>
      </c>
      <c r="L36" s="82"/>
      <c r="M36" s="82"/>
      <c r="N36" s="82"/>
      <c r="O36" s="82"/>
      <c r="P36" s="82"/>
      <c r="Q36" s="82"/>
      <c r="R36" s="82"/>
      <c r="S36" s="82"/>
      <c r="T36" s="82"/>
      <c r="U36" s="82"/>
      <c r="V36" s="82"/>
      <c r="W36" s="82"/>
      <c r="X36" s="82"/>
      <c r="Y36" s="82"/>
      <c r="Z36" s="12">
        <v>50</v>
      </c>
      <c r="AA36" s="82" t="s">
        <v>413</v>
      </c>
      <c r="AB36" s="82"/>
      <c r="AC36" s="82"/>
      <c r="AD36" s="82"/>
      <c r="AE36" s="82"/>
      <c r="AF36" s="82"/>
      <c r="AG36" s="82"/>
      <c r="AH36" s="82"/>
      <c r="AI36" s="82"/>
      <c r="AJ36" s="82"/>
      <c r="AK36" s="82"/>
      <c r="AL36" s="82"/>
      <c r="AM36" s="82"/>
      <c r="AN36" s="82"/>
      <c r="AO36" s="82"/>
      <c r="AP36" s="82" t="s">
        <v>380</v>
      </c>
      <c r="AQ36" s="82" t="s">
        <v>381</v>
      </c>
      <c r="AR36" s="82"/>
    </row>
    <row r="37" spans="1:46">
      <c r="A37" s="33" t="s">
        <v>584</v>
      </c>
      <c r="C37" s="33" t="s">
        <v>387</v>
      </c>
      <c r="D37" s="33" t="s">
        <v>378</v>
      </c>
      <c r="E37" s="33" t="s">
        <v>100</v>
      </c>
      <c r="F37" s="82">
        <v>9</v>
      </c>
      <c r="G37" s="82">
        <v>12</v>
      </c>
      <c r="H37" s="82">
        <v>0</v>
      </c>
      <c r="I37" s="82">
        <v>56</v>
      </c>
      <c r="J37" s="82">
        <f t="shared" si="0"/>
        <v>12</v>
      </c>
      <c r="K37" s="82" t="s">
        <v>472</v>
      </c>
      <c r="L37" s="82"/>
      <c r="M37" s="82"/>
      <c r="N37" s="82"/>
      <c r="O37" s="82"/>
      <c r="P37" s="82"/>
      <c r="Q37" s="82"/>
      <c r="R37" s="82"/>
      <c r="S37" s="82"/>
      <c r="T37" s="82"/>
      <c r="U37" s="82"/>
      <c r="V37" s="82"/>
      <c r="W37" s="82"/>
      <c r="X37" s="82"/>
      <c r="Y37" s="82"/>
      <c r="Z37" s="12">
        <v>50</v>
      </c>
      <c r="AA37" s="82" t="s">
        <v>413</v>
      </c>
      <c r="AB37" s="82"/>
      <c r="AC37" s="82"/>
      <c r="AD37" s="82"/>
      <c r="AE37" s="82"/>
      <c r="AF37" s="82"/>
      <c r="AG37" s="82"/>
      <c r="AH37" s="82"/>
      <c r="AI37" s="82"/>
      <c r="AJ37" s="82"/>
      <c r="AK37" s="82"/>
      <c r="AL37" s="82"/>
      <c r="AM37" s="82"/>
      <c r="AN37" s="82"/>
      <c r="AO37" s="82"/>
      <c r="AP37" s="82" t="s">
        <v>380</v>
      </c>
      <c r="AQ37" s="82" t="s">
        <v>381</v>
      </c>
      <c r="AR37" s="82"/>
    </row>
    <row r="38" spans="1:46">
      <c r="A38" s="33" t="s">
        <v>585</v>
      </c>
      <c r="C38" s="33" t="s">
        <v>387</v>
      </c>
      <c r="D38" s="33" t="s">
        <v>378</v>
      </c>
      <c r="E38" s="33" t="s">
        <v>100</v>
      </c>
      <c r="F38" s="82">
        <v>9</v>
      </c>
      <c r="G38" s="82">
        <v>12</v>
      </c>
      <c r="H38" s="82">
        <v>0</v>
      </c>
      <c r="I38" s="82">
        <v>56</v>
      </c>
      <c r="J38" s="82">
        <f t="shared" si="0"/>
        <v>12</v>
      </c>
      <c r="K38" s="82" t="s">
        <v>469</v>
      </c>
      <c r="L38" s="82"/>
      <c r="M38" s="82"/>
      <c r="N38" s="82"/>
      <c r="O38" s="82"/>
      <c r="P38" s="82"/>
      <c r="Q38" s="82"/>
      <c r="R38" s="82"/>
      <c r="S38" s="82"/>
      <c r="T38" s="82"/>
      <c r="U38" s="82"/>
      <c r="V38" s="82"/>
      <c r="W38" s="82"/>
      <c r="X38" s="82"/>
      <c r="Y38" s="82"/>
      <c r="Z38" s="12">
        <v>50</v>
      </c>
      <c r="AA38" s="82" t="s">
        <v>413</v>
      </c>
      <c r="AB38" s="82"/>
      <c r="AC38" s="82"/>
      <c r="AD38" s="82"/>
      <c r="AE38" s="82"/>
      <c r="AF38" s="82"/>
      <c r="AG38" s="82"/>
      <c r="AH38" s="82"/>
      <c r="AI38" s="82"/>
      <c r="AJ38" s="82"/>
      <c r="AK38" s="82"/>
      <c r="AL38" s="82"/>
      <c r="AM38" s="82"/>
      <c r="AN38" s="82"/>
      <c r="AO38" s="82"/>
      <c r="AP38" s="82" t="s">
        <v>380</v>
      </c>
      <c r="AQ38" s="82" t="s">
        <v>381</v>
      </c>
      <c r="AR38" s="82"/>
    </row>
    <row r="39" spans="1:46">
      <c r="A39" s="33" t="s">
        <v>415</v>
      </c>
      <c r="C39" s="33" t="s">
        <v>387</v>
      </c>
      <c r="D39" s="33" t="s">
        <v>378</v>
      </c>
      <c r="E39" s="33" t="s">
        <v>416</v>
      </c>
      <c r="F39" s="82">
        <v>4</v>
      </c>
      <c r="G39" s="82">
        <v>4</v>
      </c>
      <c r="H39" s="82">
        <v>0</v>
      </c>
      <c r="I39" s="82">
        <v>41</v>
      </c>
      <c r="J39" s="82">
        <f>G39-H39</f>
        <v>4</v>
      </c>
      <c r="K39" s="82" t="s">
        <v>472</v>
      </c>
      <c r="L39" s="82"/>
      <c r="M39" s="82"/>
      <c r="N39" s="82"/>
      <c r="O39" s="82"/>
      <c r="P39" s="82"/>
      <c r="Q39" s="82"/>
      <c r="R39" s="82"/>
      <c r="S39" s="82"/>
      <c r="T39" s="82"/>
      <c r="U39" s="82"/>
      <c r="V39" s="82"/>
      <c r="W39" s="82"/>
      <c r="X39" s="82"/>
      <c r="Y39" s="82"/>
      <c r="Z39" s="82"/>
      <c r="AA39" s="82"/>
      <c r="AB39" s="82"/>
      <c r="AC39" s="82"/>
      <c r="AD39" s="82"/>
      <c r="AE39" s="82"/>
      <c r="AF39" s="82"/>
      <c r="AG39" s="82"/>
      <c r="AH39" s="82"/>
      <c r="AI39" s="82"/>
      <c r="AJ39" s="82"/>
      <c r="AK39" s="82"/>
      <c r="AL39" s="82"/>
      <c r="AM39" s="82"/>
      <c r="AN39" s="82"/>
      <c r="AO39" s="82"/>
      <c r="AP39" s="82" t="s">
        <v>380</v>
      </c>
      <c r="AQ39" s="82" t="s">
        <v>381</v>
      </c>
      <c r="AR39" s="82"/>
    </row>
    <row r="40" spans="1:46">
      <c r="A40" s="33" t="s">
        <v>417</v>
      </c>
      <c r="C40" s="33" t="s">
        <v>387</v>
      </c>
      <c r="D40" s="33" t="s">
        <v>378</v>
      </c>
      <c r="E40" s="33" t="s">
        <v>418</v>
      </c>
      <c r="F40" s="82">
        <v>4</v>
      </c>
      <c r="G40" s="82">
        <v>4</v>
      </c>
      <c r="H40" s="82">
        <v>0</v>
      </c>
      <c r="I40" s="82">
        <v>41</v>
      </c>
      <c r="J40" s="82">
        <f>G40-H40</f>
        <v>4</v>
      </c>
      <c r="K40" s="82" t="s">
        <v>472</v>
      </c>
      <c r="L40" s="82"/>
      <c r="M40" s="82"/>
      <c r="N40" s="82"/>
      <c r="O40" s="82"/>
      <c r="P40" s="82"/>
      <c r="Q40" s="82"/>
      <c r="R40" s="82"/>
      <c r="S40" s="82"/>
      <c r="T40" s="82"/>
      <c r="U40" s="82"/>
      <c r="V40" s="82"/>
      <c r="W40" s="82"/>
      <c r="X40" s="82"/>
      <c r="Y40" s="82"/>
      <c r="Z40" s="82"/>
      <c r="AA40" s="82"/>
      <c r="AB40" s="82"/>
      <c r="AC40" s="82"/>
      <c r="AD40" s="82"/>
      <c r="AE40" s="82"/>
      <c r="AF40" s="82"/>
      <c r="AG40" s="82"/>
      <c r="AH40" s="82"/>
      <c r="AI40" s="82"/>
      <c r="AJ40" s="82"/>
      <c r="AK40" s="82"/>
      <c r="AL40" s="82"/>
      <c r="AM40" s="82"/>
      <c r="AN40" s="82"/>
      <c r="AO40" s="82"/>
      <c r="AP40" s="82" t="s">
        <v>380</v>
      </c>
      <c r="AQ40" s="82" t="s">
        <v>381</v>
      </c>
      <c r="AR40" s="82"/>
    </row>
    <row r="41" spans="1:46" ht="14.5">
      <c r="A41" s="17" t="s">
        <v>419</v>
      </c>
      <c r="B41" s="17"/>
      <c r="C41" s="17" t="s">
        <v>387</v>
      </c>
      <c r="D41" s="17" t="s">
        <v>378</v>
      </c>
      <c r="E41" s="108" t="s">
        <v>420</v>
      </c>
      <c r="F41" s="15">
        <v>2</v>
      </c>
      <c r="G41" s="15">
        <v>4</v>
      </c>
      <c r="H41" s="15">
        <v>0</v>
      </c>
      <c r="I41" s="15">
        <v>65</v>
      </c>
      <c r="J41" s="15">
        <f t="shared" ref="J41" si="1">G41-H41</f>
        <v>4</v>
      </c>
      <c r="K41" s="82" t="s">
        <v>469</v>
      </c>
      <c r="L41" s="15"/>
      <c r="M41" s="15"/>
      <c r="N41" s="96"/>
      <c r="O41" s="95"/>
      <c r="P41" s="15"/>
      <c r="Q41" s="15"/>
      <c r="R41" s="15"/>
      <c r="S41" s="15"/>
      <c r="T41" s="15"/>
      <c r="U41" s="15"/>
      <c r="V41" s="17"/>
      <c r="W41" s="17"/>
      <c r="X41" s="15"/>
      <c r="Y41" s="15"/>
      <c r="Z41" s="17"/>
      <c r="AA41" s="17"/>
      <c r="AB41" s="17"/>
      <c r="AC41" s="17"/>
      <c r="AD41" s="17"/>
      <c r="AE41" s="17"/>
      <c r="AF41" s="17"/>
      <c r="AG41" s="36"/>
      <c r="AH41" s="36">
        <v>200</v>
      </c>
      <c r="AI41" s="36" t="s">
        <v>421</v>
      </c>
      <c r="AJ41" s="36"/>
      <c r="AK41" s="36"/>
      <c r="AL41" s="36"/>
      <c r="AM41" s="36"/>
      <c r="AN41" s="36"/>
      <c r="AO41" s="36"/>
      <c r="AP41" s="15" t="s">
        <v>380</v>
      </c>
      <c r="AQ41" s="15" t="s">
        <v>381</v>
      </c>
      <c r="AR41" s="15"/>
    </row>
    <row r="42" spans="1:46" s="37" customFormat="1">
      <c r="F42" s="38">
        <f>SUM(F8:F41)</f>
        <v>222</v>
      </c>
      <c r="G42" s="38">
        <f>SUM(G8:G41)</f>
        <v>687</v>
      </c>
      <c r="H42" s="38">
        <f>SUM(H8:H41)</f>
        <v>433</v>
      </c>
      <c r="I42" s="38">
        <f>SUM(I8:I41)</f>
        <v>3669</v>
      </c>
      <c r="J42" s="38"/>
      <c r="K42" s="38"/>
      <c r="L42" s="38">
        <f>SUM(L8:L41)</f>
        <v>500</v>
      </c>
      <c r="M42" s="38"/>
      <c r="N42" s="38">
        <f>SUM(N8:N41)</f>
        <v>9000</v>
      </c>
      <c r="O42" s="38"/>
      <c r="P42" s="38">
        <f>SUM(P8:P41)</f>
        <v>13500</v>
      </c>
      <c r="Q42" s="38"/>
      <c r="R42" s="38">
        <f>SUM(R8:R41)</f>
        <v>920</v>
      </c>
      <c r="S42" s="38"/>
      <c r="T42" s="38">
        <f>SUM(T8:T41)</f>
        <v>300</v>
      </c>
      <c r="U42" s="38"/>
      <c r="V42" s="38">
        <f>SUM(V8:V41)</f>
        <v>0</v>
      </c>
      <c r="W42" s="38"/>
      <c r="X42" s="38">
        <f>SUM(X8:X41)</f>
        <v>31056</v>
      </c>
      <c r="Z42" s="38">
        <f>SUM(Z8:Z41)</f>
        <v>200</v>
      </c>
      <c r="AB42" s="38">
        <f>SUM(AB8:AB41)</f>
        <v>50</v>
      </c>
      <c r="AD42" s="38">
        <f>SUM(AD8:AD41)</f>
        <v>200</v>
      </c>
      <c r="AF42" s="38">
        <f>SUM(AF8:AF41)</f>
        <v>0</v>
      </c>
      <c r="AH42" s="38">
        <f>SUM(AH8:AH41)</f>
        <v>200</v>
      </c>
      <c r="AJ42" s="38">
        <f>SUM(AJ8:AJ41)</f>
        <v>0</v>
      </c>
      <c r="AL42" s="38">
        <f>SUM(AL8:AL41)</f>
        <v>0</v>
      </c>
      <c r="AN42" s="38">
        <f>SUM(AN8:AN41)</f>
        <v>0</v>
      </c>
      <c r="AQ42" s="38" t="s">
        <v>604</v>
      </c>
      <c r="AR42" s="38">
        <v>2</v>
      </c>
    </row>
    <row r="43" spans="1:46" ht="13">
      <c r="A43" s="153" t="s">
        <v>423</v>
      </c>
    </row>
    <row r="44" spans="1:46" s="4" customFormat="1" ht="13.5" customHeight="1">
      <c r="A44" s="14" t="s">
        <v>424</v>
      </c>
      <c r="F44" s="12"/>
      <c r="G44" s="12"/>
      <c r="H44" s="12"/>
      <c r="I44" s="12"/>
      <c r="J44" s="12"/>
      <c r="K44" s="12"/>
      <c r="L44" s="12"/>
      <c r="M44" s="12"/>
      <c r="N44" s="12"/>
      <c r="O44"/>
      <c r="P44" s="12"/>
      <c r="Q44" s="12"/>
      <c r="R44" s="12"/>
      <c r="S44" s="12"/>
      <c r="T44" s="12"/>
      <c r="U44" s="12"/>
      <c r="V44" s="12"/>
      <c r="X44" s="12"/>
      <c r="Z44" s="12"/>
      <c r="AB44" s="12"/>
      <c r="AD44" s="12"/>
      <c r="AF44" s="12"/>
      <c r="AG44" s="12"/>
      <c r="AH44" s="12"/>
    </row>
    <row r="45" spans="1:46" s="17" customFormat="1" ht="13.5" customHeight="1">
      <c r="A45" s="17" t="s">
        <v>419</v>
      </c>
      <c r="C45" s="17" t="s">
        <v>387</v>
      </c>
      <c r="D45" s="17" t="s">
        <v>378</v>
      </c>
      <c r="E45" s="17" t="s">
        <v>425</v>
      </c>
      <c r="F45" s="15">
        <v>7</v>
      </c>
      <c r="G45" s="15">
        <v>16</v>
      </c>
      <c r="H45" s="15">
        <v>0</v>
      </c>
      <c r="I45" s="15">
        <v>28</v>
      </c>
      <c r="J45" s="15">
        <f>G45-H45</f>
        <v>16</v>
      </c>
      <c r="K45" s="15" t="s">
        <v>469</v>
      </c>
      <c r="L45" s="15"/>
      <c r="M45" s="15"/>
      <c r="N45" s="96"/>
      <c r="O45" s="95"/>
      <c r="P45" s="15"/>
      <c r="Q45" s="15"/>
      <c r="R45" s="15">
        <v>120</v>
      </c>
      <c r="S45" s="15" t="s">
        <v>394</v>
      </c>
      <c r="V45" s="15"/>
      <c r="W45" s="15"/>
      <c r="X45" s="15">
        <v>340</v>
      </c>
      <c r="Y45" s="15" t="s">
        <v>179</v>
      </c>
      <c r="AD45" s="15"/>
      <c r="AE45" s="15"/>
      <c r="AF45" s="15"/>
      <c r="AG45" s="15"/>
      <c r="AH45" s="15"/>
      <c r="AP45" s="15"/>
      <c r="AQ45" s="15"/>
      <c r="AR45" s="15"/>
      <c r="AS45" s="15"/>
    </row>
    <row r="46" spans="1:46" s="4" customFormat="1" ht="13.5" customHeight="1">
      <c r="F46" s="12">
        <f>SUM(F45:F45)+F42</f>
        <v>229</v>
      </c>
      <c r="G46" s="12">
        <f>SUM(G45:G45)+G42</f>
        <v>703</v>
      </c>
      <c r="H46" s="12">
        <f>SUM(H45:H45)+H42</f>
        <v>433</v>
      </c>
      <c r="I46" s="12">
        <f>SUM(I45:I45)+I42</f>
        <v>3697</v>
      </c>
      <c r="J46" s="12"/>
      <c r="K46" s="12"/>
      <c r="L46" s="12">
        <f>SUM(L45:L45)+L42</f>
        <v>500</v>
      </c>
      <c r="M46" s="12"/>
      <c r="N46" s="12">
        <f>SUM(N45:N45)+N42</f>
        <v>9000</v>
      </c>
      <c r="O46"/>
      <c r="P46" s="12">
        <f>SUM(P45:P45)+P42</f>
        <v>13500</v>
      </c>
      <c r="Q46" s="12"/>
      <c r="R46" s="12">
        <f>SUM(R45:R45)+R42</f>
        <v>1040</v>
      </c>
      <c r="S46" s="12"/>
      <c r="T46" s="12">
        <f>SUM(T45:T45)+T42</f>
        <v>300</v>
      </c>
      <c r="V46" s="12">
        <f>SUM(V45:V45)+V42</f>
        <v>0</v>
      </c>
      <c r="W46" s="12"/>
      <c r="X46" s="12">
        <f>SUM(X45:X45)+X42</f>
        <v>31396</v>
      </c>
      <c r="Z46" s="12">
        <f>SUM(Z45:Z45)+Z42</f>
        <v>200</v>
      </c>
      <c r="AB46" s="12">
        <f>SUM(AB45:AB45)+AB42</f>
        <v>50</v>
      </c>
      <c r="AD46" s="12">
        <f>SUM(AD45:AD45)+AD42</f>
        <v>200</v>
      </c>
      <c r="AE46" s="12"/>
      <c r="AF46" s="12">
        <f>SUM(AF45:AF45)+AF42</f>
        <v>0</v>
      </c>
      <c r="AG46" s="12"/>
      <c r="AH46" s="12">
        <f>SUM(AH45:AH45)+AH42</f>
        <v>200</v>
      </c>
      <c r="AJ46" s="12">
        <f>SUM(AJ45:AJ45)+AJ42</f>
        <v>0</v>
      </c>
      <c r="AL46" s="12">
        <f>SUM(AL45:AL45)+AL42</f>
        <v>0</v>
      </c>
      <c r="AN46" s="12">
        <f>SUM(AN45:AN45)+AN42</f>
        <v>0</v>
      </c>
      <c r="AP46" s="12"/>
      <c r="AQ46" s="38" t="s">
        <v>604</v>
      </c>
      <c r="AR46" s="12">
        <v>2</v>
      </c>
      <c r="AS46" s="12"/>
      <c r="AT46" s="12"/>
    </row>
    <row r="48" spans="1:46">
      <c r="F48" s="82"/>
      <c r="G48" s="82"/>
      <c r="H48" s="82"/>
      <c r="I48" s="82"/>
      <c r="J48" s="82"/>
      <c r="K48" s="82"/>
      <c r="L48" s="82"/>
      <c r="M48" s="82"/>
      <c r="N48" s="82"/>
      <c r="O48" s="82"/>
      <c r="P48" s="82"/>
      <c r="Q48" s="82"/>
      <c r="R48" s="82"/>
      <c r="S48" s="82"/>
      <c r="T48" s="82"/>
      <c r="U48" s="82"/>
      <c r="V48" s="82"/>
      <c r="W48" s="82"/>
      <c r="X48" s="82"/>
    </row>
    <row r="49" spans="1:44" ht="13" customHeight="1">
      <c r="A49" s="176" t="s">
        <v>427</v>
      </c>
      <c r="B49" s="176"/>
      <c r="C49" s="176"/>
      <c r="D49" s="176"/>
      <c r="E49" s="39" t="s">
        <v>587</v>
      </c>
      <c r="F49" s="86">
        <f>144-(IF(E9="vCSA8.0", 2, 1))</f>
        <v>142</v>
      </c>
      <c r="G49" s="86">
        <f>6*(256-(IF(E9="vCSA8.0", 12, 8)))</f>
        <v>1464</v>
      </c>
      <c r="H49" s="177" t="str">
        <f>"Note1: The hardware resource pool provided here corresponds only to MantaRay NM virtual machines. If optional virtual machines are used then plan for the hardware resources accordingly.
Note2: ESXi reserves " &amp; IF(E9="vCSA8.0", 12, 8) &amp;" GB Memory for internal purpose
Note3: "&amp; IF(E9="vCSA8.0", 2, 1) &amp; " CPU is used by vSphere "&amp; IF(E9="vCSA8.0", "8.0", "7.0 U1") &amp;" onwards for internal functionality."</f>
        <v>Note1: The hardware resource pool provided here corresponds only to MantaRay NM virtual machines. If optional virtual machines are used then plan for the hardware resources accordingly.
Note2: ESXi reserves 12 GB Memory for internal purpose
Note3: 2 CPU is used by vSphere 8.0 onwards for internal functionality.</v>
      </c>
      <c r="I49" s="177"/>
      <c r="J49" s="177"/>
      <c r="K49" s="177"/>
      <c r="L49" s="177"/>
      <c r="M49" s="177"/>
      <c r="N49" s="177"/>
      <c r="O49" s="177"/>
      <c r="P49" s="40"/>
      <c r="Q49" s="40"/>
      <c r="R49" s="40"/>
      <c r="S49" s="40"/>
      <c r="T49" s="40"/>
      <c r="U49" s="40"/>
      <c r="V49" s="40"/>
      <c r="W49" s="40"/>
      <c r="X49" s="40"/>
      <c r="Y49" s="40"/>
      <c r="Z49" s="40"/>
      <c r="AA49" s="40"/>
      <c r="AB49" s="40"/>
      <c r="AC49" s="40"/>
      <c r="AD49" s="40"/>
      <c r="AE49" s="40"/>
      <c r="AF49" s="40"/>
      <c r="AG49" s="40"/>
      <c r="AH49" s="40"/>
      <c r="AI49" s="40"/>
      <c r="AJ49" s="40"/>
      <c r="AK49" s="40"/>
      <c r="AL49" s="40"/>
      <c r="AM49" s="40"/>
      <c r="AN49" s="40"/>
      <c r="AO49" s="40"/>
      <c r="AP49" s="40"/>
      <c r="AQ49" s="40"/>
      <c r="AR49" s="40"/>
    </row>
    <row r="50" spans="1:44" ht="13" customHeight="1">
      <c r="A50" s="176"/>
      <c r="B50" s="176"/>
      <c r="C50" s="176"/>
      <c r="D50" s="176"/>
      <c r="E50" s="23" t="s">
        <v>605</v>
      </c>
      <c r="F50" s="86">
        <f>160-(IF(E9="vCSA8.0", 2, 1))</f>
        <v>158</v>
      </c>
      <c r="G50" s="86">
        <f>5*(384-(IF(E9="vCSA8.0", 12, 8)))</f>
        <v>1860</v>
      </c>
      <c r="H50" s="177"/>
      <c r="I50" s="177"/>
      <c r="J50" s="177"/>
      <c r="K50" s="177"/>
      <c r="L50" s="177"/>
      <c r="M50" s="177"/>
      <c r="N50" s="177"/>
      <c r="O50" s="177"/>
      <c r="P50" s="40"/>
      <c r="Q50" s="40"/>
      <c r="R50" s="40"/>
      <c r="S50" s="40"/>
      <c r="T50" s="40"/>
      <c r="U50" s="40"/>
      <c r="V50" s="40"/>
      <c r="W50" s="40"/>
      <c r="X50" s="40"/>
      <c r="Y50" s="40"/>
      <c r="Z50" s="40"/>
      <c r="AA50" s="40"/>
      <c r="AB50" s="40"/>
      <c r="AC50" s="40"/>
      <c r="AD50" s="40"/>
      <c r="AE50" s="40"/>
      <c r="AF50" s="40"/>
      <c r="AG50" s="40"/>
      <c r="AH50" s="40"/>
      <c r="AI50" s="40"/>
      <c r="AJ50" s="40"/>
      <c r="AK50" s="40"/>
      <c r="AL50" s="40"/>
      <c r="AM50" s="40"/>
      <c r="AN50" s="40"/>
      <c r="AO50" s="40"/>
      <c r="AP50" s="40"/>
      <c r="AQ50" s="40"/>
      <c r="AR50" s="40"/>
    </row>
    <row r="51" spans="1:44" ht="13" customHeight="1">
      <c r="A51" s="86"/>
      <c r="B51" s="86"/>
      <c r="C51" s="86"/>
      <c r="D51" s="86"/>
      <c r="E51" s="23" t="s">
        <v>588</v>
      </c>
      <c r="F51" s="86">
        <f>(4*2*28)-(IF(E9="vCSA8.0", 2, 1))</f>
        <v>222</v>
      </c>
      <c r="G51" s="86">
        <f>4*(512-(IF(E9="vCSA8.0", 12, 8)))</f>
        <v>2000</v>
      </c>
      <c r="H51" s="177"/>
      <c r="I51" s="177"/>
      <c r="J51" s="177"/>
      <c r="K51" s="177"/>
      <c r="L51" s="177"/>
      <c r="M51" s="177"/>
      <c r="N51" s="177"/>
      <c r="O51" s="177"/>
      <c r="P51" s="40"/>
      <c r="Q51" s="40"/>
      <c r="R51" s="40"/>
      <c r="S51" s="40"/>
      <c r="T51" s="40"/>
      <c r="U51" s="40"/>
      <c r="V51" s="40"/>
      <c r="W51" s="40"/>
      <c r="X51" s="40"/>
      <c r="Y51" s="40"/>
      <c r="Z51" s="40"/>
      <c r="AA51" s="40"/>
      <c r="AB51" s="40"/>
      <c r="AC51" s="40"/>
      <c r="AD51" s="40"/>
      <c r="AE51" s="40"/>
      <c r="AF51" s="40"/>
      <c r="AG51" s="40"/>
      <c r="AH51" s="40"/>
      <c r="AI51" s="40"/>
      <c r="AJ51" s="40"/>
    </row>
    <row r="52" spans="1:44" ht="13" customHeight="1">
      <c r="A52" s="86"/>
      <c r="B52" s="86"/>
      <c r="C52" s="86"/>
      <c r="D52" s="86"/>
      <c r="E52" s="23" t="s">
        <v>589</v>
      </c>
      <c r="F52" s="86">
        <f>(4*2*28)-(IF(E9="vCSA8.0", 2, 1))</f>
        <v>222</v>
      </c>
      <c r="G52" s="86">
        <f>4*(512-(IF(E9="vCSA8.0", 12, 8)))</f>
        <v>2000</v>
      </c>
      <c r="H52" s="177"/>
      <c r="I52" s="177"/>
      <c r="J52" s="177"/>
      <c r="K52" s="177"/>
      <c r="L52" s="177"/>
      <c r="M52" s="177"/>
      <c r="N52" s="177"/>
      <c r="O52" s="177"/>
      <c r="P52" s="40"/>
      <c r="Q52" s="40"/>
      <c r="R52" s="40"/>
      <c r="S52" s="40"/>
      <c r="T52" s="40"/>
      <c r="U52" s="40"/>
      <c r="V52" s="40"/>
      <c r="W52" s="40"/>
      <c r="X52" s="40"/>
      <c r="Y52" s="40"/>
      <c r="Z52" s="40"/>
      <c r="AA52" s="40"/>
      <c r="AB52" s="40"/>
      <c r="AC52" s="40"/>
      <c r="AD52" s="40"/>
      <c r="AE52" s="40"/>
      <c r="AF52" s="40"/>
      <c r="AG52" s="40"/>
      <c r="AH52" s="40"/>
      <c r="AI52" s="40"/>
      <c r="AJ52" s="40"/>
    </row>
    <row r="53" spans="1:44" ht="13" customHeight="1">
      <c r="A53" s="86"/>
      <c r="B53" s="86"/>
      <c r="C53" s="86"/>
      <c r="D53" s="86"/>
      <c r="E53" s="23" t="s">
        <v>564</v>
      </c>
      <c r="F53" s="86">
        <f>(4*2*32)-(IF(E9="vCSA8.0", 2, 1))</f>
        <v>254</v>
      </c>
      <c r="G53" s="86">
        <f>4*(512-(IF(E9="vCSA8.0", 12, 8)))</f>
        <v>2000</v>
      </c>
      <c r="H53" s="177"/>
      <c r="I53" s="177"/>
      <c r="J53" s="177"/>
      <c r="K53" s="177"/>
      <c r="L53" s="177"/>
      <c r="M53" s="177"/>
      <c r="N53" s="177"/>
      <c r="O53" s="177"/>
      <c r="P53" s="40"/>
      <c r="Q53" s="40"/>
      <c r="R53" s="40"/>
      <c r="S53" s="40"/>
      <c r="T53" s="40"/>
      <c r="U53" s="40"/>
      <c r="V53" s="40"/>
      <c r="W53" s="40"/>
      <c r="X53" s="40"/>
      <c r="Y53" s="40"/>
      <c r="Z53" s="40"/>
      <c r="AA53" s="40"/>
      <c r="AB53" s="40"/>
      <c r="AC53" s="40"/>
      <c r="AD53" s="40"/>
      <c r="AE53" s="40"/>
      <c r="AF53" s="40"/>
      <c r="AG53" s="40"/>
      <c r="AH53" s="40"/>
      <c r="AI53" s="40"/>
      <c r="AJ53" s="40"/>
      <c r="AK53" s="40"/>
      <c r="AL53" s="40"/>
      <c r="AM53" s="40"/>
      <c r="AN53" s="40"/>
      <c r="AO53" s="40"/>
      <c r="AP53" s="40"/>
      <c r="AQ53" s="40"/>
      <c r="AR53" s="40"/>
    </row>
    <row r="55" spans="1:44" ht="14.5">
      <c r="A55" s="173" t="s">
        <v>565</v>
      </c>
      <c r="B55" s="174"/>
      <c r="C55" s="174"/>
      <c r="D55" s="174"/>
      <c r="E55" s="174"/>
      <c r="F55" s="127"/>
    </row>
    <row r="57" spans="1:44" ht="13">
      <c r="A57" s="14" t="s">
        <v>430</v>
      </c>
    </row>
    <row r="58" spans="1:44">
      <c r="A58" s="33" t="s">
        <v>431</v>
      </c>
      <c r="C58" s="33" t="s">
        <v>387</v>
      </c>
      <c r="D58" s="33" t="s">
        <v>378</v>
      </c>
      <c r="E58" s="33" t="s">
        <v>21</v>
      </c>
      <c r="F58" s="82">
        <v>16</v>
      </c>
      <c r="G58" s="82">
        <v>64</v>
      </c>
      <c r="H58" s="82">
        <v>0</v>
      </c>
      <c r="I58" s="12">
        <v>71</v>
      </c>
      <c r="J58" s="82">
        <f t="shared" ref="J58:J88" si="2">G58-H58</f>
        <v>64</v>
      </c>
      <c r="K58" s="82"/>
      <c r="AP58" s="82" t="s">
        <v>380</v>
      </c>
      <c r="AQ58" s="82" t="s">
        <v>381</v>
      </c>
      <c r="AR58" s="82"/>
    </row>
    <row r="59" spans="1:44">
      <c r="A59" s="33" t="s">
        <v>590</v>
      </c>
      <c r="C59" s="33" t="s">
        <v>387</v>
      </c>
      <c r="D59" s="19" t="s">
        <v>434</v>
      </c>
      <c r="E59" s="4" t="s">
        <v>89</v>
      </c>
      <c r="F59" s="82">
        <v>4</v>
      </c>
      <c r="G59" s="82">
        <v>4</v>
      </c>
      <c r="H59" s="82">
        <v>0</v>
      </c>
      <c r="I59" s="82">
        <v>100</v>
      </c>
      <c r="J59" s="82">
        <f t="shared" si="2"/>
        <v>4</v>
      </c>
      <c r="K59" s="82" t="s">
        <v>470</v>
      </c>
      <c r="L59" s="82"/>
      <c r="M59" s="82"/>
      <c r="N59" s="82"/>
      <c r="O59" s="82"/>
      <c r="P59" s="82"/>
      <c r="Q59" s="82"/>
      <c r="R59" s="82"/>
      <c r="S59" s="82"/>
      <c r="T59" s="82"/>
      <c r="U59" s="82"/>
      <c r="V59" s="82"/>
      <c r="W59" s="82"/>
      <c r="X59" s="82"/>
      <c r="Y59" s="82"/>
      <c r="Z59" s="82"/>
      <c r="AA59" s="82"/>
      <c r="AB59" s="82"/>
      <c r="AC59" s="82"/>
      <c r="AD59" s="82"/>
      <c r="AE59" s="82"/>
      <c r="AF59" s="82"/>
      <c r="AG59" s="82"/>
      <c r="AH59" s="82"/>
      <c r="AI59" s="82"/>
      <c r="AJ59" s="82"/>
      <c r="AK59" s="82"/>
      <c r="AL59" s="82"/>
      <c r="AM59" s="82"/>
      <c r="AN59" s="82"/>
      <c r="AO59" s="82"/>
      <c r="AP59" s="82" t="s">
        <v>380</v>
      </c>
      <c r="AQ59" s="82" t="s">
        <v>381</v>
      </c>
      <c r="AR59" s="82"/>
    </row>
    <row r="60" spans="1:44">
      <c r="A60" s="33" t="s">
        <v>591</v>
      </c>
      <c r="C60" s="33" t="s">
        <v>387</v>
      </c>
      <c r="D60" s="19" t="s">
        <v>434</v>
      </c>
      <c r="E60" s="4" t="s">
        <v>97</v>
      </c>
      <c r="F60" s="82">
        <v>4</v>
      </c>
      <c r="G60" s="82">
        <v>16</v>
      </c>
      <c r="H60" s="82">
        <v>0</v>
      </c>
      <c r="I60" s="12">
        <v>110</v>
      </c>
      <c r="J60" s="82">
        <f t="shared" si="2"/>
        <v>16</v>
      </c>
      <c r="K60" s="82" t="s">
        <v>472</v>
      </c>
      <c r="L60" s="82"/>
      <c r="M60" s="82"/>
      <c r="N60" s="82"/>
      <c r="O60" s="82"/>
      <c r="P60" s="82"/>
      <c r="Q60" s="82"/>
      <c r="R60" s="82"/>
      <c r="S60" s="82"/>
      <c r="T60" s="82"/>
      <c r="U60" s="82"/>
      <c r="V60" s="82"/>
      <c r="W60" s="82"/>
      <c r="X60" s="82"/>
      <c r="Y60" s="82"/>
      <c r="Z60" s="82"/>
      <c r="AA60" s="82"/>
      <c r="AB60" s="82"/>
      <c r="AC60" s="82"/>
      <c r="AD60" s="82"/>
      <c r="AE60" s="82"/>
      <c r="AF60" s="82"/>
      <c r="AG60" s="82"/>
      <c r="AH60" s="82"/>
      <c r="AI60" s="82"/>
      <c r="AJ60" s="82"/>
      <c r="AK60" s="82"/>
      <c r="AL60" s="82"/>
      <c r="AM60" s="82"/>
      <c r="AN60" s="82"/>
      <c r="AO60" s="82"/>
      <c r="AP60" s="82" t="s">
        <v>380</v>
      </c>
      <c r="AQ60" s="82" t="s">
        <v>381</v>
      </c>
      <c r="AR60" s="82"/>
    </row>
    <row r="61" spans="1:44">
      <c r="A61" s="33" t="s">
        <v>436</v>
      </c>
      <c r="C61" s="33" t="s">
        <v>387</v>
      </c>
      <c r="D61" s="19" t="s">
        <v>434</v>
      </c>
      <c r="E61" s="4" t="s">
        <v>93</v>
      </c>
      <c r="F61" s="82">
        <v>4</v>
      </c>
      <c r="G61" s="82">
        <v>14</v>
      </c>
      <c r="H61" s="82">
        <v>0</v>
      </c>
      <c r="I61" s="12">
        <v>120</v>
      </c>
      <c r="J61" s="82">
        <f t="shared" si="2"/>
        <v>14</v>
      </c>
      <c r="K61" s="12" t="s">
        <v>470</v>
      </c>
      <c r="L61" s="82"/>
      <c r="M61" s="82"/>
      <c r="N61" s="82"/>
      <c r="O61" s="82"/>
      <c r="P61" s="82"/>
      <c r="Q61" s="82"/>
      <c r="R61" s="82"/>
      <c r="S61" s="82"/>
      <c r="T61" s="82"/>
      <c r="U61" s="82"/>
      <c r="V61" s="82"/>
      <c r="W61" s="82"/>
      <c r="X61" s="82"/>
      <c r="Y61" s="82"/>
      <c r="Z61" s="82"/>
      <c r="AA61" s="82"/>
      <c r="AB61" s="82"/>
      <c r="AC61" s="82"/>
      <c r="AD61" s="82"/>
      <c r="AE61" s="82"/>
      <c r="AF61" s="82"/>
      <c r="AG61" s="82"/>
      <c r="AH61" s="82"/>
      <c r="AI61" s="82"/>
      <c r="AJ61" s="82"/>
      <c r="AK61" s="82"/>
      <c r="AL61" s="82"/>
      <c r="AM61" s="82"/>
      <c r="AN61" s="82"/>
      <c r="AO61" s="82"/>
      <c r="AP61" s="82" t="s">
        <v>380</v>
      </c>
      <c r="AQ61" s="82" t="s">
        <v>381</v>
      </c>
      <c r="AR61" s="82"/>
    </row>
    <row r="62" spans="1:44">
      <c r="A62" s="33" t="s">
        <v>481</v>
      </c>
      <c r="C62" s="33" t="s">
        <v>387</v>
      </c>
      <c r="D62" s="19" t="s">
        <v>434</v>
      </c>
      <c r="E62" s="4" t="s">
        <v>89</v>
      </c>
      <c r="F62" s="82">
        <v>4</v>
      </c>
      <c r="G62" s="82">
        <v>4</v>
      </c>
      <c r="H62" s="82">
        <v>0</v>
      </c>
      <c r="I62" s="82">
        <v>100</v>
      </c>
      <c r="J62" s="82">
        <f t="shared" si="2"/>
        <v>4</v>
      </c>
      <c r="K62" s="82"/>
      <c r="AP62" s="82" t="s">
        <v>380</v>
      </c>
      <c r="AQ62" s="82" t="s">
        <v>381</v>
      </c>
      <c r="AR62" s="82"/>
    </row>
    <row r="63" spans="1:44">
      <c r="A63" s="33" t="s">
        <v>437</v>
      </c>
      <c r="C63" s="33" t="s">
        <v>387</v>
      </c>
      <c r="D63" s="19" t="s">
        <v>434</v>
      </c>
      <c r="E63" s="4" t="s">
        <v>97</v>
      </c>
      <c r="F63" s="82">
        <v>4</v>
      </c>
      <c r="G63" s="82">
        <v>16</v>
      </c>
      <c r="H63" s="82">
        <v>0</v>
      </c>
      <c r="I63" s="82">
        <v>100</v>
      </c>
      <c r="J63" s="82">
        <f t="shared" si="2"/>
        <v>16</v>
      </c>
      <c r="K63" s="82"/>
      <c r="AP63" s="82" t="s">
        <v>380</v>
      </c>
      <c r="AQ63" s="82" t="s">
        <v>381</v>
      </c>
      <c r="AR63" s="82"/>
    </row>
    <row r="64" spans="1:44">
      <c r="A64" s="33" t="s">
        <v>482</v>
      </c>
      <c r="C64" s="33" t="s">
        <v>387</v>
      </c>
      <c r="D64" s="19" t="s">
        <v>434</v>
      </c>
      <c r="E64" s="4" t="s">
        <v>97</v>
      </c>
      <c r="F64" s="82">
        <v>4</v>
      </c>
      <c r="G64" s="82">
        <v>16</v>
      </c>
      <c r="H64" s="82">
        <v>0</v>
      </c>
      <c r="I64" s="82">
        <v>100</v>
      </c>
      <c r="J64" s="82">
        <f t="shared" si="2"/>
        <v>16</v>
      </c>
      <c r="K64" s="82"/>
      <c r="AP64" s="82" t="s">
        <v>380</v>
      </c>
      <c r="AQ64" s="82" t="s">
        <v>381</v>
      </c>
      <c r="AR64" s="82"/>
    </row>
    <row r="65" spans="1:44">
      <c r="A65" s="33" t="s">
        <v>568</v>
      </c>
      <c r="C65" s="33" t="s">
        <v>387</v>
      </c>
      <c r="D65" s="19" t="s">
        <v>434</v>
      </c>
      <c r="E65" s="4" t="s">
        <v>97</v>
      </c>
      <c r="F65" s="82">
        <v>4</v>
      </c>
      <c r="G65" s="82">
        <v>16</v>
      </c>
      <c r="H65" s="82">
        <v>0</v>
      </c>
      <c r="I65" s="82">
        <v>100</v>
      </c>
      <c r="J65" s="82">
        <f t="shared" si="2"/>
        <v>16</v>
      </c>
      <c r="K65" s="82"/>
      <c r="AP65" s="82" t="s">
        <v>380</v>
      </c>
      <c r="AQ65" s="82" t="s">
        <v>381</v>
      </c>
      <c r="AR65" s="82"/>
    </row>
    <row r="66" spans="1:44">
      <c r="A66" s="33" t="s">
        <v>569</v>
      </c>
      <c r="C66" s="33" t="s">
        <v>387</v>
      </c>
      <c r="D66" s="19" t="s">
        <v>434</v>
      </c>
      <c r="E66" s="4" t="s">
        <v>97</v>
      </c>
      <c r="F66" s="82">
        <v>4</v>
      </c>
      <c r="G66" s="82">
        <v>16</v>
      </c>
      <c r="H66" s="82">
        <v>0</v>
      </c>
      <c r="I66" s="82">
        <v>100</v>
      </c>
      <c r="J66" s="82">
        <f t="shared" si="2"/>
        <v>16</v>
      </c>
      <c r="K66" s="82"/>
      <c r="AP66" s="82" t="s">
        <v>380</v>
      </c>
      <c r="AQ66" s="82" t="s">
        <v>381</v>
      </c>
      <c r="AR66" s="82"/>
    </row>
    <row r="67" spans="1:44">
      <c r="A67" s="33" t="s">
        <v>592</v>
      </c>
      <c r="C67" s="33" t="s">
        <v>387</v>
      </c>
      <c r="D67" s="19" t="s">
        <v>434</v>
      </c>
      <c r="E67" s="4" t="s">
        <v>97</v>
      </c>
      <c r="F67" s="82">
        <v>4</v>
      </c>
      <c r="G67" s="82">
        <v>16</v>
      </c>
      <c r="H67" s="82">
        <v>0</v>
      </c>
      <c r="I67" s="82">
        <v>100</v>
      </c>
      <c r="J67" s="82">
        <f t="shared" si="2"/>
        <v>16</v>
      </c>
      <c r="K67" s="82"/>
      <c r="AP67" s="82" t="s">
        <v>380</v>
      </c>
      <c r="AQ67" s="82" t="s">
        <v>381</v>
      </c>
      <c r="AR67" s="82"/>
    </row>
    <row r="68" spans="1:44">
      <c r="A68" s="33" t="s">
        <v>593</v>
      </c>
      <c r="C68" s="33" t="s">
        <v>387</v>
      </c>
      <c r="D68" s="19" t="s">
        <v>434</v>
      </c>
      <c r="E68" s="4" t="s">
        <v>97</v>
      </c>
      <c r="F68" s="82">
        <v>4</v>
      </c>
      <c r="G68" s="82">
        <v>16</v>
      </c>
      <c r="H68" s="82">
        <v>0</v>
      </c>
      <c r="I68" s="82">
        <v>100</v>
      </c>
      <c r="J68" s="82">
        <f t="shared" si="2"/>
        <v>16</v>
      </c>
      <c r="K68" s="82"/>
      <c r="AP68" s="82" t="s">
        <v>380</v>
      </c>
      <c r="AQ68" s="82" t="s">
        <v>381</v>
      </c>
      <c r="AR68" s="82"/>
    </row>
    <row r="69" spans="1:44">
      <c r="A69" s="33" t="s">
        <v>594</v>
      </c>
      <c r="C69" s="33" t="s">
        <v>387</v>
      </c>
      <c r="D69" s="19" t="s">
        <v>434</v>
      </c>
      <c r="E69" s="4" t="s">
        <v>97</v>
      </c>
      <c r="F69" s="82">
        <v>4</v>
      </c>
      <c r="G69" s="82">
        <v>16</v>
      </c>
      <c r="H69" s="82">
        <v>0</v>
      </c>
      <c r="I69" s="82">
        <v>100</v>
      </c>
      <c r="J69" s="82">
        <f t="shared" si="2"/>
        <v>16</v>
      </c>
      <c r="K69" s="82"/>
      <c r="AP69" s="82" t="s">
        <v>380</v>
      </c>
      <c r="AQ69" s="82" t="s">
        <v>381</v>
      </c>
      <c r="AR69" s="82"/>
    </row>
    <row r="70" spans="1:44">
      <c r="A70" s="33" t="s">
        <v>483</v>
      </c>
      <c r="C70" s="33" t="s">
        <v>387</v>
      </c>
      <c r="D70" s="19" t="s">
        <v>434</v>
      </c>
      <c r="E70" s="4" t="s">
        <v>93</v>
      </c>
      <c r="F70" s="82">
        <v>4</v>
      </c>
      <c r="G70" s="82">
        <v>14</v>
      </c>
      <c r="H70" s="82">
        <v>0</v>
      </c>
      <c r="I70" s="12">
        <v>120</v>
      </c>
      <c r="J70" s="82">
        <f t="shared" si="2"/>
        <v>14</v>
      </c>
      <c r="K70" s="82"/>
      <c r="AP70" s="82" t="s">
        <v>380</v>
      </c>
      <c r="AQ70" s="82" t="s">
        <v>381</v>
      </c>
      <c r="AR70" s="82"/>
    </row>
    <row r="71" spans="1:44">
      <c r="A71" s="33" t="s">
        <v>595</v>
      </c>
      <c r="C71" s="33" t="s">
        <v>387</v>
      </c>
      <c r="D71" s="19" t="s">
        <v>434</v>
      </c>
      <c r="E71" s="4" t="s">
        <v>97</v>
      </c>
      <c r="F71" s="82">
        <v>4</v>
      </c>
      <c r="G71" s="82">
        <v>16</v>
      </c>
      <c r="H71" s="82">
        <v>0</v>
      </c>
      <c r="I71" s="82">
        <v>100</v>
      </c>
      <c r="J71" s="82">
        <f t="shared" si="2"/>
        <v>16</v>
      </c>
      <c r="K71" s="82"/>
      <c r="AP71" s="82" t="s">
        <v>380</v>
      </c>
      <c r="AQ71" s="82" t="s">
        <v>381</v>
      </c>
      <c r="AR71" s="82"/>
    </row>
    <row r="72" spans="1:44">
      <c r="A72" s="33" t="s">
        <v>438</v>
      </c>
      <c r="C72" s="33" t="s">
        <v>387</v>
      </c>
      <c r="D72" s="33" t="s">
        <v>378</v>
      </c>
      <c r="E72" s="33" t="s">
        <v>32</v>
      </c>
      <c r="F72" s="82">
        <v>6</v>
      </c>
      <c r="G72" s="82">
        <v>20</v>
      </c>
      <c r="H72" s="82">
        <v>0</v>
      </c>
      <c r="I72" s="82">
        <v>201</v>
      </c>
      <c r="J72" s="82">
        <f t="shared" si="2"/>
        <v>20</v>
      </c>
      <c r="K72" s="82"/>
      <c r="AP72" s="82" t="s">
        <v>380</v>
      </c>
      <c r="AQ72" s="82" t="s">
        <v>381</v>
      </c>
      <c r="AR72" s="82"/>
    </row>
    <row r="73" spans="1:44">
      <c r="A73" s="33" t="s">
        <v>439</v>
      </c>
      <c r="C73" s="33" t="s">
        <v>387</v>
      </c>
      <c r="D73" s="33" t="s">
        <v>378</v>
      </c>
      <c r="E73" s="33" t="s">
        <v>32</v>
      </c>
      <c r="F73" s="82">
        <v>6</v>
      </c>
      <c r="G73" s="82">
        <v>20</v>
      </c>
      <c r="H73" s="82">
        <v>0</v>
      </c>
      <c r="I73" s="82">
        <v>201</v>
      </c>
      <c r="J73" s="82">
        <f t="shared" si="2"/>
        <v>20</v>
      </c>
      <c r="K73" s="82"/>
      <c r="AP73" s="82" t="s">
        <v>380</v>
      </c>
      <c r="AQ73" s="82" t="s">
        <v>381</v>
      </c>
      <c r="AR73" s="82"/>
    </row>
    <row r="74" spans="1:44">
      <c r="A74" s="33" t="s">
        <v>570</v>
      </c>
      <c r="C74" s="33" t="s">
        <v>387</v>
      </c>
      <c r="D74" s="33" t="s">
        <v>378</v>
      </c>
      <c r="E74" s="33" t="s">
        <v>32</v>
      </c>
      <c r="F74" s="82">
        <v>6</v>
      </c>
      <c r="G74" s="82">
        <v>20</v>
      </c>
      <c r="H74" s="82">
        <v>0</v>
      </c>
      <c r="I74" s="82">
        <v>201</v>
      </c>
      <c r="J74" s="82">
        <f t="shared" si="2"/>
        <v>20</v>
      </c>
      <c r="K74" s="82"/>
      <c r="AP74" s="82" t="s">
        <v>380</v>
      </c>
      <c r="AQ74" s="82" t="s">
        <v>381</v>
      </c>
      <c r="AR74" s="82"/>
    </row>
    <row r="75" spans="1:44">
      <c r="A75" s="33" t="s">
        <v>571</v>
      </c>
      <c r="C75" s="33" t="s">
        <v>387</v>
      </c>
      <c r="D75" s="33" t="s">
        <v>378</v>
      </c>
      <c r="E75" s="33" t="s">
        <v>32</v>
      </c>
      <c r="F75" s="82">
        <v>6</v>
      </c>
      <c r="G75" s="82">
        <v>20</v>
      </c>
      <c r="H75" s="82">
        <v>0</v>
      </c>
      <c r="I75" s="82">
        <v>201</v>
      </c>
      <c r="J75" s="82">
        <f t="shared" si="2"/>
        <v>20</v>
      </c>
      <c r="K75" s="82"/>
      <c r="AP75" s="82" t="s">
        <v>380</v>
      </c>
      <c r="AQ75" s="82" t="s">
        <v>381</v>
      </c>
      <c r="AR75" s="82"/>
    </row>
    <row r="76" spans="1:44">
      <c r="A76" s="33" t="s">
        <v>440</v>
      </c>
      <c r="C76" s="33" t="s">
        <v>387</v>
      </c>
      <c r="D76" s="33" t="s">
        <v>378</v>
      </c>
      <c r="E76" s="33" t="s">
        <v>48</v>
      </c>
      <c r="F76" s="82">
        <v>2</v>
      </c>
      <c r="G76" s="82">
        <v>4</v>
      </c>
      <c r="H76" s="82">
        <v>0</v>
      </c>
      <c r="I76" s="82">
        <v>41</v>
      </c>
      <c r="J76" s="82">
        <f t="shared" si="2"/>
        <v>4</v>
      </c>
      <c r="K76" s="82"/>
      <c r="AP76" s="82" t="s">
        <v>380</v>
      </c>
      <c r="AQ76" s="82" t="s">
        <v>381</v>
      </c>
      <c r="AR76" s="82"/>
    </row>
    <row r="77" spans="1:44">
      <c r="A77" s="33" t="s">
        <v>441</v>
      </c>
      <c r="C77" s="33" t="s">
        <v>387</v>
      </c>
      <c r="D77" s="33" t="s">
        <v>378</v>
      </c>
      <c r="E77" s="33" t="s">
        <v>40</v>
      </c>
      <c r="F77" s="82">
        <v>2</v>
      </c>
      <c r="G77" s="82">
        <v>4</v>
      </c>
      <c r="H77" s="82">
        <v>0</v>
      </c>
      <c r="I77" s="82">
        <v>31</v>
      </c>
      <c r="J77" s="82">
        <f t="shared" si="2"/>
        <v>4</v>
      </c>
      <c r="K77" s="82"/>
      <c r="AP77" s="82" t="s">
        <v>380</v>
      </c>
      <c r="AQ77" s="82" t="s">
        <v>381</v>
      </c>
      <c r="AR77" s="82"/>
    </row>
    <row r="78" spans="1:44">
      <c r="A78" s="33" t="s">
        <v>442</v>
      </c>
      <c r="C78" s="33" t="s">
        <v>387</v>
      </c>
      <c r="D78" s="33" t="s">
        <v>378</v>
      </c>
      <c r="E78" s="33" t="s">
        <v>44</v>
      </c>
      <c r="F78" s="82">
        <v>4</v>
      </c>
      <c r="G78" s="82">
        <v>4</v>
      </c>
      <c r="H78" s="82">
        <v>0</v>
      </c>
      <c r="I78" s="82">
        <v>36</v>
      </c>
      <c r="J78" s="82">
        <f t="shared" si="2"/>
        <v>4</v>
      </c>
      <c r="K78" s="82"/>
      <c r="AP78" s="82" t="s">
        <v>380</v>
      </c>
      <c r="AQ78" s="82" t="s">
        <v>381</v>
      </c>
      <c r="AR78" s="82"/>
    </row>
    <row r="79" spans="1:44" ht="14.5">
      <c r="A79" s="33" t="s">
        <v>443</v>
      </c>
      <c r="C79" s="33" t="s">
        <v>387</v>
      </c>
      <c r="D79" s="33" t="s">
        <v>378</v>
      </c>
      <c r="E79" s="33" t="s">
        <v>247</v>
      </c>
      <c r="F79" s="82">
        <v>7</v>
      </c>
      <c r="G79" s="82">
        <v>8</v>
      </c>
      <c r="H79" s="82">
        <v>0</v>
      </c>
      <c r="I79" s="12">
        <v>111</v>
      </c>
      <c r="J79" s="82">
        <f t="shared" si="2"/>
        <v>8</v>
      </c>
      <c r="K79" s="42"/>
      <c r="L79" s="82"/>
      <c r="M79" s="82"/>
      <c r="N79" s="42"/>
      <c r="O79" s="41"/>
      <c r="P79" s="82"/>
      <c r="Q79" s="82"/>
      <c r="R79" s="82"/>
      <c r="S79" s="82"/>
      <c r="T79" s="82"/>
      <c r="U79" s="82"/>
      <c r="V79" s="82"/>
      <c r="X79" s="82"/>
      <c r="Z79" s="82"/>
      <c r="AA79" s="82"/>
      <c r="AB79" s="82"/>
      <c r="AC79" s="82"/>
      <c r="AD79" s="82"/>
      <c r="AE79" s="82"/>
      <c r="AF79" s="82"/>
      <c r="AG79" s="82"/>
      <c r="AH79" s="82"/>
      <c r="AI79" s="82"/>
      <c r="AJ79" s="82"/>
      <c r="AK79" s="82"/>
      <c r="AL79" s="82"/>
      <c r="AM79" s="82"/>
      <c r="AN79" s="82"/>
      <c r="AO79" s="82"/>
      <c r="AP79" s="82" t="s">
        <v>380</v>
      </c>
      <c r="AQ79" s="82" t="s">
        <v>381</v>
      </c>
      <c r="AR79" s="82" t="s">
        <v>381</v>
      </c>
    </row>
    <row r="80" spans="1:44" ht="14.5">
      <c r="A80" s="33" t="s">
        <v>596</v>
      </c>
      <c r="C80" s="33" t="s">
        <v>387</v>
      </c>
      <c r="D80" s="33" t="s">
        <v>378</v>
      </c>
      <c r="E80" s="33" t="s">
        <v>247</v>
      </c>
      <c r="F80" s="82">
        <v>6</v>
      </c>
      <c r="G80" s="82">
        <v>7</v>
      </c>
      <c r="H80" s="82">
        <v>0</v>
      </c>
      <c r="I80" s="12">
        <v>111</v>
      </c>
      <c r="J80" s="82">
        <f t="shared" si="2"/>
        <v>7</v>
      </c>
      <c r="K80" s="42"/>
      <c r="L80" s="82"/>
      <c r="M80" s="82"/>
      <c r="N80" s="42"/>
      <c r="O80" s="41"/>
      <c r="P80" s="82"/>
      <c r="Q80" s="82"/>
      <c r="R80" s="82"/>
      <c r="S80" s="82"/>
      <c r="T80" s="82"/>
      <c r="U80" s="82"/>
      <c r="V80" s="82"/>
      <c r="X80" s="82"/>
      <c r="Z80" s="82"/>
      <c r="AA80" s="82"/>
      <c r="AB80" s="82"/>
      <c r="AC80" s="82"/>
      <c r="AD80" s="82"/>
      <c r="AE80" s="82"/>
      <c r="AF80" s="82"/>
      <c r="AG80" s="82"/>
      <c r="AH80" s="82"/>
      <c r="AI80" s="82"/>
      <c r="AJ80" s="82"/>
      <c r="AK80" s="82"/>
      <c r="AL80" s="82"/>
      <c r="AM80" s="82"/>
      <c r="AN80" s="82"/>
      <c r="AO80" s="82"/>
      <c r="AP80" s="82" t="s">
        <v>380</v>
      </c>
      <c r="AQ80" s="82" t="s">
        <v>381</v>
      </c>
      <c r="AR80" s="82"/>
    </row>
    <row r="81" spans="1:46" ht="14.5">
      <c r="A81" s="4" t="s">
        <v>484</v>
      </c>
      <c r="B81" s="4"/>
      <c r="C81" s="4"/>
      <c r="D81" s="33" t="s">
        <v>378</v>
      </c>
      <c r="E81" s="4" t="s">
        <v>67</v>
      </c>
      <c r="F81" s="12">
        <v>2</v>
      </c>
      <c r="G81" s="12">
        <v>2</v>
      </c>
      <c r="H81" s="12">
        <v>0</v>
      </c>
      <c r="I81" s="12">
        <v>16</v>
      </c>
      <c r="J81" s="82">
        <f t="shared" si="2"/>
        <v>2</v>
      </c>
      <c r="K81" s="42"/>
      <c r="L81" s="82"/>
      <c r="M81" s="82"/>
      <c r="N81" s="42"/>
      <c r="O81" s="41"/>
      <c r="P81" s="82"/>
      <c r="Q81" s="82"/>
      <c r="R81" s="82"/>
      <c r="S81" s="82"/>
      <c r="T81" s="82"/>
      <c r="U81" s="82"/>
      <c r="V81" s="82"/>
      <c r="X81" s="82"/>
      <c r="Z81" s="82"/>
      <c r="AA81" s="82"/>
      <c r="AB81" s="82"/>
      <c r="AC81" s="82"/>
      <c r="AD81" s="82"/>
      <c r="AE81" s="82"/>
      <c r="AF81" s="82"/>
      <c r="AG81" s="82"/>
      <c r="AH81" s="82"/>
      <c r="AI81" s="82"/>
      <c r="AJ81" s="82"/>
      <c r="AK81" s="82"/>
      <c r="AL81" s="82"/>
      <c r="AM81" s="82"/>
      <c r="AN81" s="82"/>
      <c r="AO81" s="82"/>
      <c r="AP81" s="82" t="s">
        <v>380</v>
      </c>
      <c r="AQ81" s="82" t="s">
        <v>381</v>
      </c>
      <c r="AR81" s="82"/>
    </row>
    <row r="82" spans="1:46" s="4" customFormat="1" ht="13.5" customHeight="1">
      <c r="A82" s="4" t="s">
        <v>485</v>
      </c>
      <c r="D82" s="33" t="s">
        <v>378</v>
      </c>
      <c r="E82" s="4" t="s">
        <v>67</v>
      </c>
      <c r="F82" s="12">
        <v>2</v>
      </c>
      <c r="G82" s="12">
        <v>2</v>
      </c>
      <c r="H82" s="12">
        <v>0</v>
      </c>
      <c r="I82" s="12">
        <v>16</v>
      </c>
      <c r="J82" s="82">
        <f t="shared" si="2"/>
        <v>2</v>
      </c>
      <c r="K82" s="42"/>
      <c r="L82" s="82"/>
      <c r="M82" s="82"/>
      <c r="N82" s="42"/>
      <c r="O82" s="41"/>
      <c r="P82" s="82"/>
      <c r="Q82" s="82"/>
      <c r="R82" s="82"/>
      <c r="S82" s="82"/>
      <c r="T82" s="82"/>
      <c r="U82" s="82"/>
      <c r="V82" s="82"/>
      <c r="W82" s="33"/>
      <c r="X82" s="82"/>
      <c r="Y82" s="33"/>
      <c r="Z82" s="82"/>
      <c r="AA82" s="82"/>
      <c r="AB82" s="82"/>
      <c r="AC82" s="82"/>
      <c r="AD82" s="82"/>
      <c r="AE82" s="82"/>
      <c r="AF82" s="82"/>
      <c r="AG82" s="82"/>
      <c r="AH82" s="82"/>
      <c r="AI82" s="82"/>
      <c r="AJ82" s="82"/>
      <c r="AK82" s="82"/>
      <c r="AL82" s="82"/>
      <c r="AM82" s="82"/>
      <c r="AN82" s="82"/>
      <c r="AO82" s="82"/>
      <c r="AP82" s="82" t="s">
        <v>380</v>
      </c>
      <c r="AQ82" s="82" t="s">
        <v>381</v>
      </c>
      <c r="AR82" s="82"/>
    </row>
    <row r="83" spans="1:46" s="4" customFormat="1" ht="13.5" customHeight="1">
      <c r="A83" s="4" t="s">
        <v>486</v>
      </c>
      <c r="C83" s="4" t="s">
        <v>387</v>
      </c>
      <c r="D83" s="33" t="s">
        <v>378</v>
      </c>
      <c r="E83" s="4" t="s">
        <v>71</v>
      </c>
      <c r="F83" s="12">
        <v>6</v>
      </c>
      <c r="G83" s="12">
        <v>5</v>
      </c>
      <c r="H83" s="12">
        <v>0</v>
      </c>
      <c r="I83" s="12">
        <v>41</v>
      </c>
      <c r="J83" s="82">
        <f t="shared" si="2"/>
        <v>5</v>
      </c>
      <c r="K83" s="42"/>
      <c r="L83" s="82"/>
      <c r="M83" s="82"/>
      <c r="N83" s="42"/>
      <c r="O83" s="41"/>
      <c r="P83" s="82"/>
      <c r="Q83" s="82"/>
      <c r="R83" s="82"/>
      <c r="S83" s="82"/>
      <c r="T83" s="82"/>
      <c r="U83" s="82"/>
      <c r="V83" s="82"/>
      <c r="W83" s="33"/>
      <c r="X83" s="82"/>
      <c r="Y83" s="33"/>
      <c r="Z83" s="82"/>
      <c r="AA83" s="82"/>
      <c r="AB83" s="82"/>
      <c r="AC83" s="82"/>
      <c r="AD83" s="82"/>
      <c r="AE83" s="82"/>
      <c r="AF83" s="82"/>
      <c r="AG83" s="82"/>
      <c r="AH83" s="82"/>
      <c r="AI83" s="82"/>
      <c r="AJ83" s="82"/>
      <c r="AK83" s="82"/>
      <c r="AL83" s="82"/>
      <c r="AM83" s="82"/>
      <c r="AN83" s="82"/>
      <c r="AO83" s="82"/>
      <c r="AP83" s="82" t="s">
        <v>380</v>
      </c>
      <c r="AQ83" s="82" t="s">
        <v>381</v>
      </c>
      <c r="AR83" s="82"/>
    </row>
    <row r="84" spans="1:46" s="4" customFormat="1" ht="13.5" customHeight="1">
      <c r="A84" s="4" t="s">
        <v>487</v>
      </c>
      <c r="D84" s="33" t="s">
        <v>378</v>
      </c>
      <c r="E84" s="4" t="s">
        <v>75</v>
      </c>
      <c r="F84" s="12">
        <v>2</v>
      </c>
      <c r="G84" s="12">
        <v>2</v>
      </c>
      <c r="H84" s="12">
        <v>0</v>
      </c>
      <c r="I84" s="12">
        <v>31</v>
      </c>
      <c r="J84" s="12">
        <f t="shared" si="2"/>
        <v>2</v>
      </c>
      <c r="K84" s="42"/>
      <c r="L84" s="82"/>
      <c r="M84" s="82"/>
      <c r="N84" s="42"/>
      <c r="O84" s="41"/>
      <c r="P84" s="82"/>
      <c r="Q84" s="82"/>
      <c r="R84" s="82"/>
      <c r="S84" s="82"/>
      <c r="T84" s="82"/>
      <c r="U84" s="82"/>
      <c r="V84" s="82"/>
      <c r="W84" s="33"/>
      <c r="X84" s="82"/>
      <c r="Y84" s="33"/>
      <c r="Z84" s="82"/>
      <c r="AA84" s="82"/>
      <c r="AB84" s="82"/>
      <c r="AC84" s="82"/>
      <c r="AD84" s="82"/>
      <c r="AE84" s="82"/>
      <c r="AF84" s="82"/>
      <c r="AG84" s="82"/>
      <c r="AH84" s="82"/>
      <c r="AI84" s="82"/>
      <c r="AJ84" s="82"/>
      <c r="AK84" s="82"/>
      <c r="AL84" s="82"/>
      <c r="AM84" s="82"/>
      <c r="AN84" s="82"/>
      <c r="AO84" s="82"/>
      <c r="AP84" s="82" t="s">
        <v>380</v>
      </c>
      <c r="AQ84" s="82" t="s">
        <v>381</v>
      </c>
      <c r="AR84" s="82"/>
    </row>
    <row r="85" spans="1:46" s="4" customFormat="1" ht="13.5" customHeight="1">
      <c r="A85" s="4" t="s">
        <v>444</v>
      </c>
      <c r="D85" s="4" t="s">
        <v>445</v>
      </c>
      <c r="E85" s="4" t="str">
        <f>IF(F55&lt;&gt;"4TB","AVE 2TB (Avamar Virtual Edition)","AVE 4TB (Avamar Virtual Edition)")</f>
        <v>AVE 2TB (Avamar Virtual Edition)</v>
      </c>
      <c r="F85" s="12">
        <f>IF(F55&lt;&gt;"4TB",4,6)</f>
        <v>4</v>
      </c>
      <c r="G85" s="12">
        <f>IF(F55&lt;&gt;"4TB",16,36)</f>
        <v>16</v>
      </c>
      <c r="H85" s="12">
        <v>0</v>
      </c>
      <c r="I85" s="12">
        <v>150</v>
      </c>
      <c r="J85" s="12">
        <f t="shared" si="2"/>
        <v>16</v>
      </c>
      <c r="K85" s="12" t="s">
        <v>179</v>
      </c>
      <c r="L85" s="12"/>
      <c r="M85" s="12"/>
      <c r="N85" s="1"/>
      <c r="O85"/>
      <c r="P85" s="12"/>
      <c r="Q85" s="12"/>
      <c r="R85" s="12"/>
      <c r="S85" s="12"/>
      <c r="T85" s="12"/>
      <c r="U85" s="12"/>
      <c r="V85" s="12">
        <f>IF(F55&lt;&gt;"4TB",3000,6000)</f>
        <v>3000</v>
      </c>
      <c r="W85" s="12" t="s">
        <v>179</v>
      </c>
      <c r="X85" s="12"/>
      <c r="AP85" s="12"/>
      <c r="AQ85" s="12"/>
      <c r="AR85" s="12"/>
    </row>
    <row r="86" spans="1:46" s="4" customFormat="1" ht="13.5" customHeight="1">
      <c r="A86" s="4" t="s">
        <v>447</v>
      </c>
      <c r="D86" s="4" t="s">
        <v>445</v>
      </c>
      <c r="E86" s="4" t="s">
        <v>448</v>
      </c>
      <c r="F86" s="12">
        <f>IF(F55&lt;&gt;"4TB",4,4)</f>
        <v>4</v>
      </c>
      <c r="G86" s="12">
        <f>IF(F55&lt;&gt;"4TB",4,4)</f>
        <v>4</v>
      </c>
      <c r="H86" s="12">
        <v>0</v>
      </c>
      <c r="I86" s="12">
        <v>21</v>
      </c>
      <c r="J86" s="12">
        <f t="shared" si="2"/>
        <v>4</v>
      </c>
      <c r="K86" s="12"/>
      <c r="L86" s="12"/>
      <c r="M86" s="12"/>
      <c r="N86" s="1"/>
      <c r="O86"/>
      <c r="P86" s="12"/>
      <c r="Q86" s="12"/>
      <c r="R86" s="12"/>
      <c r="S86" s="12"/>
      <c r="T86" s="12"/>
      <c r="U86" s="12"/>
      <c r="V86" s="12"/>
      <c r="W86" s="12"/>
      <c r="X86" s="12"/>
      <c r="AP86" s="12"/>
      <c r="AQ86" s="12"/>
      <c r="AR86" s="12"/>
    </row>
    <row r="87" spans="1:46" s="17" customFormat="1" ht="13.5" customHeight="1">
      <c r="A87" s="4" t="s">
        <v>572</v>
      </c>
      <c r="B87" s="4"/>
      <c r="C87" s="4"/>
      <c r="D87" s="4" t="s">
        <v>445</v>
      </c>
      <c r="E87" s="4" t="s">
        <v>573</v>
      </c>
      <c r="F87" s="12">
        <f>IF(F55&lt;&gt;"4TB",0,4)</f>
        <v>0</v>
      </c>
      <c r="G87" s="12">
        <f>IF(F55&lt;&gt;"4TB",0,4)</f>
        <v>0</v>
      </c>
      <c r="H87" s="12">
        <v>0</v>
      </c>
      <c r="I87" s="12">
        <f>IF(F55&lt;&gt;"4TB",0,21)</f>
        <v>0</v>
      </c>
      <c r="J87" s="12">
        <f t="shared" si="2"/>
        <v>0</v>
      </c>
      <c r="K87" s="12"/>
      <c r="L87" s="12"/>
      <c r="M87" s="12"/>
      <c r="N87" s="1"/>
      <c r="O87"/>
      <c r="P87" s="12"/>
      <c r="Q87" s="12"/>
      <c r="R87" s="12"/>
      <c r="S87" s="12"/>
      <c r="T87" s="12"/>
      <c r="U87" s="12"/>
      <c r="V87" s="12"/>
      <c r="W87" s="12"/>
      <c r="X87" s="12"/>
      <c r="Y87" s="4"/>
      <c r="Z87" s="4"/>
      <c r="AA87" s="4"/>
      <c r="AB87" s="4"/>
      <c r="AC87" s="4"/>
      <c r="AD87" s="4"/>
      <c r="AE87" s="4"/>
      <c r="AF87" s="4"/>
      <c r="AG87" s="4"/>
      <c r="AH87" s="4"/>
      <c r="AI87" s="4"/>
      <c r="AJ87" s="4"/>
      <c r="AK87" s="4"/>
      <c r="AL87" s="4"/>
      <c r="AM87" s="4"/>
      <c r="AN87" s="4"/>
      <c r="AO87" s="4"/>
      <c r="AP87" s="12"/>
      <c r="AQ87" s="12"/>
      <c r="AR87" s="12"/>
    </row>
    <row r="88" spans="1:46" ht="14.5">
      <c r="A88" s="4" t="s">
        <v>488</v>
      </c>
      <c r="B88" s="4"/>
      <c r="C88" s="4" t="s">
        <v>387</v>
      </c>
      <c r="D88" s="4" t="s">
        <v>378</v>
      </c>
      <c r="E88" s="4" t="s">
        <v>87</v>
      </c>
      <c r="F88" s="12">
        <v>10</v>
      </c>
      <c r="G88" s="12">
        <v>32</v>
      </c>
      <c r="H88" s="12">
        <v>0</v>
      </c>
      <c r="I88" s="12">
        <v>71</v>
      </c>
      <c r="J88" s="12">
        <f t="shared" si="2"/>
        <v>32</v>
      </c>
      <c r="K88" s="12"/>
      <c r="L88" s="12"/>
      <c r="M88" s="12"/>
      <c r="N88" s="1"/>
      <c r="O88"/>
      <c r="P88" s="12"/>
      <c r="Q88" s="12"/>
      <c r="R88" s="12"/>
      <c r="S88" s="12"/>
      <c r="T88" s="12"/>
      <c r="U88" s="12"/>
      <c r="V88" s="12"/>
      <c r="W88" s="12"/>
      <c r="X88" s="12"/>
      <c r="Y88" s="4"/>
      <c r="Z88" s="4"/>
      <c r="AA88" s="4"/>
      <c r="AB88" s="4"/>
      <c r="AC88" s="4"/>
      <c r="AD88" s="4"/>
      <c r="AE88" s="4"/>
      <c r="AF88" s="12">
        <v>225</v>
      </c>
      <c r="AG88" s="82" t="s">
        <v>489</v>
      </c>
      <c r="AH88" s="82"/>
      <c r="AI88" s="82"/>
      <c r="AJ88" s="82"/>
      <c r="AK88" s="82"/>
      <c r="AL88" s="82"/>
      <c r="AM88" s="82"/>
      <c r="AN88" s="82"/>
      <c r="AO88" s="82"/>
      <c r="AP88" s="12" t="s">
        <v>380</v>
      </c>
      <c r="AQ88" s="12" t="s">
        <v>381</v>
      </c>
      <c r="AR88" s="12"/>
    </row>
    <row r="89" spans="1:46" ht="14.5">
      <c r="A89" s="4" t="s">
        <v>490</v>
      </c>
      <c r="B89" s="4"/>
      <c r="C89" s="4" t="s">
        <v>387</v>
      </c>
      <c r="D89" s="4" t="s">
        <v>378</v>
      </c>
      <c r="E89" s="4" t="s">
        <v>99</v>
      </c>
      <c r="F89" s="12">
        <v>2</v>
      </c>
      <c r="G89" s="12">
        <v>10</v>
      </c>
      <c r="H89" s="12">
        <v>0</v>
      </c>
      <c r="I89" s="12">
        <v>60</v>
      </c>
      <c r="J89" s="12">
        <f t="shared" ref="J89:J91" si="3">G89-H89</f>
        <v>10</v>
      </c>
      <c r="K89" s="12"/>
      <c r="L89" s="12"/>
      <c r="M89" s="12"/>
      <c r="N89" s="1"/>
      <c r="O89"/>
      <c r="P89" s="12"/>
      <c r="Q89" s="12"/>
      <c r="R89" s="12"/>
      <c r="S89" s="12"/>
      <c r="T89" s="12"/>
      <c r="U89" s="12"/>
      <c r="V89" s="12"/>
      <c r="W89" s="12"/>
      <c r="X89" s="12"/>
      <c r="Y89" s="4"/>
      <c r="Z89" s="4"/>
      <c r="AA89" s="4"/>
      <c r="AB89" s="4"/>
      <c r="AC89" s="4"/>
      <c r="AD89" s="4"/>
      <c r="AE89" s="4"/>
      <c r="AF89" s="12"/>
      <c r="AG89" s="82"/>
      <c r="AH89" s="82"/>
      <c r="AI89" s="82"/>
      <c r="AJ89" s="82"/>
      <c r="AK89" s="82"/>
      <c r="AL89" s="82"/>
      <c r="AM89" s="82"/>
      <c r="AN89" s="82"/>
      <c r="AO89" s="82"/>
      <c r="AP89" s="12" t="s">
        <v>380</v>
      </c>
      <c r="AQ89" s="12" t="s">
        <v>381</v>
      </c>
      <c r="AR89" s="12"/>
    </row>
    <row r="90" spans="1:46" s="4" customFormat="1" ht="13.5" customHeight="1">
      <c r="A90" s="4" t="s">
        <v>491</v>
      </c>
      <c r="C90" s="4" t="s">
        <v>387</v>
      </c>
      <c r="D90" s="4" t="s">
        <v>378</v>
      </c>
      <c r="E90" s="4" t="s">
        <v>102</v>
      </c>
      <c r="F90" s="12">
        <v>16</v>
      </c>
      <c r="G90" s="12">
        <v>32</v>
      </c>
      <c r="H90" s="12">
        <v>0</v>
      </c>
      <c r="I90" s="12">
        <v>70</v>
      </c>
      <c r="J90" s="12">
        <f t="shared" si="3"/>
        <v>32</v>
      </c>
      <c r="K90" s="82" t="s">
        <v>469</v>
      </c>
      <c r="N90" s="93"/>
      <c r="O90"/>
      <c r="P90" s="12"/>
      <c r="Q90" s="12"/>
      <c r="R90" s="12"/>
      <c r="S90" s="12"/>
      <c r="T90" s="12"/>
      <c r="U90" s="12"/>
      <c r="V90" s="128"/>
      <c r="W90" s="128"/>
      <c r="X90" s="12"/>
      <c r="AJ90" s="12">
        <v>135</v>
      </c>
      <c r="AK90" s="12" t="s">
        <v>492</v>
      </c>
      <c r="AL90" s="12">
        <v>5</v>
      </c>
      <c r="AM90" s="12" t="s">
        <v>492</v>
      </c>
      <c r="AN90" s="12"/>
      <c r="AP90" s="12" t="s">
        <v>380</v>
      </c>
      <c r="AQ90" s="12" t="s">
        <v>381</v>
      </c>
      <c r="AR90" s="12"/>
      <c r="AS90" s="12"/>
      <c r="AT90" s="12"/>
    </row>
    <row r="91" spans="1:46" s="17" customFormat="1" ht="13.5" customHeight="1">
      <c r="A91" s="17" t="s">
        <v>493</v>
      </c>
      <c r="C91" s="17" t="s">
        <v>387</v>
      </c>
      <c r="D91" s="17" t="s">
        <v>378</v>
      </c>
      <c r="E91" s="17" t="s">
        <v>102</v>
      </c>
      <c r="F91" s="15">
        <v>16</v>
      </c>
      <c r="G91" s="15">
        <v>32</v>
      </c>
      <c r="H91" s="15">
        <v>0</v>
      </c>
      <c r="I91" s="15">
        <v>70</v>
      </c>
      <c r="J91" s="15">
        <f t="shared" si="3"/>
        <v>32</v>
      </c>
      <c r="K91" s="36" t="s">
        <v>470</v>
      </c>
      <c r="N91" s="94"/>
      <c r="O91" s="95"/>
      <c r="P91" s="15"/>
      <c r="Q91" s="15"/>
      <c r="R91" s="15"/>
      <c r="S91" s="15"/>
      <c r="T91" s="15"/>
      <c r="U91" s="15"/>
      <c r="V91" s="129"/>
      <c r="W91" s="129"/>
      <c r="X91" s="15"/>
      <c r="AJ91" s="15"/>
      <c r="AK91" s="15"/>
      <c r="AL91" s="15"/>
      <c r="AN91" s="15">
        <v>760</v>
      </c>
      <c r="AO91" s="15" t="s">
        <v>492</v>
      </c>
      <c r="AP91" s="15" t="s">
        <v>380</v>
      </c>
      <c r="AQ91" s="15" t="s">
        <v>381</v>
      </c>
      <c r="AR91" s="15"/>
      <c r="AS91" s="15"/>
      <c r="AT91" s="15"/>
    </row>
    <row r="92" spans="1:46" s="4" customFormat="1" ht="13.5" customHeight="1">
      <c r="A92" s="33"/>
      <c r="B92" s="33"/>
      <c r="C92" s="33"/>
      <c r="D92" s="33"/>
      <c r="E92" s="33"/>
      <c r="F92" s="82">
        <f>SUM(F58:F91)+F46</f>
        <v>406</v>
      </c>
      <c r="G92" s="82">
        <f t="shared" ref="G92:I92" si="4">SUM(G58:G91)+G46</f>
        <v>1191</v>
      </c>
      <c r="H92" s="82">
        <f t="shared" si="4"/>
        <v>433</v>
      </c>
      <c r="I92" s="82">
        <f t="shared" si="4"/>
        <v>6798</v>
      </c>
      <c r="J92" s="82"/>
      <c r="K92" s="82"/>
      <c r="L92" s="82">
        <f t="shared" ref="L92:AN92" si="5">SUM(L58:L91)+L46</f>
        <v>500</v>
      </c>
      <c r="M92" s="82"/>
      <c r="N92" s="82">
        <f t="shared" si="5"/>
        <v>9000</v>
      </c>
      <c r="O92" s="82"/>
      <c r="P92" s="82">
        <f t="shared" si="5"/>
        <v>13500</v>
      </c>
      <c r="Q92" s="82"/>
      <c r="R92" s="82">
        <f t="shared" si="5"/>
        <v>1040</v>
      </c>
      <c r="S92" s="82"/>
      <c r="T92" s="82">
        <f t="shared" si="5"/>
        <v>300</v>
      </c>
      <c r="U92" s="82"/>
      <c r="V92" s="82">
        <f t="shared" si="5"/>
        <v>3000</v>
      </c>
      <c r="W92" s="82"/>
      <c r="X92" s="82">
        <f t="shared" si="5"/>
        <v>31396</v>
      </c>
      <c r="Y92" s="33"/>
      <c r="Z92" s="82">
        <f t="shared" si="5"/>
        <v>200</v>
      </c>
      <c r="AA92" s="33"/>
      <c r="AB92" s="82">
        <f t="shared" si="5"/>
        <v>50</v>
      </c>
      <c r="AC92" s="33"/>
      <c r="AD92" s="82">
        <f t="shared" si="5"/>
        <v>200</v>
      </c>
      <c r="AE92" s="33"/>
      <c r="AF92" s="82">
        <f t="shared" si="5"/>
        <v>225</v>
      </c>
      <c r="AG92" s="33"/>
      <c r="AH92" s="82">
        <f t="shared" si="5"/>
        <v>200</v>
      </c>
      <c r="AI92" s="33"/>
      <c r="AJ92" s="82">
        <f t="shared" si="5"/>
        <v>135</v>
      </c>
      <c r="AK92" s="33"/>
      <c r="AL92" s="82">
        <f t="shared" si="5"/>
        <v>5</v>
      </c>
      <c r="AM92" s="33"/>
      <c r="AN92" s="82">
        <f t="shared" si="5"/>
        <v>760</v>
      </c>
      <c r="AO92" s="33"/>
      <c r="AP92" s="33"/>
      <c r="AQ92" s="82" t="s">
        <v>597</v>
      </c>
      <c r="AR92" s="82">
        <f>3</f>
        <v>3</v>
      </c>
    </row>
    <row r="93" spans="1:46" s="4" customFormat="1" ht="13.5" customHeight="1">
      <c r="A93" s="33"/>
      <c r="B93" s="33"/>
      <c r="C93" s="33"/>
      <c r="D93" s="33"/>
      <c r="E93" s="33"/>
      <c r="F93" s="33"/>
      <c r="G93" s="33"/>
      <c r="H93" s="33"/>
      <c r="I93" s="33"/>
      <c r="J93" s="33"/>
      <c r="K93" s="33"/>
      <c r="L93" s="33"/>
      <c r="M93" s="33"/>
      <c r="N93" s="33"/>
      <c r="O93" s="33"/>
      <c r="P93" s="33"/>
      <c r="Q93" s="33"/>
      <c r="R93" s="33"/>
      <c r="S93" s="33"/>
      <c r="T93" s="33"/>
      <c r="U93" s="33"/>
      <c r="V93" s="33"/>
      <c r="W93" s="33"/>
      <c r="X93" s="33"/>
      <c r="Y93" s="33"/>
      <c r="Z93" s="33"/>
      <c r="AA93" s="33"/>
      <c r="AB93" s="33"/>
      <c r="AC93" s="33"/>
      <c r="AD93" s="33"/>
      <c r="AE93" s="33"/>
      <c r="AF93" s="33"/>
      <c r="AG93" s="33"/>
      <c r="AH93" s="33"/>
      <c r="AI93" s="33"/>
      <c r="AJ93" s="33"/>
      <c r="AK93" s="33"/>
      <c r="AL93" s="33"/>
      <c r="AM93" s="33"/>
      <c r="AN93" s="33"/>
      <c r="AO93" s="33"/>
      <c r="AP93" s="33"/>
      <c r="AQ93" s="33"/>
      <c r="AR93" s="33"/>
    </row>
    <row r="94" spans="1:46" s="4" customFormat="1" ht="13.5" customHeight="1">
      <c r="A94" s="14" t="s">
        <v>495</v>
      </c>
      <c r="B94" s="33"/>
      <c r="C94" s="33"/>
      <c r="D94" s="33"/>
      <c r="E94" s="33"/>
      <c r="F94" s="33"/>
      <c r="G94" s="33"/>
      <c r="H94" s="33"/>
      <c r="I94" s="33"/>
      <c r="J94" s="33"/>
      <c r="K94" s="33"/>
      <c r="L94" s="33"/>
      <c r="M94" s="33"/>
      <c r="N94" s="33"/>
      <c r="O94" s="33"/>
      <c r="P94" s="33"/>
      <c r="Q94" s="33"/>
      <c r="R94" s="33"/>
      <c r="S94" s="33"/>
      <c r="T94" s="33"/>
      <c r="U94" s="33"/>
      <c r="V94" s="33"/>
      <c r="W94" s="33"/>
      <c r="X94" s="33"/>
      <c r="Y94" s="33"/>
      <c r="Z94" s="33"/>
      <c r="AA94" s="33"/>
      <c r="AB94" s="33"/>
      <c r="AC94" s="33"/>
      <c r="AD94" s="33"/>
      <c r="AE94" s="33"/>
      <c r="AF94" s="33"/>
      <c r="AG94" s="33"/>
      <c r="AH94" s="33"/>
      <c r="AI94" s="33"/>
      <c r="AJ94" s="33"/>
      <c r="AK94" s="33"/>
      <c r="AL94" s="33"/>
      <c r="AM94" s="33"/>
      <c r="AN94" s="33"/>
      <c r="AO94" s="33"/>
      <c r="AP94" s="33"/>
      <c r="AQ94" s="33"/>
      <c r="AR94" s="33"/>
    </row>
    <row r="95" spans="1:46" ht="14.5">
      <c r="A95" s="4" t="s">
        <v>496</v>
      </c>
      <c r="B95" s="4"/>
      <c r="C95" s="4" t="s">
        <v>497</v>
      </c>
      <c r="D95" s="4" t="s">
        <v>445</v>
      </c>
      <c r="E95" s="4" t="s">
        <v>498</v>
      </c>
      <c r="F95" s="12">
        <v>4</v>
      </c>
      <c r="G95" s="12">
        <v>4</v>
      </c>
      <c r="H95" s="12">
        <v>0</v>
      </c>
      <c r="I95" s="12">
        <v>25</v>
      </c>
      <c r="J95" s="12">
        <f>G95-H95</f>
        <v>4</v>
      </c>
      <c r="K95" s="82" t="s">
        <v>499</v>
      </c>
      <c r="L95" s="4"/>
      <c r="M95" s="4"/>
      <c r="N95" s="93"/>
      <c r="O95"/>
      <c r="P95" s="12"/>
      <c r="Q95" s="12"/>
      <c r="R95" s="12"/>
      <c r="S95" s="12"/>
      <c r="T95" s="12"/>
      <c r="U95" s="12"/>
      <c r="V95" s="12"/>
      <c r="W95" s="12"/>
      <c r="X95" s="12"/>
      <c r="Y95" s="4"/>
      <c r="Z95" s="4"/>
      <c r="AA95" s="4"/>
      <c r="AB95" s="4"/>
      <c r="AC95" s="4"/>
      <c r="AD95" s="4"/>
      <c r="AE95" s="4"/>
      <c r="AF95" s="4"/>
      <c r="AG95" s="4"/>
      <c r="AH95" s="4"/>
      <c r="AI95" s="4"/>
      <c r="AJ95" s="4"/>
      <c r="AK95" s="4"/>
      <c r="AL95" s="4"/>
      <c r="AM95" s="4"/>
      <c r="AN95" s="4"/>
      <c r="AO95" s="4"/>
      <c r="AP95" s="12" t="s">
        <v>380</v>
      </c>
      <c r="AQ95" s="12" t="s">
        <v>381</v>
      </c>
      <c r="AR95" s="12"/>
    </row>
    <row r="96" spans="1:46">
      <c r="A96" s="17" t="s">
        <v>500</v>
      </c>
      <c r="B96" s="17"/>
      <c r="C96" s="17" t="s">
        <v>497</v>
      </c>
      <c r="D96" s="17" t="s">
        <v>445</v>
      </c>
      <c r="E96" s="17" t="s">
        <v>501</v>
      </c>
      <c r="F96" s="15">
        <v>4</v>
      </c>
      <c r="G96" s="15">
        <v>4</v>
      </c>
      <c r="H96" s="15">
        <v>0</v>
      </c>
      <c r="I96" s="15">
        <v>25</v>
      </c>
      <c r="J96" s="15">
        <f>G96-H96</f>
        <v>4</v>
      </c>
      <c r="K96" s="36" t="s">
        <v>499</v>
      </c>
      <c r="L96" s="17"/>
      <c r="M96" s="17"/>
      <c r="N96" s="17"/>
      <c r="O96" s="17"/>
      <c r="P96" s="17"/>
      <c r="Q96" s="17"/>
      <c r="R96" s="17"/>
      <c r="S96" s="17"/>
      <c r="T96" s="17"/>
      <c r="U96" s="17"/>
      <c r="V96" s="17"/>
      <c r="W96" s="17"/>
      <c r="X96" s="17"/>
      <c r="Y96" s="17"/>
      <c r="Z96" s="17"/>
      <c r="AA96" s="17"/>
      <c r="AB96" s="17"/>
      <c r="AC96" s="17"/>
      <c r="AD96" s="17"/>
      <c r="AE96" s="17"/>
      <c r="AF96" s="17"/>
      <c r="AG96" s="17"/>
      <c r="AH96" s="17"/>
      <c r="AI96" s="17"/>
      <c r="AJ96" s="17"/>
      <c r="AK96" s="17"/>
      <c r="AL96" s="17"/>
      <c r="AM96" s="17"/>
      <c r="AN96" s="17"/>
      <c r="AO96" s="17"/>
      <c r="AP96" s="15" t="s">
        <v>380</v>
      </c>
      <c r="AQ96" s="15" t="s">
        <v>381</v>
      </c>
      <c r="AR96" s="17"/>
    </row>
    <row r="97" spans="1:44">
      <c r="A97" s="4"/>
      <c r="B97" s="4"/>
      <c r="C97" s="4"/>
      <c r="D97" s="4"/>
      <c r="E97" s="4"/>
      <c r="F97" s="12">
        <f>SUM(F95:F96)+F92</f>
        <v>414</v>
      </c>
      <c r="G97" s="12">
        <f>SUM(G95:G96)+G92</f>
        <v>1199</v>
      </c>
      <c r="H97" s="12">
        <f>SUM(H95:H96)+H92</f>
        <v>433</v>
      </c>
      <c r="I97" s="12">
        <f>SUM(I95:I96)+I92</f>
        <v>6848</v>
      </c>
      <c r="J97" s="12"/>
      <c r="K97" s="12"/>
      <c r="L97" s="12">
        <f>SUM(L95:L96)+L92</f>
        <v>500</v>
      </c>
      <c r="M97" s="12"/>
      <c r="N97" s="12">
        <f>SUM(N95:N96)+N92</f>
        <v>9000</v>
      </c>
      <c r="O97" s="12"/>
      <c r="P97" s="12">
        <f>SUM(P95:P96)+P92</f>
        <v>13500</v>
      </c>
      <c r="Q97" s="12"/>
      <c r="R97" s="12">
        <f>SUM(R95:R96)+R92</f>
        <v>1040</v>
      </c>
      <c r="S97" s="12"/>
      <c r="T97" s="12">
        <f>SUM(T95:T96)+T92</f>
        <v>300</v>
      </c>
      <c r="U97" s="12"/>
      <c r="V97" s="12">
        <f>SUM(V95:V96)+V92</f>
        <v>3000</v>
      </c>
      <c r="W97" s="12"/>
      <c r="X97" s="12">
        <f>SUM(X95:X96)+X92</f>
        <v>31396</v>
      </c>
      <c r="Y97" s="4"/>
      <c r="Z97" s="12">
        <f>SUM(Z95:Z96)+Z92</f>
        <v>200</v>
      </c>
      <c r="AA97" s="4"/>
      <c r="AB97" s="12">
        <f>SUM(AB95:AB96)+AB92</f>
        <v>50</v>
      </c>
      <c r="AC97" s="4"/>
      <c r="AD97" s="12">
        <f>SUM(AD95:AD96)+AD92</f>
        <v>200</v>
      </c>
      <c r="AE97" s="4"/>
      <c r="AF97" s="12">
        <f>SUM(AF95:AF96)+AF92</f>
        <v>225</v>
      </c>
      <c r="AG97" s="4"/>
      <c r="AH97" s="12">
        <f>SUM(AH95:AH96)+AH92</f>
        <v>200</v>
      </c>
      <c r="AI97" s="4"/>
      <c r="AJ97" s="12">
        <f>SUM(AJ95:AJ96)+AJ92</f>
        <v>135</v>
      </c>
      <c r="AK97" s="4"/>
      <c r="AL97" s="12">
        <f>SUM(AL95:AL96)+AL92</f>
        <v>5</v>
      </c>
      <c r="AM97" s="4"/>
      <c r="AN97" s="12">
        <f>SUM(AN95:AN96)+AN92</f>
        <v>760</v>
      </c>
      <c r="AO97" s="4"/>
      <c r="AP97" s="4"/>
      <c r="AQ97" s="12" t="s">
        <v>598</v>
      </c>
      <c r="AR97" s="12">
        <f>3</f>
        <v>3</v>
      </c>
    </row>
    <row r="98" spans="1:44" ht="13">
      <c r="A98" s="14"/>
      <c r="AN98" s="12"/>
    </row>
    <row r="99" spans="1:44" ht="13">
      <c r="A99" s="14" t="s">
        <v>503</v>
      </c>
    </row>
    <row r="100" spans="1:44">
      <c r="A100" s="4" t="s">
        <v>504</v>
      </c>
      <c r="B100" s="4"/>
      <c r="C100" s="4" t="s">
        <v>505</v>
      </c>
      <c r="D100" s="4" t="s">
        <v>506</v>
      </c>
      <c r="E100" s="4" t="s">
        <v>19</v>
      </c>
      <c r="F100" s="12">
        <v>2</v>
      </c>
      <c r="G100" s="12">
        <v>4</v>
      </c>
      <c r="H100" s="12">
        <v>4</v>
      </c>
      <c r="I100" s="12">
        <v>350</v>
      </c>
      <c r="J100" s="12">
        <f t="shared" ref="J100:J105" si="6">G100-H100</f>
        <v>0</v>
      </c>
      <c r="K100" s="82" t="s">
        <v>507</v>
      </c>
      <c r="L100" s="82"/>
      <c r="M100" s="82"/>
      <c r="N100" s="82"/>
      <c r="O100" s="82"/>
      <c r="P100" s="82"/>
      <c r="Q100" s="82"/>
      <c r="R100" s="82"/>
      <c r="S100" s="82"/>
      <c r="T100" s="82"/>
      <c r="U100" s="82"/>
      <c r="V100" s="82"/>
      <c r="Z100" s="82"/>
      <c r="AA100" s="82"/>
      <c r="AB100" s="82"/>
      <c r="AC100" s="82"/>
      <c r="AD100" s="82"/>
      <c r="AE100" s="82"/>
      <c r="AF100" s="82"/>
      <c r="AG100" s="82"/>
      <c r="AH100" s="82"/>
      <c r="AI100" s="82"/>
      <c r="AJ100" s="82"/>
      <c r="AK100" s="82"/>
      <c r="AL100" s="82"/>
      <c r="AM100" s="82"/>
      <c r="AN100" s="82"/>
      <c r="AO100" s="82"/>
      <c r="AP100" s="82" t="s">
        <v>380</v>
      </c>
      <c r="AQ100" s="82" t="s">
        <v>381</v>
      </c>
      <c r="AR100" s="82"/>
    </row>
    <row r="101" spans="1:44">
      <c r="A101" s="4" t="s">
        <v>509</v>
      </c>
      <c r="B101" s="4"/>
      <c r="C101" s="4" t="s">
        <v>505</v>
      </c>
      <c r="D101" s="4" t="s">
        <v>506</v>
      </c>
      <c r="E101" s="4" t="s">
        <v>510</v>
      </c>
      <c r="F101" s="12">
        <v>6</v>
      </c>
      <c r="G101" s="12">
        <v>10</v>
      </c>
      <c r="H101" s="12">
        <v>10</v>
      </c>
      <c r="I101" s="12">
        <v>100</v>
      </c>
      <c r="J101" s="12">
        <f t="shared" si="6"/>
        <v>0</v>
      </c>
      <c r="K101" s="82" t="s">
        <v>507</v>
      </c>
      <c r="L101" s="82"/>
      <c r="M101" s="82"/>
      <c r="N101" s="82">
        <v>200</v>
      </c>
      <c r="O101" s="82" t="s">
        <v>508</v>
      </c>
      <c r="P101" s="82"/>
      <c r="Q101" s="82"/>
      <c r="R101" s="82"/>
      <c r="S101" s="82"/>
      <c r="T101" s="82"/>
      <c r="U101" s="82"/>
      <c r="V101" s="82"/>
      <c r="Z101" s="82"/>
      <c r="AA101" s="82"/>
      <c r="AB101" s="82"/>
      <c r="AC101" s="82"/>
      <c r="AD101" s="82"/>
      <c r="AE101" s="82"/>
      <c r="AF101" s="82"/>
      <c r="AG101" s="82"/>
      <c r="AH101" s="82"/>
      <c r="AI101" s="82"/>
      <c r="AJ101" s="82"/>
      <c r="AK101" s="82"/>
      <c r="AL101" s="82"/>
      <c r="AM101" s="82"/>
      <c r="AN101" s="82"/>
      <c r="AO101" s="82"/>
      <c r="AP101" s="82" t="s">
        <v>380</v>
      </c>
      <c r="AQ101" s="82" t="s">
        <v>381</v>
      </c>
      <c r="AR101" s="82"/>
    </row>
    <row r="102" spans="1:44">
      <c r="A102" s="4" t="s">
        <v>511</v>
      </c>
      <c r="B102" s="4"/>
      <c r="C102" s="4" t="s">
        <v>505</v>
      </c>
      <c r="D102" s="4" t="s">
        <v>506</v>
      </c>
      <c r="E102" s="4" t="s">
        <v>512</v>
      </c>
      <c r="F102" s="12">
        <v>8</v>
      </c>
      <c r="G102" s="12">
        <v>16</v>
      </c>
      <c r="H102" s="12">
        <v>16</v>
      </c>
      <c r="I102" s="12">
        <v>60</v>
      </c>
      <c r="J102" s="12">
        <f t="shared" si="6"/>
        <v>0</v>
      </c>
      <c r="K102" s="82" t="s">
        <v>513</v>
      </c>
      <c r="L102" s="82"/>
      <c r="M102" s="82"/>
      <c r="N102" s="82"/>
      <c r="O102" s="82"/>
      <c r="P102" s="82"/>
      <c r="Q102" s="82"/>
      <c r="R102" s="82"/>
      <c r="S102" s="82"/>
      <c r="T102" s="82"/>
      <c r="U102" s="82"/>
      <c r="V102" s="82"/>
      <c r="Z102" s="82"/>
      <c r="AA102" s="82"/>
      <c r="AB102" s="82"/>
      <c r="AC102" s="82"/>
      <c r="AD102" s="82"/>
      <c r="AE102" s="82"/>
      <c r="AF102" s="82"/>
      <c r="AG102" s="82"/>
      <c r="AH102" s="82"/>
      <c r="AI102" s="82"/>
      <c r="AJ102" s="82"/>
      <c r="AK102" s="82"/>
      <c r="AL102" s="82"/>
      <c r="AM102" s="82"/>
      <c r="AN102" s="82"/>
      <c r="AO102" s="82"/>
      <c r="AP102" s="82" t="s">
        <v>396</v>
      </c>
      <c r="AQ102" s="12" t="s">
        <v>397</v>
      </c>
      <c r="AR102" s="82"/>
    </row>
    <row r="103" spans="1:44">
      <c r="A103" s="4" t="s">
        <v>514</v>
      </c>
      <c r="B103" s="4"/>
      <c r="C103" s="4" t="s">
        <v>505</v>
      </c>
      <c r="D103" s="4" t="s">
        <v>506</v>
      </c>
      <c r="E103" s="4" t="s">
        <v>515</v>
      </c>
      <c r="F103" s="12">
        <v>10</v>
      </c>
      <c r="G103" s="12">
        <v>10</v>
      </c>
      <c r="H103" s="12">
        <v>10</v>
      </c>
      <c r="I103" s="12">
        <v>40</v>
      </c>
      <c r="J103" s="12">
        <f t="shared" si="6"/>
        <v>0</v>
      </c>
      <c r="K103" s="82" t="s">
        <v>513</v>
      </c>
      <c r="L103" s="82"/>
      <c r="M103" s="82"/>
      <c r="N103" s="82"/>
      <c r="O103" s="82"/>
      <c r="P103" s="82"/>
      <c r="Q103" s="82"/>
      <c r="R103" s="82"/>
      <c r="S103" s="82"/>
      <c r="T103" s="82"/>
      <c r="U103" s="82"/>
      <c r="V103" s="82"/>
      <c r="Z103" s="82"/>
      <c r="AA103" s="82"/>
      <c r="AB103" s="82"/>
      <c r="AC103" s="82"/>
      <c r="AD103" s="82"/>
      <c r="AE103" s="82"/>
      <c r="AF103" s="82"/>
      <c r="AG103" s="82"/>
      <c r="AH103" s="82"/>
      <c r="AI103" s="82"/>
      <c r="AJ103" s="82"/>
      <c r="AK103" s="82"/>
      <c r="AL103" s="82"/>
      <c r="AM103" s="82"/>
      <c r="AN103" s="82"/>
      <c r="AO103" s="82"/>
      <c r="AP103" s="82" t="s">
        <v>396</v>
      </c>
      <c r="AQ103" s="12" t="s">
        <v>397</v>
      </c>
      <c r="AR103" s="82"/>
    </row>
    <row r="104" spans="1:44">
      <c r="A104" s="4" t="s">
        <v>516</v>
      </c>
      <c r="B104" s="4"/>
      <c r="C104" s="4" t="s">
        <v>505</v>
      </c>
      <c r="D104" s="4" t="s">
        <v>506</v>
      </c>
      <c r="E104" s="4" t="s">
        <v>517</v>
      </c>
      <c r="F104" s="12">
        <v>4</v>
      </c>
      <c r="G104" s="12">
        <v>16</v>
      </c>
      <c r="H104" s="12">
        <v>0</v>
      </c>
      <c r="I104" s="12">
        <v>550</v>
      </c>
      <c r="J104" s="12">
        <f t="shared" si="6"/>
        <v>16</v>
      </c>
      <c r="K104" s="82" t="s">
        <v>518</v>
      </c>
      <c r="L104" s="82"/>
      <c r="M104" s="82"/>
      <c r="N104" s="82"/>
      <c r="O104" s="82"/>
      <c r="P104" s="82"/>
      <c r="Q104" s="82"/>
      <c r="R104" s="82"/>
      <c r="S104" s="82"/>
      <c r="T104" s="82"/>
      <c r="U104" s="82"/>
      <c r="V104" s="82"/>
      <c r="Z104" s="82"/>
      <c r="AA104" s="82"/>
      <c r="AB104" s="82"/>
      <c r="AC104" s="82"/>
      <c r="AD104" s="82"/>
      <c r="AE104" s="82"/>
      <c r="AF104" s="82"/>
      <c r="AG104" s="82"/>
      <c r="AH104" s="82"/>
      <c r="AI104" s="82"/>
      <c r="AJ104" s="82"/>
      <c r="AK104" s="82"/>
      <c r="AL104" s="82"/>
      <c r="AM104" s="82"/>
      <c r="AN104" s="82"/>
      <c r="AO104" s="82"/>
      <c r="AP104" s="82" t="s">
        <v>396</v>
      </c>
      <c r="AQ104" s="12" t="s">
        <v>397</v>
      </c>
      <c r="AR104" s="82"/>
    </row>
    <row r="105" spans="1:44" s="4" customFormat="1">
      <c r="A105" s="4" t="s">
        <v>520</v>
      </c>
      <c r="C105" s="4" t="s">
        <v>505</v>
      </c>
      <c r="D105" s="4" t="s">
        <v>506</v>
      </c>
      <c r="E105" s="4" t="s">
        <v>521</v>
      </c>
      <c r="F105" s="12">
        <v>2</v>
      </c>
      <c r="G105" s="12">
        <v>4</v>
      </c>
      <c r="H105" s="12">
        <v>4</v>
      </c>
      <c r="I105" s="12">
        <v>40</v>
      </c>
      <c r="J105" s="12">
        <f t="shared" si="6"/>
        <v>0</v>
      </c>
      <c r="K105" s="82" t="s">
        <v>513</v>
      </c>
      <c r="L105" s="82"/>
      <c r="M105" s="82"/>
      <c r="N105" s="82"/>
      <c r="O105" s="82"/>
      <c r="P105" s="82"/>
      <c r="Q105" s="82"/>
      <c r="R105" s="82">
        <v>50</v>
      </c>
      <c r="S105" s="82" t="s">
        <v>519</v>
      </c>
      <c r="T105" s="82"/>
      <c r="U105" s="82"/>
      <c r="V105" s="82"/>
      <c r="W105" s="33"/>
      <c r="X105" s="33"/>
      <c r="Y105" s="33"/>
      <c r="Z105" s="82"/>
      <c r="AA105" s="82"/>
      <c r="AB105" s="82"/>
      <c r="AC105" s="82"/>
      <c r="AD105" s="82"/>
      <c r="AE105" s="82"/>
      <c r="AF105" s="82"/>
      <c r="AG105" s="82"/>
      <c r="AH105" s="82"/>
      <c r="AI105" s="82"/>
      <c r="AJ105" s="82"/>
      <c r="AK105" s="82"/>
      <c r="AL105" s="82"/>
      <c r="AM105" s="82"/>
      <c r="AN105" s="82"/>
      <c r="AO105" s="82"/>
      <c r="AP105" s="82" t="s">
        <v>380</v>
      </c>
      <c r="AQ105" s="82" t="s">
        <v>381</v>
      </c>
      <c r="AR105" s="82"/>
    </row>
    <row r="106" spans="1:44" s="17" customFormat="1">
      <c r="A106" s="33" t="s">
        <v>522</v>
      </c>
      <c r="B106" s="33"/>
      <c r="C106" s="4" t="s">
        <v>523</v>
      </c>
      <c r="D106" s="33" t="s">
        <v>506</v>
      </c>
      <c r="E106" s="4" t="s">
        <v>63</v>
      </c>
      <c r="F106" s="82">
        <v>8</v>
      </c>
      <c r="G106" s="82">
        <v>32</v>
      </c>
      <c r="H106" s="12">
        <v>0</v>
      </c>
      <c r="I106" s="82">
        <v>80</v>
      </c>
      <c r="J106" s="82">
        <f>G106-H106</f>
        <v>32</v>
      </c>
      <c r="K106" s="82" t="s">
        <v>524</v>
      </c>
      <c r="L106" s="82"/>
      <c r="M106" s="82"/>
      <c r="N106" s="82"/>
      <c r="O106" s="82"/>
      <c r="P106" s="82"/>
      <c r="Q106" s="82"/>
      <c r="R106" s="82"/>
      <c r="S106" s="82"/>
      <c r="T106" s="82"/>
      <c r="U106" s="82"/>
      <c r="V106" s="82"/>
      <c r="W106" s="33"/>
      <c r="X106" s="33"/>
      <c r="Y106" s="33"/>
      <c r="Z106" s="82"/>
      <c r="AA106" s="82"/>
      <c r="AB106" s="82"/>
      <c r="AC106" s="82"/>
      <c r="AD106" s="82"/>
      <c r="AE106" s="82"/>
      <c r="AF106" s="82"/>
      <c r="AG106" s="82"/>
      <c r="AH106" s="82"/>
      <c r="AI106" s="82"/>
      <c r="AJ106" s="82"/>
      <c r="AK106" s="82"/>
      <c r="AL106" s="82"/>
      <c r="AM106" s="82"/>
      <c r="AN106" s="82"/>
      <c r="AO106" s="82"/>
      <c r="AP106" s="82" t="s">
        <v>380</v>
      </c>
      <c r="AQ106" s="82" t="s">
        <v>381</v>
      </c>
      <c r="AR106" s="82"/>
    </row>
    <row r="107" spans="1:44" s="37" customFormat="1">
      <c r="A107" s="33" t="s">
        <v>525</v>
      </c>
      <c r="B107" s="33"/>
      <c r="C107" s="4" t="s">
        <v>523</v>
      </c>
      <c r="D107" s="33" t="s">
        <v>506</v>
      </c>
      <c r="E107" s="4" t="s">
        <v>63</v>
      </c>
      <c r="F107" s="82">
        <v>8</v>
      </c>
      <c r="G107" s="82">
        <v>32</v>
      </c>
      <c r="H107" s="12">
        <v>0</v>
      </c>
      <c r="I107" s="82">
        <v>80</v>
      </c>
      <c r="J107" s="82">
        <f>G107-H107</f>
        <v>32</v>
      </c>
      <c r="K107" s="82" t="s">
        <v>524</v>
      </c>
      <c r="L107" s="82"/>
      <c r="M107" s="82"/>
      <c r="N107" s="82"/>
      <c r="O107" s="82"/>
      <c r="P107" s="82"/>
      <c r="Q107" s="82"/>
      <c r="R107" s="82"/>
      <c r="S107" s="82"/>
      <c r="T107" s="82"/>
      <c r="U107" s="82"/>
      <c r="V107" s="82"/>
      <c r="W107" s="33"/>
      <c r="X107" s="33"/>
      <c r="Y107" s="33"/>
      <c r="Z107" s="82"/>
      <c r="AA107" s="82"/>
      <c r="AB107" s="82"/>
      <c r="AC107" s="82"/>
      <c r="AD107" s="82"/>
      <c r="AE107" s="82"/>
      <c r="AF107" s="82"/>
      <c r="AG107" s="82"/>
      <c r="AH107" s="82"/>
      <c r="AI107" s="82"/>
      <c r="AJ107" s="82"/>
      <c r="AK107" s="82"/>
      <c r="AL107" s="82"/>
      <c r="AM107" s="82"/>
      <c r="AN107" s="82"/>
      <c r="AO107" s="82"/>
      <c r="AP107" s="82" t="s">
        <v>380</v>
      </c>
      <c r="AQ107" s="82" t="s">
        <v>381</v>
      </c>
      <c r="AR107" s="82"/>
    </row>
    <row r="108" spans="1:44">
      <c r="A108" s="4" t="s">
        <v>526</v>
      </c>
      <c r="B108" s="4"/>
      <c r="C108" s="4" t="s">
        <v>527</v>
      </c>
      <c r="D108" s="4" t="s">
        <v>528</v>
      </c>
      <c r="E108" s="4" t="s">
        <v>529</v>
      </c>
      <c r="F108" s="12">
        <v>4</v>
      </c>
      <c r="G108" s="12">
        <v>8</v>
      </c>
      <c r="H108" s="12">
        <v>0</v>
      </c>
      <c r="I108" s="12">
        <v>30</v>
      </c>
      <c r="J108" s="12">
        <f>G108-H108</f>
        <v>8</v>
      </c>
      <c r="K108" s="82" t="s">
        <v>530</v>
      </c>
      <c r="L108" s="82"/>
      <c r="M108" s="82"/>
      <c r="N108" s="82"/>
      <c r="O108" s="82"/>
      <c r="P108" s="82"/>
      <c r="Q108" s="82"/>
      <c r="R108" s="82"/>
      <c r="S108" s="82"/>
      <c r="T108" s="82"/>
      <c r="U108" s="82"/>
      <c r="V108" s="12"/>
      <c r="W108" s="12"/>
      <c r="X108" s="12"/>
      <c r="Y108" s="4"/>
      <c r="Z108" s="4"/>
      <c r="AA108" s="4"/>
      <c r="AB108" s="4"/>
      <c r="AC108" s="4"/>
      <c r="AD108" s="4"/>
      <c r="AE108" s="4"/>
      <c r="AF108" s="4"/>
      <c r="AG108" s="4"/>
      <c r="AH108" s="4"/>
      <c r="AI108" s="4"/>
      <c r="AJ108" s="4"/>
      <c r="AK108" s="4"/>
      <c r="AL108" s="4"/>
      <c r="AM108" s="4"/>
      <c r="AN108" s="4"/>
      <c r="AO108" s="4"/>
      <c r="AP108" s="12" t="s">
        <v>380</v>
      </c>
      <c r="AQ108" s="12" t="s">
        <v>381</v>
      </c>
      <c r="AR108" s="12"/>
    </row>
    <row r="109" spans="1:44">
      <c r="A109" s="17" t="s">
        <v>531</v>
      </c>
      <c r="B109" s="17"/>
      <c r="C109" s="17" t="s">
        <v>532</v>
      </c>
      <c r="D109" s="17" t="s">
        <v>378</v>
      </c>
      <c r="E109" s="17" t="s">
        <v>83</v>
      </c>
      <c r="F109" s="15">
        <v>8</v>
      </c>
      <c r="G109" s="15">
        <v>6</v>
      </c>
      <c r="H109" s="15">
        <v>0</v>
      </c>
      <c r="I109" s="15">
        <v>70</v>
      </c>
      <c r="J109" s="15">
        <f t="shared" ref="J109" si="7">G109-H109</f>
        <v>6</v>
      </c>
      <c r="K109" s="36" t="s">
        <v>533</v>
      </c>
      <c r="L109" s="36"/>
      <c r="M109" s="36"/>
      <c r="N109" s="36"/>
      <c r="O109" s="36"/>
      <c r="P109" s="36"/>
      <c r="Q109" s="36"/>
      <c r="R109" s="36"/>
      <c r="S109" s="36"/>
      <c r="T109" s="36"/>
      <c r="U109" s="36"/>
      <c r="V109" s="15"/>
      <c r="W109" s="15"/>
      <c r="X109" s="15"/>
      <c r="Y109" s="17"/>
      <c r="Z109" s="17"/>
      <c r="AA109" s="17"/>
      <c r="AB109" s="17"/>
      <c r="AC109" s="17"/>
      <c r="AD109" s="17"/>
      <c r="AE109" s="17"/>
      <c r="AF109" s="17"/>
      <c r="AG109" s="17"/>
      <c r="AH109" s="17"/>
      <c r="AI109" s="17"/>
      <c r="AJ109" s="17"/>
      <c r="AK109" s="17"/>
      <c r="AL109" s="17"/>
      <c r="AM109" s="17"/>
      <c r="AN109" s="17"/>
      <c r="AO109" s="17"/>
      <c r="AP109" s="15" t="s">
        <v>380</v>
      </c>
      <c r="AQ109" s="15" t="s">
        <v>381</v>
      </c>
      <c r="AR109" s="15"/>
    </row>
    <row r="110" spans="1:44">
      <c r="A110" s="37"/>
      <c r="B110" s="37"/>
      <c r="C110" s="37"/>
      <c r="D110" s="37"/>
      <c r="E110" s="37"/>
      <c r="F110" s="38">
        <f>SUM(F100:F109)+F97</f>
        <v>474</v>
      </c>
      <c r="G110" s="38">
        <f>SUM(G100:G109)+G97</f>
        <v>1337</v>
      </c>
      <c r="H110" s="38">
        <f>SUM(H100:H109)+H97</f>
        <v>477</v>
      </c>
      <c r="I110" s="38">
        <f>SUM(I100:I109)+I97</f>
        <v>8248</v>
      </c>
      <c r="J110" s="38"/>
      <c r="K110" s="38"/>
      <c r="L110" s="38">
        <f>SUM(L100:L109)+L97</f>
        <v>500</v>
      </c>
      <c r="M110" s="38"/>
      <c r="N110" s="38">
        <f>SUM(N100:N109)+N97</f>
        <v>9200</v>
      </c>
      <c r="O110" s="38"/>
      <c r="P110" s="38">
        <f>SUM(P100:P109)+P97</f>
        <v>13500</v>
      </c>
      <c r="Q110" s="38"/>
      <c r="R110" s="38">
        <f>SUM(R100:R109)+R97</f>
        <v>1090</v>
      </c>
      <c r="S110" s="38"/>
      <c r="T110" s="38">
        <f>SUM(T100:T109)+T97</f>
        <v>300</v>
      </c>
      <c r="U110" s="38"/>
      <c r="V110" s="38">
        <f>SUM(V100:V109)+V97</f>
        <v>3000</v>
      </c>
      <c r="W110" s="38"/>
      <c r="X110" s="38">
        <f>SUM(X100:X109)+X97</f>
        <v>31396</v>
      </c>
      <c r="Y110" s="38"/>
      <c r="Z110" s="38">
        <f>SUM(Z100:Z109)+Z97</f>
        <v>200</v>
      </c>
      <c r="AA110" s="38"/>
      <c r="AB110" s="38">
        <f>SUM(AB100:AB109)+AB97</f>
        <v>50</v>
      </c>
      <c r="AC110" s="38"/>
      <c r="AD110" s="38">
        <f>SUM(AD100:AD109)+AD97</f>
        <v>200</v>
      </c>
      <c r="AE110" s="38"/>
      <c r="AF110" s="38">
        <f>SUM(AF100:AF109)+AF97</f>
        <v>225</v>
      </c>
      <c r="AG110" s="38"/>
      <c r="AH110" s="38">
        <f>SUM(AH100:AH109)+AH97</f>
        <v>200</v>
      </c>
      <c r="AI110" s="38"/>
      <c r="AJ110" s="38">
        <f>SUM(AJ100:AJ109)+AJ97</f>
        <v>135</v>
      </c>
      <c r="AK110" s="38"/>
      <c r="AL110" s="38">
        <f>SUM(AL100:AL109)+AL97</f>
        <v>5</v>
      </c>
      <c r="AM110" s="38"/>
      <c r="AN110" s="38">
        <f>SUM(AN100:AN109)+AN97</f>
        <v>760</v>
      </c>
      <c r="AO110" s="38"/>
      <c r="AP110" s="38"/>
      <c r="AQ110" s="38" t="s">
        <v>599</v>
      </c>
      <c r="AR110" s="38">
        <v>3</v>
      </c>
    </row>
    <row r="113" spans="1:5" ht="14.5">
      <c r="A113" s="170" t="s">
        <v>368</v>
      </c>
      <c r="B113" s="171"/>
      <c r="C113" s="171"/>
    </row>
    <row r="114" spans="1:5" ht="13">
      <c r="A114" s="91" t="s">
        <v>450</v>
      </c>
      <c r="B114" s="91" t="s">
        <v>451</v>
      </c>
      <c r="C114" s="91" t="s">
        <v>452</v>
      </c>
      <c r="D114" s="8"/>
      <c r="E114" s="8"/>
    </row>
    <row r="115" spans="1:5">
      <c r="A115" s="89" t="s">
        <v>469</v>
      </c>
      <c r="B115" s="87" cm="1">
        <f t="array" ref="B115">SUM(IF(K8:K109=A115,I8:J109,""),AD23)</f>
        <v>1238</v>
      </c>
      <c r="C115" s="88">
        <v>1350</v>
      </c>
      <c r="E115" s="4"/>
    </row>
    <row r="116" spans="1:5">
      <c r="A116" s="89" t="s">
        <v>470</v>
      </c>
      <c r="B116" s="87" cm="1">
        <f t="array" ref="B116">SUM(IF(K8:K109=A116,I8:J109,""))</f>
        <v>1351</v>
      </c>
      <c r="C116" s="88">
        <v>1550</v>
      </c>
    </row>
    <row r="117" spans="1:5">
      <c r="A117" s="89" t="s">
        <v>472</v>
      </c>
      <c r="B117" s="87" cm="1">
        <f t="array" ref="B117">SUM(IF(K8:K109=A117,I8:J109,""),AB19,AD24)</f>
        <v>1208</v>
      </c>
      <c r="C117" s="88">
        <v>1600</v>
      </c>
      <c r="D117" s="4"/>
      <c r="E117" s="4"/>
    </row>
    <row r="118" spans="1:5">
      <c r="A118" s="89" t="s">
        <v>535</v>
      </c>
      <c r="B118" s="88">
        <v>10</v>
      </c>
      <c r="C118" s="88" t="s">
        <v>600</v>
      </c>
    </row>
    <row r="119" spans="1:5">
      <c r="A119" s="89" t="s">
        <v>536</v>
      </c>
      <c r="B119" s="88">
        <v>10</v>
      </c>
      <c r="C119" s="88" t="s">
        <v>600</v>
      </c>
    </row>
    <row r="120" spans="1:5">
      <c r="A120" s="89" t="s">
        <v>537</v>
      </c>
      <c r="B120" s="88">
        <v>10</v>
      </c>
      <c r="C120" s="88" t="s">
        <v>600</v>
      </c>
    </row>
    <row r="121" spans="1:5">
      <c r="A121" s="89" t="s">
        <v>538</v>
      </c>
      <c r="B121" s="88">
        <v>10</v>
      </c>
      <c r="C121" s="88" t="s">
        <v>600</v>
      </c>
    </row>
    <row r="122" spans="1:5">
      <c r="A122" s="89" t="s">
        <v>539</v>
      </c>
      <c r="B122" s="88">
        <v>10</v>
      </c>
      <c r="C122" s="88" t="s">
        <v>600</v>
      </c>
    </row>
    <row r="123" spans="1:5">
      <c r="A123" s="89" t="s">
        <v>578</v>
      </c>
      <c r="B123" s="88">
        <v>10</v>
      </c>
      <c r="C123" s="88" t="s">
        <v>600</v>
      </c>
    </row>
    <row r="124" spans="1:5">
      <c r="A124" s="89" t="s">
        <v>454</v>
      </c>
      <c r="B124" s="88">
        <v>460</v>
      </c>
      <c r="C124" s="88">
        <v>500</v>
      </c>
    </row>
    <row r="125" spans="1:5">
      <c r="A125" s="89" t="s">
        <v>455</v>
      </c>
      <c r="B125" s="88">
        <v>8100</v>
      </c>
      <c r="C125" s="88">
        <v>9000</v>
      </c>
    </row>
    <row r="126" spans="1:5">
      <c r="A126" s="89" t="s">
        <v>456</v>
      </c>
      <c r="B126" s="88">
        <v>12150</v>
      </c>
      <c r="C126" s="88">
        <v>13500</v>
      </c>
    </row>
    <row r="127" spans="1:5">
      <c r="A127" s="89" t="s">
        <v>189</v>
      </c>
      <c r="B127" s="88">
        <v>834.99</v>
      </c>
      <c r="C127" s="88">
        <v>920</v>
      </c>
    </row>
    <row r="128" spans="1:5">
      <c r="A128" s="89" t="s">
        <v>194</v>
      </c>
      <c r="B128" s="88">
        <v>270</v>
      </c>
      <c r="C128" s="88">
        <v>300</v>
      </c>
    </row>
    <row r="129" spans="1:3">
      <c r="A129" s="89" t="s">
        <v>457</v>
      </c>
      <c r="B129" s="88">
        <v>180</v>
      </c>
      <c r="C129" s="88">
        <v>300</v>
      </c>
    </row>
    <row r="130" spans="1:3">
      <c r="A130" s="89" t="s">
        <v>421</v>
      </c>
      <c r="B130" s="88">
        <v>150</v>
      </c>
      <c r="C130" s="88">
        <v>200</v>
      </c>
    </row>
    <row r="131" spans="1:3">
      <c r="A131" s="89" t="str">
        <f>IF(F55&lt;&gt;"4TB","Backup (DB, NFS, and AVE 2TB)","Backup (DB, NFS, and AVE 4TB)")</f>
        <v>Backup (DB, NFS, and AVE 2TB)</v>
      </c>
      <c r="B131" s="88">
        <f>27500+460+SUM(I85:J87) + V85</f>
        <v>31151</v>
      </c>
      <c r="C131" s="88">
        <f>32768+IF(F55&lt;&gt;"4TB",0,3000)</f>
        <v>32768</v>
      </c>
    </row>
    <row r="132" spans="1:3">
      <c r="A132" s="89" t="s">
        <v>468</v>
      </c>
      <c r="B132" s="103">
        <f>SUM(I8:J9)</f>
        <v>992</v>
      </c>
      <c r="C132" s="103">
        <f>IF(E9="vCSA8.0", 1100, 900)</f>
        <v>1100</v>
      </c>
    </row>
    <row r="133" spans="1:3">
      <c r="A133" s="89" t="s">
        <v>489</v>
      </c>
      <c r="B133" s="88">
        <v>200</v>
      </c>
      <c r="C133" s="88">
        <v>225</v>
      </c>
    </row>
    <row r="134" spans="1:3">
      <c r="A134" s="109" t="s">
        <v>499</v>
      </c>
      <c r="B134" s="107">
        <v>58</v>
      </c>
      <c r="C134" s="110">
        <v>100</v>
      </c>
    </row>
    <row r="135" spans="1:3">
      <c r="A135" s="109" t="s">
        <v>492</v>
      </c>
      <c r="B135" s="88">
        <v>824.5</v>
      </c>
      <c r="C135" s="88">
        <v>900</v>
      </c>
    </row>
    <row r="136" spans="1:3">
      <c r="A136" s="72" t="s">
        <v>541</v>
      </c>
    </row>
    <row r="137" spans="1:3">
      <c r="A137" s="72" t="s">
        <v>602</v>
      </c>
    </row>
  </sheetData>
  <mergeCells count="12">
    <mergeCell ref="A5:B5"/>
    <mergeCell ref="A1:E1"/>
    <mergeCell ref="A2:B2"/>
    <mergeCell ref="A3:B3"/>
    <mergeCell ref="F3:G3"/>
    <mergeCell ref="A4:B4"/>
    <mergeCell ref="H49:O53"/>
    <mergeCell ref="A113:C113"/>
    <mergeCell ref="A6:B6"/>
    <mergeCell ref="A49:D49"/>
    <mergeCell ref="A50:D50"/>
    <mergeCell ref="A55:E55"/>
  </mergeCells>
  <dataValidations count="2">
    <dataValidation type="list" allowBlank="1" showInputMessage="1" showErrorMessage="1" sqref="E9" xr:uid="{C1C15395-0D03-4497-A242-21E67C24E8F3}">
      <formula1>"vCSA8.0, vCSA7.0"</formula1>
    </dataValidation>
    <dataValidation type="list" allowBlank="1" showInputMessage="1" showErrorMessage="1" sqref="F55" xr:uid="{1FBD8976-0D11-48A8-B801-CE91EB03ED82}">
      <formula1>"2TB, 4TB"</formula1>
    </dataValidation>
  </dataValidations>
  <hyperlinks>
    <hyperlink ref="F3:G3" location="Shortcuts!A1" display="Back to shortcuts" xr:uid="{5F9E16F7-C6E0-45F6-B678-F8879ED1D494}"/>
  </hyperlinks>
  <pageMargins left="0.7" right="0.7" top="0.75" bottom="0.75" header="0.3" footer="0.3"/>
  <pageSetup paperSize="9" orientation="portrait" r:id="rId1"/>
  <headerFooter>
    <oddFooter>&amp;C&amp;1#&amp;"Arial"&amp;8&amp;K001753Nokia internal use</oddFooter>
  </headerFooter>
  <drawing r:id="rId2"/>
  <legacyDrawing r:id="rId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52974B-2758-4F10-A79B-B9A1C25868DE}">
  <sheetPr codeName="Sheet95"/>
  <dimension ref="A1:AT158"/>
  <sheetViews>
    <sheetView zoomScale="84" zoomScaleNormal="84" zoomScalePageLayoutView="70" workbookViewId="0">
      <selection activeCell="G8" sqref="G8"/>
    </sheetView>
  </sheetViews>
  <sheetFormatPr defaultColWidth="8.81640625" defaultRowHeight="12.5"/>
  <cols>
    <col min="1" max="1" width="19.453125" style="33" customWidth="1"/>
    <col min="2" max="2" width="14.81640625" style="33" customWidth="1"/>
    <col min="3" max="3" width="15.54296875" style="33" customWidth="1"/>
    <col min="4" max="4" width="23.81640625" style="33" customWidth="1"/>
    <col min="5" max="5" width="68.453125" style="33" bestFit="1" customWidth="1"/>
    <col min="6" max="7" width="8.81640625" style="33"/>
    <col min="8" max="8" width="21.1796875" style="33" customWidth="1"/>
    <col min="9" max="10" width="8.81640625" style="33"/>
    <col min="11" max="11" width="17.81640625" style="33" customWidth="1"/>
    <col min="12" max="12" width="9.1796875" style="33" customWidth="1"/>
    <col min="13" max="13" width="9.81640625" style="33" customWidth="1"/>
    <col min="14" max="14" width="8.81640625" style="33"/>
    <col min="15" max="15" width="11.81640625" style="33" customWidth="1"/>
    <col min="16" max="16" width="8.81640625" style="33"/>
    <col min="17" max="17" width="9.81640625" style="33" customWidth="1"/>
    <col min="18" max="18" width="8.81640625" style="33"/>
    <col min="19" max="19" width="12.81640625" style="33" customWidth="1"/>
    <col min="20" max="20" width="8.81640625" style="33"/>
    <col min="21" max="21" width="9.81640625" style="33" customWidth="1"/>
    <col min="22" max="22" width="8.81640625" style="33"/>
    <col min="23" max="23" width="13.26953125" style="33" customWidth="1"/>
    <col min="24" max="24" width="12.1796875" style="33" customWidth="1"/>
    <col min="25" max="25" width="14.453125" style="33" customWidth="1"/>
    <col min="26" max="26" width="9.81640625" style="33" customWidth="1"/>
    <col min="27" max="32" width="12.81640625" style="33" customWidth="1"/>
    <col min="33" max="33" width="13.81640625" style="33" bestFit="1" customWidth="1"/>
    <col min="34" max="34" width="13.81640625" style="33" customWidth="1"/>
    <col min="35" max="41" width="15.81640625" style="33" customWidth="1"/>
    <col min="42" max="42" width="22" style="33" customWidth="1"/>
    <col min="43" max="43" width="12.1796875" style="33" customWidth="1"/>
    <col min="44" max="44" width="13.1796875" style="33" customWidth="1"/>
    <col min="45" max="16384" width="8.81640625" style="33"/>
  </cols>
  <sheetData>
    <row r="1" spans="1:44" ht="13">
      <c r="A1" s="156" t="s">
        <v>15</v>
      </c>
      <c r="B1" s="156"/>
      <c r="C1" s="156"/>
      <c r="D1" s="156"/>
      <c r="E1" s="157"/>
      <c r="F1" s="32" t="s">
        <v>354</v>
      </c>
    </row>
    <row r="2" spans="1:44">
      <c r="A2" s="178" t="s">
        <v>355</v>
      </c>
      <c r="B2" s="178"/>
      <c r="C2" s="120"/>
      <c r="D2" s="33" t="s">
        <v>580</v>
      </c>
    </row>
    <row r="3" spans="1:44" ht="14.5">
      <c r="A3" s="178" t="s">
        <v>357</v>
      </c>
      <c r="B3" s="178"/>
      <c r="C3" s="33" t="s">
        <v>356</v>
      </c>
      <c r="F3" s="169" t="s">
        <v>358</v>
      </c>
      <c r="G3" s="169"/>
    </row>
    <row r="4" spans="1:44" ht="13">
      <c r="A4" s="178" t="s">
        <v>359</v>
      </c>
      <c r="B4" s="178"/>
      <c r="C4" s="33" t="s">
        <v>460</v>
      </c>
    </row>
    <row r="5" spans="1:44" ht="13">
      <c r="A5" s="162" t="s">
        <v>360</v>
      </c>
      <c r="B5" s="162"/>
      <c r="C5" s="4" t="s">
        <v>553</v>
      </c>
    </row>
    <row r="6" spans="1:44" ht="13">
      <c r="A6" s="162" t="s">
        <v>361</v>
      </c>
      <c r="B6" s="162"/>
      <c r="C6" s="14"/>
    </row>
    <row r="7" spans="1:44" ht="13">
      <c r="A7" s="34" t="s">
        <v>155</v>
      </c>
      <c r="B7" s="34" t="s">
        <v>362</v>
      </c>
      <c r="C7" s="34" t="s">
        <v>363</v>
      </c>
      <c r="D7" s="34" t="s">
        <v>364</v>
      </c>
      <c r="E7" s="34" t="s">
        <v>365</v>
      </c>
      <c r="F7" s="35" t="s">
        <v>129</v>
      </c>
      <c r="G7" s="35" t="s">
        <v>146</v>
      </c>
      <c r="H7" s="35" t="s">
        <v>366</v>
      </c>
      <c r="I7" s="35" t="s">
        <v>149</v>
      </c>
      <c r="J7" s="35" t="s">
        <v>367</v>
      </c>
      <c r="K7" s="35" t="s">
        <v>368</v>
      </c>
      <c r="L7" s="35" t="s">
        <v>170</v>
      </c>
      <c r="M7" s="35" t="s">
        <v>368</v>
      </c>
      <c r="N7" s="35" t="s">
        <v>30</v>
      </c>
      <c r="O7" s="35" t="s">
        <v>368</v>
      </c>
      <c r="P7" s="35" t="s">
        <v>175</v>
      </c>
      <c r="Q7" s="35" t="s">
        <v>368</v>
      </c>
      <c r="R7" s="35" t="s">
        <v>189</v>
      </c>
      <c r="S7" s="35" t="s">
        <v>368</v>
      </c>
      <c r="T7" s="35" t="s">
        <v>194</v>
      </c>
      <c r="U7" s="35" t="s">
        <v>368</v>
      </c>
      <c r="V7" s="35" t="s">
        <v>179</v>
      </c>
      <c r="W7" s="35" t="s">
        <v>368</v>
      </c>
      <c r="X7" s="35" t="s">
        <v>369</v>
      </c>
      <c r="Y7" s="35" t="s">
        <v>368</v>
      </c>
      <c r="Z7" s="35" t="s">
        <v>554</v>
      </c>
      <c r="AA7" s="35" t="s">
        <v>368</v>
      </c>
      <c r="AB7" s="6" t="s">
        <v>371</v>
      </c>
      <c r="AC7" s="6" t="s">
        <v>368</v>
      </c>
      <c r="AD7" s="6" t="s">
        <v>372</v>
      </c>
      <c r="AE7" s="6" t="s">
        <v>368</v>
      </c>
      <c r="AF7" s="6" t="s">
        <v>463</v>
      </c>
      <c r="AG7" s="6" t="s">
        <v>368</v>
      </c>
      <c r="AH7" s="6" t="s">
        <v>373</v>
      </c>
      <c r="AI7" s="6" t="s">
        <v>368</v>
      </c>
      <c r="AJ7" s="6" t="s">
        <v>464</v>
      </c>
      <c r="AK7" s="6" t="s">
        <v>368</v>
      </c>
      <c r="AL7" s="6" t="s">
        <v>465</v>
      </c>
      <c r="AM7" s="6" t="s">
        <v>368</v>
      </c>
      <c r="AN7" s="6" t="s">
        <v>466</v>
      </c>
      <c r="AO7" s="6" t="s">
        <v>368</v>
      </c>
      <c r="AP7" s="35" t="s">
        <v>374</v>
      </c>
      <c r="AQ7" s="35" t="s">
        <v>375</v>
      </c>
      <c r="AR7" s="35" t="s">
        <v>376</v>
      </c>
    </row>
    <row r="8" spans="1:44">
      <c r="A8" s="33" t="s">
        <v>377</v>
      </c>
      <c r="D8" s="33" t="s">
        <v>378</v>
      </c>
      <c r="E8" s="33" t="s">
        <v>19</v>
      </c>
      <c r="F8" s="82">
        <v>4</v>
      </c>
      <c r="G8" s="82">
        <v>16</v>
      </c>
      <c r="H8" s="82">
        <v>0</v>
      </c>
      <c r="I8" s="82">
        <v>351</v>
      </c>
      <c r="J8" s="82">
        <f>G8-H8</f>
        <v>16</v>
      </c>
      <c r="K8" s="12" t="s">
        <v>468</v>
      </c>
      <c r="L8" s="82"/>
      <c r="M8" s="82"/>
      <c r="N8" s="82"/>
      <c r="O8" s="82"/>
      <c r="P8" s="82"/>
      <c r="Q8" s="82"/>
      <c r="R8" s="82"/>
      <c r="S8" s="82"/>
      <c r="T8" s="82"/>
      <c r="U8" s="82"/>
      <c r="V8" s="82"/>
      <c r="W8" s="82"/>
      <c r="X8" s="82"/>
      <c r="Y8" s="82"/>
      <c r="Z8" s="82"/>
      <c r="AA8" s="82"/>
      <c r="AB8" s="82"/>
      <c r="AC8" s="82"/>
      <c r="AD8" s="82"/>
      <c r="AE8" s="82"/>
      <c r="AF8" s="82"/>
      <c r="AG8" s="82"/>
      <c r="AH8" s="82"/>
      <c r="AI8" s="82"/>
      <c r="AJ8" s="82"/>
      <c r="AK8" s="82"/>
      <c r="AL8" s="82"/>
      <c r="AM8" s="82"/>
      <c r="AN8" s="82"/>
      <c r="AO8" s="82"/>
      <c r="AP8" s="82" t="s">
        <v>380</v>
      </c>
      <c r="AQ8" s="82" t="s">
        <v>381</v>
      </c>
      <c r="AR8" s="82"/>
    </row>
    <row r="9" spans="1:44">
      <c r="A9" s="33" t="s">
        <v>382</v>
      </c>
      <c r="D9" s="113" t="s">
        <v>383</v>
      </c>
      <c r="E9" s="113" t="s">
        <v>606</v>
      </c>
      <c r="F9" s="82">
        <v>4</v>
      </c>
      <c r="G9" s="101">
        <f>IF(E9="vCSA8.0", 21, 19)</f>
        <v>19</v>
      </c>
      <c r="H9" s="82">
        <v>0</v>
      </c>
      <c r="I9" s="101">
        <f>IF(E9="vCSA8.0", 600, 450)</f>
        <v>450</v>
      </c>
      <c r="J9" s="82">
        <v>25</v>
      </c>
      <c r="K9" s="12" t="s">
        <v>468</v>
      </c>
      <c r="L9" s="82"/>
      <c r="M9" s="82"/>
      <c r="N9" s="82"/>
      <c r="O9" s="82"/>
      <c r="P9" s="82"/>
      <c r="Q9" s="82"/>
      <c r="R9" s="82"/>
      <c r="S9" s="82"/>
      <c r="T9" s="82"/>
      <c r="U9" s="82"/>
      <c r="V9" s="82"/>
      <c r="W9" s="82"/>
      <c r="X9" s="82"/>
      <c r="Y9" s="82"/>
      <c r="Z9" s="82"/>
      <c r="AA9" s="82"/>
      <c r="AB9" s="82"/>
      <c r="AC9" s="82"/>
      <c r="AD9" s="82"/>
      <c r="AE9" s="82"/>
      <c r="AF9" s="82"/>
      <c r="AG9" s="82"/>
      <c r="AH9" s="82"/>
      <c r="AI9" s="82"/>
      <c r="AJ9" s="82"/>
      <c r="AK9" s="82"/>
      <c r="AL9" s="82"/>
      <c r="AM9" s="82"/>
      <c r="AN9" s="82"/>
      <c r="AO9" s="82"/>
      <c r="AP9" s="82" t="s">
        <v>380</v>
      </c>
      <c r="AQ9" s="82" t="s">
        <v>381</v>
      </c>
      <c r="AR9" s="82"/>
    </row>
    <row r="10" spans="1:44">
      <c r="A10" s="33" t="s">
        <v>385</v>
      </c>
      <c r="B10" s="82" t="s">
        <v>386</v>
      </c>
      <c r="C10" s="33" t="s">
        <v>387</v>
      </c>
      <c r="D10" s="33" t="s">
        <v>378</v>
      </c>
      <c r="E10" s="33" t="s">
        <v>27</v>
      </c>
      <c r="F10" s="82">
        <v>6</v>
      </c>
      <c r="G10" s="82">
        <v>6</v>
      </c>
      <c r="H10" s="82">
        <v>6</v>
      </c>
      <c r="I10" s="82">
        <v>41</v>
      </c>
      <c r="J10" s="82">
        <f t="shared" ref="J10:J38" si="0">G10-H10</f>
        <v>0</v>
      </c>
      <c r="K10" s="82" t="s">
        <v>469</v>
      </c>
      <c r="L10" s="82"/>
      <c r="M10" s="82"/>
      <c r="N10" s="82"/>
      <c r="O10" s="82"/>
      <c r="P10" s="82"/>
      <c r="Q10" s="82"/>
      <c r="R10" s="82"/>
      <c r="S10" s="82"/>
      <c r="T10" s="82"/>
      <c r="U10" s="82"/>
      <c r="V10" s="82"/>
      <c r="W10" s="82"/>
      <c r="X10" s="82"/>
      <c r="Y10" s="82"/>
      <c r="Z10" s="82"/>
      <c r="AA10" s="82"/>
      <c r="AB10" s="82"/>
      <c r="AC10" s="82"/>
      <c r="AD10" s="82"/>
      <c r="AE10" s="82"/>
      <c r="AF10" s="82"/>
      <c r="AG10" s="82"/>
      <c r="AH10" s="82"/>
      <c r="AI10" s="82"/>
      <c r="AJ10" s="82"/>
      <c r="AK10" s="82"/>
      <c r="AL10" s="82"/>
      <c r="AM10" s="82"/>
      <c r="AN10" s="82"/>
      <c r="AO10" s="82"/>
      <c r="AP10" s="82" t="s">
        <v>380</v>
      </c>
      <c r="AQ10" s="82" t="s">
        <v>381</v>
      </c>
      <c r="AR10" s="82"/>
    </row>
    <row r="11" spans="1:44">
      <c r="A11" s="33" t="s">
        <v>389</v>
      </c>
      <c r="B11" s="82"/>
      <c r="C11" s="33" t="s">
        <v>387</v>
      </c>
      <c r="D11" s="33" t="s">
        <v>378</v>
      </c>
      <c r="E11" s="33" t="s">
        <v>30</v>
      </c>
      <c r="F11" s="82">
        <v>24</v>
      </c>
      <c r="G11" s="82">
        <v>240</v>
      </c>
      <c r="H11" s="82">
        <v>240</v>
      </c>
      <c r="I11" s="82">
        <v>117</v>
      </c>
      <c r="J11" s="82">
        <f t="shared" si="0"/>
        <v>0</v>
      </c>
      <c r="K11" s="82" t="s">
        <v>470</v>
      </c>
      <c r="L11" s="82">
        <v>500</v>
      </c>
      <c r="M11" s="82" t="s">
        <v>607</v>
      </c>
      <c r="N11" s="82">
        <v>16400</v>
      </c>
      <c r="O11" s="82" t="s">
        <v>608</v>
      </c>
      <c r="P11" s="82">
        <v>18000</v>
      </c>
      <c r="Q11" s="82" t="s">
        <v>609</v>
      </c>
      <c r="R11" s="82"/>
      <c r="S11" s="82"/>
      <c r="T11" s="82"/>
      <c r="U11" s="82"/>
      <c r="V11" s="82"/>
      <c r="W11" s="82"/>
      <c r="X11" s="82">
        <v>33600</v>
      </c>
      <c r="Y11" s="82" t="s">
        <v>610</v>
      </c>
      <c r="Z11" s="82"/>
      <c r="AA11" s="82"/>
      <c r="AB11" s="82"/>
      <c r="AC11" s="82"/>
      <c r="AD11" s="82"/>
      <c r="AE11" s="82"/>
      <c r="AF11" s="82"/>
      <c r="AG11" s="82"/>
      <c r="AH11" s="82"/>
      <c r="AI11" s="82"/>
      <c r="AJ11" s="82"/>
      <c r="AK11" s="82"/>
      <c r="AL11" s="82"/>
      <c r="AM11" s="82"/>
      <c r="AN11" s="82"/>
      <c r="AO11" s="82"/>
      <c r="AP11" s="82" t="s">
        <v>380</v>
      </c>
      <c r="AQ11" s="82" t="s">
        <v>381</v>
      </c>
      <c r="AR11" s="82"/>
    </row>
    <row r="12" spans="1:44">
      <c r="A12" s="33" t="s">
        <v>393</v>
      </c>
      <c r="B12" s="82" t="s">
        <v>386</v>
      </c>
      <c r="C12" s="33" t="s">
        <v>387</v>
      </c>
      <c r="D12" s="33" t="s">
        <v>378</v>
      </c>
      <c r="E12" s="33" t="s">
        <v>34</v>
      </c>
      <c r="F12" s="82">
        <v>9</v>
      </c>
      <c r="G12" s="82">
        <v>7</v>
      </c>
      <c r="H12" s="82">
        <v>7</v>
      </c>
      <c r="I12" s="82">
        <v>46</v>
      </c>
      <c r="J12" s="82">
        <f t="shared" si="0"/>
        <v>0</v>
      </c>
      <c r="K12" s="82" t="s">
        <v>472</v>
      </c>
      <c r="L12" s="82"/>
      <c r="M12" s="82"/>
      <c r="N12" s="82"/>
      <c r="O12" s="82"/>
      <c r="P12" s="82"/>
      <c r="Q12" s="82"/>
      <c r="R12" s="82">
        <v>1465</v>
      </c>
      <c r="S12" s="82" t="s">
        <v>611</v>
      </c>
      <c r="T12" s="12">
        <v>300</v>
      </c>
      <c r="U12" s="82" t="s">
        <v>194</v>
      </c>
      <c r="V12" s="82"/>
      <c r="W12" s="82"/>
      <c r="X12" s="82">
        <v>800</v>
      </c>
      <c r="Y12" s="82" t="s">
        <v>612</v>
      </c>
      <c r="Z12" s="82"/>
      <c r="AA12" s="82"/>
      <c r="AB12" s="82"/>
      <c r="AC12" s="82"/>
      <c r="AD12" s="82"/>
      <c r="AE12" s="82"/>
      <c r="AF12" s="82"/>
      <c r="AG12" s="82"/>
      <c r="AH12" s="82"/>
      <c r="AI12" s="82"/>
      <c r="AJ12" s="82"/>
      <c r="AK12" s="82"/>
      <c r="AL12" s="82"/>
      <c r="AM12" s="82"/>
      <c r="AN12" s="82"/>
      <c r="AO12" s="82"/>
      <c r="AP12" s="82" t="s">
        <v>380</v>
      </c>
      <c r="AQ12" s="82" t="s">
        <v>381</v>
      </c>
      <c r="AR12" s="82"/>
    </row>
    <row r="13" spans="1:44">
      <c r="A13" s="33" t="s">
        <v>395</v>
      </c>
      <c r="C13" s="33" t="s">
        <v>387</v>
      </c>
      <c r="D13" s="33" t="s">
        <v>378</v>
      </c>
      <c r="E13" s="33" t="s">
        <v>38</v>
      </c>
      <c r="F13" s="82">
        <v>2</v>
      </c>
      <c r="G13" s="82">
        <v>3</v>
      </c>
      <c r="H13" s="82">
        <v>0</v>
      </c>
      <c r="I13" s="82">
        <v>31</v>
      </c>
      <c r="J13" s="82">
        <f t="shared" si="0"/>
        <v>3</v>
      </c>
      <c r="K13" s="82" t="s">
        <v>469</v>
      </c>
      <c r="L13" s="82"/>
      <c r="M13" s="82"/>
      <c r="N13" s="82"/>
      <c r="O13" s="82"/>
      <c r="P13" s="82"/>
      <c r="Q13" s="82"/>
      <c r="R13" s="82"/>
      <c r="S13" s="82"/>
      <c r="T13" s="82"/>
      <c r="U13" s="82"/>
      <c r="V13" s="82"/>
      <c r="W13" s="82"/>
      <c r="X13" s="82"/>
      <c r="Y13" s="82"/>
      <c r="Z13" s="82"/>
      <c r="AA13" s="82"/>
      <c r="AB13" s="82"/>
      <c r="AC13" s="82"/>
      <c r="AD13" s="82"/>
      <c r="AE13" s="82"/>
      <c r="AF13" s="82"/>
      <c r="AG13" s="82"/>
      <c r="AH13" s="82"/>
      <c r="AI13" s="82"/>
      <c r="AJ13" s="82"/>
      <c r="AK13" s="82"/>
      <c r="AL13" s="82"/>
      <c r="AM13" s="82"/>
      <c r="AN13" s="82"/>
      <c r="AO13" s="82"/>
      <c r="AP13" s="82" t="s">
        <v>396</v>
      </c>
      <c r="AQ13" s="12" t="s">
        <v>397</v>
      </c>
      <c r="AR13" s="82" t="s">
        <v>381</v>
      </c>
    </row>
    <row r="14" spans="1:44">
      <c r="A14" s="33" t="s">
        <v>398</v>
      </c>
      <c r="C14" s="33" t="s">
        <v>387</v>
      </c>
      <c r="D14" s="33" t="s">
        <v>378</v>
      </c>
      <c r="E14" s="33" t="s">
        <v>42</v>
      </c>
      <c r="F14" s="82">
        <v>2</v>
      </c>
      <c r="G14" s="82">
        <v>5</v>
      </c>
      <c r="H14" s="82">
        <v>0</v>
      </c>
      <c r="I14" s="82">
        <v>31</v>
      </c>
      <c r="J14" s="82">
        <f t="shared" si="0"/>
        <v>5</v>
      </c>
      <c r="K14" s="82" t="s">
        <v>470</v>
      </c>
      <c r="L14" s="82"/>
      <c r="M14" s="82"/>
      <c r="N14" s="82"/>
      <c r="O14" s="82"/>
      <c r="P14" s="82"/>
      <c r="Q14" s="82"/>
      <c r="R14" s="82"/>
      <c r="S14" s="82"/>
      <c r="T14" s="82"/>
      <c r="U14" s="82"/>
      <c r="V14" s="82"/>
      <c r="W14" s="82"/>
      <c r="X14" s="82"/>
      <c r="Y14" s="82"/>
      <c r="Z14" s="82"/>
      <c r="AA14" s="82"/>
      <c r="AB14" s="82"/>
      <c r="AC14" s="82"/>
      <c r="AD14" s="82"/>
      <c r="AE14" s="82"/>
      <c r="AF14" s="82"/>
      <c r="AG14" s="82"/>
      <c r="AH14" s="82"/>
      <c r="AI14" s="82"/>
      <c r="AJ14" s="82"/>
      <c r="AK14" s="82"/>
      <c r="AL14" s="82"/>
      <c r="AM14" s="82"/>
      <c r="AN14" s="82"/>
      <c r="AO14" s="82"/>
      <c r="AP14" s="82" t="s">
        <v>380</v>
      </c>
      <c r="AQ14" s="82" t="s">
        <v>381</v>
      </c>
      <c r="AR14" s="82"/>
    </row>
    <row r="15" spans="1:44">
      <c r="A15" s="33" t="s">
        <v>399</v>
      </c>
      <c r="C15" s="33" t="s">
        <v>387</v>
      </c>
      <c r="D15" s="33" t="s">
        <v>378</v>
      </c>
      <c r="E15" s="33" t="s">
        <v>555</v>
      </c>
      <c r="F15" s="82">
        <v>3</v>
      </c>
      <c r="G15" s="82">
        <v>6</v>
      </c>
      <c r="H15" s="82">
        <v>0</v>
      </c>
      <c r="I15" s="82">
        <v>41</v>
      </c>
      <c r="J15" s="82">
        <f t="shared" si="0"/>
        <v>6</v>
      </c>
      <c r="K15" s="82" t="s">
        <v>472</v>
      </c>
      <c r="L15" s="82"/>
      <c r="M15" s="82"/>
      <c r="N15" s="82"/>
      <c r="O15" s="82"/>
      <c r="P15" s="82"/>
      <c r="Q15" s="82"/>
      <c r="R15" s="82"/>
      <c r="S15" s="82"/>
      <c r="T15" s="82"/>
      <c r="U15" s="82"/>
      <c r="V15" s="82"/>
      <c r="W15" s="82"/>
      <c r="X15" s="82"/>
      <c r="Y15" s="82"/>
      <c r="Z15" s="82"/>
      <c r="AA15" s="82"/>
      <c r="AB15" s="82"/>
      <c r="AC15" s="82"/>
      <c r="AD15" s="82"/>
      <c r="AE15" s="82"/>
      <c r="AF15" s="82"/>
      <c r="AG15" s="82"/>
      <c r="AH15" s="82"/>
      <c r="AI15" s="82"/>
      <c r="AJ15" s="82"/>
      <c r="AK15" s="82"/>
      <c r="AL15" s="82"/>
      <c r="AM15" s="82"/>
      <c r="AN15" s="82"/>
      <c r="AO15" s="82"/>
      <c r="AP15" s="82" t="s">
        <v>396</v>
      </c>
      <c r="AQ15" s="12" t="s">
        <v>397</v>
      </c>
      <c r="AR15" s="82"/>
    </row>
    <row r="16" spans="1:44">
      <c r="A16" s="33" t="s">
        <v>401</v>
      </c>
      <c r="C16" s="33" t="s">
        <v>387</v>
      </c>
      <c r="D16" s="33" t="s">
        <v>378</v>
      </c>
      <c r="E16" s="33" t="s">
        <v>402</v>
      </c>
      <c r="F16" s="82">
        <v>5</v>
      </c>
      <c r="G16" s="82">
        <v>7</v>
      </c>
      <c r="H16" s="82">
        <v>0</v>
      </c>
      <c r="I16" s="82">
        <v>56</v>
      </c>
      <c r="J16" s="82">
        <f t="shared" si="0"/>
        <v>7</v>
      </c>
      <c r="K16" s="82" t="s">
        <v>469</v>
      </c>
      <c r="L16" s="82"/>
      <c r="M16" s="82"/>
      <c r="N16" s="82"/>
      <c r="O16" s="82"/>
      <c r="P16" s="82"/>
      <c r="Q16" s="82"/>
      <c r="R16" s="82"/>
      <c r="S16" s="82"/>
      <c r="T16" s="82"/>
      <c r="U16" s="82"/>
      <c r="V16" s="82"/>
      <c r="W16" s="82"/>
      <c r="X16" s="82"/>
      <c r="Y16" s="82"/>
      <c r="Z16" s="82"/>
      <c r="AA16" s="82"/>
      <c r="AB16" s="82"/>
      <c r="AC16" s="82"/>
      <c r="AD16" s="82"/>
      <c r="AE16" s="82"/>
      <c r="AF16" s="82"/>
      <c r="AG16" s="82"/>
      <c r="AH16" s="82"/>
      <c r="AI16" s="82"/>
      <c r="AJ16" s="82"/>
      <c r="AK16" s="82"/>
      <c r="AL16" s="82"/>
      <c r="AM16" s="82"/>
      <c r="AN16" s="82"/>
      <c r="AO16" s="82"/>
      <c r="AP16" s="82" t="s">
        <v>396</v>
      </c>
      <c r="AQ16" s="12" t="s">
        <v>397</v>
      </c>
      <c r="AR16" s="82"/>
    </row>
    <row r="17" spans="1:44">
      <c r="A17" s="33" t="s">
        <v>403</v>
      </c>
      <c r="C17" s="33" t="s">
        <v>387</v>
      </c>
      <c r="D17" s="33" t="s">
        <v>378</v>
      </c>
      <c r="E17" s="33" t="s">
        <v>54</v>
      </c>
      <c r="F17" s="82">
        <v>8</v>
      </c>
      <c r="G17" s="82">
        <v>13</v>
      </c>
      <c r="H17" s="82">
        <v>0</v>
      </c>
      <c r="I17" s="82">
        <v>81</v>
      </c>
      <c r="J17" s="82">
        <f t="shared" si="0"/>
        <v>13</v>
      </c>
      <c r="K17" s="82" t="s">
        <v>470</v>
      </c>
      <c r="L17" s="82"/>
      <c r="M17" s="82"/>
      <c r="N17" s="82"/>
      <c r="O17" s="82"/>
      <c r="P17" s="82"/>
      <c r="Q17" s="82"/>
      <c r="R17" s="82"/>
      <c r="S17" s="82"/>
      <c r="T17" s="82"/>
      <c r="U17" s="82"/>
      <c r="V17" s="82"/>
      <c r="W17" s="82"/>
      <c r="X17" s="82"/>
      <c r="Y17" s="82"/>
      <c r="Z17" s="82"/>
      <c r="AA17" s="82"/>
      <c r="AB17" s="82"/>
      <c r="AC17" s="82"/>
      <c r="AD17" s="82"/>
      <c r="AE17" s="82"/>
      <c r="AF17" s="82"/>
      <c r="AG17" s="82"/>
      <c r="AH17" s="82"/>
      <c r="AI17" s="82"/>
      <c r="AJ17" s="82"/>
      <c r="AK17" s="82"/>
      <c r="AL17" s="82"/>
      <c r="AM17" s="82"/>
      <c r="AN17" s="82"/>
      <c r="AO17" s="82"/>
      <c r="AP17" s="82" t="s">
        <v>396</v>
      </c>
      <c r="AQ17" s="12" t="s">
        <v>397</v>
      </c>
      <c r="AR17" s="82"/>
    </row>
    <row r="18" spans="1:44">
      <c r="A18" s="33" t="s">
        <v>404</v>
      </c>
      <c r="C18" s="33" t="s">
        <v>387</v>
      </c>
      <c r="D18" s="33" t="s">
        <v>378</v>
      </c>
      <c r="E18" s="33" t="s">
        <v>58</v>
      </c>
      <c r="F18" s="82">
        <v>4</v>
      </c>
      <c r="G18" s="82">
        <v>4</v>
      </c>
      <c r="H18" s="82">
        <v>0</v>
      </c>
      <c r="I18" s="82">
        <v>31</v>
      </c>
      <c r="J18" s="82">
        <f t="shared" si="0"/>
        <v>4</v>
      </c>
      <c r="K18" s="82" t="s">
        <v>472</v>
      </c>
      <c r="L18" s="82"/>
      <c r="M18" s="82"/>
      <c r="N18" s="82"/>
      <c r="O18" s="82"/>
      <c r="P18" s="82"/>
      <c r="Q18" s="82"/>
      <c r="R18" s="82"/>
      <c r="S18" s="82"/>
      <c r="T18" s="82"/>
      <c r="U18" s="82"/>
      <c r="V18" s="82"/>
      <c r="W18" s="82"/>
      <c r="X18" s="82"/>
      <c r="Y18" s="82"/>
      <c r="Z18" s="82"/>
      <c r="AA18" s="82"/>
      <c r="AB18" s="82"/>
      <c r="AC18" s="82"/>
      <c r="AD18" s="82"/>
      <c r="AE18" s="82"/>
      <c r="AF18" s="82"/>
      <c r="AG18" s="82"/>
      <c r="AH18" s="82"/>
      <c r="AI18" s="82"/>
      <c r="AJ18" s="82"/>
      <c r="AK18" s="82"/>
      <c r="AL18" s="82"/>
      <c r="AM18" s="82"/>
      <c r="AN18" s="82"/>
      <c r="AO18" s="82"/>
      <c r="AP18" s="82" t="s">
        <v>396</v>
      </c>
      <c r="AQ18" s="12" t="s">
        <v>397</v>
      </c>
      <c r="AR18" s="82" t="s">
        <v>381</v>
      </c>
    </row>
    <row r="19" spans="1:44">
      <c r="A19" s="33" t="s">
        <v>405</v>
      </c>
      <c r="C19" s="33" t="s">
        <v>387</v>
      </c>
      <c r="D19" s="33" t="s">
        <v>378</v>
      </c>
      <c r="E19" s="33" t="s">
        <v>406</v>
      </c>
      <c r="F19" s="82">
        <v>8</v>
      </c>
      <c r="G19" s="82">
        <v>13</v>
      </c>
      <c r="H19" s="82">
        <v>0</v>
      </c>
      <c r="I19" s="82">
        <v>109</v>
      </c>
      <c r="J19" s="82">
        <f t="shared" si="0"/>
        <v>13</v>
      </c>
      <c r="K19" s="82" t="s">
        <v>469</v>
      </c>
      <c r="L19" s="82"/>
      <c r="M19" s="82"/>
      <c r="N19" s="82"/>
      <c r="O19" s="82"/>
      <c r="P19" s="82"/>
      <c r="Q19" s="82"/>
      <c r="R19" s="82"/>
      <c r="S19" s="82"/>
      <c r="T19" s="82"/>
      <c r="U19" s="82"/>
      <c r="V19" s="82"/>
      <c r="W19" s="82"/>
      <c r="X19" s="82"/>
      <c r="Y19" s="82"/>
      <c r="Z19" s="82"/>
      <c r="AA19" s="82"/>
      <c r="AB19" s="12">
        <v>50</v>
      </c>
      <c r="AC19" s="12" t="s">
        <v>472</v>
      </c>
      <c r="AD19" s="12"/>
      <c r="AE19" s="12"/>
      <c r="AF19" s="12"/>
      <c r="AG19" s="12"/>
      <c r="AH19" s="12"/>
      <c r="AI19" s="12"/>
      <c r="AJ19" s="12"/>
      <c r="AK19" s="12"/>
      <c r="AL19" s="12"/>
      <c r="AM19" s="12"/>
      <c r="AN19" s="12"/>
      <c r="AO19" s="12"/>
      <c r="AP19" s="82" t="s">
        <v>380</v>
      </c>
      <c r="AQ19" s="82" t="s">
        <v>381</v>
      </c>
      <c r="AR19" s="82"/>
    </row>
    <row r="20" spans="1:44">
      <c r="A20" s="33" t="s">
        <v>407</v>
      </c>
      <c r="C20" s="33" t="s">
        <v>387</v>
      </c>
      <c r="D20" s="33" t="s">
        <v>378</v>
      </c>
      <c r="E20" s="33" t="s">
        <v>65</v>
      </c>
      <c r="F20" s="82">
        <v>6</v>
      </c>
      <c r="G20" s="82">
        <v>8</v>
      </c>
      <c r="H20" s="82">
        <v>0</v>
      </c>
      <c r="I20" s="82">
        <v>169</v>
      </c>
      <c r="J20" s="82">
        <f t="shared" si="0"/>
        <v>8</v>
      </c>
      <c r="K20" s="82" t="s">
        <v>470</v>
      </c>
      <c r="L20" s="82"/>
      <c r="M20" s="82"/>
      <c r="N20" s="82"/>
      <c r="O20" s="82"/>
      <c r="P20" s="82"/>
      <c r="Q20" s="82"/>
      <c r="R20" s="82"/>
      <c r="S20" s="82"/>
      <c r="T20" s="82"/>
      <c r="U20" s="82"/>
      <c r="V20" s="82"/>
      <c r="W20" s="82"/>
      <c r="X20" s="82"/>
      <c r="Y20" s="82"/>
      <c r="Z20" s="82"/>
      <c r="AA20" s="82"/>
      <c r="AB20" s="82"/>
      <c r="AC20" s="82"/>
      <c r="AD20" s="82"/>
      <c r="AE20" s="82"/>
      <c r="AF20" s="82"/>
      <c r="AG20" s="82"/>
      <c r="AH20" s="82"/>
      <c r="AI20" s="82"/>
      <c r="AJ20" s="82"/>
      <c r="AK20" s="82"/>
      <c r="AL20" s="82"/>
      <c r="AM20" s="82"/>
      <c r="AN20" s="82"/>
      <c r="AO20" s="82"/>
      <c r="AP20" s="82" t="s">
        <v>396</v>
      </c>
      <c r="AQ20" s="12" t="s">
        <v>397</v>
      </c>
      <c r="AR20" s="82"/>
    </row>
    <row r="21" spans="1:44">
      <c r="A21" s="33" t="s">
        <v>408</v>
      </c>
      <c r="C21" s="33" t="s">
        <v>387</v>
      </c>
      <c r="D21" s="33" t="s">
        <v>378</v>
      </c>
      <c r="E21" s="33" t="s">
        <v>556</v>
      </c>
      <c r="F21" s="82">
        <v>8</v>
      </c>
      <c r="G21" s="82">
        <v>8</v>
      </c>
      <c r="H21" s="82">
        <v>0</v>
      </c>
      <c r="I21" s="82">
        <v>61</v>
      </c>
      <c r="J21" s="82">
        <f t="shared" si="0"/>
        <v>8</v>
      </c>
      <c r="K21" s="82" t="s">
        <v>472</v>
      </c>
      <c r="L21" s="82"/>
      <c r="M21" s="82"/>
      <c r="N21" s="82"/>
      <c r="O21" s="82"/>
      <c r="P21" s="82"/>
      <c r="Q21" s="82"/>
      <c r="R21" s="82"/>
      <c r="S21" s="82"/>
      <c r="T21" s="82"/>
      <c r="U21" s="82"/>
      <c r="V21" s="82"/>
      <c r="W21" s="82"/>
      <c r="X21" s="82"/>
      <c r="Y21" s="82"/>
      <c r="Z21" s="82"/>
      <c r="AA21" s="82"/>
      <c r="AB21" s="82"/>
      <c r="AC21" s="82"/>
      <c r="AD21" s="82"/>
      <c r="AE21" s="82"/>
      <c r="AF21" s="82"/>
      <c r="AG21" s="82"/>
      <c r="AH21" s="82"/>
      <c r="AI21" s="82"/>
      <c r="AJ21" s="82"/>
      <c r="AK21" s="82"/>
      <c r="AL21" s="82"/>
      <c r="AM21" s="82"/>
      <c r="AN21" s="82"/>
      <c r="AO21" s="82"/>
      <c r="AP21" s="82" t="s">
        <v>380</v>
      </c>
      <c r="AQ21" s="82" t="s">
        <v>381</v>
      </c>
      <c r="AR21" s="82"/>
    </row>
    <row r="22" spans="1:44">
      <c r="A22" s="33" t="s">
        <v>409</v>
      </c>
      <c r="C22" s="33" t="s">
        <v>387</v>
      </c>
      <c r="D22" s="33" t="s">
        <v>378</v>
      </c>
      <c r="E22" s="33" t="s">
        <v>556</v>
      </c>
      <c r="F22" s="82">
        <v>8</v>
      </c>
      <c r="G22" s="82">
        <v>8</v>
      </c>
      <c r="H22" s="82">
        <v>0</v>
      </c>
      <c r="I22" s="82">
        <v>61</v>
      </c>
      <c r="J22" s="82">
        <f t="shared" si="0"/>
        <v>8</v>
      </c>
      <c r="K22" s="82" t="s">
        <v>469</v>
      </c>
      <c r="L22" s="82"/>
      <c r="M22" s="82"/>
      <c r="N22" s="82"/>
      <c r="O22" s="82"/>
      <c r="P22" s="82"/>
      <c r="Q22" s="82"/>
      <c r="R22" s="82"/>
      <c r="S22" s="82"/>
      <c r="T22" s="82"/>
      <c r="U22" s="82"/>
      <c r="V22" s="82"/>
      <c r="W22" s="82"/>
      <c r="X22" s="82"/>
      <c r="Y22" s="82"/>
      <c r="Z22" s="82"/>
      <c r="AA22" s="82"/>
      <c r="AB22" s="82"/>
      <c r="AC22" s="82"/>
      <c r="AD22" s="82"/>
      <c r="AE22" s="82"/>
      <c r="AF22" s="82"/>
      <c r="AG22" s="82"/>
      <c r="AH22" s="82"/>
      <c r="AI22" s="82"/>
      <c r="AJ22" s="82"/>
      <c r="AK22" s="82"/>
      <c r="AL22" s="82"/>
      <c r="AM22" s="82"/>
      <c r="AN22" s="82"/>
      <c r="AO22" s="82"/>
      <c r="AP22" s="82" t="s">
        <v>380</v>
      </c>
      <c r="AQ22" s="82" t="s">
        <v>381</v>
      </c>
      <c r="AR22" s="82"/>
    </row>
    <row r="23" spans="1:44">
      <c r="A23" s="33" t="s">
        <v>410</v>
      </c>
      <c r="C23" s="33" t="s">
        <v>387</v>
      </c>
      <c r="D23" s="33" t="s">
        <v>378</v>
      </c>
      <c r="E23" s="33" t="s">
        <v>73</v>
      </c>
      <c r="F23" s="82">
        <v>8</v>
      </c>
      <c r="G23" s="82">
        <v>18</v>
      </c>
      <c r="H23" s="82">
        <v>0</v>
      </c>
      <c r="I23" s="82">
        <v>151</v>
      </c>
      <c r="J23" s="82">
        <f t="shared" si="0"/>
        <v>18</v>
      </c>
      <c r="K23" s="82" t="s">
        <v>470</v>
      </c>
      <c r="L23" s="82"/>
      <c r="M23" s="82"/>
      <c r="N23" s="82"/>
      <c r="O23" s="82"/>
      <c r="P23" s="82"/>
      <c r="Q23" s="82"/>
      <c r="R23" s="82"/>
      <c r="S23" s="82"/>
      <c r="T23" s="82"/>
      <c r="U23" s="82"/>
      <c r="V23" s="82"/>
      <c r="W23" s="82"/>
      <c r="X23" s="82"/>
      <c r="Y23" s="82"/>
      <c r="Z23" s="82"/>
      <c r="AA23" s="82"/>
      <c r="AB23" s="82"/>
      <c r="AC23" s="82"/>
      <c r="AD23" s="12">
        <v>100</v>
      </c>
      <c r="AE23" s="12" t="s">
        <v>470</v>
      </c>
      <c r="AF23" s="12"/>
      <c r="AG23" s="12"/>
      <c r="AH23" s="12"/>
      <c r="AI23" s="12"/>
      <c r="AJ23" s="12"/>
      <c r="AK23" s="12"/>
      <c r="AL23" s="12"/>
      <c r="AM23" s="12"/>
      <c r="AN23" s="12"/>
      <c r="AO23" s="12"/>
      <c r="AP23" s="82" t="s">
        <v>380</v>
      </c>
      <c r="AQ23" s="82" t="s">
        <v>381</v>
      </c>
      <c r="AR23" s="82"/>
    </row>
    <row r="24" spans="1:44">
      <c r="A24" s="33" t="s">
        <v>411</v>
      </c>
      <c r="C24" s="33" t="s">
        <v>387</v>
      </c>
      <c r="D24" s="33" t="s">
        <v>378</v>
      </c>
      <c r="E24" s="33" t="s">
        <v>77</v>
      </c>
      <c r="F24" s="82">
        <v>8</v>
      </c>
      <c r="G24" s="82">
        <v>18</v>
      </c>
      <c r="H24" s="82">
        <v>0</v>
      </c>
      <c r="I24" s="82">
        <v>151</v>
      </c>
      <c r="J24" s="82">
        <f t="shared" si="0"/>
        <v>18</v>
      </c>
      <c r="K24" s="82" t="s">
        <v>472</v>
      </c>
      <c r="L24" s="82"/>
      <c r="M24" s="82"/>
      <c r="N24" s="82"/>
      <c r="O24" s="82"/>
      <c r="P24" s="82"/>
      <c r="Q24" s="82"/>
      <c r="R24" s="82"/>
      <c r="S24" s="82"/>
      <c r="T24" s="82"/>
      <c r="U24" s="82"/>
      <c r="V24" s="82"/>
      <c r="W24" s="82"/>
      <c r="X24" s="82"/>
      <c r="Y24" s="82"/>
      <c r="Z24" s="82"/>
      <c r="AA24" s="82"/>
      <c r="AB24" s="82"/>
      <c r="AC24" s="82"/>
      <c r="AD24" s="12">
        <v>100</v>
      </c>
      <c r="AE24" s="12" t="s">
        <v>472</v>
      </c>
      <c r="AF24" s="12"/>
      <c r="AG24" s="12"/>
      <c r="AH24" s="12"/>
      <c r="AI24" s="12"/>
      <c r="AJ24" s="12"/>
      <c r="AK24" s="12"/>
      <c r="AL24" s="12"/>
      <c r="AM24" s="12"/>
      <c r="AN24" s="12"/>
      <c r="AO24" s="12"/>
      <c r="AP24" s="82" t="s">
        <v>380</v>
      </c>
      <c r="AQ24" s="82" t="s">
        <v>381</v>
      </c>
      <c r="AR24" s="82"/>
    </row>
    <row r="25" spans="1:44">
      <c r="A25" s="33" t="s">
        <v>433</v>
      </c>
      <c r="C25" s="33" t="s">
        <v>387</v>
      </c>
      <c r="D25" s="33" t="s">
        <v>378</v>
      </c>
      <c r="E25" s="33" t="s">
        <v>81</v>
      </c>
      <c r="F25" s="82">
        <v>6</v>
      </c>
      <c r="G25" s="82">
        <v>9</v>
      </c>
      <c r="H25" s="82">
        <v>0</v>
      </c>
      <c r="I25" s="82">
        <v>41</v>
      </c>
      <c r="J25" s="82">
        <f t="shared" si="0"/>
        <v>9</v>
      </c>
      <c r="K25" s="82" t="s">
        <v>469</v>
      </c>
      <c r="L25" s="82"/>
      <c r="M25" s="82"/>
      <c r="N25" s="82"/>
      <c r="O25" s="82"/>
      <c r="P25" s="82"/>
      <c r="Q25" s="82"/>
      <c r="R25" s="82"/>
      <c r="S25" s="82"/>
      <c r="T25" s="82"/>
      <c r="U25" s="82"/>
      <c r="V25" s="82"/>
      <c r="W25" s="82"/>
      <c r="X25" s="82"/>
      <c r="Y25" s="82"/>
      <c r="Z25" s="82"/>
      <c r="AA25" s="82"/>
      <c r="AB25" s="82"/>
      <c r="AC25" s="82"/>
      <c r="AD25" s="82"/>
      <c r="AE25" s="82"/>
      <c r="AF25" s="82"/>
      <c r="AG25" s="82"/>
      <c r="AH25" s="82"/>
      <c r="AI25" s="82"/>
      <c r="AJ25" s="82"/>
      <c r="AK25" s="82"/>
      <c r="AL25" s="82"/>
      <c r="AM25" s="82"/>
      <c r="AN25" s="82"/>
      <c r="AO25" s="82"/>
      <c r="AP25" s="82" t="s">
        <v>380</v>
      </c>
      <c r="AQ25" s="82" t="s">
        <v>381</v>
      </c>
      <c r="AR25" s="82"/>
    </row>
    <row r="26" spans="1:44">
      <c r="A26" s="33" t="s">
        <v>435</v>
      </c>
      <c r="C26" s="33" t="s">
        <v>387</v>
      </c>
      <c r="D26" s="33" t="s">
        <v>378</v>
      </c>
      <c r="E26" s="33" t="s">
        <v>81</v>
      </c>
      <c r="F26" s="82">
        <v>6</v>
      </c>
      <c r="G26" s="82">
        <v>9</v>
      </c>
      <c r="H26" s="82">
        <v>0</v>
      </c>
      <c r="I26" s="82">
        <v>41</v>
      </c>
      <c r="J26" s="82">
        <f t="shared" si="0"/>
        <v>9</v>
      </c>
      <c r="K26" s="82" t="s">
        <v>470</v>
      </c>
      <c r="L26" s="82"/>
      <c r="M26" s="82"/>
      <c r="N26" s="82"/>
      <c r="O26" s="82"/>
      <c r="P26" s="82"/>
      <c r="Q26" s="82"/>
      <c r="R26" s="82"/>
      <c r="S26" s="82"/>
      <c r="T26" s="82"/>
      <c r="U26" s="82"/>
      <c r="V26" s="82"/>
      <c r="W26" s="82"/>
      <c r="X26" s="82"/>
      <c r="Y26" s="82"/>
      <c r="Z26" s="82"/>
      <c r="AA26" s="82"/>
      <c r="AB26" s="82"/>
      <c r="AC26" s="82"/>
      <c r="AD26" s="82"/>
      <c r="AE26" s="82"/>
      <c r="AF26" s="82"/>
      <c r="AG26" s="82"/>
      <c r="AH26" s="82"/>
      <c r="AI26" s="82"/>
      <c r="AJ26" s="82"/>
      <c r="AK26" s="82"/>
      <c r="AL26" s="82"/>
      <c r="AM26" s="82"/>
      <c r="AN26" s="82"/>
      <c r="AO26" s="82"/>
      <c r="AP26" s="82" t="s">
        <v>380</v>
      </c>
      <c r="AQ26" s="82" t="s">
        <v>381</v>
      </c>
      <c r="AR26" s="82"/>
    </row>
    <row r="27" spans="1:44">
      <c r="A27" s="33" t="s">
        <v>557</v>
      </c>
      <c r="C27" s="33" t="s">
        <v>387</v>
      </c>
      <c r="D27" s="33" t="s">
        <v>378</v>
      </c>
      <c r="E27" s="33" t="s">
        <v>85</v>
      </c>
      <c r="F27" s="82">
        <v>8</v>
      </c>
      <c r="G27" s="82">
        <v>36</v>
      </c>
      <c r="H27" s="82">
        <v>36</v>
      </c>
      <c r="I27" s="12">
        <v>136</v>
      </c>
      <c r="J27" s="82">
        <f t="shared" si="0"/>
        <v>0</v>
      </c>
      <c r="K27" s="82" t="s">
        <v>472</v>
      </c>
      <c r="L27" s="82"/>
      <c r="M27" s="82"/>
      <c r="N27" s="82"/>
      <c r="O27" s="82"/>
      <c r="P27" s="82"/>
      <c r="Q27" s="82"/>
      <c r="R27" s="82"/>
      <c r="S27" s="82"/>
      <c r="T27" s="82"/>
      <c r="U27" s="82"/>
      <c r="V27" s="82"/>
      <c r="W27" s="82"/>
      <c r="X27" s="82"/>
      <c r="Y27" s="82"/>
      <c r="Z27" s="82"/>
      <c r="AA27" s="82"/>
      <c r="AB27" s="82"/>
      <c r="AC27" s="82"/>
      <c r="AD27" s="82"/>
      <c r="AE27" s="82"/>
      <c r="AF27" s="82"/>
      <c r="AG27" s="82"/>
      <c r="AH27" s="82"/>
      <c r="AI27" s="82"/>
      <c r="AJ27" s="82"/>
      <c r="AK27" s="82"/>
      <c r="AL27" s="82"/>
      <c r="AM27" s="82"/>
      <c r="AN27" s="82"/>
      <c r="AO27" s="82"/>
      <c r="AP27" s="82" t="s">
        <v>396</v>
      </c>
      <c r="AQ27" s="12" t="s">
        <v>397</v>
      </c>
      <c r="AR27" s="82"/>
    </row>
    <row r="28" spans="1:44">
      <c r="A28" s="33" t="s">
        <v>558</v>
      </c>
      <c r="C28" s="33" t="s">
        <v>387</v>
      </c>
      <c r="D28" s="33" t="s">
        <v>378</v>
      </c>
      <c r="E28" s="33" t="s">
        <v>85</v>
      </c>
      <c r="F28" s="82">
        <v>8</v>
      </c>
      <c r="G28" s="82">
        <v>36</v>
      </c>
      <c r="H28" s="82">
        <v>36</v>
      </c>
      <c r="I28" s="12">
        <v>136</v>
      </c>
      <c r="J28" s="82">
        <f t="shared" si="0"/>
        <v>0</v>
      </c>
      <c r="K28" s="82" t="s">
        <v>469</v>
      </c>
      <c r="L28" s="82"/>
      <c r="M28" s="82"/>
      <c r="N28" s="82"/>
      <c r="O28" s="82"/>
      <c r="P28" s="82"/>
      <c r="Q28" s="82"/>
      <c r="R28" s="82"/>
      <c r="S28" s="82"/>
      <c r="T28" s="82"/>
      <c r="U28" s="82"/>
      <c r="V28" s="82"/>
      <c r="W28" s="82"/>
      <c r="X28" s="82"/>
      <c r="Y28" s="82"/>
      <c r="Z28" s="82"/>
      <c r="AA28" s="82"/>
      <c r="AB28" s="82"/>
      <c r="AC28" s="82"/>
      <c r="AD28" s="82"/>
      <c r="AE28" s="82"/>
      <c r="AF28" s="82"/>
      <c r="AG28" s="82"/>
      <c r="AH28" s="82"/>
      <c r="AI28" s="82"/>
      <c r="AJ28" s="82"/>
      <c r="AK28" s="82"/>
      <c r="AL28" s="82"/>
      <c r="AM28" s="82"/>
      <c r="AN28" s="82"/>
      <c r="AO28" s="82"/>
      <c r="AP28" s="82" t="s">
        <v>396</v>
      </c>
      <c r="AQ28" s="12" t="s">
        <v>397</v>
      </c>
      <c r="AR28" s="82"/>
    </row>
    <row r="29" spans="1:44">
      <c r="A29" s="33" t="s">
        <v>559</v>
      </c>
      <c r="C29" s="33" t="s">
        <v>387</v>
      </c>
      <c r="D29" s="33" t="s">
        <v>378</v>
      </c>
      <c r="E29" s="33" t="s">
        <v>85</v>
      </c>
      <c r="F29" s="82">
        <v>8</v>
      </c>
      <c r="G29" s="82">
        <v>36</v>
      </c>
      <c r="H29" s="82">
        <v>36</v>
      </c>
      <c r="I29" s="12">
        <v>136</v>
      </c>
      <c r="J29" s="82">
        <f t="shared" si="0"/>
        <v>0</v>
      </c>
      <c r="K29" s="82" t="s">
        <v>470</v>
      </c>
      <c r="L29" s="82"/>
      <c r="M29" s="82"/>
      <c r="N29" s="82"/>
      <c r="O29" s="82"/>
      <c r="P29" s="82"/>
      <c r="Q29" s="82"/>
      <c r="R29" s="82"/>
      <c r="S29" s="82"/>
      <c r="T29" s="82"/>
      <c r="V29" s="82"/>
      <c r="W29" s="82"/>
      <c r="X29" s="82"/>
      <c r="Y29" s="82"/>
      <c r="Z29" s="82"/>
      <c r="AA29" s="82"/>
      <c r="AB29" s="82"/>
      <c r="AC29" s="82"/>
      <c r="AD29" s="82"/>
      <c r="AE29" s="82"/>
      <c r="AF29" s="82"/>
      <c r="AG29" s="82"/>
      <c r="AH29" s="82"/>
      <c r="AI29" s="82"/>
      <c r="AJ29" s="82"/>
      <c r="AK29" s="82"/>
      <c r="AL29" s="82"/>
      <c r="AM29" s="82"/>
      <c r="AN29" s="82"/>
      <c r="AO29" s="82"/>
      <c r="AP29" s="82" t="s">
        <v>396</v>
      </c>
      <c r="AQ29" s="12" t="s">
        <v>397</v>
      </c>
      <c r="AR29" s="82"/>
    </row>
    <row r="30" spans="1:44">
      <c r="A30" s="33" t="s">
        <v>560</v>
      </c>
      <c r="C30" s="33" t="s">
        <v>387</v>
      </c>
      <c r="D30" s="33" t="s">
        <v>378</v>
      </c>
      <c r="E30" s="33" t="s">
        <v>85</v>
      </c>
      <c r="F30" s="82">
        <v>8</v>
      </c>
      <c r="G30" s="82">
        <v>36</v>
      </c>
      <c r="H30" s="82">
        <v>36</v>
      </c>
      <c r="I30" s="12">
        <v>136</v>
      </c>
      <c r="J30" s="82">
        <f t="shared" si="0"/>
        <v>0</v>
      </c>
      <c r="K30" s="82" t="s">
        <v>472</v>
      </c>
      <c r="L30" s="82"/>
      <c r="M30" s="82"/>
      <c r="N30" s="82"/>
      <c r="O30" s="82"/>
      <c r="P30" s="82"/>
      <c r="Q30" s="82"/>
      <c r="R30" s="82"/>
      <c r="S30" s="82"/>
      <c r="T30" s="82"/>
      <c r="U30" s="82"/>
      <c r="V30" s="82"/>
      <c r="W30" s="82"/>
      <c r="X30" s="82"/>
      <c r="Y30" s="82"/>
      <c r="Z30" s="82"/>
      <c r="AA30" s="82"/>
      <c r="AB30" s="82"/>
      <c r="AC30" s="82"/>
      <c r="AD30" s="82"/>
      <c r="AE30" s="82"/>
      <c r="AF30" s="82"/>
      <c r="AG30" s="82"/>
      <c r="AH30" s="82"/>
      <c r="AI30" s="82"/>
      <c r="AJ30" s="82"/>
      <c r="AK30" s="82"/>
      <c r="AL30" s="82"/>
      <c r="AM30" s="82"/>
      <c r="AN30" s="82"/>
      <c r="AO30" s="82"/>
      <c r="AP30" s="82" t="s">
        <v>396</v>
      </c>
      <c r="AQ30" s="12" t="s">
        <v>397</v>
      </c>
      <c r="AR30" s="82"/>
    </row>
    <row r="31" spans="1:44">
      <c r="A31" s="33" t="s">
        <v>566</v>
      </c>
      <c r="C31" s="33" t="s">
        <v>387</v>
      </c>
      <c r="D31" s="33" t="s">
        <v>378</v>
      </c>
      <c r="E31" s="33" t="s">
        <v>85</v>
      </c>
      <c r="F31" s="82">
        <v>8</v>
      </c>
      <c r="G31" s="82">
        <v>36</v>
      </c>
      <c r="H31" s="82">
        <v>36</v>
      </c>
      <c r="I31" s="12">
        <v>136</v>
      </c>
      <c r="J31" s="82">
        <f t="shared" si="0"/>
        <v>0</v>
      </c>
      <c r="K31" s="82" t="s">
        <v>469</v>
      </c>
      <c r="L31" s="82"/>
      <c r="M31" s="82"/>
      <c r="N31" s="82"/>
      <c r="O31" s="82"/>
      <c r="P31" s="82"/>
      <c r="Q31" s="82"/>
      <c r="R31" s="82"/>
      <c r="S31" s="82"/>
      <c r="T31" s="82"/>
      <c r="U31" s="82"/>
      <c r="V31" s="82"/>
      <c r="W31" s="82"/>
      <c r="X31" s="82"/>
      <c r="Y31" s="82"/>
      <c r="Z31" s="82"/>
      <c r="AA31" s="82"/>
      <c r="AB31" s="82"/>
      <c r="AC31" s="82"/>
      <c r="AD31" s="82"/>
      <c r="AE31" s="82"/>
      <c r="AF31" s="82"/>
      <c r="AG31" s="82"/>
      <c r="AH31" s="82"/>
      <c r="AI31" s="82"/>
      <c r="AJ31" s="82"/>
      <c r="AK31" s="82"/>
      <c r="AL31" s="82"/>
      <c r="AM31" s="82"/>
      <c r="AN31" s="82"/>
      <c r="AO31" s="82"/>
      <c r="AP31" s="82" t="s">
        <v>396</v>
      </c>
      <c r="AQ31" s="12" t="s">
        <v>397</v>
      </c>
      <c r="AR31" s="82"/>
    </row>
    <row r="32" spans="1:44">
      <c r="A32" s="33" t="s">
        <v>567</v>
      </c>
      <c r="C32" s="33" t="s">
        <v>387</v>
      </c>
      <c r="D32" s="33" t="s">
        <v>378</v>
      </c>
      <c r="E32" s="33" t="s">
        <v>85</v>
      </c>
      <c r="F32" s="82">
        <v>8</v>
      </c>
      <c r="G32" s="82">
        <v>36</v>
      </c>
      <c r="H32" s="82">
        <v>36</v>
      </c>
      <c r="I32" s="12">
        <v>136</v>
      </c>
      <c r="J32" s="82">
        <f t="shared" si="0"/>
        <v>0</v>
      </c>
      <c r="K32" s="82" t="s">
        <v>470</v>
      </c>
      <c r="L32" s="82"/>
      <c r="M32" s="82"/>
      <c r="N32" s="82"/>
      <c r="O32" s="82"/>
      <c r="P32" s="82"/>
      <c r="Q32" s="82"/>
      <c r="R32" s="82"/>
      <c r="S32" s="82"/>
      <c r="T32" s="82"/>
      <c r="U32" s="82"/>
      <c r="V32" s="82"/>
      <c r="W32" s="82"/>
      <c r="X32" s="82"/>
      <c r="Y32" s="82"/>
      <c r="Z32" s="82"/>
      <c r="AA32" s="82"/>
      <c r="AB32" s="82"/>
      <c r="AC32" s="82"/>
      <c r="AD32" s="82"/>
      <c r="AE32" s="82"/>
      <c r="AF32" s="82"/>
      <c r="AG32" s="82"/>
      <c r="AH32" s="82"/>
      <c r="AI32" s="82"/>
      <c r="AJ32" s="82"/>
      <c r="AK32" s="82"/>
      <c r="AL32" s="82"/>
      <c r="AM32" s="82"/>
      <c r="AN32" s="82"/>
      <c r="AO32" s="82"/>
      <c r="AP32" s="82" t="s">
        <v>396</v>
      </c>
      <c r="AQ32" s="12" t="s">
        <v>397</v>
      </c>
      <c r="AR32" s="82"/>
    </row>
    <row r="33" spans="1:46">
      <c r="A33" s="33" t="s">
        <v>582</v>
      </c>
      <c r="C33" s="33" t="s">
        <v>387</v>
      </c>
      <c r="D33" s="33" t="s">
        <v>378</v>
      </c>
      <c r="E33" s="33" t="s">
        <v>85</v>
      </c>
      <c r="F33" s="82">
        <v>8</v>
      </c>
      <c r="G33" s="82">
        <v>36</v>
      </c>
      <c r="H33" s="82">
        <v>36</v>
      </c>
      <c r="I33" s="12">
        <v>136</v>
      </c>
      <c r="J33" s="82">
        <f t="shared" si="0"/>
        <v>0</v>
      </c>
      <c r="K33" s="82" t="s">
        <v>472</v>
      </c>
      <c r="L33" s="82"/>
      <c r="M33" s="82"/>
      <c r="N33" s="82"/>
      <c r="O33" s="82"/>
      <c r="P33" s="82"/>
      <c r="Q33" s="82"/>
      <c r="R33" s="82"/>
      <c r="S33" s="82"/>
      <c r="T33" s="82"/>
      <c r="U33" s="82"/>
      <c r="V33" s="82"/>
      <c r="W33" s="82"/>
      <c r="X33" s="82"/>
      <c r="Y33" s="82"/>
      <c r="Z33" s="82"/>
      <c r="AA33" s="82"/>
      <c r="AB33" s="82"/>
      <c r="AC33" s="82"/>
      <c r="AD33" s="82"/>
      <c r="AE33" s="82"/>
      <c r="AF33" s="82"/>
      <c r="AG33" s="82"/>
      <c r="AH33" s="82"/>
      <c r="AI33" s="82"/>
      <c r="AJ33" s="82"/>
      <c r="AK33" s="82"/>
      <c r="AL33" s="82"/>
      <c r="AM33" s="82"/>
      <c r="AN33" s="82"/>
      <c r="AO33" s="82"/>
      <c r="AP33" s="82" t="s">
        <v>396</v>
      </c>
      <c r="AQ33" s="12" t="s">
        <v>397</v>
      </c>
      <c r="AR33" s="82"/>
    </row>
    <row r="34" spans="1:46">
      <c r="A34" s="33" t="s">
        <v>583</v>
      </c>
      <c r="C34" s="33" t="s">
        <v>387</v>
      </c>
      <c r="D34" s="33" t="s">
        <v>378</v>
      </c>
      <c r="E34" s="33" t="s">
        <v>85</v>
      </c>
      <c r="F34" s="82">
        <v>8</v>
      </c>
      <c r="G34" s="82">
        <v>36</v>
      </c>
      <c r="H34" s="82">
        <v>36</v>
      </c>
      <c r="I34" s="12">
        <v>136</v>
      </c>
      <c r="J34" s="82">
        <f t="shared" si="0"/>
        <v>0</v>
      </c>
      <c r="K34" s="82" t="s">
        <v>469</v>
      </c>
      <c r="L34" s="82"/>
      <c r="M34" s="82"/>
      <c r="N34" s="82"/>
      <c r="O34" s="82"/>
      <c r="P34" s="82"/>
      <c r="Q34" s="82"/>
      <c r="R34" s="82"/>
      <c r="S34" s="82"/>
      <c r="T34" s="82"/>
      <c r="U34" s="82"/>
      <c r="V34" s="82"/>
      <c r="W34" s="82"/>
      <c r="X34" s="82"/>
      <c r="Y34" s="82"/>
      <c r="Z34" s="82"/>
      <c r="AA34" s="82"/>
      <c r="AB34" s="82"/>
      <c r="AC34" s="82"/>
      <c r="AD34" s="82"/>
      <c r="AE34" s="82"/>
      <c r="AF34" s="82"/>
      <c r="AG34" s="82"/>
      <c r="AH34" s="82"/>
      <c r="AI34" s="82"/>
      <c r="AJ34" s="82"/>
      <c r="AK34" s="82"/>
      <c r="AL34" s="82"/>
      <c r="AM34" s="82"/>
      <c r="AN34" s="82"/>
      <c r="AO34" s="82"/>
      <c r="AP34" s="82" t="s">
        <v>396</v>
      </c>
      <c r="AQ34" s="12" t="s">
        <v>397</v>
      </c>
      <c r="AR34" s="82"/>
    </row>
    <row r="35" spans="1:46">
      <c r="A35" s="33" t="s">
        <v>412</v>
      </c>
      <c r="B35" s="82"/>
      <c r="C35" s="33" t="s">
        <v>387</v>
      </c>
      <c r="D35" s="33" t="s">
        <v>378</v>
      </c>
      <c r="E35" s="33" t="s">
        <v>100</v>
      </c>
      <c r="F35" s="82">
        <v>10</v>
      </c>
      <c r="G35" s="82">
        <v>12</v>
      </c>
      <c r="H35" s="82">
        <v>0</v>
      </c>
      <c r="I35" s="82">
        <v>56</v>
      </c>
      <c r="J35" s="82">
        <f t="shared" si="0"/>
        <v>12</v>
      </c>
      <c r="K35" s="82" t="s">
        <v>469</v>
      </c>
      <c r="L35" s="82"/>
      <c r="M35" s="82"/>
      <c r="N35" s="82"/>
      <c r="O35" s="82"/>
      <c r="P35" s="82"/>
      <c r="Q35" s="82"/>
      <c r="R35" s="82"/>
      <c r="S35" s="82"/>
      <c r="T35" s="82"/>
      <c r="U35" s="82"/>
      <c r="V35" s="82"/>
      <c r="W35" s="82"/>
      <c r="X35" s="82"/>
      <c r="Y35" s="82"/>
      <c r="Z35" s="82">
        <v>83</v>
      </c>
      <c r="AA35" s="82" t="s">
        <v>413</v>
      </c>
      <c r="AB35" s="82"/>
      <c r="AC35" s="82"/>
      <c r="AD35" s="82"/>
      <c r="AE35" s="82"/>
      <c r="AF35" s="82"/>
      <c r="AG35" s="82"/>
      <c r="AI35" s="82"/>
      <c r="AJ35" s="82"/>
      <c r="AK35" s="82"/>
      <c r="AL35" s="82"/>
      <c r="AM35" s="82"/>
      <c r="AN35" s="82"/>
      <c r="AO35" s="82"/>
      <c r="AP35" s="82" t="s">
        <v>380</v>
      </c>
      <c r="AQ35" s="82" t="s">
        <v>381</v>
      </c>
      <c r="AR35" s="82"/>
    </row>
    <row r="36" spans="1:46">
      <c r="A36" s="33" t="s">
        <v>414</v>
      </c>
      <c r="C36" s="33" t="s">
        <v>387</v>
      </c>
      <c r="D36" s="33" t="s">
        <v>378</v>
      </c>
      <c r="E36" s="33" t="s">
        <v>100</v>
      </c>
      <c r="F36" s="82">
        <v>10</v>
      </c>
      <c r="G36" s="82">
        <v>12</v>
      </c>
      <c r="H36" s="82">
        <v>0</v>
      </c>
      <c r="I36" s="82">
        <v>56</v>
      </c>
      <c r="J36" s="82">
        <f t="shared" si="0"/>
        <v>12</v>
      </c>
      <c r="K36" s="82" t="s">
        <v>470</v>
      </c>
      <c r="L36" s="82"/>
      <c r="M36" s="82"/>
      <c r="N36" s="82"/>
      <c r="O36" s="82"/>
      <c r="P36" s="82"/>
      <c r="Q36" s="82"/>
      <c r="R36" s="82"/>
      <c r="S36" s="82"/>
      <c r="T36" s="82"/>
      <c r="U36" s="82"/>
      <c r="V36" s="82"/>
      <c r="W36" s="82"/>
      <c r="X36" s="82"/>
      <c r="Y36" s="82"/>
      <c r="Z36" s="82">
        <v>83</v>
      </c>
      <c r="AA36" s="82" t="s">
        <v>413</v>
      </c>
      <c r="AB36" s="82"/>
      <c r="AC36" s="82"/>
      <c r="AD36" s="82"/>
      <c r="AE36" s="82"/>
      <c r="AF36" s="82"/>
      <c r="AG36" s="82"/>
      <c r="AH36" s="82"/>
      <c r="AI36" s="82"/>
      <c r="AJ36" s="82"/>
      <c r="AK36" s="82"/>
      <c r="AL36" s="82"/>
      <c r="AM36" s="82"/>
      <c r="AN36" s="82"/>
      <c r="AO36" s="82"/>
      <c r="AP36" s="82" t="s">
        <v>380</v>
      </c>
      <c r="AQ36" s="82" t="s">
        <v>381</v>
      </c>
      <c r="AR36" s="82"/>
    </row>
    <row r="37" spans="1:46">
      <c r="A37" s="33" t="s">
        <v>584</v>
      </c>
      <c r="C37" s="33" t="s">
        <v>387</v>
      </c>
      <c r="D37" s="33" t="s">
        <v>378</v>
      </c>
      <c r="E37" s="33" t="s">
        <v>100</v>
      </c>
      <c r="F37" s="82">
        <v>10</v>
      </c>
      <c r="G37" s="82">
        <v>12</v>
      </c>
      <c r="H37" s="82">
        <v>0</v>
      </c>
      <c r="I37" s="82">
        <v>56</v>
      </c>
      <c r="J37" s="82">
        <f t="shared" si="0"/>
        <v>12</v>
      </c>
      <c r="K37" s="82" t="s">
        <v>472</v>
      </c>
      <c r="L37" s="82"/>
      <c r="M37" s="82"/>
      <c r="N37" s="82"/>
      <c r="O37" s="82"/>
      <c r="P37" s="82"/>
      <c r="Q37" s="82"/>
      <c r="R37" s="82"/>
      <c r="S37" s="82"/>
      <c r="T37" s="82"/>
      <c r="U37" s="82"/>
      <c r="V37" s="82"/>
      <c r="W37" s="82"/>
      <c r="X37" s="82"/>
      <c r="Y37" s="82"/>
      <c r="Z37" s="82">
        <v>83</v>
      </c>
      <c r="AA37" s="82" t="s">
        <v>413</v>
      </c>
      <c r="AB37" s="82"/>
      <c r="AC37" s="82"/>
      <c r="AD37" s="82"/>
      <c r="AE37" s="82"/>
      <c r="AF37" s="82"/>
      <c r="AG37" s="82"/>
      <c r="AH37" s="82"/>
      <c r="AI37" s="82"/>
      <c r="AJ37" s="82"/>
      <c r="AK37" s="82"/>
      <c r="AL37" s="82"/>
      <c r="AM37" s="82"/>
      <c r="AN37" s="82"/>
      <c r="AO37" s="82"/>
      <c r="AP37" s="82" t="s">
        <v>380</v>
      </c>
      <c r="AQ37" s="82" t="s">
        <v>381</v>
      </c>
      <c r="AR37" s="82"/>
    </row>
    <row r="38" spans="1:46">
      <c r="A38" s="33" t="s">
        <v>585</v>
      </c>
      <c r="C38" s="33" t="s">
        <v>387</v>
      </c>
      <c r="D38" s="33" t="s">
        <v>378</v>
      </c>
      <c r="E38" s="33" t="s">
        <v>100</v>
      </c>
      <c r="F38" s="82">
        <v>10</v>
      </c>
      <c r="G38" s="82">
        <v>12</v>
      </c>
      <c r="H38" s="82">
        <v>0</v>
      </c>
      <c r="I38" s="82">
        <v>56</v>
      </c>
      <c r="J38" s="82">
        <f t="shared" si="0"/>
        <v>12</v>
      </c>
      <c r="K38" s="82" t="s">
        <v>469</v>
      </c>
      <c r="L38" s="82"/>
      <c r="M38" s="82"/>
      <c r="N38" s="82"/>
      <c r="O38" s="82"/>
      <c r="P38" s="82"/>
      <c r="Q38" s="82"/>
      <c r="R38" s="82"/>
      <c r="S38" s="82"/>
      <c r="T38" s="82"/>
      <c r="U38" s="82"/>
      <c r="V38" s="82"/>
      <c r="W38" s="82"/>
      <c r="X38" s="82"/>
      <c r="Y38" s="82"/>
      <c r="Z38" s="82">
        <v>83</v>
      </c>
      <c r="AA38" s="82" t="s">
        <v>413</v>
      </c>
      <c r="AB38" s="82"/>
      <c r="AC38" s="82"/>
      <c r="AD38" s="82"/>
      <c r="AE38" s="82"/>
      <c r="AF38" s="82"/>
      <c r="AG38" s="82"/>
      <c r="AH38" s="82"/>
      <c r="AI38" s="82"/>
      <c r="AJ38" s="82"/>
      <c r="AK38" s="82"/>
      <c r="AL38" s="82"/>
      <c r="AM38" s="82"/>
      <c r="AN38" s="82"/>
      <c r="AO38" s="82"/>
      <c r="AP38" s="82" t="s">
        <v>380</v>
      </c>
      <c r="AQ38" s="82" t="s">
        <v>381</v>
      </c>
      <c r="AR38" s="82"/>
    </row>
    <row r="39" spans="1:46">
      <c r="A39" s="33" t="s">
        <v>415</v>
      </c>
      <c r="C39" s="33" t="s">
        <v>387</v>
      </c>
      <c r="D39" s="33" t="s">
        <v>378</v>
      </c>
      <c r="E39" s="33" t="s">
        <v>416</v>
      </c>
      <c r="F39" s="82">
        <v>4</v>
      </c>
      <c r="G39" s="82">
        <v>4</v>
      </c>
      <c r="H39" s="82">
        <v>0</v>
      </c>
      <c r="I39" s="82">
        <v>41</v>
      </c>
      <c r="J39" s="82">
        <f>G39-H39</f>
        <v>4</v>
      </c>
      <c r="K39" s="82" t="s">
        <v>472</v>
      </c>
      <c r="L39" s="82"/>
      <c r="M39" s="82"/>
      <c r="N39" s="82"/>
      <c r="O39" s="82"/>
      <c r="P39" s="82"/>
      <c r="Q39" s="82"/>
      <c r="R39" s="82"/>
      <c r="S39" s="82"/>
      <c r="T39" s="82"/>
      <c r="U39" s="82"/>
      <c r="V39" s="82"/>
      <c r="W39" s="82"/>
      <c r="X39" s="82"/>
      <c r="Y39" s="82"/>
      <c r="Z39" s="82"/>
      <c r="AA39" s="82"/>
      <c r="AB39" s="82"/>
      <c r="AC39" s="82"/>
      <c r="AD39" s="82"/>
      <c r="AE39" s="82"/>
      <c r="AF39" s="82"/>
      <c r="AG39" s="82"/>
      <c r="AH39" s="82"/>
      <c r="AI39" s="82"/>
      <c r="AJ39" s="82"/>
      <c r="AK39" s="82"/>
      <c r="AL39" s="82"/>
      <c r="AM39" s="82"/>
      <c r="AN39" s="82"/>
      <c r="AO39" s="82"/>
      <c r="AP39" s="82" t="s">
        <v>380</v>
      </c>
      <c r="AQ39" s="82" t="s">
        <v>381</v>
      </c>
      <c r="AR39" s="82"/>
    </row>
    <row r="40" spans="1:46">
      <c r="A40" s="33" t="s">
        <v>417</v>
      </c>
      <c r="C40" s="33" t="s">
        <v>387</v>
      </c>
      <c r="D40" s="33" t="s">
        <v>378</v>
      </c>
      <c r="E40" s="33" t="s">
        <v>418</v>
      </c>
      <c r="F40" s="82">
        <v>4</v>
      </c>
      <c r="G40" s="82">
        <v>4</v>
      </c>
      <c r="H40" s="82">
        <v>0</v>
      </c>
      <c r="I40" s="82">
        <v>41</v>
      </c>
      <c r="J40" s="82">
        <f>G40-H40</f>
        <v>4</v>
      </c>
      <c r="K40" s="82" t="s">
        <v>472</v>
      </c>
      <c r="L40" s="82"/>
      <c r="M40" s="82"/>
      <c r="N40" s="82"/>
      <c r="O40" s="82"/>
      <c r="P40" s="82"/>
      <c r="Q40" s="82"/>
      <c r="R40" s="82"/>
      <c r="S40" s="82"/>
      <c r="T40" s="82"/>
      <c r="U40" s="82"/>
      <c r="V40" s="82"/>
      <c r="W40" s="82"/>
      <c r="X40" s="82"/>
      <c r="Y40" s="82"/>
      <c r="Z40" s="82"/>
      <c r="AA40" s="82"/>
      <c r="AB40" s="82"/>
      <c r="AC40" s="82"/>
      <c r="AD40" s="82"/>
      <c r="AE40" s="82"/>
      <c r="AF40" s="82"/>
      <c r="AG40" s="82"/>
      <c r="AH40" s="82"/>
      <c r="AI40" s="82"/>
      <c r="AJ40" s="82"/>
      <c r="AK40" s="82"/>
      <c r="AL40" s="82"/>
      <c r="AM40" s="82"/>
      <c r="AN40" s="82"/>
      <c r="AO40" s="82"/>
      <c r="AP40" s="82" t="s">
        <v>380</v>
      </c>
      <c r="AQ40" s="82" t="s">
        <v>381</v>
      </c>
      <c r="AR40" s="82"/>
    </row>
    <row r="41" spans="1:46" s="17" customFormat="1" ht="13.5" customHeight="1">
      <c r="A41" s="17" t="s">
        <v>419</v>
      </c>
      <c r="C41" s="17" t="s">
        <v>387</v>
      </c>
      <c r="D41" s="17" t="s">
        <v>378</v>
      </c>
      <c r="E41" s="108" t="s">
        <v>420</v>
      </c>
      <c r="F41" s="15">
        <v>2</v>
      </c>
      <c r="G41" s="15">
        <v>4</v>
      </c>
      <c r="H41" s="15">
        <v>0</v>
      </c>
      <c r="I41" s="15">
        <v>65</v>
      </c>
      <c r="J41" s="15">
        <f t="shared" ref="J41" si="1">G41-H41</f>
        <v>4</v>
      </c>
      <c r="K41" s="82" t="s">
        <v>469</v>
      </c>
      <c r="L41" s="15"/>
      <c r="M41" s="15"/>
      <c r="N41" s="96"/>
      <c r="O41" s="95"/>
      <c r="P41" s="15"/>
      <c r="Q41" s="15"/>
      <c r="R41" s="15"/>
      <c r="S41" s="15"/>
      <c r="T41" s="15"/>
      <c r="U41" s="15"/>
      <c r="X41" s="15">
        <v>250</v>
      </c>
      <c r="Y41" s="15" t="s">
        <v>613</v>
      </c>
      <c r="AG41" s="36"/>
      <c r="AH41" s="36">
        <v>200</v>
      </c>
      <c r="AI41" s="36" t="s">
        <v>421</v>
      </c>
      <c r="AJ41" s="36"/>
      <c r="AK41" s="36"/>
      <c r="AL41" s="36"/>
      <c r="AM41" s="36"/>
      <c r="AN41" s="36"/>
      <c r="AO41" s="36"/>
      <c r="AP41" s="15" t="s">
        <v>380</v>
      </c>
      <c r="AQ41" s="15" t="s">
        <v>381</v>
      </c>
      <c r="AR41" s="15"/>
    </row>
    <row r="42" spans="1:46" s="37" customFormat="1">
      <c r="F42" s="38">
        <f>SUM(F8:F41)</f>
        <v>243</v>
      </c>
      <c r="G42" s="38">
        <f>SUM(G8:G41)</f>
        <v>765</v>
      </c>
      <c r="H42" s="38">
        <f>SUM(H8:H41)</f>
        <v>541</v>
      </c>
      <c r="I42" s="38">
        <f>SUM(I8:I41)</f>
        <v>3519</v>
      </c>
      <c r="J42" s="38"/>
      <c r="K42" s="38"/>
      <c r="L42" s="38">
        <f>SUM(L8:L41)</f>
        <v>500</v>
      </c>
      <c r="M42" s="38"/>
      <c r="N42" s="38">
        <f>SUM(N8:N41)</f>
        <v>16400</v>
      </c>
      <c r="O42" s="38"/>
      <c r="P42" s="38">
        <f>SUM(P8:P41)</f>
        <v>18000</v>
      </c>
      <c r="Q42" s="38"/>
      <c r="R42" s="38">
        <f>SUM(R8:R41)</f>
        <v>1465</v>
      </c>
      <c r="S42" s="38"/>
      <c r="T42" s="38">
        <f>SUM(T8:T41)</f>
        <v>300</v>
      </c>
      <c r="U42" s="38"/>
      <c r="V42" s="38">
        <f>SUM(V8:V41)</f>
        <v>0</v>
      </c>
      <c r="W42" s="38"/>
      <c r="X42" s="38">
        <f>SUM(X8:X41)</f>
        <v>34650</v>
      </c>
      <c r="Z42" s="38">
        <f>SUM(Z8:Z41)</f>
        <v>332</v>
      </c>
      <c r="AB42" s="38">
        <f>SUM(AB8:AB41)</f>
        <v>50</v>
      </c>
      <c r="AD42" s="38">
        <f>SUM(AD8:AD41)</f>
        <v>200</v>
      </c>
      <c r="AF42" s="38">
        <f>SUM(AF8:AF41)</f>
        <v>0</v>
      </c>
      <c r="AH42" s="38">
        <f>SUM(AH8:AH41)</f>
        <v>200</v>
      </c>
      <c r="AJ42" s="38">
        <f>SUM(AJ8:AJ41)</f>
        <v>0</v>
      </c>
      <c r="AL42" s="38">
        <f>SUM(AL8:AL41)</f>
        <v>0</v>
      </c>
      <c r="AN42" s="38">
        <f>SUM(AN8:AN41)</f>
        <v>0</v>
      </c>
      <c r="AQ42" s="38" t="s">
        <v>604</v>
      </c>
      <c r="AR42" s="38">
        <v>2</v>
      </c>
    </row>
    <row r="43" spans="1:46" ht="13">
      <c r="A43" s="179" t="s">
        <v>423</v>
      </c>
      <c r="B43" s="180"/>
      <c r="F43" s="82"/>
      <c r="G43" s="82"/>
      <c r="H43" s="82"/>
      <c r="I43" s="82"/>
      <c r="J43" s="82"/>
      <c r="K43" s="82"/>
      <c r="L43" s="82"/>
      <c r="M43" s="82"/>
      <c r="N43" s="82"/>
      <c r="O43" s="82"/>
      <c r="P43" s="82"/>
      <c r="Q43" s="82"/>
      <c r="R43" s="82"/>
      <c r="S43" s="82"/>
      <c r="T43" s="82"/>
      <c r="U43" s="82"/>
      <c r="V43" s="82"/>
      <c r="W43" s="82"/>
      <c r="X43" s="82"/>
      <c r="Z43" s="82"/>
      <c r="AB43" s="82"/>
      <c r="AD43" s="82"/>
      <c r="AF43" s="82"/>
      <c r="AH43" s="82"/>
      <c r="AQ43" s="82"/>
      <c r="AR43" s="82"/>
    </row>
    <row r="44" spans="1:46" s="4" customFormat="1" ht="13.5" customHeight="1">
      <c r="A44" s="14" t="s">
        <v>424</v>
      </c>
      <c r="F44" s="12"/>
      <c r="G44" s="12"/>
      <c r="H44" s="12"/>
      <c r="I44" s="12"/>
      <c r="J44" s="12"/>
      <c r="K44" s="12"/>
      <c r="L44" s="12"/>
      <c r="M44" s="12"/>
      <c r="N44" s="12"/>
      <c r="O44"/>
      <c r="P44" s="12"/>
      <c r="Q44" s="12"/>
      <c r="R44" s="12"/>
      <c r="S44" s="12"/>
      <c r="T44" s="12"/>
      <c r="U44" s="12"/>
      <c r="V44" s="12"/>
      <c r="X44" s="12"/>
      <c r="Z44" s="12"/>
      <c r="AB44" s="12"/>
      <c r="AD44" s="12"/>
      <c r="AF44" s="12"/>
      <c r="AG44" s="12"/>
      <c r="AH44" s="12"/>
    </row>
    <row r="45" spans="1:46" s="17" customFormat="1" ht="13.5" customHeight="1">
      <c r="A45" s="17" t="s">
        <v>419</v>
      </c>
      <c r="C45" s="17" t="s">
        <v>387</v>
      </c>
      <c r="D45" s="17" t="s">
        <v>378</v>
      </c>
      <c r="E45" s="17" t="s">
        <v>425</v>
      </c>
      <c r="F45" s="15">
        <v>7</v>
      </c>
      <c r="G45" s="15">
        <v>16</v>
      </c>
      <c r="H45" s="15">
        <v>0</v>
      </c>
      <c r="I45" s="15">
        <v>28</v>
      </c>
      <c r="J45" s="15">
        <f>G45-H45</f>
        <v>16</v>
      </c>
      <c r="K45" s="15" t="s">
        <v>469</v>
      </c>
      <c r="L45" s="15"/>
      <c r="M45" s="15"/>
      <c r="N45" s="96"/>
      <c r="O45" s="95"/>
      <c r="P45" s="15"/>
      <c r="Q45" s="15"/>
      <c r="R45" s="15">
        <v>120</v>
      </c>
      <c r="S45" s="15" t="s">
        <v>611</v>
      </c>
      <c r="V45" s="15"/>
      <c r="W45" s="15"/>
      <c r="X45" s="15">
        <v>120</v>
      </c>
      <c r="Y45" s="15"/>
      <c r="AD45" s="15"/>
      <c r="AE45" s="15"/>
      <c r="AF45" s="15"/>
      <c r="AG45" s="15"/>
      <c r="AH45" s="15"/>
      <c r="AP45" s="15"/>
      <c r="AQ45" s="15"/>
      <c r="AR45" s="15"/>
      <c r="AS45" s="15"/>
    </row>
    <row r="46" spans="1:46" s="4" customFormat="1" ht="13.5" customHeight="1">
      <c r="F46" s="12">
        <f>SUM(F45:F45)+F42</f>
        <v>250</v>
      </c>
      <c r="G46" s="12">
        <f>SUM(G45:G45)+G42</f>
        <v>781</v>
      </c>
      <c r="H46" s="12">
        <f>SUM(H45:H45)+H42</f>
        <v>541</v>
      </c>
      <c r="I46" s="12">
        <f>SUM(I45:I45)+I42</f>
        <v>3547</v>
      </c>
      <c r="J46" s="12"/>
      <c r="K46" s="12"/>
      <c r="L46" s="12">
        <f>SUM(L45:L45)+L42</f>
        <v>500</v>
      </c>
      <c r="M46" s="12"/>
      <c r="N46" s="12">
        <f>SUM(N45:N45)+N42</f>
        <v>16400</v>
      </c>
      <c r="O46"/>
      <c r="P46" s="12">
        <f>SUM(P45:P45)+P42</f>
        <v>18000</v>
      </c>
      <c r="Q46" s="12"/>
      <c r="R46" s="12">
        <f>SUM(R45:R45)+R42</f>
        <v>1585</v>
      </c>
      <c r="S46" s="12"/>
      <c r="T46" s="12">
        <f>SUM(T45:T45)+T42</f>
        <v>300</v>
      </c>
      <c r="V46" s="12">
        <f>SUM(V45:V45)+V42</f>
        <v>0</v>
      </c>
      <c r="W46" s="12"/>
      <c r="X46" s="12">
        <f>SUM(X45:X45)+X42</f>
        <v>34770</v>
      </c>
      <c r="Z46" s="12">
        <f>SUM(Z45:Z45)+Z42</f>
        <v>332</v>
      </c>
      <c r="AB46" s="12">
        <f>SUM(AB45:AB45)+AB42</f>
        <v>50</v>
      </c>
      <c r="AD46" s="12">
        <f>SUM(AD45:AD45)+AD42</f>
        <v>200</v>
      </c>
      <c r="AE46" s="12"/>
      <c r="AF46" s="12">
        <f>SUM(AF45:AF45)+AF42</f>
        <v>0</v>
      </c>
      <c r="AG46" s="12"/>
      <c r="AH46" s="12">
        <f>SUM(AH45:AH45)+AH42</f>
        <v>200</v>
      </c>
      <c r="AJ46" s="12">
        <f>SUM(AJ45:AJ45)+AJ42</f>
        <v>0</v>
      </c>
      <c r="AL46" s="12">
        <f>SUM(AL45:AL45)+AL42</f>
        <v>0</v>
      </c>
      <c r="AN46" s="12">
        <f>SUM(AN45:AN45)+AN42</f>
        <v>0</v>
      </c>
      <c r="AP46" s="12"/>
      <c r="AQ46" s="38" t="s">
        <v>604</v>
      </c>
      <c r="AR46" s="12">
        <v>2</v>
      </c>
      <c r="AS46" s="12"/>
      <c r="AT46" s="12"/>
    </row>
    <row r="47" spans="1:46">
      <c r="F47" s="82"/>
      <c r="G47" s="82"/>
      <c r="H47" s="82"/>
      <c r="I47" s="82"/>
      <c r="J47" s="82"/>
      <c r="K47" s="82"/>
      <c r="L47" s="82"/>
      <c r="M47" s="82"/>
      <c r="N47" s="82"/>
      <c r="O47" s="82"/>
      <c r="P47" s="82"/>
      <c r="Q47" s="82"/>
      <c r="R47" s="82"/>
      <c r="S47" s="82"/>
      <c r="T47" s="82"/>
      <c r="U47" s="82"/>
      <c r="V47" s="82"/>
      <c r="W47" s="82"/>
      <c r="X47" s="82"/>
      <c r="Z47" s="82"/>
      <c r="AB47" s="82"/>
      <c r="AD47" s="82"/>
      <c r="AF47" s="82"/>
      <c r="AH47" s="82"/>
      <c r="AQ47" s="82"/>
      <c r="AR47" s="82"/>
    </row>
    <row r="49" spans="1:44">
      <c r="F49" s="82"/>
      <c r="G49" s="82"/>
      <c r="H49" s="82"/>
      <c r="I49" s="82"/>
      <c r="J49" s="82"/>
      <c r="K49" s="82"/>
      <c r="L49" s="82"/>
      <c r="M49" s="82"/>
      <c r="N49" s="82"/>
      <c r="O49" s="82"/>
      <c r="P49" s="82"/>
      <c r="Q49" s="82"/>
      <c r="R49" s="82"/>
      <c r="S49" s="82"/>
      <c r="T49" s="82"/>
      <c r="U49" s="82"/>
      <c r="V49" s="82"/>
      <c r="W49" s="82"/>
      <c r="X49" s="82"/>
    </row>
    <row r="50" spans="1:44" ht="13" customHeight="1">
      <c r="A50" s="176" t="s">
        <v>427</v>
      </c>
      <c r="B50" s="176"/>
      <c r="C50" s="176"/>
      <c r="D50" s="176"/>
      <c r="E50" s="39" t="s">
        <v>614</v>
      </c>
      <c r="F50" s="86">
        <f>208-(IF(E9="vCSA8.0", 2, 1))</f>
        <v>207</v>
      </c>
      <c r="G50" s="86">
        <f>6*(256-(IF(E9="vCSA8.0",12,8)))+2*(384-(IF(E9="vCSA8.0",12,8)))</f>
        <v>2240</v>
      </c>
      <c r="H50" s="164" t="str">
        <f>"Note1: The hardware resource pool provided here corresponds only to MantaRay NM virtual machines. If optional virtual machines are used then plan for the hardware resources accordingly.
Note2: ESXi reserves " &amp; IF(E9="vCSA8.0", 12, 8) &amp;" GB Memory for internal purpose
Note3: "&amp; IF(E9="vCSA8.0", 2, 1) &amp; " CPU is used by vSphere "&amp; IF(E9="vCSA8.0", "8.0", "7.0 U1") &amp;" onwards for internal functionality."</f>
        <v>Note1: The hardware resource pool provided here corresponds only to MantaRay NM virtual machines. If optional virtual machines are used then plan for the hardware resources accordingly.
Note2: ESXi reserves 8 GB Memory for internal purpose
Note3: 1 CPU is used by vSphere 7.0 U1 onwards for internal functionality.</v>
      </c>
      <c r="I50" s="164"/>
      <c r="J50" s="164"/>
      <c r="K50" s="164"/>
      <c r="L50" s="164"/>
      <c r="M50" s="164"/>
      <c r="N50" s="164"/>
      <c r="O50" s="164"/>
      <c r="P50" s="40"/>
      <c r="Q50" s="40"/>
      <c r="R50" s="40"/>
      <c r="S50" s="40"/>
      <c r="T50" s="40"/>
      <c r="U50" s="40"/>
      <c r="V50" s="40"/>
      <c r="W50" s="40"/>
      <c r="X50" s="40"/>
      <c r="Y50" s="40"/>
      <c r="Z50" s="40"/>
      <c r="AA50" s="40"/>
      <c r="AB50" s="40"/>
      <c r="AC50" s="40"/>
      <c r="AD50" s="40"/>
      <c r="AE50" s="40"/>
      <c r="AF50" s="40"/>
      <c r="AG50" s="40"/>
      <c r="AH50" s="40"/>
      <c r="AI50" s="40"/>
      <c r="AJ50" s="40"/>
      <c r="AK50" s="40"/>
      <c r="AL50" s="40"/>
      <c r="AM50" s="40"/>
      <c r="AN50" s="40"/>
      <c r="AO50" s="40"/>
      <c r="AP50" s="40"/>
      <c r="AQ50" s="40"/>
      <c r="AR50" s="40"/>
    </row>
    <row r="51" spans="1:44" ht="13" customHeight="1">
      <c r="A51" s="176"/>
      <c r="B51" s="176"/>
      <c r="C51" s="176"/>
      <c r="D51" s="176"/>
      <c r="E51" s="23" t="s">
        <v>615</v>
      </c>
      <c r="F51" s="86">
        <f>160-(IF(E9="vCSA8.0", 2, 1))</f>
        <v>159</v>
      </c>
      <c r="G51" s="86">
        <f>5*(384-(IF(E9="vCSA8.0", 12, 8)))</f>
        <v>1880</v>
      </c>
      <c r="H51" s="164"/>
      <c r="I51" s="164"/>
      <c r="J51" s="164"/>
      <c r="K51" s="164"/>
      <c r="L51" s="164"/>
      <c r="M51" s="164"/>
      <c r="N51" s="164"/>
      <c r="O51" s="164"/>
      <c r="P51" s="40"/>
      <c r="Q51" s="40"/>
      <c r="R51" s="40"/>
      <c r="S51" s="40"/>
      <c r="T51" s="40"/>
      <c r="U51" s="40"/>
      <c r="V51" s="40"/>
      <c r="W51" s="40"/>
      <c r="X51" s="40"/>
      <c r="Y51" s="40"/>
      <c r="Z51" s="40"/>
      <c r="AA51" s="40"/>
      <c r="AB51" s="40"/>
      <c r="AC51" s="40"/>
      <c r="AD51" s="40"/>
      <c r="AE51" s="40"/>
      <c r="AF51" s="40"/>
      <c r="AG51" s="40"/>
      <c r="AH51" s="40"/>
      <c r="AI51" s="40"/>
      <c r="AJ51" s="40"/>
      <c r="AK51" s="40"/>
      <c r="AL51" s="40"/>
      <c r="AM51" s="40"/>
      <c r="AN51" s="40"/>
      <c r="AO51" s="40"/>
      <c r="AP51" s="40"/>
      <c r="AQ51" s="40"/>
      <c r="AR51" s="40"/>
    </row>
    <row r="52" spans="1:44" s="40" customFormat="1" ht="13" customHeight="1">
      <c r="E52" s="39" t="s">
        <v>616</v>
      </c>
      <c r="F52" s="86">
        <f>(5*2*28)-(IF(E9="vCSA8.0", 2, 1))</f>
        <v>279</v>
      </c>
      <c r="G52" s="86">
        <f>5*(512-(IF(E9="vCSA8.0", 12, 8)))</f>
        <v>2520</v>
      </c>
      <c r="H52" s="164"/>
      <c r="I52" s="164"/>
      <c r="J52" s="164"/>
      <c r="K52" s="164"/>
      <c r="L52" s="164"/>
      <c r="M52" s="164"/>
      <c r="N52" s="164"/>
      <c r="O52" s="164"/>
    </row>
    <row r="53" spans="1:44" ht="13" customHeight="1">
      <c r="A53" s="40"/>
      <c r="B53" s="40"/>
      <c r="C53" s="40"/>
      <c r="D53" s="40"/>
      <c r="E53" s="39" t="s">
        <v>617</v>
      </c>
      <c r="F53" s="86">
        <f>(5*2*28)-(IF(E9="vCSA8.0", 2, 1))</f>
        <v>279</v>
      </c>
      <c r="G53" s="86">
        <f>5*(512-(IF(E9="vCSA8.0", 12, 8)))</f>
        <v>2520</v>
      </c>
      <c r="H53" s="164"/>
      <c r="I53" s="164"/>
      <c r="J53" s="164"/>
      <c r="K53" s="164"/>
      <c r="L53" s="164"/>
      <c r="M53" s="164"/>
      <c r="N53" s="164"/>
      <c r="O53" s="164"/>
      <c r="P53" s="40"/>
    </row>
    <row r="54" spans="1:44" ht="13" customHeight="1">
      <c r="A54" s="40"/>
      <c r="B54" s="40"/>
      <c r="C54" s="40"/>
      <c r="D54" s="40"/>
      <c r="E54" s="39" t="s">
        <v>564</v>
      </c>
      <c r="F54" s="86">
        <f>(4*2*32)-(IF(E9="vCSA8.0", 2, 1))</f>
        <v>255</v>
      </c>
      <c r="G54" s="86">
        <f>4*(512-(IF(E9="vCSA8.0", 12, 8)))</f>
        <v>2016</v>
      </c>
      <c r="H54" s="84"/>
      <c r="I54" s="84"/>
      <c r="J54" s="84"/>
      <c r="K54" s="84"/>
      <c r="L54" s="84"/>
      <c r="M54" s="84"/>
      <c r="N54" s="84"/>
      <c r="O54" s="84"/>
      <c r="P54" s="40"/>
    </row>
    <row r="55" spans="1:44" ht="14.5">
      <c r="B55"/>
      <c r="C55"/>
      <c r="D55"/>
      <c r="E55"/>
      <c r="F55" s="81"/>
      <c r="I55"/>
      <c r="J55"/>
      <c r="K55"/>
      <c r="L55"/>
      <c r="M55"/>
      <c r="N55"/>
      <c r="O55"/>
      <c r="P55" s="40"/>
    </row>
    <row r="56" spans="1:44" ht="14.5">
      <c r="B56"/>
      <c r="C56"/>
      <c r="D56"/>
      <c r="E56"/>
      <c r="F56" s="81"/>
      <c r="G56" s="118"/>
      <c r="H56"/>
      <c r="I56"/>
      <c r="J56"/>
      <c r="K56"/>
      <c r="L56"/>
      <c r="M56"/>
      <c r="N56"/>
      <c r="O56"/>
    </row>
    <row r="57" spans="1:44" ht="13">
      <c r="A57" s="14" t="s">
        <v>430</v>
      </c>
    </row>
    <row r="58" spans="1:44">
      <c r="A58" s="33" t="s">
        <v>431</v>
      </c>
      <c r="C58" s="33" t="s">
        <v>387</v>
      </c>
      <c r="D58" s="33" t="s">
        <v>378</v>
      </c>
      <c r="E58" s="33" t="s">
        <v>21</v>
      </c>
      <c r="F58" s="82">
        <v>16</v>
      </c>
      <c r="G58" s="82">
        <v>64</v>
      </c>
      <c r="H58" s="82">
        <v>0</v>
      </c>
      <c r="I58" s="12">
        <v>71</v>
      </c>
      <c r="J58" s="82">
        <f t="shared" ref="J58:J88" si="2">G58-H58</f>
        <v>64</v>
      </c>
      <c r="K58" s="82"/>
      <c r="AP58" s="82" t="s">
        <v>380</v>
      </c>
      <c r="AQ58" s="82" t="s">
        <v>381</v>
      </c>
      <c r="AR58" s="82"/>
    </row>
    <row r="59" spans="1:44">
      <c r="A59" s="33" t="s">
        <v>590</v>
      </c>
      <c r="C59" s="33" t="s">
        <v>387</v>
      </c>
      <c r="D59" s="19" t="s">
        <v>434</v>
      </c>
      <c r="E59" s="4" t="s">
        <v>89</v>
      </c>
      <c r="F59" s="82">
        <v>4</v>
      </c>
      <c r="G59" s="82">
        <v>4</v>
      </c>
      <c r="H59" s="82">
        <v>0</v>
      </c>
      <c r="I59" s="82">
        <v>100</v>
      </c>
      <c r="J59" s="82">
        <f>G59-H59</f>
        <v>4</v>
      </c>
      <c r="K59" s="82" t="s">
        <v>470</v>
      </c>
      <c r="L59" s="82"/>
      <c r="M59" s="82"/>
      <c r="N59" s="82"/>
      <c r="O59" s="82"/>
      <c r="P59" s="82"/>
      <c r="Q59" s="82"/>
      <c r="R59" s="82"/>
      <c r="S59" s="82"/>
      <c r="T59" s="82"/>
      <c r="U59" s="82"/>
      <c r="V59" s="82"/>
      <c r="W59" s="82"/>
      <c r="X59" s="82"/>
      <c r="Y59" s="82"/>
      <c r="Z59" s="82"/>
      <c r="AA59" s="82"/>
      <c r="AB59" s="82"/>
      <c r="AC59" s="82"/>
      <c r="AD59" s="82"/>
      <c r="AE59" s="82"/>
      <c r="AF59" s="82"/>
      <c r="AG59" s="82"/>
      <c r="AH59" s="82"/>
      <c r="AI59" s="82"/>
      <c r="AJ59" s="82"/>
      <c r="AK59" s="82"/>
      <c r="AL59" s="82"/>
      <c r="AM59" s="82"/>
      <c r="AN59" s="82"/>
      <c r="AO59" s="82"/>
      <c r="AP59" s="82" t="s">
        <v>380</v>
      </c>
      <c r="AQ59" s="82" t="s">
        <v>381</v>
      </c>
      <c r="AR59" s="82"/>
    </row>
    <row r="60" spans="1:44">
      <c r="A60" s="33" t="s">
        <v>591</v>
      </c>
      <c r="C60" s="33" t="s">
        <v>387</v>
      </c>
      <c r="D60" s="19" t="s">
        <v>434</v>
      </c>
      <c r="E60" s="4" t="s">
        <v>97</v>
      </c>
      <c r="F60" s="82">
        <v>4</v>
      </c>
      <c r="G60" s="82">
        <v>16</v>
      </c>
      <c r="H60" s="82">
        <v>0</v>
      </c>
      <c r="I60" s="12">
        <v>110</v>
      </c>
      <c r="J60" s="82">
        <f>G60-H60</f>
        <v>16</v>
      </c>
      <c r="K60" s="82" t="s">
        <v>472</v>
      </c>
      <c r="L60" s="82"/>
      <c r="M60" s="82"/>
      <c r="N60" s="82"/>
      <c r="O60" s="82"/>
      <c r="P60" s="82"/>
      <c r="Q60" s="82"/>
      <c r="R60" s="82"/>
      <c r="S60" s="82"/>
      <c r="T60" s="82"/>
      <c r="U60" s="82"/>
      <c r="V60" s="82"/>
      <c r="W60" s="82"/>
      <c r="X60" s="82"/>
      <c r="Y60" s="82"/>
      <c r="Z60" s="82"/>
      <c r="AA60" s="82"/>
      <c r="AB60" s="82"/>
      <c r="AC60" s="82"/>
      <c r="AD60" s="82"/>
      <c r="AE60" s="82"/>
      <c r="AF60" s="82"/>
      <c r="AG60" s="82"/>
      <c r="AH60" s="82"/>
      <c r="AI60" s="82"/>
      <c r="AJ60" s="82"/>
      <c r="AK60" s="82"/>
      <c r="AL60" s="82"/>
      <c r="AM60" s="82"/>
      <c r="AN60" s="82"/>
      <c r="AO60" s="82"/>
      <c r="AP60" s="82" t="s">
        <v>380</v>
      </c>
      <c r="AQ60" s="82" t="s">
        <v>381</v>
      </c>
      <c r="AR60" s="82"/>
    </row>
    <row r="61" spans="1:44">
      <c r="A61" s="33" t="s">
        <v>436</v>
      </c>
      <c r="C61" s="33" t="s">
        <v>387</v>
      </c>
      <c r="D61" s="19" t="s">
        <v>434</v>
      </c>
      <c r="E61" s="4" t="s">
        <v>93</v>
      </c>
      <c r="F61" s="82">
        <v>4</v>
      </c>
      <c r="G61" s="82">
        <v>14</v>
      </c>
      <c r="H61" s="82">
        <v>0</v>
      </c>
      <c r="I61" s="12">
        <v>120</v>
      </c>
      <c r="J61" s="82">
        <f>G61-H61</f>
        <v>14</v>
      </c>
      <c r="K61" s="12" t="s">
        <v>470</v>
      </c>
      <c r="L61" s="82"/>
      <c r="M61" s="82"/>
      <c r="N61" s="82"/>
      <c r="O61" s="82"/>
      <c r="P61" s="82"/>
      <c r="Q61" s="82"/>
      <c r="R61" s="82"/>
      <c r="S61" s="82"/>
      <c r="T61" s="82"/>
      <c r="U61" s="82"/>
      <c r="V61" s="82"/>
      <c r="W61" s="82"/>
      <c r="X61" s="82"/>
      <c r="Y61" s="82"/>
      <c r="Z61" s="82"/>
      <c r="AA61" s="82"/>
      <c r="AB61" s="82"/>
      <c r="AC61" s="82"/>
      <c r="AD61" s="82"/>
      <c r="AE61" s="82"/>
      <c r="AF61" s="82"/>
      <c r="AG61" s="82"/>
      <c r="AH61" s="82"/>
      <c r="AI61" s="82"/>
      <c r="AJ61" s="82"/>
      <c r="AK61" s="82"/>
      <c r="AL61" s="82"/>
      <c r="AM61" s="82"/>
      <c r="AN61" s="82"/>
      <c r="AO61" s="82"/>
      <c r="AP61" s="82" t="s">
        <v>380</v>
      </c>
      <c r="AQ61" s="82" t="s">
        <v>381</v>
      </c>
      <c r="AR61" s="82"/>
    </row>
    <row r="62" spans="1:44">
      <c r="A62" s="33" t="s">
        <v>481</v>
      </c>
      <c r="C62" s="33" t="s">
        <v>387</v>
      </c>
      <c r="D62" s="19" t="s">
        <v>434</v>
      </c>
      <c r="E62" s="4" t="s">
        <v>89</v>
      </c>
      <c r="F62" s="82">
        <v>4</v>
      </c>
      <c r="G62" s="82">
        <v>4</v>
      </c>
      <c r="H62" s="82">
        <v>0</v>
      </c>
      <c r="I62" s="82">
        <v>100</v>
      </c>
      <c r="J62" s="82">
        <f t="shared" si="2"/>
        <v>4</v>
      </c>
      <c r="K62" s="82"/>
      <c r="AP62" s="82" t="s">
        <v>380</v>
      </c>
      <c r="AQ62" s="82" t="s">
        <v>381</v>
      </c>
      <c r="AR62" s="82"/>
    </row>
    <row r="63" spans="1:44">
      <c r="A63" s="33" t="s">
        <v>437</v>
      </c>
      <c r="C63" s="33" t="s">
        <v>387</v>
      </c>
      <c r="D63" s="19" t="s">
        <v>434</v>
      </c>
      <c r="E63" s="4" t="s">
        <v>97</v>
      </c>
      <c r="F63" s="82">
        <v>4</v>
      </c>
      <c r="G63" s="82">
        <v>16</v>
      </c>
      <c r="H63" s="82">
        <v>0</v>
      </c>
      <c r="I63" s="82">
        <v>100</v>
      </c>
      <c r="J63" s="82">
        <f t="shared" si="2"/>
        <v>16</v>
      </c>
      <c r="K63" s="82"/>
      <c r="AP63" s="82" t="s">
        <v>380</v>
      </c>
      <c r="AQ63" s="82" t="s">
        <v>381</v>
      </c>
      <c r="AR63" s="82"/>
    </row>
    <row r="64" spans="1:44">
      <c r="A64" s="33" t="s">
        <v>482</v>
      </c>
      <c r="C64" s="33" t="s">
        <v>387</v>
      </c>
      <c r="D64" s="19" t="s">
        <v>434</v>
      </c>
      <c r="E64" s="4" t="s">
        <v>97</v>
      </c>
      <c r="F64" s="82">
        <v>4</v>
      </c>
      <c r="G64" s="82">
        <v>16</v>
      </c>
      <c r="H64" s="82">
        <v>0</v>
      </c>
      <c r="I64" s="82">
        <v>100</v>
      </c>
      <c r="J64" s="82">
        <f t="shared" si="2"/>
        <v>16</v>
      </c>
      <c r="K64" s="82"/>
      <c r="AP64" s="82" t="s">
        <v>380</v>
      </c>
      <c r="AQ64" s="82" t="s">
        <v>381</v>
      </c>
      <c r="AR64" s="82"/>
    </row>
    <row r="65" spans="1:44">
      <c r="A65" s="33" t="s">
        <v>568</v>
      </c>
      <c r="C65" s="33" t="s">
        <v>387</v>
      </c>
      <c r="D65" s="19" t="s">
        <v>434</v>
      </c>
      <c r="E65" s="4" t="s">
        <v>97</v>
      </c>
      <c r="F65" s="82">
        <v>4</v>
      </c>
      <c r="G65" s="82">
        <v>16</v>
      </c>
      <c r="H65" s="82">
        <v>0</v>
      </c>
      <c r="I65" s="82">
        <v>100</v>
      </c>
      <c r="J65" s="82">
        <f t="shared" si="2"/>
        <v>16</v>
      </c>
      <c r="K65" s="82"/>
      <c r="AP65" s="82" t="s">
        <v>380</v>
      </c>
      <c r="AQ65" s="82" t="s">
        <v>381</v>
      </c>
      <c r="AR65" s="82"/>
    </row>
    <row r="66" spans="1:44">
      <c r="A66" s="33" t="s">
        <v>569</v>
      </c>
      <c r="C66" s="33" t="s">
        <v>387</v>
      </c>
      <c r="D66" s="19" t="s">
        <v>434</v>
      </c>
      <c r="E66" s="4" t="s">
        <v>97</v>
      </c>
      <c r="F66" s="82">
        <v>4</v>
      </c>
      <c r="G66" s="82">
        <v>16</v>
      </c>
      <c r="H66" s="82">
        <v>0</v>
      </c>
      <c r="I66" s="82">
        <v>100</v>
      </c>
      <c r="J66" s="82">
        <f t="shared" si="2"/>
        <v>16</v>
      </c>
      <c r="K66" s="82"/>
      <c r="AP66" s="82" t="s">
        <v>380</v>
      </c>
      <c r="AQ66" s="82" t="s">
        <v>381</v>
      </c>
      <c r="AR66" s="82"/>
    </row>
    <row r="67" spans="1:44">
      <c r="A67" s="33" t="s">
        <v>592</v>
      </c>
      <c r="C67" s="33" t="s">
        <v>387</v>
      </c>
      <c r="D67" s="19" t="s">
        <v>434</v>
      </c>
      <c r="E67" s="4" t="s">
        <v>97</v>
      </c>
      <c r="F67" s="82">
        <v>4</v>
      </c>
      <c r="G67" s="82">
        <v>16</v>
      </c>
      <c r="H67" s="82">
        <v>0</v>
      </c>
      <c r="I67" s="82">
        <v>100</v>
      </c>
      <c r="J67" s="82">
        <f t="shared" si="2"/>
        <v>16</v>
      </c>
      <c r="K67" s="82"/>
      <c r="AP67" s="82" t="s">
        <v>380</v>
      </c>
      <c r="AQ67" s="82" t="s">
        <v>381</v>
      </c>
      <c r="AR67" s="82"/>
    </row>
    <row r="68" spans="1:44">
      <c r="A68" s="33" t="s">
        <v>593</v>
      </c>
      <c r="C68" s="33" t="s">
        <v>387</v>
      </c>
      <c r="D68" s="19" t="s">
        <v>434</v>
      </c>
      <c r="E68" s="4" t="s">
        <v>97</v>
      </c>
      <c r="F68" s="82">
        <v>4</v>
      </c>
      <c r="G68" s="82">
        <v>16</v>
      </c>
      <c r="H68" s="82">
        <v>0</v>
      </c>
      <c r="I68" s="82">
        <v>100</v>
      </c>
      <c r="J68" s="82">
        <f t="shared" si="2"/>
        <v>16</v>
      </c>
      <c r="K68" s="82"/>
      <c r="AP68" s="82" t="s">
        <v>380</v>
      </c>
      <c r="AQ68" s="82" t="s">
        <v>381</v>
      </c>
      <c r="AR68" s="82"/>
    </row>
    <row r="69" spans="1:44">
      <c r="A69" s="33" t="s">
        <v>594</v>
      </c>
      <c r="C69" s="33" t="s">
        <v>387</v>
      </c>
      <c r="D69" s="19" t="s">
        <v>434</v>
      </c>
      <c r="E69" s="4" t="s">
        <v>97</v>
      </c>
      <c r="F69" s="82">
        <v>4</v>
      </c>
      <c r="G69" s="82">
        <v>16</v>
      </c>
      <c r="H69" s="82">
        <v>0</v>
      </c>
      <c r="I69" s="82">
        <v>100</v>
      </c>
      <c r="J69" s="82">
        <f t="shared" si="2"/>
        <v>16</v>
      </c>
      <c r="K69" s="82"/>
      <c r="AP69" s="82" t="s">
        <v>380</v>
      </c>
      <c r="AQ69" s="82" t="s">
        <v>381</v>
      </c>
      <c r="AR69" s="82"/>
    </row>
    <row r="70" spans="1:44">
      <c r="A70" s="33" t="s">
        <v>483</v>
      </c>
      <c r="C70" s="33" t="s">
        <v>387</v>
      </c>
      <c r="D70" s="19" t="s">
        <v>434</v>
      </c>
      <c r="E70" s="4" t="s">
        <v>93</v>
      </c>
      <c r="F70" s="82">
        <v>4</v>
      </c>
      <c r="G70" s="82">
        <v>14</v>
      </c>
      <c r="H70" s="82">
        <v>0</v>
      </c>
      <c r="I70" s="12">
        <v>120</v>
      </c>
      <c r="J70" s="82">
        <f t="shared" si="2"/>
        <v>14</v>
      </c>
      <c r="K70" s="82"/>
      <c r="AP70" s="82" t="s">
        <v>380</v>
      </c>
      <c r="AQ70" s="82" t="s">
        <v>381</v>
      </c>
      <c r="AR70" s="82"/>
    </row>
    <row r="71" spans="1:44">
      <c r="A71" s="33" t="s">
        <v>595</v>
      </c>
      <c r="C71" s="33" t="s">
        <v>387</v>
      </c>
      <c r="D71" s="19" t="s">
        <v>434</v>
      </c>
      <c r="E71" s="4" t="s">
        <v>97</v>
      </c>
      <c r="F71" s="82">
        <v>4</v>
      </c>
      <c r="G71" s="82">
        <v>16</v>
      </c>
      <c r="H71" s="82">
        <v>0</v>
      </c>
      <c r="I71" s="82">
        <v>100</v>
      </c>
      <c r="J71" s="82">
        <f t="shared" si="2"/>
        <v>16</v>
      </c>
      <c r="K71" s="82"/>
      <c r="AP71" s="82" t="s">
        <v>380</v>
      </c>
      <c r="AQ71" s="82" t="s">
        <v>381</v>
      </c>
      <c r="AR71" s="82"/>
    </row>
    <row r="72" spans="1:44">
      <c r="A72" s="33" t="s">
        <v>438</v>
      </c>
      <c r="C72" s="33" t="s">
        <v>387</v>
      </c>
      <c r="D72" s="33" t="s">
        <v>378</v>
      </c>
      <c r="E72" s="33" t="s">
        <v>32</v>
      </c>
      <c r="F72" s="82">
        <v>6</v>
      </c>
      <c r="G72" s="82">
        <v>20</v>
      </c>
      <c r="H72" s="82">
        <v>0</v>
      </c>
      <c r="I72" s="82">
        <v>201</v>
      </c>
      <c r="J72" s="82">
        <f t="shared" si="2"/>
        <v>20</v>
      </c>
      <c r="K72" s="82"/>
      <c r="AP72" s="82" t="s">
        <v>380</v>
      </c>
      <c r="AQ72" s="82" t="s">
        <v>381</v>
      </c>
      <c r="AR72" s="82"/>
    </row>
    <row r="73" spans="1:44">
      <c r="A73" s="33" t="s">
        <v>439</v>
      </c>
      <c r="C73" s="33" t="s">
        <v>387</v>
      </c>
      <c r="D73" s="33" t="s">
        <v>378</v>
      </c>
      <c r="E73" s="33" t="s">
        <v>32</v>
      </c>
      <c r="F73" s="82">
        <v>6</v>
      </c>
      <c r="G73" s="82">
        <v>20</v>
      </c>
      <c r="H73" s="82">
        <v>0</v>
      </c>
      <c r="I73" s="82">
        <v>201</v>
      </c>
      <c r="J73" s="82">
        <f t="shared" si="2"/>
        <v>20</v>
      </c>
      <c r="K73" s="82"/>
      <c r="AP73" s="82" t="s">
        <v>380</v>
      </c>
      <c r="AQ73" s="82" t="s">
        <v>381</v>
      </c>
      <c r="AR73" s="82"/>
    </row>
    <row r="74" spans="1:44">
      <c r="A74" s="33" t="s">
        <v>570</v>
      </c>
      <c r="C74" s="33" t="s">
        <v>387</v>
      </c>
      <c r="D74" s="33" t="s">
        <v>378</v>
      </c>
      <c r="E74" s="33" t="s">
        <v>32</v>
      </c>
      <c r="F74" s="82">
        <v>6</v>
      </c>
      <c r="G74" s="82">
        <v>20</v>
      </c>
      <c r="H74" s="82">
        <v>0</v>
      </c>
      <c r="I74" s="82">
        <v>201</v>
      </c>
      <c r="J74" s="82">
        <f t="shared" si="2"/>
        <v>20</v>
      </c>
      <c r="K74" s="82"/>
      <c r="AP74" s="82" t="s">
        <v>380</v>
      </c>
      <c r="AQ74" s="82" t="s">
        <v>381</v>
      </c>
      <c r="AR74" s="82"/>
    </row>
    <row r="75" spans="1:44">
      <c r="A75" s="33" t="s">
        <v>571</v>
      </c>
      <c r="C75" s="33" t="s">
        <v>387</v>
      </c>
      <c r="D75" s="33" t="s">
        <v>378</v>
      </c>
      <c r="E75" s="33" t="s">
        <v>32</v>
      </c>
      <c r="F75" s="82">
        <v>6</v>
      </c>
      <c r="G75" s="82">
        <v>20</v>
      </c>
      <c r="H75" s="82">
        <v>0</v>
      </c>
      <c r="I75" s="82">
        <v>201</v>
      </c>
      <c r="J75" s="82">
        <f t="shared" si="2"/>
        <v>20</v>
      </c>
      <c r="K75" s="82"/>
      <c r="AP75" s="82" t="s">
        <v>380</v>
      </c>
      <c r="AQ75" s="82" t="s">
        <v>381</v>
      </c>
      <c r="AR75" s="82"/>
    </row>
    <row r="76" spans="1:44">
      <c r="A76" s="33" t="s">
        <v>440</v>
      </c>
      <c r="C76" s="33" t="s">
        <v>387</v>
      </c>
      <c r="D76" s="33" t="s">
        <v>378</v>
      </c>
      <c r="E76" s="33" t="s">
        <v>48</v>
      </c>
      <c r="F76" s="82">
        <v>2</v>
      </c>
      <c r="G76" s="82">
        <v>4</v>
      </c>
      <c r="H76" s="82">
        <v>0</v>
      </c>
      <c r="I76" s="82">
        <v>41</v>
      </c>
      <c r="J76" s="82">
        <f t="shared" si="2"/>
        <v>4</v>
      </c>
      <c r="K76" s="82"/>
      <c r="AP76" s="82" t="s">
        <v>380</v>
      </c>
      <c r="AQ76" s="82" t="s">
        <v>381</v>
      </c>
      <c r="AR76" s="82"/>
    </row>
    <row r="77" spans="1:44">
      <c r="A77" s="33" t="s">
        <v>441</v>
      </c>
      <c r="C77" s="33" t="s">
        <v>387</v>
      </c>
      <c r="D77" s="33" t="s">
        <v>378</v>
      </c>
      <c r="E77" s="33" t="s">
        <v>40</v>
      </c>
      <c r="F77" s="82">
        <v>2</v>
      </c>
      <c r="G77" s="82">
        <v>4</v>
      </c>
      <c r="H77" s="82">
        <v>0</v>
      </c>
      <c r="I77" s="82">
        <v>31</v>
      </c>
      <c r="J77" s="82">
        <f t="shared" si="2"/>
        <v>4</v>
      </c>
      <c r="K77" s="82"/>
      <c r="AP77" s="82" t="s">
        <v>380</v>
      </c>
      <c r="AQ77" s="82" t="s">
        <v>381</v>
      </c>
      <c r="AR77" s="82"/>
    </row>
    <row r="78" spans="1:44">
      <c r="A78" s="33" t="s">
        <v>442</v>
      </c>
      <c r="C78" s="33" t="s">
        <v>387</v>
      </c>
      <c r="D78" s="33" t="s">
        <v>378</v>
      </c>
      <c r="E78" s="33" t="s">
        <v>44</v>
      </c>
      <c r="F78" s="82">
        <v>4</v>
      </c>
      <c r="G78" s="82">
        <v>4</v>
      </c>
      <c r="H78" s="82">
        <v>0</v>
      </c>
      <c r="I78" s="82">
        <v>36</v>
      </c>
      <c r="J78" s="82">
        <f t="shared" si="2"/>
        <v>4</v>
      </c>
      <c r="K78" s="82"/>
      <c r="AP78" s="82" t="s">
        <v>380</v>
      </c>
      <c r="AQ78" s="82" t="s">
        <v>381</v>
      </c>
      <c r="AR78" s="82"/>
    </row>
    <row r="79" spans="1:44" ht="14.5">
      <c r="A79" s="33" t="s">
        <v>443</v>
      </c>
      <c r="C79" s="33" t="s">
        <v>387</v>
      </c>
      <c r="D79" s="33" t="s">
        <v>378</v>
      </c>
      <c r="E79" s="33" t="s">
        <v>247</v>
      </c>
      <c r="F79" s="82">
        <v>7</v>
      </c>
      <c r="G79" s="82">
        <v>8</v>
      </c>
      <c r="H79" s="82">
        <v>0</v>
      </c>
      <c r="I79" s="12">
        <v>111</v>
      </c>
      <c r="J79" s="82">
        <f t="shared" si="2"/>
        <v>8</v>
      </c>
      <c r="K79" s="42"/>
      <c r="L79" s="82"/>
      <c r="M79" s="82"/>
      <c r="N79" s="42"/>
      <c r="O79" s="41"/>
      <c r="P79" s="82"/>
      <c r="Q79" s="82"/>
      <c r="R79" s="82"/>
      <c r="S79" s="82"/>
      <c r="T79" s="82"/>
      <c r="U79" s="82"/>
      <c r="V79" s="82"/>
      <c r="X79" s="82"/>
      <c r="Z79" s="82"/>
      <c r="AA79" s="82"/>
      <c r="AB79" s="82"/>
      <c r="AC79" s="82"/>
      <c r="AD79" s="82"/>
      <c r="AE79" s="82"/>
      <c r="AF79" s="82"/>
      <c r="AG79" s="82"/>
      <c r="AH79" s="82"/>
      <c r="AI79" s="82"/>
      <c r="AJ79" s="82"/>
      <c r="AK79" s="82"/>
      <c r="AL79" s="82"/>
      <c r="AM79" s="82"/>
      <c r="AN79" s="82"/>
      <c r="AO79" s="82"/>
      <c r="AP79" s="82" t="s">
        <v>380</v>
      </c>
      <c r="AQ79" s="82" t="s">
        <v>381</v>
      </c>
      <c r="AR79" s="82" t="s">
        <v>381</v>
      </c>
    </row>
    <row r="80" spans="1:44" ht="14.5">
      <c r="A80" s="33" t="s">
        <v>596</v>
      </c>
      <c r="C80" s="33" t="s">
        <v>387</v>
      </c>
      <c r="D80" s="33" t="s">
        <v>378</v>
      </c>
      <c r="E80" s="33" t="s">
        <v>247</v>
      </c>
      <c r="F80" s="82">
        <v>6</v>
      </c>
      <c r="G80" s="82">
        <v>7</v>
      </c>
      <c r="H80" s="82">
        <v>0</v>
      </c>
      <c r="I80" s="12">
        <v>111</v>
      </c>
      <c r="J80" s="82">
        <f t="shared" si="2"/>
        <v>7</v>
      </c>
      <c r="K80" s="42"/>
      <c r="L80" s="82"/>
      <c r="M80" s="82"/>
      <c r="N80" s="42"/>
      <c r="O80" s="41"/>
      <c r="P80" s="82"/>
      <c r="Q80" s="82"/>
      <c r="R80" s="82"/>
      <c r="S80" s="82"/>
      <c r="T80" s="82"/>
      <c r="U80" s="82"/>
      <c r="V80" s="82"/>
      <c r="X80" s="82"/>
      <c r="Z80" s="82"/>
      <c r="AA80" s="82"/>
      <c r="AB80" s="82"/>
      <c r="AC80" s="82"/>
      <c r="AD80" s="82"/>
      <c r="AE80" s="82"/>
      <c r="AF80" s="82"/>
      <c r="AG80" s="82"/>
      <c r="AH80" s="82"/>
      <c r="AI80" s="82"/>
      <c r="AJ80" s="82"/>
      <c r="AK80" s="82"/>
      <c r="AL80" s="82"/>
      <c r="AM80" s="82"/>
      <c r="AN80" s="82"/>
      <c r="AO80" s="82"/>
      <c r="AP80" s="82" t="s">
        <v>380</v>
      </c>
      <c r="AQ80" s="82" t="s">
        <v>381</v>
      </c>
      <c r="AR80" s="82"/>
    </row>
    <row r="81" spans="1:46" ht="14.5">
      <c r="A81" s="4" t="s">
        <v>484</v>
      </c>
      <c r="B81" s="4"/>
      <c r="C81" s="4"/>
      <c r="D81" s="33" t="s">
        <v>378</v>
      </c>
      <c r="E81" s="4" t="s">
        <v>67</v>
      </c>
      <c r="F81" s="12">
        <v>2</v>
      </c>
      <c r="G81" s="12">
        <v>2</v>
      </c>
      <c r="H81" s="12">
        <v>0</v>
      </c>
      <c r="I81" s="12">
        <v>16</v>
      </c>
      <c r="J81" s="82">
        <f t="shared" si="2"/>
        <v>2</v>
      </c>
      <c r="K81" s="42"/>
      <c r="L81" s="82"/>
      <c r="M81" s="82"/>
      <c r="N81" s="42"/>
      <c r="O81" s="41"/>
      <c r="P81" s="82"/>
      <c r="Q81" s="82"/>
      <c r="R81" s="82"/>
      <c r="S81" s="82"/>
      <c r="T81" s="82"/>
      <c r="U81" s="82"/>
      <c r="V81" s="82"/>
      <c r="X81" s="82"/>
      <c r="Z81" s="82"/>
      <c r="AA81" s="82"/>
      <c r="AB81" s="82"/>
      <c r="AC81" s="82"/>
      <c r="AD81" s="82"/>
      <c r="AE81" s="82"/>
      <c r="AF81" s="82"/>
      <c r="AG81" s="82"/>
      <c r="AH81" s="82"/>
      <c r="AI81" s="82"/>
      <c r="AJ81" s="82"/>
      <c r="AK81" s="82"/>
      <c r="AL81" s="82"/>
      <c r="AM81" s="82"/>
      <c r="AN81" s="82"/>
      <c r="AO81" s="82"/>
      <c r="AP81" s="82" t="s">
        <v>380</v>
      </c>
      <c r="AQ81" s="82" t="s">
        <v>381</v>
      </c>
      <c r="AR81" s="82"/>
    </row>
    <row r="82" spans="1:46" ht="14.5">
      <c r="A82" s="4" t="s">
        <v>485</v>
      </c>
      <c r="B82" s="4"/>
      <c r="C82" s="4"/>
      <c r="D82" s="33" t="s">
        <v>378</v>
      </c>
      <c r="E82" s="4" t="s">
        <v>67</v>
      </c>
      <c r="F82" s="12">
        <v>2</v>
      </c>
      <c r="G82" s="12">
        <v>2</v>
      </c>
      <c r="H82" s="12">
        <v>0</v>
      </c>
      <c r="I82" s="12">
        <v>16</v>
      </c>
      <c r="J82" s="82">
        <f t="shared" si="2"/>
        <v>2</v>
      </c>
      <c r="K82" s="42"/>
      <c r="L82" s="82"/>
      <c r="M82" s="82"/>
      <c r="N82" s="42"/>
      <c r="O82" s="41"/>
      <c r="P82" s="82"/>
      <c r="Q82" s="82"/>
      <c r="R82" s="82"/>
      <c r="S82" s="82"/>
      <c r="T82" s="82"/>
      <c r="U82" s="82"/>
      <c r="V82" s="82"/>
      <c r="X82" s="82"/>
      <c r="Z82" s="82"/>
      <c r="AA82" s="82"/>
      <c r="AB82" s="82"/>
      <c r="AC82" s="82"/>
      <c r="AD82" s="82"/>
      <c r="AE82" s="82"/>
      <c r="AF82" s="82"/>
      <c r="AG82" s="82"/>
      <c r="AH82" s="82"/>
      <c r="AI82" s="82"/>
      <c r="AJ82" s="82"/>
      <c r="AK82" s="82"/>
      <c r="AL82" s="82"/>
      <c r="AM82" s="82"/>
      <c r="AN82" s="82"/>
      <c r="AO82" s="82"/>
      <c r="AP82" s="82" t="s">
        <v>380</v>
      </c>
      <c r="AQ82" s="82" t="s">
        <v>381</v>
      </c>
      <c r="AR82" s="82"/>
    </row>
    <row r="83" spans="1:46" ht="14.5">
      <c r="A83" s="4" t="s">
        <v>486</v>
      </c>
      <c r="B83" s="4"/>
      <c r="C83" s="4" t="s">
        <v>387</v>
      </c>
      <c r="D83" s="33" t="s">
        <v>378</v>
      </c>
      <c r="E83" s="4" t="s">
        <v>71</v>
      </c>
      <c r="F83" s="12">
        <v>6</v>
      </c>
      <c r="G83" s="12">
        <v>5</v>
      </c>
      <c r="H83" s="12">
        <v>0</v>
      </c>
      <c r="I83" s="12">
        <v>41</v>
      </c>
      <c r="J83" s="82">
        <f t="shared" si="2"/>
        <v>5</v>
      </c>
      <c r="K83" s="42"/>
      <c r="L83" s="82"/>
      <c r="M83" s="82"/>
      <c r="N83" s="42"/>
      <c r="O83" s="41"/>
      <c r="P83" s="82"/>
      <c r="Q83" s="82"/>
      <c r="R83" s="82"/>
      <c r="S83" s="82"/>
      <c r="T83" s="82"/>
      <c r="U83" s="82"/>
      <c r="V83" s="82"/>
      <c r="X83" s="82"/>
      <c r="Z83" s="82"/>
      <c r="AA83" s="82"/>
      <c r="AB83" s="82"/>
      <c r="AC83" s="82"/>
      <c r="AD83" s="82"/>
      <c r="AE83" s="82"/>
      <c r="AF83" s="82"/>
      <c r="AG83" s="82"/>
      <c r="AH83" s="82"/>
      <c r="AI83" s="82"/>
      <c r="AJ83" s="82"/>
      <c r="AK83" s="82"/>
      <c r="AL83" s="82"/>
      <c r="AM83" s="82"/>
      <c r="AN83" s="82"/>
      <c r="AO83" s="82"/>
      <c r="AP83" s="82" t="s">
        <v>380</v>
      </c>
      <c r="AQ83" s="82" t="s">
        <v>381</v>
      </c>
      <c r="AR83" s="82"/>
    </row>
    <row r="84" spans="1:46" ht="14.5">
      <c r="A84" s="4" t="s">
        <v>487</v>
      </c>
      <c r="B84" s="4"/>
      <c r="C84" s="4"/>
      <c r="D84" s="33" t="s">
        <v>378</v>
      </c>
      <c r="E84" s="4" t="s">
        <v>75</v>
      </c>
      <c r="F84" s="12">
        <v>2</v>
      </c>
      <c r="G84" s="12">
        <v>2</v>
      </c>
      <c r="H84" s="12">
        <v>0</v>
      </c>
      <c r="I84" s="12">
        <v>31</v>
      </c>
      <c r="J84" s="12">
        <f t="shared" si="2"/>
        <v>2</v>
      </c>
      <c r="K84" s="42"/>
      <c r="L84" s="82"/>
      <c r="M84" s="82"/>
      <c r="N84" s="42"/>
      <c r="O84" s="41"/>
      <c r="P84" s="82"/>
      <c r="Q84" s="82"/>
      <c r="R84" s="82"/>
      <c r="S84" s="82"/>
      <c r="T84" s="82"/>
      <c r="U84" s="82"/>
      <c r="V84" s="82"/>
      <c r="X84" s="82"/>
      <c r="Z84" s="82"/>
      <c r="AA84" s="82"/>
      <c r="AB84" s="82"/>
      <c r="AC84" s="82"/>
      <c r="AD84" s="82"/>
      <c r="AE84" s="82"/>
      <c r="AF84" s="82"/>
      <c r="AG84" s="82"/>
      <c r="AH84" s="82"/>
      <c r="AI84" s="82"/>
      <c r="AJ84" s="82"/>
      <c r="AK84" s="82"/>
      <c r="AL84" s="82"/>
      <c r="AM84" s="82"/>
      <c r="AN84" s="82"/>
      <c r="AO84" s="82"/>
      <c r="AP84" s="82" t="s">
        <v>380</v>
      </c>
      <c r="AQ84" s="82" t="s">
        <v>381</v>
      </c>
      <c r="AR84" s="82"/>
    </row>
    <row r="85" spans="1:46" s="4" customFormat="1" ht="13.5" customHeight="1">
      <c r="A85" s="4" t="s">
        <v>444</v>
      </c>
      <c r="D85" s="4" t="s">
        <v>445</v>
      </c>
      <c r="E85" s="4" t="s">
        <v>618</v>
      </c>
      <c r="F85" s="12">
        <v>6</v>
      </c>
      <c r="G85" s="12">
        <v>36</v>
      </c>
      <c r="H85" s="12">
        <v>0</v>
      </c>
      <c r="I85" s="12">
        <v>150</v>
      </c>
      <c r="J85" s="12">
        <f t="shared" si="2"/>
        <v>36</v>
      </c>
      <c r="K85" s="12" t="s">
        <v>619</v>
      </c>
      <c r="L85" s="12"/>
      <c r="M85" s="12"/>
      <c r="N85" s="1"/>
      <c r="O85"/>
      <c r="P85" s="12"/>
      <c r="Q85" s="12"/>
      <c r="R85" s="12"/>
      <c r="S85" s="12"/>
      <c r="T85" s="12"/>
      <c r="U85" s="12"/>
      <c r="V85" s="12">
        <v>6000</v>
      </c>
      <c r="W85" s="12" t="s">
        <v>619</v>
      </c>
      <c r="X85" s="12"/>
      <c r="AP85" s="12"/>
      <c r="AQ85" s="12"/>
      <c r="AR85" s="12"/>
    </row>
    <row r="86" spans="1:46" s="4" customFormat="1" ht="13.5" customHeight="1">
      <c r="A86" s="4" t="s">
        <v>447</v>
      </c>
      <c r="D86" s="4" t="s">
        <v>445</v>
      </c>
      <c r="E86" s="4" t="s">
        <v>620</v>
      </c>
      <c r="F86" s="12">
        <f>IF($F$55&lt;&gt;"4TB",4,6)</f>
        <v>4</v>
      </c>
      <c r="G86" s="12">
        <v>4</v>
      </c>
      <c r="H86" s="12">
        <v>0</v>
      </c>
      <c r="I86" s="12">
        <v>21</v>
      </c>
      <c r="J86" s="12">
        <f t="shared" si="2"/>
        <v>4</v>
      </c>
      <c r="K86" s="12" t="s">
        <v>619</v>
      </c>
      <c r="L86" s="12"/>
      <c r="M86" s="12"/>
      <c r="N86" s="1"/>
      <c r="O86"/>
      <c r="P86" s="12"/>
      <c r="Q86" s="12"/>
      <c r="R86" s="12"/>
      <c r="S86" s="12"/>
      <c r="T86" s="12"/>
      <c r="U86" s="12"/>
      <c r="V86" s="12"/>
      <c r="W86" s="12"/>
      <c r="X86" s="12"/>
      <c r="AP86" s="12"/>
      <c r="AQ86" s="12"/>
      <c r="AR86" s="12"/>
    </row>
    <row r="87" spans="1:46" s="4" customFormat="1" ht="13.5" customHeight="1">
      <c r="A87" s="4" t="s">
        <v>572</v>
      </c>
      <c r="D87" s="4" t="s">
        <v>445</v>
      </c>
      <c r="E87" s="4" t="s">
        <v>621</v>
      </c>
      <c r="F87" s="12">
        <v>4</v>
      </c>
      <c r="G87" s="12">
        <v>4</v>
      </c>
      <c r="H87" s="12">
        <v>0</v>
      </c>
      <c r="I87" s="12">
        <v>21</v>
      </c>
      <c r="J87" s="12">
        <f t="shared" si="2"/>
        <v>4</v>
      </c>
      <c r="K87" s="12" t="s">
        <v>619</v>
      </c>
      <c r="L87" s="12"/>
      <c r="M87" s="12"/>
      <c r="N87" s="1"/>
      <c r="O87"/>
      <c r="P87" s="12"/>
      <c r="Q87" s="12"/>
      <c r="R87" s="12"/>
      <c r="S87" s="12"/>
      <c r="T87" s="12"/>
      <c r="U87" s="12"/>
      <c r="V87" s="12"/>
      <c r="W87" s="12"/>
      <c r="X87" s="12"/>
      <c r="AP87" s="12"/>
      <c r="AQ87" s="12"/>
      <c r="AR87" s="12"/>
    </row>
    <row r="88" spans="1:46" s="4" customFormat="1" ht="13.5" customHeight="1">
      <c r="A88" s="4" t="s">
        <v>488</v>
      </c>
      <c r="C88" s="4" t="s">
        <v>387</v>
      </c>
      <c r="D88" s="4" t="s">
        <v>378</v>
      </c>
      <c r="E88" s="4" t="s">
        <v>87</v>
      </c>
      <c r="F88" s="12">
        <v>10</v>
      </c>
      <c r="G88" s="12">
        <v>32</v>
      </c>
      <c r="H88" s="12">
        <v>0</v>
      </c>
      <c r="I88" s="12">
        <v>71</v>
      </c>
      <c r="J88" s="12">
        <f t="shared" si="2"/>
        <v>32</v>
      </c>
      <c r="K88" s="12"/>
      <c r="L88" s="12"/>
      <c r="M88" s="12"/>
      <c r="N88" s="1"/>
      <c r="O88"/>
      <c r="P88" s="12"/>
      <c r="Q88" s="12"/>
      <c r="R88" s="12"/>
      <c r="S88" s="12"/>
      <c r="T88" s="12"/>
      <c r="U88" s="12"/>
      <c r="V88" s="12"/>
      <c r="W88" s="12"/>
      <c r="X88" s="12"/>
      <c r="AF88" s="12">
        <v>225</v>
      </c>
      <c r="AG88" s="82" t="s">
        <v>489</v>
      </c>
      <c r="AH88" s="82"/>
      <c r="AI88" s="82"/>
      <c r="AJ88" s="82"/>
      <c r="AK88" s="82"/>
      <c r="AL88" s="82"/>
      <c r="AM88" s="82"/>
      <c r="AN88" s="82"/>
      <c r="AO88" s="82"/>
      <c r="AP88" s="12" t="s">
        <v>380</v>
      </c>
      <c r="AQ88" s="12" t="s">
        <v>381</v>
      </c>
      <c r="AR88" s="12"/>
    </row>
    <row r="89" spans="1:46" s="4" customFormat="1" ht="13.5" customHeight="1">
      <c r="A89" s="4" t="s">
        <v>490</v>
      </c>
      <c r="C89" s="4" t="s">
        <v>387</v>
      </c>
      <c r="D89" s="4" t="s">
        <v>378</v>
      </c>
      <c r="E89" s="4" t="s">
        <v>99</v>
      </c>
      <c r="F89" s="12">
        <v>2</v>
      </c>
      <c r="G89" s="12">
        <v>10</v>
      </c>
      <c r="H89" s="12">
        <v>0</v>
      </c>
      <c r="I89" s="12">
        <v>60</v>
      </c>
      <c r="J89" s="12">
        <f t="shared" ref="J89:J91" si="3">G89-H89</f>
        <v>10</v>
      </c>
      <c r="K89" s="12"/>
      <c r="L89" s="12"/>
      <c r="M89" s="12"/>
      <c r="N89" s="1"/>
      <c r="O89"/>
      <c r="P89" s="12"/>
      <c r="Q89" s="12"/>
      <c r="R89" s="12"/>
      <c r="S89" s="12"/>
      <c r="T89" s="12"/>
      <c r="U89" s="12"/>
      <c r="V89" s="12"/>
      <c r="W89" s="12"/>
      <c r="X89" s="12"/>
      <c r="AF89" s="12"/>
      <c r="AG89" s="82"/>
      <c r="AH89" s="82"/>
      <c r="AI89" s="82"/>
      <c r="AJ89" s="82"/>
      <c r="AK89" s="82"/>
      <c r="AL89" s="82"/>
      <c r="AM89" s="82"/>
      <c r="AN89" s="82"/>
      <c r="AO89" s="82"/>
      <c r="AP89" s="12" t="s">
        <v>380</v>
      </c>
      <c r="AQ89" s="12" t="s">
        <v>381</v>
      </c>
      <c r="AR89" s="12"/>
    </row>
    <row r="90" spans="1:46" s="4" customFormat="1" ht="13.5" customHeight="1">
      <c r="A90" s="4" t="s">
        <v>491</v>
      </c>
      <c r="C90" s="4" t="s">
        <v>387</v>
      </c>
      <c r="D90" s="4" t="s">
        <v>378</v>
      </c>
      <c r="E90" s="4" t="s">
        <v>102</v>
      </c>
      <c r="F90" s="12">
        <v>16</v>
      </c>
      <c r="G90" s="12">
        <v>32</v>
      </c>
      <c r="H90" s="12">
        <v>0</v>
      </c>
      <c r="I90" s="12">
        <v>70</v>
      </c>
      <c r="J90" s="12">
        <f t="shared" si="3"/>
        <v>32</v>
      </c>
      <c r="K90" s="82" t="s">
        <v>469</v>
      </c>
      <c r="N90" s="93"/>
      <c r="O90"/>
      <c r="P90" s="12"/>
      <c r="Q90" s="12"/>
      <c r="R90" s="12"/>
      <c r="S90" s="12"/>
      <c r="T90" s="12"/>
      <c r="U90" s="12"/>
      <c r="V90" s="128"/>
      <c r="W90" s="128"/>
      <c r="X90" s="12"/>
      <c r="AJ90" s="12">
        <v>135</v>
      </c>
      <c r="AK90" s="12" t="s">
        <v>492</v>
      </c>
      <c r="AL90" s="12">
        <v>5</v>
      </c>
      <c r="AM90" s="12" t="s">
        <v>492</v>
      </c>
      <c r="AN90" s="12"/>
      <c r="AP90" s="12" t="s">
        <v>380</v>
      </c>
      <c r="AQ90" s="12" t="s">
        <v>381</v>
      </c>
      <c r="AR90" s="12"/>
      <c r="AS90" s="12"/>
      <c r="AT90" s="12"/>
    </row>
    <row r="91" spans="1:46" s="17" customFormat="1" ht="13.5" customHeight="1">
      <c r="A91" s="17" t="s">
        <v>493</v>
      </c>
      <c r="C91" s="17" t="s">
        <v>387</v>
      </c>
      <c r="D91" s="17" t="s">
        <v>378</v>
      </c>
      <c r="E91" s="17" t="s">
        <v>102</v>
      </c>
      <c r="F91" s="15">
        <v>16</v>
      </c>
      <c r="G91" s="15">
        <v>32</v>
      </c>
      <c r="H91" s="15">
        <v>0</v>
      </c>
      <c r="I91" s="15">
        <v>70</v>
      </c>
      <c r="J91" s="15">
        <f t="shared" si="3"/>
        <v>32</v>
      </c>
      <c r="K91" s="36" t="s">
        <v>470</v>
      </c>
      <c r="N91" s="94"/>
      <c r="O91" s="95"/>
      <c r="P91" s="15"/>
      <c r="Q91" s="15"/>
      <c r="R91" s="15"/>
      <c r="S91" s="15"/>
      <c r="T91" s="15"/>
      <c r="U91" s="15"/>
      <c r="V91" s="129"/>
      <c r="W91" s="129"/>
      <c r="X91" s="15"/>
      <c r="AJ91" s="15"/>
      <c r="AK91" s="15"/>
      <c r="AL91" s="15"/>
      <c r="AN91" s="15">
        <v>760</v>
      </c>
      <c r="AO91" s="15" t="s">
        <v>492</v>
      </c>
      <c r="AP91" s="15" t="s">
        <v>380</v>
      </c>
      <c r="AQ91" s="15" t="s">
        <v>381</v>
      </c>
      <c r="AR91" s="15"/>
      <c r="AS91" s="15"/>
      <c r="AT91" s="15"/>
    </row>
    <row r="92" spans="1:46">
      <c r="F92" s="82">
        <f>SUM(F58:F91)+F46</f>
        <v>433</v>
      </c>
      <c r="G92" s="82">
        <f t="shared" ref="G92:I92" si="4">SUM(G58:G91)+G46</f>
        <v>1293</v>
      </c>
      <c r="H92" s="82">
        <f t="shared" si="4"/>
        <v>541</v>
      </c>
      <c r="I92" s="82">
        <f t="shared" si="4"/>
        <v>6669</v>
      </c>
      <c r="J92" s="82"/>
      <c r="K92" s="82"/>
      <c r="L92" s="82">
        <f t="shared" ref="L92" si="5">SUM(L58:L91)+L46</f>
        <v>500</v>
      </c>
      <c r="M92" s="82"/>
      <c r="N92" s="82">
        <f t="shared" ref="N92" si="6">SUM(N58:N91)+N46</f>
        <v>16400</v>
      </c>
      <c r="O92" s="82"/>
      <c r="P92" s="82">
        <f t="shared" ref="P92" si="7">SUM(P58:P91)+P46</f>
        <v>18000</v>
      </c>
      <c r="Q92" s="82"/>
      <c r="R92" s="82">
        <f t="shared" ref="R92" si="8">SUM(R58:R91)+R46</f>
        <v>1585</v>
      </c>
      <c r="S92" s="82"/>
      <c r="T92" s="82">
        <f t="shared" ref="T92" si="9">SUM(T58:T91)+T46</f>
        <v>300</v>
      </c>
      <c r="U92" s="82"/>
      <c r="V92" s="82">
        <f t="shared" ref="V92" si="10">SUM(V58:V91)+V46</f>
        <v>6000</v>
      </c>
      <c r="W92" s="82"/>
      <c r="X92" s="82">
        <f t="shared" ref="X92" si="11">SUM(X58:X91)+X46</f>
        <v>34770</v>
      </c>
      <c r="Z92" s="82">
        <f t="shared" ref="Z92" si="12">SUM(Z58:Z91)+Z46</f>
        <v>332</v>
      </c>
      <c r="AB92" s="82">
        <f t="shared" ref="AB92" si="13">SUM(AB58:AB91)+AB46</f>
        <v>50</v>
      </c>
      <c r="AD92" s="82">
        <f t="shared" ref="AD92" si="14">SUM(AD58:AD91)+AD46</f>
        <v>200</v>
      </c>
      <c r="AF92" s="82">
        <f t="shared" ref="AF92" si="15">SUM(AF58:AF91)+AF46</f>
        <v>225</v>
      </c>
      <c r="AH92" s="82">
        <f t="shared" ref="AH92:AN92" si="16">SUM(AH58:AH91)+AH46</f>
        <v>200</v>
      </c>
      <c r="AJ92" s="82">
        <f t="shared" si="16"/>
        <v>135</v>
      </c>
      <c r="AL92" s="82">
        <f t="shared" si="16"/>
        <v>5</v>
      </c>
      <c r="AN92" s="82">
        <f t="shared" si="16"/>
        <v>760</v>
      </c>
      <c r="AP92" s="82"/>
      <c r="AQ92" s="82" t="s">
        <v>597</v>
      </c>
      <c r="AR92" s="82">
        <f>3</f>
        <v>3</v>
      </c>
    </row>
    <row r="93" spans="1:46">
      <c r="F93" s="82"/>
      <c r="G93" s="82"/>
      <c r="H93" s="82"/>
      <c r="I93" s="82"/>
      <c r="J93" s="82"/>
      <c r="K93" s="82"/>
      <c r="L93" s="82"/>
      <c r="M93" s="82"/>
      <c r="N93" s="82"/>
      <c r="O93" s="82"/>
      <c r="P93" s="82"/>
      <c r="Q93" s="82"/>
      <c r="R93" s="82"/>
      <c r="S93" s="82"/>
      <c r="T93" s="82"/>
      <c r="U93" s="82"/>
      <c r="V93" s="82"/>
      <c r="W93" s="82"/>
      <c r="X93" s="82"/>
      <c r="Z93" s="82"/>
      <c r="AQ93" s="82"/>
      <c r="AR93" s="82"/>
    </row>
    <row r="94" spans="1:46" ht="13">
      <c r="A94" s="14" t="s">
        <v>495</v>
      </c>
    </row>
    <row r="95" spans="1:46" s="4" customFormat="1" ht="13.5" customHeight="1">
      <c r="A95" s="4" t="s">
        <v>496</v>
      </c>
      <c r="C95" s="4" t="s">
        <v>497</v>
      </c>
      <c r="D95" s="4" t="s">
        <v>445</v>
      </c>
      <c r="E95" s="4" t="s">
        <v>498</v>
      </c>
      <c r="F95" s="12">
        <v>4</v>
      </c>
      <c r="G95" s="12">
        <v>4</v>
      </c>
      <c r="H95" s="12">
        <v>0</v>
      </c>
      <c r="I95" s="12">
        <v>25</v>
      </c>
      <c r="J95" s="12">
        <f>G95-H95</f>
        <v>4</v>
      </c>
      <c r="K95" s="82" t="s">
        <v>499</v>
      </c>
      <c r="N95" s="93"/>
      <c r="O95"/>
      <c r="P95" s="12"/>
      <c r="Q95" s="12"/>
      <c r="R95" s="12"/>
      <c r="S95" s="12"/>
      <c r="T95" s="12"/>
      <c r="U95" s="12"/>
      <c r="V95" s="12"/>
      <c r="W95" s="12"/>
      <c r="X95" s="12"/>
      <c r="AP95" s="12" t="s">
        <v>380</v>
      </c>
      <c r="AQ95" s="12" t="s">
        <v>381</v>
      </c>
      <c r="AR95" s="12"/>
    </row>
    <row r="96" spans="1:46" s="17" customFormat="1" ht="13.5" customHeight="1">
      <c r="A96" s="17" t="s">
        <v>500</v>
      </c>
      <c r="C96" s="17" t="s">
        <v>497</v>
      </c>
      <c r="D96" s="17" t="s">
        <v>445</v>
      </c>
      <c r="E96" s="17" t="s">
        <v>501</v>
      </c>
      <c r="F96" s="15">
        <v>4</v>
      </c>
      <c r="G96" s="15">
        <v>4</v>
      </c>
      <c r="H96" s="15">
        <v>0</v>
      </c>
      <c r="I96" s="15">
        <v>25</v>
      </c>
      <c r="J96" s="15">
        <f>G96-H96</f>
        <v>4</v>
      </c>
      <c r="K96" s="36" t="s">
        <v>499</v>
      </c>
      <c r="AP96" s="15" t="s">
        <v>380</v>
      </c>
      <c r="AQ96" s="15" t="s">
        <v>381</v>
      </c>
    </row>
    <row r="97" spans="1:44" ht="13">
      <c r="A97" s="14"/>
      <c r="F97" s="82">
        <f>SUM(F95:F96)+F92</f>
        <v>441</v>
      </c>
      <c r="G97" s="82">
        <f>SUM(G95:G96)+G92</f>
        <v>1301</v>
      </c>
      <c r="H97" s="82">
        <f>SUM(H95:H96)+H92</f>
        <v>541</v>
      </c>
      <c r="I97" s="82">
        <f>SUM(I95:I96)+I92</f>
        <v>6719</v>
      </c>
      <c r="L97" s="82">
        <f>SUM(L95:L96)+L92</f>
        <v>500</v>
      </c>
      <c r="N97" s="82">
        <f>SUM(N95:N96)+N92</f>
        <v>16400</v>
      </c>
      <c r="P97" s="82">
        <f>SUM(P95:P96)+P92</f>
        <v>18000</v>
      </c>
      <c r="R97" s="82">
        <f>SUM(R95:R96)+R92</f>
        <v>1585</v>
      </c>
      <c r="T97" s="82">
        <f>SUM(T95:T96)+T92</f>
        <v>300</v>
      </c>
      <c r="V97" s="82">
        <f>SUM(V95:V96)+V92</f>
        <v>6000</v>
      </c>
      <c r="X97" s="82">
        <f>SUM(X95:X96)+X92</f>
        <v>34770</v>
      </c>
      <c r="Z97" s="82">
        <f>SUM(Z95:Z96)+Z92</f>
        <v>332</v>
      </c>
      <c r="AB97" s="82">
        <f>SUM(AB95:AB96)+AB92</f>
        <v>50</v>
      </c>
      <c r="AD97" s="82">
        <f>SUM(AD95:AD96)+AD92</f>
        <v>200</v>
      </c>
      <c r="AF97" s="82">
        <f>SUM(AF95:AF96)+AF92</f>
        <v>225</v>
      </c>
      <c r="AH97" s="82">
        <f>SUM(AH95:AH96)+AH92</f>
        <v>200</v>
      </c>
      <c r="AJ97" s="82">
        <f>SUM(AJ95:AJ96)+AJ92</f>
        <v>135</v>
      </c>
      <c r="AL97" s="82">
        <f>SUM(AL95:AL96)+AL92</f>
        <v>5</v>
      </c>
      <c r="AN97" s="82">
        <f>SUM(AN95:AN96)+AN92</f>
        <v>760</v>
      </c>
      <c r="AQ97" s="82" t="s">
        <v>598</v>
      </c>
      <c r="AR97" s="82">
        <v>3</v>
      </c>
    </row>
    <row r="98" spans="1:44" ht="13">
      <c r="A98" s="14"/>
    </row>
    <row r="99" spans="1:44" ht="13">
      <c r="A99" s="14" t="s">
        <v>503</v>
      </c>
    </row>
    <row r="100" spans="1:44">
      <c r="A100" s="4" t="s">
        <v>504</v>
      </c>
      <c r="B100" s="4"/>
      <c r="C100" s="4" t="s">
        <v>505</v>
      </c>
      <c r="D100" s="4" t="s">
        <v>506</v>
      </c>
      <c r="E100" s="4" t="s">
        <v>19</v>
      </c>
      <c r="F100" s="12">
        <v>2</v>
      </c>
      <c r="G100" s="12">
        <v>4</v>
      </c>
      <c r="H100" s="12">
        <v>4</v>
      </c>
      <c r="I100" s="12">
        <v>350</v>
      </c>
      <c r="J100" s="12">
        <f t="shared" ref="J100:J105" si="17">G100-H100</f>
        <v>0</v>
      </c>
      <c r="K100" s="82" t="s">
        <v>507</v>
      </c>
      <c r="L100" s="82"/>
      <c r="M100" s="82"/>
      <c r="N100" s="82"/>
      <c r="O100" s="82"/>
      <c r="P100" s="82"/>
      <c r="Q100" s="82"/>
      <c r="R100" s="82"/>
      <c r="S100" s="82"/>
      <c r="T100" s="82"/>
      <c r="U100" s="82"/>
      <c r="V100" s="82"/>
      <c r="Z100" s="82"/>
      <c r="AA100" s="82"/>
      <c r="AB100" s="82"/>
      <c r="AC100" s="82"/>
      <c r="AD100" s="82"/>
      <c r="AE100" s="82"/>
      <c r="AF100" s="82"/>
      <c r="AG100" s="82"/>
      <c r="AH100" s="82"/>
      <c r="AI100" s="82"/>
      <c r="AJ100" s="82"/>
      <c r="AK100" s="82"/>
      <c r="AL100" s="82"/>
      <c r="AM100" s="82"/>
      <c r="AN100" s="82"/>
      <c r="AO100" s="82"/>
      <c r="AP100" s="82" t="s">
        <v>380</v>
      </c>
      <c r="AQ100" s="82" t="s">
        <v>381</v>
      </c>
      <c r="AR100" s="82"/>
    </row>
    <row r="101" spans="1:44">
      <c r="A101" s="4" t="s">
        <v>509</v>
      </c>
      <c r="B101" s="4"/>
      <c r="C101" s="4" t="s">
        <v>505</v>
      </c>
      <c r="D101" s="4" t="s">
        <v>506</v>
      </c>
      <c r="E101" s="4" t="s">
        <v>510</v>
      </c>
      <c r="F101" s="12">
        <v>6</v>
      </c>
      <c r="G101" s="12">
        <v>10</v>
      </c>
      <c r="H101" s="12">
        <v>10</v>
      </c>
      <c r="I101" s="12">
        <v>100</v>
      </c>
      <c r="J101" s="12">
        <f t="shared" si="17"/>
        <v>0</v>
      </c>
      <c r="K101" s="82" t="s">
        <v>507</v>
      </c>
      <c r="L101" s="82"/>
      <c r="M101" s="82"/>
      <c r="N101" s="82">
        <v>200</v>
      </c>
      <c r="O101" s="82" t="s">
        <v>508</v>
      </c>
      <c r="P101" s="82"/>
      <c r="Q101" s="82"/>
      <c r="R101" s="82"/>
      <c r="S101" s="82"/>
      <c r="T101" s="82"/>
      <c r="U101" s="82"/>
      <c r="V101" s="82"/>
      <c r="Z101" s="82"/>
      <c r="AA101" s="82"/>
      <c r="AB101" s="82"/>
      <c r="AC101" s="82"/>
      <c r="AD101" s="82"/>
      <c r="AE101" s="82"/>
      <c r="AF101" s="82"/>
      <c r="AG101" s="82"/>
      <c r="AH101" s="82"/>
      <c r="AI101" s="82"/>
      <c r="AJ101" s="82"/>
      <c r="AK101" s="82"/>
      <c r="AL101" s="82"/>
      <c r="AM101" s="82"/>
      <c r="AN101" s="82"/>
      <c r="AO101" s="82"/>
      <c r="AP101" s="82" t="s">
        <v>380</v>
      </c>
      <c r="AQ101" s="82" t="s">
        <v>381</v>
      </c>
      <c r="AR101" s="82"/>
    </row>
    <row r="102" spans="1:44">
      <c r="A102" s="4" t="s">
        <v>511</v>
      </c>
      <c r="B102" s="4"/>
      <c r="C102" s="4" t="s">
        <v>505</v>
      </c>
      <c r="D102" s="4" t="s">
        <v>506</v>
      </c>
      <c r="E102" s="4" t="s">
        <v>512</v>
      </c>
      <c r="F102" s="12">
        <v>8</v>
      </c>
      <c r="G102" s="12">
        <v>16</v>
      </c>
      <c r="H102" s="12">
        <v>16</v>
      </c>
      <c r="I102" s="12">
        <v>60</v>
      </c>
      <c r="J102" s="12">
        <f t="shared" si="17"/>
        <v>0</v>
      </c>
      <c r="K102" s="82" t="s">
        <v>513</v>
      </c>
      <c r="L102" s="82"/>
      <c r="M102" s="82"/>
      <c r="N102" s="82"/>
      <c r="O102" s="82"/>
      <c r="P102" s="82"/>
      <c r="Q102" s="82"/>
      <c r="R102" s="82"/>
      <c r="S102" s="82"/>
      <c r="T102" s="82"/>
      <c r="U102" s="82"/>
      <c r="V102" s="82"/>
      <c r="Z102" s="82"/>
      <c r="AA102" s="82"/>
      <c r="AB102" s="82"/>
      <c r="AC102" s="82"/>
      <c r="AD102" s="82"/>
      <c r="AE102" s="82"/>
      <c r="AF102" s="82"/>
      <c r="AG102" s="82"/>
      <c r="AH102" s="82"/>
      <c r="AI102" s="82"/>
      <c r="AJ102" s="82"/>
      <c r="AK102" s="82"/>
      <c r="AL102" s="82"/>
      <c r="AM102" s="82"/>
      <c r="AN102" s="82"/>
      <c r="AO102" s="82"/>
      <c r="AP102" s="82" t="s">
        <v>396</v>
      </c>
      <c r="AQ102" s="12" t="s">
        <v>397</v>
      </c>
      <c r="AR102" s="82"/>
    </row>
    <row r="103" spans="1:44">
      <c r="A103" s="4" t="s">
        <v>514</v>
      </c>
      <c r="B103" s="4"/>
      <c r="C103" s="4" t="s">
        <v>505</v>
      </c>
      <c r="D103" s="4" t="s">
        <v>506</v>
      </c>
      <c r="E103" s="4" t="s">
        <v>515</v>
      </c>
      <c r="F103" s="12">
        <v>10</v>
      </c>
      <c r="G103" s="12">
        <v>10</v>
      </c>
      <c r="H103" s="12">
        <v>10</v>
      </c>
      <c r="I103" s="12">
        <v>40</v>
      </c>
      <c r="J103" s="12">
        <f t="shared" si="17"/>
        <v>0</v>
      </c>
      <c r="K103" s="82" t="s">
        <v>513</v>
      </c>
      <c r="L103" s="82"/>
      <c r="M103" s="82"/>
      <c r="N103" s="82"/>
      <c r="O103" s="82"/>
      <c r="P103" s="82"/>
      <c r="Q103" s="82"/>
      <c r="R103" s="82"/>
      <c r="S103" s="82"/>
      <c r="T103" s="82"/>
      <c r="U103" s="82"/>
      <c r="V103" s="82"/>
      <c r="Z103" s="82"/>
      <c r="AA103" s="82"/>
      <c r="AB103" s="82"/>
      <c r="AC103" s="82"/>
      <c r="AD103" s="82"/>
      <c r="AE103" s="82"/>
      <c r="AF103" s="82"/>
      <c r="AG103" s="82"/>
      <c r="AH103" s="82"/>
      <c r="AI103" s="82"/>
      <c r="AJ103" s="82"/>
      <c r="AK103" s="82"/>
      <c r="AL103" s="82"/>
      <c r="AM103" s="82"/>
      <c r="AN103" s="82"/>
      <c r="AO103" s="82"/>
      <c r="AP103" s="82" t="s">
        <v>396</v>
      </c>
      <c r="AQ103" s="12" t="s">
        <v>397</v>
      </c>
      <c r="AR103" s="82"/>
    </row>
    <row r="104" spans="1:44">
      <c r="A104" s="4" t="s">
        <v>516</v>
      </c>
      <c r="B104" s="4"/>
      <c r="C104" s="4" t="s">
        <v>505</v>
      </c>
      <c r="D104" s="4" t="s">
        <v>506</v>
      </c>
      <c r="E104" s="4" t="s">
        <v>517</v>
      </c>
      <c r="F104" s="12">
        <v>4</v>
      </c>
      <c r="G104" s="12">
        <v>16</v>
      </c>
      <c r="H104" s="12">
        <v>0</v>
      </c>
      <c r="I104" s="12">
        <v>550</v>
      </c>
      <c r="J104" s="12">
        <f t="shared" si="17"/>
        <v>16</v>
      </c>
      <c r="K104" s="82" t="s">
        <v>518</v>
      </c>
      <c r="L104" s="82"/>
      <c r="M104" s="82"/>
      <c r="N104" s="82"/>
      <c r="O104" s="82"/>
      <c r="P104" s="82"/>
      <c r="Q104" s="82"/>
      <c r="R104" s="82"/>
      <c r="S104" s="82"/>
      <c r="T104" s="82"/>
      <c r="U104" s="82"/>
      <c r="V104" s="82"/>
      <c r="Z104" s="82"/>
      <c r="AA104" s="82"/>
      <c r="AB104" s="82"/>
      <c r="AC104" s="82"/>
      <c r="AD104" s="82"/>
      <c r="AE104" s="82"/>
      <c r="AF104" s="82"/>
      <c r="AG104" s="82"/>
      <c r="AH104" s="82"/>
      <c r="AI104" s="82"/>
      <c r="AJ104" s="82"/>
      <c r="AK104" s="82"/>
      <c r="AL104" s="82"/>
      <c r="AM104" s="82"/>
      <c r="AN104" s="82"/>
      <c r="AO104" s="82"/>
      <c r="AP104" s="82" t="s">
        <v>396</v>
      </c>
      <c r="AQ104" s="12" t="s">
        <v>397</v>
      </c>
      <c r="AR104" s="82"/>
    </row>
    <row r="105" spans="1:44">
      <c r="A105" s="4" t="s">
        <v>520</v>
      </c>
      <c r="B105" s="4"/>
      <c r="C105" s="4" t="s">
        <v>505</v>
      </c>
      <c r="D105" s="4" t="s">
        <v>506</v>
      </c>
      <c r="E105" s="4" t="s">
        <v>521</v>
      </c>
      <c r="F105" s="12">
        <v>2</v>
      </c>
      <c r="G105" s="12">
        <v>4</v>
      </c>
      <c r="H105" s="12">
        <v>4</v>
      </c>
      <c r="I105" s="12">
        <v>40</v>
      </c>
      <c r="J105" s="12">
        <f t="shared" si="17"/>
        <v>0</v>
      </c>
      <c r="K105" s="82" t="s">
        <v>513</v>
      </c>
      <c r="L105" s="82"/>
      <c r="M105" s="82"/>
      <c r="N105" s="82"/>
      <c r="O105" s="82"/>
      <c r="P105" s="82"/>
      <c r="Q105" s="82"/>
      <c r="R105" s="82">
        <v>50</v>
      </c>
      <c r="S105" s="82" t="s">
        <v>519</v>
      </c>
      <c r="T105" s="82"/>
      <c r="U105" s="82"/>
      <c r="V105" s="82"/>
      <c r="Z105" s="82"/>
      <c r="AA105" s="82"/>
      <c r="AB105" s="82"/>
      <c r="AC105" s="82"/>
      <c r="AD105" s="82"/>
      <c r="AE105" s="82"/>
      <c r="AF105" s="82"/>
      <c r="AG105" s="82"/>
      <c r="AH105" s="82"/>
      <c r="AI105" s="82"/>
      <c r="AJ105" s="82"/>
      <c r="AK105" s="82"/>
      <c r="AL105" s="82"/>
      <c r="AM105" s="82"/>
      <c r="AN105" s="82"/>
      <c r="AO105" s="82"/>
      <c r="AP105" s="82" t="s">
        <v>380</v>
      </c>
      <c r="AQ105" s="82" t="s">
        <v>381</v>
      </c>
      <c r="AR105" s="82"/>
    </row>
    <row r="106" spans="1:44">
      <c r="A106" s="33" t="s">
        <v>522</v>
      </c>
      <c r="C106" s="4" t="s">
        <v>523</v>
      </c>
      <c r="D106" s="33" t="s">
        <v>506</v>
      </c>
      <c r="E106" s="4" t="s">
        <v>63</v>
      </c>
      <c r="F106" s="82">
        <v>8</v>
      </c>
      <c r="G106" s="82">
        <v>32</v>
      </c>
      <c r="H106" s="12">
        <v>0</v>
      </c>
      <c r="I106" s="82">
        <v>80</v>
      </c>
      <c r="J106" s="82">
        <f>G106-H106</f>
        <v>32</v>
      </c>
      <c r="K106" s="82" t="s">
        <v>524</v>
      </c>
      <c r="L106" s="82"/>
      <c r="M106" s="82"/>
      <c r="N106" s="82"/>
      <c r="O106" s="82"/>
      <c r="P106" s="82"/>
      <c r="Q106" s="82"/>
      <c r="R106" s="82"/>
      <c r="S106" s="82"/>
      <c r="T106" s="82"/>
      <c r="U106" s="82"/>
      <c r="V106" s="82"/>
      <c r="Z106" s="82"/>
      <c r="AA106" s="82"/>
      <c r="AB106" s="82"/>
      <c r="AC106" s="82"/>
      <c r="AD106" s="82"/>
      <c r="AE106" s="82"/>
      <c r="AF106" s="82"/>
      <c r="AG106" s="82"/>
      <c r="AH106" s="82"/>
      <c r="AI106" s="82"/>
      <c r="AJ106" s="82"/>
      <c r="AK106" s="82"/>
      <c r="AL106" s="82"/>
      <c r="AM106" s="82"/>
      <c r="AN106" s="82"/>
      <c r="AO106" s="82"/>
      <c r="AP106" s="82" t="s">
        <v>380</v>
      </c>
      <c r="AQ106" s="82" t="s">
        <v>381</v>
      </c>
      <c r="AR106" s="82"/>
    </row>
    <row r="107" spans="1:44">
      <c r="A107" s="33" t="s">
        <v>525</v>
      </c>
      <c r="C107" s="4" t="s">
        <v>523</v>
      </c>
      <c r="D107" s="33" t="s">
        <v>506</v>
      </c>
      <c r="E107" s="4" t="s">
        <v>63</v>
      </c>
      <c r="F107" s="82">
        <v>8</v>
      </c>
      <c r="G107" s="82">
        <v>32</v>
      </c>
      <c r="H107" s="12">
        <v>0</v>
      </c>
      <c r="I107" s="82">
        <v>80</v>
      </c>
      <c r="J107" s="82">
        <f>G107-H107</f>
        <v>32</v>
      </c>
      <c r="K107" s="82" t="s">
        <v>524</v>
      </c>
      <c r="L107" s="82"/>
      <c r="M107" s="82"/>
      <c r="N107" s="82"/>
      <c r="O107" s="82"/>
      <c r="P107" s="82"/>
      <c r="Q107" s="82"/>
      <c r="R107" s="82"/>
      <c r="S107" s="82"/>
      <c r="T107" s="82"/>
      <c r="U107" s="82"/>
      <c r="V107" s="82"/>
      <c r="Z107" s="82"/>
      <c r="AA107" s="82"/>
      <c r="AB107" s="82"/>
      <c r="AC107" s="82"/>
      <c r="AD107" s="82"/>
      <c r="AE107" s="82"/>
      <c r="AF107" s="82"/>
      <c r="AG107" s="82"/>
      <c r="AH107" s="82"/>
      <c r="AI107" s="82"/>
      <c r="AJ107" s="82"/>
      <c r="AK107" s="82"/>
      <c r="AL107" s="82"/>
      <c r="AM107" s="82"/>
      <c r="AN107" s="82"/>
      <c r="AO107" s="82"/>
      <c r="AP107" s="82" t="s">
        <v>380</v>
      </c>
      <c r="AQ107" s="82" t="s">
        <v>381</v>
      </c>
      <c r="AR107" s="82"/>
    </row>
    <row r="108" spans="1:44" s="4" customFormat="1">
      <c r="A108" s="4" t="s">
        <v>526</v>
      </c>
      <c r="C108" s="4" t="s">
        <v>527</v>
      </c>
      <c r="D108" s="4" t="s">
        <v>528</v>
      </c>
      <c r="E108" s="4" t="s">
        <v>529</v>
      </c>
      <c r="F108" s="12">
        <v>4</v>
      </c>
      <c r="G108" s="12">
        <v>8</v>
      </c>
      <c r="H108" s="12">
        <v>0</v>
      </c>
      <c r="I108" s="12">
        <v>30</v>
      </c>
      <c r="J108" s="12">
        <f>G108-H108</f>
        <v>8</v>
      </c>
      <c r="K108" s="82" t="s">
        <v>530</v>
      </c>
      <c r="L108" s="82"/>
      <c r="M108" s="82"/>
      <c r="N108" s="82"/>
      <c r="O108" s="82"/>
      <c r="P108" s="82"/>
      <c r="Q108" s="82"/>
      <c r="R108" s="82"/>
      <c r="S108" s="82"/>
      <c r="T108" s="82"/>
      <c r="U108" s="82"/>
      <c r="V108" s="12"/>
      <c r="W108" s="12"/>
      <c r="X108" s="12"/>
      <c r="AP108" s="12" t="s">
        <v>380</v>
      </c>
      <c r="AQ108" s="12" t="s">
        <v>381</v>
      </c>
      <c r="AR108" s="12"/>
    </row>
    <row r="109" spans="1:44" s="17" customFormat="1">
      <c r="A109" s="17" t="s">
        <v>531</v>
      </c>
      <c r="C109" s="17" t="s">
        <v>532</v>
      </c>
      <c r="D109" s="17" t="s">
        <v>378</v>
      </c>
      <c r="E109" s="17" t="s">
        <v>83</v>
      </c>
      <c r="F109" s="15">
        <v>8</v>
      </c>
      <c r="G109" s="15">
        <v>6</v>
      </c>
      <c r="H109" s="15">
        <v>0</v>
      </c>
      <c r="I109" s="15">
        <v>70</v>
      </c>
      <c r="J109" s="15">
        <f t="shared" ref="J109" si="18">G109-H109</f>
        <v>6</v>
      </c>
      <c r="K109" s="36" t="s">
        <v>533</v>
      </c>
      <c r="L109" s="36"/>
      <c r="M109" s="36"/>
      <c r="N109" s="36"/>
      <c r="O109" s="36"/>
      <c r="P109" s="36"/>
      <c r="Q109" s="36"/>
      <c r="R109" s="36"/>
      <c r="S109" s="36"/>
      <c r="T109" s="36"/>
      <c r="U109" s="36"/>
      <c r="V109" s="15"/>
      <c r="W109" s="15"/>
      <c r="X109" s="15"/>
      <c r="AP109" s="15" t="s">
        <v>380</v>
      </c>
      <c r="AQ109" s="15" t="s">
        <v>381</v>
      </c>
      <c r="AR109" s="15"/>
    </row>
    <row r="110" spans="1:44" s="37" customFormat="1">
      <c r="F110" s="38">
        <f>SUM(F100:F109)+F97</f>
        <v>501</v>
      </c>
      <c r="G110" s="38">
        <f>SUM(G100:G109)+G97</f>
        <v>1439</v>
      </c>
      <c r="H110" s="38">
        <f>SUM(H100:H109)+H97</f>
        <v>585</v>
      </c>
      <c r="I110" s="38">
        <f>SUM(I100:I109)+I97</f>
        <v>8119</v>
      </c>
      <c r="J110" s="38"/>
      <c r="K110" s="38"/>
      <c r="L110" s="38">
        <f>SUM(L100:L109)+L97</f>
        <v>500</v>
      </c>
      <c r="M110" s="38"/>
      <c r="N110" s="38">
        <f>SUM(N100:N109)+N97</f>
        <v>16600</v>
      </c>
      <c r="O110" s="38"/>
      <c r="P110" s="38">
        <f>SUM(P100:P109)+P97</f>
        <v>18000</v>
      </c>
      <c r="Q110" s="38"/>
      <c r="R110" s="38">
        <f>SUM(R100:R109)+R97</f>
        <v>1635</v>
      </c>
      <c r="S110" s="38"/>
      <c r="T110" s="38">
        <f>SUM(T100:T109)+T97</f>
        <v>300</v>
      </c>
      <c r="U110" s="38"/>
      <c r="V110" s="38">
        <f>SUM(V100:V109)+V97</f>
        <v>6000</v>
      </c>
      <c r="W110" s="38"/>
      <c r="X110" s="38">
        <f>SUM(X100:X109)+X97</f>
        <v>34770</v>
      </c>
      <c r="Y110" s="38"/>
      <c r="Z110" s="38">
        <f>SUM(Z100:Z109)+Z97</f>
        <v>332</v>
      </c>
      <c r="AA110" s="38"/>
      <c r="AB110" s="38">
        <f>SUM(AB100:AB109)+AB97</f>
        <v>50</v>
      </c>
      <c r="AC110" s="38"/>
      <c r="AD110" s="38">
        <f>SUM(AD100:AD109)+AD97</f>
        <v>200</v>
      </c>
      <c r="AE110" s="38"/>
      <c r="AF110" s="38">
        <f>SUM(AF100:AF109)+AF97</f>
        <v>225</v>
      </c>
      <c r="AG110" s="38"/>
      <c r="AH110" s="38">
        <f>SUM(AH100:AH109)+AH97</f>
        <v>200</v>
      </c>
      <c r="AI110" s="38"/>
      <c r="AJ110" s="38">
        <f>SUM(AJ100:AJ109)+AJ97</f>
        <v>135</v>
      </c>
      <c r="AK110" s="38"/>
      <c r="AL110" s="38">
        <f>SUM(AL100:AL109)+AL97</f>
        <v>5</v>
      </c>
      <c r="AM110" s="38"/>
      <c r="AN110" s="38">
        <f>SUM(AN100:AN109)+AN97</f>
        <v>760</v>
      </c>
      <c r="AO110" s="38"/>
      <c r="AP110" s="38"/>
      <c r="AQ110" s="38" t="s">
        <v>599</v>
      </c>
      <c r="AR110" s="38">
        <v>3</v>
      </c>
    </row>
    <row r="114" spans="1:6" ht="14.5">
      <c r="A114" s="170" t="s">
        <v>368</v>
      </c>
      <c r="B114" s="171"/>
      <c r="C114" s="171"/>
    </row>
    <row r="115" spans="1:6" ht="13">
      <c r="A115" s="91" t="s">
        <v>450</v>
      </c>
      <c r="B115" s="91" t="s">
        <v>451</v>
      </c>
      <c r="C115" s="91" t="s">
        <v>452</v>
      </c>
      <c r="D115" s="8"/>
      <c r="E115" s="8"/>
    </row>
    <row r="116" spans="1:6">
      <c r="A116" s="89" t="s">
        <v>469</v>
      </c>
      <c r="B116" s="87" cm="1">
        <f t="array" ref="B116">SUM(IF(K8:K109=A116,I8:J109,""))</f>
        <v>1138</v>
      </c>
      <c r="C116" s="88">
        <v>2000</v>
      </c>
      <c r="D116" s="4"/>
      <c r="E116" s="4"/>
    </row>
    <row r="117" spans="1:6">
      <c r="A117" s="89" t="s">
        <v>470</v>
      </c>
      <c r="B117" s="87" cm="1">
        <f t="array" ref="B117">SUM(IF(K7:K109=A117,I7:J109,""),AD23)</f>
        <v>1423</v>
      </c>
      <c r="C117" s="88">
        <v>2000</v>
      </c>
    </row>
    <row r="118" spans="1:6">
      <c r="A118" s="89" t="s">
        <v>472</v>
      </c>
      <c r="B118" s="87" cm="1">
        <f t="array" ref="B118">SUM(IF(K7:K109=A118,I7:J109,""),AB19,AD24)</f>
        <v>1208</v>
      </c>
      <c r="C118" s="88">
        <v>2000</v>
      </c>
      <c r="D118" s="4"/>
      <c r="E118" s="4"/>
    </row>
    <row r="119" spans="1:6">
      <c r="A119" s="89" t="s">
        <v>535</v>
      </c>
      <c r="B119" s="88">
        <v>10</v>
      </c>
      <c r="C119" s="88" t="s">
        <v>600</v>
      </c>
      <c r="D119" s="4"/>
      <c r="E119" s="4"/>
    </row>
    <row r="120" spans="1:6">
      <c r="A120" s="89" t="s">
        <v>536</v>
      </c>
      <c r="B120" s="88">
        <v>10</v>
      </c>
      <c r="C120" s="88" t="s">
        <v>600</v>
      </c>
    </row>
    <row r="121" spans="1:6">
      <c r="A121" s="89" t="s">
        <v>537</v>
      </c>
      <c r="B121" s="88">
        <v>10</v>
      </c>
      <c r="C121" s="88" t="s">
        <v>600</v>
      </c>
    </row>
    <row r="122" spans="1:6">
      <c r="A122" s="89" t="s">
        <v>538</v>
      </c>
      <c r="B122" s="88">
        <v>10</v>
      </c>
      <c r="C122" s="88" t="s">
        <v>600</v>
      </c>
    </row>
    <row r="123" spans="1:6">
      <c r="A123" s="89" t="s">
        <v>539</v>
      </c>
      <c r="B123" s="88">
        <v>10</v>
      </c>
      <c r="C123" s="88" t="s">
        <v>600</v>
      </c>
    </row>
    <row r="124" spans="1:6">
      <c r="A124" s="89" t="s">
        <v>578</v>
      </c>
      <c r="B124" s="88">
        <v>10</v>
      </c>
      <c r="C124" s="88" t="s">
        <v>600</v>
      </c>
    </row>
    <row r="125" spans="1:6" ht="14.5">
      <c r="A125" s="89" t="s">
        <v>622</v>
      </c>
      <c r="B125" s="88">
        <v>230</v>
      </c>
      <c r="C125" s="88">
        <f>$L$11/2</f>
        <v>250</v>
      </c>
      <c r="D125"/>
      <c r="E125" s="12"/>
      <c r="F125" s="82"/>
    </row>
    <row r="126" spans="1:6" ht="14.5">
      <c r="A126" s="89" t="s">
        <v>623</v>
      </c>
      <c r="B126" s="88">
        <v>230</v>
      </c>
      <c r="C126" s="88">
        <f>$L$11/2</f>
        <v>250</v>
      </c>
      <c r="D126"/>
      <c r="E126" s="12"/>
      <c r="F126" s="82"/>
    </row>
    <row r="127" spans="1:6">
      <c r="A127" s="89" t="s">
        <v>624</v>
      </c>
      <c r="B127" s="88">
        <v>1900</v>
      </c>
      <c r="C127" s="88">
        <f>$N$11/8</f>
        <v>2050</v>
      </c>
      <c r="E127" s="82"/>
      <c r="F127" s="81"/>
    </row>
    <row r="128" spans="1:6" ht="12.65" customHeight="1">
      <c r="A128" s="89" t="s">
        <v>625</v>
      </c>
      <c r="B128" s="88">
        <v>1900</v>
      </c>
      <c r="C128" s="88">
        <f t="shared" ref="C128:C134" si="19">$N$11/8</f>
        <v>2050</v>
      </c>
      <c r="E128" s="82"/>
      <c r="F128" s="81"/>
    </row>
    <row r="129" spans="1:6" ht="12.65" customHeight="1">
      <c r="A129" s="89" t="s">
        <v>626</v>
      </c>
      <c r="B129" s="88">
        <v>1900</v>
      </c>
      <c r="C129" s="88">
        <f t="shared" si="19"/>
        <v>2050</v>
      </c>
      <c r="E129" s="82"/>
      <c r="F129" s="81"/>
    </row>
    <row r="130" spans="1:6" ht="12.65" customHeight="1">
      <c r="A130" s="89" t="s">
        <v>627</v>
      </c>
      <c r="B130" s="88">
        <v>1900</v>
      </c>
      <c r="C130" s="88">
        <f t="shared" si="19"/>
        <v>2050</v>
      </c>
      <c r="E130" s="82"/>
      <c r="F130" s="81"/>
    </row>
    <row r="131" spans="1:6" ht="12.65" customHeight="1">
      <c r="A131" s="89" t="s">
        <v>628</v>
      </c>
      <c r="B131" s="88">
        <v>1900</v>
      </c>
      <c r="C131" s="88">
        <f t="shared" si="19"/>
        <v>2050</v>
      </c>
      <c r="E131" s="82"/>
      <c r="F131" s="81"/>
    </row>
    <row r="132" spans="1:6" ht="12.65" customHeight="1">
      <c r="A132" s="89" t="s">
        <v>629</v>
      </c>
      <c r="B132" s="88">
        <v>1900</v>
      </c>
      <c r="C132" s="88">
        <f t="shared" si="19"/>
        <v>2050</v>
      </c>
      <c r="E132" s="82"/>
      <c r="F132" s="81"/>
    </row>
    <row r="133" spans="1:6" ht="12.65" customHeight="1">
      <c r="A133" s="89" t="s">
        <v>630</v>
      </c>
      <c r="B133" s="88">
        <v>1900</v>
      </c>
      <c r="C133" s="88">
        <f t="shared" si="19"/>
        <v>2050</v>
      </c>
      <c r="E133" s="82"/>
      <c r="F133" s="81"/>
    </row>
    <row r="134" spans="1:6" ht="12.65" customHeight="1">
      <c r="A134" s="89" t="s">
        <v>631</v>
      </c>
      <c r="B134" s="88">
        <v>1900</v>
      </c>
      <c r="C134" s="88">
        <f t="shared" si="19"/>
        <v>2050</v>
      </c>
      <c r="E134" s="82"/>
      <c r="F134" s="81"/>
    </row>
    <row r="135" spans="1:6" ht="12.65" customHeight="1">
      <c r="A135" s="89" t="s">
        <v>632</v>
      </c>
      <c r="B135" s="88">
        <v>8300</v>
      </c>
      <c r="C135" s="88">
        <v>9000</v>
      </c>
      <c r="E135" s="82"/>
      <c r="F135" s="82"/>
    </row>
    <row r="136" spans="1:6" ht="13.4" customHeight="1">
      <c r="A136" s="89" t="s">
        <v>633</v>
      </c>
      <c r="B136" s="88">
        <v>8300</v>
      </c>
      <c r="C136" s="88">
        <v>9000</v>
      </c>
      <c r="E136" s="82"/>
      <c r="F136" s="82"/>
    </row>
    <row r="137" spans="1:6">
      <c r="A137" s="89" t="s">
        <v>634</v>
      </c>
      <c r="B137" s="88">
        <f>656+42+15+35</f>
        <v>748</v>
      </c>
      <c r="C137" s="88">
        <v>830</v>
      </c>
      <c r="E137" s="82"/>
      <c r="F137" s="82"/>
    </row>
    <row r="138" spans="1:6" ht="13.4" customHeight="1">
      <c r="A138" s="89" t="s">
        <v>635</v>
      </c>
      <c r="B138" s="88">
        <v>572</v>
      </c>
      <c r="C138" s="88">
        <v>635</v>
      </c>
      <c r="E138" s="82"/>
      <c r="F138" s="82"/>
    </row>
    <row r="139" spans="1:6">
      <c r="A139" s="89" t="s">
        <v>194</v>
      </c>
      <c r="B139" s="88">
        <v>270</v>
      </c>
      <c r="C139" s="88">
        <v>300</v>
      </c>
    </row>
    <row r="140" spans="1:6">
      <c r="A140" s="89" t="s">
        <v>457</v>
      </c>
      <c r="B140" s="88">
        <v>300</v>
      </c>
      <c r="C140" s="88">
        <v>330</v>
      </c>
    </row>
    <row r="141" spans="1:6">
      <c r="A141" s="89" t="s">
        <v>421</v>
      </c>
      <c r="B141" s="88">
        <v>150</v>
      </c>
      <c r="C141" s="88">
        <v>200</v>
      </c>
      <c r="E141" s="82"/>
      <c r="F141" s="82"/>
    </row>
    <row r="142" spans="1:6" ht="13.4" customHeight="1">
      <c r="A142" s="89" t="s">
        <v>636</v>
      </c>
      <c r="B142" s="88">
        <v>3900</v>
      </c>
      <c r="C142" s="88">
        <v>4200</v>
      </c>
      <c r="E142" s="82"/>
      <c r="F142" s="82"/>
    </row>
    <row r="143" spans="1:6" ht="13.4" customHeight="1">
      <c r="A143" s="89" t="s">
        <v>637</v>
      </c>
      <c r="B143" s="88">
        <v>3900</v>
      </c>
      <c r="C143" s="88">
        <v>4200</v>
      </c>
      <c r="E143" s="82"/>
      <c r="F143" s="82"/>
    </row>
    <row r="144" spans="1:6" ht="13.4" customHeight="1">
      <c r="A144" s="89" t="s">
        <v>638</v>
      </c>
      <c r="B144" s="88">
        <v>3900</v>
      </c>
      <c r="C144" s="88">
        <v>4200</v>
      </c>
      <c r="E144" s="82"/>
      <c r="F144" s="82"/>
    </row>
    <row r="145" spans="1:6" ht="13.4" customHeight="1">
      <c r="A145" s="89" t="s">
        <v>639</v>
      </c>
      <c r="B145" s="88">
        <v>3900</v>
      </c>
      <c r="C145" s="88">
        <v>4200</v>
      </c>
      <c r="E145" s="82"/>
      <c r="F145" s="82"/>
    </row>
    <row r="146" spans="1:6" ht="13.4" customHeight="1">
      <c r="A146" s="89" t="s">
        <v>640</v>
      </c>
      <c r="B146" s="88">
        <v>3900</v>
      </c>
      <c r="C146" s="88">
        <v>4200</v>
      </c>
      <c r="E146" s="82"/>
      <c r="F146" s="82"/>
    </row>
    <row r="147" spans="1:6" ht="13.4" customHeight="1">
      <c r="A147" s="89" t="s">
        <v>641</v>
      </c>
      <c r="B147" s="88">
        <v>3900</v>
      </c>
      <c r="C147" s="88">
        <v>4200</v>
      </c>
      <c r="E147" s="82"/>
      <c r="F147" s="82"/>
    </row>
    <row r="148" spans="1:6" ht="13.4" customHeight="1">
      <c r="A148" s="89" t="s">
        <v>642</v>
      </c>
      <c r="B148" s="88">
        <v>3900</v>
      </c>
      <c r="C148" s="88">
        <v>4200</v>
      </c>
      <c r="E148" s="82"/>
      <c r="F148" s="82"/>
    </row>
    <row r="149" spans="1:6" ht="13.4" customHeight="1">
      <c r="A149" s="89" t="s">
        <v>643</v>
      </c>
      <c r="B149" s="88">
        <v>3900</v>
      </c>
      <c r="C149" s="88">
        <v>4200</v>
      </c>
      <c r="E149" s="82"/>
      <c r="F149" s="82"/>
    </row>
    <row r="150" spans="1:6">
      <c r="A150" s="89" t="s">
        <v>612</v>
      </c>
      <c r="B150" s="88">
        <v>737</v>
      </c>
      <c r="C150" s="88">
        <v>800</v>
      </c>
      <c r="E150" s="82"/>
      <c r="F150" s="82"/>
    </row>
    <row r="151" spans="1:6">
      <c r="A151" s="89" t="s">
        <v>644</v>
      </c>
      <c r="B151" s="92">
        <f>SUM(I85:J87)+V85</f>
        <v>6236</v>
      </c>
      <c r="C151" s="92">
        <v>6500</v>
      </c>
      <c r="E151" s="82"/>
      <c r="F151" s="82"/>
    </row>
    <row r="152" spans="1:6">
      <c r="A152" s="89" t="s">
        <v>613</v>
      </c>
      <c r="B152" s="92">
        <v>200</v>
      </c>
      <c r="C152" s="92">
        <v>250</v>
      </c>
    </row>
    <row r="153" spans="1:6">
      <c r="A153" s="89" t="s">
        <v>468</v>
      </c>
      <c r="B153" s="103">
        <f>SUM(I8:J9)</f>
        <v>842</v>
      </c>
      <c r="C153" s="103">
        <f>IF(E9="vCSA8.0", 1100, 900)</f>
        <v>900</v>
      </c>
    </row>
    <row r="154" spans="1:6">
      <c r="A154" s="89" t="s">
        <v>489</v>
      </c>
      <c r="B154" s="88">
        <v>200</v>
      </c>
      <c r="C154" s="88">
        <v>225</v>
      </c>
    </row>
    <row r="155" spans="1:6">
      <c r="A155" s="109" t="s">
        <v>499</v>
      </c>
      <c r="B155" s="107">
        <v>58</v>
      </c>
      <c r="C155" s="110">
        <v>100</v>
      </c>
    </row>
    <row r="156" spans="1:6">
      <c r="A156" s="109" t="s">
        <v>492</v>
      </c>
      <c r="B156" s="88">
        <v>824.5</v>
      </c>
      <c r="C156" s="88">
        <v>900</v>
      </c>
    </row>
    <row r="157" spans="1:6">
      <c r="A157" s="72" t="s">
        <v>541</v>
      </c>
    </row>
    <row r="158" spans="1:6">
      <c r="A158" s="72" t="s">
        <v>602</v>
      </c>
    </row>
  </sheetData>
  <mergeCells count="12">
    <mergeCell ref="A1:E1"/>
    <mergeCell ref="A2:B2"/>
    <mergeCell ref="A3:B3"/>
    <mergeCell ref="F3:G3"/>
    <mergeCell ref="A4:B4"/>
    <mergeCell ref="A5:B5"/>
    <mergeCell ref="A114:C114"/>
    <mergeCell ref="A6:B6"/>
    <mergeCell ref="A50:D50"/>
    <mergeCell ref="H50:O53"/>
    <mergeCell ref="A51:D51"/>
    <mergeCell ref="A43:B43"/>
  </mergeCells>
  <dataValidations count="1">
    <dataValidation type="list" allowBlank="1" showInputMessage="1" showErrorMessage="1" sqref="E9" xr:uid="{B8526A9F-DCC5-44B9-A500-5322B39E80D8}">
      <formula1>"vCSA8.0, vCSA7.0"</formula1>
    </dataValidation>
  </dataValidations>
  <hyperlinks>
    <hyperlink ref="F3:G3" location="Shortcuts!A1" display="Back to shortcuts" xr:uid="{DC99E81B-9858-4958-8369-D4184BA8038C}"/>
  </hyperlinks>
  <pageMargins left="0.7" right="0.7" top="0.75" bottom="0.75" header="0.3" footer="0.3"/>
  <pageSetup paperSize="9" orientation="portrait" r:id="rId1"/>
  <headerFooter>
    <oddFooter>&amp;C&amp;1#&amp;"Arial"&amp;8&amp;K001753Nokia internal use</oddFooter>
  </headerFooter>
  <ignoredErrors>
    <ignoredError sqref="G42:H42" unlockedFormula="1"/>
  </ignoredErrors>
  <drawing r:id="rId2"/>
  <legacyDrawing r:id="rId3"/>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F3BAE6-AF5F-492B-A134-A6D598F1002D}">
  <sheetPr codeName="Sheet96"/>
  <dimension ref="A1:AH65"/>
  <sheetViews>
    <sheetView zoomScale="80" zoomScaleNormal="80" zoomScalePageLayoutView="70" workbookViewId="0">
      <selection activeCell="G8" sqref="G8"/>
    </sheetView>
  </sheetViews>
  <sheetFormatPr defaultColWidth="30.54296875" defaultRowHeight="12.5"/>
  <cols>
    <col min="1" max="1" width="36.453125" style="4" customWidth="1"/>
    <col min="2" max="4" width="30.54296875" style="4"/>
    <col min="5" max="5" width="35.81640625" style="4" customWidth="1"/>
    <col min="6" max="29" width="30.54296875" style="4"/>
    <col min="30" max="30" width="30.54296875" style="12"/>
    <col min="31" max="16384" width="30.54296875" style="4"/>
  </cols>
  <sheetData>
    <row r="1" spans="1:34" ht="13">
      <c r="A1" s="156" t="s">
        <v>15</v>
      </c>
      <c r="B1" s="156"/>
      <c r="C1" s="156"/>
      <c r="D1" s="156"/>
      <c r="E1" s="157"/>
      <c r="F1" s="5" t="s">
        <v>645</v>
      </c>
    </row>
    <row r="2" spans="1:34" ht="14.5">
      <c r="A2" s="162" t="s">
        <v>355</v>
      </c>
      <c r="B2" s="168"/>
      <c r="C2" s="4" t="s">
        <v>356</v>
      </c>
    </row>
    <row r="3" spans="1:34" ht="14.5">
      <c r="A3" s="162" t="s">
        <v>357</v>
      </c>
      <c r="B3" s="162"/>
      <c r="F3" s="169" t="s">
        <v>358</v>
      </c>
      <c r="G3" s="169"/>
    </row>
    <row r="4" spans="1:34">
      <c r="A4" s="162" t="s">
        <v>359</v>
      </c>
      <c r="B4" s="162"/>
    </row>
    <row r="5" spans="1:34">
      <c r="A5" s="162" t="s">
        <v>360</v>
      </c>
      <c r="B5" s="162"/>
    </row>
    <row r="6" spans="1:34" ht="13">
      <c r="A6" s="162" t="s">
        <v>361</v>
      </c>
      <c r="B6" s="162"/>
      <c r="C6" s="14"/>
    </row>
    <row r="7" spans="1:34" ht="13">
      <c r="A7" s="7" t="s">
        <v>143</v>
      </c>
      <c r="B7" s="7" t="s">
        <v>362</v>
      </c>
      <c r="C7" s="7" t="s">
        <v>363</v>
      </c>
      <c r="D7" s="7" t="s">
        <v>364</v>
      </c>
      <c r="E7" s="7" t="s">
        <v>365</v>
      </c>
      <c r="F7" s="6" t="s">
        <v>129</v>
      </c>
      <c r="G7" s="6" t="s">
        <v>146</v>
      </c>
      <c r="H7" s="6" t="s">
        <v>366</v>
      </c>
      <c r="I7" s="6" t="s">
        <v>149</v>
      </c>
      <c r="J7" s="6" t="s">
        <v>367</v>
      </c>
      <c r="K7" s="6" t="s">
        <v>368</v>
      </c>
      <c r="L7" s="6" t="s">
        <v>170</v>
      </c>
      <c r="M7" s="6" t="s">
        <v>368</v>
      </c>
      <c r="N7" s="6" t="s">
        <v>30</v>
      </c>
      <c r="O7" s="6" t="s">
        <v>368</v>
      </c>
      <c r="P7" s="6" t="s">
        <v>175</v>
      </c>
      <c r="Q7" s="6" t="s">
        <v>368</v>
      </c>
      <c r="R7" s="6" t="s">
        <v>189</v>
      </c>
      <c r="S7" s="6" t="s">
        <v>368</v>
      </c>
      <c r="T7" s="6" t="s">
        <v>179</v>
      </c>
      <c r="U7" s="6" t="s">
        <v>368</v>
      </c>
      <c r="V7" s="6" t="s">
        <v>369</v>
      </c>
      <c r="W7" s="6" t="s">
        <v>368</v>
      </c>
      <c r="X7" s="6" t="s">
        <v>370</v>
      </c>
      <c r="Y7" s="6" t="s">
        <v>368</v>
      </c>
      <c r="Z7" s="6" t="s">
        <v>371</v>
      </c>
      <c r="AA7" s="6" t="s">
        <v>368</v>
      </c>
      <c r="AB7" s="6" t="s">
        <v>372</v>
      </c>
      <c r="AC7" s="6" t="s">
        <v>368</v>
      </c>
      <c r="AD7" s="6" t="s">
        <v>373</v>
      </c>
      <c r="AE7" s="6" t="s">
        <v>368</v>
      </c>
      <c r="AF7" s="6" t="s">
        <v>374</v>
      </c>
      <c r="AG7" s="6" t="s">
        <v>375</v>
      </c>
      <c r="AH7" s="6" t="s">
        <v>376</v>
      </c>
    </row>
    <row r="8" spans="1:34">
      <c r="A8" s="4" t="s">
        <v>377</v>
      </c>
      <c r="B8" s="12"/>
      <c r="D8" s="4" t="s">
        <v>378</v>
      </c>
      <c r="E8" s="4" t="s">
        <v>19</v>
      </c>
      <c r="F8" s="12">
        <v>4</v>
      </c>
      <c r="G8" s="12">
        <v>8</v>
      </c>
      <c r="H8" s="12">
        <v>0</v>
      </c>
      <c r="I8" s="12">
        <v>351</v>
      </c>
      <c r="J8" s="12">
        <f>G8-H8</f>
        <v>8</v>
      </c>
      <c r="K8" s="12" t="s">
        <v>379</v>
      </c>
      <c r="L8" s="12"/>
      <c r="M8" s="12"/>
      <c r="N8" s="12"/>
      <c r="O8" s="12"/>
      <c r="P8" s="12"/>
      <c r="Q8" s="12"/>
      <c r="R8" s="12"/>
      <c r="S8" s="12"/>
      <c r="T8" s="12"/>
      <c r="U8" s="12"/>
      <c r="V8" s="12"/>
      <c r="W8" s="12"/>
      <c r="X8" s="12"/>
      <c r="Y8" s="12"/>
      <c r="Z8" s="12"/>
      <c r="AA8" s="12"/>
      <c r="AB8" s="12"/>
      <c r="AC8" s="12"/>
      <c r="AE8" s="12"/>
      <c r="AF8" s="12" t="s">
        <v>380</v>
      </c>
      <c r="AG8" s="12" t="s">
        <v>381</v>
      </c>
      <c r="AH8" s="12"/>
    </row>
    <row r="9" spans="1:34">
      <c r="A9" s="4" t="s">
        <v>385</v>
      </c>
      <c r="B9" s="12" t="s">
        <v>386</v>
      </c>
      <c r="C9" s="4" t="s">
        <v>387</v>
      </c>
      <c r="D9" s="4" t="s">
        <v>378</v>
      </c>
      <c r="E9" s="4" t="s">
        <v>388</v>
      </c>
      <c r="F9" s="12">
        <v>4</v>
      </c>
      <c r="G9" s="12">
        <v>4</v>
      </c>
      <c r="H9" s="12">
        <v>4</v>
      </c>
      <c r="I9" s="12">
        <v>41</v>
      </c>
      <c r="J9" s="12">
        <f t="shared" ref="J9:J26" si="0">G9-H9</f>
        <v>0</v>
      </c>
      <c r="K9" s="12" t="s">
        <v>379</v>
      </c>
      <c r="L9" s="12"/>
      <c r="M9" s="12"/>
      <c r="N9" s="12"/>
      <c r="O9" s="12"/>
      <c r="P9" s="12"/>
      <c r="Q9" s="12"/>
      <c r="R9" s="12"/>
      <c r="S9" s="12"/>
      <c r="T9" s="12"/>
      <c r="U9" s="12"/>
      <c r="V9" s="12"/>
      <c r="W9" s="12"/>
      <c r="X9" s="12"/>
      <c r="Y9" s="12"/>
      <c r="Z9" s="12"/>
      <c r="AA9" s="12"/>
      <c r="AB9" s="12"/>
      <c r="AC9" s="12"/>
      <c r="AE9" s="12"/>
      <c r="AF9" s="12" t="s">
        <v>380</v>
      </c>
      <c r="AG9" s="12" t="s">
        <v>381</v>
      </c>
      <c r="AH9" s="12"/>
    </row>
    <row r="10" spans="1:34">
      <c r="A10" s="4" t="s">
        <v>389</v>
      </c>
      <c r="B10" s="12"/>
      <c r="C10" s="4" t="s">
        <v>387</v>
      </c>
      <c r="D10" s="4" t="s">
        <v>378</v>
      </c>
      <c r="E10" s="4" t="s">
        <v>30</v>
      </c>
      <c r="F10" s="12">
        <v>6</v>
      </c>
      <c r="G10" s="12">
        <v>40</v>
      </c>
      <c r="H10" s="12">
        <f>(G10*82.5)/100</f>
        <v>33</v>
      </c>
      <c r="I10" s="12">
        <v>101</v>
      </c>
      <c r="J10" s="12">
        <f t="shared" si="0"/>
        <v>7</v>
      </c>
      <c r="K10" s="12" t="s">
        <v>379</v>
      </c>
      <c r="L10" s="12">
        <v>66</v>
      </c>
      <c r="M10" s="12" t="s">
        <v>390</v>
      </c>
      <c r="N10" s="12">
        <v>1350</v>
      </c>
      <c r="O10" s="12" t="s">
        <v>391</v>
      </c>
      <c r="P10" s="12">
        <v>1650</v>
      </c>
      <c r="Q10" s="12" t="s">
        <v>392</v>
      </c>
      <c r="R10" s="12"/>
      <c r="S10" s="12"/>
      <c r="T10" s="12"/>
      <c r="U10" s="12"/>
      <c r="V10" s="28">
        <v>4500</v>
      </c>
      <c r="W10" s="12" t="s">
        <v>179</v>
      </c>
      <c r="X10" s="12"/>
      <c r="Y10" s="12"/>
      <c r="Z10" s="12"/>
      <c r="AA10" s="12"/>
      <c r="AB10" s="12"/>
      <c r="AC10" s="12"/>
      <c r="AE10" s="12"/>
      <c r="AF10" s="12" t="s">
        <v>380</v>
      </c>
      <c r="AG10" s="12" t="s">
        <v>381</v>
      </c>
      <c r="AH10" s="12"/>
    </row>
    <row r="11" spans="1:34">
      <c r="A11" s="4" t="s">
        <v>393</v>
      </c>
      <c r="B11" s="12" t="s">
        <v>386</v>
      </c>
      <c r="C11" s="4" t="s">
        <v>387</v>
      </c>
      <c r="D11" s="4" t="s">
        <v>378</v>
      </c>
      <c r="E11" s="4" t="s">
        <v>34</v>
      </c>
      <c r="F11" s="12">
        <v>3</v>
      </c>
      <c r="G11" s="12">
        <v>5</v>
      </c>
      <c r="H11" s="12">
        <v>5</v>
      </c>
      <c r="I11" s="12">
        <v>46</v>
      </c>
      <c r="J11" s="12">
        <f t="shared" si="0"/>
        <v>0</v>
      </c>
      <c r="K11" s="12" t="s">
        <v>379</v>
      </c>
      <c r="L11" s="12"/>
      <c r="M11" s="12"/>
      <c r="N11" s="12"/>
      <c r="O11" s="12"/>
      <c r="P11" s="12"/>
      <c r="Q11" s="12"/>
      <c r="R11" s="12">
        <v>340</v>
      </c>
      <c r="S11" s="12" t="s">
        <v>394</v>
      </c>
      <c r="T11" s="12"/>
      <c r="U11" s="12"/>
      <c r="V11" s="12">
        <v>250</v>
      </c>
      <c r="W11" s="12" t="s">
        <v>179</v>
      </c>
      <c r="X11" s="12"/>
      <c r="Y11" s="12"/>
      <c r="Z11" s="12"/>
      <c r="AA11" s="12"/>
      <c r="AB11" s="12"/>
      <c r="AC11" s="12"/>
      <c r="AE11" s="12"/>
      <c r="AF11" s="12" t="s">
        <v>380</v>
      </c>
      <c r="AG11" s="12" t="s">
        <v>381</v>
      </c>
      <c r="AH11" s="12"/>
    </row>
    <row r="12" spans="1:34">
      <c r="A12" s="4" t="s">
        <v>395</v>
      </c>
      <c r="B12" s="12"/>
      <c r="C12" s="4" t="s">
        <v>387</v>
      </c>
      <c r="D12" s="4" t="s">
        <v>378</v>
      </c>
      <c r="E12" s="4" t="s">
        <v>38</v>
      </c>
      <c r="F12" s="12">
        <v>2</v>
      </c>
      <c r="G12" s="12">
        <v>3</v>
      </c>
      <c r="H12" s="12">
        <v>0</v>
      </c>
      <c r="I12" s="12">
        <v>31</v>
      </c>
      <c r="J12" s="12">
        <f t="shared" si="0"/>
        <v>3</v>
      </c>
      <c r="K12" s="12" t="s">
        <v>379</v>
      </c>
      <c r="L12" s="12"/>
      <c r="M12" s="12"/>
      <c r="N12" s="12"/>
      <c r="O12" s="12"/>
      <c r="P12" s="12"/>
      <c r="Q12" s="12"/>
      <c r="R12" s="12"/>
      <c r="S12" s="12"/>
      <c r="T12" s="12"/>
      <c r="U12" s="12"/>
      <c r="V12" s="12"/>
      <c r="W12" s="12"/>
      <c r="X12" s="12"/>
      <c r="Y12" s="12"/>
      <c r="Z12" s="12"/>
      <c r="AA12" s="12"/>
      <c r="AB12" s="12"/>
      <c r="AC12" s="12"/>
      <c r="AE12" s="12"/>
      <c r="AF12" s="12" t="s">
        <v>396</v>
      </c>
      <c r="AG12" s="12" t="s">
        <v>397</v>
      </c>
      <c r="AH12" s="12" t="s">
        <v>381</v>
      </c>
    </row>
    <row r="13" spans="1:34">
      <c r="A13" s="4" t="s">
        <v>398</v>
      </c>
      <c r="B13" s="12"/>
      <c r="C13" s="4" t="s">
        <v>387</v>
      </c>
      <c r="D13" s="4" t="s">
        <v>378</v>
      </c>
      <c r="E13" s="4" t="s">
        <v>42</v>
      </c>
      <c r="F13" s="12">
        <v>2</v>
      </c>
      <c r="G13" s="12">
        <v>3</v>
      </c>
      <c r="H13" s="12">
        <v>0</v>
      </c>
      <c r="I13" s="12">
        <v>31</v>
      </c>
      <c r="J13" s="12">
        <f t="shared" si="0"/>
        <v>3</v>
      </c>
      <c r="K13" s="12" t="s">
        <v>379</v>
      </c>
      <c r="L13" s="12"/>
      <c r="M13" s="12"/>
      <c r="N13" s="12"/>
      <c r="O13" s="12"/>
      <c r="P13" s="12"/>
      <c r="Q13" s="12"/>
      <c r="R13" s="12"/>
      <c r="S13" s="12"/>
      <c r="T13" s="12"/>
      <c r="U13" s="12"/>
      <c r="V13" s="12"/>
      <c r="W13" s="12"/>
      <c r="X13" s="12"/>
      <c r="Y13" s="12"/>
      <c r="Z13" s="12"/>
      <c r="AA13" s="12"/>
      <c r="AB13" s="12"/>
      <c r="AC13" s="12"/>
      <c r="AE13" s="12"/>
      <c r="AF13" s="12" t="s">
        <v>380</v>
      </c>
      <c r="AG13" s="12" t="s">
        <v>381</v>
      </c>
      <c r="AH13" s="12"/>
    </row>
    <row r="14" spans="1:34">
      <c r="A14" s="4" t="s">
        <v>399</v>
      </c>
      <c r="B14" s="12"/>
      <c r="C14" s="4" t="s">
        <v>387</v>
      </c>
      <c r="D14" s="4" t="s">
        <v>378</v>
      </c>
      <c r="E14" s="4" t="s">
        <v>400</v>
      </c>
      <c r="F14" s="12">
        <v>3</v>
      </c>
      <c r="G14" s="12">
        <v>6</v>
      </c>
      <c r="H14" s="12">
        <v>0</v>
      </c>
      <c r="I14" s="12">
        <v>61</v>
      </c>
      <c r="J14" s="12">
        <f t="shared" si="0"/>
        <v>6</v>
      </c>
      <c r="K14" s="12" t="s">
        <v>379</v>
      </c>
      <c r="L14" s="12"/>
      <c r="M14" s="12"/>
      <c r="N14" s="12"/>
      <c r="O14" s="12"/>
      <c r="P14" s="12"/>
      <c r="Q14" s="12"/>
      <c r="R14" s="12"/>
      <c r="S14" s="12"/>
      <c r="T14" s="12"/>
      <c r="U14" s="12"/>
      <c r="V14" s="12"/>
      <c r="W14" s="12"/>
      <c r="X14" s="12"/>
      <c r="Y14" s="12"/>
      <c r="Z14" s="12"/>
      <c r="AA14" s="12"/>
      <c r="AB14" s="12"/>
      <c r="AC14" s="12"/>
      <c r="AE14" s="12"/>
      <c r="AF14" s="12" t="s">
        <v>396</v>
      </c>
      <c r="AG14" s="12" t="s">
        <v>397</v>
      </c>
      <c r="AH14" s="12"/>
    </row>
    <row r="15" spans="1:34">
      <c r="A15" s="4" t="s">
        <v>401</v>
      </c>
      <c r="B15" s="12"/>
      <c r="C15" s="4" t="s">
        <v>387</v>
      </c>
      <c r="D15" s="4" t="s">
        <v>378</v>
      </c>
      <c r="E15" s="4" t="s">
        <v>402</v>
      </c>
      <c r="F15" s="12">
        <v>3</v>
      </c>
      <c r="G15" s="12">
        <v>4</v>
      </c>
      <c r="H15" s="12">
        <v>0</v>
      </c>
      <c r="I15" s="12">
        <v>56</v>
      </c>
      <c r="J15" s="12">
        <f t="shared" si="0"/>
        <v>4</v>
      </c>
      <c r="K15" s="12" t="s">
        <v>379</v>
      </c>
      <c r="L15" s="12"/>
      <c r="M15" s="12"/>
      <c r="N15" s="12"/>
      <c r="O15" s="12"/>
      <c r="P15" s="12"/>
      <c r="Q15" s="12"/>
      <c r="S15" s="12"/>
      <c r="T15" s="12"/>
      <c r="U15" s="12"/>
      <c r="V15" s="12"/>
      <c r="W15" s="12"/>
      <c r="X15" s="12"/>
      <c r="Y15" s="12"/>
      <c r="Z15" s="12"/>
      <c r="AA15" s="12"/>
      <c r="AB15" s="12"/>
      <c r="AC15" s="12"/>
      <c r="AE15" s="12"/>
      <c r="AF15" s="12" t="s">
        <v>396</v>
      </c>
      <c r="AG15" s="12" t="s">
        <v>397</v>
      </c>
      <c r="AH15" s="12"/>
    </row>
    <row r="16" spans="1:34">
      <c r="A16" s="4" t="s">
        <v>403</v>
      </c>
      <c r="B16" s="12"/>
      <c r="C16" s="4" t="s">
        <v>387</v>
      </c>
      <c r="D16" s="4" t="s">
        <v>378</v>
      </c>
      <c r="E16" s="4" t="s">
        <v>54</v>
      </c>
      <c r="F16" s="12">
        <v>5</v>
      </c>
      <c r="G16" s="12">
        <v>9</v>
      </c>
      <c r="H16" s="12">
        <v>0</v>
      </c>
      <c r="I16" s="12">
        <v>71</v>
      </c>
      <c r="J16" s="12">
        <f t="shared" si="0"/>
        <v>9</v>
      </c>
      <c r="K16" s="12" t="s">
        <v>379</v>
      </c>
      <c r="L16" s="12"/>
      <c r="M16" s="12"/>
      <c r="N16" s="12"/>
      <c r="O16" s="12"/>
      <c r="P16" s="12"/>
      <c r="Q16" s="12"/>
      <c r="R16" s="12"/>
      <c r="S16" s="12"/>
      <c r="T16" s="12"/>
      <c r="U16" s="12"/>
      <c r="V16" s="12"/>
      <c r="W16" s="12"/>
      <c r="X16" s="12"/>
      <c r="Y16" s="12"/>
      <c r="Z16" s="12"/>
      <c r="AA16" s="12"/>
      <c r="AB16" s="12"/>
      <c r="AC16" s="12"/>
      <c r="AE16" s="12"/>
      <c r="AF16" s="12" t="s">
        <v>396</v>
      </c>
      <c r="AG16" s="12" t="s">
        <v>397</v>
      </c>
      <c r="AH16" s="12"/>
    </row>
    <row r="17" spans="1:34">
      <c r="A17" s="4" t="s">
        <v>404</v>
      </c>
      <c r="B17" s="12"/>
      <c r="C17" s="4" t="s">
        <v>387</v>
      </c>
      <c r="D17" s="4" t="s">
        <v>378</v>
      </c>
      <c r="E17" s="4" t="s">
        <v>58</v>
      </c>
      <c r="F17" s="12">
        <v>2</v>
      </c>
      <c r="G17" s="12">
        <v>4</v>
      </c>
      <c r="H17" s="12">
        <v>0</v>
      </c>
      <c r="I17" s="12">
        <v>31</v>
      </c>
      <c r="J17" s="12">
        <f t="shared" si="0"/>
        <v>4</v>
      </c>
      <c r="K17" s="12" t="s">
        <v>379</v>
      </c>
      <c r="L17" s="12"/>
      <c r="M17" s="12"/>
      <c r="N17" s="12"/>
      <c r="O17" s="12"/>
      <c r="P17" s="12"/>
      <c r="Q17" s="12"/>
      <c r="R17" s="12"/>
      <c r="S17" s="12"/>
      <c r="T17" s="12"/>
      <c r="U17" s="12"/>
      <c r="V17" s="12"/>
      <c r="W17" s="12"/>
      <c r="X17" s="12"/>
      <c r="Y17" s="12"/>
      <c r="Z17" s="12"/>
      <c r="AA17" s="12"/>
      <c r="AB17" s="12"/>
      <c r="AC17" s="12"/>
      <c r="AE17" s="12"/>
      <c r="AF17" s="12" t="s">
        <v>396</v>
      </c>
      <c r="AG17" s="12" t="s">
        <v>397</v>
      </c>
      <c r="AH17" s="12" t="s">
        <v>381</v>
      </c>
    </row>
    <row r="18" spans="1:34">
      <c r="A18" s="4" t="s">
        <v>405</v>
      </c>
      <c r="B18" s="12"/>
      <c r="C18" s="4" t="s">
        <v>387</v>
      </c>
      <c r="D18" s="4" t="s">
        <v>378</v>
      </c>
      <c r="E18" s="4" t="s">
        <v>406</v>
      </c>
      <c r="F18" s="12">
        <v>6</v>
      </c>
      <c r="G18" s="12">
        <v>9</v>
      </c>
      <c r="H18" s="12">
        <v>0</v>
      </c>
      <c r="I18" s="12">
        <v>101</v>
      </c>
      <c r="J18" s="12">
        <f t="shared" si="0"/>
        <v>9</v>
      </c>
      <c r="K18" s="12" t="s">
        <v>379</v>
      </c>
      <c r="L18" s="12"/>
      <c r="M18" s="12"/>
      <c r="N18" s="12"/>
      <c r="O18" s="12"/>
      <c r="P18" s="12"/>
      <c r="Q18" s="12"/>
      <c r="R18" s="12"/>
      <c r="S18" s="12"/>
      <c r="T18" s="12"/>
      <c r="U18" s="12"/>
      <c r="V18" s="12"/>
      <c r="W18" s="12"/>
      <c r="X18" s="12"/>
      <c r="Y18" s="12"/>
      <c r="Z18" s="12">
        <v>50</v>
      </c>
      <c r="AA18" s="12" t="s">
        <v>379</v>
      </c>
      <c r="AB18" s="12"/>
      <c r="AC18" s="12"/>
      <c r="AE18" s="12"/>
      <c r="AF18" s="12" t="s">
        <v>380</v>
      </c>
      <c r="AG18" s="12" t="s">
        <v>381</v>
      </c>
      <c r="AH18" s="12"/>
    </row>
    <row r="19" spans="1:34">
      <c r="A19" s="4" t="s">
        <v>407</v>
      </c>
      <c r="B19" s="12"/>
      <c r="C19" s="4" t="s">
        <v>387</v>
      </c>
      <c r="D19" s="4" t="s">
        <v>378</v>
      </c>
      <c r="E19" s="4" t="s">
        <v>65</v>
      </c>
      <c r="F19" s="12">
        <v>2</v>
      </c>
      <c r="G19" s="12">
        <v>5</v>
      </c>
      <c r="H19" s="12">
        <v>0</v>
      </c>
      <c r="I19" s="12">
        <v>51</v>
      </c>
      <c r="J19" s="12">
        <f t="shared" si="0"/>
        <v>5</v>
      </c>
      <c r="K19" s="12" t="s">
        <v>379</v>
      </c>
      <c r="L19" s="12"/>
      <c r="M19" s="12"/>
      <c r="N19" s="12"/>
      <c r="O19" s="12"/>
      <c r="P19" s="12"/>
      <c r="Q19" s="12"/>
      <c r="R19" s="12"/>
      <c r="S19" s="12"/>
      <c r="T19" s="12"/>
      <c r="U19" s="12"/>
      <c r="V19" s="12"/>
      <c r="W19" s="12"/>
      <c r="X19" s="12"/>
      <c r="Y19" s="12"/>
      <c r="Z19" s="12"/>
      <c r="AA19" s="12"/>
      <c r="AB19" s="12"/>
      <c r="AC19" s="12"/>
      <c r="AE19" s="12"/>
      <c r="AF19" s="12" t="s">
        <v>396</v>
      </c>
      <c r="AG19" s="12" t="s">
        <v>397</v>
      </c>
      <c r="AH19" s="12"/>
    </row>
    <row r="20" spans="1:34">
      <c r="A20" s="4" t="s">
        <v>408</v>
      </c>
      <c r="B20" s="12"/>
      <c r="C20" s="4" t="s">
        <v>387</v>
      </c>
      <c r="D20" s="4" t="s">
        <v>378</v>
      </c>
      <c r="E20" s="4" t="s">
        <v>73</v>
      </c>
      <c r="F20" s="12">
        <v>5</v>
      </c>
      <c r="G20" s="12">
        <v>12</v>
      </c>
      <c r="H20" s="12">
        <v>0</v>
      </c>
      <c r="I20" s="12">
        <v>56</v>
      </c>
      <c r="J20" s="12">
        <f t="shared" si="0"/>
        <v>12</v>
      </c>
      <c r="K20" s="12" t="s">
        <v>379</v>
      </c>
      <c r="L20" s="12"/>
      <c r="M20" s="12"/>
      <c r="N20" s="12"/>
      <c r="O20" s="12"/>
      <c r="P20" s="12"/>
      <c r="Q20" s="12"/>
      <c r="R20" s="12"/>
      <c r="S20" s="12"/>
      <c r="T20" s="12"/>
      <c r="U20" s="12"/>
      <c r="V20" s="12"/>
      <c r="W20" s="12"/>
      <c r="X20" s="12"/>
      <c r="Y20" s="12"/>
      <c r="Z20" s="12"/>
      <c r="AA20" s="12"/>
      <c r="AB20" s="12">
        <v>65</v>
      </c>
      <c r="AC20" s="12" t="s">
        <v>379</v>
      </c>
      <c r="AE20" s="12"/>
      <c r="AF20" s="12" t="s">
        <v>380</v>
      </c>
      <c r="AG20" s="12" t="s">
        <v>381</v>
      </c>
      <c r="AH20" s="12"/>
    </row>
    <row r="21" spans="1:34">
      <c r="A21" s="4" t="s">
        <v>409</v>
      </c>
      <c r="B21" s="12"/>
      <c r="C21" s="4" t="s">
        <v>387</v>
      </c>
      <c r="D21" s="4" t="s">
        <v>378</v>
      </c>
      <c r="E21" s="4" t="s">
        <v>81</v>
      </c>
      <c r="F21" s="12">
        <v>4</v>
      </c>
      <c r="G21" s="12">
        <v>7</v>
      </c>
      <c r="H21" s="12">
        <v>0</v>
      </c>
      <c r="I21" s="12">
        <v>41</v>
      </c>
      <c r="J21" s="12">
        <f t="shared" si="0"/>
        <v>7</v>
      </c>
      <c r="K21" s="12" t="s">
        <v>379</v>
      </c>
      <c r="L21" s="12"/>
      <c r="M21" s="12"/>
      <c r="N21" s="12"/>
      <c r="O21" s="12"/>
      <c r="P21" s="12"/>
      <c r="Q21" s="12"/>
      <c r="R21" s="12"/>
      <c r="S21" s="12"/>
      <c r="T21" s="12"/>
      <c r="U21" s="12"/>
      <c r="V21" s="12"/>
      <c r="W21" s="12"/>
      <c r="X21" s="12"/>
      <c r="Y21" s="12"/>
      <c r="Z21" s="12"/>
      <c r="AA21" s="12"/>
      <c r="AB21" s="12"/>
      <c r="AC21" s="12"/>
      <c r="AE21" s="12"/>
      <c r="AF21" s="12" t="s">
        <v>380</v>
      </c>
      <c r="AG21" s="12" t="s">
        <v>381</v>
      </c>
      <c r="AH21" s="12"/>
    </row>
    <row r="22" spans="1:34">
      <c r="A22" s="4" t="s">
        <v>410</v>
      </c>
      <c r="B22" s="12"/>
      <c r="C22" s="4" t="s">
        <v>387</v>
      </c>
      <c r="D22" s="4" t="s">
        <v>378</v>
      </c>
      <c r="E22" s="4" t="s">
        <v>85</v>
      </c>
      <c r="F22" s="12">
        <v>8</v>
      </c>
      <c r="G22" s="12">
        <v>34</v>
      </c>
      <c r="H22" s="12">
        <v>34</v>
      </c>
      <c r="I22" s="12">
        <v>136</v>
      </c>
      <c r="J22" s="12">
        <f t="shared" si="0"/>
        <v>0</v>
      </c>
      <c r="K22" s="12" t="s">
        <v>379</v>
      </c>
      <c r="L22" s="12"/>
      <c r="M22" s="12"/>
      <c r="N22" s="12"/>
      <c r="O22" s="12"/>
      <c r="P22" s="12"/>
      <c r="Q22" s="12"/>
      <c r="R22" s="12"/>
      <c r="S22" s="12"/>
      <c r="T22" s="12"/>
      <c r="U22" s="12"/>
      <c r="V22" s="12"/>
      <c r="W22" s="12"/>
      <c r="X22" s="12"/>
      <c r="Y22" s="12"/>
      <c r="Z22" s="12"/>
      <c r="AA22" s="12"/>
      <c r="AB22" s="12"/>
      <c r="AC22" s="12"/>
      <c r="AE22" s="12"/>
      <c r="AF22" s="12" t="s">
        <v>396</v>
      </c>
      <c r="AG22" s="12" t="s">
        <v>397</v>
      </c>
      <c r="AH22" s="12"/>
    </row>
    <row r="23" spans="1:34">
      <c r="A23" s="4" t="s">
        <v>411</v>
      </c>
      <c r="B23" s="12"/>
      <c r="C23" s="4" t="s">
        <v>387</v>
      </c>
      <c r="D23" s="4" t="s">
        <v>378</v>
      </c>
      <c r="E23" s="4" t="s">
        <v>85</v>
      </c>
      <c r="F23" s="12">
        <v>8</v>
      </c>
      <c r="G23" s="12">
        <v>34</v>
      </c>
      <c r="H23" s="12">
        <v>34</v>
      </c>
      <c r="I23" s="12">
        <v>136</v>
      </c>
      <c r="J23" s="12">
        <f t="shared" si="0"/>
        <v>0</v>
      </c>
      <c r="K23" s="12" t="s">
        <v>379</v>
      </c>
      <c r="L23" s="12"/>
      <c r="M23" s="12"/>
      <c r="N23" s="12"/>
      <c r="O23" s="12"/>
      <c r="P23" s="12"/>
      <c r="Q23" s="12"/>
      <c r="R23" s="12"/>
      <c r="S23" s="12"/>
      <c r="T23" s="12"/>
      <c r="U23" s="12"/>
      <c r="V23" s="12"/>
      <c r="W23" s="12"/>
      <c r="X23" s="12"/>
      <c r="Y23" s="12"/>
      <c r="Z23" s="12"/>
      <c r="AA23" s="12"/>
      <c r="AB23" s="12"/>
      <c r="AC23" s="12"/>
      <c r="AE23" s="12"/>
      <c r="AF23" s="12" t="s">
        <v>396</v>
      </c>
      <c r="AG23" s="12" t="s">
        <v>397</v>
      </c>
      <c r="AH23" s="12"/>
    </row>
    <row r="24" spans="1:34">
      <c r="A24" s="4" t="s">
        <v>412</v>
      </c>
      <c r="B24" s="12"/>
      <c r="C24" s="4" t="s">
        <v>387</v>
      </c>
      <c r="D24" s="4" t="s">
        <v>378</v>
      </c>
      <c r="E24" s="4" t="s">
        <v>100</v>
      </c>
      <c r="F24" s="12">
        <v>6</v>
      </c>
      <c r="G24" s="12">
        <v>6</v>
      </c>
      <c r="H24" s="12">
        <v>0</v>
      </c>
      <c r="I24" s="12">
        <v>56</v>
      </c>
      <c r="J24" s="12">
        <f t="shared" si="0"/>
        <v>6</v>
      </c>
      <c r="K24" s="12" t="s">
        <v>379</v>
      </c>
      <c r="L24" s="12"/>
      <c r="M24" s="12"/>
      <c r="N24" s="12"/>
      <c r="O24" s="12"/>
      <c r="P24" s="12"/>
      <c r="Q24" s="12"/>
      <c r="R24" s="12"/>
      <c r="S24" s="12"/>
      <c r="T24" s="12"/>
      <c r="U24" s="12"/>
      <c r="V24" s="12"/>
      <c r="W24" s="12"/>
      <c r="X24" s="12">
        <v>75</v>
      </c>
      <c r="Y24" s="12" t="s">
        <v>413</v>
      </c>
      <c r="Z24" s="12"/>
      <c r="AA24" s="12"/>
      <c r="AB24" s="12"/>
      <c r="AC24" s="12"/>
      <c r="AE24" s="12"/>
      <c r="AF24" s="12" t="s">
        <v>380</v>
      </c>
      <c r="AG24" s="12" t="s">
        <v>381</v>
      </c>
      <c r="AH24" s="12"/>
    </row>
    <row r="25" spans="1:34">
      <c r="A25" s="4" t="s">
        <v>414</v>
      </c>
      <c r="B25" s="12"/>
      <c r="C25" s="4" t="s">
        <v>387</v>
      </c>
      <c r="D25" s="4" t="s">
        <v>378</v>
      </c>
      <c r="E25" s="4" t="s">
        <v>100</v>
      </c>
      <c r="F25" s="12">
        <v>6</v>
      </c>
      <c r="G25" s="12">
        <v>6</v>
      </c>
      <c r="H25" s="12">
        <v>0</v>
      </c>
      <c r="I25" s="12">
        <v>56</v>
      </c>
      <c r="J25" s="12">
        <f t="shared" si="0"/>
        <v>6</v>
      </c>
      <c r="K25" s="12" t="s">
        <v>379</v>
      </c>
      <c r="L25" s="12"/>
      <c r="M25" s="12"/>
      <c r="N25" s="12"/>
      <c r="O25" s="12"/>
      <c r="P25" s="12"/>
      <c r="Q25" s="12"/>
      <c r="R25" s="12"/>
      <c r="S25" s="12"/>
      <c r="T25" s="12"/>
      <c r="U25" s="12"/>
      <c r="V25" s="12"/>
      <c r="W25" s="12"/>
      <c r="X25" s="12">
        <v>75</v>
      </c>
      <c r="Y25" s="12" t="s">
        <v>413</v>
      </c>
      <c r="Z25" s="12"/>
      <c r="AA25" s="12"/>
      <c r="AB25" s="12"/>
      <c r="AC25" s="12"/>
      <c r="AE25" s="12"/>
      <c r="AF25" s="12" t="s">
        <v>380</v>
      </c>
      <c r="AG25" s="12" t="s">
        <v>381</v>
      </c>
      <c r="AH25" s="12"/>
    </row>
    <row r="26" spans="1:34">
      <c r="A26" s="4" t="s">
        <v>415</v>
      </c>
      <c r="B26" s="12"/>
      <c r="C26" s="4" t="s">
        <v>387</v>
      </c>
      <c r="D26" s="4" t="s">
        <v>378</v>
      </c>
      <c r="E26" s="4" t="s">
        <v>416</v>
      </c>
      <c r="F26" s="12">
        <v>3</v>
      </c>
      <c r="G26" s="12">
        <v>3</v>
      </c>
      <c r="H26" s="12">
        <v>0</v>
      </c>
      <c r="I26" s="12">
        <v>41</v>
      </c>
      <c r="J26" s="12">
        <f t="shared" si="0"/>
        <v>3</v>
      </c>
      <c r="K26" s="12" t="s">
        <v>379</v>
      </c>
      <c r="L26" s="12"/>
      <c r="M26" s="12"/>
      <c r="N26" s="12"/>
      <c r="O26" s="12"/>
      <c r="P26" s="12"/>
      <c r="Q26" s="12"/>
      <c r="R26" s="12"/>
      <c r="S26" s="12"/>
      <c r="T26" s="12"/>
      <c r="U26" s="12"/>
      <c r="V26" s="12"/>
      <c r="W26" s="12"/>
      <c r="X26" s="12"/>
      <c r="Y26" s="12"/>
      <c r="Z26" s="12"/>
      <c r="AA26" s="12"/>
      <c r="AB26" s="12"/>
      <c r="AC26" s="12"/>
      <c r="AE26" s="12"/>
      <c r="AF26" s="12" t="s">
        <v>380</v>
      </c>
      <c r="AG26" s="12" t="s">
        <v>381</v>
      </c>
      <c r="AH26" s="12"/>
    </row>
    <row r="27" spans="1:34">
      <c r="A27" s="4" t="s">
        <v>417</v>
      </c>
      <c r="B27" s="12"/>
      <c r="C27" s="4" t="s">
        <v>387</v>
      </c>
      <c r="D27" s="4" t="s">
        <v>378</v>
      </c>
      <c r="E27" s="4" t="s">
        <v>418</v>
      </c>
      <c r="F27" s="12">
        <v>3</v>
      </c>
      <c r="G27" s="12">
        <v>3</v>
      </c>
      <c r="H27" s="12">
        <v>0</v>
      </c>
      <c r="I27" s="12">
        <v>41</v>
      </c>
      <c r="J27" s="12">
        <f t="shared" ref="J27" si="1">G27-H27</f>
        <v>3</v>
      </c>
      <c r="K27" s="12" t="s">
        <v>379</v>
      </c>
      <c r="L27" s="12"/>
      <c r="M27" s="12"/>
      <c r="N27" s="12"/>
      <c r="O27" s="12"/>
      <c r="P27" s="12"/>
      <c r="Q27" s="12"/>
      <c r="R27" s="12"/>
      <c r="S27" s="12"/>
      <c r="T27" s="12"/>
      <c r="U27" s="12"/>
      <c r="V27" s="12"/>
      <c r="W27" s="12"/>
      <c r="X27" s="12"/>
      <c r="Y27" s="12"/>
      <c r="Z27" s="12"/>
      <c r="AA27" s="12"/>
      <c r="AB27" s="12"/>
      <c r="AC27" s="12"/>
      <c r="AE27" s="12"/>
      <c r="AF27" s="12" t="s">
        <v>380</v>
      </c>
      <c r="AG27" s="12" t="s">
        <v>381</v>
      </c>
      <c r="AH27" s="12"/>
    </row>
    <row r="28" spans="1:34" s="17" customFormat="1" ht="13.5" customHeight="1">
      <c r="A28" s="17" t="s">
        <v>419</v>
      </c>
      <c r="C28" s="17" t="s">
        <v>387</v>
      </c>
      <c r="D28" s="17" t="s">
        <v>378</v>
      </c>
      <c r="E28" s="17" t="s">
        <v>420</v>
      </c>
      <c r="F28" s="15">
        <v>2</v>
      </c>
      <c r="G28" s="15">
        <v>4</v>
      </c>
      <c r="H28" s="15">
        <v>0</v>
      </c>
      <c r="I28" s="15">
        <v>65</v>
      </c>
      <c r="J28" s="15">
        <f>G28-H28</f>
        <v>4</v>
      </c>
      <c r="K28" s="15" t="s">
        <v>379</v>
      </c>
      <c r="L28" s="15"/>
      <c r="M28" s="15"/>
      <c r="N28" s="96"/>
      <c r="O28" s="95"/>
      <c r="P28" s="15"/>
      <c r="Q28" s="15"/>
      <c r="R28" s="15"/>
      <c r="S28" s="15"/>
      <c r="V28" s="15"/>
      <c r="W28" s="15"/>
      <c r="AD28" s="15">
        <v>200</v>
      </c>
      <c r="AE28" s="15" t="s">
        <v>421</v>
      </c>
      <c r="AF28" s="15" t="s">
        <v>380</v>
      </c>
      <c r="AG28" s="15" t="s">
        <v>381</v>
      </c>
      <c r="AH28" s="15"/>
    </row>
    <row r="29" spans="1:34">
      <c r="F29" s="12">
        <f>SUM(F8:F28)</f>
        <v>87</v>
      </c>
      <c r="G29" s="12">
        <f>SUM(G8:G28)</f>
        <v>209</v>
      </c>
      <c r="H29" s="12">
        <f>SUM(H8:H28)</f>
        <v>110</v>
      </c>
      <c r="I29" s="12">
        <f>SUM(I8:I28)</f>
        <v>1600</v>
      </c>
      <c r="J29" s="12">
        <f>SUM(J8:J28)</f>
        <v>99</v>
      </c>
      <c r="K29" s="12"/>
      <c r="L29" s="12">
        <f>SUM(L8:L28)</f>
        <v>66</v>
      </c>
      <c r="M29" s="12"/>
      <c r="N29" s="12">
        <f>SUM(N8:N28)</f>
        <v>1350</v>
      </c>
      <c r="O29" s="12"/>
      <c r="P29" s="12">
        <f>SUM(P8:P28)</f>
        <v>1650</v>
      </c>
      <c r="Q29" s="12"/>
      <c r="R29" s="12">
        <f>SUM(R8:R28)</f>
        <v>340</v>
      </c>
      <c r="S29" s="12"/>
      <c r="T29" s="12">
        <f>SUM(T8:T28)</f>
        <v>0</v>
      </c>
      <c r="U29" s="12"/>
      <c r="V29" s="12">
        <f>SUM(V8:V28)</f>
        <v>4750</v>
      </c>
      <c r="X29" s="12">
        <f>SUM(X8:X28)</f>
        <v>150</v>
      </c>
      <c r="Z29" s="12">
        <f>SUM(Z8:Z28)</f>
        <v>50</v>
      </c>
      <c r="AB29" s="12">
        <f>SUM(AB8:AB28)</f>
        <v>65</v>
      </c>
      <c r="AD29" s="12">
        <f>SUM(AD8:AD28)</f>
        <v>200</v>
      </c>
      <c r="AG29" s="12" t="s">
        <v>422</v>
      </c>
      <c r="AH29" s="12">
        <v>2</v>
      </c>
    </row>
    <row r="30" spans="1:34" ht="13">
      <c r="A30" s="153" t="s">
        <v>423</v>
      </c>
      <c r="F30" s="12"/>
      <c r="G30" s="12"/>
      <c r="H30" s="12"/>
      <c r="I30" s="12"/>
      <c r="J30" s="12"/>
      <c r="K30" s="12"/>
      <c r="L30" s="12"/>
      <c r="M30" s="12"/>
      <c r="N30" s="12"/>
      <c r="O30" s="12"/>
      <c r="P30" s="12"/>
      <c r="Q30" s="12"/>
      <c r="R30" s="12"/>
      <c r="S30" s="12"/>
      <c r="T30" s="12"/>
      <c r="U30" s="12"/>
      <c r="V30" s="12"/>
      <c r="X30" s="12"/>
      <c r="Z30" s="12"/>
      <c r="AB30" s="12"/>
      <c r="AG30" s="12"/>
      <c r="AH30" s="12"/>
    </row>
    <row r="31" spans="1:34" ht="13.5" customHeight="1">
      <c r="A31" s="14" t="s">
        <v>424</v>
      </c>
      <c r="F31" s="12"/>
      <c r="G31" s="12"/>
      <c r="H31" s="12"/>
      <c r="I31" s="12"/>
      <c r="J31" s="12"/>
      <c r="K31" s="12"/>
      <c r="L31" s="12"/>
      <c r="M31" s="12"/>
      <c r="N31" s="12"/>
      <c r="O31"/>
      <c r="P31" s="12"/>
      <c r="Q31" s="12"/>
      <c r="R31" s="12"/>
      <c r="S31" s="12"/>
      <c r="T31" s="12"/>
      <c r="U31" s="12"/>
      <c r="V31" s="12"/>
      <c r="X31" s="12"/>
      <c r="Z31" s="12"/>
      <c r="AB31" s="12"/>
      <c r="AF31" s="12"/>
      <c r="AG31" s="12"/>
      <c r="AH31" s="12"/>
    </row>
    <row r="32" spans="1:34" s="17" customFormat="1" ht="13.5" customHeight="1">
      <c r="A32" s="17" t="s">
        <v>419</v>
      </c>
      <c r="C32" s="17" t="s">
        <v>387</v>
      </c>
      <c r="D32" s="17" t="s">
        <v>378</v>
      </c>
      <c r="E32" s="17" t="s">
        <v>425</v>
      </c>
      <c r="F32" s="15">
        <v>7</v>
      </c>
      <c r="G32" s="15">
        <v>16</v>
      </c>
      <c r="H32" s="15">
        <v>0</v>
      </c>
      <c r="I32" s="15">
        <v>28</v>
      </c>
      <c r="J32" s="15">
        <f>G32-H32</f>
        <v>16</v>
      </c>
      <c r="K32" s="15" t="s">
        <v>379</v>
      </c>
      <c r="L32" s="15"/>
      <c r="M32" s="15"/>
      <c r="N32" s="96"/>
      <c r="O32" s="95"/>
      <c r="P32" s="15"/>
      <c r="Q32" s="15"/>
      <c r="R32" s="15">
        <v>120</v>
      </c>
      <c r="S32" s="15" t="s">
        <v>394</v>
      </c>
      <c r="V32" s="15">
        <v>340</v>
      </c>
      <c r="W32" s="15" t="s">
        <v>179</v>
      </c>
      <c r="AD32" s="15"/>
      <c r="AE32" s="15"/>
      <c r="AF32" s="15"/>
      <c r="AG32" s="15"/>
      <c r="AH32" s="15"/>
    </row>
    <row r="33" spans="1:34" ht="13.5" customHeight="1">
      <c r="F33" s="12">
        <f>SUM(F32:F32)+F29</f>
        <v>94</v>
      </c>
      <c r="G33" s="12">
        <f>SUM(G32:G32)+G29</f>
        <v>225</v>
      </c>
      <c r="H33" s="12">
        <f>SUM(H32:H32)+H29</f>
        <v>110</v>
      </c>
      <c r="I33" s="12">
        <f>SUM(I32:I32)+I29</f>
        <v>1628</v>
      </c>
      <c r="J33" s="12"/>
      <c r="K33" s="12"/>
      <c r="L33" s="12">
        <f>SUM(L32:L32)+L29</f>
        <v>66</v>
      </c>
      <c r="M33" s="12"/>
      <c r="N33" s="12">
        <f>SUM(N32:N32)+N29</f>
        <v>1350</v>
      </c>
      <c r="O33"/>
      <c r="P33" s="12">
        <f>SUM(P32:P32)+P29</f>
        <v>1650</v>
      </c>
      <c r="Q33" s="12"/>
      <c r="R33" s="12">
        <f>SUM(R32:R32)+R29</f>
        <v>460</v>
      </c>
      <c r="S33" s="12"/>
      <c r="T33" s="12">
        <f>SUM(T32:T32)+T29</f>
        <v>0</v>
      </c>
      <c r="V33" s="12">
        <f>SUM(V32:V32)+V29</f>
        <v>5090</v>
      </c>
      <c r="X33" s="12">
        <f>SUM(X32:X32)+X29</f>
        <v>150</v>
      </c>
      <c r="Z33" s="12">
        <f>SUM(Z32:Z32)+Z29</f>
        <v>50</v>
      </c>
      <c r="AB33" s="12">
        <f>SUM(AB32:AB32)+AB29</f>
        <v>65</v>
      </c>
      <c r="AD33" s="12">
        <f>SUM(AD32:AD32)+AD29</f>
        <v>200</v>
      </c>
      <c r="AF33" s="12"/>
      <c r="AG33" s="12" t="s">
        <v>473</v>
      </c>
      <c r="AH33" s="12">
        <v>2</v>
      </c>
    </row>
    <row r="35" spans="1:34" ht="13">
      <c r="A35" s="14" t="s">
        <v>430</v>
      </c>
      <c r="AH35" s="12"/>
    </row>
    <row r="36" spans="1:34" ht="13">
      <c r="A36" s="14"/>
      <c r="AH36" s="12"/>
    </row>
    <row r="37" spans="1:34">
      <c r="A37" s="4" t="s">
        <v>431</v>
      </c>
      <c r="C37" s="4" t="s">
        <v>387</v>
      </c>
      <c r="D37" s="4" t="s">
        <v>378</v>
      </c>
      <c r="E37" s="4" t="s">
        <v>21</v>
      </c>
      <c r="F37" s="12">
        <v>4</v>
      </c>
      <c r="G37" s="12">
        <v>16</v>
      </c>
      <c r="H37" s="12">
        <v>0</v>
      </c>
      <c r="I37" s="12">
        <v>71</v>
      </c>
      <c r="J37" s="12">
        <f t="shared" ref="J37:J47" si="2">G37-H37</f>
        <v>16</v>
      </c>
      <c r="K37" s="15" t="s">
        <v>379</v>
      </c>
      <c r="L37" s="12"/>
      <c r="M37" s="12"/>
      <c r="N37" s="12"/>
      <c r="O37" s="12"/>
      <c r="P37" s="12"/>
      <c r="Q37" s="12"/>
      <c r="R37" s="12"/>
      <c r="S37" s="12"/>
      <c r="T37" s="12"/>
      <c r="U37" s="12"/>
      <c r="V37" s="12"/>
      <c r="AF37" s="12" t="s">
        <v>380</v>
      </c>
      <c r="AG37" s="12" t="s">
        <v>432</v>
      </c>
      <c r="AH37" s="12"/>
    </row>
    <row r="38" spans="1:34">
      <c r="A38" s="4" t="s">
        <v>433</v>
      </c>
      <c r="B38" s="12"/>
      <c r="C38" s="4" t="s">
        <v>387</v>
      </c>
      <c r="D38" s="19" t="s">
        <v>434</v>
      </c>
      <c r="E38" s="4" t="s">
        <v>89</v>
      </c>
      <c r="F38" s="12">
        <v>4</v>
      </c>
      <c r="G38" s="12">
        <v>4</v>
      </c>
      <c r="H38" s="12">
        <v>0</v>
      </c>
      <c r="I38" s="12">
        <v>100</v>
      </c>
      <c r="J38" s="12">
        <f t="shared" si="2"/>
        <v>4</v>
      </c>
      <c r="K38" s="12" t="s">
        <v>379</v>
      </c>
      <c r="L38" s="12"/>
      <c r="M38" s="12"/>
      <c r="N38" s="12"/>
      <c r="O38" s="12"/>
      <c r="P38" s="12"/>
      <c r="Q38" s="12"/>
      <c r="R38" s="12"/>
      <c r="S38" s="12"/>
      <c r="T38" s="12"/>
      <c r="U38" s="12"/>
      <c r="V38" s="12"/>
      <c r="W38" s="12"/>
      <c r="X38" s="12"/>
      <c r="Y38" s="12"/>
      <c r="Z38" s="12"/>
      <c r="AA38" s="12"/>
      <c r="AB38" s="12"/>
      <c r="AC38" s="12"/>
      <c r="AE38" s="12"/>
      <c r="AF38" s="12" t="s">
        <v>380</v>
      </c>
      <c r="AG38" s="12" t="s">
        <v>381</v>
      </c>
      <c r="AH38" s="12"/>
    </row>
    <row r="39" spans="1:34">
      <c r="A39" s="4" t="s">
        <v>435</v>
      </c>
      <c r="B39" s="12"/>
      <c r="C39" s="4" t="s">
        <v>387</v>
      </c>
      <c r="D39" s="19" t="s">
        <v>434</v>
      </c>
      <c r="E39" s="4" t="s">
        <v>97</v>
      </c>
      <c r="F39" s="12">
        <v>4</v>
      </c>
      <c r="G39" s="12">
        <v>16</v>
      </c>
      <c r="H39" s="12">
        <v>0</v>
      </c>
      <c r="I39" s="12">
        <v>100</v>
      </c>
      <c r="J39" s="12">
        <f t="shared" si="2"/>
        <v>16</v>
      </c>
      <c r="K39" s="12" t="s">
        <v>379</v>
      </c>
      <c r="L39" s="12"/>
      <c r="M39" s="12"/>
      <c r="N39" s="12"/>
      <c r="O39" s="12"/>
      <c r="P39" s="12"/>
      <c r="Q39" s="12"/>
      <c r="R39" s="12"/>
      <c r="S39" s="12"/>
      <c r="T39" s="12"/>
      <c r="U39" s="12"/>
      <c r="V39" s="12"/>
      <c r="W39" s="12"/>
      <c r="X39" s="12"/>
      <c r="Y39" s="12"/>
      <c r="Z39" s="12"/>
      <c r="AA39" s="12"/>
      <c r="AB39" s="12"/>
      <c r="AC39" s="12"/>
      <c r="AE39" s="12"/>
      <c r="AF39" s="12" t="s">
        <v>380</v>
      </c>
      <c r="AG39" s="12" t="s">
        <v>381</v>
      </c>
      <c r="AH39" s="12"/>
    </row>
    <row r="40" spans="1:34">
      <c r="A40" s="4" t="s">
        <v>436</v>
      </c>
      <c r="B40" s="12"/>
      <c r="C40" s="4" t="s">
        <v>387</v>
      </c>
      <c r="D40" s="19" t="s">
        <v>434</v>
      </c>
      <c r="E40" s="4" t="s">
        <v>93</v>
      </c>
      <c r="F40" s="12">
        <v>4</v>
      </c>
      <c r="G40" s="12">
        <v>14</v>
      </c>
      <c r="H40" s="12">
        <v>0</v>
      </c>
      <c r="I40" s="12">
        <v>120</v>
      </c>
      <c r="J40" s="12">
        <f t="shared" si="2"/>
        <v>14</v>
      </c>
      <c r="K40" s="12" t="s">
        <v>379</v>
      </c>
      <c r="L40" s="12"/>
      <c r="M40" s="12"/>
      <c r="N40" s="12"/>
      <c r="O40" s="12"/>
      <c r="P40" s="12"/>
      <c r="Q40" s="12"/>
      <c r="R40" s="12"/>
      <c r="S40" s="12"/>
      <c r="T40" s="12"/>
      <c r="U40" s="12"/>
      <c r="V40" s="12"/>
      <c r="W40" s="12"/>
      <c r="X40" s="12"/>
      <c r="Y40" s="12"/>
      <c r="Z40" s="12"/>
      <c r="AA40" s="12"/>
      <c r="AB40" s="12"/>
      <c r="AC40" s="12"/>
      <c r="AE40" s="12"/>
      <c r="AF40" s="12" t="s">
        <v>380</v>
      </c>
      <c r="AG40" s="12" t="s">
        <v>381</v>
      </c>
      <c r="AH40" s="12"/>
    </row>
    <row r="41" spans="1:34">
      <c r="A41" s="4" t="s">
        <v>437</v>
      </c>
      <c r="C41" s="4" t="s">
        <v>387</v>
      </c>
      <c r="D41" s="19" t="s">
        <v>434</v>
      </c>
      <c r="E41" s="4" t="s">
        <v>97</v>
      </c>
      <c r="F41" s="12">
        <v>4</v>
      </c>
      <c r="G41" s="12">
        <v>16</v>
      </c>
      <c r="H41" s="12">
        <v>0</v>
      </c>
      <c r="I41" s="12">
        <v>100</v>
      </c>
      <c r="J41" s="12">
        <f t="shared" si="2"/>
        <v>16</v>
      </c>
      <c r="K41" s="15" t="s">
        <v>379</v>
      </c>
      <c r="L41" s="12"/>
      <c r="M41" s="12"/>
      <c r="N41" s="12"/>
      <c r="O41" s="12"/>
      <c r="P41" s="12"/>
      <c r="Q41" s="12"/>
      <c r="R41" s="12"/>
      <c r="S41" s="12"/>
      <c r="T41" s="12"/>
      <c r="U41" s="12"/>
      <c r="V41" s="12"/>
      <c r="AF41" s="12" t="s">
        <v>380</v>
      </c>
      <c r="AG41" s="12" t="s">
        <v>381</v>
      </c>
      <c r="AH41" s="12"/>
    </row>
    <row r="42" spans="1:34">
      <c r="A42" s="4" t="s">
        <v>438</v>
      </c>
      <c r="C42" s="4" t="s">
        <v>387</v>
      </c>
      <c r="D42" s="4" t="s">
        <v>378</v>
      </c>
      <c r="E42" s="4" t="s">
        <v>32</v>
      </c>
      <c r="F42" s="12">
        <v>3</v>
      </c>
      <c r="G42" s="12">
        <v>8</v>
      </c>
      <c r="H42" s="12">
        <v>0</v>
      </c>
      <c r="I42" s="12">
        <v>121</v>
      </c>
      <c r="J42" s="12">
        <f t="shared" si="2"/>
        <v>8</v>
      </c>
      <c r="K42" s="15" t="s">
        <v>379</v>
      </c>
      <c r="L42" s="12"/>
      <c r="M42" s="12"/>
      <c r="N42" s="12"/>
      <c r="O42" s="12"/>
      <c r="P42" s="12"/>
      <c r="Q42" s="12"/>
      <c r="R42" s="12"/>
      <c r="S42" s="12"/>
      <c r="T42" s="12"/>
      <c r="U42" s="12"/>
      <c r="V42" s="12"/>
      <c r="AF42" s="12" t="s">
        <v>380</v>
      </c>
      <c r="AG42" s="12" t="s">
        <v>381</v>
      </c>
      <c r="AH42" s="12"/>
    </row>
    <row r="43" spans="1:34">
      <c r="A43" s="4" t="s">
        <v>439</v>
      </c>
      <c r="C43" s="4" t="s">
        <v>387</v>
      </c>
      <c r="D43" s="4" t="s">
        <v>378</v>
      </c>
      <c r="E43" s="4" t="s">
        <v>32</v>
      </c>
      <c r="F43" s="12">
        <v>3</v>
      </c>
      <c r="G43" s="12">
        <v>8</v>
      </c>
      <c r="H43" s="12">
        <v>0</v>
      </c>
      <c r="I43" s="12">
        <v>121</v>
      </c>
      <c r="J43" s="12">
        <f t="shared" si="2"/>
        <v>8</v>
      </c>
      <c r="K43" s="15" t="s">
        <v>379</v>
      </c>
      <c r="L43" s="12"/>
      <c r="M43" s="12"/>
      <c r="N43" s="12"/>
      <c r="O43" s="12"/>
      <c r="P43" s="12"/>
      <c r="Q43" s="12"/>
      <c r="R43" s="12"/>
      <c r="S43" s="12"/>
      <c r="T43" s="12"/>
      <c r="U43" s="12"/>
      <c r="V43" s="12"/>
      <c r="AF43" s="12" t="s">
        <v>380</v>
      </c>
      <c r="AG43" s="12" t="s">
        <v>381</v>
      </c>
      <c r="AH43" s="12"/>
    </row>
    <row r="44" spans="1:34">
      <c r="A44" s="4" t="s">
        <v>440</v>
      </c>
      <c r="C44" s="4" t="s">
        <v>387</v>
      </c>
      <c r="D44" s="4" t="s">
        <v>378</v>
      </c>
      <c r="E44" s="4" t="s">
        <v>48</v>
      </c>
      <c r="F44" s="12">
        <v>2</v>
      </c>
      <c r="G44" s="12">
        <v>4</v>
      </c>
      <c r="H44" s="12">
        <v>0</v>
      </c>
      <c r="I44" s="12">
        <v>41</v>
      </c>
      <c r="J44" s="12">
        <f t="shared" si="2"/>
        <v>4</v>
      </c>
      <c r="K44" s="15" t="s">
        <v>379</v>
      </c>
      <c r="L44" s="12"/>
      <c r="M44" s="12"/>
      <c r="N44" s="12"/>
      <c r="O44" s="12"/>
      <c r="P44" s="12"/>
      <c r="Q44" s="12"/>
      <c r="R44" s="12"/>
      <c r="S44" s="12"/>
      <c r="T44" s="12"/>
      <c r="U44" s="12"/>
      <c r="V44" s="12"/>
      <c r="AF44" s="12" t="s">
        <v>380</v>
      </c>
      <c r="AG44" s="12" t="s">
        <v>381</v>
      </c>
      <c r="AH44" s="12"/>
    </row>
    <row r="45" spans="1:34">
      <c r="A45" s="4" t="s">
        <v>441</v>
      </c>
      <c r="C45" s="4" t="s">
        <v>387</v>
      </c>
      <c r="D45" s="4" t="s">
        <v>378</v>
      </c>
      <c r="E45" s="4" t="s">
        <v>40</v>
      </c>
      <c r="F45" s="12">
        <v>2</v>
      </c>
      <c r="G45" s="12">
        <v>4</v>
      </c>
      <c r="H45" s="12">
        <v>0</v>
      </c>
      <c r="I45" s="12">
        <v>31</v>
      </c>
      <c r="J45" s="12">
        <f t="shared" si="2"/>
        <v>4</v>
      </c>
      <c r="K45" s="15" t="s">
        <v>379</v>
      </c>
      <c r="L45" s="12"/>
      <c r="M45" s="12"/>
      <c r="N45" s="12"/>
      <c r="O45" s="12"/>
      <c r="P45" s="12"/>
      <c r="Q45" s="12"/>
      <c r="R45" s="12"/>
      <c r="S45" s="12"/>
      <c r="T45" s="12"/>
      <c r="U45" s="12"/>
      <c r="V45" s="12"/>
      <c r="AF45" s="12" t="s">
        <v>380</v>
      </c>
      <c r="AG45" s="12" t="s">
        <v>381</v>
      </c>
      <c r="AH45" s="12"/>
    </row>
    <row r="46" spans="1:34">
      <c r="A46" s="4" t="s">
        <v>442</v>
      </c>
      <c r="C46" s="4" t="s">
        <v>387</v>
      </c>
      <c r="D46" s="4" t="s">
        <v>378</v>
      </c>
      <c r="E46" s="4" t="s">
        <v>44</v>
      </c>
      <c r="F46" s="12">
        <v>4</v>
      </c>
      <c r="G46" s="12">
        <v>4</v>
      </c>
      <c r="H46" s="12">
        <v>0</v>
      </c>
      <c r="I46" s="12">
        <v>36</v>
      </c>
      <c r="J46" s="12">
        <f t="shared" si="2"/>
        <v>4</v>
      </c>
      <c r="K46" s="15" t="s">
        <v>379</v>
      </c>
      <c r="L46" s="12"/>
      <c r="M46" s="12"/>
      <c r="N46" s="12"/>
      <c r="O46" s="12"/>
      <c r="P46" s="12"/>
      <c r="Q46" s="12"/>
      <c r="R46" s="12"/>
      <c r="S46" s="12"/>
      <c r="T46" s="12"/>
      <c r="U46" s="12"/>
      <c r="V46" s="12"/>
      <c r="AF46" s="12" t="s">
        <v>380</v>
      </c>
      <c r="AG46" s="12" t="s">
        <v>381</v>
      </c>
      <c r="AH46" s="12"/>
    </row>
    <row r="47" spans="1:34" ht="14.5">
      <c r="A47" s="4" t="s">
        <v>443</v>
      </c>
      <c r="C47" s="4" t="s">
        <v>387</v>
      </c>
      <c r="D47" s="4" t="s">
        <v>378</v>
      </c>
      <c r="E47" s="4" t="s">
        <v>247</v>
      </c>
      <c r="F47" s="12">
        <v>5</v>
      </c>
      <c r="G47" s="12">
        <v>6</v>
      </c>
      <c r="H47" s="12">
        <v>0</v>
      </c>
      <c r="I47" s="12">
        <v>111</v>
      </c>
      <c r="J47" s="82">
        <f t="shared" si="2"/>
        <v>6</v>
      </c>
      <c r="K47" s="12" t="s">
        <v>379</v>
      </c>
      <c r="L47" s="12"/>
      <c r="M47" s="12"/>
      <c r="N47" s="1"/>
      <c r="O47"/>
      <c r="P47" s="12"/>
      <c r="Q47" s="12"/>
      <c r="R47" s="12"/>
      <c r="S47" s="12"/>
      <c r="T47" s="12"/>
      <c r="U47" s="12"/>
      <c r="V47" s="12"/>
      <c r="W47" s="12"/>
      <c r="X47" s="12"/>
      <c r="AD47" s="4"/>
      <c r="AF47" s="12" t="s">
        <v>380</v>
      </c>
      <c r="AG47" s="12" t="s">
        <v>381</v>
      </c>
      <c r="AH47" s="12" t="s">
        <v>381</v>
      </c>
    </row>
    <row r="48" spans="1:34" ht="13.5" customHeight="1">
      <c r="A48" s="4" t="s">
        <v>444</v>
      </c>
      <c r="D48" s="4" t="s">
        <v>445</v>
      </c>
      <c r="E48" s="4" t="s">
        <v>446</v>
      </c>
      <c r="F48" s="12">
        <v>2</v>
      </c>
      <c r="G48" s="12">
        <v>8</v>
      </c>
      <c r="H48" s="12">
        <v>0</v>
      </c>
      <c r="I48" s="12">
        <v>150</v>
      </c>
      <c r="J48" s="12">
        <f>G48-H48</f>
        <v>8</v>
      </c>
      <c r="K48" s="12" t="s">
        <v>179</v>
      </c>
      <c r="L48" s="12"/>
      <c r="M48" s="12"/>
      <c r="N48" s="1"/>
      <c r="O48"/>
      <c r="P48" s="12"/>
      <c r="Q48" s="12"/>
      <c r="R48" s="12"/>
      <c r="S48" s="12"/>
      <c r="T48" s="12">
        <v>3000</v>
      </c>
      <c r="U48" s="12" t="s">
        <v>179</v>
      </c>
      <c r="V48" s="12"/>
      <c r="AF48" s="12"/>
      <c r="AG48" s="12"/>
      <c r="AH48" s="12"/>
    </row>
    <row r="49" spans="1:34" s="17" customFormat="1" ht="13.5" customHeight="1">
      <c r="A49" s="17" t="s">
        <v>447</v>
      </c>
      <c r="D49" s="17" t="s">
        <v>445</v>
      </c>
      <c r="E49" s="17" t="s">
        <v>448</v>
      </c>
      <c r="F49" s="15">
        <v>4</v>
      </c>
      <c r="G49" s="15">
        <v>4</v>
      </c>
      <c r="H49" s="15">
        <v>0</v>
      </c>
      <c r="I49" s="15">
        <v>21</v>
      </c>
      <c r="J49" s="15">
        <f>G49-H49</f>
        <v>4</v>
      </c>
      <c r="K49" s="15" t="s">
        <v>179</v>
      </c>
      <c r="L49" s="15"/>
      <c r="M49" s="15"/>
      <c r="N49" s="96"/>
      <c r="O49" s="95"/>
      <c r="P49" s="15"/>
      <c r="Q49" s="15"/>
      <c r="R49" s="15"/>
      <c r="S49" s="15"/>
      <c r="T49" s="15"/>
      <c r="U49" s="15"/>
      <c r="V49" s="15"/>
      <c r="AD49" s="15"/>
      <c r="AF49" s="15"/>
      <c r="AG49" s="15"/>
      <c r="AH49" s="15"/>
    </row>
    <row r="50" spans="1:34" ht="13.5" customHeight="1">
      <c r="F50" s="12">
        <f>SUM(F37:F49)+F33</f>
        <v>139</v>
      </c>
      <c r="G50" s="12">
        <f>SUM(G37:G49)+G33</f>
        <v>337</v>
      </c>
      <c r="H50" s="12">
        <f>SUM(H37:H49)+H33</f>
        <v>110</v>
      </c>
      <c r="I50" s="12">
        <f>SUM(I37:I49)+I33</f>
        <v>2751</v>
      </c>
      <c r="J50" s="12"/>
      <c r="K50" s="12"/>
      <c r="L50" s="12">
        <f>SUM(L37:L49)+L33</f>
        <v>66</v>
      </c>
      <c r="M50" s="12"/>
      <c r="N50" s="12">
        <f>SUM(N37:N49)+N33</f>
        <v>1350</v>
      </c>
      <c r="O50"/>
      <c r="P50" s="12">
        <f>SUM(P37:P49)+P33</f>
        <v>1650</v>
      </c>
      <c r="Q50" s="12"/>
      <c r="R50" s="12">
        <f>SUM(R37:R49)+R33</f>
        <v>460</v>
      </c>
      <c r="S50" s="12"/>
      <c r="T50" s="12">
        <f>SUM(T37:T49)+T33</f>
        <v>3000</v>
      </c>
      <c r="U50" s="12"/>
      <c r="V50" s="12">
        <f>SUM(V37:V49)+V33</f>
        <v>5090</v>
      </c>
      <c r="X50" s="12">
        <f>SUM(X37:X49)+X33</f>
        <v>150</v>
      </c>
      <c r="Z50" s="12">
        <f>SUM(Z37:Z49)+Z33</f>
        <v>50</v>
      </c>
      <c r="AB50" s="12">
        <f>SUM(AB37:AB49)+AB33</f>
        <v>65</v>
      </c>
      <c r="AD50" s="12">
        <f>SUM(AD37:AD49)+AD33</f>
        <v>200</v>
      </c>
      <c r="AF50" s="12"/>
      <c r="AG50" s="12" t="s">
        <v>449</v>
      </c>
      <c r="AH50" s="12">
        <v>3</v>
      </c>
    </row>
    <row r="51" spans="1:34">
      <c r="F51" s="12"/>
      <c r="G51" s="12"/>
      <c r="H51" s="12"/>
      <c r="I51" s="12"/>
      <c r="J51" s="12"/>
      <c r="K51" s="12"/>
    </row>
    <row r="52" spans="1:34">
      <c r="B52" s="82"/>
      <c r="C52" s="12"/>
    </row>
    <row r="53" spans="1:34">
      <c r="B53" s="12"/>
      <c r="C53" s="12"/>
    </row>
    <row r="54" spans="1:34">
      <c r="B54" s="12"/>
      <c r="C54" s="12"/>
    </row>
    <row r="55" spans="1:34">
      <c r="B55" s="12"/>
      <c r="C55" s="12"/>
    </row>
    <row r="56" spans="1:34">
      <c r="B56" s="12"/>
      <c r="C56" s="12"/>
    </row>
    <row r="57" spans="1:34">
      <c r="B57" s="12"/>
      <c r="C57" s="12"/>
    </row>
    <row r="58" spans="1:34">
      <c r="B58" s="12"/>
      <c r="C58" s="12"/>
    </row>
    <row r="59" spans="1:34">
      <c r="B59" s="12"/>
      <c r="C59" s="12"/>
    </row>
    <row r="60" spans="1:34">
      <c r="B60" s="12"/>
      <c r="C60" s="12"/>
      <c r="D60" s="12"/>
    </row>
    <row r="61" spans="1:34">
      <c r="B61" s="12"/>
      <c r="C61" s="12"/>
      <c r="D61" s="12"/>
    </row>
    <row r="62" spans="1:34">
      <c r="B62" s="12"/>
      <c r="C62" s="12"/>
      <c r="D62" s="12"/>
    </row>
    <row r="63" spans="1:34">
      <c r="B63" s="12"/>
      <c r="C63" s="12"/>
    </row>
    <row r="64" spans="1:34">
      <c r="B64" s="12"/>
      <c r="C64" s="12"/>
    </row>
    <row r="65" spans="2:7">
      <c r="B65" s="12"/>
      <c r="C65" s="12"/>
      <c r="D65" s="97"/>
      <c r="E65" s="97"/>
      <c r="F65" s="97"/>
      <c r="G65" s="97"/>
    </row>
  </sheetData>
  <autoFilter ref="K1:K65" xr:uid="{E7D21806-3CDB-458F-A1FF-782E3E47174C}"/>
  <mergeCells count="7">
    <mergeCell ref="A6:B6"/>
    <mergeCell ref="A1:E1"/>
    <mergeCell ref="A2:B2"/>
    <mergeCell ref="A3:B3"/>
    <mergeCell ref="F3:G3"/>
    <mergeCell ref="A4:B4"/>
    <mergeCell ref="A5:B5"/>
  </mergeCells>
  <hyperlinks>
    <hyperlink ref="F3:G3" location="Shortcuts!A1" display="Back to shortcuts" xr:uid="{A6884CCF-5DF5-4C36-83D0-8CB1EF865229}"/>
  </hyperlinks>
  <pageMargins left="0.7" right="0.7" top="0.75" bottom="0.75" header="0.3" footer="0.3"/>
  <pageSetup paperSize="9" orientation="portrait" r:id="rId1"/>
  <headerFooter>
    <oddFooter>&amp;C&amp;1#&amp;"Arial"&amp;8&amp;K001753Nokia internal use</oddFooter>
  </headerFooter>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6FDF99-6866-4ECB-A0E2-CFF6978794BB}">
  <sheetPr codeName="Sheet97"/>
  <dimension ref="A1:AS99"/>
  <sheetViews>
    <sheetView topLeftCell="A9" zoomScale="84" zoomScaleNormal="84" zoomScalePageLayoutView="70" workbookViewId="0">
      <selection activeCell="G8" sqref="G8"/>
    </sheetView>
  </sheetViews>
  <sheetFormatPr defaultColWidth="8.81640625" defaultRowHeight="12.5"/>
  <cols>
    <col min="1" max="1" width="10.81640625" style="4" customWidth="1"/>
    <col min="2" max="2" width="19.26953125" style="4" customWidth="1"/>
    <col min="3" max="3" width="14.81640625" style="4" customWidth="1"/>
    <col min="4" max="4" width="23.1796875" style="4" customWidth="1"/>
    <col min="5" max="5" width="55.1796875" style="4" customWidth="1"/>
    <col min="6" max="6" width="8.81640625" style="4"/>
    <col min="7" max="7" width="19" style="4" bestFit="1" customWidth="1"/>
    <col min="8" max="8" width="21.1796875" style="4" customWidth="1"/>
    <col min="9" max="9" width="28.453125" style="4" customWidth="1"/>
    <col min="10" max="10" width="8.81640625" style="4"/>
    <col min="11" max="11" width="17.81640625" style="4" customWidth="1"/>
    <col min="12" max="12" width="8.81640625" style="4"/>
    <col min="13" max="13" width="9.81640625" style="4" customWidth="1"/>
    <col min="14" max="14" width="8.81640625" style="4"/>
    <col min="15" max="15" width="11.81640625" style="4" customWidth="1"/>
    <col min="16" max="16" width="8.81640625" style="4"/>
    <col min="17" max="17" width="9.81640625" style="4" customWidth="1"/>
    <col min="18" max="18" width="8.81640625" style="4"/>
    <col min="19" max="21" width="9.81640625" style="4" customWidth="1"/>
    <col min="22" max="22" width="8.81640625" style="4"/>
    <col min="23" max="23" width="9.81640625" style="12" customWidth="1"/>
    <col min="24" max="24" width="11.1796875" style="4" customWidth="1"/>
    <col min="25" max="26" width="9.81640625" style="4" customWidth="1"/>
    <col min="27" max="32" width="13.1796875" style="4" customWidth="1"/>
    <col min="33" max="33" width="17" style="4" customWidth="1"/>
    <col min="34" max="35" width="13.1796875" style="4" customWidth="1"/>
    <col min="36" max="36" width="22" style="4" customWidth="1"/>
    <col min="37" max="37" width="12.1796875" style="4" customWidth="1"/>
    <col min="38" max="38" width="13.1796875" style="4" customWidth="1"/>
    <col min="39" max="16384" width="8.81640625" style="4"/>
  </cols>
  <sheetData>
    <row r="1" spans="1:38" ht="13">
      <c r="A1" s="5" t="s">
        <v>15</v>
      </c>
      <c r="B1" s="5"/>
      <c r="C1" s="5"/>
      <c r="D1" s="5"/>
      <c r="F1" s="5" t="s">
        <v>646</v>
      </c>
    </row>
    <row r="2" spans="1:38" ht="14.5">
      <c r="A2" s="162" t="s">
        <v>355</v>
      </c>
      <c r="B2" s="168"/>
      <c r="C2" s="24"/>
      <c r="D2" s="4" t="s">
        <v>647</v>
      </c>
    </row>
    <row r="3" spans="1:38" ht="14.5">
      <c r="A3" s="162" t="s">
        <v>357</v>
      </c>
      <c r="B3" s="162"/>
      <c r="C3" s="27"/>
      <c r="D3" s="4" t="s">
        <v>459</v>
      </c>
      <c r="F3" s="169" t="s">
        <v>358</v>
      </c>
      <c r="G3" s="169"/>
    </row>
    <row r="4" spans="1:38" ht="13">
      <c r="A4" s="162" t="s">
        <v>359</v>
      </c>
      <c r="B4" s="162"/>
      <c r="C4" s="4" t="s">
        <v>356</v>
      </c>
    </row>
    <row r="5" spans="1:38">
      <c r="A5" s="162" t="s">
        <v>360</v>
      </c>
      <c r="B5" s="162"/>
      <c r="C5" s="33" t="s">
        <v>648</v>
      </c>
    </row>
    <row r="6" spans="1:38">
      <c r="A6" s="162" t="s">
        <v>361</v>
      </c>
      <c r="B6" s="162"/>
    </row>
    <row r="7" spans="1:38" ht="26">
      <c r="A7" s="7" t="s">
        <v>143</v>
      </c>
      <c r="B7" s="7" t="s">
        <v>362</v>
      </c>
      <c r="C7" s="7" t="s">
        <v>363</v>
      </c>
      <c r="D7" s="7" t="s">
        <v>364</v>
      </c>
      <c r="E7" s="7" t="s">
        <v>365</v>
      </c>
      <c r="F7" s="6" t="s">
        <v>129</v>
      </c>
      <c r="G7" s="6" t="s">
        <v>146</v>
      </c>
      <c r="H7" s="6" t="s">
        <v>366</v>
      </c>
      <c r="I7" s="6" t="s">
        <v>149</v>
      </c>
      <c r="J7" s="6" t="s">
        <v>367</v>
      </c>
      <c r="K7" s="6" t="s">
        <v>368</v>
      </c>
      <c r="L7" s="6" t="s">
        <v>170</v>
      </c>
      <c r="M7" s="6" t="s">
        <v>368</v>
      </c>
      <c r="N7" s="6" t="s">
        <v>30</v>
      </c>
      <c r="O7" s="6" t="s">
        <v>368</v>
      </c>
      <c r="P7" s="6" t="s">
        <v>175</v>
      </c>
      <c r="Q7" s="6" t="s">
        <v>368</v>
      </c>
      <c r="R7" s="6" t="s">
        <v>189</v>
      </c>
      <c r="S7" s="6" t="s">
        <v>368</v>
      </c>
      <c r="T7" s="6" t="s">
        <v>194</v>
      </c>
      <c r="U7" s="6" t="s">
        <v>368</v>
      </c>
      <c r="V7" s="6" t="s">
        <v>179</v>
      </c>
      <c r="W7" s="6" t="s">
        <v>368</v>
      </c>
      <c r="X7" s="6" t="s">
        <v>369</v>
      </c>
      <c r="Y7" s="6" t="s">
        <v>368</v>
      </c>
      <c r="Z7" s="6" t="s">
        <v>649</v>
      </c>
      <c r="AA7" s="6" t="s">
        <v>368</v>
      </c>
      <c r="AB7" s="6" t="s">
        <v>371</v>
      </c>
      <c r="AC7" s="6" t="s">
        <v>368</v>
      </c>
      <c r="AD7" s="6" t="s">
        <v>372</v>
      </c>
      <c r="AE7" s="6" t="s">
        <v>368</v>
      </c>
      <c r="AF7" s="6" t="s">
        <v>373</v>
      </c>
      <c r="AG7" s="6" t="s">
        <v>368</v>
      </c>
      <c r="AH7" s="79" t="s">
        <v>467</v>
      </c>
      <c r="AI7" s="6" t="s">
        <v>368</v>
      </c>
      <c r="AJ7" s="6" t="s">
        <v>374</v>
      </c>
      <c r="AK7" s="6" t="s">
        <v>375</v>
      </c>
      <c r="AL7" s="6" t="s">
        <v>376</v>
      </c>
    </row>
    <row r="8" spans="1:38">
      <c r="A8" s="24" t="s">
        <v>377</v>
      </c>
      <c r="B8" s="25"/>
      <c r="C8" s="24" t="s">
        <v>387</v>
      </c>
      <c r="D8" s="24" t="s">
        <v>378</v>
      </c>
      <c r="E8" s="24" t="s">
        <v>19</v>
      </c>
      <c r="F8" s="25">
        <v>4</v>
      </c>
      <c r="G8" s="25">
        <v>8</v>
      </c>
      <c r="H8" s="25">
        <v>0</v>
      </c>
      <c r="I8" s="25">
        <v>351</v>
      </c>
      <c r="J8" s="25">
        <f>G8-H8</f>
        <v>8</v>
      </c>
      <c r="K8" s="25" t="s">
        <v>468</v>
      </c>
      <c r="L8" s="25"/>
      <c r="M8" s="25"/>
      <c r="N8" s="25"/>
      <c r="O8" s="25"/>
      <c r="P8" s="25"/>
      <c r="Q8" s="25"/>
      <c r="R8" s="25"/>
      <c r="S8" s="25"/>
      <c r="T8" s="25"/>
      <c r="U8" s="25"/>
      <c r="V8" s="25"/>
      <c r="W8" s="25"/>
      <c r="X8" s="25"/>
      <c r="Y8" s="25"/>
      <c r="Z8" s="25"/>
      <c r="AA8" s="25"/>
      <c r="AB8" s="25"/>
      <c r="AC8" s="25"/>
      <c r="AD8" s="25"/>
      <c r="AE8" s="25"/>
      <c r="AF8" s="25"/>
      <c r="AG8" s="25"/>
      <c r="AH8" s="12"/>
      <c r="AI8" s="12"/>
      <c r="AJ8" s="25" t="s">
        <v>380</v>
      </c>
      <c r="AK8" s="25" t="s">
        <v>381</v>
      </c>
      <c r="AL8" s="25"/>
    </row>
    <row r="9" spans="1:38">
      <c r="A9" s="4" t="s">
        <v>385</v>
      </c>
      <c r="B9" s="12" t="s">
        <v>386</v>
      </c>
      <c r="C9" s="4" t="s">
        <v>387</v>
      </c>
      <c r="D9" s="4" t="s">
        <v>378</v>
      </c>
      <c r="E9" s="4" t="s">
        <v>388</v>
      </c>
      <c r="F9" s="12">
        <v>4</v>
      </c>
      <c r="G9" s="12">
        <v>4</v>
      </c>
      <c r="H9" s="12">
        <v>4</v>
      </c>
      <c r="I9" s="12">
        <v>41</v>
      </c>
      <c r="J9" s="82">
        <f t="shared" ref="J9:J29" si="0">G9-H9</f>
        <v>0</v>
      </c>
      <c r="K9" s="12" t="s">
        <v>469</v>
      </c>
      <c r="L9" s="12"/>
      <c r="M9" s="12"/>
      <c r="N9" s="12"/>
      <c r="O9" s="12"/>
      <c r="P9" s="12"/>
      <c r="Q9" s="12"/>
      <c r="R9" s="12"/>
      <c r="S9" s="12"/>
      <c r="T9" s="12"/>
      <c r="U9" s="12"/>
      <c r="V9" s="12"/>
      <c r="X9" s="12"/>
      <c r="Y9" s="12"/>
      <c r="Z9" s="12"/>
      <c r="AA9" s="12"/>
      <c r="AB9" s="12"/>
      <c r="AC9" s="12"/>
      <c r="AD9" s="12"/>
      <c r="AE9" s="12"/>
      <c r="AF9" s="12"/>
      <c r="AG9" s="12"/>
      <c r="AH9" s="12"/>
      <c r="AI9" s="12"/>
      <c r="AJ9" s="12" t="s">
        <v>380</v>
      </c>
      <c r="AK9" s="12" t="s">
        <v>381</v>
      </c>
      <c r="AL9" s="12"/>
    </row>
    <row r="10" spans="1:38">
      <c r="A10" s="4" t="s">
        <v>389</v>
      </c>
      <c r="B10" s="12"/>
      <c r="C10" s="4" t="s">
        <v>387</v>
      </c>
      <c r="D10" s="4" t="s">
        <v>378</v>
      </c>
      <c r="E10" s="4" t="s">
        <v>30</v>
      </c>
      <c r="F10" s="101">
        <f>VLOOKUP(N10,B98:H99,3,FALSE)</f>
        <v>6</v>
      </c>
      <c r="G10" s="101">
        <f>VLOOKUP(N10,B98:H99,4,FALSE)</f>
        <v>40</v>
      </c>
      <c r="H10" s="101">
        <f>(G10*82.5)/100</f>
        <v>33</v>
      </c>
      <c r="I10" s="12">
        <v>101</v>
      </c>
      <c r="J10" s="82">
        <f t="shared" si="0"/>
        <v>7</v>
      </c>
      <c r="K10" s="12" t="s">
        <v>470</v>
      </c>
      <c r="L10" s="12">
        <v>66</v>
      </c>
      <c r="M10" s="12" t="s">
        <v>390</v>
      </c>
      <c r="N10" s="101">
        <v>750</v>
      </c>
      <c r="O10" s="12" t="s">
        <v>391</v>
      </c>
      <c r="P10" s="101">
        <f>VLOOKUP(N10,B98:H99,5,FALSE)</f>
        <v>1125</v>
      </c>
      <c r="Q10" s="12" t="s">
        <v>392</v>
      </c>
      <c r="R10" s="12"/>
      <c r="S10" s="12"/>
      <c r="T10" s="12"/>
      <c r="U10" s="12"/>
      <c r="V10" s="12"/>
      <c r="X10" s="102">
        <f>VLOOKUP(N10,B98:H99,7,FALSE)</f>
        <v>2800</v>
      </c>
      <c r="Y10" s="12" t="s">
        <v>179</v>
      </c>
      <c r="Z10" s="12"/>
      <c r="AA10" s="12"/>
      <c r="AB10" s="12"/>
      <c r="AC10" s="12"/>
      <c r="AD10" s="12"/>
      <c r="AE10" s="12"/>
      <c r="AF10" s="12"/>
      <c r="AG10" s="12"/>
      <c r="AH10" s="12">
        <v>2500</v>
      </c>
      <c r="AI10" s="12" t="s">
        <v>471</v>
      </c>
      <c r="AJ10" s="12" t="s">
        <v>380</v>
      </c>
      <c r="AK10" s="12" t="s">
        <v>381</v>
      </c>
      <c r="AL10" s="12"/>
    </row>
    <row r="11" spans="1:38">
      <c r="A11" s="4" t="s">
        <v>393</v>
      </c>
      <c r="B11" s="12" t="s">
        <v>386</v>
      </c>
      <c r="C11" s="4" t="s">
        <v>387</v>
      </c>
      <c r="D11" s="4" t="s">
        <v>378</v>
      </c>
      <c r="E11" s="4" t="s">
        <v>34</v>
      </c>
      <c r="F11" s="12">
        <v>3</v>
      </c>
      <c r="G11" s="12">
        <v>5</v>
      </c>
      <c r="H11" s="12">
        <v>5</v>
      </c>
      <c r="I11" s="12">
        <v>46</v>
      </c>
      <c r="J11" s="82">
        <f t="shared" si="0"/>
        <v>0</v>
      </c>
      <c r="K11" s="12" t="s">
        <v>472</v>
      </c>
      <c r="L11" s="12"/>
      <c r="M11" s="12"/>
      <c r="N11" s="12"/>
      <c r="O11" s="12"/>
      <c r="P11" s="12"/>
      <c r="Q11" s="12"/>
      <c r="R11" s="12">
        <v>340</v>
      </c>
      <c r="S11" s="12" t="s">
        <v>394</v>
      </c>
      <c r="T11" s="12">
        <v>300</v>
      </c>
      <c r="U11" s="12" t="s">
        <v>194</v>
      </c>
      <c r="V11" s="12"/>
      <c r="X11" s="12">
        <v>250</v>
      </c>
      <c r="Y11" s="12" t="s">
        <v>179</v>
      </c>
      <c r="Z11" s="12"/>
      <c r="AA11" s="12"/>
      <c r="AB11" s="12"/>
      <c r="AC11" s="12"/>
      <c r="AD11" s="12"/>
      <c r="AE11" s="12"/>
      <c r="AF11" s="12"/>
      <c r="AG11" s="12"/>
      <c r="AJ11" s="12" t="s">
        <v>380</v>
      </c>
      <c r="AK11" s="12" t="s">
        <v>381</v>
      </c>
      <c r="AL11" s="12"/>
    </row>
    <row r="12" spans="1:38">
      <c r="A12" s="4" t="s">
        <v>395</v>
      </c>
      <c r="B12" s="12"/>
      <c r="C12" s="4" t="s">
        <v>387</v>
      </c>
      <c r="D12" s="4" t="s">
        <v>378</v>
      </c>
      <c r="E12" s="4" t="s">
        <v>38</v>
      </c>
      <c r="F12" s="12">
        <v>2</v>
      </c>
      <c r="G12" s="12">
        <v>3</v>
      </c>
      <c r="H12" s="12">
        <v>0</v>
      </c>
      <c r="I12" s="12">
        <v>31</v>
      </c>
      <c r="J12" s="82">
        <f t="shared" si="0"/>
        <v>3</v>
      </c>
      <c r="K12" s="12" t="s">
        <v>469</v>
      </c>
      <c r="L12" s="12"/>
      <c r="M12" s="12"/>
      <c r="N12" s="12"/>
      <c r="O12" s="12"/>
      <c r="P12" s="12"/>
      <c r="Q12" s="12"/>
      <c r="R12" s="12"/>
      <c r="S12" s="12"/>
      <c r="T12" s="12"/>
      <c r="U12" s="12"/>
      <c r="V12" s="12"/>
      <c r="X12" s="12"/>
      <c r="Y12" s="12"/>
      <c r="Z12" s="12"/>
      <c r="AA12" s="12"/>
      <c r="AB12" s="12"/>
      <c r="AC12" s="12"/>
      <c r="AD12" s="12"/>
      <c r="AE12" s="12"/>
      <c r="AF12" s="12"/>
      <c r="AG12" s="12"/>
      <c r="AH12" s="12"/>
      <c r="AI12" s="12"/>
      <c r="AJ12" s="12" t="s">
        <v>396</v>
      </c>
      <c r="AK12" s="12" t="s">
        <v>397</v>
      </c>
      <c r="AL12" s="12" t="s">
        <v>381</v>
      </c>
    </row>
    <row r="13" spans="1:38">
      <c r="A13" s="4" t="s">
        <v>398</v>
      </c>
      <c r="B13" s="12"/>
      <c r="C13" s="4" t="s">
        <v>387</v>
      </c>
      <c r="D13" s="4" t="s">
        <v>378</v>
      </c>
      <c r="E13" s="4" t="s">
        <v>42</v>
      </c>
      <c r="F13" s="12">
        <v>2</v>
      </c>
      <c r="G13" s="12">
        <v>3</v>
      </c>
      <c r="H13" s="12">
        <v>0</v>
      </c>
      <c r="I13" s="12">
        <v>31</v>
      </c>
      <c r="J13" s="82">
        <f t="shared" si="0"/>
        <v>3</v>
      </c>
      <c r="K13" s="12" t="s">
        <v>470</v>
      </c>
      <c r="L13" s="12"/>
      <c r="M13" s="12"/>
      <c r="N13" s="12"/>
      <c r="O13" s="12"/>
      <c r="P13" s="12"/>
      <c r="Q13" s="12"/>
      <c r="R13" s="12"/>
      <c r="S13" s="12"/>
      <c r="T13" s="12"/>
      <c r="U13" s="12"/>
      <c r="V13" s="12"/>
      <c r="X13" s="12"/>
      <c r="Y13" s="12"/>
      <c r="Z13" s="12"/>
      <c r="AA13" s="12"/>
      <c r="AB13" s="12"/>
      <c r="AC13" s="12"/>
      <c r="AD13" s="12"/>
      <c r="AE13" s="12"/>
      <c r="AF13" s="12"/>
      <c r="AG13" s="12"/>
      <c r="AH13" s="12"/>
      <c r="AI13" s="12"/>
      <c r="AJ13" s="12" t="s">
        <v>380</v>
      </c>
      <c r="AK13" s="12" t="s">
        <v>381</v>
      </c>
      <c r="AL13" s="12"/>
    </row>
    <row r="14" spans="1:38">
      <c r="A14" s="4" t="s">
        <v>399</v>
      </c>
      <c r="B14" s="12"/>
      <c r="C14" s="4" t="s">
        <v>387</v>
      </c>
      <c r="D14" s="4" t="s">
        <v>378</v>
      </c>
      <c r="E14" s="4" t="s">
        <v>400</v>
      </c>
      <c r="F14" s="12">
        <v>3</v>
      </c>
      <c r="G14" s="12">
        <v>6</v>
      </c>
      <c r="H14" s="12">
        <v>0</v>
      </c>
      <c r="I14" s="12">
        <v>61</v>
      </c>
      <c r="J14" s="82">
        <f t="shared" si="0"/>
        <v>6</v>
      </c>
      <c r="K14" s="12" t="s">
        <v>472</v>
      </c>
      <c r="L14" s="12"/>
      <c r="M14" s="12"/>
      <c r="N14" s="12"/>
      <c r="O14" s="12"/>
      <c r="P14" s="12"/>
      <c r="Q14" s="12"/>
      <c r="R14" s="12"/>
      <c r="S14" s="12"/>
      <c r="T14" s="12"/>
      <c r="U14" s="12"/>
      <c r="V14" s="12"/>
      <c r="X14" s="12"/>
      <c r="Y14" s="12"/>
      <c r="Z14" s="12"/>
      <c r="AA14" s="12"/>
      <c r="AB14" s="12"/>
      <c r="AC14" s="12"/>
      <c r="AD14" s="12"/>
      <c r="AE14" s="12"/>
      <c r="AF14" s="12"/>
      <c r="AG14" s="12"/>
      <c r="AH14" s="12"/>
      <c r="AI14" s="12"/>
      <c r="AJ14" s="12" t="s">
        <v>396</v>
      </c>
      <c r="AK14" s="12" t="s">
        <v>397</v>
      </c>
      <c r="AL14" s="12"/>
    </row>
    <row r="15" spans="1:38">
      <c r="A15" s="4" t="s">
        <v>401</v>
      </c>
      <c r="B15" s="12"/>
      <c r="C15" s="4" t="s">
        <v>387</v>
      </c>
      <c r="D15" s="4" t="s">
        <v>378</v>
      </c>
      <c r="E15" s="4" t="s">
        <v>402</v>
      </c>
      <c r="F15" s="12">
        <v>3</v>
      </c>
      <c r="G15" s="12">
        <v>4</v>
      </c>
      <c r="H15" s="12">
        <v>0</v>
      </c>
      <c r="I15" s="12">
        <v>56</v>
      </c>
      <c r="J15" s="82">
        <f t="shared" si="0"/>
        <v>4</v>
      </c>
      <c r="K15" s="12" t="s">
        <v>469</v>
      </c>
      <c r="L15" s="12"/>
      <c r="M15" s="12"/>
      <c r="N15" s="12"/>
      <c r="O15" s="12"/>
      <c r="P15" s="12"/>
      <c r="Q15" s="12"/>
      <c r="R15" s="12"/>
      <c r="S15" s="12"/>
      <c r="T15" s="12"/>
      <c r="U15" s="12"/>
      <c r="V15" s="12"/>
      <c r="X15" s="12"/>
      <c r="Y15" s="12"/>
      <c r="Z15" s="12"/>
      <c r="AA15" s="12"/>
      <c r="AB15" s="12"/>
      <c r="AC15" s="12"/>
      <c r="AD15" s="12"/>
      <c r="AE15" s="12"/>
      <c r="AF15" s="12"/>
      <c r="AG15" s="12"/>
      <c r="AH15" s="12"/>
      <c r="AI15" s="12"/>
      <c r="AJ15" s="12" t="s">
        <v>396</v>
      </c>
      <c r="AK15" s="12" t="s">
        <v>397</v>
      </c>
      <c r="AL15" s="12"/>
    </row>
    <row r="16" spans="1:38">
      <c r="A16" s="4" t="s">
        <v>403</v>
      </c>
      <c r="B16" s="12"/>
      <c r="C16" s="4" t="s">
        <v>387</v>
      </c>
      <c r="D16" s="4" t="s">
        <v>378</v>
      </c>
      <c r="E16" s="4" t="s">
        <v>54</v>
      </c>
      <c r="F16" s="12">
        <v>5</v>
      </c>
      <c r="G16" s="12">
        <v>9</v>
      </c>
      <c r="H16" s="12">
        <v>0</v>
      </c>
      <c r="I16" s="12">
        <v>71</v>
      </c>
      <c r="J16" s="82">
        <f t="shared" si="0"/>
        <v>9</v>
      </c>
      <c r="K16" s="12" t="s">
        <v>470</v>
      </c>
      <c r="L16" s="12"/>
      <c r="M16" s="12"/>
      <c r="N16" s="12"/>
      <c r="O16" s="12"/>
      <c r="P16" s="12"/>
      <c r="Q16" s="12"/>
      <c r="R16" s="12"/>
      <c r="T16" s="12"/>
      <c r="U16" s="12"/>
      <c r="V16" s="12"/>
      <c r="X16" s="12"/>
      <c r="Y16" s="12"/>
      <c r="Z16" s="12"/>
      <c r="AA16" s="12"/>
      <c r="AB16" s="12"/>
      <c r="AC16" s="12"/>
      <c r="AD16" s="12"/>
      <c r="AE16" s="12"/>
      <c r="AF16" s="12"/>
      <c r="AG16" s="12"/>
      <c r="AH16" s="12"/>
      <c r="AI16" s="12"/>
      <c r="AJ16" s="12" t="s">
        <v>396</v>
      </c>
      <c r="AK16" s="12" t="s">
        <v>397</v>
      </c>
      <c r="AL16" s="12"/>
    </row>
    <row r="17" spans="1:38">
      <c r="A17" s="4" t="s">
        <v>404</v>
      </c>
      <c r="B17" s="12"/>
      <c r="C17" s="4" t="s">
        <v>387</v>
      </c>
      <c r="D17" s="4" t="s">
        <v>378</v>
      </c>
      <c r="E17" s="4" t="s">
        <v>58</v>
      </c>
      <c r="F17" s="12">
        <v>2</v>
      </c>
      <c r="G17" s="12">
        <v>4</v>
      </c>
      <c r="H17" s="12">
        <v>0</v>
      </c>
      <c r="I17" s="12">
        <v>31</v>
      </c>
      <c r="J17" s="82">
        <f t="shared" si="0"/>
        <v>4</v>
      </c>
      <c r="K17" s="12" t="s">
        <v>472</v>
      </c>
      <c r="L17" s="12"/>
      <c r="M17" s="12"/>
      <c r="N17" s="12"/>
      <c r="O17" s="12"/>
      <c r="P17" s="12"/>
      <c r="Q17" s="12"/>
      <c r="R17" s="12"/>
      <c r="S17" s="12"/>
      <c r="T17" s="12"/>
      <c r="U17" s="12"/>
      <c r="V17" s="12"/>
      <c r="X17" s="12"/>
      <c r="Y17" s="12"/>
      <c r="Z17" s="12"/>
      <c r="AA17" s="12"/>
      <c r="AB17" s="12"/>
      <c r="AC17" s="12"/>
      <c r="AD17" s="12"/>
      <c r="AE17" s="12"/>
      <c r="AF17" s="12"/>
      <c r="AG17" s="12"/>
      <c r="AH17" s="12"/>
      <c r="AI17" s="12"/>
      <c r="AJ17" s="12" t="s">
        <v>396</v>
      </c>
      <c r="AK17" s="12" t="s">
        <v>397</v>
      </c>
      <c r="AL17" s="12" t="s">
        <v>381</v>
      </c>
    </row>
    <row r="18" spans="1:38">
      <c r="A18" s="4" t="s">
        <v>405</v>
      </c>
      <c r="B18" s="12"/>
      <c r="C18" s="4" t="s">
        <v>387</v>
      </c>
      <c r="D18" s="4" t="s">
        <v>378</v>
      </c>
      <c r="E18" s="4" t="s">
        <v>406</v>
      </c>
      <c r="F18" s="12">
        <v>6</v>
      </c>
      <c r="G18" s="12">
        <v>9</v>
      </c>
      <c r="H18" s="12">
        <v>0</v>
      </c>
      <c r="I18" s="12">
        <v>101</v>
      </c>
      <c r="J18" s="82">
        <f t="shared" si="0"/>
        <v>9</v>
      </c>
      <c r="K18" s="12" t="s">
        <v>469</v>
      </c>
      <c r="L18" s="12"/>
      <c r="M18" s="12"/>
      <c r="N18" s="12"/>
      <c r="O18" s="12"/>
      <c r="P18" s="12"/>
      <c r="Q18" s="12"/>
      <c r="R18" s="12"/>
      <c r="S18" s="12"/>
      <c r="T18" s="12"/>
      <c r="U18" s="12"/>
      <c r="V18" s="12"/>
      <c r="X18" s="12"/>
      <c r="Y18" s="12"/>
      <c r="Z18" s="12"/>
      <c r="AA18" s="12"/>
      <c r="AB18" s="12">
        <v>50</v>
      </c>
      <c r="AC18" s="12" t="s">
        <v>472</v>
      </c>
      <c r="AD18" s="12"/>
      <c r="AE18" s="12"/>
      <c r="AF18" s="12"/>
      <c r="AG18" s="12"/>
      <c r="AH18" s="12"/>
      <c r="AI18" s="12"/>
      <c r="AJ18" s="12" t="s">
        <v>380</v>
      </c>
      <c r="AK18" s="12" t="s">
        <v>381</v>
      </c>
      <c r="AL18" s="12"/>
    </row>
    <row r="19" spans="1:38">
      <c r="A19" s="4" t="s">
        <v>407</v>
      </c>
      <c r="B19" s="12"/>
      <c r="C19" s="4" t="s">
        <v>387</v>
      </c>
      <c r="D19" s="4" t="s">
        <v>378</v>
      </c>
      <c r="E19" s="4" t="s">
        <v>65</v>
      </c>
      <c r="F19" s="12">
        <v>2</v>
      </c>
      <c r="G19" s="12">
        <v>5</v>
      </c>
      <c r="H19" s="12">
        <v>0</v>
      </c>
      <c r="I19" s="12">
        <v>51</v>
      </c>
      <c r="J19" s="82">
        <f t="shared" si="0"/>
        <v>5</v>
      </c>
      <c r="K19" s="12" t="s">
        <v>470</v>
      </c>
      <c r="L19" s="12"/>
      <c r="M19" s="12"/>
      <c r="N19" s="12"/>
      <c r="O19" s="12"/>
      <c r="P19" s="12"/>
      <c r="Q19" s="12"/>
      <c r="R19" s="12"/>
      <c r="S19" s="12"/>
      <c r="T19" s="12"/>
      <c r="U19" s="12"/>
      <c r="V19" s="12"/>
      <c r="X19" s="12"/>
      <c r="Y19" s="12"/>
      <c r="Z19" s="12"/>
      <c r="AA19" s="12"/>
      <c r="AB19" s="12"/>
      <c r="AC19" s="12"/>
      <c r="AD19" s="12"/>
      <c r="AE19" s="12"/>
      <c r="AF19" s="12"/>
      <c r="AG19" s="12"/>
      <c r="AH19" s="12"/>
      <c r="AI19" s="12"/>
      <c r="AJ19" s="12" t="s">
        <v>396</v>
      </c>
      <c r="AK19" s="12" t="s">
        <v>397</v>
      </c>
      <c r="AL19" s="12"/>
    </row>
    <row r="20" spans="1:38">
      <c r="A20" s="4" t="s">
        <v>408</v>
      </c>
      <c r="B20" s="12"/>
      <c r="C20" s="4" t="s">
        <v>387</v>
      </c>
      <c r="D20" s="4" t="s">
        <v>378</v>
      </c>
      <c r="E20" s="4" t="s">
        <v>73</v>
      </c>
      <c r="F20" s="12">
        <v>5</v>
      </c>
      <c r="G20" s="12">
        <v>12</v>
      </c>
      <c r="H20" s="12">
        <v>0</v>
      </c>
      <c r="I20" s="12">
        <v>56</v>
      </c>
      <c r="J20" s="82">
        <f t="shared" si="0"/>
        <v>12</v>
      </c>
      <c r="K20" s="12" t="s">
        <v>472</v>
      </c>
      <c r="L20" s="12"/>
      <c r="M20" s="12"/>
      <c r="N20" s="12"/>
      <c r="O20" s="12"/>
      <c r="P20" s="12"/>
      <c r="Q20" s="12"/>
      <c r="R20" s="12"/>
      <c r="S20" s="12"/>
      <c r="T20" s="12"/>
      <c r="U20" s="12"/>
      <c r="V20" s="12"/>
      <c r="X20" s="12"/>
      <c r="Y20" s="12"/>
      <c r="Z20" s="12"/>
      <c r="AA20" s="12"/>
      <c r="AB20" s="12"/>
      <c r="AC20" s="12"/>
      <c r="AD20" s="12">
        <v>65</v>
      </c>
      <c r="AE20" s="12" t="s">
        <v>472</v>
      </c>
      <c r="AF20" s="12"/>
      <c r="AG20" s="12"/>
      <c r="AH20" s="12"/>
      <c r="AI20" s="12"/>
      <c r="AJ20" s="12" t="s">
        <v>380</v>
      </c>
      <c r="AK20" s="12" t="s">
        <v>381</v>
      </c>
      <c r="AL20" s="12"/>
    </row>
    <row r="21" spans="1:38">
      <c r="A21" s="4" t="s">
        <v>409</v>
      </c>
      <c r="B21" s="12"/>
      <c r="C21" s="4" t="s">
        <v>387</v>
      </c>
      <c r="D21" s="4" t="s">
        <v>378</v>
      </c>
      <c r="E21" s="4" t="s">
        <v>81</v>
      </c>
      <c r="F21" s="12">
        <v>4</v>
      </c>
      <c r="G21" s="12">
        <v>7</v>
      </c>
      <c r="H21" s="12">
        <v>0</v>
      </c>
      <c r="I21" s="12">
        <v>41</v>
      </c>
      <c r="J21" s="82">
        <f t="shared" si="0"/>
        <v>7</v>
      </c>
      <c r="K21" s="12" t="s">
        <v>469</v>
      </c>
      <c r="L21" s="12"/>
      <c r="M21" s="12"/>
      <c r="N21" s="12"/>
      <c r="O21" s="12"/>
      <c r="P21" s="12"/>
      <c r="Q21" s="12"/>
      <c r="R21" s="12"/>
      <c r="S21" s="12"/>
      <c r="T21" s="12"/>
      <c r="U21" s="12"/>
      <c r="V21" s="12"/>
      <c r="X21" s="12"/>
      <c r="Y21" s="12"/>
      <c r="Z21" s="12"/>
      <c r="AA21" s="12"/>
      <c r="AB21" s="12"/>
      <c r="AC21" s="12"/>
      <c r="AD21" s="12"/>
      <c r="AE21" s="12"/>
      <c r="AF21" s="12"/>
      <c r="AG21" s="12"/>
      <c r="AH21" s="12"/>
      <c r="AI21" s="12"/>
      <c r="AJ21" s="12" t="s">
        <v>380</v>
      </c>
      <c r="AK21" s="12" t="s">
        <v>381</v>
      </c>
      <c r="AL21" s="12"/>
    </row>
    <row r="22" spans="1:38">
      <c r="A22" s="4" t="s">
        <v>410</v>
      </c>
      <c r="B22" s="12"/>
      <c r="C22" s="4" t="s">
        <v>387</v>
      </c>
      <c r="D22" s="4" t="s">
        <v>378</v>
      </c>
      <c r="E22" s="4" t="s">
        <v>85</v>
      </c>
      <c r="F22" s="12">
        <v>8</v>
      </c>
      <c r="G22" s="12">
        <v>34</v>
      </c>
      <c r="H22" s="12">
        <v>34</v>
      </c>
      <c r="I22" s="12">
        <v>136</v>
      </c>
      <c r="J22" s="82">
        <f t="shared" si="0"/>
        <v>0</v>
      </c>
      <c r="K22" s="12" t="s">
        <v>470</v>
      </c>
      <c r="L22" s="12"/>
      <c r="M22" s="12"/>
      <c r="N22" s="12"/>
      <c r="O22" s="12"/>
      <c r="P22" s="12"/>
      <c r="Q22" s="12"/>
      <c r="R22" s="12"/>
      <c r="S22" s="12"/>
      <c r="T22" s="12"/>
      <c r="U22" s="12"/>
      <c r="V22" s="12"/>
      <c r="X22" s="12"/>
      <c r="Y22" s="12"/>
      <c r="Z22" s="12"/>
      <c r="AA22" s="12"/>
      <c r="AB22" s="12"/>
      <c r="AC22" s="12"/>
      <c r="AD22" s="12"/>
      <c r="AE22" s="12"/>
      <c r="AF22" s="12"/>
      <c r="AG22" s="12"/>
      <c r="AH22" s="12"/>
      <c r="AI22" s="12"/>
      <c r="AJ22" s="12" t="s">
        <v>396</v>
      </c>
      <c r="AK22" s="12" t="s">
        <v>397</v>
      </c>
      <c r="AL22" s="12"/>
    </row>
    <row r="23" spans="1:38">
      <c r="A23" s="4" t="s">
        <v>411</v>
      </c>
      <c r="B23" s="12"/>
      <c r="C23" s="4" t="s">
        <v>387</v>
      </c>
      <c r="D23" s="4" t="s">
        <v>378</v>
      </c>
      <c r="E23" s="4" t="s">
        <v>85</v>
      </c>
      <c r="F23" s="12">
        <v>8</v>
      </c>
      <c r="G23" s="12">
        <v>34</v>
      </c>
      <c r="H23" s="12">
        <v>34</v>
      </c>
      <c r="I23" s="12">
        <v>136</v>
      </c>
      <c r="J23" s="82">
        <f t="shared" si="0"/>
        <v>0</v>
      </c>
      <c r="K23" s="12" t="s">
        <v>472</v>
      </c>
      <c r="L23" s="12"/>
      <c r="M23" s="12"/>
      <c r="N23" s="12"/>
      <c r="O23" s="12"/>
      <c r="P23" s="12"/>
      <c r="Q23" s="12"/>
      <c r="R23" s="12"/>
      <c r="S23" s="12"/>
      <c r="T23" s="12"/>
      <c r="U23" s="12"/>
      <c r="V23" s="12"/>
      <c r="X23" s="12"/>
      <c r="Y23" s="12"/>
      <c r="Z23" s="12"/>
      <c r="AA23" s="12"/>
      <c r="AB23" s="12"/>
      <c r="AC23" s="12"/>
      <c r="AD23" s="12"/>
      <c r="AE23" s="12"/>
      <c r="AF23" s="12"/>
      <c r="AG23" s="12"/>
      <c r="AH23" s="12"/>
      <c r="AI23" s="12"/>
      <c r="AJ23" s="12" t="s">
        <v>396</v>
      </c>
      <c r="AK23" s="12" t="s">
        <v>397</v>
      </c>
      <c r="AL23" s="12"/>
    </row>
    <row r="24" spans="1:38">
      <c r="A24" s="4" t="s">
        <v>433</v>
      </c>
      <c r="B24" s="12"/>
      <c r="C24" s="4" t="s">
        <v>387</v>
      </c>
      <c r="D24" s="19" t="s">
        <v>434</v>
      </c>
      <c r="E24" s="4" t="s">
        <v>89</v>
      </c>
      <c r="F24" s="12">
        <v>4</v>
      </c>
      <c r="G24" s="12">
        <v>4</v>
      </c>
      <c r="H24" s="12">
        <v>0</v>
      </c>
      <c r="I24" s="12">
        <v>100</v>
      </c>
      <c r="J24" s="82">
        <f t="shared" si="0"/>
        <v>4</v>
      </c>
      <c r="K24" s="12" t="s">
        <v>469</v>
      </c>
      <c r="L24" s="12"/>
      <c r="M24" s="12"/>
      <c r="N24" s="12"/>
      <c r="O24" s="12"/>
      <c r="P24" s="12"/>
      <c r="Q24" s="12"/>
      <c r="R24" s="12"/>
      <c r="S24" s="12"/>
      <c r="T24" s="12"/>
      <c r="U24" s="12"/>
      <c r="V24" s="12"/>
      <c r="X24" s="12"/>
      <c r="Y24" s="12"/>
      <c r="Z24" s="12"/>
      <c r="AA24" s="12"/>
      <c r="AB24" s="12"/>
      <c r="AC24" s="12"/>
      <c r="AD24" s="12"/>
      <c r="AE24" s="12"/>
      <c r="AF24" s="12"/>
      <c r="AG24" s="12"/>
      <c r="AH24" s="12"/>
      <c r="AI24" s="12"/>
      <c r="AJ24" s="12" t="s">
        <v>380</v>
      </c>
      <c r="AK24" s="12" t="s">
        <v>381</v>
      </c>
      <c r="AL24" s="12"/>
    </row>
    <row r="25" spans="1:38">
      <c r="A25" s="4" t="s">
        <v>435</v>
      </c>
      <c r="B25" s="12"/>
      <c r="C25" s="4" t="s">
        <v>387</v>
      </c>
      <c r="D25" s="19" t="s">
        <v>434</v>
      </c>
      <c r="E25" s="4" t="s">
        <v>97</v>
      </c>
      <c r="F25" s="12">
        <v>4</v>
      </c>
      <c r="G25" s="12">
        <v>16</v>
      </c>
      <c r="H25" s="12">
        <v>0</v>
      </c>
      <c r="I25" s="12">
        <v>100</v>
      </c>
      <c r="J25" s="82">
        <f t="shared" si="0"/>
        <v>16</v>
      </c>
      <c r="K25" s="12" t="s">
        <v>470</v>
      </c>
      <c r="L25" s="12"/>
      <c r="M25" s="12"/>
      <c r="N25" s="12"/>
      <c r="O25" s="12"/>
      <c r="P25" s="12"/>
      <c r="Q25" s="12"/>
      <c r="R25" s="12"/>
      <c r="S25" s="12"/>
      <c r="T25" s="12"/>
      <c r="U25" s="12"/>
      <c r="V25" s="12"/>
      <c r="X25" s="12"/>
      <c r="Y25" s="12"/>
      <c r="Z25" s="12"/>
      <c r="AA25" s="12"/>
      <c r="AB25" s="12"/>
      <c r="AC25" s="12"/>
      <c r="AD25" s="12"/>
      <c r="AE25" s="12"/>
      <c r="AF25" s="12"/>
      <c r="AG25" s="12"/>
      <c r="AH25" s="12"/>
      <c r="AI25" s="12"/>
      <c r="AJ25" s="12" t="s">
        <v>380</v>
      </c>
      <c r="AK25" s="12" t="s">
        <v>381</v>
      </c>
      <c r="AL25" s="12"/>
    </row>
    <row r="26" spans="1:38">
      <c r="A26" s="4" t="s">
        <v>436</v>
      </c>
      <c r="B26" s="12"/>
      <c r="C26" s="4" t="s">
        <v>387</v>
      </c>
      <c r="D26" s="19" t="s">
        <v>434</v>
      </c>
      <c r="E26" s="4" t="s">
        <v>93</v>
      </c>
      <c r="F26" s="12">
        <v>4</v>
      </c>
      <c r="G26" s="12">
        <v>14</v>
      </c>
      <c r="H26" s="12">
        <v>0</v>
      </c>
      <c r="I26" s="12">
        <v>120</v>
      </c>
      <c r="J26" s="82">
        <f t="shared" si="0"/>
        <v>14</v>
      </c>
      <c r="K26" s="12" t="s">
        <v>472</v>
      </c>
      <c r="L26" s="12"/>
      <c r="M26" s="12"/>
      <c r="N26" s="12"/>
      <c r="O26" s="12"/>
      <c r="P26" s="12"/>
      <c r="Q26" s="12"/>
      <c r="R26" s="12"/>
      <c r="S26" s="12"/>
      <c r="T26" s="12"/>
      <c r="U26" s="12"/>
      <c r="V26" s="12"/>
      <c r="X26" s="12"/>
      <c r="Y26" s="12"/>
      <c r="Z26" s="12"/>
      <c r="AA26" s="12"/>
      <c r="AB26" s="12"/>
      <c r="AC26" s="12"/>
      <c r="AD26" s="12"/>
      <c r="AE26" s="12"/>
      <c r="AF26" s="12"/>
      <c r="AG26" s="12"/>
      <c r="AH26" s="12"/>
      <c r="AI26" s="12"/>
      <c r="AJ26" s="12" t="s">
        <v>380</v>
      </c>
      <c r="AK26" s="12" t="s">
        <v>381</v>
      </c>
      <c r="AL26" s="12"/>
    </row>
    <row r="27" spans="1:38">
      <c r="A27" s="4" t="s">
        <v>412</v>
      </c>
      <c r="B27" s="12"/>
      <c r="C27" s="4" t="s">
        <v>387</v>
      </c>
      <c r="D27" s="4" t="s">
        <v>378</v>
      </c>
      <c r="E27" s="4" t="s">
        <v>100</v>
      </c>
      <c r="F27" s="12">
        <v>6</v>
      </c>
      <c r="G27" s="12">
        <v>6</v>
      </c>
      <c r="H27" s="12">
        <v>0</v>
      </c>
      <c r="I27" s="12">
        <v>56</v>
      </c>
      <c r="J27" s="82">
        <f t="shared" si="0"/>
        <v>6</v>
      </c>
      <c r="K27" s="12" t="s">
        <v>472</v>
      </c>
      <c r="L27" s="12"/>
      <c r="M27" s="12"/>
      <c r="N27" s="12"/>
      <c r="O27" s="12"/>
      <c r="P27" s="12"/>
      <c r="Q27" s="12"/>
      <c r="R27" s="12"/>
      <c r="S27" s="12"/>
      <c r="T27" s="12"/>
      <c r="U27" s="12"/>
      <c r="V27" s="12"/>
      <c r="X27" s="12"/>
      <c r="Y27" s="12"/>
      <c r="Z27" s="12">
        <v>50</v>
      </c>
      <c r="AA27" s="12" t="s">
        <v>413</v>
      </c>
      <c r="AB27" s="12"/>
      <c r="AC27" s="12"/>
      <c r="AD27" s="12"/>
      <c r="AE27" s="12"/>
      <c r="AF27" s="12"/>
      <c r="AG27" s="12"/>
      <c r="AH27" s="12"/>
      <c r="AI27" s="12"/>
      <c r="AJ27" s="12" t="s">
        <v>380</v>
      </c>
      <c r="AK27" s="12" t="s">
        <v>381</v>
      </c>
      <c r="AL27" s="12"/>
    </row>
    <row r="28" spans="1:38">
      <c r="A28" s="4" t="s">
        <v>414</v>
      </c>
      <c r="B28" s="12"/>
      <c r="C28" s="4" t="s">
        <v>387</v>
      </c>
      <c r="D28" s="4" t="s">
        <v>378</v>
      </c>
      <c r="E28" s="4" t="s">
        <v>100</v>
      </c>
      <c r="F28" s="12">
        <v>6</v>
      </c>
      <c r="G28" s="12">
        <v>6</v>
      </c>
      <c r="H28" s="12">
        <v>0</v>
      </c>
      <c r="I28" s="12">
        <v>56</v>
      </c>
      <c r="J28" s="82">
        <f t="shared" si="0"/>
        <v>6</v>
      </c>
      <c r="K28" s="12" t="s">
        <v>469</v>
      </c>
      <c r="L28" s="12"/>
      <c r="M28" s="12"/>
      <c r="N28" s="12"/>
      <c r="O28" s="12"/>
      <c r="P28" s="12"/>
      <c r="Q28" s="12"/>
      <c r="R28" s="12"/>
      <c r="S28" s="12"/>
      <c r="T28" s="12"/>
      <c r="U28" s="12"/>
      <c r="V28" s="12"/>
      <c r="X28" s="12"/>
      <c r="Y28" s="12"/>
      <c r="Z28" s="12">
        <v>50</v>
      </c>
      <c r="AA28" s="12" t="s">
        <v>413</v>
      </c>
      <c r="AB28" s="12"/>
      <c r="AC28" s="12"/>
      <c r="AD28" s="12"/>
      <c r="AE28" s="12"/>
      <c r="AF28" s="12"/>
      <c r="AG28" s="12"/>
      <c r="AH28" s="12"/>
      <c r="AI28" s="12"/>
      <c r="AJ28" s="12" t="s">
        <v>380</v>
      </c>
      <c r="AK28" s="12" t="s">
        <v>381</v>
      </c>
      <c r="AL28" s="12"/>
    </row>
    <row r="29" spans="1:38">
      <c r="A29" s="4" t="s">
        <v>415</v>
      </c>
      <c r="B29" s="12"/>
      <c r="C29" s="4" t="s">
        <v>387</v>
      </c>
      <c r="D29" s="4" t="s">
        <v>378</v>
      </c>
      <c r="E29" s="4" t="s">
        <v>416</v>
      </c>
      <c r="F29" s="12">
        <v>3</v>
      </c>
      <c r="G29" s="12">
        <v>3</v>
      </c>
      <c r="H29" s="12">
        <v>0</v>
      </c>
      <c r="I29" s="12">
        <v>41</v>
      </c>
      <c r="J29" s="82">
        <f t="shared" si="0"/>
        <v>3</v>
      </c>
      <c r="K29" s="12" t="s">
        <v>472</v>
      </c>
      <c r="L29" s="12"/>
      <c r="M29" s="12"/>
      <c r="N29" s="12"/>
      <c r="O29" s="12"/>
      <c r="P29" s="12"/>
      <c r="Q29" s="12"/>
      <c r="R29" s="12"/>
      <c r="S29" s="12"/>
      <c r="T29" s="12"/>
      <c r="U29" s="12"/>
      <c r="V29" s="12"/>
      <c r="X29" s="12"/>
      <c r="Y29" s="12"/>
      <c r="Z29" s="12"/>
      <c r="AA29" s="12"/>
      <c r="AB29" s="12"/>
      <c r="AC29" s="12"/>
      <c r="AD29" s="12"/>
      <c r="AE29" s="12"/>
      <c r="AF29" s="12"/>
      <c r="AG29" s="12"/>
      <c r="AH29" s="12"/>
      <c r="AI29" s="12"/>
      <c r="AJ29" s="12" t="s">
        <v>380</v>
      </c>
      <c r="AK29" s="12" t="s">
        <v>381</v>
      </c>
      <c r="AL29" s="12"/>
    </row>
    <row r="30" spans="1:38">
      <c r="A30" s="4" t="s">
        <v>417</v>
      </c>
      <c r="B30" s="12"/>
      <c r="C30" s="4" t="s">
        <v>387</v>
      </c>
      <c r="D30" s="4" t="s">
        <v>378</v>
      </c>
      <c r="E30" s="4" t="s">
        <v>418</v>
      </c>
      <c r="F30" s="12">
        <v>3</v>
      </c>
      <c r="G30" s="12">
        <v>3</v>
      </c>
      <c r="H30" s="12">
        <v>0</v>
      </c>
      <c r="I30" s="12">
        <v>41</v>
      </c>
      <c r="J30" s="82">
        <f t="shared" ref="J30:J31" si="1">G30-H30</f>
        <v>3</v>
      </c>
      <c r="K30" s="12" t="s">
        <v>472</v>
      </c>
      <c r="L30" s="12"/>
      <c r="M30" s="12"/>
      <c r="N30" s="12"/>
      <c r="O30" s="12"/>
      <c r="P30" s="12"/>
      <c r="Q30" s="12"/>
      <c r="R30" s="12"/>
      <c r="S30" s="12"/>
      <c r="T30" s="12"/>
      <c r="U30" s="12"/>
      <c r="V30" s="12"/>
      <c r="X30" s="12"/>
      <c r="Y30" s="12"/>
      <c r="Z30" s="12"/>
      <c r="AA30" s="12"/>
      <c r="AB30" s="12"/>
      <c r="AC30" s="12"/>
      <c r="AD30" s="12"/>
      <c r="AE30" s="12"/>
      <c r="AF30" s="12"/>
      <c r="AG30" s="12"/>
      <c r="AH30" s="12"/>
      <c r="AI30" s="12"/>
      <c r="AJ30" s="12" t="s">
        <v>380</v>
      </c>
      <c r="AK30" s="12" t="s">
        <v>381</v>
      </c>
      <c r="AL30" s="12"/>
    </row>
    <row r="31" spans="1:38" s="43" customFormat="1" ht="14.5">
      <c r="A31" s="17" t="s">
        <v>419</v>
      </c>
      <c r="B31" s="17"/>
      <c r="C31" s="17" t="s">
        <v>387</v>
      </c>
      <c r="D31" s="17" t="s">
        <v>378</v>
      </c>
      <c r="E31" s="17" t="s">
        <v>650</v>
      </c>
      <c r="F31" s="15">
        <v>2</v>
      </c>
      <c r="G31" s="15">
        <v>4</v>
      </c>
      <c r="H31" s="15">
        <v>0</v>
      </c>
      <c r="I31" s="15">
        <v>65</v>
      </c>
      <c r="J31" s="15">
        <f t="shared" si="1"/>
        <v>4</v>
      </c>
      <c r="K31" s="12" t="s">
        <v>469</v>
      </c>
      <c r="L31" s="36"/>
      <c r="M31" s="36"/>
      <c r="N31" s="111"/>
      <c r="O31" s="112"/>
      <c r="P31" s="36"/>
      <c r="Q31" s="36"/>
      <c r="R31" s="36"/>
      <c r="S31" s="36"/>
      <c r="T31" s="36"/>
      <c r="U31" s="36"/>
      <c r="X31" s="36"/>
      <c r="Y31" s="36"/>
      <c r="Z31" s="36"/>
      <c r="AA31" s="36"/>
      <c r="AB31" s="36"/>
      <c r="AC31" s="36"/>
      <c r="AD31" s="36"/>
      <c r="AE31" s="36"/>
      <c r="AF31" s="36">
        <v>200</v>
      </c>
      <c r="AG31" s="36" t="s">
        <v>421</v>
      </c>
      <c r="AH31" s="36"/>
      <c r="AI31" s="36"/>
      <c r="AJ31" s="36" t="s">
        <v>380</v>
      </c>
      <c r="AK31" s="36" t="s">
        <v>381</v>
      </c>
      <c r="AL31" s="36"/>
    </row>
    <row r="32" spans="1:38" s="18" customFormat="1">
      <c r="F32" s="16">
        <f>SUM(F8:F31)</f>
        <v>99</v>
      </c>
      <c r="G32" s="16">
        <f>SUM(G8:G31)</f>
        <v>243</v>
      </c>
      <c r="H32" s="16">
        <f>SUM(H8:H31)</f>
        <v>110</v>
      </c>
      <c r="I32" s="16">
        <f>SUM(I8:I31)</f>
        <v>1920</v>
      </c>
      <c r="J32" s="16"/>
      <c r="K32" s="16"/>
      <c r="L32" s="16">
        <f>SUM(L8:L31)</f>
        <v>66</v>
      </c>
      <c r="M32" s="16"/>
      <c r="N32" s="16">
        <f>SUM(N8:N31)</f>
        <v>750</v>
      </c>
      <c r="O32" s="16"/>
      <c r="P32" s="16">
        <f>SUM(P8:P31)</f>
        <v>1125</v>
      </c>
      <c r="Q32" s="16"/>
      <c r="R32" s="16">
        <f>SUM(R8:R31)</f>
        <v>340</v>
      </c>
      <c r="S32" s="16"/>
      <c r="T32" s="16">
        <f>SUM(T8:T31)</f>
        <v>300</v>
      </c>
      <c r="U32" s="16"/>
      <c r="V32" s="16">
        <f>SUM(V8:V31)</f>
        <v>0</v>
      </c>
      <c r="W32" s="16"/>
      <c r="X32" s="16">
        <f>SUM(X8:X31)</f>
        <v>3050</v>
      </c>
      <c r="Z32" s="16">
        <f>SUM(Z8:Z31)</f>
        <v>100</v>
      </c>
      <c r="AB32" s="16">
        <f>SUM(AB8:AB31)</f>
        <v>50</v>
      </c>
      <c r="AD32" s="16">
        <f>SUM(AD8:AD31)</f>
        <v>65</v>
      </c>
      <c r="AF32" s="16">
        <f>SUM(AF8:AF31)</f>
        <v>200</v>
      </c>
      <c r="AH32" s="16">
        <f>SUM(AH8:AH31)</f>
        <v>2500</v>
      </c>
      <c r="AK32" s="16" t="s">
        <v>651</v>
      </c>
      <c r="AL32" s="16">
        <v>2</v>
      </c>
    </row>
    <row r="33" spans="1:45" ht="13">
      <c r="A33" s="181" t="s">
        <v>423</v>
      </c>
      <c r="B33" s="182"/>
      <c r="F33" s="12"/>
      <c r="G33" s="12"/>
      <c r="H33" s="12"/>
      <c r="I33" s="12"/>
      <c r="J33" s="12"/>
      <c r="K33" s="12"/>
      <c r="L33" s="12"/>
      <c r="M33" s="12"/>
      <c r="N33" s="12"/>
      <c r="O33" s="12"/>
      <c r="P33" s="12"/>
      <c r="Q33" s="12"/>
      <c r="R33" s="12"/>
      <c r="S33" s="12"/>
      <c r="T33" s="12"/>
      <c r="U33" s="12"/>
      <c r="V33" s="12"/>
      <c r="X33" s="12"/>
      <c r="Z33" s="12"/>
      <c r="AB33" s="12"/>
      <c r="AD33" s="12"/>
      <c r="AF33" s="12"/>
      <c r="AH33" s="12"/>
      <c r="AK33" s="12"/>
      <c r="AL33" s="12"/>
    </row>
    <row r="34" spans="1:45" ht="13.5" customHeight="1">
      <c r="A34" s="14" t="s">
        <v>424</v>
      </c>
      <c r="F34" s="12"/>
      <c r="G34" s="12"/>
      <c r="H34" s="12"/>
      <c r="I34" s="12"/>
      <c r="J34" s="12"/>
      <c r="K34" s="12"/>
      <c r="L34" s="12"/>
      <c r="M34" s="12"/>
      <c r="N34" s="12"/>
      <c r="O34"/>
      <c r="P34" s="12"/>
      <c r="Q34" s="12"/>
      <c r="R34" s="12"/>
      <c r="S34" s="12"/>
      <c r="T34" s="12"/>
      <c r="U34" s="12"/>
      <c r="V34" s="12"/>
      <c r="W34" s="4"/>
      <c r="X34" s="12"/>
      <c r="Z34" s="12"/>
      <c r="AB34" s="12"/>
      <c r="AD34" s="12"/>
      <c r="AF34" s="12"/>
      <c r="AG34" s="12"/>
      <c r="AH34" s="12"/>
    </row>
    <row r="35" spans="1:45" s="17" customFormat="1" ht="13.5" customHeight="1">
      <c r="A35" s="17" t="s">
        <v>419</v>
      </c>
      <c r="C35" s="17" t="s">
        <v>387</v>
      </c>
      <c r="D35" s="17" t="s">
        <v>378</v>
      </c>
      <c r="E35" s="17" t="s">
        <v>425</v>
      </c>
      <c r="F35" s="15">
        <v>7</v>
      </c>
      <c r="G35" s="15">
        <v>16</v>
      </c>
      <c r="H35" s="15">
        <v>0</v>
      </c>
      <c r="I35" s="15">
        <v>28</v>
      </c>
      <c r="J35" s="15">
        <f>G35-H35</f>
        <v>16</v>
      </c>
      <c r="K35" s="15" t="s">
        <v>469</v>
      </c>
      <c r="L35" s="15"/>
      <c r="M35" s="15"/>
      <c r="N35" s="96"/>
      <c r="O35" s="95"/>
      <c r="P35" s="15"/>
      <c r="Q35" s="15"/>
      <c r="R35" s="15">
        <v>120</v>
      </c>
      <c r="S35" s="15"/>
      <c r="V35" s="15"/>
      <c r="W35" s="15"/>
      <c r="X35" s="15">
        <v>340</v>
      </c>
      <c r="Y35" s="15" t="s">
        <v>179</v>
      </c>
      <c r="AD35" s="15"/>
      <c r="AE35" s="15"/>
      <c r="AF35" s="15"/>
      <c r="AG35" s="15"/>
      <c r="AH35" s="15"/>
      <c r="AJ35" s="15"/>
      <c r="AK35" s="15"/>
      <c r="AL35" s="15"/>
      <c r="AN35" s="15"/>
      <c r="AR35" s="15" t="s">
        <v>380</v>
      </c>
      <c r="AS35" s="15" t="s">
        <v>381</v>
      </c>
    </row>
    <row r="36" spans="1:45" ht="13.5" customHeight="1">
      <c r="F36" s="12">
        <f>SUM(F35:F35)+F32</f>
        <v>106</v>
      </c>
      <c r="G36" s="12">
        <f>SUM(G35:G35)+G32</f>
        <v>259</v>
      </c>
      <c r="H36" s="12">
        <f>SUM(H35:H35)+H32</f>
        <v>110</v>
      </c>
      <c r="I36" s="12">
        <f>SUM(I35:I35)+I32</f>
        <v>1948</v>
      </c>
      <c r="J36" s="12"/>
      <c r="K36" s="12"/>
      <c r="L36" s="12">
        <f>SUM(L35:L35)+L32</f>
        <v>66</v>
      </c>
      <c r="M36" s="12"/>
      <c r="N36" s="12">
        <f>SUM(N35:N35)+N32</f>
        <v>750</v>
      </c>
      <c r="O36"/>
      <c r="P36" s="12">
        <f>SUM(P35:P35)+P32</f>
        <v>1125</v>
      </c>
      <c r="Q36" s="12"/>
      <c r="R36" s="12">
        <f>SUM(R35:R35)+R32</f>
        <v>460</v>
      </c>
      <c r="S36" s="12"/>
      <c r="T36" s="12">
        <f>SUM(T35:T35)+T32</f>
        <v>300</v>
      </c>
      <c r="V36" s="12">
        <f>SUM(V35:V35)+V32</f>
        <v>0</v>
      </c>
      <c r="X36" s="12">
        <f>SUM(X35:X35)+X32</f>
        <v>3390</v>
      </c>
      <c r="Z36" s="12">
        <f>SUM(Z35:Z35)+Z32</f>
        <v>100</v>
      </c>
      <c r="AB36" s="12">
        <f>SUM(AB35:AB35)+AB32</f>
        <v>50</v>
      </c>
      <c r="AD36" s="12">
        <f>SUM(AD35:AD35)+AD32</f>
        <v>65</v>
      </c>
      <c r="AE36" s="12"/>
      <c r="AF36" s="12">
        <f>SUM(AF35:AF35)+AF32</f>
        <v>200</v>
      </c>
      <c r="AG36" s="12"/>
      <c r="AH36" s="12">
        <f>SUM(AH35:AH35)+AH32</f>
        <v>2500</v>
      </c>
      <c r="AJ36" s="12"/>
      <c r="AK36" s="16" t="s">
        <v>651</v>
      </c>
      <c r="AL36" s="12">
        <v>2</v>
      </c>
      <c r="AM36" s="12"/>
      <c r="AN36" s="12"/>
    </row>
    <row r="38" spans="1:45" ht="13">
      <c r="A38" s="14" t="s">
        <v>430</v>
      </c>
      <c r="K38" s="31"/>
      <c r="N38" s="31"/>
    </row>
    <row r="39" spans="1:45" ht="13">
      <c r="A39" s="14"/>
      <c r="K39" s="31"/>
      <c r="N39" s="31"/>
    </row>
    <row r="40" spans="1:45">
      <c r="A40" s="4" t="s">
        <v>431</v>
      </c>
      <c r="C40" s="4" t="s">
        <v>387</v>
      </c>
      <c r="D40" s="4" t="s">
        <v>378</v>
      </c>
      <c r="E40" s="4" t="s">
        <v>21</v>
      </c>
      <c r="F40" s="12">
        <v>4</v>
      </c>
      <c r="G40" s="12">
        <v>16</v>
      </c>
      <c r="H40" s="12">
        <v>0</v>
      </c>
      <c r="I40" s="12">
        <v>71</v>
      </c>
      <c r="J40" s="82">
        <f t="shared" ref="J40:J56" si="2">G40-H40</f>
        <v>16</v>
      </c>
      <c r="K40" s="12"/>
      <c r="L40" s="12"/>
      <c r="M40" s="12"/>
      <c r="N40" s="12"/>
      <c r="O40" s="12"/>
      <c r="P40" s="12"/>
      <c r="Q40" s="12"/>
      <c r="R40" s="12"/>
      <c r="S40" s="12"/>
      <c r="T40" s="12"/>
      <c r="U40" s="12"/>
      <c r="V40" s="12"/>
      <c r="X40" s="12"/>
      <c r="AJ40" s="12" t="s">
        <v>380</v>
      </c>
      <c r="AK40" s="12" t="s">
        <v>381</v>
      </c>
      <c r="AL40" s="12"/>
    </row>
    <row r="41" spans="1:45">
      <c r="A41" s="4" t="s">
        <v>481</v>
      </c>
      <c r="C41" s="4" t="s">
        <v>387</v>
      </c>
      <c r="D41" s="19" t="s">
        <v>434</v>
      </c>
      <c r="E41" s="4" t="s">
        <v>89</v>
      </c>
      <c r="F41" s="12">
        <v>4</v>
      </c>
      <c r="G41" s="12">
        <v>4</v>
      </c>
      <c r="H41" s="12">
        <v>0</v>
      </c>
      <c r="I41" s="12">
        <v>100</v>
      </c>
      <c r="J41" s="82">
        <f t="shared" si="2"/>
        <v>4</v>
      </c>
      <c r="K41" s="12"/>
      <c r="L41" s="12"/>
      <c r="M41" s="12"/>
      <c r="N41" s="12"/>
      <c r="O41" s="12"/>
      <c r="P41" s="12"/>
      <c r="Q41" s="12"/>
      <c r="R41" s="12"/>
      <c r="S41" s="12"/>
      <c r="T41" s="12"/>
      <c r="U41" s="12"/>
      <c r="V41" s="12"/>
      <c r="X41" s="12"/>
      <c r="AJ41" s="12" t="s">
        <v>380</v>
      </c>
      <c r="AK41" s="12" t="s">
        <v>381</v>
      </c>
      <c r="AL41" s="12"/>
    </row>
    <row r="42" spans="1:45">
      <c r="A42" s="4" t="s">
        <v>437</v>
      </c>
      <c r="C42" s="4" t="s">
        <v>387</v>
      </c>
      <c r="D42" s="19" t="s">
        <v>434</v>
      </c>
      <c r="E42" s="4" t="s">
        <v>97</v>
      </c>
      <c r="F42" s="12">
        <v>4</v>
      </c>
      <c r="G42" s="12">
        <v>16</v>
      </c>
      <c r="H42" s="12">
        <v>0</v>
      </c>
      <c r="I42" s="12">
        <v>100</v>
      </c>
      <c r="J42" s="82">
        <f t="shared" si="2"/>
        <v>16</v>
      </c>
      <c r="K42" s="12"/>
      <c r="L42" s="12"/>
      <c r="M42" s="12"/>
      <c r="N42" s="12"/>
      <c r="O42" s="12"/>
      <c r="P42" s="12"/>
      <c r="Q42" s="12"/>
      <c r="R42" s="12"/>
      <c r="S42" s="12"/>
      <c r="T42" s="12"/>
      <c r="U42" s="12"/>
      <c r="V42" s="12"/>
      <c r="X42" s="12"/>
      <c r="AJ42" s="12" t="s">
        <v>380</v>
      </c>
      <c r="AK42" s="12" t="s">
        <v>381</v>
      </c>
      <c r="AL42" s="12"/>
    </row>
    <row r="43" spans="1:45">
      <c r="A43" s="4" t="s">
        <v>482</v>
      </c>
      <c r="C43" s="4" t="s">
        <v>387</v>
      </c>
      <c r="D43" s="19" t="s">
        <v>434</v>
      </c>
      <c r="E43" s="4" t="s">
        <v>97</v>
      </c>
      <c r="F43" s="12">
        <v>4</v>
      </c>
      <c r="G43" s="12">
        <v>16</v>
      </c>
      <c r="H43" s="12">
        <v>0</v>
      </c>
      <c r="I43" s="12">
        <v>100</v>
      </c>
      <c r="J43" s="82">
        <f t="shared" si="2"/>
        <v>16</v>
      </c>
      <c r="K43" s="12"/>
      <c r="L43" s="12"/>
      <c r="M43" s="12"/>
      <c r="N43" s="12"/>
      <c r="O43" s="12"/>
      <c r="P43" s="12"/>
      <c r="Q43" s="12"/>
      <c r="R43" s="12"/>
      <c r="S43" s="12"/>
      <c r="T43" s="12"/>
      <c r="U43" s="12"/>
      <c r="V43" s="12"/>
      <c r="X43" s="12"/>
      <c r="AJ43" s="12" t="s">
        <v>380</v>
      </c>
      <c r="AK43" s="12" t="s">
        <v>381</v>
      </c>
      <c r="AL43" s="12"/>
    </row>
    <row r="44" spans="1:45">
      <c r="A44" s="4" t="s">
        <v>483</v>
      </c>
      <c r="C44" s="4" t="s">
        <v>387</v>
      </c>
      <c r="D44" s="19" t="s">
        <v>434</v>
      </c>
      <c r="E44" s="4" t="s">
        <v>93</v>
      </c>
      <c r="F44" s="12">
        <v>4</v>
      </c>
      <c r="G44" s="12">
        <v>14</v>
      </c>
      <c r="H44" s="12">
        <v>0</v>
      </c>
      <c r="I44" s="12">
        <v>120</v>
      </c>
      <c r="J44" s="82">
        <f t="shared" si="2"/>
        <v>14</v>
      </c>
      <c r="K44" s="12"/>
      <c r="L44" s="12"/>
      <c r="M44" s="12"/>
      <c r="N44" s="12"/>
      <c r="O44" s="12"/>
      <c r="P44" s="12"/>
      <c r="Q44" s="12"/>
      <c r="R44" s="12"/>
      <c r="S44" s="12"/>
      <c r="T44" s="12"/>
      <c r="U44" s="12"/>
      <c r="V44" s="12"/>
      <c r="X44" s="12"/>
      <c r="AJ44" s="12" t="s">
        <v>380</v>
      </c>
      <c r="AK44" s="12" t="s">
        <v>381</v>
      </c>
      <c r="AL44" s="12"/>
    </row>
    <row r="45" spans="1:45">
      <c r="A45" s="4" t="s">
        <v>438</v>
      </c>
      <c r="C45" s="4" t="s">
        <v>387</v>
      </c>
      <c r="D45" s="4" t="s">
        <v>378</v>
      </c>
      <c r="E45" s="4" t="s">
        <v>32</v>
      </c>
      <c r="F45" s="12">
        <v>3</v>
      </c>
      <c r="G45" s="12">
        <v>8</v>
      </c>
      <c r="H45" s="12">
        <v>0</v>
      </c>
      <c r="I45" s="12">
        <v>121</v>
      </c>
      <c r="J45" s="82">
        <f t="shared" si="2"/>
        <v>8</v>
      </c>
      <c r="K45" s="12"/>
      <c r="L45" s="12"/>
      <c r="M45" s="12"/>
      <c r="N45" s="12"/>
      <c r="O45" s="12"/>
      <c r="P45" s="12"/>
      <c r="Q45" s="12"/>
      <c r="R45" s="12"/>
      <c r="S45" s="12"/>
      <c r="T45" s="12"/>
      <c r="U45" s="12"/>
      <c r="V45" s="12"/>
      <c r="X45" s="12"/>
      <c r="AJ45" s="12" t="s">
        <v>380</v>
      </c>
      <c r="AK45" s="12" t="s">
        <v>381</v>
      </c>
      <c r="AL45" s="12"/>
    </row>
    <row r="46" spans="1:45">
      <c r="A46" s="4" t="s">
        <v>439</v>
      </c>
      <c r="C46" s="4" t="s">
        <v>387</v>
      </c>
      <c r="D46" s="4" t="s">
        <v>378</v>
      </c>
      <c r="E46" s="4" t="s">
        <v>32</v>
      </c>
      <c r="F46" s="12">
        <v>3</v>
      </c>
      <c r="G46" s="12">
        <v>8</v>
      </c>
      <c r="H46" s="12">
        <v>0</v>
      </c>
      <c r="I46" s="12">
        <v>121</v>
      </c>
      <c r="J46" s="82">
        <f t="shared" si="2"/>
        <v>8</v>
      </c>
      <c r="K46" s="12"/>
      <c r="L46" s="12"/>
      <c r="M46" s="12"/>
      <c r="N46" s="12"/>
      <c r="O46" s="12"/>
      <c r="P46" s="12"/>
      <c r="Q46" s="12"/>
      <c r="R46" s="12"/>
      <c r="S46" s="12"/>
      <c r="T46" s="12"/>
      <c r="U46" s="12"/>
      <c r="V46" s="12"/>
      <c r="X46" s="12"/>
      <c r="AJ46" s="12" t="s">
        <v>380</v>
      </c>
      <c r="AK46" s="12" t="s">
        <v>381</v>
      </c>
      <c r="AL46" s="12"/>
    </row>
    <row r="47" spans="1:45">
      <c r="A47" s="4" t="s">
        <v>440</v>
      </c>
      <c r="C47" s="4" t="s">
        <v>387</v>
      </c>
      <c r="D47" s="4" t="s">
        <v>378</v>
      </c>
      <c r="E47" s="4" t="s">
        <v>48</v>
      </c>
      <c r="F47" s="12">
        <v>2</v>
      </c>
      <c r="G47" s="12">
        <v>4</v>
      </c>
      <c r="H47" s="12">
        <v>0</v>
      </c>
      <c r="I47" s="12">
        <v>41</v>
      </c>
      <c r="J47" s="82">
        <f t="shared" si="2"/>
        <v>4</v>
      </c>
      <c r="K47" s="12"/>
      <c r="L47" s="12"/>
      <c r="M47" s="12"/>
      <c r="N47" s="12"/>
      <c r="O47" s="12"/>
      <c r="P47" s="12"/>
      <c r="Q47" s="12"/>
      <c r="R47" s="12"/>
      <c r="S47" s="12"/>
      <c r="T47" s="12"/>
      <c r="U47" s="12"/>
      <c r="V47" s="12"/>
      <c r="X47" s="12"/>
      <c r="AJ47" s="12" t="s">
        <v>380</v>
      </c>
      <c r="AK47" s="12" t="s">
        <v>381</v>
      </c>
      <c r="AL47" s="12"/>
    </row>
    <row r="48" spans="1:45">
      <c r="A48" s="4" t="s">
        <v>441</v>
      </c>
      <c r="C48" s="4" t="s">
        <v>387</v>
      </c>
      <c r="D48" s="4" t="s">
        <v>378</v>
      </c>
      <c r="E48" s="4" t="s">
        <v>40</v>
      </c>
      <c r="F48" s="12">
        <v>2</v>
      </c>
      <c r="G48" s="12">
        <v>4</v>
      </c>
      <c r="H48" s="12">
        <v>0</v>
      </c>
      <c r="I48" s="12">
        <v>31</v>
      </c>
      <c r="J48" s="82">
        <f t="shared" si="2"/>
        <v>4</v>
      </c>
      <c r="K48" s="12"/>
      <c r="L48" s="12"/>
      <c r="M48" s="12"/>
      <c r="N48" s="12"/>
      <c r="O48" s="12"/>
      <c r="P48" s="12"/>
      <c r="Q48" s="12"/>
      <c r="R48" s="12"/>
      <c r="S48" s="12"/>
      <c r="T48" s="12"/>
      <c r="U48" s="12"/>
      <c r="V48" s="12"/>
      <c r="X48" s="12"/>
      <c r="AJ48" s="12" t="s">
        <v>380</v>
      </c>
      <c r="AK48" s="12" t="s">
        <v>381</v>
      </c>
      <c r="AL48" s="12"/>
    </row>
    <row r="49" spans="1:38">
      <c r="A49" s="4" t="s">
        <v>442</v>
      </c>
      <c r="C49" s="4" t="s">
        <v>387</v>
      </c>
      <c r="D49" s="4" t="s">
        <v>378</v>
      </c>
      <c r="E49" s="4" t="s">
        <v>44</v>
      </c>
      <c r="F49" s="12">
        <v>4</v>
      </c>
      <c r="G49" s="12">
        <v>4</v>
      </c>
      <c r="H49" s="12">
        <v>0</v>
      </c>
      <c r="I49" s="12">
        <v>36</v>
      </c>
      <c r="J49" s="82">
        <f t="shared" si="2"/>
        <v>4</v>
      </c>
      <c r="K49" s="12"/>
      <c r="L49" s="12"/>
      <c r="M49" s="12"/>
      <c r="N49" s="12"/>
      <c r="O49" s="12"/>
      <c r="P49" s="12"/>
      <c r="Q49" s="12"/>
      <c r="R49" s="12"/>
      <c r="S49" s="12"/>
      <c r="T49" s="12"/>
      <c r="U49" s="12"/>
      <c r="V49" s="12"/>
      <c r="X49" s="12"/>
      <c r="AJ49" s="12" t="s">
        <v>380</v>
      </c>
      <c r="AK49" s="12" t="s">
        <v>381</v>
      </c>
      <c r="AL49" s="12"/>
    </row>
    <row r="50" spans="1:38" ht="14.5">
      <c r="A50" s="4" t="s">
        <v>443</v>
      </c>
      <c r="C50" s="4" t="s">
        <v>387</v>
      </c>
      <c r="D50" s="4" t="s">
        <v>378</v>
      </c>
      <c r="E50" s="4" t="s">
        <v>247</v>
      </c>
      <c r="F50" s="12">
        <v>5</v>
      </c>
      <c r="G50" s="12">
        <v>6</v>
      </c>
      <c r="H50" s="12">
        <v>0</v>
      </c>
      <c r="I50" s="12">
        <v>111</v>
      </c>
      <c r="J50" s="82">
        <f t="shared" si="2"/>
        <v>6</v>
      </c>
      <c r="K50" s="1"/>
      <c r="L50" s="12"/>
      <c r="M50" s="12"/>
      <c r="N50" s="1"/>
      <c r="O50"/>
      <c r="P50" s="12"/>
      <c r="Q50" s="12"/>
      <c r="R50" s="12"/>
      <c r="S50" s="12"/>
      <c r="T50" s="12"/>
      <c r="U50" s="12"/>
      <c r="V50" s="12"/>
      <c r="X50" s="12"/>
      <c r="AJ50" s="12" t="s">
        <v>380</v>
      </c>
      <c r="AK50" s="12" t="s">
        <v>381</v>
      </c>
      <c r="AL50" s="12" t="s">
        <v>381</v>
      </c>
    </row>
    <row r="51" spans="1:38" ht="14.5">
      <c r="A51" s="4" t="s">
        <v>484</v>
      </c>
      <c r="C51" s="4" t="s">
        <v>387</v>
      </c>
      <c r="D51" s="4" t="s">
        <v>378</v>
      </c>
      <c r="E51" s="4" t="s">
        <v>67</v>
      </c>
      <c r="F51" s="12">
        <v>2</v>
      </c>
      <c r="G51" s="12">
        <v>2</v>
      </c>
      <c r="H51" s="12">
        <v>0</v>
      </c>
      <c r="I51" s="12">
        <v>16</v>
      </c>
      <c r="J51" s="82">
        <f t="shared" si="2"/>
        <v>2</v>
      </c>
      <c r="K51" s="1"/>
      <c r="L51" s="12"/>
      <c r="M51" s="12"/>
      <c r="N51" s="1"/>
      <c r="O51"/>
      <c r="P51" s="12"/>
      <c r="Q51" s="12"/>
      <c r="R51" s="12"/>
      <c r="S51" s="12"/>
      <c r="T51" s="12"/>
      <c r="U51" s="12"/>
      <c r="V51" s="12"/>
      <c r="X51" s="12"/>
      <c r="AJ51" s="12" t="s">
        <v>380</v>
      </c>
      <c r="AK51" s="12" t="s">
        <v>381</v>
      </c>
      <c r="AL51" s="12"/>
    </row>
    <row r="52" spans="1:38" ht="14.5">
      <c r="A52" s="4" t="s">
        <v>485</v>
      </c>
      <c r="C52" s="4" t="s">
        <v>387</v>
      </c>
      <c r="D52" s="4" t="s">
        <v>378</v>
      </c>
      <c r="E52" s="4" t="s">
        <v>67</v>
      </c>
      <c r="F52" s="12">
        <v>2</v>
      </c>
      <c r="G52" s="12">
        <v>2</v>
      </c>
      <c r="H52" s="12">
        <v>0</v>
      </c>
      <c r="I52" s="12">
        <v>16</v>
      </c>
      <c r="J52" s="82">
        <f t="shared" si="2"/>
        <v>2</v>
      </c>
      <c r="K52" s="1"/>
      <c r="L52" s="12"/>
      <c r="M52" s="12"/>
      <c r="N52" s="1"/>
      <c r="O52"/>
      <c r="P52" s="12"/>
      <c r="Q52" s="12"/>
      <c r="R52" s="12"/>
      <c r="S52" s="12"/>
      <c r="T52" s="12"/>
      <c r="U52" s="12"/>
      <c r="V52" s="12"/>
      <c r="X52" s="12"/>
      <c r="AJ52" s="12" t="s">
        <v>380</v>
      </c>
      <c r="AK52" s="12" t="s">
        <v>381</v>
      </c>
      <c r="AL52" s="12"/>
    </row>
    <row r="53" spans="1:38" ht="14.5">
      <c r="A53" s="4" t="s">
        <v>486</v>
      </c>
      <c r="C53" s="4" t="s">
        <v>387</v>
      </c>
      <c r="D53" s="4" t="s">
        <v>378</v>
      </c>
      <c r="E53" s="4" t="s">
        <v>71</v>
      </c>
      <c r="F53" s="12">
        <v>6</v>
      </c>
      <c r="G53" s="12">
        <v>5</v>
      </c>
      <c r="H53" s="12">
        <v>0</v>
      </c>
      <c r="I53" s="12">
        <v>41</v>
      </c>
      <c r="J53" s="82">
        <f t="shared" si="2"/>
        <v>5</v>
      </c>
      <c r="K53" s="1"/>
      <c r="L53" s="12"/>
      <c r="M53" s="12"/>
      <c r="N53" s="1"/>
      <c r="O53"/>
      <c r="P53" s="12"/>
      <c r="Q53" s="12"/>
      <c r="R53" s="12"/>
      <c r="S53" s="12"/>
      <c r="T53" s="12"/>
      <c r="U53" s="12"/>
      <c r="V53" s="12"/>
      <c r="X53" s="12"/>
      <c r="AJ53" s="12" t="s">
        <v>380</v>
      </c>
      <c r="AK53" s="12" t="s">
        <v>381</v>
      </c>
      <c r="AL53" s="12"/>
    </row>
    <row r="54" spans="1:38" s="33" customFormat="1" ht="14.5">
      <c r="A54" s="4" t="s">
        <v>487</v>
      </c>
      <c r="B54" s="4"/>
      <c r="C54" s="4" t="s">
        <v>387</v>
      </c>
      <c r="D54" s="4" t="s">
        <v>378</v>
      </c>
      <c r="E54" s="4" t="s">
        <v>75</v>
      </c>
      <c r="F54" s="12">
        <v>2</v>
      </c>
      <c r="G54" s="12">
        <v>2</v>
      </c>
      <c r="H54" s="12">
        <v>0</v>
      </c>
      <c r="I54" s="12">
        <v>31</v>
      </c>
      <c r="J54" s="12">
        <f t="shared" si="2"/>
        <v>2</v>
      </c>
      <c r="K54" s="42"/>
      <c r="L54" s="82"/>
      <c r="M54" s="82"/>
      <c r="N54" s="42"/>
      <c r="O54" s="41"/>
      <c r="P54" s="82"/>
      <c r="Q54" s="82"/>
      <c r="R54" s="82"/>
      <c r="S54" s="82"/>
      <c r="T54" s="82"/>
      <c r="U54" s="82"/>
      <c r="V54" s="82"/>
      <c r="W54" s="82"/>
      <c r="X54" s="82"/>
      <c r="Z54" s="82"/>
      <c r="AA54" s="82"/>
      <c r="AB54" s="82"/>
      <c r="AC54" s="82"/>
      <c r="AD54" s="82"/>
      <c r="AE54" s="82"/>
      <c r="AF54" s="82"/>
      <c r="AG54" s="82"/>
      <c r="AH54" s="82"/>
      <c r="AI54" s="82"/>
      <c r="AJ54" s="82" t="s">
        <v>380</v>
      </c>
      <c r="AK54" s="82" t="s">
        <v>381</v>
      </c>
      <c r="AL54" s="82"/>
    </row>
    <row r="55" spans="1:38" s="33" customFormat="1" ht="14.5">
      <c r="A55" s="4" t="s">
        <v>572</v>
      </c>
      <c r="B55" s="4"/>
      <c r="C55" s="4" t="s">
        <v>387</v>
      </c>
      <c r="D55" s="4" t="s">
        <v>528</v>
      </c>
      <c r="E55" s="4" t="s">
        <v>95</v>
      </c>
      <c r="F55" s="12">
        <v>12</v>
      </c>
      <c r="G55" s="12">
        <v>24</v>
      </c>
      <c r="H55" s="12">
        <v>0</v>
      </c>
      <c r="I55" s="12">
        <v>2098</v>
      </c>
      <c r="J55" s="12">
        <f t="shared" si="2"/>
        <v>24</v>
      </c>
      <c r="K55" s="42"/>
      <c r="L55" s="82"/>
      <c r="M55" s="82"/>
      <c r="N55" s="42"/>
      <c r="O55" s="41"/>
      <c r="P55" s="82"/>
      <c r="Q55" s="82"/>
      <c r="R55" s="82"/>
      <c r="S55" s="82"/>
      <c r="T55" s="82"/>
      <c r="U55" s="82"/>
      <c r="V55" s="82"/>
      <c r="W55" s="82"/>
      <c r="X55" s="82"/>
      <c r="Z55" s="82"/>
      <c r="AA55" s="82"/>
      <c r="AB55" s="82"/>
      <c r="AC55" s="82"/>
      <c r="AD55" s="82"/>
      <c r="AE55" s="82"/>
      <c r="AF55" s="82"/>
      <c r="AG55" s="82"/>
      <c r="AH55" s="82"/>
      <c r="AI55" s="82"/>
      <c r="AJ55" s="82" t="s">
        <v>380</v>
      </c>
      <c r="AK55" s="82" t="s">
        <v>381</v>
      </c>
      <c r="AL55" s="82"/>
    </row>
    <row r="56" spans="1:38" s="43" customFormat="1" ht="14.5">
      <c r="A56" s="17" t="s">
        <v>490</v>
      </c>
      <c r="B56" s="17"/>
      <c r="C56" s="17" t="s">
        <v>387</v>
      </c>
      <c r="D56" s="17" t="s">
        <v>378</v>
      </c>
      <c r="E56" s="17" t="s">
        <v>99</v>
      </c>
      <c r="F56" s="15">
        <v>2</v>
      </c>
      <c r="G56" s="15">
        <v>10</v>
      </c>
      <c r="H56" s="15">
        <v>0</v>
      </c>
      <c r="I56" s="15">
        <v>60</v>
      </c>
      <c r="J56" s="15">
        <f t="shared" si="2"/>
        <v>10</v>
      </c>
      <c r="K56" s="111"/>
      <c r="L56" s="36"/>
      <c r="M56" s="36"/>
      <c r="N56" s="111"/>
      <c r="O56" s="112"/>
      <c r="P56" s="36"/>
      <c r="Q56" s="36"/>
      <c r="R56" s="36"/>
      <c r="S56" s="36"/>
      <c r="T56" s="36"/>
      <c r="U56" s="36"/>
      <c r="V56" s="36"/>
      <c r="W56" s="36"/>
      <c r="X56" s="36"/>
      <c r="Z56" s="36"/>
      <c r="AA56" s="36"/>
      <c r="AB56" s="36"/>
      <c r="AC56" s="36"/>
      <c r="AD56" s="36"/>
      <c r="AE56" s="36"/>
      <c r="AF56" s="36"/>
      <c r="AG56" s="36"/>
      <c r="AH56" s="36"/>
      <c r="AI56" s="36"/>
      <c r="AJ56" s="36" t="s">
        <v>380</v>
      </c>
      <c r="AK56" s="36" t="s">
        <v>381</v>
      </c>
      <c r="AL56" s="36"/>
    </row>
    <row r="57" spans="1:38">
      <c r="F57" s="12">
        <f>SUM(F40:F56)+F36</f>
        <v>171</v>
      </c>
      <c r="G57" s="12">
        <f>SUM(G40:G56)+G36</f>
        <v>404</v>
      </c>
      <c r="H57" s="12">
        <f>SUM(H40:H56)+H36</f>
        <v>110</v>
      </c>
      <c r="I57" s="12">
        <f>SUM(I40:I56)+I36</f>
        <v>5162</v>
      </c>
      <c r="J57" s="12"/>
      <c r="K57" s="12"/>
      <c r="L57" s="12">
        <f>SUM(L40:L56)+L36</f>
        <v>66</v>
      </c>
      <c r="M57" s="12"/>
      <c r="N57" s="12">
        <f>SUM(N40:N56)+N36</f>
        <v>750</v>
      </c>
      <c r="O57" s="12"/>
      <c r="P57" s="12">
        <f>SUM(P40:P56)+P36</f>
        <v>1125</v>
      </c>
      <c r="Q57" s="12"/>
      <c r="R57" s="12">
        <f>SUM(R40:R56)+R36</f>
        <v>460</v>
      </c>
      <c r="S57" s="12"/>
      <c r="T57" s="12">
        <f>SUM(T40:T56)+T36</f>
        <v>300</v>
      </c>
      <c r="U57" s="12"/>
      <c r="V57" s="12">
        <f>SUM(V40:V56)+V36</f>
        <v>0</v>
      </c>
      <c r="X57" s="12">
        <f>SUM(X40:X56)+X36</f>
        <v>3390</v>
      </c>
      <c r="Z57" s="12">
        <f>SUM(Z40:Z56)+Z36</f>
        <v>100</v>
      </c>
      <c r="AB57" s="12">
        <f>SUM(AB40:AB56)+AB36</f>
        <v>50</v>
      </c>
      <c r="AD57" s="12">
        <f>SUM(AD40:AD56)+AD36</f>
        <v>65</v>
      </c>
      <c r="AF57" s="12">
        <f>SUM(AF40:AF56)+AF36</f>
        <v>200</v>
      </c>
      <c r="AH57" s="12">
        <f>SUM(AH40:AH56)+AH36</f>
        <v>2500</v>
      </c>
      <c r="AJ57" s="12"/>
      <c r="AK57" s="12" t="s">
        <v>494</v>
      </c>
      <c r="AL57" s="12">
        <f>3</f>
        <v>3</v>
      </c>
    </row>
    <row r="59" spans="1:38" ht="13">
      <c r="A59" s="14" t="s">
        <v>503</v>
      </c>
    </row>
    <row r="61" spans="1:38">
      <c r="A61" s="4" t="s">
        <v>504</v>
      </c>
      <c r="C61" s="4" t="s">
        <v>505</v>
      </c>
      <c r="D61" s="4" t="s">
        <v>506</v>
      </c>
      <c r="E61" s="4" t="s">
        <v>19</v>
      </c>
      <c r="F61" s="12">
        <v>2</v>
      </c>
      <c r="G61" s="12">
        <v>4</v>
      </c>
      <c r="H61" s="12">
        <v>4</v>
      </c>
      <c r="I61" s="12">
        <v>350</v>
      </c>
      <c r="J61" s="12">
        <f t="shared" ref="J61:J66" si="3">G61-H61</f>
        <v>0</v>
      </c>
      <c r="K61" s="82" t="s">
        <v>507</v>
      </c>
      <c r="L61" s="82"/>
      <c r="M61" s="82"/>
      <c r="N61" s="82"/>
      <c r="O61" s="82"/>
      <c r="P61" s="82"/>
      <c r="Q61" s="82"/>
      <c r="R61" s="82"/>
      <c r="S61" s="82"/>
      <c r="T61" s="82"/>
      <c r="U61" s="82"/>
      <c r="V61" s="12"/>
      <c r="X61" s="12"/>
      <c r="AJ61" s="12" t="s">
        <v>380</v>
      </c>
      <c r="AK61" s="12" t="s">
        <v>381</v>
      </c>
      <c r="AL61" s="12"/>
    </row>
    <row r="62" spans="1:38">
      <c r="A62" s="4" t="s">
        <v>509</v>
      </c>
      <c r="C62" s="4" t="s">
        <v>505</v>
      </c>
      <c r="D62" s="4" t="s">
        <v>506</v>
      </c>
      <c r="E62" s="4" t="s">
        <v>510</v>
      </c>
      <c r="F62" s="12">
        <v>6</v>
      </c>
      <c r="G62" s="12">
        <v>10</v>
      </c>
      <c r="H62" s="12">
        <v>10</v>
      </c>
      <c r="I62" s="12">
        <v>100</v>
      </c>
      <c r="J62" s="12">
        <f t="shared" si="3"/>
        <v>0</v>
      </c>
      <c r="K62" s="82" t="s">
        <v>507</v>
      </c>
      <c r="L62" s="82"/>
      <c r="M62" s="82"/>
      <c r="N62" s="82">
        <v>200</v>
      </c>
      <c r="O62" s="82" t="s">
        <v>508</v>
      </c>
      <c r="P62" s="82"/>
      <c r="Q62" s="82"/>
      <c r="R62" s="82"/>
      <c r="S62" s="82"/>
      <c r="T62" s="82"/>
      <c r="U62" s="82"/>
      <c r="V62" s="12"/>
      <c r="X62" s="12"/>
      <c r="AJ62" s="12" t="s">
        <v>380</v>
      </c>
      <c r="AK62" s="12" t="s">
        <v>381</v>
      </c>
      <c r="AL62" s="12"/>
    </row>
    <row r="63" spans="1:38">
      <c r="A63" s="4" t="s">
        <v>511</v>
      </c>
      <c r="C63" s="4" t="s">
        <v>505</v>
      </c>
      <c r="D63" s="4" t="s">
        <v>506</v>
      </c>
      <c r="E63" s="4" t="s">
        <v>512</v>
      </c>
      <c r="F63" s="12">
        <v>8</v>
      </c>
      <c r="G63" s="12">
        <v>16</v>
      </c>
      <c r="H63" s="12">
        <v>16</v>
      </c>
      <c r="I63" s="12">
        <v>60</v>
      </c>
      <c r="J63" s="12">
        <f t="shared" si="3"/>
        <v>0</v>
      </c>
      <c r="K63" s="82" t="s">
        <v>513</v>
      </c>
      <c r="L63" s="82"/>
      <c r="M63" s="82"/>
      <c r="N63" s="82"/>
      <c r="O63" s="82"/>
      <c r="P63" s="82"/>
      <c r="Q63" s="82"/>
      <c r="R63" s="82"/>
      <c r="S63" s="82"/>
      <c r="T63" s="82"/>
      <c r="U63" s="82"/>
      <c r="V63" s="12"/>
      <c r="X63" s="12"/>
      <c r="AJ63" s="12" t="s">
        <v>396</v>
      </c>
      <c r="AK63" s="12" t="s">
        <v>397</v>
      </c>
      <c r="AL63" s="12"/>
    </row>
    <row r="64" spans="1:38">
      <c r="A64" s="4" t="s">
        <v>514</v>
      </c>
      <c r="C64" s="4" t="s">
        <v>505</v>
      </c>
      <c r="D64" s="4" t="s">
        <v>506</v>
      </c>
      <c r="E64" s="4" t="s">
        <v>515</v>
      </c>
      <c r="F64" s="12">
        <v>10</v>
      </c>
      <c r="G64" s="12">
        <v>10</v>
      </c>
      <c r="H64" s="12">
        <v>10</v>
      </c>
      <c r="I64" s="12">
        <v>40</v>
      </c>
      <c r="J64" s="12">
        <f t="shared" si="3"/>
        <v>0</v>
      </c>
      <c r="K64" s="82" t="s">
        <v>513</v>
      </c>
      <c r="L64" s="82"/>
      <c r="M64" s="82"/>
      <c r="N64" s="82"/>
      <c r="O64" s="82"/>
      <c r="P64" s="82"/>
      <c r="Q64" s="82"/>
      <c r="R64" s="82"/>
      <c r="S64" s="82"/>
      <c r="T64" s="82"/>
      <c r="U64" s="82"/>
      <c r="V64" s="12"/>
      <c r="X64" s="12"/>
      <c r="AJ64" s="12" t="s">
        <v>396</v>
      </c>
      <c r="AK64" s="12" t="s">
        <v>397</v>
      </c>
      <c r="AL64" s="12"/>
    </row>
    <row r="65" spans="1:38">
      <c r="A65" s="4" t="s">
        <v>516</v>
      </c>
      <c r="C65" s="4" t="s">
        <v>505</v>
      </c>
      <c r="D65" s="4" t="s">
        <v>506</v>
      </c>
      <c r="E65" s="4" t="s">
        <v>517</v>
      </c>
      <c r="F65" s="12">
        <v>4</v>
      </c>
      <c r="G65" s="12">
        <v>16</v>
      </c>
      <c r="H65" s="12">
        <v>0</v>
      </c>
      <c r="I65" s="12">
        <v>550</v>
      </c>
      <c r="J65" s="12">
        <f t="shared" si="3"/>
        <v>16</v>
      </c>
      <c r="K65" s="82" t="s">
        <v>518</v>
      </c>
      <c r="L65" s="82"/>
      <c r="M65" s="82"/>
      <c r="N65" s="82"/>
      <c r="O65" s="82"/>
      <c r="P65" s="82"/>
      <c r="Q65" s="82"/>
      <c r="R65" s="82"/>
      <c r="S65" s="82"/>
      <c r="T65" s="82"/>
      <c r="U65" s="82"/>
      <c r="V65" s="12"/>
      <c r="X65" s="12"/>
      <c r="AJ65" s="12" t="s">
        <v>396</v>
      </c>
      <c r="AK65" s="12" t="s">
        <v>397</v>
      </c>
      <c r="AL65" s="12"/>
    </row>
    <row r="66" spans="1:38">
      <c r="A66" s="4" t="s">
        <v>520</v>
      </c>
      <c r="C66" s="4" t="s">
        <v>505</v>
      </c>
      <c r="D66" s="4" t="s">
        <v>506</v>
      </c>
      <c r="E66" s="4" t="s">
        <v>521</v>
      </c>
      <c r="F66" s="12">
        <v>2</v>
      </c>
      <c r="G66" s="12">
        <v>4</v>
      </c>
      <c r="H66" s="12">
        <v>4</v>
      </c>
      <c r="I66" s="12">
        <v>40</v>
      </c>
      <c r="J66" s="12">
        <f t="shared" si="3"/>
        <v>0</v>
      </c>
      <c r="K66" s="82" t="s">
        <v>513</v>
      </c>
      <c r="L66" s="82"/>
      <c r="M66" s="82"/>
      <c r="N66" s="82"/>
      <c r="O66" s="82"/>
      <c r="P66" s="82"/>
      <c r="Q66" s="82"/>
      <c r="R66" s="82">
        <v>50</v>
      </c>
      <c r="S66" s="82" t="s">
        <v>519</v>
      </c>
      <c r="T66" s="82"/>
      <c r="U66" s="82"/>
      <c r="V66" s="12"/>
      <c r="X66" s="12"/>
      <c r="AJ66" s="12" t="s">
        <v>380</v>
      </c>
      <c r="AK66" s="12" t="s">
        <v>381</v>
      </c>
      <c r="AL66" s="12"/>
    </row>
    <row r="67" spans="1:38">
      <c r="A67" s="4" t="s">
        <v>522</v>
      </c>
      <c r="C67" s="4" t="s">
        <v>523</v>
      </c>
      <c r="D67" s="4" t="s">
        <v>506</v>
      </c>
      <c r="E67" s="4" t="s">
        <v>63</v>
      </c>
      <c r="F67" s="12">
        <v>4</v>
      </c>
      <c r="G67" s="12">
        <v>16</v>
      </c>
      <c r="H67" s="12">
        <v>0</v>
      </c>
      <c r="I67" s="12">
        <v>80</v>
      </c>
      <c r="J67" s="82">
        <f>G67-H67</f>
        <v>16</v>
      </c>
      <c r="K67" s="82" t="s">
        <v>524</v>
      </c>
      <c r="L67" s="82"/>
      <c r="M67" s="82"/>
      <c r="N67" s="82"/>
      <c r="O67" s="82"/>
      <c r="P67" s="82"/>
      <c r="Q67" s="82"/>
      <c r="R67" s="82"/>
      <c r="S67" s="82"/>
      <c r="T67" s="82"/>
      <c r="U67" s="82"/>
      <c r="V67" s="12"/>
      <c r="X67" s="12"/>
      <c r="AJ67" s="12" t="s">
        <v>380</v>
      </c>
      <c r="AK67" s="12" t="s">
        <v>381</v>
      </c>
      <c r="AL67" s="12"/>
    </row>
    <row r="68" spans="1:38" s="17" customFormat="1">
      <c r="A68" s="17" t="s">
        <v>525</v>
      </c>
      <c r="C68" s="17" t="s">
        <v>523</v>
      </c>
      <c r="D68" s="17" t="s">
        <v>506</v>
      </c>
      <c r="E68" s="17" t="s">
        <v>63</v>
      </c>
      <c r="F68" s="15">
        <v>4</v>
      </c>
      <c r="G68" s="15">
        <v>16</v>
      </c>
      <c r="H68" s="15">
        <v>0</v>
      </c>
      <c r="I68" s="15">
        <v>80</v>
      </c>
      <c r="J68" s="36">
        <f>G68-H68</f>
        <v>16</v>
      </c>
      <c r="K68" s="36" t="s">
        <v>524</v>
      </c>
      <c r="L68" s="36"/>
      <c r="M68" s="36"/>
      <c r="N68" s="36"/>
      <c r="O68" s="36"/>
      <c r="P68" s="36"/>
      <c r="Q68" s="36"/>
      <c r="R68" s="36"/>
      <c r="S68" s="36"/>
      <c r="T68" s="36"/>
      <c r="U68" s="36"/>
      <c r="V68" s="15"/>
      <c r="W68" s="15"/>
      <c r="X68" s="15"/>
      <c r="AJ68" s="15" t="s">
        <v>380</v>
      </c>
      <c r="AK68" s="15" t="s">
        <v>381</v>
      </c>
      <c r="AL68" s="15"/>
    </row>
    <row r="69" spans="1:38">
      <c r="F69" s="12">
        <f>F57+SUM(F61:F68)</f>
        <v>211</v>
      </c>
      <c r="G69" s="12">
        <f>G57+SUM(G61:G68)</f>
        <v>496</v>
      </c>
      <c r="H69" s="12">
        <f>H57+SUM(H61:H68)</f>
        <v>154</v>
      </c>
      <c r="I69" s="12">
        <f>I57+SUM(I61:I68)</f>
        <v>6462</v>
      </c>
      <c r="J69" s="12"/>
      <c r="K69" s="12"/>
      <c r="L69" s="12">
        <f>L57+SUM(L61:L68)</f>
        <v>66</v>
      </c>
      <c r="M69" s="12"/>
      <c r="N69" s="12">
        <f>N57+SUM(N61:N68)</f>
        <v>950</v>
      </c>
      <c r="O69" s="12"/>
      <c r="P69" s="12">
        <f>P57+SUM(P61:P68)</f>
        <v>1125</v>
      </c>
      <c r="Q69" s="12"/>
      <c r="R69" s="12">
        <f>R57+SUM(R61:R68)</f>
        <v>510</v>
      </c>
      <c r="S69" s="12"/>
      <c r="T69" s="12">
        <f>T57+SUM(T61:T68)</f>
        <v>300</v>
      </c>
      <c r="U69" s="12"/>
      <c r="V69" s="12">
        <f>V57+SUM(V61:V68)</f>
        <v>0</v>
      </c>
      <c r="X69" s="28">
        <f>X57+SUM(X61:X68)</f>
        <v>3390</v>
      </c>
      <c r="Y69" s="12"/>
      <c r="Z69" s="12">
        <f>Z57+SUM(Z61:Z68)</f>
        <v>100</v>
      </c>
      <c r="AA69" s="12"/>
      <c r="AB69" s="12">
        <f>AB57+SUM(AB61:AB68)</f>
        <v>50</v>
      </c>
      <c r="AC69" s="12"/>
      <c r="AD69" s="12">
        <f>AD57+SUM(AD61:AD68)</f>
        <v>65</v>
      </c>
      <c r="AE69" s="12"/>
      <c r="AF69" s="12"/>
      <c r="AG69" s="12"/>
      <c r="AH69" s="12">
        <f>AH57+SUM(AH61:AH68)</f>
        <v>2500</v>
      </c>
      <c r="AI69" s="12"/>
      <c r="AJ69" s="12"/>
      <c r="AK69" s="12" t="s">
        <v>652</v>
      </c>
      <c r="AL69" s="12">
        <v>3</v>
      </c>
    </row>
    <row r="92" spans="1:2" ht="13">
      <c r="B92" s="6" t="s">
        <v>544</v>
      </c>
    </row>
    <row r="93" spans="1:2">
      <c r="A93" s="27" t="s">
        <v>551</v>
      </c>
      <c r="B93" s="4">
        <v>750</v>
      </c>
    </row>
    <row r="94" spans="1:2">
      <c r="A94" s="27" t="s">
        <v>579</v>
      </c>
      <c r="B94" s="4">
        <v>1194</v>
      </c>
    </row>
    <row r="97" spans="1:9" ht="13">
      <c r="A97" s="97"/>
      <c r="B97" s="98" t="s">
        <v>544</v>
      </c>
      <c r="C97" s="98" t="s">
        <v>545</v>
      </c>
      <c r="D97" s="100" t="s">
        <v>546</v>
      </c>
      <c r="E97" s="100" t="s">
        <v>547</v>
      </c>
      <c r="F97" s="100" t="s">
        <v>175</v>
      </c>
      <c r="G97" s="98" t="s">
        <v>548</v>
      </c>
      <c r="H97" s="100" t="s">
        <v>549</v>
      </c>
      <c r="I97" s="100"/>
    </row>
    <row r="98" spans="1:9">
      <c r="A98" s="99" t="s">
        <v>551</v>
      </c>
      <c r="B98" s="97">
        <v>750</v>
      </c>
      <c r="C98" s="97">
        <v>691.2</v>
      </c>
      <c r="D98" s="97">
        <v>6</v>
      </c>
      <c r="E98" s="97">
        <v>40</v>
      </c>
      <c r="F98" s="97">
        <v>1125</v>
      </c>
      <c r="G98" s="97">
        <v>1036.8</v>
      </c>
      <c r="H98" s="97">
        <v>2800</v>
      </c>
      <c r="I98" s="97"/>
    </row>
    <row r="99" spans="1:9">
      <c r="A99" s="99" t="s">
        <v>552</v>
      </c>
      <c r="B99" s="97">
        <v>2350</v>
      </c>
      <c r="C99" s="97">
        <v>2165.7600000000002</v>
      </c>
      <c r="D99" s="97">
        <v>11</v>
      </c>
      <c r="E99" s="97">
        <v>70</v>
      </c>
      <c r="F99" s="97">
        <v>2550</v>
      </c>
      <c r="G99" s="97">
        <v>2350.08</v>
      </c>
      <c r="H99" s="97">
        <v>7050</v>
      </c>
      <c r="I99" s="97"/>
    </row>
  </sheetData>
  <mergeCells count="7">
    <mergeCell ref="A33:B33"/>
    <mergeCell ref="A6:B6"/>
    <mergeCell ref="A2:B2"/>
    <mergeCell ref="A3:B3"/>
    <mergeCell ref="F3:G3"/>
    <mergeCell ref="A4:B4"/>
    <mergeCell ref="A5:B5"/>
  </mergeCells>
  <dataValidations count="1">
    <dataValidation type="list" allowBlank="1" showInputMessage="1" showErrorMessage="1" sqref="N10" xr:uid="{DC92155C-9432-40B8-A60F-F13833DDC815}">
      <formula1>$B$98:$B$99</formula1>
    </dataValidation>
  </dataValidations>
  <hyperlinks>
    <hyperlink ref="F3:G3" location="Shortcuts!A1" display="Back to shortcuts" xr:uid="{CB8066D9-1947-4165-9B07-FA262BEFF4AE}"/>
  </hyperlinks>
  <pageMargins left="0.7" right="0.7" top="0.75" bottom="0.75" header="0.3" footer="0.3"/>
  <pageSetup paperSize="9" orientation="portrait" r:id="rId1"/>
  <headerFooter>
    <oddFooter>&amp;C&amp;1#&amp;"Arial"&amp;8&amp;K001753Nokia internal use</oddFooter>
  </headerFooter>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6B4706-35C4-49AA-BE53-AE763D950595}">
  <sheetPr codeName="Sheet98"/>
  <dimension ref="A1:BQ91"/>
  <sheetViews>
    <sheetView zoomScale="83" zoomScaleNormal="83" zoomScalePageLayoutView="70" workbookViewId="0">
      <selection activeCell="G9" sqref="G9"/>
    </sheetView>
  </sheetViews>
  <sheetFormatPr defaultColWidth="8.81640625" defaultRowHeight="12.5"/>
  <cols>
    <col min="1" max="1" width="8.81640625" style="4"/>
    <col min="2" max="2" width="21.1796875" style="4" customWidth="1"/>
    <col min="3" max="3" width="23.1796875" style="4" customWidth="1"/>
    <col min="4" max="4" width="36.453125" style="4" customWidth="1"/>
    <col min="5" max="5" width="28.54296875" style="12" customWidth="1"/>
    <col min="6" max="6" width="15.54296875" style="4" customWidth="1"/>
    <col min="7" max="7" width="8.81640625" style="4"/>
    <col min="8" max="8" width="8.1796875" style="4" customWidth="1"/>
    <col min="9" max="9" width="6.81640625" style="4" bestFit="1" customWidth="1"/>
    <col min="10" max="10" width="6.1796875" style="4" customWidth="1"/>
    <col min="11" max="11" width="15.1796875" style="4" customWidth="1"/>
    <col min="12" max="12" width="7.1796875" style="4" customWidth="1"/>
    <col min="13" max="13" width="8.81640625" style="4"/>
    <col min="14" max="14" width="6.1796875" style="4" customWidth="1"/>
    <col min="15" max="15" width="15.81640625" style="4" customWidth="1"/>
    <col min="16" max="16" width="6.81640625" style="4" customWidth="1"/>
    <col min="17" max="17" width="8.81640625" style="4"/>
    <col min="18" max="18" width="6.1796875" style="4" customWidth="1"/>
    <col min="19" max="19" width="15.1796875" style="4" customWidth="1"/>
    <col min="20" max="20" width="6.81640625" style="4" customWidth="1"/>
    <col min="21" max="21" width="8.81640625" style="4"/>
    <col min="22" max="22" width="6.1796875" style="4" customWidth="1"/>
    <col min="23" max="23" width="11.1796875" style="4" customWidth="1"/>
    <col min="24" max="24" width="6.81640625" style="4" customWidth="1"/>
    <col min="25" max="25" width="8.81640625" style="4"/>
    <col min="26" max="26" width="6.1796875" style="4" customWidth="1"/>
    <col min="27" max="27" width="15.1796875" style="4" customWidth="1"/>
    <col min="28" max="28" width="6.81640625" style="4" customWidth="1"/>
    <col min="29" max="29" width="10" style="4" customWidth="1"/>
    <col min="30" max="30" width="6.1796875" style="4" customWidth="1"/>
    <col min="31" max="31" width="15.1796875" style="4" customWidth="1"/>
    <col min="32" max="32" width="6.81640625" style="4" customWidth="1"/>
    <col min="33" max="33" width="8.81640625" style="4"/>
    <col min="34" max="34" width="6.1796875" style="4" customWidth="1"/>
    <col min="35" max="35" width="11.1796875" style="4" customWidth="1"/>
    <col min="36" max="36" width="6.81640625" style="4" customWidth="1"/>
    <col min="37" max="37" width="7.1796875" style="4" customWidth="1"/>
    <col min="38" max="38" width="6.1796875" style="4" customWidth="1"/>
    <col min="39" max="39" width="15.1796875" style="4" customWidth="1"/>
    <col min="40" max="40" width="6.81640625" style="4" customWidth="1"/>
    <col min="41" max="41" width="8.1796875" style="4" customWidth="1"/>
    <col min="42" max="42" width="6.1796875" style="4" customWidth="1"/>
    <col min="43" max="43" width="15.1796875" style="4" customWidth="1"/>
    <col min="44" max="45" width="6.81640625" style="4" customWidth="1"/>
    <col min="46" max="46" width="6" style="4" bestFit="1" customWidth="1"/>
    <col min="47" max="47" width="10.453125" style="4" bestFit="1" customWidth="1"/>
    <col min="48" max="48" width="6.81640625" style="4" customWidth="1"/>
    <col min="49" max="49" width="9.81640625" style="4" customWidth="1"/>
    <col min="50" max="50" width="8.1796875" style="4" customWidth="1"/>
    <col min="51" max="51" width="11" style="4" customWidth="1"/>
    <col min="52" max="52" width="6.81640625" style="4" customWidth="1"/>
    <col min="53" max="53" width="9.81640625" style="4" customWidth="1"/>
    <col min="54" max="54" width="6.81640625" style="4" customWidth="1"/>
    <col min="55" max="55" width="14.81640625" style="4" customWidth="1"/>
    <col min="56" max="56" width="6.81640625" style="4" customWidth="1"/>
    <col min="57" max="57" width="9.81640625" style="4" customWidth="1"/>
    <col min="58" max="58" width="12.1796875" style="4" customWidth="1"/>
    <col min="59" max="61" width="13.1796875" style="4" customWidth="1"/>
    <col min="62" max="62" width="18.1796875" style="4" customWidth="1"/>
    <col min="63" max="63" width="17.1796875" style="4" customWidth="1"/>
    <col min="64" max="64" width="18.54296875" style="4" customWidth="1"/>
    <col min="65" max="66" width="13.1796875" style="4" customWidth="1"/>
    <col min="67" max="67" width="22.81640625" style="4" customWidth="1"/>
    <col min="68" max="69" width="17.54296875" style="4" customWidth="1"/>
    <col min="70" max="77" width="8.81640625" style="4"/>
    <col min="78" max="78" width="11.1796875" style="4" customWidth="1"/>
    <col min="79" max="16384" width="8.81640625" style="4"/>
  </cols>
  <sheetData>
    <row r="1" spans="1:69" ht="13">
      <c r="A1" s="156" t="s">
        <v>15</v>
      </c>
      <c r="B1" s="156"/>
      <c r="C1" s="156"/>
      <c r="D1" s="157"/>
      <c r="F1" s="5" t="s">
        <v>653</v>
      </c>
    </row>
    <row r="2" spans="1:69" ht="14.5">
      <c r="A2" s="162" t="s">
        <v>355</v>
      </c>
      <c r="B2" s="168"/>
    </row>
    <row r="3" spans="1:69" ht="14.5">
      <c r="A3" s="162" t="s">
        <v>357</v>
      </c>
      <c r="B3" s="162"/>
      <c r="C3" s="113"/>
      <c r="D3" s="4" t="s">
        <v>459</v>
      </c>
      <c r="F3" s="169" t="s">
        <v>358</v>
      </c>
      <c r="G3" s="169"/>
    </row>
    <row r="4" spans="1:69">
      <c r="A4" s="162" t="s">
        <v>359</v>
      </c>
      <c r="B4" s="162"/>
      <c r="D4" s="33" t="s">
        <v>648</v>
      </c>
    </row>
    <row r="5" spans="1:69">
      <c r="A5" s="162" t="s">
        <v>360</v>
      </c>
      <c r="B5" s="162"/>
    </row>
    <row r="6" spans="1:69">
      <c r="A6" s="162" t="s">
        <v>361</v>
      </c>
      <c r="B6" s="162"/>
    </row>
    <row r="7" spans="1:69" ht="52">
      <c r="A7" s="7" t="s">
        <v>143</v>
      </c>
      <c r="B7" s="7" t="s">
        <v>362</v>
      </c>
      <c r="C7" s="7" t="s">
        <v>364</v>
      </c>
      <c r="D7" s="7" t="s">
        <v>365</v>
      </c>
      <c r="E7" s="6" t="s">
        <v>654</v>
      </c>
      <c r="F7" s="6" t="s">
        <v>129</v>
      </c>
      <c r="G7" s="6" t="s">
        <v>146</v>
      </c>
      <c r="H7" s="6" t="s">
        <v>655</v>
      </c>
      <c r="I7" s="6" t="s">
        <v>367</v>
      </c>
      <c r="J7" s="6" t="s">
        <v>656</v>
      </c>
      <c r="K7" s="6" t="s">
        <v>657</v>
      </c>
      <c r="L7" s="6" t="s">
        <v>658</v>
      </c>
      <c r="M7" s="6" t="s">
        <v>170</v>
      </c>
      <c r="N7" s="6" t="s">
        <v>656</v>
      </c>
      <c r="O7" s="6" t="s">
        <v>657</v>
      </c>
      <c r="P7" s="6" t="s">
        <v>658</v>
      </c>
      <c r="Q7" s="6" t="s">
        <v>30</v>
      </c>
      <c r="R7" s="6" t="s">
        <v>656</v>
      </c>
      <c r="S7" s="6" t="s">
        <v>657</v>
      </c>
      <c r="T7" s="6" t="s">
        <v>658</v>
      </c>
      <c r="U7" s="6" t="s">
        <v>175</v>
      </c>
      <c r="V7" s="6" t="s">
        <v>656</v>
      </c>
      <c r="W7" s="6" t="s">
        <v>657</v>
      </c>
      <c r="X7" s="6" t="s">
        <v>658</v>
      </c>
      <c r="Y7" s="6" t="s">
        <v>189</v>
      </c>
      <c r="Z7" s="6" t="s">
        <v>656</v>
      </c>
      <c r="AA7" s="6" t="s">
        <v>657</v>
      </c>
      <c r="AB7" s="6" t="s">
        <v>658</v>
      </c>
      <c r="AC7" s="6" t="s">
        <v>194</v>
      </c>
      <c r="AD7" s="6" t="s">
        <v>656</v>
      </c>
      <c r="AE7" s="6" t="s">
        <v>657</v>
      </c>
      <c r="AF7" s="6" t="s">
        <v>658</v>
      </c>
      <c r="AG7" s="6" t="s">
        <v>179</v>
      </c>
      <c r="AH7" s="6" t="s">
        <v>656</v>
      </c>
      <c r="AI7" s="6" t="s">
        <v>657</v>
      </c>
      <c r="AJ7" s="6" t="s">
        <v>658</v>
      </c>
      <c r="AK7" s="6" t="s">
        <v>649</v>
      </c>
      <c r="AL7" s="6" t="s">
        <v>656</v>
      </c>
      <c r="AM7" s="6" t="s">
        <v>657</v>
      </c>
      <c r="AN7" s="6" t="s">
        <v>658</v>
      </c>
      <c r="AO7" s="79" t="s">
        <v>659</v>
      </c>
      <c r="AP7" s="6" t="s">
        <v>656</v>
      </c>
      <c r="AQ7" s="6" t="s">
        <v>657</v>
      </c>
      <c r="AR7" s="6" t="s">
        <v>658</v>
      </c>
      <c r="AS7" s="79" t="s">
        <v>206</v>
      </c>
      <c r="AT7" s="6" t="s">
        <v>656</v>
      </c>
      <c r="AU7" s="6" t="s">
        <v>657</v>
      </c>
      <c r="AV7" s="6" t="s">
        <v>658</v>
      </c>
      <c r="AW7" s="79" t="s">
        <v>373</v>
      </c>
      <c r="AX7" s="6" t="s">
        <v>656</v>
      </c>
      <c r="AY7" s="6" t="s">
        <v>657</v>
      </c>
      <c r="AZ7" s="6" t="s">
        <v>658</v>
      </c>
      <c r="BA7" s="79" t="s">
        <v>660</v>
      </c>
      <c r="BB7" s="6" t="s">
        <v>656</v>
      </c>
      <c r="BC7" s="6" t="s">
        <v>657</v>
      </c>
      <c r="BD7" s="6" t="s">
        <v>658</v>
      </c>
      <c r="BE7" s="6" t="s">
        <v>191</v>
      </c>
      <c r="BF7" s="6" t="s">
        <v>375</v>
      </c>
      <c r="BG7" s="6" t="s">
        <v>376</v>
      </c>
      <c r="BH7" s="6" t="s">
        <v>661</v>
      </c>
      <c r="BI7" s="6" t="s">
        <v>662</v>
      </c>
      <c r="BJ7" s="6" t="s">
        <v>663</v>
      </c>
      <c r="BK7" s="6" t="s">
        <v>664</v>
      </c>
      <c r="BL7" s="79" t="s">
        <v>665</v>
      </c>
      <c r="BM7" s="6" t="s">
        <v>666</v>
      </c>
      <c r="BN7" s="6" t="s">
        <v>667</v>
      </c>
      <c r="BO7" s="6" t="s">
        <v>668</v>
      </c>
      <c r="BP7" s="6" t="s">
        <v>669</v>
      </c>
      <c r="BQ7" s="8"/>
    </row>
    <row r="8" spans="1:69" ht="13">
      <c r="A8" s="19" t="s">
        <v>670</v>
      </c>
      <c r="C8" s="4" t="s">
        <v>378</v>
      </c>
      <c r="D8" s="4" t="s">
        <v>671</v>
      </c>
      <c r="E8" s="12" t="s">
        <v>672</v>
      </c>
      <c r="F8" s="12">
        <v>4</v>
      </c>
      <c r="G8" s="12">
        <v>8</v>
      </c>
      <c r="H8" s="59">
        <v>20</v>
      </c>
      <c r="I8" s="28">
        <v>0</v>
      </c>
      <c r="J8" s="12" t="s">
        <v>673</v>
      </c>
      <c r="K8" s="4" t="s">
        <v>674</v>
      </c>
      <c r="L8" s="12">
        <v>4.7</v>
      </c>
      <c r="M8" s="12"/>
      <c r="N8" s="12"/>
      <c r="P8" s="12"/>
      <c r="Q8" s="12"/>
      <c r="R8" s="12"/>
      <c r="S8" s="12"/>
      <c r="T8" s="12"/>
      <c r="U8" s="12"/>
      <c r="V8" s="12"/>
      <c r="W8" s="12"/>
      <c r="X8" s="12"/>
      <c r="Y8" s="12"/>
      <c r="Z8" s="12"/>
      <c r="AA8" s="12"/>
      <c r="AB8" s="12"/>
      <c r="AC8" s="12"/>
      <c r="AD8" s="12"/>
      <c r="AE8" s="12"/>
      <c r="AF8" s="12"/>
      <c r="AG8" s="59">
        <v>0</v>
      </c>
      <c r="AH8" s="12" t="s">
        <v>670</v>
      </c>
      <c r="AI8" s="12"/>
      <c r="AJ8" s="12" t="s">
        <v>670</v>
      </c>
      <c r="AK8" s="12"/>
      <c r="AL8" s="12"/>
      <c r="AM8" s="12"/>
      <c r="AN8" s="12"/>
      <c r="AO8" s="12"/>
      <c r="AP8" s="12"/>
      <c r="AQ8" s="12"/>
      <c r="AR8" s="12"/>
      <c r="AS8" s="12"/>
      <c r="AT8" s="12"/>
      <c r="AU8" s="12"/>
      <c r="AV8" s="12"/>
      <c r="AW8" s="12"/>
      <c r="AX8" s="12"/>
      <c r="AY8" s="12"/>
      <c r="AZ8" s="12"/>
      <c r="BA8" s="12"/>
      <c r="BB8" s="12"/>
      <c r="BC8" s="12"/>
      <c r="BD8" s="12"/>
      <c r="BE8" s="12">
        <v>1</v>
      </c>
      <c r="BF8" s="12"/>
      <c r="BG8" s="12"/>
      <c r="BH8" s="12" t="s">
        <v>381</v>
      </c>
      <c r="BI8" s="12">
        <v>2</v>
      </c>
      <c r="BJ8" s="12" t="s">
        <v>381</v>
      </c>
      <c r="BK8" s="12"/>
      <c r="BL8" s="12"/>
      <c r="BM8" s="12"/>
      <c r="BN8" s="12"/>
      <c r="BO8" s="12"/>
      <c r="BP8" s="12"/>
      <c r="BQ8" s="8"/>
    </row>
    <row r="9" spans="1:69" ht="13">
      <c r="A9" s="4" t="s">
        <v>377</v>
      </c>
      <c r="C9" s="4" t="s">
        <v>378</v>
      </c>
      <c r="D9" s="4" t="s">
        <v>19</v>
      </c>
      <c r="E9" s="12" t="s">
        <v>675</v>
      </c>
      <c r="F9" s="12">
        <v>4</v>
      </c>
      <c r="G9" s="12">
        <v>8</v>
      </c>
      <c r="H9" s="59">
        <v>350</v>
      </c>
      <c r="I9" s="28">
        <v>4</v>
      </c>
      <c r="J9" s="12" t="s">
        <v>676</v>
      </c>
      <c r="K9" s="4" t="s">
        <v>674</v>
      </c>
      <c r="L9" s="12">
        <v>5.9</v>
      </c>
      <c r="M9" s="12"/>
      <c r="N9" s="12"/>
      <c r="O9" s="12"/>
      <c r="P9" s="12"/>
      <c r="Q9" s="12"/>
      <c r="R9" s="12"/>
      <c r="S9" s="12"/>
      <c r="T9" s="12"/>
      <c r="U9" s="12"/>
      <c r="V9" s="12"/>
      <c r="W9" s="12"/>
      <c r="X9" s="12"/>
      <c r="Y9" s="12"/>
      <c r="Z9" s="12"/>
      <c r="AA9" s="12"/>
      <c r="AB9" s="12"/>
      <c r="AC9" s="12"/>
      <c r="AD9" s="12"/>
      <c r="AE9" s="12"/>
      <c r="AF9" s="12"/>
      <c r="AG9" s="59">
        <f>2*H9</f>
        <v>700</v>
      </c>
      <c r="AH9" s="12" t="s">
        <v>676</v>
      </c>
      <c r="AI9" s="4" t="s">
        <v>674</v>
      </c>
      <c r="AJ9" s="12" t="s">
        <v>670</v>
      </c>
      <c r="AK9" s="12"/>
      <c r="AL9" s="12"/>
      <c r="AM9" s="12"/>
      <c r="AN9" s="12"/>
      <c r="AO9" s="12"/>
      <c r="AP9" s="12"/>
      <c r="AQ9" s="12"/>
      <c r="AR9" s="12"/>
      <c r="AS9" s="12"/>
      <c r="AT9" s="12"/>
      <c r="AU9" s="12"/>
      <c r="AV9" s="12"/>
      <c r="AW9" s="12"/>
      <c r="AX9" s="12"/>
      <c r="AY9" s="12"/>
      <c r="AZ9" s="12"/>
      <c r="BA9" s="12"/>
      <c r="BB9" s="12"/>
      <c r="BC9" s="12"/>
      <c r="BD9" s="12"/>
      <c r="BE9" s="12">
        <v>2</v>
      </c>
      <c r="BF9" s="12" t="s">
        <v>381</v>
      </c>
      <c r="BG9" s="12"/>
      <c r="BH9" s="12"/>
      <c r="BI9" s="12">
        <v>2</v>
      </c>
      <c r="BJ9" s="12"/>
      <c r="BK9" s="12"/>
      <c r="BL9" s="12" t="s">
        <v>381</v>
      </c>
      <c r="BM9" s="12"/>
      <c r="BN9" s="12"/>
      <c r="BO9" s="12"/>
      <c r="BP9" s="12"/>
      <c r="BQ9" s="8"/>
    </row>
    <row r="10" spans="1:69">
      <c r="A10" s="4" t="s">
        <v>385</v>
      </c>
      <c r="B10" s="12" t="s">
        <v>386</v>
      </c>
      <c r="C10" s="4" t="s">
        <v>378</v>
      </c>
      <c r="D10" s="4" t="s">
        <v>388</v>
      </c>
      <c r="E10" s="12" t="s">
        <v>677</v>
      </c>
      <c r="F10" s="12">
        <v>4</v>
      </c>
      <c r="G10" s="12">
        <v>4</v>
      </c>
      <c r="H10" s="59">
        <v>40</v>
      </c>
      <c r="I10" s="28">
        <v>4</v>
      </c>
      <c r="J10" s="12" t="s">
        <v>676</v>
      </c>
      <c r="K10" s="4" t="s">
        <v>674</v>
      </c>
      <c r="L10" s="12">
        <v>2.6</v>
      </c>
      <c r="M10" s="12"/>
      <c r="N10" s="12"/>
      <c r="O10" s="12"/>
      <c r="P10" s="12"/>
      <c r="Q10" s="12"/>
      <c r="R10" s="12"/>
      <c r="S10" s="12"/>
      <c r="T10" s="12"/>
      <c r="U10" s="12"/>
      <c r="V10" s="12"/>
      <c r="W10" s="12"/>
      <c r="X10" s="12"/>
      <c r="Y10" s="12"/>
      <c r="Z10" s="12"/>
      <c r="AA10" s="12"/>
      <c r="AB10" s="12"/>
      <c r="AC10" s="12"/>
      <c r="AD10" s="12"/>
      <c r="AE10" s="12"/>
      <c r="AF10" s="12"/>
      <c r="AG10" s="59">
        <f>2*H10</f>
        <v>80</v>
      </c>
      <c r="AH10" s="12" t="s">
        <v>676</v>
      </c>
      <c r="AI10" s="4" t="s">
        <v>674</v>
      </c>
      <c r="AJ10" s="12" t="s">
        <v>670</v>
      </c>
      <c r="AK10" s="12"/>
      <c r="AL10" s="12"/>
      <c r="AM10" s="12"/>
      <c r="AN10" s="12"/>
      <c r="AO10" s="12"/>
      <c r="AP10" s="12"/>
      <c r="AQ10" s="12"/>
      <c r="AR10" s="12"/>
      <c r="AS10" s="12"/>
      <c r="AT10" s="12"/>
      <c r="AU10" s="12"/>
      <c r="AV10" s="12"/>
      <c r="AW10" s="12"/>
      <c r="AX10" s="12"/>
      <c r="AY10" s="12"/>
      <c r="AZ10" s="12"/>
      <c r="BA10" s="12"/>
      <c r="BB10" s="12"/>
      <c r="BC10" s="12"/>
      <c r="BD10" s="12"/>
      <c r="BE10" s="12">
        <v>2</v>
      </c>
      <c r="BF10" s="12" t="s">
        <v>381</v>
      </c>
      <c r="BG10" s="12"/>
      <c r="BH10" s="12"/>
      <c r="BI10" s="12">
        <v>2</v>
      </c>
      <c r="BJ10" s="12"/>
      <c r="BK10" s="12"/>
      <c r="BL10" s="12" t="s">
        <v>381</v>
      </c>
      <c r="BM10" s="12"/>
      <c r="BN10" s="12"/>
      <c r="BO10" s="12"/>
    </row>
    <row r="11" spans="1:69">
      <c r="A11" s="4" t="s">
        <v>389</v>
      </c>
      <c r="B11" s="12"/>
      <c r="C11" s="4" t="s">
        <v>378</v>
      </c>
      <c r="D11" s="4" t="s">
        <v>30</v>
      </c>
      <c r="E11" s="12" t="s">
        <v>678</v>
      </c>
      <c r="F11" s="101">
        <f>VLOOKUP(Q11,B90:F91,2,FALSE)</f>
        <v>6</v>
      </c>
      <c r="G11" s="101">
        <f>VLOOKUP(Q11,B90:F91,3,FALSE)</f>
        <v>40</v>
      </c>
      <c r="H11" s="59">
        <v>95</v>
      </c>
      <c r="I11" s="28">
        <v>16</v>
      </c>
      <c r="J11" s="12" t="s">
        <v>676</v>
      </c>
      <c r="K11" s="4" t="s">
        <v>674</v>
      </c>
      <c r="L11" s="12">
        <v>2.6</v>
      </c>
      <c r="M11" s="59">
        <v>59.4</v>
      </c>
      <c r="N11" s="12" t="s">
        <v>676</v>
      </c>
      <c r="O11" s="4" t="s">
        <v>679</v>
      </c>
      <c r="P11" s="12">
        <f>50/1000</f>
        <v>0.05</v>
      </c>
      <c r="Q11" s="124">
        <v>675</v>
      </c>
      <c r="R11" s="12" t="s">
        <v>676</v>
      </c>
      <c r="S11" s="4" t="s">
        <v>679</v>
      </c>
      <c r="T11" s="12">
        <f>50/1000</f>
        <v>0.05</v>
      </c>
      <c r="U11" s="124">
        <f>VLOOKUP(Q11,B90:F91,4,FALSE)</f>
        <v>1012.5</v>
      </c>
      <c r="V11" s="12" t="s">
        <v>676</v>
      </c>
      <c r="W11" s="4" t="s">
        <v>674</v>
      </c>
      <c r="X11" s="12">
        <f>50/1000</f>
        <v>0.05</v>
      </c>
      <c r="Y11" s="12"/>
      <c r="Z11" s="12"/>
      <c r="AA11" s="12"/>
      <c r="AB11" s="12"/>
      <c r="AC11" s="12"/>
      <c r="AD11" s="12"/>
      <c r="AE11" s="12"/>
      <c r="AF11" s="12"/>
      <c r="AG11" s="124">
        <f>2*H11+VLOOKUP(Q11,B90:F91,5,FALSE)</f>
        <v>2710</v>
      </c>
      <c r="AH11" s="12" t="s">
        <v>676</v>
      </c>
      <c r="AI11" s="4" t="s">
        <v>674</v>
      </c>
      <c r="AJ11" s="12" t="s">
        <v>670</v>
      </c>
      <c r="AK11" s="12"/>
      <c r="AL11" s="12"/>
      <c r="AM11" s="12"/>
      <c r="AN11" s="12"/>
      <c r="AO11" s="12"/>
      <c r="AP11" s="12"/>
      <c r="AQ11" s="12"/>
      <c r="AR11" s="12"/>
      <c r="AS11" s="12"/>
      <c r="AT11" s="12"/>
      <c r="AU11" s="12"/>
      <c r="AV11" s="12"/>
      <c r="AW11" s="12"/>
      <c r="AX11" s="12"/>
      <c r="AY11" s="12"/>
      <c r="AZ11" s="12"/>
      <c r="BA11" s="12">
        <v>2048</v>
      </c>
      <c r="BB11" s="12" t="s">
        <v>676</v>
      </c>
      <c r="BC11" s="4" t="s">
        <v>674</v>
      </c>
      <c r="BD11" s="12">
        <f>50/1000</f>
        <v>0.05</v>
      </c>
      <c r="BE11" s="12">
        <v>6</v>
      </c>
      <c r="BF11" s="12" t="s">
        <v>381</v>
      </c>
      <c r="BG11" s="12"/>
      <c r="BH11" s="12"/>
      <c r="BI11" s="12">
        <v>2</v>
      </c>
      <c r="BJ11" s="12"/>
      <c r="BK11" s="12"/>
      <c r="BL11" s="12" t="s">
        <v>381</v>
      </c>
      <c r="BM11" s="12"/>
      <c r="BN11" s="12"/>
      <c r="BO11" s="12"/>
    </row>
    <row r="12" spans="1:69">
      <c r="A12" s="4" t="s">
        <v>393</v>
      </c>
      <c r="B12" s="12" t="s">
        <v>386</v>
      </c>
      <c r="C12" s="4" t="s">
        <v>378</v>
      </c>
      <c r="D12" s="4" t="s">
        <v>34</v>
      </c>
      <c r="E12" s="12" t="s">
        <v>680</v>
      </c>
      <c r="F12" s="12">
        <v>3</v>
      </c>
      <c r="G12" s="12">
        <v>5</v>
      </c>
      <c r="H12" s="59">
        <v>45</v>
      </c>
      <c r="I12" s="28">
        <v>4</v>
      </c>
      <c r="J12" s="12" t="s">
        <v>676</v>
      </c>
      <c r="K12" s="4" t="s">
        <v>674</v>
      </c>
      <c r="L12" s="12">
        <v>2.6</v>
      </c>
      <c r="M12" s="12"/>
      <c r="N12" s="12"/>
      <c r="O12" s="12"/>
      <c r="P12" s="12"/>
      <c r="Q12" s="12"/>
      <c r="R12" s="12"/>
      <c r="S12" s="12"/>
      <c r="T12" s="12"/>
      <c r="U12" s="12"/>
      <c r="V12" s="12"/>
      <c r="W12" s="12"/>
      <c r="X12" s="12"/>
      <c r="Y12" s="59">
        <v>312</v>
      </c>
      <c r="Z12" s="12" t="s">
        <v>676</v>
      </c>
      <c r="AA12" s="4" t="s">
        <v>674</v>
      </c>
      <c r="AB12" s="12">
        <v>0.1</v>
      </c>
      <c r="AC12" s="12">
        <v>270</v>
      </c>
      <c r="AD12" s="12" t="s">
        <v>676</v>
      </c>
      <c r="AE12" s="4" t="s">
        <v>674</v>
      </c>
      <c r="AF12" s="12" t="s">
        <v>670</v>
      </c>
      <c r="AG12" s="59">
        <v>405</v>
      </c>
      <c r="AH12" s="12" t="s">
        <v>676</v>
      </c>
      <c r="AI12" s="4" t="s">
        <v>674</v>
      </c>
      <c r="AJ12" s="12" t="s">
        <v>670</v>
      </c>
      <c r="AK12" s="12"/>
      <c r="AL12" s="12"/>
      <c r="AM12" s="12"/>
      <c r="AN12" s="12"/>
      <c r="AO12" s="12"/>
      <c r="AP12" s="12"/>
      <c r="AQ12" s="12"/>
      <c r="AR12" s="12"/>
      <c r="AS12" s="12"/>
      <c r="AT12" s="12"/>
      <c r="AU12" s="12"/>
      <c r="AV12" s="12"/>
      <c r="AW12" s="12"/>
      <c r="AX12" s="12"/>
      <c r="AY12" s="12"/>
      <c r="AZ12" s="12"/>
      <c r="BA12" s="12"/>
      <c r="BB12" s="12"/>
      <c r="BC12" s="12"/>
      <c r="BD12" s="12"/>
      <c r="BE12" s="12">
        <v>4</v>
      </c>
      <c r="BF12" s="12" t="s">
        <v>381</v>
      </c>
      <c r="BG12" s="12"/>
      <c r="BH12" s="12"/>
      <c r="BI12" s="12">
        <v>2</v>
      </c>
      <c r="BJ12" s="12"/>
      <c r="BK12" s="12"/>
      <c r="BL12" s="12" t="s">
        <v>381</v>
      </c>
      <c r="BM12" s="12"/>
      <c r="BN12" s="12"/>
      <c r="BO12" s="12"/>
    </row>
    <row r="13" spans="1:69">
      <c r="A13" s="4" t="s">
        <v>395</v>
      </c>
      <c r="B13" s="12"/>
      <c r="C13" s="4" t="s">
        <v>378</v>
      </c>
      <c r="D13" s="4" t="s">
        <v>38</v>
      </c>
      <c r="E13" s="12" t="s">
        <v>681</v>
      </c>
      <c r="F13" s="12">
        <v>4</v>
      </c>
      <c r="G13" s="12">
        <v>4</v>
      </c>
      <c r="H13" s="59">
        <v>30</v>
      </c>
      <c r="I13" s="28">
        <v>4</v>
      </c>
      <c r="J13" s="12" t="s">
        <v>676</v>
      </c>
      <c r="K13" s="4" t="s">
        <v>674</v>
      </c>
      <c r="L13" s="12">
        <v>2.6</v>
      </c>
      <c r="M13" s="59"/>
      <c r="N13" s="12"/>
      <c r="O13" s="12"/>
      <c r="P13" s="12"/>
      <c r="Q13" s="12"/>
      <c r="R13" s="12"/>
      <c r="S13" s="12"/>
      <c r="T13" s="12"/>
      <c r="U13" s="12"/>
      <c r="V13" s="12"/>
      <c r="W13" s="12"/>
      <c r="X13" s="12"/>
      <c r="Y13" s="12"/>
      <c r="Z13" s="12"/>
      <c r="AA13" s="12"/>
      <c r="AB13" s="12"/>
      <c r="AC13" s="12"/>
      <c r="AD13" s="12"/>
      <c r="AE13" s="12"/>
      <c r="AF13" s="12"/>
      <c r="AG13" s="59">
        <f t="shared" ref="AG13:AG30" si="0">2*H13</f>
        <v>60</v>
      </c>
      <c r="AH13" s="12" t="s">
        <v>676</v>
      </c>
      <c r="AI13" s="4" t="s">
        <v>674</v>
      </c>
      <c r="AJ13" s="12" t="s">
        <v>670</v>
      </c>
      <c r="AK13" s="12"/>
      <c r="AL13" s="12"/>
      <c r="AM13" s="12"/>
      <c r="AN13" s="12"/>
      <c r="AO13" s="12"/>
      <c r="AP13" s="12"/>
      <c r="AQ13" s="12"/>
      <c r="AR13" s="12"/>
      <c r="AS13" s="12"/>
      <c r="AT13" s="12"/>
      <c r="AU13" s="12"/>
      <c r="AV13" s="12"/>
      <c r="AW13" s="12"/>
      <c r="AX13" s="12"/>
      <c r="AY13" s="12"/>
      <c r="AZ13" s="12"/>
      <c r="BA13" s="12"/>
      <c r="BB13" s="12"/>
      <c r="BC13" s="12"/>
      <c r="BD13" s="12"/>
      <c r="BE13" s="12">
        <v>2</v>
      </c>
      <c r="BF13" s="12" t="s">
        <v>381</v>
      </c>
      <c r="BG13" s="12" t="s">
        <v>381</v>
      </c>
      <c r="BH13" s="12"/>
      <c r="BI13" s="12">
        <v>2</v>
      </c>
      <c r="BJ13" s="12"/>
      <c r="BK13" s="12"/>
      <c r="BL13" s="12" t="s">
        <v>381</v>
      </c>
      <c r="BM13" s="12"/>
      <c r="BN13" s="12"/>
      <c r="BO13" s="12"/>
    </row>
    <row r="14" spans="1:69">
      <c r="A14" s="4" t="s">
        <v>398</v>
      </c>
      <c r="B14" s="12"/>
      <c r="C14" s="4" t="s">
        <v>378</v>
      </c>
      <c r="D14" s="4" t="s">
        <v>42</v>
      </c>
      <c r="E14" s="12" t="s">
        <v>682</v>
      </c>
      <c r="F14" s="12">
        <v>2</v>
      </c>
      <c r="G14" s="12">
        <v>3</v>
      </c>
      <c r="H14" s="59">
        <v>30</v>
      </c>
      <c r="I14" s="28">
        <v>4</v>
      </c>
      <c r="J14" s="12" t="s">
        <v>676</v>
      </c>
      <c r="K14" s="4" t="s">
        <v>674</v>
      </c>
      <c r="L14" s="12">
        <v>2.6</v>
      </c>
      <c r="M14" s="12"/>
      <c r="N14" s="12"/>
      <c r="O14" s="12"/>
      <c r="P14" s="12"/>
      <c r="Q14" s="12"/>
      <c r="R14" s="12"/>
      <c r="S14" s="12"/>
      <c r="T14" s="12"/>
      <c r="U14" s="12"/>
      <c r="V14" s="12"/>
      <c r="W14" s="12"/>
      <c r="X14" s="12"/>
      <c r="Y14" s="12"/>
      <c r="Z14" s="12"/>
      <c r="AA14" s="12"/>
      <c r="AB14" s="12"/>
      <c r="AC14" s="12"/>
      <c r="AD14" s="12"/>
      <c r="AE14" s="12"/>
      <c r="AF14" s="12"/>
      <c r="AG14" s="59">
        <f t="shared" si="0"/>
        <v>60</v>
      </c>
      <c r="AH14" s="12" t="s">
        <v>676</v>
      </c>
      <c r="AI14" s="4" t="s">
        <v>674</v>
      </c>
      <c r="AJ14" s="12" t="s">
        <v>670</v>
      </c>
      <c r="AK14" s="12"/>
      <c r="AL14" s="12"/>
      <c r="AM14" s="12"/>
      <c r="AN14" s="12"/>
      <c r="AO14" s="12"/>
      <c r="AP14" s="12"/>
      <c r="AQ14" s="12"/>
      <c r="AR14" s="12"/>
      <c r="AS14" s="12"/>
      <c r="AT14" s="12"/>
      <c r="AU14" s="12"/>
      <c r="AV14" s="12"/>
      <c r="AW14" s="12"/>
      <c r="AX14" s="12"/>
      <c r="AY14" s="12"/>
      <c r="AZ14" s="12"/>
      <c r="BA14" s="12"/>
      <c r="BB14" s="12"/>
      <c r="BC14" s="12"/>
      <c r="BD14" s="12"/>
      <c r="BE14" s="12">
        <v>2</v>
      </c>
      <c r="BF14" s="12" t="s">
        <v>381</v>
      </c>
      <c r="BG14" s="12"/>
      <c r="BH14" s="12"/>
      <c r="BI14" s="12">
        <v>2</v>
      </c>
      <c r="BJ14" s="12"/>
      <c r="BK14" s="12"/>
      <c r="BL14" s="12" t="s">
        <v>381</v>
      </c>
      <c r="BM14" s="12"/>
      <c r="BN14" s="12"/>
      <c r="BO14" s="12"/>
    </row>
    <row r="15" spans="1:69">
      <c r="A15" s="4" t="s">
        <v>399</v>
      </c>
      <c r="B15" s="12"/>
      <c r="C15" s="4" t="s">
        <v>378</v>
      </c>
      <c r="D15" s="4" t="s">
        <v>400</v>
      </c>
      <c r="E15" s="12" t="s">
        <v>683</v>
      </c>
      <c r="F15" s="12">
        <v>3</v>
      </c>
      <c r="G15" s="12">
        <v>6</v>
      </c>
      <c r="H15" s="59">
        <v>60</v>
      </c>
      <c r="I15" s="28">
        <v>4</v>
      </c>
      <c r="J15" s="12" t="s">
        <v>676</v>
      </c>
      <c r="K15" s="4" t="s">
        <v>674</v>
      </c>
      <c r="L15" s="12">
        <v>2.6</v>
      </c>
      <c r="M15" s="12"/>
      <c r="N15" s="12"/>
      <c r="O15" s="12"/>
      <c r="P15" s="12"/>
      <c r="Q15" s="12"/>
      <c r="R15" s="12"/>
      <c r="S15" s="12"/>
      <c r="T15" s="12"/>
      <c r="U15" s="12"/>
      <c r="V15" s="12"/>
      <c r="W15" s="12"/>
      <c r="X15" s="12"/>
      <c r="Y15" s="12"/>
      <c r="Z15" s="12"/>
      <c r="AA15" s="12"/>
      <c r="AB15" s="12"/>
      <c r="AC15" s="12"/>
      <c r="AD15" s="12"/>
      <c r="AE15" s="12"/>
      <c r="AF15" s="12"/>
      <c r="AG15" s="59">
        <f t="shared" si="0"/>
        <v>120</v>
      </c>
      <c r="AH15" s="12" t="s">
        <v>676</v>
      </c>
      <c r="AI15" s="4" t="s">
        <v>674</v>
      </c>
      <c r="AJ15" s="12" t="s">
        <v>670</v>
      </c>
      <c r="AK15" s="12"/>
      <c r="AL15" s="12"/>
      <c r="AM15" s="12"/>
      <c r="AN15" s="12"/>
      <c r="AO15" s="12"/>
      <c r="AP15" s="12"/>
      <c r="AQ15" s="12"/>
      <c r="AR15" s="12"/>
      <c r="AS15" s="12"/>
      <c r="AT15" s="12"/>
      <c r="AU15" s="12"/>
      <c r="AV15" s="12"/>
      <c r="AW15" s="12"/>
      <c r="AX15" s="12"/>
      <c r="AY15" s="12"/>
      <c r="AZ15" s="12"/>
      <c r="BA15" s="12"/>
      <c r="BB15" s="12"/>
      <c r="BC15" s="12"/>
      <c r="BD15" s="12"/>
      <c r="BE15" s="12">
        <v>2</v>
      </c>
      <c r="BF15" s="12" t="s">
        <v>381</v>
      </c>
      <c r="BG15" s="12"/>
      <c r="BH15" s="12"/>
      <c r="BI15" s="12">
        <v>2</v>
      </c>
      <c r="BJ15" s="12"/>
      <c r="BK15" s="12"/>
      <c r="BL15" s="12" t="s">
        <v>381</v>
      </c>
      <c r="BM15" s="12"/>
      <c r="BN15" s="12"/>
      <c r="BO15" s="12"/>
    </row>
    <row r="16" spans="1:69">
      <c r="A16" s="4" t="s">
        <v>401</v>
      </c>
      <c r="B16" s="12"/>
      <c r="C16" s="4" t="s">
        <v>378</v>
      </c>
      <c r="D16" s="4" t="s">
        <v>402</v>
      </c>
      <c r="E16" s="12" t="s">
        <v>684</v>
      </c>
      <c r="F16" s="12">
        <v>3</v>
      </c>
      <c r="G16" s="12">
        <v>4</v>
      </c>
      <c r="H16" s="59">
        <v>55</v>
      </c>
      <c r="I16" s="28">
        <v>4</v>
      </c>
      <c r="J16" s="12" t="s">
        <v>676</v>
      </c>
      <c r="K16" s="4" t="s">
        <v>674</v>
      </c>
      <c r="L16" s="12">
        <v>2.6</v>
      </c>
      <c r="M16" s="12"/>
      <c r="N16" s="12"/>
      <c r="O16" s="12"/>
      <c r="P16" s="12"/>
      <c r="Q16" s="12"/>
      <c r="R16" s="12"/>
      <c r="S16" s="12"/>
      <c r="T16" s="12"/>
      <c r="U16" s="12"/>
      <c r="V16" s="12"/>
      <c r="W16" s="12"/>
      <c r="X16" s="12"/>
      <c r="Y16" s="12"/>
      <c r="Z16" s="12"/>
      <c r="AA16" s="12"/>
      <c r="AB16" s="12"/>
      <c r="AC16" s="12"/>
      <c r="AD16" s="12"/>
      <c r="AE16" s="12"/>
      <c r="AF16" s="12"/>
      <c r="AG16" s="59">
        <f t="shared" si="0"/>
        <v>110</v>
      </c>
      <c r="AH16" s="12" t="s">
        <v>676</v>
      </c>
      <c r="AI16" s="4" t="s">
        <v>674</v>
      </c>
      <c r="AJ16" s="12" t="s">
        <v>670</v>
      </c>
      <c r="AK16" s="12"/>
      <c r="AL16" s="12"/>
      <c r="AM16" s="12"/>
      <c r="AN16" s="12"/>
      <c r="AO16" s="12"/>
      <c r="AP16" s="12"/>
      <c r="AQ16" s="12"/>
      <c r="AR16" s="12"/>
      <c r="AS16" s="12"/>
      <c r="AT16" s="12"/>
      <c r="AU16" s="12"/>
      <c r="AV16" s="12"/>
      <c r="AW16" s="12"/>
      <c r="AX16" s="12"/>
      <c r="AY16" s="12"/>
      <c r="AZ16" s="12"/>
      <c r="BA16" s="12"/>
      <c r="BB16" s="12"/>
      <c r="BC16" s="12"/>
      <c r="BD16" s="12"/>
      <c r="BE16" s="12">
        <v>2</v>
      </c>
      <c r="BF16" s="12" t="s">
        <v>381</v>
      </c>
      <c r="BG16" s="12"/>
      <c r="BH16" s="12"/>
      <c r="BI16" s="12">
        <v>2</v>
      </c>
      <c r="BJ16" s="12"/>
      <c r="BK16" s="12"/>
      <c r="BL16" s="12" t="s">
        <v>381</v>
      </c>
      <c r="BM16" s="12"/>
      <c r="BN16" s="12"/>
      <c r="BO16" s="12"/>
    </row>
    <row r="17" spans="1:68">
      <c r="A17" s="4" t="s">
        <v>403</v>
      </c>
      <c r="B17" s="12"/>
      <c r="C17" s="4" t="s">
        <v>378</v>
      </c>
      <c r="D17" s="4" t="s">
        <v>54</v>
      </c>
      <c r="E17" s="12" t="s">
        <v>685</v>
      </c>
      <c r="F17" s="12">
        <v>5</v>
      </c>
      <c r="G17" s="12">
        <v>9</v>
      </c>
      <c r="H17" s="59">
        <v>70</v>
      </c>
      <c r="I17" s="28">
        <v>4</v>
      </c>
      <c r="J17" s="12" t="s">
        <v>676</v>
      </c>
      <c r="K17" s="4" t="s">
        <v>674</v>
      </c>
      <c r="L17" s="12">
        <v>2.6</v>
      </c>
      <c r="M17" s="12"/>
      <c r="N17" s="12"/>
      <c r="O17" s="12"/>
      <c r="P17" s="12"/>
      <c r="Q17" s="12"/>
      <c r="R17" s="12"/>
      <c r="S17" s="12"/>
      <c r="T17" s="12"/>
      <c r="U17" s="12"/>
      <c r="V17" s="12"/>
      <c r="W17" s="12"/>
      <c r="X17" s="12"/>
      <c r="Y17" s="12"/>
      <c r="Z17" s="12"/>
      <c r="AA17" s="12"/>
      <c r="AB17" s="12"/>
      <c r="AC17" s="12"/>
      <c r="AD17" s="12"/>
      <c r="AE17" s="12"/>
      <c r="AF17" s="12"/>
      <c r="AG17" s="59">
        <f t="shared" si="0"/>
        <v>140</v>
      </c>
      <c r="AH17" s="12" t="s">
        <v>676</v>
      </c>
      <c r="AI17" s="4" t="s">
        <v>674</v>
      </c>
      <c r="AJ17" s="12" t="s">
        <v>670</v>
      </c>
      <c r="AK17" s="12"/>
      <c r="AL17" s="12"/>
      <c r="AM17" s="12"/>
      <c r="AN17" s="12"/>
      <c r="AO17" s="12"/>
      <c r="AP17" s="12"/>
      <c r="AQ17" s="12"/>
      <c r="AR17" s="12"/>
      <c r="AS17" s="12"/>
      <c r="AT17" s="12"/>
      <c r="AU17" s="12"/>
      <c r="AV17" s="12"/>
      <c r="AW17" s="12"/>
      <c r="AX17" s="12"/>
      <c r="AY17" s="12"/>
      <c r="AZ17" s="12"/>
      <c r="BA17" s="12"/>
      <c r="BB17" s="12"/>
      <c r="BC17" s="12"/>
      <c r="BD17" s="12"/>
      <c r="BE17" s="12">
        <v>2</v>
      </c>
      <c r="BF17" s="12" t="s">
        <v>381</v>
      </c>
      <c r="BG17" s="12"/>
      <c r="BH17" s="12"/>
      <c r="BI17" s="12">
        <v>2</v>
      </c>
      <c r="BJ17" s="12"/>
      <c r="BK17" s="12"/>
      <c r="BL17" s="12" t="s">
        <v>381</v>
      </c>
      <c r="BM17" s="12"/>
      <c r="BN17" s="12"/>
      <c r="BO17" s="12"/>
    </row>
    <row r="18" spans="1:68">
      <c r="A18" s="4" t="s">
        <v>404</v>
      </c>
      <c r="B18" s="12"/>
      <c r="C18" s="4" t="s">
        <v>378</v>
      </c>
      <c r="D18" s="4" t="s">
        <v>58</v>
      </c>
      <c r="E18" s="12" t="s">
        <v>681</v>
      </c>
      <c r="F18" s="12">
        <v>4</v>
      </c>
      <c r="G18" s="12">
        <v>4</v>
      </c>
      <c r="H18" s="59">
        <v>30</v>
      </c>
      <c r="I18" s="28">
        <v>4</v>
      </c>
      <c r="J18" s="12" t="s">
        <v>676</v>
      </c>
      <c r="K18" s="4" t="s">
        <v>674</v>
      </c>
      <c r="L18" s="12">
        <v>2.6</v>
      </c>
      <c r="M18" s="12"/>
      <c r="N18" s="12"/>
      <c r="O18" s="12"/>
      <c r="P18" s="12"/>
      <c r="Q18" s="12"/>
      <c r="R18" s="12"/>
      <c r="S18" s="12"/>
      <c r="T18" s="12"/>
      <c r="U18" s="12"/>
      <c r="V18" s="12"/>
      <c r="W18" s="12"/>
      <c r="X18" s="12"/>
      <c r="Y18" s="12"/>
      <c r="Z18" s="12"/>
      <c r="AA18" s="12"/>
      <c r="AB18" s="12"/>
      <c r="AC18" s="12"/>
      <c r="AD18" s="12"/>
      <c r="AE18" s="12"/>
      <c r="AF18" s="12"/>
      <c r="AG18" s="59">
        <f t="shared" si="0"/>
        <v>60</v>
      </c>
      <c r="AH18" s="12" t="s">
        <v>676</v>
      </c>
      <c r="AI18" s="4" t="s">
        <v>674</v>
      </c>
      <c r="AJ18" s="12" t="s">
        <v>670</v>
      </c>
      <c r="AK18" s="12"/>
      <c r="AL18" s="12"/>
      <c r="AM18" s="12"/>
      <c r="AN18" s="12"/>
      <c r="AO18" s="12"/>
      <c r="AP18" s="12"/>
      <c r="AQ18" s="12"/>
      <c r="AR18" s="12"/>
      <c r="AS18" s="12"/>
      <c r="AT18" s="12"/>
      <c r="AU18" s="12"/>
      <c r="AV18" s="12"/>
      <c r="AW18" s="12"/>
      <c r="AX18" s="12"/>
      <c r="AY18" s="12"/>
      <c r="AZ18" s="12"/>
      <c r="BA18" s="12"/>
      <c r="BB18" s="12"/>
      <c r="BC18" s="12"/>
      <c r="BD18" s="12"/>
      <c r="BE18" s="12">
        <v>2</v>
      </c>
      <c r="BF18" s="12" t="s">
        <v>381</v>
      </c>
      <c r="BG18" s="12" t="s">
        <v>381</v>
      </c>
      <c r="BH18" s="12"/>
      <c r="BI18" s="12">
        <v>2</v>
      </c>
      <c r="BJ18" s="12"/>
      <c r="BK18" s="12"/>
      <c r="BL18" s="12" t="s">
        <v>381</v>
      </c>
      <c r="BM18" s="12"/>
      <c r="BN18" s="12"/>
      <c r="BO18" s="12"/>
    </row>
    <row r="19" spans="1:68">
      <c r="A19" s="4" t="s">
        <v>405</v>
      </c>
      <c r="B19" s="12"/>
      <c r="C19" s="4" t="s">
        <v>378</v>
      </c>
      <c r="D19" s="4" t="s">
        <v>406</v>
      </c>
      <c r="E19" s="12" t="s">
        <v>686</v>
      </c>
      <c r="F19" s="12">
        <v>6</v>
      </c>
      <c r="G19" s="12">
        <v>6</v>
      </c>
      <c r="H19" s="59">
        <v>100</v>
      </c>
      <c r="I19" s="28">
        <v>4</v>
      </c>
      <c r="J19" s="12" t="s">
        <v>676</v>
      </c>
      <c r="K19" s="4" t="s">
        <v>674</v>
      </c>
      <c r="L19" s="12">
        <v>2.6</v>
      </c>
      <c r="M19" s="12"/>
      <c r="N19" s="12"/>
      <c r="O19" s="12"/>
      <c r="P19" s="12"/>
      <c r="Q19" s="12"/>
      <c r="R19" s="12"/>
      <c r="S19" s="12"/>
      <c r="T19" s="12"/>
      <c r="U19" s="12"/>
      <c r="V19" s="12"/>
      <c r="W19" s="12"/>
      <c r="X19" s="12"/>
      <c r="Y19" s="12"/>
      <c r="Z19" s="12"/>
      <c r="AA19" s="12"/>
      <c r="AB19" s="12"/>
      <c r="AC19" s="12"/>
      <c r="AD19" s="12"/>
      <c r="AE19" s="12"/>
      <c r="AF19" s="12"/>
      <c r="AG19" s="59">
        <f>2*(H19+AO19)</f>
        <v>300</v>
      </c>
      <c r="AH19" s="12" t="s">
        <v>676</v>
      </c>
      <c r="AI19" s="4" t="s">
        <v>674</v>
      </c>
      <c r="AJ19" s="12" t="s">
        <v>670</v>
      </c>
      <c r="AK19" s="12"/>
      <c r="AL19" s="12"/>
      <c r="AM19" s="12"/>
      <c r="AN19" s="12"/>
      <c r="AO19" s="12">
        <v>50</v>
      </c>
      <c r="AP19" s="12" t="s">
        <v>676</v>
      </c>
      <c r="AQ19" s="4" t="s">
        <v>674</v>
      </c>
      <c r="AR19" s="12">
        <f>50/1000</f>
        <v>0.05</v>
      </c>
      <c r="AS19" s="12"/>
      <c r="AT19" s="12"/>
      <c r="AU19" s="12"/>
      <c r="AV19" s="12"/>
      <c r="AW19" s="12"/>
      <c r="AX19" s="12"/>
      <c r="AY19" s="12"/>
      <c r="AZ19" s="12"/>
      <c r="BA19" s="12"/>
      <c r="BB19" s="12"/>
      <c r="BC19" s="12"/>
      <c r="BD19" s="12"/>
      <c r="BE19" s="12">
        <v>3</v>
      </c>
      <c r="BF19" s="12" t="s">
        <v>381</v>
      </c>
      <c r="BG19" s="12"/>
      <c r="BH19" s="12"/>
      <c r="BI19" s="12">
        <v>2</v>
      </c>
      <c r="BJ19" s="12"/>
      <c r="BK19" s="12"/>
      <c r="BL19" s="12" t="s">
        <v>381</v>
      </c>
      <c r="BM19" s="12"/>
      <c r="BN19" s="12"/>
      <c r="BO19" s="12"/>
    </row>
    <row r="20" spans="1:68">
      <c r="A20" s="4" t="s">
        <v>407</v>
      </c>
      <c r="B20" s="12"/>
      <c r="C20" s="4" t="s">
        <v>378</v>
      </c>
      <c r="D20" s="4" t="s">
        <v>65</v>
      </c>
      <c r="E20" s="12" t="s">
        <v>687</v>
      </c>
      <c r="F20" s="12">
        <v>2</v>
      </c>
      <c r="G20" s="12">
        <v>5</v>
      </c>
      <c r="H20" s="59">
        <v>50</v>
      </c>
      <c r="I20" s="28">
        <v>4</v>
      </c>
      <c r="J20" s="12" t="s">
        <v>676</v>
      </c>
      <c r="K20" s="4" t="s">
        <v>674</v>
      </c>
      <c r="L20" s="12">
        <v>2.6</v>
      </c>
      <c r="M20" s="12"/>
      <c r="N20" s="12"/>
      <c r="O20" s="12"/>
      <c r="P20" s="12"/>
      <c r="Q20" s="12"/>
      <c r="R20" s="12"/>
      <c r="S20" s="12"/>
      <c r="T20" s="12"/>
      <c r="U20" s="12"/>
      <c r="V20" s="12"/>
      <c r="W20" s="12"/>
      <c r="X20" s="12"/>
      <c r="Y20" s="12"/>
      <c r="Z20" s="12"/>
      <c r="AA20" s="12"/>
      <c r="AB20" s="12"/>
      <c r="AC20" s="12"/>
      <c r="AD20" s="12"/>
      <c r="AE20" s="12"/>
      <c r="AF20" s="12"/>
      <c r="AG20" s="59">
        <f t="shared" si="0"/>
        <v>100</v>
      </c>
      <c r="AH20" s="12" t="s">
        <v>676</v>
      </c>
      <c r="AI20" s="4" t="s">
        <v>674</v>
      </c>
      <c r="AJ20" s="12" t="s">
        <v>670</v>
      </c>
      <c r="AK20" s="12"/>
      <c r="AL20" s="12"/>
      <c r="AM20" s="12"/>
      <c r="AN20" s="12"/>
      <c r="AO20" s="12"/>
      <c r="AP20" s="12"/>
      <c r="AQ20" s="12"/>
      <c r="AR20" s="12"/>
      <c r="AS20" s="12"/>
      <c r="AT20" s="12"/>
      <c r="AU20" s="12"/>
      <c r="AV20" s="12"/>
      <c r="AW20" s="12"/>
      <c r="AX20" s="12"/>
      <c r="AY20" s="12"/>
      <c r="AZ20" s="12"/>
      <c r="BA20" s="12"/>
      <c r="BB20" s="12"/>
      <c r="BC20" s="12"/>
      <c r="BD20" s="12"/>
      <c r="BE20" s="12">
        <v>2</v>
      </c>
      <c r="BF20" s="12" t="s">
        <v>381</v>
      </c>
      <c r="BG20" s="12"/>
      <c r="BH20" s="12"/>
      <c r="BI20" s="12">
        <v>2</v>
      </c>
      <c r="BJ20" s="12"/>
      <c r="BK20" s="12"/>
      <c r="BL20" s="12" t="s">
        <v>381</v>
      </c>
      <c r="BM20" s="12"/>
      <c r="BN20" s="12"/>
      <c r="BO20" s="12"/>
    </row>
    <row r="21" spans="1:68">
      <c r="A21" s="4" t="s">
        <v>408</v>
      </c>
      <c r="B21" s="12"/>
      <c r="C21" s="4" t="s">
        <v>378</v>
      </c>
      <c r="D21" s="4" t="s">
        <v>73</v>
      </c>
      <c r="E21" s="12" t="s">
        <v>688</v>
      </c>
      <c r="F21" s="12">
        <v>5</v>
      </c>
      <c r="G21" s="12">
        <v>12</v>
      </c>
      <c r="H21" s="59">
        <v>55</v>
      </c>
      <c r="I21" s="28">
        <v>16</v>
      </c>
      <c r="J21" s="12" t="s">
        <v>676</v>
      </c>
      <c r="K21" s="4" t="s">
        <v>674</v>
      </c>
      <c r="L21" s="12">
        <v>2.6</v>
      </c>
      <c r="M21" s="12"/>
      <c r="N21" s="12"/>
      <c r="O21" s="12"/>
      <c r="P21" s="12"/>
      <c r="Q21" s="12"/>
      <c r="R21" s="12"/>
      <c r="S21" s="12"/>
      <c r="T21" s="12"/>
      <c r="U21" s="12"/>
      <c r="V21" s="12"/>
      <c r="W21" s="12"/>
      <c r="X21" s="12"/>
      <c r="Y21" s="12"/>
      <c r="Z21" s="12"/>
      <c r="AA21" s="12"/>
      <c r="AB21" s="12"/>
      <c r="AC21" s="12"/>
      <c r="AD21" s="12"/>
      <c r="AE21" s="12"/>
      <c r="AF21" s="12"/>
      <c r="AG21" s="59">
        <f t="shared" si="0"/>
        <v>110</v>
      </c>
      <c r="AH21" s="12" t="s">
        <v>676</v>
      </c>
      <c r="AI21" s="4" t="s">
        <v>674</v>
      </c>
      <c r="AJ21" s="12" t="s">
        <v>670</v>
      </c>
      <c r="AK21" s="12"/>
      <c r="AL21" s="12"/>
      <c r="AM21" s="12"/>
      <c r="AN21" s="12"/>
      <c r="AO21" s="12"/>
      <c r="AP21" s="12"/>
      <c r="AQ21" s="12"/>
      <c r="AR21" s="12"/>
      <c r="AS21" s="12">
        <v>65</v>
      </c>
      <c r="AT21" s="12" t="s">
        <v>676</v>
      </c>
      <c r="AU21" s="4" t="s">
        <v>674</v>
      </c>
      <c r="AV21" s="12">
        <f>50/1000</f>
        <v>0.05</v>
      </c>
      <c r="AW21" s="12"/>
      <c r="AX21" s="12"/>
      <c r="AY21" s="12"/>
      <c r="AZ21" s="12"/>
      <c r="BA21" s="12"/>
      <c r="BB21" s="12"/>
      <c r="BC21" s="12"/>
      <c r="BD21" s="12"/>
      <c r="BE21" s="12">
        <v>3</v>
      </c>
      <c r="BF21" s="12" t="s">
        <v>381</v>
      </c>
      <c r="BG21" s="12"/>
      <c r="BH21" s="12"/>
      <c r="BI21" s="12">
        <v>2</v>
      </c>
      <c r="BJ21" s="12"/>
      <c r="BK21" s="12"/>
      <c r="BL21" s="12" t="s">
        <v>381</v>
      </c>
      <c r="BM21" s="12"/>
      <c r="BN21" s="12"/>
      <c r="BO21" s="12"/>
    </row>
    <row r="22" spans="1:68">
      <c r="A22" s="4" t="s">
        <v>409</v>
      </c>
      <c r="B22" s="12"/>
      <c r="C22" s="4" t="s">
        <v>378</v>
      </c>
      <c r="D22" s="4" t="s">
        <v>81</v>
      </c>
      <c r="E22" s="12" t="s">
        <v>689</v>
      </c>
      <c r="F22" s="12">
        <v>4</v>
      </c>
      <c r="G22" s="12">
        <v>7</v>
      </c>
      <c r="H22" s="59">
        <v>40</v>
      </c>
      <c r="I22" s="28">
        <v>4</v>
      </c>
      <c r="J22" s="12" t="s">
        <v>676</v>
      </c>
      <c r="K22" s="4" t="s">
        <v>674</v>
      </c>
      <c r="L22" s="12">
        <v>2.6</v>
      </c>
      <c r="M22" s="12"/>
      <c r="N22" s="12"/>
      <c r="O22" s="12"/>
      <c r="P22" s="12"/>
      <c r="Q22" s="12"/>
      <c r="R22" s="12"/>
      <c r="S22" s="12"/>
      <c r="T22" s="12"/>
      <c r="U22" s="12"/>
      <c r="V22" s="12"/>
      <c r="W22" s="12"/>
      <c r="X22" s="12"/>
      <c r="Y22" s="12"/>
      <c r="Z22" s="12"/>
      <c r="AA22" s="12"/>
      <c r="AB22" s="12"/>
      <c r="AC22" s="12"/>
      <c r="AD22" s="12"/>
      <c r="AE22" s="12"/>
      <c r="AF22" s="12"/>
      <c r="AG22" s="59">
        <f t="shared" si="0"/>
        <v>80</v>
      </c>
      <c r="AH22" s="12" t="s">
        <v>676</v>
      </c>
      <c r="AI22" s="4" t="s">
        <v>674</v>
      </c>
      <c r="AJ22" s="12" t="s">
        <v>670</v>
      </c>
      <c r="AK22" s="12"/>
      <c r="AL22" s="12"/>
      <c r="AM22" s="12"/>
      <c r="AN22" s="12"/>
      <c r="AO22" s="12"/>
      <c r="AP22" s="12"/>
      <c r="AQ22" s="12"/>
      <c r="AR22" s="12"/>
      <c r="AS22" s="12"/>
      <c r="AT22" s="12"/>
      <c r="AU22" s="12"/>
      <c r="AV22" s="12"/>
      <c r="AW22" s="12"/>
      <c r="AX22" s="12"/>
      <c r="AY22" s="12"/>
      <c r="AZ22" s="12"/>
      <c r="BA22" s="12"/>
      <c r="BB22" s="12"/>
      <c r="BC22" s="12"/>
      <c r="BD22" s="12"/>
      <c r="BE22" s="12">
        <v>2</v>
      </c>
      <c r="BF22" s="12" t="s">
        <v>381</v>
      </c>
      <c r="BG22" s="12"/>
      <c r="BH22" s="12"/>
      <c r="BI22" s="12">
        <v>2</v>
      </c>
      <c r="BJ22" s="12"/>
      <c r="BK22" s="12"/>
      <c r="BL22" s="12" t="s">
        <v>381</v>
      </c>
      <c r="BM22" s="12"/>
      <c r="BN22" s="12"/>
      <c r="BO22" s="12"/>
    </row>
    <row r="23" spans="1:68">
      <c r="A23" s="4" t="s">
        <v>410</v>
      </c>
      <c r="B23" s="12"/>
      <c r="C23" s="4" t="s">
        <v>378</v>
      </c>
      <c r="D23" s="4" t="s">
        <v>85</v>
      </c>
      <c r="E23" s="12" t="s">
        <v>690</v>
      </c>
      <c r="F23" s="12">
        <v>8</v>
      </c>
      <c r="G23" s="12">
        <v>34</v>
      </c>
      <c r="H23" s="59">
        <v>135</v>
      </c>
      <c r="I23" s="28">
        <v>16</v>
      </c>
      <c r="J23" s="12" t="s">
        <v>676</v>
      </c>
      <c r="K23" s="4" t="s">
        <v>674</v>
      </c>
      <c r="L23" s="12">
        <v>2.6</v>
      </c>
      <c r="M23" s="12"/>
      <c r="N23" s="12"/>
      <c r="O23" s="12"/>
      <c r="P23" s="12"/>
      <c r="Q23" s="12"/>
      <c r="R23" s="12"/>
      <c r="S23" s="12"/>
      <c r="T23" s="12"/>
      <c r="U23" s="12"/>
      <c r="V23" s="12"/>
      <c r="W23" s="12"/>
      <c r="X23" s="12"/>
      <c r="Y23" s="12"/>
      <c r="Z23" s="12"/>
      <c r="AA23" s="12"/>
      <c r="AB23" s="12"/>
      <c r="AC23" s="12"/>
      <c r="AD23" s="12"/>
      <c r="AE23" s="12"/>
      <c r="AF23" s="12"/>
      <c r="AG23" s="59">
        <f t="shared" si="0"/>
        <v>270</v>
      </c>
      <c r="AH23" s="12" t="s">
        <v>676</v>
      </c>
      <c r="AI23" s="4" t="s">
        <v>674</v>
      </c>
      <c r="AJ23" s="12" t="s">
        <v>670</v>
      </c>
      <c r="AK23" s="12"/>
      <c r="AL23" s="12"/>
      <c r="AM23" s="12"/>
      <c r="AN23" s="12"/>
      <c r="AO23" s="12"/>
      <c r="AP23" s="12"/>
      <c r="AQ23" s="12"/>
      <c r="AR23" s="12"/>
      <c r="AS23" s="12"/>
      <c r="AT23" s="12"/>
      <c r="AU23" s="12"/>
      <c r="AV23" s="12"/>
      <c r="AW23" s="12"/>
      <c r="AX23" s="12"/>
      <c r="AY23" s="12"/>
      <c r="AZ23" s="12"/>
      <c r="BA23" s="12"/>
      <c r="BB23" s="12"/>
      <c r="BC23" s="12"/>
      <c r="BD23" s="12"/>
      <c r="BE23" s="12">
        <v>2</v>
      </c>
      <c r="BF23" s="12" t="s">
        <v>381</v>
      </c>
      <c r="BG23" s="12"/>
      <c r="BH23" s="12"/>
      <c r="BI23" s="12">
        <v>2</v>
      </c>
      <c r="BJ23" s="12"/>
      <c r="BK23" s="12"/>
      <c r="BL23" s="12" t="s">
        <v>381</v>
      </c>
      <c r="BM23" s="12"/>
      <c r="BN23" s="12"/>
      <c r="BO23" s="12"/>
    </row>
    <row r="24" spans="1:68">
      <c r="A24" s="4" t="s">
        <v>411</v>
      </c>
      <c r="B24" s="12"/>
      <c r="C24" s="4" t="s">
        <v>378</v>
      </c>
      <c r="D24" s="4" t="s">
        <v>85</v>
      </c>
      <c r="E24" s="12" t="s">
        <v>690</v>
      </c>
      <c r="F24" s="12">
        <v>8</v>
      </c>
      <c r="G24" s="12">
        <v>34</v>
      </c>
      <c r="H24" s="59">
        <v>135</v>
      </c>
      <c r="I24" s="28">
        <v>16</v>
      </c>
      <c r="J24" s="12" t="s">
        <v>676</v>
      </c>
      <c r="K24" s="4" t="s">
        <v>674</v>
      </c>
      <c r="L24" s="12">
        <v>2.6</v>
      </c>
      <c r="M24" s="12"/>
      <c r="N24" s="12"/>
      <c r="O24" s="12"/>
      <c r="P24" s="12"/>
      <c r="Q24" s="12"/>
      <c r="R24" s="12"/>
      <c r="S24" s="12"/>
      <c r="T24" s="12"/>
      <c r="U24" s="12"/>
      <c r="V24" s="12"/>
      <c r="W24" s="12"/>
      <c r="X24" s="12"/>
      <c r="Y24" s="12"/>
      <c r="Z24" s="12"/>
      <c r="AA24" s="12"/>
      <c r="AB24" s="12"/>
      <c r="AC24" s="12"/>
      <c r="AD24" s="12"/>
      <c r="AE24" s="12"/>
      <c r="AF24" s="12"/>
      <c r="AG24" s="59">
        <f t="shared" si="0"/>
        <v>270</v>
      </c>
      <c r="AH24" s="12" t="s">
        <v>676</v>
      </c>
      <c r="AI24" s="4" t="s">
        <v>674</v>
      </c>
      <c r="AJ24" s="12" t="s">
        <v>670</v>
      </c>
      <c r="AK24" s="12"/>
      <c r="AL24" s="12"/>
      <c r="AM24" s="12"/>
      <c r="AN24" s="12"/>
      <c r="AO24" s="12"/>
      <c r="AP24" s="12"/>
      <c r="AQ24" s="12"/>
      <c r="AR24" s="12"/>
      <c r="AS24" s="12"/>
      <c r="AT24" s="12"/>
      <c r="AU24" s="12"/>
      <c r="AV24" s="12"/>
      <c r="AW24" s="12"/>
      <c r="AX24" s="12"/>
      <c r="AY24" s="12"/>
      <c r="AZ24" s="12"/>
      <c r="BA24" s="12"/>
      <c r="BB24" s="12"/>
      <c r="BC24" s="12"/>
      <c r="BD24" s="12"/>
      <c r="BE24" s="12">
        <v>2</v>
      </c>
      <c r="BF24" s="12" t="s">
        <v>381</v>
      </c>
      <c r="BG24" s="12"/>
      <c r="BH24" s="12"/>
      <c r="BI24" s="12">
        <v>2</v>
      </c>
      <c r="BJ24" s="12"/>
      <c r="BK24" s="12"/>
      <c r="BL24" s="12" t="s">
        <v>381</v>
      </c>
      <c r="BM24" s="12"/>
      <c r="BN24" s="12"/>
      <c r="BO24" s="12"/>
    </row>
    <row r="25" spans="1:68">
      <c r="A25" s="4" t="s">
        <v>433</v>
      </c>
      <c r="B25" s="12"/>
      <c r="C25" s="19" t="s">
        <v>434</v>
      </c>
      <c r="D25" s="4" t="s">
        <v>89</v>
      </c>
      <c r="E25" s="12" t="s">
        <v>691</v>
      </c>
      <c r="F25" s="12">
        <v>4</v>
      </c>
      <c r="G25" s="12">
        <v>4</v>
      </c>
      <c r="H25" s="59">
        <v>100</v>
      </c>
      <c r="I25" s="28">
        <v>0</v>
      </c>
      <c r="J25" s="12" t="s">
        <v>673</v>
      </c>
      <c r="K25" s="4" t="s">
        <v>674</v>
      </c>
      <c r="L25" s="12">
        <v>100</v>
      </c>
      <c r="M25" s="12"/>
      <c r="N25" s="12"/>
      <c r="O25" s="12"/>
      <c r="P25" s="12"/>
      <c r="Q25" s="12"/>
      <c r="R25" s="12"/>
      <c r="S25" s="12"/>
      <c r="T25" s="12"/>
      <c r="U25" s="12"/>
      <c r="V25" s="12"/>
      <c r="W25" s="12"/>
      <c r="X25" s="12"/>
      <c r="Y25" s="12"/>
      <c r="Z25" s="12"/>
      <c r="AA25" s="12"/>
      <c r="AB25" s="12"/>
      <c r="AC25" s="12"/>
      <c r="AD25" s="12"/>
      <c r="AE25" s="12"/>
      <c r="AF25" s="12"/>
      <c r="AG25" s="59">
        <f t="shared" si="0"/>
        <v>200</v>
      </c>
      <c r="AH25" s="12" t="s">
        <v>676</v>
      </c>
      <c r="AI25" s="4" t="s">
        <v>674</v>
      </c>
      <c r="AJ25" s="12" t="s">
        <v>670</v>
      </c>
      <c r="AK25" s="12"/>
      <c r="AL25" s="12"/>
      <c r="AM25" s="12"/>
      <c r="AN25" s="12"/>
      <c r="AO25" s="12"/>
      <c r="AP25" s="12"/>
      <c r="AQ25" s="12"/>
      <c r="AR25" s="12"/>
      <c r="AS25" s="12"/>
      <c r="AT25" s="12"/>
      <c r="AU25" s="12"/>
      <c r="AV25" s="12"/>
      <c r="AW25" s="12"/>
      <c r="AX25" s="12"/>
      <c r="AY25" s="12"/>
      <c r="AZ25" s="12"/>
      <c r="BA25" s="12"/>
      <c r="BB25" s="12"/>
      <c r="BC25" s="12"/>
      <c r="BD25" s="12"/>
      <c r="BE25" s="12">
        <v>4</v>
      </c>
      <c r="BF25" s="12" t="s">
        <v>381</v>
      </c>
      <c r="BG25" s="12"/>
      <c r="BH25" s="12"/>
      <c r="BI25" s="12">
        <v>2</v>
      </c>
      <c r="BJ25" s="12"/>
      <c r="BK25" s="12"/>
      <c r="BL25" s="12" t="s">
        <v>381</v>
      </c>
      <c r="BM25" s="12"/>
      <c r="BN25" s="12"/>
      <c r="BO25" s="12"/>
    </row>
    <row r="26" spans="1:68">
      <c r="A26" s="4" t="s">
        <v>435</v>
      </c>
      <c r="B26" s="12"/>
      <c r="C26" s="19" t="s">
        <v>434</v>
      </c>
      <c r="D26" s="4" t="s">
        <v>97</v>
      </c>
      <c r="E26" s="12" t="s">
        <v>692</v>
      </c>
      <c r="F26" s="12">
        <v>4</v>
      </c>
      <c r="G26" s="12">
        <v>16</v>
      </c>
      <c r="H26" s="59">
        <v>100</v>
      </c>
      <c r="I26" s="28">
        <v>0</v>
      </c>
      <c r="J26" s="12" t="s">
        <v>673</v>
      </c>
      <c r="K26" s="4" t="s">
        <v>674</v>
      </c>
      <c r="L26" s="12">
        <v>110</v>
      </c>
      <c r="M26" s="12"/>
      <c r="N26" s="12"/>
      <c r="O26" s="12"/>
      <c r="P26" s="12"/>
      <c r="Q26" s="12"/>
      <c r="R26" s="12"/>
      <c r="S26" s="12"/>
      <c r="T26" s="12"/>
      <c r="U26" s="12"/>
      <c r="V26" s="12"/>
      <c r="W26" s="12"/>
      <c r="X26" s="12"/>
      <c r="Y26" s="12"/>
      <c r="Z26" s="12"/>
      <c r="AA26" s="12"/>
      <c r="AB26" s="12"/>
      <c r="AC26" s="12"/>
      <c r="AD26" s="12"/>
      <c r="AE26" s="12"/>
      <c r="AF26" s="12"/>
      <c r="AG26" s="59">
        <f t="shared" si="0"/>
        <v>200</v>
      </c>
      <c r="AH26" s="12" t="s">
        <v>676</v>
      </c>
      <c r="AI26" s="4" t="s">
        <v>674</v>
      </c>
      <c r="AJ26" s="12" t="s">
        <v>670</v>
      </c>
      <c r="AK26" s="12"/>
      <c r="AL26" s="12"/>
      <c r="AM26" s="12"/>
      <c r="AN26" s="12"/>
      <c r="AO26" s="12"/>
      <c r="AP26" s="12"/>
      <c r="AQ26" s="12"/>
      <c r="AR26" s="12"/>
      <c r="AS26" s="12"/>
      <c r="AT26" s="12"/>
      <c r="AU26" s="12"/>
      <c r="AV26" s="12"/>
      <c r="AW26" s="12"/>
      <c r="AX26" s="12"/>
      <c r="AY26" s="12"/>
      <c r="AZ26" s="12"/>
      <c r="BA26" s="12"/>
      <c r="BB26" s="12"/>
      <c r="BC26" s="12"/>
      <c r="BD26" s="12"/>
      <c r="BE26" s="12">
        <v>4</v>
      </c>
      <c r="BF26" s="12" t="s">
        <v>381</v>
      </c>
      <c r="BG26" s="12"/>
      <c r="BH26" s="12"/>
      <c r="BI26" s="12">
        <v>2</v>
      </c>
      <c r="BJ26" s="12"/>
      <c r="BK26" s="12"/>
      <c r="BL26" s="12" t="s">
        <v>381</v>
      </c>
      <c r="BM26" s="12"/>
      <c r="BN26" s="12"/>
      <c r="BO26" s="12"/>
    </row>
    <row r="27" spans="1:68">
      <c r="A27" s="4" t="s">
        <v>436</v>
      </c>
      <c r="B27" s="12"/>
      <c r="C27" s="19" t="s">
        <v>434</v>
      </c>
      <c r="D27" s="4" t="s">
        <v>93</v>
      </c>
      <c r="E27" s="12" t="s">
        <v>693</v>
      </c>
      <c r="F27" s="12">
        <v>4</v>
      </c>
      <c r="G27" s="12">
        <v>14</v>
      </c>
      <c r="H27" s="59">
        <v>120</v>
      </c>
      <c r="I27" s="28">
        <v>0</v>
      </c>
      <c r="J27" s="12" t="s">
        <v>673</v>
      </c>
      <c r="K27" s="4" t="s">
        <v>674</v>
      </c>
      <c r="L27" s="12">
        <v>100</v>
      </c>
      <c r="M27" s="12"/>
      <c r="N27" s="12"/>
      <c r="O27" s="12"/>
      <c r="P27" s="12"/>
      <c r="Q27" s="12"/>
      <c r="R27" s="12"/>
      <c r="S27" s="12"/>
      <c r="T27" s="12"/>
      <c r="U27" s="12"/>
      <c r="V27" s="12"/>
      <c r="W27" s="12"/>
      <c r="X27" s="12"/>
      <c r="Y27" s="12"/>
      <c r="Z27" s="12"/>
      <c r="AA27" s="12"/>
      <c r="AB27" s="12"/>
      <c r="AC27" s="12"/>
      <c r="AD27" s="12"/>
      <c r="AE27" s="12"/>
      <c r="AF27" s="12"/>
      <c r="AG27" s="59">
        <f t="shared" si="0"/>
        <v>240</v>
      </c>
      <c r="AH27" s="12" t="s">
        <v>676</v>
      </c>
      <c r="AI27" s="4" t="s">
        <v>674</v>
      </c>
      <c r="AJ27" s="12" t="s">
        <v>670</v>
      </c>
      <c r="AK27" s="12"/>
      <c r="AL27" s="12"/>
      <c r="AM27" s="12"/>
      <c r="AN27" s="12"/>
      <c r="AO27" s="12"/>
      <c r="AP27" s="12"/>
      <c r="AQ27" s="12"/>
      <c r="AR27" s="12"/>
      <c r="AS27" s="12"/>
      <c r="AT27" s="12"/>
      <c r="AU27" s="12"/>
      <c r="AV27" s="12"/>
      <c r="AW27" s="12"/>
      <c r="AX27" s="12"/>
      <c r="AY27" s="12"/>
      <c r="AZ27" s="12"/>
      <c r="BA27" s="12"/>
      <c r="BB27" s="12"/>
      <c r="BC27" s="12"/>
      <c r="BD27" s="12"/>
      <c r="BE27" s="12">
        <v>4</v>
      </c>
      <c r="BF27" s="12" t="s">
        <v>381</v>
      </c>
      <c r="BG27" s="12"/>
      <c r="BH27" s="12"/>
      <c r="BI27" s="12">
        <v>2</v>
      </c>
      <c r="BJ27" s="12"/>
      <c r="BK27" s="12"/>
      <c r="BL27" s="12" t="s">
        <v>381</v>
      </c>
      <c r="BM27" s="12"/>
      <c r="BN27" s="12"/>
      <c r="BO27" s="12"/>
    </row>
    <row r="28" spans="1:68">
      <c r="A28" s="4" t="s">
        <v>412</v>
      </c>
      <c r="B28" s="12"/>
      <c r="C28" s="4" t="s">
        <v>378</v>
      </c>
      <c r="D28" s="4" t="s">
        <v>100</v>
      </c>
      <c r="E28" s="12" t="s">
        <v>694</v>
      </c>
      <c r="F28" s="12">
        <v>6</v>
      </c>
      <c r="G28" s="12">
        <v>6</v>
      </c>
      <c r="H28" s="59">
        <v>45</v>
      </c>
      <c r="I28" s="28">
        <v>4</v>
      </c>
      <c r="J28" s="12" t="s">
        <v>676</v>
      </c>
      <c r="K28" s="4" t="s">
        <v>674</v>
      </c>
      <c r="L28" s="12">
        <v>2.6</v>
      </c>
      <c r="M28" s="12"/>
      <c r="N28" s="12"/>
      <c r="O28" s="12"/>
      <c r="P28" s="12"/>
      <c r="Q28" s="12"/>
      <c r="R28" s="12"/>
      <c r="S28" s="12"/>
      <c r="T28" s="12"/>
      <c r="U28" s="12"/>
      <c r="V28" s="12"/>
      <c r="W28" s="12"/>
      <c r="X28" s="12"/>
      <c r="Y28" s="12"/>
      <c r="Z28" s="12"/>
      <c r="AA28" s="12"/>
      <c r="AB28" s="12"/>
      <c r="AC28" s="12"/>
      <c r="AD28" s="12"/>
      <c r="AE28" s="12"/>
      <c r="AF28" s="12"/>
      <c r="AG28" s="59">
        <f>2*(H28+AK28)</f>
        <v>180</v>
      </c>
      <c r="AH28" s="12" t="s">
        <v>676</v>
      </c>
      <c r="AI28" s="4" t="s">
        <v>674</v>
      </c>
      <c r="AJ28" s="12" t="s">
        <v>670</v>
      </c>
      <c r="AK28" s="59">
        <v>45</v>
      </c>
      <c r="AL28" s="12" t="s">
        <v>676</v>
      </c>
      <c r="AM28" s="4" t="s">
        <v>674</v>
      </c>
      <c r="AN28" s="12">
        <f>50/1000</f>
        <v>0.05</v>
      </c>
      <c r="AO28" s="59"/>
      <c r="AP28" s="12"/>
      <c r="AR28" s="12"/>
      <c r="AS28" s="12"/>
      <c r="AT28" s="12"/>
      <c r="AU28" s="12"/>
      <c r="AV28" s="12"/>
      <c r="AW28" s="12"/>
      <c r="AX28" s="12"/>
      <c r="AY28" s="12"/>
      <c r="AZ28" s="12"/>
      <c r="BA28" s="12"/>
      <c r="BB28" s="12"/>
      <c r="BC28" s="12"/>
      <c r="BD28" s="12"/>
      <c r="BE28" s="12">
        <v>3</v>
      </c>
      <c r="BF28" s="12" t="s">
        <v>381</v>
      </c>
      <c r="BG28" s="12"/>
      <c r="BH28" s="12"/>
      <c r="BI28" s="12">
        <v>2</v>
      </c>
      <c r="BJ28" s="12"/>
      <c r="BK28" s="12"/>
      <c r="BL28" s="12" t="s">
        <v>381</v>
      </c>
      <c r="BM28" s="12"/>
      <c r="BN28" s="12"/>
      <c r="BO28" s="12"/>
    </row>
    <row r="29" spans="1:68">
      <c r="A29" s="4" t="s">
        <v>414</v>
      </c>
      <c r="B29" s="12"/>
      <c r="C29" s="4" t="s">
        <v>378</v>
      </c>
      <c r="D29" s="4" t="s">
        <v>100</v>
      </c>
      <c r="E29" s="12" t="s">
        <v>694</v>
      </c>
      <c r="F29" s="12">
        <v>6</v>
      </c>
      <c r="G29" s="12">
        <v>6</v>
      </c>
      <c r="H29" s="59">
        <v>45</v>
      </c>
      <c r="I29" s="28">
        <v>4</v>
      </c>
      <c r="J29" s="12" t="s">
        <v>676</v>
      </c>
      <c r="K29" s="4" t="s">
        <v>674</v>
      </c>
      <c r="L29" s="12">
        <v>2.6</v>
      </c>
      <c r="M29" s="12"/>
      <c r="N29" s="12"/>
      <c r="O29" s="12"/>
      <c r="P29" s="12"/>
      <c r="Q29" s="12"/>
      <c r="R29" s="12"/>
      <c r="S29" s="12"/>
      <c r="T29" s="12"/>
      <c r="U29" s="12"/>
      <c r="V29" s="12"/>
      <c r="W29" s="12"/>
      <c r="X29" s="12"/>
      <c r="Y29" s="12"/>
      <c r="Z29" s="12"/>
      <c r="AA29" s="12"/>
      <c r="AB29" s="12"/>
      <c r="AC29" s="12"/>
      <c r="AD29" s="12"/>
      <c r="AE29" s="12"/>
      <c r="AF29" s="12"/>
      <c r="AG29" s="59">
        <f>2*(H29+AK29)</f>
        <v>180</v>
      </c>
      <c r="AH29" s="12" t="s">
        <v>676</v>
      </c>
      <c r="AI29" s="4" t="s">
        <v>674</v>
      </c>
      <c r="AJ29" s="12" t="s">
        <v>670</v>
      </c>
      <c r="AK29" s="59">
        <v>45</v>
      </c>
      <c r="AL29" s="12" t="s">
        <v>676</v>
      </c>
      <c r="AM29" s="4" t="s">
        <v>674</v>
      </c>
      <c r="AN29" s="12">
        <f>50/1000</f>
        <v>0.05</v>
      </c>
      <c r="AO29" s="59"/>
      <c r="AP29" s="12"/>
      <c r="AR29" s="12"/>
      <c r="AS29" s="12"/>
      <c r="AT29" s="12"/>
      <c r="AU29" s="12"/>
      <c r="AV29" s="12"/>
      <c r="AW29" s="12"/>
      <c r="AX29" s="12"/>
      <c r="AY29" s="12"/>
      <c r="AZ29" s="12"/>
      <c r="BA29" s="12"/>
      <c r="BB29" s="12"/>
      <c r="BC29" s="12"/>
      <c r="BD29" s="12"/>
      <c r="BE29" s="12">
        <v>3</v>
      </c>
      <c r="BF29" s="12" t="s">
        <v>381</v>
      </c>
      <c r="BG29" s="12"/>
      <c r="BH29" s="12"/>
      <c r="BI29" s="12">
        <v>2</v>
      </c>
      <c r="BJ29" s="12"/>
      <c r="BK29" s="12"/>
      <c r="BL29" s="12" t="s">
        <v>381</v>
      </c>
      <c r="BM29" s="12"/>
      <c r="BN29" s="12"/>
      <c r="BO29" s="12"/>
    </row>
    <row r="30" spans="1:68">
      <c r="A30" s="4" t="s">
        <v>415</v>
      </c>
      <c r="B30" s="12"/>
      <c r="C30" s="4" t="s">
        <v>378</v>
      </c>
      <c r="D30" s="4" t="s">
        <v>416</v>
      </c>
      <c r="E30" s="12" t="s">
        <v>695</v>
      </c>
      <c r="F30" s="12">
        <v>3</v>
      </c>
      <c r="G30" s="12">
        <v>3</v>
      </c>
      <c r="H30" s="59">
        <v>40</v>
      </c>
      <c r="I30" s="28">
        <v>4</v>
      </c>
      <c r="J30" s="12" t="s">
        <v>676</v>
      </c>
      <c r="K30" s="4" t="s">
        <v>674</v>
      </c>
      <c r="L30" s="12">
        <v>2.6</v>
      </c>
      <c r="M30" s="12"/>
      <c r="N30" s="12"/>
      <c r="O30" s="12"/>
      <c r="P30" s="12"/>
      <c r="Q30" s="12"/>
      <c r="R30" s="12"/>
      <c r="S30" s="12"/>
      <c r="T30" s="12"/>
      <c r="U30" s="12"/>
      <c r="V30" s="12"/>
      <c r="W30" s="12"/>
      <c r="X30" s="12"/>
      <c r="Y30" s="12"/>
      <c r="Z30" s="12"/>
      <c r="AA30" s="12"/>
      <c r="AB30" s="12"/>
      <c r="AC30" s="12"/>
      <c r="AD30" s="12"/>
      <c r="AE30" s="12"/>
      <c r="AF30" s="12"/>
      <c r="AG30" s="59">
        <f t="shared" si="0"/>
        <v>80</v>
      </c>
      <c r="AH30" s="12" t="s">
        <v>676</v>
      </c>
      <c r="AI30" s="4" t="s">
        <v>674</v>
      </c>
      <c r="AJ30" s="71" t="s">
        <v>670</v>
      </c>
      <c r="AK30" s="12"/>
      <c r="AL30" s="12"/>
      <c r="AM30" s="12"/>
      <c r="AN30" s="12"/>
      <c r="AO30" s="12"/>
      <c r="AP30" s="12"/>
      <c r="AQ30" s="12"/>
      <c r="AR30" s="12"/>
      <c r="AS30" s="12"/>
      <c r="AT30" s="12"/>
      <c r="AU30" s="12"/>
      <c r="AV30" s="12"/>
      <c r="AW30" s="12"/>
      <c r="AX30" s="12"/>
      <c r="AY30" s="12"/>
      <c r="AZ30" s="12"/>
      <c r="BA30" s="12"/>
      <c r="BB30" s="12"/>
      <c r="BC30" s="12"/>
      <c r="BD30" s="12"/>
      <c r="BE30" s="12">
        <v>2</v>
      </c>
      <c r="BF30" s="12" t="s">
        <v>381</v>
      </c>
      <c r="BG30" s="12"/>
      <c r="BH30" s="12"/>
      <c r="BI30" s="12">
        <v>2</v>
      </c>
      <c r="BJ30" s="12"/>
      <c r="BK30" s="12"/>
      <c r="BL30" s="12" t="s">
        <v>381</v>
      </c>
      <c r="BM30" s="12"/>
      <c r="BN30" s="12"/>
      <c r="BO30" s="12"/>
    </row>
    <row r="31" spans="1:68">
      <c r="A31" s="4" t="s">
        <v>417</v>
      </c>
      <c r="B31" s="12"/>
      <c r="C31" s="4" t="s">
        <v>378</v>
      </c>
      <c r="D31" s="4" t="s">
        <v>418</v>
      </c>
      <c r="E31" s="12" t="s">
        <v>695</v>
      </c>
      <c r="F31" s="12">
        <v>3</v>
      </c>
      <c r="G31" s="12">
        <v>3</v>
      </c>
      <c r="H31" s="59">
        <v>40</v>
      </c>
      <c r="I31" s="28">
        <v>4</v>
      </c>
      <c r="J31" s="12" t="s">
        <v>676</v>
      </c>
      <c r="K31" s="4" t="s">
        <v>674</v>
      </c>
      <c r="L31" s="12">
        <v>2.6</v>
      </c>
      <c r="M31" s="12"/>
      <c r="N31" s="12"/>
      <c r="O31" s="12"/>
      <c r="P31" s="12"/>
      <c r="Q31" s="12"/>
      <c r="R31" s="12"/>
      <c r="S31" s="12"/>
      <c r="T31" s="12"/>
      <c r="U31" s="12"/>
      <c r="V31" s="12"/>
      <c r="W31" s="12"/>
      <c r="X31" s="12"/>
      <c r="Y31" s="12"/>
      <c r="Z31" s="12"/>
      <c r="AA31" s="12"/>
      <c r="AB31" s="12"/>
      <c r="AC31" s="12"/>
      <c r="AD31" s="12"/>
      <c r="AE31" s="12"/>
      <c r="AF31" s="12"/>
      <c r="AG31" s="59">
        <f t="shared" ref="AG31" si="1">2*H31</f>
        <v>80</v>
      </c>
      <c r="AH31" s="12" t="s">
        <v>676</v>
      </c>
      <c r="AI31" s="4" t="s">
        <v>674</v>
      </c>
      <c r="AJ31" s="12" t="s">
        <v>670</v>
      </c>
      <c r="AK31" s="12"/>
      <c r="AL31" s="12"/>
      <c r="AM31" s="12"/>
      <c r="AN31" s="12"/>
      <c r="AO31" s="12"/>
      <c r="AP31" s="12"/>
      <c r="AQ31" s="12"/>
      <c r="AR31" s="12"/>
      <c r="AS31" s="12"/>
      <c r="AT31" s="12"/>
      <c r="AU31" s="12"/>
      <c r="AV31" s="12"/>
      <c r="AW31" s="12"/>
      <c r="AX31" s="12"/>
      <c r="AY31" s="12"/>
      <c r="AZ31" s="12"/>
      <c r="BA31" s="12"/>
      <c r="BB31" s="12"/>
      <c r="BC31" s="12"/>
      <c r="BD31" s="12"/>
      <c r="BE31" s="12">
        <v>2</v>
      </c>
      <c r="BF31" s="12" t="s">
        <v>381</v>
      </c>
      <c r="BG31" s="12"/>
      <c r="BH31" s="12"/>
      <c r="BI31" s="12">
        <v>2</v>
      </c>
      <c r="BJ31" s="12"/>
      <c r="BK31" s="12"/>
      <c r="BL31" s="12" t="s">
        <v>381</v>
      </c>
      <c r="BM31" s="12"/>
      <c r="BN31" s="12"/>
      <c r="BO31" s="12"/>
    </row>
    <row r="32" spans="1:68" ht="14.5">
      <c r="A32" s="4" t="s">
        <v>419</v>
      </c>
      <c r="C32" s="4" t="s">
        <v>378</v>
      </c>
      <c r="D32" s="4" t="s">
        <v>420</v>
      </c>
      <c r="E32" s="15" t="s">
        <v>696</v>
      </c>
      <c r="F32" s="12">
        <v>2</v>
      </c>
      <c r="G32" s="12">
        <v>4</v>
      </c>
      <c r="H32" s="59">
        <v>65</v>
      </c>
      <c r="I32" s="28">
        <v>4</v>
      </c>
      <c r="J32" s="12" t="s">
        <v>676</v>
      </c>
      <c r="K32" s="4" t="s">
        <v>674</v>
      </c>
      <c r="L32" s="12">
        <v>2.6</v>
      </c>
      <c r="M32" s="12"/>
      <c r="N32" s="12"/>
      <c r="O32" s="12"/>
      <c r="P32" s="12"/>
      <c r="Q32" s="1"/>
      <c r="R32" s="1"/>
      <c r="S32" s="1"/>
      <c r="T32" s="1"/>
      <c r="U32" s="12"/>
      <c r="V32" s="12"/>
      <c r="W32" s="12"/>
      <c r="X32" s="12"/>
      <c r="Y32" s="12"/>
      <c r="Z32" s="12"/>
      <c r="AA32" s="12"/>
      <c r="AB32" s="12"/>
      <c r="AC32" s="12"/>
      <c r="AD32" s="12"/>
      <c r="AE32" s="12"/>
      <c r="AF32" s="12"/>
      <c r="AG32" s="59">
        <f>2*H32</f>
        <v>130</v>
      </c>
      <c r="AH32" s="12" t="s">
        <v>676</v>
      </c>
      <c r="AI32" s="17" t="s">
        <v>674</v>
      </c>
      <c r="AJ32" s="15" t="s">
        <v>670</v>
      </c>
      <c r="AK32" s="17"/>
      <c r="AL32" s="17"/>
      <c r="AM32" s="17"/>
      <c r="AN32" s="17"/>
      <c r="AO32" s="17"/>
      <c r="AP32" s="17"/>
      <c r="AQ32" s="17"/>
      <c r="AR32" s="17"/>
      <c r="AS32" s="17"/>
      <c r="AT32" s="17"/>
      <c r="AU32" s="17"/>
      <c r="AV32" s="17"/>
      <c r="AW32" s="15">
        <v>150</v>
      </c>
      <c r="AX32" s="12" t="s">
        <v>676</v>
      </c>
      <c r="AY32" s="12" t="s">
        <v>674</v>
      </c>
      <c r="AZ32" s="12">
        <f>50/1000</f>
        <v>0.05</v>
      </c>
      <c r="BA32" s="17"/>
      <c r="BB32" s="17"/>
      <c r="BC32" s="17"/>
      <c r="BD32" s="17"/>
      <c r="BE32" s="15">
        <v>2</v>
      </c>
      <c r="BF32" s="15" t="s">
        <v>381</v>
      </c>
      <c r="BG32" s="15"/>
      <c r="BH32" s="15"/>
      <c r="BI32" s="15">
        <v>2</v>
      </c>
      <c r="BJ32" s="15"/>
      <c r="BK32" s="15" t="s">
        <v>381</v>
      </c>
      <c r="BL32" s="15" t="s">
        <v>381</v>
      </c>
      <c r="BM32" s="15"/>
      <c r="BN32" s="15"/>
      <c r="BO32" s="15"/>
      <c r="BP32" s="17"/>
    </row>
    <row r="33" spans="1:68" s="18" customFormat="1">
      <c r="E33" s="16"/>
      <c r="F33" s="16">
        <f>SUM(F8:F32)</f>
        <v>107</v>
      </c>
      <c r="G33" s="16">
        <f>SUM(G8:G32)</f>
        <v>249</v>
      </c>
      <c r="H33" s="16">
        <f>SUM(H8:H32)</f>
        <v>1895</v>
      </c>
      <c r="I33" s="30"/>
      <c r="J33" s="16"/>
      <c r="K33" s="16"/>
      <c r="L33" s="16">
        <f>SUM(L8:L32)</f>
        <v>372.60000000000014</v>
      </c>
      <c r="M33" s="16">
        <f>SUM(M8:M32)</f>
        <v>59.4</v>
      </c>
      <c r="N33" s="60"/>
      <c r="O33" s="60"/>
      <c r="P33" s="16">
        <f>SUM(P8:P32)</f>
        <v>0.05</v>
      </c>
      <c r="Q33" s="16">
        <f>SUM(Q8:Q32)</f>
        <v>675</v>
      </c>
      <c r="R33" s="60"/>
      <c r="S33" s="60"/>
      <c r="T33" s="16">
        <f>SUM(T8:T32)</f>
        <v>0.05</v>
      </c>
      <c r="U33" s="16">
        <f>SUM(U8:U32)</f>
        <v>1012.5</v>
      </c>
      <c r="V33" s="60"/>
      <c r="W33" s="60"/>
      <c r="X33" s="16">
        <f>SUM(X8:X32)</f>
        <v>0.05</v>
      </c>
      <c r="Y33" s="16">
        <f>SUM(Y8:Y32)</f>
        <v>312</v>
      </c>
      <c r="Z33" s="60"/>
      <c r="AA33" s="60"/>
      <c r="AB33" s="16">
        <f>SUM(AB8:AB32)</f>
        <v>0.1</v>
      </c>
      <c r="AC33" s="16">
        <f>SUM(AC8:AC32)</f>
        <v>270</v>
      </c>
      <c r="AD33" s="60"/>
      <c r="AE33" s="60"/>
      <c r="AF33" s="16">
        <f>SUM(AF8:AF32)</f>
        <v>0</v>
      </c>
      <c r="AG33" s="16">
        <f>SUM(AG8:AG32)</f>
        <v>6865</v>
      </c>
      <c r="AH33" s="60"/>
      <c r="AI33" s="60"/>
      <c r="AJ33" s="60"/>
      <c r="AK33" s="16">
        <f>SUM(AK8:AK32)</f>
        <v>90</v>
      </c>
      <c r="AL33" s="16"/>
      <c r="AM33" s="16"/>
      <c r="AN33" s="16">
        <f>SUM(AN8:AN32)</f>
        <v>0.1</v>
      </c>
      <c r="AO33" s="16">
        <f>SUM(AO8:AO32)</f>
        <v>50</v>
      </c>
      <c r="AP33" s="16"/>
      <c r="AQ33" s="16"/>
      <c r="AR33" s="16">
        <f>SUM(AR8:AR32)</f>
        <v>0.05</v>
      </c>
      <c r="AS33" s="16">
        <f>SUM(AS8:AS32)</f>
        <v>65</v>
      </c>
      <c r="AT33" s="16"/>
      <c r="AU33" s="16"/>
      <c r="AV33" s="16">
        <f>SUM(AV8:AV32)</f>
        <v>0.05</v>
      </c>
      <c r="AW33" s="16">
        <f>SUM(AW8:AW32)</f>
        <v>150</v>
      </c>
      <c r="AX33" s="16"/>
      <c r="AY33" s="16"/>
      <c r="AZ33" s="16">
        <f>SUM(AZ8:AZ32)</f>
        <v>0.05</v>
      </c>
      <c r="BA33" s="16">
        <f>SUM(BA8:BA32)</f>
        <v>2048</v>
      </c>
      <c r="BB33" s="16"/>
      <c r="BC33" s="16"/>
      <c r="BD33" s="16">
        <f>SUM(BD8:BD32)</f>
        <v>0.05</v>
      </c>
      <c r="BE33" s="16">
        <f>SUM(BE8:BE32)</f>
        <v>65</v>
      </c>
      <c r="BF33" s="16">
        <f>COUNTIF(BF8:BF32,"x")</f>
        <v>24</v>
      </c>
      <c r="BG33" s="16">
        <f>COUNTIF(BG8:BG32,"x")</f>
        <v>2</v>
      </c>
      <c r="BH33" s="16">
        <f>COUNTIF(BH8:BH32,"x")</f>
        <v>1</v>
      </c>
      <c r="BI33" s="12">
        <f>SUM(BI8:BI32)</f>
        <v>50</v>
      </c>
      <c r="BJ33" s="16">
        <f>COUNTIF(BJ8:BJ32,"x")</f>
        <v>1</v>
      </c>
      <c r="BK33" s="16">
        <f>COUNTIF(BK8:BK32,"x")</f>
        <v>1</v>
      </c>
      <c r="BL33" s="16">
        <f>COUNTIF(BL8:BL32,"x")</f>
        <v>24</v>
      </c>
      <c r="BM33" s="16" t="s">
        <v>697</v>
      </c>
      <c r="BN33" s="16">
        <v>2</v>
      </c>
      <c r="BO33" s="16">
        <v>4</v>
      </c>
      <c r="BP33" s="16">
        <v>2</v>
      </c>
    </row>
    <row r="34" spans="1:68" ht="13">
      <c r="A34" s="181" t="s">
        <v>423</v>
      </c>
      <c r="B34" s="182"/>
      <c r="F34" s="12"/>
      <c r="G34" s="12"/>
      <c r="H34" s="12"/>
      <c r="I34" s="28"/>
      <c r="J34" s="12"/>
      <c r="K34" s="12"/>
      <c r="L34" s="12"/>
      <c r="M34" s="12"/>
      <c r="N34" s="59"/>
      <c r="O34" s="59"/>
      <c r="P34" s="12"/>
      <c r="Q34" s="12"/>
      <c r="R34" s="59"/>
      <c r="S34" s="59"/>
      <c r="T34" s="12"/>
      <c r="U34" s="12"/>
      <c r="V34" s="59"/>
      <c r="W34" s="59"/>
      <c r="X34" s="12"/>
      <c r="Y34" s="12"/>
      <c r="Z34" s="59"/>
      <c r="AA34" s="59"/>
      <c r="AB34" s="12"/>
      <c r="AC34" s="12"/>
      <c r="AD34" s="59"/>
      <c r="AE34" s="59"/>
      <c r="AF34" s="12"/>
      <c r="AG34" s="12"/>
      <c r="AH34" s="59"/>
      <c r="AI34" s="59"/>
      <c r="AJ34" s="59"/>
      <c r="AK34" s="12"/>
      <c r="AL34" s="12"/>
      <c r="AM34" s="12"/>
      <c r="AN34" s="12"/>
      <c r="AO34" s="12"/>
      <c r="AP34" s="12"/>
      <c r="AQ34" s="12"/>
      <c r="AR34" s="12"/>
      <c r="AS34" s="12"/>
      <c r="AT34" s="12"/>
      <c r="AU34" s="12"/>
      <c r="AV34" s="12"/>
      <c r="AW34" s="12"/>
      <c r="AX34" s="12"/>
      <c r="AY34" s="12"/>
      <c r="AZ34" s="12"/>
      <c r="BA34" s="12"/>
      <c r="BB34" s="12"/>
      <c r="BC34" s="12"/>
      <c r="BD34" s="12"/>
      <c r="BE34" s="12"/>
      <c r="BF34" s="12"/>
      <c r="BG34" s="12"/>
      <c r="BH34" s="12"/>
      <c r="BI34" s="12"/>
      <c r="BJ34" s="12"/>
      <c r="BK34" s="12"/>
      <c r="BL34" s="12"/>
      <c r="BM34" s="12"/>
      <c r="BN34" s="12"/>
      <c r="BO34" s="12"/>
      <c r="BP34" s="12"/>
    </row>
    <row r="35" spans="1:68" ht="13">
      <c r="A35" s="14" t="s">
        <v>698</v>
      </c>
      <c r="F35" s="12"/>
      <c r="G35" s="12"/>
      <c r="H35" s="12"/>
      <c r="I35" s="28"/>
      <c r="J35" s="12"/>
      <c r="K35" s="12"/>
      <c r="L35" s="12"/>
      <c r="M35" s="12"/>
      <c r="N35" s="59"/>
      <c r="O35" s="59"/>
      <c r="P35" s="12"/>
      <c r="Q35" s="12"/>
      <c r="R35" s="59"/>
      <c r="S35" s="59"/>
      <c r="T35" s="12"/>
      <c r="U35" s="12"/>
      <c r="V35" s="59"/>
      <c r="W35" s="59"/>
      <c r="X35" s="12"/>
      <c r="Y35" s="12"/>
      <c r="Z35" s="59"/>
      <c r="AA35" s="59"/>
      <c r="AB35" s="12"/>
      <c r="AC35" s="12"/>
      <c r="AD35" s="59"/>
      <c r="AE35" s="59"/>
      <c r="AF35" s="12"/>
      <c r="AG35" s="12"/>
      <c r="AH35" s="59"/>
      <c r="AI35" s="59"/>
      <c r="AJ35" s="59"/>
      <c r="AK35" s="12"/>
      <c r="AL35" s="12"/>
      <c r="AM35" s="12"/>
      <c r="AN35" s="12"/>
      <c r="AO35" s="12"/>
      <c r="AP35" s="12"/>
      <c r="AQ35" s="12"/>
      <c r="AR35" s="12"/>
      <c r="AS35" s="12"/>
      <c r="AT35" s="12"/>
      <c r="AU35" s="12"/>
      <c r="AV35" s="12"/>
      <c r="AW35" s="12"/>
      <c r="AX35" s="12"/>
      <c r="AY35" s="12"/>
      <c r="AZ35" s="12"/>
      <c r="BA35" s="12"/>
      <c r="BB35" s="12"/>
      <c r="BC35" s="12"/>
      <c r="BD35" s="12"/>
      <c r="BE35" s="12"/>
      <c r="BF35" s="12"/>
      <c r="BG35" s="12"/>
      <c r="BH35" s="12"/>
      <c r="BI35" s="12"/>
      <c r="BJ35" s="12"/>
      <c r="BK35" s="12"/>
      <c r="BL35" s="12"/>
      <c r="BM35" s="12"/>
      <c r="BN35" s="12"/>
      <c r="BO35" s="12"/>
      <c r="BP35" s="12"/>
    </row>
    <row r="36" spans="1:68" s="17" customFormat="1" ht="14.5">
      <c r="A36" s="17" t="s">
        <v>419</v>
      </c>
      <c r="C36" s="17" t="s">
        <v>378</v>
      </c>
      <c r="D36" s="17" t="s">
        <v>699</v>
      </c>
      <c r="E36" s="15" t="s">
        <v>696</v>
      </c>
      <c r="F36" s="15">
        <v>7</v>
      </c>
      <c r="G36" s="15">
        <v>16</v>
      </c>
      <c r="H36" s="65">
        <v>28</v>
      </c>
      <c r="I36" s="76">
        <v>16</v>
      </c>
      <c r="J36" s="15" t="s">
        <v>676</v>
      </c>
      <c r="K36" s="17" t="s">
        <v>674</v>
      </c>
      <c r="L36" s="15" t="s">
        <v>670</v>
      </c>
      <c r="M36" s="15"/>
      <c r="N36" s="15"/>
      <c r="O36" s="15"/>
      <c r="P36" s="15"/>
      <c r="Q36" s="96"/>
      <c r="R36" s="96"/>
      <c r="S36" s="96"/>
      <c r="T36" s="96"/>
      <c r="U36" s="15"/>
      <c r="V36" s="15"/>
      <c r="W36" s="15"/>
      <c r="X36" s="15"/>
      <c r="Y36" s="15">
        <v>120</v>
      </c>
      <c r="Z36" s="15" t="s">
        <v>676</v>
      </c>
      <c r="AA36" s="17" t="s">
        <v>674</v>
      </c>
      <c r="AB36" s="15" t="s">
        <v>670</v>
      </c>
      <c r="AC36" s="15"/>
      <c r="AD36" s="15"/>
      <c r="AE36" s="15"/>
      <c r="AF36" s="15"/>
      <c r="AG36" s="65">
        <f>2*H36 +200 +120</f>
        <v>376</v>
      </c>
      <c r="AH36" s="15" t="s">
        <v>676</v>
      </c>
      <c r="AI36" s="17" t="s">
        <v>674</v>
      </c>
      <c r="AJ36" s="15" t="s">
        <v>670</v>
      </c>
      <c r="AW36" s="15"/>
      <c r="AX36" s="15"/>
      <c r="AY36" s="15"/>
      <c r="AZ36" s="15"/>
      <c r="BE36" s="15"/>
      <c r="BF36" s="15"/>
      <c r="BG36" s="15"/>
      <c r="BH36" s="15"/>
      <c r="BI36" s="15"/>
      <c r="BJ36" s="15"/>
      <c r="BK36" s="15"/>
      <c r="BL36" s="15"/>
      <c r="BM36" s="15"/>
      <c r="BN36" s="15"/>
      <c r="BO36" s="15"/>
    </row>
    <row r="37" spans="1:68">
      <c r="F37" s="16">
        <f>SUM(F36:F36)+F33</f>
        <v>114</v>
      </c>
      <c r="G37" s="16">
        <f>SUM(G36:G36)+G33</f>
        <v>265</v>
      </c>
      <c r="H37" s="16">
        <f>SUM(H36:H36)+H33</f>
        <v>1923</v>
      </c>
      <c r="I37" s="16"/>
      <c r="J37" s="12"/>
      <c r="K37" s="12"/>
      <c r="L37" s="16">
        <f>SUM(L36:L36)+L33</f>
        <v>372.60000000000014</v>
      </c>
      <c r="M37" s="16">
        <f>SUM(M36:M36)+M33</f>
        <v>59.4</v>
      </c>
      <c r="N37" s="59"/>
      <c r="O37" s="59"/>
      <c r="P37" s="16">
        <f>SUM(P36:P36)+P33</f>
        <v>0.05</v>
      </c>
      <c r="Q37" s="16">
        <f>SUM(Q36:Q36)+Q33</f>
        <v>675</v>
      </c>
      <c r="R37" s="59"/>
      <c r="S37" s="59"/>
      <c r="T37" s="16">
        <f>SUM(T36:T36)+T33</f>
        <v>0.05</v>
      </c>
      <c r="U37" s="16">
        <f>SUM(U36:U36)+U33</f>
        <v>1012.5</v>
      </c>
      <c r="V37" s="59"/>
      <c r="W37" s="59"/>
      <c r="X37" s="16">
        <f>SUM(X36:X36)+X33</f>
        <v>0.05</v>
      </c>
      <c r="Y37" s="16">
        <f>SUM(Y36:Y36)+Y33</f>
        <v>432</v>
      </c>
      <c r="Z37" s="59"/>
      <c r="AA37" s="59"/>
      <c r="AB37" s="16">
        <f>SUM(AB36:AB36)+AB33</f>
        <v>0.1</v>
      </c>
      <c r="AC37" s="16">
        <f>SUM(AC36:AC36)+AC33</f>
        <v>270</v>
      </c>
      <c r="AD37" s="59"/>
      <c r="AE37" s="59"/>
      <c r="AF37" s="16">
        <f>SUM(AF36:AF36)+AF33</f>
        <v>0</v>
      </c>
      <c r="AG37" s="16">
        <f>SUM(AG36:AG36)+AG33</f>
        <v>7241</v>
      </c>
      <c r="AH37" s="59"/>
      <c r="AI37" s="59"/>
      <c r="AJ37" s="59"/>
      <c r="AK37" s="16">
        <f>SUM(AK36:AK36)+AK33</f>
        <v>90</v>
      </c>
      <c r="AL37" s="12"/>
      <c r="AM37" s="12"/>
      <c r="AN37" s="16">
        <f>SUM(AN36:AN36)+AN33</f>
        <v>0.1</v>
      </c>
      <c r="AO37" s="16">
        <f>SUM(AO36:AO36)+AO33</f>
        <v>50</v>
      </c>
      <c r="AP37" s="12"/>
      <c r="AQ37" s="12"/>
      <c r="AR37" s="16">
        <f>SUM(AR36:AR36)+AR33</f>
        <v>0.05</v>
      </c>
      <c r="AS37" s="16">
        <f>SUM(AS36:AS36)+AS33</f>
        <v>65</v>
      </c>
      <c r="AT37" s="16"/>
      <c r="AU37" s="12"/>
      <c r="AV37" s="16">
        <f>SUM(AV36:AV36)+AV33</f>
        <v>0.05</v>
      </c>
      <c r="AW37" s="16">
        <f>SUM(AW36:AW36)+AW33</f>
        <v>150</v>
      </c>
      <c r="AX37" s="12"/>
      <c r="AY37" s="12"/>
      <c r="AZ37" s="12"/>
      <c r="BA37" s="16">
        <f>SUM(BA36:BA36)+BA33</f>
        <v>2048</v>
      </c>
      <c r="BB37" s="12"/>
      <c r="BC37" s="12"/>
      <c r="BD37" s="16">
        <f>SUM(BD36:BD36)+BD33</f>
        <v>0.05</v>
      </c>
      <c r="BE37" s="16">
        <f>SUM(BE36:BE36)+BE33</f>
        <v>65</v>
      </c>
      <c r="BF37" s="16">
        <f>BF33+COUNTIF(BF36:BF36,"x")</f>
        <v>24</v>
      </c>
      <c r="BG37" s="16">
        <f>BG33+COUNTIF(BG36:BG36,"x")</f>
        <v>2</v>
      </c>
      <c r="BH37" s="16">
        <f>BH33+COUNTIF(BH36:BH36,"x")</f>
        <v>1</v>
      </c>
      <c r="BI37" s="16">
        <f>SUM(BI36:BI36)+BI33</f>
        <v>50</v>
      </c>
      <c r="BJ37" s="16">
        <f>BJ33+COUNTIF(BJ36:BJ36,"x")</f>
        <v>1</v>
      </c>
      <c r="BK37" s="16">
        <f>BK33+COUNTIF(BK36:BK36,"x")</f>
        <v>1</v>
      </c>
      <c r="BL37" s="16">
        <f>BL33+COUNTIF(BL36:BL36,"x")</f>
        <v>24</v>
      </c>
      <c r="BM37" s="16" t="s">
        <v>697</v>
      </c>
      <c r="BN37" s="12">
        <v>2</v>
      </c>
      <c r="BO37" s="12">
        <v>4</v>
      </c>
      <c r="BP37" s="12">
        <v>2</v>
      </c>
    </row>
    <row r="38" spans="1:68">
      <c r="I38" s="31"/>
    </row>
    <row r="39" spans="1:68" ht="13">
      <c r="A39" s="14" t="s">
        <v>700</v>
      </c>
      <c r="I39" s="31"/>
    </row>
    <row r="40" spans="1:68">
      <c r="I40" s="31"/>
      <c r="M40" s="31"/>
      <c r="N40" s="31"/>
      <c r="O40" s="31"/>
      <c r="P40" s="31"/>
    </row>
    <row r="41" spans="1:68">
      <c r="A41" s="4" t="s">
        <v>431</v>
      </c>
      <c r="C41" s="4" t="s">
        <v>378</v>
      </c>
      <c r="D41" s="4" t="s">
        <v>21</v>
      </c>
      <c r="E41" s="12" t="s">
        <v>701</v>
      </c>
      <c r="F41" s="12">
        <v>4</v>
      </c>
      <c r="G41" s="12">
        <v>16</v>
      </c>
      <c r="H41" s="59">
        <v>70</v>
      </c>
      <c r="I41" s="28">
        <v>16</v>
      </c>
      <c r="J41" s="12" t="s">
        <v>676</v>
      </c>
      <c r="K41" s="4" t="s">
        <v>674</v>
      </c>
      <c r="L41" s="12">
        <v>2.6</v>
      </c>
      <c r="M41" s="12"/>
      <c r="N41" s="12"/>
      <c r="O41" s="12"/>
      <c r="P41" s="12"/>
      <c r="Q41" s="12"/>
      <c r="R41" s="12"/>
      <c r="S41" s="12"/>
      <c r="T41" s="12"/>
      <c r="U41" s="12"/>
      <c r="V41" s="12"/>
      <c r="W41" s="12"/>
      <c r="X41" s="12"/>
      <c r="Y41" s="12"/>
      <c r="Z41" s="12"/>
      <c r="AA41" s="12"/>
      <c r="AB41" s="12"/>
      <c r="AC41" s="12"/>
      <c r="AD41" s="12"/>
      <c r="AE41" s="12"/>
      <c r="AF41" s="12"/>
      <c r="AG41" s="59">
        <f t="shared" ref="AG41:AG56" si="2">2*H41</f>
        <v>140</v>
      </c>
      <c r="AH41" s="12" t="s">
        <v>676</v>
      </c>
      <c r="AI41" s="4" t="s">
        <v>674</v>
      </c>
      <c r="AJ41" s="12" t="s">
        <v>670</v>
      </c>
      <c r="BE41" s="12">
        <v>2</v>
      </c>
      <c r="BF41" s="12" t="s">
        <v>381</v>
      </c>
      <c r="BG41" s="12"/>
      <c r="BH41" s="12"/>
      <c r="BI41" s="12">
        <v>2</v>
      </c>
      <c r="BJ41" s="12"/>
      <c r="BK41" s="12" t="s">
        <v>381</v>
      </c>
      <c r="BL41" s="12" t="s">
        <v>381</v>
      </c>
      <c r="BM41" s="12"/>
      <c r="BN41" s="12"/>
      <c r="BO41" s="12"/>
    </row>
    <row r="42" spans="1:68">
      <c r="A42" s="4" t="s">
        <v>481</v>
      </c>
      <c r="C42" s="4" t="s">
        <v>434</v>
      </c>
      <c r="D42" s="4" t="s">
        <v>89</v>
      </c>
      <c r="E42" s="12" t="s">
        <v>691</v>
      </c>
      <c r="F42" s="12">
        <v>4</v>
      </c>
      <c r="G42" s="12">
        <v>4</v>
      </c>
      <c r="H42" s="59">
        <v>100</v>
      </c>
      <c r="I42" s="28">
        <v>0</v>
      </c>
      <c r="J42" s="12" t="s">
        <v>673</v>
      </c>
      <c r="K42" s="4" t="s">
        <v>674</v>
      </c>
      <c r="L42" s="12">
        <v>100</v>
      </c>
      <c r="M42" s="12"/>
      <c r="N42" s="12"/>
      <c r="O42" s="12"/>
      <c r="P42" s="12"/>
      <c r="Q42" s="12"/>
      <c r="R42" s="12"/>
      <c r="S42" s="12"/>
      <c r="T42" s="12"/>
      <c r="U42" s="12"/>
      <c r="V42" s="12"/>
      <c r="W42" s="12"/>
      <c r="X42" s="12"/>
      <c r="Y42" s="12"/>
      <c r="Z42" s="12"/>
      <c r="AA42" s="12"/>
      <c r="AB42" s="12"/>
      <c r="AC42" s="12"/>
      <c r="AD42" s="12"/>
      <c r="AE42" s="12"/>
      <c r="AF42" s="12"/>
      <c r="AG42" s="59">
        <f t="shared" si="2"/>
        <v>200</v>
      </c>
      <c r="AH42" s="12" t="s">
        <v>676</v>
      </c>
      <c r="AI42" s="4" t="s">
        <v>674</v>
      </c>
      <c r="AJ42" s="12" t="s">
        <v>670</v>
      </c>
      <c r="BE42" s="12">
        <v>4</v>
      </c>
      <c r="BF42" s="12" t="s">
        <v>381</v>
      </c>
      <c r="BG42" s="12"/>
      <c r="BH42" s="12"/>
      <c r="BI42" s="12">
        <v>2</v>
      </c>
      <c r="BJ42" s="12"/>
      <c r="BK42" s="12" t="s">
        <v>381</v>
      </c>
      <c r="BL42" s="12" t="s">
        <v>381</v>
      </c>
      <c r="BM42" s="12"/>
      <c r="BN42" s="12"/>
      <c r="BO42" s="12"/>
    </row>
    <row r="43" spans="1:68">
      <c r="A43" s="4" t="s">
        <v>437</v>
      </c>
      <c r="C43" s="19" t="s">
        <v>434</v>
      </c>
      <c r="D43" s="4" t="s">
        <v>97</v>
      </c>
      <c r="E43" s="12" t="s">
        <v>692</v>
      </c>
      <c r="F43" s="12">
        <v>4</v>
      </c>
      <c r="G43" s="12">
        <v>16</v>
      </c>
      <c r="H43" s="59">
        <v>100</v>
      </c>
      <c r="I43" s="28">
        <v>0</v>
      </c>
      <c r="J43" s="12" t="s">
        <v>673</v>
      </c>
      <c r="K43" s="4" t="s">
        <v>674</v>
      </c>
      <c r="L43" s="12">
        <v>110</v>
      </c>
      <c r="M43" s="12"/>
      <c r="N43" s="12"/>
      <c r="O43" s="12"/>
      <c r="P43" s="12"/>
      <c r="Q43" s="12"/>
      <c r="R43" s="12"/>
      <c r="S43" s="12"/>
      <c r="T43" s="12"/>
      <c r="U43" s="12"/>
      <c r="V43" s="12"/>
      <c r="W43" s="12"/>
      <c r="X43" s="12"/>
      <c r="Y43" s="12"/>
      <c r="Z43" s="12"/>
      <c r="AA43" s="12"/>
      <c r="AB43" s="12"/>
      <c r="AC43" s="12"/>
      <c r="AD43" s="12"/>
      <c r="AE43" s="12"/>
      <c r="AF43" s="12"/>
      <c r="AG43" s="59">
        <f t="shared" si="2"/>
        <v>200</v>
      </c>
      <c r="AH43" s="12" t="s">
        <v>676</v>
      </c>
      <c r="AI43" s="4" t="s">
        <v>674</v>
      </c>
      <c r="AJ43" s="12" t="s">
        <v>670</v>
      </c>
      <c r="BE43" s="12">
        <v>4</v>
      </c>
      <c r="BF43" s="12" t="s">
        <v>381</v>
      </c>
      <c r="BG43" s="12"/>
      <c r="BH43" s="12"/>
      <c r="BI43" s="12">
        <v>2</v>
      </c>
      <c r="BJ43" s="12"/>
      <c r="BK43" s="12" t="s">
        <v>381</v>
      </c>
      <c r="BL43" s="12" t="s">
        <v>381</v>
      </c>
      <c r="BM43" s="12"/>
      <c r="BN43" s="12"/>
      <c r="BO43" s="12"/>
    </row>
    <row r="44" spans="1:68">
      <c r="A44" s="4" t="s">
        <v>482</v>
      </c>
      <c r="C44" s="19" t="s">
        <v>434</v>
      </c>
      <c r="D44" s="4" t="s">
        <v>97</v>
      </c>
      <c r="E44" s="12" t="s">
        <v>692</v>
      </c>
      <c r="F44" s="12">
        <v>4</v>
      </c>
      <c r="G44" s="12">
        <v>16</v>
      </c>
      <c r="H44" s="59">
        <v>100</v>
      </c>
      <c r="I44" s="28">
        <v>0</v>
      </c>
      <c r="J44" s="12" t="s">
        <v>673</v>
      </c>
      <c r="K44" s="4" t="s">
        <v>674</v>
      </c>
      <c r="L44" s="12">
        <v>110</v>
      </c>
      <c r="M44" s="12"/>
      <c r="N44" s="12"/>
      <c r="O44" s="12"/>
      <c r="P44" s="12"/>
      <c r="Q44" s="12"/>
      <c r="R44" s="12"/>
      <c r="S44" s="12"/>
      <c r="T44" s="12"/>
      <c r="U44" s="12"/>
      <c r="V44" s="12"/>
      <c r="W44" s="12"/>
      <c r="X44" s="12"/>
      <c r="Y44" s="12"/>
      <c r="Z44" s="12"/>
      <c r="AA44" s="12"/>
      <c r="AB44" s="12"/>
      <c r="AC44" s="12"/>
      <c r="AD44" s="12"/>
      <c r="AE44" s="12"/>
      <c r="AF44" s="12"/>
      <c r="AG44" s="59">
        <f t="shared" si="2"/>
        <v>200</v>
      </c>
      <c r="AH44" s="12" t="s">
        <v>676</v>
      </c>
      <c r="AI44" s="4" t="s">
        <v>674</v>
      </c>
      <c r="AJ44" s="12" t="s">
        <v>670</v>
      </c>
      <c r="BE44" s="12">
        <v>4</v>
      </c>
      <c r="BF44" s="12" t="s">
        <v>381</v>
      </c>
      <c r="BG44" s="12"/>
      <c r="BH44" s="12"/>
      <c r="BI44" s="12">
        <v>2</v>
      </c>
      <c r="BJ44" s="12"/>
      <c r="BK44" s="12" t="s">
        <v>381</v>
      </c>
      <c r="BL44" s="12" t="s">
        <v>381</v>
      </c>
      <c r="BM44" s="12"/>
      <c r="BN44" s="12"/>
      <c r="BO44" s="12"/>
    </row>
    <row r="45" spans="1:68">
      <c r="A45" s="4" t="s">
        <v>483</v>
      </c>
      <c r="C45" s="19" t="s">
        <v>434</v>
      </c>
      <c r="D45" s="4" t="s">
        <v>93</v>
      </c>
      <c r="E45" s="12" t="s">
        <v>693</v>
      </c>
      <c r="F45" s="12">
        <v>4</v>
      </c>
      <c r="G45" s="12">
        <v>14</v>
      </c>
      <c r="H45" s="59">
        <v>120</v>
      </c>
      <c r="I45" s="28">
        <v>0</v>
      </c>
      <c r="J45" s="12" t="s">
        <v>673</v>
      </c>
      <c r="K45" s="4" t="s">
        <v>674</v>
      </c>
      <c r="L45" s="12">
        <v>100</v>
      </c>
      <c r="M45" s="12"/>
      <c r="N45" s="12"/>
      <c r="O45" s="12"/>
      <c r="P45" s="12"/>
      <c r="Q45" s="12"/>
      <c r="R45" s="12"/>
      <c r="S45" s="12"/>
      <c r="T45" s="12"/>
      <c r="U45" s="12"/>
      <c r="V45" s="12"/>
      <c r="W45" s="12"/>
      <c r="X45" s="12"/>
      <c r="Y45" s="12"/>
      <c r="Z45" s="12"/>
      <c r="AA45" s="12"/>
      <c r="AB45" s="12"/>
      <c r="AC45" s="12"/>
      <c r="AD45" s="12"/>
      <c r="AE45" s="12"/>
      <c r="AF45" s="12"/>
      <c r="AG45" s="59">
        <f t="shared" si="2"/>
        <v>240</v>
      </c>
      <c r="AH45" s="12" t="s">
        <v>676</v>
      </c>
      <c r="AI45" s="4" t="s">
        <v>674</v>
      </c>
      <c r="AJ45" s="12" t="s">
        <v>670</v>
      </c>
      <c r="BE45" s="12">
        <v>4</v>
      </c>
      <c r="BF45" s="12" t="s">
        <v>381</v>
      </c>
      <c r="BG45" s="12"/>
      <c r="BH45" s="12"/>
      <c r="BI45" s="12">
        <v>2</v>
      </c>
      <c r="BJ45" s="12"/>
      <c r="BK45" s="12" t="s">
        <v>381</v>
      </c>
      <c r="BL45" s="12" t="s">
        <v>381</v>
      </c>
      <c r="BM45" s="12"/>
      <c r="BN45" s="12"/>
      <c r="BO45" s="12"/>
    </row>
    <row r="46" spans="1:68">
      <c r="A46" s="4" t="s">
        <v>438</v>
      </c>
      <c r="C46" s="4" t="s">
        <v>378</v>
      </c>
      <c r="D46" s="4" t="s">
        <v>32</v>
      </c>
      <c r="E46" s="12" t="s">
        <v>702</v>
      </c>
      <c r="F46" s="12">
        <v>3</v>
      </c>
      <c r="G46" s="12">
        <v>8</v>
      </c>
      <c r="H46" s="59">
        <v>120</v>
      </c>
      <c r="I46" s="28">
        <v>4</v>
      </c>
      <c r="J46" s="12" t="s">
        <v>676</v>
      </c>
      <c r="K46" s="4" t="s">
        <v>674</v>
      </c>
      <c r="L46" s="12">
        <v>2.6</v>
      </c>
      <c r="M46" s="12"/>
      <c r="N46" s="12"/>
      <c r="O46" s="12"/>
      <c r="P46" s="12"/>
      <c r="Q46" s="12"/>
      <c r="R46" s="12"/>
      <c r="S46" s="12"/>
      <c r="T46" s="12"/>
      <c r="U46" s="12"/>
      <c r="V46" s="12"/>
      <c r="W46" s="12"/>
      <c r="X46" s="12"/>
      <c r="Y46" s="12"/>
      <c r="Z46" s="12"/>
      <c r="AA46" s="12"/>
      <c r="AB46" s="12"/>
      <c r="AC46" s="12"/>
      <c r="AD46" s="12"/>
      <c r="AE46" s="12"/>
      <c r="AF46" s="12"/>
      <c r="AG46" s="59">
        <f t="shared" si="2"/>
        <v>240</v>
      </c>
      <c r="AH46" s="12" t="s">
        <v>676</v>
      </c>
      <c r="AI46" s="4" t="s">
        <v>674</v>
      </c>
      <c r="AJ46" s="12" t="s">
        <v>670</v>
      </c>
      <c r="BE46" s="12">
        <v>2</v>
      </c>
      <c r="BF46" s="12" t="s">
        <v>381</v>
      </c>
      <c r="BG46" s="12"/>
      <c r="BH46" s="12"/>
      <c r="BI46" s="12">
        <v>2</v>
      </c>
      <c r="BJ46" s="12"/>
      <c r="BK46" s="12" t="s">
        <v>381</v>
      </c>
      <c r="BL46" s="12" t="s">
        <v>381</v>
      </c>
      <c r="BM46" s="12"/>
      <c r="BN46" s="12"/>
      <c r="BO46" s="12"/>
    </row>
    <row r="47" spans="1:68">
      <c r="A47" s="4" t="s">
        <v>439</v>
      </c>
      <c r="C47" s="4" t="s">
        <v>378</v>
      </c>
      <c r="D47" s="4" t="s">
        <v>32</v>
      </c>
      <c r="E47" s="12" t="s">
        <v>702</v>
      </c>
      <c r="F47" s="12">
        <v>3</v>
      </c>
      <c r="G47" s="12">
        <v>8</v>
      </c>
      <c r="H47" s="59">
        <v>120</v>
      </c>
      <c r="I47" s="28">
        <v>4</v>
      </c>
      <c r="J47" s="12" t="s">
        <v>676</v>
      </c>
      <c r="K47" s="4" t="s">
        <v>674</v>
      </c>
      <c r="L47" s="12">
        <v>2.6</v>
      </c>
      <c r="M47" s="12"/>
      <c r="N47" s="12"/>
      <c r="O47" s="12"/>
      <c r="P47" s="12"/>
      <c r="Q47" s="12"/>
      <c r="R47" s="12"/>
      <c r="S47" s="12"/>
      <c r="T47" s="12"/>
      <c r="U47" s="12"/>
      <c r="V47" s="12"/>
      <c r="W47" s="12"/>
      <c r="X47" s="12"/>
      <c r="Y47" s="12"/>
      <c r="Z47" s="12"/>
      <c r="AA47" s="12"/>
      <c r="AB47" s="12"/>
      <c r="AC47" s="12"/>
      <c r="AD47" s="12"/>
      <c r="AE47" s="12"/>
      <c r="AF47" s="12"/>
      <c r="AG47" s="59">
        <f t="shared" si="2"/>
        <v>240</v>
      </c>
      <c r="AH47" s="12" t="s">
        <v>676</v>
      </c>
      <c r="AI47" s="4" t="s">
        <v>674</v>
      </c>
      <c r="AJ47" s="12" t="s">
        <v>670</v>
      </c>
      <c r="BE47" s="12">
        <v>2</v>
      </c>
      <c r="BF47" s="12" t="s">
        <v>381</v>
      </c>
      <c r="BG47" s="12"/>
      <c r="BH47" s="12"/>
      <c r="BI47" s="12">
        <v>2</v>
      </c>
      <c r="BJ47" s="12"/>
      <c r="BK47" s="12" t="s">
        <v>381</v>
      </c>
      <c r="BL47" s="12" t="s">
        <v>381</v>
      </c>
      <c r="BM47" s="12"/>
      <c r="BN47" s="12"/>
      <c r="BO47" s="12"/>
    </row>
    <row r="48" spans="1:68">
      <c r="A48" s="4" t="s">
        <v>440</v>
      </c>
      <c r="C48" s="4" t="s">
        <v>378</v>
      </c>
      <c r="D48" s="4" t="s">
        <v>48</v>
      </c>
      <c r="E48" s="12" t="s">
        <v>703</v>
      </c>
      <c r="F48" s="12">
        <v>4</v>
      </c>
      <c r="G48" s="12">
        <v>4</v>
      </c>
      <c r="H48" s="59">
        <v>40</v>
      </c>
      <c r="I48" s="28">
        <v>4</v>
      </c>
      <c r="J48" s="12" t="s">
        <v>676</v>
      </c>
      <c r="K48" s="4" t="s">
        <v>674</v>
      </c>
      <c r="L48" s="12">
        <v>2.6</v>
      </c>
      <c r="M48" s="12"/>
      <c r="N48" s="12"/>
      <c r="O48" s="12"/>
      <c r="P48" s="12"/>
      <c r="Q48" s="12"/>
      <c r="R48" s="12"/>
      <c r="S48" s="12"/>
      <c r="T48" s="12"/>
      <c r="U48" s="12"/>
      <c r="V48" s="12"/>
      <c r="W48" s="12"/>
      <c r="X48" s="12"/>
      <c r="Y48" s="12"/>
      <c r="Z48" s="12"/>
      <c r="AA48" s="12"/>
      <c r="AB48" s="12"/>
      <c r="AC48" s="12"/>
      <c r="AD48" s="12"/>
      <c r="AE48" s="12"/>
      <c r="AF48" s="12"/>
      <c r="AG48" s="59">
        <f t="shared" si="2"/>
        <v>80</v>
      </c>
      <c r="AH48" s="12" t="s">
        <v>676</v>
      </c>
      <c r="AI48" s="4" t="s">
        <v>674</v>
      </c>
      <c r="AJ48" s="12" t="s">
        <v>670</v>
      </c>
      <c r="BE48" s="12">
        <v>2</v>
      </c>
      <c r="BF48" s="12" t="s">
        <v>381</v>
      </c>
      <c r="BG48" s="12"/>
      <c r="BH48" s="12"/>
      <c r="BI48" s="12">
        <v>2</v>
      </c>
      <c r="BJ48" s="12"/>
      <c r="BK48" s="12" t="s">
        <v>381</v>
      </c>
      <c r="BL48" s="12" t="s">
        <v>381</v>
      </c>
      <c r="BM48" s="12"/>
      <c r="BN48" s="12"/>
      <c r="BO48" s="12"/>
    </row>
    <row r="49" spans="1:68">
      <c r="A49" s="4" t="s">
        <v>441</v>
      </c>
      <c r="C49" s="4" t="s">
        <v>378</v>
      </c>
      <c r="D49" s="4" t="s">
        <v>40</v>
      </c>
      <c r="E49" s="12" t="s">
        <v>703</v>
      </c>
      <c r="F49" s="12">
        <v>4</v>
      </c>
      <c r="G49" s="12">
        <v>4</v>
      </c>
      <c r="H49" s="59">
        <v>30</v>
      </c>
      <c r="I49" s="28">
        <v>4</v>
      </c>
      <c r="J49" s="12" t="s">
        <v>676</v>
      </c>
      <c r="K49" s="4" t="s">
        <v>674</v>
      </c>
      <c r="L49" s="12">
        <v>2.6</v>
      </c>
      <c r="M49" s="12"/>
      <c r="N49" s="12"/>
      <c r="O49" s="12"/>
      <c r="P49" s="12"/>
      <c r="Q49" s="12"/>
      <c r="R49" s="12"/>
      <c r="S49" s="12"/>
      <c r="T49" s="12"/>
      <c r="U49" s="12"/>
      <c r="V49" s="12"/>
      <c r="W49" s="12"/>
      <c r="X49" s="12"/>
      <c r="Y49" s="12"/>
      <c r="Z49" s="12"/>
      <c r="AA49" s="12"/>
      <c r="AB49" s="12"/>
      <c r="AC49" s="12"/>
      <c r="AD49" s="12"/>
      <c r="AE49" s="12"/>
      <c r="AF49" s="12"/>
      <c r="AG49" s="59">
        <f t="shared" si="2"/>
        <v>60</v>
      </c>
      <c r="AH49" s="12" t="s">
        <v>676</v>
      </c>
      <c r="AI49" s="4" t="s">
        <v>674</v>
      </c>
      <c r="AJ49" s="12" t="s">
        <v>670</v>
      </c>
      <c r="BE49" s="12">
        <v>2</v>
      </c>
      <c r="BF49" s="12" t="s">
        <v>381</v>
      </c>
      <c r="BG49" s="12"/>
      <c r="BH49" s="12"/>
      <c r="BI49" s="12">
        <v>2</v>
      </c>
      <c r="BJ49" s="12"/>
      <c r="BK49" s="12" t="s">
        <v>381</v>
      </c>
      <c r="BL49" s="12" t="s">
        <v>381</v>
      </c>
      <c r="BM49" s="12"/>
      <c r="BN49" s="12"/>
      <c r="BO49" s="12"/>
    </row>
    <row r="50" spans="1:68">
      <c r="A50" s="4" t="s">
        <v>442</v>
      </c>
      <c r="C50" s="4" t="s">
        <v>378</v>
      </c>
      <c r="D50" s="4" t="s">
        <v>44</v>
      </c>
      <c r="E50" s="12" t="s">
        <v>703</v>
      </c>
      <c r="F50" s="12">
        <v>4</v>
      </c>
      <c r="G50" s="12">
        <v>4</v>
      </c>
      <c r="H50" s="59">
        <v>35</v>
      </c>
      <c r="I50" s="28">
        <v>4</v>
      </c>
      <c r="J50" s="12" t="s">
        <v>676</v>
      </c>
      <c r="K50" s="4" t="s">
        <v>674</v>
      </c>
      <c r="L50" s="12">
        <v>2.6</v>
      </c>
      <c r="M50" s="12"/>
      <c r="N50" s="12"/>
      <c r="O50" s="12"/>
      <c r="P50" s="12"/>
      <c r="Q50" s="12"/>
      <c r="R50" s="12"/>
      <c r="S50" s="12"/>
      <c r="T50" s="12"/>
      <c r="U50" s="12"/>
      <c r="V50" s="12"/>
      <c r="W50" s="12"/>
      <c r="X50" s="12"/>
      <c r="Y50" s="12"/>
      <c r="Z50" s="12"/>
      <c r="AA50" s="12"/>
      <c r="AB50" s="12"/>
      <c r="AC50" s="12"/>
      <c r="AD50" s="12"/>
      <c r="AE50" s="12"/>
      <c r="AF50" s="12"/>
      <c r="AG50" s="59">
        <f t="shared" si="2"/>
        <v>70</v>
      </c>
      <c r="AH50" s="12" t="s">
        <v>676</v>
      </c>
      <c r="AI50" s="4" t="s">
        <v>674</v>
      </c>
      <c r="AJ50" s="12" t="s">
        <v>670</v>
      </c>
      <c r="BE50" s="12">
        <v>2</v>
      </c>
      <c r="BF50" s="12" t="s">
        <v>381</v>
      </c>
      <c r="BG50" s="12"/>
      <c r="BH50" s="12"/>
      <c r="BI50" s="12">
        <v>2</v>
      </c>
      <c r="BJ50" s="12"/>
      <c r="BK50" s="12" t="s">
        <v>381</v>
      </c>
      <c r="BL50" s="12" t="s">
        <v>381</v>
      </c>
      <c r="BM50" s="12"/>
      <c r="BN50" s="12"/>
      <c r="BO50" s="12"/>
    </row>
    <row r="51" spans="1:68" ht="14.5">
      <c r="A51" s="4" t="s">
        <v>443</v>
      </c>
      <c r="C51" s="4" t="s">
        <v>378</v>
      </c>
      <c r="D51" s="4" t="s">
        <v>247</v>
      </c>
      <c r="E51" s="12" t="s">
        <v>704</v>
      </c>
      <c r="F51" s="12">
        <v>5</v>
      </c>
      <c r="G51" s="12">
        <v>6</v>
      </c>
      <c r="H51" s="59">
        <v>110</v>
      </c>
      <c r="I51" s="28">
        <v>4</v>
      </c>
      <c r="J51" s="12" t="s">
        <v>676</v>
      </c>
      <c r="K51" s="4" t="s">
        <v>674</v>
      </c>
      <c r="L51" s="12">
        <v>2.6</v>
      </c>
      <c r="M51" s="12"/>
      <c r="N51" s="12"/>
      <c r="O51" s="12"/>
      <c r="P51" s="12"/>
      <c r="Q51" s="1"/>
      <c r="R51" s="1"/>
      <c r="S51" s="1"/>
      <c r="T51" s="1"/>
      <c r="U51" s="12"/>
      <c r="V51" s="12"/>
      <c r="W51" s="12"/>
      <c r="X51" s="12"/>
      <c r="Y51" s="12"/>
      <c r="Z51" s="12"/>
      <c r="AA51" s="12"/>
      <c r="AB51" s="12"/>
      <c r="AC51" s="12"/>
      <c r="AD51" s="12"/>
      <c r="AE51" s="12"/>
      <c r="AF51" s="12"/>
      <c r="AG51" s="59">
        <f t="shared" si="2"/>
        <v>220</v>
      </c>
      <c r="AH51" s="12" t="s">
        <v>676</v>
      </c>
      <c r="AI51" s="4" t="s">
        <v>674</v>
      </c>
      <c r="AJ51" s="12" t="s">
        <v>670</v>
      </c>
      <c r="BE51" s="12">
        <v>2</v>
      </c>
      <c r="BF51" s="12" t="s">
        <v>381</v>
      </c>
      <c r="BG51" s="12" t="s">
        <v>381</v>
      </c>
      <c r="BH51" s="12"/>
      <c r="BI51" s="12">
        <v>2</v>
      </c>
      <c r="BJ51" s="12"/>
      <c r="BK51" s="12" t="s">
        <v>381</v>
      </c>
      <c r="BL51" s="12" t="s">
        <v>381</v>
      </c>
      <c r="BM51" s="12"/>
      <c r="BN51" s="12"/>
      <c r="BO51" s="12"/>
    </row>
    <row r="52" spans="1:68" ht="14.5">
      <c r="A52" s="4" t="s">
        <v>484</v>
      </c>
      <c r="C52" s="4" t="s">
        <v>378</v>
      </c>
      <c r="D52" s="4" t="s">
        <v>67</v>
      </c>
      <c r="E52" s="12" t="s">
        <v>705</v>
      </c>
      <c r="F52" s="12">
        <v>2</v>
      </c>
      <c r="G52" s="12">
        <v>2</v>
      </c>
      <c r="H52" s="59">
        <v>15</v>
      </c>
      <c r="I52" s="28">
        <v>4</v>
      </c>
      <c r="J52" s="12" t="s">
        <v>676</v>
      </c>
      <c r="K52" s="4" t="s">
        <v>674</v>
      </c>
      <c r="L52" s="12">
        <v>2.6</v>
      </c>
      <c r="M52" s="12"/>
      <c r="N52" s="12"/>
      <c r="O52" s="12"/>
      <c r="P52" s="12"/>
      <c r="Q52" s="1"/>
      <c r="R52" s="1"/>
      <c r="S52" s="1"/>
      <c r="T52" s="1"/>
      <c r="U52" s="12"/>
      <c r="V52" s="12"/>
      <c r="W52" s="12"/>
      <c r="X52" s="12"/>
      <c r="Y52" s="12"/>
      <c r="Z52" s="12"/>
      <c r="AA52" s="12"/>
      <c r="AB52" s="12"/>
      <c r="AC52" s="12"/>
      <c r="AD52" s="12"/>
      <c r="AE52" s="12"/>
      <c r="AF52" s="12"/>
      <c r="AG52" s="59">
        <f t="shared" si="2"/>
        <v>30</v>
      </c>
      <c r="AH52" s="12" t="s">
        <v>676</v>
      </c>
      <c r="AI52" s="4" t="s">
        <v>674</v>
      </c>
      <c r="AJ52" s="12" t="s">
        <v>670</v>
      </c>
      <c r="BE52" s="12">
        <v>2</v>
      </c>
      <c r="BF52" s="12" t="s">
        <v>381</v>
      </c>
      <c r="BG52" s="12"/>
      <c r="BH52" s="12"/>
      <c r="BI52" s="12">
        <v>2</v>
      </c>
      <c r="BJ52" s="12"/>
      <c r="BK52" s="12" t="s">
        <v>381</v>
      </c>
      <c r="BL52" s="12" t="s">
        <v>381</v>
      </c>
      <c r="BM52" s="12"/>
      <c r="BN52" s="12"/>
      <c r="BO52" s="12"/>
    </row>
    <row r="53" spans="1:68" ht="14.5">
      <c r="A53" s="4" t="s">
        <v>485</v>
      </c>
      <c r="C53" s="4" t="s">
        <v>378</v>
      </c>
      <c r="D53" s="4" t="s">
        <v>67</v>
      </c>
      <c r="E53" s="12" t="s">
        <v>705</v>
      </c>
      <c r="F53" s="12">
        <v>2</v>
      </c>
      <c r="G53" s="12">
        <v>2</v>
      </c>
      <c r="H53" s="59">
        <v>15</v>
      </c>
      <c r="I53" s="28">
        <v>4</v>
      </c>
      <c r="J53" s="12" t="s">
        <v>676</v>
      </c>
      <c r="K53" s="4" t="s">
        <v>674</v>
      </c>
      <c r="L53" s="12">
        <v>2.6</v>
      </c>
      <c r="M53" s="12"/>
      <c r="N53" s="12"/>
      <c r="O53" s="12"/>
      <c r="P53" s="12"/>
      <c r="Q53" s="1"/>
      <c r="R53" s="1"/>
      <c r="S53" s="1"/>
      <c r="T53" s="1"/>
      <c r="U53" s="12"/>
      <c r="V53" s="12"/>
      <c r="W53" s="12"/>
      <c r="X53" s="12"/>
      <c r="Y53" s="12"/>
      <c r="Z53" s="12"/>
      <c r="AA53" s="12"/>
      <c r="AB53" s="12"/>
      <c r="AC53" s="12"/>
      <c r="AD53" s="12"/>
      <c r="AE53" s="12"/>
      <c r="AF53" s="12"/>
      <c r="AG53" s="59">
        <f t="shared" si="2"/>
        <v>30</v>
      </c>
      <c r="AH53" s="12" t="s">
        <v>676</v>
      </c>
      <c r="AI53" s="4" t="s">
        <v>674</v>
      </c>
      <c r="AJ53" s="12" t="s">
        <v>670</v>
      </c>
      <c r="BE53" s="12">
        <v>2</v>
      </c>
      <c r="BF53" s="12" t="s">
        <v>381</v>
      </c>
      <c r="BG53" s="12"/>
      <c r="BH53" s="12"/>
      <c r="BI53" s="12">
        <v>2</v>
      </c>
      <c r="BJ53" s="12"/>
      <c r="BK53" s="12" t="s">
        <v>381</v>
      </c>
      <c r="BL53" s="12" t="s">
        <v>381</v>
      </c>
      <c r="BM53" s="12"/>
      <c r="BN53" s="12"/>
      <c r="BO53" s="12"/>
    </row>
    <row r="54" spans="1:68" ht="14.5">
      <c r="A54" s="4" t="s">
        <v>486</v>
      </c>
      <c r="C54" s="4" t="s">
        <v>378</v>
      </c>
      <c r="D54" s="4" t="s">
        <v>71</v>
      </c>
      <c r="E54" s="12" t="s">
        <v>706</v>
      </c>
      <c r="F54" s="12">
        <v>6</v>
      </c>
      <c r="G54" s="12">
        <v>5</v>
      </c>
      <c r="H54" s="59">
        <v>40</v>
      </c>
      <c r="I54" s="28">
        <v>4</v>
      </c>
      <c r="J54" s="12" t="s">
        <v>676</v>
      </c>
      <c r="K54" s="4" t="s">
        <v>674</v>
      </c>
      <c r="L54" s="12">
        <v>2.6</v>
      </c>
      <c r="M54" s="12"/>
      <c r="N54" s="12"/>
      <c r="O54" s="12"/>
      <c r="P54" s="12"/>
      <c r="Q54" s="1"/>
      <c r="R54" s="1"/>
      <c r="S54" s="1"/>
      <c r="T54" s="1"/>
      <c r="U54" s="12"/>
      <c r="V54" s="12"/>
      <c r="W54" s="12"/>
      <c r="X54" s="12"/>
      <c r="Y54" s="12"/>
      <c r="Z54" s="12"/>
      <c r="AA54" s="12"/>
      <c r="AB54" s="12"/>
      <c r="AC54" s="12"/>
      <c r="AD54" s="12"/>
      <c r="AE54" s="12"/>
      <c r="AF54" s="12"/>
      <c r="AG54" s="59">
        <f t="shared" si="2"/>
        <v>80</v>
      </c>
      <c r="AH54" s="12" t="s">
        <v>676</v>
      </c>
      <c r="AI54" s="4" t="s">
        <v>674</v>
      </c>
      <c r="AJ54" s="12" t="s">
        <v>670</v>
      </c>
      <c r="BE54" s="12">
        <v>2</v>
      </c>
      <c r="BF54" s="12" t="s">
        <v>381</v>
      </c>
      <c r="BG54" s="12"/>
      <c r="BH54" s="12"/>
      <c r="BI54" s="12">
        <v>2</v>
      </c>
      <c r="BJ54" s="12"/>
      <c r="BK54" s="12" t="s">
        <v>381</v>
      </c>
      <c r="BL54" s="12" t="s">
        <v>381</v>
      </c>
      <c r="BM54" s="12"/>
      <c r="BN54" s="12"/>
      <c r="BO54" s="12"/>
    </row>
    <row r="55" spans="1:68" ht="14.5">
      <c r="A55" s="4" t="s">
        <v>487</v>
      </c>
      <c r="C55" s="4" t="s">
        <v>378</v>
      </c>
      <c r="D55" s="4" t="s">
        <v>75</v>
      </c>
      <c r="E55" s="12" t="s">
        <v>707</v>
      </c>
      <c r="F55" s="12">
        <v>2</v>
      </c>
      <c r="G55" s="12">
        <v>2</v>
      </c>
      <c r="H55" s="59">
        <v>30</v>
      </c>
      <c r="I55" s="28">
        <v>4</v>
      </c>
      <c r="J55" s="12" t="s">
        <v>676</v>
      </c>
      <c r="K55" s="4" t="s">
        <v>674</v>
      </c>
      <c r="L55" s="12">
        <v>2.6</v>
      </c>
      <c r="M55" s="12"/>
      <c r="N55" s="12"/>
      <c r="O55" s="12"/>
      <c r="P55" s="12"/>
      <c r="Q55" s="1"/>
      <c r="R55" s="1"/>
      <c r="S55" s="1"/>
      <c r="T55" s="1"/>
      <c r="U55" s="12"/>
      <c r="V55" s="12"/>
      <c r="W55" s="12"/>
      <c r="X55" s="12"/>
      <c r="Y55" s="12"/>
      <c r="Z55" s="12"/>
      <c r="AA55" s="12"/>
      <c r="AB55" s="12"/>
      <c r="AC55" s="12"/>
      <c r="AD55" s="12"/>
      <c r="AE55" s="12"/>
      <c r="AF55" s="12"/>
      <c r="AG55" s="59">
        <f t="shared" si="2"/>
        <v>60</v>
      </c>
      <c r="AH55" s="12" t="s">
        <v>676</v>
      </c>
      <c r="AI55" s="4" t="s">
        <v>674</v>
      </c>
      <c r="AJ55" s="12" t="s">
        <v>670</v>
      </c>
      <c r="BE55" s="12">
        <v>2</v>
      </c>
      <c r="BF55" s="12" t="s">
        <v>381</v>
      </c>
      <c r="BG55" s="12"/>
      <c r="BH55" s="12"/>
      <c r="BI55" s="12">
        <v>2</v>
      </c>
      <c r="BJ55" s="12"/>
      <c r="BK55" s="12" t="s">
        <v>381</v>
      </c>
      <c r="BL55" s="12" t="s">
        <v>381</v>
      </c>
      <c r="BM55" s="12"/>
      <c r="BN55" s="12"/>
      <c r="BO55" s="12"/>
    </row>
    <row r="56" spans="1:68" s="17" customFormat="1" ht="14.5">
      <c r="A56" s="17" t="s">
        <v>490</v>
      </c>
      <c r="C56" s="17" t="s">
        <v>378</v>
      </c>
      <c r="D56" s="17" t="s">
        <v>99</v>
      </c>
      <c r="E56" s="15" t="s">
        <v>708</v>
      </c>
      <c r="F56" s="15">
        <v>2</v>
      </c>
      <c r="G56" s="15">
        <v>10</v>
      </c>
      <c r="H56" s="65">
        <v>60</v>
      </c>
      <c r="I56" s="76">
        <v>16</v>
      </c>
      <c r="J56" s="15" t="s">
        <v>676</v>
      </c>
      <c r="K56" s="17" t="s">
        <v>674</v>
      </c>
      <c r="L56" s="15">
        <v>2.6</v>
      </c>
      <c r="M56" s="15"/>
      <c r="N56" s="15"/>
      <c r="O56" s="15"/>
      <c r="P56" s="15"/>
      <c r="Q56" s="96"/>
      <c r="R56" s="96"/>
      <c r="S56" s="96"/>
      <c r="T56" s="96"/>
      <c r="U56" s="15"/>
      <c r="V56" s="15"/>
      <c r="W56" s="15"/>
      <c r="X56" s="15"/>
      <c r="Y56" s="15"/>
      <c r="Z56" s="15"/>
      <c r="AA56" s="15"/>
      <c r="AB56" s="15"/>
      <c r="AC56" s="15"/>
      <c r="AD56" s="15"/>
      <c r="AE56" s="15"/>
      <c r="AF56" s="15"/>
      <c r="AG56" s="65">
        <f t="shared" si="2"/>
        <v>120</v>
      </c>
      <c r="AH56" s="15" t="s">
        <v>676</v>
      </c>
      <c r="AI56" s="17" t="s">
        <v>674</v>
      </c>
      <c r="AJ56" s="15" t="s">
        <v>670</v>
      </c>
      <c r="BE56" s="15">
        <v>2</v>
      </c>
      <c r="BF56" s="15" t="s">
        <v>381</v>
      </c>
      <c r="BG56" s="15"/>
      <c r="BH56" s="15"/>
      <c r="BI56" s="15">
        <v>2</v>
      </c>
      <c r="BJ56" s="15"/>
      <c r="BK56" s="15" t="s">
        <v>381</v>
      </c>
      <c r="BL56" s="15" t="s">
        <v>381</v>
      </c>
      <c r="BM56" s="15"/>
      <c r="BN56" s="15"/>
      <c r="BO56" s="15"/>
    </row>
    <row r="57" spans="1:68">
      <c r="F57" s="12">
        <f>F37+SUM(F41:F56)</f>
        <v>171</v>
      </c>
      <c r="G57" s="12">
        <f>G37+SUM(G41:G56)</f>
        <v>386</v>
      </c>
      <c r="H57" s="12">
        <f>H37+SUM(H41:H56)</f>
        <v>3028</v>
      </c>
      <c r="I57" s="28"/>
      <c r="J57" s="59"/>
      <c r="K57" s="59"/>
      <c r="L57" s="12">
        <f>L37+SUM(L41:L56)</f>
        <v>823.80000000000041</v>
      </c>
      <c r="M57" s="12">
        <f>M37+SUM(M41:M56)</f>
        <v>59.4</v>
      </c>
      <c r="N57" s="59"/>
      <c r="O57" s="59"/>
      <c r="P57" s="12">
        <f>P37+SUM(P41:P56)</f>
        <v>0.05</v>
      </c>
      <c r="Q57" s="12">
        <f>Q37+SUM(Q41:Q56)</f>
        <v>675</v>
      </c>
      <c r="R57" s="59"/>
      <c r="S57" s="59"/>
      <c r="T57" s="12">
        <f>T37+SUM(T41:T56)</f>
        <v>0.05</v>
      </c>
      <c r="U57" s="12">
        <f>U37+SUM(U41:U56)</f>
        <v>1012.5</v>
      </c>
      <c r="V57" s="59"/>
      <c r="W57" s="59"/>
      <c r="X57" s="12">
        <f>X37+SUM(X41:X56)</f>
        <v>0.05</v>
      </c>
      <c r="Y57" s="12">
        <f>Y37+SUM(Y41:Y56)</f>
        <v>432</v>
      </c>
      <c r="Z57" s="59"/>
      <c r="AA57" s="59"/>
      <c r="AB57" s="12">
        <f>AB37+SUM(AB41:AB56)</f>
        <v>0.1</v>
      </c>
      <c r="AC57" s="12">
        <f>AC37+SUM(AC41:AC56)</f>
        <v>270</v>
      </c>
      <c r="AD57" s="59"/>
      <c r="AE57" s="59"/>
      <c r="AF57" s="12">
        <f>AF37+SUM(AF41:AF56)</f>
        <v>0</v>
      </c>
      <c r="AG57" s="12">
        <f>AG37+SUM(AG41:AG56)</f>
        <v>9451</v>
      </c>
      <c r="AH57" s="59"/>
      <c r="AI57" s="59"/>
      <c r="AJ57" s="59"/>
      <c r="AK57" s="12">
        <f>AK37+SUM(AK41:AK56)</f>
        <v>90</v>
      </c>
      <c r="AL57" s="59"/>
      <c r="AM57" s="59"/>
      <c r="AN57" s="12">
        <f>AN37+SUM(AN41:AN56)</f>
        <v>0.1</v>
      </c>
      <c r="AO57" s="12">
        <f>AO37+SUM(AO41:AO56)</f>
        <v>50</v>
      </c>
      <c r="AP57" s="59"/>
      <c r="AQ57" s="59"/>
      <c r="AR57" s="12">
        <f>AR37+SUM(AR41:AR56)</f>
        <v>0.05</v>
      </c>
      <c r="AS57" s="12">
        <f>AS37+SUM(AS41:AS56)</f>
        <v>65</v>
      </c>
      <c r="AT57" s="59"/>
      <c r="AU57" s="59"/>
      <c r="AV57" s="12">
        <f>AV37+SUM(AV41:AV56)</f>
        <v>0.05</v>
      </c>
      <c r="AW57" s="12">
        <f>AW37+SUM(AW41:AW56)</f>
        <v>150</v>
      </c>
      <c r="AX57" s="12"/>
      <c r="AY57" s="12"/>
      <c r="AZ57" s="12">
        <f>AZ37+SUM(AZ41:AZ56)</f>
        <v>0</v>
      </c>
      <c r="BA57" s="12">
        <f>BA37+SUM(BA41:BA56)</f>
        <v>2048</v>
      </c>
      <c r="BB57" s="59"/>
      <c r="BC57" s="59"/>
      <c r="BD57" s="12">
        <f>BD37+SUM(BD41:BD56)</f>
        <v>0.05</v>
      </c>
      <c r="BE57" s="12">
        <f>BE37+SUM(BE41:BE56)</f>
        <v>105</v>
      </c>
      <c r="BF57" s="12">
        <f>BF37+COUNTIF(BF41:BF56,"x")</f>
        <v>40</v>
      </c>
      <c r="BG57" s="12">
        <f>BG37+COUNTIF(BG41:BG56,"x")</f>
        <v>3</v>
      </c>
      <c r="BH57" s="12">
        <f>BH37+COUNTIF(BH41:BH56,"x")</f>
        <v>1</v>
      </c>
      <c r="BI57" s="12">
        <f>BI37+SUM(BI41:BI56)</f>
        <v>82</v>
      </c>
      <c r="BJ57" s="12">
        <f>BJ37+COUNTIF(BJ41:BJ56,"x")</f>
        <v>1</v>
      </c>
      <c r="BK57" s="12">
        <f>BK37+COUNTIF(BK41:BK56,"x")</f>
        <v>17</v>
      </c>
      <c r="BL57" s="12">
        <f>BL37+COUNTIF(BL41:BL56,"x")</f>
        <v>40</v>
      </c>
      <c r="BM57" s="12" t="s">
        <v>697</v>
      </c>
      <c r="BN57" s="12">
        <v>2</v>
      </c>
      <c r="BO57" s="12">
        <v>4</v>
      </c>
      <c r="BP57" s="12">
        <v>2</v>
      </c>
    </row>
    <row r="58" spans="1:68" ht="14.5">
      <c r="E58" s="1"/>
      <c r="I58" s="31"/>
      <c r="BE58" s="12"/>
    </row>
    <row r="59" spans="1:68" ht="14.5">
      <c r="A59" s="14" t="s">
        <v>709</v>
      </c>
      <c r="E59" s="1"/>
      <c r="I59" s="31"/>
      <c r="BE59" s="12"/>
    </row>
    <row r="60" spans="1:68" ht="14.5">
      <c r="E60" s="1"/>
      <c r="I60" s="31"/>
      <c r="AG60" s="12"/>
      <c r="BE60" s="12"/>
    </row>
    <row r="61" spans="1:68">
      <c r="A61" s="4" t="s">
        <v>504</v>
      </c>
      <c r="C61" s="4" t="s">
        <v>528</v>
      </c>
      <c r="D61" s="4" t="s">
        <v>19</v>
      </c>
      <c r="E61" s="12" t="s">
        <v>710</v>
      </c>
      <c r="F61" s="12">
        <v>2</v>
      </c>
      <c r="G61" s="12">
        <v>4</v>
      </c>
      <c r="H61" s="59">
        <v>70</v>
      </c>
      <c r="I61" s="28">
        <v>4</v>
      </c>
      <c r="J61" s="12" t="s">
        <v>676</v>
      </c>
      <c r="K61" s="4" t="s">
        <v>674</v>
      </c>
      <c r="L61" s="12">
        <v>2.6</v>
      </c>
      <c r="M61" s="12"/>
      <c r="N61" s="12"/>
      <c r="O61" s="12"/>
      <c r="P61" s="12"/>
      <c r="Q61" s="12"/>
      <c r="R61" s="12"/>
      <c r="S61" s="12"/>
      <c r="T61" s="12"/>
      <c r="U61" s="12"/>
      <c r="V61" s="12"/>
      <c r="W61" s="12"/>
      <c r="X61" s="12"/>
      <c r="Y61" s="12"/>
      <c r="Z61" s="12"/>
      <c r="AA61" s="12"/>
      <c r="AB61" s="12"/>
      <c r="AC61" s="12"/>
      <c r="AD61" s="12"/>
      <c r="AE61" s="12"/>
      <c r="AF61" s="12"/>
      <c r="AG61" s="12">
        <f>2*H61</f>
        <v>140</v>
      </c>
      <c r="AH61" s="12" t="s">
        <v>676</v>
      </c>
      <c r="AI61" s="4" t="s">
        <v>674</v>
      </c>
      <c r="AJ61" s="12" t="s">
        <v>670</v>
      </c>
      <c r="BE61" s="12">
        <v>2</v>
      </c>
      <c r="BF61" s="12" t="s">
        <v>381</v>
      </c>
      <c r="BG61" s="12"/>
      <c r="BH61" s="12"/>
      <c r="BI61" s="12">
        <v>2</v>
      </c>
      <c r="BJ61" s="12"/>
      <c r="BK61" s="12" t="s">
        <v>381</v>
      </c>
      <c r="BL61" s="12" t="s">
        <v>381</v>
      </c>
      <c r="BM61" s="12"/>
      <c r="BN61" s="12"/>
      <c r="BO61" s="12"/>
    </row>
    <row r="62" spans="1:68">
      <c r="A62" s="4" t="s">
        <v>509</v>
      </c>
      <c r="C62" s="4" t="s">
        <v>528</v>
      </c>
      <c r="D62" s="4" t="s">
        <v>510</v>
      </c>
      <c r="E62" s="12" t="s">
        <v>711</v>
      </c>
      <c r="F62" s="12">
        <v>6</v>
      </c>
      <c r="G62" s="12">
        <v>10</v>
      </c>
      <c r="H62" s="59">
        <v>100</v>
      </c>
      <c r="I62" s="28">
        <v>16</v>
      </c>
      <c r="J62" s="12" t="s">
        <v>676</v>
      </c>
      <c r="K62" s="4" t="s">
        <v>674</v>
      </c>
      <c r="L62" s="12">
        <v>2.6</v>
      </c>
      <c r="M62" s="12"/>
      <c r="N62" s="12"/>
      <c r="O62" s="12"/>
      <c r="P62" s="12"/>
      <c r="Q62" s="59">
        <v>200</v>
      </c>
      <c r="R62" s="82" t="s">
        <v>676</v>
      </c>
      <c r="S62" s="4" t="s">
        <v>674</v>
      </c>
      <c r="T62" s="82" t="s">
        <v>670</v>
      </c>
      <c r="U62" s="82"/>
      <c r="V62" s="82"/>
      <c r="W62" s="82"/>
      <c r="X62" s="82"/>
      <c r="AB62" s="82" t="s">
        <v>670</v>
      </c>
      <c r="AC62" s="12"/>
      <c r="AD62" s="12"/>
      <c r="AE62" s="12"/>
      <c r="AF62" s="12"/>
      <c r="AG62" s="12">
        <f>2*H62+Q62*2</f>
        <v>600</v>
      </c>
      <c r="AH62" s="12" t="s">
        <v>676</v>
      </c>
      <c r="AI62" s="4" t="s">
        <v>674</v>
      </c>
      <c r="AJ62" s="12" t="s">
        <v>670</v>
      </c>
      <c r="BE62" s="12">
        <v>3</v>
      </c>
      <c r="BF62" s="12" t="s">
        <v>381</v>
      </c>
      <c r="BG62" s="12"/>
      <c r="BH62" s="12"/>
      <c r="BI62" s="12">
        <v>2</v>
      </c>
      <c r="BJ62" s="12"/>
      <c r="BK62" s="12" t="s">
        <v>381</v>
      </c>
      <c r="BL62" s="12" t="s">
        <v>381</v>
      </c>
      <c r="BM62" s="12"/>
      <c r="BN62" s="12"/>
      <c r="BO62" s="12"/>
    </row>
    <row r="63" spans="1:68">
      <c r="A63" s="4" t="s">
        <v>511</v>
      </c>
      <c r="C63" s="4" t="s">
        <v>528</v>
      </c>
      <c r="D63" s="4" t="s">
        <v>512</v>
      </c>
      <c r="E63" s="12" t="s">
        <v>712</v>
      </c>
      <c r="F63" s="12">
        <v>8</v>
      </c>
      <c r="G63" s="12">
        <v>16</v>
      </c>
      <c r="H63" s="59">
        <v>60</v>
      </c>
      <c r="I63" s="28">
        <v>4</v>
      </c>
      <c r="J63" s="12" t="s">
        <v>676</v>
      </c>
      <c r="K63" s="4" t="s">
        <v>674</v>
      </c>
      <c r="L63" s="12">
        <v>2.6</v>
      </c>
      <c r="M63" s="12"/>
      <c r="N63" s="12"/>
      <c r="O63" s="12"/>
      <c r="P63" s="12"/>
      <c r="Q63" s="82"/>
      <c r="R63" s="82"/>
      <c r="S63" s="82"/>
      <c r="T63" s="82"/>
      <c r="U63" s="82"/>
      <c r="V63" s="82"/>
      <c r="W63" s="82"/>
      <c r="X63" s="82"/>
      <c r="Y63" s="82"/>
      <c r="Z63" s="82"/>
      <c r="AA63" s="82"/>
      <c r="AB63" s="82"/>
      <c r="AC63" s="12"/>
      <c r="AD63" s="12"/>
      <c r="AE63" s="12"/>
      <c r="AF63" s="12"/>
      <c r="AG63" s="12">
        <f>2*H63</f>
        <v>120</v>
      </c>
      <c r="AH63" s="12" t="s">
        <v>676</v>
      </c>
      <c r="AI63" s="4" t="s">
        <v>674</v>
      </c>
      <c r="AJ63" s="12" t="s">
        <v>670</v>
      </c>
      <c r="BE63" s="12">
        <v>2</v>
      </c>
      <c r="BF63" s="12" t="s">
        <v>381</v>
      </c>
      <c r="BG63" s="12"/>
      <c r="BH63" s="12"/>
      <c r="BI63" s="12">
        <v>2</v>
      </c>
      <c r="BJ63" s="12"/>
      <c r="BK63" s="12" t="s">
        <v>381</v>
      </c>
      <c r="BL63" s="12" t="s">
        <v>381</v>
      </c>
      <c r="BM63" s="12"/>
      <c r="BN63" s="12"/>
      <c r="BO63" s="12"/>
    </row>
    <row r="64" spans="1:68">
      <c r="A64" s="4" t="s">
        <v>514</v>
      </c>
      <c r="C64" s="4" t="s">
        <v>528</v>
      </c>
      <c r="D64" s="4" t="s">
        <v>515</v>
      </c>
      <c r="E64" s="12" t="s">
        <v>713</v>
      </c>
      <c r="F64" s="12">
        <v>10</v>
      </c>
      <c r="G64" s="12">
        <v>10</v>
      </c>
      <c r="H64" s="59">
        <v>30</v>
      </c>
      <c r="I64" s="28">
        <v>4</v>
      </c>
      <c r="J64" s="12" t="s">
        <v>676</v>
      </c>
      <c r="K64" s="4" t="s">
        <v>674</v>
      </c>
      <c r="L64" s="12">
        <v>2.6</v>
      </c>
      <c r="M64" s="12"/>
      <c r="N64" s="12"/>
      <c r="O64" s="12"/>
      <c r="P64" s="12"/>
      <c r="Q64" s="82"/>
      <c r="R64" s="82"/>
      <c r="S64" s="82"/>
      <c r="T64" s="82"/>
      <c r="U64" s="82"/>
      <c r="V64" s="82"/>
      <c r="W64" s="82"/>
      <c r="X64" s="82"/>
      <c r="Y64" s="82"/>
      <c r="Z64" s="82"/>
      <c r="AA64" s="82"/>
      <c r="AB64" s="82"/>
      <c r="AC64" s="12"/>
      <c r="AD64" s="12"/>
      <c r="AE64" s="12"/>
      <c r="AF64" s="12"/>
      <c r="AG64" s="12">
        <f>2*H64</f>
        <v>60</v>
      </c>
      <c r="AH64" s="12" t="s">
        <v>676</v>
      </c>
      <c r="AI64" s="4" t="s">
        <v>674</v>
      </c>
      <c r="AJ64" s="12" t="s">
        <v>670</v>
      </c>
      <c r="BE64" s="12">
        <v>2</v>
      </c>
      <c r="BF64" s="12" t="s">
        <v>381</v>
      </c>
      <c r="BG64" s="12"/>
      <c r="BH64" s="12"/>
      <c r="BI64" s="12">
        <v>2</v>
      </c>
      <c r="BJ64" s="12"/>
      <c r="BK64" s="12" t="s">
        <v>381</v>
      </c>
      <c r="BL64" s="12" t="s">
        <v>381</v>
      </c>
      <c r="BM64" s="12"/>
      <c r="BN64" s="12"/>
      <c r="BO64" s="12"/>
    </row>
    <row r="65" spans="1:68">
      <c r="A65" s="4" t="s">
        <v>516</v>
      </c>
      <c r="C65" s="4" t="s">
        <v>528</v>
      </c>
      <c r="D65" s="4" t="s">
        <v>517</v>
      </c>
      <c r="E65" s="12" t="s">
        <v>714</v>
      </c>
      <c r="F65" s="12">
        <v>4</v>
      </c>
      <c r="G65" s="12">
        <v>16</v>
      </c>
      <c r="H65" s="59">
        <v>550</v>
      </c>
      <c r="I65" s="28">
        <v>4</v>
      </c>
      <c r="J65" s="12" t="s">
        <v>676</v>
      </c>
      <c r="K65" s="4" t="s">
        <v>674</v>
      </c>
      <c r="L65" s="12">
        <v>2.6</v>
      </c>
      <c r="M65" s="12"/>
      <c r="N65" s="12"/>
      <c r="O65" s="12"/>
      <c r="P65" s="12"/>
      <c r="R65" s="82"/>
      <c r="T65" s="82"/>
      <c r="U65" s="82"/>
      <c r="V65" s="82"/>
      <c r="W65" s="82"/>
      <c r="X65" s="82"/>
      <c r="Y65" s="82"/>
      <c r="Z65" s="82"/>
      <c r="AA65" s="82"/>
      <c r="AB65" s="82"/>
      <c r="AC65" s="12"/>
      <c r="AD65" s="12"/>
      <c r="AE65" s="12"/>
      <c r="AF65" s="12"/>
      <c r="AG65" s="12">
        <f>2*H65</f>
        <v>1100</v>
      </c>
      <c r="AH65" s="12" t="s">
        <v>676</v>
      </c>
      <c r="AI65" s="4" t="s">
        <v>674</v>
      </c>
      <c r="AJ65" s="12" t="s">
        <v>670</v>
      </c>
      <c r="BE65" s="12">
        <v>2</v>
      </c>
      <c r="BF65" s="12" t="s">
        <v>381</v>
      </c>
      <c r="BG65" s="12"/>
      <c r="BH65" s="12"/>
      <c r="BI65" s="12">
        <v>2</v>
      </c>
      <c r="BJ65" s="12"/>
      <c r="BK65" s="12" t="s">
        <v>381</v>
      </c>
      <c r="BL65" s="12" t="s">
        <v>381</v>
      </c>
      <c r="BM65" s="12"/>
      <c r="BN65" s="12"/>
      <c r="BO65" s="12"/>
    </row>
    <row r="66" spans="1:68" s="17" customFormat="1">
      <c r="A66" s="17" t="s">
        <v>520</v>
      </c>
      <c r="C66" s="17" t="s">
        <v>528</v>
      </c>
      <c r="D66" s="17" t="s">
        <v>521</v>
      </c>
      <c r="E66" s="15" t="s">
        <v>715</v>
      </c>
      <c r="F66" s="15">
        <v>2</v>
      </c>
      <c r="G66" s="15">
        <v>4</v>
      </c>
      <c r="H66" s="65">
        <v>40</v>
      </c>
      <c r="I66" s="76">
        <v>4</v>
      </c>
      <c r="J66" s="15" t="s">
        <v>676</v>
      </c>
      <c r="K66" s="17" t="s">
        <v>674</v>
      </c>
      <c r="L66" s="15">
        <v>2.6</v>
      </c>
      <c r="M66" s="15"/>
      <c r="N66" s="15"/>
      <c r="O66" s="15"/>
      <c r="P66" s="15"/>
      <c r="Q66" s="36"/>
      <c r="R66" s="36"/>
      <c r="T66" s="36"/>
      <c r="U66" s="36"/>
      <c r="V66" s="36"/>
      <c r="W66" s="36"/>
      <c r="X66" s="36"/>
      <c r="Y66" s="65">
        <v>50</v>
      </c>
      <c r="Z66" s="36" t="s">
        <v>676</v>
      </c>
      <c r="AA66" s="17" t="s">
        <v>674</v>
      </c>
      <c r="AB66" s="36"/>
      <c r="AC66" s="15"/>
      <c r="AD66" s="15"/>
      <c r="AE66" s="15"/>
      <c r="AF66" s="15"/>
      <c r="AG66" s="15">
        <f>H66*2+Y66*2</f>
        <v>180</v>
      </c>
      <c r="AH66" s="15" t="s">
        <v>676</v>
      </c>
      <c r="AI66" s="17" t="s">
        <v>674</v>
      </c>
      <c r="AJ66" s="15" t="s">
        <v>670</v>
      </c>
      <c r="BE66" s="15">
        <v>3</v>
      </c>
      <c r="BF66" s="15" t="s">
        <v>381</v>
      </c>
      <c r="BG66" s="15"/>
      <c r="BH66" s="15"/>
      <c r="BI66" s="15">
        <v>2</v>
      </c>
      <c r="BJ66" s="15"/>
      <c r="BK66" s="15" t="s">
        <v>381</v>
      </c>
      <c r="BL66" s="15" t="s">
        <v>381</v>
      </c>
      <c r="BM66" s="15"/>
      <c r="BN66" s="15"/>
      <c r="BO66" s="15"/>
    </row>
    <row r="67" spans="1:68">
      <c r="F67" s="12">
        <f>F57+SUM(F61:F66)</f>
        <v>203</v>
      </c>
      <c r="G67" s="12">
        <f>G57+SUM(G61:G66)</f>
        <v>446</v>
      </c>
      <c r="H67" s="59">
        <f>H57+SUM(H61:H66)</f>
        <v>3878</v>
      </c>
      <c r="I67" s="59"/>
      <c r="J67" s="59"/>
      <c r="K67" s="59"/>
      <c r="L67" s="12">
        <f>L57+SUM(L61:L66)</f>
        <v>839.40000000000043</v>
      </c>
      <c r="M67" s="12">
        <f>M57+SUM(M61:M66)</f>
        <v>59.4</v>
      </c>
      <c r="N67" s="59"/>
      <c r="O67" s="59"/>
      <c r="P67" s="12">
        <f>P57+SUM(P61:P66)</f>
        <v>0.05</v>
      </c>
      <c r="Q67" s="12">
        <f>Q57+SUM(Q61:Q66)</f>
        <v>875</v>
      </c>
      <c r="R67" s="59"/>
      <c r="S67" s="59"/>
      <c r="T67" s="12">
        <f>T57+SUM(T61:T66)</f>
        <v>0.05</v>
      </c>
      <c r="U67" s="12">
        <f>U57+SUM(U61:U66)</f>
        <v>1012.5</v>
      </c>
      <c r="V67" s="59"/>
      <c r="W67" s="59"/>
      <c r="X67" s="12">
        <f>X57+SUM(X61:X66)</f>
        <v>0.05</v>
      </c>
      <c r="Y67" s="12">
        <f>Y57+SUM(Y61:Y66)</f>
        <v>482</v>
      </c>
      <c r="Z67" s="59"/>
      <c r="AA67" s="59"/>
      <c r="AB67" s="12">
        <f>AB57+SUM(AB61:AB66)</f>
        <v>0.1</v>
      </c>
      <c r="AC67" s="12">
        <f>AC57+SUM(AC61:AC66)</f>
        <v>270</v>
      </c>
      <c r="AD67" s="59"/>
      <c r="AE67" s="59"/>
      <c r="AF67" s="12">
        <f>AF57+SUM(AF61:AF66)</f>
        <v>0</v>
      </c>
      <c r="AG67" s="12">
        <f>AG57+SUM(AG61:AG66)</f>
        <v>11651</v>
      </c>
      <c r="AH67" s="59"/>
      <c r="AI67" s="59"/>
      <c r="AJ67" s="59"/>
      <c r="AK67" s="12">
        <f>AK57+SUM(AK61:AK66)</f>
        <v>90</v>
      </c>
      <c r="AL67" s="12"/>
      <c r="AM67" s="12"/>
      <c r="AN67" s="12">
        <f>AN57+SUM(AN61:AN66)</f>
        <v>0.1</v>
      </c>
      <c r="AO67" s="12">
        <f>AO57+SUM(AO61:AO66)</f>
        <v>50</v>
      </c>
      <c r="AP67" s="12"/>
      <c r="AQ67" s="12"/>
      <c r="AR67" s="12">
        <f>AR57+SUM(AR61:AR66)</f>
        <v>0.05</v>
      </c>
      <c r="AS67" s="12">
        <f>AS57+SUM(AS61:AS66)</f>
        <v>65</v>
      </c>
      <c r="AT67" s="59"/>
      <c r="AU67" s="12"/>
      <c r="AV67" s="12">
        <f>AV57+SUM(AV61:AV66)</f>
        <v>0.05</v>
      </c>
      <c r="AW67" s="12"/>
      <c r="AX67" s="12"/>
      <c r="AY67" s="12"/>
      <c r="AZ67" s="12"/>
      <c r="BA67" s="12">
        <f>BA57+SUM(BA61:BA66)</f>
        <v>2048</v>
      </c>
      <c r="BB67" s="59"/>
      <c r="BC67" s="59"/>
      <c r="BD67" s="12">
        <f>BD57+SUM(BD61:BD66)</f>
        <v>0.05</v>
      </c>
      <c r="BE67" s="12">
        <f>BE57+SUM(BE61:BE66)</f>
        <v>119</v>
      </c>
      <c r="BF67" s="12">
        <f>BF57+COUNTIF(BF61:BF66,"x")</f>
        <v>46</v>
      </c>
      <c r="BG67" s="12">
        <f>BG57+SUM(BG61:BG66)</f>
        <v>3</v>
      </c>
      <c r="BH67" s="12">
        <f>BH57+SUM(BH61:BH66)</f>
        <v>1</v>
      </c>
      <c r="BI67" s="12">
        <f>BI57+SUM(BI61:BI66)</f>
        <v>94</v>
      </c>
      <c r="BJ67" s="12">
        <f>BJ57+SUM(BJ61:BJ66)</f>
        <v>1</v>
      </c>
      <c r="BK67" s="12">
        <f>BK57+COUNTIF(BK61:BK66,"x")</f>
        <v>23</v>
      </c>
      <c r="BL67" s="12">
        <f>BL57+COUNTIF(BL61:BL66,"x")</f>
        <v>46</v>
      </c>
      <c r="BM67" s="12" t="s">
        <v>697</v>
      </c>
      <c r="BN67" s="12">
        <v>2</v>
      </c>
      <c r="BO67" s="12">
        <v>4</v>
      </c>
      <c r="BP67" s="12">
        <v>2</v>
      </c>
    </row>
    <row r="80" spans="1:68" ht="13">
      <c r="I80" s="100"/>
    </row>
    <row r="81" spans="1:9">
      <c r="I81" s="97"/>
    </row>
    <row r="82" spans="1:9">
      <c r="I82" s="97"/>
    </row>
    <row r="89" spans="1:9" ht="13">
      <c r="A89" s="97"/>
      <c r="B89" s="98" t="s">
        <v>545</v>
      </c>
      <c r="C89" s="100" t="s">
        <v>546</v>
      </c>
      <c r="D89" s="100" t="s">
        <v>547</v>
      </c>
      <c r="E89" s="98" t="s">
        <v>548</v>
      </c>
      <c r="F89" s="100" t="s">
        <v>549</v>
      </c>
    </row>
    <row r="90" spans="1:9">
      <c r="A90" s="99" t="s">
        <v>551</v>
      </c>
      <c r="B90" s="97">
        <v>675</v>
      </c>
      <c r="C90" s="97">
        <v>6</v>
      </c>
      <c r="D90" s="97">
        <v>40</v>
      </c>
      <c r="E90" s="97">
        <v>1012.5</v>
      </c>
      <c r="F90" s="97">
        <v>2520</v>
      </c>
    </row>
    <row r="91" spans="1:9">
      <c r="A91" s="99" t="s">
        <v>552</v>
      </c>
      <c r="B91" s="97">
        <v>2115</v>
      </c>
      <c r="C91" s="97">
        <v>11</v>
      </c>
      <c r="D91" s="97">
        <v>70</v>
      </c>
      <c r="E91" s="97">
        <v>2295</v>
      </c>
      <c r="F91" s="97">
        <v>6345</v>
      </c>
    </row>
  </sheetData>
  <mergeCells count="8">
    <mergeCell ref="A1:D1"/>
    <mergeCell ref="A2:B2"/>
    <mergeCell ref="A3:B3"/>
    <mergeCell ref="F3:G3"/>
    <mergeCell ref="A4:B4"/>
    <mergeCell ref="A5:B5"/>
    <mergeCell ref="A34:B34"/>
    <mergeCell ref="A6:B6"/>
  </mergeCells>
  <dataValidations count="1">
    <dataValidation type="list" allowBlank="1" showInputMessage="1" showErrorMessage="1" sqref="Q11" xr:uid="{BF173ACB-ED59-48AE-8AFD-7538C741B5EE}">
      <formula1>$B$90:$B$91</formula1>
    </dataValidation>
  </dataValidations>
  <hyperlinks>
    <hyperlink ref="F3:G3" location="Shortcuts!A1" display="Back to shortcuts" xr:uid="{6B7509BF-BA45-4F0C-B8C4-F1C564451E84}"/>
  </hyperlinks>
  <pageMargins left="0.7" right="0.7" top="0.75" bottom="0.75" header="0.3" footer="0.3"/>
  <pageSetup paperSize="9" orientation="portrait" r:id="rId1"/>
  <headerFooter>
    <oddFooter>&amp;C&amp;1#&amp;"Arial"&amp;8&amp;K001753Nokia internal use</oddFooter>
  </headerFooter>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8ED110-C82C-4860-9F33-3E611393F673}">
  <sheetPr codeName="Sheet99"/>
  <dimension ref="A1:AS91"/>
  <sheetViews>
    <sheetView zoomScale="86" zoomScaleNormal="86" zoomScalePageLayoutView="70" workbookViewId="0">
      <selection activeCell="G8" sqref="G8"/>
    </sheetView>
  </sheetViews>
  <sheetFormatPr defaultColWidth="8.81640625" defaultRowHeight="12.5"/>
  <cols>
    <col min="1" max="1" width="12.81640625" style="4" customWidth="1"/>
    <col min="2" max="2" width="16.1796875" style="4" customWidth="1"/>
    <col min="3" max="3" width="18.1796875" style="4" customWidth="1"/>
    <col min="4" max="4" width="23.1796875" style="4" customWidth="1"/>
    <col min="5" max="5" width="55.81640625" style="4" customWidth="1"/>
    <col min="6" max="7" width="8.81640625" style="4"/>
    <col min="8" max="8" width="20.81640625" style="4" bestFit="1" customWidth="1"/>
    <col min="9" max="10" width="8.81640625" style="4"/>
    <col min="11" max="11" width="17.81640625" style="4" customWidth="1"/>
    <col min="12" max="12" width="8.81640625" style="4"/>
    <col min="13" max="13" width="9.81640625" style="4" customWidth="1"/>
    <col min="14" max="14" width="8.81640625" style="4"/>
    <col min="15" max="15" width="11.81640625" style="4" customWidth="1"/>
    <col min="16" max="16" width="8.81640625" style="4"/>
    <col min="17" max="17" width="9.81640625" style="4" customWidth="1"/>
    <col min="18" max="18" width="8.81640625" style="4"/>
    <col min="19" max="19" width="9.81640625" style="4" customWidth="1"/>
    <col min="20" max="20" width="8.81640625" style="4"/>
    <col min="21" max="21" width="9.81640625" style="4" customWidth="1"/>
    <col min="22" max="22" width="8.81640625" style="4"/>
    <col min="23" max="23" width="9" style="12" customWidth="1"/>
    <col min="24" max="24" width="11.1796875" style="4" customWidth="1"/>
    <col min="25" max="26" width="9.81640625" style="4" customWidth="1"/>
    <col min="27" max="32" width="13.1796875" style="4" customWidth="1"/>
    <col min="33" max="33" width="15.81640625" style="4" customWidth="1"/>
    <col min="34" max="35" width="13.1796875" style="4" customWidth="1"/>
    <col min="36" max="36" width="22" style="4" customWidth="1"/>
    <col min="37" max="37" width="12.1796875" style="4" customWidth="1"/>
    <col min="38" max="38" width="13.1796875" style="4" customWidth="1"/>
    <col min="39" max="16384" width="8.81640625" style="4"/>
  </cols>
  <sheetData>
    <row r="1" spans="1:38" ht="13">
      <c r="A1" s="156" t="s">
        <v>15</v>
      </c>
      <c r="B1" s="156"/>
      <c r="C1" s="156"/>
      <c r="D1" s="156"/>
      <c r="E1" s="156"/>
      <c r="F1" s="5" t="s">
        <v>716</v>
      </c>
    </row>
    <row r="2" spans="1:38" ht="14.5">
      <c r="A2" s="162" t="s">
        <v>355</v>
      </c>
      <c r="B2" s="168"/>
      <c r="C2" s="24"/>
      <c r="D2" s="4" t="s">
        <v>647</v>
      </c>
    </row>
    <row r="3" spans="1:38" ht="14.5">
      <c r="A3" s="162" t="s">
        <v>357</v>
      </c>
      <c r="B3" s="162"/>
      <c r="C3" s="27"/>
      <c r="D3" s="4" t="s">
        <v>459</v>
      </c>
      <c r="F3" s="169" t="s">
        <v>358</v>
      </c>
      <c r="G3" s="169"/>
    </row>
    <row r="4" spans="1:38" ht="13">
      <c r="A4" s="162" t="s">
        <v>359</v>
      </c>
      <c r="B4" s="162"/>
      <c r="C4" s="4" t="s">
        <v>356</v>
      </c>
    </row>
    <row r="5" spans="1:38">
      <c r="A5" s="162" t="s">
        <v>360</v>
      </c>
      <c r="B5" s="162"/>
      <c r="C5" s="33" t="s">
        <v>648</v>
      </c>
    </row>
    <row r="6" spans="1:38">
      <c r="A6" s="162" t="s">
        <v>361</v>
      </c>
      <c r="B6" s="162"/>
    </row>
    <row r="7" spans="1:38" ht="26">
      <c r="A7" s="7" t="s">
        <v>151</v>
      </c>
      <c r="B7" s="7" t="s">
        <v>362</v>
      </c>
      <c r="C7" s="7" t="s">
        <v>363</v>
      </c>
      <c r="D7" s="7" t="s">
        <v>364</v>
      </c>
      <c r="E7" s="7" t="s">
        <v>365</v>
      </c>
      <c r="F7" s="6" t="s">
        <v>129</v>
      </c>
      <c r="G7" s="6" t="s">
        <v>146</v>
      </c>
      <c r="H7" s="6" t="s">
        <v>366</v>
      </c>
      <c r="I7" s="6" t="s">
        <v>149</v>
      </c>
      <c r="J7" s="6" t="s">
        <v>367</v>
      </c>
      <c r="K7" s="6" t="s">
        <v>368</v>
      </c>
      <c r="L7" s="6" t="s">
        <v>170</v>
      </c>
      <c r="M7" s="6" t="s">
        <v>368</v>
      </c>
      <c r="N7" s="6" t="s">
        <v>30</v>
      </c>
      <c r="O7" s="6" t="s">
        <v>368</v>
      </c>
      <c r="P7" s="6" t="s">
        <v>175</v>
      </c>
      <c r="Q7" s="6" t="s">
        <v>368</v>
      </c>
      <c r="R7" s="6" t="s">
        <v>189</v>
      </c>
      <c r="S7" s="6" t="s">
        <v>368</v>
      </c>
      <c r="T7" s="6" t="s">
        <v>194</v>
      </c>
      <c r="U7" s="6" t="s">
        <v>368</v>
      </c>
      <c r="V7" s="6" t="s">
        <v>179</v>
      </c>
      <c r="W7" s="6" t="s">
        <v>368</v>
      </c>
      <c r="X7" s="6" t="s">
        <v>369</v>
      </c>
      <c r="Y7" s="6" t="s">
        <v>368</v>
      </c>
      <c r="Z7" s="6" t="s">
        <v>554</v>
      </c>
      <c r="AA7" s="6" t="s">
        <v>368</v>
      </c>
      <c r="AB7" s="6" t="s">
        <v>371</v>
      </c>
      <c r="AC7" s="6" t="s">
        <v>368</v>
      </c>
      <c r="AD7" s="6" t="s">
        <v>372</v>
      </c>
      <c r="AE7" s="6" t="s">
        <v>368</v>
      </c>
      <c r="AF7" s="6" t="s">
        <v>373</v>
      </c>
      <c r="AG7" s="6" t="s">
        <v>368</v>
      </c>
      <c r="AH7" s="79" t="s">
        <v>467</v>
      </c>
      <c r="AI7" s="6" t="s">
        <v>368</v>
      </c>
      <c r="AJ7" s="6" t="s">
        <v>374</v>
      </c>
      <c r="AK7" s="6" t="s">
        <v>375</v>
      </c>
      <c r="AL7" s="6" t="s">
        <v>376</v>
      </c>
    </row>
    <row r="8" spans="1:38">
      <c r="A8" s="24" t="s">
        <v>377</v>
      </c>
      <c r="B8" s="25"/>
      <c r="C8" s="26" t="s">
        <v>387</v>
      </c>
      <c r="D8" s="24" t="s">
        <v>378</v>
      </c>
      <c r="E8" s="24" t="s">
        <v>19</v>
      </c>
      <c r="F8" s="25">
        <v>4</v>
      </c>
      <c r="G8" s="25">
        <v>8</v>
      </c>
      <c r="H8" s="25">
        <v>0</v>
      </c>
      <c r="I8" s="25">
        <v>351</v>
      </c>
      <c r="J8" s="25">
        <f>G8-H8</f>
        <v>8</v>
      </c>
      <c r="K8" s="25" t="s">
        <v>468</v>
      </c>
      <c r="L8" s="25"/>
      <c r="M8" s="25"/>
      <c r="N8" s="25"/>
      <c r="O8" s="25"/>
      <c r="P8" s="25"/>
      <c r="Q8" s="25"/>
      <c r="R8" s="25"/>
      <c r="S8" s="25"/>
      <c r="T8" s="25"/>
      <c r="U8" s="25"/>
      <c r="V8" s="25"/>
      <c r="W8" s="25"/>
      <c r="X8" s="25"/>
      <c r="Y8" s="25"/>
      <c r="Z8" s="25"/>
      <c r="AA8" s="25"/>
      <c r="AB8" s="25"/>
      <c r="AC8" s="25"/>
      <c r="AD8" s="25"/>
      <c r="AE8" s="25"/>
      <c r="AF8" s="25"/>
      <c r="AG8" s="25"/>
      <c r="AH8" s="12"/>
      <c r="AI8" s="12"/>
      <c r="AJ8" s="25" t="s">
        <v>380</v>
      </c>
      <c r="AK8" s="25" t="s">
        <v>381</v>
      </c>
      <c r="AL8" s="25"/>
    </row>
    <row r="9" spans="1:38">
      <c r="A9" s="4" t="s">
        <v>385</v>
      </c>
      <c r="B9" s="12" t="s">
        <v>386</v>
      </c>
      <c r="C9" s="19" t="s">
        <v>387</v>
      </c>
      <c r="D9" s="4" t="s">
        <v>378</v>
      </c>
      <c r="E9" s="4" t="s">
        <v>27</v>
      </c>
      <c r="F9" s="12">
        <v>4</v>
      </c>
      <c r="G9" s="12">
        <v>6</v>
      </c>
      <c r="H9" s="12">
        <v>6</v>
      </c>
      <c r="I9" s="12">
        <v>41</v>
      </c>
      <c r="J9" s="82">
        <f t="shared" ref="J9:J35" si="0">G9-H9</f>
        <v>0</v>
      </c>
      <c r="K9" s="12" t="s">
        <v>469</v>
      </c>
      <c r="L9" s="12"/>
      <c r="M9" s="12"/>
      <c r="N9" s="12"/>
      <c r="O9" s="12"/>
      <c r="P9" s="12"/>
      <c r="Q9" s="12"/>
      <c r="R9" s="12"/>
      <c r="S9" s="12"/>
      <c r="T9" s="12"/>
      <c r="U9" s="12"/>
      <c r="V9" s="12"/>
      <c r="X9" s="12"/>
      <c r="Y9" s="12"/>
      <c r="Z9" s="12"/>
      <c r="AA9" s="12"/>
      <c r="AB9" s="12"/>
      <c r="AC9" s="12"/>
      <c r="AD9" s="12"/>
      <c r="AE9" s="12"/>
      <c r="AF9" s="12"/>
      <c r="AG9" s="12"/>
      <c r="AH9" s="12"/>
      <c r="AI9" s="12"/>
      <c r="AJ9" s="12" t="s">
        <v>380</v>
      </c>
      <c r="AK9" s="12" t="s">
        <v>381</v>
      </c>
      <c r="AL9" s="12"/>
    </row>
    <row r="10" spans="1:38">
      <c r="A10" s="4" t="s">
        <v>389</v>
      </c>
      <c r="B10" s="12"/>
      <c r="C10" s="19" t="s">
        <v>387</v>
      </c>
      <c r="D10" s="4" t="s">
        <v>378</v>
      </c>
      <c r="E10" s="4" t="s">
        <v>30</v>
      </c>
      <c r="F10" s="12">
        <v>11</v>
      </c>
      <c r="G10" s="12">
        <v>70</v>
      </c>
      <c r="H10" s="12">
        <f>(G10*82.5)/100</f>
        <v>57.75</v>
      </c>
      <c r="I10" s="12">
        <v>101</v>
      </c>
      <c r="J10" s="82">
        <f t="shared" si="0"/>
        <v>12.25</v>
      </c>
      <c r="K10" s="12" t="s">
        <v>470</v>
      </c>
      <c r="L10" s="12">
        <v>66</v>
      </c>
      <c r="M10" s="12" t="s">
        <v>390</v>
      </c>
      <c r="N10" s="101">
        <v>1500</v>
      </c>
      <c r="O10" s="12" t="s">
        <v>391</v>
      </c>
      <c r="P10" s="12">
        <v>2250</v>
      </c>
      <c r="Q10" s="12" t="s">
        <v>392</v>
      </c>
      <c r="R10" s="12"/>
      <c r="S10" s="12"/>
      <c r="T10" s="12"/>
      <c r="U10" s="12"/>
      <c r="V10" s="12"/>
      <c r="X10" s="28">
        <v>6525</v>
      </c>
      <c r="Y10" s="12" t="s">
        <v>179</v>
      </c>
      <c r="Z10" s="12"/>
      <c r="AA10" s="12"/>
      <c r="AB10" s="12"/>
      <c r="AC10" s="12"/>
      <c r="AD10" s="12"/>
      <c r="AE10" s="12"/>
      <c r="AF10" s="12"/>
      <c r="AG10" s="12"/>
      <c r="AH10" s="12">
        <v>2500</v>
      </c>
      <c r="AI10" s="12" t="s">
        <v>471</v>
      </c>
      <c r="AJ10" s="12" t="s">
        <v>380</v>
      </c>
      <c r="AK10" s="12" t="s">
        <v>381</v>
      </c>
      <c r="AL10" s="12"/>
    </row>
    <row r="11" spans="1:38">
      <c r="A11" s="4" t="s">
        <v>393</v>
      </c>
      <c r="B11" s="12" t="s">
        <v>386</v>
      </c>
      <c r="C11" s="19" t="s">
        <v>387</v>
      </c>
      <c r="D11" s="4" t="s">
        <v>378</v>
      </c>
      <c r="E11" s="4" t="s">
        <v>34</v>
      </c>
      <c r="F11" s="12">
        <v>6</v>
      </c>
      <c r="G11" s="12">
        <v>7</v>
      </c>
      <c r="H11" s="12">
        <v>7</v>
      </c>
      <c r="I11" s="12">
        <v>46</v>
      </c>
      <c r="J11" s="82">
        <f t="shared" si="0"/>
        <v>0</v>
      </c>
      <c r="K11" s="12" t="s">
        <v>472</v>
      </c>
      <c r="L11" s="12"/>
      <c r="M11" s="12"/>
      <c r="N11" s="12"/>
      <c r="O11" s="12"/>
      <c r="P11" s="12"/>
      <c r="Q11" s="12"/>
      <c r="R11" s="12">
        <v>430</v>
      </c>
      <c r="S11" s="12" t="s">
        <v>394</v>
      </c>
      <c r="T11" s="12">
        <v>300</v>
      </c>
      <c r="U11" s="12" t="s">
        <v>194</v>
      </c>
      <c r="V11" s="12"/>
      <c r="X11" s="12">
        <v>330</v>
      </c>
      <c r="Y11" s="12" t="s">
        <v>179</v>
      </c>
      <c r="Z11" s="12"/>
      <c r="AA11" s="12"/>
      <c r="AB11" s="12"/>
      <c r="AC11" s="12"/>
      <c r="AD11" s="12"/>
      <c r="AE11" s="12"/>
      <c r="AF11" s="12"/>
      <c r="AG11" s="12"/>
      <c r="AH11" s="12"/>
      <c r="AI11" s="12"/>
      <c r="AJ11" s="12" t="s">
        <v>380</v>
      </c>
      <c r="AK11" s="12" t="s">
        <v>381</v>
      </c>
      <c r="AL11" s="12"/>
    </row>
    <row r="12" spans="1:38">
      <c r="A12" s="4" t="s">
        <v>395</v>
      </c>
      <c r="B12" s="12"/>
      <c r="C12" s="19" t="s">
        <v>387</v>
      </c>
      <c r="D12" s="4" t="s">
        <v>378</v>
      </c>
      <c r="E12" s="4" t="s">
        <v>38</v>
      </c>
      <c r="F12" s="12">
        <v>2</v>
      </c>
      <c r="G12" s="12">
        <v>3</v>
      </c>
      <c r="H12" s="12">
        <v>0</v>
      </c>
      <c r="I12" s="12">
        <v>31</v>
      </c>
      <c r="J12" s="82">
        <f t="shared" si="0"/>
        <v>3</v>
      </c>
      <c r="K12" s="12" t="s">
        <v>469</v>
      </c>
      <c r="L12" s="12"/>
      <c r="M12" s="12"/>
      <c r="N12" s="12"/>
      <c r="O12" s="12"/>
      <c r="P12" s="12"/>
      <c r="Q12" s="12"/>
      <c r="R12" s="12"/>
      <c r="S12" s="12"/>
      <c r="T12" s="12"/>
      <c r="U12" s="12"/>
      <c r="V12" s="12"/>
      <c r="X12" s="12"/>
      <c r="Y12" s="12"/>
      <c r="Z12" s="12"/>
      <c r="AA12" s="12"/>
      <c r="AB12" s="12"/>
      <c r="AC12" s="12"/>
      <c r="AD12" s="12"/>
      <c r="AE12" s="12"/>
      <c r="AF12" s="12"/>
      <c r="AG12" s="12"/>
      <c r="AH12" s="12"/>
      <c r="AI12" s="12"/>
      <c r="AJ12" s="12" t="s">
        <v>396</v>
      </c>
      <c r="AK12" s="12" t="s">
        <v>397</v>
      </c>
      <c r="AL12" s="12" t="s">
        <v>381</v>
      </c>
    </row>
    <row r="13" spans="1:38">
      <c r="A13" s="4" t="s">
        <v>398</v>
      </c>
      <c r="B13" s="12"/>
      <c r="C13" s="19" t="s">
        <v>387</v>
      </c>
      <c r="D13" s="4" t="s">
        <v>378</v>
      </c>
      <c r="E13" s="4" t="s">
        <v>42</v>
      </c>
      <c r="F13" s="12">
        <v>2</v>
      </c>
      <c r="G13" s="12">
        <v>5</v>
      </c>
      <c r="H13" s="12">
        <v>0</v>
      </c>
      <c r="I13" s="12">
        <v>31</v>
      </c>
      <c r="J13" s="82">
        <f t="shared" si="0"/>
        <v>5</v>
      </c>
      <c r="K13" s="12" t="s">
        <v>470</v>
      </c>
      <c r="L13" s="12"/>
      <c r="M13" s="12"/>
      <c r="N13" s="12"/>
      <c r="O13" s="12"/>
      <c r="P13" s="12"/>
      <c r="Q13" s="12"/>
      <c r="R13" s="12"/>
      <c r="S13" s="12"/>
      <c r="T13" s="12"/>
      <c r="U13" s="12"/>
      <c r="V13" s="12"/>
      <c r="X13" s="12"/>
      <c r="Y13" s="12"/>
      <c r="Z13" s="12"/>
      <c r="AA13" s="12"/>
      <c r="AB13" s="12"/>
      <c r="AC13" s="12"/>
      <c r="AD13" s="12"/>
      <c r="AE13" s="12"/>
      <c r="AF13" s="12"/>
      <c r="AG13" s="12"/>
      <c r="AH13" s="12"/>
      <c r="AI13" s="12"/>
      <c r="AJ13" s="12" t="s">
        <v>380</v>
      </c>
      <c r="AK13" s="12" t="s">
        <v>381</v>
      </c>
      <c r="AL13" s="12"/>
    </row>
    <row r="14" spans="1:38">
      <c r="A14" s="4" t="s">
        <v>399</v>
      </c>
      <c r="B14" s="12"/>
      <c r="C14" s="19" t="s">
        <v>387</v>
      </c>
      <c r="D14" s="4" t="s">
        <v>378</v>
      </c>
      <c r="E14" s="4" t="s">
        <v>555</v>
      </c>
      <c r="F14" s="12">
        <v>3</v>
      </c>
      <c r="G14" s="12">
        <v>6</v>
      </c>
      <c r="H14" s="12">
        <v>0</v>
      </c>
      <c r="I14" s="12">
        <v>41</v>
      </c>
      <c r="J14" s="82">
        <f t="shared" si="0"/>
        <v>6</v>
      </c>
      <c r="K14" s="12" t="s">
        <v>472</v>
      </c>
      <c r="L14" s="12"/>
      <c r="M14" s="12"/>
      <c r="N14" s="12"/>
      <c r="O14" s="12"/>
      <c r="P14" s="12"/>
      <c r="Q14" s="12"/>
      <c r="R14" s="12"/>
      <c r="S14" s="12"/>
      <c r="T14" s="12"/>
      <c r="U14" s="12"/>
      <c r="V14" s="12"/>
      <c r="X14" s="12"/>
      <c r="Y14" s="12"/>
      <c r="Z14" s="12"/>
      <c r="AA14" s="12"/>
      <c r="AB14" s="12"/>
      <c r="AC14" s="12"/>
      <c r="AD14" s="12"/>
      <c r="AE14" s="12"/>
      <c r="AF14" s="12"/>
      <c r="AG14" s="12"/>
      <c r="AH14" s="12"/>
      <c r="AI14" s="12"/>
      <c r="AJ14" s="12" t="s">
        <v>396</v>
      </c>
      <c r="AK14" s="12" t="s">
        <v>397</v>
      </c>
      <c r="AL14" s="12"/>
    </row>
    <row r="15" spans="1:38">
      <c r="A15" s="4" t="s">
        <v>401</v>
      </c>
      <c r="B15" s="12"/>
      <c r="C15" s="19" t="s">
        <v>387</v>
      </c>
      <c r="D15" s="4" t="s">
        <v>378</v>
      </c>
      <c r="E15" s="4" t="s">
        <v>402</v>
      </c>
      <c r="F15" s="12">
        <v>5</v>
      </c>
      <c r="G15" s="12">
        <v>5</v>
      </c>
      <c r="H15" s="12">
        <v>0</v>
      </c>
      <c r="I15" s="12">
        <v>56</v>
      </c>
      <c r="J15" s="82">
        <f t="shared" si="0"/>
        <v>5</v>
      </c>
      <c r="K15" s="12" t="s">
        <v>469</v>
      </c>
      <c r="L15" s="12"/>
      <c r="M15" s="12"/>
      <c r="N15" s="12"/>
      <c r="O15" s="12"/>
      <c r="P15" s="12"/>
      <c r="Q15" s="12"/>
      <c r="R15" s="12"/>
      <c r="S15" s="12"/>
      <c r="T15" s="12"/>
      <c r="U15" s="12"/>
      <c r="V15" s="12"/>
      <c r="X15" s="12"/>
      <c r="Y15" s="12"/>
      <c r="Z15" s="12"/>
      <c r="AA15" s="12"/>
      <c r="AB15" s="12"/>
      <c r="AC15" s="12"/>
      <c r="AD15" s="12"/>
      <c r="AE15" s="12"/>
      <c r="AF15" s="12"/>
      <c r="AG15" s="12"/>
      <c r="AH15" s="12"/>
      <c r="AI15" s="12"/>
      <c r="AJ15" s="12" t="s">
        <v>396</v>
      </c>
      <c r="AK15" s="12" t="s">
        <v>397</v>
      </c>
      <c r="AL15" s="12"/>
    </row>
    <row r="16" spans="1:38">
      <c r="A16" s="4" t="s">
        <v>403</v>
      </c>
      <c r="B16" s="12"/>
      <c r="C16" s="19" t="s">
        <v>387</v>
      </c>
      <c r="D16" s="4" t="s">
        <v>378</v>
      </c>
      <c r="E16" s="4" t="s">
        <v>54</v>
      </c>
      <c r="F16" s="12">
        <v>8</v>
      </c>
      <c r="G16" s="12">
        <v>13</v>
      </c>
      <c r="H16" s="12">
        <v>0</v>
      </c>
      <c r="I16" s="12">
        <v>81</v>
      </c>
      <c r="J16" s="82">
        <f t="shared" si="0"/>
        <v>13</v>
      </c>
      <c r="K16" s="12" t="s">
        <v>470</v>
      </c>
      <c r="L16" s="12"/>
      <c r="M16" s="12"/>
      <c r="N16" s="12"/>
      <c r="O16" s="12"/>
      <c r="P16" s="12"/>
      <c r="Q16" s="12"/>
      <c r="R16" s="12"/>
      <c r="S16" s="12"/>
      <c r="T16" s="12"/>
      <c r="U16" s="12"/>
      <c r="V16" s="12"/>
      <c r="X16" s="12"/>
      <c r="Y16" s="12"/>
      <c r="Z16" s="12"/>
      <c r="AA16" s="12"/>
      <c r="AB16" s="12"/>
      <c r="AC16" s="12"/>
      <c r="AD16" s="12"/>
      <c r="AE16" s="12"/>
      <c r="AF16" s="12"/>
      <c r="AG16" s="12"/>
      <c r="AH16" s="12"/>
      <c r="AI16" s="12"/>
      <c r="AJ16" s="12" t="s">
        <v>396</v>
      </c>
      <c r="AK16" s="12" t="s">
        <v>397</v>
      </c>
      <c r="AL16" s="12"/>
    </row>
    <row r="17" spans="1:38">
      <c r="A17" s="4" t="s">
        <v>404</v>
      </c>
      <c r="B17" s="12"/>
      <c r="C17" s="19" t="s">
        <v>387</v>
      </c>
      <c r="D17" s="4" t="s">
        <v>378</v>
      </c>
      <c r="E17" s="4" t="s">
        <v>58</v>
      </c>
      <c r="F17" s="12">
        <v>4</v>
      </c>
      <c r="G17" s="12">
        <v>4</v>
      </c>
      <c r="H17" s="12">
        <v>0</v>
      </c>
      <c r="I17" s="12">
        <v>31</v>
      </c>
      <c r="J17" s="82">
        <f t="shared" si="0"/>
        <v>4</v>
      </c>
      <c r="K17" s="12" t="s">
        <v>472</v>
      </c>
      <c r="L17" s="12"/>
      <c r="M17" s="12"/>
      <c r="N17" s="12"/>
      <c r="O17" s="12"/>
      <c r="P17" s="12"/>
      <c r="T17" s="12"/>
      <c r="U17" s="12"/>
      <c r="V17" s="12"/>
      <c r="X17" s="12"/>
      <c r="Y17" s="12"/>
      <c r="Z17" s="12"/>
      <c r="AA17" s="12"/>
      <c r="AB17" s="12"/>
      <c r="AC17" s="12"/>
      <c r="AD17" s="12"/>
      <c r="AE17" s="12"/>
      <c r="AF17" s="12"/>
      <c r="AG17" s="12"/>
      <c r="AH17" s="12"/>
      <c r="AI17" s="12"/>
      <c r="AJ17" s="12" t="s">
        <v>396</v>
      </c>
      <c r="AK17" s="12" t="s">
        <v>397</v>
      </c>
      <c r="AL17" s="12" t="s">
        <v>381</v>
      </c>
    </row>
    <row r="18" spans="1:38">
      <c r="A18" s="4" t="s">
        <v>405</v>
      </c>
      <c r="B18" s="12"/>
      <c r="C18" s="19" t="s">
        <v>387</v>
      </c>
      <c r="D18" s="4" t="s">
        <v>378</v>
      </c>
      <c r="E18" s="4" t="s">
        <v>406</v>
      </c>
      <c r="F18" s="12">
        <v>8</v>
      </c>
      <c r="G18" s="12">
        <v>13</v>
      </c>
      <c r="H18" s="12">
        <v>0</v>
      </c>
      <c r="I18" s="12">
        <v>109</v>
      </c>
      <c r="J18" s="82">
        <f t="shared" si="0"/>
        <v>13</v>
      </c>
      <c r="K18" s="12" t="s">
        <v>469</v>
      </c>
      <c r="L18" s="12"/>
      <c r="M18" s="12"/>
      <c r="N18" s="12"/>
      <c r="O18" s="12"/>
      <c r="P18" s="12"/>
      <c r="Q18" s="12"/>
      <c r="R18" s="12"/>
      <c r="S18" s="12"/>
      <c r="T18" s="12"/>
      <c r="U18" s="12"/>
      <c r="V18" s="12"/>
      <c r="X18" s="12"/>
      <c r="Y18" s="12"/>
      <c r="Z18" s="12"/>
      <c r="AA18" s="12"/>
      <c r="AB18" s="12">
        <v>50</v>
      </c>
      <c r="AC18" s="12" t="s">
        <v>472</v>
      </c>
      <c r="AD18" s="12"/>
      <c r="AE18" s="12"/>
      <c r="AF18" s="12"/>
      <c r="AG18" s="12"/>
      <c r="AH18" s="12"/>
      <c r="AI18" s="12"/>
      <c r="AJ18" s="12" t="s">
        <v>380</v>
      </c>
      <c r="AK18" s="12" t="s">
        <v>381</v>
      </c>
      <c r="AL18" s="12"/>
    </row>
    <row r="19" spans="1:38">
      <c r="A19" s="4" t="s">
        <v>407</v>
      </c>
      <c r="B19" s="12"/>
      <c r="C19" s="19" t="s">
        <v>387</v>
      </c>
      <c r="D19" s="4" t="s">
        <v>378</v>
      </c>
      <c r="E19" s="4" t="s">
        <v>65</v>
      </c>
      <c r="F19" s="12">
        <v>6</v>
      </c>
      <c r="G19" s="12">
        <v>7</v>
      </c>
      <c r="H19" s="12">
        <v>0</v>
      </c>
      <c r="I19" s="12">
        <v>131</v>
      </c>
      <c r="J19" s="82">
        <f t="shared" si="0"/>
        <v>7</v>
      </c>
      <c r="K19" s="12" t="s">
        <v>470</v>
      </c>
      <c r="L19" s="12"/>
      <c r="M19" s="12"/>
      <c r="N19" s="12"/>
      <c r="O19" s="12"/>
      <c r="P19" s="12"/>
      <c r="Q19" s="12"/>
      <c r="R19" s="12"/>
      <c r="S19" s="12"/>
      <c r="T19" s="12"/>
      <c r="U19" s="12"/>
      <c r="V19" s="12"/>
      <c r="X19" s="12"/>
      <c r="Y19" s="12"/>
      <c r="Z19" s="12"/>
      <c r="AA19" s="12"/>
      <c r="AB19" s="12"/>
      <c r="AC19" s="12"/>
      <c r="AD19" s="12"/>
      <c r="AE19" s="12"/>
      <c r="AF19" s="12"/>
      <c r="AG19" s="12"/>
      <c r="AH19" s="12"/>
      <c r="AI19" s="12"/>
      <c r="AJ19" s="12" t="s">
        <v>396</v>
      </c>
      <c r="AK19" s="12" t="s">
        <v>397</v>
      </c>
      <c r="AL19" s="12"/>
    </row>
    <row r="20" spans="1:38">
      <c r="A20" s="4" t="s">
        <v>408</v>
      </c>
      <c r="B20" s="12"/>
      <c r="C20" s="19" t="s">
        <v>387</v>
      </c>
      <c r="D20" s="4" t="s">
        <v>378</v>
      </c>
      <c r="E20" s="4" t="s">
        <v>556</v>
      </c>
      <c r="F20" s="12">
        <v>5</v>
      </c>
      <c r="G20" s="12">
        <v>6</v>
      </c>
      <c r="H20" s="12">
        <v>0</v>
      </c>
      <c r="I20" s="12">
        <v>61</v>
      </c>
      <c r="J20" s="82">
        <f t="shared" si="0"/>
        <v>6</v>
      </c>
      <c r="K20" s="12" t="s">
        <v>472</v>
      </c>
      <c r="L20" s="12"/>
      <c r="M20" s="12"/>
      <c r="N20" s="12"/>
      <c r="O20" s="12"/>
      <c r="P20" s="12"/>
      <c r="Q20" s="12"/>
      <c r="R20" s="12"/>
      <c r="S20" s="12"/>
      <c r="T20" s="12"/>
      <c r="U20" s="12"/>
      <c r="V20" s="12"/>
      <c r="X20" s="12"/>
      <c r="Y20" s="12"/>
      <c r="Z20" s="12"/>
      <c r="AA20" s="12"/>
      <c r="AB20" s="12"/>
      <c r="AC20" s="12"/>
      <c r="AD20" s="12"/>
      <c r="AE20" s="12"/>
      <c r="AF20" s="12"/>
      <c r="AG20" s="12"/>
      <c r="AH20" s="12"/>
      <c r="AI20" s="12"/>
      <c r="AJ20" s="12" t="s">
        <v>380</v>
      </c>
      <c r="AK20" s="12" t="s">
        <v>381</v>
      </c>
      <c r="AL20" s="12"/>
    </row>
    <row r="21" spans="1:38">
      <c r="A21" s="4" t="s">
        <v>409</v>
      </c>
      <c r="B21" s="12"/>
      <c r="C21" s="19" t="s">
        <v>387</v>
      </c>
      <c r="D21" s="4" t="s">
        <v>378</v>
      </c>
      <c r="E21" s="4" t="s">
        <v>556</v>
      </c>
      <c r="F21" s="12">
        <v>5</v>
      </c>
      <c r="G21" s="12">
        <v>6</v>
      </c>
      <c r="H21" s="12">
        <v>0</v>
      </c>
      <c r="I21" s="12">
        <v>61</v>
      </c>
      <c r="J21" s="82">
        <f t="shared" si="0"/>
        <v>6</v>
      </c>
      <c r="K21" s="12" t="s">
        <v>469</v>
      </c>
      <c r="L21" s="12"/>
      <c r="M21" s="12"/>
      <c r="N21" s="12"/>
      <c r="O21" s="12"/>
      <c r="P21" s="12"/>
      <c r="Q21" s="12"/>
      <c r="R21" s="12"/>
      <c r="S21" s="12"/>
      <c r="T21" s="12"/>
      <c r="U21" s="12"/>
      <c r="V21" s="12"/>
      <c r="X21" s="12"/>
      <c r="Y21" s="12"/>
      <c r="Z21" s="12"/>
      <c r="AA21" s="12"/>
      <c r="AB21" s="12"/>
      <c r="AC21" s="12"/>
      <c r="AD21" s="12"/>
      <c r="AE21" s="12"/>
      <c r="AF21" s="12"/>
      <c r="AG21" s="12"/>
      <c r="AH21" s="12"/>
      <c r="AI21" s="12"/>
      <c r="AJ21" s="12" t="s">
        <v>380</v>
      </c>
      <c r="AK21" s="12" t="s">
        <v>381</v>
      </c>
      <c r="AL21" s="12"/>
    </row>
    <row r="22" spans="1:38">
      <c r="A22" s="4" t="s">
        <v>410</v>
      </c>
      <c r="B22" s="12"/>
      <c r="C22" s="19" t="s">
        <v>387</v>
      </c>
      <c r="D22" s="4" t="s">
        <v>378</v>
      </c>
      <c r="E22" s="4" t="s">
        <v>73</v>
      </c>
      <c r="F22" s="12">
        <v>5</v>
      </c>
      <c r="G22" s="12">
        <v>13</v>
      </c>
      <c r="H22" s="12">
        <v>0</v>
      </c>
      <c r="I22" s="12">
        <v>56</v>
      </c>
      <c r="J22" s="82">
        <f t="shared" si="0"/>
        <v>13</v>
      </c>
      <c r="K22" s="12" t="s">
        <v>470</v>
      </c>
      <c r="L22" s="12"/>
      <c r="M22" s="12"/>
      <c r="N22" s="12"/>
      <c r="O22" s="12"/>
      <c r="P22" s="12"/>
      <c r="Q22" s="12"/>
      <c r="R22" s="12"/>
      <c r="S22" s="12"/>
      <c r="T22" s="12"/>
      <c r="U22" s="12"/>
      <c r="V22" s="12"/>
      <c r="X22" s="12"/>
      <c r="Y22" s="12"/>
      <c r="Z22" s="12"/>
      <c r="AA22" s="12"/>
      <c r="AB22" s="12"/>
      <c r="AC22" s="12"/>
      <c r="AD22" s="12">
        <v>85</v>
      </c>
      <c r="AE22" s="12" t="s">
        <v>470</v>
      </c>
      <c r="AF22" s="12"/>
      <c r="AG22" s="12"/>
      <c r="AH22" s="12"/>
      <c r="AI22" s="12"/>
      <c r="AJ22" s="12" t="s">
        <v>380</v>
      </c>
      <c r="AK22" s="12" t="s">
        <v>381</v>
      </c>
      <c r="AL22" s="12"/>
    </row>
    <row r="23" spans="1:38">
      <c r="A23" s="4" t="s">
        <v>411</v>
      </c>
      <c r="B23" s="12"/>
      <c r="C23" s="19" t="s">
        <v>387</v>
      </c>
      <c r="D23" s="4" t="s">
        <v>378</v>
      </c>
      <c r="E23" s="4" t="s">
        <v>77</v>
      </c>
      <c r="F23" s="12">
        <v>5</v>
      </c>
      <c r="G23" s="12">
        <v>13</v>
      </c>
      <c r="H23" s="12">
        <v>0</v>
      </c>
      <c r="I23" s="12">
        <v>56</v>
      </c>
      <c r="J23" s="82">
        <f t="shared" si="0"/>
        <v>13</v>
      </c>
      <c r="K23" s="12" t="s">
        <v>472</v>
      </c>
      <c r="L23" s="12"/>
      <c r="M23" s="12"/>
      <c r="N23" s="12"/>
      <c r="O23" s="12"/>
      <c r="P23" s="12"/>
      <c r="Q23" s="12"/>
      <c r="R23" s="12"/>
      <c r="S23" s="12"/>
      <c r="T23" s="12"/>
      <c r="U23" s="12"/>
      <c r="V23" s="12"/>
      <c r="X23" s="12"/>
      <c r="Y23" s="12"/>
      <c r="Z23" s="12"/>
      <c r="AA23" s="12"/>
      <c r="AB23" s="12"/>
      <c r="AC23" s="12"/>
      <c r="AD23" s="12">
        <v>85</v>
      </c>
      <c r="AE23" s="12" t="s">
        <v>472</v>
      </c>
      <c r="AF23" s="12"/>
      <c r="AG23" s="12"/>
      <c r="AH23" s="12"/>
      <c r="AI23" s="12"/>
      <c r="AJ23" s="12" t="s">
        <v>380</v>
      </c>
      <c r="AK23" s="12" t="s">
        <v>381</v>
      </c>
      <c r="AL23" s="12"/>
    </row>
    <row r="24" spans="1:38">
      <c r="A24" s="4" t="s">
        <v>433</v>
      </c>
      <c r="B24" s="12"/>
      <c r="C24" s="19" t="s">
        <v>387</v>
      </c>
      <c r="D24" s="4" t="s">
        <v>378</v>
      </c>
      <c r="E24" s="4" t="s">
        <v>81</v>
      </c>
      <c r="F24" s="12">
        <v>5</v>
      </c>
      <c r="G24" s="12">
        <v>9</v>
      </c>
      <c r="H24" s="12">
        <v>0</v>
      </c>
      <c r="I24" s="12">
        <v>41</v>
      </c>
      <c r="J24" s="82">
        <f t="shared" si="0"/>
        <v>9</v>
      </c>
      <c r="K24" s="12" t="s">
        <v>469</v>
      </c>
      <c r="L24" s="12"/>
      <c r="M24" s="12"/>
      <c r="N24" s="12"/>
      <c r="O24" s="12"/>
      <c r="P24" s="12"/>
      <c r="Q24" s="12"/>
      <c r="R24" s="12"/>
      <c r="S24" s="12"/>
      <c r="T24" s="12"/>
      <c r="U24" s="12"/>
      <c r="V24" s="12"/>
      <c r="X24" s="12"/>
      <c r="Y24" s="12"/>
      <c r="Z24" s="12"/>
      <c r="AA24" s="12"/>
      <c r="AB24" s="12"/>
      <c r="AC24" s="12"/>
      <c r="AD24" s="12"/>
      <c r="AE24" s="12"/>
      <c r="AF24" s="12"/>
      <c r="AG24" s="12"/>
      <c r="AH24" s="12"/>
      <c r="AI24" s="12"/>
      <c r="AJ24" s="12" t="s">
        <v>380</v>
      </c>
      <c r="AK24" s="12" t="s">
        <v>381</v>
      </c>
      <c r="AL24" s="12"/>
    </row>
    <row r="25" spans="1:38">
      <c r="A25" s="4" t="s">
        <v>435</v>
      </c>
      <c r="B25" s="12"/>
      <c r="C25" s="19" t="s">
        <v>387</v>
      </c>
      <c r="D25" s="4" t="s">
        <v>378</v>
      </c>
      <c r="E25" s="4" t="s">
        <v>81</v>
      </c>
      <c r="F25" s="12">
        <v>5</v>
      </c>
      <c r="G25" s="12">
        <v>9</v>
      </c>
      <c r="H25" s="12">
        <v>0</v>
      </c>
      <c r="I25" s="12">
        <v>41</v>
      </c>
      <c r="J25" s="82">
        <f t="shared" si="0"/>
        <v>9</v>
      </c>
      <c r="K25" s="12" t="s">
        <v>470</v>
      </c>
      <c r="L25" s="12"/>
      <c r="M25" s="12"/>
      <c r="N25" s="12"/>
      <c r="O25" s="12"/>
      <c r="P25" s="12"/>
      <c r="Q25" s="12"/>
      <c r="R25" s="12"/>
      <c r="S25" s="12"/>
      <c r="T25" s="12"/>
      <c r="U25" s="12"/>
      <c r="V25" s="12"/>
      <c r="X25" s="12"/>
      <c r="Y25" s="12"/>
      <c r="Z25" s="12"/>
      <c r="AA25" s="12"/>
      <c r="AB25" s="12"/>
      <c r="AC25" s="12"/>
      <c r="AD25" s="12"/>
      <c r="AE25" s="12"/>
      <c r="AF25" s="12"/>
      <c r="AG25" s="12"/>
      <c r="AH25" s="12"/>
      <c r="AI25" s="12"/>
      <c r="AJ25" s="12" t="s">
        <v>380</v>
      </c>
      <c r="AK25" s="12" t="s">
        <v>381</v>
      </c>
      <c r="AL25" s="12"/>
    </row>
    <row r="26" spans="1:38">
      <c r="A26" s="4" t="s">
        <v>557</v>
      </c>
      <c r="B26" s="12"/>
      <c r="C26" s="19" t="s">
        <v>387</v>
      </c>
      <c r="D26" s="4" t="s">
        <v>378</v>
      </c>
      <c r="E26" s="4" t="s">
        <v>85</v>
      </c>
      <c r="F26" s="12">
        <v>8</v>
      </c>
      <c r="G26" s="12">
        <v>35</v>
      </c>
      <c r="H26" s="12">
        <v>35</v>
      </c>
      <c r="I26" s="12">
        <v>136</v>
      </c>
      <c r="J26" s="82">
        <f t="shared" si="0"/>
        <v>0</v>
      </c>
      <c r="K26" s="12" t="s">
        <v>472</v>
      </c>
      <c r="L26" s="12"/>
      <c r="M26" s="12"/>
      <c r="N26" s="12"/>
      <c r="O26" s="12"/>
      <c r="P26" s="12"/>
      <c r="Q26" s="12"/>
      <c r="R26" s="12"/>
      <c r="S26" s="12"/>
      <c r="T26" s="12"/>
      <c r="U26" s="12"/>
      <c r="V26" s="12"/>
      <c r="X26" s="12"/>
      <c r="Y26" s="12"/>
      <c r="Z26" s="12"/>
      <c r="AA26" s="12"/>
      <c r="AB26" s="12"/>
      <c r="AC26" s="12"/>
      <c r="AD26" s="12"/>
      <c r="AE26" s="12"/>
      <c r="AF26" s="12"/>
      <c r="AG26" s="12"/>
      <c r="AH26" s="12"/>
      <c r="AI26" s="12"/>
      <c r="AJ26" s="12" t="s">
        <v>396</v>
      </c>
      <c r="AK26" s="12" t="s">
        <v>397</v>
      </c>
      <c r="AL26" s="12"/>
    </row>
    <row r="27" spans="1:38">
      <c r="A27" s="4" t="s">
        <v>558</v>
      </c>
      <c r="B27" s="12"/>
      <c r="C27" s="19" t="s">
        <v>387</v>
      </c>
      <c r="D27" s="4" t="s">
        <v>378</v>
      </c>
      <c r="E27" s="4" t="s">
        <v>85</v>
      </c>
      <c r="F27" s="12">
        <v>8</v>
      </c>
      <c r="G27" s="12">
        <v>35</v>
      </c>
      <c r="H27" s="12">
        <v>35</v>
      </c>
      <c r="I27" s="12">
        <v>136</v>
      </c>
      <c r="J27" s="82">
        <f t="shared" si="0"/>
        <v>0</v>
      </c>
      <c r="K27" s="12" t="s">
        <v>469</v>
      </c>
      <c r="L27" s="12"/>
      <c r="M27" s="12"/>
      <c r="N27" s="12"/>
      <c r="O27" s="12"/>
      <c r="P27" s="12"/>
      <c r="Q27" s="12"/>
      <c r="R27" s="12"/>
      <c r="S27" s="12"/>
      <c r="T27" s="12"/>
      <c r="U27" s="12"/>
      <c r="V27" s="12"/>
      <c r="X27" s="12"/>
      <c r="Y27" s="12"/>
      <c r="Z27" s="12"/>
      <c r="AA27" s="12"/>
      <c r="AB27" s="12"/>
      <c r="AC27" s="12"/>
      <c r="AD27" s="12"/>
      <c r="AE27" s="12"/>
      <c r="AF27" s="12"/>
      <c r="AG27" s="12"/>
      <c r="AH27" s="12"/>
      <c r="AI27" s="12"/>
      <c r="AJ27" s="12" t="s">
        <v>396</v>
      </c>
      <c r="AK27" s="12" t="s">
        <v>397</v>
      </c>
      <c r="AL27" s="12"/>
    </row>
    <row r="28" spans="1:38">
      <c r="A28" s="4" t="s">
        <v>559</v>
      </c>
      <c r="B28" s="12"/>
      <c r="C28" s="19" t="s">
        <v>387</v>
      </c>
      <c r="D28" s="4" t="s">
        <v>378</v>
      </c>
      <c r="E28" s="4" t="s">
        <v>85</v>
      </c>
      <c r="F28" s="12">
        <v>8</v>
      </c>
      <c r="G28" s="12">
        <v>35</v>
      </c>
      <c r="H28" s="12">
        <v>35</v>
      </c>
      <c r="I28" s="12">
        <v>136</v>
      </c>
      <c r="J28" s="82">
        <f t="shared" si="0"/>
        <v>0</v>
      </c>
      <c r="K28" s="12" t="s">
        <v>470</v>
      </c>
      <c r="L28" s="12"/>
      <c r="M28" s="12"/>
      <c r="N28" s="12"/>
      <c r="O28" s="12"/>
      <c r="P28" s="12"/>
      <c r="Q28" s="12"/>
      <c r="R28" s="12"/>
      <c r="S28" s="12"/>
      <c r="T28" s="12"/>
      <c r="U28" s="12"/>
      <c r="V28" s="12"/>
      <c r="X28" s="12"/>
      <c r="Y28" s="12"/>
      <c r="Z28" s="12"/>
      <c r="AA28" s="12"/>
      <c r="AB28" s="12"/>
      <c r="AC28" s="12"/>
      <c r="AD28" s="12"/>
      <c r="AE28" s="12"/>
      <c r="AF28" s="12"/>
      <c r="AG28" s="12"/>
      <c r="AH28" s="12"/>
      <c r="AI28" s="12"/>
      <c r="AJ28" s="12" t="s">
        <v>396</v>
      </c>
      <c r="AK28" s="12" t="s">
        <v>397</v>
      </c>
      <c r="AL28" s="12"/>
    </row>
    <row r="29" spans="1:38">
      <c r="A29" s="4" t="s">
        <v>560</v>
      </c>
      <c r="B29" s="12"/>
      <c r="C29" s="19" t="s">
        <v>387</v>
      </c>
      <c r="D29" s="4" t="s">
        <v>378</v>
      </c>
      <c r="E29" s="4" t="s">
        <v>85</v>
      </c>
      <c r="F29" s="12">
        <v>8</v>
      </c>
      <c r="G29" s="12">
        <v>35</v>
      </c>
      <c r="H29" s="12">
        <v>35</v>
      </c>
      <c r="I29" s="12">
        <v>136</v>
      </c>
      <c r="J29" s="82">
        <f t="shared" si="0"/>
        <v>0</v>
      </c>
      <c r="K29" s="12" t="s">
        <v>472</v>
      </c>
      <c r="L29" s="12"/>
      <c r="M29" s="12"/>
      <c r="N29" s="12"/>
      <c r="O29" s="12"/>
      <c r="P29" s="12"/>
      <c r="Q29" s="12"/>
      <c r="R29" s="12"/>
      <c r="S29" s="12"/>
      <c r="T29" s="12"/>
      <c r="U29" s="12"/>
      <c r="V29" s="12"/>
      <c r="X29" s="12"/>
      <c r="Y29" s="12"/>
      <c r="Z29" s="12"/>
      <c r="AA29" s="12"/>
      <c r="AB29" s="12"/>
      <c r="AC29" s="12"/>
      <c r="AD29" s="12"/>
      <c r="AE29" s="12"/>
      <c r="AF29" s="12"/>
      <c r="AG29" s="12"/>
      <c r="AH29" s="12"/>
      <c r="AI29" s="12"/>
      <c r="AJ29" s="12" t="s">
        <v>396</v>
      </c>
      <c r="AK29" s="12" t="s">
        <v>397</v>
      </c>
      <c r="AL29" s="12"/>
    </row>
    <row r="30" spans="1:38">
      <c r="A30" s="4" t="s">
        <v>566</v>
      </c>
      <c r="B30" s="12"/>
      <c r="C30" s="19" t="s">
        <v>387</v>
      </c>
      <c r="D30" s="19" t="s">
        <v>434</v>
      </c>
      <c r="E30" s="4" t="s">
        <v>89</v>
      </c>
      <c r="F30" s="12">
        <v>4</v>
      </c>
      <c r="G30" s="12">
        <v>4</v>
      </c>
      <c r="H30" s="12">
        <v>0</v>
      </c>
      <c r="I30" s="12">
        <v>100</v>
      </c>
      <c r="J30" s="82">
        <f t="shared" si="0"/>
        <v>4</v>
      </c>
      <c r="K30" s="12" t="s">
        <v>469</v>
      </c>
      <c r="L30" s="12"/>
      <c r="M30" s="12"/>
      <c r="N30" s="12"/>
      <c r="O30" s="12"/>
      <c r="P30" s="12"/>
      <c r="Q30" s="12"/>
      <c r="R30" s="12"/>
      <c r="S30" s="12"/>
      <c r="T30" s="12"/>
      <c r="U30" s="12"/>
      <c r="V30" s="12"/>
      <c r="X30" s="12"/>
      <c r="Y30" s="12"/>
      <c r="Z30" s="12"/>
      <c r="AA30" s="12"/>
      <c r="AB30" s="12"/>
      <c r="AC30" s="12"/>
      <c r="AD30" s="12"/>
      <c r="AE30" s="12"/>
      <c r="AF30" s="12"/>
      <c r="AG30" s="12"/>
      <c r="AH30" s="12"/>
      <c r="AI30" s="12"/>
      <c r="AJ30" s="12" t="s">
        <v>380</v>
      </c>
      <c r="AK30" s="12" t="s">
        <v>381</v>
      </c>
      <c r="AL30" s="12"/>
    </row>
    <row r="31" spans="1:38">
      <c r="A31" s="4" t="s">
        <v>567</v>
      </c>
      <c r="B31" s="12"/>
      <c r="C31" s="19" t="s">
        <v>387</v>
      </c>
      <c r="D31" s="19" t="s">
        <v>434</v>
      </c>
      <c r="E31" s="4" t="s">
        <v>97</v>
      </c>
      <c r="F31" s="12">
        <v>4</v>
      </c>
      <c r="G31" s="12">
        <v>16</v>
      </c>
      <c r="H31" s="12">
        <v>0</v>
      </c>
      <c r="I31" s="12">
        <v>110</v>
      </c>
      <c r="J31" s="82">
        <f t="shared" si="0"/>
        <v>16</v>
      </c>
      <c r="K31" s="12" t="s">
        <v>470</v>
      </c>
      <c r="L31" s="12"/>
      <c r="M31" s="12"/>
      <c r="N31" s="12"/>
      <c r="O31" s="12"/>
      <c r="P31" s="12"/>
      <c r="Q31" s="12"/>
      <c r="R31" s="12"/>
      <c r="S31" s="12"/>
      <c r="T31" s="12"/>
      <c r="U31" s="12"/>
      <c r="V31" s="12"/>
      <c r="X31" s="12"/>
      <c r="Y31" s="12"/>
      <c r="Z31" s="12"/>
      <c r="AA31" s="12"/>
      <c r="AB31" s="12"/>
      <c r="AC31" s="12"/>
      <c r="AD31" s="12"/>
      <c r="AE31" s="12"/>
      <c r="AF31" s="12"/>
      <c r="AG31" s="12"/>
      <c r="AH31" s="12"/>
      <c r="AI31" s="12"/>
      <c r="AJ31" s="12" t="s">
        <v>380</v>
      </c>
      <c r="AK31" s="12" t="s">
        <v>381</v>
      </c>
      <c r="AL31" s="12"/>
    </row>
    <row r="32" spans="1:38">
      <c r="A32" s="4" t="s">
        <v>436</v>
      </c>
      <c r="B32" s="12"/>
      <c r="C32" s="19" t="s">
        <v>387</v>
      </c>
      <c r="D32" s="19" t="s">
        <v>434</v>
      </c>
      <c r="E32" s="4" t="s">
        <v>93</v>
      </c>
      <c r="F32" s="12">
        <v>4</v>
      </c>
      <c r="G32" s="12">
        <v>14</v>
      </c>
      <c r="H32" s="12">
        <v>0</v>
      </c>
      <c r="I32" s="12">
        <v>120</v>
      </c>
      <c r="J32" s="82">
        <f t="shared" si="0"/>
        <v>14</v>
      </c>
      <c r="K32" s="12" t="s">
        <v>472</v>
      </c>
      <c r="L32" s="12"/>
      <c r="M32" s="12"/>
      <c r="N32" s="12"/>
      <c r="O32" s="12"/>
      <c r="P32" s="12"/>
      <c r="Q32" s="12"/>
      <c r="R32" s="12"/>
      <c r="S32" s="12"/>
      <c r="T32" s="12"/>
      <c r="U32" s="12"/>
      <c r="V32" s="12"/>
      <c r="X32" s="12"/>
      <c r="Y32" s="12"/>
      <c r="Z32" s="12"/>
      <c r="AA32" s="12"/>
      <c r="AB32" s="12"/>
      <c r="AC32" s="12"/>
      <c r="AD32" s="12"/>
      <c r="AE32" s="12"/>
      <c r="AF32" s="12"/>
      <c r="AG32" s="12"/>
      <c r="AH32" s="12"/>
      <c r="AI32" s="12"/>
      <c r="AJ32" s="12" t="s">
        <v>380</v>
      </c>
      <c r="AK32" s="12" t="s">
        <v>381</v>
      </c>
      <c r="AL32" s="12"/>
    </row>
    <row r="33" spans="1:45">
      <c r="A33" s="4" t="s">
        <v>412</v>
      </c>
      <c r="B33" s="12"/>
      <c r="C33" s="19" t="s">
        <v>387</v>
      </c>
      <c r="D33" s="4" t="s">
        <v>378</v>
      </c>
      <c r="E33" s="4" t="s">
        <v>100</v>
      </c>
      <c r="F33" s="12">
        <v>9</v>
      </c>
      <c r="G33" s="12">
        <v>12</v>
      </c>
      <c r="H33" s="12">
        <v>0</v>
      </c>
      <c r="I33" s="12">
        <v>56</v>
      </c>
      <c r="J33" s="82">
        <f t="shared" si="0"/>
        <v>12</v>
      </c>
      <c r="K33" s="12" t="s">
        <v>472</v>
      </c>
      <c r="L33" s="12"/>
      <c r="M33" s="12"/>
      <c r="N33" s="12"/>
      <c r="O33" s="12"/>
      <c r="P33" s="12"/>
      <c r="Q33" s="12"/>
      <c r="R33" s="12"/>
      <c r="S33" s="12"/>
      <c r="T33" s="12"/>
      <c r="U33" s="12"/>
      <c r="V33" s="12"/>
      <c r="X33" s="12"/>
      <c r="Y33" s="12"/>
      <c r="Z33" s="12">
        <v>50</v>
      </c>
      <c r="AA33" s="12" t="s">
        <v>413</v>
      </c>
      <c r="AB33" s="12"/>
      <c r="AC33" s="12"/>
      <c r="AD33" s="12"/>
      <c r="AE33" s="12"/>
      <c r="AF33" s="12"/>
      <c r="AG33" s="12"/>
      <c r="AH33" s="12"/>
      <c r="AI33" s="12"/>
      <c r="AJ33" s="12" t="s">
        <v>380</v>
      </c>
      <c r="AK33" s="12" t="s">
        <v>381</v>
      </c>
      <c r="AL33" s="12"/>
    </row>
    <row r="34" spans="1:45">
      <c r="A34" s="4" t="s">
        <v>414</v>
      </c>
      <c r="B34" s="12"/>
      <c r="C34" s="19" t="s">
        <v>387</v>
      </c>
      <c r="D34" s="4" t="s">
        <v>378</v>
      </c>
      <c r="E34" s="4" t="s">
        <v>100</v>
      </c>
      <c r="F34" s="12">
        <v>9</v>
      </c>
      <c r="G34" s="12">
        <v>12</v>
      </c>
      <c r="H34" s="12">
        <v>0</v>
      </c>
      <c r="I34" s="12">
        <v>56</v>
      </c>
      <c r="J34" s="82">
        <f t="shared" si="0"/>
        <v>12</v>
      </c>
      <c r="K34" s="12" t="s">
        <v>469</v>
      </c>
      <c r="L34" s="12"/>
      <c r="M34" s="12"/>
      <c r="N34" s="12"/>
      <c r="O34" s="12"/>
      <c r="P34" s="12"/>
      <c r="Q34" s="12"/>
      <c r="R34" s="12"/>
      <c r="S34" s="12"/>
      <c r="T34" s="12"/>
      <c r="U34" s="12"/>
      <c r="V34" s="12"/>
      <c r="X34" s="12"/>
      <c r="Y34" s="12"/>
      <c r="Z34" s="12">
        <v>50</v>
      </c>
      <c r="AA34" s="12" t="s">
        <v>413</v>
      </c>
      <c r="AB34" s="12"/>
      <c r="AC34" s="12"/>
      <c r="AD34" s="12"/>
      <c r="AE34" s="12"/>
      <c r="AF34" s="12"/>
      <c r="AG34" s="12"/>
      <c r="AH34" s="12"/>
      <c r="AI34" s="12"/>
      <c r="AJ34" s="12" t="s">
        <v>380</v>
      </c>
      <c r="AK34" s="12" t="s">
        <v>381</v>
      </c>
      <c r="AL34" s="12"/>
    </row>
    <row r="35" spans="1:45">
      <c r="A35" s="4" t="s">
        <v>415</v>
      </c>
      <c r="B35" s="12"/>
      <c r="C35" s="19" t="s">
        <v>387</v>
      </c>
      <c r="D35" s="4" t="s">
        <v>378</v>
      </c>
      <c r="E35" s="4" t="s">
        <v>416</v>
      </c>
      <c r="F35" s="12">
        <v>4</v>
      </c>
      <c r="G35" s="12">
        <v>4</v>
      </c>
      <c r="H35" s="12">
        <v>0</v>
      </c>
      <c r="I35" s="12">
        <v>41</v>
      </c>
      <c r="J35" s="82">
        <f t="shared" si="0"/>
        <v>4</v>
      </c>
      <c r="K35" s="12" t="s">
        <v>472</v>
      </c>
      <c r="L35" s="12"/>
      <c r="M35" s="12"/>
      <c r="N35" s="12"/>
      <c r="O35" s="12"/>
      <c r="P35" s="12"/>
      <c r="Q35" s="12"/>
      <c r="R35" s="12"/>
      <c r="S35" s="12"/>
      <c r="T35" s="12"/>
      <c r="U35" s="12"/>
      <c r="V35" s="12"/>
      <c r="X35" s="12"/>
      <c r="Y35" s="12"/>
      <c r="Z35" s="12"/>
      <c r="AA35" s="12"/>
      <c r="AB35" s="12"/>
      <c r="AC35" s="12"/>
      <c r="AD35" s="12"/>
      <c r="AE35" s="12"/>
      <c r="AF35" s="12"/>
      <c r="AG35" s="12"/>
      <c r="AH35" s="12"/>
      <c r="AI35" s="12"/>
      <c r="AJ35" s="12" t="s">
        <v>380</v>
      </c>
      <c r="AK35" s="12" t="s">
        <v>381</v>
      </c>
      <c r="AL35" s="12"/>
    </row>
    <row r="36" spans="1:45">
      <c r="A36" s="4" t="s">
        <v>417</v>
      </c>
      <c r="B36" s="12"/>
      <c r="C36" s="19" t="s">
        <v>387</v>
      </c>
      <c r="D36" s="4" t="s">
        <v>378</v>
      </c>
      <c r="E36" s="4" t="s">
        <v>418</v>
      </c>
      <c r="F36" s="12">
        <v>4</v>
      </c>
      <c r="G36" s="12">
        <v>4</v>
      </c>
      <c r="H36" s="12">
        <v>0</v>
      </c>
      <c r="I36" s="12">
        <v>41</v>
      </c>
      <c r="J36" s="82">
        <f t="shared" ref="J36:J37" si="1">G36-H36</f>
        <v>4</v>
      </c>
      <c r="K36" s="12" t="s">
        <v>472</v>
      </c>
      <c r="L36" s="12"/>
      <c r="M36" s="12"/>
      <c r="N36" s="12"/>
      <c r="O36" s="12"/>
      <c r="P36" s="12"/>
      <c r="Q36" s="12"/>
      <c r="R36" s="12"/>
      <c r="S36" s="12"/>
      <c r="T36" s="12"/>
      <c r="U36" s="12"/>
      <c r="V36" s="12"/>
      <c r="X36" s="12"/>
      <c r="Y36" s="12"/>
      <c r="Z36" s="12"/>
      <c r="AA36" s="12"/>
      <c r="AB36" s="12"/>
      <c r="AC36" s="12"/>
      <c r="AD36" s="12"/>
      <c r="AE36" s="12"/>
      <c r="AF36" s="12"/>
      <c r="AG36" s="12"/>
      <c r="AH36" s="12"/>
      <c r="AI36" s="12"/>
      <c r="AJ36" s="12" t="s">
        <v>380</v>
      </c>
      <c r="AK36" s="12" t="s">
        <v>381</v>
      </c>
      <c r="AL36" s="12"/>
    </row>
    <row r="37" spans="1:45" s="43" customFormat="1" ht="14.5">
      <c r="A37" s="17" t="s">
        <v>419</v>
      </c>
      <c r="B37" s="17"/>
      <c r="C37" s="17" t="s">
        <v>387</v>
      </c>
      <c r="D37" s="17" t="s">
        <v>378</v>
      </c>
      <c r="E37" s="17" t="s">
        <v>420</v>
      </c>
      <c r="F37" s="15">
        <v>2</v>
      </c>
      <c r="G37" s="15">
        <v>4</v>
      </c>
      <c r="H37" s="15">
        <v>0</v>
      </c>
      <c r="I37" s="12">
        <v>65</v>
      </c>
      <c r="J37" s="15">
        <f t="shared" si="1"/>
        <v>4</v>
      </c>
      <c r="K37" s="12" t="s">
        <v>469</v>
      </c>
      <c r="L37" s="36"/>
      <c r="M37" s="36"/>
      <c r="N37" s="111"/>
      <c r="O37" s="112"/>
      <c r="P37" s="36"/>
      <c r="Q37" s="36"/>
      <c r="R37" s="36"/>
      <c r="S37" s="36"/>
      <c r="T37" s="36"/>
      <c r="U37" s="36"/>
      <c r="X37" s="36"/>
      <c r="Y37" s="36"/>
      <c r="Z37" s="36"/>
      <c r="AA37" s="36"/>
      <c r="AB37" s="36"/>
      <c r="AC37" s="36"/>
      <c r="AD37" s="36"/>
      <c r="AE37" s="36"/>
      <c r="AF37" s="36">
        <v>200</v>
      </c>
      <c r="AG37" s="36" t="s">
        <v>421</v>
      </c>
      <c r="AH37" s="36"/>
      <c r="AI37" s="36"/>
      <c r="AJ37" s="36" t="s">
        <v>380</v>
      </c>
      <c r="AK37" s="36" t="s">
        <v>381</v>
      </c>
      <c r="AL37" s="36"/>
    </row>
    <row r="38" spans="1:45" s="18" customFormat="1">
      <c r="F38" s="16">
        <f>SUM(F8:F37)</f>
        <v>165</v>
      </c>
      <c r="G38" s="16">
        <f>SUM(G8:G37)</f>
        <v>413</v>
      </c>
      <c r="H38" s="16">
        <f>SUM(H8:H37)</f>
        <v>210.75</v>
      </c>
      <c r="I38" s="16">
        <f>SUM(I8:I37)</f>
        <v>2499</v>
      </c>
      <c r="J38" s="16"/>
      <c r="K38" s="16"/>
      <c r="L38" s="16">
        <f>SUM(L8:L37)</f>
        <v>66</v>
      </c>
      <c r="M38" s="16"/>
      <c r="N38" s="16">
        <f>SUM(N8:N37)</f>
        <v>1500</v>
      </c>
      <c r="O38" s="16"/>
      <c r="P38" s="16">
        <f>SUM(P8:P37)</f>
        <v>2250</v>
      </c>
      <c r="Q38" s="16"/>
      <c r="R38" s="16">
        <f>SUM(R8:R37)</f>
        <v>430</v>
      </c>
      <c r="S38" s="16"/>
      <c r="T38" s="16">
        <f>SUM(T8:T37)</f>
        <v>300</v>
      </c>
      <c r="U38" s="16"/>
      <c r="V38" s="16">
        <f>SUM(V8:V37)</f>
        <v>0</v>
      </c>
      <c r="W38" s="16"/>
      <c r="X38" s="16">
        <f>SUM(X8:X37)</f>
        <v>6855</v>
      </c>
      <c r="Z38" s="16">
        <f>SUM(Z8:Z37)</f>
        <v>100</v>
      </c>
      <c r="AB38" s="16">
        <f>SUM(AB8:AB37)</f>
        <v>50</v>
      </c>
      <c r="AD38" s="16">
        <f>SUM(AD8:AD37)</f>
        <v>170</v>
      </c>
      <c r="AF38" s="16">
        <f>SUM(AF8:AF37)</f>
        <v>200</v>
      </c>
      <c r="AH38" s="16">
        <f>SUM(AH8:AH37)</f>
        <v>2500</v>
      </c>
      <c r="AK38" s="16" t="s">
        <v>561</v>
      </c>
      <c r="AL38" s="16">
        <v>2</v>
      </c>
    </row>
    <row r="39" spans="1:45" ht="13">
      <c r="A39" s="181" t="s">
        <v>423</v>
      </c>
      <c r="B39" s="182"/>
      <c r="F39" s="12"/>
      <c r="G39" s="12"/>
      <c r="H39" s="12"/>
      <c r="I39" s="12"/>
      <c r="J39" s="12"/>
      <c r="K39" s="12"/>
      <c r="L39" s="12"/>
      <c r="M39" s="12"/>
      <c r="N39" s="12"/>
      <c r="O39" s="12"/>
      <c r="P39" s="12"/>
      <c r="Q39" s="12"/>
      <c r="R39" s="12"/>
      <c r="S39" s="12"/>
      <c r="T39" s="12"/>
      <c r="U39" s="12"/>
      <c r="V39" s="12"/>
      <c r="X39" s="12"/>
      <c r="Z39" s="12"/>
      <c r="AB39" s="12"/>
      <c r="AD39" s="12"/>
      <c r="AF39" s="12"/>
      <c r="AH39" s="12"/>
      <c r="AK39" s="12"/>
      <c r="AL39" s="12"/>
    </row>
    <row r="40" spans="1:45" ht="13.5" customHeight="1">
      <c r="A40" s="14" t="s">
        <v>424</v>
      </c>
      <c r="F40" s="12"/>
      <c r="G40" s="12"/>
      <c r="H40" s="12"/>
      <c r="I40" s="12"/>
      <c r="J40" s="12"/>
      <c r="K40" s="12"/>
      <c r="L40" s="12"/>
      <c r="M40" s="12"/>
      <c r="N40" s="12"/>
      <c r="O40"/>
      <c r="P40" s="12"/>
      <c r="Q40" s="12"/>
      <c r="R40" s="12"/>
      <c r="S40" s="12"/>
      <c r="T40" s="12"/>
      <c r="U40" s="12"/>
      <c r="V40" s="12"/>
      <c r="W40" s="4"/>
      <c r="X40" s="12"/>
      <c r="Z40" s="12"/>
      <c r="AB40" s="12"/>
      <c r="AD40" s="12"/>
      <c r="AF40" s="12"/>
      <c r="AG40" s="12"/>
      <c r="AH40" s="12"/>
    </row>
    <row r="41" spans="1:45" s="17" customFormat="1" ht="13.5" customHeight="1">
      <c r="A41" s="17" t="s">
        <v>419</v>
      </c>
      <c r="C41" s="17" t="s">
        <v>387</v>
      </c>
      <c r="D41" s="17" t="s">
        <v>378</v>
      </c>
      <c r="E41" s="17" t="s">
        <v>425</v>
      </c>
      <c r="F41" s="15">
        <v>7</v>
      </c>
      <c r="G41" s="15">
        <v>16</v>
      </c>
      <c r="H41" s="15">
        <v>0</v>
      </c>
      <c r="I41" s="15">
        <v>28</v>
      </c>
      <c r="J41" s="15">
        <f>G41-H41</f>
        <v>16</v>
      </c>
      <c r="K41" s="15" t="s">
        <v>469</v>
      </c>
      <c r="L41" s="15"/>
      <c r="M41" s="15"/>
      <c r="N41" s="96"/>
      <c r="O41" s="95"/>
      <c r="P41" s="15"/>
      <c r="Q41" s="15"/>
      <c r="R41" s="15">
        <v>120</v>
      </c>
      <c r="S41" s="15" t="s">
        <v>394</v>
      </c>
      <c r="V41" s="15"/>
      <c r="W41" s="15"/>
      <c r="X41" s="15">
        <v>340</v>
      </c>
      <c r="Y41" s="15" t="s">
        <v>179</v>
      </c>
      <c r="AD41" s="15"/>
      <c r="AE41" s="15"/>
      <c r="AF41" s="15"/>
      <c r="AG41" s="15"/>
      <c r="AH41" s="15"/>
      <c r="AR41" s="15"/>
      <c r="AS41" s="15"/>
    </row>
    <row r="42" spans="1:45" ht="13.5" customHeight="1">
      <c r="F42" s="12">
        <f>SUM(F41:F41)+F38</f>
        <v>172</v>
      </c>
      <c r="G42" s="12">
        <f>SUM(G41:G41)+G38</f>
        <v>429</v>
      </c>
      <c r="H42" s="12">
        <f>SUM(H41:H41)+H38</f>
        <v>210.75</v>
      </c>
      <c r="I42" s="12">
        <f>SUM(I41:I41)+I38</f>
        <v>2527</v>
      </c>
      <c r="J42" s="12"/>
      <c r="K42" s="12"/>
      <c r="L42" s="12">
        <f>SUM(L41:L41)+L38</f>
        <v>66</v>
      </c>
      <c r="M42" s="12"/>
      <c r="N42" s="12">
        <f>SUM(N41:N41)+N38</f>
        <v>1500</v>
      </c>
      <c r="O42"/>
      <c r="P42" s="12">
        <f>SUM(P41:P41)+P38</f>
        <v>2250</v>
      </c>
      <c r="Q42" s="12"/>
      <c r="R42" s="12">
        <f>SUM(R41:R41)+R38</f>
        <v>550</v>
      </c>
      <c r="S42" s="12"/>
      <c r="T42" s="12">
        <f>SUM(T41:T41)+T38</f>
        <v>300</v>
      </c>
      <c r="V42" s="12">
        <f>SUM(V41:V41)+V38</f>
        <v>0</v>
      </c>
      <c r="X42" s="12">
        <f>SUM(X41:X41)+X38</f>
        <v>7195</v>
      </c>
      <c r="Z42" s="12">
        <f>SUM(Z41:Z41)+Z38</f>
        <v>100</v>
      </c>
      <c r="AB42" s="12">
        <f>SUM(AB41:AB41)+AB38</f>
        <v>50</v>
      </c>
      <c r="AD42" s="12">
        <f>SUM(AD41:AD41)+AD38</f>
        <v>170</v>
      </c>
      <c r="AE42" s="12"/>
      <c r="AF42" s="12">
        <f>SUM(AF41:AF41)+AF38</f>
        <v>200</v>
      </c>
      <c r="AG42" s="12"/>
      <c r="AH42" s="12">
        <f>SUM(AH41:AH41)+AH38</f>
        <v>2500</v>
      </c>
      <c r="AJ42" s="12"/>
      <c r="AK42" s="16" t="s">
        <v>561</v>
      </c>
      <c r="AL42" s="12">
        <v>2</v>
      </c>
      <c r="AM42" s="12"/>
      <c r="AN42" s="12"/>
    </row>
    <row r="43" spans="1:45">
      <c r="F43" s="12"/>
      <c r="G43" s="12"/>
      <c r="H43" s="12"/>
      <c r="I43" s="12"/>
      <c r="J43" s="12"/>
      <c r="K43" s="12"/>
      <c r="L43" s="12"/>
      <c r="M43" s="12"/>
      <c r="N43" s="12"/>
      <c r="O43" s="12"/>
      <c r="P43" s="12"/>
      <c r="Q43" s="12"/>
      <c r="R43" s="12"/>
      <c r="S43" s="12"/>
      <c r="T43" s="12"/>
      <c r="U43" s="12"/>
      <c r="V43" s="12"/>
      <c r="X43" s="12"/>
    </row>
    <row r="44" spans="1:45" ht="13">
      <c r="A44" s="14" t="s">
        <v>430</v>
      </c>
    </row>
    <row r="46" spans="1:45">
      <c r="A46" s="4" t="s">
        <v>431</v>
      </c>
      <c r="C46" s="4" t="s">
        <v>387</v>
      </c>
      <c r="D46" s="4" t="s">
        <v>378</v>
      </c>
      <c r="E46" s="4" t="s">
        <v>21</v>
      </c>
      <c r="F46" s="12">
        <v>8</v>
      </c>
      <c r="G46" s="12">
        <v>32</v>
      </c>
      <c r="H46" s="12">
        <v>0</v>
      </c>
      <c r="I46" s="12">
        <v>71</v>
      </c>
      <c r="J46" s="82">
        <f t="shared" ref="J46:J66" si="2">G46-H46</f>
        <v>32</v>
      </c>
      <c r="K46" s="12"/>
      <c r="L46" s="12"/>
      <c r="M46" s="12"/>
      <c r="N46" s="12"/>
      <c r="O46" s="12"/>
      <c r="P46" s="12"/>
      <c r="Q46" s="12"/>
      <c r="R46" s="12"/>
      <c r="S46" s="12"/>
      <c r="T46" s="12"/>
      <c r="U46" s="12"/>
      <c r="V46" s="12"/>
      <c r="X46" s="12"/>
      <c r="AJ46" s="12" t="s">
        <v>380</v>
      </c>
      <c r="AK46" s="12" t="s">
        <v>381</v>
      </c>
      <c r="AL46" s="12"/>
    </row>
    <row r="47" spans="1:45">
      <c r="A47" s="4" t="s">
        <v>481</v>
      </c>
      <c r="C47" s="4" t="s">
        <v>387</v>
      </c>
      <c r="D47" s="19" t="s">
        <v>434</v>
      </c>
      <c r="E47" s="4" t="s">
        <v>89</v>
      </c>
      <c r="F47" s="12">
        <v>4</v>
      </c>
      <c r="G47" s="12">
        <v>4</v>
      </c>
      <c r="H47" s="12">
        <v>0</v>
      </c>
      <c r="I47" s="12">
        <v>100</v>
      </c>
      <c r="J47" s="82">
        <f t="shared" si="2"/>
        <v>4</v>
      </c>
      <c r="K47" s="12"/>
      <c r="L47" s="12"/>
      <c r="M47" s="12"/>
      <c r="N47" s="12"/>
      <c r="O47" s="12"/>
      <c r="P47" s="12"/>
      <c r="Q47" s="12"/>
      <c r="R47" s="12"/>
      <c r="S47" s="12"/>
      <c r="T47" s="12"/>
      <c r="U47" s="12"/>
      <c r="V47" s="12"/>
      <c r="X47" s="12"/>
      <c r="AJ47" s="12" t="s">
        <v>380</v>
      </c>
      <c r="AK47" s="12" t="s">
        <v>381</v>
      </c>
      <c r="AL47" s="12"/>
    </row>
    <row r="48" spans="1:45">
      <c r="A48" s="4" t="s">
        <v>437</v>
      </c>
      <c r="C48" s="4" t="s">
        <v>387</v>
      </c>
      <c r="D48" s="19" t="s">
        <v>434</v>
      </c>
      <c r="E48" s="4" t="s">
        <v>97</v>
      </c>
      <c r="F48" s="12">
        <v>4</v>
      </c>
      <c r="G48" s="12">
        <v>16</v>
      </c>
      <c r="H48" s="12">
        <v>0</v>
      </c>
      <c r="I48" s="12">
        <v>100</v>
      </c>
      <c r="J48" s="82">
        <f t="shared" si="2"/>
        <v>16</v>
      </c>
      <c r="K48" s="12"/>
      <c r="L48" s="12"/>
      <c r="M48" s="12"/>
      <c r="N48" s="12"/>
      <c r="O48" s="12"/>
      <c r="P48" s="12"/>
      <c r="Q48" s="12"/>
      <c r="R48" s="12"/>
      <c r="S48" s="12"/>
      <c r="T48" s="12"/>
      <c r="U48" s="12"/>
      <c r="V48" s="12"/>
      <c r="X48" s="12"/>
      <c r="AJ48" s="12" t="s">
        <v>380</v>
      </c>
      <c r="AK48" s="12" t="s">
        <v>381</v>
      </c>
      <c r="AL48" s="12"/>
    </row>
    <row r="49" spans="1:38">
      <c r="A49" s="4" t="s">
        <v>482</v>
      </c>
      <c r="C49" s="4" t="s">
        <v>387</v>
      </c>
      <c r="D49" s="19" t="s">
        <v>434</v>
      </c>
      <c r="E49" s="4" t="s">
        <v>97</v>
      </c>
      <c r="F49" s="12">
        <v>4</v>
      </c>
      <c r="G49" s="12">
        <v>16</v>
      </c>
      <c r="H49" s="12">
        <v>0</v>
      </c>
      <c r="I49" s="12">
        <v>100</v>
      </c>
      <c r="J49" s="82">
        <f t="shared" si="2"/>
        <v>16</v>
      </c>
      <c r="K49" s="12"/>
      <c r="L49" s="12"/>
      <c r="M49" s="12"/>
      <c r="N49" s="12"/>
      <c r="O49" s="12"/>
      <c r="P49" s="12"/>
      <c r="Q49" s="12"/>
      <c r="R49" s="12"/>
      <c r="S49" s="12"/>
      <c r="T49" s="12"/>
      <c r="U49" s="12"/>
      <c r="V49" s="12"/>
      <c r="X49" s="12"/>
      <c r="AJ49" s="12" t="s">
        <v>380</v>
      </c>
      <c r="AK49" s="12" t="s">
        <v>381</v>
      </c>
      <c r="AL49" s="12"/>
    </row>
    <row r="50" spans="1:38">
      <c r="A50" s="4" t="s">
        <v>568</v>
      </c>
      <c r="C50" s="4" t="s">
        <v>387</v>
      </c>
      <c r="D50" s="19" t="s">
        <v>434</v>
      </c>
      <c r="E50" s="4" t="s">
        <v>97</v>
      </c>
      <c r="F50" s="12">
        <v>4</v>
      </c>
      <c r="G50" s="12">
        <v>16</v>
      </c>
      <c r="H50" s="12">
        <v>0</v>
      </c>
      <c r="I50" s="12">
        <v>100</v>
      </c>
      <c r="J50" s="82">
        <f t="shared" si="2"/>
        <v>16</v>
      </c>
      <c r="K50" s="12"/>
      <c r="L50" s="12"/>
      <c r="M50" s="12"/>
      <c r="N50" s="12"/>
      <c r="O50" s="12"/>
      <c r="P50" s="12"/>
      <c r="Q50" s="12"/>
      <c r="R50" s="12"/>
      <c r="S50" s="12"/>
      <c r="T50" s="12"/>
      <c r="U50" s="12"/>
      <c r="V50" s="12"/>
      <c r="X50" s="12"/>
      <c r="AJ50" s="12" t="s">
        <v>380</v>
      </c>
      <c r="AK50" s="12" t="s">
        <v>381</v>
      </c>
      <c r="AL50" s="12"/>
    </row>
    <row r="51" spans="1:38">
      <c r="A51" s="4" t="s">
        <v>569</v>
      </c>
      <c r="C51" s="4" t="s">
        <v>387</v>
      </c>
      <c r="D51" s="19" t="s">
        <v>434</v>
      </c>
      <c r="E51" s="4" t="s">
        <v>97</v>
      </c>
      <c r="F51" s="12">
        <v>4</v>
      </c>
      <c r="G51" s="12">
        <v>16</v>
      </c>
      <c r="H51" s="12">
        <v>0</v>
      </c>
      <c r="I51" s="12">
        <v>100</v>
      </c>
      <c r="J51" s="82">
        <f t="shared" si="2"/>
        <v>16</v>
      </c>
      <c r="K51" s="12"/>
      <c r="L51" s="12"/>
      <c r="M51" s="12"/>
      <c r="N51" s="12"/>
      <c r="O51" s="12"/>
      <c r="P51" s="12"/>
      <c r="Q51" s="12"/>
      <c r="R51" s="12"/>
      <c r="S51" s="12"/>
      <c r="T51" s="12"/>
      <c r="U51" s="12"/>
      <c r="V51" s="12"/>
      <c r="X51" s="12"/>
      <c r="AJ51" s="12" t="s">
        <v>380</v>
      </c>
      <c r="AK51" s="12" t="s">
        <v>381</v>
      </c>
      <c r="AL51" s="12"/>
    </row>
    <row r="52" spans="1:38">
      <c r="A52" s="4" t="s">
        <v>483</v>
      </c>
      <c r="C52" s="4" t="s">
        <v>387</v>
      </c>
      <c r="D52" s="19" t="s">
        <v>434</v>
      </c>
      <c r="E52" s="4" t="s">
        <v>93</v>
      </c>
      <c r="F52" s="12">
        <v>4</v>
      </c>
      <c r="G52" s="12">
        <v>14</v>
      </c>
      <c r="H52" s="12">
        <v>0</v>
      </c>
      <c r="I52" s="12">
        <v>120</v>
      </c>
      <c r="J52" s="82">
        <f t="shared" si="2"/>
        <v>14</v>
      </c>
      <c r="K52" s="12"/>
      <c r="L52" s="12"/>
      <c r="M52" s="12"/>
      <c r="N52" s="12"/>
      <c r="O52" s="12"/>
      <c r="P52" s="12"/>
      <c r="Q52" s="12"/>
      <c r="R52" s="12"/>
      <c r="S52" s="12"/>
      <c r="T52" s="12"/>
      <c r="U52" s="12"/>
      <c r="V52" s="12"/>
      <c r="X52" s="12"/>
      <c r="AJ52" s="12" t="s">
        <v>380</v>
      </c>
      <c r="AK52" s="12" t="s">
        <v>381</v>
      </c>
      <c r="AL52" s="12"/>
    </row>
    <row r="53" spans="1:38">
      <c r="A53" s="4" t="s">
        <v>438</v>
      </c>
      <c r="C53" s="4" t="s">
        <v>387</v>
      </c>
      <c r="D53" s="4" t="s">
        <v>378</v>
      </c>
      <c r="E53" s="4" t="s">
        <v>32</v>
      </c>
      <c r="F53" s="12">
        <v>3</v>
      </c>
      <c r="G53" s="12">
        <v>10</v>
      </c>
      <c r="H53" s="12">
        <v>0</v>
      </c>
      <c r="I53" s="12">
        <v>121</v>
      </c>
      <c r="J53" s="82">
        <f t="shared" si="2"/>
        <v>10</v>
      </c>
      <c r="K53" s="12"/>
      <c r="L53" s="12"/>
      <c r="M53" s="12"/>
      <c r="N53" s="12"/>
      <c r="O53" s="12"/>
      <c r="P53" s="12"/>
      <c r="Q53" s="12"/>
      <c r="R53" s="12"/>
      <c r="S53" s="12"/>
      <c r="T53" s="12"/>
      <c r="U53" s="12"/>
      <c r="V53" s="12"/>
      <c r="X53" s="12"/>
      <c r="AJ53" s="12" t="s">
        <v>380</v>
      </c>
      <c r="AK53" s="12" t="s">
        <v>381</v>
      </c>
      <c r="AL53" s="12"/>
    </row>
    <row r="54" spans="1:38">
      <c r="A54" s="4" t="s">
        <v>439</v>
      </c>
      <c r="C54" s="4" t="s">
        <v>387</v>
      </c>
      <c r="D54" s="4" t="s">
        <v>378</v>
      </c>
      <c r="E54" s="4" t="s">
        <v>32</v>
      </c>
      <c r="F54" s="12">
        <v>3</v>
      </c>
      <c r="G54" s="12">
        <v>10</v>
      </c>
      <c r="H54" s="12">
        <v>0</v>
      </c>
      <c r="I54" s="12">
        <v>121</v>
      </c>
      <c r="J54" s="82">
        <f t="shared" si="2"/>
        <v>10</v>
      </c>
      <c r="K54" s="12"/>
      <c r="L54" s="12"/>
      <c r="M54" s="12"/>
      <c r="N54" s="12"/>
      <c r="O54" s="12"/>
      <c r="P54" s="12"/>
      <c r="Q54" s="12"/>
      <c r="R54" s="12"/>
      <c r="S54" s="12"/>
      <c r="T54" s="12"/>
      <c r="U54" s="12"/>
      <c r="V54" s="12"/>
      <c r="X54" s="12"/>
      <c r="AJ54" s="12" t="s">
        <v>380</v>
      </c>
      <c r="AK54" s="12" t="s">
        <v>381</v>
      </c>
      <c r="AL54" s="12"/>
    </row>
    <row r="55" spans="1:38">
      <c r="A55" s="4" t="s">
        <v>570</v>
      </c>
      <c r="C55" s="4" t="s">
        <v>387</v>
      </c>
      <c r="D55" s="4" t="s">
        <v>378</v>
      </c>
      <c r="E55" s="4" t="s">
        <v>32</v>
      </c>
      <c r="F55" s="12">
        <v>3</v>
      </c>
      <c r="G55" s="12">
        <v>10</v>
      </c>
      <c r="H55" s="12">
        <v>0</v>
      </c>
      <c r="I55" s="12">
        <v>121</v>
      </c>
      <c r="J55" s="82">
        <f t="shared" si="2"/>
        <v>10</v>
      </c>
      <c r="K55" s="12"/>
      <c r="L55" s="12"/>
      <c r="M55" s="12"/>
      <c r="N55" s="12"/>
      <c r="O55" s="12"/>
      <c r="P55" s="12"/>
      <c r="Q55" s="12"/>
      <c r="R55" s="12"/>
      <c r="S55" s="12"/>
      <c r="T55" s="12"/>
      <c r="U55" s="12"/>
      <c r="V55" s="12"/>
      <c r="X55" s="12"/>
      <c r="AJ55" s="12" t="s">
        <v>380</v>
      </c>
      <c r="AK55" s="12" t="s">
        <v>381</v>
      </c>
      <c r="AL55" s="12"/>
    </row>
    <row r="56" spans="1:38">
      <c r="A56" s="4" t="s">
        <v>571</v>
      </c>
      <c r="C56" s="4" t="s">
        <v>387</v>
      </c>
      <c r="D56" s="4" t="s">
        <v>378</v>
      </c>
      <c r="E56" s="19" t="s">
        <v>32</v>
      </c>
      <c r="F56" s="12">
        <v>3</v>
      </c>
      <c r="G56" s="12">
        <v>10</v>
      </c>
      <c r="H56" s="12">
        <v>0</v>
      </c>
      <c r="I56" s="12">
        <v>121</v>
      </c>
      <c r="J56" s="82">
        <f t="shared" si="2"/>
        <v>10</v>
      </c>
      <c r="K56" s="12"/>
      <c r="L56" s="12"/>
      <c r="M56" s="12"/>
      <c r="N56" s="12"/>
      <c r="O56" s="12"/>
      <c r="P56" s="12"/>
      <c r="Q56" s="12"/>
      <c r="R56" s="12"/>
      <c r="S56" s="12"/>
      <c r="T56" s="12"/>
      <c r="U56" s="12"/>
      <c r="V56" s="12"/>
      <c r="X56" s="12"/>
      <c r="AJ56" s="12" t="s">
        <v>380</v>
      </c>
      <c r="AK56" s="12" t="s">
        <v>381</v>
      </c>
      <c r="AL56" s="12"/>
    </row>
    <row r="57" spans="1:38">
      <c r="A57" s="4" t="s">
        <v>440</v>
      </c>
      <c r="C57" s="4" t="s">
        <v>387</v>
      </c>
      <c r="D57" s="4" t="s">
        <v>378</v>
      </c>
      <c r="E57" s="19" t="s">
        <v>48</v>
      </c>
      <c r="F57" s="12">
        <v>2</v>
      </c>
      <c r="G57" s="12">
        <v>4</v>
      </c>
      <c r="H57" s="12">
        <v>0</v>
      </c>
      <c r="I57" s="12">
        <v>41</v>
      </c>
      <c r="J57" s="82">
        <f t="shared" si="2"/>
        <v>4</v>
      </c>
      <c r="K57" s="12"/>
      <c r="L57" s="12"/>
      <c r="M57" s="12"/>
      <c r="N57" s="12"/>
      <c r="O57" s="12"/>
      <c r="P57" s="12"/>
      <c r="Q57" s="12"/>
      <c r="R57" s="12"/>
      <c r="S57" s="12"/>
      <c r="T57" s="12"/>
      <c r="U57" s="12"/>
      <c r="V57" s="12"/>
      <c r="X57" s="12"/>
      <c r="AJ57" s="12" t="s">
        <v>380</v>
      </c>
      <c r="AK57" s="12" t="s">
        <v>381</v>
      </c>
      <c r="AL57" s="12"/>
    </row>
    <row r="58" spans="1:38">
      <c r="A58" s="4" t="s">
        <v>441</v>
      </c>
      <c r="C58" s="4" t="s">
        <v>387</v>
      </c>
      <c r="D58" s="4" t="s">
        <v>378</v>
      </c>
      <c r="E58" s="19" t="s">
        <v>40</v>
      </c>
      <c r="F58" s="12">
        <v>2</v>
      </c>
      <c r="G58" s="12">
        <v>4</v>
      </c>
      <c r="H58" s="12">
        <v>0</v>
      </c>
      <c r="I58" s="12">
        <v>31</v>
      </c>
      <c r="J58" s="82">
        <f t="shared" si="2"/>
        <v>4</v>
      </c>
      <c r="K58" s="12"/>
      <c r="L58" s="12"/>
      <c r="M58" s="12"/>
      <c r="N58" s="12"/>
      <c r="O58" s="12"/>
      <c r="P58" s="12"/>
      <c r="Q58" s="12"/>
      <c r="R58" s="12"/>
      <c r="S58" s="12"/>
      <c r="T58" s="12"/>
      <c r="U58" s="12"/>
      <c r="V58" s="12"/>
      <c r="X58" s="12"/>
      <c r="AJ58" s="12" t="s">
        <v>380</v>
      </c>
      <c r="AK58" s="12" t="s">
        <v>381</v>
      </c>
      <c r="AL58" s="12"/>
    </row>
    <row r="59" spans="1:38">
      <c r="A59" s="4" t="s">
        <v>442</v>
      </c>
      <c r="C59" s="4" t="s">
        <v>387</v>
      </c>
      <c r="D59" s="4" t="s">
        <v>378</v>
      </c>
      <c r="E59" s="19" t="s">
        <v>44</v>
      </c>
      <c r="F59" s="12">
        <v>4</v>
      </c>
      <c r="G59" s="12">
        <v>4</v>
      </c>
      <c r="H59" s="12">
        <v>0</v>
      </c>
      <c r="I59" s="12">
        <v>36</v>
      </c>
      <c r="J59" s="82">
        <f t="shared" si="2"/>
        <v>4</v>
      </c>
      <c r="K59" s="12"/>
      <c r="L59" s="12"/>
      <c r="M59" s="12"/>
      <c r="N59" s="12"/>
      <c r="O59" s="12"/>
      <c r="P59" s="12"/>
      <c r="Q59" s="12"/>
      <c r="R59" s="12"/>
      <c r="S59" s="12"/>
      <c r="T59" s="12"/>
      <c r="U59" s="12"/>
      <c r="V59" s="12"/>
      <c r="X59" s="12"/>
      <c r="AJ59" s="12" t="s">
        <v>380</v>
      </c>
      <c r="AK59" s="12" t="s">
        <v>381</v>
      </c>
      <c r="AL59" s="12"/>
    </row>
    <row r="60" spans="1:38" ht="14.5">
      <c r="A60" s="4" t="s">
        <v>443</v>
      </c>
      <c r="C60" s="4" t="s">
        <v>387</v>
      </c>
      <c r="D60" s="4" t="s">
        <v>378</v>
      </c>
      <c r="E60" s="19" t="s">
        <v>247</v>
      </c>
      <c r="F60" s="12">
        <v>5</v>
      </c>
      <c r="G60" s="12">
        <v>6</v>
      </c>
      <c r="H60" s="12">
        <v>0</v>
      </c>
      <c r="I60" s="12">
        <v>111</v>
      </c>
      <c r="J60" s="82">
        <f t="shared" si="2"/>
        <v>6</v>
      </c>
      <c r="K60" s="1"/>
      <c r="L60" s="12"/>
      <c r="M60" s="12"/>
      <c r="N60" s="1"/>
      <c r="O60"/>
      <c r="P60" s="12"/>
      <c r="Q60" s="12"/>
      <c r="R60" s="12"/>
      <c r="S60" s="12"/>
      <c r="T60" s="12"/>
      <c r="U60" s="12"/>
      <c r="V60" s="12"/>
      <c r="Z60" s="12"/>
      <c r="AA60" s="12"/>
      <c r="AB60" s="12"/>
      <c r="AC60" s="12"/>
      <c r="AD60" s="12"/>
      <c r="AE60" s="12"/>
      <c r="AF60" s="12"/>
      <c r="AG60" s="12"/>
      <c r="AH60" s="12"/>
      <c r="AI60" s="12"/>
      <c r="AJ60" s="12" t="s">
        <v>380</v>
      </c>
      <c r="AK60" s="12" t="s">
        <v>381</v>
      </c>
      <c r="AL60" s="12" t="s">
        <v>381</v>
      </c>
    </row>
    <row r="61" spans="1:38" ht="14.5">
      <c r="A61" s="4" t="s">
        <v>484</v>
      </c>
      <c r="C61" s="4" t="s">
        <v>387</v>
      </c>
      <c r="D61" s="4" t="s">
        <v>378</v>
      </c>
      <c r="E61" s="4" t="s">
        <v>67</v>
      </c>
      <c r="F61" s="12">
        <v>2</v>
      </c>
      <c r="G61" s="12">
        <v>2</v>
      </c>
      <c r="H61" s="12">
        <v>0</v>
      </c>
      <c r="I61" s="12">
        <v>16</v>
      </c>
      <c r="J61" s="82">
        <f t="shared" si="2"/>
        <v>2</v>
      </c>
      <c r="K61" s="1"/>
      <c r="L61" s="12"/>
      <c r="M61" s="12"/>
      <c r="N61" s="1"/>
      <c r="O61"/>
      <c r="P61" s="12"/>
      <c r="Q61" s="12"/>
      <c r="R61" s="12"/>
      <c r="S61" s="12"/>
      <c r="T61" s="12"/>
      <c r="U61" s="12"/>
      <c r="V61" s="12"/>
      <c r="Z61" s="12"/>
      <c r="AA61" s="12"/>
      <c r="AB61" s="12"/>
      <c r="AC61" s="12"/>
      <c r="AD61" s="12"/>
      <c r="AE61" s="12"/>
      <c r="AF61" s="12"/>
      <c r="AG61" s="12"/>
      <c r="AH61" s="12"/>
      <c r="AI61" s="12"/>
      <c r="AJ61" s="12" t="s">
        <v>380</v>
      </c>
      <c r="AK61" s="12" t="s">
        <v>381</v>
      </c>
      <c r="AL61" s="12"/>
    </row>
    <row r="62" spans="1:38" ht="14.5">
      <c r="A62" s="4" t="s">
        <v>485</v>
      </c>
      <c r="C62" s="4" t="s">
        <v>387</v>
      </c>
      <c r="D62" s="4" t="s">
        <v>378</v>
      </c>
      <c r="E62" s="4" t="s">
        <v>67</v>
      </c>
      <c r="F62" s="12">
        <v>2</v>
      </c>
      <c r="G62" s="12">
        <v>2</v>
      </c>
      <c r="H62" s="12">
        <v>0</v>
      </c>
      <c r="I62" s="12">
        <v>16</v>
      </c>
      <c r="J62" s="82">
        <f t="shared" si="2"/>
        <v>2</v>
      </c>
      <c r="K62" s="1"/>
      <c r="L62" s="12"/>
      <c r="M62" s="12"/>
      <c r="N62" s="1"/>
      <c r="O62"/>
      <c r="P62" s="12"/>
      <c r="Q62" s="12"/>
      <c r="R62" s="12"/>
      <c r="S62" s="12"/>
      <c r="T62" s="12"/>
      <c r="U62" s="12"/>
      <c r="V62" s="12"/>
      <c r="Z62" s="12"/>
      <c r="AA62" s="12"/>
      <c r="AB62" s="12"/>
      <c r="AC62" s="12"/>
      <c r="AD62" s="12"/>
      <c r="AE62" s="12"/>
      <c r="AF62" s="12"/>
      <c r="AG62" s="12"/>
      <c r="AH62" s="12"/>
      <c r="AI62" s="12"/>
      <c r="AJ62" s="12" t="s">
        <v>380</v>
      </c>
      <c r="AK62" s="12" t="s">
        <v>381</v>
      </c>
      <c r="AL62" s="12"/>
    </row>
    <row r="63" spans="1:38" ht="14.5">
      <c r="A63" s="4" t="s">
        <v>486</v>
      </c>
      <c r="C63" s="4" t="s">
        <v>387</v>
      </c>
      <c r="D63" s="4" t="s">
        <v>378</v>
      </c>
      <c r="E63" s="4" t="s">
        <v>71</v>
      </c>
      <c r="F63" s="12">
        <v>6</v>
      </c>
      <c r="G63" s="12">
        <v>5</v>
      </c>
      <c r="H63" s="12">
        <v>0</v>
      </c>
      <c r="I63" s="12">
        <v>41</v>
      </c>
      <c r="J63" s="82">
        <f t="shared" si="2"/>
        <v>5</v>
      </c>
      <c r="K63" s="1"/>
      <c r="L63" s="12"/>
      <c r="M63" s="12"/>
      <c r="N63" s="1"/>
      <c r="O63"/>
      <c r="P63" s="12"/>
      <c r="Q63" s="12"/>
      <c r="R63" s="12"/>
      <c r="S63" s="12"/>
      <c r="T63" s="12"/>
      <c r="U63" s="12"/>
      <c r="V63" s="12"/>
      <c r="Z63" s="12"/>
      <c r="AA63" s="12"/>
      <c r="AB63" s="12"/>
      <c r="AC63" s="12"/>
      <c r="AD63" s="12"/>
      <c r="AE63" s="12"/>
      <c r="AF63" s="12"/>
      <c r="AG63" s="12"/>
      <c r="AH63" s="12"/>
      <c r="AI63" s="12"/>
      <c r="AJ63" s="12" t="s">
        <v>380</v>
      </c>
      <c r="AK63" s="12" t="s">
        <v>381</v>
      </c>
      <c r="AL63" s="12"/>
    </row>
    <row r="64" spans="1:38" ht="14.5">
      <c r="A64" s="4" t="s">
        <v>487</v>
      </c>
      <c r="C64" s="4" t="s">
        <v>387</v>
      </c>
      <c r="D64" s="4" t="s">
        <v>378</v>
      </c>
      <c r="E64" s="4" t="s">
        <v>75</v>
      </c>
      <c r="F64" s="12">
        <v>2</v>
      </c>
      <c r="G64" s="12">
        <v>2</v>
      </c>
      <c r="H64" s="12">
        <v>0</v>
      </c>
      <c r="I64" s="12">
        <v>31</v>
      </c>
      <c r="J64" s="12">
        <f t="shared" si="2"/>
        <v>2</v>
      </c>
      <c r="K64" s="42"/>
      <c r="L64" s="82"/>
      <c r="M64" s="82"/>
      <c r="N64" s="42"/>
      <c r="O64" s="41"/>
      <c r="P64" s="82"/>
      <c r="Q64" s="82"/>
      <c r="R64" s="82"/>
      <c r="S64" s="82"/>
      <c r="T64" s="82"/>
      <c r="U64" s="82"/>
      <c r="V64" s="82"/>
      <c r="W64" s="82"/>
      <c r="X64" s="82"/>
      <c r="Y64" s="33"/>
      <c r="Z64" s="82"/>
      <c r="AA64" s="82"/>
      <c r="AB64" s="82"/>
      <c r="AC64" s="82"/>
      <c r="AD64" s="82"/>
      <c r="AE64" s="82"/>
      <c r="AF64" s="82"/>
      <c r="AG64" s="82"/>
      <c r="AH64" s="82"/>
      <c r="AI64" s="82"/>
      <c r="AJ64" s="82" t="s">
        <v>380</v>
      </c>
      <c r="AK64" s="82" t="s">
        <v>381</v>
      </c>
      <c r="AL64" s="82"/>
    </row>
    <row r="65" spans="1:38" ht="14.5">
      <c r="A65" s="4" t="s">
        <v>572</v>
      </c>
      <c r="C65" s="4" t="s">
        <v>387</v>
      </c>
      <c r="D65" s="4" t="s">
        <v>528</v>
      </c>
      <c r="E65" s="4" t="s">
        <v>95</v>
      </c>
      <c r="F65" s="12">
        <v>12</v>
      </c>
      <c r="G65" s="12">
        <v>24</v>
      </c>
      <c r="H65" s="12">
        <v>0</v>
      </c>
      <c r="I65" s="12">
        <v>2098</v>
      </c>
      <c r="J65" s="12">
        <f t="shared" si="2"/>
        <v>24</v>
      </c>
      <c r="K65" s="42"/>
      <c r="L65" s="82"/>
      <c r="M65" s="82"/>
      <c r="N65" s="42"/>
      <c r="O65" s="41"/>
      <c r="P65" s="82"/>
      <c r="Q65" s="82"/>
      <c r="R65" s="82"/>
      <c r="S65" s="82"/>
      <c r="T65" s="82"/>
      <c r="U65" s="82"/>
      <c r="V65" s="82"/>
      <c r="W65" s="82"/>
      <c r="X65" s="82"/>
      <c r="Y65" s="33"/>
      <c r="Z65" s="82"/>
      <c r="AA65" s="82"/>
      <c r="AB65" s="82"/>
      <c r="AC65" s="82"/>
      <c r="AD65" s="82"/>
      <c r="AE65" s="82"/>
      <c r="AF65" s="82"/>
      <c r="AG65" s="82"/>
      <c r="AH65" s="82"/>
      <c r="AI65" s="82"/>
      <c r="AJ65" s="82" t="s">
        <v>380</v>
      </c>
      <c r="AK65" s="82" t="s">
        <v>381</v>
      </c>
      <c r="AL65" s="82"/>
    </row>
    <row r="66" spans="1:38" s="17" customFormat="1" ht="14.5">
      <c r="A66" s="17" t="s">
        <v>490</v>
      </c>
      <c r="C66" s="17" t="s">
        <v>387</v>
      </c>
      <c r="D66" s="17" t="s">
        <v>378</v>
      </c>
      <c r="E66" s="17" t="s">
        <v>99</v>
      </c>
      <c r="F66" s="15">
        <v>2</v>
      </c>
      <c r="G66" s="15">
        <v>10</v>
      </c>
      <c r="H66" s="15">
        <v>0</v>
      </c>
      <c r="I66" s="15">
        <v>60</v>
      </c>
      <c r="J66" s="15">
        <f t="shared" si="2"/>
        <v>10</v>
      </c>
      <c r="K66" s="111"/>
      <c r="L66" s="36"/>
      <c r="M66" s="36"/>
      <c r="N66" s="111"/>
      <c r="O66" s="112"/>
      <c r="P66" s="36"/>
      <c r="Q66" s="36"/>
      <c r="R66" s="36"/>
      <c r="S66" s="36"/>
      <c r="T66" s="36"/>
      <c r="U66" s="36"/>
      <c r="V66" s="36"/>
      <c r="W66" s="36"/>
      <c r="X66" s="36"/>
      <c r="Y66" s="43"/>
      <c r="Z66" s="36"/>
      <c r="AA66" s="36"/>
      <c r="AB66" s="36"/>
      <c r="AC66" s="36"/>
      <c r="AD66" s="36"/>
      <c r="AE66" s="36"/>
      <c r="AF66" s="36"/>
      <c r="AG66" s="36"/>
      <c r="AH66" s="36"/>
      <c r="AI66" s="36"/>
      <c r="AJ66" s="36" t="s">
        <v>380</v>
      </c>
      <c r="AK66" s="36" t="s">
        <v>381</v>
      </c>
      <c r="AL66" s="36"/>
    </row>
    <row r="67" spans="1:38">
      <c r="F67" s="12">
        <f>SUM(F46:F66)+F42</f>
        <v>255</v>
      </c>
      <c r="G67" s="12">
        <f t="shared" ref="G67:I67" si="3">SUM(G46:G66)+G42</f>
        <v>646</v>
      </c>
      <c r="H67" s="12">
        <f t="shared" si="3"/>
        <v>210.75</v>
      </c>
      <c r="I67" s="12">
        <f t="shared" si="3"/>
        <v>6183</v>
      </c>
      <c r="J67" s="12"/>
      <c r="K67" s="12"/>
      <c r="L67" s="12">
        <f t="shared" ref="L67" si="4">SUM(L46:L66)+L42</f>
        <v>66</v>
      </c>
      <c r="M67" s="12"/>
      <c r="N67" s="12">
        <f t="shared" ref="N67" si="5">SUM(N46:N66)+N42</f>
        <v>1500</v>
      </c>
      <c r="O67" s="12"/>
      <c r="P67" s="12">
        <f t="shared" ref="P67" si="6">SUM(P46:P66)+P42</f>
        <v>2250</v>
      </c>
      <c r="Q67" s="12"/>
      <c r="R67" s="12">
        <f t="shared" ref="R67" si="7">SUM(R46:R66)+R42</f>
        <v>550</v>
      </c>
      <c r="S67" s="12"/>
      <c r="T67" s="12">
        <f t="shared" ref="T67" si="8">SUM(T46:T66)+T42</f>
        <v>300</v>
      </c>
      <c r="U67" s="12"/>
      <c r="V67" s="12">
        <f t="shared" ref="V67" si="9">SUM(V46:V66)+V42</f>
        <v>0</v>
      </c>
      <c r="X67" s="12">
        <f t="shared" ref="X67" si="10">SUM(X46:X66)+X42</f>
        <v>7195</v>
      </c>
      <c r="Z67" s="12">
        <f t="shared" ref="Z67" si="11">SUM(Z46:Z66)+Z42</f>
        <v>100</v>
      </c>
      <c r="AB67" s="12">
        <f t="shared" ref="AB67" si="12">SUM(AB46:AB66)+AB42</f>
        <v>50</v>
      </c>
      <c r="AD67" s="12">
        <f t="shared" ref="AD67" si="13">SUM(AD46:AD66)+AD42</f>
        <v>170</v>
      </c>
      <c r="AF67" s="12">
        <f t="shared" ref="AF67" si="14">SUM(AF46:AF66)+AF42</f>
        <v>200</v>
      </c>
      <c r="AH67" s="12">
        <f t="shared" ref="AH67" si="15">SUM(AH46:AH66)+AH42</f>
        <v>2500</v>
      </c>
      <c r="AK67" s="12" t="s">
        <v>576</v>
      </c>
      <c r="AL67" s="12">
        <f>3</f>
        <v>3</v>
      </c>
    </row>
    <row r="69" spans="1:38" ht="13">
      <c r="A69" s="14" t="s">
        <v>503</v>
      </c>
    </row>
    <row r="71" spans="1:38">
      <c r="A71" s="4" t="s">
        <v>504</v>
      </c>
      <c r="C71" s="4" t="s">
        <v>505</v>
      </c>
      <c r="D71" s="4" t="s">
        <v>506</v>
      </c>
      <c r="E71" s="4" t="s">
        <v>19</v>
      </c>
      <c r="F71" s="12">
        <v>2</v>
      </c>
      <c r="G71" s="12">
        <v>4</v>
      </c>
      <c r="H71" s="12">
        <v>4</v>
      </c>
      <c r="I71" s="12">
        <v>350</v>
      </c>
      <c r="J71" s="12">
        <f t="shared" ref="J71:J76" si="16">G71-H71</f>
        <v>0</v>
      </c>
      <c r="K71" s="82" t="s">
        <v>507</v>
      </c>
      <c r="L71" s="82"/>
      <c r="M71" s="82"/>
      <c r="N71" s="82"/>
      <c r="O71" s="82"/>
      <c r="P71" s="82"/>
      <c r="Q71" s="82"/>
      <c r="R71" s="82"/>
      <c r="S71" s="82"/>
      <c r="T71" s="12"/>
      <c r="U71" s="12"/>
      <c r="V71" s="12"/>
      <c r="Z71" s="12"/>
      <c r="AA71" s="12"/>
      <c r="AB71" s="12"/>
      <c r="AC71" s="12"/>
      <c r="AD71" s="12"/>
      <c r="AE71" s="12"/>
      <c r="AF71" s="12"/>
      <c r="AG71" s="12"/>
      <c r="AH71" s="12"/>
      <c r="AI71" s="12"/>
      <c r="AJ71" s="12" t="s">
        <v>380</v>
      </c>
      <c r="AK71" s="12" t="s">
        <v>381</v>
      </c>
      <c r="AL71" s="12"/>
    </row>
    <row r="72" spans="1:38">
      <c r="A72" s="4" t="s">
        <v>509</v>
      </c>
      <c r="C72" s="4" t="s">
        <v>505</v>
      </c>
      <c r="D72" s="4" t="s">
        <v>506</v>
      </c>
      <c r="E72" s="4" t="s">
        <v>510</v>
      </c>
      <c r="F72" s="12">
        <v>6</v>
      </c>
      <c r="G72" s="12">
        <v>10</v>
      </c>
      <c r="H72" s="12">
        <v>10</v>
      </c>
      <c r="I72" s="12">
        <v>100</v>
      </c>
      <c r="J72" s="12">
        <f t="shared" si="16"/>
        <v>0</v>
      </c>
      <c r="K72" s="82" t="s">
        <v>507</v>
      </c>
      <c r="L72" s="82"/>
      <c r="M72" s="82"/>
      <c r="N72" s="82">
        <v>200</v>
      </c>
      <c r="O72" s="82" t="s">
        <v>508</v>
      </c>
      <c r="P72" s="82"/>
      <c r="Q72" s="82"/>
      <c r="R72" s="82"/>
      <c r="S72" s="82"/>
      <c r="T72" s="12"/>
      <c r="U72" s="12"/>
      <c r="V72" s="12"/>
      <c r="Z72" s="12"/>
      <c r="AA72" s="12"/>
      <c r="AB72" s="12"/>
      <c r="AC72" s="12"/>
      <c r="AD72" s="12"/>
      <c r="AE72" s="12"/>
      <c r="AF72" s="12"/>
      <c r="AG72" s="12"/>
      <c r="AH72" s="12"/>
      <c r="AI72" s="12"/>
      <c r="AJ72" s="12" t="s">
        <v>380</v>
      </c>
      <c r="AK72" s="12" t="s">
        <v>381</v>
      </c>
      <c r="AL72" s="12"/>
    </row>
    <row r="73" spans="1:38">
      <c r="A73" s="4" t="s">
        <v>511</v>
      </c>
      <c r="C73" s="4" t="s">
        <v>505</v>
      </c>
      <c r="D73" s="4" t="s">
        <v>506</v>
      </c>
      <c r="E73" s="4" t="s">
        <v>512</v>
      </c>
      <c r="F73" s="12">
        <v>8</v>
      </c>
      <c r="G73" s="12">
        <v>16</v>
      </c>
      <c r="H73" s="12">
        <v>16</v>
      </c>
      <c r="I73" s="12">
        <v>60</v>
      </c>
      <c r="J73" s="12">
        <f t="shared" si="16"/>
        <v>0</v>
      </c>
      <c r="K73" s="82" t="s">
        <v>513</v>
      </c>
      <c r="L73" s="82"/>
      <c r="M73" s="82"/>
      <c r="N73" s="82"/>
      <c r="O73" s="82"/>
      <c r="P73" s="82"/>
      <c r="Q73" s="82"/>
      <c r="R73" s="82"/>
      <c r="S73" s="82"/>
      <c r="T73" s="12"/>
      <c r="U73" s="12"/>
      <c r="V73" s="12"/>
      <c r="Z73" s="12"/>
      <c r="AA73" s="12"/>
      <c r="AB73" s="12"/>
      <c r="AC73" s="12"/>
      <c r="AD73" s="12"/>
      <c r="AE73" s="12"/>
      <c r="AF73" s="12"/>
      <c r="AG73" s="12"/>
      <c r="AH73" s="12"/>
      <c r="AI73" s="12"/>
      <c r="AJ73" s="12" t="s">
        <v>396</v>
      </c>
      <c r="AK73" s="12" t="s">
        <v>397</v>
      </c>
      <c r="AL73" s="12"/>
    </row>
    <row r="74" spans="1:38">
      <c r="A74" s="4" t="s">
        <v>514</v>
      </c>
      <c r="C74" s="4" t="s">
        <v>505</v>
      </c>
      <c r="D74" s="4" t="s">
        <v>506</v>
      </c>
      <c r="E74" s="4" t="s">
        <v>515</v>
      </c>
      <c r="F74" s="12">
        <v>10</v>
      </c>
      <c r="G74" s="12">
        <v>10</v>
      </c>
      <c r="H74" s="12">
        <v>10</v>
      </c>
      <c r="I74" s="12">
        <v>40</v>
      </c>
      <c r="J74" s="12">
        <f t="shared" si="16"/>
        <v>0</v>
      </c>
      <c r="K74" s="82" t="s">
        <v>513</v>
      </c>
      <c r="L74" s="82"/>
      <c r="M74" s="82"/>
      <c r="N74" s="82"/>
      <c r="O74" s="82"/>
      <c r="P74" s="82"/>
      <c r="Q74" s="82"/>
      <c r="R74" s="82"/>
      <c r="S74" s="82"/>
      <c r="T74" s="12"/>
      <c r="U74" s="12"/>
      <c r="V74" s="12"/>
      <c r="Z74" s="12"/>
      <c r="AA74" s="12"/>
      <c r="AB74" s="12"/>
      <c r="AC74" s="12"/>
      <c r="AD74" s="12"/>
      <c r="AE74" s="12"/>
      <c r="AF74" s="12"/>
      <c r="AG74" s="12"/>
      <c r="AH74" s="12"/>
      <c r="AI74" s="12"/>
      <c r="AJ74" s="12" t="s">
        <v>396</v>
      </c>
      <c r="AK74" s="12" t="s">
        <v>397</v>
      </c>
      <c r="AL74" s="12"/>
    </row>
    <row r="75" spans="1:38">
      <c r="A75" s="4" t="s">
        <v>516</v>
      </c>
      <c r="C75" s="4" t="s">
        <v>505</v>
      </c>
      <c r="D75" s="4" t="s">
        <v>506</v>
      </c>
      <c r="E75" s="4" t="s">
        <v>517</v>
      </c>
      <c r="F75" s="12">
        <v>4</v>
      </c>
      <c r="G75" s="12">
        <v>16</v>
      </c>
      <c r="H75" s="12">
        <v>0</v>
      </c>
      <c r="I75" s="12">
        <v>550</v>
      </c>
      <c r="J75" s="12">
        <f t="shared" si="16"/>
        <v>16</v>
      </c>
      <c r="K75" s="82" t="s">
        <v>518</v>
      </c>
      <c r="L75" s="82"/>
      <c r="M75" s="82"/>
      <c r="N75" s="82"/>
      <c r="O75" s="82"/>
      <c r="P75" s="82"/>
      <c r="Q75" s="82"/>
      <c r="R75" s="82"/>
      <c r="S75" s="82"/>
      <c r="T75" s="12"/>
      <c r="U75" s="12"/>
      <c r="V75" s="12"/>
      <c r="Z75" s="12"/>
      <c r="AA75" s="12"/>
      <c r="AB75" s="12"/>
      <c r="AC75" s="12"/>
      <c r="AD75" s="12"/>
      <c r="AE75" s="12"/>
      <c r="AF75" s="12"/>
      <c r="AG75" s="12"/>
      <c r="AH75" s="12"/>
      <c r="AI75" s="12"/>
      <c r="AJ75" s="12" t="s">
        <v>396</v>
      </c>
      <c r="AK75" s="12" t="s">
        <v>397</v>
      </c>
      <c r="AL75" s="12"/>
    </row>
    <row r="76" spans="1:38">
      <c r="A76" s="4" t="s">
        <v>520</v>
      </c>
      <c r="C76" s="4" t="s">
        <v>505</v>
      </c>
      <c r="D76" s="4" t="s">
        <v>506</v>
      </c>
      <c r="E76" s="4" t="s">
        <v>521</v>
      </c>
      <c r="F76" s="12">
        <v>2</v>
      </c>
      <c r="G76" s="12">
        <v>4</v>
      </c>
      <c r="H76" s="12">
        <v>4</v>
      </c>
      <c r="I76" s="12">
        <v>40</v>
      </c>
      <c r="J76" s="12">
        <f t="shared" si="16"/>
        <v>0</v>
      </c>
      <c r="K76" s="82" t="s">
        <v>513</v>
      </c>
      <c r="L76" s="82"/>
      <c r="M76" s="82"/>
      <c r="N76" s="82"/>
      <c r="O76" s="82"/>
      <c r="P76" s="82"/>
      <c r="Q76" s="82"/>
      <c r="R76" s="82">
        <v>50</v>
      </c>
      <c r="S76" s="82" t="s">
        <v>519</v>
      </c>
      <c r="T76" s="12"/>
      <c r="U76" s="12"/>
      <c r="V76" s="12"/>
      <c r="Z76" s="12"/>
      <c r="AA76" s="12"/>
      <c r="AB76" s="12"/>
      <c r="AC76" s="12"/>
      <c r="AD76" s="12"/>
      <c r="AE76" s="12"/>
      <c r="AF76" s="12"/>
      <c r="AG76" s="12"/>
      <c r="AH76" s="12"/>
      <c r="AI76" s="12"/>
      <c r="AJ76" s="12" t="s">
        <v>380</v>
      </c>
      <c r="AK76" s="12" t="s">
        <v>381</v>
      </c>
      <c r="AL76" s="12"/>
    </row>
    <row r="77" spans="1:38">
      <c r="A77" s="4" t="s">
        <v>522</v>
      </c>
      <c r="C77" s="4" t="s">
        <v>523</v>
      </c>
      <c r="D77" s="4" t="s">
        <v>506</v>
      </c>
      <c r="E77" s="4" t="s">
        <v>63</v>
      </c>
      <c r="F77" s="12">
        <v>6</v>
      </c>
      <c r="G77" s="12">
        <v>20</v>
      </c>
      <c r="H77" s="12">
        <v>0</v>
      </c>
      <c r="I77" s="12">
        <v>80</v>
      </c>
      <c r="J77" s="82">
        <f>G77-H77</f>
        <v>20</v>
      </c>
      <c r="K77" s="82" t="s">
        <v>524</v>
      </c>
      <c r="L77" s="82"/>
      <c r="M77" s="82"/>
      <c r="N77" s="82"/>
      <c r="O77" s="82"/>
      <c r="P77" s="82"/>
      <c r="Q77" s="82"/>
      <c r="R77" s="82"/>
      <c r="S77" s="82"/>
      <c r="T77" s="12"/>
      <c r="U77" s="12"/>
      <c r="V77" s="12"/>
      <c r="Z77" s="12"/>
      <c r="AA77" s="12"/>
      <c r="AB77" s="12"/>
      <c r="AC77" s="12"/>
      <c r="AD77" s="12"/>
      <c r="AE77" s="12"/>
      <c r="AF77" s="12"/>
      <c r="AG77" s="12"/>
      <c r="AH77" s="12"/>
      <c r="AI77" s="12"/>
      <c r="AJ77" s="12" t="s">
        <v>380</v>
      </c>
      <c r="AK77" s="12" t="s">
        <v>381</v>
      </c>
      <c r="AL77" s="12"/>
    </row>
    <row r="78" spans="1:38" s="17" customFormat="1">
      <c r="A78" s="17" t="s">
        <v>525</v>
      </c>
      <c r="C78" s="17" t="s">
        <v>523</v>
      </c>
      <c r="D78" s="17" t="s">
        <v>506</v>
      </c>
      <c r="E78" s="17" t="s">
        <v>63</v>
      </c>
      <c r="F78" s="15">
        <v>6</v>
      </c>
      <c r="G78" s="15">
        <v>20</v>
      </c>
      <c r="H78" s="15">
        <v>0</v>
      </c>
      <c r="I78" s="15">
        <v>80</v>
      </c>
      <c r="J78" s="36">
        <f>G78-H78</f>
        <v>20</v>
      </c>
      <c r="K78" s="36" t="s">
        <v>524</v>
      </c>
      <c r="L78" s="36"/>
      <c r="M78" s="36"/>
      <c r="N78" s="36"/>
      <c r="O78" s="36"/>
      <c r="P78" s="36"/>
      <c r="Q78" s="36"/>
      <c r="R78" s="36"/>
      <c r="S78" s="36"/>
      <c r="T78" s="15"/>
      <c r="U78" s="15"/>
      <c r="V78" s="15"/>
      <c r="W78" s="15"/>
      <c r="Z78" s="15"/>
      <c r="AA78" s="15"/>
      <c r="AB78" s="15"/>
      <c r="AC78" s="15"/>
      <c r="AD78" s="15"/>
      <c r="AE78" s="15"/>
      <c r="AF78" s="15"/>
      <c r="AG78" s="15"/>
      <c r="AH78" s="15"/>
      <c r="AI78" s="15"/>
      <c r="AJ78" s="15" t="s">
        <v>380</v>
      </c>
      <c r="AK78" s="15" t="s">
        <v>381</v>
      </c>
      <c r="AL78" s="15"/>
    </row>
    <row r="79" spans="1:38">
      <c r="F79" s="12">
        <f>F67+SUM(F71:F78)</f>
        <v>299</v>
      </c>
      <c r="G79" s="12">
        <f>G67+SUM(G71:G78)</f>
        <v>746</v>
      </c>
      <c r="H79" s="12">
        <f>H67+SUM(H71:H78)</f>
        <v>254.75</v>
      </c>
      <c r="I79" s="12">
        <f>I67+SUM(I71:I78)</f>
        <v>7483</v>
      </c>
      <c r="J79" s="12"/>
      <c r="K79" s="12"/>
      <c r="L79" s="12">
        <f>L67+SUM(L71:L78)</f>
        <v>66</v>
      </c>
      <c r="M79" s="12"/>
      <c r="N79" s="12">
        <f>N67+SUM(N71:N78)</f>
        <v>1700</v>
      </c>
      <c r="O79" s="12"/>
      <c r="P79" s="12">
        <f>P67+SUM(P71:P78)</f>
        <v>2250</v>
      </c>
      <c r="Q79" s="12"/>
      <c r="R79" s="12">
        <f>R67+SUM(R71:R78)</f>
        <v>600</v>
      </c>
      <c r="S79" s="12"/>
      <c r="T79" s="12">
        <f>T67+SUM(T71:T78)</f>
        <v>300</v>
      </c>
      <c r="U79" s="12"/>
      <c r="V79" s="12">
        <f>V67+SUM(V71:V78)</f>
        <v>0</v>
      </c>
      <c r="X79" s="12">
        <f>X67+SUM(X71:X78)</f>
        <v>7195</v>
      </c>
      <c r="Y79" s="12"/>
      <c r="Z79" s="12">
        <f>Z67+SUM(Z71:Z78)</f>
        <v>100</v>
      </c>
      <c r="AA79" s="12"/>
      <c r="AB79" s="12">
        <f>AB67+SUM(AB71:AB78)</f>
        <v>50</v>
      </c>
      <c r="AC79" s="12"/>
      <c r="AD79" s="12">
        <f>AD67+SUM(AD71:AD78)</f>
        <v>170</v>
      </c>
      <c r="AE79" s="12"/>
      <c r="AF79" s="12"/>
      <c r="AG79" s="12"/>
      <c r="AH79" s="12">
        <f>AH67+SUM(AH71:AH78)</f>
        <v>2500</v>
      </c>
      <c r="AI79" s="12"/>
      <c r="AJ79" s="12"/>
      <c r="AK79" s="12" t="s">
        <v>717</v>
      </c>
      <c r="AL79" s="12">
        <v>3</v>
      </c>
    </row>
    <row r="89" spans="1:2" ht="13">
      <c r="B89" s="6" t="s">
        <v>544</v>
      </c>
    </row>
    <row r="90" spans="1:2">
      <c r="A90" s="27" t="s">
        <v>551</v>
      </c>
      <c r="B90" s="4">
        <v>1500</v>
      </c>
    </row>
    <row r="91" spans="1:2">
      <c r="A91" s="27" t="s">
        <v>579</v>
      </c>
      <c r="B91" s="4">
        <v>2062</v>
      </c>
    </row>
  </sheetData>
  <mergeCells count="8">
    <mergeCell ref="A1:E1"/>
    <mergeCell ref="A2:B2"/>
    <mergeCell ref="A3:B3"/>
    <mergeCell ref="F3:G3"/>
    <mergeCell ref="A4:B4"/>
    <mergeCell ref="A5:B5"/>
    <mergeCell ref="A39:B39"/>
    <mergeCell ref="A6:B6"/>
  </mergeCells>
  <dataValidations count="1">
    <dataValidation type="list" allowBlank="1" showInputMessage="1" showErrorMessage="1" sqref="N10" xr:uid="{6B467EF5-AB44-4C40-B3E9-DC82BDBC43A2}">
      <formula1>$B$90:$B$91</formula1>
    </dataValidation>
  </dataValidations>
  <hyperlinks>
    <hyperlink ref="F3:G3" location="Shortcuts!A1" display="Back to shortcuts" xr:uid="{8CF69AC5-2219-41D4-98E0-8F2649B8B88F}"/>
  </hyperlinks>
  <pageMargins left="0.7" right="0.7" top="0.75" bottom="0.75" header="0.3" footer="0.3"/>
  <pageSetup paperSize="9" orientation="portrait" r:id="rId1"/>
  <headerFooter>
    <oddFooter>&amp;C&amp;1#&amp;"Arial"&amp;8&amp;K001753Nokia internal use</oddFooter>
  </headerFooter>
  <legacy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ACF10A-7058-4C04-802F-99B63BA21132}">
  <sheetPr codeName="Sheet100"/>
  <dimension ref="A1:BP89"/>
  <sheetViews>
    <sheetView zoomScale="84" zoomScaleNormal="84" zoomScalePageLayoutView="70" workbookViewId="0">
      <selection activeCell="G9" sqref="G9"/>
    </sheetView>
  </sheetViews>
  <sheetFormatPr defaultColWidth="8.81640625" defaultRowHeight="12.5"/>
  <cols>
    <col min="1" max="1" width="11.81640625" style="4" customWidth="1"/>
    <col min="2" max="2" width="18.26953125" style="4" customWidth="1"/>
    <col min="3" max="3" width="23.1796875" style="4" customWidth="1"/>
    <col min="4" max="4" width="55.1796875" style="4" customWidth="1"/>
    <col min="5" max="5" width="13.81640625" style="4" customWidth="1"/>
    <col min="6" max="7" width="8.81640625" style="4"/>
    <col min="8" max="9" width="8.1796875" style="4" customWidth="1"/>
    <col min="10" max="10" width="6.1796875" style="4" customWidth="1"/>
    <col min="11" max="11" width="15.1796875" style="4" customWidth="1"/>
    <col min="12" max="12" width="8.1796875" style="4" customWidth="1"/>
    <col min="13" max="13" width="8.81640625" style="4"/>
    <col min="14" max="14" width="6.1796875" style="4" customWidth="1"/>
    <col min="15" max="15" width="15.1796875" style="4" customWidth="1"/>
    <col min="16" max="16" width="6.81640625" style="4" customWidth="1"/>
    <col min="17" max="17" width="8.81640625" style="4"/>
    <col min="18" max="18" width="6.1796875" style="4" customWidth="1"/>
    <col min="19" max="19" width="15.1796875" style="4" customWidth="1"/>
    <col min="20" max="20" width="6.81640625" style="4" customWidth="1"/>
    <col min="21" max="21" width="8.81640625" style="4"/>
    <col min="22" max="22" width="6.1796875" style="4" customWidth="1"/>
    <col min="23" max="23" width="11.1796875" style="4" customWidth="1"/>
    <col min="24" max="24" width="6.81640625" style="4" customWidth="1"/>
    <col min="25" max="25" width="8.81640625" style="4"/>
    <col min="26" max="26" width="6.1796875" style="4" customWidth="1"/>
    <col min="27" max="27" width="15.1796875" style="4" customWidth="1"/>
    <col min="28" max="28" width="6.81640625" style="4" customWidth="1"/>
    <col min="29" max="29" width="8.81640625" style="4"/>
    <col min="30" max="30" width="6.1796875" style="4" customWidth="1"/>
    <col min="31" max="31" width="15.1796875" style="4" customWidth="1"/>
    <col min="32" max="32" width="6.81640625" style="4" customWidth="1"/>
    <col min="33" max="33" width="9.1796875" style="4" customWidth="1"/>
    <col min="34" max="34" width="6.1796875" style="4" customWidth="1"/>
    <col min="35" max="35" width="11.1796875" style="4" customWidth="1"/>
    <col min="36" max="36" width="6.1796875" style="4" customWidth="1"/>
    <col min="37" max="37" width="7.1796875" style="4" customWidth="1"/>
    <col min="38" max="38" width="6.1796875" style="4" customWidth="1"/>
    <col min="39" max="39" width="15.1796875" style="4" customWidth="1"/>
    <col min="40" max="40" width="6.81640625" style="4" customWidth="1"/>
    <col min="41" max="41" width="11.81640625" style="4" customWidth="1"/>
    <col min="42" max="48" width="6.81640625" style="4" customWidth="1"/>
    <col min="49" max="50" width="9.1796875" style="4" customWidth="1"/>
    <col min="51" max="51" width="10" style="4" customWidth="1"/>
    <col min="52" max="52" width="8" style="4" customWidth="1"/>
    <col min="53" max="53" width="16.1796875" style="4" customWidth="1"/>
    <col min="54" max="56" width="6.81640625" style="4" customWidth="1"/>
    <col min="57" max="57" width="9.81640625" style="4" customWidth="1"/>
    <col min="58" max="58" width="12.1796875" style="4" customWidth="1"/>
    <col min="59" max="61" width="13.1796875" style="4" customWidth="1"/>
    <col min="62" max="62" width="18.1796875" style="4" customWidth="1"/>
    <col min="63" max="63" width="17.1796875" style="4" customWidth="1"/>
    <col min="64" max="64" width="18.54296875" style="4" customWidth="1"/>
    <col min="65" max="66" width="13.1796875" style="4" customWidth="1"/>
    <col min="67" max="67" width="22.81640625" style="4" customWidth="1"/>
    <col min="68" max="68" width="17.54296875" style="4" customWidth="1"/>
    <col min="69" max="78" width="8.81640625" style="4"/>
    <col min="79" max="79" width="10.1796875" style="4" customWidth="1"/>
    <col min="80" max="16384" width="8.81640625" style="4"/>
  </cols>
  <sheetData>
    <row r="1" spans="1:68" ht="13">
      <c r="A1" s="156" t="s">
        <v>15</v>
      </c>
      <c r="B1" s="156"/>
      <c r="C1" s="156"/>
      <c r="D1" s="156"/>
      <c r="F1" s="5" t="s">
        <v>718</v>
      </c>
    </row>
    <row r="2" spans="1:68" ht="14.5">
      <c r="A2" s="162" t="s">
        <v>355</v>
      </c>
      <c r="B2" s="168"/>
    </row>
    <row r="3" spans="1:68" ht="14.5">
      <c r="A3" s="162" t="s">
        <v>357</v>
      </c>
      <c r="B3" s="168"/>
      <c r="C3" s="113"/>
      <c r="D3" s="4" t="s">
        <v>459</v>
      </c>
      <c r="F3" s="169" t="s">
        <v>358</v>
      </c>
      <c r="G3" s="169"/>
    </row>
    <row r="4" spans="1:68" ht="14.5">
      <c r="A4" s="162" t="s">
        <v>359</v>
      </c>
      <c r="B4" s="168"/>
      <c r="D4" s="33" t="s">
        <v>648</v>
      </c>
    </row>
    <row r="5" spans="1:68">
      <c r="A5" s="162" t="s">
        <v>360</v>
      </c>
      <c r="B5" s="162"/>
    </row>
    <row r="6" spans="1:68">
      <c r="A6" s="162" t="s">
        <v>361</v>
      </c>
      <c r="B6" s="162"/>
    </row>
    <row r="7" spans="1:68" ht="52">
      <c r="A7" s="7" t="s">
        <v>151</v>
      </c>
      <c r="B7" s="7" t="s">
        <v>362</v>
      </c>
      <c r="C7" s="7" t="s">
        <v>364</v>
      </c>
      <c r="D7" s="7" t="s">
        <v>365</v>
      </c>
      <c r="E7" s="6" t="s">
        <v>654</v>
      </c>
      <c r="F7" s="6" t="s">
        <v>129</v>
      </c>
      <c r="G7" s="6" t="s">
        <v>146</v>
      </c>
      <c r="H7" s="6" t="s">
        <v>655</v>
      </c>
      <c r="I7" s="6" t="s">
        <v>367</v>
      </c>
      <c r="J7" s="6" t="s">
        <v>656</v>
      </c>
      <c r="K7" s="6" t="s">
        <v>657</v>
      </c>
      <c r="L7" s="6" t="s">
        <v>658</v>
      </c>
      <c r="M7" s="6" t="s">
        <v>170</v>
      </c>
      <c r="N7" s="6" t="s">
        <v>656</v>
      </c>
      <c r="O7" s="6" t="s">
        <v>657</v>
      </c>
      <c r="P7" s="6" t="s">
        <v>658</v>
      </c>
      <c r="Q7" s="6" t="s">
        <v>30</v>
      </c>
      <c r="R7" s="6" t="s">
        <v>656</v>
      </c>
      <c r="S7" s="6" t="s">
        <v>657</v>
      </c>
      <c r="T7" s="6" t="s">
        <v>658</v>
      </c>
      <c r="U7" s="6" t="s">
        <v>175</v>
      </c>
      <c r="V7" s="6" t="s">
        <v>656</v>
      </c>
      <c r="W7" s="6" t="s">
        <v>657</v>
      </c>
      <c r="X7" s="6" t="s">
        <v>658</v>
      </c>
      <c r="Y7" s="6" t="s">
        <v>189</v>
      </c>
      <c r="Z7" s="6" t="s">
        <v>656</v>
      </c>
      <c r="AA7" s="6" t="s">
        <v>657</v>
      </c>
      <c r="AB7" s="6" t="s">
        <v>658</v>
      </c>
      <c r="AC7" s="6" t="s">
        <v>194</v>
      </c>
      <c r="AD7" s="6" t="s">
        <v>656</v>
      </c>
      <c r="AE7" s="6" t="s">
        <v>657</v>
      </c>
      <c r="AF7" s="6" t="s">
        <v>658</v>
      </c>
      <c r="AG7" s="6" t="s">
        <v>179</v>
      </c>
      <c r="AH7" s="6" t="s">
        <v>656</v>
      </c>
      <c r="AI7" s="6" t="s">
        <v>657</v>
      </c>
      <c r="AJ7" s="6" t="s">
        <v>658</v>
      </c>
      <c r="AK7" s="6" t="s">
        <v>554</v>
      </c>
      <c r="AL7" s="6" t="s">
        <v>656</v>
      </c>
      <c r="AM7" s="6" t="s">
        <v>657</v>
      </c>
      <c r="AN7" s="6" t="s">
        <v>658</v>
      </c>
      <c r="AO7" s="79" t="s">
        <v>659</v>
      </c>
      <c r="AP7" s="6" t="s">
        <v>656</v>
      </c>
      <c r="AQ7" s="6" t="s">
        <v>657</v>
      </c>
      <c r="AR7" s="6" t="s">
        <v>658</v>
      </c>
      <c r="AS7" s="79" t="s">
        <v>206</v>
      </c>
      <c r="AT7" s="6" t="s">
        <v>656</v>
      </c>
      <c r="AU7" s="6" t="s">
        <v>657</v>
      </c>
      <c r="AV7" s="6" t="s">
        <v>658</v>
      </c>
      <c r="AW7" s="79" t="s">
        <v>373</v>
      </c>
      <c r="AX7" s="6" t="s">
        <v>656</v>
      </c>
      <c r="AY7" s="6" t="s">
        <v>657</v>
      </c>
      <c r="AZ7" s="6" t="s">
        <v>658</v>
      </c>
      <c r="BA7" s="79" t="s">
        <v>719</v>
      </c>
      <c r="BB7" s="6" t="s">
        <v>656</v>
      </c>
      <c r="BC7" s="6" t="s">
        <v>657</v>
      </c>
      <c r="BD7" s="6" t="s">
        <v>658</v>
      </c>
      <c r="BE7" s="6" t="s">
        <v>191</v>
      </c>
      <c r="BF7" s="6" t="s">
        <v>375</v>
      </c>
      <c r="BG7" s="6" t="s">
        <v>376</v>
      </c>
      <c r="BH7" s="6" t="s">
        <v>661</v>
      </c>
      <c r="BI7" s="6" t="s">
        <v>662</v>
      </c>
      <c r="BJ7" s="6" t="s">
        <v>663</v>
      </c>
      <c r="BK7" s="6" t="s">
        <v>664</v>
      </c>
      <c r="BL7" s="79" t="s">
        <v>665</v>
      </c>
      <c r="BM7" s="6" t="s">
        <v>666</v>
      </c>
      <c r="BN7" s="6" t="s">
        <v>667</v>
      </c>
      <c r="BO7" s="6" t="s">
        <v>668</v>
      </c>
      <c r="BP7" s="6" t="s">
        <v>669</v>
      </c>
    </row>
    <row r="8" spans="1:68">
      <c r="A8" s="19" t="s">
        <v>670</v>
      </c>
      <c r="B8" s="12"/>
      <c r="C8" s="4" t="s">
        <v>378</v>
      </c>
      <c r="D8" s="4" t="s">
        <v>671</v>
      </c>
      <c r="E8" s="12" t="s">
        <v>672</v>
      </c>
      <c r="F8" s="12">
        <v>4</v>
      </c>
      <c r="G8" s="12">
        <v>8</v>
      </c>
      <c r="H8" s="59">
        <v>20</v>
      </c>
      <c r="I8" s="28">
        <v>0</v>
      </c>
      <c r="J8" s="12" t="s">
        <v>673</v>
      </c>
      <c r="K8" s="4" t="s">
        <v>674</v>
      </c>
      <c r="L8" s="12">
        <v>4.7</v>
      </c>
      <c r="M8" s="12"/>
      <c r="N8" s="12"/>
      <c r="O8" s="12"/>
      <c r="P8" s="12"/>
      <c r="Q8" s="12"/>
      <c r="R8" s="12"/>
      <c r="S8" s="12"/>
      <c r="T8" s="12"/>
      <c r="U8" s="12"/>
      <c r="V8" s="12"/>
      <c r="W8" s="12"/>
      <c r="X8" s="12"/>
      <c r="Y8" s="12"/>
      <c r="Z8" s="12"/>
      <c r="AA8" s="12"/>
      <c r="AB8" s="12"/>
      <c r="AC8" s="12"/>
      <c r="AD8" s="12"/>
      <c r="AE8" s="12"/>
      <c r="AF8" s="12"/>
      <c r="AG8" s="59">
        <v>0</v>
      </c>
      <c r="AH8" s="12" t="s">
        <v>670</v>
      </c>
      <c r="AI8" s="12" t="s">
        <v>670</v>
      </c>
      <c r="AJ8" s="12" t="s">
        <v>670</v>
      </c>
      <c r="AK8" s="12"/>
      <c r="AL8" s="12"/>
      <c r="AM8" s="12"/>
      <c r="AN8" s="12"/>
      <c r="AO8" s="12"/>
      <c r="AP8" s="12"/>
      <c r="AQ8" s="12"/>
      <c r="AR8" s="12"/>
      <c r="AS8" s="12"/>
      <c r="AT8" s="12"/>
      <c r="AU8" s="12"/>
      <c r="AV8" s="12"/>
      <c r="AW8" s="12"/>
      <c r="AX8" s="12"/>
      <c r="AY8" s="12"/>
      <c r="AZ8" s="12"/>
      <c r="BA8" s="12"/>
      <c r="BB8" s="12"/>
      <c r="BC8" s="12"/>
      <c r="BD8" s="12"/>
      <c r="BE8" s="12">
        <v>1</v>
      </c>
      <c r="BF8" s="12" t="s">
        <v>381</v>
      </c>
      <c r="BH8" s="12" t="s">
        <v>381</v>
      </c>
      <c r="BI8" s="12">
        <v>2</v>
      </c>
      <c r="BJ8" s="12" t="s">
        <v>381</v>
      </c>
      <c r="BK8" s="12"/>
    </row>
    <row r="9" spans="1:68">
      <c r="A9" s="19" t="s">
        <v>377</v>
      </c>
      <c r="C9" s="4" t="s">
        <v>378</v>
      </c>
      <c r="D9" s="19" t="s">
        <v>19</v>
      </c>
      <c r="E9" s="12" t="s">
        <v>675</v>
      </c>
      <c r="F9" s="12">
        <v>4</v>
      </c>
      <c r="G9" s="12">
        <v>8</v>
      </c>
      <c r="H9" s="59">
        <v>350</v>
      </c>
      <c r="I9" s="28">
        <v>4</v>
      </c>
      <c r="J9" s="12" t="s">
        <v>676</v>
      </c>
      <c r="K9" s="4" t="s">
        <v>674</v>
      </c>
      <c r="L9" s="12">
        <v>5.9</v>
      </c>
      <c r="M9" s="12"/>
      <c r="N9" s="12"/>
      <c r="O9" s="12"/>
      <c r="P9" s="12"/>
      <c r="Q9" s="12"/>
      <c r="R9" s="12"/>
      <c r="S9" s="12"/>
      <c r="T9" s="12"/>
      <c r="U9" s="12"/>
      <c r="V9" s="12"/>
      <c r="W9" s="12"/>
      <c r="X9" s="12"/>
      <c r="Y9" s="12"/>
      <c r="Z9" s="12"/>
      <c r="AA9" s="12"/>
      <c r="AB9" s="12"/>
      <c r="AC9" s="12"/>
      <c r="AD9" s="12"/>
      <c r="AE9" s="12"/>
      <c r="AF9" s="12"/>
      <c r="AG9" s="59">
        <f>2*H9</f>
        <v>700</v>
      </c>
      <c r="AH9" s="12" t="s">
        <v>676</v>
      </c>
      <c r="AI9" s="4" t="s">
        <v>674</v>
      </c>
      <c r="AJ9" s="12" t="s">
        <v>670</v>
      </c>
      <c r="AK9" s="12"/>
      <c r="AL9" s="12"/>
      <c r="AM9" s="12"/>
      <c r="AN9" s="12"/>
      <c r="AO9" s="12"/>
      <c r="AP9" s="12"/>
      <c r="AQ9" s="12"/>
      <c r="AR9" s="12"/>
      <c r="AS9" s="12"/>
      <c r="AT9" s="12"/>
      <c r="AU9" s="12"/>
      <c r="AV9" s="12"/>
      <c r="AW9" s="12"/>
      <c r="AX9" s="12"/>
      <c r="AY9" s="12"/>
      <c r="AZ9" s="12"/>
      <c r="BA9" s="12"/>
      <c r="BB9" s="12"/>
      <c r="BC9" s="12"/>
      <c r="BD9" s="12"/>
      <c r="BE9" s="12">
        <v>2</v>
      </c>
      <c r="BF9" s="12" t="s">
        <v>381</v>
      </c>
      <c r="BI9" s="12">
        <v>2</v>
      </c>
      <c r="BJ9" s="12"/>
      <c r="BK9" s="12"/>
      <c r="BL9" s="12" t="s">
        <v>381</v>
      </c>
    </row>
    <row r="10" spans="1:68">
      <c r="A10" s="4" t="s">
        <v>385</v>
      </c>
      <c r="B10" s="12" t="s">
        <v>386</v>
      </c>
      <c r="C10" s="4" t="s">
        <v>378</v>
      </c>
      <c r="D10" s="4" t="s">
        <v>27</v>
      </c>
      <c r="E10" s="12" t="s">
        <v>677</v>
      </c>
      <c r="F10" s="12">
        <v>4</v>
      </c>
      <c r="G10" s="12">
        <v>6</v>
      </c>
      <c r="H10" s="59">
        <v>40</v>
      </c>
      <c r="I10" s="28">
        <v>4</v>
      </c>
      <c r="J10" s="12" t="s">
        <v>676</v>
      </c>
      <c r="K10" s="4" t="s">
        <v>674</v>
      </c>
      <c r="L10" s="12">
        <v>2.6</v>
      </c>
      <c r="M10" s="12"/>
      <c r="N10" s="12"/>
      <c r="O10" s="12"/>
      <c r="P10" s="12"/>
      <c r="Q10" s="12"/>
      <c r="R10" s="12"/>
      <c r="S10" s="12"/>
      <c r="T10" s="12"/>
      <c r="U10" s="12"/>
      <c r="V10" s="12"/>
      <c r="W10" s="12"/>
      <c r="X10" s="12"/>
      <c r="Y10" s="12"/>
      <c r="Z10" s="12"/>
      <c r="AA10" s="12"/>
      <c r="AB10" s="12"/>
      <c r="AC10" s="12"/>
      <c r="AD10" s="12"/>
      <c r="AE10" s="12"/>
      <c r="AF10" s="12"/>
      <c r="AG10" s="59">
        <f>2*H10</f>
        <v>80</v>
      </c>
      <c r="AH10" s="12" t="s">
        <v>676</v>
      </c>
      <c r="AI10" s="4" t="s">
        <v>674</v>
      </c>
      <c r="AJ10" s="12" t="s">
        <v>670</v>
      </c>
      <c r="AK10" s="12"/>
      <c r="AL10" s="12"/>
      <c r="AM10" s="12"/>
      <c r="AN10" s="12"/>
      <c r="AO10" s="12"/>
      <c r="AP10" s="12"/>
      <c r="AQ10" s="12"/>
      <c r="AR10" s="12"/>
      <c r="AS10" s="12"/>
      <c r="AT10" s="12"/>
      <c r="AU10" s="12"/>
      <c r="AV10" s="12"/>
      <c r="AW10" s="12"/>
      <c r="AX10" s="12"/>
      <c r="AY10" s="12"/>
      <c r="AZ10" s="12"/>
      <c r="BA10" s="12"/>
      <c r="BB10" s="12"/>
      <c r="BC10" s="12"/>
      <c r="BD10" s="12"/>
      <c r="BE10" s="12">
        <v>2</v>
      </c>
      <c r="BF10" s="12" t="s">
        <v>381</v>
      </c>
      <c r="BG10" s="12"/>
      <c r="BH10" s="12"/>
      <c r="BI10" s="12">
        <v>2</v>
      </c>
      <c r="BJ10" s="12"/>
      <c r="BK10" s="12"/>
      <c r="BL10" s="12" t="s">
        <v>381</v>
      </c>
      <c r="BM10" s="12"/>
      <c r="BN10" s="12"/>
      <c r="BO10" s="12"/>
      <c r="BP10" s="12"/>
    </row>
    <row r="11" spans="1:68">
      <c r="A11" s="4" t="s">
        <v>389</v>
      </c>
      <c r="B11" s="12"/>
      <c r="C11" s="4" t="s">
        <v>378</v>
      </c>
      <c r="D11" s="4" t="s">
        <v>30</v>
      </c>
      <c r="E11" s="12" t="s">
        <v>678</v>
      </c>
      <c r="F11" s="12">
        <v>11</v>
      </c>
      <c r="G11" s="12">
        <v>70</v>
      </c>
      <c r="H11" s="59">
        <v>95</v>
      </c>
      <c r="I11" s="28">
        <v>16</v>
      </c>
      <c r="J11" s="12" t="s">
        <v>676</v>
      </c>
      <c r="K11" s="4" t="s">
        <v>674</v>
      </c>
      <c r="L11" s="12">
        <v>2.6</v>
      </c>
      <c r="M11" s="12">
        <v>59.4</v>
      </c>
      <c r="N11" s="12" t="s">
        <v>676</v>
      </c>
      <c r="O11" s="4" t="s">
        <v>679</v>
      </c>
      <c r="P11" s="12">
        <f>50/1000</f>
        <v>0.05</v>
      </c>
      <c r="Q11" s="124">
        <v>1350</v>
      </c>
      <c r="R11" s="12" t="s">
        <v>676</v>
      </c>
      <c r="S11" s="4" t="s">
        <v>679</v>
      </c>
      <c r="T11" s="12">
        <f>50/1000</f>
        <v>0.05</v>
      </c>
      <c r="U11" s="59">
        <v>2025</v>
      </c>
      <c r="V11" s="12" t="s">
        <v>676</v>
      </c>
      <c r="W11" s="4" t="s">
        <v>674</v>
      </c>
      <c r="X11" s="12">
        <f>50/1000</f>
        <v>0.05</v>
      </c>
      <c r="Y11" s="12"/>
      <c r="Z11" s="12"/>
      <c r="AA11" s="12"/>
      <c r="AB11" s="12"/>
      <c r="AC11" s="12"/>
      <c r="AD11" s="12"/>
      <c r="AE11" s="12"/>
      <c r="AF11" s="12"/>
      <c r="AG11" s="59">
        <f>2*H11+5872.5</f>
        <v>6062.5</v>
      </c>
      <c r="AH11" s="12" t="s">
        <v>676</v>
      </c>
      <c r="AI11" s="4" t="s">
        <v>674</v>
      </c>
      <c r="AJ11" s="12" t="s">
        <v>670</v>
      </c>
      <c r="AK11" s="12"/>
      <c r="AL11" s="12"/>
      <c r="AM11" s="12"/>
      <c r="AN11" s="12"/>
      <c r="AO11" s="12"/>
      <c r="AP11" s="12"/>
      <c r="AQ11" s="12"/>
      <c r="AR11" s="12"/>
      <c r="AS11" s="12"/>
      <c r="AT11" s="12"/>
      <c r="AU11" s="12"/>
      <c r="AV11" s="12"/>
      <c r="AW11" s="12"/>
      <c r="AX11" s="12"/>
      <c r="AY11" s="12"/>
      <c r="AZ11" s="12"/>
      <c r="BA11" s="59">
        <v>2048</v>
      </c>
      <c r="BB11" s="12" t="s">
        <v>676</v>
      </c>
      <c r="BC11" s="4" t="s">
        <v>674</v>
      </c>
      <c r="BD11" s="12">
        <f>50/1000</f>
        <v>0.05</v>
      </c>
      <c r="BE11" s="12">
        <v>6</v>
      </c>
      <c r="BF11" s="12" t="s">
        <v>381</v>
      </c>
      <c r="BG11" s="12"/>
      <c r="BH11" s="12"/>
      <c r="BI11" s="12">
        <v>2</v>
      </c>
      <c r="BJ11" s="12"/>
      <c r="BK11" s="12"/>
      <c r="BL11" s="12" t="s">
        <v>381</v>
      </c>
      <c r="BM11" s="12"/>
      <c r="BN11" s="12"/>
      <c r="BO11" s="12"/>
      <c r="BP11" s="12"/>
    </row>
    <row r="12" spans="1:68">
      <c r="A12" s="4" t="s">
        <v>393</v>
      </c>
      <c r="B12" s="12" t="s">
        <v>386</v>
      </c>
      <c r="C12" s="4" t="s">
        <v>378</v>
      </c>
      <c r="D12" s="4" t="s">
        <v>34</v>
      </c>
      <c r="E12" s="12" t="s">
        <v>680</v>
      </c>
      <c r="F12" s="12">
        <v>6</v>
      </c>
      <c r="G12" s="12">
        <v>7</v>
      </c>
      <c r="H12" s="59">
        <v>45</v>
      </c>
      <c r="I12" s="28">
        <v>4</v>
      </c>
      <c r="J12" s="12" t="s">
        <v>676</v>
      </c>
      <c r="K12" s="4" t="s">
        <v>674</v>
      </c>
      <c r="L12" s="12">
        <v>2.6</v>
      </c>
      <c r="M12" s="12"/>
      <c r="N12" s="12"/>
      <c r="O12" s="12"/>
      <c r="P12" s="12"/>
      <c r="Q12" s="12"/>
      <c r="R12" s="12"/>
      <c r="S12" s="12"/>
      <c r="T12" s="12"/>
      <c r="U12" s="12"/>
      <c r="V12" s="12"/>
      <c r="W12" s="12"/>
      <c r="X12" s="12"/>
      <c r="Y12" s="59">
        <v>393</v>
      </c>
      <c r="Z12" s="12" t="s">
        <v>676</v>
      </c>
      <c r="AA12" s="4" t="s">
        <v>674</v>
      </c>
      <c r="AB12" s="12">
        <v>0.1</v>
      </c>
      <c r="AC12" s="59">
        <v>270</v>
      </c>
      <c r="AD12" s="12" t="s">
        <v>676</v>
      </c>
      <c r="AE12" s="4" t="s">
        <v>674</v>
      </c>
      <c r="AF12" s="12" t="s">
        <v>670</v>
      </c>
      <c r="AG12" s="59">
        <v>477</v>
      </c>
      <c r="AH12" s="12" t="s">
        <v>676</v>
      </c>
      <c r="AI12" s="4" t="s">
        <v>674</v>
      </c>
      <c r="AJ12" s="12" t="s">
        <v>670</v>
      </c>
      <c r="AK12" s="12"/>
      <c r="AL12" s="12"/>
      <c r="AM12" s="12"/>
      <c r="AN12" s="12"/>
      <c r="AO12" s="12"/>
      <c r="AP12" s="12"/>
      <c r="AQ12" s="12"/>
      <c r="AR12" s="12"/>
      <c r="AS12" s="12"/>
      <c r="AT12" s="12"/>
      <c r="AU12" s="12"/>
      <c r="AV12" s="12"/>
      <c r="AW12" s="12"/>
      <c r="AX12" s="12"/>
      <c r="AY12" s="12"/>
      <c r="AZ12" s="12"/>
      <c r="BA12" s="12"/>
      <c r="BB12" s="12"/>
      <c r="BC12" s="12"/>
      <c r="BD12" s="12"/>
      <c r="BE12" s="12">
        <v>4</v>
      </c>
      <c r="BF12" s="12" t="s">
        <v>381</v>
      </c>
      <c r="BG12" s="12"/>
      <c r="BH12" s="12"/>
      <c r="BI12" s="12">
        <v>2</v>
      </c>
      <c r="BJ12" s="12"/>
      <c r="BK12" s="12"/>
      <c r="BL12" s="12" t="s">
        <v>381</v>
      </c>
      <c r="BM12" s="12"/>
      <c r="BN12" s="12"/>
      <c r="BO12" s="12"/>
      <c r="BP12" s="12"/>
    </row>
    <row r="13" spans="1:68">
      <c r="A13" s="4" t="s">
        <v>395</v>
      </c>
      <c r="B13" s="12"/>
      <c r="C13" s="4" t="s">
        <v>378</v>
      </c>
      <c r="D13" s="4" t="s">
        <v>38</v>
      </c>
      <c r="E13" s="12" t="s">
        <v>681</v>
      </c>
      <c r="F13" s="12">
        <v>4</v>
      </c>
      <c r="G13" s="12">
        <v>4</v>
      </c>
      <c r="H13" s="59">
        <v>30</v>
      </c>
      <c r="I13" s="28">
        <v>4</v>
      </c>
      <c r="J13" s="12" t="s">
        <v>676</v>
      </c>
      <c r="K13" s="4" t="s">
        <v>674</v>
      </c>
      <c r="L13" s="12">
        <v>2.6</v>
      </c>
      <c r="M13" s="59"/>
      <c r="N13" s="12"/>
      <c r="O13" s="12"/>
      <c r="P13" s="12"/>
      <c r="Q13" s="12"/>
      <c r="R13" s="12"/>
      <c r="S13" s="12"/>
      <c r="T13" s="12"/>
      <c r="U13" s="12"/>
      <c r="V13" s="12"/>
      <c r="W13" s="12"/>
      <c r="X13" s="12"/>
      <c r="Y13" s="12"/>
      <c r="Z13" s="12"/>
      <c r="AA13" s="12"/>
      <c r="AB13" s="12"/>
      <c r="AC13" s="12"/>
      <c r="AD13" s="12"/>
      <c r="AE13" s="12"/>
      <c r="AF13" s="12"/>
      <c r="AG13" s="59">
        <f t="shared" ref="AG13:AG36" si="0">2*H13</f>
        <v>60</v>
      </c>
      <c r="AH13" s="12" t="s">
        <v>676</v>
      </c>
      <c r="AI13" s="4" t="s">
        <v>674</v>
      </c>
      <c r="AJ13" s="12" t="s">
        <v>670</v>
      </c>
      <c r="AK13" s="12"/>
      <c r="AL13" s="12"/>
      <c r="AM13" s="12"/>
      <c r="AN13" s="12"/>
      <c r="AO13" s="12"/>
      <c r="AP13" s="12"/>
      <c r="AQ13" s="12"/>
      <c r="AR13" s="12"/>
      <c r="AS13" s="12"/>
      <c r="AT13" s="12"/>
      <c r="AU13" s="12"/>
      <c r="AV13" s="12"/>
      <c r="AW13" s="12"/>
      <c r="AX13" s="12"/>
      <c r="AY13" s="12"/>
      <c r="AZ13" s="12"/>
      <c r="BA13" s="12"/>
      <c r="BB13" s="12"/>
      <c r="BC13" s="12"/>
      <c r="BD13" s="12"/>
      <c r="BE13" s="12">
        <v>2</v>
      </c>
      <c r="BF13" s="12" t="s">
        <v>381</v>
      </c>
      <c r="BG13" s="12" t="s">
        <v>381</v>
      </c>
      <c r="BH13" s="12"/>
      <c r="BI13" s="12">
        <v>2</v>
      </c>
      <c r="BJ13" s="12"/>
      <c r="BK13" s="12"/>
      <c r="BL13" s="12" t="s">
        <v>381</v>
      </c>
      <c r="BM13" s="12"/>
      <c r="BN13" s="12"/>
      <c r="BO13" s="12"/>
      <c r="BP13" s="12"/>
    </row>
    <row r="14" spans="1:68">
      <c r="A14" s="4" t="s">
        <v>398</v>
      </c>
      <c r="B14" s="12"/>
      <c r="C14" s="4" t="s">
        <v>378</v>
      </c>
      <c r="D14" s="4" t="s">
        <v>42</v>
      </c>
      <c r="E14" s="12" t="s">
        <v>682</v>
      </c>
      <c r="F14" s="12">
        <v>2</v>
      </c>
      <c r="G14" s="12">
        <v>3</v>
      </c>
      <c r="H14" s="59">
        <v>30</v>
      </c>
      <c r="I14" s="28">
        <v>4</v>
      </c>
      <c r="J14" s="12" t="s">
        <v>676</v>
      </c>
      <c r="K14" s="4" t="s">
        <v>674</v>
      </c>
      <c r="L14" s="12">
        <v>2.6</v>
      </c>
      <c r="M14" s="12"/>
      <c r="N14" s="12"/>
      <c r="O14" s="12"/>
      <c r="P14" s="12"/>
      <c r="Q14" s="12"/>
      <c r="R14" s="12"/>
      <c r="S14" s="12"/>
      <c r="T14" s="12"/>
      <c r="U14" s="12"/>
      <c r="V14" s="12"/>
      <c r="W14" s="12"/>
      <c r="X14" s="12"/>
      <c r="Y14" s="12"/>
      <c r="Z14" s="12"/>
      <c r="AA14" s="12"/>
      <c r="AB14" s="12"/>
      <c r="AC14" s="12"/>
      <c r="AD14" s="12"/>
      <c r="AE14" s="12"/>
      <c r="AF14" s="12"/>
      <c r="AG14" s="59">
        <f t="shared" si="0"/>
        <v>60</v>
      </c>
      <c r="AH14" s="12" t="s">
        <v>676</v>
      </c>
      <c r="AI14" s="4" t="s">
        <v>674</v>
      </c>
      <c r="AJ14" s="12" t="s">
        <v>670</v>
      </c>
      <c r="AK14" s="12"/>
      <c r="AL14" s="12"/>
      <c r="AM14" s="12"/>
      <c r="AN14" s="12"/>
      <c r="AO14" s="12"/>
      <c r="AP14" s="12"/>
      <c r="AQ14" s="12"/>
      <c r="AR14" s="12"/>
      <c r="AS14" s="12"/>
      <c r="AT14" s="12"/>
      <c r="AU14" s="12"/>
      <c r="AV14" s="12"/>
      <c r="AW14" s="12"/>
      <c r="AX14" s="12"/>
      <c r="AY14" s="12"/>
      <c r="AZ14" s="12"/>
      <c r="BA14" s="12"/>
      <c r="BB14" s="12"/>
      <c r="BC14" s="12"/>
      <c r="BD14" s="12"/>
      <c r="BE14" s="12">
        <v>2</v>
      </c>
      <c r="BF14" s="12" t="s">
        <v>381</v>
      </c>
      <c r="BG14" s="12"/>
      <c r="BH14" s="12"/>
      <c r="BI14" s="12">
        <v>2</v>
      </c>
      <c r="BJ14" s="12"/>
      <c r="BK14" s="12"/>
      <c r="BL14" s="12" t="s">
        <v>381</v>
      </c>
      <c r="BM14" s="12"/>
      <c r="BN14" s="12"/>
      <c r="BO14" s="12"/>
      <c r="BP14" s="12"/>
    </row>
    <row r="15" spans="1:68">
      <c r="A15" s="4" t="s">
        <v>399</v>
      </c>
      <c r="B15" s="12"/>
      <c r="C15" s="4" t="s">
        <v>378</v>
      </c>
      <c r="D15" s="4" t="s">
        <v>555</v>
      </c>
      <c r="E15" s="12" t="s">
        <v>683</v>
      </c>
      <c r="F15" s="12">
        <v>3</v>
      </c>
      <c r="G15" s="12">
        <v>6</v>
      </c>
      <c r="H15" s="59">
        <v>40</v>
      </c>
      <c r="I15" s="28">
        <v>4</v>
      </c>
      <c r="J15" s="12" t="s">
        <v>676</v>
      </c>
      <c r="K15" s="4" t="s">
        <v>674</v>
      </c>
      <c r="L15" s="12">
        <v>2.6</v>
      </c>
      <c r="M15" s="12"/>
      <c r="N15" s="12"/>
      <c r="O15" s="12"/>
      <c r="P15" s="12"/>
      <c r="Q15" s="12"/>
      <c r="R15" s="12"/>
      <c r="S15" s="12"/>
      <c r="T15" s="12"/>
      <c r="U15" s="12"/>
      <c r="V15" s="12"/>
      <c r="W15" s="12"/>
      <c r="X15" s="12"/>
      <c r="Y15" s="12"/>
      <c r="Z15" s="12"/>
      <c r="AA15" s="12"/>
      <c r="AB15" s="12"/>
      <c r="AC15" s="12"/>
      <c r="AD15" s="12"/>
      <c r="AE15" s="12"/>
      <c r="AF15" s="12"/>
      <c r="AG15" s="59">
        <f t="shared" si="0"/>
        <v>80</v>
      </c>
      <c r="AH15" s="12" t="s">
        <v>676</v>
      </c>
      <c r="AI15" s="4" t="s">
        <v>674</v>
      </c>
      <c r="AJ15" s="12" t="s">
        <v>670</v>
      </c>
      <c r="AK15" s="12"/>
      <c r="AL15" s="12"/>
      <c r="AM15" s="12"/>
      <c r="AN15" s="12"/>
      <c r="AO15" s="12"/>
      <c r="AP15" s="12"/>
      <c r="AQ15" s="12"/>
      <c r="AR15" s="12"/>
      <c r="AS15" s="12"/>
      <c r="AT15" s="12"/>
      <c r="AU15" s="12"/>
      <c r="AV15" s="12"/>
      <c r="AW15" s="12"/>
      <c r="AX15" s="12"/>
      <c r="AY15" s="12"/>
      <c r="AZ15" s="12"/>
      <c r="BA15" s="12"/>
      <c r="BB15" s="12"/>
      <c r="BC15" s="12"/>
      <c r="BD15" s="12"/>
      <c r="BE15" s="12">
        <v>2</v>
      </c>
      <c r="BF15" s="12" t="s">
        <v>381</v>
      </c>
      <c r="BG15" s="12"/>
      <c r="BH15" s="12"/>
      <c r="BI15" s="12">
        <v>2</v>
      </c>
      <c r="BJ15" s="12"/>
      <c r="BK15" s="12"/>
      <c r="BL15" s="12" t="s">
        <v>381</v>
      </c>
      <c r="BM15" s="12"/>
      <c r="BN15" s="12"/>
      <c r="BO15" s="12"/>
      <c r="BP15" s="12"/>
    </row>
    <row r="16" spans="1:68">
      <c r="A16" s="4" t="s">
        <v>401</v>
      </c>
      <c r="B16" s="12"/>
      <c r="C16" s="4" t="s">
        <v>378</v>
      </c>
      <c r="D16" s="4" t="s">
        <v>402</v>
      </c>
      <c r="E16" s="12" t="s">
        <v>684</v>
      </c>
      <c r="F16" s="12">
        <v>5</v>
      </c>
      <c r="G16" s="12">
        <v>5</v>
      </c>
      <c r="H16" s="59">
        <v>55</v>
      </c>
      <c r="I16" s="28">
        <v>4</v>
      </c>
      <c r="J16" s="12" t="s">
        <v>676</v>
      </c>
      <c r="K16" s="4" t="s">
        <v>674</v>
      </c>
      <c r="L16" s="12">
        <v>2.6</v>
      </c>
      <c r="M16" s="12"/>
      <c r="N16" s="12"/>
      <c r="O16" s="12"/>
      <c r="P16" s="12"/>
      <c r="Q16" s="12"/>
      <c r="R16" s="12"/>
      <c r="S16" s="12"/>
      <c r="T16" s="12"/>
      <c r="U16" s="12"/>
      <c r="V16" s="12"/>
      <c r="W16" s="12"/>
      <c r="X16" s="12"/>
      <c r="Y16" s="12"/>
      <c r="Z16" s="12"/>
      <c r="AA16" s="12"/>
      <c r="AB16" s="12"/>
      <c r="AC16" s="12"/>
      <c r="AD16" s="12"/>
      <c r="AE16" s="12"/>
      <c r="AF16" s="12"/>
      <c r="AG16" s="59">
        <f t="shared" si="0"/>
        <v>110</v>
      </c>
      <c r="AH16" s="12" t="s">
        <v>676</v>
      </c>
      <c r="AI16" s="4" t="s">
        <v>674</v>
      </c>
      <c r="AJ16" s="12" t="s">
        <v>670</v>
      </c>
      <c r="AK16" s="12"/>
      <c r="AL16" s="12"/>
      <c r="AM16" s="12"/>
      <c r="AN16" s="12"/>
      <c r="AO16" s="12"/>
      <c r="AP16" s="12"/>
      <c r="AQ16" s="12"/>
      <c r="AR16" s="12"/>
      <c r="AS16" s="12"/>
      <c r="AT16" s="12"/>
      <c r="AU16" s="12"/>
      <c r="AV16" s="12"/>
      <c r="AW16" s="12"/>
      <c r="AX16" s="12"/>
      <c r="AY16" s="12"/>
      <c r="AZ16" s="12"/>
      <c r="BA16" s="12"/>
      <c r="BB16" s="12"/>
      <c r="BC16" s="12"/>
      <c r="BD16" s="12"/>
      <c r="BE16" s="12">
        <v>2</v>
      </c>
      <c r="BF16" s="12" t="s">
        <v>381</v>
      </c>
      <c r="BG16" s="12"/>
      <c r="BH16" s="12"/>
      <c r="BI16" s="12">
        <v>2</v>
      </c>
      <c r="BJ16" s="12"/>
      <c r="BK16" s="12"/>
      <c r="BL16" s="12" t="s">
        <v>381</v>
      </c>
      <c r="BM16" s="12"/>
      <c r="BN16" s="12"/>
      <c r="BO16" s="12"/>
      <c r="BP16" s="12"/>
    </row>
    <row r="17" spans="1:68">
      <c r="A17" s="4" t="s">
        <v>403</v>
      </c>
      <c r="B17" s="12"/>
      <c r="C17" s="4" t="s">
        <v>378</v>
      </c>
      <c r="D17" s="4" t="s">
        <v>54</v>
      </c>
      <c r="E17" s="12" t="s">
        <v>685</v>
      </c>
      <c r="F17" s="12">
        <v>8</v>
      </c>
      <c r="G17" s="12">
        <v>13</v>
      </c>
      <c r="H17" s="59">
        <v>80</v>
      </c>
      <c r="I17" s="28">
        <v>4</v>
      </c>
      <c r="J17" s="12" t="s">
        <v>676</v>
      </c>
      <c r="K17" s="4" t="s">
        <v>674</v>
      </c>
      <c r="L17" s="12">
        <v>2.6</v>
      </c>
      <c r="M17" s="59"/>
      <c r="N17" s="12"/>
      <c r="O17" s="12"/>
      <c r="P17" s="12"/>
      <c r="Q17" s="12"/>
      <c r="R17" s="12"/>
      <c r="S17" s="12"/>
      <c r="T17" s="12"/>
      <c r="U17" s="12"/>
      <c r="V17" s="12"/>
      <c r="W17" s="12"/>
      <c r="X17" s="12"/>
      <c r="Y17" s="12"/>
      <c r="Z17" s="12"/>
      <c r="AA17" s="12"/>
      <c r="AB17" s="12"/>
      <c r="AC17" s="12"/>
      <c r="AD17" s="12"/>
      <c r="AE17" s="12"/>
      <c r="AF17" s="12"/>
      <c r="AG17" s="59">
        <f t="shared" si="0"/>
        <v>160</v>
      </c>
      <c r="AH17" s="12" t="s">
        <v>676</v>
      </c>
      <c r="AI17" s="4" t="s">
        <v>674</v>
      </c>
      <c r="AJ17" s="12" t="s">
        <v>670</v>
      </c>
      <c r="AK17" s="12"/>
      <c r="AL17" s="12"/>
      <c r="AM17" s="12"/>
      <c r="AN17" s="12"/>
      <c r="AO17" s="12"/>
      <c r="AP17" s="12"/>
      <c r="AQ17" s="12"/>
      <c r="AR17" s="12"/>
      <c r="AS17" s="12"/>
      <c r="AT17" s="12"/>
      <c r="AU17" s="12"/>
      <c r="AV17" s="12"/>
      <c r="AW17" s="12"/>
      <c r="AX17" s="12"/>
      <c r="AY17" s="12"/>
      <c r="AZ17" s="12"/>
      <c r="BA17" s="12"/>
      <c r="BB17" s="12"/>
      <c r="BC17" s="12"/>
      <c r="BD17" s="12"/>
      <c r="BE17" s="12">
        <v>2</v>
      </c>
      <c r="BF17" s="12" t="s">
        <v>381</v>
      </c>
      <c r="BG17" s="12"/>
      <c r="BH17" s="12"/>
      <c r="BI17" s="12">
        <v>2</v>
      </c>
      <c r="BJ17" s="12"/>
      <c r="BK17" s="12"/>
      <c r="BL17" s="12" t="s">
        <v>381</v>
      </c>
      <c r="BM17" s="12"/>
      <c r="BN17" s="12"/>
      <c r="BO17" s="12"/>
      <c r="BP17" s="12"/>
    </row>
    <row r="18" spans="1:68">
      <c r="A18" s="4" t="s">
        <v>404</v>
      </c>
      <c r="B18" s="12"/>
      <c r="C18" s="4" t="s">
        <v>378</v>
      </c>
      <c r="D18" s="4" t="s">
        <v>58</v>
      </c>
      <c r="E18" s="12" t="s">
        <v>681</v>
      </c>
      <c r="F18" s="12">
        <v>4</v>
      </c>
      <c r="G18" s="12">
        <v>4</v>
      </c>
      <c r="H18" s="59">
        <v>30</v>
      </c>
      <c r="I18" s="28">
        <v>4</v>
      </c>
      <c r="J18" s="12" t="s">
        <v>676</v>
      </c>
      <c r="K18" s="4" t="s">
        <v>674</v>
      </c>
      <c r="L18" s="12">
        <v>2.6</v>
      </c>
      <c r="M18" s="12"/>
      <c r="N18" s="12"/>
      <c r="O18" s="12"/>
      <c r="P18" s="12"/>
      <c r="Q18" s="12"/>
      <c r="R18" s="12"/>
      <c r="S18" s="12"/>
      <c r="T18" s="12"/>
      <c r="U18" s="12"/>
      <c r="V18" s="12"/>
      <c r="W18" s="12"/>
      <c r="X18" s="12"/>
      <c r="Y18" s="12"/>
      <c r="Z18" s="12"/>
      <c r="AA18" s="12"/>
      <c r="AB18" s="12"/>
      <c r="AC18" s="12"/>
      <c r="AD18" s="12"/>
      <c r="AE18" s="12"/>
      <c r="AF18" s="12"/>
      <c r="AG18" s="59">
        <f t="shared" si="0"/>
        <v>60</v>
      </c>
      <c r="AH18" s="12" t="s">
        <v>676</v>
      </c>
      <c r="AI18" s="4" t="s">
        <v>674</v>
      </c>
      <c r="AJ18" s="12" t="s">
        <v>670</v>
      </c>
      <c r="AK18" s="12"/>
      <c r="AL18" s="12"/>
      <c r="AM18" s="12"/>
      <c r="AN18" s="12"/>
      <c r="AO18" s="12"/>
      <c r="AP18" s="12"/>
      <c r="AQ18" s="12"/>
      <c r="AR18" s="12"/>
      <c r="AS18" s="12"/>
      <c r="AT18" s="12"/>
      <c r="AU18" s="12"/>
      <c r="AV18" s="12"/>
      <c r="AW18" s="12"/>
      <c r="AX18" s="12"/>
      <c r="AY18" s="12"/>
      <c r="AZ18" s="12"/>
      <c r="BA18" s="12"/>
      <c r="BB18" s="12"/>
      <c r="BC18" s="12"/>
      <c r="BD18" s="12"/>
      <c r="BE18" s="12">
        <v>2</v>
      </c>
      <c r="BF18" s="12" t="s">
        <v>381</v>
      </c>
      <c r="BG18" s="12" t="s">
        <v>381</v>
      </c>
      <c r="BH18" s="12"/>
      <c r="BI18" s="12">
        <v>2</v>
      </c>
      <c r="BJ18" s="12"/>
      <c r="BK18" s="12"/>
      <c r="BL18" s="12" t="s">
        <v>381</v>
      </c>
      <c r="BM18" s="12"/>
      <c r="BN18" s="12"/>
      <c r="BO18" s="12"/>
      <c r="BP18" s="12"/>
    </row>
    <row r="19" spans="1:68">
      <c r="A19" s="4" t="s">
        <v>405</v>
      </c>
      <c r="B19" s="12"/>
      <c r="C19" s="4" t="s">
        <v>378</v>
      </c>
      <c r="D19" s="4" t="s">
        <v>406</v>
      </c>
      <c r="E19" s="12" t="s">
        <v>686</v>
      </c>
      <c r="F19" s="12">
        <v>8</v>
      </c>
      <c r="G19" s="12">
        <v>10</v>
      </c>
      <c r="H19" s="59">
        <v>100</v>
      </c>
      <c r="I19" s="28">
        <v>16</v>
      </c>
      <c r="J19" s="12" t="s">
        <v>676</v>
      </c>
      <c r="K19" s="4" t="s">
        <v>674</v>
      </c>
      <c r="L19" s="12">
        <v>2.6</v>
      </c>
      <c r="M19" s="12"/>
      <c r="N19" s="12"/>
      <c r="O19" s="12"/>
      <c r="P19" s="12"/>
      <c r="Q19" s="12"/>
      <c r="R19" s="12"/>
      <c r="S19" s="12"/>
      <c r="T19" s="12"/>
      <c r="U19" s="12"/>
      <c r="V19" s="12"/>
      <c r="W19" s="12"/>
      <c r="X19" s="12"/>
      <c r="Y19" s="12"/>
      <c r="Z19" s="12"/>
      <c r="AA19" s="12"/>
      <c r="AB19" s="12"/>
      <c r="AC19" s="12"/>
      <c r="AD19" s="12"/>
      <c r="AE19" s="12"/>
      <c r="AF19" s="12"/>
      <c r="AG19" s="59">
        <f>2*(H19+AO19)</f>
        <v>300</v>
      </c>
      <c r="AH19" s="12" t="s">
        <v>676</v>
      </c>
      <c r="AI19" s="4" t="s">
        <v>674</v>
      </c>
      <c r="AJ19" s="12" t="s">
        <v>670</v>
      </c>
      <c r="AK19" s="12"/>
      <c r="AL19" s="12"/>
      <c r="AM19" s="12"/>
      <c r="AN19" s="12"/>
      <c r="AO19" s="59">
        <v>50</v>
      </c>
      <c r="AP19" s="12" t="s">
        <v>676</v>
      </c>
      <c r="AQ19" s="4" t="s">
        <v>674</v>
      </c>
      <c r="AR19" s="12">
        <f>50/1000</f>
        <v>0.05</v>
      </c>
      <c r="BA19" s="12"/>
      <c r="BB19" s="12"/>
      <c r="BC19" s="12"/>
      <c r="BD19" s="12"/>
      <c r="BE19" s="12">
        <v>3</v>
      </c>
      <c r="BF19" s="12" t="s">
        <v>381</v>
      </c>
      <c r="BG19" s="12"/>
      <c r="BH19" s="12"/>
      <c r="BI19" s="12">
        <v>2</v>
      </c>
      <c r="BJ19" s="12"/>
      <c r="BK19" s="12"/>
      <c r="BL19" s="12" t="s">
        <v>381</v>
      </c>
      <c r="BM19" s="12"/>
      <c r="BN19" s="12"/>
      <c r="BO19" s="12"/>
      <c r="BP19" s="12"/>
    </row>
    <row r="20" spans="1:68">
      <c r="A20" s="4" t="s">
        <v>407</v>
      </c>
      <c r="B20" s="12"/>
      <c r="C20" s="4" t="s">
        <v>378</v>
      </c>
      <c r="D20" s="4" t="s">
        <v>65</v>
      </c>
      <c r="E20" s="12" t="s">
        <v>687</v>
      </c>
      <c r="F20" s="12">
        <v>6</v>
      </c>
      <c r="G20" s="12">
        <v>7</v>
      </c>
      <c r="H20" s="59">
        <v>130</v>
      </c>
      <c r="I20" s="28">
        <v>4</v>
      </c>
      <c r="J20" s="12" t="s">
        <v>676</v>
      </c>
      <c r="K20" s="4" t="s">
        <v>674</v>
      </c>
      <c r="L20" s="12">
        <v>2.6</v>
      </c>
      <c r="M20" s="12"/>
      <c r="N20" s="12"/>
      <c r="O20" s="12"/>
      <c r="P20" s="12"/>
      <c r="Q20" s="12"/>
      <c r="R20" s="12"/>
      <c r="S20" s="12"/>
      <c r="T20" s="12"/>
      <c r="U20" s="12"/>
      <c r="V20" s="12"/>
      <c r="W20" s="12"/>
      <c r="X20" s="12"/>
      <c r="Y20" s="12"/>
      <c r="Z20" s="12"/>
      <c r="AA20" s="12"/>
      <c r="AB20" s="12"/>
      <c r="AC20" s="12"/>
      <c r="AD20" s="12"/>
      <c r="AE20" s="12"/>
      <c r="AF20" s="12"/>
      <c r="AG20" s="59">
        <f t="shared" si="0"/>
        <v>260</v>
      </c>
      <c r="AH20" s="12" t="s">
        <v>676</v>
      </c>
      <c r="AI20" s="4" t="s">
        <v>674</v>
      </c>
      <c r="AJ20" s="12" t="s">
        <v>670</v>
      </c>
      <c r="AK20" s="12"/>
      <c r="AL20" s="12"/>
      <c r="AM20" s="12"/>
      <c r="AN20" s="12"/>
      <c r="AO20" s="12"/>
      <c r="AP20" s="12"/>
      <c r="AQ20" s="12"/>
      <c r="AR20" s="12"/>
      <c r="BA20" s="12"/>
      <c r="BB20" s="12"/>
      <c r="BC20" s="12"/>
      <c r="BD20" s="12"/>
      <c r="BE20" s="12">
        <v>2</v>
      </c>
      <c r="BF20" s="12" t="s">
        <v>381</v>
      </c>
      <c r="BG20" s="12"/>
      <c r="BH20" s="12"/>
      <c r="BI20" s="12">
        <v>2</v>
      </c>
      <c r="BJ20" s="12"/>
      <c r="BK20" s="12"/>
      <c r="BL20" s="12" t="s">
        <v>381</v>
      </c>
      <c r="BM20" s="12"/>
      <c r="BN20" s="12"/>
      <c r="BO20" s="12"/>
      <c r="BP20" s="12"/>
    </row>
    <row r="21" spans="1:68">
      <c r="A21" s="4" t="s">
        <v>408</v>
      </c>
      <c r="B21" s="12"/>
      <c r="C21" s="4" t="s">
        <v>378</v>
      </c>
      <c r="D21" s="4" t="s">
        <v>69</v>
      </c>
      <c r="E21" s="12" t="s">
        <v>720</v>
      </c>
      <c r="F21" s="12">
        <v>5</v>
      </c>
      <c r="G21" s="12">
        <v>6</v>
      </c>
      <c r="H21" s="59">
        <v>60</v>
      </c>
      <c r="I21" s="28">
        <v>4</v>
      </c>
      <c r="J21" s="12" t="s">
        <v>676</v>
      </c>
      <c r="K21" s="4" t="s">
        <v>674</v>
      </c>
      <c r="L21" s="12">
        <v>2.6</v>
      </c>
      <c r="M21" s="12"/>
      <c r="N21" s="12"/>
      <c r="O21" s="12"/>
      <c r="P21" s="12"/>
      <c r="Q21" s="12"/>
      <c r="R21" s="12"/>
      <c r="S21" s="12"/>
      <c r="T21" s="12"/>
      <c r="U21" s="12"/>
      <c r="V21" s="12"/>
      <c r="W21" s="12"/>
      <c r="X21" s="12"/>
      <c r="Y21" s="12"/>
      <c r="Z21" s="12"/>
      <c r="AA21" s="12"/>
      <c r="AB21" s="12"/>
      <c r="AC21" s="12"/>
      <c r="AD21" s="12"/>
      <c r="AE21" s="12"/>
      <c r="AF21" s="12"/>
      <c r="AG21" s="59">
        <f t="shared" si="0"/>
        <v>120</v>
      </c>
      <c r="AH21" s="12" t="s">
        <v>676</v>
      </c>
      <c r="AI21" s="4" t="s">
        <v>674</v>
      </c>
      <c r="AJ21" s="12" t="s">
        <v>670</v>
      </c>
      <c r="AK21" s="12"/>
      <c r="AL21" s="12"/>
      <c r="AM21" s="12"/>
      <c r="AN21" s="12"/>
      <c r="AO21" s="12"/>
      <c r="AP21" s="12"/>
      <c r="AQ21" s="12"/>
      <c r="AR21" s="12"/>
      <c r="BA21" s="12"/>
      <c r="BB21" s="12"/>
      <c r="BC21" s="12"/>
      <c r="BD21" s="12"/>
      <c r="BE21" s="12">
        <v>2</v>
      </c>
      <c r="BF21" s="12" t="s">
        <v>381</v>
      </c>
      <c r="BG21" s="12"/>
      <c r="BH21" s="12"/>
      <c r="BI21" s="12">
        <v>2</v>
      </c>
      <c r="BJ21" s="12"/>
      <c r="BK21" s="12"/>
      <c r="BL21" s="12" t="s">
        <v>381</v>
      </c>
      <c r="BM21" s="12"/>
      <c r="BN21" s="12"/>
      <c r="BO21" s="12"/>
      <c r="BP21" s="12"/>
    </row>
    <row r="22" spans="1:68">
      <c r="A22" s="4" t="s">
        <v>409</v>
      </c>
      <c r="B22" s="12"/>
      <c r="C22" s="4" t="s">
        <v>378</v>
      </c>
      <c r="D22" s="4" t="s">
        <v>69</v>
      </c>
      <c r="E22" s="12" t="s">
        <v>720</v>
      </c>
      <c r="F22" s="12">
        <v>5</v>
      </c>
      <c r="G22" s="12">
        <v>6</v>
      </c>
      <c r="H22" s="59">
        <v>60</v>
      </c>
      <c r="I22" s="28">
        <v>4</v>
      </c>
      <c r="J22" s="12" t="s">
        <v>676</v>
      </c>
      <c r="K22" s="4" t="s">
        <v>674</v>
      </c>
      <c r="L22" s="12">
        <v>2.6</v>
      </c>
      <c r="M22" s="12"/>
      <c r="N22" s="12"/>
      <c r="O22" s="12"/>
      <c r="P22" s="12"/>
      <c r="Q22" s="12"/>
      <c r="R22" s="12"/>
      <c r="S22" s="12"/>
      <c r="T22" s="12"/>
      <c r="U22" s="12"/>
      <c r="V22" s="12"/>
      <c r="W22" s="12"/>
      <c r="X22" s="12"/>
      <c r="Y22" s="12"/>
      <c r="Z22" s="12"/>
      <c r="AA22" s="12"/>
      <c r="AB22" s="12"/>
      <c r="AC22" s="12"/>
      <c r="AD22" s="12"/>
      <c r="AE22" s="12"/>
      <c r="AF22" s="12"/>
      <c r="AG22" s="59">
        <f t="shared" si="0"/>
        <v>120</v>
      </c>
      <c r="AH22" s="12" t="s">
        <v>676</v>
      </c>
      <c r="AI22" s="4" t="s">
        <v>674</v>
      </c>
      <c r="AJ22" s="12" t="s">
        <v>670</v>
      </c>
      <c r="AK22" s="12"/>
      <c r="AL22" s="12"/>
      <c r="AM22" s="12"/>
      <c r="AN22" s="12"/>
      <c r="AO22" s="12"/>
      <c r="AP22" s="12"/>
      <c r="AQ22" s="12"/>
      <c r="AR22" s="12"/>
      <c r="BA22" s="12"/>
      <c r="BB22" s="12"/>
      <c r="BC22" s="12"/>
      <c r="BD22" s="12"/>
      <c r="BE22" s="12">
        <v>2</v>
      </c>
      <c r="BF22" s="12" t="s">
        <v>381</v>
      </c>
      <c r="BG22" s="12"/>
      <c r="BH22" s="12"/>
      <c r="BI22" s="12">
        <v>2</v>
      </c>
      <c r="BJ22" s="12"/>
      <c r="BK22" s="12"/>
      <c r="BL22" s="12" t="s">
        <v>381</v>
      </c>
      <c r="BM22" s="12"/>
      <c r="BN22" s="12"/>
      <c r="BO22" s="12"/>
      <c r="BP22" s="12"/>
    </row>
    <row r="23" spans="1:68">
      <c r="A23" s="4" t="s">
        <v>410</v>
      </c>
      <c r="B23" s="12"/>
      <c r="C23" s="4" t="s">
        <v>378</v>
      </c>
      <c r="D23" s="4" t="s">
        <v>73</v>
      </c>
      <c r="E23" s="12" t="s">
        <v>688</v>
      </c>
      <c r="F23" s="12">
        <v>5</v>
      </c>
      <c r="G23" s="12">
        <v>13</v>
      </c>
      <c r="H23" s="59">
        <v>55</v>
      </c>
      <c r="I23" s="28">
        <v>16</v>
      </c>
      <c r="J23" s="12" t="s">
        <v>676</v>
      </c>
      <c r="K23" s="4" t="s">
        <v>674</v>
      </c>
      <c r="L23" s="12">
        <v>2.6</v>
      </c>
      <c r="M23" s="12"/>
      <c r="N23" s="12"/>
      <c r="O23" s="12"/>
      <c r="P23" s="12"/>
      <c r="Q23" s="12"/>
      <c r="R23" s="12"/>
      <c r="S23" s="12"/>
      <c r="T23" s="12"/>
      <c r="U23" s="12"/>
      <c r="V23" s="12"/>
      <c r="W23" s="12"/>
      <c r="X23" s="12"/>
      <c r="Y23" s="12"/>
      <c r="Z23" s="12"/>
      <c r="AA23" s="12"/>
      <c r="AB23" s="12"/>
      <c r="AC23" s="12"/>
      <c r="AD23" s="12"/>
      <c r="AE23" s="12"/>
      <c r="AF23" s="12"/>
      <c r="AG23" s="59">
        <f t="shared" si="0"/>
        <v>110</v>
      </c>
      <c r="AH23" s="12" t="s">
        <v>676</v>
      </c>
      <c r="AI23" s="4" t="s">
        <v>674</v>
      </c>
      <c r="AJ23" s="12" t="s">
        <v>670</v>
      </c>
      <c r="AK23" s="12"/>
      <c r="AL23" s="12"/>
      <c r="AM23" s="12"/>
      <c r="AN23" s="12"/>
      <c r="AO23" s="12"/>
      <c r="AP23" s="12"/>
      <c r="AQ23" s="12"/>
      <c r="AR23" s="12"/>
      <c r="AS23" s="59">
        <v>85</v>
      </c>
      <c r="AT23" s="12" t="s">
        <v>676</v>
      </c>
      <c r="AU23" s="4" t="s">
        <v>674</v>
      </c>
      <c r="AV23" s="12">
        <f>50/1000</f>
        <v>0.05</v>
      </c>
      <c r="AW23" s="12"/>
      <c r="AX23" s="12"/>
      <c r="AY23" s="12"/>
      <c r="AZ23" s="12"/>
      <c r="BA23" s="12"/>
      <c r="BB23" s="12"/>
      <c r="BC23" s="12"/>
      <c r="BD23" s="12"/>
      <c r="BE23" s="12">
        <v>3</v>
      </c>
      <c r="BF23" s="12" t="s">
        <v>381</v>
      </c>
      <c r="BG23" s="12"/>
      <c r="BH23" s="12"/>
      <c r="BI23" s="12">
        <v>2</v>
      </c>
      <c r="BJ23" s="12"/>
      <c r="BK23" s="12"/>
      <c r="BL23" s="12" t="s">
        <v>381</v>
      </c>
      <c r="BM23" s="12"/>
      <c r="BN23" s="12"/>
      <c r="BO23" s="12"/>
      <c r="BP23" s="12"/>
    </row>
    <row r="24" spans="1:68">
      <c r="A24" s="4" t="s">
        <v>411</v>
      </c>
      <c r="B24" s="12"/>
      <c r="C24" s="4" t="s">
        <v>378</v>
      </c>
      <c r="D24" s="4" t="s">
        <v>77</v>
      </c>
      <c r="E24" s="12" t="s">
        <v>688</v>
      </c>
      <c r="F24" s="12">
        <v>5</v>
      </c>
      <c r="G24" s="12">
        <v>13</v>
      </c>
      <c r="H24" s="59">
        <v>55</v>
      </c>
      <c r="I24" s="28">
        <v>16</v>
      </c>
      <c r="J24" s="12" t="s">
        <v>676</v>
      </c>
      <c r="K24" s="4" t="s">
        <v>674</v>
      </c>
      <c r="L24" s="12">
        <v>2.6</v>
      </c>
      <c r="M24" s="12"/>
      <c r="N24" s="12"/>
      <c r="O24" s="12"/>
      <c r="P24" s="12"/>
      <c r="Q24" s="12"/>
      <c r="R24" s="12"/>
      <c r="S24" s="12"/>
      <c r="T24" s="12"/>
      <c r="U24" s="12"/>
      <c r="V24" s="12"/>
      <c r="W24" s="12"/>
      <c r="X24" s="12"/>
      <c r="Y24" s="12"/>
      <c r="Z24" s="12"/>
      <c r="AA24" s="12"/>
      <c r="AB24" s="12"/>
      <c r="AC24" s="12"/>
      <c r="AD24" s="12"/>
      <c r="AE24" s="12"/>
      <c r="AF24" s="12"/>
      <c r="AG24" s="59">
        <f t="shared" si="0"/>
        <v>110</v>
      </c>
      <c r="AH24" s="12" t="s">
        <v>676</v>
      </c>
      <c r="AI24" s="4" t="s">
        <v>674</v>
      </c>
      <c r="AJ24" s="12" t="s">
        <v>670</v>
      </c>
      <c r="AK24" s="12"/>
      <c r="AL24" s="12"/>
      <c r="AM24" s="12"/>
      <c r="AN24" s="12"/>
      <c r="AO24" s="12"/>
      <c r="AP24" s="12"/>
      <c r="AQ24" s="12"/>
      <c r="AR24" s="12"/>
      <c r="AS24" s="59">
        <v>85</v>
      </c>
      <c r="AT24" s="12" t="s">
        <v>676</v>
      </c>
      <c r="AU24" s="4" t="s">
        <v>674</v>
      </c>
      <c r="AV24" s="12">
        <f>50/1000</f>
        <v>0.05</v>
      </c>
      <c r="AW24" s="12"/>
      <c r="AX24" s="12"/>
      <c r="AY24" s="12"/>
      <c r="AZ24" s="12"/>
      <c r="BA24" s="12"/>
      <c r="BB24" s="12"/>
      <c r="BC24" s="12"/>
      <c r="BD24" s="12"/>
      <c r="BE24" s="12">
        <v>3</v>
      </c>
      <c r="BF24" s="12" t="s">
        <v>381</v>
      </c>
      <c r="BG24" s="12"/>
      <c r="BH24" s="12"/>
      <c r="BI24" s="12">
        <v>2</v>
      </c>
      <c r="BJ24" s="12"/>
      <c r="BK24" s="12"/>
      <c r="BL24" s="12" t="s">
        <v>381</v>
      </c>
      <c r="BM24" s="12"/>
      <c r="BN24" s="12"/>
      <c r="BO24" s="12"/>
      <c r="BP24" s="12"/>
    </row>
    <row r="25" spans="1:68">
      <c r="A25" s="4" t="s">
        <v>433</v>
      </c>
      <c r="B25" s="12"/>
      <c r="C25" s="4" t="s">
        <v>378</v>
      </c>
      <c r="D25" s="4" t="s">
        <v>81</v>
      </c>
      <c r="E25" s="12" t="s">
        <v>689</v>
      </c>
      <c r="F25" s="12">
        <v>5</v>
      </c>
      <c r="G25" s="12">
        <v>9</v>
      </c>
      <c r="H25" s="59">
        <v>40</v>
      </c>
      <c r="I25" s="28">
        <v>4</v>
      </c>
      <c r="J25" s="12" t="s">
        <v>676</v>
      </c>
      <c r="K25" s="4" t="s">
        <v>674</v>
      </c>
      <c r="L25" s="12">
        <v>2.6</v>
      </c>
      <c r="M25" s="12"/>
      <c r="N25" s="12"/>
      <c r="O25" s="12"/>
      <c r="P25" s="12"/>
      <c r="Q25" s="12"/>
      <c r="R25" s="12"/>
      <c r="S25" s="12"/>
      <c r="T25" s="12"/>
      <c r="U25" s="12"/>
      <c r="V25" s="12"/>
      <c r="W25" s="12"/>
      <c r="X25" s="12"/>
      <c r="Y25" s="12"/>
      <c r="Z25" s="12"/>
      <c r="AA25" s="12"/>
      <c r="AB25" s="12"/>
      <c r="AC25" s="12"/>
      <c r="AD25" s="12"/>
      <c r="AE25" s="12"/>
      <c r="AF25" s="12"/>
      <c r="AG25" s="59">
        <f t="shared" si="0"/>
        <v>80</v>
      </c>
      <c r="AH25" s="12" t="s">
        <v>676</v>
      </c>
      <c r="AI25" s="4" t="s">
        <v>674</v>
      </c>
      <c r="AJ25" s="12" t="s">
        <v>670</v>
      </c>
      <c r="AK25" s="12"/>
      <c r="AL25" s="12"/>
      <c r="AM25" s="12"/>
      <c r="AN25" s="12"/>
      <c r="AO25" s="12"/>
      <c r="AP25" s="12"/>
      <c r="AQ25" s="12"/>
      <c r="AR25" s="12"/>
      <c r="AS25" s="12"/>
      <c r="AT25" s="12"/>
      <c r="AU25" s="12"/>
      <c r="AV25" s="12"/>
      <c r="AW25" s="12"/>
      <c r="AX25" s="12"/>
      <c r="AY25" s="12"/>
      <c r="AZ25" s="12"/>
      <c r="BA25" s="12"/>
      <c r="BB25" s="12"/>
      <c r="BC25" s="12"/>
      <c r="BD25" s="12"/>
      <c r="BE25" s="12">
        <v>2</v>
      </c>
      <c r="BF25" s="12" t="s">
        <v>381</v>
      </c>
      <c r="BG25" s="12"/>
      <c r="BH25" s="12"/>
      <c r="BI25" s="12">
        <v>2</v>
      </c>
      <c r="BJ25" s="12"/>
      <c r="BK25" s="12"/>
      <c r="BL25" s="12" t="s">
        <v>381</v>
      </c>
      <c r="BM25" s="12"/>
      <c r="BN25" s="12"/>
      <c r="BO25" s="12"/>
      <c r="BP25" s="12"/>
    </row>
    <row r="26" spans="1:68">
      <c r="A26" s="4" t="s">
        <v>435</v>
      </c>
      <c r="B26" s="12"/>
      <c r="C26" s="4" t="s">
        <v>378</v>
      </c>
      <c r="D26" s="4" t="s">
        <v>81</v>
      </c>
      <c r="E26" s="12" t="s">
        <v>689</v>
      </c>
      <c r="F26" s="12">
        <v>5</v>
      </c>
      <c r="G26" s="12">
        <v>9</v>
      </c>
      <c r="H26" s="59">
        <v>40</v>
      </c>
      <c r="I26" s="28">
        <v>4</v>
      </c>
      <c r="J26" s="12" t="s">
        <v>676</v>
      </c>
      <c r="K26" s="4" t="s">
        <v>674</v>
      </c>
      <c r="L26" s="12">
        <v>2.6</v>
      </c>
      <c r="M26" s="12"/>
      <c r="N26" s="12"/>
      <c r="O26" s="12"/>
      <c r="P26" s="12"/>
      <c r="Q26" s="12"/>
      <c r="R26" s="12"/>
      <c r="S26" s="12"/>
      <c r="T26" s="12"/>
      <c r="U26" s="12"/>
      <c r="V26" s="12"/>
      <c r="W26" s="12"/>
      <c r="X26" s="12"/>
      <c r="Y26" s="12"/>
      <c r="Z26" s="12"/>
      <c r="AA26" s="12"/>
      <c r="AB26" s="12"/>
      <c r="AC26" s="12"/>
      <c r="AD26" s="12"/>
      <c r="AE26" s="12"/>
      <c r="AF26" s="12"/>
      <c r="AG26" s="59">
        <f t="shared" si="0"/>
        <v>80</v>
      </c>
      <c r="AH26" s="12" t="s">
        <v>676</v>
      </c>
      <c r="AI26" s="4" t="s">
        <v>674</v>
      </c>
      <c r="AJ26" s="12" t="s">
        <v>670</v>
      </c>
      <c r="AK26" s="12"/>
      <c r="AL26" s="12"/>
      <c r="AM26" s="12"/>
      <c r="AN26" s="12"/>
      <c r="AO26" s="12"/>
      <c r="AP26" s="12"/>
      <c r="AQ26" s="12"/>
      <c r="AR26" s="12"/>
      <c r="AS26" s="12"/>
      <c r="AT26" s="12"/>
      <c r="AU26" s="12"/>
      <c r="AV26" s="12"/>
      <c r="AW26" s="12"/>
      <c r="AX26" s="12"/>
      <c r="AY26" s="12"/>
      <c r="AZ26" s="12"/>
      <c r="BA26" s="12"/>
      <c r="BB26" s="12"/>
      <c r="BC26" s="12"/>
      <c r="BD26" s="12"/>
      <c r="BE26" s="12">
        <v>2</v>
      </c>
      <c r="BF26" s="12" t="s">
        <v>381</v>
      </c>
      <c r="BG26" s="12"/>
      <c r="BH26" s="12"/>
      <c r="BI26" s="12">
        <v>2</v>
      </c>
      <c r="BJ26" s="12"/>
      <c r="BK26" s="12"/>
      <c r="BL26" s="12" t="s">
        <v>381</v>
      </c>
      <c r="BM26" s="12"/>
      <c r="BN26" s="12"/>
      <c r="BO26" s="12"/>
      <c r="BP26" s="12"/>
    </row>
    <row r="27" spans="1:68">
      <c r="A27" s="4" t="s">
        <v>557</v>
      </c>
      <c r="B27" s="12"/>
      <c r="C27" s="4" t="s">
        <v>378</v>
      </c>
      <c r="D27" s="4" t="s">
        <v>85</v>
      </c>
      <c r="E27" s="12" t="s">
        <v>690</v>
      </c>
      <c r="F27" s="12">
        <v>8</v>
      </c>
      <c r="G27" s="12">
        <v>35</v>
      </c>
      <c r="H27" s="59">
        <v>135</v>
      </c>
      <c r="I27" s="28">
        <v>16</v>
      </c>
      <c r="J27" s="12" t="s">
        <v>676</v>
      </c>
      <c r="K27" s="4" t="s">
        <v>674</v>
      </c>
      <c r="L27" s="12">
        <v>2.6</v>
      </c>
      <c r="M27" s="12"/>
      <c r="N27" s="12"/>
      <c r="O27" s="12"/>
      <c r="P27" s="12"/>
      <c r="Q27" s="12"/>
      <c r="R27" s="12"/>
      <c r="S27" s="12"/>
      <c r="T27" s="12"/>
      <c r="U27" s="12"/>
      <c r="V27" s="12"/>
      <c r="W27" s="12"/>
      <c r="X27" s="12"/>
      <c r="Y27" s="12"/>
      <c r="Z27" s="12"/>
      <c r="AA27" s="12"/>
      <c r="AB27" s="12"/>
      <c r="AC27" s="12"/>
      <c r="AD27" s="12"/>
      <c r="AE27" s="12"/>
      <c r="AF27" s="12"/>
      <c r="AG27" s="59">
        <f t="shared" si="0"/>
        <v>270</v>
      </c>
      <c r="AH27" s="12" t="s">
        <v>676</v>
      </c>
      <c r="AI27" s="4" t="s">
        <v>674</v>
      </c>
      <c r="AJ27" s="12" t="s">
        <v>670</v>
      </c>
      <c r="AK27" s="12"/>
      <c r="AL27" s="12"/>
      <c r="AM27" s="12"/>
      <c r="AN27" s="12"/>
      <c r="AO27" s="12"/>
      <c r="AP27" s="12"/>
      <c r="AQ27" s="12"/>
      <c r="AR27" s="12"/>
      <c r="AS27" s="12"/>
      <c r="AT27" s="12"/>
      <c r="AU27" s="12"/>
      <c r="AV27" s="12"/>
      <c r="AW27" s="12"/>
      <c r="AX27" s="12"/>
      <c r="AY27" s="12"/>
      <c r="AZ27" s="12"/>
      <c r="BA27" s="12"/>
      <c r="BB27" s="12"/>
      <c r="BC27" s="12"/>
      <c r="BD27" s="12"/>
      <c r="BE27" s="12">
        <v>2</v>
      </c>
      <c r="BF27" s="12" t="s">
        <v>381</v>
      </c>
      <c r="BG27" s="12"/>
      <c r="BH27" s="12"/>
      <c r="BI27" s="12">
        <v>2</v>
      </c>
      <c r="BJ27" s="12"/>
      <c r="BK27" s="12"/>
      <c r="BL27" s="12" t="s">
        <v>381</v>
      </c>
      <c r="BM27" s="12"/>
      <c r="BN27" s="12"/>
      <c r="BO27" s="12"/>
      <c r="BP27" s="12"/>
    </row>
    <row r="28" spans="1:68">
      <c r="A28" s="4" t="s">
        <v>558</v>
      </c>
      <c r="B28" s="12"/>
      <c r="C28" s="4" t="s">
        <v>378</v>
      </c>
      <c r="D28" s="4" t="s">
        <v>85</v>
      </c>
      <c r="E28" s="12" t="s">
        <v>690</v>
      </c>
      <c r="F28" s="12">
        <v>8</v>
      </c>
      <c r="G28" s="12">
        <v>35</v>
      </c>
      <c r="H28" s="59">
        <v>135</v>
      </c>
      <c r="I28" s="28">
        <v>16</v>
      </c>
      <c r="J28" s="12" t="s">
        <v>676</v>
      </c>
      <c r="K28" s="4" t="s">
        <v>674</v>
      </c>
      <c r="L28" s="12">
        <v>2.6</v>
      </c>
      <c r="M28" s="12"/>
      <c r="N28" s="12"/>
      <c r="O28" s="12"/>
      <c r="P28" s="12"/>
      <c r="Q28" s="12"/>
      <c r="R28" s="12"/>
      <c r="S28" s="12"/>
      <c r="T28" s="12"/>
      <c r="U28" s="12"/>
      <c r="V28" s="12"/>
      <c r="W28" s="12"/>
      <c r="X28" s="12"/>
      <c r="Y28" s="12"/>
      <c r="Z28" s="12"/>
      <c r="AA28" s="12"/>
      <c r="AB28" s="12"/>
      <c r="AC28" s="12"/>
      <c r="AD28" s="12"/>
      <c r="AE28" s="12"/>
      <c r="AF28" s="12"/>
      <c r="AG28" s="59">
        <f t="shared" si="0"/>
        <v>270</v>
      </c>
      <c r="AH28" s="12" t="s">
        <v>676</v>
      </c>
      <c r="AI28" s="4" t="s">
        <v>674</v>
      </c>
      <c r="AJ28" s="12" t="s">
        <v>670</v>
      </c>
      <c r="AK28" s="12"/>
      <c r="AL28" s="12"/>
      <c r="AM28" s="12"/>
      <c r="AN28" s="12"/>
      <c r="AO28" s="12"/>
      <c r="AP28" s="12"/>
      <c r="AQ28" s="12"/>
      <c r="AR28" s="12"/>
      <c r="AS28" s="12"/>
      <c r="AT28" s="12"/>
      <c r="AU28" s="12"/>
      <c r="AV28" s="12"/>
      <c r="AW28" s="12"/>
      <c r="AX28" s="12"/>
      <c r="AY28" s="12"/>
      <c r="AZ28" s="12"/>
      <c r="BA28" s="12"/>
      <c r="BB28" s="12"/>
      <c r="BC28" s="12"/>
      <c r="BD28" s="12"/>
      <c r="BE28" s="12">
        <v>2</v>
      </c>
      <c r="BF28" s="12" t="s">
        <v>381</v>
      </c>
      <c r="BG28" s="12"/>
      <c r="BH28" s="12"/>
      <c r="BI28" s="12">
        <v>2</v>
      </c>
      <c r="BJ28" s="12"/>
      <c r="BK28" s="12"/>
      <c r="BL28" s="12" t="s">
        <v>381</v>
      </c>
      <c r="BM28" s="12"/>
      <c r="BN28" s="12"/>
      <c r="BO28" s="12"/>
      <c r="BP28" s="12"/>
    </row>
    <row r="29" spans="1:68">
      <c r="A29" s="4" t="s">
        <v>559</v>
      </c>
      <c r="B29" s="12"/>
      <c r="C29" s="4" t="s">
        <v>378</v>
      </c>
      <c r="D29" s="4" t="s">
        <v>85</v>
      </c>
      <c r="E29" s="12" t="s">
        <v>690</v>
      </c>
      <c r="F29" s="12">
        <v>8</v>
      </c>
      <c r="G29" s="12">
        <v>35</v>
      </c>
      <c r="H29" s="59">
        <v>135</v>
      </c>
      <c r="I29" s="28">
        <v>16</v>
      </c>
      <c r="J29" s="12" t="s">
        <v>676</v>
      </c>
      <c r="K29" s="4" t="s">
        <v>674</v>
      </c>
      <c r="L29" s="12">
        <v>2.6</v>
      </c>
      <c r="M29" s="12"/>
      <c r="N29" s="12"/>
      <c r="O29" s="12"/>
      <c r="P29" s="12"/>
      <c r="Q29" s="12"/>
      <c r="R29" s="12"/>
      <c r="S29" s="12"/>
      <c r="T29" s="12"/>
      <c r="U29" s="12"/>
      <c r="V29" s="12"/>
      <c r="W29" s="12"/>
      <c r="X29" s="12"/>
      <c r="Y29" s="12"/>
      <c r="Z29" s="12"/>
      <c r="AA29" s="12"/>
      <c r="AB29" s="12"/>
      <c r="AC29" s="12"/>
      <c r="AD29" s="12"/>
      <c r="AE29" s="12"/>
      <c r="AF29" s="12"/>
      <c r="AG29" s="59">
        <f t="shared" si="0"/>
        <v>270</v>
      </c>
      <c r="AH29" s="12" t="s">
        <v>676</v>
      </c>
      <c r="AI29" s="4" t="s">
        <v>674</v>
      </c>
      <c r="AJ29" s="12" t="s">
        <v>670</v>
      </c>
      <c r="AK29" s="12"/>
      <c r="AL29" s="12"/>
      <c r="AM29" s="12"/>
      <c r="AN29" s="12"/>
      <c r="AO29" s="12"/>
      <c r="AP29" s="12"/>
      <c r="AQ29" s="12"/>
      <c r="AR29" s="12"/>
      <c r="AS29" s="12"/>
      <c r="AT29" s="12"/>
      <c r="AU29" s="12"/>
      <c r="AV29" s="12"/>
      <c r="AW29" s="12"/>
      <c r="AX29" s="12"/>
      <c r="AY29" s="12"/>
      <c r="AZ29" s="12"/>
      <c r="BA29" s="12"/>
      <c r="BB29" s="12"/>
      <c r="BC29" s="12"/>
      <c r="BD29" s="12"/>
      <c r="BE29" s="12">
        <v>2</v>
      </c>
      <c r="BF29" s="12" t="s">
        <v>381</v>
      </c>
      <c r="BG29" s="12"/>
      <c r="BH29" s="12"/>
      <c r="BI29" s="12">
        <v>2</v>
      </c>
      <c r="BJ29" s="12"/>
      <c r="BK29" s="12"/>
      <c r="BL29" s="12" t="s">
        <v>381</v>
      </c>
      <c r="BM29" s="12"/>
      <c r="BN29" s="12"/>
      <c r="BO29" s="12"/>
      <c r="BP29" s="12"/>
    </row>
    <row r="30" spans="1:68">
      <c r="A30" s="4" t="s">
        <v>560</v>
      </c>
      <c r="B30" s="12"/>
      <c r="C30" s="4" t="s">
        <v>378</v>
      </c>
      <c r="D30" s="4" t="s">
        <v>85</v>
      </c>
      <c r="E30" s="12" t="s">
        <v>690</v>
      </c>
      <c r="F30" s="12">
        <v>8</v>
      </c>
      <c r="G30" s="12">
        <v>35</v>
      </c>
      <c r="H30" s="59">
        <v>135</v>
      </c>
      <c r="I30" s="28">
        <v>16</v>
      </c>
      <c r="J30" s="12" t="s">
        <v>676</v>
      </c>
      <c r="K30" s="4" t="s">
        <v>674</v>
      </c>
      <c r="L30" s="12">
        <v>2.6</v>
      </c>
      <c r="M30" s="12"/>
      <c r="N30" s="12"/>
      <c r="O30" s="12"/>
      <c r="P30" s="12"/>
      <c r="Q30" s="12"/>
      <c r="R30" s="12"/>
      <c r="S30" s="12"/>
      <c r="T30" s="12"/>
      <c r="U30" s="12"/>
      <c r="V30" s="12"/>
      <c r="W30" s="12"/>
      <c r="X30" s="12"/>
      <c r="Y30" s="12"/>
      <c r="Z30" s="12"/>
      <c r="AA30" s="12"/>
      <c r="AB30" s="12"/>
      <c r="AC30" s="12"/>
      <c r="AD30" s="12"/>
      <c r="AE30" s="12"/>
      <c r="AF30" s="12"/>
      <c r="AG30" s="59">
        <f t="shared" si="0"/>
        <v>270</v>
      </c>
      <c r="AH30" s="12" t="s">
        <v>676</v>
      </c>
      <c r="AI30" s="4" t="s">
        <v>674</v>
      </c>
      <c r="AJ30" s="12" t="s">
        <v>670</v>
      </c>
      <c r="AK30" s="12"/>
      <c r="AL30" s="12"/>
      <c r="AM30" s="12"/>
      <c r="AN30" s="12"/>
      <c r="AO30" s="12"/>
      <c r="AP30" s="12"/>
      <c r="AQ30" s="12"/>
      <c r="AR30" s="12"/>
      <c r="AS30" s="12"/>
      <c r="AT30" s="12"/>
      <c r="AU30" s="12"/>
      <c r="AV30" s="12"/>
      <c r="AW30" s="12"/>
      <c r="AX30" s="12"/>
      <c r="AY30" s="12"/>
      <c r="AZ30" s="12"/>
      <c r="BA30" s="12"/>
      <c r="BB30" s="12"/>
      <c r="BC30" s="12"/>
      <c r="BD30" s="12"/>
      <c r="BE30" s="12">
        <v>2</v>
      </c>
      <c r="BF30" s="12" t="s">
        <v>381</v>
      </c>
      <c r="BG30" s="12"/>
      <c r="BH30" s="12"/>
      <c r="BI30" s="12">
        <v>2</v>
      </c>
      <c r="BJ30" s="12"/>
      <c r="BK30" s="12"/>
      <c r="BL30" s="12" t="s">
        <v>381</v>
      </c>
      <c r="BM30" s="12"/>
      <c r="BN30" s="12"/>
      <c r="BO30" s="12"/>
      <c r="BP30" s="12"/>
    </row>
    <row r="31" spans="1:68">
      <c r="A31" s="4" t="s">
        <v>566</v>
      </c>
      <c r="B31" s="12"/>
      <c r="C31" s="19" t="s">
        <v>434</v>
      </c>
      <c r="D31" s="4" t="s">
        <v>89</v>
      </c>
      <c r="E31" s="12" t="s">
        <v>691</v>
      </c>
      <c r="F31" s="12">
        <v>4</v>
      </c>
      <c r="G31" s="12">
        <v>4</v>
      </c>
      <c r="H31" s="59">
        <v>100</v>
      </c>
      <c r="I31" s="28">
        <v>0</v>
      </c>
      <c r="J31" s="12" t="s">
        <v>673</v>
      </c>
      <c r="K31" s="4" t="s">
        <v>674</v>
      </c>
      <c r="L31" s="12">
        <v>100</v>
      </c>
      <c r="M31" s="12"/>
      <c r="N31" s="12"/>
      <c r="O31" s="12"/>
      <c r="P31" s="12"/>
      <c r="Q31" s="12"/>
      <c r="R31" s="12"/>
      <c r="S31" s="12"/>
      <c r="T31" s="12"/>
      <c r="U31" s="12"/>
      <c r="V31" s="12"/>
      <c r="W31" s="12"/>
      <c r="X31" s="12"/>
      <c r="Y31" s="12"/>
      <c r="Z31" s="12"/>
      <c r="AA31" s="12"/>
      <c r="AB31" s="12"/>
      <c r="AC31" s="12"/>
      <c r="AD31" s="12"/>
      <c r="AE31" s="12"/>
      <c r="AF31" s="12"/>
      <c r="AG31" s="59">
        <f t="shared" si="0"/>
        <v>200</v>
      </c>
      <c r="AH31" s="12" t="s">
        <v>676</v>
      </c>
      <c r="AI31" s="4" t="s">
        <v>674</v>
      </c>
      <c r="AJ31" s="12" t="s">
        <v>670</v>
      </c>
      <c r="AK31" s="12"/>
      <c r="AL31" s="12"/>
      <c r="AM31" s="12"/>
      <c r="AN31" s="12"/>
      <c r="AO31" s="12"/>
      <c r="AP31" s="12"/>
      <c r="AQ31" s="12"/>
      <c r="AR31" s="12"/>
      <c r="AS31" s="12"/>
      <c r="AT31" s="12"/>
      <c r="AU31" s="12"/>
      <c r="AV31" s="12"/>
      <c r="AW31" s="12"/>
      <c r="AX31" s="12"/>
      <c r="AY31" s="12"/>
      <c r="AZ31" s="12"/>
      <c r="BA31" s="12"/>
      <c r="BB31" s="12"/>
      <c r="BC31" s="12"/>
      <c r="BD31" s="12"/>
      <c r="BE31" s="12">
        <v>4</v>
      </c>
      <c r="BF31" s="12" t="s">
        <v>381</v>
      </c>
      <c r="BG31" s="12"/>
      <c r="BH31" s="12"/>
      <c r="BI31" s="12">
        <v>2</v>
      </c>
      <c r="BJ31" s="12"/>
      <c r="BK31" s="12"/>
      <c r="BL31" s="12" t="s">
        <v>381</v>
      </c>
      <c r="BM31" s="12"/>
      <c r="BN31" s="12"/>
      <c r="BO31" s="12"/>
      <c r="BP31" s="12"/>
    </row>
    <row r="32" spans="1:68">
      <c r="A32" s="4" t="s">
        <v>567</v>
      </c>
      <c r="B32" s="12"/>
      <c r="C32" s="19" t="s">
        <v>434</v>
      </c>
      <c r="D32" s="4" t="s">
        <v>97</v>
      </c>
      <c r="E32" s="12" t="s">
        <v>692</v>
      </c>
      <c r="F32" s="12">
        <v>4</v>
      </c>
      <c r="G32" s="12">
        <v>16</v>
      </c>
      <c r="H32" s="59">
        <v>100</v>
      </c>
      <c r="I32" s="28">
        <v>0</v>
      </c>
      <c r="J32" s="12" t="s">
        <v>673</v>
      </c>
      <c r="K32" s="4" t="s">
        <v>674</v>
      </c>
      <c r="L32" s="12">
        <v>110</v>
      </c>
      <c r="M32" s="12"/>
      <c r="N32" s="12"/>
      <c r="O32" s="12"/>
      <c r="P32" s="12"/>
      <c r="Q32" s="12"/>
      <c r="R32" s="12"/>
      <c r="S32" s="12"/>
      <c r="T32" s="12"/>
      <c r="U32" s="12"/>
      <c r="V32" s="12"/>
      <c r="W32" s="12"/>
      <c r="X32" s="12"/>
      <c r="Y32" s="12"/>
      <c r="Z32" s="12"/>
      <c r="AA32" s="12"/>
      <c r="AB32" s="12"/>
      <c r="AC32" s="12"/>
      <c r="AD32" s="12"/>
      <c r="AE32" s="12"/>
      <c r="AF32" s="12"/>
      <c r="AG32" s="59">
        <f t="shared" si="0"/>
        <v>200</v>
      </c>
      <c r="AH32" s="12" t="s">
        <v>676</v>
      </c>
      <c r="AI32" s="4" t="s">
        <v>674</v>
      </c>
      <c r="AJ32" s="12" t="s">
        <v>670</v>
      </c>
      <c r="AK32" s="12"/>
      <c r="AL32" s="12"/>
      <c r="AM32" s="12"/>
      <c r="AN32" s="12"/>
      <c r="AO32" s="12"/>
      <c r="AP32" s="12"/>
      <c r="AQ32" s="12"/>
      <c r="AR32" s="12"/>
      <c r="AS32" s="12"/>
      <c r="AT32" s="12"/>
      <c r="AU32" s="12"/>
      <c r="AV32" s="12"/>
      <c r="AW32" s="12"/>
      <c r="AX32" s="12"/>
      <c r="AY32" s="12"/>
      <c r="AZ32" s="12"/>
      <c r="BA32" s="12"/>
      <c r="BB32" s="12"/>
      <c r="BC32" s="12"/>
      <c r="BD32" s="12"/>
      <c r="BE32" s="12">
        <v>4</v>
      </c>
      <c r="BF32" s="12" t="s">
        <v>381</v>
      </c>
      <c r="BG32" s="12"/>
      <c r="BH32" s="12"/>
      <c r="BI32" s="12">
        <v>2</v>
      </c>
      <c r="BJ32" s="12"/>
      <c r="BK32" s="12"/>
      <c r="BL32" s="12" t="s">
        <v>381</v>
      </c>
      <c r="BM32" s="12"/>
      <c r="BN32" s="12"/>
      <c r="BO32" s="12"/>
      <c r="BP32" s="12"/>
    </row>
    <row r="33" spans="1:68">
      <c r="A33" s="4" t="s">
        <v>436</v>
      </c>
      <c r="B33" s="12"/>
      <c r="C33" s="19" t="s">
        <v>434</v>
      </c>
      <c r="D33" s="4" t="s">
        <v>93</v>
      </c>
      <c r="E33" s="12" t="s">
        <v>693</v>
      </c>
      <c r="F33" s="12">
        <v>4</v>
      </c>
      <c r="G33" s="12">
        <v>14</v>
      </c>
      <c r="H33" s="59">
        <v>120</v>
      </c>
      <c r="I33" s="28">
        <v>0</v>
      </c>
      <c r="J33" s="12" t="s">
        <v>673</v>
      </c>
      <c r="K33" s="4" t="s">
        <v>674</v>
      </c>
      <c r="L33" s="12">
        <v>100</v>
      </c>
      <c r="M33" s="12"/>
      <c r="N33" s="12"/>
      <c r="O33" s="12"/>
      <c r="P33" s="12"/>
      <c r="Q33" s="12"/>
      <c r="R33" s="12"/>
      <c r="S33" s="12"/>
      <c r="T33" s="12"/>
      <c r="U33" s="12"/>
      <c r="V33" s="12"/>
      <c r="W33" s="12"/>
      <c r="X33" s="12"/>
      <c r="Y33" s="12"/>
      <c r="Z33" s="12"/>
      <c r="AA33" s="12"/>
      <c r="AB33" s="12"/>
      <c r="AC33" s="12"/>
      <c r="AD33" s="12"/>
      <c r="AE33" s="12"/>
      <c r="AF33" s="12"/>
      <c r="AG33" s="59">
        <f t="shared" si="0"/>
        <v>240</v>
      </c>
      <c r="AH33" s="12" t="s">
        <v>676</v>
      </c>
      <c r="AI33" s="4" t="s">
        <v>674</v>
      </c>
      <c r="AJ33" s="12" t="s">
        <v>670</v>
      </c>
      <c r="AK33" s="12"/>
      <c r="AL33" s="12"/>
      <c r="AM33" s="12"/>
      <c r="AN33" s="12"/>
      <c r="AO33" s="12"/>
      <c r="AP33" s="12"/>
      <c r="AQ33" s="12"/>
      <c r="AR33" s="12"/>
      <c r="AS33" s="12"/>
      <c r="AT33" s="12"/>
      <c r="AU33" s="12"/>
      <c r="AV33" s="12"/>
      <c r="AW33" s="12"/>
      <c r="AX33" s="12"/>
      <c r="AY33" s="12"/>
      <c r="AZ33" s="12"/>
      <c r="BA33" s="12"/>
      <c r="BB33" s="12"/>
      <c r="BC33" s="12"/>
      <c r="BD33" s="12"/>
      <c r="BE33" s="12">
        <v>4</v>
      </c>
      <c r="BF33" s="12" t="s">
        <v>381</v>
      </c>
      <c r="BG33" s="12"/>
      <c r="BH33" s="12"/>
      <c r="BI33" s="12">
        <v>2</v>
      </c>
      <c r="BJ33" s="12"/>
      <c r="BK33" s="12"/>
      <c r="BL33" s="12" t="s">
        <v>381</v>
      </c>
      <c r="BM33" s="12"/>
      <c r="BN33" s="12"/>
      <c r="BO33" s="12"/>
      <c r="BP33" s="12"/>
    </row>
    <row r="34" spans="1:68">
      <c r="A34" s="4" t="s">
        <v>412</v>
      </c>
      <c r="B34" s="12"/>
      <c r="C34" s="4" t="s">
        <v>378</v>
      </c>
      <c r="D34" s="4" t="s">
        <v>100</v>
      </c>
      <c r="E34" s="12" t="s">
        <v>694</v>
      </c>
      <c r="F34" s="12">
        <v>9</v>
      </c>
      <c r="G34" s="12">
        <v>12</v>
      </c>
      <c r="H34" s="59">
        <v>45</v>
      </c>
      <c r="I34" s="28">
        <v>16</v>
      </c>
      <c r="J34" s="12" t="s">
        <v>676</v>
      </c>
      <c r="K34" s="4" t="s">
        <v>674</v>
      </c>
      <c r="L34" s="12">
        <v>2.6</v>
      </c>
      <c r="M34" s="12"/>
      <c r="N34" s="12"/>
      <c r="O34" s="12"/>
      <c r="P34" s="12"/>
      <c r="Q34" s="12"/>
      <c r="R34" s="12"/>
      <c r="S34" s="12"/>
      <c r="T34" s="12"/>
      <c r="U34" s="12"/>
      <c r="V34" s="12"/>
      <c r="W34" s="12"/>
      <c r="X34" s="12"/>
      <c r="Y34" s="12"/>
      <c r="Z34" s="12"/>
      <c r="AA34" s="12"/>
      <c r="AB34" s="12"/>
      <c r="AC34" s="12"/>
      <c r="AD34" s="12"/>
      <c r="AE34" s="12"/>
      <c r="AF34" s="12"/>
      <c r="AG34" s="59">
        <f>2*(H34+AK34)</f>
        <v>180</v>
      </c>
      <c r="AH34" s="12" t="s">
        <v>676</v>
      </c>
      <c r="AI34" s="4" t="s">
        <v>674</v>
      </c>
      <c r="AJ34" s="12" t="s">
        <v>670</v>
      </c>
      <c r="AK34" s="59">
        <v>45</v>
      </c>
      <c r="AL34" s="12" t="s">
        <v>676</v>
      </c>
      <c r="AM34" s="4" t="s">
        <v>674</v>
      </c>
      <c r="AN34" s="12">
        <f>50/1000</f>
        <v>0.05</v>
      </c>
      <c r="AO34" s="12"/>
      <c r="AP34" s="12"/>
      <c r="AQ34" s="12"/>
      <c r="AR34" s="12"/>
      <c r="AS34" s="12"/>
      <c r="AT34" s="12"/>
      <c r="AU34" s="12"/>
      <c r="AV34" s="12"/>
      <c r="AW34" s="12"/>
      <c r="AX34" s="12"/>
      <c r="AY34" s="12"/>
      <c r="AZ34" s="12"/>
      <c r="BA34" s="12"/>
      <c r="BB34" s="12"/>
      <c r="BC34" s="12"/>
      <c r="BD34" s="12"/>
      <c r="BE34" s="12">
        <v>3</v>
      </c>
      <c r="BF34" s="12" t="s">
        <v>381</v>
      </c>
      <c r="BG34" s="12"/>
      <c r="BH34" s="12"/>
      <c r="BI34" s="12">
        <v>2</v>
      </c>
      <c r="BJ34" s="12"/>
      <c r="BK34" s="12"/>
      <c r="BL34" s="12" t="s">
        <v>381</v>
      </c>
      <c r="BM34" s="12"/>
      <c r="BN34" s="12"/>
      <c r="BO34" s="12"/>
      <c r="BP34" s="12"/>
    </row>
    <row r="35" spans="1:68">
      <c r="A35" s="4" t="s">
        <v>414</v>
      </c>
      <c r="B35" s="12"/>
      <c r="C35" s="4" t="s">
        <v>378</v>
      </c>
      <c r="D35" s="4" t="s">
        <v>100</v>
      </c>
      <c r="E35" s="12" t="s">
        <v>694</v>
      </c>
      <c r="F35" s="12">
        <v>9</v>
      </c>
      <c r="G35" s="12">
        <v>12</v>
      </c>
      <c r="H35" s="59">
        <v>45</v>
      </c>
      <c r="I35" s="28">
        <v>16</v>
      </c>
      <c r="J35" s="12" t="s">
        <v>676</v>
      </c>
      <c r="K35" s="4" t="s">
        <v>674</v>
      </c>
      <c r="L35" s="12">
        <v>2.6</v>
      </c>
      <c r="M35" s="12"/>
      <c r="N35" s="12"/>
      <c r="O35" s="12"/>
      <c r="P35" s="12"/>
      <c r="Q35" s="12"/>
      <c r="R35" s="12"/>
      <c r="S35" s="12"/>
      <c r="T35" s="12"/>
      <c r="U35" s="12"/>
      <c r="V35" s="12"/>
      <c r="W35" s="12"/>
      <c r="X35" s="12"/>
      <c r="Y35" s="12"/>
      <c r="Z35" s="12"/>
      <c r="AA35" s="12"/>
      <c r="AB35" s="12"/>
      <c r="AC35" s="12"/>
      <c r="AD35" s="12"/>
      <c r="AE35" s="12"/>
      <c r="AF35" s="12"/>
      <c r="AG35" s="59">
        <f>2*(H35+AK35)</f>
        <v>180</v>
      </c>
      <c r="AH35" s="12" t="s">
        <v>676</v>
      </c>
      <c r="AI35" s="4" t="s">
        <v>674</v>
      </c>
      <c r="AJ35" s="12" t="s">
        <v>670</v>
      </c>
      <c r="AK35" s="59">
        <v>45</v>
      </c>
      <c r="AL35" s="12" t="s">
        <v>676</v>
      </c>
      <c r="AM35" s="4" t="s">
        <v>674</v>
      </c>
      <c r="AN35" s="12">
        <f>50/1000</f>
        <v>0.05</v>
      </c>
      <c r="AO35" s="12"/>
      <c r="AP35" s="12"/>
      <c r="AQ35" s="12"/>
      <c r="AR35" s="12"/>
      <c r="AS35" s="12"/>
      <c r="AT35" s="12"/>
      <c r="AU35" s="12"/>
      <c r="AV35" s="12"/>
      <c r="AW35" s="12"/>
      <c r="AX35" s="12"/>
      <c r="AY35" s="12"/>
      <c r="AZ35" s="12"/>
      <c r="BA35" s="12"/>
      <c r="BB35" s="12"/>
      <c r="BC35" s="12"/>
      <c r="BD35" s="12"/>
      <c r="BE35" s="12">
        <v>3</v>
      </c>
      <c r="BF35" s="12" t="s">
        <v>381</v>
      </c>
      <c r="BG35" s="12"/>
      <c r="BH35" s="12"/>
      <c r="BI35" s="12">
        <v>2</v>
      </c>
      <c r="BJ35" s="12"/>
      <c r="BK35" s="12"/>
      <c r="BL35" s="12" t="s">
        <v>381</v>
      </c>
      <c r="BM35" s="12"/>
      <c r="BN35" s="12"/>
      <c r="BO35" s="12"/>
      <c r="BP35" s="12"/>
    </row>
    <row r="36" spans="1:68">
      <c r="A36" s="4" t="s">
        <v>415</v>
      </c>
      <c r="B36" s="12"/>
      <c r="C36" s="4" t="s">
        <v>378</v>
      </c>
      <c r="D36" s="4" t="s">
        <v>416</v>
      </c>
      <c r="E36" s="12" t="s">
        <v>695</v>
      </c>
      <c r="F36" s="12">
        <v>4</v>
      </c>
      <c r="G36" s="12">
        <v>4</v>
      </c>
      <c r="H36" s="59">
        <v>40</v>
      </c>
      <c r="I36" s="28">
        <v>4</v>
      </c>
      <c r="J36" s="12" t="s">
        <v>676</v>
      </c>
      <c r="K36" s="4" t="s">
        <v>674</v>
      </c>
      <c r="L36" s="12">
        <v>2.6</v>
      </c>
      <c r="M36" s="12"/>
      <c r="N36" s="12"/>
      <c r="O36" s="12"/>
      <c r="P36" s="12"/>
      <c r="Q36" s="12"/>
      <c r="R36" s="12"/>
      <c r="S36" s="12"/>
      <c r="T36" s="12"/>
      <c r="U36" s="12"/>
      <c r="V36" s="12"/>
      <c r="W36" s="12"/>
      <c r="X36" s="12"/>
      <c r="Y36" s="12"/>
      <c r="Z36" s="12"/>
      <c r="AA36" s="12"/>
      <c r="AB36" s="12"/>
      <c r="AC36" s="12"/>
      <c r="AD36" s="12"/>
      <c r="AE36" s="12"/>
      <c r="AF36" s="12"/>
      <c r="AG36" s="59">
        <f t="shared" si="0"/>
        <v>80</v>
      </c>
      <c r="AH36" s="12" t="s">
        <v>676</v>
      </c>
      <c r="AI36" s="4" t="s">
        <v>674</v>
      </c>
      <c r="AJ36" s="12" t="s">
        <v>670</v>
      </c>
      <c r="AK36" s="12"/>
      <c r="AL36" s="12"/>
      <c r="AM36" s="12"/>
      <c r="AN36" s="12"/>
      <c r="AO36" s="12"/>
      <c r="AP36" s="12"/>
      <c r="AQ36" s="12"/>
      <c r="AR36" s="12"/>
      <c r="AS36" s="12"/>
      <c r="AT36" s="12"/>
      <c r="AU36" s="12"/>
      <c r="AV36" s="12"/>
      <c r="AW36" s="12"/>
      <c r="AX36" s="12"/>
      <c r="AY36" s="12"/>
      <c r="AZ36" s="12"/>
      <c r="BA36" s="12"/>
      <c r="BB36" s="12"/>
      <c r="BC36" s="12"/>
      <c r="BD36" s="12"/>
      <c r="BE36" s="12">
        <v>2</v>
      </c>
      <c r="BF36" s="12" t="s">
        <v>381</v>
      </c>
      <c r="BG36" s="12"/>
      <c r="BH36" s="12"/>
      <c r="BI36" s="12">
        <v>2</v>
      </c>
      <c r="BJ36" s="12"/>
      <c r="BK36" s="12"/>
      <c r="BL36" s="12" t="s">
        <v>381</v>
      </c>
      <c r="BM36" s="12"/>
      <c r="BN36" s="12"/>
      <c r="BO36" s="12"/>
      <c r="BP36" s="12"/>
    </row>
    <row r="37" spans="1:68">
      <c r="A37" s="4" t="s">
        <v>417</v>
      </c>
      <c r="B37" s="12"/>
      <c r="C37" s="4" t="s">
        <v>378</v>
      </c>
      <c r="D37" s="4" t="s">
        <v>418</v>
      </c>
      <c r="E37" s="12" t="s">
        <v>695</v>
      </c>
      <c r="F37" s="12">
        <v>4</v>
      </c>
      <c r="G37" s="12">
        <v>4</v>
      </c>
      <c r="H37" s="59">
        <v>40</v>
      </c>
      <c r="I37" s="28">
        <v>4</v>
      </c>
      <c r="J37" s="12" t="s">
        <v>676</v>
      </c>
      <c r="K37" s="4" t="s">
        <v>674</v>
      </c>
      <c r="L37" s="12">
        <v>2.6</v>
      </c>
      <c r="M37" s="12"/>
      <c r="N37" s="12"/>
      <c r="O37" s="12"/>
      <c r="P37" s="12"/>
      <c r="Q37" s="12"/>
      <c r="R37" s="12"/>
      <c r="S37" s="12"/>
      <c r="T37" s="12"/>
      <c r="U37" s="12"/>
      <c r="V37" s="12"/>
      <c r="W37" s="12"/>
      <c r="X37" s="12"/>
      <c r="Y37" s="12"/>
      <c r="Z37" s="12"/>
      <c r="AA37" s="12"/>
      <c r="AB37" s="12"/>
      <c r="AC37" s="12"/>
      <c r="AD37" s="12"/>
      <c r="AE37" s="12"/>
      <c r="AF37" s="12"/>
      <c r="AG37" s="59">
        <f t="shared" ref="AG37" si="1">2*H37</f>
        <v>80</v>
      </c>
      <c r="AH37" s="12" t="s">
        <v>676</v>
      </c>
      <c r="AI37" s="4" t="s">
        <v>674</v>
      </c>
      <c r="AJ37" s="12" t="s">
        <v>670</v>
      </c>
      <c r="AK37" s="12"/>
      <c r="AL37" s="12"/>
      <c r="AM37" s="12"/>
      <c r="AN37" s="12"/>
      <c r="AO37" s="12"/>
      <c r="AP37" s="12"/>
      <c r="AQ37" s="12"/>
      <c r="AR37" s="12"/>
      <c r="AS37" s="12"/>
      <c r="AT37" s="12"/>
      <c r="AU37" s="12"/>
      <c r="AV37" s="12"/>
      <c r="AW37" s="12"/>
      <c r="AX37" s="12"/>
      <c r="AY37" s="12"/>
      <c r="AZ37" s="12"/>
      <c r="BA37" s="12"/>
      <c r="BB37" s="12"/>
      <c r="BC37" s="12"/>
      <c r="BD37" s="12"/>
      <c r="BE37" s="12">
        <v>2</v>
      </c>
      <c r="BF37" s="12" t="s">
        <v>381</v>
      </c>
      <c r="BG37" s="12"/>
      <c r="BH37" s="12"/>
      <c r="BI37" s="12">
        <v>2</v>
      </c>
      <c r="BJ37" s="12"/>
      <c r="BK37" s="12"/>
      <c r="BL37" s="12" t="s">
        <v>381</v>
      </c>
      <c r="BM37" s="12"/>
      <c r="BN37" s="12"/>
      <c r="BO37" s="12"/>
      <c r="BP37" s="12"/>
    </row>
    <row r="38" spans="1:68" ht="14.5">
      <c r="A38" s="4" t="s">
        <v>419</v>
      </c>
      <c r="C38" s="4" t="s">
        <v>378</v>
      </c>
      <c r="D38" s="4" t="s">
        <v>420</v>
      </c>
      <c r="E38" s="15" t="s">
        <v>696</v>
      </c>
      <c r="F38" s="12">
        <v>2</v>
      </c>
      <c r="G38" s="12">
        <v>4</v>
      </c>
      <c r="H38" s="59">
        <v>65</v>
      </c>
      <c r="I38" s="28">
        <v>4</v>
      </c>
      <c r="J38" s="12" t="s">
        <v>676</v>
      </c>
      <c r="K38" s="4" t="s">
        <v>674</v>
      </c>
      <c r="L38" s="12">
        <v>2.6</v>
      </c>
      <c r="M38" s="12"/>
      <c r="N38" s="12"/>
      <c r="O38" s="12"/>
      <c r="P38" s="12"/>
      <c r="Q38" s="1"/>
      <c r="R38" s="1"/>
      <c r="S38" s="1"/>
      <c r="T38" s="1"/>
      <c r="U38" s="12"/>
      <c r="V38" s="12"/>
      <c r="W38" s="12"/>
      <c r="X38" s="12"/>
      <c r="Y38" s="12"/>
      <c r="Z38" s="12"/>
      <c r="AA38" s="12"/>
      <c r="AB38" s="12"/>
      <c r="AC38" s="12"/>
      <c r="AD38" s="12"/>
      <c r="AE38" s="12"/>
      <c r="AF38" s="12"/>
      <c r="AG38" s="59">
        <f>2*H38</f>
        <v>130</v>
      </c>
      <c r="AH38" s="12" t="s">
        <v>676</v>
      </c>
      <c r="AI38" s="17" t="s">
        <v>674</v>
      </c>
      <c r="AJ38" s="15" t="s">
        <v>670</v>
      </c>
      <c r="AK38" s="17"/>
      <c r="AL38" s="17"/>
      <c r="AM38" s="17"/>
      <c r="AN38" s="17"/>
      <c r="AO38" s="17"/>
      <c r="AP38" s="17"/>
      <c r="AQ38" s="17"/>
      <c r="AR38" s="17"/>
      <c r="AS38" s="17"/>
      <c r="AT38" s="17"/>
      <c r="AU38" s="17"/>
      <c r="AV38" s="17"/>
      <c r="AW38" s="15">
        <v>150</v>
      </c>
      <c r="AX38" s="12" t="s">
        <v>676</v>
      </c>
      <c r="AY38" s="12" t="s">
        <v>674</v>
      </c>
      <c r="AZ38" s="12">
        <f>50/1000</f>
        <v>0.05</v>
      </c>
      <c r="BA38" s="17"/>
      <c r="BB38" s="17"/>
      <c r="BC38" s="17"/>
      <c r="BD38" s="17"/>
      <c r="BE38" s="15">
        <v>2</v>
      </c>
      <c r="BF38" s="15" t="s">
        <v>381</v>
      </c>
      <c r="BG38" s="15"/>
      <c r="BH38" s="15"/>
      <c r="BI38" s="15">
        <v>2</v>
      </c>
      <c r="BJ38" s="15"/>
      <c r="BK38" s="15" t="s">
        <v>381</v>
      </c>
      <c r="BL38" s="15" t="s">
        <v>381</v>
      </c>
      <c r="BM38" s="15"/>
      <c r="BN38" s="15"/>
      <c r="BO38" s="15"/>
      <c r="BP38" s="17"/>
    </row>
    <row r="39" spans="1:68" s="18" customFormat="1">
      <c r="E39" s="16"/>
      <c r="F39" s="16">
        <f>SUM(F8:F38)</f>
        <v>171</v>
      </c>
      <c r="G39" s="16">
        <f>SUM(G8:G38)</f>
        <v>417</v>
      </c>
      <c r="H39" s="16">
        <f>SUM(H8:H38)</f>
        <v>2450</v>
      </c>
      <c r="I39" s="30"/>
      <c r="J39" s="16"/>
      <c r="K39" s="16"/>
      <c r="L39" s="16">
        <f>SUM(L8:L38)</f>
        <v>388.20000000000016</v>
      </c>
      <c r="M39" s="16">
        <f>SUM(M8:M38)</f>
        <v>59.4</v>
      </c>
      <c r="N39" s="60"/>
      <c r="O39" s="60"/>
      <c r="P39" s="16">
        <f>SUM(P8:P38)</f>
        <v>0.05</v>
      </c>
      <c r="Q39" s="16">
        <f>SUM(Q8:Q38)</f>
        <v>1350</v>
      </c>
      <c r="R39" s="60"/>
      <c r="S39" s="60"/>
      <c r="T39" s="16">
        <f>SUM(T8:T38)</f>
        <v>0.05</v>
      </c>
      <c r="U39" s="16">
        <f>SUM(U8:U38)</f>
        <v>2025</v>
      </c>
      <c r="V39" s="60"/>
      <c r="W39" s="60"/>
      <c r="X39" s="16">
        <f>SUM(X8:X38)</f>
        <v>0.05</v>
      </c>
      <c r="Y39" s="16">
        <f>SUM(Y8:Y38)</f>
        <v>393</v>
      </c>
      <c r="Z39" s="60"/>
      <c r="AA39" s="60"/>
      <c r="AB39" s="16">
        <f>SUM(AB8:AB38)</f>
        <v>0.1</v>
      </c>
      <c r="AC39" s="16">
        <f>SUM(AC8:AC38)</f>
        <v>270</v>
      </c>
      <c r="AD39" s="60"/>
      <c r="AE39" s="60"/>
      <c r="AF39" s="16">
        <f>SUM(AF8:AF38)</f>
        <v>0</v>
      </c>
      <c r="AG39" s="16">
        <f>SUM(AG8:AG38)</f>
        <v>11399.5</v>
      </c>
      <c r="AH39" s="60"/>
      <c r="AI39" s="60"/>
      <c r="AJ39" s="60"/>
      <c r="AK39" s="16">
        <f>SUM(AK8:AK38)</f>
        <v>90</v>
      </c>
      <c r="AL39" s="16"/>
      <c r="AM39" s="16"/>
      <c r="AN39" s="16">
        <f>SUM(AN8:AN38)</f>
        <v>0.1</v>
      </c>
      <c r="AO39" s="16">
        <f>SUM(AO8:AO38)</f>
        <v>50</v>
      </c>
      <c r="AP39" s="16"/>
      <c r="AQ39" s="16"/>
      <c r="AR39" s="16">
        <f>SUM(AR8:AR38)</f>
        <v>0.05</v>
      </c>
      <c r="AS39" s="16">
        <f>SUM(AS8:AS38)</f>
        <v>170</v>
      </c>
      <c r="AT39" s="16"/>
      <c r="AU39" s="16"/>
      <c r="AV39" s="16">
        <f>SUM(AV8:AV38)</f>
        <v>0.1</v>
      </c>
      <c r="AW39" s="16">
        <f>SUM(AW8:AW38)</f>
        <v>150</v>
      </c>
      <c r="AX39" s="16"/>
      <c r="AY39" s="16"/>
      <c r="AZ39" s="16">
        <f>SUM(AZ8:AZ38)</f>
        <v>0.05</v>
      </c>
      <c r="BA39" s="16">
        <f>SUM(BA8:BA38)</f>
        <v>2048</v>
      </c>
      <c r="BB39" s="16"/>
      <c r="BC39" s="16"/>
      <c r="BD39" s="16">
        <f>SUM(BD8:BD38)</f>
        <v>0.05</v>
      </c>
      <c r="BE39" s="16">
        <f>SUM(BE8:BE38)</f>
        <v>78</v>
      </c>
      <c r="BF39" s="16">
        <f>COUNTIF(BF8:BF38,"x")</f>
        <v>31</v>
      </c>
      <c r="BG39" s="16">
        <f>COUNTIF(BG8:BG38,"x")</f>
        <v>2</v>
      </c>
      <c r="BH39" s="16">
        <f>COUNTIF(BH8:BH38,"x")</f>
        <v>1</v>
      </c>
      <c r="BI39" s="16">
        <f>SUM(BI8:BI38)</f>
        <v>62</v>
      </c>
      <c r="BJ39" s="16">
        <f>COUNTIF(BJ8:BJ38,"x")</f>
        <v>1</v>
      </c>
      <c r="BK39" s="16">
        <f>COUNTIF(BK8:BK38,"x")</f>
        <v>1</v>
      </c>
      <c r="BL39" s="16">
        <f>COUNTIF(BL8:BL38,"x")</f>
        <v>30</v>
      </c>
      <c r="BM39" s="16" t="s">
        <v>697</v>
      </c>
      <c r="BN39" s="16">
        <v>2</v>
      </c>
      <c r="BO39" s="16">
        <v>4</v>
      </c>
      <c r="BP39" s="16">
        <v>2</v>
      </c>
    </row>
    <row r="40" spans="1:68" ht="13">
      <c r="A40" s="181" t="s">
        <v>423</v>
      </c>
      <c r="B40" s="182"/>
      <c r="E40" s="12"/>
      <c r="F40" s="12"/>
      <c r="G40" s="12"/>
      <c r="H40" s="12"/>
      <c r="I40" s="28"/>
      <c r="J40" s="12"/>
      <c r="K40" s="12"/>
      <c r="L40" s="12"/>
      <c r="M40" s="12"/>
      <c r="N40" s="59"/>
      <c r="O40" s="59"/>
      <c r="P40" s="12"/>
      <c r="Q40" s="12"/>
      <c r="R40" s="59"/>
      <c r="S40" s="59"/>
      <c r="T40" s="12"/>
      <c r="U40" s="12"/>
      <c r="V40" s="59"/>
      <c r="W40" s="59"/>
      <c r="X40" s="12"/>
      <c r="Y40" s="12"/>
      <c r="Z40" s="59"/>
      <c r="AA40" s="59"/>
      <c r="AB40" s="12"/>
      <c r="AC40" s="12"/>
      <c r="AD40" s="59"/>
      <c r="AE40" s="59"/>
      <c r="AF40" s="12"/>
      <c r="AG40" s="12"/>
      <c r="AH40" s="59"/>
      <c r="AI40" s="59"/>
      <c r="AJ40" s="59"/>
      <c r="AK40" s="12"/>
      <c r="AL40" s="12"/>
      <c r="AM40" s="12"/>
      <c r="AN40" s="12"/>
      <c r="AO40" s="12"/>
      <c r="AP40" s="12"/>
      <c r="AQ40" s="12"/>
      <c r="AR40" s="12"/>
      <c r="AS40" s="12"/>
      <c r="AT40" s="12"/>
      <c r="AU40" s="12"/>
      <c r="AV40" s="12"/>
      <c r="AW40" s="12"/>
      <c r="AX40" s="12"/>
      <c r="AY40" s="12"/>
      <c r="AZ40" s="12"/>
      <c r="BA40" s="12"/>
      <c r="BB40" s="12"/>
      <c r="BC40" s="12"/>
      <c r="BD40" s="12"/>
      <c r="BE40" s="12"/>
      <c r="BF40" s="12"/>
      <c r="BG40" s="12"/>
      <c r="BH40" s="12"/>
      <c r="BI40" s="12"/>
      <c r="BJ40" s="12"/>
      <c r="BK40" s="12"/>
      <c r="BL40" s="12"/>
      <c r="BM40" s="12"/>
      <c r="BN40" s="12"/>
      <c r="BO40" s="12"/>
      <c r="BP40" s="12"/>
    </row>
    <row r="41" spans="1:68" ht="13">
      <c r="A41" s="14" t="s">
        <v>698</v>
      </c>
      <c r="E41" s="12"/>
      <c r="F41" s="12"/>
      <c r="G41" s="12"/>
      <c r="H41" s="12"/>
      <c r="I41" s="28"/>
      <c r="J41" s="12"/>
      <c r="K41" s="12"/>
      <c r="L41" s="12"/>
      <c r="M41" s="12"/>
      <c r="N41" s="59"/>
      <c r="O41" s="59"/>
      <c r="P41" s="12"/>
      <c r="Q41" s="12"/>
      <c r="R41" s="59"/>
      <c r="S41" s="59"/>
      <c r="T41" s="12"/>
      <c r="U41" s="12"/>
      <c r="V41" s="59"/>
      <c r="W41" s="59"/>
      <c r="X41" s="12"/>
      <c r="Y41" s="12"/>
      <c r="Z41" s="59"/>
      <c r="AA41" s="59"/>
      <c r="AB41" s="12"/>
      <c r="AC41" s="12"/>
      <c r="AD41" s="59"/>
      <c r="AE41" s="59"/>
      <c r="AF41" s="12"/>
      <c r="AG41" s="12"/>
      <c r="AH41" s="59"/>
      <c r="AI41" s="59"/>
      <c r="AJ41" s="59"/>
      <c r="AK41" s="12"/>
      <c r="AL41" s="12"/>
      <c r="AM41" s="12"/>
      <c r="AN41" s="12"/>
      <c r="AO41" s="12"/>
      <c r="AP41" s="12"/>
      <c r="AQ41" s="12"/>
      <c r="AR41" s="12"/>
      <c r="AS41" s="12"/>
      <c r="AT41" s="12"/>
      <c r="AU41" s="12"/>
      <c r="AV41" s="12"/>
      <c r="AW41" s="12"/>
      <c r="AX41" s="12"/>
      <c r="AY41" s="12"/>
      <c r="AZ41" s="12"/>
      <c r="BA41" s="12"/>
      <c r="BB41" s="12"/>
      <c r="BC41" s="12"/>
      <c r="BD41" s="12"/>
      <c r="BE41" s="12"/>
      <c r="BF41" s="12"/>
      <c r="BG41" s="12"/>
      <c r="BH41" s="12"/>
      <c r="BI41" s="12"/>
      <c r="BJ41" s="12"/>
      <c r="BK41" s="12"/>
      <c r="BL41" s="12"/>
      <c r="BM41" s="12"/>
      <c r="BN41" s="12"/>
      <c r="BO41" s="12"/>
      <c r="BP41" s="12"/>
    </row>
    <row r="42" spans="1:68" s="17" customFormat="1" ht="14.5">
      <c r="A42" s="17" t="s">
        <v>419</v>
      </c>
      <c r="C42" s="17" t="s">
        <v>378</v>
      </c>
      <c r="D42" s="17" t="s">
        <v>425</v>
      </c>
      <c r="E42" s="15" t="s">
        <v>696</v>
      </c>
      <c r="F42" s="15">
        <v>7</v>
      </c>
      <c r="G42" s="15">
        <v>16</v>
      </c>
      <c r="H42" s="65">
        <v>28</v>
      </c>
      <c r="I42" s="76">
        <v>16</v>
      </c>
      <c r="J42" s="15" t="s">
        <v>676</v>
      </c>
      <c r="K42" s="17" t="s">
        <v>674</v>
      </c>
      <c r="L42" s="15" t="s">
        <v>670</v>
      </c>
      <c r="M42" s="15"/>
      <c r="N42" s="15"/>
      <c r="O42" s="15"/>
      <c r="P42" s="15"/>
      <c r="Q42" s="96"/>
      <c r="R42" s="96"/>
      <c r="S42" s="96"/>
      <c r="T42" s="96"/>
      <c r="U42" s="15"/>
      <c r="V42" s="15"/>
      <c r="W42" s="15"/>
      <c r="X42" s="15"/>
      <c r="Y42" s="15">
        <v>120</v>
      </c>
      <c r="Z42" s="15" t="s">
        <v>676</v>
      </c>
      <c r="AA42" s="17" t="s">
        <v>674</v>
      </c>
      <c r="AB42" s="15" t="s">
        <v>670</v>
      </c>
      <c r="AC42" s="15"/>
      <c r="AD42" s="15"/>
      <c r="AE42" s="15"/>
      <c r="AF42" s="15"/>
      <c r="AG42" s="59">
        <f>2*H42+200+120</f>
        <v>376</v>
      </c>
      <c r="AH42" s="15" t="s">
        <v>676</v>
      </c>
      <c r="AI42" s="17" t="s">
        <v>674</v>
      </c>
      <c r="AJ42" s="15" t="s">
        <v>670</v>
      </c>
      <c r="AW42" s="15"/>
      <c r="AX42" s="15"/>
      <c r="AY42" s="15"/>
      <c r="AZ42" s="15"/>
      <c r="BE42" s="15"/>
      <c r="BF42" s="15"/>
      <c r="BG42" s="15"/>
      <c r="BH42" s="15"/>
      <c r="BI42" s="15"/>
      <c r="BJ42" s="15"/>
      <c r="BK42" s="15"/>
      <c r="BL42" s="15"/>
      <c r="BM42" s="15"/>
      <c r="BN42" s="15"/>
      <c r="BO42" s="15"/>
    </row>
    <row r="43" spans="1:68">
      <c r="E43" s="12"/>
      <c r="F43" s="16">
        <f>SUM(F42:F42)+F39</f>
        <v>178</v>
      </c>
      <c r="G43" s="16">
        <f>SUM(G42:G42)+G39</f>
        <v>433</v>
      </c>
      <c r="H43" s="16">
        <f>SUM(H42:H42)+H39</f>
        <v>2478</v>
      </c>
      <c r="I43" s="16"/>
      <c r="J43" s="12"/>
      <c r="K43" s="12"/>
      <c r="L43" s="16">
        <f>SUM(L42:L42)+L39</f>
        <v>388.20000000000016</v>
      </c>
      <c r="M43" s="16">
        <f>SUM(M42:M42)+M39</f>
        <v>59.4</v>
      </c>
      <c r="N43" s="59"/>
      <c r="O43" s="59"/>
      <c r="P43" s="16">
        <f>SUM(P42:P42)+P39</f>
        <v>0.05</v>
      </c>
      <c r="Q43" s="16">
        <f>SUM(Q42:Q42)+Q39</f>
        <v>1350</v>
      </c>
      <c r="R43" s="59"/>
      <c r="S43" s="59"/>
      <c r="T43" s="16">
        <f>SUM(T42:T42)+T39</f>
        <v>0.05</v>
      </c>
      <c r="U43" s="16">
        <f>SUM(U42:U42)+U39</f>
        <v>2025</v>
      </c>
      <c r="V43" s="59"/>
      <c r="W43" s="59"/>
      <c r="X43" s="16">
        <f>SUM(X42:X42)+X39</f>
        <v>0.05</v>
      </c>
      <c r="Y43" s="16">
        <f>SUM(Y42:Y42)+Y39</f>
        <v>513</v>
      </c>
      <c r="Z43" s="59"/>
      <c r="AA43" s="59"/>
      <c r="AB43" s="16">
        <f>SUM(AB42:AB42)+AB39</f>
        <v>0.1</v>
      </c>
      <c r="AC43" s="16">
        <f>SUM(AC42:AC42)+AC39</f>
        <v>270</v>
      </c>
      <c r="AD43" s="59"/>
      <c r="AE43" s="59"/>
      <c r="AF43" s="16">
        <f>SUM(AF42:AF42)+AF39</f>
        <v>0</v>
      </c>
      <c r="AG43" s="16">
        <f>SUM(AG42:AG42)+AG39</f>
        <v>11775.5</v>
      </c>
      <c r="AH43" s="59"/>
      <c r="AI43" s="59"/>
      <c r="AJ43" s="59"/>
      <c r="AK43" s="16">
        <f>SUM(AK42:AK42)+AK39</f>
        <v>90</v>
      </c>
      <c r="AL43" s="12"/>
      <c r="AM43" s="12"/>
      <c r="AN43" s="16">
        <f>SUM(AN42:AN42)+AN39</f>
        <v>0.1</v>
      </c>
      <c r="AO43" s="16">
        <f>SUM(AO42:AO42)+AO39</f>
        <v>50</v>
      </c>
      <c r="AP43" s="12"/>
      <c r="AQ43" s="12"/>
      <c r="AR43" s="16">
        <f>SUM(AR42:AR42)+AR39</f>
        <v>0.05</v>
      </c>
      <c r="AS43" s="16">
        <f>SUM(AS42:AS42)+AS39</f>
        <v>170</v>
      </c>
      <c r="AT43" s="16"/>
      <c r="AU43" s="12"/>
      <c r="AV43" s="16">
        <f>SUM(AV42:AV42)+AV39</f>
        <v>0.1</v>
      </c>
      <c r="AW43" s="16">
        <f>SUM(AW42:AW42)+AW39</f>
        <v>150</v>
      </c>
      <c r="AX43" s="12"/>
      <c r="AY43" s="12"/>
      <c r="AZ43" s="12"/>
      <c r="BA43" s="16">
        <f>SUM(BA42:BA42)+BA39</f>
        <v>2048</v>
      </c>
      <c r="BB43" s="12"/>
      <c r="BC43" s="12"/>
      <c r="BD43" s="16">
        <f>SUM(BD42:BD42)+BD39</f>
        <v>0.05</v>
      </c>
      <c r="BE43" s="16">
        <f>SUM(BE42:BE42)+BE39</f>
        <v>78</v>
      </c>
      <c r="BF43" s="16">
        <f>BF39+COUNTIF(BF42:BF42,"x")</f>
        <v>31</v>
      </c>
      <c r="BG43" s="16">
        <f>BG39+COUNTIF(BG42:BG42,"x")</f>
        <v>2</v>
      </c>
      <c r="BH43" s="16">
        <f>BH39+COUNTIF(BH42:BH42,"x")</f>
        <v>1</v>
      </c>
      <c r="BI43" s="16">
        <f>SUM(BI42:BI42)+BI39</f>
        <v>62</v>
      </c>
      <c r="BJ43" s="16">
        <f>BJ39+COUNTIF(BJ42:BJ42,"x")</f>
        <v>1</v>
      </c>
      <c r="BK43" s="16">
        <f>BK39+COUNTIF(BK42:BK42,"x")</f>
        <v>1</v>
      </c>
      <c r="BL43" s="16">
        <f>BL39+COUNTIF(BL42:BL42,"x")</f>
        <v>30</v>
      </c>
      <c r="BM43" s="16" t="s">
        <v>697</v>
      </c>
      <c r="BN43" s="12">
        <v>2</v>
      </c>
      <c r="BO43" s="12">
        <v>4</v>
      </c>
      <c r="BP43" s="12">
        <v>2</v>
      </c>
    </row>
    <row r="44" spans="1:68">
      <c r="E44" s="12"/>
      <c r="F44" s="12"/>
      <c r="G44" s="12"/>
      <c r="H44" s="12"/>
      <c r="I44" s="28"/>
      <c r="J44" s="12"/>
      <c r="K44" s="12"/>
      <c r="L44" s="12"/>
      <c r="M44" s="12"/>
      <c r="N44" s="12"/>
      <c r="O44" s="12"/>
      <c r="P44" s="12"/>
      <c r="Q44" s="12"/>
      <c r="R44" s="12"/>
      <c r="S44" s="12"/>
      <c r="T44" s="12"/>
      <c r="U44" s="12"/>
      <c r="V44" s="12"/>
      <c r="W44" s="12"/>
      <c r="X44" s="12"/>
      <c r="Y44" s="12"/>
      <c r="Z44" s="12"/>
      <c r="AA44" s="12"/>
      <c r="AB44" s="12"/>
      <c r="AC44" s="12"/>
      <c r="AD44" s="12"/>
      <c r="AE44" s="12"/>
      <c r="AF44" s="12"/>
      <c r="AG44" s="12"/>
      <c r="AH44" s="12"/>
      <c r="AI44" s="12"/>
      <c r="AJ44" s="12"/>
      <c r="BE44" s="12"/>
    </row>
    <row r="45" spans="1:68" ht="13">
      <c r="A45" s="14" t="s">
        <v>700</v>
      </c>
      <c r="I45" s="31"/>
      <c r="BE45" s="12"/>
    </row>
    <row r="46" spans="1:68">
      <c r="I46" s="31"/>
      <c r="BE46" s="12"/>
    </row>
    <row r="47" spans="1:68">
      <c r="A47" s="4" t="s">
        <v>431</v>
      </c>
      <c r="C47" s="4" t="s">
        <v>378</v>
      </c>
      <c r="D47" s="4" t="s">
        <v>21</v>
      </c>
      <c r="E47" s="12" t="s">
        <v>701</v>
      </c>
      <c r="F47" s="12">
        <v>8</v>
      </c>
      <c r="G47" s="12">
        <v>32</v>
      </c>
      <c r="H47" s="61">
        <v>70</v>
      </c>
      <c r="I47" s="28">
        <v>16</v>
      </c>
      <c r="J47" s="12" t="s">
        <v>676</v>
      </c>
      <c r="K47" s="4" t="s">
        <v>674</v>
      </c>
      <c r="L47" s="12">
        <v>2.6</v>
      </c>
      <c r="M47" s="12"/>
      <c r="N47" s="12"/>
      <c r="O47" s="12"/>
      <c r="P47" s="12"/>
      <c r="Q47" s="12"/>
      <c r="R47" s="12"/>
      <c r="S47" s="12"/>
      <c r="T47" s="12"/>
      <c r="U47" s="12"/>
      <c r="V47" s="12"/>
      <c r="W47" s="12"/>
      <c r="X47" s="12"/>
      <c r="Y47" s="12"/>
      <c r="Z47" s="12"/>
      <c r="AA47" s="12"/>
      <c r="AB47" s="12"/>
      <c r="AC47" s="12"/>
      <c r="AD47" s="12"/>
      <c r="AE47" s="12"/>
      <c r="AF47" s="12"/>
      <c r="AG47" s="59">
        <f t="shared" ref="AG47:AG66" si="2">2*H47</f>
        <v>140</v>
      </c>
      <c r="AH47" s="12" t="s">
        <v>676</v>
      </c>
      <c r="AI47" s="4" t="s">
        <v>674</v>
      </c>
      <c r="AJ47" s="12" t="s">
        <v>670</v>
      </c>
      <c r="BE47" s="12">
        <v>2</v>
      </c>
      <c r="BF47" s="12" t="s">
        <v>381</v>
      </c>
      <c r="BG47" s="12"/>
      <c r="BH47" s="12"/>
      <c r="BI47" s="12">
        <v>2</v>
      </c>
      <c r="BJ47" s="12"/>
      <c r="BK47" s="12" t="s">
        <v>381</v>
      </c>
      <c r="BL47" s="12" t="s">
        <v>381</v>
      </c>
      <c r="BM47" s="12"/>
      <c r="BN47" s="12"/>
      <c r="BO47" s="12"/>
      <c r="BP47" s="12"/>
    </row>
    <row r="48" spans="1:68">
      <c r="A48" s="4" t="s">
        <v>481</v>
      </c>
      <c r="C48" s="19" t="s">
        <v>434</v>
      </c>
      <c r="D48" s="4" t="s">
        <v>89</v>
      </c>
      <c r="E48" s="12" t="s">
        <v>691</v>
      </c>
      <c r="F48" s="12">
        <v>4</v>
      </c>
      <c r="G48" s="12">
        <v>4</v>
      </c>
      <c r="H48" s="59">
        <v>100</v>
      </c>
      <c r="I48" s="28">
        <v>0</v>
      </c>
      <c r="J48" s="12" t="s">
        <v>673</v>
      </c>
      <c r="K48" s="4" t="s">
        <v>674</v>
      </c>
      <c r="L48" s="12">
        <v>100</v>
      </c>
      <c r="M48" s="12"/>
      <c r="N48" s="12"/>
      <c r="O48" s="12"/>
      <c r="P48" s="12"/>
      <c r="Q48" s="12"/>
      <c r="R48" s="12"/>
      <c r="S48" s="12"/>
      <c r="T48" s="12"/>
      <c r="U48" s="12"/>
      <c r="V48" s="12"/>
      <c r="W48" s="12"/>
      <c r="X48" s="12"/>
      <c r="Y48" s="12"/>
      <c r="Z48" s="12"/>
      <c r="AA48" s="12"/>
      <c r="AB48" s="12"/>
      <c r="AC48" s="12"/>
      <c r="AD48" s="12"/>
      <c r="AE48" s="12"/>
      <c r="AF48" s="12"/>
      <c r="AG48" s="59">
        <f t="shared" si="2"/>
        <v>200</v>
      </c>
      <c r="AH48" s="12" t="s">
        <v>676</v>
      </c>
      <c r="AI48" s="4" t="s">
        <v>674</v>
      </c>
      <c r="AJ48" s="12" t="s">
        <v>670</v>
      </c>
      <c r="BE48" s="12">
        <v>4</v>
      </c>
      <c r="BF48" s="12" t="s">
        <v>381</v>
      </c>
      <c r="BG48" s="12"/>
      <c r="BH48" s="12"/>
      <c r="BI48" s="12">
        <v>2</v>
      </c>
      <c r="BJ48" s="12"/>
      <c r="BK48" s="12" t="s">
        <v>381</v>
      </c>
      <c r="BL48" s="12" t="s">
        <v>381</v>
      </c>
      <c r="BM48" s="12"/>
      <c r="BN48" s="12"/>
      <c r="BO48" s="12"/>
      <c r="BP48" s="12"/>
    </row>
    <row r="49" spans="1:68">
      <c r="A49" s="4" t="s">
        <v>437</v>
      </c>
      <c r="C49" s="19" t="s">
        <v>434</v>
      </c>
      <c r="D49" s="4" t="s">
        <v>97</v>
      </c>
      <c r="E49" s="12" t="s">
        <v>692</v>
      </c>
      <c r="F49" s="12">
        <v>4</v>
      </c>
      <c r="G49" s="12">
        <v>16</v>
      </c>
      <c r="H49" s="59">
        <v>100</v>
      </c>
      <c r="I49" s="28">
        <v>0</v>
      </c>
      <c r="J49" s="12" t="s">
        <v>673</v>
      </c>
      <c r="K49" s="4" t="s">
        <v>674</v>
      </c>
      <c r="L49" s="12">
        <v>110</v>
      </c>
      <c r="M49" s="12"/>
      <c r="N49" s="12"/>
      <c r="O49" s="12"/>
      <c r="P49" s="12"/>
      <c r="Q49" s="12"/>
      <c r="R49" s="12"/>
      <c r="S49" s="12"/>
      <c r="T49" s="12"/>
      <c r="U49" s="12"/>
      <c r="V49" s="12"/>
      <c r="W49" s="12"/>
      <c r="X49" s="12"/>
      <c r="Y49" s="12"/>
      <c r="Z49" s="12"/>
      <c r="AA49" s="12"/>
      <c r="AB49" s="12"/>
      <c r="AC49" s="12"/>
      <c r="AD49" s="12"/>
      <c r="AE49" s="12"/>
      <c r="AF49" s="12"/>
      <c r="AG49" s="59">
        <f t="shared" si="2"/>
        <v>200</v>
      </c>
      <c r="AH49" s="12" t="s">
        <v>676</v>
      </c>
      <c r="AI49" s="4" t="s">
        <v>674</v>
      </c>
      <c r="AJ49" s="12" t="s">
        <v>670</v>
      </c>
      <c r="BE49" s="12">
        <v>4</v>
      </c>
      <c r="BF49" s="12" t="s">
        <v>381</v>
      </c>
      <c r="BG49" s="12"/>
      <c r="BH49" s="12"/>
      <c r="BI49" s="12">
        <v>2</v>
      </c>
      <c r="BJ49" s="12"/>
      <c r="BK49" s="12" t="s">
        <v>381</v>
      </c>
      <c r="BL49" s="12" t="s">
        <v>381</v>
      </c>
      <c r="BM49" s="12"/>
      <c r="BN49" s="12"/>
      <c r="BO49" s="12"/>
      <c r="BP49" s="12"/>
    </row>
    <row r="50" spans="1:68">
      <c r="A50" s="4" t="s">
        <v>482</v>
      </c>
      <c r="C50" s="19" t="s">
        <v>434</v>
      </c>
      <c r="D50" s="4" t="s">
        <v>97</v>
      </c>
      <c r="E50" s="12" t="s">
        <v>692</v>
      </c>
      <c r="F50" s="12">
        <v>4</v>
      </c>
      <c r="G50" s="12">
        <v>16</v>
      </c>
      <c r="H50" s="59">
        <v>100</v>
      </c>
      <c r="I50" s="28">
        <v>0</v>
      </c>
      <c r="J50" s="12" t="s">
        <v>673</v>
      </c>
      <c r="K50" s="4" t="s">
        <v>674</v>
      </c>
      <c r="L50" s="12">
        <v>110</v>
      </c>
      <c r="M50" s="12"/>
      <c r="N50" s="12"/>
      <c r="O50" s="12"/>
      <c r="P50" s="12"/>
      <c r="Q50" s="12"/>
      <c r="R50" s="12"/>
      <c r="S50" s="12"/>
      <c r="T50" s="12"/>
      <c r="U50" s="12"/>
      <c r="V50" s="12"/>
      <c r="W50" s="12"/>
      <c r="X50" s="12"/>
      <c r="Y50" s="12"/>
      <c r="Z50" s="12"/>
      <c r="AA50" s="12"/>
      <c r="AB50" s="12"/>
      <c r="AC50" s="12"/>
      <c r="AD50" s="12"/>
      <c r="AE50" s="12"/>
      <c r="AF50" s="12"/>
      <c r="AG50" s="59">
        <f t="shared" si="2"/>
        <v>200</v>
      </c>
      <c r="AH50" s="12" t="s">
        <v>676</v>
      </c>
      <c r="AI50" s="4" t="s">
        <v>674</v>
      </c>
      <c r="AJ50" s="12" t="s">
        <v>670</v>
      </c>
      <c r="BE50" s="12">
        <v>4</v>
      </c>
      <c r="BF50" s="12" t="s">
        <v>381</v>
      </c>
      <c r="BG50" s="12"/>
      <c r="BH50" s="12"/>
      <c r="BI50" s="12">
        <v>2</v>
      </c>
      <c r="BJ50" s="12"/>
      <c r="BK50" s="12" t="s">
        <v>381</v>
      </c>
      <c r="BL50" s="12" t="s">
        <v>381</v>
      </c>
      <c r="BM50" s="12"/>
      <c r="BN50" s="12"/>
      <c r="BO50" s="12"/>
      <c r="BP50" s="12"/>
    </row>
    <row r="51" spans="1:68">
      <c r="A51" s="4" t="s">
        <v>568</v>
      </c>
      <c r="C51" s="19" t="s">
        <v>434</v>
      </c>
      <c r="D51" s="4" t="s">
        <v>97</v>
      </c>
      <c r="E51" s="12" t="s">
        <v>692</v>
      </c>
      <c r="F51" s="12">
        <v>4</v>
      </c>
      <c r="G51" s="12">
        <v>16</v>
      </c>
      <c r="H51" s="59">
        <v>100</v>
      </c>
      <c r="I51" s="28">
        <v>0</v>
      </c>
      <c r="J51" s="12" t="s">
        <v>673</v>
      </c>
      <c r="K51" s="4" t="s">
        <v>674</v>
      </c>
      <c r="L51" s="12">
        <v>110</v>
      </c>
      <c r="M51" s="12"/>
      <c r="N51" s="12"/>
      <c r="O51" s="12"/>
      <c r="P51" s="12"/>
      <c r="Q51" s="12"/>
      <c r="R51" s="12"/>
      <c r="S51" s="12"/>
      <c r="T51" s="12"/>
      <c r="U51" s="12"/>
      <c r="V51" s="12"/>
      <c r="W51" s="12"/>
      <c r="X51" s="12"/>
      <c r="Y51" s="12"/>
      <c r="Z51" s="12"/>
      <c r="AA51" s="12"/>
      <c r="AB51" s="12"/>
      <c r="AC51" s="12"/>
      <c r="AD51" s="12"/>
      <c r="AE51" s="12"/>
      <c r="AF51" s="12"/>
      <c r="AG51" s="59">
        <f t="shared" si="2"/>
        <v>200</v>
      </c>
      <c r="AH51" s="12" t="s">
        <v>676</v>
      </c>
      <c r="AI51" s="4" t="s">
        <v>674</v>
      </c>
      <c r="AJ51" s="12" t="s">
        <v>670</v>
      </c>
      <c r="BE51" s="12">
        <v>4</v>
      </c>
      <c r="BF51" s="12" t="s">
        <v>381</v>
      </c>
      <c r="BG51" s="12"/>
      <c r="BH51" s="12"/>
      <c r="BI51" s="12">
        <v>2</v>
      </c>
      <c r="BJ51" s="12"/>
      <c r="BK51" s="12" t="s">
        <v>381</v>
      </c>
      <c r="BL51" s="12" t="s">
        <v>381</v>
      </c>
      <c r="BM51" s="12"/>
      <c r="BN51" s="12"/>
      <c r="BO51" s="12"/>
      <c r="BP51" s="12"/>
    </row>
    <row r="52" spans="1:68">
      <c r="A52" s="4" t="s">
        <v>569</v>
      </c>
      <c r="C52" s="19" t="s">
        <v>434</v>
      </c>
      <c r="D52" s="4" t="s">
        <v>97</v>
      </c>
      <c r="E52" s="12" t="s">
        <v>692</v>
      </c>
      <c r="F52" s="12">
        <v>4</v>
      </c>
      <c r="G52" s="12">
        <v>16</v>
      </c>
      <c r="H52" s="59">
        <v>100</v>
      </c>
      <c r="I52" s="28">
        <v>0</v>
      </c>
      <c r="J52" s="12" t="s">
        <v>673</v>
      </c>
      <c r="K52" s="4" t="s">
        <v>674</v>
      </c>
      <c r="L52" s="12">
        <v>110</v>
      </c>
      <c r="M52" s="12"/>
      <c r="N52" s="12"/>
      <c r="O52" s="12"/>
      <c r="P52" s="12"/>
      <c r="Q52" s="12"/>
      <c r="R52" s="12"/>
      <c r="S52" s="12"/>
      <c r="T52" s="12"/>
      <c r="U52" s="12"/>
      <c r="V52" s="12"/>
      <c r="W52" s="12"/>
      <c r="X52" s="12"/>
      <c r="Y52" s="12"/>
      <c r="Z52" s="12"/>
      <c r="AA52" s="12"/>
      <c r="AB52" s="12"/>
      <c r="AC52" s="12"/>
      <c r="AD52" s="12"/>
      <c r="AE52" s="12"/>
      <c r="AF52" s="12"/>
      <c r="AG52" s="59">
        <f t="shared" si="2"/>
        <v>200</v>
      </c>
      <c r="AH52" s="12" t="s">
        <v>676</v>
      </c>
      <c r="AI52" s="4" t="s">
        <v>674</v>
      </c>
      <c r="AJ52" s="12" t="s">
        <v>670</v>
      </c>
      <c r="BE52" s="12">
        <v>4</v>
      </c>
      <c r="BF52" s="12" t="s">
        <v>381</v>
      </c>
      <c r="BG52" s="12"/>
      <c r="BH52" s="12"/>
      <c r="BI52" s="12">
        <v>2</v>
      </c>
      <c r="BJ52" s="12"/>
      <c r="BK52" s="12" t="s">
        <v>381</v>
      </c>
      <c r="BL52" s="12" t="s">
        <v>381</v>
      </c>
      <c r="BM52" s="12"/>
      <c r="BN52" s="12"/>
      <c r="BO52" s="12"/>
      <c r="BP52" s="12"/>
    </row>
    <row r="53" spans="1:68">
      <c r="A53" s="4" t="s">
        <v>483</v>
      </c>
      <c r="C53" s="19" t="s">
        <v>434</v>
      </c>
      <c r="D53" s="4" t="s">
        <v>93</v>
      </c>
      <c r="E53" s="12" t="s">
        <v>693</v>
      </c>
      <c r="F53" s="12">
        <v>4</v>
      </c>
      <c r="G53" s="12">
        <v>14</v>
      </c>
      <c r="H53" s="59">
        <v>120</v>
      </c>
      <c r="I53" s="28">
        <v>0</v>
      </c>
      <c r="J53" s="12" t="s">
        <v>673</v>
      </c>
      <c r="K53" s="4" t="s">
        <v>674</v>
      </c>
      <c r="L53" s="12">
        <v>100</v>
      </c>
      <c r="M53" s="12"/>
      <c r="N53" s="12"/>
      <c r="O53" s="12"/>
      <c r="P53" s="12"/>
      <c r="Q53" s="12"/>
      <c r="R53" s="12"/>
      <c r="S53" s="12"/>
      <c r="T53" s="12"/>
      <c r="U53" s="12"/>
      <c r="V53" s="12"/>
      <c r="W53" s="12"/>
      <c r="X53" s="12"/>
      <c r="Y53" s="12"/>
      <c r="Z53" s="12"/>
      <c r="AA53" s="12"/>
      <c r="AB53" s="12"/>
      <c r="AC53" s="12"/>
      <c r="AD53" s="12"/>
      <c r="AE53" s="12"/>
      <c r="AF53" s="12"/>
      <c r="AG53" s="59">
        <f t="shared" si="2"/>
        <v>240</v>
      </c>
      <c r="AH53" s="12" t="s">
        <v>676</v>
      </c>
      <c r="AI53" s="4" t="s">
        <v>674</v>
      </c>
      <c r="AJ53" s="12" t="s">
        <v>670</v>
      </c>
      <c r="BE53" s="12">
        <v>4</v>
      </c>
      <c r="BF53" s="12" t="s">
        <v>381</v>
      </c>
      <c r="BG53" s="12"/>
      <c r="BH53" s="12"/>
      <c r="BI53" s="12">
        <v>2</v>
      </c>
      <c r="BJ53" s="12"/>
      <c r="BK53" s="12" t="s">
        <v>381</v>
      </c>
      <c r="BL53" s="12" t="s">
        <v>381</v>
      </c>
      <c r="BM53" s="12"/>
      <c r="BN53" s="12"/>
      <c r="BO53" s="12"/>
      <c r="BP53" s="12"/>
    </row>
    <row r="54" spans="1:68">
      <c r="A54" s="4" t="s">
        <v>438</v>
      </c>
      <c r="C54" s="4" t="s">
        <v>378</v>
      </c>
      <c r="D54" s="4" t="s">
        <v>32</v>
      </c>
      <c r="E54" s="12" t="s">
        <v>702</v>
      </c>
      <c r="F54" s="12">
        <v>3</v>
      </c>
      <c r="G54" s="12">
        <v>10</v>
      </c>
      <c r="H54" s="59">
        <v>120</v>
      </c>
      <c r="I54" s="28">
        <v>16</v>
      </c>
      <c r="J54" s="12" t="s">
        <v>676</v>
      </c>
      <c r="K54" s="4" t="s">
        <v>674</v>
      </c>
      <c r="L54" s="12">
        <v>2.6</v>
      </c>
      <c r="M54" s="12"/>
      <c r="N54" s="12"/>
      <c r="O54" s="12"/>
      <c r="P54" s="12"/>
      <c r="Q54" s="12"/>
      <c r="R54" s="12"/>
      <c r="S54" s="12"/>
      <c r="T54" s="12"/>
      <c r="U54" s="12"/>
      <c r="V54" s="12"/>
      <c r="W54" s="12"/>
      <c r="X54" s="12"/>
      <c r="Y54" s="12"/>
      <c r="Z54" s="12"/>
      <c r="AA54" s="12"/>
      <c r="AB54" s="12"/>
      <c r="AC54" s="12"/>
      <c r="AD54" s="12"/>
      <c r="AE54" s="12"/>
      <c r="AF54" s="12"/>
      <c r="AG54" s="59">
        <f t="shared" si="2"/>
        <v>240</v>
      </c>
      <c r="AH54" s="12" t="s">
        <v>676</v>
      </c>
      <c r="AI54" s="4" t="s">
        <v>674</v>
      </c>
      <c r="AJ54" s="12" t="s">
        <v>670</v>
      </c>
      <c r="BE54" s="12">
        <v>2</v>
      </c>
      <c r="BF54" s="12" t="s">
        <v>381</v>
      </c>
      <c r="BG54" s="12"/>
      <c r="BH54" s="12"/>
      <c r="BI54" s="12">
        <v>2</v>
      </c>
      <c r="BJ54" s="12"/>
      <c r="BK54" s="12" t="s">
        <v>381</v>
      </c>
      <c r="BL54" s="12" t="s">
        <v>381</v>
      </c>
      <c r="BM54" s="12"/>
      <c r="BN54" s="12"/>
      <c r="BO54" s="12"/>
      <c r="BP54" s="12"/>
    </row>
    <row r="55" spans="1:68">
      <c r="A55" s="4" t="s">
        <v>439</v>
      </c>
      <c r="C55" s="4" t="s">
        <v>378</v>
      </c>
      <c r="D55" s="4" t="s">
        <v>32</v>
      </c>
      <c r="E55" s="12" t="s">
        <v>702</v>
      </c>
      <c r="F55" s="12">
        <v>3</v>
      </c>
      <c r="G55" s="12">
        <v>10</v>
      </c>
      <c r="H55" s="59">
        <v>120</v>
      </c>
      <c r="I55" s="28">
        <v>16</v>
      </c>
      <c r="J55" s="12" t="s">
        <v>676</v>
      </c>
      <c r="K55" s="4" t="s">
        <v>674</v>
      </c>
      <c r="L55" s="12">
        <v>2.6</v>
      </c>
      <c r="M55" s="12"/>
      <c r="N55" s="12"/>
      <c r="O55" s="12"/>
      <c r="P55" s="12"/>
      <c r="Q55" s="12"/>
      <c r="R55" s="12"/>
      <c r="S55" s="12"/>
      <c r="T55" s="12"/>
      <c r="U55" s="12"/>
      <c r="V55" s="12"/>
      <c r="W55" s="12"/>
      <c r="X55" s="12"/>
      <c r="Y55" s="12"/>
      <c r="Z55" s="12"/>
      <c r="AA55" s="12"/>
      <c r="AB55" s="12"/>
      <c r="AC55" s="12"/>
      <c r="AD55" s="12"/>
      <c r="AE55" s="12"/>
      <c r="AF55" s="12"/>
      <c r="AG55" s="59">
        <f t="shared" si="2"/>
        <v>240</v>
      </c>
      <c r="AH55" s="12" t="s">
        <v>676</v>
      </c>
      <c r="AI55" s="4" t="s">
        <v>674</v>
      </c>
      <c r="AJ55" s="12" t="s">
        <v>670</v>
      </c>
      <c r="BE55" s="12">
        <v>2</v>
      </c>
      <c r="BF55" s="12" t="s">
        <v>381</v>
      </c>
      <c r="BG55" s="12"/>
      <c r="BH55" s="12"/>
      <c r="BI55" s="12">
        <v>2</v>
      </c>
      <c r="BJ55" s="12"/>
      <c r="BK55" s="12" t="s">
        <v>381</v>
      </c>
      <c r="BL55" s="12" t="s">
        <v>381</v>
      </c>
      <c r="BM55" s="12"/>
      <c r="BN55" s="12"/>
      <c r="BO55" s="12"/>
      <c r="BP55" s="12"/>
    </row>
    <row r="56" spans="1:68">
      <c r="A56" s="4" t="s">
        <v>570</v>
      </c>
      <c r="C56" s="4" t="s">
        <v>378</v>
      </c>
      <c r="D56" s="4" t="s">
        <v>32</v>
      </c>
      <c r="E56" s="12" t="s">
        <v>702</v>
      </c>
      <c r="F56" s="12">
        <v>3</v>
      </c>
      <c r="G56" s="12">
        <v>10</v>
      </c>
      <c r="H56" s="59">
        <v>120</v>
      </c>
      <c r="I56" s="28">
        <v>16</v>
      </c>
      <c r="J56" s="12" t="s">
        <v>676</v>
      </c>
      <c r="K56" s="4" t="s">
        <v>674</v>
      </c>
      <c r="L56" s="12">
        <v>2.6</v>
      </c>
      <c r="M56" s="12"/>
      <c r="N56" s="12"/>
      <c r="O56" s="12"/>
      <c r="P56" s="12"/>
      <c r="Q56" s="12"/>
      <c r="R56" s="12"/>
      <c r="S56" s="12"/>
      <c r="T56" s="12"/>
      <c r="U56" s="12"/>
      <c r="V56" s="12"/>
      <c r="W56" s="12"/>
      <c r="X56" s="12"/>
      <c r="Y56" s="12"/>
      <c r="Z56" s="12"/>
      <c r="AA56" s="12"/>
      <c r="AB56" s="12"/>
      <c r="AC56" s="12"/>
      <c r="AD56" s="12"/>
      <c r="AE56" s="12"/>
      <c r="AF56" s="12"/>
      <c r="AG56" s="59">
        <f t="shared" si="2"/>
        <v>240</v>
      </c>
      <c r="AH56" s="12" t="s">
        <v>676</v>
      </c>
      <c r="AI56" s="4" t="s">
        <v>674</v>
      </c>
      <c r="AJ56" s="12" t="s">
        <v>670</v>
      </c>
      <c r="BE56" s="12">
        <v>2</v>
      </c>
      <c r="BF56" s="12" t="s">
        <v>381</v>
      </c>
      <c r="BG56" s="12"/>
      <c r="BH56" s="12"/>
      <c r="BI56" s="12">
        <v>2</v>
      </c>
      <c r="BJ56" s="12"/>
      <c r="BK56" s="12" t="s">
        <v>381</v>
      </c>
      <c r="BL56" s="12" t="s">
        <v>381</v>
      </c>
      <c r="BM56" s="12"/>
      <c r="BN56" s="12"/>
      <c r="BO56" s="12"/>
      <c r="BP56" s="12"/>
    </row>
    <row r="57" spans="1:68">
      <c r="A57" s="4" t="s">
        <v>571</v>
      </c>
      <c r="C57" s="4" t="s">
        <v>378</v>
      </c>
      <c r="D57" s="4" t="s">
        <v>32</v>
      </c>
      <c r="E57" s="12" t="s">
        <v>702</v>
      </c>
      <c r="F57" s="12">
        <v>3</v>
      </c>
      <c r="G57" s="12">
        <v>10</v>
      </c>
      <c r="H57" s="59">
        <v>120</v>
      </c>
      <c r="I57" s="28">
        <v>16</v>
      </c>
      <c r="J57" s="12" t="s">
        <v>676</v>
      </c>
      <c r="K57" s="4" t="s">
        <v>674</v>
      </c>
      <c r="L57" s="12">
        <v>2.6</v>
      </c>
      <c r="M57" s="12"/>
      <c r="N57" s="12"/>
      <c r="O57" s="12"/>
      <c r="P57" s="12"/>
      <c r="Q57" s="12"/>
      <c r="R57" s="12"/>
      <c r="S57" s="12"/>
      <c r="T57" s="12"/>
      <c r="U57" s="12"/>
      <c r="V57" s="12"/>
      <c r="W57" s="12"/>
      <c r="X57" s="12"/>
      <c r="Y57" s="12"/>
      <c r="Z57" s="12"/>
      <c r="AA57" s="12"/>
      <c r="AB57" s="12"/>
      <c r="AC57" s="12"/>
      <c r="AD57" s="12"/>
      <c r="AE57" s="12"/>
      <c r="AF57" s="12"/>
      <c r="AG57" s="59">
        <f t="shared" si="2"/>
        <v>240</v>
      </c>
      <c r="AH57" s="12" t="s">
        <v>676</v>
      </c>
      <c r="AI57" s="4" t="s">
        <v>674</v>
      </c>
      <c r="AJ57" s="12" t="s">
        <v>670</v>
      </c>
      <c r="BE57" s="12">
        <v>2</v>
      </c>
      <c r="BF57" s="12" t="s">
        <v>381</v>
      </c>
      <c r="BG57" s="12"/>
      <c r="BH57" s="12"/>
      <c r="BI57" s="12">
        <v>2</v>
      </c>
      <c r="BJ57" s="12"/>
      <c r="BK57" s="12" t="s">
        <v>381</v>
      </c>
      <c r="BL57" s="12" t="s">
        <v>381</v>
      </c>
      <c r="BM57" s="12"/>
      <c r="BN57" s="12"/>
      <c r="BO57" s="12"/>
      <c r="BP57" s="12"/>
    </row>
    <row r="58" spans="1:68">
      <c r="A58" s="4" t="s">
        <v>440</v>
      </c>
      <c r="C58" s="4" t="s">
        <v>378</v>
      </c>
      <c r="D58" s="4" t="s">
        <v>48</v>
      </c>
      <c r="E58" s="12" t="s">
        <v>703</v>
      </c>
      <c r="F58" s="12">
        <v>4</v>
      </c>
      <c r="G58" s="12">
        <v>4</v>
      </c>
      <c r="H58" s="59">
        <v>40</v>
      </c>
      <c r="I58" s="28">
        <v>4</v>
      </c>
      <c r="J58" s="12" t="s">
        <v>676</v>
      </c>
      <c r="K58" s="4" t="s">
        <v>674</v>
      </c>
      <c r="L58" s="12">
        <v>100</v>
      </c>
      <c r="M58" s="12"/>
      <c r="N58" s="12"/>
      <c r="O58" s="12"/>
      <c r="P58" s="12"/>
      <c r="Q58" s="12"/>
      <c r="R58" s="12"/>
      <c r="S58" s="12"/>
      <c r="T58" s="12"/>
      <c r="U58" s="12"/>
      <c r="V58" s="12"/>
      <c r="W58" s="12"/>
      <c r="X58" s="12"/>
      <c r="Y58" s="12"/>
      <c r="Z58" s="12"/>
      <c r="AA58" s="12"/>
      <c r="AB58" s="12"/>
      <c r="AC58" s="12"/>
      <c r="AD58" s="12"/>
      <c r="AE58" s="12"/>
      <c r="AF58" s="12"/>
      <c r="AG58" s="59">
        <f t="shared" si="2"/>
        <v>80</v>
      </c>
      <c r="AH58" s="12" t="s">
        <v>676</v>
      </c>
      <c r="AI58" s="4" t="s">
        <v>674</v>
      </c>
      <c r="AJ58" s="12" t="s">
        <v>670</v>
      </c>
      <c r="BE58" s="12">
        <v>2</v>
      </c>
      <c r="BF58" s="12" t="s">
        <v>381</v>
      </c>
      <c r="BG58" s="12"/>
      <c r="BH58" s="12"/>
      <c r="BI58" s="12">
        <v>2</v>
      </c>
      <c r="BJ58" s="12"/>
      <c r="BK58" s="12" t="s">
        <v>381</v>
      </c>
      <c r="BL58" s="12" t="s">
        <v>381</v>
      </c>
      <c r="BM58" s="12"/>
      <c r="BN58" s="12"/>
      <c r="BO58" s="12"/>
      <c r="BP58" s="12"/>
    </row>
    <row r="59" spans="1:68">
      <c r="A59" s="4" t="s">
        <v>441</v>
      </c>
      <c r="C59" s="4" t="s">
        <v>378</v>
      </c>
      <c r="D59" s="4" t="s">
        <v>40</v>
      </c>
      <c r="E59" s="12" t="s">
        <v>703</v>
      </c>
      <c r="F59" s="12">
        <v>4</v>
      </c>
      <c r="G59" s="12">
        <v>4</v>
      </c>
      <c r="H59" s="59">
        <v>30</v>
      </c>
      <c r="I59" s="28">
        <v>4</v>
      </c>
      <c r="J59" s="12" t="s">
        <v>676</v>
      </c>
      <c r="K59" s="4" t="s">
        <v>674</v>
      </c>
      <c r="L59" s="12">
        <v>100</v>
      </c>
      <c r="M59" s="12"/>
      <c r="N59" s="12"/>
      <c r="O59" s="12"/>
      <c r="P59" s="12"/>
      <c r="Q59" s="12"/>
      <c r="R59" s="12"/>
      <c r="S59" s="12"/>
      <c r="T59" s="12"/>
      <c r="U59" s="12"/>
      <c r="V59" s="12"/>
      <c r="W59" s="12"/>
      <c r="X59" s="12"/>
      <c r="Y59" s="12"/>
      <c r="Z59" s="12"/>
      <c r="AA59" s="12"/>
      <c r="AB59" s="12"/>
      <c r="AC59" s="12"/>
      <c r="AD59" s="12"/>
      <c r="AE59" s="12"/>
      <c r="AF59" s="12"/>
      <c r="AG59" s="59">
        <f t="shared" si="2"/>
        <v>60</v>
      </c>
      <c r="AH59" s="12" t="s">
        <v>676</v>
      </c>
      <c r="AI59" s="4" t="s">
        <v>674</v>
      </c>
      <c r="AJ59" s="12" t="s">
        <v>670</v>
      </c>
      <c r="BE59" s="12">
        <v>2</v>
      </c>
      <c r="BF59" s="12" t="s">
        <v>381</v>
      </c>
      <c r="BG59" s="12"/>
      <c r="BH59" s="12"/>
      <c r="BI59" s="12">
        <v>2</v>
      </c>
      <c r="BJ59" s="12"/>
      <c r="BK59" s="12" t="s">
        <v>381</v>
      </c>
      <c r="BL59" s="12" t="s">
        <v>381</v>
      </c>
      <c r="BM59" s="12"/>
      <c r="BN59" s="12"/>
      <c r="BO59" s="12"/>
      <c r="BP59" s="12"/>
    </row>
    <row r="60" spans="1:68">
      <c r="A60" s="4" t="s">
        <v>442</v>
      </c>
      <c r="C60" s="4" t="s">
        <v>378</v>
      </c>
      <c r="D60" s="4" t="s">
        <v>44</v>
      </c>
      <c r="E60" s="12" t="s">
        <v>703</v>
      </c>
      <c r="F60" s="12">
        <v>4</v>
      </c>
      <c r="G60" s="12">
        <v>4</v>
      </c>
      <c r="H60" s="59">
        <v>35</v>
      </c>
      <c r="I60" s="28">
        <v>4</v>
      </c>
      <c r="J60" s="12" t="s">
        <v>676</v>
      </c>
      <c r="K60" s="4" t="s">
        <v>674</v>
      </c>
      <c r="L60" s="12">
        <v>2.6</v>
      </c>
      <c r="M60" s="12"/>
      <c r="N60" s="12"/>
      <c r="O60" s="12"/>
      <c r="P60" s="12"/>
      <c r="Q60" s="12"/>
      <c r="R60" s="12"/>
      <c r="S60" s="12"/>
      <c r="T60" s="12"/>
      <c r="U60" s="12"/>
      <c r="V60" s="12"/>
      <c r="W60" s="12"/>
      <c r="X60" s="12"/>
      <c r="Y60" s="12"/>
      <c r="Z60" s="12"/>
      <c r="AA60" s="12"/>
      <c r="AB60" s="12"/>
      <c r="AC60" s="12"/>
      <c r="AD60" s="12"/>
      <c r="AE60" s="12"/>
      <c r="AF60" s="12"/>
      <c r="AG60" s="59">
        <f t="shared" si="2"/>
        <v>70</v>
      </c>
      <c r="AH60" s="12" t="s">
        <v>676</v>
      </c>
      <c r="AI60" s="4" t="s">
        <v>674</v>
      </c>
      <c r="AJ60" s="12" t="s">
        <v>670</v>
      </c>
      <c r="BE60" s="12">
        <v>2</v>
      </c>
      <c r="BF60" s="12" t="s">
        <v>381</v>
      </c>
      <c r="BG60" s="12"/>
      <c r="BH60" s="12"/>
      <c r="BI60" s="12">
        <v>2</v>
      </c>
      <c r="BJ60" s="12"/>
      <c r="BK60" s="12" t="s">
        <v>381</v>
      </c>
      <c r="BL60" s="12" t="s">
        <v>381</v>
      </c>
      <c r="BM60" s="12"/>
      <c r="BN60" s="12"/>
      <c r="BO60" s="12"/>
      <c r="BP60" s="12"/>
    </row>
    <row r="61" spans="1:68" ht="14.5">
      <c r="A61" s="4" t="s">
        <v>443</v>
      </c>
      <c r="C61" s="4" t="s">
        <v>378</v>
      </c>
      <c r="D61" s="4" t="s">
        <v>247</v>
      </c>
      <c r="E61" s="12" t="s">
        <v>704</v>
      </c>
      <c r="F61" s="12">
        <v>5</v>
      </c>
      <c r="G61" s="12">
        <v>6</v>
      </c>
      <c r="H61" s="59">
        <v>110</v>
      </c>
      <c r="I61" s="28">
        <v>4</v>
      </c>
      <c r="J61" s="12" t="s">
        <v>676</v>
      </c>
      <c r="K61" s="4" t="s">
        <v>674</v>
      </c>
      <c r="L61" s="12">
        <v>2.6</v>
      </c>
      <c r="M61" s="12"/>
      <c r="N61" s="12"/>
      <c r="O61" s="12"/>
      <c r="P61" s="12"/>
      <c r="Q61" s="1"/>
      <c r="R61" s="1"/>
      <c r="S61" s="1"/>
      <c r="T61" s="1"/>
      <c r="U61" s="12"/>
      <c r="V61" s="12"/>
      <c r="W61" s="12"/>
      <c r="X61" s="12"/>
      <c r="Y61" s="12"/>
      <c r="Z61" s="12"/>
      <c r="AA61" s="12"/>
      <c r="AB61" s="12"/>
      <c r="AC61" s="12"/>
      <c r="AD61" s="12"/>
      <c r="AE61" s="12"/>
      <c r="AF61" s="12"/>
      <c r="AG61" s="59">
        <f t="shared" si="2"/>
        <v>220</v>
      </c>
      <c r="AH61" s="12" t="s">
        <v>676</v>
      </c>
      <c r="AI61" s="4" t="s">
        <v>674</v>
      </c>
      <c r="AJ61" s="12" t="s">
        <v>670</v>
      </c>
      <c r="AK61" s="12"/>
      <c r="AL61" s="12"/>
      <c r="AM61" s="12"/>
      <c r="AN61" s="12"/>
      <c r="AO61" s="12"/>
      <c r="AP61" s="12"/>
      <c r="AQ61" s="12"/>
      <c r="AR61" s="12"/>
      <c r="AS61" s="12"/>
      <c r="AT61" s="12"/>
      <c r="AU61" s="12"/>
      <c r="AV61" s="12"/>
      <c r="AW61" s="12"/>
      <c r="AX61" s="12"/>
      <c r="AY61" s="12"/>
      <c r="AZ61" s="12"/>
      <c r="BA61" s="12"/>
      <c r="BB61" s="12"/>
      <c r="BC61" s="12"/>
      <c r="BD61" s="12"/>
      <c r="BE61" s="12">
        <v>2</v>
      </c>
      <c r="BF61" s="12" t="s">
        <v>381</v>
      </c>
      <c r="BG61" s="12" t="s">
        <v>381</v>
      </c>
      <c r="BH61" s="12"/>
      <c r="BI61" s="12">
        <v>2</v>
      </c>
      <c r="BJ61" s="12"/>
      <c r="BK61" s="12" t="s">
        <v>381</v>
      </c>
      <c r="BL61" s="12" t="s">
        <v>381</v>
      </c>
      <c r="BM61" s="12"/>
      <c r="BN61" s="12"/>
      <c r="BO61" s="12"/>
      <c r="BP61" s="12"/>
    </row>
    <row r="62" spans="1:68" ht="14.5">
      <c r="A62" s="4" t="s">
        <v>484</v>
      </c>
      <c r="C62" s="4" t="s">
        <v>378</v>
      </c>
      <c r="D62" s="4" t="s">
        <v>67</v>
      </c>
      <c r="E62" s="12" t="s">
        <v>705</v>
      </c>
      <c r="F62" s="12">
        <v>2</v>
      </c>
      <c r="G62" s="12">
        <v>2</v>
      </c>
      <c r="H62" s="59">
        <v>15</v>
      </c>
      <c r="I62" s="28">
        <v>4</v>
      </c>
      <c r="J62" s="12" t="s">
        <v>676</v>
      </c>
      <c r="K62" s="4" t="s">
        <v>674</v>
      </c>
      <c r="L62" s="12">
        <v>2.6</v>
      </c>
      <c r="M62" s="12"/>
      <c r="N62" s="12"/>
      <c r="O62" s="12"/>
      <c r="P62" s="12"/>
      <c r="Q62" s="1"/>
      <c r="R62" s="1"/>
      <c r="S62" s="1"/>
      <c r="T62" s="1"/>
      <c r="U62" s="12"/>
      <c r="V62" s="12"/>
      <c r="W62" s="12"/>
      <c r="X62" s="12"/>
      <c r="Y62" s="12"/>
      <c r="Z62" s="12"/>
      <c r="AA62" s="12"/>
      <c r="AB62" s="12"/>
      <c r="AC62" s="12"/>
      <c r="AD62" s="12"/>
      <c r="AE62" s="12"/>
      <c r="AF62" s="12"/>
      <c r="AG62" s="59">
        <f t="shared" si="2"/>
        <v>30</v>
      </c>
      <c r="AH62" s="12" t="s">
        <v>676</v>
      </c>
      <c r="AI62" s="4" t="s">
        <v>674</v>
      </c>
      <c r="AJ62" s="12" t="s">
        <v>670</v>
      </c>
      <c r="BE62" s="12">
        <v>2</v>
      </c>
      <c r="BF62" s="12" t="s">
        <v>381</v>
      </c>
      <c r="BG62" s="12"/>
      <c r="BH62" s="12"/>
      <c r="BI62" s="12">
        <v>2</v>
      </c>
      <c r="BJ62" s="12"/>
      <c r="BK62" s="12" t="s">
        <v>381</v>
      </c>
      <c r="BL62" s="12" t="s">
        <v>381</v>
      </c>
      <c r="BM62" s="12"/>
      <c r="BN62" s="12"/>
      <c r="BO62" s="12"/>
    </row>
    <row r="63" spans="1:68" ht="14.5">
      <c r="A63" s="4" t="s">
        <v>485</v>
      </c>
      <c r="C63" s="4" t="s">
        <v>378</v>
      </c>
      <c r="D63" s="4" t="s">
        <v>67</v>
      </c>
      <c r="E63" s="12" t="s">
        <v>705</v>
      </c>
      <c r="F63" s="12">
        <v>2</v>
      </c>
      <c r="G63" s="12">
        <v>2</v>
      </c>
      <c r="H63" s="59">
        <v>15</v>
      </c>
      <c r="I63" s="28">
        <v>4</v>
      </c>
      <c r="J63" s="12" t="s">
        <v>676</v>
      </c>
      <c r="K63" s="4" t="s">
        <v>674</v>
      </c>
      <c r="L63" s="12">
        <v>2.6</v>
      </c>
      <c r="M63" s="12"/>
      <c r="N63" s="12"/>
      <c r="O63" s="12"/>
      <c r="P63" s="12"/>
      <c r="Q63" s="1"/>
      <c r="R63" s="1"/>
      <c r="S63" s="1"/>
      <c r="T63" s="1"/>
      <c r="U63" s="12"/>
      <c r="V63" s="12"/>
      <c r="W63" s="12"/>
      <c r="X63" s="12"/>
      <c r="Y63" s="12"/>
      <c r="Z63" s="12"/>
      <c r="AA63" s="12"/>
      <c r="AB63" s="12"/>
      <c r="AC63" s="12"/>
      <c r="AD63" s="12"/>
      <c r="AE63" s="12"/>
      <c r="AF63" s="12"/>
      <c r="AG63" s="59">
        <f t="shared" si="2"/>
        <v>30</v>
      </c>
      <c r="AH63" s="12" t="s">
        <v>676</v>
      </c>
      <c r="AI63" s="4" t="s">
        <v>674</v>
      </c>
      <c r="AJ63" s="12" t="s">
        <v>670</v>
      </c>
      <c r="BE63" s="12">
        <v>2</v>
      </c>
      <c r="BF63" s="12" t="s">
        <v>381</v>
      </c>
      <c r="BG63" s="12"/>
      <c r="BH63" s="12"/>
      <c r="BI63" s="12">
        <v>2</v>
      </c>
      <c r="BJ63" s="12"/>
      <c r="BK63" s="12" t="s">
        <v>381</v>
      </c>
      <c r="BL63" s="12" t="s">
        <v>381</v>
      </c>
      <c r="BM63" s="12"/>
      <c r="BN63" s="12"/>
      <c r="BO63" s="12"/>
    </row>
    <row r="64" spans="1:68" ht="14.5">
      <c r="A64" s="4" t="s">
        <v>486</v>
      </c>
      <c r="C64" s="4" t="s">
        <v>378</v>
      </c>
      <c r="D64" s="4" t="s">
        <v>71</v>
      </c>
      <c r="E64" s="12" t="s">
        <v>721</v>
      </c>
      <c r="F64" s="12">
        <v>6</v>
      </c>
      <c r="G64" s="12">
        <v>5</v>
      </c>
      <c r="H64" s="59">
        <v>40</v>
      </c>
      <c r="I64" s="28">
        <v>4</v>
      </c>
      <c r="J64" s="12" t="s">
        <v>676</v>
      </c>
      <c r="K64" s="4" t="s">
        <v>674</v>
      </c>
      <c r="L64" s="12">
        <v>2.6</v>
      </c>
      <c r="M64" s="12"/>
      <c r="N64" s="12"/>
      <c r="O64" s="12"/>
      <c r="P64" s="12"/>
      <c r="Q64" s="1"/>
      <c r="R64" s="1"/>
      <c r="S64" s="1"/>
      <c r="T64" s="1"/>
      <c r="U64" s="12"/>
      <c r="V64" s="12"/>
      <c r="W64" s="12"/>
      <c r="X64" s="12"/>
      <c r="Y64" s="12"/>
      <c r="Z64" s="12"/>
      <c r="AA64" s="12"/>
      <c r="AB64" s="12"/>
      <c r="AC64" s="12"/>
      <c r="AD64" s="12"/>
      <c r="AE64" s="12"/>
      <c r="AF64" s="12"/>
      <c r="AG64" s="59">
        <f t="shared" si="2"/>
        <v>80</v>
      </c>
      <c r="AH64" s="12" t="s">
        <v>676</v>
      </c>
      <c r="AI64" s="4" t="s">
        <v>674</v>
      </c>
      <c r="AJ64" s="12" t="s">
        <v>670</v>
      </c>
      <c r="BE64" s="12">
        <v>2</v>
      </c>
      <c r="BF64" s="12" t="s">
        <v>381</v>
      </c>
      <c r="BG64" s="12"/>
      <c r="BH64" s="12"/>
      <c r="BI64" s="12">
        <v>2</v>
      </c>
      <c r="BJ64" s="12"/>
      <c r="BK64" s="12" t="s">
        <v>381</v>
      </c>
      <c r="BL64" s="12" t="s">
        <v>381</v>
      </c>
      <c r="BM64" s="12"/>
      <c r="BN64" s="12"/>
      <c r="BO64" s="12"/>
    </row>
    <row r="65" spans="1:68" ht="14.5">
      <c r="A65" s="4" t="s">
        <v>487</v>
      </c>
      <c r="C65" s="4" t="s">
        <v>378</v>
      </c>
      <c r="D65" s="4" t="s">
        <v>75</v>
      </c>
      <c r="E65" s="12" t="s">
        <v>707</v>
      </c>
      <c r="F65" s="12">
        <v>2</v>
      </c>
      <c r="G65" s="12">
        <v>2</v>
      </c>
      <c r="H65" s="59">
        <v>30</v>
      </c>
      <c r="I65" s="28">
        <v>4</v>
      </c>
      <c r="J65" s="12" t="s">
        <v>676</v>
      </c>
      <c r="K65" s="4" t="s">
        <v>674</v>
      </c>
      <c r="L65" s="12">
        <v>2.6</v>
      </c>
      <c r="M65" s="12"/>
      <c r="N65" s="12"/>
      <c r="O65" s="12"/>
      <c r="P65" s="12"/>
      <c r="Q65" s="1"/>
      <c r="R65" s="1"/>
      <c r="S65" s="1"/>
      <c r="T65" s="1"/>
      <c r="U65" s="12"/>
      <c r="V65" s="12"/>
      <c r="W65" s="12"/>
      <c r="X65" s="12"/>
      <c r="Y65" s="12"/>
      <c r="Z65" s="12"/>
      <c r="AA65" s="12"/>
      <c r="AB65" s="12"/>
      <c r="AC65" s="12"/>
      <c r="AD65" s="12"/>
      <c r="AE65" s="12"/>
      <c r="AF65" s="12"/>
      <c r="AG65" s="59">
        <f t="shared" si="2"/>
        <v>60</v>
      </c>
      <c r="AH65" s="12" t="s">
        <v>676</v>
      </c>
      <c r="AI65" s="4" t="s">
        <v>674</v>
      </c>
      <c r="AJ65" s="12" t="s">
        <v>670</v>
      </c>
      <c r="BE65" s="12">
        <v>2</v>
      </c>
      <c r="BF65" s="12" t="s">
        <v>381</v>
      </c>
      <c r="BG65" s="12"/>
      <c r="BH65" s="12"/>
      <c r="BI65" s="12">
        <v>2</v>
      </c>
      <c r="BJ65" s="12"/>
      <c r="BK65" s="12" t="s">
        <v>381</v>
      </c>
      <c r="BL65" s="12" t="s">
        <v>381</v>
      </c>
      <c r="BM65" s="12"/>
      <c r="BN65" s="12"/>
      <c r="BO65" s="12"/>
    </row>
    <row r="66" spans="1:68" s="17" customFormat="1" ht="14.5">
      <c r="A66" s="17" t="s">
        <v>490</v>
      </c>
      <c r="C66" s="17" t="s">
        <v>378</v>
      </c>
      <c r="D66" s="17" t="s">
        <v>99</v>
      </c>
      <c r="E66" s="15" t="s">
        <v>708</v>
      </c>
      <c r="F66" s="15">
        <v>2</v>
      </c>
      <c r="G66" s="15">
        <v>10</v>
      </c>
      <c r="H66" s="65">
        <v>60</v>
      </c>
      <c r="I66" s="76">
        <v>16</v>
      </c>
      <c r="J66" s="15" t="s">
        <v>676</v>
      </c>
      <c r="K66" s="17" t="s">
        <v>674</v>
      </c>
      <c r="L66" s="15">
        <v>2.6</v>
      </c>
      <c r="M66" s="15"/>
      <c r="N66" s="15"/>
      <c r="O66" s="15"/>
      <c r="P66" s="15"/>
      <c r="Q66" s="96"/>
      <c r="R66" s="96"/>
      <c r="S66" s="96"/>
      <c r="T66" s="96"/>
      <c r="U66" s="15"/>
      <c r="V66" s="15"/>
      <c r="W66" s="15"/>
      <c r="X66" s="15"/>
      <c r="Y66" s="15"/>
      <c r="Z66" s="15"/>
      <c r="AA66" s="15"/>
      <c r="AB66" s="15"/>
      <c r="AC66" s="15"/>
      <c r="AD66" s="15"/>
      <c r="AE66" s="15"/>
      <c r="AF66" s="15"/>
      <c r="AG66" s="65">
        <f t="shared" si="2"/>
        <v>120</v>
      </c>
      <c r="AH66" s="15" t="s">
        <v>676</v>
      </c>
      <c r="AI66" s="17" t="s">
        <v>674</v>
      </c>
      <c r="AJ66" s="15" t="s">
        <v>670</v>
      </c>
      <c r="BE66" s="15">
        <v>2</v>
      </c>
      <c r="BF66" s="15" t="s">
        <v>381</v>
      </c>
      <c r="BG66" s="15"/>
      <c r="BH66" s="15"/>
      <c r="BI66" s="15">
        <v>2</v>
      </c>
      <c r="BJ66" s="15"/>
      <c r="BK66" s="15" t="s">
        <v>381</v>
      </c>
      <c r="BL66" s="15" t="s">
        <v>381</v>
      </c>
      <c r="BM66" s="15"/>
      <c r="BN66" s="15"/>
      <c r="BO66" s="15"/>
    </row>
    <row r="67" spans="1:68">
      <c r="E67" s="12"/>
      <c r="F67" s="12">
        <f>SUM(F47:F66)+F43</f>
        <v>253</v>
      </c>
      <c r="G67" s="12">
        <f>SUM(G47:G66)+G43</f>
        <v>626</v>
      </c>
      <c r="H67" s="12">
        <f>SUM(H47:H66)+H43</f>
        <v>4023</v>
      </c>
      <c r="I67" s="28"/>
      <c r="J67" s="59"/>
      <c r="K67" s="59"/>
      <c r="L67" s="12">
        <f>SUM(L47:L66)+L43</f>
        <v>1259.4000000000005</v>
      </c>
      <c r="M67" s="12">
        <f>SUM(M47:M66)+M43</f>
        <v>59.4</v>
      </c>
      <c r="N67" s="59"/>
      <c r="O67" s="59"/>
      <c r="P67" s="12">
        <f>SUM(P47:P66)+P43</f>
        <v>0.05</v>
      </c>
      <c r="Q67" s="12">
        <f>SUM(Q47:Q66)+Q43</f>
        <v>1350</v>
      </c>
      <c r="R67" s="59"/>
      <c r="S67" s="59"/>
      <c r="T67" s="12">
        <f>SUM(T47:T66)+T43</f>
        <v>0.05</v>
      </c>
      <c r="U67" s="12">
        <f>SUM(U47:U66)+U43</f>
        <v>2025</v>
      </c>
      <c r="V67" s="59"/>
      <c r="W67" s="59"/>
      <c r="X67" s="12">
        <f>SUM(X47:X66)+X43</f>
        <v>0.05</v>
      </c>
      <c r="Y67" s="12">
        <f>SUM(Y47:Y66)+Y43</f>
        <v>513</v>
      </c>
      <c r="Z67" s="59"/>
      <c r="AA67" s="59"/>
      <c r="AB67" s="12">
        <f>SUM(AB47:AB66)+AB43</f>
        <v>0.1</v>
      </c>
      <c r="AC67" s="12">
        <f>SUM(AC47:AC66)+AC43</f>
        <v>270</v>
      </c>
      <c r="AD67" s="59"/>
      <c r="AE67" s="59"/>
      <c r="AF67" s="12">
        <f>SUM(AF47:AF66)+AF43</f>
        <v>0</v>
      </c>
      <c r="AG67" s="12">
        <f>SUM(AG47:AG66)+AG43</f>
        <v>14865.5</v>
      </c>
      <c r="AH67" s="59"/>
      <c r="AI67" s="59"/>
      <c r="AJ67" s="59"/>
      <c r="AK67" s="12">
        <f>SUM(AK47:AK66)+AK43</f>
        <v>90</v>
      </c>
      <c r="AL67" s="12"/>
      <c r="AM67" s="12"/>
      <c r="AN67" s="12">
        <f>SUM(AN47:AN66)+AN43</f>
        <v>0.1</v>
      </c>
      <c r="AO67" s="12">
        <f>SUM(AO47:AO66)+AO43</f>
        <v>50</v>
      </c>
      <c r="AP67" s="12"/>
      <c r="AQ67" s="12"/>
      <c r="AR67" s="12">
        <f>SUM(AR47:AR66)+AR43</f>
        <v>0.05</v>
      </c>
      <c r="AS67" s="12">
        <f>SUM(AS47:AS66)+AS43</f>
        <v>170</v>
      </c>
      <c r="AT67" s="12"/>
      <c r="AU67" s="12"/>
      <c r="AV67" s="12">
        <f>SUM(AV47:AV66)+AV43</f>
        <v>0.1</v>
      </c>
      <c r="AW67" s="12">
        <f>SUM(AW47:AW66)+AW43</f>
        <v>150</v>
      </c>
      <c r="AX67" s="12"/>
      <c r="AY67" s="12"/>
      <c r="AZ67" s="12">
        <f>SUM(AZ47:AZ66)+AZ43</f>
        <v>0</v>
      </c>
      <c r="BA67" s="12">
        <f>SUM(BA47:BA66)+BA43</f>
        <v>2048</v>
      </c>
      <c r="BB67" s="12"/>
      <c r="BC67" s="12"/>
      <c r="BD67" s="12">
        <f>SUM(BD47:BD66)+BD43</f>
        <v>0.05</v>
      </c>
      <c r="BE67" s="12">
        <f>SUM(BE47:BE66)+BE43</f>
        <v>130</v>
      </c>
      <c r="BF67" s="12">
        <f>BF43+COUNTIF(BF47:BF66,"x")</f>
        <v>51</v>
      </c>
      <c r="BG67" s="12">
        <f>BG43+COUNTIF(BG47:BG66,"x")</f>
        <v>3</v>
      </c>
      <c r="BH67" s="12">
        <f>BH43+COUNTIF(BH47:BH66,"x")</f>
        <v>1</v>
      </c>
      <c r="BI67" s="12">
        <f>BI43+SUM(BI47:BI66)</f>
        <v>102</v>
      </c>
      <c r="BJ67" s="12">
        <f>BJ43+COUNTIF(BJ47:BJ66,"x")</f>
        <v>1</v>
      </c>
      <c r="BK67" s="12">
        <f>BK43+COUNTIF(BK47:BK66,"x")</f>
        <v>21</v>
      </c>
      <c r="BL67" s="12">
        <f>BL43+COUNTIF(BL47:BL66,"x")</f>
        <v>50</v>
      </c>
      <c r="BM67" s="12" t="s">
        <v>697</v>
      </c>
      <c r="BN67" s="12">
        <v>2</v>
      </c>
      <c r="BO67" s="12">
        <v>4</v>
      </c>
      <c r="BP67" s="12">
        <v>2</v>
      </c>
    </row>
    <row r="68" spans="1:68">
      <c r="E68" s="12"/>
      <c r="I68" s="31"/>
      <c r="AG68" s="64"/>
      <c r="BE68" s="12"/>
    </row>
    <row r="69" spans="1:68" ht="14.5">
      <c r="A69" s="14" t="s">
        <v>709</v>
      </c>
      <c r="E69" s="1"/>
      <c r="I69" s="31"/>
      <c r="AG69" s="64"/>
      <c r="BE69" s="12"/>
    </row>
    <row r="70" spans="1:68">
      <c r="E70" s="12"/>
      <c r="F70" s="12"/>
      <c r="G70" s="12"/>
      <c r="H70" s="12"/>
      <c r="I70" s="28"/>
      <c r="J70" s="12"/>
      <c r="K70" s="12"/>
      <c r="L70" s="12"/>
      <c r="M70" s="12"/>
      <c r="N70" s="12"/>
      <c r="O70" s="12"/>
      <c r="P70" s="12"/>
      <c r="Q70" s="12"/>
      <c r="R70" s="12"/>
      <c r="S70" s="12"/>
      <c r="T70" s="12"/>
      <c r="AG70" s="64"/>
      <c r="BE70" s="12"/>
    </row>
    <row r="71" spans="1:68">
      <c r="A71" s="4" t="s">
        <v>504</v>
      </c>
      <c r="C71" s="4" t="s">
        <v>506</v>
      </c>
      <c r="D71" s="4" t="s">
        <v>19</v>
      </c>
      <c r="E71" s="12" t="s">
        <v>710</v>
      </c>
      <c r="F71" s="12">
        <v>2</v>
      </c>
      <c r="G71" s="12">
        <v>4</v>
      </c>
      <c r="H71" s="59">
        <v>70</v>
      </c>
      <c r="I71" s="28">
        <v>4</v>
      </c>
      <c r="J71" s="12" t="s">
        <v>676</v>
      </c>
      <c r="K71" s="4" t="s">
        <v>674</v>
      </c>
      <c r="L71" s="12">
        <v>2.6</v>
      </c>
      <c r="M71" s="12"/>
      <c r="N71" s="12"/>
      <c r="O71" s="12"/>
      <c r="P71" s="12"/>
      <c r="Q71" s="12"/>
      <c r="R71" s="12"/>
      <c r="S71" s="12"/>
      <c r="T71" s="12"/>
      <c r="U71" s="12"/>
      <c r="V71" s="12"/>
      <c r="W71" s="12"/>
      <c r="X71" s="12"/>
      <c r="Y71" s="12"/>
      <c r="Z71" s="12"/>
      <c r="AA71" s="12"/>
      <c r="AB71" s="12"/>
      <c r="AC71" s="12"/>
      <c r="AD71" s="12"/>
      <c r="AE71" s="12"/>
      <c r="AF71" s="12"/>
      <c r="AG71" s="59">
        <f>2*H71</f>
        <v>140</v>
      </c>
      <c r="AH71" s="12" t="s">
        <v>676</v>
      </c>
      <c r="AI71" s="4" t="s">
        <v>674</v>
      </c>
      <c r="AJ71" s="12" t="s">
        <v>670</v>
      </c>
      <c r="AK71" s="12"/>
      <c r="AL71" s="12"/>
      <c r="AM71" s="12"/>
      <c r="AN71" s="12"/>
      <c r="AO71" s="12"/>
      <c r="AP71" s="12"/>
      <c r="AQ71" s="12"/>
      <c r="AR71" s="12"/>
      <c r="AS71" s="12"/>
      <c r="AT71" s="12"/>
      <c r="AU71" s="12"/>
      <c r="AV71" s="12"/>
      <c r="AW71" s="12"/>
      <c r="AX71" s="12"/>
      <c r="AY71" s="12"/>
      <c r="AZ71" s="12"/>
      <c r="BA71" s="12"/>
      <c r="BB71" s="12"/>
      <c r="BC71" s="12"/>
      <c r="BD71" s="12"/>
      <c r="BE71" s="12">
        <v>2</v>
      </c>
      <c r="BF71" s="12" t="s">
        <v>381</v>
      </c>
      <c r="BG71" s="12"/>
      <c r="BH71" s="12"/>
      <c r="BI71" s="12">
        <v>2</v>
      </c>
      <c r="BJ71" s="12"/>
      <c r="BK71" s="12" t="s">
        <v>381</v>
      </c>
      <c r="BL71" s="12" t="s">
        <v>381</v>
      </c>
      <c r="BM71" s="12"/>
      <c r="BN71" s="12"/>
      <c r="BO71" s="12"/>
      <c r="BP71" s="12"/>
    </row>
    <row r="72" spans="1:68">
      <c r="A72" s="4" t="s">
        <v>509</v>
      </c>
      <c r="C72" s="4" t="s">
        <v>506</v>
      </c>
      <c r="D72" s="4" t="s">
        <v>510</v>
      </c>
      <c r="E72" s="12" t="s">
        <v>711</v>
      </c>
      <c r="F72" s="12">
        <v>6</v>
      </c>
      <c r="G72" s="12">
        <v>10</v>
      </c>
      <c r="H72" s="59">
        <v>100</v>
      </c>
      <c r="I72" s="28">
        <v>16</v>
      </c>
      <c r="J72" s="12" t="s">
        <v>676</v>
      </c>
      <c r="K72" s="4" t="s">
        <v>674</v>
      </c>
      <c r="L72" s="12">
        <v>2.6</v>
      </c>
      <c r="M72" s="12"/>
      <c r="N72" s="12"/>
      <c r="O72" s="12"/>
      <c r="P72" s="12"/>
      <c r="Q72" s="82">
        <v>200</v>
      </c>
      <c r="R72" s="82" t="s">
        <v>676</v>
      </c>
      <c r="S72" s="4" t="s">
        <v>674</v>
      </c>
      <c r="T72" s="82" t="s">
        <v>670</v>
      </c>
      <c r="U72" s="82"/>
      <c r="V72" s="82"/>
      <c r="W72" s="82"/>
      <c r="X72" s="82"/>
      <c r="AB72" s="82" t="s">
        <v>670</v>
      </c>
      <c r="AC72" s="12"/>
      <c r="AD72" s="12"/>
      <c r="AE72" s="12"/>
      <c r="AF72" s="12"/>
      <c r="AG72" s="59">
        <f>2*H72+Q72*2</f>
        <v>600</v>
      </c>
      <c r="AH72" s="12" t="s">
        <v>676</v>
      </c>
      <c r="AI72" s="4" t="s">
        <v>674</v>
      </c>
      <c r="AJ72" s="12" t="s">
        <v>670</v>
      </c>
      <c r="AK72" s="12"/>
      <c r="AL72" s="12"/>
      <c r="AM72" s="12"/>
      <c r="AN72" s="12"/>
      <c r="AO72" s="12"/>
      <c r="AP72" s="12"/>
      <c r="AQ72" s="12"/>
      <c r="AR72" s="12"/>
      <c r="AS72" s="12"/>
      <c r="AT72" s="12"/>
      <c r="AU72" s="12"/>
      <c r="AV72" s="12"/>
      <c r="AW72" s="12"/>
      <c r="AX72" s="12"/>
      <c r="AY72" s="12"/>
      <c r="AZ72" s="12"/>
      <c r="BA72" s="12"/>
      <c r="BB72" s="12"/>
      <c r="BC72" s="12"/>
      <c r="BD72" s="12"/>
      <c r="BE72" s="12">
        <v>3</v>
      </c>
      <c r="BF72" s="12" t="s">
        <v>381</v>
      </c>
      <c r="BG72" s="12"/>
      <c r="BH72" s="12"/>
      <c r="BI72" s="12">
        <v>2</v>
      </c>
      <c r="BJ72" s="12"/>
      <c r="BK72" s="12" t="s">
        <v>381</v>
      </c>
      <c r="BL72" s="12" t="s">
        <v>381</v>
      </c>
      <c r="BM72" s="12"/>
      <c r="BN72" s="12"/>
      <c r="BO72" s="12"/>
      <c r="BP72" s="12"/>
    </row>
    <row r="73" spans="1:68">
      <c r="A73" s="4" t="s">
        <v>511</v>
      </c>
      <c r="C73" s="4" t="s">
        <v>506</v>
      </c>
      <c r="D73" s="4" t="s">
        <v>512</v>
      </c>
      <c r="E73" s="12" t="s">
        <v>712</v>
      </c>
      <c r="F73" s="12">
        <v>8</v>
      </c>
      <c r="G73" s="12">
        <v>16</v>
      </c>
      <c r="H73" s="59">
        <v>60</v>
      </c>
      <c r="I73" s="28">
        <v>4</v>
      </c>
      <c r="J73" s="12" t="s">
        <v>676</v>
      </c>
      <c r="K73" s="4" t="s">
        <v>674</v>
      </c>
      <c r="L73" s="12">
        <v>2.6</v>
      </c>
      <c r="M73" s="12"/>
      <c r="N73" s="12"/>
      <c r="O73" s="12"/>
      <c r="P73" s="12"/>
      <c r="Q73" s="82"/>
      <c r="R73" s="82"/>
      <c r="S73" s="82"/>
      <c r="T73" s="82"/>
      <c r="U73" s="82"/>
      <c r="V73" s="82"/>
      <c r="W73" s="82"/>
      <c r="X73" s="82"/>
      <c r="Y73" s="82"/>
      <c r="Z73" s="82"/>
      <c r="AA73" s="82"/>
      <c r="AB73" s="82"/>
      <c r="AC73" s="12"/>
      <c r="AD73" s="12"/>
      <c r="AE73" s="12"/>
      <c r="AF73" s="12"/>
      <c r="AG73" s="59">
        <f>2*H73</f>
        <v>120</v>
      </c>
      <c r="AH73" s="12" t="s">
        <v>676</v>
      </c>
      <c r="AI73" s="4" t="s">
        <v>674</v>
      </c>
      <c r="AJ73" s="12" t="s">
        <v>670</v>
      </c>
      <c r="AK73" s="12"/>
      <c r="AL73" s="12"/>
      <c r="AM73" s="12"/>
      <c r="AN73" s="12"/>
      <c r="AO73" s="12"/>
      <c r="AP73" s="12"/>
      <c r="AQ73" s="12"/>
      <c r="AR73" s="12"/>
      <c r="AS73" s="12"/>
      <c r="AT73" s="12"/>
      <c r="AU73" s="12"/>
      <c r="AV73" s="12"/>
      <c r="AW73" s="12"/>
      <c r="AX73" s="12"/>
      <c r="AY73" s="12"/>
      <c r="AZ73" s="12"/>
      <c r="BA73" s="12"/>
      <c r="BB73" s="12"/>
      <c r="BC73" s="12"/>
      <c r="BD73" s="12"/>
      <c r="BE73" s="12">
        <v>2</v>
      </c>
      <c r="BF73" s="12" t="s">
        <v>381</v>
      </c>
      <c r="BG73" s="12"/>
      <c r="BH73" s="12"/>
      <c r="BI73" s="12">
        <v>2</v>
      </c>
      <c r="BJ73" s="12"/>
      <c r="BK73" s="12" t="s">
        <v>381</v>
      </c>
      <c r="BL73" s="12" t="s">
        <v>381</v>
      </c>
      <c r="BM73" s="12"/>
      <c r="BN73" s="12"/>
      <c r="BO73" s="12"/>
      <c r="BP73" s="12"/>
    </row>
    <row r="74" spans="1:68">
      <c r="A74" s="4" t="s">
        <v>514</v>
      </c>
      <c r="C74" s="4" t="s">
        <v>506</v>
      </c>
      <c r="D74" s="4" t="s">
        <v>515</v>
      </c>
      <c r="E74" s="12" t="s">
        <v>713</v>
      </c>
      <c r="F74" s="12">
        <v>10</v>
      </c>
      <c r="G74" s="12">
        <v>10</v>
      </c>
      <c r="H74" s="59">
        <v>30</v>
      </c>
      <c r="I74" s="28">
        <v>4</v>
      </c>
      <c r="J74" s="12" t="s">
        <v>676</v>
      </c>
      <c r="K74" s="4" t="s">
        <v>674</v>
      </c>
      <c r="L74" s="12">
        <v>2.6</v>
      </c>
      <c r="M74" s="12"/>
      <c r="N74" s="12"/>
      <c r="O74" s="12"/>
      <c r="P74" s="12"/>
      <c r="Q74" s="82"/>
      <c r="R74" s="82"/>
      <c r="S74" s="82"/>
      <c r="T74" s="82"/>
      <c r="U74" s="82"/>
      <c r="V74" s="82"/>
      <c r="W74" s="82"/>
      <c r="X74" s="82"/>
      <c r="Y74" s="82"/>
      <c r="Z74" s="82"/>
      <c r="AA74" s="82"/>
      <c r="AB74" s="82"/>
      <c r="AC74" s="12"/>
      <c r="AD74" s="12"/>
      <c r="AE74" s="12"/>
      <c r="AF74" s="12"/>
      <c r="AG74" s="59">
        <f>2*H74</f>
        <v>60</v>
      </c>
      <c r="AH74" s="12" t="s">
        <v>676</v>
      </c>
      <c r="AI74" s="4" t="s">
        <v>674</v>
      </c>
      <c r="AJ74" s="12" t="s">
        <v>670</v>
      </c>
      <c r="AK74" s="12"/>
      <c r="AL74" s="12"/>
      <c r="AM74" s="12"/>
      <c r="AN74" s="12"/>
      <c r="AO74" s="12"/>
      <c r="AP74" s="12"/>
      <c r="AQ74" s="12"/>
      <c r="AR74" s="12"/>
      <c r="AS74" s="12"/>
      <c r="AT74" s="12"/>
      <c r="AU74" s="12"/>
      <c r="AV74" s="12"/>
      <c r="AW74" s="12"/>
      <c r="AX74" s="12"/>
      <c r="AY74" s="12"/>
      <c r="AZ74" s="12"/>
      <c r="BA74" s="12"/>
      <c r="BB74" s="12"/>
      <c r="BC74" s="12"/>
      <c r="BD74" s="12"/>
      <c r="BE74" s="12">
        <v>2</v>
      </c>
      <c r="BF74" s="12" t="s">
        <v>381</v>
      </c>
      <c r="BG74" s="12"/>
      <c r="BH74" s="12"/>
      <c r="BI74" s="12">
        <v>2</v>
      </c>
      <c r="BJ74" s="12"/>
      <c r="BK74" s="12" t="s">
        <v>381</v>
      </c>
      <c r="BL74" s="12" t="s">
        <v>381</v>
      </c>
      <c r="BM74" s="12"/>
      <c r="BN74" s="12"/>
      <c r="BO74" s="12"/>
      <c r="BP74" s="12"/>
    </row>
    <row r="75" spans="1:68">
      <c r="A75" s="4" t="s">
        <v>516</v>
      </c>
      <c r="C75" s="4" t="s">
        <v>506</v>
      </c>
      <c r="D75" s="4" t="s">
        <v>517</v>
      </c>
      <c r="E75" s="12" t="s">
        <v>714</v>
      </c>
      <c r="F75" s="12">
        <v>4</v>
      </c>
      <c r="G75" s="12">
        <v>16</v>
      </c>
      <c r="H75" s="59">
        <v>550</v>
      </c>
      <c r="I75" s="28">
        <v>4</v>
      </c>
      <c r="J75" s="12" t="s">
        <v>676</v>
      </c>
      <c r="K75" s="4" t="s">
        <v>674</v>
      </c>
      <c r="L75" s="12">
        <v>2.6</v>
      </c>
      <c r="M75" s="12"/>
      <c r="N75" s="12"/>
      <c r="O75" s="12"/>
      <c r="P75" s="12"/>
      <c r="R75" s="82"/>
      <c r="T75" s="82"/>
      <c r="U75" s="82"/>
      <c r="V75" s="82"/>
      <c r="W75" s="82"/>
      <c r="X75" s="82"/>
      <c r="Y75" s="82"/>
      <c r="Z75" s="82"/>
      <c r="AA75" s="82"/>
      <c r="AB75" s="82"/>
      <c r="AC75" s="12"/>
      <c r="AD75" s="12"/>
      <c r="AE75" s="12"/>
      <c r="AF75" s="12"/>
      <c r="AG75" s="59">
        <f>2*H75+Q75</f>
        <v>1100</v>
      </c>
      <c r="AH75" s="12" t="s">
        <v>676</v>
      </c>
      <c r="AI75" s="4" t="s">
        <v>674</v>
      </c>
      <c r="AJ75" s="12" t="s">
        <v>670</v>
      </c>
      <c r="AK75" s="12"/>
      <c r="AL75" s="12"/>
      <c r="AM75" s="12"/>
      <c r="AN75" s="12"/>
      <c r="AO75" s="12"/>
      <c r="AP75" s="12"/>
      <c r="AQ75" s="12"/>
      <c r="AR75" s="12"/>
      <c r="AS75" s="12"/>
      <c r="AT75" s="12"/>
      <c r="AU75" s="12"/>
      <c r="AV75" s="12"/>
      <c r="AW75" s="12"/>
      <c r="AX75" s="12"/>
      <c r="AY75" s="12"/>
      <c r="AZ75" s="12"/>
      <c r="BA75" s="12"/>
      <c r="BB75" s="12"/>
      <c r="BC75" s="12"/>
      <c r="BD75" s="12"/>
      <c r="BE75" s="12">
        <v>2</v>
      </c>
      <c r="BF75" s="12" t="s">
        <v>381</v>
      </c>
      <c r="BG75" s="12"/>
      <c r="BH75" s="12"/>
      <c r="BI75" s="12">
        <v>2</v>
      </c>
      <c r="BJ75" s="12"/>
      <c r="BK75" s="12" t="s">
        <v>381</v>
      </c>
      <c r="BL75" s="12" t="s">
        <v>381</v>
      </c>
      <c r="BM75" s="12"/>
      <c r="BN75" s="12"/>
      <c r="BO75" s="12"/>
      <c r="BP75" s="12"/>
    </row>
    <row r="76" spans="1:68">
      <c r="A76" s="17" t="s">
        <v>520</v>
      </c>
      <c r="B76" s="17"/>
      <c r="C76" s="17" t="s">
        <v>506</v>
      </c>
      <c r="D76" s="17" t="s">
        <v>521</v>
      </c>
      <c r="E76" s="15" t="s">
        <v>715</v>
      </c>
      <c r="F76" s="15">
        <v>2</v>
      </c>
      <c r="G76" s="15">
        <v>4</v>
      </c>
      <c r="H76" s="59">
        <v>40</v>
      </c>
      <c r="I76" s="76">
        <v>4</v>
      </c>
      <c r="J76" s="15" t="s">
        <v>676</v>
      </c>
      <c r="K76" s="17" t="s">
        <v>674</v>
      </c>
      <c r="L76" s="15">
        <v>2.6</v>
      </c>
      <c r="M76" s="15"/>
      <c r="N76" s="15"/>
      <c r="O76" s="15"/>
      <c r="P76" s="15"/>
      <c r="Q76" s="36"/>
      <c r="R76" s="36"/>
      <c r="S76" s="17"/>
      <c r="T76" s="36"/>
      <c r="U76" s="36"/>
      <c r="V76" s="36"/>
      <c r="W76" s="36"/>
      <c r="X76" s="36"/>
      <c r="Y76" s="36">
        <v>50</v>
      </c>
      <c r="Z76" s="36" t="s">
        <v>676</v>
      </c>
      <c r="AA76" s="17" t="s">
        <v>674</v>
      </c>
      <c r="AB76" s="36"/>
      <c r="AC76" s="15"/>
      <c r="AD76" s="15"/>
      <c r="AE76" s="15"/>
      <c r="AF76" s="15"/>
      <c r="AG76" s="65">
        <f>H76*2+Y76*2</f>
        <v>180</v>
      </c>
      <c r="AH76" s="15" t="s">
        <v>676</v>
      </c>
      <c r="AI76" s="17" t="s">
        <v>674</v>
      </c>
      <c r="AJ76" s="15" t="s">
        <v>670</v>
      </c>
      <c r="AK76" s="15"/>
      <c r="AL76" s="15"/>
      <c r="AM76" s="15"/>
      <c r="AN76" s="15"/>
      <c r="AO76" s="15"/>
      <c r="AP76" s="15"/>
      <c r="AQ76" s="15"/>
      <c r="AR76" s="15"/>
      <c r="AS76" s="15"/>
      <c r="AT76" s="15"/>
      <c r="AU76" s="15"/>
      <c r="AV76" s="15"/>
      <c r="AW76" s="15"/>
      <c r="AX76" s="15"/>
      <c r="AY76" s="15"/>
      <c r="AZ76" s="15"/>
      <c r="BA76" s="15"/>
      <c r="BB76" s="15"/>
      <c r="BC76" s="15"/>
      <c r="BD76" s="15"/>
      <c r="BE76" s="15">
        <v>3</v>
      </c>
      <c r="BF76" s="15" t="s">
        <v>381</v>
      </c>
      <c r="BG76" s="15"/>
      <c r="BH76" s="15"/>
      <c r="BI76" s="15">
        <v>2</v>
      </c>
      <c r="BJ76" s="15"/>
      <c r="BK76" s="15" t="s">
        <v>381</v>
      </c>
      <c r="BL76" s="15" t="s">
        <v>381</v>
      </c>
      <c r="BM76" s="15"/>
      <c r="BN76" s="15"/>
      <c r="BO76" s="15"/>
      <c r="BP76" s="15"/>
    </row>
    <row r="77" spans="1:68">
      <c r="F77" s="12">
        <f>F67+SUM(F71:F76)</f>
        <v>285</v>
      </c>
      <c r="G77" s="12">
        <f>G67+SUM(G71:G76)</f>
        <v>686</v>
      </c>
      <c r="H77" s="12">
        <f>H67+SUM(H71:H76)</f>
        <v>4873</v>
      </c>
      <c r="I77" s="59"/>
      <c r="J77" s="59"/>
      <c r="K77" s="59"/>
      <c r="L77" s="12">
        <f>L67+SUM(L71:L76)</f>
        <v>1275.0000000000005</v>
      </c>
      <c r="M77" s="12">
        <f>M67+SUM(M71:M76)</f>
        <v>59.4</v>
      </c>
      <c r="N77" s="59"/>
      <c r="O77" s="59"/>
      <c r="P77" s="12">
        <f>P67+SUM(P71:P76)</f>
        <v>0.05</v>
      </c>
      <c r="Q77" s="12">
        <f>Q67+SUM(Q71:Q76)</f>
        <v>1550</v>
      </c>
      <c r="R77" s="59"/>
      <c r="S77" s="59"/>
      <c r="T77" s="12">
        <f>T67+SUM(T71:T76)</f>
        <v>0.05</v>
      </c>
      <c r="U77" s="12">
        <f>U67+SUM(U71:U76)</f>
        <v>2025</v>
      </c>
      <c r="V77" s="59"/>
      <c r="W77" s="59"/>
      <c r="X77" s="12">
        <f>X67+SUM(X71:X76)</f>
        <v>0.05</v>
      </c>
      <c r="Y77" s="12">
        <f>Y67+SUM(Y71:Y76)</f>
        <v>563</v>
      </c>
      <c r="Z77" s="59"/>
      <c r="AA77" s="59"/>
      <c r="AB77" s="12">
        <f>AB67+SUM(AB71:AB76)</f>
        <v>0.1</v>
      </c>
      <c r="AC77" s="12">
        <f>AC67+SUM(AC71:AC76)</f>
        <v>270</v>
      </c>
      <c r="AD77" s="59"/>
      <c r="AE77" s="59"/>
      <c r="AF77" s="12">
        <f>AF67+SUM(AF71:AF76)</f>
        <v>0</v>
      </c>
      <c r="AG77" s="12">
        <f>AG67+SUM(AG71:AG76)</f>
        <v>17065.5</v>
      </c>
      <c r="AH77" s="12"/>
      <c r="AI77" s="12"/>
      <c r="AJ77" s="12"/>
      <c r="AK77" s="12">
        <f>AK67+SUM(AK71:AK76)</f>
        <v>90</v>
      </c>
      <c r="AL77" s="12"/>
      <c r="AM77" s="12"/>
      <c r="AN77" s="12">
        <f>AN67+SUM(AN71:AN76)</f>
        <v>0.1</v>
      </c>
      <c r="AO77" s="12">
        <f>AO67+SUM(AO71:AO76)</f>
        <v>50</v>
      </c>
      <c r="AP77" s="12"/>
      <c r="AQ77" s="12"/>
      <c r="AR77" s="12">
        <f>AR67+SUM(AR71:AR76)</f>
        <v>0.05</v>
      </c>
      <c r="AS77" s="12">
        <f>AS67+SUM(AS71:AS76)</f>
        <v>170</v>
      </c>
      <c r="AT77" s="12"/>
      <c r="AU77" s="12"/>
      <c r="AV77" s="12">
        <f>AV67+SUM(AV71:AV76)</f>
        <v>0.1</v>
      </c>
      <c r="AW77" s="12"/>
      <c r="AX77" s="12"/>
      <c r="AY77" s="12"/>
      <c r="AZ77" s="12"/>
      <c r="BA77" s="12">
        <f>BA67+SUM(BA71:BA76)</f>
        <v>2048</v>
      </c>
      <c r="BB77" s="12"/>
      <c r="BC77" s="12"/>
      <c r="BD77" s="12">
        <f>BD67+SUM(BD71:BD76)</f>
        <v>0.05</v>
      </c>
      <c r="BE77" s="12">
        <f>BE67+SUM(BE71:BE76)</f>
        <v>144</v>
      </c>
      <c r="BF77" s="12">
        <f>BF67+COUNTIF(BF71:BF76,"x")</f>
        <v>57</v>
      </c>
      <c r="BG77" s="12">
        <f>BG67+COUNTIF(BG71:BG76,"x")</f>
        <v>3</v>
      </c>
      <c r="BH77" s="12">
        <f>BH67+COUNTIF(BH71:BH76,"x")</f>
        <v>1</v>
      </c>
      <c r="BI77" s="12">
        <f>BI67+SUM(BI71:BI76)</f>
        <v>114</v>
      </c>
      <c r="BJ77" s="12">
        <f>BJ67+COUNTIF(BJ71:BJ76,"x")</f>
        <v>1</v>
      </c>
      <c r="BK77" s="12">
        <f>BK67+COUNTIF(BK71:BK76,"x")</f>
        <v>27</v>
      </c>
      <c r="BL77" s="12">
        <f>BL67+COUNTIF(BL71:BL76,"x")</f>
        <v>56</v>
      </c>
      <c r="BM77" s="12" t="s">
        <v>697</v>
      </c>
      <c r="BN77" s="12">
        <v>2</v>
      </c>
      <c r="BO77" s="12">
        <v>4</v>
      </c>
      <c r="BP77" s="12">
        <v>2</v>
      </c>
    </row>
    <row r="87" spans="1:3" ht="13">
      <c r="B87" s="6" t="s">
        <v>544</v>
      </c>
    </row>
    <row r="88" spans="1:3">
      <c r="A88" s="27" t="s">
        <v>551</v>
      </c>
      <c r="B88" s="4">
        <v>1350</v>
      </c>
      <c r="C88" s="64"/>
    </row>
    <row r="89" spans="1:3">
      <c r="A89" s="27" t="s">
        <v>579</v>
      </c>
      <c r="B89" s="4">
        <v>1855.79</v>
      </c>
      <c r="C89" s="64"/>
    </row>
  </sheetData>
  <mergeCells count="8">
    <mergeCell ref="A1:D1"/>
    <mergeCell ref="A2:B2"/>
    <mergeCell ref="A3:B3"/>
    <mergeCell ref="F3:G3"/>
    <mergeCell ref="A4:B4"/>
    <mergeCell ref="A5:B5"/>
    <mergeCell ref="A40:B40"/>
    <mergeCell ref="A6:B6"/>
  </mergeCells>
  <phoneticPr fontId="27" type="noConversion"/>
  <dataValidations count="1">
    <dataValidation type="list" allowBlank="1" showInputMessage="1" showErrorMessage="1" sqref="Q11" xr:uid="{76C62100-2415-495F-9106-279F9FBC6CED}">
      <formula1>$B$88:$B$89</formula1>
    </dataValidation>
  </dataValidations>
  <hyperlinks>
    <hyperlink ref="F3:G3" location="Shortcuts!A1" display="Back to shortcuts" xr:uid="{232B4EA7-80C6-4CD1-8A8E-A6FDF446ABD8}"/>
  </hyperlinks>
  <pageMargins left="0.7" right="0.7" top="0.75" bottom="0.75" header="0.3" footer="0.3"/>
  <pageSetup paperSize="9" orientation="portrait" r:id="rId1"/>
  <headerFooter>
    <oddFooter>&amp;C&amp;1#&amp;"Arial"&amp;8&amp;K001753Nokia internal use</oddFooter>
  </headerFooter>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44CC92-5652-4C9D-B3F1-BC52261DD5C3}">
  <sheetPr codeName="Sheet101"/>
  <dimension ref="A1:AS112"/>
  <sheetViews>
    <sheetView zoomScale="83" zoomScaleNormal="83" zoomScalePageLayoutView="70" workbookViewId="0">
      <selection activeCell="G8" sqref="G8"/>
    </sheetView>
  </sheetViews>
  <sheetFormatPr defaultColWidth="8.81640625" defaultRowHeight="12.5"/>
  <cols>
    <col min="1" max="1" width="16.1796875" style="4" customWidth="1"/>
    <col min="2" max="2" width="15" style="4" customWidth="1"/>
    <col min="3" max="3" width="18.1796875" style="4" customWidth="1"/>
    <col min="4" max="4" width="23.1796875" style="4" customWidth="1"/>
    <col min="5" max="5" width="55.1796875" style="4" customWidth="1"/>
    <col min="6" max="6" width="21.81640625" style="4" customWidth="1"/>
    <col min="7" max="7" width="8.81640625" style="4"/>
    <col min="8" max="8" width="21.1796875" style="4" customWidth="1"/>
    <col min="9" max="10" width="8.81640625" style="4"/>
    <col min="11" max="11" width="17.81640625" style="4" customWidth="1"/>
    <col min="12" max="12" width="8.81640625" style="4"/>
    <col min="13" max="13" width="9.81640625" style="4" customWidth="1"/>
    <col min="14" max="14" width="8.81640625" style="4"/>
    <col min="15" max="15" width="11.81640625" style="4" customWidth="1"/>
    <col min="16" max="16" width="8.81640625" style="4"/>
    <col min="17" max="17" width="9.81640625" style="4" customWidth="1"/>
    <col min="18" max="18" width="8.81640625" style="4"/>
    <col min="19" max="19" width="9.81640625" style="4" customWidth="1"/>
    <col min="20" max="20" width="10" style="4" customWidth="1"/>
    <col min="21" max="21" width="9.81640625" style="4" customWidth="1"/>
    <col min="22" max="22" width="8.81640625" style="4"/>
    <col min="23" max="23" width="9.81640625" style="12" customWidth="1"/>
    <col min="24" max="24" width="10.1796875" style="4" customWidth="1"/>
    <col min="25" max="26" width="9.81640625" style="4" customWidth="1"/>
    <col min="27" max="32" width="12.81640625" style="4" customWidth="1"/>
    <col min="33" max="33" width="15.81640625" style="4" customWidth="1"/>
    <col min="34" max="35" width="12.81640625" style="4" customWidth="1"/>
    <col min="36" max="36" width="22" style="4" customWidth="1"/>
    <col min="37" max="37" width="12.1796875" style="4" customWidth="1"/>
    <col min="38" max="38" width="13.1796875" style="4" customWidth="1"/>
    <col min="39" max="16384" width="8.81640625" style="4"/>
  </cols>
  <sheetData>
    <row r="1" spans="1:38" ht="13">
      <c r="A1" s="5" t="s">
        <v>15</v>
      </c>
      <c r="B1" s="5"/>
      <c r="C1" s="5"/>
      <c r="D1" s="5"/>
      <c r="F1" s="5" t="s">
        <v>716</v>
      </c>
    </row>
    <row r="2" spans="1:38" ht="14.5">
      <c r="A2" s="162" t="s">
        <v>355</v>
      </c>
      <c r="B2" s="168"/>
      <c r="C2" s="24"/>
      <c r="D2" s="4" t="s">
        <v>647</v>
      </c>
    </row>
    <row r="3" spans="1:38" ht="14.5">
      <c r="A3" s="162" t="s">
        <v>357</v>
      </c>
      <c r="B3" s="162"/>
      <c r="C3" s="113"/>
      <c r="D3" s="4" t="s">
        <v>459</v>
      </c>
      <c r="F3" s="169" t="s">
        <v>358</v>
      </c>
      <c r="G3" s="169"/>
    </row>
    <row r="4" spans="1:38" ht="13">
      <c r="A4" s="162" t="s">
        <v>359</v>
      </c>
      <c r="B4" s="162"/>
      <c r="C4" s="4" t="s">
        <v>356</v>
      </c>
    </row>
    <row r="5" spans="1:38">
      <c r="A5" s="162" t="s">
        <v>360</v>
      </c>
      <c r="B5" s="162"/>
      <c r="C5" s="33" t="s">
        <v>648</v>
      </c>
    </row>
    <row r="6" spans="1:38">
      <c r="A6" s="162" t="s">
        <v>361</v>
      </c>
      <c r="B6" s="162"/>
    </row>
    <row r="7" spans="1:38" ht="26">
      <c r="A7" s="7" t="s">
        <v>155</v>
      </c>
      <c r="B7" s="7" t="s">
        <v>362</v>
      </c>
      <c r="C7" s="7" t="s">
        <v>363</v>
      </c>
      <c r="D7" s="7" t="s">
        <v>364</v>
      </c>
      <c r="E7" s="7" t="s">
        <v>365</v>
      </c>
      <c r="F7" s="6" t="s">
        <v>129</v>
      </c>
      <c r="G7" s="6" t="s">
        <v>146</v>
      </c>
      <c r="H7" s="6" t="s">
        <v>366</v>
      </c>
      <c r="I7" s="6" t="s">
        <v>149</v>
      </c>
      <c r="J7" s="6" t="s">
        <v>367</v>
      </c>
      <c r="K7" s="6" t="s">
        <v>368</v>
      </c>
      <c r="L7" s="6" t="s">
        <v>170</v>
      </c>
      <c r="M7" s="6" t="s">
        <v>368</v>
      </c>
      <c r="N7" s="6" t="s">
        <v>30</v>
      </c>
      <c r="O7" s="6" t="s">
        <v>368</v>
      </c>
      <c r="P7" s="6" t="s">
        <v>175</v>
      </c>
      <c r="Q7" s="6" t="s">
        <v>368</v>
      </c>
      <c r="R7" s="6" t="s">
        <v>189</v>
      </c>
      <c r="S7" s="6" t="s">
        <v>368</v>
      </c>
      <c r="T7" s="6" t="s">
        <v>194</v>
      </c>
      <c r="U7" s="6" t="s">
        <v>368</v>
      </c>
      <c r="V7" s="6" t="s">
        <v>179</v>
      </c>
      <c r="W7" s="6" t="s">
        <v>368</v>
      </c>
      <c r="X7" s="6" t="s">
        <v>369</v>
      </c>
      <c r="Y7" s="6" t="s">
        <v>368</v>
      </c>
      <c r="Z7" s="6" t="s">
        <v>554</v>
      </c>
      <c r="AA7" s="6" t="s">
        <v>368</v>
      </c>
      <c r="AB7" s="6" t="s">
        <v>371</v>
      </c>
      <c r="AC7" s="6" t="s">
        <v>368</v>
      </c>
      <c r="AD7" s="6" t="s">
        <v>372</v>
      </c>
      <c r="AE7" s="6" t="s">
        <v>368</v>
      </c>
      <c r="AF7" s="6" t="s">
        <v>373</v>
      </c>
      <c r="AG7" s="6" t="s">
        <v>368</v>
      </c>
      <c r="AH7" s="79" t="s">
        <v>467</v>
      </c>
      <c r="AI7" s="6" t="s">
        <v>368</v>
      </c>
      <c r="AJ7" s="6" t="s">
        <v>374</v>
      </c>
      <c r="AK7" s="6" t="s">
        <v>375</v>
      </c>
      <c r="AL7" s="6" t="s">
        <v>376</v>
      </c>
    </row>
    <row r="8" spans="1:38">
      <c r="A8" s="24" t="s">
        <v>377</v>
      </c>
      <c r="B8" s="24"/>
      <c r="C8" s="24" t="s">
        <v>387</v>
      </c>
      <c r="D8" s="24" t="s">
        <v>378</v>
      </c>
      <c r="E8" s="24" t="s">
        <v>19</v>
      </c>
      <c r="F8" s="25">
        <v>4</v>
      </c>
      <c r="G8" s="25">
        <v>16</v>
      </c>
      <c r="H8" s="25">
        <v>0</v>
      </c>
      <c r="I8" s="25">
        <v>351</v>
      </c>
      <c r="J8" s="25">
        <f>G8-H8</f>
        <v>16</v>
      </c>
      <c r="K8" s="25" t="s">
        <v>468</v>
      </c>
      <c r="L8" s="25"/>
      <c r="M8" s="25"/>
      <c r="N8" s="25"/>
      <c r="O8" s="25"/>
      <c r="P8" s="25"/>
      <c r="Q8" s="25"/>
      <c r="R8" s="25"/>
      <c r="S8" s="25"/>
      <c r="T8" s="25"/>
      <c r="U8" s="25"/>
      <c r="V8" s="25"/>
      <c r="W8" s="25"/>
      <c r="X8" s="25"/>
      <c r="Y8" s="25"/>
      <c r="Z8" s="25"/>
      <c r="AA8" s="25"/>
      <c r="AB8" s="25"/>
      <c r="AC8" s="25"/>
      <c r="AD8" s="25"/>
      <c r="AE8" s="25"/>
      <c r="AF8" s="25"/>
      <c r="AG8" s="25"/>
      <c r="AH8" s="12"/>
      <c r="AI8" s="12"/>
      <c r="AJ8" s="25" t="s">
        <v>380</v>
      </c>
      <c r="AK8" s="25" t="s">
        <v>381</v>
      </c>
      <c r="AL8" s="25"/>
    </row>
    <row r="9" spans="1:38">
      <c r="A9" s="4" t="s">
        <v>385</v>
      </c>
      <c r="B9" s="12" t="s">
        <v>386</v>
      </c>
      <c r="C9" s="4" t="s">
        <v>387</v>
      </c>
      <c r="D9" s="4" t="s">
        <v>378</v>
      </c>
      <c r="E9" s="4" t="s">
        <v>27</v>
      </c>
      <c r="F9" s="12">
        <v>6</v>
      </c>
      <c r="G9" s="12">
        <v>6</v>
      </c>
      <c r="H9" s="12">
        <v>6</v>
      </c>
      <c r="I9" s="12">
        <v>41</v>
      </c>
      <c r="J9" s="82">
        <f t="shared" ref="J9:J41" si="0">G9-H9</f>
        <v>0</v>
      </c>
      <c r="K9" s="12" t="s">
        <v>469</v>
      </c>
      <c r="L9" s="12"/>
      <c r="M9" s="12"/>
      <c r="N9" s="12"/>
      <c r="O9" s="12"/>
      <c r="P9" s="12"/>
      <c r="Q9" s="12"/>
      <c r="R9" s="12"/>
      <c r="S9" s="12"/>
      <c r="T9" s="12"/>
      <c r="U9" s="12"/>
      <c r="V9" s="12"/>
      <c r="X9" s="12"/>
      <c r="Y9" s="12"/>
      <c r="Z9" s="12"/>
      <c r="AA9" s="12"/>
      <c r="AB9" s="12"/>
      <c r="AC9" s="12"/>
      <c r="AD9" s="12"/>
      <c r="AE9" s="12"/>
      <c r="AF9" s="12"/>
      <c r="AG9" s="12"/>
      <c r="AH9" s="12"/>
      <c r="AI9" s="12"/>
      <c r="AJ9" s="12" t="s">
        <v>380</v>
      </c>
      <c r="AK9" s="12" t="s">
        <v>381</v>
      </c>
      <c r="AL9" s="12"/>
    </row>
    <row r="10" spans="1:38">
      <c r="A10" s="4" t="s">
        <v>389</v>
      </c>
      <c r="B10" s="12"/>
      <c r="C10" s="4" t="s">
        <v>387</v>
      </c>
      <c r="D10" s="4" t="s">
        <v>378</v>
      </c>
      <c r="E10" s="4" t="s">
        <v>30</v>
      </c>
      <c r="F10" s="12">
        <v>16</v>
      </c>
      <c r="G10" s="105">
        <f>VLOOKUP(N10,B111:G112,3,FALSE)</f>
        <v>90</v>
      </c>
      <c r="H10" s="101">
        <f>G10*82.5/100</f>
        <v>74.25</v>
      </c>
      <c r="I10" s="82">
        <v>117</v>
      </c>
      <c r="J10" s="82">
        <f t="shared" si="0"/>
        <v>15.75</v>
      </c>
      <c r="K10" s="82" t="s">
        <v>470</v>
      </c>
      <c r="L10" s="82">
        <v>130</v>
      </c>
      <c r="M10" s="82" t="s">
        <v>390</v>
      </c>
      <c r="N10" s="105">
        <v>2500</v>
      </c>
      <c r="O10" s="82" t="s">
        <v>391</v>
      </c>
      <c r="P10" s="101">
        <f>VLOOKUP(N10,B111:G112,4,FALSE)</f>
        <v>3750</v>
      </c>
      <c r="Q10" s="82" t="s">
        <v>392</v>
      </c>
      <c r="R10" s="82"/>
      <c r="S10" s="82"/>
      <c r="T10" s="82"/>
      <c r="U10" s="82"/>
      <c r="V10" s="82"/>
      <c r="W10" s="82"/>
      <c r="X10" s="101">
        <f>VLOOKUP(N10,B111:G112,6,FALSE)</f>
        <v>10875</v>
      </c>
      <c r="Y10" s="12" t="s">
        <v>179</v>
      </c>
      <c r="Z10" s="12"/>
      <c r="AA10" s="12"/>
      <c r="AB10" s="12"/>
      <c r="AC10" s="12"/>
      <c r="AD10" s="12"/>
      <c r="AE10" s="12"/>
      <c r="AF10" s="12"/>
      <c r="AG10" s="12"/>
      <c r="AH10" s="12">
        <v>3700</v>
      </c>
      <c r="AI10" s="12" t="s">
        <v>471</v>
      </c>
      <c r="AJ10" s="12" t="s">
        <v>380</v>
      </c>
      <c r="AK10" s="12" t="s">
        <v>381</v>
      </c>
      <c r="AL10" s="12"/>
    </row>
    <row r="11" spans="1:38">
      <c r="A11" s="4" t="s">
        <v>393</v>
      </c>
      <c r="B11" s="12" t="s">
        <v>386</v>
      </c>
      <c r="C11" s="4" t="s">
        <v>387</v>
      </c>
      <c r="D11" s="4" t="s">
        <v>378</v>
      </c>
      <c r="E11" s="4" t="s">
        <v>34</v>
      </c>
      <c r="F11" s="12">
        <v>8</v>
      </c>
      <c r="G11" s="12">
        <v>7</v>
      </c>
      <c r="H11" s="12">
        <v>7</v>
      </c>
      <c r="I11" s="12">
        <v>46</v>
      </c>
      <c r="J11" s="82">
        <f t="shared" si="0"/>
        <v>0</v>
      </c>
      <c r="K11" s="12" t="s">
        <v>472</v>
      </c>
      <c r="L11" s="12"/>
      <c r="M11" s="12"/>
      <c r="N11" s="12"/>
      <c r="O11" s="12"/>
      <c r="P11" s="12"/>
      <c r="Q11" s="12"/>
      <c r="R11" s="82">
        <v>600</v>
      </c>
      <c r="S11" s="12" t="s">
        <v>394</v>
      </c>
      <c r="T11" s="12">
        <v>300</v>
      </c>
      <c r="U11" s="12" t="s">
        <v>194</v>
      </c>
      <c r="V11" s="12"/>
      <c r="X11" s="82">
        <v>500</v>
      </c>
      <c r="Y11" s="12" t="s">
        <v>179</v>
      </c>
      <c r="Z11" s="12"/>
      <c r="AA11" s="12"/>
      <c r="AB11" s="12"/>
      <c r="AC11" s="12"/>
      <c r="AD11" s="12"/>
      <c r="AE11" s="12"/>
      <c r="AF11" s="12"/>
      <c r="AG11" s="12"/>
      <c r="AH11" s="12"/>
      <c r="AI11" s="12"/>
      <c r="AJ11" s="12" t="s">
        <v>380</v>
      </c>
      <c r="AK11" s="12" t="s">
        <v>381</v>
      </c>
      <c r="AL11" s="12"/>
    </row>
    <row r="12" spans="1:38">
      <c r="A12" s="4" t="s">
        <v>395</v>
      </c>
      <c r="C12" s="4" t="s">
        <v>387</v>
      </c>
      <c r="D12" s="4" t="s">
        <v>378</v>
      </c>
      <c r="E12" s="4" t="s">
        <v>38</v>
      </c>
      <c r="F12" s="12">
        <v>2</v>
      </c>
      <c r="G12" s="12">
        <v>3</v>
      </c>
      <c r="H12" s="12">
        <v>0</v>
      </c>
      <c r="I12" s="12">
        <v>31</v>
      </c>
      <c r="J12" s="82">
        <f t="shared" si="0"/>
        <v>3</v>
      </c>
      <c r="K12" s="12" t="s">
        <v>469</v>
      </c>
      <c r="L12" s="12"/>
      <c r="M12" s="12"/>
      <c r="N12" s="12"/>
      <c r="O12" s="12"/>
      <c r="P12" s="12"/>
      <c r="Q12" s="12"/>
      <c r="R12" s="12"/>
      <c r="S12" s="12"/>
      <c r="T12" s="12"/>
      <c r="U12" s="12"/>
      <c r="V12" s="12"/>
      <c r="X12" s="12"/>
      <c r="Y12" s="12"/>
      <c r="Z12" s="12"/>
      <c r="AA12" s="12"/>
      <c r="AB12" s="12"/>
      <c r="AC12" s="12"/>
      <c r="AD12" s="12"/>
      <c r="AE12" s="12"/>
      <c r="AF12" s="12"/>
      <c r="AG12" s="12"/>
      <c r="AH12" s="12"/>
      <c r="AI12" s="12"/>
      <c r="AJ12" s="12" t="s">
        <v>396</v>
      </c>
      <c r="AK12" s="12" t="s">
        <v>397</v>
      </c>
      <c r="AL12" s="12" t="s">
        <v>381</v>
      </c>
    </row>
    <row r="13" spans="1:38">
      <c r="A13" s="4" t="s">
        <v>398</v>
      </c>
      <c r="C13" s="4" t="s">
        <v>387</v>
      </c>
      <c r="D13" s="4" t="s">
        <v>378</v>
      </c>
      <c r="E13" s="4" t="s">
        <v>42</v>
      </c>
      <c r="F13" s="12">
        <v>2</v>
      </c>
      <c r="G13" s="12">
        <v>5</v>
      </c>
      <c r="H13" s="12">
        <v>0</v>
      </c>
      <c r="I13" s="12">
        <v>31</v>
      </c>
      <c r="J13" s="82">
        <f t="shared" si="0"/>
        <v>5</v>
      </c>
      <c r="K13" s="12" t="s">
        <v>470</v>
      </c>
      <c r="L13" s="12"/>
      <c r="M13" s="12"/>
      <c r="N13" s="12"/>
      <c r="O13" s="12"/>
      <c r="P13" s="12"/>
      <c r="Q13" s="12"/>
      <c r="R13" s="12"/>
      <c r="S13" s="12"/>
      <c r="T13" s="12"/>
      <c r="U13" s="12"/>
      <c r="V13" s="12"/>
      <c r="X13" s="12"/>
      <c r="Y13" s="12"/>
      <c r="Z13" s="12"/>
      <c r="AA13" s="12"/>
      <c r="AB13" s="12"/>
      <c r="AC13" s="12"/>
      <c r="AD13" s="12"/>
      <c r="AE13" s="12"/>
      <c r="AF13" s="12"/>
      <c r="AG13" s="12"/>
      <c r="AH13" s="12"/>
      <c r="AI13" s="12"/>
      <c r="AJ13" s="12" t="s">
        <v>380</v>
      </c>
      <c r="AK13" s="12" t="s">
        <v>381</v>
      </c>
      <c r="AL13" s="12"/>
    </row>
    <row r="14" spans="1:38">
      <c r="A14" s="4" t="s">
        <v>399</v>
      </c>
      <c r="C14" s="4" t="s">
        <v>387</v>
      </c>
      <c r="D14" s="4" t="s">
        <v>378</v>
      </c>
      <c r="E14" s="4" t="s">
        <v>555</v>
      </c>
      <c r="F14" s="12">
        <v>3</v>
      </c>
      <c r="G14" s="12">
        <v>6</v>
      </c>
      <c r="H14" s="12">
        <v>0</v>
      </c>
      <c r="I14" s="12">
        <v>41</v>
      </c>
      <c r="J14" s="82">
        <f t="shared" si="0"/>
        <v>6</v>
      </c>
      <c r="K14" s="12" t="s">
        <v>472</v>
      </c>
      <c r="L14" s="12"/>
      <c r="M14" s="12"/>
      <c r="N14" s="12"/>
      <c r="O14" s="12"/>
      <c r="P14" s="12"/>
      <c r="Q14" s="12"/>
      <c r="R14" s="12"/>
      <c r="S14" s="12"/>
      <c r="T14" s="12"/>
      <c r="U14" s="12"/>
      <c r="V14" s="12"/>
      <c r="X14" s="12"/>
      <c r="Y14" s="12"/>
      <c r="Z14" s="12"/>
      <c r="AA14" s="12"/>
      <c r="AB14" s="12"/>
      <c r="AC14" s="12"/>
      <c r="AD14" s="12"/>
      <c r="AE14" s="12"/>
      <c r="AF14" s="12"/>
      <c r="AG14" s="12"/>
      <c r="AH14" s="12"/>
      <c r="AI14" s="12"/>
      <c r="AJ14" s="12" t="s">
        <v>396</v>
      </c>
      <c r="AK14" s="12" t="s">
        <v>397</v>
      </c>
      <c r="AL14" s="12"/>
    </row>
    <row r="15" spans="1:38">
      <c r="A15" s="4" t="s">
        <v>401</v>
      </c>
      <c r="C15" s="4" t="s">
        <v>387</v>
      </c>
      <c r="D15" s="4" t="s">
        <v>378</v>
      </c>
      <c r="E15" s="4" t="s">
        <v>402</v>
      </c>
      <c r="F15" s="12">
        <v>5</v>
      </c>
      <c r="G15" s="12">
        <v>7</v>
      </c>
      <c r="H15" s="12">
        <v>0</v>
      </c>
      <c r="I15" s="12">
        <v>56</v>
      </c>
      <c r="J15" s="82">
        <f t="shared" si="0"/>
        <v>7</v>
      </c>
      <c r="K15" s="12" t="s">
        <v>469</v>
      </c>
      <c r="L15" s="12"/>
      <c r="M15" s="12"/>
      <c r="N15" s="12"/>
      <c r="O15" s="12"/>
      <c r="P15" s="12"/>
      <c r="Q15" s="12"/>
      <c r="R15" s="12"/>
      <c r="S15" s="12"/>
      <c r="T15" s="12"/>
      <c r="U15" s="12"/>
      <c r="V15" s="12"/>
      <c r="X15" s="12"/>
      <c r="Y15" s="12"/>
      <c r="Z15" s="12"/>
      <c r="AA15" s="12"/>
      <c r="AB15" s="12"/>
      <c r="AC15" s="12"/>
      <c r="AD15" s="12"/>
      <c r="AE15" s="12"/>
      <c r="AF15" s="12"/>
      <c r="AG15" s="12"/>
      <c r="AH15" s="12"/>
      <c r="AI15" s="12"/>
      <c r="AJ15" s="12" t="s">
        <v>396</v>
      </c>
      <c r="AK15" s="12" t="s">
        <v>397</v>
      </c>
      <c r="AL15" s="12"/>
    </row>
    <row r="16" spans="1:38">
      <c r="A16" s="4" t="s">
        <v>403</v>
      </c>
      <c r="C16" s="4" t="s">
        <v>387</v>
      </c>
      <c r="D16" s="4" t="s">
        <v>378</v>
      </c>
      <c r="E16" s="4" t="s">
        <v>54</v>
      </c>
      <c r="F16" s="12">
        <v>8</v>
      </c>
      <c r="G16" s="12">
        <v>13</v>
      </c>
      <c r="H16" s="12">
        <v>0</v>
      </c>
      <c r="I16" s="12">
        <v>81</v>
      </c>
      <c r="J16" s="82">
        <f t="shared" si="0"/>
        <v>13</v>
      </c>
      <c r="K16" s="12" t="s">
        <v>470</v>
      </c>
      <c r="L16" s="12"/>
      <c r="M16" s="12"/>
      <c r="N16" s="12"/>
      <c r="O16" s="12"/>
      <c r="P16" s="12"/>
      <c r="Q16" s="12"/>
      <c r="R16" s="12"/>
      <c r="S16" s="12"/>
      <c r="T16" s="12"/>
      <c r="U16" s="12"/>
      <c r="V16" s="12"/>
      <c r="X16" s="12"/>
      <c r="Y16" s="12"/>
      <c r="Z16" s="12"/>
      <c r="AA16" s="12"/>
      <c r="AB16" s="12"/>
      <c r="AC16" s="12"/>
      <c r="AD16" s="12"/>
      <c r="AE16" s="12"/>
      <c r="AF16" s="12"/>
      <c r="AG16" s="12"/>
      <c r="AH16" s="12"/>
      <c r="AI16" s="12"/>
      <c r="AJ16" s="12" t="s">
        <v>396</v>
      </c>
      <c r="AK16" s="12" t="s">
        <v>397</v>
      </c>
      <c r="AL16" s="12"/>
    </row>
    <row r="17" spans="1:38">
      <c r="A17" s="4" t="s">
        <v>404</v>
      </c>
      <c r="C17" s="4" t="s">
        <v>387</v>
      </c>
      <c r="D17" s="4" t="s">
        <v>378</v>
      </c>
      <c r="E17" s="4" t="s">
        <v>58</v>
      </c>
      <c r="F17" s="12">
        <v>4</v>
      </c>
      <c r="G17" s="12">
        <v>4</v>
      </c>
      <c r="H17" s="12">
        <v>0</v>
      </c>
      <c r="I17" s="12">
        <v>31</v>
      </c>
      <c r="J17" s="82">
        <f t="shared" si="0"/>
        <v>4</v>
      </c>
      <c r="K17" s="12" t="s">
        <v>472</v>
      </c>
      <c r="L17" s="12"/>
      <c r="M17" s="12"/>
      <c r="N17" s="12"/>
      <c r="O17" s="12"/>
      <c r="P17" s="12"/>
      <c r="Q17" s="12"/>
      <c r="R17" s="12"/>
      <c r="S17" s="12"/>
      <c r="T17" s="12"/>
      <c r="U17" s="12"/>
      <c r="V17" s="12"/>
      <c r="X17" s="12"/>
      <c r="Y17" s="12"/>
      <c r="Z17" s="12"/>
      <c r="AA17" s="12"/>
      <c r="AB17" s="12"/>
      <c r="AC17" s="12"/>
      <c r="AD17" s="12"/>
      <c r="AE17" s="12"/>
      <c r="AF17" s="12"/>
      <c r="AG17" s="12"/>
      <c r="AH17" s="12"/>
      <c r="AI17" s="12"/>
      <c r="AJ17" s="12" t="s">
        <v>396</v>
      </c>
      <c r="AK17" s="12" t="s">
        <v>397</v>
      </c>
      <c r="AL17" s="12" t="s">
        <v>381</v>
      </c>
    </row>
    <row r="18" spans="1:38">
      <c r="A18" s="4" t="s">
        <v>405</v>
      </c>
      <c r="C18" s="4" t="s">
        <v>387</v>
      </c>
      <c r="D18" s="4" t="s">
        <v>378</v>
      </c>
      <c r="E18" s="4" t="s">
        <v>406</v>
      </c>
      <c r="F18" s="12">
        <v>8</v>
      </c>
      <c r="G18" s="12">
        <v>13</v>
      </c>
      <c r="H18" s="12">
        <v>0</v>
      </c>
      <c r="I18" s="12">
        <v>109</v>
      </c>
      <c r="J18" s="82">
        <f t="shared" si="0"/>
        <v>13</v>
      </c>
      <c r="K18" s="12" t="s">
        <v>469</v>
      </c>
      <c r="L18" s="12"/>
      <c r="M18" s="12"/>
      <c r="N18" s="12"/>
      <c r="O18" s="12"/>
      <c r="P18" s="12"/>
      <c r="Q18" s="12"/>
      <c r="R18" s="12"/>
      <c r="S18" s="12"/>
      <c r="T18" s="12"/>
      <c r="U18" s="12"/>
      <c r="V18" s="12"/>
      <c r="X18" s="12"/>
      <c r="Y18" s="12"/>
      <c r="Z18" s="12"/>
      <c r="AA18" s="12"/>
      <c r="AB18" s="12">
        <v>50</v>
      </c>
      <c r="AC18" s="12" t="s">
        <v>472</v>
      </c>
      <c r="AD18" s="12"/>
      <c r="AE18" s="12"/>
      <c r="AF18" s="12"/>
      <c r="AG18" s="12"/>
      <c r="AH18" s="12"/>
      <c r="AI18" s="12"/>
      <c r="AJ18" s="12" t="s">
        <v>380</v>
      </c>
      <c r="AK18" s="12" t="s">
        <v>381</v>
      </c>
      <c r="AL18" s="12"/>
    </row>
    <row r="19" spans="1:38">
      <c r="A19" s="4" t="s">
        <v>407</v>
      </c>
      <c r="C19" s="4" t="s">
        <v>387</v>
      </c>
      <c r="D19" s="4" t="s">
        <v>378</v>
      </c>
      <c r="E19" s="4" t="s">
        <v>65</v>
      </c>
      <c r="F19" s="12">
        <v>6</v>
      </c>
      <c r="G19" s="12">
        <v>8</v>
      </c>
      <c r="H19" s="12">
        <v>0</v>
      </c>
      <c r="I19" s="12">
        <v>131</v>
      </c>
      <c r="J19" s="82">
        <f t="shared" si="0"/>
        <v>8</v>
      </c>
      <c r="K19" s="12" t="s">
        <v>470</v>
      </c>
      <c r="L19" s="12"/>
      <c r="M19" s="12"/>
      <c r="N19" s="12"/>
      <c r="O19" s="12"/>
      <c r="P19" s="12"/>
      <c r="Q19" s="12"/>
      <c r="R19" s="12"/>
      <c r="S19" s="12"/>
      <c r="T19" s="12"/>
      <c r="U19" s="12"/>
      <c r="V19" s="12"/>
      <c r="X19" s="12"/>
      <c r="Y19" s="12"/>
      <c r="Z19" s="12"/>
      <c r="AA19" s="12"/>
      <c r="AB19" s="12"/>
      <c r="AC19" s="12"/>
      <c r="AD19" s="12"/>
      <c r="AE19" s="12"/>
      <c r="AF19" s="12"/>
      <c r="AG19" s="12"/>
      <c r="AH19" s="12"/>
      <c r="AI19" s="12"/>
      <c r="AJ19" s="12" t="s">
        <v>396</v>
      </c>
      <c r="AK19" s="12" t="s">
        <v>397</v>
      </c>
      <c r="AL19" s="12"/>
    </row>
    <row r="20" spans="1:38">
      <c r="A20" s="4" t="s">
        <v>408</v>
      </c>
      <c r="C20" s="4" t="s">
        <v>387</v>
      </c>
      <c r="D20" s="4" t="s">
        <v>378</v>
      </c>
      <c r="E20" s="4" t="s">
        <v>69</v>
      </c>
      <c r="F20" s="12">
        <v>6</v>
      </c>
      <c r="G20" s="12">
        <v>7</v>
      </c>
      <c r="H20" s="12">
        <v>0</v>
      </c>
      <c r="I20" s="12">
        <v>61</v>
      </c>
      <c r="J20" s="82">
        <f t="shared" si="0"/>
        <v>7</v>
      </c>
      <c r="K20" s="12" t="s">
        <v>472</v>
      </c>
      <c r="L20" s="12"/>
      <c r="M20" s="12"/>
      <c r="N20" s="12"/>
      <c r="O20" s="12"/>
      <c r="P20" s="12"/>
      <c r="Q20" s="12"/>
      <c r="R20" s="12"/>
      <c r="S20" s="12"/>
      <c r="T20" s="12"/>
      <c r="U20" s="12"/>
      <c r="V20" s="12"/>
      <c r="X20" s="12"/>
      <c r="Y20" s="12"/>
      <c r="Z20" s="12"/>
      <c r="AA20" s="12"/>
      <c r="AB20" s="12"/>
      <c r="AC20" s="12"/>
      <c r="AD20" s="12"/>
      <c r="AE20" s="12"/>
      <c r="AF20" s="12"/>
      <c r="AG20" s="12"/>
      <c r="AH20" s="12"/>
      <c r="AI20" s="12"/>
      <c r="AJ20" s="12" t="s">
        <v>380</v>
      </c>
      <c r="AK20" s="12" t="s">
        <v>381</v>
      </c>
      <c r="AL20" s="12"/>
    </row>
    <row r="21" spans="1:38">
      <c r="A21" s="4" t="s">
        <v>409</v>
      </c>
      <c r="C21" s="4" t="s">
        <v>387</v>
      </c>
      <c r="D21" s="4" t="s">
        <v>378</v>
      </c>
      <c r="E21" s="4" t="s">
        <v>69</v>
      </c>
      <c r="F21" s="12">
        <v>6</v>
      </c>
      <c r="G21" s="12">
        <v>7</v>
      </c>
      <c r="H21" s="12">
        <v>0</v>
      </c>
      <c r="I21" s="12">
        <v>61</v>
      </c>
      <c r="J21" s="82">
        <f t="shared" si="0"/>
        <v>7</v>
      </c>
      <c r="K21" s="12" t="s">
        <v>469</v>
      </c>
      <c r="L21" s="12"/>
      <c r="M21" s="12"/>
      <c r="N21" s="12"/>
      <c r="O21" s="12"/>
      <c r="P21" s="12"/>
      <c r="Q21" s="12"/>
      <c r="R21" s="12"/>
      <c r="S21" s="12"/>
      <c r="T21" s="12"/>
      <c r="U21" s="12"/>
      <c r="V21" s="12"/>
      <c r="X21" s="12"/>
      <c r="Y21" s="12"/>
      <c r="Z21" s="12"/>
      <c r="AA21" s="12"/>
      <c r="AB21" s="12"/>
      <c r="AC21" s="12"/>
      <c r="AD21" s="12"/>
      <c r="AE21" s="12"/>
      <c r="AF21" s="12"/>
      <c r="AG21" s="12"/>
      <c r="AH21" s="12"/>
      <c r="AI21" s="12"/>
      <c r="AJ21" s="12" t="s">
        <v>380</v>
      </c>
      <c r="AK21" s="12" t="s">
        <v>381</v>
      </c>
      <c r="AL21" s="12"/>
    </row>
    <row r="22" spans="1:38">
      <c r="A22" s="4" t="s">
        <v>410</v>
      </c>
      <c r="C22" s="4" t="s">
        <v>387</v>
      </c>
      <c r="D22" s="4" t="s">
        <v>378</v>
      </c>
      <c r="E22" s="4" t="s">
        <v>73</v>
      </c>
      <c r="F22" s="12">
        <v>6</v>
      </c>
      <c r="G22" s="12">
        <v>13</v>
      </c>
      <c r="H22" s="12">
        <v>0</v>
      </c>
      <c r="I22" s="12">
        <v>56</v>
      </c>
      <c r="J22" s="82">
        <f t="shared" si="0"/>
        <v>13</v>
      </c>
      <c r="K22" s="12" t="s">
        <v>470</v>
      </c>
      <c r="L22" s="12"/>
      <c r="M22" s="12"/>
      <c r="N22" s="12"/>
      <c r="O22" s="12"/>
      <c r="P22" s="12"/>
      <c r="Q22" s="12"/>
      <c r="R22" s="12"/>
      <c r="S22" s="12"/>
      <c r="T22" s="12"/>
      <c r="U22" s="12"/>
      <c r="V22" s="12"/>
      <c r="X22" s="12"/>
      <c r="Y22" s="12"/>
      <c r="Z22" s="12"/>
      <c r="AA22" s="12"/>
      <c r="AB22" s="12"/>
      <c r="AC22" s="12"/>
      <c r="AD22" s="12">
        <v>85</v>
      </c>
      <c r="AE22" s="12" t="s">
        <v>470</v>
      </c>
      <c r="AF22" s="12"/>
      <c r="AG22" s="12"/>
      <c r="AH22" s="12"/>
      <c r="AI22" s="12"/>
      <c r="AJ22" s="12" t="s">
        <v>380</v>
      </c>
      <c r="AK22" s="12" t="s">
        <v>381</v>
      </c>
      <c r="AL22" s="12"/>
    </row>
    <row r="23" spans="1:38">
      <c r="A23" s="4" t="s">
        <v>411</v>
      </c>
      <c r="C23" s="4" t="s">
        <v>387</v>
      </c>
      <c r="D23" s="4" t="s">
        <v>378</v>
      </c>
      <c r="E23" s="4" t="s">
        <v>77</v>
      </c>
      <c r="F23" s="12">
        <v>6</v>
      </c>
      <c r="G23" s="12">
        <v>13</v>
      </c>
      <c r="H23" s="12">
        <v>0</v>
      </c>
      <c r="I23" s="12">
        <v>56</v>
      </c>
      <c r="J23" s="82">
        <f t="shared" si="0"/>
        <v>13</v>
      </c>
      <c r="K23" s="12" t="s">
        <v>472</v>
      </c>
      <c r="L23" s="12"/>
      <c r="M23" s="12"/>
      <c r="N23" s="12"/>
      <c r="O23" s="12"/>
      <c r="P23" s="12"/>
      <c r="Q23" s="12"/>
      <c r="R23" s="12"/>
      <c r="S23" s="12"/>
      <c r="T23" s="12"/>
      <c r="U23" s="12"/>
      <c r="V23" s="12"/>
      <c r="X23" s="12"/>
      <c r="Y23" s="12"/>
      <c r="Z23" s="12"/>
      <c r="AA23" s="12"/>
      <c r="AB23" s="12"/>
      <c r="AC23" s="12"/>
      <c r="AD23" s="12">
        <v>85</v>
      </c>
      <c r="AE23" s="12" t="s">
        <v>472</v>
      </c>
      <c r="AF23" s="12"/>
      <c r="AG23" s="12"/>
      <c r="AH23" s="12"/>
      <c r="AI23" s="12"/>
      <c r="AJ23" s="12" t="s">
        <v>380</v>
      </c>
      <c r="AK23" s="12" t="s">
        <v>381</v>
      </c>
      <c r="AL23" s="12"/>
    </row>
    <row r="24" spans="1:38">
      <c r="A24" s="4" t="s">
        <v>433</v>
      </c>
      <c r="C24" s="4" t="s">
        <v>387</v>
      </c>
      <c r="D24" s="4" t="s">
        <v>378</v>
      </c>
      <c r="E24" s="4" t="s">
        <v>81</v>
      </c>
      <c r="F24" s="12">
        <v>6</v>
      </c>
      <c r="G24" s="12">
        <v>9</v>
      </c>
      <c r="H24" s="12">
        <v>0</v>
      </c>
      <c r="I24" s="12">
        <v>41</v>
      </c>
      <c r="J24" s="82">
        <f t="shared" si="0"/>
        <v>9</v>
      </c>
      <c r="K24" s="12" t="s">
        <v>469</v>
      </c>
      <c r="L24" s="12"/>
      <c r="M24" s="12"/>
      <c r="N24" s="12"/>
      <c r="O24" s="12"/>
      <c r="P24" s="12"/>
      <c r="Q24" s="12"/>
      <c r="R24" s="12"/>
      <c r="S24" s="12"/>
      <c r="T24" s="12"/>
      <c r="U24" s="12"/>
      <c r="V24" s="12"/>
      <c r="X24" s="12"/>
      <c r="Y24" s="12"/>
      <c r="Z24" s="12"/>
      <c r="AA24" s="12"/>
      <c r="AB24" s="12"/>
      <c r="AC24" s="12"/>
      <c r="AD24" s="12"/>
      <c r="AE24" s="12"/>
      <c r="AF24" s="12"/>
      <c r="AG24" s="12"/>
      <c r="AH24" s="12"/>
      <c r="AI24" s="12"/>
      <c r="AJ24" s="12" t="s">
        <v>380</v>
      </c>
      <c r="AK24" s="12" t="s">
        <v>381</v>
      </c>
      <c r="AL24" s="12"/>
    </row>
    <row r="25" spans="1:38">
      <c r="A25" s="4" t="s">
        <v>435</v>
      </c>
      <c r="C25" s="4" t="s">
        <v>387</v>
      </c>
      <c r="D25" s="4" t="s">
        <v>378</v>
      </c>
      <c r="E25" s="4" t="s">
        <v>81</v>
      </c>
      <c r="F25" s="12">
        <v>6</v>
      </c>
      <c r="G25" s="12">
        <v>9</v>
      </c>
      <c r="H25" s="12">
        <v>0</v>
      </c>
      <c r="I25" s="12">
        <v>41</v>
      </c>
      <c r="J25" s="82">
        <f t="shared" si="0"/>
        <v>9</v>
      </c>
      <c r="K25" s="12" t="s">
        <v>470</v>
      </c>
      <c r="L25" s="12"/>
      <c r="M25" s="12"/>
      <c r="N25" s="12"/>
      <c r="O25" s="12"/>
      <c r="P25" s="12"/>
      <c r="Q25" s="12"/>
      <c r="R25" s="12"/>
      <c r="S25" s="12"/>
      <c r="T25" s="12"/>
      <c r="U25" s="12"/>
      <c r="V25" s="12"/>
      <c r="X25" s="12"/>
      <c r="Y25" s="12"/>
      <c r="Z25" s="12"/>
      <c r="AA25" s="12"/>
      <c r="AB25" s="12"/>
      <c r="AC25" s="12"/>
      <c r="AD25" s="12"/>
      <c r="AE25" s="12"/>
      <c r="AF25" s="12"/>
      <c r="AG25" s="12"/>
      <c r="AH25" s="12"/>
      <c r="AI25" s="12"/>
      <c r="AJ25" s="12" t="s">
        <v>380</v>
      </c>
      <c r="AK25" s="12" t="s">
        <v>381</v>
      </c>
      <c r="AL25" s="12"/>
    </row>
    <row r="26" spans="1:38">
      <c r="A26" s="4" t="s">
        <v>557</v>
      </c>
      <c r="C26" s="4" t="s">
        <v>387</v>
      </c>
      <c r="D26" s="4" t="s">
        <v>378</v>
      </c>
      <c r="E26" s="4" t="s">
        <v>85</v>
      </c>
      <c r="F26" s="12">
        <v>8</v>
      </c>
      <c r="G26" s="12">
        <v>36</v>
      </c>
      <c r="H26" s="12">
        <v>36</v>
      </c>
      <c r="I26" s="12">
        <v>136</v>
      </c>
      <c r="J26" s="82">
        <f t="shared" si="0"/>
        <v>0</v>
      </c>
      <c r="K26" s="12" t="s">
        <v>472</v>
      </c>
      <c r="L26" s="12"/>
      <c r="M26" s="12"/>
      <c r="N26" s="12"/>
      <c r="O26" s="12"/>
      <c r="P26" s="12"/>
      <c r="Q26" s="12"/>
      <c r="R26" s="12"/>
      <c r="S26" s="12"/>
      <c r="T26" s="12"/>
      <c r="U26" s="12"/>
      <c r="V26" s="12"/>
      <c r="X26" s="12"/>
      <c r="Y26" s="12"/>
      <c r="Z26" s="12"/>
      <c r="AA26" s="12"/>
      <c r="AB26" s="12"/>
      <c r="AC26" s="12"/>
      <c r="AD26" s="12"/>
      <c r="AE26" s="12"/>
      <c r="AF26" s="12"/>
      <c r="AG26" s="12"/>
      <c r="AH26" s="12"/>
      <c r="AI26" s="12"/>
      <c r="AJ26" s="12" t="s">
        <v>396</v>
      </c>
      <c r="AK26" s="12" t="s">
        <v>397</v>
      </c>
      <c r="AL26" s="12"/>
    </row>
    <row r="27" spans="1:38">
      <c r="A27" s="4" t="s">
        <v>558</v>
      </c>
      <c r="C27" s="4" t="s">
        <v>387</v>
      </c>
      <c r="D27" s="4" t="s">
        <v>378</v>
      </c>
      <c r="E27" s="4" t="s">
        <v>85</v>
      </c>
      <c r="F27" s="12">
        <v>8</v>
      </c>
      <c r="G27" s="12">
        <v>36</v>
      </c>
      <c r="H27" s="12">
        <v>36</v>
      </c>
      <c r="I27" s="12">
        <v>136</v>
      </c>
      <c r="J27" s="82">
        <f t="shared" si="0"/>
        <v>0</v>
      </c>
      <c r="K27" s="12" t="s">
        <v>469</v>
      </c>
      <c r="L27" s="12"/>
      <c r="M27" s="12"/>
      <c r="N27" s="12"/>
      <c r="O27" s="12"/>
      <c r="P27" s="12"/>
      <c r="Q27" s="12"/>
      <c r="R27" s="12"/>
      <c r="S27" s="12"/>
      <c r="T27" s="12"/>
      <c r="U27" s="12"/>
      <c r="V27" s="12"/>
      <c r="X27" s="12"/>
      <c r="Y27" s="12"/>
      <c r="Z27" s="12"/>
      <c r="AA27" s="12"/>
      <c r="AB27" s="12"/>
      <c r="AC27" s="12"/>
      <c r="AD27" s="12"/>
      <c r="AE27" s="12"/>
      <c r="AF27" s="12"/>
      <c r="AG27" s="12"/>
      <c r="AH27" s="12"/>
      <c r="AI27" s="12"/>
      <c r="AJ27" s="12" t="s">
        <v>396</v>
      </c>
      <c r="AK27" s="12" t="s">
        <v>397</v>
      </c>
      <c r="AL27" s="12"/>
    </row>
    <row r="28" spans="1:38">
      <c r="A28" s="4" t="s">
        <v>559</v>
      </c>
      <c r="C28" s="4" t="s">
        <v>387</v>
      </c>
      <c r="D28" s="4" t="s">
        <v>378</v>
      </c>
      <c r="E28" s="4" t="s">
        <v>85</v>
      </c>
      <c r="F28" s="12">
        <v>8</v>
      </c>
      <c r="G28" s="12">
        <v>36</v>
      </c>
      <c r="H28" s="12">
        <v>36</v>
      </c>
      <c r="I28" s="12">
        <v>136</v>
      </c>
      <c r="J28" s="82">
        <f t="shared" si="0"/>
        <v>0</v>
      </c>
      <c r="K28" s="12" t="s">
        <v>470</v>
      </c>
      <c r="L28" s="12"/>
      <c r="M28" s="12"/>
      <c r="N28" s="12"/>
      <c r="O28" s="12"/>
      <c r="P28" s="12"/>
      <c r="Q28" s="12"/>
      <c r="R28" s="12"/>
      <c r="S28" s="12"/>
      <c r="T28" s="12"/>
      <c r="U28" s="12"/>
      <c r="V28" s="12"/>
      <c r="X28" s="12"/>
      <c r="Y28" s="12"/>
      <c r="Z28" s="12"/>
      <c r="AA28" s="12"/>
      <c r="AB28" s="12"/>
      <c r="AC28" s="12"/>
      <c r="AD28" s="12"/>
      <c r="AE28" s="12"/>
      <c r="AF28" s="12"/>
      <c r="AG28" s="12"/>
      <c r="AH28" s="12"/>
      <c r="AI28" s="12"/>
      <c r="AJ28" s="12" t="s">
        <v>396</v>
      </c>
      <c r="AK28" s="12" t="s">
        <v>397</v>
      </c>
      <c r="AL28" s="12"/>
    </row>
    <row r="29" spans="1:38">
      <c r="A29" s="4" t="s">
        <v>560</v>
      </c>
      <c r="C29" s="4" t="s">
        <v>387</v>
      </c>
      <c r="D29" s="4" t="s">
        <v>378</v>
      </c>
      <c r="E29" s="4" t="s">
        <v>85</v>
      </c>
      <c r="F29" s="12">
        <v>8</v>
      </c>
      <c r="G29" s="12">
        <v>36</v>
      </c>
      <c r="H29" s="12">
        <v>36</v>
      </c>
      <c r="I29" s="12">
        <v>136</v>
      </c>
      <c r="J29" s="82">
        <f t="shared" si="0"/>
        <v>0</v>
      </c>
      <c r="K29" s="12" t="s">
        <v>472</v>
      </c>
      <c r="L29" s="12"/>
      <c r="M29" s="12"/>
      <c r="N29" s="12"/>
      <c r="O29" s="12"/>
      <c r="P29" s="12"/>
      <c r="Q29" s="12"/>
      <c r="R29" s="12"/>
      <c r="S29" s="12"/>
      <c r="T29" s="12"/>
      <c r="U29" s="12"/>
      <c r="V29" s="12"/>
      <c r="X29" s="12"/>
      <c r="Y29" s="12"/>
      <c r="Z29" s="12"/>
      <c r="AA29" s="12"/>
      <c r="AB29" s="12"/>
      <c r="AC29" s="12"/>
      <c r="AD29" s="12"/>
      <c r="AE29" s="12"/>
      <c r="AF29" s="12"/>
      <c r="AG29" s="12"/>
      <c r="AH29" s="12"/>
      <c r="AI29" s="12"/>
      <c r="AJ29" s="12" t="s">
        <v>396</v>
      </c>
      <c r="AK29" s="12" t="s">
        <v>397</v>
      </c>
      <c r="AL29" s="12"/>
    </row>
    <row r="30" spans="1:38">
      <c r="A30" s="4" t="s">
        <v>566</v>
      </c>
      <c r="C30" s="4" t="s">
        <v>387</v>
      </c>
      <c r="D30" s="4" t="s">
        <v>378</v>
      </c>
      <c r="E30" s="4" t="s">
        <v>85</v>
      </c>
      <c r="F30" s="12">
        <v>8</v>
      </c>
      <c r="G30" s="12">
        <v>36</v>
      </c>
      <c r="H30" s="12">
        <v>36</v>
      </c>
      <c r="I30" s="12">
        <v>136</v>
      </c>
      <c r="J30" s="82">
        <f t="shared" si="0"/>
        <v>0</v>
      </c>
      <c r="K30" s="12" t="s">
        <v>469</v>
      </c>
      <c r="L30" s="12"/>
      <c r="M30" s="12"/>
      <c r="N30" s="12"/>
      <c r="O30" s="12"/>
      <c r="P30" s="12"/>
      <c r="Q30" s="12"/>
      <c r="R30" s="12"/>
      <c r="S30" s="12"/>
      <c r="T30" s="12"/>
      <c r="U30" s="12"/>
      <c r="V30" s="12"/>
      <c r="X30" s="12"/>
      <c r="Y30" s="12"/>
      <c r="Z30" s="12"/>
      <c r="AA30" s="12"/>
      <c r="AB30" s="12"/>
      <c r="AC30" s="12"/>
      <c r="AD30" s="12"/>
      <c r="AE30" s="12"/>
      <c r="AF30" s="12"/>
      <c r="AG30" s="12"/>
      <c r="AH30" s="12"/>
      <c r="AI30" s="12"/>
      <c r="AJ30" s="12" t="s">
        <v>396</v>
      </c>
      <c r="AK30" s="12" t="s">
        <v>397</v>
      </c>
      <c r="AL30" s="12"/>
    </row>
    <row r="31" spans="1:38">
      <c r="A31" s="4" t="s">
        <v>567</v>
      </c>
      <c r="C31" s="4" t="s">
        <v>387</v>
      </c>
      <c r="D31" s="4" t="s">
        <v>378</v>
      </c>
      <c r="E31" s="4" t="s">
        <v>85</v>
      </c>
      <c r="F31" s="12">
        <v>8</v>
      </c>
      <c r="G31" s="12">
        <v>36</v>
      </c>
      <c r="H31" s="12">
        <v>36</v>
      </c>
      <c r="I31" s="12">
        <v>136</v>
      </c>
      <c r="J31" s="82">
        <f t="shared" si="0"/>
        <v>0</v>
      </c>
      <c r="K31" s="12" t="s">
        <v>470</v>
      </c>
      <c r="L31" s="12"/>
      <c r="M31" s="12"/>
      <c r="N31" s="12"/>
      <c r="O31" s="12"/>
      <c r="P31" s="12"/>
      <c r="Q31" s="12"/>
      <c r="R31" s="12"/>
      <c r="S31" s="12"/>
      <c r="T31" s="12"/>
      <c r="U31" s="12"/>
      <c r="V31" s="12"/>
      <c r="X31" s="12"/>
      <c r="Y31" s="12"/>
      <c r="Z31" s="12"/>
      <c r="AA31" s="12"/>
      <c r="AB31" s="12"/>
      <c r="AC31" s="12"/>
      <c r="AD31" s="12"/>
      <c r="AE31" s="12"/>
      <c r="AF31" s="12"/>
      <c r="AG31" s="12"/>
      <c r="AH31" s="12"/>
      <c r="AI31" s="12"/>
      <c r="AJ31" s="12" t="s">
        <v>396</v>
      </c>
      <c r="AK31" s="12" t="s">
        <v>397</v>
      </c>
      <c r="AL31" s="12"/>
    </row>
    <row r="32" spans="1:38">
      <c r="A32" s="4" t="s">
        <v>582</v>
      </c>
      <c r="C32" s="4" t="s">
        <v>387</v>
      </c>
      <c r="D32" s="4" t="s">
        <v>378</v>
      </c>
      <c r="E32" s="4" t="s">
        <v>85</v>
      </c>
      <c r="F32" s="12">
        <v>8</v>
      </c>
      <c r="G32" s="12">
        <v>36</v>
      </c>
      <c r="H32" s="12">
        <v>36</v>
      </c>
      <c r="I32" s="12">
        <v>136</v>
      </c>
      <c r="J32" s="82">
        <f t="shared" si="0"/>
        <v>0</v>
      </c>
      <c r="K32" s="12" t="s">
        <v>472</v>
      </c>
      <c r="L32" s="12"/>
      <c r="M32" s="12"/>
      <c r="N32" s="12"/>
      <c r="O32" s="12"/>
      <c r="P32" s="12"/>
      <c r="Q32" s="12"/>
      <c r="R32" s="12"/>
      <c r="S32" s="12"/>
      <c r="T32" s="12"/>
      <c r="U32" s="12"/>
      <c r="V32" s="12"/>
      <c r="X32" s="12"/>
      <c r="Y32" s="12"/>
      <c r="Z32" s="12"/>
      <c r="AA32" s="12"/>
      <c r="AB32" s="12"/>
      <c r="AC32" s="12"/>
      <c r="AD32" s="12"/>
      <c r="AE32" s="12"/>
      <c r="AF32" s="12"/>
      <c r="AG32" s="12"/>
      <c r="AH32" s="12"/>
      <c r="AI32" s="12"/>
      <c r="AJ32" s="12" t="s">
        <v>396</v>
      </c>
      <c r="AK32" s="12" t="s">
        <v>397</v>
      </c>
      <c r="AL32" s="12"/>
    </row>
    <row r="33" spans="1:45">
      <c r="A33" s="4" t="s">
        <v>583</v>
      </c>
      <c r="C33" s="4" t="s">
        <v>387</v>
      </c>
      <c r="D33" s="4" t="s">
        <v>378</v>
      </c>
      <c r="E33" s="4" t="s">
        <v>85</v>
      </c>
      <c r="F33" s="12">
        <v>8</v>
      </c>
      <c r="G33" s="12">
        <v>36</v>
      </c>
      <c r="H33" s="12">
        <v>36</v>
      </c>
      <c r="I33" s="12">
        <v>136</v>
      </c>
      <c r="J33" s="82">
        <f t="shared" si="0"/>
        <v>0</v>
      </c>
      <c r="K33" s="12" t="s">
        <v>469</v>
      </c>
      <c r="L33" s="12"/>
      <c r="M33" s="12"/>
      <c r="N33" s="12"/>
      <c r="O33" s="12"/>
      <c r="P33" s="12"/>
      <c r="Q33" s="12"/>
      <c r="R33" s="12"/>
      <c r="S33" s="12"/>
      <c r="T33" s="12"/>
      <c r="U33" s="12"/>
      <c r="V33" s="12"/>
      <c r="X33" s="12"/>
      <c r="Y33" s="12"/>
      <c r="Z33" s="12"/>
      <c r="AA33" s="12"/>
      <c r="AB33" s="12"/>
      <c r="AC33" s="12"/>
      <c r="AD33" s="12"/>
      <c r="AE33" s="12"/>
      <c r="AF33" s="12"/>
      <c r="AG33" s="12"/>
      <c r="AH33" s="12"/>
      <c r="AI33" s="12"/>
      <c r="AJ33" s="12" t="s">
        <v>396</v>
      </c>
      <c r="AK33" s="12" t="s">
        <v>397</v>
      </c>
      <c r="AL33" s="12"/>
    </row>
    <row r="34" spans="1:45">
      <c r="A34" s="4" t="s">
        <v>590</v>
      </c>
      <c r="C34" s="4" t="s">
        <v>387</v>
      </c>
      <c r="D34" s="19" t="s">
        <v>434</v>
      </c>
      <c r="E34" s="4" t="s">
        <v>89</v>
      </c>
      <c r="F34" s="12">
        <v>4</v>
      </c>
      <c r="G34" s="12">
        <v>4</v>
      </c>
      <c r="H34" s="12">
        <v>0</v>
      </c>
      <c r="I34" s="12">
        <v>100</v>
      </c>
      <c r="J34" s="82">
        <f t="shared" si="0"/>
        <v>4</v>
      </c>
      <c r="K34" s="12" t="s">
        <v>470</v>
      </c>
      <c r="L34" s="12"/>
      <c r="M34" s="12"/>
      <c r="N34" s="12"/>
      <c r="O34" s="12"/>
      <c r="P34" s="12"/>
      <c r="Q34" s="12"/>
      <c r="R34" s="12"/>
      <c r="S34" s="12"/>
      <c r="T34" s="12"/>
      <c r="U34" s="12"/>
      <c r="V34" s="12"/>
      <c r="X34" s="12"/>
      <c r="Y34" s="12"/>
      <c r="Z34" s="12"/>
      <c r="AA34" s="12"/>
      <c r="AB34" s="12"/>
      <c r="AC34" s="12"/>
      <c r="AD34" s="12"/>
      <c r="AE34" s="12"/>
      <c r="AF34" s="12"/>
      <c r="AG34" s="12"/>
      <c r="AH34" s="12"/>
      <c r="AI34" s="12"/>
      <c r="AJ34" s="12" t="s">
        <v>380</v>
      </c>
      <c r="AK34" s="12" t="s">
        <v>381</v>
      </c>
      <c r="AL34" s="12"/>
    </row>
    <row r="35" spans="1:45">
      <c r="A35" s="4" t="s">
        <v>591</v>
      </c>
      <c r="C35" s="4" t="s">
        <v>387</v>
      </c>
      <c r="D35" s="19" t="s">
        <v>434</v>
      </c>
      <c r="E35" s="4" t="s">
        <v>97</v>
      </c>
      <c r="F35" s="12">
        <v>4</v>
      </c>
      <c r="G35" s="12">
        <v>16</v>
      </c>
      <c r="H35" s="12">
        <v>0</v>
      </c>
      <c r="I35" s="12">
        <v>110</v>
      </c>
      <c r="J35" s="82">
        <f t="shared" si="0"/>
        <v>16</v>
      </c>
      <c r="K35" s="12" t="s">
        <v>472</v>
      </c>
      <c r="L35" s="12"/>
      <c r="M35" s="12"/>
      <c r="N35" s="12"/>
      <c r="O35" s="12"/>
      <c r="P35" s="12"/>
      <c r="Q35" s="12"/>
      <c r="R35" s="12"/>
      <c r="S35" s="12"/>
      <c r="T35" s="12"/>
      <c r="U35" s="12"/>
      <c r="V35" s="12"/>
      <c r="X35" s="12"/>
      <c r="Y35" s="12"/>
      <c r="Z35" s="12"/>
      <c r="AA35" s="12"/>
      <c r="AB35" s="12"/>
      <c r="AC35" s="12"/>
      <c r="AD35" s="12"/>
      <c r="AE35" s="12"/>
      <c r="AF35" s="12"/>
      <c r="AG35" s="12"/>
      <c r="AH35" s="12"/>
      <c r="AI35" s="12"/>
      <c r="AJ35" s="12" t="s">
        <v>380</v>
      </c>
      <c r="AK35" s="12" t="s">
        <v>381</v>
      </c>
      <c r="AL35" s="12"/>
    </row>
    <row r="36" spans="1:45">
      <c r="A36" s="4" t="s">
        <v>436</v>
      </c>
      <c r="C36" s="4" t="s">
        <v>387</v>
      </c>
      <c r="D36" s="19" t="s">
        <v>434</v>
      </c>
      <c r="E36" s="4" t="s">
        <v>93</v>
      </c>
      <c r="F36" s="12">
        <v>4</v>
      </c>
      <c r="G36" s="12">
        <v>14</v>
      </c>
      <c r="H36" s="12">
        <v>0</v>
      </c>
      <c r="I36" s="12">
        <v>120</v>
      </c>
      <c r="J36" s="82">
        <f t="shared" si="0"/>
        <v>14</v>
      </c>
      <c r="K36" s="12" t="s">
        <v>472</v>
      </c>
      <c r="L36" s="12"/>
      <c r="M36" s="12"/>
      <c r="N36" s="12"/>
      <c r="O36" s="12"/>
      <c r="P36" s="12"/>
      <c r="Q36" s="12"/>
      <c r="R36" s="12"/>
      <c r="S36" s="12"/>
      <c r="T36" s="12"/>
      <c r="U36" s="12"/>
      <c r="V36" s="12"/>
      <c r="X36" s="12"/>
      <c r="Y36" s="12"/>
      <c r="Z36" s="12"/>
      <c r="AA36" s="12"/>
      <c r="AB36" s="12"/>
      <c r="AC36" s="12"/>
      <c r="AD36" s="12"/>
      <c r="AE36" s="12"/>
      <c r="AF36" s="12"/>
      <c r="AG36" s="12"/>
      <c r="AH36" s="12"/>
      <c r="AI36" s="12"/>
      <c r="AJ36" s="12" t="s">
        <v>380</v>
      </c>
      <c r="AK36" s="12" t="s">
        <v>381</v>
      </c>
      <c r="AL36" s="12"/>
    </row>
    <row r="37" spans="1:45">
      <c r="A37" s="4" t="s">
        <v>412</v>
      </c>
      <c r="B37" s="12"/>
      <c r="C37" s="4" t="s">
        <v>387</v>
      </c>
      <c r="D37" s="4" t="s">
        <v>378</v>
      </c>
      <c r="E37" s="4" t="s">
        <v>100</v>
      </c>
      <c r="F37" s="12">
        <v>9</v>
      </c>
      <c r="G37" s="12">
        <v>12</v>
      </c>
      <c r="H37" s="12">
        <v>0</v>
      </c>
      <c r="I37" s="12">
        <v>56</v>
      </c>
      <c r="J37" s="82">
        <f t="shared" si="0"/>
        <v>12</v>
      </c>
      <c r="K37" s="12" t="s">
        <v>469</v>
      </c>
      <c r="L37" s="12"/>
      <c r="M37" s="12"/>
      <c r="N37" s="12"/>
      <c r="O37" s="12"/>
      <c r="P37" s="12"/>
      <c r="Q37" s="12"/>
      <c r="R37" s="12"/>
      <c r="S37" s="12"/>
      <c r="T37" s="12"/>
      <c r="U37" s="12"/>
      <c r="V37" s="12"/>
      <c r="X37" s="12"/>
      <c r="Y37" s="12"/>
      <c r="Z37" s="12">
        <v>50</v>
      </c>
      <c r="AA37" s="12" t="s">
        <v>413</v>
      </c>
      <c r="AB37" s="12"/>
      <c r="AC37" s="12"/>
      <c r="AD37" s="12"/>
      <c r="AE37" s="12"/>
      <c r="AF37" s="12"/>
      <c r="AG37" s="12"/>
      <c r="AH37" s="12"/>
      <c r="AI37" s="12"/>
      <c r="AJ37" s="12" t="s">
        <v>380</v>
      </c>
      <c r="AK37" s="12" t="s">
        <v>381</v>
      </c>
      <c r="AL37" s="12"/>
    </row>
    <row r="38" spans="1:45">
      <c r="A38" s="4" t="s">
        <v>414</v>
      </c>
      <c r="C38" s="4" t="s">
        <v>387</v>
      </c>
      <c r="D38" s="4" t="s">
        <v>378</v>
      </c>
      <c r="E38" s="4" t="s">
        <v>100</v>
      </c>
      <c r="F38" s="12">
        <v>9</v>
      </c>
      <c r="G38" s="12">
        <v>12</v>
      </c>
      <c r="H38" s="12">
        <v>0</v>
      </c>
      <c r="I38" s="12">
        <v>56</v>
      </c>
      <c r="J38" s="82">
        <f t="shared" si="0"/>
        <v>12</v>
      </c>
      <c r="K38" s="12" t="s">
        <v>470</v>
      </c>
      <c r="L38" s="12"/>
      <c r="M38" s="12"/>
      <c r="N38" s="12"/>
      <c r="O38" s="12"/>
      <c r="P38" s="12"/>
      <c r="Q38" s="12"/>
      <c r="R38" s="12"/>
      <c r="S38" s="12"/>
      <c r="T38" s="12"/>
      <c r="U38" s="12"/>
      <c r="V38" s="12"/>
      <c r="X38" s="12"/>
      <c r="Y38" s="12"/>
      <c r="Z38" s="12">
        <v>50</v>
      </c>
      <c r="AA38" s="12" t="s">
        <v>413</v>
      </c>
      <c r="AB38" s="12"/>
      <c r="AC38" s="12"/>
      <c r="AD38" s="12"/>
      <c r="AE38" s="12"/>
      <c r="AF38" s="12"/>
      <c r="AG38" s="12"/>
      <c r="AH38" s="12"/>
      <c r="AI38" s="12"/>
      <c r="AJ38" s="12" t="s">
        <v>380</v>
      </c>
      <c r="AK38" s="12" t="s">
        <v>381</v>
      </c>
      <c r="AL38" s="12"/>
    </row>
    <row r="39" spans="1:45">
      <c r="A39" s="4" t="s">
        <v>584</v>
      </c>
      <c r="C39" s="4" t="s">
        <v>387</v>
      </c>
      <c r="D39" s="4" t="s">
        <v>378</v>
      </c>
      <c r="E39" s="4" t="s">
        <v>100</v>
      </c>
      <c r="F39" s="12">
        <v>9</v>
      </c>
      <c r="G39" s="12">
        <v>12</v>
      </c>
      <c r="H39" s="12">
        <v>0</v>
      </c>
      <c r="I39" s="12">
        <v>56</v>
      </c>
      <c r="J39" s="82">
        <f t="shared" si="0"/>
        <v>12</v>
      </c>
      <c r="K39" s="12" t="s">
        <v>472</v>
      </c>
      <c r="L39" s="12"/>
      <c r="M39" s="12"/>
      <c r="N39" s="12"/>
      <c r="O39" s="12"/>
      <c r="P39" s="12"/>
      <c r="Q39" s="12"/>
      <c r="R39" s="12"/>
      <c r="S39" s="12"/>
      <c r="T39" s="12"/>
      <c r="U39" s="12"/>
      <c r="V39" s="12"/>
      <c r="X39" s="12"/>
      <c r="Y39" s="12"/>
      <c r="Z39" s="12">
        <v>50</v>
      </c>
      <c r="AA39" s="12" t="s">
        <v>413</v>
      </c>
      <c r="AB39" s="12"/>
      <c r="AC39" s="12"/>
      <c r="AD39" s="12"/>
      <c r="AE39" s="12"/>
      <c r="AF39" s="12"/>
      <c r="AG39" s="12"/>
      <c r="AH39" s="12"/>
      <c r="AI39" s="12"/>
      <c r="AJ39" s="12" t="s">
        <v>380</v>
      </c>
      <c r="AK39" s="12" t="s">
        <v>381</v>
      </c>
      <c r="AL39" s="12"/>
    </row>
    <row r="40" spans="1:45">
      <c r="A40" s="4" t="s">
        <v>585</v>
      </c>
      <c r="C40" s="4" t="s">
        <v>387</v>
      </c>
      <c r="D40" s="4" t="s">
        <v>378</v>
      </c>
      <c r="E40" s="4" t="s">
        <v>100</v>
      </c>
      <c r="F40" s="12">
        <v>9</v>
      </c>
      <c r="G40" s="12">
        <v>12</v>
      </c>
      <c r="H40" s="12">
        <v>0</v>
      </c>
      <c r="I40" s="12">
        <v>56</v>
      </c>
      <c r="J40" s="82">
        <f t="shared" si="0"/>
        <v>12</v>
      </c>
      <c r="K40" s="12" t="s">
        <v>469</v>
      </c>
      <c r="L40" s="12"/>
      <c r="M40" s="12"/>
      <c r="N40" s="12"/>
      <c r="O40" s="12"/>
      <c r="P40" s="12"/>
      <c r="Q40" s="12"/>
      <c r="R40" s="12"/>
      <c r="S40" s="12"/>
      <c r="T40" s="12"/>
      <c r="U40" s="12"/>
      <c r="V40" s="12"/>
      <c r="X40" s="12"/>
      <c r="Y40" s="12"/>
      <c r="Z40" s="12">
        <v>50</v>
      </c>
      <c r="AA40" s="12" t="s">
        <v>413</v>
      </c>
      <c r="AB40" s="12"/>
      <c r="AC40" s="12"/>
      <c r="AD40" s="12"/>
      <c r="AE40" s="12"/>
      <c r="AF40" s="12"/>
      <c r="AG40" s="12"/>
      <c r="AH40" s="12"/>
      <c r="AI40" s="12"/>
      <c r="AJ40" s="12" t="s">
        <v>380</v>
      </c>
      <c r="AK40" s="12" t="s">
        <v>381</v>
      </c>
      <c r="AL40" s="12"/>
    </row>
    <row r="41" spans="1:45">
      <c r="A41" s="4" t="s">
        <v>415</v>
      </c>
      <c r="C41" s="4" t="s">
        <v>387</v>
      </c>
      <c r="D41" s="4" t="s">
        <v>378</v>
      </c>
      <c r="E41" s="4" t="s">
        <v>416</v>
      </c>
      <c r="F41" s="12">
        <v>4</v>
      </c>
      <c r="G41" s="12">
        <v>4</v>
      </c>
      <c r="H41" s="12">
        <v>0</v>
      </c>
      <c r="I41" s="12">
        <v>41</v>
      </c>
      <c r="J41" s="82">
        <f t="shared" si="0"/>
        <v>4</v>
      </c>
      <c r="K41" s="12" t="s">
        <v>472</v>
      </c>
      <c r="L41" s="12"/>
      <c r="M41" s="12"/>
      <c r="N41" s="12"/>
      <c r="O41" s="12"/>
      <c r="P41" s="12"/>
      <c r="Q41" s="12"/>
      <c r="R41" s="12"/>
      <c r="S41" s="12"/>
      <c r="T41" s="12"/>
      <c r="U41" s="12"/>
      <c r="V41" s="12"/>
      <c r="X41" s="12"/>
      <c r="Y41" s="12"/>
      <c r="Z41" s="82"/>
      <c r="AA41" s="12"/>
      <c r="AB41" s="12"/>
      <c r="AC41" s="12"/>
      <c r="AD41" s="12"/>
      <c r="AE41" s="12"/>
      <c r="AF41" s="12"/>
      <c r="AG41" s="12"/>
      <c r="AH41" s="12"/>
      <c r="AI41" s="12"/>
      <c r="AJ41" s="12" t="s">
        <v>380</v>
      </c>
      <c r="AK41" s="12" t="s">
        <v>381</v>
      </c>
      <c r="AL41" s="12"/>
    </row>
    <row r="42" spans="1:45">
      <c r="A42" s="4" t="s">
        <v>417</v>
      </c>
      <c r="C42" s="4" t="s">
        <v>387</v>
      </c>
      <c r="D42" s="4" t="s">
        <v>378</v>
      </c>
      <c r="E42" s="4" t="s">
        <v>418</v>
      </c>
      <c r="F42" s="12">
        <v>4</v>
      </c>
      <c r="G42" s="12">
        <v>4</v>
      </c>
      <c r="H42" s="12">
        <v>0</v>
      </c>
      <c r="I42" s="12">
        <v>41</v>
      </c>
      <c r="J42" s="82">
        <f t="shared" ref="J42:J43" si="1">G42-H42</f>
        <v>4</v>
      </c>
      <c r="K42" s="12" t="s">
        <v>472</v>
      </c>
      <c r="L42" s="12"/>
      <c r="M42" s="12"/>
      <c r="N42" s="12"/>
      <c r="O42" s="12"/>
      <c r="P42" s="12"/>
      <c r="Q42" s="12"/>
      <c r="R42" s="12"/>
      <c r="S42" s="12"/>
      <c r="T42" s="12"/>
      <c r="U42" s="12"/>
      <c r="V42" s="12"/>
      <c r="X42" s="12"/>
      <c r="Y42" s="12"/>
      <c r="Z42" s="82"/>
      <c r="AA42" s="12"/>
      <c r="AB42" s="12"/>
      <c r="AC42" s="12"/>
      <c r="AD42" s="12"/>
      <c r="AE42" s="12"/>
      <c r="AF42" s="12"/>
      <c r="AG42" s="12"/>
      <c r="AH42" s="12"/>
      <c r="AI42" s="12"/>
      <c r="AJ42" s="12" t="s">
        <v>380</v>
      </c>
      <c r="AK42" s="12" t="s">
        <v>381</v>
      </c>
      <c r="AL42" s="12"/>
    </row>
    <row r="43" spans="1:45" s="43" customFormat="1" ht="14.5">
      <c r="A43" s="17" t="s">
        <v>419</v>
      </c>
      <c r="B43" s="17"/>
      <c r="C43" s="17" t="s">
        <v>387</v>
      </c>
      <c r="D43" s="17" t="s">
        <v>378</v>
      </c>
      <c r="E43" s="17" t="s">
        <v>108</v>
      </c>
      <c r="F43" s="15">
        <v>2</v>
      </c>
      <c r="G43" s="15">
        <v>4</v>
      </c>
      <c r="H43" s="15">
        <v>0</v>
      </c>
      <c r="I43" s="15">
        <v>65</v>
      </c>
      <c r="J43" s="15">
        <f t="shared" si="1"/>
        <v>4</v>
      </c>
      <c r="K43" s="12" t="s">
        <v>469</v>
      </c>
      <c r="L43" s="36"/>
      <c r="M43" s="36"/>
      <c r="N43" s="111"/>
      <c r="O43" s="112"/>
      <c r="P43" s="36"/>
      <c r="Q43" s="36"/>
      <c r="R43" s="36"/>
      <c r="S43" s="36"/>
      <c r="T43" s="36"/>
      <c r="U43" s="36"/>
      <c r="X43" s="36"/>
      <c r="Y43" s="36"/>
      <c r="Z43" s="36"/>
      <c r="AA43" s="36"/>
      <c r="AB43" s="36"/>
      <c r="AC43" s="36"/>
      <c r="AD43" s="36"/>
      <c r="AE43" s="36"/>
      <c r="AF43" s="36">
        <v>200</v>
      </c>
      <c r="AG43" s="36" t="s">
        <v>421</v>
      </c>
      <c r="AH43" s="36"/>
      <c r="AI43" s="36"/>
      <c r="AJ43" s="36" t="s">
        <v>380</v>
      </c>
      <c r="AK43" s="36" t="s">
        <v>381</v>
      </c>
      <c r="AL43" s="36"/>
    </row>
    <row r="44" spans="1:45" s="18" customFormat="1">
      <c r="F44" s="16">
        <f>SUM(F8:F43)</f>
        <v>230</v>
      </c>
      <c r="G44" s="16">
        <f>SUM(G8:G43)</f>
        <v>618</v>
      </c>
      <c r="H44" s="16">
        <f>SUM(H8:H43)</f>
        <v>375.25</v>
      </c>
      <c r="I44" s="16">
        <f>SUM(I8:I43)</f>
        <v>3171</v>
      </c>
      <c r="J44" s="16"/>
      <c r="K44" s="16"/>
      <c r="L44" s="16">
        <f>SUM(L8:L43)</f>
        <v>130</v>
      </c>
      <c r="M44" s="16"/>
      <c r="N44" s="16">
        <f>SUM(N8:N43)</f>
        <v>2500</v>
      </c>
      <c r="O44" s="16"/>
      <c r="P44" s="16">
        <f>SUM(P8:P43)</f>
        <v>3750</v>
      </c>
      <c r="Q44" s="16"/>
      <c r="R44" s="16">
        <f>SUM(R8:R43)</f>
        <v>600</v>
      </c>
      <c r="S44" s="16"/>
      <c r="T44" s="16">
        <f>SUM(T8:T43)</f>
        <v>300</v>
      </c>
      <c r="U44" s="16"/>
      <c r="V44" s="16">
        <f>SUM(V8:V43)</f>
        <v>0</v>
      </c>
      <c r="W44" s="16"/>
      <c r="X44" s="16">
        <f>SUM(X8:X43)</f>
        <v>11375</v>
      </c>
      <c r="Z44" s="16">
        <f>SUM(Z8:Z43)</f>
        <v>200</v>
      </c>
      <c r="AB44" s="16">
        <f>SUM(AB8:AB43)</f>
        <v>50</v>
      </c>
      <c r="AD44" s="16">
        <f>SUM(AD8:AD43)</f>
        <v>170</v>
      </c>
      <c r="AF44" s="16">
        <f>SUM(AF8:AF43)</f>
        <v>200</v>
      </c>
      <c r="AH44" s="16">
        <f>SUM(AH8:AH43)</f>
        <v>3700</v>
      </c>
      <c r="AK44" s="16" t="s">
        <v>586</v>
      </c>
      <c r="AL44" s="16">
        <v>2</v>
      </c>
    </row>
    <row r="45" spans="1:45" ht="13">
      <c r="A45" s="181" t="s">
        <v>423</v>
      </c>
      <c r="B45" s="182"/>
      <c r="F45" s="12"/>
      <c r="G45" s="12"/>
      <c r="H45" s="12"/>
      <c r="I45" s="12"/>
      <c r="J45" s="12"/>
      <c r="K45" s="12"/>
      <c r="L45" s="12"/>
      <c r="M45" s="12"/>
      <c r="N45" s="12"/>
      <c r="O45" s="12"/>
      <c r="P45" s="12"/>
      <c r="Q45" s="12"/>
      <c r="R45" s="12"/>
      <c r="S45" s="12"/>
      <c r="T45" s="12"/>
      <c r="U45" s="12"/>
      <c r="V45" s="12"/>
      <c r="X45" s="12"/>
      <c r="Z45" s="12"/>
      <c r="AB45" s="12"/>
      <c r="AD45" s="12"/>
      <c r="AF45" s="12"/>
      <c r="AH45" s="12"/>
      <c r="AK45" s="12"/>
      <c r="AL45" s="12"/>
    </row>
    <row r="46" spans="1:45" ht="13.5" customHeight="1">
      <c r="A46" s="14" t="s">
        <v>424</v>
      </c>
      <c r="F46" s="12"/>
      <c r="G46" s="12"/>
      <c r="H46" s="12"/>
      <c r="I46" s="12"/>
      <c r="J46" s="12"/>
      <c r="K46" s="12"/>
      <c r="L46" s="12"/>
      <c r="M46" s="12"/>
      <c r="N46" s="12"/>
      <c r="O46"/>
      <c r="P46" s="12"/>
      <c r="Q46" s="12"/>
      <c r="R46" s="12"/>
      <c r="S46" s="12"/>
      <c r="T46" s="12"/>
      <c r="U46" s="12"/>
      <c r="V46" s="12"/>
      <c r="W46" s="4"/>
      <c r="X46" s="12"/>
      <c r="Z46" s="12"/>
      <c r="AB46" s="12"/>
      <c r="AD46" s="12"/>
      <c r="AF46" s="12"/>
      <c r="AG46" s="12"/>
      <c r="AH46" s="12"/>
    </row>
    <row r="47" spans="1:45" s="17" customFormat="1" ht="13.5" customHeight="1">
      <c r="A47" s="17" t="s">
        <v>419</v>
      </c>
      <c r="C47" s="17" t="s">
        <v>387</v>
      </c>
      <c r="D47" s="17" t="s">
        <v>378</v>
      </c>
      <c r="E47" s="17" t="s">
        <v>425</v>
      </c>
      <c r="F47" s="15">
        <v>7</v>
      </c>
      <c r="G47" s="15">
        <v>16</v>
      </c>
      <c r="H47" s="15">
        <v>0</v>
      </c>
      <c r="I47" s="15">
        <v>28</v>
      </c>
      <c r="J47" s="15">
        <f>G47-H47</f>
        <v>16</v>
      </c>
      <c r="K47" s="15" t="s">
        <v>469</v>
      </c>
      <c r="L47" s="15"/>
      <c r="M47" s="15"/>
      <c r="N47" s="96"/>
      <c r="O47" s="95"/>
      <c r="P47" s="15"/>
      <c r="Q47" s="15"/>
      <c r="R47" s="15">
        <v>120</v>
      </c>
      <c r="S47" s="15" t="s">
        <v>394</v>
      </c>
      <c r="V47" s="15"/>
      <c r="W47" s="15"/>
      <c r="X47" s="15">
        <v>340</v>
      </c>
      <c r="Y47" s="15" t="s">
        <v>179</v>
      </c>
      <c r="AD47" s="15"/>
      <c r="AE47" s="15"/>
      <c r="AF47" s="15"/>
      <c r="AG47" s="15"/>
      <c r="AH47" s="15"/>
      <c r="AR47" s="15"/>
      <c r="AS47" s="15"/>
    </row>
    <row r="48" spans="1:45" ht="13.5" customHeight="1">
      <c r="F48" s="12">
        <f>SUM(F47:F47)+F44</f>
        <v>237</v>
      </c>
      <c r="G48" s="12">
        <f>SUM(G47:G47)+G44</f>
        <v>634</v>
      </c>
      <c r="H48" s="12">
        <f>SUM(H47:H47)+H44</f>
        <v>375.25</v>
      </c>
      <c r="I48" s="12">
        <f>SUM(I47:I47)+I44</f>
        <v>3199</v>
      </c>
      <c r="J48" s="12"/>
      <c r="K48" s="12"/>
      <c r="L48" s="12">
        <f>SUM(L47:L47)+L44</f>
        <v>130</v>
      </c>
      <c r="M48" s="12"/>
      <c r="N48" s="12">
        <f>SUM(N47:N47)+N44</f>
        <v>2500</v>
      </c>
      <c r="O48"/>
      <c r="P48" s="12">
        <f>SUM(P47:P47)+P44</f>
        <v>3750</v>
      </c>
      <c r="Q48" s="12"/>
      <c r="R48" s="12">
        <f>SUM(R47:R47)+R44</f>
        <v>720</v>
      </c>
      <c r="S48" s="12"/>
      <c r="T48" s="12">
        <f>SUM(T47:T47)+T44</f>
        <v>300</v>
      </c>
      <c r="V48" s="12">
        <f>SUM(V47:V47)+V44</f>
        <v>0</v>
      </c>
      <c r="X48" s="12">
        <f>SUM(X47:X47)+X44</f>
        <v>11715</v>
      </c>
      <c r="Z48" s="12">
        <f>SUM(Z47:Z47)+Z44</f>
        <v>200</v>
      </c>
      <c r="AB48" s="12">
        <f>SUM(AB47:AB47)+AB44</f>
        <v>50</v>
      </c>
      <c r="AD48" s="12">
        <f>SUM(AD47:AD47)+AD44</f>
        <v>170</v>
      </c>
      <c r="AE48" s="12"/>
      <c r="AF48" s="12">
        <f>SUM(AF47:AF47)+AF44</f>
        <v>200</v>
      </c>
      <c r="AG48" s="12"/>
      <c r="AH48" s="12">
        <f>SUM(AH47:AH47)+AH44</f>
        <v>3700</v>
      </c>
      <c r="AJ48" s="12"/>
      <c r="AK48" s="12" t="s">
        <v>722</v>
      </c>
      <c r="AL48" s="12">
        <v>2</v>
      </c>
      <c r="AM48" s="12"/>
      <c r="AN48" s="12"/>
    </row>
    <row r="50" spans="1:38" ht="13">
      <c r="A50" s="14" t="s">
        <v>430</v>
      </c>
      <c r="B50" s="33"/>
      <c r="C50" s="33"/>
      <c r="D50" s="33"/>
      <c r="E50" s="33"/>
      <c r="F50" s="33"/>
      <c r="G50" s="33"/>
      <c r="H50" s="33"/>
      <c r="I50" s="33"/>
      <c r="J50" s="33"/>
      <c r="K50" s="33"/>
      <c r="L50" s="33"/>
      <c r="M50" s="33"/>
      <c r="N50" s="33"/>
      <c r="O50" s="33"/>
      <c r="P50" s="33"/>
      <c r="Q50" s="33"/>
      <c r="R50" s="33"/>
      <c r="S50" s="33"/>
      <c r="T50" s="33"/>
      <c r="U50" s="33"/>
      <c r="V50" s="33"/>
      <c r="W50" s="82"/>
      <c r="X50" s="33"/>
      <c r="Y50" s="33"/>
      <c r="Z50" s="33"/>
      <c r="AA50" s="33"/>
      <c r="AB50" s="33"/>
      <c r="AC50" s="33"/>
      <c r="AD50" s="33"/>
      <c r="AE50" s="33"/>
      <c r="AF50" s="33"/>
      <c r="AG50" s="33"/>
      <c r="AH50" s="33"/>
      <c r="AI50" s="33"/>
      <c r="AJ50" s="33"/>
      <c r="AK50" s="33"/>
      <c r="AL50" s="33"/>
    </row>
    <row r="51" spans="1:38">
      <c r="A51" s="33"/>
      <c r="B51" s="33"/>
      <c r="C51" s="33"/>
      <c r="D51" s="33"/>
      <c r="E51" s="33"/>
      <c r="F51" s="33"/>
      <c r="G51" s="33"/>
      <c r="H51" s="33"/>
      <c r="I51" s="33"/>
      <c r="J51" s="33"/>
      <c r="K51" s="33"/>
      <c r="L51" s="33"/>
      <c r="M51" s="33"/>
      <c r="N51" s="33"/>
      <c r="O51" s="33"/>
      <c r="P51" s="33"/>
      <c r="Q51" s="33"/>
      <c r="R51" s="33"/>
      <c r="S51" s="33"/>
      <c r="T51" s="33"/>
      <c r="U51" s="33"/>
      <c r="V51" s="33"/>
      <c r="W51" s="82"/>
      <c r="X51" s="33"/>
      <c r="Y51" s="33"/>
      <c r="Z51" s="33"/>
      <c r="AA51" s="33"/>
      <c r="AB51" s="33"/>
      <c r="AC51" s="33"/>
      <c r="AD51" s="33"/>
      <c r="AE51" s="33"/>
      <c r="AF51" s="33"/>
      <c r="AG51" s="33"/>
      <c r="AH51" s="33"/>
      <c r="AI51" s="33"/>
      <c r="AJ51" s="33"/>
      <c r="AK51" s="33"/>
      <c r="AL51" s="33"/>
    </row>
    <row r="52" spans="1:38">
      <c r="A52" s="33" t="s">
        <v>431</v>
      </c>
      <c r="B52" s="33"/>
      <c r="C52" s="33" t="s">
        <v>387</v>
      </c>
      <c r="D52" s="4" t="s">
        <v>378</v>
      </c>
      <c r="E52" s="33" t="s">
        <v>21</v>
      </c>
      <c r="F52" s="82">
        <v>12</v>
      </c>
      <c r="G52" s="82">
        <v>48</v>
      </c>
      <c r="H52" s="82">
        <v>0</v>
      </c>
      <c r="I52" s="12">
        <v>71</v>
      </c>
      <c r="J52" s="82">
        <f t="shared" ref="J52:J77" si="2">G52-H52</f>
        <v>48</v>
      </c>
      <c r="K52" s="82"/>
      <c r="L52" s="33"/>
      <c r="M52" s="33"/>
      <c r="N52" s="33"/>
      <c r="O52" s="33"/>
      <c r="P52" s="33"/>
      <c r="Q52" s="33"/>
      <c r="R52" s="33"/>
      <c r="S52" s="33"/>
      <c r="T52" s="33"/>
      <c r="U52" s="33"/>
      <c r="V52" s="33"/>
      <c r="W52" s="82"/>
      <c r="X52" s="33"/>
      <c r="Y52" s="33"/>
      <c r="Z52" s="33"/>
      <c r="AA52" s="33"/>
      <c r="AB52" s="33"/>
      <c r="AC52" s="33"/>
      <c r="AD52" s="33"/>
      <c r="AE52" s="33"/>
      <c r="AF52" s="33"/>
      <c r="AG52" s="33"/>
      <c r="AH52" s="33"/>
      <c r="AI52" s="33"/>
      <c r="AJ52" s="82" t="s">
        <v>380</v>
      </c>
      <c r="AK52" s="82" t="s">
        <v>381</v>
      </c>
      <c r="AL52" s="82"/>
    </row>
    <row r="53" spans="1:38">
      <c r="A53" s="33" t="s">
        <v>481</v>
      </c>
      <c r="B53" s="33"/>
      <c r="C53" s="33" t="s">
        <v>387</v>
      </c>
      <c r="D53" s="19" t="s">
        <v>434</v>
      </c>
      <c r="E53" s="4" t="s">
        <v>89</v>
      </c>
      <c r="F53" s="82">
        <v>4</v>
      </c>
      <c r="G53" s="82">
        <v>4</v>
      </c>
      <c r="H53" s="82">
        <v>0</v>
      </c>
      <c r="I53" s="82">
        <v>100</v>
      </c>
      <c r="J53" s="82">
        <f t="shared" si="2"/>
        <v>4</v>
      </c>
      <c r="K53" s="82"/>
      <c r="L53" s="33"/>
      <c r="M53" s="33"/>
      <c r="N53" s="33"/>
      <c r="O53" s="33"/>
      <c r="P53" s="33"/>
      <c r="Q53" s="33"/>
      <c r="R53" s="33"/>
      <c r="S53" s="33"/>
      <c r="T53" s="33"/>
      <c r="U53" s="33"/>
      <c r="V53" s="33"/>
      <c r="W53" s="82"/>
      <c r="X53" s="33"/>
      <c r="Y53" s="33"/>
      <c r="Z53" s="33"/>
      <c r="AA53" s="33"/>
      <c r="AB53" s="33"/>
      <c r="AC53" s="33"/>
      <c r="AD53" s="33"/>
      <c r="AE53" s="33"/>
      <c r="AF53" s="33"/>
      <c r="AG53" s="33"/>
      <c r="AH53" s="33"/>
      <c r="AI53" s="33"/>
      <c r="AJ53" s="82" t="s">
        <v>380</v>
      </c>
      <c r="AK53" s="82" t="s">
        <v>381</v>
      </c>
      <c r="AL53" s="82"/>
    </row>
    <row r="54" spans="1:38">
      <c r="A54" s="33" t="s">
        <v>437</v>
      </c>
      <c r="B54" s="33"/>
      <c r="C54" s="33" t="s">
        <v>387</v>
      </c>
      <c r="D54" s="19" t="s">
        <v>434</v>
      </c>
      <c r="E54" s="4" t="s">
        <v>97</v>
      </c>
      <c r="F54" s="82">
        <v>4</v>
      </c>
      <c r="G54" s="82">
        <v>16</v>
      </c>
      <c r="H54" s="82">
        <v>0</v>
      </c>
      <c r="I54" s="12">
        <v>100</v>
      </c>
      <c r="J54" s="82">
        <f t="shared" si="2"/>
        <v>16</v>
      </c>
      <c r="K54" s="82"/>
      <c r="L54" s="33"/>
      <c r="M54" s="33"/>
      <c r="N54" s="33"/>
      <c r="O54" s="33"/>
      <c r="P54" s="33"/>
      <c r="Q54" s="33"/>
      <c r="R54" s="33"/>
      <c r="S54" s="33"/>
      <c r="T54" s="33"/>
      <c r="U54" s="33"/>
      <c r="V54" s="33"/>
      <c r="W54" s="82"/>
      <c r="X54" s="33"/>
      <c r="Y54" s="33"/>
      <c r="Z54" s="33"/>
      <c r="AA54" s="33"/>
      <c r="AB54" s="33"/>
      <c r="AC54" s="33"/>
      <c r="AD54" s="33"/>
      <c r="AE54" s="33"/>
      <c r="AF54" s="33"/>
      <c r="AG54" s="33"/>
      <c r="AH54" s="33"/>
      <c r="AI54" s="33"/>
      <c r="AJ54" s="82" t="s">
        <v>380</v>
      </c>
      <c r="AK54" s="82" t="s">
        <v>381</v>
      </c>
      <c r="AL54" s="82"/>
    </row>
    <row r="55" spans="1:38">
      <c r="A55" s="33" t="s">
        <v>482</v>
      </c>
      <c r="B55" s="33"/>
      <c r="C55" s="33" t="s">
        <v>387</v>
      </c>
      <c r="D55" s="19" t="s">
        <v>434</v>
      </c>
      <c r="E55" s="4" t="s">
        <v>97</v>
      </c>
      <c r="F55" s="82">
        <v>4</v>
      </c>
      <c r="G55" s="82">
        <v>16</v>
      </c>
      <c r="H55" s="82">
        <v>0</v>
      </c>
      <c r="I55" s="12">
        <v>100</v>
      </c>
      <c r="J55" s="82">
        <f t="shared" si="2"/>
        <v>16</v>
      </c>
      <c r="K55" s="82"/>
      <c r="L55" s="33"/>
      <c r="M55" s="33"/>
      <c r="N55" s="33"/>
      <c r="O55" s="33"/>
      <c r="P55" s="33"/>
      <c r="Q55" s="33"/>
      <c r="R55" s="33"/>
      <c r="S55" s="33"/>
      <c r="T55" s="33"/>
      <c r="U55" s="33"/>
      <c r="V55" s="33"/>
      <c r="W55" s="82"/>
      <c r="X55" s="33"/>
      <c r="Y55" s="33"/>
      <c r="Z55" s="33"/>
      <c r="AA55" s="33"/>
      <c r="AB55" s="33"/>
      <c r="AC55" s="33"/>
      <c r="AD55" s="33"/>
      <c r="AE55" s="33"/>
      <c r="AF55" s="33"/>
      <c r="AG55" s="33"/>
      <c r="AH55" s="33"/>
      <c r="AI55" s="33"/>
      <c r="AJ55" s="82" t="s">
        <v>380</v>
      </c>
      <c r="AK55" s="82" t="s">
        <v>381</v>
      </c>
      <c r="AL55" s="82"/>
    </row>
    <row r="56" spans="1:38">
      <c r="A56" s="33" t="s">
        <v>568</v>
      </c>
      <c r="B56" s="33"/>
      <c r="C56" s="33" t="s">
        <v>387</v>
      </c>
      <c r="D56" s="19" t="s">
        <v>434</v>
      </c>
      <c r="E56" s="4" t="s">
        <v>97</v>
      </c>
      <c r="F56" s="82">
        <v>4</v>
      </c>
      <c r="G56" s="82">
        <v>16</v>
      </c>
      <c r="H56" s="82">
        <v>0</v>
      </c>
      <c r="I56" s="12">
        <v>100</v>
      </c>
      <c r="J56" s="82">
        <f t="shared" si="2"/>
        <v>16</v>
      </c>
      <c r="K56" s="82"/>
      <c r="L56" s="33"/>
      <c r="M56" s="33"/>
      <c r="N56" s="33"/>
      <c r="O56" s="33"/>
      <c r="P56" s="33"/>
      <c r="Q56" s="33"/>
      <c r="R56" s="33"/>
      <c r="S56" s="33"/>
      <c r="T56" s="33"/>
      <c r="U56" s="33"/>
      <c r="V56" s="33"/>
      <c r="W56" s="82"/>
      <c r="X56" s="33"/>
      <c r="Y56" s="33"/>
      <c r="Z56" s="33"/>
      <c r="AA56" s="33"/>
      <c r="AB56" s="33"/>
      <c r="AC56" s="33"/>
      <c r="AD56" s="33"/>
      <c r="AE56" s="33"/>
      <c r="AF56" s="33"/>
      <c r="AG56" s="33"/>
      <c r="AH56" s="33"/>
      <c r="AI56" s="33"/>
      <c r="AJ56" s="82" t="s">
        <v>380</v>
      </c>
      <c r="AK56" s="82" t="s">
        <v>381</v>
      </c>
      <c r="AL56" s="82"/>
    </row>
    <row r="57" spans="1:38">
      <c r="A57" s="33" t="s">
        <v>569</v>
      </c>
      <c r="B57" s="33"/>
      <c r="C57" s="33" t="s">
        <v>387</v>
      </c>
      <c r="D57" s="19" t="s">
        <v>434</v>
      </c>
      <c r="E57" s="4" t="s">
        <v>97</v>
      </c>
      <c r="F57" s="82">
        <v>4</v>
      </c>
      <c r="G57" s="82">
        <v>16</v>
      </c>
      <c r="H57" s="82">
        <v>0</v>
      </c>
      <c r="I57" s="12">
        <v>100</v>
      </c>
      <c r="J57" s="82">
        <f t="shared" si="2"/>
        <v>16</v>
      </c>
      <c r="K57" s="82"/>
      <c r="L57" s="33"/>
      <c r="M57" s="33"/>
      <c r="N57" s="33"/>
      <c r="O57" s="33"/>
      <c r="P57" s="33"/>
      <c r="Q57" s="33"/>
      <c r="R57" s="33"/>
      <c r="S57" s="33"/>
      <c r="T57" s="33"/>
      <c r="U57" s="33"/>
      <c r="V57" s="33"/>
      <c r="W57" s="82"/>
      <c r="X57" s="33"/>
      <c r="Y57" s="33"/>
      <c r="Z57" s="33"/>
      <c r="AA57" s="33"/>
      <c r="AB57" s="33"/>
      <c r="AC57" s="33"/>
      <c r="AD57" s="33"/>
      <c r="AE57" s="33"/>
      <c r="AF57" s="33"/>
      <c r="AG57" s="33"/>
      <c r="AH57" s="33"/>
      <c r="AI57" s="33"/>
      <c r="AJ57" s="82" t="s">
        <v>380</v>
      </c>
      <c r="AK57" s="82" t="s">
        <v>381</v>
      </c>
      <c r="AL57" s="82"/>
    </row>
    <row r="58" spans="1:38">
      <c r="A58" s="33" t="s">
        <v>592</v>
      </c>
      <c r="B58" s="33"/>
      <c r="C58" s="33" t="s">
        <v>387</v>
      </c>
      <c r="D58" s="19" t="s">
        <v>434</v>
      </c>
      <c r="E58" s="4" t="s">
        <v>97</v>
      </c>
      <c r="F58" s="82">
        <v>4</v>
      </c>
      <c r="G58" s="82">
        <v>16</v>
      </c>
      <c r="H58" s="82">
        <v>0</v>
      </c>
      <c r="I58" s="12">
        <v>100</v>
      </c>
      <c r="J58" s="82">
        <f t="shared" si="2"/>
        <v>16</v>
      </c>
      <c r="K58" s="82"/>
      <c r="L58" s="33"/>
      <c r="M58" s="33"/>
      <c r="N58" s="33"/>
      <c r="O58" s="33"/>
      <c r="P58" s="33"/>
      <c r="Q58" s="33"/>
      <c r="R58" s="33"/>
      <c r="S58" s="33"/>
      <c r="T58" s="33"/>
      <c r="U58" s="33"/>
      <c r="V58" s="33"/>
      <c r="W58" s="82"/>
      <c r="X58" s="33"/>
      <c r="Y58" s="33"/>
      <c r="Z58" s="33"/>
      <c r="AA58" s="33"/>
      <c r="AB58" s="33"/>
      <c r="AC58" s="33"/>
      <c r="AD58" s="33"/>
      <c r="AE58" s="33"/>
      <c r="AF58" s="33"/>
      <c r="AG58" s="33"/>
      <c r="AH58" s="33"/>
      <c r="AI58" s="33"/>
      <c r="AJ58" s="82" t="s">
        <v>380</v>
      </c>
      <c r="AK58" s="82" t="s">
        <v>381</v>
      </c>
      <c r="AL58" s="82"/>
    </row>
    <row r="59" spans="1:38">
      <c r="A59" s="33" t="s">
        <v>593</v>
      </c>
      <c r="B59" s="33"/>
      <c r="C59" s="33" t="s">
        <v>387</v>
      </c>
      <c r="D59" s="19" t="s">
        <v>434</v>
      </c>
      <c r="E59" s="4" t="s">
        <v>97</v>
      </c>
      <c r="F59" s="82">
        <v>4</v>
      </c>
      <c r="G59" s="82">
        <v>16</v>
      </c>
      <c r="H59" s="82">
        <v>0</v>
      </c>
      <c r="I59" s="12">
        <v>100</v>
      </c>
      <c r="J59" s="82">
        <f t="shared" si="2"/>
        <v>16</v>
      </c>
      <c r="K59" s="82"/>
      <c r="L59" s="33"/>
      <c r="M59" s="33"/>
      <c r="N59" s="33"/>
      <c r="O59" s="33"/>
      <c r="P59" s="33"/>
      <c r="Q59" s="33"/>
      <c r="R59" s="33"/>
      <c r="S59" s="33"/>
      <c r="T59" s="33"/>
      <c r="U59" s="33"/>
      <c r="V59" s="33"/>
      <c r="W59" s="82"/>
      <c r="X59" s="33"/>
      <c r="Y59" s="33"/>
      <c r="Z59" s="33"/>
      <c r="AA59" s="33"/>
      <c r="AB59" s="33"/>
      <c r="AC59" s="33"/>
      <c r="AD59" s="33"/>
      <c r="AE59" s="33"/>
      <c r="AF59" s="33"/>
      <c r="AG59" s="33"/>
      <c r="AH59" s="33"/>
      <c r="AI59" s="33"/>
      <c r="AJ59" s="82" t="s">
        <v>380</v>
      </c>
      <c r="AK59" s="82" t="s">
        <v>381</v>
      </c>
      <c r="AL59" s="82"/>
    </row>
    <row r="60" spans="1:38">
      <c r="A60" s="33" t="s">
        <v>594</v>
      </c>
      <c r="B60" s="33"/>
      <c r="C60" s="33" t="s">
        <v>387</v>
      </c>
      <c r="D60" s="19" t="s">
        <v>434</v>
      </c>
      <c r="E60" s="4" t="s">
        <v>97</v>
      </c>
      <c r="F60" s="82">
        <v>4</v>
      </c>
      <c r="G60" s="82">
        <v>16</v>
      </c>
      <c r="H60" s="82">
        <v>0</v>
      </c>
      <c r="I60" s="12">
        <v>100</v>
      </c>
      <c r="J60" s="82">
        <f t="shared" si="2"/>
        <v>16</v>
      </c>
      <c r="K60" s="82"/>
      <c r="L60" s="33"/>
      <c r="M60" s="33"/>
      <c r="N60" s="33"/>
      <c r="O60" s="33"/>
      <c r="P60" s="33"/>
      <c r="Q60" s="33"/>
      <c r="R60" s="33"/>
      <c r="S60" s="33"/>
      <c r="T60" s="33"/>
      <c r="U60" s="33"/>
      <c r="V60" s="33"/>
      <c r="W60" s="82"/>
      <c r="X60" s="33"/>
      <c r="Y60" s="33"/>
      <c r="Z60" s="33"/>
      <c r="AA60" s="33"/>
      <c r="AB60" s="33"/>
      <c r="AC60" s="33"/>
      <c r="AD60" s="33"/>
      <c r="AE60" s="33"/>
      <c r="AF60" s="33"/>
      <c r="AG60" s="33"/>
      <c r="AH60" s="33"/>
      <c r="AI60" s="33"/>
      <c r="AJ60" s="82" t="s">
        <v>380</v>
      </c>
      <c r="AK60" s="82" t="s">
        <v>381</v>
      </c>
      <c r="AL60" s="82"/>
    </row>
    <row r="61" spans="1:38">
      <c r="A61" s="33" t="s">
        <v>483</v>
      </c>
      <c r="B61" s="33"/>
      <c r="C61" s="33" t="s">
        <v>387</v>
      </c>
      <c r="D61" s="19" t="s">
        <v>434</v>
      </c>
      <c r="E61" s="4" t="s">
        <v>93</v>
      </c>
      <c r="F61" s="82">
        <v>4</v>
      </c>
      <c r="G61" s="82">
        <v>14</v>
      </c>
      <c r="H61" s="82">
        <v>0</v>
      </c>
      <c r="I61" s="12">
        <v>120</v>
      </c>
      <c r="J61" s="82">
        <f t="shared" si="2"/>
        <v>14</v>
      </c>
      <c r="K61" s="82"/>
      <c r="L61" s="33"/>
      <c r="M61" s="33"/>
      <c r="N61" s="33"/>
      <c r="O61" s="33"/>
      <c r="P61" s="33"/>
      <c r="Q61" s="33"/>
      <c r="R61" s="33"/>
      <c r="S61" s="33"/>
      <c r="T61" s="33"/>
      <c r="U61" s="33"/>
      <c r="V61" s="33"/>
      <c r="W61" s="82"/>
      <c r="X61" s="33"/>
      <c r="Y61" s="33"/>
      <c r="Z61" s="33"/>
      <c r="AA61" s="33"/>
      <c r="AB61" s="33"/>
      <c r="AC61" s="33"/>
      <c r="AD61" s="33"/>
      <c r="AE61" s="33"/>
      <c r="AF61" s="33"/>
      <c r="AG61" s="33"/>
      <c r="AH61" s="33"/>
      <c r="AI61" s="33"/>
      <c r="AJ61" s="82" t="s">
        <v>380</v>
      </c>
      <c r="AK61" s="82" t="s">
        <v>381</v>
      </c>
      <c r="AL61" s="82"/>
    </row>
    <row r="62" spans="1:38">
      <c r="A62" s="33" t="s">
        <v>595</v>
      </c>
      <c r="B62" s="33"/>
      <c r="C62" s="33" t="s">
        <v>387</v>
      </c>
      <c r="D62" s="19" t="s">
        <v>434</v>
      </c>
      <c r="E62" s="4" t="s">
        <v>97</v>
      </c>
      <c r="F62" s="82">
        <v>4</v>
      </c>
      <c r="G62" s="82">
        <v>16</v>
      </c>
      <c r="H62" s="82">
        <v>0</v>
      </c>
      <c r="I62" s="12">
        <v>100</v>
      </c>
      <c r="J62" s="82">
        <f t="shared" si="2"/>
        <v>16</v>
      </c>
      <c r="K62" s="82"/>
      <c r="L62" s="33"/>
      <c r="M62" s="33"/>
      <c r="N62" s="33"/>
      <c r="O62" s="33"/>
      <c r="P62" s="33"/>
      <c r="Q62" s="33"/>
      <c r="R62" s="33"/>
      <c r="S62" s="33"/>
      <c r="T62" s="33"/>
      <c r="U62" s="33"/>
      <c r="V62" s="33"/>
      <c r="W62" s="82"/>
      <c r="X62" s="33"/>
      <c r="Y62" s="33"/>
      <c r="Z62" s="33"/>
      <c r="AA62" s="33"/>
      <c r="AB62" s="33"/>
      <c r="AC62" s="33"/>
      <c r="AD62" s="33"/>
      <c r="AE62" s="33"/>
      <c r="AF62" s="33"/>
      <c r="AG62" s="33"/>
      <c r="AH62" s="33"/>
      <c r="AI62" s="33"/>
      <c r="AJ62" s="82" t="s">
        <v>380</v>
      </c>
      <c r="AK62" s="82" t="s">
        <v>381</v>
      </c>
      <c r="AL62" s="82"/>
    </row>
    <row r="63" spans="1:38">
      <c r="A63" s="33" t="s">
        <v>438</v>
      </c>
      <c r="B63" s="33"/>
      <c r="C63" s="33" t="s">
        <v>387</v>
      </c>
      <c r="D63" s="4" t="s">
        <v>378</v>
      </c>
      <c r="E63" s="33" t="s">
        <v>32</v>
      </c>
      <c r="F63" s="82">
        <v>6</v>
      </c>
      <c r="G63" s="82">
        <v>20</v>
      </c>
      <c r="H63" s="82">
        <v>0</v>
      </c>
      <c r="I63" s="82">
        <v>201</v>
      </c>
      <c r="J63" s="82">
        <f t="shared" si="2"/>
        <v>20</v>
      </c>
      <c r="K63" s="82"/>
      <c r="L63" s="33"/>
      <c r="M63" s="33"/>
      <c r="N63" s="33"/>
      <c r="O63" s="33"/>
      <c r="P63" s="33"/>
      <c r="Q63" s="33"/>
      <c r="R63" s="33"/>
      <c r="S63" s="33"/>
      <c r="T63" s="33"/>
      <c r="U63" s="33"/>
      <c r="V63" s="33"/>
      <c r="W63" s="82"/>
      <c r="X63" s="33"/>
      <c r="Y63" s="33"/>
      <c r="Z63" s="33"/>
      <c r="AA63" s="33"/>
      <c r="AB63" s="33"/>
      <c r="AC63" s="33"/>
      <c r="AD63" s="33"/>
      <c r="AE63" s="33"/>
      <c r="AF63" s="33"/>
      <c r="AG63" s="33"/>
      <c r="AH63" s="33"/>
      <c r="AI63" s="33"/>
      <c r="AJ63" s="82" t="s">
        <v>380</v>
      </c>
      <c r="AK63" s="82" t="s">
        <v>381</v>
      </c>
      <c r="AL63" s="82"/>
    </row>
    <row r="64" spans="1:38">
      <c r="A64" s="33" t="s">
        <v>439</v>
      </c>
      <c r="B64" s="33"/>
      <c r="C64" s="33" t="s">
        <v>387</v>
      </c>
      <c r="D64" s="4" t="s">
        <v>378</v>
      </c>
      <c r="E64" s="33" t="s">
        <v>32</v>
      </c>
      <c r="F64" s="82">
        <v>6</v>
      </c>
      <c r="G64" s="82">
        <v>20</v>
      </c>
      <c r="H64" s="82">
        <v>0</v>
      </c>
      <c r="I64" s="82">
        <v>201</v>
      </c>
      <c r="J64" s="82">
        <f t="shared" si="2"/>
        <v>20</v>
      </c>
      <c r="K64" s="82"/>
      <c r="L64" s="33"/>
      <c r="M64" s="33"/>
      <c r="N64" s="33"/>
      <c r="O64" s="33"/>
      <c r="P64" s="33"/>
      <c r="Q64" s="33"/>
      <c r="R64" s="33"/>
      <c r="S64" s="33"/>
      <c r="T64" s="33"/>
      <c r="U64" s="33"/>
      <c r="V64" s="33"/>
      <c r="W64" s="82"/>
      <c r="X64" s="33"/>
      <c r="Y64" s="33"/>
      <c r="Z64" s="33"/>
      <c r="AA64" s="33"/>
      <c r="AB64" s="33"/>
      <c r="AC64" s="33"/>
      <c r="AD64" s="33"/>
      <c r="AE64" s="33"/>
      <c r="AF64" s="33"/>
      <c r="AG64" s="33"/>
      <c r="AH64" s="33"/>
      <c r="AI64" s="33"/>
      <c r="AJ64" s="82" t="s">
        <v>380</v>
      </c>
      <c r="AK64" s="82" t="s">
        <v>381</v>
      </c>
      <c r="AL64" s="82"/>
    </row>
    <row r="65" spans="1:38">
      <c r="A65" s="33" t="s">
        <v>570</v>
      </c>
      <c r="B65" s="33"/>
      <c r="C65" s="33" t="s">
        <v>387</v>
      </c>
      <c r="D65" s="4" t="s">
        <v>378</v>
      </c>
      <c r="E65" s="33" t="s">
        <v>32</v>
      </c>
      <c r="F65" s="82">
        <v>6</v>
      </c>
      <c r="G65" s="82">
        <v>20</v>
      </c>
      <c r="H65" s="82">
        <v>0</v>
      </c>
      <c r="I65" s="82">
        <v>201</v>
      </c>
      <c r="J65" s="82">
        <f t="shared" si="2"/>
        <v>20</v>
      </c>
      <c r="K65" s="82"/>
      <c r="L65" s="33"/>
      <c r="M65" s="33"/>
      <c r="N65" s="33"/>
      <c r="O65" s="33"/>
      <c r="P65" s="33"/>
      <c r="Q65" s="33"/>
      <c r="R65" s="33"/>
      <c r="S65" s="33"/>
      <c r="T65" s="33"/>
      <c r="U65" s="33"/>
      <c r="V65" s="33"/>
      <c r="W65" s="82"/>
      <c r="X65" s="33"/>
      <c r="Y65" s="33"/>
      <c r="Z65" s="33"/>
      <c r="AA65" s="33"/>
      <c r="AB65" s="33"/>
      <c r="AC65" s="33"/>
      <c r="AD65" s="33"/>
      <c r="AE65" s="33"/>
      <c r="AF65" s="33"/>
      <c r="AG65" s="33"/>
      <c r="AH65" s="33"/>
      <c r="AI65" s="33"/>
      <c r="AJ65" s="82" t="s">
        <v>380</v>
      </c>
      <c r="AK65" s="82" t="s">
        <v>381</v>
      </c>
      <c r="AL65" s="82"/>
    </row>
    <row r="66" spans="1:38">
      <c r="A66" s="33" t="s">
        <v>571</v>
      </c>
      <c r="B66" s="33"/>
      <c r="C66" s="33" t="s">
        <v>387</v>
      </c>
      <c r="D66" s="4" t="s">
        <v>378</v>
      </c>
      <c r="E66" s="33" t="s">
        <v>32</v>
      </c>
      <c r="F66" s="82">
        <v>6</v>
      </c>
      <c r="G66" s="82">
        <v>20</v>
      </c>
      <c r="H66" s="82">
        <v>0</v>
      </c>
      <c r="I66" s="82">
        <v>201</v>
      </c>
      <c r="J66" s="82">
        <f t="shared" si="2"/>
        <v>20</v>
      </c>
      <c r="K66" s="82"/>
      <c r="L66" s="33"/>
      <c r="M66" s="33"/>
      <c r="N66" s="33"/>
      <c r="O66" s="33"/>
      <c r="P66" s="33"/>
      <c r="Q66" s="33"/>
      <c r="R66" s="33"/>
      <c r="S66" s="33"/>
      <c r="T66" s="33"/>
      <c r="U66" s="33"/>
      <c r="V66" s="33"/>
      <c r="W66" s="82"/>
      <c r="X66" s="33"/>
      <c r="Y66" s="33"/>
      <c r="Z66" s="33"/>
      <c r="AA66" s="33"/>
      <c r="AB66" s="33"/>
      <c r="AC66" s="33"/>
      <c r="AD66" s="33"/>
      <c r="AE66" s="33"/>
      <c r="AF66" s="33"/>
      <c r="AG66" s="33"/>
      <c r="AH66" s="33"/>
      <c r="AI66" s="33"/>
      <c r="AJ66" s="82" t="s">
        <v>380</v>
      </c>
      <c r="AK66" s="82" t="s">
        <v>381</v>
      </c>
      <c r="AL66" s="82"/>
    </row>
    <row r="67" spans="1:38">
      <c r="A67" s="33" t="s">
        <v>440</v>
      </c>
      <c r="B67" s="33"/>
      <c r="C67" s="33" t="s">
        <v>387</v>
      </c>
      <c r="D67" s="4" t="s">
        <v>378</v>
      </c>
      <c r="E67" s="33" t="s">
        <v>48</v>
      </c>
      <c r="F67" s="82">
        <v>2</v>
      </c>
      <c r="G67" s="82">
        <v>4</v>
      </c>
      <c r="H67" s="82">
        <v>0</v>
      </c>
      <c r="I67" s="82">
        <v>41</v>
      </c>
      <c r="J67" s="82">
        <f t="shared" si="2"/>
        <v>4</v>
      </c>
      <c r="K67" s="82"/>
      <c r="L67" s="33"/>
      <c r="M67" s="33"/>
      <c r="N67" s="33"/>
      <c r="O67" s="33"/>
      <c r="P67" s="33"/>
      <c r="Q67" s="33"/>
      <c r="R67" s="33"/>
      <c r="S67" s="33"/>
      <c r="T67" s="33"/>
      <c r="U67" s="33"/>
      <c r="V67" s="33"/>
      <c r="W67" s="82"/>
      <c r="X67" s="33"/>
      <c r="Y67" s="33"/>
      <c r="Z67" s="33"/>
      <c r="AA67" s="33"/>
      <c r="AB67" s="33"/>
      <c r="AC67" s="33"/>
      <c r="AD67" s="33"/>
      <c r="AE67" s="33"/>
      <c r="AF67" s="33"/>
      <c r="AG67" s="33"/>
      <c r="AH67" s="33"/>
      <c r="AI67" s="33"/>
      <c r="AJ67" s="82" t="s">
        <v>380</v>
      </c>
      <c r="AK67" s="82" t="s">
        <v>381</v>
      </c>
      <c r="AL67" s="82"/>
    </row>
    <row r="68" spans="1:38">
      <c r="A68" s="33" t="s">
        <v>441</v>
      </c>
      <c r="B68" s="33"/>
      <c r="C68" s="33" t="s">
        <v>387</v>
      </c>
      <c r="D68" s="4" t="s">
        <v>378</v>
      </c>
      <c r="E68" s="33" t="s">
        <v>40</v>
      </c>
      <c r="F68" s="82">
        <v>2</v>
      </c>
      <c r="G68" s="82">
        <v>4</v>
      </c>
      <c r="H68" s="82">
        <v>0</v>
      </c>
      <c r="I68" s="82">
        <v>31</v>
      </c>
      <c r="J68" s="82">
        <f t="shared" si="2"/>
        <v>4</v>
      </c>
      <c r="K68" s="82"/>
      <c r="L68" s="33"/>
      <c r="M68" s="33"/>
      <c r="N68" s="33"/>
      <c r="O68" s="33"/>
      <c r="P68" s="33"/>
      <c r="Q68" s="33"/>
      <c r="R68" s="33"/>
      <c r="S68" s="33"/>
      <c r="T68" s="33"/>
      <c r="U68" s="33"/>
      <c r="V68" s="33"/>
      <c r="W68" s="82"/>
      <c r="X68" s="33"/>
      <c r="Y68" s="33"/>
      <c r="Z68" s="33"/>
      <c r="AA68" s="33"/>
      <c r="AB68" s="33"/>
      <c r="AC68" s="33"/>
      <c r="AD68" s="33"/>
      <c r="AE68" s="33"/>
      <c r="AF68" s="33"/>
      <c r="AG68" s="33"/>
      <c r="AH68" s="33"/>
      <c r="AI68" s="33"/>
      <c r="AJ68" s="82" t="s">
        <v>380</v>
      </c>
      <c r="AK68" s="82" t="s">
        <v>381</v>
      </c>
      <c r="AL68" s="82"/>
    </row>
    <row r="69" spans="1:38">
      <c r="A69" s="33" t="s">
        <v>442</v>
      </c>
      <c r="B69" s="33"/>
      <c r="C69" s="33" t="s">
        <v>387</v>
      </c>
      <c r="D69" s="4" t="s">
        <v>378</v>
      </c>
      <c r="E69" s="33" t="s">
        <v>44</v>
      </c>
      <c r="F69" s="82">
        <v>4</v>
      </c>
      <c r="G69" s="82">
        <v>4</v>
      </c>
      <c r="H69" s="82">
        <v>0</v>
      </c>
      <c r="I69" s="82">
        <v>36</v>
      </c>
      <c r="J69" s="82">
        <f t="shared" si="2"/>
        <v>4</v>
      </c>
      <c r="K69" s="82"/>
      <c r="L69" s="33"/>
      <c r="M69" s="33"/>
      <c r="N69" s="33"/>
      <c r="O69" s="33"/>
      <c r="P69" s="33"/>
      <c r="Q69" s="33"/>
      <c r="R69" s="33"/>
      <c r="S69" s="33"/>
      <c r="T69" s="33"/>
      <c r="U69" s="33"/>
      <c r="V69" s="33"/>
      <c r="W69" s="82"/>
      <c r="X69" s="33"/>
      <c r="Y69" s="33"/>
      <c r="Z69" s="33"/>
      <c r="AA69" s="33"/>
      <c r="AB69" s="33"/>
      <c r="AC69" s="33"/>
      <c r="AD69" s="33"/>
      <c r="AE69" s="33"/>
      <c r="AF69" s="33"/>
      <c r="AG69" s="33"/>
      <c r="AH69" s="33"/>
      <c r="AI69" s="33"/>
      <c r="AJ69" s="82" t="s">
        <v>380</v>
      </c>
      <c r="AK69" s="82" t="s">
        <v>381</v>
      </c>
      <c r="AL69" s="82"/>
    </row>
    <row r="70" spans="1:38" ht="14.5">
      <c r="A70" s="33" t="s">
        <v>443</v>
      </c>
      <c r="B70" s="33"/>
      <c r="C70" s="33" t="s">
        <v>387</v>
      </c>
      <c r="D70" s="4" t="s">
        <v>378</v>
      </c>
      <c r="E70" s="33" t="s">
        <v>247</v>
      </c>
      <c r="F70" s="82">
        <v>7</v>
      </c>
      <c r="G70" s="82">
        <v>8</v>
      </c>
      <c r="H70" s="82">
        <v>0</v>
      </c>
      <c r="I70" s="12">
        <v>111</v>
      </c>
      <c r="J70" s="82">
        <f t="shared" si="2"/>
        <v>8</v>
      </c>
      <c r="K70" s="42"/>
      <c r="L70" s="82"/>
      <c r="M70" s="82"/>
      <c r="N70" s="42"/>
      <c r="O70" s="41"/>
      <c r="P70" s="82"/>
      <c r="Q70" s="82"/>
      <c r="R70" s="82"/>
      <c r="S70" s="82"/>
      <c r="T70" s="82"/>
      <c r="U70" s="82"/>
      <c r="V70" s="82"/>
      <c r="W70" s="82"/>
      <c r="X70" s="82"/>
      <c r="Y70" s="33"/>
      <c r="Z70" s="82"/>
      <c r="AA70" s="82"/>
      <c r="AB70" s="82"/>
      <c r="AC70" s="82"/>
      <c r="AD70" s="82"/>
      <c r="AE70" s="82"/>
      <c r="AF70" s="82"/>
      <c r="AG70" s="82"/>
      <c r="AH70" s="82"/>
      <c r="AI70" s="82"/>
      <c r="AJ70" s="82" t="s">
        <v>380</v>
      </c>
      <c r="AK70" s="82" t="s">
        <v>381</v>
      </c>
      <c r="AL70" s="82" t="s">
        <v>381</v>
      </c>
    </row>
    <row r="71" spans="1:38" ht="14.5">
      <c r="A71" s="33" t="s">
        <v>596</v>
      </c>
      <c r="B71" s="33"/>
      <c r="C71" s="33" t="s">
        <v>387</v>
      </c>
      <c r="D71" s="4" t="s">
        <v>378</v>
      </c>
      <c r="E71" s="33" t="s">
        <v>247</v>
      </c>
      <c r="F71" s="82">
        <v>6</v>
      </c>
      <c r="G71" s="82">
        <v>7</v>
      </c>
      <c r="H71" s="82">
        <v>0</v>
      </c>
      <c r="I71" s="12">
        <v>111</v>
      </c>
      <c r="J71" s="82">
        <f t="shared" si="2"/>
        <v>7</v>
      </c>
      <c r="K71" s="42"/>
      <c r="L71" s="82"/>
      <c r="M71" s="82"/>
      <c r="N71" s="42"/>
      <c r="O71" s="41"/>
      <c r="P71" s="82"/>
      <c r="Q71" s="82"/>
      <c r="R71" s="82"/>
      <c r="S71" s="82"/>
      <c r="T71" s="82"/>
      <c r="U71" s="82"/>
      <c r="V71" s="82"/>
      <c r="W71" s="82"/>
      <c r="X71" s="82"/>
      <c r="Y71" s="33"/>
      <c r="Z71" s="82"/>
      <c r="AA71" s="82"/>
      <c r="AB71" s="82"/>
      <c r="AC71" s="82"/>
      <c r="AD71" s="82"/>
      <c r="AE71" s="82"/>
      <c r="AF71" s="82"/>
      <c r="AG71" s="82"/>
      <c r="AH71" s="82"/>
      <c r="AI71" s="82"/>
      <c r="AJ71" s="82" t="s">
        <v>380</v>
      </c>
      <c r="AK71" s="82" t="s">
        <v>381</v>
      </c>
      <c r="AL71" s="82"/>
    </row>
    <row r="72" spans="1:38" ht="14.5">
      <c r="A72" s="4" t="s">
        <v>484</v>
      </c>
      <c r="C72" s="4" t="s">
        <v>387</v>
      </c>
      <c r="D72" s="4" t="s">
        <v>378</v>
      </c>
      <c r="E72" s="4" t="s">
        <v>67</v>
      </c>
      <c r="F72" s="12">
        <v>2</v>
      </c>
      <c r="G72" s="12">
        <v>2</v>
      </c>
      <c r="H72" s="12">
        <v>0</v>
      </c>
      <c r="I72" s="12">
        <v>16</v>
      </c>
      <c r="J72" s="82">
        <f t="shared" si="2"/>
        <v>2</v>
      </c>
      <c r="K72" s="42"/>
      <c r="L72" s="82"/>
      <c r="M72" s="82"/>
      <c r="N72" s="42"/>
      <c r="O72" s="41"/>
      <c r="P72" s="82"/>
      <c r="Q72" s="82"/>
      <c r="R72" s="82"/>
      <c r="S72" s="82"/>
      <c r="T72" s="82"/>
      <c r="U72" s="82"/>
      <c r="V72" s="82"/>
      <c r="W72" s="82"/>
      <c r="X72" s="82"/>
      <c r="Y72" s="33"/>
      <c r="Z72" s="82"/>
      <c r="AA72" s="82"/>
      <c r="AB72" s="82"/>
      <c r="AC72" s="82"/>
      <c r="AD72" s="82"/>
      <c r="AE72" s="82"/>
      <c r="AF72" s="82"/>
      <c r="AG72" s="82"/>
      <c r="AH72" s="82"/>
      <c r="AI72" s="82"/>
      <c r="AJ72" s="82" t="s">
        <v>380</v>
      </c>
      <c r="AK72" s="82" t="s">
        <v>381</v>
      </c>
      <c r="AL72" s="82"/>
    </row>
    <row r="73" spans="1:38" ht="14.5">
      <c r="A73" s="4" t="s">
        <v>485</v>
      </c>
      <c r="C73" s="4" t="s">
        <v>387</v>
      </c>
      <c r="D73" s="4" t="s">
        <v>378</v>
      </c>
      <c r="E73" s="4" t="s">
        <v>67</v>
      </c>
      <c r="F73" s="12">
        <v>2</v>
      </c>
      <c r="G73" s="12">
        <v>2</v>
      </c>
      <c r="H73" s="12">
        <v>0</v>
      </c>
      <c r="I73" s="12">
        <v>16</v>
      </c>
      <c r="J73" s="82">
        <f t="shared" si="2"/>
        <v>2</v>
      </c>
      <c r="K73" s="42"/>
      <c r="L73" s="82"/>
      <c r="M73" s="82"/>
      <c r="N73" s="42"/>
      <c r="O73" s="41"/>
      <c r="P73" s="82"/>
      <c r="Q73" s="82"/>
      <c r="R73" s="82"/>
      <c r="S73" s="82"/>
      <c r="T73" s="82"/>
      <c r="U73" s="82"/>
      <c r="V73" s="82"/>
      <c r="W73" s="82"/>
      <c r="X73" s="82"/>
      <c r="Y73" s="33"/>
      <c r="Z73" s="82"/>
      <c r="AA73" s="82"/>
      <c r="AB73" s="82"/>
      <c r="AC73" s="82"/>
      <c r="AD73" s="82"/>
      <c r="AE73" s="82"/>
      <c r="AF73" s="82"/>
      <c r="AG73" s="82"/>
      <c r="AH73" s="82"/>
      <c r="AI73" s="82"/>
      <c r="AJ73" s="82" t="s">
        <v>380</v>
      </c>
      <c r="AK73" s="82" t="s">
        <v>381</v>
      </c>
      <c r="AL73" s="82"/>
    </row>
    <row r="74" spans="1:38" ht="14.5">
      <c r="A74" s="4" t="s">
        <v>486</v>
      </c>
      <c r="C74" s="4" t="s">
        <v>387</v>
      </c>
      <c r="D74" s="4" t="s">
        <v>378</v>
      </c>
      <c r="E74" s="4" t="s">
        <v>71</v>
      </c>
      <c r="F74" s="12">
        <v>6</v>
      </c>
      <c r="G74" s="12">
        <v>5</v>
      </c>
      <c r="H74" s="12">
        <v>0</v>
      </c>
      <c r="I74" s="12">
        <v>41</v>
      </c>
      <c r="J74" s="82">
        <f t="shared" si="2"/>
        <v>5</v>
      </c>
      <c r="K74" s="42"/>
      <c r="L74" s="82"/>
      <c r="M74" s="82"/>
      <c r="N74" s="42"/>
      <c r="O74" s="41"/>
      <c r="P74" s="82"/>
      <c r="Q74" s="82"/>
      <c r="R74" s="82"/>
      <c r="S74" s="82"/>
      <c r="T74" s="82"/>
      <c r="U74" s="82"/>
      <c r="V74" s="82"/>
      <c r="W74" s="82"/>
      <c r="X74" s="82"/>
      <c r="Y74" s="33"/>
      <c r="Z74" s="82"/>
      <c r="AA74" s="82"/>
      <c r="AB74" s="82"/>
      <c r="AC74" s="82"/>
      <c r="AD74" s="82"/>
      <c r="AE74" s="82"/>
      <c r="AF74" s="82"/>
      <c r="AG74" s="82"/>
      <c r="AH74" s="82"/>
      <c r="AI74" s="82"/>
      <c r="AJ74" s="82" t="s">
        <v>380</v>
      </c>
      <c r="AK74" s="82" t="s">
        <v>381</v>
      </c>
      <c r="AL74" s="82"/>
    </row>
    <row r="75" spans="1:38" ht="14.5">
      <c r="A75" s="4" t="s">
        <v>487</v>
      </c>
      <c r="C75" s="4" t="s">
        <v>387</v>
      </c>
      <c r="D75" s="4" t="s">
        <v>378</v>
      </c>
      <c r="E75" s="4" t="s">
        <v>75</v>
      </c>
      <c r="F75" s="12">
        <v>2</v>
      </c>
      <c r="G75" s="12">
        <v>2</v>
      </c>
      <c r="H75" s="12">
        <v>0</v>
      </c>
      <c r="I75" s="12">
        <v>31</v>
      </c>
      <c r="J75" s="12">
        <f t="shared" si="2"/>
        <v>2</v>
      </c>
      <c r="K75" s="42"/>
      <c r="L75" s="82"/>
      <c r="M75" s="82"/>
      <c r="N75" s="42"/>
      <c r="O75" s="41"/>
      <c r="P75" s="82"/>
      <c r="Q75" s="82"/>
      <c r="R75" s="82"/>
      <c r="S75" s="82"/>
      <c r="T75" s="82"/>
      <c r="U75" s="82"/>
      <c r="V75" s="82"/>
      <c r="W75" s="82"/>
      <c r="X75" s="82"/>
      <c r="Y75" s="33"/>
      <c r="Z75" s="82"/>
      <c r="AA75" s="82"/>
      <c r="AB75" s="82"/>
      <c r="AC75" s="82"/>
      <c r="AD75" s="82"/>
      <c r="AE75" s="82"/>
      <c r="AF75" s="82"/>
      <c r="AG75" s="82"/>
      <c r="AH75" s="82"/>
      <c r="AI75" s="82"/>
      <c r="AJ75" s="82" t="s">
        <v>380</v>
      </c>
      <c r="AK75" s="82" t="s">
        <v>381</v>
      </c>
      <c r="AL75" s="82"/>
    </row>
    <row r="76" spans="1:38" ht="14.5">
      <c r="A76" s="4" t="s">
        <v>572</v>
      </c>
      <c r="C76" s="4" t="s">
        <v>387</v>
      </c>
      <c r="D76" s="4" t="s">
        <v>528</v>
      </c>
      <c r="E76" s="4" t="s">
        <v>95</v>
      </c>
      <c r="F76" s="12">
        <v>12</v>
      </c>
      <c r="G76" s="12">
        <v>24</v>
      </c>
      <c r="H76" s="12">
        <v>0</v>
      </c>
      <c r="I76" s="12">
        <v>2098</v>
      </c>
      <c r="J76" s="12">
        <f t="shared" si="2"/>
        <v>24</v>
      </c>
      <c r="K76" s="42"/>
      <c r="L76" s="82"/>
      <c r="M76" s="82"/>
      <c r="N76" s="42"/>
      <c r="O76" s="41"/>
      <c r="P76" s="82"/>
      <c r="Q76" s="82"/>
      <c r="R76" s="82"/>
      <c r="S76" s="82"/>
      <c r="T76" s="82"/>
      <c r="U76" s="82"/>
      <c r="V76" s="82"/>
      <c r="W76" s="82"/>
      <c r="X76" s="82"/>
      <c r="Y76" s="33"/>
      <c r="Z76" s="82"/>
      <c r="AA76" s="82"/>
      <c r="AB76" s="82"/>
      <c r="AC76" s="82"/>
      <c r="AD76" s="82"/>
      <c r="AE76" s="82"/>
      <c r="AF76" s="82"/>
      <c r="AG76" s="82"/>
      <c r="AH76" s="82"/>
      <c r="AI76" s="82"/>
      <c r="AJ76" s="82" t="s">
        <v>380</v>
      </c>
      <c r="AK76" s="82" t="s">
        <v>381</v>
      </c>
      <c r="AL76" s="82"/>
    </row>
    <row r="77" spans="1:38" s="17" customFormat="1" ht="14.5">
      <c r="A77" s="17" t="s">
        <v>490</v>
      </c>
      <c r="C77" s="17" t="s">
        <v>387</v>
      </c>
      <c r="D77" s="17" t="s">
        <v>378</v>
      </c>
      <c r="E77" s="17" t="s">
        <v>99</v>
      </c>
      <c r="F77" s="15">
        <v>2</v>
      </c>
      <c r="G77" s="15">
        <v>10</v>
      </c>
      <c r="H77" s="15">
        <v>0</v>
      </c>
      <c r="I77" s="15">
        <v>60</v>
      </c>
      <c r="J77" s="15">
        <f t="shared" si="2"/>
        <v>10</v>
      </c>
      <c r="K77" s="111"/>
      <c r="L77" s="36"/>
      <c r="M77" s="36"/>
      <c r="N77" s="111"/>
      <c r="O77" s="112"/>
      <c r="P77" s="36"/>
      <c r="Q77" s="36"/>
      <c r="R77" s="36"/>
      <c r="S77" s="36"/>
      <c r="T77" s="36"/>
      <c r="U77" s="36"/>
      <c r="V77" s="36"/>
      <c r="W77" s="36"/>
      <c r="X77" s="36"/>
      <c r="Y77" s="43"/>
      <c r="Z77" s="36"/>
      <c r="AA77" s="36"/>
      <c r="AB77" s="36"/>
      <c r="AC77" s="36"/>
      <c r="AD77" s="36"/>
      <c r="AE77" s="36"/>
      <c r="AF77" s="36"/>
      <c r="AG77" s="36"/>
      <c r="AH77" s="36"/>
      <c r="AI77" s="36"/>
      <c r="AJ77" s="36" t="s">
        <v>380</v>
      </c>
      <c r="AK77" s="36" t="s">
        <v>381</v>
      </c>
      <c r="AL77" s="36"/>
    </row>
    <row r="78" spans="1:38">
      <c r="A78" s="33"/>
      <c r="B78" s="33"/>
      <c r="C78" s="33"/>
      <c r="D78" s="33"/>
      <c r="E78" s="33"/>
      <c r="F78" s="82">
        <f>SUM(F52:F77)+F48</f>
        <v>360</v>
      </c>
      <c r="G78" s="82">
        <f t="shared" ref="G78:I78" si="3">SUM(G52:G77)+G48</f>
        <v>980</v>
      </c>
      <c r="H78" s="82">
        <f t="shared" si="3"/>
        <v>375.25</v>
      </c>
      <c r="I78" s="82">
        <f t="shared" si="3"/>
        <v>7686</v>
      </c>
      <c r="J78" s="82"/>
      <c r="K78" s="82"/>
      <c r="L78" s="82">
        <f t="shared" ref="L78" si="4">SUM(L52:L77)+L48</f>
        <v>130</v>
      </c>
      <c r="M78" s="82"/>
      <c r="N78" s="82">
        <f t="shared" ref="N78" si="5">SUM(N52:N77)+N48</f>
        <v>2500</v>
      </c>
      <c r="O78" s="82"/>
      <c r="P78" s="82">
        <f t="shared" ref="P78" si="6">SUM(P52:P77)+P48</f>
        <v>3750</v>
      </c>
      <c r="Q78" s="82"/>
      <c r="R78" s="82">
        <f t="shared" ref="R78" si="7">SUM(R52:R77)+R48</f>
        <v>720</v>
      </c>
      <c r="S78" s="82"/>
      <c r="T78" s="82">
        <f t="shared" ref="T78" si="8">SUM(T52:T77)+T48</f>
        <v>300</v>
      </c>
      <c r="U78" s="82"/>
      <c r="V78" s="82">
        <f t="shared" ref="V78" si="9">SUM(V52:V77)+V48</f>
        <v>0</v>
      </c>
      <c r="W78" s="82"/>
      <c r="X78" s="82">
        <f t="shared" ref="X78" si="10">SUM(X52:X77)+X48</f>
        <v>11715</v>
      </c>
      <c r="Y78" s="33"/>
      <c r="Z78" s="82">
        <f t="shared" ref="Z78" si="11">SUM(Z52:Z77)+Z48</f>
        <v>200</v>
      </c>
      <c r="AA78" s="33"/>
      <c r="AB78" s="82">
        <f t="shared" ref="AB78" si="12">SUM(AB52:AB77)+AB48</f>
        <v>50</v>
      </c>
      <c r="AC78" s="33"/>
      <c r="AD78" s="82">
        <f t="shared" ref="AD78" si="13">SUM(AD52:AD77)+AD48</f>
        <v>170</v>
      </c>
      <c r="AE78" s="33"/>
      <c r="AF78" s="82">
        <f t="shared" ref="AF78" si="14">SUM(AF52:AF77)+AF48</f>
        <v>200</v>
      </c>
      <c r="AG78" s="33"/>
      <c r="AH78" s="82">
        <f t="shared" ref="AH78" si="15">SUM(AH52:AH77)+AH48</f>
        <v>3700</v>
      </c>
      <c r="AI78" s="33"/>
      <c r="AJ78" s="33"/>
      <c r="AK78" s="82" t="s">
        <v>723</v>
      </c>
      <c r="AL78" s="82">
        <f>3</f>
        <v>3</v>
      </c>
    </row>
    <row r="79" spans="1:38">
      <c r="A79" s="33"/>
      <c r="B79" s="33"/>
      <c r="C79" s="33"/>
      <c r="D79" s="33"/>
      <c r="E79" s="33"/>
      <c r="F79" s="33"/>
      <c r="G79" s="33"/>
      <c r="H79" s="33"/>
      <c r="I79" s="33"/>
      <c r="J79" s="33"/>
      <c r="K79" s="33"/>
      <c r="L79" s="33"/>
      <c r="M79" s="33"/>
      <c r="N79" s="33"/>
      <c r="O79" s="33"/>
      <c r="P79" s="33"/>
      <c r="Q79" s="33"/>
      <c r="R79" s="33"/>
      <c r="S79" s="33"/>
      <c r="T79" s="33"/>
      <c r="U79" s="33"/>
      <c r="V79" s="33"/>
      <c r="W79" s="82"/>
      <c r="X79" s="33"/>
      <c r="Y79" s="33"/>
      <c r="Z79" s="33"/>
      <c r="AA79" s="33"/>
      <c r="AB79" s="33"/>
      <c r="AC79" s="33"/>
      <c r="AD79" s="33"/>
      <c r="AE79" s="33"/>
      <c r="AF79" s="33"/>
      <c r="AG79" s="33"/>
      <c r="AH79" s="33"/>
      <c r="AI79" s="33"/>
      <c r="AJ79" s="33"/>
      <c r="AK79" s="33"/>
      <c r="AL79" s="33"/>
    </row>
    <row r="80" spans="1:38" ht="13">
      <c r="A80" s="14" t="s">
        <v>503</v>
      </c>
      <c r="B80" s="33"/>
      <c r="C80" s="33"/>
      <c r="D80" s="33"/>
      <c r="E80" s="33"/>
      <c r="F80" s="33"/>
      <c r="G80" s="33"/>
      <c r="H80" s="33"/>
      <c r="I80" s="33"/>
      <c r="J80" s="33"/>
      <c r="K80" s="33"/>
      <c r="L80" s="33"/>
      <c r="M80" s="33"/>
      <c r="N80" s="33"/>
      <c r="O80" s="33"/>
      <c r="P80" s="33"/>
      <c r="Q80" s="33"/>
      <c r="R80" s="33"/>
      <c r="S80" s="33"/>
      <c r="T80" s="33"/>
      <c r="U80" s="33"/>
      <c r="V80" s="33"/>
      <c r="W80" s="82"/>
      <c r="X80" s="33"/>
      <c r="Y80" s="33"/>
      <c r="Z80" s="33"/>
      <c r="AA80" s="33"/>
      <c r="AB80" s="33"/>
      <c r="AC80" s="33"/>
      <c r="AD80" s="33"/>
      <c r="AE80" s="33"/>
      <c r="AF80" s="33"/>
      <c r="AG80" s="33"/>
      <c r="AH80" s="33"/>
      <c r="AI80" s="33"/>
      <c r="AJ80" s="33"/>
      <c r="AK80" s="33"/>
      <c r="AL80" s="33"/>
    </row>
    <row r="81" spans="1:38">
      <c r="A81" s="33"/>
      <c r="B81" s="33"/>
      <c r="C81" s="33"/>
      <c r="D81" s="33"/>
      <c r="E81" s="33"/>
      <c r="F81" s="33"/>
      <c r="G81" s="33"/>
      <c r="H81" s="33"/>
      <c r="I81" s="33"/>
      <c r="J81" s="33"/>
      <c r="K81" s="33"/>
      <c r="L81" s="33"/>
      <c r="M81" s="33"/>
      <c r="N81" s="33"/>
      <c r="O81" s="33"/>
      <c r="P81" s="33"/>
      <c r="Q81" s="33"/>
      <c r="R81" s="33"/>
      <c r="S81" s="33"/>
      <c r="T81" s="33"/>
      <c r="U81" s="33"/>
      <c r="V81" s="33"/>
      <c r="W81" s="82"/>
      <c r="X81" s="33"/>
      <c r="Y81" s="33"/>
      <c r="Z81" s="33"/>
      <c r="AA81" s="33"/>
      <c r="AB81" s="33"/>
      <c r="AC81" s="33"/>
      <c r="AD81" s="33"/>
      <c r="AE81" s="33"/>
      <c r="AF81" s="33"/>
      <c r="AG81" s="33"/>
      <c r="AH81" s="33"/>
      <c r="AI81" s="33"/>
      <c r="AJ81" s="33"/>
      <c r="AK81" s="33"/>
      <c r="AL81" s="33"/>
    </row>
    <row r="82" spans="1:38">
      <c r="A82" s="4" t="s">
        <v>504</v>
      </c>
      <c r="C82" s="4" t="s">
        <v>505</v>
      </c>
      <c r="D82" s="4" t="s">
        <v>506</v>
      </c>
      <c r="E82" s="4" t="s">
        <v>19</v>
      </c>
      <c r="F82" s="12">
        <v>2</v>
      </c>
      <c r="G82" s="12">
        <v>4</v>
      </c>
      <c r="H82" s="12">
        <v>4</v>
      </c>
      <c r="I82" s="12">
        <v>350</v>
      </c>
      <c r="J82" s="12">
        <f t="shared" ref="J82:J87" si="16">G82-H82</f>
        <v>0</v>
      </c>
      <c r="K82" s="82" t="s">
        <v>507</v>
      </c>
      <c r="L82" s="82"/>
      <c r="M82" s="82"/>
      <c r="N82" s="82"/>
      <c r="O82" s="82"/>
      <c r="P82" s="82"/>
      <c r="Q82" s="82"/>
      <c r="R82" s="82"/>
      <c r="S82" s="82"/>
      <c r="T82" s="82"/>
      <c r="U82" s="82"/>
      <c r="V82" s="82"/>
      <c r="W82" s="82"/>
      <c r="X82" s="33"/>
      <c r="Y82" s="33"/>
      <c r="Z82" s="82"/>
      <c r="AA82" s="82"/>
      <c r="AB82" s="82"/>
      <c r="AC82" s="82"/>
      <c r="AD82" s="82"/>
      <c r="AE82" s="82"/>
      <c r="AF82" s="82"/>
      <c r="AG82" s="82"/>
      <c r="AH82" s="82"/>
      <c r="AI82" s="82"/>
      <c r="AJ82" s="82" t="s">
        <v>380</v>
      </c>
      <c r="AK82" s="82" t="s">
        <v>381</v>
      </c>
      <c r="AL82" s="82"/>
    </row>
    <row r="83" spans="1:38">
      <c r="A83" s="4" t="s">
        <v>509</v>
      </c>
      <c r="C83" s="4" t="s">
        <v>505</v>
      </c>
      <c r="D83" s="4" t="s">
        <v>506</v>
      </c>
      <c r="E83" s="4" t="s">
        <v>510</v>
      </c>
      <c r="F83" s="12">
        <v>6</v>
      </c>
      <c r="G83" s="12">
        <v>10</v>
      </c>
      <c r="H83" s="12">
        <v>10</v>
      </c>
      <c r="I83" s="12">
        <v>100</v>
      </c>
      <c r="J83" s="12">
        <f t="shared" si="16"/>
        <v>0</v>
      </c>
      <c r="K83" s="82" t="s">
        <v>507</v>
      </c>
      <c r="L83" s="82"/>
      <c r="M83" s="82"/>
      <c r="N83" s="82">
        <v>200</v>
      </c>
      <c r="O83" s="82" t="s">
        <v>508</v>
      </c>
      <c r="P83" s="82"/>
      <c r="Q83" s="82"/>
      <c r="R83" s="82"/>
      <c r="S83" s="82"/>
      <c r="T83" s="82"/>
      <c r="U83" s="82"/>
      <c r="V83" s="82"/>
      <c r="W83" s="82"/>
      <c r="X83" s="33"/>
      <c r="Y83" s="33"/>
      <c r="Z83" s="82"/>
      <c r="AA83" s="82"/>
      <c r="AB83" s="82"/>
      <c r="AC83" s="82"/>
      <c r="AD83" s="82"/>
      <c r="AE83" s="82"/>
      <c r="AF83" s="82"/>
      <c r="AG83" s="82"/>
      <c r="AH83" s="82"/>
      <c r="AI83" s="82"/>
      <c r="AJ83" s="82" t="s">
        <v>380</v>
      </c>
      <c r="AK83" s="82" t="s">
        <v>381</v>
      </c>
      <c r="AL83" s="82"/>
    </row>
    <row r="84" spans="1:38">
      <c r="A84" s="4" t="s">
        <v>511</v>
      </c>
      <c r="C84" s="4" t="s">
        <v>505</v>
      </c>
      <c r="D84" s="4" t="s">
        <v>506</v>
      </c>
      <c r="E84" s="4" t="s">
        <v>512</v>
      </c>
      <c r="F84" s="12">
        <v>8</v>
      </c>
      <c r="G84" s="12">
        <v>16</v>
      </c>
      <c r="H84" s="12">
        <v>16</v>
      </c>
      <c r="I84" s="12">
        <v>60</v>
      </c>
      <c r="J84" s="12">
        <f t="shared" si="16"/>
        <v>0</v>
      </c>
      <c r="K84" s="82" t="s">
        <v>513</v>
      </c>
      <c r="L84" s="82"/>
      <c r="M84" s="82"/>
      <c r="N84" s="82"/>
      <c r="O84" s="82"/>
      <c r="P84" s="82"/>
      <c r="Q84" s="82"/>
      <c r="R84" s="82"/>
      <c r="S84" s="82"/>
      <c r="T84" s="82"/>
      <c r="U84" s="82"/>
      <c r="V84" s="82"/>
      <c r="W84" s="82"/>
      <c r="X84" s="33"/>
      <c r="Y84" s="33"/>
      <c r="Z84" s="82"/>
      <c r="AA84" s="82"/>
      <c r="AB84" s="82"/>
      <c r="AC84" s="82"/>
      <c r="AD84" s="82"/>
      <c r="AE84" s="82"/>
      <c r="AF84" s="82"/>
      <c r="AG84" s="82"/>
      <c r="AH84" s="82"/>
      <c r="AI84" s="82"/>
      <c r="AJ84" s="82" t="s">
        <v>396</v>
      </c>
      <c r="AK84" s="12" t="s">
        <v>397</v>
      </c>
      <c r="AL84" s="82"/>
    </row>
    <row r="85" spans="1:38">
      <c r="A85" s="4" t="s">
        <v>514</v>
      </c>
      <c r="C85" s="4" t="s">
        <v>505</v>
      </c>
      <c r="D85" s="4" t="s">
        <v>506</v>
      </c>
      <c r="E85" s="4" t="s">
        <v>515</v>
      </c>
      <c r="F85" s="12">
        <v>10</v>
      </c>
      <c r="G85" s="12">
        <v>10</v>
      </c>
      <c r="H85" s="12">
        <v>10</v>
      </c>
      <c r="I85" s="12">
        <v>40</v>
      </c>
      <c r="J85" s="12">
        <f t="shared" si="16"/>
        <v>0</v>
      </c>
      <c r="K85" s="82" t="s">
        <v>513</v>
      </c>
      <c r="L85" s="82"/>
      <c r="M85" s="82"/>
      <c r="N85" s="82"/>
      <c r="O85" s="82"/>
      <c r="P85" s="82"/>
      <c r="Q85" s="82"/>
      <c r="R85" s="82"/>
      <c r="S85" s="82"/>
      <c r="T85" s="82"/>
      <c r="U85" s="82"/>
      <c r="V85" s="82"/>
      <c r="W85" s="82"/>
      <c r="X85" s="33"/>
      <c r="Y85" s="33"/>
      <c r="Z85" s="82"/>
      <c r="AA85" s="82"/>
      <c r="AB85" s="82"/>
      <c r="AC85" s="82"/>
      <c r="AD85" s="82"/>
      <c r="AE85" s="82"/>
      <c r="AF85" s="82"/>
      <c r="AG85" s="82"/>
      <c r="AH85" s="82"/>
      <c r="AI85" s="82"/>
      <c r="AJ85" s="82" t="s">
        <v>396</v>
      </c>
      <c r="AK85" s="12" t="s">
        <v>397</v>
      </c>
      <c r="AL85" s="82"/>
    </row>
    <row r="86" spans="1:38">
      <c r="A86" s="4" t="s">
        <v>516</v>
      </c>
      <c r="C86" s="4" t="s">
        <v>505</v>
      </c>
      <c r="D86" s="4" t="s">
        <v>506</v>
      </c>
      <c r="E86" s="4" t="s">
        <v>517</v>
      </c>
      <c r="F86" s="12">
        <v>4</v>
      </c>
      <c r="G86" s="12">
        <v>16</v>
      </c>
      <c r="H86" s="12">
        <v>0</v>
      </c>
      <c r="I86" s="12">
        <v>550</v>
      </c>
      <c r="J86" s="12">
        <f t="shared" si="16"/>
        <v>16</v>
      </c>
      <c r="K86" s="82" t="s">
        <v>518</v>
      </c>
      <c r="L86" s="82"/>
      <c r="M86" s="82"/>
      <c r="N86" s="82"/>
      <c r="O86" s="82"/>
      <c r="P86" s="82"/>
      <c r="Q86" s="82"/>
      <c r="R86" s="82"/>
      <c r="S86" s="82"/>
      <c r="T86" s="82"/>
      <c r="U86" s="82"/>
      <c r="V86" s="82"/>
      <c r="W86" s="82"/>
      <c r="X86" s="33"/>
      <c r="Y86" s="33"/>
      <c r="Z86" s="82"/>
      <c r="AA86" s="82"/>
      <c r="AB86" s="82"/>
      <c r="AC86" s="82"/>
      <c r="AD86" s="82"/>
      <c r="AE86" s="82"/>
      <c r="AF86" s="82"/>
      <c r="AG86" s="82"/>
      <c r="AH86" s="82"/>
      <c r="AI86" s="82"/>
      <c r="AJ86" s="82" t="s">
        <v>396</v>
      </c>
      <c r="AK86" s="12" t="s">
        <v>397</v>
      </c>
      <c r="AL86" s="82"/>
    </row>
    <row r="87" spans="1:38">
      <c r="A87" s="4" t="s">
        <v>520</v>
      </c>
      <c r="C87" s="4" t="s">
        <v>505</v>
      </c>
      <c r="D87" s="4" t="s">
        <v>506</v>
      </c>
      <c r="E87" s="4" t="s">
        <v>521</v>
      </c>
      <c r="F87" s="12">
        <v>2</v>
      </c>
      <c r="G87" s="12">
        <v>4</v>
      </c>
      <c r="H87" s="12">
        <v>4</v>
      </c>
      <c r="I87" s="12">
        <v>40</v>
      </c>
      <c r="J87" s="12">
        <f t="shared" si="16"/>
        <v>0</v>
      </c>
      <c r="K87" s="82" t="s">
        <v>513</v>
      </c>
      <c r="L87" s="82"/>
      <c r="M87" s="82"/>
      <c r="N87" s="82"/>
      <c r="O87" s="82"/>
      <c r="P87" s="82"/>
      <c r="Q87" s="82"/>
      <c r="R87" s="82">
        <v>50</v>
      </c>
      <c r="S87" s="82" t="s">
        <v>519</v>
      </c>
      <c r="T87" s="82"/>
      <c r="U87" s="82"/>
      <c r="V87" s="82"/>
      <c r="W87" s="82"/>
      <c r="X87" s="33"/>
      <c r="Y87" s="33"/>
      <c r="Z87" s="82"/>
      <c r="AA87" s="82"/>
      <c r="AB87" s="82"/>
      <c r="AC87" s="82"/>
      <c r="AD87" s="82"/>
      <c r="AE87" s="82"/>
      <c r="AF87" s="82"/>
      <c r="AG87" s="82"/>
      <c r="AH87" s="82"/>
      <c r="AI87" s="82"/>
      <c r="AJ87" s="82" t="s">
        <v>380</v>
      </c>
      <c r="AK87" s="82" t="s">
        <v>381</v>
      </c>
      <c r="AL87" s="82"/>
    </row>
    <row r="88" spans="1:38">
      <c r="A88" s="33" t="s">
        <v>522</v>
      </c>
      <c r="B88" s="33"/>
      <c r="C88" s="4" t="s">
        <v>523</v>
      </c>
      <c r="D88" s="33" t="s">
        <v>506</v>
      </c>
      <c r="E88" s="4" t="s">
        <v>63</v>
      </c>
      <c r="F88" s="82">
        <v>8</v>
      </c>
      <c r="G88" s="82">
        <v>32</v>
      </c>
      <c r="H88" s="12">
        <v>0</v>
      </c>
      <c r="I88" s="82">
        <v>80</v>
      </c>
      <c r="J88" s="82">
        <f>G88-H88</f>
        <v>32</v>
      </c>
      <c r="K88" s="82" t="s">
        <v>524</v>
      </c>
      <c r="L88" s="82"/>
      <c r="M88" s="82"/>
      <c r="N88" s="82"/>
      <c r="O88" s="82"/>
      <c r="P88" s="82"/>
      <c r="Q88" s="82"/>
      <c r="R88" s="82"/>
      <c r="S88" s="82"/>
      <c r="T88" s="82"/>
      <c r="U88" s="82"/>
      <c r="V88" s="82"/>
      <c r="W88" s="82"/>
      <c r="X88" s="33"/>
      <c r="Y88" s="33"/>
      <c r="Z88" s="82"/>
      <c r="AA88" s="82"/>
      <c r="AB88" s="82"/>
      <c r="AC88" s="82"/>
      <c r="AD88" s="82"/>
      <c r="AE88" s="82"/>
      <c r="AF88" s="82"/>
      <c r="AG88" s="82"/>
      <c r="AH88" s="82"/>
      <c r="AI88" s="82"/>
      <c r="AJ88" s="82" t="s">
        <v>380</v>
      </c>
      <c r="AK88" s="82" t="s">
        <v>381</v>
      </c>
      <c r="AL88" s="82"/>
    </row>
    <row r="89" spans="1:38" s="17" customFormat="1">
      <c r="A89" s="43" t="s">
        <v>525</v>
      </c>
      <c r="B89" s="43"/>
      <c r="C89" s="17" t="s">
        <v>523</v>
      </c>
      <c r="D89" s="43" t="s">
        <v>506</v>
      </c>
      <c r="E89" s="17" t="s">
        <v>63</v>
      </c>
      <c r="F89" s="36">
        <v>8</v>
      </c>
      <c r="G89" s="36">
        <v>32</v>
      </c>
      <c r="H89" s="15">
        <v>0</v>
      </c>
      <c r="I89" s="36">
        <v>80</v>
      </c>
      <c r="J89" s="36">
        <f>G89-H89</f>
        <v>32</v>
      </c>
      <c r="K89" s="36" t="s">
        <v>524</v>
      </c>
      <c r="L89" s="36"/>
      <c r="M89" s="36"/>
      <c r="N89" s="36"/>
      <c r="O89" s="36"/>
      <c r="P89" s="36"/>
      <c r="Q89" s="36"/>
      <c r="R89" s="36"/>
      <c r="S89" s="36"/>
      <c r="T89" s="36"/>
      <c r="U89" s="36"/>
      <c r="V89" s="36"/>
      <c r="W89" s="36"/>
      <c r="X89" s="43"/>
      <c r="Y89" s="43"/>
      <c r="Z89" s="36"/>
      <c r="AA89" s="36"/>
      <c r="AB89" s="36"/>
      <c r="AC89" s="36"/>
      <c r="AD89" s="36"/>
      <c r="AE89" s="36"/>
      <c r="AF89" s="36"/>
      <c r="AG89" s="36"/>
      <c r="AH89" s="36"/>
      <c r="AI89" s="36"/>
      <c r="AJ89" s="36" t="s">
        <v>380</v>
      </c>
      <c r="AK89" s="36" t="s">
        <v>381</v>
      </c>
      <c r="AL89" s="36"/>
    </row>
    <row r="90" spans="1:38">
      <c r="A90" s="33"/>
      <c r="B90" s="33"/>
      <c r="C90" s="33"/>
      <c r="D90" s="33"/>
      <c r="E90" s="33"/>
      <c r="F90" s="82">
        <f>F78+SUM(F82:F89)</f>
        <v>408</v>
      </c>
      <c r="G90" s="82">
        <f>G78+SUM(G82:G89)</f>
        <v>1104</v>
      </c>
      <c r="H90" s="82">
        <f>H78+SUM(H82:H89)</f>
        <v>419.25</v>
      </c>
      <c r="I90" s="82">
        <f>I78+SUM(I82:I89)</f>
        <v>8986</v>
      </c>
      <c r="J90" s="82"/>
      <c r="K90" s="82"/>
      <c r="L90" s="82">
        <f>L78+SUM(L82:L89)</f>
        <v>130</v>
      </c>
      <c r="M90" s="82"/>
      <c r="N90" s="82">
        <f>N78+SUM(N82:N89)</f>
        <v>2700</v>
      </c>
      <c r="O90" s="82"/>
      <c r="P90" s="82">
        <f>P78+SUM(P82:P89)</f>
        <v>3750</v>
      </c>
      <c r="Q90" s="82"/>
      <c r="R90" s="82">
        <f>R78+SUM(R82:R89)</f>
        <v>770</v>
      </c>
      <c r="S90" s="82"/>
      <c r="T90" s="82">
        <f>T78+SUM(T82:T89)</f>
        <v>300</v>
      </c>
      <c r="U90" s="82"/>
      <c r="V90" s="82">
        <f>V78+SUM(V82:V89)</f>
        <v>0</v>
      </c>
      <c r="W90" s="82"/>
      <c r="X90" s="82">
        <f>X78+SUM(X82:X89)</f>
        <v>11715</v>
      </c>
      <c r="Y90" s="82"/>
      <c r="Z90" s="82">
        <f>Z78+SUM(Z82:Z89)</f>
        <v>200</v>
      </c>
      <c r="AA90" s="82"/>
      <c r="AB90" s="82">
        <f>AB78+SUM(AB82:AB89)</f>
        <v>50</v>
      </c>
      <c r="AC90" s="82"/>
      <c r="AD90" s="82">
        <f>AD78+SUM(AD82:AD89)</f>
        <v>170</v>
      </c>
      <c r="AE90" s="82"/>
      <c r="AF90" s="82"/>
      <c r="AG90" s="82"/>
      <c r="AH90" s="82">
        <f>AH78+SUM(AH82:AH89)</f>
        <v>3700</v>
      </c>
      <c r="AI90" s="82"/>
      <c r="AJ90" s="82"/>
      <c r="AK90" s="82" t="s">
        <v>724</v>
      </c>
      <c r="AL90" s="82">
        <v>3</v>
      </c>
    </row>
    <row r="105" spans="1:7" ht="13">
      <c r="A105" s="33"/>
      <c r="B105" s="114"/>
      <c r="C105" s="114"/>
      <c r="D105" s="114"/>
      <c r="E105" s="114"/>
      <c r="F105" s="114"/>
      <c r="G105" s="114"/>
    </row>
    <row r="106" spans="1:7">
      <c r="A106" s="33"/>
      <c r="B106" s="33"/>
      <c r="C106" s="33"/>
      <c r="D106" s="33"/>
      <c r="E106" s="33"/>
      <c r="F106" s="33"/>
      <c r="G106" s="33"/>
    </row>
    <row r="107" spans="1:7">
      <c r="A107" s="33"/>
      <c r="B107" s="33"/>
      <c r="C107" s="33"/>
      <c r="D107" s="33"/>
      <c r="E107" s="33"/>
      <c r="F107" s="33"/>
      <c r="G107" s="33"/>
    </row>
    <row r="110" spans="1:7" ht="13">
      <c r="A110" s="97"/>
      <c r="B110" s="98" t="s">
        <v>544</v>
      </c>
      <c r="C110" s="98" t="s">
        <v>545</v>
      </c>
      <c r="D110" s="100" t="s">
        <v>547</v>
      </c>
      <c r="E110" s="100" t="s">
        <v>175</v>
      </c>
      <c r="F110" s="98" t="s">
        <v>548</v>
      </c>
      <c r="G110" s="100" t="s">
        <v>179</v>
      </c>
    </row>
    <row r="111" spans="1:7">
      <c r="A111" s="99" t="s">
        <v>551</v>
      </c>
      <c r="B111" s="97">
        <v>2500</v>
      </c>
      <c r="C111" s="97">
        <v>2250</v>
      </c>
      <c r="D111" s="97">
        <v>90</v>
      </c>
      <c r="E111" s="104">
        <v>3750</v>
      </c>
      <c r="F111" s="97">
        <v>3375</v>
      </c>
      <c r="G111" s="104">
        <v>10875</v>
      </c>
    </row>
    <row r="112" spans="1:7">
      <c r="A112" s="99" t="s">
        <v>552</v>
      </c>
      <c r="B112" s="97">
        <v>6150</v>
      </c>
      <c r="C112" s="97">
        <v>5535</v>
      </c>
      <c r="D112" s="97">
        <v>115</v>
      </c>
      <c r="E112" s="97">
        <v>5100</v>
      </c>
      <c r="F112" s="97">
        <v>4590</v>
      </c>
      <c r="G112" s="97">
        <v>18450</v>
      </c>
    </row>
  </sheetData>
  <mergeCells count="7">
    <mergeCell ref="A45:B45"/>
    <mergeCell ref="A6:B6"/>
    <mergeCell ref="A2:B2"/>
    <mergeCell ref="A3:B3"/>
    <mergeCell ref="F3:G3"/>
    <mergeCell ref="A4:B4"/>
    <mergeCell ref="A5:B5"/>
  </mergeCells>
  <dataValidations count="1">
    <dataValidation type="list" allowBlank="1" showInputMessage="1" showErrorMessage="1" sqref="N10" xr:uid="{5046F512-93D8-49C8-A32A-DC264164E354}">
      <formula1>$B111:$B112</formula1>
    </dataValidation>
  </dataValidations>
  <hyperlinks>
    <hyperlink ref="F3:G3" location="Shortcuts!A1" display="Back to shortcuts" xr:uid="{FBF95035-483F-42CA-ABFE-84FD198C63DE}"/>
  </hyperlinks>
  <pageMargins left="0.7" right="0.7" top="0.75" bottom="0.75" header="0.3" footer="0.3"/>
  <pageSetup paperSize="9" orientation="portrait" r:id="rId1"/>
  <headerFooter>
    <oddFooter>&amp;C&amp;1#&amp;"Arial"&amp;8&amp;K001753Nokia internal use</oddFooter>
  </headerFooter>
  <legacy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C2C42E-35FA-4B78-B6C0-316939C7CB9C}">
  <sheetPr codeName="Sheet102"/>
  <dimension ref="A1:BR117"/>
  <sheetViews>
    <sheetView zoomScale="85" zoomScaleNormal="85" zoomScalePageLayoutView="70" workbookViewId="0">
      <selection activeCell="H12" sqref="H12"/>
    </sheetView>
  </sheetViews>
  <sheetFormatPr defaultColWidth="8.81640625" defaultRowHeight="12.5"/>
  <cols>
    <col min="1" max="1" width="8.81640625" style="4"/>
    <col min="2" max="2" width="20.81640625" style="4" customWidth="1"/>
    <col min="3" max="3" width="24" style="4" customWidth="1"/>
    <col min="4" max="4" width="55.81640625" style="4" customWidth="1"/>
    <col min="5" max="5" width="14.1796875" style="4" customWidth="1"/>
    <col min="6" max="7" width="8.81640625" style="4"/>
    <col min="8" max="9" width="8.1796875" style="4" customWidth="1"/>
    <col min="10" max="10" width="6.1796875" style="4" customWidth="1"/>
    <col min="11" max="11" width="15.1796875" style="4" customWidth="1"/>
    <col min="12" max="12" width="6.81640625" style="4" customWidth="1"/>
    <col min="13" max="13" width="8.81640625" style="4"/>
    <col min="14" max="14" width="6.1796875" style="4" customWidth="1"/>
    <col min="15" max="15" width="15.1796875" style="4" customWidth="1"/>
    <col min="16" max="16" width="6.81640625" style="4" customWidth="1"/>
    <col min="17" max="17" width="8.81640625" style="4"/>
    <col min="18" max="18" width="6.1796875" style="4" customWidth="1"/>
    <col min="19" max="19" width="15.1796875" style="4" customWidth="1"/>
    <col min="20" max="20" width="6.81640625" style="4" customWidth="1"/>
    <col min="21" max="21" width="8.81640625" style="4"/>
    <col min="22" max="22" width="10.54296875" style="4" customWidth="1"/>
    <col min="23" max="23" width="11.1796875" style="4" customWidth="1"/>
    <col min="24" max="24" width="6.81640625" style="4" customWidth="1"/>
    <col min="25" max="25" width="8.81640625" style="4"/>
    <col min="26" max="26" width="6.1796875" style="4" customWidth="1"/>
    <col min="27" max="27" width="15.1796875" style="4" customWidth="1"/>
    <col min="28" max="28" width="6.81640625" style="4" customWidth="1"/>
    <col min="29" max="29" width="8.81640625" style="4"/>
    <col min="30" max="30" width="6.1796875" style="4" customWidth="1"/>
    <col min="31" max="31" width="15.1796875" style="4" customWidth="1"/>
    <col min="32" max="32" width="6.81640625" style="4" customWidth="1"/>
    <col min="33" max="33" width="13.1796875" style="4" customWidth="1"/>
    <col min="34" max="34" width="6.1796875" style="4" customWidth="1"/>
    <col min="35" max="36" width="11.1796875" style="4" customWidth="1"/>
    <col min="37" max="37" width="7.1796875" style="4" customWidth="1"/>
    <col min="38" max="38" width="6.1796875" style="4" customWidth="1"/>
    <col min="39" max="39" width="15.1796875" style="4" customWidth="1"/>
    <col min="40" max="40" width="6.81640625" style="4" customWidth="1"/>
    <col min="41" max="41" width="11.1796875" style="4" customWidth="1"/>
    <col min="42" max="48" width="6.81640625" style="4" customWidth="1"/>
    <col min="49" max="49" width="9" style="4" customWidth="1"/>
    <col min="50" max="50" width="8.453125" style="4" customWidth="1"/>
    <col min="51" max="51" width="9.453125" style="4" customWidth="1"/>
    <col min="52" max="52" width="7.1796875" style="4" customWidth="1"/>
    <col min="53" max="53" width="16" style="4" customWidth="1"/>
    <col min="54" max="56" width="6.81640625" style="4" customWidth="1"/>
    <col min="57" max="57" width="9.81640625" style="4" customWidth="1"/>
    <col min="58" max="58" width="12.1796875" style="4" customWidth="1"/>
    <col min="59" max="60" width="13.1796875" style="4" customWidth="1"/>
    <col min="61" max="61" width="6.1796875" style="4" customWidth="1"/>
    <col min="62" max="62" width="18.1796875" style="4" customWidth="1"/>
    <col min="63" max="63" width="17.1796875" style="4" customWidth="1"/>
    <col min="64" max="64" width="18.54296875" style="4" customWidth="1"/>
    <col min="65" max="66" width="13.1796875" style="4" customWidth="1"/>
    <col min="67" max="67" width="22.81640625" style="4" customWidth="1"/>
    <col min="68" max="68" width="17.54296875" style="4" customWidth="1"/>
    <col min="69" max="78" width="8.81640625" style="4"/>
    <col min="79" max="79" width="10.1796875" style="4" customWidth="1"/>
    <col min="80" max="16384" width="8.81640625" style="4"/>
  </cols>
  <sheetData>
    <row r="1" spans="1:68" ht="13">
      <c r="A1" s="156" t="s">
        <v>15</v>
      </c>
      <c r="B1" s="156"/>
      <c r="C1" s="156"/>
      <c r="D1" s="157"/>
      <c r="F1" s="5" t="s">
        <v>653</v>
      </c>
    </row>
    <row r="2" spans="1:68">
      <c r="A2" s="178" t="s">
        <v>355</v>
      </c>
      <c r="B2" s="178"/>
    </row>
    <row r="3" spans="1:68" ht="14.5">
      <c r="A3" s="178" t="s">
        <v>357</v>
      </c>
      <c r="B3" s="178"/>
      <c r="F3" s="169" t="s">
        <v>358</v>
      </c>
      <c r="G3" s="169"/>
    </row>
    <row r="4" spans="1:68">
      <c r="A4" s="178" t="s">
        <v>359</v>
      </c>
      <c r="B4" s="178"/>
      <c r="C4" s="113"/>
      <c r="D4" s="4" t="s">
        <v>459</v>
      </c>
    </row>
    <row r="5" spans="1:68">
      <c r="A5" s="162" t="s">
        <v>360</v>
      </c>
      <c r="B5" s="162"/>
      <c r="D5" s="33" t="s">
        <v>648</v>
      </c>
    </row>
    <row r="6" spans="1:68">
      <c r="A6" s="162" t="s">
        <v>361</v>
      </c>
      <c r="B6" s="162"/>
    </row>
    <row r="7" spans="1:68" ht="52">
      <c r="A7" s="7" t="s">
        <v>155</v>
      </c>
      <c r="B7" s="7" t="s">
        <v>362</v>
      </c>
      <c r="C7" s="7" t="s">
        <v>364</v>
      </c>
      <c r="D7" s="7" t="s">
        <v>365</v>
      </c>
      <c r="E7" s="6" t="s">
        <v>654</v>
      </c>
      <c r="F7" s="6" t="s">
        <v>129</v>
      </c>
      <c r="G7" s="6" t="s">
        <v>146</v>
      </c>
      <c r="H7" s="6" t="s">
        <v>655</v>
      </c>
      <c r="I7" s="6" t="s">
        <v>367</v>
      </c>
      <c r="J7" s="6" t="s">
        <v>656</v>
      </c>
      <c r="K7" s="6" t="s">
        <v>657</v>
      </c>
      <c r="L7" s="6" t="s">
        <v>658</v>
      </c>
      <c r="M7" s="6" t="s">
        <v>170</v>
      </c>
      <c r="N7" s="6" t="s">
        <v>656</v>
      </c>
      <c r="O7" s="6" t="s">
        <v>657</v>
      </c>
      <c r="P7" s="6" t="s">
        <v>658</v>
      </c>
      <c r="Q7" s="6" t="s">
        <v>30</v>
      </c>
      <c r="R7" s="6" t="s">
        <v>656</v>
      </c>
      <c r="S7" s="6" t="s">
        <v>657</v>
      </c>
      <c r="T7" s="6" t="s">
        <v>658</v>
      </c>
      <c r="U7" s="6" t="s">
        <v>175</v>
      </c>
      <c r="V7" s="6" t="s">
        <v>656</v>
      </c>
      <c r="W7" s="6" t="s">
        <v>657</v>
      </c>
      <c r="X7" s="6" t="s">
        <v>658</v>
      </c>
      <c r="Y7" s="6" t="s">
        <v>189</v>
      </c>
      <c r="Z7" s="6" t="s">
        <v>656</v>
      </c>
      <c r="AA7" s="6" t="s">
        <v>657</v>
      </c>
      <c r="AB7" s="6" t="s">
        <v>658</v>
      </c>
      <c r="AC7" s="6" t="s">
        <v>579</v>
      </c>
      <c r="AD7" s="6" t="s">
        <v>656</v>
      </c>
      <c r="AE7" s="6" t="s">
        <v>657</v>
      </c>
      <c r="AF7" s="6" t="s">
        <v>658</v>
      </c>
      <c r="AG7" s="6" t="s">
        <v>179</v>
      </c>
      <c r="AH7" s="6" t="s">
        <v>656</v>
      </c>
      <c r="AI7" s="6" t="s">
        <v>657</v>
      </c>
      <c r="AJ7" s="6" t="s">
        <v>658</v>
      </c>
      <c r="AK7" s="6" t="s">
        <v>554</v>
      </c>
      <c r="AL7" s="6" t="s">
        <v>656</v>
      </c>
      <c r="AM7" s="6" t="s">
        <v>657</v>
      </c>
      <c r="AN7" s="6" t="s">
        <v>658</v>
      </c>
      <c r="AO7" s="79" t="s">
        <v>659</v>
      </c>
      <c r="AP7" s="6" t="s">
        <v>656</v>
      </c>
      <c r="AQ7" s="6" t="s">
        <v>657</v>
      </c>
      <c r="AR7" s="6" t="s">
        <v>658</v>
      </c>
      <c r="AS7" s="79" t="s">
        <v>206</v>
      </c>
      <c r="AT7" s="6" t="s">
        <v>656</v>
      </c>
      <c r="AU7" s="6" t="s">
        <v>657</v>
      </c>
      <c r="AV7" s="6" t="s">
        <v>658</v>
      </c>
      <c r="AW7" s="79" t="s">
        <v>373</v>
      </c>
      <c r="AX7" s="6" t="s">
        <v>656</v>
      </c>
      <c r="AY7" s="6" t="s">
        <v>657</v>
      </c>
      <c r="AZ7" s="6" t="s">
        <v>658</v>
      </c>
      <c r="BA7" s="79" t="s">
        <v>719</v>
      </c>
      <c r="BB7" s="6" t="s">
        <v>656</v>
      </c>
      <c r="BC7" s="6" t="s">
        <v>657</v>
      </c>
      <c r="BD7" s="6" t="s">
        <v>658</v>
      </c>
      <c r="BE7" s="6" t="s">
        <v>191</v>
      </c>
      <c r="BF7" s="6" t="s">
        <v>375</v>
      </c>
      <c r="BG7" s="6" t="s">
        <v>376</v>
      </c>
      <c r="BH7" s="6" t="s">
        <v>661</v>
      </c>
      <c r="BI7" s="6" t="s">
        <v>662</v>
      </c>
      <c r="BJ7" s="6" t="s">
        <v>663</v>
      </c>
      <c r="BK7" s="6" t="s">
        <v>664</v>
      </c>
      <c r="BL7" s="79" t="s">
        <v>665</v>
      </c>
      <c r="BM7" s="6" t="s">
        <v>666</v>
      </c>
      <c r="BN7" s="6" t="s">
        <v>667</v>
      </c>
      <c r="BO7" s="6" t="s">
        <v>668</v>
      </c>
      <c r="BP7" s="6" t="s">
        <v>669</v>
      </c>
    </row>
    <row r="8" spans="1:68">
      <c r="A8" s="4" t="s">
        <v>670</v>
      </c>
      <c r="B8" s="12"/>
      <c r="C8" s="4" t="s">
        <v>378</v>
      </c>
      <c r="D8" s="4" t="s">
        <v>671</v>
      </c>
      <c r="E8" s="12" t="s">
        <v>672</v>
      </c>
      <c r="F8" s="12">
        <v>4</v>
      </c>
      <c r="G8" s="12">
        <v>8</v>
      </c>
      <c r="H8" s="59">
        <v>20</v>
      </c>
      <c r="I8" s="28">
        <v>0</v>
      </c>
      <c r="J8" s="12" t="s">
        <v>673</v>
      </c>
      <c r="K8" s="4" t="s">
        <v>674</v>
      </c>
      <c r="L8" s="12">
        <v>4.7</v>
      </c>
      <c r="M8" s="59"/>
      <c r="N8" s="12"/>
      <c r="O8" s="12"/>
      <c r="P8" s="12"/>
      <c r="Q8" s="59"/>
      <c r="R8" s="12"/>
      <c r="S8" s="12"/>
      <c r="T8" s="12"/>
      <c r="U8" s="59"/>
      <c r="V8" s="12"/>
      <c r="W8" s="12"/>
      <c r="X8" s="12"/>
      <c r="Y8" s="59"/>
      <c r="Z8" s="12"/>
      <c r="AA8" s="12"/>
      <c r="AB8" s="12"/>
      <c r="AC8" s="59"/>
      <c r="AD8" s="12"/>
      <c r="AE8" s="12"/>
      <c r="AF8" s="12"/>
      <c r="AG8" s="59">
        <v>0</v>
      </c>
      <c r="AH8" s="12" t="s">
        <v>670</v>
      </c>
      <c r="AI8" s="4" t="s">
        <v>670</v>
      </c>
      <c r="AJ8" s="12" t="s">
        <v>670</v>
      </c>
      <c r="AK8" s="12"/>
      <c r="AL8" s="12"/>
      <c r="AM8" s="12"/>
      <c r="AN8" s="12"/>
      <c r="AO8" s="12"/>
      <c r="AP8" s="12"/>
      <c r="AQ8" s="12"/>
      <c r="AR8" s="12"/>
      <c r="AS8" s="12"/>
      <c r="AT8" s="12"/>
      <c r="AU8" s="12"/>
      <c r="AV8" s="12"/>
      <c r="AW8" s="12"/>
      <c r="AX8" s="12"/>
      <c r="AY8" s="12"/>
      <c r="AZ8" s="12"/>
      <c r="BA8" s="12"/>
      <c r="BB8" s="12"/>
      <c r="BC8" s="12"/>
      <c r="BD8" s="12"/>
      <c r="BE8" s="12">
        <v>1</v>
      </c>
      <c r="BG8" s="12"/>
      <c r="BH8" s="12" t="s">
        <v>381</v>
      </c>
      <c r="BI8" s="12">
        <v>2</v>
      </c>
      <c r="BJ8" s="12" t="s">
        <v>381</v>
      </c>
      <c r="BK8" s="12"/>
      <c r="BP8" s="12"/>
    </row>
    <row r="9" spans="1:68">
      <c r="A9" s="4" t="s">
        <v>377</v>
      </c>
      <c r="C9" s="4" t="s">
        <v>378</v>
      </c>
      <c r="D9" s="19" t="s">
        <v>19</v>
      </c>
      <c r="E9" s="12" t="s">
        <v>675</v>
      </c>
      <c r="F9" s="12">
        <v>4</v>
      </c>
      <c r="G9" s="12">
        <v>16</v>
      </c>
      <c r="H9" s="59">
        <v>350</v>
      </c>
      <c r="I9" s="28">
        <v>4</v>
      </c>
      <c r="J9" s="12" t="s">
        <v>676</v>
      </c>
      <c r="K9" s="4" t="s">
        <v>674</v>
      </c>
      <c r="L9" s="12">
        <v>5.9</v>
      </c>
      <c r="M9" s="59"/>
      <c r="N9" s="12"/>
      <c r="O9" s="12"/>
      <c r="P9" s="12"/>
      <c r="Q9" s="59"/>
      <c r="R9" s="12"/>
      <c r="S9" s="12"/>
      <c r="T9" s="12"/>
      <c r="U9" s="59"/>
      <c r="V9" s="12"/>
      <c r="W9" s="12"/>
      <c r="X9" s="12"/>
      <c r="Y9" s="59"/>
      <c r="Z9" s="12"/>
      <c r="AA9" s="12"/>
      <c r="AB9" s="12"/>
      <c r="AC9" s="59"/>
      <c r="AD9" s="12"/>
      <c r="AE9" s="12"/>
      <c r="AF9" s="12"/>
      <c r="AG9" s="59">
        <f>2*H9</f>
        <v>700</v>
      </c>
      <c r="AH9" s="12" t="s">
        <v>676</v>
      </c>
      <c r="AI9" s="4" t="s">
        <v>674</v>
      </c>
      <c r="AJ9" s="12" t="s">
        <v>670</v>
      </c>
      <c r="AK9" s="12"/>
      <c r="AL9" s="12"/>
      <c r="AM9" s="12"/>
      <c r="AN9" s="12"/>
      <c r="AO9" s="12"/>
      <c r="AP9" s="12"/>
      <c r="AQ9" s="12"/>
      <c r="AR9" s="12"/>
      <c r="AS9" s="12"/>
      <c r="AT9" s="12"/>
      <c r="AU9" s="12"/>
      <c r="AV9" s="12"/>
      <c r="AW9" s="12"/>
      <c r="AX9" s="12"/>
      <c r="AY9" s="12"/>
      <c r="AZ9" s="12"/>
      <c r="BA9" s="12"/>
      <c r="BB9" s="12"/>
      <c r="BC9" s="12"/>
      <c r="BD9" s="12"/>
      <c r="BE9" s="12">
        <v>2</v>
      </c>
      <c r="BF9" s="12" t="s">
        <v>381</v>
      </c>
      <c r="BG9" s="12"/>
      <c r="BH9" s="12"/>
      <c r="BI9" s="12">
        <v>2</v>
      </c>
      <c r="BJ9" s="12"/>
      <c r="BK9" s="12"/>
      <c r="BL9" s="12" t="s">
        <v>381</v>
      </c>
      <c r="BM9" s="12"/>
      <c r="BN9" s="12"/>
      <c r="BO9" s="12"/>
      <c r="BP9" s="12"/>
    </row>
    <row r="10" spans="1:68">
      <c r="A10" s="4" t="s">
        <v>385</v>
      </c>
      <c r="B10" s="12" t="s">
        <v>386</v>
      </c>
      <c r="C10" s="4" t="s">
        <v>378</v>
      </c>
      <c r="D10" s="19" t="s">
        <v>27</v>
      </c>
      <c r="E10" s="12" t="s">
        <v>677</v>
      </c>
      <c r="F10" s="12">
        <v>6</v>
      </c>
      <c r="G10" s="12">
        <v>9</v>
      </c>
      <c r="H10" s="59">
        <v>40</v>
      </c>
      <c r="I10" s="28">
        <v>4</v>
      </c>
      <c r="J10" s="12" t="s">
        <v>676</v>
      </c>
      <c r="K10" s="4" t="s">
        <v>674</v>
      </c>
      <c r="L10" s="12">
        <v>2.6</v>
      </c>
      <c r="M10" s="59"/>
      <c r="N10" s="12"/>
      <c r="O10" s="12"/>
      <c r="P10" s="12"/>
      <c r="Q10" s="59"/>
      <c r="R10" s="12"/>
      <c r="S10" s="12"/>
      <c r="T10" s="12"/>
      <c r="U10" s="59"/>
      <c r="V10" s="12"/>
      <c r="W10" s="12"/>
      <c r="X10" s="12"/>
      <c r="Y10" s="59"/>
      <c r="Z10" s="12"/>
      <c r="AA10" s="12"/>
      <c r="AB10" s="12"/>
      <c r="AC10" s="59"/>
      <c r="AD10" s="12"/>
      <c r="AE10" s="12"/>
      <c r="AF10" s="12"/>
      <c r="AG10" s="59">
        <f>H10*2</f>
        <v>80</v>
      </c>
      <c r="AH10" s="12" t="s">
        <v>676</v>
      </c>
      <c r="AI10" s="4" t="s">
        <v>674</v>
      </c>
      <c r="AJ10" s="12" t="s">
        <v>670</v>
      </c>
      <c r="AK10" s="12"/>
      <c r="AL10" s="12"/>
      <c r="AM10" s="12"/>
      <c r="AN10" s="12"/>
      <c r="AO10" s="12"/>
      <c r="AP10" s="12"/>
      <c r="AQ10" s="12"/>
      <c r="AR10" s="12"/>
      <c r="AS10" s="12"/>
      <c r="AT10" s="12"/>
      <c r="AU10" s="12"/>
      <c r="AV10" s="12"/>
      <c r="AW10" s="12"/>
      <c r="AX10" s="12"/>
      <c r="AY10" s="12"/>
      <c r="AZ10" s="12"/>
      <c r="BA10" s="12"/>
      <c r="BB10" s="12"/>
      <c r="BC10" s="12"/>
      <c r="BD10" s="12"/>
      <c r="BE10" s="12">
        <v>2</v>
      </c>
      <c r="BF10" s="12" t="s">
        <v>381</v>
      </c>
      <c r="BG10" s="12"/>
      <c r="BH10" s="12"/>
      <c r="BI10" s="12">
        <v>2</v>
      </c>
      <c r="BJ10" s="12"/>
      <c r="BK10" s="12"/>
      <c r="BL10" s="12" t="s">
        <v>381</v>
      </c>
      <c r="BM10" s="12"/>
      <c r="BN10" s="12"/>
      <c r="BO10" s="12"/>
      <c r="BP10" s="12"/>
    </row>
    <row r="11" spans="1:68">
      <c r="A11" s="4" t="s">
        <v>389</v>
      </c>
      <c r="B11" s="12"/>
      <c r="C11" s="4" t="s">
        <v>378</v>
      </c>
      <c r="D11" s="19" t="s">
        <v>30</v>
      </c>
      <c r="E11" s="12" t="s">
        <v>678</v>
      </c>
      <c r="F11" s="12">
        <v>16</v>
      </c>
      <c r="G11" s="105">
        <f>VLOOKUP(Q11,B111:F112,2,FALSE)</f>
        <v>90</v>
      </c>
      <c r="H11" s="59">
        <v>95</v>
      </c>
      <c r="I11" s="28">
        <v>32</v>
      </c>
      <c r="J11" s="12" t="s">
        <v>676</v>
      </c>
      <c r="K11" s="4" t="s">
        <v>674</v>
      </c>
      <c r="L11" s="12">
        <v>2.6</v>
      </c>
      <c r="M11" s="61">
        <v>116.99</v>
      </c>
      <c r="N11" s="12" t="s">
        <v>676</v>
      </c>
      <c r="O11" s="4" t="s">
        <v>679</v>
      </c>
      <c r="P11" s="12">
        <f>50/1000</f>
        <v>0.05</v>
      </c>
      <c r="Q11" s="125">
        <v>2250</v>
      </c>
      <c r="R11" s="12" t="s">
        <v>676</v>
      </c>
      <c r="S11" s="4" t="s">
        <v>679</v>
      </c>
      <c r="T11" s="12">
        <f>50/1000</f>
        <v>0.05</v>
      </c>
      <c r="U11" s="124">
        <f>VLOOKUP(Q11,B111:D112,3,FALSE)</f>
        <v>3375</v>
      </c>
      <c r="V11" s="12" t="s">
        <v>676</v>
      </c>
      <c r="W11" s="4" t="s">
        <v>674</v>
      </c>
      <c r="X11" s="12">
        <f>50/1000</f>
        <v>0.05</v>
      </c>
      <c r="Y11" s="59"/>
      <c r="Z11" s="12"/>
      <c r="AA11" s="12"/>
      <c r="AB11" s="12"/>
      <c r="AC11" s="59"/>
      <c r="AD11" s="12"/>
      <c r="AE11" s="12"/>
      <c r="AF11" s="12"/>
      <c r="AG11" s="101">
        <f>2*H11+VLOOKUP(Q11,B111:E112,4,FALSE)</f>
        <v>9977.5</v>
      </c>
      <c r="AH11" s="12" t="s">
        <v>676</v>
      </c>
      <c r="AI11" s="4" t="s">
        <v>674</v>
      </c>
      <c r="AJ11" s="12" t="s">
        <v>670</v>
      </c>
      <c r="AK11" s="12"/>
      <c r="AL11" s="12"/>
      <c r="AM11" s="12"/>
      <c r="AN11" s="12"/>
      <c r="AO11" s="12"/>
      <c r="AP11" s="12"/>
      <c r="AQ11" s="12"/>
      <c r="AR11" s="12"/>
      <c r="AS11" s="12"/>
      <c r="AT11" s="12"/>
      <c r="AU11" s="12"/>
      <c r="AV11" s="12"/>
      <c r="AW11" s="12"/>
      <c r="AX11" s="12"/>
      <c r="AY11" s="12"/>
      <c r="AZ11" s="12"/>
      <c r="BA11" s="59">
        <v>3072</v>
      </c>
      <c r="BB11" s="12" t="s">
        <v>676</v>
      </c>
      <c r="BC11" s="4" t="s">
        <v>674</v>
      </c>
      <c r="BD11" s="12">
        <f>50/1000</f>
        <v>0.05</v>
      </c>
      <c r="BE11" s="12">
        <v>6</v>
      </c>
      <c r="BF11" s="12" t="s">
        <v>381</v>
      </c>
      <c r="BG11" s="12"/>
      <c r="BH11" s="12"/>
      <c r="BI11" s="12">
        <v>2</v>
      </c>
      <c r="BJ11" s="12"/>
      <c r="BK11" s="12"/>
      <c r="BL11" s="12" t="s">
        <v>381</v>
      </c>
      <c r="BM11" s="12"/>
      <c r="BN11" s="12"/>
      <c r="BO11" s="12"/>
      <c r="BP11" s="12"/>
    </row>
    <row r="12" spans="1:68">
      <c r="A12" s="4" t="s">
        <v>393</v>
      </c>
      <c r="B12" s="12" t="s">
        <v>386</v>
      </c>
      <c r="C12" s="4" t="s">
        <v>378</v>
      </c>
      <c r="D12" s="19" t="s">
        <v>34</v>
      </c>
      <c r="E12" s="12" t="s">
        <v>680</v>
      </c>
      <c r="F12" s="12">
        <v>8</v>
      </c>
      <c r="G12" s="12">
        <v>11</v>
      </c>
      <c r="H12" s="59">
        <v>45</v>
      </c>
      <c r="I12" s="28">
        <v>16</v>
      </c>
      <c r="J12" s="12" t="s">
        <v>676</v>
      </c>
      <c r="K12" s="4" t="s">
        <v>674</v>
      </c>
      <c r="L12" s="12">
        <v>2.6</v>
      </c>
      <c r="M12" s="59"/>
      <c r="N12" s="12"/>
      <c r="O12" s="12"/>
      <c r="P12" s="12"/>
      <c r="Q12" s="59"/>
      <c r="R12" s="12"/>
      <c r="S12" s="12"/>
      <c r="T12" s="12"/>
      <c r="U12" s="59"/>
      <c r="V12" s="12"/>
      <c r="W12" s="12"/>
      <c r="X12" s="12"/>
      <c r="Y12" s="59">
        <v>549</v>
      </c>
      <c r="Z12" s="12" t="s">
        <v>676</v>
      </c>
      <c r="AA12" s="4" t="s">
        <v>674</v>
      </c>
      <c r="AB12" s="12">
        <v>0.1</v>
      </c>
      <c r="AC12" s="59">
        <v>270</v>
      </c>
      <c r="AD12" s="12" t="s">
        <v>676</v>
      </c>
      <c r="AE12" s="4" t="s">
        <v>674</v>
      </c>
      <c r="AF12" s="12" t="s">
        <v>670</v>
      </c>
      <c r="AG12" s="59">
        <v>624</v>
      </c>
      <c r="AH12" s="12" t="s">
        <v>676</v>
      </c>
      <c r="AI12" s="4" t="s">
        <v>674</v>
      </c>
      <c r="AJ12" s="12" t="s">
        <v>670</v>
      </c>
      <c r="AK12" s="12"/>
      <c r="AL12" s="12"/>
      <c r="AM12" s="12"/>
      <c r="AN12" s="12"/>
      <c r="AO12" s="12"/>
      <c r="AP12" s="12"/>
      <c r="AQ12" s="12"/>
      <c r="AR12" s="12"/>
      <c r="AS12" s="12"/>
      <c r="AT12" s="12"/>
      <c r="AU12" s="12"/>
      <c r="AV12" s="12"/>
      <c r="AW12" s="12"/>
      <c r="AX12" s="12"/>
      <c r="AY12" s="12"/>
      <c r="AZ12" s="12"/>
      <c r="BA12" s="12"/>
      <c r="BB12" s="12"/>
      <c r="BC12" s="12"/>
      <c r="BD12" s="12"/>
      <c r="BE12" s="12">
        <v>4</v>
      </c>
      <c r="BF12" s="12" t="s">
        <v>381</v>
      </c>
      <c r="BG12" s="12"/>
      <c r="BH12" s="12"/>
      <c r="BI12" s="12">
        <v>2</v>
      </c>
      <c r="BJ12" s="12"/>
      <c r="BK12" s="12"/>
      <c r="BL12" s="12" t="s">
        <v>381</v>
      </c>
      <c r="BM12" s="12"/>
      <c r="BN12" s="12"/>
      <c r="BO12" s="12"/>
      <c r="BP12" s="12"/>
    </row>
    <row r="13" spans="1:68">
      <c r="A13" s="4" t="s">
        <v>395</v>
      </c>
      <c r="C13" s="4" t="s">
        <v>378</v>
      </c>
      <c r="D13" s="19" t="s">
        <v>38</v>
      </c>
      <c r="E13" s="12" t="s">
        <v>681</v>
      </c>
      <c r="F13" s="12">
        <v>4</v>
      </c>
      <c r="G13" s="12">
        <v>4</v>
      </c>
      <c r="H13" s="59">
        <v>30</v>
      </c>
      <c r="I13" s="28">
        <v>4</v>
      </c>
      <c r="J13" s="12" t="s">
        <v>676</v>
      </c>
      <c r="K13" s="4" t="s">
        <v>674</v>
      </c>
      <c r="L13" s="12">
        <v>2.6</v>
      </c>
      <c r="M13" s="59"/>
      <c r="N13" s="12"/>
      <c r="O13" s="12"/>
      <c r="P13" s="12"/>
      <c r="Q13" s="59"/>
      <c r="R13" s="12"/>
      <c r="S13" s="12"/>
      <c r="T13" s="12"/>
      <c r="U13" s="59"/>
      <c r="V13" s="12"/>
      <c r="W13" s="12"/>
      <c r="X13" s="12"/>
      <c r="Y13" s="59"/>
      <c r="Z13" s="12"/>
      <c r="AA13" s="12"/>
      <c r="AB13" s="12"/>
      <c r="AC13" s="59"/>
      <c r="AD13" s="12"/>
      <c r="AE13" s="12"/>
      <c r="AF13" s="12"/>
      <c r="AG13" s="59">
        <f t="shared" ref="AG13:AG42" si="0">2*H13</f>
        <v>60</v>
      </c>
      <c r="AH13" s="12" t="s">
        <v>676</v>
      </c>
      <c r="AI13" s="4" t="s">
        <v>674</v>
      </c>
      <c r="AJ13" s="12" t="s">
        <v>670</v>
      </c>
      <c r="AK13" s="12"/>
      <c r="AL13" s="12"/>
      <c r="AM13" s="12"/>
      <c r="AN13" s="12"/>
      <c r="AO13" s="12"/>
      <c r="AP13" s="12"/>
      <c r="AQ13" s="12"/>
      <c r="AR13" s="12"/>
      <c r="AS13" s="12"/>
      <c r="AT13" s="12"/>
      <c r="AU13" s="12"/>
      <c r="AV13" s="12"/>
      <c r="AW13" s="12"/>
      <c r="AX13" s="12"/>
      <c r="AY13" s="12"/>
      <c r="AZ13" s="12"/>
      <c r="BA13" s="12"/>
      <c r="BB13" s="12"/>
      <c r="BC13" s="12"/>
      <c r="BD13" s="12"/>
      <c r="BE13" s="12">
        <v>2</v>
      </c>
      <c r="BF13" s="12" t="s">
        <v>381</v>
      </c>
      <c r="BG13" s="12" t="s">
        <v>381</v>
      </c>
      <c r="BH13" s="12"/>
      <c r="BI13" s="12">
        <v>2</v>
      </c>
      <c r="BJ13" s="12"/>
      <c r="BK13" s="12"/>
      <c r="BL13" s="12" t="s">
        <v>381</v>
      </c>
      <c r="BM13" s="12"/>
      <c r="BN13" s="12"/>
      <c r="BO13" s="12"/>
      <c r="BP13" s="12"/>
    </row>
    <row r="14" spans="1:68">
      <c r="A14" s="4" t="s">
        <v>398</v>
      </c>
      <c r="C14" s="4" t="s">
        <v>378</v>
      </c>
      <c r="D14" s="19" t="s">
        <v>42</v>
      </c>
      <c r="E14" s="12" t="s">
        <v>682</v>
      </c>
      <c r="F14" s="12">
        <v>2</v>
      </c>
      <c r="G14" s="12">
        <v>3</v>
      </c>
      <c r="H14" s="59">
        <v>30</v>
      </c>
      <c r="I14" s="28">
        <v>4</v>
      </c>
      <c r="J14" s="12" t="s">
        <v>676</v>
      </c>
      <c r="K14" s="4" t="s">
        <v>674</v>
      </c>
      <c r="L14" s="12">
        <v>2.6</v>
      </c>
      <c r="M14" s="59"/>
      <c r="N14" s="12"/>
      <c r="O14" s="12"/>
      <c r="P14" s="12"/>
      <c r="Q14" s="59"/>
      <c r="R14" s="12"/>
      <c r="S14" s="12"/>
      <c r="T14" s="12"/>
      <c r="U14" s="59"/>
      <c r="V14" s="12"/>
      <c r="W14" s="12"/>
      <c r="X14" s="12"/>
      <c r="Y14" s="59"/>
      <c r="Z14" s="12"/>
      <c r="AA14" s="12"/>
      <c r="AB14" s="12"/>
      <c r="AC14" s="59"/>
      <c r="AD14" s="12"/>
      <c r="AE14" s="12"/>
      <c r="AF14" s="12"/>
      <c r="AG14" s="59">
        <f t="shared" si="0"/>
        <v>60</v>
      </c>
      <c r="AH14" s="12" t="s">
        <v>676</v>
      </c>
      <c r="AI14" s="4" t="s">
        <v>674</v>
      </c>
      <c r="AJ14" s="12" t="s">
        <v>670</v>
      </c>
      <c r="AK14" s="12"/>
      <c r="AL14" s="12"/>
      <c r="AM14" s="12"/>
      <c r="AN14" s="12"/>
      <c r="AO14" s="12"/>
      <c r="AP14" s="12"/>
      <c r="AQ14" s="12"/>
      <c r="AR14" s="12"/>
      <c r="AS14" s="12"/>
      <c r="AT14" s="12"/>
      <c r="AU14" s="12"/>
      <c r="AV14" s="12"/>
      <c r="AW14" s="12"/>
      <c r="AX14" s="12"/>
      <c r="AY14" s="12"/>
      <c r="AZ14" s="12"/>
      <c r="BA14" s="12"/>
      <c r="BB14" s="12"/>
      <c r="BC14" s="12"/>
      <c r="BD14" s="12"/>
      <c r="BE14" s="12">
        <v>2</v>
      </c>
      <c r="BF14" s="12" t="s">
        <v>381</v>
      </c>
      <c r="BG14" s="12"/>
      <c r="BH14" s="12"/>
      <c r="BI14" s="12">
        <v>2</v>
      </c>
      <c r="BJ14" s="12"/>
      <c r="BK14" s="12"/>
      <c r="BL14" s="12" t="s">
        <v>381</v>
      </c>
      <c r="BM14" s="12"/>
      <c r="BN14" s="12"/>
      <c r="BO14" s="12"/>
      <c r="BP14" s="12"/>
    </row>
    <row r="15" spans="1:68">
      <c r="A15" s="4" t="s">
        <v>399</v>
      </c>
      <c r="C15" s="4" t="s">
        <v>378</v>
      </c>
      <c r="D15" s="19" t="s">
        <v>555</v>
      </c>
      <c r="E15" s="12" t="s">
        <v>683</v>
      </c>
      <c r="F15" s="12">
        <v>3</v>
      </c>
      <c r="G15" s="12">
        <v>6</v>
      </c>
      <c r="H15" s="59">
        <v>40</v>
      </c>
      <c r="I15" s="28">
        <v>4</v>
      </c>
      <c r="J15" s="12" t="s">
        <v>676</v>
      </c>
      <c r="K15" s="4" t="s">
        <v>674</v>
      </c>
      <c r="L15" s="12">
        <v>2.6</v>
      </c>
      <c r="M15" s="59"/>
      <c r="N15" s="12"/>
      <c r="O15" s="12"/>
      <c r="P15" s="12"/>
      <c r="Q15" s="59"/>
      <c r="R15" s="12"/>
      <c r="S15" s="12"/>
      <c r="T15" s="12"/>
      <c r="U15" s="59"/>
      <c r="V15" s="12"/>
      <c r="W15" s="12"/>
      <c r="X15" s="12"/>
      <c r="Y15" s="59"/>
      <c r="Z15" s="12"/>
      <c r="AA15" s="12"/>
      <c r="AB15" s="12"/>
      <c r="AC15" s="59"/>
      <c r="AD15" s="12"/>
      <c r="AE15" s="12"/>
      <c r="AF15" s="12"/>
      <c r="AG15" s="59">
        <f t="shared" si="0"/>
        <v>80</v>
      </c>
      <c r="AH15" s="12" t="s">
        <v>676</v>
      </c>
      <c r="AI15" s="4" t="s">
        <v>674</v>
      </c>
      <c r="AJ15" s="12" t="s">
        <v>670</v>
      </c>
      <c r="AK15" s="12"/>
      <c r="AL15" s="12"/>
      <c r="AM15" s="12"/>
      <c r="AN15" s="12"/>
      <c r="AO15" s="12"/>
      <c r="AP15" s="12"/>
      <c r="AQ15" s="12"/>
      <c r="AR15" s="12"/>
      <c r="AS15" s="12"/>
      <c r="AT15" s="12"/>
      <c r="AU15" s="12"/>
      <c r="AV15" s="12"/>
      <c r="AW15" s="12"/>
      <c r="AX15" s="12"/>
      <c r="AY15" s="12"/>
      <c r="AZ15" s="12"/>
      <c r="BA15" s="12"/>
      <c r="BB15" s="12"/>
      <c r="BC15" s="12"/>
      <c r="BD15" s="12"/>
      <c r="BE15" s="12">
        <v>2</v>
      </c>
      <c r="BF15" s="12" t="s">
        <v>381</v>
      </c>
      <c r="BG15" s="12"/>
      <c r="BH15" s="12"/>
      <c r="BI15" s="12">
        <v>2</v>
      </c>
      <c r="BJ15" s="12"/>
      <c r="BK15" s="12"/>
      <c r="BL15" s="12" t="s">
        <v>381</v>
      </c>
      <c r="BM15" s="12"/>
      <c r="BN15" s="12"/>
      <c r="BO15" s="12"/>
      <c r="BP15" s="12"/>
    </row>
    <row r="16" spans="1:68">
      <c r="A16" s="4" t="s">
        <v>401</v>
      </c>
      <c r="C16" s="4" t="s">
        <v>378</v>
      </c>
      <c r="D16" s="19" t="s">
        <v>402</v>
      </c>
      <c r="E16" s="12" t="s">
        <v>684</v>
      </c>
      <c r="F16" s="12">
        <v>5</v>
      </c>
      <c r="G16" s="12">
        <v>7</v>
      </c>
      <c r="H16" s="59">
        <v>55</v>
      </c>
      <c r="I16" s="28">
        <v>4</v>
      </c>
      <c r="J16" s="12" t="s">
        <v>676</v>
      </c>
      <c r="K16" s="4" t="s">
        <v>674</v>
      </c>
      <c r="L16" s="12">
        <v>2.6</v>
      </c>
      <c r="M16" s="59"/>
      <c r="N16" s="12"/>
      <c r="O16" s="12"/>
      <c r="P16" s="12"/>
      <c r="Q16" s="59"/>
      <c r="R16" s="12"/>
      <c r="S16" s="12"/>
      <c r="T16" s="12"/>
      <c r="U16" s="59"/>
      <c r="V16" s="12"/>
      <c r="W16" s="12"/>
      <c r="X16" s="12"/>
      <c r="Y16" s="59"/>
      <c r="Z16" s="12"/>
      <c r="AA16" s="12"/>
      <c r="AB16" s="12"/>
      <c r="AC16" s="59"/>
      <c r="AD16" s="12"/>
      <c r="AE16" s="12"/>
      <c r="AF16" s="12"/>
      <c r="AG16" s="59">
        <f t="shared" si="0"/>
        <v>110</v>
      </c>
      <c r="AH16" s="12" t="s">
        <v>676</v>
      </c>
      <c r="AI16" s="4" t="s">
        <v>674</v>
      </c>
      <c r="AJ16" s="12" t="s">
        <v>670</v>
      </c>
      <c r="AK16" s="12"/>
      <c r="AL16" s="12"/>
      <c r="AM16" s="12"/>
      <c r="AN16" s="12"/>
      <c r="AO16" s="12"/>
      <c r="AP16" s="12"/>
      <c r="AQ16" s="12"/>
      <c r="AR16" s="12"/>
      <c r="AS16" s="12"/>
      <c r="AT16" s="12"/>
      <c r="AU16" s="12"/>
      <c r="AV16" s="12"/>
      <c r="AW16" s="12"/>
      <c r="AX16" s="12"/>
      <c r="AY16" s="12"/>
      <c r="AZ16" s="12"/>
      <c r="BA16" s="12"/>
      <c r="BB16" s="12"/>
      <c r="BC16" s="12"/>
      <c r="BD16" s="12"/>
      <c r="BE16" s="12">
        <v>2</v>
      </c>
      <c r="BF16" s="12" t="s">
        <v>381</v>
      </c>
      <c r="BG16" s="12"/>
      <c r="BH16" s="12"/>
      <c r="BI16" s="12">
        <v>2</v>
      </c>
      <c r="BJ16" s="12"/>
      <c r="BK16" s="12"/>
      <c r="BL16" s="12" t="s">
        <v>381</v>
      </c>
      <c r="BM16" s="12"/>
      <c r="BN16" s="12"/>
      <c r="BO16" s="12"/>
      <c r="BP16" s="12"/>
    </row>
    <row r="17" spans="1:68">
      <c r="A17" s="4" t="s">
        <v>403</v>
      </c>
      <c r="C17" s="4" t="s">
        <v>378</v>
      </c>
      <c r="D17" s="19" t="s">
        <v>54</v>
      </c>
      <c r="E17" s="12" t="s">
        <v>685</v>
      </c>
      <c r="F17" s="12">
        <v>8</v>
      </c>
      <c r="G17" s="12">
        <v>13</v>
      </c>
      <c r="H17" s="59">
        <v>80</v>
      </c>
      <c r="I17" s="28">
        <v>4</v>
      </c>
      <c r="J17" s="12" t="s">
        <v>676</v>
      </c>
      <c r="K17" s="4" t="s">
        <v>674</v>
      </c>
      <c r="L17" s="12">
        <v>2.6</v>
      </c>
      <c r="M17" s="59"/>
      <c r="N17" s="12"/>
      <c r="O17" s="12"/>
      <c r="P17" s="12"/>
      <c r="Q17" s="59"/>
      <c r="R17" s="12"/>
      <c r="S17" s="12"/>
      <c r="T17" s="12"/>
      <c r="U17" s="59"/>
      <c r="V17" s="12"/>
      <c r="W17" s="12"/>
      <c r="X17" s="12"/>
      <c r="Y17" s="59"/>
      <c r="Z17" s="12"/>
      <c r="AA17" s="12"/>
      <c r="AB17" s="12"/>
      <c r="AC17" s="59"/>
      <c r="AD17" s="12"/>
      <c r="AE17" s="12"/>
      <c r="AF17" s="12"/>
      <c r="AG17" s="59">
        <f t="shared" si="0"/>
        <v>160</v>
      </c>
      <c r="AH17" s="12" t="s">
        <v>676</v>
      </c>
      <c r="AI17" s="4" t="s">
        <v>674</v>
      </c>
      <c r="AJ17" s="12" t="s">
        <v>670</v>
      </c>
      <c r="AK17" s="12"/>
      <c r="AL17" s="12"/>
      <c r="AM17" s="12"/>
      <c r="AN17" s="12"/>
      <c r="AO17" s="12"/>
      <c r="AP17" s="12"/>
      <c r="AQ17" s="12"/>
      <c r="AR17" s="12"/>
      <c r="AS17" s="12"/>
      <c r="AT17" s="12"/>
      <c r="AU17" s="12"/>
      <c r="AV17" s="12"/>
      <c r="AW17" s="12"/>
      <c r="AX17" s="12"/>
      <c r="AY17" s="12"/>
      <c r="AZ17" s="12"/>
      <c r="BA17" s="12"/>
      <c r="BB17" s="12"/>
      <c r="BC17" s="12"/>
      <c r="BD17" s="12"/>
      <c r="BE17" s="12">
        <v>2</v>
      </c>
      <c r="BF17" s="12" t="s">
        <v>381</v>
      </c>
      <c r="BG17" s="12"/>
      <c r="BH17" s="12"/>
      <c r="BI17" s="12">
        <v>2</v>
      </c>
      <c r="BJ17" s="12"/>
      <c r="BK17" s="12"/>
      <c r="BL17" s="12" t="s">
        <v>381</v>
      </c>
      <c r="BM17" s="12"/>
      <c r="BN17" s="12"/>
      <c r="BO17" s="12"/>
      <c r="BP17" s="12"/>
    </row>
    <row r="18" spans="1:68">
      <c r="A18" s="4" t="s">
        <v>404</v>
      </c>
      <c r="C18" s="4" t="s">
        <v>378</v>
      </c>
      <c r="D18" s="19" t="s">
        <v>58</v>
      </c>
      <c r="E18" s="12" t="s">
        <v>681</v>
      </c>
      <c r="F18" s="12">
        <v>4</v>
      </c>
      <c r="G18" s="12">
        <v>4</v>
      </c>
      <c r="H18" s="59">
        <v>30</v>
      </c>
      <c r="I18" s="28">
        <v>4</v>
      </c>
      <c r="J18" s="12" t="s">
        <v>676</v>
      </c>
      <c r="K18" s="4" t="s">
        <v>674</v>
      </c>
      <c r="L18" s="12">
        <v>2.6</v>
      </c>
      <c r="M18" s="59"/>
      <c r="N18" s="12"/>
      <c r="O18" s="12"/>
      <c r="P18" s="12"/>
      <c r="Q18" s="59"/>
      <c r="R18" s="12"/>
      <c r="S18" s="12"/>
      <c r="T18" s="12"/>
      <c r="U18" s="59"/>
      <c r="V18" s="12"/>
      <c r="W18" s="12"/>
      <c r="X18" s="12"/>
      <c r="Y18" s="59"/>
      <c r="Z18" s="12"/>
      <c r="AA18" s="12"/>
      <c r="AB18" s="12"/>
      <c r="AC18" s="59"/>
      <c r="AD18" s="12"/>
      <c r="AE18" s="12"/>
      <c r="AF18" s="12"/>
      <c r="AG18" s="59">
        <f t="shared" si="0"/>
        <v>60</v>
      </c>
      <c r="AH18" s="12" t="s">
        <v>676</v>
      </c>
      <c r="AI18" s="4" t="s">
        <v>674</v>
      </c>
      <c r="AJ18" s="12" t="s">
        <v>670</v>
      </c>
      <c r="AK18" s="12"/>
      <c r="AL18" s="12"/>
      <c r="AM18" s="12"/>
      <c r="AN18" s="12"/>
      <c r="AO18" s="12"/>
      <c r="AP18" s="12"/>
      <c r="AQ18" s="12"/>
      <c r="AR18" s="12"/>
      <c r="AS18" s="12"/>
      <c r="AT18" s="12"/>
      <c r="AU18" s="12"/>
      <c r="AV18" s="12"/>
      <c r="AW18" s="12"/>
      <c r="AX18" s="12"/>
      <c r="AY18" s="12"/>
      <c r="AZ18" s="12"/>
      <c r="BA18" s="12"/>
      <c r="BB18" s="12"/>
      <c r="BC18" s="12"/>
      <c r="BD18" s="12"/>
      <c r="BE18" s="12">
        <v>2</v>
      </c>
      <c r="BF18" s="12" t="s">
        <v>381</v>
      </c>
      <c r="BG18" s="12" t="s">
        <v>381</v>
      </c>
      <c r="BH18" s="12"/>
      <c r="BI18" s="12">
        <v>2</v>
      </c>
      <c r="BJ18" s="12"/>
      <c r="BK18" s="12"/>
      <c r="BL18" s="12" t="s">
        <v>381</v>
      </c>
      <c r="BM18" s="12"/>
      <c r="BN18" s="12"/>
      <c r="BO18" s="12"/>
      <c r="BP18" s="12"/>
    </row>
    <row r="19" spans="1:68">
      <c r="A19" s="4" t="s">
        <v>405</v>
      </c>
      <c r="C19" s="4" t="s">
        <v>378</v>
      </c>
      <c r="D19" s="19" t="s">
        <v>406</v>
      </c>
      <c r="E19" s="12" t="s">
        <v>686</v>
      </c>
      <c r="F19" s="12">
        <v>8</v>
      </c>
      <c r="G19" s="12">
        <v>12</v>
      </c>
      <c r="H19" s="59">
        <v>100</v>
      </c>
      <c r="I19" s="28">
        <v>16</v>
      </c>
      <c r="J19" s="12" t="s">
        <v>676</v>
      </c>
      <c r="K19" s="4" t="s">
        <v>674</v>
      </c>
      <c r="L19" s="12">
        <v>2.6</v>
      </c>
      <c r="M19" s="59"/>
      <c r="N19" s="12"/>
      <c r="O19" s="12"/>
      <c r="P19" s="12"/>
      <c r="Q19" s="59"/>
      <c r="R19" s="12"/>
      <c r="S19" s="12"/>
      <c r="T19" s="12"/>
      <c r="U19" s="59"/>
      <c r="V19" s="12"/>
      <c r="W19" s="12"/>
      <c r="X19" s="12"/>
      <c r="Y19" s="59"/>
      <c r="Z19" s="12"/>
      <c r="AA19" s="12"/>
      <c r="AB19" s="12"/>
      <c r="AC19" s="59"/>
      <c r="AD19" s="12"/>
      <c r="AE19" s="12"/>
      <c r="AF19" s="12"/>
      <c r="AG19" s="59">
        <f>2*(H19+AO19)</f>
        <v>300</v>
      </c>
      <c r="AH19" s="12" t="s">
        <v>676</v>
      </c>
      <c r="AI19" s="4" t="s">
        <v>674</v>
      </c>
      <c r="AJ19" s="12" t="s">
        <v>670</v>
      </c>
      <c r="AK19" s="12"/>
      <c r="AL19" s="12"/>
      <c r="AM19" s="12"/>
      <c r="AN19" s="12"/>
      <c r="AO19" s="59">
        <v>50</v>
      </c>
      <c r="AP19" s="12" t="s">
        <v>676</v>
      </c>
      <c r="AQ19" s="4" t="s">
        <v>674</v>
      </c>
      <c r="AR19" s="12">
        <f>50/1000</f>
        <v>0.05</v>
      </c>
      <c r="AS19" s="12"/>
      <c r="AT19" s="12"/>
      <c r="AU19" s="12"/>
      <c r="AV19" s="12"/>
      <c r="AW19" s="12"/>
      <c r="AX19" s="12"/>
      <c r="AY19" s="12"/>
      <c r="AZ19" s="12"/>
      <c r="BA19" s="12"/>
      <c r="BB19" s="12"/>
      <c r="BC19" s="12"/>
      <c r="BD19" s="12"/>
      <c r="BE19" s="12">
        <v>3</v>
      </c>
      <c r="BF19" s="12" t="s">
        <v>381</v>
      </c>
      <c r="BG19" s="12"/>
      <c r="BH19" s="12"/>
      <c r="BI19" s="12">
        <v>2</v>
      </c>
      <c r="BJ19" s="12"/>
      <c r="BK19" s="12"/>
      <c r="BL19" s="12" t="s">
        <v>381</v>
      </c>
      <c r="BM19" s="12"/>
      <c r="BN19" s="12"/>
      <c r="BO19" s="12"/>
      <c r="BP19" s="12"/>
    </row>
    <row r="20" spans="1:68">
      <c r="A20" s="4" t="s">
        <v>407</v>
      </c>
      <c r="C20" s="4" t="s">
        <v>378</v>
      </c>
      <c r="D20" s="19" t="s">
        <v>65</v>
      </c>
      <c r="E20" s="12" t="s">
        <v>687</v>
      </c>
      <c r="F20" s="12">
        <v>6</v>
      </c>
      <c r="G20" s="12">
        <v>8</v>
      </c>
      <c r="H20" s="59">
        <v>130</v>
      </c>
      <c r="I20" s="28">
        <v>4</v>
      </c>
      <c r="J20" s="12" t="s">
        <v>676</v>
      </c>
      <c r="K20" s="4" t="s">
        <v>674</v>
      </c>
      <c r="L20" s="12">
        <v>2.6</v>
      </c>
      <c r="M20" s="59"/>
      <c r="N20" s="12"/>
      <c r="O20" s="12"/>
      <c r="P20" s="12"/>
      <c r="Q20" s="59"/>
      <c r="R20" s="12"/>
      <c r="S20" s="12"/>
      <c r="T20" s="12"/>
      <c r="U20" s="59"/>
      <c r="V20" s="12"/>
      <c r="W20" s="12"/>
      <c r="X20" s="12"/>
      <c r="Y20" s="59"/>
      <c r="Z20" s="12"/>
      <c r="AA20" s="12"/>
      <c r="AB20" s="12"/>
      <c r="AC20" s="59"/>
      <c r="AD20" s="12"/>
      <c r="AE20" s="12"/>
      <c r="AF20" s="12"/>
      <c r="AG20" s="59">
        <f t="shared" si="0"/>
        <v>260</v>
      </c>
      <c r="AH20" s="12" t="s">
        <v>676</v>
      </c>
      <c r="AI20" s="4" t="s">
        <v>674</v>
      </c>
      <c r="AJ20" s="12" t="s">
        <v>670</v>
      </c>
      <c r="AK20" s="12"/>
      <c r="AL20" s="12"/>
      <c r="AM20" s="12"/>
      <c r="AN20" s="12"/>
      <c r="AO20" s="12"/>
      <c r="AP20" s="12"/>
      <c r="AQ20" s="12"/>
      <c r="AR20" s="12"/>
      <c r="AS20" s="12"/>
      <c r="AT20" s="12"/>
      <c r="AU20" s="12"/>
      <c r="AV20" s="12"/>
      <c r="AW20" s="12"/>
      <c r="AX20" s="12"/>
      <c r="AY20" s="12"/>
      <c r="AZ20" s="12"/>
      <c r="BA20" s="12"/>
      <c r="BB20" s="12"/>
      <c r="BC20" s="12"/>
      <c r="BD20" s="12"/>
      <c r="BE20" s="12">
        <v>2</v>
      </c>
      <c r="BF20" s="12" t="s">
        <v>381</v>
      </c>
      <c r="BG20" s="12"/>
      <c r="BH20" s="12"/>
      <c r="BI20" s="12">
        <v>2</v>
      </c>
      <c r="BJ20" s="12"/>
      <c r="BK20" s="12"/>
      <c r="BL20" s="12" t="s">
        <v>381</v>
      </c>
      <c r="BM20" s="12"/>
      <c r="BN20" s="12"/>
      <c r="BO20" s="12"/>
      <c r="BP20" s="12"/>
    </row>
    <row r="21" spans="1:68">
      <c r="A21" s="4" t="s">
        <v>408</v>
      </c>
      <c r="C21" s="4" t="s">
        <v>378</v>
      </c>
      <c r="D21" s="19" t="s">
        <v>69</v>
      </c>
      <c r="E21" s="12" t="s">
        <v>720</v>
      </c>
      <c r="F21" s="12">
        <v>6</v>
      </c>
      <c r="G21" s="12">
        <v>7</v>
      </c>
      <c r="H21" s="59">
        <v>60</v>
      </c>
      <c r="I21" s="28">
        <v>4</v>
      </c>
      <c r="J21" s="12" t="s">
        <v>676</v>
      </c>
      <c r="K21" s="4" t="s">
        <v>674</v>
      </c>
      <c r="L21" s="12">
        <v>2.6</v>
      </c>
      <c r="M21" s="59"/>
      <c r="N21" s="12"/>
      <c r="O21" s="12"/>
      <c r="P21" s="12"/>
      <c r="Q21" s="59"/>
      <c r="R21" s="12"/>
      <c r="S21" s="12"/>
      <c r="T21" s="12"/>
      <c r="U21" s="59"/>
      <c r="V21" s="12"/>
      <c r="W21" s="12"/>
      <c r="X21" s="12"/>
      <c r="Y21" s="59"/>
      <c r="Z21" s="12"/>
      <c r="AA21" s="12"/>
      <c r="AB21" s="12"/>
      <c r="AC21" s="59"/>
      <c r="AD21" s="12"/>
      <c r="AE21" s="12"/>
      <c r="AF21" s="12"/>
      <c r="AG21" s="59">
        <f t="shared" si="0"/>
        <v>120</v>
      </c>
      <c r="AH21" s="12" t="s">
        <v>676</v>
      </c>
      <c r="AI21" s="4" t="s">
        <v>674</v>
      </c>
      <c r="AJ21" s="12" t="s">
        <v>670</v>
      </c>
      <c r="AK21" s="12"/>
      <c r="AL21" s="12"/>
      <c r="AM21" s="12"/>
      <c r="AN21" s="12"/>
      <c r="AO21" s="12"/>
      <c r="AP21" s="12"/>
      <c r="AQ21" s="12"/>
      <c r="AR21" s="12"/>
      <c r="AS21" s="12"/>
      <c r="AT21" s="12"/>
      <c r="AU21" s="12"/>
      <c r="AV21" s="12"/>
      <c r="AW21" s="12"/>
      <c r="AX21" s="12"/>
      <c r="AY21" s="12"/>
      <c r="AZ21" s="12"/>
      <c r="BA21" s="12"/>
      <c r="BB21" s="12"/>
      <c r="BC21" s="12"/>
      <c r="BD21" s="12"/>
      <c r="BE21" s="12">
        <v>2</v>
      </c>
      <c r="BF21" s="12" t="s">
        <v>381</v>
      </c>
      <c r="BG21" s="12"/>
      <c r="BH21" s="12"/>
      <c r="BI21" s="12">
        <v>2</v>
      </c>
      <c r="BJ21" s="12"/>
      <c r="BK21" s="12"/>
      <c r="BL21" s="12" t="s">
        <v>381</v>
      </c>
      <c r="BM21" s="12"/>
      <c r="BN21" s="12"/>
      <c r="BO21" s="12"/>
      <c r="BP21" s="12"/>
    </row>
    <row r="22" spans="1:68">
      <c r="A22" s="4" t="s">
        <v>409</v>
      </c>
      <c r="C22" s="4" t="s">
        <v>378</v>
      </c>
      <c r="D22" s="19" t="s">
        <v>69</v>
      </c>
      <c r="E22" s="12" t="s">
        <v>720</v>
      </c>
      <c r="F22" s="12">
        <v>6</v>
      </c>
      <c r="G22" s="12">
        <v>7</v>
      </c>
      <c r="H22" s="59">
        <v>60</v>
      </c>
      <c r="I22" s="28">
        <v>4</v>
      </c>
      <c r="J22" s="12" t="s">
        <v>676</v>
      </c>
      <c r="K22" s="4" t="s">
        <v>674</v>
      </c>
      <c r="L22" s="12">
        <v>2.6</v>
      </c>
      <c r="M22" s="59"/>
      <c r="N22" s="12"/>
      <c r="O22" s="12"/>
      <c r="P22" s="12"/>
      <c r="Q22" s="59"/>
      <c r="R22" s="12"/>
      <c r="S22" s="12"/>
      <c r="T22" s="12"/>
      <c r="U22" s="59"/>
      <c r="V22" s="12"/>
      <c r="W22" s="12"/>
      <c r="X22" s="12"/>
      <c r="Y22" s="59"/>
      <c r="Z22" s="12"/>
      <c r="AA22" s="12"/>
      <c r="AB22" s="12"/>
      <c r="AC22" s="59"/>
      <c r="AD22" s="12"/>
      <c r="AE22" s="12"/>
      <c r="AF22" s="12"/>
      <c r="AG22" s="59">
        <f t="shared" si="0"/>
        <v>120</v>
      </c>
      <c r="AH22" s="12" t="s">
        <v>676</v>
      </c>
      <c r="AI22" s="4" t="s">
        <v>674</v>
      </c>
      <c r="AJ22" s="12" t="s">
        <v>670</v>
      </c>
      <c r="AK22" s="12"/>
      <c r="AL22" s="12"/>
      <c r="AM22" s="12"/>
      <c r="AN22" s="12"/>
      <c r="AO22" s="12"/>
      <c r="AP22" s="12"/>
      <c r="AQ22" s="12"/>
      <c r="AR22" s="12"/>
      <c r="AS22" s="12"/>
      <c r="AT22" s="12"/>
      <c r="AU22" s="12"/>
      <c r="AV22" s="12"/>
      <c r="AW22" s="12"/>
      <c r="AX22" s="12"/>
      <c r="AY22" s="12"/>
      <c r="AZ22" s="12"/>
      <c r="BA22" s="12"/>
      <c r="BB22" s="12"/>
      <c r="BC22" s="12"/>
      <c r="BD22" s="12"/>
      <c r="BE22" s="12">
        <v>2</v>
      </c>
      <c r="BF22" s="12" t="s">
        <v>381</v>
      </c>
      <c r="BG22" s="12"/>
      <c r="BH22" s="12"/>
      <c r="BI22" s="12">
        <v>2</v>
      </c>
      <c r="BJ22" s="12"/>
      <c r="BK22" s="12"/>
      <c r="BL22" s="12" t="s">
        <v>381</v>
      </c>
      <c r="BM22" s="12"/>
      <c r="BN22" s="12"/>
      <c r="BO22" s="12"/>
      <c r="BP22" s="12"/>
    </row>
    <row r="23" spans="1:68">
      <c r="A23" s="4" t="s">
        <v>410</v>
      </c>
      <c r="C23" s="4" t="s">
        <v>378</v>
      </c>
      <c r="D23" s="19" t="s">
        <v>73</v>
      </c>
      <c r="E23" s="12" t="s">
        <v>688</v>
      </c>
      <c r="F23" s="12">
        <v>6</v>
      </c>
      <c r="G23" s="12">
        <v>13</v>
      </c>
      <c r="H23" s="59">
        <v>55</v>
      </c>
      <c r="I23" s="28">
        <v>16</v>
      </c>
      <c r="J23" s="12" t="s">
        <v>676</v>
      </c>
      <c r="K23" s="4" t="s">
        <v>674</v>
      </c>
      <c r="L23" s="12">
        <v>2.6</v>
      </c>
      <c r="M23" s="59"/>
      <c r="N23" s="12"/>
      <c r="O23" s="12"/>
      <c r="P23" s="12"/>
      <c r="Q23" s="59"/>
      <c r="R23" s="12"/>
      <c r="S23" s="12"/>
      <c r="T23" s="12"/>
      <c r="U23" s="59"/>
      <c r="V23" s="12"/>
      <c r="W23" s="12"/>
      <c r="X23" s="12"/>
      <c r="Y23" s="59"/>
      <c r="Z23" s="12"/>
      <c r="AA23" s="12"/>
      <c r="AB23" s="12"/>
      <c r="AC23" s="59"/>
      <c r="AD23" s="12"/>
      <c r="AE23" s="12"/>
      <c r="AF23" s="12"/>
      <c r="AG23" s="59">
        <f t="shared" si="0"/>
        <v>110</v>
      </c>
      <c r="AH23" s="12" t="s">
        <v>676</v>
      </c>
      <c r="AI23" s="4" t="s">
        <v>674</v>
      </c>
      <c r="AJ23" s="12" t="s">
        <v>670</v>
      </c>
      <c r="AK23" s="12"/>
      <c r="AL23" s="12"/>
      <c r="AM23" s="12"/>
      <c r="AN23" s="12"/>
      <c r="AO23" s="12"/>
      <c r="AP23" s="12"/>
      <c r="AQ23" s="12"/>
      <c r="AR23" s="12"/>
      <c r="AS23" s="59">
        <v>85</v>
      </c>
      <c r="AT23" s="12" t="s">
        <v>676</v>
      </c>
      <c r="AU23" s="4" t="s">
        <v>674</v>
      </c>
      <c r="AV23" s="12">
        <f>50/1000</f>
        <v>0.05</v>
      </c>
      <c r="AW23" s="12"/>
      <c r="AX23" s="12"/>
      <c r="AY23" s="12"/>
      <c r="AZ23" s="12"/>
      <c r="BA23" s="12"/>
      <c r="BB23" s="12"/>
      <c r="BC23" s="12"/>
      <c r="BD23" s="12"/>
      <c r="BE23" s="12">
        <v>3</v>
      </c>
      <c r="BF23" s="12" t="s">
        <v>381</v>
      </c>
      <c r="BG23" s="12"/>
      <c r="BH23" s="12"/>
      <c r="BI23" s="12">
        <v>2</v>
      </c>
      <c r="BJ23" s="12"/>
      <c r="BK23" s="12"/>
      <c r="BL23" s="12" t="s">
        <v>381</v>
      </c>
      <c r="BM23" s="12"/>
      <c r="BN23" s="12"/>
      <c r="BO23" s="12"/>
      <c r="BP23" s="12"/>
    </row>
    <row r="24" spans="1:68">
      <c r="A24" s="4" t="s">
        <v>411</v>
      </c>
      <c r="C24" s="4" t="s">
        <v>378</v>
      </c>
      <c r="D24" s="19" t="s">
        <v>77</v>
      </c>
      <c r="E24" s="12" t="s">
        <v>688</v>
      </c>
      <c r="F24" s="12">
        <v>6</v>
      </c>
      <c r="G24" s="12">
        <v>13</v>
      </c>
      <c r="H24" s="59">
        <v>55</v>
      </c>
      <c r="I24" s="28">
        <v>16</v>
      </c>
      <c r="J24" s="12" t="s">
        <v>676</v>
      </c>
      <c r="K24" s="4" t="s">
        <v>674</v>
      </c>
      <c r="L24" s="12">
        <v>2.6</v>
      </c>
      <c r="M24" s="59"/>
      <c r="N24" s="12"/>
      <c r="O24" s="12"/>
      <c r="P24" s="12"/>
      <c r="Q24" s="59"/>
      <c r="R24" s="12"/>
      <c r="S24" s="12"/>
      <c r="T24" s="12"/>
      <c r="U24" s="59"/>
      <c r="V24" s="12"/>
      <c r="W24" s="12"/>
      <c r="X24" s="12"/>
      <c r="Y24" s="59"/>
      <c r="Z24" s="12"/>
      <c r="AA24" s="12"/>
      <c r="AB24" s="12"/>
      <c r="AC24" s="59"/>
      <c r="AD24" s="12"/>
      <c r="AE24" s="12"/>
      <c r="AF24" s="12"/>
      <c r="AG24" s="59">
        <f t="shared" si="0"/>
        <v>110</v>
      </c>
      <c r="AH24" s="12" t="s">
        <v>676</v>
      </c>
      <c r="AI24" s="4" t="s">
        <v>674</v>
      </c>
      <c r="AJ24" s="12" t="s">
        <v>670</v>
      </c>
      <c r="AK24" s="12"/>
      <c r="AL24" s="12"/>
      <c r="AM24" s="12"/>
      <c r="AN24" s="12"/>
      <c r="AO24" s="12"/>
      <c r="AP24" s="12"/>
      <c r="AQ24" s="12"/>
      <c r="AR24" s="12"/>
      <c r="AS24" s="59">
        <v>85</v>
      </c>
      <c r="AT24" s="12" t="s">
        <v>676</v>
      </c>
      <c r="AU24" s="4" t="s">
        <v>674</v>
      </c>
      <c r="AV24" s="12">
        <f>50/1000</f>
        <v>0.05</v>
      </c>
      <c r="AW24" s="12"/>
      <c r="AX24" s="12"/>
      <c r="AY24" s="12"/>
      <c r="AZ24" s="12"/>
      <c r="BA24" s="12"/>
      <c r="BB24" s="12"/>
      <c r="BC24" s="12"/>
      <c r="BD24" s="12"/>
      <c r="BE24" s="12">
        <v>3</v>
      </c>
      <c r="BF24" s="12" t="s">
        <v>381</v>
      </c>
      <c r="BG24" s="12"/>
      <c r="BH24" s="12"/>
      <c r="BI24" s="12">
        <v>2</v>
      </c>
      <c r="BJ24" s="12"/>
      <c r="BK24" s="12"/>
      <c r="BL24" s="12" t="s">
        <v>381</v>
      </c>
      <c r="BM24" s="12"/>
      <c r="BN24" s="12"/>
      <c r="BO24" s="12"/>
      <c r="BP24" s="12"/>
    </row>
    <row r="25" spans="1:68">
      <c r="A25" s="4" t="s">
        <v>433</v>
      </c>
      <c r="C25" s="4" t="s">
        <v>378</v>
      </c>
      <c r="D25" s="19" t="s">
        <v>81</v>
      </c>
      <c r="E25" s="12" t="s">
        <v>689</v>
      </c>
      <c r="F25" s="12">
        <v>6</v>
      </c>
      <c r="G25" s="12">
        <v>9</v>
      </c>
      <c r="H25" s="59">
        <v>40</v>
      </c>
      <c r="I25" s="28">
        <v>4</v>
      </c>
      <c r="J25" s="12" t="s">
        <v>676</v>
      </c>
      <c r="K25" s="4" t="s">
        <v>674</v>
      </c>
      <c r="L25" s="12">
        <v>2.6</v>
      </c>
      <c r="M25" s="59"/>
      <c r="N25" s="12"/>
      <c r="O25" s="12"/>
      <c r="P25" s="12"/>
      <c r="Q25" s="59"/>
      <c r="R25" s="12"/>
      <c r="S25" s="12"/>
      <c r="T25" s="12"/>
      <c r="U25" s="59"/>
      <c r="V25" s="12"/>
      <c r="W25" s="12"/>
      <c r="X25" s="12"/>
      <c r="Y25" s="59"/>
      <c r="Z25" s="12"/>
      <c r="AA25" s="12"/>
      <c r="AB25" s="12"/>
      <c r="AC25" s="59"/>
      <c r="AD25" s="12"/>
      <c r="AE25" s="12"/>
      <c r="AF25" s="12"/>
      <c r="AG25" s="59">
        <f t="shared" si="0"/>
        <v>80</v>
      </c>
      <c r="AH25" s="12" t="s">
        <v>676</v>
      </c>
      <c r="AI25" s="4" t="s">
        <v>674</v>
      </c>
      <c r="AJ25" s="12" t="s">
        <v>670</v>
      </c>
      <c r="AK25" s="12"/>
      <c r="AL25" s="12"/>
      <c r="AM25" s="12"/>
      <c r="AN25" s="12"/>
      <c r="AO25" s="12"/>
      <c r="AP25" s="12"/>
      <c r="AQ25" s="12"/>
      <c r="AR25" s="12"/>
      <c r="AS25" s="12"/>
      <c r="AT25" s="12"/>
      <c r="AU25" s="12"/>
      <c r="AV25" s="12"/>
      <c r="AW25" s="12"/>
      <c r="AX25" s="12"/>
      <c r="AY25" s="12"/>
      <c r="AZ25" s="12"/>
      <c r="BA25" s="12"/>
      <c r="BB25" s="12"/>
      <c r="BC25" s="12"/>
      <c r="BD25" s="12"/>
      <c r="BE25" s="12">
        <v>2</v>
      </c>
      <c r="BF25" s="12" t="s">
        <v>381</v>
      </c>
      <c r="BG25" s="12"/>
      <c r="BH25" s="12"/>
      <c r="BI25" s="12">
        <v>2</v>
      </c>
      <c r="BJ25" s="12"/>
      <c r="BK25" s="12"/>
      <c r="BL25" s="12" t="s">
        <v>381</v>
      </c>
      <c r="BM25" s="12"/>
      <c r="BN25" s="12"/>
      <c r="BO25" s="12"/>
      <c r="BP25" s="12"/>
    </row>
    <row r="26" spans="1:68">
      <c r="A26" s="4" t="s">
        <v>435</v>
      </c>
      <c r="C26" s="4" t="s">
        <v>378</v>
      </c>
      <c r="D26" s="19" t="s">
        <v>81</v>
      </c>
      <c r="E26" s="12" t="s">
        <v>689</v>
      </c>
      <c r="F26" s="12">
        <v>6</v>
      </c>
      <c r="G26" s="12">
        <v>9</v>
      </c>
      <c r="H26" s="59">
        <v>40</v>
      </c>
      <c r="I26" s="28">
        <v>4</v>
      </c>
      <c r="J26" s="12" t="s">
        <v>676</v>
      </c>
      <c r="K26" s="4" t="s">
        <v>674</v>
      </c>
      <c r="L26" s="12">
        <v>2.6</v>
      </c>
      <c r="M26" s="59"/>
      <c r="N26" s="12"/>
      <c r="O26" s="12"/>
      <c r="P26" s="12"/>
      <c r="Q26" s="59"/>
      <c r="R26" s="12"/>
      <c r="S26" s="12"/>
      <c r="T26" s="12"/>
      <c r="U26" s="59"/>
      <c r="V26" s="12"/>
      <c r="W26" s="12"/>
      <c r="X26" s="12"/>
      <c r="Y26" s="59"/>
      <c r="Z26" s="12"/>
      <c r="AA26" s="12"/>
      <c r="AB26" s="12"/>
      <c r="AC26" s="59"/>
      <c r="AD26" s="12"/>
      <c r="AE26" s="12"/>
      <c r="AF26" s="12"/>
      <c r="AG26" s="59">
        <f t="shared" si="0"/>
        <v>80</v>
      </c>
      <c r="AH26" s="12" t="s">
        <v>676</v>
      </c>
      <c r="AI26" s="4" t="s">
        <v>674</v>
      </c>
      <c r="AJ26" s="12" t="s">
        <v>670</v>
      </c>
      <c r="AK26" s="12"/>
      <c r="AL26" s="12"/>
      <c r="AM26" s="12"/>
      <c r="AN26" s="12"/>
      <c r="AO26" s="12"/>
      <c r="AP26" s="12"/>
      <c r="AQ26" s="12"/>
      <c r="AR26" s="12"/>
      <c r="AS26" s="12"/>
      <c r="AT26" s="12"/>
      <c r="AU26" s="12"/>
      <c r="AV26" s="12"/>
      <c r="AW26" s="12"/>
      <c r="AX26" s="12"/>
      <c r="AY26" s="12"/>
      <c r="AZ26" s="12"/>
      <c r="BA26" s="12"/>
      <c r="BB26" s="12"/>
      <c r="BC26" s="12"/>
      <c r="BD26" s="12"/>
      <c r="BE26" s="12">
        <v>2</v>
      </c>
      <c r="BF26" s="12" t="s">
        <v>381</v>
      </c>
      <c r="BG26" s="12"/>
      <c r="BH26" s="12"/>
      <c r="BI26" s="12">
        <v>2</v>
      </c>
      <c r="BJ26" s="12"/>
      <c r="BK26" s="12"/>
      <c r="BL26" s="12" t="s">
        <v>381</v>
      </c>
      <c r="BM26" s="12"/>
      <c r="BN26" s="12"/>
      <c r="BO26" s="12"/>
      <c r="BP26" s="12"/>
    </row>
    <row r="27" spans="1:68">
      <c r="A27" s="4" t="s">
        <v>557</v>
      </c>
      <c r="C27" s="4" t="s">
        <v>378</v>
      </c>
      <c r="D27" s="19" t="s">
        <v>85</v>
      </c>
      <c r="E27" s="12" t="s">
        <v>690</v>
      </c>
      <c r="F27" s="12">
        <v>8</v>
      </c>
      <c r="G27" s="12">
        <v>36</v>
      </c>
      <c r="H27" s="59">
        <v>135</v>
      </c>
      <c r="I27" s="28">
        <v>16</v>
      </c>
      <c r="J27" s="12" t="s">
        <v>676</v>
      </c>
      <c r="K27" s="4" t="s">
        <v>674</v>
      </c>
      <c r="L27" s="12">
        <v>2.6</v>
      </c>
      <c r="M27" s="59"/>
      <c r="N27" s="12"/>
      <c r="O27" s="12"/>
      <c r="P27" s="12"/>
      <c r="Q27" s="59"/>
      <c r="R27" s="12"/>
      <c r="S27" s="12"/>
      <c r="T27" s="12"/>
      <c r="U27" s="59"/>
      <c r="V27" s="12"/>
      <c r="W27" s="12"/>
      <c r="X27" s="12"/>
      <c r="Y27" s="59"/>
      <c r="Z27" s="12"/>
      <c r="AA27" s="12"/>
      <c r="AB27" s="12"/>
      <c r="AC27" s="59"/>
      <c r="AD27" s="12"/>
      <c r="AE27" s="12"/>
      <c r="AF27" s="12"/>
      <c r="AG27" s="59">
        <f t="shared" si="0"/>
        <v>270</v>
      </c>
      <c r="AH27" s="12" t="s">
        <v>676</v>
      </c>
      <c r="AI27" s="4" t="s">
        <v>674</v>
      </c>
      <c r="AJ27" s="12" t="s">
        <v>670</v>
      </c>
      <c r="AK27" s="12"/>
      <c r="AL27" s="12"/>
      <c r="AM27" s="12"/>
      <c r="AN27" s="12"/>
      <c r="AO27" s="12"/>
      <c r="AP27" s="12"/>
      <c r="AQ27" s="12"/>
      <c r="AR27" s="12"/>
      <c r="AS27" s="12"/>
      <c r="AT27" s="12"/>
      <c r="AU27" s="12"/>
      <c r="AV27" s="12"/>
      <c r="AW27" s="12"/>
      <c r="AX27" s="12"/>
      <c r="AY27" s="12"/>
      <c r="AZ27" s="12"/>
      <c r="BA27" s="12"/>
      <c r="BB27" s="12"/>
      <c r="BC27" s="12"/>
      <c r="BD27" s="12"/>
      <c r="BE27" s="12">
        <v>2</v>
      </c>
      <c r="BF27" s="12" t="s">
        <v>381</v>
      </c>
      <c r="BG27" s="12"/>
      <c r="BH27" s="12"/>
      <c r="BI27" s="12">
        <v>2</v>
      </c>
      <c r="BJ27" s="12"/>
      <c r="BK27" s="12"/>
      <c r="BL27" s="12" t="s">
        <v>381</v>
      </c>
      <c r="BM27" s="12"/>
      <c r="BN27" s="12"/>
      <c r="BO27" s="12"/>
      <c r="BP27" s="12"/>
    </row>
    <row r="28" spans="1:68">
      <c r="A28" s="4" t="s">
        <v>558</v>
      </c>
      <c r="C28" s="4" t="s">
        <v>378</v>
      </c>
      <c r="D28" s="19" t="s">
        <v>85</v>
      </c>
      <c r="E28" s="12" t="s">
        <v>690</v>
      </c>
      <c r="F28" s="12">
        <v>8</v>
      </c>
      <c r="G28" s="12">
        <v>36</v>
      </c>
      <c r="H28" s="59">
        <v>135</v>
      </c>
      <c r="I28" s="28">
        <v>16</v>
      </c>
      <c r="J28" s="12" t="s">
        <v>676</v>
      </c>
      <c r="K28" s="4" t="s">
        <v>674</v>
      </c>
      <c r="L28" s="12">
        <v>2.6</v>
      </c>
      <c r="M28" s="59"/>
      <c r="N28" s="12"/>
      <c r="O28" s="12"/>
      <c r="P28" s="12"/>
      <c r="Q28" s="59"/>
      <c r="R28" s="12"/>
      <c r="S28" s="12"/>
      <c r="T28" s="12"/>
      <c r="U28" s="59"/>
      <c r="V28" s="12"/>
      <c r="W28" s="12"/>
      <c r="X28" s="12"/>
      <c r="Y28" s="59"/>
      <c r="Z28" s="12"/>
      <c r="AA28" s="12"/>
      <c r="AB28" s="12"/>
      <c r="AC28" s="59"/>
      <c r="AD28" s="12"/>
      <c r="AE28" s="12"/>
      <c r="AF28" s="12"/>
      <c r="AG28" s="59">
        <f t="shared" si="0"/>
        <v>270</v>
      </c>
      <c r="AH28" s="12" t="s">
        <v>676</v>
      </c>
      <c r="AI28" s="4" t="s">
        <v>674</v>
      </c>
      <c r="AJ28" s="12" t="s">
        <v>670</v>
      </c>
      <c r="AK28" s="12"/>
      <c r="AL28" s="12"/>
      <c r="AM28" s="12"/>
      <c r="AN28" s="12"/>
      <c r="AO28" s="12"/>
      <c r="AP28" s="12"/>
      <c r="AQ28" s="12"/>
      <c r="AR28" s="12"/>
      <c r="AS28" s="12"/>
      <c r="AT28" s="12"/>
      <c r="AU28" s="12"/>
      <c r="AV28" s="12"/>
      <c r="AW28" s="12"/>
      <c r="AX28" s="12"/>
      <c r="AY28" s="12"/>
      <c r="AZ28" s="12"/>
      <c r="BA28" s="12"/>
      <c r="BB28" s="12"/>
      <c r="BC28" s="12"/>
      <c r="BD28" s="12"/>
      <c r="BE28" s="12">
        <v>2</v>
      </c>
      <c r="BF28" s="12" t="s">
        <v>381</v>
      </c>
      <c r="BG28" s="12"/>
      <c r="BH28" s="12"/>
      <c r="BI28" s="12">
        <v>2</v>
      </c>
      <c r="BJ28" s="12"/>
      <c r="BK28" s="12"/>
      <c r="BL28" s="12" t="s">
        <v>381</v>
      </c>
      <c r="BM28" s="12"/>
      <c r="BN28" s="12"/>
      <c r="BO28" s="12"/>
      <c r="BP28" s="12"/>
    </row>
    <row r="29" spans="1:68">
      <c r="A29" s="4" t="s">
        <v>559</v>
      </c>
      <c r="C29" s="4" t="s">
        <v>378</v>
      </c>
      <c r="D29" s="19" t="s">
        <v>85</v>
      </c>
      <c r="E29" s="12" t="s">
        <v>690</v>
      </c>
      <c r="F29" s="12">
        <v>8</v>
      </c>
      <c r="G29" s="12">
        <v>36</v>
      </c>
      <c r="H29" s="59">
        <v>135</v>
      </c>
      <c r="I29" s="28">
        <v>16</v>
      </c>
      <c r="J29" s="12" t="s">
        <v>676</v>
      </c>
      <c r="K29" s="4" t="s">
        <v>674</v>
      </c>
      <c r="L29" s="12">
        <v>2.6</v>
      </c>
      <c r="M29" s="59"/>
      <c r="N29" s="12"/>
      <c r="O29" s="12"/>
      <c r="P29" s="12"/>
      <c r="Q29" s="59"/>
      <c r="R29" s="12"/>
      <c r="S29" s="12"/>
      <c r="T29" s="12"/>
      <c r="U29" s="59"/>
      <c r="V29" s="12"/>
      <c r="W29" s="12"/>
      <c r="X29" s="12"/>
      <c r="Y29" s="59"/>
      <c r="Z29" s="12"/>
      <c r="AA29" s="12"/>
      <c r="AB29" s="12"/>
      <c r="AC29" s="59"/>
      <c r="AD29" s="12"/>
      <c r="AE29" s="12"/>
      <c r="AF29" s="12"/>
      <c r="AG29" s="59">
        <f t="shared" si="0"/>
        <v>270</v>
      </c>
      <c r="AH29" s="12" t="s">
        <v>676</v>
      </c>
      <c r="AI29" s="4" t="s">
        <v>674</v>
      </c>
      <c r="AJ29" s="12" t="s">
        <v>670</v>
      </c>
      <c r="AK29" s="12"/>
      <c r="AL29" s="12"/>
      <c r="AM29" s="12"/>
      <c r="AN29" s="12"/>
      <c r="AO29" s="12"/>
      <c r="AP29" s="12"/>
      <c r="AQ29" s="12"/>
      <c r="AR29" s="12"/>
      <c r="AS29" s="12"/>
      <c r="AT29" s="12"/>
      <c r="AU29" s="12"/>
      <c r="AV29" s="12"/>
      <c r="AW29" s="12"/>
      <c r="AX29" s="12"/>
      <c r="AY29" s="12"/>
      <c r="AZ29" s="12"/>
      <c r="BA29" s="12"/>
      <c r="BB29" s="12"/>
      <c r="BC29" s="12"/>
      <c r="BD29" s="12"/>
      <c r="BE29" s="12">
        <v>2</v>
      </c>
      <c r="BF29" s="12" t="s">
        <v>381</v>
      </c>
      <c r="BG29" s="12"/>
      <c r="BH29" s="12"/>
      <c r="BI29" s="12">
        <v>2</v>
      </c>
      <c r="BJ29" s="12"/>
      <c r="BK29" s="12"/>
      <c r="BL29" s="12" t="s">
        <v>381</v>
      </c>
      <c r="BM29" s="12"/>
      <c r="BN29" s="12"/>
      <c r="BO29" s="12"/>
      <c r="BP29" s="12"/>
    </row>
    <row r="30" spans="1:68">
      <c r="A30" s="4" t="s">
        <v>560</v>
      </c>
      <c r="C30" s="4" t="s">
        <v>378</v>
      </c>
      <c r="D30" s="19" t="s">
        <v>85</v>
      </c>
      <c r="E30" s="12" t="s">
        <v>690</v>
      </c>
      <c r="F30" s="12">
        <v>8</v>
      </c>
      <c r="G30" s="12">
        <v>36</v>
      </c>
      <c r="H30" s="59">
        <v>135</v>
      </c>
      <c r="I30" s="28">
        <v>16</v>
      </c>
      <c r="J30" s="12" t="s">
        <v>676</v>
      </c>
      <c r="K30" s="4" t="s">
        <v>674</v>
      </c>
      <c r="L30" s="12">
        <v>2.6</v>
      </c>
      <c r="M30" s="59"/>
      <c r="N30" s="12"/>
      <c r="O30" s="12"/>
      <c r="P30" s="12"/>
      <c r="Q30" s="59"/>
      <c r="R30" s="12"/>
      <c r="S30" s="12"/>
      <c r="T30" s="12"/>
      <c r="U30" s="59"/>
      <c r="V30" s="12"/>
      <c r="W30" s="12"/>
      <c r="X30" s="12"/>
      <c r="Y30" s="59"/>
      <c r="Z30" s="12"/>
      <c r="AA30" s="12"/>
      <c r="AB30" s="12"/>
      <c r="AC30" s="59"/>
      <c r="AD30" s="12"/>
      <c r="AE30" s="12"/>
      <c r="AF30" s="12"/>
      <c r="AG30" s="59">
        <f t="shared" si="0"/>
        <v>270</v>
      </c>
      <c r="AH30" s="12" t="s">
        <v>676</v>
      </c>
      <c r="AI30" s="4" t="s">
        <v>674</v>
      </c>
      <c r="AJ30" s="12" t="s">
        <v>670</v>
      </c>
      <c r="AK30" s="12"/>
      <c r="AL30" s="12"/>
      <c r="AM30" s="12"/>
      <c r="AN30" s="12"/>
      <c r="AO30" s="12"/>
      <c r="AP30" s="12"/>
      <c r="AQ30" s="12"/>
      <c r="AR30" s="12"/>
      <c r="AS30" s="12"/>
      <c r="AT30" s="12"/>
      <c r="AU30" s="12"/>
      <c r="AV30" s="12"/>
      <c r="AW30" s="12"/>
      <c r="AX30" s="12"/>
      <c r="AY30" s="12"/>
      <c r="AZ30" s="12"/>
      <c r="BA30" s="12"/>
      <c r="BB30" s="12"/>
      <c r="BC30" s="12"/>
      <c r="BD30" s="12"/>
      <c r="BE30" s="12">
        <v>2</v>
      </c>
      <c r="BF30" s="12" t="s">
        <v>381</v>
      </c>
      <c r="BG30" s="12"/>
      <c r="BH30" s="12"/>
      <c r="BI30" s="12">
        <v>2</v>
      </c>
      <c r="BJ30" s="12"/>
      <c r="BK30" s="12"/>
      <c r="BL30" s="12" t="s">
        <v>381</v>
      </c>
      <c r="BM30" s="12"/>
      <c r="BN30" s="12"/>
      <c r="BO30" s="12"/>
      <c r="BP30" s="12"/>
    </row>
    <row r="31" spans="1:68">
      <c r="A31" s="4" t="s">
        <v>566</v>
      </c>
      <c r="C31" s="4" t="s">
        <v>378</v>
      </c>
      <c r="D31" s="19" t="s">
        <v>85</v>
      </c>
      <c r="E31" s="12" t="s">
        <v>690</v>
      </c>
      <c r="F31" s="12">
        <v>8</v>
      </c>
      <c r="G31" s="12">
        <v>36</v>
      </c>
      <c r="H31" s="59">
        <v>135</v>
      </c>
      <c r="I31" s="28">
        <v>16</v>
      </c>
      <c r="J31" s="12" t="s">
        <v>676</v>
      </c>
      <c r="K31" s="4" t="s">
        <v>674</v>
      </c>
      <c r="L31" s="12">
        <v>2.6</v>
      </c>
      <c r="M31" s="59"/>
      <c r="N31" s="12"/>
      <c r="O31" s="12"/>
      <c r="P31" s="12"/>
      <c r="Q31" s="59"/>
      <c r="R31" s="12"/>
      <c r="S31" s="12"/>
      <c r="T31" s="12"/>
      <c r="U31" s="59"/>
      <c r="V31" s="12"/>
      <c r="W31" s="12"/>
      <c r="X31" s="12"/>
      <c r="Y31" s="59"/>
      <c r="Z31" s="12"/>
      <c r="AA31" s="12"/>
      <c r="AB31" s="12"/>
      <c r="AC31" s="59"/>
      <c r="AD31" s="12"/>
      <c r="AE31" s="12"/>
      <c r="AF31" s="12"/>
      <c r="AG31" s="59">
        <f t="shared" si="0"/>
        <v>270</v>
      </c>
      <c r="AH31" s="12" t="s">
        <v>676</v>
      </c>
      <c r="AI31" s="4" t="s">
        <v>674</v>
      </c>
      <c r="AJ31" s="12" t="s">
        <v>670</v>
      </c>
      <c r="AK31" s="12"/>
      <c r="AL31" s="12"/>
      <c r="AM31" s="12"/>
      <c r="AN31" s="12"/>
      <c r="AO31" s="12"/>
      <c r="AP31" s="12"/>
      <c r="AQ31" s="12"/>
      <c r="AR31" s="12"/>
      <c r="AS31" s="12"/>
      <c r="AT31" s="12"/>
      <c r="AU31" s="12"/>
      <c r="AV31" s="12"/>
      <c r="AW31" s="12"/>
      <c r="AX31" s="12"/>
      <c r="AY31" s="12"/>
      <c r="AZ31" s="12"/>
      <c r="BA31" s="12"/>
      <c r="BB31" s="12"/>
      <c r="BC31" s="12"/>
      <c r="BD31" s="12"/>
      <c r="BE31" s="12">
        <v>2</v>
      </c>
      <c r="BF31" s="12" t="s">
        <v>381</v>
      </c>
      <c r="BG31" s="12"/>
      <c r="BH31" s="12"/>
      <c r="BI31" s="12">
        <v>2</v>
      </c>
      <c r="BJ31" s="12"/>
      <c r="BK31" s="12"/>
      <c r="BL31" s="12" t="s">
        <v>381</v>
      </c>
      <c r="BM31" s="12"/>
      <c r="BN31" s="12"/>
      <c r="BO31" s="12"/>
      <c r="BP31" s="12"/>
    </row>
    <row r="32" spans="1:68">
      <c r="A32" s="4" t="s">
        <v>567</v>
      </c>
      <c r="C32" s="4" t="s">
        <v>378</v>
      </c>
      <c r="D32" s="19" t="s">
        <v>85</v>
      </c>
      <c r="E32" s="12" t="s">
        <v>690</v>
      </c>
      <c r="F32" s="12">
        <v>8</v>
      </c>
      <c r="G32" s="12">
        <v>36</v>
      </c>
      <c r="H32" s="59">
        <v>135</v>
      </c>
      <c r="I32" s="28">
        <v>16</v>
      </c>
      <c r="J32" s="12" t="s">
        <v>676</v>
      </c>
      <c r="K32" s="4" t="s">
        <v>674</v>
      </c>
      <c r="L32" s="12">
        <v>2.6</v>
      </c>
      <c r="M32" s="59"/>
      <c r="N32" s="12"/>
      <c r="O32" s="12"/>
      <c r="P32" s="12"/>
      <c r="Q32" s="59"/>
      <c r="R32" s="12"/>
      <c r="S32" s="12"/>
      <c r="T32" s="12"/>
      <c r="U32" s="59"/>
      <c r="V32" s="12"/>
      <c r="W32" s="12"/>
      <c r="X32" s="12"/>
      <c r="Y32" s="59"/>
      <c r="Z32" s="12"/>
      <c r="AA32" s="12"/>
      <c r="AB32" s="12"/>
      <c r="AC32" s="59"/>
      <c r="AD32" s="12"/>
      <c r="AE32" s="12"/>
      <c r="AF32" s="12"/>
      <c r="AG32" s="59">
        <f t="shared" si="0"/>
        <v>270</v>
      </c>
      <c r="AH32" s="12" t="s">
        <v>676</v>
      </c>
      <c r="AI32" s="4" t="s">
        <v>674</v>
      </c>
      <c r="AJ32" s="12" t="s">
        <v>670</v>
      </c>
      <c r="AK32" s="12"/>
      <c r="AL32" s="12"/>
      <c r="AM32" s="12"/>
      <c r="AN32" s="12"/>
      <c r="AO32" s="12"/>
      <c r="AP32" s="12"/>
      <c r="AQ32" s="12"/>
      <c r="AR32" s="12"/>
      <c r="AS32" s="12"/>
      <c r="AT32" s="12"/>
      <c r="AU32" s="12"/>
      <c r="AV32" s="12"/>
      <c r="AW32" s="12"/>
      <c r="AX32" s="12"/>
      <c r="AY32" s="12"/>
      <c r="AZ32" s="12"/>
      <c r="BA32" s="12"/>
      <c r="BB32" s="12"/>
      <c r="BC32" s="12"/>
      <c r="BD32" s="12"/>
      <c r="BE32" s="12">
        <v>2</v>
      </c>
      <c r="BF32" s="12" t="s">
        <v>381</v>
      </c>
      <c r="BG32" s="12"/>
      <c r="BH32" s="12"/>
      <c r="BI32" s="12">
        <v>2</v>
      </c>
      <c r="BJ32" s="12"/>
      <c r="BK32" s="12"/>
      <c r="BL32" s="12" t="s">
        <v>381</v>
      </c>
      <c r="BM32" s="12"/>
      <c r="BN32" s="12"/>
      <c r="BO32" s="12"/>
      <c r="BP32" s="12"/>
    </row>
    <row r="33" spans="1:68">
      <c r="A33" s="4" t="s">
        <v>582</v>
      </c>
      <c r="C33" s="4" t="s">
        <v>378</v>
      </c>
      <c r="D33" s="19" t="s">
        <v>85</v>
      </c>
      <c r="E33" s="12" t="s">
        <v>690</v>
      </c>
      <c r="F33" s="12">
        <v>8</v>
      </c>
      <c r="G33" s="12">
        <v>36</v>
      </c>
      <c r="H33" s="59">
        <v>135</v>
      </c>
      <c r="I33" s="28">
        <v>16</v>
      </c>
      <c r="J33" s="12" t="s">
        <v>676</v>
      </c>
      <c r="K33" s="4" t="s">
        <v>674</v>
      </c>
      <c r="L33" s="12">
        <v>2.6</v>
      </c>
      <c r="M33" s="59"/>
      <c r="N33" s="12"/>
      <c r="O33" s="12"/>
      <c r="P33" s="12"/>
      <c r="Q33" s="59"/>
      <c r="R33" s="12"/>
      <c r="S33" s="12"/>
      <c r="T33" s="12"/>
      <c r="U33" s="59"/>
      <c r="V33" s="12"/>
      <c r="W33" s="12"/>
      <c r="X33" s="12"/>
      <c r="Y33" s="59"/>
      <c r="Z33" s="12"/>
      <c r="AA33" s="12"/>
      <c r="AB33" s="12"/>
      <c r="AC33" s="59"/>
      <c r="AD33" s="12"/>
      <c r="AE33" s="12"/>
      <c r="AF33" s="12"/>
      <c r="AG33" s="59">
        <f t="shared" si="0"/>
        <v>270</v>
      </c>
      <c r="AH33" s="12" t="s">
        <v>676</v>
      </c>
      <c r="AI33" s="4" t="s">
        <v>674</v>
      </c>
      <c r="AJ33" s="12" t="s">
        <v>670</v>
      </c>
      <c r="AK33" s="12"/>
      <c r="AL33" s="12"/>
      <c r="AM33" s="12"/>
      <c r="AN33" s="12"/>
      <c r="AO33" s="12"/>
      <c r="AP33" s="12"/>
      <c r="AQ33" s="12"/>
      <c r="AR33" s="12"/>
      <c r="AS33" s="12"/>
      <c r="AT33" s="12"/>
      <c r="AU33" s="12"/>
      <c r="AV33" s="12"/>
      <c r="AW33" s="12"/>
      <c r="AX33" s="12"/>
      <c r="AY33" s="12"/>
      <c r="AZ33" s="12"/>
      <c r="BA33" s="12"/>
      <c r="BB33" s="12"/>
      <c r="BC33" s="12"/>
      <c r="BD33" s="12"/>
      <c r="BE33" s="12">
        <v>2</v>
      </c>
      <c r="BF33" s="12" t="s">
        <v>381</v>
      </c>
      <c r="BG33" s="12"/>
      <c r="BH33" s="12"/>
      <c r="BI33" s="12">
        <v>2</v>
      </c>
      <c r="BJ33" s="12"/>
      <c r="BK33" s="12"/>
      <c r="BL33" s="12" t="s">
        <v>381</v>
      </c>
      <c r="BM33" s="12"/>
      <c r="BN33" s="12"/>
      <c r="BO33" s="12"/>
      <c r="BP33" s="12"/>
    </row>
    <row r="34" spans="1:68">
      <c r="A34" s="4" t="s">
        <v>583</v>
      </c>
      <c r="C34" s="4" t="s">
        <v>378</v>
      </c>
      <c r="D34" s="19" t="s">
        <v>85</v>
      </c>
      <c r="E34" s="12" t="s">
        <v>690</v>
      </c>
      <c r="F34" s="12">
        <v>8</v>
      </c>
      <c r="G34" s="12">
        <v>36</v>
      </c>
      <c r="H34" s="59">
        <v>135</v>
      </c>
      <c r="I34" s="28">
        <v>16</v>
      </c>
      <c r="J34" s="12" t="s">
        <v>676</v>
      </c>
      <c r="K34" s="4" t="s">
        <v>674</v>
      </c>
      <c r="L34" s="12">
        <v>2.6</v>
      </c>
      <c r="M34" s="59"/>
      <c r="N34" s="12"/>
      <c r="O34" s="12"/>
      <c r="P34" s="12"/>
      <c r="Q34" s="59"/>
      <c r="R34" s="12"/>
      <c r="S34" s="12"/>
      <c r="T34" s="12"/>
      <c r="U34" s="59"/>
      <c r="V34" s="12"/>
      <c r="W34" s="12"/>
      <c r="X34" s="12"/>
      <c r="Y34" s="59"/>
      <c r="Z34" s="12"/>
      <c r="AA34" s="12"/>
      <c r="AB34" s="12"/>
      <c r="AC34" s="59"/>
      <c r="AD34" s="12"/>
      <c r="AE34" s="12"/>
      <c r="AF34" s="12"/>
      <c r="AG34" s="59">
        <f t="shared" si="0"/>
        <v>270</v>
      </c>
      <c r="AH34" s="12" t="s">
        <v>676</v>
      </c>
      <c r="AI34" s="4" t="s">
        <v>674</v>
      </c>
      <c r="AJ34" s="12" t="s">
        <v>670</v>
      </c>
      <c r="AK34" s="12"/>
      <c r="AL34" s="12"/>
      <c r="AM34" s="12"/>
      <c r="AN34" s="12"/>
      <c r="AO34" s="12"/>
      <c r="AP34" s="12"/>
      <c r="AQ34" s="12"/>
      <c r="AR34" s="12"/>
      <c r="AS34" s="12"/>
      <c r="AT34" s="12"/>
      <c r="AU34" s="12"/>
      <c r="AV34" s="12"/>
      <c r="AW34" s="12"/>
      <c r="AX34" s="12"/>
      <c r="AY34" s="12"/>
      <c r="AZ34" s="12"/>
      <c r="BA34" s="12"/>
      <c r="BB34" s="12"/>
      <c r="BC34" s="12"/>
      <c r="BD34" s="12"/>
      <c r="BE34" s="12">
        <v>2</v>
      </c>
      <c r="BF34" s="12" t="s">
        <v>381</v>
      </c>
      <c r="BG34" s="12"/>
      <c r="BH34" s="12"/>
      <c r="BI34" s="12">
        <v>2</v>
      </c>
      <c r="BJ34" s="12"/>
      <c r="BK34" s="12"/>
      <c r="BL34" s="12" t="s">
        <v>381</v>
      </c>
      <c r="BM34" s="12"/>
      <c r="BN34" s="12"/>
      <c r="BO34" s="12"/>
      <c r="BP34" s="12"/>
    </row>
    <row r="35" spans="1:68">
      <c r="A35" s="4" t="s">
        <v>590</v>
      </c>
      <c r="C35" s="19" t="s">
        <v>434</v>
      </c>
      <c r="D35" s="4" t="s">
        <v>89</v>
      </c>
      <c r="E35" s="12" t="s">
        <v>691</v>
      </c>
      <c r="F35" s="12">
        <v>4</v>
      </c>
      <c r="G35" s="12">
        <v>4</v>
      </c>
      <c r="H35" s="59">
        <v>100</v>
      </c>
      <c r="I35" s="28">
        <v>0</v>
      </c>
      <c r="J35" s="12" t="s">
        <v>673</v>
      </c>
      <c r="K35" s="4" t="s">
        <v>674</v>
      </c>
      <c r="L35" s="12">
        <v>100</v>
      </c>
      <c r="M35" s="59"/>
      <c r="N35" s="12"/>
      <c r="O35" s="12"/>
      <c r="P35" s="12"/>
      <c r="Q35" s="59"/>
      <c r="R35" s="12"/>
      <c r="S35" s="12"/>
      <c r="T35" s="12"/>
      <c r="U35" s="59"/>
      <c r="V35" s="12"/>
      <c r="W35" s="12"/>
      <c r="X35" s="12"/>
      <c r="Y35" s="59"/>
      <c r="Z35" s="12"/>
      <c r="AA35" s="12"/>
      <c r="AB35" s="12"/>
      <c r="AC35" s="59"/>
      <c r="AD35" s="12"/>
      <c r="AE35" s="12"/>
      <c r="AF35" s="12"/>
      <c r="AG35" s="59">
        <f t="shared" si="0"/>
        <v>200</v>
      </c>
      <c r="AH35" s="12" t="s">
        <v>676</v>
      </c>
      <c r="AI35" s="4" t="s">
        <v>674</v>
      </c>
      <c r="AJ35" s="12" t="s">
        <v>670</v>
      </c>
      <c r="AK35" s="12"/>
      <c r="AL35" s="12"/>
      <c r="AM35" s="12"/>
      <c r="AN35" s="12"/>
      <c r="AO35" s="12"/>
      <c r="AP35" s="12"/>
      <c r="AQ35" s="12"/>
      <c r="AR35" s="12"/>
      <c r="AS35" s="12"/>
      <c r="AT35" s="12"/>
      <c r="AU35" s="12"/>
      <c r="AV35" s="12"/>
      <c r="AW35" s="12"/>
      <c r="AX35" s="12"/>
      <c r="AY35" s="12"/>
      <c r="AZ35" s="12"/>
      <c r="BA35" s="12"/>
      <c r="BB35" s="12"/>
      <c r="BC35" s="12"/>
      <c r="BD35" s="12"/>
      <c r="BE35" s="12">
        <v>4</v>
      </c>
      <c r="BF35" s="12" t="s">
        <v>381</v>
      </c>
      <c r="BG35" s="12"/>
      <c r="BH35" s="12"/>
      <c r="BI35" s="12">
        <v>2</v>
      </c>
      <c r="BJ35" s="12"/>
      <c r="BK35" s="12"/>
      <c r="BL35" s="12" t="s">
        <v>381</v>
      </c>
      <c r="BM35" s="12"/>
      <c r="BN35" s="12"/>
      <c r="BO35" s="12"/>
      <c r="BP35" s="12"/>
    </row>
    <row r="36" spans="1:68">
      <c r="A36" s="4" t="s">
        <v>591</v>
      </c>
      <c r="C36" s="19" t="s">
        <v>434</v>
      </c>
      <c r="D36" s="4" t="s">
        <v>97</v>
      </c>
      <c r="E36" s="12" t="s">
        <v>692</v>
      </c>
      <c r="F36" s="12">
        <v>4</v>
      </c>
      <c r="G36" s="12">
        <v>16</v>
      </c>
      <c r="H36" s="59">
        <v>100</v>
      </c>
      <c r="I36" s="28">
        <v>0</v>
      </c>
      <c r="J36" s="12" t="s">
        <v>673</v>
      </c>
      <c r="K36" s="4" t="s">
        <v>674</v>
      </c>
      <c r="L36" s="12">
        <v>110</v>
      </c>
      <c r="M36" s="59"/>
      <c r="N36" s="12"/>
      <c r="O36" s="12"/>
      <c r="P36" s="12"/>
      <c r="Q36" s="59"/>
      <c r="R36" s="12"/>
      <c r="S36" s="12"/>
      <c r="T36" s="12"/>
      <c r="U36" s="59"/>
      <c r="V36" s="12"/>
      <c r="W36" s="12"/>
      <c r="X36" s="12"/>
      <c r="Y36" s="59"/>
      <c r="Z36" s="12"/>
      <c r="AA36" s="12"/>
      <c r="AB36" s="12"/>
      <c r="AC36" s="59"/>
      <c r="AD36" s="12"/>
      <c r="AE36" s="12"/>
      <c r="AF36" s="12"/>
      <c r="AG36" s="59">
        <f t="shared" si="0"/>
        <v>200</v>
      </c>
      <c r="AH36" s="12" t="s">
        <v>676</v>
      </c>
      <c r="AI36" s="4" t="s">
        <v>674</v>
      </c>
      <c r="AJ36" s="12" t="s">
        <v>670</v>
      </c>
      <c r="AK36" s="12"/>
      <c r="AL36" s="12"/>
      <c r="AM36" s="12"/>
      <c r="AN36" s="12"/>
      <c r="AO36" s="12"/>
      <c r="AP36" s="12"/>
      <c r="AQ36" s="12"/>
      <c r="AR36" s="12"/>
      <c r="AS36" s="12"/>
      <c r="AT36" s="12"/>
      <c r="AU36" s="12"/>
      <c r="AV36" s="12"/>
      <c r="AW36" s="12"/>
      <c r="AX36" s="12"/>
      <c r="AY36" s="12"/>
      <c r="AZ36" s="12"/>
      <c r="BA36" s="12"/>
      <c r="BB36" s="12"/>
      <c r="BC36" s="12"/>
      <c r="BD36" s="12"/>
      <c r="BE36" s="12">
        <v>4</v>
      </c>
      <c r="BF36" s="12" t="s">
        <v>381</v>
      </c>
      <c r="BG36" s="12"/>
      <c r="BH36" s="12"/>
      <c r="BI36" s="12">
        <v>2</v>
      </c>
      <c r="BJ36" s="12"/>
      <c r="BK36" s="12"/>
      <c r="BL36" s="12" t="s">
        <v>381</v>
      </c>
      <c r="BM36" s="12"/>
      <c r="BN36" s="12"/>
      <c r="BO36" s="12"/>
      <c r="BP36" s="12"/>
    </row>
    <row r="37" spans="1:68">
      <c r="A37" s="4" t="s">
        <v>436</v>
      </c>
      <c r="C37" s="19" t="s">
        <v>434</v>
      </c>
      <c r="D37" s="4" t="s">
        <v>93</v>
      </c>
      <c r="E37" s="12" t="s">
        <v>693</v>
      </c>
      <c r="F37" s="12">
        <v>4</v>
      </c>
      <c r="G37" s="12">
        <v>14</v>
      </c>
      <c r="H37" s="59">
        <v>120</v>
      </c>
      <c r="I37" s="28">
        <v>0</v>
      </c>
      <c r="J37" s="12" t="s">
        <v>673</v>
      </c>
      <c r="K37" s="4" t="s">
        <v>674</v>
      </c>
      <c r="L37" s="12">
        <v>100</v>
      </c>
      <c r="M37" s="59"/>
      <c r="N37" s="12"/>
      <c r="O37" s="12"/>
      <c r="P37" s="12"/>
      <c r="Q37" s="59"/>
      <c r="R37" s="12"/>
      <c r="S37" s="12"/>
      <c r="T37" s="12"/>
      <c r="U37" s="59"/>
      <c r="V37" s="12"/>
      <c r="W37" s="12"/>
      <c r="X37" s="12"/>
      <c r="Y37" s="59"/>
      <c r="Z37" s="12"/>
      <c r="AA37" s="12"/>
      <c r="AB37" s="12"/>
      <c r="AC37" s="59"/>
      <c r="AD37" s="12"/>
      <c r="AE37" s="12"/>
      <c r="AF37" s="12"/>
      <c r="AG37" s="59">
        <f t="shared" si="0"/>
        <v>240</v>
      </c>
      <c r="AH37" s="12" t="s">
        <v>676</v>
      </c>
      <c r="AI37" s="4" t="s">
        <v>674</v>
      </c>
      <c r="AJ37" s="12" t="s">
        <v>670</v>
      </c>
      <c r="AK37" s="12"/>
      <c r="AL37" s="12"/>
      <c r="AM37" s="12"/>
      <c r="AN37" s="12"/>
      <c r="AO37" s="12"/>
      <c r="AP37" s="12"/>
      <c r="AQ37" s="12"/>
      <c r="AR37" s="12"/>
      <c r="AS37" s="12"/>
      <c r="AT37" s="12"/>
      <c r="AU37" s="12"/>
      <c r="AV37" s="12"/>
      <c r="AW37" s="12"/>
      <c r="AX37" s="12"/>
      <c r="AY37" s="12"/>
      <c r="AZ37" s="12"/>
      <c r="BA37" s="12"/>
      <c r="BB37" s="12"/>
      <c r="BC37" s="12"/>
      <c r="BD37" s="12"/>
      <c r="BE37" s="12">
        <v>4</v>
      </c>
      <c r="BF37" s="12" t="s">
        <v>381</v>
      </c>
      <c r="BG37" s="12"/>
      <c r="BH37" s="12"/>
      <c r="BI37" s="12">
        <v>2</v>
      </c>
      <c r="BJ37" s="12"/>
      <c r="BK37" s="12"/>
      <c r="BL37" s="12" t="s">
        <v>381</v>
      </c>
      <c r="BM37" s="12"/>
      <c r="BN37" s="12"/>
      <c r="BO37" s="12"/>
      <c r="BP37" s="12"/>
    </row>
    <row r="38" spans="1:68">
      <c r="A38" s="4" t="s">
        <v>412</v>
      </c>
      <c r="B38" s="12"/>
      <c r="C38" s="4" t="s">
        <v>378</v>
      </c>
      <c r="D38" s="19" t="s">
        <v>100</v>
      </c>
      <c r="E38" s="12" t="s">
        <v>694</v>
      </c>
      <c r="F38" s="12">
        <v>9</v>
      </c>
      <c r="G38" s="12">
        <v>12</v>
      </c>
      <c r="H38" s="59">
        <v>45</v>
      </c>
      <c r="I38" s="28">
        <v>16</v>
      </c>
      <c r="J38" s="12" t="s">
        <v>676</v>
      </c>
      <c r="K38" s="4" t="s">
        <v>674</v>
      </c>
      <c r="L38" s="12">
        <v>2.6</v>
      </c>
      <c r="M38" s="59"/>
      <c r="N38" s="12"/>
      <c r="O38" s="12"/>
      <c r="P38" s="12"/>
      <c r="Q38" s="59"/>
      <c r="R38" s="12"/>
      <c r="S38" s="12"/>
      <c r="T38" s="12"/>
      <c r="U38" s="59"/>
      <c r="V38" s="12"/>
      <c r="W38" s="12"/>
      <c r="X38" s="12"/>
      <c r="Y38" s="59"/>
      <c r="Z38" s="12"/>
      <c r="AA38" s="12"/>
      <c r="AB38" s="12"/>
      <c r="AC38" s="59"/>
      <c r="AD38" s="12"/>
      <c r="AE38" s="12"/>
      <c r="AF38" s="12"/>
      <c r="AG38" s="59">
        <f>2*(H38+AK38)</f>
        <v>180</v>
      </c>
      <c r="AH38" s="12" t="s">
        <v>676</v>
      </c>
      <c r="AI38" s="4" t="s">
        <v>674</v>
      </c>
      <c r="AJ38" s="12" t="s">
        <v>670</v>
      </c>
      <c r="AK38" s="59">
        <v>45</v>
      </c>
      <c r="AL38" s="82" t="s">
        <v>676</v>
      </c>
      <c r="AM38" s="4" t="s">
        <v>674</v>
      </c>
      <c r="AN38" s="12">
        <f>50/1000</f>
        <v>0.05</v>
      </c>
      <c r="AO38" s="12"/>
      <c r="AP38" s="12"/>
      <c r="AQ38" s="12"/>
      <c r="AR38" s="12"/>
      <c r="AS38" s="12"/>
      <c r="AT38" s="12"/>
      <c r="AU38" s="12"/>
      <c r="AV38" s="12"/>
      <c r="AW38" s="12"/>
      <c r="AX38" s="12"/>
      <c r="AY38" s="12"/>
      <c r="AZ38" s="12"/>
      <c r="BA38" s="12"/>
      <c r="BB38" s="12"/>
      <c r="BC38" s="12"/>
      <c r="BD38" s="12"/>
      <c r="BE38" s="82">
        <v>3</v>
      </c>
      <c r="BF38" s="12" t="s">
        <v>381</v>
      </c>
      <c r="BG38" s="12"/>
      <c r="BH38" s="12"/>
      <c r="BI38" s="12">
        <v>2</v>
      </c>
      <c r="BJ38" s="12"/>
      <c r="BK38" s="12"/>
      <c r="BL38" s="12" t="s">
        <v>381</v>
      </c>
      <c r="BM38" s="12"/>
      <c r="BN38" s="12"/>
      <c r="BO38" s="12"/>
      <c r="BP38" s="12"/>
    </row>
    <row r="39" spans="1:68">
      <c r="A39" s="4" t="s">
        <v>414</v>
      </c>
      <c r="C39" s="4" t="s">
        <v>378</v>
      </c>
      <c r="D39" s="19" t="s">
        <v>100</v>
      </c>
      <c r="E39" s="12" t="s">
        <v>694</v>
      </c>
      <c r="F39" s="12">
        <v>9</v>
      </c>
      <c r="G39" s="12">
        <v>12</v>
      </c>
      <c r="H39" s="59">
        <v>45</v>
      </c>
      <c r="I39" s="28">
        <v>16</v>
      </c>
      <c r="J39" s="12" t="s">
        <v>676</v>
      </c>
      <c r="K39" s="4" t="s">
        <v>674</v>
      </c>
      <c r="L39" s="12">
        <v>2.6</v>
      </c>
      <c r="M39" s="59"/>
      <c r="N39" s="12"/>
      <c r="O39" s="12"/>
      <c r="P39" s="12"/>
      <c r="Q39" s="59"/>
      <c r="R39" s="12"/>
      <c r="S39" s="12"/>
      <c r="T39" s="12"/>
      <c r="U39" s="59"/>
      <c r="V39" s="12"/>
      <c r="W39" s="12"/>
      <c r="X39" s="12"/>
      <c r="Y39" s="59"/>
      <c r="Z39" s="12"/>
      <c r="AA39" s="12"/>
      <c r="AB39" s="12"/>
      <c r="AC39" s="59"/>
      <c r="AD39" s="12"/>
      <c r="AE39" s="12"/>
      <c r="AF39" s="12"/>
      <c r="AG39" s="59">
        <f>2*(H39+AK39)</f>
        <v>180</v>
      </c>
      <c r="AH39" s="12" t="s">
        <v>676</v>
      </c>
      <c r="AI39" s="4" t="s">
        <v>674</v>
      </c>
      <c r="AJ39" s="12" t="s">
        <v>670</v>
      </c>
      <c r="AK39" s="59">
        <v>45</v>
      </c>
      <c r="AL39" s="82" t="s">
        <v>676</v>
      </c>
      <c r="AM39" s="4" t="s">
        <v>674</v>
      </c>
      <c r="AN39" s="12">
        <f>50/1000</f>
        <v>0.05</v>
      </c>
      <c r="AO39" s="12"/>
      <c r="AP39" s="12"/>
      <c r="AQ39" s="12"/>
      <c r="AR39" s="12"/>
      <c r="AS39" s="12"/>
      <c r="AT39" s="12"/>
      <c r="AU39" s="12"/>
      <c r="AV39" s="12"/>
      <c r="AW39" s="12"/>
      <c r="AX39" s="12"/>
      <c r="AY39" s="12"/>
      <c r="AZ39" s="12"/>
      <c r="BA39" s="12"/>
      <c r="BB39" s="12"/>
      <c r="BC39" s="12"/>
      <c r="BD39" s="12"/>
      <c r="BE39" s="82">
        <v>3</v>
      </c>
      <c r="BF39" s="12" t="s">
        <v>381</v>
      </c>
      <c r="BG39" s="12"/>
      <c r="BH39" s="12"/>
      <c r="BI39" s="12">
        <v>2</v>
      </c>
      <c r="BJ39" s="12"/>
      <c r="BK39" s="12"/>
      <c r="BL39" s="12" t="s">
        <v>381</v>
      </c>
      <c r="BM39" s="12"/>
      <c r="BN39" s="12"/>
      <c r="BO39" s="12"/>
      <c r="BP39" s="12"/>
    </row>
    <row r="40" spans="1:68">
      <c r="A40" s="4" t="s">
        <v>584</v>
      </c>
      <c r="C40" s="4" t="s">
        <v>378</v>
      </c>
      <c r="D40" s="19" t="s">
        <v>100</v>
      </c>
      <c r="E40" s="12" t="s">
        <v>694</v>
      </c>
      <c r="F40" s="12">
        <v>9</v>
      </c>
      <c r="G40" s="12">
        <v>12</v>
      </c>
      <c r="H40" s="59">
        <v>45</v>
      </c>
      <c r="I40" s="28">
        <v>16</v>
      </c>
      <c r="J40" s="12" t="s">
        <v>676</v>
      </c>
      <c r="K40" s="4" t="s">
        <v>674</v>
      </c>
      <c r="L40" s="12">
        <v>2.6</v>
      </c>
      <c r="M40" s="59"/>
      <c r="N40" s="12"/>
      <c r="O40" s="12"/>
      <c r="P40" s="12"/>
      <c r="Q40" s="59"/>
      <c r="R40" s="12"/>
      <c r="S40" s="12"/>
      <c r="T40" s="12"/>
      <c r="U40" s="59"/>
      <c r="V40" s="12"/>
      <c r="W40" s="12"/>
      <c r="X40" s="12"/>
      <c r="Y40" s="59"/>
      <c r="Z40" s="12"/>
      <c r="AA40" s="12"/>
      <c r="AB40" s="12"/>
      <c r="AC40" s="59"/>
      <c r="AD40" s="12"/>
      <c r="AE40" s="12"/>
      <c r="AF40" s="12"/>
      <c r="AG40" s="59">
        <f>2*(H40+AK40)</f>
        <v>180</v>
      </c>
      <c r="AH40" s="12" t="s">
        <v>676</v>
      </c>
      <c r="AI40" s="4" t="s">
        <v>674</v>
      </c>
      <c r="AJ40" s="12" t="s">
        <v>670</v>
      </c>
      <c r="AK40" s="59">
        <v>45</v>
      </c>
      <c r="AL40" s="82" t="s">
        <v>676</v>
      </c>
      <c r="AM40" s="4" t="s">
        <v>674</v>
      </c>
      <c r="AN40" s="12">
        <f>50/1000</f>
        <v>0.05</v>
      </c>
      <c r="AO40" s="12"/>
      <c r="AP40" s="12"/>
      <c r="AQ40" s="12"/>
      <c r="AR40" s="12"/>
      <c r="AS40" s="12"/>
      <c r="AT40" s="12"/>
      <c r="AU40" s="12"/>
      <c r="AV40" s="12"/>
      <c r="AW40" s="12"/>
      <c r="AX40" s="12"/>
      <c r="AY40" s="12"/>
      <c r="AZ40" s="12"/>
      <c r="BA40" s="12"/>
      <c r="BB40" s="12"/>
      <c r="BC40" s="12"/>
      <c r="BD40" s="12"/>
      <c r="BE40" s="82">
        <v>3</v>
      </c>
      <c r="BF40" s="12" t="s">
        <v>381</v>
      </c>
      <c r="BG40" s="12"/>
      <c r="BH40" s="12"/>
      <c r="BI40" s="12">
        <v>2</v>
      </c>
      <c r="BJ40" s="12"/>
      <c r="BK40" s="12"/>
      <c r="BL40" s="12" t="s">
        <v>381</v>
      </c>
      <c r="BM40" s="12"/>
      <c r="BN40" s="12"/>
      <c r="BO40" s="12"/>
      <c r="BP40" s="12"/>
    </row>
    <row r="41" spans="1:68">
      <c r="A41" s="4" t="s">
        <v>585</v>
      </c>
      <c r="C41" s="4" t="s">
        <v>378</v>
      </c>
      <c r="D41" s="19" t="s">
        <v>100</v>
      </c>
      <c r="E41" s="12" t="s">
        <v>694</v>
      </c>
      <c r="F41" s="12">
        <v>9</v>
      </c>
      <c r="G41" s="12">
        <v>12</v>
      </c>
      <c r="H41" s="59">
        <v>45</v>
      </c>
      <c r="I41" s="28">
        <v>16</v>
      </c>
      <c r="J41" s="12" t="s">
        <v>676</v>
      </c>
      <c r="K41" s="4" t="s">
        <v>674</v>
      </c>
      <c r="L41" s="12">
        <v>2.6</v>
      </c>
      <c r="M41" s="59"/>
      <c r="N41" s="12"/>
      <c r="O41" s="12"/>
      <c r="P41" s="12"/>
      <c r="Q41" s="59"/>
      <c r="R41" s="12"/>
      <c r="S41" s="12"/>
      <c r="T41" s="12"/>
      <c r="U41" s="59"/>
      <c r="V41" s="12"/>
      <c r="W41" s="12"/>
      <c r="X41" s="12"/>
      <c r="Y41" s="59"/>
      <c r="Z41" s="12"/>
      <c r="AA41" s="12"/>
      <c r="AB41" s="12"/>
      <c r="AC41" s="59"/>
      <c r="AD41" s="12"/>
      <c r="AE41" s="12"/>
      <c r="AF41" s="12"/>
      <c r="AG41" s="59">
        <f>2*(H41+AK41)</f>
        <v>180</v>
      </c>
      <c r="AH41" s="12" t="s">
        <v>676</v>
      </c>
      <c r="AI41" s="4" t="s">
        <v>674</v>
      </c>
      <c r="AJ41" s="12" t="s">
        <v>670</v>
      </c>
      <c r="AK41" s="59">
        <v>45</v>
      </c>
      <c r="AL41" s="82" t="s">
        <v>676</v>
      </c>
      <c r="AM41" s="4" t="s">
        <v>674</v>
      </c>
      <c r="AN41" s="12">
        <f>50/1000</f>
        <v>0.05</v>
      </c>
      <c r="AO41" s="12"/>
      <c r="AP41" s="12"/>
      <c r="AQ41" s="12"/>
      <c r="AR41" s="12"/>
      <c r="AS41" s="12"/>
      <c r="AT41" s="12"/>
      <c r="AU41" s="12"/>
      <c r="AV41" s="12"/>
      <c r="AW41" s="12"/>
      <c r="AX41" s="12"/>
      <c r="AY41" s="12"/>
      <c r="AZ41" s="12"/>
      <c r="BA41" s="12"/>
      <c r="BB41" s="12"/>
      <c r="BC41" s="12"/>
      <c r="BD41" s="12"/>
      <c r="BE41" s="82">
        <v>3</v>
      </c>
      <c r="BF41" s="12" t="s">
        <v>381</v>
      </c>
      <c r="BG41" s="12"/>
      <c r="BH41" s="12"/>
      <c r="BI41" s="12">
        <v>2</v>
      </c>
      <c r="BJ41" s="12"/>
      <c r="BK41" s="12"/>
      <c r="BL41" s="12" t="s">
        <v>381</v>
      </c>
      <c r="BM41" s="12"/>
      <c r="BN41" s="12"/>
      <c r="BO41" s="12"/>
      <c r="BP41" s="12"/>
    </row>
    <row r="42" spans="1:68">
      <c r="A42" s="4" t="s">
        <v>415</v>
      </c>
      <c r="C42" s="4" t="s">
        <v>378</v>
      </c>
      <c r="D42" s="19" t="s">
        <v>416</v>
      </c>
      <c r="E42" s="12" t="s">
        <v>695</v>
      </c>
      <c r="F42" s="12">
        <v>4</v>
      </c>
      <c r="G42" s="12">
        <v>6</v>
      </c>
      <c r="H42" s="59">
        <v>40</v>
      </c>
      <c r="I42" s="28">
        <v>4</v>
      </c>
      <c r="J42" s="12" t="s">
        <v>676</v>
      </c>
      <c r="K42" s="4" t="s">
        <v>674</v>
      </c>
      <c r="L42" s="12">
        <v>2.6</v>
      </c>
      <c r="M42" s="59"/>
      <c r="N42" s="12"/>
      <c r="O42" s="12"/>
      <c r="P42" s="12"/>
      <c r="Q42" s="59"/>
      <c r="R42" s="12"/>
      <c r="S42" s="12"/>
      <c r="T42" s="12"/>
      <c r="U42" s="59"/>
      <c r="V42" s="12"/>
      <c r="W42" s="12"/>
      <c r="X42" s="12"/>
      <c r="Y42" s="59"/>
      <c r="Z42" s="12"/>
      <c r="AA42" s="12"/>
      <c r="AB42" s="12"/>
      <c r="AC42" s="59"/>
      <c r="AD42" s="12"/>
      <c r="AE42" s="12"/>
      <c r="AF42" s="12"/>
      <c r="AG42" s="59">
        <f t="shared" si="0"/>
        <v>80</v>
      </c>
      <c r="AH42" s="12" t="s">
        <v>676</v>
      </c>
      <c r="AI42" s="4" t="s">
        <v>674</v>
      </c>
      <c r="AJ42" s="12" t="s">
        <v>670</v>
      </c>
      <c r="AK42" s="61"/>
      <c r="AL42" s="82"/>
      <c r="AM42" s="82"/>
      <c r="AN42" s="82"/>
      <c r="AO42" s="82"/>
      <c r="AP42" s="82"/>
      <c r="AQ42" s="82"/>
      <c r="AR42" s="82"/>
      <c r="AS42" s="82"/>
      <c r="AT42" s="82"/>
      <c r="AU42" s="82"/>
      <c r="AV42" s="82"/>
      <c r="AW42" s="82"/>
      <c r="AX42" s="82"/>
      <c r="AY42" s="82"/>
      <c r="AZ42" s="82"/>
      <c r="BA42" s="82"/>
      <c r="BB42" s="82"/>
      <c r="BC42" s="82"/>
      <c r="BD42" s="82"/>
      <c r="BE42" s="82">
        <v>2</v>
      </c>
      <c r="BF42" s="12" t="s">
        <v>381</v>
      </c>
      <c r="BG42" s="12"/>
      <c r="BH42" s="12"/>
      <c r="BI42" s="12">
        <v>2</v>
      </c>
      <c r="BJ42" s="12"/>
      <c r="BK42" s="12"/>
      <c r="BL42" s="12" t="s">
        <v>381</v>
      </c>
      <c r="BM42" s="12"/>
      <c r="BN42" s="12"/>
      <c r="BO42" s="12"/>
      <c r="BP42" s="12"/>
    </row>
    <row r="43" spans="1:68">
      <c r="A43" s="4" t="s">
        <v>417</v>
      </c>
      <c r="C43" s="4" t="s">
        <v>378</v>
      </c>
      <c r="D43" s="19" t="s">
        <v>418</v>
      </c>
      <c r="E43" s="12" t="s">
        <v>695</v>
      </c>
      <c r="F43" s="12">
        <v>4</v>
      </c>
      <c r="G43" s="12">
        <v>6</v>
      </c>
      <c r="H43" s="59">
        <v>40</v>
      </c>
      <c r="I43" s="28">
        <v>4</v>
      </c>
      <c r="J43" s="12" t="s">
        <v>676</v>
      </c>
      <c r="K43" s="4" t="s">
        <v>674</v>
      </c>
      <c r="L43" s="12">
        <v>2.6</v>
      </c>
      <c r="M43" s="59"/>
      <c r="N43" s="12"/>
      <c r="O43" s="12"/>
      <c r="P43" s="12"/>
      <c r="Q43" s="59"/>
      <c r="R43" s="12"/>
      <c r="S43" s="12"/>
      <c r="T43" s="12"/>
      <c r="U43" s="59"/>
      <c r="V43" s="12"/>
      <c r="W43" s="12"/>
      <c r="X43" s="12"/>
      <c r="Y43" s="59"/>
      <c r="Z43" s="12"/>
      <c r="AA43" s="12"/>
      <c r="AB43" s="12"/>
      <c r="AC43" s="59"/>
      <c r="AD43" s="12"/>
      <c r="AE43" s="12"/>
      <c r="AF43" s="12"/>
      <c r="AG43" s="59">
        <f t="shared" ref="AG43" si="1">2*H43</f>
        <v>80</v>
      </c>
      <c r="AH43" s="12" t="s">
        <v>676</v>
      </c>
      <c r="AI43" s="4" t="s">
        <v>674</v>
      </c>
      <c r="AJ43" s="12" t="s">
        <v>670</v>
      </c>
      <c r="AK43" s="61"/>
      <c r="AL43" s="82"/>
      <c r="AM43" s="82"/>
      <c r="AN43" s="82"/>
      <c r="AO43" s="82"/>
      <c r="AP43" s="82"/>
      <c r="AQ43" s="82"/>
      <c r="AR43" s="82"/>
      <c r="AS43" s="82"/>
      <c r="AT43" s="82"/>
      <c r="AU43" s="82"/>
      <c r="AV43" s="82"/>
      <c r="AW43" s="82"/>
      <c r="AX43" s="82"/>
      <c r="AY43" s="82"/>
      <c r="AZ43" s="82"/>
      <c r="BA43" s="82"/>
      <c r="BB43" s="82"/>
      <c r="BC43" s="82"/>
      <c r="BD43" s="82"/>
      <c r="BE43" s="82">
        <v>2</v>
      </c>
      <c r="BF43" s="12" t="s">
        <v>381</v>
      </c>
      <c r="BG43" s="12"/>
      <c r="BH43" s="12"/>
      <c r="BI43" s="12">
        <v>2</v>
      </c>
      <c r="BJ43" s="12"/>
      <c r="BK43" s="12"/>
      <c r="BL43" s="12" t="s">
        <v>381</v>
      </c>
      <c r="BM43" s="12"/>
      <c r="BN43" s="12"/>
      <c r="BO43" s="12"/>
      <c r="BP43" s="12"/>
    </row>
    <row r="44" spans="1:68" ht="14.5">
      <c r="A44" s="4" t="s">
        <v>419</v>
      </c>
      <c r="C44" s="4" t="s">
        <v>378</v>
      </c>
      <c r="D44" s="4" t="s">
        <v>650</v>
      </c>
      <c r="E44" s="15" t="s">
        <v>696</v>
      </c>
      <c r="F44" s="12">
        <v>2</v>
      </c>
      <c r="G44" s="12">
        <v>4</v>
      </c>
      <c r="H44" s="59">
        <v>65</v>
      </c>
      <c r="I44" s="28">
        <v>4</v>
      </c>
      <c r="J44" s="12" t="s">
        <v>676</v>
      </c>
      <c r="K44" s="4" t="s">
        <v>674</v>
      </c>
      <c r="L44" s="12">
        <v>2.6</v>
      </c>
      <c r="M44" s="12"/>
      <c r="N44" s="12"/>
      <c r="O44" s="12"/>
      <c r="P44" s="12"/>
      <c r="Q44" s="1"/>
      <c r="R44" s="1"/>
      <c r="S44" s="1"/>
      <c r="T44" s="1"/>
      <c r="U44" s="12"/>
      <c r="V44" s="12"/>
      <c r="W44" s="12"/>
      <c r="X44" s="12"/>
      <c r="Y44" s="12"/>
      <c r="Z44" s="12"/>
      <c r="AA44" s="12"/>
      <c r="AB44" s="12"/>
      <c r="AC44" s="12"/>
      <c r="AD44" s="12"/>
      <c r="AE44" s="12"/>
      <c r="AF44" s="12"/>
      <c r="AG44" s="59">
        <f>2*H44</f>
        <v>130</v>
      </c>
      <c r="AH44" s="12" t="s">
        <v>676</v>
      </c>
      <c r="AI44" s="17" t="s">
        <v>674</v>
      </c>
      <c r="AJ44" s="15" t="s">
        <v>670</v>
      </c>
      <c r="AK44" s="17"/>
      <c r="AL44" s="17"/>
      <c r="AM44" s="17"/>
      <c r="AN44" s="17"/>
      <c r="AO44" s="17"/>
      <c r="AP44" s="17"/>
      <c r="AQ44" s="17"/>
      <c r="AR44" s="17"/>
      <c r="AS44" s="17"/>
      <c r="AT44" s="17"/>
      <c r="AU44" s="17"/>
      <c r="AV44" s="17"/>
      <c r="AW44" s="15">
        <v>150</v>
      </c>
      <c r="AX44" s="12" t="s">
        <v>676</v>
      </c>
      <c r="AY44" s="12" t="s">
        <v>674</v>
      </c>
      <c r="AZ44" s="12">
        <f>50/1000</f>
        <v>0.05</v>
      </c>
      <c r="BA44" s="17"/>
      <c r="BB44" s="17"/>
      <c r="BC44" s="17"/>
      <c r="BD44" s="17"/>
      <c r="BE44" s="15">
        <v>2</v>
      </c>
      <c r="BF44" s="15" t="s">
        <v>381</v>
      </c>
      <c r="BG44" s="15"/>
      <c r="BH44" s="15"/>
      <c r="BI44" s="15">
        <v>2</v>
      </c>
      <c r="BJ44" s="15"/>
      <c r="BK44" s="15" t="s">
        <v>381</v>
      </c>
      <c r="BL44" s="15" t="s">
        <v>381</v>
      </c>
      <c r="BM44" s="15"/>
      <c r="BN44" s="15"/>
      <c r="BO44" s="15"/>
      <c r="BP44" s="17"/>
    </row>
    <row r="45" spans="1:68" s="18" customFormat="1">
      <c r="E45" s="16"/>
      <c r="F45" s="16">
        <f>SUM(F8:F44)</f>
        <v>236</v>
      </c>
      <c r="G45" s="16">
        <f>SUM(G8:G44)</f>
        <v>635</v>
      </c>
      <c r="H45" s="16">
        <f>SUM(H8:H44)</f>
        <v>3080</v>
      </c>
      <c r="I45" s="30"/>
      <c r="J45" s="16"/>
      <c r="K45" s="16"/>
      <c r="L45" s="16">
        <f>SUM(L8:L44)</f>
        <v>403.80000000000018</v>
      </c>
      <c r="M45" s="16">
        <f>SUM(M8:M44)</f>
        <v>116.99</v>
      </c>
      <c r="N45" s="16"/>
      <c r="O45" s="16"/>
      <c r="P45" s="16">
        <f>SUM(P8:P44)</f>
        <v>0.05</v>
      </c>
      <c r="Q45" s="16">
        <f>SUM(Q8:Q44)</f>
        <v>2250</v>
      </c>
      <c r="R45" s="16"/>
      <c r="S45" s="16"/>
      <c r="T45" s="16">
        <f>SUM(T8:T44)</f>
        <v>0.05</v>
      </c>
      <c r="U45" s="16">
        <f>SUM(U8:U44)</f>
        <v>3375</v>
      </c>
      <c r="V45" s="16"/>
      <c r="W45" s="16"/>
      <c r="X45" s="16">
        <f>SUM(X8:X44)</f>
        <v>0.05</v>
      </c>
      <c r="Y45" s="16">
        <f>SUM(Y8:Y44)</f>
        <v>549</v>
      </c>
      <c r="Z45" s="16"/>
      <c r="AA45" s="16"/>
      <c r="AB45" s="16">
        <f>SUM(AB8:AB44)</f>
        <v>0.1</v>
      </c>
      <c r="AC45" s="16">
        <f>SUM(AC8:AC44)</f>
        <v>270</v>
      </c>
      <c r="AD45" s="16"/>
      <c r="AE45" s="16"/>
      <c r="AF45" s="16">
        <f>SUM(AF8:AF44)</f>
        <v>0</v>
      </c>
      <c r="AG45" s="16">
        <f>SUM(AG8:AG44)</f>
        <v>16901.5</v>
      </c>
      <c r="AH45" s="16"/>
      <c r="AI45" s="16"/>
      <c r="AJ45" s="16"/>
      <c r="AK45" s="16">
        <f>SUM(AK8:AK44)</f>
        <v>180</v>
      </c>
      <c r="AL45" s="16"/>
      <c r="AM45" s="16"/>
      <c r="AN45" s="16">
        <f>SUM(AN8:AN44)</f>
        <v>0.2</v>
      </c>
      <c r="AO45" s="16">
        <f>SUM(AO8:AO44)</f>
        <v>50</v>
      </c>
      <c r="AP45" s="16"/>
      <c r="AQ45" s="16"/>
      <c r="AR45" s="16">
        <f>SUM(AR8:AR44)</f>
        <v>0.05</v>
      </c>
      <c r="AS45" s="16">
        <f>SUM(AS8:AS44)</f>
        <v>170</v>
      </c>
      <c r="AT45" s="16"/>
      <c r="AU45" s="16"/>
      <c r="AV45" s="16">
        <f>SUM(AV8:AV44)</f>
        <v>0.1</v>
      </c>
      <c r="AW45" s="16">
        <f>SUM(AW8:AW44)</f>
        <v>150</v>
      </c>
      <c r="AX45" s="16"/>
      <c r="AY45" s="16"/>
      <c r="AZ45" s="16">
        <f>SUM(AZ8:AZ44)</f>
        <v>0.05</v>
      </c>
      <c r="BA45" s="16">
        <f>SUM(BA8:BA44)</f>
        <v>3072</v>
      </c>
      <c r="BB45" s="16"/>
      <c r="BC45" s="16"/>
      <c r="BD45" s="16">
        <f>SUM(BD8:BD44)</f>
        <v>0.05</v>
      </c>
      <c r="BE45" s="16">
        <f>SUM(BE8:BE44)</f>
        <v>92</v>
      </c>
      <c r="BF45" s="16">
        <f>COUNTIF(BF8:BF44,"x")</f>
        <v>36</v>
      </c>
      <c r="BG45" s="16">
        <f>COUNTIF(BG8:BG44,"x")</f>
        <v>2</v>
      </c>
      <c r="BH45" s="16">
        <f>COUNTIF(BH8:BH44,"x")</f>
        <v>1</v>
      </c>
      <c r="BI45" s="16">
        <f>SUM(BI9:BI44)</f>
        <v>72</v>
      </c>
      <c r="BJ45" s="16">
        <f>COUNTIF(BJ8:BJ44,"x")</f>
        <v>1</v>
      </c>
      <c r="BK45" s="16">
        <f>COUNTIF(BK8:BK44,"x")</f>
        <v>1</v>
      </c>
      <c r="BL45" s="16">
        <f>COUNTIF(BL8:BL44,"x")</f>
        <v>36</v>
      </c>
      <c r="BM45" s="16" t="s">
        <v>697</v>
      </c>
      <c r="BN45" s="16">
        <v>2</v>
      </c>
      <c r="BO45" s="16">
        <v>4</v>
      </c>
      <c r="BP45" s="16">
        <v>2</v>
      </c>
    </row>
    <row r="46" spans="1:68" ht="13">
      <c r="A46" s="181" t="s">
        <v>423</v>
      </c>
      <c r="B46" s="182"/>
      <c r="E46" s="12"/>
      <c r="F46" s="12"/>
      <c r="G46" s="12"/>
      <c r="H46" s="12"/>
      <c r="I46" s="28"/>
      <c r="J46" s="12"/>
      <c r="K46" s="12"/>
      <c r="L46" s="12"/>
      <c r="M46" s="12"/>
      <c r="N46" s="12"/>
      <c r="O46" s="12"/>
      <c r="P46" s="12"/>
      <c r="Q46" s="12"/>
      <c r="R46" s="12"/>
      <c r="S46" s="12"/>
      <c r="T46" s="12"/>
      <c r="U46" s="12"/>
      <c r="V46" s="12"/>
      <c r="W46" s="12"/>
      <c r="X46" s="12"/>
      <c r="Y46" s="12"/>
      <c r="Z46" s="12"/>
      <c r="AA46" s="12"/>
      <c r="AB46" s="12"/>
      <c r="AC46" s="12"/>
      <c r="AD46" s="12"/>
      <c r="AE46" s="12"/>
      <c r="AF46" s="12"/>
      <c r="AG46" s="12"/>
      <c r="AH46" s="12"/>
      <c r="AI46" s="12"/>
      <c r="AJ46" s="12"/>
      <c r="AK46" s="12"/>
      <c r="AL46" s="12"/>
      <c r="AM46" s="12"/>
      <c r="AN46" s="12"/>
      <c r="AO46" s="12"/>
      <c r="AP46" s="12"/>
      <c r="AQ46" s="12"/>
      <c r="AR46" s="12"/>
      <c r="AS46" s="12"/>
      <c r="AT46" s="12"/>
      <c r="AU46" s="12"/>
      <c r="AV46" s="12"/>
      <c r="AW46" s="12"/>
      <c r="AX46" s="12"/>
      <c r="AY46" s="12"/>
      <c r="AZ46" s="12"/>
      <c r="BA46" s="12"/>
      <c r="BB46" s="12"/>
      <c r="BC46" s="12"/>
      <c r="BD46" s="12"/>
      <c r="BE46" s="12"/>
      <c r="BF46" s="12"/>
      <c r="BG46" s="12"/>
      <c r="BH46" s="12"/>
      <c r="BI46" s="12"/>
      <c r="BJ46" s="12"/>
      <c r="BK46" s="12"/>
      <c r="BL46" s="12"/>
      <c r="BM46" s="12"/>
      <c r="BN46" s="12"/>
      <c r="BO46" s="12"/>
      <c r="BP46" s="12"/>
    </row>
    <row r="47" spans="1:68" ht="13">
      <c r="A47" s="14" t="s">
        <v>698</v>
      </c>
      <c r="E47" s="12"/>
      <c r="F47" s="12"/>
      <c r="G47" s="12"/>
      <c r="H47" s="12"/>
      <c r="I47" s="28"/>
      <c r="J47" s="12"/>
      <c r="K47" s="12"/>
      <c r="L47" s="12"/>
      <c r="M47" s="12"/>
      <c r="N47" s="59"/>
      <c r="O47" s="59"/>
      <c r="P47" s="12"/>
      <c r="Q47" s="12"/>
      <c r="R47" s="59"/>
      <c r="S47" s="59"/>
      <c r="T47" s="12"/>
      <c r="U47" s="12"/>
      <c r="V47" s="59"/>
      <c r="W47" s="59"/>
      <c r="X47" s="12"/>
      <c r="Y47" s="12"/>
      <c r="Z47" s="59"/>
      <c r="AA47" s="59"/>
      <c r="AB47" s="12"/>
      <c r="AC47" s="12"/>
      <c r="AD47" s="59"/>
      <c r="AE47" s="59"/>
      <c r="AF47" s="12"/>
      <c r="AG47" s="12"/>
      <c r="AH47" s="59"/>
      <c r="AI47" s="59"/>
      <c r="AJ47" s="59"/>
      <c r="AK47" s="12"/>
      <c r="AL47" s="12"/>
      <c r="AM47" s="12"/>
      <c r="AN47" s="12"/>
      <c r="AO47" s="12"/>
      <c r="AP47" s="12"/>
      <c r="AQ47" s="12"/>
      <c r="AR47" s="12"/>
      <c r="AS47" s="12"/>
      <c r="AT47" s="12"/>
      <c r="AU47" s="12"/>
      <c r="AV47" s="12"/>
      <c r="AW47" s="12"/>
      <c r="AX47" s="12"/>
      <c r="AY47" s="12"/>
      <c r="AZ47" s="12"/>
      <c r="BA47" s="12"/>
      <c r="BB47" s="12"/>
      <c r="BC47" s="12"/>
      <c r="BD47" s="12"/>
      <c r="BE47" s="12"/>
      <c r="BF47" s="12"/>
      <c r="BG47" s="12"/>
      <c r="BH47" s="12"/>
      <c r="BI47" s="12"/>
      <c r="BJ47" s="12"/>
      <c r="BK47" s="12"/>
      <c r="BL47" s="12"/>
      <c r="BM47" s="12"/>
      <c r="BN47" s="12"/>
      <c r="BO47" s="12"/>
      <c r="BP47" s="12"/>
    </row>
    <row r="48" spans="1:68" s="17" customFormat="1" ht="14.5">
      <c r="A48" s="17" t="s">
        <v>419</v>
      </c>
      <c r="C48" s="17" t="s">
        <v>378</v>
      </c>
      <c r="D48" s="17" t="s">
        <v>425</v>
      </c>
      <c r="E48" s="15" t="s">
        <v>696</v>
      </c>
      <c r="F48" s="15">
        <v>7</v>
      </c>
      <c r="G48" s="15">
        <v>16</v>
      </c>
      <c r="H48" s="65">
        <v>28</v>
      </c>
      <c r="I48" s="76">
        <v>16</v>
      </c>
      <c r="J48" s="15" t="s">
        <v>676</v>
      </c>
      <c r="K48" s="17" t="s">
        <v>674</v>
      </c>
      <c r="L48" s="15" t="s">
        <v>670</v>
      </c>
      <c r="M48" s="15"/>
      <c r="N48" s="15"/>
      <c r="O48" s="15"/>
      <c r="P48" s="15"/>
      <c r="Q48" s="96"/>
      <c r="R48" s="96"/>
      <c r="S48" s="96"/>
      <c r="T48" s="96"/>
      <c r="U48" s="15"/>
      <c r="V48" s="15"/>
      <c r="W48" s="15"/>
      <c r="X48" s="15"/>
      <c r="Y48" s="15">
        <v>120</v>
      </c>
      <c r="Z48" s="15" t="s">
        <v>676</v>
      </c>
      <c r="AA48" s="17" t="s">
        <v>674</v>
      </c>
      <c r="AB48" s="15" t="s">
        <v>670</v>
      </c>
      <c r="AC48" s="15"/>
      <c r="AD48" s="15"/>
      <c r="AE48" s="15"/>
      <c r="AF48" s="15"/>
      <c r="AG48" s="59">
        <f>2*H48+200+120</f>
        <v>376</v>
      </c>
      <c r="AH48" s="15" t="s">
        <v>676</v>
      </c>
      <c r="AI48" s="17" t="s">
        <v>674</v>
      </c>
      <c r="AJ48" s="15" t="s">
        <v>670</v>
      </c>
      <c r="AW48" s="15"/>
      <c r="AX48" s="15"/>
      <c r="AY48" s="15"/>
      <c r="AZ48" s="15"/>
      <c r="BE48" s="15"/>
      <c r="BF48" s="15"/>
      <c r="BG48" s="15"/>
      <c r="BH48" s="15"/>
      <c r="BI48" s="15"/>
      <c r="BJ48" s="15"/>
      <c r="BK48" s="15"/>
      <c r="BL48" s="15"/>
      <c r="BM48" s="15"/>
      <c r="BN48" s="15"/>
      <c r="BO48" s="15"/>
    </row>
    <row r="49" spans="1:70">
      <c r="E49" s="12"/>
      <c r="F49" s="16">
        <f>SUM(F48:F48)+F45</f>
        <v>243</v>
      </c>
      <c r="G49" s="16">
        <f>SUM(G48:G48)+G45</f>
        <v>651</v>
      </c>
      <c r="H49" s="16">
        <f>SUM(H48:H48)+H45</f>
        <v>3108</v>
      </c>
      <c r="I49" s="16"/>
      <c r="J49" s="12"/>
      <c r="K49" s="12"/>
      <c r="L49" s="16">
        <f>SUM(L48:L48)+L45</f>
        <v>403.80000000000018</v>
      </c>
      <c r="M49" s="16">
        <f>SUM(M48:M48)+M45</f>
        <v>116.99</v>
      </c>
      <c r="N49" s="59"/>
      <c r="O49" s="59"/>
      <c r="P49" s="16">
        <f>SUM(P48:P48)+P45</f>
        <v>0.05</v>
      </c>
      <c r="Q49" s="16">
        <f>SUM(Q48:Q48)+Q45</f>
        <v>2250</v>
      </c>
      <c r="R49" s="59"/>
      <c r="S49" s="59"/>
      <c r="T49" s="16">
        <f>SUM(T48:T48)+T45</f>
        <v>0.05</v>
      </c>
      <c r="U49" s="16">
        <f>SUM(U48:U48)+U45</f>
        <v>3375</v>
      </c>
      <c r="V49" s="59"/>
      <c r="W49" s="59"/>
      <c r="X49" s="16">
        <f>SUM(X48:X48)+X45</f>
        <v>0.05</v>
      </c>
      <c r="Y49" s="16">
        <f>SUM(Y48:Y48)+Y45</f>
        <v>669</v>
      </c>
      <c r="Z49" s="59"/>
      <c r="AA49" s="59"/>
      <c r="AB49" s="16">
        <f>SUM(AB48:AB48)+AB45</f>
        <v>0.1</v>
      </c>
      <c r="AC49" s="16">
        <f>SUM(AC48:AC48)+AC45</f>
        <v>270</v>
      </c>
      <c r="AD49" s="59"/>
      <c r="AE49" s="59"/>
      <c r="AF49" s="16">
        <f>SUM(AF48:AF48)+AF45</f>
        <v>0</v>
      </c>
      <c r="AG49" s="16">
        <f>SUM(AG48:AG48)+AG45</f>
        <v>17277.5</v>
      </c>
      <c r="AH49" s="59"/>
      <c r="AI49" s="59"/>
      <c r="AJ49" s="59"/>
      <c r="AK49" s="16">
        <f>SUM(AK48:AK48)+AK45</f>
        <v>180</v>
      </c>
      <c r="AL49" s="12"/>
      <c r="AM49" s="12"/>
      <c r="AN49" s="16">
        <f>SUM(AN48:AN48)+AN45</f>
        <v>0.2</v>
      </c>
      <c r="AO49" s="16">
        <f>SUM(AO48:AO48)+AO45</f>
        <v>50</v>
      </c>
      <c r="AP49" s="12"/>
      <c r="AQ49" s="12"/>
      <c r="AR49" s="16">
        <f>SUM(AR48:AR48)+AR45</f>
        <v>0.05</v>
      </c>
      <c r="AS49" s="16">
        <f>SUM(AS48:AS48)+AS45</f>
        <v>170</v>
      </c>
      <c r="AT49" s="16"/>
      <c r="AU49" s="12"/>
      <c r="AV49" s="16">
        <f>SUM(AV48:AV48)+AV45</f>
        <v>0.1</v>
      </c>
      <c r="AW49" s="16">
        <f>SUM(AW48:AW48)+AW45</f>
        <v>150</v>
      </c>
      <c r="AX49" s="12"/>
      <c r="AY49" s="12"/>
      <c r="AZ49" s="12"/>
      <c r="BA49" s="16">
        <f>SUM(BA48:BA48)+BA45</f>
        <v>3072</v>
      </c>
      <c r="BB49" s="12"/>
      <c r="BC49" s="12"/>
      <c r="BD49" s="16">
        <f>SUM(BD48:BD48)+BD45</f>
        <v>0.05</v>
      </c>
      <c r="BE49" s="16">
        <f>SUM(BE48:BE48)+BE45</f>
        <v>92</v>
      </c>
      <c r="BF49" s="16">
        <f>BF45+COUNTIF(BF48:BF48,"x")</f>
        <v>36</v>
      </c>
      <c r="BG49" s="16">
        <f>BG45+COUNTIF(BG48:BG48,"x")</f>
        <v>2</v>
      </c>
      <c r="BH49" s="16">
        <f>BH45+COUNTIF(BH48:BH48,"x")</f>
        <v>1</v>
      </c>
      <c r="BI49" s="16">
        <f>SUM(BI48:BI48)+BI45</f>
        <v>72</v>
      </c>
      <c r="BJ49" s="16">
        <f>BJ45+COUNTIF(BJ48:BJ48,"x")</f>
        <v>1</v>
      </c>
      <c r="BK49" s="16">
        <f>BK45+COUNTIF(BK48:BK48,"x")</f>
        <v>1</v>
      </c>
      <c r="BL49" s="16">
        <f>BL45+COUNTIF(BL48:BL48,"x")</f>
        <v>36</v>
      </c>
      <c r="BM49" s="16" t="s">
        <v>697</v>
      </c>
      <c r="BN49" s="12">
        <v>2</v>
      </c>
      <c r="BO49" s="12">
        <v>4</v>
      </c>
      <c r="BP49" s="12">
        <v>2</v>
      </c>
    </row>
    <row r="50" spans="1:70">
      <c r="I50" s="31"/>
      <c r="BE50" s="12"/>
    </row>
    <row r="51" spans="1:70" ht="13">
      <c r="A51" s="14" t="s">
        <v>700</v>
      </c>
      <c r="B51" s="33"/>
      <c r="C51" s="33"/>
      <c r="D51" s="33"/>
      <c r="I51" s="31"/>
      <c r="BE51" s="12"/>
    </row>
    <row r="52" spans="1:70">
      <c r="A52" s="33"/>
      <c r="B52" s="33"/>
      <c r="C52" s="33"/>
      <c r="D52" s="33"/>
      <c r="I52" s="31"/>
      <c r="BE52" s="12"/>
    </row>
    <row r="53" spans="1:70">
      <c r="A53" s="33" t="s">
        <v>431</v>
      </c>
      <c r="B53" s="33"/>
      <c r="C53" s="4" t="s">
        <v>378</v>
      </c>
      <c r="D53" s="33" t="s">
        <v>21</v>
      </c>
      <c r="E53" s="12" t="s">
        <v>701</v>
      </c>
      <c r="F53" s="82">
        <v>12</v>
      </c>
      <c r="G53" s="82">
        <v>48</v>
      </c>
      <c r="H53" s="82">
        <v>70</v>
      </c>
      <c r="I53" s="28">
        <v>16</v>
      </c>
      <c r="J53" s="82" t="s">
        <v>676</v>
      </c>
      <c r="K53" s="4" t="s">
        <v>674</v>
      </c>
      <c r="L53" s="12">
        <v>2.6</v>
      </c>
      <c r="M53" s="33"/>
      <c r="N53" s="33"/>
      <c r="O53" s="33"/>
      <c r="P53" s="33"/>
      <c r="Q53" s="33"/>
      <c r="R53" s="33"/>
      <c r="S53" s="33"/>
      <c r="T53" s="33"/>
      <c r="U53" s="33"/>
      <c r="V53" s="33"/>
      <c r="W53" s="33"/>
      <c r="X53" s="33"/>
      <c r="Y53" s="33"/>
      <c r="Z53" s="33"/>
      <c r="AA53" s="33"/>
      <c r="AB53" s="33"/>
      <c r="AC53" s="33"/>
      <c r="AD53" s="33"/>
      <c r="AE53" s="33"/>
      <c r="AF53" s="33"/>
      <c r="AG53" s="61">
        <f t="shared" ref="AG53:AG77" si="2">2*H53</f>
        <v>140</v>
      </c>
      <c r="AH53" s="82" t="s">
        <v>676</v>
      </c>
      <c r="AI53" s="4" t="s">
        <v>674</v>
      </c>
      <c r="AJ53" s="12" t="s">
        <v>670</v>
      </c>
      <c r="AK53" s="33"/>
      <c r="AL53" s="33"/>
      <c r="AM53" s="33"/>
      <c r="AN53" s="33"/>
      <c r="AO53" s="33"/>
      <c r="AP53" s="33"/>
      <c r="AQ53" s="33"/>
      <c r="AR53" s="33"/>
      <c r="AS53" s="33"/>
      <c r="AT53" s="33"/>
      <c r="AU53" s="33"/>
      <c r="AV53" s="33"/>
      <c r="AW53" s="33"/>
      <c r="AX53" s="33"/>
      <c r="AY53" s="33"/>
      <c r="AZ53" s="33"/>
      <c r="BA53" s="33"/>
      <c r="BB53" s="33"/>
      <c r="BC53" s="33"/>
      <c r="BD53" s="33"/>
      <c r="BE53" s="82">
        <v>2</v>
      </c>
      <c r="BF53" s="82" t="s">
        <v>381</v>
      </c>
      <c r="BG53" s="82"/>
      <c r="BH53" s="82"/>
      <c r="BI53" s="82">
        <v>2</v>
      </c>
      <c r="BJ53" s="82"/>
      <c r="BK53" s="82" t="s">
        <v>381</v>
      </c>
      <c r="BL53" s="82" t="s">
        <v>381</v>
      </c>
      <c r="BM53" s="82"/>
      <c r="BN53" s="82"/>
      <c r="BO53" s="82"/>
      <c r="BP53" s="82"/>
      <c r="BQ53" s="33"/>
      <c r="BR53" s="33"/>
    </row>
    <row r="54" spans="1:70">
      <c r="A54" s="33" t="s">
        <v>481</v>
      </c>
      <c r="B54" s="33"/>
      <c r="C54" s="19" t="s">
        <v>434</v>
      </c>
      <c r="D54" s="4" t="s">
        <v>89</v>
      </c>
      <c r="E54" s="12" t="s">
        <v>691</v>
      </c>
      <c r="F54" s="82">
        <v>4</v>
      </c>
      <c r="G54" s="82">
        <v>4</v>
      </c>
      <c r="H54" s="59">
        <v>100</v>
      </c>
      <c r="I54" s="28">
        <v>0</v>
      </c>
      <c r="J54" s="82" t="s">
        <v>673</v>
      </c>
      <c r="K54" s="4" t="s">
        <v>674</v>
      </c>
      <c r="L54" s="12">
        <v>100</v>
      </c>
      <c r="M54" s="33"/>
      <c r="N54" s="33"/>
      <c r="O54" s="33"/>
      <c r="P54" s="33"/>
      <c r="Q54" s="33"/>
      <c r="R54" s="33"/>
      <c r="S54" s="33"/>
      <c r="T54" s="33"/>
      <c r="U54" s="33"/>
      <c r="V54" s="33"/>
      <c r="W54" s="33"/>
      <c r="X54" s="33"/>
      <c r="Y54" s="33"/>
      <c r="Z54" s="33"/>
      <c r="AA54" s="33"/>
      <c r="AB54" s="33"/>
      <c r="AC54" s="33"/>
      <c r="AD54" s="33"/>
      <c r="AE54" s="33"/>
      <c r="AF54" s="33"/>
      <c r="AG54" s="61">
        <f t="shared" si="2"/>
        <v>200</v>
      </c>
      <c r="AH54" s="82" t="s">
        <v>676</v>
      </c>
      <c r="AI54" s="4" t="s">
        <v>674</v>
      </c>
      <c r="AJ54" s="12" t="s">
        <v>670</v>
      </c>
      <c r="AK54" s="33"/>
      <c r="AL54" s="33"/>
      <c r="AM54" s="33"/>
      <c r="AN54" s="33"/>
      <c r="AO54" s="33"/>
      <c r="AP54" s="33"/>
      <c r="AQ54" s="33"/>
      <c r="AR54" s="33"/>
      <c r="AS54" s="33"/>
      <c r="AT54" s="33"/>
      <c r="AU54" s="33"/>
      <c r="AV54" s="33"/>
      <c r="AW54" s="33"/>
      <c r="AX54" s="33"/>
      <c r="AY54" s="33"/>
      <c r="AZ54" s="33"/>
      <c r="BA54" s="33"/>
      <c r="BB54" s="33"/>
      <c r="BC54" s="33"/>
      <c r="BD54" s="33"/>
      <c r="BE54" s="82">
        <v>4</v>
      </c>
      <c r="BF54" s="82" t="s">
        <v>381</v>
      </c>
      <c r="BG54" s="82"/>
      <c r="BH54" s="82"/>
      <c r="BI54" s="82">
        <v>2</v>
      </c>
      <c r="BJ54" s="82"/>
      <c r="BK54" s="82" t="s">
        <v>381</v>
      </c>
      <c r="BL54" s="82" t="s">
        <v>381</v>
      </c>
      <c r="BM54" s="82"/>
      <c r="BN54" s="82"/>
      <c r="BO54" s="82"/>
      <c r="BP54" s="82"/>
      <c r="BQ54" s="33"/>
      <c r="BR54" s="33"/>
    </row>
    <row r="55" spans="1:70">
      <c r="A55" s="33" t="s">
        <v>437</v>
      </c>
      <c r="B55" s="33"/>
      <c r="C55" s="19" t="s">
        <v>434</v>
      </c>
      <c r="D55" s="4" t="s">
        <v>97</v>
      </c>
      <c r="E55" s="12" t="s">
        <v>692</v>
      </c>
      <c r="F55" s="82">
        <v>4</v>
      </c>
      <c r="G55" s="82">
        <v>16</v>
      </c>
      <c r="H55" s="59">
        <v>100</v>
      </c>
      <c r="I55" s="28">
        <v>0</v>
      </c>
      <c r="J55" s="12" t="s">
        <v>673</v>
      </c>
      <c r="K55" s="4" t="s">
        <v>674</v>
      </c>
      <c r="L55" s="12">
        <v>110</v>
      </c>
      <c r="M55" s="33"/>
      <c r="N55" s="33"/>
      <c r="O55" s="33"/>
      <c r="P55" s="33"/>
      <c r="Q55" s="33"/>
      <c r="R55" s="33"/>
      <c r="S55" s="33"/>
      <c r="T55" s="33"/>
      <c r="U55" s="33"/>
      <c r="V55" s="33"/>
      <c r="W55" s="33"/>
      <c r="X55" s="33"/>
      <c r="Y55" s="33"/>
      <c r="Z55" s="33"/>
      <c r="AA55" s="33"/>
      <c r="AB55" s="33"/>
      <c r="AC55" s="33"/>
      <c r="AD55" s="33"/>
      <c r="AE55" s="33"/>
      <c r="AF55" s="33"/>
      <c r="AG55" s="61">
        <f t="shared" si="2"/>
        <v>200</v>
      </c>
      <c r="AH55" s="82" t="s">
        <v>676</v>
      </c>
      <c r="AI55" s="4" t="s">
        <v>674</v>
      </c>
      <c r="AJ55" s="12" t="s">
        <v>670</v>
      </c>
      <c r="AK55" s="33"/>
      <c r="AL55" s="33"/>
      <c r="AM55" s="33"/>
      <c r="AN55" s="33"/>
      <c r="AO55" s="33"/>
      <c r="AP55" s="33"/>
      <c r="AQ55" s="33"/>
      <c r="AR55" s="33"/>
      <c r="AS55" s="33"/>
      <c r="AT55" s="33"/>
      <c r="AU55" s="33"/>
      <c r="AV55" s="33"/>
      <c r="AW55" s="33"/>
      <c r="AX55" s="33"/>
      <c r="AY55" s="33"/>
      <c r="AZ55" s="33"/>
      <c r="BA55" s="33"/>
      <c r="BB55" s="33"/>
      <c r="BC55" s="33"/>
      <c r="BD55" s="33"/>
      <c r="BE55" s="82">
        <v>4</v>
      </c>
      <c r="BF55" s="82" t="s">
        <v>381</v>
      </c>
      <c r="BG55" s="82"/>
      <c r="BH55" s="82"/>
      <c r="BI55" s="82">
        <v>2</v>
      </c>
      <c r="BJ55" s="82"/>
      <c r="BK55" s="82" t="s">
        <v>381</v>
      </c>
      <c r="BL55" s="82" t="s">
        <v>381</v>
      </c>
      <c r="BM55" s="82"/>
      <c r="BN55" s="82"/>
      <c r="BO55" s="82"/>
      <c r="BP55" s="82"/>
      <c r="BQ55" s="33"/>
      <c r="BR55" s="33"/>
    </row>
    <row r="56" spans="1:70">
      <c r="A56" s="33" t="s">
        <v>482</v>
      </c>
      <c r="B56" s="33"/>
      <c r="C56" s="19" t="s">
        <v>434</v>
      </c>
      <c r="D56" s="4" t="s">
        <v>97</v>
      </c>
      <c r="E56" s="12" t="s">
        <v>692</v>
      </c>
      <c r="F56" s="82">
        <v>4</v>
      </c>
      <c r="G56" s="82">
        <v>16</v>
      </c>
      <c r="H56" s="59">
        <v>100</v>
      </c>
      <c r="I56" s="28">
        <v>0</v>
      </c>
      <c r="J56" s="12" t="s">
        <v>673</v>
      </c>
      <c r="K56" s="4" t="s">
        <v>674</v>
      </c>
      <c r="L56" s="12">
        <v>110</v>
      </c>
      <c r="M56" s="33"/>
      <c r="N56" s="33"/>
      <c r="O56" s="33"/>
      <c r="P56" s="33"/>
      <c r="Q56" s="33"/>
      <c r="R56" s="33"/>
      <c r="S56" s="33"/>
      <c r="T56" s="33"/>
      <c r="U56" s="33"/>
      <c r="V56" s="33"/>
      <c r="W56" s="33"/>
      <c r="X56" s="33"/>
      <c r="Y56" s="33"/>
      <c r="Z56" s="33"/>
      <c r="AA56" s="33"/>
      <c r="AB56" s="33"/>
      <c r="AC56" s="33"/>
      <c r="AD56" s="33"/>
      <c r="AE56" s="33"/>
      <c r="AF56" s="33"/>
      <c r="AG56" s="61">
        <f t="shared" si="2"/>
        <v>200</v>
      </c>
      <c r="AH56" s="82" t="s">
        <v>676</v>
      </c>
      <c r="AI56" s="4" t="s">
        <v>674</v>
      </c>
      <c r="AJ56" s="12" t="s">
        <v>670</v>
      </c>
      <c r="AK56" s="33"/>
      <c r="AL56" s="33"/>
      <c r="AM56" s="33"/>
      <c r="AN56" s="33"/>
      <c r="AO56" s="33"/>
      <c r="AP56" s="33"/>
      <c r="AQ56" s="33"/>
      <c r="AR56" s="33"/>
      <c r="AS56" s="33"/>
      <c r="AT56" s="33"/>
      <c r="AU56" s="33"/>
      <c r="AV56" s="33"/>
      <c r="AW56" s="33"/>
      <c r="AX56" s="33"/>
      <c r="AY56" s="33"/>
      <c r="AZ56" s="33"/>
      <c r="BA56" s="33"/>
      <c r="BB56" s="33"/>
      <c r="BC56" s="33"/>
      <c r="BD56" s="33"/>
      <c r="BE56" s="82">
        <v>4</v>
      </c>
      <c r="BF56" s="82" t="s">
        <v>381</v>
      </c>
      <c r="BG56" s="82"/>
      <c r="BH56" s="82"/>
      <c r="BI56" s="82">
        <v>2</v>
      </c>
      <c r="BJ56" s="82"/>
      <c r="BK56" s="82" t="s">
        <v>381</v>
      </c>
      <c r="BL56" s="82" t="s">
        <v>381</v>
      </c>
      <c r="BM56" s="82"/>
      <c r="BN56" s="82"/>
      <c r="BO56" s="82"/>
      <c r="BP56" s="82"/>
      <c r="BQ56" s="33"/>
      <c r="BR56" s="33"/>
    </row>
    <row r="57" spans="1:70">
      <c r="A57" s="33" t="s">
        <v>568</v>
      </c>
      <c r="B57" s="33"/>
      <c r="C57" s="19" t="s">
        <v>434</v>
      </c>
      <c r="D57" s="4" t="s">
        <v>97</v>
      </c>
      <c r="E57" s="12" t="s">
        <v>692</v>
      </c>
      <c r="F57" s="82">
        <v>4</v>
      </c>
      <c r="G57" s="82">
        <v>16</v>
      </c>
      <c r="H57" s="59">
        <v>100</v>
      </c>
      <c r="I57" s="28">
        <v>0</v>
      </c>
      <c r="J57" s="12" t="s">
        <v>673</v>
      </c>
      <c r="K57" s="4" t="s">
        <v>674</v>
      </c>
      <c r="L57" s="12">
        <v>110</v>
      </c>
      <c r="M57" s="33"/>
      <c r="N57" s="33"/>
      <c r="O57" s="33"/>
      <c r="P57" s="33"/>
      <c r="Q57" s="33"/>
      <c r="R57" s="33"/>
      <c r="S57" s="33"/>
      <c r="T57" s="33"/>
      <c r="U57" s="33"/>
      <c r="V57" s="33"/>
      <c r="W57" s="33"/>
      <c r="X57" s="33"/>
      <c r="Y57" s="33"/>
      <c r="Z57" s="33"/>
      <c r="AA57" s="33"/>
      <c r="AB57" s="33"/>
      <c r="AC57" s="33"/>
      <c r="AD57" s="33"/>
      <c r="AE57" s="33"/>
      <c r="AF57" s="33"/>
      <c r="AG57" s="61">
        <f t="shared" si="2"/>
        <v>200</v>
      </c>
      <c r="AH57" s="82" t="s">
        <v>676</v>
      </c>
      <c r="AI57" s="4" t="s">
        <v>674</v>
      </c>
      <c r="AJ57" s="12" t="s">
        <v>670</v>
      </c>
      <c r="AK57" s="33"/>
      <c r="AL57" s="33"/>
      <c r="AM57" s="33"/>
      <c r="AN57" s="33"/>
      <c r="AO57" s="33"/>
      <c r="AP57" s="33"/>
      <c r="AQ57" s="33"/>
      <c r="AR57" s="33"/>
      <c r="AS57" s="33"/>
      <c r="AT57" s="33"/>
      <c r="AU57" s="33"/>
      <c r="AV57" s="33"/>
      <c r="AW57" s="33"/>
      <c r="AX57" s="33"/>
      <c r="AY57" s="33"/>
      <c r="AZ57" s="33"/>
      <c r="BA57" s="33"/>
      <c r="BB57" s="33"/>
      <c r="BC57" s="33"/>
      <c r="BD57" s="33"/>
      <c r="BE57" s="82">
        <v>4</v>
      </c>
      <c r="BF57" s="82" t="s">
        <v>381</v>
      </c>
      <c r="BG57" s="82"/>
      <c r="BH57" s="82"/>
      <c r="BI57" s="82">
        <v>2</v>
      </c>
      <c r="BJ57" s="82"/>
      <c r="BK57" s="82" t="s">
        <v>381</v>
      </c>
      <c r="BL57" s="82" t="s">
        <v>381</v>
      </c>
      <c r="BM57" s="82"/>
      <c r="BN57" s="82"/>
      <c r="BO57" s="82"/>
      <c r="BP57" s="82"/>
      <c r="BQ57" s="33"/>
      <c r="BR57" s="33"/>
    </row>
    <row r="58" spans="1:70">
      <c r="A58" s="33" t="s">
        <v>569</v>
      </c>
      <c r="B58" s="33"/>
      <c r="C58" s="19" t="s">
        <v>434</v>
      </c>
      <c r="D58" s="4" t="s">
        <v>97</v>
      </c>
      <c r="E58" s="12" t="s">
        <v>692</v>
      </c>
      <c r="F58" s="82">
        <v>4</v>
      </c>
      <c r="G58" s="82">
        <v>16</v>
      </c>
      <c r="H58" s="59">
        <v>100</v>
      </c>
      <c r="I58" s="28">
        <v>0</v>
      </c>
      <c r="J58" s="12" t="s">
        <v>673</v>
      </c>
      <c r="K58" s="4" t="s">
        <v>674</v>
      </c>
      <c r="L58" s="12">
        <v>110</v>
      </c>
      <c r="M58" s="33"/>
      <c r="N58" s="33"/>
      <c r="O58" s="33"/>
      <c r="P58" s="33"/>
      <c r="Q58" s="33"/>
      <c r="R58" s="33"/>
      <c r="S58" s="33"/>
      <c r="T58" s="33"/>
      <c r="U58" s="33"/>
      <c r="V58" s="33"/>
      <c r="W58" s="33"/>
      <c r="X58" s="33"/>
      <c r="Y58" s="33"/>
      <c r="Z58" s="33"/>
      <c r="AA58" s="33"/>
      <c r="AB58" s="33"/>
      <c r="AC58" s="33"/>
      <c r="AD58" s="33"/>
      <c r="AE58" s="33"/>
      <c r="AF58" s="33"/>
      <c r="AG58" s="61">
        <f t="shared" si="2"/>
        <v>200</v>
      </c>
      <c r="AH58" s="82" t="s">
        <v>676</v>
      </c>
      <c r="AI58" s="4" t="s">
        <v>674</v>
      </c>
      <c r="AJ58" s="12" t="s">
        <v>670</v>
      </c>
      <c r="AK58" s="33"/>
      <c r="AL58" s="33"/>
      <c r="AM58" s="33"/>
      <c r="AN58" s="33"/>
      <c r="AO58" s="33"/>
      <c r="AP58" s="33"/>
      <c r="AQ58" s="33"/>
      <c r="AR58" s="33"/>
      <c r="AS58" s="33"/>
      <c r="AT58" s="33"/>
      <c r="AU58" s="33"/>
      <c r="AV58" s="33"/>
      <c r="AW58" s="33"/>
      <c r="AX58" s="33"/>
      <c r="AY58" s="33"/>
      <c r="AZ58" s="33"/>
      <c r="BA58" s="33"/>
      <c r="BB58" s="33"/>
      <c r="BC58" s="33"/>
      <c r="BD58" s="33"/>
      <c r="BE58" s="82">
        <v>4</v>
      </c>
      <c r="BF58" s="82" t="s">
        <v>381</v>
      </c>
      <c r="BG58" s="82"/>
      <c r="BH58" s="82"/>
      <c r="BI58" s="82">
        <v>2</v>
      </c>
      <c r="BJ58" s="82"/>
      <c r="BK58" s="82" t="s">
        <v>381</v>
      </c>
      <c r="BL58" s="82" t="s">
        <v>381</v>
      </c>
      <c r="BM58" s="82"/>
      <c r="BN58" s="82"/>
      <c r="BO58" s="82"/>
      <c r="BP58" s="82"/>
      <c r="BQ58" s="33"/>
      <c r="BR58" s="33"/>
    </row>
    <row r="59" spans="1:70">
      <c r="A59" s="33" t="s">
        <v>592</v>
      </c>
      <c r="B59" s="33"/>
      <c r="C59" s="19" t="s">
        <v>434</v>
      </c>
      <c r="D59" s="4" t="s">
        <v>97</v>
      </c>
      <c r="E59" s="12" t="s">
        <v>692</v>
      </c>
      <c r="F59" s="82">
        <v>4</v>
      </c>
      <c r="G59" s="82">
        <v>16</v>
      </c>
      <c r="H59" s="59">
        <v>100</v>
      </c>
      <c r="I59" s="28">
        <v>0</v>
      </c>
      <c r="J59" s="12" t="s">
        <v>673</v>
      </c>
      <c r="K59" s="4" t="s">
        <v>674</v>
      </c>
      <c r="L59" s="12">
        <v>110</v>
      </c>
      <c r="M59" s="33"/>
      <c r="N59" s="33"/>
      <c r="O59" s="33"/>
      <c r="P59" s="33"/>
      <c r="Q59" s="33"/>
      <c r="R59" s="33"/>
      <c r="S59" s="33"/>
      <c r="T59" s="33"/>
      <c r="U59" s="33"/>
      <c r="V59" s="33"/>
      <c r="W59" s="33"/>
      <c r="X59" s="33"/>
      <c r="Y59" s="33"/>
      <c r="Z59" s="33"/>
      <c r="AA59" s="33"/>
      <c r="AB59" s="33"/>
      <c r="AC59" s="33"/>
      <c r="AD59" s="33"/>
      <c r="AE59" s="33"/>
      <c r="AF59" s="33"/>
      <c r="AG59" s="61">
        <f t="shared" si="2"/>
        <v>200</v>
      </c>
      <c r="AH59" s="82" t="s">
        <v>676</v>
      </c>
      <c r="AI59" s="4" t="s">
        <v>674</v>
      </c>
      <c r="AJ59" s="12" t="s">
        <v>670</v>
      </c>
      <c r="AK59" s="33"/>
      <c r="AL59" s="33"/>
      <c r="AM59" s="33"/>
      <c r="AN59" s="33"/>
      <c r="AO59" s="33"/>
      <c r="AP59" s="33"/>
      <c r="AQ59" s="33"/>
      <c r="AR59" s="33"/>
      <c r="AS59" s="33"/>
      <c r="AT59" s="33"/>
      <c r="AU59" s="33"/>
      <c r="AV59" s="33"/>
      <c r="AW59" s="33"/>
      <c r="AX59" s="33"/>
      <c r="AY59" s="33"/>
      <c r="AZ59" s="33"/>
      <c r="BA59" s="33"/>
      <c r="BB59" s="33"/>
      <c r="BC59" s="33"/>
      <c r="BD59" s="33"/>
      <c r="BE59" s="82">
        <v>4</v>
      </c>
      <c r="BF59" s="82" t="s">
        <v>381</v>
      </c>
      <c r="BG59" s="82"/>
      <c r="BH59" s="82"/>
      <c r="BI59" s="82">
        <v>2</v>
      </c>
      <c r="BJ59" s="82"/>
      <c r="BK59" s="82" t="s">
        <v>381</v>
      </c>
      <c r="BL59" s="82" t="s">
        <v>381</v>
      </c>
      <c r="BM59" s="82"/>
      <c r="BN59" s="82"/>
      <c r="BO59" s="82"/>
      <c r="BP59" s="82"/>
      <c r="BQ59" s="33"/>
      <c r="BR59" s="33"/>
    </row>
    <row r="60" spans="1:70">
      <c r="A60" s="33" t="s">
        <v>593</v>
      </c>
      <c r="B60" s="33"/>
      <c r="C60" s="19" t="s">
        <v>434</v>
      </c>
      <c r="D60" s="4" t="s">
        <v>97</v>
      </c>
      <c r="E60" s="12" t="s">
        <v>692</v>
      </c>
      <c r="F60" s="82">
        <v>4</v>
      </c>
      <c r="G60" s="82">
        <v>16</v>
      </c>
      <c r="H60" s="59">
        <v>100</v>
      </c>
      <c r="I60" s="28">
        <v>0</v>
      </c>
      <c r="J60" s="12" t="s">
        <v>673</v>
      </c>
      <c r="K60" s="4" t="s">
        <v>674</v>
      </c>
      <c r="L60" s="12">
        <v>110</v>
      </c>
      <c r="M60" s="33"/>
      <c r="N60" s="33"/>
      <c r="O60" s="133"/>
      <c r="P60" s="33"/>
      <c r="Q60" s="33"/>
      <c r="R60" s="33"/>
      <c r="S60" s="33"/>
      <c r="T60" s="33"/>
      <c r="U60" s="33"/>
      <c r="V60" s="33"/>
      <c r="W60" s="33"/>
      <c r="X60" s="33"/>
      <c r="Y60" s="33"/>
      <c r="Z60" s="33"/>
      <c r="AA60" s="33"/>
      <c r="AB60" s="33"/>
      <c r="AC60" s="33"/>
      <c r="AD60" s="33"/>
      <c r="AE60" s="33"/>
      <c r="AF60" s="33"/>
      <c r="AG60" s="61">
        <f t="shared" si="2"/>
        <v>200</v>
      </c>
      <c r="AH60" s="82" t="s">
        <v>676</v>
      </c>
      <c r="AI60" s="4" t="s">
        <v>674</v>
      </c>
      <c r="AJ60" s="12" t="s">
        <v>670</v>
      </c>
      <c r="AK60" s="33"/>
      <c r="AL60" s="33"/>
      <c r="AM60" s="33"/>
      <c r="AN60" s="33"/>
      <c r="AO60" s="33"/>
      <c r="AP60" s="33"/>
      <c r="AQ60" s="33"/>
      <c r="AR60" s="33"/>
      <c r="AS60" s="33"/>
      <c r="AT60" s="33"/>
      <c r="AU60" s="33"/>
      <c r="AV60" s="33"/>
      <c r="AW60" s="33"/>
      <c r="AX60" s="33"/>
      <c r="AY60" s="33"/>
      <c r="AZ60" s="33"/>
      <c r="BA60" s="33"/>
      <c r="BB60" s="33"/>
      <c r="BC60" s="33"/>
      <c r="BD60" s="33"/>
      <c r="BE60" s="82">
        <v>4</v>
      </c>
      <c r="BF60" s="82" t="s">
        <v>381</v>
      </c>
      <c r="BG60" s="82"/>
      <c r="BH60" s="82"/>
      <c r="BI60" s="82">
        <v>2</v>
      </c>
      <c r="BJ60" s="82"/>
      <c r="BK60" s="82" t="s">
        <v>381</v>
      </c>
      <c r="BL60" s="82" t="s">
        <v>381</v>
      </c>
      <c r="BM60" s="82"/>
      <c r="BN60" s="82"/>
      <c r="BO60" s="82"/>
      <c r="BP60" s="82"/>
      <c r="BQ60" s="33"/>
      <c r="BR60" s="33"/>
    </row>
    <row r="61" spans="1:70">
      <c r="A61" s="33" t="s">
        <v>594</v>
      </c>
      <c r="B61" s="33"/>
      <c r="C61" s="19" t="s">
        <v>434</v>
      </c>
      <c r="D61" s="4" t="s">
        <v>97</v>
      </c>
      <c r="E61" s="12" t="s">
        <v>692</v>
      </c>
      <c r="F61" s="82">
        <v>4</v>
      </c>
      <c r="G61" s="82">
        <v>16</v>
      </c>
      <c r="H61" s="59">
        <v>100</v>
      </c>
      <c r="I61" s="28">
        <v>0</v>
      </c>
      <c r="J61" s="12" t="s">
        <v>673</v>
      </c>
      <c r="K61" s="4" t="s">
        <v>674</v>
      </c>
      <c r="L61" s="12">
        <v>110</v>
      </c>
      <c r="M61" s="33"/>
      <c r="N61" s="33"/>
      <c r="O61" s="33"/>
      <c r="P61" s="33"/>
      <c r="Q61" s="33"/>
      <c r="R61" s="33"/>
      <c r="S61" s="33"/>
      <c r="T61" s="33"/>
      <c r="U61" s="33"/>
      <c r="V61" s="33"/>
      <c r="W61" s="33"/>
      <c r="X61" s="33"/>
      <c r="Y61" s="33"/>
      <c r="Z61" s="33"/>
      <c r="AA61" s="33"/>
      <c r="AB61" s="33"/>
      <c r="AC61" s="33"/>
      <c r="AD61" s="33"/>
      <c r="AE61" s="33"/>
      <c r="AF61" s="33"/>
      <c r="AG61" s="61">
        <f t="shared" si="2"/>
        <v>200</v>
      </c>
      <c r="AH61" s="82" t="s">
        <v>676</v>
      </c>
      <c r="AI61" s="4" t="s">
        <v>674</v>
      </c>
      <c r="AJ61" s="12" t="s">
        <v>670</v>
      </c>
      <c r="AK61" s="33"/>
      <c r="AL61" s="33"/>
      <c r="AM61" s="33"/>
      <c r="AN61" s="33"/>
      <c r="AO61" s="33"/>
      <c r="AP61" s="33"/>
      <c r="AQ61" s="33"/>
      <c r="AR61" s="33"/>
      <c r="AS61" s="33"/>
      <c r="AT61" s="33"/>
      <c r="AU61" s="33"/>
      <c r="AV61" s="33"/>
      <c r="AW61" s="33"/>
      <c r="AX61" s="33"/>
      <c r="AY61" s="33"/>
      <c r="AZ61" s="33"/>
      <c r="BA61" s="33"/>
      <c r="BB61" s="33"/>
      <c r="BC61" s="33"/>
      <c r="BD61" s="33"/>
      <c r="BE61" s="82">
        <v>4</v>
      </c>
      <c r="BF61" s="82" t="s">
        <v>381</v>
      </c>
      <c r="BG61" s="82"/>
      <c r="BH61" s="82"/>
      <c r="BI61" s="82">
        <v>2</v>
      </c>
      <c r="BJ61" s="82"/>
      <c r="BK61" s="82" t="s">
        <v>381</v>
      </c>
      <c r="BL61" s="82" t="s">
        <v>381</v>
      </c>
      <c r="BM61" s="82"/>
      <c r="BN61" s="82"/>
      <c r="BO61" s="82"/>
      <c r="BP61" s="82"/>
      <c r="BQ61" s="33"/>
      <c r="BR61" s="33"/>
    </row>
    <row r="62" spans="1:70">
      <c r="A62" s="33" t="s">
        <v>483</v>
      </c>
      <c r="B62" s="33"/>
      <c r="C62" s="19" t="s">
        <v>434</v>
      </c>
      <c r="D62" s="4" t="s">
        <v>93</v>
      </c>
      <c r="E62" s="12" t="s">
        <v>693</v>
      </c>
      <c r="F62" s="82">
        <v>4</v>
      </c>
      <c r="G62" s="82">
        <v>14</v>
      </c>
      <c r="H62" s="59">
        <v>120</v>
      </c>
      <c r="I62" s="28">
        <v>0</v>
      </c>
      <c r="J62" s="82" t="s">
        <v>673</v>
      </c>
      <c r="K62" s="4" t="s">
        <v>674</v>
      </c>
      <c r="L62" s="12">
        <v>100</v>
      </c>
      <c r="M62" s="33"/>
      <c r="N62" s="33"/>
      <c r="O62" s="33"/>
      <c r="P62" s="33"/>
      <c r="Q62" s="33"/>
      <c r="R62" s="33"/>
      <c r="S62" s="33"/>
      <c r="T62" s="33"/>
      <c r="U62" s="33"/>
      <c r="V62" s="33"/>
      <c r="W62" s="33"/>
      <c r="X62" s="33"/>
      <c r="Y62" s="33"/>
      <c r="Z62" s="33"/>
      <c r="AA62" s="33"/>
      <c r="AB62" s="33"/>
      <c r="AC62" s="33"/>
      <c r="AD62" s="33"/>
      <c r="AE62" s="33"/>
      <c r="AF62" s="33"/>
      <c r="AG62" s="61">
        <f t="shared" si="2"/>
        <v>240</v>
      </c>
      <c r="AH62" s="82" t="s">
        <v>676</v>
      </c>
      <c r="AI62" s="4" t="s">
        <v>674</v>
      </c>
      <c r="AJ62" s="12" t="s">
        <v>670</v>
      </c>
      <c r="AK62" s="33"/>
      <c r="AL62" s="33"/>
      <c r="AM62" s="33"/>
      <c r="AN62" s="33"/>
      <c r="AO62" s="33"/>
      <c r="AP62" s="33"/>
      <c r="AQ62" s="33"/>
      <c r="AR62" s="33"/>
      <c r="AS62" s="33"/>
      <c r="AT62" s="33"/>
      <c r="AU62" s="33"/>
      <c r="AV62" s="33"/>
      <c r="AW62" s="33"/>
      <c r="AX62" s="33"/>
      <c r="AY62" s="33"/>
      <c r="AZ62" s="33"/>
      <c r="BA62" s="33"/>
      <c r="BB62" s="33"/>
      <c r="BC62" s="33"/>
      <c r="BD62" s="33"/>
      <c r="BE62" s="82">
        <v>4</v>
      </c>
      <c r="BF62" s="82" t="s">
        <v>381</v>
      </c>
      <c r="BG62" s="82"/>
      <c r="BH62" s="82"/>
      <c r="BI62" s="82">
        <v>2</v>
      </c>
      <c r="BJ62" s="82"/>
      <c r="BK62" s="82" t="s">
        <v>381</v>
      </c>
      <c r="BL62" s="82" t="s">
        <v>381</v>
      </c>
      <c r="BM62" s="82"/>
      <c r="BN62" s="82"/>
      <c r="BO62" s="82"/>
      <c r="BP62" s="82"/>
      <c r="BQ62" s="33"/>
      <c r="BR62" s="33"/>
    </row>
    <row r="63" spans="1:70">
      <c r="A63" s="33" t="s">
        <v>595</v>
      </c>
      <c r="B63" s="33"/>
      <c r="C63" s="19" t="s">
        <v>434</v>
      </c>
      <c r="D63" s="4" t="s">
        <v>97</v>
      </c>
      <c r="E63" s="12" t="s">
        <v>692</v>
      </c>
      <c r="F63" s="82">
        <v>4</v>
      </c>
      <c r="G63" s="82">
        <v>16</v>
      </c>
      <c r="H63" s="59">
        <v>100</v>
      </c>
      <c r="I63" s="28">
        <v>0</v>
      </c>
      <c r="J63" s="12" t="s">
        <v>673</v>
      </c>
      <c r="K63" s="4" t="s">
        <v>674</v>
      </c>
      <c r="L63" s="12">
        <v>110</v>
      </c>
      <c r="M63" s="33"/>
      <c r="N63" s="33"/>
      <c r="O63" s="33"/>
      <c r="P63" s="33"/>
      <c r="Q63" s="33"/>
      <c r="R63" s="33"/>
      <c r="S63" s="33"/>
      <c r="T63" s="33"/>
      <c r="U63" s="33"/>
      <c r="V63" s="33"/>
      <c r="W63" s="33"/>
      <c r="X63" s="33"/>
      <c r="Y63" s="33"/>
      <c r="Z63" s="33"/>
      <c r="AA63" s="33"/>
      <c r="AB63" s="33"/>
      <c r="AC63" s="33"/>
      <c r="AD63" s="33"/>
      <c r="AE63" s="33"/>
      <c r="AF63" s="33"/>
      <c r="AG63" s="61">
        <f t="shared" si="2"/>
        <v>200</v>
      </c>
      <c r="AH63" s="82" t="s">
        <v>676</v>
      </c>
      <c r="AI63" s="4" t="s">
        <v>674</v>
      </c>
      <c r="AJ63" s="12" t="s">
        <v>670</v>
      </c>
      <c r="AK63" s="33"/>
      <c r="AL63" s="33"/>
      <c r="AM63" s="33"/>
      <c r="AN63" s="33"/>
      <c r="AO63" s="33"/>
      <c r="AP63" s="33"/>
      <c r="AQ63" s="33"/>
      <c r="AR63" s="33"/>
      <c r="AS63" s="33"/>
      <c r="AT63" s="33"/>
      <c r="AU63" s="33"/>
      <c r="AV63" s="33"/>
      <c r="AW63" s="33"/>
      <c r="AX63" s="33"/>
      <c r="AY63" s="33"/>
      <c r="AZ63" s="33"/>
      <c r="BA63" s="33"/>
      <c r="BB63" s="33"/>
      <c r="BC63" s="33"/>
      <c r="BD63" s="33"/>
      <c r="BE63" s="82">
        <v>4</v>
      </c>
      <c r="BF63" s="82" t="s">
        <v>381</v>
      </c>
      <c r="BG63" s="82"/>
      <c r="BH63" s="82"/>
      <c r="BI63" s="82">
        <v>2</v>
      </c>
      <c r="BJ63" s="82"/>
      <c r="BK63" s="82" t="s">
        <v>381</v>
      </c>
      <c r="BL63" s="82" t="s">
        <v>381</v>
      </c>
      <c r="BM63" s="82"/>
      <c r="BN63" s="82"/>
      <c r="BO63" s="82"/>
      <c r="BP63" s="82"/>
      <c r="BQ63" s="33"/>
      <c r="BR63" s="33"/>
    </row>
    <row r="64" spans="1:70">
      <c r="A64" s="33" t="s">
        <v>438</v>
      </c>
      <c r="B64" s="33"/>
      <c r="C64" s="4" t="s">
        <v>378</v>
      </c>
      <c r="D64" s="33" t="s">
        <v>32</v>
      </c>
      <c r="E64" s="12" t="s">
        <v>702</v>
      </c>
      <c r="F64" s="82">
        <v>6</v>
      </c>
      <c r="G64" s="82">
        <v>20</v>
      </c>
      <c r="H64" s="82">
        <v>200</v>
      </c>
      <c r="I64" s="28">
        <v>16</v>
      </c>
      <c r="J64" s="82" t="s">
        <v>676</v>
      </c>
      <c r="K64" s="4" t="s">
        <v>674</v>
      </c>
      <c r="L64" s="12">
        <v>2.6</v>
      </c>
      <c r="M64" s="33"/>
      <c r="N64" s="33"/>
      <c r="O64" s="33"/>
      <c r="P64" s="33"/>
      <c r="Q64" s="33"/>
      <c r="R64" s="33"/>
      <c r="S64" s="33"/>
      <c r="T64" s="33"/>
      <c r="U64" s="33"/>
      <c r="V64" s="33"/>
      <c r="W64" s="33"/>
      <c r="X64" s="33"/>
      <c r="Y64" s="33"/>
      <c r="Z64" s="33"/>
      <c r="AA64" s="33"/>
      <c r="AB64" s="33"/>
      <c r="AC64" s="33"/>
      <c r="AD64" s="33"/>
      <c r="AE64" s="33"/>
      <c r="AF64" s="33"/>
      <c r="AG64" s="61">
        <f t="shared" si="2"/>
        <v>400</v>
      </c>
      <c r="AH64" s="82" t="s">
        <v>676</v>
      </c>
      <c r="AI64" s="4" t="s">
        <v>674</v>
      </c>
      <c r="AJ64" s="12" t="s">
        <v>670</v>
      </c>
      <c r="AK64" s="33"/>
      <c r="AL64" s="33"/>
      <c r="AM64" s="33"/>
      <c r="AN64" s="33"/>
      <c r="AO64" s="33"/>
      <c r="AP64" s="33"/>
      <c r="AQ64" s="33"/>
      <c r="AR64" s="33"/>
      <c r="AS64" s="33"/>
      <c r="AT64" s="33"/>
      <c r="AU64" s="33"/>
      <c r="AV64" s="33"/>
      <c r="AW64" s="33"/>
      <c r="AX64" s="33"/>
      <c r="AY64" s="33"/>
      <c r="AZ64" s="33"/>
      <c r="BA64" s="33"/>
      <c r="BB64" s="33"/>
      <c r="BC64" s="33"/>
      <c r="BD64" s="33"/>
      <c r="BE64" s="82">
        <v>2</v>
      </c>
      <c r="BF64" s="82" t="s">
        <v>381</v>
      </c>
      <c r="BG64" s="82"/>
      <c r="BH64" s="82"/>
      <c r="BI64" s="82">
        <v>2</v>
      </c>
      <c r="BJ64" s="82"/>
      <c r="BK64" s="82" t="s">
        <v>381</v>
      </c>
      <c r="BL64" s="82" t="s">
        <v>381</v>
      </c>
      <c r="BM64" s="82"/>
      <c r="BN64" s="82"/>
      <c r="BO64" s="82"/>
      <c r="BP64" s="82"/>
      <c r="BQ64" s="33"/>
      <c r="BR64" s="33"/>
    </row>
    <row r="65" spans="1:70">
      <c r="A65" s="33" t="s">
        <v>439</v>
      </c>
      <c r="B65" s="33"/>
      <c r="C65" s="4" t="s">
        <v>378</v>
      </c>
      <c r="D65" s="33" t="s">
        <v>32</v>
      </c>
      <c r="E65" s="12" t="s">
        <v>702</v>
      </c>
      <c r="F65" s="82">
        <v>6</v>
      </c>
      <c r="G65" s="82">
        <v>20</v>
      </c>
      <c r="H65" s="82">
        <v>200</v>
      </c>
      <c r="I65" s="28">
        <v>16</v>
      </c>
      <c r="J65" s="82" t="s">
        <v>676</v>
      </c>
      <c r="K65" s="4" t="s">
        <v>674</v>
      </c>
      <c r="L65" s="12">
        <v>2.6</v>
      </c>
      <c r="M65" s="33"/>
      <c r="N65" s="33"/>
      <c r="O65" s="33"/>
      <c r="P65" s="33"/>
      <c r="Q65" s="33"/>
      <c r="R65" s="33"/>
      <c r="S65" s="33"/>
      <c r="T65" s="33"/>
      <c r="U65" s="33"/>
      <c r="V65" s="33"/>
      <c r="W65" s="33"/>
      <c r="X65" s="33"/>
      <c r="Y65" s="33"/>
      <c r="Z65" s="33"/>
      <c r="AA65" s="33"/>
      <c r="AB65" s="33"/>
      <c r="AC65" s="33"/>
      <c r="AD65" s="33"/>
      <c r="AE65" s="33"/>
      <c r="AF65" s="33"/>
      <c r="AG65" s="61">
        <f t="shared" si="2"/>
        <v>400</v>
      </c>
      <c r="AH65" s="82" t="s">
        <v>676</v>
      </c>
      <c r="AI65" s="4" t="s">
        <v>674</v>
      </c>
      <c r="AJ65" s="12" t="s">
        <v>670</v>
      </c>
      <c r="AK65" s="33"/>
      <c r="AL65" s="33"/>
      <c r="AM65" s="33"/>
      <c r="AN65" s="33"/>
      <c r="AO65" s="33"/>
      <c r="AP65" s="33"/>
      <c r="AQ65" s="33"/>
      <c r="AR65" s="33"/>
      <c r="AS65" s="33"/>
      <c r="AT65" s="33"/>
      <c r="AU65" s="33"/>
      <c r="AV65" s="33"/>
      <c r="AW65" s="33"/>
      <c r="AX65" s="33"/>
      <c r="AY65" s="33"/>
      <c r="AZ65" s="33"/>
      <c r="BA65" s="33"/>
      <c r="BB65" s="33"/>
      <c r="BC65" s="33"/>
      <c r="BD65" s="33"/>
      <c r="BE65" s="82">
        <v>2</v>
      </c>
      <c r="BF65" s="82" t="s">
        <v>381</v>
      </c>
      <c r="BG65" s="82"/>
      <c r="BH65" s="82"/>
      <c r="BI65" s="82">
        <v>2</v>
      </c>
      <c r="BJ65" s="82"/>
      <c r="BK65" s="82" t="s">
        <v>381</v>
      </c>
      <c r="BL65" s="82" t="s">
        <v>381</v>
      </c>
      <c r="BM65" s="82"/>
      <c r="BN65" s="82"/>
      <c r="BO65" s="82"/>
      <c r="BP65" s="82"/>
      <c r="BQ65" s="33"/>
      <c r="BR65" s="33"/>
    </row>
    <row r="66" spans="1:70">
      <c r="A66" s="33" t="s">
        <v>570</v>
      </c>
      <c r="B66" s="33"/>
      <c r="C66" s="4" t="s">
        <v>378</v>
      </c>
      <c r="D66" s="33" t="s">
        <v>32</v>
      </c>
      <c r="E66" s="12" t="s">
        <v>702</v>
      </c>
      <c r="F66" s="82">
        <v>6</v>
      </c>
      <c r="G66" s="82">
        <v>20</v>
      </c>
      <c r="H66" s="82">
        <v>200</v>
      </c>
      <c r="I66" s="28">
        <v>16</v>
      </c>
      <c r="J66" s="82" t="s">
        <v>676</v>
      </c>
      <c r="K66" s="4" t="s">
        <v>674</v>
      </c>
      <c r="L66" s="12">
        <v>2.6</v>
      </c>
      <c r="M66" s="33"/>
      <c r="N66" s="33"/>
      <c r="O66" s="33"/>
      <c r="P66" s="33"/>
      <c r="Q66" s="33"/>
      <c r="R66" s="33"/>
      <c r="S66" s="33"/>
      <c r="T66" s="33"/>
      <c r="U66" s="33"/>
      <c r="V66" s="33"/>
      <c r="W66" s="33"/>
      <c r="X66" s="33"/>
      <c r="Y66" s="33"/>
      <c r="Z66" s="33"/>
      <c r="AA66" s="33"/>
      <c r="AB66" s="33"/>
      <c r="AC66" s="33"/>
      <c r="AD66" s="33"/>
      <c r="AE66" s="33"/>
      <c r="AF66" s="33"/>
      <c r="AG66" s="61">
        <f t="shared" si="2"/>
        <v>400</v>
      </c>
      <c r="AH66" s="82" t="s">
        <v>676</v>
      </c>
      <c r="AI66" s="4" t="s">
        <v>674</v>
      </c>
      <c r="AJ66" s="12" t="s">
        <v>670</v>
      </c>
      <c r="AK66" s="33"/>
      <c r="AL66" s="33"/>
      <c r="AM66" s="33"/>
      <c r="AN66" s="33"/>
      <c r="AO66" s="33"/>
      <c r="AP66" s="33"/>
      <c r="AQ66" s="33"/>
      <c r="AR66" s="33"/>
      <c r="AS66" s="33"/>
      <c r="AT66" s="33"/>
      <c r="AU66" s="33"/>
      <c r="AV66" s="33"/>
      <c r="AW66" s="33"/>
      <c r="AX66" s="33"/>
      <c r="AY66" s="33"/>
      <c r="AZ66" s="33"/>
      <c r="BA66" s="33"/>
      <c r="BB66" s="33"/>
      <c r="BC66" s="33"/>
      <c r="BD66" s="33"/>
      <c r="BE66" s="82">
        <v>2</v>
      </c>
      <c r="BF66" s="82" t="s">
        <v>381</v>
      </c>
      <c r="BG66" s="82"/>
      <c r="BH66" s="82"/>
      <c r="BI66" s="82">
        <v>2</v>
      </c>
      <c r="BJ66" s="82"/>
      <c r="BK66" s="82" t="s">
        <v>381</v>
      </c>
      <c r="BL66" s="82" t="s">
        <v>381</v>
      </c>
      <c r="BM66" s="82"/>
      <c r="BN66" s="82"/>
      <c r="BO66" s="82"/>
      <c r="BP66" s="82"/>
      <c r="BQ66" s="33"/>
      <c r="BR66" s="33"/>
    </row>
    <row r="67" spans="1:70">
      <c r="A67" s="33" t="s">
        <v>571</v>
      </c>
      <c r="B67" s="33"/>
      <c r="C67" s="4" t="s">
        <v>378</v>
      </c>
      <c r="D67" s="33" t="s">
        <v>32</v>
      </c>
      <c r="E67" s="12" t="s">
        <v>702</v>
      </c>
      <c r="F67" s="82">
        <v>6</v>
      </c>
      <c r="G67" s="82">
        <v>20</v>
      </c>
      <c r="H67" s="82">
        <v>200</v>
      </c>
      <c r="I67" s="28">
        <v>16</v>
      </c>
      <c r="J67" s="82" t="s">
        <v>676</v>
      </c>
      <c r="K67" s="4" t="s">
        <v>674</v>
      </c>
      <c r="L67" s="12">
        <v>2.6</v>
      </c>
      <c r="M67" s="33"/>
      <c r="N67" s="33"/>
      <c r="O67" s="33"/>
      <c r="P67" s="33"/>
      <c r="Q67" s="33"/>
      <c r="R67" s="33"/>
      <c r="S67" s="33"/>
      <c r="T67" s="33"/>
      <c r="U67" s="33"/>
      <c r="V67" s="33"/>
      <c r="W67" s="33"/>
      <c r="X67" s="33"/>
      <c r="Y67" s="33"/>
      <c r="Z67" s="33"/>
      <c r="AA67" s="33"/>
      <c r="AB67" s="33"/>
      <c r="AC67" s="33"/>
      <c r="AD67" s="33"/>
      <c r="AE67" s="33"/>
      <c r="AF67" s="33"/>
      <c r="AG67" s="61">
        <f t="shared" si="2"/>
        <v>400</v>
      </c>
      <c r="AH67" s="82" t="s">
        <v>676</v>
      </c>
      <c r="AI67" s="4" t="s">
        <v>674</v>
      </c>
      <c r="AJ67" s="12" t="s">
        <v>670</v>
      </c>
      <c r="AK67" s="33"/>
      <c r="AL67" s="33"/>
      <c r="AM67" s="33"/>
      <c r="AN67" s="33"/>
      <c r="AO67" s="33"/>
      <c r="AP67" s="33"/>
      <c r="AQ67" s="33"/>
      <c r="AR67" s="33"/>
      <c r="AS67" s="33"/>
      <c r="AT67" s="33"/>
      <c r="AU67" s="33"/>
      <c r="AV67" s="33"/>
      <c r="AW67" s="33"/>
      <c r="AX67" s="33"/>
      <c r="AY67" s="33"/>
      <c r="AZ67" s="33"/>
      <c r="BA67" s="33"/>
      <c r="BB67" s="33"/>
      <c r="BC67" s="33"/>
      <c r="BD67" s="33"/>
      <c r="BE67" s="82">
        <v>2</v>
      </c>
      <c r="BF67" s="82" t="s">
        <v>381</v>
      </c>
      <c r="BG67" s="82"/>
      <c r="BH67" s="82"/>
      <c r="BI67" s="82">
        <v>2</v>
      </c>
      <c r="BJ67" s="82"/>
      <c r="BK67" s="82" t="s">
        <v>381</v>
      </c>
      <c r="BL67" s="82" t="s">
        <v>381</v>
      </c>
      <c r="BM67" s="82"/>
      <c r="BN67" s="82"/>
      <c r="BO67" s="82"/>
      <c r="BP67" s="82"/>
      <c r="BQ67" s="33"/>
      <c r="BR67" s="33"/>
    </row>
    <row r="68" spans="1:70">
      <c r="A68" s="33" t="s">
        <v>440</v>
      </c>
      <c r="B68" s="33"/>
      <c r="C68" s="4" t="s">
        <v>378</v>
      </c>
      <c r="D68" s="33" t="s">
        <v>48</v>
      </c>
      <c r="E68" s="82" t="s">
        <v>703</v>
      </c>
      <c r="F68" s="82">
        <v>4</v>
      </c>
      <c r="G68" s="82">
        <v>4</v>
      </c>
      <c r="H68" s="59">
        <v>40</v>
      </c>
      <c r="I68" s="28">
        <v>4</v>
      </c>
      <c r="J68" s="82" t="s">
        <v>676</v>
      </c>
      <c r="K68" s="4" t="s">
        <v>674</v>
      </c>
      <c r="L68" s="12">
        <v>2.6</v>
      </c>
      <c r="M68" s="33"/>
      <c r="N68" s="33"/>
      <c r="O68" s="33"/>
      <c r="P68" s="33"/>
      <c r="Q68" s="33"/>
      <c r="R68" s="33"/>
      <c r="S68" s="33"/>
      <c r="T68" s="33"/>
      <c r="U68" s="33"/>
      <c r="V68" s="33"/>
      <c r="W68" s="33"/>
      <c r="X68" s="33"/>
      <c r="Y68" s="33"/>
      <c r="Z68" s="33"/>
      <c r="AA68" s="33"/>
      <c r="AB68" s="33"/>
      <c r="AC68" s="33"/>
      <c r="AD68" s="33"/>
      <c r="AE68" s="33"/>
      <c r="AF68" s="33"/>
      <c r="AG68" s="61">
        <f t="shared" si="2"/>
        <v>80</v>
      </c>
      <c r="AH68" s="82" t="s">
        <v>676</v>
      </c>
      <c r="AI68" s="4" t="s">
        <v>674</v>
      </c>
      <c r="AJ68" s="12" t="s">
        <v>670</v>
      </c>
      <c r="AK68" s="33"/>
      <c r="AL68" s="33"/>
      <c r="AM68" s="33"/>
      <c r="AN68" s="33"/>
      <c r="AO68" s="33"/>
      <c r="AP68" s="33"/>
      <c r="AQ68" s="33"/>
      <c r="AR68" s="33"/>
      <c r="AS68" s="33"/>
      <c r="AT68" s="33"/>
      <c r="AU68" s="33"/>
      <c r="AV68" s="33"/>
      <c r="AW68" s="33"/>
      <c r="AX68" s="33"/>
      <c r="AY68" s="33"/>
      <c r="AZ68" s="33"/>
      <c r="BA68" s="33"/>
      <c r="BB68" s="33"/>
      <c r="BC68" s="33"/>
      <c r="BD68" s="33"/>
      <c r="BE68" s="82">
        <v>2</v>
      </c>
      <c r="BF68" s="82" t="s">
        <v>381</v>
      </c>
      <c r="BG68" s="82"/>
      <c r="BH68" s="82"/>
      <c r="BI68" s="82">
        <v>2</v>
      </c>
      <c r="BJ68" s="82"/>
      <c r="BK68" s="82" t="s">
        <v>381</v>
      </c>
      <c r="BL68" s="82" t="s">
        <v>381</v>
      </c>
      <c r="BM68" s="82"/>
      <c r="BN68" s="82"/>
      <c r="BO68" s="82"/>
      <c r="BP68" s="82"/>
      <c r="BQ68" s="33"/>
      <c r="BR68" s="33"/>
    </row>
    <row r="69" spans="1:70">
      <c r="A69" s="33" t="s">
        <v>441</v>
      </c>
      <c r="B69" s="33"/>
      <c r="C69" s="4" t="s">
        <v>378</v>
      </c>
      <c r="D69" s="33" t="s">
        <v>40</v>
      </c>
      <c r="E69" s="82" t="s">
        <v>703</v>
      </c>
      <c r="F69" s="82">
        <v>4</v>
      </c>
      <c r="G69" s="82">
        <v>4</v>
      </c>
      <c r="H69" s="59">
        <v>30</v>
      </c>
      <c r="I69" s="28">
        <v>4</v>
      </c>
      <c r="J69" s="82" t="s">
        <v>676</v>
      </c>
      <c r="K69" s="4" t="s">
        <v>674</v>
      </c>
      <c r="L69" s="12">
        <v>2.6</v>
      </c>
      <c r="M69" s="33"/>
      <c r="N69" s="33"/>
      <c r="O69" s="33"/>
      <c r="P69" s="33"/>
      <c r="Q69" s="33"/>
      <c r="R69" s="33"/>
      <c r="S69" s="33"/>
      <c r="T69" s="33"/>
      <c r="U69" s="33"/>
      <c r="V69" s="33"/>
      <c r="W69" s="33"/>
      <c r="X69" s="33"/>
      <c r="Y69" s="33"/>
      <c r="Z69" s="33"/>
      <c r="AA69" s="33"/>
      <c r="AB69" s="33"/>
      <c r="AC69" s="33"/>
      <c r="AD69" s="33"/>
      <c r="AE69" s="33"/>
      <c r="AF69" s="33"/>
      <c r="AG69" s="61">
        <f t="shared" si="2"/>
        <v>60</v>
      </c>
      <c r="AH69" s="82" t="s">
        <v>676</v>
      </c>
      <c r="AI69" s="4" t="s">
        <v>674</v>
      </c>
      <c r="AJ69" s="12" t="s">
        <v>670</v>
      </c>
      <c r="AK69" s="33"/>
      <c r="AL69" s="33"/>
      <c r="AM69" s="33"/>
      <c r="AN69" s="33"/>
      <c r="AO69" s="33"/>
      <c r="AP69" s="33"/>
      <c r="AQ69" s="33"/>
      <c r="AR69" s="33"/>
      <c r="AS69" s="33"/>
      <c r="AT69" s="33"/>
      <c r="AU69" s="33"/>
      <c r="AV69" s="33"/>
      <c r="AW69" s="33"/>
      <c r="AX69" s="33"/>
      <c r="AY69" s="33"/>
      <c r="AZ69" s="33"/>
      <c r="BA69" s="33"/>
      <c r="BB69" s="33"/>
      <c r="BC69" s="33"/>
      <c r="BD69" s="33"/>
      <c r="BE69" s="82">
        <v>2</v>
      </c>
      <c r="BF69" s="82" t="s">
        <v>381</v>
      </c>
      <c r="BG69" s="82"/>
      <c r="BH69" s="82"/>
      <c r="BI69" s="82">
        <v>2</v>
      </c>
      <c r="BJ69" s="82"/>
      <c r="BK69" s="82" t="s">
        <v>381</v>
      </c>
      <c r="BL69" s="82" t="s">
        <v>381</v>
      </c>
      <c r="BM69" s="82"/>
      <c r="BN69" s="82"/>
      <c r="BO69" s="82"/>
      <c r="BP69" s="82"/>
      <c r="BQ69" s="33"/>
      <c r="BR69" s="33"/>
    </row>
    <row r="70" spans="1:70">
      <c r="A70" s="33" t="s">
        <v>442</v>
      </c>
      <c r="B70" s="33"/>
      <c r="C70" s="4" t="s">
        <v>378</v>
      </c>
      <c r="D70" s="33" t="s">
        <v>44</v>
      </c>
      <c r="E70" s="82" t="s">
        <v>703</v>
      </c>
      <c r="F70" s="82">
        <v>4</v>
      </c>
      <c r="G70" s="82">
        <v>4</v>
      </c>
      <c r="H70" s="59">
        <v>35</v>
      </c>
      <c r="I70" s="28">
        <v>4</v>
      </c>
      <c r="J70" s="82" t="s">
        <v>676</v>
      </c>
      <c r="K70" s="4" t="s">
        <v>674</v>
      </c>
      <c r="L70" s="12">
        <v>2.6</v>
      </c>
      <c r="M70" s="33"/>
      <c r="N70" s="33"/>
      <c r="O70" s="33"/>
      <c r="P70" s="33"/>
      <c r="Q70" s="33"/>
      <c r="R70" s="33"/>
      <c r="S70" s="33"/>
      <c r="T70" s="33"/>
      <c r="U70" s="33"/>
      <c r="V70" s="33"/>
      <c r="W70" s="33"/>
      <c r="X70" s="33"/>
      <c r="Y70" s="33"/>
      <c r="Z70" s="33"/>
      <c r="AA70" s="33"/>
      <c r="AB70" s="33"/>
      <c r="AC70" s="33"/>
      <c r="AD70" s="33"/>
      <c r="AE70" s="33"/>
      <c r="AF70" s="33"/>
      <c r="AG70" s="61">
        <f t="shared" si="2"/>
        <v>70</v>
      </c>
      <c r="AH70" s="82" t="s">
        <v>676</v>
      </c>
      <c r="AI70" s="4" t="s">
        <v>674</v>
      </c>
      <c r="AJ70" s="12" t="s">
        <v>670</v>
      </c>
      <c r="AK70" s="33"/>
      <c r="AL70" s="33"/>
      <c r="AM70" s="33"/>
      <c r="AN70" s="33"/>
      <c r="AO70" s="33"/>
      <c r="AP70" s="33"/>
      <c r="AQ70" s="33"/>
      <c r="AR70" s="33"/>
      <c r="AS70" s="33"/>
      <c r="AT70" s="33"/>
      <c r="AU70" s="33"/>
      <c r="AV70" s="33"/>
      <c r="AW70" s="33"/>
      <c r="AX70" s="33"/>
      <c r="AY70" s="33"/>
      <c r="AZ70" s="33"/>
      <c r="BA70" s="33"/>
      <c r="BB70" s="33"/>
      <c r="BC70" s="33"/>
      <c r="BD70" s="33"/>
      <c r="BE70" s="82">
        <v>2</v>
      </c>
      <c r="BF70" s="82" t="s">
        <v>381</v>
      </c>
      <c r="BG70" s="82"/>
      <c r="BH70" s="82"/>
      <c r="BI70" s="82">
        <v>2</v>
      </c>
      <c r="BJ70" s="82"/>
      <c r="BK70" s="82" t="s">
        <v>381</v>
      </c>
      <c r="BL70" s="82" t="s">
        <v>381</v>
      </c>
      <c r="BM70" s="82"/>
      <c r="BN70" s="82"/>
      <c r="BO70" s="82"/>
      <c r="BP70" s="82"/>
      <c r="BQ70" s="33"/>
      <c r="BR70" s="33"/>
    </row>
    <row r="71" spans="1:70" ht="14.5">
      <c r="A71" s="33" t="s">
        <v>443</v>
      </c>
      <c r="B71" s="33"/>
      <c r="C71" s="4" t="s">
        <v>378</v>
      </c>
      <c r="D71" s="33" t="s">
        <v>247</v>
      </c>
      <c r="E71" s="82" t="s">
        <v>704</v>
      </c>
      <c r="F71" s="82">
        <v>7</v>
      </c>
      <c r="G71" s="82">
        <v>8</v>
      </c>
      <c r="H71" s="59">
        <v>110</v>
      </c>
      <c r="I71" s="28">
        <v>4</v>
      </c>
      <c r="J71" s="82" t="s">
        <v>676</v>
      </c>
      <c r="K71" s="4" t="s">
        <v>674</v>
      </c>
      <c r="L71" s="12">
        <v>2.6</v>
      </c>
      <c r="M71" s="82"/>
      <c r="N71" s="82"/>
      <c r="O71" s="82"/>
      <c r="P71" s="82"/>
      <c r="Q71" s="42"/>
      <c r="R71" s="42"/>
      <c r="S71" s="42"/>
      <c r="T71" s="42"/>
      <c r="U71" s="82"/>
      <c r="V71" s="82"/>
      <c r="W71" s="82"/>
      <c r="X71" s="82"/>
      <c r="Y71" s="82"/>
      <c r="Z71" s="82"/>
      <c r="AA71" s="82"/>
      <c r="AB71" s="82"/>
      <c r="AC71" s="82"/>
      <c r="AD71" s="82"/>
      <c r="AE71" s="82"/>
      <c r="AF71" s="82"/>
      <c r="AG71" s="61">
        <f t="shared" si="2"/>
        <v>220</v>
      </c>
      <c r="AH71" s="82" t="s">
        <v>676</v>
      </c>
      <c r="AI71" s="4" t="s">
        <v>674</v>
      </c>
      <c r="AJ71" s="12" t="s">
        <v>670</v>
      </c>
      <c r="AK71" s="82"/>
      <c r="AL71" s="82"/>
      <c r="AM71" s="82"/>
      <c r="AN71" s="82"/>
      <c r="AO71" s="82"/>
      <c r="AP71" s="82"/>
      <c r="AQ71" s="82"/>
      <c r="AR71" s="82"/>
      <c r="AS71" s="82"/>
      <c r="AT71" s="82"/>
      <c r="AU71" s="82"/>
      <c r="AV71" s="82"/>
      <c r="AW71" s="82"/>
      <c r="AX71" s="82"/>
      <c r="AY71" s="82"/>
      <c r="AZ71" s="82"/>
      <c r="BA71" s="82"/>
      <c r="BB71" s="82"/>
      <c r="BC71" s="82"/>
      <c r="BD71" s="82"/>
      <c r="BE71" s="82">
        <v>2</v>
      </c>
      <c r="BF71" s="82" t="s">
        <v>381</v>
      </c>
      <c r="BG71" s="82" t="s">
        <v>381</v>
      </c>
      <c r="BH71" s="82"/>
      <c r="BI71" s="82">
        <v>2</v>
      </c>
      <c r="BJ71" s="82"/>
      <c r="BK71" s="82" t="s">
        <v>381</v>
      </c>
      <c r="BL71" s="82" t="s">
        <v>381</v>
      </c>
      <c r="BM71" s="82"/>
      <c r="BN71" s="82"/>
      <c r="BO71" s="82"/>
      <c r="BP71" s="82"/>
      <c r="BQ71" s="33"/>
      <c r="BR71" s="33"/>
    </row>
    <row r="72" spans="1:70" ht="14.5">
      <c r="A72" s="33" t="s">
        <v>596</v>
      </c>
      <c r="B72" s="33"/>
      <c r="C72" s="4" t="s">
        <v>378</v>
      </c>
      <c r="D72" s="33" t="s">
        <v>247</v>
      </c>
      <c r="E72" s="82" t="s">
        <v>704</v>
      </c>
      <c r="F72" s="82">
        <v>6</v>
      </c>
      <c r="G72" s="82">
        <v>7</v>
      </c>
      <c r="H72" s="59">
        <v>110</v>
      </c>
      <c r="I72" s="28">
        <v>4</v>
      </c>
      <c r="J72" s="82" t="s">
        <v>676</v>
      </c>
      <c r="K72" s="4" t="s">
        <v>674</v>
      </c>
      <c r="L72" s="12">
        <v>2.6</v>
      </c>
      <c r="M72" s="82"/>
      <c r="N72" s="82"/>
      <c r="O72" s="82"/>
      <c r="P72" s="82"/>
      <c r="Q72" s="42"/>
      <c r="R72" s="42"/>
      <c r="S72" s="42"/>
      <c r="T72" s="42"/>
      <c r="U72" s="82"/>
      <c r="V72" s="82"/>
      <c r="W72" s="82"/>
      <c r="X72" s="82"/>
      <c r="Y72" s="82"/>
      <c r="Z72" s="82"/>
      <c r="AA72" s="82"/>
      <c r="AB72" s="82"/>
      <c r="AC72" s="82"/>
      <c r="AD72" s="82"/>
      <c r="AE72" s="82"/>
      <c r="AF72" s="82"/>
      <c r="AG72" s="61">
        <f t="shared" si="2"/>
        <v>220</v>
      </c>
      <c r="AH72" s="82" t="s">
        <v>676</v>
      </c>
      <c r="AI72" s="4" t="s">
        <v>674</v>
      </c>
      <c r="AJ72" s="12" t="s">
        <v>670</v>
      </c>
      <c r="AK72" s="82"/>
      <c r="AL72" s="82"/>
      <c r="AM72" s="82"/>
      <c r="AN72" s="82"/>
      <c r="AO72" s="82"/>
      <c r="AP72" s="82"/>
      <c r="AQ72" s="82"/>
      <c r="AR72" s="82"/>
      <c r="AS72" s="82"/>
      <c r="AT72" s="82"/>
      <c r="AU72" s="82"/>
      <c r="AV72" s="82"/>
      <c r="AW72" s="82"/>
      <c r="AX72" s="82"/>
      <c r="AY72" s="82"/>
      <c r="AZ72" s="82"/>
      <c r="BA72" s="82"/>
      <c r="BB72" s="82"/>
      <c r="BC72" s="82"/>
      <c r="BD72" s="82"/>
      <c r="BE72" s="82">
        <v>2</v>
      </c>
      <c r="BF72" s="82" t="s">
        <v>381</v>
      </c>
      <c r="BG72" s="82"/>
      <c r="BH72" s="82"/>
      <c r="BI72" s="82">
        <v>2</v>
      </c>
      <c r="BJ72" s="82"/>
      <c r="BK72" s="82" t="s">
        <v>381</v>
      </c>
      <c r="BL72" s="82" t="s">
        <v>381</v>
      </c>
      <c r="BM72" s="82"/>
      <c r="BN72" s="82"/>
      <c r="BO72" s="82"/>
      <c r="BP72" s="82"/>
      <c r="BQ72" s="33"/>
      <c r="BR72" s="33"/>
    </row>
    <row r="73" spans="1:70" ht="14.5">
      <c r="A73" s="4" t="s">
        <v>484</v>
      </c>
      <c r="C73" s="4" t="s">
        <v>378</v>
      </c>
      <c r="D73" s="4" t="s">
        <v>67</v>
      </c>
      <c r="E73" s="12" t="s">
        <v>705</v>
      </c>
      <c r="F73" s="12">
        <v>2</v>
      </c>
      <c r="G73" s="12">
        <v>2</v>
      </c>
      <c r="H73" s="59">
        <v>15</v>
      </c>
      <c r="I73" s="28">
        <v>4</v>
      </c>
      <c r="J73" s="12" t="s">
        <v>676</v>
      </c>
      <c r="K73" s="4" t="s">
        <v>674</v>
      </c>
      <c r="L73" s="12">
        <v>2.6</v>
      </c>
      <c r="M73" s="12"/>
      <c r="N73" s="12"/>
      <c r="O73" s="12"/>
      <c r="P73" s="12"/>
      <c r="Q73" s="1"/>
      <c r="R73" s="1"/>
      <c r="S73" s="1"/>
      <c r="T73" s="1"/>
      <c r="U73" s="12"/>
      <c r="V73" s="12"/>
      <c r="W73" s="12"/>
      <c r="X73" s="12"/>
      <c r="Y73" s="12"/>
      <c r="Z73" s="12"/>
      <c r="AA73" s="12"/>
      <c r="AB73" s="12"/>
      <c r="AC73" s="12"/>
      <c r="AD73" s="12"/>
      <c r="AE73" s="12"/>
      <c r="AF73" s="12"/>
      <c r="AG73" s="59">
        <f t="shared" si="2"/>
        <v>30</v>
      </c>
      <c r="AH73" s="12" t="s">
        <v>676</v>
      </c>
      <c r="AI73" s="4" t="s">
        <v>674</v>
      </c>
      <c r="AJ73" s="12" t="s">
        <v>670</v>
      </c>
      <c r="BE73" s="12">
        <v>2</v>
      </c>
      <c r="BF73" s="12" t="s">
        <v>381</v>
      </c>
      <c r="BG73" s="12"/>
      <c r="BH73" s="12"/>
      <c r="BI73" s="12">
        <v>2</v>
      </c>
      <c r="BJ73" s="12"/>
      <c r="BK73" s="12" t="s">
        <v>381</v>
      </c>
      <c r="BL73" s="12" t="s">
        <v>381</v>
      </c>
      <c r="BM73" s="12"/>
      <c r="BN73" s="12"/>
      <c r="BO73" s="12"/>
      <c r="BQ73" s="33"/>
      <c r="BR73" s="33"/>
    </row>
    <row r="74" spans="1:70" ht="14.5">
      <c r="A74" s="4" t="s">
        <v>485</v>
      </c>
      <c r="C74" s="4" t="s">
        <v>378</v>
      </c>
      <c r="D74" s="4" t="s">
        <v>67</v>
      </c>
      <c r="E74" s="12" t="s">
        <v>705</v>
      </c>
      <c r="F74" s="12">
        <v>2</v>
      </c>
      <c r="G74" s="12">
        <v>2</v>
      </c>
      <c r="H74" s="59">
        <v>15</v>
      </c>
      <c r="I74" s="28">
        <v>4</v>
      </c>
      <c r="J74" s="12" t="s">
        <v>676</v>
      </c>
      <c r="K74" s="4" t="s">
        <v>674</v>
      </c>
      <c r="L74" s="12">
        <v>2.6</v>
      </c>
      <c r="M74" s="12"/>
      <c r="N74" s="12"/>
      <c r="O74" s="12"/>
      <c r="P74" s="12"/>
      <c r="Q74" s="1"/>
      <c r="R74" s="1"/>
      <c r="S74" s="1"/>
      <c r="T74" s="1"/>
      <c r="U74" s="12"/>
      <c r="V74" s="12"/>
      <c r="W74" s="12"/>
      <c r="X74" s="12"/>
      <c r="Y74" s="12"/>
      <c r="Z74" s="12"/>
      <c r="AA74" s="12"/>
      <c r="AB74" s="12"/>
      <c r="AC74" s="12"/>
      <c r="AD74" s="12"/>
      <c r="AE74" s="12"/>
      <c r="AF74" s="12"/>
      <c r="AG74" s="59">
        <f t="shared" si="2"/>
        <v>30</v>
      </c>
      <c r="AH74" s="12" t="s">
        <v>676</v>
      </c>
      <c r="AI74" s="4" t="s">
        <v>674</v>
      </c>
      <c r="AJ74" s="12" t="s">
        <v>670</v>
      </c>
      <c r="BE74" s="12">
        <v>2</v>
      </c>
      <c r="BF74" s="12" t="s">
        <v>381</v>
      </c>
      <c r="BG74" s="12"/>
      <c r="BH74" s="12"/>
      <c r="BI74" s="12">
        <v>2</v>
      </c>
      <c r="BJ74" s="12"/>
      <c r="BK74" s="12" t="s">
        <v>381</v>
      </c>
      <c r="BL74" s="12" t="s">
        <v>381</v>
      </c>
      <c r="BM74" s="12"/>
      <c r="BN74" s="12"/>
      <c r="BO74" s="12"/>
      <c r="BQ74" s="33"/>
      <c r="BR74" s="33"/>
    </row>
    <row r="75" spans="1:70" ht="14.5">
      <c r="A75" s="4" t="s">
        <v>486</v>
      </c>
      <c r="C75" s="4" t="s">
        <v>378</v>
      </c>
      <c r="D75" s="4" t="s">
        <v>71</v>
      </c>
      <c r="E75" s="12" t="s">
        <v>721</v>
      </c>
      <c r="F75" s="12">
        <v>6</v>
      </c>
      <c r="G75" s="12">
        <v>5</v>
      </c>
      <c r="H75" s="59">
        <v>40</v>
      </c>
      <c r="I75" s="28">
        <v>4</v>
      </c>
      <c r="J75" s="12" t="s">
        <v>676</v>
      </c>
      <c r="K75" s="4" t="s">
        <v>674</v>
      </c>
      <c r="L75" s="12">
        <v>2.6</v>
      </c>
      <c r="M75" s="12"/>
      <c r="N75" s="12"/>
      <c r="O75" s="12"/>
      <c r="P75" s="12"/>
      <c r="Q75" s="1"/>
      <c r="R75" s="1"/>
      <c r="S75" s="1"/>
      <c r="T75" s="1"/>
      <c r="U75" s="12"/>
      <c r="V75" s="12"/>
      <c r="W75" s="12"/>
      <c r="X75" s="12"/>
      <c r="Y75" s="12"/>
      <c r="Z75" s="12"/>
      <c r="AA75" s="12"/>
      <c r="AB75" s="12"/>
      <c r="AC75" s="12"/>
      <c r="AD75" s="12"/>
      <c r="AE75" s="12"/>
      <c r="AF75" s="12"/>
      <c r="AG75" s="59">
        <f t="shared" si="2"/>
        <v>80</v>
      </c>
      <c r="AH75" s="12" t="s">
        <v>676</v>
      </c>
      <c r="AI75" s="4" t="s">
        <v>674</v>
      </c>
      <c r="AJ75" s="12" t="s">
        <v>670</v>
      </c>
      <c r="BE75" s="12">
        <v>2</v>
      </c>
      <c r="BF75" s="12" t="s">
        <v>381</v>
      </c>
      <c r="BG75" s="12"/>
      <c r="BH75" s="12"/>
      <c r="BI75" s="12">
        <v>2</v>
      </c>
      <c r="BJ75" s="12"/>
      <c r="BK75" s="12" t="s">
        <v>381</v>
      </c>
      <c r="BL75" s="12" t="s">
        <v>381</v>
      </c>
      <c r="BM75" s="12"/>
      <c r="BN75" s="12"/>
      <c r="BO75" s="12"/>
      <c r="BQ75" s="33"/>
      <c r="BR75" s="33"/>
    </row>
    <row r="76" spans="1:70" ht="14.5">
      <c r="A76" s="4" t="s">
        <v>487</v>
      </c>
      <c r="C76" s="4" t="s">
        <v>378</v>
      </c>
      <c r="D76" s="4" t="s">
        <v>75</v>
      </c>
      <c r="E76" s="12" t="s">
        <v>707</v>
      </c>
      <c r="F76" s="12">
        <v>2</v>
      </c>
      <c r="G76" s="12">
        <v>2</v>
      </c>
      <c r="H76" s="59">
        <v>30</v>
      </c>
      <c r="I76" s="28">
        <v>4</v>
      </c>
      <c r="J76" s="12" t="s">
        <v>676</v>
      </c>
      <c r="K76" s="4" t="s">
        <v>674</v>
      </c>
      <c r="L76" s="12">
        <v>2.6</v>
      </c>
      <c r="M76" s="12"/>
      <c r="N76" s="12"/>
      <c r="O76" s="12"/>
      <c r="P76" s="12"/>
      <c r="Q76" s="1"/>
      <c r="R76" s="1"/>
      <c r="S76" s="1"/>
      <c r="T76" s="1"/>
      <c r="U76" s="12"/>
      <c r="V76" s="12"/>
      <c r="W76" s="12"/>
      <c r="X76" s="12"/>
      <c r="Y76" s="12"/>
      <c r="Z76" s="12"/>
      <c r="AA76" s="12"/>
      <c r="AB76" s="12"/>
      <c r="AC76" s="12"/>
      <c r="AD76" s="12"/>
      <c r="AE76" s="12"/>
      <c r="AF76" s="12"/>
      <c r="AG76" s="59">
        <f t="shared" si="2"/>
        <v>60</v>
      </c>
      <c r="AH76" s="12" t="s">
        <v>676</v>
      </c>
      <c r="AI76" s="4" t="s">
        <v>674</v>
      </c>
      <c r="AJ76" s="12" t="s">
        <v>670</v>
      </c>
      <c r="BE76" s="12">
        <v>2</v>
      </c>
      <c r="BF76" s="12" t="s">
        <v>381</v>
      </c>
      <c r="BG76" s="12"/>
      <c r="BH76" s="12"/>
      <c r="BI76" s="12">
        <v>2</v>
      </c>
      <c r="BJ76" s="12"/>
      <c r="BK76" s="12" t="s">
        <v>381</v>
      </c>
      <c r="BL76" s="12" t="s">
        <v>381</v>
      </c>
      <c r="BM76" s="12"/>
      <c r="BN76" s="12"/>
      <c r="BO76" s="12"/>
      <c r="BQ76" s="33"/>
      <c r="BR76" s="33"/>
    </row>
    <row r="77" spans="1:70" s="17" customFormat="1" ht="14.5">
      <c r="A77" s="17" t="s">
        <v>490</v>
      </c>
      <c r="C77" s="17" t="s">
        <v>378</v>
      </c>
      <c r="D77" s="17" t="s">
        <v>99</v>
      </c>
      <c r="E77" s="15" t="s">
        <v>708</v>
      </c>
      <c r="F77" s="15">
        <v>2</v>
      </c>
      <c r="G77" s="15">
        <v>10</v>
      </c>
      <c r="H77" s="65">
        <v>60</v>
      </c>
      <c r="I77" s="76">
        <v>16</v>
      </c>
      <c r="J77" s="15" t="s">
        <v>676</v>
      </c>
      <c r="K77" s="17" t="s">
        <v>674</v>
      </c>
      <c r="L77" s="15">
        <v>2.6</v>
      </c>
      <c r="M77" s="15"/>
      <c r="N77" s="15"/>
      <c r="O77" s="15"/>
      <c r="P77" s="15"/>
      <c r="Q77" s="96"/>
      <c r="R77" s="96"/>
      <c r="S77" s="96"/>
      <c r="T77" s="96"/>
      <c r="U77" s="15"/>
      <c r="V77" s="15"/>
      <c r="W77" s="15"/>
      <c r="X77" s="15"/>
      <c r="Y77" s="15"/>
      <c r="Z77" s="15"/>
      <c r="AA77" s="15"/>
      <c r="AB77" s="15"/>
      <c r="AC77" s="15"/>
      <c r="AD77" s="15"/>
      <c r="AE77" s="15"/>
      <c r="AF77" s="15"/>
      <c r="AG77" s="65">
        <f t="shared" si="2"/>
        <v>120</v>
      </c>
      <c r="AH77" s="15" t="s">
        <v>676</v>
      </c>
      <c r="AI77" s="17" t="s">
        <v>674</v>
      </c>
      <c r="AJ77" s="15" t="s">
        <v>670</v>
      </c>
      <c r="BE77" s="15">
        <v>2</v>
      </c>
      <c r="BF77" s="15" t="s">
        <v>381</v>
      </c>
      <c r="BG77" s="15"/>
      <c r="BH77" s="15"/>
      <c r="BI77" s="15">
        <v>2</v>
      </c>
      <c r="BJ77" s="15"/>
      <c r="BK77" s="15" t="s">
        <v>381</v>
      </c>
      <c r="BL77" s="15" t="s">
        <v>381</v>
      </c>
      <c r="BM77" s="15"/>
      <c r="BN77" s="15"/>
      <c r="BO77" s="15"/>
      <c r="BQ77" s="43"/>
      <c r="BR77" s="43"/>
    </row>
    <row r="78" spans="1:70">
      <c r="A78" s="33"/>
      <c r="B78" s="33"/>
      <c r="C78" s="33"/>
      <c r="D78" s="33"/>
      <c r="E78" s="12"/>
      <c r="F78" s="82">
        <f>SUM(F53:F77)+F49</f>
        <v>358</v>
      </c>
      <c r="G78" s="82">
        <f>SUM(G53:G77)+G49</f>
        <v>973</v>
      </c>
      <c r="H78" s="82">
        <f>SUM(H53:H77)+H49</f>
        <v>5483</v>
      </c>
      <c r="I78" s="132"/>
      <c r="J78" s="82"/>
      <c r="K78" s="82"/>
      <c r="L78" s="82">
        <f>SUM(L53:L77)+L49</f>
        <v>1522.7999999999988</v>
      </c>
      <c r="M78" s="82">
        <f>SUM(M53:M77)+M49</f>
        <v>116.99</v>
      </c>
      <c r="N78" s="82"/>
      <c r="O78" s="82"/>
      <c r="P78" s="82">
        <f>SUM(P53:P77)+P49</f>
        <v>0.05</v>
      </c>
      <c r="Q78" s="82">
        <f>SUM(Q53:Q77)+Q49</f>
        <v>2250</v>
      </c>
      <c r="R78" s="82"/>
      <c r="S78" s="82"/>
      <c r="T78" s="82">
        <f>SUM(T53:T77)+T49</f>
        <v>0.05</v>
      </c>
      <c r="U78" s="82">
        <f>SUM(U53:U77)+U49</f>
        <v>3375</v>
      </c>
      <c r="V78" s="82"/>
      <c r="W78" s="82"/>
      <c r="X78" s="82">
        <f>SUM(X53:X77)+X49</f>
        <v>0.05</v>
      </c>
      <c r="Y78" s="82">
        <f>SUM(Y53:Y77)+Y49</f>
        <v>669</v>
      </c>
      <c r="Z78" s="82"/>
      <c r="AA78" s="82"/>
      <c r="AB78" s="82">
        <f>SUM(AB53:AB77)+AB49</f>
        <v>0.1</v>
      </c>
      <c r="AC78" s="82">
        <f>SUM(AC53:AC77)+AC49</f>
        <v>270</v>
      </c>
      <c r="AD78" s="82"/>
      <c r="AE78" s="82"/>
      <c r="AF78" s="82">
        <f>SUM(AF53:AF77)+AF49</f>
        <v>0</v>
      </c>
      <c r="AG78" s="82">
        <f>SUM(AG53:AG77)+AG49</f>
        <v>22027.5</v>
      </c>
      <c r="AH78" s="82"/>
      <c r="AI78" s="82"/>
      <c r="AJ78" s="82"/>
      <c r="AK78" s="82">
        <f>SUM(AK53:AK77)+AK49</f>
        <v>180</v>
      </c>
      <c r="AL78" s="82"/>
      <c r="AM78" s="82"/>
      <c r="AN78" s="82">
        <f>SUM(AN53:AN77)+AN49</f>
        <v>0.2</v>
      </c>
      <c r="AO78" s="82">
        <f>SUM(AO53:AO77)+AO49</f>
        <v>50</v>
      </c>
      <c r="AP78" s="82"/>
      <c r="AQ78" s="82"/>
      <c r="AR78" s="82">
        <f>SUM(AR53:AR77)+AR49</f>
        <v>0.05</v>
      </c>
      <c r="AS78" s="82">
        <f>SUM(AS53:AS77)+AS49</f>
        <v>170</v>
      </c>
      <c r="AT78" s="82"/>
      <c r="AU78" s="82"/>
      <c r="AV78" s="82">
        <f>SUM(AV53:AV77)+AV49</f>
        <v>0.1</v>
      </c>
      <c r="AW78" s="82">
        <f>SUM(AW53:AW77)+AW49</f>
        <v>150</v>
      </c>
      <c r="AX78" s="82"/>
      <c r="AY78" s="82"/>
      <c r="AZ78" s="82">
        <f>SUM(AZ53:AZ77)+AZ49</f>
        <v>0</v>
      </c>
      <c r="BA78" s="82">
        <f>SUM(BA53:BA77)+BA49</f>
        <v>3072</v>
      </c>
      <c r="BB78" s="82"/>
      <c r="BC78" s="82"/>
      <c r="BD78" s="82">
        <f>SUM(BD53:BD77)+BD49</f>
        <v>0.05</v>
      </c>
      <c r="BE78" s="82">
        <f>SUM(BE53:BE77)+BE49</f>
        <v>162</v>
      </c>
      <c r="BF78" s="82">
        <f>BF49+COUNTIF(BF53:BF77,"x")</f>
        <v>61</v>
      </c>
      <c r="BG78" s="82">
        <f>BG49+COUNTIF(BG53:BG77,"x")</f>
        <v>3</v>
      </c>
      <c r="BH78" s="82">
        <f>BH49+COUNTIF(BH53:BH77,"x")</f>
        <v>1</v>
      </c>
      <c r="BI78" s="82">
        <f>BI49+SUM(BI53:BI77)</f>
        <v>122</v>
      </c>
      <c r="BJ78" s="82">
        <f>BJ49+COUNTIF(BJ53:BJ77,"x")</f>
        <v>1</v>
      </c>
      <c r="BK78" s="82">
        <f>BK49+COUNTIF(BK53:BK77,"x")</f>
        <v>26</v>
      </c>
      <c r="BL78" s="82">
        <f>BL49+COUNTIF(BL53:BL77,"x")</f>
        <v>61</v>
      </c>
      <c r="BM78" s="12" t="s">
        <v>697</v>
      </c>
      <c r="BN78" s="12">
        <v>2</v>
      </c>
      <c r="BO78" s="12">
        <v>4</v>
      </c>
      <c r="BP78" s="12">
        <v>2</v>
      </c>
      <c r="BQ78" s="33"/>
      <c r="BR78" s="33"/>
    </row>
    <row r="79" spans="1:70" ht="14.5">
      <c r="A79" s="33"/>
      <c r="B79" s="33"/>
      <c r="C79" s="33"/>
      <c r="D79" s="33"/>
      <c r="E79" s="1"/>
      <c r="F79" s="33"/>
      <c r="G79" s="33"/>
      <c r="H79" s="33"/>
      <c r="I79" s="77"/>
      <c r="J79" s="33"/>
      <c r="K79" s="33"/>
      <c r="L79" s="33"/>
      <c r="M79" s="33"/>
      <c r="N79" s="33"/>
      <c r="O79" s="33"/>
      <c r="P79" s="33"/>
      <c r="Q79" s="33"/>
      <c r="R79" s="33"/>
      <c r="S79" s="33"/>
      <c r="T79" s="33"/>
      <c r="U79" s="33"/>
      <c r="V79" s="33"/>
      <c r="W79" s="33"/>
      <c r="X79" s="33"/>
      <c r="Y79" s="33"/>
      <c r="Z79" s="33"/>
      <c r="AA79" s="33"/>
      <c r="AB79" s="33"/>
      <c r="AC79" s="33"/>
      <c r="AD79" s="33"/>
      <c r="AE79" s="33"/>
      <c r="AF79" s="33"/>
      <c r="AG79" s="33"/>
      <c r="AH79" s="33"/>
      <c r="AI79" s="33"/>
      <c r="AJ79" s="33"/>
      <c r="AK79" s="33"/>
      <c r="AL79" s="33"/>
      <c r="AM79" s="33"/>
      <c r="AN79" s="33"/>
      <c r="AO79" s="33"/>
      <c r="AP79" s="33"/>
      <c r="AQ79" s="33"/>
      <c r="AR79" s="33"/>
      <c r="AS79" s="33"/>
      <c r="AT79" s="33"/>
      <c r="AU79" s="33"/>
      <c r="AV79" s="33"/>
      <c r="AW79" s="33"/>
      <c r="AX79" s="33"/>
      <c r="AY79" s="33"/>
      <c r="AZ79" s="33"/>
      <c r="BA79" s="33"/>
      <c r="BB79" s="33"/>
      <c r="BC79" s="33"/>
      <c r="BD79" s="33"/>
      <c r="BE79" s="82"/>
      <c r="BF79" s="33"/>
      <c r="BG79" s="33"/>
      <c r="BH79" s="33"/>
      <c r="BI79" s="33"/>
      <c r="BJ79" s="33"/>
      <c r="BK79" s="33"/>
      <c r="BL79" s="33"/>
      <c r="BM79" s="33"/>
      <c r="BN79" s="33"/>
      <c r="BO79" s="33"/>
      <c r="BP79" s="33"/>
      <c r="BQ79" s="33"/>
      <c r="BR79" s="33"/>
    </row>
    <row r="80" spans="1:70" ht="14.5">
      <c r="A80" s="14" t="s">
        <v>709</v>
      </c>
      <c r="B80" s="33"/>
      <c r="C80" s="33"/>
      <c r="D80" s="33"/>
      <c r="E80" s="1"/>
      <c r="F80" s="33"/>
      <c r="G80" s="33"/>
      <c r="H80" s="33"/>
      <c r="I80" s="77"/>
      <c r="J80" s="33"/>
      <c r="K80" s="33"/>
      <c r="L80" s="33"/>
      <c r="M80" s="33"/>
      <c r="N80" s="33"/>
      <c r="O80" s="33"/>
      <c r="P80" s="33"/>
      <c r="Q80" s="33"/>
      <c r="R80" s="33"/>
      <c r="S80" s="33"/>
      <c r="T80" s="33"/>
      <c r="U80" s="33"/>
      <c r="V80" s="33"/>
      <c r="W80" s="33"/>
      <c r="X80" s="33"/>
      <c r="Y80" s="33"/>
      <c r="Z80" s="33"/>
      <c r="AA80" s="33"/>
      <c r="AB80" s="33"/>
      <c r="AC80" s="33"/>
      <c r="AD80" s="33"/>
      <c r="AE80" s="33"/>
      <c r="AF80" s="33"/>
      <c r="AG80" s="33"/>
      <c r="AH80" s="33"/>
      <c r="AI80" s="33"/>
      <c r="AJ80" s="33"/>
      <c r="AK80" s="33"/>
      <c r="AL80" s="33"/>
      <c r="AM80" s="33"/>
      <c r="AN80" s="33"/>
      <c r="AO80" s="33"/>
      <c r="AP80" s="33"/>
      <c r="AQ80" s="33"/>
      <c r="AR80" s="33"/>
      <c r="AS80" s="33"/>
      <c r="AT80" s="33"/>
      <c r="AU80" s="33"/>
      <c r="AV80" s="33"/>
      <c r="AW80" s="33"/>
      <c r="AX80" s="33"/>
      <c r="AY80" s="33"/>
      <c r="AZ80" s="33"/>
      <c r="BA80" s="33"/>
      <c r="BB80" s="33"/>
      <c r="BC80" s="33"/>
      <c r="BD80" s="33"/>
      <c r="BE80" s="82"/>
      <c r="BF80" s="33"/>
      <c r="BG80" s="33"/>
      <c r="BH80" s="33"/>
      <c r="BI80" s="33"/>
      <c r="BJ80" s="33"/>
      <c r="BK80" s="33"/>
      <c r="BL80" s="33"/>
      <c r="BM80" s="33"/>
      <c r="BN80" s="33"/>
      <c r="BO80" s="33"/>
      <c r="BP80" s="33"/>
      <c r="BQ80" s="33"/>
      <c r="BR80" s="33"/>
    </row>
    <row r="81" spans="1:70" ht="14.5">
      <c r="A81" s="33"/>
      <c r="B81" s="33"/>
      <c r="C81" s="33"/>
      <c r="D81" s="33"/>
      <c r="E81" s="1"/>
      <c r="F81" s="33"/>
      <c r="G81" s="33"/>
      <c r="H81" s="33"/>
      <c r="I81" s="77"/>
      <c r="J81" s="33"/>
      <c r="K81" s="33"/>
      <c r="L81" s="33"/>
      <c r="M81" s="33"/>
      <c r="N81" s="33"/>
      <c r="O81" s="33"/>
      <c r="P81" s="33"/>
      <c r="Q81" s="33"/>
      <c r="R81" s="33"/>
      <c r="S81" s="33"/>
      <c r="T81" s="33"/>
      <c r="U81" s="33"/>
      <c r="V81" s="33"/>
      <c r="W81" s="33"/>
      <c r="X81" s="33"/>
      <c r="Y81" s="33"/>
      <c r="Z81" s="33"/>
      <c r="AA81" s="33"/>
      <c r="AB81" s="33"/>
      <c r="AC81" s="33"/>
      <c r="AD81" s="33"/>
      <c r="AE81" s="33"/>
      <c r="AF81" s="33"/>
      <c r="AG81" s="33"/>
      <c r="AH81" s="33"/>
      <c r="AI81" s="33"/>
      <c r="AJ81" s="33"/>
      <c r="AK81" s="33"/>
      <c r="AL81" s="33"/>
      <c r="AM81" s="33"/>
      <c r="AN81" s="33"/>
      <c r="AO81" s="33"/>
      <c r="AP81" s="33"/>
      <c r="AQ81" s="33"/>
      <c r="AR81" s="33"/>
      <c r="AS81" s="33"/>
      <c r="AT81" s="33"/>
      <c r="AU81" s="33"/>
      <c r="AV81" s="33"/>
      <c r="AW81" s="33"/>
      <c r="AX81" s="33"/>
      <c r="AY81" s="33"/>
      <c r="AZ81" s="33"/>
      <c r="BA81" s="33"/>
      <c r="BB81" s="33"/>
      <c r="BC81" s="33"/>
      <c r="BD81" s="33"/>
      <c r="BE81" s="82"/>
      <c r="BF81" s="33"/>
      <c r="BG81" s="33"/>
      <c r="BH81" s="33"/>
      <c r="BI81" s="33"/>
      <c r="BJ81" s="33"/>
      <c r="BK81" s="82" t="s">
        <v>381</v>
      </c>
      <c r="BL81" s="82" t="s">
        <v>381</v>
      </c>
      <c r="BM81" s="33"/>
      <c r="BN81" s="33"/>
      <c r="BO81" s="33"/>
      <c r="BP81" s="33"/>
      <c r="BQ81" s="33"/>
      <c r="BR81" s="33"/>
    </row>
    <row r="82" spans="1:70">
      <c r="A82" s="4" t="s">
        <v>504</v>
      </c>
      <c r="C82" s="4" t="s">
        <v>506</v>
      </c>
      <c r="D82" s="4" t="s">
        <v>19</v>
      </c>
      <c r="E82" s="12" t="s">
        <v>710</v>
      </c>
      <c r="F82" s="12">
        <v>2</v>
      </c>
      <c r="G82" s="12">
        <v>4</v>
      </c>
      <c r="H82" s="82">
        <v>70</v>
      </c>
      <c r="I82" s="28">
        <v>4</v>
      </c>
      <c r="J82" s="12" t="s">
        <v>676</v>
      </c>
      <c r="K82" s="4" t="s">
        <v>674</v>
      </c>
      <c r="L82" s="12">
        <v>2.6</v>
      </c>
      <c r="M82" s="12"/>
      <c r="N82" s="12"/>
      <c r="O82" s="12"/>
      <c r="P82" s="12"/>
      <c r="Q82" s="12"/>
      <c r="R82" s="12"/>
      <c r="S82" s="12"/>
      <c r="T82" s="12"/>
      <c r="U82" s="12"/>
      <c r="V82" s="12"/>
      <c r="W82" s="12"/>
      <c r="X82" s="12"/>
      <c r="Y82" s="12"/>
      <c r="Z82" s="12"/>
      <c r="AA82" s="12"/>
      <c r="AB82" s="82"/>
      <c r="AC82" s="82"/>
      <c r="AD82" s="82"/>
      <c r="AE82" s="82"/>
      <c r="AF82" s="82"/>
      <c r="AG82" s="61">
        <f>2*H82</f>
        <v>140</v>
      </c>
      <c r="AH82" s="82" t="s">
        <v>676</v>
      </c>
      <c r="AI82" s="4" t="s">
        <v>674</v>
      </c>
      <c r="AJ82" s="12" t="s">
        <v>670</v>
      </c>
      <c r="AK82" s="82"/>
      <c r="AL82" s="82"/>
      <c r="AM82" s="82"/>
      <c r="AN82" s="82"/>
      <c r="AO82" s="82"/>
      <c r="AP82" s="82"/>
      <c r="AQ82" s="82"/>
      <c r="AR82" s="82"/>
      <c r="AS82" s="82"/>
      <c r="AT82" s="82"/>
      <c r="AU82" s="82"/>
      <c r="AV82" s="82"/>
      <c r="AW82" s="82"/>
      <c r="AX82" s="82"/>
      <c r="AY82" s="82"/>
      <c r="AZ82" s="82"/>
      <c r="BA82" s="82"/>
      <c r="BB82" s="82"/>
      <c r="BC82" s="82"/>
      <c r="BD82" s="82"/>
      <c r="BE82" s="82">
        <v>2</v>
      </c>
      <c r="BF82" s="82" t="s">
        <v>381</v>
      </c>
      <c r="BG82" s="82"/>
      <c r="BH82" s="82"/>
      <c r="BI82" s="82">
        <v>2</v>
      </c>
      <c r="BJ82" s="82"/>
      <c r="BK82" s="82" t="s">
        <v>381</v>
      </c>
      <c r="BL82" s="82" t="s">
        <v>381</v>
      </c>
      <c r="BM82" s="82"/>
      <c r="BN82" s="82"/>
      <c r="BO82" s="82"/>
      <c r="BP82" s="82"/>
      <c r="BQ82" s="33"/>
      <c r="BR82" s="33"/>
    </row>
    <row r="83" spans="1:70">
      <c r="A83" s="4" t="s">
        <v>509</v>
      </c>
      <c r="C83" s="4" t="s">
        <v>506</v>
      </c>
      <c r="D83" s="4" t="s">
        <v>510</v>
      </c>
      <c r="E83" s="12" t="s">
        <v>711</v>
      </c>
      <c r="F83" s="12">
        <v>6</v>
      </c>
      <c r="G83" s="12">
        <v>10</v>
      </c>
      <c r="H83" s="59">
        <v>100</v>
      </c>
      <c r="I83" s="28">
        <v>16</v>
      </c>
      <c r="J83" s="12" t="s">
        <v>676</v>
      </c>
      <c r="K83" s="4" t="s">
        <v>674</v>
      </c>
      <c r="L83" s="12">
        <v>2.6</v>
      </c>
      <c r="M83" s="12"/>
      <c r="N83" s="12"/>
      <c r="O83" s="12"/>
      <c r="P83" s="12"/>
      <c r="Q83" s="82">
        <v>200</v>
      </c>
      <c r="R83" s="82" t="s">
        <v>676</v>
      </c>
      <c r="S83" s="4" t="s">
        <v>674</v>
      </c>
      <c r="T83" s="82" t="s">
        <v>670</v>
      </c>
      <c r="U83" s="82"/>
      <c r="V83" s="82"/>
      <c r="W83" s="82"/>
      <c r="X83" s="82"/>
      <c r="AB83" s="82" t="s">
        <v>670</v>
      </c>
      <c r="AC83" s="82"/>
      <c r="AD83" s="82"/>
      <c r="AE83" s="82"/>
      <c r="AF83" s="82"/>
      <c r="AG83" s="61">
        <f>2*H83+Q83*2</f>
        <v>600</v>
      </c>
      <c r="AH83" s="82" t="s">
        <v>676</v>
      </c>
      <c r="AI83" s="4" t="s">
        <v>674</v>
      </c>
      <c r="AJ83" s="12" t="s">
        <v>670</v>
      </c>
      <c r="AK83" s="82"/>
      <c r="AL83" s="82"/>
      <c r="AM83" s="82"/>
      <c r="AN83" s="82"/>
      <c r="AO83" s="82"/>
      <c r="AP83" s="82"/>
      <c r="AQ83" s="82"/>
      <c r="AR83" s="82"/>
      <c r="AS83" s="82"/>
      <c r="AT83" s="82"/>
      <c r="AU83" s="82"/>
      <c r="AV83" s="82"/>
      <c r="AW83" s="82"/>
      <c r="AX83" s="82"/>
      <c r="AY83" s="82"/>
      <c r="AZ83" s="82"/>
      <c r="BA83" s="82"/>
      <c r="BB83" s="82"/>
      <c r="BC83" s="82"/>
      <c r="BD83" s="82"/>
      <c r="BE83" s="82">
        <v>3</v>
      </c>
      <c r="BF83" s="82" t="s">
        <v>381</v>
      </c>
      <c r="BG83" s="82"/>
      <c r="BH83" s="82"/>
      <c r="BI83" s="82">
        <v>2</v>
      </c>
      <c r="BJ83" s="82"/>
      <c r="BK83" s="82" t="s">
        <v>381</v>
      </c>
      <c r="BL83" s="82" t="s">
        <v>381</v>
      </c>
      <c r="BM83" s="82"/>
      <c r="BN83" s="82"/>
      <c r="BO83" s="82"/>
      <c r="BP83" s="82"/>
      <c r="BQ83" s="33"/>
      <c r="BR83" s="33"/>
    </row>
    <row r="84" spans="1:70">
      <c r="A84" s="4" t="s">
        <v>511</v>
      </c>
      <c r="C84" s="4" t="s">
        <v>506</v>
      </c>
      <c r="D84" s="4" t="s">
        <v>512</v>
      </c>
      <c r="E84" s="12" t="s">
        <v>712</v>
      </c>
      <c r="F84" s="12">
        <v>8</v>
      </c>
      <c r="G84" s="12">
        <v>16</v>
      </c>
      <c r="H84" s="82">
        <v>60</v>
      </c>
      <c r="I84" s="28">
        <v>4</v>
      </c>
      <c r="J84" s="12" t="s">
        <v>676</v>
      </c>
      <c r="K84" s="4" t="s">
        <v>674</v>
      </c>
      <c r="L84" s="12">
        <v>2.6</v>
      </c>
      <c r="M84" s="12"/>
      <c r="N84" s="12"/>
      <c r="O84" s="12"/>
      <c r="P84" s="12"/>
      <c r="Q84" s="82"/>
      <c r="R84" s="82"/>
      <c r="S84" s="82"/>
      <c r="T84" s="82"/>
      <c r="U84" s="82"/>
      <c r="V84" s="82"/>
      <c r="W84" s="82"/>
      <c r="X84" s="82"/>
      <c r="Y84" s="82"/>
      <c r="Z84" s="82"/>
      <c r="AA84" s="82"/>
      <c r="AB84" s="82"/>
      <c r="AC84" s="82"/>
      <c r="AD84" s="82"/>
      <c r="AE84" s="82"/>
      <c r="AF84" s="82"/>
      <c r="AG84" s="61">
        <f>2*H84</f>
        <v>120</v>
      </c>
      <c r="AH84" s="82" t="s">
        <v>676</v>
      </c>
      <c r="AI84" s="4" t="s">
        <v>674</v>
      </c>
      <c r="AJ84" s="12" t="s">
        <v>670</v>
      </c>
      <c r="AK84" s="82"/>
      <c r="AL84" s="82"/>
      <c r="AM84" s="82"/>
      <c r="AN84" s="82"/>
      <c r="AO84" s="82"/>
      <c r="AP84" s="82"/>
      <c r="AQ84" s="82"/>
      <c r="AR84" s="82"/>
      <c r="AS84" s="82"/>
      <c r="AT84" s="82"/>
      <c r="AU84" s="82"/>
      <c r="AV84" s="82"/>
      <c r="AW84" s="82"/>
      <c r="AX84" s="82"/>
      <c r="AY84" s="82"/>
      <c r="AZ84" s="82"/>
      <c r="BA84" s="82"/>
      <c r="BB84" s="82"/>
      <c r="BC84" s="82"/>
      <c r="BD84" s="82"/>
      <c r="BE84" s="82">
        <v>2</v>
      </c>
      <c r="BF84" s="82" t="s">
        <v>381</v>
      </c>
      <c r="BG84" s="82"/>
      <c r="BH84" s="82"/>
      <c r="BI84" s="82">
        <v>2</v>
      </c>
      <c r="BJ84" s="82"/>
      <c r="BK84" s="82" t="s">
        <v>381</v>
      </c>
      <c r="BL84" s="82" t="s">
        <v>381</v>
      </c>
      <c r="BM84" s="82"/>
      <c r="BN84" s="82"/>
      <c r="BO84" s="82"/>
      <c r="BP84" s="82"/>
      <c r="BQ84" s="33"/>
      <c r="BR84" s="33"/>
    </row>
    <row r="85" spans="1:70">
      <c r="A85" s="4" t="s">
        <v>514</v>
      </c>
      <c r="C85" s="4" t="s">
        <v>506</v>
      </c>
      <c r="D85" s="4" t="s">
        <v>515</v>
      </c>
      <c r="E85" s="12" t="s">
        <v>713</v>
      </c>
      <c r="F85" s="12">
        <v>10</v>
      </c>
      <c r="G85" s="12">
        <v>10</v>
      </c>
      <c r="H85" s="59">
        <v>30</v>
      </c>
      <c r="I85" s="28">
        <v>4</v>
      </c>
      <c r="J85" s="12" t="s">
        <v>676</v>
      </c>
      <c r="K85" s="4" t="s">
        <v>674</v>
      </c>
      <c r="L85" s="12">
        <v>2.6</v>
      </c>
      <c r="M85" s="12"/>
      <c r="N85" s="12"/>
      <c r="O85" s="12"/>
      <c r="P85" s="12"/>
      <c r="Q85" s="82"/>
      <c r="R85" s="82"/>
      <c r="S85" s="82"/>
      <c r="T85" s="82"/>
      <c r="U85" s="82"/>
      <c r="V85" s="82"/>
      <c r="W85" s="82"/>
      <c r="X85" s="82"/>
      <c r="Y85" s="82"/>
      <c r="Z85" s="82"/>
      <c r="AA85" s="82"/>
      <c r="AB85" s="82"/>
      <c r="AC85" s="82"/>
      <c r="AD85" s="82"/>
      <c r="AE85" s="82"/>
      <c r="AF85" s="82"/>
      <c r="AG85" s="61">
        <f>2*H85</f>
        <v>60</v>
      </c>
      <c r="AH85" s="82" t="s">
        <v>676</v>
      </c>
      <c r="AI85" s="4" t="s">
        <v>674</v>
      </c>
      <c r="AJ85" s="12" t="s">
        <v>670</v>
      </c>
      <c r="AK85" s="82"/>
      <c r="AL85" s="82"/>
      <c r="AM85" s="82"/>
      <c r="AN85" s="82"/>
      <c r="AO85" s="82"/>
      <c r="AP85" s="82"/>
      <c r="AQ85" s="82"/>
      <c r="AR85" s="82"/>
      <c r="AS85" s="82"/>
      <c r="AT85" s="82"/>
      <c r="AU85" s="82"/>
      <c r="AV85" s="82"/>
      <c r="AW85" s="82"/>
      <c r="AX85" s="82"/>
      <c r="AY85" s="82"/>
      <c r="AZ85" s="82"/>
      <c r="BA85" s="82"/>
      <c r="BB85" s="82"/>
      <c r="BC85" s="82"/>
      <c r="BD85" s="82"/>
      <c r="BE85" s="82">
        <v>2</v>
      </c>
      <c r="BF85" s="82" t="s">
        <v>381</v>
      </c>
      <c r="BG85" s="82"/>
      <c r="BH85" s="82"/>
      <c r="BI85" s="82">
        <v>2</v>
      </c>
      <c r="BJ85" s="82"/>
      <c r="BK85" s="82" t="s">
        <v>381</v>
      </c>
      <c r="BL85" s="82" t="s">
        <v>381</v>
      </c>
      <c r="BM85" s="82"/>
      <c r="BN85" s="82"/>
      <c r="BO85" s="82"/>
      <c r="BP85" s="82"/>
      <c r="BQ85" s="33"/>
      <c r="BR85" s="33"/>
    </row>
    <row r="86" spans="1:70">
      <c r="A86" s="4" t="s">
        <v>516</v>
      </c>
      <c r="C86" s="4" t="s">
        <v>506</v>
      </c>
      <c r="D86" s="4" t="s">
        <v>517</v>
      </c>
      <c r="E86" s="12" t="s">
        <v>714</v>
      </c>
      <c r="F86" s="12">
        <v>4</v>
      </c>
      <c r="G86" s="12">
        <v>16</v>
      </c>
      <c r="H86" s="82">
        <v>550</v>
      </c>
      <c r="I86" s="28">
        <v>4</v>
      </c>
      <c r="J86" s="12" t="s">
        <v>676</v>
      </c>
      <c r="K86" s="4" t="s">
        <v>674</v>
      </c>
      <c r="L86" s="12">
        <v>2.6</v>
      </c>
      <c r="M86" s="12"/>
      <c r="N86" s="12"/>
      <c r="O86" s="12"/>
      <c r="P86" s="12"/>
      <c r="R86" s="82"/>
      <c r="T86" s="82"/>
      <c r="U86" s="82"/>
      <c r="V86" s="82"/>
      <c r="W86" s="82"/>
      <c r="X86" s="82"/>
      <c r="Y86" s="82"/>
      <c r="Z86" s="82"/>
      <c r="AA86" s="82"/>
      <c r="AB86" s="82"/>
      <c r="AC86" s="82"/>
      <c r="AD86" s="82"/>
      <c r="AE86" s="82"/>
      <c r="AF86" s="82"/>
      <c r="AG86" s="61">
        <f>2*H86+Q86</f>
        <v>1100</v>
      </c>
      <c r="AH86" s="82" t="s">
        <v>676</v>
      </c>
      <c r="AI86" s="4" t="s">
        <v>674</v>
      </c>
      <c r="AJ86" s="12" t="s">
        <v>670</v>
      </c>
      <c r="AK86" s="82"/>
      <c r="AL86" s="82"/>
      <c r="AM86" s="82"/>
      <c r="AN86" s="82"/>
      <c r="AO86" s="82"/>
      <c r="AP86" s="82"/>
      <c r="AQ86" s="82"/>
      <c r="AR86" s="82"/>
      <c r="AS86" s="82"/>
      <c r="AT86" s="82"/>
      <c r="AU86" s="82"/>
      <c r="AV86" s="82"/>
      <c r="AW86" s="82"/>
      <c r="AX86" s="82"/>
      <c r="AY86" s="82"/>
      <c r="AZ86" s="82"/>
      <c r="BA86" s="82"/>
      <c r="BB86" s="82"/>
      <c r="BC86" s="82"/>
      <c r="BD86" s="82"/>
      <c r="BE86" s="82">
        <v>2</v>
      </c>
      <c r="BF86" s="82" t="s">
        <v>381</v>
      </c>
      <c r="BG86" s="82"/>
      <c r="BH86" s="82"/>
      <c r="BI86" s="82">
        <v>2</v>
      </c>
      <c r="BJ86" s="82"/>
      <c r="BK86" s="82" t="s">
        <v>381</v>
      </c>
      <c r="BL86" s="82" t="s">
        <v>381</v>
      </c>
      <c r="BM86" s="82"/>
      <c r="BN86" s="82"/>
      <c r="BO86" s="82"/>
      <c r="BP86" s="82"/>
      <c r="BQ86" s="33"/>
      <c r="BR86" s="33"/>
    </row>
    <row r="87" spans="1:70">
      <c r="A87" s="4" t="s">
        <v>520</v>
      </c>
      <c r="C87" s="4" t="s">
        <v>506</v>
      </c>
      <c r="D87" s="4" t="s">
        <v>521</v>
      </c>
      <c r="E87" s="12" t="s">
        <v>715</v>
      </c>
      <c r="F87" s="12">
        <v>2</v>
      </c>
      <c r="G87" s="12">
        <v>4</v>
      </c>
      <c r="H87" s="59">
        <v>40</v>
      </c>
      <c r="I87" s="28">
        <v>4</v>
      </c>
      <c r="J87" s="12" t="s">
        <v>676</v>
      </c>
      <c r="K87" s="4" t="s">
        <v>674</v>
      </c>
      <c r="L87" s="12">
        <v>2.6</v>
      </c>
      <c r="M87" s="12"/>
      <c r="N87" s="12"/>
      <c r="O87" s="12"/>
      <c r="P87" s="12"/>
      <c r="Q87" s="82"/>
      <c r="R87" s="82"/>
      <c r="T87" s="82"/>
      <c r="U87" s="82"/>
      <c r="V87" s="82"/>
      <c r="W87" s="82"/>
      <c r="X87" s="82"/>
      <c r="Y87" s="82">
        <v>50</v>
      </c>
      <c r="Z87" s="82" t="s">
        <v>676</v>
      </c>
      <c r="AA87" s="4" t="s">
        <v>674</v>
      </c>
      <c r="AB87" s="82"/>
      <c r="AC87" s="82"/>
      <c r="AD87" s="82"/>
      <c r="AE87" s="82"/>
      <c r="AF87" s="82"/>
      <c r="AG87" s="61">
        <f>H87*2+Y87*2</f>
        <v>180</v>
      </c>
      <c r="AH87" s="82" t="s">
        <v>676</v>
      </c>
      <c r="AI87" s="4" t="s">
        <v>674</v>
      </c>
      <c r="AJ87" s="12" t="s">
        <v>670</v>
      </c>
      <c r="AK87" s="82"/>
      <c r="AL87" s="82"/>
      <c r="AM87" s="82"/>
      <c r="AN87" s="82"/>
      <c r="AO87" s="82"/>
      <c r="AP87" s="82"/>
      <c r="AQ87" s="82"/>
      <c r="AR87" s="82"/>
      <c r="AS87" s="82"/>
      <c r="AT87" s="82"/>
      <c r="AU87" s="82"/>
      <c r="AV87" s="82"/>
      <c r="AW87" s="82"/>
      <c r="AX87" s="82"/>
      <c r="AY87" s="82"/>
      <c r="AZ87" s="82"/>
      <c r="BA87" s="82"/>
      <c r="BB87" s="82"/>
      <c r="BC87" s="82"/>
      <c r="BD87" s="82"/>
      <c r="BE87" s="82">
        <v>3</v>
      </c>
      <c r="BF87" s="82" t="s">
        <v>381</v>
      </c>
      <c r="BG87" s="82"/>
      <c r="BH87" s="82"/>
      <c r="BI87" s="82">
        <v>2</v>
      </c>
      <c r="BJ87" s="82"/>
      <c r="BK87" s="82" t="s">
        <v>381</v>
      </c>
      <c r="BL87" s="82" t="s">
        <v>381</v>
      </c>
      <c r="BM87" s="82"/>
      <c r="BN87" s="82"/>
      <c r="BO87" s="82"/>
      <c r="BP87" s="82"/>
      <c r="BQ87" s="33"/>
      <c r="BR87" s="33"/>
    </row>
    <row r="88" spans="1:70" ht="12.75" customHeight="1">
      <c r="A88" s="33" t="s">
        <v>522</v>
      </c>
      <c r="B88" s="33"/>
      <c r="C88" s="33" t="s">
        <v>506</v>
      </c>
      <c r="D88" s="4" t="s">
        <v>63</v>
      </c>
      <c r="E88" s="82" t="s">
        <v>725</v>
      </c>
      <c r="F88" s="82">
        <v>8</v>
      </c>
      <c r="G88" s="82">
        <v>32</v>
      </c>
      <c r="H88" s="82">
        <v>80</v>
      </c>
      <c r="I88" s="28">
        <v>4</v>
      </c>
      <c r="J88" s="82" t="s">
        <v>676</v>
      </c>
      <c r="K88" s="4" t="s">
        <v>674</v>
      </c>
      <c r="L88" s="82" t="s">
        <v>670</v>
      </c>
      <c r="M88" s="82"/>
      <c r="N88" s="82"/>
      <c r="O88" s="82"/>
      <c r="P88" s="82"/>
      <c r="Q88" s="42"/>
      <c r="R88" s="42"/>
      <c r="S88" s="42"/>
      <c r="T88" s="42"/>
      <c r="U88" s="82"/>
      <c r="V88" s="82"/>
      <c r="W88" s="82"/>
      <c r="X88" s="82"/>
      <c r="Y88" s="82"/>
      <c r="Z88" s="82"/>
      <c r="AA88" s="82"/>
      <c r="AB88" s="82"/>
      <c r="AC88" s="82"/>
      <c r="AD88" s="82"/>
      <c r="AE88" s="82"/>
      <c r="AF88" s="82"/>
      <c r="AG88" s="61">
        <f>2*H88</f>
        <v>160</v>
      </c>
      <c r="AH88" s="82" t="s">
        <v>676</v>
      </c>
      <c r="AI88" s="4" t="s">
        <v>674</v>
      </c>
      <c r="AJ88" s="12" t="s">
        <v>670</v>
      </c>
      <c r="AK88" s="82"/>
      <c r="AL88" s="82"/>
      <c r="AM88" s="82"/>
      <c r="AN88" s="82"/>
      <c r="AO88" s="82"/>
      <c r="AP88" s="82"/>
      <c r="AQ88" s="82"/>
      <c r="AR88" s="82"/>
      <c r="AS88" s="82"/>
      <c r="AT88" s="82"/>
      <c r="AU88" s="82"/>
      <c r="AV88" s="82"/>
      <c r="AW88" s="82"/>
      <c r="AX88" s="82"/>
      <c r="AY88" s="82"/>
      <c r="AZ88" s="82"/>
      <c r="BA88" s="82"/>
      <c r="BB88" s="82"/>
      <c r="BC88" s="82"/>
      <c r="BD88" s="82"/>
      <c r="BE88" s="82">
        <v>2</v>
      </c>
      <c r="BF88" s="82" t="s">
        <v>381</v>
      </c>
      <c r="BG88" s="82"/>
      <c r="BH88" s="82"/>
      <c r="BI88" s="82">
        <v>2</v>
      </c>
      <c r="BJ88" s="82"/>
      <c r="BK88" s="82" t="s">
        <v>381</v>
      </c>
      <c r="BL88" s="82" t="s">
        <v>381</v>
      </c>
      <c r="BM88" s="82"/>
      <c r="BN88" s="82"/>
      <c r="BO88" s="82"/>
      <c r="BP88" s="82"/>
      <c r="BQ88" s="33"/>
      <c r="BR88" s="33"/>
    </row>
    <row r="89" spans="1:70" s="17" customFormat="1" ht="13.4" customHeight="1">
      <c r="A89" s="43" t="s">
        <v>525</v>
      </c>
      <c r="B89" s="43"/>
      <c r="C89" s="43" t="s">
        <v>506</v>
      </c>
      <c r="D89" s="17" t="s">
        <v>63</v>
      </c>
      <c r="E89" s="36" t="s">
        <v>725</v>
      </c>
      <c r="F89" s="36">
        <v>8</v>
      </c>
      <c r="G89" s="36">
        <v>32</v>
      </c>
      <c r="H89" s="36">
        <v>80</v>
      </c>
      <c r="I89" s="76">
        <v>4</v>
      </c>
      <c r="J89" s="36" t="s">
        <v>676</v>
      </c>
      <c r="K89" s="17" t="s">
        <v>674</v>
      </c>
      <c r="L89" s="36" t="s">
        <v>670</v>
      </c>
      <c r="M89" s="36"/>
      <c r="N89" s="36"/>
      <c r="O89" s="36"/>
      <c r="P89" s="36"/>
      <c r="Q89" s="111"/>
      <c r="R89" s="111"/>
      <c r="S89" s="111"/>
      <c r="T89" s="111"/>
      <c r="U89" s="36"/>
      <c r="V89" s="36"/>
      <c r="W89" s="36"/>
      <c r="X89" s="36"/>
      <c r="Y89" s="36"/>
      <c r="Z89" s="36"/>
      <c r="AA89" s="36"/>
      <c r="AB89" s="36"/>
      <c r="AC89" s="36"/>
      <c r="AD89" s="36"/>
      <c r="AE89" s="36"/>
      <c r="AF89" s="36"/>
      <c r="AG89" s="62">
        <f>2*H89</f>
        <v>160</v>
      </c>
      <c r="AH89" s="36" t="s">
        <v>676</v>
      </c>
      <c r="AI89" s="17" t="s">
        <v>674</v>
      </c>
      <c r="AJ89" s="15" t="s">
        <v>670</v>
      </c>
      <c r="AK89" s="36"/>
      <c r="AL89" s="36"/>
      <c r="AM89" s="36"/>
      <c r="AN89" s="36"/>
      <c r="AO89" s="36"/>
      <c r="AP89" s="36"/>
      <c r="AQ89" s="36"/>
      <c r="AR89" s="36"/>
      <c r="AS89" s="36"/>
      <c r="AT89" s="36"/>
      <c r="AU89" s="36"/>
      <c r="AV89" s="36"/>
      <c r="AW89" s="36"/>
      <c r="AX89" s="36"/>
      <c r="AY89" s="36"/>
      <c r="AZ89" s="36"/>
      <c r="BA89" s="36"/>
      <c r="BB89" s="36"/>
      <c r="BC89" s="36"/>
      <c r="BD89" s="36"/>
      <c r="BE89" s="36">
        <v>2</v>
      </c>
      <c r="BF89" s="36" t="s">
        <v>381</v>
      </c>
      <c r="BG89" s="36"/>
      <c r="BH89" s="36"/>
      <c r="BI89" s="36">
        <v>2</v>
      </c>
      <c r="BJ89" s="36"/>
      <c r="BK89" s="36" t="s">
        <v>381</v>
      </c>
      <c r="BL89" s="36" t="s">
        <v>381</v>
      </c>
      <c r="BM89" s="36"/>
      <c r="BN89" s="36"/>
      <c r="BO89" s="36"/>
      <c r="BP89" s="36"/>
      <c r="BQ89" s="43"/>
      <c r="BR89" s="43"/>
    </row>
    <row r="90" spans="1:70">
      <c r="A90" s="33"/>
      <c r="B90" s="33"/>
      <c r="C90" s="33"/>
      <c r="D90" s="33"/>
      <c r="F90" s="82">
        <f>F78+SUM(F82:F89)</f>
        <v>406</v>
      </c>
      <c r="G90" s="82">
        <f>G78+SUM(G82:G89)</f>
        <v>1097</v>
      </c>
      <c r="H90" s="82">
        <f>H78+SUM(H82:H89)</f>
        <v>6493</v>
      </c>
      <c r="I90" s="82"/>
      <c r="J90" s="82"/>
      <c r="K90" s="82"/>
      <c r="L90" s="82">
        <f>L78+SUM(L82:L89)</f>
        <v>1538.3999999999987</v>
      </c>
      <c r="M90" s="82">
        <f>M78+SUM(M82:M89)</f>
        <v>116.99</v>
      </c>
      <c r="N90" s="82"/>
      <c r="O90" s="82"/>
      <c r="P90" s="82">
        <f>P78+SUM(P82:P89)</f>
        <v>0.05</v>
      </c>
      <c r="Q90" s="82">
        <f>Q78+SUM(Q82:Q89)</f>
        <v>2450</v>
      </c>
      <c r="R90" s="82"/>
      <c r="S90" s="82"/>
      <c r="T90" s="82">
        <f>T78+SUM(T82:T89)</f>
        <v>0.05</v>
      </c>
      <c r="U90" s="82">
        <f>U78+SUM(U82:U89)</f>
        <v>3375</v>
      </c>
      <c r="V90" s="82"/>
      <c r="W90" s="82"/>
      <c r="X90" s="82">
        <f>X78+SUM(X82:X89)</f>
        <v>0.05</v>
      </c>
      <c r="Y90" s="82">
        <f>Y78+SUM(Y82:Y89)</f>
        <v>719</v>
      </c>
      <c r="Z90" s="82"/>
      <c r="AA90" s="82"/>
      <c r="AB90" s="82">
        <f>AB78+SUM(AB82:AB89)</f>
        <v>0.1</v>
      </c>
      <c r="AC90" s="82">
        <f>AC78+SUM(AC82:AC89)</f>
        <v>270</v>
      </c>
      <c r="AD90" s="82"/>
      <c r="AE90" s="82"/>
      <c r="AF90" s="82">
        <f>AF78+SUM(AF82:AF89)</f>
        <v>0</v>
      </c>
      <c r="AG90" s="61">
        <f>AG78+SUM(AG82:AG89)</f>
        <v>24547.5</v>
      </c>
      <c r="AH90" s="82"/>
      <c r="AI90" s="82"/>
      <c r="AJ90" s="82"/>
      <c r="AK90" s="82">
        <f>AK78+SUM(AK82:AK89)</f>
        <v>180</v>
      </c>
      <c r="AL90" s="82"/>
      <c r="AM90" s="82"/>
      <c r="AN90" s="82">
        <f>AN78+SUM(AN82:AN89)</f>
        <v>0.2</v>
      </c>
      <c r="AO90" s="82">
        <f>AO78+SUM(AO82:AO89)</f>
        <v>50</v>
      </c>
      <c r="AP90" s="82"/>
      <c r="AQ90" s="82"/>
      <c r="AR90" s="82">
        <f>AR78+SUM(AR82:AR89)</f>
        <v>0.05</v>
      </c>
      <c r="AS90" s="82">
        <f>AS78+SUM(AS82:AS89)</f>
        <v>170</v>
      </c>
      <c r="AT90" s="82"/>
      <c r="AU90" s="82"/>
      <c r="AV90" s="82">
        <f>AV78+SUM(AV82:AV89)</f>
        <v>0.1</v>
      </c>
      <c r="AW90" s="82"/>
      <c r="AX90" s="82"/>
      <c r="AY90" s="82"/>
      <c r="AZ90" s="82"/>
      <c r="BA90" s="82">
        <f>BA78+SUM(BA82:BA89)</f>
        <v>3072</v>
      </c>
      <c r="BB90" s="82"/>
      <c r="BC90" s="82"/>
      <c r="BD90" s="82">
        <f>BD78+SUM(BD82:BD89)</f>
        <v>0.05</v>
      </c>
      <c r="BE90" s="82">
        <f>BE78+SUM(BE82:BE89)</f>
        <v>180</v>
      </c>
      <c r="BF90" s="82">
        <f>BF78+COUNTIF(BF82:BF89,"x")</f>
        <v>69</v>
      </c>
      <c r="BG90" s="82">
        <f>BG78+COUNTIF(BG82:BG89,"x")</f>
        <v>3</v>
      </c>
      <c r="BH90" s="82">
        <f>BH78+COUNTIF(BH82:BH89,"x")</f>
        <v>1</v>
      </c>
      <c r="BI90" s="82">
        <f>BI78+SUM(BI82:BI89)</f>
        <v>138</v>
      </c>
      <c r="BJ90" s="82">
        <f>BJ78+COUNTIF(BJ82:BJ89,"x")</f>
        <v>1</v>
      </c>
      <c r="BK90" s="82">
        <f>BK78+COUNTIF(BK82:BK89,"x")</f>
        <v>34</v>
      </c>
      <c r="BL90" s="82">
        <f>BL78+COUNTIF(BL82:BL89,"x")</f>
        <v>69</v>
      </c>
      <c r="BM90" s="12" t="s">
        <v>697</v>
      </c>
      <c r="BN90" s="12">
        <v>2</v>
      </c>
      <c r="BO90" s="12">
        <v>4</v>
      </c>
      <c r="BP90" s="12">
        <v>2</v>
      </c>
      <c r="BQ90" s="33"/>
      <c r="BR90" s="33"/>
    </row>
    <row r="92" spans="1:70">
      <c r="F92" s="19"/>
      <c r="H92" s="12"/>
      <c r="I92" s="12"/>
      <c r="J92" s="12"/>
      <c r="K92" s="12"/>
      <c r="L92" s="12"/>
      <c r="M92" s="12"/>
      <c r="N92" s="12"/>
      <c r="O92" s="12"/>
      <c r="P92" s="12"/>
      <c r="Q92" s="12"/>
      <c r="R92" s="12"/>
      <c r="S92" s="12"/>
      <c r="T92" s="12"/>
    </row>
    <row r="105" spans="1:8" ht="13">
      <c r="A105" s="33"/>
      <c r="B105" s="114"/>
      <c r="C105" s="114"/>
      <c r="D105" s="114"/>
      <c r="E105" s="114"/>
      <c r="F105" s="114"/>
    </row>
    <row r="106" spans="1:8">
      <c r="A106" s="33"/>
      <c r="B106" s="63"/>
      <c r="C106" s="63"/>
      <c r="D106" s="63"/>
      <c r="E106" s="63"/>
      <c r="F106" s="33"/>
    </row>
    <row r="107" spans="1:8">
      <c r="A107" s="33"/>
      <c r="B107" s="63"/>
      <c r="C107" s="63"/>
      <c r="D107" s="63"/>
      <c r="E107" s="63"/>
      <c r="F107" s="33"/>
    </row>
    <row r="110" spans="1:8" ht="13">
      <c r="A110" s="97"/>
      <c r="B110" s="98" t="s">
        <v>545</v>
      </c>
      <c r="C110" s="100" t="s">
        <v>547</v>
      </c>
      <c r="D110" s="98" t="s">
        <v>548</v>
      </c>
      <c r="E110" s="100" t="s">
        <v>549</v>
      </c>
      <c r="H110" s="115"/>
    </row>
    <row r="111" spans="1:8">
      <c r="A111" s="99" t="s">
        <v>551</v>
      </c>
      <c r="B111" s="97">
        <v>2250</v>
      </c>
      <c r="C111" s="97">
        <v>90</v>
      </c>
      <c r="D111" s="97">
        <v>3375</v>
      </c>
      <c r="E111" s="97">
        <v>9787.5</v>
      </c>
      <c r="H111" s="104"/>
    </row>
    <row r="112" spans="1:8">
      <c r="A112" s="99" t="s">
        <v>552</v>
      </c>
      <c r="B112" s="97">
        <v>5535</v>
      </c>
      <c r="C112" s="97">
        <v>115</v>
      </c>
      <c r="D112" s="97">
        <v>4590</v>
      </c>
      <c r="E112" s="97">
        <v>16605</v>
      </c>
      <c r="H112" s="97"/>
    </row>
    <row r="116" spans="3:3">
      <c r="C116" s="122"/>
    </row>
    <row r="117" spans="3:3">
      <c r="C117" s="122"/>
    </row>
  </sheetData>
  <mergeCells count="8">
    <mergeCell ref="A1:D1"/>
    <mergeCell ref="A2:B2"/>
    <mergeCell ref="A3:B3"/>
    <mergeCell ref="F3:G3"/>
    <mergeCell ref="A4:B4"/>
    <mergeCell ref="A5:B5"/>
    <mergeCell ref="A46:B46"/>
    <mergeCell ref="A6:B6"/>
  </mergeCells>
  <phoneticPr fontId="27" type="noConversion"/>
  <dataValidations count="1">
    <dataValidation type="list" allowBlank="1" showInputMessage="1" showErrorMessage="1" sqref="Q11" xr:uid="{6F1F186D-687C-474A-80A0-F7BBF34F2CFC}">
      <formula1>$B111:$B112</formula1>
    </dataValidation>
  </dataValidations>
  <hyperlinks>
    <hyperlink ref="F3:G3" location="Shortcuts!A1" display="Back to shortcuts" xr:uid="{C952AEF4-6E92-4E88-911C-865E7C0B9892}"/>
  </hyperlinks>
  <pageMargins left="0.7" right="0.7" top="0.75" bottom="0.75" header="0.3" footer="0.3"/>
  <pageSetup paperSize="9" orientation="portrait" r:id="rId1"/>
  <headerFooter>
    <oddFooter>&amp;C&amp;1#&amp;"Arial"&amp;8&amp;K001753Nokia internal use</oddFooter>
  </headerFooter>
  <legacyDrawing r:id="rId2"/>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3FDE77-D9C9-4D99-9D0D-DEE6DA5C1F86}">
  <sheetPr codeName="Sheet103"/>
  <dimension ref="A1:AU90"/>
  <sheetViews>
    <sheetView zoomScale="85" zoomScaleNormal="85" zoomScalePageLayoutView="70" workbookViewId="0">
      <selection activeCell="G8" sqref="G8"/>
    </sheetView>
  </sheetViews>
  <sheetFormatPr defaultColWidth="8.81640625" defaultRowHeight="12.5"/>
  <cols>
    <col min="1" max="1" width="16.1796875" style="4" customWidth="1"/>
    <col min="2" max="2" width="15" style="4" customWidth="1"/>
    <col min="3" max="3" width="18.1796875" style="4" customWidth="1"/>
    <col min="4" max="4" width="23.1796875" style="4" customWidth="1"/>
    <col min="5" max="5" width="55.1796875" style="4" customWidth="1"/>
    <col min="6" max="7" width="8.81640625" style="4"/>
    <col min="8" max="8" width="21.1796875" style="4" customWidth="1"/>
    <col min="9" max="10" width="8.81640625" style="4"/>
    <col min="11" max="11" width="17.81640625" style="4" customWidth="1"/>
    <col min="12" max="12" width="8.81640625" style="4"/>
    <col min="13" max="13" width="9.81640625" style="4" customWidth="1"/>
    <col min="14" max="14" width="8.81640625" style="4"/>
    <col min="15" max="15" width="11.81640625" style="4" customWidth="1"/>
    <col min="16" max="16" width="8.81640625" style="4"/>
    <col min="17" max="17" width="9.81640625" style="4" customWidth="1"/>
    <col min="18" max="18" width="8.81640625" style="4"/>
    <col min="19" max="19" width="9.81640625" style="4" customWidth="1"/>
    <col min="20" max="20" width="10" style="4" customWidth="1"/>
    <col min="21" max="21" width="9.81640625" style="4" customWidth="1"/>
    <col min="22" max="22" width="8.81640625" style="4"/>
    <col min="23" max="23" width="9.81640625" style="12" customWidth="1"/>
    <col min="24" max="24" width="10.1796875" style="4" customWidth="1"/>
    <col min="25" max="26" width="9.81640625" style="4" customWidth="1"/>
    <col min="27" max="32" width="12.81640625" style="4" customWidth="1"/>
    <col min="33" max="33" width="15.453125" style="4" customWidth="1"/>
    <col min="34" max="35" width="12.81640625" style="4" customWidth="1"/>
    <col min="36" max="36" width="22" style="4" customWidth="1"/>
    <col min="37" max="37" width="12.1796875" style="4" customWidth="1"/>
    <col min="38" max="38" width="13.1796875" style="4" customWidth="1"/>
    <col min="39" max="16384" width="8.81640625" style="4"/>
  </cols>
  <sheetData>
    <row r="1" spans="1:38" ht="13">
      <c r="A1" s="5" t="s">
        <v>15</v>
      </c>
      <c r="B1" s="5"/>
      <c r="C1" s="5"/>
      <c r="D1" s="5"/>
      <c r="F1" s="5" t="s">
        <v>716</v>
      </c>
    </row>
    <row r="2" spans="1:38" ht="14.5">
      <c r="A2" s="162" t="s">
        <v>355</v>
      </c>
      <c r="B2" s="168"/>
      <c r="C2" s="24"/>
      <c r="D2" s="4" t="s">
        <v>647</v>
      </c>
    </row>
    <row r="3" spans="1:38" ht="14.5">
      <c r="A3" s="162" t="s">
        <v>357</v>
      </c>
      <c r="B3" s="162"/>
      <c r="C3" s="113"/>
      <c r="D3" s="4" t="s">
        <v>459</v>
      </c>
      <c r="F3" s="169" t="s">
        <v>358</v>
      </c>
      <c r="G3" s="169"/>
    </row>
    <row r="4" spans="1:38" ht="13">
      <c r="A4" s="162" t="s">
        <v>359</v>
      </c>
      <c r="B4" s="162"/>
      <c r="C4" s="4" t="s">
        <v>356</v>
      </c>
    </row>
    <row r="5" spans="1:38">
      <c r="A5" s="162" t="s">
        <v>360</v>
      </c>
      <c r="B5" s="162"/>
      <c r="C5" s="33" t="s">
        <v>648</v>
      </c>
    </row>
    <row r="6" spans="1:38">
      <c r="A6" s="162" t="s">
        <v>361</v>
      </c>
      <c r="B6" s="162"/>
    </row>
    <row r="7" spans="1:38" ht="26">
      <c r="A7" s="7" t="s">
        <v>155</v>
      </c>
      <c r="B7" s="7" t="s">
        <v>362</v>
      </c>
      <c r="C7" s="7" t="s">
        <v>363</v>
      </c>
      <c r="D7" s="7" t="s">
        <v>364</v>
      </c>
      <c r="E7" s="7" t="s">
        <v>365</v>
      </c>
      <c r="F7" s="6" t="s">
        <v>129</v>
      </c>
      <c r="G7" s="6" t="s">
        <v>146</v>
      </c>
      <c r="H7" s="6" t="s">
        <v>366</v>
      </c>
      <c r="I7" s="6" t="s">
        <v>149</v>
      </c>
      <c r="J7" s="6" t="s">
        <v>367</v>
      </c>
      <c r="K7" s="6" t="s">
        <v>368</v>
      </c>
      <c r="L7" s="6" t="s">
        <v>170</v>
      </c>
      <c r="M7" s="6" t="s">
        <v>368</v>
      </c>
      <c r="N7" s="6" t="s">
        <v>30</v>
      </c>
      <c r="O7" s="6" t="s">
        <v>368</v>
      </c>
      <c r="P7" s="6" t="s">
        <v>175</v>
      </c>
      <c r="Q7" s="6" t="s">
        <v>368</v>
      </c>
      <c r="R7" s="6" t="s">
        <v>189</v>
      </c>
      <c r="S7" s="6" t="s">
        <v>368</v>
      </c>
      <c r="T7" s="6" t="s">
        <v>194</v>
      </c>
      <c r="U7" s="6" t="s">
        <v>368</v>
      </c>
      <c r="V7" s="6" t="s">
        <v>179</v>
      </c>
      <c r="W7" s="6" t="s">
        <v>368</v>
      </c>
      <c r="X7" s="6" t="s">
        <v>369</v>
      </c>
      <c r="Y7" s="6" t="s">
        <v>368</v>
      </c>
      <c r="Z7" s="6" t="s">
        <v>554</v>
      </c>
      <c r="AA7" s="6" t="s">
        <v>368</v>
      </c>
      <c r="AB7" s="6" t="s">
        <v>371</v>
      </c>
      <c r="AC7" s="6" t="s">
        <v>368</v>
      </c>
      <c r="AD7" s="6" t="s">
        <v>372</v>
      </c>
      <c r="AE7" s="6" t="s">
        <v>368</v>
      </c>
      <c r="AF7" s="6" t="s">
        <v>373</v>
      </c>
      <c r="AG7" s="6" t="s">
        <v>368</v>
      </c>
      <c r="AH7" s="79" t="s">
        <v>467</v>
      </c>
      <c r="AI7" s="6" t="s">
        <v>368</v>
      </c>
      <c r="AJ7" s="6" t="s">
        <v>374</v>
      </c>
      <c r="AK7" s="6" t="s">
        <v>375</v>
      </c>
      <c r="AL7" s="6" t="s">
        <v>376</v>
      </c>
    </row>
    <row r="8" spans="1:38">
      <c r="A8" s="24" t="s">
        <v>377</v>
      </c>
      <c r="B8" s="24"/>
      <c r="C8" s="24" t="s">
        <v>387</v>
      </c>
      <c r="D8" s="24" t="s">
        <v>378</v>
      </c>
      <c r="E8" s="24" t="s">
        <v>19</v>
      </c>
      <c r="F8" s="25">
        <v>4</v>
      </c>
      <c r="G8" s="25">
        <v>16</v>
      </c>
      <c r="H8" s="25">
        <v>0</v>
      </c>
      <c r="I8" s="25">
        <v>351</v>
      </c>
      <c r="J8" s="25">
        <f>G8-H8</f>
        <v>16</v>
      </c>
      <c r="K8" s="25" t="s">
        <v>468</v>
      </c>
      <c r="L8" s="25"/>
      <c r="M8" s="25"/>
      <c r="N8" s="25"/>
      <c r="O8" s="25"/>
      <c r="P8" s="25"/>
      <c r="Q8" s="25"/>
      <c r="R8" s="25"/>
      <c r="S8" s="25"/>
      <c r="T8" s="25"/>
      <c r="U8" s="25"/>
      <c r="V8" s="25"/>
      <c r="W8" s="25"/>
      <c r="X8" s="25"/>
      <c r="Y8" s="25"/>
      <c r="Z8" s="25"/>
      <c r="AA8" s="25"/>
      <c r="AB8" s="25"/>
      <c r="AC8" s="25"/>
      <c r="AD8" s="25"/>
      <c r="AE8" s="25"/>
      <c r="AF8" s="25"/>
      <c r="AG8" s="25"/>
      <c r="AH8" s="12"/>
      <c r="AI8" s="12"/>
      <c r="AJ8" s="25" t="s">
        <v>380</v>
      </c>
      <c r="AK8" s="25" t="s">
        <v>381</v>
      </c>
      <c r="AL8" s="25"/>
    </row>
    <row r="9" spans="1:38">
      <c r="A9" s="4" t="s">
        <v>385</v>
      </c>
      <c r="B9" s="12" t="s">
        <v>386</v>
      </c>
      <c r="C9" s="4" t="s">
        <v>387</v>
      </c>
      <c r="D9" s="4" t="s">
        <v>378</v>
      </c>
      <c r="E9" s="4" t="s">
        <v>27</v>
      </c>
      <c r="F9" s="12">
        <v>6</v>
      </c>
      <c r="G9" s="12">
        <v>6</v>
      </c>
      <c r="H9" s="12">
        <v>6</v>
      </c>
      <c r="I9" s="12">
        <v>41</v>
      </c>
      <c r="J9" s="82">
        <f t="shared" ref="J9:J41" si="0">G9-H9</f>
        <v>0</v>
      </c>
      <c r="K9" s="12" t="s">
        <v>469</v>
      </c>
      <c r="L9" s="12"/>
      <c r="M9" s="12"/>
      <c r="N9" s="12"/>
      <c r="O9" s="12"/>
      <c r="P9" s="12"/>
      <c r="Q9" s="12"/>
      <c r="R9" s="12"/>
      <c r="S9" s="12"/>
      <c r="T9" s="12"/>
      <c r="U9" s="12"/>
      <c r="V9" s="12"/>
      <c r="X9" s="12"/>
      <c r="Y9" s="12"/>
      <c r="Z9" s="12"/>
      <c r="AA9" s="12"/>
      <c r="AB9" s="12"/>
      <c r="AC9" s="12"/>
      <c r="AD9" s="12"/>
      <c r="AE9" s="12"/>
      <c r="AF9" s="12"/>
      <c r="AG9" s="12"/>
      <c r="AH9" s="12"/>
      <c r="AI9" s="12"/>
      <c r="AJ9" s="12" t="s">
        <v>380</v>
      </c>
      <c r="AK9" s="12" t="s">
        <v>381</v>
      </c>
      <c r="AL9" s="12"/>
    </row>
    <row r="10" spans="1:38">
      <c r="A10" s="4" t="s">
        <v>389</v>
      </c>
      <c r="B10" s="12"/>
      <c r="C10" s="4" t="s">
        <v>387</v>
      </c>
      <c r="D10" s="4" t="s">
        <v>378</v>
      </c>
      <c r="E10" s="4" t="s">
        <v>30</v>
      </c>
      <c r="F10" s="82">
        <v>16</v>
      </c>
      <c r="G10" s="82">
        <v>160</v>
      </c>
      <c r="H10" s="82">
        <f>(G10*82.5)/100</f>
        <v>132</v>
      </c>
      <c r="I10" s="82">
        <v>117</v>
      </c>
      <c r="J10" s="82">
        <f t="shared" si="0"/>
        <v>28</v>
      </c>
      <c r="K10" s="82" t="s">
        <v>470</v>
      </c>
      <c r="L10" s="82">
        <v>500</v>
      </c>
      <c r="M10" s="82" t="s">
        <v>390</v>
      </c>
      <c r="N10" s="82">
        <v>9000</v>
      </c>
      <c r="O10" s="82" t="s">
        <v>391</v>
      </c>
      <c r="P10" s="82">
        <v>13500</v>
      </c>
      <c r="Q10" s="82" t="s">
        <v>392</v>
      </c>
      <c r="R10" s="82"/>
      <c r="S10" s="82"/>
      <c r="T10" s="82"/>
      <c r="U10" s="82"/>
      <c r="V10" s="82"/>
      <c r="W10" s="82"/>
      <c r="X10" s="82">
        <v>30556</v>
      </c>
      <c r="Y10" s="82" t="s">
        <v>179</v>
      </c>
      <c r="Z10" s="12"/>
      <c r="AA10" s="12"/>
      <c r="AB10" s="12"/>
      <c r="AC10" s="12"/>
      <c r="AD10" s="12"/>
      <c r="AE10" s="12"/>
      <c r="AF10" s="12"/>
      <c r="AG10" s="12"/>
      <c r="AH10" s="12">
        <v>6144</v>
      </c>
      <c r="AI10" s="12" t="s">
        <v>471</v>
      </c>
      <c r="AJ10" s="12" t="s">
        <v>380</v>
      </c>
      <c r="AK10" s="12" t="s">
        <v>381</v>
      </c>
      <c r="AL10" s="12"/>
    </row>
    <row r="11" spans="1:38">
      <c r="A11" s="4" t="s">
        <v>393</v>
      </c>
      <c r="B11" s="12" t="s">
        <v>386</v>
      </c>
      <c r="C11" s="4" t="s">
        <v>387</v>
      </c>
      <c r="D11" s="4" t="s">
        <v>378</v>
      </c>
      <c r="E11" s="4" t="s">
        <v>34</v>
      </c>
      <c r="F11" s="12">
        <v>8</v>
      </c>
      <c r="G11" s="12">
        <v>7</v>
      </c>
      <c r="H11" s="12">
        <v>7</v>
      </c>
      <c r="I11" s="12">
        <v>46</v>
      </c>
      <c r="J11" s="82">
        <f t="shared" si="0"/>
        <v>0</v>
      </c>
      <c r="K11" s="12" t="s">
        <v>472</v>
      </c>
      <c r="L11" s="12"/>
      <c r="M11" s="12"/>
      <c r="N11" s="12"/>
      <c r="O11" s="12"/>
      <c r="P11" s="12"/>
      <c r="Q11" s="12"/>
      <c r="R11" s="82">
        <v>920</v>
      </c>
      <c r="S11" s="82" t="s">
        <v>394</v>
      </c>
      <c r="T11" s="12">
        <v>300</v>
      </c>
      <c r="U11" s="82" t="s">
        <v>194</v>
      </c>
      <c r="V11" s="82"/>
      <c r="W11" s="82"/>
      <c r="X11" s="82">
        <v>500</v>
      </c>
      <c r="Y11" s="82" t="s">
        <v>179</v>
      </c>
      <c r="Z11" s="12"/>
      <c r="AA11" s="12"/>
      <c r="AB11" s="12"/>
      <c r="AC11" s="12"/>
      <c r="AD11" s="12"/>
      <c r="AE11" s="12"/>
      <c r="AF11" s="12"/>
      <c r="AG11" s="12"/>
      <c r="AH11" s="12"/>
      <c r="AI11" s="12"/>
      <c r="AJ11" s="12" t="s">
        <v>380</v>
      </c>
      <c r="AK11" s="12" t="s">
        <v>381</v>
      </c>
      <c r="AL11" s="12"/>
    </row>
    <row r="12" spans="1:38">
      <c r="A12" s="4" t="s">
        <v>395</v>
      </c>
      <c r="C12" s="4" t="s">
        <v>387</v>
      </c>
      <c r="D12" s="4" t="s">
        <v>378</v>
      </c>
      <c r="E12" s="4" t="s">
        <v>38</v>
      </c>
      <c r="F12" s="12">
        <v>2</v>
      </c>
      <c r="G12" s="12">
        <v>3</v>
      </c>
      <c r="H12" s="12">
        <v>0</v>
      </c>
      <c r="I12" s="12">
        <v>31</v>
      </c>
      <c r="J12" s="82">
        <f t="shared" si="0"/>
        <v>3</v>
      </c>
      <c r="K12" s="12" t="s">
        <v>469</v>
      </c>
      <c r="L12" s="12"/>
      <c r="M12" s="12"/>
      <c r="N12" s="12"/>
      <c r="O12" s="12"/>
      <c r="P12" s="12"/>
      <c r="Q12" s="12"/>
      <c r="R12" s="12"/>
      <c r="S12" s="12"/>
      <c r="T12" s="12"/>
      <c r="U12" s="12"/>
      <c r="V12" s="12"/>
      <c r="X12" s="12"/>
      <c r="Y12" s="12"/>
      <c r="Z12" s="12"/>
      <c r="AA12" s="12"/>
      <c r="AB12" s="12"/>
      <c r="AC12" s="12"/>
      <c r="AD12" s="12"/>
      <c r="AE12" s="12"/>
      <c r="AF12" s="12"/>
      <c r="AG12" s="12"/>
      <c r="AH12" s="12"/>
      <c r="AI12" s="12"/>
      <c r="AJ12" s="12" t="s">
        <v>396</v>
      </c>
      <c r="AK12" s="12" t="s">
        <v>397</v>
      </c>
      <c r="AL12" s="12" t="s">
        <v>381</v>
      </c>
    </row>
    <row r="13" spans="1:38">
      <c r="A13" s="4" t="s">
        <v>398</v>
      </c>
      <c r="C13" s="4" t="s">
        <v>387</v>
      </c>
      <c r="D13" s="4" t="s">
        <v>378</v>
      </c>
      <c r="E13" s="4" t="s">
        <v>42</v>
      </c>
      <c r="F13" s="12">
        <v>2</v>
      </c>
      <c r="G13" s="12">
        <v>5</v>
      </c>
      <c r="H13" s="12">
        <v>0</v>
      </c>
      <c r="I13" s="12">
        <v>31</v>
      </c>
      <c r="J13" s="82">
        <f t="shared" si="0"/>
        <v>5</v>
      </c>
      <c r="K13" s="12" t="s">
        <v>470</v>
      </c>
      <c r="L13" s="12"/>
      <c r="M13" s="12"/>
      <c r="N13" s="12"/>
      <c r="O13" s="12"/>
      <c r="P13" s="12"/>
      <c r="Q13" s="12"/>
      <c r="R13" s="12"/>
      <c r="S13" s="12"/>
      <c r="T13" s="12"/>
      <c r="U13" s="12"/>
      <c r="V13" s="12"/>
      <c r="X13" s="12"/>
      <c r="Y13" s="12"/>
      <c r="Z13" s="12"/>
      <c r="AA13" s="12"/>
      <c r="AB13" s="12"/>
      <c r="AC13" s="12"/>
      <c r="AD13" s="12"/>
      <c r="AE13" s="12"/>
      <c r="AF13" s="12"/>
      <c r="AG13" s="12"/>
      <c r="AH13" s="12"/>
      <c r="AI13" s="12"/>
      <c r="AJ13" s="12" t="s">
        <v>380</v>
      </c>
      <c r="AK13" s="12" t="s">
        <v>381</v>
      </c>
      <c r="AL13" s="12"/>
    </row>
    <row r="14" spans="1:38">
      <c r="A14" s="4" t="s">
        <v>399</v>
      </c>
      <c r="C14" s="4" t="s">
        <v>387</v>
      </c>
      <c r="D14" s="4" t="s">
        <v>378</v>
      </c>
      <c r="E14" s="4" t="s">
        <v>555</v>
      </c>
      <c r="F14" s="12">
        <v>3</v>
      </c>
      <c r="G14" s="12">
        <v>6</v>
      </c>
      <c r="H14" s="12">
        <v>0</v>
      </c>
      <c r="I14" s="12">
        <v>41</v>
      </c>
      <c r="J14" s="82">
        <f t="shared" si="0"/>
        <v>6</v>
      </c>
      <c r="K14" s="12" t="s">
        <v>472</v>
      </c>
      <c r="L14" s="12"/>
      <c r="M14" s="12"/>
      <c r="N14" s="12"/>
      <c r="O14" s="12"/>
      <c r="P14" s="12"/>
      <c r="Q14" s="12"/>
      <c r="R14" s="12"/>
      <c r="S14" s="12"/>
      <c r="T14" s="12"/>
      <c r="U14" s="12"/>
      <c r="V14" s="12"/>
      <c r="X14" s="12"/>
      <c r="Y14" s="12"/>
      <c r="Z14" s="12"/>
      <c r="AA14" s="12"/>
      <c r="AB14" s="12"/>
      <c r="AC14" s="12"/>
      <c r="AD14" s="12"/>
      <c r="AE14" s="12"/>
      <c r="AF14" s="12"/>
      <c r="AG14" s="12"/>
      <c r="AH14" s="12"/>
      <c r="AI14" s="12"/>
      <c r="AJ14" s="12" t="s">
        <v>396</v>
      </c>
      <c r="AK14" s="12" t="s">
        <v>397</v>
      </c>
      <c r="AL14" s="12"/>
    </row>
    <row r="15" spans="1:38">
      <c r="A15" s="4" t="s">
        <v>401</v>
      </c>
      <c r="C15" s="4" t="s">
        <v>387</v>
      </c>
      <c r="D15" s="4" t="s">
        <v>378</v>
      </c>
      <c r="E15" s="4" t="s">
        <v>402</v>
      </c>
      <c r="F15" s="12">
        <v>5</v>
      </c>
      <c r="G15" s="12">
        <v>7</v>
      </c>
      <c r="H15" s="12">
        <v>0</v>
      </c>
      <c r="I15" s="12">
        <v>56</v>
      </c>
      <c r="J15" s="82">
        <f t="shared" si="0"/>
        <v>7</v>
      </c>
      <c r="K15" s="12" t="s">
        <v>469</v>
      </c>
      <c r="L15" s="12"/>
      <c r="M15" s="12"/>
      <c r="N15" s="12"/>
      <c r="O15" s="12"/>
      <c r="P15" s="12"/>
      <c r="Q15" s="12"/>
      <c r="R15" s="12"/>
      <c r="S15" s="12"/>
      <c r="T15" s="12"/>
      <c r="U15" s="12"/>
      <c r="V15" s="12"/>
      <c r="X15" s="12"/>
      <c r="Y15" s="12"/>
      <c r="Z15" s="12"/>
      <c r="AA15" s="12"/>
      <c r="AB15" s="12"/>
      <c r="AC15" s="12"/>
      <c r="AD15" s="12"/>
      <c r="AE15" s="12"/>
      <c r="AF15" s="12"/>
      <c r="AG15" s="12"/>
      <c r="AH15" s="12"/>
      <c r="AI15" s="12"/>
      <c r="AJ15" s="12" t="s">
        <v>396</v>
      </c>
      <c r="AK15" s="12" t="s">
        <v>397</v>
      </c>
      <c r="AL15" s="12"/>
    </row>
    <row r="16" spans="1:38">
      <c r="A16" s="4" t="s">
        <v>403</v>
      </c>
      <c r="C16" s="4" t="s">
        <v>387</v>
      </c>
      <c r="D16" s="4" t="s">
        <v>378</v>
      </c>
      <c r="E16" s="4" t="s">
        <v>54</v>
      </c>
      <c r="F16" s="12">
        <v>8</v>
      </c>
      <c r="G16" s="12">
        <v>13</v>
      </c>
      <c r="H16" s="12">
        <v>0</v>
      </c>
      <c r="I16" s="12">
        <v>81</v>
      </c>
      <c r="J16" s="82">
        <f t="shared" si="0"/>
        <v>13</v>
      </c>
      <c r="K16" s="12" t="s">
        <v>470</v>
      </c>
      <c r="L16" s="12"/>
      <c r="M16" s="12"/>
      <c r="N16" s="12"/>
      <c r="O16" s="12"/>
      <c r="P16" s="12"/>
      <c r="Q16" s="12"/>
      <c r="R16" s="12"/>
      <c r="S16" s="12"/>
      <c r="T16" s="12"/>
      <c r="U16" s="12"/>
      <c r="V16" s="12"/>
      <c r="X16" s="12"/>
      <c r="Y16" s="12"/>
      <c r="Z16" s="12"/>
      <c r="AA16" s="12"/>
      <c r="AB16" s="12"/>
      <c r="AC16" s="12"/>
      <c r="AD16" s="12"/>
      <c r="AE16" s="12"/>
      <c r="AF16" s="12"/>
      <c r="AG16" s="12"/>
      <c r="AH16" s="12"/>
      <c r="AI16" s="12"/>
      <c r="AJ16" s="12" t="s">
        <v>396</v>
      </c>
      <c r="AK16" s="12" t="s">
        <v>397</v>
      </c>
      <c r="AL16" s="12"/>
    </row>
    <row r="17" spans="1:38">
      <c r="A17" s="4" t="s">
        <v>404</v>
      </c>
      <c r="C17" s="4" t="s">
        <v>387</v>
      </c>
      <c r="D17" s="4" t="s">
        <v>378</v>
      </c>
      <c r="E17" s="4" t="s">
        <v>58</v>
      </c>
      <c r="F17" s="12">
        <v>4</v>
      </c>
      <c r="G17" s="12">
        <v>4</v>
      </c>
      <c r="H17" s="12">
        <v>0</v>
      </c>
      <c r="I17" s="12">
        <v>31</v>
      </c>
      <c r="J17" s="82">
        <f t="shared" si="0"/>
        <v>4</v>
      </c>
      <c r="K17" s="12" t="s">
        <v>472</v>
      </c>
      <c r="L17" s="12"/>
      <c r="M17" s="12"/>
      <c r="N17" s="12"/>
      <c r="O17" s="12"/>
      <c r="P17" s="12"/>
      <c r="Q17" s="12"/>
      <c r="R17" s="12"/>
      <c r="S17" s="12"/>
      <c r="T17" s="12"/>
      <c r="U17" s="12"/>
      <c r="V17" s="12"/>
      <c r="X17" s="12"/>
      <c r="Y17" s="12"/>
      <c r="Z17" s="12"/>
      <c r="AA17" s="12"/>
      <c r="AB17" s="12"/>
      <c r="AC17" s="12"/>
      <c r="AD17" s="12"/>
      <c r="AE17" s="12"/>
      <c r="AF17" s="12"/>
      <c r="AG17" s="12"/>
      <c r="AH17" s="12"/>
      <c r="AI17" s="12"/>
      <c r="AJ17" s="12" t="s">
        <v>396</v>
      </c>
      <c r="AK17" s="12" t="s">
        <v>397</v>
      </c>
      <c r="AL17" s="12" t="s">
        <v>381</v>
      </c>
    </row>
    <row r="18" spans="1:38">
      <c r="A18" s="4" t="s">
        <v>405</v>
      </c>
      <c r="C18" s="4" t="s">
        <v>387</v>
      </c>
      <c r="D18" s="4" t="s">
        <v>378</v>
      </c>
      <c r="E18" s="4" t="s">
        <v>406</v>
      </c>
      <c r="F18" s="12">
        <v>8</v>
      </c>
      <c r="G18" s="12">
        <v>13</v>
      </c>
      <c r="H18" s="12">
        <v>0</v>
      </c>
      <c r="I18" s="12">
        <v>109</v>
      </c>
      <c r="J18" s="82">
        <f t="shared" si="0"/>
        <v>13</v>
      </c>
      <c r="K18" s="12" t="s">
        <v>469</v>
      </c>
      <c r="L18" s="12"/>
      <c r="M18" s="12"/>
      <c r="N18" s="12"/>
      <c r="O18" s="12"/>
      <c r="P18" s="12"/>
      <c r="Q18" s="12"/>
      <c r="R18" s="12"/>
      <c r="S18" s="12"/>
      <c r="T18" s="12"/>
      <c r="U18" s="12"/>
      <c r="V18" s="12"/>
      <c r="X18" s="12"/>
      <c r="Y18" s="12"/>
      <c r="Z18" s="12"/>
      <c r="AA18" s="12"/>
      <c r="AB18" s="12">
        <v>50</v>
      </c>
      <c r="AC18" s="12" t="s">
        <v>472</v>
      </c>
      <c r="AD18" s="12"/>
      <c r="AE18" s="12"/>
      <c r="AF18" s="12"/>
      <c r="AG18" s="12"/>
      <c r="AH18" s="12"/>
      <c r="AI18" s="12"/>
      <c r="AJ18" s="12" t="s">
        <v>380</v>
      </c>
      <c r="AK18" s="12" t="s">
        <v>381</v>
      </c>
      <c r="AL18" s="12"/>
    </row>
    <row r="19" spans="1:38">
      <c r="A19" s="4" t="s">
        <v>407</v>
      </c>
      <c r="C19" s="4" t="s">
        <v>387</v>
      </c>
      <c r="D19" s="4" t="s">
        <v>378</v>
      </c>
      <c r="E19" s="4" t="s">
        <v>65</v>
      </c>
      <c r="F19" s="12">
        <v>6</v>
      </c>
      <c r="G19" s="12">
        <v>8</v>
      </c>
      <c r="H19" s="12">
        <v>0</v>
      </c>
      <c r="I19" s="12">
        <v>169</v>
      </c>
      <c r="J19" s="82">
        <f t="shared" si="0"/>
        <v>8</v>
      </c>
      <c r="K19" s="12" t="s">
        <v>470</v>
      </c>
      <c r="L19" s="12"/>
      <c r="M19" s="12"/>
      <c r="N19" s="12"/>
      <c r="O19" s="12"/>
      <c r="P19" s="12"/>
      <c r="Q19" s="12"/>
      <c r="R19" s="12"/>
      <c r="S19" s="12"/>
      <c r="T19" s="12"/>
      <c r="U19" s="12"/>
      <c r="V19" s="12"/>
      <c r="X19" s="12"/>
      <c r="Y19" s="12"/>
      <c r="Z19" s="12"/>
      <c r="AA19" s="12"/>
      <c r="AB19" s="12"/>
      <c r="AC19" s="12"/>
      <c r="AD19" s="12"/>
      <c r="AE19" s="12"/>
      <c r="AF19" s="12"/>
      <c r="AG19" s="12"/>
      <c r="AH19" s="12"/>
      <c r="AI19" s="12"/>
      <c r="AJ19" s="12" t="s">
        <v>396</v>
      </c>
      <c r="AK19" s="12" t="s">
        <v>397</v>
      </c>
      <c r="AL19" s="12"/>
    </row>
    <row r="20" spans="1:38">
      <c r="A20" s="4" t="s">
        <v>408</v>
      </c>
      <c r="C20" s="4" t="s">
        <v>387</v>
      </c>
      <c r="D20" s="4" t="s">
        <v>378</v>
      </c>
      <c r="E20" s="4" t="s">
        <v>69</v>
      </c>
      <c r="F20" s="12">
        <v>6</v>
      </c>
      <c r="G20" s="12">
        <v>8</v>
      </c>
      <c r="H20" s="12">
        <v>0</v>
      </c>
      <c r="I20" s="12">
        <v>61</v>
      </c>
      <c r="J20" s="82">
        <f t="shared" si="0"/>
        <v>8</v>
      </c>
      <c r="K20" s="12" t="s">
        <v>472</v>
      </c>
      <c r="L20" s="12"/>
      <c r="M20" s="12"/>
      <c r="N20" s="12"/>
      <c r="O20" s="12"/>
      <c r="P20" s="12"/>
      <c r="Q20" s="12"/>
      <c r="R20" s="12"/>
      <c r="S20" s="12"/>
      <c r="T20" s="12"/>
      <c r="U20" s="12"/>
      <c r="V20" s="12"/>
      <c r="X20" s="12"/>
      <c r="Y20" s="12"/>
      <c r="Z20" s="12"/>
      <c r="AA20" s="12"/>
      <c r="AB20" s="12"/>
      <c r="AC20" s="12"/>
      <c r="AD20" s="12"/>
      <c r="AE20" s="12"/>
      <c r="AF20" s="12"/>
      <c r="AG20" s="12"/>
      <c r="AH20" s="12"/>
      <c r="AI20" s="12"/>
      <c r="AJ20" s="12" t="s">
        <v>380</v>
      </c>
      <c r="AK20" s="12" t="s">
        <v>381</v>
      </c>
      <c r="AL20" s="12"/>
    </row>
    <row r="21" spans="1:38">
      <c r="A21" s="4" t="s">
        <v>409</v>
      </c>
      <c r="C21" s="4" t="s">
        <v>387</v>
      </c>
      <c r="D21" s="4" t="s">
        <v>378</v>
      </c>
      <c r="E21" s="4" t="s">
        <v>69</v>
      </c>
      <c r="F21" s="12">
        <v>6</v>
      </c>
      <c r="G21" s="12">
        <v>8</v>
      </c>
      <c r="H21" s="12">
        <v>0</v>
      </c>
      <c r="I21" s="12">
        <v>61</v>
      </c>
      <c r="J21" s="82">
        <f t="shared" si="0"/>
        <v>8</v>
      </c>
      <c r="K21" s="12" t="s">
        <v>469</v>
      </c>
      <c r="L21" s="12"/>
      <c r="M21" s="12"/>
      <c r="N21" s="12"/>
      <c r="O21" s="12"/>
      <c r="P21" s="12"/>
      <c r="Q21" s="12"/>
      <c r="R21" s="12"/>
      <c r="S21" s="12"/>
      <c r="T21" s="12"/>
      <c r="U21" s="12"/>
      <c r="V21" s="12"/>
      <c r="X21" s="12"/>
      <c r="Y21" s="12"/>
      <c r="Z21" s="12"/>
      <c r="AA21" s="12"/>
      <c r="AB21" s="12"/>
      <c r="AC21" s="12"/>
      <c r="AD21" s="12"/>
      <c r="AE21" s="12"/>
      <c r="AF21" s="12"/>
      <c r="AG21" s="12"/>
      <c r="AH21" s="12"/>
      <c r="AI21" s="12"/>
      <c r="AJ21" s="12" t="s">
        <v>380</v>
      </c>
      <c r="AK21" s="12" t="s">
        <v>381</v>
      </c>
      <c r="AL21" s="12"/>
    </row>
    <row r="22" spans="1:38">
      <c r="A22" s="4" t="s">
        <v>410</v>
      </c>
      <c r="C22" s="4" t="s">
        <v>387</v>
      </c>
      <c r="D22" s="4" t="s">
        <v>378</v>
      </c>
      <c r="E22" s="4" t="s">
        <v>73</v>
      </c>
      <c r="F22" s="12">
        <v>6</v>
      </c>
      <c r="G22" s="12">
        <v>18</v>
      </c>
      <c r="H22" s="12">
        <v>0</v>
      </c>
      <c r="I22" s="12">
        <v>151</v>
      </c>
      <c r="J22" s="82">
        <f t="shared" si="0"/>
        <v>18</v>
      </c>
      <c r="K22" s="12" t="s">
        <v>470</v>
      </c>
      <c r="L22" s="12"/>
      <c r="M22" s="12"/>
      <c r="N22" s="12"/>
      <c r="O22" s="12"/>
      <c r="P22" s="12"/>
      <c r="Q22" s="12"/>
      <c r="R22" s="12"/>
      <c r="S22" s="12"/>
      <c r="T22" s="12"/>
      <c r="U22" s="12"/>
      <c r="V22" s="12"/>
      <c r="X22" s="12"/>
      <c r="Y22" s="12"/>
      <c r="Z22" s="12"/>
      <c r="AA22" s="12"/>
      <c r="AB22" s="12"/>
      <c r="AC22" s="12"/>
      <c r="AD22" s="12">
        <v>100</v>
      </c>
      <c r="AE22" s="12" t="s">
        <v>469</v>
      </c>
      <c r="AF22" s="12"/>
      <c r="AG22" s="12"/>
      <c r="AH22" s="12"/>
      <c r="AI22" s="12"/>
      <c r="AJ22" s="12" t="s">
        <v>380</v>
      </c>
      <c r="AK22" s="12" t="s">
        <v>381</v>
      </c>
      <c r="AL22" s="12"/>
    </row>
    <row r="23" spans="1:38">
      <c r="A23" s="4" t="s">
        <v>411</v>
      </c>
      <c r="C23" s="4" t="s">
        <v>387</v>
      </c>
      <c r="D23" s="4" t="s">
        <v>378</v>
      </c>
      <c r="E23" s="4" t="s">
        <v>77</v>
      </c>
      <c r="F23" s="12">
        <v>6</v>
      </c>
      <c r="G23" s="12">
        <v>18</v>
      </c>
      <c r="H23" s="12">
        <v>0</v>
      </c>
      <c r="I23" s="12">
        <v>151</v>
      </c>
      <c r="J23" s="82">
        <f t="shared" si="0"/>
        <v>18</v>
      </c>
      <c r="K23" s="12" t="s">
        <v>472</v>
      </c>
      <c r="L23" s="12"/>
      <c r="M23" s="12"/>
      <c r="N23" s="12"/>
      <c r="O23" s="12"/>
      <c r="P23" s="12"/>
      <c r="Q23" s="12"/>
      <c r="R23" s="12"/>
      <c r="S23" s="12"/>
      <c r="T23" s="12"/>
      <c r="U23" s="12"/>
      <c r="V23" s="12"/>
      <c r="X23" s="12"/>
      <c r="Y23" s="12"/>
      <c r="Z23" s="12"/>
      <c r="AA23" s="12"/>
      <c r="AB23" s="12"/>
      <c r="AC23" s="12"/>
      <c r="AD23" s="12">
        <v>100</v>
      </c>
      <c r="AE23" s="12" t="s">
        <v>472</v>
      </c>
      <c r="AF23" s="12"/>
      <c r="AG23" s="12"/>
      <c r="AH23" s="12"/>
      <c r="AI23" s="12"/>
      <c r="AJ23" s="12" t="s">
        <v>380</v>
      </c>
      <c r="AK23" s="12" t="s">
        <v>381</v>
      </c>
      <c r="AL23" s="12"/>
    </row>
    <row r="24" spans="1:38">
      <c r="A24" s="4" t="s">
        <v>433</v>
      </c>
      <c r="C24" s="4" t="s">
        <v>387</v>
      </c>
      <c r="D24" s="4" t="s">
        <v>378</v>
      </c>
      <c r="E24" s="4" t="s">
        <v>81</v>
      </c>
      <c r="F24" s="12">
        <v>6</v>
      </c>
      <c r="G24" s="12">
        <v>9</v>
      </c>
      <c r="H24" s="12">
        <v>0</v>
      </c>
      <c r="I24" s="12">
        <v>41</v>
      </c>
      <c r="J24" s="82">
        <f t="shared" si="0"/>
        <v>9</v>
      </c>
      <c r="K24" s="12" t="s">
        <v>469</v>
      </c>
      <c r="L24" s="12"/>
      <c r="M24" s="12"/>
      <c r="N24" s="12"/>
      <c r="O24" s="12"/>
      <c r="P24" s="12"/>
      <c r="Q24" s="12"/>
      <c r="R24" s="12"/>
      <c r="S24" s="12"/>
      <c r="T24" s="12"/>
      <c r="U24" s="12"/>
      <c r="V24" s="12"/>
      <c r="X24" s="12"/>
      <c r="Y24" s="12"/>
      <c r="Z24" s="12"/>
      <c r="AA24" s="12"/>
      <c r="AB24" s="12"/>
      <c r="AC24" s="12"/>
      <c r="AD24" s="12"/>
      <c r="AE24" s="12"/>
      <c r="AF24" s="12"/>
      <c r="AG24" s="12"/>
      <c r="AH24" s="12"/>
      <c r="AI24" s="12"/>
      <c r="AJ24" s="12" t="s">
        <v>380</v>
      </c>
      <c r="AK24" s="12" t="s">
        <v>381</v>
      </c>
      <c r="AL24" s="12"/>
    </row>
    <row r="25" spans="1:38">
      <c r="A25" s="4" t="s">
        <v>435</v>
      </c>
      <c r="C25" s="4" t="s">
        <v>387</v>
      </c>
      <c r="D25" s="4" t="s">
        <v>378</v>
      </c>
      <c r="E25" s="4" t="s">
        <v>81</v>
      </c>
      <c r="F25" s="12">
        <v>6</v>
      </c>
      <c r="G25" s="12">
        <v>9</v>
      </c>
      <c r="H25" s="12">
        <v>0</v>
      </c>
      <c r="I25" s="12">
        <v>41</v>
      </c>
      <c r="J25" s="82">
        <f t="shared" si="0"/>
        <v>9</v>
      </c>
      <c r="K25" s="12" t="s">
        <v>470</v>
      </c>
      <c r="L25" s="12"/>
      <c r="M25" s="12"/>
      <c r="N25" s="12"/>
      <c r="O25" s="12"/>
      <c r="P25" s="12"/>
      <c r="Q25" s="12"/>
      <c r="R25" s="12"/>
      <c r="S25" s="12"/>
      <c r="T25" s="12"/>
      <c r="U25" s="12"/>
      <c r="V25" s="12"/>
      <c r="X25" s="12"/>
      <c r="Y25" s="12"/>
      <c r="Z25" s="12"/>
      <c r="AA25" s="12"/>
      <c r="AB25" s="12"/>
      <c r="AC25" s="12"/>
      <c r="AD25" s="12"/>
      <c r="AE25" s="12"/>
      <c r="AF25" s="12"/>
      <c r="AG25" s="12"/>
      <c r="AH25" s="12"/>
      <c r="AI25" s="12"/>
      <c r="AJ25" s="12" t="s">
        <v>380</v>
      </c>
      <c r="AK25" s="12" t="s">
        <v>381</v>
      </c>
      <c r="AL25" s="12"/>
    </row>
    <row r="26" spans="1:38">
      <c r="A26" s="4" t="s">
        <v>557</v>
      </c>
      <c r="C26" s="4" t="s">
        <v>387</v>
      </c>
      <c r="D26" s="4" t="s">
        <v>378</v>
      </c>
      <c r="E26" s="4" t="s">
        <v>85</v>
      </c>
      <c r="F26" s="12">
        <v>8</v>
      </c>
      <c r="G26" s="12">
        <v>36</v>
      </c>
      <c r="H26" s="12">
        <v>36</v>
      </c>
      <c r="I26" s="12">
        <v>136</v>
      </c>
      <c r="J26" s="82">
        <f t="shared" si="0"/>
        <v>0</v>
      </c>
      <c r="K26" s="12" t="s">
        <v>472</v>
      </c>
      <c r="L26" s="12"/>
      <c r="M26" s="12"/>
      <c r="N26" s="12"/>
      <c r="O26" s="12"/>
      <c r="P26" s="12"/>
      <c r="Q26" s="12"/>
      <c r="R26" s="12"/>
      <c r="S26" s="12"/>
      <c r="T26" s="12"/>
      <c r="U26" s="12"/>
      <c r="V26" s="12"/>
      <c r="X26" s="12"/>
      <c r="Y26" s="12"/>
      <c r="Z26" s="12"/>
      <c r="AA26" s="12"/>
      <c r="AB26" s="12"/>
      <c r="AC26" s="12"/>
      <c r="AD26" s="12"/>
      <c r="AE26" s="12"/>
      <c r="AF26" s="12"/>
      <c r="AG26" s="12"/>
      <c r="AH26" s="12"/>
      <c r="AI26" s="12"/>
      <c r="AJ26" s="12" t="s">
        <v>396</v>
      </c>
      <c r="AK26" s="12" t="s">
        <v>397</v>
      </c>
      <c r="AL26" s="12"/>
    </row>
    <row r="27" spans="1:38">
      <c r="A27" s="4" t="s">
        <v>558</v>
      </c>
      <c r="C27" s="4" t="s">
        <v>387</v>
      </c>
      <c r="D27" s="4" t="s">
        <v>378</v>
      </c>
      <c r="E27" s="4" t="s">
        <v>85</v>
      </c>
      <c r="F27" s="12">
        <v>8</v>
      </c>
      <c r="G27" s="12">
        <v>36</v>
      </c>
      <c r="H27" s="12">
        <v>36</v>
      </c>
      <c r="I27" s="12">
        <v>136</v>
      </c>
      <c r="J27" s="82">
        <f t="shared" si="0"/>
        <v>0</v>
      </c>
      <c r="K27" s="12" t="s">
        <v>469</v>
      </c>
      <c r="L27" s="12"/>
      <c r="M27" s="12"/>
      <c r="N27" s="12"/>
      <c r="O27" s="12"/>
      <c r="P27" s="12"/>
      <c r="Q27" s="12"/>
      <c r="R27" s="12"/>
      <c r="S27" s="12"/>
      <c r="T27" s="12"/>
      <c r="U27" s="12"/>
      <c r="V27" s="12"/>
      <c r="X27" s="12"/>
      <c r="Y27" s="12"/>
      <c r="Z27" s="12"/>
      <c r="AA27" s="12"/>
      <c r="AB27" s="12"/>
      <c r="AC27" s="12"/>
      <c r="AD27" s="12"/>
      <c r="AE27" s="12"/>
      <c r="AF27" s="12"/>
      <c r="AG27" s="12"/>
      <c r="AH27" s="12"/>
      <c r="AI27" s="12"/>
      <c r="AJ27" s="12" t="s">
        <v>396</v>
      </c>
      <c r="AK27" s="12" t="s">
        <v>397</v>
      </c>
      <c r="AL27" s="12"/>
    </row>
    <row r="28" spans="1:38">
      <c r="A28" s="4" t="s">
        <v>559</v>
      </c>
      <c r="C28" s="4" t="s">
        <v>387</v>
      </c>
      <c r="D28" s="4" t="s">
        <v>378</v>
      </c>
      <c r="E28" s="4" t="s">
        <v>85</v>
      </c>
      <c r="F28" s="12">
        <v>8</v>
      </c>
      <c r="G28" s="12">
        <v>36</v>
      </c>
      <c r="H28" s="12">
        <v>36</v>
      </c>
      <c r="I28" s="12">
        <v>136</v>
      </c>
      <c r="J28" s="82">
        <f t="shared" si="0"/>
        <v>0</v>
      </c>
      <c r="K28" s="12" t="s">
        <v>470</v>
      </c>
      <c r="L28" s="12"/>
      <c r="M28" s="12"/>
      <c r="N28" s="12"/>
      <c r="O28" s="12"/>
      <c r="P28" s="12"/>
      <c r="Q28" s="12"/>
      <c r="R28" s="12"/>
      <c r="S28" s="12"/>
      <c r="T28" s="12"/>
      <c r="U28" s="12"/>
      <c r="V28" s="12"/>
      <c r="X28" s="12"/>
      <c r="Y28" s="12"/>
      <c r="Z28" s="12"/>
      <c r="AA28" s="12"/>
      <c r="AB28" s="12"/>
      <c r="AC28" s="12"/>
      <c r="AD28" s="12"/>
      <c r="AE28" s="12"/>
      <c r="AF28" s="12"/>
      <c r="AG28" s="12"/>
      <c r="AH28" s="12"/>
      <c r="AI28" s="12"/>
      <c r="AJ28" s="12" t="s">
        <v>396</v>
      </c>
      <c r="AK28" s="12" t="s">
        <v>397</v>
      </c>
      <c r="AL28" s="12"/>
    </row>
    <row r="29" spans="1:38">
      <c r="A29" s="4" t="s">
        <v>560</v>
      </c>
      <c r="C29" s="4" t="s">
        <v>387</v>
      </c>
      <c r="D29" s="4" t="s">
        <v>378</v>
      </c>
      <c r="E29" s="4" t="s">
        <v>85</v>
      </c>
      <c r="F29" s="12">
        <v>8</v>
      </c>
      <c r="G29" s="12">
        <v>36</v>
      </c>
      <c r="H29" s="12">
        <v>36</v>
      </c>
      <c r="I29" s="12">
        <v>136</v>
      </c>
      <c r="J29" s="82">
        <f t="shared" si="0"/>
        <v>0</v>
      </c>
      <c r="K29" s="12" t="s">
        <v>472</v>
      </c>
      <c r="L29" s="12"/>
      <c r="M29" s="12"/>
      <c r="N29" s="12"/>
      <c r="O29" s="12"/>
      <c r="P29" s="12"/>
      <c r="Q29" s="12"/>
      <c r="R29" s="12"/>
      <c r="S29" s="12"/>
      <c r="T29" s="12"/>
      <c r="U29" s="12"/>
      <c r="V29" s="12"/>
      <c r="X29" s="12"/>
      <c r="Y29" s="12"/>
      <c r="Z29" s="12"/>
      <c r="AA29" s="12"/>
      <c r="AB29" s="12"/>
      <c r="AC29" s="12"/>
      <c r="AD29" s="12"/>
      <c r="AE29" s="12"/>
      <c r="AF29" s="12"/>
      <c r="AG29" s="12"/>
      <c r="AH29" s="12"/>
      <c r="AI29" s="12"/>
      <c r="AJ29" s="12" t="s">
        <v>396</v>
      </c>
      <c r="AK29" s="12" t="s">
        <v>397</v>
      </c>
      <c r="AL29" s="12"/>
    </row>
    <row r="30" spans="1:38">
      <c r="A30" s="4" t="s">
        <v>566</v>
      </c>
      <c r="C30" s="4" t="s">
        <v>387</v>
      </c>
      <c r="D30" s="4" t="s">
        <v>378</v>
      </c>
      <c r="E30" s="4" t="s">
        <v>85</v>
      </c>
      <c r="F30" s="12">
        <v>8</v>
      </c>
      <c r="G30" s="12">
        <v>36</v>
      </c>
      <c r="H30" s="12">
        <v>36</v>
      </c>
      <c r="I30" s="12">
        <v>136</v>
      </c>
      <c r="J30" s="82">
        <f t="shared" si="0"/>
        <v>0</v>
      </c>
      <c r="K30" s="12" t="s">
        <v>469</v>
      </c>
      <c r="L30" s="12"/>
      <c r="M30" s="12"/>
      <c r="N30" s="12"/>
      <c r="O30" s="12"/>
      <c r="P30" s="12"/>
      <c r="Q30" s="12"/>
      <c r="R30" s="12"/>
      <c r="S30" s="12"/>
      <c r="T30" s="12"/>
      <c r="U30" s="12"/>
      <c r="V30" s="12"/>
      <c r="X30" s="12"/>
      <c r="Y30" s="12"/>
      <c r="Z30" s="12"/>
      <c r="AA30" s="12"/>
      <c r="AB30" s="12"/>
      <c r="AC30" s="12"/>
      <c r="AD30" s="12"/>
      <c r="AE30" s="12"/>
      <c r="AF30" s="12"/>
      <c r="AG30" s="12"/>
      <c r="AH30" s="12"/>
      <c r="AI30" s="12"/>
      <c r="AJ30" s="12" t="s">
        <v>396</v>
      </c>
      <c r="AK30" s="12" t="s">
        <v>397</v>
      </c>
      <c r="AL30" s="12"/>
    </row>
    <row r="31" spans="1:38">
      <c r="A31" s="4" t="s">
        <v>567</v>
      </c>
      <c r="C31" s="4" t="s">
        <v>387</v>
      </c>
      <c r="D31" s="4" t="s">
        <v>378</v>
      </c>
      <c r="E31" s="4" t="s">
        <v>85</v>
      </c>
      <c r="F31" s="12">
        <v>8</v>
      </c>
      <c r="G31" s="12">
        <v>36</v>
      </c>
      <c r="H31" s="12">
        <v>36</v>
      </c>
      <c r="I31" s="12">
        <v>136</v>
      </c>
      <c r="J31" s="82">
        <f t="shared" si="0"/>
        <v>0</v>
      </c>
      <c r="K31" s="12" t="s">
        <v>470</v>
      </c>
      <c r="L31" s="12"/>
      <c r="M31" s="12"/>
      <c r="N31" s="12"/>
      <c r="O31" s="12"/>
      <c r="P31" s="12"/>
      <c r="Q31" s="12"/>
      <c r="R31" s="12"/>
      <c r="S31" s="12"/>
      <c r="T31" s="12"/>
      <c r="U31" s="12"/>
      <c r="V31" s="12"/>
      <c r="X31" s="12"/>
      <c r="Y31" s="12"/>
      <c r="Z31" s="12"/>
      <c r="AA31" s="12"/>
      <c r="AB31" s="12"/>
      <c r="AC31" s="12"/>
      <c r="AD31" s="12"/>
      <c r="AE31" s="12"/>
      <c r="AF31" s="12"/>
      <c r="AG31" s="12"/>
      <c r="AH31" s="12"/>
      <c r="AI31" s="12"/>
      <c r="AJ31" s="12" t="s">
        <v>396</v>
      </c>
      <c r="AK31" s="12" t="s">
        <v>397</v>
      </c>
      <c r="AL31" s="12"/>
    </row>
    <row r="32" spans="1:38">
      <c r="A32" s="4" t="s">
        <v>582</v>
      </c>
      <c r="C32" s="4" t="s">
        <v>387</v>
      </c>
      <c r="D32" s="4" t="s">
        <v>378</v>
      </c>
      <c r="E32" s="4" t="s">
        <v>85</v>
      </c>
      <c r="F32" s="12">
        <v>8</v>
      </c>
      <c r="G32" s="12">
        <v>36</v>
      </c>
      <c r="H32" s="12">
        <v>36</v>
      </c>
      <c r="I32" s="12">
        <v>136</v>
      </c>
      <c r="J32" s="82">
        <f t="shared" si="0"/>
        <v>0</v>
      </c>
      <c r="K32" s="12" t="s">
        <v>472</v>
      </c>
      <c r="L32" s="12"/>
      <c r="M32" s="12"/>
      <c r="N32" s="12"/>
      <c r="O32" s="12"/>
      <c r="P32" s="12"/>
      <c r="Q32" s="12"/>
      <c r="R32" s="12"/>
      <c r="S32" s="12"/>
      <c r="T32" s="12"/>
      <c r="U32" s="12"/>
      <c r="V32" s="12"/>
      <c r="X32" s="12"/>
      <c r="Y32" s="12"/>
      <c r="Z32" s="12"/>
      <c r="AA32" s="12"/>
      <c r="AB32" s="12"/>
      <c r="AC32" s="12"/>
      <c r="AD32" s="12"/>
      <c r="AE32" s="12"/>
      <c r="AF32" s="12"/>
      <c r="AG32" s="12"/>
      <c r="AH32" s="12"/>
      <c r="AI32" s="12"/>
      <c r="AJ32" s="12" t="s">
        <v>396</v>
      </c>
      <c r="AK32" s="12" t="s">
        <v>397</v>
      </c>
      <c r="AL32" s="12"/>
    </row>
    <row r="33" spans="1:47">
      <c r="A33" s="4" t="s">
        <v>583</v>
      </c>
      <c r="C33" s="4" t="s">
        <v>387</v>
      </c>
      <c r="D33" s="4" t="s">
        <v>378</v>
      </c>
      <c r="E33" s="4" t="s">
        <v>85</v>
      </c>
      <c r="F33" s="12">
        <v>8</v>
      </c>
      <c r="G33" s="12">
        <v>36</v>
      </c>
      <c r="H33" s="12">
        <v>36</v>
      </c>
      <c r="I33" s="12">
        <v>136</v>
      </c>
      <c r="J33" s="82">
        <f t="shared" si="0"/>
        <v>0</v>
      </c>
      <c r="K33" s="12" t="s">
        <v>469</v>
      </c>
      <c r="L33" s="12"/>
      <c r="M33" s="12"/>
      <c r="N33" s="12"/>
      <c r="O33" s="12"/>
      <c r="P33" s="12"/>
      <c r="Q33" s="12"/>
      <c r="R33" s="12"/>
      <c r="S33" s="12"/>
      <c r="T33" s="12"/>
      <c r="U33" s="12"/>
      <c r="V33" s="12"/>
      <c r="X33" s="12"/>
      <c r="Y33" s="12"/>
      <c r="Z33" s="12"/>
      <c r="AA33" s="12"/>
      <c r="AB33" s="12"/>
      <c r="AC33" s="12"/>
      <c r="AD33" s="12"/>
      <c r="AE33" s="12"/>
      <c r="AF33" s="12"/>
      <c r="AG33" s="12"/>
      <c r="AH33" s="12"/>
      <c r="AI33" s="12"/>
      <c r="AJ33" s="12" t="s">
        <v>396</v>
      </c>
      <c r="AK33" s="12" t="s">
        <v>397</v>
      </c>
      <c r="AL33" s="12"/>
    </row>
    <row r="34" spans="1:47">
      <c r="A34" s="4" t="s">
        <v>590</v>
      </c>
      <c r="C34" s="4" t="s">
        <v>387</v>
      </c>
      <c r="D34" s="19" t="s">
        <v>434</v>
      </c>
      <c r="E34" s="4" t="s">
        <v>89</v>
      </c>
      <c r="F34" s="12">
        <v>4</v>
      </c>
      <c r="G34" s="12">
        <v>4</v>
      </c>
      <c r="H34" s="12">
        <v>0</v>
      </c>
      <c r="I34" s="12">
        <v>100</v>
      </c>
      <c r="J34" s="82">
        <f t="shared" si="0"/>
        <v>4</v>
      </c>
      <c r="K34" s="12" t="s">
        <v>470</v>
      </c>
      <c r="L34" s="12"/>
      <c r="M34" s="12"/>
      <c r="N34" s="12"/>
      <c r="O34" s="12"/>
      <c r="P34" s="12"/>
      <c r="Q34" s="12"/>
      <c r="R34" s="12"/>
      <c r="S34" s="12"/>
      <c r="T34" s="12"/>
      <c r="U34" s="12"/>
      <c r="V34" s="12"/>
      <c r="X34" s="12"/>
      <c r="Y34" s="12"/>
      <c r="Z34" s="12"/>
      <c r="AA34" s="12"/>
      <c r="AB34" s="12"/>
      <c r="AC34" s="12"/>
      <c r="AD34" s="12"/>
      <c r="AE34" s="12"/>
      <c r="AF34" s="12"/>
      <c r="AG34" s="12"/>
      <c r="AH34" s="12"/>
      <c r="AI34" s="12"/>
      <c r="AJ34" s="12" t="s">
        <v>380</v>
      </c>
      <c r="AK34" s="12" t="s">
        <v>381</v>
      </c>
      <c r="AL34" s="12"/>
    </row>
    <row r="35" spans="1:47">
      <c r="A35" s="4" t="s">
        <v>591</v>
      </c>
      <c r="C35" s="4" t="s">
        <v>387</v>
      </c>
      <c r="D35" s="19" t="s">
        <v>434</v>
      </c>
      <c r="E35" s="4" t="s">
        <v>97</v>
      </c>
      <c r="F35" s="12">
        <v>4</v>
      </c>
      <c r="G35" s="12">
        <v>16</v>
      </c>
      <c r="H35" s="12">
        <v>0</v>
      </c>
      <c r="I35" s="12">
        <v>110</v>
      </c>
      <c r="J35" s="82">
        <f t="shared" si="0"/>
        <v>16</v>
      </c>
      <c r="K35" s="12" t="s">
        <v>472</v>
      </c>
      <c r="L35" s="12"/>
      <c r="M35" s="12"/>
      <c r="N35" s="12"/>
      <c r="O35" s="12"/>
      <c r="P35" s="12"/>
      <c r="Q35" s="12"/>
      <c r="R35" s="12"/>
      <c r="S35" s="12"/>
      <c r="T35" s="12"/>
      <c r="U35" s="12"/>
      <c r="V35" s="12"/>
      <c r="X35" s="12"/>
      <c r="Y35" s="12"/>
      <c r="Z35" s="12"/>
      <c r="AA35" s="12"/>
      <c r="AB35" s="12"/>
      <c r="AC35" s="12"/>
      <c r="AD35" s="12"/>
      <c r="AE35" s="12"/>
      <c r="AF35" s="12"/>
      <c r="AG35" s="12"/>
      <c r="AH35" s="12"/>
      <c r="AI35" s="12"/>
      <c r="AJ35" s="12" t="s">
        <v>380</v>
      </c>
      <c r="AK35" s="12" t="s">
        <v>381</v>
      </c>
      <c r="AL35" s="12"/>
    </row>
    <row r="36" spans="1:47">
      <c r="A36" s="4" t="s">
        <v>436</v>
      </c>
      <c r="C36" s="4" t="s">
        <v>387</v>
      </c>
      <c r="D36" s="19" t="s">
        <v>434</v>
      </c>
      <c r="E36" s="4" t="s">
        <v>93</v>
      </c>
      <c r="F36" s="12">
        <v>4</v>
      </c>
      <c r="G36" s="12">
        <v>14</v>
      </c>
      <c r="H36" s="12">
        <v>0</v>
      </c>
      <c r="I36" s="12">
        <v>120</v>
      </c>
      <c r="J36" s="82">
        <f t="shared" si="0"/>
        <v>14</v>
      </c>
      <c r="K36" s="12" t="s">
        <v>472</v>
      </c>
      <c r="L36" s="12"/>
      <c r="M36" s="12"/>
      <c r="N36" s="12"/>
      <c r="O36" s="12"/>
      <c r="P36" s="12"/>
      <c r="Q36" s="12"/>
      <c r="R36" s="12"/>
      <c r="S36" s="12"/>
      <c r="T36" s="12"/>
      <c r="U36" s="12"/>
      <c r="V36" s="12"/>
      <c r="X36" s="12"/>
      <c r="Y36" s="12"/>
      <c r="Z36" s="12"/>
      <c r="AA36" s="12"/>
      <c r="AB36" s="12"/>
      <c r="AC36" s="12"/>
      <c r="AD36" s="12"/>
      <c r="AE36" s="12"/>
      <c r="AF36" s="12"/>
      <c r="AG36" s="12"/>
      <c r="AH36" s="12"/>
      <c r="AI36" s="12"/>
      <c r="AJ36" s="12" t="s">
        <v>380</v>
      </c>
      <c r="AK36" s="12" t="s">
        <v>381</v>
      </c>
      <c r="AL36" s="12"/>
    </row>
    <row r="37" spans="1:47">
      <c r="A37" s="4" t="s">
        <v>412</v>
      </c>
      <c r="B37" s="12"/>
      <c r="C37" s="4" t="s">
        <v>387</v>
      </c>
      <c r="D37" s="4" t="s">
        <v>378</v>
      </c>
      <c r="E37" s="4" t="s">
        <v>100</v>
      </c>
      <c r="F37" s="12">
        <v>9</v>
      </c>
      <c r="G37" s="12">
        <v>12</v>
      </c>
      <c r="H37" s="12">
        <v>0</v>
      </c>
      <c r="I37" s="12">
        <v>56</v>
      </c>
      <c r="J37" s="82">
        <f t="shared" si="0"/>
        <v>12</v>
      </c>
      <c r="K37" s="12" t="s">
        <v>469</v>
      </c>
      <c r="L37" s="12"/>
      <c r="M37" s="12"/>
      <c r="N37" s="12"/>
      <c r="O37" s="12"/>
      <c r="P37" s="12"/>
      <c r="Q37" s="12"/>
      <c r="R37" s="12"/>
      <c r="S37" s="12"/>
      <c r="T37" s="12"/>
      <c r="U37" s="12"/>
      <c r="V37" s="12"/>
      <c r="X37" s="12"/>
      <c r="Y37" s="12"/>
      <c r="Z37" s="12">
        <v>50</v>
      </c>
      <c r="AA37" s="12" t="s">
        <v>413</v>
      </c>
      <c r="AB37" s="12"/>
      <c r="AC37" s="12"/>
      <c r="AD37" s="12"/>
      <c r="AE37" s="12"/>
      <c r="AF37" s="12"/>
      <c r="AG37" s="12"/>
      <c r="AH37" s="12"/>
      <c r="AI37" s="12"/>
      <c r="AJ37" s="12" t="s">
        <v>380</v>
      </c>
      <c r="AK37" s="12" t="s">
        <v>381</v>
      </c>
      <c r="AL37" s="12"/>
    </row>
    <row r="38" spans="1:47">
      <c r="A38" s="4" t="s">
        <v>414</v>
      </c>
      <c r="C38" s="4" t="s">
        <v>387</v>
      </c>
      <c r="D38" s="4" t="s">
        <v>378</v>
      </c>
      <c r="E38" s="4" t="s">
        <v>100</v>
      </c>
      <c r="F38" s="12">
        <v>9</v>
      </c>
      <c r="G38" s="12">
        <v>12</v>
      </c>
      <c r="H38" s="12">
        <v>0</v>
      </c>
      <c r="I38" s="12">
        <v>56</v>
      </c>
      <c r="J38" s="82">
        <f t="shared" si="0"/>
        <v>12</v>
      </c>
      <c r="K38" s="12" t="s">
        <v>470</v>
      </c>
      <c r="L38" s="12"/>
      <c r="M38" s="12"/>
      <c r="N38" s="12"/>
      <c r="O38" s="12"/>
      <c r="P38" s="12"/>
      <c r="Q38" s="12"/>
      <c r="R38" s="12"/>
      <c r="S38" s="12"/>
      <c r="T38" s="12"/>
      <c r="U38" s="12"/>
      <c r="V38" s="12"/>
      <c r="X38" s="12"/>
      <c r="Y38" s="12"/>
      <c r="Z38" s="12">
        <v>50</v>
      </c>
      <c r="AA38" s="12" t="s">
        <v>413</v>
      </c>
      <c r="AB38" s="12"/>
      <c r="AC38" s="12"/>
      <c r="AD38" s="12"/>
      <c r="AE38" s="12"/>
      <c r="AF38" s="12"/>
      <c r="AG38" s="12"/>
      <c r="AH38" s="12"/>
      <c r="AI38" s="12"/>
      <c r="AJ38" s="12" t="s">
        <v>380</v>
      </c>
      <c r="AK38" s="12" t="s">
        <v>381</v>
      </c>
      <c r="AL38" s="12"/>
    </row>
    <row r="39" spans="1:47">
      <c r="A39" s="4" t="s">
        <v>584</v>
      </c>
      <c r="C39" s="4" t="s">
        <v>387</v>
      </c>
      <c r="D39" s="4" t="s">
        <v>378</v>
      </c>
      <c r="E39" s="4" t="s">
        <v>100</v>
      </c>
      <c r="F39" s="12">
        <v>9</v>
      </c>
      <c r="G39" s="12">
        <v>12</v>
      </c>
      <c r="H39" s="12">
        <v>0</v>
      </c>
      <c r="I39" s="12">
        <v>56</v>
      </c>
      <c r="J39" s="82">
        <f t="shared" si="0"/>
        <v>12</v>
      </c>
      <c r="K39" s="12" t="s">
        <v>472</v>
      </c>
      <c r="L39" s="12"/>
      <c r="M39" s="12"/>
      <c r="N39" s="12"/>
      <c r="O39" s="12"/>
      <c r="P39" s="12"/>
      <c r="Q39" s="12"/>
      <c r="R39" s="12"/>
      <c r="S39" s="12"/>
      <c r="T39" s="12"/>
      <c r="U39" s="12"/>
      <c r="V39" s="12"/>
      <c r="X39" s="12"/>
      <c r="Y39" s="12"/>
      <c r="Z39" s="12">
        <v>50</v>
      </c>
      <c r="AA39" s="12" t="s">
        <v>413</v>
      </c>
      <c r="AB39" s="12"/>
      <c r="AC39" s="12"/>
      <c r="AD39" s="12"/>
      <c r="AE39" s="12"/>
      <c r="AF39" s="12"/>
      <c r="AG39" s="12"/>
      <c r="AH39" s="12"/>
      <c r="AI39" s="12"/>
      <c r="AJ39" s="12" t="s">
        <v>380</v>
      </c>
      <c r="AK39" s="12" t="s">
        <v>381</v>
      </c>
      <c r="AL39" s="12"/>
    </row>
    <row r="40" spans="1:47">
      <c r="A40" s="4" t="s">
        <v>585</v>
      </c>
      <c r="C40" s="4" t="s">
        <v>387</v>
      </c>
      <c r="D40" s="4" t="s">
        <v>378</v>
      </c>
      <c r="E40" s="4" t="s">
        <v>100</v>
      </c>
      <c r="F40" s="12">
        <v>9</v>
      </c>
      <c r="G40" s="12">
        <v>12</v>
      </c>
      <c r="H40" s="12">
        <v>0</v>
      </c>
      <c r="I40" s="12">
        <v>56</v>
      </c>
      <c r="J40" s="82">
        <f t="shared" si="0"/>
        <v>12</v>
      </c>
      <c r="K40" s="12" t="s">
        <v>469</v>
      </c>
      <c r="L40" s="12"/>
      <c r="M40" s="12"/>
      <c r="N40" s="12"/>
      <c r="O40" s="12"/>
      <c r="P40" s="12"/>
      <c r="Q40" s="12"/>
      <c r="R40" s="12"/>
      <c r="S40" s="12"/>
      <c r="T40" s="12"/>
      <c r="U40" s="12"/>
      <c r="V40" s="12"/>
      <c r="X40" s="12"/>
      <c r="Y40" s="12"/>
      <c r="Z40" s="12">
        <v>50</v>
      </c>
      <c r="AA40" s="12" t="s">
        <v>413</v>
      </c>
      <c r="AB40" s="12"/>
      <c r="AC40" s="12"/>
      <c r="AD40" s="12"/>
      <c r="AE40" s="12"/>
      <c r="AF40" s="12"/>
      <c r="AG40" s="12"/>
      <c r="AH40" s="12"/>
      <c r="AI40" s="12"/>
      <c r="AJ40" s="12" t="s">
        <v>380</v>
      </c>
      <c r="AK40" s="12" t="s">
        <v>381</v>
      </c>
      <c r="AL40" s="12"/>
    </row>
    <row r="41" spans="1:47">
      <c r="A41" s="4" t="s">
        <v>415</v>
      </c>
      <c r="C41" s="4" t="s">
        <v>387</v>
      </c>
      <c r="D41" s="4" t="s">
        <v>378</v>
      </c>
      <c r="E41" s="4" t="s">
        <v>416</v>
      </c>
      <c r="F41" s="12">
        <v>4</v>
      </c>
      <c r="G41" s="12">
        <v>4</v>
      </c>
      <c r="H41" s="12">
        <v>0</v>
      </c>
      <c r="I41" s="12">
        <v>41</v>
      </c>
      <c r="J41" s="82">
        <f t="shared" si="0"/>
        <v>4</v>
      </c>
      <c r="K41" s="12" t="s">
        <v>472</v>
      </c>
      <c r="L41" s="12"/>
      <c r="M41" s="12"/>
      <c r="N41" s="12"/>
      <c r="O41" s="12"/>
      <c r="P41" s="12"/>
      <c r="Q41" s="12"/>
      <c r="R41" s="12"/>
      <c r="S41" s="12"/>
      <c r="T41" s="12"/>
      <c r="U41" s="12"/>
      <c r="V41" s="12"/>
      <c r="X41" s="12"/>
      <c r="Y41" s="12"/>
      <c r="Z41" s="82"/>
      <c r="AA41" s="12"/>
      <c r="AB41" s="12"/>
      <c r="AC41" s="12"/>
      <c r="AD41" s="12"/>
      <c r="AE41" s="12"/>
      <c r="AF41" s="12"/>
      <c r="AG41" s="12"/>
      <c r="AH41" s="12"/>
      <c r="AI41" s="12"/>
      <c r="AJ41" s="12" t="s">
        <v>380</v>
      </c>
      <c r="AK41" s="12" t="s">
        <v>381</v>
      </c>
      <c r="AL41" s="12"/>
    </row>
    <row r="42" spans="1:47">
      <c r="A42" s="4" t="s">
        <v>417</v>
      </c>
      <c r="C42" s="4" t="s">
        <v>387</v>
      </c>
      <c r="D42" s="4" t="s">
        <v>378</v>
      </c>
      <c r="E42" s="4" t="s">
        <v>418</v>
      </c>
      <c r="F42" s="12">
        <v>4</v>
      </c>
      <c r="G42" s="12">
        <v>4</v>
      </c>
      <c r="H42" s="12">
        <v>0</v>
      </c>
      <c r="I42" s="12">
        <v>41</v>
      </c>
      <c r="J42" s="82">
        <f t="shared" ref="J42:J43" si="1">G42-H42</f>
        <v>4</v>
      </c>
      <c r="K42" s="12" t="s">
        <v>472</v>
      </c>
      <c r="L42" s="12"/>
      <c r="M42" s="12"/>
      <c r="N42" s="12"/>
      <c r="O42" s="12"/>
      <c r="P42" s="12"/>
      <c r="Q42" s="12"/>
      <c r="R42" s="12"/>
      <c r="S42" s="12"/>
      <c r="T42" s="12"/>
      <c r="U42" s="12"/>
      <c r="V42" s="12"/>
      <c r="X42" s="12"/>
      <c r="Y42" s="12"/>
      <c r="Z42" s="82"/>
      <c r="AA42" s="12"/>
      <c r="AB42" s="12"/>
      <c r="AC42" s="12"/>
      <c r="AD42" s="12"/>
      <c r="AE42" s="12"/>
      <c r="AF42" s="12"/>
      <c r="AG42" s="12"/>
      <c r="AH42" s="12"/>
      <c r="AI42" s="12"/>
      <c r="AJ42" s="12" t="s">
        <v>380</v>
      </c>
      <c r="AK42" s="12" t="s">
        <v>381</v>
      </c>
      <c r="AL42" s="12"/>
    </row>
    <row r="43" spans="1:47" s="43" customFormat="1" ht="14.5">
      <c r="A43" s="17" t="s">
        <v>419</v>
      </c>
      <c r="B43" s="17"/>
      <c r="C43" s="17" t="s">
        <v>387</v>
      </c>
      <c r="D43" s="17" t="s">
        <v>378</v>
      </c>
      <c r="E43" s="17" t="s">
        <v>420</v>
      </c>
      <c r="F43" s="15">
        <v>2</v>
      </c>
      <c r="G43" s="15">
        <v>4</v>
      </c>
      <c r="H43" s="15">
        <v>0</v>
      </c>
      <c r="I43" s="15">
        <v>65</v>
      </c>
      <c r="J43" s="15">
        <f t="shared" si="1"/>
        <v>4</v>
      </c>
      <c r="K43" s="12" t="s">
        <v>469</v>
      </c>
      <c r="L43" s="36"/>
      <c r="M43" s="36"/>
      <c r="N43" s="111"/>
      <c r="O43" s="112"/>
      <c r="P43" s="36"/>
      <c r="Q43" s="36"/>
      <c r="R43" s="36"/>
      <c r="S43" s="36"/>
      <c r="T43" s="36"/>
      <c r="U43" s="36"/>
      <c r="X43" s="36"/>
      <c r="Y43" s="36"/>
      <c r="Z43" s="36"/>
      <c r="AA43" s="36"/>
      <c r="AB43" s="36"/>
      <c r="AC43" s="36"/>
      <c r="AD43" s="36"/>
      <c r="AE43" s="36"/>
      <c r="AF43" s="36">
        <v>200</v>
      </c>
      <c r="AG43" s="36" t="s">
        <v>421</v>
      </c>
      <c r="AH43" s="36"/>
      <c r="AI43" s="36"/>
      <c r="AJ43" s="36" t="s">
        <v>380</v>
      </c>
      <c r="AK43" s="36" t="s">
        <v>381</v>
      </c>
      <c r="AL43" s="36"/>
    </row>
    <row r="44" spans="1:47" s="18" customFormat="1">
      <c r="F44" s="16">
        <f>SUM(F8:F43)</f>
        <v>230</v>
      </c>
      <c r="G44" s="16">
        <f>SUM(G8:G43)</f>
        <v>700</v>
      </c>
      <c r="H44" s="16">
        <f>SUM(H8:H43)</f>
        <v>433</v>
      </c>
      <c r="I44" s="16">
        <f>SUM(I8:I43)</f>
        <v>3399</v>
      </c>
      <c r="J44" s="16"/>
      <c r="K44" s="16"/>
      <c r="L44" s="16">
        <f>SUM(L8:L43)</f>
        <v>500</v>
      </c>
      <c r="M44" s="16"/>
      <c r="N44" s="16">
        <f>SUM(N8:N43)</f>
        <v>9000</v>
      </c>
      <c r="O44" s="16"/>
      <c r="P44" s="16">
        <f>SUM(P8:P43)</f>
        <v>13500</v>
      </c>
      <c r="Q44" s="16"/>
      <c r="R44" s="16">
        <f>SUM(R8:R43)</f>
        <v>920</v>
      </c>
      <c r="S44" s="16"/>
      <c r="T44" s="16">
        <f>SUM(T8:T43)</f>
        <v>300</v>
      </c>
      <c r="U44" s="16"/>
      <c r="V44" s="16">
        <f>SUM(V8:V43)</f>
        <v>0</v>
      </c>
      <c r="W44" s="16"/>
      <c r="X44" s="16">
        <f>SUM(X8:X43)</f>
        <v>31056</v>
      </c>
      <c r="Z44" s="16">
        <f>SUM(Z8:Z43)</f>
        <v>200</v>
      </c>
      <c r="AB44" s="16">
        <f>SUM(AB8:AB43)</f>
        <v>50</v>
      </c>
      <c r="AD44" s="16">
        <f>SUM(AD8:AD43)</f>
        <v>200</v>
      </c>
      <c r="AF44" s="16">
        <f>SUM(AF8:AF43)</f>
        <v>200</v>
      </c>
      <c r="AH44" s="16">
        <f>SUM(AH8:AH43)</f>
        <v>6144</v>
      </c>
      <c r="AK44" s="16" t="s">
        <v>586</v>
      </c>
      <c r="AL44" s="16">
        <v>2</v>
      </c>
    </row>
    <row r="45" spans="1:47" ht="13">
      <c r="A45" s="181" t="s">
        <v>423</v>
      </c>
      <c r="B45" s="182"/>
      <c r="F45" s="12"/>
      <c r="G45" s="12"/>
      <c r="H45" s="12"/>
      <c r="I45" s="12"/>
      <c r="J45" s="12"/>
      <c r="K45" s="12"/>
      <c r="L45" s="12"/>
      <c r="M45" s="12"/>
      <c r="N45" s="12"/>
      <c r="O45" s="12"/>
      <c r="P45" s="12"/>
      <c r="Q45" s="12"/>
      <c r="R45" s="12"/>
      <c r="S45" s="12"/>
      <c r="T45" s="12"/>
      <c r="U45" s="12"/>
      <c r="V45" s="12"/>
      <c r="X45" s="12"/>
      <c r="Z45" s="12"/>
      <c r="AB45" s="12"/>
      <c r="AD45" s="12"/>
      <c r="AF45" s="12"/>
      <c r="AH45" s="12"/>
      <c r="AK45" s="12"/>
      <c r="AL45" s="12"/>
    </row>
    <row r="46" spans="1:47" ht="13.5" customHeight="1">
      <c r="A46" s="14" t="s">
        <v>424</v>
      </c>
      <c r="F46" s="12"/>
      <c r="G46" s="12"/>
      <c r="H46" s="12"/>
      <c r="I46" s="12"/>
      <c r="J46" s="12"/>
      <c r="K46" s="12"/>
      <c r="L46" s="12"/>
      <c r="M46" s="12"/>
      <c r="N46" s="12"/>
      <c r="O46"/>
      <c r="P46" s="12"/>
      <c r="Q46" s="12"/>
      <c r="R46" s="12"/>
      <c r="S46" s="12"/>
      <c r="T46" s="12"/>
      <c r="U46" s="12"/>
      <c r="V46" s="12"/>
      <c r="W46" s="4"/>
      <c r="X46" s="12"/>
      <c r="Z46" s="12"/>
      <c r="AB46" s="12"/>
      <c r="AD46" s="12"/>
      <c r="AF46" s="12"/>
      <c r="AG46" s="12"/>
      <c r="AH46" s="12"/>
      <c r="AJ46" s="12"/>
    </row>
    <row r="47" spans="1:47" s="17" customFormat="1" ht="13.5" customHeight="1">
      <c r="A47" s="17" t="s">
        <v>419</v>
      </c>
      <c r="C47" s="17" t="s">
        <v>387</v>
      </c>
      <c r="D47" s="17" t="s">
        <v>378</v>
      </c>
      <c r="E47" s="17" t="s">
        <v>425</v>
      </c>
      <c r="F47" s="15">
        <v>7</v>
      </c>
      <c r="G47" s="15">
        <v>16</v>
      </c>
      <c r="H47" s="15">
        <v>0</v>
      </c>
      <c r="I47" s="15">
        <v>28</v>
      </c>
      <c r="J47" s="15">
        <f>G47-H47</f>
        <v>16</v>
      </c>
      <c r="K47" s="15" t="s">
        <v>469</v>
      </c>
      <c r="L47" s="15"/>
      <c r="M47" s="15"/>
      <c r="N47" s="96"/>
      <c r="O47" s="95"/>
      <c r="P47" s="15"/>
      <c r="Q47" s="15"/>
      <c r="R47" s="15">
        <v>120</v>
      </c>
      <c r="S47" s="36" t="s">
        <v>394</v>
      </c>
      <c r="V47" s="15"/>
      <c r="W47" s="15"/>
      <c r="X47" s="15">
        <v>340</v>
      </c>
      <c r="Y47" s="15" t="s">
        <v>179</v>
      </c>
      <c r="AD47" s="15"/>
      <c r="AE47" s="15"/>
      <c r="AF47" s="15"/>
      <c r="AG47" s="15"/>
      <c r="AH47" s="15"/>
      <c r="AJ47" s="15"/>
      <c r="AR47" s="15"/>
      <c r="AS47" s="15"/>
      <c r="AT47" s="15"/>
      <c r="AU47" s="15"/>
    </row>
    <row r="48" spans="1:47" ht="13.5" customHeight="1">
      <c r="F48" s="12">
        <f>SUM(F47:F47)+F44</f>
        <v>237</v>
      </c>
      <c r="G48" s="12">
        <f>SUM(G47:G47)+G44</f>
        <v>716</v>
      </c>
      <c r="H48" s="12">
        <f>SUM(H47:H47)+H44</f>
        <v>433</v>
      </c>
      <c r="I48" s="12">
        <f>SUM(I47:I47)+I44</f>
        <v>3427</v>
      </c>
      <c r="J48" s="12"/>
      <c r="K48" s="12"/>
      <c r="L48" s="12">
        <f>SUM(L47:L47)+L44</f>
        <v>500</v>
      </c>
      <c r="M48" s="12"/>
      <c r="N48" s="12">
        <f>SUM(N47:N47)+N44</f>
        <v>9000</v>
      </c>
      <c r="O48"/>
      <c r="P48" s="12">
        <f>SUM(P47:P47)+P44</f>
        <v>13500</v>
      </c>
      <c r="Q48" s="12"/>
      <c r="R48" s="12">
        <f>SUM(R47:R47)+R44</f>
        <v>1040</v>
      </c>
      <c r="S48" s="12"/>
      <c r="T48" s="12">
        <f>SUM(T47:T47)+T44</f>
        <v>300</v>
      </c>
      <c r="V48" s="12">
        <f>SUM(V47:V47)+V44</f>
        <v>0</v>
      </c>
      <c r="X48" s="12">
        <f>SUM(X47:X47)+X44</f>
        <v>31396</v>
      </c>
      <c r="Z48" s="12">
        <f>SUM(Z47:Z47)+Z44</f>
        <v>200</v>
      </c>
      <c r="AB48" s="12">
        <f>SUM(AB47:AB47)+AB44</f>
        <v>50</v>
      </c>
      <c r="AD48" s="12">
        <f>SUM(AD47:AD47)+AD44</f>
        <v>200</v>
      </c>
      <c r="AE48" s="12"/>
      <c r="AF48" s="12">
        <f>SUM(AF47:AF47)+AF44</f>
        <v>200</v>
      </c>
      <c r="AG48" s="12"/>
      <c r="AH48" s="12">
        <f>SUM(AH47:AH47)+AH44</f>
        <v>6144</v>
      </c>
      <c r="AJ48" s="12"/>
      <c r="AK48" s="16" t="s">
        <v>586</v>
      </c>
      <c r="AL48" s="12">
        <v>2</v>
      </c>
      <c r="AM48" s="12"/>
      <c r="AN48" s="12"/>
      <c r="AO48" s="12"/>
      <c r="AP48" s="12"/>
    </row>
    <row r="50" spans="1:38" ht="13">
      <c r="A50" s="14" t="s">
        <v>430</v>
      </c>
      <c r="B50" s="33"/>
      <c r="C50" s="33"/>
      <c r="D50" s="33"/>
      <c r="E50" s="33"/>
      <c r="F50" s="33"/>
      <c r="G50" s="33"/>
      <c r="H50" s="33"/>
      <c r="I50" s="33"/>
      <c r="J50" s="33"/>
      <c r="K50" s="33"/>
      <c r="L50" s="33"/>
      <c r="M50" s="33"/>
      <c r="N50" s="33"/>
      <c r="O50" s="33"/>
      <c r="P50" s="33"/>
      <c r="Q50" s="33"/>
      <c r="R50" s="33"/>
      <c r="S50" s="33"/>
      <c r="T50" s="33"/>
      <c r="U50" s="33"/>
      <c r="V50" s="33"/>
      <c r="W50" s="82"/>
      <c r="X50" s="33"/>
      <c r="Y50" s="33"/>
      <c r="Z50" s="33"/>
      <c r="AA50" s="33"/>
      <c r="AB50" s="33"/>
      <c r="AC50" s="33"/>
      <c r="AD50" s="33"/>
      <c r="AE50" s="33"/>
      <c r="AF50" s="33"/>
      <c r="AG50" s="33"/>
      <c r="AH50" s="33"/>
      <c r="AI50" s="33"/>
      <c r="AJ50" s="33"/>
      <c r="AK50" s="33"/>
      <c r="AL50" s="33"/>
    </row>
    <row r="51" spans="1:38">
      <c r="A51" s="33"/>
      <c r="B51" s="33"/>
      <c r="C51" s="33"/>
      <c r="D51" s="33"/>
      <c r="E51" s="33"/>
      <c r="F51" s="33"/>
      <c r="G51" s="33"/>
      <c r="H51" s="33"/>
      <c r="I51" s="33"/>
      <c r="J51" s="33"/>
      <c r="K51" s="33"/>
      <c r="L51" s="33"/>
      <c r="M51" s="33"/>
      <c r="N51" s="33"/>
      <c r="O51" s="33"/>
      <c r="P51" s="33"/>
      <c r="Q51" s="33"/>
      <c r="R51" s="33"/>
      <c r="S51" s="33"/>
      <c r="T51" s="33"/>
      <c r="U51" s="33"/>
      <c r="V51" s="33"/>
      <c r="W51" s="82"/>
      <c r="X51" s="33"/>
      <c r="Y51" s="33"/>
      <c r="Z51" s="33"/>
      <c r="AA51" s="33"/>
      <c r="AB51" s="33"/>
      <c r="AC51" s="33"/>
      <c r="AD51" s="33"/>
      <c r="AE51" s="33"/>
      <c r="AF51" s="33"/>
      <c r="AG51" s="33"/>
      <c r="AH51" s="33"/>
      <c r="AI51" s="33"/>
      <c r="AJ51" s="33"/>
      <c r="AK51" s="33"/>
      <c r="AL51" s="33"/>
    </row>
    <row r="52" spans="1:38">
      <c r="A52" s="33" t="s">
        <v>431</v>
      </c>
      <c r="B52" s="33"/>
      <c r="C52" s="33" t="s">
        <v>387</v>
      </c>
      <c r="D52" s="4" t="s">
        <v>378</v>
      </c>
      <c r="E52" s="33" t="s">
        <v>21</v>
      </c>
      <c r="F52" s="82">
        <v>16</v>
      </c>
      <c r="G52" s="82">
        <v>64</v>
      </c>
      <c r="H52" s="82">
        <v>0</v>
      </c>
      <c r="I52" s="12">
        <v>71</v>
      </c>
      <c r="J52" s="82">
        <f t="shared" ref="J52:J77" si="2">G52-H52</f>
        <v>64</v>
      </c>
      <c r="K52" s="82"/>
      <c r="L52" s="33"/>
      <c r="M52" s="33"/>
      <c r="N52" s="33"/>
      <c r="O52" s="33"/>
      <c r="P52" s="33"/>
      <c r="Q52" s="33"/>
      <c r="R52" s="33"/>
      <c r="S52" s="33"/>
      <c r="T52" s="33"/>
      <c r="U52" s="33"/>
      <c r="V52" s="33"/>
      <c r="W52" s="82"/>
      <c r="X52" s="33"/>
      <c r="Y52" s="33"/>
      <c r="Z52" s="33"/>
      <c r="AA52" s="33"/>
      <c r="AB52" s="33"/>
      <c r="AC52" s="33"/>
      <c r="AD52" s="33"/>
      <c r="AE52" s="33"/>
      <c r="AF52" s="33"/>
      <c r="AG52" s="33"/>
      <c r="AH52" s="33"/>
      <c r="AI52" s="33"/>
      <c r="AJ52" s="82" t="s">
        <v>380</v>
      </c>
      <c r="AK52" s="82" t="s">
        <v>381</v>
      </c>
      <c r="AL52" s="82"/>
    </row>
    <row r="53" spans="1:38">
      <c r="A53" s="33" t="s">
        <v>481</v>
      </c>
      <c r="B53" s="33"/>
      <c r="C53" s="33" t="s">
        <v>387</v>
      </c>
      <c r="D53" s="19" t="s">
        <v>434</v>
      </c>
      <c r="E53" s="4" t="s">
        <v>89</v>
      </c>
      <c r="F53" s="82">
        <v>4</v>
      </c>
      <c r="G53" s="82">
        <v>4</v>
      </c>
      <c r="H53" s="82">
        <v>0</v>
      </c>
      <c r="I53" s="82">
        <v>100</v>
      </c>
      <c r="J53" s="82">
        <f t="shared" si="2"/>
        <v>4</v>
      </c>
      <c r="K53" s="82"/>
      <c r="L53" s="33"/>
      <c r="M53" s="33"/>
      <c r="N53" s="33"/>
      <c r="O53" s="33"/>
      <c r="P53" s="33"/>
      <c r="Q53" s="33"/>
      <c r="R53" s="33"/>
      <c r="S53" s="33"/>
      <c r="T53" s="33"/>
      <c r="U53" s="33"/>
      <c r="V53" s="33"/>
      <c r="W53" s="82"/>
      <c r="X53" s="33"/>
      <c r="Y53" s="33"/>
      <c r="Z53" s="33"/>
      <c r="AA53" s="33"/>
      <c r="AB53" s="33"/>
      <c r="AC53" s="33"/>
      <c r="AD53" s="33"/>
      <c r="AE53" s="33"/>
      <c r="AF53" s="33"/>
      <c r="AG53" s="33"/>
      <c r="AH53" s="33"/>
      <c r="AI53" s="33"/>
      <c r="AJ53" s="82" t="s">
        <v>380</v>
      </c>
      <c r="AK53" s="82" t="s">
        <v>381</v>
      </c>
      <c r="AL53" s="82"/>
    </row>
    <row r="54" spans="1:38">
      <c r="A54" s="33" t="s">
        <v>437</v>
      </c>
      <c r="B54" s="33"/>
      <c r="C54" s="33" t="s">
        <v>387</v>
      </c>
      <c r="D54" s="19" t="s">
        <v>434</v>
      </c>
      <c r="E54" s="4" t="s">
        <v>97</v>
      </c>
      <c r="F54" s="82">
        <v>4</v>
      </c>
      <c r="G54" s="82">
        <v>16</v>
      </c>
      <c r="H54" s="82">
        <v>0</v>
      </c>
      <c r="I54" s="12">
        <v>100</v>
      </c>
      <c r="J54" s="82">
        <f t="shared" si="2"/>
        <v>16</v>
      </c>
      <c r="K54" s="82"/>
      <c r="L54" s="33"/>
      <c r="M54" s="33"/>
      <c r="N54" s="33"/>
      <c r="O54" s="33"/>
      <c r="P54" s="33"/>
      <c r="Q54" s="33"/>
      <c r="R54" s="33"/>
      <c r="S54" s="33"/>
      <c r="T54" s="33"/>
      <c r="U54" s="33"/>
      <c r="V54" s="33"/>
      <c r="W54" s="82"/>
      <c r="X54" s="33"/>
      <c r="Y54" s="33"/>
      <c r="Z54" s="33"/>
      <c r="AA54" s="33"/>
      <c r="AB54" s="33"/>
      <c r="AC54" s="33"/>
      <c r="AD54" s="33"/>
      <c r="AE54" s="33"/>
      <c r="AF54" s="33"/>
      <c r="AG54" s="33"/>
      <c r="AH54" s="33"/>
      <c r="AI54" s="33"/>
      <c r="AJ54" s="82" t="s">
        <v>380</v>
      </c>
      <c r="AK54" s="82" t="s">
        <v>381</v>
      </c>
      <c r="AL54" s="82"/>
    </row>
    <row r="55" spans="1:38">
      <c r="A55" s="33" t="s">
        <v>482</v>
      </c>
      <c r="B55" s="33"/>
      <c r="C55" s="33" t="s">
        <v>387</v>
      </c>
      <c r="D55" s="19" t="s">
        <v>434</v>
      </c>
      <c r="E55" s="4" t="s">
        <v>97</v>
      </c>
      <c r="F55" s="82">
        <v>4</v>
      </c>
      <c r="G55" s="82">
        <v>16</v>
      </c>
      <c r="H55" s="82">
        <v>0</v>
      </c>
      <c r="I55" s="12">
        <v>100</v>
      </c>
      <c r="J55" s="82">
        <f t="shared" si="2"/>
        <v>16</v>
      </c>
      <c r="K55" s="82"/>
      <c r="L55" s="33"/>
      <c r="M55" s="33"/>
      <c r="N55" s="33"/>
      <c r="O55" s="33"/>
      <c r="P55" s="33"/>
      <c r="Q55" s="33"/>
      <c r="R55" s="33"/>
      <c r="S55" s="33"/>
      <c r="T55" s="33"/>
      <c r="U55" s="33"/>
      <c r="V55" s="33"/>
      <c r="W55" s="82"/>
      <c r="X55" s="33"/>
      <c r="Y55" s="33"/>
      <c r="Z55" s="33"/>
      <c r="AA55" s="33"/>
      <c r="AB55" s="33"/>
      <c r="AC55" s="33"/>
      <c r="AD55" s="33"/>
      <c r="AE55" s="33"/>
      <c r="AF55" s="33"/>
      <c r="AG55" s="33"/>
      <c r="AH55" s="33"/>
      <c r="AI55" s="33"/>
      <c r="AJ55" s="82" t="s">
        <v>380</v>
      </c>
      <c r="AK55" s="82" t="s">
        <v>381</v>
      </c>
      <c r="AL55" s="82"/>
    </row>
    <row r="56" spans="1:38">
      <c r="A56" s="33" t="s">
        <v>568</v>
      </c>
      <c r="B56" s="33"/>
      <c r="C56" s="33" t="s">
        <v>387</v>
      </c>
      <c r="D56" s="19" t="s">
        <v>434</v>
      </c>
      <c r="E56" s="4" t="s">
        <v>97</v>
      </c>
      <c r="F56" s="82">
        <v>4</v>
      </c>
      <c r="G56" s="82">
        <v>16</v>
      </c>
      <c r="H56" s="82">
        <v>0</v>
      </c>
      <c r="I56" s="12">
        <v>100</v>
      </c>
      <c r="J56" s="82">
        <f t="shared" si="2"/>
        <v>16</v>
      </c>
      <c r="K56" s="82"/>
      <c r="L56" s="33"/>
      <c r="M56" s="33"/>
      <c r="N56" s="33"/>
      <c r="O56" s="33"/>
      <c r="P56" s="33"/>
      <c r="Q56" s="33"/>
      <c r="R56" s="33"/>
      <c r="S56" s="33"/>
      <c r="T56" s="33"/>
      <c r="U56" s="33"/>
      <c r="V56" s="33"/>
      <c r="W56" s="82"/>
      <c r="X56" s="33"/>
      <c r="Y56" s="33"/>
      <c r="Z56" s="33"/>
      <c r="AA56" s="33"/>
      <c r="AB56" s="33"/>
      <c r="AC56" s="33"/>
      <c r="AD56" s="33"/>
      <c r="AE56" s="33"/>
      <c r="AF56" s="33"/>
      <c r="AG56" s="33"/>
      <c r="AH56" s="33"/>
      <c r="AI56" s="33"/>
      <c r="AJ56" s="82" t="s">
        <v>380</v>
      </c>
      <c r="AK56" s="82" t="s">
        <v>381</v>
      </c>
      <c r="AL56" s="82"/>
    </row>
    <row r="57" spans="1:38">
      <c r="A57" s="33" t="s">
        <v>569</v>
      </c>
      <c r="B57" s="33"/>
      <c r="C57" s="33" t="s">
        <v>387</v>
      </c>
      <c r="D57" s="19" t="s">
        <v>434</v>
      </c>
      <c r="E57" s="4" t="s">
        <v>97</v>
      </c>
      <c r="F57" s="82">
        <v>4</v>
      </c>
      <c r="G57" s="82">
        <v>16</v>
      </c>
      <c r="H57" s="82">
        <v>0</v>
      </c>
      <c r="I57" s="12">
        <v>100</v>
      </c>
      <c r="J57" s="82">
        <f t="shared" si="2"/>
        <v>16</v>
      </c>
      <c r="K57" s="82"/>
      <c r="L57" s="33"/>
      <c r="M57" s="33"/>
      <c r="N57" s="33"/>
      <c r="O57" s="33"/>
      <c r="P57" s="33"/>
      <c r="Q57" s="33"/>
      <c r="R57" s="33"/>
      <c r="S57" s="33"/>
      <c r="T57" s="33"/>
      <c r="U57" s="33"/>
      <c r="V57" s="33"/>
      <c r="W57" s="82"/>
      <c r="X57" s="33"/>
      <c r="Y57" s="33"/>
      <c r="Z57" s="33"/>
      <c r="AA57" s="33"/>
      <c r="AB57" s="33"/>
      <c r="AC57" s="33"/>
      <c r="AD57" s="33"/>
      <c r="AE57" s="33"/>
      <c r="AF57" s="33"/>
      <c r="AG57" s="33"/>
      <c r="AH57" s="33"/>
      <c r="AI57" s="33"/>
      <c r="AJ57" s="82" t="s">
        <v>380</v>
      </c>
      <c r="AK57" s="82" t="s">
        <v>381</v>
      </c>
      <c r="AL57" s="82"/>
    </row>
    <row r="58" spans="1:38">
      <c r="A58" s="33" t="s">
        <v>592</v>
      </c>
      <c r="B58" s="33"/>
      <c r="C58" s="33" t="s">
        <v>387</v>
      </c>
      <c r="D58" s="19" t="s">
        <v>434</v>
      </c>
      <c r="E58" s="4" t="s">
        <v>97</v>
      </c>
      <c r="F58" s="82">
        <v>4</v>
      </c>
      <c r="G58" s="82">
        <v>16</v>
      </c>
      <c r="H58" s="82">
        <v>0</v>
      </c>
      <c r="I58" s="12">
        <v>100</v>
      </c>
      <c r="J58" s="82">
        <f t="shared" si="2"/>
        <v>16</v>
      </c>
      <c r="K58" s="82"/>
      <c r="L58" s="33"/>
      <c r="M58" s="33"/>
      <c r="N58" s="33"/>
      <c r="O58" s="33"/>
      <c r="P58" s="33"/>
      <c r="Q58" s="33"/>
      <c r="R58" s="33"/>
      <c r="S58" s="33"/>
      <c r="T58" s="33"/>
      <c r="U58" s="33"/>
      <c r="V58" s="33"/>
      <c r="W58" s="82"/>
      <c r="X58" s="33"/>
      <c r="Y58" s="33"/>
      <c r="Z58" s="33"/>
      <c r="AA58" s="33"/>
      <c r="AB58" s="33"/>
      <c r="AC58" s="33"/>
      <c r="AD58" s="33"/>
      <c r="AE58" s="33"/>
      <c r="AF58" s="33"/>
      <c r="AG58" s="33"/>
      <c r="AH58" s="33"/>
      <c r="AI58" s="33"/>
      <c r="AJ58" s="82" t="s">
        <v>380</v>
      </c>
      <c r="AK58" s="82" t="s">
        <v>381</v>
      </c>
      <c r="AL58" s="82"/>
    </row>
    <row r="59" spans="1:38">
      <c r="A59" s="33" t="s">
        <v>593</v>
      </c>
      <c r="B59" s="33"/>
      <c r="C59" s="33" t="s">
        <v>387</v>
      </c>
      <c r="D59" s="19" t="s">
        <v>434</v>
      </c>
      <c r="E59" s="4" t="s">
        <v>97</v>
      </c>
      <c r="F59" s="82">
        <v>4</v>
      </c>
      <c r="G59" s="82">
        <v>16</v>
      </c>
      <c r="H59" s="82">
        <v>0</v>
      </c>
      <c r="I59" s="12">
        <v>100</v>
      </c>
      <c r="J59" s="82">
        <f t="shared" si="2"/>
        <v>16</v>
      </c>
      <c r="K59" s="82"/>
      <c r="L59" s="33"/>
      <c r="M59" s="33"/>
      <c r="N59" s="33"/>
      <c r="O59" s="33"/>
      <c r="P59" s="33"/>
      <c r="Q59" s="33"/>
      <c r="R59" s="33"/>
      <c r="S59" s="33"/>
      <c r="T59" s="33"/>
      <c r="U59" s="33"/>
      <c r="V59" s="33"/>
      <c r="W59" s="82"/>
      <c r="X59" s="33"/>
      <c r="Y59" s="33"/>
      <c r="Z59" s="33"/>
      <c r="AA59" s="33"/>
      <c r="AB59" s="33"/>
      <c r="AC59" s="33"/>
      <c r="AD59" s="33"/>
      <c r="AE59" s="33"/>
      <c r="AF59" s="33"/>
      <c r="AG59" s="33"/>
      <c r="AH59" s="33"/>
      <c r="AI59" s="33"/>
      <c r="AJ59" s="82" t="s">
        <v>380</v>
      </c>
      <c r="AK59" s="82" t="s">
        <v>381</v>
      </c>
      <c r="AL59" s="82"/>
    </row>
    <row r="60" spans="1:38">
      <c r="A60" s="33" t="s">
        <v>594</v>
      </c>
      <c r="B60" s="33"/>
      <c r="C60" s="33" t="s">
        <v>387</v>
      </c>
      <c r="D60" s="19" t="s">
        <v>434</v>
      </c>
      <c r="E60" s="4" t="s">
        <v>97</v>
      </c>
      <c r="F60" s="82">
        <v>4</v>
      </c>
      <c r="G60" s="82">
        <v>16</v>
      </c>
      <c r="H60" s="82">
        <v>0</v>
      </c>
      <c r="I60" s="12">
        <v>100</v>
      </c>
      <c r="J60" s="82">
        <f t="shared" si="2"/>
        <v>16</v>
      </c>
      <c r="K60" s="82"/>
      <c r="L60" s="33"/>
      <c r="M60" s="33"/>
      <c r="N60" s="33"/>
      <c r="O60" s="33"/>
      <c r="P60" s="33"/>
      <c r="Q60" s="33"/>
      <c r="R60" s="33"/>
      <c r="S60" s="33"/>
      <c r="T60" s="33"/>
      <c r="U60" s="33"/>
      <c r="V60" s="33"/>
      <c r="W60" s="82"/>
      <c r="X60" s="33"/>
      <c r="Y60" s="33"/>
      <c r="Z60" s="33"/>
      <c r="AA60" s="33"/>
      <c r="AB60" s="33"/>
      <c r="AC60" s="33"/>
      <c r="AD60" s="33"/>
      <c r="AE60" s="33"/>
      <c r="AF60" s="33"/>
      <c r="AG60" s="33"/>
      <c r="AH60" s="33"/>
      <c r="AI60" s="33"/>
      <c r="AJ60" s="82" t="s">
        <v>380</v>
      </c>
      <c r="AK60" s="82" t="s">
        <v>381</v>
      </c>
      <c r="AL60" s="82"/>
    </row>
    <row r="61" spans="1:38">
      <c r="A61" s="33" t="s">
        <v>483</v>
      </c>
      <c r="B61" s="33"/>
      <c r="C61" s="33" t="s">
        <v>387</v>
      </c>
      <c r="D61" s="19" t="s">
        <v>434</v>
      </c>
      <c r="E61" s="4" t="s">
        <v>93</v>
      </c>
      <c r="F61" s="82">
        <v>4</v>
      </c>
      <c r="G61" s="82">
        <v>14</v>
      </c>
      <c r="H61" s="82">
        <v>0</v>
      </c>
      <c r="I61" s="12">
        <v>120</v>
      </c>
      <c r="J61" s="82">
        <f t="shared" si="2"/>
        <v>14</v>
      </c>
      <c r="K61" s="82"/>
      <c r="L61" s="33"/>
      <c r="M61" s="33"/>
      <c r="N61" s="33"/>
      <c r="O61" s="33"/>
      <c r="P61" s="33"/>
      <c r="Q61" s="33"/>
      <c r="R61" s="33"/>
      <c r="S61" s="33"/>
      <c r="T61" s="33"/>
      <c r="U61" s="33"/>
      <c r="V61" s="33"/>
      <c r="W61" s="82"/>
      <c r="X61" s="33"/>
      <c r="Y61" s="33"/>
      <c r="Z61" s="33"/>
      <c r="AA61" s="33"/>
      <c r="AB61" s="33"/>
      <c r="AC61" s="33"/>
      <c r="AD61" s="33"/>
      <c r="AE61" s="33"/>
      <c r="AF61" s="33"/>
      <c r="AG61" s="33"/>
      <c r="AH61" s="33"/>
      <c r="AI61" s="33"/>
      <c r="AJ61" s="82" t="s">
        <v>380</v>
      </c>
      <c r="AK61" s="82" t="s">
        <v>381</v>
      </c>
      <c r="AL61" s="82"/>
    </row>
    <row r="62" spans="1:38">
      <c r="A62" s="33" t="s">
        <v>595</v>
      </c>
      <c r="B62" s="33"/>
      <c r="C62" s="33" t="s">
        <v>387</v>
      </c>
      <c r="D62" s="19" t="s">
        <v>434</v>
      </c>
      <c r="E62" s="4" t="s">
        <v>97</v>
      </c>
      <c r="F62" s="82">
        <v>4</v>
      </c>
      <c r="G62" s="82">
        <v>16</v>
      </c>
      <c r="H62" s="82">
        <v>0</v>
      </c>
      <c r="I62" s="12">
        <v>100</v>
      </c>
      <c r="J62" s="82">
        <f t="shared" si="2"/>
        <v>16</v>
      </c>
      <c r="K62" s="82"/>
      <c r="L62" s="33"/>
      <c r="M62" s="33"/>
      <c r="N62" s="33"/>
      <c r="O62" s="33"/>
      <c r="P62" s="33"/>
      <c r="Q62" s="33"/>
      <c r="R62" s="33"/>
      <c r="S62" s="33"/>
      <c r="T62" s="33"/>
      <c r="U62" s="33"/>
      <c r="V62" s="33"/>
      <c r="W62" s="82"/>
      <c r="X62" s="33"/>
      <c r="Y62" s="33"/>
      <c r="Z62" s="33"/>
      <c r="AA62" s="33"/>
      <c r="AB62" s="33"/>
      <c r="AC62" s="33"/>
      <c r="AD62" s="33"/>
      <c r="AE62" s="33"/>
      <c r="AF62" s="33"/>
      <c r="AG62" s="33"/>
      <c r="AH62" s="33"/>
      <c r="AI62" s="33"/>
      <c r="AJ62" s="82" t="s">
        <v>380</v>
      </c>
      <c r="AK62" s="82" t="s">
        <v>381</v>
      </c>
      <c r="AL62" s="82"/>
    </row>
    <row r="63" spans="1:38">
      <c r="A63" s="33" t="s">
        <v>438</v>
      </c>
      <c r="B63" s="33"/>
      <c r="C63" s="33" t="s">
        <v>387</v>
      </c>
      <c r="D63" s="4" t="s">
        <v>378</v>
      </c>
      <c r="E63" s="33" t="s">
        <v>32</v>
      </c>
      <c r="F63" s="82">
        <v>6</v>
      </c>
      <c r="G63" s="82">
        <v>20</v>
      </c>
      <c r="H63" s="82">
        <v>0</v>
      </c>
      <c r="I63" s="82">
        <v>201</v>
      </c>
      <c r="J63" s="82">
        <f t="shared" si="2"/>
        <v>20</v>
      </c>
      <c r="K63" s="82"/>
      <c r="L63" s="33"/>
      <c r="M63" s="33"/>
      <c r="N63" s="33"/>
      <c r="O63" s="33"/>
      <c r="P63" s="33"/>
      <c r="Q63" s="33"/>
      <c r="R63" s="33"/>
      <c r="S63" s="33"/>
      <c r="T63" s="33"/>
      <c r="U63" s="33"/>
      <c r="V63" s="33"/>
      <c r="W63" s="82"/>
      <c r="X63" s="33"/>
      <c r="Y63" s="33"/>
      <c r="Z63" s="33"/>
      <c r="AA63" s="33"/>
      <c r="AB63" s="33"/>
      <c r="AC63" s="33"/>
      <c r="AD63" s="33"/>
      <c r="AE63" s="33"/>
      <c r="AF63" s="33"/>
      <c r="AG63" s="33"/>
      <c r="AH63" s="33"/>
      <c r="AI63" s="33"/>
      <c r="AJ63" s="82" t="s">
        <v>380</v>
      </c>
      <c r="AK63" s="82" t="s">
        <v>381</v>
      </c>
      <c r="AL63" s="82"/>
    </row>
    <row r="64" spans="1:38">
      <c r="A64" s="33" t="s">
        <v>439</v>
      </c>
      <c r="B64" s="33"/>
      <c r="C64" s="33" t="s">
        <v>387</v>
      </c>
      <c r="D64" s="4" t="s">
        <v>378</v>
      </c>
      <c r="E64" s="33" t="s">
        <v>32</v>
      </c>
      <c r="F64" s="82">
        <v>6</v>
      </c>
      <c r="G64" s="82">
        <v>20</v>
      </c>
      <c r="H64" s="82">
        <v>0</v>
      </c>
      <c r="I64" s="82">
        <v>201</v>
      </c>
      <c r="J64" s="82">
        <f t="shared" si="2"/>
        <v>20</v>
      </c>
      <c r="K64" s="82"/>
      <c r="L64" s="33"/>
      <c r="M64" s="33"/>
      <c r="N64" s="33"/>
      <c r="O64" s="33"/>
      <c r="P64" s="33"/>
      <c r="Q64" s="33"/>
      <c r="R64" s="33"/>
      <c r="S64" s="33"/>
      <c r="T64" s="33"/>
      <c r="U64" s="33"/>
      <c r="V64" s="33"/>
      <c r="W64" s="82"/>
      <c r="X64" s="33"/>
      <c r="Y64" s="33"/>
      <c r="Z64" s="33"/>
      <c r="AA64" s="33"/>
      <c r="AB64" s="33"/>
      <c r="AC64" s="33"/>
      <c r="AD64" s="33"/>
      <c r="AE64" s="33"/>
      <c r="AF64" s="33"/>
      <c r="AG64" s="33"/>
      <c r="AH64" s="33"/>
      <c r="AI64" s="33"/>
      <c r="AJ64" s="82" t="s">
        <v>380</v>
      </c>
      <c r="AK64" s="82" t="s">
        <v>381</v>
      </c>
      <c r="AL64" s="82"/>
    </row>
    <row r="65" spans="1:38">
      <c r="A65" s="33" t="s">
        <v>570</v>
      </c>
      <c r="B65" s="33"/>
      <c r="C65" s="33" t="s">
        <v>387</v>
      </c>
      <c r="D65" s="4" t="s">
        <v>378</v>
      </c>
      <c r="E65" s="33" t="s">
        <v>32</v>
      </c>
      <c r="F65" s="82">
        <v>6</v>
      </c>
      <c r="G65" s="82">
        <v>20</v>
      </c>
      <c r="H65" s="82">
        <v>0</v>
      </c>
      <c r="I65" s="82">
        <v>201</v>
      </c>
      <c r="J65" s="82">
        <f t="shared" si="2"/>
        <v>20</v>
      </c>
      <c r="K65" s="82"/>
      <c r="L65" s="33"/>
      <c r="M65" s="33"/>
      <c r="N65" s="33"/>
      <c r="O65" s="33"/>
      <c r="P65" s="33"/>
      <c r="Q65" s="33"/>
      <c r="R65" s="33"/>
      <c r="S65" s="33"/>
      <c r="T65" s="33"/>
      <c r="U65" s="33"/>
      <c r="V65" s="33"/>
      <c r="W65" s="82"/>
      <c r="X65" s="33"/>
      <c r="Y65" s="33"/>
      <c r="Z65" s="33"/>
      <c r="AA65" s="33"/>
      <c r="AB65" s="33"/>
      <c r="AC65" s="33"/>
      <c r="AD65" s="33"/>
      <c r="AE65" s="33"/>
      <c r="AF65" s="33"/>
      <c r="AG65" s="33"/>
      <c r="AH65" s="33"/>
      <c r="AI65" s="33"/>
      <c r="AJ65" s="82" t="s">
        <v>380</v>
      </c>
      <c r="AK65" s="82" t="s">
        <v>381</v>
      </c>
      <c r="AL65" s="82"/>
    </row>
    <row r="66" spans="1:38">
      <c r="A66" s="33" t="s">
        <v>571</v>
      </c>
      <c r="B66" s="33"/>
      <c r="C66" s="33" t="s">
        <v>387</v>
      </c>
      <c r="D66" s="4" t="s">
        <v>378</v>
      </c>
      <c r="E66" s="33" t="s">
        <v>32</v>
      </c>
      <c r="F66" s="82">
        <v>6</v>
      </c>
      <c r="G66" s="82">
        <v>20</v>
      </c>
      <c r="H66" s="82">
        <v>0</v>
      </c>
      <c r="I66" s="82">
        <v>201</v>
      </c>
      <c r="J66" s="82">
        <f t="shared" si="2"/>
        <v>20</v>
      </c>
      <c r="K66" s="82"/>
      <c r="L66" s="33"/>
      <c r="M66" s="33"/>
      <c r="N66" s="33"/>
      <c r="O66" s="33"/>
      <c r="P66" s="33"/>
      <c r="Q66" s="33"/>
      <c r="R66" s="33"/>
      <c r="S66" s="33"/>
      <c r="T66" s="33"/>
      <c r="U66" s="33"/>
      <c r="V66" s="33"/>
      <c r="W66" s="82"/>
      <c r="X66" s="33"/>
      <c r="Y66" s="33"/>
      <c r="Z66" s="33"/>
      <c r="AA66" s="33"/>
      <c r="AB66" s="33"/>
      <c r="AC66" s="33"/>
      <c r="AD66" s="33"/>
      <c r="AE66" s="33"/>
      <c r="AF66" s="33"/>
      <c r="AG66" s="33"/>
      <c r="AH66" s="33"/>
      <c r="AI66" s="33"/>
      <c r="AJ66" s="82" t="s">
        <v>380</v>
      </c>
      <c r="AK66" s="82" t="s">
        <v>381</v>
      </c>
      <c r="AL66" s="82"/>
    </row>
    <row r="67" spans="1:38">
      <c r="A67" s="33" t="s">
        <v>440</v>
      </c>
      <c r="B67" s="33"/>
      <c r="C67" s="33" t="s">
        <v>387</v>
      </c>
      <c r="D67" s="4" t="s">
        <v>378</v>
      </c>
      <c r="E67" s="33" t="s">
        <v>48</v>
      </c>
      <c r="F67" s="82">
        <v>2</v>
      </c>
      <c r="G67" s="82">
        <v>4</v>
      </c>
      <c r="H67" s="82">
        <v>0</v>
      </c>
      <c r="I67" s="82">
        <v>41</v>
      </c>
      <c r="J67" s="82">
        <f t="shared" si="2"/>
        <v>4</v>
      </c>
      <c r="K67" s="82"/>
      <c r="L67" s="33"/>
      <c r="M67" s="33"/>
      <c r="N67" s="33"/>
      <c r="O67" s="33"/>
      <c r="P67" s="33"/>
      <c r="Q67" s="33"/>
      <c r="R67" s="33"/>
      <c r="S67" s="33"/>
      <c r="T67" s="33"/>
      <c r="U67" s="33"/>
      <c r="V67" s="33"/>
      <c r="W67" s="82"/>
      <c r="X67" s="33"/>
      <c r="Y67" s="33"/>
      <c r="Z67" s="33"/>
      <c r="AA67" s="33"/>
      <c r="AB67" s="33"/>
      <c r="AC67" s="33"/>
      <c r="AD67" s="33"/>
      <c r="AE67" s="33"/>
      <c r="AF67" s="33"/>
      <c r="AG67" s="33"/>
      <c r="AH67" s="33"/>
      <c r="AI67" s="33"/>
      <c r="AJ67" s="82" t="s">
        <v>380</v>
      </c>
      <c r="AK67" s="82" t="s">
        <v>381</v>
      </c>
      <c r="AL67" s="82"/>
    </row>
    <row r="68" spans="1:38">
      <c r="A68" s="33" t="s">
        <v>441</v>
      </c>
      <c r="B68" s="33"/>
      <c r="C68" s="33" t="s">
        <v>387</v>
      </c>
      <c r="D68" s="4" t="s">
        <v>378</v>
      </c>
      <c r="E68" s="33" t="s">
        <v>40</v>
      </c>
      <c r="F68" s="82">
        <v>2</v>
      </c>
      <c r="G68" s="82">
        <v>4</v>
      </c>
      <c r="H68" s="82">
        <v>0</v>
      </c>
      <c r="I68" s="82">
        <v>31</v>
      </c>
      <c r="J68" s="82">
        <f t="shared" si="2"/>
        <v>4</v>
      </c>
      <c r="K68" s="82"/>
      <c r="L68" s="33"/>
      <c r="M68" s="33"/>
      <c r="N68" s="33"/>
      <c r="O68" s="33"/>
      <c r="P68" s="33"/>
      <c r="Q68" s="33"/>
      <c r="R68" s="33"/>
      <c r="S68" s="33"/>
      <c r="T68" s="33"/>
      <c r="U68" s="33"/>
      <c r="V68" s="33"/>
      <c r="W68" s="82"/>
      <c r="X68" s="33"/>
      <c r="Y68" s="33"/>
      <c r="Z68" s="33"/>
      <c r="AA68" s="33"/>
      <c r="AB68" s="33"/>
      <c r="AC68" s="33"/>
      <c r="AD68" s="33"/>
      <c r="AE68" s="33"/>
      <c r="AF68" s="33"/>
      <c r="AG68" s="33"/>
      <c r="AH68" s="33"/>
      <c r="AI68" s="33"/>
      <c r="AJ68" s="82" t="s">
        <v>380</v>
      </c>
      <c r="AK68" s="82" t="s">
        <v>381</v>
      </c>
      <c r="AL68" s="82"/>
    </row>
    <row r="69" spans="1:38">
      <c r="A69" s="33" t="s">
        <v>442</v>
      </c>
      <c r="B69" s="33"/>
      <c r="C69" s="33" t="s">
        <v>387</v>
      </c>
      <c r="D69" s="4" t="s">
        <v>378</v>
      </c>
      <c r="E69" s="33" t="s">
        <v>44</v>
      </c>
      <c r="F69" s="82">
        <v>4</v>
      </c>
      <c r="G69" s="82">
        <v>4</v>
      </c>
      <c r="H69" s="82">
        <v>0</v>
      </c>
      <c r="I69" s="82">
        <v>36</v>
      </c>
      <c r="J69" s="82">
        <f t="shared" si="2"/>
        <v>4</v>
      </c>
      <c r="K69" s="82"/>
      <c r="L69" s="33"/>
      <c r="M69" s="33"/>
      <c r="N69" s="33"/>
      <c r="O69" s="33"/>
      <c r="P69" s="33"/>
      <c r="Q69" s="33"/>
      <c r="R69" s="33"/>
      <c r="S69" s="33"/>
      <c r="T69" s="33"/>
      <c r="U69" s="33"/>
      <c r="V69" s="33"/>
      <c r="W69" s="82"/>
      <c r="X69" s="33"/>
      <c r="Y69" s="33"/>
      <c r="Z69" s="33"/>
      <c r="AA69" s="33"/>
      <c r="AB69" s="33"/>
      <c r="AC69" s="33"/>
      <c r="AD69" s="33"/>
      <c r="AE69" s="33"/>
      <c r="AF69" s="33"/>
      <c r="AG69" s="33"/>
      <c r="AH69" s="33"/>
      <c r="AI69" s="33"/>
      <c r="AJ69" s="82" t="s">
        <v>380</v>
      </c>
      <c r="AK69" s="82" t="s">
        <v>381</v>
      </c>
      <c r="AL69" s="82"/>
    </row>
    <row r="70" spans="1:38" ht="14.5">
      <c r="A70" s="33" t="s">
        <v>443</v>
      </c>
      <c r="B70" s="33"/>
      <c r="C70" s="33" t="s">
        <v>387</v>
      </c>
      <c r="D70" s="4" t="s">
        <v>378</v>
      </c>
      <c r="E70" s="33" t="s">
        <v>247</v>
      </c>
      <c r="F70" s="82">
        <v>7</v>
      </c>
      <c r="G70" s="82">
        <v>8</v>
      </c>
      <c r="H70" s="82">
        <v>0</v>
      </c>
      <c r="I70" s="12">
        <v>111</v>
      </c>
      <c r="J70" s="82">
        <f t="shared" si="2"/>
        <v>8</v>
      </c>
      <c r="K70" s="42"/>
      <c r="L70" s="82"/>
      <c r="M70" s="82"/>
      <c r="N70" s="42"/>
      <c r="O70" s="41"/>
      <c r="P70" s="82"/>
      <c r="Q70" s="82"/>
      <c r="R70" s="82"/>
      <c r="S70" s="82"/>
      <c r="T70" s="82"/>
      <c r="U70" s="82"/>
      <c r="V70" s="82"/>
      <c r="W70" s="82"/>
      <c r="X70" s="82"/>
      <c r="Y70" s="33"/>
      <c r="Z70" s="82"/>
      <c r="AA70" s="82"/>
      <c r="AB70" s="82"/>
      <c r="AC70" s="82"/>
      <c r="AD70" s="82"/>
      <c r="AE70" s="82"/>
      <c r="AF70" s="82"/>
      <c r="AG70" s="82"/>
      <c r="AH70" s="82"/>
      <c r="AI70" s="82"/>
      <c r="AJ70" s="82" t="s">
        <v>380</v>
      </c>
      <c r="AK70" s="82" t="s">
        <v>381</v>
      </c>
      <c r="AL70" s="82" t="s">
        <v>381</v>
      </c>
    </row>
    <row r="71" spans="1:38" ht="14.5">
      <c r="A71" s="33" t="s">
        <v>596</v>
      </c>
      <c r="B71" s="33"/>
      <c r="C71" s="33" t="s">
        <v>387</v>
      </c>
      <c r="D71" s="4" t="s">
        <v>378</v>
      </c>
      <c r="E71" s="33" t="s">
        <v>247</v>
      </c>
      <c r="F71" s="82">
        <v>6</v>
      </c>
      <c r="G71" s="82">
        <v>7</v>
      </c>
      <c r="H71" s="82">
        <v>0</v>
      </c>
      <c r="I71" s="12">
        <v>111</v>
      </c>
      <c r="J71" s="82">
        <f t="shared" si="2"/>
        <v>7</v>
      </c>
      <c r="K71" s="42"/>
      <c r="L71" s="82"/>
      <c r="M71" s="82"/>
      <c r="N71" s="42"/>
      <c r="O71" s="41"/>
      <c r="P71" s="82"/>
      <c r="Q71" s="82"/>
      <c r="R71" s="82"/>
      <c r="S71" s="82"/>
      <c r="T71" s="82"/>
      <c r="U71" s="82"/>
      <c r="V71" s="82"/>
      <c r="W71" s="82"/>
      <c r="X71" s="82"/>
      <c r="Y71" s="33"/>
      <c r="Z71" s="82"/>
      <c r="AA71" s="82"/>
      <c r="AB71" s="82"/>
      <c r="AC71" s="82"/>
      <c r="AD71" s="82"/>
      <c r="AE71" s="82"/>
      <c r="AF71" s="82"/>
      <c r="AG71" s="82"/>
      <c r="AH71" s="82"/>
      <c r="AI71" s="82"/>
      <c r="AJ71" s="82" t="s">
        <v>380</v>
      </c>
      <c r="AK71" s="82" t="s">
        <v>381</v>
      </c>
      <c r="AL71" s="82"/>
    </row>
    <row r="72" spans="1:38" ht="14.5">
      <c r="A72" s="4" t="s">
        <v>484</v>
      </c>
      <c r="C72" s="4" t="s">
        <v>387</v>
      </c>
      <c r="D72" s="4" t="s">
        <v>378</v>
      </c>
      <c r="E72" s="4" t="s">
        <v>67</v>
      </c>
      <c r="F72" s="12">
        <v>2</v>
      </c>
      <c r="G72" s="12">
        <v>2</v>
      </c>
      <c r="H72" s="12">
        <v>0</v>
      </c>
      <c r="I72" s="12">
        <v>16</v>
      </c>
      <c r="J72" s="82">
        <f t="shared" si="2"/>
        <v>2</v>
      </c>
      <c r="K72" s="42"/>
      <c r="L72" s="82"/>
      <c r="M72" s="82"/>
      <c r="N72" s="42"/>
      <c r="O72" s="41"/>
      <c r="P72" s="82"/>
      <c r="Q72" s="82"/>
      <c r="R72" s="82"/>
      <c r="S72" s="82"/>
      <c r="T72" s="82"/>
      <c r="U72" s="82"/>
      <c r="V72" s="82"/>
      <c r="W72" s="82"/>
      <c r="X72" s="82"/>
      <c r="Y72" s="33"/>
      <c r="Z72" s="82"/>
      <c r="AA72" s="82"/>
      <c r="AB72" s="82"/>
      <c r="AC72" s="82"/>
      <c r="AD72" s="82"/>
      <c r="AE72" s="82"/>
      <c r="AF72" s="82"/>
      <c r="AG72" s="82"/>
      <c r="AH72" s="82"/>
      <c r="AI72" s="82"/>
      <c r="AJ72" s="82" t="s">
        <v>380</v>
      </c>
      <c r="AK72" s="82" t="s">
        <v>381</v>
      </c>
      <c r="AL72" s="82"/>
    </row>
    <row r="73" spans="1:38" ht="14.5">
      <c r="A73" s="4" t="s">
        <v>485</v>
      </c>
      <c r="C73" s="4" t="s">
        <v>387</v>
      </c>
      <c r="D73" s="4" t="s">
        <v>378</v>
      </c>
      <c r="E73" s="4" t="s">
        <v>67</v>
      </c>
      <c r="F73" s="12">
        <v>2</v>
      </c>
      <c r="G73" s="12">
        <v>2</v>
      </c>
      <c r="H73" s="12">
        <v>0</v>
      </c>
      <c r="I73" s="12">
        <v>16</v>
      </c>
      <c r="J73" s="82">
        <f t="shared" si="2"/>
        <v>2</v>
      </c>
      <c r="K73" s="42"/>
      <c r="L73" s="82"/>
      <c r="M73" s="82"/>
      <c r="N73" s="42"/>
      <c r="O73" s="41"/>
      <c r="P73" s="82"/>
      <c r="Q73" s="82"/>
      <c r="R73" s="82"/>
      <c r="S73" s="82"/>
      <c r="T73" s="82"/>
      <c r="U73" s="82"/>
      <c r="V73" s="82"/>
      <c r="W73" s="82"/>
      <c r="X73" s="82"/>
      <c r="Y73" s="33"/>
      <c r="Z73" s="82"/>
      <c r="AA73" s="82"/>
      <c r="AB73" s="82"/>
      <c r="AC73" s="82"/>
      <c r="AD73" s="82"/>
      <c r="AE73" s="82"/>
      <c r="AF73" s="82"/>
      <c r="AG73" s="82"/>
      <c r="AH73" s="82"/>
      <c r="AI73" s="82"/>
      <c r="AJ73" s="82" t="s">
        <v>380</v>
      </c>
      <c r="AK73" s="82" t="s">
        <v>381</v>
      </c>
      <c r="AL73" s="82"/>
    </row>
    <row r="74" spans="1:38" ht="14.5">
      <c r="A74" s="4" t="s">
        <v>486</v>
      </c>
      <c r="C74" s="4" t="s">
        <v>387</v>
      </c>
      <c r="D74" s="4" t="s">
        <v>378</v>
      </c>
      <c r="E74" s="4" t="s">
        <v>71</v>
      </c>
      <c r="F74" s="12">
        <v>6</v>
      </c>
      <c r="G74" s="12">
        <v>5</v>
      </c>
      <c r="H74" s="12">
        <v>0</v>
      </c>
      <c r="I74" s="12">
        <v>41</v>
      </c>
      <c r="J74" s="82">
        <f t="shared" si="2"/>
        <v>5</v>
      </c>
      <c r="K74" s="42"/>
      <c r="L74" s="82"/>
      <c r="M74" s="82"/>
      <c r="N74" s="42"/>
      <c r="O74" s="41"/>
      <c r="P74" s="82"/>
      <c r="Q74" s="82"/>
      <c r="R74" s="82"/>
      <c r="S74" s="82"/>
      <c r="T74" s="82"/>
      <c r="U74" s="82"/>
      <c r="V74" s="82"/>
      <c r="W74" s="82"/>
      <c r="X74" s="82"/>
      <c r="Y74" s="33"/>
      <c r="Z74" s="82"/>
      <c r="AA74" s="82"/>
      <c r="AB74" s="82"/>
      <c r="AC74" s="82"/>
      <c r="AD74" s="82"/>
      <c r="AE74" s="82"/>
      <c r="AF74" s="82"/>
      <c r="AG74" s="82"/>
      <c r="AH74" s="82"/>
      <c r="AI74" s="82"/>
      <c r="AJ74" s="82" t="s">
        <v>380</v>
      </c>
      <c r="AK74" s="82" t="s">
        <v>381</v>
      </c>
      <c r="AL74" s="82"/>
    </row>
    <row r="75" spans="1:38" ht="14.5">
      <c r="A75" s="4" t="s">
        <v>487</v>
      </c>
      <c r="C75" s="4" t="s">
        <v>387</v>
      </c>
      <c r="D75" s="4" t="s">
        <v>378</v>
      </c>
      <c r="E75" s="4" t="s">
        <v>75</v>
      </c>
      <c r="F75" s="12">
        <v>2</v>
      </c>
      <c r="G75" s="12">
        <v>2</v>
      </c>
      <c r="H75" s="12">
        <v>0</v>
      </c>
      <c r="I75" s="12">
        <v>31</v>
      </c>
      <c r="J75" s="12">
        <f t="shared" si="2"/>
        <v>2</v>
      </c>
      <c r="K75" s="42"/>
      <c r="L75" s="82"/>
      <c r="M75" s="82"/>
      <c r="N75" s="42"/>
      <c r="O75" s="41"/>
      <c r="P75" s="82"/>
      <c r="Q75" s="82"/>
      <c r="R75" s="82"/>
      <c r="S75" s="82"/>
      <c r="T75" s="82"/>
      <c r="U75" s="82"/>
      <c r="V75" s="82"/>
      <c r="W75" s="82"/>
      <c r="X75" s="82"/>
      <c r="Y75" s="33"/>
      <c r="Z75" s="82"/>
      <c r="AA75" s="82"/>
      <c r="AB75" s="82"/>
      <c r="AC75" s="82"/>
      <c r="AD75" s="82"/>
      <c r="AE75" s="82"/>
      <c r="AF75" s="82"/>
      <c r="AG75" s="82"/>
      <c r="AH75" s="82"/>
      <c r="AI75" s="82"/>
      <c r="AJ75" s="82" t="s">
        <v>380</v>
      </c>
      <c r="AK75" s="82" t="s">
        <v>381</v>
      </c>
      <c r="AL75" s="82"/>
    </row>
    <row r="76" spans="1:38" ht="14.5">
      <c r="A76" s="4" t="s">
        <v>572</v>
      </c>
      <c r="C76" s="4" t="s">
        <v>387</v>
      </c>
      <c r="D76" s="4" t="s">
        <v>528</v>
      </c>
      <c r="E76" s="4" t="s">
        <v>95</v>
      </c>
      <c r="F76" s="12">
        <v>12</v>
      </c>
      <c r="G76" s="12">
        <v>24</v>
      </c>
      <c r="H76" s="12">
        <v>0</v>
      </c>
      <c r="I76" s="12">
        <v>2098</v>
      </c>
      <c r="J76" s="12">
        <f t="shared" si="2"/>
        <v>24</v>
      </c>
      <c r="K76" s="42"/>
      <c r="L76" s="82"/>
      <c r="M76" s="82"/>
      <c r="N76" s="42"/>
      <c r="O76" s="41"/>
      <c r="P76" s="82"/>
      <c r="Q76" s="82"/>
      <c r="R76" s="82"/>
      <c r="S76" s="82"/>
      <c r="T76" s="82"/>
      <c r="U76" s="82"/>
      <c r="V76" s="82"/>
      <c r="W76" s="82"/>
      <c r="X76" s="82"/>
      <c r="Y76" s="33"/>
      <c r="Z76" s="82"/>
      <c r="AA76" s="82"/>
      <c r="AB76" s="82"/>
      <c r="AC76" s="82"/>
      <c r="AD76" s="82"/>
      <c r="AE76" s="82"/>
      <c r="AF76" s="82"/>
      <c r="AG76" s="82"/>
      <c r="AH76" s="82"/>
      <c r="AI76" s="82"/>
      <c r="AJ76" s="82" t="s">
        <v>380</v>
      </c>
      <c r="AK76" s="82" t="s">
        <v>381</v>
      </c>
      <c r="AL76" s="82"/>
    </row>
    <row r="77" spans="1:38" s="17" customFormat="1" ht="14.5">
      <c r="A77" s="17" t="s">
        <v>490</v>
      </c>
      <c r="C77" s="17" t="s">
        <v>387</v>
      </c>
      <c r="D77" s="17" t="s">
        <v>378</v>
      </c>
      <c r="E77" s="17" t="s">
        <v>99</v>
      </c>
      <c r="F77" s="15">
        <v>2</v>
      </c>
      <c r="G77" s="15">
        <v>10</v>
      </c>
      <c r="H77" s="15">
        <v>0</v>
      </c>
      <c r="I77" s="15">
        <v>60</v>
      </c>
      <c r="J77" s="15">
        <f t="shared" si="2"/>
        <v>10</v>
      </c>
      <c r="K77" s="111"/>
      <c r="L77" s="36"/>
      <c r="M77" s="36"/>
      <c r="N77" s="111"/>
      <c r="O77" s="112"/>
      <c r="P77" s="36"/>
      <c r="Q77" s="36"/>
      <c r="R77" s="36"/>
      <c r="S77" s="36"/>
      <c r="T77" s="36"/>
      <c r="U77" s="36"/>
      <c r="V77" s="36"/>
      <c r="W77" s="36"/>
      <c r="X77" s="36"/>
      <c r="Y77" s="43"/>
      <c r="Z77" s="36"/>
      <c r="AA77" s="36"/>
      <c r="AB77" s="36"/>
      <c r="AC77" s="36"/>
      <c r="AD77" s="36"/>
      <c r="AE77" s="36"/>
      <c r="AF77" s="36"/>
      <c r="AG77" s="36"/>
      <c r="AH77" s="36"/>
      <c r="AI77" s="36"/>
      <c r="AJ77" s="36" t="s">
        <v>380</v>
      </c>
      <c r="AK77" s="36" t="s">
        <v>381</v>
      </c>
      <c r="AL77" s="36"/>
    </row>
    <row r="78" spans="1:38">
      <c r="A78" s="33"/>
      <c r="B78" s="33"/>
      <c r="C78" s="33"/>
      <c r="D78" s="33"/>
      <c r="E78" s="33"/>
      <c r="F78" s="82">
        <f>SUM(F52:F77)+F48</f>
        <v>364</v>
      </c>
      <c r="G78" s="82">
        <f>SUM(G52:G77)+G48</f>
        <v>1078</v>
      </c>
      <c r="H78" s="82">
        <f>SUM(H52:H77)+H48</f>
        <v>433</v>
      </c>
      <c r="I78" s="82">
        <f>SUM(I52:I77)+I48</f>
        <v>7914</v>
      </c>
      <c r="J78" s="82"/>
      <c r="K78" s="82"/>
      <c r="L78" s="82">
        <f>SUM(L52:L77)+L48</f>
        <v>500</v>
      </c>
      <c r="M78" s="82"/>
      <c r="N78" s="82">
        <f>SUM(N52:N77)+N48</f>
        <v>9000</v>
      </c>
      <c r="O78" s="82"/>
      <c r="P78" s="82">
        <f>SUM(P52:P77)+P48</f>
        <v>13500</v>
      </c>
      <c r="Q78" s="82"/>
      <c r="R78" s="82">
        <f>SUM(R52:R77)+R48</f>
        <v>1040</v>
      </c>
      <c r="S78" s="82"/>
      <c r="T78" s="82">
        <f>SUM(T52:T77)+T48</f>
        <v>300</v>
      </c>
      <c r="U78" s="82"/>
      <c r="V78" s="82">
        <f>SUM(V52:V77)+V48</f>
        <v>0</v>
      </c>
      <c r="W78" s="82"/>
      <c r="X78" s="82">
        <f>SUM(X52:X77)+X48</f>
        <v>31396</v>
      </c>
      <c r="Y78" s="33"/>
      <c r="Z78" s="82">
        <f>SUM(Z52:Z77)+Z48</f>
        <v>200</v>
      </c>
      <c r="AA78" s="33"/>
      <c r="AB78" s="82">
        <f>SUM(AB52:AB77)+AB48</f>
        <v>50</v>
      </c>
      <c r="AC78" s="33"/>
      <c r="AD78" s="82">
        <f>SUM(AD52:AD77)+AD44</f>
        <v>200</v>
      </c>
      <c r="AE78" s="82"/>
      <c r="AF78" s="82">
        <f>SUM(AF52:AF77)+AF48</f>
        <v>200</v>
      </c>
      <c r="AG78" s="33"/>
      <c r="AH78" s="82">
        <f t="shared" ref="AH78" si="3">SUM(AH52:AH77)+AH48</f>
        <v>6144</v>
      </c>
      <c r="AI78" s="33"/>
      <c r="AJ78" s="82"/>
      <c r="AK78" s="82" t="s">
        <v>723</v>
      </c>
      <c r="AL78" s="82">
        <f>3</f>
        <v>3</v>
      </c>
    </row>
    <row r="79" spans="1:38">
      <c r="A79" s="33"/>
      <c r="B79" s="33"/>
      <c r="C79" s="33"/>
      <c r="D79" s="33"/>
      <c r="E79" s="33"/>
      <c r="F79" s="33"/>
      <c r="G79" s="33"/>
      <c r="H79" s="33"/>
      <c r="I79" s="33"/>
      <c r="J79" s="33"/>
      <c r="K79" s="33"/>
      <c r="L79" s="33"/>
      <c r="M79" s="33"/>
      <c r="N79" s="33"/>
      <c r="O79" s="33"/>
      <c r="P79" s="33"/>
      <c r="Q79" s="33"/>
      <c r="R79" s="33"/>
      <c r="S79" s="33"/>
      <c r="T79" s="33"/>
      <c r="U79" s="33"/>
      <c r="V79" s="33"/>
      <c r="W79" s="82"/>
      <c r="X79" s="33"/>
      <c r="Y79" s="33"/>
      <c r="Z79" s="33"/>
      <c r="AA79" s="33"/>
      <c r="AB79" s="33"/>
      <c r="AC79" s="33"/>
      <c r="AD79" s="33"/>
      <c r="AE79" s="33"/>
      <c r="AF79" s="33"/>
      <c r="AG79" s="33"/>
      <c r="AH79" s="33"/>
      <c r="AI79" s="33"/>
      <c r="AJ79" s="33"/>
      <c r="AK79" s="33"/>
      <c r="AL79" s="33"/>
    </row>
    <row r="80" spans="1:38" ht="13">
      <c r="A80" s="14" t="s">
        <v>503</v>
      </c>
      <c r="B80" s="33"/>
      <c r="C80" s="33"/>
      <c r="D80" s="33"/>
      <c r="E80" s="33"/>
      <c r="F80" s="33"/>
      <c r="G80" s="33"/>
      <c r="H80" s="33"/>
      <c r="I80" s="33"/>
      <c r="J80" s="33"/>
      <c r="K80" s="33"/>
      <c r="L80" s="33"/>
      <c r="M80" s="33"/>
      <c r="N80" s="33"/>
      <c r="O80" s="33"/>
      <c r="P80" s="33"/>
      <c r="Q80" s="33"/>
      <c r="R80" s="33"/>
      <c r="S80" s="33"/>
      <c r="T80" s="33"/>
      <c r="U80" s="33"/>
      <c r="V80" s="33"/>
      <c r="W80" s="82"/>
      <c r="X80" s="33"/>
      <c r="Y80" s="33"/>
      <c r="Z80" s="33"/>
      <c r="AA80" s="33"/>
      <c r="AB80" s="33"/>
      <c r="AC80" s="33"/>
      <c r="AD80" s="33"/>
      <c r="AE80" s="33"/>
      <c r="AF80" s="33"/>
      <c r="AG80" s="33"/>
      <c r="AH80" s="33"/>
      <c r="AI80" s="33"/>
      <c r="AJ80" s="33"/>
      <c r="AK80" s="33"/>
      <c r="AL80" s="33"/>
    </row>
    <row r="81" spans="1:38">
      <c r="A81" s="33"/>
      <c r="B81" s="33"/>
      <c r="C81" s="33"/>
      <c r="D81" s="33"/>
      <c r="E81" s="33"/>
      <c r="F81" s="33"/>
      <c r="G81" s="33"/>
      <c r="H81" s="33"/>
      <c r="I81" s="33"/>
      <c r="J81" s="33"/>
      <c r="K81" s="33"/>
      <c r="L81" s="33"/>
      <c r="M81" s="33"/>
      <c r="N81" s="33"/>
      <c r="O81" s="33"/>
      <c r="P81" s="33"/>
      <c r="Q81" s="33"/>
      <c r="R81" s="33"/>
      <c r="S81" s="33"/>
      <c r="T81" s="33"/>
      <c r="U81" s="33"/>
      <c r="V81" s="33"/>
      <c r="W81" s="82"/>
      <c r="X81" s="33"/>
      <c r="Y81" s="33"/>
      <c r="Z81" s="33"/>
      <c r="AA81" s="33"/>
      <c r="AB81" s="33"/>
      <c r="AC81" s="33"/>
      <c r="AD81" s="33"/>
      <c r="AE81" s="33"/>
      <c r="AF81" s="33"/>
      <c r="AG81" s="33"/>
      <c r="AH81" s="33"/>
      <c r="AI81" s="33"/>
      <c r="AJ81" s="33"/>
      <c r="AK81" s="33"/>
      <c r="AL81" s="33"/>
    </row>
    <row r="82" spans="1:38">
      <c r="A82" s="4" t="s">
        <v>504</v>
      </c>
      <c r="C82" s="4" t="s">
        <v>505</v>
      </c>
      <c r="D82" s="4" t="s">
        <v>506</v>
      </c>
      <c r="E82" s="4" t="s">
        <v>19</v>
      </c>
      <c r="F82" s="12">
        <v>2</v>
      </c>
      <c r="G82" s="12">
        <v>4</v>
      </c>
      <c r="H82" s="12">
        <v>4</v>
      </c>
      <c r="I82" s="12">
        <v>350</v>
      </c>
      <c r="J82" s="12">
        <f t="shared" ref="J82:J87" si="4">G82-H82</f>
        <v>0</v>
      </c>
      <c r="K82" s="82" t="s">
        <v>507</v>
      </c>
      <c r="L82" s="82"/>
      <c r="M82" s="82"/>
      <c r="N82" s="82"/>
      <c r="O82" s="82"/>
      <c r="P82" s="82"/>
      <c r="Q82" s="82"/>
      <c r="R82" s="82"/>
      <c r="S82" s="82"/>
      <c r="T82" s="82"/>
      <c r="U82" s="82"/>
      <c r="V82" s="82"/>
      <c r="W82" s="82"/>
      <c r="X82" s="33"/>
      <c r="Y82" s="33"/>
      <c r="Z82" s="82"/>
      <c r="AA82" s="82"/>
      <c r="AB82" s="82"/>
      <c r="AC82" s="82"/>
      <c r="AD82" s="82"/>
      <c r="AE82" s="82"/>
      <c r="AF82" s="82"/>
      <c r="AG82" s="82"/>
      <c r="AH82" s="82"/>
      <c r="AI82" s="82"/>
      <c r="AJ82" s="82" t="s">
        <v>380</v>
      </c>
      <c r="AK82" s="82" t="s">
        <v>381</v>
      </c>
      <c r="AL82" s="82"/>
    </row>
    <row r="83" spans="1:38">
      <c r="A83" s="4" t="s">
        <v>509</v>
      </c>
      <c r="C83" s="4" t="s">
        <v>505</v>
      </c>
      <c r="D83" s="4" t="s">
        <v>506</v>
      </c>
      <c r="E83" s="4" t="s">
        <v>510</v>
      </c>
      <c r="F83" s="12">
        <v>6</v>
      </c>
      <c r="G83" s="12">
        <v>10</v>
      </c>
      <c r="H83" s="12">
        <v>10</v>
      </c>
      <c r="I83" s="12">
        <v>100</v>
      </c>
      <c r="J83" s="12">
        <f t="shared" si="4"/>
        <v>0</v>
      </c>
      <c r="K83" s="82" t="s">
        <v>507</v>
      </c>
      <c r="L83" s="82"/>
      <c r="M83" s="82"/>
      <c r="N83" s="82">
        <v>200</v>
      </c>
      <c r="O83" s="82" t="s">
        <v>508</v>
      </c>
      <c r="P83" s="82"/>
      <c r="Q83" s="82"/>
      <c r="R83" s="82"/>
      <c r="S83" s="82"/>
      <c r="T83" s="82"/>
      <c r="U83" s="82"/>
      <c r="V83" s="82"/>
      <c r="W83" s="82"/>
      <c r="X83" s="33"/>
      <c r="Y83" s="33"/>
      <c r="Z83" s="82"/>
      <c r="AA83" s="82"/>
      <c r="AB83" s="82"/>
      <c r="AC83" s="82"/>
      <c r="AD83" s="82"/>
      <c r="AE83" s="82"/>
      <c r="AF83" s="82"/>
      <c r="AG83" s="82"/>
      <c r="AH83" s="82"/>
      <c r="AI83" s="82"/>
      <c r="AJ83" s="82" t="s">
        <v>380</v>
      </c>
      <c r="AK83" s="82" t="s">
        <v>381</v>
      </c>
      <c r="AL83" s="82"/>
    </row>
    <row r="84" spans="1:38">
      <c r="A84" s="4" t="s">
        <v>511</v>
      </c>
      <c r="C84" s="4" t="s">
        <v>505</v>
      </c>
      <c r="D84" s="4" t="s">
        <v>506</v>
      </c>
      <c r="E84" s="4" t="s">
        <v>512</v>
      </c>
      <c r="F84" s="12">
        <v>8</v>
      </c>
      <c r="G84" s="12">
        <v>16</v>
      </c>
      <c r="H84" s="12">
        <v>16</v>
      </c>
      <c r="I84" s="12">
        <v>60</v>
      </c>
      <c r="J84" s="12">
        <f t="shared" si="4"/>
        <v>0</v>
      </c>
      <c r="K84" s="82" t="s">
        <v>513</v>
      </c>
      <c r="L84" s="82"/>
      <c r="M84" s="82"/>
      <c r="N84" s="82"/>
      <c r="O84" s="82"/>
      <c r="P84" s="82"/>
      <c r="Q84" s="82"/>
      <c r="R84" s="82"/>
      <c r="S84" s="82"/>
      <c r="T84" s="82"/>
      <c r="U84" s="82"/>
      <c r="V84" s="82"/>
      <c r="W84" s="82"/>
      <c r="X84" s="33"/>
      <c r="Y84" s="33"/>
      <c r="Z84" s="82"/>
      <c r="AA84" s="82"/>
      <c r="AB84" s="82"/>
      <c r="AC84" s="82"/>
      <c r="AD84" s="82"/>
      <c r="AE84" s="82"/>
      <c r="AF84" s="82"/>
      <c r="AG84" s="82"/>
      <c r="AH84" s="82"/>
      <c r="AI84" s="82"/>
      <c r="AJ84" s="82" t="s">
        <v>396</v>
      </c>
      <c r="AK84" s="12" t="s">
        <v>397</v>
      </c>
      <c r="AL84" s="82"/>
    </row>
    <row r="85" spans="1:38">
      <c r="A85" s="4" t="s">
        <v>514</v>
      </c>
      <c r="C85" s="4" t="s">
        <v>505</v>
      </c>
      <c r="D85" s="4" t="s">
        <v>506</v>
      </c>
      <c r="E85" s="4" t="s">
        <v>515</v>
      </c>
      <c r="F85" s="12">
        <v>10</v>
      </c>
      <c r="G85" s="12">
        <v>10</v>
      </c>
      <c r="H85" s="12">
        <v>10</v>
      </c>
      <c r="I85" s="12">
        <v>40</v>
      </c>
      <c r="J85" s="12">
        <f t="shared" si="4"/>
        <v>0</v>
      </c>
      <c r="K85" s="82" t="s">
        <v>513</v>
      </c>
      <c r="L85" s="82"/>
      <c r="M85" s="82"/>
      <c r="N85" s="82"/>
      <c r="O85" s="82"/>
      <c r="P85" s="82"/>
      <c r="Q85" s="82"/>
      <c r="R85" s="82"/>
      <c r="S85" s="82"/>
      <c r="T85" s="82"/>
      <c r="U85" s="82"/>
      <c r="V85" s="82"/>
      <c r="W85" s="82"/>
      <c r="X85" s="33"/>
      <c r="Y85" s="33"/>
      <c r="Z85" s="82"/>
      <c r="AA85" s="82"/>
      <c r="AB85" s="82"/>
      <c r="AC85" s="82"/>
      <c r="AD85" s="82"/>
      <c r="AE85" s="82"/>
      <c r="AF85" s="82"/>
      <c r="AG85" s="82"/>
      <c r="AH85" s="82"/>
      <c r="AI85" s="82"/>
      <c r="AJ85" s="82" t="s">
        <v>396</v>
      </c>
      <c r="AK85" s="12" t="s">
        <v>397</v>
      </c>
      <c r="AL85" s="82"/>
    </row>
    <row r="86" spans="1:38">
      <c r="A86" s="4" t="s">
        <v>516</v>
      </c>
      <c r="C86" s="4" t="s">
        <v>505</v>
      </c>
      <c r="D86" s="4" t="s">
        <v>506</v>
      </c>
      <c r="E86" s="4" t="s">
        <v>517</v>
      </c>
      <c r="F86" s="12">
        <v>4</v>
      </c>
      <c r="G86" s="12">
        <v>16</v>
      </c>
      <c r="H86" s="12">
        <v>0</v>
      </c>
      <c r="I86" s="12">
        <v>550</v>
      </c>
      <c r="J86" s="12">
        <f t="shared" si="4"/>
        <v>16</v>
      </c>
      <c r="K86" s="82" t="s">
        <v>518</v>
      </c>
      <c r="L86" s="82"/>
      <c r="M86" s="82"/>
      <c r="N86" s="82"/>
      <c r="O86" s="82"/>
      <c r="P86" s="82"/>
      <c r="Q86" s="82"/>
      <c r="R86" s="82"/>
      <c r="S86" s="82"/>
      <c r="T86" s="82"/>
      <c r="U86" s="82"/>
      <c r="V86" s="82"/>
      <c r="W86" s="82"/>
      <c r="X86" s="33"/>
      <c r="Y86" s="33"/>
      <c r="Z86" s="82"/>
      <c r="AA86" s="82"/>
      <c r="AB86" s="82"/>
      <c r="AC86" s="82"/>
      <c r="AD86" s="82"/>
      <c r="AE86" s="82"/>
      <c r="AF86" s="82"/>
      <c r="AG86" s="82"/>
      <c r="AH86" s="82"/>
      <c r="AI86" s="82"/>
      <c r="AJ86" s="82" t="s">
        <v>396</v>
      </c>
      <c r="AK86" s="12" t="s">
        <v>397</v>
      </c>
      <c r="AL86" s="82"/>
    </row>
    <row r="87" spans="1:38">
      <c r="A87" s="4" t="s">
        <v>520</v>
      </c>
      <c r="C87" s="4" t="s">
        <v>505</v>
      </c>
      <c r="D87" s="4" t="s">
        <v>506</v>
      </c>
      <c r="E87" s="4" t="s">
        <v>521</v>
      </c>
      <c r="F87" s="12">
        <v>2</v>
      </c>
      <c r="G87" s="12">
        <v>4</v>
      </c>
      <c r="H87" s="12">
        <v>4</v>
      </c>
      <c r="I87" s="12">
        <v>40</v>
      </c>
      <c r="J87" s="12">
        <f t="shared" si="4"/>
        <v>0</v>
      </c>
      <c r="K87" s="82" t="s">
        <v>513</v>
      </c>
      <c r="L87" s="82"/>
      <c r="M87" s="82"/>
      <c r="N87" s="82"/>
      <c r="O87" s="82"/>
      <c r="P87" s="82"/>
      <c r="Q87" s="82"/>
      <c r="R87" s="82">
        <v>50</v>
      </c>
      <c r="S87" s="82" t="s">
        <v>519</v>
      </c>
      <c r="T87" s="82"/>
      <c r="U87" s="82"/>
      <c r="V87" s="82"/>
      <c r="W87" s="82"/>
      <c r="X87" s="33"/>
      <c r="Y87" s="33"/>
      <c r="Z87" s="82"/>
      <c r="AA87" s="82"/>
      <c r="AB87" s="82"/>
      <c r="AC87" s="82"/>
      <c r="AD87" s="82"/>
      <c r="AE87" s="82"/>
      <c r="AF87" s="82"/>
      <c r="AG87" s="82"/>
      <c r="AH87" s="82"/>
      <c r="AI87" s="82"/>
      <c r="AJ87" s="82" t="s">
        <v>380</v>
      </c>
      <c r="AK87" s="82" t="s">
        <v>381</v>
      </c>
      <c r="AL87" s="82"/>
    </row>
    <row r="88" spans="1:38">
      <c r="A88" s="33" t="s">
        <v>522</v>
      </c>
      <c r="B88" s="33"/>
      <c r="C88" s="4" t="s">
        <v>523</v>
      </c>
      <c r="D88" s="33" t="s">
        <v>506</v>
      </c>
      <c r="E88" s="4" t="s">
        <v>63</v>
      </c>
      <c r="F88" s="82">
        <v>8</v>
      </c>
      <c r="G88" s="82">
        <v>32</v>
      </c>
      <c r="H88" s="12">
        <v>0</v>
      </c>
      <c r="I88" s="82">
        <v>80</v>
      </c>
      <c r="J88" s="82">
        <f>G88-H88</f>
        <v>32</v>
      </c>
      <c r="K88" s="82" t="s">
        <v>524</v>
      </c>
      <c r="L88" s="82"/>
      <c r="M88" s="82"/>
      <c r="N88" s="82"/>
      <c r="O88" s="82"/>
      <c r="P88" s="82"/>
      <c r="Q88" s="82"/>
      <c r="R88" s="82"/>
      <c r="S88" s="82"/>
      <c r="T88" s="82"/>
      <c r="U88" s="82"/>
      <c r="V88" s="82"/>
      <c r="W88" s="82"/>
      <c r="X88" s="33"/>
      <c r="Y88" s="33"/>
      <c r="Z88" s="82"/>
      <c r="AA88" s="82"/>
      <c r="AB88" s="82"/>
      <c r="AC88" s="82"/>
      <c r="AD88" s="82"/>
      <c r="AE88" s="82"/>
      <c r="AF88" s="82"/>
      <c r="AG88" s="82"/>
      <c r="AH88" s="82"/>
      <c r="AI88" s="82"/>
      <c r="AJ88" s="82" t="s">
        <v>380</v>
      </c>
      <c r="AK88" s="82" t="s">
        <v>381</v>
      </c>
      <c r="AL88" s="82"/>
    </row>
    <row r="89" spans="1:38" s="17" customFormat="1">
      <c r="A89" s="43" t="s">
        <v>525</v>
      </c>
      <c r="B89" s="43"/>
      <c r="C89" s="17" t="s">
        <v>523</v>
      </c>
      <c r="D89" s="43" t="s">
        <v>506</v>
      </c>
      <c r="E89" s="17" t="s">
        <v>63</v>
      </c>
      <c r="F89" s="36">
        <v>8</v>
      </c>
      <c r="G89" s="36">
        <v>32</v>
      </c>
      <c r="H89" s="15">
        <v>0</v>
      </c>
      <c r="I89" s="36">
        <v>80</v>
      </c>
      <c r="J89" s="36">
        <f>G89-H89</f>
        <v>32</v>
      </c>
      <c r="K89" s="36" t="s">
        <v>524</v>
      </c>
      <c r="L89" s="36"/>
      <c r="M89" s="36"/>
      <c r="N89" s="36"/>
      <c r="O89" s="36"/>
      <c r="P89" s="36"/>
      <c r="Q89" s="36"/>
      <c r="R89" s="36"/>
      <c r="S89" s="36"/>
      <c r="T89" s="36"/>
      <c r="U89" s="36"/>
      <c r="V89" s="36"/>
      <c r="W89" s="36"/>
      <c r="X89" s="43"/>
      <c r="Y89" s="43"/>
      <c r="Z89" s="36"/>
      <c r="AA89" s="36"/>
      <c r="AB89" s="36"/>
      <c r="AC89" s="36"/>
      <c r="AD89" s="36"/>
      <c r="AE89" s="36"/>
      <c r="AF89" s="36"/>
      <c r="AG89" s="36"/>
      <c r="AH89" s="36"/>
      <c r="AI89" s="36"/>
      <c r="AJ89" s="36" t="s">
        <v>380</v>
      </c>
      <c r="AK89" s="36" t="s">
        <v>381</v>
      </c>
      <c r="AL89" s="36"/>
    </row>
    <row r="90" spans="1:38">
      <c r="A90" s="33"/>
      <c r="B90" s="33"/>
      <c r="C90" s="33"/>
      <c r="D90" s="33"/>
      <c r="E90" s="33"/>
      <c r="F90" s="82">
        <f>F78+SUM(F82:F89)</f>
        <v>412</v>
      </c>
      <c r="G90" s="82">
        <f>G78+SUM(G82:G89)</f>
        <v>1202</v>
      </c>
      <c r="H90" s="82">
        <f>H78+SUM(H82:H89)</f>
        <v>477</v>
      </c>
      <c r="I90" s="82">
        <f>I78+SUM(I82:I89)</f>
        <v>9214</v>
      </c>
      <c r="J90" s="82"/>
      <c r="K90" s="82"/>
      <c r="L90" s="82">
        <f>L78+SUM(L82:L89)</f>
        <v>500</v>
      </c>
      <c r="M90" s="82"/>
      <c r="N90" s="82">
        <f>N78+SUM(N82:N89)</f>
        <v>9200</v>
      </c>
      <c r="O90" s="82"/>
      <c r="P90" s="82">
        <f>P78+SUM(P82:P89)</f>
        <v>13500</v>
      </c>
      <c r="Q90" s="82"/>
      <c r="R90" s="82">
        <f>R78+SUM(R82:R89)</f>
        <v>1090</v>
      </c>
      <c r="S90" s="82"/>
      <c r="T90" s="82">
        <f>T78+SUM(T82:T89)</f>
        <v>300</v>
      </c>
      <c r="U90" s="82"/>
      <c r="V90" s="82">
        <f>V78+SUM(V82:V89)</f>
        <v>0</v>
      </c>
      <c r="W90" s="82"/>
      <c r="X90" s="82">
        <f>X78+SUM(X82:X89)</f>
        <v>31396</v>
      </c>
      <c r="Y90" s="82"/>
      <c r="Z90" s="82">
        <f>Z78+SUM(Z82:Z89)</f>
        <v>200</v>
      </c>
      <c r="AA90" s="82"/>
      <c r="AB90" s="82">
        <f>AB78+SUM(AB82:AB89)</f>
        <v>50</v>
      </c>
      <c r="AC90" s="82"/>
      <c r="AD90" s="82">
        <f>AD78+SUM(AD82:AD89)</f>
        <v>200</v>
      </c>
      <c r="AE90" s="82"/>
      <c r="AF90" s="82">
        <f>AF78+SUM(AF82:AF89)</f>
        <v>200</v>
      </c>
      <c r="AG90" s="82"/>
      <c r="AH90" s="82">
        <f>AH78+SUM(AH82:AH89)</f>
        <v>6144</v>
      </c>
      <c r="AI90" s="82"/>
      <c r="AJ90" s="82"/>
      <c r="AK90" s="82" t="s">
        <v>724</v>
      </c>
      <c r="AL90" s="82">
        <v>3</v>
      </c>
    </row>
  </sheetData>
  <mergeCells count="7">
    <mergeCell ref="A45:B45"/>
    <mergeCell ref="A6:B6"/>
    <mergeCell ref="A2:B2"/>
    <mergeCell ref="A3:B3"/>
    <mergeCell ref="F3:G3"/>
    <mergeCell ref="A4:B4"/>
    <mergeCell ref="A5:B5"/>
  </mergeCells>
  <hyperlinks>
    <hyperlink ref="F3:G3" location="Shortcuts!A1" display="Back to shortcuts" xr:uid="{661C7023-A077-405E-8A20-A6FC7C2DCB35}"/>
  </hyperlinks>
  <pageMargins left="0.7" right="0.7" top="0.75" bottom="0.75" header="0.3" footer="0.3"/>
  <pageSetup paperSize="9" orientation="portrait" r:id="rId1"/>
  <headerFooter>
    <oddFooter>&amp;C&amp;1#&amp;"Arial"&amp;8&amp;K001753Nokia internal use</oddFooter>
  </headerFooter>
  <legacyDrawing r:id="rId2"/>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DE1BEE-8DE7-4BF2-BD3E-5A1E9076F07C}">
  <sheetPr codeName="Sheet104"/>
  <dimension ref="A1:BT90"/>
  <sheetViews>
    <sheetView zoomScale="85" zoomScaleNormal="85" zoomScalePageLayoutView="70" workbookViewId="0">
      <selection activeCell="AG13" sqref="AG13"/>
    </sheetView>
  </sheetViews>
  <sheetFormatPr defaultColWidth="8.81640625" defaultRowHeight="12.5"/>
  <cols>
    <col min="1" max="1" width="8.81640625" style="4"/>
    <col min="2" max="2" width="20.81640625" style="4" customWidth="1"/>
    <col min="3" max="3" width="24" style="4" customWidth="1"/>
    <col min="4" max="4" width="55.81640625" style="4" customWidth="1"/>
    <col min="5" max="5" width="14.1796875" style="4" customWidth="1"/>
    <col min="6" max="7" width="8.81640625" style="4"/>
    <col min="8" max="9" width="8.1796875" style="4" customWidth="1"/>
    <col min="10" max="10" width="6.1796875" style="4" customWidth="1"/>
    <col min="11" max="11" width="15.1796875" style="4" customWidth="1"/>
    <col min="12" max="12" width="6.81640625" style="4" customWidth="1"/>
    <col min="13" max="13" width="8.81640625" style="4"/>
    <col min="14" max="14" width="6.1796875" style="4" customWidth="1"/>
    <col min="15" max="15" width="15.1796875" style="4" customWidth="1"/>
    <col min="16" max="16" width="6.81640625" style="4" customWidth="1"/>
    <col min="17" max="17" width="8.81640625" style="4"/>
    <col min="18" max="18" width="6.1796875" style="4" customWidth="1"/>
    <col min="19" max="19" width="15.1796875" style="4" customWidth="1"/>
    <col min="20" max="20" width="6.81640625" style="4" customWidth="1"/>
    <col min="21" max="21" width="9.1796875" style="4" customWidth="1"/>
    <col min="22" max="22" width="6.1796875" style="4" customWidth="1"/>
    <col min="23" max="23" width="11.1796875" style="4" customWidth="1"/>
    <col min="24" max="24" width="6.81640625" style="4" customWidth="1"/>
    <col min="25" max="25" width="8.81640625" style="4"/>
    <col min="26" max="26" width="6.1796875" style="4" customWidth="1"/>
    <col min="27" max="27" width="15.1796875" style="4" customWidth="1"/>
    <col min="28" max="28" width="6.81640625" style="4" customWidth="1"/>
    <col min="29" max="29" width="8.81640625" style="4"/>
    <col min="30" max="30" width="6.1796875" style="4" customWidth="1"/>
    <col min="31" max="31" width="15.1796875" style="4" customWidth="1"/>
    <col min="32" max="32" width="6.81640625" style="4" customWidth="1"/>
    <col min="33" max="33" width="13.1796875" style="4" customWidth="1"/>
    <col min="34" max="34" width="6.1796875" style="4" customWidth="1"/>
    <col min="35" max="36" width="11.1796875" style="4" customWidth="1"/>
    <col min="37" max="37" width="7.1796875" style="4" customWidth="1"/>
    <col min="38" max="38" width="6.1796875" style="4" customWidth="1"/>
    <col min="39" max="39" width="15.1796875" style="4" customWidth="1"/>
    <col min="40" max="40" width="6.81640625" style="4" customWidth="1"/>
    <col min="41" max="41" width="12.54296875" style="4" customWidth="1"/>
    <col min="42" max="48" width="6.81640625" style="4" customWidth="1"/>
    <col min="49" max="49" width="8.81640625" style="4" customWidth="1"/>
    <col min="50" max="50" width="8.26953125" style="4" customWidth="1"/>
    <col min="51" max="51" width="9.1796875" style="4" customWidth="1"/>
    <col min="52" max="52" width="6.81640625" style="4" customWidth="1"/>
    <col min="53" max="53" width="16" style="4" customWidth="1"/>
    <col min="54" max="56" width="6.81640625" style="4" customWidth="1"/>
    <col min="57" max="57" width="9.81640625" style="4" customWidth="1"/>
    <col min="58" max="58" width="12.1796875" style="4" customWidth="1"/>
    <col min="59" max="60" width="13.1796875" style="4" customWidth="1"/>
    <col min="61" max="61" width="6.1796875" style="4" customWidth="1"/>
    <col min="62" max="62" width="18.1796875" style="4" customWidth="1"/>
    <col min="63" max="63" width="17.1796875" style="4" customWidth="1"/>
    <col min="64" max="64" width="18.54296875" style="4" customWidth="1"/>
    <col min="65" max="66" width="13.1796875" style="4" customWidth="1"/>
    <col min="67" max="67" width="22.81640625" style="4" customWidth="1"/>
    <col min="68" max="68" width="17.54296875" style="4" customWidth="1"/>
    <col min="69" max="78" width="8.81640625" style="4"/>
    <col min="79" max="79" width="10.1796875" style="4" customWidth="1"/>
    <col min="80" max="16384" width="8.81640625" style="4"/>
  </cols>
  <sheetData>
    <row r="1" spans="1:68" ht="13">
      <c r="A1" s="156" t="s">
        <v>15</v>
      </c>
      <c r="B1" s="156"/>
      <c r="C1" s="156"/>
      <c r="D1" s="157"/>
      <c r="F1" s="5" t="s">
        <v>653</v>
      </c>
    </row>
    <row r="2" spans="1:68">
      <c r="A2" s="178" t="s">
        <v>355</v>
      </c>
      <c r="B2" s="178"/>
    </row>
    <row r="3" spans="1:68" ht="14.5">
      <c r="A3" s="178" t="s">
        <v>357</v>
      </c>
      <c r="B3" s="178"/>
      <c r="F3" s="169" t="s">
        <v>358</v>
      </c>
      <c r="G3" s="169"/>
    </row>
    <row r="4" spans="1:68">
      <c r="A4" s="178" t="s">
        <v>359</v>
      </c>
      <c r="B4" s="178"/>
      <c r="C4" s="113"/>
      <c r="D4" s="4" t="s">
        <v>459</v>
      </c>
    </row>
    <row r="5" spans="1:68">
      <c r="A5" s="162" t="s">
        <v>360</v>
      </c>
      <c r="B5" s="162"/>
      <c r="D5" s="33" t="s">
        <v>648</v>
      </c>
    </row>
    <row r="6" spans="1:68">
      <c r="A6" s="162" t="s">
        <v>361</v>
      </c>
      <c r="B6" s="162"/>
    </row>
    <row r="7" spans="1:68" ht="52">
      <c r="A7" s="7" t="s">
        <v>155</v>
      </c>
      <c r="B7" s="7" t="s">
        <v>362</v>
      </c>
      <c r="C7" s="7" t="s">
        <v>364</v>
      </c>
      <c r="D7" s="7" t="s">
        <v>365</v>
      </c>
      <c r="E7" s="6" t="s">
        <v>654</v>
      </c>
      <c r="F7" s="6" t="s">
        <v>129</v>
      </c>
      <c r="G7" s="6" t="s">
        <v>146</v>
      </c>
      <c r="H7" s="6" t="s">
        <v>655</v>
      </c>
      <c r="I7" s="6" t="s">
        <v>367</v>
      </c>
      <c r="J7" s="6" t="s">
        <v>656</v>
      </c>
      <c r="K7" s="6" t="s">
        <v>657</v>
      </c>
      <c r="L7" s="6" t="s">
        <v>658</v>
      </c>
      <c r="M7" s="6" t="s">
        <v>170</v>
      </c>
      <c r="N7" s="6" t="s">
        <v>656</v>
      </c>
      <c r="O7" s="6" t="s">
        <v>657</v>
      </c>
      <c r="P7" s="6" t="s">
        <v>658</v>
      </c>
      <c r="Q7" s="6" t="s">
        <v>30</v>
      </c>
      <c r="R7" s="6" t="s">
        <v>656</v>
      </c>
      <c r="S7" s="6" t="s">
        <v>657</v>
      </c>
      <c r="T7" s="6" t="s">
        <v>658</v>
      </c>
      <c r="U7" s="6" t="s">
        <v>175</v>
      </c>
      <c r="V7" s="6" t="s">
        <v>656</v>
      </c>
      <c r="W7" s="6" t="s">
        <v>657</v>
      </c>
      <c r="X7" s="6" t="s">
        <v>658</v>
      </c>
      <c r="Y7" s="6" t="s">
        <v>189</v>
      </c>
      <c r="Z7" s="6" t="s">
        <v>656</v>
      </c>
      <c r="AA7" s="6" t="s">
        <v>657</v>
      </c>
      <c r="AB7" s="6" t="s">
        <v>658</v>
      </c>
      <c r="AC7" s="6" t="s">
        <v>579</v>
      </c>
      <c r="AD7" s="6" t="s">
        <v>656</v>
      </c>
      <c r="AE7" s="6" t="s">
        <v>657</v>
      </c>
      <c r="AF7" s="6" t="s">
        <v>658</v>
      </c>
      <c r="AG7" s="6" t="s">
        <v>179</v>
      </c>
      <c r="AH7" s="6" t="s">
        <v>656</v>
      </c>
      <c r="AI7" s="6" t="s">
        <v>657</v>
      </c>
      <c r="AJ7" s="6" t="s">
        <v>658</v>
      </c>
      <c r="AK7" s="6" t="s">
        <v>554</v>
      </c>
      <c r="AL7" s="6" t="s">
        <v>656</v>
      </c>
      <c r="AM7" s="6" t="s">
        <v>657</v>
      </c>
      <c r="AN7" s="6" t="s">
        <v>658</v>
      </c>
      <c r="AO7" s="79" t="s">
        <v>659</v>
      </c>
      <c r="AP7" s="6" t="s">
        <v>656</v>
      </c>
      <c r="AQ7" s="6" t="s">
        <v>657</v>
      </c>
      <c r="AR7" s="6" t="s">
        <v>658</v>
      </c>
      <c r="AS7" s="79" t="s">
        <v>206</v>
      </c>
      <c r="AT7" s="6" t="s">
        <v>656</v>
      </c>
      <c r="AU7" s="6" t="s">
        <v>657</v>
      </c>
      <c r="AV7" s="6" t="s">
        <v>658</v>
      </c>
      <c r="AW7" s="79" t="s">
        <v>373</v>
      </c>
      <c r="AX7" s="6" t="s">
        <v>656</v>
      </c>
      <c r="AY7" s="6" t="s">
        <v>657</v>
      </c>
      <c r="AZ7" s="6" t="s">
        <v>658</v>
      </c>
      <c r="BA7" s="79" t="s">
        <v>719</v>
      </c>
      <c r="BB7" s="6" t="s">
        <v>656</v>
      </c>
      <c r="BC7" s="6" t="s">
        <v>657</v>
      </c>
      <c r="BD7" s="6" t="s">
        <v>658</v>
      </c>
      <c r="BE7" s="6" t="s">
        <v>191</v>
      </c>
      <c r="BF7" s="6" t="s">
        <v>375</v>
      </c>
      <c r="BG7" s="6" t="s">
        <v>376</v>
      </c>
      <c r="BH7" s="6" t="s">
        <v>661</v>
      </c>
      <c r="BI7" s="6" t="s">
        <v>662</v>
      </c>
      <c r="BJ7" s="6" t="s">
        <v>663</v>
      </c>
      <c r="BK7" s="6" t="s">
        <v>664</v>
      </c>
      <c r="BL7" s="79" t="s">
        <v>665</v>
      </c>
      <c r="BM7" s="6" t="s">
        <v>666</v>
      </c>
      <c r="BN7" s="6" t="s">
        <v>667</v>
      </c>
      <c r="BO7" s="6" t="s">
        <v>668</v>
      </c>
      <c r="BP7" s="6" t="s">
        <v>669</v>
      </c>
    </row>
    <row r="8" spans="1:68">
      <c r="A8" s="4" t="s">
        <v>670</v>
      </c>
      <c r="B8" s="12"/>
      <c r="C8" s="4" t="s">
        <v>378</v>
      </c>
      <c r="D8" s="4" t="s">
        <v>671</v>
      </c>
      <c r="E8" s="12" t="s">
        <v>672</v>
      </c>
      <c r="F8" s="12">
        <v>4</v>
      </c>
      <c r="G8" s="12">
        <v>8</v>
      </c>
      <c r="H8" s="59">
        <v>20</v>
      </c>
      <c r="I8" s="28">
        <v>0</v>
      </c>
      <c r="J8" s="12" t="s">
        <v>673</v>
      </c>
      <c r="K8" s="4" t="s">
        <v>674</v>
      </c>
      <c r="L8" s="12">
        <v>4.7</v>
      </c>
      <c r="M8" s="59"/>
      <c r="N8" s="12"/>
      <c r="O8" s="12"/>
      <c r="P8" s="12"/>
      <c r="Q8" s="59"/>
      <c r="R8" s="12"/>
      <c r="S8" s="12"/>
      <c r="T8" s="12"/>
      <c r="U8" s="59"/>
      <c r="V8" s="12"/>
      <c r="W8" s="12"/>
      <c r="X8" s="12"/>
      <c r="Y8" s="59"/>
      <c r="Z8" s="12"/>
      <c r="AA8" s="12"/>
      <c r="AB8" s="12"/>
      <c r="AC8" s="59"/>
      <c r="AD8" s="12"/>
      <c r="AE8" s="12"/>
      <c r="AF8" s="12"/>
      <c r="AG8" s="59">
        <v>0</v>
      </c>
      <c r="AH8" s="12" t="s">
        <v>670</v>
      </c>
      <c r="AI8" s="4" t="s">
        <v>670</v>
      </c>
      <c r="AJ8" s="12" t="s">
        <v>670</v>
      </c>
      <c r="AK8" s="12"/>
      <c r="AL8" s="12"/>
      <c r="AM8" s="12"/>
      <c r="AN8" s="12"/>
      <c r="AO8" s="12"/>
      <c r="AP8" s="12"/>
      <c r="AQ8" s="12"/>
      <c r="AR8" s="12"/>
      <c r="AS8" s="12"/>
      <c r="AT8" s="12"/>
      <c r="AU8" s="12"/>
      <c r="AV8" s="12"/>
      <c r="AW8" s="12"/>
      <c r="AX8" s="12"/>
      <c r="AY8" s="12"/>
      <c r="AZ8" s="12"/>
      <c r="BA8" s="12"/>
      <c r="BB8" s="12"/>
      <c r="BC8" s="12"/>
      <c r="BD8" s="12"/>
      <c r="BE8" s="12">
        <v>1</v>
      </c>
      <c r="BG8" s="12"/>
      <c r="BH8" s="12" t="s">
        <v>381</v>
      </c>
      <c r="BI8" s="12">
        <v>2</v>
      </c>
      <c r="BJ8" s="12" t="s">
        <v>381</v>
      </c>
      <c r="BK8" s="12"/>
      <c r="BP8" s="12"/>
    </row>
    <row r="9" spans="1:68">
      <c r="A9" s="4" t="s">
        <v>377</v>
      </c>
      <c r="C9" s="4" t="s">
        <v>378</v>
      </c>
      <c r="D9" s="19" t="s">
        <v>19</v>
      </c>
      <c r="E9" s="12" t="s">
        <v>675</v>
      </c>
      <c r="F9" s="12">
        <v>4</v>
      </c>
      <c r="G9" s="12">
        <v>16</v>
      </c>
      <c r="H9" s="59">
        <v>350</v>
      </c>
      <c r="I9" s="28">
        <v>4</v>
      </c>
      <c r="J9" s="12" t="s">
        <v>676</v>
      </c>
      <c r="K9" s="4" t="s">
        <v>674</v>
      </c>
      <c r="L9" s="12">
        <v>5.9</v>
      </c>
      <c r="M9" s="59"/>
      <c r="N9" s="12"/>
      <c r="O9" s="12"/>
      <c r="P9" s="12"/>
      <c r="Q9" s="59"/>
      <c r="R9" s="12"/>
      <c r="S9" s="12"/>
      <c r="T9" s="12"/>
      <c r="U9" s="59"/>
      <c r="V9" s="12"/>
      <c r="W9" s="12"/>
      <c r="X9" s="12"/>
      <c r="Y9" s="59"/>
      <c r="Z9" s="12"/>
      <c r="AA9" s="12"/>
      <c r="AB9" s="12"/>
      <c r="AC9" s="59"/>
      <c r="AD9" s="12"/>
      <c r="AE9" s="12"/>
      <c r="AF9" s="12"/>
      <c r="AG9" s="59">
        <f>2*H9</f>
        <v>700</v>
      </c>
      <c r="AH9" s="12" t="s">
        <v>676</v>
      </c>
      <c r="AI9" s="4" t="s">
        <v>674</v>
      </c>
      <c r="AJ9" s="12" t="s">
        <v>670</v>
      </c>
      <c r="AK9" s="12"/>
      <c r="AL9" s="12"/>
      <c r="AM9" s="12"/>
      <c r="AN9" s="12"/>
      <c r="AO9" s="12"/>
      <c r="AP9" s="12"/>
      <c r="AQ9" s="12"/>
      <c r="AR9" s="12"/>
      <c r="AS9" s="12"/>
      <c r="AT9" s="12"/>
      <c r="AU9" s="12"/>
      <c r="AV9" s="12"/>
      <c r="AW9" s="12"/>
      <c r="AX9" s="12"/>
      <c r="AY9" s="12"/>
      <c r="AZ9" s="12"/>
      <c r="BA9" s="12"/>
      <c r="BB9" s="12"/>
      <c r="BC9" s="12"/>
      <c r="BD9" s="12"/>
      <c r="BE9" s="12">
        <v>2</v>
      </c>
      <c r="BF9" s="12" t="s">
        <v>381</v>
      </c>
      <c r="BG9" s="12"/>
      <c r="BH9" s="12"/>
      <c r="BI9" s="12">
        <v>2</v>
      </c>
      <c r="BJ9" s="12"/>
      <c r="BK9" s="12"/>
      <c r="BL9" s="12" t="s">
        <v>381</v>
      </c>
      <c r="BM9" s="12"/>
      <c r="BN9" s="12"/>
      <c r="BO9" s="12"/>
      <c r="BP9" s="12"/>
    </row>
    <row r="10" spans="1:68">
      <c r="A10" s="4" t="s">
        <v>385</v>
      </c>
      <c r="B10" s="12" t="s">
        <v>386</v>
      </c>
      <c r="C10" s="4" t="s">
        <v>378</v>
      </c>
      <c r="D10" s="19" t="s">
        <v>27</v>
      </c>
      <c r="E10" s="12" t="s">
        <v>677</v>
      </c>
      <c r="F10" s="12">
        <v>6</v>
      </c>
      <c r="G10" s="12">
        <v>9</v>
      </c>
      <c r="H10" s="59">
        <v>40</v>
      </c>
      <c r="I10" s="28">
        <v>4</v>
      </c>
      <c r="J10" s="12" t="s">
        <v>676</v>
      </c>
      <c r="K10" s="4" t="s">
        <v>674</v>
      </c>
      <c r="L10" s="12">
        <v>2.6</v>
      </c>
      <c r="M10" s="59"/>
      <c r="N10" s="12"/>
      <c r="O10" s="12"/>
      <c r="P10" s="12"/>
      <c r="Q10" s="59"/>
      <c r="R10" s="12"/>
      <c r="S10" s="12"/>
      <c r="T10" s="12"/>
      <c r="U10" s="59"/>
      <c r="V10" s="12"/>
      <c r="W10" s="12"/>
      <c r="X10" s="12"/>
      <c r="Y10" s="59"/>
      <c r="Z10" s="12"/>
      <c r="AA10" s="12"/>
      <c r="AB10" s="12"/>
      <c r="AC10" s="59"/>
      <c r="AD10" s="12"/>
      <c r="AE10" s="12"/>
      <c r="AF10" s="12"/>
      <c r="AG10" s="59">
        <f>H10*2</f>
        <v>80</v>
      </c>
      <c r="AH10" s="12" t="s">
        <v>676</v>
      </c>
      <c r="AI10" s="4" t="s">
        <v>674</v>
      </c>
      <c r="AJ10" s="12" t="s">
        <v>670</v>
      </c>
      <c r="AK10" s="12"/>
      <c r="AL10" s="12"/>
      <c r="AM10" s="12"/>
      <c r="AN10" s="12"/>
      <c r="AO10" s="12"/>
      <c r="AP10" s="12"/>
      <c r="AQ10" s="12"/>
      <c r="AR10" s="12"/>
      <c r="AS10" s="12"/>
      <c r="AT10" s="12"/>
      <c r="AU10" s="12"/>
      <c r="AV10" s="12"/>
      <c r="AW10" s="12"/>
      <c r="AX10" s="12"/>
      <c r="AY10" s="12"/>
      <c r="AZ10" s="12"/>
      <c r="BA10" s="12"/>
      <c r="BB10" s="12"/>
      <c r="BC10" s="12"/>
      <c r="BD10" s="12"/>
      <c r="BE10" s="12">
        <v>2</v>
      </c>
      <c r="BF10" s="12" t="s">
        <v>381</v>
      </c>
      <c r="BG10" s="12"/>
      <c r="BH10" s="12"/>
      <c r="BI10" s="12">
        <v>2</v>
      </c>
      <c r="BJ10" s="12"/>
      <c r="BK10" s="12"/>
      <c r="BL10" s="12" t="s">
        <v>381</v>
      </c>
      <c r="BM10" s="12"/>
      <c r="BN10" s="12"/>
      <c r="BO10" s="12"/>
      <c r="BP10" s="12"/>
    </row>
    <row r="11" spans="1:68">
      <c r="A11" s="4" t="s">
        <v>389</v>
      </c>
      <c r="B11" s="12"/>
      <c r="C11" s="4" t="s">
        <v>378</v>
      </c>
      <c r="D11" s="19" t="s">
        <v>30</v>
      </c>
      <c r="E11" s="12" t="s">
        <v>678</v>
      </c>
      <c r="F11" s="12">
        <v>16</v>
      </c>
      <c r="G11" s="12">
        <v>160</v>
      </c>
      <c r="H11" s="59">
        <v>95</v>
      </c>
      <c r="I11" s="28">
        <v>32</v>
      </c>
      <c r="J11" s="12" t="s">
        <v>676</v>
      </c>
      <c r="K11" s="4" t="s">
        <v>674</v>
      </c>
      <c r="L11" s="12">
        <v>2.6</v>
      </c>
      <c r="M11" s="59">
        <v>460</v>
      </c>
      <c r="N11" s="12" t="s">
        <v>676</v>
      </c>
      <c r="O11" s="4" t="s">
        <v>679</v>
      </c>
      <c r="P11" s="12">
        <f>50/1000</f>
        <v>0.05</v>
      </c>
      <c r="Q11" s="59">
        <v>8100</v>
      </c>
      <c r="R11" s="12" t="s">
        <v>676</v>
      </c>
      <c r="S11" s="4" t="s">
        <v>679</v>
      </c>
      <c r="T11" s="12">
        <f>50/1000</f>
        <v>0.05</v>
      </c>
      <c r="U11" s="59">
        <v>12150</v>
      </c>
      <c r="V11" s="12" t="s">
        <v>676</v>
      </c>
      <c r="W11" s="4" t="s">
        <v>674</v>
      </c>
      <c r="X11" s="12">
        <f>50/1000</f>
        <v>0.05</v>
      </c>
      <c r="Y11" s="59"/>
      <c r="Z11" s="12"/>
      <c r="AA11" s="12"/>
      <c r="AB11" s="12"/>
      <c r="AC11" s="59"/>
      <c r="AD11" s="12"/>
      <c r="AE11" s="12"/>
      <c r="AF11" s="12"/>
      <c r="AG11" s="59">
        <v>28800</v>
      </c>
      <c r="AH11" s="12" t="s">
        <v>676</v>
      </c>
      <c r="AI11" s="4" t="s">
        <v>674</v>
      </c>
      <c r="AJ11" s="12" t="s">
        <v>670</v>
      </c>
      <c r="AK11" s="12"/>
      <c r="AL11" s="12"/>
      <c r="AM11" s="12"/>
      <c r="AN11" s="12"/>
      <c r="AO11" s="12"/>
      <c r="AP11" s="12"/>
      <c r="AQ11" s="12"/>
      <c r="AR11" s="12"/>
      <c r="AS11" s="12"/>
      <c r="AT11" s="12"/>
      <c r="AU11" s="12"/>
      <c r="AV11" s="12"/>
      <c r="AW11" s="12"/>
      <c r="AX11" s="12"/>
      <c r="AY11" s="12"/>
      <c r="AZ11" s="12"/>
      <c r="BA11" s="59">
        <v>6144</v>
      </c>
      <c r="BB11" s="12" t="s">
        <v>676</v>
      </c>
      <c r="BC11" s="4" t="s">
        <v>674</v>
      </c>
      <c r="BD11" s="12">
        <f>50/1000</f>
        <v>0.05</v>
      </c>
      <c r="BE11" s="12">
        <v>5</v>
      </c>
      <c r="BF11" s="12" t="s">
        <v>381</v>
      </c>
      <c r="BG11" s="12"/>
      <c r="BH11" s="12"/>
      <c r="BI11" s="12">
        <v>2</v>
      </c>
      <c r="BJ11" s="12"/>
      <c r="BK11" s="12"/>
      <c r="BL11" s="12" t="s">
        <v>381</v>
      </c>
      <c r="BM11" s="12"/>
      <c r="BN11" s="12"/>
      <c r="BO11" s="12"/>
      <c r="BP11" s="12"/>
    </row>
    <row r="12" spans="1:68">
      <c r="A12" s="4" t="s">
        <v>393</v>
      </c>
      <c r="B12" s="12" t="s">
        <v>386</v>
      </c>
      <c r="C12" s="4" t="s">
        <v>378</v>
      </c>
      <c r="D12" s="19" t="s">
        <v>34</v>
      </c>
      <c r="E12" s="12" t="s">
        <v>680</v>
      </c>
      <c r="F12" s="12">
        <v>8</v>
      </c>
      <c r="G12" s="12">
        <v>11</v>
      </c>
      <c r="H12" s="59">
        <v>45</v>
      </c>
      <c r="I12" s="28">
        <v>16</v>
      </c>
      <c r="J12" s="12" t="s">
        <v>676</v>
      </c>
      <c r="K12" s="4" t="s">
        <v>674</v>
      </c>
      <c r="L12" s="12">
        <v>2.6</v>
      </c>
      <c r="M12" s="59"/>
      <c r="N12" s="12"/>
      <c r="O12" s="12"/>
      <c r="P12" s="12"/>
      <c r="Q12" s="59"/>
      <c r="R12" s="12"/>
      <c r="S12" s="12"/>
      <c r="T12" s="12"/>
      <c r="U12" s="59"/>
      <c r="V12" s="12"/>
      <c r="W12" s="12"/>
      <c r="X12" s="12"/>
      <c r="Y12" s="59">
        <v>834.99</v>
      </c>
      <c r="Z12" s="12" t="s">
        <v>676</v>
      </c>
      <c r="AA12" s="4" t="s">
        <v>674</v>
      </c>
      <c r="AB12" s="12">
        <v>0.1</v>
      </c>
      <c r="AC12" s="59">
        <v>270</v>
      </c>
      <c r="AD12" s="12" t="s">
        <v>676</v>
      </c>
      <c r="AE12" s="4" t="s">
        <v>674</v>
      </c>
      <c r="AF12" s="12" t="s">
        <v>670</v>
      </c>
      <c r="AG12" s="59">
        <v>624</v>
      </c>
      <c r="AH12" s="12" t="s">
        <v>676</v>
      </c>
      <c r="AI12" s="4" t="s">
        <v>674</v>
      </c>
      <c r="AJ12" s="12" t="s">
        <v>670</v>
      </c>
      <c r="AK12" s="12"/>
      <c r="AL12" s="12"/>
      <c r="AM12" s="12"/>
      <c r="AN12" s="12"/>
      <c r="AO12" s="12"/>
      <c r="AP12" s="12"/>
      <c r="AQ12" s="12"/>
      <c r="AR12" s="12"/>
      <c r="AS12" s="12"/>
      <c r="AT12" s="12"/>
      <c r="AU12" s="12"/>
      <c r="AV12" s="12"/>
      <c r="AW12" s="12"/>
      <c r="AX12" s="12"/>
      <c r="AY12" s="12"/>
      <c r="AZ12" s="12"/>
      <c r="BA12" s="12"/>
      <c r="BB12" s="12"/>
      <c r="BC12" s="12"/>
      <c r="BD12" s="12"/>
      <c r="BE12" s="12">
        <v>4</v>
      </c>
      <c r="BF12" s="12" t="s">
        <v>381</v>
      </c>
      <c r="BG12" s="12"/>
      <c r="BH12" s="12"/>
      <c r="BI12" s="12">
        <v>2</v>
      </c>
      <c r="BJ12" s="12"/>
      <c r="BK12" s="12"/>
      <c r="BL12" s="12" t="s">
        <v>381</v>
      </c>
      <c r="BM12" s="12"/>
      <c r="BN12" s="12"/>
      <c r="BO12" s="12"/>
      <c r="BP12" s="12"/>
    </row>
    <row r="13" spans="1:68">
      <c r="A13" s="4" t="s">
        <v>395</v>
      </c>
      <c r="C13" s="4" t="s">
        <v>378</v>
      </c>
      <c r="D13" s="19" t="s">
        <v>38</v>
      </c>
      <c r="E13" s="12" t="s">
        <v>681</v>
      </c>
      <c r="F13" s="12">
        <v>4</v>
      </c>
      <c r="G13" s="12">
        <v>4</v>
      </c>
      <c r="H13" s="59">
        <v>30</v>
      </c>
      <c r="I13" s="28">
        <v>4</v>
      </c>
      <c r="J13" s="12" t="s">
        <v>676</v>
      </c>
      <c r="K13" s="4" t="s">
        <v>674</v>
      </c>
      <c r="L13" s="12">
        <v>2.6</v>
      </c>
      <c r="M13" s="59"/>
      <c r="N13" s="12"/>
      <c r="O13" s="12"/>
      <c r="P13" s="12"/>
      <c r="Q13" s="59"/>
      <c r="R13" s="12"/>
      <c r="S13" s="12"/>
      <c r="T13" s="12"/>
      <c r="U13" s="59"/>
      <c r="V13" s="12"/>
      <c r="W13" s="12"/>
      <c r="X13" s="12"/>
      <c r="Y13" s="59"/>
      <c r="Z13" s="12"/>
      <c r="AA13" s="12"/>
      <c r="AB13" s="12"/>
      <c r="AC13" s="59"/>
      <c r="AD13" s="12"/>
      <c r="AE13" s="12"/>
      <c r="AF13" s="12"/>
      <c r="AG13" s="59">
        <f t="shared" ref="AG13:AG42" si="0">2*H13</f>
        <v>60</v>
      </c>
      <c r="AH13" s="12" t="s">
        <v>676</v>
      </c>
      <c r="AI13" s="4" t="s">
        <v>674</v>
      </c>
      <c r="AJ13" s="12" t="s">
        <v>670</v>
      </c>
      <c r="AK13" s="12"/>
      <c r="AL13" s="12"/>
      <c r="AM13" s="12"/>
      <c r="AN13" s="12"/>
      <c r="AO13" s="12"/>
      <c r="AP13" s="12"/>
      <c r="AQ13" s="12"/>
      <c r="AR13" s="12"/>
      <c r="AS13" s="12"/>
      <c r="AT13" s="12"/>
      <c r="AU13" s="12"/>
      <c r="AV13" s="12"/>
      <c r="AW13" s="12"/>
      <c r="AX13" s="12"/>
      <c r="AY13" s="12"/>
      <c r="AZ13" s="12"/>
      <c r="BA13" s="12"/>
      <c r="BB13" s="12"/>
      <c r="BC13" s="12"/>
      <c r="BD13" s="12"/>
      <c r="BE13" s="12">
        <v>2</v>
      </c>
      <c r="BF13" s="12" t="s">
        <v>381</v>
      </c>
      <c r="BG13" s="12" t="s">
        <v>381</v>
      </c>
      <c r="BH13" s="12"/>
      <c r="BI13" s="12">
        <v>2</v>
      </c>
      <c r="BJ13" s="12"/>
      <c r="BK13" s="12"/>
      <c r="BL13" s="12" t="s">
        <v>381</v>
      </c>
      <c r="BM13" s="12"/>
      <c r="BN13" s="12"/>
      <c r="BO13" s="12"/>
      <c r="BP13" s="12"/>
    </row>
    <row r="14" spans="1:68">
      <c r="A14" s="4" t="s">
        <v>398</v>
      </c>
      <c r="C14" s="4" t="s">
        <v>378</v>
      </c>
      <c r="D14" s="19" t="s">
        <v>42</v>
      </c>
      <c r="E14" s="12" t="s">
        <v>682</v>
      </c>
      <c r="F14" s="12">
        <v>2</v>
      </c>
      <c r="G14" s="12">
        <v>3</v>
      </c>
      <c r="H14" s="59">
        <v>30</v>
      </c>
      <c r="I14" s="28">
        <v>4</v>
      </c>
      <c r="J14" s="12" t="s">
        <v>676</v>
      </c>
      <c r="K14" s="4" t="s">
        <v>674</v>
      </c>
      <c r="L14" s="12">
        <v>2.6</v>
      </c>
      <c r="M14" s="59"/>
      <c r="N14" s="12"/>
      <c r="O14" s="12"/>
      <c r="P14" s="12"/>
      <c r="Q14" s="59"/>
      <c r="R14" s="12"/>
      <c r="S14" s="12"/>
      <c r="T14" s="12"/>
      <c r="U14" s="59"/>
      <c r="V14" s="12"/>
      <c r="W14" s="12"/>
      <c r="X14" s="12"/>
      <c r="Y14" s="59"/>
      <c r="Z14" s="12"/>
      <c r="AA14" s="12"/>
      <c r="AB14" s="12"/>
      <c r="AC14" s="59"/>
      <c r="AD14" s="12"/>
      <c r="AE14" s="12"/>
      <c r="AF14" s="12"/>
      <c r="AG14" s="59">
        <f t="shared" si="0"/>
        <v>60</v>
      </c>
      <c r="AH14" s="12" t="s">
        <v>676</v>
      </c>
      <c r="AI14" s="4" t="s">
        <v>674</v>
      </c>
      <c r="AJ14" s="12" t="s">
        <v>670</v>
      </c>
      <c r="AK14" s="12"/>
      <c r="AL14" s="12"/>
      <c r="AM14" s="12"/>
      <c r="AN14" s="12"/>
      <c r="AO14" s="12"/>
      <c r="AP14" s="12"/>
      <c r="AQ14" s="12"/>
      <c r="AR14" s="12"/>
      <c r="AS14" s="12"/>
      <c r="AT14" s="12"/>
      <c r="AU14" s="12"/>
      <c r="AV14" s="12"/>
      <c r="AW14" s="12"/>
      <c r="AX14" s="12"/>
      <c r="AY14" s="12"/>
      <c r="AZ14" s="12"/>
      <c r="BA14" s="12"/>
      <c r="BB14" s="12"/>
      <c r="BC14" s="12"/>
      <c r="BD14" s="12"/>
      <c r="BE14" s="12">
        <v>2</v>
      </c>
      <c r="BF14" s="12" t="s">
        <v>381</v>
      </c>
      <c r="BG14" s="12"/>
      <c r="BH14" s="12"/>
      <c r="BI14" s="12">
        <v>2</v>
      </c>
      <c r="BJ14" s="12"/>
      <c r="BK14" s="12"/>
      <c r="BL14" s="12" t="s">
        <v>381</v>
      </c>
      <c r="BM14" s="12"/>
      <c r="BN14" s="12"/>
      <c r="BO14" s="12"/>
      <c r="BP14" s="12"/>
    </row>
    <row r="15" spans="1:68">
      <c r="A15" s="4" t="s">
        <v>399</v>
      </c>
      <c r="C15" s="4" t="s">
        <v>378</v>
      </c>
      <c r="D15" s="19" t="s">
        <v>555</v>
      </c>
      <c r="E15" s="12" t="s">
        <v>683</v>
      </c>
      <c r="F15" s="12">
        <v>3</v>
      </c>
      <c r="G15" s="12">
        <v>6</v>
      </c>
      <c r="H15" s="59">
        <v>40</v>
      </c>
      <c r="I15" s="28">
        <v>4</v>
      </c>
      <c r="J15" s="12" t="s">
        <v>676</v>
      </c>
      <c r="K15" s="4" t="s">
        <v>674</v>
      </c>
      <c r="L15" s="12">
        <v>2.6</v>
      </c>
      <c r="M15" s="59"/>
      <c r="N15" s="12"/>
      <c r="O15" s="12"/>
      <c r="P15" s="12"/>
      <c r="Q15" s="59"/>
      <c r="R15" s="12"/>
      <c r="S15" s="12"/>
      <c r="T15" s="12"/>
      <c r="U15" s="59"/>
      <c r="V15" s="12"/>
      <c r="W15" s="12"/>
      <c r="X15" s="12"/>
      <c r="Y15" s="59"/>
      <c r="Z15" s="12"/>
      <c r="AA15" s="12"/>
      <c r="AB15" s="12"/>
      <c r="AC15" s="59"/>
      <c r="AD15" s="12"/>
      <c r="AE15" s="12"/>
      <c r="AF15" s="12"/>
      <c r="AG15" s="59">
        <f t="shared" si="0"/>
        <v>80</v>
      </c>
      <c r="AH15" s="12" t="s">
        <v>676</v>
      </c>
      <c r="AI15" s="4" t="s">
        <v>674</v>
      </c>
      <c r="AJ15" s="12" t="s">
        <v>670</v>
      </c>
      <c r="AK15" s="12"/>
      <c r="AL15" s="12"/>
      <c r="AM15" s="12"/>
      <c r="AN15" s="12"/>
      <c r="AO15" s="12"/>
      <c r="AP15" s="12"/>
      <c r="AQ15" s="12"/>
      <c r="AR15" s="12"/>
      <c r="AS15" s="12"/>
      <c r="AT15" s="12"/>
      <c r="AU15" s="12"/>
      <c r="AV15" s="12"/>
      <c r="AW15" s="12"/>
      <c r="AX15" s="12"/>
      <c r="AY15" s="12"/>
      <c r="AZ15" s="12"/>
      <c r="BA15" s="12"/>
      <c r="BB15" s="12"/>
      <c r="BC15" s="12"/>
      <c r="BD15" s="12"/>
      <c r="BE15" s="12">
        <v>2</v>
      </c>
      <c r="BF15" s="12" t="s">
        <v>381</v>
      </c>
      <c r="BG15" s="12"/>
      <c r="BH15" s="12"/>
      <c r="BI15" s="12">
        <v>2</v>
      </c>
      <c r="BJ15" s="12"/>
      <c r="BK15" s="12"/>
      <c r="BL15" s="12" t="s">
        <v>381</v>
      </c>
      <c r="BM15" s="12"/>
      <c r="BN15" s="12"/>
      <c r="BO15" s="12"/>
      <c r="BP15" s="12"/>
    </row>
    <row r="16" spans="1:68">
      <c r="A16" s="4" t="s">
        <v>401</v>
      </c>
      <c r="C16" s="4" t="s">
        <v>378</v>
      </c>
      <c r="D16" s="19" t="s">
        <v>402</v>
      </c>
      <c r="E16" s="12" t="s">
        <v>684</v>
      </c>
      <c r="F16" s="12">
        <v>5</v>
      </c>
      <c r="G16" s="12">
        <v>7</v>
      </c>
      <c r="H16" s="59">
        <v>55</v>
      </c>
      <c r="I16" s="28">
        <v>4</v>
      </c>
      <c r="J16" s="12" t="s">
        <v>676</v>
      </c>
      <c r="K16" s="4" t="s">
        <v>674</v>
      </c>
      <c r="L16" s="12">
        <v>2.6</v>
      </c>
      <c r="M16" s="59"/>
      <c r="N16" s="12"/>
      <c r="O16" s="12"/>
      <c r="P16" s="12"/>
      <c r="Q16" s="59"/>
      <c r="R16" s="12"/>
      <c r="S16" s="12"/>
      <c r="T16" s="12"/>
      <c r="U16" s="59"/>
      <c r="V16" s="12"/>
      <c r="W16" s="12"/>
      <c r="X16" s="12"/>
      <c r="Y16" s="59"/>
      <c r="Z16" s="12"/>
      <c r="AA16" s="12"/>
      <c r="AB16" s="12"/>
      <c r="AC16" s="59"/>
      <c r="AD16" s="12"/>
      <c r="AE16" s="12"/>
      <c r="AF16" s="12"/>
      <c r="AG16" s="59">
        <f t="shared" si="0"/>
        <v>110</v>
      </c>
      <c r="AH16" s="12" t="s">
        <v>676</v>
      </c>
      <c r="AI16" s="4" t="s">
        <v>674</v>
      </c>
      <c r="AJ16" s="12" t="s">
        <v>670</v>
      </c>
      <c r="AK16" s="12"/>
      <c r="AL16" s="12"/>
      <c r="AM16" s="12"/>
      <c r="AN16" s="12"/>
      <c r="AO16" s="12"/>
      <c r="AP16" s="12"/>
      <c r="AQ16" s="12"/>
      <c r="AR16" s="12"/>
      <c r="AS16" s="12"/>
      <c r="AT16" s="12"/>
      <c r="AU16" s="12"/>
      <c r="AV16" s="12"/>
      <c r="AW16" s="12"/>
      <c r="AX16" s="12"/>
      <c r="AY16" s="12"/>
      <c r="AZ16" s="12"/>
      <c r="BA16" s="12"/>
      <c r="BB16" s="12"/>
      <c r="BC16" s="12"/>
      <c r="BD16" s="12"/>
      <c r="BE16" s="12">
        <v>2</v>
      </c>
      <c r="BF16" s="12" t="s">
        <v>381</v>
      </c>
      <c r="BG16" s="12"/>
      <c r="BH16" s="12"/>
      <c r="BI16" s="12">
        <v>2</v>
      </c>
      <c r="BJ16" s="12"/>
      <c r="BK16" s="12"/>
      <c r="BL16" s="12" t="s">
        <v>381</v>
      </c>
      <c r="BM16" s="12"/>
      <c r="BN16" s="12"/>
      <c r="BO16" s="12"/>
      <c r="BP16" s="12"/>
    </row>
    <row r="17" spans="1:68">
      <c r="A17" s="4" t="s">
        <v>403</v>
      </c>
      <c r="C17" s="4" t="s">
        <v>378</v>
      </c>
      <c r="D17" s="19" t="s">
        <v>54</v>
      </c>
      <c r="E17" s="12" t="s">
        <v>685</v>
      </c>
      <c r="F17" s="12">
        <v>8</v>
      </c>
      <c r="G17" s="12">
        <v>13</v>
      </c>
      <c r="H17" s="59">
        <v>80</v>
      </c>
      <c r="I17" s="28">
        <v>4</v>
      </c>
      <c r="J17" s="12" t="s">
        <v>676</v>
      </c>
      <c r="K17" s="4" t="s">
        <v>674</v>
      </c>
      <c r="L17" s="12">
        <v>2.6</v>
      </c>
      <c r="M17" s="59"/>
      <c r="N17" s="12"/>
      <c r="O17" s="59"/>
      <c r="P17" s="12"/>
      <c r="Q17" s="59"/>
      <c r="R17" s="12"/>
      <c r="S17" s="12"/>
      <c r="T17" s="12"/>
      <c r="U17" s="59"/>
      <c r="V17" s="12"/>
      <c r="W17" s="12"/>
      <c r="X17" s="12"/>
      <c r="Y17" s="59"/>
      <c r="Z17" s="12"/>
      <c r="AA17" s="12"/>
      <c r="AB17" s="12"/>
      <c r="AC17" s="59"/>
      <c r="AD17" s="12"/>
      <c r="AE17" s="12"/>
      <c r="AF17" s="12"/>
      <c r="AG17" s="59">
        <f t="shared" si="0"/>
        <v>160</v>
      </c>
      <c r="AH17" s="12" t="s">
        <v>676</v>
      </c>
      <c r="AI17" s="4" t="s">
        <v>674</v>
      </c>
      <c r="AJ17" s="12" t="s">
        <v>670</v>
      </c>
      <c r="AK17" s="12"/>
      <c r="AL17" s="12"/>
      <c r="AM17" s="12"/>
      <c r="AN17" s="12"/>
      <c r="AO17" s="12"/>
      <c r="AP17" s="12"/>
      <c r="AQ17" s="12"/>
      <c r="AR17" s="12"/>
      <c r="AS17" s="12"/>
      <c r="AT17" s="12"/>
      <c r="AU17" s="12"/>
      <c r="AV17" s="12"/>
      <c r="AW17" s="12"/>
      <c r="AX17" s="12"/>
      <c r="AY17" s="12"/>
      <c r="AZ17" s="12"/>
      <c r="BA17" s="12"/>
      <c r="BB17" s="12"/>
      <c r="BC17" s="12"/>
      <c r="BD17" s="12"/>
      <c r="BE17" s="12">
        <v>2</v>
      </c>
      <c r="BF17" s="12" t="s">
        <v>381</v>
      </c>
      <c r="BG17" s="12"/>
      <c r="BH17" s="12"/>
      <c r="BI17" s="12">
        <v>2</v>
      </c>
      <c r="BJ17" s="12"/>
      <c r="BK17" s="12"/>
      <c r="BL17" s="12" t="s">
        <v>381</v>
      </c>
      <c r="BM17" s="12"/>
      <c r="BN17" s="12"/>
      <c r="BO17" s="12"/>
      <c r="BP17" s="12"/>
    </row>
    <row r="18" spans="1:68">
      <c r="A18" s="4" t="s">
        <v>404</v>
      </c>
      <c r="C18" s="4" t="s">
        <v>378</v>
      </c>
      <c r="D18" s="19" t="s">
        <v>58</v>
      </c>
      <c r="E18" s="12" t="s">
        <v>681</v>
      </c>
      <c r="F18" s="12">
        <v>4</v>
      </c>
      <c r="G18" s="12">
        <v>4</v>
      </c>
      <c r="H18" s="59">
        <v>30</v>
      </c>
      <c r="I18" s="28">
        <v>4</v>
      </c>
      <c r="J18" s="12" t="s">
        <v>676</v>
      </c>
      <c r="K18" s="4" t="s">
        <v>674</v>
      </c>
      <c r="L18" s="12">
        <v>2.6</v>
      </c>
      <c r="M18" s="59"/>
      <c r="N18" s="12"/>
      <c r="O18" s="12"/>
      <c r="P18" s="12"/>
      <c r="Q18" s="59"/>
      <c r="R18" s="12"/>
      <c r="S18" s="12"/>
      <c r="T18" s="12"/>
      <c r="U18" s="59"/>
      <c r="V18" s="12"/>
      <c r="W18" s="12"/>
      <c r="X18" s="12"/>
      <c r="Y18" s="59"/>
      <c r="Z18" s="12"/>
      <c r="AA18" s="12"/>
      <c r="AB18" s="12"/>
      <c r="AC18" s="59"/>
      <c r="AD18" s="12"/>
      <c r="AE18" s="12"/>
      <c r="AF18" s="12"/>
      <c r="AG18" s="59">
        <f t="shared" si="0"/>
        <v>60</v>
      </c>
      <c r="AH18" s="12" t="s">
        <v>676</v>
      </c>
      <c r="AI18" s="4" t="s">
        <v>674</v>
      </c>
      <c r="AJ18" s="12" t="s">
        <v>670</v>
      </c>
      <c r="AK18" s="12"/>
      <c r="AL18" s="12"/>
      <c r="AM18" s="12"/>
      <c r="AN18" s="12"/>
      <c r="AO18" s="12"/>
      <c r="AP18" s="12"/>
      <c r="AQ18" s="12"/>
      <c r="AR18" s="12"/>
      <c r="AS18" s="12"/>
      <c r="AT18" s="12"/>
      <c r="AU18" s="12"/>
      <c r="AV18" s="12"/>
      <c r="AW18" s="12"/>
      <c r="AX18" s="12"/>
      <c r="AY18" s="12"/>
      <c r="AZ18" s="12"/>
      <c r="BA18" s="12"/>
      <c r="BB18" s="12"/>
      <c r="BC18" s="12"/>
      <c r="BD18" s="12"/>
      <c r="BE18" s="12">
        <v>2</v>
      </c>
      <c r="BF18" s="12" t="s">
        <v>381</v>
      </c>
      <c r="BG18" s="12" t="s">
        <v>381</v>
      </c>
      <c r="BH18" s="12"/>
      <c r="BI18" s="12">
        <v>2</v>
      </c>
      <c r="BJ18" s="12"/>
      <c r="BK18" s="12"/>
      <c r="BL18" s="12" t="s">
        <v>381</v>
      </c>
      <c r="BM18" s="12"/>
      <c r="BN18" s="12"/>
      <c r="BO18" s="12"/>
      <c r="BP18" s="12"/>
    </row>
    <row r="19" spans="1:68">
      <c r="A19" s="4" t="s">
        <v>405</v>
      </c>
      <c r="C19" s="4" t="s">
        <v>378</v>
      </c>
      <c r="D19" s="19" t="s">
        <v>406</v>
      </c>
      <c r="E19" s="12" t="s">
        <v>686</v>
      </c>
      <c r="F19" s="12">
        <v>8</v>
      </c>
      <c r="G19" s="12">
        <v>12</v>
      </c>
      <c r="H19" s="59">
        <v>100</v>
      </c>
      <c r="I19" s="28">
        <v>16</v>
      </c>
      <c r="J19" s="12" t="s">
        <v>676</v>
      </c>
      <c r="K19" s="4" t="s">
        <v>674</v>
      </c>
      <c r="L19" s="12">
        <v>2.6</v>
      </c>
      <c r="M19" s="59"/>
      <c r="N19" s="12"/>
      <c r="O19" s="12"/>
      <c r="P19" s="12"/>
      <c r="Q19" s="59"/>
      <c r="R19" s="12"/>
      <c r="S19" s="12"/>
      <c r="T19" s="12"/>
      <c r="U19" s="59"/>
      <c r="V19" s="12"/>
      <c r="W19" s="12"/>
      <c r="X19" s="12"/>
      <c r="Y19" s="59"/>
      <c r="Z19" s="12"/>
      <c r="AA19" s="12"/>
      <c r="AB19" s="12"/>
      <c r="AC19" s="59"/>
      <c r="AD19" s="12"/>
      <c r="AE19" s="12"/>
      <c r="AF19" s="12"/>
      <c r="AG19" s="59">
        <f>2*(H19+AO19)</f>
        <v>300</v>
      </c>
      <c r="AH19" s="12" t="s">
        <v>676</v>
      </c>
      <c r="AI19" s="4" t="s">
        <v>674</v>
      </c>
      <c r="AJ19" s="12" t="s">
        <v>670</v>
      </c>
      <c r="AK19" s="12"/>
      <c r="AL19" s="12"/>
      <c r="AM19" s="12"/>
      <c r="AN19" s="12"/>
      <c r="AO19" s="12">
        <v>50</v>
      </c>
      <c r="AP19" s="12" t="s">
        <v>676</v>
      </c>
      <c r="AQ19" s="4" t="s">
        <v>674</v>
      </c>
      <c r="AR19" s="12">
        <f>50/1000</f>
        <v>0.05</v>
      </c>
      <c r="AS19" s="12"/>
      <c r="AT19" s="12"/>
      <c r="AU19" s="12"/>
      <c r="AV19" s="12"/>
      <c r="AW19" s="12"/>
      <c r="AX19" s="12"/>
      <c r="AY19" s="12"/>
      <c r="AZ19" s="12"/>
      <c r="BA19" s="12"/>
      <c r="BB19" s="12"/>
      <c r="BC19" s="12"/>
      <c r="BD19" s="12"/>
      <c r="BE19" s="12">
        <v>3</v>
      </c>
      <c r="BF19" s="12" t="s">
        <v>381</v>
      </c>
      <c r="BG19" s="12"/>
      <c r="BH19" s="12"/>
      <c r="BI19" s="12">
        <v>2</v>
      </c>
      <c r="BJ19" s="12"/>
      <c r="BK19" s="12"/>
      <c r="BL19" s="12" t="s">
        <v>381</v>
      </c>
      <c r="BM19" s="12"/>
      <c r="BN19" s="12"/>
      <c r="BO19" s="12"/>
      <c r="BP19" s="12"/>
    </row>
    <row r="20" spans="1:68">
      <c r="A20" s="4" t="s">
        <v>407</v>
      </c>
      <c r="C20" s="4" t="s">
        <v>378</v>
      </c>
      <c r="D20" s="19" t="s">
        <v>65</v>
      </c>
      <c r="E20" s="12" t="s">
        <v>687</v>
      </c>
      <c r="F20" s="12">
        <v>6</v>
      </c>
      <c r="G20" s="12">
        <v>8</v>
      </c>
      <c r="H20" s="59">
        <v>130</v>
      </c>
      <c r="I20" s="28">
        <v>4</v>
      </c>
      <c r="J20" s="12" t="s">
        <v>676</v>
      </c>
      <c r="K20" s="4" t="s">
        <v>674</v>
      </c>
      <c r="L20" s="12">
        <v>2.6</v>
      </c>
      <c r="M20" s="59"/>
      <c r="N20" s="12"/>
      <c r="O20" s="12"/>
      <c r="P20" s="12"/>
      <c r="Q20" s="59"/>
      <c r="R20" s="12"/>
      <c r="S20" s="12"/>
      <c r="T20" s="12"/>
      <c r="U20" s="59"/>
      <c r="V20" s="12"/>
      <c r="W20" s="12"/>
      <c r="X20" s="12"/>
      <c r="Y20" s="59"/>
      <c r="Z20" s="12"/>
      <c r="AA20" s="12"/>
      <c r="AB20" s="12"/>
      <c r="AC20" s="59"/>
      <c r="AD20" s="12"/>
      <c r="AE20" s="12"/>
      <c r="AF20" s="12"/>
      <c r="AG20" s="59">
        <f t="shared" si="0"/>
        <v>260</v>
      </c>
      <c r="AH20" s="12" t="s">
        <v>676</v>
      </c>
      <c r="AI20" s="4" t="s">
        <v>674</v>
      </c>
      <c r="AJ20" s="12" t="s">
        <v>670</v>
      </c>
      <c r="AK20" s="12"/>
      <c r="AL20" s="12"/>
      <c r="AM20" s="12"/>
      <c r="AN20" s="12"/>
      <c r="AO20" s="12"/>
      <c r="AP20" s="12"/>
      <c r="AQ20" s="12"/>
      <c r="AR20" s="12"/>
      <c r="AS20" s="12"/>
      <c r="AT20" s="12"/>
      <c r="AU20" s="12"/>
      <c r="AV20" s="12"/>
      <c r="AW20" s="12"/>
      <c r="AX20" s="12"/>
      <c r="AY20" s="12"/>
      <c r="AZ20" s="12"/>
      <c r="BA20" s="12"/>
      <c r="BB20" s="12"/>
      <c r="BC20" s="12"/>
      <c r="BD20" s="12"/>
      <c r="BE20" s="12">
        <v>2</v>
      </c>
      <c r="BF20" s="12" t="s">
        <v>381</v>
      </c>
      <c r="BG20" s="12"/>
      <c r="BH20" s="12"/>
      <c r="BI20" s="12">
        <v>2</v>
      </c>
      <c r="BJ20" s="12"/>
      <c r="BK20" s="12"/>
      <c r="BL20" s="12" t="s">
        <v>381</v>
      </c>
      <c r="BM20" s="12"/>
      <c r="BN20" s="12"/>
      <c r="BO20" s="12"/>
      <c r="BP20" s="12"/>
    </row>
    <row r="21" spans="1:68">
      <c r="A21" s="4" t="s">
        <v>408</v>
      </c>
      <c r="C21" s="4" t="s">
        <v>378</v>
      </c>
      <c r="D21" s="19" t="s">
        <v>69</v>
      </c>
      <c r="E21" s="12" t="s">
        <v>720</v>
      </c>
      <c r="F21" s="12">
        <v>6</v>
      </c>
      <c r="G21" s="12">
        <v>8</v>
      </c>
      <c r="H21" s="59">
        <v>60</v>
      </c>
      <c r="I21" s="28">
        <v>4</v>
      </c>
      <c r="J21" s="12" t="s">
        <v>676</v>
      </c>
      <c r="K21" s="4" t="s">
        <v>674</v>
      </c>
      <c r="L21" s="12">
        <v>2.6</v>
      </c>
      <c r="M21" s="59"/>
      <c r="N21" s="12"/>
      <c r="O21" s="12"/>
      <c r="P21" s="12"/>
      <c r="Q21" s="59"/>
      <c r="R21" s="12"/>
      <c r="S21" s="12"/>
      <c r="T21" s="12"/>
      <c r="U21" s="59"/>
      <c r="V21" s="12"/>
      <c r="W21" s="12"/>
      <c r="X21" s="12"/>
      <c r="Y21" s="59"/>
      <c r="Z21" s="12"/>
      <c r="AA21" s="12"/>
      <c r="AB21" s="12"/>
      <c r="AC21" s="59"/>
      <c r="AD21" s="12"/>
      <c r="AE21" s="12"/>
      <c r="AF21" s="12"/>
      <c r="AG21" s="59">
        <f t="shared" si="0"/>
        <v>120</v>
      </c>
      <c r="AH21" s="12" t="s">
        <v>676</v>
      </c>
      <c r="AI21" s="4" t="s">
        <v>674</v>
      </c>
      <c r="AJ21" s="12" t="s">
        <v>670</v>
      </c>
      <c r="AK21" s="12"/>
      <c r="AL21" s="12"/>
      <c r="AM21" s="12"/>
      <c r="AN21" s="12"/>
      <c r="AO21" s="12"/>
      <c r="AP21" s="12"/>
      <c r="AQ21" s="12"/>
      <c r="AR21" s="12"/>
      <c r="AS21" s="12"/>
      <c r="AT21" s="12"/>
      <c r="AU21" s="12"/>
      <c r="AV21" s="12"/>
      <c r="AW21" s="12"/>
      <c r="AX21" s="12"/>
      <c r="AY21" s="12"/>
      <c r="AZ21" s="12"/>
      <c r="BA21" s="12"/>
      <c r="BB21" s="12"/>
      <c r="BC21" s="12"/>
      <c r="BD21" s="12"/>
      <c r="BE21" s="12">
        <v>2</v>
      </c>
      <c r="BF21" s="12" t="s">
        <v>381</v>
      </c>
      <c r="BG21" s="12"/>
      <c r="BH21" s="12"/>
      <c r="BI21" s="12">
        <v>2</v>
      </c>
      <c r="BJ21" s="12"/>
      <c r="BK21" s="12"/>
      <c r="BL21" s="12" t="s">
        <v>381</v>
      </c>
      <c r="BM21" s="12"/>
      <c r="BN21" s="12"/>
      <c r="BO21" s="12"/>
      <c r="BP21" s="12"/>
    </row>
    <row r="22" spans="1:68">
      <c r="A22" s="4" t="s">
        <v>409</v>
      </c>
      <c r="C22" s="4" t="s">
        <v>378</v>
      </c>
      <c r="D22" s="19" t="s">
        <v>69</v>
      </c>
      <c r="E22" s="12" t="s">
        <v>720</v>
      </c>
      <c r="F22" s="12">
        <v>6</v>
      </c>
      <c r="G22" s="12">
        <v>8</v>
      </c>
      <c r="H22" s="59">
        <v>60</v>
      </c>
      <c r="I22" s="28">
        <v>4</v>
      </c>
      <c r="J22" s="12" t="s">
        <v>676</v>
      </c>
      <c r="K22" s="4" t="s">
        <v>674</v>
      </c>
      <c r="L22" s="12">
        <v>2.6</v>
      </c>
      <c r="M22" s="59"/>
      <c r="N22" s="12"/>
      <c r="O22" s="12"/>
      <c r="P22" s="12"/>
      <c r="Q22" s="59"/>
      <c r="R22" s="12"/>
      <c r="S22" s="12"/>
      <c r="T22" s="12"/>
      <c r="U22" s="59"/>
      <c r="V22" s="12"/>
      <c r="W22" s="12"/>
      <c r="X22" s="12"/>
      <c r="Y22" s="59"/>
      <c r="Z22" s="12"/>
      <c r="AA22" s="12"/>
      <c r="AB22" s="12"/>
      <c r="AC22" s="59"/>
      <c r="AD22" s="12"/>
      <c r="AE22" s="12"/>
      <c r="AF22" s="12"/>
      <c r="AG22" s="59">
        <f t="shared" si="0"/>
        <v>120</v>
      </c>
      <c r="AH22" s="12" t="s">
        <v>676</v>
      </c>
      <c r="AI22" s="4" t="s">
        <v>674</v>
      </c>
      <c r="AJ22" s="12" t="s">
        <v>670</v>
      </c>
      <c r="AK22" s="12"/>
      <c r="AL22" s="12"/>
      <c r="AM22" s="12"/>
      <c r="AN22" s="12"/>
      <c r="AO22" s="12"/>
      <c r="AP22" s="12"/>
      <c r="AQ22" s="12"/>
      <c r="AR22" s="12"/>
      <c r="BA22" s="12"/>
      <c r="BB22" s="12"/>
      <c r="BC22" s="12"/>
      <c r="BD22" s="12"/>
      <c r="BE22" s="12">
        <v>2</v>
      </c>
      <c r="BF22" s="12" t="s">
        <v>381</v>
      </c>
      <c r="BG22" s="12"/>
      <c r="BH22" s="12"/>
      <c r="BI22" s="12">
        <v>2</v>
      </c>
      <c r="BJ22" s="12"/>
      <c r="BK22" s="12"/>
      <c r="BL22" s="12" t="s">
        <v>381</v>
      </c>
      <c r="BM22" s="12"/>
      <c r="BN22" s="12"/>
      <c r="BO22" s="12"/>
      <c r="BP22" s="12"/>
    </row>
    <row r="23" spans="1:68">
      <c r="A23" s="4" t="s">
        <v>410</v>
      </c>
      <c r="C23" s="4" t="s">
        <v>378</v>
      </c>
      <c r="D23" s="19" t="s">
        <v>73</v>
      </c>
      <c r="E23" s="12" t="s">
        <v>688</v>
      </c>
      <c r="F23" s="12">
        <v>6</v>
      </c>
      <c r="G23" s="12">
        <v>18</v>
      </c>
      <c r="H23" s="59">
        <v>150</v>
      </c>
      <c r="I23" s="28">
        <v>16</v>
      </c>
      <c r="J23" s="12" t="s">
        <v>676</v>
      </c>
      <c r="K23" s="4" t="s">
        <v>674</v>
      </c>
      <c r="L23" s="12">
        <v>2.6</v>
      </c>
      <c r="M23" s="59"/>
      <c r="N23" s="12"/>
      <c r="O23" s="12"/>
      <c r="P23" s="12"/>
      <c r="Q23" s="59"/>
      <c r="R23" s="12"/>
      <c r="S23" s="12"/>
      <c r="T23" s="12"/>
      <c r="U23" s="59"/>
      <c r="V23" s="12"/>
      <c r="W23" s="12"/>
      <c r="X23" s="12"/>
      <c r="Y23" s="59"/>
      <c r="Z23" s="12"/>
      <c r="AA23" s="12"/>
      <c r="AB23" s="12"/>
      <c r="AC23" s="59"/>
      <c r="AD23" s="12"/>
      <c r="AE23" s="12"/>
      <c r="AF23" s="12"/>
      <c r="AG23" s="59">
        <f t="shared" si="0"/>
        <v>300</v>
      </c>
      <c r="AH23" s="12" t="s">
        <v>676</v>
      </c>
      <c r="AI23" s="4" t="s">
        <v>674</v>
      </c>
      <c r="AJ23" s="12" t="s">
        <v>670</v>
      </c>
      <c r="AK23" s="12"/>
      <c r="AL23" s="12"/>
      <c r="AM23" s="12"/>
      <c r="AN23" s="12"/>
      <c r="AO23" s="12"/>
      <c r="AP23" s="12"/>
      <c r="AQ23" s="12"/>
      <c r="AR23" s="12"/>
      <c r="AS23" s="12">
        <v>100</v>
      </c>
      <c r="AT23" s="12" t="s">
        <v>676</v>
      </c>
      <c r="AU23" s="4" t="s">
        <v>674</v>
      </c>
      <c r="AV23" s="12">
        <f>50/1000</f>
        <v>0.05</v>
      </c>
      <c r="AW23" s="12"/>
      <c r="AX23" s="12"/>
      <c r="AY23" s="12"/>
      <c r="AZ23" s="12"/>
      <c r="BA23" s="12"/>
      <c r="BB23" s="12"/>
      <c r="BC23" s="12"/>
      <c r="BD23" s="12"/>
      <c r="BE23" s="12">
        <v>3</v>
      </c>
      <c r="BF23" s="12" t="s">
        <v>381</v>
      </c>
      <c r="BG23" s="12"/>
      <c r="BH23" s="12"/>
      <c r="BI23" s="12">
        <v>2</v>
      </c>
      <c r="BJ23" s="12"/>
      <c r="BK23" s="12"/>
      <c r="BL23" s="12" t="s">
        <v>381</v>
      </c>
      <c r="BM23" s="12"/>
      <c r="BN23" s="12"/>
      <c r="BO23" s="12"/>
      <c r="BP23" s="12"/>
    </row>
    <row r="24" spans="1:68">
      <c r="A24" s="4" t="s">
        <v>411</v>
      </c>
      <c r="C24" s="4" t="s">
        <v>378</v>
      </c>
      <c r="D24" s="19" t="s">
        <v>77</v>
      </c>
      <c r="E24" s="12" t="s">
        <v>688</v>
      </c>
      <c r="F24" s="12">
        <v>6</v>
      </c>
      <c r="G24" s="12">
        <v>18</v>
      </c>
      <c r="H24" s="59">
        <v>150</v>
      </c>
      <c r="I24" s="28">
        <v>16</v>
      </c>
      <c r="J24" s="12" t="s">
        <v>676</v>
      </c>
      <c r="K24" s="4" t="s">
        <v>674</v>
      </c>
      <c r="L24" s="12">
        <v>2.6</v>
      </c>
      <c r="M24" s="59"/>
      <c r="N24" s="12"/>
      <c r="O24" s="12"/>
      <c r="P24" s="12"/>
      <c r="Q24" s="59"/>
      <c r="R24" s="12"/>
      <c r="S24" s="12"/>
      <c r="T24" s="12"/>
      <c r="U24" s="59"/>
      <c r="V24" s="12"/>
      <c r="W24" s="12"/>
      <c r="X24" s="12"/>
      <c r="Y24" s="59"/>
      <c r="Z24" s="12"/>
      <c r="AA24" s="12"/>
      <c r="AB24" s="12"/>
      <c r="AC24" s="59"/>
      <c r="AD24" s="12"/>
      <c r="AE24" s="12"/>
      <c r="AF24" s="12"/>
      <c r="AG24" s="59">
        <f t="shared" si="0"/>
        <v>300</v>
      </c>
      <c r="AH24" s="12" t="s">
        <v>676</v>
      </c>
      <c r="AI24" s="4" t="s">
        <v>674</v>
      </c>
      <c r="AJ24" s="12" t="s">
        <v>670</v>
      </c>
      <c r="AK24" s="12"/>
      <c r="AL24" s="12"/>
      <c r="AM24" s="12"/>
      <c r="AN24" s="12"/>
      <c r="AO24" s="12"/>
      <c r="AP24" s="12"/>
      <c r="AQ24" s="12"/>
      <c r="AR24" s="12"/>
      <c r="AS24" s="12">
        <v>100</v>
      </c>
      <c r="AT24" s="12" t="s">
        <v>676</v>
      </c>
      <c r="AU24" s="4" t="s">
        <v>674</v>
      </c>
      <c r="AV24" s="12">
        <f>50/1000</f>
        <v>0.05</v>
      </c>
      <c r="AW24" s="12"/>
      <c r="AX24" s="12"/>
      <c r="AY24" s="12"/>
      <c r="AZ24" s="12"/>
      <c r="BA24" s="12"/>
      <c r="BB24" s="12"/>
      <c r="BC24" s="12"/>
      <c r="BD24" s="12"/>
      <c r="BE24" s="12">
        <v>3</v>
      </c>
      <c r="BF24" s="12" t="s">
        <v>381</v>
      </c>
      <c r="BG24" s="12"/>
      <c r="BH24" s="12"/>
      <c r="BI24" s="12">
        <v>2</v>
      </c>
      <c r="BJ24" s="12"/>
      <c r="BK24" s="12"/>
      <c r="BL24" s="12" t="s">
        <v>381</v>
      </c>
      <c r="BM24" s="12"/>
      <c r="BN24" s="12"/>
      <c r="BO24" s="12"/>
      <c r="BP24" s="12"/>
    </row>
    <row r="25" spans="1:68">
      <c r="A25" s="4" t="s">
        <v>433</v>
      </c>
      <c r="C25" s="4" t="s">
        <v>378</v>
      </c>
      <c r="D25" s="19" t="s">
        <v>81</v>
      </c>
      <c r="E25" s="12" t="s">
        <v>689</v>
      </c>
      <c r="F25" s="12">
        <v>6</v>
      </c>
      <c r="G25" s="12">
        <v>9</v>
      </c>
      <c r="H25" s="59">
        <v>40</v>
      </c>
      <c r="I25" s="28">
        <v>4</v>
      </c>
      <c r="J25" s="12" t="s">
        <v>676</v>
      </c>
      <c r="K25" s="4" t="s">
        <v>674</v>
      </c>
      <c r="L25" s="12">
        <v>2.6</v>
      </c>
      <c r="M25" s="59"/>
      <c r="N25" s="12"/>
      <c r="O25" s="12"/>
      <c r="P25" s="12"/>
      <c r="Q25" s="59"/>
      <c r="R25" s="12"/>
      <c r="S25" s="12"/>
      <c r="T25" s="12"/>
      <c r="U25" s="59"/>
      <c r="V25" s="12"/>
      <c r="W25" s="12"/>
      <c r="X25" s="12"/>
      <c r="Y25" s="59"/>
      <c r="Z25" s="12"/>
      <c r="AA25" s="12"/>
      <c r="AB25" s="12"/>
      <c r="AC25" s="59"/>
      <c r="AD25" s="12"/>
      <c r="AE25" s="12"/>
      <c r="AF25" s="12"/>
      <c r="AG25" s="59">
        <f t="shared" si="0"/>
        <v>80</v>
      </c>
      <c r="AH25" s="12" t="s">
        <v>676</v>
      </c>
      <c r="AI25" s="4" t="s">
        <v>674</v>
      </c>
      <c r="AJ25" s="12" t="s">
        <v>670</v>
      </c>
      <c r="AK25" s="12"/>
      <c r="AL25" s="12"/>
      <c r="AM25" s="12"/>
      <c r="AN25" s="12"/>
      <c r="AO25" s="12"/>
      <c r="AP25" s="12"/>
      <c r="AQ25" s="12"/>
      <c r="AR25" s="12"/>
      <c r="AS25" s="12"/>
      <c r="AT25" s="12"/>
      <c r="AU25" s="12"/>
      <c r="AV25" s="12"/>
      <c r="AW25" s="12"/>
      <c r="AX25" s="12"/>
      <c r="AY25" s="12"/>
      <c r="AZ25" s="12"/>
      <c r="BA25" s="12"/>
      <c r="BB25" s="12"/>
      <c r="BC25" s="12"/>
      <c r="BD25" s="12"/>
      <c r="BE25" s="12">
        <v>2</v>
      </c>
      <c r="BF25" s="12" t="s">
        <v>381</v>
      </c>
      <c r="BG25" s="12"/>
      <c r="BH25" s="12"/>
      <c r="BI25" s="12">
        <v>2</v>
      </c>
      <c r="BJ25" s="12"/>
      <c r="BK25" s="12"/>
      <c r="BL25" s="12" t="s">
        <v>381</v>
      </c>
      <c r="BM25" s="12"/>
      <c r="BN25" s="12"/>
      <c r="BO25" s="12"/>
      <c r="BP25" s="12"/>
    </row>
    <row r="26" spans="1:68">
      <c r="A26" s="4" t="s">
        <v>435</v>
      </c>
      <c r="C26" s="4" t="s">
        <v>378</v>
      </c>
      <c r="D26" s="19" t="s">
        <v>81</v>
      </c>
      <c r="E26" s="12" t="s">
        <v>689</v>
      </c>
      <c r="F26" s="12">
        <v>6</v>
      </c>
      <c r="G26" s="12">
        <v>9</v>
      </c>
      <c r="H26" s="59">
        <v>40</v>
      </c>
      <c r="I26" s="28">
        <v>4</v>
      </c>
      <c r="J26" s="12" t="s">
        <v>676</v>
      </c>
      <c r="K26" s="4" t="s">
        <v>674</v>
      </c>
      <c r="L26" s="12">
        <v>2.6</v>
      </c>
      <c r="M26" s="59"/>
      <c r="N26" s="12"/>
      <c r="O26" s="12"/>
      <c r="P26" s="12"/>
      <c r="Q26" s="59"/>
      <c r="R26" s="12"/>
      <c r="S26" s="12"/>
      <c r="T26" s="12"/>
      <c r="U26" s="59"/>
      <c r="V26" s="12"/>
      <c r="W26" s="12"/>
      <c r="X26" s="12"/>
      <c r="Y26" s="59"/>
      <c r="Z26" s="12"/>
      <c r="AA26" s="12"/>
      <c r="AB26" s="12"/>
      <c r="AC26" s="59"/>
      <c r="AD26" s="12"/>
      <c r="AE26" s="12"/>
      <c r="AF26" s="12"/>
      <c r="AG26" s="59">
        <f t="shared" si="0"/>
        <v>80</v>
      </c>
      <c r="AH26" s="12" t="s">
        <v>676</v>
      </c>
      <c r="AI26" s="4" t="s">
        <v>674</v>
      </c>
      <c r="AJ26" s="12" t="s">
        <v>670</v>
      </c>
      <c r="AK26" s="12"/>
      <c r="AL26" s="12"/>
      <c r="AM26" s="12"/>
      <c r="AN26" s="12"/>
      <c r="AO26" s="12"/>
      <c r="AP26" s="12"/>
      <c r="AQ26" s="12"/>
      <c r="AR26" s="12"/>
      <c r="AS26" s="12"/>
      <c r="AT26" s="12"/>
      <c r="AU26" s="12"/>
      <c r="AV26" s="12"/>
      <c r="AW26" s="12"/>
      <c r="AX26" s="12"/>
      <c r="AY26" s="12"/>
      <c r="AZ26" s="12"/>
      <c r="BA26" s="12"/>
      <c r="BB26" s="12"/>
      <c r="BC26" s="12"/>
      <c r="BD26" s="12"/>
      <c r="BE26" s="12">
        <v>2</v>
      </c>
      <c r="BF26" s="12" t="s">
        <v>381</v>
      </c>
      <c r="BG26" s="12"/>
      <c r="BH26" s="12"/>
      <c r="BI26" s="12">
        <v>2</v>
      </c>
      <c r="BJ26" s="12"/>
      <c r="BK26" s="12"/>
      <c r="BL26" s="12" t="s">
        <v>381</v>
      </c>
      <c r="BM26" s="12"/>
      <c r="BN26" s="12"/>
      <c r="BO26" s="12"/>
      <c r="BP26" s="12"/>
    </row>
    <row r="27" spans="1:68">
      <c r="A27" s="4" t="s">
        <v>557</v>
      </c>
      <c r="C27" s="4" t="s">
        <v>378</v>
      </c>
      <c r="D27" s="19" t="s">
        <v>85</v>
      </c>
      <c r="E27" s="12" t="s">
        <v>690</v>
      </c>
      <c r="F27" s="12">
        <v>8</v>
      </c>
      <c r="G27" s="12">
        <v>36</v>
      </c>
      <c r="H27" s="59">
        <v>135</v>
      </c>
      <c r="I27" s="28">
        <v>16</v>
      </c>
      <c r="J27" s="12" t="s">
        <v>676</v>
      </c>
      <c r="K27" s="4" t="s">
        <v>674</v>
      </c>
      <c r="L27" s="12">
        <v>2.6</v>
      </c>
      <c r="M27" s="59"/>
      <c r="N27" s="12"/>
      <c r="O27" s="12"/>
      <c r="P27" s="12"/>
      <c r="Q27" s="59"/>
      <c r="R27" s="12"/>
      <c r="S27" s="12"/>
      <c r="T27" s="12"/>
      <c r="U27" s="59"/>
      <c r="V27" s="12"/>
      <c r="W27" s="12"/>
      <c r="X27" s="12"/>
      <c r="Y27" s="59"/>
      <c r="Z27" s="12"/>
      <c r="AA27" s="12"/>
      <c r="AB27" s="12"/>
      <c r="AC27" s="59"/>
      <c r="AD27" s="12"/>
      <c r="AE27" s="12"/>
      <c r="AF27" s="12"/>
      <c r="AG27" s="59">
        <f t="shared" si="0"/>
        <v>270</v>
      </c>
      <c r="AH27" s="12" t="s">
        <v>676</v>
      </c>
      <c r="AI27" s="4" t="s">
        <v>674</v>
      </c>
      <c r="AJ27" s="12" t="s">
        <v>670</v>
      </c>
      <c r="AK27" s="12"/>
      <c r="AL27" s="12"/>
      <c r="AM27" s="12"/>
      <c r="AN27" s="12"/>
      <c r="AO27" s="12"/>
      <c r="AP27" s="12"/>
      <c r="AQ27" s="12"/>
      <c r="AR27" s="12"/>
      <c r="AS27" s="12"/>
      <c r="AT27" s="12"/>
      <c r="AU27" s="12"/>
      <c r="AV27" s="12"/>
      <c r="AW27" s="12"/>
      <c r="AX27" s="12"/>
      <c r="AY27" s="12"/>
      <c r="AZ27" s="12"/>
      <c r="BA27" s="12"/>
      <c r="BB27" s="12"/>
      <c r="BC27" s="12"/>
      <c r="BD27" s="12"/>
      <c r="BE27" s="12">
        <v>2</v>
      </c>
      <c r="BF27" s="12" t="s">
        <v>381</v>
      </c>
      <c r="BG27" s="12"/>
      <c r="BH27" s="12"/>
      <c r="BI27" s="12">
        <v>2</v>
      </c>
      <c r="BJ27" s="12"/>
      <c r="BK27" s="12"/>
      <c r="BL27" s="12" t="s">
        <v>381</v>
      </c>
      <c r="BM27" s="12"/>
      <c r="BN27" s="12"/>
      <c r="BO27" s="12"/>
      <c r="BP27" s="12"/>
    </row>
    <row r="28" spans="1:68">
      <c r="A28" s="4" t="s">
        <v>558</v>
      </c>
      <c r="C28" s="4" t="s">
        <v>378</v>
      </c>
      <c r="D28" s="19" t="s">
        <v>85</v>
      </c>
      <c r="E28" s="12" t="s">
        <v>690</v>
      </c>
      <c r="F28" s="12">
        <v>8</v>
      </c>
      <c r="G28" s="12">
        <v>36</v>
      </c>
      <c r="H28" s="59">
        <v>135</v>
      </c>
      <c r="I28" s="28">
        <v>16</v>
      </c>
      <c r="J28" s="12" t="s">
        <v>676</v>
      </c>
      <c r="K28" s="4" t="s">
        <v>674</v>
      </c>
      <c r="L28" s="12">
        <v>2.6</v>
      </c>
      <c r="M28" s="59"/>
      <c r="N28" s="12"/>
      <c r="O28" s="12"/>
      <c r="P28" s="12"/>
      <c r="Q28" s="59"/>
      <c r="R28" s="12"/>
      <c r="S28" s="12"/>
      <c r="T28" s="12"/>
      <c r="U28" s="59"/>
      <c r="V28" s="12"/>
      <c r="W28" s="12"/>
      <c r="X28" s="12"/>
      <c r="Y28" s="59"/>
      <c r="Z28" s="12"/>
      <c r="AA28" s="12"/>
      <c r="AB28" s="12"/>
      <c r="AC28" s="59"/>
      <c r="AD28" s="12"/>
      <c r="AE28" s="12"/>
      <c r="AF28" s="12"/>
      <c r="AG28" s="59">
        <f t="shared" si="0"/>
        <v>270</v>
      </c>
      <c r="AH28" s="12" t="s">
        <v>676</v>
      </c>
      <c r="AI28" s="4" t="s">
        <v>674</v>
      </c>
      <c r="AJ28" s="12" t="s">
        <v>670</v>
      </c>
      <c r="AK28" s="12"/>
      <c r="AL28" s="12"/>
      <c r="AM28" s="12"/>
      <c r="AN28" s="12"/>
      <c r="AO28" s="12"/>
      <c r="AP28" s="12"/>
      <c r="AQ28" s="12"/>
      <c r="AR28" s="12"/>
      <c r="AS28" s="12"/>
      <c r="AT28" s="12"/>
      <c r="AU28" s="12"/>
      <c r="AV28" s="12"/>
      <c r="AW28" s="12"/>
      <c r="AX28" s="12"/>
      <c r="AY28" s="12"/>
      <c r="AZ28" s="12"/>
      <c r="BA28" s="12"/>
      <c r="BB28" s="12"/>
      <c r="BC28" s="12"/>
      <c r="BD28" s="12"/>
      <c r="BE28" s="12">
        <v>2</v>
      </c>
      <c r="BF28" s="12" t="s">
        <v>381</v>
      </c>
      <c r="BG28" s="12"/>
      <c r="BH28" s="12"/>
      <c r="BI28" s="12">
        <v>2</v>
      </c>
      <c r="BJ28" s="12"/>
      <c r="BK28" s="12"/>
      <c r="BL28" s="12" t="s">
        <v>381</v>
      </c>
      <c r="BM28" s="12"/>
      <c r="BN28" s="12"/>
      <c r="BO28" s="12"/>
      <c r="BP28" s="12"/>
    </row>
    <row r="29" spans="1:68">
      <c r="A29" s="4" t="s">
        <v>559</v>
      </c>
      <c r="C29" s="4" t="s">
        <v>378</v>
      </c>
      <c r="D29" s="19" t="s">
        <v>85</v>
      </c>
      <c r="E29" s="12" t="s">
        <v>690</v>
      </c>
      <c r="F29" s="12">
        <v>8</v>
      </c>
      <c r="G29" s="12">
        <v>36</v>
      </c>
      <c r="H29" s="59">
        <v>135</v>
      </c>
      <c r="I29" s="28">
        <v>16</v>
      </c>
      <c r="J29" s="12" t="s">
        <v>676</v>
      </c>
      <c r="K29" s="4" t="s">
        <v>674</v>
      </c>
      <c r="L29" s="12">
        <v>2.6</v>
      </c>
      <c r="M29" s="59"/>
      <c r="N29" s="12"/>
      <c r="O29" s="12"/>
      <c r="P29" s="12"/>
      <c r="Q29" s="59"/>
      <c r="R29" s="12"/>
      <c r="S29" s="12"/>
      <c r="T29" s="12"/>
      <c r="U29" s="59"/>
      <c r="V29" s="12"/>
      <c r="W29" s="12"/>
      <c r="X29" s="12"/>
      <c r="Y29" s="59"/>
      <c r="Z29" s="12"/>
      <c r="AA29" s="12"/>
      <c r="AB29" s="12"/>
      <c r="AC29" s="59"/>
      <c r="AD29" s="12"/>
      <c r="AE29" s="12"/>
      <c r="AF29" s="12"/>
      <c r="AG29" s="59">
        <f t="shared" si="0"/>
        <v>270</v>
      </c>
      <c r="AH29" s="12" t="s">
        <v>676</v>
      </c>
      <c r="AI29" s="4" t="s">
        <v>674</v>
      </c>
      <c r="AJ29" s="12" t="s">
        <v>670</v>
      </c>
      <c r="AK29" s="12"/>
      <c r="AL29" s="12"/>
      <c r="AM29" s="12"/>
      <c r="AN29" s="12"/>
      <c r="AO29" s="12"/>
      <c r="AP29" s="12"/>
      <c r="AQ29" s="12"/>
      <c r="AR29" s="12"/>
      <c r="AS29" s="12"/>
      <c r="AT29" s="12"/>
      <c r="AU29" s="12"/>
      <c r="AV29" s="12"/>
      <c r="AW29" s="12"/>
      <c r="AX29" s="12"/>
      <c r="AY29" s="12"/>
      <c r="AZ29" s="12"/>
      <c r="BA29" s="12"/>
      <c r="BB29" s="12"/>
      <c r="BC29" s="12"/>
      <c r="BD29" s="12"/>
      <c r="BE29" s="12">
        <v>2</v>
      </c>
      <c r="BF29" s="12" t="s">
        <v>381</v>
      </c>
      <c r="BG29" s="12"/>
      <c r="BH29" s="12"/>
      <c r="BI29" s="12">
        <v>2</v>
      </c>
      <c r="BJ29" s="12"/>
      <c r="BK29" s="12"/>
      <c r="BL29" s="12" t="s">
        <v>381</v>
      </c>
      <c r="BM29" s="12"/>
      <c r="BN29" s="12"/>
      <c r="BO29" s="12"/>
      <c r="BP29" s="12"/>
    </row>
    <row r="30" spans="1:68">
      <c r="A30" s="4" t="s">
        <v>560</v>
      </c>
      <c r="C30" s="4" t="s">
        <v>378</v>
      </c>
      <c r="D30" s="19" t="s">
        <v>85</v>
      </c>
      <c r="E30" s="12" t="s">
        <v>690</v>
      </c>
      <c r="F30" s="12">
        <v>8</v>
      </c>
      <c r="G30" s="12">
        <v>36</v>
      </c>
      <c r="H30" s="59">
        <v>135</v>
      </c>
      <c r="I30" s="28">
        <v>16</v>
      </c>
      <c r="J30" s="12" t="s">
        <v>676</v>
      </c>
      <c r="K30" s="4" t="s">
        <v>674</v>
      </c>
      <c r="L30" s="12">
        <v>2.6</v>
      </c>
      <c r="M30" s="59"/>
      <c r="N30" s="12"/>
      <c r="O30" s="12"/>
      <c r="P30" s="12"/>
      <c r="Q30" s="59"/>
      <c r="R30" s="12"/>
      <c r="S30" s="12"/>
      <c r="T30" s="12"/>
      <c r="U30" s="59"/>
      <c r="V30" s="12"/>
      <c r="W30" s="12"/>
      <c r="X30" s="12"/>
      <c r="Y30" s="59"/>
      <c r="Z30" s="12"/>
      <c r="AA30" s="12"/>
      <c r="AB30" s="12"/>
      <c r="AC30" s="59"/>
      <c r="AD30" s="12"/>
      <c r="AE30" s="12"/>
      <c r="AF30" s="12"/>
      <c r="AG30" s="59">
        <f t="shared" si="0"/>
        <v>270</v>
      </c>
      <c r="AH30" s="12" t="s">
        <v>676</v>
      </c>
      <c r="AI30" s="4" t="s">
        <v>674</v>
      </c>
      <c r="AJ30" s="12" t="s">
        <v>670</v>
      </c>
      <c r="AK30" s="12"/>
      <c r="AL30" s="12"/>
      <c r="AM30" s="12"/>
      <c r="AN30" s="12"/>
      <c r="AO30" s="12"/>
      <c r="AP30" s="12"/>
      <c r="AQ30" s="12"/>
      <c r="AR30" s="12"/>
      <c r="AS30" s="12"/>
      <c r="AT30" s="12"/>
      <c r="AU30" s="12"/>
      <c r="AV30" s="12"/>
      <c r="AW30" s="12"/>
      <c r="AX30" s="12"/>
      <c r="AY30" s="12"/>
      <c r="AZ30" s="12"/>
      <c r="BA30" s="12"/>
      <c r="BB30" s="12"/>
      <c r="BC30" s="12"/>
      <c r="BD30" s="12"/>
      <c r="BE30" s="12">
        <v>2</v>
      </c>
      <c r="BF30" s="12" t="s">
        <v>381</v>
      </c>
      <c r="BG30" s="12"/>
      <c r="BH30" s="12"/>
      <c r="BI30" s="12">
        <v>2</v>
      </c>
      <c r="BJ30" s="12"/>
      <c r="BK30" s="12"/>
      <c r="BL30" s="12" t="s">
        <v>381</v>
      </c>
      <c r="BM30" s="12"/>
      <c r="BN30" s="12"/>
      <c r="BO30" s="12"/>
      <c r="BP30" s="12"/>
    </row>
    <row r="31" spans="1:68">
      <c r="A31" s="4" t="s">
        <v>566</v>
      </c>
      <c r="C31" s="4" t="s">
        <v>378</v>
      </c>
      <c r="D31" s="19" t="s">
        <v>85</v>
      </c>
      <c r="E31" s="12" t="s">
        <v>690</v>
      </c>
      <c r="F31" s="12">
        <v>8</v>
      </c>
      <c r="G31" s="12">
        <v>36</v>
      </c>
      <c r="H31" s="59">
        <v>135</v>
      </c>
      <c r="I31" s="28">
        <v>16</v>
      </c>
      <c r="J31" s="12" t="s">
        <v>676</v>
      </c>
      <c r="K31" s="4" t="s">
        <v>674</v>
      </c>
      <c r="L31" s="12">
        <v>2.6</v>
      </c>
      <c r="M31" s="59"/>
      <c r="N31" s="12"/>
      <c r="O31" s="12"/>
      <c r="P31" s="12"/>
      <c r="Q31" s="59"/>
      <c r="R31" s="12"/>
      <c r="S31" s="12"/>
      <c r="T31" s="12"/>
      <c r="U31" s="59"/>
      <c r="V31" s="12"/>
      <c r="W31" s="12"/>
      <c r="X31" s="12"/>
      <c r="Y31" s="59"/>
      <c r="Z31" s="12"/>
      <c r="AA31" s="12"/>
      <c r="AB31" s="12"/>
      <c r="AC31" s="59"/>
      <c r="AD31" s="12"/>
      <c r="AE31" s="12"/>
      <c r="AF31" s="12"/>
      <c r="AG31" s="59">
        <f t="shared" si="0"/>
        <v>270</v>
      </c>
      <c r="AH31" s="12" t="s">
        <v>676</v>
      </c>
      <c r="AI31" s="4" t="s">
        <v>674</v>
      </c>
      <c r="AJ31" s="12" t="s">
        <v>670</v>
      </c>
      <c r="AK31" s="12"/>
      <c r="AL31" s="12"/>
      <c r="AM31" s="12"/>
      <c r="AN31" s="12"/>
      <c r="AO31" s="12"/>
      <c r="AP31" s="12"/>
      <c r="AQ31" s="12"/>
      <c r="AR31" s="12"/>
      <c r="AS31" s="12"/>
      <c r="AT31" s="12"/>
      <c r="AU31" s="12"/>
      <c r="AV31" s="12"/>
      <c r="AW31" s="12"/>
      <c r="AX31" s="12"/>
      <c r="AY31" s="12"/>
      <c r="AZ31" s="12"/>
      <c r="BA31" s="12"/>
      <c r="BB31" s="12"/>
      <c r="BC31" s="12"/>
      <c r="BD31" s="12"/>
      <c r="BE31" s="12">
        <v>2</v>
      </c>
      <c r="BF31" s="12" t="s">
        <v>381</v>
      </c>
      <c r="BG31" s="12"/>
      <c r="BH31" s="12"/>
      <c r="BI31" s="12">
        <v>2</v>
      </c>
      <c r="BJ31" s="12"/>
      <c r="BK31" s="12"/>
      <c r="BL31" s="12" t="s">
        <v>381</v>
      </c>
      <c r="BM31" s="12"/>
      <c r="BN31" s="12"/>
      <c r="BO31" s="12"/>
      <c r="BP31" s="12"/>
    </row>
    <row r="32" spans="1:68">
      <c r="A32" s="4" t="s">
        <v>567</v>
      </c>
      <c r="C32" s="4" t="s">
        <v>378</v>
      </c>
      <c r="D32" s="19" t="s">
        <v>85</v>
      </c>
      <c r="E32" s="12" t="s">
        <v>690</v>
      </c>
      <c r="F32" s="12">
        <v>8</v>
      </c>
      <c r="G32" s="12">
        <v>36</v>
      </c>
      <c r="H32" s="59">
        <v>135</v>
      </c>
      <c r="I32" s="28">
        <v>16</v>
      </c>
      <c r="J32" s="12" t="s">
        <v>676</v>
      </c>
      <c r="K32" s="4" t="s">
        <v>674</v>
      </c>
      <c r="L32" s="12">
        <v>2.6</v>
      </c>
      <c r="M32" s="59"/>
      <c r="N32" s="12"/>
      <c r="O32" s="12"/>
      <c r="P32" s="12"/>
      <c r="Q32" s="59"/>
      <c r="R32" s="12"/>
      <c r="S32" s="12"/>
      <c r="T32" s="12"/>
      <c r="U32" s="59"/>
      <c r="V32" s="12"/>
      <c r="W32" s="12"/>
      <c r="X32" s="12"/>
      <c r="Y32" s="59"/>
      <c r="Z32" s="12"/>
      <c r="AA32" s="12"/>
      <c r="AB32" s="12"/>
      <c r="AC32" s="59"/>
      <c r="AD32" s="12"/>
      <c r="AE32" s="12"/>
      <c r="AF32" s="12"/>
      <c r="AG32" s="59">
        <f t="shared" si="0"/>
        <v>270</v>
      </c>
      <c r="AH32" s="12" t="s">
        <v>676</v>
      </c>
      <c r="AI32" s="4" t="s">
        <v>674</v>
      </c>
      <c r="AJ32" s="12" t="s">
        <v>670</v>
      </c>
      <c r="AK32" s="12"/>
      <c r="AL32" s="12"/>
      <c r="AM32" s="12"/>
      <c r="AN32" s="12"/>
      <c r="AO32" s="12"/>
      <c r="AP32" s="12"/>
      <c r="AQ32" s="12"/>
      <c r="AR32" s="12"/>
      <c r="AS32" s="12"/>
      <c r="AT32" s="12"/>
      <c r="AU32" s="12"/>
      <c r="AV32" s="12"/>
      <c r="AW32" s="12"/>
      <c r="AX32" s="12"/>
      <c r="AY32" s="12"/>
      <c r="AZ32" s="12"/>
      <c r="BA32" s="12"/>
      <c r="BB32" s="12"/>
      <c r="BC32" s="12"/>
      <c r="BD32" s="12"/>
      <c r="BE32" s="12">
        <v>2</v>
      </c>
      <c r="BF32" s="12" t="s">
        <v>381</v>
      </c>
      <c r="BG32" s="12"/>
      <c r="BH32" s="12"/>
      <c r="BI32" s="12">
        <v>2</v>
      </c>
      <c r="BJ32" s="12"/>
      <c r="BK32" s="12"/>
      <c r="BL32" s="12" t="s">
        <v>381</v>
      </c>
      <c r="BM32" s="12"/>
      <c r="BN32" s="12"/>
      <c r="BO32" s="12"/>
      <c r="BP32" s="12"/>
    </row>
    <row r="33" spans="1:72">
      <c r="A33" s="4" t="s">
        <v>582</v>
      </c>
      <c r="C33" s="4" t="s">
        <v>378</v>
      </c>
      <c r="D33" s="19" t="s">
        <v>85</v>
      </c>
      <c r="E33" s="12" t="s">
        <v>690</v>
      </c>
      <c r="F33" s="12">
        <v>8</v>
      </c>
      <c r="G33" s="12">
        <v>36</v>
      </c>
      <c r="H33" s="59">
        <v>135</v>
      </c>
      <c r="I33" s="28">
        <v>16</v>
      </c>
      <c r="J33" s="12" t="s">
        <v>676</v>
      </c>
      <c r="K33" s="4" t="s">
        <v>674</v>
      </c>
      <c r="L33" s="12">
        <v>2.6</v>
      </c>
      <c r="M33" s="59"/>
      <c r="N33" s="12"/>
      <c r="O33" s="12"/>
      <c r="P33" s="12"/>
      <c r="Q33" s="59"/>
      <c r="R33" s="12"/>
      <c r="S33" s="12"/>
      <c r="T33" s="12"/>
      <c r="U33" s="59"/>
      <c r="V33" s="12"/>
      <c r="W33" s="12"/>
      <c r="X33" s="12"/>
      <c r="Y33" s="59"/>
      <c r="Z33" s="12"/>
      <c r="AA33" s="12"/>
      <c r="AB33" s="12"/>
      <c r="AC33" s="59"/>
      <c r="AD33" s="12"/>
      <c r="AE33" s="12"/>
      <c r="AF33" s="12"/>
      <c r="AG33" s="59">
        <f t="shared" si="0"/>
        <v>270</v>
      </c>
      <c r="AH33" s="12" t="s">
        <v>676</v>
      </c>
      <c r="AI33" s="4" t="s">
        <v>674</v>
      </c>
      <c r="AJ33" s="12" t="s">
        <v>670</v>
      </c>
      <c r="AK33" s="12"/>
      <c r="AL33" s="12"/>
      <c r="AM33" s="12"/>
      <c r="AN33" s="12"/>
      <c r="AO33" s="12"/>
      <c r="AP33" s="12"/>
      <c r="AQ33" s="12"/>
      <c r="AR33" s="12"/>
      <c r="AS33" s="12"/>
      <c r="AT33" s="12"/>
      <c r="AU33" s="12"/>
      <c r="AV33" s="12"/>
      <c r="AW33" s="12"/>
      <c r="AX33" s="12"/>
      <c r="AY33" s="12"/>
      <c r="AZ33" s="12"/>
      <c r="BA33" s="12"/>
      <c r="BB33" s="12"/>
      <c r="BC33" s="12"/>
      <c r="BD33" s="12"/>
      <c r="BE33" s="12">
        <v>2</v>
      </c>
      <c r="BF33" s="12" t="s">
        <v>381</v>
      </c>
      <c r="BG33" s="12"/>
      <c r="BH33" s="12"/>
      <c r="BI33" s="12">
        <v>2</v>
      </c>
      <c r="BJ33" s="12"/>
      <c r="BK33" s="12"/>
      <c r="BL33" s="12" t="s">
        <v>381</v>
      </c>
      <c r="BM33" s="12"/>
      <c r="BN33" s="12"/>
      <c r="BO33" s="12"/>
      <c r="BP33" s="12"/>
    </row>
    <row r="34" spans="1:72">
      <c r="A34" s="4" t="s">
        <v>583</v>
      </c>
      <c r="C34" s="4" t="s">
        <v>378</v>
      </c>
      <c r="D34" s="19" t="s">
        <v>85</v>
      </c>
      <c r="E34" s="12" t="s">
        <v>690</v>
      </c>
      <c r="F34" s="12">
        <v>8</v>
      </c>
      <c r="G34" s="12">
        <v>36</v>
      </c>
      <c r="H34" s="59">
        <v>135</v>
      </c>
      <c r="I34" s="28">
        <v>16</v>
      </c>
      <c r="J34" s="12" t="s">
        <v>676</v>
      </c>
      <c r="K34" s="4" t="s">
        <v>674</v>
      </c>
      <c r="L34" s="12">
        <v>2.6</v>
      </c>
      <c r="M34" s="59"/>
      <c r="N34" s="12"/>
      <c r="O34" s="12"/>
      <c r="P34" s="12"/>
      <c r="Q34" s="59"/>
      <c r="R34" s="12"/>
      <c r="S34" s="12"/>
      <c r="T34" s="12"/>
      <c r="U34" s="59"/>
      <c r="V34" s="12"/>
      <c r="W34" s="12"/>
      <c r="X34" s="12"/>
      <c r="Y34" s="59"/>
      <c r="Z34" s="12"/>
      <c r="AA34" s="12"/>
      <c r="AB34" s="12"/>
      <c r="AC34" s="59"/>
      <c r="AD34" s="12"/>
      <c r="AE34" s="12"/>
      <c r="AF34" s="12"/>
      <c r="AG34" s="59">
        <f t="shared" si="0"/>
        <v>270</v>
      </c>
      <c r="AH34" s="12" t="s">
        <v>676</v>
      </c>
      <c r="AI34" s="4" t="s">
        <v>674</v>
      </c>
      <c r="AJ34" s="12" t="s">
        <v>670</v>
      </c>
      <c r="AK34" s="12"/>
      <c r="AL34" s="12"/>
      <c r="AM34" s="12"/>
      <c r="AN34" s="12"/>
      <c r="AO34" s="12"/>
      <c r="AP34" s="12"/>
      <c r="AQ34" s="12"/>
      <c r="AR34" s="12"/>
      <c r="AS34" s="12"/>
      <c r="AT34" s="12"/>
      <c r="AU34" s="12"/>
      <c r="AV34" s="12"/>
      <c r="AW34" s="12"/>
      <c r="AX34" s="12"/>
      <c r="AY34" s="12"/>
      <c r="AZ34" s="12"/>
      <c r="BA34" s="12"/>
      <c r="BB34" s="12"/>
      <c r="BC34" s="12"/>
      <c r="BD34" s="12"/>
      <c r="BE34" s="12">
        <v>2</v>
      </c>
      <c r="BF34" s="12" t="s">
        <v>381</v>
      </c>
      <c r="BG34" s="12"/>
      <c r="BH34" s="12"/>
      <c r="BI34" s="12">
        <v>2</v>
      </c>
      <c r="BJ34" s="12"/>
      <c r="BK34" s="12"/>
      <c r="BL34" s="12" t="s">
        <v>381</v>
      </c>
      <c r="BM34" s="12"/>
      <c r="BN34" s="12"/>
      <c r="BO34" s="12"/>
      <c r="BP34" s="12"/>
    </row>
    <row r="35" spans="1:72">
      <c r="A35" s="4" t="s">
        <v>590</v>
      </c>
      <c r="C35" s="19" t="s">
        <v>434</v>
      </c>
      <c r="D35" s="4" t="s">
        <v>89</v>
      </c>
      <c r="E35" s="12" t="s">
        <v>691</v>
      </c>
      <c r="F35" s="12">
        <v>4</v>
      </c>
      <c r="G35" s="12">
        <v>4</v>
      </c>
      <c r="H35" s="59">
        <v>100</v>
      </c>
      <c r="I35" s="28">
        <v>0</v>
      </c>
      <c r="J35" s="12" t="s">
        <v>673</v>
      </c>
      <c r="K35" s="4" t="s">
        <v>674</v>
      </c>
      <c r="L35" s="12">
        <v>100</v>
      </c>
      <c r="M35" s="59"/>
      <c r="N35" s="12"/>
      <c r="O35" s="12"/>
      <c r="P35" s="12"/>
      <c r="Q35" s="59"/>
      <c r="R35" s="12"/>
      <c r="S35" s="12"/>
      <c r="T35" s="12"/>
      <c r="U35" s="59"/>
      <c r="V35" s="12"/>
      <c r="W35" s="12"/>
      <c r="X35" s="12"/>
      <c r="Y35" s="59"/>
      <c r="Z35" s="12"/>
      <c r="AA35" s="12"/>
      <c r="AB35" s="12"/>
      <c r="AC35" s="59"/>
      <c r="AD35" s="12"/>
      <c r="AE35" s="12"/>
      <c r="AF35" s="12"/>
      <c r="AG35" s="59">
        <f t="shared" si="0"/>
        <v>200</v>
      </c>
      <c r="AH35" s="12" t="s">
        <v>676</v>
      </c>
      <c r="AI35" s="4" t="s">
        <v>674</v>
      </c>
      <c r="AJ35" s="12" t="s">
        <v>670</v>
      </c>
      <c r="AK35" s="12"/>
      <c r="AL35" s="12"/>
      <c r="AM35" s="12"/>
      <c r="AN35" s="12"/>
      <c r="AO35" s="12"/>
      <c r="AP35" s="12"/>
      <c r="AQ35" s="12"/>
      <c r="AR35" s="12"/>
      <c r="AS35" s="12"/>
      <c r="AT35" s="12"/>
      <c r="AU35" s="12"/>
      <c r="AV35" s="12"/>
      <c r="AW35" s="12"/>
      <c r="AX35" s="12"/>
      <c r="AY35" s="12"/>
      <c r="AZ35" s="12"/>
      <c r="BA35" s="12"/>
      <c r="BB35" s="12"/>
      <c r="BC35" s="12"/>
      <c r="BD35" s="12"/>
      <c r="BE35" s="12">
        <v>4</v>
      </c>
      <c r="BF35" s="12" t="s">
        <v>381</v>
      </c>
      <c r="BG35" s="12"/>
      <c r="BH35" s="12"/>
      <c r="BI35" s="12">
        <v>2</v>
      </c>
      <c r="BJ35" s="12"/>
      <c r="BK35" s="12"/>
      <c r="BL35" s="12" t="s">
        <v>381</v>
      </c>
      <c r="BM35" s="12"/>
      <c r="BN35" s="12"/>
      <c r="BO35" s="12"/>
      <c r="BP35" s="12"/>
    </row>
    <row r="36" spans="1:72">
      <c r="A36" s="4" t="s">
        <v>591</v>
      </c>
      <c r="C36" s="19" t="s">
        <v>434</v>
      </c>
      <c r="D36" s="4" t="s">
        <v>97</v>
      </c>
      <c r="E36" s="12" t="s">
        <v>692</v>
      </c>
      <c r="F36" s="12">
        <v>4</v>
      </c>
      <c r="G36" s="12">
        <v>16</v>
      </c>
      <c r="H36" s="59">
        <v>100</v>
      </c>
      <c r="I36" s="28">
        <v>0</v>
      </c>
      <c r="J36" s="12" t="s">
        <v>673</v>
      </c>
      <c r="K36" s="4" t="s">
        <v>674</v>
      </c>
      <c r="L36" s="12">
        <v>110</v>
      </c>
      <c r="M36" s="59"/>
      <c r="N36" s="12"/>
      <c r="O36" s="12"/>
      <c r="P36" s="12"/>
      <c r="Q36" s="59"/>
      <c r="R36" s="12"/>
      <c r="S36" s="12"/>
      <c r="T36" s="12"/>
      <c r="U36" s="59"/>
      <c r="V36" s="12"/>
      <c r="W36" s="12"/>
      <c r="X36" s="12"/>
      <c r="Y36" s="59"/>
      <c r="Z36" s="12"/>
      <c r="AA36" s="12"/>
      <c r="AB36" s="12"/>
      <c r="AC36" s="59"/>
      <c r="AD36" s="12"/>
      <c r="AE36" s="12"/>
      <c r="AF36" s="12"/>
      <c r="AG36" s="59">
        <f t="shared" si="0"/>
        <v>200</v>
      </c>
      <c r="AH36" s="12" t="s">
        <v>676</v>
      </c>
      <c r="AI36" s="4" t="s">
        <v>674</v>
      </c>
      <c r="AJ36" s="12" t="s">
        <v>670</v>
      </c>
      <c r="AK36" s="12"/>
      <c r="AL36" s="12"/>
      <c r="AM36" s="12"/>
      <c r="AN36" s="12"/>
      <c r="AO36" s="12"/>
      <c r="AP36" s="12"/>
      <c r="AQ36" s="12"/>
      <c r="AR36" s="12"/>
      <c r="AS36" s="12"/>
      <c r="AT36" s="12"/>
      <c r="AU36" s="12"/>
      <c r="AV36" s="12"/>
      <c r="AW36" s="12"/>
      <c r="AX36" s="12"/>
      <c r="AY36" s="12"/>
      <c r="AZ36" s="12"/>
      <c r="BA36" s="12"/>
      <c r="BB36" s="12"/>
      <c r="BC36" s="12"/>
      <c r="BD36" s="12"/>
      <c r="BE36" s="12">
        <v>4</v>
      </c>
      <c r="BF36" s="12" t="s">
        <v>381</v>
      </c>
      <c r="BG36" s="12"/>
      <c r="BH36" s="12"/>
      <c r="BI36" s="12">
        <v>2</v>
      </c>
      <c r="BJ36" s="12"/>
      <c r="BK36" s="12"/>
      <c r="BL36" s="12" t="s">
        <v>381</v>
      </c>
      <c r="BM36" s="12"/>
      <c r="BN36" s="12"/>
      <c r="BO36" s="12"/>
      <c r="BP36" s="12"/>
    </row>
    <row r="37" spans="1:72">
      <c r="A37" s="4" t="s">
        <v>436</v>
      </c>
      <c r="C37" s="19" t="s">
        <v>434</v>
      </c>
      <c r="D37" s="4" t="s">
        <v>93</v>
      </c>
      <c r="E37" s="12" t="s">
        <v>693</v>
      </c>
      <c r="F37" s="12">
        <v>4</v>
      </c>
      <c r="G37" s="12">
        <v>14</v>
      </c>
      <c r="H37" s="59">
        <v>120</v>
      </c>
      <c r="I37" s="28">
        <v>0</v>
      </c>
      <c r="J37" s="12" t="s">
        <v>673</v>
      </c>
      <c r="K37" s="4" t="s">
        <v>674</v>
      </c>
      <c r="L37" s="12">
        <v>100</v>
      </c>
      <c r="M37" s="59"/>
      <c r="N37" s="12"/>
      <c r="O37" s="12"/>
      <c r="P37" s="12"/>
      <c r="Q37" s="59"/>
      <c r="R37" s="12"/>
      <c r="S37" s="12"/>
      <c r="T37" s="12"/>
      <c r="U37" s="59"/>
      <c r="V37" s="12"/>
      <c r="W37" s="12"/>
      <c r="X37" s="12"/>
      <c r="Y37" s="59"/>
      <c r="Z37" s="12"/>
      <c r="AA37" s="12"/>
      <c r="AB37" s="12"/>
      <c r="AC37" s="59"/>
      <c r="AD37" s="12"/>
      <c r="AE37" s="12"/>
      <c r="AF37" s="12"/>
      <c r="AG37" s="59">
        <f t="shared" si="0"/>
        <v>240</v>
      </c>
      <c r="AH37" s="12" t="s">
        <v>676</v>
      </c>
      <c r="AI37" s="4" t="s">
        <v>674</v>
      </c>
      <c r="AJ37" s="12" t="s">
        <v>670</v>
      </c>
      <c r="AK37" s="12"/>
      <c r="AL37" s="12"/>
      <c r="AM37" s="12"/>
      <c r="AN37" s="12"/>
      <c r="AO37" s="12"/>
      <c r="AP37" s="12"/>
      <c r="AQ37" s="12"/>
      <c r="AR37" s="12"/>
      <c r="AS37" s="12"/>
      <c r="AT37" s="12"/>
      <c r="AU37" s="12"/>
      <c r="AV37" s="12"/>
      <c r="AW37" s="12"/>
      <c r="AX37" s="12"/>
      <c r="AY37" s="12"/>
      <c r="AZ37" s="12"/>
      <c r="BA37" s="12"/>
      <c r="BB37" s="12"/>
      <c r="BC37" s="12"/>
      <c r="BD37" s="12"/>
      <c r="BE37" s="12">
        <v>4</v>
      </c>
      <c r="BF37" s="12" t="s">
        <v>381</v>
      </c>
      <c r="BG37" s="12"/>
      <c r="BH37" s="12"/>
      <c r="BI37" s="12">
        <v>2</v>
      </c>
      <c r="BJ37" s="12"/>
      <c r="BK37" s="12"/>
      <c r="BL37" s="12" t="s">
        <v>381</v>
      </c>
      <c r="BM37" s="12"/>
      <c r="BN37" s="12"/>
      <c r="BO37" s="12"/>
      <c r="BP37" s="12"/>
    </row>
    <row r="38" spans="1:72">
      <c r="A38" s="4" t="s">
        <v>412</v>
      </c>
      <c r="B38" s="12"/>
      <c r="C38" s="4" t="s">
        <v>378</v>
      </c>
      <c r="D38" s="19" t="s">
        <v>100</v>
      </c>
      <c r="E38" s="12" t="s">
        <v>694</v>
      </c>
      <c r="F38" s="12">
        <v>9</v>
      </c>
      <c r="G38" s="12">
        <v>12</v>
      </c>
      <c r="H38" s="59">
        <v>45</v>
      </c>
      <c r="I38" s="28">
        <v>16</v>
      </c>
      <c r="J38" s="12" t="s">
        <v>676</v>
      </c>
      <c r="K38" s="4" t="s">
        <v>674</v>
      </c>
      <c r="L38" s="12">
        <v>2.6</v>
      </c>
      <c r="M38" s="59"/>
      <c r="N38" s="12"/>
      <c r="O38" s="12"/>
      <c r="P38" s="12"/>
      <c r="Q38" s="59"/>
      <c r="R38" s="12"/>
      <c r="S38" s="12"/>
      <c r="T38" s="12"/>
      <c r="U38" s="59"/>
      <c r="V38" s="12"/>
      <c r="W38" s="12"/>
      <c r="X38" s="12"/>
      <c r="Y38" s="59"/>
      <c r="Z38" s="12"/>
      <c r="AA38" s="12"/>
      <c r="AB38" s="12"/>
      <c r="AC38" s="59"/>
      <c r="AD38" s="12"/>
      <c r="AE38" s="12"/>
      <c r="AF38" s="12"/>
      <c r="AG38" s="59">
        <f>2*(H38+AK38)</f>
        <v>180</v>
      </c>
      <c r="AH38" s="12" t="s">
        <v>676</v>
      </c>
      <c r="AI38" s="4" t="s">
        <v>674</v>
      </c>
      <c r="AJ38" s="12" t="s">
        <v>670</v>
      </c>
      <c r="AK38" s="59">
        <v>45</v>
      </c>
      <c r="AL38" s="82" t="s">
        <v>676</v>
      </c>
      <c r="AM38" s="4" t="s">
        <v>674</v>
      </c>
      <c r="AN38" s="12">
        <f>50/1000</f>
        <v>0.05</v>
      </c>
      <c r="AO38" s="12"/>
      <c r="AP38" s="12"/>
      <c r="AQ38" s="12"/>
      <c r="AR38" s="12"/>
      <c r="AS38" s="12"/>
      <c r="AT38" s="12"/>
      <c r="AU38" s="12"/>
      <c r="AV38" s="12"/>
      <c r="AW38" s="12"/>
      <c r="AX38" s="12"/>
      <c r="AY38" s="12"/>
      <c r="AZ38" s="12"/>
      <c r="BA38" s="12"/>
      <c r="BB38" s="12"/>
      <c r="BC38" s="12"/>
      <c r="BD38" s="12"/>
      <c r="BE38" s="82">
        <v>3</v>
      </c>
      <c r="BF38" s="12" t="s">
        <v>381</v>
      </c>
      <c r="BG38" s="12"/>
      <c r="BH38" s="12"/>
      <c r="BI38" s="12">
        <v>2</v>
      </c>
      <c r="BJ38" s="12"/>
      <c r="BK38" s="12"/>
      <c r="BL38" s="12" t="s">
        <v>381</v>
      </c>
      <c r="BM38" s="12"/>
      <c r="BN38" s="12"/>
      <c r="BO38" s="12"/>
      <c r="BP38" s="12"/>
    </row>
    <row r="39" spans="1:72">
      <c r="A39" s="4" t="s">
        <v>414</v>
      </c>
      <c r="C39" s="4" t="s">
        <v>378</v>
      </c>
      <c r="D39" s="19" t="s">
        <v>100</v>
      </c>
      <c r="E39" s="12" t="s">
        <v>694</v>
      </c>
      <c r="F39" s="12">
        <v>9</v>
      </c>
      <c r="G39" s="12">
        <v>12</v>
      </c>
      <c r="H39" s="59">
        <v>45</v>
      </c>
      <c r="I39" s="28">
        <v>16</v>
      </c>
      <c r="J39" s="12" t="s">
        <v>676</v>
      </c>
      <c r="K39" s="4" t="s">
        <v>674</v>
      </c>
      <c r="L39" s="12">
        <v>2.6</v>
      </c>
      <c r="M39" s="59"/>
      <c r="N39" s="12"/>
      <c r="O39" s="12"/>
      <c r="P39" s="12"/>
      <c r="Q39" s="59"/>
      <c r="R39" s="12"/>
      <c r="S39" s="12"/>
      <c r="T39" s="12"/>
      <c r="U39" s="59"/>
      <c r="V39" s="12"/>
      <c r="W39" s="12"/>
      <c r="X39" s="12"/>
      <c r="Y39" s="59"/>
      <c r="Z39" s="12"/>
      <c r="AA39" s="12"/>
      <c r="AB39" s="12"/>
      <c r="AC39" s="59"/>
      <c r="AD39" s="12"/>
      <c r="AE39" s="12"/>
      <c r="AF39" s="12"/>
      <c r="AG39" s="59">
        <f>2*(H39+AK39)</f>
        <v>180</v>
      </c>
      <c r="AH39" s="12" t="s">
        <v>676</v>
      </c>
      <c r="AI39" s="4" t="s">
        <v>674</v>
      </c>
      <c r="AJ39" s="12" t="s">
        <v>670</v>
      </c>
      <c r="AK39" s="59">
        <v>45</v>
      </c>
      <c r="AL39" s="82" t="s">
        <v>676</v>
      </c>
      <c r="AM39" s="4" t="s">
        <v>674</v>
      </c>
      <c r="AN39" s="12">
        <f>50/1000</f>
        <v>0.05</v>
      </c>
      <c r="AO39" s="12"/>
      <c r="AP39" s="12"/>
      <c r="AQ39" s="12"/>
      <c r="AR39" s="12"/>
      <c r="AS39" s="12"/>
      <c r="AT39" s="12"/>
      <c r="AU39" s="12"/>
      <c r="AV39" s="12"/>
      <c r="AW39" s="12"/>
      <c r="AX39" s="12"/>
      <c r="AY39" s="12"/>
      <c r="AZ39" s="12"/>
      <c r="BA39" s="12"/>
      <c r="BB39" s="12"/>
      <c r="BC39" s="12"/>
      <c r="BD39" s="12"/>
      <c r="BE39" s="82">
        <v>3</v>
      </c>
      <c r="BF39" s="12" t="s">
        <v>381</v>
      </c>
      <c r="BG39" s="12"/>
      <c r="BH39" s="12"/>
      <c r="BI39" s="12">
        <v>2</v>
      </c>
      <c r="BJ39" s="12"/>
      <c r="BK39" s="12"/>
      <c r="BL39" s="12" t="s">
        <v>381</v>
      </c>
      <c r="BM39" s="12"/>
      <c r="BN39" s="12"/>
      <c r="BO39" s="12"/>
      <c r="BP39" s="12"/>
    </row>
    <row r="40" spans="1:72">
      <c r="A40" s="4" t="s">
        <v>584</v>
      </c>
      <c r="C40" s="4" t="s">
        <v>378</v>
      </c>
      <c r="D40" s="19" t="s">
        <v>100</v>
      </c>
      <c r="E40" s="12" t="s">
        <v>694</v>
      </c>
      <c r="F40" s="12">
        <v>9</v>
      </c>
      <c r="G40" s="12">
        <v>12</v>
      </c>
      <c r="H40" s="59">
        <v>45</v>
      </c>
      <c r="I40" s="28">
        <v>16</v>
      </c>
      <c r="J40" s="12" t="s">
        <v>676</v>
      </c>
      <c r="K40" s="4" t="s">
        <v>674</v>
      </c>
      <c r="L40" s="12">
        <v>2.6</v>
      </c>
      <c r="M40" s="59"/>
      <c r="N40" s="12"/>
      <c r="O40" s="12"/>
      <c r="P40" s="12"/>
      <c r="Q40" s="59"/>
      <c r="R40" s="12"/>
      <c r="S40" s="12"/>
      <c r="T40" s="12"/>
      <c r="U40" s="59"/>
      <c r="V40" s="12"/>
      <c r="W40" s="12"/>
      <c r="X40" s="12"/>
      <c r="Y40" s="59"/>
      <c r="Z40" s="12"/>
      <c r="AA40" s="12"/>
      <c r="AB40" s="12"/>
      <c r="AC40" s="59"/>
      <c r="AD40" s="12"/>
      <c r="AE40" s="12"/>
      <c r="AF40" s="12"/>
      <c r="AG40" s="59">
        <f>2*(H40+AK40)</f>
        <v>180</v>
      </c>
      <c r="AH40" s="12" t="s">
        <v>676</v>
      </c>
      <c r="AI40" s="4" t="s">
        <v>674</v>
      </c>
      <c r="AJ40" s="12" t="s">
        <v>670</v>
      </c>
      <c r="AK40" s="59">
        <v>45</v>
      </c>
      <c r="AL40" s="82" t="s">
        <v>676</v>
      </c>
      <c r="AM40" s="4" t="s">
        <v>674</v>
      </c>
      <c r="AN40" s="12">
        <f>50/1000</f>
        <v>0.05</v>
      </c>
      <c r="AO40" s="12"/>
      <c r="AP40" s="12"/>
      <c r="AQ40" s="12"/>
      <c r="AR40" s="12"/>
      <c r="AS40" s="12"/>
      <c r="AT40" s="12"/>
      <c r="AU40" s="12"/>
      <c r="AV40" s="12"/>
      <c r="AW40" s="12"/>
      <c r="AX40" s="12"/>
      <c r="AY40" s="12"/>
      <c r="AZ40" s="12"/>
      <c r="BA40" s="12"/>
      <c r="BB40" s="12"/>
      <c r="BC40" s="12"/>
      <c r="BD40" s="12"/>
      <c r="BE40" s="82">
        <v>3</v>
      </c>
      <c r="BF40" s="12" t="s">
        <v>381</v>
      </c>
      <c r="BG40" s="12"/>
      <c r="BH40" s="12"/>
      <c r="BI40" s="12">
        <v>2</v>
      </c>
      <c r="BJ40" s="12"/>
      <c r="BK40" s="12"/>
      <c r="BL40" s="12" t="s">
        <v>381</v>
      </c>
      <c r="BM40" s="12"/>
      <c r="BN40" s="12"/>
      <c r="BO40" s="12"/>
      <c r="BP40" s="12"/>
    </row>
    <row r="41" spans="1:72">
      <c r="A41" s="4" t="s">
        <v>585</v>
      </c>
      <c r="C41" s="4" t="s">
        <v>378</v>
      </c>
      <c r="D41" s="19" t="s">
        <v>100</v>
      </c>
      <c r="E41" s="12" t="s">
        <v>694</v>
      </c>
      <c r="F41" s="12">
        <v>9</v>
      </c>
      <c r="G41" s="12">
        <v>12</v>
      </c>
      <c r="H41" s="59">
        <v>45</v>
      </c>
      <c r="I41" s="28">
        <v>16</v>
      </c>
      <c r="J41" s="12" t="s">
        <v>676</v>
      </c>
      <c r="K41" s="4" t="s">
        <v>674</v>
      </c>
      <c r="L41" s="12">
        <v>2.6</v>
      </c>
      <c r="M41" s="59"/>
      <c r="N41" s="12"/>
      <c r="O41" s="12"/>
      <c r="P41" s="12"/>
      <c r="Q41" s="59"/>
      <c r="R41" s="12"/>
      <c r="S41" s="12"/>
      <c r="T41" s="12"/>
      <c r="U41" s="59"/>
      <c r="V41" s="12"/>
      <c r="W41" s="12"/>
      <c r="X41" s="12"/>
      <c r="Y41" s="59"/>
      <c r="Z41" s="12"/>
      <c r="AA41" s="12"/>
      <c r="AB41" s="12"/>
      <c r="AC41" s="59"/>
      <c r="AD41" s="12"/>
      <c r="AE41" s="12"/>
      <c r="AF41" s="12"/>
      <c r="AG41" s="59">
        <f>2*(H41+AK41)</f>
        <v>180</v>
      </c>
      <c r="AH41" s="12" t="s">
        <v>676</v>
      </c>
      <c r="AI41" s="4" t="s">
        <v>674</v>
      </c>
      <c r="AJ41" s="12" t="s">
        <v>670</v>
      </c>
      <c r="AK41" s="59">
        <v>45</v>
      </c>
      <c r="AL41" s="82" t="s">
        <v>676</v>
      </c>
      <c r="AM41" s="4" t="s">
        <v>674</v>
      </c>
      <c r="AN41" s="12">
        <f>50/1000</f>
        <v>0.05</v>
      </c>
      <c r="AO41" s="12"/>
      <c r="AP41" s="12"/>
      <c r="AQ41" s="12"/>
      <c r="AR41" s="12"/>
      <c r="AS41" s="12"/>
      <c r="AT41" s="12"/>
      <c r="AU41" s="12"/>
      <c r="AV41" s="12"/>
      <c r="AW41" s="12"/>
      <c r="AX41" s="12"/>
      <c r="AY41" s="12"/>
      <c r="AZ41" s="12"/>
      <c r="BA41" s="12"/>
      <c r="BB41" s="12"/>
      <c r="BC41" s="12"/>
      <c r="BD41" s="12"/>
      <c r="BE41" s="82">
        <v>3</v>
      </c>
      <c r="BF41" s="12" t="s">
        <v>381</v>
      </c>
      <c r="BG41" s="12"/>
      <c r="BH41" s="12"/>
      <c r="BI41" s="12">
        <v>2</v>
      </c>
      <c r="BJ41" s="12"/>
      <c r="BK41" s="12"/>
      <c r="BL41" s="12" t="s">
        <v>381</v>
      </c>
      <c r="BM41" s="12"/>
      <c r="BN41" s="12"/>
      <c r="BO41" s="12"/>
      <c r="BP41" s="12"/>
    </row>
    <row r="42" spans="1:72">
      <c r="A42" s="4" t="s">
        <v>415</v>
      </c>
      <c r="C42" s="4" t="s">
        <v>378</v>
      </c>
      <c r="D42" s="19" t="s">
        <v>416</v>
      </c>
      <c r="E42" s="12" t="s">
        <v>695</v>
      </c>
      <c r="F42" s="12">
        <v>4</v>
      </c>
      <c r="G42" s="12">
        <v>6</v>
      </c>
      <c r="H42" s="59">
        <v>40</v>
      </c>
      <c r="I42" s="28">
        <v>4</v>
      </c>
      <c r="J42" s="12" t="s">
        <v>676</v>
      </c>
      <c r="K42" s="4" t="s">
        <v>674</v>
      </c>
      <c r="L42" s="12">
        <v>2.6</v>
      </c>
      <c r="M42" s="59"/>
      <c r="N42" s="12"/>
      <c r="O42" s="12"/>
      <c r="P42" s="12"/>
      <c r="Q42" s="59"/>
      <c r="R42" s="12"/>
      <c r="S42" s="12"/>
      <c r="T42" s="12"/>
      <c r="U42" s="59"/>
      <c r="V42" s="12"/>
      <c r="W42" s="12"/>
      <c r="X42" s="12"/>
      <c r="Y42" s="59"/>
      <c r="Z42" s="12"/>
      <c r="AA42" s="12"/>
      <c r="AB42" s="12"/>
      <c r="AC42" s="59"/>
      <c r="AD42" s="12"/>
      <c r="AE42" s="12"/>
      <c r="AF42" s="12"/>
      <c r="AG42" s="59">
        <f t="shared" si="0"/>
        <v>80</v>
      </c>
      <c r="AH42" s="12" t="s">
        <v>676</v>
      </c>
      <c r="AI42" s="4" t="s">
        <v>674</v>
      </c>
      <c r="AJ42" s="12" t="s">
        <v>670</v>
      </c>
      <c r="AK42" s="61"/>
      <c r="AL42" s="82"/>
      <c r="AM42" s="82"/>
      <c r="AN42" s="82"/>
      <c r="AO42" s="82"/>
      <c r="AP42" s="82"/>
      <c r="AQ42" s="82"/>
      <c r="AR42" s="82"/>
      <c r="AS42" s="82"/>
      <c r="AT42" s="82"/>
      <c r="AU42" s="82"/>
      <c r="AV42" s="82"/>
      <c r="AW42" s="82"/>
      <c r="AX42" s="82"/>
      <c r="AY42" s="82"/>
      <c r="AZ42" s="82"/>
      <c r="BA42" s="82"/>
      <c r="BB42" s="82"/>
      <c r="BC42" s="82"/>
      <c r="BD42" s="82"/>
      <c r="BE42" s="82">
        <v>2</v>
      </c>
      <c r="BF42" s="12" t="s">
        <v>381</v>
      </c>
      <c r="BG42" s="12"/>
      <c r="BH42" s="12"/>
      <c r="BI42" s="12">
        <v>2</v>
      </c>
      <c r="BJ42" s="12"/>
      <c r="BK42" s="12"/>
      <c r="BL42" s="12" t="s">
        <v>381</v>
      </c>
      <c r="BM42" s="12"/>
      <c r="BN42" s="12"/>
      <c r="BO42" s="12"/>
      <c r="BP42" s="12"/>
    </row>
    <row r="43" spans="1:72">
      <c r="A43" s="4" t="s">
        <v>417</v>
      </c>
      <c r="C43" s="4" t="s">
        <v>378</v>
      </c>
      <c r="D43" s="19" t="s">
        <v>418</v>
      </c>
      <c r="E43" s="12" t="s">
        <v>695</v>
      </c>
      <c r="F43" s="12">
        <v>4</v>
      </c>
      <c r="G43" s="12">
        <v>6</v>
      </c>
      <c r="H43" s="59">
        <v>40</v>
      </c>
      <c r="I43" s="28">
        <v>4</v>
      </c>
      <c r="J43" s="12" t="s">
        <v>676</v>
      </c>
      <c r="K43" s="4" t="s">
        <v>674</v>
      </c>
      <c r="L43" s="12">
        <v>2.6</v>
      </c>
      <c r="M43" s="59"/>
      <c r="N43" s="12"/>
      <c r="O43" s="12"/>
      <c r="P43" s="12"/>
      <c r="Q43" s="59"/>
      <c r="R43" s="12"/>
      <c r="S43" s="12"/>
      <c r="T43" s="12"/>
      <c r="U43" s="59"/>
      <c r="V43" s="12"/>
      <c r="W43" s="12"/>
      <c r="X43" s="12"/>
      <c r="Y43" s="59"/>
      <c r="Z43" s="12"/>
      <c r="AA43" s="12"/>
      <c r="AB43" s="12"/>
      <c r="AC43" s="59"/>
      <c r="AD43" s="12"/>
      <c r="AE43" s="12"/>
      <c r="AF43" s="12"/>
      <c r="AG43" s="59">
        <f t="shared" ref="AG43" si="1">2*H43</f>
        <v>80</v>
      </c>
      <c r="AH43" s="12" t="s">
        <v>676</v>
      </c>
      <c r="AI43" s="4" t="s">
        <v>674</v>
      </c>
      <c r="AJ43" s="12" t="s">
        <v>670</v>
      </c>
      <c r="AK43" s="61"/>
      <c r="AL43" s="82"/>
      <c r="AM43" s="82"/>
      <c r="AN43" s="82"/>
      <c r="AO43" s="82"/>
      <c r="AP43" s="82"/>
      <c r="AQ43" s="82"/>
      <c r="AR43" s="82"/>
      <c r="AS43" s="82"/>
      <c r="AT43" s="82"/>
      <c r="AU43" s="82"/>
      <c r="AV43" s="82"/>
      <c r="AW43" s="82"/>
      <c r="AX43" s="82"/>
      <c r="AY43" s="82"/>
      <c r="AZ43" s="82"/>
      <c r="BA43" s="82"/>
      <c r="BB43" s="82"/>
      <c r="BC43" s="82"/>
      <c r="BD43" s="82"/>
      <c r="BE43" s="82">
        <v>2</v>
      </c>
      <c r="BF43" s="12" t="s">
        <v>381</v>
      </c>
      <c r="BG43" s="12"/>
      <c r="BH43" s="12"/>
      <c r="BI43" s="12">
        <v>2</v>
      </c>
      <c r="BJ43" s="12"/>
      <c r="BK43" s="12"/>
      <c r="BL43" s="12" t="s">
        <v>381</v>
      </c>
      <c r="BM43" s="12"/>
      <c r="BN43" s="12"/>
      <c r="BO43" s="12"/>
      <c r="BP43" s="12"/>
    </row>
    <row r="44" spans="1:72" ht="14.5">
      <c r="A44" s="4" t="s">
        <v>419</v>
      </c>
      <c r="C44" s="4" t="s">
        <v>378</v>
      </c>
      <c r="D44" s="4" t="s">
        <v>650</v>
      </c>
      <c r="E44" s="15" t="s">
        <v>696</v>
      </c>
      <c r="F44" s="12">
        <v>2</v>
      </c>
      <c r="G44" s="12">
        <v>4</v>
      </c>
      <c r="H44" s="59">
        <v>65</v>
      </c>
      <c r="I44" s="28">
        <v>4</v>
      </c>
      <c r="J44" s="12" t="s">
        <v>676</v>
      </c>
      <c r="K44" s="4" t="s">
        <v>674</v>
      </c>
      <c r="L44" s="12">
        <v>2.6</v>
      </c>
      <c r="M44" s="12"/>
      <c r="N44" s="12"/>
      <c r="O44" s="12"/>
      <c r="P44" s="12"/>
      <c r="Q44" s="1"/>
      <c r="R44" s="1"/>
      <c r="S44" s="1"/>
      <c r="T44" s="1"/>
      <c r="U44" s="12"/>
      <c r="V44" s="12"/>
      <c r="W44" s="12"/>
      <c r="X44" s="12"/>
      <c r="Y44" s="12"/>
      <c r="Z44" s="12"/>
      <c r="AA44" s="12"/>
      <c r="AB44" s="12"/>
      <c r="AC44" s="12"/>
      <c r="AD44" s="12"/>
      <c r="AE44" s="12"/>
      <c r="AF44" s="12"/>
      <c r="AG44" s="59">
        <f>2*H44</f>
        <v>130</v>
      </c>
      <c r="AH44" s="12" t="s">
        <v>676</v>
      </c>
      <c r="AI44" s="17" t="s">
        <v>674</v>
      </c>
      <c r="AJ44" s="15" t="s">
        <v>670</v>
      </c>
      <c r="AK44" s="17"/>
      <c r="AL44" s="17"/>
      <c r="AM44" s="17"/>
      <c r="AN44" s="17"/>
      <c r="AO44" s="17"/>
      <c r="AP44" s="17"/>
      <c r="AQ44" s="17"/>
      <c r="AR44" s="17"/>
      <c r="AS44" s="17"/>
      <c r="AT44" s="17"/>
      <c r="AU44" s="17"/>
      <c r="AV44" s="17"/>
      <c r="AW44" s="15">
        <v>150</v>
      </c>
      <c r="AX44" s="12" t="s">
        <v>676</v>
      </c>
      <c r="AY44" s="12" t="s">
        <v>674</v>
      </c>
      <c r="AZ44" s="12">
        <f>50/1000</f>
        <v>0.05</v>
      </c>
      <c r="BA44" s="17"/>
      <c r="BB44" s="17"/>
      <c r="BC44" s="17"/>
      <c r="BD44" s="17"/>
      <c r="BE44" s="15">
        <v>2</v>
      </c>
      <c r="BF44" s="15" t="s">
        <v>381</v>
      </c>
      <c r="BG44" s="15"/>
      <c r="BH44" s="15"/>
      <c r="BI44" s="15">
        <v>2</v>
      </c>
      <c r="BJ44" s="15"/>
      <c r="BK44" s="15" t="s">
        <v>381</v>
      </c>
      <c r="BL44" s="15" t="s">
        <v>381</v>
      </c>
      <c r="BM44" s="15"/>
      <c r="BN44" s="15"/>
      <c r="BO44" s="15"/>
      <c r="BP44" s="17"/>
      <c r="BQ44" s="33"/>
      <c r="BR44" s="33"/>
    </row>
    <row r="45" spans="1:72" s="18" customFormat="1">
      <c r="E45" s="16"/>
      <c r="F45" s="16">
        <f>SUM(F8:F44)</f>
        <v>236</v>
      </c>
      <c r="G45" s="16">
        <f>SUM(G8:G44)</f>
        <v>717</v>
      </c>
      <c r="H45" s="16">
        <f>SUM(H8:H44)</f>
        <v>3270</v>
      </c>
      <c r="I45" s="60"/>
      <c r="J45" s="16"/>
      <c r="K45" s="16"/>
      <c r="L45" s="16">
        <f>SUM(L8:L44)</f>
        <v>403.80000000000018</v>
      </c>
      <c r="M45" s="16">
        <f>SUM(M8:M44)</f>
        <v>460</v>
      </c>
      <c r="N45" s="16"/>
      <c r="O45" s="16"/>
      <c r="P45" s="16">
        <f>SUM(P8:P44)</f>
        <v>0.05</v>
      </c>
      <c r="Q45" s="16">
        <f>SUM(Q8:Q44)</f>
        <v>8100</v>
      </c>
      <c r="R45" s="16"/>
      <c r="S45" s="16"/>
      <c r="T45" s="16">
        <f>SUM(T8:T44)</f>
        <v>0.05</v>
      </c>
      <c r="U45" s="16">
        <f>SUM(U8:U44)</f>
        <v>12150</v>
      </c>
      <c r="V45" s="16"/>
      <c r="W45" s="16"/>
      <c r="X45" s="16">
        <f>SUM(X8:X44)</f>
        <v>0.05</v>
      </c>
      <c r="Y45" s="16">
        <f>SUM(Y8:Y44)</f>
        <v>834.99</v>
      </c>
      <c r="Z45" s="16"/>
      <c r="AA45" s="16"/>
      <c r="AB45" s="16">
        <f>SUM(AB8:AB44)</f>
        <v>0.1</v>
      </c>
      <c r="AC45" s="16">
        <f>SUM(AC8:AC44)</f>
        <v>270</v>
      </c>
      <c r="AD45" s="16"/>
      <c r="AE45" s="16"/>
      <c r="AF45" s="16">
        <f>SUM(AF8:AF44)</f>
        <v>0</v>
      </c>
      <c r="AG45" s="16">
        <f>SUM(AG8:AG44)</f>
        <v>36104</v>
      </c>
      <c r="AH45" s="16"/>
      <c r="AI45" s="16"/>
      <c r="AJ45" s="16"/>
      <c r="AK45" s="16">
        <f>SUM(AK8:AK44)</f>
        <v>180</v>
      </c>
      <c r="AL45" s="16"/>
      <c r="AM45" s="16"/>
      <c r="AN45" s="16">
        <f>SUM(AN8:AN44)</f>
        <v>0.2</v>
      </c>
      <c r="AO45" s="16">
        <f>SUM(AO8:AO44)</f>
        <v>50</v>
      </c>
      <c r="AP45" s="16"/>
      <c r="AQ45" s="16"/>
      <c r="AR45" s="16">
        <f>SUM(AR8:AR44)</f>
        <v>0.05</v>
      </c>
      <c r="AS45" s="16">
        <f>SUM(AS8:AS44)</f>
        <v>200</v>
      </c>
      <c r="AT45" s="16"/>
      <c r="AU45" s="16"/>
      <c r="AV45" s="16">
        <f>SUM(AV8:AV44)</f>
        <v>0.1</v>
      </c>
      <c r="AW45" s="16">
        <f>SUM(AW8:AW44)</f>
        <v>150</v>
      </c>
      <c r="AX45" s="16"/>
      <c r="AY45" s="16"/>
      <c r="AZ45" s="16">
        <f>SUM(AZ8:AZ44)</f>
        <v>0.05</v>
      </c>
      <c r="BA45" s="16">
        <f>SUM(BA8:BA44)</f>
        <v>6144</v>
      </c>
      <c r="BB45" s="16"/>
      <c r="BC45" s="16"/>
      <c r="BD45" s="16">
        <f>SUM(BD8:BD44)</f>
        <v>0.05</v>
      </c>
      <c r="BE45" s="16">
        <f>SUM(BE8:BE44)</f>
        <v>91</v>
      </c>
      <c r="BF45" s="16">
        <f>COUNTIF(BF8:BF44,"x")</f>
        <v>36</v>
      </c>
      <c r="BG45" s="16">
        <f>COUNTIF(BG8:BG44,"x")</f>
        <v>2</v>
      </c>
      <c r="BH45" s="16">
        <f>COUNTIF(BH8:BH44,"x")</f>
        <v>1</v>
      </c>
      <c r="BI45" s="16">
        <f>SUM(BI8:BI44)</f>
        <v>74</v>
      </c>
      <c r="BJ45" s="16">
        <f>COUNTIF(BJ8:BJ44,"x")</f>
        <v>1</v>
      </c>
      <c r="BK45" s="16">
        <f>COUNTIF(BK8:BK44,"x")</f>
        <v>1</v>
      </c>
      <c r="BL45" s="16">
        <f>COUNTIF(BL8:BL44,"x")</f>
        <v>36</v>
      </c>
      <c r="BM45" s="16" t="s">
        <v>697</v>
      </c>
      <c r="BN45" s="16">
        <v>2</v>
      </c>
      <c r="BO45" s="16">
        <v>4</v>
      </c>
      <c r="BP45" s="16">
        <v>2</v>
      </c>
    </row>
    <row r="46" spans="1:72" ht="13">
      <c r="A46" s="181" t="s">
        <v>423</v>
      </c>
      <c r="B46" s="182"/>
      <c r="E46" s="12"/>
      <c r="F46" s="12"/>
      <c r="G46" s="12"/>
      <c r="H46" s="12"/>
      <c r="I46" s="12"/>
      <c r="J46" s="12"/>
      <c r="K46" s="12"/>
      <c r="L46" s="12"/>
      <c r="M46" s="12"/>
      <c r="N46" s="12"/>
      <c r="O46" s="12"/>
      <c r="P46" s="12"/>
      <c r="Q46" s="12"/>
      <c r="R46" s="12"/>
      <c r="S46" s="12"/>
      <c r="T46" s="12"/>
      <c r="U46" s="12"/>
      <c r="V46" s="12"/>
      <c r="W46" s="12"/>
      <c r="X46" s="12"/>
      <c r="Y46" s="12"/>
      <c r="Z46" s="12"/>
      <c r="AA46" s="12"/>
      <c r="AB46" s="12"/>
      <c r="AC46" s="12"/>
      <c r="AD46" s="12"/>
      <c r="AE46" s="12"/>
      <c r="AF46" s="12"/>
      <c r="AG46" s="12"/>
      <c r="AH46" s="12"/>
      <c r="AI46" s="12"/>
      <c r="AJ46" s="12"/>
      <c r="BA46" s="12"/>
      <c r="BB46" s="12"/>
      <c r="BC46" s="12"/>
      <c r="BD46" s="12"/>
      <c r="BE46" s="12"/>
    </row>
    <row r="47" spans="1:72" ht="13">
      <c r="A47" s="14" t="s">
        <v>698</v>
      </c>
      <c r="E47" s="12"/>
      <c r="F47" s="12"/>
      <c r="G47" s="12"/>
      <c r="H47" s="12"/>
      <c r="I47" s="28"/>
      <c r="J47" s="12"/>
      <c r="K47" s="12"/>
      <c r="L47" s="12"/>
      <c r="M47" s="12"/>
      <c r="N47" s="59"/>
      <c r="O47" s="59"/>
      <c r="P47" s="12"/>
      <c r="Q47" s="12"/>
      <c r="R47" s="59"/>
      <c r="S47" s="59"/>
      <c r="T47" s="12"/>
      <c r="U47" s="12"/>
      <c r="V47" s="59"/>
      <c r="W47" s="59"/>
      <c r="X47" s="12"/>
      <c r="Y47" s="12"/>
      <c r="Z47" s="59"/>
      <c r="AA47" s="59"/>
      <c r="AB47" s="12"/>
      <c r="AC47" s="12"/>
      <c r="AD47" s="59"/>
      <c r="AE47" s="59"/>
      <c r="AF47" s="12"/>
      <c r="AG47" s="12"/>
      <c r="AH47" s="59"/>
      <c r="AI47" s="59"/>
      <c r="AJ47" s="59"/>
      <c r="AK47" s="12"/>
      <c r="AL47" s="12"/>
      <c r="AM47" s="12"/>
      <c r="AN47" s="12"/>
      <c r="AO47" s="12"/>
      <c r="AP47" s="12"/>
      <c r="AQ47" s="12"/>
      <c r="AR47" s="12"/>
      <c r="AS47" s="12"/>
      <c r="AT47" s="12"/>
      <c r="AU47" s="12"/>
      <c r="AV47" s="12"/>
      <c r="AW47" s="12"/>
      <c r="AX47" s="12"/>
      <c r="AY47" s="12"/>
      <c r="AZ47" s="12"/>
      <c r="BA47" s="12"/>
      <c r="BB47" s="12"/>
      <c r="BC47" s="12"/>
      <c r="BD47" s="12"/>
      <c r="BE47" s="12"/>
      <c r="BF47" s="12"/>
      <c r="BG47" s="12"/>
      <c r="BH47" s="12"/>
      <c r="BI47" s="12"/>
      <c r="BJ47" s="12"/>
      <c r="BK47" s="12"/>
      <c r="BL47" s="12"/>
      <c r="BM47" s="12"/>
      <c r="BN47" s="12"/>
      <c r="BO47" s="12"/>
      <c r="BP47" s="12"/>
      <c r="BQ47" s="12"/>
      <c r="BR47" s="12"/>
      <c r="BS47" s="12"/>
      <c r="BT47" s="12"/>
    </row>
    <row r="48" spans="1:72" s="17" customFormat="1" ht="14.5">
      <c r="A48" s="17" t="s">
        <v>419</v>
      </c>
      <c r="C48" s="17" t="s">
        <v>378</v>
      </c>
      <c r="D48" s="17" t="s">
        <v>425</v>
      </c>
      <c r="E48" s="15" t="s">
        <v>696</v>
      </c>
      <c r="F48" s="15">
        <v>7</v>
      </c>
      <c r="G48" s="15">
        <v>16</v>
      </c>
      <c r="H48" s="65">
        <v>28</v>
      </c>
      <c r="I48" s="76">
        <v>16</v>
      </c>
      <c r="J48" s="15" t="s">
        <v>676</v>
      </c>
      <c r="K48" s="17" t="s">
        <v>674</v>
      </c>
      <c r="L48" s="15" t="s">
        <v>670</v>
      </c>
      <c r="M48" s="15"/>
      <c r="N48" s="15"/>
      <c r="O48" s="15"/>
      <c r="P48" s="15"/>
      <c r="Q48" s="96"/>
      <c r="R48" s="96"/>
      <c r="S48" s="96"/>
      <c r="T48" s="96"/>
      <c r="U48" s="15"/>
      <c r="V48" s="15"/>
      <c r="W48" s="15"/>
      <c r="X48" s="15"/>
      <c r="Y48" s="15"/>
      <c r="Z48" s="15"/>
      <c r="AA48" s="15"/>
      <c r="AB48" s="15"/>
      <c r="AC48" s="15"/>
      <c r="AD48" s="15"/>
      <c r="AE48" s="15"/>
      <c r="AF48" s="15"/>
      <c r="AG48" s="59">
        <f>2*H48+200+120</f>
        <v>376</v>
      </c>
      <c r="AH48" s="15" t="s">
        <v>676</v>
      </c>
      <c r="AI48" s="17" t="s">
        <v>674</v>
      </c>
      <c r="AJ48" s="15" t="s">
        <v>670</v>
      </c>
      <c r="AW48" s="15"/>
      <c r="AX48" s="15"/>
      <c r="AY48" s="15"/>
      <c r="AZ48" s="15"/>
      <c r="BE48" s="15"/>
      <c r="BF48" s="15"/>
      <c r="BI48" s="15"/>
      <c r="BJ48" s="15"/>
      <c r="BK48" s="15"/>
      <c r="BL48" s="15"/>
      <c r="BM48" s="15"/>
      <c r="BN48" s="15"/>
      <c r="BO48" s="15"/>
      <c r="BP48" s="15"/>
      <c r="BQ48" s="15"/>
      <c r="BR48" s="15"/>
      <c r="BS48" s="15"/>
    </row>
    <row r="49" spans="1:72">
      <c r="E49" s="12"/>
      <c r="F49" s="16">
        <f>SUM(F48:F48)+F45</f>
        <v>243</v>
      </c>
      <c r="G49" s="16">
        <f>SUM(G48:G48)+G45</f>
        <v>733</v>
      </c>
      <c r="H49" s="16">
        <f>SUM(H48:H48)+H45</f>
        <v>3298</v>
      </c>
      <c r="I49" s="16"/>
      <c r="J49" s="12"/>
      <c r="K49" s="12"/>
      <c r="L49" s="16">
        <f>SUM(L48:L48)+L45</f>
        <v>403.80000000000018</v>
      </c>
      <c r="M49" s="16">
        <f>SUM(M48:M48)+M45</f>
        <v>460</v>
      </c>
      <c r="N49" s="59"/>
      <c r="O49" s="59"/>
      <c r="P49" s="16">
        <f>SUM(P48:P48)+P45</f>
        <v>0.05</v>
      </c>
      <c r="Q49" s="16">
        <f>SUM(Q48:Q48)+Q45</f>
        <v>8100</v>
      </c>
      <c r="R49" s="59"/>
      <c r="S49" s="59"/>
      <c r="T49" s="16">
        <f>SUM(T48:T48)+T45</f>
        <v>0.05</v>
      </c>
      <c r="U49" s="16">
        <f>SUM(U48:U48)+U45</f>
        <v>12150</v>
      </c>
      <c r="V49" s="59"/>
      <c r="W49" s="59"/>
      <c r="X49" s="16">
        <f>SUM(X48:X48)+X45</f>
        <v>0.05</v>
      </c>
      <c r="Y49" s="16">
        <f>SUM(Y48:Y48)+Y45</f>
        <v>834.99</v>
      </c>
      <c r="Z49" s="59"/>
      <c r="AA49" s="59"/>
      <c r="AB49" s="16">
        <f>SUM(AB48:AB48)+AB45</f>
        <v>0.1</v>
      </c>
      <c r="AC49" s="16">
        <f>SUM(AC48:AC48)+AC45</f>
        <v>270</v>
      </c>
      <c r="AD49" s="59"/>
      <c r="AE49" s="59"/>
      <c r="AF49" s="16">
        <f>SUM(AF48:AF48)+AF45</f>
        <v>0</v>
      </c>
      <c r="AG49" s="16">
        <f>SUM(AG48:AG48)+AG45</f>
        <v>36480</v>
      </c>
      <c r="AH49" s="59"/>
      <c r="AI49" s="59"/>
      <c r="AJ49" s="59"/>
      <c r="AK49" s="16">
        <f>SUM(AK48:AK48)+AK45</f>
        <v>180</v>
      </c>
      <c r="AL49" s="12"/>
      <c r="AM49" s="12"/>
      <c r="AN49" s="16">
        <f>SUM(AN48:AN48)+AN45</f>
        <v>0.2</v>
      </c>
      <c r="AO49" s="16">
        <f>SUM(AO48:AO48)+AO45</f>
        <v>50</v>
      </c>
      <c r="AP49" s="12"/>
      <c r="AQ49" s="12"/>
      <c r="AR49" s="16">
        <f>SUM(AR48:AR48)+AR45</f>
        <v>0.05</v>
      </c>
      <c r="AS49" s="16">
        <f>SUM(AS48:AS48)+AS45</f>
        <v>200</v>
      </c>
      <c r="AT49" s="16"/>
      <c r="AU49" s="12"/>
      <c r="AV49" s="16">
        <f>SUM(AV48:AV48)+AV45</f>
        <v>0.1</v>
      </c>
      <c r="AW49" s="16">
        <f>SUM(AW48:AW48)+AW45</f>
        <v>150</v>
      </c>
      <c r="AX49" s="12"/>
      <c r="AY49" s="12"/>
      <c r="AZ49" s="12"/>
      <c r="BA49" s="16">
        <f>SUM(BA48:BA48)+BA45</f>
        <v>6144</v>
      </c>
      <c r="BB49" s="12"/>
      <c r="BC49" s="12"/>
      <c r="BD49" s="16">
        <f>SUM(BD48:BD48)+BD45</f>
        <v>0.05</v>
      </c>
      <c r="BE49" s="16">
        <f>SUM(BE48:BE48)+BE45</f>
        <v>91</v>
      </c>
      <c r="BF49" s="16">
        <f>BF45+COUNTIF(BF48:BF48,"x")</f>
        <v>36</v>
      </c>
      <c r="BG49" s="16">
        <f>BG45+COUNTIF(BG48:BG48,"x")</f>
        <v>2</v>
      </c>
      <c r="BH49" s="16">
        <f>SUM(BH48:BH48)+BH45</f>
        <v>1</v>
      </c>
      <c r="BI49" s="16">
        <f>SUM(BI48:BI48)+BI45</f>
        <v>74</v>
      </c>
      <c r="BJ49" s="16">
        <f>BJ45+COUNTIF(BJ48:BJ48,"x")</f>
        <v>1</v>
      </c>
      <c r="BK49" s="16">
        <f>BK45+COUNTIF(BK48:BK48,"x")</f>
        <v>1</v>
      </c>
      <c r="BL49" s="16">
        <f>BL45+COUNTIF(BL48:BL48,"x")</f>
        <v>36</v>
      </c>
      <c r="BM49" s="16" t="s">
        <v>697</v>
      </c>
      <c r="BN49" s="16">
        <f>BN45+COUNTIF(BN48:BN48,"x")</f>
        <v>2</v>
      </c>
      <c r="BO49" s="16">
        <v>4</v>
      </c>
      <c r="BP49" s="16">
        <v>2</v>
      </c>
      <c r="BQ49" s="16"/>
      <c r="BR49" s="12"/>
      <c r="BS49" s="12"/>
      <c r="BT49" s="12"/>
    </row>
    <row r="50" spans="1:72">
      <c r="BE50" s="12"/>
    </row>
    <row r="51" spans="1:72" ht="13">
      <c r="A51" s="14" t="s">
        <v>700</v>
      </c>
      <c r="B51" s="33"/>
      <c r="C51" s="33"/>
      <c r="D51" s="33"/>
      <c r="BE51" s="12"/>
    </row>
    <row r="52" spans="1:72">
      <c r="A52" s="33"/>
      <c r="B52" s="33"/>
      <c r="C52" s="33"/>
      <c r="D52" s="33"/>
      <c r="BE52" s="12"/>
    </row>
    <row r="53" spans="1:72">
      <c r="A53" s="33" t="s">
        <v>431</v>
      </c>
      <c r="B53" s="33"/>
      <c r="C53" s="4" t="s">
        <v>378</v>
      </c>
      <c r="D53" s="33" t="s">
        <v>21</v>
      </c>
      <c r="E53" s="12" t="s">
        <v>701</v>
      </c>
      <c r="F53" s="82">
        <v>16</v>
      </c>
      <c r="G53" s="82">
        <v>64</v>
      </c>
      <c r="H53" s="61">
        <v>70</v>
      </c>
      <c r="I53" s="28">
        <v>16</v>
      </c>
      <c r="J53" s="82" t="s">
        <v>676</v>
      </c>
      <c r="K53" s="4" t="s">
        <v>674</v>
      </c>
      <c r="L53" s="12">
        <v>2.6</v>
      </c>
      <c r="M53" s="33"/>
      <c r="N53" s="33"/>
      <c r="O53" s="33"/>
      <c r="P53" s="33"/>
      <c r="Q53" s="33"/>
      <c r="R53" s="33"/>
      <c r="S53" s="33"/>
      <c r="T53" s="33"/>
      <c r="U53" s="33"/>
      <c r="V53" s="33"/>
      <c r="W53" s="33"/>
      <c r="X53" s="33"/>
      <c r="Y53" s="33"/>
      <c r="Z53" s="33"/>
      <c r="AA53" s="33"/>
      <c r="AB53" s="33"/>
      <c r="AC53" s="33"/>
      <c r="AD53" s="33"/>
      <c r="AE53" s="33"/>
      <c r="AF53" s="33"/>
      <c r="AG53" s="82">
        <f t="shared" ref="AG53:AG77" si="2">2*H53</f>
        <v>140</v>
      </c>
      <c r="AH53" s="82" t="s">
        <v>676</v>
      </c>
      <c r="AI53" s="4" t="s">
        <v>674</v>
      </c>
      <c r="AJ53" s="12" t="s">
        <v>670</v>
      </c>
      <c r="AK53" s="33"/>
      <c r="AL53" s="33"/>
      <c r="AM53" s="33"/>
      <c r="AN53" s="33"/>
      <c r="AO53" s="33"/>
      <c r="AP53" s="33"/>
      <c r="AQ53" s="33"/>
      <c r="AR53" s="33"/>
      <c r="AS53" s="33"/>
      <c r="AT53" s="33"/>
      <c r="AU53" s="33"/>
      <c r="AV53" s="33"/>
      <c r="AW53" s="33"/>
      <c r="AX53" s="33"/>
      <c r="AY53" s="33"/>
      <c r="AZ53" s="33"/>
      <c r="BA53" s="33"/>
      <c r="BB53" s="33"/>
      <c r="BC53" s="33"/>
      <c r="BD53" s="33"/>
      <c r="BE53" s="82">
        <v>2</v>
      </c>
      <c r="BF53" s="82" t="s">
        <v>381</v>
      </c>
      <c r="BG53" s="82"/>
      <c r="BH53" s="82"/>
      <c r="BI53" s="82">
        <v>2</v>
      </c>
      <c r="BJ53" s="82"/>
      <c r="BK53" s="82" t="s">
        <v>381</v>
      </c>
      <c r="BL53" s="82" t="s">
        <v>381</v>
      </c>
      <c r="BM53" s="82"/>
      <c r="BN53" s="82"/>
      <c r="BO53" s="82"/>
      <c r="BP53" s="82"/>
      <c r="BQ53" s="33"/>
      <c r="BR53" s="33"/>
    </row>
    <row r="54" spans="1:72">
      <c r="A54" s="33" t="s">
        <v>481</v>
      </c>
      <c r="B54" s="33"/>
      <c r="C54" s="19" t="s">
        <v>434</v>
      </c>
      <c r="D54" s="4" t="s">
        <v>89</v>
      </c>
      <c r="E54" s="12" t="s">
        <v>691</v>
      </c>
      <c r="F54" s="82">
        <v>4</v>
      </c>
      <c r="G54" s="82">
        <v>4</v>
      </c>
      <c r="H54" s="59">
        <v>100</v>
      </c>
      <c r="I54" s="28">
        <v>0</v>
      </c>
      <c r="J54" s="12" t="s">
        <v>673</v>
      </c>
      <c r="K54" s="4" t="s">
        <v>674</v>
      </c>
      <c r="L54" s="12">
        <v>100</v>
      </c>
      <c r="M54" s="33"/>
      <c r="N54" s="33"/>
      <c r="O54" s="33"/>
      <c r="P54" s="33"/>
      <c r="Q54" s="33"/>
      <c r="R54" s="33"/>
      <c r="S54" s="33"/>
      <c r="T54" s="33"/>
      <c r="U54" s="33"/>
      <c r="V54" s="33"/>
      <c r="W54" s="33"/>
      <c r="X54" s="33"/>
      <c r="Y54" s="33"/>
      <c r="Z54" s="33"/>
      <c r="AA54" s="33"/>
      <c r="AB54" s="33"/>
      <c r="AC54" s="33"/>
      <c r="AD54" s="33"/>
      <c r="AE54" s="33"/>
      <c r="AF54" s="33"/>
      <c r="AG54" s="82">
        <f t="shared" si="2"/>
        <v>200</v>
      </c>
      <c r="AH54" s="82" t="s">
        <v>676</v>
      </c>
      <c r="AI54" s="4" t="s">
        <v>674</v>
      </c>
      <c r="AJ54" s="12" t="s">
        <v>670</v>
      </c>
      <c r="AK54" s="33"/>
      <c r="AL54" s="33"/>
      <c r="AM54" s="33"/>
      <c r="AN54" s="33"/>
      <c r="AO54" s="33"/>
      <c r="AP54" s="33"/>
      <c r="AQ54" s="33"/>
      <c r="AR54" s="33"/>
      <c r="AS54" s="33"/>
      <c r="AT54" s="33"/>
      <c r="AU54" s="33"/>
      <c r="AV54" s="33"/>
      <c r="AW54" s="33"/>
      <c r="AX54" s="33"/>
      <c r="AY54" s="33"/>
      <c r="AZ54" s="33"/>
      <c r="BA54" s="33"/>
      <c r="BB54" s="33"/>
      <c r="BC54" s="33"/>
      <c r="BD54" s="33"/>
      <c r="BE54" s="82">
        <v>4</v>
      </c>
      <c r="BF54" s="82" t="s">
        <v>381</v>
      </c>
      <c r="BG54" s="82"/>
      <c r="BH54" s="82"/>
      <c r="BI54" s="82">
        <v>2</v>
      </c>
      <c r="BJ54" s="82"/>
      <c r="BK54" s="82" t="s">
        <v>381</v>
      </c>
      <c r="BL54" s="82" t="s">
        <v>381</v>
      </c>
      <c r="BM54" s="82"/>
      <c r="BN54" s="82"/>
      <c r="BO54" s="82"/>
      <c r="BP54" s="82"/>
      <c r="BQ54" s="33"/>
      <c r="BR54" s="33"/>
    </row>
    <row r="55" spans="1:72">
      <c r="A55" s="33" t="s">
        <v>437</v>
      </c>
      <c r="B55" s="33"/>
      <c r="C55" s="19" t="s">
        <v>434</v>
      </c>
      <c r="D55" s="4" t="s">
        <v>97</v>
      </c>
      <c r="E55" s="12" t="s">
        <v>692</v>
      </c>
      <c r="F55" s="82">
        <v>4</v>
      </c>
      <c r="G55" s="82">
        <v>16</v>
      </c>
      <c r="H55" s="59">
        <v>100</v>
      </c>
      <c r="I55" s="28">
        <v>0</v>
      </c>
      <c r="J55" s="12" t="s">
        <v>673</v>
      </c>
      <c r="K55" s="4" t="s">
        <v>674</v>
      </c>
      <c r="L55" s="12">
        <v>110</v>
      </c>
      <c r="M55" s="33"/>
      <c r="N55" s="33"/>
      <c r="O55" s="33"/>
      <c r="P55" s="33"/>
      <c r="Q55" s="33"/>
      <c r="R55" s="33"/>
      <c r="S55" s="33"/>
      <c r="T55" s="33"/>
      <c r="U55" s="33"/>
      <c r="V55" s="33"/>
      <c r="W55" s="33"/>
      <c r="X55" s="33"/>
      <c r="Y55" s="33"/>
      <c r="Z55" s="33"/>
      <c r="AA55" s="33"/>
      <c r="AB55" s="33"/>
      <c r="AC55" s="33"/>
      <c r="AD55" s="33"/>
      <c r="AE55" s="33"/>
      <c r="AF55" s="33"/>
      <c r="AG55" s="82">
        <f t="shared" si="2"/>
        <v>200</v>
      </c>
      <c r="AH55" s="82" t="s">
        <v>676</v>
      </c>
      <c r="AI55" s="4" t="s">
        <v>674</v>
      </c>
      <c r="AJ55" s="12" t="s">
        <v>670</v>
      </c>
      <c r="AK55" s="33"/>
      <c r="AL55" s="33"/>
      <c r="AM55" s="33"/>
      <c r="AN55" s="33"/>
      <c r="AO55" s="33"/>
      <c r="AP55" s="33"/>
      <c r="AQ55" s="33"/>
      <c r="AR55" s="33"/>
      <c r="AS55" s="33"/>
      <c r="AT55" s="33"/>
      <c r="AU55" s="33"/>
      <c r="AV55" s="33"/>
      <c r="AW55" s="33"/>
      <c r="AX55" s="33"/>
      <c r="AY55" s="33"/>
      <c r="AZ55" s="33"/>
      <c r="BA55" s="33"/>
      <c r="BB55" s="33"/>
      <c r="BC55" s="33"/>
      <c r="BD55" s="33"/>
      <c r="BE55" s="82">
        <v>4</v>
      </c>
      <c r="BF55" s="82" t="s">
        <v>381</v>
      </c>
      <c r="BG55" s="82"/>
      <c r="BH55" s="82"/>
      <c r="BI55" s="82">
        <v>2</v>
      </c>
      <c r="BJ55" s="82"/>
      <c r="BK55" s="82" t="s">
        <v>381</v>
      </c>
      <c r="BL55" s="82" t="s">
        <v>381</v>
      </c>
      <c r="BM55" s="82"/>
      <c r="BN55" s="82"/>
      <c r="BO55" s="82"/>
      <c r="BP55" s="82"/>
      <c r="BQ55" s="33"/>
      <c r="BR55" s="33"/>
    </row>
    <row r="56" spans="1:72">
      <c r="A56" s="33" t="s">
        <v>482</v>
      </c>
      <c r="B56" s="33"/>
      <c r="C56" s="19" t="s">
        <v>434</v>
      </c>
      <c r="D56" s="4" t="s">
        <v>97</v>
      </c>
      <c r="E56" s="12" t="s">
        <v>692</v>
      </c>
      <c r="F56" s="82">
        <v>4</v>
      </c>
      <c r="G56" s="82">
        <v>16</v>
      </c>
      <c r="H56" s="59">
        <v>100</v>
      </c>
      <c r="I56" s="28">
        <v>0</v>
      </c>
      <c r="J56" s="12" t="s">
        <v>673</v>
      </c>
      <c r="K56" s="4" t="s">
        <v>674</v>
      </c>
      <c r="L56" s="12">
        <v>110</v>
      </c>
      <c r="M56" s="33"/>
      <c r="N56" s="33"/>
      <c r="O56" s="33"/>
      <c r="P56" s="33"/>
      <c r="Q56" s="33"/>
      <c r="R56" s="33"/>
      <c r="S56" s="33"/>
      <c r="T56" s="33"/>
      <c r="U56" s="33"/>
      <c r="V56" s="33"/>
      <c r="W56" s="33"/>
      <c r="X56" s="33"/>
      <c r="Y56" s="33"/>
      <c r="Z56" s="33"/>
      <c r="AA56" s="33"/>
      <c r="AB56" s="33"/>
      <c r="AC56" s="33"/>
      <c r="AD56" s="33"/>
      <c r="AE56" s="33"/>
      <c r="AF56" s="33"/>
      <c r="AG56" s="82">
        <f t="shared" si="2"/>
        <v>200</v>
      </c>
      <c r="AH56" s="82" t="s">
        <v>676</v>
      </c>
      <c r="AI56" s="4" t="s">
        <v>674</v>
      </c>
      <c r="AJ56" s="12" t="s">
        <v>670</v>
      </c>
      <c r="AK56" s="33"/>
      <c r="AL56" s="33"/>
      <c r="AM56" s="33"/>
      <c r="AN56" s="33"/>
      <c r="AO56" s="33"/>
      <c r="AP56" s="33"/>
      <c r="AQ56" s="33"/>
      <c r="AR56" s="33"/>
      <c r="AS56" s="33"/>
      <c r="AT56" s="33"/>
      <c r="AU56" s="33"/>
      <c r="AV56" s="33"/>
      <c r="AW56" s="33"/>
      <c r="AX56" s="33"/>
      <c r="AY56" s="33"/>
      <c r="AZ56" s="33"/>
      <c r="BA56" s="33"/>
      <c r="BB56" s="33"/>
      <c r="BC56" s="33"/>
      <c r="BD56" s="33"/>
      <c r="BE56" s="82">
        <v>4</v>
      </c>
      <c r="BF56" s="82" t="s">
        <v>381</v>
      </c>
      <c r="BG56" s="82"/>
      <c r="BH56" s="82"/>
      <c r="BI56" s="82">
        <v>2</v>
      </c>
      <c r="BJ56" s="82"/>
      <c r="BK56" s="82" t="s">
        <v>381</v>
      </c>
      <c r="BL56" s="82" t="s">
        <v>381</v>
      </c>
      <c r="BM56" s="82"/>
      <c r="BN56" s="82"/>
      <c r="BO56" s="82"/>
      <c r="BP56" s="82"/>
      <c r="BQ56" s="33"/>
      <c r="BR56" s="33"/>
    </row>
    <row r="57" spans="1:72">
      <c r="A57" s="33" t="s">
        <v>568</v>
      </c>
      <c r="B57" s="33"/>
      <c r="C57" s="19" t="s">
        <v>434</v>
      </c>
      <c r="D57" s="4" t="s">
        <v>97</v>
      </c>
      <c r="E57" s="12" t="s">
        <v>692</v>
      </c>
      <c r="F57" s="82">
        <v>4</v>
      </c>
      <c r="G57" s="82">
        <v>16</v>
      </c>
      <c r="H57" s="59">
        <v>100</v>
      </c>
      <c r="I57" s="28">
        <v>0</v>
      </c>
      <c r="J57" s="12" t="s">
        <v>673</v>
      </c>
      <c r="K57" s="4" t="s">
        <v>674</v>
      </c>
      <c r="L57" s="12">
        <v>110</v>
      </c>
      <c r="M57" s="33"/>
      <c r="N57" s="33"/>
      <c r="O57" s="33"/>
      <c r="P57" s="33"/>
      <c r="Q57" s="33"/>
      <c r="R57" s="33"/>
      <c r="S57" s="33"/>
      <c r="T57" s="33"/>
      <c r="U57" s="33"/>
      <c r="V57" s="33"/>
      <c r="W57" s="33"/>
      <c r="X57" s="33"/>
      <c r="Y57" s="33"/>
      <c r="Z57" s="33"/>
      <c r="AA57" s="33"/>
      <c r="AB57" s="33"/>
      <c r="AC57" s="33"/>
      <c r="AD57" s="33"/>
      <c r="AE57" s="33"/>
      <c r="AF57" s="33"/>
      <c r="AG57" s="82">
        <f t="shared" si="2"/>
        <v>200</v>
      </c>
      <c r="AH57" s="82" t="s">
        <v>676</v>
      </c>
      <c r="AI57" s="4" t="s">
        <v>674</v>
      </c>
      <c r="AJ57" s="12" t="s">
        <v>670</v>
      </c>
      <c r="AK57" s="33"/>
      <c r="AL57" s="33"/>
      <c r="AM57" s="33"/>
      <c r="AN57" s="33"/>
      <c r="AO57" s="33"/>
      <c r="AP57" s="33"/>
      <c r="AQ57" s="33"/>
      <c r="AR57" s="33"/>
      <c r="AS57" s="33"/>
      <c r="AT57" s="33"/>
      <c r="AU57" s="33"/>
      <c r="AV57" s="33"/>
      <c r="AW57" s="33"/>
      <c r="AX57" s="33"/>
      <c r="AY57" s="33"/>
      <c r="AZ57" s="33"/>
      <c r="BA57" s="33"/>
      <c r="BB57" s="33"/>
      <c r="BC57" s="33"/>
      <c r="BD57" s="33"/>
      <c r="BE57" s="82">
        <v>4</v>
      </c>
      <c r="BF57" s="82" t="s">
        <v>381</v>
      </c>
      <c r="BG57" s="82"/>
      <c r="BH57" s="82"/>
      <c r="BI57" s="82">
        <v>2</v>
      </c>
      <c r="BJ57" s="82"/>
      <c r="BK57" s="82" t="s">
        <v>381</v>
      </c>
      <c r="BL57" s="82" t="s">
        <v>381</v>
      </c>
      <c r="BM57" s="82"/>
      <c r="BN57" s="82"/>
      <c r="BO57" s="82"/>
      <c r="BP57" s="82"/>
      <c r="BQ57" s="33"/>
      <c r="BR57" s="33"/>
    </row>
    <row r="58" spans="1:72">
      <c r="A58" s="33" t="s">
        <v>569</v>
      </c>
      <c r="B58" s="33"/>
      <c r="C58" s="19" t="s">
        <v>434</v>
      </c>
      <c r="D58" s="4" t="s">
        <v>97</v>
      </c>
      <c r="E58" s="12" t="s">
        <v>692</v>
      </c>
      <c r="F58" s="82">
        <v>4</v>
      </c>
      <c r="G58" s="82">
        <v>16</v>
      </c>
      <c r="H58" s="59">
        <v>100</v>
      </c>
      <c r="I58" s="28">
        <v>0</v>
      </c>
      <c r="J58" s="12" t="s">
        <v>673</v>
      </c>
      <c r="K58" s="4" t="s">
        <v>674</v>
      </c>
      <c r="L58" s="12">
        <v>110</v>
      </c>
      <c r="M58" s="33"/>
      <c r="N58" s="33"/>
      <c r="O58" s="33"/>
      <c r="P58" s="33"/>
      <c r="Q58" s="33"/>
      <c r="R58" s="33"/>
      <c r="S58" s="33"/>
      <c r="T58" s="33"/>
      <c r="U58" s="33"/>
      <c r="V58" s="33"/>
      <c r="W58" s="33"/>
      <c r="X58" s="33"/>
      <c r="Y58" s="33"/>
      <c r="Z58" s="33"/>
      <c r="AA58" s="33"/>
      <c r="AB58" s="33"/>
      <c r="AC58" s="33"/>
      <c r="AD58" s="33"/>
      <c r="AE58" s="33"/>
      <c r="AF58" s="33"/>
      <c r="AG58" s="82">
        <f t="shared" si="2"/>
        <v>200</v>
      </c>
      <c r="AH58" s="82" t="s">
        <v>676</v>
      </c>
      <c r="AI58" s="4" t="s">
        <v>674</v>
      </c>
      <c r="AJ58" s="12" t="s">
        <v>670</v>
      </c>
      <c r="AK58" s="33"/>
      <c r="AL58" s="33"/>
      <c r="AM58" s="33"/>
      <c r="AN58" s="33"/>
      <c r="AO58" s="33"/>
      <c r="AP58" s="33"/>
      <c r="AQ58" s="33"/>
      <c r="AR58" s="33"/>
      <c r="AS58" s="33"/>
      <c r="AT58" s="33"/>
      <c r="AU58" s="33"/>
      <c r="AV58" s="33"/>
      <c r="AW58" s="33"/>
      <c r="AX58" s="33"/>
      <c r="AY58" s="33"/>
      <c r="AZ58" s="33"/>
      <c r="BA58" s="33"/>
      <c r="BB58" s="33"/>
      <c r="BC58" s="33"/>
      <c r="BD58" s="33"/>
      <c r="BE58" s="82">
        <v>4</v>
      </c>
      <c r="BF58" s="82" t="s">
        <v>381</v>
      </c>
      <c r="BG58" s="82"/>
      <c r="BH58" s="82"/>
      <c r="BI58" s="82">
        <v>2</v>
      </c>
      <c r="BJ58" s="82"/>
      <c r="BK58" s="82" t="s">
        <v>381</v>
      </c>
      <c r="BL58" s="82" t="s">
        <v>381</v>
      </c>
      <c r="BM58" s="82"/>
      <c r="BN58" s="82"/>
      <c r="BO58" s="82"/>
      <c r="BP58" s="82"/>
      <c r="BQ58" s="33"/>
      <c r="BR58" s="33"/>
    </row>
    <row r="59" spans="1:72">
      <c r="A59" s="33" t="s">
        <v>592</v>
      </c>
      <c r="B59" s="33"/>
      <c r="C59" s="19" t="s">
        <v>434</v>
      </c>
      <c r="D59" s="4" t="s">
        <v>97</v>
      </c>
      <c r="E59" s="12" t="s">
        <v>692</v>
      </c>
      <c r="F59" s="82">
        <v>4</v>
      </c>
      <c r="G59" s="82">
        <v>16</v>
      </c>
      <c r="H59" s="59">
        <v>100</v>
      </c>
      <c r="I59" s="28">
        <v>0</v>
      </c>
      <c r="J59" s="12" t="s">
        <v>673</v>
      </c>
      <c r="K59" s="4" t="s">
        <v>674</v>
      </c>
      <c r="L59" s="12">
        <v>110</v>
      </c>
      <c r="M59" s="33"/>
      <c r="N59" s="33"/>
      <c r="O59" s="33"/>
      <c r="P59" s="33"/>
      <c r="Q59" s="33"/>
      <c r="R59" s="33"/>
      <c r="S59" s="33"/>
      <c r="T59" s="33"/>
      <c r="U59" s="33"/>
      <c r="V59" s="33"/>
      <c r="W59" s="33"/>
      <c r="X59" s="33"/>
      <c r="Y59" s="33"/>
      <c r="Z59" s="33"/>
      <c r="AA59" s="33"/>
      <c r="AB59" s="33"/>
      <c r="AC59" s="33"/>
      <c r="AD59" s="33"/>
      <c r="AE59" s="33"/>
      <c r="AF59" s="33"/>
      <c r="AG59" s="82">
        <f t="shared" si="2"/>
        <v>200</v>
      </c>
      <c r="AH59" s="82" t="s">
        <v>676</v>
      </c>
      <c r="AI59" s="4" t="s">
        <v>674</v>
      </c>
      <c r="AJ59" s="12" t="s">
        <v>670</v>
      </c>
      <c r="AK59" s="33"/>
      <c r="AL59" s="33"/>
      <c r="AM59" s="33"/>
      <c r="AN59" s="33"/>
      <c r="AO59" s="33"/>
      <c r="AP59" s="33"/>
      <c r="AQ59" s="33"/>
      <c r="AR59" s="33"/>
      <c r="AS59" s="33"/>
      <c r="AT59" s="33"/>
      <c r="AU59" s="33"/>
      <c r="AV59" s="33"/>
      <c r="AW59" s="33"/>
      <c r="AX59" s="33"/>
      <c r="AY59" s="33"/>
      <c r="AZ59" s="33"/>
      <c r="BA59" s="33"/>
      <c r="BB59" s="33"/>
      <c r="BC59" s="33"/>
      <c r="BD59" s="33"/>
      <c r="BE59" s="82">
        <v>4</v>
      </c>
      <c r="BF59" s="82" t="s">
        <v>381</v>
      </c>
      <c r="BG59" s="82"/>
      <c r="BH59" s="82"/>
      <c r="BI59" s="82">
        <v>2</v>
      </c>
      <c r="BJ59" s="82"/>
      <c r="BK59" s="82" t="s">
        <v>381</v>
      </c>
      <c r="BL59" s="82" t="s">
        <v>381</v>
      </c>
      <c r="BM59" s="82"/>
      <c r="BN59" s="82"/>
      <c r="BO59" s="82"/>
      <c r="BP59" s="82"/>
      <c r="BQ59" s="33"/>
      <c r="BR59" s="33"/>
    </row>
    <row r="60" spans="1:72">
      <c r="A60" s="33" t="s">
        <v>593</v>
      </c>
      <c r="B60" s="33"/>
      <c r="C60" s="19" t="s">
        <v>434</v>
      </c>
      <c r="D60" s="4" t="s">
        <v>97</v>
      </c>
      <c r="E60" s="12" t="s">
        <v>692</v>
      </c>
      <c r="F60" s="82">
        <v>4</v>
      </c>
      <c r="G60" s="82">
        <v>16</v>
      </c>
      <c r="H60" s="59">
        <v>100</v>
      </c>
      <c r="I60" s="28">
        <v>0</v>
      </c>
      <c r="J60" s="12" t="s">
        <v>673</v>
      </c>
      <c r="K60" s="4" t="s">
        <v>674</v>
      </c>
      <c r="L60" s="12">
        <v>110</v>
      </c>
      <c r="M60" s="33"/>
      <c r="N60" s="33"/>
      <c r="O60" s="33"/>
      <c r="P60" s="33"/>
      <c r="Q60" s="33"/>
      <c r="R60" s="33"/>
      <c r="S60" s="33"/>
      <c r="T60" s="33"/>
      <c r="U60" s="33"/>
      <c r="V60" s="33"/>
      <c r="W60" s="33"/>
      <c r="X60" s="33"/>
      <c r="Y60" s="33"/>
      <c r="Z60" s="33"/>
      <c r="AA60" s="33"/>
      <c r="AB60" s="33"/>
      <c r="AC60" s="33"/>
      <c r="AD60" s="33"/>
      <c r="AE60" s="33"/>
      <c r="AF60" s="33"/>
      <c r="AG60" s="82">
        <f t="shared" si="2"/>
        <v>200</v>
      </c>
      <c r="AH60" s="82" t="s">
        <v>676</v>
      </c>
      <c r="AI60" s="4" t="s">
        <v>674</v>
      </c>
      <c r="AJ60" s="12" t="s">
        <v>670</v>
      </c>
      <c r="AK60" s="33"/>
      <c r="AL60" s="33"/>
      <c r="AM60" s="33"/>
      <c r="AN60" s="33"/>
      <c r="AO60" s="33"/>
      <c r="AP60" s="33"/>
      <c r="AQ60" s="33"/>
      <c r="AR60" s="33"/>
      <c r="AS60" s="33"/>
      <c r="AT60" s="33"/>
      <c r="AU60" s="33"/>
      <c r="AV60" s="33"/>
      <c r="AW60" s="33"/>
      <c r="AX60" s="33"/>
      <c r="AY60" s="33"/>
      <c r="AZ60" s="33"/>
      <c r="BA60" s="33"/>
      <c r="BB60" s="33"/>
      <c r="BC60" s="33"/>
      <c r="BD60" s="33"/>
      <c r="BE60" s="82">
        <v>4</v>
      </c>
      <c r="BF60" s="82" t="s">
        <v>381</v>
      </c>
      <c r="BG60" s="82"/>
      <c r="BH60" s="82"/>
      <c r="BI60" s="82">
        <v>2</v>
      </c>
      <c r="BJ60" s="82"/>
      <c r="BK60" s="82" t="s">
        <v>381</v>
      </c>
      <c r="BL60" s="82" t="s">
        <v>381</v>
      </c>
      <c r="BM60" s="82"/>
      <c r="BN60" s="82"/>
      <c r="BO60" s="82"/>
      <c r="BP60" s="82"/>
      <c r="BQ60" s="33"/>
      <c r="BR60" s="33"/>
    </row>
    <row r="61" spans="1:72">
      <c r="A61" s="33" t="s">
        <v>594</v>
      </c>
      <c r="B61" s="33"/>
      <c r="C61" s="19" t="s">
        <v>434</v>
      </c>
      <c r="D61" s="4" t="s">
        <v>97</v>
      </c>
      <c r="E61" s="12" t="s">
        <v>692</v>
      </c>
      <c r="F61" s="82">
        <v>4</v>
      </c>
      <c r="G61" s="82">
        <v>16</v>
      </c>
      <c r="H61" s="59">
        <v>100</v>
      </c>
      <c r="I61" s="28">
        <v>0</v>
      </c>
      <c r="J61" s="12" t="s">
        <v>673</v>
      </c>
      <c r="K61" s="4" t="s">
        <v>674</v>
      </c>
      <c r="L61" s="12">
        <v>110</v>
      </c>
      <c r="M61" s="33"/>
      <c r="N61" s="33"/>
      <c r="O61" s="33"/>
      <c r="P61" s="33"/>
      <c r="Q61" s="33"/>
      <c r="R61" s="33"/>
      <c r="S61" s="33"/>
      <c r="T61" s="33"/>
      <c r="U61" s="33"/>
      <c r="V61" s="33"/>
      <c r="W61" s="33"/>
      <c r="X61" s="33"/>
      <c r="Y61" s="33"/>
      <c r="Z61" s="33"/>
      <c r="AA61" s="33"/>
      <c r="AB61" s="33"/>
      <c r="AC61" s="33"/>
      <c r="AD61" s="33"/>
      <c r="AE61" s="33"/>
      <c r="AF61" s="33"/>
      <c r="AG61" s="82">
        <f t="shared" si="2"/>
        <v>200</v>
      </c>
      <c r="AH61" s="82" t="s">
        <v>676</v>
      </c>
      <c r="AI61" s="4" t="s">
        <v>674</v>
      </c>
      <c r="AJ61" s="12" t="s">
        <v>670</v>
      </c>
      <c r="AK61" s="33"/>
      <c r="AL61" s="33"/>
      <c r="AM61" s="33"/>
      <c r="AN61" s="33"/>
      <c r="AO61" s="33"/>
      <c r="AP61" s="33"/>
      <c r="AQ61" s="33"/>
      <c r="AR61" s="33"/>
      <c r="AS61" s="33"/>
      <c r="AT61" s="33"/>
      <c r="AU61" s="33"/>
      <c r="AV61" s="33"/>
      <c r="AW61" s="33"/>
      <c r="AX61" s="33"/>
      <c r="AY61" s="33"/>
      <c r="AZ61" s="33"/>
      <c r="BA61" s="33"/>
      <c r="BB61" s="33"/>
      <c r="BC61" s="33"/>
      <c r="BD61" s="33"/>
      <c r="BE61" s="82">
        <v>4</v>
      </c>
      <c r="BF61" s="82" t="s">
        <v>381</v>
      </c>
      <c r="BG61" s="82"/>
      <c r="BH61" s="82"/>
      <c r="BI61" s="82">
        <v>2</v>
      </c>
      <c r="BJ61" s="82"/>
      <c r="BK61" s="82" t="s">
        <v>381</v>
      </c>
      <c r="BL61" s="82" t="s">
        <v>381</v>
      </c>
      <c r="BM61" s="82"/>
      <c r="BN61" s="82"/>
      <c r="BO61" s="82"/>
      <c r="BP61" s="82"/>
      <c r="BQ61" s="33"/>
      <c r="BR61" s="33"/>
    </row>
    <row r="62" spans="1:72">
      <c r="A62" s="33" t="s">
        <v>483</v>
      </c>
      <c r="B62" s="33"/>
      <c r="C62" s="19" t="s">
        <v>434</v>
      </c>
      <c r="D62" s="4" t="s">
        <v>93</v>
      </c>
      <c r="E62" s="12" t="s">
        <v>693</v>
      </c>
      <c r="F62" s="82">
        <v>4</v>
      </c>
      <c r="G62" s="82">
        <v>14</v>
      </c>
      <c r="H62" s="59">
        <v>120</v>
      </c>
      <c r="I62" s="28">
        <v>0</v>
      </c>
      <c r="J62" s="82" t="s">
        <v>673</v>
      </c>
      <c r="K62" s="4" t="s">
        <v>674</v>
      </c>
      <c r="L62" s="12">
        <v>100</v>
      </c>
      <c r="M62" s="33"/>
      <c r="N62" s="33"/>
      <c r="O62" s="33"/>
      <c r="P62" s="33"/>
      <c r="Q62" s="33"/>
      <c r="R62" s="33"/>
      <c r="S62" s="33"/>
      <c r="T62" s="33"/>
      <c r="U62" s="33"/>
      <c r="V62" s="33"/>
      <c r="W62" s="33"/>
      <c r="X62" s="33"/>
      <c r="Y62" s="33"/>
      <c r="Z62" s="33"/>
      <c r="AA62" s="33"/>
      <c r="AB62" s="33"/>
      <c r="AC62" s="33"/>
      <c r="AD62" s="33"/>
      <c r="AE62" s="33"/>
      <c r="AF62" s="33"/>
      <c r="AG62" s="82">
        <f t="shared" si="2"/>
        <v>240</v>
      </c>
      <c r="AH62" s="82" t="s">
        <v>676</v>
      </c>
      <c r="AI62" s="4" t="s">
        <v>674</v>
      </c>
      <c r="AJ62" s="12" t="s">
        <v>670</v>
      </c>
      <c r="AK62" s="33"/>
      <c r="AL62" s="33"/>
      <c r="AM62" s="33"/>
      <c r="AN62" s="33"/>
      <c r="AO62" s="33"/>
      <c r="AP62" s="33"/>
      <c r="AQ62" s="33"/>
      <c r="AR62" s="33"/>
      <c r="AS62" s="33"/>
      <c r="AT62" s="33"/>
      <c r="AU62" s="33"/>
      <c r="AV62" s="33"/>
      <c r="AW62" s="33"/>
      <c r="AX62" s="33"/>
      <c r="AY62" s="33"/>
      <c r="AZ62" s="33"/>
      <c r="BA62" s="33"/>
      <c r="BB62" s="33"/>
      <c r="BC62" s="33"/>
      <c r="BD62" s="33"/>
      <c r="BE62" s="82">
        <v>4</v>
      </c>
      <c r="BF62" s="82" t="s">
        <v>381</v>
      </c>
      <c r="BG62" s="82"/>
      <c r="BH62" s="82"/>
      <c r="BI62" s="82">
        <v>2</v>
      </c>
      <c r="BJ62" s="82"/>
      <c r="BK62" s="82" t="s">
        <v>381</v>
      </c>
      <c r="BL62" s="82" t="s">
        <v>381</v>
      </c>
      <c r="BM62" s="82"/>
      <c r="BN62" s="82"/>
      <c r="BO62" s="82"/>
      <c r="BP62" s="82"/>
      <c r="BQ62" s="33"/>
      <c r="BR62" s="33"/>
    </row>
    <row r="63" spans="1:72">
      <c r="A63" s="33" t="s">
        <v>595</v>
      </c>
      <c r="B63" s="33"/>
      <c r="C63" s="19" t="s">
        <v>434</v>
      </c>
      <c r="D63" s="4" t="s">
        <v>97</v>
      </c>
      <c r="E63" s="12" t="s">
        <v>692</v>
      </c>
      <c r="F63" s="82">
        <v>4</v>
      </c>
      <c r="G63" s="82">
        <v>16</v>
      </c>
      <c r="H63" s="59">
        <v>100</v>
      </c>
      <c r="I63" s="28">
        <v>0</v>
      </c>
      <c r="J63" s="12" t="s">
        <v>673</v>
      </c>
      <c r="K63" s="4" t="s">
        <v>674</v>
      </c>
      <c r="L63" s="12">
        <v>110</v>
      </c>
      <c r="M63" s="33"/>
      <c r="N63" s="33"/>
      <c r="O63" s="33"/>
      <c r="P63" s="33"/>
      <c r="Q63" s="33"/>
      <c r="R63" s="33"/>
      <c r="S63" s="33"/>
      <c r="T63" s="33"/>
      <c r="U63" s="33"/>
      <c r="V63" s="33"/>
      <c r="W63" s="33"/>
      <c r="X63" s="33"/>
      <c r="Y63" s="33"/>
      <c r="Z63" s="33"/>
      <c r="AA63" s="33"/>
      <c r="AB63" s="33"/>
      <c r="AC63" s="33"/>
      <c r="AD63" s="33"/>
      <c r="AE63" s="33"/>
      <c r="AF63" s="33"/>
      <c r="AG63" s="82">
        <f t="shared" si="2"/>
        <v>200</v>
      </c>
      <c r="AH63" s="82" t="s">
        <v>676</v>
      </c>
      <c r="AI63" s="4" t="s">
        <v>674</v>
      </c>
      <c r="AJ63" s="12" t="s">
        <v>670</v>
      </c>
      <c r="AK63" s="33"/>
      <c r="AL63" s="33"/>
      <c r="AM63" s="33"/>
      <c r="AN63" s="33"/>
      <c r="AO63" s="33"/>
      <c r="AP63" s="33"/>
      <c r="AQ63" s="33"/>
      <c r="AR63" s="33"/>
      <c r="AS63" s="33"/>
      <c r="AT63" s="33"/>
      <c r="AU63" s="33"/>
      <c r="AV63" s="33"/>
      <c r="AW63" s="33"/>
      <c r="AX63" s="33"/>
      <c r="AY63" s="33"/>
      <c r="AZ63" s="33"/>
      <c r="BA63" s="33"/>
      <c r="BB63" s="33"/>
      <c r="BC63" s="33"/>
      <c r="BD63" s="33"/>
      <c r="BE63" s="82">
        <v>4</v>
      </c>
      <c r="BF63" s="82" t="s">
        <v>381</v>
      </c>
      <c r="BG63" s="82"/>
      <c r="BH63" s="82"/>
      <c r="BI63" s="82">
        <v>2</v>
      </c>
      <c r="BJ63" s="82"/>
      <c r="BK63" s="82" t="s">
        <v>381</v>
      </c>
      <c r="BL63" s="82" t="s">
        <v>381</v>
      </c>
      <c r="BM63" s="82"/>
      <c r="BN63" s="82"/>
      <c r="BO63" s="82"/>
      <c r="BP63" s="82"/>
      <c r="BQ63" s="33"/>
      <c r="BR63" s="33"/>
    </row>
    <row r="64" spans="1:72">
      <c r="A64" s="33" t="s">
        <v>438</v>
      </c>
      <c r="B64" s="33"/>
      <c r="C64" s="4" t="s">
        <v>378</v>
      </c>
      <c r="D64" s="33" t="s">
        <v>32</v>
      </c>
      <c r="E64" s="12" t="s">
        <v>702</v>
      </c>
      <c r="F64" s="82">
        <v>6</v>
      </c>
      <c r="G64" s="82">
        <v>20</v>
      </c>
      <c r="H64" s="61">
        <v>200</v>
      </c>
      <c r="I64" s="28">
        <v>16</v>
      </c>
      <c r="J64" s="82" t="s">
        <v>676</v>
      </c>
      <c r="K64" s="4" t="s">
        <v>674</v>
      </c>
      <c r="L64" s="12">
        <v>2.6</v>
      </c>
      <c r="M64" s="33"/>
      <c r="N64" s="33"/>
      <c r="O64" s="33"/>
      <c r="P64" s="33"/>
      <c r="Q64" s="33"/>
      <c r="R64" s="33"/>
      <c r="S64" s="33"/>
      <c r="T64" s="33"/>
      <c r="U64" s="33"/>
      <c r="V64" s="33"/>
      <c r="W64" s="33"/>
      <c r="X64" s="33"/>
      <c r="Y64" s="33"/>
      <c r="Z64" s="33"/>
      <c r="AA64" s="33"/>
      <c r="AB64" s="33"/>
      <c r="AC64" s="33"/>
      <c r="AD64" s="33"/>
      <c r="AE64" s="33"/>
      <c r="AF64" s="33"/>
      <c r="AG64" s="82">
        <f t="shared" si="2"/>
        <v>400</v>
      </c>
      <c r="AH64" s="82" t="s">
        <v>676</v>
      </c>
      <c r="AI64" s="4" t="s">
        <v>674</v>
      </c>
      <c r="AJ64" s="12" t="s">
        <v>670</v>
      </c>
      <c r="AK64" s="33"/>
      <c r="AL64" s="33"/>
      <c r="AM64" s="33"/>
      <c r="AN64" s="33"/>
      <c r="AO64" s="33"/>
      <c r="AP64" s="33"/>
      <c r="AQ64" s="33"/>
      <c r="AR64" s="33"/>
      <c r="AS64" s="33"/>
      <c r="AT64" s="33"/>
      <c r="AU64" s="33"/>
      <c r="AV64" s="33"/>
      <c r="AW64" s="33"/>
      <c r="AX64" s="33"/>
      <c r="AY64" s="33"/>
      <c r="AZ64" s="33"/>
      <c r="BA64" s="33"/>
      <c r="BB64" s="33"/>
      <c r="BC64" s="33"/>
      <c r="BD64" s="33"/>
      <c r="BE64" s="82">
        <v>2</v>
      </c>
      <c r="BF64" s="82" t="s">
        <v>381</v>
      </c>
      <c r="BG64" s="82"/>
      <c r="BH64" s="82"/>
      <c r="BI64" s="82">
        <v>2</v>
      </c>
      <c r="BJ64" s="82"/>
      <c r="BK64" s="82" t="s">
        <v>381</v>
      </c>
      <c r="BL64" s="82" t="s">
        <v>381</v>
      </c>
      <c r="BM64" s="82"/>
      <c r="BN64" s="82"/>
      <c r="BO64" s="82"/>
      <c r="BP64" s="82"/>
      <c r="BQ64" s="33"/>
      <c r="BR64" s="33"/>
    </row>
    <row r="65" spans="1:70">
      <c r="A65" s="33" t="s">
        <v>439</v>
      </c>
      <c r="B65" s="33"/>
      <c r="C65" s="4" t="s">
        <v>378</v>
      </c>
      <c r="D65" s="33" t="s">
        <v>32</v>
      </c>
      <c r="E65" s="12" t="s">
        <v>702</v>
      </c>
      <c r="F65" s="82">
        <v>6</v>
      </c>
      <c r="G65" s="82">
        <v>20</v>
      </c>
      <c r="H65" s="61">
        <v>200</v>
      </c>
      <c r="I65" s="28">
        <v>16</v>
      </c>
      <c r="J65" s="82" t="s">
        <v>676</v>
      </c>
      <c r="K65" s="4" t="s">
        <v>674</v>
      </c>
      <c r="L65" s="12">
        <v>2.6</v>
      </c>
      <c r="M65" s="33"/>
      <c r="N65" s="33"/>
      <c r="O65" s="33"/>
      <c r="P65" s="33"/>
      <c r="Q65" s="33"/>
      <c r="R65" s="33"/>
      <c r="S65" s="33"/>
      <c r="T65" s="33"/>
      <c r="U65" s="33"/>
      <c r="V65" s="33"/>
      <c r="W65" s="33"/>
      <c r="X65" s="33"/>
      <c r="Y65" s="33"/>
      <c r="Z65" s="33"/>
      <c r="AA65" s="33"/>
      <c r="AB65" s="33"/>
      <c r="AC65" s="33"/>
      <c r="AD65" s="33"/>
      <c r="AE65" s="33"/>
      <c r="AF65" s="33"/>
      <c r="AG65" s="82">
        <f t="shared" si="2"/>
        <v>400</v>
      </c>
      <c r="AH65" s="82" t="s">
        <v>676</v>
      </c>
      <c r="AI65" s="4" t="s">
        <v>674</v>
      </c>
      <c r="AJ65" s="12" t="s">
        <v>670</v>
      </c>
      <c r="AK65" s="33"/>
      <c r="AL65" s="33"/>
      <c r="AM65" s="33"/>
      <c r="AN65" s="33"/>
      <c r="AO65" s="33"/>
      <c r="AP65" s="33"/>
      <c r="AQ65" s="33"/>
      <c r="AR65" s="33"/>
      <c r="AS65" s="33"/>
      <c r="AT65" s="33"/>
      <c r="AU65" s="33"/>
      <c r="AV65" s="33"/>
      <c r="AW65" s="33"/>
      <c r="AX65" s="33"/>
      <c r="AY65" s="33"/>
      <c r="AZ65" s="33"/>
      <c r="BA65" s="33"/>
      <c r="BB65" s="33"/>
      <c r="BC65" s="33"/>
      <c r="BD65" s="33"/>
      <c r="BE65" s="82">
        <v>2</v>
      </c>
      <c r="BF65" s="82" t="s">
        <v>381</v>
      </c>
      <c r="BG65" s="82"/>
      <c r="BH65" s="82"/>
      <c r="BI65" s="82">
        <v>2</v>
      </c>
      <c r="BJ65" s="82"/>
      <c r="BK65" s="82" t="s">
        <v>381</v>
      </c>
      <c r="BL65" s="82" t="s">
        <v>381</v>
      </c>
      <c r="BM65" s="82"/>
      <c r="BN65" s="82"/>
      <c r="BO65" s="82"/>
      <c r="BP65" s="82"/>
      <c r="BQ65" s="33"/>
      <c r="BR65" s="33"/>
    </row>
    <row r="66" spans="1:70">
      <c r="A66" s="33" t="s">
        <v>570</v>
      </c>
      <c r="B66" s="33"/>
      <c r="C66" s="4" t="s">
        <v>378</v>
      </c>
      <c r="D66" s="33" t="s">
        <v>32</v>
      </c>
      <c r="E66" s="12" t="s">
        <v>702</v>
      </c>
      <c r="F66" s="82">
        <v>6</v>
      </c>
      <c r="G66" s="82">
        <v>20</v>
      </c>
      <c r="H66" s="61">
        <v>200</v>
      </c>
      <c r="I66" s="28">
        <v>16</v>
      </c>
      <c r="J66" s="82" t="s">
        <v>676</v>
      </c>
      <c r="K66" s="4" t="s">
        <v>674</v>
      </c>
      <c r="L66" s="12">
        <v>2.6</v>
      </c>
      <c r="M66" s="33"/>
      <c r="N66" s="33"/>
      <c r="O66" s="33"/>
      <c r="P66" s="33"/>
      <c r="Q66" s="33"/>
      <c r="R66" s="33"/>
      <c r="S66" s="33"/>
      <c r="T66" s="33"/>
      <c r="U66" s="33"/>
      <c r="V66" s="33"/>
      <c r="W66" s="33"/>
      <c r="X66" s="33"/>
      <c r="Y66" s="33"/>
      <c r="Z66" s="33"/>
      <c r="AA66" s="33"/>
      <c r="AB66" s="33"/>
      <c r="AC66" s="33"/>
      <c r="AD66" s="33"/>
      <c r="AE66" s="33"/>
      <c r="AF66" s="33"/>
      <c r="AG66" s="82">
        <f t="shared" si="2"/>
        <v>400</v>
      </c>
      <c r="AH66" s="82" t="s">
        <v>676</v>
      </c>
      <c r="AI66" s="4" t="s">
        <v>674</v>
      </c>
      <c r="AJ66" s="12" t="s">
        <v>670</v>
      </c>
      <c r="AK66" s="33"/>
      <c r="AL66" s="33"/>
      <c r="AM66" s="33"/>
      <c r="AN66" s="33"/>
      <c r="AO66" s="33"/>
      <c r="AP66" s="33"/>
      <c r="AQ66" s="33"/>
      <c r="AR66" s="33"/>
      <c r="AS66" s="33"/>
      <c r="AT66" s="33"/>
      <c r="AU66" s="33"/>
      <c r="AV66" s="33"/>
      <c r="AW66" s="33"/>
      <c r="AX66" s="33"/>
      <c r="AY66" s="33"/>
      <c r="AZ66" s="33"/>
      <c r="BA66" s="33"/>
      <c r="BB66" s="33"/>
      <c r="BC66" s="33"/>
      <c r="BD66" s="33"/>
      <c r="BE66" s="82">
        <v>2</v>
      </c>
      <c r="BF66" s="82" t="s">
        <v>381</v>
      </c>
      <c r="BG66" s="82"/>
      <c r="BH66" s="82"/>
      <c r="BI66" s="82">
        <v>2</v>
      </c>
      <c r="BJ66" s="82"/>
      <c r="BK66" s="82" t="s">
        <v>381</v>
      </c>
      <c r="BL66" s="82" t="s">
        <v>381</v>
      </c>
      <c r="BM66" s="82"/>
      <c r="BN66" s="82"/>
      <c r="BO66" s="82"/>
      <c r="BP66" s="82"/>
      <c r="BQ66" s="33"/>
      <c r="BR66" s="33"/>
    </row>
    <row r="67" spans="1:70">
      <c r="A67" s="33" t="s">
        <v>571</v>
      </c>
      <c r="B67" s="33"/>
      <c r="C67" s="4" t="s">
        <v>378</v>
      </c>
      <c r="D67" s="33" t="s">
        <v>32</v>
      </c>
      <c r="E67" s="12" t="s">
        <v>702</v>
      </c>
      <c r="F67" s="82">
        <v>6</v>
      </c>
      <c r="G67" s="82">
        <v>20</v>
      </c>
      <c r="H67" s="61">
        <v>200</v>
      </c>
      <c r="I67" s="28">
        <v>16</v>
      </c>
      <c r="J67" s="82" t="s">
        <v>676</v>
      </c>
      <c r="K67" s="4" t="s">
        <v>674</v>
      </c>
      <c r="L67" s="12">
        <v>2.6</v>
      </c>
      <c r="M67" s="33"/>
      <c r="N67" s="33"/>
      <c r="O67" s="33"/>
      <c r="P67" s="33"/>
      <c r="Q67" s="33"/>
      <c r="R67" s="33"/>
      <c r="S67" s="33"/>
      <c r="T67" s="33"/>
      <c r="U67" s="33"/>
      <c r="V67" s="33"/>
      <c r="W67" s="33"/>
      <c r="X67" s="33"/>
      <c r="Y67" s="33"/>
      <c r="Z67" s="33"/>
      <c r="AA67" s="33"/>
      <c r="AB67" s="33"/>
      <c r="AC67" s="33"/>
      <c r="AD67" s="33"/>
      <c r="AE67" s="33"/>
      <c r="AF67" s="33"/>
      <c r="AG67" s="82">
        <f t="shared" si="2"/>
        <v>400</v>
      </c>
      <c r="AH67" s="82" t="s">
        <v>676</v>
      </c>
      <c r="AI67" s="4" t="s">
        <v>674</v>
      </c>
      <c r="AJ67" s="12" t="s">
        <v>670</v>
      </c>
      <c r="AK67" s="33"/>
      <c r="AL67" s="33"/>
      <c r="AM67" s="33"/>
      <c r="AN67" s="33"/>
      <c r="AO67" s="33"/>
      <c r="AP67" s="33"/>
      <c r="AQ67" s="33"/>
      <c r="AR67" s="33"/>
      <c r="AS67" s="33"/>
      <c r="AT67" s="33"/>
      <c r="AU67" s="33"/>
      <c r="AV67" s="33"/>
      <c r="AW67" s="33"/>
      <c r="AX67" s="33"/>
      <c r="AY67" s="33"/>
      <c r="AZ67" s="33"/>
      <c r="BA67" s="33"/>
      <c r="BB67" s="33"/>
      <c r="BC67" s="33"/>
      <c r="BD67" s="33"/>
      <c r="BE67" s="82">
        <v>2</v>
      </c>
      <c r="BF67" s="82" t="s">
        <v>381</v>
      </c>
      <c r="BG67" s="82"/>
      <c r="BH67" s="82"/>
      <c r="BI67" s="82">
        <v>2</v>
      </c>
      <c r="BJ67" s="82"/>
      <c r="BK67" s="82" t="s">
        <v>381</v>
      </c>
      <c r="BL67" s="82" t="s">
        <v>381</v>
      </c>
      <c r="BM67" s="82"/>
      <c r="BN67" s="82"/>
      <c r="BO67" s="82"/>
      <c r="BP67" s="82"/>
      <c r="BQ67" s="33"/>
      <c r="BR67" s="33"/>
    </row>
    <row r="68" spans="1:70">
      <c r="A68" s="33" t="s">
        <v>440</v>
      </c>
      <c r="B68" s="33"/>
      <c r="C68" s="4" t="s">
        <v>378</v>
      </c>
      <c r="D68" s="33" t="s">
        <v>48</v>
      </c>
      <c r="E68" s="82" t="s">
        <v>703</v>
      </c>
      <c r="F68" s="82">
        <v>4</v>
      </c>
      <c r="G68" s="82">
        <v>4</v>
      </c>
      <c r="H68" s="59">
        <v>40</v>
      </c>
      <c r="I68" s="28">
        <v>4</v>
      </c>
      <c r="J68" s="82" t="s">
        <v>676</v>
      </c>
      <c r="K68" s="4" t="s">
        <v>674</v>
      </c>
      <c r="L68" s="12">
        <v>2.6</v>
      </c>
      <c r="M68" s="33"/>
      <c r="N68" s="33"/>
      <c r="O68" s="33"/>
      <c r="P68" s="33"/>
      <c r="Q68" s="33"/>
      <c r="R68" s="33"/>
      <c r="S68" s="33"/>
      <c r="T68" s="33"/>
      <c r="U68" s="33"/>
      <c r="V68" s="33"/>
      <c r="W68" s="33"/>
      <c r="X68" s="33"/>
      <c r="Y68" s="33"/>
      <c r="Z68" s="33"/>
      <c r="AA68" s="33"/>
      <c r="AB68" s="33"/>
      <c r="AC68" s="33"/>
      <c r="AD68" s="33"/>
      <c r="AE68" s="33"/>
      <c r="AF68" s="33"/>
      <c r="AG68" s="82">
        <f t="shared" si="2"/>
        <v>80</v>
      </c>
      <c r="AH68" s="82" t="s">
        <v>676</v>
      </c>
      <c r="AI68" s="4" t="s">
        <v>674</v>
      </c>
      <c r="AJ68" s="12" t="s">
        <v>670</v>
      </c>
      <c r="AK68" s="33"/>
      <c r="AL68" s="33"/>
      <c r="AM68" s="33"/>
      <c r="AN68" s="33"/>
      <c r="AO68" s="33"/>
      <c r="AP68" s="33"/>
      <c r="AQ68" s="33"/>
      <c r="AR68" s="33"/>
      <c r="AS68" s="33"/>
      <c r="AT68" s="33"/>
      <c r="AU68" s="33"/>
      <c r="AV68" s="33"/>
      <c r="AW68" s="33"/>
      <c r="AX68" s="33"/>
      <c r="AY68" s="33"/>
      <c r="AZ68" s="33"/>
      <c r="BA68" s="33"/>
      <c r="BB68" s="33"/>
      <c r="BC68" s="33"/>
      <c r="BD68" s="33"/>
      <c r="BE68" s="82">
        <v>2</v>
      </c>
      <c r="BF68" s="82" t="s">
        <v>381</v>
      </c>
      <c r="BG68" s="82"/>
      <c r="BH68" s="82"/>
      <c r="BI68" s="82">
        <v>2</v>
      </c>
      <c r="BJ68" s="82"/>
      <c r="BK68" s="82" t="s">
        <v>381</v>
      </c>
      <c r="BL68" s="82" t="s">
        <v>381</v>
      </c>
      <c r="BM68" s="82"/>
      <c r="BN68" s="82"/>
      <c r="BO68" s="82"/>
      <c r="BP68" s="82"/>
      <c r="BQ68" s="33"/>
      <c r="BR68" s="33"/>
    </row>
    <row r="69" spans="1:70">
      <c r="A69" s="33" t="s">
        <v>441</v>
      </c>
      <c r="B69" s="33"/>
      <c r="C69" s="4" t="s">
        <v>378</v>
      </c>
      <c r="D69" s="33" t="s">
        <v>40</v>
      </c>
      <c r="E69" s="82" t="s">
        <v>703</v>
      </c>
      <c r="F69" s="82">
        <v>4</v>
      </c>
      <c r="G69" s="82">
        <v>4</v>
      </c>
      <c r="H69" s="59">
        <v>30</v>
      </c>
      <c r="I69" s="28">
        <v>4</v>
      </c>
      <c r="J69" s="82" t="s">
        <v>676</v>
      </c>
      <c r="K69" s="4" t="s">
        <v>674</v>
      </c>
      <c r="L69" s="12">
        <v>2.6</v>
      </c>
      <c r="M69" s="33"/>
      <c r="N69" s="33"/>
      <c r="O69" s="33"/>
      <c r="P69" s="33"/>
      <c r="Q69" s="33"/>
      <c r="R69" s="33"/>
      <c r="S69" s="33"/>
      <c r="T69" s="33"/>
      <c r="U69" s="33"/>
      <c r="V69" s="33"/>
      <c r="W69" s="33"/>
      <c r="X69" s="33"/>
      <c r="Y69" s="33"/>
      <c r="Z69" s="33"/>
      <c r="AA69" s="33"/>
      <c r="AB69" s="33"/>
      <c r="AC69" s="33"/>
      <c r="AD69" s="33"/>
      <c r="AE69" s="33"/>
      <c r="AF69" s="33"/>
      <c r="AG69" s="82">
        <f t="shared" si="2"/>
        <v>60</v>
      </c>
      <c r="AH69" s="82" t="s">
        <v>676</v>
      </c>
      <c r="AI69" s="4" t="s">
        <v>674</v>
      </c>
      <c r="AJ69" s="12" t="s">
        <v>670</v>
      </c>
      <c r="AK69" s="33"/>
      <c r="AL69" s="33"/>
      <c r="AM69" s="33"/>
      <c r="AN69" s="33"/>
      <c r="AO69" s="33"/>
      <c r="AP69" s="33"/>
      <c r="AQ69" s="33"/>
      <c r="AR69" s="33"/>
      <c r="AS69" s="33"/>
      <c r="AT69" s="33"/>
      <c r="AU69" s="33"/>
      <c r="AV69" s="33"/>
      <c r="AW69" s="33"/>
      <c r="AX69" s="33"/>
      <c r="AY69" s="33"/>
      <c r="AZ69" s="33"/>
      <c r="BA69" s="33"/>
      <c r="BB69" s="33"/>
      <c r="BC69" s="33"/>
      <c r="BD69" s="33"/>
      <c r="BE69" s="82">
        <v>2</v>
      </c>
      <c r="BF69" s="82" t="s">
        <v>381</v>
      </c>
      <c r="BG69" s="82"/>
      <c r="BH69" s="82"/>
      <c r="BI69" s="82">
        <v>2</v>
      </c>
      <c r="BJ69" s="82"/>
      <c r="BK69" s="82" t="s">
        <v>381</v>
      </c>
      <c r="BL69" s="82" t="s">
        <v>381</v>
      </c>
      <c r="BM69" s="82"/>
      <c r="BN69" s="82"/>
      <c r="BO69" s="82"/>
      <c r="BP69" s="82"/>
      <c r="BQ69" s="33"/>
      <c r="BR69" s="33"/>
    </row>
    <row r="70" spans="1:70">
      <c r="A70" s="33" t="s">
        <v>442</v>
      </c>
      <c r="B70" s="33"/>
      <c r="C70" s="4" t="s">
        <v>378</v>
      </c>
      <c r="D70" s="33" t="s">
        <v>44</v>
      </c>
      <c r="E70" s="82" t="s">
        <v>703</v>
      </c>
      <c r="F70" s="82">
        <v>4</v>
      </c>
      <c r="G70" s="82">
        <v>4</v>
      </c>
      <c r="H70" s="59">
        <v>35</v>
      </c>
      <c r="I70" s="28">
        <v>4</v>
      </c>
      <c r="J70" s="82" t="s">
        <v>676</v>
      </c>
      <c r="K70" s="4" t="s">
        <v>674</v>
      </c>
      <c r="L70" s="12">
        <v>2.6</v>
      </c>
      <c r="M70" s="33"/>
      <c r="N70" s="33"/>
      <c r="O70" s="33"/>
      <c r="P70" s="33"/>
      <c r="Q70" s="33"/>
      <c r="R70" s="33"/>
      <c r="S70" s="33"/>
      <c r="T70" s="33"/>
      <c r="U70" s="33"/>
      <c r="V70" s="33"/>
      <c r="W70" s="33"/>
      <c r="X70" s="33"/>
      <c r="Y70" s="33"/>
      <c r="Z70" s="33"/>
      <c r="AA70" s="33"/>
      <c r="AB70" s="33"/>
      <c r="AC70" s="33"/>
      <c r="AD70" s="33"/>
      <c r="AE70" s="33"/>
      <c r="AF70" s="33"/>
      <c r="AG70" s="82">
        <f t="shared" si="2"/>
        <v>70</v>
      </c>
      <c r="AH70" s="82" t="s">
        <v>676</v>
      </c>
      <c r="AI70" s="4" t="s">
        <v>674</v>
      </c>
      <c r="AJ70" s="12" t="s">
        <v>670</v>
      </c>
      <c r="AK70" s="33"/>
      <c r="AL70" s="33"/>
      <c r="AM70" s="33"/>
      <c r="AN70" s="33"/>
      <c r="AO70" s="33"/>
      <c r="AP70" s="33"/>
      <c r="AQ70" s="33"/>
      <c r="AR70" s="33"/>
      <c r="AS70" s="33"/>
      <c r="AT70" s="33"/>
      <c r="AU70" s="33"/>
      <c r="AV70" s="33"/>
      <c r="AW70" s="33"/>
      <c r="AX70" s="33"/>
      <c r="AY70" s="33"/>
      <c r="AZ70" s="33"/>
      <c r="BA70" s="33"/>
      <c r="BB70" s="33"/>
      <c r="BC70" s="33"/>
      <c r="BD70" s="33"/>
      <c r="BE70" s="82">
        <v>2</v>
      </c>
      <c r="BF70" s="82" t="s">
        <v>381</v>
      </c>
      <c r="BG70" s="82"/>
      <c r="BH70" s="82"/>
      <c r="BI70" s="82">
        <v>2</v>
      </c>
      <c r="BJ70" s="82"/>
      <c r="BK70" s="82" t="s">
        <v>381</v>
      </c>
      <c r="BL70" s="82" t="s">
        <v>381</v>
      </c>
      <c r="BM70" s="82"/>
      <c r="BN70" s="82"/>
      <c r="BO70" s="82"/>
      <c r="BP70" s="82"/>
      <c r="BQ70" s="33"/>
      <c r="BR70" s="33"/>
    </row>
    <row r="71" spans="1:70" ht="14.5">
      <c r="A71" s="33" t="s">
        <v>443</v>
      </c>
      <c r="B71" s="33"/>
      <c r="C71" s="4" t="s">
        <v>378</v>
      </c>
      <c r="D71" s="33" t="s">
        <v>247</v>
      </c>
      <c r="E71" s="82" t="s">
        <v>704</v>
      </c>
      <c r="F71" s="82">
        <v>7</v>
      </c>
      <c r="G71" s="82">
        <v>8</v>
      </c>
      <c r="H71" s="61">
        <v>110</v>
      </c>
      <c r="I71" s="28">
        <v>4</v>
      </c>
      <c r="J71" s="82" t="s">
        <v>676</v>
      </c>
      <c r="K71" s="4" t="s">
        <v>674</v>
      </c>
      <c r="L71" s="12">
        <v>2.6</v>
      </c>
      <c r="M71" s="82"/>
      <c r="N71" s="82"/>
      <c r="O71" s="82"/>
      <c r="P71" s="82"/>
      <c r="Q71" s="42"/>
      <c r="R71" s="42"/>
      <c r="S71" s="42"/>
      <c r="T71" s="42"/>
      <c r="U71" s="82"/>
      <c r="V71" s="82"/>
      <c r="W71" s="82"/>
      <c r="X71" s="82"/>
      <c r="Y71" s="82"/>
      <c r="Z71" s="82"/>
      <c r="AA71" s="82"/>
      <c r="AB71" s="82"/>
      <c r="AC71" s="82"/>
      <c r="AD71" s="82"/>
      <c r="AE71" s="82"/>
      <c r="AF71" s="82"/>
      <c r="AG71" s="82">
        <f t="shared" si="2"/>
        <v>220</v>
      </c>
      <c r="AH71" s="82" t="s">
        <v>676</v>
      </c>
      <c r="AI71" s="4" t="s">
        <v>674</v>
      </c>
      <c r="AJ71" s="12" t="s">
        <v>670</v>
      </c>
      <c r="AK71" s="82"/>
      <c r="AL71" s="82"/>
      <c r="AM71" s="82"/>
      <c r="AN71" s="82"/>
      <c r="AO71" s="82"/>
      <c r="AP71" s="82"/>
      <c r="AQ71" s="82"/>
      <c r="AR71" s="82"/>
      <c r="AS71" s="82"/>
      <c r="AT71" s="82"/>
      <c r="AU71" s="82"/>
      <c r="AV71" s="82"/>
      <c r="AW71" s="82"/>
      <c r="AX71" s="82"/>
      <c r="AY71" s="82"/>
      <c r="AZ71" s="82"/>
      <c r="BA71" s="82"/>
      <c r="BB71" s="82"/>
      <c r="BC71" s="82"/>
      <c r="BD71" s="82"/>
      <c r="BE71" s="82">
        <v>2</v>
      </c>
      <c r="BF71" s="82" t="s">
        <v>381</v>
      </c>
      <c r="BG71" s="82" t="s">
        <v>381</v>
      </c>
      <c r="BH71" s="82"/>
      <c r="BI71" s="82">
        <v>2</v>
      </c>
      <c r="BJ71" s="82"/>
      <c r="BK71" s="82" t="s">
        <v>381</v>
      </c>
      <c r="BL71" s="82" t="s">
        <v>381</v>
      </c>
      <c r="BM71" s="82"/>
      <c r="BN71" s="82"/>
      <c r="BO71" s="82"/>
      <c r="BP71" s="82"/>
      <c r="BQ71" s="33"/>
      <c r="BR71" s="33"/>
    </row>
    <row r="72" spans="1:70" ht="14.5">
      <c r="A72" s="33" t="s">
        <v>596</v>
      </c>
      <c r="B72" s="33"/>
      <c r="C72" s="4" t="s">
        <v>378</v>
      </c>
      <c r="D72" s="33" t="s">
        <v>247</v>
      </c>
      <c r="E72" s="82" t="s">
        <v>704</v>
      </c>
      <c r="F72" s="82">
        <v>6</v>
      </c>
      <c r="G72" s="82">
        <v>7</v>
      </c>
      <c r="H72" s="61">
        <v>110</v>
      </c>
      <c r="I72" s="28">
        <v>4</v>
      </c>
      <c r="J72" s="82" t="s">
        <v>676</v>
      </c>
      <c r="K72" s="4" t="s">
        <v>674</v>
      </c>
      <c r="L72" s="12">
        <v>2.6</v>
      </c>
      <c r="M72" s="82"/>
      <c r="N72" s="82"/>
      <c r="O72" s="82"/>
      <c r="P72" s="82"/>
      <c r="Q72" s="42"/>
      <c r="R72" s="42"/>
      <c r="S72" s="42"/>
      <c r="T72" s="42"/>
      <c r="U72" s="82"/>
      <c r="V72" s="82"/>
      <c r="W72" s="82"/>
      <c r="X72" s="82"/>
      <c r="Y72" s="82"/>
      <c r="Z72" s="82"/>
      <c r="AA72" s="82"/>
      <c r="AB72" s="82"/>
      <c r="AC72" s="82"/>
      <c r="AD72" s="82"/>
      <c r="AE72" s="82"/>
      <c r="AF72" s="82"/>
      <c r="AG72" s="82">
        <f t="shared" si="2"/>
        <v>220</v>
      </c>
      <c r="AH72" s="82" t="s">
        <v>676</v>
      </c>
      <c r="AI72" s="4" t="s">
        <v>674</v>
      </c>
      <c r="AJ72" s="12" t="s">
        <v>670</v>
      </c>
      <c r="AK72" s="82"/>
      <c r="AL72" s="82"/>
      <c r="AM72" s="82"/>
      <c r="AN72" s="82"/>
      <c r="AO72" s="82"/>
      <c r="AP72" s="82"/>
      <c r="AQ72" s="82"/>
      <c r="AR72" s="82"/>
      <c r="AS72" s="82"/>
      <c r="AT72" s="82"/>
      <c r="AU72" s="82"/>
      <c r="AV72" s="82"/>
      <c r="AW72" s="82"/>
      <c r="AX72" s="82"/>
      <c r="AY72" s="82"/>
      <c r="AZ72" s="82"/>
      <c r="BA72" s="82"/>
      <c r="BB72" s="82"/>
      <c r="BC72" s="82"/>
      <c r="BD72" s="82"/>
      <c r="BE72" s="82">
        <v>2</v>
      </c>
      <c r="BF72" s="82" t="s">
        <v>381</v>
      </c>
      <c r="BG72" s="82"/>
      <c r="BH72" s="82"/>
      <c r="BI72" s="82">
        <v>2</v>
      </c>
      <c r="BJ72" s="82"/>
      <c r="BK72" s="82" t="s">
        <v>381</v>
      </c>
      <c r="BL72" s="82" t="s">
        <v>381</v>
      </c>
      <c r="BM72" s="82"/>
      <c r="BN72" s="82"/>
      <c r="BO72" s="82"/>
      <c r="BP72" s="82"/>
      <c r="BQ72" s="33"/>
      <c r="BR72" s="33"/>
    </row>
    <row r="73" spans="1:70" ht="14.5">
      <c r="A73" s="4" t="s">
        <v>484</v>
      </c>
      <c r="C73" s="4" t="s">
        <v>378</v>
      </c>
      <c r="D73" s="4" t="s">
        <v>67</v>
      </c>
      <c r="E73" s="12" t="s">
        <v>705</v>
      </c>
      <c r="F73" s="12">
        <v>2</v>
      </c>
      <c r="G73" s="12">
        <v>2</v>
      </c>
      <c r="H73" s="61">
        <v>15</v>
      </c>
      <c r="I73" s="28">
        <v>4</v>
      </c>
      <c r="J73" s="12" t="s">
        <v>676</v>
      </c>
      <c r="K73" s="4" t="s">
        <v>674</v>
      </c>
      <c r="L73" s="12">
        <v>2.6</v>
      </c>
      <c r="M73" s="12"/>
      <c r="N73" s="12"/>
      <c r="O73" s="12"/>
      <c r="P73" s="12"/>
      <c r="Q73" s="1"/>
      <c r="R73" s="1"/>
      <c r="S73" s="1"/>
      <c r="T73" s="1"/>
      <c r="U73" s="12"/>
      <c r="V73" s="12"/>
      <c r="W73" s="12"/>
      <c r="X73" s="12"/>
      <c r="Y73" s="12"/>
      <c r="Z73" s="12"/>
      <c r="AA73" s="12"/>
      <c r="AB73" s="12"/>
      <c r="AC73" s="12"/>
      <c r="AD73" s="12"/>
      <c r="AE73" s="12"/>
      <c r="AF73" s="12"/>
      <c r="AG73" s="59">
        <f t="shared" si="2"/>
        <v>30</v>
      </c>
      <c r="AH73" s="12" t="s">
        <v>676</v>
      </c>
      <c r="AI73" s="4" t="s">
        <v>674</v>
      </c>
      <c r="AJ73" s="12" t="s">
        <v>670</v>
      </c>
      <c r="BE73" s="12">
        <v>2</v>
      </c>
      <c r="BF73" s="12" t="s">
        <v>381</v>
      </c>
      <c r="BG73" s="12"/>
      <c r="BH73" s="12"/>
      <c r="BI73" s="12">
        <v>2</v>
      </c>
      <c r="BJ73" s="12"/>
      <c r="BK73" s="12" t="s">
        <v>381</v>
      </c>
      <c r="BL73" s="12" t="s">
        <v>381</v>
      </c>
      <c r="BM73" s="12"/>
      <c r="BN73" s="12"/>
      <c r="BO73" s="12"/>
      <c r="BQ73" s="33"/>
      <c r="BR73" s="33"/>
    </row>
    <row r="74" spans="1:70" ht="14.5">
      <c r="A74" s="4" t="s">
        <v>485</v>
      </c>
      <c r="C74" s="4" t="s">
        <v>378</v>
      </c>
      <c r="D74" s="4" t="s">
        <v>67</v>
      </c>
      <c r="E74" s="12" t="s">
        <v>705</v>
      </c>
      <c r="F74" s="12">
        <v>2</v>
      </c>
      <c r="G74" s="12">
        <v>2</v>
      </c>
      <c r="H74" s="61">
        <v>15</v>
      </c>
      <c r="I74" s="28">
        <v>4</v>
      </c>
      <c r="J74" s="12" t="s">
        <v>676</v>
      </c>
      <c r="K74" s="4" t="s">
        <v>674</v>
      </c>
      <c r="L74" s="12">
        <v>2.6</v>
      </c>
      <c r="M74" s="12"/>
      <c r="N74" s="12"/>
      <c r="O74" s="12"/>
      <c r="P74" s="12"/>
      <c r="Q74" s="1"/>
      <c r="R74" s="1"/>
      <c r="S74" s="1"/>
      <c r="T74" s="1"/>
      <c r="U74" s="12"/>
      <c r="V74" s="12"/>
      <c r="W74" s="12"/>
      <c r="X74" s="12"/>
      <c r="Y74" s="12"/>
      <c r="Z74" s="12"/>
      <c r="AA74" s="12"/>
      <c r="AB74" s="12"/>
      <c r="AC74" s="12"/>
      <c r="AD74" s="12"/>
      <c r="AE74" s="12"/>
      <c r="AF74" s="12"/>
      <c r="AG74" s="59">
        <f t="shared" si="2"/>
        <v>30</v>
      </c>
      <c r="AH74" s="12" t="s">
        <v>676</v>
      </c>
      <c r="AI74" s="4" t="s">
        <v>674</v>
      </c>
      <c r="AJ74" s="12" t="s">
        <v>670</v>
      </c>
      <c r="BE74" s="12">
        <v>2</v>
      </c>
      <c r="BF74" s="12" t="s">
        <v>381</v>
      </c>
      <c r="BG74" s="12"/>
      <c r="BH74" s="12"/>
      <c r="BI74" s="12">
        <v>2</v>
      </c>
      <c r="BJ74" s="12"/>
      <c r="BK74" s="12" t="s">
        <v>381</v>
      </c>
      <c r="BL74" s="12" t="s">
        <v>381</v>
      </c>
      <c r="BM74" s="12"/>
      <c r="BN74" s="12"/>
      <c r="BO74" s="12"/>
      <c r="BQ74" s="33"/>
      <c r="BR74" s="33"/>
    </row>
    <row r="75" spans="1:70" ht="14.5">
      <c r="A75" s="4" t="s">
        <v>486</v>
      </c>
      <c r="C75" s="4" t="s">
        <v>378</v>
      </c>
      <c r="D75" s="4" t="s">
        <v>71</v>
      </c>
      <c r="E75" s="12" t="s">
        <v>721</v>
      </c>
      <c r="F75" s="12">
        <v>6</v>
      </c>
      <c r="G75" s="12">
        <v>5</v>
      </c>
      <c r="H75" s="61">
        <v>40</v>
      </c>
      <c r="I75" s="28">
        <v>4</v>
      </c>
      <c r="J75" s="12" t="s">
        <v>676</v>
      </c>
      <c r="K75" s="4" t="s">
        <v>674</v>
      </c>
      <c r="L75" s="12">
        <v>2.6</v>
      </c>
      <c r="M75" s="12"/>
      <c r="N75" s="12"/>
      <c r="O75" s="12"/>
      <c r="P75" s="12"/>
      <c r="Q75" s="1"/>
      <c r="R75" s="1"/>
      <c r="S75" s="1"/>
      <c r="T75" s="1"/>
      <c r="U75" s="12"/>
      <c r="V75" s="12"/>
      <c r="W75" s="12"/>
      <c r="X75" s="12"/>
      <c r="Y75" s="12"/>
      <c r="Z75" s="12"/>
      <c r="AA75" s="12"/>
      <c r="AB75" s="12"/>
      <c r="AC75" s="12"/>
      <c r="AD75" s="12"/>
      <c r="AE75" s="12"/>
      <c r="AF75" s="12"/>
      <c r="AG75" s="59">
        <f t="shared" si="2"/>
        <v>80</v>
      </c>
      <c r="AH75" s="12" t="s">
        <v>676</v>
      </c>
      <c r="AI75" s="4" t="s">
        <v>674</v>
      </c>
      <c r="AJ75" s="12" t="s">
        <v>670</v>
      </c>
      <c r="BE75" s="12">
        <v>2</v>
      </c>
      <c r="BF75" s="12" t="s">
        <v>381</v>
      </c>
      <c r="BG75" s="12"/>
      <c r="BH75" s="12"/>
      <c r="BI75" s="12">
        <v>2</v>
      </c>
      <c r="BJ75" s="12"/>
      <c r="BK75" s="12" t="s">
        <v>381</v>
      </c>
      <c r="BL75" s="12" t="s">
        <v>381</v>
      </c>
      <c r="BM75" s="12"/>
      <c r="BN75" s="12"/>
      <c r="BO75" s="12"/>
      <c r="BQ75" s="33"/>
      <c r="BR75" s="33"/>
    </row>
    <row r="76" spans="1:70" ht="14.5">
      <c r="A76" s="4" t="s">
        <v>487</v>
      </c>
      <c r="C76" s="4" t="s">
        <v>378</v>
      </c>
      <c r="D76" s="4" t="s">
        <v>75</v>
      </c>
      <c r="E76" s="12" t="s">
        <v>707</v>
      </c>
      <c r="F76" s="12">
        <v>2</v>
      </c>
      <c r="G76" s="12">
        <v>2</v>
      </c>
      <c r="H76" s="61">
        <v>30</v>
      </c>
      <c r="I76" s="28">
        <v>4</v>
      </c>
      <c r="J76" s="12" t="s">
        <v>676</v>
      </c>
      <c r="K76" s="4" t="s">
        <v>674</v>
      </c>
      <c r="L76" s="12">
        <v>2.6</v>
      </c>
      <c r="M76" s="12"/>
      <c r="N76" s="12"/>
      <c r="O76" s="12"/>
      <c r="P76" s="12"/>
      <c r="Q76" s="1"/>
      <c r="R76" s="1"/>
      <c r="S76" s="1"/>
      <c r="T76" s="1"/>
      <c r="U76" s="12"/>
      <c r="V76" s="12"/>
      <c r="W76" s="12"/>
      <c r="X76" s="12"/>
      <c r="Y76" s="12"/>
      <c r="Z76" s="12"/>
      <c r="AA76" s="12"/>
      <c r="AB76" s="12"/>
      <c r="AC76" s="12"/>
      <c r="AD76" s="12"/>
      <c r="AE76" s="12"/>
      <c r="AF76" s="12"/>
      <c r="AG76" s="59">
        <f t="shared" si="2"/>
        <v>60</v>
      </c>
      <c r="AH76" s="12" t="s">
        <v>676</v>
      </c>
      <c r="AI76" s="4" t="s">
        <v>674</v>
      </c>
      <c r="AJ76" s="12" t="s">
        <v>670</v>
      </c>
      <c r="BE76" s="12">
        <v>2</v>
      </c>
      <c r="BF76" s="12" t="s">
        <v>381</v>
      </c>
      <c r="BG76" s="12"/>
      <c r="BH76" s="12"/>
      <c r="BI76" s="12">
        <v>2</v>
      </c>
      <c r="BJ76" s="12"/>
      <c r="BK76" s="12" t="s">
        <v>381</v>
      </c>
      <c r="BL76" s="12" t="s">
        <v>381</v>
      </c>
      <c r="BM76" s="12"/>
      <c r="BN76" s="12"/>
      <c r="BO76" s="12"/>
      <c r="BQ76" s="33"/>
      <c r="BR76" s="33"/>
    </row>
    <row r="77" spans="1:70" s="17" customFormat="1" ht="14.5">
      <c r="A77" s="17" t="s">
        <v>490</v>
      </c>
      <c r="C77" s="17" t="s">
        <v>378</v>
      </c>
      <c r="D77" s="17" t="s">
        <v>99</v>
      </c>
      <c r="E77" s="15" t="s">
        <v>708</v>
      </c>
      <c r="F77" s="15">
        <v>2</v>
      </c>
      <c r="G77" s="15">
        <v>10</v>
      </c>
      <c r="H77" s="62">
        <v>60</v>
      </c>
      <c r="I77" s="76">
        <v>16</v>
      </c>
      <c r="J77" s="15" t="s">
        <v>676</v>
      </c>
      <c r="K77" s="17" t="s">
        <v>674</v>
      </c>
      <c r="L77" s="15">
        <v>2.6</v>
      </c>
      <c r="M77" s="15"/>
      <c r="N77" s="15"/>
      <c r="O77" s="15"/>
      <c r="P77" s="15"/>
      <c r="Q77" s="96"/>
      <c r="R77" s="96"/>
      <c r="S77" s="96"/>
      <c r="T77" s="96"/>
      <c r="U77" s="15"/>
      <c r="V77" s="15"/>
      <c r="W77" s="15"/>
      <c r="X77" s="15"/>
      <c r="Y77" s="15"/>
      <c r="Z77" s="15"/>
      <c r="AA77" s="15"/>
      <c r="AB77" s="15"/>
      <c r="AC77" s="15"/>
      <c r="AD77" s="15"/>
      <c r="AE77" s="15"/>
      <c r="AF77" s="15"/>
      <c r="AG77" s="65">
        <f t="shared" si="2"/>
        <v>120</v>
      </c>
      <c r="AH77" s="15" t="s">
        <v>676</v>
      </c>
      <c r="AI77" s="17" t="s">
        <v>674</v>
      </c>
      <c r="AJ77" s="15" t="s">
        <v>670</v>
      </c>
      <c r="BE77" s="15">
        <v>2</v>
      </c>
      <c r="BF77" s="15" t="s">
        <v>381</v>
      </c>
      <c r="BG77" s="15"/>
      <c r="BH77" s="15"/>
      <c r="BI77" s="15">
        <v>2</v>
      </c>
      <c r="BJ77" s="15"/>
      <c r="BK77" s="15" t="s">
        <v>381</v>
      </c>
      <c r="BL77" s="15" t="s">
        <v>381</v>
      </c>
      <c r="BM77" s="15"/>
      <c r="BN77" s="15"/>
      <c r="BO77" s="15"/>
      <c r="BQ77" s="43"/>
      <c r="BR77" s="43"/>
    </row>
    <row r="78" spans="1:70">
      <c r="A78" s="33"/>
      <c r="B78" s="33"/>
      <c r="C78" s="33"/>
      <c r="D78" s="33"/>
      <c r="E78" s="12"/>
      <c r="F78" s="82">
        <f>SUM(F53:F77)+F49</f>
        <v>362</v>
      </c>
      <c r="G78" s="82">
        <f>SUM(G53:G77)+G49</f>
        <v>1071</v>
      </c>
      <c r="H78" s="82">
        <f>SUM(H53:H77)+H49</f>
        <v>5673</v>
      </c>
      <c r="I78" s="132"/>
      <c r="J78" s="82"/>
      <c r="K78" s="82"/>
      <c r="L78" s="82">
        <f>SUM(L53:L77)+L49</f>
        <v>1522.7999999999988</v>
      </c>
      <c r="M78" s="82">
        <f>SUM(M53:M77)+M49</f>
        <v>460</v>
      </c>
      <c r="N78" s="82"/>
      <c r="O78" s="82"/>
      <c r="P78" s="82">
        <f>SUM(P53:P77)+P49</f>
        <v>0.05</v>
      </c>
      <c r="Q78" s="82">
        <f>SUM(Q53:Q77)+Q49</f>
        <v>8100</v>
      </c>
      <c r="R78" s="82"/>
      <c r="S78" s="82"/>
      <c r="T78" s="82">
        <f>SUM(T53:T77)+T49</f>
        <v>0.05</v>
      </c>
      <c r="U78" s="82">
        <f>SUM(U53:U77)+U49</f>
        <v>12150</v>
      </c>
      <c r="V78" s="82"/>
      <c r="W78" s="82"/>
      <c r="X78" s="82">
        <f>SUM(X53:X77)+X49</f>
        <v>0.05</v>
      </c>
      <c r="Y78" s="82">
        <f>SUM(Y53:Y77)+Y49</f>
        <v>834.99</v>
      </c>
      <c r="Z78" s="82"/>
      <c r="AA78" s="82"/>
      <c r="AB78" s="82">
        <f>SUM(AB53:AB77)+AB49</f>
        <v>0.1</v>
      </c>
      <c r="AC78" s="82">
        <f>SUM(AC53:AC77)+AC49</f>
        <v>270</v>
      </c>
      <c r="AD78" s="82"/>
      <c r="AE78" s="82"/>
      <c r="AF78" s="82">
        <f>SUM(AF53:AF77)+AF49</f>
        <v>0</v>
      </c>
      <c r="AG78" s="82">
        <f>SUM(AG53:AG77)+AG49</f>
        <v>41230</v>
      </c>
      <c r="AH78" s="82"/>
      <c r="AI78" s="82"/>
      <c r="AJ78" s="82"/>
      <c r="AK78" s="82">
        <f>SUM(AK53:AK77)+AK49</f>
        <v>180</v>
      </c>
      <c r="AL78" s="82"/>
      <c r="AM78" s="82"/>
      <c r="AN78" s="82">
        <f>SUM(AN53:AN77)+AN49</f>
        <v>0.2</v>
      </c>
      <c r="AO78" s="82">
        <f>SUM(AO53:AO77)+AO49</f>
        <v>50</v>
      </c>
      <c r="AP78" s="82"/>
      <c r="AQ78" s="82"/>
      <c r="AR78" s="82">
        <f>SUM(AR53:AR77)+AR49</f>
        <v>0.05</v>
      </c>
      <c r="AS78" s="82">
        <f>SUM(AS53:AS77)+AS49</f>
        <v>200</v>
      </c>
      <c r="AT78" s="82"/>
      <c r="AU78" s="82"/>
      <c r="AV78" s="82">
        <f>SUM(AV53:AV77)+AV49</f>
        <v>0.1</v>
      </c>
      <c r="AW78" s="82">
        <f>SUM(AW53:AW77)+AW49</f>
        <v>150</v>
      </c>
      <c r="AX78" s="82"/>
      <c r="AY78" s="82"/>
      <c r="AZ78" s="82">
        <f>SUM(AZ53:AZ77)+AZ49</f>
        <v>0</v>
      </c>
      <c r="BA78" s="82">
        <f>SUM(BA53:BA77)+BA49</f>
        <v>6144</v>
      </c>
      <c r="BB78" s="82"/>
      <c r="BC78" s="82"/>
      <c r="BD78" s="82">
        <f>SUM(BD53:BD77)+BD49</f>
        <v>0.05</v>
      </c>
      <c r="BE78" s="82">
        <f>BE49+SUM(BE53:BE77)</f>
        <v>161</v>
      </c>
      <c r="BF78" s="82">
        <f>BF49+COUNTIF(BF53:BF77,"x")</f>
        <v>61</v>
      </c>
      <c r="BG78" s="82">
        <f>BG49+COUNTIF(BG53:BG77,"x")</f>
        <v>3</v>
      </c>
      <c r="BH78" s="82">
        <f>BH49+COUNTIF(BH53:BH77,"x")</f>
        <v>1</v>
      </c>
      <c r="BI78" s="82">
        <f>BI49+SUM(BI53:BI77)</f>
        <v>124</v>
      </c>
      <c r="BJ78" s="82">
        <f>BJ49+COUNTIF(BJ53:BJ77,"x")</f>
        <v>1</v>
      </c>
      <c r="BK78" s="82">
        <f>BK49+COUNTIF(BK53:BK77,"x")</f>
        <v>26</v>
      </c>
      <c r="BL78" s="82">
        <f>BL49+COUNTIF(BL53:BL77,"x")</f>
        <v>61</v>
      </c>
      <c r="BM78" s="12" t="s">
        <v>697</v>
      </c>
      <c r="BN78" s="12">
        <v>2</v>
      </c>
      <c r="BO78" s="12">
        <v>4</v>
      </c>
      <c r="BP78" s="12">
        <v>2</v>
      </c>
      <c r="BQ78" s="33"/>
      <c r="BR78" s="33"/>
    </row>
    <row r="79" spans="1:70" ht="14.5">
      <c r="A79" s="33"/>
      <c r="B79" s="33"/>
      <c r="C79" s="33"/>
      <c r="D79" s="33"/>
      <c r="E79" s="1"/>
      <c r="F79" s="33"/>
      <c r="G79" s="33"/>
      <c r="H79" s="33"/>
      <c r="I79" s="33"/>
      <c r="J79" s="33"/>
      <c r="K79" s="33"/>
      <c r="L79" s="33"/>
      <c r="M79" s="33"/>
      <c r="N79" s="33"/>
      <c r="O79" s="33"/>
      <c r="P79" s="33"/>
      <c r="Q79" s="33"/>
      <c r="R79" s="33"/>
      <c r="S79" s="33"/>
      <c r="T79" s="33"/>
      <c r="U79" s="33"/>
      <c r="V79" s="33"/>
      <c r="W79" s="33"/>
      <c r="X79" s="33"/>
      <c r="Y79" s="33"/>
      <c r="Z79" s="33"/>
      <c r="AA79" s="33"/>
      <c r="AB79" s="33"/>
      <c r="AC79" s="33"/>
      <c r="AD79" s="33"/>
      <c r="AE79" s="33"/>
      <c r="AF79" s="33"/>
      <c r="AG79" s="33"/>
      <c r="AH79" s="33"/>
      <c r="AI79" s="33"/>
      <c r="AJ79" s="33"/>
      <c r="AK79" s="33"/>
      <c r="AL79" s="33"/>
      <c r="AM79" s="33"/>
      <c r="AN79" s="33"/>
      <c r="AO79" s="33"/>
      <c r="AP79" s="33"/>
      <c r="AQ79" s="33"/>
      <c r="AR79" s="33"/>
      <c r="AS79" s="33"/>
      <c r="AT79" s="33"/>
      <c r="AU79" s="33"/>
      <c r="AV79" s="33"/>
      <c r="AW79" s="33"/>
      <c r="AX79" s="33"/>
      <c r="AY79" s="33"/>
      <c r="AZ79" s="33"/>
      <c r="BA79" s="33"/>
      <c r="BB79" s="33"/>
      <c r="BC79" s="33"/>
      <c r="BD79" s="33"/>
      <c r="BE79" s="82"/>
      <c r="BF79" s="33"/>
      <c r="BG79" s="33"/>
      <c r="BH79" s="33"/>
      <c r="BI79" s="33"/>
      <c r="BJ79" s="33"/>
      <c r="BK79" s="33"/>
      <c r="BL79" s="33"/>
      <c r="BM79" s="33"/>
      <c r="BN79" s="33"/>
      <c r="BO79" s="33"/>
      <c r="BP79" s="33"/>
      <c r="BQ79" s="33"/>
      <c r="BR79" s="33"/>
    </row>
    <row r="80" spans="1:70" ht="14.5">
      <c r="A80" s="14" t="s">
        <v>709</v>
      </c>
      <c r="B80" s="33"/>
      <c r="C80" s="33"/>
      <c r="D80" s="33"/>
      <c r="E80" s="1"/>
      <c r="F80" s="33"/>
      <c r="G80" s="33"/>
      <c r="H80" s="33"/>
      <c r="I80" s="33"/>
      <c r="J80" s="33"/>
      <c r="K80" s="33"/>
      <c r="L80" s="33"/>
      <c r="M80" s="33"/>
      <c r="N80" s="33"/>
      <c r="O80" s="33"/>
      <c r="P80" s="33"/>
      <c r="Q80" s="33"/>
      <c r="R80" s="33"/>
      <c r="S80" s="33"/>
      <c r="T80" s="33"/>
      <c r="U80" s="33"/>
      <c r="V80" s="33"/>
      <c r="W80" s="33"/>
      <c r="X80" s="33"/>
      <c r="Y80" s="33"/>
      <c r="Z80" s="33"/>
      <c r="AA80" s="33"/>
      <c r="AB80" s="33"/>
      <c r="AC80" s="33"/>
      <c r="AD80" s="33"/>
      <c r="AE80" s="33"/>
      <c r="AF80" s="33"/>
      <c r="AG80" s="33"/>
      <c r="AH80" s="33"/>
      <c r="AI80" s="33"/>
      <c r="AJ80" s="33"/>
      <c r="AK80" s="33"/>
      <c r="AL80" s="33"/>
      <c r="AM80" s="33"/>
      <c r="AN80" s="33"/>
      <c r="AO80" s="33"/>
      <c r="AP80" s="33"/>
      <c r="AQ80" s="33"/>
      <c r="AR80" s="33"/>
      <c r="AS80" s="33"/>
      <c r="AT80" s="33"/>
      <c r="AU80" s="33"/>
      <c r="AV80" s="33"/>
      <c r="AW80" s="33"/>
      <c r="AX80" s="33"/>
      <c r="AY80" s="33"/>
      <c r="AZ80" s="33"/>
      <c r="BA80" s="33"/>
      <c r="BB80" s="33"/>
      <c r="BC80" s="33"/>
      <c r="BD80" s="33"/>
      <c r="BE80" s="82"/>
      <c r="BF80" s="33"/>
      <c r="BG80" s="33"/>
      <c r="BH80" s="33"/>
      <c r="BI80" s="33"/>
      <c r="BJ80" s="33"/>
      <c r="BK80" s="33"/>
      <c r="BL80" s="33"/>
      <c r="BM80" s="33"/>
      <c r="BN80" s="33"/>
      <c r="BO80" s="33"/>
      <c r="BP80" s="33"/>
      <c r="BQ80" s="33"/>
      <c r="BR80" s="33"/>
    </row>
    <row r="81" spans="1:70" ht="14.5">
      <c r="A81" s="33"/>
      <c r="B81" s="33"/>
      <c r="C81" s="33"/>
      <c r="D81" s="33"/>
      <c r="E81" s="1"/>
      <c r="F81" s="33"/>
      <c r="G81" s="33"/>
      <c r="H81" s="33"/>
      <c r="I81" s="33"/>
      <c r="J81" s="33"/>
      <c r="K81" s="33"/>
      <c r="L81" s="33"/>
      <c r="M81" s="33"/>
      <c r="N81" s="33"/>
      <c r="O81" s="33"/>
      <c r="P81" s="33"/>
      <c r="Q81" s="33"/>
      <c r="R81" s="33"/>
      <c r="S81" s="33"/>
      <c r="T81" s="33"/>
      <c r="U81" s="33"/>
      <c r="V81" s="33"/>
      <c r="W81" s="33"/>
      <c r="X81" s="33"/>
      <c r="Y81" s="33"/>
      <c r="Z81" s="33"/>
      <c r="AA81" s="33"/>
      <c r="AB81" s="33"/>
      <c r="AC81" s="33"/>
      <c r="AD81" s="33"/>
      <c r="AE81" s="33"/>
      <c r="AF81" s="33"/>
      <c r="AG81" s="33"/>
      <c r="AH81" s="33"/>
      <c r="AI81" s="33"/>
      <c r="AJ81" s="33"/>
      <c r="AK81" s="33"/>
      <c r="AL81" s="33"/>
      <c r="AM81" s="33"/>
      <c r="AN81" s="33"/>
      <c r="AO81" s="33"/>
      <c r="AP81" s="33"/>
      <c r="AQ81" s="33"/>
      <c r="AR81" s="33"/>
      <c r="AS81" s="33"/>
      <c r="AT81" s="33"/>
      <c r="AU81" s="33"/>
      <c r="AV81" s="33"/>
      <c r="AW81" s="33"/>
      <c r="AX81" s="33"/>
      <c r="AY81" s="33"/>
      <c r="AZ81" s="33"/>
      <c r="BA81" s="33"/>
      <c r="BB81" s="33"/>
      <c r="BC81" s="33"/>
      <c r="BD81" s="33"/>
      <c r="BE81" s="82"/>
      <c r="BF81" s="33"/>
      <c r="BG81" s="33"/>
      <c r="BH81" s="33"/>
      <c r="BI81" s="33"/>
      <c r="BJ81" s="33"/>
      <c r="BK81" s="82" t="s">
        <v>381</v>
      </c>
      <c r="BL81" s="82" t="s">
        <v>381</v>
      </c>
      <c r="BM81" s="33"/>
      <c r="BN81" s="33"/>
      <c r="BO81" s="33"/>
      <c r="BP81" s="33"/>
      <c r="BQ81" s="33"/>
      <c r="BR81" s="33"/>
    </row>
    <row r="82" spans="1:70">
      <c r="A82" s="4" t="s">
        <v>504</v>
      </c>
      <c r="C82" s="4" t="s">
        <v>528</v>
      </c>
      <c r="D82" s="4" t="s">
        <v>19</v>
      </c>
      <c r="E82" s="12" t="s">
        <v>710</v>
      </c>
      <c r="F82" s="12">
        <v>2</v>
      </c>
      <c r="G82" s="12">
        <v>4</v>
      </c>
      <c r="H82" s="61">
        <v>70</v>
      </c>
      <c r="I82" s="28">
        <v>4</v>
      </c>
      <c r="J82" s="12" t="s">
        <v>676</v>
      </c>
      <c r="K82" s="4" t="s">
        <v>674</v>
      </c>
      <c r="L82" s="12">
        <v>2.6</v>
      </c>
      <c r="M82" s="12"/>
      <c r="N82" s="12"/>
      <c r="O82" s="12"/>
      <c r="P82" s="12"/>
      <c r="Q82" s="12"/>
      <c r="R82" s="12"/>
      <c r="S82" s="12"/>
      <c r="T82" s="12"/>
      <c r="U82" s="12"/>
      <c r="V82" s="12"/>
      <c r="W82" s="12"/>
      <c r="X82" s="12"/>
      <c r="Y82" s="12"/>
      <c r="Z82" s="12"/>
      <c r="AA82" s="12"/>
      <c r="AB82" s="82"/>
      <c r="AC82" s="82"/>
      <c r="AD82" s="82"/>
      <c r="AE82" s="82"/>
      <c r="AF82" s="82"/>
      <c r="AG82" s="82">
        <f>2*H82</f>
        <v>140</v>
      </c>
      <c r="AH82" s="82" t="s">
        <v>676</v>
      </c>
      <c r="AI82" s="4" t="s">
        <v>674</v>
      </c>
      <c r="AJ82" s="12" t="s">
        <v>670</v>
      </c>
      <c r="AK82" s="82"/>
      <c r="AL82" s="82"/>
      <c r="AM82" s="82"/>
      <c r="AN82" s="82"/>
      <c r="AO82" s="82"/>
      <c r="AP82" s="82"/>
      <c r="AQ82" s="82"/>
      <c r="AR82" s="82"/>
      <c r="AS82" s="82"/>
      <c r="AT82" s="82"/>
      <c r="AU82" s="82"/>
      <c r="AV82" s="82"/>
      <c r="AW82" s="82"/>
      <c r="AX82" s="82"/>
      <c r="AY82" s="82"/>
      <c r="AZ82" s="82"/>
      <c r="BA82" s="82"/>
      <c r="BB82" s="82"/>
      <c r="BC82" s="82"/>
      <c r="BD82" s="82"/>
      <c r="BE82" s="82">
        <v>2</v>
      </c>
      <c r="BF82" s="82" t="s">
        <v>381</v>
      </c>
      <c r="BG82" s="82"/>
      <c r="BH82" s="82"/>
      <c r="BI82" s="82">
        <v>2</v>
      </c>
      <c r="BJ82" s="82"/>
      <c r="BK82" s="82" t="s">
        <v>381</v>
      </c>
      <c r="BL82" s="82" t="s">
        <v>381</v>
      </c>
      <c r="BM82" s="82"/>
      <c r="BN82" s="82"/>
      <c r="BO82" s="82"/>
      <c r="BP82" s="82"/>
      <c r="BQ82" s="33"/>
      <c r="BR82" s="33"/>
    </row>
    <row r="83" spans="1:70">
      <c r="A83" s="4" t="s">
        <v>509</v>
      </c>
      <c r="C83" s="4" t="s">
        <v>528</v>
      </c>
      <c r="D83" s="4" t="s">
        <v>510</v>
      </c>
      <c r="E83" s="12" t="s">
        <v>711</v>
      </c>
      <c r="F83" s="12">
        <v>6</v>
      </c>
      <c r="G83" s="12">
        <v>10</v>
      </c>
      <c r="H83" s="59">
        <v>100</v>
      </c>
      <c r="I83" s="28">
        <v>16</v>
      </c>
      <c r="J83" s="12" t="s">
        <v>676</v>
      </c>
      <c r="K83" s="4" t="s">
        <v>674</v>
      </c>
      <c r="L83" s="12">
        <v>2.6</v>
      </c>
      <c r="M83" s="12"/>
      <c r="N83" s="12"/>
      <c r="O83" s="12"/>
      <c r="P83" s="12"/>
      <c r="Q83" s="82">
        <v>200</v>
      </c>
      <c r="R83" s="82" t="s">
        <v>676</v>
      </c>
      <c r="S83" s="4" t="s">
        <v>674</v>
      </c>
      <c r="T83" s="82" t="s">
        <v>670</v>
      </c>
      <c r="U83" s="82"/>
      <c r="V83" s="82"/>
      <c r="W83" s="82"/>
      <c r="X83" s="82"/>
      <c r="AB83" s="82" t="s">
        <v>670</v>
      </c>
      <c r="AC83" s="82"/>
      <c r="AD83" s="82"/>
      <c r="AE83" s="82"/>
      <c r="AF83" s="82"/>
      <c r="AG83" s="82">
        <f>2*H83+Q83*2</f>
        <v>600</v>
      </c>
      <c r="AH83" s="82" t="s">
        <v>676</v>
      </c>
      <c r="AI83" s="4" t="s">
        <v>674</v>
      </c>
      <c r="AJ83" s="12" t="s">
        <v>670</v>
      </c>
      <c r="AK83" s="82"/>
      <c r="AL83" s="82"/>
      <c r="AM83" s="82"/>
      <c r="AN83" s="82"/>
      <c r="AO83" s="82"/>
      <c r="AP83" s="82"/>
      <c r="AQ83" s="82"/>
      <c r="AR83" s="82"/>
      <c r="AS83" s="82"/>
      <c r="AT83" s="82"/>
      <c r="AU83" s="82"/>
      <c r="AV83" s="82"/>
      <c r="AW83" s="82"/>
      <c r="AX83" s="82"/>
      <c r="AY83" s="82"/>
      <c r="AZ83" s="82"/>
      <c r="BA83" s="82"/>
      <c r="BB83" s="82"/>
      <c r="BC83" s="82"/>
      <c r="BD83" s="82"/>
      <c r="BE83" s="82">
        <v>3</v>
      </c>
      <c r="BF83" s="82" t="s">
        <v>381</v>
      </c>
      <c r="BG83" s="82"/>
      <c r="BH83" s="82"/>
      <c r="BI83" s="82">
        <v>2</v>
      </c>
      <c r="BJ83" s="82"/>
      <c r="BK83" s="82" t="s">
        <v>381</v>
      </c>
      <c r="BL83" s="82" t="s">
        <v>381</v>
      </c>
      <c r="BM83" s="82"/>
      <c r="BN83" s="82"/>
      <c r="BO83" s="82"/>
      <c r="BP83" s="82"/>
      <c r="BQ83" s="33"/>
      <c r="BR83" s="33"/>
    </row>
    <row r="84" spans="1:70">
      <c r="A84" s="4" t="s">
        <v>511</v>
      </c>
      <c r="C84" s="4" t="s">
        <v>528</v>
      </c>
      <c r="D84" s="4" t="s">
        <v>512</v>
      </c>
      <c r="E84" s="12" t="s">
        <v>712</v>
      </c>
      <c r="F84" s="12">
        <v>8</v>
      </c>
      <c r="G84" s="12">
        <v>16</v>
      </c>
      <c r="H84" s="61">
        <v>60</v>
      </c>
      <c r="I84" s="28">
        <v>4</v>
      </c>
      <c r="J84" s="12" t="s">
        <v>676</v>
      </c>
      <c r="K84" s="4" t="s">
        <v>674</v>
      </c>
      <c r="L84" s="12">
        <v>2.6</v>
      </c>
      <c r="M84" s="12"/>
      <c r="N84" s="12"/>
      <c r="O84" s="12"/>
      <c r="P84" s="12"/>
      <c r="Q84" s="82"/>
      <c r="R84" s="82"/>
      <c r="S84" s="82"/>
      <c r="T84" s="82"/>
      <c r="U84" s="82"/>
      <c r="V84" s="82"/>
      <c r="W84" s="82"/>
      <c r="X84" s="82"/>
      <c r="Y84" s="82"/>
      <c r="Z84" s="82"/>
      <c r="AA84" s="82"/>
      <c r="AB84" s="82"/>
      <c r="AC84" s="82"/>
      <c r="AD84" s="82"/>
      <c r="AE84" s="82"/>
      <c r="AF84" s="82"/>
      <c r="AG84" s="82">
        <f>2*H84</f>
        <v>120</v>
      </c>
      <c r="AH84" s="82" t="s">
        <v>676</v>
      </c>
      <c r="AI84" s="4" t="s">
        <v>674</v>
      </c>
      <c r="AJ84" s="12" t="s">
        <v>670</v>
      </c>
      <c r="AK84" s="82"/>
      <c r="AL84" s="82"/>
      <c r="AM84" s="82"/>
      <c r="AN84" s="82"/>
      <c r="AO84" s="82"/>
      <c r="AP84" s="82"/>
      <c r="AQ84" s="82"/>
      <c r="AR84" s="82"/>
      <c r="AS84" s="82"/>
      <c r="AT84" s="82"/>
      <c r="AU84" s="82"/>
      <c r="AV84" s="82"/>
      <c r="AW84" s="82"/>
      <c r="AX84" s="82"/>
      <c r="AY84" s="82"/>
      <c r="AZ84" s="82"/>
      <c r="BA84" s="82"/>
      <c r="BB84" s="82"/>
      <c r="BC84" s="82"/>
      <c r="BD84" s="82"/>
      <c r="BE84" s="82">
        <v>2</v>
      </c>
      <c r="BF84" s="82" t="s">
        <v>381</v>
      </c>
      <c r="BG84" s="82"/>
      <c r="BH84" s="82"/>
      <c r="BI84" s="82">
        <v>2</v>
      </c>
      <c r="BJ84" s="82"/>
      <c r="BK84" s="82" t="s">
        <v>381</v>
      </c>
      <c r="BL84" s="82" t="s">
        <v>381</v>
      </c>
      <c r="BM84" s="82"/>
      <c r="BN84" s="82"/>
      <c r="BO84" s="82"/>
      <c r="BP84" s="82"/>
      <c r="BQ84" s="33"/>
      <c r="BR84" s="33"/>
    </row>
    <row r="85" spans="1:70">
      <c r="A85" s="4" t="s">
        <v>514</v>
      </c>
      <c r="C85" s="4" t="s">
        <v>528</v>
      </c>
      <c r="D85" s="4" t="s">
        <v>515</v>
      </c>
      <c r="E85" s="12" t="s">
        <v>713</v>
      </c>
      <c r="F85" s="12">
        <v>10</v>
      </c>
      <c r="G85" s="12">
        <v>10</v>
      </c>
      <c r="H85" s="59">
        <v>30</v>
      </c>
      <c r="I85" s="28">
        <v>4</v>
      </c>
      <c r="J85" s="12" t="s">
        <v>676</v>
      </c>
      <c r="K85" s="4" t="s">
        <v>674</v>
      </c>
      <c r="L85" s="12">
        <v>2.6</v>
      </c>
      <c r="M85" s="12"/>
      <c r="N85" s="12"/>
      <c r="O85" s="12"/>
      <c r="P85" s="12"/>
      <c r="Q85" s="82"/>
      <c r="R85" s="82"/>
      <c r="S85" s="82"/>
      <c r="T85" s="82"/>
      <c r="U85" s="82"/>
      <c r="V85" s="82"/>
      <c r="W85" s="82"/>
      <c r="X85" s="82"/>
      <c r="Y85" s="82"/>
      <c r="Z85" s="82"/>
      <c r="AA85" s="82"/>
      <c r="AB85" s="82"/>
      <c r="AC85" s="82"/>
      <c r="AD85" s="82"/>
      <c r="AE85" s="82"/>
      <c r="AF85" s="82"/>
      <c r="AG85" s="82">
        <f>2*H85</f>
        <v>60</v>
      </c>
      <c r="AH85" s="82" t="s">
        <v>676</v>
      </c>
      <c r="AI85" s="4" t="s">
        <v>674</v>
      </c>
      <c r="AJ85" s="12" t="s">
        <v>670</v>
      </c>
      <c r="AK85" s="82"/>
      <c r="AL85" s="82"/>
      <c r="AM85" s="82"/>
      <c r="AN85" s="82"/>
      <c r="AO85" s="82"/>
      <c r="AP85" s="82"/>
      <c r="AQ85" s="82"/>
      <c r="AR85" s="82"/>
      <c r="AS85" s="82"/>
      <c r="AT85" s="82"/>
      <c r="AU85" s="82"/>
      <c r="AV85" s="82"/>
      <c r="AW85" s="82"/>
      <c r="AX85" s="82"/>
      <c r="AY85" s="82"/>
      <c r="AZ85" s="82"/>
      <c r="BA85" s="82"/>
      <c r="BB85" s="82"/>
      <c r="BC85" s="82"/>
      <c r="BD85" s="82"/>
      <c r="BE85" s="82">
        <v>2</v>
      </c>
      <c r="BF85" s="82" t="s">
        <v>381</v>
      </c>
      <c r="BG85" s="82"/>
      <c r="BH85" s="82"/>
      <c r="BI85" s="82">
        <v>2</v>
      </c>
      <c r="BJ85" s="82"/>
      <c r="BK85" s="82" t="s">
        <v>381</v>
      </c>
      <c r="BL85" s="82" t="s">
        <v>381</v>
      </c>
      <c r="BM85" s="82"/>
      <c r="BN85" s="82"/>
      <c r="BO85" s="82"/>
      <c r="BP85" s="82"/>
      <c r="BQ85" s="33"/>
      <c r="BR85" s="33"/>
    </row>
    <row r="86" spans="1:70">
      <c r="A86" s="4" t="s">
        <v>516</v>
      </c>
      <c r="C86" s="4" t="s">
        <v>528</v>
      </c>
      <c r="D86" s="4" t="s">
        <v>517</v>
      </c>
      <c r="E86" s="12" t="s">
        <v>714</v>
      </c>
      <c r="F86" s="12">
        <v>4</v>
      </c>
      <c r="G86" s="12">
        <v>16</v>
      </c>
      <c r="H86" s="61">
        <v>550</v>
      </c>
      <c r="I86" s="28">
        <v>4</v>
      </c>
      <c r="J86" s="12" t="s">
        <v>676</v>
      </c>
      <c r="K86" s="4" t="s">
        <v>674</v>
      </c>
      <c r="L86" s="12">
        <v>2.6</v>
      </c>
      <c r="M86" s="12"/>
      <c r="N86" s="12"/>
      <c r="O86" s="12"/>
      <c r="P86" s="12"/>
      <c r="R86" s="82"/>
      <c r="T86" s="82"/>
      <c r="U86" s="82"/>
      <c r="V86" s="82"/>
      <c r="W86" s="82"/>
      <c r="X86" s="82"/>
      <c r="Y86" s="82"/>
      <c r="Z86" s="82"/>
      <c r="AA86" s="82"/>
      <c r="AB86" s="82"/>
      <c r="AC86" s="82"/>
      <c r="AD86" s="82"/>
      <c r="AE86" s="82"/>
      <c r="AF86" s="82"/>
      <c r="AG86" s="82">
        <f>2*H86+Q86</f>
        <v>1100</v>
      </c>
      <c r="AH86" s="82" t="s">
        <v>676</v>
      </c>
      <c r="AI86" s="4" t="s">
        <v>674</v>
      </c>
      <c r="AJ86" s="12" t="s">
        <v>670</v>
      </c>
      <c r="AK86" s="82"/>
      <c r="AL86" s="82"/>
      <c r="AM86" s="82"/>
      <c r="AN86" s="82"/>
      <c r="AO86" s="82"/>
      <c r="AP86" s="82"/>
      <c r="AQ86" s="82"/>
      <c r="AR86" s="82"/>
      <c r="AS86" s="82"/>
      <c r="AT86" s="82"/>
      <c r="AU86" s="82"/>
      <c r="AV86" s="82"/>
      <c r="AW86" s="82"/>
      <c r="AX86" s="82"/>
      <c r="AY86" s="82"/>
      <c r="AZ86" s="82"/>
      <c r="BA86" s="82"/>
      <c r="BB86" s="82"/>
      <c r="BC86" s="82"/>
      <c r="BD86" s="82"/>
      <c r="BE86" s="82">
        <v>2</v>
      </c>
      <c r="BF86" s="82" t="s">
        <v>381</v>
      </c>
      <c r="BG86" s="82"/>
      <c r="BH86" s="82"/>
      <c r="BI86" s="82">
        <v>2</v>
      </c>
      <c r="BJ86" s="82"/>
      <c r="BK86" s="82" t="s">
        <v>381</v>
      </c>
      <c r="BL86" s="82" t="s">
        <v>381</v>
      </c>
      <c r="BM86" s="82"/>
      <c r="BN86" s="82"/>
      <c r="BO86" s="82"/>
      <c r="BP86" s="82"/>
      <c r="BQ86" s="33"/>
      <c r="BR86" s="33"/>
    </row>
    <row r="87" spans="1:70" s="17" customFormat="1">
      <c r="A87" s="17" t="s">
        <v>520</v>
      </c>
      <c r="C87" s="17" t="s">
        <v>528</v>
      </c>
      <c r="D87" s="17" t="s">
        <v>521</v>
      </c>
      <c r="E87" s="15" t="s">
        <v>715</v>
      </c>
      <c r="F87" s="15">
        <v>2</v>
      </c>
      <c r="G87" s="15">
        <v>4</v>
      </c>
      <c r="H87" s="65">
        <v>40</v>
      </c>
      <c r="I87" s="76">
        <v>4</v>
      </c>
      <c r="J87" s="15" t="s">
        <v>676</v>
      </c>
      <c r="K87" s="17" t="s">
        <v>674</v>
      </c>
      <c r="L87" s="15">
        <v>2.6</v>
      </c>
      <c r="M87" s="15"/>
      <c r="N87" s="15"/>
      <c r="O87" s="15"/>
      <c r="P87" s="15"/>
      <c r="Q87" s="36"/>
      <c r="R87" s="36"/>
      <c r="T87" s="36"/>
      <c r="U87" s="36"/>
      <c r="V87" s="36"/>
      <c r="W87" s="36"/>
      <c r="X87" s="36"/>
      <c r="Y87" s="36">
        <v>50</v>
      </c>
      <c r="Z87" s="36" t="s">
        <v>676</v>
      </c>
      <c r="AA87" s="17" t="s">
        <v>674</v>
      </c>
      <c r="AB87" s="36"/>
      <c r="AC87" s="36"/>
      <c r="AD87" s="36"/>
      <c r="AE87" s="36"/>
      <c r="AF87" s="36"/>
      <c r="AG87" s="36">
        <f>H87*2+Y87*2</f>
        <v>180</v>
      </c>
      <c r="AH87" s="36" t="s">
        <v>676</v>
      </c>
      <c r="AI87" s="17" t="s">
        <v>674</v>
      </c>
      <c r="AJ87" s="15" t="s">
        <v>670</v>
      </c>
      <c r="AK87" s="36"/>
      <c r="AL87" s="36"/>
      <c r="AM87" s="36"/>
      <c r="AN87" s="36"/>
      <c r="AO87" s="36"/>
      <c r="AP87" s="36"/>
      <c r="AQ87" s="36"/>
      <c r="AR87" s="36"/>
      <c r="AS87" s="36"/>
      <c r="AT87" s="36"/>
      <c r="AU87" s="36"/>
      <c r="AV87" s="36"/>
      <c r="AW87" s="36"/>
      <c r="AX87" s="36"/>
      <c r="AY87" s="36"/>
      <c r="AZ87" s="36"/>
      <c r="BE87" s="36">
        <v>3</v>
      </c>
      <c r="BF87" s="36" t="s">
        <v>381</v>
      </c>
      <c r="BG87" s="36"/>
      <c r="BH87" s="36"/>
      <c r="BI87" s="36">
        <v>2</v>
      </c>
      <c r="BJ87" s="36"/>
      <c r="BK87" s="36" t="s">
        <v>381</v>
      </c>
      <c r="BL87" s="36" t="s">
        <v>381</v>
      </c>
      <c r="BM87" s="36"/>
      <c r="BN87" s="36"/>
      <c r="BO87" s="36"/>
      <c r="BP87" s="36"/>
      <c r="BQ87" s="43"/>
      <c r="BR87" s="43"/>
    </row>
    <row r="88" spans="1:70">
      <c r="A88" s="33"/>
      <c r="B88" s="33"/>
      <c r="C88" s="33"/>
      <c r="D88" s="33"/>
      <c r="F88" s="82">
        <f>F78+SUM(F82:F87)</f>
        <v>394</v>
      </c>
      <c r="G88" s="82">
        <f>G78+SUM(G82:G87)</f>
        <v>1131</v>
      </c>
      <c r="H88" s="82">
        <f>H78+SUM(H82:H87)</f>
        <v>6523</v>
      </c>
      <c r="I88" s="82"/>
      <c r="J88" s="82"/>
      <c r="K88" s="82"/>
      <c r="L88" s="82">
        <f>L78+SUM(L82:L87)</f>
        <v>1538.3999999999987</v>
      </c>
      <c r="M88" s="82">
        <f>M78+SUM(M82:M87)</f>
        <v>460</v>
      </c>
      <c r="N88" s="82"/>
      <c r="O88" s="82"/>
      <c r="P88" s="82">
        <f>P78+SUM(P82:P87)</f>
        <v>0.05</v>
      </c>
      <c r="Q88" s="82">
        <f>Q78+SUM(Q82:Q87)</f>
        <v>8300</v>
      </c>
      <c r="R88" s="82"/>
      <c r="S88" s="82"/>
      <c r="T88" s="82">
        <f>T78+SUM(T82:T87)</f>
        <v>0.05</v>
      </c>
      <c r="U88" s="82">
        <f>U78+SUM(U82:U87)</f>
        <v>12150</v>
      </c>
      <c r="V88" s="82"/>
      <c r="W88" s="82"/>
      <c r="X88" s="82">
        <f>X78+SUM(X82:X87)</f>
        <v>0.05</v>
      </c>
      <c r="Y88" s="82">
        <f>Y78+SUM(Y82:Y87)</f>
        <v>884.99</v>
      </c>
      <c r="Z88" s="82"/>
      <c r="AA88" s="82"/>
      <c r="AB88" s="82">
        <f>AB78+SUM(AB82:AB87)</f>
        <v>0.1</v>
      </c>
      <c r="AC88" s="82">
        <f>AC78+SUM(AC82:AC87)</f>
        <v>270</v>
      </c>
      <c r="AD88" s="82"/>
      <c r="AE88" s="82"/>
      <c r="AF88" s="82">
        <f>AF78+SUM(AF82:AF87)</f>
        <v>0</v>
      </c>
      <c r="AG88" s="61">
        <f>AG78+SUM(AG82:AG87)</f>
        <v>43430</v>
      </c>
      <c r="AH88" s="82"/>
      <c r="AI88" s="82"/>
      <c r="AJ88" s="82"/>
      <c r="AK88" s="82">
        <f>AK78+SUM(AK82:AK87)</f>
        <v>180</v>
      </c>
      <c r="AL88" s="82"/>
      <c r="AM88" s="82"/>
      <c r="AN88" s="82">
        <f>AN78+SUM(AN82:AN87)</f>
        <v>0.2</v>
      </c>
      <c r="AO88" s="82">
        <f>AO78+SUM(AO82:AO87)</f>
        <v>50</v>
      </c>
      <c r="AP88" s="82"/>
      <c r="AQ88" s="82"/>
      <c r="AR88" s="82">
        <f>AR78+SUM(AR82:AR87)</f>
        <v>0.05</v>
      </c>
      <c r="AS88" s="82">
        <f>AS78+SUM(AS82:AS87)</f>
        <v>200</v>
      </c>
      <c r="AT88" s="82"/>
      <c r="AU88" s="82"/>
      <c r="AV88" s="82">
        <f>AV78+SUM(AV82:AV87)</f>
        <v>0.1</v>
      </c>
      <c r="AW88" s="82"/>
      <c r="AX88" s="82"/>
      <c r="AY88" s="82"/>
      <c r="AZ88" s="82"/>
      <c r="BA88" s="82">
        <f>BA78+SUM(BA82:BA87)</f>
        <v>6144</v>
      </c>
      <c r="BB88" s="82"/>
      <c r="BC88" s="82"/>
      <c r="BD88" s="82">
        <f>BD78+SUM(BD82:BD87)</f>
        <v>0.05</v>
      </c>
      <c r="BE88" s="82">
        <f>BE78+SUM(BE82:BE87)</f>
        <v>175</v>
      </c>
      <c r="BF88" s="82">
        <f>BF78+COUNTIF(BF82:BF87,"x")</f>
        <v>67</v>
      </c>
      <c r="BG88" s="82">
        <f>BG78+COUNTIF(BG82:BG87,"x")</f>
        <v>3</v>
      </c>
      <c r="BH88" s="82">
        <f>BH78+COUNTIF(BH82:BH87,"x")</f>
        <v>1</v>
      </c>
      <c r="BI88" s="82">
        <f>BI78+SUM(BI82:BI87)</f>
        <v>136</v>
      </c>
      <c r="BJ88" s="82">
        <f>BJ78+COUNTIF(BJ82:BJ87,"x")</f>
        <v>1</v>
      </c>
      <c r="BK88" s="82">
        <f>BK78+COUNTIF(BK82:BK87,"x")</f>
        <v>32</v>
      </c>
      <c r="BL88" s="82">
        <f>BL78+COUNTIF(BL82:BL87,"x")</f>
        <v>67</v>
      </c>
      <c r="BM88" s="12" t="s">
        <v>697</v>
      </c>
      <c r="BN88" s="12">
        <v>2</v>
      </c>
      <c r="BO88" s="12">
        <v>4</v>
      </c>
      <c r="BP88" s="12">
        <v>2</v>
      </c>
      <c r="BQ88" s="33"/>
      <c r="BR88" s="33"/>
    </row>
    <row r="90" spans="1:70">
      <c r="F90" s="19"/>
      <c r="H90" s="12"/>
      <c r="I90" s="12"/>
      <c r="J90" s="12"/>
      <c r="K90" s="12"/>
      <c r="L90" s="12"/>
      <c r="M90" s="12"/>
      <c r="N90" s="12"/>
      <c r="O90" s="12"/>
      <c r="P90" s="12"/>
      <c r="Q90" s="12"/>
      <c r="R90" s="12"/>
      <c r="S90" s="12"/>
      <c r="T90" s="12"/>
    </row>
  </sheetData>
  <mergeCells count="8">
    <mergeCell ref="A1:D1"/>
    <mergeCell ref="A2:B2"/>
    <mergeCell ref="A3:B3"/>
    <mergeCell ref="F3:G3"/>
    <mergeCell ref="A4:B4"/>
    <mergeCell ref="A5:B5"/>
    <mergeCell ref="A46:B46"/>
    <mergeCell ref="A6:B6"/>
  </mergeCells>
  <phoneticPr fontId="27" type="noConversion"/>
  <hyperlinks>
    <hyperlink ref="F3:G3" location="Shortcuts!A1" display="Back to shortcuts" xr:uid="{4CB6B95D-C155-4C28-8168-5E4D67DB5B40}"/>
  </hyperlinks>
  <pageMargins left="0.7" right="0.7" top="0.75" bottom="0.75" header="0.3" footer="0.3"/>
  <pageSetup paperSize="9" orientation="portrait" r:id="rId1"/>
  <headerFooter>
    <oddFooter>&amp;C&amp;1#&amp;"Arial"&amp;8&amp;K001753Nokia internal use</oddFooter>
  </headerFooter>
  <legacyDrawing r:id="rId2"/>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38EA2F-3F8C-4959-B6E6-6ED27561F717}">
  <sheetPr codeName="Sheet105"/>
  <dimension ref="A1:AU89"/>
  <sheetViews>
    <sheetView zoomScale="84" zoomScaleNormal="84" zoomScalePageLayoutView="70" workbookViewId="0">
      <selection activeCell="G8" sqref="G8"/>
    </sheetView>
  </sheetViews>
  <sheetFormatPr defaultColWidth="8.81640625" defaultRowHeight="12.5"/>
  <cols>
    <col min="1" max="1" width="19.453125" style="33" customWidth="1"/>
    <col min="2" max="2" width="12.54296875" style="33" customWidth="1"/>
    <col min="3" max="3" width="16.81640625" style="33" customWidth="1"/>
    <col min="4" max="4" width="23.81640625" style="33" customWidth="1"/>
    <col min="5" max="5" width="68.453125" style="33" bestFit="1" customWidth="1"/>
    <col min="6" max="7" width="8.81640625" style="33"/>
    <col min="8" max="8" width="21.1796875" style="33" customWidth="1"/>
    <col min="9" max="10" width="8.81640625" style="33"/>
    <col min="11" max="11" width="17.81640625" style="33" customWidth="1"/>
    <col min="12" max="12" width="9.1796875" style="33" customWidth="1"/>
    <col min="13" max="13" width="9.81640625" style="33" customWidth="1"/>
    <col min="14" max="14" width="8.81640625" style="33"/>
    <col min="15" max="15" width="11.81640625" style="33" customWidth="1"/>
    <col min="16" max="16" width="8.81640625" style="33"/>
    <col min="17" max="17" width="9.81640625" style="33" customWidth="1"/>
    <col min="18" max="18" width="8.81640625" style="33"/>
    <col min="19" max="19" width="12.81640625" style="33" customWidth="1"/>
    <col min="20" max="20" width="8.81640625" style="33"/>
    <col min="21" max="21" width="9.81640625" style="33" customWidth="1"/>
    <col min="22" max="22" width="8.81640625" style="33"/>
    <col min="23" max="23" width="13.26953125" style="82" customWidth="1"/>
    <col min="24" max="24" width="12.1796875" style="33" customWidth="1"/>
    <col min="25" max="26" width="9.81640625" style="33" customWidth="1"/>
    <col min="27" max="32" width="12.81640625" style="33" customWidth="1"/>
    <col min="33" max="33" width="15.81640625" style="33" customWidth="1"/>
    <col min="34" max="35" width="12.81640625" style="4" customWidth="1"/>
    <col min="36" max="36" width="22" style="33" customWidth="1"/>
    <col min="37" max="37" width="12.1796875" style="33" customWidth="1"/>
    <col min="38" max="38" width="13.1796875" style="33" customWidth="1"/>
    <col min="39" max="16384" width="8.81640625" style="33"/>
  </cols>
  <sheetData>
    <row r="1" spans="1:38" ht="13">
      <c r="A1" s="156" t="s">
        <v>15</v>
      </c>
      <c r="B1" s="156"/>
      <c r="C1" s="156"/>
      <c r="D1" s="156"/>
      <c r="E1" s="157"/>
      <c r="F1" s="32" t="s">
        <v>716</v>
      </c>
    </row>
    <row r="2" spans="1:38">
      <c r="A2" s="178" t="s">
        <v>355</v>
      </c>
      <c r="B2" s="178"/>
      <c r="C2" s="120"/>
      <c r="D2" s="33" t="s">
        <v>580</v>
      </c>
    </row>
    <row r="3" spans="1:38" ht="14.5">
      <c r="A3" s="178" t="s">
        <v>357</v>
      </c>
      <c r="B3" s="178"/>
      <c r="C3" s="33" t="s">
        <v>356</v>
      </c>
      <c r="F3" s="169" t="s">
        <v>358</v>
      </c>
      <c r="G3" s="169"/>
    </row>
    <row r="4" spans="1:38" ht="13">
      <c r="A4" s="178" t="s">
        <v>359</v>
      </c>
      <c r="B4" s="178"/>
      <c r="C4" s="33" t="s">
        <v>460</v>
      </c>
    </row>
    <row r="5" spans="1:38" ht="13">
      <c r="A5" s="162" t="s">
        <v>360</v>
      </c>
      <c r="B5" s="162"/>
      <c r="C5" s="4" t="s">
        <v>553</v>
      </c>
    </row>
    <row r="6" spans="1:38" ht="13">
      <c r="A6" s="162" t="s">
        <v>361</v>
      </c>
      <c r="B6" s="162"/>
      <c r="C6" s="14"/>
    </row>
    <row r="7" spans="1:38" ht="26">
      <c r="A7" s="34" t="s">
        <v>155</v>
      </c>
      <c r="B7" s="34" t="s">
        <v>362</v>
      </c>
      <c r="C7" s="34" t="s">
        <v>363</v>
      </c>
      <c r="D7" s="34" t="s">
        <v>364</v>
      </c>
      <c r="E7" s="34" t="s">
        <v>365</v>
      </c>
      <c r="F7" s="35" t="s">
        <v>129</v>
      </c>
      <c r="G7" s="35" t="s">
        <v>146</v>
      </c>
      <c r="H7" s="35" t="s">
        <v>366</v>
      </c>
      <c r="I7" s="35" t="s">
        <v>149</v>
      </c>
      <c r="J7" s="35" t="s">
        <v>367</v>
      </c>
      <c r="K7" s="35" t="s">
        <v>368</v>
      </c>
      <c r="L7" s="35" t="s">
        <v>170</v>
      </c>
      <c r="M7" s="35" t="s">
        <v>368</v>
      </c>
      <c r="N7" s="35" t="s">
        <v>30</v>
      </c>
      <c r="O7" s="35" t="s">
        <v>368</v>
      </c>
      <c r="P7" s="35" t="s">
        <v>175</v>
      </c>
      <c r="Q7" s="35" t="s">
        <v>368</v>
      </c>
      <c r="R7" s="35" t="s">
        <v>189</v>
      </c>
      <c r="S7" s="35" t="s">
        <v>368</v>
      </c>
      <c r="T7" s="35" t="s">
        <v>194</v>
      </c>
      <c r="U7" s="35" t="s">
        <v>368</v>
      </c>
      <c r="V7" s="35" t="s">
        <v>179</v>
      </c>
      <c r="W7" s="35" t="s">
        <v>368</v>
      </c>
      <c r="X7" s="35" t="s">
        <v>369</v>
      </c>
      <c r="Y7" s="35" t="s">
        <v>368</v>
      </c>
      <c r="Z7" s="35" t="s">
        <v>554</v>
      </c>
      <c r="AA7" s="35" t="s">
        <v>368</v>
      </c>
      <c r="AB7" s="6" t="s">
        <v>371</v>
      </c>
      <c r="AC7" s="6" t="s">
        <v>368</v>
      </c>
      <c r="AD7" s="6" t="s">
        <v>372</v>
      </c>
      <c r="AE7" s="6" t="s">
        <v>368</v>
      </c>
      <c r="AF7" s="6" t="s">
        <v>373</v>
      </c>
      <c r="AG7" s="6" t="s">
        <v>368</v>
      </c>
      <c r="AH7" s="79" t="s">
        <v>467</v>
      </c>
      <c r="AI7" s="6" t="s">
        <v>368</v>
      </c>
      <c r="AJ7" s="35" t="s">
        <v>374</v>
      </c>
      <c r="AK7" s="35" t="s">
        <v>375</v>
      </c>
      <c r="AL7" s="35" t="s">
        <v>376</v>
      </c>
    </row>
    <row r="8" spans="1:38">
      <c r="A8" s="33" t="s">
        <v>377</v>
      </c>
      <c r="D8" s="33" t="s">
        <v>378</v>
      </c>
      <c r="E8" s="33" t="s">
        <v>19</v>
      </c>
      <c r="F8" s="82">
        <v>4</v>
      </c>
      <c r="G8" s="82">
        <v>16</v>
      </c>
      <c r="H8" s="82">
        <v>0</v>
      </c>
      <c r="I8" s="82">
        <v>351</v>
      </c>
      <c r="J8" s="82">
        <f>G8-H8</f>
        <v>16</v>
      </c>
      <c r="K8" s="12" t="s">
        <v>468</v>
      </c>
      <c r="L8" s="82"/>
      <c r="M8" s="82"/>
      <c r="N8" s="82"/>
      <c r="O8" s="82"/>
      <c r="P8" s="82"/>
      <c r="Q8" s="82"/>
      <c r="R8" s="82"/>
      <c r="S8" s="82"/>
      <c r="T8" s="82"/>
      <c r="U8" s="82"/>
      <c r="V8" s="82"/>
      <c r="X8" s="82"/>
      <c r="Y8" s="82"/>
      <c r="Z8" s="82"/>
      <c r="AA8" s="82"/>
      <c r="AB8" s="82"/>
      <c r="AC8" s="82"/>
      <c r="AD8" s="82"/>
      <c r="AE8" s="82"/>
      <c r="AF8" s="82"/>
      <c r="AG8" s="82"/>
      <c r="AH8" s="12"/>
      <c r="AI8" s="12"/>
      <c r="AJ8" s="82" t="s">
        <v>380</v>
      </c>
      <c r="AK8" s="82" t="s">
        <v>381</v>
      </c>
      <c r="AL8" s="82"/>
    </row>
    <row r="9" spans="1:38">
      <c r="A9" s="33" t="s">
        <v>385</v>
      </c>
      <c r="B9" s="82" t="s">
        <v>386</v>
      </c>
      <c r="C9" s="33" t="s">
        <v>387</v>
      </c>
      <c r="D9" s="33" t="s">
        <v>378</v>
      </c>
      <c r="E9" s="33" t="s">
        <v>27</v>
      </c>
      <c r="F9" s="82">
        <v>6</v>
      </c>
      <c r="G9" s="82">
        <v>6</v>
      </c>
      <c r="H9" s="82">
        <v>6</v>
      </c>
      <c r="I9" s="82">
        <v>41</v>
      </c>
      <c r="J9" s="82">
        <f t="shared" ref="J9:J40" si="0">G9-H9</f>
        <v>0</v>
      </c>
      <c r="K9" s="82" t="s">
        <v>469</v>
      </c>
      <c r="L9" s="82"/>
      <c r="M9" s="82"/>
      <c r="N9" s="82"/>
      <c r="O9" s="82"/>
      <c r="P9" s="82"/>
      <c r="Q9" s="82"/>
      <c r="R9" s="82"/>
      <c r="S9" s="82"/>
      <c r="T9" s="82"/>
      <c r="U9" s="82"/>
      <c r="V9" s="82"/>
      <c r="X9" s="82"/>
      <c r="Y9" s="82"/>
      <c r="Z9" s="82"/>
      <c r="AA9" s="82"/>
      <c r="AB9" s="82"/>
      <c r="AC9" s="82"/>
      <c r="AD9" s="82"/>
      <c r="AE9" s="82"/>
      <c r="AF9" s="82"/>
      <c r="AG9" s="82"/>
      <c r="AH9" s="12"/>
      <c r="AI9" s="12"/>
      <c r="AJ9" s="82" t="s">
        <v>380</v>
      </c>
      <c r="AK9" s="82" t="s">
        <v>381</v>
      </c>
      <c r="AL9" s="82"/>
    </row>
    <row r="10" spans="1:38">
      <c r="A10" s="33" t="s">
        <v>389</v>
      </c>
      <c r="B10" s="82"/>
      <c r="C10" s="33" t="s">
        <v>387</v>
      </c>
      <c r="D10" s="33" t="s">
        <v>378</v>
      </c>
      <c r="E10" s="33" t="s">
        <v>30</v>
      </c>
      <c r="F10" s="82">
        <v>24</v>
      </c>
      <c r="G10" s="82">
        <v>240</v>
      </c>
      <c r="H10" s="82">
        <v>240</v>
      </c>
      <c r="I10" s="82">
        <v>117</v>
      </c>
      <c r="J10" s="82">
        <f t="shared" si="0"/>
        <v>0</v>
      </c>
      <c r="K10" s="82" t="s">
        <v>470</v>
      </c>
      <c r="L10" s="82">
        <v>500</v>
      </c>
      <c r="M10" s="82" t="s">
        <v>607</v>
      </c>
      <c r="N10" s="82">
        <v>16400</v>
      </c>
      <c r="O10" s="82" t="s">
        <v>608</v>
      </c>
      <c r="P10" s="82">
        <v>18000</v>
      </c>
      <c r="Q10" s="82" t="s">
        <v>609</v>
      </c>
      <c r="R10" s="82"/>
      <c r="S10" s="82"/>
      <c r="T10" s="82"/>
      <c r="U10" s="82"/>
      <c r="V10" s="82"/>
      <c r="X10" s="82">
        <v>33600</v>
      </c>
      <c r="Y10" s="82" t="s">
        <v>610</v>
      </c>
      <c r="Z10" s="82"/>
      <c r="AA10" s="82"/>
      <c r="AB10" s="82"/>
      <c r="AC10" s="82"/>
      <c r="AD10" s="82"/>
      <c r="AE10" s="82"/>
      <c r="AF10" s="82"/>
      <c r="AG10" s="82"/>
      <c r="AH10" s="12">
        <v>6144</v>
      </c>
      <c r="AI10" s="12" t="s">
        <v>471</v>
      </c>
      <c r="AJ10" s="82" t="s">
        <v>380</v>
      </c>
      <c r="AK10" s="82" t="s">
        <v>381</v>
      </c>
      <c r="AL10" s="82"/>
    </row>
    <row r="11" spans="1:38">
      <c r="A11" s="33" t="s">
        <v>393</v>
      </c>
      <c r="B11" s="82" t="s">
        <v>386</v>
      </c>
      <c r="C11" s="33" t="s">
        <v>387</v>
      </c>
      <c r="D11" s="33" t="s">
        <v>378</v>
      </c>
      <c r="E11" s="33" t="s">
        <v>34</v>
      </c>
      <c r="F11" s="82">
        <v>9</v>
      </c>
      <c r="G11" s="82">
        <v>7</v>
      </c>
      <c r="H11" s="82">
        <v>7</v>
      </c>
      <c r="I11" s="82">
        <v>46</v>
      </c>
      <c r="J11" s="82">
        <f t="shared" si="0"/>
        <v>0</v>
      </c>
      <c r="K11" s="82" t="s">
        <v>472</v>
      </c>
      <c r="L11" s="82"/>
      <c r="M11" s="82"/>
      <c r="N11" s="82"/>
      <c r="O11" s="82"/>
      <c r="P11" s="82"/>
      <c r="Q11" s="82"/>
      <c r="R11" s="82">
        <v>1395</v>
      </c>
      <c r="S11" s="82" t="s">
        <v>611</v>
      </c>
      <c r="T11" s="12">
        <v>300</v>
      </c>
      <c r="U11" s="82" t="s">
        <v>194</v>
      </c>
      <c r="V11" s="82"/>
      <c r="X11" s="82">
        <v>800</v>
      </c>
      <c r="Y11" s="82" t="s">
        <v>612</v>
      </c>
      <c r="Z11" s="82"/>
      <c r="AA11" s="82"/>
      <c r="AB11" s="82"/>
      <c r="AC11" s="82"/>
      <c r="AD11" s="82"/>
      <c r="AE11" s="82"/>
      <c r="AF11" s="82"/>
      <c r="AG11" s="82"/>
      <c r="AH11" s="12"/>
      <c r="AI11" s="12"/>
      <c r="AJ11" s="82" t="s">
        <v>380</v>
      </c>
      <c r="AK11" s="82" t="s">
        <v>381</v>
      </c>
      <c r="AL11" s="82"/>
    </row>
    <row r="12" spans="1:38">
      <c r="A12" s="33" t="s">
        <v>395</v>
      </c>
      <c r="C12" s="33" t="s">
        <v>387</v>
      </c>
      <c r="D12" s="33" t="s">
        <v>378</v>
      </c>
      <c r="E12" s="33" t="s">
        <v>38</v>
      </c>
      <c r="F12" s="82">
        <v>2</v>
      </c>
      <c r="G12" s="82">
        <v>3</v>
      </c>
      <c r="H12" s="82">
        <v>0</v>
      </c>
      <c r="I12" s="82">
        <v>31</v>
      </c>
      <c r="J12" s="82">
        <f t="shared" si="0"/>
        <v>3</v>
      </c>
      <c r="K12" s="82" t="s">
        <v>469</v>
      </c>
      <c r="L12" s="82"/>
      <c r="M12" s="82"/>
      <c r="N12" s="82"/>
      <c r="O12" s="82"/>
      <c r="P12" s="82"/>
      <c r="Q12" s="82"/>
      <c r="R12" s="82"/>
      <c r="S12" s="82"/>
      <c r="T12" s="82"/>
      <c r="U12" s="82"/>
      <c r="V12" s="82"/>
      <c r="X12" s="82"/>
      <c r="Y12" s="82"/>
      <c r="Z12" s="82"/>
      <c r="AA12" s="82"/>
      <c r="AB12" s="82"/>
      <c r="AC12" s="82"/>
      <c r="AD12" s="82"/>
      <c r="AE12" s="82"/>
      <c r="AF12" s="82"/>
      <c r="AG12" s="82"/>
      <c r="AH12" s="12"/>
      <c r="AI12" s="12"/>
      <c r="AJ12" s="82" t="s">
        <v>396</v>
      </c>
      <c r="AK12" s="12" t="s">
        <v>397</v>
      </c>
      <c r="AL12" s="82" t="s">
        <v>381</v>
      </c>
    </row>
    <row r="13" spans="1:38">
      <c r="A13" s="33" t="s">
        <v>398</v>
      </c>
      <c r="C13" s="33" t="s">
        <v>387</v>
      </c>
      <c r="D13" s="33" t="s">
        <v>378</v>
      </c>
      <c r="E13" s="33" t="s">
        <v>42</v>
      </c>
      <c r="F13" s="82">
        <v>2</v>
      </c>
      <c r="G13" s="82">
        <v>5</v>
      </c>
      <c r="H13" s="82">
        <v>0</v>
      </c>
      <c r="I13" s="82">
        <v>31</v>
      </c>
      <c r="J13" s="82">
        <f t="shared" si="0"/>
        <v>5</v>
      </c>
      <c r="K13" s="82" t="s">
        <v>470</v>
      </c>
      <c r="L13" s="82"/>
      <c r="M13" s="82"/>
      <c r="N13" s="82"/>
      <c r="O13" s="82"/>
      <c r="P13" s="82"/>
      <c r="Q13" s="82"/>
      <c r="R13" s="82"/>
      <c r="S13" s="82"/>
      <c r="T13" s="82"/>
      <c r="U13" s="82"/>
      <c r="V13" s="82"/>
      <c r="X13" s="82"/>
      <c r="Y13" s="82"/>
      <c r="Z13" s="82"/>
      <c r="AA13" s="82"/>
      <c r="AB13" s="82"/>
      <c r="AC13" s="82"/>
      <c r="AD13" s="82"/>
      <c r="AE13" s="82"/>
      <c r="AF13" s="82"/>
      <c r="AG13" s="82"/>
      <c r="AH13" s="12"/>
      <c r="AI13" s="12"/>
      <c r="AJ13" s="82" t="s">
        <v>380</v>
      </c>
      <c r="AK13" s="82" t="s">
        <v>381</v>
      </c>
      <c r="AL13" s="82"/>
    </row>
    <row r="14" spans="1:38">
      <c r="A14" s="33" t="s">
        <v>399</v>
      </c>
      <c r="C14" s="33" t="s">
        <v>387</v>
      </c>
      <c r="D14" s="33" t="s">
        <v>378</v>
      </c>
      <c r="E14" s="33" t="s">
        <v>555</v>
      </c>
      <c r="F14" s="82">
        <v>3</v>
      </c>
      <c r="G14" s="82">
        <v>6</v>
      </c>
      <c r="H14" s="82">
        <v>0</v>
      </c>
      <c r="I14" s="82">
        <v>41</v>
      </c>
      <c r="J14" s="82">
        <f t="shared" si="0"/>
        <v>6</v>
      </c>
      <c r="K14" s="82" t="s">
        <v>472</v>
      </c>
      <c r="L14" s="82"/>
      <c r="M14" s="82"/>
      <c r="N14" s="82"/>
      <c r="O14" s="82"/>
      <c r="P14" s="82"/>
      <c r="Q14" s="82"/>
      <c r="R14" s="82"/>
      <c r="S14" s="82"/>
      <c r="T14" s="82"/>
      <c r="U14" s="82"/>
      <c r="V14" s="82"/>
      <c r="X14" s="82"/>
      <c r="Y14" s="82"/>
      <c r="Z14" s="82"/>
      <c r="AA14" s="82"/>
      <c r="AB14" s="82"/>
      <c r="AC14" s="82"/>
      <c r="AD14" s="82"/>
      <c r="AE14" s="82"/>
      <c r="AF14" s="82"/>
      <c r="AG14" s="82"/>
      <c r="AH14" s="12"/>
      <c r="AI14" s="12"/>
      <c r="AJ14" s="82" t="s">
        <v>396</v>
      </c>
      <c r="AK14" s="12" t="s">
        <v>397</v>
      </c>
      <c r="AL14" s="82"/>
    </row>
    <row r="15" spans="1:38">
      <c r="A15" s="33" t="s">
        <v>401</v>
      </c>
      <c r="C15" s="33" t="s">
        <v>387</v>
      </c>
      <c r="D15" s="33" t="s">
        <v>378</v>
      </c>
      <c r="E15" s="33" t="s">
        <v>402</v>
      </c>
      <c r="F15" s="82">
        <v>5</v>
      </c>
      <c r="G15" s="82">
        <v>7</v>
      </c>
      <c r="H15" s="82">
        <v>0</v>
      </c>
      <c r="I15" s="82">
        <v>56</v>
      </c>
      <c r="J15" s="82">
        <f t="shared" si="0"/>
        <v>7</v>
      </c>
      <c r="K15" s="82" t="s">
        <v>469</v>
      </c>
      <c r="L15" s="82"/>
      <c r="M15" s="82"/>
      <c r="N15" s="82"/>
      <c r="O15" s="82"/>
      <c r="P15" s="82"/>
      <c r="Q15" s="82"/>
      <c r="R15" s="82"/>
      <c r="S15" s="82"/>
      <c r="T15" s="82"/>
      <c r="U15" s="82"/>
      <c r="V15" s="82"/>
      <c r="X15" s="82"/>
      <c r="Y15" s="82"/>
      <c r="Z15" s="82"/>
      <c r="AA15" s="82"/>
      <c r="AB15" s="82"/>
      <c r="AC15" s="82"/>
      <c r="AD15" s="82"/>
      <c r="AE15" s="82"/>
      <c r="AF15" s="82"/>
      <c r="AG15" s="82"/>
      <c r="AH15" s="12"/>
      <c r="AI15" s="12"/>
      <c r="AJ15" s="82" t="s">
        <v>396</v>
      </c>
      <c r="AK15" s="12" t="s">
        <v>397</v>
      </c>
      <c r="AL15" s="82"/>
    </row>
    <row r="16" spans="1:38">
      <c r="A16" s="33" t="s">
        <v>403</v>
      </c>
      <c r="C16" s="33" t="s">
        <v>387</v>
      </c>
      <c r="D16" s="33" t="s">
        <v>378</v>
      </c>
      <c r="E16" s="33" t="s">
        <v>54</v>
      </c>
      <c r="F16" s="82">
        <v>8</v>
      </c>
      <c r="G16" s="82">
        <v>13</v>
      </c>
      <c r="H16" s="82">
        <v>0</v>
      </c>
      <c r="I16" s="82">
        <v>81</v>
      </c>
      <c r="J16" s="82">
        <f t="shared" si="0"/>
        <v>13</v>
      </c>
      <c r="K16" s="82" t="s">
        <v>470</v>
      </c>
      <c r="L16" s="82"/>
      <c r="M16" s="82"/>
      <c r="N16" s="82"/>
      <c r="O16" s="82"/>
      <c r="P16" s="82"/>
      <c r="Q16" s="82"/>
      <c r="R16" s="82"/>
      <c r="S16" s="82"/>
      <c r="T16" s="82"/>
      <c r="U16" s="82"/>
      <c r="V16" s="82"/>
      <c r="X16" s="82"/>
      <c r="Y16" s="82"/>
      <c r="Z16" s="82"/>
      <c r="AA16" s="82"/>
      <c r="AB16" s="82"/>
      <c r="AC16" s="82"/>
      <c r="AD16" s="82"/>
      <c r="AE16" s="82"/>
      <c r="AF16" s="82"/>
      <c r="AG16" s="82"/>
      <c r="AH16" s="12"/>
      <c r="AI16" s="12"/>
      <c r="AJ16" s="82" t="s">
        <v>396</v>
      </c>
      <c r="AK16" s="12" t="s">
        <v>397</v>
      </c>
      <c r="AL16" s="82"/>
    </row>
    <row r="17" spans="1:38">
      <c r="A17" s="33" t="s">
        <v>404</v>
      </c>
      <c r="C17" s="33" t="s">
        <v>387</v>
      </c>
      <c r="D17" s="33" t="s">
        <v>378</v>
      </c>
      <c r="E17" s="33" t="s">
        <v>58</v>
      </c>
      <c r="F17" s="82">
        <v>4</v>
      </c>
      <c r="G17" s="82">
        <v>4</v>
      </c>
      <c r="H17" s="82">
        <v>0</v>
      </c>
      <c r="I17" s="82">
        <v>31</v>
      </c>
      <c r="J17" s="82">
        <f t="shared" si="0"/>
        <v>4</v>
      </c>
      <c r="K17" s="82" t="s">
        <v>472</v>
      </c>
      <c r="L17" s="82"/>
      <c r="M17" s="82"/>
      <c r="N17" s="82"/>
      <c r="O17" s="82"/>
      <c r="P17" s="82"/>
      <c r="Q17" s="82"/>
      <c r="R17" s="82"/>
      <c r="S17" s="82"/>
      <c r="T17" s="82"/>
      <c r="U17" s="82"/>
      <c r="V17" s="82"/>
      <c r="X17" s="82"/>
      <c r="Y17" s="82"/>
      <c r="Z17" s="82"/>
      <c r="AA17" s="82"/>
      <c r="AB17" s="82"/>
      <c r="AC17" s="82"/>
      <c r="AD17" s="82"/>
      <c r="AE17" s="82"/>
      <c r="AF17" s="82"/>
      <c r="AG17" s="82"/>
      <c r="AH17" s="12"/>
      <c r="AI17" s="12"/>
      <c r="AJ17" s="82" t="s">
        <v>396</v>
      </c>
      <c r="AK17" s="12" t="s">
        <v>397</v>
      </c>
      <c r="AL17" s="82" t="s">
        <v>381</v>
      </c>
    </row>
    <row r="18" spans="1:38">
      <c r="A18" s="33" t="s">
        <v>405</v>
      </c>
      <c r="C18" s="33" t="s">
        <v>387</v>
      </c>
      <c r="D18" s="33" t="s">
        <v>378</v>
      </c>
      <c r="E18" s="33" t="s">
        <v>406</v>
      </c>
      <c r="F18" s="82">
        <v>8</v>
      </c>
      <c r="G18" s="82">
        <v>13</v>
      </c>
      <c r="H18" s="82">
        <v>0</v>
      </c>
      <c r="I18" s="82">
        <v>109</v>
      </c>
      <c r="J18" s="82">
        <f t="shared" si="0"/>
        <v>13</v>
      </c>
      <c r="K18" s="82" t="s">
        <v>469</v>
      </c>
      <c r="L18" s="82"/>
      <c r="M18" s="82"/>
      <c r="N18" s="82"/>
      <c r="O18" s="82"/>
      <c r="P18" s="82"/>
      <c r="Q18" s="82"/>
      <c r="R18" s="82"/>
      <c r="S18" s="82"/>
      <c r="T18" s="82"/>
      <c r="U18" s="82"/>
      <c r="V18" s="82"/>
      <c r="X18" s="82"/>
      <c r="Y18" s="82"/>
      <c r="Z18" s="82"/>
      <c r="AA18" s="82"/>
      <c r="AB18" s="12">
        <v>50</v>
      </c>
      <c r="AC18" s="12" t="s">
        <v>472</v>
      </c>
      <c r="AD18" s="12"/>
      <c r="AE18" s="12"/>
      <c r="AF18" s="12"/>
      <c r="AG18" s="12"/>
      <c r="AH18" s="12"/>
      <c r="AI18" s="12"/>
      <c r="AJ18" s="82" t="s">
        <v>380</v>
      </c>
      <c r="AK18" s="82" t="s">
        <v>381</v>
      </c>
      <c r="AL18" s="82"/>
    </row>
    <row r="19" spans="1:38">
      <c r="A19" s="33" t="s">
        <v>407</v>
      </c>
      <c r="C19" s="33" t="s">
        <v>387</v>
      </c>
      <c r="D19" s="33" t="s">
        <v>378</v>
      </c>
      <c r="E19" s="33" t="s">
        <v>65</v>
      </c>
      <c r="F19" s="82">
        <v>6</v>
      </c>
      <c r="G19" s="82">
        <v>8</v>
      </c>
      <c r="H19" s="82">
        <v>0</v>
      </c>
      <c r="I19" s="82">
        <v>169</v>
      </c>
      <c r="J19" s="82">
        <f t="shared" si="0"/>
        <v>8</v>
      </c>
      <c r="K19" s="82" t="s">
        <v>470</v>
      </c>
      <c r="L19" s="82"/>
      <c r="M19" s="82"/>
      <c r="N19" s="82"/>
      <c r="O19" s="82"/>
      <c r="P19" s="82"/>
      <c r="Q19" s="82"/>
      <c r="R19" s="82"/>
      <c r="S19" s="82"/>
      <c r="T19" s="82"/>
      <c r="U19" s="82"/>
      <c r="V19" s="82"/>
      <c r="X19" s="82"/>
      <c r="Y19" s="82"/>
      <c r="Z19" s="82"/>
      <c r="AA19" s="82"/>
      <c r="AB19" s="82"/>
      <c r="AC19" s="82"/>
      <c r="AD19" s="82"/>
      <c r="AE19" s="82"/>
      <c r="AF19" s="82"/>
      <c r="AG19" s="82"/>
      <c r="AH19" s="12"/>
      <c r="AI19" s="12"/>
      <c r="AJ19" s="82" t="s">
        <v>396</v>
      </c>
      <c r="AK19" s="12" t="s">
        <v>397</v>
      </c>
      <c r="AL19" s="82"/>
    </row>
    <row r="20" spans="1:38">
      <c r="A20" s="33" t="s">
        <v>408</v>
      </c>
      <c r="C20" s="33" t="s">
        <v>387</v>
      </c>
      <c r="D20" s="33" t="s">
        <v>378</v>
      </c>
      <c r="E20" s="33" t="s">
        <v>556</v>
      </c>
      <c r="F20" s="82">
        <v>8</v>
      </c>
      <c r="G20" s="82">
        <v>8</v>
      </c>
      <c r="H20" s="82">
        <v>0</v>
      </c>
      <c r="I20" s="82">
        <v>61</v>
      </c>
      <c r="J20" s="82">
        <f t="shared" si="0"/>
        <v>8</v>
      </c>
      <c r="K20" s="82" t="s">
        <v>472</v>
      </c>
      <c r="L20" s="82"/>
      <c r="M20" s="82"/>
      <c r="N20" s="82"/>
      <c r="O20" s="82"/>
      <c r="P20" s="82"/>
      <c r="Q20" s="82"/>
      <c r="R20" s="82"/>
      <c r="S20" s="82"/>
      <c r="T20" s="82"/>
      <c r="U20" s="82"/>
      <c r="V20" s="82"/>
      <c r="X20" s="82"/>
      <c r="Y20" s="82"/>
      <c r="Z20" s="82"/>
      <c r="AA20" s="82"/>
      <c r="AB20" s="82"/>
      <c r="AC20" s="82"/>
      <c r="AD20" s="82"/>
      <c r="AE20" s="82"/>
      <c r="AF20" s="82"/>
      <c r="AG20" s="82"/>
      <c r="AH20" s="12"/>
      <c r="AI20" s="12"/>
      <c r="AJ20" s="82" t="s">
        <v>380</v>
      </c>
      <c r="AK20" s="82" t="s">
        <v>381</v>
      </c>
      <c r="AL20" s="82"/>
    </row>
    <row r="21" spans="1:38">
      <c r="A21" s="33" t="s">
        <v>409</v>
      </c>
      <c r="C21" s="33" t="s">
        <v>387</v>
      </c>
      <c r="D21" s="33" t="s">
        <v>378</v>
      </c>
      <c r="E21" s="33" t="s">
        <v>556</v>
      </c>
      <c r="F21" s="82">
        <v>8</v>
      </c>
      <c r="G21" s="82">
        <v>8</v>
      </c>
      <c r="H21" s="82">
        <v>0</v>
      </c>
      <c r="I21" s="82">
        <v>61</v>
      </c>
      <c r="J21" s="82">
        <f t="shared" si="0"/>
        <v>8</v>
      </c>
      <c r="K21" s="82" t="s">
        <v>469</v>
      </c>
      <c r="L21" s="82"/>
      <c r="M21" s="82"/>
      <c r="N21" s="82"/>
      <c r="O21" s="82"/>
      <c r="P21" s="82"/>
      <c r="Q21" s="82"/>
      <c r="R21" s="82"/>
      <c r="S21" s="82"/>
      <c r="T21" s="82"/>
      <c r="U21" s="82"/>
      <c r="V21" s="82"/>
      <c r="X21" s="82"/>
      <c r="Y21" s="82"/>
      <c r="Z21" s="82"/>
      <c r="AA21" s="82"/>
      <c r="AB21" s="82"/>
      <c r="AC21" s="82"/>
      <c r="AD21" s="82"/>
      <c r="AE21" s="82"/>
      <c r="AF21" s="82"/>
      <c r="AG21" s="82"/>
      <c r="AH21" s="12"/>
      <c r="AI21" s="12"/>
      <c r="AJ21" s="82" t="s">
        <v>380</v>
      </c>
      <c r="AK21" s="82" t="s">
        <v>381</v>
      </c>
      <c r="AL21" s="82"/>
    </row>
    <row r="22" spans="1:38">
      <c r="A22" s="33" t="s">
        <v>410</v>
      </c>
      <c r="C22" s="33" t="s">
        <v>387</v>
      </c>
      <c r="D22" s="33" t="s">
        <v>378</v>
      </c>
      <c r="E22" s="33" t="s">
        <v>73</v>
      </c>
      <c r="F22" s="82">
        <v>8</v>
      </c>
      <c r="G22" s="82">
        <v>18</v>
      </c>
      <c r="H22" s="82">
        <v>0</v>
      </c>
      <c r="I22" s="82">
        <v>151</v>
      </c>
      <c r="J22" s="82">
        <f t="shared" si="0"/>
        <v>18</v>
      </c>
      <c r="K22" s="82" t="s">
        <v>470</v>
      </c>
      <c r="L22" s="82"/>
      <c r="M22" s="82"/>
      <c r="N22" s="82"/>
      <c r="O22" s="82"/>
      <c r="P22" s="82"/>
      <c r="Q22" s="82"/>
      <c r="R22" s="82"/>
      <c r="S22" s="82"/>
      <c r="T22" s="82"/>
      <c r="U22" s="82"/>
      <c r="V22" s="82"/>
      <c r="X22" s="82"/>
      <c r="Y22" s="82"/>
      <c r="Z22" s="82"/>
      <c r="AA22" s="82"/>
      <c r="AB22" s="82"/>
      <c r="AC22" s="82"/>
      <c r="AD22" s="12">
        <v>100</v>
      </c>
      <c r="AE22" s="12" t="s">
        <v>470</v>
      </c>
      <c r="AF22" s="12"/>
      <c r="AG22" s="12"/>
      <c r="AH22" s="12"/>
      <c r="AI22" s="12"/>
      <c r="AJ22" s="82" t="s">
        <v>380</v>
      </c>
      <c r="AK22" s="82" t="s">
        <v>381</v>
      </c>
      <c r="AL22" s="82"/>
    </row>
    <row r="23" spans="1:38">
      <c r="A23" s="33" t="s">
        <v>411</v>
      </c>
      <c r="C23" s="33" t="s">
        <v>387</v>
      </c>
      <c r="D23" s="33" t="s">
        <v>378</v>
      </c>
      <c r="E23" s="33" t="s">
        <v>77</v>
      </c>
      <c r="F23" s="82">
        <v>8</v>
      </c>
      <c r="G23" s="82">
        <v>18</v>
      </c>
      <c r="H23" s="82">
        <v>0</v>
      </c>
      <c r="I23" s="82">
        <v>151</v>
      </c>
      <c r="J23" s="82">
        <f t="shared" si="0"/>
        <v>18</v>
      </c>
      <c r="K23" s="82" t="s">
        <v>472</v>
      </c>
      <c r="L23" s="82"/>
      <c r="M23" s="82"/>
      <c r="N23" s="82"/>
      <c r="O23" s="82"/>
      <c r="P23" s="82"/>
      <c r="Q23" s="82"/>
      <c r="R23" s="82"/>
      <c r="S23" s="82"/>
      <c r="T23" s="82"/>
      <c r="U23" s="82"/>
      <c r="V23" s="82"/>
      <c r="X23" s="82"/>
      <c r="Y23" s="82"/>
      <c r="Z23" s="82"/>
      <c r="AA23" s="82"/>
      <c r="AB23" s="82"/>
      <c r="AC23" s="82"/>
      <c r="AD23" s="12">
        <v>100</v>
      </c>
      <c r="AE23" s="12" t="s">
        <v>472</v>
      </c>
      <c r="AF23" s="12"/>
      <c r="AG23" s="12"/>
      <c r="AH23" s="12"/>
      <c r="AI23" s="12"/>
      <c r="AJ23" s="82" t="s">
        <v>380</v>
      </c>
      <c r="AK23" s="82" t="s">
        <v>381</v>
      </c>
      <c r="AL23" s="82"/>
    </row>
    <row r="24" spans="1:38">
      <c r="A24" s="33" t="s">
        <v>433</v>
      </c>
      <c r="C24" s="33" t="s">
        <v>387</v>
      </c>
      <c r="D24" s="33" t="s">
        <v>378</v>
      </c>
      <c r="E24" s="33" t="s">
        <v>81</v>
      </c>
      <c r="F24" s="82">
        <v>6</v>
      </c>
      <c r="G24" s="82">
        <v>9</v>
      </c>
      <c r="H24" s="82">
        <v>0</v>
      </c>
      <c r="I24" s="82">
        <v>41</v>
      </c>
      <c r="J24" s="82">
        <f t="shared" si="0"/>
        <v>9</v>
      </c>
      <c r="K24" s="82" t="s">
        <v>469</v>
      </c>
      <c r="L24" s="82"/>
      <c r="M24" s="82"/>
      <c r="N24" s="82"/>
      <c r="O24" s="82"/>
      <c r="P24" s="82"/>
      <c r="Q24" s="82"/>
      <c r="R24" s="82"/>
      <c r="S24" s="82"/>
      <c r="T24" s="82"/>
      <c r="U24" s="82"/>
      <c r="V24" s="82"/>
      <c r="X24" s="82"/>
      <c r="Y24" s="82"/>
      <c r="Z24" s="82"/>
      <c r="AA24" s="82"/>
      <c r="AB24" s="82"/>
      <c r="AC24" s="82"/>
      <c r="AD24" s="82"/>
      <c r="AE24" s="82"/>
      <c r="AF24" s="82"/>
      <c r="AG24" s="82"/>
      <c r="AH24" s="12"/>
      <c r="AI24" s="12"/>
      <c r="AJ24" s="82" t="s">
        <v>380</v>
      </c>
      <c r="AK24" s="82" t="s">
        <v>381</v>
      </c>
      <c r="AL24" s="82"/>
    </row>
    <row r="25" spans="1:38">
      <c r="A25" s="33" t="s">
        <v>435</v>
      </c>
      <c r="C25" s="33" t="s">
        <v>387</v>
      </c>
      <c r="D25" s="33" t="s">
        <v>378</v>
      </c>
      <c r="E25" s="33" t="s">
        <v>81</v>
      </c>
      <c r="F25" s="82">
        <v>6</v>
      </c>
      <c r="G25" s="82">
        <v>9</v>
      </c>
      <c r="H25" s="82">
        <v>0</v>
      </c>
      <c r="I25" s="82">
        <v>41</v>
      </c>
      <c r="J25" s="82">
        <f t="shared" si="0"/>
        <v>9</v>
      </c>
      <c r="K25" s="82" t="s">
        <v>470</v>
      </c>
      <c r="L25" s="82"/>
      <c r="M25" s="82"/>
      <c r="N25" s="82"/>
      <c r="O25" s="82"/>
      <c r="P25" s="82"/>
      <c r="Q25" s="82"/>
      <c r="R25" s="82"/>
      <c r="S25" s="82"/>
      <c r="T25" s="82"/>
      <c r="U25" s="82"/>
      <c r="V25" s="82"/>
      <c r="X25" s="82"/>
      <c r="Y25" s="82"/>
      <c r="Z25" s="82"/>
      <c r="AA25" s="82"/>
      <c r="AB25" s="82"/>
      <c r="AC25" s="82"/>
      <c r="AD25" s="82"/>
      <c r="AE25" s="82"/>
      <c r="AF25" s="82"/>
      <c r="AG25" s="82"/>
      <c r="AH25" s="12"/>
      <c r="AI25" s="12"/>
      <c r="AJ25" s="82" t="s">
        <v>380</v>
      </c>
      <c r="AK25" s="82" t="s">
        <v>381</v>
      </c>
      <c r="AL25" s="82"/>
    </row>
    <row r="26" spans="1:38">
      <c r="A26" s="33" t="s">
        <v>557</v>
      </c>
      <c r="C26" s="33" t="s">
        <v>387</v>
      </c>
      <c r="D26" s="33" t="s">
        <v>378</v>
      </c>
      <c r="E26" s="33" t="s">
        <v>85</v>
      </c>
      <c r="F26" s="82">
        <v>8</v>
      </c>
      <c r="G26" s="82">
        <v>36</v>
      </c>
      <c r="H26" s="82">
        <v>36</v>
      </c>
      <c r="I26" s="12">
        <v>136</v>
      </c>
      <c r="J26" s="82">
        <f t="shared" si="0"/>
        <v>0</v>
      </c>
      <c r="K26" s="82" t="s">
        <v>472</v>
      </c>
      <c r="L26" s="82"/>
      <c r="M26" s="82"/>
      <c r="N26" s="82"/>
      <c r="O26" s="82"/>
      <c r="P26" s="82"/>
      <c r="Q26" s="82"/>
      <c r="R26" s="82"/>
      <c r="S26" s="82"/>
      <c r="T26" s="82"/>
      <c r="U26" s="82"/>
      <c r="V26" s="82"/>
      <c r="X26" s="82"/>
      <c r="Y26" s="82"/>
      <c r="Z26" s="82"/>
      <c r="AA26" s="82"/>
      <c r="AB26" s="82"/>
      <c r="AC26" s="82"/>
      <c r="AD26" s="82"/>
      <c r="AE26" s="82"/>
      <c r="AF26" s="82"/>
      <c r="AG26" s="82"/>
      <c r="AH26" s="12"/>
      <c r="AI26" s="12"/>
      <c r="AJ26" s="82" t="s">
        <v>396</v>
      </c>
      <c r="AK26" s="12" t="s">
        <v>397</v>
      </c>
      <c r="AL26" s="82"/>
    </row>
    <row r="27" spans="1:38">
      <c r="A27" s="33" t="s">
        <v>558</v>
      </c>
      <c r="C27" s="33" t="s">
        <v>387</v>
      </c>
      <c r="D27" s="33" t="s">
        <v>378</v>
      </c>
      <c r="E27" s="33" t="s">
        <v>85</v>
      </c>
      <c r="F27" s="82">
        <v>8</v>
      </c>
      <c r="G27" s="82">
        <v>36</v>
      </c>
      <c r="H27" s="82">
        <v>36</v>
      </c>
      <c r="I27" s="12">
        <v>136</v>
      </c>
      <c r="J27" s="82">
        <f t="shared" si="0"/>
        <v>0</v>
      </c>
      <c r="K27" s="82" t="s">
        <v>469</v>
      </c>
      <c r="L27" s="82"/>
      <c r="M27" s="82"/>
      <c r="N27" s="82"/>
      <c r="O27" s="82"/>
      <c r="P27" s="82"/>
      <c r="Q27" s="82"/>
      <c r="R27" s="82"/>
      <c r="S27" s="82"/>
      <c r="T27" s="82"/>
      <c r="U27" s="82"/>
      <c r="V27" s="82"/>
      <c r="X27" s="82"/>
      <c r="Y27" s="82"/>
      <c r="Z27" s="82"/>
      <c r="AA27" s="82"/>
      <c r="AB27" s="82"/>
      <c r="AC27" s="82"/>
      <c r="AD27" s="82"/>
      <c r="AE27" s="82"/>
      <c r="AF27" s="82"/>
      <c r="AG27" s="82"/>
      <c r="AH27" s="12"/>
      <c r="AI27" s="12"/>
      <c r="AJ27" s="82" t="s">
        <v>396</v>
      </c>
      <c r="AK27" s="12" t="s">
        <v>397</v>
      </c>
      <c r="AL27" s="82"/>
    </row>
    <row r="28" spans="1:38">
      <c r="A28" s="33" t="s">
        <v>559</v>
      </c>
      <c r="C28" s="33" t="s">
        <v>387</v>
      </c>
      <c r="D28" s="33" t="s">
        <v>378</v>
      </c>
      <c r="E28" s="33" t="s">
        <v>85</v>
      </c>
      <c r="F28" s="82">
        <v>8</v>
      </c>
      <c r="G28" s="82">
        <v>36</v>
      </c>
      <c r="H28" s="82">
        <v>36</v>
      </c>
      <c r="I28" s="12">
        <v>136</v>
      </c>
      <c r="J28" s="82">
        <f t="shared" si="0"/>
        <v>0</v>
      </c>
      <c r="K28" s="82" t="s">
        <v>470</v>
      </c>
      <c r="L28" s="82"/>
      <c r="M28" s="82"/>
      <c r="N28" s="82"/>
      <c r="O28" s="82"/>
      <c r="P28" s="82"/>
      <c r="Q28" s="82"/>
      <c r="R28" s="82"/>
      <c r="S28" s="82"/>
      <c r="T28" s="82"/>
      <c r="V28" s="82"/>
      <c r="X28" s="82"/>
      <c r="Y28" s="82"/>
      <c r="Z28" s="82"/>
      <c r="AA28" s="82"/>
      <c r="AB28" s="82"/>
      <c r="AC28" s="82"/>
      <c r="AD28" s="82"/>
      <c r="AE28" s="82"/>
      <c r="AF28" s="82"/>
      <c r="AG28" s="82"/>
      <c r="AH28" s="12"/>
      <c r="AI28" s="12"/>
      <c r="AJ28" s="82" t="s">
        <v>396</v>
      </c>
      <c r="AK28" s="12" t="s">
        <v>397</v>
      </c>
      <c r="AL28" s="82"/>
    </row>
    <row r="29" spans="1:38">
      <c r="A29" s="33" t="s">
        <v>560</v>
      </c>
      <c r="C29" s="33" t="s">
        <v>387</v>
      </c>
      <c r="D29" s="33" t="s">
        <v>378</v>
      </c>
      <c r="E29" s="33" t="s">
        <v>85</v>
      </c>
      <c r="F29" s="82">
        <v>8</v>
      </c>
      <c r="G29" s="82">
        <v>36</v>
      </c>
      <c r="H29" s="82">
        <v>36</v>
      </c>
      <c r="I29" s="12">
        <v>136</v>
      </c>
      <c r="J29" s="82">
        <f t="shared" si="0"/>
        <v>0</v>
      </c>
      <c r="K29" s="82" t="s">
        <v>472</v>
      </c>
      <c r="L29" s="82"/>
      <c r="M29" s="82"/>
      <c r="N29" s="82"/>
      <c r="O29" s="82"/>
      <c r="P29" s="82"/>
      <c r="Q29" s="82"/>
      <c r="R29" s="82"/>
      <c r="S29" s="82"/>
      <c r="T29" s="82"/>
      <c r="U29" s="82"/>
      <c r="V29" s="82"/>
      <c r="X29" s="82"/>
      <c r="Y29" s="82"/>
      <c r="Z29" s="82"/>
      <c r="AA29" s="82"/>
      <c r="AB29" s="82"/>
      <c r="AC29" s="82"/>
      <c r="AD29" s="82"/>
      <c r="AE29" s="82"/>
      <c r="AF29" s="82"/>
      <c r="AG29" s="82"/>
      <c r="AH29" s="12"/>
      <c r="AI29" s="12"/>
      <c r="AJ29" s="82" t="s">
        <v>396</v>
      </c>
      <c r="AK29" s="12" t="s">
        <v>397</v>
      </c>
      <c r="AL29" s="82"/>
    </row>
    <row r="30" spans="1:38">
      <c r="A30" s="33" t="s">
        <v>566</v>
      </c>
      <c r="C30" s="33" t="s">
        <v>387</v>
      </c>
      <c r="D30" s="33" t="s">
        <v>378</v>
      </c>
      <c r="E30" s="33" t="s">
        <v>85</v>
      </c>
      <c r="F30" s="82">
        <v>8</v>
      </c>
      <c r="G30" s="82">
        <v>36</v>
      </c>
      <c r="H30" s="82">
        <v>36</v>
      </c>
      <c r="I30" s="12">
        <v>136</v>
      </c>
      <c r="J30" s="82">
        <f t="shared" si="0"/>
        <v>0</v>
      </c>
      <c r="K30" s="82" t="s">
        <v>469</v>
      </c>
      <c r="L30" s="82"/>
      <c r="M30" s="82"/>
      <c r="N30" s="82"/>
      <c r="O30" s="82"/>
      <c r="P30" s="82"/>
      <c r="Q30" s="82"/>
      <c r="R30" s="82"/>
      <c r="S30" s="82"/>
      <c r="T30" s="82"/>
      <c r="U30" s="82"/>
      <c r="V30" s="82"/>
      <c r="X30" s="82"/>
      <c r="Y30" s="82"/>
      <c r="Z30" s="82"/>
      <c r="AA30" s="82"/>
      <c r="AB30" s="82"/>
      <c r="AC30" s="82"/>
      <c r="AD30" s="82"/>
      <c r="AE30" s="82"/>
      <c r="AF30" s="82"/>
      <c r="AG30" s="82"/>
      <c r="AH30" s="12"/>
      <c r="AI30" s="12"/>
      <c r="AJ30" s="82" t="s">
        <v>396</v>
      </c>
      <c r="AK30" s="12" t="s">
        <v>397</v>
      </c>
      <c r="AL30" s="82"/>
    </row>
    <row r="31" spans="1:38">
      <c r="A31" s="33" t="s">
        <v>567</v>
      </c>
      <c r="C31" s="33" t="s">
        <v>387</v>
      </c>
      <c r="D31" s="33" t="s">
        <v>378</v>
      </c>
      <c r="E31" s="33" t="s">
        <v>85</v>
      </c>
      <c r="F31" s="82">
        <v>8</v>
      </c>
      <c r="G31" s="82">
        <v>36</v>
      </c>
      <c r="H31" s="82">
        <v>36</v>
      </c>
      <c r="I31" s="12">
        <v>136</v>
      </c>
      <c r="J31" s="82">
        <f t="shared" si="0"/>
        <v>0</v>
      </c>
      <c r="K31" s="82" t="s">
        <v>470</v>
      </c>
      <c r="L31" s="82"/>
      <c r="M31" s="82"/>
      <c r="N31" s="82"/>
      <c r="O31" s="82"/>
      <c r="P31" s="82"/>
      <c r="Q31" s="82"/>
      <c r="R31" s="82"/>
      <c r="S31" s="82"/>
      <c r="T31" s="82"/>
      <c r="U31" s="82"/>
      <c r="V31" s="82"/>
      <c r="X31" s="82"/>
      <c r="Y31" s="82"/>
      <c r="Z31" s="82"/>
      <c r="AA31" s="82"/>
      <c r="AB31" s="82"/>
      <c r="AC31" s="82"/>
      <c r="AD31" s="82"/>
      <c r="AE31" s="82"/>
      <c r="AF31" s="82"/>
      <c r="AG31" s="82"/>
      <c r="AH31" s="12"/>
      <c r="AI31" s="12"/>
      <c r="AJ31" s="82" t="s">
        <v>396</v>
      </c>
      <c r="AK31" s="12" t="s">
        <v>397</v>
      </c>
      <c r="AL31" s="82"/>
    </row>
    <row r="32" spans="1:38">
      <c r="A32" s="33" t="s">
        <v>582</v>
      </c>
      <c r="C32" s="33" t="s">
        <v>387</v>
      </c>
      <c r="D32" s="33" t="s">
        <v>378</v>
      </c>
      <c r="E32" s="33" t="s">
        <v>85</v>
      </c>
      <c r="F32" s="82">
        <v>8</v>
      </c>
      <c r="G32" s="82">
        <v>36</v>
      </c>
      <c r="H32" s="82">
        <v>36</v>
      </c>
      <c r="I32" s="12">
        <v>136</v>
      </c>
      <c r="J32" s="82">
        <f t="shared" si="0"/>
        <v>0</v>
      </c>
      <c r="K32" s="82" t="s">
        <v>472</v>
      </c>
      <c r="L32" s="82"/>
      <c r="M32" s="82"/>
      <c r="N32" s="82"/>
      <c r="O32" s="82"/>
      <c r="P32" s="82"/>
      <c r="Q32" s="82"/>
      <c r="R32" s="82"/>
      <c r="S32" s="82"/>
      <c r="T32" s="82"/>
      <c r="U32" s="82"/>
      <c r="V32" s="82"/>
      <c r="X32" s="82"/>
      <c r="Y32" s="82"/>
      <c r="Z32" s="82"/>
      <c r="AA32" s="82"/>
      <c r="AB32" s="82"/>
      <c r="AC32" s="82"/>
      <c r="AD32" s="82"/>
      <c r="AE32" s="82"/>
      <c r="AF32" s="82"/>
      <c r="AG32" s="82"/>
      <c r="AH32" s="12"/>
      <c r="AI32" s="12"/>
      <c r="AJ32" s="82" t="s">
        <v>396</v>
      </c>
      <c r="AK32" s="12" t="s">
        <v>397</v>
      </c>
      <c r="AL32" s="82"/>
    </row>
    <row r="33" spans="1:47">
      <c r="A33" s="33" t="s">
        <v>583</v>
      </c>
      <c r="C33" s="33" t="s">
        <v>387</v>
      </c>
      <c r="D33" s="33" t="s">
        <v>378</v>
      </c>
      <c r="E33" s="33" t="s">
        <v>85</v>
      </c>
      <c r="F33" s="82">
        <v>8</v>
      </c>
      <c r="G33" s="82">
        <v>36</v>
      </c>
      <c r="H33" s="82">
        <v>36</v>
      </c>
      <c r="I33" s="12">
        <v>136</v>
      </c>
      <c r="J33" s="82">
        <f t="shared" si="0"/>
        <v>0</v>
      </c>
      <c r="K33" s="82" t="s">
        <v>469</v>
      </c>
      <c r="L33" s="82"/>
      <c r="M33" s="82"/>
      <c r="N33" s="82"/>
      <c r="O33" s="82"/>
      <c r="P33" s="82"/>
      <c r="Q33" s="82"/>
      <c r="R33" s="82"/>
      <c r="S33" s="82"/>
      <c r="T33" s="82"/>
      <c r="U33" s="82"/>
      <c r="V33" s="82"/>
      <c r="X33" s="82"/>
      <c r="Y33" s="82"/>
      <c r="Z33" s="82"/>
      <c r="AA33" s="82"/>
      <c r="AB33" s="82"/>
      <c r="AC33" s="82"/>
      <c r="AD33" s="82"/>
      <c r="AE33" s="82"/>
      <c r="AF33" s="82"/>
      <c r="AG33" s="82"/>
      <c r="AH33" s="12"/>
      <c r="AI33" s="12"/>
      <c r="AJ33" s="82" t="s">
        <v>396</v>
      </c>
      <c r="AK33" s="12" t="s">
        <v>397</v>
      </c>
      <c r="AL33" s="82"/>
    </row>
    <row r="34" spans="1:47">
      <c r="A34" s="33" t="s">
        <v>590</v>
      </c>
      <c r="C34" s="33" t="s">
        <v>387</v>
      </c>
      <c r="D34" s="19" t="s">
        <v>434</v>
      </c>
      <c r="E34" s="4" t="s">
        <v>89</v>
      </c>
      <c r="F34" s="82">
        <v>4</v>
      </c>
      <c r="G34" s="82">
        <v>4</v>
      </c>
      <c r="H34" s="82">
        <v>0</v>
      </c>
      <c r="I34" s="82">
        <v>100</v>
      </c>
      <c r="J34" s="82">
        <f t="shared" si="0"/>
        <v>4</v>
      </c>
      <c r="K34" s="82" t="s">
        <v>470</v>
      </c>
      <c r="L34" s="82"/>
      <c r="M34" s="82"/>
      <c r="N34" s="82"/>
      <c r="O34" s="82"/>
      <c r="P34" s="82"/>
      <c r="Q34" s="82"/>
      <c r="R34" s="82"/>
      <c r="S34" s="82"/>
      <c r="T34" s="82"/>
      <c r="U34" s="82"/>
      <c r="V34" s="82"/>
      <c r="X34" s="82"/>
      <c r="Y34" s="82"/>
      <c r="Z34" s="82"/>
      <c r="AA34" s="82"/>
      <c r="AB34" s="82"/>
      <c r="AC34" s="82"/>
      <c r="AD34" s="82"/>
      <c r="AE34" s="82"/>
      <c r="AF34" s="82"/>
      <c r="AG34" s="82"/>
      <c r="AH34" s="12"/>
      <c r="AI34" s="12"/>
      <c r="AJ34" s="82" t="s">
        <v>380</v>
      </c>
      <c r="AK34" s="82" t="s">
        <v>381</v>
      </c>
      <c r="AL34" s="82"/>
    </row>
    <row r="35" spans="1:47">
      <c r="A35" s="33" t="s">
        <v>591</v>
      </c>
      <c r="C35" s="33" t="s">
        <v>387</v>
      </c>
      <c r="D35" s="19" t="s">
        <v>434</v>
      </c>
      <c r="E35" s="4" t="s">
        <v>97</v>
      </c>
      <c r="F35" s="82">
        <v>4</v>
      </c>
      <c r="G35" s="82">
        <v>16</v>
      </c>
      <c r="H35" s="82">
        <v>0</v>
      </c>
      <c r="I35" s="12">
        <v>110</v>
      </c>
      <c r="J35" s="82">
        <f t="shared" si="0"/>
        <v>16</v>
      </c>
      <c r="K35" s="82" t="s">
        <v>472</v>
      </c>
      <c r="L35" s="82"/>
      <c r="M35" s="82"/>
      <c r="N35" s="82"/>
      <c r="O35" s="82"/>
      <c r="P35" s="82"/>
      <c r="Q35" s="82"/>
      <c r="R35" s="82"/>
      <c r="S35" s="82"/>
      <c r="T35" s="82"/>
      <c r="U35" s="82"/>
      <c r="V35" s="82"/>
      <c r="X35" s="82"/>
      <c r="Y35" s="82"/>
      <c r="Z35" s="82"/>
      <c r="AA35" s="82"/>
      <c r="AB35" s="82"/>
      <c r="AC35" s="82"/>
      <c r="AD35" s="82"/>
      <c r="AE35" s="82"/>
      <c r="AF35" s="82"/>
      <c r="AG35" s="82"/>
      <c r="AH35" s="12"/>
      <c r="AI35" s="12"/>
      <c r="AJ35" s="82" t="s">
        <v>380</v>
      </c>
      <c r="AK35" s="82" t="s">
        <v>381</v>
      </c>
      <c r="AL35" s="82"/>
    </row>
    <row r="36" spans="1:47">
      <c r="A36" s="33" t="s">
        <v>436</v>
      </c>
      <c r="C36" s="33" t="s">
        <v>387</v>
      </c>
      <c r="D36" s="19" t="s">
        <v>434</v>
      </c>
      <c r="E36" s="4" t="s">
        <v>93</v>
      </c>
      <c r="F36" s="82">
        <v>4</v>
      </c>
      <c r="G36" s="82">
        <v>14</v>
      </c>
      <c r="H36" s="82">
        <v>0</v>
      </c>
      <c r="I36" s="12">
        <v>120</v>
      </c>
      <c r="J36" s="82">
        <f t="shared" si="0"/>
        <v>14</v>
      </c>
      <c r="K36" s="12" t="s">
        <v>470</v>
      </c>
      <c r="L36" s="82"/>
      <c r="M36" s="82"/>
      <c r="N36" s="82"/>
      <c r="O36" s="82"/>
      <c r="P36" s="82"/>
      <c r="Q36" s="82"/>
      <c r="R36" s="82"/>
      <c r="S36" s="82"/>
      <c r="T36" s="82"/>
      <c r="U36" s="82"/>
      <c r="V36" s="82"/>
      <c r="X36" s="82"/>
      <c r="Y36" s="82"/>
      <c r="Z36" s="82"/>
      <c r="AA36" s="82"/>
      <c r="AB36" s="82"/>
      <c r="AC36" s="82"/>
      <c r="AD36" s="82"/>
      <c r="AE36" s="82"/>
      <c r="AF36" s="82"/>
      <c r="AG36" s="82"/>
      <c r="AH36" s="12"/>
      <c r="AI36" s="12"/>
      <c r="AJ36" s="82" t="s">
        <v>380</v>
      </c>
      <c r="AK36" s="82" t="s">
        <v>381</v>
      </c>
      <c r="AL36" s="82"/>
    </row>
    <row r="37" spans="1:47">
      <c r="A37" s="33" t="s">
        <v>412</v>
      </c>
      <c r="B37" s="82"/>
      <c r="C37" s="33" t="s">
        <v>387</v>
      </c>
      <c r="D37" s="33" t="s">
        <v>378</v>
      </c>
      <c r="E37" s="33" t="s">
        <v>100</v>
      </c>
      <c r="F37" s="82">
        <v>10</v>
      </c>
      <c r="G37" s="82">
        <v>12</v>
      </c>
      <c r="H37" s="82">
        <v>0</v>
      </c>
      <c r="I37" s="82">
        <v>56</v>
      </c>
      <c r="J37" s="82">
        <f t="shared" si="0"/>
        <v>12</v>
      </c>
      <c r="K37" s="82" t="s">
        <v>469</v>
      </c>
      <c r="L37" s="82"/>
      <c r="M37" s="82"/>
      <c r="N37" s="82"/>
      <c r="O37" s="82"/>
      <c r="P37" s="82"/>
      <c r="Q37" s="82"/>
      <c r="R37" s="82"/>
      <c r="S37" s="82"/>
      <c r="T37" s="82"/>
      <c r="U37" s="82"/>
      <c r="V37" s="82"/>
      <c r="X37" s="82"/>
      <c r="Y37" s="82"/>
      <c r="Z37" s="82">
        <v>83</v>
      </c>
      <c r="AA37" s="82" t="s">
        <v>413</v>
      </c>
      <c r="AB37" s="82"/>
      <c r="AC37" s="82"/>
      <c r="AD37" s="82"/>
      <c r="AE37" s="82"/>
      <c r="AF37" s="82"/>
      <c r="AG37" s="82"/>
      <c r="AH37" s="12"/>
      <c r="AI37" s="12"/>
      <c r="AJ37" s="82" t="s">
        <v>380</v>
      </c>
      <c r="AK37" s="82" t="s">
        <v>381</v>
      </c>
      <c r="AL37" s="82"/>
    </row>
    <row r="38" spans="1:47">
      <c r="A38" s="33" t="s">
        <v>414</v>
      </c>
      <c r="C38" s="33" t="s">
        <v>387</v>
      </c>
      <c r="D38" s="33" t="s">
        <v>378</v>
      </c>
      <c r="E38" s="33" t="s">
        <v>100</v>
      </c>
      <c r="F38" s="82">
        <v>10</v>
      </c>
      <c r="G38" s="82">
        <v>12</v>
      </c>
      <c r="H38" s="82">
        <v>0</v>
      </c>
      <c r="I38" s="82">
        <v>56</v>
      </c>
      <c r="J38" s="82">
        <f t="shared" si="0"/>
        <v>12</v>
      </c>
      <c r="K38" s="82" t="s">
        <v>470</v>
      </c>
      <c r="L38" s="82"/>
      <c r="M38" s="82"/>
      <c r="N38" s="82"/>
      <c r="O38" s="82"/>
      <c r="P38" s="82"/>
      <c r="Q38" s="82"/>
      <c r="R38" s="82"/>
      <c r="S38" s="82"/>
      <c r="T38" s="82"/>
      <c r="U38" s="82"/>
      <c r="V38" s="82"/>
      <c r="X38" s="82"/>
      <c r="Y38" s="82"/>
      <c r="Z38" s="82">
        <v>83</v>
      </c>
      <c r="AA38" s="82" t="s">
        <v>413</v>
      </c>
      <c r="AB38" s="82"/>
      <c r="AC38" s="82"/>
      <c r="AD38" s="82"/>
      <c r="AE38" s="82"/>
      <c r="AF38" s="82"/>
      <c r="AG38" s="82"/>
      <c r="AH38" s="12"/>
      <c r="AI38" s="12"/>
      <c r="AJ38" s="82" t="s">
        <v>380</v>
      </c>
      <c r="AK38" s="82" t="s">
        <v>381</v>
      </c>
      <c r="AL38" s="82"/>
    </row>
    <row r="39" spans="1:47">
      <c r="A39" s="33" t="s">
        <v>584</v>
      </c>
      <c r="C39" s="33" t="s">
        <v>387</v>
      </c>
      <c r="D39" s="33" t="s">
        <v>378</v>
      </c>
      <c r="E39" s="33" t="s">
        <v>100</v>
      </c>
      <c r="F39" s="82">
        <v>10</v>
      </c>
      <c r="G39" s="82">
        <v>12</v>
      </c>
      <c r="H39" s="82">
        <v>0</v>
      </c>
      <c r="I39" s="82">
        <v>56</v>
      </c>
      <c r="J39" s="82">
        <f t="shared" si="0"/>
        <v>12</v>
      </c>
      <c r="K39" s="82" t="s">
        <v>472</v>
      </c>
      <c r="L39" s="82"/>
      <c r="M39" s="82"/>
      <c r="N39" s="82"/>
      <c r="O39" s="82"/>
      <c r="P39" s="82"/>
      <c r="Q39" s="82"/>
      <c r="R39" s="82"/>
      <c r="S39" s="82"/>
      <c r="T39" s="82"/>
      <c r="U39" s="82"/>
      <c r="V39" s="82"/>
      <c r="X39" s="82"/>
      <c r="Y39" s="82"/>
      <c r="Z39" s="82">
        <v>83</v>
      </c>
      <c r="AA39" s="82" t="s">
        <v>413</v>
      </c>
      <c r="AB39" s="82"/>
      <c r="AC39" s="82"/>
      <c r="AD39" s="82"/>
      <c r="AE39" s="82"/>
      <c r="AF39" s="82"/>
      <c r="AG39" s="82"/>
      <c r="AH39" s="12"/>
      <c r="AI39" s="12"/>
      <c r="AJ39" s="82" t="s">
        <v>380</v>
      </c>
      <c r="AK39" s="82" t="s">
        <v>381</v>
      </c>
      <c r="AL39" s="82"/>
    </row>
    <row r="40" spans="1:47">
      <c r="A40" s="33" t="s">
        <v>585</v>
      </c>
      <c r="C40" s="33" t="s">
        <v>387</v>
      </c>
      <c r="D40" s="33" t="s">
        <v>378</v>
      </c>
      <c r="E40" s="33" t="s">
        <v>100</v>
      </c>
      <c r="F40" s="82">
        <v>10</v>
      </c>
      <c r="G40" s="82">
        <v>12</v>
      </c>
      <c r="H40" s="82">
        <v>0</v>
      </c>
      <c r="I40" s="82">
        <v>56</v>
      </c>
      <c r="J40" s="82">
        <f t="shared" si="0"/>
        <v>12</v>
      </c>
      <c r="K40" s="82" t="s">
        <v>469</v>
      </c>
      <c r="L40" s="82"/>
      <c r="M40" s="82"/>
      <c r="N40" s="82"/>
      <c r="O40" s="82"/>
      <c r="P40" s="82"/>
      <c r="Q40" s="82"/>
      <c r="R40" s="82"/>
      <c r="S40" s="82"/>
      <c r="T40" s="82"/>
      <c r="U40" s="82"/>
      <c r="V40" s="82"/>
      <c r="X40" s="82"/>
      <c r="Y40" s="82"/>
      <c r="Z40" s="82">
        <v>83</v>
      </c>
      <c r="AA40" s="82" t="s">
        <v>413</v>
      </c>
      <c r="AB40" s="82"/>
      <c r="AC40" s="82"/>
      <c r="AD40" s="82"/>
      <c r="AE40" s="82"/>
      <c r="AF40" s="82"/>
      <c r="AG40" s="82"/>
      <c r="AH40" s="12"/>
      <c r="AI40" s="12"/>
      <c r="AJ40" s="82" t="s">
        <v>380</v>
      </c>
      <c r="AK40" s="82" t="s">
        <v>381</v>
      </c>
      <c r="AL40" s="82"/>
    </row>
    <row r="41" spans="1:47">
      <c r="A41" s="33" t="s">
        <v>415</v>
      </c>
      <c r="C41" s="33" t="s">
        <v>387</v>
      </c>
      <c r="D41" s="33" t="s">
        <v>378</v>
      </c>
      <c r="E41" s="33" t="s">
        <v>416</v>
      </c>
      <c r="F41" s="82">
        <v>4</v>
      </c>
      <c r="G41" s="82">
        <v>4</v>
      </c>
      <c r="H41" s="82">
        <v>0</v>
      </c>
      <c r="I41" s="82">
        <v>41</v>
      </c>
      <c r="J41" s="82">
        <f>G41-H41</f>
        <v>4</v>
      </c>
      <c r="K41" s="82" t="s">
        <v>472</v>
      </c>
      <c r="L41" s="82"/>
      <c r="M41" s="82"/>
      <c r="N41" s="82"/>
      <c r="O41" s="82"/>
      <c r="P41" s="82"/>
      <c r="Q41" s="82"/>
      <c r="R41" s="82"/>
      <c r="S41" s="82"/>
      <c r="T41" s="82"/>
      <c r="U41" s="82"/>
      <c r="V41" s="82"/>
      <c r="X41" s="82"/>
      <c r="Y41" s="82"/>
      <c r="Z41" s="82"/>
      <c r="AA41" s="82"/>
      <c r="AB41" s="82"/>
      <c r="AC41" s="82"/>
      <c r="AD41" s="82"/>
      <c r="AE41" s="82"/>
      <c r="AF41" s="82"/>
      <c r="AG41" s="82"/>
      <c r="AH41" s="12"/>
      <c r="AI41" s="12"/>
      <c r="AJ41" s="82" t="s">
        <v>380</v>
      </c>
      <c r="AK41" s="82" t="s">
        <v>381</v>
      </c>
      <c r="AL41" s="82"/>
    </row>
    <row r="42" spans="1:47">
      <c r="A42" s="33" t="s">
        <v>417</v>
      </c>
      <c r="C42" s="33" t="s">
        <v>387</v>
      </c>
      <c r="D42" s="33" t="s">
        <v>378</v>
      </c>
      <c r="E42" s="33" t="s">
        <v>418</v>
      </c>
      <c r="F42" s="82">
        <v>4</v>
      </c>
      <c r="G42" s="82">
        <v>4</v>
      </c>
      <c r="H42" s="82">
        <v>0</v>
      </c>
      <c r="I42" s="82">
        <v>41</v>
      </c>
      <c r="J42" s="82">
        <f>G42-H42</f>
        <v>4</v>
      </c>
      <c r="K42" s="82" t="s">
        <v>472</v>
      </c>
      <c r="L42" s="82"/>
      <c r="M42" s="82"/>
      <c r="N42" s="82"/>
      <c r="O42" s="82"/>
      <c r="P42" s="82"/>
      <c r="Q42" s="82"/>
      <c r="R42" s="82"/>
      <c r="S42" s="82"/>
      <c r="T42" s="82"/>
      <c r="U42" s="82"/>
      <c r="V42" s="82"/>
      <c r="X42" s="82"/>
      <c r="Y42" s="82"/>
      <c r="Z42" s="82"/>
      <c r="AA42" s="82"/>
      <c r="AB42" s="82"/>
      <c r="AC42" s="82"/>
      <c r="AD42" s="82"/>
      <c r="AE42" s="82"/>
      <c r="AF42" s="82"/>
      <c r="AG42" s="82"/>
      <c r="AH42" s="12"/>
      <c r="AI42" s="12"/>
      <c r="AJ42" s="82" t="s">
        <v>380</v>
      </c>
      <c r="AK42" s="82" t="s">
        <v>381</v>
      </c>
      <c r="AL42" s="82"/>
    </row>
    <row r="43" spans="1:47" ht="14.5">
      <c r="A43" s="17" t="s">
        <v>419</v>
      </c>
      <c r="B43" s="17"/>
      <c r="C43" s="17" t="s">
        <v>387</v>
      </c>
      <c r="D43" s="43" t="s">
        <v>378</v>
      </c>
      <c r="E43" s="17" t="s">
        <v>650</v>
      </c>
      <c r="F43" s="15">
        <v>2</v>
      </c>
      <c r="G43" s="15">
        <v>4</v>
      </c>
      <c r="H43" s="15">
        <v>0</v>
      </c>
      <c r="I43" s="15">
        <v>65</v>
      </c>
      <c r="J43" s="15">
        <f t="shared" ref="J43" si="1">G43-H43</f>
        <v>4</v>
      </c>
      <c r="K43" s="82" t="s">
        <v>469</v>
      </c>
      <c r="L43" s="36"/>
      <c r="M43" s="36"/>
      <c r="N43" s="111"/>
      <c r="O43" s="112"/>
      <c r="P43" s="36"/>
      <c r="Q43" s="36"/>
      <c r="R43" s="36"/>
      <c r="S43" s="36"/>
      <c r="T43" s="36"/>
      <c r="U43" s="36"/>
      <c r="V43" s="36">
        <v>250</v>
      </c>
      <c r="W43" s="36" t="s">
        <v>613</v>
      </c>
      <c r="X43" s="36"/>
      <c r="Y43" s="43"/>
      <c r="Z43" s="36"/>
      <c r="AA43" s="36"/>
      <c r="AB43" s="36"/>
      <c r="AC43" s="36"/>
      <c r="AD43" s="36"/>
      <c r="AE43" s="36"/>
      <c r="AF43" s="36">
        <v>200</v>
      </c>
      <c r="AG43" s="36" t="s">
        <v>421</v>
      </c>
      <c r="AH43" s="36"/>
      <c r="AI43" s="36"/>
      <c r="AJ43" s="36" t="s">
        <v>380</v>
      </c>
      <c r="AK43" s="36" t="s">
        <v>381</v>
      </c>
      <c r="AL43" s="36"/>
      <c r="AM43" s="43"/>
      <c r="AN43" s="43"/>
      <c r="AO43" s="43"/>
      <c r="AP43" s="43"/>
      <c r="AQ43" s="43"/>
    </row>
    <row r="44" spans="1:47" s="37" customFormat="1">
      <c r="F44" s="38">
        <f>SUM(F8:F43)</f>
        <v>251</v>
      </c>
      <c r="G44" s="38">
        <f>SUM(G8:G43)</f>
        <v>780</v>
      </c>
      <c r="H44" s="38">
        <f>SUM(H8:H43)</f>
        <v>541</v>
      </c>
      <c r="I44" s="38">
        <f>SUM(I8:I43)</f>
        <v>3399</v>
      </c>
      <c r="J44" s="38"/>
      <c r="K44" s="38"/>
      <c r="L44" s="38">
        <f>SUM(L8:L43)</f>
        <v>500</v>
      </c>
      <c r="M44" s="38"/>
      <c r="N44" s="38">
        <f>SUM(N8:N43)</f>
        <v>16400</v>
      </c>
      <c r="O44" s="38"/>
      <c r="P44" s="38">
        <f>SUM(P8:P43)</f>
        <v>18000</v>
      </c>
      <c r="Q44" s="38"/>
      <c r="R44" s="38">
        <f>SUM(R8:R43)</f>
        <v>1395</v>
      </c>
      <c r="S44" s="38"/>
      <c r="T44" s="38">
        <f>SUM(T8:T43)</f>
        <v>300</v>
      </c>
      <c r="U44" s="38"/>
      <c r="V44" s="38">
        <f>SUM(V8:V43)</f>
        <v>250</v>
      </c>
      <c r="W44" s="38"/>
      <c r="X44" s="38">
        <f>SUM(X8:X43)</f>
        <v>34400</v>
      </c>
      <c r="Z44" s="38">
        <f>SUM(Z8:Z43)</f>
        <v>332</v>
      </c>
      <c r="AB44" s="38">
        <f>SUM(AB8:AB43)</f>
        <v>50</v>
      </c>
      <c r="AD44" s="38">
        <f>SUM(AD8:AD43)</f>
        <v>200</v>
      </c>
      <c r="AF44" s="38">
        <f>SUM(AF8:AF43)</f>
        <v>200</v>
      </c>
      <c r="AH44" s="16">
        <f>SUM(AH8:AH43)</f>
        <v>6144</v>
      </c>
      <c r="AI44" s="18"/>
      <c r="AK44" s="38" t="s">
        <v>604</v>
      </c>
      <c r="AL44" s="38">
        <v>2</v>
      </c>
    </row>
    <row r="45" spans="1:47" ht="13">
      <c r="A45" s="181" t="s">
        <v>423</v>
      </c>
      <c r="B45" s="182"/>
      <c r="AH45" s="12"/>
    </row>
    <row r="46" spans="1:47" s="4" customFormat="1" ht="13.5" customHeight="1">
      <c r="A46" s="14" t="s">
        <v>424</v>
      </c>
      <c r="F46" s="12"/>
      <c r="G46" s="12"/>
      <c r="H46" s="12"/>
      <c r="I46" s="12"/>
      <c r="J46" s="12"/>
      <c r="K46" s="12"/>
      <c r="L46" s="12"/>
      <c r="M46" s="12"/>
      <c r="N46" s="12"/>
      <c r="O46"/>
      <c r="P46" s="12"/>
      <c r="Q46" s="12"/>
      <c r="R46" s="12"/>
      <c r="S46" s="12"/>
      <c r="T46" s="12"/>
      <c r="U46" s="12"/>
      <c r="V46" s="12"/>
      <c r="X46" s="12"/>
      <c r="Z46" s="12"/>
      <c r="AB46" s="12"/>
      <c r="AD46" s="12"/>
      <c r="AF46" s="12"/>
      <c r="AG46" s="12"/>
      <c r="AH46" s="12"/>
      <c r="AJ46" s="12"/>
    </row>
    <row r="47" spans="1:47" s="17" customFormat="1" ht="13.5" customHeight="1">
      <c r="A47" s="17" t="s">
        <v>419</v>
      </c>
      <c r="C47" s="17" t="s">
        <v>387</v>
      </c>
      <c r="D47" s="17" t="s">
        <v>378</v>
      </c>
      <c r="E47" s="17" t="s">
        <v>425</v>
      </c>
      <c r="F47" s="15">
        <v>7</v>
      </c>
      <c r="G47" s="15">
        <v>16</v>
      </c>
      <c r="H47" s="15">
        <v>0</v>
      </c>
      <c r="I47" s="15">
        <v>28</v>
      </c>
      <c r="J47" s="15">
        <f>G47-H47</f>
        <v>16</v>
      </c>
      <c r="K47" s="15" t="s">
        <v>469</v>
      </c>
      <c r="L47" s="15"/>
      <c r="M47" s="15"/>
      <c r="N47" s="96"/>
      <c r="O47" s="95"/>
      <c r="P47" s="15"/>
      <c r="Q47" s="15"/>
      <c r="R47" s="15">
        <v>120</v>
      </c>
      <c r="S47" s="15" t="s">
        <v>611</v>
      </c>
      <c r="V47" s="15"/>
      <c r="W47" s="15"/>
      <c r="X47" s="15">
        <v>120</v>
      </c>
      <c r="Y47" s="36" t="s">
        <v>612</v>
      </c>
      <c r="AD47" s="15"/>
      <c r="AE47" s="15"/>
      <c r="AF47" s="15"/>
      <c r="AG47" s="15"/>
      <c r="AH47" s="15"/>
      <c r="AJ47" s="15"/>
      <c r="AR47" s="15"/>
      <c r="AS47" s="15"/>
      <c r="AT47" s="15"/>
      <c r="AU47" s="15"/>
    </row>
    <row r="48" spans="1:47" s="4" customFormat="1" ht="13.5" customHeight="1">
      <c r="F48" s="12">
        <f>SUM(F47:F47)+F44</f>
        <v>258</v>
      </c>
      <c r="G48" s="12">
        <f>SUM(G47:G47)+G44</f>
        <v>796</v>
      </c>
      <c r="H48" s="12">
        <f>SUM(H47:H47)+H44</f>
        <v>541</v>
      </c>
      <c r="I48" s="12">
        <f>SUM(I47:I47)+I44</f>
        <v>3427</v>
      </c>
      <c r="J48" s="12"/>
      <c r="K48" s="12"/>
      <c r="L48" s="12">
        <f>SUM(L47:L47)+L44</f>
        <v>500</v>
      </c>
      <c r="M48" s="12"/>
      <c r="N48" s="12">
        <f>SUM(N47:N47)+N44</f>
        <v>16400</v>
      </c>
      <c r="O48"/>
      <c r="P48" s="12">
        <f>SUM(P47:P47)+P44</f>
        <v>18000</v>
      </c>
      <c r="Q48" s="12"/>
      <c r="R48" s="12">
        <f>SUM(R47:R47)+R44</f>
        <v>1515</v>
      </c>
      <c r="S48" s="12"/>
      <c r="T48" s="12">
        <f>SUM(T47:T47)+T44</f>
        <v>300</v>
      </c>
      <c r="V48" s="12">
        <f>SUM(V47:V47)+V44</f>
        <v>250</v>
      </c>
      <c r="W48" s="12"/>
      <c r="X48" s="12">
        <f>SUM(V47:V47)+X44</f>
        <v>34400</v>
      </c>
      <c r="Z48" s="12">
        <f>SUM(X47:X47)+Z44</f>
        <v>452</v>
      </c>
      <c r="AB48" s="12">
        <f>SUM(Z47:Z47)+AB44</f>
        <v>50</v>
      </c>
      <c r="AD48" s="12">
        <f>SUM(AB47:AB47)+AD44</f>
        <v>200</v>
      </c>
      <c r="AE48" s="12"/>
      <c r="AF48" s="12">
        <f>SUM(AD47:AD47)+AF44</f>
        <v>200</v>
      </c>
      <c r="AG48" s="12"/>
      <c r="AH48" s="12">
        <f>SUM(AH47:AH47)+AH44</f>
        <v>6144</v>
      </c>
      <c r="AJ48" s="12"/>
      <c r="AK48" s="38" t="s">
        <v>604</v>
      </c>
      <c r="AL48" s="12">
        <v>2</v>
      </c>
      <c r="AM48" s="12"/>
      <c r="AN48" s="12"/>
      <c r="AO48" s="12"/>
      <c r="AP48" s="12"/>
    </row>
    <row r="49" spans="1:38" ht="14.5">
      <c r="B49"/>
      <c r="C49"/>
      <c r="D49"/>
      <c r="E49"/>
      <c r="F49" s="81"/>
      <c r="G49" s="118"/>
      <c r="H49"/>
      <c r="I49"/>
      <c r="J49"/>
      <c r="K49"/>
      <c r="L49"/>
      <c r="M49"/>
      <c r="N49"/>
      <c r="O49"/>
    </row>
    <row r="50" spans="1:38" ht="13">
      <c r="A50" s="14" t="s">
        <v>430</v>
      </c>
      <c r="AH50" s="33"/>
      <c r="AI50" s="33"/>
    </row>
    <row r="51" spans="1:38">
      <c r="A51" s="33" t="s">
        <v>431</v>
      </c>
      <c r="C51" s="33" t="s">
        <v>387</v>
      </c>
      <c r="D51" s="33" t="s">
        <v>378</v>
      </c>
      <c r="E51" s="33" t="s">
        <v>21</v>
      </c>
      <c r="F51" s="82">
        <v>16</v>
      </c>
      <c r="G51" s="82">
        <v>64</v>
      </c>
      <c r="H51" s="82">
        <v>0</v>
      </c>
      <c r="I51" s="12">
        <v>71</v>
      </c>
      <c r="J51" s="82">
        <f t="shared" ref="J51:J76" si="2">G51-H51</f>
        <v>64</v>
      </c>
      <c r="K51" s="82"/>
      <c r="AH51" s="33"/>
      <c r="AI51" s="33"/>
      <c r="AJ51" s="82" t="s">
        <v>380</v>
      </c>
      <c r="AK51" s="82" t="s">
        <v>381</v>
      </c>
      <c r="AL51" s="82"/>
    </row>
    <row r="52" spans="1:38">
      <c r="A52" s="33" t="s">
        <v>481</v>
      </c>
      <c r="C52" s="33" t="s">
        <v>387</v>
      </c>
      <c r="D52" s="19" t="s">
        <v>434</v>
      </c>
      <c r="E52" s="4" t="s">
        <v>89</v>
      </c>
      <c r="F52" s="82">
        <v>4</v>
      </c>
      <c r="G52" s="82">
        <v>4</v>
      </c>
      <c r="H52" s="82">
        <v>0</v>
      </c>
      <c r="I52" s="82">
        <v>100</v>
      </c>
      <c r="J52" s="82">
        <f t="shared" si="2"/>
        <v>4</v>
      </c>
      <c r="K52" s="82"/>
      <c r="AH52" s="33"/>
      <c r="AI52" s="33"/>
      <c r="AJ52" s="82" t="s">
        <v>380</v>
      </c>
      <c r="AK52" s="82" t="s">
        <v>381</v>
      </c>
      <c r="AL52" s="82"/>
    </row>
    <row r="53" spans="1:38">
      <c r="A53" s="33" t="s">
        <v>437</v>
      </c>
      <c r="C53" s="33" t="s">
        <v>387</v>
      </c>
      <c r="D53" s="19" t="s">
        <v>434</v>
      </c>
      <c r="E53" s="4" t="s">
        <v>97</v>
      </c>
      <c r="F53" s="82">
        <v>4</v>
      </c>
      <c r="G53" s="82">
        <v>16</v>
      </c>
      <c r="H53" s="82">
        <v>0</v>
      </c>
      <c r="I53" s="82">
        <v>100</v>
      </c>
      <c r="J53" s="82">
        <f t="shared" si="2"/>
        <v>16</v>
      </c>
      <c r="K53" s="82"/>
      <c r="AH53" s="33"/>
      <c r="AI53" s="33"/>
      <c r="AJ53" s="82" t="s">
        <v>380</v>
      </c>
      <c r="AK53" s="82" t="s">
        <v>381</v>
      </c>
      <c r="AL53" s="82"/>
    </row>
    <row r="54" spans="1:38">
      <c r="A54" s="33" t="s">
        <v>482</v>
      </c>
      <c r="C54" s="33" t="s">
        <v>387</v>
      </c>
      <c r="D54" s="19" t="s">
        <v>434</v>
      </c>
      <c r="E54" s="4" t="s">
        <v>97</v>
      </c>
      <c r="F54" s="82">
        <v>4</v>
      </c>
      <c r="G54" s="82">
        <v>16</v>
      </c>
      <c r="H54" s="82">
        <v>0</v>
      </c>
      <c r="I54" s="82">
        <v>100</v>
      </c>
      <c r="J54" s="82">
        <f t="shared" si="2"/>
        <v>16</v>
      </c>
      <c r="K54" s="82"/>
      <c r="AH54" s="33"/>
      <c r="AI54" s="33"/>
      <c r="AJ54" s="82" t="s">
        <v>380</v>
      </c>
      <c r="AK54" s="82" t="s">
        <v>381</v>
      </c>
      <c r="AL54" s="82"/>
    </row>
    <row r="55" spans="1:38">
      <c r="A55" s="33" t="s">
        <v>568</v>
      </c>
      <c r="C55" s="33" t="s">
        <v>387</v>
      </c>
      <c r="D55" s="19" t="s">
        <v>434</v>
      </c>
      <c r="E55" s="4" t="s">
        <v>97</v>
      </c>
      <c r="F55" s="82">
        <v>4</v>
      </c>
      <c r="G55" s="82">
        <v>16</v>
      </c>
      <c r="H55" s="82">
        <v>0</v>
      </c>
      <c r="I55" s="82">
        <v>100</v>
      </c>
      <c r="J55" s="82">
        <f t="shared" si="2"/>
        <v>16</v>
      </c>
      <c r="K55" s="82"/>
      <c r="AH55" s="33"/>
      <c r="AI55" s="33"/>
      <c r="AJ55" s="82" t="s">
        <v>380</v>
      </c>
      <c r="AK55" s="82" t="s">
        <v>381</v>
      </c>
      <c r="AL55" s="82"/>
    </row>
    <row r="56" spans="1:38">
      <c r="A56" s="33" t="s">
        <v>569</v>
      </c>
      <c r="C56" s="33" t="s">
        <v>387</v>
      </c>
      <c r="D56" s="19" t="s">
        <v>434</v>
      </c>
      <c r="E56" s="4" t="s">
        <v>97</v>
      </c>
      <c r="F56" s="82">
        <v>4</v>
      </c>
      <c r="G56" s="82">
        <v>16</v>
      </c>
      <c r="H56" s="82">
        <v>0</v>
      </c>
      <c r="I56" s="82">
        <v>100</v>
      </c>
      <c r="J56" s="82">
        <f t="shared" si="2"/>
        <v>16</v>
      </c>
      <c r="K56" s="82"/>
      <c r="AH56" s="33"/>
      <c r="AI56" s="33"/>
      <c r="AJ56" s="82" t="s">
        <v>380</v>
      </c>
      <c r="AK56" s="82" t="s">
        <v>381</v>
      </c>
      <c r="AL56" s="82"/>
    </row>
    <row r="57" spans="1:38">
      <c r="A57" s="33" t="s">
        <v>592</v>
      </c>
      <c r="C57" s="33" t="s">
        <v>387</v>
      </c>
      <c r="D57" s="19" t="s">
        <v>434</v>
      </c>
      <c r="E57" s="4" t="s">
        <v>97</v>
      </c>
      <c r="F57" s="82">
        <v>4</v>
      </c>
      <c r="G57" s="82">
        <v>16</v>
      </c>
      <c r="H57" s="82">
        <v>0</v>
      </c>
      <c r="I57" s="82">
        <v>100</v>
      </c>
      <c r="J57" s="82">
        <f t="shared" si="2"/>
        <v>16</v>
      </c>
      <c r="K57" s="82"/>
      <c r="AH57" s="33"/>
      <c r="AI57" s="33"/>
      <c r="AJ57" s="82" t="s">
        <v>380</v>
      </c>
      <c r="AK57" s="82" t="s">
        <v>381</v>
      </c>
      <c r="AL57" s="82"/>
    </row>
    <row r="58" spans="1:38">
      <c r="A58" s="33" t="s">
        <v>593</v>
      </c>
      <c r="C58" s="33" t="s">
        <v>387</v>
      </c>
      <c r="D58" s="19" t="s">
        <v>434</v>
      </c>
      <c r="E58" s="4" t="s">
        <v>97</v>
      </c>
      <c r="F58" s="82">
        <v>4</v>
      </c>
      <c r="G58" s="82">
        <v>16</v>
      </c>
      <c r="H58" s="82">
        <v>0</v>
      </c>
      <c r="I58" s="82">
        <v>100</v>
      </c>
      <c r="J58" s="82">
        <f t="shared" si="2"/>
        <v>16</v>
      </c>
      <c r="K58" s="82"/>
      <c r="AH58" s="33"/>
      <c r="AI58" s="33"/>
      <c r="AJ58" s="82" t="s">
        <v>380</v>
      </c>
      <c r="AK58" s="82" t="s">
        <v>381</v>
      </c>
      <c r="AL58" s="82"/>
    </row>
    <row r="59" spans="1:38">
      <c r="A59" s="33" t="s">
        <v>594</v>
      </c>
      <c r="C59" s="33" t="s">
        <v>387</v>
      </c>
      <c r="D59" s="19" t="s">
        <v>434</v>
      </c>
      <c r="E59" s="4" t="s">
        <v>97</v>
      </c>
      <c r="F59" s="82">
        <v>4</v>
      </c>
      <c r="G59" s="82">
        <v>16</v>
      </c>
      <c r="H59" s="82">
        <v>0</v>
      </c>
      <c r="I59" s="82">
        <v>100</v>
      </c>
      <c r="J59" s="82">
        <f t="shared" si="2"/>
        <v>16</v>
      </c>
      <c r="K59" s="82"/>
      <c r="AH59" s="33"/>
      <c r="AI59" s="33"/>
      <c r="AJ59" s="82" t="s">
        <v>380</v>
      </c>
      <c r="AK59" s="82" t="s">
        <v>381</v>
      </c>
      <c r="AL59" s="82"/>
    </row>
    <row r="60" spans="1:38">
      <c r="A60" s="33" t="s">
        <v>483</v>
      </c>
      <c r="C60" s="33" t="s">
        <v>387</v>
      </c>
      <c r="D60" s="19" t="s">
        <v>434</v>
      </c>
      <c r="E60" s="4" t="s">
        <v>93</v>
      </c>
      <c r="F60" s="82">
        <v>4</v>
      </c>
      <c r="G60" s="82">
        <v>14</v>
      </c>
      <c r="H60" s="82">
        <v>0</v>
      </c>
      <c r="I60" s="12">
        <v>120</v>
      </c>
      <c r="J60" s="82">
        <f t="shared" si="2"/>
        <v>14</v>
      </c>
      <c r="K60" s="82"/>
      <c r="AH60" s="33"/>
      <c r="AI60" s="33"/>
      <c r="AJ60" s="82" t="s">
        <v>380</v>
      </c>
      <c r="AK60" s="82" t="s">
        <v>381</v>
      </c>
      <c r="AL60" s="82"/>
    </row>
    <row r="61" spans="1:38">
      <c r="A61" s="33" t="s">
        <v>595</v>
      </c>
      <c r="C61" s="33" t="s">
        <v>387</v>
      </c>
      <c r="D61" s="19" t="s">
        <v>434</v>
      </c>
      <c r="E61" s="4" t="s">
        <v>97</v>
      </c>
      <c r="F61" s="82">
        <v>4</v>
      </c>
      <c r="G61" s="82">
        <v>16</v>
      </c>
      <c r="H61" s="82">
        <v>0</v>
      </c>
      <c r="I61" s="82">
        <v>100</v>
      </c>
      <c r="J61" s="82">
        <f t="shared" si="2"/>
        <v>16</v>
      </c>
      <c r="K61" s="82"/>
      <c r="AH61" s="33"/>
      <c r="AI61" s="33"/>
      <c r="AJ61" s="82" t="s">
        <v>380</v>
      </c>
      <c r="AK61" s="82" t="s">
        <v>381</v>
      </c>
      <c r="AL61" s="82"/>
    </row>
    <row r="62" spans="1:38">
      <c r="A62" s="33" t="s">
        <v>438</v>
      </c>
      <c r="C62" s="33" t="s">
        <v>387</v>
      </c>
      <c r="D62" s="33" t="s">
        <v>378</v>
      </c>
      <c r="E62" s="33" t="s">
        <v>32</v>
      </c>
      <c r="F62" s="82">
        <v>6</v>
      </c>
      <c r="G62" s="82">
        <v>20</v>
      </c>
      <c r="H62" s="82">
        <v>0</v>
      </c>
      <c r="I62" s="82">
        <v>201</v>
      </c>
      <c r="J62" s="82">
        <f t="shared" si="2"/>
        <v>20</v>
      </c>
      <c r="K62" s="82"/>
      <c r="AH62" s="33"/>
      <c r="AI62" s="33"/>
      <c r="AJ62" s="82" t="s">
        <v>380</v>
      </c>
      <c r="AK62" s="82" t="s">
        <v>381</v>
      </c>
      <c r="AL62" s="82"/>
    </row>
    <row r="63" spans="1:38">
      <c r="A63" s="33" t="s">
        <v>439</v>
      </c>
      <c r="C63" s="33" t="s">
        <v>387</v>
      </c>
      <c r="D63" s="33" t="s">
        <v>378</v>
      </c>
      <c r="E63" s="33" t="s">
        <v>32</v>
      </c>
      <c r="F63" s="82">
        <v>6</v>
      </c>
      <c r="G63" s="82">
        <v>20</v>
      </c>
      <c r="H63" s="82">
        <v>0</v>
      </c>
      <c r="I63" s="82">
        <v>201</v>
      </c>
      <c r="J63" s="82">
        <f t="shared" si="2"/>
        <v>20</v>
      </c>
      <c r="K63" s="82"/>
      <c r="AH63" s="33"/>
      <c r="AI63" s="33"/>
      <c r="AJ63" s="82" t="s">
        <v>380</v>
      </c>
      <c r="AK63" s="82" t="s">
        <v>381</v>
      </c>
      <c r="AL63" s="82"/>
    </row>
    <row r="64" spans="1:38">
      <c r="A64" s="33" t="s">
        <v>570</v>
      </c>
      <c r="C64" s="33" t="s">
        <v>387</v>
      </c>
      <c r="D64" s="33" t="s">
        <v>378</v>
      </c>
      <c r="E64" s="33" t="s">
        <v>32</v>
      </c>
      <c r="F64" s="82">
        <v>6</v>
      </c>
      <c r="G64" s="82">
        <v>20</v>
      </c>
      <c r="H64" s="82">
        <v>0</v>
      </c>
      <c r="I64" s="82">
        <v>201</v>
      </c>
      <c r="J64" s="82">
        <f t="shared" si="2"/>
        <v>20</v>
      </c>
      <c r="K64" s="82"/>
      <c r="AH64" s="33"/>
      <c r="AI64" s="33"/>
      <c r="AJ64" s="82" t="s">
        <v>380</v>
      </c>
      <c r="AK64" s="82" t="s">
        <v>381</v>
      </c>
      <c r="AL64" s="82"/>
    </row>
    <row r="65" spans="1:38">
      <c r="A65" s="33" t="s">
        <v>571</v>
      </c>
      <c r="C65" s="33" t="s">
        <v>387</v>
      </c>
      <c r="D65" s="33" t="s">
        <v>378</v>
      </c>
      <c r="E65" s="33" t="s">
        <v>32</v>
      </c>
      <c r="F65" s="82">
        <v>6</v>
      </c>
      <c r="G65" s="82">
        <v>20</v>
      </c>
      <c r="H65" s="82">
        <v>0</v>
      </c>
      <c r="I65" s="82">
        <v>201</v>
      </c>
      <c r="J65" s="82">
        <f t="shared" si="2"/>
        <v>20</v>
      </c>
      <c r="K65" s="82"/>
      <c r="AH65" s="33"/>
      <c r="AI65" s="33"/>
      <c r="AJ65" s="82" t="s">
        <v>380</v>
      </c>
      <c r="AK65" s="82" t="s">
        <v>381</v>
      </c>
      <c r="AL65" s="82"/>
    </row>
    <row r="66" spans="1:38">
      <c r="A66" s="33" t="s">
        <v>440</v>
      </c>
      <c r="C66" s="33" t="s">
        <v>387</v>
      </c>
      <c r="D66" s="33" t="s">
        <v>378</v>
      </c>
      <c r="E66" s="33" t="s">
        <v>48</v>
      </c>
      <c r="F66" s="82">
        <v>2</v>
      </c>
      <c r="G66" s="82">
        <v>4</v>
      </c>
      <c r="H66" s="82">
        <v>0</v>
      </c>
      <c r="I66" s="82">
        <v>41</v>
      </c>
      <c r="J66" s="82">
        <f t="shared" si="2"/>
        <v>4</v>
      </c>
      <c r="K66" s="82"/>
      <c r="AH66" s="33"/>
      <c r="AI66" s="33"/>
      <c r="AJ66" s="82" t="s">
        <v>380</v>
      </c>
      <c r="AK66" s="82" t="s">
        <v>381</v>
      </c>
      <c r="AL66" s="82"/>
    </row>
    <row r="67" spans="1:38">
      <c r="A67" s="33" t="s">
        <v>441</v>
      </c>
      <c r="C67" s="33" t="s">
        <v>387</v>
      </c>
      <c r="D67" s="33" t="s">
        <v>378</v>
      </c>
      <c r="E67" s="33" t="s">
        <v>40</v>
      </c>
      <c r="F67" s="82">
        <v>2</v>
      </c>
      <c r="G67" s="82">
        <v>4</v>
      </c>
      <c r="H67" s="82">
        <v>0</v>
      </c>
      <c r="I67" s="82">
        <v>31</v>
      </c>
      <c r="J67" s="82">
        <f t="shared" si="2"/>
        <v>4</v>
      </c>
      <c r="K67" s="82"/>
      <c r="AH67" s="33"/>
      <c r="AI67" s="33"/>
      <c r="AJ67" s="82" t="s">
        <v>380</v>
      </c>
      <c r="AK67" s="82" t="s">
        <v>381</v>
      </c>
      <c r="AL67" s="82"/>
    </row>
    <row r="68" spans="1:38">
      <c r="A68" s="33" t="s">
        <v>442</v>
      </c>
      <c r="C68" s="33" t="s">
        <v>387</v>
      </c>
      <c r="D68" s="33" t="s">
        <v>378</v>
      </c>
      <c r="E68" s="33" t="s">
        <v>44</v>
      </c>
      <c r="F68" s="82">
        <v>4</v>
      </c>
      <c r="G68" s="82">
        <v>4</v>
      </c>
      <c r="H68" s="82">
        <v>0</v>
      </c>
      <c r="I68" s="82">
        <v>36</v>
      </c>
      <c r="J68" s="82">
        <f t="shared" si="2"/>
        <v>4</v>
      </c>
      <c r="K68" s="82"/>
      <c r="AH68" s="33"/>
      <c r="AI68" s="33"/>
      <c r="AJ68" s="82" t="s">
        <v>380</v>
      </c>
      <c r="AK68" s="82" t="s">
        <v>381</v>
      </c>
      <c r="AL68" s="82"/>
    </row>
    <row r="69" spans="1:38" ht="14.5">
      <c r="A69" s="33" t="s">
        <v>443</v>
      </c>
      <c r="C69" s="33" t="s">
        <v>387</v>
      </c>
      <c r="D69" s="33" t="s">
        <v>378</v>
      </c>
      <c r="E69" s="33" t="s">
        <v>247</v>
      </c>
      <c r="F69" s="82">
        <v>7</v>
      </c>
      <c r="G69" s="82">
        <v>8</v>
      </c>
      <c r="H69" s="82">
        <v>0</v>
      </c>
      <c r="I69" s="12">
        <v>111</v>
      </c>
      <c r="J69" s="82">
        <f t="shared" si="2"/>
        <v>8</v>
      </c>
      <c r="K69" s="42"/>
      <c r="L69" s="82"/>
      <c r="M69" s="82"/>
      <c r="N69" s="42"/>
      <c r="O69" s="41"/>
      <c r="P69" s="82"/>
      <c r="Q69" s="82"/>
      <c r="R69" s="82"/>
      <c r="S69" s="82"/>
      <c r="T69" s="82"/>
      <c r="U69" s="82"/>
      <c r="V69" s="82"/>
      <c r="X69" s="82"/>
      <c r="Z69" s="82"/>
      <c r="AA69" s="82"/>
      <c r="AB69" s="82"/>
      <c r="AC69" s="82"/>
      <c r="AD69" s="82"/>
      <c r="AE69" s="82"/>
      <c r="AF69" s="82"/>
      <c r="AG69" s="82"/>
      <c r="AH69" s="33"/>
      <c r="AI69" s="33"/>
      <c r="AJ69" s="82" t="s">
        <v>380</v>
      </c>
      <c r="AK69" s="82" t="s">
        <v>381</v>
      </c>
      <c r="AL69" s="82" t="s">
        <v>381</v>
      </c>
    </row>
    <row r="70" spans="1:38" ht="14.5">
      <c r="A70" s="33" t="s">
        <v>596</v>
      </c>
      <c r="C70" s="33" t="s">
        <v>387</v>
      </c>
      <c r="D70" s="33" t="s">
        <v>378</v>
      </c>
      <c r="E70" s="33" t="s">
        <v>247</v>
      </c>
      <c r="F70" s="82">
        <v>6</v>
      </c>
      <c r="G70" s="82">
        <v>7</v>
      </c>
      <c r="H70" s="82">
        <v>0</v>
      </c>
      <c r="I70" s="12">
        <v>111</v>
      </c>
      <c r="J70" s="82">
        <f t="shared" si="2"/>
        <v>7</v>
      </c>
      <c r="K70" s="42"/>
      <c r="L70" s="82"/>
      <c r="M70" s="82"/>
      <c r="N70" s="42"/>
      <c r="O70" s="41"/>
      <c r="P70" s="82"/>
      <c r="Q70" s="82"/>
      <c r="R70" s="82"/>
      <c r="S70" s="82"/>
      <c r="T70" s="82"/>
      <c r="U70" s="82"/>
      <c r="V70" s="82"/>
      <c r="X70" s="82"/>
      <c r="Z70" s="82"/>
      <c r="AA70" s="82"/>
      <c r="AB70" s="82"/>
      <c r="AC70" s="82"/>
      <c r="AD70" s="82"/>
      <c r="AE70" s="82"/>
      <c r="AF70" s="82"/>
      <c r="AG70" s="82"/>
      <c r="AH70" s="82"/>
      <c r="AI70" s="82"/>
      <c r="AJ70" s="82" t="s">
        <v>380</v>
      </c>
      <c r="AK70" s="82" t="s">
        <v>381</v>
      </c>
      <c r="AL70" s="82"/>
    </row>
    <row r="71" spans="1:38" ht="14.5">
      <c r="A71" s="4" t="s">
        <v>484</v>
      </c>
      <c r="B71" s="4"/>
      <c r="C71" s="4"/>
      <c r="D71" s="33" t="s">
        <v>378</v>
      </c>
      <c r="E71" s="4" t="s">
        <v>67</v>
      </c>
      <c r="F71" s="12">
        <v>2</v>
      </c>
      <c r="G71" s="12">
        <v>2</v>
      </c>
      <c r="H71" s="12">
        <v>0</v>
      </c>
      <c r="I71" s="12">
        <v>16</v>
      </c>
      <c r="J71" s="82">
        <f t="shared" si="2"/>
        <v>2</v>
      </c>
      <c r="K71" s="42"/>
      <c r="L71" s="82"/>
      <c r="M71" s="82"/>
      <c r="N71" s="42"/>
      <c r="O71" s="41"/>
      <c r="P71" s="82"/>
      <c r="Q71" s="82"/>
      <c r="R71" s="82"/>
      <c r="S71" s="82"/>
      <c r="T71" s="82"/>
      <c r="U71" s="82"/>
      <c r="V71" s="82"/>
      <c r="X71" s="82"/>
      <c r="Z71" s="82"/>
      <c r="AA71" s="82"/>
      <c r="AB71" s="82"/>
      <c r="AC71" s="82"/>
      <c r="AD71" s="82"/>
      <c r="AE71" s="82"/>
      <c r="AF71" s="82"/>
      <c r="AG71" s="82"/>
      <c r="AH71" s="82"/>
      <c r="AI71" s="82"/>
      <c r="AJ71" s="82" t="s">
        <v>380</v>
      </c>
      <c r="AK71" s="82" t="s">
        <v>381</v>
      </c>
      <c r="AL71" s="82"/>
    </row>
    <row r="72" spans="1:38" ht="14.5">
      <c r="A72" s="4" t="s">
        <v>485</v>
      </c>
      <c r="B72" s="4"/>
      <c r="C72" s="4"/>
      <c r="D72" s="33" t="s">
        <v>378</v>
      </c>
      <c r="E72" s="4" t="s">
        <v>67</v>
      </c>
      <c r="F72" s="12">
        <v>2</v>
      </c>
      <c r="G72" s="12">
        <v>2</v>
      </c>
      <c r="H72" s="12">
        <v>0</v>
      </c>
      <c r="I72" s="12">
        <v>16</v>
      </c>
      <c r="J72" s="82">
        <f t="shared" si="2"/>
        <v>2</v>
      </c>
      <c r="K72" s="42"/>
      <c r="L72" s="82"/>
      <c r="M72" s="82"/>
      <c r="N72" s="42"/>
      <c r="O72" s="41"/>
      <c r="P72" s="82"/>
      <c r="Q72" s="82"/>
      <c r="R72" s="82"/>
      <c r="S72" s="82"/>
      <c r="T72" s="82"/>
      <c r="U72" s="82"/>
      <c r="V72" s="82"/>
      <c r="X72" s="82"/>
      <c r="Z72" s="82"/>
      <c r="AA72" s="82"/>
      <c r="AB72" s="82"/>
      <c r="AC72" s="82"/>
      <c r="AD72" s="82"/>
      <c r="AE72" s="82"/>
      <c r="AF72" s="82"/>
      <c r="AG72" s="82"/>
      <c r="AH72" s="82"/>
      <c r="AI72" s="82"/>
      <c r="AJ72" s="82" t="s">
        <v>380</v>
      </c>
      <c r="AK72" s="82" t="s">
        <v>381</v>
      </c>
      <c r="AL72" s="82"/>
    </row>
    <row r="73" spans="1:38" ht="14.5">
      <c r="A73" s="4" t="s">
        <v>486</v>
      </c>
      <c r="B73" s="4"/>
      <c r="C73" s="4" t="s">
        <v>387</v>
      </c>
      <c r="D73" s="33" t="s">
        <v>378</v>
      </c>
      <c r="E73" s="4" t="s">
        <v>71</v>
      </c>
      <c r="F73" s="12">
        <v>6</v>
      </c>
      <c r="G73" s="12">
        <v>5</v>
      </c>
      <c r="H73" s="12">
        <v>0</v>
      </c>
      <c r="I73" s="12">
        <v>41</v>
      </c>
      <c r="J73" s="82">
        <f t="shared" si="2"/>
        <v>5</v>
      </c>
      <c r="K73" s="42"/>
      <c r="L73" s="82"/>
      <c r="M73" s="82"/>
      <c r="N73" s="42"/>
      <c r="O73" s="41"/>
      <c r="P73" s="82"/>
      <c r="Q73" s="82"/>
      <c r="R73" s="82"/>
      <c r="S73" s="82"/>
      <c r="T73" s="82"/>
      <c r="U73" s="82"/>
      <c r="V73" s="82"/>
      <c r="X73" s="82"/>
      <c r="Z73" s="82"/>
      <c r="AA73" s="82"/>
      <c r="AB73" s="82"/>
      <c r="AC73" s="82"/>
      <c r="AD73" s="82"/>
      <c r="AE73" s="82"/>
      <c r="AF73" s="82"/>
      <c r="AG73" s="82"/>
      <c r="AH73" s="82"/>
      <c r="AI73" s="82"/>
      <c r="AJ73" s="82" t="s">
        <v>380</v>
      </c>
      <c r="AK73" s="82" t="s">
        <v>381</v>
      </c>
      <c r="AL73" s="82"/>
    </row>
    <row r="74" spans="1:38" ht="14.5">
      <c r="A74" s="4" t="s">
        <v>487</v>
      </c>
      <c r="B74" s="4"/>
      <c r="C74" s="4"/>
      <c r="D74" s="33" t="s">
        <v>378</v>
      </c>
      <c r="E74" s="4" t="s">
        <v>75</v>
      </c>
      <c r="F74" s="12">
        <v>2</v>
      </c>
      <c r="G74" s="12">
        <v>2</v>
      </c>
      <c r="H74" s="12">
        <v>0</v>
      </c>
      <c r="I74" s="12">
        <v>31</v>
      </c>
      <c r="J74" s="12">
        <f t="shared" si="2"/>
        <v>2</v>
      </c>
      <c r="K74" s="42"/>
      <c r="L74" s="82"/>
      <c r="M74" s="82"/>
      <c r="N74" s="42"/>
      <c r="O74" s="41"/>
      <c r="P74" s="82"/>
      <c r="Q74" s="82"/>
      <c r="R74" s="82"/>
      <c r="S74" s="82"/>
      <c r="T74" s="82"/>
      <c r="U74" s="82"/>
      <c r="V74" s="82"/>
      <c r="X74" s="82"/>
      <c r="Z74" s="82"/>
      <c r="AA74" s="82"/>
      <c r="AB74" s="82"/>
      <c r="AC74" s="82"/>
      <c r="AD74" s="82"/>
      <c r="AE74" s="82"/>
      <c r="AF74" s="82"/>
      <c r="AG74" s="82"/>
      <c r="AH74" s="82"/>
      <c r="AI74" s="82"/>
      <c r="AJ74" s="82" t="s">
        <v>380</v>
      </c>
      <c r="AK74" s="82" t="s">
        <v>381</v>
      </c>
      <c r="AL74" s="82"/>
    </row>
    <row r="75" spans="1:38" ht="14.5">
      <c r="A75" s="4" t="s">
        <v>572</v>
      </c>
      <c r="B75" s="4"/>
      <c r="C75" s="4" t="s">
        <v>387</v>
      </c>
      <c r="D75" s="33" t="s">
        <v>528</v>
      </c>
      <c r="E75" s="4" t="s">
        <v>95</v>
      </c>
      <c r="F75" s="12">
        <v>12</v>
      </c>
      <c r="G75" s="12">
        <v>24</v>
      </c>
      <c r="H75" s="12">
        <v>0</v>
      </c>
      <c r="I75" s="12">
        <v>2098</v>
      </c>
      <c r="J75" s="12">
        <f t="shared" si="2"/>
        <v>24</v>
      </c>
      <c r="K75" s="42"/>
      <c r="L75" s="82"/>
      <c r="M75" s="82"/>
      <c r="N75" s="42"/>
      <c r="O75" s="41"/>
      <c r="P75" s="82"/>
      <c r="Q75" s="82"/>
      <c r="R75" s="82"/>
      <c r="S75" s="82"/>
      <c r="T75" s="82"/>
      <c r="U75" s="82"/>
      <c r="V75" s="82"/>
      <c r="X75" s="82"/>
      <c r="Z75" s="82"/>
      <c r="AA75" s="82"/>
      <c r="AB75" s="82"/>
      <c r="AC75" s="82"/>
      <c r="AD75" s="82"/>
      <c r="AE75" s="82"/>
      <c r="AF75" s="82"/>
      <c r="AG75" s="82"/>
      <c r="AH75" s="82"/>
      <c r="AI75" s="82"/>
      <c r="AJ75" s="82" t="s">
        <v>380</v>
      </c>
      <c r="AK75" s="82" t="s">
        <v>381</v>
      </c>
      <c r="AL75" s="82"/>
    </row>
    <row r="76" spans="1:38" s="43" customFormat="1" ht="14.5">
      <c r="A76" s="17" t="s">
        <v>490</v>
      </c>
      <c r="B76" s="17"/>
      <c r="C76" s="17" t="s">
        <v>387</v>
      </c>
      <c r="D76" s="43" t="s">
        <v>378</v>
      </c>
      <c r="E76" s="17" t="s">
        <v>99</v>
      </c>
      <c r="F76" s="15">
        <v>2</v>
      </c>
      <c r="G76" s="15">
        <v>10</v>
      </c>
      <c r="H76" s="15">
        <v>0</v>
      </c>
      <c r="I76" s="15">
        <v>60</v>
      </c>
      <c r="J76" s="15">
        <f t="shared" si="2"/>
        <v>10</v>
      </c>
      <c r="K76" s="111"/>
      <c r="L76" s="36"/>
      <c r="M76" s="36"/>
      <c r="N76" s="111"/>
      <c r="O76" s="112"/>
      <c r="P76" s="36"/>
      <c r="Q76" s="36"/>
      <c r="R76" s="36"/>
      <c r="S76" s="36"/>
      <c r="T76" s="36"/>
      <c r="U76" s="36"/>
      <c r="V76" s="36"/>
      <c r="W76" s="36"/>
      <c r="X76" s="36"/>
      <c r="Z76" s="36"/>
      <c r="AA76" s="36"/>
      <c r="AB76" s="36"/>
      <c r="AC76" s="36"/>
      <c r="AD76" s="36"/>
      <c r="AE76" s="36"/>
      <c r="AF76" s="36"/>
      <c r="AG76" s="36"/>
      <c r="AH76" s="36"/>
      <c r="AI76" s="36"/>
      <c r="AJ76" s="36" t="s">
        <v>380</v>
      </c>
      <c r="AK76" s="36" t="s">
        <v>381</v>
      </c>
      <c r="AL76" s="36"/>
    </row>
    <row r="77" spans="1:38">
      <c r="F77" s="82">
        <f>SUM(F51:F76)+F48</f>
        <v>385</v>
      </c>
      <c r="G77" s="82">
        <f t="shared" ref="G77:I77" si="3">SUM(G51:G76)+G48</f>
        <v>1158</v>
      </c>
      <c r="H77" s="82">
        <f t="shared" si="3"/>
        <v>541</v>
      </c>
      <c r="I77" s="82">
        <f t="shared" si="3"/>
        <v>7914</v>
      </c>
      <c r="J77" s="82"/>
      <c r="K77" s="82"/>
      <c r="L77" s="82">
        <f t="shared" ref="L77" si="4">SUM(L51:L76)+L48</f>
        <v>500</v>
      </c>
      <c r="M77" s="82"/>
      <c r="N77" s="82">
        <f t="shared" ref="N77" si="5">SUM(N51:N76)+N48</f>
        <v>16400</v>
      </c>
      <c r="O77" s="82"/>
      <c r="P77" s="82">
        <f t="shared" ref="P77" si="6">SUM(P51:P76)+P48</f>
        <v>18000</v>
      </c>
      <c r="Q77" s="82"/>
      <c r="R77" s="82">
        <f t="shared" ref="R77" si="7">SUM(R51:R76)+R48</f>
        <v>1515</v>
      </c>
      <c r="S77" s="82"/>
      <c r="T77" s="82">
        <f t="shared" ref="T77" si="8">SUM(T51:T76)+T48</f>
        <v>300</v>
      </c>
      <c r="U77" s="82"/>
      <c r="V77" s="82">
        <f t="shared" ref="V77" si="9">SUM(V51:V76)+V48</f>
        <v>250</v>
      </c>
      <c r="X77" s="82">
        <f t="shared" ref="X77" si="10">SUM(X51:X76)+X48</f>
        <v>34400</v>
      </c>
      <c r="Z77" s="82">
        <f t="shared" ref="Z77" si="11">SUM(Z51:Z76)+Z48</f>
        <v>452</v>
      </c>
      <c r="AB77" s="82">
        <f t="shared" ref="AB77" si="12">SUM(AB51:AB76)+AB48</f>
        <v>50</v>
      </c>
      <c r="AD77" s="82">
        <f t="shared" ref="AD77" si="13">SUM(AD51:AD76)+AD48</f>
        <v>200</v>
      </c>
      <c r="AF77" s="82">
        <f t="shared" ref="AF77" si="14">SUM(AF51:AF76)+AF48</f>
        <v>200</v>
      </c>
      <c r="AH77" s="82">
        <f>SUM(AH52:AH76)+AH48</f>
        <v>6144</v>
      </c>
      <c r="AI77" s="33"/>
      <c r="AK77" s="82" t="s">
        <v>723</v>
      </c>
      <c r="AL77" s="82">
        <f>3</f>
        <v>3</v>
      </c>
    </row>
    <row r="78" spans="1:38">
      <c r="F78" s="82"/>
      <c r="G78" s="82"/>
      <c r="H78" s="82"/>
      <c r="I78" s="82"/>
      <c r="J78" s="82"/>
      <c r="K78" s="82"/>
      <c r="L78" s="82"/>
      <c r="M78" s="82"/>
      <c r="N78" s="82"/>
      <c r="O78" s="82"/>
      <c r="P78" s="82"/>
      <c r="Q78" s="82"/>
      <c r="R78" s="82"/>
      <c r="S78" s="82"/>
      <c r="T78" s="82"/>
      <c r="U78" s="82"/>
      <c r="V78" s="82"/>
      <c r="X78" s="82"/>
      <c r="Z78" s="82"/>
      <c r="AK78" s="82"/>
      <c r="AL78" s="82"/>
    </row>
    <row r="79" spans="1:38" ht="13">
      <c r="A79" s="14"/>
      <c r="AH79" s="33"/>
      <c r="AI79" s="33"/>
    </row>
    <row r="80" spans="1:38" ht="13">
      <c r="A80" s="14" t="s">
        <v>503</v>
      </c>
      <c r="AH80" s="33"/>
      <c r="AI80" s="33"/>
    </row>
    <row r="81" spans="1:38">
      <c r="A81" s="4" t="s">
        <v>504</v>
      </c>
      <c r="B81" s="4"/>
      <c r="C81" s="4" t="s">
        <v>505</v>
      </c>
      <c r="D81" s="4" t="s">
        <v>506</v>
      </c>
      <c r="E81" s="4" t="s">
        <v>19</v>
      </c>
      <c r="F81" s="12">
        <v>2</v>
      </c>
      <c r="G81" s="12">
        <v>4</v>
      </c>
      <c r="H81" s="12">
        <v>4</v>
      </c>
      <c r="I81" s="12">
        <v>350</v>
      </c>
      <c r="J81" s="12">
        <f t="shared" ref="J81:J86" si="15">G81-H81</f>
        <v>0</v>
      </c>
      <c r="K81" s="82" t="s">
        <v>507</v>
      </c>
      <c r="L81" s="82"/>
      <c r="M81" s="82"/>
      <c r="N81" s="82"/>
      <c r="O81" s="82"/>
      <c r="P81" s="82"/>
      <c r="Q81" s="82"/>
      <c r="R81" s="82"/>
      <c r="S81" s="82"/>
      <c r="T81" s="82"/>
      <c r="U81" s="82"/>
      <c r="V81" s="82"/>
      <c r="Z81" s="82"/>
      <c r="AA81" s="82"/>
      <c r="AB81" s="82"/>
      <c r="AC81" s="82"/>
      <c r="AD81" s="82"/>
      <c r="AE81" s="82"/>
      <c r="AF81" s="82"/>
      <c r="AG81" s="82"/>
      <c r="AH81" s="33"/>
      <c r="AI81" s="33"/>
      <c r="AJ81" s="82" t="s">
        <v>380</v>
      </c>
      <c r="AK81" s="82" t="s">
        <v>381</v>
      </c>
      <c r="AL81" s="82"/>
    </row>
    <row r="82" spans="1:38">
      <c r="A82" s="4" t="s">
        <v>509</v>
      </c>
      <c r="B82" s="4"/>
      <c r="C82" s="4" t="s">
        <v>505</v>
      </c>
      <c r="D82" s="4" t="s">
        <v>506</v>
      </c>
      <c r="E82" s="4" t="s">
        <v>510</v>
      </c>
      <c r="F82" s="12">
        <v>6</v>
      </c>
      <c r="G82" s="12">
        <v>10</v>
      </c>
      <c r="H82" s="12">
        <v>10</v>
      </c>
      <c r="I82" s="12">
        <v>100</v>
      </c>
      <c r="J82" s="12">
        <f t="shared" si="15"/>
        <v>0</v>
      </c>
      <c r="K82" s="82" t="s">
        <v>507</v>
      </c>
      <c r="L82" s="82"/>
      <c r="M82" s="82"/>
      <c r="N82" s="82">
        <v>200</v>
      </c>
      <c r="O82" s="82" t="s">
        <v>508</v>
      </c>
      <c r="P82" s="82"/>
      <c r="Q82" s="82"/>
      <c r="R82" s="82"/>
      <c r="S82" s="82"/>
      <c r="T82" s="82"/>
      <c r="U82" s="82"/>
      <c r="V82" s="82"/>
      <c r="Z82" s="82"/>
      <c r="AA82" s="82"/>
      <c r="AB82" s="82"/>
      <c r="AC82" s="82"/>
      <c r="AD82" s="82"/>
      <c r="AE82" s="82"/>
      <c r="AF82" s="82"/>
      <c r="AG82" s="82"/>
      <c r="AH82" s="82"/>
      <c r="AI82" s="82"/>
      <c r="AJ82" s="82" t="s">
        <v>380</v>
      </c>
      <c r="AK82" s="82" t="s">
        <v>381</v>
      </c>
      <c r="AL82" s="82"/>
    </row>
    <row r="83" spans="1:38">
      <c r="A83" s="4" t="s">
        <v>511</v>
      </c>
      <c r="B83" s="4"/>
      <c r="C83" s="4" t="s">
        <v>505</v>
      </c>
      <c r="D83" s="4" t="s">
        <v>506</v>
      </c>
      <c r="E83" s="4" t="s">
        <v>512</v>
      </c>
      <c r="F83" s="12">
        <v>8</v>
      </c>
      <c r="G83" s="12">
        <v>16</v>
      </c>
      <c r="H83" s="12">
        <v>16</v>
      </c>
      <c r="I83" s="12">
        <v>60</v>
      </c>
      <c r="J83" s="12">
        <f t="shared" si="15"/>
        <v>0</v>
      </c>
      <c r="K83" s="82" t="s">
        <v>513</v>
      </c>
      <c r="L83" s="82"/>
      <c r="M83" s="82"/>
      <c r="N83" s="82"/>
      <c r="O83" s="82"/>
      <c r="P83" s="82"/>
      <c r="Q83" s="82"/>
      <c r="R83" s="82"/>
      <c r="S83" s="82"/>
      <c r="T83" s="82"/>
      <c r="U83" s="82"/>
      <c r="V83" s="82"/>
      <c r="Z83" s="82"/>
      <c r="AA83" s="82"/>
      <c r="AB83" s="82"/>
      <c r="AC83" s="82"/>
      <c r="AD83" s="82"/>
      <c r="AE83" s="82"/>
      <c r="AF83" s="82"/>
      <c r="AG83" s="82"/>
      <c r="AH83" s="82"/>
      <c r="AI83" s="82"/>
      <c r="AJ83" s="82" t="s">
        <v>396</v>
      </c>
      <c r="AK83" s="12" t="s">
        <v>397</v>
      </c>
      <c r="AL83" s="82"/>
    </row>
    <row r="84" spans="1:38">
      <c r="A84" s="4" t="s">
        <v>514</v>
      </c>
      <c r="B84" s="4"/>
      <c r="C84" s="4" t="s">
        <v>505</v>
      </c>
      <c r="D84" s="4" t="s">
        <v>506</v>
      </c>
      <c r="E84" s="4" t="s">
        <v>515</v>
      </c>
      <c r="F84" s="12">
        <v>10</v>
      </c>
      <c r="G84" s="12">
        <v>10</v>
      </c>
      <c r="H84" s="12">
        <v>10</v>
      </c>
      <c r="I84" s="12">
        <v>40</v>
      </c>
      <c r="J84" s="12">
        <f t="shared" si="15"/>
        <v>0</v>
      </c>
      <c r="K84" s="82" t="s">
        <v>513</v>
      </c>
      <c r="L84" s="82"/>
      <c r="M84" s="82"/>
      <c r="N84" s="82"/>
      <c r="O84" s="82"/>
      <c r="P84" s="82"/>
      <c r="Q84" s="82"/>
      <c r="R84" s="82"/>
      <c r="S84" s="82"/>
      <c r="T84" s="82"/>
      <c r="U84" s="82"/>
      <c r="V84" s="82"/>
      <c r="Z84" s="82"/>
      <c r="AA84" s="82"/>
      <c r="AB84" s="82"/>
      <c r="AC84" s="82"/>
      <c r="AD84" s="82"/>
      <c r="AE84" s="82"/>
      <c r="AF84" s="82"/>
      <c r="AG84" s="82"/>
      <c r="AH84" s="82"/>
      <c r="AI84" s="82"/>
      <c r="AJ84" s="82" t="s">
        <v>396</v>
      </c>
      <c r="AK84" s="12" t="s">
        <v>397</v>
      </c>
      <c r="AL84" s="82"/>
    </row>
    <row r="85" spans="1:38">
      <c r="A85" s="4" t="s">
        <v>516</v>
      </c>
      <c r="B85" s="4"/>
      <c r="C85" s="4" t="s">
        <v>505</v>
      </c>
      <c r="D85" s="4" t="s">
        <v>506</v>
      </c>
      <c r="E85" s="4" t="s">
        <v>517</v>
      </c>
      <c r="F85" s="12">
        <v>4</v>
      </c>
      <c r="G85" s="12">
        <v>16</v>
      </c>
      <c r="H85" s="12">
        <v>0</v>
      </c>
      <c r="I85" s="12">
        <v>550</v>
      </c>
      <c r="J85" s="12">
        <f t="shared" si="15"/>
        <v>16</v>
      </c>
      <c r="K85" s="82" t="s">
        <v>518</v>
      </c>
      <c r="L85" s="82"/>
      <c r="M85" s="82"/>
      <c r="N85" s="82"/>
      <c r="O85" s="82"/>
      <c r="P85" s="82"/>
      <c r="Q85" s="82"/>
      <c r="R85" s="82"/>
      <c r="S85" s="82"/>
      <c r="T85" s="82"/>
      <c r="U85" s="82"/>
      <c r="V85" s="82"/>
      <c r="Z85" s="82"/>
      <c r="AA85" s="82"/>
      <c r="AB85" s="82"/>
      <c r="AC85" s="82"/>
      <c r="AD85" s="82"/>
      <c r="AE85" s="82"/>
      <c r="AF85" s="82"/>
      <c r="AG85" s="82"/>
      <c r="AH85" s="82"/>
      <c r="AI85" s="82"/>
      <c r="AJ85" s="82" t="s">
        <v>396</v>
      </c>
      <c r="AK85" s="12" t="s">
        <v>397</v>
      </c>
      <c r="AL85" s="82"/>
    </row>
    <row r="86" spans="1:38">
      <c r="A86" s="4" t="s">
        <v>520</v>
      </c>
      <c r="B86" s="4"/>
      <c r="C86" s="4" t="s">
        <v>505</v>
      </c>
      <c r="D86" s="4" t="s">
        <v>506</v>
      </c>
      <c r="E86" s="4" t="s">
        <v>521</v>
      </c>
      <c r="F86" s="12">
        <v>2</v>
      </c>
      <c r="G86" s="12">
        <v>4</v>
      </c>
      <c r="H86" s="12">
        <v>4</v>
      </c>
      <c r="I86" s="12">
        <v>40</v>
      </c>
      <c r="J86" s="12">
        <f t="shared" si="15"/>
        <v>0</v>
      </c>
      <c r="K86" s="82" t="s">
        <v>513</v>
      </c>
      <c r="L86" s="82"/>
      <c r="M86" s="82"/>
      <c r="N86" s="82"/>
      <c r="O86" s="82"/>
      <c r="P86" s="82"/>
      <c r="Q86" s="82"/>
      <c r="R86" s="82">
        <v>50</v>
      </c>
      <c r="S86" s="82" t="s">
        <v>519</v>
      </c>
      <c r="T86" s="82"/>
      <c r="U86" s="82"/>
      <c r="V86" s="82"/>
      <c r="Z86" s="82"/>
      <c r="AA86" s="82"/>
      <c r="AB86" s="82"/>
      <c r="AC86" s="82"/>
      <c r="AD86" s="82"/>
      <c r="AE86" s="82"/>
      <c r="AF86" s="82"/>
      <c r="AG86" s="82"/>
      <c r="AH86" s="82"/>
      <c r="AI86" s="82"/>
      <c r="AJ86" s="82" t="s">
        <v>380</v>
      </c>
      <c r="AK86" s="82" t="s">
        <v>381</v>
      </c>
      <c r="AL86" s="82"/>
    </row>
    <row r="87" spans="1:38">
      <c r="A87" s="33" t="s">
        <v>522</v>
      </c>
      <c r="C87" s="4" t="s">
        <v>523</v>
      </c>
      <c r="D87" s="33" t="s">
        <v>506</v>
      </c>
      <c r="E87" s="4" t="s">
        <v>63</v>
      </c>
      <c r="F87" s="82">
        <v>8</v>
      </c>
      <c r="G87" s="82">
        <v>32</v>
      </c>
      <c r="H87" s="12">
        <v>0</v>
      </c>
      <c r="I87" s="82">
        <v>80</v>
      </c>
      <c r="J87" s="82">
        <f>G87-H87</f>
        <v>32</v>
      </c>
      <c r="K87" s="82" t="s">
        <v>524</v>
      </c>
      <c r="L87" s="82"/>
      <c r="M87" s="82"/>
      <c r="N87" s="82"/>
      <c r="O87" s="82"/>
      <c r="P87" s="82"/>
      <c r="Q87" s="82"/>
      <c r="R87" s="82"/>
      <c r="S87" s="82"/>
      <c r="T87" s="82"/>
      <c r="U87" s="82"/>
      <c r="V87" s="82"/>
      <c r="Z87" s="82"/>
      <c r="AA87" s="82"/>
      <c r="AB87" s="82"/>
      <c r="AC87" s="82"/>
      <c r="AD87" s="82"/>
      <c r="AE87" s="82"/>
      <c r="AF87" s="82"/>
      <c r="AG87" s="82"/>
      <c r="AH87" s="82"/>
      <c r="AI87" s="82"/>
      <c r="AJ87" s="82" t="s">
        <v>380</v>
      </c>
      <c r="AK87" s="82" t="s">
        <v>381</v>
      </c>
      <c r="AL87" s="82"/>
    </row>
    <row r="88" spans="1:38">
      <c r="A88" s="33" t="s">
        <v>525</v>
      </c>
      <c r="C88" s="4" t="s">
        <v>523</v>
      </c>
      <c r="D88" s="33" t="s">
        <v>506</v>
      </c>
      <c r="E88" s="4" t="s">
        <v>63</v>
      </c>
      <c r="F88" s="82">
        <v>8</v>
      </c>
      <c r="G88" s="82">
        <v>32</v>
      </c>
      <c r="H88" s="12">
        <v>0</v>
      </c>
      <c r="I88" s="82">
        <v>80</v>
      </c>
      <c r="J88" s="82">
        <f>G88-H88</f>
        <v>32</v>
      </c>
      <c r="K88" s="82" t="s">
        <v>524</v>
      </c>
      <c r="L88" s="82"/>
      <c r="M88" s="82"/>
      <c r="N88" s="82"/>
      <c r="O88" s="82"/>
      <c r="P88" s="82"/>
      <c r="Q88" s="82"/>
      <c r="R88" s="82"/>
      <c r="S88" s="82"/>
      <c r="T88" s="82"/>
      <c r="U88" s="82"/>
      <c r="V88" s="82"/>
      <c r="Z88" s="82"/>
      <c r="AA88" s="82"/>
      <c r="AB88" s="82"/>
      <c r="AC88" s="82"/>
      <c r="AD88" s="82"/>
      <c r="AE88" s="82"/>
      <c r="AF88" s="82"/>
      <c r="AG88" s="82"/>
      <c r="AH88" s="36"/>
      <c r="AI88" s="36"/>
      <c r="AJ88" s="82" t="s">
        <v>380</v>
      </c>
      <c r="AK88" s="82" t="s">
        <v>381</v>
      </c>
      <c r="AL88" s="82"/>
    </row>
    <row r="89" spans="1:38" s="37" customFormat="1">
      <c r="F89" s="38">
        <f>SUM(F81:F88)+F77</f>
        <v>433</v>
      </c>
      <c r="G89" s="38">
        <f>SUM(G81:G88)+G77</f>
        <v>1282</v>
      </c>
      <c r="H89" s="38">
        <f>SUM(H81:H88)+H77</f>
        <v>585</v>
      </c>
      <c r="I89" s="38">
        <f>SUM(I81:I88)+I77</f>
        <v>9214</v>
      </c>
      <c r="J89" s="38"/>
      <c r="K89" s="38"/>
      <c r="L89" s="38">
        <f>SUM(L81:L88)+L77</f>
        <v>500</v>
      </c>
      <c r="M89" s="38"/>
      <c r="N89" s="38">
        <f>SUM(N81:N88)+N77</f>
        <v>16600</v>
      </c>
      <c r="O89" s="38"/>
      <c r="P89" s="38">
        <f>SUM(P81:P88)+P77</f>
        <v>18000</v>
      </c>
      <c r="Q89" s="38"/>
      <c r="R89" s="38">
        <f>SUM(R81:R88)+R77</f>
        <v>1565</v>
      </c>
      <c r="S89" s="38"/>
      <c r="T89" s="38">
        <f>SUM(T81:T88)+T77</f>
        <v>300</v>
      </c>
      <c r="U89" s="38"/>
      <c r="V89" s="38">
        <f>SUM(V81:V88)+V77</f>
        <v>250</v>
      </c>
      <c r="W89" s="38"/>
      <c r="X89" s="38">
        <f>SUM(X81:X88)+X77</f>
        <v>34400</v>
      </c>
      <c r="Y89" s="38"/>
      <c r="Z89" s="38">
        <f>SUM(Z81:Z88)+Z77</f>
        <v>452</v>
      </c>
      <c r="AA89" s="38"/>
      <c r="AB89" s="38">
        <f>SUM(AB81:AB88)+AB77</f>
        <v>50</v>
      </c>
      <c r="AC89" s="38"/>
      <c r="AD89" s="38">
        <f>SUM(AD81:AD88)+AD77</f>
        <v>200</v>
      </c>
      <c r="AE89" s="38"/>
      <c r="AF89" s="38"/>
      <c r="AG89" s="38"/>
      <c r="AH89" s="82">
        <f>AH77+SUM(AH82:AH88)</f>
        <v>6144</v>
      </c>
      <c r="AI89" s="82"/>
      <c r="AJ89" s="38"/>
      <c r="AK89" s="38" t="s">
        <v>724</v>
      </c>
      <c r="AL89" s="38">
        <v>3</v>
      </c>
    </row>
  </sheetData>
  <mergeCells count="8">
    <mergeCell ref="A1:E1"/>
    <mergeCell ref="A2:B2"/>
    <mergeCell ref="A3:B3"/>
    <mergeCell ref="F3:G3"/>
    <mergeCell ref="A4:B4"/>
    <mergeCell ref="A5:B5"/>
    <mergeCell ref="A45:B45"/>
    <mergeCell ref="A6:B6"/>
  </mergeCells>
  <hyperlinks>
    <hyperlink ref="F3:G3" location="Shortcuts!A1" display="Back to shortcuts" xr:uid="{732FBE84-E640-425B-BBCB-45E8284F2D36}"/>
  </hyperlinks>
  <pageMargins left="0.7" right="0.7" top="0.75" bottom="0.75" header="0.3" footer="0.3"/>
  <pageSetup paperSize="9" orientation="portrait" r:id="rId1"/>
  <headerFooter>
    <oddFooter>&amp;C&amp;1#&amp;"Arial"&amp;8&amp;K001753Nokia internal use</oddFooter>
  </headerFooter>
  <drawing r:id="rId2"/>
  <legacyDrawing r:id="rId3"/>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3D4AAF-1842-4E3A-ABB7-F7D96D9D997B}">
  <sheetPr codeName="Sheet171"/>
  <dimension ref="A1:BT90"/>
  <sheetViews>
    <sheetView zoomScale="85" zoomScaleNormal="85" zoomScalePageLayoutView="70" workbookViewId="0">
      <selection activeCell="A12" sqref="A12"/>
    </sheetView>
  </sheetViews>
  <sheetFormatPr defaultColWidth="8.81640625" defaultRowHeight="12.5"/>
  <cols>
    <col min="1" max="1" width="8.81640625" style="4"/>
    <col min="2" max="2" width="20.81640625" style="4" customWidth="1"/>
    <col min="3" max="3" width="24" style="4" customWidth="1"/>
    <col min="4" max="4" width="55.81640625" style="4" customWidth="1"/>
    <col min="5" max="5" width="14.1796875" style="4" customWidth="1"/>
    <col min="6" max="7" width="8.81640625" style="4"/>
    <col min="8" max="9" width="8.1796875" style="4" customWidth="1"/>
    <col min="10" max="10" width="6.1796875" style="4" customWidth="1"/>
    <col min="11" max="11" width="15.1796875" style="4" customWidth="1"/>
    <col min="12" max="12" width="6.81640625" style="4" customWidth="1"/>
    <col min="13" max="13" width="9.453125" style="4" bestFit="1" customWidth="1"/>
    <col min="14" max="14" width="6.1796875" style="4" customWidth="1"/>
    <col min="15" max="15" width="15.1796875" style="4" customWidth="1"/>
    <col min="16" max="16" width="6.81640625" style="4" customWidth="1"/>
    <col min="17" max="17" width="11.453125" style="4" bestFit="1" customWidth="1"/>
    <col min="18" max="18" width="6.1796875" style="4" customWidth="1"/>
    <col min="19" max="19" width="15.1796875" style="4" customWidth="1"/>
    <col min="20" max="20" width="6.81640625" style="4" customWidth="1"/>
    <col min="21" max="21" width="12.81640625" style="4" customWidth="1"/>
    <col min="22" max="22" width="6.1796875" style="4" customWidth="1"/>
    <col min="23" max="23" width="11.1796875" style="4" customWidth="1"/>
    <col min="24" max="24" width="6.81640625" style="4" customWidth="1"/>
    <col min="25" max="25" width="8.81640625" style="4"/>
    <col min="26" max="26" width="6.1796875" style="4" customWidth="1"/>
    <col min="27" max="27" width="15.1796875" style="4" customWidth="1"/>
    <col min="28" max="28" width="6.81640625" style="4" customWidth="1"/>
    <col min="29" max="29" width="8.81640625" style="4"/>
    <col min="30" max="30" width="6.1796875" style="4" customWidth="1"/>
    <col min="31" max="31" width="15.1796875" style="4" customWidth="1"/>
    <col min="32" max="32" width="6.81640625" style="4" customWidth="1"/>
    <col min="33" max="33" width="13.1796875" style="4" customWidth="1"/>
    <col min="34" max="34" width="6.1796875" style="4" customWidth="1"/>
    <col min="35" max="36" width="11.1796875" style="4" customWidth="1"/>
    <col min="37" max="37" width="7.1796875" style="4" customWidth="1"/>
    <col min="38" max="38" width="6.1796875" style="4" customWidth="1"/>
    <col min="39" max="39" width="15.1796875" style="4" customWidth="1"/>
    <col min="40" max="40" width="6.81640625" style="4" customWidth="1"/>
    <col min="41" max="41" width="12.54296875" style="4" customWidth="1"/>
    <col min="42" max="48" width="6.81640625" style="4" customWidth="1"/>
    <col min="49" max="49" width="9.453125" style="4" customWidth="1"/>
    <col min="50" max="50" width="9.1796875" style="4" customWidth="1"/>
    <col min="51" max="51" width="9.26953125" style="4" customWidth="1"/>
    <col min="52" max="52" width="6.81640625" style="4" customWidth="1"/>
    <col min="53" max="53" width="16" style="4" customWidth="1"/>
    <col min="54" max="56" width="6.81640625" style="4" customWidth="1"/>
    <col min="57" max="57" width="9.81640625" style="4" customWidth="1"/>
    <col min="58" max="58" width="12.1796875" style="4" customWidth="1"/>
    <col min="59" max="60" width="13.1796875" style="4" customWidth="1"/>
    <col min="61" max="61" width="6.1796875" style="4" customWidth="1"/>
    <col min="62" max="62" width="18.1796875" style="4" customWidth="1"/>
    <col min="63" max="63" width="17.1796875" style="4" customWidth="1"/>
    <col min="64" max="64" width="18.54296875" style="4" customWidth="1"/>
    <col min="65" max="66" width="13.1796875" style="4" customWidth="1"/>
    <col min="67" max="67" width="22.81640625" style="4" customWidth="1"/>
    <col min="68" max="68" width="17.54296875" style="4" customWidth="1"/>
    <col min="69" max="78" width="8.81640625" style="4"/>
    <col min="79" max="79" width="10.1796875" style="4" customWidth="1"/>
    <col min="80" max="16384" width="8.81640625" style="4"/>
  </cols>
  <sheetData>
    <row r="1" spans="1:68" ht="13">
      <c r="A1" s="156" t="s">
        <v>15</v>
      </c>
      <c r="B1" s="156"/>
      <c r="C1" s="156"/>
      <c r="D1" s="157"/>
      <c r="F1" s="5" t="s">
        <v>653</v>
      </c>
    </row>
    <row r="2" spans="1:68">
      <c r="A2" s="178" t="s">
        <v>355</v>
      </c>
      <c r="B2" s="178"/>
    </row>
    <row r="3" spans="1:68" ht="14.5">
      <c r="A3" s="178" t="s">
        <v>357</v>
      </c>
      <c r="B3" s="178"/>
      <c r="F3" s="169" t="s">
        <v>358</v>
      </c>
      <c r="G3" s="169"/>
    </row>
    <row r="4" spans="1:68">
      <c r="A4" s="178" t="s">
        <v>359</v>
      </c>
      <c r="B4" s="178"/>
      <c r="C4" s="113"/>
      <c r="D4" s="4" t="s">
        <v>459</v>
      </c>
    </row>
    <row r="5" spans="1:68">
      <c r="A5" s="162" t="s">
        <v>360</v>
      </c>
      <c r="B5" s="162"/>
      <c r="D5" s="33" t="s">
        <v>648</v>
      </c>
    </row>
    <row r="6" spans="1:68" ht="13">
      <c r="A6" s="162" t="s">
        <v>361</v>
      </c>
      <c r="B6" s="162"/>
      <c r="D6" s="131" t="s">
        <v>726</v>
      </c>
    </row>
    <row r="7" spans="1:68" ht="52">
      <c r="A7" s="7" t="s">
        <v>155</v>
      </c>
      <c r="B7" s="7" t="s">
        <v>362</v>
      </c>
      <c r="C7" s="7" t="s">
        <v>364</v>
      </c>
      <c r="D7" s="7" t="s">
        <v>365</v>
      </c>
      <c r="E7" s="6" t="s">
        <v>654</v>
      </c>
      <c r="F7" s="6" t="s">
        <v>129</v>
      </c>
      <c r="G7" s="6" t="s">
        <v>146</v>
      </c>
      <c r="H7" s="6" t="s">
        <v>655</v>
      </c>
      <c r="I7" s="6" t="s">
        <v>367</v>
      </c>
      <c r="J7" s="6" t="s">
        <v>656</v>
      </c>
      <c r="K7" s="6" t="s">
        <v>657</v>
      </c>
      <c r="L7" s="6" t="s">
        <v>658</v>
      </c>
      <c r="M7" s="6" t="s">
        <v>170</v>
      </c>
      <c r="N7" s="6" t="s">
        <v>656</v>
      </c>
      <c r="O7" s="6" t="s">
        <v>657</v>
      </c>
      <c r="P7" s="6" t="s">
        <v>658</v>
      </c>
      <c r="Q7" s="6" t="s">
        <v>30</v>
      </c>
      <c r="R7" s="6" t="s">
        <v>656</v>
      </c>
      <c r="S7" s="6" t="s">
        <v>657</v>
      </c>
      <c r="T7" s="6" t="s">
        <v>658</v>
      </c>
      <c r="U7" s="6" t="s">
        <v>175</v>
      </c>
      <c r="V7" s="6" t="s">
        <v>656</v>
      </c>
      <c r="W7" s="6" t="s">
        <v>657</v>
      </c>
      <c r="X7" s="6" t="s">
        <v>658</v>
      </c>
      <c r="Y7" s="6" t="s">
        <v>189</v>
      </c>
      <c r="Z7" s="6" t="s">
        <v>656</v>
      </c>
      <c r="AA7" s="6" t="s">
        <v>657</v>
      </c>
      <c r="AB7" s="6" t="s">
        <v>658</v>
      </c>
      <c r="AC7" s="6" t="s">
        <v>579</v>
      </c>
      <c r="AD7" s="6" t="s">
        <v>656</v>
      </c>
      <c r="AE7" s="6" t="s">
        <v>657</v>
      </c>
      <c r="AF7" s="6" t="s">
        <v>658</v>
      </c>
      <c r="AG7" s="6" t="s">
        <v>179</v>
      </c>
      <c r="AH7" s="6" t="s">
        <v>656</v>
      </c>
      <c r="AI7" s="6" t="s">
        <v>657</v>
      </c>
      <c r="AJ7" s="6" t="s">
        <v>658</v>
      </c>
      <c r="AK7" s="6" t="s">
        <v>554</v>
      </c>
      <c r="AL7" s="6" t="s">
        <v>656</v>
      </c>
      <c r="AM7" s="6" t="s">
        <v>657</v>
      </c>
      <c r="AN7" s="6" t="s">
        <v>658</v>
      </c>
      <c r="AO7" s="79" t="s">
        <v>659</v>
      </c>
      <c r="AP7" s="6" t="s">
        <v>656</v>
      </c>
      <c r="AQ7" s="6" t="s">
        <v>657</v>
      </c>
      <c r="AR7" s="6" t="s">
        <v>658</v>
      </c>
      <c r="AS7" s="79" t="s">
        <v>206</v>
      </c>
      <c r="AT7" s="6" t="s">
        <v>656</v>
      </c>
      <c r="AU7" s="6" t="s">
        <v>657</v>
      </c>
      <c r="AV7" s="6" t="s">
        <v>658</v>
      </c>
      <c r="AW7" s="79" t="s">
        <v>699</v>
      </c>
      <c r="AX7" s="6" t="s">
        <v>656</v>
      </c>
      <c r="AY7" s="6" t="s">
        <v>657</v>
      </c>
      <c r="AZ7" s="6" t="s">
        <v>658</v>
      </c>
      <c r="BA7" s="79" t="s">
        <v>719</v>
      </c>
      <c r="BB7" s="6" t="s">
        <v>656</v>
      </c>
      <c r="BC7" s="6" t="s">
        <v>657</v>
      </c>
      <c r="BD7" s="6" t="s">
        <v>658</v>
      </c>
      <c r="BE7" s="6" t="s">
        <v>191</v>
      </c>
      <c r="BF7" s="6" t="s">
        <v>375</v>
      </c>
      <c r="BG7" s="6" t="s">
        <v>376</v>
      </c>
      <c r="BH7" s="6" t="s">
        <v>661</v>
      </c>
      <c r="BI7" s="6" t="s">
        <v>662</v>
      </c>
      <c r="BJ7" s="6" t="s">
        <v>663</v>
      </c>
      <c r="BK7" s="6" t="s">
        <v>664</v>
      </c>
      <c r="BL7" s="79" t="s">
        <v>665</v>
      </c>
      <c r="BM7" s="6" t="s">
        <v>666</v>
      </c>
      <c r="BN7" s="6" t="s">
        <v>667</v>
      </c>
      <c r="BO7" s="6" t="s">
        <v>668</v>
      </c>
      <c r="BP7" s="6" t="s">
        <v>669</v>
      </c>
    </row>
    <row r="8" spans="1:68">
      <c r="A8" s="4" t="s">
        <v>670</v>
      </c>
      <c r="B8" s="12"/>
      <c r="C8" s="4" t="s">
        <v>378</v>
      </c>
      <c r="D8" s="4" t="s">
        <v>671</v>
      </c>
      <c r="E8" s="12" t="s">
        <v>672</v>
      </c>
      <c r="F8" s="12">
        <v>4</v>
      </c>
      <c r="G8" s="12">
        <v>8</v>
      </c>
      <c r="H8" s="59">
        <v>20</v>
      </c>
      <c r="I8" s="28">
        <v>0</v>
      </c>
      <c r="J8" s="12" t="s">
        <v>673</v>
      </c>
      <c r="K8" s="4" t="s">
        <v>674</v>
      </c>
      <c r="L8" s="12">
        <v>4.7</v>
      </c>
      <c r="M8" s="59"/>
      <c r="N8" s="12"/>
      <c r="O8" s="12"/>
      <c r="P8" s="12"/>
      <c r="Q8" s="59"/>
      <c r="R8" s="12"/>
      <c r="S8" s="12"/>
      <c r="T8" s="12"/>
      <c r="U8" s="59"/>
      <c r="V8" s="12"/>
      <c r="W8" s="12"/>
      <c r="X8" s="12"/>
      <c r="Y8" s="59"/>
      <c r="Z8" s="12"/>
      <c r="AA8" s="12"/>
      <c r="AB8" s="12"/>
      <c r="AC8" s="59"/>
      <c r="AD8" s="12"/>
      <c r="AE8" s="12"/>
      <c r="AF8" s="12"/>
      <c r="AG8" s="59">
        <v>0</v>
      </c>
      <c r="AH8" s="12" t="s">
        <v>670</v>
      </c>
      <c r="AI8" s="4" t="s">
        <v>670</v>
      </c>
      <c r="AJ8" s="12" t="s">
        <v>670</v>
      </c>
      <c r="AK8" s="12"/>
      <c r="AL8" s="12"/>
      <c r="AM8" s="12"/>
      <c r="AN8" s="12"/>
      <c r="AO8" s="12"/>
      <c r="AP8" s="12"/>
      <c r="AQ8" s="12"/>
      <c r="AR8" s="12"/>
      <c r="AS8" s="12"/>
      <c r="AT8" s="12"/>
      <c r="AU8" s="12"/>
      <c r="AV8" s="12"/>
      <c r="AW8" s="12"/>
      <c r="AX8" s="12"/>
      <c r="AY8" s="12"/>
      <c r="AZ8" s="12"/>
      <c r="BA8" s="12"/>
      <c r="BB8" s="12"/>
      <c r="BC8" s="12"/>
      <c r="BD8" s="12"/>
      <c r="BE8" s="12">
        <v>1</v>
      </c>
      <c r="BG8" s="12"/>
      <c r="BH8" s="12" t="s">
        <v>381</v>
      </c>
      <c r="BI8" s="12">
        <v>2</v>
      </c>
      <c r="BJ8" s="12" t="s">
        <v>381</v>
      </c>
      <c r="BK8" s="12"/>
      <c r="BP8" s="12"/>
    </row>
    <row r="9" spans="1:68">
      <c r="A9" s="4" t="s">
        <v>377</v>
      </c>
      <c r="C9" s="4" t="s">
        <v>378</v>
      </c>
      <c r="D9" s="19" t="s">
        <v>19</v>
      </c>
      <c r="E9" s="12" t="s">
        <v>675</v>
      </c>
      <c r="F9" s="12">
        <v>4</v>
      </c>
      <c r="G9" s="12">
        <v>16</v>
      </c>
      <c r="H9" s="59">
        <v>350</v>
      </c>
      <c r="I9" s="28">
        <v>4</v>
      </c>
      <c r="J9" s="12" t="s">
        <v>676</v>
      </c>
      <c r="K9" s="4" t="s">
        <v>674</v>
      </c>
      <c r="L9" s="12">
        <v>5.9</v>
      </c>
      <c r="M9" s="59"/>
      <c r="N9" s="12"/>
      <c r="O9" s="12"/>
      <c r="P9" s="12"/>
      <c r="Q9" s="59"/>
      <c r="R9" s="12"/>
      <c r="S9" s="12"/>
      <c r="T9" s="12"/>
      <c r="U9" s="59"/>
      <c r="V9" s="12"/>
      <c r="W9" s="12"/>
      <c r="X9" s="12"/>
      <c r="Y9" s="59"/>
      <c r="Z9" s="12"/>
      <c r="AA9" s="12"/>
      <c r="AB9" s="12"/>
      <c r="AC9" s="59"/>
      <c r="AD9" s="12"/>
      <c r="AE9" s="12"/>
      <c r="AF9" s="12"/>
      <c r="AG9" s="59">
        <f>2*H9</f>
        <v>700</v>
      </c>
      <c r="AH9" s="12" t="s">
        <v>676</v>
      </c>
      <c r="AI9" s="4" t="s">
        <v>674</v>
      </c>
      <c r="AJ9" s="12" t="s">
        <v>670</v>
      </c>
      <c r="AK9" s="12"/>
      <c r="AL9" s="12"/>
      <c r="AM9" s="12"/>
      <c r="AN9" s="12"/>
      <c r="AO9" s="12"/>
      <c r="AP9" s="12"/>
      <c r="AQ9" s="12"/>
      <c r="AR9" s="12"/>
      <c r="AS9" s="12"/>
      <c r="AT9" s="12"/>
      <c r="AU9" s="12"/>
      <c r="AV9" s="12"/>
      <c r="AW9" s="12"/>
      <c r="AX9" s="12"/>
      <c r="AY9" s="12"/>
      <c r="AZ9" s="12"/>
      <c r="BA9" s="12"/>
      <c r="BB9" s="12"/>
      <c r="BC9" s="12"/>
      <c r="BD9" s="12"/>
      <c r="BE9" s="12">
        <v>2</v>
      </c>
      <c r="BF9" s="12" t="s">
        <v>381</v>
      </c>
      <c r="BG9" s="12"/>
      <c r="BH9" s="12"/>
      <c r="BI9" s="12">
        <v>2</v>
      </c>
      <c r="BJ9" s="12"/>
      <c r="BK9" s="12"/>
      <c r="BL9" s="12" t="s">
        <v>381</v>
      </c>
      <c r="BM9" s="12"/>
      <c r="BN9" s="12"/>
      <c r="BO9" s="12"/>
      <c r="BP9" s="12"/>
    </row>
    <row r="10" spans="1:68">
      <c r="A10" s="4" t="s">
        <v>385</v>
      </c>
      <c r="B10" s="12" t="s">
        <v>386</v>
      </c>
      <c r="C10" s="4" t="s">
        <v>378</v>
      </c>
      <c r="D10" s="19" t="s">
        <v>27</v>
      </c>
      <c r="E10" s="12" t="s">
        <v>677</v>
      </c>
      <c r="F10" s="12">
        <v>6</v>
      </c>
      <c r="G10" s="12">
        <v>9</v>
      </c>
      <c r="H10" s="59">
        <v>40</v>
      </c>
      <c r="I10" s="28">
        <v>4</v>
      </c>
      <c r="J10" s="12" t="s">
        <v>676</v>
      </c>
      <c r="K10" s="4" t="s">
        <v>674</v>
      </c>
      <c r="L10" s="12">
        <v>2.6</v>
      </c>
      <c r="M10" s="59"/>
      <c r="N10" s="12"/>
      <c r="O10" s="12"/>
      <c r="P10" s="12"/>
      <c r="Q10" s="59"/>
      <c r="R10" s="12"/>
      <c r="S10" s="12"/>
      <c r="T10" s="12"/>
      <c r="U10" s="59"/>
      <c r="V10" s="12"/>
      <c r="W10" s="12"/>
      <c r="X10" s="12"/>
      <c r="Y10" s="59"/>
      <c r="Z10" s="12"/>
      <c r="AA10" s="12"/>
      <c r="AB10" s="12"/>
      <c r="AC10" s="59"/>
      <c r="AD10" s="12"/>
      <c r="AE10" s="12"/>
      <c r="AF10" s="12"/>
      <c r="AG10" s="59">
        <f>H10*2</f>
        <v>80</v>
      </c>
      <c r="AH10" s="12" t="s">
        <v>676</v>
      </c>
      <c r="AI10" s="4" t="s">
        <v>674</v>
      </c>
      <c r="AJ10" s="12" t="s">
        <v>670</v>
      </c>
      <c r="AK10" s="12"/>
      <c r="AL10" s="12"/>
      <c r="AM10" s="12"/>
      <c r="AN10" s="12"/>
      <c r="AO10" s="12"/>
      <c r="AP10" s="12"/>
      <c r="AQ10" s="12"/>
      <c r="AR10" s="12"/>
      <c r="AS10" s="12"/>
      <c r="AT10" s="12"/>
      <c r="AU10" s="12"/>
      <c r="AV10" s="12"/>
      <c r="AW10" s="12"/>
      <c r="AX10" s="12"/>
      <c r="AY10" s="12"/>
      <c r="AZ10" s="12"/>
      <c r="BA10" s="12"/>
      <c r="BB10" s="12"/>
      <c r="BC10" s="12"/>
      <c r="BD10" s="12"/>
      <c r="BE10" s="12">
        <v>2</v>
      </c>
      <c r="BF10" s="12" t="s">
        <v>381</v>
      </c>
      <c r="BG10" s="12"/>
      <c r="BH10" s="12"/>
      <c r="BI10" s="12">
        <v>2</v>
      </c>
      <c r="BJ10" s="12"/>
      <c r="BK10" s="12"/>
      <c r="BL10" s="12" t="s">
        <v>381</v>
      </c>
      <c r="BM10" s="12"/>
      <c r="BN10" s="12"/>
      <c r="BO10" s="12"/>
      <c r="BP10" s="12"/>
    </row>
    <row r="11" spans="1:68">
      <c r="A11" s="4" t="s">
        <v>389</v>
      </c>
      <c r="B11" s="12"/>
      <c r="C11" s="4" t="s">
        <v>378</v>
      </c>
      <c r="D11" s="19" t="s">
        <v>30</v>
      </c>
      <c r="E11" s="12" t="s">
        <v>678</v>
      </c>
      <c r="F11" s="12">
        <v>24</v>
      </c>
      <c r="G11" s="12">
        <v>240</v>
      </c>
      <c r="H11" s="59">
        <v>100</v>
      </c>
      <c r="I11" s="28">
        <v>32</v>
      </c>
      <c r="J11" s="12" t="s">
        <v>676</v>
      </c>
      <c r="K11" s="4" t="s">
        <v>674</v>
      </c>
      <c r="L11" s="12">
        <v>2.6</v>
      </c>
      <c r="M11" s="59">
        <v>460</v>
      </c>
      <c r="N11" s="12" t="s">
        <v>676</v>
      </c>
      <c r="O11" s="4" t="s">
        <v>679</v>
      </c>
      <c r="P11" s="12">
        <f>50/1000</f>
        <v>0.05</v>
      </c>
      <c r="Q11" s="59">
        <v>15200</v>
      </c>
      <c r="R11" s="12" t="s">
        <v>676</v>
      </c>
      <c r="S11" s="4" t="s">
        <v>679</v>
      </c>
      <c r="T11" s="12">
        <f>50/1000</f>
        <v>0.05</v>
      </c>
      <c r="U11" s="59">
        <v>16600</v>
      </c>
      <c r="V11" s="12" t="s">
        <v>676</v>
      </c>
      <c r="W11" s="4" t="s">
        <v>674</v>
      </c>
      <c r="X11" s="12">
        <f>50/1000</f>
        <v>0.05</v>
      </c>
      <c r="Y11" s="59"/>
      <c r="Z11" s="12"/>
      <c r="AA11" s="12"/>
      <c r="AB11" s="12"/>
      <c r="AC11" s="59"/>
      <c r="AD11" s="12"/>
      <c r="AE11" s="12"/>
      <c r="AF11" s="12"/>
      <c r="AG11" s="59">
        <v>31380</v>
      </c>
      <c r="AH11" s="12" t="s">
        <v>676</v>
      </c>
      <c r="AI11" s="4" t="s">
        <v>674</v>
      </c>
      <c r="AJ11" s="12" t="s">
        <v>670</v>
      </c>
      <c r="AK11" s="12"/>
      <c r="AL11" s="12"/>
      <c r="AM11" s="12"/>
      <c r="AN11" s="12"/>
      <c r="AO11" s="12"/>
      <c r="AP11" s="12"/>
      <c r="AQ11" s="12"/>
      <c r="AR11" s="12"/>
      <c r="AS11" s="12"/>
      <c r="AT11" s="12"/>
      <c r="AU11" s="12"/>
      <c r="AV11" s="12"/>
      <c r="AW11" s="12"/>
      <c r="AX11" s="12"/>
      <c r="AY11" s="12"/>
      <c r="AZ11" s="12"/>
      <c r="BA11" s="59">
        <v>6144</v>
      </c>
      <c r="BB11" s="12" t="s">
        <v>676</v>
      </c>
      <c r="BC11" s="4" t="s">
        <v>674</v>
      </c>
      <c r="BD11" s="12">
        <f>50/1000</f>
        <v>0.05</v>
      </c>
      <c r="BE11" s="12">
        <v>21</v>
      </c>
      <c r="BF11" s="12" t="s">
        <v>381</v>
      </c>
      <c r="BG11" s="12"/>
      <c r="BH11" s="12"/>
      <c r="BI11" s="12">
        <v>2</v>
      </c>
      <c r="BJ11" s="12"/>
      <c r="BK11" s="12"/>
      <c r="BL11" s="12" t="s">
        <v>381</v>
      </c>
      <c r="BM11" s="12"/>
      <c r="BN11" s="12"/>
      <c r="BO11" s="12"/>
      <c r="BP11" s="12"/>
    </row>
    <row r="12" spans="1:68">
      <c r="A12" s="4" t="s">
        <v>393</v>
      </c>
      <c r="B12" s="12" t="s">
        <v>386</v>
      </c>
      <c r="C12" s="4" t="s">
        <v>378</v>
      </c>
      <c r="D12" s="19" t="s">
        <v>34</v>
      </c>
      <c r="E12" s="12" t="s">
        <v>680</v>
      </c>
      <c r="F12" s="12">
        <v>9</v>
      </c>
      <c r="G12" s="12">
        <v>11</v>
      </c>
      <c r="H12" s="59">
        <v>45</v>
      </c>
      <c r="I12" s="28">
        <v>16</v>
      </c>
      <c r="J12" s="12" t="s">
        <v>676</v>
      </c>
      <c r="K12" s="4" t="s">
        <v>674</v>
      </c>
      <c r="L12" s="12">
        <v>2.6</v>
      </c>
      <c r="M12" s="59"/>
      <c r="N12" s="12"/>
      <c r="O12" s="12"/>
      <c r="P12" s="12"/>
      <c r="Q12" s="59"/>
      <c r="R12" s="12"/>
      <c r="S12" s="12"/>
      <c r="T12" s="12"/>
      <c r="U12" s="59"/>
      <c r="V12" s="12"/>
      <c r="W12" s="12"/>
      <c r="X12" s="12"/>
      <c r="Y12" s="59">
        <v>1250</v>
      </c>
      <c r="Z12" s="12" t="s">
        <v>676</v>
      </c>
      <c r="AA12" s="4" t="s">
        <v>674</v>
      </c>
      <c r="AB12" s="12">
        <v>0.1</v>
      </c>
      <c r="AC12" s="59">
        <v>270</v>
      </c>
      <c r="AD12" s="12" t="s">
        <v>676</v>
      </c>
      <c r="AE12" s="4" t="s">
        <v>674</v>
      </c>
      <c r="AF12" s="12" t="s">
        <v>670</v>
      </c>
      <c r="AG12" s="59">
        <v>827</v>
      </c>
      <c r="AH12" s="12" t="s">
        <v>676</v>
      </c>
      <c r="AI12" s="4" t="s">
        <v>674</v>
      </c>
      <c r="AJ12" s="12" t="s">
        <v>670</v>
      </c>
      <c r="AK12" s="12"/>
      <c r="AL12" s="12"/>
      <c r="AM12" s="12"/>
      <c r="AN12" s="12"/>
      <c r="AO12" s="12"/>
      <c r="AP12" s="12"/>
      <c r="AQ12" s="12"/>
      <c r="AR12" s="12"/>
      <c r="AS12" s="12"/>
      <c r="AT12" s="12"/>
      <c r="AU12" s="12"/>
      <c r="AV12" s="12"/>
      <c r="AW12" s="12"/>
      <c r="AX12" s="12"/>
      <c r="AY12" s="12"/>
      <c r="AZ12" s="12"/>
      <c r="BA12" s="12"/>
      <c r="BB12" s="12"/>
      <c r="BC12" s="12"/>
      <c r="BD12" s="12"/>
      <c r="BE12" s="12">
        <v>6</v>
      </c>
      <c r="BF12" s="12" t="s">
        <v>381</v>
      </c>
      <c r="BG12" s="12"/>
      <c r="BH12" s="12"/>
      <c r="BI12" s="12">
        <v>2</v>
      </c>
      <c r="BJ12" s="12"/>
      <c r="BK12" s="12"/>
      <c r="BL12" s="12" t="s">
        <v>381</v>
      </c>
      <c r="BM12" s="12"/>
      <c r="BN12" s="12"/>
      <c r="BO12" s="12"/>
      <c r="BP12" s="12"/>
    </row>
    <row r="13" spans="1:68">
      <c r="A13" s="4" t="s">
        <v>395</v>
      </c>
      <c r="C13" s="4" t="s">
        <v>378</v>
      </c>
      <c r="D13" s="19" t="s">
        <v>38</v>
      </c>
      <c r="E13" s="12" t="s">
        <v>681</v>
      </c>
      <c r="F13" s="12">
        <v>4</v>
      </c>
      <c r="G13" s="12">
        <v>4</v>
      </c>
      <c r="H13" s="59">
        <v>30</v>
      </c>
      <c r="I13" s="28">
        <v>4</v>
      </c>
      <c r="J13" s="12" t="s">
        <v>676</v>
      </c>
      <c r="K13" s="4" t="s">
        <v>674</v>
      </c>
      <c r="L13" s="12">
        <v>2.6</v>
      </c>
      <c r="M13" s="59"/>
      <c r="N13" s="12"/>
      <c r="O13" s="12"/>
      <c r="P13" s="12"/>
      <c r="Q13" s="59"/>
      <c r="R13" s="12"/>
      <c r="S13" s="12"/>
      <c r="T13" s="12"/>
      <c r="U13" s="59"/>
      <c r="V13" s="12"/>
      <c r="W13" s="12"/>
      <c r="X13" s="12"/>
      <c r="Y13" s="59"/>
      <c r="Z13" s="12"/>
      <c r="AA13" s="12"/>
      <c r="AB13" s="12"/>
      <c r="AC13" s="59"/>
      <c r="AD13" s="12"/>
      <c r="AE13" s="12"/>
      <c r="AF13" s="12"/>
      <c r="AG13" s="59">
        <f t="shared" ref="AG13:AG42" si="0">2*H13</f>
        <v>60</v>
      </c>
      <c r="AH13" s="12" t="s">
        <v>676</v>
      </c>
      <c r="AI13" s="4" t="s">
        <v>674</v>
      </c>
      <c r="AJ13" s="12" t="s">
        <v>670</v>
      </c>
      <c r="AK13" s="12"/>
      <c r="AL13" s="12"/>
      <c r="AM13" s="12"/>
      <c r="AN13" s="12"/>
      <c r="AO13" s="12"/>
      <c r="AP13" s="12"/>
      <c r="AQ13" s="12"/>
      <c r="AR13" s="12"/>
      <c r="AS13" s="12"/>
      <c r="AT13" s="12"/>
      <c r="AU13" s="12"/>
      <c r="AV13" s="12"/>
      <c r="AW13" s="12"/>
      <c r="AX13" s="12"/>
      <c r="AY13" s="12"/>
      <c r="AZ13" s="12"/>
      <c r="BA13" s="12"/>
      <c r="BB13" s="12"/>
      <c r="BC13" s="12"/>
      <c r="BD13" s="12"/>
      <c r="BE13" s="12">
        <v>2</v>
      </c>
      <c r="BF13" s="12" t="s">
        <v>381</v>
      </c>
      <c r="BG13" s="12" t="s">
        <v>381</v>
      </c>
      <c r="BH13" s="12"/>
      <c r="BI13" s="12">
        <v>2</v>
      </c>
      <c r="BJ13" s="12"/>
      <c r="BK13" s="12"/>
      <c r="BL13" s="12" t="s">
        <v>381</v>
      </c>
      <c r="BM13" s="12"/>
      <c r="BN13" s="12"/>
      <c r="BO13" s="12"/>
      <c r="BP13" s="12"/>
    </row>
    <row r="14" spans="1:68">
      <c r="A14" s="4" t="s">
        <v>398</v>
      </c>
      <c r="C14" s="4" t="s">
        <v>378</v>
      </c>
      <c r="D14" s="19" t="s">
        <v>42</v>
      </c>
      <c r="E14" s="12" t="s">
        <v>682</v>
      </c>
      <c r="F14" s="12">
        <v>2</v>
      </c>
      <c r="G14" s="12">
        <v>5</v>
      </c>
      <c r="H14" s="59">
        <v>30</v>
      </c>
      <c r="I14" s="28">
        <v>4</v>
      </c>
      <c r="J14" s="12" t="s">
        <v>676</v>
      </c>
      <c r="K14" s="4" t="s">
        <v>674</v>
      </c>
      <c r="L14" s="12">
        <v>2.6</v>
      </c>
      <c r="M14" s="59"/>
      <c r="N14" s="12"/>
      <c r="O14" s="12"/>
      <c r="P14" s="12"/>
      <c r="Q14" s="59"/>
      <c r="R14" s="12"/>
      <c r="S14" s="12"/>
      <c r="T14" s="12"/>
      <c r="U14" s="59"/>
      <c r="V14" s="12"/>
      <c r="W14" s="12"/>
      <c r="X14" s="12"/>
      <c r="Y14" s="59"/>
      <c r="Z14" s="12"/>
      <c r="AA14" s="12"/>
      <c r="AB14" s="12"/>
      <c r="AC14" s="59"/>
      <c r="AD14" s="12"/>
      <c r="AE14" s="12"/>
      <c r="AF14" s="12"/>
      <c r="AG14" s="59">
        <f t="shared" si="0"/>
        <v>60</v>
      </c>
      <c r="AH14" s="12" t="s">
        <v>676</v>
      </c>
      <c r="AI14" s="4" t="s">
        <v>674</v>
      </c>
      <c r="AJ14" s="12" t="s">
        <v>670</v>
      </c>
      <c r="AK14" s="12"/>
      <c r="AL14" s="12"/>
      <c r="AM14" s="12"/>
      <c r="AN14" s="12"/>
      <c r="AO14" s="12"/>
      <c r="AP14" s="12"/>
      <c r="AQ14" s="12"/>
      <c r="AR14" s="12"/>
      <c r="AS14" s="12"/>
      <c r="AT14" s="12"/>
      <c r="AU14" s="12"/>
      <c r="AV14" s="12"/>
      <c r="AW14" s="12"/>
      <c r="AX14" s="12"/>
      <c r="AY14" s="12"/>
      <c r="AZ14" s="12"/>
      <c r="BA14" s="12"/>
      <c r="BB14" s="12"/>
      <c r="BC14" s="12"/>
      <c r="BD14" s="12"/>
      <c r="BE14" s="12">
        <v>2</v>
      </c>
      <c r="BF14" s="12" t="s">
        <v>381</v>
      </c>
      <c r="BG14" s="12"/>
      <c r="BH14" s="12"/>
      <c r="BI14" s="12">
        <v>2</v>
      </c>
      <c r="BJ14" s="12"/>
      <c r="BK14" s="12"/>
      <c r="BL14" s="12" t="s">
        <v>381</v>
      </c>
      <c r="BM14" s="12"/>
      <c r="BN14" s="12"/>
      <c r="BO14" s="12"/>
      <c r="BP14" s="12"/>
    </row>
    <row r="15" spans="1:68">
      <c r="A15" s="4" t="s">
        <v>399</v>
      </c>
      <c r="C15" s="4" t="s">
        <v>378</v>
      </c>
      <c r="D15" s="19" t="s">
        <v>555</v>
      </c>
      <c r="E15" s="12" t="s">
        <v>683</v>
      </c>
      <c r="F15" s="12">
        <v>3</v>
      </c>
      <c r="G15" s="12">
        <v>6</v>
      </c>
      <c r="H15" s="59">
        <v>40</v>
      </c>
      <c r="I15" s="28">
        <v>4</v>
      </c>
      <c r="J15" s="12" t="s">
        <v>676</v>
      </c>
      <c r="K15" s="4" t="s">
        <v>674</v>
      </c>
      <c r="L15" s="12">
        <v>2.6</v>
      </c>
      <c r="M15" s="59"/>
      <c r="N15" s="12"/>
      <c r="O15" s="12"/>
      <c r="P15" s="12"/>
      <c r="Q15" s="59"/>
      <c r="R15" s="12"/>
      <c r="S15" s="12"/>
      <c r="T15" s="12"/>
      <c r="U15" s="59"/>
      <c r="V15" s="12"/>
      <c r="W15" s="12"/>
      <c r="X15" s="12"/>
      <c r="Y15" s="59"/>
      <c r="Z15" s="12"/>
      <c r="AA15" s="12"/>
      <c r="AB15" s="12"/>
      <c r="AC15" s="59"/>
      <c r="AD15" s="12"/>
      <c r="AE15" s="12"/>
      <c r="AF15" s="12"/>
      <c r="AG15" s="59">
        <f t="shared" si="0"/>
        <v>80</v>
      </c>
      <c r="AH15" s="12" t="s">
        <v>676</v>
      </c>
      <c r="AI15" s="4" t="s">
        <v>674</v>
      </c>
      <c r="AJ15" s="12" t="s">
        <v>670</v>
      </c>
      <c r="AK15" s="12"/>
      <c r="AL15" s="12"/>
      <c r="AM15" s="12"/>
      <c r="AN15" s="12"/>
      <c r="AO15" s="12"/>
      <c r="AP15" s="12"/>
      <c r="AQ15" s="12"/>
      <c r="AR15" s="12"/>
      <c r="AS15" s="12"/>
      <c r="AT15" s="12"/>
      <c r="AU15" s="12"/>
      <c r="AV15" s="12"/>
      <c r="AW15" s="12"/>
      <c r="AX15" s="12"/>
      <c r="AY15" s="12"/>
      <c r="AZ15" s="12"/>
      <c r="BA15" s="12"/>
      <c r="BB15" s="12"/>
      <c r="BC15" s="12"/>
      <c r="BD15" s="12"/>
      <c r="BE15" s="12">
        <v>2</v>
      </c>
      <c r="BF15" s="12" t="s">
        <v>381</v>
      </c>
      <c r="BG15" s="12"/>
      <c r="BH15" s="12"/>
      <c r="BI15" s="12">
        <v>2</v>
      </c>
      <c r="BJ15" s="12"/>
      <c r="BK15" s="12"/>
      <c r="BL15" s="12" t="s">
        <v>381</v>
      </c>
      <c r="BM15" s="12"/>
      <c r="BN15" s="12"/>
      <c r="BO15" s="12"/>
      <c r="BP15" s="12"/>
    </row>
    <row r="16" spans="1:68">
      <c r="A16" s="4" t="s">
        <v>401</v>
      </c>
      <c r="C16" s="4" t="s">
        <v>378</v>
      </c>
      <c r="D16" s="19" t="s">
        <v>402</v>
      </c>
      <c r="E16" s="12" t="s">
        <v>684</v>
      </c>
      <c r="F16" s="12">
        <v>5</v>
      </c>
      <c r="G16" s="12">
        <v>7</v>
      </c>
      <c r="H16" s="59">
        <v>55</v>
      </c>
      <c r="I16" s="28">
        <v>4</v>
      </c>
      <c r="J16" s="12" t="s">
        <v>676</v>
      </c>
      <c r="K16" s="4" t="s">
        <v>674</v>
      </c>
      <c r="L16" s="12">
        <v>2.6</v>
      </c>
      <c r="M16" s="59"/>
      <c r="N16" s="12"/>
      <c r="O16" s="12"/>
      <c r="P16" s="12"/>
      <c r="Q16" s="59"/>
      <c r="R16" s="12"/>
      <c r="S16" s="12"/>
      <c r="T16" s="12"/>
      <c r="U16" s="59"/>
      <c r="V16" s="12"/>
      <c r="W16" s="12"/>
      <c r="X16" s="12"/>
      <c r="Y16" s="59"/>
      <c r="Z16" s="12"/>
      <c r="AA16" s="12"/>
      <c r="AB16" s="12"/>
      <c r="AC16" s="59"/>
      <c r="AD16" s="12"/>
      <c r="AE16" s="12"/>
      <c r="AF16" s="12"/>
      <c r="AG16" s="59">
        <f t="shared" si="0"/>
        <v>110</v>
      </c>
      <c r="AH16" s="12" t="s">
        <v>676</v>
      </c>
      <c r="AI16" s="4" t="s">
        <v>674</v>
      </c>
      <c r="AJ16" s="12" t="s">
        <v>670</v>
      </c>
      <c r="AK16" s="12"/>
      <c r="AL16" s="12"/>
      <c r="AM16" s="12"/>
      <c r="AN16" s="12"/>
      <c r="AO16" s="12"/>
      <c r="AP16" s="12"/>
      <c r="AQ16" s="12"/>
      <c r="AR16" s="12"/>
      <c r="AS16" s="12"/>
      <c r="AT16" s="12"/>
      <c r="AU16" s="12"/>
      <c r="AV16" s="12"/>
      <c r="AW16" s="12"/>
      <c r="AX16" s="12"/>
      <c r="AY16" s="12"/>
      <c r="AZ16" s="12"/>
      <c r="BA16" s="12"/>
      <c r="BB16" s="12"/>
      <c r="BC16" s="12"/>
      <c r="BD16" s="12"/>
      <c r="BE16" s="12">
        <v>2</v>
      </c>
      <c r="BF16" s="12" t="s">
        <v>381</v>
      </c>
      <c r="BG16" s="12"/>
      <c r="BH16" s="12"/>
      <c r="BI16" s="12">
        <v>2</v>
      </c>
      <c r="BJ16" s="12"/>
      <c r="BK16" s="12"/>
      <c r="BL16" s="12" t="s">
        <v>381</v>
      </c>
      <c r="BM16" s="12"/>
      <c r="BN16" s="12"/>
      <c r="BO16" s="12"/>
      <c r="BP16" s="12"/>
    </row>
    <row r="17" spans="1:68">
      <c r="A17" s="4" t="s">
        <v>403</v>
      </c>
      <c r="C17" s="4" t="s">
        <v>378</v>
      </c>
      <c r="D17" s="19" t="s">
        <v>54</v>
      </c>
      <c r="E17" s="12" t="s">
        <v>685</v>
      </c>
      <c r="F17" s="12">
        <v>8</v>
      </c>
      <c r="G17" s="12">
        <v>13</v>
      </c>
      <c r="H17" s="59">
        <v>80</v>
      </c>
      <c r="I17" s="28">
        <v>4</v>
      </c>
      <c r="J17" s="12" t="s">
        <v>676</v>
      </c>
      <c r="K17" s="4" t="s">
        <v>674</v>
      </c>
      <c r="L17" s="12">
        <v>2.6</v>
      </c>
      <c r="M17" s="59"/>
      <c r="N17" s="12"/>
      <c r="O17" s="59"/>
      <c r="P17" s="12"/>
      <c r="Q17" s="59"/>
      <c r="R17" s="12"/>
      <c r="S17" s="12"/>
      <c r="T17" s="12"/>
      <c r="U17" s="59"/>
      <c r="V17" s="12"/>
      <c r="W17" s="12"/>
      <c r="X17" s="12"/>
      <c r="Y17" s="59"/>
      <c r="Z17" s="12"/>
      <c r="AA17" s="12"/>
      <c r="AB17" s="12"/>
      <c r="AC17" s="59"/>
      <c r="AD17" s="12"/>
      <c r="AE17" s="12"/>
      <c r="AF17" s="12"/>
      <c r="AG17" s="59">
        <f t="shared" si="0"/>
        <v>160</v>
      </c>
      <c r="AH17" s="12" t="s">
        <v>676</v>
      </c>
      <c r="AI17" s="4" t="s">
        <v>674</v>
      </c>
      <c r="AJ17" s="12" t="s">
        <v>670</v>
      </c>
      <c r="AK17" s="12"/>
      <c r="AL17" s="12"/>
      <c r="AM17" s="12"/>
      <c r="AN17" s="12"/>
      <c r="AO17" s="12"/>
      <c r="AP17" s="12"/>
      <c r="AQ17" s="12"/>
      <c r="AR17" s="12"/>
      <c r="AS17" s="12"/>
      <c r="AT17" s="12"/>
      <c r="AU17" s="12"/>
      <c r="AV17" s="12"/>
      <c r="AW17" s="12"/>
      <c r="AX17" s="12"/>
      <c r="AY17" s="12"/>
      <c r="AZ17" s="12"/>
      <c r="BA17" s="12"/>
      <c r="BB17" s="12"/>
      <c r="BC17" s="12"/>
      <c r="BD17" s="12"/>
      <c r="BE17" s="12">
        <v>2</v>
      </c>
      <c r="BF17" s="12" t="s">
        <v>381</v>
      </c>
      <c r="BG17" s="12"/>
      <c r="BH17" s="12"/>
      <c r="BI17" s="12">
        <v>2</v>
      </c>
      <c r="BJ17" s="12"/>
      <c r="BK17" s="12"/>
      <c r="BL17" s="12" t="s">
        <v>381</v>
      </c>
      <c r="BM17" s="12"/>
      <c r="BN17" s="12"/>
      <c r="BO17" s="12"/>
      <c r="BP17" s="12"/>
    </row>
    <row r="18" spans="1:68">
      <c r="A18" s="4" t="s">
        <v>404</v>
      </c>
      <c r="C18" s="4" t="s">
        <v>378</v>
      </c>
      <c r="D18" s="19" t="s">
        <v>58</v>
      </c>
      <c r="E18" s="12" t="s">
        <v>681</v>
      </c>
      <c r="F18" s="12">
        <v>4</v>
      </c>
      <c r="G18" s="12">
        <v>4</v>
      </c>
      <c r="H18" s="59">
        <v>30</v>
      </c>
      <c r="I18" s="28">
        <v>4</v>
      </c>
      <c r="J18" s="12" t="s">
        <v>676</v>
      </c>
      <c r="K18" s="4" t="s">
        <v>674</v>
      </c>
      <c r="L18" s="12">
        <v>2.6</v>
      </c>
      <c r="M18" s="59"/>
      <c r="N18" s="12"/>
      <c r="O18" s="12"/>
      <c r="P18" s="12"/>
      <c r="Q18" s="59"/>
      <c r="R18" s="12"/>
      <c r="S18" s="12"/>
      <c r="T18" s="12"/>
      <c r="U18" s="59"/>
      <c r="V18" s="12"/>
      <c r="W18" s="12"/>
      <c r="X18" s="12"/>
      <c r="Y18" s="59"/>
      <c r="Z18" s="12"/>
      <c r="AA18" s="12"/>
      <c r="AB18" s="12"/>
      <c r="AC18" s="59"/>
      <c r="AD18" s="12"/>
      <c r="AE18" s="12"/>
      <c r="AF18" s="12"/>
      <c r="AG18" s="59">
        <f t="shared" si="0"/>
        <v>60</v>
      </c>
      <c r="AH18" s="12" t="s">
        <v>676</v>
      </c>
      <c r="AI18" s="4" t="s">
        <v>674</v>
      </c>
      <c r="AJ18" s="12" t="s">
        <v>670</v>
      </c>
      <c r="AK18" s="12"/>
      <c r="AL18" s="12"/>
      <c r="AM18" s="12"/>
      <c r="AN18" s="12"/>
      <c r="AO18" s="12"/>
      <c r="AP18" s="12"/>
      <c r="AQ18" s="12"/>
      <c r="AR18" s="12"/>
      <c r="AS18" s="12"/>
      <c r="AT18" s="12"/>
      <c r="AU18" s="12"/>
      <c r="AV18" s="12"/>
      <c r="AW18" s="12"/>
      <c r="AX18" s="12"/>
      <c r="AY18" s="12"/>
      <c r="AZ18" s="12"/>
      <c r="BA18" s="12"/>
      <c r="BB18" s="12"/>
      <c r="BC18" s="12"/>
      <c r="BD18" s="12"/>
      <c r="BE18" s="12">
        <v>2</v>
      </c>
      <c r="BF18" s="12" t="s">
        <v>381</v>
      </c>
      <c r="BG18" s="12" t="s">
        <v>381</v>
      </c>
      <c r="BH18" s="12"/>
      <c r="BI18" s="12">
        <v>2</v>
      </c>
      <c r="BJ18" s="12"/>
      <c r="BK18" s="12"/>
      <c r="BL18" s="12" t="s">
        <v>381</v>
      </c>
      <c r="BM18" s="12"/>
      <c r="BN18" s="12"/>
      <c r="BO18" s="12"/>
      <c r="BP18" s="12"/>
    </row>
    <row r="19" spans="1:68">
      <c r="A19" s="4" t="s">
        <v>405</v>
      </c>
      <c r="C19" s="4" t="s">
        <v>378</v>
      </c>
      <c r="D19" s="19" t="s">
        <v>406</v>
      </c>
      <c r="E19" s="12" t="s">
        <v>686</v>
      </c>
      <c r="F19" s="12">
        <v>8</v>
      </c>
      <c r="G19" s="12">
        <v>12</v>
      </c>
      <c r="H19" s="59">
        <v>100</v>
      </c>
      <c r="I19" s="28">
        <v>16</v>
      </c>
      <c r="J19" s="12" t="s">
        <v>676</v>
      </c>
      <c r="K19" s="4" t="s">
        <v>674</v>
      </c>
      <c r="L19" s="12">
        <v>2.6</v>
      </c>
      <c r="M19" s="59"/>
      <c r="N19" s="12"/>
      <c r="O19" s="12"/>
      <c r="P19" s="12"/>
      <c r="Q19" s="59"/>
      <c r="R19" s="12"/>
      <c r="S19" s="12"/>
      <c r="T19" s="12"/>
      <c r="U19" s="59"/>
      <c r="V19" s="12"/>
      <c r="W19" s="12"/>
      <c r="X19" s="12"/>
      <c r="Y19" s="59"/>
      <c r="Z19" s="12"/>
      <c r="AA19" s="12"/>
      <c r="AB19" s="12"/>
      <c r="AC19" s="59"/>
      <c r="AD19" s="12"/>
      <c r="AE19" s="12"/>
      <c r="AF19" s="12"/>
      <c r="AG19" s="59">
        <f>2*(H19+AO19)</f>
        <v>300</v>
      </c>
      <c r="AH19" s="12" t="s">
        <v>676</v>
      </c>
      <c r="AI19" s="4" t="s">
        <v>674</v>
      </c>
      <c r="AJ19" s="12" t="s">
        <v>670</v>
      </c>
      <c r="AK19" s="12"/>
      <c r="AL19" s="12"/>
      <c r="AM19" s="12"/>
      <c r="AN19" s="12"/>
      <c r="AO19" s="59">
        <v>50</v>
      </c>
      <c r="AP19" s="12" t="s">
        <v>676</v>
      </c>
      <c r="AQ19" s="4" t="s">
        <v>674</v>
      </c>
      <c r="AR19" s="12">
        <f>50/1000</f>
        <v>0.05</v>
      </c>
      <c r="AS19" s="12"/>
      <c r="AT19" s="12"/>
      <c r="AU19" s="12"/>
      <c r="AV19" s="12"/>
      <c r="AW19" s="12"/>
      <c r="AX19" s="12"/>
      <c r="AY19" s="12"/>
      <c r="AZ19" s="12"/>
      <c r="BA19" s="12"/>
      <c r="BB19" s="12"/>
      <c r="BC19" s="12"/>
      <c r="BD19" s="12"/>
      <c r="BE19" s="12">
        <v>3</v>
      </c>
      <c r="BF19" s="12" t="s">
        <v>381</v>
      </c>
      <c r="BG19" s="12"/>
      <c r="BH19" s="12"/>
      <c r="BI19" s="12">
        <v>2</v>
      </c>
      <c r="BJ19" s="12"/>
      <c r="BK19" s="12"/>
      <c r="BL19" s="12" t="s">
        <v>381</v>
      </c>
      <c r="BM19" s="12"/>
      <c r="BN19" s="12"/>
      <c r="BO19" s="12"/>
      <c r="BP19" s="12"/>
    </row>
    <row r="20" spans="1:68">
      <c r="A20" s="4" t="s">
        <v>407</v>
      </c>
      <c r="C20" s="4" t="s">
        <v>378</v>
      </c>
      <c r="D20" s="19" t="s">
        <v>65</v>
      </c>
      <c r="E20" s="12" t="s">
        <v>687</v>
      </c>
      <c r="F20" s="12">
        <v>6</v>
      </c>
      <c r="G20" s="12">
        <v>8</v>
      </c>
      <c r="H20" s="59">
        <v>168</v>
      </c>
      <c r="I20" s="28">
        <v>4</v>
      </c>
      <c r="J20" s="12" t="s">
        <v>676</v>
      </c>
      <c r="K20" s="4" t="s">
        <v>674</v>
      </c>
      <c r="L20" s="12">
        <v>2.6</v>
      </c>
      <c r="M20" s="59"/>
      <c r="N20" s="12"/>
      <c r="O20" s="12"/>
      <c r="P20" s="12"/>
      <c r="Q20" s="59"/>
      <c r="R20" s="12"/>
      <c r="S20" s="12"/>
      <c r="T20" s="12"/>
      <c r="U20" s="59"/>
      <c r="V20" s="12"/>
      <c r="W20" s="12"/>
      <c r="X20" s="12"/>
      <c r="Y20" s="59"/>
      <c r="Z20" s="12"/>
      <c r="AA20" s="12"/>
      <c r="AB20" s="12"/>
      <c r="AC20" s="59"/>
      <c r="AD20" s="12"/>
      <c r="AE20" s="12"/>
      <c r="AF20" s="12"/>
      <c r="AG20" s="59">
        <f t="shared" si="0"/>
        <v>336</v>
      </c>
      <c r="AH20" s="12" t="s">
        <v>676</v>
      </c>
      <c r="AI20" s="4" t="s">
        <v>674</v>
      </c>
      <c r="AJ20" s="12" t="s">
        <v>670</v>
      </c>
      <c r="AK20" s="12"/>
      <c r="AL20" s="12"/>
      <c r="AM20" s="12"/>
      <c r="AN20" s="12"/>
      <c r="AO20" s="12"/>
      <c r="AP20" s="12"/>
      <c r="AQ20" s="12"/>
      <c r="AR20" s="12"/>
      <c r="AS20" s="12"/>
      <c r="AT20" s="12"/>
      <c r="AU20" s="12"/>
      <c r="AV20" s="12"/>
      <c r="AW20" s="12"/>
      <c r="AX20" s="12"/>
      <c r="AY20" s="12"/>
      <c r="AZ20" s="12"/>
      <c r="BA20" s="12"/>
      <c r="BB20" s="12"/>
      <c r="BC20" s="12"/>
      <c r="BD20" s="12"/>
      <c r="BE20" s="12">
        <v>2</v>
      </c>
      <c r="BF20" s="12" t="s">
        <v>381</v>
      </c>
      <c r="BG20" s="12"/>
      <c r="BH20" s="12"/>
      <c r="BI20" s="12">
        <v>2</v>
      </c>
      <c r="BJ20" s="12"/>
      <c r="BK20" s="12"/>
      <c r="BL20" s="12" t="s">
        <v>381</v>
      </c>
      <c r="BM20" s="12"/>
      <c r="BN20" s="12"/>
      <c r="BO20" s="12"/>
      <c r="BP20" s="12"/>
    </row>
    <row r="21" spans="1:68">
      <c r="A21" s="4" t="s">
        <v>408</v>
      </c>
      <c r="C21" s="4" t="s">
        <v>378</v>
      </c>
      <c r="D21" s="19" t="s">
        <v>69</v>
      </c>
      <c r="E21" s="12" t="s">
        <v>720</v>
      </c>
      <c r="F21" s="12">
        <v>8</v>
      </c>
      <c r="G21" s="12">
        <v>8</v>
      </c>
      <c r="H21" s="59">
        <v>60</v>
      </c>
      <c r="I21" s="28">
        <v>4</v>
      </c>
      <c r="J21" s="12" t="s">
        <v>676</v>
      </c>
      <c r="K21" s="4" t="s">
        <v>674</v>
      </c>
      <c r="L21" s="12">
        <v>2.6</v>
      </c>
      <c r="M21" s="59"/>
      <c r="N21" s="12"/>
      <c r="O21" s="12"/>
      <c r="P21" s="12"/>
      <c r="Q21" s="59"/>
      <c r="R21" s="12"/>
      <c r="S21" s="12"/>
      <c r="T21" s="12"/>
      <c r="U21" s="59"/>
      <c r="V21" s="12"/>
      <c r="W21" s="12"/>
      <c r="X21" s="12"/>
      <c r="Y21" s="59"/>
      <c r="Z21" s="12"/>
      <c r="AA21" s="12"/>
      <c r="AB21" s="12"/>
      <c r="AC21" s="59"/>
      <c r="AD21" s="12"/>
      <c r="AE21" s="12"/>
      <c r="AF21" s="12"/>
      <c r="AG21" s="59">
        <f t="shared" si="0"/>
        <v>120</v>
      </c>
      <c r="AH21" s="12" t="s">
        <v>676</v>
      </c>
      <c r="AI21" s="4" t="s">
        <v>674</v>
      </c>
      <c r="AJ21" s="12" t="s">
        <v>670</v>
      </c>
      <c r="AK21" s="12"/>
      <c r="AL21" s="12"/>
      <c r="AM21" s="12"/>
      <c r="AN21" s="12"/>
      <c r="AO21" s="12"/>
      <c r="AP21" s="12"/>
      <c r="AQ21" s="12"/>
      <c r="AR21" s="12"/>
      <c r="AS21" s="12"/>
      <c r="AT21" s="12"/>
      <c r="AU21" s="12"/>
      <c r="AV21" s="12"/>
      <c r="AW21" s="12"/>
      <c r="AX21" s="12"/>
      <c r="AY21" s="12"/>
      <c r="AZ21" s="12"/>
      <c r="BA21" s="12"/>
      <c r="BB21" s="12"/>
      <c r="BC21" s="12"/>
      <c r="BD21" s="12"/>
      <c r="BE21" s="12">
        <v>2</v>
      </c>
      <c r="BF21" s="12" t="s">
        <v>381</v>
      </c>
      <c r="BG21" s="12"/>
      <c r="BH21" s="12"/>
      <c r="BI21" s="12">
        <v>2</v>
      </c>
      <c r="BJ21" s="12"/>
      <c r="BK21" s="12"/>
      <c r="BL21" s="12" t="s">
        <v>381</v>
      </c>
      <c r="BM21" s="12"/>
      <c r="BN21" s="12"/>
      <c r="BO21" s="12"/>
      <c r="BP21" s="12"/>
    </row>
    <row r="22" spans="1:68">
      <c r="A22" s="4" t="s">
        <v>409</v>
      </c>
      <c r="C22" s="4" t="s">
        <v>378</v>
      </c>
      <c r="D22" s="19" t="s">
        <v>69</v>
      </c>
      <c r="E22" s="12" t="s">
        <v>720</v>
      </c>
      <c r="F22" s="12">
        <v>8</v>
      </c>
      <c r="G22" s="12">
        <v>8</v>
      </c>
      <c r="H22" s="59">
        <v>60</v>
      </c>
      <c r="I22" s="28">
        <v>4</v>
      </c>
      <c r="J22" s="12" t="s">
        <v>676</v>
      </c>
      <c r="K22" s="4" t="s">
        <v>674</v>
      </c>
      <c r="L22" s="12">
        <v>2.6</v>
      </c>
      <c r="M22" s="59"/>
      <c r="N22" s="12"/>
      <c r="O22" s="12"/>
      <c r="P22" s="12"/>
      <c r="Q22" s="59"/>
      <c r="R22" s="12"/>
      <c r="S22" s="12"/>
      <c r="T22" s="12"/>
      <c r="U22" s="59"/>
      <c r="V22" s="12"/>
      <c r="W22" s="12"/>
      <c r="X22" s="12"/>
      <c r="Y22" s="59"/>
      <c r="Z22" s="12"/>
      <c r="AA22" s="12"/>
      <c r="AB22" s="12"/>
      <c r="AC22" s="59"/>
      <c r="AD22" s="12"/>
      <c r="AE22" s="12"/>
      <c r="AF22" s="12"/>
      <c r="AG22" s="59">
        <f t="shared" si="0"/>
        <v>120</v>
      </c>
      <c r="AH22" s="12" t="s">
        <v>676</v>
      </c>
      <c r="AI22" s="4" t="s">
        <v>674</v>
      </c>
      <c r="AJ22" s="12" t="s">
        <v>670</v>
      </c>
      <c r="AK22" s="12"/>
      <c r="AL22" s="12"/>
      <c r="AM22" s="12"/>
      <c r="AN22" s="12"/>
      <c r="AO22" s="12"/>
      <c r="AP22" s="12"/>
      <c r="AQ22" s="12"/>
      <c r="AR22" s="12"/>
      <c r="BA22" s="12"/>
      <c r="BB22" s="12"/>
      <c r="BC22" s="12"/>
      <c r="BD22" s="12"/>
      <c r="BE22" s="12">
        <v>2</v>
      </c>
      <c r="BF22" s="12" t="s">
        <v>381</v>
      </c>
      <c r="BG22" s="12"/>
      <c r="BH22" s="12"/>
      <c r="BI22" s="12">
        <v>2</v>
      </c>
      <c r="BJ22" s="12"/>
      <c r="BK22" s="12"/>
      <c r="BL22" s="12" t="s">
        <v>381</v>
      </c>
      <c r="BM22" s="12"/>
      <c r="BN22" s="12"/>
      <c r="BO22" s="12"/>
      <c r="BP22" s="12"/>
    </row>
    <row r="23" spans="1:68">
      <c r="A23" s="4" t="s">
        <v>410</v>
      </c>
      <c r="C23" s="4" t="s">
        <v>378</v>
      </c>
      <c r="D23" s="19" t="s">
        <v>73</v>
      </c>
      <c r="E23" s="12" t="s">
        <v>688</v>
      </c>
      <c r="F23" s="12">
        <v>8</v>
      </c>
      <c r="G23" s="12">
        <v>18</v>
      </c>
      <c r="H23" s="59">
        <v>150</v>
      </c>
      <c r="I23" s="28">
        <v>16</v>
      </c>
      <c r="J23" s="12" t="s">
        <v>676</v>
      </c>
      <c r="K23" s="4" t="s">
        <v>674</v>
      </c>
      <c r="L23" s="12">
        <v>2.6</v>
      </c>
      <c r="M23" s="59"/>
      <c r="N23" s="12"/>
      <c r="O23" s="12"/>
      <c r="P23" s="12"/>
      <c r="Q23" s="59"/>
      <c r="R23" s="12"/>
      <c r="S23" s="12"/>
      <c r="T23" s="12"/>
      <c r="U23" s="59"/>
      <c r="V23" s="12"/>
      <c r="W23" s="12"/>
      <c r="X23" s="12"/>
      <c r="Y23" s="59"/>
      <c r="Z23" s="12"/>
      <c r="AA23" s="12"/>
      <c r="AB23" s="12"/>
      <c r="AC23" s="59"/>
      <c r="AD23" s="12"/>
      <c r="AE23" s="12"/>
      <c r="AF23" s="12"/>
      <c r="AG23" s="59">
        <f t="shared" si="0"/>
        <v>300</v>
      </c>
      <c r="AH23" s="12" t="s">
        <v>676</v>
      </c>
      <c r="AI23" s="4" t="s">
        <v>674</v>
      </c>
      <c r="AJ23" s="12" t="s">
        <v>670</v>
      </c>
      <c r="AK23" s="12"/>
      <c r="AL23" s="12"/>
      <c r="AM23" s="12"/>
      <c r="AN23" s="12"/>
      <c r="AO23" s="12"/>
      <c r="AP23" s="12"/>
      <c r="AQ23" s="12"/>
      <c r="AR23" s="12"/>
      <c r="AS23" s="59">
        <v>100</v>
      </c>
      <c r="AT23" s="12" t="s">
        <v>676</v>
      </c>
      <c r="AU23" s="4" t="s">
        <v>674</v>
      </c>
      <c r="AV23" s="12">
        <f>50/1000</f>
        <v>0.05</v>
      </c>
      <c r="AW23" s="12"/>
      <c r="AX23" s="12"/>
      <c r="AY23" s="12"/>
      <c r="AZ23" s="12"/>
      <c r="BA23" s="12"/>
      <c r="BB23" s="12"/>
      <c r="BC23" s="12"/>
      <c r="BD23" s="12"/>
      <c r="BE23" s="12">
        <v>3</v>
      </c>
      <c r="BF23" s="12" t="s">
        <v>381</v>
      </c>
      <c r="BG23" s="12"/>
      <c r="BH23" s="12"/>
      <c r="BI23" s="12">
        <v>2</v>
      </c>
      <c r="BJ23" s="12"/>
      <c r="BK23" s="12"/>
      <c r="BL23" s="12" t="s">
        <v>381</v>
      </c>
      <c r="BM23" s="12"/>
      <c r="BN23" s="12"/>
      <c r="BO23" s="12"/>
      <c r="BP23" s="12"/>
    </row>
    <row r="24" spans="1:68">
      <c r="A24" s="4" t="s">
        <v>411</v>
      </c>
      <c r="C24" s="4" t="s">
        <v>378</v>
      </c>
      <c r="D24" s="19" t="s">
        <v>77</v>
      </c>
      <c r="E24" s="12" t="s">
        <v>688</v>
      </c>
      <c r="F24" s="12">
        <v>8</v>
      </c>
      <c r="G24" s="12">
        <v>18</v>
      </c>
      <c r="H24" s="59">
        <v>150</v>
      </c>
      <c r="I24" s="28">
        <v>16</v>
      </c>
      <c r="J24" s="12" t="s">
        <v>676</v>
      </c>
      <c r="K24" s="4" t="s">
        <v>674</v>
      </c>
      <c r="L24" s="12">
        <v>2.6</v>
      </c>
      <c r="M24" s="59"/>
      <c r="N24" s="12"/>
      <c r="O24" s="12"/>
      <c r="P24" s="12"/>
      <c r="Q24" s="59"/>
      <c r="R24" s="12"/>
      <c r="S24" s="12"/>
      <c r="T24" s="12"/>
      <c r="U24" s="59"/>
      <c r="V24" s="12"/>
      <c r="W24" s="12"/>
      <c r="X24" s="12"/>
      <c r="Y24" s="59"/>
      <c r="Z24" s="12"/>
      <c r="AA24" s="12"/>
      <c r="AB24" s="12"/>
      <c r="AC24" s="59"/>
      <c r="AD24" s="12"/>
      <c r="AE24" s="12"/>
      <c r="AF24" s="12"/>
      <c r="AG24" s="59">
        <f t="shared" si="0"/>
        <v>300</v>
      </c>
      <c r="AH24" s="12" t="s">
        <v>676</v>
      </c>
      <c r="AI24" s="4" t="s">
        <v>674</v>
      </c>
      <c r="AJ24" s="12" t="s">
        <v>670</v>
      </c>
      <c r="AK24" s="12"/>
      <c r="AL24" s="12"/>
      <c r="AM24" s="12"/>
      <c r="AN24" s="12"/>
      <c r="AO24" s="12"/>
      <c r="AP24" s="12"/>
      <c r="AQ24" s="12"/>
      <c r="AR24" s="12"/>
      <c r="AS24" s="59">
        <v>100</v>
      </c>
      <c r="AT24" s="12" t="s">
        <v>676</v>
      </c>
      <c r="AU24" s="4" t="s">
        <v>674</v>
      </c>
      <c r="AV24" s="12">
        <f>50/1000</f>
        <v>0.05</v>
      </c>
      <c r="AW24" s="12"/>
      <c r="AX24" s="12"/>
      <c r="AY24" s="12"/>
      <c r="AZ24" s="12"/>
      <c r="BA24" s="12"/>
      <c r="BB24" s="12"/>
      <c r="BC24" s="12"/>
      <c r="BD24" s="12"/>
      <c r="BE24" s="12">
        <v>3</v>
      </c>
      <c r="BF24" s="12" t="s">
        <v>381</v>
      </c>
      <c r="BG24" s="12"/>
      <c r="BH24" s="12"/>
      <c r="BI24" s="12">
        <v>2</v>
      </c>
      <c r="BJ24" s="12"/>
      <c r="BK24" s="12"/>
      <c r="BL24" s="12" t="s">
        <v>381</v>
      </c>
      <c r="BM24" s="12"/>
      <c r="BN24" s="12"/>
      <c r="BO24" s="12"/>
      <c r="BP24" s="12"/>
    </row>
    <row r="25" spans="1:68">
      <c r="A25" s="4" t="s">
        <v>433</v>
      </c>
      <c r="C25" s="4" t="s">
        <v>378</v>
      </c>
      <c r="D25" s="19" t="s">
        <v>81</v>
      </c>
      <c r="E25" s="12" t="s">
        <v>689</v>
      </c>
      <c r="F25" s="12">
        <v>6</v>
      </c>
      <c r="G25" s="12">
        <v>9</v>
      </c>
      <c r="H25" s="59">
        <v>40</v>
      </c>
      <c r="I25" s="28">
        <v>4</v>
      </c>
      <c r="J25" s="12" t="s">
        <v>676</v>
      </c>
      <c r="K25" s="4" t="s">
        <v>674</v>
      </c>
      <c r="L25" s="12">
        <v>2.6</v>
      </c>
      <c r="M25" s="59"/>
      <c r="N25" s="12"/>
      <c r="O25" s="12"/>
      <c r="P25" s="12"/>
      <c r="Q25" s="59"/>
      <c r="R25" s="12"/>
      <c r="S25" s="12"/>
      <c r="T25" s="12"/>
      <c r="U25" s="59"/>
      <c r="V25" s="12"/>
      <c r="W25" s="12"/>
      <c r="X25" s="12"/>
      <c r="Y25" s="59"/>
      <c r="Z25" s="12"/>
      <c r="AA25" s="12"/>
      <c r="AB25" s="12"/>
      <c r="AC25" s="59"/>
      <c r="AD25" s="12"/>
      <c r="AE25" s="12"/>
      <c r="AF25" s="12"/>
      <c r="AG25" s="59">
        <f t="shared" si="0"/>
        <v>80</v>
      </c>
      <c r="AH25" s="12" t="s">
        <v>676</v>
      </c>
      <c r="AI25" s="4" t="s">
        <v>674</v>
      </c>
      <c r="AJ25" s="12" t="s">
        <v>670</v>
      </c>
      <c r="AK25" s="12"/>
      <c r="AL25" s="12"/>
      <c r="AM25" s="12"/>
      <c r="AN25" s="12"/>
      <c r="AO25" s="12"/>
      <c r="AP25" s="12"/>
      <c r="AQ25" s="12"/>
      <c r="AR25" s="12"/>
      <c r="AS25" s="12"/>
      <c r="AT25" s="12"/>
      <c r="AU25" s="12"/>
      <c r="AV25" s="12"/>
      <c r="AW25" s="12"/>
      <c r="AX25" s="12"/>
      <c r="AY25" s="12"/>
      <c r="AZ25" s="12"/>
      <c r="BA25" s="12"/>
      <c r="BB25" s="12"/>
      <c r="BC25" s="12"/>
      <c r="BD25" s="12"/>
      <c r="BE25" s="12">
        <v>2</v>
      </c>
      <c r="BF25" s="12" t="s">
        <v>381</v>
      </c>
      <c r="BG25" s="12"/>
      <c r="BH25" s="12"/>
      <c r="BI25" s="12">
        <v>2</v>
      </c>
      <c r="BJ25" s="12"/>
      <c r="BK25" s="12"/>
      <c r="BL25" s="12" t="s">
        <v>381</v>
      </c>
      <c r="BM25" s="12"/>
      <c r="BN25" s="12"/>
      <c r="BO25" s="12"/>
      <c r="BP25" s="12"/>
    </row>
    <row r="26" spans="1:68">
      <c r="A26" s="4" t="s">
        <v>435</v>
      </c>
      <c r="C26" s="4" t="s">
        <v>378</v>
      </c>
      <c r="D26" s="19" t="s">
        <v>81</v>
      </c>
      <c r="E26" s="12" t="s">
        <v>689</v>
      </c>
      <c r="F26" s="12">
        <v>6</v>
      </c>
      <c r="G26" s="12">
        <v>9</v>
      </c>
      <c r="H26" s="59">
        <v>40</v>
      </c>
      <c r="I26" s="28">
        <v>4</v>
      </c>
      <c r="J26" s="12" t="s">
        <v>676</v>
      </c>
      <c r="K26" s="4" t="s">
        <v>674</v>
      </c>
      <c r="L26" s="12">
        <v>2.6</v>
      </c>
      <c r="M26" s="59"/>
      <c r="N26" s="12"/>
      <c r="O26" s="12"/>
      <c r="P26" s="12"/>
      <c r="Q26" s="59"/>
      <c r="R26" s="12"/>
      <c r="S26" s="12"/>
      <c r="T26" s="12"/>
      <c r="U26" s="59"/>
      <c r="V26" s="12"/>
      <c r="W26" s="12"/>
      <c r="X26" s="12"/>
      <c r="Y26" s="59"/>
      <c r="Z26" s="12"/>
      <c r="AA26" s="12"/>
      <c r="AB26" s="12"/>
      <c r="AC26" s="59"/>
      <c r="AD26" s="12"/>
      <c r="AE26" s="12"/>
      <c r="AF26" s="12"/>
      <c r="AG26" s="59">
        <f t="shared" si="0"/>
        <v>80</v>
      </c>
      <c r="AH26" s="12" t="s">
        <v>676</v>
      </c>
      <c r="AI26" s="4" t="s">
        <v>674</v>
      </c>
      <c r="AJ26" s="12" t="s">
        <v>670</v>
      </c>
      <c r="AK26" s="12"/>
      <c r="AL26" s="12"/>
      <c r="AM26" s="12"/>
      <c r="AN26" s="12"/>
      <c r="AO26" s="12"/>
      <c r="AP26" s="12"/>
      <c r="AQ26" s="12"/>
      <c r="AR26" s="12"/>
      <c r="AS26" s="12"/>
      <c r="AT26" s="12"/>
      <c r="AU26" s="12"/>
      <c r="AV26" s="12"/>
      <c r="AW26" s="12"/>
      <c r="AX26" s="12"/>
      <c r="AY26" s="12"/>
      <c r="AZ26" s="12"/>
      <c r="BA26" s="12"/>
      <c r="BB26" s="12"/>
      <c r="BC26" s="12"/>
      <c r="BD26" s="12"/>
      <c r="BE26" s="12">
        <v>2</v>
      </c>
      <c r="BF26" s="12" t="s">
        <v>381</v>
      </c>
      <c r="BG26" s="12"/>
      <c r="BH26" s="12"/>
      <c r="BI26" s="12">
        <v>2</v>
      </c>
      <c r="BJ26" s="12"/>
      <c r="BK26" s="12"/>
      <c r="BL26" s="12" t="s">
        <v>381</v>
      </c>
      <c r="BM26" s="12"/>
      <c r="BN26" s="12"/>
      <c r="BO26" s="12"/>
      <c r="BP26" s="12"/>
    </row>
    <row r="27" spans="1:68">
      <c r="A27" s="4" t="s">
        <v>557</v>
      </c>
      <c r="C27" s="4" t="s">
        <v>378</v>
      </c>
      <c r="D27" s="19" t="s">
        <v>85</v>
      </c>
      <c r="E27" s="12" t="s">
        <v>690</v>
      </c>
      <c r="F27" s="12">
        <v>8</v>
      </c>
      <c r="G27" s="12">
        <v>36</v>
      </c>
      <c r="H27" s="59">
        <v>135</v>
      </c>
      <c r="I27" s="28">
        <v>16</v>
      </c>
      <c r="J27" s="12" t="s">
        <v>676</v>
      </c>
      <c r="K27" s="4" t="s">
        <v>674</v>
      </c>
      <c r="L27" s="12">
        <v>2.6</v>
      </c>
      <c r="M27" s="59"/>
      <c r="N27" s="12"/>
      <c r="O27" s="12"/>
      <c r="P27" s="12"/>
      <c r="Q27" s="59"/>
      <c r="R27" s="12"/>
      <c r="S27" s="12"/>
      <c r="T27" s="12"/>
      <c r="U27" s="59"/>
      <c r="V27" s="12"/>
      <c r="W27" s="12"/>
      <c r="X27" s="12"/>
      <c r="Y27" s="59"/>
      <c r="Z27" s="12"/>
      <c r="AA27" s="12"/>
      <c r="AB27" s="12"/>
      <c r="AC27" s="59"/>
      <c r="AD27" s="12"/>
      <c r="AE27" s="12"/>
      <c r="AF27" s="12"/>
      <c r="AG27" s="59">
        <f t="shared" si="0"/>
        <v>270</v>
      </c>
      <c r="AH27" s="12" t="s">
        <v>676</v>
      </c>
      <c r="AI27" s="4" t="s">
        <v>674</v>
      </c>
      <c r="AJ27" s="12" t="s">
        <v>670</v>
      </c>
      <c r="AK27" s="12"/>
      <c r="AL27" s="12"/>
      <c r="AM27" s="12"/>
      <c r="AN27" s="12"/>
      <c r="AO27" s="12"/>
      <c r="AP27" s="12"/>
      <c r="AQ27" s="12"/>
      <c r="AR27" s="12"/>
      <c r="AS27" s="12"/>
      <c r="AT27" s="12"/>
      <c r="AU27" s="12"/>
      <c r="AV27" s="12"/>
      <c r="AW27" s="12"/>
      <c r="AX27" s="12"/>
      <c r="AY27" s="12"/>
      <c r="AZ27" s="12"/>
      <c r="BA27" s="12"/>
      <c r="BB27" s="12"/>
      <c r="BC27" s="12"/>
      <c r="BD27" s="12"/>
      <c r="BE27" s="12">
        <v>2</v>
      </c>
      <c r="BF27" s="12" t="s">
        <v>381</v>
      </c>
      <c r="BG27" s="12"/>
      <c r="BH27" s="12"/>
      <c r="BI27" s="12">
        <v>2</v>
      </c>
      <c r="BJ27" s="12"/>
      <c r="BK27" s="12"/>
      <c r="BL27" s="12" t="s">
        <v>381</v>
      </c>
      <c r="BM27" s="12"/>
      <c r="BN27" s="12"/>
      <c r="BO27" s="12"/>
      <c r="BP27" s="12"/>
    </row>
    <row r="28" spans="1:68">
      <c r="A28" s="4" t="s">
        <v>558</v>
      </c>
      <c r="C28" s="4" t="s">
        <v>378</v>
      </c>
      <c r="D28" s="19" t="s">
        <v>85</v>
      </c>
      <c r="E28" s="12" t="s">
        <v>690</v>
      </c>
      <c r="F28" s="12">
        <v>8</v>
      </c>
      <c r="G28" s="12">
        <v>36</v>
      </c>
      <c r="H28" s="59">
        <v>135</v>
      </c>
      <c r="I28" s="28">
        <v>16</v>
      </c>
      <c r="J28" s="12" t="s">
        <v>676</v>
      </c>
      <c r="K28" s="4" t="s">
        <v>674</v>
      </c>
      <c r="L28" s="12">
        <v>2.6</v>
      </c>
      <c r="M28" s="59"/>
      <c r="N28" s="12"/>
      <c r="O28" s="12"/>
      <c r="P28" s="12"/>
      <c r="Q28" s="59"/>
      <c r="R28" s="12"/>
      <c r="S28" s="12"/>
      <c r="T28" s="12"/>
      <c r="U28" s="59"/>
      <c r="V28" s="12"/>
      <c r="W28" s="12"/>
      <c r="X28" s="12"/>
      <c r="Y28" s="59"/>
      <c r="Z28" s="12"/>
      <c r="AA28" s="12"/>
      <c r="AB28" s="12"/>
      <c r="AC28" s="59"/>
      <c r="AD28" s="12"/>
      <c r="AE28" s="12"/>
      <c r="AF28" s="12"/>
      <c r="AG28" s="59">
        <f t="shared" si="0"/>
        <v>270</v>
      </c>
      <c r="AH28" s="12" t="s">
        <v>676</v>
      </c>
      <c r="AI28" s="4" t="s">
        <v>674</v>
      </c>
      <c r="AJ28" s="12" t="s">
        <v>670</v>
      </c>
      <c r="AK28" s="12"/>
      <c r="AL28" s="12"/>
      <c r="AM28" s="12"/>
      <c r="AN28" s="12"/>
      <c r="AO28" s="12"/>
      <c r="AP28" s="12"/>
      <c r="AQ28" s="12"/>
      <c r="AR28" s="12"/>
      <c r="AS28" s="12"/>
      <c r="AT28" s="12"/>
      <c r="AU28" s="12"/>
      <c r="AV28" s="12"/>
      <c r="AW28" s="12"/>
      <c r="AX28" s="12"/>
      <c r="AY28" s="12"/>
      <c r="AZ28" s="12"/>
      <c r="BA28" s="12"/>
      <c r="BB28" s="12"/>
      <c r="BC28" s="12"/>
      <c r="BD28" s="12"/>
      <c r="BE28" s="12">
        <v>2</v>
      </c>
      <c r="BF28" s="12" t="s">
        <v>381</v>
      </c>
      <c r="BG28" s="12"/>
      <c r="BH28" s="12"/>
      <c r="BI28" s="12">
        <v>2</v>
      </c>
      <c r="BJ28" s="12"/>
      <c r="BK28" s="12"/>
      <c r="BL28" s="12" t="s">
        <v>381</v>
      </c>
      <c r="BM28" s="12"/>
      <c r="BN28" s="12"/>
      <c r="BO28" s="12"/>
      <c r="BP28" s="12"/>
    </row>
    <row r="29" spans="1:68">
      <c r="A29" s="4" t="s">
        <v>559</v>
      </c>
      <c r="C29" s="4" t="s">
        <v>378</v>
      </c>
      <c r="D29" s="19" t="s">
        <v>85</v>
      </c>
      <c r="E29" s="12" t="s">
        <v>690</v>
      </c>
      <c r="F29" s="12">
        <v>8</v>
      </c>
      <c r="G29" s="12">
        <v>36</v>
      </c>
      <c r="H29" s="59">
        <v>135</v>
      </c>
      <c r="I29" s="28">
        <v>16</v>
      </c>
      <c r="J29" s="12" t="s">
        <v>676</v>
      </c>
      <c r="K29" s="4" t="s">
        <v>674</v>
      </c>
      <c r="L29" s="12">
        <v>2.6</v>
      </c>
      <c r="M29" s="59"/>
      <c r="N29" s="12"/>
      <c r="O29" s="12"/>
      <c r="P29" s="12"/>
      <c r="Q29" s="59"/>
      <c r="R29" s="12"/>
      <c r="S29" s="12"/>
      <c r="T29" s="12"/>
      <c r="U29" s="59"/>
      <c r="V29" s="12"/>
      <c r="W29" s="12"/>
      <c r="X29" s="12"/>
      <c r="Y29" s="59"/>
      <c r="Z29" s="12"/>
      <c r="AA29" s="12"/>
      <c r="AB29" s="12"/>
      <c r="AC29" s="59"/>
      <c r="AD29" s="12"/>
      <c r="AE29" s="12"/>
      <c r="AF29" s="12"/>
      <c r="AG29" s="59">
        <f t="shared" si="0"/>
        <v>270</v>
      </c>
      <c r="AH29" s="12" t="s">
        <v>676</v>
      </c>
      <c r="AI29" s="4" t="s">
        <v>674</v>
      </c>
      <c r="AJ29" s="12" t="s">
        <v>670</v>
      </c>
      <c r="AK29" s="12"/>
      <c r="AL29" s="12"/>
      <c r="AM29" s="12"/>
      <c r="AN29" s="12"/>
      <c r="AO29" s="12"/>
      <c r="AP29" s="12"/>
      <c r="AQ29" s="12"/>
      <c r="AR29" s="12"/>
      <c r="AS29" s="12"/>
      <c r="AT29" s="12"/>
      <c r="AU29" s="12"/>
      <c r="AV29" s="12"/>
      <c r="AW29" s="12"/>
      <c r="AX29" s="12"/>
      <c r="AY29" s="12"/>
      <c r="AZ29" s="12"/>
      <c r="BA29" s="12"/>
      <c r="BB29" s="12"/>
      <c r="BC29" s="12"/>
      <c r="BD29" s="12"/>
      <c r="BE29" s="12">
        <v>2</v>
      </c>
      <c r="BF29" s="12" t="s">
        <v>381</v>
      </c>
      <c r="BG29" s="12"/>
      <c r="BH29" s="12"/>
      <c r="BI29" s="12">
        <v>2</v>
      </c>
      <c r="BJ29" s="12"/>
      <c r="BK29" s="12"/>
      <c r="BL29" s="12" t="s">
        <v>381</v>
      </c>
      <c r="BM29" s="12"/>
      <c r="BN29" s="12"/>
      <c r="BO29" s="12"/>
      <c r="BP29" s="12"/>
    </row>
    <row r="30" spans="1:68">
      <c r="A30" s="4" t="s">
        <v>560</v>
      </c>
      <c r="C30" s="4" t="s">
        <v>378</v>
      </c>
      <c r="D30" s="19" t="s">
        <v>85</v>
      </c>
      <c r="E30" s="12" t="s">
        <v>690</v>
      </c>
      <c r="F30" s="12">
        <v>8</v>
      </c>
      <c r="G30" s="12">
        <v>36</v>
      </c>
      <c r="H30" s="59">
        <v>135</v>
      </c>
      <c r="I30" s="28">
        <v>16</v>
      </c>
      <c r="J30" s="12" t="s">
        <v>676</v>
      </c>
      <c r="K30" s="4" t="s">
        <v>674</v>
      </c>
      <c r="L30" s="12">
        <v>2.6</v>
      </c>
      <c r="M30" s="59"/>
      <c r="N30" s="12"/>
      <c r="O30" s="12"/>
      <c r="P30" s="12"/>
      <c r="Q30" s="59"/>
      <c r="R30" s="12"/>
      <c r="S30" s="12"/>
      <c r="T30" s="12"/>
      <c r="U30" s="59"/>
      <c r="V30" s="12"/>
      <c r="W30" s="12"/>
      <c r="X30" s="12"/>
      <c r="Y30" s="59"/>
      <c r="Z30" s="12"/>
      <c r="AA30" s="12"/>
      <c r="AB30" s="12"/>
      <c r="AC30" s="59"/>
      <c r="AD30" s="12"/>
      <c r="AE30" s="12"/>
      <c r="AF30" s="12"/>
      <c r="AG30" s="59">
        <f t="shared" si="0"/>
        <v>270</v>
      </c>
      <c r="AH30" s="12" t="s">
        <v>676</v>
      </c>
      <c r="AI30" s="4" t="s">
        <v>674</v>
      </c>
      <c r="AJ30" s="12" t="s">
        <v>670</v>
      </c>
      <c r="AK30" s="12"/>
      <c r="AL30" s="12"/>
      <c r="AM30" s="12"/>
      <c r="AN30" s="12"/>
      <c r="AO30" s="12"/>
      <c r="AP30" s="12"/>
      <c r="AQ30" s="12"/>
      <c r="AR30" s="12"/>
      <c r="AS30" s="12"/>
      <c r="AT30" s="12"/>
      <c r="AU30" s="12"/>
      <c r="AV30" s="12"/>
      <c r="AW30" s="12"/>
      <c r="AX30" s="12"/>
      <c r="AY30" s="12"/>
      <c r="AZ30" s="12"/>
      <c r="BA30" s="12"/>
      <c r="BB30" s="12"/>
      <c r="BC30" s="12"/>
      <c r="BD30" s="12"/>
      <c r="BE30" s="12">
        <v>2</v>
      </c>
      <c r="BF30" s="12" t="s">
        <v>381</v>
      </c>
      <c r="BG30" s="12"/>
      <c r="BH30" s="12"/>
      <c r="BI30" s="12">
        <v>2</v>
      </c>
      <c r="BJ30" s="12"/>
      <c r="BK30" s="12"/>
      <c r="BL30" s="12" t="s">
        <v>381</v>
      </c>
      <c r="BM30" s="12"/>
      <c r="BN30" s="12"/>
      <c r="BO30" s="12"/>
      <c r="BP30" s="12"/>
    </row>
    <row r="31" spans="1:68">
      <c r="A31" s="4" t="s">
        <v>566</v>
      </c>
      <c r="C31" s="4" t="s">
        <v>378</v>
      </c>
      <c r="D31" s="19" t="s">
        <v>85</v>
      </c>
      <c r="E31" s="12" t="s">
        <v>690</v>
      </c>
      <c r="F31" s="12">
        <v>8</v>
      </c>
      <c r="G31" s="12">
        <v>36</v>
      </c>
      <c r="H31" s="59">
        <v>135</v>
      </c>
      <c r="I31" s="28">
        <v>16</v>
      </c>
      <c r="J31" s="12" t="s">
        <v>676</v>
      </c>
      <c r="K31" s="4" t="s">
        <v>674</v>
      </c>
      <c r="L31" s="12">
        <v>2.6</v>
      </c>
      <c r="M31" s="59"/>
      <c r="N31" s="12"/>
      <c r="O31" s="12"/>
      <c r="P31" s="12"/>
      <c r="Q31" s="59"/>
      <c r="R31" s="12"/>
      <c r="S31" s="12"/>
      <c r="T31" s="12"/>
      <c r="U31" s="59"/>
      <c r="V31" s="12"/>
      <c r="W31" s="12"/>
      <c r="X31" s="12"/>
      <c r="Y31" s="59"/>
      <c r="Z31" s="12"/>
      <c r="AA31" s="12"/>
      <c r="AB31" s="12"/>
      <c r="AC31" s="59"/>
      <c r="AD31" s="12"/>
      <c r="AE31" s="12"/>
      <c r="AF31" s="12"/>
      <c r="AG31" s="59">
        <f t="shared" si="0"/>
        <v>270</v>
      </c>
      <c r="AH31" s="12" t="s">
        <v>676</v>
      </c>
      <c r="AI31" s="4" t="s">
        <v>674</v>
      </c>
      <c r="AJ31" s="12" t="s">
        <v>670</v>
      </c>
      <c r="AK31" s="12"/>
      <c r="AL31" s="12"/>
      <c r="AM31" s="12"/>
      <c r="AN31" s="12"/>
      <c r="AO31" s="12"/>
      <c r="AP31" s="12"/>
      <c r="AQ31" s="12"/>
      <c r="AR31" s="12"/>
      <c r="AS31" s="12"/>
      <c r="AT31" s="12"/>
      <c r="AU31" s="12"/>
      <c r="AV31" s="12"/>
      <c r="AW31" s="12"/>
      <c r="AX31" s="12"/>
      <c r="AY31" s="12"/>
      <c r="AZ31" s="12"/>
      <c r="BA31" s="12"/>
      <c r="BB31" s="12"/>
      <c r="BC31" s="12"/>
      <c r="BD31" s="12"/>
      <c r="BE31" s="12">
        <v>2</v>
      </c>
      <c r="BF31" s="12" t="s">
        <v>381</v>
      </c>
      <c r="BG31" s="12"/>
      <c r="BH31" s="12"/>
      <c r="BI31" s="12">
        <v>2</v>
      </c>
      <c r="BJ31" s="12"/>
      <c r="BK31" s="12"/>
      <c r="BL31" s="12" t="s">
        <v>381</v>
      </c>
      <c r="BM31" s="12"/>
      <c r="BN31" s="12"/>
      <c r="BO31" s="12"/>
      <c r="BP31" s="12"/>
    </row>
    <row r="32" spans="1:68">
      <c r="A32" s="4" t="s">
        <v>567</v>
      </c>
      <c r="C32" s="4" t="s">
        <v>378</v>
      </c>
      <c r="D32" s="19" t="s">
        <v>85</v>
      </c>
      <c r="E32" s="12" t="s">
        <v>690</v>
      </c>
      <c r="F32" s="12">
        <v>8</v>
      </c>
      <c r="G32" s="12">
        <v>36</v>
      </c>
      <c r="H32" s="59">
        <v>135</v>
      </c>
      <c r="I32" s="28">
        <v>16</v>
      </c>
      <c r="J32" s="12" t="s">
        <v>676</v>
      </c>
      <c r="K32" s="4" t="s">
        <v>674</v>
      </c>
      <c r="L32" s="12">
        <v>2.6</v>
      </c>
      <c r="M32" s="59"/>
      <c r="N32" s="12"/>
      <c r="O32" s="12"/>
      <c r="P32" s="12"/>
      <c r="Q32" s="59"/>
      <c r="R32" s="12"/>
      <c r="S32" s="12"/>
      <c r="T32" s="12"/>
      <c r="U32" s="59"/>
      <c r="V32" s="12"/>
      <c r="W32" s="12"/>
      <c r="X32" s="12"/>
      <c r="Y32" s="59"/>
      <c r="Z32" s="12"/>
      <c r="AA32" s="12"/>
      <c r="AB32" s="12"/>
      <c r="AC32" s="59"/>
      <c r="AD32" s="12"/>
      <c r="AE32" s="12"/>
      <c r="AF32" s="12"/>
      <c r="AG32" s="59">
        <f t="shared" si="0"/>
        <v>270</v>
      </c>
      <c r="AH32" s="12" t="s">
        <v>676</v>
      </c>
      <c r="AI32" s="4" t="s">
        <v>674</v>
      </c>
      <c r="AJ32" s="12" t="s">
        <v>670</v>
      </c>
      <c r="AK32" s="12"/>
      <c r="AL32" s="12"/>
      <c r="AM32" s="12"/>
      <c r="AN32" s="12"/>
      <c r="AO32" s="12"/>
      <c r="AP32" s="12"/>
      <c r="AQ32" s="12"/>
      <c r="AR32" s="12"/>
      <c r="AS32" s="12"/>
      <c r="AT32" s="12"/>
      <c r="AU32" s="12"/>
      <c r="AV32" s="12"/>
      <c r="AW32" s="12"/>
      <c r="AX32" s="12"/>
      <c r="AY32" s="12"/>
      <c r="AZ32" s="12"/>
      <c r="BA32" s="12"/>
      <c r="BB32" s="12"/>
      <c r="BC32" s="12"/>
      <c r="BD32" s="12"/>
      <c r="BE32" s="12">
        <v>2</v>
      </c>
      <c r="BF32" s="12" t="s">
        <v>381</v>
      </c>
      <c r="BG32" s="12"/>
      <c r="BH32" s="12"/>
      <c r="BI32" s="12">
        <v>2</v>
      </c>
      <c r="BJ32" s="12"/>
      <c r="BK32" s="12"/>
      <c r="BL32" s="12" t="s">
        <v>381</v>
      </c>
      <c r="BM32" s="12"/>
      <c r="BN32" s="12"/>
      <c r="BO32" s="12"/>
      <c r="BP32" s="12"/>
    </row>
    <row r="33" spans="1:72">
      <c r="A33" s="4" t="s">
        <v>582</v>
      </c>
      <c r="C33" s="4" t="s">
        <v>378</v>
      </c>
      <c r="D33" s="19" t="s">
        <v>85</v>
      </c>
      <c r="E33" s="12" t="s">
        <v>690</v>
      </c>
      <c r="F33" s="12">
        <v>8</v>
      </c>
      <c r="G33" s="12">
        <v>36</v>
      </c>
      <c r="H33" s="59">
        <v>135</v>
      </c>
      <c r="I33" s="28">
        <v>16</v>
      </c>
      <c r="J33" s="12" t="s">
        <v>676</v>
      </c>
      <c r="K33" s="4" t="s">
        <v>674</v>
      </c>
      <c r="L33" s="12">
        <v>2.6</v>
      </c>
      <c r="M33" s="59"/>
      <c r="N33" s="12"/>
      <c r="O33" s="12"/>
      <c r="P33" s="12"/>
      <c r="Q33" s="59"/>
      <c r="R33" s="12"/>
      <c r="S33" s="12"/>
      <c r="T33" s="12"/>
      <c r="U33" s="59"/>
      <c r="V33" s="12"/>
      <c r="W33" s="12"/>
      <c r="X33" s="12"/>
      <c r="Y33" s="59"/>
      <c r="Z33" s="12"/>
      <c r="AA33" s="12"/>
      <c r="AB33" s="12"/>
      <c r="AC33" s="59"/>
      <c r="AD33" s="12"/>
      <c r="AE33" s="12"/>
      <c r="AF33" s="12"/>
      <c r="AG33" s="59">
        <f t="shared" si="0"/>
        <v>270</v>
      </c>
      <c r="AH33" s="12" t="s">
        <v>676</v>
      </c>
      <c r="AI33" s="4" t="s">
        <v>674</v>
      </c>
      <c r="AJ33" s="12" t="s">
        <v>670</v>
      </c>
      <c r="AK33" s="12"/>
      <c r="AL33" s="12"/>
      <c r="AM33" s="12"/>
      <c r="AN33" s="12"/>
      <c r="AO33" s="12"/>
      <c r="AP33" s="12"/>
      <c r="AQ33" s="12"/>
      <c r="AR33" s="12"/>
      <c r="AS33" s="12"/>
      <c r="AT33" s="12"/>
      <c r="AU33" s="12"/>
      <c r="AV33" s="12"/>
      <c r="AW33" s="12"/>
      <c r="AX33" s="12"/>
      <c r="AY33" s="12"/>
      <c r="AZ33" s="12"/>
      <c r="BA33" s="12"/>
      <c r="BB33" s="12"/>
      <c r="BC33" s="12"/>
      <c r="BD33" s="12"/>
      <c r="BE33" s="12">
        <v>2</v>
      </c>
      <c r="BF33" s="12" t="s">
        <v>381</v>
      </c>
      <c r="BG33" s="12"/>
      <c r="BH33" s="12"/>
      <c r="BI33" s="12">
        <v>2</v>
      </c>
      <c r="BJ33" s="12"/>
      <c r="BK33" s="12"/>
      <c r="BL33" s="12" t="s">
        <v>381</v>
      </c>
      <c r="BM33" s="12"/>
      <c r="BN33" s="12"/>
      <c r="BO33" s="12"/>
      <c r="BP33" s="12"/>
    </row>
    <row r="34" spans="1:72">
      <c r="A34" s="4" t="s">
        <v>583</v>
      </c>
      <c r="C34" s="4" t="s">
        <v>378</v>
      </c>
      <c r="D34" s="19" t="s">
        <v>85</v>
      </c>
      <c r="E34" s="12" t="s">
        <v>690</v>
      </c>
      <c r="F34" s="12">
        <v>8</v>
      </c>
      <c r="G34" s="12">
        <v>36</v>
      </c>
      <c r="H34" s="59">
        <v>135</v>
      </c>
      <c r="I34" s="28">
        <v>16</v>
      </c>
      <c r="J34" s="12" t="s">
        <v>676</v>
      </c>
      <c r="K34" s="4" t="s">
        <v>674</v>
      </c>
      <c r="L34" s="12">
        <v>2.6</v>
      </c>
      <c r="M34" s="59"/>
      <c r="N34" s="12"/>
      <c r="O34" s="12"/>
      <c r="P34" s="12"/>
      <c r="Q34" s="59"/>
      <c r="R34" s="12"/>
      <c r="S34" s="12"/>
      <c r="T34" s="12"/>
      <c r="U34" s="59"/>
      <c r="V34" s="12"/>
      <c r="W34" s="12"/>
      <c r="X34" s="12"/>
      <c r="Y34" s="59"/>
      <c r="Z34" s="12"/>
      <c r="AA34" s="12"/>
      <c r="AB34" s="12"/>
      <c r="AC34" s="59"/>
      <c r="AD34" s="12"/>
      <c r="AE34" s="12"/>
      <c r="AF34" s="12"/>
      <c r="AG34" s="59">
        <f t="shared" si="0"/>
        <v>270</v>
      </c>
      <c r="AH34" s="12" t="s">
        <v>676</v>
      </c>
      <c r="AI34" s="4" t="s">
        <v>674</v>
      </c>
      <c r="AJ34" s="12" t="s">
        <v>670</v>
      </c>
      <c r="AK34" s="12"/>
      <c r="AL34" s="12"/>
      <c r="AM34" s="12"/>
      <c r="AN34" s="12"/>
      <c r="AO34" s="12"/>
      <c r="AP34" s="12"/>
      <c r="AQ34" s="12"/>
      <c r="AR34" s="12"/>
      <c r="AS34" s="12"/>
      <c r="AT34" s="12"/>
      <c r="AU34" s="12"/>
      <c r="AV34" s="12"/>
      <c r="AW34" s="12"/>
      <c r="AX34" s="12"/>
      <c r="AY34" s="12"/>
      <c r="AZ34" s="12"/>
      <c r="BA34" s="12"/>
      <c r="BB34" s="12"/>
      <c r="BC34" s="12"/>
      <c r="BD34" s="12"/>
      <c r="BE34" s="12">
        <v>2</v>
      </c>
      <c r="BF34" s="12" t="s">
        <v>381</v>
      </c>
      <c r="BG34" s="12"/>
      <c r="BH34" s="12"/>
      <c r="BI34" s="12">
        <v>2</v>
      </c>
      <c r="BJ34" s="12"/>
      <c r="BK34" s="12"/>
      <c r="BL34" s="12" t="s">
        <v>381</v>
      </c>
      <c r="BM34" s="12"/>
      <c r="BN34" s="12"/>
      <c r="BO34" s="12"/>
      <c r="BP34" s="12"/>
    </row>
    <row r="35" spans="1:72">
      <c r="A35" s="4" t="s">
        <v>590</v>
      </c>
      <c r="C35" s="19" t="s">
        <v>434</v>
      </c>
      <c r="D35" s="4" t="s">
        <v>89</v>
      </c>
      <c r="E35" s="12" t="s">
        <v>691</v>
      </c>
      <c r="F35" s="12">
        <v>4</v>
      </c>
      <c r="G35" s="12">
        <v>4</v>
      </c>
      <c r="H35" s="59">
        <v>100</v>
      </c>
      <c r="I35" s="28">
        <v>0</v>
      </c>
      <c r="J35" s="12" t="s">
        <v>673</v>
      </c>
      <c r="K35" s="4" t="s">
        <v>674</v>
      </c>
      <c r="L35" s="12">
        <v>100</v>
      </c>
      <c r="M35" s="59"/>
      <c r="N35" s="12"/>
      <c r="O35" s="12"/>
      <c r="P35" s="12"/>
      <c r="Q35" s="59"/>
      <c r="R35" s="12"/>
      <c r="S35" s="12"/>
      <c r="T35" s="12"/>
      <c r="U35" s="59"/>
      <c r="V35" s="12"/>
      <c r="W35" s="12"/>
      <c r="X35" s="12"/>
      <c r="Y35" s="59"/>
      <c r="Z35" s="12"/>
      <c r="AA35" s="12"/>
      <c r="AB35" s="12"/>
      <c r="AC35" s="59"/>
      <c r="AD35" s="12"/>
      <c r="AE35" s="12"/>
      <c r="AF35" s="12"/>
      <c r="AG35" s="59">
        <f t="shared" si="0"/>
        <v>200</v>
      </c>
      <c r="AH35" s="12" t="s">
        <v>676</v>
      </c>
      <c r="AI35" s="4" t="s">
        <v>674</v>
      </c>
      <c r="AJ35" s="12" t="s">
        <v>670</v>
      </c>
      <c r="AK35" s="12"/>
      <c r="AL35" s="12"/>
      <c r="AM35" s="12"/>
      <c r="AN35" s="12"/>
      <c r="AO35" s="12"/>
      <c r="AP35" s="12"/>
      <c r="AQ35" s="12"/>
      <c r="AR35" s="12"/>
      <c r="AS35" s="12"/>
      <c r="AT35" s="12"/>
      <c r="AU35" s="12"/>
      <c r="AV35" s="12"/>
      <c r="AW35" s="12"/>
      <c r="AX35" s="12"/>
      <c r="AY35" s="12"/>
      <c r="AZ35" s="12"/>
      <c r="BA35" s="12"/>
      <c r="BB35" s="12"/>
      <c r="BC35" s="12"/>
      <c r="BD35" s="12"/>
      <c r="BE35" s="12">
        <v>4</v>
      </c>
      <c r="BF35" s="12" t="s">
        <v>381</v>
      </c>
      <c r="BG35" s="12"/>
      <c r="BH35" s="12"/>
      <c r="BI35" s="12">
        <v>2</v>
      </c>
      <c r="BJ35" s="12"/>
      <c r="BK35" s="12"/>
      <c r="BL35" s="12" t="s">
        <v>381</v>
      </c>
      <c r="BM35" s="12"/>
      <c r="BN35" s="12"/>
      <c r="BO35" s="12"/>
      <c r="BP35" s="12"/>
    </row>
    <row r="36" spans="1:72">
      <c r="A36" s="4" t="s">
        <v>591</v>
      </c>
      <c r="C36" s="19" t="s">
        <v>434</v>
      </c>
      <c r="D36" s="4" t="s">
        <v>97</v>
      </c>
      <c r="E36" s="12" t="s">
        <v>692</v>
      </c>
      <c r="F36" s="12">
        <v>4</v>
      </c>
      <c r="G36" s="12">
        <v>16</v>
      </c>
      <c r="H36" s="59">
        <v>100</v>
      </c>
      <c r="I36" s="28">
        <v>0</v>
      </c>
      <c r="J36" s="12" t="s">
        <v>673</v>
      </c>
      <c r="K36" s="4" t="s">
        <v>674</v>
      </c>
      <c r="L36" s="12">
        <v>110</v>
      </c>
      <c r="M36" s="59"/>
      <c r="N36" s="12"/>
      <c r="O36" s="12"/>
      <c r="P36" s="12"/>
      <c r="Q36" s="59"/>
      <c r="R36" s="12"/>
      <c r="S36" s="12"/>
      <c r="T36" s="12"/>
      <c r="U36" s="59"/>
      <c r="V36" s="12"/>
      <c r="W36" s="12"/>
      <c r="X36" s="12"/>
      <c r="Y36" s="59"/>
      <c r="Z36" s="12"/>
      <c r="AA36" s="12"/>
      <c r="AB36" s="12"/>
      <c r="AC36" s="59"/>
      <c r="AD36" s="12"/>
      <c r="AE36" s="12"/>
      <c r="AF36" s="12"/>
      <c r="AG36" s="59">
        <f t="shared" si="0"/>
        <v>200</v>
      </c>
      <c r="AH36" s="12" t="s">
        <v>676</v>
      </c>
      <c r="AI36" s="4" t="s">
        <v>674</v>
      </c>
      <c r="AJ36" s="12" t="s">
        <v>670</v>
      </c>
      <c r="AK36" s="12"/>
      <c r="AL36" s="12"/>
      <c r="AM36" s="12"/>
      <c r="AN36" s="12"/>
      <c r="AO36" s="12"/>
      <c r="AP36" s="12"/>
      <c r="AQ36" s="12"/>
      <c r="AR36" s="12"/>
      <c r="AS36" s="12"/>
      <c r="AT36" s="12"/>
      <c r="AU36" s="12"/>
      <c r="AV36" s="12"/>
      <c r="AW36" s="12"/>
      <c r="AX36" s="12"/>
      <c r="AY36" s="12"/>
      <c r="AZ36" s="12"/>
      <c r="BA36" s="12"/>
      <c r="BB36" s="12"/>
      <c r="BC36" s="12"/>
      <c r="BD36" s="12"/>
      <c r="BE36" s="12">
        <v>4</v>
      </c>
      <c r="BF36" s="12" t="s">
        <v>381</v>
      </c>
      <c r="BG36" s="12"/>
      <c r="BH36" s="12"/>
      <c r="BI36" s="12">
        <v>2</v>
      </c>
      <c r="BJ36" s="12"/>
      <c r="BK36" s="12"/>
      <c r="BL36" s="12" t="s">
        <v>381</v>
      </c>
      <c r="BM36" s="12"/>
      <c r="BN36" s="12"/>
      <c r="BO36" s="12"/>
      <c r="BP36" s="12"/>
    </row>
    <row r="37" spans="1:72">
      <c r="A37" s="4" t="s">
        <v>436</v>
      </c>
      <c r="C37" s="19" t="s">
        <v>434</v>
      </c>
      <c r="D37" s="4" t="s">
        <v>93</v>
      </c>
      <c r="E37" s="12" t="s">
        <v>693</v>
      </c>
      <c r="F37" s="12">
        <v>4</v>
      </c>
      <c r="G37" s="12">
        <v>14</v>
      </c>
      <c r="H37" s="59">
        <v>120</v>
      </c>
      <c r="I37" s="28">
        <v>0</v>
      </c>
      <c r="J37" s="12" t="s">
        <v>673</v>
      </c>
      <c r="K37" s="4" t="s">
        <v>674</v>
      </c>
      <c r="L37" s="12">
        <v>100</v>
      </c>
      <c r="M37" s="59"/>
      <c r="N37" s="12"/>
      <c r="O37" s="12"/>
      <c r="P37" s="12"/>
      <c r="Q37" s="59"/>
      <c r="R37" s="12"/>
      <c r="S37" s="12"/>
      <c r="T37" s="12"/>
      <c r="U37" s="59"/>
      <c r="V37" s="12"/>
      <c r="W37" s="12"/>
      <c r="X37" s="12"/>
      <c r="Y37" s="59"/>
      <c r="Z37" s="12"/>
      <c r="AA37" s="12"/>
      <c r="AB37" s="12"/>
      <c r="AC37" s="59"/>
      <c r="AD37" s="12"/>
      <c r="AE37" s="12"/>
      <c r="AF37" s="12"/>
      <c r="AG37" s="59">
        <f t="shared" si="0"/>
        <v>240</v>
      </c>
      <c r="AH37" s="12" t="s">
        <v>676</v>
      </c>
      <c r="AI37" s="4" t="s">
        <v>674</v>
      </c>
      <c r="AJ37" s="12" t="s">
        <v>670</v>
      </c>
      <c r="AK37" s="12"/>
      <c r="AL37" s="12"/>
      <c r="AM37" s="12"/>
      <c r="AN37" s="12"/>
      <c r="AO37" s="12"/>
      <c r="AP37" s="12"/>
      <c r="AQ37" s="12"/>
      <c r="AR37" s="12"/>
      <c r="AS37" s="12"/>
      <c r="AT37" s="12"/>
      <c r="AU37" s="12"/>
      <c r="AV37" s="12"/>
      <c r="AW37" s="12"/>
      <c r="AX37" s="12"/>
      <c r="AY37" s="12"/>
      <c r="AZ37" s="12"/>
      <c r="BA37" s="12"/>
      <c r="BB37" s="12"/>
      <c r="BC37" s="12"/>
      <c r="BD37" s="12"/>
      <c r="BE37" s="12">
        <v>4</v>
      </c>
      <c r="BF37" s="12" t="s">
        <v>381</v>
      </c>
      <c r="BG37" s="12"/>
      <c r="BH37" s="12"/>
      <c r="BI37" s="12">
        <v>2</v>
      </c>
      <c r="BJ37" s="12"/>
      <c r="BK37" s="12"/>
      <c r="BL37" s="12" t="s">
        <v>381</v>
      </c>
      <c r="BM37" s="12"/>
      <c r="BN37" s="12"/>
      <c r="BO37" s="12"/>
      <c r="BP37" s="12"/>
    </row>
    <row r="38" spans="1:72">
      <c r="A38" s="4" t="s">
        <v>412</v>
      </c>
      <c r="B38" s="12"/>
      <c r="C38" s="4" t="s">
        <v>378</v>
      </c>
      <c r="D38" s="19" t="s">
        <v>100</v>
      </c>
      <c r="E38" s="12" t="s">
        <v>694</v>
      </c>
      <c r="F38" s="12">
        <v>9</v>
      </c>
      <c r="G38" s="12">
        <v>12</v>
      </c>
      <c r="H38" s="59">
        <v>55</v>
      </c>
      <c r="I38" s="28">
        <v>16</v>
      </c>
      <c r="J38" s="12" t="s">
        <v>676</v>
      </c>
      <c r="K38" s="4" t="s">
        <v>674</v>
      </c>
      <c r="L38" s="12">
        <v>2.6</v>
      </c>
      <c r="M38" s="59"/>
      <c r="N38" s="12"/>
      <c r="O38" s="12"/>
      <c r="P38" s="12"/>
      <c r="Q38" s="59"/>
      <c r="R38" s="12"/>
      <c r="S38" s="12"/>
      <c r="T38" s="12"/>
      <c r="U38" s="59"/>
      <c r="V38" s="12"/>
      <c r="W38" s="12"/>
      <c r="X38" s="12"/>
      <c r="Y38" s="59"/>
      <c r="Z38" s="12"/>
      <c r="AA38" s="12"/>
      <c r="AB38" s="12"/>
      <c r="AC38" s="59"/>
      <c r="AD38" s="12"/>
      <c r="AE38" s="12"/>
      <c r="AF38" s="12"/>
      <c r="AG38" s="59">
        <f>2*(H38+AK38)</f>
        <v>260</v>
      </c>
      <c r="AH38" s="12" t="s">
        <v>676</v>
      </c>
      <c r="AI38" s="4" t="s">
        <v>674</v>
      </c>
      <c r="AJ38" s="12" t="s">
        <v>670</v>
      </c>
      <c r="AK38" s="59">
        <v>75</v>
      </c>
      <c r="AL38" s="82" t="s">
        <v>676</v>
      </c>
      <c r="AM38" s="4" t="s">
        <v>674</v>
      </c>
      <c r="AN38" s="12">
        <f>50/1000</f>
        <v>0.05</v>
      </c>
      <c r="AO38" s="12"/>
      <c r="AP38" s="12"/>
      <c r="AQ38" s="12"/>
      <c r="AR38" s="12"/>
      <c r="AS38" s="12"/>
      <c r="AT38" s="12"/>
      <c r="AU38" s="12"/>
      <c r="AV38" s="12"/>
      <c r="AW38" s="12"/>
      <c r="AX38" s="12"/>
      <c r="AY38" s="12"/>
      <c r="AZ38" s="12"/>
      <c r="BA38" s="12"/>
      <c r="BB38" s="12"/>
      <c r="BC38" s="12"/>
      <c r="BD38" s="12"/>
      <c r="BE38" s="82">
        <v>3</v>
      </c>
      <c r="BF38" s="12" t="s">
        <v>381</v>
      </c>
      <c r="BG38" s="12"/>
      <c r="BH38" s="12"/>
      <c r="BI38" s="12">
        <v>2</v>
      </c>
      <c r="BJ38" s="12"/>
      <c r="BK38" s="12"/>
      <c r="BL38" s="12" t="s">
        <v>381</v>
      </c>
      <c r="BM38" s="12"/>
      <c r="BN38" s="12"/>
      <c r="BO38" s="12"/>
      <c r="BP38" s="12"/>
    </row>
    <row r="39" spans="1:72">
      <c r="A39" s="4" t="s">
        <v>414</v>
      </c>
      <c r="C39" s="4" t="s">
        <v>378</v>
      </c>
      <c r="D39" s="19" t="s">
        <v>100</v>
      </c>
      <c r="E39" s="12" t="s">
        <v>694</v>
      </c>
      <c r="F39" s="12">
        <v>9</v>
      </c>
      <c r="G39" s="12">
        <v>12</v>
      </c>
      <c r="H39" s="59">
        <v>55</v>
      </c>
      <c r="I39" s="28">
        <v>16</v>
      </c>
      <c r="J39" s="12" t="s">
        <v>676</v>
      </c>
      <c r="K39" s="4" t="s">
        <v>674</v>
      </c>
      <c r="L39" s="12">
        <v>2.6</v>
      </c>
      <c r="M39" s="59"/>
      <c r="N39" s="12"/>
      <c r="O39" s="12"/>
      <c r="P39" s="12"/>
      <c r="Q39" s="59"/>
      <c r="R39" s="12"/>
      <c r="S39" s="12"/>
      <c r="T39" s="12"/>
      <c r="U39" s="59"/>
      <c r="V39" s="12"/>
      <c r="W39" s="12"/>
      <c r="X39" s="12"/>
      <c r="Y39" s="59"/>
      <c r="Z39" s="12"/>
      <c r="AA39" s="12"/>
      <c r="AB39" s="12"/>
      <c r="AC39" s="59"/>
      <c r="AD39" s="12"/>
      <c r="AE39" s="12"/>
      <c r="AF39" s="12"/>
      <c r="AG39" s="59">
        <f>2*(H39+AK39)</f>
        <v>260</v>
      </c>
      <c r="AH39" s="12" t="s">
        <v>676</v>
      </c>
      <c r="AI39" s="4" t="s">
        <v>674</v>
      </c>
      <c r="AJ39" s="12" t="s">
        <v>670</v>
      </c>
      <c r="AK39" s="59">
        <v>75</v>
      </c>
      <c r="AL39" s="82" t="s">
        <v>676</v>
      </c>
      <c r="AM39" s="4" t="s">
        <v>674</v>
      </c>
      <c r="AN39" s="12">
        <f>50/1000</f>
        <v>0.05</v>
      </c>
      <c r="AO39" s="12"/>
      <c r="AP39" s="12"/>
      <c r="AQ39" s="12"/>
      <c r="AR39" s="12"/>
      <c r="AS39" s="12"/>
      <c r="AT39" s="12"/>
      <c r="AU39" s="12"/>
      <c r="AV39" s="12"/>
      <c r="AW39" s="12"/>
      <c r="AX39" s="12"/>
      <c r="AY39" s="12"/>
      <c r="AZ39" s="12"/>
      <c r="BA39" s="12"/>
      <c r="BB39" s="12"/>
      <c r="BC39" s="12"/>
      <c r="BD39" s="12"/>
      <c r="BE39" s="82">
        <v>3</v>
      </c>
      <c r="BF39" s="12" t="s">
        <v>381</v>
      </c>
      <c r="BG39" s="12"/>
      <c r="BH39" s="12"/>
      <c r="BI39" s="12">
        <v>2</v>
      </c>
      <c r="BJ39" s="12"/>
      <c r="BK39" s="12"/>
      <c r="BL39" s="12" t="s">
        <v>381</v>
      </c>
      <c r="BM39" s="12"/>
      <c r="BN39" s="12"/>
      <c r="BO39" s="12"/>
      <c r="BP39" s="12"/>
    </row>
    <row r="40" spans="1:72">
      <c r="A40" s="4" t="s">
        <v>584</v>
      </c>
      <c r="C40" s="4" t="s">
        <v>378</v>
      </c>
      <c r="D40" s="19" t="s">
        <v>100</v>
      </c>
      <c r="E40" s="12" t="s">
        <v>694</v>
      </c>
      <c r="F40" s="12">
        <v>9</v>
      </c>
      <c r="G40" s="12">
        <v>12</v>
      </c>
      <c r="H40" s="59">
        <v>55</v>
      </c>
      <c r="I40" s="28">
        <v>16</v>
      </c>
      <c r="J40" s="12" t="s">
        <v>676</v>
      </c>
      <c r="K40" s="4" t="s">
        <v>674</v>
      </c>
      <c r="L40" s="12">
        <v>2.6</v>
      </c>
      <c r="M40" s="59"/>
      <c r="N40" s="12"/>
      <c r="O40" s="12"/>
      <c r="P40" s="12"/>
      <c r="Q40" s="59"/>
      <c r="R40" s="12"/>
      <c r="S40" s="12"/>
      <c r="T40" s="12"/>
      <c r="U40" s="59"/>
      <c r="V40" s="12"/>
      <c r="W40" s="12"/>
      <c r="X40" s="12"/>
      <c r="Y40" s="59"/>
      <c r="Z40" s="12"/>
      <c r="AA40" s="12"/>
      <c r="AB40" s="12"/>
      <c r="AC40" s="59"/>
      <c r="AD40" s="12"/>
      <c r="AE40" s="12"/>
      <c r="AF40" s="12"/>
      <c r="AG40" s="59">
        <f>2*(H40+AK40)</f>
        <v>260</v>
      </c>
      <c r="AH40" s="12" t="s">
        <v>676</v>
      </c>
      <c r="AI40" s="4" t="s">
        <v>674</v>
      </c>
      <c r="AJ40" s="12" t="s">
        <v>670</v>
      </c>
      <c r="AK40" s="59">
        <v>75</v>
      </c>
      <c r="AL40" s="82" t="s">
        <v>676</v>
      </c>
      <c r="AM40" s="4" t="s">
        <v>674</v>
      </c>
      <c r="AN40" s="12">
        <f>50/1000</f>
        <v>0.05</v>
      </c>
      <c r="AO40" s="12"/>
      <c r="AP40" s="12"/>
      <c r="AQ40" s="12"/>
      <c r="AR40" s="12"/>
      <c r="AS40" s="12"/>
      <c r="AT40" s="12"/>
      <c r="AU40" s="12"/>
      <c r="AV40" s="12"/>
      <c r="AW40" s="12"/>
      <c r="AX40" s="12"/>
      <c r="AY40" s="12"/>
      <c r="AZ40" s="12"/>
      <c r="BA40" s="12"/>
      <c r="BB40" s="12"/>
      <c r="BC40" s="12"/>
      <c r="BD40" s="12"/>
      <c r="BE40" s="82">
        <v>3</v>
      </c>
      <c r="BF40" s="12" t="s">
        <v>381</v>
      </c>
      <c r="BG40" s="12"/>
      <c r="BH40" s="12"/>
      <c r="BI40" s="12">
        <v>2</v>
      </c>
      <c r="BJ40" s="12"/>
      <c r="BK40" s="12"/>
      <c r="BL40" s="12" t="s">
        <v>381</v>
      </c>
      <c r="BM40" s="12"/>
      <c r="BN40" s="12"/>
      <c r="BO40" s="12"/>
      <c r="BP40" s="12"/>
    </row>
    <row r="41" spans="1:72">
      <c r="A41" s="4" t="s">
        <v>585</v>
      </c>
      <c r="C41" s="4" t="s">
        <v>378</v>
      </c>
      <c r="D41" s="19" t="s">
        <v>100</v>
      </c>
      <c r="E41" s="12" t="s">
        <v>694</v>
      </c>
      <c r="F41" s="12">
        <v>9</v>
      </c>
      <c r="G41" s="12">
        <v>12</v>
      </c>
      <c r="H41" s="59">
        <v>55</v>
      </c>
      <c r="I41" s="28">
        <v>16</v>
      </c>
      <c r="J41" s="12" t="s">
        <v>676</v>
      </c>
      <c r="K41" s="4" t="s">
        <v>674</v>
      </c>
      <c r="L41" s="12">
        <v>2.6</v>
      </c>
      <c r="M41" s="59"/>
      <c r="N41" s="12"/>
      <c r="O41" s="12"/>
      <c r="P41" s="12"/>
      <c r="Q41" s="59"/>
      <c r="R41" s="12"/>
      <c r="S41" s="12"/>
      <c r="T41" s="12"/>
      <c r="U41" s="59"/>
      <c r="V41" s="12"/>
      <c r="W41" s="12"/>
      <c r="X41" s="12"/>
      <c r="Y41" s="59"/>
      <c r="Z41" s="12"/>
      <c r="AA41" s="12"/>
      <c r="AB41" s="12"/>
      <c r="AC41" s="59"/>
      <c r="AD41" s="12"/>
      <c r="AE41" s="12"/>
      <c r="AF41" s="12"/>
      <c r="AG41" s="59">
        <f>2*(H41+AK41)</f>
        <v>260</v>
      </c>
      <c r="AH41" s="12" t="s">
        <v>676</v>
      </c>
      <c r="AI41" s="4" t="s">
        <v>674</v>
      </c>
      <c r="AJ41" s="12" t="s">
        <v>670</v>
      </c>
      <c r="AK41" s="59">
        <v>75</v>
      </c>
      <c r="AL41" s="82" t="s">
        <v>676</v>
      </c>
      <c r="AM41" s="4" t="s">
        <v>674</v>
      </c>
      <c r="AN41" s="12">
        <f>50/1000</f>
        <v>0.05</v>
      </c>
      <c r="AO41" s="12"/>
      <c r="AP41" s="12"/>
      <c r="AQ41" s="12"/>
      <c r="AR41" s="12"/>
      <c r="AS41" s="12"/>
      <c r="AT41" s="12"/>
      <c r="AU41" s="12"/>
      <c r="AV41" s="12"/>
      <c r="AW41" s="12"/>
      <c r="AX41" s="12"/>
      <c r="AY41" s="12"/>
      <c r="AZ41" s="12"/>
      <c r="BA41" s="12"/>
      <c r="BB41" s="12"/>
      <c r="BC41" s="12"/>
      <c r="BD41" s="12"/>
      <c r="BE41" s="82">
        <v>3</v>
      </c>
      <c r="BF41" s="12" t="s">
        <v>381</v>
      </c>
      <c r="BG41" s="12"/>
      <c r="BH41" s="12"/>
      <c r="BI41" s="12">
        <v>2</v>
      </c>
      <c r="BJ41" s="12"/>
      <c r="BK41" s="12"/>
      <c r="BL41" s="12" t="s">
        <v>381</v>
      </c>
      <c r="BM41" s="12"/>
      <c r="BN41" s="12"/>
      <c r="BO41" s="12"/>
      <c r="BP41" s="12"/>
    </row>
    <row r="42" spans="1:72">
      <c r="A42" s="4" t="s">
        <v>415</v>
      </c>
      <c r="C42" s="4" t="s">
        <v>378</v>
      </c>
      <c r="D42" s="19" t="s">
        <v>416</v>
      </c>
      <c r="E42" s="12" t="s">
        <v>695</v>
      </c>
      <c r="F42" s="12">
        <v>4</v>
      </c>
      <c r="G42" s="12">
        <v>6</v>
      </c>
      <c r="H42" s="59">
        <v>40</v>
      </c>
      <c r="I42" s="28">
        <v>4</v>
      </c>
      <c r="J42" s="12" t="s">
        <v>676</v>
      </c>
      <c r="K42" s="4" t="s">
        <v>674</v>
      </c>
      <c r="L42" s="12">
        <v>2.6</v>
      </c>
      <c r="M42" s="59"/>
      <c r="N42" s="12"/>
      <c r="O42" s="12"/>
      <c r="P42" s="12"/>
      <c r="Q42" s="59"/>
      <c r="R42" s="12"/>
      <c r="S42" s="12"/>
      <c r="T42" s="12"/>
      <c r="U42" s="59"/>
      <c r="V42" s="12"/>
      <c r="W42" s="12"/>
      <c r="X42" s="12"/>
      <c r="Y42" s="59"/>
      <c r="Z42" s="12"/>
      <c r="AA42" s="12"/>
      <c r="AB42" s="12"/>
      <c r="AC42" s="59"/>
      <c r="AD42" s="12"/>
      <c r="AE42" s="12"/>
      <c r="AF42" s="12"/>
      <c r="AG42" s="59">
        <f t="shared" si="0"/>
        <v>80</v>
      </c>
      <c r="AH42" s="12" t="s">
        <v>676</v>
      </c>
      <c r="AI42" s="4" t="s">
        <v>674</v>
      </c>
      <c r="AJ42" s="12" t="s">
        <v>670</v>
      </c>
      <c r="AK42" s="61"/>
      <c r="AL42" s="82"/>
      <c r="AM42" s="82"/>
      <c r="AN42" s="82"/>
      <c r="AO42" s="82"/>
      <c r="AP42" s="82"/>
      <c r="AQ42" s="82"/>
      <c r="AR42" s="82"/>
      <c r="AS42" s="82"/>
      <c r="AT42" s="82"/>
      <c r="AU42" s="82"/>
      <c r="AV42" s="82"/>
      <c r="AW42" s="82"/>
      <c r="AX42" s="82"/>
      <c r="AY42" s="82"/>
      <c r="AZ42" s="82"/>
      <c r="BA42" s="82"/>
      <c r="BB42" s="82"/>
      <c r="BC42" s="82"/>
      <c r="BD42" s="82"/>
      <c r="BE42" s="82">
        <v>2</v>
      </c>
      <c r="BF42" s="12" t="s">
        <v>381</v>
      </c>
      <c r="BG42" s="12"/>
      <c r="BH42" s="12"/>
      <c r="BI42" s="12">
        <v>2</v>
      </c>
      <c r="BJ42" s="12"/>
      <c r="BK42" s="12"/>
      <c r="BL42" s="12" t="s">
        <v>381</v>
      </c>
      <c r="BM42" s="12"/>
      <c r="BN42" s="12"/>
      <c r="BO42" s="12"/>
      <c r="BP42" s="12"/>
    </row>
    <row r="43" spans="1:72">
      <c r="A43" s="4" t="s">
        <v>417</v>
      </c>
      <c r="C43" s="4" t="s">
        <v>378</v>
      </c>
      <c r="D43" s="19" t="s">
        <v>418</v>
      </c>
      <c r="E43" s="12" t="s">
        <v>695</v>
      </c>
      <c r="F43" s="12">
        <v>4</v>
      </c>
      <c r="G43" s="12">
        <v>6</v>
      </c>
      <c r="H43" s="59">
        <v>40</v>
      </c>
      <c r="I43" s="28">
        <v>4</v>
      </c>
      <c r="J43" s="12" t="s">
        <v>676</v>
      </c>
      <c r="K43" s="4" t="s">
        <v>674</v>
      </c>
      <c r="L43" s="12">
        <v>2.6</v>
      </c>
      <c r="M43" s="59"/>
      <c r="N43" s="12"/>
      <c r="O43" s="12"/>
      <c r="P43" s="12"/>
      <c r="Q43" s="59"/>
      <c r="R43" s="12"/>
      <c r="S43" s="12"/>
      <c r="T43" s="12"/>
      <c r="U43" s="59"/>
      <c r="V43" s="12"/>
      <c r="W43" s="12"/>
      <c r="X43" s="12"/>
      <c r="Y43" s="59"/>
      <c r="Z43" s="12"/>
      <c r="AA43" s="12"/>
      <c r="AB43" s="12"/>
      <c r="AC43" s="59"/>
      <c r="AD43" s="12"/>
      <c r="AE43" s="12"/>
      <c r="AF43" s="12"/>
      <c r="AG43" s="59">
        <f t="shared" ref="AG43" si="1">2*H43</f>
        <v>80</v>
      </c>
      <c r="AH43" s="12" t="s">
        <v>676</v>
      </c>
      <c r="AI43" s="4" t="s">
        <v>674</v>
      </c>
      <c r="AJ43" s="12" t="s">
        <v>670</v>
      </c>
      <c r="AK43" s="61"/>
      <c r="AL43" s="82"/>
      <c r="AM43" s="82"/>
      <c r="AN43" s="82"/>
      <c r="AO43" s="82"/>
      <c r="AP43" s="82"/>
      <c r="AQ43" s="82"/>
      <c r="AR43" s="82"/>
      <c r="AS43" s="82"/>
      <c r="AT43" s="82"/>
      <c r="AU43" s="82"/>
      <c r="AV43" s="82"/>
      <c r="AW43" s="82"/>
      <c r="AX43" s="82"/>
      <c r="AY43" s="82"/>
      <c r="AZ43" s="82"/>
      <c r="BA43" s="82"/>
      <c r="BB43" s="82"/>
      <c r="BC43" s="82"/>
      <c r="BD43" s="82"/>
      <c r="BE43" s="82">
        <v>2</v>
      </c>
      <c r="BF43" s="12" t="s">
        <v>381</v>
      </c>
      <c r="BG43" s="12"/>
      <c r="BH43" s="12"/>
      <c r="BI43" s="12">
        <v>2</v>
      </c>
      <c r="BJ43" s="12"/>
      <c r="BK43" s="12"/>
      <c r="BL43" s="12" t="s">
        <v>381</v>
      </c>
      <c r="BM43" s="12"/>
      <c r="BN43" s="12"/>
      <c r="BO43" s="12"/>
      <c r="BP43" s="12"/>
    </row>
    <row r="44" spans="1:72" ht="14.5">
      <c r="A44" s="4" t="s">
        <v>419</v>
      </c>
      <c r="C44" s="4" t="s">
        <v>378</v>
      </c>
      <c r="D44" s="4" t="s">
        <v>650</v>
      </c>
      <c r="E44" s="15" t="s">
        <v>696</v>
      </c>
      <c r="F44" s="12">
        <v>2</v>
      </c>
      <c r="G44" s="12">
        <v>4</v>
      </c>
      <c r="H44" s="59">
        <v>65</v>
      </c>
      <c r="I44" s="28">
        <v>4</v>
      </c>
      <c r="J44" s="12" t="s">
        <v>676</v>
      </c>
      <c r="K44" s="4" t="s">
        <v>674</v>
      </c>
      <c r="L44" s="12">
        <v>2.6</v>
      </c>
      <c r="M44" s="12"/>
      <c r="N44" s="12"/>
      <c r="O44" s="12"/>
      <c r="P44" s="12"/>
      <c r="Q44" s="1"/>
      <c r="R44" s="1"/>
      <c r="S44" s="1"/>
      <c r="T44" s="1"/>
      <c r="U44" s="12"/>
      <c r="V44" s="12"/>
      <c r="W44" s="12"/>
      <c r="X44" s="12"/>
      <c r="Y44" s="12"/>
      <c r="Z44" s="12"/>
      <c r="AA44" s="12"/>
      <c r="AB44" s="12"/>
      <c r="AC44" s="12"/>
      <c r="AD44" s="12"/>
      <c r="AE44" s="12"/>
      <c r="AF44" s="12"/>
      <c r="AG44" s="59">
        <f>2*H44+200</f>
        <v>330</v>
      </c>
      <c r="AH44" s="12" t="s">
        <v>676</v>
      </c>
      <c r="AI44" s="17" t="s">
        <v>674</v>
      </c>
      <c r="AJ44" s="15" t="s">
        <v>670</v>
      </c>
      <c r="AK44" s="17"/>
      <c r="AL44" s="17"/>
      <c r="AM44" s="17"/>
      <c r="AN44" s="17"/>
      <c r="AO44" s="17"/>
      <c r="AP44" s="17"/>
      <c r="AQ44" s="17"/>
      <c r="AR44" s="17"/>
      <c r="AS44" s="17"/>
      <c r="AT44" s="17"/>
      <c r="AU44" s="17"/>
      <c r="AV44" s="17"/>
      <c r="AW44" s="15">
        <v>150</v>
      </c>
      <c r="AX44" s="12" t="s">
        <v>676</v>
      </c>
      <c r="AY44" s="12" t="s">
        <v>674</v>
      </c>
      <c r="AZ44" s="12">
        <f>50/1000</f>
        <v>0.05</v>
      </c>
      <c r="BA44" s="17"/>
      <c r="BB44" s="17"/>
      <c r="BC44" s="17"/>
      <c r="BD44" s="17"/>
      <c r="BE44" s="15">
        <v>2</v>
      </c>
      <c r="BF44" s="15" t="s">
        <v>381</v>
      </c>
      <c r="BG44" s="15"/>
      <c r="BH44" s="15"/>
      <c r="BI44" s="15">
        <v>2</v>
      </c>
      <c r="BJ44" s="15"/>
      <c r="BK44" s="15"/>
      <c r="BL44" s="15" t="s">
        <v>381</v>
      </c>
      <c r="BM44" s="15"/>
      <c r="BN44" s="15"/>
      <c r="BO44" s="15"/>
      <c r="BP44" s="17"/>
      <c r="BQ44" s="33"/>
      <c r="BR44" s="33"/>
    </row>
    <row r="45" spans="1:72" s="18" customFormat="1">
      <c r="E45" s="16"/>
      <c r="F45" s="16">
        <f>SUM(F8:F44)</f>
        <v>253</v>
      </c>
      <c r="G45" s="16">
        <f>SUM(G8:G44)</f>
        <v>799</v>
      </c>
      <c r="H45" s="16">
        <f>SUM(H8:H44)</f>
        <v>3353</v>
      </c>
      <c r="I45" s="60"/>
      <c r="J45" s="16"/>
      <c r="K45" s="16"/>
      <c r="L45" s="16">
        <f>SUM(L8:L44)</f>
        <v>403.80000000000018</v>
      </c>
      <c r="M45" s="16">
        <f>SUM(M8:M44)</f>
        <v>460</v>
      </c>
      <c r="N45" s="16"/>
      <c r="O45" s="16"/>
      <c r="P45" s="16">
        <f>SUM(P8:P44)</f>
        <v>0.05</v>
      </c>
      <c r="Q45" s="16">
        <f>SUM(Q8:Q44)</f>
        <v>15200</v>
      </c>
      <c r="R45" s="16"/>
      <c r="S45" s="16"/>
      <c r="T45" s="16">
        <f>SUM(T8:T44)</f>
        <v>0.05</v>
      </c>
      <c r="U45" s="16">
        <f>SUM(U8:U44)</f>
        <v>16600</v>
      </c>
      <c r="V45" s="16"/>
      <c r="W45" s="16"/>
      <c r="X45" s="16">
        <f>SUM(X8:X44)</f>
        <v>0.05</v>
      </c>
      <c r="Y45" s="16">
        <f>SUM(Y8:Y44)</f>
        <v>1250</v>
      </c>
      <c r="Z45" s="16"/>
      <c r="AA45" s="16"/>
      <c r="AB45" s="16">
        <f>SUM(AB8:AB44)</f>
        <v>0.1</v>
      </c>
      <c r="AC45" s="16">
        <f>SUM(AC8:AC44)</f>
        <v>270</v>
      </c>
      <c r="AD45" s="16"/>
      <c r="AE45" s="16"/>
      <c r="AF45" s="16">
        <f>SUM(AF8:AF44)</f>
        <v>0</v>
      </c>
      <c r="AG45" s="16">
        <f>SUM(AG8:AG44)</f>
        <v>39483</v>
      </c>
      <c r="AH45" s="16"/>
      <c r="AI45" s="16"/>
      <c r="AJ45" s="16"/>
      <c r="AK45" s="16">
        <f>SUM(AK8:AK44)</f>
        <v>300</v>
      </c>
      <c r="AL45" s="16"/>
      <c r="AM45" s="16"/>
      <c r="AN45" s="16">
        <f>SUM(AN8:AN44)</f>
        <v>0.2</v>
      </c>
      <c r="AO45" s="16">
        <f>SUM(AO8:AO44)</f>
        <v>50</v>
      </c>
      <c r="AP45" s="16"/>
      <c r="AQ45" s="16"/>
      <c r="AR45" s="16">
        <f>SUM(AR8:AR44)</f>
        <v>0.05</v>
      </c>
      <c r="AS45" s="16">
        <f>SUM(AS8:AS44)</f>
        <v>200</v>
      </c>
      <c r="AT45" s="16"/>
      <c r="AU45" s="16"/>
      <c r="AV45" s="16">
        <f>SUM(AV8:AV44)</f>
        <v>0.1</v>
      </c>
      <c r="AW45" s="16">
        <f>SUM(AW8:AW44)</f>
        <v>150</v>
      </c>
      <c r="AX45" s="16"/>
      <c r="AY45" s="16"/>
      <c r="AZ45" s="16">
        <f>SUM(AZ8:AZ44)</f>
        <v>0.05</v>
      </c>
      <c r="BA45" s="16">
        <f>SUM(BA8:BA44)</f>
        <v>6144</v>
      </c>
      <c r="BB45" s="16"/>
      <c r="BC45" s="16"/>
      <c r="BD45" s="16">
        <f>SUM(BD8:BD44)</f>
        <v>0.05</v>
      </c>
      <c r="BE45" s="16">
        <f>SUM(BE8:BE44)</f>
        <v>109</v>
      </c>
      <c r="BF45" s="16">
        <f>COUNTIF(BF8:BF44,"x")</f>
        <v>36</v>
      </c>
      <c r="BG45" s="16">
        <f>COUNTIF(BG8:BG44,"x")</f>
        <v>2</v>
      </c>
      <c r="BH45" s="16">
        <f>COUNTIF(BH8:BH44,"x")</f>
        <v>1</v>
      </c>
      <c r="BI45" s="16">
        <f>SUM(BI9:BI44)</f>
        <v>72</v>
      </c>
      <c r="BJ45" s="16">
        <f>COUNTIF(BJ8:BJ44,"x")</f>
        <v>1</v>
      </c>
      <c r="BK45" s="16">
        <f>COUNTIF(BK8:BK44,"x")</f>
        <v>0</v>
      </c>
      <c r="BL45" s="16">
        <f>COUNTIF(BL8:BL44,"x")</f>
        <v>36</v>
      </c>
      <c r="BM45" s="16" t="s">
        <v>697</v>
      </c>
      <c r="BN45" s="16">
        <v>2</v>
      </c>
      <c r="BO45" s="16">
        <v>4</v>
      </c>
      <c r="BP45" s="16">
        <v>2</v>
      </c>
    </row>
    <row r="46" spans="1:72" ht="13">
      <c r="A46" s="181" t="s">
        <v>423</v>
      </c>
      <c r="B46" s="182"/>
      <c r="E46" s="12"/>
      <c r="F46" s="12"/>
      <c r="G46" s="12"/>
      <c r="H46" s="12"/>
      <c r="I46" s="12"/>
      <c r="J46" s="12"/>
      <c r="K46" s="12"/>
      <c r="L46" s="12"/>
      <c r="M46" s="12"/>
      <c r="N46" s="12"/>
      <c r="O46" s="12"/>
      <c r="P46" s="12"/>
      <c r="Q46" s="12"/>
      <c r="R46" s="12"/>
      <c r="S46" s="12"/>
      <c r="T46" s="12"/>
      <c r="U46" s="12"/>
      <c r="V46" s="12"/>
      <c r="W46" s="12"/>
      <c r="X46" s="12"/>
      <c r="Y46" s="12"/>
      <c r="Z46" s="12"/>
      <c r="AA46" s="12"/>
      <c r="AB46" s="12"/>
      <c r="AC46" s="12"/>
      <c r="AD46" s="12"/>
      <c r="AE46" s="12"/>
      <c r="AF46" s="12"/>
      <c r="AG46" s="12"/>
      <c r="AH46" s="12"/>
      <c r="AI46" s="12"/>
      <c r="AJ46" s="12"/>
      <c r="BA46" s="12"/>
      <c r="BB46" s="12"/>
      <c r="BC46" s="12"/>
      <c r="BD46" s="12"/>
      <c r="BE46" s="12"/>
    </row>
    <row r="47" spans="1:72" ht="13">
      <c r="A47" s="14" t="s">
        <v>698</v>
      </c>
      <c r="E47" s="12"/>
      <c r="F47" s="12"/>
      <c r="G47" s="12"/>
      <c r="H47" s="12"/>
      <c r="I47" s="28"/>
      <c r="J47" s="12"/>
      <c r="K47" s="12"/>
      <c r="L47" s="12"/>
      <c r="M47" s="12"/>
      <c r="N47" s="59"/>
      <c r="O47" s="59"/>
      <c r="P47" s="12"/>
      <c r="Q47" s="12"/>
      <c r="R47" s="59"/>
      <c r="S47" s="59"/>
      <c r="T47" s="12"/>
      <c r="U47" s="12"/>
      <c r="V47" s="59"/>
      <c r="W47" s="59"/>
      <c r="X47" s="12"/>
      <c r="Y47" s="12"/>
      <c r="Z47" s="59"/>
      <c r="AA47" s="59"/>
      <c r="AB47" s="12"/>
      <c r="AC47" s="12"/>
      <c r="AD47" s="59"/>
      <c r="AE47" s="59"/>
      <c r="AF47" s="12"/>
      <c r="AG47" s="12"/>
      <c r="AH47" s="59"/>
      <c r="AI47" s="59"/>
      <c r="AJ47" s="59"/>
      <c r="AK47" s="12"/>
      <c r="AL47" s="12"/>
      <c r="AM47" s="12"/>
      <c r="AN47" s="12"/>
      <c r="AO47" s="12"/>
      <c r="AP47" s="12"/>
      <c r="AQ47" s="12"/>
      <c r="AR47" s="12"/>
      <c r="AS47" s="12"/>
      <c r="AT47" s="12"/>
      <c r="AU47" s="12"/>
      <c r="AV47" s="12"/>
      <c r="AW47" s="12"/>
      <c r="AX47" s="12"/>
      <c r="AY47" s="12"/>
      <c r="AZ47" s="12"/>
      <c r="BA47" s="12"/>
      <c r="BB47" s="12"/>
      <c r="BC47" s="12"/>
      <c r="BD47" s="12"/>
      <c r="BE47" s="12"/>
      <c r="BF47" s="12"/>
      <c r="BG47" s="12"/>
      <c r="BH47" s="12"/>
      <c r="BI47" s="12"/>
      <c r="BJ47" s="12"/>
      <c r="BK47" s="12"/>
      <c r="BL47" s="12"/>
      <c r="BM47" s="12"/>
      <c r="BN47" s="12"/>
      <c r="BO47" s="12"/>
      <c r="BP47" s="12"/>
      <c r="BQ47" s="12"/>
      <c r="BR47" s="12"/>
      <c r="BS47" s="12"/>
      <c r="BT47" s="12"/>
    </row>
    <row r="48" spans="1:72" s="17" customFormat="1" ht="14.5">
      <c r="A48" s="17" t="s">
        <v>419</v>
      </c>
      <c r="C48" s="17" t="s">
        <v>378</v>
      </c>
      <c r="D48" s="17" t="s">
        <v>727</v>
      </c>
      <c r="E48" s="15" t="s">
        <v>696</v>
      </c>
      <c r="F48" s="15">
        <v>7</v>
      </c>
      <c r="G48" s="15">
        <v>16</v>
      </c>
      <c r="H48" s="65">
        <v>28</v>
      </c>
      <c r="I48" s="76">
        <v>16</v>
      </c>
      <c r="J48" s="15" t="s">
        <v>676</v>
      </c>
      <c r="K48" s="17" t="s">
        <v>674</v>
      </c>
      <c r="L48" s="15">
        <v>2.6</v>
      </c>
      <c r="M48" s="15"/>
      <c r="N48" s="15"/>
      <c r="O48" s="15"/>
      <c r="P48" s="15"/>
      <c r="Q48" s="96"/>
      <c r="R48" s="96"/>
      <c r="S48" s="96"/>
      <c r="T48" s="96"/>
      <c r="U48" s="15"/>
      <c r="V48" s="15"/>
      <c r="W48" s="15"/>
      <c r="X48" s="15"/>
      <c r="Y48" s="15">
        <v>120</v>
      </c>
      <c r="Z48" s="15" t="s">
        <v>676</v>
      </c>
      <c r="AA48" s="17" t="s">
        <v>674</v>
      </c>
      <c r="AB48" s="15">
        <v>0.1</v>
      </c>
      <c r="AC48" s="15"/>
      <c r="AD48" s="15"/>
      <c r="AE48" s="15"/>
      <c r="AF48" s="15"/>
      <c r="AG48" s="59">
        <f>2*H48+120</f>
        <v>176</v>
      </c>
      <c r="AH48" s="15" t="s">
        <v>676</v>
      </c>
      <c r="AI48" s="17" t="s">
        <v>674</v>
      </c>
      <c r="AJ48" s="15" t="s">
        <v>670</v>
      </c>
      <c r="AW48" s="15"/>
      <c r="AX48" s="15"/>
      <c r="AY48" s="15"/>
      <c r="AZ48" s="15"/>
      <c r="BE48" s="15"/>
      <c r="BF48" s="15"/>
      <c r="BI48" s="15"/>
      <c r="BJ48" s="15"/>
      <c r="BK48" s="15"/>
      <c r="BL48" s="15"/>
      <c r="BM48" s="15"/>
      <c r="BN48" s="15"/>
      <c r="BO48" s="15"/>
      <c r="BP48" s="15"/>
      <c r="BQ48" s="15"/>
      <c r="BR48" s="15"/>
      <c r="BS48" s="15"/>
    </row>
    <row r="49" spans="1:72">
      <c r="E49" s="12"/>
      <c r="F49" s="16">
        <f>SUM(F48:F48)+F45</f>
        <v>260</v>
      </c>
      <c r="G49" s="16">
        <f>SUM(G48:G48)+G45</f>
        <v>815</v>
      </c>
      <c r="H49" s="16">
        <f>SUM(H48:H48)+H45</f>
        <v>3381</v>
      </c>
      <c r="I49" s="16"/>
      <c r="J49" s="12"/>
      <c r="K49" s="12"/>
      <c r="L49" s="16">
        <f>SUM(L48:L48)+L45</f>
        <v>406.4000000000002</v>
      </c>
      <c r="M49" s="16">
        <f>SUM(M48:M48)+M45</f>
        <v>460</v>
      </c>
      <c r="N49" s="59"/>
      <c r="O49" s="59"/>
      <c r="P49" s="16">
        <f>SUM(P48:P48)+P45</f>
        <v>0.05</v>
      </c>
      <c r="Q49" s="16">
        <f>SUM(Q48:Q48)+Q45</f>
        <v>15200</v>
      </c>
      <c r="R49" s="59"/>
      <c r="S49" s="59"/>
      <c r="T49" s="16">
        <f>SUM(T48:T48)+T45</f>
        <v>0.05</v>
      </c>
      <c r="U49" s="16">
        <f>SUM(U48:U48)+U45</f>
        <v>16600</v>
      </c>
      <c r="V49" s="59"/>
      <c r="W49" s="59"/>
      <c r="X49" s="16">
        <f>SUM(X48:X48)+X45</f>
        <v>0.05</v>
      </c>
      <c r="Y49" s="16">
        <f>SUM(Y48:Y48)+Y45</f>
        <v>1370</v>
      </c>
      <c r="Z49" s="59"/>
      <c r="AA49" s="59"/>
      <c r="AB49" s="12">
        <f>SUM(AB48:AB48)+AB45</f>
        <v>0.2</v>
      </c>
      <c r="AC49" s="16">
        <f>SUM(AC48:AC48)+AC45</f>
        <v>270</v>
      </c>
      <c r="AD49" s="59"/>
      <c r="AE49" s="59"/>
      <c r="AF49" s="16">
        <f>SUM(AF48:AF48)+AF45</f>
        <v>0</v>
      </c>
      <c r="AG49" s="16">
        <f>SUM(AG48:AG48)+AG45</f>
        <v>39659</v>
      </c>
      <c r="AH49" s="59"/>
      <c r="AI49" s="59"/>
      <c r="AJ49" s="59"/>
      <c r="AK49" s="16">
        <f>SUM(AK48:AK48)+AK45</f>
        <v>300</v>
      </c>
      <c r="AL49" s="12"/>
      <c r="AM49" s="12"/>
      <c r="AN49" s="16">
        <f>SUM(AN48:AN48)+AN45</f>
        <v>0.2</v>
      </c>
      <c r="AO49" s="16">
        <f>SUM(AO48:AO48)+AO45</f>
        <v>50</v>
      </c>
      <c r="AP49" s="12"/>
      <c r="AQ49" s="12"/>
      <c r="AR49" s="16">
        <f>SUM(AR48:AR48)+AR45</f>
        <v>0.05</v>
      </c>
      <c r="AS49" s="16">
        <f>SUM(AS48:AS48)+AS45</f>
        <v>200</v>
      </c>
      <c r="AT49" s="16"/>
      <c r="AU49" s="12"/>
      <c r="AV49" s="16">
        <f>SUM(AV48:AV48)+AV45</f>
        <v>0.1</v>
      </c>
      <c r="AW49" s="16">
        <f>SUM(AW48:AW48)+AW45</f>
        <v>150</v>
      </c>
      <c r="AX49" s="12"/>
      <c r="AY49" s="12"/>
      <c r="AZ49" s="16">
        <f>SUM(AZ48:AZ48)+AZ45</f>
        <v>0.05</v>
      </c>
      <c r="BA49" s="16">
        <f>SUM(BA48:BA48)+BA45</f>
        <v>6144</v>
      </c>
      <c r="BB49" s="12"/>
      <c r="BC49" s="12"/>
      <c r="BD49" s="16">
        <f>SUM(BD48:BD48)+BD45</f>
        <v>0.05</v>
      </c>
      <c r="BE49" s="16">
        <f>SUM(BE48:BE48)+BE45</f>
        <v>109</v>
      </c>
      <c r="BF49" s="16">
        <f>BF45+COUNTIF(BF48:BF48,"x")</f>
        <v>36</v>
      </c>
      <c r="BG49" s="16">
        <f>BG45+COUNTIF(BG48:BG48,"x")</f>
        <v>2</v>
      </c>
      <c r="BH49" s="16">
        <f>SUM(BH48:BH48)+BH45</f>
        <v>1</v>
      </c>
      <c r="BI49" s="16">
        <f>SUM(BI48:BI48)+BI45</f>
        <v>72</v>
      </c>
      <c r="BJ49" s="16">
        <f>BJ45+COUNTIF(BJ48:BJ48,"x")</f>
        <v>1</v>
      </c>
      <c r="BK49" s="16">
        <f>BK45+COUNTIF(BK48:BK48,"x")</f>
        <v>0</v>
      </c>
      <c r="BL49" s="16">
        <f>BL45+COUNTIF(BL48:BL48,"x")</f>
        <v>36</v>
      </c>
      <c r="BM49" s="16" t="s">
        <v>697</v>
      </c>
      <c r="BN49" s="16">
        <f>BN45+COUNTIF(BN48:BN48,"x")</f>
        <v>2</v>
      </c>
      <c r="BO49" s="16">
        <f>BO45+COUNTIF(BO48:BO48,"x")</f>
        <v>4</v>
      </c>
      <c r="BP49" s="16">
        <f>BP45+COUNTIF(BP48:BP48,"x")</f>
        <v>2</v>
      </c>
      <c r="BQ49" s="16"/>
      <c r="BR49" s="12"/>
      <c r="BS49" s="12"/>
      <c r="BT49" s="12"/>
    </row>
    <row r="50" spans="1:72">
      <c r="BE50" s="12"/>
    </row>
    <row r="51" spans="1:72" ht="13">
      <c r="A51" s="14" t="s">
        <v>700</v>
      </c>
      <c r="B51" s="33"/>
      <c r="C51" s="33"/>
      <c r="D51" s="33"/>
      <c r="BE51" s="12"/>
    </row>
    <row r="52" spans="1:72">
      <c r="A52" s="33"/>
      <c r="B52" s="33"/>
      <c r="C52" s="33"/>
      <c r="D52" s="33"/>
      <c r="BE52" s="12"/>
    </row>
    <row r="53" spans="1:72">
      <c r="A53" s="33" t="s">
        <v>431</v>
      </c>
      <c r="B53" s="33"/>
      <c r="C53" s="4" t="s">
        <v>378</v>
      </c>
      <c r="D53" s="33" t="s">
        <v>21</v>
      </c>
      <c r="E53" s="12" t="s">
        <v>701</v>
      </c>
      <c r="F53" s="82">
        <v>16</v>
      </c>
      <c r="G53" s="82">
        <v>64</v>
      </c>
      <c r="H53" s="59">
        <v>70</v>
      </c>
      <c r="I53" s="28">
        <v>16</v>
      </c>
      <c r="J53" s="82" t="s">
        <v>676</v>
      </c>
      <c r="K53" s="4" t="s">
        <v>674</v>
      </c>
      <c r="L53" s="12">
        <v>2.6</v>
      </c>
      <c r="M53" s="33"/>
      <c r="N53" s="33"/>
      <c r="O53" s="33"/>
      <c r="P53" s="33"/>
      <c r="Q53" s="33"/>
      <c r="R53" s="33"/>
      <c r="S53" s="33"/>
      <c r="T53" s="33"/>
      <c r="U53" s="33"/>
      <c r="V53" s="33"/>
      <c r="W53" s="33"/>
      <c r="X53" s="33"/>
      <c r="Y53" s="33"/>
      <c r="Z53" s="33"/>
      <c r="AA53" s="33"/>
      <c r="AB53" s="33"/>
      <c r="AC53" s="33"/>
      <c r="AD53" s="33"/>
      <c r="AE53" s="33"/>
      <c r="AF53" s="33"/>
      <c r="AG53" s="82">
        <f t="shared" ref="AG53:AG77" si="2">2*H53</f>
        <v>140</v>
      </c>
      <c r="AH53" s="82" t="s">
        <v>676</v>
      </c>
      <c r="AI53" s="4" t="s">
        <v>674</v>
      </c>
      <c r="AJ53" s="12" t="s">
        <v>670</v>
      </c>
      <c r="AK53" s="33"/>
      <c r="AL53" s="33"/>
      <c r="AM53" s="33"/>
      <c r="AN53" s="33"/>
      <c r="AO53" s="33"/>
      <c r="AP53" s="33"/>
      <c r="AQ53" s="33"/>
      <c r="AR53" s="33"/>
      <c r="AS53" s="33"/>
      <c r="AT53" s="33"/>
      <c r="AU53" s="33"/>
      <c r="AV53" s="33"/>
      <c r="AW53" s="33"/>
      <c r="AX53" s="33"/>
      <c r="AY53" s="33"/>
      <c r="AZ53" s="33"/>
      <c r="BA53" s="33"/>
      <c r="BB53" s="33"/>
      <c r="BC53" s="33"/>
      <c r="BD53" s="33"/>
      <c r="BE53" s="82">
        <v>2</v>
      </c>
      <c r="BF53" s="82" t="s">
        <v>381</v>
      </c>
      <c r="BG53" s="82"/>
      <c r="BH53" s="82"/>
      <c r="BI53" s="82">
        <v>2</v>
      </c>
      <c r="BJ53" s="82"/>
      <c r="BK53" s="82" t="s">
        <v>381</v>
      </c>
      <c r="BL53" s="82" t="s">
        <v>381</v>
      </c>
      <c r="BM53" s="82"/>
      <c r="BN53" s="82"/>
      <c r="BO53" s="82"/>
      <c r="BP53" s="82"/>
      <c r="BQ53" s="33"/>
      <c r="BR53" s="33"/>
    </row>
    <row r="54" spans="1:72">
      <c r="A54" s="33" t="s">
        <v>481</v>
      </c>
      <c r="B54" s="33"/>
      <c r="C54" s="19" t="s">
        <v>434</v>
      </c>
      <c r="D54" s="4" t="s">
        <v>89</v>
      </c>
      <c r="E54" s="12" t="s">
        <v>691</v>
      </c>
      <c r="F54" s="82">
        <v>4</v>
      </c>
      <c r="G54" s="82">
        <v>4</v>
      </c>
      <c r="H54" s="59">
        <v>100</v>
      </c>
      <c r="I54" s="28">
        <v>0</v>
      </c>
      <c r="J54" s="12" t="s">
        <v>673</v>
      </c>
      <c r="K54" s="4" t="s">
        <v>674</v>
      </c>
      <c r="L54" s="12">
        <v>100</v>
      </c>
      <c r="M54" s="33"/>
      <c r="N54" s="33"/>
      <c r="O54" s="33"/>
      <c r="P54" s="33"/>
      <c r="Q54" s="33"/>
      <c r="R54" s="33"/>
      <c r="S54" s="33"/>
      <c r="T54" s="33"/>
      <c r="U54" s="33"/>
      <c r="V54" s="33"/>
      <c r="W54" s="33"/>
      <c r="X54" s="33"/>
      <c r="Y54" s="33"/>
      <c r="Z54" s="33"/>
      <c r="AA54" s="33"/>
      <c r="AB54" s="33"/>
      <c r="AC54" s="33"/>
      <c r="AD54" s="33"/>
      <c r="AE54" s="33"/>
      <c r="AF54" s="33"/>
      <c r="AG54" s="82">
        <f t="shared" si="2"/>
        <v>200</v>
      </c>
      <c r="AH54" s="82" t="s">
        <v>676</v>
      </c>
      <c r="AI54" s="4" t="s">
        <v>674</v>
      </c>
      <c r="AJ54" s="12" t="s">
        <v>670</v>
      </c>
      <c r="AK54" s="33"/>
      <c r="AL54" s="33"/>
      <c r="AM54" s="33"/>
      <c r="AN54" s="33"/>
      <c r="AO54" s="33"/>
      <c r="AP54" s="33"/>
      <c r="AQ54" s="33"/>
      <c r="AR54" s="33"/>
      <c r="AS54" s="33"/>
      <c r="AT54" s="33"/>
      <c r="AU54" s="33"/>
      <c r="AV54" s="33"/>
      <c r="AW54" s="33"/>
      <c r="AX54" s="33"/>
      <c r="AY54" s="33"/>
      <c r="AZ54" s="33"/>
      <c r="BA54" s="33"/>
      <c r="BB54" s="33"/>
      <c r="BC54" s="33"/>
      <c r="BD54" s="33"/>
      <c r="BE54" s="82">
        <v>4</v>
      </c>
      <c r="BF54" s="82" t="s">
        <v>381</v>
      </c>
      <c r="BG54" s="82"/>
      <c r="BH54" s="82"/>
      <c r="BI54" s="82">
        <v>2</v>
      </c>
      <c r="BJ54" s="82"/>
      <c r="BK54" s="82" t="s">
        <v>381</v>
      </c>
      <c r="BL54" s="82" t="s">
        <v>381</v>
      </c>
      <c r="BM54" s="82"/>
      <c r="BN54" s="82"/>
      <c r="BO54" s="82"/>
      <c r="BP54" s="82"/>
      <c r="BQ54" s="33"/>
      <c r="BR54" s="33"/>
    </row>
    <row r="55" spans="1:72">
      <c r="A55" s="33" t="s">
        <v>437</v>
      </c>
      <c r="B55" s="33"/>
      <c r="C55" s="19" t="s">
        <v>434</v>
      </c>
      <c r="D55" s="4" t="s">
        <v>97</v>
      </c>
      <c r="E55" s="12" t="s">
        <v>692</v>
      </c>
      <c r="F55" s="82">
        <v>4</v>
      </c>
      <c r="G55" s="82">
        <v>16</v>
      </c>
      <c r="H55" s="59">
        <v>100</v>
      </c>
      <c r="I55" s="28">
        <v>0</v>
      </c>
      <c r="J55" s="12" t="s">
        <v>673</v>
      </c>
      <c r="K55" s="4" t="s">
        <v>674</v>
      </c>
      <c r="L55" s="12">
        <v>110</v>
      </c>
      <c r="M55" s="33"/>
      <c r="N55" s="33"/>
      <c r="O55" s="33"/>
      <c r="P55" s="33"/>
      <c r="Q55" s="33"/>
      <c r="R55" s="33"/>
      <c r="S55" s="33"/>
      <c r="T55" s="33"/>
      <c r="U55" s="33"/>
      <c r="V55" s="33"/>
      <c r="W55" s="33"/>
      <c r="X55" s="33"/>
      <c r="Y55" s="33"/>
      <c r="Z55" s="33"/>
      <c r="AA55" s="33"/>
      <c r="AB55" s="33"/>
      <c r="AC55" s="33"/>
      <c r="AD55" s="33"/>
      <c r="AE55" s="33"/>
      <c r="AF55" s="33"/>
      <c r="AG55" s="82">
        <f t="shared" si="2"/>
        <v>200</v>
      </c>
      <c r="AH55" s="82" t="s">
        <v>676</v>
      </c>
      <c r="AI55" s="4" t="s">
        <v>674</v>
      </c>
      <c r="AJ55" s="12" t="s">
        <v>670</v>
      </c>
      <c r="AK55" s="33"/>
      <c r="AL55" s="33"/>
      <c r="AM55" s="33"/>
      <c r="AN55" s="33"/>
      <c r="AO55" s="33"/>
      <c r="AP55" s="33"/>
      <c r="AQ55" s="33"/>
      <c r="AR55" s="33"/>
      <c r="AS55" s="33"/>
      <c r="AT55" s="33"/>
      <c r="AU55" s="33"/>
      <c r="AV55" s="33"/>
      <c r="AW55" s="33"/>
      <c r="AX55" s="33"/>
      <c r="AY55" s="33"/>
      <c r="AZ55" s="33"/>
      <c r="BA55" s="33"/>
      <c r="BB55" s="33"/>
      <c r="BC55" s="33"/>
      <c r="BD55" s="33"/>
      <c r="BE55" s="82">
        <v>4</v>
      </c>
      <c r="BF55" s="82" t="s">
        <v>381</v>
      </c>
      <c r="BG55" s="82"/>
      <c r="BH55" s="82"/>
      <c r="BI55" s="82">
        <v>2</v>
      </c>
      <c r="BJ55" s="82"/>
      <c r="BK55" s="82" t="s">
        <v>381</v>
      </c>
      <c r="BL55" s="82" t="s">
        <v>381</v>
      </c>
      <c r="BM55" s="82"/>
      <c r="BN55" s="82"/>
      <c r="BO55" s="82"/>
      <c r="BP55" s="82"/>
      <c r="BQ55" s="33"/>
      <c r="BR55" s="33"/>
    </row>
    <row r="56" spans="1:72">
      <c r="A56" s="33" t="s">
        <v>482</v>
      </c>
      <c r="B56" s="33"/>
      <c r="C56" s="19" t="s">
        <v>434</v>
      </c>
      <c r="D56" s="4" t="s">
        <v>97</v>
      </c>
      <c r="E56" s="12" t="s">
        <v>692</v>
      </c>
      <c r="F56" s="82">
        <v>4</v>
      </c>
      <c r="G56" s="82">
        <v>16</v>
      </c>
      <c r="H56" s="59">
        <v>100</v>
      </c>
      <c r="I56" s="28">
        <v>0</v>
      </c>
      <c r="J56" s="12" t="s">
        <v>673</v>
      </c>
      <c r="K56" s="4" t="s">
        <v>674</v>
      </c>
      <c r="L56" s="12">
        <v>110</v>
      </c>
      <c r="M56" s="33"/>
      <c r="N56" s="33"/>
      <c r="O56" s="33"/>
      <c r="P56" s="33"/>
      <c r="Q56" s="33"/>
      <c r="R56" s="33"/>
      <c r="S56" s="33"/>
      <c r="T56" s="33"/>
      <c r="U56" s="33"/>
      <c r="V56" s="33"/>
      <c r="W56" s="33"/>
      <c r="X56" s="33"/>
      <c r="Y56" s="33"/>
      <c r="Z56" s="33"/>
      <c r="AA56" s="33"/>
      <c r="AB56" s="33"/>
      <c r="AC56" s="33"/>
      <c r="AD56" s="33"/>
      <c r="AE56" s="33"/>
      <c r="AF56" s="33"/>
      <c r="AG56" s="82">
        <f t="shared" si="2"/>
        <v>200</v>
      </c>
      <c r="AH56" s="82" t="s">
        <v>676</v>
      </c>
      <c r="AI56" s="4" t="s">
        <v>674</v>
      </c>
      <c r="AJ56" s="12" t="s">
        <v>670</v>
      </c>
      <c r="AK56" s="33"/>
      <c r="AL56" s="33"/>
      <c r="AM56" s="33"/>
      <c r="AN56" s="33"/>
      <c r="AO56" s="33"/>
      <c r="AP56" s="33"/>
      <c r="AQ56" s="33"/>
      <c r="AR56" s="33"/>
      <c r="AS56" s="33"/>
      <c r="AT56" s="33"/>
      <c r="AU56" s="33"/>
      <c r="AV56" s="33"/>
      <c r="AW56" s="33"/>
      <c r="AX56" s="33"/>
      <c r="AY56" s="33"/>
      <c r="AZ56" s="33"/>
      <c r="BA56" s="33"/>
      <c r="BB56" s="33"/>
      <c r="BC56" s="33"/>
      <c r="BD56" s="33"/>
      <c r="BE56" s="82">
        <v>4</v>
      </c>
      <c r="BF56" s="82" t="s">
        <v>381</v>
      </c>
      <c r="BG56" s="82"/>
      <c r="BH56" s="82"/>
      <c r="BI56" s="82">
        <v>2</v>
      </c>
      <c r="BJ56" s="82"/>
      <c r="BK56" s="82" t="s">
        <v>381</v>
      </c>
      <c r="BL56" s="82" t="s">
        <v>381</v>
      </c>
      <c r="BM56" s="82"/>
      <c r="BN56" s="82"/>
      <c r="BO56" s="82"/>
      <c r="BP56" s="82"/>
      <c r="BQ56" s="33"/>
      <c r="BR56" s="33"/>
    </row>
    <row r="57" spans="1:72">
      <c r="A57" s="33" t="s">
        <v>568</v>
      </c>
      <c r="B57" s="33"/>
      <c r="C57" s="19" t="s">
        <v>434</v>
      </c>
      <c r="D57" s="4" t="s">
        <v>97</v>
      </c>
      <c r="E57" s="12" t="s">
        <v>692</v>
      </c>
      <c r="F57" s="82">
        <v>4</v>
      </c>
      <c r="G57" s="82">
        <v>16</v>
      </c>
      <c r="H57" s="59">
        <v>100</v>
      </c>
      <c r="I57" s="28">
        <v>0</v>
      </c>
      <c r="J57" s="12" t="s">
        <v>673</v>
      </c>
      <c r="K57" s="4" t="s">
        <v>674</v>
      </c>
      <c r="L57" s="12">
        <v>110</v>
      </c>
      <c r="M57" s="33"/>
      <c r="N57" s="33"/>
      <c r="O57" s="33"/>
      <c r="P57" s="33"/>
      <c r="Q57" s="33"/>
      <c r="R57" s="33"/>
      <c r="S57" s="33"/>
      <c r="T57" s="33"/>
      <c r="U57" s="33"/>
      <c r="V57" s="33"/>
      <c r="W57" s="33"/>
      <c r="X57" s="33"/>
      <c r="Y57" s="33"/>
      <c r="Z57" s="33"/>
      <c r="AA57" s="33"/>
      <c r="AB57" s="33"/>
      <c r="AC57" s="33"/>
      <c r="AD57" s="33"/>
      <c r="AE57" s="33"/>
      <c r="AF57" s="33"/>
      <c r="AG57" s="82">
        <f t="shared" si="2"/>
        <v>200</v>
      </c>
      <c r="AH57" s="82" t="s">
        <v>676</v>
      </c>
      <c r="AI57" s="4" t="s">
        <v>674</v>
      </c>
      <c r="AJ57" s="12" t="s">
        <v>670</v>
      </c>
      <c r="AK57" s="33"/>
      <c r="AL57" s="33"/>
      <c r="AM57" s="33"/>
      <c r="AN57" s="33"/>
      <c r="AO57" s="33"/>
      <c r="AP57" s="33"/>
      <c r="AQ57" s="33"/>
      <c r="AR57" s="33"/>
      <c r="AS57" s="33"/>
      <c r="AT57" s="33"/>
      <c r="AU57" s="33"/>
      <c r="AV57" s="33"/>
      <c r="AW57" s="33"/>
      <c r="AX57" s="33"/>
      <c r="AY57" s="33"/>
      <c r="AZ57" s="33"/>
      <c r="BA57" s="33"/>
      <c r="BB57" s="33"/>
      <c r="BC57" s="33"/>
      <c r="BD57" s="33"/>
      <c r="BE57" s="82">
        <v>4</v>
      </c>
      <c r="BF57" s="82" t="s">
        <v>381</v>
      </c>
      <c r="BG57" s="82"/>
      <c r="BH57" s="82"/>
      <c r="BI57" s="82">
        <v>2</v>
      </c>
      <c r="BJ57" s="82"/>
      <c r="BK57" s="82" t="s">
        <v>381</v>
      </c>
      <c r="BL57" s="82" t="s">
        <v>381</v>
      </c>
      <c r="BM57" s="82"/>
      <c r="BN57" s="82"/>
      <c r="BO57" s="82"/>
      <c r="BP57" s="82"/>
      <c r="BQ57" s="33"/>
      <c r="BR57" s="33"/>
    </row>
    <row r="58" spans="1:72">
      <c r="A58" s="33" t="s">
        <v>569</v>
      </c>
      <c r="B58" s="33"/>
      <c r="C58" s="19" t="s">
        <v>434</v>
      </c>
      <c r="D58" s="4" t="s">
        <v>97</v>
      </c>
      <c r="E58" s="12" t="s">
        <v>692</v>
      </c>
      <c r="F58" s="82">
        <v>4</v>
      </c>
      <c r="G58" s="82">
        <v>16</v>
      </c>
      <c r="H58" s="59">
        <v>100</v>
      </c>
      <c r="I58" s="28">
        <v>0</v>
      </c>
      <c r="J58" s="12" t="s">
        <v>673</v>
      </c>
      <c r="K58" s="4" t="s">
        <v>674</v>
      </c>
      <c r="L58" s="12">
        <v>110</v>
      </c>
      <c r="M58" s="33"/>
      <c r="N58" s="33"/>
      <c r="O58" s="33"/>
      <c r="P58" s="33"/>
      <c r="Q58" s="33"/>
      <c r="R58" s="33"/>
      <c r="S58" s="33"/>
      <c r="T58" s="33"/>
      <c r="U58" s="33"/>
      <c r="V58" s="33"/>
      <c r="W58" s="33"/>
      <c r="X58" s="33"/>
      <c r="Y58" s="33"/>
      <c r="Z58" s="33"/>
      <c r="AA58" s="33"/>
      <c r="AB58" s="33"/>
      <c r="AC58" s="33"/>
      <c r="AD58" s="33"/>
      <c r="AE58" s="33"/>
      <c r="AF58" s="33"/>
      <c r="AG58" s="82">
        <f t="shared" si="2"/>
        <v>200</v>
      </c>
      <c r="AH58" s="82" t="s">
        <v>676</v>
      </c>
      <c r="AI58" s="4" t="s">
        <v>674</v>
      </c>
      <c r="AJ58" s="12" t="s">
        <v>670</v>
      </c>
      <c r="AK58" s="33"/>
      <c r="AL58" s="33"/>
      <c r="AM58" s="33"/>
      <c r="AN58" s="33"/>
      <c r="AO58" s="33"/>
      <c r="AP58" s="33"/>
      <c r="AQ58" s="33"/>
      <c r="AR58" s="33"/>
      <c r="AS58" s="33"/>
      <c r="AT58" s="33"/>
      <c r="AU58" s="33"/>
      <c r="AV58" s="33"/>
      <c r="AW58" s="33"/>
      <c r="AX58" s="33"/>
      <c r="AY58" s="33"/>
      <c r="AZ58" s="33"/>
      <c r="BA58" s="33"/>
      <c r="BB58" s="33"/>
      <c r="BC58" s="33"/>
      <c r="BD58" s="33"/>
      <c r="BE58" s="82">
        <v>4</v>
      </c>
      <c r="BF58" s="82" t="s">
        <v>381</v>
      </c>
      <c r="BG58" s="82"/>
      <c r="BH58" s="82"/>
      <c r="BI58" s="82">
        <v>2</v>
      </c>
      <c r="BJ58" s="82"/>
      <c r="BK58" s="82" t="s">
        <v>381</v>
      </c>
      <c r="BL58" s="82" t="s">
        <v>381</v>
      </c>
      <c r="BM58" s="82"/>
      <c r="BN58" s="82"/>
      <c r="BO58" s="82"/>
      <c r="BP58" s="82"/>
      <c r="BQ58" s="33"/>
      <c r="BR58" s="33"/>
    </row>
    <row r="59" spans="1:72">
      <c r="A59" s="33" t="s">
        <v>592</v>
      </c>
      <c r="B59" s="33"/>
      <c r="C59" s="19" t="s">
        <v>434</v>
      </c>
      <c r="D59" s="4" t="s">
        <v>97</v>
      </c>
      <c r="E59" s="12" t="s">
        <v>692</v>
      </c>
      <c r="F59" s="82">
        <v>4</v>
      </c>
      <c r="G59" s="82">
        <v>16</v>
      </c>
      <c r="H59" s="59">
        <v>100</v>
      </c>
      <c r="I59" s="28">
        <v>0</v>
      </c>
      <c r="J59" s="12" t="s">
        <v>673</v>
      </c>
      <c r="K59" s="4" t="s">
        <v>674</v>
      </c>
      <c r="L59" s="12">
        <v>110</v>
      </c>
      <c r="M59" s="33"/>
      <c r="N59" s="33"/>
      <c r="O59" s="33"/>
      <c r="P59" s="33"/>
      <c r="Q59" s="33"/>
      <c r="R59" s="33"/>
      <c r="S59" s="33"/>
      <c r="T59" s="33"/>
      <c r="U59" s="33"/>
      <c r="V59" s="33"/>
      <c r="W59" s="33"/>
      <c r="X59" s="33"/>
      <c r="Y59" s="33"/>
      <c r="Z59" s="33"/>
      <c r="AA59" s="33"/>
      <c r="AB59" s="33"/>
      <c r="AC59" s="33"/>
      <c r="AD59" s="33"/>
      <c r="AE59" s="33"/>
      <c r="AF59" s="33"/>
      <c r="AG59" s="82">
        <f t="shared" si="2"/>
        <v>200</v>
      </c>
      <c r="AH59" s="82" t="s">
        <v>676</v>
      </c>
      <c r="AI59" s="4" t="s">
        <v>674</v>
      </c>
      <c r="AJ59" s="12" t="s">
        <v>670</v>
      </c>
      <c r="AK59" s="33"/>
      <c r="AL59" s="33"/>
      <c r="AM59" s="33"/>
      <c r="AN59" s="33"/>
      <c r="AO59" s="33"/>
      <c r="AP59" s="33"/>
      <c r="AQ59" s="33"/>
      <c r="AR59" s="33"/>
      <c r="AS59" s="33"/>
      <c r="AT59" s="33"/>
      <c r="AU59" s="33"/>
      <c r="AV59" s="33"/>
      <c r="AW59" s="33"/>
      <c r="AX59" s="33"/>
      <c r="AY59" s="33"/>
      <c r="AZ59" s="33"/>
      <c r="BA59" s="33"/>
      <c r="BB59" s="33"/>
      <c r="BC59" s="33"/>
      <c r="BD59" s="33"/>
      <c r="BE59" s="82">
        <v>4</v>
      </c>
      <c r="BF59" s="82" t="s">
        <v>381</v>
      </c>
      <c r="BG59" s="82"/>
      <c r="BH59" s="82"/>
      <c r="BI59" s="82">
        <v>2</v>
      </c>
      <c r="BJ59" s="82"/>
      <c r="BK59" s="82" t="s">
        <v>381</v>
      </c>
      <c r="BL59" s="82" t="s">
        <v>381</v>
      </c>
      <c r="BM59" s="82"/>
      <c r="BN59" s="82"/>
      <c r="BO59" s="82"/>
      <c r="BP59" s="82"/>
      <c r="BQ59" s="33"/>
      <c r="BR59" s="33"/>
    </row>
    <row r="60" spans="1:72">
      <c r="A60" s="33" t="s">
        <v>593</v>
      </c>
      <c r="B60" s="33"/>
      <c r="C60" s="19" t="s">
        <v>434</v>
      </c>
      <c r="D60" s="4" t="s">
        <v>97</v>
      </c>
      <c r="E60" s="12" t="s">
        <v>692</v>
      </c>
      <c r="F60" s="82">
        <v>4</v>
      </c>
      <c r="G60" s="82">
        <v>16</v>
      </c>
      <c r="H60" s="59">
        <v>100</v>
      </c>
      <c r="I60" s="28">
        <v>0</v>
      </c>
      <c r="J60" s="12" t="s">
        <v>673</v>
      </c>
      <c r="K60" s="4" t="s">
        <v>674</v>
      </c>
      <c r="L60" s="12">
        <v>110</v>
      </c>
      <c r="M60" s="33"/>
      <c r="N60" s="33"/>
      <c r="O60" s="33"/>
      <c r="P60" s="33"/>
      <c r="Q60" s="33"/>
      <c r="R60" s="33"/>
      <c r="S60" s="33"/>
      <c r="T60" s="33"/>
      <c r="U60" s="33"/>
      <c r="V60" s="33"/>
      <c r="W60" s="33"/>
      <c r="X60" s="33"/>
      <c r="Y60" s="33"/>
      <c r="Z60" s="33"/>
      <c r="AA60" s="33"/>
      <c r="AB60" s="33"/>
      <c r="AC60" s="33"/>
      <c r="AD60" s="33"/>
      <c r="AE60" s="33"/>
      <c r="AF60" s="33"/>
      <c r="AG60" s="82">
        <f t="shared" si="2"/>
        <v>200</v>
      </c>
      <c r="AH60" s="82" t="s">
        <v>676</v>
      </c>
      <c r="AI60" s="4" t="s">
        <v>674</v>
      </c>
      <c r="AJ60" s="12" t="s">
        <v>670</v>
      </c>
      <c r="AK60" s="33"/>
      <c r="AL60" s="33"/>
      <c r="AM60" s="33"/>
      <c r="AN60" s="33"/>
      <c r="AO60" s="33"/>
      <c r="AP60" s="33"/>
      <c r="AQ60" s="33"/>
      <c r="AR60" s="33"/>
      <c r="AS60" s="33"/>
      <c r="AT60" s="33"/>
      <c r="AU60" s="33"/>
      <c r="AV60" s="33"/>
      <c r="AW60" s="33"/>
      <c r="AX60" s="33"/>
      <c r="AY60" s="33"/>
      <c r="AZ60" s="33"/>
      <c r="BA60" s="33"/>
      <c r="BB60" s="33"/>
      <c r="BC60" s="33"/>
      <c r="BD60" s="33"/>
      <c r="BE60" s="82">
        <v>4</v>
      </c>
      <c r="BF60" s="82" t="s">
        <v>381</v>
      </c>
      <c r="BG60" s="82"/>
      <c r="BH60" s="82"/>
      <c r="BI60" s="82">
        <v>2</v>
      </c>
      <c r="BJ60" s="82"/>
      <c r="BK60" s="82" t="s">
        <v>381</v>
      </c>
      <c r="BL60" s="82" t="s">
        <v>381</v>
      </c>
      <c r="BM60" s="82"/>
      <c r="BN60" s="82"/>
      <c r="BO60" s="82"/>
      <c r="BP60" s="82"/>
      <c r="BQ60" s="33"/>
      <c r="BR60" s="33"/>
    </row>
    <row r="61" spans="1:72">
      <c r="A61" s="33" t="s">
        <v>594</v>
      </c>
      <c r="B61" s="33"/>
      <c r="C61" s="19" t="s">
        <v>434</v>
      </c>
      <c r="D61" s="4" t="s">
        <v>97</v>
      </c>
      <c r="E61" s="12" t="s">
        <v>692</v>
      </c>
      <c r="F61" s="82">
        <v>4</v>
      </c>
      <c r="G61" s="82">
        <v>16</v>
      </c>
      <c r="H61" s="59">
        <v>100</v>
      </c>
      <c r="I61" s="28">
        <v>0</v>
      </c>
      <c r="J61" s="12" t="s">
        <v>673</v>
      </c>
      <c r="K61" s="4" t="s">
        <v>674</v>
      </c>
      <c r="L61" s="12">
        <v>110</v>
      </c>
      <c r="M61" s="33"/>
      <c r="N61" s="33"/>
      <c r="O61" s="33"/>
      <c r="P61" s="33"/>
      <c r="Q61" s="33"/>
      <c r="R61" s="33"/>
      <c r="S61" s="33"/>
      <c r="T61" s="33"/>
      <c r="U61" s="33"/>
      <c r="V61" s="33"/>
      <c r="W61" s="33"/>
      <c r="X61" s="33"/>
      <c r="Y61" s="33"/>
      <c r="Z61" s="33"/>
      <c r="AA61" s="33"/>
      <c r="AB61" s="33"/>
      <c r="AC61" s="33"/>
      <c r="AD61" s="33"/>
      <c r="AE61" s="33"/>
      <c r="AF61" s="33"/>
      <c r="AG61" s="82">
        <f t="shared" si="2"/>
        <v>200</v>
      </c>
      <c r="AH61" s="82" t="s">
        <v>676</v>
      </c>
      <c r="AI61" s="4" t="s">
        <v>674</v>
      </c>
      <c r="AJ61" s="12" t="s">
        <v>670</v>
      </c>
      <c r="AK61" s="33"/>
      <c r="AL61" s="33"/>
      <c r="AM61" s="33"/>
      <c r="AN61" s="33"/>
      <c r="AO61" s="33"/>
      <c r="AP61" s="33"/>
      <c r="AQ61" s="33"/>
      <c r="AR61" s="33"/>
      <c r="AS61" s="33"/>
      <c r="AT61" s="33"/>
      <c r="AU61" s="33"/>
      <c r="AV61" s="33"/>
      <c r="AW61" s="33"/>
      <c r="AX61" s="33"/>
      <c r="AY61" s="33"/>
      <c r="AZ61" s="33"/>
      <c r="BA61" s="33"/>
      <c r="BB61" s="33"/>
      <c r="BC61" s="33"/>
      <c r="BD61" s="33"/>
      <c r="BE61" s="82">
        <v>4</v>
      </c>
      <c r="BF61" s="82" t="s">
        <v>381</v>
      </c>
      <c r="BG61" s="82"/>
      <c r="BH61" s="82"/>
      <c r="BI61" s="82">
        <v>2</v>
      </c>
      <c r="BJ61" s="82"/>
      <c r="BK61" s="82" t="s">
        <v>381</v>
      </c>
      <c r="BL61" s="82" t="s">
        <v>381</v>
      </c>
      <c r="BM61" s="82"/>
      <c r="BN61" s="82"/>
      <c r="BO61" s="82"/>
      <c r="BP61" s="82"/>
      <c r="BQ61" s="33"/>
      <c r="BR61" s="33"/>
    </row>
    <row r="62" spans="1:72">
      <c r="A62" s="33" t="s">
        <v>483</v>
      </c>
      <c r="B62" s="33"/>
      <c r="C62" s="19" t="s">
        <v>434</v>
      </c>
      <c r="D62" s="4" t="s">
        <v>93</v>
      </c>
      <c r="E62" s="12" t="s">
        <v>693</v>
      </c>
      <c r="F62" s="82">
        <v>4</v>
      </c>
      <c r="G62" s="82">
        <v>14</v>
      </c>
      <c r="H62" s="59">
        <v>120</v>
      </c>
      <c r="I62" s="28">
        <v>0</v>
      </c>
      <c r="J62" s="82" t="s">
        <v>673</v>
      </c>
      <c r="K62" s="4" t="s">
        <v>674</v>
      </c>
      <c r="L62" s="12">
        <v>100</v>
      </c>
      <c r="M62" s="33"/>
      <c r="N62" s="33"/>
      <c r="O62" s="33"/>
      <c r="P62" s="33"/>
      <c r="Q62" s="33"/>
      <c r="R62" s="33"/>
      <c r="S62" s="33"/>
      <c r="T62" s="33"/>
      <c r="U62" s="33"/>
      <c r="V62" s="33"/>
      <c r="W62" s="33"/>
      <c r="X62" s="33"/>
      <c r="Y62" s="33"/>
      <c r="Z62" s="33"/>
      <c r="AA62" s="33"/>
      <c r="AB62" s="33"/>
      <c r="AC62" s="33"/>
      <c r="AD62" s="33"/>
      <c r="AE62" s="33"/>
      <c r="AF62" s="33"/>
      <c r="AG62" s="82">
        <f t="shared" si="2"/>
        <v>240</v>
      </c>
      <c r="AH62" s="82" t="s">
        <v>676</v>
      </c>
      <c r="AI62" s="4" t="s">
        <v>674</v>
      </c>
      <c r="AJ62" s="12" t="s">
        <v>670</v>
      </c>
      <c r="AK62" s="33"/>
      <c r="AL62" s="33"/>
      <c r="AM62" s="33"/>
      <c r="AN62" s="33"/>
      <c r="AO62" s="33"/>
      <c r="AP62" s="33"/>
      <c r="AQ62" s="33"/>
      <c r="AR62" s="33"/>
      <c r="AS62" s="33"/>
      <c r="AT62" s="33"/>
      <c r="AU62" s="33"/>
      <c r="AV62" s="33"/>
      <c r="AW62" s="33"/>
      <c r="AX62" s="33"/>
      <c r="AY62" s="33"/>
      <c r="AZ62" s="33"/>
      <c r="BA62" s="33"/>
      <c r="BB62" s="33"/>
      <c r="BC62" s="33"/>
      <c r="BD62" s="33"/>
      <c r="BE62" s="82">
        <v>4</v>
      </c>
      <c r="BF62" s="82" t="s">
        <v>381</v>
      </c>
      <c r="BG62" s="82"/>
      <c r="BH62" s="82"/>
      <c r="BI62" s="82">
        <v>2</v>
      </c>
      <c r="BJ62" s="82"/>
      <c r="BK62" s="82" t="s">
        <v>381</v>
      </c>
      <c r="BL62" s="82" t="s">
        <v>381</v>
      </c>
      <c r="BM62" s="82"/>
      <c r="BN62" s="82"/>
      <c r="BO62" s="82"/>
      <c r="BP62" s="82"/>
      <c r="BQ62" s="33"/>
      <c r="BR62" s="33"/>
    </row>
    <row r="63" spans="1:72">
      <c r="A63" s="33" t="s">
        <v>595</v>
      </c>
      <c r="B63" s="33"/>
      <c r="C63" s="19" t="s">
        <v>434</v>
      </c>
      <c r="D63" s="4" t="s">
        <v>97</v>
      </c>
      <c r="E63" s="12" t="s">
        <v>692</v>
      </c>
      <c r="F63" s="82">
        <v>4</v>
      </c>
      <c r="G63" s="82">
        <v>16</v>
      </c>
      <c r="H63" s="59">
        <v>100</v>
      </c>
      <c r="I63" s="28">
        <v>0</v>
      </c>
      <c r="J63" s="12" t="s">
        <v>673</v>
      </c>
      <c r="K63" s="4" t="s">
        <v>674</v>
      </c>
      <c r="L63" s="12">
        <v>110</v>
      </c>
      <c r="M63" s="33"/>
      <c r="N63" s="33"/>
      <c r="O63" s="33"/>
      <c r="P63" s="33"/>
      <c r="Q63" s="33"/>
      <c r="R63" s="33"/>
      <c r="S63" s="33"/>
      <c r="T63" s="33"/>
      <c r="U63" s="33"/>
      <c r="V63" s="33"/>
      <c r="W63" s="33"/>
      <c r="X63" s="33"/>
      <c r="Y63" s="33"/>
      <c r="Z63" s="33"/>
      <c r="AA63" s="33"/>
      <c r="AB63" s="33"/>
      <c r="AC63" s="33"/>
      <c r="AD63" s="33"/>
      <c r="AE63" s="33"/>
      <c r="AF63" s="33"/>
      <c r="AG63" s="82">
        <f t="shared" si="2"/>
        <v>200</v>
      </c>
      <c r="AH63" s="82" t="s">
        <v>676</v>
      </c>
      <c r="AI63" s="4" t="s">
        <v>674</v>
      </c>
      <c r="AJ63" s="12" t="s">
        <v>670</v>
      </c>
      <c r="AK63" s="33"/>
      <c r="AL63" s="33"/>
      <c r="AM63" s="33"/>
      <c r="AN63" s="33"/>
      <c r="AO63" s="33"/>
      <c r="AP63" s="33"/>
      <c r="AQ63" s="33"/>
      <c r="AR63" s="33"/>
      <c r="AS63" s="33"/>
      <c r="AT63" s="33"/>
      <c r="AU63" s="33"/>
      <c r="AV63" s="33"/>
      <c r="AW63" s="33"/>
      <c r="AX63" s="33"/>
      <c r="AY63" s="33"/>
      <c r="AZ63" s="33"/>
      <c r="BA63" s="33"/>
      <c r="BB63" s="33"/>
      <c r="BC63" s="33"/>
      <c r="BD63" s="33"/>
      <c r="BE63" s="82">
        <v>4</v>
      </c>
      <c r="BF63" s="82" t="s">
        <v>381</v>
      </c>
      <c r="BG63" s="82"/>
      <c r="BH63" s="82"/>
      <c r="BI63" s="82">
        <v>2</v>
      </c>
      <c r="BJ63" s="82"/>
      <c r="BK63" s="82" t="s">
        <v>381</v>
      </c>
      <c r="BL63" s="82" t="s">
        <v>381</v>
      </c>
      <c r="BM63" s="82"/>
      <c r="BN63" s="82"/>
      <c r="BO63" s="82"/>
      <c r="BP63" s="82"/>
      <c r="BQ63" s="33"/>
      <c r="BR63" s="33"/>
    </row>
    <row r="64" spans="1:72">
      <c r="A64" s="33" t="s">
        <v>438</v>
      </c>
      <c r="B64" s="33"/>
      <c r="C64" s="4" t="s">
        <v>378</v>
      </c>
      <c r="D64" s="33" t="s">
        <v>32</v>
      </c>
      <c r="E64" s="12" t="s">
        <v>702</v>
      </c>
      <c r="F64" s="82">
        <v>6</v>
      </c>
      <c r="G64" s="82">
        <v>20</v>
      </c>
      <c r="H64" s="59">
        <v>200</v>
      </c>
      <c r="I64" s="28">
        <v>16</v>
      </c>
      <c r="J64" s="82" t="s">
        <v>676</v>
      </c>
      <c r="K64" s="4" t="s">
        <v>674</v>
      </c>
      <c r="L64" s="12">
        <v>2.6</v>
      </c>
      <c r="M64" s="33"/>
      <c r="N64" s="33"/>
      <c r="O64" s="33"/>
      <c r="P64" s="33"/>
      <c r="Q64" s="33"/>
      <c r="R64" s="33"/>
      <c r="S64" s="33"/>
      <c r="T64" s="33"/>
      <c r="U64" s="33"/>
      <c r="V64" s="33"/>
      <c r="W64" s="33"/>
      <c r="X64" s="33"/>
      <c r="Y64" s="33"/>
      <c r="Z64" s="33"/>
      <c r="AA64" s="33"/>
      <c r="AB64" s="33"/>
      <c r="AC64" s="33"/>
      <c r="AD64" s="33"/>
      <c r="AE64" s="33"/>
      <c r="AF64" s="33"/>
      <c r="AG64" s="82">
        <f t="shared" si="2"/>
        <v>400</v>
      </c>
      <c r="AH64" s="82" t="s">
        <v>676</v>
      </c>
      <c r="AI64" s="4" t="s">
        <v>674</v>
      </c>
      <c r="AJ64" s="12" t="s">
        <v>670</v>
      </c>
      <c r="AK64" s="33"/>
      <c r="AL64" s="33"/>
      <c r="AM64" s="33"/>
      <c r="AN64" s="33"/>
      <c r="AO64" s="33"/>
      <c r="AP64" s="33"/>
      <c r="AQ64" s="33"/>
      <c r="AR64" s="33"/>
      <c r="AS64" s="33"/>
      <c r="AT64" s="33"/>
      <c r="AU64" s="33"/>
      <c r="AV64" s="33"/>
      <c r="AW64" s="33"/>
      <c r="AX64" s="33"/>
      <c r="AY64" s="33"/>
      <c r="AZ64" s="33"/>
      <c r="BA64" s="33"/>
      <c r="BB64" s="33"/>
      <c r="BC64" s="33"/>
      <c r="BD64" s="33"/>
      <c r="BE64" s="82">
        <v>2</v>
      </c>
      <c r="BF64" s="82" t="s">
        <v>381</v>
      </c>
      <c r="BG64" s="82"/>
      <c r="BH64" s="82"/>
      <c r="BI64" s="82">
        <v>2</v>
      </c>
      <c r="BJ64" s="82"/>
      <c r="BK64" s="82" t="s">
        <v>381</v>
      </c>
      <c r="BL64" s="82" t="s">
        <v>381</v>
      </c>
      <c r="BM64" s="82"/>
      <c r="BN64" s="82"/>
      <c r="BO64" s="82"/>
      <c r="BP64" s="82"/>
      <c r="BQ64" s="33"/>
      <c r="BR64" s="33"/>
    </row>
    <row r="65" spans="1:70">
      <c r="A65" s="33" t="s">
        <v>439</v>
      </c>
      <c r="B65" s="33"/>
      <c r="C65" s="4" t="s">
        <v>378</v>
      </c>
      <c r="D65" s="33" t="s">
        <v>32</v>
      </c>
      <c r="E65" s="12" t="s">
        <v>702</v>
      </c>
      <c r="F65" s="82">
        <v>6</v>
      </c>
      <c r="G65" s="82">
        <v>20</v>
      </c>
      <c r="H65" s="59">
        <v>200</v>
      </c>
      <c r="I65" s="28">
        <v>16</v>
      </c>
      <c r="J65" s="82" t="s">
        <v>676</v>
      </c>
      <c r="K65" s="4" t="s">
        <v>674</v>
      </c>
      <c r="L65" s="12">
        <v>2.6</v>
      </c>
      <c r="M65" s="33"/>
      <c r="N65" s="33"/>
      <c r="O65" s="33"/>
      <c r="P65" s="33"/>
      <c r="Q65" s="33"/>
      <c r="R65" s="33"/>
      <c r="S65" s="33"/>
      <c r="T65" s="33"/>
      <c r="U65" s="33"/>
      <c r="V65" s="33"/>
      <c r="W65" s="33"/>
      <c r="X65" s="33"/>
      <c r="Y65" s="33"/>
      <c r="Z65" s="33"/>
      <c r="AA65" s="33"/>
      <c r="AB65" s="33"/>
      <c r="AC65" s="33"/>
      <c r="AD65" s="33"/>
      <c r="AE65" s="33"/>
      <c r="AF65" s="33"/>
      <c r="AG65" s="82">
        <f t="shared" si="2"/>
        <v>400</v>
      </c>
      <c r="AH65" s="82" t="s">
        <v>676</v>
      </c>
      <c r="AI65" s="4" t="s">
        <v>674</v>
      </c>
      <c r="AJ65" s="12" t="s">
        <v>670</v>
      </c>
      <c r="AK65" s="33"/>
      <c r="AL65" s="33"/>
      <c r="AM65" s="33"/>
      <c r="AN65" s="33"/>
      <c r="AO65" s="33"/>
      <c r="AP65" s="33"/>
      <c r="AQ65" s="33"/>
      <c r="AR65" s="33"/>
      <c r="AS65" s="33"/>
      <c r="AT65" s="33"/>
      <c r="AU65" s="33"/>
      <c r="AV65" s="33"/>
      <c r="AW65" s="33"/>
      <c r="AX65" s="33"/>
      <c r="AY65" s="33"/>
      <c r="AZ65" s="33"/>
      <c r="BA65" s="33"/>
      <c r="BB65" s="33"/>
      <c r="BC65" s="33"/>
      <c r="BD65" s="33"/>
      <c r="BE65" s="82">
        <v>2</v>
      </c>
      <c r="BF65" s="82" t="s">
        <v>381</v>
      </c>
      <c r="BG65" s="82"/>
      <c r="BH65" s="82"/>
      <c r="BI65" s="82">
        <v>2</v>
      </c>
      <c r="BJ65" s="82"/>
      <c r="BK65" s="82" t="s">
        <v>381</v>
      </c>
      <c r="BL65" s="82" t="s">
        <v>381</v>
      </c>
      <c r="BM65" s="82"/>
      <c r="BN65" s="82"/>
      <c r="BO65" s="82"/>
      <c r="BP65" s="82"/>
      <c r="BQ65" s="33"/>
      <c r="BR65" s="33"/>
    </row>
    <row r="66" spans="1:70">
      <c r="A66" s="33" t="s">
        <v>570</v>
      </c>
      <c r="B66" s="33"/>
      <c r="C66" s="4" t="s">
        <v>378</v>
      </c>
      <c r="D66" s="33" t="s">
        <v>32</v>
      </c>
      <c r="E66" s="12" t="s">
        <v>702</v>
      </c>
      <c r="F66" s="82">
        <v>6</v>
      </c>
      <c r="G66" s="82">
        <v>20</v>
      </c>
      <c r="H66" s="59">
        <v>200</v>
      </c>
      <c r="I66" s="28">
        <v>16</v>
      </c>
      <c r="J66" s="82" t="s">
        <v>676</v>
      </c>
      <c r="K66" s="4" t="s">
        <v>674</v>
      </c>
      <c r="L66" s="12">
        <v>2.6</v>
      </c>
      <c r="M66" s="33"/>
      <c r="N66" s="33"/>
      <c r="O66" s="33"/>
      <c r="P66" s="33"/>
      <c r="Q66" s="33"/>
      <c r="R66" s="33"/>
      <c r="S66" s="33"/>
      <c r="T66" s="33"/>
      <c r="U66" s="33"/>
      <c r="V66" s="33"/>
      <c r="W66" s="33"/>
      <c r="X66" s="33"/>
      <c r="Y66" s="33"/>
      <c r="Z66" s="33"/>
      <c r="AA66" s="33"/>
      <c r="AB66" s="33"/>
      <c r="AC66" s="33"/>
      <c r="AD66" s="33"/>
      <c r="AE66" s="33"/>
      <c r="AF66" s="33"/>
      <c r="AG66" s="82">
        <f t="shared" si="2"/>
        <v>400</v>
      </c>
      <c r="AH66" s="82" t="s">
        <v>676</v>
      </c>
      <c r="AI66" s="4" t="s">
        <v>674</v>
      </c>
      <c r="AJ66" s="12" t="s">
        <v>670</v>
      </c>
      <c r="AK66" s="33"/>
      <c r="AL66" s="33"/>
      <c r="AM66" s="33"/>
      <c r="AN66" s="33"/>
      <c r="AO66" s="33"/>
      <c r="AP66" s="33"/>
      <c r="AQ66" s="33"/>
      <c r="AR66" s="33"/>
      <c r="AS66" s="33"/>
      <c r="AT66" s="33"/>
      <c r="AU66" s="33"/>
      <c r="AV66" s="33"/>
      <c r="AW66" s="33"/>
      <c r="AX66" s="33"/>
      <c r="AY66" s="33"/>
      <c r="AZ66" s="33"/>
      <c r="BA66" s="33"/>
      <c r="BB66" s="33"/>
      <c r="BC66" s="33"/>
      <c r="BD66" s="33"/>
      <c r="BE66" s="82">
        <v>2</v>
      </c>
      <c r="BF66" s="82" t="s">
        <v>381</v>
      </c>
      <c r="BG66" s="82"/>
      <c r="BH66" s="82"/>
      <c r="BI66" s="82">
        <v>2</v>
      </c>
      <c r="BJ66" s="82"/>
      <c r="BK66" s="82" t="s">
        <v>381</v>
      </c>
      <c r="BL66" s="82" t="s">
        <v>381</v>
      </c>
      <c r="BM66" s="82"/>
      <c r="BN66" s="82"/>
      <c r="BO66" s="82"/>
      <c r="BP66" s="82"/>
      <c r="BQ66" s="33"/>
      <c r="BR66" s="33"/>
    </row>
    <row r="67" spans="1:70">
      <c r="A67" s="33" t="s">
        <v>571</v>
      </c>
      <c r="B67" s="33"/>
      <c r="C67" s="4" t="s">
        <v>378</v>
      </c>
      <c r="D67" s="33" t="s">
        <v>32</v>
      </c>
      <c r="E67" s="12" t="s">
        <v>702</v>
      </c>
      <c r="F67" s="82">
        <v>6</v>
      </c>
      <c r="G67" s="82">
        <v>20</v>
      </c>
      <c r="H67" s="59">
        <v>200</v>
      </c>
      <c r="I67" s="28">
        <v>16</v>
      </c>
      <c r="J67" s="82" t="s">
        <v>676</v>
      </c>
      <c r="K67" s="4" t="s">
        <v>674</v>
      </c>
      <c r="L67" s="12">
        <v>2.6</v>
      </c>
      <c r="M67" s="33"/>
      <c r="N67" s="33"/>
      <c r="O67" s="33"/>
      <c r="P67" s="33"/>
      <c r="Q67" s="33"/>
      <c r="R67" s="33"/>
      <c r="S67" s="33"/>
      <c r="T67" s="33"/>
      <c r="U67" s="33"/>
      <c r="V67" s="33"/>
      <c r="W67" s="33"/>
      <c r="X67" s="33"/>
      <c r="Y67" s="33"/>
      <c r="Z67" s="33"/>
      <c r="AA67" s="33"/>
      <c r="AB67" s="33"/>
      <c r="AC67" s="33"/>
      <c r="AD67" s="33"/>
      <c r="AE67" s="33"/>
      <c r="AF67" s="33"/>
      <c r="AG67" s="82">
        <f t="shared" si="2"/>
        <v>400</v>
      </c>
      <c r="AH67" s="82" t="s">
        <v>676</v>
      </c>
      <c r="AI67" s="4" t="s">
        <v>674</v>
      </c>
      <c r="AJ67" s="12" t="s">
        <v>670</v>
      </c>
      <c r="AK67" s="33"/>
      <c r="AL67" s="33"/>
      <c r="AM67" s="33"/>
      <c r="AN67" s="33"/>
      <c r="AO67" s="33"/>
      <c r="AP67" s="33"/>
      <c r="AQ67" s="33"/>
      <c r="AR67" s="33"/>
      <c r="AS67" s="33"/>
      <c r="AT67" s="33"/>
      <c r="AU67" s="33"/>
      <c r="AV67" s="33"/>
      <c r="AW67" s="33"/>
      <c r="AX67" s="33"/>
      <c r="AY67" s="33"/>
      <c r="AZ67" s="33"/>
      <c r="BA67" s="33"/>
      <c r="BB67" s="33"/>
      <c r="BC67" s="33"/>
      <c r="BD67" s="33"/>
      <c r="BE67" s="82">
        <v>2</v>
      </c>
      <c r="BF67" s="82" t="s">
        <v>381</v>
      </c>
      <c r="BG67" s="82"/>
      <c r="BH67" s="82"/>
      <c r="BI67" s="82">
        <v>2</v>
      </c>
      <c r="BJ67" s="82"/>
      <c r="BK67" s="82" t="s">
        <v>381</v>
      </c>
      <c r="BL67" s="82" t="s">
        <v>381</v>
      </c>
      <c r="BM67" s="82"/>
      <c r="BN67" s="82"/>
      <c r="BO67" s="82"/>
      <c r="BP67" s="82"/>
      <c r="BQ67" s="33"/>
      <c r="BR67" s="33"/>
    </row>
    <row r="68" spans="1:70">
      <c r="A68" s="33" t="s">
        <v>440</v>
      </c>
      <c r="B68" s="33"/>
      <c r="C68" s="4" t="s">
        <v>378</v>
      </c>
      <c r="D68" s="33" t="s">
        <v>48</v>
      </c>
      <c r="E68" s="82" t="s">
        <v>703</v>
      </c>
      <c r="F68" s="82">
        <v>4</v>
      </c>
      <c r="G68" s="82">
        <v>4</v>
      </c>
      <c r="H68" s="59">
        <v>40</v>
      </c>
      <c r="I68" s="28">
        <v>4</v>
      </c>
      <c r="J68" s="82" t="s">
        <v>676</v>
      </c>
      <c r="K68" s="4" t="s">
        <v>674</v>
      </c>
      <c r="L68" s="12">
        <v>2.6</v>
      </c>
      <c r="M68" s="33"/>
      <c r="N68" s="33"/>
      <c r="O68" s="33"/>
      <c r="P68" s="33"/>
      <c r="Q68" s="33"/>
      <c r="R68" s="33"/>
      <c r="S68" s="33"/>
      <c r="T68" s="33"/>
      <c r="U68" s="33"/>
      <c r="V68" s="33"/>
      <c r="W68" s="33"/>
      <c r="X68" s="33"/>
      <c r="Y68" s="33"/>
      <c r="Z68" s="33"/>
      <c r="AA68" s="33"/>
      <c r="AB68" s="33"/>
      <c r="AC68" s="33"/>
      <c r="AD68" s="33"/>
      <c r="AE68" s="33"/>
      <c r="AF68" s="33"/>
      <c r="AG68" s="82">
        <f t="shared" si="2"/>
        <v>80</v>
      </c>
      <c r="AH68" s="82" t="s">
        <v>676</v>
      </c>
      <c r="AI68" s="4" t="s">
        <v>674</v>
      </c>
      <c r="AJ68" s="12" t="s">
        <v>670</v>
      </c>
      <c r="AK68" s="33"/>
      <c r="AL68" s="33"/>
      <c r="AM68" s="33"/>
      <c r="AN68" s="33"/>
      <c r="AO68" s="33"/>
      <c r="AP68" s="33"/>
      <c r="AQ68" s="33"/>
      <c r="AR68" s="33"/>
      <c r="AS68" s="33"/>
      <c r="AT68" s="33"/>
      <c r="AU68" s="33"/>
      <c r="AV68" s="33"/>
      <c r="AW68" s="33"/>
      <c r="AX68" s="33"/>
      <c r="AY68" s="33"/>
      <c r="AZ68" s="33"/>
      <c r="BA68" s="33"/>
      <c r="BB68" s="33"/>
      <c r="BC68" s="33"/>
      <c r="BD68" s="33"/>
      <c r="BE68" s="82">
        <v>2</v>
      </c>
      <c r="BF68" s="82" t="s">
        <v>381</v>
      </c>
      <c r="BG68" s="82"/>
      <c r="BH68" s="82"/>
      <c r="BI68" s="82">
        <v>2</v>
      </c>
      <c r="BJ68" s="82"/>
      <c r="BK68" s="82" t="s">
        <v>381</v>
      </c>
      <c r="BL68" s="82" t="s">
        <v>381</v>
      </c>
      <c r="BM68" s="82"/>
      <c r="BN68" s="82"/>
      <c r="BO68" s="82"/>
      <c r="BP68" s="82"/>
      <c r="BQ68" s="33"/>
      <c r="BR68" s="33"/>
    </row>
    <row r="69" spans="1:70">
      <c r="A69" s="33" t="s">
        <v>441</v>
      </c>
      <c r="B69" s="33"/>
      <c r="C69" s="4" t="s">
        <v>378</v>
      </c>
      <c r="D69" s="33" t="s">
        <v>40</v>
      </c>
      <c r="E69" s="82" t="s">
        <v>703</v>
      </c>
      <c r="F69" s="82">
        <v>4</v>
      </c>
      <c r="G69" s="82">
        <v>4</v>
      </c>
      <c r="H69" s="59">
        <v>30</v>
      </c>
      <c r="I69" s="28">
        <v>4</v>
      </c>
      <c r="J69" s="82" t="s">
        <v>676</v>
      </c>
      <c r="K69" s="4" t="s">
        <v>674</v>
      </c>
      <c r="L69" s="12">
        <v>2.6</v>
      </c>
      <c r="M69" s="33"/>
      <c r="N69" s="33"/>
      <c r="O69" s="33"/>
      <c r="P69" s="33"/>
      <c r="Q69" s="33"/>
      <c r="R69" s="33"/>
      <c r="S69" s="33"/>
      <c r="T69" s="33"/>
      <c r="U69" s="33"/>
      <c r="V69" s="33"/>
      <c r="W69" s="33"/>
      <c r="X69" s="33"/>
      <c r="Y69" s="33"/>
      <c r="Z69" s="33"/>
      <c r="AA69" s="33"/>
      <c r="AB69" s="33"/>
      <c r="AC69" s="33"/>
      <c r="AD69" s="33"/>
      <c r="AE69" s="33"/>
      <c r="AF69" s="33"/>
      <c r="AG69" s="82">
        <f t="shared" si="2"/>
        <v>60</v>
      </c>
      <c r="AH69" s="82" t="s">
        <v>676</v>
      </c>
      <c r="AI69" s="4" t="s">
        <v>674</v>
      </c>
      <c r="AJ69" s="12" t="s">
        <v>670</v>
      </c>
      <c r="AK69" s="33"/>
      <c r="AL69" s="33"/>
      <c r="AM69" s="33"/>
      <c r="AN69" s="33"/>
      <c r="AO69" s="33"/>
      <c r="AP69" s="33"/>
      <c r="AQ69" s="33"/>
      <c r="AR69" s="33"/>
      <c r="AS69" s="33"/>
      <c r="AT69" s="33"/>
      <c r="AU69" s="33"/>
      <c r="AV69" s="33"/>
      <c r="AW69" s="33"/>
      <c r="AX69" s="33"/>
      <c r="AY69" s="33"/>
      <c r="AZ69" s="33"/>
      <c r="BA69" s="33"/>
      <c r="BB69" s="33"/>
      <c r="BC69" s="33"/>
      <c r="BD69" s="33"/>
      <c r="BE69" s="82">
        <v>2</v>
      </c>
      <c r="BF69" s="82" t="s">
        <v>381</v>
      </c>
      <c r="BG69" s="82"/>
      <c r="BH69" s="82"/>
      <c r="BI69" s="82">
        <v>2</v>
      </c>
      <c r="BJ69" s="82"/>
      <c r="BK69" s="82" t="s">
        <v>381</v>
      </c>
      <c r="BL69" s="82" t="s">
        <v>381</v>
      </c>
      <c r="BM69" s="82"/>
      <c r="BN69" s="82"/>
      <c r="BO69" s="82"/>
      <c r="BP69" s="82"/>
      <c r="BQ69" s="33"/>
      <c r="BR69" s="33"/>
    </row>
    <row r="70" spans="1:70">
      <c r="A70" s="33" t="s">
        <v>442</v>
      </c>
      <c r="B70" s="33"/>
      <c r="C70" s="4" t="s">
        <v>378</v>
      </c>
      <c r="D70" s="33" t="s">
        <v>44</v>
      </c>
      <c r="E70" s="82" t="s">
        <v>703</v>
      </c>
      <c r="F70" s="82">
        <v>4</v>
      </c>
      <c r="G70" s="82">
        <v>4</v>
      </c>
      <c r="H70" s="59">
        <v>35</v>
      </c>
      <c r="I70" s="28">
        <v>4</v>
      </c>
      <c r="J70" s="82" t="s">
        <v>676</v>
      </c>
      <c r="K70" s="4" t="s">
        <v>674</v>
      </c>
      <c r="L70" s="12">
        <v>2.6</v>
      </c>
      <c r="M70" s="33"/>
      <c r="N70" s="33"/>
      <c r="O70" s="33"/>
      <c r="P70" s="33"/>
      <c r="Q70" s="33"/>
      <c r="R70" s="33"/>
      <c r="S70" s="33"/>
      <c r="T70" s="33"/>
      <c r="U70" s="33"/>
      <c r="V70" s="33"/>
      <c r="W70" s="33"/>
      <c r="X70" s="33"/>
      <c r="Y70" s="33"/>
      <c r="Z70" s="33"/>
      <c r="AA70" s="33"/>
      <c r="AB70" s="33"/>
      <c r="AC70" s="33"/>
      <c r="AD70" s="33"/>
      <c r="AE70" s="33"/>
      <c r="AF70" s="33"/>
      <c r="AG70" s="82">
        <f t="shared" si="2"/>
        <v>70</v>
      </c>
      <c r="AH70" s="82" t="s">
        <v>676</v>
      </c>
      <c r="AI70" s="4" t="s">
        <v>674</v>
      </c>
      <c r="AJ70" s="12" t="s">
        <v>670</v>
      </c>
      <c r="AK70" s="33"/>
      <c r="AL70" s="33"/>
      <c r="AM70" s="33"/>
      <c r="AN70" s="33"/>
      <c r="AO70" s="33"/>
      <c r="AP70" s="33"/>
      <c r="AQ70" s="33"/>
      <c r="AR70" s="33"/>
      <c r="AS70" s="33"/>
      <c r="AT70" s="33"/>
      <c r="AU70" s="33"/>
      <c r="AV70" s="33"/>
      <c r="AW70" s="33"/>
      <c r="AX70" s="33"/>
      <c r="AY70" s="33"/>
      <c r="AZ70" s="33"/>
      <c r="BA70" s="33"/>
      <c r="BB70" s="33"/>
      <c r="BC70" s="33"/>
      <c r="BD70" s="33"/>
      <c r="BE70" s="82">
        <v>2</v>
      </c>
      <c r="BF70" s="82" t="s">
        <v>381</v>
      </c>
      <c r="BG70" s="82"/>
      <c r="BH70" s="82"/>
      <c r="BI70" s="82">
        <v>2</v>
      </c>
      <c r="BJ70" s="82"/>
      <c r="BK70" s="82" t="s">
        <v>381</v>
      </c>
      <c r="BL70" s="82" t="s">
        <v>381</v>
      </c>
      <c r="BM70" s="82"/>
      <c r="BN70" s="82"/>
      <c r="BO70" s="82"/>
      <c r="BP70" s="82"/>
      <c r="BQ70" s="33"/>
      <c r="BR70" s="33"/>
    </row>
    <row r="71" spans="1:70" ht="14.5">
      <c r="A71" s="33" t="s">
        <v>443</v>
      </c>
      <c r="B71" s="33"/>
      <c r="C71" s="4" t="s">
        <v>378</v>
      </c>
      <c r="D71" s="33" t="s">
        <v>247</v>
      </c>
      <c r="E71" s="82" t="s">
        <v>704</v>
      </c>
      <c r="F71" s="82">
        <v>7</v>
      </c>
      <c r="G71" s="82">
        <v>8</v>
      </c>
      <c r="H71" s="59">
        <v>110</v>
      </c>
      <c r="I71" s="28">
        <v>4</v>
      </c>
      <c r="J71" s="82" t="s">
        <v>676</v>
      </c>
      <c r="K71" s="4" t="s">
        <v>674</v>
      </c>
      <c r="L71" s="12">
        <v>2.6</v>
      </c>
      <c r="M71" s="82"/>
      <c r="N71" s="82"/>
      <c r="O71" s="82"/>
      <c r="P71" s="82"/>
      <c r="Q71" s="42"/>
      <c r="R71" s="42"/>
      <c r="S71" s="42"/>
      <c r="T71" s="42"/>
      <c r="U71" s="82"/>
      <c r="V71" s="82"/>
      <c r="W71" s="82"/>
      <c r="X71" s="82"/>
      <c r="Y71" s="82"/>
      <c r="Z71" s="82"/>
      <c r="AA71" s="82"/>
      <c r="AB71" s="82"/>
      <c r="AC71" s="82"/>
      <c r="AD71" s="82"/>
      <c r="AE71" s="82"/>
      <c r="AF71" s="82"/>
      <c r="AG71" s="82">
        <f t="shared" si="2"/>
        <v>220</v>
      </c>
      <c r="AH71" s="82" t="s">
        <v>676</v>
      </c>
      <c r="AI71" s="4" t="s">
        <v>674</v>
      </c>
      <c r="AJ71" s="12" t="s">
        <v>670</v>
      </c>
      <c r="AK71" s="82"/>
      <c r="AL71" s="82"/>
      <c r="AM71" s="82"/>
      <c r="AN71" s="82"/>
      <c r="AO71" s="82"/>
      <c r="AP71" s="82"/>
      <c r="AQ71" s="82"/>
      <c r="AR71" s="82"/>
      <c r="AS71" s="82"/>
      <c r="AT71" s="82"/>
      <c r="AU71" s="82"/>
      <c r="AV71" s="82"/>
      <c r="AW71" s="82"/>
      <c r="AX71" s="82"/>
      <c r="AY71" s="82"/>
      <c r="AZ71" s="82"/>
      <c r="BA71" s="82"/>
      <c r="BB71" s="82"/>
      <c r="BC71" s="82"/>
      <c r="BD71" s="82"/>
      <c r="BE71" s="82">
        <v>2</v>
      </c>
      <c r="BF71" s="82" t="s">
        <v>381</v>
      </c>
      <c r="BG71" s="82" t="s">
        <v>381</v>
      </c>
      <c r="BH71" s="82"/>
      <c r="BI71" s="82">
        <v>2</v>
      </c>
      <c r="BJ71" s="82"/>
      <c r="BK71" s="82" t="s">
        <v>381</v>
      </c>
      <c r="BL71" s="82" t="s">
        <v>381</v>
      </c>
      <c r="BM71" s="82"/>
      <c r="BN71" s="82"/>
      <c r="BO71" s="82"/>
      <c r="BP71" s="82"/>
      <c r="BQ71" s="33"/>
      <c r="BR71" s="33"/>
    </row>
    <row r="72" spans="1:70" ht="14.5">
      <c r="A72" s="33" t="s">
        <v>596</v>
      </c>
      <c r="B72" s="33"/>
      <c r="C72" s="4" t="s">
        <v>378</v>
      </c>
      <c r="D72" s="33" t="s">
        <v>247</v>
      </c>
      <c r="E72" s="82" t="s">
        <v>704</v>
      </c>
      <c r="F72" s="82">
        <v>6</v>
      </c>
      <c r="G72" s="82">
        <v>7</v>
      </c>
      <c r="H72" s="59">
        <v>110</v>
      </c>
      <c r="I72" s="28">
        <v>4</v>
      </c>
      <c r="J72" s="82" t="s">
        <v>676</v>
      </c>
      <c r="K72" s="4" t="s">
        <v>674</v>
      </c>
      <c r="L72" s="12">
        <v>2.6</v>
      </c>
      <c r="M72" s="82"/>
      <c r="N72" s="82"/>
      <c r="O72" s="82"/>
      <c r="P72" s="82"/>
      <c r="Q72" s="42"/>
      <c r="R72" s="42"/>
      <c r="S72" s="42"/>
      <c r="T72" s="42"/>
      <c r="U72" s="82"/>
      <c r="V72" s="82"/>
      <c r="W72" s="82"/>
      <c r="X72" s="82"/>
      <c r="Y72" s="82"/>
      <c r="Z72" s="82"/>
      <c r="AA72" s="82"/>
      <c r="AB72" s="82"/>
      <c r="AC72" s="82"/>
      <c r="AD72" s="82"/>
      <c r="AE72" s="82"/>
      <c r="AF72" s="82"/>
      <c r="AG72" s="82">
        <f t="shared" si="2"/>
        <v>220</v>
      </c>
      <c r="AH72" s="82" t="s">
        <v>676</v>
      </c>
      <c r="AI72" s="4" t="s">
        <v>674</v>
      </c>
      <c r="AJ72" s="12" t="s">
        <v>670</v>
      </c>
      <c r="AK72" s="82"/>
      <c r="AL72" s="82"/>
      <c r="AM72" s="82"/>
      <c r="AN72" s="82"/>
      <c r="AO72" s="82"/>
      <c r="AP72" s="82"/>
      <c r="AQ72" s="82"/>
      <c r="AR72" s="82"/>
      <c r="AS72" s="82"/>
      <c r="AT72" s="82"/>
      <c r="AU72" s="82"/>
      <c r="AV72" s="82"/>
      <c r="AW72" s="82"/>
      <c r="AX72" s="82"/>
      <c r="AY72" s="82"/>
      <c r="AZ72" s="82"/>
      <c r="BA72" s="82"/>
      <c r="BB72" s="82"/>
      <c r="BC72" s="82"/>
      <c r="BD72" s="82"/>
      <c r="BE72" s="82">
        <v>2</v>
      </c>
      <c r="BF72" s="82" t="s">
        <v>381</v>
      </c>
      <c r="BG72" s="82"/>
      <c r="BH72" s="82"/>
      <c r="BI72" s="82">
        <v>2</v>
      </c>
      <c r="BJ72" s="82"/>
      <c r="BK72" s="82" t="s">
        <v>381</v>
      </c>
      <c r="BL72" s="82" t="s">
        <v>381</v>
      </c>
      <c r="BM72" s="82"/>
      <c r="BN72" s="82"/>
      <c r="BO72" s="82"/>
      <c r="BP72" s="82"/>
      <c r="BQ72" s="33"/>
      <c r="BR72" s="33"/>
    </row>
    <row r="73" spans="1:70" ht="14.5">
      <c r="A73" s="4" t="s">
        <v>484</v>
      </c>
      <c r="C73" s="4" t="s">
        <v>378</v>
      </c>
      <c r="D73" s="4" t="s">
        <v>67</v>
      </c>
      <c r="E73" s="12" t="s">
        <v>705</v>
      </c>
      <c r="F73" s="12">
        <v>2</v>
      </c>
      <c r="G73" s="12">
        <v>2</v>
      </c>
      <c r="H73" s="59">
        <v>15</v>
      </c>
      <c r="I73" s="28">
        <v>4</v>
      </c>
      <c r="J73" s="12" t="s">
        <v>676</v>
      </c>
      <c r="K73" s="4" t="s">
        <v>674</v>
      </c>
      <c r="L73" s="12">
        <v>2.6</v>
      </c>
      <c r="M73" s="12"/>
      <c r="N73" s="12"/>
      <c r="O73" s="12"/>
      <c r="P73" s="12"/>
      <c r="Q73" s="1"/>
      <c r="R73" s="1"/>
      <c r="S73" s="1"/>
      <c r="T73" s="1"/>
      <c r="U73" s="12"/>
      <c r="V73" s="12"/>
      <c r="W73" s="12"/>
      <c r="X73" s="12"/>
      <c r="Y73" s="12"/>
      <c r="Z73" s="12"/>
      <c r="AA73" s="12"/>
      <c r="AB73" s="12"/>
      <c r="AC73" s="12"/>
      <c r="AD73" s="12"/>
      <c r="AE73" s="12"/>
      <c r="AF73" s="12"/>
      <c r="AG73" s="59">
        <f t="shared" si="2"/>
        <v>30</v>
      </c>
      <c r="AH73" s="12" t="s">
        <v>676</v>
      </c>
      <c r="AI73" s="4" t="s">
        <v>674</v>
      </c>
      <c r="AJ73" s="12" t="s">
        <v>670</v>
      </c>
      <c r="BE73" s="12">
        <v>2</v>
      </c>
      <c r="BF73" s="12" t="s">
        <v>381</v>
      </c>
      <c r="BG73" s="12"/>
      <c r="BH73" s="12"/>
      <c r="BI73" s="12">
        <v>2</v>
      </c>
      <c r="BJ73" s="12"/>
      <c r="BK73" s="12" t="s">
        <v>381</v>
      </c>
      <c r="BL73" s="12" t="s">
        <v>381</v>
      </c>
      <c r="BM73" s="12"/>
      <c r="BN73" s="12"/>
      <c r="BO73" s="12"/>
      <c r="BQ73" s="33"/>
      <c r="BR73" s="33"/>
    </row>
    <row r="74" spans="1:70" ht="14.5">
      <c r="A74" s="4" t="s">
        <v>485</v>
      </c>
      <c r="C74" s="4" t="s">
        <v>378</v>
      </c>
      <c r="D74" s="4" t="s">
        <v>67</v>
      </c>
      <c r="E74" s="12" t="s">
        <v>705</v>
      </c>
      <c r="F74" s="12">
        <v>2</v>
      </c>
      <c r="G74" s="12">
        <v>2</v>
      </c>
      <c r="H74" s="59">
        <v>15</v>
      </c>
      <c r="I74" s="28">
        <v>4</v>
      </c>
      <c r="J74" s="12" t="s">
        <v>676</v>
      </c>
      <c r="K74" s="4" t="s">
        <v>674</v>
      </c>
      <c r="L74" s="12">
        <v>2.6</v>
      </c>
      <c r="M74" s="12"/>
      <c r="N74" s="12"/>
      <c r="O74" s="12"/>
      <c r="P74" s="12"/>
      <c r="Q74" s="1"/>
      <c r="R74" s="1"/>
      <c r="S74" s="1"/>
      <c r="T74" s="1"/>
      <c r="U74" s="12"/>
      <c r="V74" s="12"/>
      <c r="W74" s="12"/>
      <c r="X74" s="12"/>
      <c r="Y74" s="12"/>
      <c r="Z74" s="12"/>
      <c r="AA74" s="12"/>
      <c r="AB74" s="12"/>
      <c r="AC74" s="12"/>
      <c r="AD74" s="12"/>
      <c r="AE74" s="12"/>
      <c r="AF74" s="12"/>
      <c r="AG74" s="59">
        <f t="shared" si="2"/>
        <v>30</v>
      </c>
      <c r="AH74" s="12" t="s">
        <v>676</v>
      </c>
      <c r="AI74" s="4" t="s">
        <v>674</v>
      </c>
      <c r="AJ74" s="12" t="s">
        <v>670</v>
      </c>
      <c r="BE74" s="12">
        <v>2</v>
      </c>
      <c r="BF74" s="12" t="s">
        <v>381</v>
      </c>
      <c r="BG74" s="12"/>
      <c r="BH74" s="12"/>
      <c r="BI74" s="12">
        <v>2</v>
      </c>
      <c r="BJ74" s="12"/>
      <c r="BK74" s="12" t="s">
        <v>381</v>
      </c>
      <c r="BL74" s="12" t="s">
        <v>381</v>
      </c>
      <c r="BM74" s="12"/>
      <c r="BN74" s="12"/>
      <c r="BO74" s="12"/>
      <c r="BQ74" s="33"/>
      <c r="BR74" s="33"/>
    </row>
    <row r="75" spans="1:70" ht="14.5">
      <c r="A75" s="4" t="s">
        <v>486</v>
      </c>
      <c r="C75" s="4" t="s">
        <v>378</v>
      </c>
      <c r="D75" s="4" t="s">
        <v>71</v>
      </c>
      <c r="E75" s="12" t="s">
        <v>721</v>
      </c>
      <c r="F75" s="12">
        <v>6</v>
      </c>
      <c r="G75" s="12">
        <v>5</v>
      </c>
      <c r="H75" s="59">
        <v>40</v>
      </c>
      <c r="I75" s="28">
        <v>4</v>
      </c>
      <c r="J75" s="12" t="s">
        <v>676</v>
      </c>
      <c r="K75" s="4" t="s">
        <v>674</v>
      </c>
      <c r="L75" s="12">
        <v>2.6</v>
      </c>
      <c r="M75" s="12"/>
      <c r="N75" s="12"/>
      <c r="O75" s="12"/>
      <c r="P75" s="12"/>
      <c r="Q75" s="1"/>
      <c r="R75" s="1"/>
      <c r="S75" s="1"/>
      <c r="T75" s="1"/>
      <c r="U75" s="12"/>
      <c r="V75" s="12"/>
      <c r="W75" s="12"/>
      <c r="X75" s="12"/>
      <c r="Y75" s="12"/>
      <c r="Z75" s="12"/>
      <c r="AA75" s="12"/>
      <c r="AB75" s="12"/>
      <c r="AC75" s="12"/>
      <c r="AD75" s="12"/>
      <c r="AE75" s="12"/>
      <c r="AF75" s="12"/>
      <c r="AG75" s="59">
        <f t="shared" si="2"/>
        <v>80</v>
      </c>
      <c r="AH75" s="12" t="s">
        <v>676</v>
      </c>
      <c r="AI75" s="4" t="s">
        <v>674</v>
      </c>
      <c r="AJ75" s="12" t="s">
        <v>670</v>
      </c>
      <c r="BE75" s="12">
        <v>2</v>
      </c>
      <c r="BF75" s="12" t="s">
        <v>381</v>
      </c>
      <c r="BG75" s="12"/>
      <c r="BH75" s="12"/>
      <c r="BI75" s="12">
        <v>2</v>
      </c>
      <c r="BJ75" s="12"/>
      <c r="BK75" s="12" t="s">
        <v>381</v>
      </c>
      <c r="BL75" s="12" t="s">
        <v>381</v>
      </c>
      <c r="BM75" s="12"/>
      <c r="BN75" s="12"/>
      <c r="BO75" s="12"/>
      <c r="BQ75" s="33"/>
      <c r="BR75" s="33"/>
    </row>
    <row r="76" spans="1:70" ht="14.5">
      <c r="A76" s="4" t="s">
        <v>487</v>
      </c>
      <c r="C76" s="4" t="s">
        <v>378</v>
      </c>
      <c r="D76" s="4" t="s">
        <v>75</v>
      </c>
      <c r="E76" s="12" t="s">
        <v>707</v>
      </c>
      <c r="F76" s="12">
        <v>2</v>
      </c>
      <c r="G76" s="12">
        <v>2</v>
      </c>
      <c r="H76" s="59">
        <v>30</v>
      </c>
      <c r="I76" s="28">
        <v>4</v>
      </c>
      <c r="J76" s="12" t="s">
        <v>676</v>
      </c>
      <c r="K76" s="4" t="s">
        <v>674</v>
      </c>
      <c r="L76" s="12">
        <v>2.6</v>
      </c>
      <c r="M76" s="12"/>
      <c r="N76" s="12"/>
      <c r="O76" s="12"/>
      <c r="P76" s="12"/>
      <c r="Q76" s="1"/>
      <c r="R76" s="1"/>
      <c r="S76" s="1"/>
      <c r="T76" s="1"/>
      <c r="U76" s="12"/>
      <c r="V76" s="12"/>
      <c r="W76" s="12"/>
      <c r="X76" s="12"/>
      <c r="Y76" s="12"/>
      <c r="Z76" s="12"/>
      <c r="AA76" s="12"/>
      <c r="AB76" s="12"/>
      <c r="AC76" s="12"/>
      <c r="AD76" s="12"/>
      <c r="AE76" s="12"/>
      <c r="AF76" s="12"/>
      <c r="AG76" s="59">
        <f t="shared" si="2"/>
        <v>60</v>
      </c>
      <c r="AH76" s="12" t="s">
        <v>676</v>
      </c>
      <c r="AI76" s="4" t="s">
        <v>674</v>
      </c>
      <c r="AJ76" s="12" t="s">
        <v>670</v>
      </c>
      <c r="BE76" s="12">
        <v>2</v>
      </c>
      <c r="BF76" s="12" t="s">
        <v>381</v>
      </c>
      <c r="BG76" s="12"/>
      <c r="BH76" s="12"/>
      <c r="BI76" s="12">
        <v>2</v>
      </c>
      <c r="BJ76" s="12"/>
      <c r="BK76" s="12" t="s">
        <v>381</v>
      </c>
      <c r="BL76" s="12" t="s">
        <v>381</v>
      </c>
      <c r="BM76" s="12"/>
      <c r="BN76" s="12"/>
      <c r="BO76" s="12"/>
      <c r="BQ76" s="33"/>
      <c r="BR76" s="33"/>
    </row>
    <row r="77" spans="1:70" s="17" customFormat="1" ht="14.5">
      <c r="A77" s="17" t="s">
        <v>490</v>
      </c>
      <c r="C77" s="17" t="s">
        <v>378</v>
      </c>
      <c r="D77" s="17" t="s">
        <v>99</v>
      </c>
      <c r="E77" s="15" t="s">
        <v>708</v>
      </c>
      <c r="F77" s="15">
        <v>2</v>
      </c>
      <c r="G77" s="15">
        <v>10</v>
      </c>
      <c r="H77" s="65">
        <v>60</v>
      </c>
      <c r="I77" s="76">
        <v>16</v>
      </c>
      <c r="J77" s="15" t="s">
        <v>676</v>
      </c>
      <c r="K77" s="17" t="s">
        <v>674</v>
      </c>
      <c r="L77" s="15">
        <v>2.6</v>
      </c>
      <c r="M77" s="15"/>
      <c r="N77" s="15"/>
      <c r="O77" s="15"/>
      <c r="P77" s="15"/>
      <c r="Q77" s="96"/>
      <c r="R77" s="96"/>
      <c r="S77" s="96"/>
      <c r="T77" s="96"/>
      <c r="U77" s="15"/>
      <c r="V77" s="15"/>
      <c r="W77" s="15"/>
      <c r="X77" s="15"/>
      <c r="Y77" s="15"/>
      <c r="Z77" s="15"/>
      <c r="AA77" s="15"/>
      <c r="AB77" s="15"/>
      <c r="AC77" s="15"/>
      <c r="AD77" s="15"/>
      <c r="AE77" s="15"/>
      <c r="AF77" s="15"/>
      <c r="AG77" s="65">
        <f t="shared" si="2"/>
        <v>120</v>
      </c>
      <c r="AH77" s="15" t="s">
        <v>676</v>
      </c>
      <c r="AI77" s="17" t="s">
        <v>674</v>
      </c>
      <c r="AJ77" s="15" t="s">
        <v>670</v>
      </c>
      <c r="BE77" s="15">
        <v>2</v>
      </c>
      <c r="BF77" s="15" t="s">
        <v>381</v>
      </c>
      <c r="BG77" s="15"/>
      <c r="BH77" s="15"/>
      <c r="BI77" s="15">
        <v>2</v>
      </c>
      <c r="BJ77" s="15"/>
      <c r="BK77" s="15" t="s">
        <v>381</v>
      </c>
      <c r="BL77" s="15" t="s">
        <v>381</v>
      </c>
      <c r="BM77" s="15"/>
      <c r="BN77" s="15"/>
      <c r="BO77" s="15"/>
      <c r="BQ77" s="43"/>
      <c r="BR77" s="43"/>
    </row>
    <row r="78" spans="1:70">
      <c r="A78" s="33"/>
      <c r="B78" s="33"/>
      <c r="C78" s="33"/>
      <c r="D78" s="33"/>
      <c r="E78" s="12"/>
      <c r="F78" s="82">
        <f>SUM(F53:F77)+F49</f>
        <v>379</v>
      </c>
      <c r="G78" s="82">
        <f>SUM(G53:G77)+G49</f>
        <v>1153</v>
      </c>
      <c r="H78" s="82">
        <f>SUM(H53:H77)+H49</f>
        <v>5756</v>
      </c>
      <c r="I78" s="132"/>
      <c r="J78" s="82"/>
      <c r="K78" s="82"/>
      <c r="L78" s="82">
        <f>SUM(L53:L77)+L49</f>
        <v>1525.3999999999987</v>
      </c>
      <c r="M78" s="82">
        <f>SUM(M53:M77)+M49</f>
        <v>460</v>
      </c>
      <c r="N78" s="82"/>
      <c r="O78" s="82"/>
      <c r="P78" s="82">
        <f>SUM(P53:P77)+P49</f>
        <v>0.05</v>
      </c>
      <c r="Q78" s="82">
        <f>SUM(Q53:Q77)+Q49</f>
        <v>15200</v>
      </c>
      <c r="R78" s="82"/>
      <c r="S78" s="82"/>
      <c r="T78" s="82">
        <f>SUM(T53:T77)+T49</f>
        <v>0.05</v>
      </c>
      <c r="U78" s="82">
        <f>SUM(U53:U77)+U49</f>
        <v>16600</v>
      </c>
      <c r="V78" s="82"/>
      <c r="W78" s="82"/>
      <c r="X78" s="82">
        <f>SUM(X53:X77)+X49</f>
        <v>0.05</v>
      </c>
      <c r="Y78" s="82">
        <f>SUM(Y53:Y77)+Y49</f>
        <v>1370</v>
      </c>
      <c r="Z78" s="82"/>
      <c r="AA78" s="82"/>
      <c r="AB78" s="82">
        <f>SUM(AB53:AB77)+AB49</f>
        <v>0.2</v>
      </c>
      <c r="AC78" s="82">
        <f>SUM(AC53:AC77)+AC49</f>
        <v>270</v>
      </c>
      <c r="AD78" s="82"/>
      <c r="AE78" s="82"/>
      <c r="AF78" s="82">
        <f>SUM(AF53:AF77)+AF45</f>
        <v>0</v>
      </c>
      <c r="AG78" s="82">
        <f>SUM(AG53:AG77)+AG49</f>
        <v>44409</v>
      </c>
      <c r="AH78" s="82"/>
      <c r="AI78" s="82"/>
      <c r="AJ78" s="82"/>
      <c r="AK78" s="82">
        <f>SUM(AK53:AK77)+AK49</f>
        <v>300</v>
      </c>
      <c r="AL78" s="82"/>
      <c r="AM78" s="82"/>
      <c r="AN78" s="82">
        <f>SUM(AN53:AN77)+AN49</f>
        <v>0.2</v>
      </c>
      <c r="AO78" s="82">
        <f>SUM(AO53:AO77)+AO49</f>
        <v>50</v>
      </c>
      <c r="AP78" s="82"/>
      <c r="AQ78" s="82"/>
      <c r="AR78" s="82">
        <f>SUM(AR53:AR77)+AR49</f>
        <v>0.05</v>
      </c>
      <c r="AS78" s="82">
        <f>SUM(AS53:AS77)+AS49</f>
        <v>200</v>
      </c>
      <c r="AT78" s="82"/>
      <c r="AU78" s="82"/>
      <c r="AV78" s="82">
        <f>SUM(AV53:AV77)+AV49</f>
        <v>0.1</v>
      </c>
      <c r="AW78" s="82">
        <f>SUM(AW53:AW77)+AW49</f>
        <v>150</v>
      </c>
      <c r="AX78" s="82"/>
      <c r="AY78" s="82"/>
      <c r="AZ78" s="82">
        <f>SUM(AZ53:AZ77)+AZ49</f>
        <v>0.05</v>
      </c>
      <c r="BA78" s="82">
        <f>SUM(BA53:BA77)+BA49</f>
        <v>6144</v>
      </c>
      <c r="BB78" s="82"/>
      <c r="BC78" s="82"/>
      <c r="BD78" s="82">
        <f>SUM(BD53:BD77)+BD49</f>
        <v>0.05</v>
      </c>
      <c r="BE78" s="82">
        <f>BE49+SUM(BE53:BE77)</f>
        <v>179</v>
      </c>
      <c r="BF78" s="82">
        <f>BF49+COUNTIF(BF53:BF77,"x")</f>
        <v>61</v>
      </c>
      <c r="BG78" s="82">
        <f>BG49+COUNTIF(BG53:BG77,"x")</f>
        <v>3</v>
      </c>
      <c r="BH78" s="82">
        <f>BH49+COUNTIF(BH53:BH77,"x")</f>
        <v>1</v>
      </c>
      <c r="BI78" s="82">
        <f>BI49+SUM(BI53:BI77)</f>
        <v>122</v>
      </c>
      <c r="BJ78" s="82">
        <f>BJ49+COUNTIF(BJ53:BJ77,"x")</f>
        <v>1</v>
      </c>
      <c r="BK78" s="82">
        <f>BK49+COUNTIF(BK53:BK77,"x")</f>
        <v>25</v>
      </c>
      <c r="BL78" s="82">
        <f>BL49+COUNTIF(BL53:BL77,"x")</f>
        <v>61</v>
      </c>
      <c r="BM78" s="12" t="s">
        <v>697</v>
      </c>
      <c r="BN78" s="12">
        <v>2</v>
      </c>
      <c r="BO78" s="12">
        <v>4</v>
      </c>
      <c r="BP78" s="12">
        <v>2</v>
      </c>
      <c r="BQ78" s="33"/>
      <c r="BR78" s="33"/>
    </row>
    <row r="79" spans="1:70" ht="14.5">
      <c r="A79" s="33"/>
      <c r="B79" s="33"/>
      <c r="C79" s="33"/>
      <c r="D79" s="33"/>
      <c r="E79" s="1"/>
      <c r="F79" s="33"/>
      <c r="G79" s="33"/>
      <c r="H79" s="33"/>
      <c r="I79" s="33"/>
      <c r="J79" s="33"/>
      <c r="K79" s="33"/>
      <c r="L79" s="33"/>
      <c r="M79" s="33"/>
      <c r="N79" s="33"/>
      <c r="O79" s="33"/>
      <c r="P79" s="33"/>
      <c r="Q79" s="33"/>
      <c r="R79" s="33"/>
      <c r="S79" s="33"/>
      <c r="T79" s="33"/>
      <c r="U79" s="33"/>
      <c r="V79" s="33"/>
      <c r="W79" s="33"/>
      <c r="X79" s="33"/>
      <c r="Y79" s="33"/>
      <c r="Z79" s="33"/>
      <c r="AA79" s="33"/>
      <c r="AB79" s="33"/>
      <c r="AC79" s="33"/>
      <c r="AD79" s="33"/>
      <c r="AE79" s="33"/>
      <c r="AF79" s="33"/>
      <c r="AG79" s="33"/>
      <c r="AH79" s="33"/>
      <c r="AI79" s="33"/>
      <c r="AJ79" s="33"/>
      <c r="AK79" s="33"/>
      <c r="AL79" s="33"/>
      <c r="AM79" s="33"/>
      <c r="AN79" s="33"/>
      <c r="AO79" s="33"/>
      <c r="AP79" s="33"/>
      <c r="AQ79" s="33"/>
      <c r="AR79" s="33"/>
      <c r="AS79" s="33"/>
      <c r="AT79" s="33"/>
      <c r="AU79" s="33"/>
      <c r="AV79" s="33"/>
      <c r="AW79" s="33"/>
      <c r="AX79" s="33"/>
      <c r="AY79" s="33"/>
      <c r="AZ79" s="33"/>
      <c r="BA79" s="33"/>
      <c r="BB79" s="33"/>
      <c r="BC79" s="33"/>
      <c r="BD79" s="33"/>
      <c r="BE79" s="82"/>
      <c r="BF79" s="33"/>
      <c r="BG79" s="33"/>
      <c r="BH79" s="33"/>
      <c r="BI79" s="33"/>
      <c r="BJ79" s="33"/>
      <c r="BK79" s="33"/>
      <c r="BL79" s="33"/>
      <c r="BM79" s="33"/>
      <c r="BN79" s="33"/>
      <c r="BO79" s="33"/>
      <c r="BP79" s="33"/>
      <c r="BQ79" s="33"/>
      <c r="BR79" s="33"/>
    </row>
    <row r="80" spans="1:70" ht="14.5">
      <c r="A80" s="14" t="s">
        <v>709</v>
      </c>
      <c r="B80" s="33"/>
      <c r="C80" s="33"/>
      <c r="D80" s="33"/>
      <c r="E80" s="1"/>
      <c r="F80" s="33"/>
      <c r="G80" s="33"/>
      <c r="H80" s="33"/>
      <c r="I80" s="33"/>
      <c r="J80" s="33"/>
      <c r="K80" s="33"/>
      <c r="L80" s="33"/>
      <c r="M80" s="33"/>
      <c r="N80" s="33"/>
      <c r="O80" s="33"/>
      <c r="P80" s="33"/>
      <c r="Q80" s="33"/>
      <c r="R80" s="33"/>
      <c r="S80" s="33"/>
      <c r="T80" s="33"/>
      <c r="U80" s="33"/>
      <c r="V80" s="33"/>
      <c r="W80" s="33"/>
      <c r="X80" s="33"/>
      <c r="Y80" s="33"/>
      <c r="Z80" s="33"/>
      <c r="AA80" s="33"/>
      <c r="AB80" s="33"/>
      <c r="AC80" s="33"/>
      <c r="AD80" s="33"/>
      <c r="AE80" s="33"/>
      <c r="AF80" s="33"/>
      <c r="AG80" s="33"/>
      <c r="AH80" s="33"/>
      <c r="AI80" s="33"/>
      <c r="AJ80" s="33"/>
      <c r="AK80" s="33"/>
      <c r="AL80" s="33"/>
      <c r="AM80" s="33"/>
      <c r="AN80" s="33"/>
      <c r="AO80" s="33"/>
      <c r="AP80" s="33"/>
      <c r="AQ80" s="33"/>
      <c r="AR80" s="33"/>
      <c r="AS80" s="33"/>
      <c r="AT80" s="33"/>
      <c r="AU80" s="33"/>
      <c r="AV80" s="33"/>
      <c r="AW80" s="33"/>
      <c r="AX80" s="33"/>
      <c r="AY80" s="33"/>
      <c r="AZ80" s="33"/>
      <c r="BA80" s="33"/>
      <c r="BB80" s="33"/>
      <c r="BC80" s="33"/>
      <c r="BD80" s="33"/>
      <c r="BE80" s="82"/>
      <c r="BF80" s="33"/>
      <c r="BG80" s="33"/>
      <c r="BH80" s="33"/>
      <c r="BI80" s="33"/>
      <c r="BJ80" s="33"/>
      <c r="BK80" s="33"/>
      <c r="BL80" s="33"/>
      <c r="BM80" s="33"/>
      <c r="BN80" s="33"/>
      <c r="BO80" s="33"/>
      <c r="BP80" s="33"/>
      <c r="BQ80" s="33"/>
      <c r="BR80" s="33"/>
    </row>
    <row r="81" spans="1:70" ht="14.5">
      <c r="A81" s="33"/>
      <c r="B81" s="33"/>
      <c r="C81" s="33"/>
      <c r="D81" s="33"/>
      <c r="E81" s="1"/>
      <c r="F81" s="33"/>
      <c r="G81" s="33"/>
      <c r="H81" s="33"/>
      <c r="I81" s="33"/>
      <c r="J81" s="33"/>
      <c r="K81" s="33"/>
      <c r="L81" s="33"/>
      <c r="M81" s="33"/>
      <c r="N81" s="33"/>
      <c r="O81" s="33"/>
      <c r="P81" s="33"/>
      <c r="Q81" s="33"/>
      <c r="R81" s="33"/>
      <c r="S81" s="33"/>
      <c r="T81" s="33"/>
      <c r="U81" s="33"/>
      <c r="V81" s="33"/>
      <c r="W81" s="33"/>
      <c r="X81" s="33"/>
      <c r="Y81" s="33"/>
      <c r="Z81" s="33"/>
      <c r="AA81" s="33"/>
      <c r="AB81" s="33"/>
      <c r="AC81" s="33"/>
      <c r="AD81" s="33"/>
      <c r="AE81" s="33"/>
      <c r="AF81" s="33"/>
      <c r="AG81" s="33"/>
      <c r="AH81" s="33"/>
      <c r="AI81" s="33"/>
      <c r="AJ81" s="33"/>
      <c r="AK81" s="33"/>
      <c r="AL81" s="33"/>
      <c r="AM81" s="33"/>
      <c r="AN81" s="33"/>
      <c r="AO81" s="33"/>
      <c r="AP81" s="33"/>
      <c r="AQ81" s="33"/>
      <c r="AR81" s="33"/>
      <c r="AS81" s="33"/>
      <c r="AT81" s="33"/>
      <c r="AU81" s="33"/>
      <c r="AV81" s="33"/>
      <c r="AW81" s="33"/>
      <c r="AX81" s="33"/>
      <c r="AY81" s="33"/>
      <c r="AZ81" s="33"/>
      <c r="BA81" s="33"/>
      <c r="BB81" s="33"/>
      <c r="BC81" s="33"/>
      <c r="BD81" s="33"/>
      <c r="BE81" s="82"/>
      <c r="BF81" s="33"/>
      <c r="BG81" s="33"/>
      <c r="BH81" s="33"/>
      <c r="BI81" s="33"/>
      <c r="BJ81" s="33"/>
      <c r="BK81" s="82" t="s">
        <v>381</v>
      </c>
      <c r="BL81" s="82" t="s">
        <v>381</v>
      </c>
      <c r="BM81" s="33"/>
      <c r="BN81" s="33"/>
      <c r="BO81" s="33"/>
      <c r="BP81" s="33"/>
      <c r="BQ81" s="33"/>
      <c r="BR81" s="33"/>
    </row>
    <row r="82" spans="1:70">
      <c r="A82" s="4" t="s">
        <v>504</v>
      </c>
      <c r="C82" s="4" t="s">
        <v>528</v>
      </c>
      <c r="D82" s="4" t="s">
        <v>19</v>
      </c>
      <c r="E82" s="12" t="s">
        <v>710</v>
      </c>
      <c r="F82" s="12">
        <v>2</v>
      </c>
      <c r="G82" s="12">
        <v>4</v>
      </c>
      <c r="H82" s="59">
        <v>70</v>
      </c>
      <c r="I82" s="28">
        <v>4</v>
      </c>
      <c r="J82" s="12" t="s">
        <v>676</v>
      </c>
      <c r="K82" s="4" t="s">
        <v>674</v>
      </c>
      <c r="L82" s="12">
        <v>2.6</v>
      </c>
      <c r="M82" s="12"/>
      <c r="N82" s="12"/>
      <c r="O82" s="12"/>
      <c r="P82" s="12"/>
      <c r="Q82" s="12"/>
      <c r="R82" s="12"/>
      <c r="S82" s="12"/>
      <c r="T82" s="12"/>
      <c r="U82" s="12"/>
      <c r="V82" s="12"/>
      <c r="W82" s="12"/>
      <c r="X82" s="12"/>
      <c r="Y82" s="12"/>
      <c r="Z82" s="12"/>
      <c r="AA82" s="12"/>
      <c r="AB82" s="82"/>
      <c r="AC82" s="82"/>
      <c r="AD82" s="82"/>
      <c r="AE82" s="82"/>
      <c r="AF82" s="82"/>
      <c r="AG82" s="82">
        <f>2*H82</f>
        <v>140</v>
      </c>
      <c r="AH82" s="82" t="s">
        <v>676</v>
      </c>
      <c r="AI82" s="4" t="s">
        <v>674</v>
      </c>
      <c r="AJ82" s="12" t="s">
        <v>670</v>
      </c>
      <c r="AK82" s="82"/>
      <c r="AL82" s="82"/>
      <c r="AM82" s="82"/>
      <c r="AN82" s="82"/>
      <c r="AO82" s="82"/>
      <c r="AP82" s="82"/>
      <c r="AQ82" s="82"/>
      <c r="AR82" s="82"/>
      <c r="AS82" s="82"/>
      <c r="AT82" s="82"/>
      <c r="AU82" s="82"/>
      <c r="AV82" s="82"/>
      <c r="AW82" s="82"/>
      <c r="AX82" s="82"/>
      <c r="AY82" s="82"/>
      <c r="AZ82" s="82"/>
      <c r="BA82" s="82"/>
      <c r="BB82" s="82"/>
      <c r="BC82" s="82"/>
      <c r="BD82" s="82"/>
      <c r="BE82" s="82">
        <v>2</v>
      </c>
      <c r="BF82" s="82" t="s">
        <v>381</v>
      </c>
      <c r="BG82" s="82"/>
      <c r="BH82" s="82"/>
      <c r="BI82" s="82">
        <v>2</v>
      </c>
      <c r="BJ82" s="82"/>
      <c r="BK82" s="82" t="s">
        <v>381</v>
      </c>
      <c r="BL82" s="82" t="s">
        <v>381</v>
      </c>
      <c r="BM82" s="82"/>
      <c r="BN82" s="82"/>
      <c r="BO82" s="82"/>
      <c r="BP82" s="82"/>
      <c r="BQ82" s="33"/>
      <c r="BR82" s="33"/>
    </row>
    <row r="83" spans="1:70">
      <c r="A83" s="4" t="s">
        <v>509</v>
      </c>
      <c r="C83" s="4" t="s">
        <v>528</v>
      </c>
      <c r="D83" s="4" t="s">
        <v>510</v>
      </c>
      <c r="E83" s="12" t="s">
        <v>711</v>
      </c>
      <c r="F83" s="12">
        <v>6</v>
      </c>
      <c r="G83" s="12">
        <v>10</v>
      </c>
      <c r="H83" s="59">
        <v>100</v>
      </c>
      <c r="I83" s="28">
        <v>16</v>
      </c>
      <c r="J83" s="12" t="s">
        <v>676</v>
      </c>
      <c r="K83" s="4" t="s">
        <v>674</v>
      </c>
      <c r="L83" s="12">
        <v>2.6</v>
      </c>
      <c r="M83" s="12"/>
      <c r="N83" s="12"/>
      <c r="O83" s="12"/>
      <c r="P83" s="12"/>
      <c r="Q83" s="82">
        <v>200</v>
      </c>
      <c r="R83" s="82" t="s">
        <v>676</v>
      </c>
      <c r="S83" s="4" t="s">
        <v>674</v>
      </c>
      <c r="T83" s="82" t="s">
        <v>670</v>
      </c>
      <c r="U83" s="82"/>
      <c r="V83" s="82"/>
      <c r="W83" s="82"/>
      <c r="X83" s="82"/>
      <c r="AB83" s="82" t="s">
        <v>670</v>
      </c>
      <c r="AC83" s="82"/>
      <c r="AD83" s="82"/>
      <c r="AE83" s="82"/>
      <c r="AF83" s="82"/>
      <c r="AG83" s="82">
        <f>2*H83+Q83*2</f>
        <v>600</v>
      </c>
      <c r="AH83" s="82" t="s">
        <v>676</v>
      </c>
      <c r="AI83" s="4" t="s">
        <v>674</v>
      </c>
      <c r="AJ83" s="12" t="s">
        <v>670</v>
      </c>
      <c r="AK83" s="82"/>
      <c r="AL83" s="82"/>
      <c r="AM83" s="82"/>
      <c r="AN83" s="82"/>
      <c r="AO83" s="82"/>
      <c r="AP83" s="82"/>
      <c r="AQ83" s="82"/>
      <c r="AR83" s="82"/>
      <c r="AS83" s="82"/>
      <c r="AT83" s="82"/>
      <c r="AU83" s="82"/>
      <c r="AV83" s="82"/>
      <c r="AW83" s="82"/>
      <c r="AX83" s="82"/>
      <c r="AY83" s="82"/>
      <c r="AZ83" s="82"/>
      <c r="BA83" s="82"/>
      <c r="BB83" s="82"/>
      <c r="BC83" s="82"/>
      <c r="BD83" s="82"/>
      <c r="BE83" s="82">
        <v>3</v>
      </c>
      <c r="BF83" s="82" t="s">
        <v>381</v>
      </c>
      <c r="BG83" s="82"/>
      <c r="BH83" s="82"/>
      <c r="BI83" s="82">
        <v>2</v>
      </c>
      <c r="BJ83" s="82"/>
      <c r="BK83" s="82" t="s">
        <v>381</v>
      </c>
      <c r="BL83" s="82" t="s">
        <v>381</v>
      </c>
      <c r="BM83" s="82"/>
      <c r="BN83" s="82"/>
      <c r="BO83" s="82"/>
      <c r="BP83" s="82"/>
      <c r="BQ83" s="33"/>
      <c r="BR83" s="33"/>
    </row>
    <row r="84" spans="1:70">
      <c r="A84" s="4" t="s">
        <v>511</v>
      </c>
      <c r="C84" s="4" t="s">
        <v>528</v>
      </c>
      <c r="D84" s="4" t="s">
        <v>512</v>
      </c>
      <c r="E84" s="12" t="s">
        <v>712</v>
      </c>
      <c r="F84" s="12">
        <v>8</v>
      </c>
      <c r="G84" s="12">
        <v>16</v>
      </c>
      <c r="H84" s="59">
        <v>60</v>
      </c>
      <c r="I84" s="28">
        <v>4</v>
      </c>
      <c r="J84" s="12" t="s">
        <v>676</v>
      </c>
      <c r="K84" s="4" t="s">
        <v>674</v>
      </c>
      <c r="L84" s="12">
        <v>2.6</v>
      </c>
      <c r="M84" s="12"/>
      <c r="N84" s="12"/>
      <c r="O84" s="12"/>
      <c r="P84" s="12"/>
      <c r="Q84" s="82"/>
      <c r="R84" s="82"/>
      <c r="S84" s="82"/>
      <c r="T84" s="82"/>
      <c r="U84" s="82"/>
      <c r="V84" s="82"/>
      <c r="W84" s="82"/>
      <c r="X84" s="82"/>
      <c r="Y84" s="82"/>
      <c r="Z84" s="82"/>
      <c r="AA84" s="82"/>
      <c r="AB84" s="82"/>
      <c r="AC84" s="82"/>
      <c r="AD84" s="82"/>
      <c r="AE84" s="82"/>
      <c r="AF84" s="82"/>
      <c r="AG84" s="82">
        <f>2*H84</f>
        <v>120</v>
      </c>
      <c r="AH84" s="82" t="s">
        <v>676</v>
      </c>
      <c r="AI84" s="4" t="s">
        <v>674</v>
      </c>
      <c r="AJ84" s="12" t="s">
        <v>670</v>
      </c>
      <c r="AK84" s="82"/>
      <c r="AL84" s="82"/>
      <c r="AM84" s="82"/>
      <c r="AN84" s="82"/>
      <c r="AO84" s="82"/>
      <c r="AP84" s="82"/>
      <c r="AQ84" s="82"/>
      <c r="AR84" s="82"/>
      <c r="AS84" s="82"/>
      <c r="AT84" s="82"/>
      <c r="AU84" s="82"/>
      <c r="AV84" s="82"/>
      <c r="AW84" s="82"/>
      <c r="AX84" s="82"/>
      <c r="AY84" s="82"/>
      <c r="AZ84" s="82"/>
      <c r="BA84" s="82"/>
      <c r="BB84" s="82"/>
      <c r="BC84" s="82"/>
      <c r="BD84" s="82"/>
      <c r="BE84" s="82">
        <v>2</v>
      </c>
      <c r="BF84" s="82" t="s">
        <v>381</v>
      </c>
      <c r="BG84" s="82"/>
      <c r="BH84" s="82"/>
      <c r="BI84" s="82">
        <v>2</v>
      </c>
      <c r="BJ84" s="82"/>
      <c r="BK84" s="82" t="s">
        <v>381</v>
      </c>
      <c r="BL84" s="82" t="s">
        <v>381</v>
      </c>
      <c r="BM84" s="82"/>
      <c r="BN84" s="82"/>
      <c r="BO84" s="82"/>
      <c r="BP84" s="82"/>
      <c r="BQ84" s="33"/>
      <c r="BR84" s="33"/>
    </row>
    <row r="85" spans="1:70">
      <c r="A85" s="4" t="s">
        <v>514</v>
      </c>
      <c r="C85" s="4" t="s">
        <v>528</v>
      </c>
      <c r="D85" s="4" t="s">
        <v>515</v>
      </c>
      <c r="E85" s="12" t="s">
        <v>713</v>
      </c>
      <c r="F85" s="12">
        <v>10</v>
      </c>
      <c r="G85" s="12">
        <v>10</v>
      </c>
      <c r="H85" s="59">
        <v>30</v>
      </c>
      <c r="I85" s="28">
        <v>4</v>
      </c>
      <c r="J85" s="12" t="s">
        <v>676</v>
      </c>
      <c r="K85" s="4" t="s">
        <v>674</v>
      </c>
      <c r="L85" s="12">
        <v>2.6</v>
      </c>
      <c r="M85" s="12"/>
      <c r="N85" s="12"/>
      <c r="O85" s="12"/>
      <c r="P85" s="12"/>
      <c r="Q85" s="82"/>
      <c r="R85" s="82"/>
      <c r="S85" s="82"/>
      <c r="T85" s="82"/>
      <c r="U85" s="82"/>
      <c r="V85" s="82"/>
      <c r="W85" s="82"/>
      <c r="X85" s="82"/>
      <c r="Y85" s="82"/>
      <c r="Z85" s="82"/>
      <c r="AA85" s="82"/>
      <c r="AB85" s="82"/>
      <c r="AC85" s="82"/>
      <c r="AD85" s="82"/>
      <c r="AE85" s="82"/>
      <c r="AF85" s="82"/>
      <c r="AG85" s="82">
        <f>2*H85</f>
        <v>60</v>
      </c>
      <c r="AH85" s="82" t="s">
        <v>676</v>
      </c>
      <c r="AI85" s="4" t="s">
        <v>674</v>
      </c>
      <c r="AJ85" s="12" t="s">
        <v>670</v>
      </c>
      <c r="AK85" s="82"/>
      <c r="AL85" s="82"/>
      <c r="AM85" s="82"/>
      <c r="AN85" s="82"/>
      <c r="AO85" s="82"/>
      <c r="AP85" s="82"/>
      <c r="AQ85" s="82"/>
      <c r="AR85" s="82"/>
      <c r="AS85" s="82"/>
      <c r="AT85" s="82"/>
      <c r="AU85" s="82"/>
      <c r="AV85" s="82"/>
      <c r="AW85" s="82"/>
      <c r="AX85" s="82"/>
      <c r="AY85" s="82"/>
      <c r="AZ85" s="82"/>
      <c r="BA85" s="82"/>
      <c r="BB85" s="82"/>
      <c r="BC85" s="82"/>
      <c r="BD85" s="82"/>
      <c r="BE85" s="82">
        <v>2</v>
      </c>
      <c r="BF85" s="82" t="s">
        <v>381</v>
      </c>
      <c r="BG85" s="82"/>
      <c r="BH85" s="82"/>
      <c r="BI85" s="82">
        <v>2</v>
      </c>
      <c r="BJ85" s="82"/>
      <c r="BK85" s="82" t="s">
        <v>381</v>
      </c>
      <c r="BL85" s="82" t="s">
        <v>381</v>
      </c>
      <c r="BM85" s="82"/>
      <c r="BN85" s="82"/>
      <c r="BO85" s="82"/>
      <c r="BP85" s="82"/>
      <c r="BQ85" s="33"/>
      <c r="BR85" s="33"/>
    </row>
    <row r="86" spans="1:70">
      <c r="A86" s="4" t="s">
        <v>516</v>
      </c>
      <c r="C86" s="4" t="s">
        <v>528</v>
      </c>
      <c r="D86" s="4" t="s">
        <v>517</v>
      </c>
      <c r="E86" s="12" t="s">
        <v>714</v>
      </c>
      <c r="F86" s="12">
        <v>4</v>
      </c>
      <c r="G86" s="12">
        <v>16</v>
      </c>
      <c r="H86" s="59">
        <v>550</v>
      </c>
      <c r="I86" s="28">
        <v>4</v>
      </c>
      <c r="J86" s="12" t="s">
        <v>676</v>
      </c>
      <c r="K86" s="4" t="s">
        <v>674</v>
      </c>
      <c r="L86" s="12">
        <v>2.6</v>
      </c>
      <c r="M86" s="12"/>
      <c r="N86" s="12"/>
      <c r="O86" s="12"/>
      <c r="P86" s="12"/>
      <c r="R86" s="82"/>
      <c r="T86" s="82"/>
      <c r="U86" s="82"/>
      <c r="V86" s="82"/>
      <c r="W86" s="82"/>
      <c r="X86" s="82"/>
      <c r="Y86" s="82"/>
      <c r="Z86" s="82"/>
      <c r="AA86" s="82"/>
      <c r="AB86" s="82"/>
      <c r="AC86" s="82"/>
      <c r="AD86" s="82"/>
      <c r="AE86" s="82"/>
      <c r="AF86" s="82"/>
      <c r="AG86" s="82">
        <f>2*H86+Q86</f>
        <v>1100</v>
      </c>
      <c r="AH86" s="82" t="s">
        <v>676</v>
      </c>
      <c r="AI86" s="4" t="s">
        <v>674</v>
      </c>
      <c r="AJ86" s="12" t="s">
        <v>670</v>
      </c>
      <c r="AK86" s="82"/>
      <c r="AL86" s="82"/>
      <c r="AM86" s="82"/>
      <c r="AN86" s="82"/>
      <c r="AO86" s="82"/>
      <c r="AP86" s="82"/>
      <c r="AQ86" s="82"/>
      <c r="AR86" s="82"/>
      <c r="AS86" s="82"/>
      <c r="AT86" s="82"/>
      <c r="AU86" s="82"/>
      <c r="AV86" s="82"/>
      <c r="AW86" s="82"/>
      <c r="AX86" s="82"/>
      <c r="AY86" s="82"/>
      <c r="AZ86" s="82"/>
      <c r="BA86" s="82"/>
      <c r="BB86" s="82"/>
      <c r="BC86" s="82"/>
      <c r="BD86" s="82"/>
      <c r="BE86" s="82">
        <v>2</v>
      </c>
      <c r="BF86" s="82" t="s">
        <v>381</v>
      </c>
      <c r="BG86" s="82"/>
      <c r="BH86" s="82"/>
      <c r="BI86" s="82">
        <v>2</v>
      </c>
      <c r="BJ86" s="82"/>
      <c r="BK86" s="82" t="s">
        <v>381</v>
      </c>
      <c r="BL86" s="82" t="s">
        <v>381</v>
      </c>
      <c r="BM86" s="82"/>
      <c r="BN86" s="82"/>
      <c r="BO86" s="82"/>
      <c r="BP86" s="82"/>
      <c r="BQ86" s="33"/>
      <c r="BR86" s="33"/>
    </row>
    <row r="87" spans="1:70" s="17" customFormat="1">
      <c r="A87" s="17" t="s">
        <v>520</v>
      </c>
      <c r="C87" s="17" t="s">
        <v>528</v>
      </c>
      <c r="D87" s="17" t="s">
        <v>521</v>
      </c>
      <c r="E87" s="15" t="s">
        <v>715</v>
      </c>
      <c r="F87" s="15">
        <v>2</v>
      </c>
      <c r="G87" s="15">
        <v>4</v>
      </c>
      <c r="H87" s="65">
        <v>40</v>
      </c>
      <c r="I87" s="76">
        <v>4</v>
      </c>
      <c r="J87" s="15" t="s">
        <v>676</v>
      </c>
      <c r="K87" s="17" t="s">
        <v>674</v>
      </c>
      <c r="L87" s="15">
        <v>2.6</v>
      </c>
      <c r="M87" s="15"/>
      <c r="N87" s="15"/>
      <c r="O87" s="15"/>
      <c r="P87" s="15"/>
      <c r="Q87" s="36"/>
      <c r="R87" s="36"/>
      <c r="T87" s="36"/>
      <c r="U87" s="36"/>
      <c r="V87" s="36"/>
      <c r="W87" s="36"/>
      <c r="X87" s="36"/>
      <c r="Y87" s="36">
        <v>50</v>
      </c>
      <c r="Z87" s="36" t="s">
        <v>676</v>
      </c>
      <c r="AA87" s="17" t="s">
        <v>674</v>
      </c>
      <c r="AB87" s="36"/>
      <c r="AC87" s="36"/>
      <c r="AD87" s="36"/>
      <c r="AE87" s="36"/>
      <c r="AF87" s="36"/>
      <c r="AG87" s="36">
        <f>H87*2+Y87*2</f>
        <v>180</v>
      </c>
      <c r="AH87" s="36" t="s">
        <v>676</v>
      </c>
      <c r="AI87" s="17" t="s">
        <v>674</v>
      </c>
      <c r="AJ87" s="15" t="s">
        <v>670</v>
      </c>
      <c r="AK87" s="36"/>
      <c r="AL87" s="36"/>
      <c r="AM87" s="36"/>
      <c r="AN87" s="36"/>
      <c r="AO87" s="36"/>
      <c r="AP87" s="36"/>
      <c r="AQ87" s="36"/>
      <c r="AR87" s="36"/>
      <c r="AS87" s="36"/>
      <c r="AT87" s="36"/>
      <c r="AU87" s="36"/>
      <c r="AV87" s="36"/>
      <c r="AW87" s="36"/>
      <c r="AX87" s="36"/>
      <c r="AY87" s="36"/>
      <c r="AZ87" s="36"/>
      <c r="BE87" s="36">
        <v>3</v>
      </c>
      <c r="BF87" s="36" t="s">
        <v>381</v>
      </c>
      <c r="BG87" s="36"/>
      <c r="BH87" s="36"/>
      <c r="BI87" s="36">
        <v>2</v>
      </c>
      <c r="BJ87" s="36"/>
      <c r="BK87" s="36" t="s">
        <v>381</v>
      </c>
      <c r="BL87" s="36" t="s">
        <v>381</v>
      </c>
      <c r="BM87" s="36"/>
      <c r="BN87" s="36"/>
      <c r="BO87" s="36"/>
      <c r="BP87" s="36"/>
      <c r="BQ87" s="43"/>
      <c r="BR87" s="43"/>
    </row>
    <row r="88" spans="1:70">
      <c r="A88" s="33"/>
      <c r="B88" s="33"/>
      <c r="C88" s="33"/>
      <c r="D88" s="33"/>
      <c r="F88" s="82">
        <f>F78+SUM(F82:F87)</f>
        <v>411</v>
      </c>
      <c r="G88" s="82">
        <f>G78+SUM(G82:G87)</f>
        <v>1213</v>
      </c>
      <c r="H88" s="82">
        <f>H78+SUM(H82:H87)</f>
        <v>6606</v>
      </c>
      <c r="I88" s="82"/>
      <c r="J88" s="82"/>
      <c r="K88" s="82"/>
      <c r="L88" s="82">
        <f>L78+SUM(L82:L87)</f>
        <v>1540.9999999999986</v>
      </c>
      <c r="M88" s="82">
        <f>M78+SUM(M82:M87)</f>
        <v>460</v>
      </c>
      <c r="N88" s="82"/>
      <c r="O88" s="82"/>
      <c r="P88" s="82">
        <f>P78+SUM(P82:P87)</f>
        <v>0.05</v>
      </c>
      <c r="Q88" s="82">
        <f>Q78+SUM(Q82:Q87)</f>
        <v>15400</v>
      </c>
      <c r="R88" s="82"/>
      <c r="S88" s="82"/>
      <c r="T88" s="82">
        <f>T78+SUM(T82:T87)</f>
        <v>0.05</v>
      </c>
      <c r="U88" s="82">
        <f>U78+SUM(U82:U87)</f>
        <v>16600</v>
      </c>
      <c r="V88" s="82"/>
      <c r="W88" s="82"/>
      <c r="X88" s="82">
        <f>X78+SUM(X82:X87)</f>
        <v>0.05</v>
      </c>
      <c r="Y88" s="82">
        <f>Y78+SUM(Y82:Y87)</f>
        <v>1420</v>
      </c>
      <c r="Z88" s="82"/>
      <c r="AA88" s="82"/>
      <c r="AB88" s="82">
        <f>AB78+SUM(AB82:AB87)</f>
        <v>0.2</v>
      </c>
      <c r="AC88" s="82">
        <f>AC78+SUM(AC82:AC87)</f>
        <v>270</v>
      </c>
      <c r="AD88" s="82"/>
      <c r="AE88" s="82"/>
      <c r="AF88" s="82">
        <f>AF78+SUM(AF82:AF87)</f>
        <v>0</v>
      </c>
      <c r="AG88" s="82">
        <f>AG78+SUM(AG82:AG87)</f>
        <v>46609</v>
      </c>
      <c r="AH88" s="82"/>
      <c r="AI88" s="82"/>
      <c r="AJ88" s="82"/>
      <c r="AK88" s="82">
        <f>AK78+SUM(AK82:AK87)</f>
        <v>300</v>
      </c>
      <c r="AL88" s="82"/>
      <c r="AM88" s="82"/>
      <c r="AN88" s="82">
        <f>AN78+SUM(AN82:AN87)</f>
        <v>0.2</v>
      </c>
      <c r="AO88" s="82">
        <f>AO78+SUM(AO82:AO87)</f>
        <v>50</v>
      </c>
      <c r="AP88" s="82"/>
      <c r="AQ88" s="82"/>
      <c r="AR88" s="82">
        <f>AR78+SUM(AR82:AR87)</f>
        <v>0.05</v>
      </c>
      <c r="AS88" s="82">
        <f>AS78+SUM(AS82:AS87)</f>
        <v>200</v>
      </c>
      <c r="AT88" s="82"/>
      <c r="AU88" s="82"/>
      <c r="AV88" s="82">
        <f>AV78+SUM(AV82:AV87)</f>
        <v>0.1</v>
      </c>
      <c r="AW88" s="82"/>
      <c r="AX88" s="82"/>
      <c r="AY88" s="82"/>
      <c r="AZ88" s="82"/>
      <c r="BA88" s="82">
        <f>BA78+SUM(BA82:BA87)</f>
        <v>6144</v>
      </c>
      <c r="BB88" s="82"/>
      <c r="BC88" s="82"/>
      <c r="BD88" s="82">
        <f>BD78+SUM(BD82:BD87)</f>
        <v>0.05</v>
      </c>
      <c r="BE88" s="82">
        <f>BE78+SUM(BE82:BE87)</f>
        <v>193</v>
      </c>
      <c r="BF88" s="82">
        <f>BF78+COUNTIF(BF82:BF87,"x")</f>
        <v>67</v>
      </c>
      <c r="BG88" s="82">
        <f>BG78+COUNTIF(BG82:BG87,"x")</f>
        <v>3</v>
      </c>
      <c r="BH88" s="82">
        <f>BH78+COUNTIF(BH82:BH87,"x")</f>
        <v>1</v>
      </c>
      <c r="BI88" s="82">
        <f>BI78+SUM(BI82:BI87)</f>
        <v>134</v>
      </c>
      <c r="BJ88" s="82">
        <f>BJ78+COUNTIF(BJ82:BJ87,"x")</f>
        <v>1</v>
      </c>
      <c r="BK88" s="82">
        <f>BK78+COUNTIF(BK82:BK87,"x")</f>
        <v>31</v>
      </c>
      <c r="BL88" s="82">
        <f>BL78+COUNTIF(BL82:BL87,"x")</f>
        <v>67</v>
      </c>
      <c r="BM88" s="12" t="s">
        <v>697</v>
      </c>
      <c r="BN88" s="12">
        <v>2</v>
      </c>
      <c r="BO88" s="12">
        <v>4</v>
      </c>
      <c r="BP88" s="12">
        <v>2</v>
      </c>
      <c r="BQ88" s="33"/>
      <c r="BR88" s="33"/>
    </row>
    <row r="90" spans="1:70">
      <c r="F90" s="19"/>
      <c r="H90" s="12"/>
      <c r="I90" s="12"/>
      <c r="J90" s="12"/>
      <c r="K90" s="12"/>
      <c r="L90" s="12"/>
      <c r="M90" s="12"/>
      <c r="N90" s="12"/>
      <c r="O90" s="12"/>
      <c r="P90" s="12"/>
      <c r="Q90" s="12"/>
      <c r="R90" s="12"/>
      <c r="S90" s="12"/>
      <c r="T90" s="12"/>
    </row>
  </sheetData>
  <mergeCells count="8">
    <mergeCell ref="A1:D1"/>
    <mergeCell ref="A2:B2"/>
    <mergeCell ref="A3:B3"/>
    <mergeCell ref="F3:G3"/>
    <mergeCell ref="A4:B4"/>
    <mergeCell ref="A5:B5"/>
    <mergeCell ref="A46:B46"/>
    <mergeCell ref="A6:B6"/>
  </mergeCells>
  <phoneticPr fontId="27" type="noConversion"/>
  <hyperlinks>
    <hyperlink ref="F3:G3" location="Shortcuts!A1" display="Back to shortcuts" xr:uid="{B11E10EF-D31E-4E18-9AAF-0F540AD391B8}"/>
  </hyperlinks>
  <pageMargins left="0.7" right="0.7" top="0.75" bottom="0.75" header="0.3" footer="0.3"/>
  <pageSetup paperSize="9" orientation="portrait" r:id="rId1"/>
  <headerFooter>
    <oddFooter>&amp;C&amp;1#&amp;"Arial"&amp;8&amp;K001753Nokia internal use</oddFooter>
  </headerFooter>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item1.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2.xml><?xml version="1.0" encoding="utf-8"?>
<ct:contentTypeSchema xmlns:ct="http://schemas.microsoft.com/office/2006/metadata/contentType" xmlns:ma="http://schemas.microsoft.com/office/2006/metadata/properties/metaAttributes" ct:_="" ma:_="" ma:contentTypeName="Nokia Document" ma:contentTypeID="0x010100CE50E52E7543470BBDD3827FE50C59CB000E58D7000A8E4A4DBBE7E818CFFA5976" ma:contentTypeVersion="22" ma:contentTypeDescription="Create Nokia Word Document" ma:contentTypeScope="" ma:versionID="02dfed1971f1100e16b6d13931228368">
  <xsd:schema xmlns:xsd="http://www.w3.org/2001/XMLSchema" xmlns:xs="http://www.w3.org/2001/XMLSchema" xmlns:p="http://schemas.microsoft.com/office/2006/metadata/properties" xmlns:ns2="71c5aaf6-e6ce-465b-b873-5148d2a4c105" targetNamespace="http://schemas.microsoft.com/office/2006/metadata/properties" ma:root="true" ma:fieldsID="e7bbd6aa3db1d74cc2fc174fc7a1d5b3" ns2:_="">
    <xsd:import namespace="71c5aaf6-e6ce-465b-b873-5148d2a4c105"/>
    <xsd:element name="properties">
      <xsd:complexType>
        <xsd:sequence>
          <xsd:element name="documentManagement">
            <xsd:complexType>
              <xsd:all>
                <xsd:element ref="ns2:DocumentType" minOccurs="0"/>
                <xsd:element ref="ns2:NokiaConfidentiality" minOccurs="0"/>
                <xsd:element ref="ns2:Owner" minOccurs="0"/>
                <xsd:element ref="ns2:_dlc_DocId" minOccurs="0"/>
                <xsd:element ref="ns2:_dlc_DocIdUrl" minOccurs="0"/>
                <xsd:element ref="ns2:_dlc_DocIdPersistId" minOccurs="0"/>
                <xsd:element ref="ns2:HideFromDelv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1c5aaf6-e6ce-465b-b873-5148d2a4c105" elementFormDefault="qualified">
    <xsd:import namespace="http://schemas.microsoft.com/office/2006/documentManagement/types"/>
    <xsd:import namespace="http://schemas.microsoft.com/office/infopath/2007/PartnerControls"/>
    <xsd:element name="DocumentType" ma:index="8" nillable="true" ma:displayName="Document Type" ma:default="Description" ma:description="Document type specifies the content of the document" ma:format="Dropdown" ma:internalName="DocumentType" ma:readOnly="false">
      <xsd:simpleType>
        <xsd:restriction base="dms:Choice">
          <xsd:enumeration value="Policy"/>
          <xsd:enumeration value="Strategy"/>
          <xsd:enumeration value="Objectives / Targets"/>
          <xsd:enumeration value="Plan / Schedule"/>
          <xsd:enumeration value="Governance"/>
          <xsd:enumeration value="Organization"/>
          <xsd:enumeration value="Review Material"/>
          <xsd:enumeration value="Communication"/>
          <xsd:enumeration value="Minutes"/>
          <xsd:enumeration value="Training"/>
          <xsd:enumeration value="Standard Operating Procedure"/>
          <xsd:enumeration value="Process / Procedure / Standard"/>
          <xsd:enumeration value="Guideline / Manual / Instruction"/>
          <xsd:enumeration value="Description"/>
          <xsd:enumeration value="Form / Template"/>
          <xsd:enumeration value="Checklist"/>
          <xsd:enumeration value="Bid / Offer"/>
          <xsd:enumeration value="Contract / Order"/>
          <xsd:enumeration value="List"/>
          <xsd:enumeration value="Roadmap"/>
          <xsd:enumeration value="Requirement / Specification"/>
          <xsd:enumeration value="Design"/>
          <xsd:enumeration value="Concept / Proposal"/>
          <xsd:enumeration value="Measurement / KPI"/>
          <xsd:enumeration value="Report"/>
          <xsd:enumeration value="Best Practice / Lessons Learnt"/>
          <xsd:enumeration value="Analysis / Assessment"/>
          <xsd:enumeration value="Survey"/>
        </xsd:restriction>
      </xsd:simpleType>
    </xsd:element>
    <xsd:element name="NokiaConfidentiality" ma:index="9" nillable="true" ma:displayName="Nokia Confidentiality" ma:default="Nokia Internal Use" ma:format="Dropdown" ma:internalName="NokiaConfidentiality" ma:readOnly="false">
      <xsd:simpleType>
        <xsd:restriction base="dms:Choice">
          <xsd:enumeration value="Nokia Internal Use"/>
          <xsd:enumeration value="Confidential"/>
          <xsd:enumeration value="Secret"/>
          <xsd:enumeration value="Public"/>
        </xsd:restriction>
      </xsd:simpleType>
    </xsd:element>
    <xsd:element name="Owner" ma:index="10" nillable="true" ma:displayName="Owner" ma:description="Owner identifies the person or group who owns the document (default value is the same as the Creator of the document)" ma:internalName="Owner">
      <xsd:simpleType>
        <xsd:restriction base="dms:Text"/>
      </xsd:simpleType>
    </xsd:element>
    <xsd:element name="_dlc_DocId" ma:index="11" nillable="true" ma:displayName="Document ID Value" ma:description="The value of the document ID assigned to this item." ma:internalName="_dlc_DocId" ma:readOnly="true">
      <xsd:simpleType>
        <xsd:restriction base="dms:Text"/>
      </xsd:simpleType>
    </xsd:element>
    <xsd:element name="_dlc_DocIdUrl" ma:index="12"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3" nillable="true" ma:displayName="Persist ID" ma:description="Keep ID on add." ma:hidden="true" ma:internalName="_dlc_DocIdPersistId" ma:readOnly="true">
      <xsd:simpleType>
        <xsd:restriction base="dms:Boolean"/>
      </xsd:simpleType>
    </xsd:element>
    <xsd:element name="HideFromDelve" ma:index="14" nillable="true" ma:displayName="HideFromDelve" ma:default="0" ma:internalName="HideFromDelv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customXsn xmlns="http://schemas.microsoft.com/office/2006/metadata/customXsn">
  <xsnLocation/>
  <cached>True</cached>
  <openByDefault>True</openByDefault>
  <xsnScope/>
</customXsn>
</file>

<file path=customXml/item4.xml><?xml version="1.0" encoding="utf-8"?>
<?mso-contentType ?>
<SharedContentType xmlns="Microsoft.SharePoint.Taxonomy.ContentTypeSync" SourceId="34c87397-5fc1-491e-85e7-d6110dbe9cbd" ContentTypeId="0x010100CE50E52E7543470BBDD3827FE50C59CB" PreviousValue="false"/>
</file>

<file path=customXml/item5.xml><?xml version="1.0" encoding="utf-8"?>
<?mso-contentType ?>
<FormTemplates xmlns="http://schemas.microsoft.com/sharepoint/v3/contenttype/forms">
  <Display>DocumentLibraryForm</Display>
  <Edit>DocumentLibraryForm</Edit>
  <New>DocumentLibraryForm</New>
</FormTemplates>
</file>

<file path=customXml/item6.xml><?xml version="1.0" encoding="utf-8"?>
<p:properties xmlns:p="http://schemas.microsoft.com/office/2006/metadata/properties" xmlns:xsi="http://www.w3.org/2001/XMLSchema-instance" xmlns:pc="http://schemas.microsoft.com/office/infopath/2007/PartnerControls">
  <documentManagement>
    <HideFromDelve xmlns="71c5aaf6-e6ce-465b-b873-5148d2a4c105">true</HideFromDelve>
    <_dlc_DocId xmlns="71c5aaf6-e6ce-465b-b873-5148d2a4c105">UQI4PLNILP2N-1772880183-179048</_dlc_DocId>
    <_dlc_DocIdUrl xmlns="71c5aaf6-e6ce-465b-b873-5148d2a4c105">
      <Url>https://nokia.sharepoint.com/sites/DSS_team_site/_layouts/15/DocIdRedir.aspx?ID=UQI4PLNILP2N-1772880183-179048</Url>
      <Description>UQI4PLNILP2N-1772880183-179048</Description>
    </_dlc_DocIdUrl>
    <Owner xmlns="71c5aaf6-e6ce-465b-b873-5148d2a4c105" xsi:nil="true"/>
    <DocumentType xmlns="71c5aaf6-e6ce-465b-b873-5148d2a4c105">Description</DocumentType>
    <NokiaConfidentiality xmlns="71c5aaf6-e6ce-465b-b873-5148d2a4c105">Nokia Internal Use</NokiaConfidentiality>
  </documentManagement>
</p:properties>
</file>

<file path=customXml/itemProps1.xml><?xml version="1.0" encoding="utf-8"?>
<ds:datastoreItem xmlns:ds="http://schemas.openxmlformats.org/officeDocument/2006/customXml" ds:itemID="{53F917D1-03DA-4820-9B0A-1B5244C2F56E}">
  <ds:schemaRefs>
    <ds:schemaRef ds:uri="http://schemas.microsoft.com/sharepoint/events"/>
  </ds:schemaRefs>
</ds:datastoreItem>
</file>

<file path=customXml/itemProps2.xml><?xml version="1.0" encoding="utf-8"?>
<ds:datastoreItem xmlns:ds="http://schemas.openxmlformats.org/officeDocument/2006/customXml" ds:itemID="{4E98A989-0BA2-40F4-A58E-54F7F50C6A9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1c5aaf6-e6ce-465b-b873-5148d2a4c10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1A5FABDA-D3C1-406F-B64E-2CC53CF98A48}">
  <ds:schemaRefs>
    <ds:schemaRef ds:uri="http://schemas.microsoft.com/office/2006/metadata/customXsn"/>
  </ds:schemaRefs>
</ds:datastoreItem>
</file>

<file path=customXml/itemProps4.xml><?xml version="1.0" encoding="utf-8"?>
<ds:datastoreItem xmlns:ds="http://schemas.openxmlformats.org/officeDocument/2006/customXml" ds:itemID="{1A20AE0C-2060-4A69-AF45-A09B214BDF40}">
  <ds:schemaRefs>
    <ds:schemaRef ds:uri="Microsoft.SharePoint.Taxonomy.ContentTypeSync"/>
  </ds:schemaRefs>
</ds:datastoreItem>
</file>

<file path=customXml/itemProps5.xml><?xml version="1.0" encoding="utf-8"?>
<ds:datastoreItem xmlns:ds="http://schemas.openxmlformats.org/officeDocument/2006/customXml" ds:itemID="{1C5C48E1-FB77-45DA-8ABA-606892BB166E}">
  <ds:schemaRefs>
    <ds:schemaRef ds:uri="http://schemas.microsoft.com/sharepoint/v3/contenttype/forms"/>
  </ds:schemaRefs>
</ds:datastoreItem>
</file>

<file path=customXml/itemProps6.xml><?xml version="1.0" encoding="utf-8"?>
<ds:datastoreItem xmlns:ds="http://schemas.openxmlformats.org/officeDocument/2006/customXml" ds:itemID="{C4F7879A-25FF-43CF-8DD4-0F61B7DA657F}">
  <ds:schemaRefs>
    <ds:schemaRef ds:uri="http://purl.org/dc/dcmitype/"/>
    <ds:schemaRef ds:uri="http://schemas.microsoft.com/office/2006/documentManagement/types"/>
    <ds:schemaRef ds:uri="http://schemas.microsoft.com/office/2006/metadata/properties"/>
    <ds:schemaRef ds:uri="http://purl.org/dc/terms/"/>
    <ds:schemaRef ds:uri="http://schemas.microsoft.com/office/infopath/2007/PartnerControls"/>
    <ds:schemaRef ds:uri="71c5aaf6-e6ce-465b-b873-5148d2a4c105"/>
    <ds:schemaRef ds:uri="http://schemas.openxmlformats.org/package/2006/metadata/core-properties"/>
    <ds:schemaRef ds:uri="http://www.w3.org/XML/1998/namespace"/>
    <ds:schemaRef ds:uri="http://purl.org/dc/elements/1.1/"/>
  </ds:schemaRefs>
</ds:datastoreItem>
</file>

<file path=docMetadata/LabelInfo.xml><?xml version="1.0" encoding="utf-8"?>
<clbl:labelList xmlns:clbl="http://schemas.microsoft.com/office/2020/mipLabelMetadata">
  <clbl:label id="{46cc7c65-2b09-40ab-abef-d10548338a3b}" enabled="1" method="Privileged" siteId="{5d471751-9675-428d-917b-70f44f9630b0}" contentBits="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155</vt:i4>
      </vt:variant>
    </vt:vector>
  </HeadingPairs>
  <TitlesOfParts>
    <vt:vector size="177" baseType="lpstr">
      <vt:lpstr>Front Page</vt:lpstr>
      <vt:lpstr>Change History</vt:lpstr>
      <vt:lpstr>Virtual Machines</vt:lpstr>
      <vt:lpstr>Cloud Configuration</vt:lpstr>
      <vt:lpstr>Number of Servers Required</vt:lpstr>
      <vt:lpstr>Compact Single Node 24R1-NM</vt:lpstr>
      <vt:lpstr>Small 24R1-NM</vt:lpstr>
      <vt:lpstr>Mainstream 24R1-NM</vt:lpstr>
      <vt:lpstr>Large 24R1-NM</vt:lpstr>
      <vt:lpstr>XXL 24R1-NM</vt:lpstr>
      <vt:lpstr>3XL 24R1-NM</vt:lpstr>
      <vt:lpstr>Compact 24R1-NM SW on VMware</vt:lpstr>
      <vt:lpstr>Small 24R1-NM SW on VMware</vt:lpstr>
      <vt:lpstr>Small 24R1-NM SW on OpenStack</vt:lpstr>
      <vt:lpstr>Mainstream 24R1-NM SW on VMware</vt:lpstr>
      <vt:lpstr>Mainstream 24R1-NM SW OpenStack</vt:lpstr>
      <vt:lpstr>Large 24R1-NM SW on VMware</vt:lpstr>
      <vt:lpstr>Large 24R1-NM SW on OpenStack</vt:lpstr>
      <vt:lpstr>XXL 24R1-NM SW on VMware</vt:lpstr>
      <vt:lpstr>XXL 24R1-NM SW on OpenStack</vt:lpstr>
      <vt:lpstr>3XL 24R1-NM SW on VMware</vt:lpstr>
      <vt:lpstr>3XL 24R1-NM SW OpenStack-CBIS</vt:lpstr>
      <vt:lpstr>'3XL 24R1-NM'!_2TB</vt:lpstr>
      <vt:lpstr>'3XL 24R1-NM SW on VMware'!_2TB</vt:lpstr>
      <vt:lpstr>'3XL 24R1-NM'!A_4TB</vt:lpstr>
      <vt:lpstr>'3XL 24R1-NM SW on VMware'!A_4TB</vt:lpstr>
      <vt:lpstr>'Small 24R1-NM'!BackupNA17</vt:lpstr>
      <vt:lpstr>'Cloud Configuration'!BTSMediationOpenStack</vt:lpstr>
      <vt:lpstr>'Cloud Configuration'!BTSMediationVMware</vt:lpstr>
      <vt:lpstr>'Cloud Configuration'!LargeADMOpenStack</vt:lpstr>
      <vt:lpstr>'Cloud Configuration'!LargeADMVmware</vt:lpstr>
      <vt:lpstr>'Cloud Configuration'!LargeCustomerOpenStack</vt:lpstr>
      <vt:lpstr>'Cloud Configuration'!LargeCustomerVmware</vt:lpstr>
      <vt:lpstr>'Cloud Configuration'!LargeDatabase2250Arc</vt:lpstr>
      <vt:lpstr>'Cloud Configuration'!LargeDatabase2250Backup</vt:lpstr>
      <vt:lpstr>'Cloud Configuration'!LargeDatabase2250Redo</vt:lpstr>
      <vt:lpstr>'Cloud Configuration'!LargeDatabase2250vCPU</vt:lpstr>
      <vt:lpstr>'Cloud Configuration'!LargeDatabase2250vRAM</vt:lpstr>
      <vt:lpstr>'Cloud Configuration'!LargeDatabase2500Arc</vt:lpstr>
      <vt:lpstr>'Cloud Configuration'!LargeDatabase2500Backup</vt:lpstr>
      <vt:lpstr>'Cloud Configuration'!LargeDatabase2500Redo</vt:lpstr>
      <vt:lpstr>'Cloud Configuration'!LargeDatabase2500vCPU</vt:lpstr>
      <vt:lpstr>'Cloud Configuration'!LargeDatabase2500vRAM</vt:lpstr>
      <vt:lpstr>'Cloud Configuration'!LargeDatabase5535Arc</vt:lpstr>
      <vt:lpstr>'Cloud Configuration'!LargeDatabase5535Backup</vt:lpstr>
      <vt:lpstr>'Cloud Configuration'!LargeDatabase5535Redo</vt:lpstr>
      <vt:lpstr>'Cloud Configuration'!LargeDatabase5535vCPU</vt:lpstr>
      <vt:lpstr>'Cloud Configuration'!LargeDatabase5535vRAM</vt:lpstr>
      <vt:lpstr>'Cloud Configuration'!LargeDatabase6150Arc</vt:lpstr>
      <vt:lpstr>'Cloud Configuration'!LargeDatabase6150Backup</vt:lpstr>
      <vt:lpstr>'Cloud Configuration'!LargeDatabase6150Redo</vt:lpstr>
      <vt:lpstr>'Cloud Configuration'!LargeDatabase6150vCPU</vt:lpstr>
      <vt:lpstr>'Cloud Configuration'!LargeDatabase6150vRAM</vt:lpstr>
      <vt:lpstr>'Cloud Configuration'!LargeDatabaseOpenStack</vt:lpstr>
      <vt:lpstr>'Cloud Configuration'!LargeDatabaseVmware</vt:lpstr>
      <vt:lpstr>'Cloud Configuration'!LargeExtRepOpenStack</vt:lpstr>
      <vt:lpstr>'Cloud Configuration'!LargeExtRepVmware</vt:lpstr>
      <vt:lpstr>'Cloud Configuration'!LargeGlobalOpenStack</vt:lpstr>
      <vt:lpstr>'Cloud Configuration'!LargeGlobalVmware</vt:lpstr>
      <vt:lpstr>'Cloud Configuration'!LargeISDKOpenStack</vt:lpstr>
      <vt:lpstr>'Cloud Configuration'!LargeISDKVmware</vt:lpstr>
      <vt:lpstr>'Cloud Configuration'!LargeUsers</vt:lpstr>
      <vt:lpstr>'Cloud Configuration'!MainstreamADMOpenStack</vt:lpstr>
      <vt:lpstr>'Cloud Configuration'!MainstreamADMVmware</vt:lpstr>
      <vt:lpstr>'Cloud Configuration'!MainstreamCustomerOpenStack</vt:lpstr>
      <vt:lpstr>'Cloud Configuration'!MainstreamCustomerVmware</vt:lpstr>
      <vt:lpstr>'Cloud Configuration'!MainstreamDatabase1350Arc</vt:lpstr>
      <vt:lpstr>'Cloud Configuration'!MainstreamDatabase1350Backup</vt:lpstr>
      <vt:lpstr>'Cloud Configuration'!MainstreamDatabase1350Redo</vt:lpstr>
      <vt:lpstr>'Cloud Configuration'!MainstreamDatabase1350vCPU</vt:lpstr>
      <vt:lpstr>'Cloud Configuration'!MainstreamDatabase1350vRAM</vt:lpstr>
      <vt:lpstr>'Cloud Configuration'!MainstreamDatabase1500Arc</vt:lpstr>
      <vt:lpstr>'Cloud Configuration'!MainstreamDatabase1500Backup</vt:lpstr>
      <vt:lpstr>'Cloud Configuration'!MainstreamDatabase1500Redo</vt:lpstr>
      <vt:lpstr>'Cloud Configuration'!MainstreamDatabase1500vCPU</vt:lpstr>
      <vt:lpstr>'Cloud Configuration'!MainstreamDatabase1500vRAM</vt:lpstr>
      <vt:lpstr>'Cloud Configuration'!MainstreamDatabase1855.79Arc</vt:lpstr>
      <vt:lpstr>'Cloud Configuration'!MainstreamDatabase1855.79Backup</vt:lpstr>
      <vt:lpstr>'Cloud Configuration'!MainstreamDatabase1855.79Redo</vt:lpstr>
      <vt:lpstr>'Cloud Configuration'!MainstreamDatabase1855.79vCPU</vt:lpstr>
      <vt:lpstr>'Cloud Configuration'!MainstreamDatabase1855.79vRAM</vt:lpstr>
      <vt:lpstr>'Cloud Configuration'!MainstreamDatabase2062Arc</vt:lpstr>
      <vt:lpstr>'Cloud Configuration'!MainstreamDatabase2062Backup</vt:lpstr>
      <vt:lpstr>'Cloud Configuration'!MainstreamDatabase2062Redo</vt:lpstr>
      <vt:lpstr>'Cloud Configuration'!MainstreamDatabase2062vCPU</vt:lpstr>
      <vt:lpstr>'Cloud Configuration'!MainstreamDatabase2062vRAM</vt:lpstr>
      <vt:lpstr>'Cloud Configuration'!MainstreamDatabaseOpenStack</vt:lpstr>
      <vt:lpstr>'Cloud Configuration'!MainstreamDatabaseVmware</vt:lpstr>
      <vt:lpstr>'Cloud Configuration'!MainstreamExtRepOpenStack</vt:lpstr>
      <vt:lpstr>'Cloud Configuration'!MainstreamExtRepVmware</vt:lpstr>
      <vt:lpstr>'Cloud Configuration'!MainstreamGlobalOpenStack</vt:lpstr>
      <vt:lpstr>'Cloud Configuration'!MainstreamGlobalVmware</vt:lpstr>
      <vt:lpstr>'Cloud Configuration'!MainstreamISDKOpenStack</vt:lpstr>
      <vt:lpstr>'Cloud Configuration'!MainstreamISDKVmware</vt:lpstr>
      <vt:lpstr>'Cloud Configuration'!MainstreamUsers</vt:lpstr>
      <vt:lpstr>'Cloud Configuration'!OpenStack</vt:lpstr>
      <vt:lpstr>'Cloud Configuration'!SmallADMOpenStack</vt:lpstr>
      <vt:lpstr>'Cloud Configuration'!SmallADMVmware</vt:lpstr>
      <vt:lpstr>'Cloud Configuration'!SmallCustomerOpenStack</vt:lpstr>
      <vt:lpstr>'Cloud Configuration'!SmallCustomerVmware</vt:lpstr>
      <vt:lpstr>'Cloud Configuration'!SmallDatabase2115Arc</vt:lpstr>
      <vt:lpstr>'Cloud Configuration'!SmallDatabase2115Backup</vt:lpstr>
      <vt:lpstr>'Cloud Configuration'!SmallDatabase2115Redo</vt:lpstr>
      <vt:lpstr>'Cloud Configuration'!SmallDatabase2115vCPU</vt:lpstr>
      <vt:lpstr>'Cloud Configuration'!SmallDatabase2115vRAM</vt:lpstr>
      <vt:lpstr>'Cloud Configuration'!SmallDatabase2350Arc</vt:lpstr>
      <vt:lpstr>'Cloud Configuration'!SmallDatabase2350Backup</vt:lpstr>
      <vt:lpstr>'Cloud Configuration'!SmallDatabase2350Redo</vt:lpstr>
      <vt:lpstr>'Cloud Configuration'!SmallDatabase2350vCPU</vt:lpstr>
      <vt:lpstr>'Cloud Configuration'!SmallDatabase2350vRAM</vt:lpstr>
      <vt:lpstr>'Cloud Configuration'!SmallDatabase675Arc</vt:lpstr>
      <vt:lpstr>'Cloud Configuration'!SmallDatabase675Backup</vt:lpstr>
      <vt:lpstr>'Cloud Configuration'!SmallDatabase675Redo</vt:lpstr>
      <vt:lpstr>'Cloud Configuration'!SmallDatabase675vCPU</vt:lpstr>
      <vt:lpstr>'Cloud Configuration'!SmallDatabase675vRAM</vt:lpstr>
      <vt:lpstr>'Cloud Configuration'!SmallDatabase750Arc</vt:lpstr>
      <vt:lpstr>'Cloud Configuration'!SmallDatabase750Backup</vt:lpstr>
      <vt:lpstr>'Cloud Configuration'!SmallDatabase750Redo</vt:lpstr>
      <vt:lpstr>'Cloud Configuration'!SmallDatabase750vCPU</vt:lpstr>
      <vt:lpstr>'Cloud Configuration'!SmallDatabase750vRAM</vt:lpstr>
      <vt:lpstr>'Cloud Configuration'!SmallDatabaseOpenStack</vt:lpstr>
      <vt:lpstr>'Cloud Configuration'!SmallDatabaseVmware</vt:lpstr>
      <vt:lpstr>'Cloud Configuration'!SmallExtRepOpenStack</vt:lpstr>
      <vt:lpstr>'Cloud Configuration'!SmallExtRepVmware</vt:lpstr>
      <vt:lpstr>'Cloud Configuration'!SmallGlobalOpenStack</vt:lpstr>
      <vt:lpstr>'Cloud Configuration'!SmallGlobalVmware</vt:lpstr>
      <vt:lpstr>'Cloud Configuration'!SmallISDKOpenStack</vt:lpstr>
      <vt:lpstr>'Cloud Configuration'!SmallISDKVmware</vt:lpstr>
      <vt:lpstr>'Cloud Configuration'!SmallUsers</vt:lpstr>
      <vt:lpstr>'Cloud Configuration'!Vmware</vt:lpstr>
      <vt:lpstr>'Cloud Configuration'!VMWareConfigurationType</vt:lpstr>
      <vt:lpstr>'Cloud Configuration'!XXLADMOpenStack</vt:lpstr>
      <vt:lpstr>'Cloud Configuration'!XXLADMVmware</vt:lpstr>
      <vt:lpstr>'Cloud Configuration'!XXLCustomerOpenStack</vt:lpstr>
      <vt:lpstr>'Cloud Configuration'!XXLCustomerVmware</vt:lpstr>
      <vt:lpstr>'Cloud Configuration'!XXLDatabase8100Arc</vt:lpstr>
      <vt:lpstr>'Cloud Configuration'!XXLDatabase8100Backup</vt:lpstr>
      <vt:lpstr>'Cloud Configuration'!XXLDatabase8100Redo</vt:lpstr>
      <vt:lpstr>'Cloud Configuration'!XXLDatabase8100vCPU</vt:lpstr>
      <vt:lpstr>'Cloud Configuration'!XXLDatabase8100vRAM</vt:lpstr>
      <vt:lpstr>'Cloud Configuration'!XXLDatabase9000Arc</vt:lpstr>
      <vt:lpstr>'Cloud Configuration'!XXLDatabase9000Backup</vt:lpstr>
      <vt:lpstr>'Cloud Configuration'!XXLDatabase9000Redo</vt:lpstr>
      <vt:lpstr>'Cloud Configuration'!XXLDatabase9000vCPU</vt:lpstr>
      <vt:lpstr>'Cloud Configuration'!XXLDatabase9000vRAM</vt:lpstr>
      <vt:lpstr>'Cloud Configuration'!XXLDatabaseOpenStack</vt:lpstr>
      <vt:lpstr>'Cloud Configuration'!XXLDatabaseVmware</vt:lpstr>
      <vt:lpstr>'Cloud Configuration'!XXLExtRepOpenStack</vt:lpstr>
      <vt:lpstr>'Cloud Configuration'!XXLExtRepVmware</vt:lpstr>
      <vt:lpstr>'Cloud Configuration'!XXLGlobalOpenStack</vt:lpstr>
      <vt:lpstr>'Cloud Configuration'!XXLGlobalVmware</vt:lpstr>
      <vt:lpstr>'Cloud Configuration'!XXLISDKOpenStack</vt:lpstr>
      <vt:lpstr>'Cloud Configuration'!XXLISDKVmware</vt:lpstr>
      <vt:lpstr>'Cloud Configuration'!XXLUsers</vt:lpstr>
      <vt:lpstr>'Cloud Configuration'!XXXLADMOpenStack</vt:lpstr>
      <vt:lpstr>'Cloud Configuration'!XXXLADMVmware</vt:lpstr>
      <vt:lpstr>'Cloud Configuration'!XXXLCustomerOpenStack</vt:lpstr>
      <vt:lpstr>'Cloud Configuration'!XXXLCustomerVmware</vt:lpstr>
      <vt:lpstr>'Cloud Configuration'!XXXLDatabase15200Arc</vt:lpstr>
      <vt:lpstr>'Cloud Configuration'!XXXLDatabase15200Backup</vt:lpstr>
      <vt:lpstr>'Cloud Configuration'!XXXLDatabase15200Redo</vt:lpstr>
      <vt:lpstr>'Cloud Configuration'!XXXLDatabase15200vCPU</vt:lpstr>
      <vt:lpstr>'Cloud Configuration'!XXXLDatabase15200vRAM</vt:lpstr>
      <vt:lpstr>'Cloud Configuration'!XXXLDatabase16400Arc</vt:lpstr>
      <vt:lpstr>'Cloud Configuration'!XXXLDatabase16400Backup</vt:lpstr>
      <vt:lpstr>'Cloud Configuration'!XXXLDatabase16400Redo</vt:lpstr>
      <vt:lpstr>'Cloud Configuration'!XXXLDatabase16400vCPU</vt:lpstr>
      <vt:lpstr>'Cloud Configuration'!XXXLDatabase16400vRAM</vt:lpstr>
      <vt:lpstr>'Cloud Configuration'!XXXLDatabaseOpenstack</vt:lpstr>
      <vt:lpstr>'Cloud Configuration'!XXXLDatabaseVmware</vt:lpstr>
      <vt:lpstr>'Cloud Configuration'!XXXLExtRepOpenStack</vt:lpstr>
      <vt:lpstr>'Cloud Configuration'!XXXLExtRepVmware</vt:lpstr>
      <vt:lpstr>'Cloud Configuration'!XXXLGlobalOpenStack</vt:lpstr>
      <vt:lpstr>'Cloud Configuration'!XXXLGlobalVmware</vt:lpstr>
      <vt:lpstr>'Cloud Configuration'!XXXLISDKOpenStack</vt:lpstr>
      <vt:lpstr>'Cloud Configuration'!XXXLISDKVmware</vt:lpstr>
      <vt:lpstr>'Cloud Configuration'!XXXLUsers</vt:lpstr>
    </vt:vector>
  </TitlesOfParts>
  <Manager/>
  <Company>Nokia Siemens Networks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NetAct Node Architecture and Resource Plan R&amp;D</dc:title>
  <dc:subject/>
  <dc:creator>jarmylly</dc:creator>
  <cp:keywords/>
  <dc:description/>
  <cp:lastModifiedBy>Jarmo Nyyssonen (Nokia)</cp:lastModifiedBy>
  <cp:revision/>
  <dcterms:created xsi:type="dcterms:W3CDTF">2013-01-13T09:29:29Z</dcterms:created>
  <dcterms:modified xsi:type="dcterms:W3CDTF">2024-11-29T11:28:46Z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0x010100CE50E52E7543470BBDD3827FE50C59CB000E58D7000A8E4A4DBBE7E818CFFA5976</vt:lpwstr>
  </property>
  <property fmtid="{D5CDD505-2E9C-101B-9397-08002B2CF9AE}" pid="3" name="_dlc_DocIdItemGuid">
    <vt:lpwstr>2e2cb2a7-8096-4a48-a912-d2b5551f7378</vt:lpwstr>
  </property>
  <property fmtid="{D5CDD505-2E9C-101B-9397-08002B2CF9AE}" pid="4" name="AuthorIds_UIVersion_514">
    <vt:lpwstr>45</vt:lpwstr>
  </property>
  <property fmtid="{D5CDD505-2E9C-101B-9397-08002B2CF9AE}" pid="5" name="MSIP_Label_46cc7c65-2b09-40ab-abef-d10548338a3b_Enabled">
    <vt:lpwstr>true</vt:lpwstr>
  </property>
  <property fmtid="{D5CDD505-2E9C-101B-9397-08002B2CF9AE}" pid="6" name="MSIP_Label_46cc7c65-2b09-40ab-abef-d10548338a3b_SetDate">
    <vt:lpwstr>2023-02-08T10:14:29Z</vt:lpwstr>
  </property>
  <property fmtid="{D5CDD505-2E9C-101B-9397-08002B2CF9AE}" pid="7" name="MSIP_Label_46cc7c65-2b09-40ab-abef-d10548338a3b_Method">
    <vt:lpwstr>Privileged</vt:lpwstr>
  </property>
  <property fmtid="{D5CDD505-2E9C-101B-9397-08002B2CF9AE}" pid="8" name="MSIP_Label_46cc7c65-2b09-40ab-abef-d10548338a3b_Name">
    <vt:lpwstr>46cc7c65-2b09-40ab-abef-d10548338a3b</vt:lpwstr>
  </property>
  <property fmtid="{D5CDD505-2E9C-101B-9397-08002B2CF9AE}" pid="9" name="MSIP_Label_46cc7c65-2b09-40ab-abef-d10548338a3b_SiteId">
    <vt:lpwstr>5d471751-9675-428d-917b-70f44f9630b0</vt:lpwstr>
  </property>
  <property fmtid="{D5CDD505-2E9C-101B-9397-08002B2CF9AE}" pid="10" name="MSIP_Label_46cc7c65-2b09-40ab-abef-d10548338a3b_ActionId">
    <vt:lpwstr>ec3135ad-170c-444b-b089-6ad0818fe993</vt:lpwstr>
  </property>
  <property fmtid="{D5CDD505-2E9C-101B-9397-08002B2CF9AE}" pid="11" name="MSIP_Label_46cc7c65-2b09-40ab-abef-d10548338a3b_ContentBits">
    <vt:lpwstr>2</vt:lpwstr>
  </property>
</Properties>
</file>